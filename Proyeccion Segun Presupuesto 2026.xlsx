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i unidad\Peajes FC\Tareas\"/>
    </mc:Choice>
  </mc:AlternateContent>
  <bookViews>
    <workbookView xWindow="0" yWindow="0" windowWidth="23040" windowHeight="9072"/>
  </bookViews>
  <sheets>
    <sheet name="Sheet1 (3)" sheetId="9" r:id="rId1"/>
    <sheet name="Hoja2" sheetId="7" state="hidden" r:id="rId2"/>
    <sheet name="Sheet1" sheetId="3" state="hidden" r:id="rId3"/>
    <sheet name="Hoja11" sheetId="4" state="hidden" r:id="rId4"/>
    <sheet name="Hoja1" sheetId="5" state="hidden" r:id="rId5"/>
    <sheet name="Sheet1 (2)" sheetId="6" state="hidden" r:id="rId6"/>
  </sheets>
  <externalReferences>
    <externalReference r:id="rId7"/>
  </externalReferences>
  <definedNames>
    <definedName name="_xlnm._FilterDatabase" localSheetId="2" hidden="1">Sheet1!$A$1:$AF$1294</definedName>
    <definedName name="_xlnm._FilterDatabase" localSheetId="5" hidden="1">'Sheet1 (2)'!$A$1:$Y$2625</definedName>
    <definedName name="_xlnm._FilterDatabase" localSheetId="0" hidden="1">'Sheet1 (3)'!$A$1:$E$1</definedName>
  </definedNames>
  <calcPr calcId="162913"/>
  <pivotCaches>
    <pivotCache cacheId="0" r:id="rId8"/>
  </pivotCaches>
  <extLst>
    <ext uri="GoogleSheetsCustomDataVersion2">
      <go:sheetsCustomData xmlns:go="http://customooxmlschemas.google.com/" r:id="rId13" roundtripDataChecksum="bsFMbCKwHRUpxqU29yicpBPRkzLRJ6Q1TOmyTEHLpf8="/>
    </ext>
  </extLst>
</workbook>
</file>

<file path=xl/calcChain.xml><?xml version="1.0" encoding="utf-8"?>
<calcChain xmlns="http://schemas.openxmlformats.org/spreadsheetml/2006/main">
  <c r="C1294" i="9" l="1"/>
  <c r="C1293" i="9"/>
  <c r="C1292" i="9"/>
  <c r="C1291" i="9"/>
  <c r="C1290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AB1068" i="3" l="1"/>
  <c r="AB1035" i="3"/>
  <c r="AB1032" i="3"/>
  <c r="AB387" i="3"/>
  <c r="AB34" i="3"/>
  <c r="AB1081" i="3"/>
  <c r="AB1078" i="3"/>
  <c r="AB1258" i="3"/>
  <c r="AB1257" i="3"/>
  <c r="AB1270" i="3"/>
  <c r="AB1269" i="3"/>
  <c r="AB1267" i="3"/>
  <c r="AB1266" i="3"/>
  <c r="AB1265" i="3"/>
  <c r="AB1264" i="3"/>
  <c r="AB1263" i="3"/>
  <c r="AB1262" i="3"/>
  <c r="AB1261" i="3"/>
  <c r="AB1277" i="3"/>
  <c r="AB1274" i="3"/>
  <c r="AB1273" i="3"/>
  <c r="AB1065" i="3"/>
  <c r="AB1044" i="3"/>
  <c r="AB1041" i="3"/>
  <c r="AC1294" i="3"/>
  <c r="AC1293" i="3"/>
  <c r="AC1292" i="3"/>
  <c r="AC1291" i="3"/>
  <c r="AC1290" i="3"/>
  <c r="AC1289" i="3"/>
  <c r="AC1288" i="3"/>
  <c r="AC1287" i="3"/>
  <c r="AC1286" i="3"/>
  <c r="AC1285" i="3"/>
  <c r="AC1284" i="3"/>
  <c r="AC1283" i="3"/>
  <c r="AC1282" i="3"/>
  <c r="AC1281" i="3"/>
  <c r="AC1280" i="3"/>
  <c r="AC1279" i="3"/>
  <c r="AC1278" i="3"/>
  <c r="AC1277" i="3"/>
  <c r="AC1276" i="3"/>
  <c r="AC1275" i="3"/>
  <c r="AC1274" i="3"/>
  <c r="AC1273" i="3"/>
  <c r="AC1272" i="3"/>
  <c r="AC1271" i="3"/>
  <c r="AC1270" i="3"/>
  <c r="AC1269" i="3"/>
  <c r="AC1268" i="3"/>
  <c r="AC1267" i="3"/>
  <c r="AC1266" i="3"/>
  <c r="AC1265" i="3"/>
  <c r="AC1264" i="3"/>
  <c r="AC1263" i="3"/>
  <c r="AC1262" i="3"/>
  <c r="AC1261" i="3"/>
  <c r="AC1260" i="3"/>
  <c r="AC1259" i="3"/>
  <c r="AC1258" i="3"/>
  <c r="AC1257" i="3"/>
  <c r="AC1256" i="3"/>
  <c r="AC1255" i="3"/>
  <c r="AC1254" i="3"/>
  <c r="AC1253" i="3"/>
  <c r="AC1252" i="3"/>
  <c r="AC1251" i="3"/>
  <c r="AC1250" i="3"/>
  <c r="AC1249" i="3"/>
  <c r="AC1248" i="3"/>
  <c r="AC1247" i="3"/>
  <c r="AC1246" i="3"/>
  <c r="AC1245" i="3"/>
  <c r="AC1244" i="3"/>
  <c r="AC1243" i="3"/>
  <c r="AC1242" i="3"/>
  <c r="AC1241" i="3"/>
  <c r="AC1240" i="3"/>
  <c r="AC1239" i="3"/>
  <c r="AC1238" i="3"/>
  <c r="AC1237" i="3"/>
  <c r="AC1236" i="3"/>
  <c r="AC1235" i="3"/>
  <c r="AC1234" i="3"/>
  <c r="AC1233" i="3"/>
  <c r="AC1232" i="3"/>
  <c r="AC1231" i="3"/>
  <c r="AC1230" i="3"/>
  <c r="AC1229" i="3"/>
  <c r="AC1228" i="3"/>
  <c r="AC1227" i="3"/>
  <c r="AC1226" i="3"/>
  <c r="AC1225" i="3"/>
  <c r="AC1224" i="3"/>
  <c r="AC1223" i="3"/>
  <c r="AC1222" i="3"/>
  <c r="AC1221" i="3"/>
  <c r="AC1220" i="3"/>
  <c r="AC1219" i="3"/>
  <c r="AC1218" i="3"/>
  <c r="AC1217" i="3"/>
  <c r="AC1216" i="3"/>
  <c r="AC1215" i="3"/>
  <c r="AC1214" i="3"/>
  <c r="AC1213" i="3"/>
  <c r="AC1212" i="3"/>
  <c r="AC1211" i="3"/>
  <c r="AC1210" i="3"/>
  <c r="AC1209" i="3"/>
  <c r="AC1208" i="3"/>
  <c r="AC1207" i="3"/>
  <c r="AC1206" i="3"/>
  <c r="AC1205" i="3"/>
  <c r="AC1204" i="3"/>
  <c r="AC1203" i="3"/>
  <c r="AC1202" i="3"/>
  <c r="AC1201" i="3"/>
  <c r="AC1200" i="3"/>
  <c r="AC1199" i="3"/>
  <c r="AC1198" i="3"/>
  <c r="AC1197" i="3"/>
  <c r="AC1196" i="3"/>
  <c r="AC1195" i="3"/>
  <c r="AC1194" i="3"/>
  <c r="AC1193" i="3"/>
  <c r="AC1192" i="3"/>
  <c r="AC1191" i="3"/>
  <c r="AC1190" i="3"/>
  <c r="AC1189" i="3"/>
  <c r="AC1188" i="3"/>
  <c r="AC1187" i="3"/>
  <c r="AC1186" i="3"/>
  <c r="AC1185" i="3"/>
  <c r="AC1184" i="3"/>
  <c r="AC1183" i="3"/>
  <c r="AC1182" i="3"/>
  <c r="AC1181" i="3"/>
  <c r="AC1180" i="3"/>
  <c r="AC1179" i="3"/>
  <c r="AC1178" i="3"/>
  <c r="AC1177" i="3"/>
  <c r="AC1176" i="3"/>
  <c r="AC1175" i="3"/>
  <c r="AC1174" i="3"/>
  <c r="AC1173" i="3"/>
  <c r="AC1172" i="3"/>
  <c r="AC1171" i="3"/>
  <c r="AC1170" i="3"/>
  <c r="AC1169" i="3"/>
  <c r="AC1168" i="3"/>
  <c r="AC1167" i="3"/>
  <c r="AC1166" i="3"/>
  <c r="AC1165" i="3"/>
  <c r="AC1164" i="3"/>
  <c r="AC1163" i="3"/>
  <c r="AC1162" i="3"/>
  <c r="AC1161" i="3"/>
  <c r="AC1160" i="3"/>
  <c r="AC1159" i="3"/>
  <c r="AC1158" i="3"/>
  <c r="AC1157" i="3"/>
  <c r="AC1156" i="3"/>
  <c r="AC1155" i="3"/>
  <c r="AC1154" i="3"/>
  <c r="AC1153" i="3"/>
  <c r="AC1152" i="3"/>
  <c r="AC1151" i="3"/>
  <c r="AC1150" i="3"/>
  <c r="AC1149" i="3"/>
  <c r="AC1148" i="3"/>
  <c r="AC1147" i="3"/>
  <c r="AC1146" i="3"/>
  <c r="AC1145" i="3"/>
  <c r="AC1144" i="3"/>
  <c r="AC1143" i="3"/>
  <c r="AC1142" i="3"/>
  <c r="AC1141" i="3"/>
  <c r="AC1140" i="3"/>
  <c r="AC1139" i="3"/>
  <c r="AC1138" i="3"/>
  <c r="AC1137" i="3"/>
  <c r="AC1136" i="3"/>
  <c r="AC1135" i="3"/>
  <c r="AC1134" i="3"/>
  <c r="AC1133" i="3"/>
  <c r="AC1132" i="3"/>
  <c r="AC1131" i="3"/>
  <c r="AC1130" i="3"/>
  <c r="AC1129" i="3"/>
  <c r="AC1128" i="3"/>
  <c r="AC1127" i="3"/>
  <c r="AC1126" i="3"/>
  <c r="AC1125" i="3"/>
  <c r="AC1124" i="3"/>
  <c r="AC1123" i="3"/>
  <c r="AC1122" i="3"/>
  <c r="AC1121" i="3"/>
  <c r="AC1120" i="3"/>
  <c r="AC1119" i="3"/>
  <c r="AC1118" i="3"/>
  <c r="AC1117" i="3"/>
  <c r="AC1116" i="3"/>
  <c r="AC1115" i="3"/>
  <c r="AC1114" i="3"/>
  <c r="AC1113" i="3"/>
  <c r="AC1112" i="3"/>
  <c r="AC1111" i="3"/>
  <c r="AC1110" i="3"/>
  <c r="AC1109" i="3"/>
  <c r="AC1108" i="3"/>
  <c r="AC1107" i="3"/>
  <c r="AC1106" i="3"/>
  <c r="AC1105" i="3"/>
  <c r="AC1104" i="3"/>
  <c r="AC1103" i="3"/>
  <c r="AC1102" i="3"/>
  <c r="AC1101" i="3"/>
  <c r="AC1100" i="3"/>
  <c r="AC1099" i="3"/>
  <c r="AC1098" i="3"/>
  <c r="AC1097" i="3"/>
  <c r="AC1096" i="3"/>
  <c r="AC1095" i="3"/>
  <c r="AC1094" i="3"/>
  <c r="AC1093" i="3"/>
  <c r="AC1092" i="3"/>
  <c r="AC1091" i="3"/>
  <c r="AC1090" i="3"/>
  <c r="AC1089" i="3"/>
  <c r="AC1088" i="3"/>
  <c r="AC1087" i="3"/>
  <c r="AC1086" i="3"/>
  <c r="AC1085" i="3"/>
  <c r="AC1084" i="3"/>
  <c r="AC1083" i="3"/>
  <c r="AC1082" i="3"/>
  <c r="AC1081" i="3"/>
  <c r="AC1080" i="3"/>
  <c r="AC1079" i="3"/>
  <c r="AC1078" i="3"/>
  <c r="AC1077" i="3"/>
  <c r="AC1076" i="3"/>
  <c r="AC1075" i="3"/>
  <c r="AC1074" i="3"/>
  <c r="AC1073" i="3"/>
  <c r="AC1072" i="3"/>
  <c r="AC1071" i="3"/>
  <c r="AC1070" i="3"/>
  <c r="AC1069" i="3"/>
  <c r="AC1068" i="3"/>
  <c r="AC1067" i="3"/>
  <c r="AC1066" i="3"/>
  <c r="AC1065" i="3"/>
  <c r="AC1064" i="3"/>
  <c r="AC1063" i="3"/>
  <c r="AC1062" i="3"/>
  <c r="AC1061" i="3"/>
  <c r="AC1060" i="3"/>
  <c r="AC1059" i="3"/>
  <c r="AC1058" i="3"/>
  <c r="AC1057" i="3"/>
  <c r="AC1056" i="3"/>
  <c r="AC1055" i="3"/>
  <c r="AC1054" i="3"/>
  <c r="AC1053" i="3"/>
  <c r="AC1052" i="3"/>
  <c r="AC1051" i="3"/>
  <c r="AC1050" i="3"/>
  <c r="AC1049" i="3"/>
  <c r="AC1048" i="3"/>
  <c r="AC1047" i="3"/>
  <c r="AC1046" i="3"/>
  <c r="AC1045" i="3"/>
  <c r="AC1044" i="3"/>
  <c r="AC1043" i="3"/>
  <c r="AC1042" i="3"/>
  <c r="AC1041" i="3"/>
  <c r="AC1040" i="3"/>
  <c r="AC1039" i="3"/>
  <c r="AC1038" i="3"/>
  <c r="AC1037" i="3"/>
  <c r="AC1036" i="3"/>
  <c r="AC1035" i="3"/>
  <c r="AC1034" i="3"/>
  <c r="AC1033" i="3"/>
  <c r="AC1032" i="3"/>
  <c r="AC1031" i="3"/>
  <c r="AC1030" i="3"/>
  <c r="AC1029" i="3"/>
  <c r="AC1028" i="3"/>
  <c r="AC1027" i="3"/>
  <c r="AC1026" i="3"/>
  <c r="AC1025" i="3"/>
  <c r="AC1024" i="3"/>
  <c r="AC1023" i="3"/>
  <c r="AC1022" i="3"/>
  <c r="AC1021" i="3"/>
  <c r="AC1020" i="3"/>
  <c r="AC1019" i="3"/>
  <c r="AC1018" i="3"/>
  <c r="AC1017" i="3"/>
  <c r="AC1016" i="3"/>
  <c r="AC1015" i="3"/>
  <c r="AC1014" i="3"/>
  <c r="AC1013" i="3"/>
  <c r="AC1012" i="3"/>
  <c r="AC1011" i="3"/>
  <c r="AC1010" i="3"/>
  <c r="AC1009" i="3"/>
  <c r="AC1008" i="3"/>
  <c r="AC1007" i="3"/>
  <c r="AC1006" i="3"/>
  <c r="AC1005" i="3"/>
  <c r="AC1004" i="3"/>
  <c r="AC1003" i="3"/>
  <c r="AC1002" i="3"/>
  <c r="AC1001" i="3"/>
  <c r="AC1000" i="3"/>
  <c r="AC999" i="3"/>
  <c r="AC998" i="3"/>
  <c r="AC997" i="3"/>
  <c r="AC996" i="3"/>
  <c r="AC995" i="3"/>
  <c r="AC994" i="3"/>
  <c r="AC993" i="3"/>
  <c r="AC992" i="3"/>
  <c r="AC991" i="3"/>
  <c r="AC990" i="3"/>
  <c r="AC989" i="3"/>
  <c r="AC988" i="3"/>
  <c r="AC987" i="3"/>
  <c r="AC986" i="3"/>
  <c r="AC985" i="3"/>
  <c r="AC984" i="3"/>
  <c r="AC983" i="3"/>
  <c r="AC982" i="3"/>
  <c r="AC981" i="3"/>
  <c r="AC980" i="3"/>
  <c r="AC979" i="3"/>
  <c r="AC978" i="3"/>
  <c r="AC977" i="3"/>
  <c r="AC976" i="3"/>
  <c r="AC975" i="3"/>
  <c r="AC974" i="3"/>
  <c r="AC973" i="3"/>
  <c r="AC972" i="3"/>
  <c r="AC971" i="3"/>
  <c r="AC970" i="3"/>
  <c r="AC969" i="3"/>
  <c r="AC968" i="3"/>
  <c r="AC967" i="3"/>
  <c r="AC966" i="3"/>
  <c r="AC965" i="3"/>
  <c r="AC964" i="3"/>
  <c r="AC963" i="3"/>
  <c r="AC962" i="3"/>
  <c r="AC961" i="3"/>
  <c r="AC960" i="3"/>
  <c r="AC959" i="3"/>
  <c r="AC958" i="3"/>
  <c r="AC957" i="3"/>
  <c r="AC956" i="3"/>
  <c r="AC955" i="3"/>
  <c r="AC954" i="3"/>
  <c r="AC953" i="3"/>
  <c r="AC952" i="3"/>
  <c r="AC951" i="3"/>
  <c r="AC950" i="3"/>
  <c r="AC949" i="3"/>
  <c r="AC948" i="3"/>
  <c r="AC947" i="3"/>
  <c r="AC946" i="3"/>
  <c r="AC945" i="3"/>
  <c r="AC944" i="3"/>
  <c r="AC943" i="3"/>
  <c r="AC942" i="3"/>
  <c r="AC941" i="3"/>
  <c r="AC940" i="3"/>
  <c r="AC939" i="3"/>
  <c r="AC938" i="3"/>
  <c r="AC937" i="3"/>
  <c r="AC936" i="3"/>
  <c r="AC935" i="3"/>
  <c r="AC934" i="3"/>
  <c r="AC933" i="3"/>
  <c r="AC932" i="3"/>
  <c r="AC931" i="3"/>
  <c r="AC930" i="3"/>
  <c r="AC929" i="3"/>
  <c r="AC928" i="3"/>
  <c r="AC927" i="3"/>
  <c r="AC926" i="3"/>
  <c r="AC925" i="3"/>
  <c r="AC924" i="3"/>
  <c r="AC923" i="3"/>
  <c r="AC922" i="3"/>
  <c r="AC921" i="3"/>
  <c r="AC920" i="3"/>
  <c r="AC919" i="3"/>
  <c r="AC918" i="3"/>
  <c r="AC917" i="3"/>
  <c r="AC916" i="3"/>
  <c r="AC915" i="3"/>
  <c r="AC914" i="3"/>
  <c r="AC913" i="3"/>
  <c r="AC912" i="3"/>
  <c r="AC911" i="3"/>
  <c r="AC910" i="3"/>
  <c r="AC909" i="3"/>
  <c r="AC908" i="3"/>
  <c r="AC907" i="3"/>
  <c r="AC906" i="3"/>
  <c r="AC905" i="3"/>
  <c r="AC904" i="3"/>
  <c r="AC903" i="3"/>
  <c r="AC902" i="3"/>
  <c r="AC901" i="3"/>
  <c r="AC900" i="3"/>
  <c r="AC899" i="3"/>
  <c r="AC898" i="3"/>
  <c r="AC897" i="3"/>
  <c r="AC896" i="3"/>
  <c r="AC895" i="3"/>
  <c r="AC894" i="3"/>
  <c r="AC893" i="3"/>
  <c r="AC892" i="3"/>
  <c r="AC891" i="3"/>
  <c r="AC890" i="3"/>
  <c r="AC889" i="3"/>
  <c r="AC888" i="3"/>
  <c r="AC887" i="3"/>
  <c r="AC886" i="3"/>
  <c r="AC885" i="3"/>
  <c r="AC884" i="3"/>
  <c r="AC883" i="3"/>
  <c r="AC882" i="3"/>
  <c r="AC881" i="3"/>
  <c r="AC880" i="3"/>
  <c r="AC879" i="3"/>
  <c r="AC878" i="3"/>
  <c r="AC877" i="3"/>
  <c r="AC876" i="3"/>
  <c r="AC875" i="3"/>
  <c r="AC874" i="3"/>
  <c r="AC873" i="3"/>
  <c r="AC872" i="3"/>
  <c r="AC871" i="3"/>
  <c r="AC870" i="3"/>
  <c r="AC869" i="3"/>
  <c r="AC868" i="3"/>
  <c r="AC867" i="3"/>
  <c r="AC866" i="3"/>
  <c r="AC865" i="3"/>
  <c r="AC864" i="3"/>
  <c r="AC863" i="3"/>
  <c r="AC862" i="3"/>
  <c r="AC861" i="3"/>
  <c r="AC860" i="3"/>
  <c r="AC859" i="3"/>
  <c r="AC858" i="3"/>
  <c r="AC857" i="3"/>
  <c r="AC856" i="3"/>
  <c r="AC855" i="3"/>
  <c r="AC854" i="3"/>
  <c r="AC853" i="3"/>
  <c r="AC852" i="3"/>
  <c r="AC851" i="3"/>
  <c r="AC850" i="3"/>
  <c r="AC849" i="3"/>
  <c r="AC848" i="3"/>
  <c r="AC847" i="3"/>
  <c r="AC846" i="3"/>
  <c r="AC845" i="3"/>
  <c r="AC844" i="3"/>
  <c r="AC843" i="3"/>
  <c r="AC842" i="3"/>
  <c r="AC841" i="3"/>
  <c r="AC840" i="3"/>
  <c r="AC839" i="3"/>
  <c r="AC838" i="3"/>
  <c r="AC837" i="3"/>
  <c r="AC836" i="3"/>
  <c r="AC835" i="3"/>
  <c r="AC834" i="3"/>
  <c r="AC833" i="3"/>
  <c r="AC832" i="3"/>
  <c r="AC831" i="3"/>
  <c r="AC830" i="3"/>
  <c r="AC829" i="3"/>
  <c r="AC828" i="3"/>
  <c r="AC827" i="3"/>
  <c r="AC826" i="3"/>
  <c r="AC825" i="3"/>
  <c r="AC824" i="3"/>
  <c r="AC823" i="3"/>
  <c r="AC822" i="3"/>
  <c r="AC821" i="3"/>
  <c r="AC820" i="3"/>
  <c r="AC819" i="3"/>
  <c r="AC818" i="3"/>
  <c r="AC817" i="3"/>
  <c r="AC816" i="3"/>
  <c r="AC815" i="3"/>
  <c r="AC814" i="3"/>
  <c r="AC813" i="3"/>
  <c r="AC812" i="3"/>
  <c r="AC811" i="3"/>
  <c r="AC810" i="3"/>
  <c r="AC809" i="3"/>
  <c r="AC808" i="3"/>
  <c r="AC807" i="3"/>
  <c r="AC806" i="3"/>
  <c r="AC805" i="3"/>
  <c r="AC804" i="3"/>
  <c r="AC803" i="3"/>
  <c r="AC802" i="3"/>
  <c r="AC801" i="3"/>
  <c r="AC800" i="3"/>
  <c r="AC799" i="3"/>
  <c r="AC798" i="3"/>
  <c r="AC797" i="3"/>
  <c r="AC796" i="3"/>
  <c r="AC795" i="3"/>
  <c r="AC794" i="3"/>
  <c r="AC793" i="3"/>
  <c r="AC792" i="3"/>
  <c r="AC791" i="3"/>
  <c r="AC790" i="3"/>
  <c r="AC789" i="3"/>
  <c r="AC788" i="3"/>
  <c r="AC787" i="3"/>
  <c r="AC786" i="3"/>
  <c r="AC785" i="3"/>
  <c r="AC784" i="3"/>
  <c r="AC783" i="3"/>
  <c r="AC782" i="3"/>
  <c r="AC781" i="3"/>
  <c r="AC780" i="3"/>
  <c r="AC779" i="3"/>
  <c r="AC778" i="3"/>
  <c r="AC777" i="3"/>
  <c r="AC776" i="3"/>
  <c r="AC775" i="3"/>
  <c r="AC774" i="3"/>
  <c r="AC773" i="3"/>
  <c r="AC772" i="3"/>
  <c r="AC771" i="3"/>
  <c r="AC770" i="3"/>
  <c r="AC769" i="3"/>
  <c r="AC768" i="3"/>
  <c r="AC767" i="3"/>
  <c r="AC766" i="3"/>
  <c r="AC765" i="3"/>
  <c r="AC764" i="3"/>
  <c r="AC763" i="3"/>
  <c r="AC762" i="3"/>
  <c r="AC761" i="3"/>
  <c r="AC760" i="3"/>
  <c r="AC759" i="3"/>
  <c r="AC758" i="3"/>
  <c r="AC757" i="3"/>
  <c r="AC756" i="3"/>
  <c r="AC755" i="3"/>
  <c r="AC754" i="3"/>
  <c r="AC753" i="3"/>
  <c r="AC752" i="3"/>
  <c r="AC751" i="3"/>
  <c r="AC750" i="3"/>
  <c r="AC749" i="3"/>
  <c r="AC748" i="3"/>
  <c r="AC747" i="3"/>
  <c r="AC746" i="3"/>
  <c r="AC745" i="3"/>
  <c r="AC744" i="3"/>
  <c r="AC743" i="3"/>
  <c r="AC742" i="3"/>
  <c r="AC741" i="3"/>
  <c r="AC740" i="3"/>
  <c r="AC739" i="3"/>
  <c r="AC738" i="3"/>
  <c r="AC737" i="3"/>
  <c r="AC736" i="3"/>
  <c r="AC735" i="3"/>
  <c r="AC734" i="3"/>
  <c r="AC733" i="3"/>
  <c r="AC732" i="3"/>
  <c r="AC731" i="3"/>
  <c r="AC730" i="3"/>
  <c r="AC729" i="3"/>
  <c r="AC728" i="3"/>
  <c r="AC727" i="3"/>
  <c r="AC726" i="3"/>
  <c r="AC725" i="3"/>
  <c r="AC724" i="3"/>
  <c r="AC723" i="3"/>
  <c r="AC722" i="3"/>
  <c r="AC721" i="3"/>
  <c r="AC720" i="3"/>
  <c r="AC719" i="3"/>
  <c r="AC718" i="3"/>
  <c r="AC717" i="3"/>
  <c r="AC716" i="3"/>
  <c r="AC715" i="3"/>
  <c r="AC714" i="3"/>
  <c r="AC713" i="3"/>
  <c r="AC712" i="3"/>
  <c r="AC711" i="3"/>
  <c r="AC710" i="3"/>
  <c r="AC709" i="3"/>
  <c r="AC708" i="3"/>
  <c r="AC707" i="3"/>
  <c r="AC706" i="3"/>
  <c r="AC705" i="3"/>
  <c r="AC704" i="3"/>
  <c r="AC703" i="3"/>
  <c r="AC702" i="3"/>
  <c r="AC701" i="3"/>
  <c r="AC700" i="3"/>
  <c r="AC699" i="3"/>
  <c r="AC698" i="3"/>
  <c r="AC697" i="3"/>
  <c r="AC696" i="3"/>
  <c r="AC695" i="3"/>
  <c r="AC694" i="3"/>
  <c r="AC693" i="3"/>
  <c r="AC692" i="3"/>
  <c r="AC691" i="3"/>
  <c r="AC690" i="3"/>
  <c r="AC689" i="3"/>
  <c r="AC688" i="3"/>
  <c r="AC687" i="3"/>
  <c r="AC686" i="3"/>
  <c r="AC685" i="3"/>
  <c r="AC684" i="3"/>
  <c r="AC683" i="3"/>
  <c r="AC682" i="3"/>
  <c r="AC681" i="3"/>
  <c r="AC680" i="3"/>
  <c r="AC679" i="3"/>
  <c r="AC678" i="3"/>
  <c r="AC677" i="3"/>
  <c r="AC676" i="3"/>
  <c r="AC675" i="3"/>
  <c r="AC674" i="3"/>
  <c r="AC673" i="3"/>
  <c r="AC672" i="3"/>
  <c r="AC671" i="3"/>
  <c r="AC670" i="3"/>
  <c r="AC669" i="3"/>
  <c r="AC668" i="3"/>
  <c r="AC667" i="3"/>
  <c r="AC666" i="3"/>
  <c r="AC665" i="3"/>
  <c r="AC664" i="3"/>
  <c r="AC663" i="3"/>
  <c r="AC662" i="3"/>
  <c r="AC661" i="3"/>
  <c r="AC660" i="3"/>
  <c r="AC659" i="3"/>
  <c r="AC658" i="3"/>
  <c r="AC657" i="3"/>
  <c r="AC656" i="3"/>
  <c r="AC655" i="3"/>
  <c r="AC654" i="3"/>
  <c r="AC653" i="3"/>
  <c r="AC652" i="3"/>
  <c r="AC651" i="3"/>
  <c r="AC650" i="3"/>
  <c r="AC649" i="3"/>
  <c r="AC648" i="3"/>
  <c r="AC647" i="3"/>
  <c r="AC646" i="3"/>
  <c r="AC645" i="3"/>
  <c r="AC644" i="3"/>
  <c r="AC643" i="3"/>
  <c r="AC642" i="3"/>
  <c r="AC641" i="3"/>
  <c r="AC640" i="3"/>
  <c r="AC639" i="3"/>
  <c r="AC638" i="3"/>
  <c r="AC637" i="3"/>
  <c r="AC636" i="3"/>
  <c r="AC635" i="3"/>
  <c r="AC634" i="3"/>
  <c r="AC633" i="3"/>
  <c r="AC632" i="3"/>
  <c r="AC631" i="3"/>
  <c r="AC630" i="3"/>
  <c r="AC629" i="3"/>
  <c r="AC628" i="3"/>
  <c r="AC627" i="3"/>
  <c r="AC626" i="3"/>
  <c r="AC625" i="3"/>
  <c r="AC624" i="3"/>
  <c r="AC623" i="3"/>
  <c r="AC622" i="3"/>
  <c r="AC621" i="3"/>
  <c r="AC620" i="3"/>
  <c r="AC619" i="3"/>
  <c r="AC618" i="3"/>
  <c r="AC617" i="3"/>
  <c r="AC616" i="3"/>
  <c r="AC615" i="3"/>
  <c r="AC614" i="3"/>
  <c r="AC613" i="3"/>
  <c r="AC612" i="3"/>
  <c r="AC611" i="3"/>
  <c r="AC610" i="3"/>
  <c r="AC609" i="3"/>
  <c r="AC608" i="3"/>
  <c r="AC607" i="3"/>
  <c r="AC606" i="3"/>
  <c r="AC605" i="3"/>
  <c r="AC604" i="3"/>
  <c r="AC603" i="3"/>
  <c r="AC602" i="3"/>
  <c r="AC601" i="3"/>
  <c r="AC600" i="3"/>
  <c r="AC599" i="3"/>
  <c r="AC598" i="3"/>
  <c r="AC597" i="3"/>
  <c r="AC596" i="3"/>
  <c r="AC595" i="3"/>
  <c r="AC594" i="3"/>
  <c r="AC593" i="3"/>
  <c r="AC592" i="3"/>
  <c r="AC591" i="3"/>
  <c r="AC590" i="3"/>
  <c r="AC589" i="3"/>
  <c r="AC588" i="3"/>
  <c r="AC587" i="3"/>
  <c r="AC586" i="3"/>
  <c r="AC585" i="3"/>
  <c r="AC584" i="3"/>
  <c r="AC583" i="3"/>
  <c r="AC582" i="3"/>
  <c r="AC581" i="3"/>
  <c r="AC580" i="3"/>
  <c r="AC579" i="3"/>
  <c r="AC578" i="3"/>
  <c r="AC577" i="3"/>
  <c r="AC576" i="3"/>
  <c r="AC575" i="3"/>
  <c r="AC574" i="3"/>
  <c r="AC573" i="3"/>
  <c r="AC572" i="3"/>
  <c r="AC571" i="3"/>
  <c r="AC570" i="3"/>
  <c r="AC569" i="3"/>
  <c r="AC568" i="3"/>
  <c r="AC567" i="3"/>
  <c r="AC566" i="3"/>
  <c r="AC565" i="3"/>
  <c r="AC564" i="3"/>
  <c r="AC563" i="3"/>
  <c r="AC562" i="3"/>
  <c r="AC561" i="3"/>
  <c r="AC560" i="3"/>
  <c r="AC559" i="3"/>
  <c r="AC558" i="3"/>
  <c r="AC557" i="3"/>
  <c r="AC556" i="3"/>
  <c r="AC555" i="3"/>
  <c r="AC554" i="3"/>
  <c r="AC553" i="3"/>
  <c r="AC552" i="3"/>
  <c r="AC551" i="3"/>
  <c r="AC550" i="3"/>
  <c r="AC549" i="3"/>
  <c r="AC548" i="3"/>
  <c r="AC547" i="3"/>
  <c r="AC546" i="3"/>
  <c r="AC545" i="3"/>
  <c r="AC544" i="3"/>
  <c r="AC543" i="3"/>
  <c r="AC542" i="3"/>
  <c r="AC541" i="3"/>
  <c r="AC540" i="3"/>
  <c r="AC539" i="3"/>
  <c r="AC538" i="3"/>
  <c r="AC537" i="3"/>
  <c r="AC536" i="3"/>
  <c r="AC535" i="3"/>
  <c r="AC534" i="3"/>
  <c r="AC533" i="3"/>
  <c r="AC532" i="3"/>
  <c r="AC531" i="3"/>
  <c r="AC530" i="3"/>
  <c r="AC529" i="3"/>
  <c r="AC528" i="3"/>
  <c r="AC527" i="3"/>
  <c r="AC526" i="3"/>
  <c r="AC525" i="3"/>
  <c r="AC524" i="3"/>
  <c r="AC523" i="3"/>
  <c r="AC522" i="3"/>
  <c r="AC521" i="3"/>
  <c r="AC520" i="3"/>
  <c r="AC519" i="3"/>
  <c r="AC518" i="3"/>
  <c r="AC517" i="3"/>
  <c r="AC516" i="3"/>
  <c r="AC515" i="3"/>
  <c r="AC514" i="3"/>
  <c r="AC513" i="3"/>
  <c r="AC512" i="3"/>
  <c r="AC511" i="3"/>
  <c r="AC510" i="3"/>
  <c r="AC509" i="3"/>
  <c r="AC508" i="3"/>
  <c r="AC507" i="3"/>
  <c r="AC506" i="3"/>
  <c r="AC505" i="3"/>
  <c r="AC504" i="3"/>
  <c r="AC503" i="3"/>
  <c r="AC502" i="3"/>
  <c r="AC501" i="3"/>
  <c r="AC500" i="3"/>
  <c r="AC499" i="3"/>
  <c r="AC498" i="3"/>
  <c r="AC497" i="3"/>
  <c r="AC496" i="3"/>
  <c r="AC495" i="3"/>
  <c r="AC494" i="3"/>
  <c r="AC493" i="3"/>
  <c r="AC492" i="3"/>
  <c r="AC491" i="3"/>
  <c r="AC490" i="3"/>
  <c r="AC489" i="3"/>
  <c r="AC488" i="3"/>
  <c r="AC487" i="3"/>
  <c r="AC486" i="3"/>
  <c r="AC485" i="3"/>
  <c r="AC484" i="3"/>
  <c r="AC483" i="3"/>
  <c r="AC482" i="3"/>
  <c r="AC481" i="3"/>
  <c r="AC480" i="3"/>
  <c r="AC479" i="3"/>
  <c r="AC478" i="3"/>
  <c r="AC477" i="3"/>
  <c r="AC476" i="3"/>
  <c r="AC475" i="3"/>
  <c r="AC474" i="3"/>
  <c r="AC473" i="3"/>
  <c r="AC472" i="3"/>
  <c r="AC471" i="3"/>
  <c r="AC470" i="3"/>
  <c r="AC469" i="3"/>
  <c r="AC468" i="3"/>
  <c r="AC467" i="3"/>
  <c r="AC466" i="3"/>
  <c r="AC465" i="3"/>
  <c r="AC464" i="3"/>
  <c r="AC463" i="3"/>
  <c r="AC462" i="3"/>
  <c r="AC461" i="3"/>
  <c r="AC460" i="3"/>
  <c r="AC459" i="3"/>
  <c r="AC458" i="3"/>
  <c r="AC457" i="3"/>
  <c r="AC456" i="3"/>
  <c r="AC455" i="3"/>
  <c r="AC454" i="3"/>
  <c r="AC453" i="3"/>
  <c r="AC452" i="3"/>
  <c r="AC451" i="3"/>
  <c r="AC450" i="3"/>
  <c r="AC449" i="3"/>
  <c r="AC448" i="3"/>
  <c r="AC447" i="3"/>
  <c r="AC446" i="3"/>
  <c r="AC445" i="3"/>
  <c r="AC444" i="3"/>
  <c r="AC443" i="3"/>
  <c r="AC442" i="3"/>
  <c r="AC441" i="3"/>
  <c r="AC440" i="3"/>
  <c r="AC439" i="3"/>
  <c r="AC438" i="3"/>
  <c r="AC437" i="3"/>
  <c r="AC436" i="3"/>
  <c r="AC435" i="3"/>
  <c r="AC434" i="3"/>
  <c r="AC433" i="3"/>
  <c r="AC432" i="3"/>
  <c r="AC431" i="3"/>
  <c r="AC430" i="3"/>
  <c r="AC429" i="3"/>
  <c r="AC428" i="3"/>
  <c r="AC427" i="3"/>
  <c r="AC426" i="3"/>
  <c r="AC425" i="3"/>
  <c r="AC424" i="3"/>
  <c r="AC423" i="3"/>
  <c r="AC422" i="3"/>
  <c r="AC421" i="3"/>
  <c r="AC420" i="3"/>
  <c r="AC419" i="3"/>
  <c r="AC418" i="3"/>
  <c r="AC417" i="3"/>
  <c r="AC416" i="3"/>
  <c r="AC415" i="3"/>
  <c r="AC414" i="3"/>
  <c r="AC413" i="3"/>
  <c r="AC412" i="3"/>
  <c r="AC411" i="3"/>
  <c r="AC410" i="3"/>
  <c r="AC409" i="3"/>
  <c r="AC408" i="3"/>
  <c r="AC407" i="3"/>
  <c r="AC406" i="3"/>
  <c r="AC405" i="3"/>
  <c r="AC404" i="3"/>
  <c r="AC403" i="3"/>
  <c r="AC402" i="3"/>
  <c r="AC401" i="3"/>
  <c r="AC400" i="3"/>
  <c r="AC399" i="3"/>
  <c r="AC398" i="3"/>
  <c r="AC397" i="3"/>
  <c r="AC396" i="3"/>
  <c r="AC395" i="3"/>
  <c r="AC394" i="3"/>
  <c r="AC393" i="3"/>
  <c r="AC392" i="3"/>
  <c r="AC391" i="3"/>
  <c r="AC390" i="3"/>
  <c r="AC389" i="3"/>
  <c r="AC388" i="3"/>
  <c r="AC387" i="3"/>
  <c r="AC386" i="3"/>
  <c r="AC385" i="3"/>
  <c r="AC384" i="3"/>
  <c r="AC383" i="3"/>
  <c r="AC382" i="3"/>
  <c r="AC381" i="3"/>
  <c r="AC380" i="3"/>
  <c r="AC379" i="3"/>
  <c r="AC378" i="3"/>
  <c r="AC377" i="3"/>
  <c r="AC376" i="3"/>
  <c r="AC375" i="3"/>
  <c r="AC374" i="3"/>
  <c r="AC373" i="3"/>
  <c r="AC372" i="3"/>
  <c r="AC371" i="3"/>
  <c r="AC370" i="3"/>
  <c r="AC369" i="3"/>
  <c r="AC368" i="3"/>
  <c r="AC367" i="3"/>
  <c r="AC366" i="3"/>
  <c r="AC365" i="3"/>
  <c r="AC364" i="3"/>
  <c r="AC363" i="3"/>
  <c r="AC362" i="3"/>
  <c r="AC361" i="3"/>
  <c r="AC360" i="3"/>
  <c r="AC359" i="3"/>
  <c r="AC358" i="3"/>
  <c r="AC357" i="3"/>
  <c r="AC356" i="3"/>
  <c r="AC355" i="3"/>
  <c r="AC354" i="3"/>
  <c r="AC353" i="3"/>
  <c r="AC352" i="3"/>
  <c r="AC351" i="3"/>
  <c r="AC350" i="3"/>
  <c r="AC349" i="3"/>
  <c r="AC348" i="3"/>
  <c r="AC347" i="3"/>
  <c r="AC346" i="3"/>
  <c r="AC345" i="3"/>
  <c r="AC344" i="3"/>
  <c r="AC343" i="3"/>
  <c r="AC342" i="3"/>
  <c r="AC341" i="3"/>
  <c r="AC340" i="3"/>
  <c r="AC339" i="3"/>
  <c r="AC338" i="3"/>
  <c r="AC337" i="3"/>
  <c r="AC336" i="3"/>
  <c r="AC335" i="3"/>
  <c r="AC334" i="3"/>
  <c r="AC333" i="3"/>
  <c r="AC332" i="3"/>
  <c r="AC331" i="3"/>
  <c r="AC330" i="3"/>
  <c r="AC329" i="3"/>
  <c r="AC328" i="3"/>
  <c r="AC327" i="3"/>
  <c r="AC326" i="3"/>
  <c r="AC325" i="3"/>
  <c r="AC324" i="3"/>
  <c r="AC323" i="3"/>
  <c r="AC322" i="3"/>
  <c r="AC321" i="3"/>
  <c r="AC320" i="3"/>
  <c r="AC319" i="3"/>
  <c r="AC318" i="3"/>
  <c r="AC317" i="3"/>
  <c r="AC316" i="3"/>
  <c r="AC315" i="3"/>
  <c r="AC314" i="3"/>
  <c r="AC313" i="3"/>
  <c r="AC312" i="3"/>
  <c r="AC311" i="3"/>
  <c r="AC310" i="3"/>
  <c r="AC309" i="3"/>
  <c r="AC308" i="3"/>
  <c r="AC307" i="3"/>
  <c r="AC306" i="3"/>
  <c r="AC305" i="3"/>
  <c r="AC304" i="3"/>
  <c r="AC303" i="3"/>
  <c r="AC302" i="3"/>
  <c r="AC301" i="3"/>
  <c r="AC300" i="3"/>
  <c r="AC299" i="3"/>
  <c r="AC298" i="3"/>
  <c r="AC297" i="3"/>
  <c r="AC296" i="3"/>
  <c r="AC295" i="3"/>
  <c r="AC294" i="3"/>
  <c r="AC293" i="3"/>
  <c r="AC292" i="3"/>
  <c r="AC291" i="3"/>
  <c r="AC290" i="3"/>
  <c r="AC289" i="3"/>
  <c r="AC288" i="3"/>
  <c r="AC287" i="3"/>
  <c r="AC286" i="3"/>
  <c r="AC285" i="3"/>
  <c r="AC284" i="3"/>
  <c r="AC283" i="3"/>
  <c r="AC282" i="3"/>
  <c r="AC281" i="3"/>
  <c r="AC280" i="3"/>
  <c r="AC279" i="3"/>
  <c r="AC278" i="3"/>
  <c r="AC277" i="3"/>
  <c r="AC276" i="3"/>
  <c r="AC275" i="3"/>
  <c r="AC274" i="3"/>
  <c r="AC273" i="3"/>
  <c r="AC272" i="3"/>
  <c r="AC271" i="3"/>
  <c r="AC270" i="3"/>
  <c r="AC269" i="3"/>
  <c r="AC268" i="3"/>
  <c r="AC267" i="3"/>
  <c r="AC266" i="3"/>
  <c r="AC265" i="3"/>
  <c r="AC264" i="3"/>
  <c r="AC263" i="3"/>
  <c r="AC262" i="3"/>
  <c r="AC261" i="3"/>
  <c r="AC260" i="3"/>
  <c r="AC259" i="3"/>
  <c r="AC258" i="3"/>
  <c r="AC257" i="3"/>
  <c r="AC256" i="3"/>
  <c r="AC255" i="3"/>
  <c r="AC254" i="3"/>
  <c r="AC253" i="3"/>
  <c r="AC252" i="3"/>
  <c r="AC251" i="3"/>
  <c r="AC250" i="3"/>
  <c r="AC249" i="3"/>
  <c r="AC248" i="3"/>
  <c r="AC247" i="3"/>
  <c r="AC246" i="3"/>
  <c r="AC245" i="3"/>
  <c r="AC244" i="3"/>
  <c r="AC243" i="3"/>
  <c r="AC242" i="3"/>
  <c r="AC241" i="3"/>
  <c r="AC240" i="3"/>
  <c r="AC239" i="3"/>
  <c r="AC238" i="3"/>
  <c r="AC237" i="3"/>
  <c r="AC236" i="3"/>
  <c r="AC235" i="3"/>
  <c r="AC234" i="3"/>
  <c r="AC233" i="3"/>
  <c r="AC232" i="3"/>
  <c r="AC231" i="3"/>
  <c r="AC230" i="3"/>
  <c r="AC229" i="3"/>
  <c r="AC228" i="3"/>
  <c r="AC227" i="3"/>
  <c r="AC226" i="3"/>
  <c r="AC225" i="3"/>
  <c r="AC224" i="3"/>
  <c r="AC223" i="3"/>
  <c r="AC222" i="3"/>
  <c r="AC221" i="3"/>
  <c r="AC220" i="3"/>
  <c r="AC219" i="3"/>
  <c r="AC218" i="3"/>
  <c r="AC217" i="3"/>
  <c r="AC216" i="3"/>
  <c r="AC215" i="3"/>
  <c r="AC214" i="3"/>
  <c r="AC213" i="3"/>
  <c r="AC212" i="3"/>
  <c r="AC211" i="3"/>
  <c r="AC210" i="3"/>
  <c r="AC209" i="3"/>
  <c r="AC208" i="3"/>
  <c r="AC207" i="3"/>
  <c r="AC206" i="3"/>
  <c r="AC205" i="3"/>
  <c r="AC204" i="3"/>
  <c r="AC203" i="3"/>
  <c r="AC202" i="3"/>
  <c r="AC201" i="3"/>
  <c r="AC200" i="3"/>
  <c r="AC199" i="3"/>
  <c r="AC198" i="3"/>
  <c r="AC197" i="3"/>
  <c r="AC196" i="3"/>
  <c r="AC195" i="3"/>
  <c r="AC194" i="3"/>
  <c r="AC193" i="3"/>
  <c r="AC192" i="3"/>
  <c r="AC191" i="3"/>
  <c r="AC190" i="3"/>
  <c r="AC189" i="3"/>
  <c r="AC188" i="3"/>
  <c r="AC187" i="3"/>
  <c r="AC186" i="3"/>
  <c r="AC185" i="3"/>
  <c r="AC184" i="3"/>
  <c r="AC183" i="3"/>
  <c r="AC182" i="3"/>
  <c r="AC181" i="3"/>
  <c r="AC180" i="3"/>
  <c r="AC179" i="3"/>
  <c r="AC178" i="3"/>
  <c r="AC177" i="3"/>
  <c r="AC176" i="3"/>
  <c r="AC175" i="3"/>
  <c r="AC174" i="3"/>
  <c r="AC173" i="3"/>
  <c r="AC172" i="3"/>
  <c r="AC171" i="3"/>
  <c r="AC170" i="3"/>
  <c r="AC169" i="3"/>
  <c r="AC168" i="3"/>
  <c r="AC167" i="3"/>
  <c r="AC166" i="3"/>
  <c r="AC165" i="3"/>
  <c r="AC164" i="3"/>
  <c r="AC163" i="3"/>
  <c r="AC162" i="3"/>
  <c r="AC161" i="3"/>
  <c r="AC160" i="3"/>
  <c r="AC159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6" i="3"/>
  <c r="AC145" i="3"/>
  <c r="AC144" i="3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Y2625" i="6" l="1"/>
  <c r="Y2624" i="6"/>
  <c r="Y2623" i="6"/>
  <c r="Y2622" i="6"/>
  <c r="Y2621" i="6"/>
  <c r="Y2620" i="6"/>
  <c r="Y2619" i="6"/>
  <c r="Y2618" i="6"/>
  <c r="Y2617" i="6"/>
  <c r="Y2616" i="6"/>
  <c r="Y2615" i="6"/>
  <c r="Y2614" i="6"/>
  <c r="Y2613" i="6"/>
  <c r="Y2612" i="6"/>
  <c r="Y2611" i="6"/>
  <c r="Y2610" i="6"/>
  <c r="Y2609" i="6"/>
  <c r="Y2608" i="6"/>
  <c r="Y2607" i="6"/>
  <c r="Y2606" i="6"/>
  <c r="Y2605" i="6"/>
  <c r="Y2604" i="6"/>
  <c r="Y2603" i="6"/>
  <c r="Y2602" i="6"/>
  <c r="Y2601" i="6"/>
  <c r="Y2600" i="6"/>
  <c r="Y2599" i="6"/>
  <c r="Y2598" i="6"/>
  <c r="Y2597" i="6"/>
  <c r="Y2596" i="6"/>
  <c r="Y2595" i="6"/>
  <c r="Y2594" i="6"/>
  <c r="Y2593" i="6"/>
  <c r="Y2592" i="6"/>
  <c r="Y2591" i="6"/>
  <c r="Y2590" i="6"/>
  <c r="Y2589" i="6"/>
  <c r="Y2588" i="6"/>
  <c r="Y2587" i="6"/>
  <c r="Y2586" i="6"/>
  <c r="Y2585" i="6"/>
  <c r="Y2584" i="6"/>
  <c r="Y2583" i="6"/>
  <c r="Y2582" i="6"/>
  <c r="Y2581" i="6"/>
  <c r="Y2580" i="6"/>
  <c r="Y2579" i="6"/>
  <c r="Y2578" i="6"/>
  <c r="Y2577" i="6"/>
  <c r="Y2576" i="6"/>
  <c r="Y2575" i="6"/>
  <c r="Y2574" i="6"/>
  <c r="Y2573" i="6"/>
  <c r="Y2572" i="6"/>
  <c r="Y2571" i="6"/>
  <c r="Y2570" i="6"/>
  <c r="Y2569" i="6"/>
  <c r="Y2568" i="6"/>
  <c r="Y2567" i="6"/>
  <c r="Y2566" i="6"/>
  <c r="Y2565" i="6"/>
  <c r="Y2564" i="6"/>
  <c r="Y2563" i="6"/>
  <c r="Y2562" i="6"/>
  <c r="Y2561" i="6"/>
  <c r="Y2560" i="6"/>
  <c r="Y2559" i="6"/>
  <c r="Y2558" i="6"/>
  <c r="Y2557" i="6"/>
  <c r="Y2556" i="6"/>
  <c r="Y2555" i="6"/>
  <c r="Y2554" i="6"/>
  <c r="Y2553" i="6"/>
  <c r="Y2552" i="6"/>
  <c r="Y2551" i="6"/>
  <c r="Y2550" i="6"/>
  <c r="Y2549" i="6"/>
  <c r="Y2548" i="6"/>
  <c r="Y2547" i="6"/>
  <c r="Y2546" i="6"/>
  <c r="Y2545" i="6"/>
  <c r="Y2544" i="6"/>
  <c r="Y2543" i="6"/>
  <c r="Y2542" i="6"/>
  <c r="Y2541" i="6"/>
  <c r="Y2540" i="6"/>
  <c r="Y2539" i="6"/>
  <c r="Y2538" i="6"/>
  <c r="Y2537" i="6"/>
  <c r="Y2536" i="6"/>
  <c r="Y2535" i="6"/>
  <c r="Y2534" i="6"/>
  <c r="Y2533" i="6"/>
  <c r="Y2532" i="6"/>
  <c r="Y2531" i="6"/>
  <c r="Y2530" i="6"/>
  <c r="Y2529" i="6"/>
  <c r="Y2528" i="6"/>
  <c r="Y2527" i="6"/>
  <c r="Y2526" i="6"/>
  <c r="Y2525" i="6"/>
  <c r="Y2524" i="6"/>
  <c r="Y2523" i="6"/>
  <c r="Y2522" i="6"/>
  <c r="Y2521" i="6"/>
  <c r="Y2520" i="6"/>
  <c r="Y2519" i="6"/>
  <c r="Y2518" i="6"/>
  <c r="Y2517" i="6"/>
  <c r="Y2516" i="6"/>
  <c r="Y2515" i="6"/>
  <c r="Y2514" i="6"/>
  <c r="Y2513" i="6"/>
  <c r="Y2512" i="6"/>
  <c r="Y2511" i="6"/>
  <c r="Y2510" i="6"/>
  <c r="Y2509" i="6"/>
  <c r="Y2508" i="6"/>
  <c r="Y2507" i="6"/>
  <c r="Y2506" i="6"/>
  <c r="Y2505" i="6"/>
  <c r="Y2504" i="6"/>
  <c r="Y2503" i="6"/>
  <c r="Y2502" i="6"/>
  <c r="Y2501" i="6"/>
  <c r="Y2500" i="6"/>
  <c r="Y2499" i="6"/>
  <c r="Y2498" i="6"/>
  <c r="Y2497" i="6"/>
  <c r="Y2496" i="6"/>
  <c r="Y2495" i="6"/>
  <c r="Y2494" i="6"/>
  <c r="Y2493" i="6"/>
  <c r="Y2492" i="6"/>
  <c r="Y2491" i="6"/>
  <c r="Y2490" i="6"/>
  <c r="Y2489" i="6"/>
  <c r="Y2488" i="6"/>
  <c r="Y2487" i="6"/>
  <c r="Y2486" i="6"/>
  <c r="Y2485" i="6"/>
  <c r="Y2484" i="6"/>
  <c r="Y2483" i="6"/>
  <c r="Y2482" i="6"/>
  <c r="Y2481" i="6"/>
  <c r="Y2480" i="6"/>
  <c r="Y2479" i="6"/>
  <c r="Y2478" i="6"/>
  <c r="Y2477" i="6"/>
  <c r="Y2476" i="6"/>
  <c r="Y2475" i="6"/>
  <c r="Y2474" i="6"/>
  <c r="Y2473" i="6"/>
  <c r="Y2472" i="6"/>
  <c r="Y2471" i="6"/>
  <c r="Y2470" i="6"/>
  <c r="Y2469" i="6"/>
  <c r="Y2468" i="6"/>
  <c r="Y2467" i="6"/>
  <c r="Y2466" i="6"/>
  <c r="Y2465" i="6"/>
  <c r="Y2464" i="6"/>
  <c r="Y2463" i="6"/>
  <c r="Y2462" i="6"/>
  <c r="Y2461" i="6"/>
  <c r="Y2460" i="6"/>
  <c r="Y2459" i="6"/>
  <c r="Y2458" i="6"/>
  <c r="Y2457" i="6"/>
  <c r="Y2456" i="6"/>
  <c r="Y2455" i="6"/>
  <c r="Y2454" i="6"/>
  <c r="Y2453" i="6"/>
  <c r="Y2452" i="6"/>
  <c r="Y2451" i="6"/>
  <c r="Y2450" i="6"/>
  <c r="Y2449" i="6"/>
  <c r="Y2448" i="6"/>
  <c r="Y2447" i="6"/>
  <c r="Y2446" i="6"/>
  <c r="Y2445" i="6"/>
  <c r="Y2444" i="6"/>
  <c r="Y2443" i="6"/>
  <c r="Y2442" i="6"/>
  <c r="Y2441" i="6"/>
  <c r="Y2440" i="6"/>
  <c r="Y2439" i="6"/>
  <c r="Y2438" i="6"/>
  <c r="Y2437" i="6"/>
  <c r="Y2436" i="6"/>
  <c r="Y2435" i="6"/>
  <c r="Y2434" i="6"/>
  <c r="Y2433" i="6"/>
  <c r="Y2432" i="6"/>
  <c r="Y2431" i="6"/>
  <c r="Y2430" i="6"/>
  <c r="Y2429" i="6"/>
  <c r="Y2428" i="6"/>
  <c r="Y2427" i="6"/>
  <c r="Y2426" i="6"/>
  <c r="Y2425" i="6"/>
  <c r="Y2424" i="6"/>
  <c r="Y2423" i="6"/>
  <c r="Y2422" i="6"/>
  <c r="Y2421" i="6"/>
  <c r="Y2420" i="6"/>
  <c r="Y2419" i="6"/>
  <c r="Y2418" i="6"/>
  <c r="Y2417" i="6"/>
  <c r="Y2416" i="6"/>
  <c r="Y2415" i="6"/>
  <c r="Y2414" i="6"/>
  <c r="Y2413" i="6"/>
  <c r="Y2412" i="6"/>
  <c r="Y2411" i="6"/>
  <c r="Y2410" i="6"/>
  <c r="Y2409" i="6"/>
  <c r="Y2408" i="6"/>
  <c r="Y2407" i="6"/>
  <c r="Y2406" i="6"/>
  <c r="Y2405" i="6"/>
  <c r="Y2404" i="6"/>
  <c r="Y2403" i="6"/>
  <c r="Y2402" i="6"/>
  <c r="Y2401" i="6"/>
  <c r="Y2400" i="6"/>
  <c r="Y2399" i="6"/>
  <c r="Y2398" i="6"/>
  <c r="Y2397" i="6"/>
  <c r="Y2396" i="6"/>
  <c r="Y2395" i="6"/>
  <c r="Y2394" i="6"/>
  <c r="Y2393" i="6"/>
  <c r="Y2392" i="6"/>
  <c r="Y2391" i="6"/>
  <c r="Y2390" i="6"/>
  <c r="Y2389" i="6"/>
  <c r="Y2388" i="6"/>
  <c r="Y2387" i="6"/>
  <c r="Y2386" i="6"/>
  <c r="Y2385" i="6"/>
  <c r="Y2384" i="6"/>
  <c r="Y2383" i="6"/>
  <c r="Y2382" i="6"/>
  <c r="Y2381" i="6"/>
  <c r="Y2380" i="6"/>
  <c r="Y2379" i="6"/>
  <c r="Y2378" i="6"/>
  <c r="Y2377" i="6"/>
  <c r="Y2376" i="6"/>
  <c r="Y2375" i="6"/>
  <c r="Y2374" i="6"/>
  <c r="Y2373" i="6"/>
  <c r="Y2372" i="6"/>
  <c r="Y2371" i="6"/>
  <c r="Y2370" i="6"/>
  <c r="Y2369" i="6"/>
  <c r="Y2368" i="6"/>
  <c r="Y2367" i="6"/>
  <c r="Y2366" i="6"/>
  <c r="Y2365" i="6"/>
  <c r="Y2364" i="6"/>
  <c r="Y2363" i="6"/>
  <c r="Y2362" i="6"/>
  <c r="Y2361" i="6"/>
  <c r="Y2360" i="6"/>
  <c r="Y2359" i="6"/>
  <c r="Y2358" i="6"/>
  <c r="Y2357" i="6"/>
  <c r="Y2356" i="6"/>
  <c r="Y2355" i="6"/>
  <c r="Y2354" i="6"/>
  <c r="Y2353" i="6"/>
  <c r="Y2352" i="6"/>
  <c r="Y2351" i="6"/>
  <c r="Y2350" i="6"/>
  <c r="Y2349" i="6"/>
  <c r="Y2348" i="6"/>
  <c r="Y2347" i="6"/>
  <c r="Y2346" i="6"/>
  <c r="Y2345" i="6"/>
  <c r="Y2344" i="6"/>
  <c r="Y2343" i="6"/>
  <c r="Y2342" i="6"/>
  <c r="Y2341" i="6"/>
  <c r="Y2340" i="6"/>
  <c r="Y2339" i="6"/>
  <c r="Y2338" i="6"/>
  <c r="Y2337" i="6"/>
  <c r="Y2336" i="6"/>
  <c r="Y2335" i="6"/>
  <c r="Y2334" i="6"/>
  <c r="Y2333" i="6"/>
  <c r="Y2332" i="6"/>
  <c r="Y2331" i="6"/>
  <c r="Y2330" i="6"/>
  <c r="Y2329" i="6"/>
  <c r="Y2328" i="6"/>
  <c r="Y2327" i="6"/>
  <c r="Y2326" i="6"/>
  <c r="Y2325" i="6"/>
  <c r="Y2324" i="6"/>
  <c r="Y2323" i="6"/>
  <c r="Y2322" i="6"/>
  <c r="Y2321" i="6"/>
  <c r="Y2320" i="6"/>
  <c r="Y2319" i="6"/>
  <c r="Y2318" i="6"/>
  <c r="Y2317" i="6"/>
  <c r="Y2316" i="6"/>
  <c r="Y2315" i="6"/>
  <c r="Y2314" i="6"/>
  <c r="Y2313" i="6"/>
  <c r="Y2312" i="6"/>
  <c r="Y2311" i="6"/>
  <c r="Y2310" i="6"/>
  <c r="Y2309" i="6"/>
  <c r="Y2308" i="6"/>
  <c r="Y2307" i="6"/>
  <c r="Y2306" i="6"/>
  <c r="Y2305" i="6"/>
  <c r="Y2304" i="6"/>
  <c r="Y2303" i="6"/>
  <c r="Y2302" i="6"/>
  <c r="Y2301" i="6"/>
  <c r="Y2300" i="6"/>
  <c r="Y2299" i="6"/>
  <c r="Y2298" i="6"/>
  <c r="Y2297" i="6"/>
  <c r="Y2296" i="6"/>
  <c r="Y2295" i="6"/>
  <c r="Y2294" i="6"/>
  <c r="Y2293" i="6"/>
  <c r="Y2292" i="6"/>
  <c r="Y2291" i="6"/>
  <c r="Y2290" i="6"/>
  <c r="Y2289" i="6"/>
  <c r="Y2288" i="6"/>
  <c r="Y2287" i="6"/>
  <c r="Y2286" i="6"/>
  <c r="Y2285" i="6"/>
  <c r="Y2284" i="6"/>
  <c r="Y2283" i="6"/>
  <c r="Y2282" i="6"/>
  <c r="Y2281" i="6"/>
  <c r="Y2280" i="6"/>
  <c r="Y2279" i="6"/>
  <c r="Y2278" i="6"/>
  <c r="Y2277" i="6"/>
  <c r="Y2276" i="6"/>
  <c r="Y2275" i="6"/>
  <c r="Y2274" i="6"/>
  <c r="Y2273" i="6"/>
  <c r="Y2272" i="6"/>
  <c r="Y2271" i="6"/>
  <c r="Y2270" i="6"/>
  <c r="Y2269" i="6"/>
  <c r="Y2268" i="6"/>
  <c r="Y2267" i="6"/>
  <c r="Y2266" i="6"/>
  <c r="Y2265" i="6"/>
  <c r="Y2264" i="6"/>
  <c r="Y2263" i="6"/>
  <c r="Y2262" i="6"/>
  <c r="Y2261" i="6"/>
  <c r="Y2260" i="6"/>
  <c r="Y2259" i="6"/>
  <c r="Y2258" i="6"/>
  <c r="Y2257" i="6"/>
  <c r="Y2256" i="6"/>
  <c r="Y2255" i="6"/>
  <c r="Y2254" i="6"/>
  <c r="Y2253" i="6"/>
  <c r="Y2252" i="6"/>
  <c r="Y2251" i="6"/>
  <c r="Y2250" i="6"/>
  <c r="Y2249" i="6"/>
  <c r="Y2248" i="6"/>
  <c r="Y2247" i="6"/>
  <c r="Y2246" i="6"/>
  <c r="Y2245" i="6"/>
  <c r="Y2244" i="6"/>
  <c r="Y2243" i="6"/>
  <c r="Y2242" i="6"/>
  <c r="Y2241" i="6"/>
  <c r="Y2240" i="6"/>
  <c r="Y2239" i="6"/>
  <c r="Y2238" i="6"/>
  <c r="Y2237" i="6"/>
  <c r="Y2236" i="6"/>
  <c r="Y2235" i="6"/>
  <c r="Y2234" i="6"/>
  <c r="Y2233" i="6"/>
  <c r="Y2232" i="6"/>
  <c r="Y2231" i="6"/>
  <c r="Y2230" i="6"/>
  <c r="Y2229" i="6"/>
  <c r="Y2228" i="6"/>
  <c r="Y2227" i="6"/>
  <c r="Y2226" i="6"/>
  <c r="Y2225" i="6"/>
  <c r="Y2224" i="6"/>
  <c r="Y2223" i="6"/>
  <c r="Y2222" i="6"/>
  <c r="Y2221" i="6"/>
  <c r="Y2220" i="6"/>
  <c r="Y2219" i="6"/>
  <c r="Y2218" i="6"/>
  <c r="Y2217" i="6"/>
  <c r="Y2216" i="6"/>
  <c r="Y2215" i="6"/>
  <c r="Y2214" i="6"/>
  <c r="Y2213" i="6"/>
  <c r="Y2212" i="6"/>
  <c r="Y2211" i="6"/>
  <c r="Y2210" i="6"/>
  <c r="Y2209" i="6"/>
  <c r="Y2208" i="6"/>
  <c r="Y2207" i="6"/>
  <c r="Y2206" i="6"/>
  <c r="Y2205" i="6"/>
  <c r="Y2204" i="6"/>
  <c r="Y2203" i="6"/>
  <c r="Y2202" i="6"/>
  <c r="Y2201" i="6"/>
  <c r="Y2200" i="6"/>
  <c r="Y2199" i="6"/>
  <c r="Y2198" i="6"/>
  <c r="Y2197" i="6"/>
  <c r="Y2196" i="6"/>
  <c r="Y2195" i="6"/>
  <c r="Y2194" i="6"/>
  <c r="Y2193" i="6"/>
  <c r="Y2192" i="6"/>
  <c r="Y2191" i="6"/>
  <c r="Y2190" i="6"/>
  <c r="Y2189" i="6"/>
  <c r="Y2188" i="6"/>
  <c r="Y2187" i="6"/>
  <c r="Y2186" i="6"/>
  <c r="Y2185" i="6"/>
  <c r="Y2184" i="6"/>
  <c r="Y2183" i="6"/>
  <c r="Y2182" i="6"/>
  <c r="Y2181" i="6"/>
  <c r="Y2180" i="6"/>
  <c r="Y2179" i="6"/>
  <c r="Y2178" i="6"/>
  <c r="Y2177" i="6"/>
  <c r="Y2176" i="6"/>
  <c r="Y2175" i="6"/>
  <c r="Y2174" i="6"/>
  <c r="Y2173" i="6"/>
  <c r="Y2172" i="6"/>
  <c r="Y2171" i="6"/>
  <c r="Y2170" i="6"/>
  <c r="Y2169" i="6"/>
  <c r="Y2168" i="6"/>
  <c r="Y2167" i="6"/>
  <c r="Y2166" i="6"/>
  <c r="Y2165" i="6"/>
  <c r="Y2164" i="6"/>
  <c r="Y2163" i="6"/>
  <c r="Y2162" i="6"/>
  <c r="Y2161" i="6"/>
  <c r="Y2160" i="6"/>
  <c r="Y2159" i="6"/>
  <c r="Y2158" i="6"/>
  <c r="Y2157" i="6"/>
  <c r="Y2156" i="6"/>
  <c r="Y2155" i="6"/>
  <c r="Y2154" i="6"/>
  <c r="Y2153" i="6"/>
  <c r="Y2152" i="6"/>
  <c r="Y2151" i="6"/>
  <c r="Y2150" i="6"/>
  <c r="Y2149" i="6"/>
  <c r="Y2148" i="6"/>
  <c r="Y2147" i="6"/>
  <c r="Y2146" i="6"/>
  <c r="Y2145" i="6"/>
  <c r="Y2144" i="6"/>
  <c r="Y2143" i="6"/>
  <c r="Y2142" i="6"/>
  <c r="Y2141" i="6"/>
  <c r="Y2140" i="6"/>
  <c r="Y2139" i="6"/>
  <c r="Y2138" i="6"/>
  <c r="Y2137" i="6"/>
  <c r="Y2136" i="6"/>
  <c r="Y2135" i="6"/>
  <c r="Y2134" i="6"/>
  <c r="Y2133" i="6"/>
  <c r="Y2132" i="6"/>
  <c r="Y2131" i="6"/>
  <c r="Y2130" i="6"/>
  <c r="Y2129" i="6"/>
  <c r="Y2128" i="6"/>
  <c r="Y2127" i="6"/>
  <c r="Y2126" i="6"/>
  <c r="Y2125" i="6"/>
  <c r="Y2124" i="6"/>
  <c r="Y2123" i="6"/>
  <c r="Y2122" i="6"/>
  <c r="Y2121" i="6"/>
  <c r="Y2120" i="6"/>
  <c r="Y2119" i="6"/>
  <c r="Y2118" i="6"/>
  <c r="Y2117" i="6"/>
  <c r="Y2116" i="6"/>
  <c r="Y2115" i="6"/>
  <c r="Y2114" i="6"/>
  <c r="Y2113" i="6"/>
  <c r="Y2112" i="6"/>
  <c r="Y2111" i="6"/>
  <c r="Y2110" i="6"/>
  <c r="Y2109" i="6"/>
  <c r="Y2108" i="6"/>
  <c r="Y2107" i="6"/>
  <c r="Y2106" i="6"/>
  <c r="Y2105" i="6"/>
  <c r="Y2104" i="6"/>
  <c r="Y2103" i="6"/>
  <c r="Y2102" i="6"/>
  <c r="Y2101" i="6"/>
  <c r="Y2100" i="6"/>
  <c r="Y2099" i="6"/>
  <c r="Y2098" i="6"/>
  <c r="Y2097" i="6"/>
  <c r="Y2096" i="6"/>
  <c r="Y2095" i="6"/>
  <c r="Y2094" i="6"/>
  <c r="Y2093" i="6"/>
  <c r="Y2092" i="6"/>
  <c r="Y2091" i="6"/>
  <c r="Y2090" i="6"/>
  <c r="Y2089" i="6"/>
  <c r="Y2088" i="6"/>
  <c r="Y2087" i="6"/>
  <c r="Y2086" i="6"/>
  <c r="Y2085" i="6"/>
  <c r="Y2084" i="6"/>
  <c r="Y2083" i="6"/>
  <c r="Y2082" i="6"/>
  <c r="Y2081" i="6"/>
  <c r="Y2080" i="6"/>
  <c r="Y2079" i="6"/>
  <c r="Y2078" i="6"/>
  <c r="Y2077" i="6"/>
  <c r="Y2076" i="6"/>
  <c r="Y2075" i="6"/>
  <c r="Y2074" i="6"/>
  <c r="Y2073" i="6"/>
  <c r="Y2072" i="6"/>
  <c r="Y2071" i="6"/>
  <c r="Y2070" i="6"/>
  <c r="Y2069" i="6"/>
  <c r="Y2068" i="6"/>
  <c r="Y2067" i="6"/>
  <c r="Y2066" i="6"/>
  <c r="Y2065" i="6"/>
  <c r="Y2064" i="6"/>
  <c r="Y2063" i="6"/>
  <c r="Y2062" i="6"/>
  <c r="Y2061" i="6"/>
  <c r="Y2060" i="6"/>
  <c r="Y2059" i="6"/>
  <c r="Y2058" i="6"/>
  <c r="Y2057" i="6"/>
  <c r="Y2056" i="6"/>
  <c r="Y2055" i="6"/>
  <c r="Y2054" i="6"/>
  <c r="Y2053" i="6"/>
  <c r="Y2052" i="6"/>
  <c r="Y2051" i="6"/>
  <c r="Y2050" i="6"/>
  <c r="Y2049" i="6"/>
  <c r="Y2048" i="6"/>
  <c r="Y2047" i="6"/>
  <c r="Y2046" i="6"/>
  <c r="Y2045" i="6"/>
  <c r="Y2044" i="6"/>
  <c r="Y2043" i="6"/>
  <c r="Y2042" i="6"/>
  <c r="Y2041" i="6"/>
  <c r="Y2040" i="6"/>
  <c r="Y2039" i="6"/>
  <c r="Y2038" i="6"/>
  <c r="Y2037" i="6"/>
  <c r="Y2036" i="6"/>
  <c r="Y2035" i="6"/>
  <c r="Y2034" i="6"/>
  <c r="Y2033" i="6"/>
  <c r="Y2032" i="6"/>
  <c r="Y2031" i="6"/>
  <c r="Y2030" i="6"/>
  <c r="Y2029" i="6"/>
  <c r="Y2028" i="6"/>
  <c r="Y2027" i="6"/>
  <c r="Y2026" i="6"/>
  <c r="Y2025" i="6"/>
  <c r="Y2024" i="6"/>
  <c r="Y2023" i="6"/>
  <c r="Y2022" i="6"/>
  <c r="Y2021" i="6"/>
  <c r="Y2020" i="6"/>
  <c r="Y2019" i="6"/>
  <c r="Y2018" i="6"/>
  <c r="Y2017" i="6"/>
  <c r="Y2016" i="6"/>
  <c r="Y2015" i="6"/>
  <c r="Y2014" i="6"/>
  <c r="Y2013" i="6"/>
  <c r="Y2012" i="6"/>
  <c r="Y2011" i="6"/>
  <c r="Y2010" i="6"/>
  <c r="Y2009" i="6"/>
  <c r="Y2008" i="6"/>
  <c r="Y2007" i="6"/>
  <c r="Y2006" i="6"/>
  <c r="Y2005" i="6"/>
  <c r="Y2004" i="6"/>
  <c r="Y2003" i="6"/>
  <c r="Y2002" i="6"/>
  <c r="Y2001" i="6"/>
  <c r="Y2000" i="6"/>
  <c r="Y1999" i="6"/>
  <c r="Y1998" i="6"/>
  <c r="Y1997" i="6"/>
  <c r="Y1996" i="6"/>
  <c r="Y1995" i="6"/>
  <c r="Y1994" i="6"/>
  <c r="Y1993" i="6"/>
  <c r="Y1992" i="6"/>
  <c r="Y1991" i="6"/>
  <c r="Y1990" i="6"/>
  <c r="Y1989" i="6"/>
  <c r="Y1988" i="6"/>
  <c r="Y1987" i="6"/>
  <c r="Y1986" i="6"/>
  <c r="Y1985" i="6"/>
  <c r="Y1984" i="6"/>
  <c r="Y1983" i="6"/>
  <c r="Y1982" i="6"/>
  <c r="Y1981" i="6"/>
  <c r="Y1980" i="6"/>
  <c r="Y1979" i="6"/>
  <c r="Y1978" i="6"/>
  <c r="Y1977" i="6"/>
  <c r="Y1976" i="6"/>
  <c r="Y1975" i="6"/>
  <c r="Y1974" i="6"/>
  <c r="Y1973" i="6"/>
  <c r="Y1972" i="6"/>
  <c r="Y1971" i="6"/>
  <c r="Y1970" i="6"/>
  <c r="Y1969" i="6"/>
  <c r="Y1968" i="6"/>
  <c r="Y1967" i="6"/>
  <c r="Y1966" i="6"/>
  <c r="Y1965" i="6"/>
  <c r="Y1964" i="6"/>
  <c r="Y1963" i="6"/>
  <c r="Y1962" i="6"/>
  <c r="Y1961" i="6"/>
  <c r="Y1960" i="6"/>
  <c r="Y1959" i="6"/>
  <c r="Y1958" i="6"/>
  <c r="Y1957" i="6"/>
  <c r="Y1956" i="6"/>
  <c r="Y1955" i="6"/>
  <c r="Y1954" i="6"/>
  <c r="Y1953" i="6"/>
  <c r="Y1952" i="6"/>
  <c r="Y1951" i="6"/>
  <c r="Y1950" i="6"/>
  <c r="Y1949" i="6"/>
  <c r="Y1948" i="6"/>
  <c r="Y1947" i="6"/>
  <c r="Y1946" i="6"/>
  <c r="Y1945" i="6"/>
  <c r="Y1944" i="6"/>
  <c r="Y1943" i="6"/>
  <c r="Y1942" i="6"/>
  <c r="Y1941" i="6"/>
  <c r="Y1940" i="6"/>
  <c r="Y1939" i="6"/>
  <c r="Y1938" i="6"/>
  <c r="Y1937" i="6"/>
  <c r="Y1936" i="6"/>
  <c r="Y1935" i="6"/>
  <c r="Y1934" i="6"/>
  <c r="Y1933" i="6"/>
  <c r="Y1932" i="6"/>
  <c r="Y1931" i="6"/>
  <c r="Y1930" i="6"/>
  <c r="Y1929" i="6"/>
  <c r="Y1928" i="6"/>
  <c r="Y1927" i="6"/>
  <c r="Y1926" i="6"/>
  <c r="Y1925" i="6"/>
  <c r="Y1924" i="6"/>
  <c r="Y1923" i="6"/>
  <c r="Y1922" i="6"/>
  <c r="Y1921" i="6"/>
  <c r="Y1920" i="6"/>
  <c r="Y1919" i="6"/>
  <c r="Y1918" i="6"/>
  <c r="Y1917" i="6"/>
  <c r="Y1916" i="6"/>
  <c r="Y1915" i="6"/>
  <c r="Y1914" i="6"/>
  <c r="Y1913" i="6"/>
  <c r="Y1912" i="6"/>
  <c r="Y1911" i="6"/>
  <c r="Y1910" i="6"/>
  <c r="Y1909" i="6"/>
  <c r="Y1908" i="6"/>
  <c r="Y1907" i="6"/>
  <c r="Y1906" i="6"/>
  <c r="Y1905" i="6"/>
  <c r="Y1904" i="6"/>
  <c r="Y1903" i="6"/>
  <c r="Y1902" i="6"/>
  <c r="Y1901" i="6"/>
  <c r="Y1900" i="6"/>
  <c r="Y1899" i="6"/>
  <c r="Y1898" i="6"/>
  <c r="Y1897" i="6"/>
  <c r="Y1896" i="6"/>
  <c r="Y1895" i="6"/>
  <c r="Y1894" i="6"/>
  <c r="Y1893" i="6"/>
  <c r="Y1892" i="6"/>
  <c r="Y1891" i="6"/>
  <c r="Y1890" i="6"/>
  <c r="Y1889" i="6"/>
  <c r="Y1888" i="6"/>
  <c r="Y1887" i="6"/>
  <c r="Y1886" i="6"/>
  <c r="Y1885" i="6"/>
  <c r="Y1884" i="6"/>
  <c r="Y1883" i="6"/>
  <c r="Y1882" i="6"/>
  <c r="Y1881" i="6"/>
  <c r="Y1880" i="6"/>
  <c r="Y1879" i="6"/>
  <c r="Y1878" i="6"/>
  <c r="Y1877" i="6"/>
  <c r="Y1876" i="6"/>
  <c r="Y1875" i="6"/>
  <c r="Y1874" i="6"/>
  <c r="Y1873" i="6"/>
  <c r="Y1872" i="6"/>
  <c r="Y1871" i="6"/>
  <c r="Y1870" i="6"/>
  <c r="Y1869" i="6"/>
  <c r="Y1868" i="6"/>
  <c r="Y1867" i="6"/>
  <c r="Y1866" i="6"/>
  <c r="Y1865" i="6"/>
  <c r="Y1864" i="6"/>
  <c r="Y1863" i="6"/>
  <c r="Y1862" i="6"/>
  <c r="Y1861" i="6"/>
  <c r="Y1860" i="6"/>
  <c r="Y1859" i="6"/>
  <c r="Y1858" i="6"/>
  <c r="Y1857" i="6"/>
  <c r="Y1856" i="6"/>
  <c r="Y1855" i="6"/>
  <c r="Y1854" i="6"/>
  <c r="Y1853" i="6"/>
  <c r="Y1852" i="6"/>
  <c r="Y1851" i="6"/>
  <c r="Y1850" i="6"/>
  <c r="Y1849" i="6"/>
  <c r="Y1848" i="6"/>
  <c r="Y1847" i="6"/>
  <c r="Y1846" i="6"/>
  <c r="Y1845" i="6"/>
  <c r="Y1844" i="6"/>
  <c r="Y1843" i="6"/>
  <c r="Y1842" i="6"/>
  <c r="Y1841" i="6"/>
  <c r="Y1840" i="6"/>
  <c r="Y1839" i="6"/>
  <c r="Y1838" i="6"/>
  <c r="Y1837" i="6"/>
  <c r="Y1836" i="6"/>
  <c r="Y1835" i="6"/>
  <c r="Y1834" i="6"/>
  <c r="Y1833" i="6"/>
  <c r="Y1832" i="6"/>
  <c r="Y1831" i="6"/>
  <c r="Y1830" i="6"/>
  <c r="Y1829" i="6"/>
  <c r="Y1828" i="6"/>
  <c r="Y1827" i="6"/>
  <c r="Y1826" i="6"/>
  <c r="Y1825" i="6"/>
  <c r="Y1824" i="6"/>
  <c r="Y1823" i="6"/>
  <c r="Y1822" i="6"/>
  <c r="Y1821" i="6"/>
  <c r="Y1820" i="6"/>
  <c r="Y1819" i="6"/>
  <c r="Y1818" i="6"/>
  <c r="Y1817" i="6"/>
  <c r="Y1816" i="6"/>
  <c r="Y1815" i="6"/>
  <c r="Y1814" i="6"/>
  <c r="Y1813" i="6"/>
  <c r="Y1812" i="6"/>
  <c r="Y1811" i="6"/>
  <c r="Y1810" i="6"/>
  <c r="Y1809" i="6"/>
  <c r="Y1808" i="6"/>
  <c r="Y1807" i="6"/>
  <c r="Y1806" i="6"/>
  <c r="Y1805" i="6"/>
  <c r="Y1804" i="6"/>
  <c r="Y1803" i="6"/>
  <c r="Y1802" i="6"/>
  <c r="Y1801" i="6"/>
  <c r="Y1800" i="6"/>
  <c r="Y1799" i="6"/>
  <c r="Y1798" i="6"/>
  <c r="Y1797" i="6"/>
  <c r="Y1796" i="6"/>
  <c r="Y1795" i="6"/>
  <c r="Y1794" i="6"/>
  <c r="Y1793" i="6"/>
  <c r="Y1792" i="6"/>
  <c r="Y1791" i="6"/>
  <c r="Y1790" i="6"/>
  <c r="Y1789" i="6"/>
  <c r="Y1788" i="6"/>
  <c r="Y1787" i="6"/>
  <c r="Y1786" i="6"/>
  <c r="Y1785" i="6"/>
  <c r="Y1784" i="6"/>
  <c r="Y1783" i="6"/>
  <c r="Y1782" i="6"/>
  <c r="Y1781" i="6"/>
  <c r="Y1780" i="6"/>
  <c r="Y1779" i="6"/>
  <c r="Y1778" i="6"/>
  <c r="Y1777" i="6"/>
  <c r="Y1776" i="6"/>
  <c r="Y1775" i="6"/>
  <c r="Y1774" i="6"/>
  <c r="Y1773" i="6"/>
  <c r="Y1772" i="6"/>
  <c r="Y1771" i="6"/>
  <c r="Y1770" i="6"/>
  <c r="Y1769" i="6"/>
  <c r="Y1768" i="6"/>
  <c r="Y1767" i="6"/>
  <c r="Y1766" i="6"/>
  <c r="Y1765" i="6"/>
  <c r="Y1764" i="6"/>
  <c r="Y1763" i="6"/>
  <c r="Y1762" i="6"/>
  <c r="Y1761" i="6"/>
  <c r="Y1760" i="6"/>
  <c r="Y1759" i="6"/>
  <c r="Y1758" i="6"/>
  <c r="Y1757" i="6"/>
  <c r="Y1756" i="6"/>
  <c r="Y1755" i="6"/>
  <c r="Y1754" i="6"/>
  <c r="Y1753" i="6"/>
  <c r="Y1752" i="6"/>
  <c r="Y1751" i="6"/>
  <c r="Y1750" i="6"/>
  <c r="Y1749" i="6"/>
  <c r="Y1748" i="6"/>
  <c r="Y1747" i="6"/>
  <c r="Y1746" i="6"/>
  <c r="Y1745" i="6"/>
  <c r="Y1744" i="6"/>
  <c r="Y1743" i="6"/>
  <c r="Y1742" i="6"/>
  <c r="Y1741" i="6"/>
  <c r="Y1740" i="6"/>
  <c r="Y1739" i="6"/>
  <c r="Y1738" i="6"/>
  <c r="Y1737" i="6"/>
  <c r="Y1736" i="6"/>
  <c r="Y1735" i="6"/>
  <c r="Y1734" i="6"/>
  <c r="Y1733" i="6"/>
  <c r="Y1732" i="6"/>
  <c r="Y1731" i="6"/>
  <c r="Y1730" i="6"/>
  <c r="Y1729" i="6"/>
  <c r="Y1728" i="6"/>
  <c r="Y1727" i="6"/>
  <c r="Y1726" i="6"/>
  <c r="Y1725" i="6"/>
  <c r="Y1724" i="6"/>
  <c r="Y1723" i="6"/>
  <c r="Y1722" i="6"/>
  <c r="Y1721" i="6"/>
  <c r="Y1720" i="6"/>
  <c r="Y1719" i="6"/>
  <c r="Y1718" i="6"/>
  <c r="Y1717" i="6"/>
  <c r="Y1716" i="6"/>
  <c r="Y1715" i="6"/>
  <c r="Y1714" i="6"/>
  <c r="Y1713" i="6"/>
  <c r="Y1712" i="6"/>
  <c r="Y1711" i="6"/>
  <c r="Y1710" i="6"/>
  <c r="Y1709" i="6"/>
  <c r="Y1708" i="6"/>
  <c r="Y1707" i="6"/>
  <c r="Y1706" i="6"/>
  <c r="Y1705" i="6"/>
  <c r="Y1704" i="6"/>
  <c r="Y1703" i="6"/>
  <c r="Y1702" i="6"/>
  <c r="Y1701" i="6"/>
  <c r="Y1700" i="6"/>
  <c r="Y1699" i="6"/>
  <c r="Y1698" i="6"/>
  <c r="Y1697" i="6"/>
  <c r="Y1696" i="6"/>
  <c r="Y1695" i="6"/>
  <c r="Y1694" i="6"/>
  <c r="Y1693" i="6"/>
  <c r="Y1692" i="6"/>
  <c r="Y1691" i="6"/>
  <c r="Y1690" i="6"/>
  <c r="Y1689" i="6"/>
  <c r="Y1688" i="6"/>
  <c r="Y1687" i="6"/>
  <c r="Y1686" i="6"/>
  <c r="Y1685" i="6"/>
  <c r="Y1684" i="6"/>
  <c r="Y1683" i="6"/>
  <c r="Y1682" i="6"/>
  <c r="Y1681" i="6"/>
  <c r="Y1680" i="6"/>
  <c r="Y1679" i="6"/>
  <c r="Y1678" i="6"/>
  <c r="Y1677" i="6"/>
  <c r="Y1676" i="6"/>
  <c r="Y1675" i="6"/>
  <c r="Y1674" i="6"/>
  <c r="Y1673" i="6"/>
  <c r="Y1672" i="6"/>
  <c r="Y1671" i="6"/>
  <c r="Y1670" i="6"/>
  <c r="Y1669" i="6"/>
  <c r="Y1668" i="6"/>
  <c r="Y1667" i="6"/>
  <c r="Y1666" i="6"/>
  <c r="Y1665" i="6"/>
  <c r="Y1664" i="6"/>
  <c r="Y1663" i="6"/>
  <c r="Y1662" i="6"/>
  <c r="Y1661" i="6"/>
  <c r="Y1660" i="6"/>
  <c r="Y1659" i="6"/>
  <c r="Y1658" i="6"/>
  <c r="Y1657" i="6"/>
  <c r="Y1656" i="6"/>
  <c r="Y1655" i="6"/>
  <c r="Y1654" i="6"/>
  <c r="Y1653" i="6"/>
  <c r="Y1652" i="6"/>
  <c r="Y1651" i="6"/>
  <c r="Y1650" i="6"/>
  <c r="Y1649" i="6"/>
  <c r="Y1648" i="6"/>
  <c r="Y1647" i="6"/>
  <c r="Y1646" i="6"/>
  <c r="Y1645" i="6"/>
  <c r="Y1644" i="6"/>
  <c r="Y1643" i="6"/>
  <c r="Y1642" i="6"/>
  <c r="Y1641" i="6"/>
  <c r="Y1640" i="6"/>
  <c r="Y1639" i="6"/>
  <c r="Y1638" i="6"/>
  <c r="Y1637" i="6"/>
  <c r="Y1636" i="6"/>
  <c r="Y1635" i="6"/>
  <c r="Y1634" i="6"/>
  <c r="Y1633" i="6"/>
  <c r="Y1632" i="6"/>
  <c r="Y1631" i="6"/>
  <c r="Y1630" i="6"/>
  <c r="Y1629" i="6"/>
  <c r="Y1628" i="6"/>
  <c r="Y1627" i="6"/>
  <c r="Y1626" i="6"/>
  <c r="Y1625" i="6"/>
  <c r="Y1624" i="6"/>
  <c r="Y1623" i="6"/>
  <c r="Y1622" i="6"/>
  <c r="Y1621" i="6"/>
  <c r="Y1620" i="6"/>
  <c r="Y1619" i="6"/>
  <c r="Y1618" i="6"/>
  <c r="Y1617" i="6"/>
  <c r="Y1616" i="6"/>
  <c r="Y1615" i="6"/>
  <c r="Y1614" i="6"/>
  <c r="Y1613" i="6"/>
  <c r="Y1612" i="6"/>
  <c r="Y1611" i="6"/>
  <c r="Y1610" i="6"/>
  <c r="Y1609" i="6"/>
  <c r="Y1608" i="6"/>
  <c r="Y1607" i="6"/>
  <c r="Y1606" i="6"/>
  <c r="Y1605" i="6"/>
  <c r="Y1604" i="6"/>
  <c r="Y1603" i="6"/>
  <c r="Y1602" i="6"/>
  <c r="Y1601" i="6"/>
  <c r="Y1600" i="6"/>
  <c r="Y1599" i="6"/>
  <c r="Y1598" i="6"/>
  <c r="Y1597" i="6"/>
  <c r="Y1596" i="6"/>
  <c r="Y1595" i="6"/>
  <c r="Y1594" i="6"/>
  <c r="Y1593" i="6"/>
  <c r="Y1592" i="6"/>
  <c r="Y1591" i="6"/>
  <c r="Y1590" i="6"/>
  <c r="Y1589" i="6"/>
  <c r="Y1588" i="6"/>
  <c r="Y1587" i="6"/>
  <c r="Y1586" i="6"/>
  <c r="Y1585" i="6"/>
  <c r="Y1584" i="6"/>
  <c r="Y1583" i="6"/>
  <c r="Y1582" i="6"/>
  <c r="Y1581" i="6"/>
  <c r="Y1580" i="6"/>
  <c r="Y1579" i="6"/>
  <c r="Y1578" i="6"/>
  <c r="Y1577" i="6"/>
  <c r="Y1576" i="6"/>
  <c r="Y1575" i="6"/>
  <c r="Y1574" i="6"/>
  <c r="Y1573" i="6"/>
  <c r="Y1572" i="6"/>
  <c r="Y1571" i="6"/>
  <c r="Y1570" i="6"/>
  <c r="Y1569" i="6"/>
  <c r="Y1568" i="6"/>
  <c r="Y1567" i="6"/>
  <c r="Y1566" i="6"/>
  <c r="Y1565" i="6"/>
  <c r="Y1564" i="6"/>
  <c r="Y1563" i="6"/>
  <c r="Y1562" i="6"/>
  <c r="Y1561" i="6"/>
  <c r="Y1560" i="6"/>
  <c r="Y1559" i="6"/>
  <c r="Y1558" i="6"/>
  <c r="Y1557" i="6"/>
  <c r="Y1556" i="6"/>
  <c r="Y1555" i="6"/>
  <c r="Y1554" i="6"/>
  <c r="Y1553" i="6"/>
  <c r="Y1552" i="6"/>
  <c r="Y1551" i="6"/>
  <c r="Y1550" i="6"/>
  <c r="Y1549" i="6"/>
  <c r="Y1548" i="6"/>
  <c r="Y1547" i="6"/>
  <c r="Y1546" i="6"/>
  <c r="Y1545" i="6"/>
  <c r="Y1544" i="6"/>
  <c r="Y1543" i="6"/>
  <c r="Y1542" i="6"/>
  <c r="Y1541" i="6"/>
  <c r="Y1540" i="6"/>
  <c r="Y1539" i="6"/>
  <c r="Y1538" i="6"/>
  <c r="Y1537" i="6"/>
  <c r="Y1536" i="6"/>
  <c r="Y1535" i="6"/>
  <c r="Y1534" i="6"/>
  <c r="Y1533" i="6"/>
  <c r="Y1532" i="6"/>
  <c r="Y1531" i="6"/>
  <c r="Y1530" i="6"/>
  <c r="Y1529" i="6"/>
  <c r="Y1528" i="6"/>
  <c r="Y1527" i="6"/>
  <c r="Y1526" i="6"/>
  <c r="Y1525" i="6"/>
  <c r="Y1524" i="6"/>
  <c r="Y1523" i="6"/>
  <c r="Y1522" i="6"/>
  <c r="Y1521" i="6"/>
  <c r="Y1520" i="6"/>
  <c r="Y1519" i="6"/>
  <c r="Y1518" i="6"/>
  <c r="Y1517" i="6"/>
  <c r="Y1516" i="6"/>
  <c r="Y1515" i="6"/>
  <c r="Y1514" i="6"/>
  <c r="Y1513" i="6"/>
  <c r="Y1512" i="6"/>
  <c r="Y1511" i="6"/>
  <c r="Y1510" i="6"/>
  <c r="Y1509" i="6"/>
  <c r="Y1508" i="6"/>
  <c r="Y1507" i="6"/>
  <c r="Y1506" i="6"/>
  <c r="Y1505" i="6"/>
  <c r="Y1504" i="6"/>
  <c r="Y1503" i="6"/>
  <c r="Y1502" i="6"/>
  <c r="Y1501" i="6"/>
  <c r="Y1500" i="6"/>
  <c r="Y1499" i="6"/>
  <c r="Y1498" i="6"/>
  <c r="Y1497" i="6"/>
  <c r="Y1496" i="6"/>
  <c r="Y1495" i="6"/>
  <c r="Y1494" i="6"/>
  <c r="Y1493" i="6"/>
  <c r="Y1492" i="6"/>
  <c r="Y1491" i="6"/>
  <c r="Y1490" i="6"/>
  <c r="Y1489" i="6"/>
  <c r="Y1488" i="6"/>
  <c r="Y1487" i="6"/>
  <c r="Y1486" i="6"/>
  <c r="Y1485" i="6"/>
  <c r="Y1484" i="6"/>
  <c r="Y1483" i="6"/>
  <c r="Y1482" i="6"/>
  <c r="Y1481" i="6"/>
  <c r="Y1480" i="6"/>
  <c r="Y1479" i="6"/>
  <c r="Y1478" i="6"/>
  <c r="Y1477" i="6"/>
  <c r="Y1476" i="6"/>
  <c r="Y1475" i="6"/>
  <c r="Y1474" i="6"/>
  <c r="Y1473" i="6"/>
  <c r="Y1472" i="6"/>
  <c r="Y1471" i="6"/>
  <c r="Y1470" i="6"/>
  <c r="Y1469" i="6"/>
  <c r="Y1468" i="6"/>
  <c r="Y1467" i="6"/>
  <c r="Y1466" i="6"/>
  <c r="Y1465" i="6"/>
  <c r="Y1464" i="6"/>
  <c r="Y1463" i="6"/>
  <c r="Y1462" i="6"/>
  <c r="Y1461" i="6"/>
  <c r="Y1460" i="6"/>
  <c r="Y1459" i="6"/>
  <c r="Y1458" i="6"/>
  <c r="Y1457" i="6"/>
  <c r="Y1456" i="6"/>
  <c r="Y1455" i="6"/>
  <c r="Y1454" i="6"/>
  <c r="Y1453" i="6"/>
  <c r="Y1452" i="6"/>
  <c r="Y1451" i="6"/>
  <c r="Y1450" i="6"/>
  <c r="Y1449" i="6"/>
  <c r="Y1448" i="6"/>
  <c r="Y1447" i="6"/>
  <c r="Y1446" i="6"/>
  <c r="Y1445" i="6"/>
  <c r="Y1444" i="6"/>
  <c r="Y1443" i="6"/>
  <c r="Y1442" i="6"/>
  <c r="Y1441" i="6"/>
  <c r="Y1440" i="6"/>
  <c r="Y1439" i="6"/>
  <c r="Y1438" i="6"/>
  <c r="Y1437" i="6"/>
  <c r="Y1436" i="6"/>
  <c r="Y1435" i="6"/>
  <c r="Y1434" i="6"/>
  <c r="Y1433" i="6"/>
  <c r="Y1432" i="6"/>
  <c r="Y1431" i="6"/>
  <c r="Y1430" i="6"/>
  <c r="Y1429" i="6"/>
  <c r="Y1428" i="6"/>
  <c r="Y1427" i="6"/>
  <c r="Y1426" i="6"/>
  <c r="Y1425" i="6"/>
  <c r="Y1424" i="6"/>
  <c r="Y1423" i="6"/>
  <c r="Y1422" i="6"/>
  <c r="Y1421" i="6"/>
  <c r="Y1420" i="6"/>
  <c r="Y1419" i="6"/>
  <c r="Y1418" i="6"/>
  <c r="Y1417" i="6"/>
  <c r="Y1416" i="6"/>
  <c r="Y1415" i="6"/>
  <c r="Y1414" i="6"/>
  <c r="Y1413" i="6"/>
  <c r="Y1412" i="6"/>
  <c r="Y1411" i="6"/>
  <c r="Y1410" i="6"/>
  <c r="Y1409" i="6"/>
  <c r="Y1408" i="6"/>
  <c r="Y1407" i="6"/>
  <c r="Y1406" i="6"/>
  <c r="Y1405" i="6"/>
  <c r="Y1404" i="6"/>
  <c r="Y1403" i="6"/>
  <c r="Y1402" i="6"/>
  <c r="Y1401" i="6"/>
  <c r="Y1400" i="6"/>
  <c r="Y1399" i="6"/>
  <c r="Y1398" i="6"/>
  <c r="Y1397" i="6"/>
  <c r="Y1396" i="6"/>
  <c r="Y1395" i="6"/>
  <c r="Y1394" i="6"/>
  <c r="Y1393" i="6"/>
  <c r="Y1392" i="6"/>
  <c r="Y1391" i="6"/>
  <c r="Y1390" i="6"/>
  <c r="Y1389" i="6"/>
  <c r="Y1388" i="6"/>
  <c r="Y1387" i="6"/>
  <c r="Y1386" i="6"/>
  <c r="Y1385" i="6"/>
  <c r="Y1384" i="6"/>
  <c r="Y1383" i="6"/>
  <c r="Y1382" i="6"/>
  <c r="Y1381" i="6"/>
  <c r="Y1380" i="6"/>
  <c r="Y1379" i="6"/>
  <c r="Y1378" i="6"/>
  <c r="Y1377" i="6"/>
  <c r="Y1376" i="6"/>
  <c r="Y1375" i="6"/>
  <c r="Y1374" i="6"/>
  <c r="Y1373" i="6"/>
  <c r="Y1372" i="6"/>
  <c r="Y1371" i="6"/>
  <c r="Y1370" i="6"/>
  <c r="Y1369" i="6"/>
  <c r="Y1368" i="6"/>
  <c r="Y1367" i="6"/>
  <c r="Y1366" i="6"/>
  <c r="Y1365" i="6"/>
  <c r="Y1364" i="6"/>
  <c r="Y1363" i="6"/>
  <c r="Y1362" i="6"/>
  <c r="Y1361" i="6"/>
  <c r="Y1360" i="6"/>
  <c r="Y1359" i="6"/>
  <c r="Y1358" i="6"/>
  <c r="Y1357" i="6"/>
  <c r="Y1356" i="6"/>
  <c r="Y1355" i="6"/>
  <c r="Y1354" i="6"/>
  <c r="Y1353" i="6"/>
  <c r="Y1352" i="6"/>
  <c r="Y1351" i="6"/>
  <c r="Y1350" i="6"/>
  <c r="Y1349" i="6"/>
  <c r="Y1348" i="6"/>
  <c r="Y1347" i="6"/>
  <c r="Y1346" i="6"/>
  <c r="Y1345" i="6"/>
  <c r="Y1344" i="6"/>
  <c r="Y1343" i="6"/>
  <c r="Y1342" i="6"/>
  <c r="Y1341" i="6"/>
  <c r="Y1340" i="6"/>
  <c r="Y1339" i="6"/>
  <c r="Y1338" i="6"/>
  <c r="Y1337" i="6"/>
  <c r="Y1336" i="6"/>
  <c r="Y1335" i="6"/>
  <c r="Y1334" i="6"/>
  <c r="Y1333" i="6"/>
  <c r="Y1332" i="6"/>
  <c r="Y1331" i="6"/>
  <c r="Y1330" i="6"/>
  <c r="Y1329" i="6"/>
  <c r="Y1328" i="6"/>
  <c r="Y1327" i="6"/>
  <c r="Y1326" i="6"/>
  <c r="Y1325" i="6"/>
  <c r="Y1324" i="6"/>
  <c r="Y1323" i="6"/>
  <c r="Y1322" i="6"/>
  <c r="Y1321" i="6"/>
  <c r="Y1320" i="6"/>
  <c r="Y1319" i="6"/>
  <c r="Y1318" i="6"/>
  <c r="Y1317" i="6"/>
  <c r="Y1316" i="6"/>
  <c r="Y1315" i="6"/>
  <c r="Y1314" i="6"/>
  <c r="Y1313" i="6"/>
  <c r="Y1312" i="6"/>
  <c r="Y1311" i="6"/>
  <c r="Y1310" i="6"/>
  <c r="Y1309" i="6"/>
  <c r="Y1308" i="6"/>
  <c r="Y1307" i="6"/>
  <c r="Y1306" i="6"/>
  <c r="Y1305" i="6"/>
  <c r="Y1304" i="6"/>
  <c r="Y1303" i="6"/>
  <c r="Y1302" i="6"/>
  <c r="Y1301" i="6"/>
  <c r="Y1300" i="6"/>
  <c r="Y1299" i="6"/>
  <c r="Y1298" i="6"/>
  <c r="Y1297" i="6"/>
  <c r="Y1296" i="6"/>
  <c r="Y1295" i="6"/>
  <c r="Y1294" i="6"/>
  <c r="Y1293" i="6"/>
  <c r="Y1292" i="6"/>
  <c r="Y1291" i="6"/>
  <c r="Y1290" i="6"/>
  <c r="Y1289" i="6"/>
  <c r="Y1288" i="6"/>
  <c r="Y1287" i="6"/>
  <c r="Y1286" i="6"/>
  <c r="Y1285" i="6"/>
  <c r="Y1284" i="6"/>
  <c r="Y1283" i="6"/>
  <c r="Y1282" i="6"/>
  <c r="Y1281" i="6"/>
  <c r="Y1280" i="6"/>
  <c r="Y1279" i="6"/>
  <c r="Y1278" i="6"/>
  <c r="Y1277" i="6"/>
  <c r="Y1276" i="6"/>
  <c r="Y1275" i="6"/>
  <c r="Y1274" i="6"/>
  <c r="Y1273" i="6"/>
  <c r="Y1272" i="6"/>
  <c r="Y1271" i="6"/>
  <c r="Y1270" i="6"/>
  <c r="Y1269" i="6"/>
  <c r="Y1268" i="6"/>
  <c r="Y1267" i="6"/>
  <c r="Y1266" i="6"/>
  <c r="Y1265" i="6"/>
  <c r="Y1264" i="6"/>
  <c r="Y1263" i="6"/>
  <c r="Y1262" i="6"/>
  <c r="Y1261" i="6"/>
  <c r="Y1260" i="6"/>
  <c r="Y1259" i="6"/>
  <c r="Y1258" i="6"/>
  <c r="Y1257" i="6"/>
  <c r="Y1256" i="6"/>
  <c r="Y1255" i="6"/>
  <c r="Y1254" i="6"/>
  <c r="Y1253" i="6"/>
  <c r="Y1252" i="6"/>
  <c r="Y1251" i="6"/>
  <c r="Y1250" i="6"/>
  <c r="Y1249" i="6"/>
  <c r="Y1248" i="6"/>
  <c r="Y1247" i="6"/>
  <c r="Y1246" i="6"/>
  <c r="Y1245" i="6"/>
  <c r="Y1244" i="6"/>
  <c r="Y1243" i="6"/>
  <c r="Y1242" i="6"/>
  <c r="Y1241" i="6"/>
  <c r="Y1240" i="6"/>
  <c r="Y1239" i="6"/>
  <c r="Y1238" i="6"/>
  <c r="Y1237" i="6"/>
  <c r="Y1236" i="6"/>
  <c r="Y1235" i="6"/>
  <c r="Y1234" i="6"/>
  <c r="Y1233" i="6"/>
  <c r="Y1232" i="6"/>
  <c r="Y1231" i="6"/>
  <c r="Y1230" i="6"/>
  <c r="Y1229" i="6"/>
  <c r="Y1228" i="6"/>
  <c r="Y1227" i="6"/>
  <c r="Y1226" i="6"/>
  <c r="Y1225" i="6"/>
  <c r="Y1224" i="6"/>
  <c r="Y1223" i="6"/>
  <c r="Y1222" i="6"/>
  <c r="Y1221" i="6"/>
  <c r="Y1220" i="6"/>
  <c r="Y1219" i="6"/>
  <c r="Y1218" i="6"/>
  <c r="Y1217" i="6"/>
  <c r="Y1216" i="6"/>
  <c r="Y1215" i="6"/>
  <c r="Y1214" i="6"/>
  <c r="Y1213" i="6"/>
  <c r="Y1212" i="6"/>
  <c r="Y1211" i="6"/>
  <c r="Y1210" i="6"/>
  <c r="Y1209" i="6"/>
  <c r="Y1208" i="6"/>
  <c r="Y1207" i="6"/>
  <c r="Y1206" i="6"/>
  <c r="Y1205" i="6"/>
  <c r="Y1204" i="6"/>
  <c r="Y1203" i="6"/>
  <c r="Y1202" i="6"/>
  <c r="Y1201" i="6"/>
  <c r="Y1200" i="6"/>
  <c r="Y1199" i="6"/>
  <c r="Y1198" i="6"/>
  <c r="Y1197" i="6"/>
  <c r="Y1196" i="6"/>
  <c r="Y1195" i="6"/>
  <c r="Y1194" i="6"/>
  <c r="Y1193" i="6"/>
  <c r="Y1192" i="6"/>
  <c r="Y1191" i="6"/>
  <c r="Y1190" i="6"/>
  <c r="Y1189" i="6"/>
  <c r="Y1188" i="6"/>
  <c r="Y1187" i="6"/>
  <c r="Y1186" i="6"/>
  <c r="Y1185" i="6"/>
  <c r="Y1184" i="6"/>
  <c r="Y1183" i="6"/>
  <c r="Y1182" i="6"/>
  <c r="Y1181" i="6"/>
  <c r="Y1180" i="6"/>
  <c r="Y1179" i="6"/>
  <c r="Y1178" i="6"/>
  <c r="Y1177" i="6"/>
  <c r="Y1176" i="6"/>
  <c r="Y1175" i="6"/>
  <c r="Y1174" i="6"/>
  <c r="Y1173" i="6"/>
  <c r="Y1172" i="6"/>
  <c r="Y1171" i="6"/>
  <c r="Y1170" i="6"/>
  <c r="Y1169" i="6"/>
  <c r="Y1168" i="6"/>
  <c r="Y1167" i="6"/>
  <c r="Y1166" i="6"/>
  <c r="Y1165" i="6"/>
  <c r="Y1164" i="6"/>
  <c r="Y1163" i="6"/>
  <c r="Y1162" i="6"/>
  <c r="Y1161" i="6"/>
  <c r="Y1160" i="6"/>
  <c r="Y1159" i="6"/>
  <c r="Y1158" i="6"/>
  <c r="Y1157" i="6"/>
  <c r="Y1156" i="6"/>
  <c r="Y1155" i="6"/>
  <c r="Y1154" i="6"/>
  <c r="Y1153" i="6"/>
  <c r="Y1152" i="6"/>
  <c r="Y1151" i="6"/>
  <c r="Y1150" i="6"/>
  <c r="Y1149" i="6"/>
  <c r="Y1148" i="6"/>
  <c r="Y1147" i="6"/>
  <c r="Y1146" i="6"/>
  <c r="Y1145" i="6"/>
  <c r="Y1144" i="6"/>
  <c r="Y1143" i="6"/>
  <c r="Y1142" i="6"/>
  <c r="Y1141" i="6"/>
  <c r="Y1140" i="6"/>
  <c r="Y1139" i="6"/>
  <c r="Y1138" i="6"/>
  <c r="Y1137" i="6"/>
  <c r="Y1136" i="6"/>
  <c r="Y1135" i="6"/>
  <c r="Y1134" i="6"/>
  <c r="Y1133" i="6"/>
  <c r="Y1132" i="6"/>
  <c r="Y1131" i="6"/>
  <c r="Y1130" i="6"/>
  <c r="Y1129" i="6"/>
  <c r="Y1128" i="6"/>
  <c r="Y1127" i="6"/>
  <c r="Y1126" i="6"/>
  <c r="Y1125" i="6"/>
  <c r="Y1124" i="6"/>
  <c r="Y1123" i="6"/>
  <c r="Y1122" i="6"/>
  <c r="Y1121" i="6"/>
  <c r="Y1120" i="6"/>
  <c r="Y1119" i="6"/>
  <c r="Y1118" i="6"/>
  <c r="Y1117" i="6"/>
  <c r="Y1116" i="6"/>
  <c r="Y1115" i="6"/>
  <c r="Y1114" i="6"/>
  <c r="Y1113" i="6"/>
  <c r="Y1112" i="6"/>
  <c r="Y1111" i="6"/>
  <c r="Y1110" i="6"/>
  <c r="Y1109" i="6"/>
  <c r="Y1108" i="6"/>
  <c r="Y1107" i="6"/>
  <c r="Y1106" i="6"/>
  <c r="Y1105" i="6"/>
  <c r="Y1104" i="6"/>
  <c r="Y1103" i="6"/>
  <c r="Y1102" i="6"/>
  <c r="Y1101" i="6"/>
  <c r="Y1100" i="6"/>
  <c r="Y1099" i="6"/>
  <c r="Y1098" i="6"/>
  <c r="Y1097" i="6"/>
  <c r="Y1096" i="6"/>
  <c r="Y1095" i="6"/>
  <c r="Y1094" i="6"/>
  <c r="Y1093" i="6"/>
  <c r="Y1092" i="6"/>
  <c r="Y1091" i="6"/>
  <c r="Y1090" i="6"/>
  <c r="Y1089" i="6"/>
  <c r="Y1088" i="6"/>
  <c r="Y1087" i="6"/>
  <c r="Y1086" i="6"/>
  <c r="Y1085" i="6"/>
  <c r="Y1084" i="6"/>
  <c r="Y1083" i="6"/>
  <c r="Y1082" i="6"/>
  <c r="Y1081" i="6"/>
  <c r="Y1080" i="6"/>
  <c r="Y1079" i="6"/>
  <c r="Y1078" i="6"/>
  <c r="Y1077" i="6"/>
  <c r="Y1076" i="6"/>
  <c r="Y1075" i="6"/>
  <c r="Y1074" i="6"/>
  <c r="Y1073" i="6"/>
  <c r="Y1072" i="6"/>
  <c r="Y1071" i="6"/>
  <c r="Y1070" i="6"/>
  <c r="Y1069" i="6"/>
  <c r="Y1068" i="6"/>
  <c r="Y1067" i="6"/>
  <c r="Y1066" i="6"/>
  <c r="Y1065" i="6"/>
  <c r="Y1064" i="6"/>
  <c r="Y1063" i="6"/>
  <c r="Y1062" i="6"/>
  <c r="Y1061" i="6"/>
  <c r="Y1060" i="6"/>
  <c r="Y1059" i="6"/>
  <c r="Y1058" i="6"/>
  <c r="Y1057" i="6"/>
  <c r="Y1056" i="6"/>
  <c r="Y1055" i="6"/>
  <c r="Y1054" i="6"/>
  <c r="Y1053" i="6"/>
  <c r="Y1052" i="6"/>
  <c r="Y1051" i="6"/>
  <c r="Y1050" i="6"/>
  <c r="Y1049" i="6"/>
  <c r="Y1048" i="6"/>
  <c r="Y1047" i="6"/>
  <c r="Y1046" i="6"/>
  <c r="Y1045" i="6"/>
  <c r="Y1044" i="6"/>
  <c r="Y1043" i="6"/>
  <c r="Y1042" i="6"/>
  <c r="Y1041" i="6"/>
  <c r="Y1040" i="6"/>
  <c r="Y1039" i="6"/>
  <c r="Y1038" i="6"/>
  <c r="Y1037" i="6"/>
  <c r="Y1036" i="6"/>
  <c r="Y1035" i="6"/>
  <c r="Y1034" i="6"/>
  <c r="Y1033" i="6"/>
  <c r="Y1032" i="6"/>
  <c r="Y1031" i="6"/>
  <c r="Y1030" i="6"/>
  <c r="Y1029" i="6"/>
  <c r="Y1028" i="6"/>
  <c r="Y1027" i="6"/>
  <c r="Y1026" i="6"/>
  <c r="Y1025" i="6"/>
  <c r="Y1024" i="6"/>
  <c r="Y1023" i="6"/>
  <c r="Y1022" i="6"/>
  <c r="Y1021" i="6"/>
  <c r="Y1020" i="6"/>
  <c r="Y1019" i="6"/>
  <c r="Y1018" i="6"/>
  <c r="Y1017" i="6"/>
  <c r="Y1016" i="6"/>
  <c r="Y1015" i="6"/>
  <c r="Y1014" i="6"/>
  <c r="Y1013" i="6"/>
  <c r="Y1012" i="6"/>
  <c r="Y1011" i="6"/>
  <c r="Y1010" i="6"/>
  <c r="Y1009" i="6"/>
  <c r="Y1008" i="6"/>
  <c r="Y1007" i="6"/>
  <c r="Y1006" i="6"/>
  <c r="Y1005" i="6"/>
  <c r="Y1004" i="6"/>
  <c r="Y1003" i="6"/>
  <c r="Y1002" i="6"/>
  <c r="Y1001" i="6"/>
  <c r="Y1000" i="6"/>
  <c r="Y999" i="6"/>
  <c r="Y998" i="6"/>
  <c r="Y997" i="6"/>
  <c r="Y996" i="6"/>
  <c r="Y995" i="6"/>
  <c r="Y994" i="6"/>
  <c r="Y993" i="6"/>
  <c r="Y992" i="6"/>
  <c r="Y991" i="6"/>
  <c r="Y990" i="6"/>
  <c r="Y989" i="6"/>
  <c r="Y988" i="6"/>
  <c r="Y987" i="6"/>
  <c r="Y986" i="6"/>
  <c r="Y985" i="6"/>
  <c r="Y984" i="6"/>
  <c r="Y983" i="6"/>
  <c r="Y982" i="6"/>
  <c r="Y981" i="6"/>
  <c r="Y980" i="6"/>
  <c r="Y979" i="6"/>
  <c r="Y978" i="6"/>
  <c r="Y977" i="6"/>
  <c r="Y976" i="6"/>
  <c r="Y975" i="6"/>
  <c r="Y974" i="6"/>
  <c r="Y973" i="6"/>
  <c r="Y972" i="6"/>
  <c r="Y971" i="6"/>
  <c r="Y970" i="6"/>
  <c r="Y969" i="6"/>
  <c r="Y968" i="6"/>
  <c r="Y967" i="6"/>
  <c r="Y966" i="6"/>
  <c r="Y965" i="6"/>
  <c r="Y964" i="6"/>
  <c r="Y963" i="6"/>
  <c r="Y962" i="6"/>
  <c r="Y961" i="6"/>
  <c r="Y960" i="6"/>
  <c r="Y959" i="6"/>
  <c r="Y958" i="6"/>
  <c r="Y957" i="6"/>
  <c r="Y956" i="6"/>
  <c r="Y955" i="6"/>
  <c r="Y954" i="6"/>
  <c r="Y953" i="6"/>
  <c r="Y952" i="6"/>
  <c r="Y951" i="6"/>
  <c r="Y950" i="6"/>
  <c r="Y949" i="6"/>
  <c r="Y948" i="6"/>
  <c r="Y947" i="6"/>
  <c r="Y946" i="6"/>
  <c r="Y945" i="6"/>
  <c r="Y944" i="6"/>
  <c r="Y943" i="6"/>
  <c r="Y942" i="6"/>
  <c r="Y941" i="6"/>
  <c r="Y940" i="6"/>
  <c r="Y939" i="6"/>
  <c r="Y938" i="6"/>
  <c r="Y937" i="6"/>
  <c r="Y936" i="6"/>
  <c r="Y935" i="6"/>
  <c r="Y934" i="6"/>
  <c r="Y933" i="6"/>
  <c r="Y932" i="6"/>
  <c r="Y931" i="6"/>
  <c r="Y930" i="6"/>
  <c r="Y929" i="6"/>
  <c r="Y928" i="6"/>
  <c r="Y927" i="6"/>
  <c r="Y926" i="6"/>
  <c r="Y925" i="6"/>
  <c r="Y924" i="6"/>
  <c r="Y923" i="6"/>
  <c r="Y922" i="6"/>
  <c r="Y921" i="6"/>
  <c r="Y920" i="6"/>
  <c r="Y919" i="6"/>
  <c r="Y918" i="6"/>
  <c r="Y917" i="6"/>
  <c r="Y916" i="6"/>
  <c r="Y915" i="6"/>
  <c r="Y914" i="6"/>
  <c r="Y913" i="6"/>
  <c r="Y912" i="6"/>
  <c r="Y911" i="6"/>
  <c r="Y910" i="6"/>
  <c r="Y909" i="6"/>
  <c r="Y908" i="6"/>
  <c r="Y907" i="6"/>
  <c r="Y906" i="6"/>
  <c r="Y905" i="6"/>
  <c r="Y904" i="6"/>
  <c r="Y903" i="6"/>
  <c r="Y902" i="6"/>
  <c r="Y901" i="6"/>
  <c r="Y900" i="6"/>
  <c r="Y899" i="6"/>
  <c r="Y898" i="6"/>
  <c r="Y897" i="6"/>
  <c r="Y896" i="6"/>
  <c r="Y895" i="6"/>
  <c r="Y894" i="6"/>
  <c r="Y893" i="6"/>
  <c r="Y892" i="6"/>
  <c r="Y891" i="6"/>
  <c r="Y890" i="6"/>
  <c r="Y889" i="6"/>
  <c r="Y888" i="6"/>
  <c r="Y887" i="6"/>
  <c r="Y886" i="6"/>
  <c r="Y885" i="6"/>
  <c r="Y884" i="6"/>
  <c r="Y883" i="6"/>
  <c r="Y882" i="6"/>
  <c r="Y881" i="6"/>
  <c r="Y880" i="6"/>
  <c r="Y879" i="6"/>
  <c r="Y878" i="6"/>
  <c r="Y877" i="6"/>
  <c r="Y876" i="6"/>
  <c r="Y875" i="6"/>
  <c r="Y874" i="6"/>
  <c r="Y873" i="6"/>
  <c r="Y872" i="6"/>
  <c r="Y871" i="6"/>
  <c r="Y870" i="6"/>
  <c r="Y869" i="6"/>
  <c r="Y868" i="6"/>
  <c r="Y867" i="6"/>
  <c r="Y866" i="6"/>
  <c r="Y865" i="6"/>
  <c r="Y864" i="6"/>
  <c r="Y863" i="6"/>
  <c r="Y862" i="6"/>
  <c r="Y861" i="6"/>
  <c r="Y860" i="6"/>
  <c r="Y859" i="6"/>
  <c r="Y858" i="6"/>
  <c r="Y857" i="6"/>
  <c r="Y856" i="6"/>
  <c r="Y855" i="6"/>
  <c r="Y854" i="6"/>
  <c r="Y853" i="6"/>
  <c r="Y852" i="6"/>
  <c r="Y851" i="6"/>
  <c r="Y850" i="6"/>
  <c r="Y849" i="6"/>
  <c r="Y848" i="6"/>
  <c r="Y847" i="6"/>
  <c r="Y846" i="6"/>
  <c r="Y845" i="6"/>
  <c r="Y844" i="6"/>
  <c r="Y843" i="6"/>
  <c r="Y842" i="6"/>
  <c r="Y841" i="6"/>
  <c r="Y840" i="6"/>
  <c r="Y839" i="6"/>
  <c r="Y838" i="6"/>
  <c r="Y837" i="6"/>
  <c r="Y836" i="6"/>
  <c r="Y835" i="6"/>
  <c r="Y834" i="6"/>
  <c r="Y833" i="6"/>
  <c r="Y832" i="6"/>
  <c r="Y831" i="6"/>
  <c r="Y830" i="6"/>
  <c r="Y829" i="6"/>
  <c r="Y828" i="6"/>
  <c r="Y827" i="6"/>
  <c r="Y826" i="6"/>
  <c r="Y825" i="6"/>
  <c r="Y824" i="6"/>
  <c r="Y823" i="6"/>
  <c r="Y822" i="6"/>
  <c r="Y821" i="6"/>
  <c r="Y820" i="6"/>
  <c r="Y819" i="6"/>
  <c r="Y818" i="6"/>
  <c r="Y817" i="6"/>
  <c r="Y816" i="6"/>
  <c r="Y815" i="6"/>
  <c r="Y814" i="6"/>
  <c r="Y813" i="6"/>
  <c r="Y812" i="6"/>
  <c r="Y811" i="6"/>
  <c r="Y810" i="6"/>
  <c r="Y809" i="6"/>
  <c r="Y808" i="6"/>
  <c r="Y807" i="6"/>
  <c r="Y806" i="6"/>
  <c r="Y805" i="6"/>
  <c r="Y804" i="6"/>
  <c r="Y803" i="6"/>
  <c r="Y802" i="6"/>
  <c r="Y801" i="6"/>
  <c r="Y800" i="6"/>
  <c r="Y799" i="6"/>
  <c r="Y798" i="6"/>
  <c r="Y797" i="6"/>
  <c r="Y796" i="6"/>
  <c r="Y795" i="6"/>
  <c r="Y794" i="6"/>
  <c r="Y793" i="6"/>
  <c r="Y792" i="6"/>
  <c r="Y791" i="6"/>
  <c r="Y790" i="6"/>
  <c r="Y789" i="6"/>
  <c r="Y788" i="6"/>
  <c r="Y787" i="6"/>
  <c r="Y786" i="6"/>
  <c r="Y785" i="6"/>
  <c r="Y784" i="6"/>
  <c r="Y783" i="6"/>
  <c r="Y782" i="6"/>
  <c r="Y781" i="6"/>
  <c r="Y780" i="6"/>
  <c r="Y779" i="6"/>
  <c r="Y778" i="6"/>
  <c r="Y777" i="6"/>
  <c r="Y776" i="6"/>
  <c r="Y775" i="6"/>
  <c r="Y774" i="6"/>
  <c r="Y773" i="6"/>
  <c r="Y772" i="6"/>
  <c r="Y771" i="6"/>
  <c r="Y770" i="6"/>
  <c r="Y769" i="6"/>
  <c r="Y768" i="6"/>
  <c r="Y767" i="6"/>
  <c r="Y766" i="6"/>
  <c r="Y765" i="6"/>
  <c r="Y764" i="6"/>
  <c r="Y763" i="6"/>
  <c r="Y762" i="6"/>
  <c r="Y761" i="6"/>
  <c r="Y760" i="6"/>
  <c r="Y759" i="6"/>
  <c r="Y758" i="6"/>
  <c r="Y757" i="6"/>
  <c r="Y756" i="6"/>
  <c r="Y755" i="6"/>
  <c r="Y754" i="6"/>
  <c r="Y753" i="6"/>
  <c r="Y752" i="6"/>
  <c r="Y751" i="6"/>
  <c r="Y750" i="6"/>
  <c r="Y749" i="6"/>
  <c r="Y748" i="6"/>
  <c r="Y747" i="6"/>
  <c r="Y746" i="6"/>
  <c r="Y745" i="6"/>
  <c r="Y744" i="6"/>
  <c r="Y743" i="6"/>
  <c r="Y742" i="6"/>
  <c r="Y741" i="6"/>
  <c r="Y740" i="6"/>
  <c r="Y739" i="6"/>
  <c r="Y738" i="6"/>
  <c r="Y737" i="6"/>
  <c r="Y736" i="6"/>
  <c r="Y735" i="6"/>
  <c r="Y734" i="6"/>
  <c r="Y733" i="6"/>
  <c r="Y732" i="6"/>
  <c r="Y731" i="6"/>
  <c r="Y730" i="6"/>
  <c r="Y729" i="6"/>
  <c r="Y728" i="6"/>
  <c r="Y727" i="6"/>
  <c r="Y726" i="6"/>
  <c r="Y725" i="6"/>
  <c r="Y724" i="6"/>
  <c r="Y723" i="6"/>
  <c r="Y722" i="6"/>
  <c r="Y721" i="6"/>
  <c r="Y720" i="6"/>
  <c r="Y719" i="6"/>
  <c r="Y718" i="6"/>
  <c r="Y717" i="6"/>
  <c r="Y716" i="6"/>
  <c r="Y715" i="6"/>
  <c r="Y714" i="6"/>
  <c r="Y713" i="6"/>
  <c r="Y712" i="6"/>
  <c r="Y711" i="6"/>
  <c r="Y710" i="6"/>
  <c r="Y709" i="6"/>
  <c r="Y708" i="6"/>
  <c r="Y707" i="6"/>
  <c r="Y706" i="6"/>
  <c r="Y705" i="6"/>
  <c r="Y704" i="6"/>
  <c r="Y703" i="6"/>
  <c r="Y702" i="6"/>
  <c r="Y701" i="6"/>
  <c r="Y700" i="6"/>
  <c r="Y699" i="6"/>
  <c r="Y698" i="6"/>
  <c r="Y697" i="6"/>
  <c r="Y696" i="6"/>
  <c r="Y695" i="6"/>
  <c r="Y694" i="6"/>
  <c r="Y693" i="6"/>
  <c r="Y692" i="6"/>
  <c r="Y691" i="6"/>
  <c r="Y690" i="6"/>
  <c r="Y689" i="6"/>
  <c r="Y688" i="6"/>
  <c r="Y687" i="6"/>
  <c r="Y686" i="6"/>
  <c r="Y685" i="6"/>
  <c r="Y684" i="6"/>
  <c r="Y683" i="6"/>
  <c r="Y682" i="6"/>
  <c r="Y681" i="6"/>
  <c r="Y680" i="6"/>
  <c r="Y679" i="6"/>
  <c r="Y678" i="6"/>
  <c r="Y677" i="6"/>
  <c r="Y676" i="6"/>
  <c r="Y675" i="6"/>
  <c r="Y674" i="6"/>
  <c r="Y673" i="6"/>
  <c r="Y672" i="6"/>
  <c r="Y671" i="6"/>
  <c r="Y670" i="6"/>
  <c r="Y669" i="6"/>
  <c r="Y668" i="6"/>
  <c r="Y667" i="6"/>
  <c r="Y666" i="6"/>
  <c r="Y665" i="6"/>
  <c r="Y664" i="6"/>
  <c r="Y663" i="6"/>
  <c r="Y662" i="6"/>
  <c r="Y661" i="6"/>
  <c r="Y660" i="6"/>
  <c r="Y659" i="6"/>
  <c r="Y658" i="6"/>
  <c r="Y657" i="6"/>
  <c r="Y656" i="6"/>
  <c r="Y655" i="6"/>
  <c r="Y654" i="6"/>
  <c r="Y653" i="6"/>
  <c r="Y652" i="6"/>
  <c r="Y651" i="6"/>
  <c r="Y650" i="6"/>
  <c r="Y649" i="6"/>
  <c r="Y648" i="6"/>
  <c r="Y647" i="6"/>
  <c r="Y646" i="6"/>
  <c r="Y645" i="6"/>
  <c r="Y644" i="6"/>
  <c r="Y643" i="6"/>
  <c r="Y642" i="6"/>
  <c r="Y641" i="6"/>
  <c r="Y640" i="6"/>
  <c r="Y639" i="6"/>
  <c r="Y638" i="6"/>
  <c r="Y637" i="6"/>
  <c r="Y636" i="6"/>
  <c r="Y635" i="6"/>
  <c r="Y634" i="6"/>
  <c r="Y633" i="6"/>
  <c r="Y632" i="6"/>
  <c r="Y631" i="6"/>
  <c r="Y630" i="6"/>
  <c r="Y629" i="6"/>
  <c r="Y628" i="6"/>
  <c r="Y627" i="6"/>
  <c r="Y626" i="6"/>
  <c r="Y625" i="6"/>
  <c r="Y624" i="6"/>
  <c r="Y623" i="6"/>
  <c r="Y622" i="6"/>
  <c r="Y621" i="6"/>
  <c r="Y620" i="6"/>
  <c r="Y619" i="6"/>
  <c r="Y618" i="6"/>
  <c r="Y617" i="6"/>
  <c r="Y616" i="6"/>
  <c r="Y615" i="6"/>
  <c r="Y614" i="6"/>
  <c r="Y613" i="6"/>
  <c r="Y612" i="6"/>
  <c r="Y611" i="6"/>
  <c r="Y610" i="6"/>
  <c r="Y609" i="6"/>
  <c r="Y608" i="6"/>
  <c r="Y607" i="6"/>
  <c r="Y606" i="6"/>
  <c r="Y605" i="6"/>
  <c r="Y604" i="6"/>
  <c r="Y603" i="6"/>
  <c r="Y602" i="6"/>
  <c r="Y601" i="6"/>
  <c r="Y600" i="6"/>
  <c r="Y599" i="6"/>
  <c r="Y598" i="6"/>
  <c r="Y597" i="6"/>
  <c r="Y596" i="6"/>
  <c r="Y595" i="6"/>
  <c r="Y594" i="6"/>
  <c r="Y593" i="6"/>
  <c r="Y592" i="6"/>
  <c r="Y591" i="6"/>
  <c r="Y590" i="6"/>
  <c r="Y589" i="6"/>
  <c r="Y588" i="6"/>
  <c r="Y587" i="6"/>
  <c r="Y586" i="6"/>
  <c r="Y585" i="6"/>
  <c r="Y584" i="6"/>
  <c r="Y583" i="6"/>
  <c r="Y582" i="6"/>
  <c r="Y581" i="6"/>
  <c r="Y580" i="6"/>
  <c r="Y579" i="6"/>
  <c r="Y578" i="6"/>
  <c r="Y577" i="6"/>
  <c r="Y576" i="6"/>
  <c r="Y575" i="6"/>
  <c r="Y574" i="6"/>
  <c r="Y573" i="6"/>
  <c r="Y572" i="6"/>
  <c r="Y571" i="6"/>
  <c r="Y570" i="6"/>
  <c r="Y569" i="6"/>
  <c r="Y568" i="6"/>
  <c r="Y567" i="6"/>
  <c r="Y566" i="6"/>
  <c r="Y565" i="6"/>
  <c r="Y564" i="6"/>
  <c r="Y563" i="6"/>
  <c r="Y562" i="6"/>
  <c r="Y561" i="6"/>
  <c r="Y560" i="6"/>
  <c r="Y559" i="6"/>
  <c r="Y558" i="6"/>
  <c r="Y557" i="6"/>
  <c r="Y556" i="6"/>
  <c r="Y555" i="6"/>
  <c r="Y554" i="6"/>
  <c r="Y553" i="6"/>
  <c r="Y552" i="6"/>
  <c r="Y551" i="6"/>
  <c r="Y550" i="6"/>
  <c r="Y549" i="6"/>
  <c r="Y548" i="6"/>
  <c r="Y547" i="6"/>
  <c r="Y546" i="6"/>
  <c r="Y545" i="6"/>
  <c r="Y544" i="6"/>
  <c r="Y543" i="6"/>
  <c r="Y542" i="6"/>
  <c r="Y541" i="6"/>
  <c r="Y540" i="6"/>
  <c r="Y539" i="6"/>
  <c r="Y538" i="6"/>
  <c r="Y537" i="6"/>
  <c r="Y536" i="6"/>
  <c r="Y535" i="6"/>
  <c r="Y534" i="6"/>
  <c r="Y533" i="6"/>
  <c r="Y532" i="6"/>
  <c r="Y531" i="6"/>
  <c r="Y530" i="6"/>
  <c r="Y529" i="6"/>
  <c r="Y528" i="6"/>
  <c r="Y527" i="6"/>
  <c r="Y526" i="6"/>
  <c r="Y525" i="6"/>
  <c r="Y524" i="6"/>
  <c r="Y523" i="6"/>
  <c r="Y522" i="6"/>
  <c r="Y521" i="6"/>
  <c r="Y520" i="6"/>
  <c r="Y519" i="6"/>
  <c r="Y518" i="6"/>
  <c r="Y517" i="6"/>
  <c r="Y516" i="6"/>
  <c r="Y515" i="6"/>
  <c r="Y514" i="6"/>
  <c r="Y513" i="6"/>
  <c r="Y512" i="6"/>
  <c r="Y511" i="6"/>
  <c r="Y510" i="6"/>
  <c r="Y509" i="6"/>
  <c r="Y508" i="6"/>
  <c r="Y507" i="6"/>
  <c r="Y506" i="6"/>
  <c r="Y505" i="6"/>
  <c r="Y504" i="6"/>
  <c r="Y503" i="6"/>
  <c r="Y502" i="6"/>
  <c r="Y501" i="6"/>
  <c r="Y500" i="6"/>
  <c r="Y499" i="6"/>
  <c r="Y498" i="6"/>
  <c r="Y497" i="6"/>
  <c r="Y496" i="6"/>
  <c r="Y495" i="6"/>
  <c r="Y494" i="6"/>
  <c r="Y493" i="6"/>
  <c r="Y492" i="6"/>
  <c r="Y491" i="6"/>
  <c r="Y490" i="6"/>
  <c r="Y489" i="6"/>
  <c r="Y488" i="6"/>
  <c r="Y487" i="6"/>
  <c r="Y486" i="6"/>
  <c r="Y485" i="6"/>
  <c r="Y484" i="6"/>
  <c r="Y483" i="6"/>
  <c r="Y482" i="6"/>
  <c r="Y481" i="6"/>
  <c r="Y480" i="6"/>
  <c r="Y479" i="6"/>
  <c r="Y478" i="6"/>
  <c r="Y477" i="6"/>
  <c r="Y476" i="6"/>
  <c r="Y475" i="6"/>
  <c r="Y474" i="6"/>
  <c r="Y473" i="6"/>
  <c r="Y472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37" i="6"/>
  <c r="Y436" i="6"/>
  <c r="Y435" i="6"/>
  <c r="Y434" i="6"/>
  <c r="Y433" i="6"/>
  <c r="Y432" i="6"/>
  <c r="Y431" i="6"/>
  <c r="Y430" i="6"/>
  <c r="Y429" i="6"/>
  <c r="Y428" i="6"/>
  <c r="Y427" i="6"/>
  <c r="Y426" i="6"/>
  <c r="Y425" i="6"/>
  <c r="Y424" i="6"/>
  <c r="Y423" i="6"/>
  <c r="Y422" i="6"/>
  <c r="Y421" i="6"/>
  <c r="Y420" i="6"/>
  <c r="Y419" i="6"/>
  <c r="Y418" i="6"/>
  <c r="Y417" i="6"/>
  <c r="Y416" i="6"/>
  <c r="Y415" i="6"/>
  <c r="Y414" i="6"/>
  <c r="Y413" i="6"/>
  <c r="Y412" i="6"/>
  <c r="Y411" i="6"/>
  <c r="Y410" i="6"/>
  <c r="Y409" i="6"/>
  <c r="Y408" i="6"/>
  <c r="Y407" i="6"/>
  <c r="Y406" i="6"/>
  <c r="Y405" i="6"/>
  <c r="Y404" i="6"/>
  <c r="Y403" i="6"/>
  <c r="Y402" i="6"/>
  <c r="Y401" i="6"/>
  <c r="Y400" i="6"/>
  <c r="Y399" i="6"/>
  <c r="Y398" i="6"/>
  <c r="Y397" i="6"/>
  <c r="Y396" i="6"/>
  <c r="Y395" i="6"/>
  <c r="Y394" i="6"/>
  <c r="Y393" i="6"/>
  <c r="Y392" i="6"/>
  <c r="Y391" i="6"/>
  <c r="Y390" i="6"/>
  <c r="Y389" i="6"/>
  <c r="Y388" i="6"/>
  <c r="Y387" i="6"/>
  <c r="Y386" i="6"/>
  <c r="Y385" i="6"/>
  <c r="Y384" i="6"/>
  <c r="Y383" i="6"/>
  <c r="Y382" i="6"/>
  <c r="Y381" i="6"/>
  <c r="Y380" i="6"/>
  <c r="Y379" i="6"/>
  <c r="Y378" i="6"/>
  <c r="Y377" i="6"/>
  <c r="Y376" i="6"/>
  <c r="Y375" i="6"/>
  <c r="Y374" i="6"/>
  <c r="Y373" i="6"/>
  <c r="Y372" i="6"/>
  <c r="Y371" i="6"/>
  <c r="Y370" i="6"/>
  <c r="Y369" i="6"/>
  <c r="Y368" i="6"/>
  <c r="Y367" i="6"/>
  <c r="Y366" i="6"/>
  <c r="Y365" i="6"/>
  <c r="Y364" i="6"/>
  <c r="Y363" i="6"/>
  <c r="Y362" i="6"/>
  <c r="Y361" i="6"/>
  <c r="Y360" i="6"/>
  <c r="Y359" i="6"/>
  <c r="Y358" i="6"/>
  <c r="Y357" i="6"/>
  <c r="Y356" i="6"/>
  <c r="Y355" i="6"/>
  <c r="Y354" i="6"/>
  <c r="Y353" i="6"/>
  <c r="Y352" i="6"/>
  <c r="Y351" i="6"/>
  <c r="Y350" i="6"/>
  <c r="Y349" i="6"/>
  <c r="Y348" i="6"/>
  <c r="Y347" i="6"/>
  <c r="Y346" i="6"/>
  <c r="Y345" i="6"/>
  <c r="Y344" i="6"/>
  <c r="Y343" i="6"/>
  <c r="Y342" i="6"/>
  <c r="Y341" i="6"/>
  <c r="Y340" i="6"/>
  <c r="Y339" i="6"/>
  <c r="Y338" i="6"/>
  <c r="Y337" i="6"/>
  <c r="Y336" i="6"/>
  <c r="Y335" i="6"/>
  <c r="Y334" i="6"/>
  <c r="Y333" i="6"/>
  <c r="Y332" i="6"/>
  <c r="Y331" i="6"/>
  <c r="Y330" i="6"/>
  <c r="Y329" i="6"/>
  <c r="Y328" i="6"/>
  <c r="Y327" i="6"/>
  <c r="Y326" i="6"/>
  <c r="Y325" i="6"/>
  <c r="Y324" i="6"/>
  <c r="Y323" i="6"/>
  <c r="Y322" i="6"/>
  <c r="Y321" i="6"/>
  <c r="Y320" i="6"/>
  <c r="Y319" i="6"/>
  <c r="Y318" i="6"/>
  <c r="Y317" i="6"/>
  <c r="Y316" i="6"/>
  <c r="Y315" i="6"/>
  <c r="Y314" i="6"/>
  <c r="Y313" i="6"/>
  <c r="Y312" i="6"/>
  <c r="Y311" i="6"/>
  <c r="Y310" i="6"/>
  <c r="Y309" i="6"/>
  <c r="Y308" i="6"/>
  <c r="Y307" i="6"/>
  <c r="Y306" i="6"/>
  <c r="Y305" i="6"/>
  <c r="Y304" i="6"/>
  <c r="Y303" i="6"/>
  <c r="Y302" i="6"/>
  <c r="Y301" i="6"/>
  <c r="Y300" i="6"/>
  <c r="Y299" i="6"/>
  <c r="Y298" i="6"/>
  <c r="Y297" i="6"/>
  <c r="Y296" i="6"/>
  <c r="Y295" i="6"/>
  <c r="Y294" i="6"/>
  <c r="Y293" i="6"/>
  <c r="Y292" i="6"/>
  <c r="Y291" i="6"/>
  <c r="Y290" i="6"/>
  <c r="Y289" i="6"/>
  <c r="Y288" i="6"/>
  <c r="Y287" i="6"/>
  <c r="Y286" i="6"/>
  <c r="Y285" i="6"/>
  <c r="Y284" i="6"/>
  <c r="Y283" i="6"/>
  <c r="Y282" i="6"/>
  <c r="Y281" i="6"/>
  <c r="Y280" i="6"/>
  <c r="Y279" i="6"/>
  <c r="Y278" i="6"/>
  <c r="Y277" i="6"/>
  <c r="Y276" i="6"/>
  <c r="Y275" i="6"/>
  <c r="Y274" i="6"/>
  <c r="Y273" i="6"/>
  <c r="Y272" i="6"/>
  <c r="Y271" i="6"/>
  <c r="Y270" i="6"/>
  <c r="Y269" i="6"/>
  <c r="Y268" i="6"/>
  <c r="Y267" i="6"/>
  <c r="Y266" i="6"/>
  <c r="Y265" i="6"/>
  <c r="Y264" i="6"/>
  <c r="Y263" i="6"/>
  <c r="Y262" i="6"/>
  <c r="Y261" i="6"/>
  <c r="Y260" i="6"/>
  <c r="Y259" i="6"/>
  <c r="Y258" i="6"/>
  <c r="Y257" i="6"/>
  <c r="Y256" i="6"/>
  <c r="Y255" i="6"/>
  <c r="Y254" i="6"/>
  <c r="Y253" i="6"/>
  <c r="Y252" i="6"/>
  <c r="Y251" i="6"/>
  <c r="Y250" i="6"/>
  <c r="Y249" i="6"/>
  <c r="Y248" i="6"/>
  <c r="Y247" i="6"/>
  <c r="Y246" i="6"/>
  <c r="Y245" i="6"/>
  <c r="Y244" i="6"/>
  <c r="Y243" i="6"/>
  <c r="Y242" i="6"/>
  <c r="Y241" i="6"/>
  <c r="Y240" i="6"/>
  <c r="Y239" i="6"/>
  <c r="Y238" i="6"/>
  <c r="Y237" i="6"/>
  <c r="Y236" i="6"/>
  <c r="Y235" i="6"/>
  <c r="Y234" i="6"/>
  <c r="Y233" i="6"/>
  <c r="Y232" i="6"/>
  <c r="Y231" i="6"/>
  <c r="Y230" i="6"/>
  <c r="Y229" i="6"/>
  <c r="Y228" i="6"/>
  <c r="Y227" i="6"/>
  <c r="Y226" i="6"/>
  <c r="Y225" i="6"/>
  <c r="Y224" i="6"/>
  <c r="Y223" i="6"/>
  <c r="Y222" i="6"/>
  <c r="Y221" i="6"/>
  <c r="Y220" i="6"/>
  <c r="Y219" i="6"/>
  <c r="Y218" i="6"/>
  <c r="Y217" i="6"/>
  <c r="Y216" i="6"/>
  <c r="Y215" i="6"/>
  <c r="Y214" i="6"/>
  <c r="Y213" i="6"/>
  <c r="Y212" i="6"/>
  <c r="Y211" i="6"/>
  <c r="Y210" i="6"/>
  <c r="Y209" i="6"/>
  <c r="Y208" i="6"/>
  <c r="Y207" i="6"/>
  <c r="Y206" i="6"/>
  <c r="Y205" i="6"/>
  <c r="Y204" i="6"/>
  <c r="Y203" i="6"/>
  <c r="Y202" i="6"/>
  <c r="Y201" i="6"/>
  <c r="Y200" i="6"/>
  <c r="Y199" i="6"/>
  <c r="Y198" i="6"/>
  <c r="Y197" i="6"/>
  <c r="Y196" i="6"/>
  <c r="Y195" i="6"/>
  <c r="Y194" i="6"/>
  <c r="Y193" i="6"/>
  <c r="Y192" i="6"/>
  <c r="Y191" i="6"/>
  <c r="Y190" i="6"/>
  <c r="Y189" i="6"/>
  <c r="Y188" i="6"/>
  <c r="Y187" i="6"/>
  <c r="Y186" i="6"/>
  <c r="Y185" i="6"/>
  <c r="Y184" i="6"/>
  <c r="Y183" i="6"/>
  <c r="Y182" i="6"/>
  <c r="Y181" i="6"/>
  <c r="Y180" i="6"/>
  <c r="Y179" i="6"/>
  <c r="Y178" i="6"/>
  <c r="Y177" i="6"/>
  <c r="Y176" i="6"/>
  <c r="Y175" i="6"/>
  <c r="Y174" i="6"/>
  <c r="Y173" i="6"/>
  <c r="Y172" i="6"/>
  <c r="Y171" i="6"/>
  <c r="Y170" i="6"/>
  <c r="Y169" i="6"/>
  <c r="Y168" i="6"/>
  <c r="Y167" i="6"/>
  <c r="Y166" i="6"/>
  <c r="Y165" i="6"/>
  <c r="Y164" i="6"/>
  <c r="Y163" i="6"/>
  <c r="Y162" i="6"/>
  <c r="Y161" i="6"/>
  <c r="Y160" i="6"/>
  <c r="Y159" i="6"/>
  <c r="Y158" i="6"/>
  <c r="Y157" i="6"/>
  <c r="Y156" i="6"/>
  <c r="Y155" i="6"/>
  <c r="Y154" i="6"/>
  <c r="Y153" i="6"/>
  <c r="Y152" i="6"/>
  <c r="Y151" i="6"/>
  <c r="Y150" i="6"/>
  <c r="Y149" i="6"/>
  <c r="Y148" i="6"/>
  <c r="Y147" i="6"/>
  <c r="Y146" i="6"/>
  <c r="Y145" i="6"/>
  <c r="Y144" i="6"/>
  <c r="Y143" i="6"/>
  <c r="Y142" i="6"/>
  <c r="Y141" i="6"/>
  <c r="Y140" i="6"/>
  <c r="Y139" i="6"/>
  <c r="Y138" i="6"/>
  <c r="Y137" i="6"/>
  <c r="Y136" i="6"/>
  <c r="Y135" i="6"/>
  <c r="Y134" i="6"/>
  <c r="Y133" i="6"/>
  <c r="Y132" i="6"/>
  <c r="Y131" i="6"/>
  <c r="Y130" i="6"/>
  <c r="Y129" i="6"/>
  <c r="Y128" i="6"/>
  <c r="Y127" i="6"/>
  <c r="Y126" i="6"/>
  <c r="Y125" i="6"/>
  <c r="Y124" i="6"/>
  <c r="Y123" i="6"/>
  <c r="Y122" i="6"/>
  <c r="Y121" i="6"/>
  <c r="Y120" i="6"/>
  <c r="Y119" i="6"/>
  <c r="Y118" i="6"/>
  <c r="Y117" i="6"/>
  <c r="Y116" i="6"/>
  <c r="Y115" i="6"/>
  <c r="Y114" i="6"/>
  <c r="Y113" i="6"/>
  <c r="Y112" i="6"/>
  <c r="Y111" i="6"/>
  <c r="Y110" i="6"/>
  <c r="Y109" i="6"/>
  <c r="Y108" i="6"/>
  <c r="Y107" i="6"/>
  <c r="Y106" i="6"/>
  <c r="Y105" i="6"/>
  <c r="Y104" i="6"/>
  <c r="Y103" i="6"/>
  <c r="Y102" i="6"/>
  <c r="Y101" i="6"/>
  <c r="Y100" i="6"/>
  <c r="Y99" i="6"/>
  <c r="Y98" i="6"/>
  <c r="Y97" i="6"/>
  <c r="Y96" i="6"/>
  <c r="Y95" i="6"/>
  <c r="Y94" i="6"/>
  <c r="Y93" i="6"/>
  <c r="Y92" i="6"/>
  <c r="Y91" i="6"/>
  <c r="Y90" i="6"/>
  <c r="Y89" i="6"/>
  <c r="Y88" i="6"/>
  <c r="Y87" i="6"/>
  <c r="Y86" i="6"/>
  <c r="Y85" i="6"/>
  <c r="Y84" i="6"/>
  <c r="Y83" i="6"/>
  <c r="Y82" i="6"/>
  <c r="Y81" i="6"/>
  <c r="Y80" i="6"/>
  <c r="Y79" i="6"/>
  <c r="Y78" i="6"/>
  <c r="Y77" i="6"/>
  <c r="Y76" i="6"/>
  <c r="Y75" i="6"/>
  <c r="Y74" i="6"/>
  <c r="Y73" i="6"/>
  <c r="Y72" i="6"/>
  <c r="Y71" i="6"/>
  <c r="Y70" i="6"/>
  <c r="Y69" i="6"/>
  <c r="Y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Y3" i="6"/>
  <c r="Y2" i="6"/>
  <c r="T1294" i="3"/>
  <c r="T1293" i="3"/>
  <c r="T1292" i="3"/>
  <c r="T1291" i="3"/>
  <c r="T1290" i="3"/>
  <c r="T1289" i="3"/>
  <c r="T1288" i="3"/>
  <c r="T1287" i="3"/>
  <c r="AB1286" i="3"/>
  <c r="T1286" i="3"/>
  <c r="T1285" i="3"/>
  <c r="AB1284" i="3"/>
  <c r="T1284" i="3"/>
  <c r="T1283" i="3"/>
  <c r="T1282" i="3"/>
  <c r="T1281" i="3"/>
  <c r="AB1280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AB1260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AB1245" i="3"/>
  <c r="T1245" i="3"/>
  <c r="F1245" i="3"/>
  <c r="T1244" i="3"/>
  <c r="F1244" i="3"/>
  <c r="T1243" i="3"/>
  <c r="F1243" i="3"/>
  <c r="AB1242" i="3"/>
  <c r="T1242" i="3"/>
  <c r="F1242" i="3"/>
  <c r="AB1241" i="3"/>
  <c r="T1241" i="3"/>
  <c r="F1241" i="3"/>
  <c r="AB1240" i="3"/>
  <c r="T1240" i="3"/>
  <c r="F1240" i="3"/>
  <c r="T1239" i="3"/>
  <c r="F1239" i="3"/>
  <c r="T1238" i="3"/>
  <c r="F1238" i="3"/>
  <c r="T1237" i="3"/>
  <c r="F1237" i="3"/>
  <c r="T1236" i="3"/>
  <c r="F1236" i="3"/>
  <c r="T1235" i="3"/>
  <c r="F1235" i="3"/>
  <c r="T1234" i="3"/>
  <c r="F1234" i="3"/>
  <c r="T1233" i="3"/>
  <c r="F1233" i="3"/>
  <c r="T1232" i="3"/>
  <c r="F1232" i="3"/>
  <c r="T1231" i="3"/>
  <c r="F1231" i="3"/>
  <c r="T1230" i="3"/>
  <c r="F1230" i="3"/>
  <c r="T1229" i="3"/>
  <c r="F1229" i="3"/>
  <c r="T1228" i="3"/>
  <c r="F1228" i="3"/>
  <c r="T1227" i="3"/>
  <c r="F1227" i="3"/>
  <c r="T1226" i="3"/>
  <c r="F1226" i="3"/>
  <c r="T1225" i="3"/>
  <c r="F1225" i="3"/>
  <c r="AB1224" i="3"/>
  <c r="T1224" i="3"/>
  <c r="F1224" i="3"/>
  <c r="AB1223" i="3"/>
  <c r="T1223" i="3"/>
  <c r="F1223" i="3"/>
  <c r="AB1222" i="3"/>
  <c r="T1222" i="3"/>
  <c r="F1222" i="3"/>
  <c r="T1221" i="3"/>
  <c r="F1221" i="3"/>
  <c r="T1220" i="3"/>
  <c r="F1220" i="3"/>
  <c r="T1219" i="3"/>
  <c r="F1219" i="3"/>
  <c r="T1218" i="3"/>
  <c r="F1218" i="3"/>
  <c r="T1217" i="3"/>
  <c r="F1217" i="3"/>
  <c r="T1216" i="3"/>
  <c r="F1216" i="3"/>
  <c r="T1215" i="3"/>
  <c r="F1215" i="3"/>
  <c r="T1214" i="3"/>
  <c r="F1214" i="3"/>
  <c r="T1213" i="3"/>
  <c r="F1213" i="3"/>
  <c r="T1212" i="3"/>
  <c r="F1212" i="3"/>
  <c r="T1211" i="3"/>
  <c r="F1211" i="3"/>
  <c r="T1210" i="3"/>
  <c r="F1210" i="3"/>
  <c r="T1209" i="3"/>
  <c r="F1209" i="3"/>
  <c r="T1208" i="3"/>
  <c r="F1208" i="3"/>
  <c r="T1207" i="3"/>
  <c r="F1207" i="3"/>
  <c r="T1206" i="3"/>
  <c r="F1206" i="3"/>
  <c r="T1205" i="3"/>
  <c r="F1205" i="3"/>
  <c r="T1204" i="3"/>
  <c r="F1204" i="3"/>
  <c r="T1203" i="3"/>
  <c r="F1203" i="3"/>
  <c r="T1202" i="3"/>
  <c r="F1202" i="3"/>
  <c r="T1201" i="3"/>
  <c r="F1201" i="3"/>
  <c r="T1200" i="3"/>
  <c r="F1200" i="3"/>
  <c r="T1199" i="3"/>
  <c r="F1199" i="3"/>
  <c r="T1198" i="3"/>
  <c r="F1198" i="3"/>
  <c r="T1197" i="3"/>
  <c r="F1197" i="3"/>
  <c r="T1196" i="3"/>
  <c r="F1196" i="3"/>
  <c r="T1195" i="3"/>
  <c r="F1195" i="3"/>
  <c r="T1194" i="3"/>
  <c r="F1194" i="3"/>
  <c r="T1193" i="3"/>
  <c r="F1193" i="3"/>
  <c r="T1192" i="3"/>
  <c r="F1192" i="3"/>
  <c r="T1191" i="3"/>
  <c r="F1191" i="3"/>
  <c r="T1190" i="3"/>
  <c r="F1190" i="3"/>
  <c r="T1189" i="3"/>
  <c r="F1189" i="3"/>
  <c r="T1188" i="3"/>
  <c r="F1188" i="3"/>
  <c r="T1187" i="3"/>
  <c r="F1187" i="3"/>
  <c r="T1186" i="3"/>
  <c r="F1186" i="3"/>
  <c r="T1185" i="3"/>
  <c r="F1185" i="3"/>
  <c r="T1184" i="3"/>
  <c r="F1184" i="3"/>
  <c r="T1183" i="3"/>
  <c r="F1183" i="3"/>
  <c r="T1182" i="3"/>
  <c r="F1182" i="3"/>
  <c r="T1181" i="3"/>
  <c r="F1181" i="3"/>
  <c r="T1180" i="3"/>
  <c r="F1180" i="3"/>
  <c r="T1179" i="3"/>
  <c r="F1179" i="3"/>
  <c r="T1178" i="3"/>
  <c r="F1178" i="3"/>
  <c r="T1177" i="3"/>
  <c r="F1177" i="3"/>
  <c r="T1176" i="3"/>
  <c r="F1176" i="3"/>
  <c r="T1175" i="3"/>
  <c r="F1175" i="3"/>
  <c r="T1174" i="3"/>
  <c r="F1174" i="3"/>
  <c r="T1173" i="3"/>
  <c r="F1173" i="3"/>
  <c r="T1172" i="3"/>
  <c r="F1172" i="3"/>
  <c r="T1171" i="3"/>
  <c r="F1171" i="3"/>
  <c r="T1170" i="3"/>
  <c r="F1170" i="3"/>
  <c r="T1169" i="3"/>
  <c r="F1169" i="3"/>
  <c r="T1168" i="3"/>
  <c r="F1168" i="3"/>
  <c r="T1167" i="3"/>
  <c r="F1167" i="3"/>
  <c r="T1166" i="3"/>
  <c r="F1166" i="3"/>
  <c r="T1165" i="3"/>
  <c r="F1165" i="3"/>
  <c r="AB1164" i="3"/>
  <c r="T1164" i="3"/>
  <c r="F1164" i="3"/>
  <c r="AB1163" i="3"/>
  <c r="T1163" i="3"/>
  <c r="F1163" i="3"/>
  <c r="AB1162" i="3"/>
  <c r="T1162" i="3"/>
  <c r="F1162" i="3"/>
  <c r="T1161" i="3"/>
  <c r="F1161" i="3"/>
  <c r="T1160" i="3"/>
  <c r="F1160" i="3"/>
  <c r="T1159" i="3"/>
  <c r="F1159" i="3"/>
  <c r="T1158" i="3"/>
  <c r="F1158" i="3"/>
  <c r="T1157" i="3"/>
  <c r="F1157" i="3"/>
  <c r="T1156" i="3"/>
  <c r="F1156" i="3"/>
  <c r="T1155" i="3"/>
  <c r="F1155" i="3"/>
  <c r="T1154" i="3"/>
  <c r="F1154" i="3"/>
  <c r="T1153" i="3"/>
  <c r="F1153" i="3"/>
  <c r="T1152" i="3"/>
  <c r="F1152" i="3"/>
  <c r="T1151" i="3"/>
  <c r="F1151" i="3"/>
  <c r="T1150" i="3"/>
  <c r="F1150" i="3"/>
  <c r="T1149" i="3"/>
  <c r="F1149" i="3"/>
  <c r="T1148" i="3"/>
  <c r="F1148" i="3"/>
  <c r="T1147" i="3"/>
  <c r="F1147" i="3"/>
  <c r="T1146" i="3"/>
  <c r="F1146" i="3"/>
  <c r="T1145" i="3"/>
  <c r="F1145" i="3"/>
  <c r="T1144" i="3"/>
  <c r="F1144" i="3"/>
  <c r="T1143" i="3"/>
  <c r="F1143" i="3"/>
  <c r="T1142" i="3"/>
  <c r="F1142" i="3"/>
  <c r="T1141" i="3"/>
  <c r="F1141" i="3"/>
  <c r="T1140" i="3"/>
  <c r="F1140" i="3"/>
  <c r="T1139" i="3"/>
  <c r="F1139" i="3"/>
  <c r="T1138" i="3"/>
  <c r="F1138" i="3"/>
  <c r="T1137" i="3"/>
  <c r="F1137" i="3"/>
  <c r="T1136" i="3"/>
  <c r="F1136" i="3"/>
  <c r="T1135" i="3"/>
  <c r="F1135" i="3"/>
  <c r="T1134" i="3"/>
  <c r="F1134" i="3"/>
  <c r="T1133" i="3"/>
  <c r="F1133" i="3"/>
  <c r="T1132" i="3"/>
  <c r="F1132" i="3"/>
  <c r="T1131" i="3"/>
  <c r="F1131" i="3"/>
  <c r="T1130" i="3"/>
  <c r="F1130" i="3"/>
  <c r="T1129" i="3"/>
  <c r="F1129" i="3"/>
  <c r="T1128" i="3"/>
  <c r="F1128" i="3"/>
  <c r="T1127" i="3"/>
  <c r="F1127" i="3"/>
  <c r="T1126" i="3"/>
  <c r="F1126" i="3"/>
  <c r="T1125" i="3"/>
  <c r="F1125" i="3"/>
  <c r="T1124" i="3"/>
  <c r="F1124" i="3"/>
  <c r="T1123" i="3"/>
  <c r="F1123" i="3"/>
  <c r="T1122" i="3"/>
  <c r="F1122" i="3"/>
  <c r="T1121" i="3"/>
  <c r="F1121" i="3"/>
  <c r="T1120" i="3"/>
  <c r="F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</calcChain>
</file>

<file path=xl/sharedStrings.xml><?xml version="1.0" encoding="utf-8"?>
<sst xmlns="http://schemas.openxmlformats.org/spreadsheetml/2006/main" count="31028" uniqueCount="747">
  <si>
    <t>Mes</t>
  </si>
  <si>
    <t>Patente</t>
  </si>
  <si>
    <t>AB029TN</t>
  </si>
  <si>
    <t>AB320YQ</t>
  </si>
  <si>
    <t>AB320YW</t>
  </si>
  <si>
    <t>AD426HT</t>
  </si>
  <si>
    <t>AD426HU</t>
  </si>
  <si>
    <t>AD426HV</t>
  </si>
  <si>
    <t>AD426HW</t>
  </si>
  <si>
    <t>AD426HX</t>
  </si>
  <si>
    <t>AD426HY</t>
  </si>
  <si>
    <t>AD426HZ</t>
  </si>
  <si>
    <t>AD426IF</t>
  </si>
  <si>
    <t>AD426IH</t>
  </si>
  <si>
    <t>AD426IJ</t>
  </si>
  <si>
    <t>AE243WV</t>
  </si>
  <si>
    <t>AE297QN</t>
  </si>
  <si>
    <t>AE700VN</t>
  </si>
  <si>
    <t>AE700VS</t>
  </si>
  <si>
    <t>AE787OQ</t>
  </si>
  <si>
    <t>AE794VC</t>
  </si>
  <si>
    <t>AF066NS</t>
  </si>
  <si>
    <t>AF066NT</t>
  </si>
  <si>
    <t>AF066NU</t>
  </si>
  <si>
    <t>AF066NX</t>
  </si>
  <si>
    <t>AF066NZ</t>
  </si>
  <si>
    <t>AF088EA</t>
  </si>
  <si>
    <t>AF088ED</t>
  </si>
  <si>
    <t>AF114FN</t>
  </si>
  <si>
    <t>AF114FP</t>
  </si>
  <si>
    <t>AF114FZ</t>
  </si>
  <si>
    <t>AF118QA</t>
  </si>
  <si>
    <t>AF118QB</t>
  </si>
  <si>
    <t>AF118QC</t>
  </si>
  <si>
    <t>AF148ME</t>
  </si>
  <si>
    <t>AF148MS</t>
  </si>
  <si>
    <t>AF156NJ</t>
  </si>
  <si>
    <t>AF156NK</t>
  </si>
  <si>
    <t>AF156NL</t>
  </si>
  <si>
    <t>AF156NM</t>
  </si>
  <si>
    <t>AF338VO</t>
  </si>
  <si>
    <t>AF338VQ</t>
  </si>
  <si>
    <t>AF364MN</t>
  </si>
  <si>
    <t>AF444TU</t>
  </si>
  <si>
    <t>AF444TV</t>
  </si>
  <si>
    <t>AF444TW</t>
  </si>
  <si>
    <t>AF444TX</t>
  </si>
  <si>
    <t>AF461DQ</t>
  </si>
  <si>
    <t>AF461DV</t>
  </si>
  <si>
    <t>AF491HL</t>
  </si>
  <si>
    <t>AF491HM</t>
  </si>
  <si>
    <t>AF504DR</t>
  </si>
  <si>
    <t>AF518DM</t>
  </si>
  <si>
    <t>AF542LX</t>
  </si>
  <si>
    <t>AF613YX</t>
  </si>
  <si>
    <t>AF613YZ</t>
  </si>
  <si>
    <t>AF619YO</t>
  </si>
  <si>
    <t>AF619YP</t>
  </si>
  <si>
    <t>AF639HA</t>
  </si>
  <si>
    <t>AF639HB</t>
  </si>
  <si>
    <t>AF642OS</t>
  </si>
  <si>
    <t>AF642OT</t>
  </si>
  <si>
    <t>AF642OU</t>
  </si>
  <si>
    <t>AF653AA</t>
  </si>
  <si>
    <t>AF653AB</t>
  </si>
  <si>
    <t>AF672EU</t>
  </si>
  <si>
    <t>AF722DM</t>
  </si>
  <si>
    <t>AF722DN</t>
  </si>
  <si>
    <t>AF737MP</t>
  </si>
  <si>
    <t>AF737MQ</t>
  </si>
  <si>
    <t>AF743LB</t>
  </si>
  <si>
    <t>AF746ED</t>
  </si>
  <si>
    <t>AF746EM</t>
  </si>
  <si>
    <t>AF746EN</t>
  </si>
  <si>
    <t>AF804RA</t>
  </si>
  <si>
    <t>AF804RB</t>
  </si>
  <si>
    <t>AF804RC</t>
  </si>
  <si>
    <t>AF804RD</t>
  </si>
  <si>
    <t>AF804RE</t>
  </si>
  <si>
    <t>AF804RF</t>
  </si>
  <si>
    <t>AF831AF</t>
  </si>
  <si>
    <t>AF865RV</t>
  </si>
  <si>
    <t>AF877NC</t>
  </si>
  <si>
    <t>AF918RI</t>
  </si>
  <si>
    <t>AF948NA</t>
  </si>
  <si>
    <t>AG017HW</t>
  </si>
  <si>
    <t>AG043HA</t>
  </si>
  <si>
    <t>AG079GA</t>
  </si>
  <si>
    <t>AG079GB</t>
  </si>
  <si>
    <t>AG095MQ</t>
  </si>
  <si>
    <t>AG095MR</t>
  </si>
  <si>
    <t>AG176NA</t>
  </si>
  <si>
    <t>AG176NB</t>
  </si>
  <si>
    <t>AG204ZQ</t>
  </si>
  <si>
    <t>AG204ZX</t>
  </si>
  <si>
    <t>AG238NS</t>
  </si>
  <si>
    <t>AG269WH</t>
  </si>
  <si>
    <t>AG300AQ</t>
  </si>
  <si>
    <t>AG300AR</t>
  </si>
  <si>
    <t>AG390QD</t>
  </si>
  <si>
    <t>AG404LU</t>
  </si>
  <si>
    <t>AG404LX</t>
  </si>
  <si>
    <t>BJG486</t>
  </si>
  <si>
    <t>BJH275</t>
  </si>
  <si>
    <t>BNW644</t>
  </si>
  <si>
    <t>BRJ211</t>
  </si>
  <si>
    <t>BVH267</t>
  </si>
  <si>
    <t>CVF922</t>
  </si>
  <si>
    <t>CVF923</t>
  </si>
  <si>
    <t>DLW395</t>
  </si>
  <si>
    <t>DTU738</t>
  </si>
  <si>
    <t>FCD324</t>
  </si>
  <si>
    <t>FEQ601</t>
  </si>
  <si>
    <t>FEQ602</t>
  </si>
  <si>
    <t>FFJ868</t>
  </si>
  <si>
    <t>FFO440</t>
  </si>
  <si>
    <t>FFV165</t>
  </si>
  <si>
    <t>FFV166</t>
  </si>
  <si>
    <t>FGV321</t>
  </si>
  <si>
    <t>FHK364</t>
  </si>
  <si>
    <t>FJT707</t>
  </si>
  <si>
    <t>FQT892</t>
  </si>
  <si>
    <t>FQT893</t>
  </si>
  <si>
    <t>FQT894</t>
  </si>
  <si>
    <t>FVH034</t>
  </si>
  <si>
    <t>FVK506</t>
  </si>
  <si>
    <t>FVO107</t>
  </si>
  <si>
    <t>FVO108</t>
  </si>
  <si>
    <t>GDR525</t>
  </si>
  <si>
    <t>GDR526</t>
  </si>
  <si>
    <t>GDR527</t>
  </si>
  <si>
    <t>GEB768</t>
  </si>
  <si>
    <t>GEB769</t>
  </si>
  <si>
    <t>GFZ650</t>
  </si>
  <si>
    <t>GFZ651</t>
  </si>
  <si>
    <t>GJC631</t>
  </si>
  <si>
    <t>GJC632</t>
  </si>
  <si>
    <t>GJQ699</t>
  </si>
  <si>
    <t>GKK500</t>
  </si>
  <si>
    <t>GLT550</t>
  </si>
  <si>
    <t>GLT551</t>
  </si>
  <si>
    <t>GLT552</t>
  </si>
  <si>
    <t>GMJ024</t>
  </si>
  <si>
    <t>GMJ025</t>
  </si>
  <si>
    <t>GNY197</t>
  </si>
  <si>
    <t>GNY198</t>
  </si>
  <si>
    <t>GOR390</t>
  </si>
  <si>
    <t>GOR397</t>
  </si>
  <si>
    <t>GOX956</t>
  </si>
  <si>
    <t>GOX957</t>
  </si>
  <si>
    <t>GOX958</t>
  </si>
  <si>
    <t>GOX959</t>
  </si>
  <si>
    <t>GPL520</t>
  </si>
  <si>
    <t>GQN688</t>
  </si>
  <si>
    <t>GRC311</t>
  </si>
  <si>
    <t>GRE072</t>
  </si>
  <si>
    <t>GRE073</t>
  </si>
  <si>
    <t>GTE287</t>
  </si>
  <si>
    <t>GTE288</t>
  </si>
  <si>
    <t>GTE289</t>
  </si>
  <si>
    <t>GUW657</t>
  </si>
  <si>
    <t>GUW658</t>
  </si>
  <si>
    <t>GVU096</t>
  </si>
  <si>
    <t>GVU097</t>
  </si>
  <si>
    <t>GYB034</t>
  </si>
  <si>
    <t>HKW894</t>
  </si>
  <si>
    <t>HNE430</t>
  </si>
  <si>
    <t>HNL373</t>
  </si>
  <si>
    <t>HPR687</t>
  </si>
  <si>
    <t>HQM968</t>
  </si>
  <si>
    <t>HRJ002</t>
  </si>
  <si>
    <t>HRJ003</t>
  </si>
  <si>
    <t>HRJ004</t>
  </si>
  <si>
    <t>HSC655</t>
  </si>
  <si>
    <t>HUY047</t>
  </si>
  <si>
    <t>IDX163</t>
  </si>
  <si>
    <t>IDX164</t>
  </si>
  <si>
    <t>IDX165</t>
  </si>
  <si>
    <t>IRC117</t>
  </si>
  <si>
    <t>IVD940</t>
  </si>
  <si>
    <t>IVD941</t>
  </si>
  <si>
    <t>JAD357</t>
  </si>
  <si>
    <t>JCF735</t>
  </si>
  <si>
    <t>JEB635</t>
  </si>
  <si>
    <t>JEB636</t>
  </si>
  <si>
    <t>JIL525</t>
  </si>
  <si>
    <t>JIU311</t>
  </si>
  <si>
    <t>JJH871</t>
  </si>
  <si>
    <t>JKG664</t>
  </si>
  <si>
    <t>JKQ773</t>
  </si>
  <si>
    <t>JKQ774</t>
  </si>
  <si>
    <t>JWV370</t>
  </si>
  <si>
    <t>JWV371</t>
  </si>
  <si>
    <t>JWV379</t>
  </si>
  <si>
    <t>JWV380</t>
  </si>
  <si>
    <t>JXJ303</t>
  </si>
  <si>
    <t>JXZ992</t>
  </si>
  <si>
    <t>JXZ993</t>
  </si>
  <si>
    <t>JYQ969</t>
  </si>
  <si>
    <t>KAV644</t>
  </si>
  <si>
    <t>KBO540</t>
  </si>
  <si>
    <t>KBO542</t>
  </si>
  <si>
    <t>KBV611</t>
  </si>
  <si>
    <t>KBV618</t>
  </si>
  <si>
    <t>KBV620</t>
  </si>
  <si>
    <t>KDG188</t>
  </si>
  <si>
    <t>KER727</t>
  </si>
  <si>
    <t>KER728</t>
  </si>
  <si>
    <t>KGM735</t>
  </si>
  <si>
    <t>KHS009</t>
  </si>
  <si>
    <t>KHS012</t>
  </si>
  <si>
    <t>KHS013</t>
  </si>
  <si>
    <t>KHS025</t>
  </si>
  <si>
    <t>KHS026</t>
  </si>
  <si>
    <t>KIP032</t>
  </si>
  <si>
    <t>KJH882</t>
  </si>
  <si>
    <t>KJH885</t>
  </si>
  <si>
    <t>KKI233</t>
  </si>
  <si>
    <t>KLY952</t>
  </si>
  <si>
    <t>KMM903</t>
  </si>
  <si>
    <t>KMM904</t>
  </si>
  <si>
    <t>KNE956</t>
  </si>
  <si>
    <t>KPQ389</t>
  </si>
  <si>
    <t>KPQ390</t>
  </si>
  <si>
    <t>KPQ391</t>
  </si>
  <si>
    <t>KPQ392</t>
  </si>
  <si>
    <t>KPQ393</t>
  </si>
  <si>
    <t>KTC854</t>
  </si>
  <si>
    <t>KUF605</t>
  </si>
  <si>
    <t>KUF606</t>
  </si>
  <si>
    <t>KUF609</t>
  </si>
  <si>
    <t>LFK336</t>
  </si>
  <si>
    <t>LFK337</t>
  </si>
  <si>
    <t>LFK338</t>
  </si>
  <si>
    <t>LFK339</t>
  </si>
  <si>
    <t>LRN157</t>
  </si>
  <si>
    <t>LTS288</t>
  </si>
  <si>
    <t>MYR537</t>
  </si>
  <si>
    <t>NIE146</t>
  </si>
  <si>
    <t>NIE147</t>
  </si>
  <si>
    <t>NIE148</t>
  </si>
  <si>
    <t>NIE149</t>
  </si>
  <si>
    <t>NIE150</t>
  </si>
  <si>
    <t>NIE152</t>
  </si>
  <si>
    <t>NIE153</t>
  </si>
  <si>
    <t>NIE154</t>
  </si>
  <si>
    <t>NIE155</t>
  </si>
  <si>
    <t>NVX394</t>
  </si>
  <si>
    <t>OHH586</t>
  </si>
  <si>
    <t>OHH588</t>
  </si>
  <si>
    <t>OHH589</t>
  </si>
  <si>
    <t>OHH590</t>
  </si>
  <si>
    <t>OHH591</t>
  </si>
  <si>
    <t>OHH592</t>
  </si>
  <si>
    <t>OHH593</t>
  </si>
  <si>
    <t>OHH595</t>
  </si>
  <si>
    <t>OHH596</t>
  </si>
  <si>
    <t>OHH597</t>
  </si>
  <si>
    <t>OIC418</t>
  </si>
  <si>
    <t>OIC419</t>
  </si>
  <si>
    <t>OJG060</t>
  </si>
  <si>
    <t>OJG061</t>
  </si>
  <si>
    <t>OJG062</t>
  </si>
  <si>
    <t>OJG063</t>
  </si>
  <si>
    <t>OJG064</t>
  </si>
  <si>
    <t>OJG065</t>
  </si>
  <si>
    <t>OJG097</t>
  </si>
  <si>
    <t>OJG098</t>
  </si>
  <si>
    <t>OJG099</t>
  </si>
  <si>
    <t>OJG101</t>
  </si>
  <si>
    <t>OJG103</t>
  </si>
  <si>
    <t>OMQ198</t>
  </si>
  <si>
    <t>OMQ199</t>
  </si>
  <si>
    <t>OZH811</t>
  </si>
  <si>
    <t>PLU468</t>
  </si>
  <si>
    <t>PLU469</t>
  </si>
  <si>
    <t>RCS097</t>
  </si>
  <si>
    <t>RNX412</t>
  </si>
  <si>
    <t>SOC883</t>
  </si>
  <si>
    <t>SYG971</t>
  </si>
  <si>
    <t>SYP554</t>
  </si>
  <si>
    <t>TLH736</t>
  </si>
  <si>
    <t>TTV899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</si>
  <si>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</si>
  <si>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</si>
  <si>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</si>
  <si>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</si>
  <si>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</si>
  <si>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</si>
  <si>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</si>
  <si>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</si>
  <si>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</si>
  <si>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</si>
  <si>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</si>
  <si>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</si>
  <si>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CC</t>
  </si>
  <si>
    <t>Expreso - Servicios Troncales</t>
  </si>
  <si>
    <t>Sin Operación</t>
  </si>
  <si>
    <t>Modelo</t>
  </si>
  <si>
    <t>Plan Asociado</t>
  </si>
  <si>
    <t>Plan</t>
  </si>
  <si>
    <t>Tiempo Hs</t>
  </si>
  <si>
    <t>Descripsion</t>
  </si>
  <si>
    <t>Ultima Fecha Cambio</t>
  </si>
  <si>
    <t>Km cambio</t>
  </si>
  <si>
    <t>Proximo KM</t>
  </si>
  <si>
    <t>Recorrido</t>
  </si>
  <si>
    <t>Km Restante</t>
  </si>
  <si>
    <t>Km Actaul</t>
  </si>
  <si>
    <t>Días transcurridos</t>
  </si>
  <si>
    <t>PromedioKmdiarios</t>
  </si>
  <si>
    <t>DıasRestantesestimados</t>
  </si>
  <si>
    <t>Fecha Actual</t>
  </si>
  <si>
    <t>Frecuencia</t>
  </si>
  <si>
    <t>Fecha Plan Prox.orig</t>
  </si>
  <si>
    <t>Fecha Plan Prox</t>
  </si>
  <si>
    <t>Estado</t>
  </si>
  <si>
    <t>Unnamed: 18</t>
  </si>
  <si>
    <t>Unnamed: 19</t>
  </si>
  <si>
    <t>Código</t>
  </si>
  <si>
    <t>Descripción</t>
  </si>
  <si>
    <t>Cantidad</t>
  </si>
  <si>
    <t>Valor</t>
  </si>
  <si>
    <t>Valor Total</t>
  </si>
  <si>
    <t>Km_anual</t>
  </si>
  <si>
    <t>Fecha Plan Prox Calculada</t>
  </si>
  <si>
    <t>Nro Cambio Año</t>
  </si>
  <si>
    <t>B66 - ATEGO 2426</t>
  </si>
  <si>
    <t>2MC</t>
  </si>
  <si>
    <t>Cambio De Aceite Y Filtro De Motor</t>
  </si>
  <si>
    <t>Activo</t>
  </si>
  <si>
    <t>C000313</t>
  </si>
  <si>
    <t>ACEITE 15W40 XV300 X 205LT (TAMBOR)</t>
  </si>
  <si>
    <t>C002301</t>
  </si>
  <si>
    <t>FILTRO DE ACEITE 6 CILINDROS MB 1318/1218/1215/914/712/1418/915/815 - MANN HU931/5X</t>
  </si>
  <si>
    <t>958 ATEGO 1726-42 CE</t>
  </si>
  <si>
    <t>ATEGO 1419</t>
  </si>
  <si>
    <t>-</t>
  </si>
  <si>
    <t>ATEGO 1419 48</t>
  </si>
  <si>
    <t>ACCELO 1016 39</t>
  </si>
  <si>
    <t>ATEGO 1418/48 FRONTAL</t>
  </si>
  <si>
    <t>ATRON 1720/48  FRONTAL</t>
  </si>
  <si>
    <t>ACCELO 915C</t>
  </si>
  <si>
    <t>3MC</t>
  </si>
  <si>
    <t>Cambio De Filtro Gas Oíl Y Trampa De Agua</t>
  </si>
  <si>
    <t>C001031</t>
  </si>
  <si>
    <t>FILTRO DE COMBUSTIBLE MANN PU1046/1X</t>
  </si>
  <si>
    <t>C003103</t>
  </si>
  <si>
    <t>FILTRO TRAMPA DE AGUA - WIX (WF 10288)</t>
  </si>
  <si>
    <t>ATEGO 1725</t>
  </si>
  <si>
    <t>ATEGO 1721-48</t>
  </si>
  <si>
    <t>L-1318</t>
  </si>
  <si>
    <t>ATEGO 1721 48</t>
  </si>
  <si>
    <t>Atego 2426</t>
  </si>
  <si>
    <t>PARTNER CONFORT 1,6 HDI 92</t>
  </si>
  <si>
    <t>2MU</t>
  </si>
  <si>
    <t>C004114</t>
  </si>
  <si>
    <t>ACEITE 5W 30 YPF X 20LTS</t>
  </si>
  <si>
    <t>3MU</t>
  </si>
  <si>
    <t>Cambiar Filtro De Combustible</t>
  </si>
  <si>
    <t>C002699</t>
  </si>
  <si>
    <t>FILTRO DE COMBUSTIBLE PARTNER - (WK9034 Z)</t>
  </si>
  <si>
    <t>SPRINTER 316 CDI FURGON 3665</t>
  </si>
  <si>
    <t>C003082</t>
  </si>
  <si>
    <t>ACEITE 5W 40 YPF x 20LTS</t>
  </si>
  <si>
    <t>4MU</t>
  </si>
  <si>
    <t>Cambio Filtro Aire</t>
  </si>
  <si>
    <t>C002696</t>
  </si>
  <si>
    <t>FILTRO DE AIRE PARTNER - MANN C 3585</t>
  </si>
  <si>
    <t>KANGOO II EXPRESS CONFORT 5A 1,6 SCE-FURGON-</t>
  </si>
  <si>
    <t>KANGOO II EXPRESS CONFORT 1,5 DCI-FURGON-</t>
  </si>
  <si>
    <t>5MU</t>
  </si>
  <si>
    <t>Cambiar Filtro Habitaculo</t>
  </si>
  <si>
    <t>C002697</t>
  </si>
  <si>
    <t>FILTRO DE HABITACULO PARTNER (CU 2545/1)</t>
  </si>
  <si>
    <t>KANGOO II EXPRESS CONFORT 1,5 CDI FURGON</t>
  </si>
  <si>
    <t>C003078</t>
  </si>
  <si>
    <t>FILTRO DE COMBUSTIBLE SPRINTER 316 (A 651 090 36 00) - BOSCH (0986BFO366)</t>
  </si>
  <si>
    <t>C003080</t>
  </si>
  <si>
    <t>FILTRO DE AIRE SPRINTER 316 - MANN C 4312/1</t>
  </si>
  <si>
    <t>C003079</t>
  </si>
  <si>
    <t>FILTRO DE HABITACULO SPRINTER 316 - MANN CU 30012</t>
  </si>
  <si>
    <t>C003345</t>
  </si>
  <si>
    <t>FILTRO DE COMBUSTIBLE KANGOO 1.6 - MANN PU 822X</t>
  </si>
  <si>
    <t>C003349</t>
  </si>
  <si>
    <t>FILTRO DE COMBUSTIBLE KANGOO 1.5 - MANN PU 9011 z KIT</t>
  </si>
  <si>
    <t>PARTNER CONFORT 1.6 HDI 92 AM22 -FURGON-</t>
  </si>
  <si>
    <t>C003346</t>
  </si>
  <si>
    <t>FILTRO DE AIRE KANGOO 1.6/1.5 - MANN C 27 030</t>
  </si>
  <si>
    <t>Sprinter 413 SDI/F</t>
  </si>
  <si>
    <t>C004177</t>
  </si>
  <si>
    <t>FILTRO DE AIRE SPRINTER 413 - MANN C 32 338/1</t>
  </si>
  <si>
    <t>C003348</t>
  </si>
  <si>
    <t>FILTRO DE HABITACULO KANGOO 1.6/1.5 - MANN CU 25 012</t>
  </si>
  <si>
    <t>C004178</t>
  </si>
  <si>
    <t>FILTRO DE COMBUSTIBLE SPRINTER 413 - MANN WK 842/13</t>
  </si>
  <si>
    <t>2MC 1</t>
  </si>
  <si>
    <t>C002300</t>
  </si>
  <si>
    <t>FILTRO DE ACEITE 6 CILINDROS MB 1725/1726/1933/1624L/1721 OF ELECTRONICO - MANN HU 945/2x</t>
  </si>
  <si>
    <t>TECTOR EVO 170E28N 4815 MLC EBS 170E28NCM51</t>
  </si>
  <si>
    <t>2MC 2</t>
  </si>
  <si>
    <t>C002889</t>
  </si>
  <si>
    <t>FILTRO DE ACEITE IVECO TECTOR (2992242)</t>
  </si>
  <si>
    <t>170E28NCM22 SIN EBS</t>
  </si>
  <si>
    <t>170E28 MLC EBS</t>
  </si>
  <si>
    <t>DL-170E28NCM51</t>
  </si>
  <si>
    <t>BX-170E28 MLC</t>
  </si>
  <si>
    <t>BX-170E28 MLC SIN EBS</t>
  </si>
  <si>
    <t>DL-170E28NCM51 SIN EBS</t>
  </si>
  <si>
    <t>160E21CCM32</t>
  </si>
  <si>
    <t>3MC 1</t>
  </si>
  <si>
    <t>C002627</t>
  </si>
  <si>
    <t>FILTRO DE COMBUSTIBLE IVECO BX-170E28 MLC COD: 2992241</t>
  </si>
  <si>
    <t>C002892</t>
  </si>
  <si>
    <t>FILTRO DE COMBUSTIBLE (CARTUCHO PREFILTRO) IVECO TECTOR (5801403243)</t>
  </si>
  <si>
    <t>6MC</t>
  </si>
  <si>
    <t>C000988</t>
  </si>
  <si>
    <t>FILTRO DE AIRE - MANN C27844</t>
  </si>
  <si>
    <t>6MC 1</t>
  </si>
  <si>
    <t>C000982</t>
  </si>
  <si>
    <t>FILTRO DE AIRE - MANN C27902</t>
  </si>
  <si>
    <t>6MC 2</t>
  </si>
  <si>
    <t>C002482</t>
  </si>
  <si>
    <t>FILTRO DE AIRE MB 2426/AXOR 1933 - MANN C28 1012</t>
  </si>
  <si>
    <t>6MC 3</t>
  </si>
  <si>
    <t>C002891</t>
  </si>
  <si>
    <t>FILTRO DE AIRE (CARTUCHO) IVECO TECTOR (5801640991)</t>
  </si>
  <si>
    <t>AXOR 1933 S</t>
  </si>
  <si>
    <t>2ML</t>
  </si>
  <si>
    <t>ATEGO 1729-S36 CD TE</t>
  </si>
  <si>
    <t>ATEGO 1729 S36 CD TE</t>
  </si>
  <si>
    <t>ATEGO 1729 S 36 CD TE</t>
  </si>
  <si>
    <t>Atego 1729 S</t>
  </si>
  <si>
    <t>ATEGO 1725-S36</t>
  </si>
  <si>
    <t>AXOR 1933-36 S</t>
  </si>
  <si>
    <t>AXOR 2541 LS</t>
  </si>
  <si>
    <t>2ML 1</t>
  </si>
  <si>
    <t>C002303</t>
  </si>
  <si>
    <t>FILTRO DE ACEITE MB AXOR 2036/2035 - MANN HU 12 110X</t>
  </si>
  <si>
    <t>AXOR 2036 S ROBUST</t>
  </si>
  <si>
    <t>AXOR 2035-36 S TE</t>
  </si>
  <si>
    <t>ACTROS 2045 LS/36</t>
  </si>
  <si>
    <t>1633</t>
  </si>
  <si>
    <t>2ML 2</t>
  </si>
  <si>
    <t>C003701</t>
  </si>
  <si>
    <t>FILTRO DE ACEITE MB 1625/1628/1630/1632/1633/2325 - MANN H1275X</t>
  </si>
  <si>
    <t>1634</t>
  </si>
  <si>
    <t>G310 A4X2</t>
  </si>
  <si>
    <t>2ML 4</t>
  </si>
  <si>
    <t>C003700</t>
  </si>
  <si>
    <t>FILTRO DE ACEITE SCANIA G310 - MANN HU1077/2Z</t>
  </si>
  <si>
    <t>3ML</t>
  </si>
  <si>
    <t>C001614</t>
  </si>
  <si>
    <t>FILTRO TRAMPA DE AGUA MB 1933S (A 000 470 24 90) - RE160JQII - MARCA RAMA</t>
  </si>
  <si>
    <t>3ML 1</t>
  </si>
  <si>
    <t>C001032</t>
  </si>
  <si>
    <t>FILTRO DE COMBUSTIBLE MANN PU999/1X</t>
  </si>
  <si>
    <t>3ML 3</t>
  </si>
  <si>
    <t>C000995</t>
  </si>
  <si>
    <t>FILTRO DE COMBUSTIBLE MANN WK1156</t>
  </si>
  <si>
    <t>C002153</t>
  </si>
  <si>
    <t>FILTRO DE COMBUSTIBLE MB 1633</t>
  </si>
  <si>
    <t>3ML 4</t>
  </si>
  <si>
    <t>C002492</t>
  </si>
  <si>
    <t>FILTRO TRAMPA DE AGUA SCANIA G410/G310/P340/R410 - MANN WK 1060/6</t>
  </si>
  <si>
    <t>C002494</t>
  </si>
  <si>
    <t>FILTRO DE COMBUSTIBLE SCANIA G310/G410/P340/R410 - MANN PU 941 X</t>
  </si>
  <si>
    <t>6ML</t>
  </si>
  <si>
    <t>6ML 1</t>
  </si>
  <si>
    <t>C000980</t>
  </si>
  <si>
    <t>FILTRO DE AIRE - MANN C 271320/1</t>
  </si>
  <si>
    <t>6ML 2</t>
  </si>
  <si>
    <t>C004089</t>
  </si>
  <si>
    <t>FILTRO DE AIRE PRIMARIO MB 1633 - MANN C 24 650/1</t>
  </si>
  <si>
    <t>6ML 3</t>
  </si>
  <si>
    <t>C003704</t>
  </si>
  <si>
    <t>FILTRO DE AIRE SCANIA G310 - MANN C 31 017</t>
  </si>
  <si>
    <t>T 112H 4X2 42 DS 310 HP</t>
  </si>
  <si>
    <t>170E28NCM51 EBS</t>
  </si>
  <si>
    <t>170E28 MLC (4185) EBS</t>
  </si>
  <si>
    <t>B39 - ACCELO 815</t>
  </si>
  <si>
    <t>170E28 MLC</t>
  </si>
  <si>
    <t>170E28NCM51</t>
  </si>
  <si>
    <t>SPRINTER 516 CDI FURGON 4325</t>
  </si>
  <si>
    <t>170E30TLA22 EBS</t>
  </si>
  <si>
    <t>ATEGO 1721 -48</t>
  </si>
  <si>
    <t>HILUX</t>
  </si>
  <si>
    <t>C002845</t>
  </si>
  <si>
    <t>FILTRO DE ACEITE TOYOTA HILUX - MANN W 940/81</t>
  </si>
  <si>
    <t>C002847</t>
  </si>
  <si>
    <t>FILTRO DE COMBUSTIBLE TOYOTA HILUX - MANN WK (940/6x)</t>
  </si>
  <si>
    <t>C002846</t>
  </si>
  <si>
    <t>FILTRO DE AIRE TOYOTA HILUX - MANN (C24 203)</t>
  </si>
  <si>
    <t>RANGER2</t>
  </si>
  <si>
    <t>C005109</t>
  </si>
  <si>
    <t>FILTRO DE ACEITE FORD RANGER 2,2L (1720612) - MANN HU 7002Z</t>
  </si>
  <si>
    <t>C005112</t>
  </si>
  <si>
    <t>FILTRO DE COMBUSTIBLE FORD RANGER 2.2L (39/9155/DD) - MANN PU 9008Z</t>
  </si>
  <si>
    <t>C005110</t>
  </si>
  <si>
    <t>FILTRO DE AIRE FORD RANGER 2.2L (AB39/9601/AB) - MANN C 22 024</t>
  </si>
  <si>
    <t>LS 1632-45/51</t>
  </si>
  <si>
    <t>1114</t>
  </si>
  <si>
    <t>C001511</t>
  </si>
  <si>
    <t>FILTRO DE ACEITE MB 1114 (A 000 184 86 25) ORIGINAL</t>
  </si>
  <si>
    <t>C003969</t>
  </si>
  <si>
    <t>FILTRO DE COMBUSTIBLE MB 1114/1218/1318/1418/1517 - WIX WF10261</t>
  </si>
  <si>
    <t>C003169</t>
  </si>
  <si>
    <t>FILTRO DE AIRE MB 1114/1620/710 - MANN C20 325/2</t>
  </si>
  <si>
    <t>C005113</t>
  </si>
  <si>
    <t>FILTRO DE HABITACULO FORD RANGER 2.2L (AB39/19N619/AA) - MANN CU 24 006</t>
  </si>
  <si>
    <t>OAF641</t>
  </si>
  <si>
    <t>OAF642</t>
  </si>
  <si>
    <t>OAF643</t>
  </si>
  <si>
    <t>OAF644</t>
  </si>
  <si>
    <t>OAF640</t>
  </si>
  <si>
    <t>ADA_CH - Danone Arg. S.A. - Chascomus</t>
  </si>
  <si>
    <t>AGN_TTE - AGUANORT - Transporte</t>
  </si>
  <si>
    <t>Alfavini - Alfavinil</t>
  </si>
  <si>
    <t>Arcor - Arcor</t>
  </si>
  <si>
    <t>CCU_MZA - Compañía Industrial Cervecera</t>
  </si>
  <si>
    <t>CCUCoAZA - Compañía Industrial Cer Alianz</t>
  </si>
  <si>
    <t>CCUDyAZA - Compañía Industrial Cer Alianz</t>
  </si>
  <si>
    <t>CENCO_MZ - Cencosud SA - Mendoza</t>
  </si>
  <si>
    <t>CENCO_SJ - Cencosud SA - San Juan</t>
  </si>
  <si>
    <t>CENCOMLD - Cencosud MZA Larga Distancia</t>
  </si>
  <si>
    <t>CIMSA_BS AS</t>
  </si>
  <si>
    <t>CIMSA_SRA</t>
  </si>
  <si>
    <t>CMQ_TTE - QUILMES TTE</t>
  </si>
  <si>
    <t>JOHNSON - SC JOHNSON DE ARGENTINA SAIC</t>
  </si>
  <si>
    <t>Papelera - Papelera del Plata S.A.</t>
  </si>
  <si>
    <t>Ocioso - Ociosidad</t>
  </si>
  <si>
    <t>SUC_CTC - Sucursal Buenos Aires</t>
  </si>
  <si>
    <t>SUC_GAL - Sucursal General Alvear</t>
  </si>
  <si>
    <t>SUC_MAL - Sucursal Malargüe</t>
  </si>
  <si>
    <t>SUC_MEN - Sucursal Mendoza</t>
  </si>
  <si>
    <t>SUC_REA - Sucursal Realicó</t>
  </si>
  <si>
    <t>SUC_ROS - Sucursal Rosario</t>
  </si>
  <si>
    <t>SUC_SLU - Sucursal San Luis</t>
  </si>
  <si>
    <t>SUC_SRA - Sucursal San Rafael</t>
  </si>
  <si>
    <t>Topacio - Topacio</t>
  </si>
  <si>
    <t>Unilever - Unilever de Arg. S.A.</t>
  </si>
  <si>
    <t>Total general</t>
  </si>
  <si>
    <t>Etiquetas de fila</t>
  </si>
  <si>
    <t>CIMSA_MZA</t>
  </si>
  <si>
    <t>LlaveLay</t>
  </si>
  <si>
    <t>7ML</t>
  </si>
  <si>
    <t>Cambiar Filtro Secante (APU)</t>
  </si>
  <si>
    <t>C004784</t>
  </si>
  <si>
    <t>FILTRO DE AIRE APU - MANN TB1394/16X</t>
  </si>
  <si>
    <t>10ML</t>
  </si>
  <si>
    <t>Cambiar Filtro Urea</t>
  </si>
  <si>
    <t>4MC</t>
  </si>
  <si>
    <t>Control Estado Aceite De Caja</t>
  </si>
  <si>
    <t>5MC</t>
  </si>
  <si>
    <t>Control Estado Aceite Del Eje Trasero</t>
  </si>
  <si>
    <t>4ML</t>
  </si>
  <si>
    <t>Cambiar Aceite De Caja</t>
  </si>
  <si>
    <t>C000761</t>
  </si>
  <si>
    <t>HELICOIDAL M 80 W T205 - TAMBOR DE ACEITE DE CAJA</t>
  </si>
  <si>
    <t>5ML</t>
  </si>
  <si>
    <t>Cambiar Aceite Del Eje Trasero</t>
  </si>
  <si>
    <t>C003363</t>
  </si>
  <si>
    <t>ACEITE HIPOIDAL 80W90 YPF B-20</t>
  </si>
  <si>
    <t>7MC</t>
  </si>
  <si>
    <t>Control Filtro Secante</t>
  </si>
  <si>
    <t>8ML</t>
  </si>
  <si>
    <t>Cambiar Filtro Hidráulico</t>
  </si>
  <si>
    <t>C003199</t>
  </si>
  <si>
    <t>FILTRO DE DIRECCION HIDRAULICA MB 1114/1318/1620/1634/1720/710/712/914/ACCELO 915/ATEGO 1725/1728/AX</t>
  </si>
  <si>
    <t>9ML</t>
  </si>
  <si>
    <t>Cambiar Aceite Hidráulico</t>
  </si>
  <si>
    <t>C000314</t>
  </si>
  <si>
    <t>HIDRO ATF B 20 (125480)</t>
  </si>
  <si>
    <t>11ML</t>
  </si>
  <si>
    <t>Cambiar Líquido Refrigerante</t>
  </si>
  <si>
    <t>C005279</t>
  </si>
  <si>
    <t>LIQUIDO REFRIGERANTE  50/50 X 1000LT</t>
  </si>
  <si>
    <t>TTV898</t>
  </si>
  <si>
    <t>INACTIVO</t>
  </si>
  <si>
    <t>18ML</t>
  </si>
  <si>
    <t>Cambiar Compresor</t>
  </si>
  <si>
    <t>C004484</t>
  </si>
  <si>
    <t>COMPRESOR DE AIRE (BICILINDRICO) MB 2541 (A 460 130 00 15) - ZEPLIN (SFP9125101070)</t>
  </si>
  <si>
    <t>20ML</t>
  </si>
  <si>
    <t>Cambiar Inyectores y Regulacion De Valvulas</t>
  </si>
  <si>
    <t>C003639</t>
  </si>
  <si>
    <t>SERVICIO DE REPARACION DE INYECTORES</t>
  </si>
  <si>
    <t>8MC</t>
  </si>
  <si>
    <t>Control Filtro Hidráulico</t>
  </si>
  <si>
    <t>9MC</t>
  </si>
  <si>
    <t>Control Estado Aceite Hidráulico</t>
  </si>
  <si>
    <t>10MC</t>
  </si>
  <si>
    <t>Control Filtro Urea</t>
  </si>
  <si>
    <t>C001607</t>
  </si>
  <si>
    <t>FILTRO DE UREA MB 1729S (A 000 142 02 89) - MANN U 58/1 KIT</t>
  </si>
  <si>
    <t>11MC</t>
  </si>
  <si>
    <t>Control Estado Líquido Refrigerante</t>
  </si>
  <si>
    <t>16MC</t>
  </si>
  <si>
    <t>Control Gobernadora</t>
  </si>
  <si>
    <t>18MC</t>
  </si>
  <si>
    <t>Control Compresor</t>
  </si>
  <si>
    <t>20MC</t>
  </si>
  <si>
    <t>Control Inyectores y Regulacion De Valvulas</t>
  </si>
  <si>
    <t>22MC</t>
  </si>
  <si>
    <t>Control Bomba De Agua</t>
  </si>
  <si>
    <t>2EL</t>
  </si>
  <si>
    <t>Cambiar Alternador</t>
  </si>
  <si>
    <t>C003592</t>
  </si>
  <si>
    <t>REPARACION ALTERNADOR (SIN MANO DE OBRA)</t>
  </si>
  <si>
    <t>3EL</t>
  </si>
  <si>
    <t>Cambiar Arranque</t>
  </si>
  <si>
    <t>C003593</t>
  </si>
  <si>
    <t>REPARACION ARRANQUE (SIN MANO DE OBRA)</t>
  </si>
  <si>
    <t>IBB076</t>
  </si>
  <si>
    <t>25MP</t>
  </si>
  <si>
    <t>Preventivo Palas Hidraulicas</t>
  </si>
  <si>
    <t>C003834</t>
  </si>
  <si>
    <t>ACEITE HIDRAULICO BP 68 x 20LT</t>
  </si>
  <si>
    <t>C003485</t>
  </si>
  <si>
    <t>CARBONES PARA MOTORES ELECTRICOS 12V (PALAS HIDRAULICAS) - SCHUNK (BSX 102)</t>
  </si>
  <si>
    <t>AF371BF</t>
  </si>
  <si>
    <t>KLY974</t>
  </si>
  <si>
    <t>KKZ669</t>
  </si>
  <si>
    <t>23MR</t>
  </si>
  <si>
    <t>Preventivo Semirremolque/Acoplado</t>
  </si>
  <si>
    <t>C003239</t>
  </si>
  <si>
    <t>COJINETE DE RUEDA SEMIREMOLQUE - FAG (KHM518445/HM518410)</t>
  </si>
  <si>
    <t>C000795</t>
  </si>
  <si>
    <t>GRASA NEREA CL EP2 B18</t>
  </si>
  <si>
    <t>C005108</t>
  </si>
  <si>
    <t>RODILLO DE PATIN LISO 32MM - SKU (MPFR0054)</t>
  </si>
  <si>
    <t>C002862</t>
  </si>
  <si>
    <t>RESORTE BICONICO P/PATIN FRENO MASTER (31,5 X 210 X 5MM.)</t>
  </si>
  <si>
    <t>C003276</t>
  </si>
  <si>
    <t>FORRO DE PATIN DE FRENO DE 18MM MB 1720/1624/1318 (A 695 423 07 10) - DEPENDE DE LA CAMPANA</t>
  </si>
  <si>
    <t>KMF921</t>
  </si>
  <si>
    <t>AG255NF</t>
  </si>
  <si>
    <t>KVP166</t>
  </si>
  <si>
    <t>AG255NG</t>
  </si>
  <si>
    <t>AE356ZB</t>
  </si>
  <si>
    <t>IDJ797</t>
  </si>
  <si>
    <t>AE972ZS</t>
  </si>
  <si>
    <t>LUW863</t>
  </si>
  <si>
    <t>GYO749</t>
  </si>
  <si>
    <t>LXM511</t>
  </si>
  <si>
    <t>PDD687</t>
  </si>
  <si>
    <t>AG255ND</t>
  </si>
  <si>
    <t>AG255NE</t>
  </si>
  <si>
    <t>AG255NH</t>
  </si>
  <si>
    <t>OJG072</t>
  </si>
  <si>
    <t>OJG073</t>
  </si>
  <si>
    <t>OJG074</t>
  </si>
  <si>
    <t>NWV169</t>
  </si>
  <si>
    <t>NWV170</t>
  </si>
  <si>
    <t>NWV171</t>
  </si>
  <si>
    <t>NWV172</t>
  </si>
  <si>
    <t>OAF635</t>
  </si>
  <si>
    <t>OAF638</t>
  </si>
  <si>
    <t>OAF639</t>
  </si>
  <si>
    <t>OAF653</t>
  </si>
  <si>
    <t>IBB073</t>
  </si>
  <si>
    <t>IBB074</t>
  </si>
  <si>
    <t>IBB075</t>
  </si>
  <si>
    <t>IDJ796</t>
  </si>
  <si>
    <t>JHD033</t>
  </si>
  <si>
    <t>OAF636</t>
  </si>
  <si>
    <t>OAF637</t>
  </si>
  <si>
    <t>OFV179</t>
  </si>
  <si>
    <t>OFZ590</t>
  </si>
  <si>
    <t>OFZ592</t>
  </si>
  <si>
    <t>OJG075</t>
  </si>
  <si>
    <t>OJG076</t>
  </si>
  <si>
    <t>VJQ213</t>
  </si>
  <si>
    <t>JGG403</t>
  </si>
  <si>
    <t>JGG405</t>
  </si>
  <si>
    <t>JGG406</t>
  </si>
  <si>
    <t>JGG404</t>
  </si>
  <si>
    <t>JXZ244</t>
  </si>
  <si>
    <t>JXZ245</t>
  </si>
  <si>
    <t>JXZ246</t>
  </si>
  <si>
    <t>KMN384</t>
  </si>
  <si>
    <t>KMN385</t>
  </si>
  <si>
    <t>KRR045</t>
  </si>
  <si>
    <t>KRR046</t>
  </si>
  <si>
    <t>AF247UU</t>
  </si>
  <si>
    <t>AF247UT</t>
  </si>
  <si>
    <t>AG054RB</t>
  </si>
  <si>
    <t>AG054RE</t>
  </si>
  <si>
    <t>AG054RD</t>
  </si>
  <si>
    <t>EGW558</t>
  </si>
  <si>
    <t>ENA706</t>
  </si>
  <si>
    <t>ENA708</t>
  </si>
  <si>
    <t>FCC940</t>
  </si>
  <si>
    <t>OFZ591</t>
  </si>
  <si>
    <t>OFV178</t>
  </si>
  <si>
    <t>JHD034</t>
  </si>
  <si>
    <t>JHD035</t>
  </si>
  <si>
    <t>KKZ666</t>
  </si>
  <si>
    <t>KKZ668</t>
  </si>
  <si>
    <t>JIL501</t>
  </si>
  <si>
    <t>22MR</t>
  </si>
  <si>
    <t>AD367QD</t>
  </si>
  <si>
    <t>AD367QB</t>
  </si>
  <si>
    <t>AD367QF</t>
  </si>
  <si>
    <t>AD367PZ</t>
  </si>
  <si>
    <t>AD367QC</t>
  </si>
  <si>
    <t>AD367QA</t>
  </si>
  <si>
    <t>AD367PX</t>
  </si>
  <si>
    <t>AF371BH</t>
  </si>
  <si>
    <t>AF371BG</t>
  </si>
  <si>
    <t>AF371BE</t>
  </si>
  <si>
    <t>AF461DA</t>
  </si>
  <si>
    <t>AF461DB</t>
  </si>
  <si>
    <t>AF461DC</t>
  </si>
  <si>
    <t>23MF</t>
  </si>
  <si>
    <t>Preventivo Equipo De Frio</t>
  </si>
  <si>
    <t>C004524</t>
  </si>
  <si>
    <t>CORREA TRAPEZOIDAL (EQUIPO DE FRIO) - 13X1425</t>
  </si>
  <si>
    <t>C004525</t>
  </si>
  <si>
    <t>CORREA TRAPEZOIDAL (EQUIPO DE FRIO) - 13X1450</t>
  </si>
  <si>
    <t>24MF</t>
  </si>
  <si>
    <t>C004286</t>
  </si>
  <si>
    <t>FILTRO DE COMBUSTIBLE EQUIPO DE FRIO MD-300</t>
  </si>
  <si>
    <t>C000868</t>
  </si>
  <si>
    <t>FILTRO DE ACEITE THERMO KING P550835 DONALDSON</t>
  </si>
  <si>
    <t>C005111</t>
  </si>
  <si>
    <t>FILTRO DE AIRE THERMO KING V-733 - MANN C 13 114/4</t>
  </si>
  <si>
    <t>25MF</t>
  </si>
  <si>
    <t>Cambiar Liquido Refrigerante Equipo Frio</t>
  </si>
  <si>
    <t>21MC</t>
  </si>
  <si>
    <t>Control De Embrague</t>
  </si>
  <si>
    <t>21ML</t>
  </si>
  <si>
    <t>Cambiar Embrague</t>
  </si>
  <si>
    <t>C004672</t>
  </si>
  <si>
    <t>KIT DE EMBRAGUE MB 2541 (DISCO: A 026 250 09 03 - PLACA: A 010 250 07 04) ORIGINAL</t>
  </si>
  <si>
    <t>21ML 2</t>
  </si>
  <si>
    <t>C004816</t>
  </si>
  <si>
    <t>KIT DE EMBRAGUE SCANIA G310 - SACHS</t>
  </si>
  <si>
    <t>Arcor S.A.I.C.</t>
  </si>
  <si>
    <t>CCU_MZA - Comp. Cerv. Unidas - MZA</t>
  </si>
  <si>
    <t>CCUCoAZA</t>
  </si>
  <si>
    <t>CCUDyAZA</t>
  </si>
  <si>
    <t>CENCOMLD - Cencosud SA - Mendoza</t>
  </si>
  <si>
    <t>Topacio</t>
  </si>
  <si>
    <t>Suma de Valor Total</t>
  </si>
  <si>
    <t>Alfavinil</t>
  </si>
  <si>
    <t>Taller Correspondiente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</si>
</sst>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$&quot;\ #,##0.00;\-&quot;$&quot;\ #,##0.00"/>
    <numFmt numFmtId="43" formatCode="_-* #,##0.00_-;\-* #,##0.00_-;_-* &quot;-&quot;??_-;_-@_-"/>
    <numFmt numFmtId="164" formatCode="yyyy\-mm\-dd\ hh:mm:ss"/>
    <numFmt numFmtId="165" formatCode="&quot;$&quot;\ 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95B3D7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1" fillId="0" borderId="0" xfId="0" applyNumberFormat="1" applyFont="1"/>
    <xf numFmtId="14" fontId="1" fillId="0" borderId="0" xfId="0" applyNumberFormat="1" applyFont="1"/>
    <xf numFmtId="0" fontId="1" fillId="2" borderId="3" xfId="0" applyFont="1" applyFill="1" applyBorder="1"/>
    <xf numFmtId="164" fontId="1" fillId="2" borderId="3" xfId="0" applyNumberFormat="1" applyFont="1" applyFill="1" applyBorder="1"/>
    <xf numFmtId="14" fontId="1" fillId="2" borderId="3" xfId="0" applyNumberFormat="1" applyFont="1" applyFill="1" applyBorder="1"/>
    <xf numFmtId="165" fontId="1" fillId="2" borderId="3" xfId="0" applyNumberFormat="1" applyFont="1" applyFill="1" applyBorder="1"/>
    <xf numFmtId="0" fontId="1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7" fontId="1" fillId="0" borderId="0" xfId="0" applyNumberFormat="1" applyFont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7" fontId="1" fillId="2" borderId="3" xfId="0" applyNumberFormat="1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1" fillId="4" borderId="3" xfId="0" applyFont="1" applyFill="1" applyBorder="1" applyAlignment="1">
      <alignment horizontal="left"/>
    </xf>
    <xf numFmtId="0" fontId="1" fillId="3" borderId="12" xfId="0" applyFont="1" applyFill="1" applyBorder="1"/>
    <xf numFmtId="0" fontId="2" fillId="6" borderId="3" xfId="0" applyFont="1" applyFill="1" applyBorder="1"/>
    <xf numFmtId="0" fontId="2" fillId="6" borderId="13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5" fontId="0" fillId="0" borderId="0" xfId="0" applyNumberFormat="1" applyFont="1" applyAlignment="1"/>
    <xf numFmtId="7" fontId="0" fillId="0" borderId="0" xfId="1" applyNumberFormat="1" applyFont="1"/>
    <xf numFmtId="7" fontId="0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7" fontId="0" fillId="0" borderId="0" xfId="1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YWorRfsr7yd1GBl6vnDv-jSo_5vYxNho/Flota/Empleo%20Flota%202023/EMPLEO%20DE%20FLOTA%20Oper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TD"/>
      <sheetName val="Para RRHH"/>
      <sheetName val="Tabla Dinamica Detalle"/>
      <sheetName val="Hoja5"/>
      <sheetName val="Hoja7"/>
      <sheetName val="Hoja6"/>
      <sheetName val="Detalle"/>
      <sheetName val="Hoja8"/>
      <sheetName val="diciembre25"/>
      <sheetName val="Hoja3"/>
      <sheetName val="Falta en SAP"/>
      <sheetName val="Hoja2"/>
      <sheetName val="Distancia eje"/>
      <sheetName val="Hoja1"/>
      <sheetName val="CC"/>
      <sheetName val="Cedab"/>
      <sheetName val="CC."/>
      <sheetName val="CC. (2)"/>
      <sheetName val="INACTIVOS "/>
      <sheetName val="Hoja4"/>
      <sheetName val="Clie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Interno</v>
          </cell>
        </row>
        <row r="2">
          <cell r="D2" t="str">
            <v xml:space="preserve"> FVA790</v>
          </cell>
          <cell r="E2" t="str">
            <v>Tractor</v>
          </cell>
          <cell r="F2">
            <v>0</v>
          </cell>
          <cell r="G2" t="str">
            <v>Tractor</v>
          </cell>
          <cell r="N2" t="str">
            <v>Avellaneda Jose David</v>
          </cell>
          <cell r="O2" t="str">
            <v>Avellaneda Jose David</v>
          </cell>
          <cell r="P2" t="str">
            <v>No</v>
          </cell>
          <cell r="Q2" t="str">
            <v>De Tercero</v>
          </cell>
          <cell r="R2" t="str">
            <v>-</v>
          </cell>
          <cell r="S2" t="str">
            <v>De Tercero</v>
          </cell>
          <cell r="T2" t="str">
            <v>VOLKSWAGEN</v>
          </cell>
          <cell r="U2">
            <v>18310</v>
          </cell>
          <cell r="V2">
            <v>2006</v>
          </cell>
          <cell r="W2">
            <v>20</v>
          </cell>
          <cell r="X2">
            <v>2006</v>
          </cell>
          <cell r="Y2">
            <v>20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 t="str">
            <v>CENCO_MZ - Cencosud SA - Mendoza</v>
          </cell>
          <cell r="AT2" t="str">
            <v>CENCO_MZ - Cencosud SA - Mendoza</v>
          </cell>
          <cell r="AU2" t="str">
            <v>CENCO_MZ - Cencosud SA - Mendoza</v>
          </cell>
          <cell r="AV2" t="str">
            <v>CENCO_MZ - Cencosud SA - Mendoza</v>
          </cell>
          <cell r="AW2" t="str">
            <v>CENCO_MZ - Cencosud SA - Mendoza</v>
          </cell>
          <cell r="AX2" t="str">
            <v>INACTIVO</v>
          </cell>
          <cell r="AY2" t="str">
            <v>INACTIVO</v>
          </cell>
          <cell r="AZ2" t="str">
            <v>INACTIVO</v>
          </cell>
          <cell r="BA2" t="str">
            <v>INACTIVO</v>
          </cell>
          <cell r="BB2" t="str">
            <v>INACTIVO</v>
          </cell>
          <cell r="BC2" t="str">
            <v>INACTIVO</v>
          </cell>
          <cell r="BD2" t="str">
            <v>INACTIVO</v>
          </cell>
          <cell r="BE2" t="str">
            <v>INACTIVO</v>
          </cell>
          <cell r="BF2" t="str">
            <v>INACTIVO</v>
          </cell>
          <cell r="BG2" t="str">
            <v>INACTIVO</v>
          </cell>
          <cell r="BH2" t="str">
            <v>INACTIVO</v>
          </cell>
          <cell r="BI2" t="str">
            <v>INACTIVO</v>
          </cell>
          <cell r="BJ2" t="str">
            <v>INACTIVO</v>
          </cell>
          <cell r="BK2" t="str">
            <v>INACTIVO</v>
          </cell>
          <cell r="BL2" t="str">
            <v>INACTIVO</v>
          </cell>
          <cell r="BM2" t="str">
            <v>INACTIVO</v>
          </cell>
          <cell r="BN2" t="str">
            <v>INACTIVO</v>
          </cell>
          <cell r="BO2" t="str">
            <v>INACTIVO</v>
          </cell>
          <cell r="BP2" t="str">
            <v>INACTIVO</v>
          </cell>
          <cell r="BQ2" t="str">
            <v>INACTIVO</v>
          </cell>
          <cell r="BR2" t="str">
            <v>INACTIVO</v>
          </cell>
          <cell r="BS2" t="str">
            <v>INACTIVO</v>
          </cell>
          <cell r="BT2" t="str">
            <v>INACTIVO</v>
          </cell>
          <cell r="BU2" t="str">
            <v>INACTIVO</v>
          </cell>
          <cell r="BV2" t="str">
            <v>INACTIVO</v>
          </cell>
          <cell r="BW2" t="str">
            <v>INACTIVO</v>
          </cell>
          <cell r="BX2" t="str">
            <v>INACTIVO</v>
          </cell>
          <cell r="BY2" t="str">
            <v>INACTIVO</v>
          </cell>
          <cell r="BZ2" t="str">
            <v>INACTIVO</v>
          </cell>
          <cell r="CA2" t="str">
            <v>INACTIVO</v>
          </cell>
          <cell r="CB2" t="str">
            <v>INACTIVO</v>
          </cell>
          <cell r="CC2" t="str">
            <v>BAJA</v>
          </cell>
          <cell r="CD2" t="str">
            <v>BAJA</v>
          </cell>
          <cell r="CE2" t="str">
            <v>BAJA</v>
          </cell>
          <cell r="CF2" t="str">
            <v>BAJA</v>
          </cell>
          <cell r="CG2" t="str">
            <v>BAJA</v>
          </cell>
          <cell r="CH2" t="str">
            <v>BAJA</v>
          </cell>
          <cell r="CI2" t="str">
            <v>BAJA</v>
          </cell>
          <cell r="CJ2" t="str">
            <v>BAJA</v>
          </cell>
          <cell r="CK2" t="str">
            <v>BAJA</v>
          </cell>
          <cell r="CL2" t="str">
            <v>BAJA</v>
          </cell>
          <cell r="CM2" t="str">
            <v>BAJA</v>
          </cell>
          <cell r="CN2" t="str">
            <v>BAJA</v>
          </cell>
          <cell r="CO2" t="str">
            <v>BAJA</v>
          </cell>
          <cell r="CP2" t="str">
            <v>BAJA</v>
          </cell>
          <cell r="CQ2" t="str">
            <v>BAJA</v>
          </cell>
          <cell r="CR2" t="str">
            <v>BAJA</v>
          </cell>
          <cell r="CS2" t="str">
            <v>BAJA</v>
          </cell>
          <cell r="CT2" t="str">
            <v>BAJA</v>
          </cell>
          <cell r="CU2" t="str">
            <v>BAJA</v>
          </cell>
          <cell r="CV2" t="str">
            <v>BAJA</v>
          </cell>
          <cell r="CW2" t="str">
            <v>BAJA</v>
          </cell>
        </row>
        <row r="3">
          <cell r="D3" t="str">
            <v>A188GRE</v>
          </cell>
          <cell r="E3" t="str">
            <v>MOTO-VEHICULO</v>
          </cell>
          <cell r="F3" t="str">
            <v>MOTO-VEHICULO</v>
          </cell>
          <cell r="G3" t="str">
            <v>MOTO-VEHICULO</v>
          </cell>
          <cell r="N3" t="str">
            <v>FUENTES ESTEBAN ANDRES</v>
          </cell>
          <cell r="O3" t="str">
            <v>FUENTES ESTEBAN ANDRES</v>
          </cell>
          <cell r="P3" t="str">
            <v>No</v>
          </cell>
          <cell r="Q3" t="str">
            <v>De Tercero</v>
          </cell>
          <cell r="R3" t="str">
            <v>-</v>
          </cell>
          <cell r="S3" t="str">
            <v>De Tercero</v>
          </cell>
          <cell r="T3" t="str">
            <v>HONDA</v>
          </cell>
          <cell r="U3" t="str">
            <v>WAVE 110S CD</v>
          </cell>
          <cell r="V3" t="str">
            <v>JA37E-3610251</v>
          </cell>
          <cell r="W3" t="str">
            <v>8CHJA5020PP000804</v>
          </cell>
          <cell r="X3">
            <v>2023</v>
          </cell>
          <cell r="Y3">
            <v>3</v>
          </cell>
          <cell r="CN3" t="str">
            <v>SUC_MEN - Sucursal Mendoza</v>
          </cell>
          <cell r="CO3" t="str">
            <v>SUC_MEN - Sucursal Mendoza</v>
          </cell>
          <cell r="CP3" t="str">
            <v>SUC_MEN - Sucursal Mendoza</v>
          </cell>
          <cell r="CQ3" t="str">
            <v>SUC_MEN - Sucursal Mendoza</v>
          </cell>
          <cell r="CR3" t="str">
            <v>SUC_MEN - Sucursal Mendoza</v>
          </cell>
          <cell r="CS3" t="str">
            <v>SUC_MEN - Sucursal Mendoza</v>
          </cell>
          <cell r="CT3" t="str">
            <v>SUC_MEN - Sucursal Mendoza</v>
          </cell>
          <cell r="CU3" t="str">
            <v>SUC_MEN - Sucursal Mendoza</v>
          </cell>
          <cell r="CV3" t="str">
            <v>SUC_MEN - Sucursal Mendoza</v>
          </cell>
          <cell r="CW3" t="str">
            <v>SUC_MEN - Sucursal Mendoza</v>
          </cell>
        </row>
        <row r="4">
          <cell r="D4" t="str">
            <v>AA009OZ</v>
          </cell>
          <cell r="E4" t="str">
            <v>Tractor</v>
          </cell>
          <cell r="F4" t="str">
            <v>Tractor</v>
          </cell>
          <cell r="G4" t="str">
            <v>Tractor</v>
          </cell>
          <cell r="N4" t="str">
            <v>ALONSO JOSE</v>
          </cell>
          <cell r="O4" t="str">
            <v>ALONSO JOSE</v>
          </cell>
          <cell r="P4" t="str">
            <v>No</v>
          </cell>
          <cell r="Q4" t="str">
            <v>De Tercero</v>
          </cell>
          <cell r="R4" t="str">
            <v>-</v>
          </cell>
          <cell r="S4" t="str">
            <v>De Tercero</v>
          </cell>
          <cell r="T4" t="str">
            <v>FORD</v>
          </cell>
          <cell r="U4" t="str">
            <v>CARGO 1933-37CD MT</v>
          </cell>
          <cell r="V4">
            <v>2016</v>
          </cell>
          <cell r="W4">
            <v>10</v>
          </cell>
          <cell r="X4">
            <v>2016</v>
          </cell>
          <cell r="Y4">
            <v>10</v>
          </cell>
          <cell r="Z4" t="str">
            <v>Malargue</v>
          </cell>
          <cell r="AA4" t="str">
            <v>Expreso - Servicios Troncales</v>
          </cell>
          <cell r="AB4" t="str">
            <v>Expreso - Servicios Troncales</v>
          </cell>
          <cell r="AC4" t="str">
            <v>Expreso - Servicios Troncales</v>
          </cell>
          <cell r="AD4" t="str">
            <v>Expreso - Servicios Troncales</v>
          </cell>
          <cell r="AE4" t="str">
            <v>Expreso - Servicios Troncales</v>
          </cell>
          <cell r="AF4" t="str">
            <v>Expreso - Servicios Troncales</v>
          </cell>
          <cell r="AG4" t="str">
            <v>Expreso - Servicios Troncales</v>
          </cell>
          <cell r="AH4" t="str">
            <v>Expreso - Servicios Troncales</v>
          </cell>
          <cell r="AI4" t="str">
            <v>Expreso - Servicios Troncales</v>
          </cell>
          <cell r="AJ4" t="str">
            <v>Expreso - Servicios Troncales</v>
          </cell>
          <cell r="AK4" t="str">
            <v>Expreso - Servicios Troncales</v>
          </cell>
          <cell r="AL4" t="str">
            <v>Expreso - Servicios Troncales</v>
          </cell>
          <cell r="AM4" t="str">
            <v>Expreso - Servicios Troncales</v>
          </cell>
          <cell r="AN4" t="str">
            <v>Expreso - Servicios Troncales</v>
          </cell>
          <cell r="AO4" t="str">
            <v>Expreso - Servicios Troncales</v>
          </cell>
          <cell r="AP4" t="str">
            <v>Expreso - Servicios Troncales</v>
          </cell>
          <cell r="AQ4" t="str">
            <v>Expreso - Servicios Troncales</v>
          </cell>
          <cell r="AR4" t="str">
            <v>Expreso - Servicios Troncales</v>
          </cell>
          <cell r="AS4" t="str">
            <v>Expreso - Servicios Troncales</v>
          </cell>
          <cell r="AT4" t="str">
            <v>Expreso - Servicios Troncales</v>
          </cell>
          <cell r="AU4" t="str">
            <v>Expreso - Servicios Troncales</v>
          </cell>
          <cell r="AV4" t="str">
            <v>Expreso - Servicios Troncales</v>
          </cell>
          <cell r="AW4" t="str">
            <v>Expreso - Servicios Troncales</v>
          </cell>
          <cell r="AX4" t="str">
            <v>INACTIVO</v>
          </cell>
          <cell r="AY4" t="str">
            <v>INACTIVO</v>
          </cell>
          <cell r="AZ4" t="str">
            <v>INACTIVO</v>
          </cell>
          <cell r="BA4" t="str">
            <v>INACTIVO</v>
          </cell>
          <cell r="BB4" t="str">
            <v>INACTIVO</v>
          </cell>
          <cell r="BC4" t="str">
            <v>INACTIVO</v>
          </cell>
          <cell r="BD4" t="str">
            <v>INACTIVO</v>
          </cell>
          <cell r="BE4" t="str">
            <v>INACTIVO</v>
          </cell>
          <cell r="BF4" t="str">
            <v>INACTIVO</v>
          </cell>
          <cell r="BG4" t="str">
            <v>INACTIVO</v>
          </cell>
          <cell r="BH4" t="str">
            <v>INACTIVO</v>
          </cell>
          <cell r="BI4" t="str">
            <v>INACTIVO</v>
          </cell>
          <cell r="BJ4" t="str">
            <v>INACTIVO</v>
          </cell>
          <cell r="BK4" t="str">
            <v>INACTIVO</v>
          </cell>
          <cell r="BL4" t="str">
            <v>INACTIVO</v>
          </cell>
          <cell r="BM4" t="str">
            <v>INACTIVO</v>
          </cell>
          <cell r="BN4" t="str">
            <v>INACTIVO</v>
          </cell>
          <cell r="BO4" t="str">
            <v>INACTIVO</v>
          </cell>
          <cell r="BP4" t="str">
            <v>INACTIVO</v>
          </cell>
          <cell r="BQ4" t="str">
            <v>INACTIVO</v>
          </cell>
          <cell r="BR4" t="str">
            <v>INACTIVO</v>
          </cell>
          <cell r="BS4" t="str">
            <v>INACTIVO</v>
          </cell>
          <cell r="BT4" t="str">
            <v>INACTIVO</v>
          </cell>
          <cell r="BU4" t="str">
            <v>INACTIVO</v>
          </cell>
          <cell r="BV4" t="str">
            <v>INACTIVO</v>
          </cell>
          <cell r="BW4" t="str">
            <v>INACTIVO</v>
          </cell>
          <cell r="BX4" t="str">
            <v>INACTIVO</v>
          </cell>
          <cell r="BY4" t="str">
            <v>INACTIVO</v>
          </cell>
          <cell r="BZ4" t="str">
            <v>INACTIVO</v>
          </cell>
          <cell r="CA4" t="str">
            <v>INACTIVO</v>
          </cell>
          <cell r="CB4" t="str">
            <v>INACTIVO</v>
          </cell>
          <cell r="CC4" t="str">
            <v>BAJA</v>
          </cell>
          <cell r="CD4" t="str">
            <v>BAJA</v>
          </cell>
          <cell r="CE4" t="str">
            <v>BAJA</v>
          </cell>
          <cell r="CF4" t="str">
            <v>BAJA</v>
          </cell>
          <cell r="CG4" t="str">
            <v>BAJA</v>
          </cell>
          <cell r="CH4" t="str">
            <v>BAJA</v>
          </cell>
          <cell r="CI4" t="str">
            <v>BAJA</v>
          </cell>
          <cell r="CJ4" t="str">
            <v>BAJA</v>
          </cell>
          <cell r="CK4" t="str">
            <v>BAJA</v>
          </cell>
          <cell r="CL4" t="str">
            <v>BAJA</v>
          </cell>
          <cell r="CM4" t="str">
            <v>BAJA</v>
          </cell>
          <cell r="CN4" t="str">
            <v>BAJA</v>
          </cell>
          <cell r="CO4" t="str">
            <v>BAJA</v>
          </cell>
          <cell r="CP4" t="str">
            <v>BAJA</v>
          </cell>
          <cell r="CQ4" t="str">
            <v>BAJA</v>
          </cell>
          <cell r="CR4" t="str">
            <v>BAJA</v>
          </cell>
          <cell r="CS4" t="str">
            <v>BAJA</v>
          </cell>
          <cell r="CT4" t="str">
            <v>BAJA</v>
          </cell>
          <cell r="CU4" t="str">
            <v>BAJA</v>
          </cell>
          <cell r="CV4" t="str">
            <v>BAJA</v>
          </cell>
          <cell r="CW4" t="str">
            <v>BAJA</v>
          </cell>
        </row>
        <row r="5">
          <cell r="D5" t="str">
            <v>AB010SB</v>
          </cell>
          <cell r="E5" t="str">
            <v>Camioneta</v>
          </cell>
          <cell r="F5" t="str">
            <v>Camioneta</v>
          </cell>
          <cell r="G5" t="str">
            <v>Camioneta</v>
          </cell>
          <cell r="N5" t="str">
            <v>Expreso Malargüe S. A.</v>
          </cell>
          <cell r="O5" t="str">
            <v>Expreso Malargüe S. A.</v>
          </cell>
          <cell r="P5" t="str">
            <v>No</v>
          </cell>
          <cell r="Q5" t="str">
            <v>Propio</v>
          </cell>
          <cell r="R5" t="str">
            <v>-</v>
          </cell>
          <cell r="S5" t="str">
            <v>Propio</v>
          </cell>
          <cell r="T5" t="str">
            <v>TOYOTA</v>
          </cell>
          <cell r="U5" t="str">
            <v>SW4 4X4 SRX 2,8 TDI 6 A/T 7A</v>
          </cell>
          <cell r="V5" t="str">
            <v>1GD-4214132</v>
          </cell>
          <cell r="W5" t="str">
            <v>8AJBA3FS1H0235680</v>
          </cell>
          <cell r="X5">
            <v>2017</v>
          </cell>
          <cell r="Y5">
            <v>9</v>
          </cell>
          <cell r="BT5" t="str">
            <v>Sin Operación</v>
          </cell>
          <cell r="BU5" t="str">
            <v>Gs_Estru - Gastos de Estructura</v>
          </cell>
          <cell r="BV5" t="str">
            <v>Sin Operación</v>
          </cell>
          <cell r="BW5" t="str">
            <v>Gs_Estru - Gastos de Estructura</v>
          </cell>
          <cell r="BX5" t="str">
            <v>Gs_Estru - Gastos de Estructura</v>
          </cell>
          <cell r="BY5" t="str">
            <v>Gs_Estru - Gastos de Estructura</v>
          </cell>
          <cell r="BZ5" t="str">
            <v>Gs_Estru - Gastos de Estructura</v>
          </cell>
          <cell r="CA5" t="str">
            <v>Gs_Estru - Gastos de Estructura</v>
          </cell>
          <cell r="CB5" t="str">
            <v>Gs_Estru - Gastos de Estructura</v>
          </cell>
          <cell r="CC5" t="str">
            <v>Gs_Estru - Gastos de Estructura</v>
          </cell>
          <cell r="CD5" t="str">
            <v>Gs_Estru - Gastos de Estructura</v>
          </cell>
          <cell r="CE5" t="str">
            <v>Gs_Estru - Gastos de Estructura</v>
          </cell>
          <cell r="CF5" t="str">
            <v>Gs_Estru - Gastos de Estructura</v>
          </cell>
          <cell r="CG5" t="str">
            <v>Gs_Estru - Gastos de Estructura</v>
          </cell>
          <cell r="CH5" t="str">
            <v>BAJA</v>
          </cell>
          <cell r="CI5" t="str">
            <v>BAJA</v>
          </cell>
          <cell r="CJ5" t="str">
            <v>BAJA</v>
          </cell>
          <cell r="CK5" t="str">
            <v>BAJA</v>
          </cell>
          <cell r="CL5" t="str">
            <v>BAJA</v>
          </cell>
          <cell r="CM5" t="str">
            <v>BAJA</v>
          </cell>
          <cell r="CN5" t="str">
            <v>BAJA</v>
          </cell>
          <cell r="CO5" t="str">
            <v>BAJA</v>
          </cell>
          <cell r="CP5" t="str">
            <v>BAJA</v>
          </cell>
          <cell r="CQ5" t="str">
            <v>BAJA</v>
          </cell>
          <cell r="CR5" t="str">
            <v>BAJA</v>
          </cell>
          <cell r="CS5" t="str">
            <v>BAJA</v>
          </cell>
          <cell r="CT5" t="str">
            <v>BAJA</v>
          </cell>
          <cell r="CU5" t="str">
            <v>BAJA</v>
          </cell>
          <cell r="CV5" t="str">
            <v>BAJA</v>
          </cell>
          <cell r="CW5" t="str">
            <v>BAJA</v>
          </cell>
        </row>
        <row r="6">
          <cell r="D6" t="str">
            <v>AB010VT</v>
          </cell>
          <cell r="E6" t="str">
            <v>CHASIS</v>
          </cell>
          <cell r="F6">
            <v>0</v>
          </cell>
          <cell r="G6" t="str">
            <v>Chasis</v>
          </cell>
          <cell r="N6" t="str">
            <v>LUCONI DAMIAN EUGENIO</v>
          </cell>
          <cell r="O6" t="str">
            <v>LUCONI DAMIAN EUGENIO</v>
          </cell>
          <cell r="P6" t="str">
            <v>No</v>
          </cell>
          <cell r="Q6" t="str">
            <v>Alquilados</v>
          </cell>
          <cell r="R6" t="str">
            <v>-</v>
          </cell>
          <cell r="S6" t="str">
            <v>Alquilados</v>
          </cell>
          <cell r="T6" t="str">
            <v>IVECO</v>
          </cell>
          <cell r="U6" t="str">
            <v>DAILY 70C17 PASO 4350</v>
          </cell>
          <cell r="V6">
            <v>2016</v>
          </cell>
          <cell r="W6">
            <v>10</v>
          </cell>
          <cell r="X6">
            <v>2016</v>
          </cell>
          <cell r="Y6">
            <v>10</v>
          </cell>
          <cell r="Z6" t="str">
            <v>Malargue</v>
          </cell>
          <cell r="AA6" t="str">
            <v>Expreso - Servicios Troncales</v>
          </cell>
          <cell r="AB6" t="str">
            <v>Expreso - Servicios Troncales</v>
          </cell>
          <cell r="AC6" t="str">
            <v>Expreso - Servicios Troncales</v>
          </cell>
          <cell r="AD6" t="str">
            <v>Expreso - Servicios Troncales</v>
          </cell>
          <cell r="AE6" t="str">
            <v>Expreso - Servicios Troncales</v>
          </cell>
          <cell r="AF6" t="str">
            <v>Expreso - Servicios Troncales</v>
          </cell>
          <cell r="AG6" t="str">
            <v>Expreso - Servicios Troncales</v>
          </cell>
          <cell r="AH6" t="str">
            <v>Expreso - Servicios Troncales</v>
          </cell>
          <cell r="AI6" t="str">
            <v>Expreso - Servicios Troncales</v>
          </cell>
          <cell r="AJ6" t="str">
            <v>Expreso - Servicios Troncales</v>
          </cell>
          <cell r="AK6" t="str">
            <v>Expreso - Servicios Troncales</v>
          </cell>
          <cell r="AL6" t="str">
            <v>Expreso - Servicios Troncales</v>
          </cell>
          <cell r="AM6" t="str">
            <v>Expreso - Servicios Troncales</v>
          </cell>
          <cell r="AN6" t="str">
            <v>Expreso - Servicios Troncales</v>
          </cell>
          <cell r="AO6" t="str">
            <v>Expreso - Servicios Troncales</v>
          </cell>
          <cell r="AP6" t="str">
            <v>Expreso - Servicios Troncales</v>
          </cell>
          <cell r="AQ6" t="str">
            <v>Expreso - Servicios Troncales</v>
          </cell>
          <cell r="AR6" t="str">
            <v>SUC_MEN - Sucursal Mendoza</v>
          </cell>
          <cell r="AS6" t="str">
            <v>Expreso - Servicios Troncales</v>
          </cell>
          <cell r="AT6" t="str">
            <v>Expreso - Servicios Troncales</v>
          </cell>
          <cell r="AU6" t="str">
            <v>Expreso - Servicios Troncales</v>
          </cell>
          <cell r="AV6" t="str">
            <v>Expreso - Servicios Troncales</v>
          </cell>
          <cell r="AW6" t="str">
            <v>Expreso - Servicios Troncales</v>
          </cell>
          <cell r="AX6" t="str">
            <v>Expreso - Servicios Troncales</v>
          </cell>
          <cell r="AY6" t="str">
            <v>Expreso - Servicios Troncales</v>
          </cell>
          <cell r="AZ6" t="str">
            <v>Expreso - Servicios Troncales</v>
          </cell>
          <cell r="BA6" t="str">
            <v>Expreso - Servicios Troncales</v>
          </cell>
          <cell r="BB6" t="str">
            <v>Expreso - Servicios Troncales</v>
          </cell>
          <cell r="BC6" t="str">
            <v>Expreso - Servicios Troncales</v>
          </cell>
          <cell r="BD6" t="str">
            <v>SUC_MEN - Sucursal Mendoza</v>
          </cell>
          <cell r="BE6" t="str">
            <v>SUC_MEN - Sucursal Mendoza</v>
          </cell>
          <cell r="BF6" t="str">
            <v>SUC_MEN - Sucursal Mendoza</v>
          </cell>
          <cell r="BG6" t="str">
            <v>SUC_MEN - Sucursal Mendoza</v>
          </cell>
          <cell r="BH6" t="str">
            <v>SUC_MEN - Sucursal Mendoza</v>
          </cell>
          <cell r="BI6" t="str">
            <v>SUC_MEN - Sucursal Mendoza</v>
          </cell>
          <cell r="BJ6" t="str">
            <v>SUC_MEN - Sucursal Mendoza</v>
          </cell>
          <cell r="BK6" t="str">
            <v>SUC_MEN - Sucursal Mendoza</v>
          </cell>
          <cell r="BL6" t="str">
            <v>SUC_MEN - Sucursal Mendoza</v>
          </cell>
          <cell r="BM6" t="str">
            <v>SUC_MEN - Sucursal Mendoza</v>
          </cell>
          <cell r="BN6" t="str">
            <v>SUC_MEN - Sucursal Mendoza</v>
          </cell>
          <cell r="BO6" t="str">
            <v>SUC_MEN - Sucursal Mendoza</v>
          </cell>
          <cell r="BP6" t="str">
            <v>SUC_MEN - Sucursal Mendoza</v>
          </cell>
          <cell r="BQ6" t="str">
            <v>SUC_MEN - Sucursal Mendoza</v>
          </cell>
          <cell r="BR6" t="str">
            <v>SUC_MEN - Sucursal Mendoza</v>
          </cell>
          <cell r="BS6" t="str">
            <v>SUC_MEN - Sucursal Mendoza</v>
          </cell>
          <cell r="BT6" t="str">
            <v>SUC_MEN - Sucursal Mendoza</v>
          </cell>
          <cell r="BU6" t="str">
            <v>SUC_MEN - Sucursal Mendoza</v>
          </cell>
          <cell r="BV6" t="str">
            <v>SUC_MEN - Sucursal Mendoza</v>
          </cell>
          <cell r="BW6" t="str">
            <v>SUC_MEN - Sucursal Mendoza</v>
          </cell>
          <cell r="BX6" t="str">
            <v>SUC_MEN - Sucursal Mendoza</v>
          </cell>
          <cell r="BY6" t="str">
            <v>SUC_MEN - Sucursal Mendoza</v>
          </cell>
          <cell r="BZ6" t="str">
            <v>SUC_MEN - Sucursal Mendoza</v>
          </cell>
          <cell r="CA6" t="str">
            <v>SUC_MEN - Sucursal Mendoza</v>
          </cell>
          <cell r="CB6" t="str">
            <v>SUC_MEN - Sucursal Mendoza</v>
          </cell>
          <cell r="CC6" t="str">
            <v>SUC_MEN - Sucursal Mendoza</v>
          </cell>
          <cell r="CD6" t="str">
            <v>SUC_MEN - Sucursal Mendoza</v>
          </cell>
          <cell r="CE6" t="str">
            <v>SUC_MEN - Sucursal Mendoza</v>
          </cell>
          <cell r="CF6" t="str">
            <v>SUC_MEN - Sucursal Mendoza</v>
          </cell>
          <cell r="CG6" t="str">
            <v>SUC_MEN - Sucursal Mendoza</v>
          </cell>
          <cell r="CH6" t="str">
            <v>SUC_MEN - Sucursal Mendoza</v>
          </cell>
          <cell r="CI6" t="str">
            <v>SUC_MEN - Sucursal Mendoza</v>
          </cell>
          <cell r="CJ6" t="str">
            <v>SUC_MEN - Sucursal Mendoza</v>
          </cell>
          <cell r="CK6" t="str">
            <v>Sin Operación</v>
          </cell>
          <cell r="CL6" t="str">
            <v>Sin Operación</v>
          </cell>
          <cell r="CM6" t="str">
            <v>Sin Operación</v>
          </cell>
          <cell r="CN6" t="str">
            <v>Sin Operación</v>
          </cell>
          <cell r="CO6" t="str">
            <v>BAJA</v>
          </cell>
          <cell r="CP6" t="str">
            <v>BAJA</v>
          </cell>
          <cell r="CQ6" t="str">
            <v>BAJA</v>
          </cell>
          <cell r="CR6" t="str">
            <v>BAJA</v>
          </cell>
          <cell r="CS6" t="str">
            <v>BAJA</v>
          </cell>
          <cell r="CT6" t="str">
            <v>BAJA</v>
          </cell>
          <cell r="CU6" t="str">
            <v>BAJA</v>
          </cell>
          <cell r="CV6" t="str">
            <v>BAJA</v>
          </cell>
          <cell r="CW6" t="str">
            <v>BAJA</v>
          </cell>
        </row>
        <row r="7">
          <cell r="D7" t="str">
            <v>AB029TN</v>
          </cell>
          <cell r="E7" t="str">
            <v>Chasis</v>
          </cell>
          <cell r="F7" t="str">
            <v>Chasis</v>
          </cell>
          <cell r="G7" t="str">
            <v>Chasis</v>
          </cell>
          <cell r="N7" t="str">
            <v>CODYLSA</v>
          </cell>
          <cell r="O7" t="str">
            <v>CODYLSA</v>
          </cell>
          <cell r="P7" t="str">
            <v>No</v>
          </cell>
          <cell r="Q7" t="str">
            <v>Propio</v>
          </cell>
          <cell r="R7">
            <v>8</v>
          </cell>
          <cell r="S7" t="str">
            <v>Propio</v>
          </cell>
          <cell r="T7" t="str">
            <v>MERCEDES BENZ</v>
          </cell>
          <cell r="U7" t="str">
            <v>B39 - ACCELO 815</v>
          </cell>
          <cell r="V7" t="str">
            <v>924991U1183770</v>
          </cell>
          <cell r="W7" t="str">
            <v>9BM979026HS040085</v>
          </cell>
          <cell r="X7">
            <v>2017</v>
          </cell>
          <cell r="Y7">
            <v>9</v>
          </cell>
          <cell r="AX7" t="str">
            <v>ADA_SMK - Danone Arg. S.A. - SMK</v>
          </cell>
          <cell r="AY7" t="str">
            <v>ADA_SMK - Danone Arg. S.A. - SMK</v>
          </cell>
          <cell r="AZ7" t="str">
            <v>ADA_SMK - Danone Arg. S.A. - SMK</v>
          </cell>
          <cell r="BA7" t="str">
            <v>ADA_SMK - Danone Arg. S.A. - SMK</v>
          </cell>
          <cell r="BB7" t="str">
            <v>ADA_SMK - Danone Arg. S.A. - SMK</v>
          </cell>
          <cell r="BC7" t="str">
            <v>ADA_SMK - Danone Arg. S.A. - SMK</v>
          </cell>
          <cell r="BD7" t="str">
            <v>ADA_SMK - Danone Arg. S.A. - SMK</v>
          </cell>
          <cell r="BE7" t="str">
            <v>ADA_SMK - Danone Arg. S.A. - SMK</v>
          </cell>
          <cell r="BF7" t="str">
            <v>ADA_SMK - Danone Arg. S.A. - SMK</v>
          </cell>
          <cell r="BG7" t="str">
            <v>ADA_SMK - Danone Arg. S.A. - SMK</v>
          </cell>
          <cell r="BH7" t="str">
            <v>ADA_SMK - Danone Arg. S.A. - SMK</v>
          </cell>
          <cell r="BI7" t="str">
            <v>ADA_SMK - Danone Arg. S.A. - SMK</v>
          </cell>
          <cell r="BJ7" t="str">
            <v>ADA_SMK - Danone Arg. S.A. - SMK</v>
          </cell>
          <cell r="BK7" t="str">
            <v>ADA_SMK - Danone Arg. S.A. - SMK</v>
          </cell>
          <cell r="BL7" t="str">
            <v>ADA_SMK - Danone Arg. S.A. - SMK</v>
          </cell>
          <cell r="BM7" t="str">
            <v>ADA_SMK - Danone Arg. S.A. - SMK</v>
          </cell>
          <cell r="BN7" t="str">
            <v>ADA_SMK - Danone Arg. S.A. - SMK</v>
          </cell>
          <cell r="BO7" t="str">
            <v>ADA_SMK - Danone Arg. S.A. - SMK</v>
          </cell>
          <cell r="BP7" t="str">
            <v>ADA_SMK - Danone Arg. S.A. - SMK</v>
          </cell>
          <cell r="BQ7" t="str">
            <v>ADA_SMK - Danone Arg. S.A. - SMK</v>
          </cell>
          <cell r="BR7" t="str">
            <v>ADA_SMK - Danone Arg. S.A. - SMK</v>
          </cell>
          <cell r="BS7" t="str">
            <v>ADA_SMK - Danone Arg. S.A. - SMK</v>
          </cell>
          <cell r="BT7" t="str">
            <v>ADA_SMK - Danone Arg. S.A. - SMK</v>
          </cell>
          <cell r="BU7" t="str">
            <v>CCUDyAZA</v>
          </cell>
          <cell r="BV7" t="str">
            <v>CCUDyAZA</v>
          </cell>
          <cell r="BW7" t="str">
            <v>CCUDyAZA</v>
          </cell>
          <cell r="BX7" t="str">
            <v>CCUDyAZA</v>
          </cell>
          <cell r="BY7" t="str">
            <v>CCUDyAZA</v>
          </cell>
          <cell r="BZ7" t="str">
            <v>CCUDyAZA</v>
          </cell>
          <cell r="CA7" t="str">
            <v>Unilever - Unilever de Arg. S.A.</v>
          </cell>
          <cell r="CB7" t="str">
            <v>Unilever - Unilever de Arg. S.A.</v>
          </cell>
          <cell r="CC7" t="str">
            <v>Unilever - Unilever de Arg. S.A.</v>
          </cell>
          <cell r="CD7" t="str">
            <v>Unilever - Unilever de Arg. S.A.</v>
          </cell>
          <cell r="CE7" t="str">
            <v>Unilever - Unilever de Arg. S.A.</v>
          </cell>
          <cell r="CF7" t="str">
            <v>Unilever - Unilever de Arg. S.A.</v>
          </cell>
          <cell r="CG7" t="str">
            <v>Unilever - Unilever de Arg. S.A.</v>
          </cell>
          <cell r="CH7" t="str">
            <v>LOGIS</v>
          </cell>
          <cell r="CI7" t="str">
            <v>LOGIS</v>
          </cell>
          <cell r="CJ7" t="str">
            <v>Topacio</v>
          </cell>
          <cell r="CK7" t="str">
            <v>Topacio</v>
          </cell>
          <cell r="CL7" t="str">
            <v>Topacio</v>
          </cell>
          <cell r="CM7" t="str">
            <v>Unilever - Unilever de Arg. S.A.</v>
          </cell>
          <cell r="CN7" t="str">
            <v>Unilever - Unilever de Arg. S.A.</v>
          </cell>
          <cell r="CO7" t="str">
            <v>Unilever - Unilever de Arg. S.A.</v>
          </cell>
          <cell r="CP7" t="str">
            <v>JOHNSON - SC JOHNSON DE ARGENTINA SAIC</v>
          </cell>
          <cell r="CQ7" t="str">
            <v>JOHNSON - SC JOHNSON DE ARGENTINA SAIC</v>
          </cell>
          <cell r="CR7" t="str">
            <v>Unilever - Unilever de Arg. S.A.</v>
          </cell>
          <cell r="CS7" t="str">
            <v>Unilever - Unilever de Arg. S.A.</v>
          </cell>
          <cell r="CT7" t="str">
            <v>Unilever - Unilever de Arg. S.A.</v>
          </cell>
          <cell r="CU7" t="str">
            <v>Unilever - Unilever de Arg. S.A.</v>
          </cell>
          <cell r="CV7" t="str">
            <v>Unilever - Unilever de Arg. S.A.</v>
          </cell>
          <cell r="CW7" t="str">
            <v>Unilever - Unilever de Arg. S.A.</v>
          </cell>
        </row>
        <row r="8">
          <cell r="D8" t="str">
            <v>AB320YQ</v>
          </cell>
          <cell r="E8" t="str">
            <v>CHASIS</v>
          </cell>
          <cell r="F8" t="str">
            <v>Balancin</v>
          </cell>
          <cell r="G8" t="str">
            <v>Balancin</v>
          </cell>
          <cell r="N8" t="str">
            <v>DYLASA</v>
          </cell>
          <cell r="O8" t="str">
            <v>DYLASA</v>
          </cell>
          <cell r="P8" t="str">
            <v>No</v>
          </cell>
          <cell r="Q8" t="str">
            <v>Propio</v>
          </cell>
          <cell r="R8">
            <v>16</v>
          </cell>
          <cell r="S8" t="str">
            <v>Propio</v>
          </cell>
          <cell r="T8" t="str">
            <v>MERCEDES BENZ</v>
          </cell>
          <cell r="U8" t="str">
            <v>B66 - ATEGO 2426</v>
          </cell>
          <cell r="V8" t="str">
            <v>926991U1192098</v>
          </cell>
          <cell r="W8" t="str">
            <v>9BM958164HB048659</v>
          </cell>
          <cell r="X8">
            <v>2017</v>
          </cell>
          <cell r="Y8">
            <v>9</v>
          </cell>
          <cell r="AX8" t="str">
            <v>ADA_MZA - Danone Arg. S.A. - MZA</v>
          </cell>
          <cell r="AY8" t="str">
            <v>ADA_MZA - Danone Arg. S.A. - MZA</v>
          </cell>
          <cell r="AZ8" t="str">
            <v>ADA_MZA - Danone Arg. S.A. - MZA</v>
          </cell>
          <cell r="BA8" t="str">
            <v>ADA_MZA - Danone Arg. S.A. - MZA</v>
          </cell>
          <cell r="BB8" t="str">
            <v>ADA_MZA - Danone Arg. S.A. - MZA</v>
          </cell>
          <cell r="BC8" t="str">
            <v>ADA_MZA - Danone Arg. S.A. - MZA</v>
          </cell>
          <cell r="BD8" t="str">
            <v>ADA_MZA - Danone Arg. S.A. - MZA</v>
          </cell>
          <cell r="BE8" t="str">
            <v>ADA_MZA - Danone Arg. S.A. - MZA</v>
          </cell>
          <cell r="BF8" t="str">
            <v>ADA_MZA - Danone Arg. S.A. - MZA</v>
          </cell>
          <cell r="BG8" t="str">
            <v>ADA_MZA - Danone Arg. S.A. - MZA</v>
          </cell>
          <cell r="BH8" t="str">
            <v>ADA_MZA - Danone Arg. S.A. - MZA</v>
          </cell>
          <cell r="BI8" t="str">
            <v>ADA_MZA - Danone Arg. S.A. - MZA</v>
          </cell>
          <cell r="BJ8" t="str">
            <v>ADA_MZA - Danone Arg. S.A. - MZA</v>
          </cell>
          <cell r="BK8" t="str">
            <v>ADA_MZA - Danone Arg. S.A. - MZA</v>
          </cell>
          <cell r="BL8" t="str">
            <v>ADA_MZA - Danone Arg. S.A. - MZA</v>
          </cell>
          <cell r="BM8" t="str">
            <v>ADA_MZA - Danone Arg. S.A. - MZA</v>
          </cell>
          <cell r="BN8" t="str">
            <v>ADA_MZA - Danone Arg. S.A. - MZA</v>
          </cell>
          <cell r="BO8" t="str">
            <v>ADA_MZA - Danone Arg. S.A. - MZA</v>
          </cell>
          <cell r="BP8" t="str">
            <v>ADA_MZA - Danone Arg. S.A. - MZA</v>
          </cell>
          <cell r="BQ8" t="str">
            <v>ADA_MZA - Danone Arg. S.A. - MZA</v>
          </cell>
          <cell r="BR8" t="str">
            <v>ADA_MZA - Danone Arg. S.A. - MZA</v>
          </cell>
          <cell r="BS8" t="str">
            <v>ADA_MZA - Danone Arg. S.A. - MZA</v>
          </cell>
          <cell r="BT8" t="str">
            <v>CCU_MZA - Comp. Cerv. Unidas - MZA</v>
          </cell>
          <cell r="BU8" t="str">
            <v>CCU_MZA - Comp. Cerv. Unidas - MZA</v>
          </cell>
          <cell r="BV8" t="str">
            <v>CCU_MZA - Comp. Cerv. Unidas - MZA</v>
          </cell>
          <cell r="BW8" t="str">
            <v>CCU_MZA - Comp. Cerv. Unidas - MZA</v>
          </cell>
          <cell r="BX8" t="str">
            <v>CCU_MZA - Comp. Cerv. Unidas - MZA</v>
          </cell>
          <cell r="BY8" t="str">
            <v>CCU_MZA - Comp. Cerv. Unidas - MZA</v>
          </cell>
          <cell r="BZ8" t="str">
            <v>CCU_MZA - Comp. Cerv. Unidas - MZA</v>
          </cell>
          <cell r="CA8" t="str">
            <v>CCU_MZA - Comp. Cerv. Unidas - MZA</v>
          </cell>
          <cell r="CB8" t="str">
            <v>CCU_MZA - Comp. Cerv. Unidas - MZA</v>
          </cell>
          <cell r="CC8" t="str">
            <v>CCU_MZA - Comp. Cerv. Unidas - MZA</v>
          </cell>
          <cell r="CD8" t="str">
            <v>CCU_MZA - Comp. Cerv. Unidas - MZA</v>
          </cell>
          <cell r="CE8" t="str">
            <v>CCU_MZA - Comp. Cerv. Unidas - MZA</v>
          </cell>
          <cell r="CF8" t="str">
            <v>CCU_MZA - Comp. Cerv. Unidas - MZA</v>
          </cell>
          <cell r="CG8" t="str">
            <v>CCU_MZA - Comp. Cerv. Unidas - MZA</v>
          </cell>
          <cell r="CH8" t="str">
            <v>CCU_MZA - Comp. Cerv. Unidas - MZA</v>
          </cell>
          <cell r="CI8" t="str">
            <v>CCU_MZA - Comp. Cerv. Unidas - MZA</v>
          </cell>
          <cell r="CJ8" t="str">
            <v>CCU_MZA - Comp. Cerv. Unidas - MZA</v>
          </cell>
          <cell r="CK8" t="str">
            <v>CCU_MZA - Comp. Cerv. Unidas - MZA</v>
          </cell>
          <cell r="CL8" t="str">
            <v>CCU_MZA - Comp. Cerv. Unidas - MZA</v>
          </cell>
          <cell r="CM8" t="str">
            <v>CCU_MZA - Comp. Cerv. Unidas - MZA</v>
          </cell>
          <cell r="CN8" t="str">
            <v>CCU_MZA - Comp. Cerv. Unidas - MZA</v>
          </cell>
          <cell r="CO8" t="str">
            <v>CCU_MZA - Comp. Cerv. Unidas - MZA</v>
          </cell>
          <cell r="CP8" t="str">
            <v>CCU_MZA - Comp. Cerv. Unidas - MZA</v>
          </cell>
          <cell r="CQ8" t="str">
            <v>CCU_MZA - Comp. Cerv. Unidas - MZA</v>
          </cell>
          <cell r="CR8" t="str">
            <v>CCU_MZA - Comp. Cerv. Unidas - MZA</v>
          </cell>
          <cell r="CS8" t="str">
            <v>CCU_MZA - Comp. Cerv. Unidas - MZA</v>
          </cell>
          <cell r="CT8" t="str">
            <v>CCU_MZA - Comp. Cerv. Unidas - MZA</v>
          </cell>
          <cell r="CU8" t="str">
            <v>CCU_MZA - Comp. Cerv. Unidas - MZA</v>
          </cell>
          <cell r="CV8" t="str">
            <v>CCU_MZA - Comp. Cerv. Unidas - MZA</v>
          </cell>
          <cell r="CW8" t="str">
            <v>CCU_MZA - Comp. Cerv. Unidas - MZA</v>
          </cell>
        </row>
        <row r="9">
          <cell r="D9" t="str">
            <v>AB320YW</v>
          </cell>
          <cell r="E9" t="str">
            <v>CHASIS</v>
          </cell>
          <cell r="F9" t="str">
            <v>Balancin</v>
          </cell>
          <cell r="G9" t="str">
            <v>Balancin</v>
          </cell>
          <cell r="N9" t="str">
            <v>DYLASA</v>
          </cell>
          <cell r="O9" t="str">
            <v>DYLASA</v>
          </cell>
          <cell r="P9" t="str">
            <v>No</v>
          </cell>
          <cell r="Q9" t="str">
            <v>Propio</v>
          </cell>
          <cell r="R9">
            <v>16</v>
          </cell>
          <cell r="S9" t="str">
            <v>Propio</v>
          </cell>
          <cell r="T9" t="str">
            <v>MERCEDES BENZ</v>
          </cell>
          <cell r="U9" t="str">
            <v>B66 - ATEGO 2426</v>
          </cell>
          <cell r="V9" t="str">
            <v>926991U1195202</v>
          </cell>
          <cell r="W9" t="str">
            <v>9BM958164HB051808</v>
          </cell>
          <cell r="X9">
            <v>2017</v>
          </cell>
          <cell r="Y9">
            <v>9</v>
          </cell>
          <cell r="AX9" t="str">
            <v>ADA_SMK - Danone Arg. S.A. - SMK</v>
          </cell>
          <cell r="AY9" t="str">
            <v>ADA_SMK - Danone Arg. S.A. - SMK</v>
          </cell>
          <cell r="AZ9" t="str">
            <v>ADA_SMK - Danone Arg. S.A. - SMK</v>
          </cell>
          <cell r="BA9" t="str">
            <v>ADA_SMK - Danone Arg. S.A. - SMK</v>
          </cell>
          <cell r="BB9" t="str">
            <v>ADA_SMK - Danone Arg. S.A. - SMK</v>
          </cell>
          <cell r="BC9" t="str">
            <v>ADA_SMK - Danone Arg. S.A. - SMK</v>
          </cell>
          <cell r="BD9" t="str">
            <v>ADA_SMK - Danone Arg. S.A. - SMK</v>
          </cell>
          <cell r="BE9" t="str">
            <v>ADA_SMK - Danone Arg. S.A. - SMK</v>
          </cell>
          <cell r="BF9" t="str">
            <v>ADA_SMK - Danone Arg. S.A. - SMK</v>
          </cell>
          <cell r="BG9" t="str">
            <v>ADA_SMK - Danone Arg. S.A. - SMK</v>
          </cell>
          <cell r="BH9" t="str">
            <v>ADA_SMK - Danone Arg. S.A. - SMK</v>
          </cell>
          <cell r="BI9" t="str">
            <v>ADA_SMK - Danone Arg. S.A. - SMK</v>
          </cell>
          <cell r="BJ9" t="str">
            <v>ADA_SMK - Danone Arg. S.A. - SMK</v>
          </cell>
          <cell r="BK9" t="str">
            <v>ADA_SMK - Danone Arg. S.A. - SMK</v>
          </cell>
          <cell r="BL9" t="str">
            <v>ADA_SMK - Danone Arg. S.A. - SMK</v>
          </cell>
          <cell r="BM9" t="str">
            <v>ADA_SMK - Danone Arg. S.A. - SMK</v>
          </cell>
          <cell r="BN9" t="str">
            <v>ADA_SMK - Danone Arg. S.A. - SMK</v>
          </cell>
          <cell r="BO9" t="str">
            <v>ADA_SMK - Danone Arg. S.A. - SMK</v>
          </cell>
          <cell r="BP9" t="str">
            <v>ADA_SMK - Danone Arg. S.A. - SMK</v>
          </cell>
          <cell r="BQ9" t="str">
            <v>ADA_SMK - Danone Arg. S.A. - SMK</v>
          </cell>
          <cell r="BR9" t="str">
            <v>ADA_SMK - Danone Arg. S.A. - SMK</v>
          </cell>
          <cell r="BS9" t="str">
            <v>ADA_SMK - Danone Arg. S.A. - SMK</v>
          </cell>
          <cell r="BT9" t="str">
            <v>ADA_SMK - Danone Arg. S.A. - SMK</v>
          </cell>
          <cell r="BU9" t="str">
            <v>CCUDyAZA</v>
          </cell>
          <cell r="BV9" t="str">
            <v>CCUDyAZA</v>
          </cell>
          <cell r="BW9" t="str">
            <v>CCUDyAZA</v>
          </cell>
          <cell r="BX9" t="str">
            <v>CCUDyAZA</v>
          </cell>
          <cell r="BY9" t="str">
            <v>CCUDyAZA</v>
          </cell>
          <cell r="BZ9" t="str">
            <v>CCUDyAZA</v>
          </cell>
          <cell r="CA9" t="str">
            <v>CCUDyAZA</v>
          </cell>
          <cell r="CB9" t="str">
            <v>CCUDyAZA</v>
          </cell>
          <cell r="CC9" t="str">
            <v>CCUDyAZA</v>
          </cell>
          <cell r="CD9" t="str">
            <v>CCUDyAZA</v>
          </cell>
          <cell r="CE9" t="str">
            <v>CCUDyAZA</v>
          </cell>
          <cell r="CF9" t="str">
            <v>CCUDyAZA</v>
          </cell>
          <cell r="CG9" t="str">
            <v>CCUDyAZA</v>
          </cell>
          <cell r="CH9" t="str">
            <v>CCUDyAZA</v>
          </cell>
          <cell r="CI9" t="str">
            <v>CCUDyAZA</v>
          </cell>
          <cell r="CJ9" t="str">
            <v>CCUDyAZA</v>
          </cell>
          <cell r="CK9" t="str">
            <v>CCUDyAZA</v>
          </cell>
          <cell r="CL9" t="str">
            <v>CCUDyAZA</v>
          </cell>
          <cell r="CM9" t="str">
            <v>CCUDyAZA</v>
          </cell>
          <cell r="CN9" t="str">
            <v>CCUDyAZA</v>
          </cell>
          <cell r="CO9" t="str">
            <v>CCUDyAZA</v>
          </cell>
          <cell r="CP9" t="str">
            <v>CCUDyAZA</v>
          </cell>
          <cell r="CQ9" t="str">
            <v>CCUDyAZA</v>
          </cell>
          <cell r="CR9" t="str">
            <v>CCUDyAZA</v>
          </cell>
          <cell r="CS9" t="str">
            <v>CCUDyAZA</v>
          </cell>
          <cell r="CT9" t="str">
            <v>CCUDyAZA</v>
          </cell>
          <cell r="CU9" t="str">
            <v>CCUDyAZA</v>
          </cell>
          <cell r="CV9" t="str">
            <v>CCUDyAZA</v>
          </cell>
          <cell r="CW9" t="str">
            <v>CCUDyAZA</v>
          </cell>
        </row>
        <row r="10">
          <cell r="D10" t="str">
            <v>AC066VH</v>
          </cell>
          <cell r="E10" t="str">
            <v>Camioneta</v>
          </cell>
          <cell r="F10" t="str">
            <v>Utilitario</v>
          </cell>
          <cell r="G10" t="str">
            <v>Utilitario</v>
          </cell>
          <cell r="N10" t="str">
            <v>COSTELA RAUL LEONARDO</v>
          </cell>
          <cell r="O10" t="str">
            <v>COSTELA RAUL LEONARDO</v>
          </cell>
          <cell r="P10" t="str">
            <v>No</v>
          </cell>
          <cell r="Q10" t="str">
            <v>De Tercero</v>
          </cell>
          <cell r="R10" t="str">
            <v>-</v>
          </cell>
          <cell r="S10" t="str">
            <v>De Tercero</v>
          </cell>
          <cell r="T10" t="str">
            <v>Renault</v>
          </cell>
          <cell r="U10" t="str">
            <v>MASTER 2.3 CDI FURGON L1H1 AA</v>
          </cell>
          <cell r="V10" t="str">
            <v>M9TA876C035986</v>
          </cell>
          <cell r="W10" t="str">
            <v>93YMAFECAJJ018305</v>
          </cell>
          <cell r="X10">
            <v>2017</v>
          </cell>
          <cell r="CE10" t="str">
            <v>SUC_MEN - Sucursal Mendoza</v>
          </cell>
          <cell r="CF10" t="str">
            <v>SUC_MEN - Sucursal Mendoza</v>
          </cell>
          <cell r="CG10" t="str">
            <v>SUC_MEN - Sucursal Mendoza</v>
          </cell>
          <cell r="CH10" t="str">
            <v>SUC_MEN - Sucursal Mendoza</v>
          </cell>
          <cell r="CI10" t="str">
            <v>SUC_MEN - Sucursal Mendoza</v>
          </cell>
          <cell r="CJ10" t="str">
            <v>SUC_MEN - Sucursal Mendoza</v>
          </cell>
          <cell r="CK10" t="str">
            <v>SUC_MEN - Sucursal Mendoza</v>
          </cell>
          <cell r="CL10" t="str">
            <v>SUC_MEN - Sucursal Mendoza</v>
          </cell>
          <cell r="CM10" t="str">
            <v>SUC_MEN - Sucursal Mendoza</v>
          </cell>
          <cell r="CN10" t="str">
            <v>SUC_MEN - Sucursal Mendoza</v>
          </cell>
          <cell r="CO10" t="str">
            <v>SUC_MEN - Sucursal Mendoza</v>
          </cell>
          <cell r="CP10" t="str">
            <v>SUC_MEN - Sucursal Mendoza</v>
          </cell>
          <cell r="CQ10" t="str">
            <v>SUC_MEN - Sucursal Mendoza</v>
          </cell>
          <cell r="CR10" t="str">
            <v>SUC_MEN - Sucursal Mendoza</v>
          </cell>
          <cell r="CS10" t="str">
            <v>SUC_MEN - Sucursal Mendoza</v>
          </cell>
          <cell r="CT10" t="str">
            <v>SUC_MEN - Sucursal Mendoza</v>
          </cell>
          <cell r="CU10" t="str">
            <v>SUC_MEN - Sucursal Mendoza</v>
          </cell>
          <cell r="CV10" t="str">
            <v>SUC_MEN - Sucursal Mendoza</v>
          </cell>
          <cell r="CW10" t="str">
            <v>SUC_MEN - Sucursal Mendoza</v>
          </cell>
        </row>
        <row r="11">
          <cell r="D11" t="str">
            <v>AC354MN</v>
          </cell>
          <cell r="E11" t="str">
            <v>Semiremolque</v>
          </cell>
          <cell r="F11">
            <v>0</v>
          </cell>
          <cell r="G11" t="str">
            <v>Semiremolque</v>
          </cell>
          <cell r="N11" t="str">
            <v>GRUPO DON HUGO DE PEHUAJO SA--CECCONI--</v>
          </cell>
          <cell r="O11" t="str">
            <v>GRUPO DON HUGO DE PEHUAJO SA--CECCONI--</v>
          </cell>
          <cell r="P11" t="str">
            <v>No</v>
          </cell>
          <cell r="Q11" t="str">
            <v>Alquilados</v>
          </cell>
          <cell r="R11" t="str">
            <v>-</v>
          </cell>
          <cell r="S11" t="str">
            <v>Alquilados</v>
          </cell>
          <cell r="T11" t="str">
            <v>HERMANN</v>
          </cell>
          <cell r="U11" t="str">
            <v>8EHSPA3E0HA001076</v>
          </cell>
          <cell r="V11">
            <v>2017</v>
          </cell>
          <cell r="W11" t="str">
            <v>8EHSPA3E0HA001076</v>
          </cell>
          <cell r="X11">
            <v>2017</v>
          </cell>
          <cell r="Y11">
            <v>9</v>
          </cell>
          <cell r="Z11" t="str">
            <v>Malargue</v>
          </cell>
          <cell r="AA11" t="str">
            <v>Expreso - Servicios Troncales</v>
          </cell>
          <cell r="AB11" t="str">
            <v>Expreso - Servicios Troncales</v>
          </cell>
          <cell r="AC11" t="str">
            <v>Expreso - Servicios Troncales</v>
          </cell>
          <cell r="AD11" t="str">
            <v>Expreso - Servicios Troncales</v>
          </cell>
          <cell r="AE11" t="str">
            <v>Expreso - Servicios Troncales</v>
          </cell>
          <cell r="AF11" t="str">
            <v>Expreso - Servicios Troncales</v>
          </cell>
          <cell r="AG11" t="str">
            <v>Expreso - Servicios Troncales</v>
          </cell>
          <cell r="AH11" t="str">
            <v>Expreso - Servicios Troncales</v>
          </cell>
          <cell r="AI11" t="str">
            <v>Expreso - Servicios Troncales</v>
          </cell>
          <cell r="AJ11" t="str">
            <v>Expreso - Servicios Troncales</v>
          </cell>
          <cell r="AK11" t="str">
            <v>Expreso - Servicios Troncales</v>
          </cell>
          <cell r="AL11" t="str">
            <v>Expreso - Servicios Troncales</v>
          </cell>
          <cell r="AM11" t="str">
            <v>Expreso - Servicios Troncales</v>
          </cell>
          <cell r="AN11" t="str">
            <v>Expreso - Servicios Troncales</v>
          </cell>
          <cell r="AO11" t="str">
            <v>Expreso - Servicios Troncales</v>
          </cell>
          <cell r="AP11" t="str">
            <v>Expreso - Servicios Troncales</v>
          </cell>
          <cell r="AQ11" t="str">
            <v>Expreso - Servicios Troncales</v>
          </cell>
          <cell r="AR11" t="str">
            <v>Expreso - Servicios Troncales</v>
          </cell>
          <cell r="AS11" t="str">
            <v>Expreso - Servicios Troncales</v>
          </cell>
          <cell r="AT11" t="str">
            <v>Expreso - Servicios Troncales</v>
          </cell>
          <cell r="AU11" t="str">
            <v>Expreso - Servicios Troncales</v>
          </cell>
          <cell r="AV11" t="str">
            <v>Expreso - Servicios Troncales</v>
          </cell>
          <cell r="AW11" t="str">
            <v>Expreso - Servicios Troncales</v>
          </cell>
          <cell r="AX11" t="str">
            <v>Expreso - Servicios Troncales</v>
          </cell>
          <cell r="AY11" t="str">
            <v>Expreso - Servicios Troncales</v>
          </cell>
          <cell r="AZ11" t="str">
            <v>Expreso - Servicios Troncales</v>
          </cell>
          <cell r="BA11" t="str">
            <v>Expreso - Servicios Troncales</v>
          </cell>
          <cell r="BB11" t="str">
            <v>Expreso - Servicios Troncales</v>
          </cell>
          <cell r="BC11" t="str">
            <v>Expreso - Servicios Troncales</v>
          </cell>
          <cell r="BD11" t="str">
            <v>Expreso - Servicios Troncales</v>
          </cell>
          <cell r="BE11" t="str">
            <v>Expreso - Servicios Troncales</v>
          </cell>
          <cell r="BF11" t="str">
            <v>Expreso - Servicios Troncales</v>
          </cell>
          <cell r="BG11" t="str">
            <v>Expreso - Servicios Troncales</v>
          </cell>
          <cell r="BH11" t="str">
            <v>Expreso - Servicios Troncales</v>
          </cell>
          <cell r="BI11" t="str">
            <v>Expreso - Servicios Troncales</v>
          </cell>
          <cell r="BJ11" t="str">
            <v>Expreso - Servicios Troncales</v>
          </cell>
          <cell r="BK11" t="str">
            <v>Expreso - Servicios Troncales</v>
          </cell>
          <cell r="BL11" t="str">
            <v>Expreso - Servicios Troncales</v>
          </cell>
          <cell r="BM11" t="str">
            <v>Expreso - Servicios Troncales</v>
          </cell>
          <cell r="BN11" t="str">
            <v>Expreso - Servicios Troncales</v>
          </cell>
          <cell r="BO11" t="str">
            <v>INACTIVO</v>
          </cell>
          <cell r="BP11" t="str">
            <v>INACTIVO</v>
          </cell>
          <cell r="BQ11" t="str">
            <v>INACTIVO</v>
          </cell>
          <cell r="BR11" t="str">
            <v>INACTIVO</v>
          </cell>
          <cell r="BS11" t="str">
            <v>INACTIVO</v>
          </cell>
          <cell r="BT11" t="str">
            <v>INACTIVO</v>
          </cell>
          <cell r="BU11" t="str">
            <v>INACTIVO</v>
          </cell>
          <cell r="BV11" t="str">
            <v>INACTIVO</v>
          </cell>
          <cell r="BW11" t="str">
            <v>INACTIVO</v>
          </cell>
          <cell r="BX11" t="str">
            <v>INACTIVO</v>
          </cell>
          <cell r="BY11" t="str">
            <v>INACTIVO</v>
          </cell>
          <cell r="BZ11" t="str">
            <v>INACTIVO</v>
          </cell>
          <cell r="CA11" t="str">
            <v>INACTIVO</v>
          </cell>
          <cell r="CB11" t="str">
            <v>INACTIVO</v>
          </cell>
          <cell r="CC11" t="str">
            <v>BAJA</v>
          </cell>
          <cell r="CD11" t="str">
            <v>BAJA</v>
          </cell>
          <cell r="CE11" t="str">
            <v>BAJA</v>
          </cell>
          <cell r="CF11" t="str">
            <v>BAJA</v>
          </cell>
          <cell r="CG11" t="str">
            <v>BAJA</v>
          </cell>
          <cell r="CH11" t="str">
            <v>BAJA</v>
          </cell>
          <cell r="CI11" t="str">
            <v>BAJA</v>
          </cell>
          <cell r="CJ11" t="str">
            <v>BAJA</v>
          </cell>
          <cell r="CK11" t="str">
            <v>BAJA</v>
          </cell>
          <cell r="CL11" t="str">
            <v>BAJA</v>
          </cell>
          <cell r="CM11" t="str">
            <v>BAJA</v>
          </cell>
          <cell r="CN11" t="str">
            <v>BAJA</v>
          </cell>
          <cell r="CO11" t="str">
            <v>BAJA</v>
          </cell>
          <cell r="CP11" t="str">
            <v>BAJA</v>
          </cell>
          <cell r="CQ11" t="str">
            <v>BAJA</v>
          </cell>
          <cell r="CR11" t="str">
            <v>BAJA</v>
          </cell>
          <cell r="CS11" t="str">
            <v>BAJA</v>
          </cell>
          <cell r="CT11" t="str">
            <v>BAJA</v>
          </cell>
          <cell r="CU11" t="str">
            <v>BAJA</v>
          </cell>
          <cell r="CV11" t="str">
            <v>BAJA</v>
          </cell>
          <cell r="CW11" t="str">
            <v>BAJA</v>
          </cell>
        </row>
        <row r="12">
          <cell r="D12" t="str">
            <v>AC794NP</v>
          </cell>
          <cell r="E12" t="str">
            <v>Tractor</v>
          </cell>
          <cell r="F12">
            <v>0</v>
          </cell>
          <cell r="G12" t="str">
            <v>Tractor</v>
          </cell>
          <cell r="N12" t="str">
            <v>CARNIATO HORACIO ANTONIO</v>
          </cell>
          <cell r="O12" t="str">
            <v>CARNIATO HORACIO ANTONIO</v>
          </cell>
          <cell r="P12" t="str">
            <v>No</v>
          </cell>
          <cell r="Q12" t="str">
            <v>De Tercero</v>
          </cell>
          <cell r="R12" t="str">
            <v>-</v>
          </cell>
          <cell r="S12" t="str">
            <v>De Tercero</v>
          </cell>
          <cell r="T12" t="str">
            <v>VOLKSWAGEN</v>
          </cell>
          <cell r="U12" t="str">
            <v>17280/35 LR SC</v>
          </cell>
          <cell r="V12" t="str">
            <v>2094890A214886</v>
          </cell>
          <cell r="W12" t="str">
            <v>953658278JR815589</v>
          </cell>
          <cell r="X12">
            <v>2018</v>
          </cell>
          <cell r="Y12">
            <v>8</v>
          </cell>
          <cell r="Z12" t="str">
            <v>Malargue</v>
          </cell>
          <cell r="AA12" t="str">
            <v>Expreso - Servicios Troncales</v>
          </cell>
          <cell r="AB12" t="str">
            <v>Expreso - Servicios Troncales</v>
          </cell>
          <cell r="AC12" t="str">
            <v>Expreso - Servicios Troncales</v>
          </cell>
          <cell r="AD12" t="str">
            <v>Expreso - Servicios Troncales</v>
          </cell>
          <cell r="AE12" t="str">
            <v>Expreso - Servicios Troncales</v>
          </cell>
          <cell r="AF12" t="str">
            <v>Expreso - Servicios Troncales</v>
          </cell>
          <cell r="AG12" t="str">
            <v>Expreso - Servicios Troncales</v>
          </cell>
          <cell r="AH12" t="str">
            <v>Expreso - Servicios Troncales</v>
          </cell>
          <cell r="AI12" t="str">
            <v>Expreso - Servicios Troncales</v>
          </cell>
          <cell r="AJ12" t="str">
            <v>Expreso - Servicios Troncales</v>
          </cell>
          <cell r="AK12" t="str">
            <v>Expreso - Servicios Troncales</v>
          </cell>
          <cell r="AL12" t="str">
            <v>Expreso - Servicios Troncales</v>
          </cell>
          <cell r="AM12" t="str">
            <v>Expreso - Servicios Troncales</v>
          </cell>
          <cell r="AN12" t="str">
            <v>Expreso - Servicios Troncales</v>
          </cell>
          <cell r="AO12" t="str">
            <v>Expreso - Servicios Troncales</v>
          </cell>
          <cell r="AP12" t="str">
            <v>Expreso - Servicios Troncales</v>
          </cell>
          <cell r="AQ12" t="str">
            <v>Expreso - Servicios Troncales</v>
          </cell>
          <cell r="AR12" t="str">
            <v>Expreso - Servicios Troncales</v>
          </cell>
          <cell r="AS12" t="str">
            <v>Expreso - Servicios Troncales</v>
          </cell>
          <cell r="AT12" t="str">
            <v>Expreso - Servicios Troncales</v>
          </cell>
          <cell r="AU12" t="str">
            <v>Expreso - Servicios Troncales</v>
          </cell>
          <cell r="AV12" t="str">
            <v>Expreso - Servicios Troncales</v>
          </cell>
          <cell r="AW12" t="str">
            <v>Expreso - Servicios Troncales</v>
          </cell>
          <cell r="AX12" t="str">
            <v>INACTIVO</v>
          </cell>
          <cell r="AY12" t="str">
            <v>INACTIVO</v>
          </cell>
          <cell r="AZ12" t="str">
            <v>INACTIVO</v>
          </cell>
          <cell r="BA12" t="str">
            <v>INACTIVO</v>
          </cell>
          <cell r="BB12" t="str">
            <v>INACTIVO</v>
          </cell>
          <cell r="BC12" t="str">
            <v>INACTIVO</v>
          </cell>
          <cell r="BD12" t="str">
            <v>INACTIVO</v>
          </cell>
          <cell r="BE12" t="str">
            <v>INACTIVO</v>
          </cell>
          <cell r="BF12" t="str">
            <v>INACTIVO</v>
          </cell>
          <cell r="BG12" t="str">
            <v>INACTIVO</v>
          </cell>
          <cell r="BH12" t="str">
            <v>INACTIVO</v>
          </cell>
          <cell r="BI12" t="str">
            <v>INACTIVO</v>
          </cell>
          <cell r="BJ12" t="str">
            <v>INACTIVO</v>
          </cell>
          <cell r="BK12" t="str">
            <v>INACTIVO</v>
          </cell>
          <cell r="BL12" t="str">
            <v>INACTIVO</v>
          </cell>
          <cell r="BM12" t="str">
            <v>INACTIVO</v>
          </cell>
          <cell r="BN12" t="str">
            <v>INACTIVO</v>
          </cell>
          <cell r="BO12" t="str">
            <v>INACTIVO</v>
          </cell>
          <cell r="BP12" t="str">
            <v>INACTIVO</v>
          </cell>
          <cell r="BQ12" t="str">
            <v>INACTIVO</v>
          </cell>
          <cell r="BR12" t="str">
            <v>INACTIVO</v>
          </cell>
          <cell r="BS12" t="str">
            <v>INACTIVO</v>
          </cell>
          <cell r="BT12" t="str">
            <v>INACTIVO</v>
          </cell>
          <cell r="BU12" t="str">
            <v>INACTIVO</v>
          </cell>
          <cell r="BV12" t="str">
            <v>INACTIVO</v>
          </cell>
          <cell r="BW12" t="str">
            <v>INACTIVO</v>
          </cell>
          <cell r="BX12" t="str">
            <v>INACTIVO</v>
          </cell>
          <cell r="BY12" t="str">
            <v>INACTIVO</v>
          </cell>
          <cell r="BZ12" t="str">
            <v>INACTIVO</v>
          </cell>
          <cell r="CA12" t="str">
            <v>INACTIVO</v>
          </cell>
          <cell r="CB12" t="str">
            <v>INACTIVO</v>
          </cell>
          <cell r="CC12" t="str">
            <v>BAJA</v>
          </cell>
          <cell r="CD12" t="str">
            <v>BAJA</v>
          </cell>
          <cell r="CE12" t="str">
            <v>BAJA</v>
          </cell>
          <cell r="CF12" t="str">
            <v>BAJA</v>
          </cell>
          <cell r="CG12" t="str">
            <v>BAJA</v>
          </cell>
          <cell r="CH12" t="str">
            <v>BAJA</v>
          </cell>
          <cell r="CI12" t="str">
            <v>BAJA</v>
          </cell>
          <cell r="CJ12" t="str">
            <v>BAJA</v>
          </cell>
          <cell r="CK12" t="str">
            <v>BAJA</v>
          </cell>
          <cell r="CL12" t="str">
            <v>BAJA</v>
          </cell>
          <cell r="CM12" t="str">
            <v>BAJA</v>
          </cell>
          <cell r="CN12" t="str">
            <v>BAJA</v>
          </cell>
          <cell r="CO12" t="str">
            <v>BAJA</v>
          </cell>
          <cell r="CP12" t="str">
            <v>BAJA</v>
          </cell>
          <cell r="CQ12" t="str">
            <v>BAJA</v>
          </cell>
          <cell r="CR12" t="str">
            <v>BAJA</v>
          </cell>
          <cell r="CS12" t="str">
            <v>BAJA</v>
          </cell>
          <cell r="CT12" t="str">
            <v>BAJA</v>
          </cell>
          <cell r="CU12" t="str">
            <v>BAJA</v>
          </cell>
          <cell r="CV12" t="str">
            <v>BAJA</v>
          </cell>
          <cell r="CW12" t="str">
            <v>BAJA</v>
          </cell>
        </row>
        <row r="13">
          <cell r="D13" t="str">
            <v>ACT090</v>
          </cell>
          <cell r="E13" t="str">
            <v>Chasis</v>
          </cell>
          <cell r="F13">
            <v>0</v>
          </cell>
          <cell r="G13" t="str">
            <v>Chasis</v>
          </cell>
          <cell r="N13" t="str">
            <v>RUBEN E.LAGUZZI TRANSPORTES SRL</v>
          </cell>
          <cell r="O13" t="str">
            <v>RUBEN E.LAGUZZI TRANSPORTES SRL</v>
          </cell>
          <cell r="P13" t="str">
            <v>No</v>
          </cell>
          <cell r="Q13" t="str">
            <v>De Tercero</v>
          </cell>
          <cell r="R13" t="str">
            <v>-</v>
          </cell>
          <cell r="S13" t="str">
            <v>De Tercero</v>
          </cell>
          <cell r="T13" t="str">
            <v>MERCEDES BENZ</v>
          </cell>
          <cell r="U13" t="str">
            <v>L 1620/51</v>
          </cell>
          <cell r="V13">
            <v>1995</v>
          </cell>
          <cell r="W13">
            <v>31</v>
          </cell>
          <cell r="X13">
            <v>1995</v>
          </cell>
          <cell r="Y13">
            <v>31</v>
          </cell>
          <cell r="Z13" t="str">
            <v>TDU</v>
          </cell>
          <cell r="AA13" t="str">
            <v>CMQ_TTE - QUILMES TTE</v>
          </cell>
          <cell r="AB13" t="str">
            <v>CMQ_TTE - QUILMES TTE</v>
          </cell>
          <cell r="AC13" t="str">
            <v>CMQ_TTE - QUILMES TTE</v>
          </cell>
          <cell r="AD13" t="str">
            <v>CMQ_TTE - QUILMES TTE</v>
          </cell>
          <cell r="AE13" t="str">
            <v>CMQ_TTE - QUILMES TTE</v>
          </cell>
          <cell r="AF13" t="str">
            <v>CMQ_TTE - QUILMES TTE</v>
          </cell>
          <cell r="AG13" t="str">
            <v>CMQ_TTE - QUILMES TTE</v>
          </cell>
          <cell r="AH13" t="str">
            <v>CMQ_TTE - QUILMES TTE</v>
          </cell>
          <cell r="AI13" t="str">
            <v>CMQ_TTE - QUILMES TTE</v>
          </cell>
          <cell r="AJ13" t="str">
            <v>CMQ_TTE - QUILMES TTE</v>
          </cell>
          <cell r="AK13" t="str">
            <v>CMQ_TTE - QUILMES TTE</v>
          </cell>
          <cell r="AL13" t="str">
            <v>CMQ_TTE - QUILMES TTE</v>
          </cell>
          <cell r="AM13" t="str">
            <v>CMQ_TTE - QUILMES TTE</v>
          </cell>
          <cell r="AN13" t="str">
            <v>CMQ_TTE - QUILMES TTE</v>
          </cell>
          <cell r="AO13" t="str">
            <v>CMQ_TTE - QUILMES TTE</v>
          </cell>
          <cell r="AP13" t="str">
            <v>CMQ_TTE - QUILMES TTE</v>
          </cell>
          <cell r="AQ13" t="str">
            <v>CMQ_TTE - QUILMES TTE</v>
          </cell>
          <cell r="AR13" t="str">
            <v>CMQ_TTE - QUILMES TTE</v>
          </cell>
          <cell r="AS13" t="str">
            <v>CMQ_TTE - QUILMES TTE</v>
          </cell>
          <cell r="AT13" t="str">
            <v>CMQ_TTE - QUILMES TTE</v>
          </cell>
          <cell r="AU13" t="str">
            <v>CMQ_TTE - QUILMES TTE</v>
          </cell>
          <cell r="AV13" t="str">
            <v>CMQ_TTE - QUILMES TTE</v>
          </cell>
          <cell r="AW13" t="str">
            <v>CMQ_TTE - QUILMES TTE</v>
          </cell>
          <cell r="AX13" t="str">
            <v>CMQ_TTE - QUILMES TTE</v>
          </cell>
          <cell r="AY13" t="str">
            <v>CMQ_TTE - QUILMES TTE</v>
          </cell>
          <cell r="AZ13" t="str">
            <v>CMQ_TTE - QUILMES TTE</v>
          </cell>
          <cell r="BA13" t="str">
            <v>CMQ_TTE - QUILMES TTE</v>
          </cell>
          <cell r="BB13" t="str">
            <v>CMQ_TTE - QUILMES TTE</v>
          </cell>
          <cell r="BC13" t="str">
            <v>CMQ_TTE - QUILMES TTE</v>
          </cell>
          <cell r="BD13" t="str">
            <v>CMQ_TTE - QUILMES TTE</v>
          </cell>
          <cell r="BE13" t="str">
            <v>CMQ_TTE - QUILMES TTE</v>
          </cell>
          <cell r="BF13" t="str">
            <v>CMQ_TTE - QUILMES TTE</v>
          </cell>
          <cell r="BG13" t="str">
            <v>CMQ_TTE - QUILMES TTE</v>
          </cell>
          <cell r="BH13" t="str">
            <v>CMQ_TTE - QUILMES TTE</v>
          </cell>
          <cell r="BI13" t="str">
            <v>CMQ_TTE - QUILMES TTE</v>
          </cell>
          <cell r="BJ13" t="str">
            <v>CMQ_TTE - QUILMES TTE</v>
          </cell>
          <cell r="BK13" t="str">
            <v>CMQ_TTE - QUILMES TTE</v>
          </cell>
          <cell r="BL13" t="str">
            <v>CMQ_TTE - QUILMES TTE</v>
          </cell>
          <cell r="BM13" t="str">
            <v>CMQ_TTE - QUILMES TTE</v>
          </cell>
          <cell r="BN13" t="str">
            <v>CMQ_TTE - QUILMES TTE</v>
          </cell>
          <cell r="BO13" t="str">
            <v>CMQ_TTE - QUILMES TTE</v>
          </cell>
          <cell r="BP13" t="str">
            <v>CMQ_TTE - QUILMES TTE</v>
          </cell>
          <cell r="BQ13" t="str">
            <v>CMQ_TTE - QUILMES TTE</v>
          </cell>
          <cell r="BR13" t="str">
            <v>CMQ_TTE - QUILMES TTE</v>
          </cell>
          <cell r="BS13" t="str">
            <v>CMQ_TTE - QUILMES TTE</v>
          </cell>
          <cell r="BT13" t="str">
            <v>CMQ_TTE - QUILMES TTE</v>
          </cell>
          <cell r="BU13" t="str">
            <v>CMQ_TTE - QUILMES TTE</v>
          </cell>
          <cell r="BV13" t="str">
            <v>CMQ_TTE - QUILMES TTE</v>
          </cell>
          <cell r="BW13" t="str">
            <v>CMQ_TTE - QUILMES TTE</v>
          </cell>
          <cell r="BX13" t="str">
            <v>CMQ_TTE - QUILMES TTE</v>
          </cell>
          <cell r="BY13" t="str">
            <v>CMQ_TTE - QUILMES TTE</v>
          </cell>
          <cell r="BZ13" t="str">
            <v>CMQ_TTE - QUILMES TTE</v>
          </cell>
          <cell r="CA13" t="str">
            <v>CMQ_TTE - QUILMES TTE</v>
          </cell>
          <cell r="CB13" t="str">
            <v>CMQ_TTE - QUILMES TTE</v>
          </cell>
          <cell r="CC13" t="str">
            <v>CMQ_TTE - QUILMES TTE</v>
          </cell>
          <cell r="CD13" t="str">
            <v>CMQ_TTE - QUILMES TTE</v>
          </cell>
          <cell r="CE13" t="str">
            <v>CMQ_TTE - QUILMES TTE</v>
          </cell>
          <cell r="CF13" t="str">
            <v>CMQ_TTE - QUILMES TTE</v>
          </cell>
          <cell r="CG13" t="str">
            <v>CMQ_TTE - QUILMES TTE</v>
          </cell>
          <cell r="CH13" t="str">
            <v>CMQ_TTE - QUILMES TTE</v>
          </cell>
          <cell r="CI13" t="str">
            <v>CMQ_TTE - QUILMES TTE</v>
          </cell>
          <cell r="CJ13" t="str">
            <v>CMQ_TTE - QUILMES TTE</v>
          </cell>
          <cell r="CK13" t="str">
            <v>CMQ_TTE - QUILMES TTE</v>
          </cell>
          <cell r="CL13" t="str">
            <v>CMQ_TTE - QUILMES TTE</v>
          </cell>
          <cell r="CM13" t="str">
            <v>CMQ_TTE - QUILMES TTE</v>
          </cell>
          <cell r="CN13" t="str">
            <v>CMQ_TTE - QUILMES TTE</v>
          </cell>
          <cell r="CO13" t="str">
            <v>CMQ_TTE - QUILMES TTE</v>
          </cell>
          <cell r="CP13" t="str">
            <v>CMQ_TTE - QUILMES TTE</v>
          </cell>
          <cell r="CQ13" t="str">
            <v>CMQ_TTE - QUILMES TTE</v>
          </cell>
          <cell r="CR13" t="str">
            <v>CMQ_TTE - QUILMES TTE</v>
          </cell>
          <cell r="CS13" t="str">
            <v>CMQ_TTE - QUILMES TTE</v>
          </cell>
          <cell r="CT13" t="str">
            <v>CMQ_TTE - QUILMES TTE</v>
          </cell>
          <cell r="CU13" t="str">
            <v>CMQ_TTE - QUILMES TTE</v>
          </cell>
          <cell r="CV13" t="str">
            <v>CMQ_TTE - QUILMES TTE</v>
          </cell>
          <cell r="CW13" t="str">
            <v>CMQ_TTE - QUILMES TTE</v>
          </cell>
        </row>
        <row r="14">
          <cell r="D14" t="str">
            <v>AD367PX</v>
          </cell>
          <cell r="E14" t="str">
            <v>Semiremolque</v>
          </cell>
          <cell r="F14" t="str">
            <v>Semiremolque</v>
          </cell>
          <cell r="G14" t="str">
            <v>Semiremolque Sider 15,5m 30P</v>
          </cell>
          <cell r="N14" t="str">
            <v>DYLASA</v>
          </cell>
          <cell r="O14" t="str">
            <v>DYLASA</v>
          </cell>
          <cell r="P14" t="str">
            <v>No</v>
          </cell>
          <cell r="Q14" t="str">
            <v>Propio</v>
          </cell>
          <cell r="R14">
            <v>30</v>
          </cell>
          <cell r="S14" t="str">
            <v>Propio</v>
          </cell>
          <cell r="T14" t="str">
            <v>HERMANN</v>
          </cell>
          <cell r="U14" t="str">
            <v>S.A.P.3E.71</v>
          </cell>
          <cell r="V14">
            <v>0</v>
          </cell>
          <cell r="W14" t="str">
            <v>8EHSPA3E0JA001109</v>
          </cell>
          <cell r="X14">
            <v>2018</v>
          </cell>
          <cell r="Y14">
            <v>8</v>
          </cell>
          <cell r="Z14" t="str">
            <v>Danone Chascomus</v>
          </cell>
          <cell r="AA14" t="str">
            <v>ADA_CH - Danone Arg. S.A. - Chascomus</v>
          </cell>
          <cell r="AB14" t="str">
            <v>ADA_CH - Danone Arg. S.A. - Chascomus</v>
          </cell>
          <cell r="AC14" t="str">
            <v>ADA_CH - Danone Arg. S.A. - Chascomus</v>
          </cell>
          <cell r="AD14" t="str">
            <v>ADA_CH - Danone Arg. S.A. - Chascomus</v>
          </cell>
          <cell r="AE14" t="str">
            <v>ADA_CH - Danone Arg. S.A. - Chascomus</v>
          </cell>
          <cell r="AF14" t="str">
            <v>ADA_CH - Danone Arg. S.A. - Chascomus</v>
          </cell>
          <cell r="AG14" t="str">
            <v>ADA_CH - Danone Arg. S.A. - Chascomus</v>
          </cell>
          <cell r="AH14" t="str">
            <v>ADA_CH - Danone Arg. S.A. - Chascomus</v>
          </cell>
          <cell r="AI14" t="str">
            <v>ADA_CH - Danone Arg. S.A. - Chascomus</v>
          </cell>
          <cell r="AJ14" t="str">
            <v>ADA_CH - Danone Arg. S.A. - Chascomus</v>
          </cell>
          <cell r="AK14" t="str">
            <v>ADA_CH - Danone Arg. S.A. - Chascomus</v>
          </cell>
          <cell r="AL14" t="str">
            <v>ADA_CH - Danone Arg. S.A. - Chascomus</v>
          </cell>
          <cell r="AM14" t="str">
            <v>ADA_CH - Danone Arg. S.A. - Chascomus</v>
          </cell>
          <cell r="AN14" t="str">
            <v>ADA_CH - Danone Arg. S.A. - Chascomus</v>
          </cell>
          <cell r="AO14" t="str">
            <v>ADA_CH - Danone Arg. S.A. - Chascomus</v>
          </cell>
          <cell r="AP14" t="str">
            <v>ADA_CH - Danone Arg. S.A. - Chascomus</v>
          </cell>
          <cell r="AQ14" t="str">
            <v>ADA_CH - Danone Arg. S.A. - Chascomus</v>
          </cell>
          <cell r="AR14" t="str">
            <v>ADA_CH - Danone Arg. S.A. - Chascomus</v>
          </cell>
          <cell r="AS14" t="str">
            <v>ADA_CH - Danone Arg. S.A. - Chascomus</v>
          </cell>
          <cell r="AT14" t="str">
            <v>ADA_CH - Danone Arg. S.A. - Chascomus</v>
          </cell>
          <cell r="AU14" t="str">
            <v>ADA_CH - Danone Arg. S.A. - Chascomus</v>
          </cell>
          <cell r="AV14" t="str">
            <v>ADA_CH - Danone Arg. S.A. - Chascomus</v>
          </cell>
          <cell r="AW14" t="str">
            <v>ADA_CH - Danone Arg. S.A. - Chascomus</v>
          </cell>
          <cell r="AX14" t="str">
            <v>ADA_CH - Danone Arg. S.A. - Chascomus</v>
          </cell>
          <cell r="AY14" t="str">
            <v>ADA_CH - Danone Arg. S.A. - Chascomus</v>
          </cell>
          <cell r="AZ14" t="str">
            <v>ADA_CH - Danone Arg. S.A. - Chascomus</v>
          </cell>
          <cell r="BA14" t="str">
            <v>ADA_CH - Danone Arg. S.A. - Chascomus</v>
          </cell>
          <cell r="BB14" t="str">
            <v>ADA_CH - Danone Arg. S.A. - Chascomus</v>
          </cell>
          <cell r="BC14" t="str">
            <v>ADA_CH - Danone Arg. S.A. - Chascomus</v>
          </cell>
          <cell r="BD14" t="str">
            <v>ADA_CH - Danone Arg. S.A. - Chascomus</v>
          </cell>
          <cell r="BE14" t="str">
            <v>ADA_CH - Danone Arg. S.A. - Chascomus</v>
          </cell>
          <cell r="BF14" t="str">
            <v>ADA_CH - Danone Arg. S.A. - Chascomus</v>
          </cell>
          <cell r="BG14" t="str">
            <v>ADA_CH - Danone Arg. S.A. - Chascomus</v>
          </cell>
          <cell r="BH14" t="str">
            <v>ADA_CH - Danone Arg. S.A. - Chascomus</v>
          </cell>
          <cell r="BI14" t="str">
            <v>ADA_CH - Danone Arg. S.A. - Chascomus</v>
          </cell>
          <cell r="BJ14" t="str">
            <v>ADA_CH - Danone Arg. S.A. - Chascomus</v>
          </cell>
          <cell r="BK14" t="str">
            <v>ADA_CH - Danone Arg. S.A. - Chascomus</v>
          </cell>
          <cell r="BL14" t="str">
            <v>ADA_CH - Danone Arg. S.A. - Chascomus</v>
          </cell>
          <cell r="BM14" t="str">
            <v>ADA_CH - Danone Arg. S.A. - Chascomus</v>
          </cell>
          <cell r="BN14" t="str">
            <v>ADA_CH - Danone Arg. S.A. - Chascomus</v>
          </cell>
          <cell r="BO14" t="str">
            <v>ADA_CH - Danone Arg. S.A. - Chascomus</v>
          </cell>
          <cell r="BP14" t="str">
            <v>ADA_CH - Danone Arg. S.A. - Chascomus</v>
          </cell>
          <cell r="BQ14" t="str">
            <v>ADA_CH - Danone Arg. S.A. - Chascomus</v>
          </cell>
          <cell r="BR14" t="str">
            <v>ADA_CH - Danone Arg. S.A. - Chascomus</v>
          </cell>
          <cell r="BS14" t="str">
            <v>ADA_CH - Danone Arg. S.A. - Chascomus</v>
          </cell>
          <cell r="BT14" t="str">
            <v>ADA_CH - Danone Arg. S.A. - Chascomus</v>
          </cell>
          <cell r="BU14" t="str">
            <v>ADA_CH - Danone Arg. S.A. - Chascomus</v>
          </cell>
          <cell r="BV14" t="str">
            <v>ADA_CH - Danone Arg. S.A. - Chascomus</v>
          </cell>
          <cell r="BW14" t="str">
            <v>ADA_CH - Danone Arg. S.A. - Chascomus</v>
          </cell>
          <cell r="BX14" t="str">
            <v>ADA_CH - Danone Arg. S.A. - Chascomus</v>
          </cell>
          <cell r="BY14" t="str">
            <v>ADA_CH - Danone Arg. S.A. - Chascomus</v>
          </cell>
          <cell r="BZ14" t="str">
            <v>ADA_CH - Danone Arg. S.A. - Chascomus</v>
          </cell>
          <cell r="CA14" t="str">
            <v>ADA_CH - Danone Arg. S.A. - Chascomus</v>
          </cell>
          <cell r="CB14" t="str">
            <v>ADA_CH - Danone Arg. S.A. - Chascomus</v>
          </cell>
          <cell r="CC14" t="str">
            <v>ADA_CH - Danone Arg. S.A. - Chascomus</v>
          </cell>
          <cell r="CD14" t="str">
            <v>ADA_CH - Danone Arg. S.A. - Chascomus</v>
          </cell>
          <cell r="CE14" t="str">
            <v>ADA_CH - Danone Arg. S.A. - Chascomus</v>
          </cell>
          <cell r="CF14" t="str">
            <v>ADA_CH - Danone Arg. S.A. - Chascomus</v>
          </cell>
          <cell r="CG14" t="str">
            <v>ADA_CH - Danone Arg. S.A. - Chascomus</v>
          </cell>
          <cell r="CH14" t="str">
            <v>ADA_CH - Danone Arg. S.A. - Chascomus</v>
          </cell>
          <cell r="CI14" t="str">
            <v>ADA_CH - Danone Arg. S.A. - Chascomus</v>
          </cell>
          <cell r="CJ14" t="str">
            <v>ADA_CH - Danone Arg. S.A. - Chascomus</v>
          </cell>
          <cell r="CK14" t="str">
            <v>ADA_CH - Danone Arg. S.A. - Chascomus</v>
          </cell>
          <cell r="CL14" t="str">
            <v>ADA_CH - Danone Arg. S.A. - Chascomus</v>
          </cell>
          <cell r="CM14" t="str">
            <v>ADA_CH - Danone Arg. S.A. - Chascomus</v>
          </cell>
          <cell r="CN14" t="str">
            <v>ADA_CH - Danone Arg. S.A. - Chascomus</v>
          </cell>
          <cell r="CO14" t="str">
            <v>ADA_CH - Danone Arg. S.A. - Chascomus</v>
          </cell>
          <cell r="CP14" t="str">
            <v>ADA_CH - Danone Arg. S.A. - Chascomus</v>
          </cell>
          <cell r="CQ14" t="str">
            <v>ADA_CH - Danone Arg. S.A. - Chascomus</v>
          </cell>
          <cell r="CR14" t="str">
            <v>ADA_CH - Danone Arg. S.A. - Chascomus</v>
          </cell>
          <cell r="CS14" t="str">
            <v>ADA_CH - Danone Arg. S.A. - Chascomus</v>
          </cell>
          <cell r="CT14" t="str">
            <v>ADA_CH - Danone Arg. S.A. - Chascomus</v>
          </cell>
          <cell r="CU14" t="str">
            <v>ADA_CH - Danone Arg. S.A. - Chascomus</v>
          </cell>
          <cell r="CV14" t="str">
            <v>ADA_CH - Danone Arg. S.A. - Chascomus</v>
          </cell>
          <cell r="CW14" t="str">
            <v>ADA_CH - Danone Arg. S.A. - Chascomus</v>
          </cell>
        </row>
        <row r="15">
          <cell r="D15" t="str">
            <v>AD367PZ</v>
          </cell>
          <cell r="E15" t="str">
            <v>Semiremolque</v>
          </cell>
          <cell r="F15" t="str">
            <v>Semiremolque</v>
          </cell>
          <cell r="G15" t="str">
            <v>Semiremolque Sider 15,5m 30P</v>
          </cell>
          <cell r="N15" t="str">
            <v>DYLASA</v>
          </cell>
          <cell r="O15" t="str">
            <v>DYLASA</v>
          </cell>
          <cell r="P15" t="str">
            <v>No</v>
          </cell>
          <cell r="Q15" t="str">
            <v>Propio</v>
          </cell>
          <cell r="R15">
            <v>30</v>
          </cell>
          <cell r="S15" t="str">
            <v>Propio</v>
          </cell>
          <cell r="T15" t="str">
            <v>HERMANN</v>
          </cell>
          <cell r="U15" t="str">
            <v>S.A.P.3E.71</v>
          </cell>
          <cell r="V15">
            <v>0</v>
          </cell>
          <cell r="W15" t="str">
            <v>8EHSPA3E0JA001110</v>
          </cell>
          <cell r="X15">
            <v>2018</v>
          </cell>
          <cell r="Y15">
            <v>8</v>
          </cell>
          <cell r="Z15" t="str">
            <v>Danone Chascomus</v>
          </cell>
          <cell r="AA15" t="str">
            <v>ADA_CH - Danone Arg. S.A. - Chascomus</v>
          </cell>
          <cell r="AB15" t="str">
            <v>ADA_CH - Danone Arg. S.A. - Chascomus</v>
          </cell>
          <cell r="AC15" t="str">
            <v>ADA_CH - Danone Arg. S.A. - Chascomus</v>
          </cell>
          <cell r="AD15" t="str">
            <v>ADA_CH - Danone Arg. S.A. - Chascomus</v>
          </cell>
          <cell r="AE15" t="str">
            <v>ADA_CH - Danone Arg. S.A. - Chascomus</v>
          </cell>
          <cell r="AF15" t="str">
            <v>ADA_CH - Danone Arg. S.A. - Chascomus</v>
          </cell>
          <cell r="AG15" t="str">
            <v>ADA_CH - Danone Arg. S.A. - Chascomus</v>
          </cell>
          <cell r="AH15" t="str">
            <v>ADA_CH - Danone Arg. S.A. - Chascomus</v>
          </cell>
          <cell r="AI15" t="str">
            <v>ADA_CH - Danone Arg. S.A. - Chascomus</v>
          </cell>
          <cell r="AJ15" t="str">
            <v>ADA_CH - Danone Arg. S.A. - Chascomus</v>
          </cell>
          <cell r="AK15" t="str">
            <v>ADA_CH - Danone Arg. S.A. - Chascomus</v>
          </cell>
          <cell r="AL15" t="str">
            <v>ADA_CH - Danone Arg. S.A. - Chascomus</v>
          </cell>
          <cell r="AM15" t="str">
            <v>ADA_CH - Danone Arg. S.A. - Chascomus</v>
          </cell>
          <cell r="AN15" t="str">
            <v>ADA_CH - Danone Arg. S.A. - Chascomus</v>
          </cell>
          <cell r="AO15" t="str">
            <v>ADA_CH - Danone Arg. S.A. - Chascomus</v>
          </cell>
          <cell r="AP15" t="str">
            <v>ADA_CH - Danone Arg. S.A. - Chascomus</v>
          </cell>
          <cell r="AQ15" t="str">
            <v>ADA_CH - Danone Arg. S.A. - Chascomus</v>
          </cell>
          <cell r="AR15" t="str">
            <v>ADA_CH - Danone Arg. S.A. - Chascomus</v>
          </cell>
          <cell r="AS15" t="str">
            <v>ADA_CH - Danone Arg. S.A. - Chascomus</v>
          </cell>
          <cell r="AT15" t="str">
            <v>ADA_CH - Danone Arg. S.A. - Chascomus</v>
          </cell>
          <cell r="AU15" t="str">
            <v>ADA_CH - Danone Arg. S.A. - Chascomus</v>
          </cell>
          <cell r="AV15" t="str">
            <v>ADA_CH - Danone Arg. S.A. - Chascomus</v>
          </cell>
          <cell r="AW15" t="str">
            <v>ADA_CH - Danone Arg. S.A. - Chascomus</v>
          </cell>
          <cell r="AX15" t="str">
            <v>ADA_CH - Danone Arg. S.A. - Chascomus</v>
          </cell>
          <cell r="AY15" t="str">
            <v>ADA_CH - Danone Arg. S.A. - Chascomus</v>
          </cell>
          <cell r="AZ15" t="str">
            <v>ADA_CH - Danone Arg. S.A. - Chascomus</v>
          </cell>
          <cell r="BA15" t="str">
            <v>ADA_CH - Danone Arg. S.A. - Chascomus</v>
          </cell>
          <cell r="BB15" t="str">
            <v>ADA_CH - Danone Arg. S.A. - Chascomus</v>
          </cell>
          <cell r="BC15" t="str">
            <v>ADA_CH - Danone Arg. S.A. - Chascomus</v>
          </cell>
          <cell r="BD15" t="str">
            <v>ADA_CH - Danone Arg. S.A. - Chascomus</v>
          </cell>
          <cell r="BE15" t="str">
            <v>ADA_CH - Danone Arg. S.A. - Chascomus</v>
          </cell>
          <cell r="BF15" t="str">
            <v>ADA_CH - Danone Arg. S.A. - Chascomus</v>
          </cell>
          <cell r="BG15" t="str">
            <v>ADA_CH - Danone Arg. S.A. - Chascomus</v>
          </cell>
          <cell r="BH15" t="str">
            <v>ADA_CH - Danone Arg. S.A. - Chascomus</v>
          </cell>
          <cell r="BI15" t="str">
            <v>ADA_CH - Danone Arg. S.A. - Chascomus</v>
          </cell>
          <cell r="BJ15" t="str">
            <v>ADA_CH - Danone Arg. S.A. - Chascomus</v>
          </cell>
          <cell r="BK15" t="str">
            <v>ADA_CH - Danone Arg. S.A. - Chascomus</v>
          </cell>
          <cell r="BL15" t="str">
            <v>ADA_CH - Danone Arg. S.A. - Chascomus</v>
          </cell>
          <cell r="BM15" t="str">
            <v>ADA_CH - Danone Arg. S.A. - Chascomus</v>
          </cell>
          <cell r="BN15" t="str">
            <v>ADA_CH - Danone Arg. S.A. - Chascomus</v>
          </cell>
          <cell r="BO15" t="str">
            <v>ADA_CH - Danone Arg. S.A. - Chascomus</v>
          </cell>
          <cell r="BP15" t="str">
            <v>ADA_CH - Danone Arg. S.A. - Chascomus</v>
          </cell>
          <cell r="BQ15" t="str">
            <v>ADA_CH - Danone Arg. S.A. - Chascomus</v>
          </cell>
          <cell r="BR15" t="str">
            <v>ADA_CH - Danone Arg. S.A. - Chascomus</v>
          </cell>
          <cell r="BS15" t="str">
            <v>ADA_CH - Danone Arg. S.A. - Chascomus</v>
          </cell>
          <cell r="BT15" t="str">
            <v>ADA_CH - Danone Arg. S.A. - Chascomus</v>
          </cell>
          <cell r="BU15" t="str">
            <v>ADA_CH - Danone Arg. S.A. - Chascomus</v>
          </cell>
          <cell r="BV15" t="str">
            <v>ADA_CH - Danone Arg. S.A. - Chascomus</v>
          </cell>
          <cell r="BW15" t="str">
            <v>ADA_CH - Danone Arg. S.A. - Chascomus</v>
          </cell>
          <cell r="BX15" t="str">
            <v>ADA_CH - Danone Arg. S.A. - Chascomus</v>
          </cell>
          <cell r="BY15" t="str">
            <v>ADA_CH - Danone Arg. S.A. - Chascomus</v>
          </cell>
          <cell r="BZ15" t="str">
            <v>ADA_CH - Danone Arg. S.A. - Chascomus</v>
          </cell>
          <cell r="CA15" t="str">
            <v>ADA_CH - Danone Arg. S.A. - Chascomus</v>
          </cell>
          <cell r="CB15" t="str">
            <v>ADA_CH - Danone Arg. S.A. - Chascomus</v>
          </cell>
          <cell r="CC15" t="str">
            <v>ADA_CH - Danone Arg. S.A. - Chascomus</v>
          </cell>
          <cell r="CD15" t="str">
            <v>ADA_CH - Danone Arg. S.A. - Chascomus</v>
          </cell>
          <cell r="CE15" t="str">
            <v>ADA_CH - Danone Arg. S.A. - Chascomus</v>
          </cell>
          <cell r="CF15" t="str">
            <v>ADA_CH - Danone Arg. S.A. - Chascomus</v>
          </cell>
          <cell r="CG15" t="str">
            <v>ADA_CH - Danone Arg. S.A. - Chascomus</v>
          </cell>
          <cell r="CH15" t="str">
            <v>ADA_CH - Danone Arg. S.A. - Chascomus</v>
          </cell>
          <cell r="CI15" t="str">
            <v>ADA_CH - Danone Arg. S.A. - Chascomus</v>
          </cell>
          <cell r="CJ15" t="str">
            <v>ADA_CH - Danone Arg. S.A. - Chascomus</v>
          </cell>
          <cell r="CK15" t="str">
            <v>ADA_CH - Danone Arg. S.A. - Chascomus</v>
          </cell>
          <cell r="CL15" t="str">
            <v>ADA_CH - Danone Arg. S.A. - Chascomus</v>
          </cell>
          <cell r="CM15" t="str">
            <v>ADA_CH - Danone Arg. S.A. - Chascomus</v>
          </cell>
          <cell r="CN15" t="str">
            <v>ADA_CH - Danone Arg. S.A. - Chascomus</v>
          </cell>
          <cell r="CO15" t="str">
            <v>ADA_CH - Danone Arg. S.A. - Chascomus</v>
          </cell>
          <cell r="CP15" t="str">
            <v>ADA_CH - Danone Arg. S.A. - Chascomus</v>
          </cell>
          <cell r="CQ15" t="str">
            <v>ADA_CH - Danone Arg. S.A. - Chascomus</v>
          </cell>
          <cell r="CR15" t="str">
            <v>ADA_CH - Danone Arg. S.A. - Chascomus</v>
          </cell>
          <cell r="CS15" t="str">
            <v>ADA_CH - Danone Arg. S.A. - Chascomus</v>
          </cell>
          <cell r="CT15" t="str">
            <v>ADA_CH - Danone Arg. S.A. - Chascomus</v>
          </cell>
          <cell r="CU15" t="str">
            <v>ADA_CH - Danone Arg. S.A. - Chascomus</v>
          </cell>
          <cell r="CV15" t="str">
            <v>ADA_CH - Danone Arg. S.A. - Chascomus</v>
          </cell>
          <cell r="CW15" t="str">
            <v>ADA_CH - Danone Arg. S.A. - Chascomus</v>
          </cell>
        </row>
        <row r="16">
          <cell r="D16" t="str">
            <v>AD367QA</v>
          </cell>
          <cell r="E16" t="str">
            <v>Semiremolque</v>
          </cell>
          <cell r="F16" t="str">
            <v>Semiremolque</v>
          </cell>
          <cell r="G16" t="str">
            <v>Semiremolque Sider 15,5m 30P</v>
          </cell>
          <cell r="N16" t="str">
            <v>DYLASA</v>
          </cell>
          <cell r="O16" t="str">
            <v>DYLASA</v>
          </cell>
          <cell r="P16" t="str">
            <v>No</v>
          </cell>
          <cell r="Q16" t="str">
            <v>Propio</v>
          </cell>
          <cell r="R16">
            <v>30</v>
          </cell>
          <cell r="S16" t="str">
            <v>Propio</v>
          </cell>
          <cell r="T16" t="str">
            <v>HERMANN</v>
          </cell>
          <cell r="U16" t="str">
            <v>S.A.P.3E.71</v>
          </cell>
          <cell r="V16">
            <v>0</v>
          </cell>
          <cell r="W16" t="str">
            <v>8EHSPA3E0JA001108</v>
          </cell>
          <cell r="X16">
            <v>2018</v>
          </cell>
          <cell r="Y16">
            <v>8</v>
          </cell>
          <cell r="Z16" t="str">
            <v>Danone Chascomus</v>
          </cell>
          <cell r="AA16" t="str">
            <v>ADA_CH - Danone Arg. S.A. - Chascomus</v>
          </cell>
          <cell r="AB16" t="str">
            <v>ADA_CH - Danone Arg. S.A. - Chascomus</v>
          </cell>
          <cell r="AC16" t="str">
            <v>ADA_CH - Danone Arg. S.A. - Chascomus</v>
          </cell>
          <cell r="AD16" t="str">
            <v>ADA_CH - Danone Arg. S.A. - Chascomus</v>
          </cell>
          <cell r="AE16" t="str">
            <v>ADA_CH - Danone Arg. S.A. - Chascomus</v>
          </cell>
          <cell r="AF16" t="str">
            <v>ADA_CH - Danone Arg. S.A. - Chascomus</v>
          </cell>
          <cell r="AG16" t="str">
            <v>ADA_CH - Danone Arg. S.A. - Chascomus</v>
          </cell>
          <cell r="AH16" t="str">
            <v>ADA_CH - Danone Arg. S.A. - Chascomus</v>
          </cell>
          <cell r="AI16" t="str">
            <v>ADA_CH - Danone Arg. S.A. - Chascomus</v>
          </cell>
          <cell r="AJ16" t="str">
            <v>ADA_CH - Danone Arg. S.A. - Chascomus</v>
          </cell>
          <cell r="AK16" t="str">
            <v>ADA_CH - Danone Arg. S.A. - Chascomus</v>
          </cell>
          <cell r="AL16" t="str">
            <v>ADA_CH - Danone Arg. S.A. - Chascomus</v>
          </cell>
          <cell r="AM16" t="str">
            <v>ADA_CH - Danone Arg. S.A. - Chascomus</v>
          </cell>
          <cell r="AN16" t="str">
            <v>ADA_CH - Danone Arg. S.A. - Chascomus</v>
          </cell>
          <cell r="AO16" t="str">
            <v>ADA_CH - Danone Arg. S.A. - Chascomus</v>
          </cell>
          <cell r="AP16" t="str">
            <v>ADA_CH - Danone Arg. S.A. - Chascomus</v>
          </cell>
          <cell r="AQ16" t="str">
            <v>ADA_CH - Danone Arg. S.A. - Chascomus</v>
          </cell>
          <cell r="AR16" t="str">
            <v>ADA_CH - Danone Arg. S.A. - Chascomus</v>
          </cell>
          <cell r="AS16" t="str">
            <v>ADA_CH - Danone Arg. S.A. - Chascomus</v>
          </cell>
          <cell r="AT16" t="str">
            <v>ADA_CH - Danone Arg. S.A. - Chascomus</v>
          </cell>
          <cell r="AU16" t="str">
            <v>ADA_CH - Danone Arg. S.A. - Chascomus</v>
          </cell>
          <cell r="AV16" t="str">
            <v>ADA_CH - Danone Arg. S.A. - Chascomus</v>
          </cell>
          <cell r="AW16" t="str">
            <v>ADA_CH - Danone Arg. S.A. - Chascomus</v>
          </cell>
          <cell r="AX16" t="str">
            <v>ADA_CH - Danone Arg. S.A. - Chascomus</v>
          </cell>
          <cell r="AY16" t="str">
            <v>ADA_CH - Danone Arg. S.A. - Chascomus</v>
          </cell>
          <cell r="AZ16" t="str">
            <v>ADA_CH - Danone Arg. S.A. - Chascomus</v>
          </cell>
          <cell r="BA16" t="str">
            <v>ADA_CH - Danone Arg. S.A. - Chascomus</v>
          </cell>
          <cell r="BB16" t="str">
            <v>ADA_CH - Danone Arg. S.A. - Chascomus</v>
          </cell>
          <cell r="BC16" t="str">
            <v>ADA_CH - Danone Arg. S.A. - Chascomus</v>
          </cell>
          <cell r="BD16" t="str">
            <v>ADA_CH - Danone Arg. S.A. - Chascomus</v>
          </cell>
          <cell r="BE16" t="str">
            <v>ADA_CH - Danone Arg. S.A. - Chascomus</v>
          </cell>
          <cell r="BF16" t="str">
            <v>ADA_CH - Danone Arg. S.A. - Chascomus</v>
          </cell>
          <cell r="BG16" t="str">
            <v>ADA_CH - Danone Arg. S.A. - Chascomus</v>
          </cell>
          <cell r="BH16" t="str">
            <v>ADA_CH - Danone Arg. S.A. - Chascomus</v>
          </cell>
          <cell r="BI16" t="str">
            <v>ADA_CH - Danone Arg. S.A. - Chascomus</v>
          </cell>
          <cell r="BJ16" t="str">
            <v>ADA_CH - Danone Arg. S.A. - Chascomus</v>
          </cell>
          <cell r="BK16" t="str">
            <v>ADA_CH - Danone Arg. S.A. - Chascomus</v>
          </cell>
          <cell r="BL16" t="str">
            <v>ADA_CH - Danone Arg. S.A. - Chascomus</v>
          </cell>
          <cell r="BM16" t="str">
            <v>ADA_CH - Danone Arg. S.A. - Chascomus</v>
          </cell>
          <cell r="BN16" t="str">
            <v>ADA_CH - Danone Arg. S.A. - Chascomus</v>
          </cell>
          <cell r="BO16" t="str">
            <v>ADA_CH - Danone Arg. S.A. - Chascomus</v>
          </cell>
          <cell r="BP16" t="str">
            <v>ADA_CH - Danone Arg. S.A. - Chascomus</v>
          </cell>
          <cell r="BQ16" t="str">
            <v>ADA_CH - Danone Arg. S.A. - Chascomus</v>
          </cell>
          <cell r="BR16" t="str">
            <v>ADA_CH - Danone Arg. S.A. - Chascomus</v>
          </cell>
          <cell r="BS16" t="str">
            <v>ADA_CH - Danone Arg. S.A. - Chascomus</v>
          </cell>
          <cell r="BT16" t="str">
            <v>ADA_CH - Danone Arg. S.A. - Chascomus</v>
          </cell>
          <cell r="BU16" t="str">
            <v>ADA_CH - Danone Arg. S.A. - Chascomus</v>
          </cell>
          <cell r="BV16" t="str">
            <v>ADA_CH - Danone Arg. S.A. - Chascomus</v>
          </cell>
          <cell r="BW16" t="str">
            <v>ADA_CH - Danone Arg. S.A. - Chascomus</v>
          </cell>
          <cell r="BX16" t="str">
            <v>ADA_CH - Danone Arg. S.A. - Chascomus</v>
          </cell>
          <cell r="BY16" t="str">
            <v>ADA_CH - Danone Arg. S.A. - Chascomus</v>
          </cell>
          <cell r="BZ16" t="str">
            <v>ADA_CH - Danone Arg. S.A. - Chascomus</v>
          </cell>
          <cell r="CA16" t="str">
            <v>ADA_CH - Danone Arg. S.A. - Chascomus</v>
          </cell>
          <cell r="CB16" t="str">
            <v>ADA_CH - Danone Arg. S.A. - Chascomus</v>
          </cell>
          <cell r="CC16" t="str">
            <v>ADA_CH - Danone Arg. S.A. - Chascomus</v>
          </cell>
          <cell r="CD16" t="str">
            <v>ADA_CH - Danone Arg. S.A. - Chascomus</v>
          </cell>
          <cell r="CE16" t="str">
            <v>ADA_CH - Danone Arg. S.A. - Chascomus</v>
          </cell>
          <cell r="CF16" t="str">
            <v>ADA_CH - Danone Arg. S.A. - Chascomus</v>
          </cell>
          <cell r="CG16" t="str">
            <v>ADA_CH - Danone Arg. S.A. - Chascomus</v>
          </cell>
          <cell r="CH16" t="str">
            <v>ADA_CH - Danone Arg. S.A. - Chascomus</v>
          </cell>
          <cell r="CI16" t="str">
            <v>ADA_CH - Danone Arg. S.A. - Chascomus</v>
          </cell>
          <cell r="CJ16" t="str">
            <v>ADA_CH - Danone Arg. S.A. - Chascomus</v>
          </cell>
          <cell r="CK16" t="str">
            <v>ADA_CH - Danone Arg. S.A. - Chascomus</v>
          </cell>
          <cell r="CL16" t="str">
            <v>ADA_CH - Danone Arg. S.A. - Chascomus</v>
          </cell>
          <cell r="CM16" t="str">
            <v>ADA_CH - Danone Arg. S.A. - Chascomus</v>
          </cell>
          <cell r="CN16" t="str">
            <v>ADA_CH - Danone Arg. S.A. - Chascomus</v>
          </cell>
          <cell r="CO16" t="str">
            <v>ADA_CH - Danone Arg. S.A. - Chascomus</v>
          </cell>
          <cell r="CP16" t="str">
            <v>ADA_CH - Danone Arg. S.A. - Chascomus</v>
          </cell>
          <cell r="CQ16" t="str">
            <v>ADA_CH - Danone Arg. S.A. - Chascomus</v>
          </cell>
          <cell r="CR16" t="str">
            <v>ADA_CH - Danone Arg. S.A. - Chascomus</v>
          </cell>
          <cell r="CS16" t="str">
            <v>ADA_CH - Danone Arg. S.A. - Chascomus</v>
          </cell>
          <cell r="CT16" t="str">
            <v>ADA_CH - Danone Arg. S.A. - Chascomus</v>
          </cell>
          <cell r="CU16" t="str">
            <v>ADA_CH - Danone Arg. S.A. - Chascomus</v>
          </cell>
          <cell r="CV16" t="str">
            <v>ADA_CH - Danone Arg. S.A. - Chascomus</v>
          </cell>
          <cell r="CW16" t="str">
            <v>ADA_CH - Danone Arg. S.A. - Chascomus</v>
          </cell>
        </row>
        <row r="17">
          <cell r="D17" t="str">
            <v>AD367QB</v>
          </cell>
          <cell r="E17" t="str">
            <v>Semiremolque</v>
          </cell>
          <cell r="F17" t="str">
            <v>Semiremolque</v>
          </cell>
          <cell r="G17" t="str">
            <v>Semiremolque Sider 15,5m 30P</v>
          </cell>
          <cell r="N17" t="str">
            <v>DYLASA</v>
          </cell>
          <cell r="O17" t="str">
            <v>DYLASA</v>
          </cell>
          <cell r="P17" t="str">
            <v>No</v>
          </cell>
          <cell r="Q17" t="str">
            <v>Propio</v>
          </cell>
          <cell r="R17">
            <v>30</v>
          </cell>
          <cell r="S17" t="str">
            <v>Propio</v>
          </cell>
          <cell r="T17" t="str">
            <v>HERMANN</v>
          </cell>
          <cell r="U17" t="str">
            <v>S.A.P.3E.71</v>
          </cell>
          <cell r="V17">
            <v>0</v>
          </cell>
          <cell r="W17" t="str">
            <v>8EHSPA3E0JA001107</v>
          </cell>
          <cell r="X17">
            <v>2018</v>
          </cell>
          <cell r="Y17">
            <v>8</v>
          </cell>
          <cell r="Z17" t="str">
            <v>Danone Chascomus</v>
          </cell>
          <cell r="AA17" t="str">
            <v>ADA_CH - Danone Arg. S.A. - Chascomus</v>
          </cell>
          <cell r="AB17" t="str">
            <v>ADA_CH - Danone Arg. S.A. - Chascomus</v>
          </cell>
          <cell r="AC17" t="str">
            <v>ADA_CH - Danone Arg. S.A. - Chascomus</v>
          </cell>
          <cell r="AD17" t="str">
            <v>ADA_CH - Danone Arg. S.A. - Chascomus</v>
          </cell>
          <cell r="AE17" t="str">
            <v>ADA_CH - Danone Arg. S.A. - Chascomus</v>
          </cell>
          <cell r="AF17" t="str">
            <v>ADA_CH - Danone Arg. S.A. - Chascomus</v>
          </cell>
          <cell r="AG17" t="str">
            <v>ADA_CH - Danone Arg. S.A. - Chascomus</v>
          </cell>
          <cell r="AH17" t="str">
            <v>ADA_CH - Danone Arg. S.A. - Chascomus</v>
          </cell>
          <cell r="AI17" t="str">
            <v>ADA_CH - Danone Arg. S.A. - Chascomus</v>
          </cell>
          <cell r="AJ17" t="str">
            <v>ADA_CH - Danone Arg. S.A. - Chascomus</v>
          </cell>
          <cell r="AK17" t="str">
            <v>ADA_CH - Danone Arg. S.A. - Chascomus</v>
          </cell>
          <cell r="AL17" t="str">
            <v>ADA_CH - Danone Arg. S.A. - Chascomus</v>
          </cell>
          <cell r="AM17" t="str">
            <v>ADA_CH - Danone Arg. S.A. - Chascomus</v>
          </cell>
          <cell r="AN17" t="str">
            <v>ADA_CH - Danone Arg. S.A. - Chascomus</v>
          </cell>
          <cell r="AO17" t="str">
            <v>ADA_CH - Danone Arg. S.A. - Chascomus</v>
          </cell>
          <cell r="AP17" t="str">
            <v>ADA_CH - Danone Arg. S.A. - Chascomus</v>
          </cell>
          <cell r="AQ17" t="str">
            <v>ADA_CH - Danone Arg. S.A. - Chascomus</v>
          </cell>
          <cell r="AR17" t="str">
            <v>ADA_CH - Danone Arg. S.A. - Chascomus</v>
          </cell>
          <cell r="AS17" t="str">
            <v>ADA_CH - Danone Arg. S.A. - Chascomus</v>
          </cell>
          <cell r="AT17" t="str">
            <v>ADA_CH - Danone Arg. S.A. - Chascomus</v>
          </cell>
          <cell r="AU17" t="str">
            <v>ADA_CH - Danone Arg. S.A. - Chascomus</v>
          </cell>
          <cell r="AV17" t="str">
            <v>ADA_CH - Danone Arg. S.A. - Chascomus</v>
          </cell>
          <cell r="AW17" t="str">
            <v>ADA_CH - Danone Arg. S.A. - Chascomus</v>
          </cell>
          <cell r="AX17" t="str">
            <v>ADA_CH - Danone Arg. S.A. - Chascomus</v>
          </cell>
          <cell r="AY17" t="str">
            <v>ADA_CH - Danone Arg. S.A. - Chascomus</v>
          </cell>
          <cell r="AZ17" t="str">
            <v>ADA_CH - Danone Arg. S.A. - Chascomus</v>
          </cell>
          <cell r="BA17" t="str">
            <v>ADA_CH - Danone Arg. S.A. - Chascomus</v>
          </cell>
          <cell r="BB17" t="str">
            <v>ADA_CH - Danone Arg. S.A. - Chascomus</v>
          </cell>
          <cell r="BC17" t="str">
            <v>ADA_CH - Danone Arg. S.A. - Chascomus</v>
          </cell>
          <cell r="BD17" t="str">
            <v>ADA_CH - Danone Arg. S.A. - Chascomus</v>
          </cell>
          <cell r="BE17" t="str">
            <v>ADA_CH - Danone Arg. S.A. - Chascomus</v>
          </cell>
          <cell r="BF17" t="str">
            <v>ADA_CH - Danone Arg. S.A. - Chascomus</v>
          </cell>
          <cell r="BG17" t="str">
            <v>ADA_CH - Danone Arg. S.A. - Chascomus</v>
          </cell>
          <cell r="BH17" t="str">
            <v>ADA_CH - Danone Arg. S.A. - Chascomus</v>
          </cell>
          <cell r="BI17" t="str">
            <v>ADA_CH - Danone Arg. S.A. - Chascomus</v>
          </cell>
          <cell r="BJ17" t="str">
            <v>ADA_CH - Danone Arg. S.A. - Chascomus</v>
          </cell>
          <cell r="BK17" t="str">
            <v>ADA_CH - Danone Arg. S.A. - Chascomus</v>
          </cell>
          <cell r="BL17" t="str">
            <v>ADA_CH - Danone Arg. S.A. - Chascomus</v>
          </cell>
          <cell r="BM17" t="str">
            <v>ADA_CH - Danone Arg. S.A. - Chascomus</v>
          </cell>
          <cell r="BN17" t="str">
            <v>ADA_CH - Danone Arg. S.A. - Chascomus</v>
          </cell>
          <cell r="BO17" t="str">
            <v>ADA_CH - Danone Arg. S.A. - Chascomus</v>
          </cell>
          <cell r="BP17" t="str">
            <v>ADA_CH - Danone Arg. S.A. - Chascomus</v>
          </cell>
          <cell r="BQ17" t="str">
            <v>ADA_CH - Danone Arg. S.A. - Chascomus</v>
          </cell>
          <cell r="BR17" t="str">
            <v>ADA_CH - Danone Arg. S.A. - Chascomus</v>
          </cell>
          <cell r="BS17" t="str">
            <v>ADA_CH - Danone Arg. S.A. - Chascomus</v>
          </cell>
          <cell r="BT17" t="str">
            <v>ADA_CH - Danone Arg. S.A. - Chascomus</v>
          </cell>
          <cell r="BU17" t="str">
            <v>ADA_CH - Danone Arg. S.A. - Chascomus</v>
          </cell>
          <cell r="BV17" t="str">
            <v>ADA_CH - Danone Arg. S.A. - Chascomus</v>
          </cell>
          <cell r="BW17" t="str">
            <v>ADA_CH - Danone Arg. S.A. - Chascomus</v>
          </cell>
          <cell r="BX17" t="str">
            <v>ADA_CH - Danone Arg. S.A. - Chascomus</v>
          </cell>
          <cell r="BY17" t="str">
            <v>ADA_CH - Danone Arg. S.A. - Chascomus</v>
          </cell>
          <cell r="BZ17" t="str">
            <v>ADA_CH - Danone Arg. S.A. - Chascomus</v>
          </cell>
          <cell r="CA17" t="str">
            <v>ADA_CH - Danone Arg. S.A. - Chascomus</v>
          </cell>
          <cell r="CB17" t="str">
            <v>ADA_CH - Danone Arg. S.A. - Chascomus</v>
          </cell>
          <cell r="CC17" t="str">
            <v>ADA_CH - Danone Arg. S.A. - Chascomus</v>
          </cell>
          <cell r="CD17" t="str">
            <v>ADA_CH - Danone Arg. S.A. - Chascomus</v>
          </cell>
          <cell r="CE17" t="str">
            <v>ADA_CH - Danone Arg. S.A. - Chascomus</v>
          </cell>
          <cell r="CF17" t="str">
            <v>ADA_CH - Danone Arg. S.A. - Chascomus</v>
          </cell>
          <cell r="CG17" t="str">
            <v>ADA_CH - Danone Arg. S.A. - Chascomus</v>
          </cell>
          <cell r="CH17" t="str">
            <v>ADA_CH - Danone Arg. S.A. - Chascomus</v>
          </cell>
          <cell r="CI17" t="str">
            <v>ADA_CH - Danone Arg. S.A. - Chascomus</v>
          </cell>
          <cell r="CJ17" t="str">
            <v>ADA_CH - Danone Arg. S.A. - Chascomus</v>
          </cell>
          <cell r="CK17" t="str">
            <v>ADA_CH - Danone Arg. S.A. - Chascomus</v>
          </cell>
          <cell r="CL17" t="str">
            <v>ADA_CH - Danone Arg. S.A. - Chascomus</v>
          </cell>
          <cell r="CM17" t="str">
            <v>ADA_CH - Danone Arg. S.A. - Chascomus</v>
          </cell>
          <cell r="CN17" t="str">
            <v>ADA_CH - Danone Arg. S.A. - Chascomus</v>
          </cell>
          <cell r="CO17" t="str">
            <v>ADA_CH - Danone Arg. S.A. - Chascomus</v>
          </cell>
          <cell r="CP17" t="str">
            <v>ADA_CH - Danone Arg. S.A. - Chascomus</v>
          </cell>
          <cell r="CQ17" t="str">
            <v>ADA_CH - Danone Arg. S.A. - Chascomus</v>
          </cell>
          <cell r="CR17" t="str">
            <v>ADA_CH - Danone Arg. S.A. - Chascomus</v>
          </cell>
          <cell r="CS17" t="str">
            <v>ADA_CH - Danone Arg. S.A. - Chascomus</v>
          </cell>
          <cell r="CT17" t="str">
            <v>ADA_CH - Danone Arg. S.A. - Chascomus</v>
          </cell>
          <cell r="CU17" t="str">
            <v>ADA_CH - Danone Arg. S.A. - Chascomus</v>
          </cell>
          <cell r="CV17" t="str">
            <v>ADA_CH - Danone Arg. S.A. - Chascomus</v>
          </cell>
          <cell r="CW17" t="str">
            <v>ADA_CH - Danone Arg. S.A. - Chascomus</v>
          </cell>
        </row>
        <row r="18">
          <cell r="D18" t="str">
            <v>AD367QC</v>
          </cell>
          <cell r="E18" t="str">
            <v>Semiremolque</v>
          </cell>
          <cell r="F18" t="str">
            <v>Semiremolque</v>
          </cell>
          <cell r="G18" t="str">
            <v>Semiremolque Sider 15,5m 30P</v>
          </cell>
          <cell r="N18" t="str">
            <v>DYLASA</v>
          </cell>
          <cell r="O18" t="str">
            <v>DYLASA</v>
          </cell>
          <cell r="P18" t="str">
            <v>No</v>
          </cell>
          <cell r="Q18" t="str">
            <v>Propio</v>
          </cell>
          <cell r="R18">
            <v>30</v>
          </cell>
          <cell r="S18" t="str">
            <v>Propio</v>
          </cell>
          <cell r="T18" t="str">
            <v>HERMANN</v>
          </cell>
          <cell r="U18" t="str">
            <v>S.A.P.3E.71</v>
          </cell>
          <cell r="V18">
            <v>0</v>
          </cell>
          <cell r="W18" t="str">
            <v>8EHSPA3E0JA001112</v>
          </cell>
          <cell r="X18">
            <v>2018</v>
          </cell>
          <cell r="Y18">
            <v>8</v>
          </cell>
          <cell r="Z18" t="str">
            <v>Danone Chascomus</v>
          </cell>
          <cell r="AA18" t="str">
            <v>ADA_CH - Danone Arg. S.A. - Chascomus</v>
          </cell>
          <cell r="AB18" t="str">
            <v>ADA_CH - Danone Arg. S.A. - Chascomus</v>
          </cell>
          <cell r="AC18" t="str">
            <v>ADA_CH - Danone Arg. S.A. - Chascomus</v>
          </cell>
          <cell r="AD18" t="str">
            <v>ADA_CH - Danone Arg. S.A. - Chascomus</v>
          </cell>
          <cell r="AE18" t="str">
            <v>ADA_CH - Danone Arg. S.A. - Chascomus</v>
          </cell>
          <cell r="AF18" t="str">
            <v>ADA_CH - Danone Arg. S.A. - Chascomus</v>
          </cell>
          <cell r="AG18" t="str">
            <v>ADA_CH - Danone Arg. S.A. - Chascomus</v>
          </cell>
          <cell r="AH18" t="str">
            <v>ADA_CH - Danone Arg. S.A. - Chascomus</v>
          </cell>
          <cell r="AI18" t="str">
            <v>ADA_CH - Danone Arg. S.A. - Chascomus</v>
          </cell>
          <cell r="AJ18" t="str">
            <v>ADA_CH - Danone Arg. S.A. - Chascomus</v>
          </cell>
          <cell r="AK18" t="str">
            <v>ADA_CH - Danone Arg. S.A. - Chascomus</v>
          </cell>
          <cell r="AL18" t="str">
            <v>ADA_CH - Danone Arg. S.A. - Chascomus</v>
          </cell>
          <cell r="AM18" t="str">
            <v>ADA_CH - Danone Arg. S.A. - Chascomus</v>
          </cell>
          <cell r="AN18" t="str">
            <v>ADA_CH - Danone Arg. S.A. - Chascomus</v>
          </cell>
          <cell r="AO18" t="str">
            <v>ADA_CH - Danone Arg. S.A. - Chascomus</v>
          </cell>
          <cell r="AP18" t="str">
            <v>ADA_CH - Danone Arg. S.A. - Chascomus</v>
          </cell>
          <cell r="AQ18" t="str">
            <v>ADA_CH - Danone Arg. S.A. - Chascomus</v>
          </cell>
          <cell r="AR18" t="str">
            <v>ADA_CH - Danone Arg. S.A. - Chascomus</v>
          </cell>
          <cell r="AS18" t="str">
            <v>ADA_CH - Danone Arg. S.A. - Chascomus</v>
          </cell>
          <cell r="AT18" t="str">
            <v>ADA_CH - Danone Arg. S.A. - Chascomus</v>
          </cell>
          <cell r="AU18" t="str">
            <v>ADA_CH - Danone Arg. S.A. - Chascomus</v>
          </cell>
          <cell r="AV18" t="str">
            <v>ADA_CH - Danone Arg. S.A. - Chascomus</v>
          </cell>
          <cell r="AW18" t="str">
            <v>ADA_CH - Danone Arg. S.A. - Chascomus</v>
          </cell>
          <cell r="AX18" t="str">
            <v>ADA_CH - Danone Arg. S.A. - Chascomus</v>
          </cell>
          <cell r="AY18" t="str">
            <v>ADA_CH - Danone Arg. S.A. - Chascomus</v>
          </cell>
          <cell r="AZ18" t="str">
            <v>ADA_CH - Danone Arg. S.A. - Chascomus</v>
          </cell>
          <cell r="BA18" t="str">
            <v>ADA_CH - Danone Arg. S.A. - Chascomus</v>
          </cell>
          <cell r="BB18" t="str">
            <v>ADA_CH - Danone Arg. S.A. - Chascomus</v>
          </cell>
          <cell r="BC18" t="str">
            <v>ADA_CH - Danone Arg. S.A. - Chascomus</v>
          </cell>
          <cell r="BD18" t="str">
            <v>ADA_CH - Danone Arg. S.A. - Chascomus</v>
          </cell>
          <cell r="BE18" t="str">
            <v>ADA_CH - Danone Arg. S.A. - Chascomus</v>
          </cell>
          <cell r="BF18" t="str">
            <v>ADA_CH - Danone Arg. S.A. - Chascomus</v>
          </cell>
          <cell r="BG18" t="str">
            <v>ADA_CH - Danone Arg. S.A. - Chascomus</v>
          </cell>
          <cell r="BH18" t="str">
            <v>ADA_CH - Danone Arg. S.A. - Chascomus</v>
          </cell>
          <cell r="BI18" t="str">
            <v>ADA_CH - Danone Arg. S.A. - Chascomus</v>
          </cell>
          <cell r="BJ18" t="str">
            <v>ADA_CH - Danone Arg. S.A. - Chascomus</v>
          </cell>
          <cell r="BK18" t="str">
            <v>ADA_CH - Danone Arg. S.A. - Chascomus</v>
          </cell>
          <cell r="BL18" t="str">
            <v>ADA_CH - Danone Arg. S.A. - Chascomus</v>
          </cell>
          <cell r="BM18" t="str">
            <v>ADA_CH - Danone Arg. S.A. - Chascomus</v>
          </cell>
          <cell r="BN18" t="str">
            <v>ADA_CH - Danone Arg. S.A. - Chascomus</v>
          </cell>
          <cell r="BO18" t="str">
            <v>ADA_CH - Danone Arg. S.A. - Chascomus</v>
          </cell>
          <cell r="BP18" t="str">
            <v>ADA_CH - Danone Arg. S.A. - Chascomus</v>
          </cell>
          <cell r="BQ18" t="str">
            <v>ADA_CH - Danone Arg. S.A. - Chascomus</v>
          </cell>
          <cell r="BR18" t="str">
            <v>ADA_CH - Danone Arg. S.A. - Chascomus</v>
          </cell>
          <cell r="BS18" t="str">
            <v>ADA_CH - Danone Arg. S.A. - Chascomus</v>
          </cell>
          <cell r="BT18" t="str">
            <v>ADA_CH - Danone Arg. S.A. - Chascomus</v>
          </cell>
          <cell r="BU18" t="str">
            <v>ADA_CH - Danone Arg. S.A. - Chascomus</v>
          </cell>
          <cell r="BV18" t="str">
            <v>ADA_CH - Danone Arg. S.A. - Chascomus</v>
          </cell>
          <cell r="BW18" t="str">
            <v>ADA_CH - Danone Arg. S.A. - Chascomus</v>
          </cell>
          <cell r="BX18" t="str">
            <v>ADA_CH - Danone Arg. S.A. - Chascomus</v>
          </cell>
          <cell r="BY18" t="str">
            <v>ADA_CH - Danone Arg. S.A. - Chascomus</v>
          </cell>
          <cell r="BZ18" t="str">
            <v>ADA_CH - Danone Arg. S.A. - Chascomus</v>
          </cell>
          <cell r="CA18" t="str">
            <v>ADA_CH - Danone Arg. S.A. - Chascomus</v>
          </cell>
          <cell r="CB18" t="str">
            <v>ADA_CH - Danone Arg. S.A. - Chascomus</v>
          </cell>
          <cell r="CC18" t="str">
            <v>ADA_CH - Danone Arg. S.A. - Chascomus</v>
          </cell>
          <cell r="CD18" t="str">
            <v>ADA_CH - Danone Arg. S.A. - Chascomus</v>
          </cell>
          <cell r="CE18" t="str">
            <v>ADA_CH - Danone Arg. S.A. - Chascomus</v>
          </cell>
          <cell r="CF18" t="str">
            <v>ADA_CH - Danone Arg. S.A. - Chascomus</v>
          </cell>
          <cell r="CG18" t="str">
            <v>ADA_CH - Danone Arg. S.A. - Chascomus</v>
          </cell>
          <cell r="CH18" t="str">
            <v>ADA_CH - Danone Arg. S.A. - Chascomus</v>
          </cell>
          <cell r="CI18" t="str">
            <v>ADA_CH - Danone Arg. S.A. - Chascomus</v>
          </cell>
          <cell r="CJ18" t="str">
            <v>ADA_CH - Danone Arg. S.A. - Chascomus</v>
          </cell>
          <cell r="CK18" t="str">
            <v>ADA_CH - Danone Arg. S.A. - Chascomus</v>
          </cell>
          <cell r="CL18" t="str">
            <v>ADA_CH - Danone Arg. S.A. - Chascomus</v>
          </cell>
          <cell r="CM18" t="str">
            <v>ADA_CH - Danone Arg. S.A. - Chascomus</v>
          </cell>
          <cell r="CN18" t="str">
            <v>ADA_CH - Danone Arg. S.A. - Chascomus</v>
          </cell>
          <cell r="CO18" t="str">
            <v>ADA_CH - Danone Arg. S.A. - Chascomus</v>
          </cell>
          <cell r="CP18" t="str">
            <v>ADA_CH - Danone Arg. S.A. - Chascomus</v>
          </cell>
          <cell r="CQ18" t="str">
            <v>ADA_CH - Danone Arg. S.A. - Chascomus</v>
          </cell>
          <cell r="CR18" t="str">
            <v>ADA_CH - Danone Arg. S.A. - Chascomus</v>
          </cell>
          <cell r="CS18" t="str">
            <v>ADA_CH - Danone Arg. S.A. - Chascomus</v>
          </cell>
          <cell r="CT18" t="str">
            <v>ADA_CH - Danone Arg. S.A. - Chascomus</v>
          </cell>
          <cell r="CU18" t="str">
            <v>ADA_CH - Danone Arg. S.A. - Chascomus</v>
          </cell>
          <cell r="CV18" t="str">
            <v>ADA_CH - Danone Arg. S.A. - Chascomus</v>
          </cell>
          <cell r="CW18" t="str">
            <v>ADA_CH - Danone Arg. S.A. - Chascomus</v>
          </cell>
        </row>
        <row r="19">
          <cell r="D19" t="str">
            <v>AD367QD</v>
          </cell>
          <cell r="E19" t="str">
            <v>Semiremolque</v>
          </cell>
          <cell r="F19" t="str">
            <v>Semiremolque</v>
          </cell>
          <cell r="G19" t="str">
            <v>Semiremolque Sider 15,5m 30P</v>
          </cell>
          <cell r="N19" t="str">
            <v>DYLASA</v>
          </cell>
          <cell r="O19" t="str">
            <v>DYLASA</v>
          </cell>
          <cell r="P19" t="str">
            <v>No</v>
          </cell>
          <cell r="Q19" t="str">
            <v>Propio</v>
          </cell>
          <cell r="R19">
            <v>30</v>
          </cell>
          <cell r="S19" t="str">
            <v>Propio</v>
          </cell>
          <cell r="T19" t="str">
            <v>HERMANN</v>
          </cell>
          <cell r="U19" t="str">
            <v>S.A.P.3E.71</v>
          </cell>
          <cell r="V19">
            <v>0</v>
          </cell>
          <cell r="W19" t="str">
            <v>8EHSPA3E0JA001113</v>
          </cell>
          <cell r="X19">
            <v>2018</v>
          </cell>
          <cell r="Y19">
            <v>8</v>
          </cell>
          <cell r="Z19" t="str">
            <v>Danone Chascomus</v>
          </cell>
          <cell r="AA19" t="str">
            <v>ADA_CH - Danone Arg. S.A. - Chascomus</v>
          </cell>
          <cell r="AB19" t="str">
            <v>ADA_CH - Danone Arg. S.A. - Chascomus</v>
          </cell>
          <cell r="AC19" t="str">
            <v>ADA_CH - Danone Arg. S.A. - Chascomus</v>
          </cell>
          <cell r="AD19" t="str">
            <v>ADA_CH - Danone Arg. S.A. - Chascomus</v>
          </cell>
          <cell r="AE19" t="str">
            <v>ADA_CH - Danone Arg. S.A. - Chascomus</v>
          </cell>
          <cell r="AF19" t="str">
            <v>ADA_CH - Danone Arg. S.A. - Chascomus</v>
          </cell>
          <cell r="AG19" t="str">
            <v>ADA_CH - Danone Arg. S.A. - Chascomus</v>
          </cell>
          <cell r="AH19" t="str">
            <v>ADA_CH - Danone Arg. S.A. - Chascomus</v>
          </cell>
          <cell r="AI19" t="str">
            <v>ADA_CH - Danone Arg. S.A. - Chascomus</v>
          </cell>
          <cell r="AJ19" t="str">
            <v>ADA_CH - Danone Arg. S.A. - Chascomus</v>
          </cell>
          <cell r="AK19" t="str">
            <v>ADA_CH - Danone Arg. S.A. - Chascomus</v>
          </cell>
          <cell r="AL19" t="str">
            <v>ADA_CH - Danone Arg. S.A. - Chascomus</v>
          </cell>
          <cell r="AM19" t="str">
            <v>ADA_CH - Danone Arg. S.A. - Chascomus</v>
          </cell>
          <cell r="AN19" t="str">
            <v>ADA_CH - Danone Arg. S.A. - Chascomus</v>
          </cell>
          <cell r="AO19" t="str">
            <v>ADA_CH - Danone Arg. S.A. - Chascomus</v>
          </cell>
          <cell r="AP19" t="str">
            <v>ADA_CH - Danone Arg. S.A. - Chascomus</v>
          </cell>
          <cell r="AQ19" t="str">
            <v>ADA_CH - Danone Arg. S.A. - Chascomus</v>
          </cell>
          <cell r="AR19" t="str">
            <v>ADA_CH - Danone Arg. S.A. - Chascomus</v>
          </cell>
          <cell r="AS19" t="str">
            <v>ADA_CH - Danone Arg. S.A. - Chascomus</v>
          </cell>
          <cell r="AT19" t="str">
            <v>ADA_CH - Danone Arg. S.A. - Chascomus</v>
          </cell>
          <cell r="AU19" t="str">
            <v>ADA_CH - Danone Arg. S.A. - Chascomus</v>
          </cell>
          <cell r="AV19" t="str">
            <v>ADA_CH - Danone Arg. S.A. - Chascomus</v>
          </cell>
          <cell r="AW19" t="str">
            <v>ADA_CH - Danone Arg. S.A. - Chascomus</v>
          </cell>
          <cell r="AX19" t="str">
            <v>ADA_CH - Danone Arg. S.A. - Chascomus</v>
          </cell>
          <cell r="AY19" t="str">
            <v>ADA_CH - Danone Arg. S.A. - Chascomus</v>
          </cell>
          <cell r="AZ19" t="str">
            <v>ADA_CH - Danone Arg. S.A. - Chascomus</v>
          </cell>
          <cell r="BA19" t="str">
            <v>ADA_CH - Danone Arg. S.A. - Chascomus</v>
          </cell>
          <cell r="BB19" t="str">
            <v>ADA_CH - Danone Arg. S.A. - Chascomus</v>
          </cell>
          <cell r="BC19" t="str">
            <v>ADA_CH - Danone Arg. S.A. - Chascomus</v>
          </cell>
          <cell r="BD19" t="str">
            <v>ADA_CH - Danone Arg. S.A. - Chascomus</v>
          </cell>
          <cell r="BE19" t="str">
            <v>ADA_CH - Danone Arg. S.A. - Chascomus</v>
          </cell>
          <cell r="BF19" t="str">
            <v>ADA_CH - Danone Arg. S.A. - Chascomus</v>
          </cell>
          <cell r="BG19" t="str">
            <v>ADA_CH - Danone Arg. S.A. - Chascomus</v>
          </cell>
          <cell r="BH19" t="str">
            <v>ADA_CH - Danone Arg. S.A. - Chascomus</v>
          </cell>
          <cell r="BI19" t="str">
            <v>ADA_CH - Danone Arg. S.A. - Chascomus</v>
          </cell>
          <cell r="BJ19" t="str">
            <v>ADA_CH - Danone Arg. S.A. - Chascomus</v>
          </cell>
          <cell r="BK19" t="str">
            <v>ADA_CH - Danone Arg. S.A. - Chascomus</v>
          </cell>
          <cell r="BL19" t="str">
            <v>ADA_CH - Danone Arg. S.A. - Chascomus</v>
          </cell>
          <cell r="BM19" t="str">
            <v>ADA_CH - Danone Arg. S.A. - Chascomus</v>
          </cell>
          <cell r="BN19" t="str">
            <v>ADA_CH - Danone Arg. S.A. - Chascomus</v>
          </cell>
          <cell r="BO19" t="str">
            <v>ADA_CH - Danone Arg. S.A. - Chascomus</v>
          </cell>
          <cell r="BP19" t="str">
            <v>ADA_CH - Danone Arg. S.A. - Chascomus</v>
          </cell>
          <cell r="BQ19" t="str">
            <v>ADA_CH - Danone Arg. S.A. - Chascomus</v>
          </cell>
          <cell r="BR19" t="str">
            <v>ADA_CH - Danone Arg. S.A. - Chascomus</v>
          </cell>
          <cell r="BS19" t="str">
            <v>ADA_CH - Danone Arg. S.A. - Chascomus</v>
          </cell>
          <cell r="BT19" t="str">
            <v>ADA_CH - Danone Arg. S.A. - Chascomus</v>
          </cell>
          <cell r="BU19" t="str">
            <v>ADA_CH - Danone Arg. S.A. - Chascomus</v>
          </cell>
          <cell r="BV19" t="str">
            <v>ADA_CH - Danone Arg. S.A. - Chascomus</v>
          </cell>
          <cell r="BW19" t="str">
            <v>ADA_CH - Danone Arg. S.A. - Chascomus</v>
          </cell>
          <cell r="BX19" t="str">
            <v>ADA_CH - Danone Arg. S.A. - Chascomus</v>
          </cell>
          <cell r="BY19" t="str">
            <v>ADA_CH - Danone Arg. S.A. - Chascomus</v>
          </cell>
          <cell r="BZ19" t="str">
            <v>ADA_CH - Danone Arg. S.A. - Chascomus</v>
          </cell>
          <cell r="CA19" t="str">
            <v>ADA_CH - Danone Arg. S.A. - Chascomus</v>
          </cell>
          <cell r="CB19" t="str">
            <v>ADA_CH - Danone Arg. S.A. - Chascomus</v>
          </cell>
          <cell r="CC19" t="str">
            <v>ADA_CH - Danone Arg. S.A. - Chascomus</v>
          </cell>
          <cell r="CD19" t="str">
            <v>ADA_CH - Danone Arg. S.A. - Chascomus</v>
          </cell>
          <cell r="CE19" t="str">
            <v>ADA_CH - Danone Arg. S.A. - Chascomus</v>
          </cell>
          <cell r="CF19" t="str">
            <v>ADA_CH - Danone Arg. S.A. - Chascomus</v>
          </cell>
          <cell r="CG19" t="str">
            <v>ADA_CH - Danone Arg. S.A. - Chascomus</v>
          </cell>
          <cell r="CH19" t="str">
            <v>ADA_CH - Danone Arg. S.A. - Chascomus</v>
          </cell>
          <cell r="CI19" t="str">
            <v>ADA_CH - Danone Arg. S.A. - Chascomus</v>
          </cell>
          <cell r="CJ19" t="str">
            <v>ADA_CH - Danone Arg. S.A. - Chascomus</v>
          </cell>
          <cell r="CK19" t="str">
            <v>ADA_CH - Danone Arg. S.A. - Chascomus</v>
          </cell>
          <cell r="CL19" t="str">
            <v>ADA_CH - Danone Arg. S.A. - Chascomus</v>
          </cell>
          <cell r="CM19" t="str">
            <v>ADA_CH - Danone Arg. S.A. - Chascomus</v>
          </cell>
          <cell r="CN19" t="str">
            <v>ADA_CH - Danone Arg. S.A. - Chascomus</v>
          </cell>
          <cell r="CO19" t="str">
            <v>ADA_CH - Danone Arg. S.A. - Chascomus</v>
          </cell>
          <cell r="CP19" t="str">
            <v>ADA_CH - Danone Arg. S.A. - Chascomus</v>
          </cell>
          <cell r="CQ19" t="str">
            <v>ADA_CH - Danone Arg. S.A. - Chascomus</v>
          </cell>
          <cell r="CR19" t="str">
            <v>ADA_CH - Danone Arg. S.A. - Chascomus</v>
          </cell>
          <cell r="CS19" t="str">
            <v>ADA_CH - Danone Arg. S.A. - Chascomus</v>
          </cell>
          <cell r="CT19" t="str">
            <v>ADA_CH - Danone Arg. S.A. - Chascomus</v>
          </cell>
          <cell r="CU19" t="str">
            <v>ADA_CH - Danone Arg. S.A. - Chascomus</v>
          </cell>
          <cell r="CV19" t="str">
            <v>ADA_CH - Danone Arg. S.A. - Chascomus</v>
          </cell>
          <cell r="CW19" t="str">
            <v>ADA_CH - Danone Arg. S.A. - Chascomus</v>
          </cell>
        </row>
        <row r="20">
          <cell r="D20" t="str">
            <v>AD367QF</v>
          </cell>
          <cell r="E20" t="str">
            <v>Semiremolque</v>
          </cell>
          <cell r="F20" t="str">
            <v>Semiremolque</v>
          </cell>
          <cell r="G20" t="str">
            <v>Semiremolque Sider 15,5m 30P</v>
          </cell>
          <cell r="N20" t="str">
            <v>DYLASA</v>
          </cell>
          <cell r="O20" t="str">
            <v>DYLASA</v>
          </cell>
          <cell r="P20" t="str">
            <v>No</v>
          </cell>
          <cell r="Q20" t="str">
            <v>Propio</v>
          </cell>
          <cell r="R20">
            <v>30</v>
          </cell>
          <cell r="S20" t="str">
            <v>Propio</v>
          </cell>
          <cell r="T20" t="str">
            <v>HERMANN</v>
          </cell>
          <cell r="U20" t="str">
            <v>S.A.P.3E.71</v>
          </cell>
          <cell r="V20">
            <v>0</v>
          </cell>
          <cell r="W20" t="str">
            <v>8EHSPA3E0JA001111</v>
          </cell>
          <cell r="X20">
            <v>2018</v>
          </cell>
          <cell r="Y20">
            <v>8</v>
          </cell>
          <cell r="Z20" t="str">
            <v>Danone Chascomus</v>
          </cell>
          <cell r="AA20" t="str">
            <v>ADA_CH - Danone Arg. S.A. - Chascomus</v>
          </cell>
          <cell r="AB20" t="str">
            <v>ADA_CH - Danone Arg. S.A. - Chascomus</v>
          </cell>
          <cell r="AC20" t="str">
            <v>ADA_CH - Danone Arg. S.A. - Chascomus</v>
          </cell>
          <cell r="AD20" t="str">
            <v>ADA_CH - Danone Arg. S.A. - Chascomus</v>
          </cell>
          <cell r="AE20" t="str">
            <v>ADA_CH - Danone Arg. S.A. - Chascomus</v>
          </cell>
          <cell r="AF20" t="str">
            <v>ADA_CH - Danone Arg. S.A. - Chascomus</v>
          </cell>
          <cell r="AG20" t="str">
            <v>ADA_CH - Danone Arg. S.A. - Chascomus</v>
          </cell>
          <cell r="AH20" t="str">
            <v>ADA_CH - Danone Arg. S.A. - Chascomus</v>
          </cell>
          <cell r="AI20" t="str">
            <v>ADA_CH - Danone Arg. S.A. - Chascomus</v>
          </cell>
          <cell r="AJ20" t="str">
            <v>ADA_CH - Danone Arg. S.A. - Chascomus</v>
          </cell>
          <cell r="AK20" t="str">
            <v>ADA_CH - Danone Arg. S.A. - Chascomus</v>
          </cell>
          <cell r="AL20" t="str">
            <v>ADA_CH - Danone Arg. S.A. - Chascomus</v>
          </cell>
          <cell r="AM20" t="str">
            <v>ADA_CH - Danone Arg. S.A. - Chascomus</v>
          </cell>
          <cell r="AN20" t="str">
            <v>ADA_CH - Danone Arg. S.A. - Chascomus</v>
          </cell>
          <cell r="AO20" t="str">
            <v>ADA_CH - Danone Arg. S.A. - Chascomus</v>
          </cell>
          <cell r="AP20" t="str">
            <v>ADA_CH - Danone Arg. S.A. - Chascomus</v>
          </cell>
          <cell r="AQ20" t="str">
            <v>ADA_CH - Danone Arg. S.A. - Chascomus</v>
          </cell>
          <cell r="AR20" t="str">
            <v>ADA_CH - Danone Arg. S.A. - Chascomus</v>
          </cell>
          <cell r="AS20" t="str">
            <v>ADA_CH - Danone Arg. S.A. - Chascomus</v>
          </cell>
          <cell r="AT20" t="str">
            <v>ADA_CH - Danone Arg. S.A. - Chascomus</v>
          </cell>
          <cell r="AU20" t="str">
            <v>ADA_CH - Danone Arg. S.A. - Chascomus</v>
          </cell>
          <cell r="AV20" t="str">
            <v>ADA_CH - Danone Arg. S.A. - Chascomus</v>
          </cell>
          <cell r="AW20" t="str">
            <v>ADA_CH - Danone Arg. S.A. - Chascomus</v>
          </cell>
          <cell r="AX20" t="str">
            <v>ADA_CH - Danone Arg. S.A. - Chascomus</v>
          </cell>
          <cell r="AY20" t="str">
            <v>ADA_CH - Danone Arg. S.A. - Chascomus</v>
          </cell>
          <cell r="AZ20" t="str">
            <v>ADA_CH - Danone Arg. S.A. - Chascomus</v>
          </cell>
          <cell r="BA20" t="str">
            <v>ADA_CH - Danone Arg. S.A. - Chascomus</v>
          </cell>
          <cell r="BB20" t="str">
            <v>ADA_CH - Danone Arg. S.A. - Chascomus</v>
          </cell>
          <cell r="BC20" t="str">
            <v>ADA_CH - Danone Arg. S.A. - Chascomus</v>
          </cell>
          <cell r="BD20" t="str">
            <v>ADA_CH - Danone Arg. S.A. - Chascomus</v>
          </cell>
          <cell r="BE20" t="str">
            <v>ADA_CH - Danone Arg. S.A. - Chascomus</v>
          </cell>
          <cell r="BF20" t="str">
            <v>ADA_CH - Danone Arg. S.A. - Chascomus</v>
          </cell>
          <cell r="BG20" t="str">
            <v>ADA_CH - Danone Arg. S.A. - Chascomus</v>
          </cell>
          <cell r="BH20" t="str">
            <v>ADA_CH - Danone Arg. S.A. - Chascomus</v>
          </cell>
          <cell r="BI20" t="str">
            <v>ADA_CH - Danone Arg. S.A. - Chascomus</v>
          </cell>
          <cell r="BJ20" t="str">
            <v>ADA_CH - Danone Arg. S.A. - Chascomus</v>
          </cell>
          <cell r="BK20" t="str">
            <v>ADA_CH - Danone Arg. S.A. - Chascomus</v>
          </cell>
          <cell r="BL20" t="str">
            <v>ADA_CH - Danone Arg. S.A. - Chascomus</v>
          </cell>
          <cell r="BM20" t="str">
            <v>ADA_CH - Danone Arg. S.A. - Chascomus</v>
          </cell>
          <cell r="BN20" t="str">
            <v>ADA_CH - Danone Arg. S.A. - Chascomus</v>
          </cell>
          <cell r="BO20" t="str">
            <v>ADA_CH - Danone Arg. S.A. - Chascomus</v>
          </cell>
          <cell r="BP20" t="str">
            <v>ADA_CH - Danone Arg. S.A. - Chascomus</v>
          </cell>
          <cell r="BQ20" t="str">
            <v>ADA_CH - Danone Arg. S.A. - Chascomus</v>
          </cell>
          <cell r="BR20" t="str">
            <v>ADA_CH - Danone Arg. S.A. - Chascomus</v>
          </cell>
          <cell r="BS20" t="str">
            <v>ADA_CH - Danone Arg. S.A. - Chascomus</v>
          </cell>
          <cell r="BT20" t="str">
            <v>ADA_CH - Danone Arg. S.A. - Chascomus</v>
          </cell>
          <cell r="BU20" t="str">
            <v>ADA_CH - Danone Arg. S.A. - Chascomus</v>
          </cell>
          <cell r="BV20" t="str">
            <v>ADA_CH - Danone Arg. S.A. - Chascomus</v>
          </cell>
          <cell r="BW20" t="str">
            <v>ADA_CH - Danone Arg. S.A. - Chascomus</v>
          </cell>
          <cell r="BX20" t="str">
            <v>ADA_CH - Danone Arg. S.A. - Chascomus</v>
          </cell>
          <cell r="BY20" t="str">
            <v>ADA_CH - Danone Arg. S.A. - Chascomus</v>
          </cell>
          <cell r="BZ20" t="str">
            <v>ADA_CH - Danone Arg. S.A. - Chascomus</v>
          </cell>
          <cell r="CA20" t="str">
            <v>ADA_CH - Danone Arg. S.A. - Chascomus</v>
          </cell>
          <cell r="CB20" t="str">
            <v>ADA_CH - Danone Arg. S.A. - Chascomus</v>
          </cell>
          <cell r="CC20" t="str">
            <v>ADA_CH - Danone Arg. S.A. - Chascomus</v>
          </cell>
          <cell r="CD20" t="str">
            <v>ADA_CH - Danone Arg. S.A. - Chascomus</v>
          </cell>
          <cell r="CE20" t="str">
            <v>ADA_CH - Danone Arg. S.A. - Chascomus</v>
          </cell>
          <cell r="CF20" t="str">
            <v>ADA_CH - Danone Arg. S.A. - Chascomus</v>
          </cell>
          <cell r="CG20" t="str">
            <v>ADA_CH - Danone Arg. S.A. - Chascomus</v>
          </cell>
          <cell r="CH20" t="str">
            <v>ADA_CH - Danone Arg. S.A. - Chascomus</v>
          </cell>
          <cell r="CI20" t="str">
            <v>ADA_CH - Danone Arg. S.A. - Chascomus</v>
          </cell>
          <cell r="CJ20" t="str">
            <v>ADA_CH - Danone Arg. S.A. - Chascomus</v>
          </cell>
          <cell r="CK20" t="str">
            <v>ADA_CH - Danone Arg. S.A. - Chascomus</v>
          </cell>
          <cell r="CL20" t="str">
            <v>ADA_CH - Danone Arg. S.A. - Chascomus</v>
          </cell>
          <cell r="CM20" t="str">
            <v>ADA_CH - Danone Arg. S.A. - Chascomus</v>
          </cell>
          <cell r="CN20" t="str">
            <v>ADA_CH - Danone Arg. S.A. - Chascomus</v>
          </cell>
          <cell r="CO20" t="str">
            <v>ADA_CH - Danone Arg. S.A. - Chascomus</v>
          </cell>
          <cell r="CP20" t="str">
            <v>ADA_CH - Danone Arg. S.A. - Chascomus</v>
          </cell>
          <cell r="CQ20" t="str">
            <v>ADA_CH - Danone Arg. S.A. - Chascomus</v>
          </cell>
          <cell r="CR20" t="str">
            <v>ADA_CH - Danone Arg. S.A. - Chascomus</v>
          </cell>
          <cell r="CS20" t="str">
            <v>ADA_CH - Danone Arg. S.A. - Chascomus</v>
          </cell>
          <cell r="CT20" t="str">
            <v>ADA_CH - Danone Arg. S.A. - Chascomus</v>
          </cell>
          <cell r="CU20" t="str">
            <v>ADA_CH - Danone Arg. S.A. - Chascomus</v>
          </cell>
          <cell r="CV20" t="str">
            <v>ADA_CH - Danone Arg. S.A. - Chascomus</v>
          </cell>
          <cell r="CW20" t="str">
            <v>ADA_CH - Danone Arg. S.A. - Chascomus</v>
          </cell>
        </row>
        <row r="21">
          <cell r="D21" t="str">
            <v>AD426HT</v>
          </cell>
          <cell r="E21" t="str">
            <v>Tractor</v>
          </cell>
          <cell r="F21" t="str">
            <v>Tractor</v>
          </cell>
          <cell r="G21" t="str">
            <v>Tractor</v>
          </cell>
          <cell r="N21" t="str">
            <v>DYLASA</v>
          </cell>
          <cell r="O21" t="str">
            <v>DYLASA</v>
          </cell>
          <cell r="P21" t="str">
            <v>No</v>
          </cell>
          <cell r="Q21" t="str">
            <v>Propio</v>
          </cell>
          <cell r="R21" t="str">
            <v>-</v>
          </cell>
          <cell r="S21" t="str">
            <v>Propio</v>
          </cell>
          <cell r="T21" t="str">
            <v>MERCEDES BENZ</v>
          </cell>
          <cell r="U21" t="str">
            <v>AXOR 2541 LS</v>
          </cell>
          <cell r="V21" t="str">
            <v>457910U1026309</v>
          </cell>
          <cell r="W21" t="str">
            <v>9BM958444KB101359</v>
          </cell>
          <cell r="X21">
            <v>2019</v>
          </cell>
          <cell r="Y21">
            <v>7</v>
          </cell>
          <cell r="Z21" t="str">
            <v>Danone Chascomus</v>
          </cell>
          <cell r="AA21" t="str">
            <v>ADA_CH - Danone Arg. S.A. - Chascomus</v>
          </cell>
          <cell r="AB21" t="str">
            <v>ADA_CH - Danone Arg. S.A. - Chascomus</v>
          </cell>
          <cell r="AC21" t="str">
            <v>ADA_CH - Danone Arg. S.A. - Chascomus</v>
          </cell>
          <cell r="AD21" t="str">
            <v>ADA_CH - Danone Arg. S.A. - Chascomus</v>
          </cell>
          <cell r="AE21" t="str">
            <v>ADA_CH - Danone Arg. S.A. - Chascomus</v>
          </cell>
          <cell r="AF21" t="str">
            <v>ADA_CH - Danone Arg. S.A. - Chascomus</v>
          </cell>
          <cell r="AG21" t="str">
            <v>ADA_CH - Danone Arg. S.A. - Chascomus</v>
          </cell>
          <cell r="AH21" t="str">
            <v>ADA_CH - Danone Arg. S.A. - Chascomus</v>
          </cell>
          <cell r="AI21" t="str">
            <v>ADA_CH - Danone Arg. S.A. - Chascomus</v>
          </cell>
          <cell r="AJ21" t="str">
            <v>ADA_CH - Danone Arg. S.A. - Chascomus</v>
          </cell>
          <cell r="AK21" t="str">
            <v>ADA_CH - Danone Arg. S.A. - Chascomus</v>
          </cell>
          <cell r="AL21" t="str">
            <v>ADA_CH - Danone Arg. S.A. - Chascomus</v>
          </cell>
          <cell r="AM21" t="str">
            <v>ADA_CH - Danone Arg. S.A. - Chascomus</v>
          </cell>
          <cell r="AN21" t="str">
            <v>ADA_CH - Danone Arg. S.A. - Chascomus</v>
          </cell>
          <cell r="AO21" t="str">
            <v>ADA_CH - Danone Arg. S.A. - Chascomus</v>
          </cell>
          <cell r="AP21" t="str">
            <v>ADA_CH - Danone Arg. S.A. - Chascomus</v>
          </cell>
          <cell r="AQ21" t="str">
            <v>ADA_CH - Danone Arg. S.A. - Chascomus</v>
          </cell>
          <cell r="AR21" t="str">
            <v>ADA_CH - Danone Arg. S.A. - Chascomus</v>
          </cell>
          <cell r="AS21" t="str">
            <v>ADA_CH - Danone Arg. S.A. - Chascomus</v>
          </cell>
          <cell r="AT21" t="str">
            <v>ADA_CH - Danone Arg. S.A. - Chascomus</v>
          </cell>
          <cell r="AU21" t="str">
            <v>ADA_CH - Danone Arg. S.A. - Chascomus</v>
          </cell>
          <cell r="AV21" t="str">
            <v>ADA_CH - Danone Arg. S.A. - Chascomus</v>
          </cell>
          <cell r="AW21" t="str">
            <v>ADA_CH - Danone Arg. S.A. - Chascomus</v>
          </cell>
          <cell r="AX21" t="str">
            <v>ADA_CH - Danone Arg. S.A. - Chascomus</v>
          </cell>
          <cell r="AY21" t="str">
            <v>ADA_CH - Danone Arg. S.A. - Chascomus</v>
          </cell>
          <cell r="AZ21" t="str">
            <v>ADA_CH - Danone Arg. S.A. - Chascomus</v>
          </cell>
          <cell r="BA21" t="str">
            <v>ADA_CH - Danone Arg. S.A. - Chascomus</v>
          </cell>
          <cell r="BB21" t="str">
            <v>ADA_CH - Danone Arg. S.A. - Chascomus</v>
          </cell>
          <cell r="BC21" t="str">
            <v>ADA_CH - Danone Arg. S.A. - Chascomus</v>
          </cell>
          <cell r="BD21" t="str">
            <v>ADA_CH - Danone Arg. S.A. - Chascomus</v>
          </cell>
          <cell r="BE21" t="str">
            <v>ADA_CH - Danone Arg. S.A. - Chascomus</v>
          </cell>
          <cell r="BF21" t="str">
            <v>ADA_CH - Danone Arg. S.A. - Chascomus</v>
          </cell>
          <cell r="BG21" t="str">
            <v>ADA_CH - Danone Arg. S.A. - Chascomus</v>
          </cell>
          <cell r="BH21" t="str">
            <v>ADA_CH - Danone Arg. S.A. - Chascomus</v>
          </cell>
          <cell r="BI21" t="str">
            <v>ADA_CH - Danone Arg. S.A. - Chascomus</v>
          </cell>
          <cell r="BJ21" t="str">
            <v>ADA_CH - Danone Arg. S.A. - Chascomus</v>
          </cell>
          <cell r="BK21" t="str">
            <v>ADA_CH - Danone Arg. S.A. - Chascomus</v>
          </cell>
          <cell r="BL21" t="str">
            <v>ADA_CH - Danone Arg. S.A. - Chascomus</v>
          </cell>
          <cell r="BM21" t="str">
            <v>ADA_CH - Danone Arg. S.A. - Chascomus</v>
          </cell>
          <cell r="BN21" t="str">
            <v>ADA_CH - Danone Arg. S.A. - Chascomus</v>
          </cell>
          <cell r="BO21" t="str">
            <v>ADA_CH - Danone Arg. S.A. - Chascomus</v>
          </cell>
          <cell r="BP21" t="str">
            <v>ADA_CH - Danone Arg. S.A. - Chascomus</v>
          </cell>
          <cell r="BQ21" t="str">
            <v>ADA_CH - Danone Arg. S.A. - Chascomus</v>
          </cell>
          <cell r="BR21" t="str">
            <v>ADA_CH - Danone Arg. S.A. - Chascomus</v>
          </cell>
          <cell r="BS21" t="str">
            <v>ADA_CH - Danone Arg. S.A. - Chascomus</v>
          </cell>
          <cell r="BT21" t="str">
            <v>ADA_CH - Danone Arg. S.A. - Chascomus</v>
          </cell>
          <cell r="BU21" t="str">
            <v>ADA_CH - Danone Arg. S.A. - Chascomus</v>
          </cell>
          <cell r="BV21" t="str">
            <v>ADA_CH - Danone Arg. S.A. - Chascomus</v>
          </cell>
          <cell r="BW21" t="str">
            <v>ADA_CH - Danone Arg. S.A. - Chascomus</v>
          </cell>
          <cell r="BX21" t="str">
            <v>ADA_CH - Danone Arg. S.A. - Chascomus</v>
          </cell>
          <cell r="BY21" t="str">
            <v>ADA_CH - Danone Arg. S.A. - Chascomus</v>
          </cell>
          <cell r="BZ21" t="str">
            <v>ADA_CH - Danone Arg. S.A. - Chascomus</v>
          </cell>
          <cell r="CA21" t="str">
            <v>ADA_CH - Danone Arg. S.A. - Chascomus</v>
          </cell>
          <cell r="CB21" t="str">
            <v>ADA_CH - Danone Arg. S.A. - Chascomus</v>
          </cell>
          <cell r="CC21" t="str">
            <v>ADA_CH - Danone Arg. S.A. - Chascomus</v>
          </cell>
          <cell r="CD21" t="str">
            <v>ADA_CH - Danone Arg. S.A. - Chascomus</v>
          </cell>
          <cell r="CE21" t="str">
            <v>ADA_CH - Danone Arg. S.A. - Chascomus</v>
          </cell>
          <cell r="CF21" t="str">
            <v>ADA_CH - Danone Arg. S.A. - Chascomus</v>
          </cell>
          <cell r="CG21" t="str">
            <v>ADA_CH - Danone Arg. S.A. - Chascomus</v>
          </cell>
          <cell r="CH21" t="str">
            <v>ADA_CH - Danone Arg. S.A. - Chascomus</v>
          </cell>
          <cell r="CI21" t="str">
            <v>ADA_CH - Danone Arg. S.A. - Chascomus</v>
          </cell>
          <cell r="CJ21" t="str">
            <v>ADA_CH - Danone Arg. S.A. - Chascomus</v>
          </cell>
          <cell r="CK21" t="str">
            <v>ADA_CH - Danone Arg. S.A. - Chascomus</v>
          </cell>
          <cell r="CL21" t="str">
            <v>ADA_CH - Danone Arg. S.A. - Chascomus</v>
          </cell>
          <cell r="CM21" t="str">
            <v>ADA_CH - Danone Arg. S.A. - Chascomus</v>
          </cell>
          <cell r="CN21" t="str">
            <v>ADA_CH - Danone Arg. S.A. - Chascomus</v>
          </cell>
          <cell r="CO21" t="str">
            <v>ADA_CH - Danone Arg. S.A. - Chascomus</v>
          </cell>
          <cell r="CP21" t="str">
            <v>ADA_CH - Danone Arg. S.A. - Chascomus</v>
          </cell>
          <cell r="CQ21" t="str">
            <v>ADA_CH - Danone Arg. S.A. - Chascomus</v>
          </cell>
          <cell r="CR21" t="str">
            <v>ADA_CH - Danone Arg. S.A. - Chascomus</v>
          </cell>
          <cell r="CS21" t="str">
            <v>ADA_CH - Danone Arg. S.A. - Chascomus</v>
          </cell>
          <cell r="CT21" t="str">
            <v>ADA_CH - Danone Arg. S.A. - Chascomus</v>
          </cell>
          <cell r="CU21" t="str">
            <v>ADA_CH - Danone Arg. S.A. - Chascomus</v>
          </cell>
          <cell r="CV21" t="str">
            <v>ADA_CH - Danone Arg. S.A. - Chascomus</v>
          </cell>
          <cell r="CW21" t="str">
            <v>ADA_CH - Danone Arg. S.A. - Chascomus</v>
          </cell>
        </row>
        <row r="22">
          <cell r="D22" t="str">
            <v>AD426HU</v>
          </cell>
          <cell r="E22" t="str">
            <v>Tractor</v>
          </cell>
          <cell r="F22" t="str">
            <v>Tractor</v>
          </cell>
          <cell r="G22" t="str">
            <v>Tractor</v>
          </cell>
          <cell r="N22" t="str">
            <v>DYLASA</v>
          </cell>
          <cell r="O22" t="str">
            <v>DYLASA</v>
          </cell>
          <cell r="P22" t="str">
            <v>No</v>
          </cell>
          <cell r="Q22" t="str">
            <v>Propio</v>
          </cell>
          <cell r="R22" t="str">
            <v>-</v>
          </cell>
          <cell r="S22" t="str">
            <v>Propio</v>
          </cell>
          <cell r="T22" t="str">
            <v>MERCEDES BENZ</v>
          </cell>
          <cell r="U22" t="str">
            <v>AXOR 2541 LS</v>
          </cell>
          <cell r="V22" t="str">
            <v>457910U1025902</v>
          </cell>
          <cell r="W22" t="str">
            <v>9BM958444KB099938</v>
          </cell>
          <cell r="X22">
            <v>2019</v>
          </cell>
          <cell r="Y22">
            <v>7</v>
          </cell>
          <cell r="Z22" t="str">
            <v>Danone Chascomus</v>
          </cell>
          <cell r="AA22" t="str">
            <v>ADA_CH - Danone Arg. S.A. - Chascomus</v>
          </cell>
          <cell r="AB22" t="str">
            <v>ADA_CH - Danone Arg. S.A. - Chascomus</v>
          </cell>
          <cell r="AC22" t="str">
            <v>ADA_CH - Danone Arg. S.A. - Chascomus</v>
          </cell>
          <cell r="AD22" t="str">
            <v>ADA_CH - Danone Arg. S.A. - Chascomus</v>
          </cell>
          <cell r="AE22" t="str">
            <v>ADA_CH - Danone Arg. S.A. - Chascomus</v>
          </cell>
          <cell r="AF22" t="str">
            <v>ADA_CH - Danone Arg. S.A. - Chascomus</v>
          </cell>
          <cell r="AG22" t="str">
            <v>ADA_CH - Danone Arg. S.A. - Chascomus</v>
          </cell>
          <cell r="AH22" t="str">
            <v>ADA_CH - Danone Arg. S.A. - Chascomus</v>
          </cell>
          <cell r="AI22" t="str">
            <v>ADA_CH - Danone Arg. S.A. - Chascomus</v>
          </cell>
          <cell r="AJ22" t="str">
            <v>ADA_CH - Danone Arg. S.A. - Chascomus</v>
          </cell>
          <cell r="AK22" t="str">
            <v>ADA_CH - Danone Arg. S.A. - Chascomus</v>
          </cell>
          <cell r="AL22" t="str">
            <v>ADA_CH - Danone Arg. S.A. - Chascomus</v>
          </cell>
          <cell r="AM22" t="str">
            <v>ADA_CH - Danone Arg. S.A. - Chascomus</v>
          </cell>
          <cell r="AN22" t="str">
            <v>ADA_CH - Danone Arg. S.A. - Chascomus</v>
          </cell>
          <cell r="AO22" t="str">
            <v>ADA_CH - Danone Arg. S.A. - Chascomus</v>
          </cell>
          <cell r="AP22" t="str">
            <v>ADA_CH - Danone Arg. S.A. - Chascomus</v>
          </cell>
          <cell r="AQ22" t="str">
            <v>ADA_CH - Danone Arg. S.A. - Chascomus</v>
          </cell>
          <cell r="AR22" t="str">
            <v>ADA_CH - Danone Arg. S.A. - Chascomus</v>
          </cell>
          <cell r="AS22" t="str">
            <v>ADA_CH - Danone Arg. S.A. - Chascomus</v>
          </cell>
          <cell r="AT22" t="str">
            <v>ADA_CH - Danone Arg. S.A. - Chascomus</v>
          </cell>
          <cell r="AU22" t="str">
            <v>ADA_CH - Danone Arg. S.A. - Chascomus</v>
          </cell>
          <cell r="AV22" t="str">
            <v>ADA_CH - Danone Arg. S.A. - Chascomus</v>
          </cell>
          <cell r="AW22" t="str">
            <v>ADA_CH - Danone Arg. S.A. - Chascomus</v>
          </cell>
          <cell r="AX22" t="str">
            <v>ADA_CH - Danone Arg. S.A. - Chascomus</v>
          </cell>
          <cell r="AY22" t="str">
            <v>ADA_CH - Danone Arg. S.A. - Chascomus</v>
          </cell>
          <cell r="AZ22" t="str">
            <v>ADA_CH - Danone Arg. S.A. - Chascomus</v>
          </cell>
          <cell r="BA22" t="str">
            <v>ADA_CH - Danone Arg. S.A. - Chascomus</v>
          </cell>
          <cell r="BB22" t="str">
            <v>ADA_CH - Danone Arg. S.A. - Chascomus</v>
          </cell>
          <cell r="BC22" t="str">
            <v>ADA_CH - Danone Arg. S.A. - Chascomus</v>
          </cell>
          <cell r="BD22" t="str">
            <v>ADA_CH - Danone Arg. S.A. - Chascomus</v>
          </cell>
          <cell r="BE22" t="str">
            <v>ADA_CH - Danone Arg. S.A. - Chascomus</v>
          </cell>
          <cell r="BF22" t="str">
            <v>ADA_CH - Danone Arg. S.A. - Chascomus</v>
          </cell>
          <cell r="BG22" t="str">
            <v>ADA_CH - Danone Arg. S.A. - Chascomus</v>
          </cell>
          <cell r="BH22" t="str">
            <v>ADA_CH - Danone Arg. S.A. - Chascomus</v>
          </cell>
          <cell r="BI22" t="str">
            <v>ADA_CH - Danone Arg. S.A. - Chascomus</v>
          </cell>
          <cell r="BJ22" t="str">
            <v>ADA_CH - Danone Arg. S.A. - Chascomus</v>
          </cell>
          <cell r="BK22" t="str">
            <v>ADA_CH - Danone Arg. S.A. - Chascomus</v>
          </cell>
          <cell r="BL22" t="str">
            <v>ADA_CH - Danone Arg. S.A. - Chascomus</v>
          </cell>
          <cell r="BM22" t="str">
            <v>ADA_CH - Danone Arg. S.A. - Chascomus</v>
          </cell>
          <cell r="BN22" t="str">
            <v>ADA_CH - Danone Arg. S.A. - Chascomus</v>
          </cell>
          <cell r="BO22" t="str">
            <v>ADA_CH - Danone Arg. S.A. - Chascomus</v>
          </cell>
          <cell r="BP22" t="str">
            <v>ADA_CH - Danone Arg. S.A. - Chascomus</v>
          </cell>
          <cell r="BQ22" t="str">
            <v>ADA_CH - Danone Arg. S.A. - Chascomus</v>
          </cell>
          <cell r="BR22" t="str">
            <v>ADA_CH - Danone Arg. S.A. - Chascomus</v>
          </cell>
          <cell r="BS22" t="str">
            <v>ADA_CH - Danone Arg. S.A. - Chascomus</v>
          </cell>
          <cell r="BT22" t="str">
            <v>ADA_CH - Danone Arg. S.A. - Chascomus</v>
          </cell>
          <cell r="BU22" t="str">
            <v>ADA_CH - Danone Arg. S.A. - Chascomus</v>
          </cell>
          <cell r="BV22" t="str">
            <v>ADA_CH - Danone Arg. S.A. - Chascomus</v>
          </cell>
          <cell r="BW22" t="str">
            <v>ADA_CH - Danone Arg. S.A. - Chascomus</v>
          </cell>
          <cell r="BX22" t="str">
            <v>ADA_CH - Danone Arg. S.A. - Chascomus</v>
          </cell>
          <cell r="BY22" t="str">
            <v>ADA_CH - Danone Arg. S.A. - Chascomus</v>
          </cell>
          <cell r="BZ22" t="str">
            <v>ADA_CH - Danone Arg. S.A. - Chascomus</v>
          </cell>
          <cell r="CA22" t="str">
            <v>ADA_CH - Danone Arg. S.A. - Chascomus</v>
          </cell>
          <cell r="CB22" t="str">
            <v>ADA_CH - Danone Arg. S.A. - Chascomus</v>
          </cell>
          <cell r="CC22" t="str">
            <v>ADA_CH - Danone Arg. S.A. - Chascomus</v>
          </cell>
          <cell r="CD22" t="str">
            <v>ADA_CH - Danone Arg. S.A. - Chascomus</v>
          </cell>
          <cell r="CE22" t="str">
            <v>ADA_CH - Danone Arg. S.A. - Chascomus</v>
          </cell>
          <cell r="CF22" t="str">
            <v>ADA_CH - Danone Arg. S.A. - Chascomus</v>
          </cell>
          <cell r="CG22" t="str">
            <v>ADA_CH - Danone Arg. S.A. - Chascomus</v>
          </cell>
          <cell r="CH22" t="str">
            <v>ADA_CH - Danone Arg. S.A. - Chascomus</v>
          </cell>
          <cell r="CI22" t="str">
            <v>ADA_CH - Danone Arg. S.A. - Chascomus</v>
          </cell>
          <cell r="CJ22" t="str">
            <v>ADA_CH - Danone Arg. S.A. - Chascomus</v>
          </cell>
          <cell r="CK22" t="str">
            <v>ADA_CH - Danone Arg. S.A. - Chascomus</v>
          </cell>
          <cell r="CL22" t="str">
            <v>ADA_CH - Danone Arg. S.A. - Chascomus</v>
          </cell>
          <cell r="CM22" t="str">
            <v>ADA_CH - Danone Arg. S.A. - Chascomus</v>
          </cell>
          <cell r="CN22" t="str">
            <v>ADA_CH - Danone Arg. S.A. - Chascomus</v>
          </cell>
          <cell r="CO22" t="str">
            <v>ADA_CH - Danone Arg. S.A. - Chascomus</v>
          </cell>
          <cell r="CP22" t="str">
            <v>ADA_CH - Danone Arg. S.A. - Chascomus</v>
          </cell>
          <cell r="CQ22" t="str">
            <v>ADA_CH - Danone Arg. S.A. - Chascomus</v>
          </cell>
          <cell r="CR22" t="str">
            <v>ADA_CH - Danone Arg. S.A. - Chascomus</v>
          </cell>
          <cell r="CS22" t="str">
            <v>ADA_CH - Danone Arg. S.A. - Chascomus</v>
          </cell>
          <cell r="CT22" t="str">
            <v>ADA_CH - Danone Arg. S.A. - Chascomus</v>
          </cell>
          <cell r="CU22" t="str">
            <v>ADA_CH - Danone Arg. S.A. - Chascomus</v>
          </cell>
          <cell r="CV22" t="str">
            <v>ADA_CH - Danone Arg. S.A. - Chascomus</v>
          </cell>
          <cell r="CW22" t="str">
            <v>ADA_CH - Danone Arg. S.A. - Chascomus</v>
          </cell>
        </row>
        <row r="23">
          <cell r="D23" t="str">
            <v>AD426HV</v>
          </cell>
          <cell r="E23" t="str">
            <v>Tractor</v>
          </cell>
          <cell r="F23" t="str">
            <v>Tractor</v>
          </cell>
          <cell r="G23" t="str">
            <v>Tractor</v>
          </cell>
          <cell r="N23" t="str">
            <v>DYLASA</v>
          </cell>
          <cell r="O23" t="str">
            <v>DYLASA</v>
          </cell>
          <cell r="P23" t="str">
            <v>No</v>
          </cell>
          <cell r="Q23" t="str">
            <v>Propio</v>
          </cell>
          <cell r="R23" t="str">
            <v>-</v>
          </cell>
          <cell r="S23" t="str">
            <v>Propio</v>
          </cell>
          <cell r="T23" t="str">
            <v>MERCEDES BENZ</v>
          </cell>
          <cell r="U23" t="str">
            <v>AXOR 2541 LS</v>
          </cell>
          <cell r="V23" t="str">
            <v>457910U1025896</v>
          </cell>
          <cell r="W23" t="str">
            <v>9BM958444KB099936</v>
          </cell>
          <cell r="X23">
            <v>2019</v>
          </cell>
          <cell r="Y23">
            <v>7</v>
          </cell>
          <cell r="Z23" t="str">
            <v>Danone Chascomus</v>
          </cell>
          <cell r="AA23" t="str">
            <v>ADA_CH - Danone Arg. S.A. - Chascomus</v>
          </cell>
          <cell r="AB23" t="str">
            <v>ADA_CH - Danone Arg. S.A. - Chascomus</v>
          </cell>
          <cell r="AC23" t="str">
            <v>ADA_CH - Danone Arg. S.A. - Chascomus</v>
          </cell>
          <cell r="AD23" t="str">
            <v>ADA_CH - Danone Arg. S.A. - Chascomus</v>
          </cell>
          <cell r="AE23" t="str">
            <v>ADA_CH - Danone Arg. S.A. - Chascomus</v>
          </cell>
          <cell r="AF23" t="str">
            <v>ADA_CH - Danone Arg. S.A. - Chascomus</v>
          </cell>
          <cell r="AG23" t="str">
            <v>ADA_CH - Danone Arg. S.A. - Chascomus</v>
          </cell>
          <cell r="AH23" t="str">
            <v>ADA_CH - Danone Arg. S.A. - Chascomus</v>
          </cell>
          <cell r="AI23" t="str">
            <v>ADA_CH - Danone Arg. S.A. - Chascomus</v>
          </cell>
          <cell r="AJ23" t="str">
            <v>ADA_CH - Danone Arg. S.A. - Chascomus</v>
          </cell>
          <cell r="AK23" t="str">
            <v>ADA_CH - Danone Arg. S.A. - Chascomus</v>
          </cell>
          <cell r="AL23" t="str">
            <v>ADA_CH - Danone Arg. S.A. - Chascomus</v>
          </cell>
          <cell r="AM23" t="str">
            <v>ADA_CH - Danone Arg. S.A. - Chascomus</v>
          </cell>
          <cell r="AN23" t="str">
            <v>ADA_CH - Danone Arg. S.A. - Chascomus</v>
          </cell>
          <cell r="AO23" t="str">
            <v>ADA_CH - Danone Arg. S.A. - Chascomus</v>
          </cell>
          <cell r="AP23" t="str">
            <v>ADA_CH - Danone Arg. S.A. - Chascomus</v>
          </cell>
          <cell r="AQ23" t="str">
            <v>ADA_CH - Danone Arg. S.A. - Chascomus</v>
          </cell>
          <cell r="AR23" t="str">
            <v>ADA_CH - Danone Arg. S.A. - Chascomus</v>
          </cell>
          <cell r="AS23" t="str">
            <v>ADA_CH - Danone Arg. S.A. - Chascomus</v>
          </cell>
          <cell r="AT23" t="str">
            <v>ADA_CH - Danone Arg. S.A. - Chascomus</v>
          </cell>
          <cell r="AU23" t="str">
            <v>ADA_CH - Danone Arg. S.A. - Chascomus</v>
          </cell>
          <cell r="AV23" t="str">
            <v>ADA_CH - Danone Arg. S.A. - Chascomus</v>
          </cell>
          <cell r="AW23" t="str">
            <v>ADA_CH - Danone Arg. S.A. - Chascomus</v>
          </cell>
          <cell r="AX23" t="str">
            <v>ADA_CH - Danone Arg. S.A. - Chascomus</v>
          </cell>
          <cell r="AY23" t="str">
            <v>ADA_CH - Danone Arg. S.A. - Chascomus</v>
          </cell>
          <cell r="AZ23" t="str">
            <v>ADA_CH - Danone Arg. S.A. - Chascomus</v>
          </cell>
          <cell r="BA23" t="str">
            <v>ADA_CH - Danone Arg. S.A. - Chascomus</v>
          </cell>
          <cell r="BB23" t="str">
            <v>ADA_CH - Danone Arg. S.A. - Chascomus</v>
          </cell>
          <cell r="BC23" t="str">
            <v>ADA_CH - Danone Arg. S.A. - Chascomus</v>
          </cell>
          <cell r="BD23" t="str">
            <v>ADA_CH - Danone Arg. S.A. - Chascomus</v>
          </cell>
          <cell r="BE23" t="str">
            <v>ADA_CH - Danone Arg. S.A. - Chascomus</v>
          </cell>
          <cell r="BF23" t="str">
            <v>ADA_CH - Danone Arg. S.A. - Chascomus</v>
          </cell>
          <cell r="BG23" t="str">
            <v>ADA_CH - Danone Arg. S.A. - Chascomus</v>
          </cell>
          <cell r="BH23" t="str">
            <v>ADA_CH - Danone Arg. S.A. - Chascomus</v>
          </cell>
          <cell r="BI23" t="str">
            <v>ADA_CH - Danone Arg. S.A. - Chascomus</v>
          </cell>
          <cell r="BJ23" t="str">
            <v>ADA_CH - Danone Arg. S.A. - Chascomus</v>
          </cell>
          <cell r="BK23" t="str">
            <v>ADA_CH - Danone Arg. S.A. - Chascomus</v>
          </cell>
          <cell r="BL23" t="str">
            <v>ADA_CH - Danone Arg. S.A. - Chascomus</v>
          </cell>
          <cell r="BM23" t="str">
            <v>ADA_CH - Danone Arg. S.A. - Chascomus</v>
          </cell>
          <cell r="BN23" t="str">
            <v>ADA_CH - Danone Arg. S.A. - Chascomus</v>
          </cell>
          <cell r="BO23" t="str">
            <v>ADA_CH - Danone Arg. S.A. - Chascomus</v>
          </cell>
          <cell r="BP23" t="str">
            <v>ADA_CH - Danone Arg. S.A. - Chascomus</v>
          </cell>
          <cell r="BQ23" t="str">
            <v>ADA_CH - Danone Arg. S.A. - Chascomus</v>
          </cell>
          <cell r="BR23" t="str">
            <v>ADA_CH - Danone Arg. S.A. - Chascomus</v>
          </cell>
          <cell r="BS23" t="str">
            <v>ADA_CH - Danone Arg. S.A. - Chascomus</v>
          </cell>
          <cell r="BT23" t="str">
            <v>ADA_CH - Danone Arg. S.A. - Chascomus</v>
          </cell>
          <cell r="BU23" t="str">
            <v>ADA_CH - Danone Arg. S.A. - Chascomus</v>
          </cell>
          <cell r="BV23" t="str">
            <v>ADA_CH - Danone Arg. S.A. - Chascomus</v>
          </cell>
          <cell r="BW23" t="str">
            <v>ADA_CH - Danone Arg. S.A. - Chascomus</v>
          </cell>
          <cell r="BX23" t="str">
            <v>ADA_CH - Danone Arg. S.A. - Chascomus</v>
          </cell>
          <cell r="BY23" t="str">
            <v>ADA_CH - Danone Arg. S.A. - Chascomus</v>
          </cell>
          <cell r="BZ23" t="str">
            <v>ADA_CH - Danone Arg. S.A. - Chascomus</v>
          </cell>
          <cell r="CA23" t="str">
            <v>ADA_CH - Danone Arg. S.A. - Chascomus</v>
          </cell>
          <cell r="CB23" t="str">
            <v>ADA_CH - Danone Arg. S.A. - Chascomus</v>
          </cell>
          <cell r="CC23" t="str">
            <v>ADA_CH - Danone Arg. S.A. - Chascomus</v>
          </cell>
          <cell r="CD23" t="str">
            <v>ADA_CH - Danone Arg. S.A. - Chascomus</v>
          </cell>
          <cell r="CE23" t="str">
            <v>ADA_CH - Danone Arg. S.A. - Chascomus</v>
          </cell>
          <cell r="CF23" t="str">
            <v>ADA_CH - Danone Arg. S.A. - Chascomus</v>
          </cell>
          <cell r="CG23" t="str">
            <v>ADA_CH - Danone Arg. S.A. - Chascomus</v>
          </cell>
          <cell r="CH23" t="str">
            <v>ADA_CH - Danone Arg. S.A. - Chascomus</v>
          </cell>
          <cell r="CI23" t="str">
            <v>ADA_CH - Danone Arg. S.A. - Chascomus</v>
          </cell>
          <cell r="CJ23" t="str">
            <v>ADA_CH - Danone Arg. S.A. - Chascomus</v>
          </cell>
          <cell r="CK23" t="str">
            <v>ADA_CH - Danone Arg. S.A. - Chascomus</v>
          </cell>
          <cell r="CL23" t="str">
            <v>ADA_CH - Danone Arg. S.A. - Chascomus</v>
          </cell>
          <cell r="CM23" t="str">
            <v>ADA_CH - Danone Arg. S.A. - Chascomus</v>
          </cell>
          <cell r="CN23" t="str">
            <v>ADA_CH - Danone Arg. S.A. - Chascomus</v>
          </cell>
          <cell r="CO23" t="str">
            <v>ADA_CH - Danone Arg. S.A. - Chascomus</v>
          </cell>
          <cell r="CP23" t="str">
            <v>ADA_CH - Danone Arg. S.A. - Chascomus</v>
          </cell>
          <cell r="CQ23" t="str">
            <v>ADA_CH - Danone Arg. S.A. - Chascomus</v>
          </cell>
          <cell r="CR23" t="str">
            <v>ADA_CH - Danone Arg. S.A. - Chascomus</v>
          </cell>
          <cell r="CS23" t="str">
            <v>ADA_CH - Danone Arg. S.A. - Chascomus</v>
          </cell>
          <cell r="CT23" t="str">
            <v>ADA_CH - Danone Arg. S.A. - Chascomus</v>
          </cell>
          <cell r="CU23" t="str">
            <v>ADA_CH - Danone Arg. S.A. - Chascomus</v>
          </cell>
          <cell r="CV23" t="str">
            <v>ADA_CH - Danone Arg. S.A. - Chascomus</v>
          </cell>
          <cell r="CW23" t="str">
            <v>ADA_CH - Danone Arg. S.A. - Chascomus</v>
          </cell>
        </row>
        <row r="24">
          <cell r="D24" t="str">
            <v>AD426HW</v>
          </cell>
          <cell r="E24" t="str">
            <v>Tractor</v>
          </cell>
          <cell r="F24" t="str">
            <v>Tractor</v>
          </cell>
          <cell r="G24" t="str">
            <v>Tractor</v>
          </cell>
          <cell r="N24" t="str">
            <v>DYLASA</v>
          </cell>
          <cell r="O24" t="str">
            <v>DYLASA</v>
          </cell>
          <cell r="P24" t="str">
            <v>No</v>
          </cell>
          <cell r="Q24" t="str">
            <v>Propio</v>
          </cell>
          <cell r="R24" t="str">
            <v>-</v>
          </cell>
          <cell r="S24" t="str">
            <v>Propio</v>
          </cell>
          <cell r="T24" t="str">
            <v>MERCEDES BENZ</v>
          </cell>
          <cell r="U24" t="str">
            <v>AXOR 2541 LS</v>
          </cell>
          <cell r="V24" t="str">
            <v>457910U1026820</v>
          </cell>
          <cell r="W24" t="str">
            <v>9BM958444KB102548</v>
          </cell>
          <cell r="X24">
            <v>2019</v>
          </cell>
          <cell r="Y24">
            <v>7</v>
          </cell>
          <cell r="Z24" t="str">
            <v>Danone Chascomus</v>
          </cell>
          <cell r="AA24" t="str">
            <v>ADA_CH - Danone Arg. S.A. - Chascomus</v>
          </cell>
          <cell r="AB24" t="str">
            <v>ADA_CH - Danone Arg. S.A. - Chascomus</v>
          </cell>
          <cell r="AC24" t="str">
            <v>ADA_CH - Danone Arg. S.A. - Chascomus</v>
          </cell>
          <cell r="AD24" t="str">
            <v>ADA_CH - Danone Arg. S.A. - Chascomus</v>
          </cell>
          <cell r="AE24" t="str">
            <v>ADA_CH - Danone Arg. S.A. - Chascomus</v>
          </cell>
          <cell r="AF24" t="str">
            <v>ADA_CH - Danone Arg. S.A. - Chascomus</v>
          </cell>
          <cell r="AG24" t="str">
            <v>ADA_CH - Danone Arg. S.A. - Chascomus</v>
          </cell>
          <cell r="AH24" t="str">
            <v>ADA_CH - Danone Arg. S.A. - Chascomus</v>
          </cell>
          <cell r="AI24" t="str">
            <v>ADA_CH - Danone Arg. S.A. - Chascomus</v>
          </cell>
          <cell r="AJ24" t="str">
            <v>ADA_CH - Danone Arg. S.A. - Chascomus</v>
          </cell>
          <cell r="AK24" t="str">
            <v>ADA_CH - Danone Arg. S.A. - Chascomus</v>
          </cell>
          <cell r="AL24" t="str">
            <v>ADA_CH - Danone Arg. S.A. - Chascomus</v>
          </cell>
          <cell r="AM24" t="str">
            <v>ADA_CH - Danone Arg. S.A. - Chascomus</v>
          </cell>
          <cell r="AN24" t="str">
            <v>ADA_CH - Danone Arg. S.A. - Chascomus</v>
          </cell>
          <cell r="AO24" t="str">
            <v>ADA_CH - Danone Arg. S.A. - Chascomus</v>
          </cell>
          <cell r="AP24" t="str">
            <v>ADA_CH - Danone Arg. S.A. - Chascomus</v>
          </cell>
          <cell r="AQ24" t="str">
            <v>ADA_CH - Danone Arg. S.A. - Chascomus</v>
          </cell>
          <cell r="AR24" t="str">
            <v>ADA_CH - Danone Arg. S.A. - Chascomus</v>
          </cell>
          <cell r="AS24" t="str">
            <v>ADA_CH - Danone Arg. S.A. - Chascomus</v>
          </cell>
          <cell r="AT24" t="str">
            <v>ADA_CH - Danone Arg. S.A. - Chascomus</v>
          </cell>
          <cell r="AU24" t="str">
            <v>ADA_CH - Danone Arg. S.A. - Chascomus</v>
          </cell>
          <cell r="AV24" t="str">
            <v>ADA_CH - Danone Arg. S.A. - Chascomus</v>
          </cell>
          <cell r="AW24" t="str">
            <v>ADA_CH - Danone Arg. S.A. - Chascomus</v>
          </cell>
          <cell r="AX24" t="str">
            <v>ADA_CH - Danone Arg. S.A. - Chascomus</v>
          </cell>
          <cell r="AY24" t="str">
            <v>ADA_CH - Danone Arg. S.A. - Chascomus</v>
          </cell>
          <cell r="AZ24" t="str">
            <v>ADA_CH - Danone Arg. S.A. - Chascomus</v>
          </cell>
          <cell r="BA24" t="str">
            <v>ADA_CH - Danone Arg. S.A. - Chascomus</v>
          </cell>
          <cell r="BB24" t="str">
            <v>ADA_CH - Danone Arg. S.A. - Chascomus</v>
          </cell>
          <cell r="BC24" t="str">
            <v>ADA_CH - Danone Arg. S.A. - Chascomus</v>
          </cell>
          <cell r="BD24" t="str">
            <v>ADA_CH - Danone Arg. S.A. - Chascomus</v>
          </cell>
          <cell r="BE24" t="str">
            <v>ADA_CH - Danone Arg. S.A. - Chascomus</v>
          </cell>
          <cell r="BF24" t="str">
            <v>ADA_CH - Danone Arg. S.A. - Chascomus</v>
          </cell>
          <cell r="BG24" t="str">
            <v>ADA_CH - Danone Arg. S.A. - Chascomus</v>
          </cell>
          <cell r="BH24" t="str">
            <v>ADA_CH - Danone Arg. S.A. - Chascomus</v>
          </cell>
          <cell r="BI24" t="str">
            <v>ADA_CH - Danone Arg. S.A. - Chascomus</v>
          </cell>
          <cell r="BJ24" t="str">
            <v>ADA_CH - Danone Arg. S.A. - Chascomus</v>
          </cell>
          <cell r="BK24" t="str">
            <v>ADA_CH - Danone Arg. S.A. - Chascomus</v>
          </cell>
          <cell r="BL24" t="str">
            <v>ADA_CH - Danone Arg. S.A. - Chascomus</v>
          </cell>
          <cell r="BM24" t="str">
            <v>ADA_CH - Danone Arg. S.A. - Chascomus</v>
          </cell>
          <cell r="BN24" t="str">
            <v>ADA_CH - Danone Arg. S.A. - Chascomus</v>
          </cell>
          <cell r="BO24" t="str">
            <v>ADA_CH - Danone Arg. S.A. - Chascomus</v>
          </cell>
          <cell r="BP24" t="str">
            <v>ADA_CH - Danone Arg. S.A. - Chascomus</v>
          </cell>
          <cell r="BQ24" t="str">
            <v>ADA_CH - Danone Arg. S.A. - Chascomus</v>
          </cell>
          <cell r="BR24" t="str">
            <v>ADA_CH - Danone Arg. S.A. - Chascomus</v>
          </cell>
          <cell r="BS24" t="str">
            <v>ADA_CH - Danone Arg. S.A. - Chascomus</v>
          </cell>
          <cell r="BT24" t="str">
            <v>ADA_CH - Danone Arg. S.A. - Chascomus</v>
          </cell>
          <cell r="BU24" t="str">
            <v>ADA_CH - Danone Arg. S.A. - Chascomus</v>
          </cell>
          <cell r="BV24" t="str">
            <v>ADA_CH - Danone Arg. S.A. - Chascomus</v>
          </cell>
          <cell r="BW24" t="str">
            <v>ADA_CH - Danone Arg. S.A. - Chascomus</v>
          </cell>
          <cell r="BX24" t="str">
            <v>ADA_CH - Danone Arg. S.A. - Chascomus</v>
          </cell>
          <cell r="BY24" t="str">
            <v>ADA_CH - Danone Arg. S.A. - Chascomus</v>
          </cell>
          <cell r="BZ24" t="str">
            <v>ADA_CH - Danone Arg. S.A. - Chascomus</v>
          </cell>
          <cell r="CA24" t="str">
            <v>ADA_CH - Danone Arg. S.A. - Chascomus</v>
          </cell>
          <cell r="CB24" t="str">
            <v>ADA_CH - Danone Arg. S.A. - Chascomus</v>
          </cell>
          <cell r="CC24" t="str">
            <v>ADA_CH - Danone Arg. S.A. - Chascomus</v>
          </cell>
          <cell r="CD24" t="str">
            <v>ADA_CH - Danone Arg. S.A. - Chascomus</v>
          </cell>
          <cell r="CE24" t="str">
            <v>ADA_CH - Danone Arg. S.A. - Chascomus</v>
          </cell>
          <cell r="CF24" t="str">
            <v>ADA_CH - Danone Arg. S.A. - Chascomus</v>
          </cell>
          <cell r="CG24" t="str">
            <v>ADA_CH - Danone Arg. S.A. - Chascomus</v>
          </cell>
          <cell r="CH24" t="str">
            <v>ADA_CH - Danone Arg. S.A. - Chascomus</v>
          </cell>
          <cell r="CI24" t="str">
            <v>ADA_CH - Danone Arg. S.A. - Chascomus</v>
          </cell>
          <cell r="CJ24" t="str">
            <v>ADA_CH - Danone Arg. S.A. - Chascomus</v>
          </cell>
          <cell r="CK24" t="str">
            <v>ADA_CH - Danone Arg. S.A. - Chascomus</v>
          </cell>
          <cell r="CL24" t="str">
            <v>ADA_CH - Danone Arg. S.A. - Chascomus</v>
          </cell>
          <cell r="CM24" t="str">
            <v>ADA_CH - Danone Arg. S.A. - Chascomus</v>
          </cell>
          <cell r="CN24" t="str">
            <v>ADA_CH - Danone Arg. S.A. - Chascomus</v>
          </cell>
          <cell r="CO24" t="str">
            <v>ADA_CH - Danone Arg. S.A. - Chascomus</v>
          </cell>
          <cell r="CP24" t="str">
            <v>ADA_CH - Danone Arg. S.A. - Chascomus</v>
          </cell>
          <cell r="CQ24" t="str">
            <v>ADA_CH - Danone Arg. S.A. - Chascomus</v>
          </cell>
          <cell r="CR24" t="str">
            <v>ADA_CH - Danone Arg. S.A. - Chascomus</v>
          </cell>
          <cell r="CS24" t="str">
            <v>ADA_CH - Danone Arg. S.A. - Chascomus</v>
          </cell>
          <cell r="CT24" t="str">
            <v>ADA_CH - Danone Arg. S.A. - Chascomus</v>
          </cell>
          <cell r="CU24" t="str">
            <v>ADA_CH - Danone Arg. S.A. - Chascomus</v>
          </cell>
          <cell r="CV24" t="str">
            <v>ADA_CH - Danone Arg. S.A. - Chascomus</v>
          </cell>
          <cell r="CW24" t="str">
            <v>ADA_CH - Danone Arg. S.A. - Chascomus</v>
          </cell>
        </row>
        <row r="25">
          <cell r="D25" t="str">
            <v>AD426HX</v>
          </cell>
          <cell r="E25" t="str">
            <v>Tractor</v>
          </cell>
          <cell r="F25" t="str">
            <v>Tractor</v>
          </cell>
          <cell r="G25" t="str">
            <v>Tractor</v>
          </cell>
          <cell r="N25" t="str">
            <v>DYLASA</v>
          </cell>
          <cell r="O25" t="str">
            <v>DYLASA</v>
          </cell>
          <cell r="P25" t="str">
            <v>No</v>
          </cell>
          <cell r="Q25" t="str">
            <v>Propio</v>
          </cell>
          <cell r="R25" t="str">
            <v>-</v>
          </cell>
          <cell r="S25" t="str">
            <v>Propio</v>
          </cell>
          <cell r="T25" t="str">
            <v>MERCEDES BENZ</v>
          </cell>
          <cell r="U25" t="str">
            <v>AXOR 2541 LS</v>
          </cell>
          <cell r="V25" t="str">
            <v>457910U1025808</v>
          </cell>
          <cell r="W25" t="str">
            <v>9BM958444KB099744</v>
          </cell>
          <cell r="X25">
            <v>2019</v>
          </cell>
          <cell r="Y25">
            <v>7</v>
          </cell>
          <cell r="Z25" t="str">
            <v>Danone Chascomus</v>
          </cell>
          <cell r="AA25" t="str">
            <v>ADA_CH - Danone Arg. S.A. - Chascomus</v>
          </cell>
          <cell r="AB25" t="str">
            <v>ADA_CH - Danone Arg. S.A. - Chascomus</v>
          </cell>
          <cell r="AC25" t="str">
            <v>ADA_CH - Danone Arg. S.A. - Chascomus</v>
          </cell>
          <cell r="AD25" t="str">
            <v>ADA_CH - Danone Arg. S.A. - Chascomus</v>
          </cell>
          <cell r="AE25" t="str">
            <v>ADA_CH - Danone Arg. S.A. - Chascomus</v>
          </cell>
          <cell r="AF25" t="str">
            <v>ADA_CH - Danone Arg. S.A. - Chascomus</v>
          </cell>
          <cell r="AG25" t="str">
            <v>ADA_CH - Danone Arg. S.A. - Chascomus</v>
          </cell>
          <cell r="AH25" t="str">
            <v>ADA_CH - Danone Arg. S.A. - Chascomus</v>
          </cell>
          <cell r="AI25" t="str">
            <v>ADA_CH - Danone Arg. S.A. - Chascomus</v>
          </cell>
          <cell r="AJ25" t="str">
            <v>ADA_CH - Danone Arg. S.A. - Chascomus</v>
          </cell>
          <cell r="AK25" t="str">
            <v>ADA_CH - Danone Arg. S.A. - Chascomus</v>
          </cell>
          <cell r="AL25" t="str">
            <v>ADA_CH - Danone Arg. S.A. - Chascomus</v>
          </cell>
          <cell r="AM25" t="str">
            <v>ADA_CH - Danone Arg. S.A. - Chascomus</v>
          </cell>
          <cell r="AN25" t="str">
            <v>ADA_CH - Danone Arg. S.A. - Chascomus</v>
          </cell>
          <cell r="AO25" t="str">
            <v>ADA_CH - Danone Arg. S.A. - Chascomus</v>
          </cell>
          <cell r="AP25" t="str">
            <v>ADA_CH - Danone Arg. S.A. - Chascomus</v>
          </cell>
          <cell r="AQ25" t="str">
            <v>ADA_CH - Danone Arg. S.A. - Chascomus</v>
          </cell>
          <cell r="AR25" t="str">
            <v>ADA_CH - Danone Arg. S.A. - Chascomus</v>
          </cell>
          <cell r="AS25" t="str">
            <v>ADA_CH - Danone Arg. S.A. - Chascomus</v>
          </cell>
          <cell r="AT25" t="str">
            <v>ADA_CH - Danone Arg. S.A. - Chascomus</v>
          </cell>
          <cell r="AU25" t="str">
            <v>ADA_CH - Danone Arg. S.A. - Chascomus</v>
          </cell>
          <cell r="AV25" t="str">
            <v>ADA_CH - Danone Arg. S.A. - Chascomus</v>
          </cell>
          <cell r="AW25" t="str">
            <v>ADA_CH - Danone Arg. S.A. - Chascomus</v>
          </cell>
          <cell r="AX25" t="str">
            <v>ADA_CH - Danone Arg. S.A. - Chascomus</v>
          </cell>
          <cell r="AY25" t="str">
            <v>ADA_CH - Danone Arg. S.A. - Chascomus</v>
          </cell>
          <cell r="AZ25" t="str">
            <v>ADA_CH - Danone Arg. S.A. - Chascomus</v>
          </cell>
          <cell r="BA25" t="str">
            <v>ADA_CH - Danone Arg. S.A. - Chascomus</v>
          </cell>
          <cell r="BB25" t="str">
            <v>ADA_CH - Danone Arg. S.A. - Chascomus</v>
          </cell>
          <cell r="BC25" t="str">
            <v>ADA_CH - Danone Arg. S.A. - Chascomus</v>
          </cell>
          <cell r="BD25" t="str">
            <v>ADA_CH - Danone Arg. S.A. - Chascomus</v>
          </cell>
          <cell r="BE25" t="str">
            <v>ADA_CH - Danone Arg. S.A. - Chascomus</v>
          </cell>
          <cell r="BF25" t="str">
            <v>ADA_CH - Danone Arg. S.A. - Chascomus</v>
          </cell>
          <cell r="BG25" t="str">
            <v>ADA_CH - Danone Arg. S.A. - Chascomus</v>
          </cell>
          <cell r="BH25" t="str">
            <v>ADA_CH - Danone Arg. S.A. - Chascomus</v>
          </cell>
          <cell r="BI25" t="str">
            <v>ADA_CH - Danone Arg. S.A. - Chascomus</v>
          </cell>
          <cell r="BJ25" t="str">
            <v>ADA_CH - Danone Arg. S.A. - Chascomus</v>
          </cell>
          <cell r="BK25" t="str">
            <v>ADA_CH - Danone Arg. S.A. - Chascomus</v>
          </cell>
          <cell r="BL25" t="str">
            <v>ADA_CH - Danone Arg. S.A. - Chascomus</v>
          </cell>
          <cell r="BM25" t="str">
            <v>ADA_CH - Danone Arg. S.A. - Chascomus</v>
          </cell>
          <cell r="BN25" t="str">
            <v>ADA_CH - Danone Arg. S.A. - Chascomus</v>
          </cell>
          <cell r="BO25" t="str">
            <v>ADA_CH - Danone Arg. S.A. - Chascomus</v>
          </cell>
          <cell r="BP25" t="str">
            <v>ADA_CH - Danone Arg. S.A. - Chascomus</v>
          </cell>
          <cell r="BQ25" t="str">
            <v>ADA_CH - Danone Arg. S.A. - Chascomus</v>
          </cell>
          <cell r="BR25" t="str">
            <v>ADA_CH - Danone Arg. S.A. - Chascomus</v>
          </cell>
          <cell r="BS25" t="str">
            <v>ADA_CH - Danone Arg. S.A. - Chascomus</v>
          </cell>
          <cell r="BT25" t="str">
            <v>ADA_CH - Danone Arg. S.A. - Chascomus</v>
          </cell>
          <cell r="BU25" t="str">
            <v>ADA_CH - Danone Arg. S.A. - Chascomus</v>
          </cell>
          <cell r="BV25" t="str">
            <v>ADA_CH - Danone Arg. S.A. - Chascomus</v>
          </cell>
          <cell r="BW25" t="str">
            <v>ADA_CH - Danone Arg. S.A. - Chascomus</v>
          </cell>
          <cell r="BX25" t="str">
            <v>ADA_CH - Danone Arg. S.A. - Chascomus</v>
          </cell>
          <cell r="BY25" t="str">
            <v>ADA_CH - Danone Arg. S.A. - Chascomus</v>
          </cell>
          <cell r="BZ25" t="str">
            <v>ADA_CH - Danone Arg. S.A. - Chascomus</v>
          </cell>
          <cell r="CA25" t="str">
            <v>ADA_CH - Danone Arg. S.A. - Chascomus</v>
          </cell>
          <cell r="CB25" t="str">
            <v>ADA_CH - Danone Arg. S.A. - Chascomus</v>
          </cell>
          <cell r="CC25" t="str">
            <v>ADA_CH - Danone Arg. S.A. - Chascomus</v>
          </cell>
          <cell r="CD25" t="str">
            <v>ADA_CH - Danone Arg. S.A. - Chascomus</v>
          </cell>
          <cell r="CE25" t="str">
            <v>ADA_CH - Danone Arg. S.A. - Chascomus</v>
          </cell>
          <cell r="CF25" t="str">
            <v>ADA_CH - Danone Arg. S.A. - Chascomus</v>
          </cell>
          <cell r="CG25" t="str">
            <v>ADA_CH - Danone Arg. S.A. - Chascomus</v>
          </cell>
          <cell r="CH25" t="str">
            <v>ADA_CH - Danone Arg. S.A. - Chascomus</v>
          </cell>
          <cell r="CI25" t="str">
            <v>ADA_CH - Danone Arg. S.A. - Chascomus</v>
          </cell>
          <cell r="CJ25" t="str">
            <v>ADA_CH - Danone Arg. S.A. - Chascomus</v>
          </cell>
          <cell r="CK25" t="str">
            <v>ADA_CH - Danone Arg. S.A. - Chascomus</v>
          </cell>
          <cell r="CL25" t="str">
            <v>ADA_CH - Danone Arg. S.A. - Chascomus</v>
          </cell>
          <cell r="CM25" t="str">
            <v>ADA_CH - Danone Arg. S.A. - Chascomus</v>
          </cell>
          <cell r="CN25" t="str">
            <v>ADA_CH - Danone Arg. S.A. - Chascomus</v>
          </cell>
          <cell r="CO25" t="str">
            <v>ADA_CH - Danone Arg. S.A. - Chascomus</v>
          </cell>
          <cell r="CP25" t="str">
            <v>ADA_CH - Danone Arg. S.A. - Chascomus</v>
          </cell>
          <cell r="CQ25" t="str">
            <v>ADA_CH - Danone Arg. S.A. - Chascomus</v>
          </cell>
          <cell r="CR25" t="str">
            <v>ADA_CH - Danone Arg. S.A. - Chascomus</v>
          </cell>
          <cell r="CS25" t="str">
            <v>ADA_CH - Danone Arg. S.A. - Chascomus</v>
          </cell>
          <cell r="CT25" t="str">
            <v>ADA_CH - Danone Arg. S.A. - Chascomus</v>
          </cell>
          <cell r="CU25" t="str">
            <v>ADA_CH - Danone Arg. S.A. - Chascomus</v>
          </cell>
          <cell r="CV25" t="str">
            <v>ADA_CH - Danone Arg. S.A. - Chascomus</v>
          </cell>
          <cell r="CW25" t="str">
            <v>ADA_CH - Danone Arg. S.A. - Chascomus</v>
          </cell>
        </row>
        <row r="26">
          <cell r="D26" t="str">
            <v>AD426HY</v>
          </cell>
          <cell r="E26" t="str">
            <v>Tractor</v>
          </cell>
          <cell r="F26" t="str">
            <v>Tractor</v>
          </cell>
          <cell r="G26" t="str">
            <v>Tractor</v>
          </cell>
          <cell r="N26" t="str">
            <v>DYLASA</v>
          </cell>
          <cell r="O26" t="str">
            <v>DYLASA</v>
          </cell>
          <cell r="P26" t="str">
            <v>No</v>
          </cell>
          <cell r="Q26" t="str">
            <v>Propio</v>
          </cell>
          <cell r="R26" t="str">
            <v>-</v>
          </cell>
          <cell r="S26" t="str">
            <v>Propio</v>
          </cell>
          <cell r="T26" t="str">
            <v>MERCEDES BENZ</v>
          </cell>
          <cell r="U26" t="str">
            <v>AXOR 2541 LS</v>
          </cell>
          <cell r="V26" t="str">
            <v>457910U1026454</v>
          </cell>
          <cell r="W26" t="str">
            <v>9BM958444KB101549</v>
          </cell>
          <cell r="X26">
            <v>2019</v>
          </cell>
          <cell r="Y26">
            <v>7</v>
          </cell>
          <cell r="Z26" t="str">
            <v>Danone Chascomus</v>
          </cell>
          <cell r="AA26" t="str">
            <v>ADA_CH - Danone Arg. S.A. - Chascomus</v>
          </cell>
          <cell r="AB26" t="str">
            <v>ADA_CH - Danone Arg. S.A. - Chascomus</v>
          </cell>
          <cell r="AC26" t="str">
            <v>ADA_CH - Danone Arg. S.A. - Chascomus</v>
          </cell>
          <cell r="AD26" t="str">
            <v>ADA_CH - Danone Arg. S.A. - Chascomus</v>
          </cell>
          <cell r="AE26" t="str">
            <v>ADA_CH - Danone Arg. S.A. - Chascomus</v>
          </cell>
          <cell r="AF26" t="str">
            <v>ADA_CH - Danone Arg. S.A. - Chascomus</v>
          </cell>
          <cell r="AG26" t="str">
            <v>ADA_CH - Danone Arg. S.A. - Chascomus</v>
          </cell>
          <cell r="AH26" t="str">
            <v>ADA_CH - Danone Arg. S.A. - Chascomus</v>
          </cell>
          <cell r="AI26" t="str">
            <v>ADA_CH - Danone Arg. S.A. - Chascomus</v>
          </cell>
          <cell r="AJ26" t="str">
            <v>ADA_CH - Danone Arg. S.A. - Chascomus</v>
          </cell>
          <cell r="AK26" t="str">
            <v>ADA_CH - Danone Arg. S.A. - Chascomus</v>
          </cell>
          <cell r="AL26" t="str">
            <v>ADA_CH - Danone Arg. S.A. - Chascomus</v>
          </cell>
          <cell r="AM26" t="str">
            <v>ADA_CH - Danone Arg. S.A. - Chascomus</v>
          </cell>
          <cell r="AN26" t="str">
            <v>ADA_CH - Danone Arg. S.A. - Chascomus</v>
          </cell>
          <cell r="AO26" t="str">
            <v>ADA_CH - Danone Arg. S.A. - Chascomus</v>
          </cell>
          <cell r="AP26" t="str">
            <v>ADA_CH - Danone Arg. S.A. - Chascomus</v>
          </cell>
          <cell r="AQ26" t="str">
            <v>ADA_CH - Danone Arg. S.A. - Chascomus</v>
          </cell>
          <cell r="AR26" t="str">
            <v>ADA_CH - Danone Arg. S.A. - Chascomus</v>
          </cell>
          <cell r="AS26" t="str">
            <v>ADA_CH - Danone Arg. S.A. - Chascomus</v>
          </cell>
          <cell r="AT26" t="str">
            <v>ADA_CH - Danone Arg. S.A. - Chascomus</v>
          </cell>
          <cell r="AU26" t="str">
            <v>ADA_CH - Danone Arg. S.A. - Chascomus</v>
          </cell>
          <cell r="AV26" t="str">
            <v>ADA_CH - Danone Arg. S.A. - Chascomus</v>
          </cell>
          <cell r="AW26" t="str">
            <v>ADA_CH - Danone Arg. S.A. - Chascomus</v>
          </cell>
          <cell r="AX26" t="str">
            <v>ADA_CH - Danone Arg. S.A. - Chascomus</v>
          </cell>
          <cell r="AY26" t="str">
            <v>ADA_CH - Danone Arg. S.A. - Chascomus</v>
          </cell>
          <cell r="AZ26" t="str">
            <v>ADA_CH - Danone Arg. S.A. - Chascomus</v>
          </cell>
          <cell r="BA26" t="str">
            <v>ADA_CH - Danone Arg. S.A. - Chascomus</v>
          </cell>
          <cell r="BB26" t="str">
            <v>ADA_CH - Danone Arg. S.A. - Chascomus</v>
          </cell>
          <cell r="BC26" t="str">
            <v>ADA_CH - Danone Arg. S.A. - Chascomus</v>
          </cell>
          <cell r="BD26" t="str">
            <v>ADA_CH - Danone Arg. S.A. - Chascomus</v>
          </cell>
          <cell r="BE26" t="str">
            <v>ADA_CH - Danone Arg. S.A. - Chascomus</v>
          </cell>
          <cell r="BF26" t="str">
            <v>ADA_CH - Danone Arg. S.A. - Chascomus</v>
          </cell>
          <cell r="BG26" t="str">
            <v>ADA_CH - Danone Arg. S.A. - Chascomus</v>
          </cell>
          <cell r="BH26" t="str">
            <v>ADA_CH - Danone Arg. S.A. - Chascomus</v>
          </cell>
          <cell r="BI26" t="str">
            <v>ADA_CH - Danone Arg. S.A. - Chascomus</v>
          </cell>
          <cell r="BJ26" t="str">
            <v>ADA_CH - Danone Arg. S.A. - Chascomus</v>
          </cell>
          <cell r="BK26" t="str">
            <v>ADA_CH - Danone Arg. S.A. - Chascomus</v>
          </cell>
          <cell r="BL26" t="str">
            <v>ADA_CH - Danone Arg. S.A. - Chascomus</v>
          </cell>
          <cell r="BM26" t="str">
            <v>ADA_CH - Danone Arg. S.A. - Chascomus</v>
          </cell>
          <cell r="BN26" t="str">
            <v>ADA_CH - Danone Arg. S.A. - Chascomus</v>
          </cell>
          <cell r="BO26" t="str">
            <v>ADA_CH - Danone Arg. S.A. - Chascomus</v>
          </cell>
          <cell r="BP26" t="str">
            <v>ADA_CH - Danone Arg. S.A. - Chascomus</v>
          </cell>
          <cell r="BQ26" t="str">
            <v>ADA_CH - Danone Arg. S.A. - Chascomus</v>
          </cell>
          <cell r="BR26" t="str">
            <v>ADA_CH - Danone Arg. S.A. - Chascomus</v>
          </cell>
          <cell r="BS26" t="str">
            <v>ADA_CH - Danone Arg. S.A. - Chascomus</v>
          </cell>
          <cell r="BT26" t="str">
            <v>ADA_CH - Danone Arg. S.A. - Chascomus</v>
          </cell>
          <cell r="BU26" t="str">
            <v>ADA_CH - Danone Arg. S.A. - Chascomus</v>
          </cell>
          <cell r="BV26" t="str">
            <v>ADA_CH - Danone Arg. S.A. - Chascomus</v>
          </cell>
          <cell r="BW26" t="str">
            <v>ADA_CH - Danone Arg. S.A. - Chascomus</v>
          </cell>
          <cell r="BX26" t="str">
            <v>ADA_CH - Danone Arg. S.A. - Chascomus</v>
          </cell>
          <cell r="BY26" t="str">
            <v>ADA_CH - Danone Arg. S.A. - Chascomus</v>
          </cell>
          <cell r="BZ26" t="str">
            <v>ADA_CH - Danone Arg. S.A. - Chascomus</v>
          </cell>
          <cell r="CA26" t="str">
            <v>ADA_CH - Danone Arg. S.A. - Chascomus</v>
          </cell>
          <cell r="CB26" t="str">
            <v>ADA_CH - Danone Arg. S.A. - Chascomus</v>
          </cell>
          <cell r="CC26" t="str">
            <v>ADA_CH - Danone Arg. S.A. - Chascomus</v>
          </cell>
          <cell r="CD26" t="str">
            <v>ADA_CH - Danone Arg. S.A. - Chascomus</v>
          </cell>
          <cell r="CE26" t="str">
            <v>ADA_CH - Danone Arg. S.A. - Chascomus</v>
          </cell>
          <cell r="CF26" t="str">
            <v>ADA_CH - Danone Arg. S.A. - Chascomus</v>
          </cell>
          <cell r="CG26" t="str">
            <v>ADA_CH - Danone Arg. S.A. - Chascomus</v>
          </cell>
          <cell r="CH26" t="str">
            <v>ADA_CH - Danone Arg. S.A. - Chascomus</v>
          </cell>
          <cell r="CI26" t="str">
            <v>ADA_CH - Danone Arg. S.A. - Chascomus</v>
          </cell>
          <cell r="CJ26" t="str">
            <v>ADA_CH - Danone Arg. S.A. - Chascomus</v>
          </cell>
          <cell r="CK26" t="str">
            <v>ADA_CH - Danone Arg. S.A. - Chascomus</v>
          </cell>
          <cell r="CL26" t="str">
            <v>ADA_CH - Danone Arg. S.A. - Chascomus</v>
          </cell>
          <cell r="CM26" t="str">
            <v>ADA_CH - Danone Arg. S.A. - Chascomus</v>
          </cell>
          <cell r="CN26" t="str">
            <v>ADA_CH - Danone Arg. S.A. - Chascomus</v>
          </cell>
          <cell r="CO26" t="str">
            <v>ADA_CH - Danone Arg. S.A. - Chascomus</v>
          </cell>
          <cell r="CP26" t="str">
            <v>ADA_CH - Danone Arg. S.A. - Chascomus</v>
          </cell>
          <cell r="CQ26" t="str">
            <v>ADA_CH - Danone Arg. S.A. - Chascomus</v>
          </cell>
          <cell r="CR26" t="str">
            <v>ADA_CH - Danone Arg. S.A. - Chascomus</v>
          </cell>
          <cell r="CS26" t="str">
            <v>ADA_CH - Danone Arg. S.A. - Chascomus</v>
          </cell>
          <cell r="CT26" t="str">
            <v>ADA_CH - Danone Arg. S.A. - Chascomus</v>
          </cell>
          <cell r="CU26" t="str">
            <v>ADA_CH - Danone Arg. S.A. - Chascomus</v>
          </cell>
          <cell r="CV26" t="str">
            <v>ADA_CH - Danone Arg. S.A. - Chascomus</v>
          </cell>
          <cell r="CW26" t="str">
            <v>ADA_CH - Danone Arg. S.A. - Chascomus</v>
          </cell>
        </row>
        <row r="27">
          <cell r="D27" t="str">
            <v>AD426HZ</v>
          </cell>
          <cell r="E27" t="str">
            <v>Tractor</v>
          </cell>
          <cell r="F27" t="str">
            <v>Tractor</v>
          </cell>
          <cell r="G27" t="str">
            <v>Tractor</v>
          </cell>
          <cell r="N27" t="str">
            <v>DYLASA</v>
          </cell>
          <cell r="O27" t="str">
            <v>DYLASA</v>
          </cell>
          <cell r="P27" t="str">
            <v>No</v>
          </cell>
          <cell r="Q27" t="str">
            <v>Propio</v>
          </cell>
          <cell r="R27" t="str">
            <v>-</v>
          </cell>
          <cell r="S27" t="str">
            <v>Propio</v>
          </cell>
          <cell r="T27" t="str">
            <v>MERCEDES BENZ</v>
          </cell>
          <cell r="U27" t="str">
            <v>AXOR 2541 LS</v>
          </cell>
          <cell r="V27" t="str">
            <v>457910U1026513</v>
          </cell>
          <cell r="W27" t="str">
            <v>9BM958444KB101703</v>
          </cell>
          <cell r="X27">
            <v>2019</v>
          </cell>
          <cell r="Y27">
            <v>7</v>
          </cell>
          <cell r="Z27" t="str">
            <v>Danone Chascomus</v>
          </cell>
          <cell r="AA27" t="str">
            <v>ADA_CH - Danone Arg. S.A. - Chascomus</v>
          </cell>
          <cell r="AB27" t="str">
            <v>ADA_CH - Danone Arg. S.A. - Chascomus</v>
          </cell>
          <cell r="AC27" t="str">
            <v>ADA_CH - Danone Arg. S.A. - Chascomus</v>
          </cell>
          <cell r="AD27" t="str">
            <v>ADA_CH - Danone Arg. S.A. - Chascomus</v>
          </cell>
          <cell r="AE27" t="str">
            <v>ADA_CH - Danone Arg. S.A. - Chascomus</v>
          </cell>
          <cell r="AF27" t="str">
            <v>ADA_CH - Danone Arg. S.A. - Chascomus</v>
          </cell>
          <cell r="AG27" t="str">
            <v>ADA_CH - Danone Arg. S.A. - Chascomus</v>
          </cell>
          <cell r="AH27" t="str">
            <v>ADA_CH - Danone Arg. S.A. - Chascomus</v>
          </cell>
          <cell r="AI27" t="str">
            <v>ADA_CH - Danone Arg. S.A. - Chascomus</v>
          </cell>
          <cell r="AJ27" t="str">
            <v>ADA_CH - Danone Arg. S.A. - Chascomus</v>
          </cell>
          <cell r="AK27" t="str">
            <v>ADA_CH - Danone Arg. S.A. - Chascomus</v>
          </cell>
          <cell r="AL27" t="str">
            <v>ADA_CH - Danone Arg. S.A. - Chascomus</v>
          </cell>
          <cell r="AM27" t="str">
            <v>ADA_CH - Danone Arg. S.A. - Chascomus</v>
          </cell>
          <cell r="AN27" t="str">
            <v>ADA_CH - Danone Arg. S.A. - Chascomus</v>
          </cell>
          <cell r="AO27" t="str">
            <v>ADA_CH - Danone Arg. S.A. - Chascomus</v>
          </cell>
          <cell r="AP27" t="str">
            <v>ADA_CH - Danone Arg. S.A. - Chascomus</v>
          </cell>
          <cell r="AQ27" t="str">
            <v>ADA_CH - Danone Arg. S.A. - Chascomus</v>
          </cell>
          <cell r="AR27" t="str">
            <v>ADA_CH - Danone Arg. S.A. - Chascomus</v>
          </cell>
          <cell r="AS27" t="str">
            <v>ADA_CH - Danone Arg. S.A. - Chascomus</v>
          </cell>
          <cell r="AT27" t="str">
            <v>ADA_CH - Danone Arg. S.A. - Chascomus</v>
          </cell>
          <cell r="AU27" t="str">
            <v>ADA_CH - Danone Arg. S.A. - Chascomus</v>
          </cell>
          <cell r="AV27" t="str">
            <v>ADA_CH - Danone Arg. S.A. - Chascomus</v>
          </cell>
          <cell r="AW27" t="str">
            <v>ADA_CH - Danone Arg. S.A. - Chascomus</v>
          </cell>
          <cell r="AX27" t="str">
            <v>ADA_CH - Danone Arg. S.A. - Chascomus</v>
          </cell>
          <cell r="AY27" t="str">
            <v>ADA_CH - Danone Arg. S.A. - Chascomus</v>
          </cell>
          <cell r="AZ27" t="str">
            <v>ADA_CH - Danone Arg. S.A. - Chascomus</v>
          </cell>
          <cell r="BA27" t="str">
            <v>ADA_CH - Danone Arg. S.A. - Chascomus</v>
          </cell>
          <cell r="BB27" t="str">
            <v>ADA_CH - Danone Arg. S.A. - Chascomus</v>
          </cell>
          <cell r="BC27" t="str">
            <v>ADA_CH - Danone Arg. S.A. - Chascomus</v>
          </cell>
          <cell r="BD27" t="str">
            <v>ADA_CH - Danone Arg. S.A. - Chascomus</v>
          </cell>
          <cell r="BE27" t="str">
            <v>ADA_CH - Danone Arg. S.A. - Chascomus</v>
          </cell>
          <cell r="BF27" t="str">
            <v>ADA_CH - Danone Arg. S.A. - Chascomus</v>
          </cell>
          <cell r="BG27" t="str">
            <v>ADA_CH - Danone Arg. S.A. - Chascomus</v>
          </cell>
          <cell r="BH27" t="str">
            <v>ADA_CH - Danone Arg. S.A. - Chascomus</v>
          </cell>
          <cell r="BI27" t="str">
            <v>ADA_CH - Danone Arg. S.A. - Chascomus</v>
          </cell>
          <cell r="BJ27" t="str">
            <v>ADA_CH - Danone Arg. S.A. - Chascomus</v>
          </cell>
          <cell r="BK27" t="str">
            <v>ADA_CH - Danone Arg. S.A. - Chascomus</v>
          </cell>
          <cell r="BL27" t="str">
            <v>ADA_CH - Danone Arg. S.A. - Chascomus</v>
          </cell>
          <cell r="BM27" t="str">
            <v>ADA_CH - Danone Arg. S.A. - Chascomus</v>
          </cell>
          <cell r="BN27" t="str">
            <v>ADA_CH - Danone Arg. S.A. - Chascomus</v>
          </cell>
          <cell r="BO27" t="str">
            <v>ADA_CH - Danone Arg. S.A. - Chascomus</v>
          </cell>
          <cell r="BP27" t="str">
            <v>ADA_CH - Danone Arg. S.A. - Chascomus</v>
          </cell>
          <cell r="BQ27" t="str">
            <v>ADA_CH - Danone Arg. S.A. - Chascomus</v>
          </cell>
          <cell r="BR27" t="str">
            <v>ADA_CH - Danone Arg. S.A. - Chascomus</v>
          </cell>
          <cell r="BS27" t="str">
            <v>ADA_CH - Danone Arg. S.A. - Chascomus</v>
          </cell>
          <cell r="BT27" t="str">
            <v>ADA_CH - Danone Arg. S.A. - Chascomus</v>
          </cell>
          <cell r="BU27" t="str">
            <v>ADA_CH - Danone Arg. S.A. - Chascomus</v>
          </cell>
          <cell r="BV27" t="str">
            <v>ADA_CH - Danone Arg. S.A. - Chascomus</v>
          </cell>
          <cell r="BW27" t="str">
            <v>ADA_CH - Danone Arg. S.A. - Chascomus</v>
          </cell>
          <cell r="BX27" t="str">
            <v>ADA_CH - Danone Arg. S.A. - Chascomus</v>
          </cell>
          <cell r="BY27" t="str">
            <v>ADA_CH - Danone Arg. S.A. - Chascomus</v>
          </cell>
          <cell r="BZ27" t="str">
            <v>ADA_CH - Danone Arg. S.A. - Chascomus</v>
          </cell>
          <cell r="CA27" t="str">
            <v>ADA_CH - Danone Arg. S.A. - Chascomus</v>
          </cell>
          <cell r="CB27" t="str">
            <v>ADA_CH - Danone Arg. S.A. - Chascomus</v>
          </cell>
          <cell r="CC27" t="str">
            <v>ADA_CH - Danone Arg. S.A. - Chascomus</v>
          </cell>
          <cell r="CD27" t="str">
            <v>ADA_CH - Danone Arg. S.A. - Chascomus</v>
          </cell>
          <cell r="CE27" t="str">
            <v>ADA_CH - Danone Arg. S.A. - Chascomus</v>
          </cell>
          <cell r="CF27" t="str">
            <v>ADA_CH - Danone Arg. S.A. - Chascomus</v>
          </cell>
          <cell r="CG27" t="str">
            <v>ADA_CH - Danone Arg. S.A. - Chascomus</v>
          </cell>
          <cell r="CH27" t="str">
            <v>ADA_CH - Danone Arg. S.A. - Chascomus</v>
          </cell>
          <cell r="CI27" t="str">
            <v>ADA_CH - Danone Arg. S.A. - Chascomus</v>
          </cell>
          <cell r="CJ27" t="str">
            <v>ADA_CH - Danone Arg. S.A. - Chascomus</v>
          </cell>
          <cell r="CK27" t="str">
            <v>ADA_CH - Danone Arg. S.A. - Chascomus</v>
          </cell>
          <cell r="CL27" t="str">
            <v>ADA_CH - Danone Arg. S.A. - Chascomus</v>
          </cell>
          <cell r="CM27" t="str">
            <v>ADA_CH - Danone Arg. S.A. - Chascomus</v>
          </cell>
          <cell r="CN27" t="str">
            <v>ADA_CH - Danone Arg. S.A. - Chascomus</v>
          </cell>
          <cell r="CO27" t="str">
            <v>ADA_CH - Danone Arg. S.A. - Chascomus</v>
          </cell>
          <cell r="CP27" t="str">
            <v>ADA_CH - Danone Arg. S.A. - Chascomus</v>
          </cell>
          <cell r="CQ27" t="str">
            <v>ADA_CH - Danone Arg. S.A. - Chascomus</v>
          </cell>
          <cell r="CR27" t="str">
            <v>ADA_CH - Danone Arg. S.A. - Chascomus</v>
          </cell>
          <cell r="CS27" t="str">
            <v>ADA_CH - Danone Arg. S.A. - Chascomus</v>
          </cell>
          <cell r="CT27" t="str">
            <v>ADA_CH - Danone Arg. S.A. - Chascomus</v>
          </cell>
          <cell r="CU27" t="str">
            <v>ADA_CH - Danone Arg. S.A. - Chascomus</v>
          </cell>
          <cell r="CV27" t="str">
            <v>ADA_CH - Danone Arg. S.A. - Chascomus</v>
          </cell>
          <cell r="CW27" t="str">
            <v>ADA_CH - Danone Arg. S.A. - Chascomus</v>
          </cell>
        </row>
        <row r="28">
          <cell r="D28" t="str">
            <v>AD426IF</v>
          </cell>
          <cell r="E28" t="str">
            <v>Tractor</v>
          </cell>
          <cell r="F28" t="str">
            <v>Tractor</v>
          </cell>
          <cell r="G28" t="str">
            <v>Tractor</v>
          </cell>
          <cell r="N28" t="str">
            <v>DYLASA</v>
          </cell>
          <cell r="O28" t="str">
            <v>DYLASA</v>
          </cell>
          <cell r="P28" t="str">
            <v>No</v>
          </cell>
          <cell r="Q28" t="str">
            <v>Propio</v>
          </cell>
          <cell r="R28" t="str">
            <v>-</v>
          </cell>
          <cell r="S28" t="str">
            <v>Propio</v>
          </cell>
          <cell r="T28" t="str">
            <v>MERCEDES BENZ</v>
          </cell>
          <cell r="U28" t="str">
            <v>AXOR 2541 LS</v>
          </cell>
          <cell r="V28" t="str">
            <v>457910U1025999</v>
          </cell>
          <cell r="W28" t="str">
            <v>9BM958444KB100117</v>
          </cell>
          <cell r="X28">
            <v>2019</v>
          </cell>
          <cell r="Y28">
            <v>7</v>
          </cell>
          <cell r="Z28" t="str">
            <v>Danone Chascomus</v>
          </cell>
          <cell r="AA28" t="str">
            <v>ADA_CH - Danone Arg. S.A. - Chascomus</v>
          </cell>
          <cell r="AB28" t="str">
            <v>ADA_CH - Danone Arg. S.A. - Chascomus</v>
          </cell>
          <cell r="AC28" t="str">
            <v>ADA_CH - Danone Arg. S.A. - Chascomus</v>
          </cell>
          <cell r="AD28" t="str">
            <v>ADA_CH - Danone Arg. S.A. - Chascomus</v>
          </cell>
          <cell r="AE28" t="str">
            <v>ADA_CH - Danone Arg. S.A. - Chascomus</v>
          </cell>
          <cell r="AF28" t="str">
            <v>ADA_CH - Danone Arg. S.A. - Chascomus</v>
          </cell>
          <cell r="AG28" t="str">
            <v>ADA_CH - Danone Arg. S.A. - Chascomus</v>
          </cell>
          <cell r="AH28" t="str">
            <v>ADA_CH - Danone Arg. S.A. - Chascomus</v>
          </cell>
          <cell r="AI28" t="str">
            <v>ADA_CH - Danone Arg. S.A. - Chascomus</v>
          </cell>
          <cell r="AJ28" t="str">
            <v>ADA_CH - Danone Arg. S.A. - Chascomus</v>
          </cell>
          <cell r="AK28" t="str">
            <v>ADA_CH - Danone Arg. S.A. - Chascomus</v>
          </cell>
          <cell r="AL28" t="str">
            <v>ADA_CH - Danone Arg. S.A. - Chascomus</v>
          </cell>
          <cell r="AM28" t="str">
            <v>ADA_CH - Danone Arg. S.A. - Chascomus</v>
          </cell>
          <cell r="AN28" t="str">
            <v>ADA_CH - Danone Arg. S.A. - Chascomus</v>
          </cell>
          <cell r="AO28" t="str">
            <v>ADA_CH - Danone Arg. S.A. - Chascomus</v>
          </cell>
          <cell r="AP28" t="str">
            <v>ADA_CH - Danone Arg. S.A. - Chascomus</v>
          </cell>
          <cell r="AQ28" t="str">
            <v>ADA_CH - Danone Arg. S.A. - Chascomus</v>
          </cell>
          <cell r="AR28" t="str">
            <v>ADA_CH - Danone Arg. S.A. - Chascomus</v>
          </cell>
          <cell r="AS28" t="str">
            <v>ADA_CH - Danone Arg. S.A. - Chascomus</v>
          </cell>
          <cell r="AT28" t="str">
            <v>ADA_CH - Danone Arg. S.A. - Chascomus</v>
          </cell>
          <cell r="AU28" t="str">
            <v>ADA_CH - Danone Arg. S.A. - Chascomus</v>
          </cell>
          <cell r="AV28" t="str">
            <v>ADA_CH - Danone Arg. S.A. - Chascomus</v>
          </cell>
          <cell r="AW28" t="str">
            <v>ADA_CH - Danone Arg. S.A. - Chascomus</v>
          </cell>
          <cell r="AX28" t="str">
            <v>ADA_CH - Danone Arg. S.A. - Chascomus</v>
          </cell>
          <cell r="AY28" t="str">
            <v>ADA_CH - Danone Arg. S.A. - Chascomus</v>
          </cell>
          <cell r="AZ28" t="str">
            <v>ADA_CH - Danone Arg. S.A. - Chascomus</v>
          </cell>
          <cell r="BA28" t="str">
            <v>ADA_CH - Danone Arg. S.A. - Chascomus</v>
          </cell>
          <cell r="BB28" t="str">
            <v>ADA_CH - Danone Arg. S.A. - Chascomus</v>
          </cell>
          <cell r="BC28" t="str">
            <v>ADA_CH - Danone Arg. S.A. - Chascomus</v>
          </cell>
          <cell r="BD28" t="str">
            <v>ADA_CH - Danone Arg. S.A. - Chascomus</v>
          </cell>
          <cell r="BE28" t="str">
            <v>ADA_CH - Danone Arg. S.A. - Chascomus</v>
          </cell>
          <cell r="BF28" t="str">
            <v>ADA_CH - Danone Arg. S.A. - Chascomus</v>
          </cell>
          <cell r="BG28" t="str">
            <v>ADA_CH - Danone Arg. S.A. - Chascomus</v>
          </cell>
          <cell r="BH28" t="str">
            <v>ADA_CH - Danone Arg. S.A. - Chascomus</v>
          </cell>
          <cell r="BI28" t="str">
            <v>ADA_CH - Danone Arg. S.A. - Chascomus</v>
          </cell>
          <cell r="BJ28" t="str">
            <v>ADA_CH - Danone Arg. S.A. - Chascomus</v>
          </cell>
          <cell r="BK28" t="str">
            <v>ADA_CH - Danone Arg. S.A. - Chascomus</v>
          </cell>
          <cell r="BL28" t="str">
            <v>ADA_CH - Danone Arg. S.A. - Chascomus</v>
          </cell>
          <cell r="BM28" t="str">
            <v>ADA_CH - Danone Arg. S.A. - Chascomus</v>
          </cell>
          <cell r="BN28" t="str">
            <v>ADA_CH - Danone Arg. S.A. - Chascomus</v>
          </cell>
          <cell r="BO28" t="str">
            <v>ADA_CH - Danone Arg. S.A. - Chascomus</v>
          </cell>
          <cell r="BP28" t="str">
            <v>ADA_CH - Danone Arg. S.A. - Chascomus</v>
          </cell>
          <cell r="BQ28" t="str">
            <v>ADA_CH - Danone Arg. S.A. - Chascomus</v>
          </cell>
          <cell r="BR28" t="str">
            <v>ADA_CH - Danone Arg. S.A. - Chascomus</v>
          </cell>
          <cell r="BS28" t="str">
            <v>ADA_CH - Danone Arg. S.A. - Chascomus</v>
          </cell>
          <cell r="BT28" t="str">
            <v>ADA_CH - Danone Arg. S.A. - Chascomus</v>
          </cell>
          <cell r="BU28" t="str">
            <v>ADA_CH - Danone Arg. S.A. - Chascomus</v>
          </cell>
          <cell r="BV28" t="str">
            <v>ADA_CH - Danone Arg. S.A. - Chascomus</v>
          </cell>
          <cell r="BW28" t="str">
            <v>ADA_CH - Danone Arg. S.A. - Chascomus</v>
          </cell>
          <cell r="BX28" t="str">
            <v>ADA_CH - Danone Arg. S.A. - Chascomus</v>
          </cell>
          <cell r="BY28" t="str">
            <v>ADA_CH - Danone Arg. S.A. - Chascomus</v>
          </cell>
          <cell r="BZ28" t="str">
            <v>ADA_CH - Danone Arg. S.A. - Chascomus</v>
          </cell>
          <cell r="CA28" t="str">
            <v>ADA_CH - Danone Arg. S.A. - Chascomus</v>
          </cell>
          <cell r="CB28" t="str">
            <v>ADA_CH - Danone Arg. S.A. - Chascomus</v>
          </cell>
          <cell r="CC28" t="str">
            <v>ADA_CH - Danone Arg. S.A. - Chascomus</v>
          </cell>
          <cell r="CD28" t="str">
            <v>ADA_CH - Danone Arg. S.A. - Chascomus</v>
          </cell>
          <cell r="CE28" t="str">
            <v>ADA_CH - Danone Arg. S.A. - Chascomus</v>
          </cell>
          <cell r="CF28" t="str">
            <v>ADA_CH - Danone Arg. S.A. - Chascomus</v>
          </cell>
          <cell r="CG28" t="str">
            <v>ADA_CH - Danone Arg. S.A. - Chascomus</v>
          </cell>
          <cell r="CH28" t="str">
            <v>ADA_CH - Danone Arg. S.A. - Chascomus</v>
          </cell>
          <cell r="CI28" t="str">
            <v>ADA_CH - Danone Arg. S.A. - Chascomus</v>
          </cell>
          <cell r="CJ28" t="str">
            <v>ADA_CH - Danone Arg. S.A. - Chascomus</v>
          </cell>
          <cell r="CK28" t="str">
            <v>ADA_CH - Danone Arg. S.A. - Chascomus</v>
          </cell>
          <cell r="CL28" t="str">
            <v>ADA_CH - Danone Arg. S.A. - Chascomus</v>
          </cell>
          <cell r="CM28" t="str">
            <v>ADA_CH - Danone Arg. S.A. - Chascomus</v>
          </cell>
          <cell r="CN28" t="str">
            <v>ADA_CH - Danone Arg. S.A. - Chascomus</v>
          </cell>
          <cell r="CO28" t="str">
            <v>ADA_CH - Danone Arg. S.A. - Chascomus</v>
          </cell>
          <cell r="CP28" t="str">
            <v>ADA_CH - Danone Arg. S.A. - Chascomus</v>
          </cell>
          <cell r="CQ28" t="str">
            <v>ADA_CH - Danone Arg. S.A. - Chascomus</v>
          </cell>
          <cell r="CR28" t="str">
            <v>ADA_CH - Danone Arg. S.A. - Chascomus</v>
          </cell>
          <cell r="CS28" t="str">
            <v>ADA_CH - Danone Arg. S.A. - Chascomus</v>
          </cell>
          <cell r="CT28" t="str">
            <v>ADA_CH - Danone Arg. S.A. - Chascomus</v>
          </cell>
          <cell r="CU28" t="str">
            <v>ADA_CH - Danone Arg. S.A. - Chascomus</v>
          </cell>
          <cell r="CV28" t="str">
            <v>ADA_CH - Danone Arg. S.A. - Chascomus</v>
          </cell>
          <cell r="CW28" t="str">
            <v>ADA_CH - Danone Arg. S.A. - Chascomus</v>
          </cell>
        </row>
        <row r="29">
          <cell r="D29" t="str">
            <v>AD426IH</v>
          </cell>
          <cell r="E29" t="str">
            <v>Tractor</v>
          </cell>
          <cell r="F29" t="str">
            <v>Tractor</v>
          </cell>
          <cell r="G29" t="str">
            <v>Tractor</v>
          </cell>
          <cell r="N29" t="str">
            <v>DYLASA</v>
          </cell>
          <cell r="O29" t="str">
            <v>DYLASA</v>
          </cell>
          <cell r="P29" t="str">
            <v>No</v>
          </cell>
          <cell r="Q29" t="str">
            <v>Propio</v>
          </cell>
          <cell r="R29" t="str">
            <v>-</v>
          </cell>
          <cell r="S29" t="str">
            <v>Propio</v>
          </cell>
          <cell r="T29" t="str">
            <v>MERCEDES BENZ</v>
          </cell>
          <cell r="U29" t="str">
            <v>AXOR 2541 LS</v>
          </cell>
          <cell r="V29" t="str">
            <v>457910U1025936</v>
          </cell>
          <cell r="W29" t="str">
            <v>9BM958444KB100025</v>
          </cell>
          <cell r="X29">
            <v>2019</v>
          </cell>
          <cell r="Y29">
            <v>7</v>
          </cell>
          <cell r="Z29" t="str">
            <v>Danone Chascomus</v>
          </cell>
          <cell r="AA29" t="str">
            <v>ADA_CH - Danone Arg. S.A. - Chascomus</v>
          </cell>
          <cell r="AB29" t="str">
            <v>ADA_CH - Danone Arg. S.A. - Chascomus</v>
          </cell>
          <cell r="AC29" t="str">
            <v>ADA_CH - Danone Arg. S.A. - Chascomus</v>
          </cell>
          <cell r="AD29" t="str">
            <v>ADA_CH - Danone Arg. S.A. - Chascomus</v>
          </cell>
          <cell r="AE29" t="str">
            <v>ADA_CH - Danone Arg. S.A. - Chascomus</v>
          </cell>
          <cell r="AF29" t="str">
            <v>ADA_CH - Danone Arg. S.A. - Chascomus</v>
          </cell>
          <cell r="AG29" t="str">
            <v>ADA_CH - Danone Arg. S.A. - Chascomus</v>
          </cell>
          <cell r="AH29" t="str">
            <v>ADA_CH - Danone Arg. S.A. - Chascomus</v>
          </cell>
          <cell r="AI29" t="str">
            <v>ADA_CH - Danone Arg. S.A. - Chascomus</v>
          </cell>
          <cell r="AJ29" t="str">
            <v>ADA_CH - Danone Arg. S.A. - Chascomus</v>
          </cell>
          <cell r="AK29" t="str">
            <v>ADA_CH - Danone Arg. S.A. - Chascomus</v>
          </cell>
          <cell r="AL29" t="str">
            <v>ADA_CH - Danone Arg. S.A. - Chascomus</v>
          </cell>
          <cell r="AM29" t="str">
            <v>ADA_CH - Danone Arg. S.A. - Chascomus</v>
          </cell>
          <cell r="AN29" t="str">
            <v>ADA_CH - Danone Arg. S.A. - Chascomus</v>
          </cell>
          <cell r="AO29" t="str">
            <v>ADA_CH - Danone Arg. S.A. - Chascomus</v>
          </cell>
          <cell r="AP29" t="str">
            <v>ADA_CH - Danone Arg. S.A. - Chascomus</v>
          </cell>
          <cell r="AQ29" t="str">
            <v>ADA_CH - Danone Arg. S.A. - Chascomus</v>
          </cell>
          <cell r="AR29" t="str">
            <v>ADA_CH - Danone Arg. S.A. - Chascomus</v>
          </cell>
          <cell r="AS29" t="str">
            <v>ADA_CH - Danone Arg. S.A. - Chascomus</v>
          </cell>
          <cell r="AT29" t="str">
            <v>ADA_CH - Danone Arg. S.A. - Chascomus</v>
          </cell>
          <cell r="AU29" t="str">
            <v>ADA_CH - Danone Arg. S.A. - Chascomus</v>
          </cell>
          <cell r="AV29" t="str">
            <v>ADA_CH - Danone Arg. S.A. - Chascomus</v>
          </cell>
          <cell r="AW29" t="str">
            <v>ADA_CH - Danone Arg. S.A. - Chascomus</v>
          </cell>
          <cell r="AX29" t="str">
            <v>ADA_CH - Danone Arg. S.A. - Chascomus</v>
          </cell>
          <cell r="AY29" t="str">
            <v>ADA_CH - Danone Arg. S.A. - Chascomus</v>
          </cell>
          <cell r="AZ29" t="str">
            <v>ADA_CH - Danone Arg. S.A. - Chascomus</v>
          </cell>
          <cell r="BA29" t="str">
            <v>ADA_CH - Danone Arg. S.A. - Chascomus</v>
          </cell>
          <cell r="BB29" t="str">
            <v>ADA_CH - Danone Arg. S.A. - Chascomus</v>
          </cell>
          <cell r="BC29" t="str">
            <v>ADA_CH - Danone Arg. S.A. - Chascomus</v>
          </cell>
          <cell r="BD29" t="str">
            <v>ADA_CH - Danone Arg. S.A. - Chascomus</v>
          </cell>
          <cell r="BE29" t="str">
            <v>ADA_CH - Danone Arg. S.A. - Chascomus</v>
          </cell>
          <cell r="BF29" t="str">
            <v>ADA_CH - Danone Arg. S.A. - Chascomus</v>
          </cell>
          <cell r="BG29" t="str">
            <v>ADA_CH - Danone Arg. S.A. - Chascomus</v>
          </cell>
          <cell r="BH29" t="str">
            <v>ADA_CH - Danone Arg. S.A. - Chascomus</v>
          </cell>
          <cell r="BI29" t="str">
            <v>ADA_CH - Danone Arg. S.A. - Chascomus</v>
          </cell>
          <cell r="BJ29" t="str">
            <v>ADA_CH - Danone Arg. S.A. - Chascomus</v>
          </cell>
          <cell r="BK29" t="str">
            <v>ADA_CH - Danone Arg. S.A. - Chascomus</v>
          </cell>
          <cell r="BL29" t="str">
            <v>ADA_CH - Danone Arg. S.A. - Chascomus</v>
          </cell>
          <cell r="BM29" t="str">
            <v>ADA_CH - Danone Arg. S.A. - Chascomus</v>
          </cell>
          <cell r="BN29" t="str">
            <v>ADA_CH - Danone Arg. S.A. - Chascomus</v>
          </cell>
          <cell r="BO29" t="str">
            <v>ADA_CH - Danone Arg. S.A. - Chascomus</v>
          </cell>
          <cell r="BP29" t="str">
            <v>ADA_CH - Danone Arg. S.A. - Chascomus</v>
          </cell>
          <cell r="BQ29" t="str">
            <v>ADA_CH - Danone Arg. S.A. - Chascomus</v>
          </cell>
          <cell r="BR29" t="str">
            <v>ADA_CH - Danone Arg. S.A. - Chascomus</v>
          </cell>
          <cell r="BS29" t="str">
            <v>ADA_CH - Danone Arg. S.A. - Chascomus</v>
          </cell>
          <cell r="BT29" t="str">
            <v>ADA_CH - Danone Arg. S.A. - Chascomus</v>
          </cell>
          <cell r="BU29" t="str">
            <v>ADA_CH - Danone Arg. S.A. - Chascomus</v>
          </cell>
          <cell r="BV29" t="str">
            <v>ADA_CH - Danone Arg. S.A. - Chascomus</v>
          </cell>
          <cell r="BW29" t="str">
            <v>ADA_CH - Danone Arg. S.A. - Chascomus</v>
          </cell>
          <cell r="BX29" t="str">
            <v>ADA_CH - Danone Arg. S.A. - Chascomus</v>
          </cell>
          <cell r="BY29" t="str">
            <v>ADA_CH - Danone Arg. S.A. - Chascomus</v>
          </cell>
          <cell r="BZ29" t="str">
            <v>ADA_CH - Danone Arg. S.A. - Chascomus</v>
          </cell>
          <cell r="CA29" t="str">
            <v>ADA_CH - Danone Arg. S.A. - Chascomus</v>
          </cell>
          <cell r="CB29" t="str">
            <v>ADA_CH - Danone Arg. S.A. - Chascomus</v>
          </cell>
          <cell r="CC29" t="str">
            <v>ADA_CH - Danone Arg. S.A. - Chascomus</v>
          </cell>
          <cell r="CD29" t="str">
            <v>ADA_CH - Danone Arg. S.A. - Chascomus</v>
          </cell>
          <cell r="CE29" t="str">
            <v>ADA_CH - Danone Arg. S.A. - Chascomus</v>
          </cell>
          <cell r="CF29" t="str">
            <v>ADA_CH - Danone Arg. S.A. - Chascomus</v>
          </cell>
          <cell r="CG29" t="str">
            <v>ADA_CH - Danone Arg. S.A. - Chascomus</v>
          </cell>
          <cell r="CH29" t="str">
            <v>ADA_CH - Danone Arg. S.A. - Chascomus</v>
          </cell>
          <cell r="CI29" t="str">
            <v>ADA_CH - Danone Arg. S.A. - Chascomus</v>
          </cell>
          <cell r="CJ29" t="str">
            <v>ADA_CH - Danone Arg. S.A. - Chascomus</v>
          </cell>
          <cell r="CK29" t="str">
            <v>ADA_CH - Danone Arg. S.A. - Chascomus</v>
          </cell>
          <cell r="CL29" t="str">
            <v>ADA_CH - Danone Arg. S.A. - Chascomus</v>
          </cell>
          <cell r="CM29" t="str">
            <v>ADA_CH - Danone Arg. S.A. - Chascomus</v>
          </cell>
          <cell r="CN29" t="str">
            <v>ADA_CH - Danone Arg. S.A. - Chascomus</v>
          </cell>
          <cell r="CO29" t="str">
            <v>ADA_CH - Danone Arg. S.A. - Chascomus</v>
          </cell>
          <cell r="CP29" t="str">
            <v>ADA_CH - Danone Arg. S.A. - Chascomus</v>
          </cell>
          <cell r="CQ29" t="str">
            <v>ADA_CH - Danone Arg. S.A. - Chascomus</v>
          </cell>
          <cell r="CR29" t="str">
            <v>ADA_CH - Danone Arg. S.A. - Chascomus</v>
          </cell>
          <cell r="CS29" t="str">
            <v>ADA_CH - Danone Arg. S.A. - Chascomus</v>
          </cell>
          <cell r="CT29" t="str">
            <v>ADA_CH - Danone Arg. S.A. - Chascomus</v>
          </cell>
          <cell r="CU29" t="str">
            <v>ADA_CH - Danone Arg. S.A. - Chascomus</v>
          </cell>
          <cell r="CV29" t="str">
            <v>ADA_CH - Danone Arg. S.A. - Chascomus</v>
          </cell>
          <cell r="CW29" t="str">
            <v>ADA_CH - Danone Arg. S.A. - Chascomus</v>
          </cell>
        </row>
        <row r="30">
          <cell r="D30" t="str">
            <v>AD426II</v>
          </cell>
          <cell r="E30" t="str">
            <v>Tractor</v>
          </cell>
          <cell r="F30" t="str">
            <v>Tractor</v>
          </cell>
          <cell r="G30" t="str">
            <v>Tractor</v>
          </cell>
          <cell r="N30" t="str">
            <v>DYLASA</v>
          </cell>
          <cell r="O30" t="str">
            <v>DYLASA</v>
          </cell>
          <cell r="P30" t="str">
            <v>No</v>
          </cell>
          <cell r="Q30" t="str">
            <v>Propio</v>
          </cell>
          <cell r="R30" t="str">
            <v>-</v>
          </cell>
          <cell r="S30" t="str">
            <v>Propio</v>
          </cell>
          <cell r="T30" t="str">
            <v>MERCEDES BENZ</v>
          </cell>
          <cell r="U30" t="str">
            <v>AXOR 2541 LS</v>
          </cell>
          <cell r="V30" t="str">
            <v>457910U1025266</v>
          </cell>
          <cell r="W30" t="str">
            <v>9BM958444KB098314</v>
          </cell>
          <cell r="X30">
            <v>2019</v>
          </cell>
          <cell r="Y30">
            <v>7</v>
          </cell>
          <cell r="Z30" t="str">
            <v>Danone Chascomus</v>
          </cell>
          <cell r="AA30" t="str">
            <v>ADA_CH - Danone Arg. S.A. - Chascomus</v>
          </cell>
          <cell r="AB30" t="str">
            <v>ADA_CH - Danone Arg. S.A. - Chascomus</v>
          </cell>
          <cell r="AC30" t="str">
            <v>ADA_CH - Danone Arg. S.A. - Chascomus</v>
          </cell>
          <cell r="AD30" t="str">
            <v>ADA_CH - Danone Arg. S.A. - Chascomus</v>
          </cell>
          <cell r="AE30" t="str">
            <v>ADA_CH - Danone Arg. S.A. - Chascomus</v>
          </cell>
          <cell r="AF30" t="str">
            <v>ADA_CH - Danone Arg. S.A. - Chascomus</v>
          </cell>
          <cell r="AG30" t="str">
            <v>ADA_CH - Danone Arg. S.A. - Chascomus</v>
          </cell>
          <cell r="AH30" t="str">
            <v>ADA_CH - Danone Arg. S.A. - Chascomus</v>
          </cell>
          <cell r="AI30" t="str">
            <v>ADA_CH - Danone Arg. S.A. - Chascomus</v>
          </cell>
          <cell r="AJ30" t="str">
            <v>ADA_CH - Danone Arg. S.A. - Chascomus</v>
          </cell>
          <cell r="AK30" t="str">
            <v>ADA_CH - Danone Arg. S.A. - Chascomus</v>
          </cell>
          <cell r="AL30" t="str">
            <v>ADA_CH - Danone Arg. S.A. - Chascomus</v>
          </cell>
          <cell r="AM30" t="str">
            <v>ADA_CH - Danone Arg. S.A. - Chascomus</v>
          </cell>
          <cell r="AN30" t="str">
            <v>ADA_CH - Danone Arg. S.A. - Chascomus</v>
          </cell>
          <cell r="AO30" t="str">
            <v>ADA_CH - Danone Arg. S.A. - Chascomus</v>
          </cell>
          <cell r="AP30" t="str">
            <v>ADA_CH - Danone Arg. S.A. - Chascomus</v>
          </cell>
          <cell r="AQ30" t="str">
            <v>ADA_CH - Danone Arg. S.A. - Chascomus</v>
          </cell>
          <cell r="AR30" t="str">
            <v>ADA_CH - Danone Arg. S.A. - Chascomus</v>
          </cell>
          <cell r="AS30" t="str">
            <v>ADA_CH - Danone Arg. S.A. - Chascomus</v>
          </cell>
          <cell r="AT30" t="str">
            <v>ADA_CH - Danone Arg. S.A. - Chascomus</v>
          </cell>
          <cell r="AU30" t="str">
            <v>ADA_CH - Danone Arg. S.A. - Chascomus</v>
          </cell>
          <cell r="AV30" t="str">
            <v>ADA_CH - Danone Arg. S.A. - Chascomus</v>
          </cell>
          <cell r="AW30" t="str">
            <v>ADA_CH - Danone Arg. S.A. - Chascomus</v>
          </cell>
          <cell r="AX30" t="str">
            <v>INACTIVO</v>
          </cell>
          <cell r="AY30" t="str">
            <v>INACTIVO</v>
          </cell>
          <cell r="AZ30" t="str">
            <v>INACTIVO</v>
          </cell>
          <cell r="BA30" t="str">
            <v>INACTIVO</v>
          </cell>
          <cell r="BB30" t="str">
            <v>INACTIVO</v>
          </cell>
          <cell r="BC30" t="str">
            <v>INACTIVO</v>
          </cell>
          <cell r="BD30" t="str">
            <v>ADA_CH - Danone Arg. S.A. - Chascomus</v>
          </cell>
          <cell r="BE30" t="str">
            <v>ADA_CH - Danone Arg. S.A. - Chascomus</v>
          </cell>
          <cell r="BF30" t="str">
            <v>ADA_CH - Danone Arg. S.A. - Chascomus</v>
          </cell>
          <cell r="BG30" t="str">
            <v>ADA_CH - Danone Arg. S.A. - Chascomus</v>
          </cell>
          <cell r="BH30" t="str">
            <v>ADA_CH - Danone Arg. S.A. - Chascomus</v>
          </cell>
          <cell r="BI30" t="str">
            <v>ADA_CH - Danone Arg. S.A. - Chascomus</v>
          </cell>
          <cell r="BJ30" t="str">
            <v>ADA_CH - Danone Arg. S.A. - Chascomus</v>
          </cell>
          <cell r="BK30" t="str">
            <v>ADA_CH - Danone Arg. S.A. - Chascomus</v>
          </cell>
          <cell r="BL30" t="str">
            <v>ADA_CH - Danone Arg. S.A. - Chascomus</v>
          </cell>
          <cell r="BM30" t="str">
            <v>INACTIVO</v>
          </cell>
          <cell r="BN30" t="str">
            <v>INACTIVO</v>
          </cell>
          <cell r="BO30" t="str">
            <v>INACTIVO</v>
          </cell>
          <cell r="BP30" t="str">
            <v>INACTIVO</v>
          </cell>
          <cell r="BQ30" t="str">
            <v>INACTIVO</v>
          </cell>
          <cell r="BR30" t="str">
            <v>INACTIVO</v>
          </cell>
          <cell r="BS30" t="str">
            <v>INACTIVO</v>
          </cell>
          <cell r="BT30" t="str">
            <v>INACTIVO</v>
          </cell>
          <cell r="BU30" t="str">
            <v>INACTIVO</v>
          </cell>
          <cell r="BV30" t="str">
            <v>INACTIVO</v>
          </cell>
          <cell r="BW30" t="str">
            <v>BAJA</v>
          </cell>
          <cell r="BX30" t="str">
            <v>BAJA</v>
          </cell>
          <cell r="BY30" t="str">
            <v>BAJA</v>
          </cell>
          <cell r="BZ30" t="str">
            <v>BAJA</v>
          </cell>
          <cell r="CA30" t="str">
            <v>BAJA</v>
          </cell>
          <cell r="CB30" t="str">
            <v>BAJA</v>
          </cell>
          <cell r="CC30" t="str">
            <v>BAJA</v>
          </cell>
          <cell r="CD30" t="str">
            <v>BAJA</v>
          </cell>
          <cell r="CE30" t="str">
            <v>BAJA</v>
          </cell>
          <cell r="CF30" t="str">
            <v>BAJA</v>
          </cell>
          <cell r="CG30" t="str">
            <v>BAJA</v>
          </cell>
          <cell r="CH30" t="str">
            <v>BAJA</v>
          </cell>
          <cell r="CI30" t="str">
            <v>BAJA</v>
          </cell>
          <cell r="CJ30" t="str">
            <v>BAJA</v>
          </cell>
          <cell r="CK30" t="str">
            <v>BAJA</v>
          </cell>
          <cell r="CL30" t="str">
            <v>BAJA</v>
          </cell>
          <cell r="CM30" t="str">
            <v>BAJA</v>
          </cell>
          <cell r="CN30" t="str">
            <v>BAJA</v>
          </cell>
          <cell r="CO30" t="str">
            <v>BAJA</v>
          </cell>
          <cell r="CP30" t="str">
            <v>BAJA</v>
          </cell>
          <cell r="CQ30" t="str">
            <v>BAJA</v>
          </cell>
          <cell r="CR30" t="str">
            <v>BAJA</v>
          </cell>
          <cell r="CS30" t="str">
            <v>BAJA</v>
          </cell>
          <cell r="CT30" t="str">
            <v>BAJA</v>
          </cell>
          <cell r="CU30" t="str">
            <v>BAJA</v>
          </cell>
          <cell r="CV30" t="str">
            <v>BAJA</v>
          </cell>
          <cell r="CW30" t="str">
            <v>BAJA</v>
          </cell>
        </row>
        <row r="31">
          <cell r="D31" t="str">
            <v>AD426IJ</v>
          </cell>
          <cell r="E31" t="str">
            <v>Tractor</v>
          </cell>
          <cell r="F31" t="str">
            <v>Tractor</v>
          </cell>
          <cell r="G31" t="str">
            <v>Tractor</v>
          </cell>
          <cell r="N31" t="str">
            <v>DYLASA</v>
          </cell>
          <cell r="O31" t="str">
            <v>DYLASA</v>
          </cell>
          <cell r="P31" t="str">
            <v>No</v>
          </cell>
          <cell r="Q31" t="str">
            <v>Propio</v>
          </cell>
          <cell r="R31" t="str">
            <v>-</v>
          </cell>
          <cell r="S31" t="str">
            <v>Propio</v>
          </cell>
          <cell r="T31" t="str">
            <v>MERCEDES BENZ</v>
          </cell>
          <cell r="U31" t="str">
            <v>AXOR 2541 LS</v>
          </cell>
          <cell r="V31" t="str">
            <v>457910U1025349</v>
          </cell>
          <cell r="W31" t="str">
            <v>9BM958444KB098410</v>
          </cell>
          <cell r="X31">
            <v>2019</v>
          </cell>
          <cell r="Y31">
            <v>7</v>
          </cell>
          <cell r="Z31" t="str">
            <v>Danone Chascomus</v>
          </cell>
          <cell r="AA31" t="str">
            <v>ADA_CH - Danone Arg. S.A. - Chascomus</v>
          </cell>
          <cell r="AB31" t="str">
            <v>ADA_CH - Danone Arg. S.A. - Chascomus</v>
          </cell>
          <cell r="AC31" t="str">
            <v>ADA_CH - Danone Arg. S.A. - Chascomus</v>
          </cell>
          <cell r="AD31" t="str">
            <v>ADA_CH - Danone Arg. S.A. - Chascomus</v>
          </cell>
          <cell r="AE31" t="str">
            <v>ADA_CH - Danone Arg. S.A. - Chascomus</v>
          </cell>
          <cell r="AF31" t="str">
            <v>ADA_CH - Danone Arg. S.A. - Chascomus</v>
          </cell>
          <cell r="AG31" t="str">
            <v>ADA_CH - Danone Arg. S.A. - Chascomus</v>
          </cell>
          <cell r="AH31" t="str">
            <v>ADA_CH - Danone Arg. S.A. - Chascomus</v>
          </cell>
          <cell r="AI31" t="str">
            <v>ADA_CH - Danone Arg. S.A. - Chascomus</v>
          </cell>
          <cell r="AJ31" t="str">
            <v>ADA_CH - Danone Arg. S.A. - Chascomus</v>
          </cell>
          <cell r="AK31" t="str">
            <v>ADA_CH - Danone Arg. S.A. - Chascomus</v>
          </cell>
          <cell r="AL31" t="str">
            <v>ADA_CH - Danone Arg. S.A. - Chascomus</v>
          </cell>
          <cell r="AM31" t="str">
            <v>ADA_CH - Danone Arg. S.A. - Chascomus</v>
          </cell>
          <cell r="AN31" t="str">
            <v>ADA_CH - Danone Arg. S.A. - Chascomus</v>
          </cell>
          <cell r="AO31" t="str">
            <v>ADA_CH - Danone Arg. S.A. - Chascomus</v>
          </cell>
          <cell r="AP31" t="str">
            <v>ADA_CH - Danone Arg. S.A. - Chascomus</v>
          </cell>
          <cell r="AQ31" t="str">
            <v>ADA_CH - Danone Arg. S.A. - Chascomus</v>
          </cell>
          <cell r="AR31" t="str">
            <v>ADA_CH - Danone Arg. S.A. - Chascomus</v>
          </cell>
          <cell r="AS31" t="str">
            <v>ADA_CH - Danone Arg. S.A. - Chascomus</v>
          </cell>
          <cell r="AT31" t="str">
            <v>ADA_CH - Danone Arg. S.A. - Chascomus</v>
          </cell>
          <cell r="AU31" t="str">
            <v>ADA_CH - Danone Arg. S.A. - Chascomus</v>
          </cell>
          <cell r="AV31" t="str">
            <v>ADA_CH - Danone Arg. S.A. - Chascomus</v>
          </cell>
          <cell r="AW31" t="str">
            <v>ADA_CH - Danone Arg. S.A. - Chascomus</v>
          </cell>
          <cell r="AX31" t="str">
            <v>ADA_CH - Danone Arg. S.A. - Chascomus</v>
          </cell>
          <cell r="AY31" t="str">
            <v>ADA_CH - Danone Arg. S.A. - Chascomus</v>
          </cell>
          <cell r="AZ31" t="str">
            <v>ADA_CH - Danone Arg. S.A. - Chascomus</v>
          </cell>
          <cell r="BA31" t="str">
            <v>ADA_CH - Danone Arg. S.A. - Chascomus</v>
          </cell>
          <cell r="BB31" t="str">
            <v>ADA_CH - Danone Arg. S.A. - Chascomus</v>
          </cell>
          <cell r="BC31" t="str">
            <v>ADA_CH - Danone Arg. S.A. - Chascomus</v>
          </cell>
          <cell r="BD31" t="str">
            <v>ADA_CH - Danone Arg. S.A. - Chascomus</v>
          </cell>
          <cell r="BE31" t="str">
            <v>ADA_CH - Danone Arg. S.A. - Chascomus</v>
          </cell>
          <cell r="BF31" t="str">
            <v>ADA_CH - Danone Arg. S.A. - Chascomus</v>
          </cell>
          <cell r="BG31" t="str">
            <v>ADA_CH - Danone Arg. S.A. - Chascomus</v>
          </cell>
          <cell r="BH31" t="str">
            <v>ADA_CH - Danone Arg. S.A. - Chascomus</v>
          </cell>
          <cell r="BI31" t="str">
            <v>ADA_CH - Danone Arg. S.A. - Chascomus</v>
          </cell>
          <cell r="BJ31" t="str">
            <v>ADA_CH - Danone Arg. S.A. - Chascomus</v>
          </cell>
          <cell r="BK31" t="str">
            <v>ADA_CH - Danone Arg. S.A. - Chascomus</v>
          </cell>
          <cell r="BL31" t="str">
            <v>ADA_CH - Danone Arg. S.A. - Chascomus</v>
          </cell>
          <cell r="BM31" t="str">
            <v>ADA_CH - Danone Arg. S.A. - Chascomus</v>
          </cell>
          <cell r="BN31" t="str">
            <v>ADA_CH - Danone Arg. S.A. - Chascomus</v>
          </cell>
          <cell r="BO31" t="str">
            <v>ADA_CH - Danone Arg. S.A. - Chascomus</v>
          </cell>
          <cell r="BP31" t="str">
            <v>ADA_CH - Danone Arg. S.A. - Chascomus</v>
          </cell>
          <cell r="BQ31" t="str">
            <v>ADA_CH - Danone Arg. S.A. - Chascomus</v>
          </cell>
          <cell r="BR31" t="str">
            <v>ADA_CH - Danone Arg. S.A. - Chascomus</v>
          </cell>
          <cell r="BS31" t="str">
            <v>ADA_CH - Danone Arg. S.A. - Chascomus</v>
          </cell>
          <cell r="BT31" t="str">
            <v>ADA_CH - Danone Arg. S.A. - Chascomus</v>
          </cell>
          <cell r="BU31" t="str">
            <v>ADA_CH - Danone Arg. S.A. - Chascomus</v>
          </cell>
          <cell r="BV31" t="str">
            <v>ADA_CH - Danone Arg. S.A. - Chascomus</v>
          </cell>
          <cell r="BW31" t="str">
            <v>ADA_CH - Danone Arg. S.A. - Chascomus</v>
          </cell>
          <cell r="BX31" t="str">
            <v>ADA_CH - Danone Arg. S.A. - Chascomus</v>
          </cell>
          <cell r="BY31" t="str">
            <v>ADA_CH - Danone Arg. S.A. - Chascomus</v>
          </cell>
          <cell r="BZ31" t="str">
            <v>ADA_CH - Danone Arg. S.A. - Chascomus</v>
          </cell>
          <cell r="CA31" t="str">
            <v>ADA_CH - Danone Arg. S.A. - Chascomus</v>
          </cell>
          <cell r="CB31" t="str">
            <v>ADA_CH - Danone Arg. S.A. - Chascomus</v>
          </cell>
          <cell r="CC31" t="str">
            <v>ADA_CH - Danone Arg. S.A. - Chascomus</v>
          </cell>
          <cell r="CD31" t="str">
            <v>ADA_CH - Danone Arg. S.A. - Chascomus</v>
          </cell>
          <cell r="CE31" t="str">
            <v>ADA_CH - Danone Arg. S.A. - Chascomus</v>
          </cell>
          <cell r="CF31" t="str">
            <v>ADA_CH - Danone Arg. S.A. - Chascomus</v>
          </cell>
          <cell r="CG31" t="str">
            <v>ADA_CH - Danone Arg. S.A. - Chascomus</v>
          </cell>
          <cell r="CH31" t="str">
            <v>ADA_CH - Danone Arg. S.A. - Chascomus</v>
          </cell>
          <cell r="CI31" t="str">
            <v>ADA_CH - Danone Arg. S.A. - Chascomus</v>
          </cell>
          <cell r="CJ31" t="str">
            <v>ADA_CH - Danone Arg. S.A. - Chascomus</v>
          </cell>
          <cell r="CK31" t="str">
            <v>ADA_CH - Danone Arg. S.A. - Chascomus</v>
          </cell>
          <cell r="CL31" t="str">
            <v>ADA_CH - Danone Arg. S.A. - Chascomus</v>
          </cell>
          <cell r="CM31" t="str">
            <v>ADA_CH - Danone Arg. S.A. - Chascomus</v>
          </cell>
          <cell r="CN31" t="str">
            <v>ADA_CH - Danone Arg. S.A. - Chascomus</v>
          </cell>
          <cell r="CO31" t="str">
            <v>ADA_CH - Danone Arg. S.A. - Chascomus</v>
          </cell>
          <cell r="CP31" t="str">
            <v>ADA_CH - Danone Arg. S.A. - Chascomus</v>
          </cell>
          <cell r="CQ31" t="str">
            <v>ADA_CH - Danone Arg. S.A. - Chascomus</v>
          </cell>
          <cell r="CR31" t="str">
            <v>ADA_CH - Danone Arg. S.A. - Chascomus</v>
          </cell>
          <cell r="CS31" t="str">
            <v>ADA_CH - Danone Arg. S.A. - Chascomus</v>
          </cell>
          <cell r="CT31" t="str">
            <v>ADA_CH - Danone Arg. S.A. - Chascomus</v>
          </cell>
          <cell r="CU31" t="str">
            <v>ADA_CH - Danone Arg. S.A. - Chascomus</v>
          </cell>
          <cell r="CV31" t="str">
            <v>ADA_CH - Danone Arg. S.A. - Chascomus</v>
          </cell>
          <cell r="CW31" t="str">
            <v>ADA_CH - Danone Arg. S.A. - Chascomus</v>
          </cell>
        </row>
        <row r="32">
          <cell r="D32" t="str">
            <v>AD941BM</v>
          </cell>
          <cell r="E32" t="str">
            <v>Camioneta</v>
          </cell>
          <cell r="F32" t="str">
            <v>Camioneta</v>
          </cell>
          <cell r="G32" t="str">
            <v>Camioneta</v>
          </cell>
          <cell r="N32" t="str">
            <v>TDU</v>
          </cell>
          <cell r="O32" t="str">
            <v>TDU</v>
          </cell>
          <cell r="P32" t="str">
            <v>No</v>
          </cell>
          <cell r="Q32" t="str">
            <v>De Tercero</v>
          </cell>
          <cell r="R32" t="str">
            <v>-</v>
          </cell>
          <cell r="S32" t="str">
            <v>De Tercero</v>
          </cell>
          <cell r="CK32" t="str">
            <v>LlavMart</v>
          </cell>
          <cell r="CL32" t="str">
            <v>LlavMart</v>
          </cell>
          <cell r="CM32" t="str">
            <v>LlavMart</v>
          </cell>
          <cell r="CN32" t="str">
            <v>LlavMart</v>
          </cell>
          <cell r="CO32" t="str">
            <v>LlavMart</v>
          </cell>
          <cell r="CP32" t="str">
            <v>LlavMart</v>
          </cell>
          <cell r="CQ32" t="str">
            <v>LlavMart</v>
          </cell>
          <cell r="CR32" t="str">
            <v>LlavMart</v>
          </cell>
          <cell r="CS32" t="str">
            <v>LlavMart</v>
          </cell>
          <cell r="CT32" t="str">
            <v>LlavMart</v>
          </cell>
          <cell r="CU32" t="str">
            <v>LlavMart</v>
          </cell>
          <cell r="CV32" t="str">
            <v>LlavMart</v>
          </cell>
          <cell r="CW32" t="str">
            <v>LlavMart</v>
          </cell>
        </row>
        <row r="33">
          <cell r="D33" t="str">
            <v>AF642OT</v>
          </cell>
          <cell r="E33" t="str">
            <v>CHASIS</v>
          </cell>
          <cell r="F33" t="str">
            <v>Chasis</v>
          </cell>
          <cell r="G33" t="str">
            <v>Chasis</v>
          </cell>
          <cell r="N33" t="str">
            <v>DYLASA</v>
          </cell>
          <cell r="O33" t="str">
            <v>DYLASA</v>
          </cell>
          <cell r="P33" t="str">
            <v>No</v>
          </cell>
          <cell r="Q33" t="str">
            <v>Propio</v>
          </cell>
          <cell r="R33">
            <v>12</v>
          </cell>
          <cell r="S33" t="str">
            <v>Propio</v>
          </cell>
          <cell r="T33" t="str">
            <v>MERCEDES BENZ</v>
          </cell>
          <cell r="U33" t="str">
            <v>ATEGO 1721 48</v>
          </cell>
          <cell r="V33" t="str">
            <v>924989U1384652</v>
          </cell>
          <cell r="W33" t="str">
            <v>8AB958154PA803617</v>
          </cell>
          <cell r="X33">
            <v>2022</v>
          </cell>
          <cell r="Y33">
            <v>4</v>
          </cell>
          <cell r="BG33" t="str">
            <v>ADA_SMK - Danone Arg. S.A. - SMK</v>
          </cell>
          <cell r="BH33" t="str">
            <v>ADA_Mino - Danone Arg. S.A. - Mino</v>
          </cell>
          <cell r="BI33" t="str">
            <v>ADA_SMK - Danone Arg. S.A. - SMK</v>
          </cell>
          <cell r="BJ33" t="str">
            <v>ADA_Mino - Danone Arg. S.A. - Mino</v>
          </cell>
          <cell r="BK33" t="str">
            <v>ADA_MZA - Danone Arg. S.A. - MZA</v>
          </cell>
          <cell r="BL33" t="str">
            <v>ADA_MZA - Danone Arg. S.A. - MZA</v>
          </cell>
          <cell r="BM33" t="str">
            <v>ADA_MZA - Danone Arg. S.A. - MZA</v>
          </cell>
          <cell r="BN33" t="str">
            <v>ADA_MZA - Danone Arg. S.A. - MZA</v>
          </cell>
          <cell r="BO33" t="str">
            <v>ADA_MZA - Danone Arg. S.A. - MZA</v>
          </cell>
          <cell r="BP33" t="str">
            <v>ADA_MZA - Danone Arg. S.A. - MZA</v>
          </cell>
          <cell r="BQ33" t="str">
            <v>ADA_MZA - Danone Arg. S.A. - MZA</v>
          </cell>
          <cell r="BR33" t="str">
            <v>ADA_MZA - Danone Arg. S.A. - MZA</v>
          </cell>
          <cell r="BS33" t="str">
            <v>ADA_MZA - Danone Arg. S.A. - MZA</v>
          </cell>
          <cell r="BT33" t="str">
            <v>CCU_MZA - Comp. Cerv. Unidas - MZA</v>
          </cell>
          <cell r="BU33" t="str">
            <v>CCU_MZA - Comp. Cerv. Unidas - MZA</v>
          </cell>
          <cell r="BV33" t="str">
            <v>CCU_MZA - Comp. Cerv. Unidas - MZA</v>
          </cell>
          <cell r="BW33" t="str">
            <v>CCU_MZA - Comp. Cerv. Unidas - MZA</v>
          </cell>
          <cell r="BX33" t="str">
            <v>CCU_MZA - Comp. Cerv. Unidas - MZA</v>
          </cell>
          <cell r="BY33" t="str">
            <v>CCU_MZA - Comp. Cerv. Unidas - MZA</v>
          </cell>
          <cell r="BZ33" t="str">
            <v>CCU_MZA - Comp. Cerv. Unidas - MZA</v>
          </cell>
          <cell r="CA33" t="str">
            <v>CCU_MZA - Comp. Cerv. Unidas - MZA</v>
          </cell>
          <cell r="CB33" t="str">
            <v>CCU_MZA - Comp. Cerv. Unidas - MZA</v>
          </cell>
          <cell r="CC33" t="str">
            <v>CCU_MZA - Comp. Cerv. Unidas - MZA</v>
          </cell>
          <cell r="CD33" t="str">
            <v>CCU_MZA - Comp. Cerv. Unidas - MZA</v>
          </cell>
          <cell r="CE33" t="str">
            <v>CCU_MZA - Comp. Cerv. Unidas - MZA</v>
          </cell>
          <cell r="CF33" t="str">
            <v>CCU_MZA - Comp. Cerv. Unidas - MZA</v>
          </cell>
          <cell r="CG33" t="str">
            <v>CCU_MZA - Comp. Cerv. Unidas - MZA</v>
          </cell>
          <cell r="CH33" t="str">
            <v>CCU_MZA - Comp. Cerv. Unidas - MZA</v>
          </cell>
          <cell r="CI33" t="str">
            <v>CCU_MZA - Comp. Cerv. Unidas - MZA</v>
          </cell>
          <cell r="CJ33" t="str">
            <v>CCU_MZA - Comp. Cerv. Unidas - MZA</v>
          </cell>
          <cell r="CK33" t="str">
            <v>CCU_MZA - Comp. Cerv. Unidas - MZA</v>
          </cell>
          <cell r="CL33" t="str">
            <v>CCU_MZA - Comp. Cerv. Unidas - MZA</v>
          </cell>
          <cell r="CM33" t="str">
            <v>CCU_MZA - Comp. Cerv. Unidas - MZA</v>
          </cell>
          <cell r="CN33" t="str">
            <v>CCU_MZA - Comp. Cerv. Unidas - MZA</v>
          </cell>
          <cell r="CO33" t="str">
            <v>CCU_MZA - Comp. Cerv. Unidas - MZA</v>
          </cell>
          <cell r="CP33" t="str">
            <v>CCU_MZA - Comp. Cerv. Unidas - MZA</v>
          </cell>
          <cell r="CQ33" t="str">
            <v>CCU_MZA - Comp. Cerv. Unidas - MZA</v>
          </cell>
          <cell r="CR33" t="str">
            <v>CCU_MZA - Comp. Cerv. Unidas - MZA</v>
          </cell>
          <cell r="CS33" t="str">
            <v>CCU_MZA - Comp. Cerv. Unidas - MZA</v>
          </cell>
          <cell r="CT33" t="str">
            <v>CCU_MZA - Comp. Cerv. Unidas - MZA</v>
          </cell>
          <cell r="CU33" t="str">
            <v>CCU_MZA - Comp. Cerv. Unidas - MZA</v>
          </cell>
          <cell r="CV33" t="str">
            <v>CCU_MZA - Comp. Cerv. Unidas - MZA</v>
          </cell>
          <cell r="CW33" t="str">
            <v>CCU_MZA - Comp. Cerv. Unidas - MZA</v>
          </cell>
        </row>
        <row r="34">
          <cell r="D34" t="str">
            <v>AE297QN</v>
          </cell>
          <cell r="E34" t="str">
            <v>Chasis</v>
          </cell>
          <cell r="F34" t="str">
            <v>Chasis</v>
          </cell>
          <cell r="G34" t="str">
            <v>Chasis</v>
          </cell>
          <cell r="N34" t="str">
            <v>TDU</v>
          </cell>
          <cell r="O34" t="str">
            <v>TDU</v>
          </cell>
          <cell r="P34" t="str">
            <v>No</v>
          </cell>
          <cell r="Q34" t="str">
            <v>Propio</v>
          </cell>
          <cell r="R34">
            <v>12</v>
          </cell>
          <cell r="S34" t="str">
            <v>Propio</v>
          </cell>
          <cell r="T34" t="str">
            <v>MERCEDES BENZ</v>
          </cell>
          <cell r="U34" t="str">
            <v>ATEGO 1721 48</v>
          </cell>
          <cell r="V34" t="str">
            <v>924989U1288303</v>
          </cell>
          <cell r="W34" t="str">
            <v>8AB958154LA802187</v>
          </cell>
          <cell r="X34">
            <v>2020</v>
          </cell>
          <cell r="Y34">
            <v>6</v>
          </cell>
          <cell r="BH34" t="str">
            <v>LOGIS</v>
          </cell>
          <cell r="BI34" t="str">
            <v>LOGIS</v>
          </cell>
          <cell r="BJ34" t="str">
            <v>LOGIS</v>
          </cell>
          <cell r="BK34" t="str">
            <v>LOGIS</v>
          </cell>
          <cell r="BL34" t="str">
            <v>LOGIS</v>
          </cell>
          <cell r="BM34" t="str">
            <v>LOGIS</v>
          </cell>
          <cell r="BN34" t="str">
            <v>Papelera - Papelera del Plata S.A.</v>
          </cell>
          <cell r="BO34" t="str">
            <v>Papelera - Papelera del Plata S.A.</v>
          </cell>
          <cell r="BP34" t="str">
            <v>Papelera - Papelera del Plata S.A.</v>
          </cell>
          <cell r="BQ34" t="str">
            <v>Papelera - Papelera del Plata S.A.</v>
          </cell>
          <cell r="BR34" t="str">
            <v>Papelera - Papelera del Plata S.A.</v>
          </cell>
          <cell r="BS34" t="str">
            <v>Papelera - Papelera del Plata S.A.</v>
          </cell>
          <cell r="BT34" t="str">
            <v>Papelera - Papelera del Plata S.A.</v>
          </cell>
          <cell r="BU34" t="str">
            <v>Papelera - Papelera del Plata S.A.</v>
          </cell>
          <cell r="BV34" t="str">
            <v>Papelera - Papelera del Plata S.A.</v>
          </cell>
          <cell r="BW34" t="str">
            <v>Papelera - Papelera del Plata S.A.</v>
          </cell>
          <cell r="BX34" t="str">
            <v>Papelera - Papelera del Plata S.A.</v>
          </cell>
          <cell r="BY34" t="str">
            <v>Papelera - Papelera del Plata S.A.</v>
          </cell>
          <cell r="BZ34" t="str">
            <v>Papelera - Papelera del Plata S.A.</v>
          </cell>
          <cell r="CA34" t="str">
            <v>Papelera - Papelera del Plata S.A.</v>
          </cell>
          <cell r="CB34" t="str">
            <v>Papelera - Papelera del Plata S.A.</v>
          </cell>
          <cell r="CC34" t="str">
            <v>Papelera - Papelera del Plata S.A.</v>
          </cell>
          <cell r="CD34" t="str">
            <v>Papelera - Papelera del Plata S.A.</v>
          </cell>
          <cell r="CE34" t="str">
            <v>Papelera - Papelera del Plata S.A.</v>
          </cell>
          <cell r="CF34" t="str">
            <v>Papelera - Papelera del Plata S.A.</v>
          </cell>
          <cell r="CG34" t="str">
            <v>Papelera - Papelera del Plata S.A.</v>
          </cell>
          <cell r="CH34" t="str">
            <v>Papelera - Papelera del Plata S.A.</v>
          </cell>
          <cell r="CI34" t="str">
            <v>Papelera - Papelera del Plata S.A.</v>
          </cell>
          <cell r="CJ34" t="str">
            <v>Papelera - Papelera del Plata S.A.</v>
          </cell>
          <cell r="CK34" t="str">
            <v>Papelera - Papelera del Plata S.A.</v>
          </cell>
          <cell r="CL34" t="str">
            <v>Papelera - Papelera del Plata S.A.</v>
          </cell>
          <cell r="CM34" t="str">
            <v>Papelera - Papelera del Plata S.A.</v>
          </cell>
          <cell r="CN34" t="str">
            <v>Papelera - Papelera del Plata S.A.</v>
          </cell>
          <cell r="CO34" t="str">
            <v>CMQ_TTE - QUILMES TTE</v>
          </cell>
          <cell r="CP34" t="str">
            <v>CMQ_TTE - QUILMES TTE</v>
          </cell>
          <cell r="CQ34" t="str">
            <v>CMQ_TTE - QUILMES TTE</v>
          </cell>
          <cell r="CR34" t="str">
            <v>CMQ_TTE - QUILMES TTE</v>
          </cell>
          <cell r="CS34" t="str">
            <v>CMQ_TTE - QUILMES TTE</v>
          </cell>
          <cell r="CT34" t="str">
            <v>CMQ_TTE - QUILMES TTE</v>
          </cell>
          <cell r="CU34" t="str">
            <v>CMQ_TTE - QUILMES TTE</v>
          </cell>
          <cell r="CV34" t="str">
            <v>CMQ_TTE - QUILMES TTE</v>
          </cell>
          <cell r="CW34" t="str">
            <v>CMQ_TTE - QUILMES TTE</v>
          </cell>
        </row>
        <row r="35">
          <cell r="D35" t="str">
            <v>AF804RB</v>
          </cell>
          <cell r="E35" t="str">
            <v>Chasis</v>
          </cell>
          <cell r="F35" t="str">
            <v>Chasis</v>
          </cell>
          <cell r="G35" t="str">
            <v>CHASIS</v>
          </cell>
          <cell r="N35" t="str">
            <v>CODYLSA</v>
          </cell>
          <cell r="O35" t="str">
            <v>CODYLSA</v>
          </cell>
          <cell r="Q35" t="str">
            <v>Propio</v>
          </cell>
          <cell r="R35">
            <v>12</v>
          </cell>
          <cell r="S35" t="str">
            <v>Propio</v>
          </cell>
          <cell r="T35" t="str">
            <v>MERCEDES BENZ</v>
          </cell>
          <cell r="U35" t="str">
            <v>ATEGO 1721 48</v>
          </cell>
          <cell r="V35" t="str">
            <v>924989U1412333</v>
          </cell>
          <cell r="W35" t="str">
            <v>8AB958154PA804226</v>
          </cell>
          <cell r="X35">
            <v>2023</v>
          </cell>
          <cell r="Y35">
            <v>3</v>
          </cell>
          <cell r="BL35" t="str">
            <v>Sin Op</v>
          </cell>
          <cell r="BM35" t="str">
            <v>Sin Op</v>
          </cell>
          <cell r="BN35" t="str">
            <v>Sin Op</v>
          </cell>
          <cell r="BO35" t="str">
            <v>Sin Op</v>
          </cell>
          <cell r="BP35" t="str">
            <v>ADA_SMK - Danone Arg. S.A. - SMK</v>
          </cell>
          <cell r="BQ35" t="str">
            <v>Sin Operación</v>
          </cell>
          <cell r="BR35" t="str">
            <v>Sin Operación</v>
          </cell>
          <cell r="BS35" t="str">
            <v>Unilever - Unilever de Arg. S.A.</v>
          </cell>
          <cell r="BT35" t="str">
            <v>Unilever - Unilever de Arg. S.A.</v>
          </cell>
          <cell r="BU35" t="str">
            <v>Unilever - Unilever de Arg. S.A.</v>
          </cell>
          <cell r="BV35" t="str">
            <v>Unilever - Unilever de Arg. S.A.</v>
          </cell>
          <cell r="BW35" t="str">
            <v>Unilever - Unilever de Arg. S.A.</v>
          </cell>
          <cell r="BX35" t="str">
            <v>JOHNSON - SC JOHNSON DE ARGENTINA SAIC</v>
          </cell>
          <cell r="BY35" t="str">
            <v>JOHNSON - SC JOHNSON DE ARGENTINA SAIC</v>
          </cell>
          <cell r="BZ35" t="str">
            <v>JOHNSON - SC JOHNSON DE ARGENTINA SAIC</v>
          </cell>
          <cell r="CA35" t="str">
            <v>JOHNSON - SC JOHNSON DE ARGENTINA SAIC</v>
          </cell>
          <cell r="CB35" t="str">
            <v>JOHNSON - SC JOHNSON DE ARGENTINA SAIC</v>
          </cell>
          <cell r="CC35" t="str">
            <v>JOHNSON - SC JOHNSON DE ARGENTINA SAIC</v>
          </cell>
          <cell r="CD35" t="str">
            <v>JOHNSON - SC JOHNSON DE ARGENTINA SAIC</v>
          </cell>
          <cell r="CE35" t="str">
            <v>Unilever - Unilever de Arg. S.A.</v>
          </cell>
          <cell r="CF35" t="str">
            <v>Unilever - Unilever de Arg. S.A.</v>
          </cell>
          <cell r="CG35" t="str">
            <v>Unilever - Unilever de Arg. S.A.</v>
          </cell>
          <cell r="CH35" t="str">
            <v>Unilever - Unilever de Arg. S.A.</v>
          </cell>
          <cell r="CI35" t="str">
            <v>Unilever - Unilever de Arg. S.A.</v>
          </cell>
          <cell r="CJ35" t="str">
            <v>Unilever - Unilever de Arg. S.A.</v>
          </cell>
          <cell r="CK35" t="str">
            <v>Unilever - Unilever de Arg. S.A.</v>
          </cell>
          <cell r="CL35" t="str">
            <v>Unilever - Unilever de Arg. S.A.</v>
          </cell>
          <cell r="CM35" t="str">
            <v>Unilever - Unilever de Arg. S.A.</v>
          </cell>
          <cell r="CN35" t="str">
            <v>Sin Operación</v>
          </cell>
          <cell r="CO35" t="str">
            <v>Sin Operación</v>
          </cell>
          <cell r="CP35" t="str">
            <v>Sin Operación</v>
          </cell>
          <cell r="CQ35" t="str">
            <v>Papelera - Papelera del Plata S.A.</v>
          </cell>
          <cell r="CR35" t="str">
            <v>Papelera - Papelera del Plata S.A.</v>
          </cell>
          <cell r="CS35" t="str">
            <v>Papelera - Papelera del Plata S.A.</v>
          </cell>
          <cell r="CT35" t="str">
            <v>Papelera - Papelera del Plata S.A.</v>
          </cell>
          <cell r="CU35" t="str">
            <v>CCU_MZA - Comp. Cerv. Unidas - MZA</v>
          </cell>
          <cell r="CV35" t="str">
            <v>CCU_MZA - Comp. Cerv. Unidas - MZA</v>
          </cell>
          <cell r="CW35" t="str">
            <v>CCU_MZA - Comp. Cerv. Unidas - MZA</v>
          </cell>
        </row>
        <row r="36">
          <cell r="D36" t="str">
            <v>AE361VQ</v>
          </cell>
          <cell r="E36" t="str">
            <v>Tractor(prestamo)</v>
          </cell>
          <cell r="F36" t="str">
            <v>Tractor</v>
          </cell>
          <cell r="G36" t="str">
            <v>Tractor</v>
          </cell>
          <cell r="N36" t="str">
            <v>Scania-Expreso Malargue SA</v>
          </cell>
          <cell r="O36" t="str">
            <v>Expreso Malargüe S. A.</v>
          </cell>
          <cell r="P36" t="str">
            <v>No</v>
          </cell>
          <cell r="Q36" t="str">
            <v>PRESTAMO</v>
          </cell>
          <cell r="R36" t="str">
            <v>-</v>
          </cell>
          <cell r="S36" t="str">
            <v>PRESTAMO</v>
          </cell>
          <cell r="T36" t="str">
            <v>SCANIA</v>
          </cell>
          <cell r="U36" t="str">
            <v>P340A4X2</v>
          </cell>
          <cell r="V36">
            <v>7215808</v>
          </cell>
          <cell r="W36" t="str">
            <v>+9BSP4X200++L3970402+</v>
          </cell>
          <cell r="X36">
            <v>2022</v>
          </cell>
          <cell r="Y36">
            <v>4</v>
          </cell>
          <cell r="BI36" t="str">
            <v>Expreso - Servicios Troncales</v>
          </cell>
          <cell r="BJ36" t="str">
            <v>Expreso - Servicios Troncales</v>
          </cell>
          <cell r="BK36" t="str">
            <v>Expreso - Servicios Troncales</v>
          </cell>
          <cell r="BL36" t="str">
            <v>Expreso - Servicios Troncales</v>
          </cell>
          <cell r="BM36" t="str">
            <v>INACTIVO</v>
          </cell>
          <cell r="BN36" t="str">
            <v>INACTIVO</v>
          </cell>
          <cell r="BO36" t="str">
            <v>INACTIVO</v>
          </cell>
          <cell r="BP36" t="str">
            <v>INACTIVO</v>
          </cell>
          <cell r="BQ36" t="str">
            <v>INACTIVO</v>
          </cell>
          <cell r="BR36" t="str">
            <v>INACTIVO</v>
          </cell>
          <cell r="BS36" t="str">
            <v>INACTIVO</v>
          </cell>
          <cell r="BT36" t="str">
            <v>INACTIVO</v>
          </cell>
          <cell r="BU36" t="str">
            <v>INACTIVO</v>
          </cell>
          <cell r="BV36" t="str">
            <v>INACTIVO</v>
          </cell>
          <cell r="BW36" t="str">
            <v>INACTIVO</v>
          </cell>
          <cell r="BX36" t="str">
            <v>INACTIVO</v>
          </cell>
          <cell r="BY36" t="str">
            <v>INACTIVO</v>
          </cell>
          <cell r="BZ36" t="str">
            <v>INACTIVO</v>
          </cell>
          <cell r="CA36" t="str">
            <v>INACTIVO</v>
          </cell>
          <cell r="CB36" t="str">
            <v>INACTIVO</v>
          </cell>
          <cell r="CC36" t="str">
            <v>BAJA</v>
          </cell>
          <cell r="CD36" t="str">
            <v>BAJA</v>
          </cell>
          <cell r="CE36" t="str">
            <v>BAJA</v>
          </cell>
          <cell r="CF36" t="str">
            <v>BAJA</v>
          </cell>
          <cell r="CG36" t="str">
            <v>BAJA</v>
          </cell>
          <cell r="CH36" t="str">
            <v>BAJA</v>
          </cell>
          <cell r="CI36" t="str">
            <v>BAJA</v>
          </cell>
          <cell r="CJ36" t="str">
            <v>BAJA</v>
          </cell>
          <cell r="CK36" t="str">
            <v>BAJA</v>
          </cell>
          <cell r="CL36" t="str">
            <v>BAJA</v>
          </cell>
          <cell r="CM36" t="str">
            <v>BAJA</v>
          </cell>
          <cell r="CN36" t="str">
            <v>BAJA</v>
          </cell>
          <cell r="CO36" t="str">
            <v>BAJA</v>
          </cell>
          <cell r="CP36" t="str">
            <v>BAJA</v>
          </cell>
          <cell r="CQ36" t="str">
            <v>BAJA</v>
          </cell>
          <cell r="CR36" t="str">
            <v>BAJA</v>
          </cell>
          <cell r="CS36" t="str">
            <v>BAJA</v>
          </cell>
          <cell r="CT36" t="str">
            <v>BAJA</v>
          </cell>
          <cell r="CU36" t="str">
            <v>BAJA</v>
          </cell>
          <cell r="CV36" t="str">
            <v>BAJA</v>
          </cell>
          <cell r="CW36" t="str">
            <v>BAJA</v>
          </cell>
        </row>
        <row r="37">
          <cell r="D37" t="str">
            <v>AE700VN</v>
          </cell>
          <cell r="E37" t="str">
            <v>Tractor</v>
          </cell>
          <cell r="F37" t="str">
            <v>Tractor</v>
          </cell>
          <cell r="G37" t="str">
            <v>Tractor</v>
          </cell>
          <cell r="N37" t="str">
            <v>Expreso Malargüe S. A.</v>
          </cell>
          <cell r="O37" t="str">
            <v>Expreso Malargüe S. A.</v>
          </cell>
          <cell r="P37" t="str">
            <v>No</v>
          </cell>
          <cell r="Q37" t="str">
            <v>Propio</v>
          </cell>
          <cell r="R37" t="str">
            <v>-</v>
          </cell>
          <cell r="S37" t="str">
            <v>Propio</v>
          </cell>
          <cell r="T37" t="str">
            <v>MERCEDES BENZ</v>
          </cell>
          <cell r="U37" t="str">
            <v>AXOR 2036 S ROBUST</v>
          </cell>
          <cell r="V37" t="str">
            <v>457910U1070659</v>
          </cell>
          <cell r="W37" t="str">
            <v>9BM958433MB185926</v>
          </cell>
          <cell r="X37">
            <v>2021</v>
          </cell>
          <cell r="Y37">
            <v>5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 t="str">
            <v>Expreso - Servicios Troncales</v>
          </cell>
          <cell r="AT37" t="str">
            <v>Expreso - Servicios Troncales</v>
          </cell>
          <cell r="AU37" t="str">
            <v>Expreso - Servicios Troncales</v>
          </cell>
          <cell r="AV37" t="str">
            <v>Expreso - Servicios Troncales</v>
          </cell>
          <cell r="AW37" t="str">
            <v>Expreso - Servicios Troncales</v>
          </cell>
          <cell r="AX37" t="str">
            <v>Expreso - Servicios Troncales</v>
          </cell>
          <cell r="AY37" t="str">
            <v>Expreso - Servicios Troncales</v>
          </cell>
          <cell r="AZ37" t="str">
            <v>Expreso - Servicios Troncales</v>
          </cell>
          <cell r="BA37" t="str">
            <v>Expreso - Servicios Troncales</v>
          </cell>
          <cell r="BB37" t="str">
            <v>Expreso - Servicios Troncales</v>
          </cell>
          <cell r="BC37" t="str">
            <v>Expreso - Servicios Troncales</v>
          </cell>
          <cell r="BD37" t="str">
            <v>SUC_MEN - Sucursal Mendoza</v>
          </cell>
          <cell r="BE37" t="str">
            <v>SUC_MEN - Sucursal Mendoza</v>
          </cell>
          <cell r="BF37" t="str">
            <v>SUC_MEN - Sucursal Mendoza</v>
          </cell>
          <cell r="BG37" t="str">
            <v>SUC_MEN - Sucursal Mendoza</v>
          </cell>
          <cell r="BH37" t="str">
            <v>SUC_MEN - Sucursal Mendoza</v>
          </cell>
          <cell r="BI37" t="str">
            <v>SUC_MEN - Sucursal Mendoza</v>
          </cell>
          <cell r="BJ37" t="str">
            <v>SUC_MEN - Sucursal Mendoza</v>
          </cell>
          <cell r="BK37" t="str">
            <v>SUC_MEN - Sucursal Mendoza</v>
          </cell>
          <cell r="BL37" t="str">
            <v>SUC_MEN - Sucursal Mendoza</v>
          </cell>
          <cell r="BM37" t="str">
            <v>SUC_MEN - Sucursal Mendoza</v>
          </cell>
          <cell r="BN37" t="str">
            <v>SUC_MEN - Sucursal Mendoza</v>
          </cell>
          <cell r="BO37" t="str">
            <v>SUC_MEN - Sucursal Mendoza</v>
          </cell>
          <cell r="BP37" t="str">
            <v>SUC_MEN - Sucursal Mendoza</v>
          </cell>
          <cell r="BQ37" t="str">
            <v>Expreso - Servicios Troncales</v>
          </cell>
          <cell r="BR37" t="str">
            <v>Expreso - Servicios Troncales</v>
          </cell>
          <cell r="BS37" t="str">
            <v>Expreso - Servicios Troncales</v>
          </cell>
          <cell r="BT37" t="str">
            <v>Expreso - Servicios Troncales</v>
          </cell>
          <cell r="BU37" t="str">
            <v>Expreso - Servicios Troncales</v>
          </cell>
          <cell r="BV37" t="str">
            <v>Expreso - Servicios Troncales</v>
          </cell>
          <cell r="BW37" t="str">
            <v>Expreso - Servicios Troncales</v>
          </cell>
          <cell r="BX37" t="str">
            <v>Expreso - Servicios Troncales</v>
          </cell>
          <cell r="BY37" t="str">
            <v>Expreso - Servicios Troncales</v>
          </cell>
          <cell r="BZ37" t="str">
            <v>Expreso - Servicios Troncales</v>
          </cell>
          <cell r="CA37" t="str">
            <v>Expreso - Servicios Troncales</v>
          </cell>
          <cell r="CB37" t="str">
            <v>Expreso - Servicios Troncales</v>
          </cell>
          <cell r="CC37" t="str">
            <v>Expreso - Servicios Troncales</v>
          </cell>
          <cell r="CD37" t="str">
            <v>Expreso - Servicios Troncales</v>
          </cell>
          <cell r="CE37" t="str">
            <v>Expreso - Servicios Troncales</v>
          </cell>
          <cell r="CF37" t="str">
            <v>Expreso - Servicios Troncales</v>
          </cell>
          <cell r="CG37" t="str">
            <v>Expreso - Servicios Troncales</v>
          </cell>
          <cell r="CH37" t="str">
            <v>Expreso - Servicios Troncales</v>
          </cell>
          <cell r="CI37" t="str">
            <v>Expreso - Servicios Troncales</v>
          </cell>
          <cell r="CJ37" t="str">
            <v>Expreso - Servicios Troncales</v>
          </cell>
          <cell r="CK37" t="str">
            <v>Expreso - Servicios Troncales</v>
          </cell>
          <cell r="CL37" t="str">
            <v>Expreso - Servicios Troncales</v>
          </cell>
          <cell r="CM37" t="str">
            <v>Expreso - Servicios Troncales</v>
          </cell>
          <cell r="CN37" t="str">
            <v>Expreso - Servicios Troncales</v>
          </cell>
          <cell r="CO37" t="str">
            <v>Expreso - Servicios Troncales</v>
          </cell>
          <cell r="CP37" t="str">
            <v>Expreso - Servicios Troncales</v>
          </cell>
          <cell r="CQ37" t="str">
            <v>Expreso - Servicios Troncales</v>
          </cell>
          <cell r="CR37" t="str">
            <v>Expreso - Servicios Troncales</v>
          </cell>
          <cell r="CS37" t="str">
            <v>Expreso - Servicios Troncales</v>
          </cell>
          <cell r="CT37" t="str">
            <v>Expreso - Servicios Troncales</v>
          </cell>
          <cell r="CU37" t="str">
            <v>Expreso - Servicios Troncales</v>
          </cell>
          <cell r="CV37" t="str">
            <v>Expreso - Servicios Troncales</v>
          </cell>
          <cell r="CW37" t="str">
            <v>Expreso - Servicios Troncales</v>
          </cell>
        </row>
        <row r="38">
          <cell r="D38" t="str">
            <v>AE700VS</v>
          </cell>
          <cell r="E38" t="str">
            <v>Tractor</v>
          </cell>
          <cell r="F38" t="str">
            <v>Tractor</v>
          </cell>
          <cell r="G38" t="str">
            <v>Tractor</v>
          </cell>
          <cell r="N38" t="str">
            <v>Expreso Malargüe S. A.</v>
          </cell>
          <cell r="O38" t="str">
            <v>Expreso Malargüe S. A.</v>
          </cell>
          <cell r="P38" t="str">
            <v>No</v>
          </cell>
          <cell r="Q38" t="str">
            <v>Propio</v>
          </cell>
          <cell r="R38" t="str">
            <v>-</v>
          </cell>
          <cell r="S38" t="str">
            <v>Propio</v>
          </cell>
          <cell r="T38" t="str">
            <v>MERCEDES BENZ</v>
          </cell>
          <cell r="U38" t="str">
            <v>AXOR 2036 S ROBUST</v>
          </cell>
          <cell r="V38" t="str">
            <v>457910U1074546</v>
          </cell>
          <cell r="W38" t="str">
            <v>9BM958433MB197370</v>
          </cell>
          <cell r="X38">
            <v>2021</v>
          </cell>
          <cell r="Y38">
            <v>5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 t="str">
            <v>Expreso - Servicios Troncales</v>
          </cell>
          <cell r="AT38" t="str">
            <v>Expreso - Servicios Troncales</v>
          </cell>
          <cell r="AU38" t="str">
            <v>Expreso - Servicios Troncales</v>
          </cell>
          <cell r="AV38" t="str">
            <v>Expreso - Servicios Troncales</v>
          </cell>
          <cell r="AW38" t="str">
            <v>Expreso - Servicios Troncales</v>
          </cell>
          <cell r="AX38" t="str">
            <v>Expreso - Servicios Troncales</v>
          </cell>
          <cell r="AY38" t="str">
            <v>Expreso - Servicios Troncales</v>
          </cell>
          <cell r="AZ38" t="str">
            <v>Expreso - Servicios Troncales</v>
          </cell>
          <cell r="BA38" t="str">
            <v>Expreso - Servicios Troncales</v>
          </cell>
          <cell r="BB38" t="str">
            <v>Expreso - Servicios Troncales</v>
          </cell>
          <cell r="BC38" t="str">
            <v>Expreso - Servicios Troncales</v>
          </cell>
          <cell r="BD38" t="str">
            <v>SUC_SRA - Sucursal San Rafael</v>
          </cell>
          <cell r="BE38" t="str">
            <v>SUC_SRA - Sucursal San Rafael</v>
          </cell>
          <cell r="BF38" t="str">
            <v>SUC_SRA - Sucursal San Rafael</v>
          </cell>
          <cell r="BG38" t="str">
            <v>SUC_SRA - Sucursal San Rafael</v>
          </cell>
          <cell r="BH38" t="str">
            <v>SUC_SRA - Sucursal San Rafael</v>
          </cell>
          <cell r="BI38" t="str">
            <v>SUC_SRA - Sucursal San Rafael</v>
          </cell>
          <cell r="BJ38" t="str">
            <v>SUC_SRA - Sucursal San Rafael</v>
          </cell>
          <cell r="BK38" t="str">
            <v>SUC_SRA - Sucursal San Rafael</v>
          </cell>
          <cell r="BL38" t="str">
            <v>SUC_SRA - Sucursal San Rafael</v>
          </cell>
          <cell r="BM38" t="str">
            <v>SUC_SRA - Sucursal San Rafael</v>
          </cell>
          <cell r="BN38" t="str">
            <v>SUC_SRA - Sucursal San Rafael</v>
          </cell>
          <cell r="BO38" t="str">
            <v>SUC_SRA - Sucursal San Rafael</v>
          </cell>
          <cell r="BP38" t="str">
            <v>SUC_SRA - Sucursal San Rafael</v>
          </cell>
          <cell r="BQ38" t="str">
            <v>Expreso - Servicios Troncales</v>
          </cell>
          <cell r="BR38" t="str">
            <v>Expreso - Servicios Troncales</v>
          </cell>
          <cell r="BS38" t="str">
            <v>Expreso - Servicios Troncales</v>
          </cell>
          <cell r="BT38" t="str">
            <v>Expreso - Servicios Troncales</v>
          </cell>
          <cell r="BU38" t="str">
            <v>Expreso - Servicios Troncales</v>
          </cell>
          <cell r="BV38" t="str">
            <v>Expreso - Servicios Troncales</v>
          </cell>
          <cell r="BW38" t="str">
            <v>Expreso - Servicios Troncales</v>
          </cell>
          <cell r="BX38" t="str">
            <v>Expreso - Servicios Troncales</v>
          </cell>
          <cell r="BY38" t="str">
            <v>Expreso - Servicios Troncales</v>
          </cell>
          <cell r="BZ38" t="str">
            <v>Expreso - Servicios Troncales</v>
          </cell>
          <cell r="CA38" t="str">
            <v>Expreso - Servicios Troncales</v>
          </cell>
          <cell r="CB38" t="str">
            <v>Expreso - Servicios Troncales</v>
          </cell>
          <cell r="CC38" t="str">
            <v>Expreso - Servicios Troncales</v>
          </cell>
          <cell r="CD38" t="str">
            <v>Expreso - Servicios Troncales</v>
          </cell>
          <cell r="CE38" t="str">
            <v>Expreso - Servicios Troncales</v>
          </cell>
          <cell r="CF38" t="str">
            <v>Expreso - Servicios Troncales</v>
          </cell>
          <cell r="CG38" t="str">
            <v>Expreso - Servicios Troncales</v>
          </cell>
          <cell r="CH38" t="str">
            <v>Expreso - Servicios Troncales</v>
          </cell>
          <cell r="CI38" t="str">
            <v>Expreso - Servicios Troncales</v>
          </cell>
          <cell r="CJ38" t="str">
            <v>Expreso - Servicios Troncales</v>
          </cell>
          <cell r="CK38" t="str">
            <v>Expreso - Servicios Troncales</v>
          </cell>
          <cell r="CL38" t="str">
            <v>Expreso - Servicios Troncales</v>
          </cell>
          <cell r="CM38" t="str">
            <v>Expreso - Servicios Troncales</v>
          </cell>
          <cell r="CN38" t="str">
            <v>Expreso - Servicios Troncales</v>
          </cell>
          <cell r="CO38" t="str">
            <v>Expreso - Servicios Troncales</v>
          </cell>
          <cell r="CP38" t="str">
            <v>Expreso - Servicios Troncales</v>
          </cell>
          <cell r="CQ38" t="str">
            <v>Expreso - Servicios Troncales</v>
          </cell>
          <cell r="CR38" t="str">
            <v>Expreso - Servicios Troncales</v>
          </cell>
          <cell r="CS38" t="str">
            <v>Expreso - Servicios Troncales</v>
          </cell>
          <cell r="CT38" t="str">
            <v>Expreso - Servicios Troncales</v>
          </cell>
          <cell r="CU38" t="str">
            <v>Expreso - Servicios Troncales</v>
          </cell>
          <cell r="CV38" t="str">
            <v>Expreso - Servicios Troncales</v>
          </cell>
          <cell r="CW38" t="str">
            <v>Expreso - Servicios Troncales</v>
          </cell>
        </row>
        <row r="39">
          <cell r="D39" t="str">
            <v>AF804RC</v>
          </cell>
          <cell r="E39" t="str">
            <v>Chasis</v>
          </cell>
          <cell r="F39" t="str">
            <v>Chasis</v>
          </cell>
          <cell r="G39" t="str">
            <v>CHASIS</v>
          </cell>
          <cell r="N39" t="str">
            <v>CODYLSA</v>
          </cell>
          <cell r="O39" t="str">
            <v>CODYLSA</v>
          </cell>
          <cell r="Q39" t="str">
            <v>Propio</v>
          </cell>
          <cell r="R39">
            <v>12</v>
          </cell>
          <cell r="S39" t="str">
            <v>Propio</v>
          </cell>
          <cell r="T39" t="str">
            <v>MERCEDES BENZ</v>
          </cell>
          <cell r="U39" t="str">
            <v>ATEGO 1721 48</v>
          </cell>
          <cell r="V39" t="str">
            <v>924989U1412128</v>
          </cell>
          <cell r="W39" t="str">
            <v>8AB958154PA804223</v>
          </cell>
          <cell r="X39">
            <v>2023</v>
          </cell>
          <cell r="Y39">
            <v>3</v>
          </cell>
          <cell r="BL39" t="str">
            <v>Sin Op</v>
          </cell>
          <cell r="BM39" t="str">
            <v>Sin Op</v>
          </cell>
          <cell r="BN39" t="str">
            <v>Sin Op</v>
          </cell>
          <cell r="BO39" t="str">
            <v>Sin Op</v>
          </cell>
          <cell r="BP39" t="str">
            <v>ADA_SMK - Danone Arg. S.A. - SMK</v>
          </cell>
          <cell r="BQ39" t="str">
            <v>Sin Operación</v>
          </cell>
          <cell r="BR39" t="str">
            <v>Papelera - Papelera del Plata S.A.</v>
          </cell>
          <cell r="BS39" t="str">
            <v>Papelera - Papelera del Plata S.A.</v>
          </cell>
          <cell r="BT39" t="str">
            <v>Papelera - Papelera del Plata S.A.</v>
          </cell>
          <cell r="BU39" t="str">
            <v>Papelera - Papelera del Plata S.A.</v>
          </cell>
          <cell r="BV39" t="str">
            <v>Papelera - Papelera del Plata S.A.</v>
          </cell>
          <cell r="BW39" t="str">
            <v>Papelera - Papelera del Plata S.A.</v>
          </cell>
          <cell r="BX39" t="str">
            <v>Papelera - Papelera del Plata S.A.</v>
          </cell>
          <cell r="BY39" t="str">
            <v>Papelera - Papelera del Plata S.A.</v>
          </cell>
          <cell r="BZ39" t="str">
            <v>Papelera - Papelera del Plata S.A.</v>
          </cell>
          <cell r="CA39" t="str">
            <v>Papelera - Papelera del Plata S.A.</v>
          </cell>
          <cell r="CB39" t="str">
            <v>Papelera - Papelera del Plata S.A.</v>
          </cell>
          <cell r="CC39" t="str">
            <v>Papelera - Papelera del Plata S.A.</v>
          </cell>
          <cell r="CD39" t="str">
            <v>Papelera - Papelera del Plata S.A.</v>
          </cell>
          <cell r="CE39" t="str">
            <v>Papelera - Papelera del Plata S.A.</v>
          </cell>
          <cell r="CF39" t="str">
            <v>Papelera - Papelera del Plata S.A.</v>
          </cell>
          <cell r="CG39" t="str">
            <v>Papelera - Papelera del Plata S.A.</v>
          </cell>
          <cell r="CH39" t="str">
            <v>Papelera - Papelera del Plata S.A.</v>
          </cell>
          <cell r="CI39" t="str">
            <v>Papelera - Papelera del Plata S.A.</v>
          </cell>
          <cell r="CJ39" t="str">
            <v>Papelera - Papelera del Plata S.A.</v>
          </cell>
          <cell r="CK39" t="str">
            <v>Papelera - Papelera del Plata S.A.</v>
          </cell>
          <cell r="CL39" t="str">
            <v>Papelera - Papelera del Plata S.A.</v>
          </cell>
          <cell r="CM39" t="str">
            <v>Papelera - Papelera del Plata S.A.</v>
          </cell>
          <cell r="CN39" t="str">
            <v>Sin Operación</v>
          </cell>
          <cell r="CO39" t="str">
            <v>CCU_MZA - Comp. Cerv. Unidas - MZA</v>
          </cell>
          <cell r="CP39" t="str">
            <v>CCU_MZA - Comp. Cerv. Unidas - MZA</v>
          </cell>
          <cell r="CQ39" t="str">
            <v>Sin Operación</v>
          </cell>
          <cell r="CR39" t="str">
            <v>CCU_MZA - Comp. Cerv. Unidas - MZA</v>
          </cell>
          <cell r="CS39" t="str">
            <v>CCU_MZA - Comp. Cerv. Unidas - MZA</v>
          </cell>
          <cell r="CT39" t="str">
            <v>CCU_MZA - Comp. Cerv. Unidas - MZA</v>
          </cell>
          <cell r="CU39" t="str">
            <v>CCU_MZA - Comp. Cerv. Unidas - MZA</v>
          </cell>
          <cell r="CV39" t="str">
            <v>CCU_MZA - Comp. Cerv. Unidas - MZA</v>
          </cell>
          <cell r="CW39" t="str">
            <v>CCU_MZA - Comp. Cerv. Unidas - MZA</v>
          </cell>
        </row>
        <row r="40">
          <cell r="D40" t="str">
            <v>AE794VC</v>
          </cell>
          <cell r="E40" t="str">
            <v>Camioneta</v>
          </cell>
          <cell r="F40" t="str">
            <v>Utilitario</v>
          </cell>
          <cell r="G40" t="str">
            <v>Utilitario</v>
          </cell>
          <cell r="N40" t="str">
            <v>Expreso Malargüe S. A.</v>
          </cell>
          <cell r="O40" t="str">
            <v>Expreso Malargüe S. A.</v>
          </cell>
          <cell r="P40" t="str">
            <v>No</v>
          </cell>
          <cell r="Q40" t="str">
            <v>Propio</v>
          </cell>
          <cell r="R40">
            <v>2</v>
          </cell>
          <cell r="S40" t="str">
            <v>Propio</v>
          </cell>
          <cell r="T40" t="str">
            <v>PEUGEOT</v>
          </cell>
          <cell r="U40" t="str">
            <v>PARTNER CONFORT 1,6 HDI 92</v>
          </cell>
          <cell r="V40" t="str">
            <v>10JBGR0028871</v>
          </cell>
          <cell r="W40" t="str">
            <v>8AEGC9HPANG507435</v>
          </cell>
          <cell r="X40">
            <v>2021</v>
          </cell>
          <cell r="Y40">
            <v>5</v>
          </cell>
          <cell r="AV40" t="str">
            <v>Expreso - Servicios Troncales</v>
          </cell>
          <cell r="AW40" t="str">
            <v>Expreso - Servicios Troncales</v>
          </cell>
          <cell r="AX40" t="str">
            <v>Expreso - Servicios Troncales</v>
          </cell>
          <cell r="AY40" t="str">
            <v>Expreso - Servicios Troncales</v>
          </cell>
          <cell r="AZ40" t="str">
            <v>Expreso - Servicios Troncales</v>
          </cell>
          <cell r="BA40" t="str">
            <v>Expreso - Servicios Troncales</v>
          </cell>
          <cell r="BB40" t="str">
            <v>T3</v>
          </cell>
          <cell r="BC40" t="str">
            <v>T3</v>
          </cell>
          <cell r="BD40" t="str">
            <v>SUC_MEN - Sucursal Mendoza</v>
          </cell>
          <cell r="BE40" t="str">
            <v>SUC_MEN - Sucursal Mendoza</v>
          </cell>
          <cell r="BF40" t="str">
            <v>SUC_MEN - Sucursal Mendoza</v>
          </cell>
          <cell r="BG40" t="str">
            <v>SUC_MEN - Sucursal Mendoza</v>
          </cell>
          <cell r="BH40" t="str">
            <v>SUC_MEN - Sucursal Mendoza</v>
          </cell>
          <cell r="BI40" t="str">
            <v>SUC_MEN - Sucursal Mendoza</v>
          </cell>
          <cell r="BJ40" t="str">
            <v>SUC_MEN - Sucursal Mendoza</v>
          </cell>
          <cell r="BK40" t="str">
            <v>SUC_MEN - Sucursal Mendoza</v>
          </cell>
          <cell r="BL40" t="str">
            <v>SUC_MEN - Sucursal Mendoza</v>
          </cell>
          <cell r="BM40" t="str">
            <v>SUC_MEN - Sucursal Mendoza</v>
          </cell>
          <cell r="BN40" t="str">
            <v>SUC_MEN - Sucursal Mendoza</v>
          </cell>
          <cell r="BO40" t="str">
            <v>SUC_MEN - Sucursal Mendoza</v>
          </cell>
          <cell r="BP40" t="str">
            <v>SUC_MEN - Sucursal Mendoza</v>
          </cell>
          <cell r="BQ40" t="str">
            <v>SUC_MEN - Sucursal Mendoza</v>
          </cell>
          <cell r="BR40" t="str">
            <v>SUC_MEN - Sucursal Mendoza</v>
          </cell>
          <cell r="BS40" t="str">
            <v>SUC_MEN - Sucursal Mendoza</v>
          </cell>
          <cell r="BT40" t="str">
            <v>SUC_MEN - Sucursal Mendoza</v>
          </cell>
          <cell r="BU40" t="str">
            <v>SUC_MEN - Sucursal Mendoza</v>
          </cell>
          <cell r="BV40" t="str">
            <v>SUC_MEN - Sucursal Mendoza</v>
          </cell>
          <cell r="BW40" t="str">
            <v>SUC_MEN - Sucursal Mendoza</v>
          </cell>
          <cell r="BX40" t="str">
            <v>SUC_MEN - Sucursal Mendoza</v>
          </cell>
          <cell r="BY40" t="str">
            <v>SUC_MEN - Sucursal Mendoza</v>
          </cell>
          <cell r="BZ40" t="str">
            <v>SUC_MEN - Sucursal Mendoza</v>
          </cell>
          <cell r="CA40" t="str">
            <v>SUC_MEN - Sucursal Mendoza</v>
          </cell>
          <cell r="CB40" t="str">
            <v>SUC_MEN - Sucursal Mendoza</v>
          </cell>
          <cell r="CC40" t="str">
            <v>SUC_MEN - Sucursal Mendoza</v>
          </cell>
          <cell r="CD40" t="str">
            <v>SUC_MEN - Sucursal Mendoza</v>
          </cell>
          <cell r="CE40" t="str">
            <v>SUC_MEN - Sucursal Mendoza</v>
          </cell>
          <cell r="CF40" t="str">
            <v>SUC_MEN - Sucursal Mendoza</v>
          </cell>
          <cell r="CG40" t="str">
            <v>SUC_MEN - Sucursal Mendoza</v>
          </cell>
          <cell r="CH40" t="str">
            <v>SUC_MEN - Sucursal Mendoza</v>
          </cell>
          <cell r="CI40" t="str">
            <v>SUC_MEN - Sucursal Mendoza</v>
          </cell>
          <cell r="CJ40" t="str">
            <v>SUC_MEN - Sucursal Mendoza</v>
          </cell>
          <cell r="CK40" t="str">
            <v>SUC_MEN - Sucursal Mendoza</v>
          </cell>
          <cell r="CL40" t="str">
            <v>SUC_MEN - Sucursal Mendoza</v>
          </cell>
          <cell r="CM40" t="str">
            <v>SUC_MEN - Sucursal Mendoza</v>
          </cell>
          <cell r="CN40" t="str">
            <v>SUC_MEN - Sucursal Mendoza</v>
          </cell>
          <cell r="CO40" t="str">
            <v>SUC_MEN - Sucursal Mendoza</v>
          </cell>
          <cell r="CP40" t="str">
            <v>SUC_MEN - Sucursal Mendoza</v>
          </cell>
          <cell r="CQ40" t="str">
            <v>SUC_MEN - Sucursal Mendoza</v>
          </cell>
          <cell r="CR40" t="str">
            <v>SUC_MEN - Sucursal Mendoza</v>
          </cell>
          <cell r="CS40" t="str">
            <v>SUC_MEN - Sucursal Mendoza</v>
          </cell>
          <cell r="CT40" t="str">
            <v>SUC_MEN - Sucursal Mendoza</v>
          </cell>
          <cell r="CU40" t="str">
            <v>SUC_MEN - Sucursal Mendoza</v>
          </cell>
          <cell r="CV40" t="str">
            <v>SUC_MEN - Sucursal Mendoza</v>
          </cell>
          <cell r="CW40" t="str">
            <v>SUC_MEN - Sucursal Mendoza</v>
          </cell>
        </row>
        <row r="41">
          <cell r="D41" t="str">
            <v>AF804RE</v>
          </cell>
          <cell r="E41" t="str">
            <v>Chasis</v>
          </cell>
          <cell r="F41" t="str">
            <v>Chasis</v>
          </cell>
          <cell r="G41" t="str">
            <v>CHASIS</v>
          </cell>
          <cell r="N41" t="str">
            <v>CODYLSA (LEASING MB CIA FINANCIERA ARG. SA)</v>
          </cell>
          <cell r="O41" t="str">
            <v>CODYLSA</v>
          </cell>
          <cell r="P41" t="str">
            <v>Sí</v>
          </cell>
          <cell r="Q41" t="str">
            <v>Propio</v>
          </cell>
          <cell r="R41">
            <v>12</v>
          </cell>
          <cell r="S41" t="str">
            <v>Propio</v>
          </cell>
          <cell r="T41" t="str">
            <v>MERCEDES BENZ</v>
          </cell>
          <cell r="U41" t="str">
            <v>ATEGO 1721 48</v>
          </cell>
          <cell r="V41" t="str">
            <v>924989U1415940</v>
          </cell>
          <cell r="W41" t="str">
            <v>8AB958154PA804459</v>
          </cell>
          <cell r="X41">
            <v>2023</v>
          </cell>
          <cell r="Y41">
            <v>3</v>
          </cell>
          <cell r="BL41" t="str">
            <v>Sin Op</v>
          </cell>
          <cell r="BM41" t="str">
            <v>Sin Op</v>
          </cell>
          <cell r="BN41" t="str">
            <v>Sin Op</v>
          </cell>
          <cell r="BO41" t="str">
            <v>Sin Op</v>
          </cell>
          <cell r="BP41" t="str">
            <v>ADA_SMK - Danone Arg. S.A. - SMK</v>
          </cell>
          <cell r="BQ41" t="str">
            <v>Sin Operación</v>
          </cell>
          <cell r="BR41" t="str">
            <v>Sin Operación</v>
          </cell>
          <cell r="BS41" t="str">
            <v>Sin Operación</v>
          </cell>
          <cell r="BT41" t="str">
            <v>Unilever - Unilever de Arg. S.A.</v>
          </cell>
          <cell r="BU41" t="str">
            <v>Unilever - Unilever de Arg. S.A.</v>
          </cell>
          <cell r="BV41" t="str">
            <v>Unilever - Unilever de Arg. S.A.</v>
          </cell>
          <cell r="BW41" t="str">
            <v>Unilever - Unilever de Arg. S.A.</v>
          </cell>
          <cell r="BX41" t="str">
            <v>Unilever - Unilever de Arg. S.A.</v>
          </cell>
          <cell r="BY41" t="str">
            <v>Unilever - Unilever de Arg. S.A.</v>
          </cell>
          <cell r="BZ41" t="str">
            <v>Unilever - Unilever de Arg. S.A.</v>
          </cell>
          <cell r="CA41" t="str">
            <v>Unilever - Unilever de Arg. S.A.</v>
          </cell>
          <cell r="CB41" t="str">
            <v>JOHNSON - SC JOHNSON DE ARGENTINA SAIC</v>
          </cell>
          <cell r="CC41" t="str">
            <v>JOHNSON - SC JOHNSON DE ARGENTINA SAIC</v>
          </cell>
          <cell r="CD41" t="str">
            <v>JOHNSON - SC JOHNSON DE ARGENTINA SAIC</v>
          </cell>
          <cell r="CE41" t="str">
            <v>Unilever - Unilever de Arg. S.A.</v>
          </cell>
          <cell r="CF41" t="str">
            <v>Unilever - Unilever de Arg. S.A.</v>
          </cell>
          <cell r="CG41" t="str">
            <v>Unilever - Unilever de Arg. S.A.</v>
          </cell>
          <cell r="CH41" t="str">
            <v>Unilever - Unilever de Arg. S.A.</v>
          </cell>
          <cell r="CI41" t="str">
            <v>Unilever - Unilever de Arg. S.A.</v>
          </cell>
          <cell r="CJ41" t="str">
            <v>JOHNSON - SC JOHNSON DE ARGENTINA SAIC</v>
          </cell>
          <cell r="CK41" t="str">
            <v>JOHNSON - SC JOHNSON DE ARGENTINA SAIC</v>
          </cell>
          <cell r="CL41" t="str">
            <v>JOHNSON - SC JOHNSON DE ARGENTINA SAIC</v>
          </cell>
          <cell r="CM41" t="str">
            <v>Topacio</v>
          </cell>
          <cell r="CN41" t="str">
            <v>Sin Operación</v>
          </cell>
          <cell r="CO41" t="str">
            <v>Sin Operación</v>
          </cell>
          <cell r="CP41" t="str">
            <v>Sin Operación</v>
          </cell>
          <cell r="CQ41" t="str">
            <v>Papelera - Papelera del Plata S.A.</v>
          </cell>
          <cell r="CR41" t="str">
            <v>Papelera - Papelera del Plata S.A.</v>
          </cell>
          <cell r="CS41" t="str">
            <v>Papelera - Papelera del Plata S.A.</v>
          </cell>
          <cell r="CT41" t="str">
            <v>CCU_MZA - Comp. Cerv. Unidas - MZA</v>
          </cell>
          <cell r="CU41" t="str">
            <v>CCU_MZA - Comp. Cerv. Unidas - MZA</v>
          </cell>
          <cell r="CV41" t="str">
            <v>CCU_MZA - Comp. Cerv. Unidas - MZA</v>
          </cell>
          <cell r="CW41" t="str">
            <v>CCU_MZA - Comp. Cerv. Unidas - MZA</v>
          </cell>
        </row>
        <row r="42">
          <cell r="D42" t="str">
            <v>AF066NS</v>
          </cell>
          <cell r="E42" t="str">
            <v>CHASIS</v>
          </cell>
          <cell r="F42" t="str">
            <v>Balancin</v>
          </cell>
          <cell r="G42" t="str">
            <v>Balancin</v>
          </cell>
          <cell r="N42" t="str">
            <v>TDU</v>
          </cell>
          <cell r="O42" t="str">
            <v>TDU</v>
          </cell>
          <cell r="P42" t="str">
            <v>No</v>
          </cell>
          <cell r="Q42" t="str">
            <v>Propio</v>
          </cell>
          <cell r="R42">
            <v>12</v>
          </cell>
          <cell r="S42" t="str">
            <v>Propio</v>
          </cell>
          <cell r="T42" t="str">
            <v>IVECO</v>
          </cell>
          <cell r="U42" t="str">
            <v>DL-170E28NCM51 SIN EBS</v>
          </cell>
          <cell r="V42" t="str">
            <v>F4AE3681E*8086023</v>
          </cell>
          <cell r="W42" t="str">
            <v>8ATA1RMH0NX115575</v>
          </cell>
          <cell r="X42">
            <v>2021</v>
          </cell>
          <cell r="Y42">
            <v>5</v>
          </cell>
          <cell r="AX42" t="str">
            <v>CMQ_TTE - QUILMES TTE</v>
          </cell>
          <cell r="AY42" t="str">
            <v>CMQ_TTE - QUILMES TTE</v>
          </cell>
          <cell r="AZ42" t="str">
            <v>CMQ_TTE - QUILMES TTE</v>
          </cell>
          <cell r="BA42" t="str">
            <v>CMQ_TTE - QUILMES TTE</v>
          </cell>
          <cell r="BB42" t="str">
            <v>CMQ_TTE - QUILMES TTE</v>
          </cell>
          <cell r="BC42" t="str">
            <v>CMQ_TTE - QUILMES TTE</v>
          </cell>
          <cell r="BD42" t="str">
            <v>CMQ_TTE - QUILMES TTE</v>
          </cell>
          <cell r="BE42" t="str">
            <v>CMQ_TTE - QUILMES TTE</v>
          </cell>
          <cell r="BF42" t="str">
            <v>CMQ_TTE - QUILMES TTE</v>
          </cell>
          <cell r="BG42" t="str">
            <v>CMQ_TTE - QUILMES TTE</v>
          </cell>
          <cell r="BH42" t="str">
            <v>CMQ_TTE - QUILMES TTE</v>
          </cell>
          <cell r="BI42" t="str">
            <v>CMQ_TTE - QUILMES TTE</v>
          </cell>
          <cell r="BJ42" t="str">
            <v>CMQ_TTE - QUILMES TTE</v>
          </cell>
          <cell r="BK42" t="str">
            <v>CMQ_TTE - QUILMES TTE</v>
          </cell>
          <cell r="BL42" t="str">
            <v>CMQ_TTE - QUILMES TTE</v>
          </cell>
          <cell r="BM42" t="str">
            <v>CMQ_TTE - QUILMES TTE</v>
          </cell>
          <cell r="BN42" t="str">
            <v>CMQ_TTE - QUILMES TTE</v>
          </cell>
          <cell r="BO42" t="str">
            <v>CMQ_TTE - QUILMES TTE</v>
          </cell>
          <cell r="BP42" t="str">
            <v>CMQ_TTE - QUILMES TTE</v>
          </cell>
          <cell r="BQ42" t="str">
            <v>CMQ_TTE - QUILMES TTE</v>
          </cell>
          <cell r="BR42" t="str">
            <v>CMQ_TTE - QUILMES TTE</v>
          </cell>
          <cell r="BS42" t="str">
            <v>CMQ_TTE - QUILMES TTE</v>
          </cell>
          <cell r="BT42" t="str">
            <v>CMQ_TTE - QUILMES TTE</v>
          </cell>
          <cell r="BU42" t="str">
            <v>CMQ_TTE - QUILMES TTE</v>
          </cell>
          <cell r="BV42" t="str">
            <v>CMQ_TTE - QUILMES TTE</v>
          </cell>
          <cell r="BW42" t="str">
            <v>CMQ_TTE - QUILMES TTE</v>
          </cell>
          <cell r="BX42" t="str">
            <v>CMQ_TTE - QUILMES TTE</v>
          </cell>
          <cell r="BY42" t="str">
            <v>CMQ_TTE - QUILMES TTE</v>
          </cell>
          <cell r="BZ42" t="str">
            <v>CMQ_TTE - QUILMES TTE</v>
          </cell>
          <cell r="CA42" t="str">
            <v>CMQ_TTE - QUILMES TTE</v>
          </cell>
          <cell r="CB42" t="str">
            <v>CMQ_TTE - QUILMES TTE</v>
          </cell>
          <cell r="CC42" t="str">
            <v>CMQ_TTE - QUILMES TTE</v>
          </cell>
          <cell r="CD42" t="str">
            <v>CMQ_TTE - QUILMES TTE</v>
          </cell>
          <cell r="CE42" t="str">
            <v>CMQ_TTE - QUILMES TTE</v>
          </cell>
          <cell r="CF42" t="str">
            <v>CMQ_TTE - QUILMES TTE</v>
          </cell>
          <cell r="CG42" t="str">
            <v>CMQ_TTE - QUILMES TTE</v>
          </cell>
          <cell r="CH42" t="str">
            <v>CMQ_TTE - QUILMES TTE</v>
          </cell>
          <cell r="CI42" t="str">
            <v>CMQ_TTE - QUILMES TTE</v>
          </cell>
          <cell r="CJ42" t="str">
            <v>CMQ_TTE - QUILMES TTE</v>
          </cell>
          <cell r="CK42" t="str">
            <v>CMQ_TTE - QUILMES TTE</v>
          </cell>
          <cell r="CL42" t="str">
            <v>CMQ_TTE - QUILMES TTE</v>
          </cell>
          <cell r="CM42" t="str">
            <v>CMQ_TTE - QUILMES TTE</v>
          </cell>
          <cell r="CN42" t="str">
            <v>CMQ_TTE - QUILMES TTE</v>
          </cell>
          <cell r="CO42" t="str">
            <v>CMQ_TTE - QUILMES TTE</v>
          </cell>
          <cell r="CP42" t="str">
            <v>CMQ_TTE - QUILMES TTE</v>
          </cell>
          <cell r="CQ42" t="str">
            <v>CMQ_TTE - QUILMES TTE</v>
          </cell>
          <cell r="CR42" t="str">
            <v>CMQ_TTE - QUILMES TTE</v>
          </cell>
          <cell r="CS42" t="str">
            <v>CMQ_TTE - QUILMES TTE</v>
          </cell>
          <cell r="CT42" t="str">
            <v>CMQ_TTE - QUILMES TTE</v>
          </cell>
          <cell r="CU42" t="str">
            <v>CMQ_TTE - QUILMES TTE</v>
          </cell>
          <cell r="CV42" t="str">
            <v>CMQ_TTE - QUILMES TTE</v>
          </cell>
          <cell r="CW42" t="str">
            <v>CMQ_TTE - QUILMES TTE</v>
          </cell>
        </row>
        <row r="43">
          <cell r="D43" t="str">
            <v>AF066NT</v>
          </cell>
          <cell r="E43" t="str">
            <v>CHASIS</v>
          </cell>
          <cell r="F43" t="str">
            <v>Balancin</v>
          </cell>
          <cell r="G43" t="str">
            <v>Balancin</v>
          </cell>
          <cell r="N43" t="str">
            <v>TDU</v>
          </cell>
          <cell r="O43" t="str">
            <v>TDU</v>
          </cell>
          <cell r="P43" t="str">
            <v>No</v>
          </cell>
          <cell r="Q43" t="str">
            <v>Propio</v>
          </cell>
          <cell r="R43">
            <v>12</v>
          </cell>
          <cell r="S43" t="str">
            <v>Propio</v>
          </cell>
          <cell r="T43" t="str">
            <v>IVECO</v>
          </cell>
          <cell r="U43" t="str">
            <v>BX-170E28 MLC SIN EBS</v>
          </cell>
          <cell r="V43" t="str">
            <v>F4AE3681E*8087904</v>
          </cell>
          <cell r="W43" t="str">
            <v>8ATA1RMH0NX115993</v>
          </cell>
          <cell r="X43">
            <v>2021</v>
          </cell>
          <cell r="Y43">
            <v>5</v>
          </cell>
          <cell r="AX43" t="str">
            <v>CMQ_TTE - QUILMES TTE</v>
          </cell>
          <cell r="AY43" t="str">
            <v>CMQ_TTE - QUILMES TTE</v>
          </cell>
          <cell r="AZ43" t="str">
            <v>CMQ_TTE - QUILMES TTE</v>
          </cell>
          <cell r="BA43" t="str">
            <v>CMQ_TTE - QUILMES TTE</v>
          </cell>
          <cell r="BB43" t="str">
            <v>CMQ_TTE - QUILMES TTE</v>
          </cell>
          <cell r="BC43" t="str">
            <v>CMQ_TTE - QUILMES TTE</v>
          </cell>
          <cell r="BD43" t="str">
            <v>CMQ_TTE - QUILMES TTE</v>
          </cell>
          <cell r="BE43" t="str">
            <v>CMQ_TTE - QUILMES TTE</v>
          </cell>
          <cell r="BF43" t="str">
            <v>CMQ_TTE - QUILMES TTE</v>
          </cell>
          <cell r="BG43" t="str">
            <v>CMQ_TTE - QUILMES TTE</v>
          </cell>
          <cell r="BH43" t="str">
            <v>CMQ_TTE - QUILMES TTE</v>
          </cell>
          <cell r="BI43" t="str">
            <v>CMQ_TTE - QUILMES TTE</v>
          </cell>
          <cell r="BJ43" t="str">
            <v>CMQ_TTE - QUILMES TTE</v>
          </cell>
          <cell r="BK43" t="str">
            <v>CMQ_TTE - QUILMES TTE</v>
          </cell>
          <cell r="BL43" t="str">
            <v>CMQ_TTE - QUILMES TTE</v>
          </cell>
          <cell r="BM43" t="str">
            <v>CMQ_TTE - QUILMES TTE</v>
          </cell>
          <cell r="BN43" t="str">
            <v>CMQ_TTE - QUILMES TTE</v>
          </cell>
          <cell r="BO43" t="str">
            <v>CMQ_TTE - QUILMES TTE</v>
          </cell>
          <cell r="BP43" t="str">
            <v>CMQ_TTE - QUILMES TTE</v>
          </cell>
          <cell r="BQ43" t="str">
            <v>CMQ_TTE - QUILMES TTE</v>
          </cell>
          <cell r="BR43" t="str">
            <v>CMQ_TTE - QUILMES TTE</v>
          </cell>
          <cell r="BS43" t="str">
            <v>CMQ_TTE - QUILMES TTE</v>
          </cell>
          <cell r="BT43" t="str">
            <v>CMQ_TTE - QUILMES TTE</v>
          </cell>
          <cell r="BU43" t="str">
            <v>CMQ_TTE - QUILMES TTE</v>
          </cell>
          <cell r="BV43" t="str">
            <v>CMQ_TTE - QUILMES TTE</v>
          </cell>
          <cell r="BW43" t="str">
            <v>CMQ_TTE - QUILMES TTE</v>
          </cell>
          <cell r="BX43" t="str">
            <v>CMQ_TTE - QUILMES TTE</v>
          </cell>
          <cell r="BY43" t="str">
            <v>CMQ_TTE - QUILMES TTE</v>
          </cell>
          <cell r="BZ43" t="str">
            <v>CMQ_TTE - QUILMES TTE</v>
          </cell>
          <cell r="CA43" t="str">
            <v>CMQ_TTE - QUILMES TTE</v>
          </cell>
          <cell r="CB43" t="str">
            <v>CMQ_TTE - QUILMES TTE</v>
          </cell>
          <cell r="CC43" t="str">
            <v>CMQ_TTE - QUILMES TTE</v>
          </cell>
          <cell r="CD43" t="str">
            <v>CMQ_TTE - QUILMES TTE</v>
          </cell>
          <cell r="CE43" t="str">
            <v>CMQ_TTE - QUILMES TTE</v>
          </cell>
          <cell r="CF43" t="str">
            <v>CMQ_TTE - QUILMES TTE</v>
          </cell>
          <cell r="CG43" t="str">
            <v>CMQ_TTE - QUILMES TTE</v>
          </cell>
          <cell r="CH43" t="str">
            <v>CMQ_TTE - QUILMES TTE</v>
          </cell>
          <cell r="CI43" t="str">
            <v>CMQ_TTE - QUILMES TTE</v>
          </cell>
          <cell r="CJ43" t="str">
            <v>CMQ_TTE - QUILMES TTE</v>
          </cell>
          <cell r="CK43" t="str">
            <v>CMQ_TTE - QUILMES TTE</v>
          </cell>
          <cell r="CL43" t="str">
            <v>CMQ_TTE - QUILMES TTE</v>
          </cell>
          <cell r="CM43" t="str">
            <v>CMQ_TTE - QUILMES TTE</v>
          </cell>
          <cell r="CN43" t="str">
            <v>CMQ_TTE - QUILMES TTE</v>
          </cell>
          <cell r="CO43" t="str">
            <v>CMQ_TTE - QUILMES TTE</v>
          </cell>
          <cell r="CP43" t="str">
            <v>CMQ_TTE - QUILMES TTE</v>
          </cell>
          <cell r="CQ43" t="str">
            <v>CMQ_TTE - QUILMES TTE</v>
          </cell>
          <cell r="CR43" t="str">
            <v>CMQ_TTE - QUILMES TTE</v>
          </cell>
          <cell r="CS43" t="str">
            <v>CMQ_TTE - QUILMES TTE</v>
          </cell>
          <cell r="CT43" t="str">
            <v>CMQ_TTE - QUILMES TTE</v>
          </cell>
          <cell r="CU43" t="str">
            <v>CMQ_TTE - QUILMES TTE</v>
          </cell>
          <cell r="CV43" t="str">
            <v>CMQ_TTE - QUILMES TTE</v>
          </cell>
          <cell r="CW43" t="str">
            <v>CMQ_TTE - QUILMES TTE</v>
          </cell>
        </row>
        <row r="44">
          <cell r="D44" t="str">
            <v>AF066NU</v>
          </cell>
          <cell r="E44" t="str">
            <v>CHASIS</v>
          </cell>
          <cell r="F44" t="str">
            <v>Chasis</v>
          </cell>
          <cell r="G44" t="str">
            <v>Chasis</v>
          </cell>
          <cell r="N44" t="str">
            <v>TDU</v>
          </cell>
          <cell r="O44" t="str">
            <v>TDU</v>
          </cell>
          <cell r="P44" t="str">
            <v>No</v>
          </cell>
          <cell r="Q44" t="str">
            <v>Propio</v>
          </cell>
          <cell r="R44">
            <v>12</v>
          </cell>
          <cell r="S44" t="str">
            <v>Propio</v>
          </cell>
          <cell r="T44" t="str">
            <v>IVECO</v>
          </cell>
          <cell r="U44" t="str">
            <v>DL-170E28NCM51 SIN EBS</v>
          </cell>
          <cell r="V44" t="str">
            <v>F4AE3681E*8086094</v>
          </cell>
          <cell r="W44" t="str">
            <v>8ATA1RMH0NX115491</v>
          </cell>
          <cell r="X44">
            <v>2021</v>
          </cell>
          <cell r="Y44">
            <v>5</v>
          </cell>
          <cell r="AX44" t="str">
            <v>CMQ_TTE - QUILMES TTE</v>
          </cell>
          <cell r="AY44" t="str">
            <v>CMQ_TTE - QUILMES TTE</v>
          </cell>
          <cell r="AZ44" t="str">
            <v>CMQ_TTE - QUILMES TTE</v>
          </cell>
          <cell r="BA44" t="str">
            <v>CMQ_TTE - QUILMES TTE</v>
          </cell>
          <cell r="BB44" t="str">
            <v>CMQ_TTE - QUILMES TTE</v>
          </cell>
          <cell r="BC44" t="str">
            <v>CMQ_TTE - QUILMES TTE</v>
          </cell>
          <cell r="BD44" t="str">
            <v>CMQ_TTE - QUILMES TTE</v>
          </cell>
          <cell r="BE44" t="str">
            <v>CMQ_TTE - QUILMES TTE</v>
          </cell>
          <cell r="BF44" t="str">
            <v>CMQ_TTE - QUILMES TTE</v>
          </cell>
          <cell r="BG44" t="str">
            <v>CMQ_TTE - QUILMES TTE</v>
          </cell>
          <cell r="BH44" t="str">
            <v>CMQ_TTE - QUILMES TTE</v>
          </cell>
          <cell r="BI44" t="str">
            <v>CMQ_TTE - QUILMES TTE</v>
          </cell>
          <cell r="BJ44" t="str">
            <v>CMQ_TTE - QUILMES TTE</v>
          </cell>
          <cell r="BK44" t="str">
            <v>CMQ_TTE - QUILMES TTE</v>
          </cell>
          <cell r="BL44" t="str">
            <v>CMQ_TTE - QUILMES TTE</v>
          </cell>
          <cell r="BM44" t="str">
            <v>CMQ_TTE - QUILMES TTE</v>
          </cell>
          <cell r="BN44" t="str">
            <v>CMQ_TTE - QUILMES TTE</v>
          </cell>
          <cell r="BO44" t="str">
            <v>CMQ_TTE - QUILMES TTE</v>
          </cell>
          <cell r="BP44" t="str">
            <v>CMQ_TTE - QUILMES TTE</v>
          </cell>
          <cell r="BQ44" t="str">
            <v>CMQ_TTE - QUILMES TTE</v>
          </cell>
          <cell r="BR44" t="str">
            <v>CMQ_TTE - QUILMES TTE</v>
          </cell>
          <cell r="BS44" t="str">
            <v>CMQ_TTE - QUILMES TTE</v>
          </cell>
          <cell r="BT44" t="str">
            <v>CMQ_TTE - QUILMES TTE</v>
          </cell>
          <cell r="BU44" t="str">
            <v>CMQ_TTE - QUILMES TTE</v>
          </cell>
          <cell r="BV44" t="str">
            <v>CMQ_TTE - QUILMES TTE</v>
          </cell>
          <cell r="BW44" t="str">
            <v>CMQ_TTE - QUILMES TTE</v>
          </cell>
          <cell r="BX44" t="str">
            <v>CMQ_TTE - QUILMES TTE</v>
          </cell>
          <cell r="BY44" t="str">
            <v>CMQ_TTE - QUILMES TTE</v>
          </cell>
          <cell r="BZ44" t="str">
            <v>CMQ_TTE - QUILMES TTE</v>
          </cell>
          <cell r="CA44" t="str">
            <v>CMQ_TTE - QUILMES TTE</v>
          </cell>
          <cell r="CB44" t="str">
            <v>CMQ_TTE - QUILMES TTE</v>
          </cell>
          <cell r="CC44" t="str">
            <v>CMQ_TTE - QUILMES TTE</v>
          </cell>
          <cell r="CD44" t="str">
            <v>CMQ_TTE - QUILMES TTE</v>
          </cell>
          <cell r="CE44" t="str">
            <v>CMQ_TTE - QUILMES TTE</v>
          </cell>
          <cell r="CF44" t="str">
            <v>CMQ_TTE - QUILMES TTE</v>
          </cell>
          <cell r="CG44" t="str">
            <v>CMQ_TTE - QUILMES TTE</v>
          </cell>
          <cell r="CH44" t="str">
            <v>CMQ_TTE - QUILMES TTE</v>
          </cell>
          <cell r="CI44" t="str">
            <v>CMQ_TTE - QUILMES TTE</v>
          </cell>
          <cell r="CJ44" t="str">
            <v>CMQ_TTE - QUILMES TTE</v>
          </cell>
          <cell r="CK44" t="str">
            <v>CMQ_TTE - QUILMES TTE</v>
          </cell>
          <cell r="CL44" t="str">
            <v>CMQ_TTE - QUILMES TTE</v>
          </cell>
          <cell r="CM44" t="str">
            <v>CMQ_TTE - QUILMES TTE</v>
          </cell>
          <cell r="CN44" t="str">
            <v>CMQ_TTE - QUILMES TTE</v>
          </cell>
          <cell r="CO44" t="str">
            <v>CMQ_TTE - QUILMES TTE</v>
          </cell>
          <cell r="CP44" t="str">
            <v>CMQ_TTE - QUILMES TTE</v>
          </cell>
          <cell r="CQ44" t="str">
            <v>CMQ_TTE - QUILMES TTE</v>
          </cell>
          <cell r="CR44" t="str">
            <v>CMQ_TTE - QUILMES TTE</v>
          </cell>
          <cell r="CS44" t="str">
            <v>CMQ_TTE - QUILMES TTE</v>
          </cell>
          <cell r="CT44" t="str">
            <v>CMQ_TTE - QUILMES TTE</v>
          </cell>
          <cell r="CU44" t="str">
            <v>CMQ_TTE - QUILMES TTE</v>
          </cell>
          <cell r="CV44" t="str">
            <v>CMQ_TTE - QUILMES TTE</v>
          </cell>
          <cell r="CW44" t="str">
            <v>CMQ_TTE - QUILMES TTE</v>
          </cell>
        </row>
        <row r="45">
          <cell r="D45" t="str">
            <v>AF066NX</v>
          </cell>
          <cell r="E45" t="str">
            <v>CHASIS</v>
          </cell>
          <cell r="F45" t="str">
            <v>Balancin</v>
          </cell>
          <cell r="G45" t="str">
            <v>Balancin</v>
          </cell>
          <cell r="N45" t="str">
            <v>TDU</v>
          </cell>
          <cell r="O45" t="str">
            <v>TDU</v>
          </cell>
          <cell r="P45" t="str">
            <v>No</v>
          </cell>
          <cell r="Q45" t="str">
            <v>Propio</v>
          </cell>
          <cell r="R45">
            <v>14</v>
          </cell>
          <cell r="S45" t="str">
            <v>Propio</v>
          </cell>
          <cell r="T45" t="str">
            <v>IVECO</v>
          </cell>
          <cell r="U45" t="str">
            <v>BX-170E28 MLC SIN EBS</v>
          </cell>
          <cell r="V45" t="str">
            <v>F4AE3681E*8087900</v>
          </cell>
          <cell r="W45" t="str">
            <v>8ATA1RMH0NX116037</v>
          </cell>
          <cell r="X45">
            <v>2021</v>
          </cell>
          <cell r="Y45">
            <v>5</v>
          </cell>
          <cell r="AX45" t="str">
            <v>CMQ_TTE - QUILMES TTE</v>
          </cell>
          <cell r="AY45" t="str">
            <v>CMQ_TTE - QUILMES TTE</v>
          </cell>
          <cell r="AZ45" t="str">
            <v>CMQ_TTE - QUILMES TTE</v>
          </cell>
          <cell r="BA45" t="str">
            <v>CMQ_TTE - QUILMES TTE</v>
          </cell>
          <cell r="BB45" t="str">
            <v>CMQ_TTE - QUILMES TTE</v>
          </cell>
          <cell r="BC45" t="str">
            <v>CMQ_TTE - QUILMES TTE</v>
          </cell>
          <cell r="BD45" t="str">
            <v>CMQ_TTE - QUILMES TTE</v>
          </cell>
          <cell r="BE45" t="str">
            <v>CMQ_TTE - QUILMES TTE</v>
          </cell>
          <cell r="BF45" t="str">
            <v>CMQ_TTE - QUILMES TTE</v>
          </cell>
          <cell r="BG45" t="str">
            <v>CMQ_TTE - QUILMES TTE</v>
          </cell>
          <cell r="BH45" t="str">
            <v>CMQ_TTE - QUILMES TTE</v>
          </cell>
          <cell r="BI45" t="str">
            <v>CMQ_TTE - QUILMES TTE</v>
          </cell>
          <cell r="BJ45" t="str">
            <v>CMQ_TTE - QUILMES TTE</v>
          </cell>
          <cell r="BK45" t="str">
            <v>CMQ_TTE - QUILMES TTE</v>
          </cell>
          <cell r="BL45" t="str">
            <v>CMQ_TTE - QUILMES TTE</v>
          </cell>
          <cell r="BM45" t="str">
            <v>CMQ_TTE - QUILMES TTE</v>
          </cell>
          <cell r="BN45" t="str">
            <v>CMQ_TTE - QUILMES TTE</v>
          </cell>
          <cell r="BO45" t="str">
            <v>CMQ_TTE - QUILMES TTE</v>
          </cell>
          <cell r="BP45" t="str">
            <v>CMQ_TTE - QUILMES TTE</v>
          </cell>
          <cell r="BQ45" t="str">
            <v>CMQ_TTE - QUILMES TTE</v>
          </cell>
          <cell r="BR45" t="str">
            <v>CMQ_TTE - QUILMES TTE</v>
          </cell>
          <cell r="BS45" t="str">
            <v>CMQ_TTE - QUILMES TTE</v>
          </cell>
          <cell r="BT45" t="str">
            <v>CMQ_TTE - QUILMES TTE</v>
          </cell>
          <cell r="BU45" t="str">
            <v>CMQ_TTE - QUILMES TTE</v>
          </cell>
          <cell r="BV45" t="str">
            <v>CMQ_TTE - QUILMES TTE</v>
          </cell>
          <cell r="BW45" t="str">
            <v>CMQ_TTE - QUILMES TTE</v>
          </cell>
          <cell r="BX45" t="str">
            <v>CMQ_TTE - QUILMES TTE</v>
          </cell>
          <cell r="BY45" t="str">
            <v>CMQ_TTE - QUILMES TTE</v>
          </cell>
          <cell r="BZ45" t="str">
            <v>CMQ_TTE - QUILMES TTE</v>
          </cell>
          <cell r="CA45" t="str">
            <v>CMQ_TTE - QUILMES TTE</v>
          </cell>
          <cell r="CB45" t="str">
            <v>CMQ_TTE - QUILMES TTE</v>
          </cell>
          <cell r="CC45" t="str">
            <v>CMQ_TTE - QUILMES TTE</v>
          </cell>
          <cell r="CD45" t="str">
            <v>CMQ_TTE - QUILMES TTE</v>
          </cell>
          <cell r="CE45" t="str">
            <v>CMQ_TTE - QUILMES TTE</v>
          </cell>
          <cell r="CF45" t="str">
            <v>CMQ_TTE - QUILMES TTE</v>
          </cell>
          <cell r="CG45" t="str">
            <v>CMQ_TTE - QUILMES TTE</v>
          </cell>
          <cell r="CH45" t="str">
            <v>CMQ_TTE - QUILMES TTE</v>
          </cell>
          <cell r="CI45" t="str">
            <v>CMQ_TTE - QUILMES TTE</v>
          </cell>
          <cell r="CJ45" t="str">
            <v>CMQ_TTE - QUILMES TTE</v>
          </cell>
          <cell r="CK45" t="str">
            <v>CMQ_TTE - QUILMES TTE</v>
          </cell>
          <cell r="CL45" t="str">
            <v>CMQ_TTE - QUILMES TTE</v>
          </cell>
          <cell r="CM45" t="str">
            <v>CMQ_TTE - QUILMES TTE</v>
          </cell>
          <cell r="CN45" t="str">
            <v>CMQ_TTE - QUILMES TTE</v>
          </cell>
          <cell r="CO45" t="str">
            <v>CMQ_TTE - QUILMES TTE</v>
          </cell>
          <cell r="CP45" t="str">
            <v>CMQ_TTE - QUILMES TTE</v>
          </cell>
          <cell r="CQ45" t="str">
            <v>CMQ_TTE - QUILMES TTE</v>
          </cell>
          <cell r="CR45" t="str">
            <v>CMQ_TTE - QUILMES TTE</v>
          </cell>
          <cell r="CS45" t="str">
            <v>CMQ_TTE - QUILMES TTE</v>
          </cell>
          <cell r="CT45" t="str">
            <v>CMQ_TTE - QUILMES TTE</v>
          </cell>
          <cell r="CU45" t="str">
            <v>CMQ_TTE - QUILMES TTE</v>
          </cell>
          <cell r="CV45" t="str">
            <v>CMQ_TTE - QUILMES TTE</v>
          </cell>
          <cell r="CW45" t="str">
            <v>CMQ_TTE - QUILMES TTE</v>
          </cell>
        </row>
        <row r="46">
          <cell r="D46" t="str">
            <v>AF066NZ</v>
          </cell>
          <cell r="E46" t="str">
            <v>CHASIS</v>
          </cell>
          <cell r="F46" t="str">
            <v>Balancin</v>
          </cell>
          <cell r="G46" t="str">
            <v>Balancin</v>
          </cell>
          <cell r="N46" t="str">
            <v>TDU</v>
          </cell>
          <cell r="O46" t="str">
            <v>TDU</v>
          </cell>
          <cell r="P46" t="str">
            <v>No</v>
          </cell>
          <cell r="Q46" t="str">
            <v>Propio</v>
          </cell>
          <cell r="R46">
            <v>12</v>
          </cell>
          <cell r="S46" t="str">
            <v>Propio</v>
          </cell>
          <cell r="T46" t="str">
            <v>IVECO</v>
          </cell>
          <cell r="U46" t="str">
            <v>BX-170E28 MLC SIN EBS</v>
          </cell>
          <cell r="V46" t="str">
            <v>F4AE3681E*8088191</v>
          </cell>
          <cell r="W46" t="str">
            <v>8ATA1RMH0NX116041</v>
          </cell>
          <cell r="X46">
            <v>2021</v>
          </cell>
          <cell r="Y46">
            <v>5</v>
          </cell>
          <cell r="AX46" t="str">
            <v>CMQ_TTE - QUILMES TTE</v>
          </cell>
          <cell r="AY46" t="str">
            <v>CMQ_TTE - QUILMES TTE</v>
          </cell>
          <cell r="AZ46" t="str">
            <v>CMQ_TTE - QUILMES TTE</v>
          </cell>
          <cell r="BA46" t="str">
            <v>CMQ_TTE - QUILMES TTE</v>
          </cell>
          <cell r="BB46" t="str">
            <v>CMQ_TTE - QUILMES TTE</v>
          </cell>
          <cell r="BC46" t="str">
            <v>CMQ_TTE - QUILMES TTE</v>
          </cell>
          <cell r="BD46" t="str">
            <v>CMQ_TTE - QUILMES TTE</v>
          </cell>
          <cell r="BE46" t="str">
            <v>CMQ_TTE - QUILMES TTE</v>
          </cell>
          <cell r="BF46" t="str">
            <v>CMQ_TTE - QUILMES TTE</v>
          </cell>
          <cell r="BG46" t="str">
            <v>CMQ_TTE - QUILMES TTE</v>
          </cell>
          <cell r="BH46" t="str">
            <v>CMQ_TTE - QUILMES TTE</v>
          </cell>
          <cell r="BI46" t="str">
            <v>CMQ_TTE - QUILMES TTE</v>
          </cell>
          <cell r="BJ46" t="str">
            <v>CMQ_TTE - QUILMES TTE</v>
          </cell>
          <cell r="BK46" t="str">
            <v>CMQ_TTE - QUILMES TTE</v>
          </cell>
          <cell r="BL46" t="str">
            <v>CMQ_TTE - QUILMES TTE</v>
          </cell>
          <cell r="BM46" t="str">
            <v>CMQ_TTE - QUILMES TTE</v>
          </cell>
          <cell r="BN46" t="str">
            <v>CMQ_TTE - QUILMES TTE</v>
          </cell>
          <cell r="BO46" t="str">
            <v>CMQ_TTE - QUILMES TTE</v>
          </cell>
          <cell r="BP46" t="str">
            <v>CMQ_TTE - QUILMES TTE</v>
          </cell>
          <cell r="BQ46" t="str">
            <v>CMQ_TTE - QUILMES TTE</v>
          </cell>
          <cell r="BR46" t="str">
            <v>CMQ_TTE - QUILMES TTE</v>
          </cell>
          <cell r="BS46" t="str">
            <v>CMQ_TTE - QUILMES TTE</v>
          </cell>
          <cell r="BT46" t="str">
            <v>CMQ_TTE - QUILMES TTE</v>
          </cell>
          <cell r="BU46" t="str">
            <v>CMQ_TTE - QUILMES TTE</v>
          </cell>
          <cell r="BV46" t="str">
            <v>CMQ_TTE - QUILMES TTE</v>
          </cell>
          <cell r="BW46" t="str">
            <v>CMQ_TTE - QUILMES TTE</v>
          </cell>
          <cell r="BX46" t="str">
            <v>CMQ_TTE - QUILMES TTE</v>
          </cell>
          <cell r="BY46" t="str">
            <v>CMQ_TTE - QUILMES TTE</v>
          </cell>
          <cell r="BZ46" t="str">
            <v>CMQ_TTE - QUILMES TTE</v>
          </cell>
          <cell r="CA46" t="str">
            <v>CMQ_TTE - QUILMES TTE</v>
          </cell>
          <cell r="CB46" t="str">
            <v>CMQ_TTE - QUILMES TTE</v>
          </cell>
          <cell r="CC46" t="str">
            <v>CMQ_TTE - QUILMES TTE</v>
          </cell>
          <cell r="CD46" t="str">
            <v>CMQ_TTE - QUILMES TTE</v>
          </cell>
          <cell r="CE46" t="str">
            <v>CMQ_TTE - QUILMES TTE</v>
          </cell>
          <cell r="CF46" t="str">
            <v>CMQ_TTE - QUILMES TTE</v>
          </cell>
          <cell r="CG46" t="str">
            <v>CMQ_TTE - QUILMES TTE</v>
          </cell>
          <cell r="CH46" t="str">
            <v>CMQ_TTE - QUILMES TTE</v>
          </cell>
          <cell r="CI46" t="str">
            <v>CMQ_TTE - QUILMES TTE</v>
          </cell>
          <cell r="CJ46" t="str">
            <v>CMQ_TTE - QUILMES TTE</v>
          </cell>
          <cell r="CK46" t="str">
            <v>CMQ_TTE - QUILMES TTE</v>
          </cell>
          <cell r="CL46" t="str">
            <v>CMQ_TTE - QUILMES TTE</v>
          </cell>
          <cell r="CM46" t="str">
            <v>CMQ_TTE - QUILMES TTE</v>
          </cell>
          <cell r="CN46" t="str">
            <v>CMQ_TTE - QUILMES TTE</v>
          </cell>
          <cell r="CO46" t="str">
            <v>CMQ_TTE - QUILMES TTE</v>
          </cell>
          <cell r="CP46" t="str">
            <v>CMQ_TTE - QUILMES TTE</v>
          </cell>
          <cell r="CQ46" t="str">
            <v>CMQ_TTE - QUILMES TTE</v>
          </cell>
          <cell r="CR46" t="str">
            <v>CMQ_TTE - QUILMES TTE</v>
          </cell>
          <cell r="CS46" t="str">
            <v>CMQ_TTE - QUILMES TTE</v>
          </cell>
          <cell r="CT46" t="str">
            <v>CMQ_TTE - QUILMES TTE</v>
          </cell>
          <cell r="CU46" t="str">
            <v>CMQ_TTE - QUILMES TTE</v>
          </cell>
          <cell r="CV46" t="str">
            <v>CMQ_TTE - QUILMES TTE</v>
          </cell>
          <cell r="CW46" t="str">
            <v>CMQ_TTE - QUILMES TTE</v>
          </cell>
        </row>
        <row r="47">
          <cell r="D47" t="str">
            <v>AF088EA</v>
          </cell>
          <cell r="E47" t="str">
            <v>CHASIS</v>
          </cell>
          <cell r="F47" t="str">
            <v>Balancin</v>
          </cell>
          <cell r="G47" t="str">
            <v>Balancin</v>
          </cell>
          <cell r="N47" t="str">
            <v>TDU</v>
          </cell>
          <cell r="O47" t="str">
            <v>TDU</v>
          </cell>
          <cell r="P47" t="str">
            <v>No</v>
          </cell>
          <cell r="Q47" t="str">
            <v>Propio</v>
          </cell>
          <cell r="R47">
            <v>12</v>
          </cell>
          <cell r="S47" t="str">
            <v>Propio</v>
          </cell>
          <cell r="T47" t="str">
            <v>IVECO</v>
          </cell>
          <cell r="U47" t="str">
            <v>DL-170E28NCM51 SIN EBS</v>
          </cell>
          <cell r="V47" t="str">
            <v>F4AE3681E*8086104</v>
          </cell>
          <cell r="W47" t="str">
            <v>8ATA1RMH0NX115499</v>
          </cell>
          <cell r="X47">
            <v>2021</v>
          </cell>
          <cell r="Y47">
            <v>5</v>
          </cell>
          <cell r="AX47" t="str">
            <v>CMQ_TTE - QUILMES TTE</v>
          </cell>
          <cell r="AY47" t="str">
            <v>CMQ_TTE - QUILMES TTE</v>
          </cell>
          <cell r="AZ47" t="str">
            <v>CMQ_TTE - QUILMES TTE</v>
          </cell>
          <cell r="BA47" t="str">
            <v>CMQ_TTE - QUILMES TTE</v>
          </cell>
          <cell r="BB47" t="str">
            <v>CMQ_TTE - QUILMES TTE</v>
          </cell>
          <cell r="BC47" t="str">
            <v>CMQ_TTE - QUILMES TTE</v>
          </cell>
          <cell r="BD47" t="str">
            <v>CMQ_TTE - QUILMES TTE</v>
          </cell>
          <cell r="BE47" t="str">
            <v>CMQ_TTE - QUILMES TTE</v>
          </cell>
          <cell r="BF47" t="str">
            <v>CMQ_TTE - QUILMES TTE</v>
          </cell>
          <cell r="BG47" t="str">
            <v>CMQ_TTE - QUILMES TTE</v>
          </cell>
          <cell r="BH47" t="str">
            <v>CMQ_TTE - QUILMES TTE</v>
          </cell>
          <cell r="BI47" t="str">
            <v>CMQ_TTE - QUILMES TTE</v>
          </cell>
          <cell r="BJ47" t="str">
            <v>CMQ_TTE - QUILMES TTE</v>
          </cell>
          <cell r="BK47" t="str">
            <v>CMQ_TTE - QUILMES TTE</v>
          </cell>
          <cell r="BL47" t="str">
            <v>CMQ_TTE - QUILMES TTE</v>
          </cell>
          <cell r="BM47" t="str">
            <v>CMQ_TTE - QUILMES TTE</v>
          </cell>
          <cell r="BN47" t="str">
            <v>CMQ_TTE - QUILMES TTE</v>
          </cell>
          <cell r="BO47" t="str">
            <v>CMQ_TTE - QUILMES TTE</v>
          </cell>
          <cell r="BP47" t="str">
            <v>CMQ_TTE - QUILMES TTE</v>
          </cell>
          <cell r="BQ47" t="str">
            <v>CMQ_TTE - QUILMES TTE</v>
          </cell>
          <cell r="BR47" t="str">
            <v>CMQ_TTE - QUILMES TTE</v>
          </cell>
          <cell r="BS47" t="str">
            <v>CMQ_TTE - QUILMES TTE</v>
          </cell>
          <cell r="BT47" t="str">
            <v>CMQ_TTE - QUILMES TTE</v>
          </cell>
          <cell r="BU47" t="str">
            <v>CMQ_TTE - QUILMES TTE</v>
          </cell>
          <cell r="BV47" t="str">
            <v>CMQ_TTE - QUILMES TTE</v>
          </cell>
          <cell r="BW47" t="str">
            <v>CMQ_TTE - QUILMES TTE</v>
          </cell>
          <cell r="BX47" t="str">
            <v>CMQ_TTE - QUILMES TTE</v>
          </cell>
          <cell r="BY47" t="str">
            <v>CMQ_TTE - QUILMES TTE</v>
          </cell>
          <cell r="BZ47" t="str">
            <v>CMQ_TTE - QUILMES TTE</v>
          </cell>
          <cell r="CA47" t="str">
            <v>CMQ_TTE - QUILMES TTE</v>
          </cell>
          <cell r="CB47" t="str">
            <v>CMQ_TTE - QUILMES TTE</v>
          </cell>
          <cell r="CC47" t="str">
            <v>CMQ_TTE - QUILMES TTE</v>
          </cell>
          <cell r="CD47" t="str">
            <v>CMQ_TTE - QUILMES TTE</v>
          </cell>
          <cell r="CE47" t="str">
            <v>CMQ_TTE - QUILMES TTE</v>
          </cell>
          <cell r="CF47" t="str">
            <v>CMQ_TTE - QUILMES TTE</v>
          </cell>
          <cell r="CG47" t="str">
            <v>CMQ_TTE - QUILMES TTE</v>
          </cell>
          <cell r="CH47" t="str">
            <v>CMQ_TTE - QUILMES TTE</v>
          </cell>
          <cell r="CI47" t="str">
            <v>CMQ_TTE - QUILMES TTE</v>
          </cell>
          <cell r="CJ47" t="str">
            <v>CMQ_TTE - QUILMES TTE</v>
          </cell>
          <cell r="CK47" t="str">
            <v>CMQ_TTE - QUILMES TTE</v>
          </cell>
          <cell r="CL47" t="str">
            <v>CMQ_TTE - QUILMES TTE</v>
          </cell>
          <cell r="CM47" t="str">
            <v>CMQ_TTE - QUILMES TTE</v>
          </cell>
          <cell r="CN47" t="str">
            <v>CMQ_TTE - QUILMES TTE</v>
          </cell>
          <cell r="CO47" t="str">
            <v>CMQ_TTE - QUILMES TTE</v>
          </cell>
          <cell r="CP47" t="str">
            <v>CMQ_TTE - QUILMES TTE</v>
          </cell>
          <cell r="CQ47" t="str">
            <v>CMQ_TTE - QUILMES TTE</v>
          </cell>
          <cell r="CR47" t="str">
            <v>CMQ_TTE - QUILMES TTE</v>
          </cell>
          <cell r="CS47" t="str">
            <v>CMQ_TTE - QUILMES TTE</v>
          </cell>
          <cell r="CT47" t="str">
            <v>CMQ_TTE - QUILMES TTE</v>
          </cell>
          <cell r="CU47" t="str">
            <v>CMQ_TTE - QUILMES TTE</v>
          </cell>
          <cell r="CV47" t="str">
            <v>CMQ_TTE - QUILMES TTE</v>
          </cell>
          <cell r="CW47" t="str">
            <v>CMQ_TTE - QUILMES TTE</v>
          </cell>
        </row>
        <row r="48">
          <cell r="D48" t="str">
            <v>AF088ED</v>
          </cell>
          <cell r="E48" t="str">
            <v>CHASIS</v>
          </cell>
          <cell r="F48" t="str">
            <v>Balancin</v>
          </cell>
          <cell r="G48" t="str">
            <v>Balancin</v>
          </cell>
          <cell r="N48" t="str">
            <v>TDU</v>
          </cell>
          <cell r="O48" t="str">
            <v>TDU</v>
          </cell>
          <cell r="P48" t="str">
            <v>No</v>
          </cell>
          <cell r="Q48" t="str">
            <v>Propio</v>
          </cell>
          <cell r="R48">
            <v>12</v>
          </cell>
          <cell r="S48" t="str">
            <v>Propio</v>
          </cell>
          <cell r="T48" t="str">
            <v>MERCEDES BENZ</v>
          </cell>
          <cell r="U48" t="str">
            <v>958 ATEGO 1726-42 CE</v>
          </cell>
          <cell r="V48" t="str">
            <v>926991U1350214</v>
          </cell>
          <cell r="W48" t="str">
            <v>8AB958125NA802780</v>
          </cell>
          <cell r="X48">
            <v>2021</v>
          </cell>
          <cell r="Y48">
            <v>5</v>
          </cell>
          <cell r="AX48" t="str">
            <v>CMQ_TTE - QUILMES TTE</v>
          </cell>
          <cell r="AY48" t="str">
            <v>CMQ_TTE - QUILMES TTE</v>
          </cell>
          <cell r="AZ48" t="str">
            <v>CMQ_TTE - QUILMES TTE</v>
          </cell>
          <cell r="BA48" t="str">
            <v>CMQ_TTE - QUILMES TTE</v>
          </cell>
          <cell r="BB48" t="str">
            <v>CMQ_TTE - QUILMES TTE</v>
          </cell>
          <cell r="BC48" t="str">
            <v>CMQ_TTE - QUILMES TTE</v>
          </cell>
          <cell r="BD48" t="str">
            <v>CMQ_TTE - QUILMES TTE</v>
          </cell>
          <cell r="BE48" t="str">
            <v>CMQ_TTE - QUILMES TTE</v>
          </cell>
          <cell r="BF48" t="str">
            <v>CMQ_TTE - QUILMES TTE</v>
          </cell>
          <cell r="BG48" t="str">
            <v>CMQ_TTE - QUILMES TTE</v>
          </cell>
          <cell r="BH48" t="str">
            <v>CMQ_TTE - QUILMES TTE</v>
          </cell>
          <cell r="BI48" t="str">
            <v>CMQ_TTE - QUILMES TTE</v>
          </cell>
          <cell r="BJ48" t="str">
            <v>CMQ_TTE - QUILMES TTE</v>
          </cell>
          <cell r="BK48" t="str">
            <v>CMQ_TTE - QUILMES TTE</v>
          </cell>
          <cell r="BL48" t="str">
            <v>CMQ_TTE - QUILMES TTE</v>
          </cell>
          <cell r="BM48" t="str">
            <v>CMQ_TTE - QUILMES TTE</v>
          </cell>
          <cell r="BN48" t="str">
            <v>CMQ_TTE - QUILMES TTE</v>
          </cell>
          <cell r="BO48" t="str">
            <v>CMQ_TTE - QUILMES TTE</v>
          </cell>
          <cell r="BP48" t="str">
            <v>CMQ_TTE - QUILMES TTE</v>
          </cell>
          <cell r="BQ48" t="str">
            <v>CMQ_TTE - QUILMES TTE</v>
          </cell>
          <cell r="BR48" t="str">
            <v>CMQ_TTE - QUILMES TTE</v>
          </cell>
          <cell r="BS48" t="str">
            <v>CMQ_TTE - QUILMES TTE</v>
          </cell>
          <cell r="BT48" t="str">
            <v>CMQ_TTE - QUILMES TTE</v>
          </cell>
          <cell r="BU48" t="str">
            <v>CMQ_TTE - QUILMES TTE</v>
          </cell>
          <cell r="BV48" t="str">
            <v>CMQ_TTE - QUILMES TTE</v>
          </cell>
          <cell r="BW48" t="str">
            <v>CMQ_TTE - QUILMES TTE</v>
          </cell>
          <cell r="BX48" t="str">
            <v>CMQ_TTE - QUILMES TTE</v>
          </cell>
          <cell r="BY48" t="str">
            <v>CMQ_TTE - QUILMES TTE</v>
          </cell>
          <cell r="BZ48" t="str">
            <v>CMQ_TTE - QUILMES TTE</v>
          </cell>
          <cell r="CA48" t="str">
            <v>CMQ_TTE - QUILMES TTE</v>
          </cell>
          <cell r="CB48" t="str">
            <v>CMQ_TTE - QUILMES TTE</v>
          </cell>
          <cell r="CC48" t="str">
            <v>CMQ_TTE - QUILMES TTE</v>
          </cell>
          <cell r="CD48" t="str">
            <v>CMQ_TTE - QUILMES TTE</v>
          </cell>
          <cell r="CE48" t="str">
            <v>CMQ_TTE - QUILMES TTE</v>
          </cell>
          <cell r="CF48" t="str">
            <v>CMQ_TTE - QUILMES TTE</v>
          </cell>
          <cell r="CG48" t="str">
            <v>CMQ_TTE - QUILMES TTE</v>
          </cell>
          <cell r="CH48" t="str">
            <v>CMQ_TTE - QUILMES TTE</v>
          </cell>
          <cell r="CI48" t="str">
            <v>CMQ_TTE - QUILMES TTE</v>
          </cell>
          <cell r="CJ48" t="str">
            <v>CMQ_TTE - QUILMES TTE</v>
          </cell>
          <cell r="CK48" t="str">
            <v>CMQ_TTE - QUILMES TTE</v>
          </cell>
          <cell r="CL48" t="str">
            <v>CMQ_TTE - QUILMES TTE</v>
          </cell>
          <cell r="CM48" t="str">
            <v>CMQ_TTE - QUILMES TTE</v>
          </cell>
          <cell r="CN48" t="str">
            <v>CMQ_TTE - QUILMES TTE</v>
          </cell>
          <cell r="CO48" t="str">
            <v>CMQ_TTE - QUILMES TTE</v>
          </cell>
          <cell r="CP48" t="str">
            <v>CMQ_TTE - QUILMES TTE</v>
          </cell>
          <cell r="CQ48" t="str">
            <v>CMQ_TTE - QUILMES TTE</v>
          </cell>
          <cell r="CR48" t="str">
            <v>CMQ_TTE - QUILMES TTE</v>
          </cell>
          <cell r="CS48" t="str">
            <v>CMQ_TTE - QUILMES TTE</v>
          </cell>
          <cell r="CT48" t="str">
            <v>CMQ_TTE - QUILMES TTE</v>
          </cell>
          <cell r="CU48" t="str">
            <v>CMQ_TTE - QUILMES TTE</v>
          </cell>
          <cell r="CV48" t="str">
            <v>CMQ_TTE - QUILMES TTE</v>
          </cell>
          <cell r="CW48" t="str">
            <v>CMQ_TTE - QUILMES TTE</v>
          </cell>
        </row>
        <row r="49">
          <cell r="D49" t="str">
            <v>AF114FN</v>
          </cell>
          <cell r="E49" t="str">
            <v>CHASIS</v>
          </cell>
          <cell r="F49" t="str">
            <v>Balancin</v>
          </cell>
          <cell r="G49" t="str">
            <v>Balancin</v>
          </cell>
          <cell r="N49" t="str">
            <v>TDU</v>
          </cell>
          <cell r="O49" t="str">
            <v>TDU</v>
          </cell>
          <cell r="P49" t="str">
            <v>No</v>
          </cell>
          <cell r="Q49" t="str">
            <v>Propio</v>
          </cell>
          <cell r="R49">
            <v>12</v>
          </cell>
          <cell r="S49" t="str">
            <v>Propio</v>
          </cell>
          <cell r="T49" t="str">
            <v>IVECO</v>
          </cell>
          <cell r="U49" t="str">
            <v>BX-170E28 MLC SIN EBS</v>
          </cell>
          <cell r="V49" t="str">
            <v>F4AE3681E*8088988</v>
          </cell>
          <cell r="W49" t="str">
            <v>8ATA1RMH0NX116284</v>
          </cell>
          <cell r="X49">
            <v>2021</v>
          </cell>
          <cell r="Y49">
            <v>5</v>
          </cell>
          <cell r="AY49" t="str">
            <v>CMQ_TTE - QUILMES TTE</v>
          </cell>
          <cell r="AZ49" t="str">
            <v>CMQ_TTE - QUILMES TTE</v>
          </cell>
          <cell r="BA49" t="str">
            <v>CMQ_TTE - QUILMES TTE</v>
          </cell>
          <cell r="BB49" t="str">
            <v>CMQ_TTE - QUILMES TTE</v>
          </cell>
          <cell r="BC49" t="str">
            <v>CMQ_TTE - QUILMES TTE</v>
          </cell>
          <cell r="BD49" t="str">
            <v>CMQ_TTE - QUILMES TTE</v>
          </cell>
          <cell r="BE49" t="str">
            <v>CMQ_TTE - QUILMES TTE</v>
          </cell>
          <cell r="BF49" t="str">
            <v>CMQ_TTE - QUILMES TTE</v>
          </cell>
          <cell r="BG49" t="str">
            <v>CMQ_TTE - QUILMES TTE</v>
          </cell>
          <cell r="BH49" t="str">
            <v>CMQ_TTE - QUILMES TTE</v>
          </cell>
          <cell r="BI49" t="str">
            <v>CMQ_TTE - QUILMES TTE</v>
          </cell>
          <cell r="BJ49" t="str">
            <v>CMQ_TTE - QUILMES TTE</v>
          </cell>
          <cell r="BK49" t="str">
            <v>CMQ_TTE - QUILMES TTE</v>
          </cell>
          <cell r="BL49" t="str">
            <v>CMQ_TTE - QUILMES TTE</v>
          </cell>
          <cell r="BM49" t="str">
            <v>CMQ_TTE - QUILMES TTE</v>
          </cell>
          <cell r="BN49" t="str">
            <v>CMQ_TTE - QUILMES TTE</v>
          </cell>
          <cell r="BO49" t="str">
            <v>CMQ_TTE - QUILMES TTE</v>
          </cell>
          <cell r="BP49" t="str">
            <v>CMQ_TTE - QUILMES TTE</v>
          </cell>
          <cell r="BQ49" t="str">
            <v>CMQ_TTE - QUILMES TTE</v>
          </cell>
          <cell r="BR49" t="str">
            <v>CMQ_TTE - QUILMES TTE</v>
          </cell>
          <cell r="BS49" t="str">
            <v>CMQ_TTE - QUILMES TTE</v>
          </cell>
          <cell r="BT49" t="str">
            <v>CMQ_TTE - QUILMES TTE</v>
          </cell>
          <cell r="BU49" t="str">
            <v>CMQ_TTE - QUILMES TTE</v>
          </cell>
          <cell r="BV49" t="str">
            <v>CMQ_TTE - QUILMES TTE</v>
          </cell>
          <cell r="BW49" t="str">
            <v>CMQ_TTE - QUILMES TTE</v>
          </cell>
          <cell r="BX49" t="str">
            <v>CMQ_TTE - QUILMES TTE</v>
          </cell>
          <cell r="BY49" t="str">
            <v>CMQ_TTE - QUILMES TTE</v>
          </cell>
          <cell r="BZ49" t="str">
            <v>CMQ_TTE - QUILMES TTE</v>
          </cell>
          <cell r="CA49" t="str">
            <v>CMQ_TTE - QUILMES TTE</v>
          </cell>
          <cell r="CB49" t="str">
            <v>CMQ_TTE - QUILMES TTE</v>
          </cell>
          <cell r="CC49" t="str">
            <v>CMQ_TTE - QUILMES TTE</v>
          </cell>
          <cell r="CD49" t="str">
            <v>CMQ_TTE - QUILMES TTE</v>
          </cell>
          <cell r="CE49" t="str">
            <v>CMQ_TTE - QUILMES TTE</v>
          </cell>
          <cell r="CF49" t="str">
            <v>CMQ_TTE - QUILMES TTE</v>
          </cell>
          <cell r="CG49" t="str">
            <v>CMQ_TTE - QUILMES TTE</v>
          </cell>
          <cell r="CH49" t="str">
            <v>CMQ_TTE - QUILMES TTE</v>
          </cell>
          <cell r="CI49" t="str">
            <v>CMQ_TTE - QUILMES TTE</v>
          </cell>
          <cell r="CJ49" t="str">
            <v>CMQ_TTE - QUILMES TTE</v>
          </cell>
          <cell r="CK49" t="str">
            <v>CMQ_TTE - QUILMES TTE</v>
          </cell>
          <cell r="CL49" t="str">
            <v>CMQ_TTE - QUILMES TTE</v>
          </cell>
          <cell r="CM49" t="str">
            <v>CMQ_TTE - QUILMES TTE</v>
          </cell>
          <cell r="CN49" t="str">
            <v>CMQ_TTE - QUILMES TTE</v>
          </cell>
          <cell r="CO49" t="str">
            <v>CMQ_TTE - QUILMES TTE</v>
          </cell>
          <cell r="CP49" t="str">
            <v>CMQ_TTE - QUILMES TTE</v>
          </cell>
          <cell r="CQ49" t="str">
            <v>CMQ_TTE - QUILMES TTE</v>
          </cell>
          <cell r="CR49" t="str">
            <v>CMQ_TTE - QUILMES TTE</v>
          </cell>
          <cell r="CS49" t="str">
            <v>CMQ_TTE - QUILMES TTE</v>
          </cell>
          <cell r="CT49" t="str">
            <v>CMQ_TTE - QUILMES TTE</v>
          </cell>
          <cell r="CU49" t="str">
            <v>CMQ_TTE - QUILMES TTE</v>
          </cell>
          <cell r="CV49" t="str">
            <v>CMQ_TTE - QUILMES TTE</v>
          </cell>
          <cell r="CW49" t="str">
            <v>CMQ_TTE - QUILMES TTE</v>
          </cell>
        </row>
        <row r="50">
          <cell r="D50" t="str">
            <v>AF114FP</v>
          </cell>
          <cell r="E50" t="str">
            <v>CHASIS</v>
          </cell>
          <cell r="F50" t="str">
            <v>Balancin</v>
          </cell>
          <cell r="G50" t="str">
            <v>Balancin</v>
          </cell>
          <cell r="N50" t="str">
            <v>TDU</v>
          </cell>
          <cell r="O50" t="str">
            <v>TDU</v>
          </cell>
          <cell r="P50" t="str">
            <v>No</v>
          </cell>
          <cell r="Q50" t="str">
            <v>Propio</v>
          </cell>
          <cell r="R50">
            <v>12</v>
          </cell>
          <cell r="S50" t="str">
            <v>Propio</v>
          </cell>
          <cell r="T50" t="str">
            <v>IVECO</v>
          </cell>
          <cell r="U50" t="str">
            <v>BX-170E28 MLC SIN EBS</v>
          </cell>
          <cell r="V50" t="str">
            <v>F4AE3681E*8089206</v>
          </cell>
          <cell r="W50" t="str">
            <v>8ATA1RMH0NX116300</v>
          </cell>
          <cell r="X50">
            <v>2021</v>
          </cell>
          <cell r="Y50">
            <v>5</v>
          </cell>
          <cell r="AY50" t="str">
            <v>CMQ_TTE - QUILMES TTE</v>
          </cell>
          <cell r="AZ50" t="str">
            <v>CMQ_TTE - QUILMES TTE</v>
          </cell>
          <cell r="BA50" t="str">
            <v>CMQ_TTE - QUILMES TTE</v>
          </cell>
          <cell r="BB50" t="str">
            <v>CMQ_TTE - QUILMES TTE</v>
          </cell>
          <cell r="BC50" t="str">
            <v>CMQ_TTE - QUILMES TTE</v>
          </cell>
          <cell r="BD50" t="str">
            <v>CMQ_TTE - QUILMES TTE</v>
          </cell>
          <cell r="BE50" t="str">
            <v>CMQ_TTE - QUILMES TTE</v>
          </cell>
          <cell r="BF50" t="str">
            <v>CMQ_TTE - QUILMES TTE</v>
          </cell>
          <cell r="BG50" t="str">
            <v>CMQ_TTE - QUILMES TTE</v>
          </cell>
          <cell r="BH50" t="str">
            <v>CMQ_TTE - QUILMES TTE</v>
          </cell>
          <cell r="BI50" t="str">
            <v>CMQ_TTE - QUILMES TTE</v>
          </cell>
          <cell r="BJ50" t="str">
            <v>CMQ_TTE - QUILMES TTE</v>
          </cell>
          <cell r="BK50" t="str">
            <v>CMQ_TTE - QUILMES TTE</v>
          </cell>
          <cell r="BL50" t="str">
            <v>CMQ_TTE - QUILMES TTE</v>
          </cell>
          <cell r="BM50" t="str">
            <v>CMQ_TTE - QUILMES TTE</v>
          </cell>
          <cell r="BN50" t="str">
            <v>CMQ_TTE - QUILMES TTE</v>
          </cell>
          <cell r="BO50" t="str">
            <v>CMQ_TTE - QUILMES TTE</v>
          </cell>
          <cell r="BP50" t="str">
            <v>CMQ_TTE - QUILMES TTE</v>
          </cell>
          <cell r="BQ50" t="str">
            <v>CMQ_TTE - QUILMES TTE</v>
          </cell>
          <cell r="BR50" t="str">
            <v>CMQ_TTE - QUILMES TTE</v>
          </cell>
          <cell r="BS50" t="str">
            <v>CMQ_TTE - QUILMES TTE</v>
          </cell>
          <cell r="BT50" t="str">
            <v>CMQ_TTE - QUILMES TTE</v>
          </cell>
          <cell r="BU50" t="str">
            <v>CMQ_TTE - QUILMES TTE</v>
          </cell>
          <cell r="BV50" t="str">
            <v>CMQ_TTE - QUILMES TTE</v>
          </cell>
          <cell r="BW50" t="str">
            <v>CMQ_TTE - QUILMES TTE</v>
          </cell>
          <cell r="BX50" t="str">
            <v>CMQ_TTE - QUILMES TTE</v>
          </cell>
          <cell r="BY50" t="str">
            <v>CMQ_TTE - QUILMES TTE</v>
          </cell>
          <cell r="BZ50" t="str">
            <v>CMQ_TTE - QUILMES TTE</v>
          </cell>
          <cell r="CA50" t="str">
            <v>CMQ_TTE - QUILMES TTE</v>
          </cell>
          <cell r="CB50" t="str">
            <v>CMQ_TTE - QUILMES TTE</v>
          </cell>
          <cell r="CC50" t="str">
            <v>CMQ_TTE - QUILMES TTE</v>
          </cell>
          <cell r="CD50" t="str">
            <v>CMQ_TTE - QUILMES TTE</v>
          </cell>
          <cell r="CE50" t="str">
            <v>CMQ_TTE - QUILMES TTE</v>
          </cell>
          <cell r="CF50" t="str">
            <v>CMQ_TTE - QUILMES TTE</v>
          </cell>
          <cell r="CG50" t="str">
            <v>CMQ_TTE - QUILMES TTE</v>
          </cell>
          <cell r="CH50" t="str">
            <v>CMQ_TTE - QUILMES TTE</v>
          </cell>
          <cell r="CI50" t="str">
            <v>CMQ_TTE - QUILMES TTE</v>
          </cell>
          <cell r="CJ50" t="str">
            <v>CMQ_TTE - QUILMES TTE</v>
          </cell>
          <cell r="CK50" t="str">
            <v>CMQ_TTE - QUILMES TTE</v>
          </cell>
          <cell r="CL50" t="str">
            <v>CMQ_TTE - QUILMES TTE</v>
          </cell>
          <cell r="CM50" t="str">
            <v>CMQ_TTE - QUILMES TTE</v>
          </cell>
          <cell r="CN50" t="str">
            <v>CMQ_TTE - QUILMES TTE</v>
          </cell>
          <cell r="CO50" t="str">
            <v>CMQ_TTE - QUILMES TTE</v>
          </cell>
          <cell r="CP50" t="str">
            <v>CMQ_TTE - QUILMES TTE</v>
          </cell>
          <cell r="CQ50" t="str">
            <v>CMQ_TTE - QUILMES TTE</v>
          </cell>
          <cell r="CR50" t="str">
            <v>CMQ_TTE - QUILMES TTE</v>
          </cell>
          <cell r="CS50" t="str">
            <v>CMQ_TTE - QUILMES TTE</v>
          </cell>
          <cell r="CT50" t="str">
            <v>CMQ_TTE - QUILMES TTE</v>
          </cell>
          <cell r="CU50" t="str">
            <v>CMQ_TTE - QUILMES TTE</v>
          </cell>
          <cell r="CV50" t="str">
            <v>CMQ_TTE - QUILMES TTE</v>
          </cell>
          <cell r="CW50" t="str">
            <v>CMQ_TTE - QUILMES TTE</v>
          </cell>
        </row>
        <row r="51">
          <cell r="D51" t="str">
            <v>AF114FZ</v>
          </cell>
          <cell r="E51" t="str">
            <v>Tractor</v>
          </cell>
          <cell r="F51" t="str">
            <v>Tractor</v>
          </cell>
          <cell r="G51" t="str">
            <v>Tractor</v>
          </cell>
          <cell r="N51" t="str">
            <v>TDU</v>
          </cell>
          <cell r="O51" t="str">
            <v>TDU</v>
          </cell>
          <cell r="P51" t="str">
            <v>No</v>
          </cell>
          <cell r="Q51" t="str">
            <v>Propio</v>
          </cell>
          <cell r="R51" t="str">
            <v>-</v>
          </cell>
          <cell r="S51" t="str">
            <v>Propio</v>
          </cell>
          <cell r="T51" t="str">
            <v>MERCEDES BENZ</v>
          </cell>
          <cell r="U51" t="str">
            <v>ATEGO 1729-S36 CD TE</v>
          </cell>
          <cell r="V51" t="str">
            <v>926994U1327472</v>
          </cell>
          <cell r="W51" t="str">
            <v>9BM958077MB199931</v>
          </cell>
          <cell r="X51">
            <v>2021</v>
          </cell>
          <cell r="Y51">
            <v>5</v>
          </cell>
          <cell r="AZ51" t="str">
            <v>ADA_CH - Danone Arg. S.A. - Chascomus</v>
          </cell>
          <cell r="BA51" t="str">
            <v>ADA_CH - Danone Arg. S.A. - Chascomus</v>
          </cell>
          <cell r="BB51" t="str">
            <v>ADA_CH - Danone Arg. S.A. - Chascomus</v>
          </cell>
          <cell r="BC51" t="str">
            <v>ADA_CH - Danone Arg. S.A. - Chascomus</v>
          </cell>
          <cell r="BD51" t="str">
            <v>ADA_CH - Danone Arg. S.A. - Chascomus</v>
          </cell>
          <cell r="BE51" t="str">
            <v>ADA_CH - Danone Arg. S.A. - Chascomus</v>
          </cell>
          <cell r="BF51" t="str">
            <v>ADA_CH - Danone Arg. S.A. - Chascomus</v>
          </cell>
          <cell r="BG51" t="str">
            <v>ADA_CH - Danone Arg. S.A. - Chascomus</v>
          </cell>
          <cell r="BH51" t="str">
            <v>ADA_CH - Danone Arg. S.A. - Chascomus</v>
          </cell>
          <cell r="BI51" t="str">
            <v>ADA_CH - Danone Arg. S.A. - Chascomus</v>
          </cell>
          <cell r="BJ51" t="str">
            <v>ADA_CH - Danone Arg. S.A. - Chascomus</v>
          </cell>
          <cell r="BK51" t="str">
            <v>ADA_CH - Danone Arg. S.A. - Chascomus</v>
          </cell>
          <cell r="BL51" t="str">
            <v>ADA_CH - Danone Arg. S.A. - Chascomus</v>
          </cell>
          <cell r="BM51" t="str">
            <v>ADA_CH - Danone Arg. S.A. - Chascomus</v>
          </cell>
          <cell r="BN51" t="str">
            <v>ADA_CH - Danone Arg. S.A. - Chascomus</v>
          </cell>
          <cell r="BO51" t="str">
            <v>ADA_CH - Danone Arg. S.A. - Chascomus</v>
          </cell>
          <cell r="BP51" t="str">
            <v>ADA_CH - Danone Arg. S.A. - Chascomus</v>
          </cell>
          <cell r="BQ51" t="str">
            <v>ADA_CH - Danone Arg. S.A. - Chascomus</v>
          </cell>
          <cell r="BR51" t="str">
            <v>ADA_CH - Danone Arg. S.A. - Chascomus</v>
          </cell>
          <cell r="BS51" t="str">
            <v>ADA_CH - Danone Arg. S.A. - Chascomus</v>
          </cell>
          <cell r="BT51" t="str">
            <v>ADA_CH - Danone Arg. S.A. - Chascomus</v>
          </cell>
          <cell r="BU51" t="str">
            <v>ADA_CH - Danone Arg. S.A. - Chascomus</v>
          </cell>
          <cell r="BV51" t="str">
            <v>ADA_CH - Danone Arg. S.A. - Chascomus</v>
          </cell>
          <cell r="BW51" t="str">
            <v>ADA_CH - Danone Arg. S.A. - Chascomus</v>
          </cell>
          <cell r="BX51" t="str">
            <v>ADA_CH - Danone Arg. S.A. - Chascomus</v>
          </cell>
          <cell r="BY51" t="str">
            <v>ADA_CH - Danone Arg. S.A. - Chascomus</v>
          </cell>
          <cell r="BZ51" t="str">
            <v>ADA_CH - Danone Arg. S.A. - Chascomus</v>
          </cell>
          <cell r="CA51" t="str">
            <v>ADA_CH - Danone Arg. S.A. - Chascomus</v>
          </cell>
          <cell r="CB51" t="str">
            <v>ADA_CH - Danone Arg. S.A. - Chascomus</v>
          </cell>
          <cell r="CC51" t="str">
            <v>ADA_CH - Danone Arg. S.A. - Chascomus</v>
          </cell>
          <cell r="CD51" t="str">
            <v>ADA_CH - Danone Arg. S.A. - Chascomus</v>
          </cell>
          <cell r="CE51" t="str">
            <v>ADA_CH - Danone Arg. S.A. - Chascomus</v>
          </cell>
          <cell r="CF51" t="str">
            <v>ADA_CH - Danone Arg. S.A. - Chascomus</v>
          </cell>
          <cell r="CG51" t="str">
            <v>ADA_CH - Danone Arg. S.A. - Chascomus</v>
          </cell>
          <cell r="CH51" t="str">
            <v>ADA_CH - Danone Arg. S.A. - Chascomus</v>
          </cell>
          <cell r="CI51" t="str">
            <v>ADA_CH - Danone Arg. S.A. - Chascomus</v>
          </cell>
          <cell r="CJ51" t="str">
            <v>ADA_CH - Danone Arg. S.A. - Chascomus</v>
          </cell>
          <cell r="CK51" t="str">
            <v>ADA_CH - Danone Arg. S.A. - Chascomus</v>
          </cell>
          <cell r="CL51" t="str">
            <v>ADA_CH - Danone Arg. S.A. - Chascomus</v>
          </cell>
          <cell r="CM51" t="str">
            <v>ADA_CH - Danone Arg. S.A. - Chascomus</v>
          </cell>
          <cell r="CN51" t="str">
            <v>ADA_CH - Danone Arg. S.A. - Chascomus</v>
          </cell>
          <cell r="CO51" t="str">
            <v>ADA_CH - Danone Arg. S.A. - Chascomus</v>
          </cell>
          <cell r="CP51" t="str">
            <v>ADA_CH - Danone Arg. S.A. - Chascomus</v>
          </cell>
          <cell r="CQ51" t="str">
            <v>ADA_CH - Danone Arg. S.A. - Chascomus</v>
          </cell>
          <cell r="CR51" t="str">
            <v>ADA_CH - Danone Arg. S.A. - Chascomus</v>
          </cell>
          <cell r="CS51" t="str">
            <v>ADA_CH - Danone Arg. S.A. - Chascomus</v>
          </cell>
          <cell r="CT51" t="str">
            <v>ADA_CH - Danone Arg. S.A. - Chascomus</v>
          </cell>
          <cell r="CU51" t="str">
            <v>ADA_CH - Danone Arg. S.A. - Chascomus</v>
          </cell>
          <cell r="CV51" t="str">
            <v>ADA_CH - Danone Arg. S.A. - Chascomus</v>
          </cell>
          <cell r="CW51" t="str">
            <v>ADA_CH - Danone Arg. S.A. - Chascomus</v>
          </cell>
        </row>
        <row r="52">
          <cell r="D52" t="str">
            <v>GLT551</v>
          </cell>
          <cell r="E52" t="str">
            <v>Chasis</v>
          </cell>
          <cell r="F52" t="str">
            <v>Balancin</v>
          </cell>
          <cell r="G52" t="str">
            <v>Balancin</v>
          </cell>
          <cell r="N52" t="str">
            <v>CODYLSA</v>
          </cell>
          <cell r="O52" t="str">
            <v>CODYLSA</v>
          </cell>
          <cell r="P52" t="str">
            <v>No</v>
          </cell>
          <cell r="Q52" t="str">
            <v>Propio</v>
          </cell>
          <cell r="R52">
            <v>14</v>
          </cell>
          <cell r="S52" t="str">
            <v>Propio</v>
          </cell>
          <cell r="T52" t="str">
            <v>MERCEDES BENZ</v>
          </cell>
          <cell r="U52">
            <v>1624</v>
          </cell>
          <cell r="V52" t="str">
            <v>906973U0725879</v>
          </cell>
          <cell r="W52" t="str">
            <v>9BM6950107B532296</v>
          </cell>
          <cell r="X52">
            <v>2007</v>
          </cell>
          <cell r="Y52">
            <v>19</v>
          </cell>
          <cell r="Z52" t="str">
            <v>Danone Oeste</v>
          </cell>
          <cell r="AA52" t="str">
            <v>AdaMinZO - Danone Minorista Zona Oeste</v>
          </cell>
          <cell r="AB52" t="str">
            <v>AdaMinZO - Danone Minorista Zona Oeste</v>
          </cell>
          <cell r="AC52" t="str">
            <v>AdaMinZO - Danone Minorista Zona Oeste</v>
          </cell>
          <cell r="AD52" t="str">
            <v>AdaMinZO - Danone Minorista Zona Oeste</v>
          </cell>
          <cell r="AE52" t="str">
            <v>AdaMinZO - Danone Minorista Zona Oeste</v>
          </cell>
          <cell r="AF52" t="str">
            <v>AdaMinZO - Danone Minorista Zona Oeste</v>
          </cell>
          <cell r="AG52" t="str">
            <v>AdaMinZO - Danone Minorista Zona Oeste</v>
          </cell>
          <cell r="AH52" t="str">
            <v>AdaMinZO - Danone Minorista Zona Oeste</v>
          </cell>
          <cell r="AI52" t="str">
            <v>AdaMinZO - Danone Minorista Zona Oeste</v>
          </cell>
          <cell r="AJ52" t="str">
            <v>AdaMinZO - Danone Minorista Zona Oeste</v>
          </cell>
          <cell r="AK52" t="str">
            <v>AdaMinZO - Danone Minorista Zona Oeste</v>
          </cell>
          <cell r="AL52" t="str">
            <v>AdaMinZO - Danone Minorista Zona Oeste</v>
          </cell>
          <cell r="AM52" t="str">
            <v>AdaMinZO - Danone Minorista Zona Oeste</v>
          </cell>
          <cell r="AN52" t="str">
            <v>AdaMinZO - Danone Minorista Zona Oeste</v>
          </cell>
          <cell r="AO52" t="str">
            <v>AdaMinZO - Danone Minorista Zona Oeste</v>
          </cell>
          <cell r="AP52" t="str">
            <v>AdaMinZO - Danone Minorista Zona Oeste</v>
          </cell>
          <cell r="AQ52" t="str">
            <v>AdaMinZO - Danone Minorista Zona Oeste</v>
          </cell>
          <cell r="AR52" t="str">
            <v>AdaMinZO - Danone Minorista Zona Oeste</v>
          </cell>
          <cell r="AS52" t="str">
            <v>AdaMinZO - Danone Minorista Zona Oeste</v>
          </cell>
          <cell r="AT52" t="str">
            <v>ADA_MZA - Danone Arg. S.A. - MZA</v>
          </cell>
          <cell r="AU52" t="str">
            <v>ADA_MZA - Danone Arg. S.A. - MZA</v>
          </cell>
          <cell r="AV52" t="str">
            <v>ADA_MZA - Danone Arg. S.A. - MZA</v>
          </cell>
          <cell r="AW52" t="str">
            <v>ADA_MZA - Danone Arg. S.A. - MZA</v>
          </cell>
          <cell r="AX52" t="str">
            <v>ADA_MZA - Danone Arg. S.A. - MZA</v>
          </cell>
          <cell r="AY52" t="str">
            <v>ADA_MZA - Danone Arg. S.A. - MZA</v>
          </cell>
          <cell r="AZ52" t="str">
            <v>ADA_MZA - Danone Arg. S.A. - MZA</v>
          </cell>
          <cell r="BA52" t="str">
            <v>ADA_MZA - Danone Arg. S.A. - MZA</v>
          </cell>
          <cell r="BB52" t="str">
            <v>ADA_MZA - Danone Arg. S.A. - MZA</v>
          </cell>
          <cell r="BC52" t="str">
            <v>ADA_MZA - Danone Arg. S.A. - MZA</v>
          </cell>
          <cell r="BD52" t="str">
            <v>ADA_MZA - Danone Arg. S.A. - MZA</v>
          </cell>
          <cell r="BE52" t="str">
            <v>ADA_MZA - Danone Arg. S.A. - MZA</v>
          </cell>
          <cell r="BF52" t="str">
            <v>ADA_MZA - Danone Arg. S.A. - MZA</v>
          </cell>
          <cell r="BG52" t="str">
            <v>ADA_MZA - Danone Arg. S.A. - MZA</v>
          </cell>
          <cell r="BH52" t="str">
            <v>ADA_MZA - Danone Arg. S.A. - MZA</v>
          </cell>
          <cell r="BI52" t="str">
            <v>ADA_MZA - Danone Arg. S.A. - MZA</v>
          </cell>
          <cell r="BJ52" t="str">
            <v>ADA_MZA - Danone Arg. S.A. - MZA</v>
          </cell>
          <cell r="BK52" t="str">
            <v>ADA_MZA - Danone Arg. S.A. - MZA</v>
          </cell>
          <cell r="BL52" t="str">
            <v>ADA_MZA - Danone Arg. S.A. - MZA</v>
          </cell>
          <cell r="BM52" t="str">
            <v>ADA_MZA - Danone Arg. S.A. - MZA</v>
          </cell>
          <cell r="BN52" t="str">
            <v>ADA_MZA - Danone Arg. S.A. - MZA</v>
          </cell>
          <cell r="BO52" t="str">
            <v>ADA_MZA - Danone Arg. S.A. - MZA</v>
          </cell>
          <cell r="BP52" t="str">
            <v>ADA_MZA - Danone Arg. S.A. - MZA</v>
          </cell>
          <cell r="BQ52" t="str">
            <v>ADA_MZA - Danone Arg. S.A. - MZA</v>
          </cell>
          <cell r="BR52" t="str">
            <v>ADA_MZA - Danone Arg. S.A. - MZA</v>
          </cell>
          <cell r="BS52" t="str">
            <v>ADA_MZA - Danone Arg. S.A. - MZA</v>
          </cell>
          <cell r="BT52" t="str">
            <v>CCU_MZA - Comp. Cerv. Unidas - MZA</v>
          </cell>
          <cell r="BU52" t="str">
            <v>CCU_MZA - Comp. Cerv. Unidas - MZA</v>
          </cell>
          <cell r="BV52" t="str">
            <v>CCU_MZA - Comp. Cerv. Unidas - MZA</v>
          </cell>
          <cell r="BW52" t="str">
            <v>CCU_MZA - Comp. Cerv. Unidas - MZA</v>
          </cell>
          <cell r="BX52" t="str">
            <v>CCU_MZA - Comp. Cerv. Unidas - MZA</v>
          </cell>
          <cell r="BY52" t="str">
            <v>CCU_MZA - Comp. Cerv. Unidas - MZA</v>
          </cell>
          <cell r="BZ52" t="str">
            <v>CCU_MZA - Comp. Cerv. Unidas - MZA</v>
          </cell>
          <cell r="CA52" t="str">
            <v>CCU_MZA - Comp. Cerv. Unidas - MZA</v>
          </cell>
          <cell r="CB52" t="str">
            <v>CCU_MZA - Comp. Cerv. Unidas - MZA</v>
          </cell>
          <cell r="CC52" t="str">
            <v>CCU_MZA - Comp. Cerv. Unidas - MZA</v>
          </cell>
          <cell r="CD52" t="str">
            <v>CCU_MZA - Comp. Cerv. Unidas - MZA</v>
          </cell>
          <cell r="CE52" t="str">
            <v>CCU_MZA - Comp. Cerv. Unidas - MZA</v>
          </cell>
          <cell r="CF52" t="str">
            <v>CCU_MZA - Comp. Cerv. Unidas - MZA</v>
          </cell>
          <cell r="CG52" t="str">
            <v>CCU_MZA - Comp. Cerv. Unidas - MZA</v>
          </cell>
          <cell r="CH52" t="str">
            <v>CCU_MZA - Comp. Cerv. Unidas - MZA</v>
          </cell>
          <cell r="CI52" t="str">
            <v>CCU_MZA - Comp. Cerv. Unidas - MZA</v>
          </cell>
          <cell r="CJ52" t="str">
            <v>CCU_MZA - Comp. Cerv. Unidas - MZA</v>
          </cell>
          <cell r="CK52" t="str">
            <v>CCU_MZA - Comp. Cerv. Unidas - MZA</v>
          </cell>
          <cell r="CL52" t="str">
            <v>CCU_MZA - Comp. Cerv. Unidas - MZA</v>
          </cell>
          <cell r="CM52" t="str">
            <v>CCU_MZA - Comp. Cerv. Unidas - MZA</v>
          </cell>
          <cell r="CN52" t="str">
            <v>CCU_MZA - Comp. Cerv. Unidas - MZA</v>
          </cell>
          <cell r="CO52" t="str">
            <v>CCU_MZA - Comp. Cerv. Unidas - MZA</v>
          </cell>
          <cell r="CP52" t="str">
            <v>CCU_MZA - Comp. Cerv. Unidas - MZA</v>
          </cell>
          <cell r="CQ52" t="str">
            <v>CCU_MZA - Comp. Cerv. Unidas - MZA</v>
          </cell>
          <cell r="CR52" t="str">
            <v>CCU_MZA - Comp. Cerv. Unidas - MZA</v>
          </cell>
          <cell r="CS52" t="str">
            <v>CCU_MZA - Comp. Cerv. Unidas - MZA</v>
          </cell>
          <cell r="CT52" t="str">
            <v>CCU_MZA - Comp. Cerv. Unidas - MZA</v>
          </cell>
          <cell r="CU52" t="str">
            <v>CCU_MZA - Comp. Cerv. Unidas - MZA</v>
          </cell>
          <cell r="CV52" t="str">
            <v>CCU_MZA - Comp. Cerv. Unidas - MZA</v>
          </cell>
          <cell r="CW52" t="str">
            <v>CCU_MZA - Comp. Cerv. Unidas - MZA</v>
          </cell>
        </row>
        <row r="53">
          <cell r="D53" t="str">
            <v>AF118QB</v>
          </cell>
          <cell r="E53" t="str">
            <v>Tractor</v>
          </cell>
          <cell r="F53" t="str">
            <v>Tractor</v>
          </cell>
          <cell r="G53" t="str">
            <v>Tractor</v>
          </cell>
          <cell r="N53" t="str">
            <v>TDU</v>
          </cell>
          <cell r="O53" t="str">
            <v>TDU</v>
          </cell>
          <cell r="P53" t="str">
            <v>No</v>
          </cell>
          <cell r="Q53" t="str">
            <v>Propio</v>
          </cell>
          <cell r="R53" t="str">
            <v>-</v>
          </cell>
          <cell r="S53" t="str">
            <v>Propio</v>
          </cell>
          <cell r="T53" t="str">
            <v>MERCEDES BENZ</v>
          </cell>
          <cell r="U53" t="str">
            <v>ATEGO 1729-S36 CD TE</v>
          </cell>
          <cell r="V53" t="str">
            <v>926994U1343353</v>
          </cell>
          <cell r="W53" t="str">
            <v>9BM958077NB219285</v>
          </cell>
          <cell r="X53">
            <v>2021</v>
          </cell>
          <cell r="Y53">
            <v>5</v>
          </cell>
          <cell r="AZ53" t="str">
            <v>CENCO_MZ - Cencosud SA - Mendoza</v>
          </cell>
          <cell r="BA53" t="str">
            <v>CENCO_MZ - Cencosud SA - Mendoza</v>
          </cell>
          <cell r="BB53" t="str">
            <v>CENCO_MZ - Cencosud SA - Mendoza</v>
          </cell>
          <cell r="BC53" t="str">
            <v>CENCO_MZ - Cencosud SA - Mendoza</v>
          </cell>
          <cell r="BD53" t="str">
            <v>CENCO_MZ - Cencosud SA - Mendoza</v>
          </cell>
          <cell r="BE53" t="str">
            <v>CENCO_MZ - Cencosud SA - Mendoza</v>
          </cell>
          <cell r="BF53" t="str">
            <v>CENCO_MZ - Cencosud SA - Mendoza</v>
          </cell>
          <cell r="BG53" t="str">
            <v>CENCO_MZ - Cencosud SA - Mendoza</v>
          </cell>
          <cell r="BH53" t="str">
            <v>CENCO_MZ - Cencosud SA - Mendoza</v>
          </cell>
          <cell r="BI53" t="str">
            <v>CENCO_MZ - Cencosud SA - Mendoza</v>
          </cell>
          <cell r="BJ53" t="str">
            <v>CENCO_MZ - Cencosud SA - Mendoza</v>
          </cell>
          <cell r="BK53" t="str">
            <v>CENCO_MZ - Cencosud SA - Mendoza</v>
          </cell>
          <cell r="BL53" t="str">
            <v>ADA_CH - Danone Arg. S.A. - Chascomus</v>
          </cell>
          <cell r="BM53" t="str">
            <v>ADA_CH - Danone Arg. S.A. - Chascomus</v>
          </cell>
          <cell r="BN53" t="str">
            <v>ADA_CH - Danone Arg. S.A. - Chascomus</v>
          </cell>
          <cell r="BO53" t="str">
            <v>ADA_CH - Danone Arg. S.A. - Chascomus</v>
          </cell>
          <cell r="BP53" t="str">
            <v>ADA_CH - Danone Arg. S.A. - Chascomus</v>
          </cell>
          <cell r="BQ53" t="str">
            <v>ADA_CH - Danone Arg. S.A. - Chascomus</v>
          </cell>
          <cell r="BR53" t="str">
            <v>ADA_CH - Danone Arg. S.A. - Chascomus</v>
          </cell>
          <cell r="BS53" t="str">
            <v>ADA_CH - Danone Arg. S.A. - Chascomus</v>
          </cell>
          <cell r="BT53" t="str">
            <v>ADA_CH - Danone Arg. S.A. - Chascomus</v>
          </cell>
          <cell r="BU53" t="str">
            <v>ADA_CH - Danone Arg. S.A. - Chascomus</v>
          </cell>
          <cell r="BV53" t="str">
            <v>ADA_CH - Danone Arg. S.A. - Chascomus</v>
          </cell>
          <cell r="BW53" t="str">
            <v>ADA_CH - Danone Arg. S.A. - Chascomus</v>
          </cell>
          <cell r="BX53" t="str">
            <v>ADA_CH - Danone Arg. S.A. - Chascomus</v>
          </cell>
          <cell r="BY53" t="str">
            <v>ADA_CH - Danone Arg. S.A. - Chascomus</v>
          </cell>
          <cell r="BZ53" t="str">
            <v>ADA_CH - Danone Arg. S.A. - Chascomus</v>
          </cell>
          <cell r="CA53" t="str">
            <v>ADA_CH - Danone Arg. S.A. - Chascomus</v>
          </cell>
          <cell r="CB53" t="str">
            <v>ADA_CH - Danone Arg. S.A. - Chascomus</v>
          </cell>
          <cell r="CC53" t="str">
            <v>ADA_CH - Danone Arg. S.A. - Chascomus</v>
          </cell>
          <cell r="CD53" t="str">
            <v>ADA_CH - Danone Arg. S.A. - Chascomus</v>
          </cell>
          <cell r="CE53" t="str">
            <v>ADA_CH - Danone Arg. S.A. - Chascomus</v>
          </cell>
          <cell r="CF53" t="str">
            <v>ADA_CH - Danone Arg. S.A. - Chascomus</v>
          </cell>
          <cell r="CG53" t="str">
            <v>ADA_CH - Danone Arg. S.A. - Chascomus</v>
          </cell>
          <cell r="CH53" t="str">
            <v>ADA_CH - Danone Arg. S.A. - Chascomus</v>
          </cell>
          <cell r="CI53" t="str">
            <v>ADA_CH - Danone Arg. S.A. - Chascomus</v>
          </cell>
          <cell r="CJ53" t="str">
            <v>ADA_CH - Danone Arg. S.A. - Chascomus</v>
          </cell>
          <cell r="CK53" t="str">
            <v>ADA_CH - Danone Arg. S.A. - Chascomus</v>
          </cell>
          <cell r="CL53" t="str">
            <v>ADA_CH - Danone Arg. S.A. - Chascomus</v>
          </cell>
          <cell r="CM53" t="str">
            <v>ADA_CH - Danone Arg. S.A. - Chascomus</v>
          </cell>
          <cell r="CN53" t="str">
            <v>ADA_CH - Danone Arg. S.A. - Chascomus</v>
          </cell>
          <cell r="CO53" t="str">
            <v>ADA_CH - Danone Arg. S.A. - Chascomus</v>
          </cell>
          <cell r="CP53" t="str">
            <v>ADA_CH - Danone Arg. S.A. - Chascomus</v>
          </cell>
          <cell r="CQ53" t="str">
            <v>ADA_CH - Danone Arg. S.A. - Chascomus</v>
          </cell>
          <cell r="CR53" t="str">
            <v>ADA_CH - Danone Arg. S.A. - Chascomus</v>
          </cell>
          <cell r="CS53" t="str">
            <v>ADA_CH - Danone Arg. S.A. - Chascomus</v>
          </cell>
          <cell r="CT53" t="str">
            <v>ADA_CH - Danone Arg. S.A. - Chascomus</v>
          </cell>
          <cell r="CU53" t="str">
            <v>ADA_CH - Danone Arg. S.A. - Chascomus</v>
          </cell>
          <cell r="CV53" t="str">
            <v>ADA_CH - Danone Arg. S.A. - Chascomus</v>
          </cell>
          <cell r="CW53" t="str">
            <v>ADA_CH - Danone Arg. S.A. - Chascomus</v>
          </cell>
        </row>
        <row r="54">
          <cell r="D54" t="str">
            <v>JCF735</v>
          </cell>
          <cell r="E54" t="str">
            <v>Chasis</v>
          </cell>
          <cell r="F54" t="str">
            <v>Chasis</v>
          </cell>
          <cell r="G54" t="str">
            <v>Chasis</v>
          </cell>
          <cell r="N54" t="str">
            <v>CODYLSA</v>
          </cell>
          <cell r="O54" t="str">
            <v>CODYLSA</v>
          </cell>
          <cell r="P54" t="str">
            <v>No</v>
          </cell>
          <cell r="Q54" t="str">
            <v>Propio</v>
          </cell>
          <cell r="R54">
            <v>12</v>
          </cell>
          <cell r="S54" t="str">
            <v>Propio</v>
          </cell>
          <cell r="T54" t="str">
            <v>MERCEDES BENZ</v>
          </cell>
          <cell r="U54" t="str">
            <v>L-1318</v>
          </cell>
          <cell r="V54" t="str">
            <v>904976U0891391</v>
          </cell>
          <cell r="W54" t="str">
            <v>9BM694000BB729671</v>
          </cell>
          <cell r="X54">
            <v>2010</v>
          </cell>
          <cell r="Y54">
            <v>16</v>
          </cell>
          <cell r="Z54" t="str">
            <v>Danone Mendoza</v>
          </cell>
          <cell r="AA54" t="str">
            <v>ADA_MZA - Danone Arg. S.A. - MZA</v>
          </cell>
          <cell r="AB54" t="str">
            <v>ADA_MZA - Danone Arg. S.A. - MZA</v>
          </cell>
          <cell r="AC54" t="str">
            <v>ADA_MZA - Danone Arg. S.A. - MZA</v>
          </cell>
          <cell r="AD54" t="str">
            <v>ADA_MZA - Danone Arg. S.A. - MZA</v>
          </cell>
          <cell r="AE54" t="str">
            <v>ADA_MZA - Danone Arg. S.A. - MZA</v>
          </cell>
          <cell r="AF54" t="str">
            <v>ADA_MZA - Danone Arg. S.A. - MZA</v>
          </cell>
          <cell r="AG54" t="str">
            <v>ADA_MZA - Danone Arg. S.A. - MZA</v>
          </cell>
          <cell r="AH54" t="str">
            <v>ADA_MZA - Danone Arg. S.A. - MZA</v>
          </cell>
          <cell r="AI54" t="str">
            <v>ADA_MZA - Danone Arg. S.A. - MZA</v>
          </cell>
          <cell r="AJ54" t="str">
            <v>ADA_MZA - Danone Arg. S.A. - MZA</v>
          </cell>
          <cell r="AK54" t="str">
            <v>ADA_MZA - Danone Arg. S.A. - MZA</v>
          </cell>
          <cell r="AL54" t="str">
            <v>ADA_MZA - Danone Arg. S.A. - MZA</v>
          </cell>
          <cell r="AM54" t="str">
            <v>ADA_MZA - Danone Arg. S.A. - MZA</v>
          </cell>
          <cell r="AN54" t="str">
            <v>ADA_MZA - Danone Arg. S.A. - MZA</v>
          </cell>
          <cell r="AO54" t="str">
            <v>ADA_MZA - Danone Arg. S.A. - MZA</v>
          </cell>
          <cell r="AP54" t="str">
            <v>ADA_MZA - Danone Arg. S.A. - MZA</v>
          </cell>
          <cell r="AQ54" t="str">
            <v>ADA_MZA - Danone Arg. S.A. - MZA</v>
          </cell>
          <cell r="AR54" t="str">
            <v>ADA_MZA - Danone Arg. S.A. - MZA</v>
          </cell>
          <cell r="AS54" t="str">
            <v>ADA_MZA - Danone Arg. S.A. - MZA</v>
          </cell>
          <cell r="AT54" t="str">
            <v>ADA_MZA - Danone Arg. S.A. - MZA</v>
          </cell>
          <cell r="AU54" t="str">
            <v>ADA_MZA - Danone Arg. S.A. - MZA</v>
          </cell>
          <cell r="AV54" t="str">
            <v>ADA_MZA - Danone Arg. S.A. - MZA</v>
          </cell>
          <cell r="AW54" t="str">
            <v>ADA_MZA - Danone Arg. S.A. - MZA</v>
          </cell>
          <cell r="AX54" t="str">
            <v>ADA_MZA - Danone Arg. S.A. - MZA</v>
          </cell>
          <cell r="AY54" t="str">
            <v>ADA_MZA - Danone Arg. S.A. - MZA</v>
          </cell>
          <cell r="AZ54" t="str">
            <v>ADA_MZA - Danone Arg. S.A. - MZA</v>
          </cell>
          <cell r="BA54" t="str">
            <v>ADA_MZA - Danone Arg. S.A. - MZA</v>
          </cell>
          <cell r="BB54" t="str">
            <v>ADA_MZA - Danone Arg. S.A. - MZA</v>
          </cell>
          <cell r="BC54" t="str">
            <v>ADA_MZA - Danone Arg. S.A. - MZA</v>
          </cell>
          <cell r="BD54" t="str">
            <v>ADA_MZA - Danone Arg. S.A. - MZA</v>
          </cell>
          <cell r="BE54" t="str">
            <v>ADA_MZA - Danone Arg. S.A. - MZA</v>
          </cell>
          <cell r="BF54" t="str">
            <v>ADA_MZA - Danone Arg. S.A. - MZA</v>
          </cell>
          <cell r="BG54" t="str">
            <v>ADA_MZA - Danone Arg. S.A. - MZA</v>
          </cell>
          <cell r="BH54" t="str">
            <v>ADA_MZA - Danone Arg. S.A. - MZA</v>
          </cell>
          <cell r="BI54" t="str">
            <v>ADA_MZA - Danone Arg. S.A. - MZA</v>
          </cell>
          <cell r="BJ54" t="str">
            <v>ADA_MZA - Danone Arg. S.A. - MZA</v>
          </cell>
          <cell r="BK54" t="str">
            <v>ADA_MZA - Danone Arg. S.A. - MZA</v>
          </cell>
          <cell r="BL54" t="str">
            <v>ADA_MZA - Danone Arg. S.A. - MZA</v>
          </cell>
          <cell r="BM54" t="str">
            <v>ADA_MZA - Danone Arg. S.A. - MZA</v>
          </cell>
          <cell r="BN54" t="str">
            <v>ADA_MZA - Danone Arg. S.A. - MZA</v>
          </cell>
          <cell r="BO54" t="str">
            <v>ADA_MZA - Danone Arg. S.A. - MZA</v>
          </cell>
          <cell r="BP54" t="str">
            <v>ADA_MZA - Danone Arg. S.A. - MZA</v>
          </cell>
          <cell r="BQ54" t="str">
            <v>ADA_MZA - Danone Arg. S.A. - MZA</v>
          </cell>
          <cell r="BR54" t="str">
            <v>ADA_MZA - Danone Arg. S.A. - MZA</v>
          </cell>
          <cell r="BS54" t="str">
            <v>ADA_MZA - Danone Arg. S.A. - MZA</v>
          </cell>
          <cell r="BT54" t="str">
            <v>CCU_MZA - Comp. Cerv. Unidas - MZA</v>
          </cell>
          <cell r="BU54" t="str">
            <v>CCU_MZA - Comp. Cerv. Unidas - MZA</v>
          </cell>
          <cell r="BV54" t="str">
            <v>CCU_MZA - Comp. Cerv. Unidas - MZA</v>
          </cell>
          <cell r="BW54" t="str">
            <v>CCU_MZA - Comp. Cerv. Unidas - MZA</v>
          </cell>
          <cell r="BX54" t="str">
            <v>CCU_MZA - Comp. Cerv. Unidas - MZA</v>
          </cell>
          <cell r="BY54" t="str">
            <v>CCU_MZA - Comp. Cerv. Unidas - MZA</v>
          </cell>
          <cell r="BZ54" t="str">
            <v>CCU_MZA - Comp. Cerv. Unidas - MZA</v>
          </cell>
          <cell r="CA54" t="str">
            <v>CCU_MZA - Comp. Cerv. Unidas - MZA</v>
          </cell>
          <cell r="CB54" t="str">
            <v>CCU_MZA - Comp. Cerv. Unidas - MZA</v>
          </cell>
          <cell r="CC54" t="str">
            <v>CCU_MZA - Comp. Cerv. Unidas - MZA</v>
          </cell>
          <cell r="CD54" t="str">
            <v>CCU_MZA - Comp. Cerv. Unidas - MZA</v>
          </cell>
          <cell r="CE54" t="str">
            <v>CCU_MZA - Comp. Cerv. Unidas - MZA</v>
          </cell>
          <cell r="CF54" t="str">
            <v>CCU_MZA - Comp. Cerv. Unidas - MZA</v>
          </cell>
          <cell r="CG54" t="str">
            <v>CCU_MZA - Comp. Cerv. Unidas - MZA</v>
          </cell>
          <cell r="CH54" t="str">
            <v>CCU_MZA - Comp. Cerv. Unidas - MZA</v>
          </cell>
          <cell r="CI54" t="str">
            <v>CCU_MZA - Comp. Cerv. Unidas - MZA</v>
          </cell>
          <cell r="CJ54" t="str">
            <v>CCU_MZA - Comp. Cerv. Unidas - MZA</v>
          </cell>
          <cell r="CK54" t="str">
            <v>CCU_MZA - Comp. Cerv. Unidas - MZA</v>
          </cell>
          <cell r="CL54" t="str">
            <v>CCU_MZA - Comp. Cerv. Unidas - MZA</v>
          </cell>
          <cell r="CM54" t="str">
            <v>CCU_MZA - Comp. Cerv. Unidas - MZA</v>
          </cell>
          <cell r="CN54" t="str">
            <v>CCU_MZA - Comp. Cerv. Unidas - MZA</v>
          </cell>
          <cell r="CO54" t="str">
            <v>CCU_MZA - Comp. Cerv. Unidas - MZA</v>
          </cell>
          <cell r="CP54" t="str">
            <v>CCU_MZA - Comp. Cerv. Unidas - MZA</v>
          </cell>
          <cell r="CQ54" t="str">
            <v>CCU_MZA - Comp. Cerv. Unidas - MZA</v>
          </cell>
          <cell r="CR54" t="str">
            <v>CCU_MZA - Comp. Cerv. Unidas - MZA</v>
          </cell>
          <cell r="CS54" t="str">
            <v>CCU_MZA - Comp. Cerv. Unidas - MZA</v>
          </cell>
          <cell r="CT54" t="str">
            <v>CCU_MZA - Comp. Cerv. Unidas - MZA</v>
          </cell>
          <cell r="CU54" t="str">
            <v>CCU_MZA - Comp. Cerv. Unidas - MZA</v>
          </cell>
          <cell r="CV54" t="str">
            <v>CCU_MZA - Comp. Cerv. Unidas - MZA</v>
          </cell>
          <cell r="CW54" t="str">
            <v>CCU_MZA - Comp. Cerv. Unidas - MZA</v>
          </cell>
        </row>
        <row r="55">
          <cell r="D55" t="str">
            <v>AF148ME</v>
          </cell>
          <cell r="E55" t="str">
            <v>Camioneta</v>
          </cell>
          <cell r="F55" t="str">
            <v>Utilitario</v>
          </cell>
          <cell r="G55" t="str">
            <v>Utilitario</v>
          </cell>
          <cell r="N55" t="str">
            <v>TDU</v>
          </cell>
          <cell r="O55" t="str">
            <v>TDU</v>
          </cell>
          <cell r="P55" t="str">
            <v>No</v>
          </cell>
          <cell r="Q55" t="str">
            <v>Propio</v>
          </cell>
          <cell r="R55">
            <v>2</v>
          </cell>
          <cell r="S55" t="str">
            <v>Propio</v>
          </cell>
          <cell r="T55" t="str">
            <v>MERCEDES BENZ</v>
          </cell>
          <cell r="U55" t="str">
            <v>SPRINTER 316 CDI FURGON 3665</v>
          </cell>
          <cell r="V55" t="str">
            <v>651958W0133386</v>
          </cell>
          <cell r="W55" t="str">
            <v>8AC907633NE211552</v>
          </cell>
          <cell r="X55">
            <v>2021</v>
          </cell>
          <cell r="Y55">
            <v>5</v>
          </cell>
          <cell r="AZ55" t="str">
            <v>CMQ_TTE - QUILMES TTE</v>
          </cell>
          <cell r="BA55" t="str">
            <v>CMQ_TTE - QUILMES TTE</v>
          </cell>
          <cell r="BB55" t="str">
            <v>CMQ_TTE - QUILMES TTE</v>
          </cell>
          <cell r="BC55" t="str">
            <v>CMQ_TTE - QUILMES TTE</v>
          </cell>
          <cell r="BD55" t="str">
            <v>CMQ_TTE - QUILMES TTE</v>
          </cell>
          <cell r="BE55" t="str">
            <v>CMQ_TTE - QUILMES TTE</v>
          </cell>
          <cell r="BF55" t="str">
            <v>CMQ_TTE - QUILMES TTE</v>
          </cell>
          <cell r="BG55" t="str">
            <v>CMQ_TTE - QUILMES TTE</v>
          </cell>
          <cell r="BH55" t="str">
            <v>CMQ_TTE - QUILMES TTE</v>
          </cell>
          <cell r="BI55" t="str">
            <v>CMQ_TTE - QUILMES TTE</v>
          </cell>
          <cell r="BJ55" t="str">
            <v>CMQ_TTE - QUILMES TTE</v>
          </cell>
          <cell r="BK55" t="str">
            <v>CMQ_TTE - QUILMES TTE</v>
          </cell>
          <cell r="BL55" t="str">
            <v>CMQ_TTE - QUILMES TTE</v>
          </cell>
          <cell r="BM55" t="str">
            <v>CMQ_TTE - QUILMES TTE</v>
          </cell>
          <cell r="BN55" t="str">
            <v>CMQ_TTE - QUILMES TTE</v>
          </cell>
          <cell r="BO55" t="str">
            <v>CMQ_TTE - QUILMES TTE</v>
          </cell>
          <cell r="BP55" t="str">
            <v>CMQ_TTE - QUILMES TTE</v>
          </cell>
          <cell r="BQ55" t="str">
            <v>CMQ_TTE - QUILMES TTE</v>
          </cell>
          <cell r="BR55" t="str">
            <v>CMQ_TTE - QUILMES TTE</v>
          </cell>
          <cell r="BS55" t="str">
            <v>CMQ_TTE - QUILMES TTE</v>
          </cell>
          <cell r="BT55" t="str">
            <v>CMQ_TTE - QUILMES TTE</v>
          </cell>
          <cell r="BU55" t="str">
            <v>CMQ_TTE - QUILMES TTE</v>
          </cell>
          <cell r="BV55" t="str">
            <v>CMQ_TTE - QUILMES TTE</v>
          </cell>
          <cell r="BW55" t="str">
            <v>CMQ_TTE - QUILMES TTE</v>
          </cell>
          <cell r="BX55" t="str">
            <v>CMQ_TTE - QUILMES TTE</v>
          </cell>
          <cell r="BY55" t="str">
            <v>CMQ_TTE - QUILMES TTE</v>
          </cell>
          <cell r="BZ55" t="str">
            <v>CMQ_TTE - QUILMES TTE</v>
          </cell>
          <cell r="CA55" t="str">
            <v>CMQ_TTE - QUILMES TTE</v>
          </cell>
          <cell r="CB55" t="str">
            <v>CMQ_TTE - QUILMES TTE</v>
          </cell>
          <cell r="CC55" t="str">
            <v>CMQ_TTE - QUILMES TTE</v>
          </cell>
          <cell r="CD55" t="str">
            <v>CMQ_TTE - QUILMES TTE</v>
          </cell>
          <cell r="CE55" t="str">
            <v>CMQ_TTE - QUILMES TTE</v>
          </cell>
          <cell r="CF55" t="str">
            <v>CMQ_TTE - QUILMES TTE</v>
          </cell>
          <cell r="CG55" t="str">
            <v>CMQ_TTE - QUILMES TTE</v>
          </cell>
          <cell r="CH55" t="str">
            <v>CMQ_TTE - QUILMES TTE</v>
          </cell>
          <cell r="CI55" t="str">
            <v>CMQ_TTE - QUILMES TTE</v>
          </cell>
          <cell r="CJ55" t="str">
            <v>CMQ_TTE - QUILMES TTE</v>
          </cell>
          <cell r="CK55" t="str">
            <v>CMQ_TTE - QUILMES TTE</v>
          </cell>
          <cell r="CL55" t="str">
            <v>CMQ_TTE - QUILMES TTE</v>
          </cell>
          <cell r="CM55" t="str">
            <v>CMQ_TTE - QUILMES TTE</v>
          </cell>
          <cell r="CN55" t="str">
            <v>CMQ_TTE - QUILMES TTE</v>
          </cell>
          <cell r="CO55" t="str">
            <v>CMQ_TTE - QUILMES TTE</v>
          </cell>
          <cell r="CP55" t="str">
            <v>CMQ_TTE - QUILMES TTE</v>
          </cell>
          <cell r="CQ55" t="str">
            <v>CMQ_TTE - QUILMES TTE</v>
          </cell>
          <cell r="CR55" t="str">
            <v>CMQ_TTE - QUILMES TTE</v>
          </cell>
          <cell r="CS55" t="str">
            <v>CMQ_TTE - QUILMES TTE</v>
          </cell>
          <cell r="CT55" t="str">
            <v>CMQ_TTE - QUILMES TTE</v>
          </cell>
          <cell r="CU55" t="str">
            <v>CMQ_TTE - QUILMES TTE</v>
          </cell>
          <cell r="CV55" t="str">
            <v>CMQ_TTE - QUILMES TTE</v>
          </cell>
          <cell r="CW55" t="str">
            <v>CMQ_TTE - QUILMES TTE</v>
          </cell>
        </row>
        <row r="56">
          <cell r="D56" t="str">
            <v>AF804RA</v>
          </cell>
          <cell r="E56" t="str">
            <v>Chasis</v>
          </cell>
          <cell r="F56" t="str">
            <v>Chasis</v>
          </cell>
          <cell r="G56" t="str">
            <v>Chasis Termico</v>
          </cell>
          <cell r="N56" t="str">
            <v>CODYLSA</v>
          </cell>
          <cell r="O56" t="str">
            <v>CODYLSA</v>
          </cell>
          <cell r="Q56" t="str">
            <v>Propio</v>
          </cell>
          <cell r="R56">
            <v>12</v>
          </cell>
          <cell r="S56" t="str">
            <v>Propio</v>
          </cell>
          <cell r="T56" t="str">
            <v>MERCEDES BENZ</v>
          </cell>
          <cell r="U56" t="str">
            <v>ATEGO 1419 48</v>
          </cell>
          <cell r="V56" t="str">
            <v>924989U1398236</v>
          </cell>
          <cell r="W56" t="str">
            <v>9BM958134PB282394</v>
          </cell>
          <cell r="X56">
            <v>2023</v>
          </cell>
          <cell r="Y56">
            <v>3</v>
          </cell>
          <cell r="BL56" t="str">
            <v>Sin Op</v>
          </cell>
          <cell r="BM56" t="str">
            <v>Sin Op</v>
          </cell>
          <cell r="BN56" t="str">
            <v>Sin Op</v>
          </cell>
          <cell r="BO56" t="str">
            <v>Sin Op</v>
          </cell>
          <cell r="BP56" t="str">
            <v>ADA_SMK - Danone Arg. S.A. - SMK</v>
          </cell>
          <cell r="BQ56" t="str">
            <v>Sin Operación</v>
          </cell>
          <cell r="BR56" t="str">
            <v>Sin Operación</v>
          </cell>
          <cell r="BS56" t="str">
            <v>Sin Operación</v>
          </cell>
          <cell r="BT56" t="str">
            <v>CENCO_MZ - Cencosud SA - Mendoza</v>
          </cell>
          <cell r="BU56" t="str">
            <v>CENCO_MZ - Cencosud SA - Mendoza</v>
          </cell>
          <cell r="BV56" t="str">
            <v>CENCO_MZ - Cencosud SA - Mendoza</v>
          </cell>
          <cell r="BW56" t="str">
            <v>CENCO_MZ - Cencosud SA - Mendoza</v>
          </cell>
          <cell r="BX56" t="str">
            <v>CENCO_MZ - Cencosud SA - Mendoza</v>
          </cell>
          <cell r="BY56" t="str">
            <v>CENCO_MZ - Cencosud SA - Mendoza</v>
          </cell>
          <cell r="BZ56" t="str">
            <v>CENCO_MZ - Cencosud SA - Mendoza</v>
          </cell>
          <cell r="CA56" t="str">
            <v>CENCO_MZ - Cencosud SA - Mendoza</v>
          </cell>
          <cell r="CB56" t="str">
            <v>CENCO_MZ - Cencosud SA - Mendoza</v>
          </cell>
          <cell r="CC56" t="str">
            <v>CENCO_MZ - Cencosud SA - Mendoza</v>
          </cell>
          <cell r="CD56" t="str">
            <v>CENCO_MZ - Cencosud SA - Mendoza</v>
          </cell>
          <cell r="CE56" t="str">
            <v>CENCO_MZ - Cencosud SA - Mendoza</v>
          </cell>
          <cell r="CF56" t="str">
            <v>CENCO_MZ - Cencosud SA - Mendoza</v>
          </cell>
          <cell r="CG56" t="str">
            <v>CENCO_MZ - Cencosud SA - Mendoza</v>
          </cell>
          <cell r="CH56" t="str">
            <v>CENCO_MZ - Cencosud SA - Mendoza</v>
          </cell>
          <cell r="CI56" t="str">
            <v>CENCO_MZ - Cencosud SA - Mendoza</v>
          </cell>
          <cell r="CJ56" t="str">
            <v>CENCO_MZ - Cencosud SA - Mendoza</v>
          </cell>
          <cell r="CK56" t="str">
            <v>CENCO_MZ - Cencosud SA - Mendoza</v>
          </cell>
          <cell r="CL56" t="str">
            <v>CENCO_MZ - Cencosud SA - Mendoza</v>
          </cell>
          <cell r="CM56" t="str">
            <v>CENCO_MZ - Cencosud SA - Mendoza</v>
          </cell>
          <cell r="CN56" t="str">
            <v>CENCO_MZ - Cencosud SA - Mendoza</v>
          </cell>
          <cell r="CO56" t="str">
            <v>CENCO_MZ - Cencosud SA - Mendoza</v>
          </cell>
          <cell r="CP56" t="str">
            <v>CENCO_MZ - Cencosud SA - Mendoza</v>
          </cell>
          <cell r="CQ56" t="str">
            <v>CENCO_MZ - Cencosud SA - Mendoza</v>
          </cell>
          <cell r="CR56" t="str">
            <v>CENCO_MZ - Cencosud SA - Mendoza</v>
          </cell>
          <cell r="CS56" t="str">
            <v>CENCO_MZ - Cencosud SA - Mendoza</v>
          </cell>
          <cell r="CT56" t="str">
            <v>CENCO_MZ - Cencosud SA - Mendoza</v>
          </cell>
          <cell r="CU56" t="str">
            <v>CENCO_MZ - Cencosud SA - Mendoza</v>
          </cell>
          <cell r="CV56" t="str">
            <v>CENCO_MZ - Cencosud SA - Mendoza</v>
          </cell>
          <cell r="CW56" t="str">
            <v>CENCO_MZ - Cencosud SA - Mendoza</v>
          </cell>
        </row>
        <row r="57">
          <cell r="D57" t="str">
            <v>AF156NJ</v>
          </cell>
          <cell r="E57" t="str">
            <v>Camioneta</v>
          </cell>
          <cell r="F57" t="str">
            <v>Utilitario</v>
          </cell>
          <cell r="G57" t="str">
            <v>Utilitario</v>
          </cell>
          <cell r="N57" t="str">
            <v>Expreso Malargüe S. A.</v>
          </cell>
          <cell r="O57" t="str">
            <v>Expreso Malargüe S. A.</v>
          </cell>
          <cell r="P57" t="str">
            <v>No</v>
          </cell>
          <cell r="Q57" t="str">
            <v>Propio</v>
          </cell>
          <cell r="R57">
            <v>2</v>
          </cell>
          <cell r="S57" t="str">
            <v>Propio</v>
          </cell>
          <cell r="T57" t="str">
            <v>MERCEDES BENZ</v>
          </cell>
          <cell r="U57" t="str">
            <v>SPRINTER 316 CDI FURGON 3665</v>
          </cell>
          <cell r="V57" t="str">
            <v>651958W0128900</v>
          </cell>
          <cell r="W57" t="str">
            <v>8AC907633NE205994</v>
          </cell>
          <cell r="X57">
            <v>2021</v>
          </cell>
          <cell r="Y57">
            <v>5</v>
          </cell>
          <cell r="AZ57" t="str">
            <v>Expreso - Servicios Troncales</v>
          </cell>
          <cell r="BA57" t="str">
            <v>Expreso - Servicios Troncales</v>
          </cell>
          <cell r="BB57" t="str">
            <v>Expreso - Servicios Troncales</v>
          </cell>
          <cell r="BC57" t="str">
            <v>Expreso - Servicios Troncales</v>
          </cell>
          <cell r="BD57" t="str">
            <v>Expreso - Servicios Troncales</v>
          </cell>
          <cell r="BE57" t="str">
            <v>Expreso - Servicios Troncales</v>
          </cell>
          <cell r="BF57" t="str">
            <v>Expreso - Servicios Troncales</v>
          </cell>
          <cell r="BG57" t="str">
            <v>Expreso - Servicios Troncales</v>
          </cell>
          <cell r="BH57" t="str">
            <v>Expreso - Servicios Troncales</v>
          </cell>
          <cell r="BI57" t="str">
            <v>Expreso - Servicios Troncales</v>
          </cell>
          <cell r="BJ57" t="str">
            <v>Expreso - Servicios Troncales</v>
          </cell>
          <cell r="BK57" t="str">
            <v>Expreso - Servicios Troncales</v>
          </cell>
          <cell r="BL57" t="str">
            <v>Expreso - Servicios Troncales</v>
          </cell>
          <cell r="BM57" t="str">
            <v>Expreso - Servicios Troncales</v>
          </cell>
          <cell r="BN57" t="str">
            <v>SUC_CTC - Sucursal Buenos Aires</v>
          </cell>
          <cell r="BO57" t="str">
            <v>SUC_CTC - Sucursal Buenos Aires</v>
          </cell>
          <cell r="BP57" t="str">
            <v>SUC_CTC - Sucursal Buenos Aires</v>
          </cell>
          <cell r="BQ57" t="str">
            <v>SUC_CTC - Sucursal Buenos Aires</v>
          </cell>
          <cell r="BR57" t="str">
            <v>SUC_CTC - Sucursal Buenos Aires</v>
          </cell>
          <cell r="BS57" t="str">
            <v>SUC_SLU - Sucursal San Luis</v>
          </cell>
          <cell r="BT57" t="str">
            <v>SUC_SLU - Sucursal San Luis</v>
          </cell>
          <cell r="BU57" t="str">
            <v>SUC_SLU - Sucursal San Luis</v>
          </cell>
          <cell r="BV57" t="str">
            <v>SUC_SLU - Sucursal San Luis</v>
          </cell>
          <cell r="BW57" t="str">
            <v>SUC_SLU - Sucursal San Luis</v>
          </cell>
          <cell r="BX57" t="str">
            <v>SUC_SLU - Sucursal San Luis</v>
          </cell>
          <cell r="BY57" t="str">
            <v>SUC_SLU - Sucursal San Luis</v>
          </cell>
          <cell r="BZ57" t="str">
            <v>SUC_SLU - Sucursal San Luis</v>
          </cell>
          <cell r="CA57" t="str">
            <v>SUC_SLU - Sucursal San Luis</v>
          </cell>
          <cell r="CB57" t="str">
            <v>SUC_SLU - Sucursal San Luis</v>
          </cell>
          <cell r="CC57" t="str">
            <v>SUC_SLU - Sucursal San Luis</v>
          </cell>
          <cell r="CD57" t="str">
            <v>SUC_SLU - Sucursal San Luis</v>
          </cell>
          <cell r="CE57" t="str">
            <v>SUC_SLU - Sucursal San Luis</v>
          </cell>
          <cell r="CF57" t="str">
            <v>SUC_SLU - Sucursal San Luis</v>
          </cell>
          <cell r="CG57" t="str">
            <v>SUC_SLU - Sucursal San Luis</v>
          </cell>
          <cell r="CH57" t="str">
            <v>SUC_SLU - Sucursal San Luis</v>
          </cell>
          <cell r="CI57" t="str">
            <v>SUC_SLU - Sucursal San Luis</v>
          </cell>
          <cell r="CJ57" t="str">
            <v>SUC_SLU - Sucursal San Luis</v>
          </cell>
          <cell r="CK57" t="str">
            <v>SUC_SLU - Sucursal San Luis</v>
          </cell>
          <cell r="CL57" t="str">
            <v>SUC_SLU - Sucursal San Luis</v>
          </cell>
          <cell r="CM57" t="str">
            <v>SUC_SLU - Sucursal San Luis</v>
          </cell>
          <cell r="CN57" t="str">
            <v>SUC_SLU - Sucursal San Luis</v>
          </cell>
          <cell r="CO57" t="str">
            <v>SUC_SLU - Sucursal San Luis</v>
          </cell>
          <cell r="CP57" t="str">
            <v>SUC_SLU - Sucursal San Luis</v>
          </cell>
          <cell r="CQ57" t="str">
            <v>SUC_SLU - Sucursal San Luis</v>
          </cell>
          <cell r="CR57" t="str">
            <v>SUC_SLU - Sucursal San Luis</v>
          </cell>
          <cell r="CS57" t="str">
            <v>SUC_SLU - Sucursal San Luis</v>
          </cell>
          <cell r="CT57" t="str">
            <v>SUC_SLU - Sucursal San Luis</v>
          </cell>
          <cell r="CU57" t="str">
            <v>SUC_SLU - Sucursal San Luis</v>
          </cell>
          <cell r="CV57" t="str">
            <v>SUC_SLU - Sucursal San Luis</v>
          </cell>
          <cell r="CW57" t="str">
            <v>SUC_SLU - Sucursal San Luis</v>
          </cell>
        </row>
        <row r="58">
          <cell r="D58" t="str">
            <v>AF156NK</v>
          </cell>
          <cell r="E58" t="str">
            <v>Camioneta</v>
          </cell>
          <cell r="F58" t="str">
            <v>Utilitario</v>
          </cell>
          <cell r="G58" t="str">
            <v>Utilitario</v>
          </cell>
          <cell r="N58" t="str">
            <v>Expreso Malargüe S. A.</v>
          </cell>
          <cell r="O58" t="str">
            <v>Expreso Malargüe S. A.</v>
          </cell>
          <cell r="P58" t="str">
            <v>No</v>
          </cell>
          <cell r="Q58" t="str">
            <v>Propio</v>
          </cell>
          <cell r="R58">
            <v>2</v>
          </cell>
          <cell r="S58" t="str">
            <v>Propio</v>
          </cell>
          <cell r="T58" t="str">
            <v>MERCEDES BENZ</v>
          </cell>
          <cell r="U58" t="str">
            <v>SPRINTER 316 CDI FURGON 3665</v>
          </cell>
          <cell r="V58" t="str">
            <v>651958W0128874</v>
          </cell>
          <cell r="W58" t="str">
            <v>8AC907633NE205736</v>
          </cell>
          <cell r="X58">
            <v>2021</v>
          </cell>
          <cell r="Y58">
            <v>5</v>
          </cell>
          <cell r="AZ58" t="str">
            <v>Expreso - Servicios Troncales</v>
          </cell>
          <cell r="BA58" t="str">
            <v>Expreso - Servicios Troncales</v>
          </cell>
          <cell r="BB58" t="str">
            <v>Expreso - Servicios Troncales</v>
          </cell>
          <cell r="BC58" t="str">
            <v>Expreso - Servicios Troncales</v>
          </cell>
          <cell r="BD58" t="str">
            <v>Expreso - Servicios Troncales</v>
          </cell>
          <cell r="BE58" t="str">
            <v>Expreso - Servicios Troncales</v>
          </cell>
          <cell r="BF58" t="str">
            <v>Expreso - Servicios Troncales</v>
          </cell>
          <cell r="BG58" t="str">
            <v>Expreso - Servicios Troncales</v>
          </cell>
          <cell r="BH58" t="str">
            <v>Expreso - Servicios Troncales</v>
          </cell>
          <cell r="BI58" t="str">
            <v>Expreso - Servicios Troncales</v>
          </cell>
          <cell r="BJ58" t="str">
            <v>Expreso - Servicios Troncales</v>
          </cell>
          <cell r="BK58" t="str">
            <v>Expreso - Servicios Troncales</v>
          </cell>
          <cell r="BL58" t="str">
            <v>Expreso - Servicios Troncales</v>
          </cell>
          <cell r="BM58" t="str">
            <v>Expreso - Servicios Troncales</v>
          </cell>
          <cell r="BN58" t="str">
            <v>SUC_ROS - Sucursal Rosario</v>
          </cell>
          <cell r="BO58" t="str">
            <v>SUC_ROS - Sucursal Rosario</v>
          </cell>
          <cell r="BP58" t="str">
            <v>SUC_ROS - Sucursal Rosario</v>
          </cell>
          <cell r="BQ58" t="str">
            <v>SUC_ROS - Sucursal Rosario</v>
          </cell>
          <cell r="BR58" t="str">
            <v>SUC_ROS - Sucursal Rosario</v>
          </cell>
          <cell r="BS58" t="str">
            <v>SUC_ROS - Sucursal Rosario</v>
          </cell>
          <cell r="BT58" t="str">
            <v>SUC_ROS - Sucursal Rosario</v>
          </cell>
          <cell r="BU58" t="str">
            <v>SUC_ROS - Sucursal Rosario</v>
          </cell>
          <cell r="BV58" t="str">
            <v>SUC_ROS - Sucursal Rosario</v>
          </cell>
          <cell r="BW58" t="str">
            <v>SUC_ROS - Sucursal Rosario</v>
          </cell>
          <cell r="BX58" t="str">
            <v>SUC_ROS - Sucursal Rosario</v>
          </cell>
          <cell r="BY58" t="str">
            <v>SUC_ROS - Sucursal Rosario</v>
          </cell>
          <cell r="BZ58" t="str">
            <v>SUC_ROS - Sucursal Rosario</v>
          </cell>
          <cell r="CA58" t="str">
            <v>SUC_ROS - Sucursal Rosario</v>
          </cell>
          <cell r="CB58" t="str">
            <v>SUC_ROS - Sucursal Rosario</v>
          </cell>
          <cell r="CC58" t="str">
            <v>SUC_ROS - Sucursal Rosario</v>
          </cell>
          <cell r="CD58" t="str">
            <v>SUC_ROS - Sucursal Rosario</v>
          </cell>
          <cell r="CE58" t="str">
            <v>SUC_ROS - Sucursal Rosario</v>
          </cell>
          <cell r="CF58" t="str">
            <v>SUC_ROS - Sucursal Rosario</v>
          </cell>
          <cell r="CG58" t="str">
            <v>SUC_ROS - Sucursal Rosario</v>
          </cell>
          <cell r="CH58" t="str">
            <v>SUC_ROS - Sucursal Rosario</v>
          </cell>
          <cell r="CI58" t="str">
            <v>SUC_ROS - Sucursal Rosario</v>
          </cell>
          <cell r="CJ58" t="str">
            <v>SUC_ROS - Sucursal Rosario</v>
          </cell>
          <cell r="CK58" t="str">
            <v>SUC_ROS - Sucursal Rosario</v>
          </cell>
          <cell r="CL58" t="str">
            <v>SUC_ROS - Sucursal Rosario</v>
          </cell>
          <cell r="CM58" t="str">
            <v>SUC_ROS - Sucursal Rosario</v>
          </cell>
          <cell r="CN58" t="str">
            <v>SUC_ROS - Sucursal Rosario</v>
          </cell>
          <cell r="CO58" t="str">
            <v>SUC_ROS - Sucursal Rosario</v>
          </cell>
          <cell r="CP58" t="str">
            <v>SUC_ROS - Sucursal Rosario</v>
          </cell>
          <cell r="CQ58" t="str">
            <v>SUC_ROS - Sucursal Rosario</v>
          </cell>
          <cell r="CR58" t="str">
            <v>SUC_ROS - Sucursal Rosario</v>
          </cell>
          <cell r="CS58" t="str">
            <v>SUC_ROS - Sucursal Rosario</v>
          </cell>
          <cell r="CT58" t="str">
            <v>SUC_ROS - Sucursal Rosario</v>
          </cell>
          <cell r="CU58" t="str">
            <v>SUC_ROS - Sucursal Rosario</v>
          </cell>
          <cell r="CV58" t="str">
            <v>SUC_ROS - Sucursal Rosario</v>
          </cell>
          <cell r="CW58" t="str">
            <v>SUC_ROS - Sucursal Rosario</v>
          </cell>
        </row>
        <row r="59">
          <cell r="D59" t="str">
            <v>AF156NL</v>
          </cell>
          <cell r="E59" t="str">
            <v>Camioneta</v>
          </cell>
          <cell r="F59" t="str">
            <v>Utilitario</v>
          </cell>
          <cell r="G59" t="str">
            <v>Utilitario</v>
          </cell>
          <cell r="N59" t="str">
            <v>Expreso Malargüe S. A.</v>
          </cell>
          <cell r="O59" t="str">
            <v>Expreso Malargüe S. A.</v>
          </cell>
          <cell r="P59" t="str">
            <v>No</v>
          </cell>
          <cell r="Q59" t="str">
            <v>Propio</v>
          </cell>
          <cell r="R59">
            <v>2</v>
          </cell>
          <cell r="S59" t="str">
            <v>Propio</v>
          </cell>
          <cell r="T59" t="str">
            <v>MERCEDES BENZ</v>
          </cell>
          <cell r="U59" t="str">
            <v>SPRINTER 316 CDI FURGON 3665</v>
          </cell>
          <cell r="V59" t="str">
            <v>651958W0132015</v>
          </cell>
          <cell r="W59" t="str">
            <v>8AC907633NE210215</v>
          </cell>
          <cell r="X59">
            <v>2021</v>
          </cell>
          <cell r="Y59">
            <v>5</v>
          </cell>
          <cell r="AZ59" t="str">
            <v>Expreso - Servicios Troncales</v>
          </cell>
          <cell r="BA59" t="str">
            <v>Expreso - Servicios Troncales</v>
          </cell>
          <cell r="BB59" t="str">
            <v>Expreso - Servicios Troncales</v>
          </cell>
          <cell r="BC59" t="str">
            <v>Expreso - Servicios Troncales</v>
          </cell>
          <cell r="BD59" t="str">
            <v>Expreso - Servicios Troncales</v>
          </cell>
          <cell r="BE59" t="str">
            <v>Expreso - Servicios Troncales</v>
          </cell>
          <cell r="BF59" t="str">
            <v>Expreso - Servicios Troncales</v>
          </cell>
          <cell r="BG59" t="str">
            <v>Expreso - Servicios Troncales</v>
          </cell>
          <cell r="BH59" t="str">
            <v>Expreso - Servicios Troncales</v>
          </cell>
          <cell r="BI59" t="str">
            <v>Expreso - Servicios Troncales</v>
          </cell>
          <cell r="BJ59" t="str">
            <v>Expreso - Servicios Troncales</v>
          </cell>
          <cell r="BK59" t="str">
            <v>Expreso - Servicios Troncales</v>
          </cell>
          <cell r="BL59" t="str">
            <v>Expreso - Servicios Troncales</v>
          </cell>
          <cell r="BM59" t="str">
            <v>Expreso - Servicios Troncales</v>
          </cell>
          <cell r="BN59" t="str">
            <v>SUC_SRA - Sucursal San Rafael</v>
          </cell>
          <cell r="BO59" t="str">
            <v>SUC_SRA - Sucursal San Rafael</v>
          </cell>
          <cell r="BP59" t="str">
            <v>SUC_SRA - Sucursal San Rafael</v>
          </cell>
          <cell r="BQ59" t="str">
            <v>SUC_SRA - Sucursal San Rafael</v>
          </cell>
          <cell r="BR59" t="str">
            <v>SUC_SRA - Sucursal San Rafael</v>
          </cell>
          <cell r="BS59" t="str">
            <v>SUC_SRA - Sucursal San Rafael</v>
          </cell>
          <cell r="BT59" t="str">
            <v>SUC_SRA - Sucursal San Rafael</v>
          </cell>
          <cell r="BU59" t="str">
            <v>SUC_SRA - Sucursal San Rafael</v>
          </cell>
          <cell r="BV59" t="str">
            <v>SUC_SRA - Sucursal San Rafael</v>
          </cell>
          <cell r="BW59" t="str">
            <v>SUC_SRA - Sucursal San Rafael</v>
          </cell>
          <cell r="BX59" t="str">
            <v>SUC_SRA - Sucursal San Rafael</v>
          </cell>
          <cell r="BY59" t="str">
            <v>SUC_SRA - Sucursal San Rafael</v>
          </cell>
          <cell r="BZ59" t="str">
            <v>SUC_SRA - Sucursal San Rafael</v>
          </cell>
          <cell r="CA59" t="str">
            <v>SUC_SRA - Sucursal San Rafael</v>
          </cell>
          <cell r="CB59" t="str">
            <v>SUC_SRA - Sucursal San Rafael</v>
          </cell>
          <cell r="CC59" t="str">
            <v>SUC_SRA - Sucursal San Rafael</v>
          </cell>
          <cell r="CD59" t="str">
            <v>SUC_SRA - Sucursal San Rafael</v>
          </cell>
          <cell r="CE59" t="str">
            <v>SUC_SRA - Sucursal San Rafael</v>
          </cell>
          <cell r="CF59" t="str">
            <v>SUC_SRA - Sucursal San Rafael</v>
          </cell>
          <cell r="CG59" t="str">
            <v>SUC_SRA - Sucursal San Rafael</v>
          </cell>
          <cell r="CH59" t="str">
            <v>SUC_SRA - Sucursal San Rafael</v>
          </cell>
          <cell r="CI59" t="str">
            <v>SUC_SRA - Sucursal San Rafael</v>
          </cell>
          <cell r="CJ59" t="str">
            <v>SUC_SRA - Sucursal San Rafael</v>
          </cell>
          <cell r="CK59" t="str">
            <v>SUC_SRA - Sucursal San Rafael</v>
          </cell>
          <cell r="CL59" t="str">
            <v>SUC_SRA - Sucursal San Rafael</v>
          </cell>
          <cell r="CM59" t="str">
            <v>SUC_SRA - Sucursal San Rafael</v>
          </cell>
          <cell r="CN59" t="str">
            <v>SUC_SRA - Sucursal San Rafael</v>
          </cell>
          <cell r="CO59" t="str">
            <v>SUC_SRA - Sucursal San Rafael</v>
          </cell>
          <cell r="CP59" t="str">
            <v>SUC_SRA - Sucursal San Rafael</v>
          </cell>
          <cell r="CQ59" t="str">
            <v>SUC_SRA - Sucursal San Rafael</v>
          </cell>
          <cell r="CR59" t="str">
            <v>SUC_SRA - Sucursal San Rafael</v>
          </cell>
          <cell r="CS59" t="str">
            <v>SUC_SRA - Sucursal San Rafael</v>
          </cell>
          <cell r="CT59" t="str">
            <v>SUC_SRA - Sucursal San Rafael</v>
          </cell>
          <cell r="CU59" t="str">
            <v>SUC_SRA - Sucursal San Rafael</v>
          </cell>
          <cell r="CV59" t="str">
            <v>SUC_SRA - Sucursal San Rafael</v>
          </cell>
          <cell r="CW59" t="str">
            <v>SUC_SRA - Sucursal San Rafael</v>
          </cell>
        </row>
        <row r="60">
          <cell r="D60" t="str">
            <v>AF156NM</v>
          </cell>
          <cell r="E60" t="str">
            <v>Camioneta</v>
          </cell>
          <cell r="F60" t="str">
            <v>Utilitario</v>
          </cell>
          <cell r="G60" t="str">
            <v>Utilitario</v>
          </cell>
          <cell r="N60" t="str">
            <v>Expreso Malargüe S. A.</v>
          </cell>
          <cell r="O60" t="str">
            <v>Expreso Malargüe S. A.</v>
          </cell>
          <cell r="P60" t="str">
            <v>No</v>
          </cell>
          <cell r="Q60" t="str">
            <v>Propio</v>
          </cell>
          <cell r="R60">
            <v>2</v>
          </cell>
          <cell r="S60" t="str">
            <v>Propio</v>
          </cell>
          <cell r="T60" t="str">
            <v>MERCEDES BENZ</v>
          </cell>
          <cell r="U60" t="str">
            <v>SPRINTER 316 CDI FURGON 3665</v>
          </cell>
          <cell r="V60" t="str">
            <v>651958W0133527</v>
          </cell>
          <cell r="W60" t="str">
            <v>8AC907633NE211689</v>
          </cell>
          <cell r="X60">
            <v>2021</v>
          </cell>
          <cell r="Y60">
            <v>5</v>
          </cell>
          <cell r="AZ60" t="str">
            <v>Expreso - Servicios Troncales</v>
          </cell>
          <cell r="BA60" t="str">
            <v>Expreso - Servicios Troncales</v>
          </cell>
          <cell r="BB60" t="str">
            <v>Expreso - Servicios Troncales</v>
          </cell>
          <cell r="BC60" t="str">
            <v>Expreso - Servicios Troncales</v>
          </cell>
          <cell r="BD60" t="str">
            <v>Expreso - Servicios Troncales</v>
          </cell>
          <cell r="BE60" t="str">
            <v>Expreso - Servicios Troncales</v>
          </cell>
          <cell r="BF60" t="str">
            <v>Expreso - Servicios Troncales</v>
          </cell>
          <cell r="BG60" t="str">
            <v>Expreso - Servicios Troncales</v>
          </cell>
          <cell r="BH60" t="str">
            <v>Expreso - Servicios Troncales</v>
          </cell>
          <cell r="BI60" t="str">
            <v>Expreso - Servicios Troncales</v>
          </cell>
          <cell r="BJ60" t="str">
            <v>Expreso - Servicios Troncales</v>
          </cell>
          <cell r="BK60" t="str">
            <v>Expreso - Servicios Troncales</v>
          </cell>
          <cell r="BL60" t="str">
            <v>Expreso - Servicios Troncales</v>
          </cell>
          <cell r="BM60" t="str">
            <v>Expreso - Servicios Troncales</v>
          </cell>
          <cell r="BN60" t="str">
            <v>SUC_MEN - Sucursal Mendoza</v>
          </cell>
          <cell r="BO60" t="str">
            <v>SUC_MEN - Sucursal Mendoza</v>
          </cell>
          <cell r="BP60" t="str">
            <v>SUC_MEN - Sucursal Mendoza</v>
          </cell>
          <cell r="BQ60" t="str">
            <v>SUC_MEN - Sucursal Mendoza</v>
          </cell>
          <cell r="BR60" t="str">
            <v>SUC_MEN - Sucursal Mendoza</v>
          </cell>
          <cell r="BS60" t="str">
            <v>SUC_MEN - Sucursal Mendoza</v>
          </cell>
          <cell r="BT60" t="str">
            <v>SUC_MEN - Sucursal Mendoza</v>
          </cell>
          <cell r="BU60" t="str">
            <v>SUC_MEN - Sucursal Mendoza</v>
          </cell>
          <cell r="BV60" t="str">
            <v>SUC_MEN - Sucursal Mendoza</v>
          </cell>
          <cell r="BW60" t="str">
            <v>SUC_MEN - Sucursal Mendoza</v>
          </cell>
          <cell r="BX60" t="str">
            <v>SUC_MEN - Sucursal Mendoza</v>
          </cell>
          <cell r="BY60" t="str">
            <v>SUC_MEN - Sucursal Mendoza</v>
          </cell>
          <cell r="BZ60" t="str">
            <v>SUC_MEN - Sucursal Mendoza</v>
          </cell>
          <cell r="CA60" t="str">
            <v>SUC_MEN - Sucursal Mendoza</v>
          </cell>
          <cell r="CB60" t="str">
            <v>SUC_MEN - Sucursal Mendoza</v>
          </cell>
          <cell r="CC60" t="str">
            <v>SUC_MEN - Sucursal Mendoza</v>
          </cell>
          <cell r="CD60" t="str">
            <v>SUC_MEN - Sucursal Mendoza</v>
          </cell>
          <cell r="CE60" t="str">
            <v>SUC_MEN - Sucursal Mendoza</v>
          </cell>
          <cell r="CF60" t="str">
            <v>SUC_MEN - Sucursal Mendoza</v>
          </cell>
          <cell r="CG60" t="str">
            <v>SUC_MEN - Sucursal Mendoza</v>
          </cell>
          <cell r="CH60" t="str">
            <v>SUC_MEN - Sucursal Mendoza</v>
          </cell>
          <cell r="CI60" t="str">
            <v>SUC_MEN - Sucursal Mendoza</v>
          </cell>
          <cell r="CJ60" t="str">
            <v>SUC_MEN - Sucursal Mendoza</v>
          </cell>
          <cell r="CK60" t="str">
            <v>SUC_MEN - Sucursal Mendoza</v>
          </cell>
          <cell r="CL60" t="str">
            <v>SUC_MEN - Sucursal Mendoza</v>
          </cell>
          <cell r="CM60" t="str">
            <v>SUC_MEN - Sucursal Mendoza</v>
          </cell>
          <cell r="CN60" t="str">
            <v>SUC_MEN - Sucursal Mendoza</v>
          </cell>
          <cell r="CO60" t="str">
            <v>SUC_MEN - Sucursal Mendoza</v>
          </cell>
          <cell r="CP60" t="str">
            <v>SUC_MEN - Sucursal Mendoza</v>
          </cell>
          <cell r="CQ60" t="str">
            <v>SUC_MEN - Sucursal Mendoza</v>
          </cell>
          <cell r="CR60" t="str">
            <v>SUC_MEN - Sucursal Mendoza</v>
          </cell>
          <cell r="CS60" t="str">
            <v>SUC_MEN - Sucursal Mendoza</v>
          </cell>
          <cell r="CT60" t="str">
            <v>SUC_MEN - Sucursal Mendoza</v>
          </cell>
          <cell r="CU60" t="str">
            <v>SUC_MEN - Sucursal Mendoza</v>
          </cell>
          <cell r="CV60" t="str">
            <v>SUC_MEN - Sucursal Mendoza</v>
          </cell>
          <cell r="CW60" t="str">
            <v>SUC_MEN - Sucursal Mendoza</v>
          </cell>
        </row>
        <row r="61">
          <cell r="D61" t="str">
            <v>AF239QZ</v>
          </cell>
          <cell r="E61" t="str">
            <v>Tractor(prestamo)</v>
          </cell>
          <cell r="F61" t="str">
            <v>Tractor</v>
          </cell>
          <cell r="G61" t="str">
            <v>Tractor</v>
          </cell>
          <cell r="N61" t="str">
            <v>Scania-CODYLSA</v>
          </cell>
          <cell r="O61" t="str">
            <v>CODYLSA</v>
          </cell>
          <cell r="P61" t="str">
            <v>No</v>
          </cell>
          <cell r="Q61" t="str">
            <v>PRESTAMO</v>
          </cell>
          <cell r="R61" t="str">
            <v>-</v>
          </cell>
          <cell r="S61" t="str">
            <v>PRESTAMO</v>
          </cell>
          <cell r="T61" t="str">
            <v>SCANIA</v>
          </cell>
          <cell r="U61" t="str">
            <v>G410A4X2</v>
          </cell>
          <cell r="V61">
            <v>7319319</v>
          </cell>
          <cell r="W61" t="str">
            <v>+9BSG4X200++N4007669+</v>
          </cell>
          <cell r="X61">
            <v>2022</v>
          </cell>
          <cell r="Y61">
            <v>4</v>
          </cell>
          <cell r="BI61" t="str">
            <v>Expreso - Servicios Troncales</v>
          </cell>
          <cell r="BJ61" t="str">
            <v>Expreso - Servicios Troncales</v>
          </cell>
          <cell r="BK61" t="str">
            <v>Expreso - Servicios Troncales</v>
          </cell>
          <cell r="BL61" t="str">
            <v>Expreso - Servicios Troncales</v>
          </cell>
          <cell r="BM61" t="str">
            <v>INACTIVO</v>
          </cell>
          <cell r="BN61" t="str">
            <v>INACTIVO</v>
          </cell>
          <cell r="BO61" t="str">
            <v>INACTIVO</v>
          </cell>
          <cell r="BP61" t="str">
            <v>INACTIVO</v>
          </cell>
          <cell r="BQ61" t="str">
            <v>INACTIVO</v>
          </cell>
          <cell r="BR61" t="str">
            <v>INACTIVO</v>
          </cell>
          <cell r="BS61" t="str">
            <v>INACTIVO</v>
          </cell>
          <cell r="BT61" t="str">
            <v>INACTIVO</v>
          </cell>
          <cell r="BU61" t="str">
            <v>INACTIVO</v>
          </cell>
          <cell r="BV61" t="str">
            <v>INACTIVO</v>
          </cell>
          <cell r="BW61" t="str">
            <v>INACTIVO</v>
          </cell>
          <cell r="BX61" t="str">
            <v>INACTIVO</v>
          </cell>
          <cell r="BY61" t="str">
            <v>INACTIVO</v>
          </cell>
          <cell r="BZ61" t="str">
            <v>INACTIVO</v>
          </cell>
          <cell r="CA61" t="str">
            <v>INACTIVO</v>
          </cell>
          <cell r="CB61" t="str">
            <v>INACTIVO</v>
          </cell>
          <cell r="CC61" t="str">
            <v>BAJA</v>
          </cell>
          <cell r="CD61" t="str">
            <v>BAJA</v>
          </cell>
          <cell r="CE61" t="str">
            <v>BAJA</v>
          </cell>
          <cell r="CF61" t="str">
            <v>BAJA</v>
          </cell>
          <cell r="CG61" t="str">
            <v>BAJA</v>
          </cell>
          <cell r="CH61" t="str">
            <v>BAJA</v>
          </cell>
          <cell r="CI61" t="str">
            <v>BAJA</v>
          </cell>
          <cell r="CJ61" t="str">
            <v>BAJA</v>
          </cell>
          <cell r="CK61" t="str">
            <v>BAJA</v>
          </cell>
          <cell r="CL61" t="str">
            <v>BAJA</v>
          </cell>
          <cell r="CM61" t="str">
            <v>BAJA</v>
          </cell>
          <cell r="CN61" t="str">
            <v>BAJA</v>
          </cell>
          <cell r="CO61" t="str">
            <v>BAJA</v>
          </cell>
          <cell r="CP61" t="str">
            <v>BAJA</v>
          </cell>
          <cell r="CQ61" t="str">
            <v>BAJA</v>
          </cell>
          <cell r="CR61" t="str">
            <v>BAJA</v>
          </cell>
          <cell r="CS61" t="str">
            <v>BAJA</v>
          </cell>
          <cell r="CT61" t="str">
            <v>BAJA</v>
          </cell>
          <cell r="CU61" t="str">
            <v>BAJA</v>
          </cell>
          <cell r="CV61" t="str">
            <v>BAJA</v>
          </cell>
          <cell r="CW61" t="str">
            <v>BAJA</v>
          </cell>
        </row>
        <row r="62">
          <cell r="D62" t="str">
            <v>AF247UT</v>
          </cell>
          <cell r="E62" t="str">
            <v>Semiremolque</v>
          </cell>
          <cell r="F62" t="str">
            <v>Semiremolque</v>
          </cell>
          <cell r="G62" t="str">
            <v>Semiremolque Sider 14,5m 28P</v>
          </cell>
          <cell r="N62" t="str">
            <v>CODYLSA</v>
          </cell>
          <cell r="O62" t="str">
            <v>CODYLSA</v>
          </cell>
          <cell r="P62" t="str">
            <v>No</v>
          </cell>
          <cell r="Q62" t="str">
            <v>Propio</v>
          </cell>
          <cell r="R62">
            <v>28</v>
          </cell>
          <cell r="S62" t="str">
            <v>Propio</v>
          </cell>
          <cell r="T62" t="str">
            <v>HERMANN</v>
          </cell>
          <cell r="U62" t="str">
            <v>8EHSPA3E0NA000063</v>
          </cell>
          <cell r="V62">
            <v>2022</v>
          </cell>
          <cell r="W62" t="str">
            <v>8EHSPA3E0NA000063</v>
          </cell>
          <cell r="X62">
            <v>2022</v>
          </cell>
          <cell r="Y62">
            <v>4</v>
          </cell>
          <cell r="BB62" t="str">
            <v>ADA_CH - Danone Arg. S.A. - Chascomus</v>
          </cell>
          <cell r="BC62" t="str">
            <v>ADA_CH - Danone Arg. S.A. - Chascomus</v>
          </cell>
          <cell r="BD62" t="str">
            <v>ADA_CH - Danone Arg. S.A. - Chascomus</v>
          </cell>
          <cell r="BE62" t="str">
            <v>ADA_CH - Danone Arg. S.A. - Chascomus</v>
          </cell>
          <cell r="BF62" t="str">
            <v>ADA_CH - Danone Arg. S.A. - Chascomus</v>
          </cell>
          <cell r="BG62" t="str">
            <v>Expreso - Servicios Troncales</v>
          </cell>
          <cell r="BH62" t="str">
            <v>Expreso - Servicios Troncales</v>
          </cell>
          <cell r="BI62" t="str">
            <v>Expreso - Servicios Troncales</v>
          </cell>
          <cell r="BJ62" t="str">
            <v>Expreso - Servicios Troncales</v>
          </cell>
          <cell r="BK62" t="str">
            <v>Expreso - Servicios Troncales</v>
          </cell>
          <cell r="BL62" t="str">
            <v>Expreso - Servicios Troncales</v>
          </cell>
          <cell r="BM62" t="str">
            <v>Expreso - Servicios Troncales</v>
          </cell>
          <cell r="BN62" t="str">
            <v>Expreso - Servicios Troncales</v>
          </cell>
          <cell r="BO62" t="str">
            <v>Expreso - Servicios Troncales</v>
          </cell>
          <cell r="BP62" t="str">
            <v>Expreso - Servicios Troncales</v>
          </cell>
          <cell r="BQ62" t="str">
            <v>Expreso - Servicios Troncales</v>
          </cell>
          <cell r="BR62" t="str">
            <v>Expreso - Servicios Troncales</v>
          </cell>
          <cell r="BS62" t="str">
            <v>Expreso - Servicios Troncales</v>
          </cell>
          <cell r="BT62" t="str">
            <v>Expreso - Servicios Troncales</v>
          </cell>
          <cell r="BU62" t="str">
            <v>Expreso - Servicios Troncales</v>
          </cell>
          <cell r="BV62" t="str">
            <v>Expreso - Servicios Troncales</v>
          </cell>
          <cell r="BW62" t="str">
            <v>Expreso - Servicios Troncales</v>
          </cell>
          <cell r="BX62" t="str">
            <v>Expreso - Servicios Troncales</v>
          </cell>
          <cell r="BY62" t="str">
            <v>Expreso - Servicios Troncales</v>
          </cell>
          <cell r="BZ62" t="str">
            <v>Expreso - Servicios Troncales</v>
          </cell>
          <cell r="CA62" t="str">
            <v>Expreso - Servicios Troncales</v>
          </cell>
          <cell r="CB62" t="str">
            <v>Expreso - Servicios Troncales</v>
          </cell>
          <cell r="CC62" t="str">
            <v>Expreso - Servicios Troncales</v>
          </cell>
          <cell r="CD62" t="str">
            <v>Expreso - Servicios Troncales</v>
          </cell>
          <cell r="CE62" t="str">
            <v>Expreso - Servicios Troncales</v>
          </cell>
          <cell r="CF62" t="str">
            <v>Expreso - Servicios Troncales</v>
          </cell>
          <cell r="CG62" t="str">
            <v>Expreso - Servicios Troncales</v>
          </cell>
          <cell r="CH62" t="str">
            <v>Expreso - Servicios Troncales</v>
          </cell>
          <cell r="CI62" t="str">
            <v>Expreso - Servicios Troncales</v>
          </cell>
          <cell r="CJ62" t="str">
            <v>Expreso - Servicios Troncales</v>
          </cell>
          <cell r="CK62" t="str">
            <v>Expreso - Servicios Troncales</v>
          </cell>
          <cell r="CL62" t="str">
            <v>Expreso - Servicios Troncales</v>
          </cell>
          <cell r="CM62" t="str">
            <v>Expreso - Servicios Troncales</v>
          </cell>
          <cell r="CN62" t="str">
            <v>Expreso - Servicios Troncales</v>
          </cell>
          <cell r="CO62" t="str">
            <v>Expreso - Servicios Troncales</v>
          </cell>
          <cell r="CP62" t="str">
            <v>Expreso - Servicios Troncales</v>
          </cell>
          <cell r="CQ62" t="str">
            <v>Expreso - Servicios Troncales</v>
          </cell>
          <cell r="CR62" t="str">
            <v>Expreso - Servicios Troncales</v>
          </cell>
          <cell r="CS62" t="str">
            <v>Expreso - Servicios Troncales</v>
          </cell>
          <cell r="CT62" t="str">
            <v>Expreso - Servicios Troncales</v>
          </cell>
          <cell r="CU62" t="str">
            <v>Expreso - Servicios Troncales</v>
          </cell>
          <cell r="CV62" t="str">
            <v>Expreso - Servicios Troncales</v>
          </cell>
          <cell r="CW62" t="str">
            <v>Expreso - Servicios Troncales</v>
          </cell>
        </row>
        <row r="63">
          <cell r="D63" t="str">
            <v>AF247UU</v>
          </cell>
          <cell r="E63" t="str">
            <v>Semiremolque</v>
          </cell>
          <cell r="F63" t="str">
            <v>Semiremolque</v>
          </cell>
          <cell r="G63" t="str">
            <v>Semiremolque Sider 14,5m 28P</v>
          </cell>
          <cell r="N63" t="str">
            <v>CODYLSA</v>
          </cell>
          <cell r="O63" t="str">
            <v>CODYLSA</v>
          </cell>
          <cell r="P63" t="str">
            <v>No</v>
          </cell>
          <cell r="Q63" t="str">
            <v>Propio</v>
          </cell>
          <cell r="R63">
            <v>28</v>
          </cell>
          <cell r="S63" t="str">
            <v>Propio</v>
          </cell>
          <cell r="T63" t="str">
            <v>HERMANN</v>
          </cell>
          <cell r="U63" t="str">
            <v>8EHSPA3E0NA000059</v>
          </cell>
          <cell r="V63">
            <v>2022</v>
          </cell>
          <cell r="W63" t="str">
            <v>8EHSPA3E0NA000059</v>
          </cell>
          <cell r="X63">
            <v>2022</v>
          </cell>
          <cell r="Y63">
            <v>4</v>
          </cell>
          <cell r="BB63" t="str">
            <v>ADA_CH - Danone Arg. S.A. - Chascomus</v>
          </cell>
          <cell r="BC63" t="str">
            <v>ADA_CH - Danone Arg. S.A. - Chascomus</v>
          </cell>
          <cell r="BD63" t="str">
            <v>ADA_CH - Danone Arg. S.A. - Chascomus</v>
          </cell>
          <cell r="BE63" t="str">
            <v>ADA_CH - Danone Arg. S.A. - Chascomus</v>
          </cell>
          <cell r="BF63" t="str">
            <v>ADA_CH - Danone Arg. S.A. - Chascomus</v>
          </cell>
          <cell r="BG63" t="str">
            <v>Expreso - Servicios Troncales</v>
          </cell>
          <cell r="BH63" t="str">
            <v>Expreso - Servicios Troncales</v>
          </cell>
          <cell r="BI63" t="str">
            <v>Expreso - Servicios Troncales</v>
          </cell>
          <cell r="BJ63" t="str">
            <v>Expreso - Servicios Troncales</v>
          </cell>
          <cell r="BK63" t="str">
            <v>Expreso - Servicios Troncales</v>
          </cell>
          <cell r="BL63" t="str">
            <v>Expreso - Servicios Troncales</v>
          </cell>
          <cell r="BM63" t="str">
            <v>Expreso - Servicios Troncales</v>
          </cell>
          <cell r="BN63" t="str">
            <v>Expreso - Servicios Troncales</v>
          </cell>
          <cell r="BO63" t="str">
            <v>Expreso - Servicios Troncales</v>
          </cell>
          <cell r="BP63" t="str">
            <v>Expreso - Servicios Troncales</v>
          </cell>
          <cell r="BQ63" t="str">
            <v>Expreso - Servicios Troncales</v>
          </cell>
          <cell r="BR63" t="str">
            <v>Expreso - Servicios Troncales</v>
          </cell>
          <cell r="BS63" t="str">
            <v>Expreso - Servicios Troncales</v>
          </cell>
          <cell r="BT63" t="str">
            <v>Expreso - Servicios Troncales</v>
          </cell>
          <cell r="BU63" t="str">
            <v>Expreso - Servicios Troncales</v>
          </cell>
          <cell r="BV63" t="str">
            <v>Expreso - Servicios Troncales</v>
          </cell>
          <cell r="BW63" t="str">
            <v>Expreso - Servicios Troncales</v>
          </cell>
          <cell r="BX63" t="str">
            <v>Expreso - Servicios Troncales</v>
          </cell>
          <cell r="BY63" t="str">
            <v>Expreso - Servicios Troncales</v>
          </cell>
          <cell r="BZ63" t="str">
            <v>Expreso - Servicios Troncales</v>
          </cell>
          <cell r="CA63" t="str">
            <v>Expreso - Servicios Troncales</v>
          </cell>
          <cell r="CB63" t="str">
            <v>Expreso - Servicios Troncales</v>
          </cell>
          <cell r="CC63" t="str">
            <v>Expreso - Servicios Troncales</v>
          </cell>
          <cell r="CD63" t="str">
            <v>Expreso - Servicios Troncales</v>
          </cell>
          <cell r="CE63" t="str">
            <v>Expreso - Servicios Troncales</v>
          </cell>
          <cell r="CF63" t="str">
            <v>Expreso - Servicios Troncales</v>
          </cell>
          <cell r="CG63" t="str">
            <v>Expreso - Servicios Troncales</v>
          </cell>
          <cell r="CH63" t="str">
            <v>Expreso - Servicios Troncales</v>
          </cell>
          <cell r="CI63" t="str">
            <v>Expreso - Servicios Troncales</v>
          </cell>
          <cell r="CJ63" t="str">
            <v>Expreso - Servicios Troncales</v>
          </cell>
          <cell r="CK63" t="str">
            <v>Expreso - Servicios Troncales</v>
          </cell>
          <cell r="CL63" t="str">
            <v>Expreso - Servicios Troncales</v>
          </cell>
          <cell r="CM63" t="str">
            <v>Expreso - Servicios Troncales</v>
          </cell>
          <cell r="CN63" t="str">
            <v>Expreso - Servicios Troncales</v>
          </cell>
          <cell r="CO63" t="str">
            <v>Expreso - Servicios Troncales</v>
          </cell>
          <cell r="CP63" t="str">
            <v>Expreso - Servicios Troncales</v>
          </cell>
          <cell r="CQ63" t="str">
            <v>Expreso - Servicios Troncales</v>
          </cell>
          <cell r="CR63" t="str">
            <v>Expreso - Servicios Troncales</v>
          </cell>
          <cell r="CS63" t="str">
            <v>Expreso - Servicios Troncales</v>
          </cell>
          <cell r="CT63" t="str">
            <v>Expreso - Servicios Troncales</v>
          </cell>
          <cell r="CU63" t="str">
            <v>Expreso - Servicios Troncales</v>
          </cell>
          <cell r="CV63" t="str">
            <v>Expreso - Servicios Troncales</v>
          </cell>
          <cell r="CW63" t="str">
            <v>Expreso - Servicios Troncales</v>
          </cell>
        </row>
        <row r="64">
          <cell r="D64" t="str">
            <v>AF338VO</v>
          </cell>
          <cell r="E64" t="str">
            <v>CHASIS</v>
          </cell>
          <cell r="F64" t="str">
            <v>Balancin</v>
          </cell>
          <cell r="G64" t="str">
            <v>Balancin</v>
          </cell>
          <cell r="N64" t="str">
            <v>TDU</v>
          </cell>
          <cell r="O64" t="str">
            <v>TDU</v>
          </cell>
          <cell r="P64" t="str">
            <v>No</v>
          </cell>
          <cell r="Q64" t="str">
            <v>Propio</v>
          </cell>
          <cell r="R64">
            <v>14</v>
          </cell>
          <cell r="S64" t="str">
            <v>Propio</v>
          </cell>
          <cell r="T64" t="str">
            <v>MERCEDES BENZ</v>
          </cell>
          <cell r="U64" t="str">
            <v>ATEGO 1419</v>
          </cell>
          <cell r="V64" t="str">
            <v>924989U1374694</v>
          </cell>
          <cell r="W64" t="str">
            <v>9BM958134NB256606</v>
          </cell>
          <cell r="X64">
            <v>2022</v>
          </cell>
          <cell r="Y64">
            <v>4</v>
          </cell>
          <cell r="BD64" t="str">
            <v>CMQ_TTE - QUILMES TTE</v>
          </cell>
          <cell r="BE64" t="str">
            <v>CMQ_TTE - QUILMES TTE</v>
          </cell>
          <cell r="BF64" t="str">
            <v>CMQ_TTE - QUILMES TTE</v>
          </cell>
          <cell r="BG64" t="str">
            <v>CMQ_TTE - QUILMES TTE</v>
          </cell>
          <cell r="BH64" t="str">
            <v>CMQ_TTE - QUILMES TTE</v>
          </cell>
          <cell r="BI64" t="str">
            <v>LOGIS</v>
          </cell>
          <cell r="BJ64" t="str">
            <v>LOGIS</v>
          </cell>
          <cell r="BK64" t="str">
            <v>LOGIS</v>
          </cell>
          <cell r="BL64" t="str">
            <v>CMQ_TTE - QUILMES TTE</v>
          </cell>
          <cell r="BM64" t="str">
            <v>CMQ_TTE - QUILMES TTE</v>
          </cell>
          <cell r="BN64" t="str">
            <v>CMQ_TTE - QUILMES TTE</v>
          </cell>
          <cell r="BO64" t="str">
            <v>CMQ_TTE - QUILMES TTE</v>
          </cell>
          <cell r="BP64" t="str">
            <v>CMQ_TTE - QUILMES TTE</v>
          </cell>
          <cell r="BQ64" t="str">
            <v>CMQ_TTE - QUILMES TTE</v>
          </cell>
          <cell r="BR64" t="str">
            <v>CMQ_TTE - QUILMES TTE</v>
          </cell>
          <cell r="BS64" t="str">
            <v>CMQ_TTE - QUILMES TTE</v>
          </cell>
          <cell r="BT64" t="str">
            <v>CMQ_TTE - QUILMES TTE</v>
          </cell>
          <cell r="BU64" t="str">
            <v>CMQ_TTE - QUILMES TTE</v>
          </cell>
          <cell r="BV64" t="str">
            <v>CMQ_TTE - QUILMES TTE</v>
          </cell>
          <cell r="BW64" t="str">
            <v>CMQ_TTE - QUILMES TTE</v>
          </cell>
          <cell r="BX64" t="str">
            <v>CMQ_TTE - QUILMES TTE</v>
          </cell>
          <cell r="BY64" t="str">
            <v>CMQ_TTE - QUILMES TTE</v>
          </cell>
          <cell r="BZ64" t="str">
            <v>CMQ_TTE - QUILMES TTE</v>
          </cell>
          <cell r="CA64" t="str">
            <v>CMQ_TTE - QUILMES TTE</v>
          </cell>
          <cell r="CB64" t="str">
            <v>CMQ_TTE - QUILMES TTE</v>
          </cell>
          <cell r="CC64" t="str">
            <v>CMQ_TTE - QUILMES TTE</v>
          </cell>
          <cell r="CD64" t="str">
            <v>CMQ_TTE - QUILMES TTE</v>
          </cell>
          <cell r="CE64" t="str">
            <v>CMQ_TTE - QUILMES TTE</v>
          </cell>
          <cell r="CF64" t="str">
            <v>CMQ_TTE - QUILMES TTE</v>
          </cell>
          <cell r="CG64" t="str">
            <v>CMQ_TTE - QUILMES TTE</v>
          </cell>
          <cell r="CH64" t="str">
            <v>CMQ_TTE - QUILMES TTE</v>
          </cell>
          <cell r="CI64" t="str">
            <v>CMQ_TTE - QUILMES TTE</v>
          </cell>
          <cell r="CJ64" t="str">
            <v>CMQ_TTE - QUILMES TTE</v>
          </cell>
          <cell r="CK64" t="str">
            <v>CMQ_TTE - QUILMES TTE</v>
          </cell>
          <cell r="CL64" t="str">
            <v>CMQ_TTE - QUILMES TTE</v>
          </cell>
          <cell r="CM64" t="str">
            <v>CMQ_TTE - QUILMES TTE</v>
          </cell>
          <cell r="CN64" t="str">
            <v>CMQ_TTE - QUILMES TTE</v>
          </cell>
          <cell r="CO64" t="str">
            <v>CMQ_TTE - QUILMES TTE</v>
          </cell>
          <cell r="CP64" t="str">
            <v>CMQ_TTE - QUILMES TTE</v>
          </cell>
          <cell r="CQ64" t="str">
            <v>CMQ_TTE - QUILMES TTE</v>
          </cell>
          <cell r="CR64" t="str">
            <v>CMQ_TTE - QUILMES TTE</v>
          </cell>
          <cell r="CS64" t="str">
            <v>CMQ_TTE - QUILMES TTE</v>
          </cell>
          <cell r="CT64" t="str">
            <v>CMQ_TTE - QUILMES TTE</v>
          </cell>
          <cell r="CU64" t="str">
            <v>CMQ_TTE - QUILMES TTE</v>
          </cell>
          <cell r="CV64" t="str">
            <v>CMQ_TTE - QUILMES TTE</v>
          </cell>
          <cell r="CW64" t="str">
            <v>CMQ_TTE - QUILMES TTE</v>
          </cell>
        </row>
        <row r="65">
          <cell r="D65" t="str">
            <v>AF338VP</v>
          </cell>
          <cell r="E65" t="str">
            <v>Tractor</v>
          </cell>
          <cell r="F65" t="str">
            <v>Tractor</v>
          </cell>
          <cell r="G65" t="str">
            <v>Tractor</v>
          </cell>
          <cell r="N65" t="str">
            <v>TDU</v>
          </cell>
          <cell r="O65" t="str">
            <v>TDU</v>
          </cell>
          <cell r="P65" t="str">
            <v>No</v>
          </cell>
          <cell r="Q65" t="str">
            <v>Propio</v>
          </cell>
          <cell r="R65" t="str">
            <v>-</v>
          </cell>
          <cell r="S65" t="str">
            <v>Propio</v>
          </cell>
          <cell r="T65" t="str">
            <v>MERCEDES BENZ</v>
          </cell>
          <cell r="U65" t="str">
            <v>ACTROS 2045 LS</v>
          </cell>
          <cell r="V65" t="str">
            <v>460974U1100347</v>
          </cell>
          <cell r="W65" t="str">
            <v>W1T963403NB252543</v>
          </cell>
          <cell r="X65">
            <v>2022</v>
          </cell>
          <cell r="Y65">
            <v>4</v>
          </cell>
          <cell r="BD65" t="str">
            <v>CMQ_TTE - QUILMES TTE</v>
          </cell>
          <cell r="BE65" t="str">
            <v>CENCO_MZ - Cencosud SA - Mendoza</v>
          </cell>
          <cell r="BF65" t="str">
            <v>CMQ_TTE - QUILMES TTE</v>
          </cell>
          <cell r="BG65" t="str">
            <v>CENCO_MZ - Cencosud SA - Mendoza</v>
          </cell>
          <cell r="BH65" t="str">
            <v>CENCO_MZ - Cencosud SA - Mendoza</v>
          </cell>
          <cell r="BI65" t="str">
            <v>CENCO_MZ - Cencosud SA - Mendoza</v>
          </cell>
          <cell r="BJ65" t="str">
            <v>CENCO_MZ - Cencosud SA - Mendoza</v>
          </cell>
          <cell r="BK65" t="str">
            <v>CENCO_MZ - Cencosud SA - Mendoza</v>
          </cell>
          <cell r="BL65" t="str">
            <v>CENCO_MZ - Cencosud SA - Mendoza</v>
          </cell>
          <cell r="BM65" t="str">
            <v>CENCO_MZ - Cencosud SA - Mendoza</v>
          </cell>
          <cell r="BN65" t="str">
            <v>CENCOMLD - Cencosud SA - Mendoza</v>
          </cell>
          <cell r="BO65" t="str">
            <v>CENCOMLD - Cencosud SA - Mendoza</v>
          </cell>
          <cell r="BP65" t="str">
            <v>INACTIVO</v>
          </cell>
          <cell r="BQ65" t="str">
            <v>INACTIVO</v>
          </cell>
          <cell r="BR65" t="str">
            <v>INACTIVO</v>
          </cell>
          <cell r="BS65" t="str">
            <v>INACTIVO</v>
          </cell>
          <cell r="BT65" t="str">
            <v>INACTIVO</v>
          </cell>
          <cell r="BU65" t="str">
            <v>INACTIVO</v>
          </cell>
          <cell r="BV65" t="str">
            <v>INACTIVO</v>
          </cell>
          <cell r="BW65" t="str">
            <v>BAJA</v>
          </cell>
          <cell r="BX65" t="str">
            <v>BAJA</v>
          </cell>
          <cell r="BY65" t="str">
            <v>BAJA</v>
          </cell>
          <cell r="BZ65" t="str">
            <v>BAJA</v>
          </cell>
          <cell r="CA65" t="str">
            <v>BAJA</v>
          </cell>
          <cell r="CB65" t="str">
            <v>BAJA</v>
          </cell>
          <cell r="CC65" t="str">
            <v>BAJA</v>
          </cell>
          <cell r="CD65" t="str">
            <v>BAJA</v>
          </cell>
          <cell r="CE65" t="str">
            <v>BAJA</v>
          </cell>
          <cell r="CF65" t="str">
            <v>BAJA</v>
          </cell>
          <cell r="CG65" t="str">
            <v>BAJA</v>
          </cell>
          <cell r="CH65" t="str">
            <v>BAJA</v>
          </cell>
          <cell r="CI65" t="str">
            <v>BAJA</v>
          </cell>
          <cell r="CJ65" t="str">
            <v>BAJA</v>
          </cell>
          <cell r="CK65" t="str">
            <v>BAJA</v>
          </cell>
          <cell r="CL65" t="str">
            <v>BAJA</v>
          </cell>
          <cell r="CM65" t="str">
            <v>BAJA</v>
          </cell>
          <cell r="CN65" t="str">
            <v>BAJA</v>
          </cell>
          <cell r="CO65" t="str">
            <v>BAJA</v>
          </cell>
          <cell r="CP65" t="str">
            <v>BAJA</v>
          </cell>
          <cell r="CQ65" t="str">
            <v>BAJA</v>
          </cell>
          <cell r="CR65" t="str">
            <v>BAJA</v>
          </cell>
          <cell r="CS65" t="str">
            <v>BAJA</v>
          </cell>
          <cell r="CT65" t="str">
            <v>BAJA</v>
          </cell>
          <cell r="CU65" t="str">
            <v>BAJA</v>
          </cell>
          <cell r="CV65" t="str">
            <v>BAJA</v>
          </cell>
          <cell r="CW65" t="str">
            <v>BAJA</v>
          </cell>
        </row>
        <row r="66">
          <cell r="D66" t="str">
            <v>AF338VQ</v>
          </cell>
          <cell r="E66" t="str">
            <v>Camioneta</v>
          </cell>
          <cell r="F66" t="str">
            <v>Utilitario</v>
          </cell>
          <cell r="G66" t="str">
            <v>Utilitario</v>
          </cell>
          <cell r="N66" t="str">
            <v>TDU</v>
          </cell>
          <cell r="O66" t="str">
            <v>TDU</v>
          </cell>
          <cell r="P66" t="str">
            <v>No</v>
          </cell>
          <cell r="Q66" t="str">
            <v>Propio</v>
          </cell>
          <cell r="R66">
            <v>2</v>
          </cell>
          <cell r="S66" t="str">
            <v>Propio</v>
          </cell>
          <cell r="T66" t="str">
            <v>Renault</v>
          </cell>
          <cell r="U66" t="str">
            <v>KANGOO II EXPRESS CONFORT 5A 1,6 SCE-FURGON-</v>
          </cell>
          <cell r="V66" t="str">
            <v>H4MJ759Q101996</v>
          </cell>
          <cell r="W66" t="str">
            <v>8A18SRYD4NL190577</v>
          </cell>
          <cell r="X66">
            <v>2022</v>
          </cell>
          <cell r="Y66">
            <v>4</v>
          </cell>
          <cell r="BD66" t="str">
            <v>CMQ_TTE - QUILMES TTE</v>
          </cell>
          <cell r="BE66" t="str">
            <v>CMQ_TTE - QUILMES TTE</v>
          </cell>
          <cell r="BF66" t="str">
            <v>CMQ_TTE - QUILMES TTE</v>
          </cell>
          <cell r="BG66" t="str">
            <v>CMQ_TTE - QUILMES TTE</v>
          </cell>
          <cell r="BH66" t="str">
            <v>CMQ_TTE - QUILMES TTE</v>
          </cell>
          <cell r="BI66" t="str">
            <v>CMQ_TTE - QUILMES TTE</v>
          </cell>
          <cell r="BJ66" t="str">
            <v>CMQ_TTE - QUILMES TTE</v>
          </cell>
          <cell r="BK66" t="str">
            <v>CMQ_TTE - QUILMES TTE</v>
          </cell>
          <cell r="BL66" t="str">
            <v>CMQ_TTE - QUILMES TTE</v>
          </cell>
          <cell r="BM66" t="str">
            <v>CMQ_TTE - QUILMES TTE</v>
          </cell>
          <cell r="BN66" t="str">
            <v>CMQ_TTE - QUILMES TTE</v>
          </cell>
          <cell r="BO66" t="str">
            <v>CMQ_TTE - QUILMES TTE</v>
          </cell>
          <cell r="BP66" t="str">
            <v>CMQ_TTE - QUILMES TTE</v>
          </cell>
          <cell r="BQ66" t="str">
            <v>CMQ_TTE - QUILMES TTE</v>
          </cell>
          <cell r="BR66" t="str">
            <v>CMQ_TTE - QUILMES TTE</v>
          </cell>
          <cell r="BS66" t="str">
            <v>CMQ_TTE - QUILMES TTE</v>
          </cell>
          <cell r="BT66" t="str">
            <v>CMQ_TTE - QUILMES TTE</v>
          </cell>
          <cell r="BU66" t="str">
            <v>CMQ_TTE - QUILMES TTE</v>
          </cell>
          <cell r="BV66" t="str">
            <v>CMQ_TTE - QUILMES TTE</v>
          </cell>
          <cell r="BW66" t="str">
            <v>CMQ_TTE - QUILMES TTE</v>
          </cell>
          <cell r="BX66" t="str">
            <v>CMQ_TTE - QUILMES TTE</v>
          </cell>
          <cell r="BY66" t="str">
            <v>CMQ_TTE - QUILMES TTE</v>
          </cell>
          <cell r="BZ66" t="str">
            <v>CMQ_TTE - QUILMES TTE</v>
          </cell>
          <cell r="CA66" t="str">
            <v>CMQ_TTE - QUILMES TTE</v>
          </cell>
          <cell r="CB66" t="str">
            <v>CMQ_TTE - QUILMES TTE</v>
          </cell>
          <cell r="CC66" t="str">
            <v>CMQ_TTE - QUILMES TTE</v>
          </cell>
          <cell r="CD66" t="str">
            <v>CMQ_TTE - QUILMES TTE</v>
          </cell>
          <cell r="CE66" t="str">
            <v>CMQ_TTE - QUILMES TTE</v>
          </cell>
          <cell r="CF66" t="str">
            <v>CMQ_TTE - QUILMES TTE</v>
          </cell>
          <cell r="CG66" t="str">
            <v>CMQ_TTE - QUILMES TTE</v>
          </cell>
          <cell r="CH66" t="str">
            <v>CMQ_TTE - QUILMES TTE</v>
          </cell>
          <cell r="CI66" t="str">
            <v>CMQ_TTE - QUILMES TTE</v>
          </cell>
          <cell r="CJ66" t="str">
            <v>CMQ_TTE - QUILMES TTE</v>
          </cell>
          <cell r="CK66" t="str">
            <v>CMQ_TTE - QUILMES TTE</v>
          </cell>
          <cell r="CL66" t="str">
            <v>CMQ_TTE - QUILMES TTE</v>
          </cell>
          <cell r="CM66" t="str">
            <v>CMQ_TTE - QUILMES TTE</v>
          </cell>
          <cell r="CN66" t="str">
            <v>CMQ_TTE - QUILMES TTE</v>
          </cell>
          <cell r="CO66" t="str">
            <v>CMQ_TTE - QUILMES TTE</v>
          </cell>
          <cell r="CP66" t="str">
            <v>CMQ_TTE - QUILMES TTE</v>
          </cell>
          <cell r="CQ66" t="str">
            <v>CMQ_TTE - QUILMES TTE</v>
          </cell>
          <cell r="CR66" t="str">
            <v>CMQ_TTE - QUILMES TTE</v>
          </cell>
          <cell r="CS66" t="str">
            <v>CMQ_TTE - QUILMES TTE</v>
          </cell>
          <cell r="CT66" t="str">
            <v>CMQ_TTE - QUILMES TTE</v>
          </cell>
          <cell r="CU66" t="str">
            <v>CMQ_TTE - QUILMES TTE</v>
          </cell>
          <cell r="CV66" t="str">
            <v>CMQ_TTE - QUILMES TTE</v>
          </cell>
          <cell r="CW66" t="str">
            <v>CMQ_TTE - QUILMES TTE</v>
          </cell>
        </row>
        <row r="67">
          <cell r="D67" t="str">
            <v>AF364MN</v>
          </cell>
          <cell r="E67" t="str">
            <v>CHASIS</v>
          </cell>
          <cell r="F67" t="str">
            <v>Balancin</v>
          </cell>
          <cell r="G67" t="str">
            <v>Balancin</v>
          </cell>
          <cell r="N67" t="str">
            <v>TDU</v>
          </cell>
          <cell r="O67" t="str">
            <v>TDU</v>
          </cell>
          <cell r="P67" t="str">
            <v>No</v>
          </cell>
          <cell r="Q67" t="str">
            <v>Propio</v>
          </cell>
          <cell r="R67">
            <v>14</v>
          </cell>
          <cell r="S67" t="str">
            <v>Propio</v>
          </cell>
          <cell r="T67" t="str">
            <v>MERCEDES BENZ</v>
          </cell>
          <cell r="U67" t="str">
            <v>ATEGO 1419</v>
          </cell>
          <cell r="V67" t="str">
            <v>924989U1379353</v>
          </cell>
          <cell r="W67" t="str">
            <v>9BM958134NB261930</v>
          </cell>
          <cell r="X67">
            <v>2022</v>
          </cell>
          <cell r="Y67">
            <v>4</v>
          </cell>
          <cell r="BE67" t="str">
            <v>CMQ_TTE - QUILMES TTE</v>
          </cell>
          <cell r="BF67" t="str">
            <v>CMQ_TTE - QUILMES TTE</v>
          </cell>
          <cell r="BG67" t="str">
            <v>CMQ_TTE - QUILMES TTE</v>
          </cell>
          <cell r="BH67" t="str">
            <v>CMQ_TTE - QUILMES TTE</v>
          </cell>
          <cell r="BI67" t="str">
            <v>CMQ_TTE - QUILMES TTE</v>
          </cell>
          <cell r="BJ67" t="str">
            <v>CMQ_TTE - QUILMES TTE</v>
          </cell>
          <cell r="BK67" t="str">
            <v>CMQ_TTE - QUILMES TTE</v>
          </cell>
          <cell r="BL67" t="str">
            <v>CMQ_TTE - QUILMES TTE</v>
          </cell>
          <cell r="BM67" t="str">
            <v>CMQ_TTE - QUILMES TTE</v>
          </cell>
          <cell r="BN67" t="str">
            <v>CMQ_TTE - QUILMES TTE</v>
          </cell>
          <cell r="BO67" t="str">
            <v>CMQ_TTE - QUILMES TTE</v>
          </cell>
          <cell r="BP67" t="str">
            <v>CMQ_TTE - QUILMES TTE</v>
          </cell>
          <cell r="BQ67" t="str">
            <v>CMQ_TTE - QUILMES TTE</v>
          </cell>
          <cell r="BR67" t="str">
            <v>CMQ_TTE - QUILMES TTE</v>
          </cell>
          <cell r="BS67" t="str">
            <v>CMQ_TTE - QUILMES TTE</v>
          </cell>
          <cell r="BT67" t="str">
            <v>CMQ_TTE - QUILMES TTE</v>
          </cell>
          <cell r="BU67" t="str">
            <v>CMQ_TTE - QUILMES TTE</v>
          </cell>
          <cell r="BV67" t="str">
            <v>CMQ_TTE - QUILMES TTE</v>
          </cell>
          <cell r="BW67" t="str">
            <v>CMQ_TTE - QUILMES TTE</v>
          </cell>
          <cell r="BX67" t="str">
            <v>CMQ_TTE - QUILMES TTE</v>
          </cell>
          <cell r="BY67" t="str">
            <v>CMQ_TTE - QUILMES TTE</v>
          </cell>
          <cell r="BZ67" t="str">
            <v>CMQ_TTE - QUILMES TTE</v>
          </cell>
          <cell r="CA67" t="str">
            <v>CMQ_TTE - QUILMES TTE</v>
          </cell>
          <cell r="CB67" t="str">
            <v>CMQ_TTE - QUILMES TTE</v>
          </cell>
          <cell r="CC67" t="str">
            <v>CMQ_TTE - QUILMES TTE</v>
          </cell>
          <cell r="CD67" t="str">
            <v>CMQ_TTE - QUILMES TTE</v>
          </cell>
          <cell r="CE67" t="str">
            <v>CMQ_TTE - QUILMES TTE</v>
          </cell>
          <cell r="CF67" t="str">
            <v>CMQ_TTE - QUILMES TTE</v>
          </cell>
          <cell r="CG67" t="str">
            <v>CMQ_TTE - QUILMES TTE</v>
          </cell>
          <cell r="CH67" t="str">
            <v>CMQ_TTE - QUILMES TTE</v>
          </cell>
          <cell r="CI67" t="str">
            <v>CMQ_TTE - QUILMES TTE</v>
          </cell>
          <cell r="CJ67" t="str">
            <v>CMQ_TTE - QUILMES TTE</v>
          </cell>
          <cell r="CK67" t="str">
            <v>CMQ_TTE - QUILMES TTE</v>
          </cell>
          <cell r="CL67" t="str">
            <v>CMQ_TTE - QUILMES TTE</v>
          </cell>
          <cell r="CM67" t="str">
            <v>CMQ_TTE - QUILMES TTE</v>
          </cell>
          <cell r="CN67" t="str">
            <v>CMQ_TTE - QUILMES TTE</v>
          </cell>
          <cell r="CO67" t="str">
            <v>CMQ_TTE - QUILMES TTE</v>
          </cell>
          <cell r="CP67" t="str">
            <v>CMQ_TTE - QUILMES TTE</v>
          </cell>
          <cell r="CQ67" t="str">
            <v>CMQ_TTE - QUILMES TTE</v>
          </cell>
          <cell r="CR67" t="str">
            <v>CMQ_TTE - QUILMES TTE</v>
          </cell>
          <cell r="CS67" t="str">
            <v>CMQ_TTE - QUILMES TTE</v>
          </cell>
          <cell r="CT67" t="str">
            <v>CMQ_TTE - QUILMES TTE</v>
          </cell>
          <cell r="CU67" t="str">
            <v>CMQ_TTE - QUILMES TTE</v>
          </cell>
          <cell r="CV67" t="str">
            <v>CMQ_TTE - QUILMES TTE</v>
          </cell>
          <cell r="CW67" t="str">
            <v>CMQ_TTE - QUILMES TTE</v>
          </cell>
        </row>
        <row r="68">
          <cell r="D68" t="str">
            <v>AF370DZ</v>
          </cell>
          <cell r="E68" t="str">
            <v>Tractor(prestamo)</v>
          </cell>
          <cell r="F68" t="str">
            <v>Tractor</v>
          </cell>
          <cell r="G68" t="str">
            <v>Tractor</v>
          </cell>
          <cell r="N68" t="str">
            <v>Scania-Expreso Malargue SA</v>
          </cell>
          <cell r="O68" t="str">
            <v>Expreso Malargüe S. A.</v>
          </cell>
          <cell r="P68" t="str">
            <v>No</v>
          </cell>
          <cell r="Q68" t="str">
            <v>PRESTAMO</v>
          </cell>
          <cell r="R68" t="str">
            <v>-</v>
          </cell>
          <cell r="S68" t="str">
            <v>PRESTAMO</v>
          </cell>
          <cell r="T68" t="str">
            <v>SCANIA</v>
          </cell>
          <cell r="U68" t="str">
            <v>R410A4X2</v>
          </cell>
          <cell r="V68">
            <v>7322921</v>
          </cell>
          <cell r="W68" t="str">
            <v>+9BSR4X200++N4009536+</v>
          </cell>
          <cell r="X68">
            <v>2022</v>
          </cell>
          <cell r="Y68">
            <v>4</v>
          </cell>
          <cell r="BI68" t="str">
            <v>Expreso - Servicios Troncales</v>
          </cell>
          <cell r="BJ68" t="str">
            <v>Expreso - Servicios Troncales</v>
          </cell>
          <cell r="BK68" t="str">
            <v>Expreso - Servicios Troncales</v>
          </cell>
          <cell r="BL68" t="str">
            <v>Expreso - Servicios Troncales</v>
          </cell>
          <cell r="BM68" t="str">
            <v>INACTIVO</v>
          </cell>
          <cell r="BN68" t="str">
            <v>INACTIVO</v>
          </cell>
          <cell r="BO68" t="str">
            <v>INACTIVO</v>
          </cell>
          <cell r="BP68" t="str">
            <v>INACTIVO</v>
          </cell>
          <cell r="BQ68" t="str">
            <v>INACTIVO</v>
          </cell>
          <cell r="BR68" t="str">
            <v>INACTIVO</v>
          </cell>
          <cell r="BS68" t="str">
            <v>INACTIVO</v>
          </cell>
          <cell r="BT68" t="str">
            <v>INACTIVO</v>
          </cell>
          <cell r="BU68" t="str">
            <v>INACTIVO</v>
          </cell>
          <cell r="BV68" t="str">
            <v>INACTIVO</v>
          </cell>
          <cell r="BW68" t="str">
            <v>INACTIVO</v>
          </cell>
          <cell r="BX68" t="str">
            <v>INACTIVO</v>
          </cell>
          <cell r="BY68" t="str">
            <v>INACTIVO</v>
          </cell>
          <cell r="BZ68" t="str">
            <v>INACTIVO</v>
          </cell>
          <cell r="CA68" t="str">
            <v>INACTIVO</v>
          </cell>
          <cell r="CB68" t="str">
            <v>INACTIVO</v>
          </cell>
          <cell r="CC68" t="str">
            <v>BAJA</v>
          </cell>
          <cell r="CD68" t="str">
            <v>BAJA</v>
          </cell>
          <cell r="CE68" t="str">
            <v>BAJA</v>
          </cell>
          <cell r="CF68" t="str">
            <v>BAJA</v>
          </cell>
          <cell r="CG68" t="str">
            <v>BAJA</v>
          </cell>
          <cell r="CH68" t="str">
            <v>BAJA</v>
          </cell>
          <cell r="CI68" t="str">
            <v>BAJA</v>
          </cell>
          <cell r="CJ68" t="str">
            <v>BAJA</v>
          </cell>
          <cell r="CK68" t="str">
            <v>BAJA</v>
          </cell>
          <cell r="CL68" t="str">
            <v>BAJA</v>
          </cell>
          <cell r="CM68" t="str">
            <v>BAJA</v>
          </cell>
          <cell r="CN68" t="str">
            <v>BAJA</v>
          </cell>
          <cell r="CO68" t="str">
            <v>BAJA</v>
          </cell>
          <cell r="CP68" t="str">
            <v>BAJA</v>
          </cell>
          <cell r="CQ68" t="str">
            <v>BAJA</v>
          </cell>
          <cell r="CR68" t="str">
            <v>BAJA</v>
          </cell>
          <cell r="CS68" t="str">
            <v>BAJA</v>
          </cell>
          <cell r="CT68" t="str">
            <v>BAJA</v>
          </cell>
          <cell r="CU68" t="str">
            <v>BAJA</v>
          </cell>
          <cell r="CV68" t="str">
            <v>BAJA</v>
          </cell>
          <cell r="CW68" t="str">
            <v>BAJA</v>
          </cell>
        </row>
        <row r="69">
          <cell r="D69" t="str">
            <v>AF371BE</v>
          </cell>
          <cell r="E69" t="str">
            <v>Semiremolque</v>
          </cell>
          <cell r="F69" t="str">
            <v>Semiremolque</v>
          </cell>
          <cell r="G69" t="str">
            <v>Semiremolque Sider 14,5m 28P</v>
          </cell>
          <cell r="N69" t="str">
            <v>DYLASA</v>
          </cell>
          <cell r="O69" t="str">
            <v>DYLASA</v>
          </cell>
          <cell r="P69" t="str">
            <v>No</v>
          </cell>
          <cell r="Q69" t="str">
            <v>Propio</v>
          </cell>
          <cell r="R69">
            <v>28</v>
          </cell>
          <cell r="S69" t="str">
            <v>Propio</v>
          </cell>
          <cell r="T69" t="str">
            <v>HERMANN</v>
          </cell>
          <cell r="U69" t="str">
            <v>8EHSPA3E0NA000060</v>
          </cell>
          <cell r="V69">
            <v>2022</v>
          </cell>
          <cell r="W69" t="str">
            <v>8EHSPA3E0NA000060</v>
          </cell>
          <cell r="X69">
            <v>2022</v>
          </cell>
          <cell r="Y69">
            <v>4</v>
          </cell>
          <cell r="BC69" t="str">
            <v>ADA_CH - Danone Arg. S.A. - Chascomus</v>
          </cell>
          <cell r="BD69" t="str">
            <v>ADA_CH - Danone Arg. S.A. - Chascomus</v>
          </cell>
          <cell r="BE69" t="str">
            <v>ADA_CH - Danone Arg. S.A. - Chascomus</v>
          </cell>
          <cell r="BF69" t="str">
            <v>ADA_CH - Danone Arg. S.A. - Chascomus</v>
          </cell>
          <cell r="BG69" t="str">
            <v>ADA_CH - Danone Arg. S.A. - Chascomus</v>
          </cell>
          <cell r="BH69" t="str">
            <v>ADA_CH - Danone Arg. S.A. - Chascomus</v>
          </cell>
          <cell r="BI69" t="str">
            <v>INACTIVO</v>
          </cell>
          <cell r="BJ69" t="str">
            <v>ADA_CH - Danone Arg. S.A. - Chascomus</v>
          </cell>
          <cell r="BK69" t="str">
            <v>ADA_CH - Danone Arg. S.A. - Chascomus</v>
          </cell>
          <cell r="BL69" t="str">
            <v>ADA_CH - Danone Arg. S.A. - Chascomus</v>
          </cell>
          <cell r="BM69" t="str">
            <v>ADA_CH - Danone Arg. S.A. - Chascomus</v>
          </cell>
          <cell r="BN69" t="str">
            <v>ADA_CH - Danone Arg. S.A. - Chascomus</v>
          </cell>
          <cell r="BO69" t="str">
            <v>ADA_CH - Danone Arg. S.A. - Chascomus</v>
          </cell>
          <cell r="BP69" t="str">
            <v>ADA_CH - Danone Arg. S.A. - Chascomus</v>
          </cell>
          <cell r="BQ69" t="str">
            <v>ADA_CH - Danone Arg. S.A. - Chascomus</v>
          </cell>
          <cell r="BR69" t="str">
            <v>ADA_CH - Danone Arg. S.A. - Chascomus</v>
          </cell>
          <cell r="BS69" t="str">
            <v>ADA_CH - Danone Arg. S.A. - Chascomus</v>
          </cell>
          <cell r="BT69" t="str">
            <v>ADA_CH - Danone Arg. S.A. - Chascomus</v>
          </cell>
          <cell r="BU69" t="str">
            <v>ADA_CH - Danone Arg. S.A. - Chascomus</v>
          </cell>
          <cell r="BV69" t="str">
            <v>ADA_CH - Danone Arg. S.A. - Chascomus</v>
          </cell>
          <cell r="BW69" t="str">
            <v>ADA_CH - Danone Arg. S.A. - Chascomus</v>
          </cell>
          <cell r="BX69" t="str">
            <v>ADA_CH - Danone Arg. S.A. - Chascomus</v>
          </cell>
          <cell r="BY69" t="str">
            <v>ADA_CH - Danone Arg. S.A. - Chascomus</v>
          </cell>
          <cell r="BZ69" t="str">
            <v>ADA_CH - Danone Arg. S.A. - Chascomus</v>
          </cell>
          <cell r="CA69" t="str">
            <v>ADA_CH - Danone Arg. S.A. - Chascomus</v>
          </cell>
          <cell r="CB69" t="str">
            <v>ADA_CH - Danone Arg. S.A. - Chascomus</v>
          </cell>
          <cell r="CC69" t="str">
            <v>ADA_CH - Danone Arg. S.A. - Chascomus</v>
          </cell>
          <cell r="CD69" t="str">
            <v>ADA_CH - Danone Arg. S.A. - Chascomus</v>
          </cell>
          <cell r="CE69" t="str">
            <v>ADA_CH - Danone Arg. S.A. - Chascomus</v>
          </cell>
          <cell r="CF69" t="str">
            <v>ADA_CH - Danone Arg. S.A. - Chascomus</v>
          </cell>
          <cell r="CG69" t="str">
            <v>ADA_CH - Danone Arg. S.A. - Chascomus</v>
          </cell>
          <cell r="CH69" t="str">
            <v>ADA_CH - Danone Arg. S.A. - Chascomus</v>
          </cell>
          <cell r="CI69" t="str">
            <v>ADA_CH - Danone Arg. S.A. - Chascomus</v>
          </cell>
          <cell r="CJ69" t="str">
            <v>ADA_CH - Danone Arg. S.A. - Chascomus</v>
          </cell>
          <cell r="CK69" t="str">
            <v>ADA_CH - Danone Arg. S.A. - Chascomus</v>
          </cell>
          <cell r="CL69" t="str">
            <v>ADA_CH - Danone Arg. S.A. - Chascomus</v>
          </cell>
          <cell r="CM69" t="str">
            <v>ADA_CH - Danone Arg. S.A. - Chascomus</v>
          </cell>
          <cell r="CN69" t="str">
            <v>ADA_CH - Danone Arg. S.A. - Chascomus</v>
          </cell>
          <cell r="CO69" t="str">
            <v>ADA_CH - Danone Arg. S.A. - Chascomus</v>
          </cell>
          <cell r="CP69" t="str">
            <v>ADA_CH - Danone Arg. S.A. - Chascomus</v>
          </cell>
          <cell r="CQ69" t="str">
            <v>ADA_CH - Danone Arg. S.A. - Chascomus</v>
          </cell>
          <cell r="CR69" t="str">
            <v>ADA_CH - Danone Arg. S.A. - Chascomus</v>
          </cell>
          <cell r="CS69" t="str">
            <v>ADA_CH - Danone Arg. S.A. - Chascomus</v>
          </cell>
          <cell r="CT69" t="str">
            <v>ADA_CH - Danone Arg. S.A. - Chascomus</v>
          </cell>
          <cell r="CU69" t="str">
            <v>ADA_CH - Danone Arg. S.A. - Chascomus</v>
          </cell>
          <cell r="CV69" t="str">
            <v>ADA_CH - Danone Arg. S.A. - Chascomus</v>
          </cell>
          <cell r="CW69" t="str">
            <v>ADA_CH - Danone Arg. S.A. - Chascomus</v>
          </cell>
        </row>
        <row r="70">
          <cell r="D70" t="str">
            <v>AF877NC</v>
          </cell>
          <cell r="E70" t="str">
            <v>Chasis</v>
          </cell>
          <cell r="F70" t="str">
            <v>Chasis</v>
          </cell>
          <cell r="G70" t="str">
            <v>Chasis Termico</v>
          </cell>
          <cell r="N70" t="str">
            <v>CODYLSA (LEASING MB CIA FINANCIERA ARG. SA)</v>
          </cell>
          <cell r="O70" t="str">
            <v>CODYLSA</v>
          </cell>
          <cell r="P70" t="str">
            <v>Sí</v>
          </cell>
          <cell r="Q70" t="str">
            <v>Propio</v>
          </cell>
          <cell r="R70">
            <v>12</v>
          </cell>
          <cell r="S70" t="str">
            <v>Propio</v>
          </cell>
          <cell r="T70" t="str">
            <v>MERCEDES BENZ</v>
          </cell>
          <cell r="U70" t="str">
            <v>ATEGO 1419 48</v>
          </cell>
          <cell r="V70" t="str">
            <v>924989U1399684</v>
          </cell>
          <cell r="W70" t="str">
            <v>9BM958134PB283915</v>
          </cell>
          <cell r="X70">
            <v>2023</v>
          </cell>
          <cell r="Y70">
            <v>3</v>
          </cell>
          <cell r="BL70" t="str">
            <v>Sin Op</v>
          </cell>
          <cell r="BM70" t="str">
            <v>Sin Op</v>
          </cell>
          <cell r="BN70" t="str">
            <v>Sin Op</v>
          </cell>
          <cell r="BO70" t="str">
            <v>Sin Operación</v>
          </cell>
          <cell r="BP70" t="str">
            <v>Sin Operación</v>
          </cell>
          <cell r="BQ70" t="str">
            <v>Sin Operación</v>
          </cell>
          <cell r="BR70" t="str">
            <v>Sin Operación</v>
          </cell>
          <cell r="BS70" t="str">
            <v>Sin Operación</v>
          </cell>
          <cell r="BT70" t="str">
            <v>CENCO_MZ - Cencosud SA - Mendoza</v>
          </cell>
          <cell r="BU70" t="str">
            <v>CENCO_MZ - Cencosud SA - Mendoza</v>
          </cell>
          <cell r="BV70" t="str">
            <v>CENCO_MZ - Cencosud SA - Mendoza</v>
          </cell>
          <cell r="BW70" t="str">
            <v>CENCO_MZ - Cencosud SA - Mendoza</v>
          </cell>
          <cell r="BX70" t="str">
            <v>CENCO_MZ - Cencosud SA - Mendoza</v>
          </cell>
          <cell r="BY70" t="str">
            <v>CENCO_MZ - Cencosud SA - Mendoza</v>
          </cell>
          <cell r="BZ70" t="str">
            <v>CENCO_MZ - Cencosud SA - Mendoza</v>
          </cell>
          <cell r="CA70" t="str">
            <v>CENCO_MZ - Cencosud SA - Mendoza</v>
          </cell>
          <cell r="CB70" t="str">
            <v>CENCO_MZ - Cencosud SA - Mendoza</v>
          </cell>
          <cell r="CC70" t="str">
            <v>CENCO_MZ - Cencosud SA - Mendoza</v>
          </cell>
          <cell r="CD70" t="str">
            <v>CENCO_MZ - Cencosud SA - Mendoza</v>
          </cell>
          <cell r="CE70" t="str">
            <v>CENCO_MZ - Cencosud SA - Mendoza</v>
          </cell>
          <cell r="CF70" t="str">
            <v>CENCO_MZ - Cencosud SA - Mendoza</v>
          </cell>
          <cell r="CG70" t="str">
            <v>CENCO_MZ - Cencosud SA - Mendoza</v>
          </cell>
          <cell r="CH70" t="str">
            <v>CENCO_MZ - Cencosud SA - Mendoza</v>
          </cell>
          <cell r="CI70" t="str">
            <v>CENCO_MZ - Cencosud SA - Mendoza</v>
          </cell>
          <cell r="CJ70" t="str">
            <v>CENCO_MZ - Cencosud SA - Mendoza</v>
          </cell>
          <cell r="CK70" t="str">
            <v>CENCO_MZ - Cencosud SA - Mendoza</v>
          </cell>
          <cell r="CL70" t="str">
            <v>CENCO_MZ - Cencosud SA - Mendoza</v>
          </cell>
          <cell r="CM70" t="str">
            <v>CENCO_MZ - Cencosud SA - Mendoza</v>
          </cell>
          <cell r="CN70" t="str">
            <v>CENCO_MZ - Cencosud SA - Mendoza</v>
          </cell>
          <cell r="CO70" t="str">
            <v>CENCO_MZ - Cencosud SA - Mendoza</v>
          </cell>
          <cell r="CP70" t="str">
            <v>CENCO_MZ - Cencosud SA - Mendoza</v>
          </cell>
          <cell r="CQ70" t="str">
            <v>CENCO_MZ - Cencosud SA - Mendoza</v>
          </cell>
          <cell r="CR70" t="str">
            <v>CENCO_MZ - Cencosud SA - Mendoza</v>
          </cell>
          <cell r="CS70" t="str">
            <v>CENCO_MZ - Cencosud SA - Mendoza</v>
          </cell>
          <cell r="CT70" t="str">
            <v>CENCO_MZ - Cencosud SA - Mendoza</v>
          </cell>
          <cell r="CU70" t="str">
            <v>CENCO_MZ - Cencosud SA - Mendoza</v>
          </cell>
          <cell r="CV70" t="str">
            <v>CENCO_MZ - Cencosud SA - Mendoza</v>
          </cell>
          <cell r="CW70" t="str">
            <v>CENCO_MZ - Cencosud SA - Mendoza</v>
          </cell>
        </row>
        <row r="71">
          <cell r="D71" t="str">
            <v>AF371BG</v>
          </cell>
          <cell r="E71" t="str">
            <v>Semiremolque</v>
          </cell>
          <cell r="F71" t="str">
            <v>Semiremolque</v>
          </cell>
          <cell r="G71" t="str">
            <v>Semiremolque Sider 14,5m 28P</v>
          </cell>
          <cell r="N71" t="str">
            <v>DYLASA</v>
          </cell>
          <cell r="O71" t="str">
            <v>DYLASA</v>
          </cell>
          <cell r="P71" t="str">
            <v>No</v>
          </cell>
          <cell r="Q71" t="str">
            <v>Propio</v>
          </cell>
          <cell r="R71">
            <v>28</v>
          </cell>
          <cell r="S71" t="str">
            <v>Propio</v>
          </cell>
          <cell r="T71" t="str">
            <v>HERMANN</v>
          </cell>
          <cell r="U71" t="str">
            <v>8EHSPA3E0NA000061</v>
          </cell>
          <cell r="V71">
            <v>2022</v>
          </cell>
          <cell r="W71" t="str">
            <v>8EHSPA3E0NA000061</v>
          </cell>
          <cell r="X71">
            <v>2022</v>
          </cell>
          <cell r="Y71">
            <v>4</v>
          </cell>
          <cell r="BC71" t="str">
            <v>ADA_CH - Danone Arg. S.A. - Chascomus</v>
          </cell>
          <cell r="BD71" t="str">
            <v>ADA_CH - Danone Arg. S.A. - Chascomus</v>
          </cell>
          <cell r="BE71" t="str">
            <v>ADA_CH - Danone Arg. S.A. - Chascomus</v>
          </cell>
          <cell r="BF71" t="str">
            <v>ADA_CH - Danone Arg. S.A. - Chascomus</v>
          </cell>
          <cell r="BG71" t="str">
            <v>ADA_CH - Danone Arg. S.A. - Chascomus</v>
          </cell>
          <cell r="BH71" t="str">
            <v>ADA_CH - Danone Arg. S.A. - Chascomus</v>
          </cell>
          <cell r="BI71" t="str">
            <v>ADA_CH - Danone Arg. S.A. - Chascomus</v>
          </cell>
          <cell r="BJ71" t="str">
            <v>ADA_CH - Danone Arg. S.A. - Chascomus</v>
          </cell>
          <cell r="BK71" t="str">
            <v>ADA_CH - Danone Arg. S.A. - Chascomus</v>
          </cell>
          <cell r="BL71" t="str">
            <v>ADA_CH - Danone Arg. S.A. - Chascomus</v>
          </cell>
          <cell r="BM71" t="str">
            <v>ADA_CH - Danone Arg. S.A. - Chascomus</v>
          </cell>
          <cell r="BN71" t="str">
            <v>ADA_CH - Danone Arg. S.A. - Chascomus</v>
          </cell>
          <cell r="BO71" t="str">
            <v>ADA_CH - Danone Arg. S.A. - Chascomus</v>
          </cell>
          <cell r="BP71" t="str">
            <v>ADA_CH - Danone Arg. S.A. - Chascomus</v>
          </cell>
          <cell r="BQ71" t="str">
            <v>ADA_CH - Danone Arg. S.A. - Chascomus</v>
          </cell>
          <cell r="BR71" t="str">
            <v>ADA_CH - Danone Arg. S.A. - Chascomus</v>
          </cell>
          <cell r="BS71" t="str">
            <v>ADA_CH - Danone Arg. S.A. - Chascomus</v>
          </cell>
          <cell r="BT71" t="str">
            <v>ADA_CH - Danone Arg. S.A. - Chascomus</v>
          </cell>
          <cell r="BU71" t="str">
            <v>ADA_CH - Danone Arg. S.A. - Chascomus</v>
          </cell>
          <cell r="BV71" t="str">
            <v>ADA_CH - Danone Arg. S.A. - Chascomus</v>
          </cell>
          <cell r="BW71" t="str">
            <v>ADA_CH - Danone Arg. S.A. - Chascomus</v>
          </cell>
          <cell r="BX71" t="str">
            <v>ADA_CH - Danone Arg. S.A. - Chascomus</v>
          </cell>
          <cell r="BY71" t="str">
            <v>ADA_CH - Danone Arg. S.A. - Chascomus</v>
          </cell>
          <cell r="BZ71" t="str">
            <v>ADA_CH - Danone Arg. S.A. - Chascomus</v>
          </cell>
          <cell r="CA71" t="str">
            <v>ADA_CH - Danone Arg. S.A. - Chascomus</v>
          </cell>
          <cell r="CB71" t="str">
            <v>ADA_CH - Danone Arg. S.A. - Chascomus</v>
          </cell>
          <cell r="CC71" t="str">
            <v>ADA_CH - Danone Arg. S.A. - Chascomus</v>
          </cell>
          <cell r="CD71" t="str">
            <v>ADA_CH - Danone Arg. S.A. - Chascomus</v>
          </cell>
          <cell r="CE71" t="str">
            <v>ADA_CH - Danone Arg. S.A. - Chascomus</v>
          </cell>
          <cell r="CF71" t="str">
            <v>ADA_CH - Danone Arg. S.A. - Chascomus</v>
          </cell>
          <cell r="CG71" t="str">
            <v>ADA_CH - Danone Arg. S.A. - Chascomus</v>
          </cell>
          <cell r="CH71" t="str">
            <v>ADA_CH - Danone Arg. S.A. - Chascomus</v>
          </cell>
          <cell r="CI71" t="str">
            <v>ADA_CH - Danone Arg. S.A. - Chascomus</v>
          </cell>
          <cell r="CJ71" t="str">
            <v>ADA_CH - Danone Arg. S.A. - Chascomus</v>
          </cell>
          <cell r="CK71" t="str">
            <v>ADA_CH - Danone Arg. S.A. - Chascomus</v>
          </cell>
          <cell r="CL71" t="str">
            <v>ADA_CH - Danone Arg. S.A. - Chascomus</v>
          </cell>
          <cell r="CM71" t="str">
            <v>ADA_CH - Danone Arg. S.A. - Chascomus</v>
          </cell>
          <cell r="CN71" t="str">
            <v>ADA_CH - Danone Arg. S.A. - Chascomus</v>
          </cell>
          <cell r="CO71" t="str">
            <v>ADA_CH - Danone Arg. S.A. - Chascomus</v>
          </cell>
          <cell r="CP71" t="str">
            <v>ADA_CH - Danone Arg. S.A. - Chascomus</v>
          </cell>
          <cell r="CQ71" t="str">
            <v>ADA_CH - Danone Arg. S.A. - Chascomus</v>
          </cell>
          <cell r="CR71" t="str">
            <v>ADA_CH - Danone Arg. S.A. - Chascomus</v>
          </cell>
          <cell r="CS71" t="str">
            <v>ADA_CH - Danone Arg. S.A. - Chascomus</v>
          </cell>
          <cell r="CT71" t="str">
            <v>ADA_CH - Danone Arg. S.A. - Chascomus</v>
          </cell>
          <cell r="CU71" t="str">
            <v>ADA_CH - Danone Arg. S.A. - Chascomus</v>
          </cell>
          <cell r="CV71" t="str">
            <v>ADA_CH - Danone Arg. S.A. - Chascomus</v>
          </cell>
          <cell r="CW71" t="str">
            <v>ADA_CH - Danone Arg. S.A. - Chascomus</v>
          </cell>
        </row>
        <row r="72">
          <cell r="D72" t="str">
            <v>AF371BH</v>
          </cell>
          <cell r="E72" t="str">
            <v>Semiremolque</v>
          </cell>
          <cell r="F72" t="str">
            <v>Semiremolque</v>
          </cell>
          <cell r="G72" t="str">
            <v>Semiremolque Sider 14,5m 28P</v>
          </cell>
          <cell r="N72" t="str">
            <v>DYLASA</v>
          </cell>
          <cell r="O72" t="str">
            <v>DYLASA</v>
          </cell>
          <cell r="P72" t="str">
            <v>No</v>
          </cell>
          <cell r="Q72" t="str">
            <v>Propio</v>
          </cell>
          <cell r="R72">
            <v>28</v>
          </cell>
          <cell r="S72" t="str">
            <v>Propio</v>
          </cell>
          <cell r="T72" t="str">
            <v>HERMANN</v>
          </cell>
          <cell r="U72" t="str">
            <v>8EHSPA3E0NA000062</v>
          </cell>
          <cell r="V72">
            <v>2022</v>
          </cell>
          <cell r="W72" t="str">
            <v>8EHSPA3E0NA000062</v>
          </cell>
          <cell r="X72">
            <v>2022</v>
          </cell>
          <cell r="Y72">
            <v>4</v>
          </cell>
          <cell r="BC72" t="str">
            <v>ADA_CH - Danone Arg. S.A. - Chascomus</v>
          </cell>
          <cell r="BD72" t="str">
            <v>ADA_CH - Danone Arg. S.A. - Chascomus</v>
          </cell>
          <cell r="BE72" t="str">
            <v>ADA_CH - Danone Arg. S.A. - Chascomus</v>
          </cell>
          <cell r="BF72" t="str">
            <v>ADA_CH - Danone Arg. S.A. - Chascomus</v>
          </cell>
          <cell r="BG72" t="str">
            <v>ADA_CH - Danone Arg. S.A. - Chascomus</v>
          </cell>
          <cell r="BH72" t="str">
            <v>ADA_CH - Danone Arg. S.A. - Chascomus</v>
          </cell>
          <cell r="BI72" t="str">
            <v>INACTIVO</v>
          </cell>
          <cell r="BJ72" t="str">
            <v>ADA_CH - Danone Arg. S.A. - Chascomus</v>
          </cell>
          <cell r="BK72" t="str">
            <v>ADA_CH - Danone Arg. S.A. - Chascomus</v>
          </cell>
          <cell r="BL72" t="str">
            <v>ADA_CH - Danone Arg. S.A. - Chascomus</v>
          </cell>
          <cell r="BM72" t="str">
            <v>ADA_CH - Danone Arg. S.A. - Chascomus</v>
          </cell>
          <cell r="BN72" t="str">
            <v>ADA_CH - Danone Arg. S.A. - Chascomus</v>
          </cell>
          <cell r="BO72" t="str">
            <v>ADA_CH - Danone Arg. S.A. - Chascomus</v>
          </cell>
          <cell r="BP72" t="str">
            <v>ADA_CH - Danone Arg. S.A. - Chascomus</v>
          </cell>
          <cell r="BQ72" t="str">
            <v>ADA_CH - Danone Arg. S.A. - Chascomus</v>
          </cell>
          <cell r="BR72" t="str">
            <v>ADA_CH - Danone Arg. S.A. - Chascomus</v>
          </cell>
          <cell r="BS72" t="str">
            <v>ADA_CH - Danone Arg. S.A. - Chascomus</v>
          </cell>
          <cell r="BT72" t="str">
            <v>ADA_CH - Danone Arg. S.A. - Chascomus</v>
          </cell>
          <cell r="BU72" t="str">
            <v>ADA_CH - Danone Arg. S.A. - Chascomus</v>
          </cell>
          <cell r="BV72" t="str">
            <v>ADA_CH - Danone Arg. S.A. - Chascomus</v>
          </cell>
          <cell r="BW72" t="str">
            <v>ADA_CH - Danone Arg. S.A. - Chascomus</v>
          </cell>
          <cell r="BX72" t="str">
            <v>ADA_CH - Danone Arg. S.A. - Chascomus</v>
          </cell>
          <cell r="BY72" t="str">
            <v>ADA_CH - Danone Arg. S.A. - Chascomus</v>
          </cell>
          <cell r="BZ72" t="str">
            <v>ADA_CH - Danone Arg. S.A. - Chascomus</v>
          </cell>
          <cell r="CA72" t="str">
            <v>ADA_CH - Danone Arg. S.A. - Chascomus</v>
          </cell>
          <cell r="CB72" t="str">
            <v>ADA_CH - Danone Arg. S.A. - Chascomus</v>
          </cell>
          <cell r="CC72" t="str">
            <v>ADA_CH - Danone Arg. S.A. - Chascomus</v>
          </cell>
          <cell r="CD72" t="str">
            <v>ADA_CH - Danone Arg. S.A. - Chascomus</v>
          </cell>
          <cell r="CE72" t="str">
            <v>ADA_CH - Danone Arg. S.A. - Chascomus</v>
          </cell>
          <cell r="CF72" t="str">
            <v>ADA_CH - Danone Arg. S.A. - Chascomus</v>
          </cell>
          <cell r="CG72" t="str">
            <v>ADA_CH - Danone Arg. S.A. - Chascomus</v>
          </cell>
          <cell r="CH72" t="str">
            <v>ADA_CH - Danone Arg. S.A. - Chascomus</v>
          </cell>
          <cell r="CI72" t="str">
            <v>ADA_CH - Danone Arg. S.A. - Chascomus</v>
          </cell>
          <cell r="CJ72" t="str">
            <v>ADA_CH - Danone Arg. S.A. - Chascomus</v>
          </cell>
          <cell r="CK72" t="str">
            <v>ADA_CH - Danone Arg. S.A. - Chascomus</v>
          </cell>
          <cell r="CL72" t="str">
            <v>ADA_CH - Danone Arg. S.A. - Chascomus</v>
          </cell>
          <cell r="CM72" t="str">
            <v>ADA_CH - Danone Arg. S.A. - Chascomus</v>
          </cell>
          <cell r="CN72" t="str">
            <v>ADA_CH - Danone Arg. S.A. - Chascomus</v>
          </cell>
          <cell r="CO72" t="str">
            <v>ADA_CH - Danone Arg. S.A. - Chascomus</v>
          </cell>
          <cell r="CP72" t="str">
            <v>ADA_CH - Danone Arg. S.A. - Chascomus</v>
          </cell>
          <cell r="CQ72" t="str">
            <v>ADA_CH - Danone Arg. S.A. - Chascomus</v>
          </cell>
          <cell r="CR72" t="str">
            <v>ADA_CH - Danone Arg. S.A. - Chascomus</v>
          </cell>
          <cell r="CS72" t="str">
            <v>ADA_CH - Danone Arg. S.A. - Chascomus</v>
          </cell>
          <cell r="CT72" t="str">
            <v>ADA_CH - Danone Arg. S.A. - Chascomus</v>
          </cell>
          <cell r="CU72" t="str">
            <v>ADA_CH - Danone Arg. S.A. - Chascomus</v>
          </cell>
          <cell r="CV72" t="str">
            <v>ADA_CH - Danone Arg. S.A. - Chascomus</v>
          </cell>
          <cell r="CW72" t="str">
            <v>ADA_CH - Danone Arg. S.A. - Chascomus</v>
          </cell>
        </row>
        <row r="73">
          <cell r="D73" t="str">
            <v>AF444TU</v>
          </cell>
          <cell r="E73" t="str">
            <v>CHASIS</v>
          </cell>
          <cell r="F73" t="str">
            <v>Chasis</v>
          </cell>
          <cell r="G73" t="str">
            <v>Chasis</v>
          </cell>
          <cell r="N73" t="str">
            <v>TDU</v>
          </cell>
          <cell r="O73" t="str">
            <v>TDU</v>
          </cell>
          <cell r="P73" t="str">
            <v>No</v>
          </cell>
          <cell r="Q73" t="str">
            <v>Propio</v>
          </cell>
          <cell r="R73">
            <v>12</v>
          </cell>
          <cell r="S73" t="str">
            <v>Propio</v>
          </cell>
          <cell r="T73" t="str">
            <v>IVECO</v>
          </cell>
          <cell r="U73" t="str">
            <v>BX-170E28 MLC</v>
          </cell>
          <cell r="V73" t="str">
            <v>F4AE3681E*8100752</v>
          </cell>
          <cell r="W73" t="str">
            <v>8ATA1RMH0PX118891</v>
          </cell>
          <cell r="X73">
            <v>2022</v>
          </cell>
          <cell r="Y73">
            <v>4</v>
          </cell>
          <cell r="BF73" t="str">
            <v>CMQ_TTE - QUILMES TTE</v>
          </cell>
          <cell r="BG73" t="str">
            <v>CMQ_TTE - QUILMES TTE</v>
          </cell>
          <cell r="BH73" t="str">
            <v>CMQ_TTE - QUILMES TTE</v>
          </cell>
          <cell r="BI73" t="str">
            <v>CMQ_TTE - QUILMES TTE</v>
          </cell>
          <cell r="BJ73" t="str">
            <v>CMQ_TTE - QUILMES TTE</v>
          </cell>
          <cell r="BK73" t="str">
            <v>CMQ_TTE - QUILMES TTE</v>
          </cell>
          <cell r="BL73" t="str">
            <v>CMQ_TTE - QUILMES TTE</v>
          </cell>
          <cell r="BM73" t="str">
            <v>CMQ_TTE - QUILMES TTE</v>
          </cell>
          <cell r="BN73" t="str">
            <v>CMQ_TTE - QUILMES TTE</v>
          </cell>
          <cell r="BO73" t="str">
            <v>CMQ_TTE - QUILMES TTE</v>
          </cell>
          <cell r="BP73" t="str">
            <v>CMQ_TTE - QUILMES TTE</v>
          </cell>
          <cell r="BQ73" t="str">
            <v>CMQ_TTE - QUILMES TTE</v>
          </cell>
          <cell r="BR73" t="str">
            <v>CMQ_TTE - QUILMES TTE</v>
          </cell>
          <cell r="BS73" t="str">
            <v>CMQ_TTE - QUILMES TTE</v>
          </cell>
          <cell r="BT73" t="str">
            <v>CMQ_TTE - QUILMES TTE</v>
          </cell>
          <cell r="BU73" t="str">
            <v>CMQ_TTE - QUILMES TTE</v>
          </cell>
          <cell r="BV73" t="str">
            <v>CMQ_TTE - QUILMES TTE</v>
          </cell>
          <cell r="BW73" t="str">
            <v>CMQ_TTE - QUILMES TTE</v>
          </cell>
          <cell r="BX73" t="str">
            <v>CMQ_TTE - QUILMES TTE</v>
          </cell>
          <cell r="BY73" t="str">
            <v>CMQ_TTE - QUILMES TTE</v>
          </cell>
          <cell r="BZ73" t="str">
            <v>CMQ_TTE - QUILMES TTE</v>
          </cell>
          <cell r="CA73" t="str">
            <v>CMQ_TTE - QUILMES TTE</v>
          </cell>
          <cell r="CB73" t="str">
            <v>CMQ_TTE - QUILMES TTE</v>
          </cell>
          <cell r="CC73" t="str">
            <v>CMQ_TTE - QUILMES TTE</v>
          </cell>
          <cell r="CD73" t="str">
            <v>CMQ_TTE - QUILMES TTE</v>
          </cell>
          <cell r="CE73" t="str">
            <v>CMQ_TTE - QUILMES TTE</v>
          </cell>
          <cell r="CF73" t="str">
            <v>CMQ_TTE - QUILMES TTE</v>
          </cell>
          <cell r="CG73" t="str">
            <v>CMQ_TTE - QUILMES TTE</v>
          </cell>
          <cell r="CH73" t="str">
            <v>CMQ_TTE - QUILMES TTE</v>
          </cell>
          <cell r="CI73" t="str">
            <v>CMQ_TTE - QUILMES TTE</v>
          </cell>
          <cell r="CJ73" t="str">
            <v>CMQ_TTE - QUILMES TTE</v>
          </cell>
          <cell r="CK73" t="str">
            <v>CMQ_TTE - QUILMES TTE</v>
          </cell>
          <cell r="CL73" t="str">
            <v>CMQ_TTE - QUILMES TTE</v>
          </cell>
          <cell r="CM73" t="str">
            <v>CMQ_TTE - QUILMES TTE</v>
          </cell>
          <cell r="CN73" t="str">
            <v>CMQ_TTE - QUILMES TTE</v>
          </cell>
          <cell r="CO73" t="str">
            <v>CMQ_TTE - QUILMES TTE</v>
          </cell>
          <cell r="CP73" t="str">
            <v>CMQ_TTE - QUILMES TTE</v>
          </cell>
          <cell r="CQ73" t="str">
            <v>CMQ_TTE - QUILMES TTE</v>
          </cell>
          <cell r="CR73" t="str">
            <v>CMQ_TTE - QUILMES TTE</v>
          </cell>
          <cell r="CS73" t="str">
            <v>CMQ_TTE - QUILMES TTE</v>
          </cell>
          <cell r="CT73" t="str">
            <v>CMQ_TTE - QUILMES TTE</v>
          </cell>
          <cell r="CU73" t="str">
            <v>CMQ_TTE - QUILMES TTE</v>
          </cell>
          <cell r="CV73" t="str">
            <v>CMQ_TTE - QUILMES TTE</v>
          </cell>
          <cell r="CW73" t="str">
            <v>CMQ_TTE - QUILMES TTE</v>
          </cell>
        </row>
        <row r="74">
          <cell r="D74" t="str">
            <v>AF444TV</v>
          </cell>
          <cell r="E74" t="str">
            <v>CHASIS</v>
          </cell>
          <cell r="F74" t="str">
            <v>Chasis</v>
          </cell>
          <cell r="G74" t="str">
            <v>Chasis</v>
          </cell>
          <cell r="N74" t="str">
            <v>TDU</v>
          </cell>
          <cell r="O74" t="str">
            <v>TDU</v>
          </cell>
          <cell r="P74" t="str">
            <v>No</v>
          </cell>
          <cell r="Q74" t="str">
            <v>Propio</v>
          </cell>
          <cell r="R74">
            <v>12</v>
          </cell>
          <cell r="S74" t="str">
            <v>Propio</v>
          </cell>
          <cell r="T74" t="str">
            <v>IVECO</v>
          </cell>
          <cell r="U74" t="str">
            <v>BX-170E28 MLC</v>
          </cell>
          <cell r="V74" t="str">
            <v>F4AE3681E*8100309</v>
          </cell>
          <cell r="W74" t="str">
            <v>8ATA1RMH0PX118806</v>
          </cell>
          <cell r="X74">
            <v>2022</v>
          </cell>
          <cell r="Y74">
            <v>4</v>
          </cell>
          <cell r="BF74" t="str">
            <v>CMQ_TTE - QUILMES TTE</v>
          </cell>
          <cell r="BG74" t="str">
            <v>CMQ_TTE - QUILMES TTE</v>
          </cell>
          <cell r="BH74" t="str">
            <v>CMQ_TTE - QUILMES TTE</v>
          </cell>
          <cell r="BI74" t="str">
            <v>CMQ_TTE - QUILMES TTE</v>
          </cell>
          <cell r="BJ74" t="str">
            <v>CMQ_TTE - QUILMES TTE</v>
          </cell>
          <cell r="BK74" t="str">
            <v>CMQ_TTE - QUILMES TTE</v>
          </cell>
          <cell r="BL74" t="str">
            <v>CMQ_TTE - QUILMES TTE</v>
          </cell>
          <cell r="BM74" t="str">
            <v>CMQ_TTE - QUILMES TTE</v>
          </cell>
          <cell r="BN74" t="str">
            <v>CMQ_TTE - QUILMES TTE</v>
          </cell>
          <cell r="BO74" t="str">
            <v>CMQ_TTE - QUILMES TTE</v>
          </cell>
          <cell r="BP74" t="str">
            <v>CMQ_TTE - QUILMES TTE</v>
          </cell>
          <cell r="BQ74" t="str">
            <v>CMQ_TTE - QUILMES TTE</v>
          </cell>
          <cell r="BR74" t="str">
            <v>CMQ_TTE - QUILMES TTE</v>
          </cell>
          <cell r="BS74" t="str">
            <v>CMQ_TTE - QUILMES TTE</v>
          </cell>
          <cell r="BT74" t="str">
            <v>CMQ_TTE - QUILMES TTE</v>
          </cell>
          <cell r="BU74" t="str">
            <v>CMQ_TTE - QUILMES TTE</v>
          </cell>
          <cell r="BV74" t="str">
            <v>CMQ_TTE - QUILMES TTE</v>
          </cell>
          <cell r="BW74" t="str">
            <v>CMQ_TTE - QUILMES TTE</v>
          </cell>
          <cell r="BX74" t="str">
            <v>CMQ_TTE - QUILMES TTE</v>
          </cell>
          <cell r="BY74" t="str">
            <v>CMQ_TTE - QUILMES TTE</v>
          </cell>
          <cell r="BZ74" t="str">
            <v>CMQ_TTE - QUILMES TTE</v>
          </cell>
          <cell r="CA74" t="str">
            <v>CMQ_TTE - QUILMES TTE</v>
          </cell>
          <cell r="CB74" t="str">
            <v>CMQ_TTE - QUILMES TTE</v>
          </cell>
          <cell r="CC74" t="str">
            <v>CMQ_TTE - QUILMES TTE</v>
          </cell>
          <cell r="CD74" t="str">
            <v>CMQ_TTE - QUILMES TTE</v>
          </cell>
          <cell r="CE74" t="str">
            <v>CMQ_TTE - QUILMES TTE</v>
          </cell>
          <cell r="CF74" t="str">
            <v>CMQ_TTE - QUILMES TTE</v>
          </cell>
          <cell r="CG74" t="str">
            <v>CMQ_TTE - QUILMES TTE</v>
          </cell>
          <cell r="CH74" t="str">
            <v>CMQ_TTE - QUILMES TTE</v>
          </cell>
          <cell r="CI74" t="str">
            <v>CMQ_TTE - QUILMES TTE</v>
          </cell>
          <cell r="CJ74" t="str">
            <v>CMQ_TTE - QUILMES TTE</v>
          </cell>
          <cell r="CK74" t="str">
            <v>CMQ_TTE - QUILMES TTE</v>
          </cell>
          <cell r="CL74" t="str">
            <v>CMQ_TTE - QUILMES TTE</v>
          </cell>
          <cell r="CM74" t="str">
            <v>CMQ_TTE - QUILMES TTE</v>
          </cell>
          <cell r="CN74" t="str">
            <v>CMQ_TTE - QUILMES TTE</v>
          </cell>
          <cell r="CO74" t="str">
            <v>CMQ_TTE - QUILMES TTE</v>
          </cell>
          <cell r="CP74" t="str">
            <v>CMQ_TTE - QUILMES TTE</v>
          </cell>
          <cell r="CQ74" t="str">
            <v>CMQ_TTE - QUILMES TTE</v>
          </cell>
          <cell r="CR74" t="str">
            <v>CMQ_TTE - QUILMES TTE</v>
          </cell>
          <cell r="CS74" t="str">
            <v>CMQ_TTE - QUILMES TTE</v>
          </cell>
          <cell r="CT74" t="str">
            <v>CMQ_TTE - QUILMES TTE</v>
          </cell>
          <cell r="CU74" t="str">
            <v>CMQ_TTE - QUILMES TTE</v>
          </cell>
          <cell r="CV74" t="str">
            <v>CMQ_TTE - QUILMES TTE</v>
          </cell>
          <cell r="CW74" t="str">
            <v>CMQ_TTE - QUILMES TTE</v>
          </cell>
        </row>
        <row r="75">
          <cell r="D75" t="str">
            <v>AF444TW</v>
          </cell>
          <cell r="E75" t="str">
            <v>CHASIS</v>
          </cell>
          <cell r="F75" t="str">
            <v>Chasis</v>
          </cell>
          <cell r="G75" t="str">
            <v>Chasis</v>
          </cell>
          <cell r="N75" t="str">
            <v>TDU</v>
          </cell>
          <cell r="O75" t="str">
            <v>TDU</v>
          </cell>
          <cell r="P75" t="str">
            <v>No</v>
          </cell>
          <cell r="Q75" t="str">
            <v>Propio</v>
          </cell>
          <cell r="R75">
            <v>12</v>
          </cell>
          <cell r="S75" t="str">
            <v>Propio</v>
          </cell>
          <cell r="T75" t="str">
            <v>IVECO</v>
          </cell>
          <cell r="U75" t="str">
            <v>BX-170E28 MLC</v>
          </cell>
          <cell r="V75" t="str">
            <v>F4AE3681E*8100766</v>
          </cell>
          <cell r="W75" t="str">
            <v>8ATA1RMH0PX118903</v>
          </cell>
          <cell r="X75">
            <v>2022</v>
          </cell>
          <cell r="Y75">
            <v>4</v>
          </cell>
          <cell r="BF75" t="str">
            <v>CMQ_TTE - QUILMES TTE</v>
          </cell>
          <cell r="BG75" t="str">
            <v>CMQ_TTE - QUILMES TTE</v>
          </cell>
          <cell r="BH75" t="str">
            <v>CMQ_TTE - QUILMES TTE</v>
          </cell>
          <cell r="BI75" t="str">
            <v>CMQ_TTE - QUILMES TTE</v>
          </cell>
          <cell r="BJ75" t="str">
            <v>CMQ_TTE - QUILMES TTE</v>
          </cell>
          <cell r="BK75" t="str">
            <v>CMQ_TTE - QUILMES TTE</v>
          </cell>
          <cell r="BL75" t="str">
            <v>CMQ_TTE - QUILMES TTE</v>
          </cell>
          <cell r="BM75" t="str">
            <v>CMQ_TTE - QUILMES TTE</v>
          </cell>
          <cell r="BN75" t="str">
            <v>CMQ_TTE - QUILMES TTE</v>
          </cell>
          <cell r="BO75" t="str">
            <v>CMQ_TTE - QUILMES TTE</v>
          </cell>
          <cell r="BP75" t="str">
            <v>CMQ_TTE - QUILMES TTE</v>
          </cell>
          <cell r="BQ75" t="str">
            <v>CMQ_TTE - QUILMES TTE</v>
          </cell>
          <cell r="BR75" t="str">
            <v>CMQ_TTE - QUILMES TTE</v>
          </cell>
          <cell r="BS75" t="str">
            <v>CMQ_TTE - QUILMES TTE</v>
          </cell>
          <cell r="BT75" t="str">
            <v>CMQ_TTE - QUILMES TTE</v>
          </cell>
          <cell r="BU75" t="str">
            <v>CMQ_TTE - QUILMES TTE</v>
          </cell>
          <cell r="BV75" t="str">
            <v>CMQ_TTE - QUILMES TTE</v>
          </cell>
          <cell r="BW75" t="str">
            <v>CMQ_TTE - QUILMES TTE</v>
          </cell>
          <cell r="BX75" t="str">
            <v>CMQ_TTE - QUILMES TTE</v>
          </cell>
          <cell r="BY75" t="str">
            <v>CMQ_TTE - QUILMES TTE</v>
          </cell>
          <cell r="BZ75" t="str">
            <v>CMQ_TTE - QUILMES TTE</v>
          </cell>
          <cell r="CA75" t="str">
            <v>CMQ_TTE - QUILMES TTE</v>
          </cell>
          <cell r="CB75" t="str">
            <v>CMQ_TTE - QUILMES TTE</v>
          </cell>
          <cell r="CC75" t="str">
            <v>CMQ_TTE - QUILMES TTE</v>
          </cell>
          <cell r="CD75" t="str">
            <v>CMQ_TTE - QUILMES TTE</v>
          </cell>
          <cell r="CE75" t="str">
            <v>CMQ_TTE - QUILMES TTE</v>
          </cell>
          <cell r="CF75" t="str">
            <v>CMQ_TTE - QUILMES TTE</v>
          </cell>
          <cell r="CG75" t="str">
            <v>CMQ_TTE - QUILMES TTE</v>
          </cell>
          <cell r="CH75" t="str">
            <v>CMQ_TTE - QUILMES TTE</v>
          </cell>
          <cell r="CI75" t="str">
            <v>CMQ_TTE - QUILMES TTE</v>
          </cell>
          <cell r="CJ75" t="str">
            <v>CMQ_TTE - QUILMES TTE</v>
          </cell>
          <cell r="CK75" t="str">
            <v>CMQ_TTE - QUILMES TTE</v>
          </cell>
          <cell r="CL75" t="str">
            <v>CMQ_TTE - QUILMES TTE</v>
          </cell>
          <cell r="CM75" t="str">
            <v>CMQ_TTE - QUILMES TTE</v>
          </cell>
          <cell r="CN75" t="str">
            <v>CMQ_TTE - QUILMES TTE</v>
          </cell>
          <cell r="CO75" t="str">
            <v>CMQ_TTE - QUILMES TTE</v>
          </cell>
          <cell r="CP75" t="str">
            <v>CMQ_TTE - QUILMES TTE</v>
          </cell>
          <cell r="CQ75" t="str">
            <v>CMQ_TTE - QUILMES TTE</v>
          </cell>
          <cell r="CR75" t="str">
            <v>CMQ_TTE - QUILMES TTE</v>
          </cell>
          <cell r="CS75" t="str">
            <v>CMQ_TTE - QUILMES TTE</v>
          </cell>
          <cell r="CT75" t="str">
            <v>CMQ_TTE - QUILMES TTE</v>
          </cell>
          <cell r="CU75" t="str">
            <v>CMQ_TTE - QUILMES TTE</v>
          </cell>
          <cell r="CV75" t="str">
            <v>CMQ_TTE - QUILMES TTE</v>
          </cell>
          <cell r="CW75" t="str">
            <v>CMQ_TTE - QUILMES TTE</v>
          </cell>
        </row>
        <row r="76">
          <cell r="D76" t="str">
            <v>AF444TX</v>
          </cell>
          <cell r="E76" t="str">
            <v>CHASIS</v>
          </cell>
          <cell r="F76" t="str">
            <v>Chasis</v>
          </cell>
          <cell r="G76" t="str">
            <v>Chasis</v>
          </cell>
          <cell r="N76" t="str">
            <v>TDU</v>
          </cell>
          <cell r="O76" t="str">
            <v>TDU</v>
          </cell>
          <cell r="P76" t="str">
            <v>No</v>
          </cell>
          <cell r="Q76" t="str">
            <v>Propio</v>
          </cell>
          <cell r="R76">
            <v>12</v>
          </cell>
          <cell r="S76" t="str">
            <v>Propio</v>
          </cell>
          <cell r="T76" t="str">
            <v>IVECO</v>
          </cell>
          <cell r="U76" t="str">
            <v>DL-170E28NCM51</v>
          </cell>
          <cell r="V76" t="str">
            <v>F4AE3681E*8099565</v>
          </cell>
          <cell r="W76" t="str">
            <v>8ATA1RMH0PX118607</v>
          </cell>
          <cell r="X76">
            <v>2022</v>
          </cell>
          <cell r="Y76">
            <v>4</v>
          </cell>
          <cell r="BF76" t="str">
            <v>CMQ_TTE - QUILMES TTE</v>
          </cell>
          <cell r="BG76" t="str">
            <v>CMQ_TTE - QUILMES TTE</v>
          </cell>
          <cell r="BH76" t="str">
            <v>CMQ_TTE - QUILMES TTE</v>
          </cell>
          <cell r="BI76" t="str">
            <v>CMQ_TTE - QUILMES TTE</v>
          </cell>
          <cell r="BJ76" t="str">
            <v>CMQ_TTE - QUILMES TTE</v>
          </cell>
          <cell r="BK76" t="str">
            <v>CMQ_TTE - QUILMES TTE</v>
          </cell>
          <cell r="BL76" t="str">
            <v>CMQ_TTE - QUILMES TTE</v>
          </cell>
          <cell r="BM76" t="str">
            <v>CMQ_TTE - QUILMES TTE</v>
          </cell>
          <cell r="BN76" t="str">
            <v>CMQ_TTE - QUILMES TTE</v>
          </cell>
          <cell r="BO76" t="str">
            <v>CMQ_TTE - QUILMES TTE</v>
          </cell>
          <cell r="BP76" t="str">
            <v>CMQ_TTE - QUILMES TTE</v>
          </cell>
          <cell r="BQ76" t="str">
            <v>CMQ_TTE - QUILMES TTE</v>
          </cell>
          <cell r="BR76" t="str">
            <v>CMQ_TTE - QUILMES TTE</v>
          </cell>
          <cell r="BS76" t="str">
            <v>CMQ_TTE - QUILMES TTE</v>
          </cell>
          <cell r="BT76" t="str">
            <v>CMQ_TTE - QUILMES TTE</v>
          </cell>
          <cell r="BU76" t="str">
            <v>CMQ_TTE - QUILMES TTE</v>
          </cell>
          <cell r="BV76" t="str">
            <v>CMQ_TTE - QUILMES TTE</v>
          </cell>
          <cell r="BW76" t="str">
            <v>CMQ_TTE - QUILMES TTE</v>
          </cell>
          <cell r="BX76" t="str">
            <v>CMQ_TTE - QUILMES TTE</v>
          </cell>
          <cell r="BY76" t="str">
            <v>CMQ_TTE - QUILMES TTE</v>
          </cell>
          <cell r="BZ76" t="str">
            <v>CMQ_TTE - QUILMES TTE</v>
          </cell>
          <cell r="CA76" t="str">
            <v>CMQ_TTE - QUILMES TTE</v>
          </cell>
          <cell r="CB76" t="str">
            <v>CMQ_TTE - QUILMES TTE</v>
          </cell>
          <cell r="CC76" t="str">
            <v>CMQ_TTE - QUILMES TTE</v>
          </cell>
          <cell r="CD76" t="str">
            <v>CMQ_TTE - QUILMES TTE</v>
          </cell>
          <cell r="CE76" t="str">
            <v>CMQ_TTE - QUILMES TTE</v>
          </cell>
          <cell r="CF76" t="str">
            <v>CMQ_TTE - QUILMES TTE</v>
          </cell>
          <cell r="CG76" t="str">
            <v>CMQ_TTE - QUILMES TTE</v>
          </cell>
          <cell r="CH76" t="str">
            <v>CMQ_TTE - QUILMES TTE</v>
          </cell>
          <cell r="CI76" t="str">
            <v>CMQ_TTE - QUILMES TTE</v>
          </cell>
          <cell r="CJ76" t="str">
            <v>CMQ_TTE - QUILMES TTE</v>
          </cell>
          <cell r="CK76" t="str">
            <v>CMQ_TTE - QUILMES TTE</v>
          </cell>
          <cell r="CL76" t="str">
            <v>CMQ_TTE - QUILMES TTE</v>
          </cell>
          <cell r="CM76" t="str">
            <v>CMQ_TTE - QUILMES TTE</v>
          </cell>
          <cell r="CN76" t="str">
            <v>CMQ_TTE - QUILMES TTE</v>
          </cell>
          <cell r="CO76" t="str">
            <v>CMQ_TTE - QUILMES TTE</v>
          </cell>
          <cell r="CP76" t="str">
            <v>CMQ_TTE - QUILMES TTE</v>
          </cell>
          <cell r="CQ76" t="str">
            <v>CMQ_TTE - QUILMES TTE</v>
          </cell>
          <cell r="CR76" t="str">
            <v>CMQ_TTE - QUILMES TTE</v>
          </cell>
          <cell r="CS76" t="str">
            <v>CMQ_TTE - QUILMES TTE</v>
          </cell>
          <cell r="CT76" t="str">
            <v>CMQ_TTE - QUILMES TTE</v>
          </cell>
          <cell r="CU76" t="str">
            <v>CMQ_TTE - QUILMES TTE</v>
          </cell>
          <cell r="CV76" t="str">
            <v>CMQ_TTE - QUILMES TTE</v>
          </cell>
          <cell r="CW76" t="str">
            <v>CMQ_TTE - QUILMES TTE</v>
          </cell>
        </row>
        <row r="77">
          <cell r="D77" t="str">
            <v>AF461DA</v>
          </cell>
          <cell r="E77" t="str">
            <v>semirremolque</v>
          </cell>
          <cell r="F77" t="str">
            <v>Semiremolque</v>
          </cell>
          <cell r="G77" t="str">
            <v>Semiremolque Sider 14,5m 28P</v>
          </cell>
          <cell r="N77" t="str">
            <v>DYLASA</v>
          </cell>
          <cell r="O77" t="str">
            <v>DYLASA</v>
          </cell>
          <cell r="P77" t="str">
            <v>No</v>
          </cell>
          <cell r="Q77" t="str">
            <v>Propio</v>
          </cell>
          <cell r="R77">
            <v>28</v>
          </cell>
          <cell r="S77" t="str">
            <v>Propio</v>
          </cell>
          <cell r="T77" t="str">
            <v>HERMANN</v>
          </cell>
          <cell r="U77" t="str">
            <v>8EHSPA3E0NA000750</v>
          </cell>
          <cell r="V77">
            <v>2022</v>
          </cell>
          <cell r="W77" t="str">
            <v>8EHSPA3E0NA000750</v>
          </cell>
          <cell r="X77">
            <v>2022</v>
          </cell>
          <cell r="Y77">
            <v>4</v>
          </cell>
          <cell r="BF77" t="str">
            <v>ADA_CH - Danone Arg. S.A. - Chascomus</v>
          </cell>
          <cell r="BG77" t="str">
            <v>ADA_CH - Danone Arg. S.A. - Chascomus</v>
          </cell>
          <cell r="BH77" t="str">
            <v>ADA_CH - Danone Arg. S.A. - Chascomus</v>
          </cell>
          <cell r="BI77" t="str">
            <v>ADA_CH - Danone Arg. S.A. - Chascomus</v>
          </cell>
          <cell r="BJ77" t="str">
            <v>ADA_CH - Danone Arg. S.A. - Chascomus</v>
          </cell>
          <cell r="BK77" t="str">
            <v>ADA_CH - Danone Arg. S.A. - Chascomus</v>
          </cell>
          <cell r="BL77" t="str">
            <v>ADA_CH - Danone Arg. S.A. - Chascomus</v>
          </cell>
          <cell r="BM77" t="str">
            <v>ADA_CH - Danone Arg. S.A. - Chascomus</v>
          </cell>
          <cell r="BN77" t="str">
            <v>ADA_CH - Danone Arg. S.A. - Chascomus</v>
          </cell>
          <cell r="BO77" t="str">
            <v>ADA_CH - Danone Arg. S.A. - Chascomus</v>
          </cell>
          <cell r="BP77" t="str">
            <v>ADA_CH - Danone Arg. S.A. - Chascomus</v>
          </cell>
          <cell r="BQ77" t="str">
            <v>ADA_CH - Danone Arg. S.A. - Chascomus</v>
          </cell>
          <cell r="BR77" t="str">
            <v>ADA_CH - Danone Arg. S.A. - Chascomus</v>
          </cell>
          <cell r="BS77" t="str">
            <v>ADA_CH - Danone Arg. S.A. - Chascomus</v>
          </cell>
          <cell r="BT77" t="str">
            <v>ADA_CH - Danone Arg. S.A. - Chascomus</v>
          </cell>
          <cell r="BU77" t="str">
            <v>ADA_CH - Danone Arg. S.A. - Chascomus</v>
          </cell>
          <cell r="BV77" t="str">
            <v>ADA_CH - Danone Arg. S.A. - Chascomus</v>
          </cell>
          <cell r="BW77" t="str">
            <v>ADA_CH - Danone Arg. S.A. - Chascomus</v>
          </cell>
          <cell r="BX77" t="str">
            <v>ADA_CH - Danone Arg. S.A. - Chascomus</v>
          </cell>
          <cell r="BY77" t="str">
            <v>ADA_CH - Danone Arg. S.A. - Chascomus</v>
          </cell>
          <cell r="BZ77" t="str">
            <v>ADA_CH - Danone Arg. S.A. - Chascomus</v>
          </cell>
          <cell r="CA77" t="str">
            <v>ADA_CH - Danone Arg. S.A. - Chascomus</v>
          </cell>
          <cell r="CB77" t="str">
            <v>ADA_CH - Danone Arg. S.A. - Chascomus</v>
          </cell>
          <cell r="CC77" t="str">
            <v>ADA_CH - Danone Arg. S.A. - Chascomus</v>
          </cell>
          <cell r="CD77" t="str">
            <v>ADA_CH - Danone Arg. S.A. - Chascomus</v>
          </cell>
          <cell r="CE77" t="str">
            <v>ADA_CH - Danone Arg. S.A. - Chascomus</v>
          </cell>
          <cell r="CF77" t="str">
            <v>ADA_CH - Danone Arg. S.A. - Chascomus</v>
          </cell>
          <cell r="CG77" t="str">
            <v>ADA_CH - Danone Arg. S.A. - Chascomus</v>
          </cell>
          <cell r="CH77" t="str">
            <v>ADA_CH - Danone Arg. S.A. - Chascomus</v>
          </cell>
          <cell r="CI77" t="str">
            <v>ADA_CH - Danone Arg. S.A. - Chascomus</v>
          </cell>
          <cell r="CJ77" t="str">
            <v>ADA_CH - Danone Arg. S.A. - Chascomus</v>
          </cell>
          <cell r="CK77" t="str">
            <v>ADA_CH - Danone Arg. S.A. - Chascomus</v>
          </cell>
          <cell r="CL77" t="str">
            <v>ADA_CH - Danone Arg. S.A. - Chascomus</v>
          </cell>
          <cell r="CM77" t="str">
            <v>ADA_CH - Danone Arg. S.A. - Chascomus</v>
          </cell>
          <cell r="CN77" t="str">
            <v>ADA_CH - Danone Arg. S.A. - Chascomus</v>
          </cell>
          <cell r="CO77" t="str">
            <v>ADA_CH - Danone Arg. S.A. - Chascomus</v>
          </cell>
          <cell r="CP77" t="str">
            <v>ADA_CH - Danone Arg. S.A. - Chascomus</v>
          </cell>
          <cell r="CQ77" t="str">
            <v>ADA_CH - Danone Arg. S.A. - Chascomus</v>
          </cell>
          <cell r="CR77" t="str">
            <v>ADA_CH - Danone Arg. S.A. - Chascomus</v>
          </cell>
          <cell r="CS77" t="str">
            <v>ADA_CH - Danone Arg. S.A. - Chascomus</v>
          </cell>
          <cell r="CT77" t="str">
            <v>ADA_CH - Danone Arg. S.A. - Chascomus</v>
          </cell>
          <cell r="CU77" t="str">
            <v>ADA_CH - Danone Arg. S.A. - Chascomus</v>
          </cell>
          <cell r="CV77" t="str">
            <v>ADA_CH - Danone Arg. S.A. - Chascomus</v>
          </cell>
          <cell r="CW77" t="str">
            <v>ADA_CH - Danone Arg. S.A. - Chascomus</v>
          </cell>
        </row>
        <row r="78">
          <cell r="D78" t="str">
            <v>AF461DB</v>
          </cell>
          <cell r="E78" t="str">
            <v>semirremolque</v>
          </cell>
          <cell r="F78" t="str">
            <v>Semiremolque</v>
          </cell>
          <cell r="G78" t="str">
            <v>Semiremolque Sider 14,5m 28P</v>
          </cell>
          <cell r="N78" t="str">
            <v>DYLASA</v>
          </cell>
          <cell r="O78" t="str">
            <v>DYLASA</v>
          </cell>
          <cell r="P78" t="str">
            <v>No</v>
          </cell>
          <cell r="Q78" t="str">
            <v>Propio</v>
          </cell>
          <cell r="R78">
            <v>28</v>
          </cell>
          <cell r="S78" t="str">
            <v>Propio</v>
          </cell>
          <cell r="T78" t="str">
            <v>HERMANN</v>
          </cell>
          <cell r="U78" t="str">
            <v>8EHSPA3E0NA000749</v>
          </cell>
          <cell r="V78">
            <v>2022</v>
          </cell>
          <cell r="W78" t="str">
            <v>8EHSPA3E0NA000749</v>
          </cell>
          <cell r="X78">
            <v>2022</v>
          </cell>
          <cell r="Y78">
            <v>4</v>
          </cell>
          <cell r="BF78" t="str">
            <v>ADA_CH - Danone Arg. S.A. - Chascomus</v>
          </cell>
          <cell r="BG78" t="str">
            <v>ADA_CH - Danone Arg. S.A. - Chascomus</v>
          </cell>
          <cell r="BH78" t="str">
            <v>ADA_CH - Danone Arg. S.A. - Chascomus</v>
          </cell>
          <cell r="BI78" t="str">
            <v>ADA_CH - Danone Arg. S.A. - Chascomus</v>
          </cell>
          <cell r="BJ78" t="str">
            <v>ADA_CH - Danone Arg. S.A. - Chascomus</v>
          </cell>
          <cell r="BK78" t="str">
            <v>ADA_CH - Danone Arg. S.A. - Chascomus</v>
          </cell>
          <cell r="BL78" t="str">
            <v>ADA_CH - Danone Arg. S.A. - Chascomus</v>
          </cell>
          <cell r="BM78" t="str">
            <v>ADA_CH - Danone Arg. S.A. - Chascomus</v>
          </cell>
          <cell r="BN78" t="str">
            <v>ADA_CH - Danone Arg. S.A. - Chascomus</v>
          </cell>
          <cell r="BO78" t="str">
            <v>ADA_CH - Danone Arg. S.A. - Chascomus</v>
          </cell>
          <cell r="BP78" t="str">
            <v>ADA_CH - Danone Arg. S.A. - Chascomus</v>
          </cell>
          <cell r="BQ78" t="str">
            <v>ADA_CH - Danone Arg. S.A. - Chascomus</v>
          </cell>
          <cell r="BR78" t="str">
            <v>ADA_CH - Danone Arg. S.A. - Chascomus</v>
          </cell>
          <cell r="BS78" t="str">
            <v>ADA_CH - Danone Arg. S.A. - Chascomus</v>
          </cell>
          <cell r="BT78" t="str">
            <v>ADA_CH - Danone Arg. S.A. - Chascomus</v>
          </cell>
          <cell r="BU78" t="str">
            <v>ADA_CH - Danone Arg. S.A. - Chascomus</v>
          </cell>
          <cell r="BV78" t="str">
            <v>ADA_CH - Danone Arg. S.A. - Chascomus</v>
          </cell>
          <cell r="BW78" t="str">
            <v>ADA_CH - Danone Arg. S.A. - Chascomus</v>
          </cell>
          <cell r="BX78" t="str">
            <v>ADA_CH - Danone Arg. S.A. - Chascomus</v>
          </cell>
          <cell r="BY78" t="str">
            <v>ADA_CH - Danone Arg. S.A. - Chascomus</v>
          </cell>
          <cell r="BZ78" t="str">
            <v>ADA_CH - Danone Arg. S.A. - Chascomus</v>
          </cell>
          <cell r="CA78" t="str">
            <v>ADA_CH - Danone Arg. S.A. - Chascomus</v>
          </cell>
          <cell r="CB78" t="str">
            <v>ADA_CH - Danone Arg. S.A. - Chascomus</v>
          </cell>
          <cell r="CC78" t="str">
            <v>ADA_CH - Danone Arg. S.A. - Chascomus</v>
          </cell>
          <cell r="CD78" t="str">
            <v>ADA_CH - Danone Arg. S.A. - Chascomus</v>
          </cell>
          <cell r="CE78" t="str">
            <v>ADA_CH - Danone Arg. S.A. - Chascomus</v>
          </cell>
          <cell r="CF78" t="str">
            <v>ADA_CH - Danone Arg. S.A. - Chascomus</v>
          </cell>
          <cell r="CG78" t="str">
            <v>ADA_CH - Danone Arg. S.A. - Chascomus</v>
          </cell>
          <cell r="CH78" t="str">
            <v>ADA_CH - Danone Arg. S.A. - Chascomus</v>
          </cell>
          <cell r="CI78" t="str">
            <v>ADA_CH - Danone Arg. S.A. - Chascomus</v>
          </cell>
          <cell r="CJ78" t="str">
            <v>ADA_CH - Danone Arg. S.A. - Chascomus</v>
          </cell>
          <cell r="CK78" t="str">
            <v>ADA_CH - Danone Arg. S.A. - Chascomus</v>
          </cell>
          <cell r="CL78" t="str">
            <v>ADA_CH - Danone Arg. S.A. - Chascomus</v>
          </cell>
          <cell r="CM78" t="str">
            <v>ADA_CH - Danone Arg. S.A. - Chascomus</v>
          </cell>
          <cell r="CN78" t="str">
            <v>ADA_CH - Danone Arg. S.A. - Chascomus</v>
          </cell>
          <cell r="CO78" t="str">
            <v>ADA_CH - Danone Arg. S.A. - Chascomus</v>
          </cell>
          <cell r="CP78" t="str">
            <v>ADA_CH - Danone Arg. S.A. - Chascomus</v>
          </cell>
          <cell r="CQ78" t="str">
            <v>ADA_CH - Danone Arg. S.A. - Chascomus</v>
          </cell>
          <cell r="CR78" t="str">
            <v>ADA_CH - Danone Arg. S.A. - Chascomus</v>
          </cell>
          <cell r="CS78" t="str">
            <v>ADA_CH - Danone Arg. S.A. - Chascomus</v>
          </cell>
          <cell r="CT78" t="str">
            <v>ADA_CH - Danone Arg. S.A. - Chascomus</v>
          </cell>
          <cell r="CU78" t="str">
            <v>ADA_CH - Danone Arg. S.A. - Chascomus</v>
          </cell>
          <cell r="CV78" t="str">
            <v>ADA_CH - Danone Arg. S.A. - Chascomus</v>
          </cell>
          <cell r="CW78" t="str">
            <v>ADA_CH - Danone Arg. S.A. - Chascomus</v>
          </cell>
        </row>
        <row r="79">
          <cell r="D79" t="str">
            <v>AF461DC</v>
          </cell>
          <cell r="E79" t="str">
            <v>semirremolque</v>
          </cell>
          <cell r="F79" t="str">
            <v>Semiremolque</v>
          </cell>
          <cell r="G79" t="str">
            <v>Semiremolque Sider 14,5m 28P</v>
          </cell>
          <cell r="N79" t="str">
            <v>DYLASA</v>
          </cell>
          <cell r="O79" t="str">
            <v>DYLASA</v>
          </cell>
          <cell r="P79" t="str">
            <v>No</v>
          </cell>
          <cell r="Q79" t="str">
            <v>Propio</v>
          </cell>
          <cell r="R79">
            <v>28</v>
          </cell>
          <cell r="S79" t="str">
            <v>Propio</v>
          </cell>
          <cell r="T79" t="str">
            <v>HERMANN</v>
          </cell>
          <cell r="U79" t="str">
            <v>8EHSPA3E0NA000748</v>
          </cell>
          <cell r="V79">
            <v>2022</v>
          </cell>
          <cell r="W79" t="str">
            <v>8EHSPA3E0NA000748</v>
          </cell>
          <cell r="X79">
            <v>2022</v>
          </cell>
          <cell r="Y79">
            <v>4</v>
          </cell>
          <cell r="BF79" t="str">
            <v>ADA_CH - Danone Arg. S.A. - Chascomus</v>
          </cell>
          <cell r="BG79" t="str">
            <v>ADA_CH - Danone Arg. S.A. - Chascomus</v>
          </cell>
          <cell r="BH79" t="str">
            <v>ADA_CH - Danone Arg. S.A. - Chascomus</v>
          </cell>
          <cell r="BI79" t="str">
            <v>ADA_CH - Danone Arg. S.A. - Chascomus</v>
          </cell>
          <cell r="BJ79" t="str">
            <v>ADA_CH - Danone Arg. S.A. - Chascomus</v>
          </cell>
          <cell r="BK79" t="str">
            <v>ADA_CH - Danone Arg. S.A. - Chascomus</v>
          </cell>
          <cell r="BL79" t="str">
            <v>ADA_CH - Danone Arg. S.A. - Chascomus</v>
          </cell>
          <cell r="BM79" t="str">
            <v>ADA_CH - Danone Arg. S.A. - Chascomus</v>
          </cell>
          <cell r="BN79" t="str">
            <v>ADA_CH - Danone Arg. S.A. - Chascomus</v>
          </cell>
          <cell r="BO79" t="str">
            <v>ADA_CH - Danone Arg. S.A. - Chascomus</v>
          </cell>
          <cell r="BP79" t="str">
            <v>ADA_CH - Danone Arg. S.A. - Chascomus</v>
          </cell>
          <cell r="BQ79" t="str">
            <v>ADA_CH - Danone Arg. S.A. - Chascomus</v>
          </cell>
          <cell r="BR79" t="str">
            <v>ADA_CH - Danone Arg. S.A. - Chascomus</v>
          </cell>
          <cell r="BS79" t="str">
            <v>ADA_CH - Danone Arg. S.A. - Chascomus</v>
          </cell>
          <cell r="BT79" t="str">
            <v>ADA_CH - Danone Arg. S.A. - Chascomus</v>
          </cell>
          <cell r="BU79" t="str">
            <v>ADA_CH - Danone Arg. S.A. - Chascomus</v>
          </cell>
          <cell r="BV79" t="str">
            <v>ADA_CH - Danone Arg. S.A. - Chascomus</v>
          </cell>
          <cell r="BW79" t="str">
            <v>ADA_CH - Danone Arg. S.A. - Chascomus</v>
          </cell>
          <cell r="BX79" t="str">
            <v>ADA_CH - Danone Arg. S.A. - Chascomus</v>
          </cell>
          <cell r="BY79" t="str">
            <v>ADA_CH - Danone Arg. S.A. - Chascomus</v>
          </cell>
          <cell r="BZ79" t="str">
            <v>ADA_CH - Danone Arg. S.A. - Chascomus</v>
          </cell>
          <cell r="CA79" t="str">
            <v>ADA_CH - Danone Arg. S.A. - Chascomus</v>
          </cell>
          <cell r="CB79" t="str">
            <v>ADA_CH - Danone Arg. S.A. - Chascomus</v>
          </cell>
          <cell r="CC79" t="str">
            <v>ADA_CH - Danone Arg. S.A. - Chascomus</v>
          </cell>
          <cell r="CD79" t="str">
            <v>ADA_CH - Danone Arg. S.A. - Chascomus</v>
          </cell>
          <cell r="CE79" t="str">
            <v>ADA_CH - Danone Arg. S.A. - Chascomus</v>
          </cell>
          <cell r="CF79" t="str">
            <v>ADA_CH - Danone Arg. S.A. - Chascomus</v>
          </cell>
          <cell r="CG79" t="str">
            <v>ADA_CH - Danone Arg. S.A. - Chascomus</v>
          </cell>
          <cell r="CH79" t="str">
            <v>ADA_CH - Danone Arg. S.A. - Chascomus</v>
          </cell>
          <cell r="CI79" t="str">
            <v>ADA_CH - Danone Arg. S.A. - Chascomus</v>
          </cell>
          <cell r="CJ79" t="str">
            <v>ADA_CH - Danone Arg. S.A. - Chascomus</v>
          </cell>
          <cell r="CK79" t="str">
            <v>ADA_CH - Danone Arg. S.A. - Chascomus</v>
          </cell>
          <cell r="CL79" t="str">
            <v>ADA_CH - Danone Arg. S.A. - Chascomus</v>
          </cell>
          <cell r="CM79" t="str">
            <v>ADA_CH - Danone Arg. S.A. - Chascomus</v>
          </cell>
          <cell r="CN79" t="str">
            <v>ADA_CH - Danone Arg. S.A. - Chascomus</v>
          </cell>
          <cell r="CO79" t="str">
            <v>ADA_CH - Danone Arg. S.A. - Chascomus</v>
          </cell>
          <cell r="CP79" t="str">
            <v>ADA_CH - Danone Arg. S.A. - Chascomus</v>
          </cell>
          <cell r="CQ79" t="str">
            <v>ADA_CH - Danone Arg. S.A. - Chascomus</v>
          </cell>
          <cell r="CR79" t="str">
            <v>ADA_CH - Danone Arg. S.A. - Chascomus</v>
          </cell>
          <cell r="CS79" t="str">
            <v>ADA_CH - Danone Arg. S.A. - Chascomus</v>
          </cell>
          <cell r="CT79" t="str">
            <v>ADA_CH - Danone Arg. S.A. - Chascomus</v>
          </cell>
          <cell r="CU79" t="str">
            <v>ADA_CH - Danone Arg. S.A. - Chascomus</v>
          </cell>
          <cell r="CV79" t="str">
            <v>ADA_CH - Danone Arg. S.A. - Chascomus</v>
          </cell>
          <cell r="CW79" t="str">
            <v>ADA_CH - Danone Arg. S.A. - Chascomus</v>
          </cell>
        </row>
        <row r="80">
          <cell r="D80" t="str">
            <v>AF461DQ</v>
          </cell>
          <cell r="E80" t="str">
            <v>Camioneta</v>
          </cell>
          <cell r="F80" t="str">
            <v>Utilitario</v>
          </cell>
          <cell r="G80" t="str">
            <v>Utilitario</v>
          </cell>
          <cell r="N80" t="str">
            <v>TDU</v>
          </cell>
          <cell r="O80" t="str">
            <v>TDU</v>
          </cell>
          <cell r="P80" t="str">
            <v>No</v>
          </cell>
          <cell r="Q80" t="str">
            <v>Propio</v>
          </cell>
          <cell r="R80">
            <v>2</v>
          </cell>
          <cell r="S80" t="str">
            <v>Propio</v>
          </cell>
          <cell r="T80" t="str">
            <v>MERCEDES BENZ</v>
          </cell>
          <cell r="U80" t="str">
            <v>SPRINTER 316 CDI FURGON 3665</v>
          </cell>
          <cell r="V80" t="str">
            <v>651958W0135678</v>
          </cell>
          <cell r="W80" t="str">
            <v>8AC907633NE213850</v>
          </cell>
          <cell r="X80">
            <v>2022</v>
          </cell>
          <cell r="Y80">
            <v>4</v>
          </cell>
          <cell r="BG80" t="str">
            <v>LOGIS</v>
          </cell>
          <cell r="BH80" t="str">
            <v>LOGIS</v>
          </cell>
          <cell r="BI80" t="str">
            <v>LOGIS</v>
          </cell>
          <cell r="BJ80" t="str">
            <v>LOGIS</v>
          </cell>
          <cell r="BK80" t="str">
            <v>LOGIS</v>
          </cell>
          <cell r="BL80" t="str">
            <v>LOGIS</v>
          </cell>
          <cell r="BM80" t="str">
            <v>LOGIS</v>
          </cell>
          <cell r="BN80" t="str">
            <v>LOGIS</v>
          </cell>
          <cell r="BO80" t="str">
            <v>SUC_CTC - Sucursal Buenos Aires</v>
          </cell>
          <cell r="BP80" t="str">
            <v>SUC_CTC - Sucursal Buenos Aires</v>
          </cell>
          <cell r="BQ80" t="str">
            <v>Topacio</v>
          </cell>
          <cell r="BR80" t="str">
            <v>Topacio</v>
          </cell>
          <cell r="BS80" t="str">
            <v>Topacio</v>
          </cell>
          <cell r="BT80" t="str">
            <v>Topacio</v>
          </cell>
          <cell r="BU80" t="str">
            <v>Topacio</v>
          </cell>
          <cell r="BV80" t="str">
            <v>Topacio</v>
          </cell>
          <cell r="BW80" t="str">
            <v>Topacio</v>
          </cell>
          <cell r="BX80" t="str">
            <v>Topacio</v>
          </cell>
          <cell r="BY80" t="str">
            <v>Topacio</v>
          </cell>
          <cell r="BZ80" t="str">
            <v>Topacio</v>
          </cell>
          <cell r="CA80" t="str">
            <v>Topacio</v>
          </cell>
          <cell r="CB80" t="str">
            <v>Unilever - Unilever de Arg. S.A.</v>
          </cell>
          <cell r="CC80" t="str">
            <v>Unilever - Unilever de Arg. S.A.</v>
          </cell>
          <cell r="CD80" t="str">
            <v>Unilever - Unilever de Arg. S.A.</v>
          </cell>
          <cell r="CE80" t="str">
            <v>Unilever - Unilever de Arg. S.A.</v>
          </cell>
          <cell r="CF80" t="str">
            <v>Unilever - Unilever de Arg. S.A.</v>
          </cell>
          <cell r="CG80" t="str">
            <v>Unilever - Unilever de Arg. S.A.</v>
          </cell>
          <cell r="CH80" t="str">
            <v>Unilever - Unilever de Arg. S.A.</v>
          </cell>
          <cell r="CI80" t="str">
            <v>Unilever - Unilever de Arg. S.A.</v>
          </cell>
          <cell r="CJ80" t="str">
            <v>Unilever - Unilever de Arg. S.A.</v>
          </cell>
          <cell r="CK80" t="str">
            <v>Unilever - Unilever de Arg. S.A.</v>
          </cell>
          <cell r="CL80" t="str">
            <v>Unilever - Unilever de Arg. S.A.</v>
          </cell>
          <cell r="CM80" t="str">
            <v>Unilever - Unilever de Arg. S.A.</v>
          </cell>
          <cell r="CN80" t="str">
            <v>Sin Operación</v>
          </cell>
          <cell r="CO80" t="str">
            <v>SUC_MEN - Sucursal Mendoza</v>
          </cell>
          <cell r="CP80" t="str">
            <v>SUC_MEN - Sucursal Mendoza</v>
          </cell>
          <cell r="CQ80" t="str">
            <v>SUC_MEN - Sucursal Mendoza</v>
          </cell>
          <cell r="CR80" t="str">
            <v>SUC_MEN - Sucursal Mendoza</v>
          </cell>
          <cell r="CS80" t="str">
            <v>SUC_MEN - Sucursal Mendoza</v>
          </cell>
          <cell r="CT80" t="str">
            <v>SUC_MEN - Sucursal Mendoza</v>
          </cell>
          <cell r="CU80" t="str">
            <v>SUC_MEN - Sucursal Mendoza</v>
          </cell>
          <cell r="CV80" t="str">
            <v>SUC_MEN - Sucursal Mendoza</v>
          </cell>
          <cell r="CW80" t="str">
            <v>SUC_MEN - Sucursal Mendoza</v>
          </cell>
        </row>
        <row r="81">
          <cell r="D81" t="str">
            <v>AF461DV</v>
          </cell>
          <cell r="E81" t="str">
            <v>Camioneta</v>
          </cell>
          <cell r="F81" t="str">
            <v>Utilitario</v>
          </cell>
          <cell r="G81" t="str">
            <v>Utilitario</v>
          </cell>
          <cell r="N81" t="str">
            <v>TDU</v>
          </cell>
          <cell r="O81" t="str">
            <v>TDU</v>
          </cell>
          <cell r="P81" t="str">
            <v>No</v>
          </cell>
          <cell r="Q81" t="str">
            <v>Propio</v>
          </cell>
          <cell r="R81">
            <v>2</v>
          </cell>
          <cell r="S81" t="str">
            <v>Propio</v>
          </cell>
          <cell r="T81" t="str">
            <v>MERCEDES BENZ</v>
          </cell>
          <cell r="U81" t="str">
            <v>SPRINTER 316 CDI FURGON 3665</v>
          </cell>
          <cell r="V81" t="str">
            <v>651958W0135662</v>
          </cell>
          <cell r="W81" t="str">
            <v>8AC907633NE213892</v>
          </cell>
          <cell r="X81">
            <v>2022</v>
          </cell>
          <cell r="Y81">
            <v>4</v>
          </cell>
          <cell r="BG81" t="str">
            <v>LOGIS</v>
          </cell>
          <cell r="BH81" t="str">
            <v>LOGIS</v>
          </cell>
          <cell r="BI81" t="str">
            <v>LOGIS</v>
          </cell>
          <cell r="BJ81" t="str">
            <v>LOGIS</v>
          </cell>
          <cell r="BK81" t="str">
            <v>LOGIS</v>
          </cell>
          <cell r="BL81" t="str">
            <v>LOGIS</v>
          </cell>
          <cell r="BM81" t="str">
            <v>LOGIS</v>
          </cell>
          <cell r="BN81" t="str">
            <v>Expreso - Servicios Troncales</v>
          </cell>
          <cell r="BO81" t="str">
            <v>Expreso - Servicios Troncales</v>
          </cell>
          <cell r="BP81" t="str">
            <v>Expreso - Servicios Troncales</v>
          </cell>
          <cell r="BQ81" t="str">
            <v>JOHNSON - SC JOHNSON DE ARGENTINA SAIC</v>
          </cell>
          <cell r="BR81" t="str">
            <v>JOHNSON - SC JOHNSON DE ARGENTINA SAIC</v>
          </cell>
          <cell r="BS81" t="str">
            <v>JOHNSON - SC JOHNSON DE ARGENTINA SAIC</v>
          </cell>
          <cell r="BT81" t="str">
            <v>JOHNSON - SC JOHNSON DE ARGENTINA SAIC</v>
          </cell>
          <cell r="BU81" t="str">
            <v>JOHNSON - SC JOHNSON DE ARGENTINA SAIC</v>
          </cell>
          <cell r="BV81" t="str">
            <v>Topacio</v>
          </cell>
          <cell r="BW81" t="str">
            <v>Topacio</v>
          </cell>
          <cell r="BX81" t="str">
            <v>Unilever - Unilever de Arg. S.A.</v>
          </cell>
          <cell r="BY81" t="str">
            <v>Unilever - Unilever de Arg. S.A.</v>
          </cell>
          <cell r="BZ81" t="str">
            <v>Unilever - Unilever de Arg. S.A.</v>
          </cell>
          <cell r="CA81" t="str">
            <v>Sin Operación</v>
          </cell>
          <cell r="CB81" t="str">
            <v>Unilever - Unilever de Arg. S.A.</v>
          </cell>
          <cell r="CC81" t="str">
            <v>Unilever - Unilever de Arg. S.A.</v>
          </cell>
          <cell r="CD81" t="str">
            <v>Unilever - Unilever de Arg. S.A.</v>
          </cell>
          <cell r="CE81" t="str">
            <v>Unilever - Unilever de Arg. S.A.</v>
          </cell>
          <cell r="CF81" t="str">
            <v>Unilever - Unilever de Arg. S.A.</v>
          </cell>
          <cell r="CG81" t="str">
            <v>Unilever - Unilever de Arg. S.A.</v>
          </cell>
          <cell r="CH81" t="str">
            <v>LOGIS</v>
          </cell>
          <cell r="CI81" t="str">
            <v>LOGIS</v>
          </cell>
          <cell r="CJ81" t="str">
            <v>Unilever - Unilever de Arg. S.A.</v>
          </cell>
          <cell r="CK81" t="str">
            <v>Unilever - Unilever de Arg. S.A.</v>
          </cell>
          <cell r="CL81" t="str">
            <v>Unilever - Unilever de Arg. S.A.</v>
          </cell>
          <cell r="CM81" t="str">
            <v>Unilever - Unilever de Arg. S.A.</v>
          </cell>
          <cell r="CN81" t="str">
            <v>Unilever - Unilever de Arg. S.A.</v>
          </cell>
          <cell r="CO81" t="str">
            <v>Unilever - Unilever de Arg. S.A.</v>
          </cell>
          <cell r="CP81" t="str">
            <v>Unilever - Unilever de Arg. S.A.</v>
          </cell>
          <cell r="CQ81" t="str">
            <v>Unilever - Unilever de Arg. S.A.</v>
          </cell>
          <cell r="CR81" t="str">
            <v>Unilever - Unilever de Arg. S.A.</v>
          </cell>
          <cell r="CS81" t="str">
            <v>Unilever - Unilever de Arg. S.A.</v>
          </cell>
          <cell r="CT81" t="str">
            <v>Unilever - Unilever de Arg. S.A.</v>
          </cell>
          <cell r="CU81" t="str">
            <v>Unilever - Unilever de Arg. S.A.</v>
          </cell>
          <cell r="CV81" t="str">
            <v>Unilever - Unilever de Arg. S.A.</v>
          </cell>
          <cell r="CW81" t="str">
            <v>Unilever - Unilever de Arg. S.A.</v>
          </cell>
        </row>
        <row r="82">
          <cell r="D82" t="str">
            <v>AF491HL</v>
          </cell>
          <cell r="E82" t="str">
            <v>Camioneta</v>
          </cell>
          <cell r="F82" t="str">
            <v>Utilitario</v>
          </cell>
          <cell r="G82" t="str">
            <v>Utilitario</v>
          </cell>
          <cell r="N82" t="str">
            <v>TDU</v>
          </cell>
          <cell r="O82" t="str">
            <v>TDU</v>
          </cell>
          <cell r="P82" t="str">
            <v>No</v>
          </cell>
          <cell r="Q82" t="str">
            <v>Propio</v>
          </cell>
          <cell r="R82">
            <v>2</v>
          </cell>
          <cell r="S82" t="str">
            <v>Propio</v>
          </cell>
          <cell r="T82" t="str">
            <v>MERCEDES BENZ</v>
          </cell>
          <cell r="U82" t="str">
            <v>SPRINTER 316 CDI FURGON 3665</v>
          </cell>
          <cell r="V82" t="str">
            <v>651958W0135593</v>
          </cell>
          <cell r="W82" t="str">
            <v>8AC907633NE213778</v>
          </cell>
          <cell r="X82">
            <v>2022</v>
          </cell>
          <cell r="Y82">
            <v>4</v>
          </cell>
          <cell r="BG82" t="str">
            <v>Expreso - Servicios Troncales</v>
          </cell>
          <cell r="BH82" t="str">
            <v>Expreso - Servicios Troncales</v>
          </cell>
          <cell r="BI82" t="str">
            <v>Expreso - Servicios Troncales</v>
          </cell>
          <cell r="BJ82" t="str">
            <v>Expreso - Servicios Troncales</v>
          </cell>
          <cell r="BK82" t="str">
            <v>Expreso - Servicios Troncales</v>
          </cell>
          <cell r="BL82" t="str">
            <v>Expreso - Servicios Troncales</v>
          </cell>
          <cell r="BM82" t="str">
            <v>Expreso - Servicios Troncales</v>
          </cell>
          <cell r="BN82" t="str">
            <v>SUC_CTC - Sucursal Buenos Aires</v>
          </cell>
          <cell r="BO82" t="str">
            <v>SUC_CTC - Sucursal Buenos Aires</v>
          </cell>
          <cell r="BP82" t="str">
            <v>SUC_CTC - Sucursal Buenos Aires</v>
          </cell>
          <cell r="BQ82" t="str">
            <v>SUC_CTC - Sucursal Buenos Aires</v>
          </cell>
          <cell r="BR82" t="str">
            <v>SUC_CTC - Sucursal Buenos Aires</v>
          </cell>
          <cell r="BS82" t="str">
            <v>SUC_CTC - Sucursal Buenos Aires</v>
          </cell>
          <cell r="BT82" t="str">
            <v>SUC_CTC - Sucursal Buenos Aires</v>
          </cell>
          <cell r="BU82" t="str">
            <v>SUC_CTC - Sucursal Buenos Aires</v>
          </cell>
          <cell r="BV82" t="str">
            <v>SUC_CTC - Sucursal Buenos Aires</v>
          </cell>
          <cell r="BW82" t="str">
            <v>SUC_CTC - Sucursal Buenos Aires</v>
          </cell>
          <cell r="BX82" t="str">
            <v>SUC_CTC - Sucursal Buenos Aires</v>
          </cell>
          <cell r="BY82" t="str">
            <v>SUC_CTC - Sucursal Buenos Aires</v>
          </cell>
          <cell r="BZ82" t="str">
            <v>SUC_CTC - Sucursal Buenos Aires</v>
          </cell>
          <cell r="CA82" t="str">
            <v>SUC_CTC - Sucursal Buenos Aires</v>
          </cell>
          <cell r="CB82" t="str">
            <v>SUC_CTC - Sucursal Buenos Aires</v>
          </cell>
          <cell r="CC82" t="str">
            <v>SUC_CTC - Sucursal Buenos Aires</v>
          </cell>
          <cell r="CD82" t="str">
            <v>SUC_CTC - Sucursal Buenos Aires</v>
          </cell>
          <cell r="CE82" t="str">
            <v>SUC_CTC - Sucursal Buenos Aires</v>
          </cell>
          <cell r="CF82" t="str">
            <v>SUC_CTC - Sucursal Buenos Aires</v>
          </cell>
          <cell r="CG82" t="str">
            <v>SUC_CTC - Sucursal Buenos Aires</v>
          </cell>
          <cell r="CH82" t="str">
            <v>SUC_CTC - Sucursal Buenos Aires</v>
          </cell>
          <cell r="CI82" t="str">
            <v>SUC_CTC - Sucursal Buenos Aires</v>
          </cell>
          <cell r="CJ82" t="str">
            <v>SUC_CTC - Sucursal Buenos Aires</v>
          </cell>
          <cell r="CK82" t="str">
            <v>SUC_CTC - Sucursal Buenos Aires</v>
          </cell>
          <cell r="CL82" t="str">
            <v>SUC_CTC - Sucursal Buenos Aires</v>
          </cell>
          <cell r="CM82" t="str">
            <v>SUC_CTC - Sucursal Buenos Aires</v>
          </cell>
          <cell r="CN82" t="str">
            <v>SUC_CTC - Sucursal Buenos Aires</v>
          </cell>
          <cell r="CO82" t="str">
            <v>SUC_CTC - Sucursal Buenos Aires</v>
          </cell>
          <cell r="CP82" t="str">
            <v>SUC_CTC - Sucursal Buenos Aires</v>
          </cell>
          <cell r="CQ82" t="str">
            <v>SUC_CTC - Sucursal Buenos Aires</v>
          </cell>
          <cell r="CR82" t="str">
            <v>SUC_CTC - Sucursal Buenos Aires</v>
          </cell>
          <cell r="CS82" t="str">
            <v>SUC_CTC - Sucursal Buenos Aires</v>
          </cell>
          <cell r="CT82" t="str">
            <v>SUC_CTC - Sucursal Buenos Aires</v>
          </cell>
          <cell r="CU82" t="str">
            <v>SUC_CTC - Sucursal Buenos Aires</v>
          </cell>
          <cell r="CV82" t="str">
            <v>SUC_CTC - Sucursal Buenos Aires</v>
          </cell>
          <cell r="CW82" t="str">
            <v>SUC_CTC - Sucursal Buenos Aires</v>
          </cell>
        </row>
        <row r="83">
          <cell r="D83" t="str">
            <v>AF491HM</v>
          </cell>
          <cell r="E83" t="str">
            <v>Camioneta</v>
          </cell>
          <cell r="F83" t="str">
            <v>Camioneta</v>
          </cell>
          <cell r="G83" t="str">
            <v>Camioneta</v>
          </cell>
          <cell r="N83" t="str">
            <v>TDU</v>
          </cell>
          <cell r="O83" t="str">
            <v>TDU</v>
          </cell>
          <cell r="P83" t="str">
            <v>No</v>
          </cell>
          <cell r="Q83" t="str">
            <v>Propio</v>
          </cell>
          <cell r="R83" t="str">
            <v>-</v>
          </cell>
          <cell r="S83" t="str">
            <v>Propio</v>
          </cell>
          <cell r="T83" t="str">
            <v>MERCEDES BENZ</v>
          </cell>
          <cell r="U83" t="str">
            <v>SPRINTER 516 CDI FURGON 4325</v>
          </cell>
          <cell r="V83" t="str">
            <v>651958W0136708</v>
          </cell>
          <cell r="W83" t="str">
            <v>8AC907655NE215125</v>
          </cell>
          <cell r="X83">
            <v>2022</v>
          </cell>
          <cell r="Y83">
            <v>4</v>
          </cell>
          <cell r="BG83" t="str">
            <v>Gs_Estru - Gastos de Estructura</v>
          </cell>
          <cell r="BH83" t="str">
            <v>Gs_Estru - Gastos de Estructura</v>
          </cell>
          <cell r="BI83" t="str">
            <v>Gs_Estru - Gastos de Estructura</v>
          </cell>
          <cell r="BJ83" t="str">
            <v>Gs_Estru - Gastos de Estructura</v>
          </cell>
          <cell r="BK83" t="str">
            <v>Gs_Estru - Gastos de Estructura</v>
          </cell>
          <cell r="BL83" t="str">
            <v>Gs_Estru - Gastos de Estructura</v>
          </cell>
          <cell r="BM83" t="str">
            <v>Gs_Estru - Gastos de Estructura</v>
          </cell>
          <cell r="BN83" t="str">
            <v>Gs_Estru - Gastos de Estructura</v>
          </cell>
          <cell r="BO83" t="str">
            <v>Gs_Estru - Gastos de Estructura</v>
          </cell>
          <cell r="BP83" t="str">
            <v>Gs_Estru - Gastos de Estructura</v>
          </cell>
          <cell r="BQ83" t="str">
            <v>Gs_Estru - Gastos de Estructura</v>
          </cell>
          <cell r="BR83" t="str">
            <v>Gs_Estru - Gastos de Estructura</v>
          </cell>
          <cell r="BS83" t="str">
            <v>Gs_Estru - Gastos de Estructura</v>
          </cell>
          <cell r="BT83" t="str">
            <v>Gs_Estru - Gastos de Estructura</v>
          </cell>
          <cell r="BU83" t="str">
            <v>Gs_Estru - Gastos de Estructura</v>
          </cell>
          <cell r="BV83" t="str">
            <v>Gs_Estru - Gastos de Estructura</v>
          </cell>
          <cell r="BW83" t="str">
            <v>Gs_Estru - Gastos de Estructura</v>
          </cell>
          <cell r="BX83" t="str">
            <v>Gs_Estru - Gastos de Estructura</v>
          </cell>
          <cell r="BY83" t="str">
            <v>Gs_Estru - Gastos de Estructura</v>
          </cell>
          <cell r="BZ83" t="str">
            <v>Gs_Estru - Gastos de Estructura</v>
          </cell>
          <cell r="CA83" t="str">
            <v>Gs_Estru - Gastos de Estructura</v>
          </cell>
          <cell r="CB83" t="str">
            <v>Gs_Estru - Gastos de Estructura</v>
          </cell>
          <cell r="CC83" t="str">
            <v>Gs_Estru - Gastos de Estructura</v>
          </cell>
          <cell r="CD83" t="str">
            <v>Gs_Estru - Gastos de Estructura</v>
          </cell>
          <cell r="CE83" t="str">
            <v>Gs_Estru - Gastos de Estructura</v>
          </cell>
          <cell r="CF83" t="str">
            <v>Gs_Estru - Gastos de Estructura</v>
          </cell>
          <cell r="CG83" t="str">
            <v>Gs_Estru - Gastos de Estructura</v>
          </cell>
          <cell r="CH83" t="str">
            <v>Gs_Estru - Gastos de Estructura</v>
          </cell>
          <cell r="CI83" t="str">
            <v>Gs_Estru - Gastos de Estructura</v>
          </cell>
          <cell r="CJ83" t="str">
            <v>Gs_Estru - Gastos de Estructura</v>
          </cell>
          <cell r="CK83" t="str">
            <v>Gs_Estru - Gastos de Estructura</v>
          </cell>
          <cell r="CL83" t="str">
            <v>Gs_Estru - Gastos de Estructura</v>
          </cell>
          <cell r="CM83" t="str">
            <v>Gs_Estru - Gastos de Estructura</v>
          </cell>
          <cell r="CN83" t="str">
            <v>CIMSA_BS AS</v>
          </cell>
          <cell r="CO83" t="str">
            <v>CIMSA_BS AS</v>
          </cell>
          <cell r="CP83" t="str">
            <v>CIMSA_BS AS</v>
          </cell>
          <cell r="CQ83" t="str">
            <v>CIMSA_BS AS</v>
          </cell>
          <cell r="CR83" t="str">
            <v>CIMSA_BS AS</v>
          </cell>
          <cell r="CS83" t="str">
            <v>CIMSA_BS AS</v>
          </cell>
          <cell r="CT83" t="str">
            <v>CIMSA_BS AS</v>
          </cell>
          <cell r="CU83" t="str">
            <v>CIMSA_BS AS</v>
          </cell>
          <cell r="CV83" t="str">
            <v>CIMSA_BS AS</v>
          </cell>
          <cell r="CW83" t="str">
            <v>CIMSA_BS AS</v>
          </cell>
        </row>
        <row r="84">
          <cell r="D84" t="str">
            <v>AF504DR</v>
          </cell>
          <cell r="E84" t="str">
            <v>CHASIS</v>
          </cell>
          <cell r="F84" t="str">
            <v>Chasis</v>
          </cell>
          <cell r="G84" t="str">
            <v>Chasis</v>
          </cell>
          <cell r="N84" t="str">
            <v>TDU</v>
          </cell>
          <cell r="O84" t="str">
            <v>TDU</v>
          </cell>
          <cell r="P84" t="str">
            <v>No</v>
          </cell>
          <cell r="Q84" t="str">
            <v>Propio</v>
          </cell>
          <cell r="R84">
            <v>12</v>
          </cell>
          <cell r="S84" t="str">
            <v>Propio</v>
          </cell>
          <cell r="T84" t="str">
            <v>MERCEDES BENZ</v>
          </cell>
          <cell r="U84" t="str">
            <v>ATEGO 1721-48</v>
          </cell>
          <cell r="V84" t="str">
            <v>924989U1384545</v>
          </cell>
          <cell r="W84" t="str">
            <v>8AB958154PA803573</v>
          </cell>
          <cell r="X84">
            <v>2022</v>
          </cell>
          <cell r="Y84">
            <v>4</v>
          </cell>
          <cell r="BG84" t="str">
            <v>LOGIS</v>
          </cell>
          <cell r="BH84" t="str">
            <v>LOGIS</v>
          </cell>
          <cell r="BI84" t="str">
            <v>LOGIS</v>
          </cell>
          <cell r="BJ84" t="str">
            <v>LOGIS</v>
          </cell>
          <cell r="BK84" t="str">
            <v>LOGIS</v>
          </cell>
          <cell r="BL84" t="str">
            <v>LOGIS</v>
          </cell>
          <cell r="BM84" t="str">
            <v>LOGIS</v>
          </cell>
          <cell r="BN84" t="str">
            <v>Papelera - Papelera del Plata S.A.</v>
          </cell>
          <cell r="BO84" t="str">
            <v>Papelera - Papelera del Plata S.A.</v>
          </cell>
          <cell r="BP84" t="str">
            <v>Papelera - Papelera del Plata S.A.</v>
          </cell>
          <cell r="BQ84" t="str">
            <v>Papelera - Papelera del Plata S.A.</v>
          </cell>
          <cell r="BR84" t="str">
            <v>Papelera - Papelera del Plata S.A.</v>
          </cell>
          <cell r="BS84" t="str">
            <v>Papelera - Papelera del Plata S.A.</v>
          </cell>
          <cell r="BT84" t="str">
            <v>Papelera - Papelera del Plata S.A.</v>
          </cell>
          <cell r="BU84" t="str">
            <v>Papelera - Papelera del Plata S.A.</v>
          </cell>
          <cell r="BV84" t="str">
            <v>Papelera - Papelera del Plata S.A.</v>
          </cell>
          <cell r="BW84" t="str">
            <v>Papelera - Papelera del Plata S.A.</v>
          </cell>
          <cell r="BX84" t="str">
            <v>Papelera - Papelera del Plata S.A.</v>
          </cell>
          <cell r="BY84" t="str">
            <v>Papelera - Papelera del Plata S.A.</v>
          </cell>
          <cell r="BZ84" t="str">
            <v>Papelera - Papelera del Plata S.A.</v>
          </cell>
          <cell r="CA84" t="str">
            <v>Papelera - Papelera del Plata S.A.</v>
          </cell>
          <cell r="CB84" t="str">
            <v>Papelera - Papelera del Plata S.A.</v>
          </cell>
          <cell r="CC84" t="str">
            <v>Papelera - Papelera del Plata S.A.</v>
          </cell>
          <cell r="CD84" t="str">
            <v>Papelera - Papelera del Plata S.A.</v>
          </cell>
          <cell r="CE84" t="str">
            <v>Papelera - Papelera del Plata S.A.</v>
          </cell>
          <cell r="CF84" t="str">
            <v>Papelera - Papelera del Plata S.A.</v>
          </cell>
          <cell r="CG84" t="str">
            <v>Papelera - Papelera del Plata S.A.</v>
          </cell>
          <cell r="CH84" t="str">
            <v>Papelera - Papelera del Plata S.A.</v>
          </cell>
          <cell r="CI84" t="str">
            <v>Papelera - Papelera del Plata S.A.</v>
          </cell>
          <cell r="CJ84" t="str">
            <v>Papelera - Papelera del Plata S.A.</v>
          </cell>
          <cell r="CK84" t="str">
            <v>Papelera - Papelera del Plata S.A.</v>
          </cell>
          <cell r="CL84" t="str">
            <v>Papelera - Papelera del Plata S.A.</v>
          </cell>
          <cell r="CM84" t="str">
            <v>Papelera - Papelera del Plata S.A.</v>
          </cell>
          <cell r="CN84" t="str">
            <v>Sin Operación</v>
          </cell>
          <cell r="CO84" t="str">
            <v>Sin Operación</v>
          </cell>
          <cell r="CP84" t="str">
            <v>Sin Operación</v>
          </cell>
          <cell r="CQ84" t="str">
            <v>CMQ_TTE - QUILMES TTE</v>
          </cell>
          <cell r="CR84" t="str">
            <v>CMQ_TTE - QUILMES TTE</v>
          </cell>
          <cell r="CS84" t="str">
            <v>CMQ_TTE - QUILMES TTE</v>
          </cell>
          <cell r="CT84" t="str">
            <v>CMQ_TTE - QUILMES TTE</v>
          </cell>
          <cell r="CU84" t="str">
            <v>CMQ_TTE - QUILMES TTE</v>
          </cell>
          <cell r="CV84" t="str">
            <v>CMQ_TTE - QUILMES TTE</v>
          </cell>
          <cell r="CW84" t="str">
            <v>CMQ_TTE - QUILMES TTE</v>
          </cell>
        </row>
        <row r="85">
          <cell r="D85" t="str">
            <v>AF518DM</v>
          </cell>
          <cell r="E85" t="str">
            <v>CHASIS</v>
          </cell>
          <cell r="F85" t="str">
            <v>Chasis</v>
          </cell>
          <cell r="G85" t="str">
            <v>Chasis</v>
          </cell>
          <cell r="N85" t="str">
            <v>TDU</v>
          </cell>
          <cell r="O85" t="str">
            <v>TDU</v>
          </cell>
          <cell r="P85" t="str">
            <v>No</v>
          </cell>
          <cell r="Q85" t="str">
            <v>Propio</v>
          </cell>
          <cell r="R85">
            <v>12</v>
          </cell>
          <cell r="S85" t="str">
            <v>Propio</v>
          </cell>
          <cell r="T85" t="str">
            <v>MERCEDES BENZ</v>
          </cell>
          <cell r="U85" t="str">
            <v>ATEGO 1721-48</v>
          </cell>
          <cell r="V85" t="str">
            <v>924989U1384620</v>
          </cell>
          <cell r="W85" t="str">
            <v>8AB958154PA803618</v>
          </cell>
          <cell r="X85">
            <v>2022</v>
          </cell>
          <cell r="Y85">
            <v>4</v>
          </cell>
          <cell r="BG85" t="str">
            <v>CMQ_TTE - QUILMES TTE</v>
          </cell>
          <cell r="BH85" t="str">
            <v>CMQ_TTE - QUILMES TTE</v>
          </cell>
          <cell r="BI85" t="str">
            <v>CMQ_TTE - QUILMES TTE</v>
          </cell>
          <cell r="BJ85" t="str">
            <v>CMQ_TTE - QUILMES TTE</v>
          </cell>
          <cell r="BK85" t="str">
            <v>CMQ_TTE - QUILMES TTE</v>
          </cell>
          <cell r="BL85" t="str">
            <v>CMQ_TTE - QUILMES TTE</v>
          </cell>
          <cell r="BM85" t="str">
            <v>CMQ_TTE - QUILMES TTE</v>
          </cell>
          <cell r="BN85" t="str">
            <v>CMQ_TTE - QUILMES TTE</v>
          </cell>
          <cell r="BO85" t="str">
            <v>CMQ_TTE - QUILMES TTE</v>
          </cell>
          <cell r="BP85" t="str">
            <v>CMQ_TTE - QUILMES TTE</v>
          </cell>
          <cell r="BQ85" t="str">
            <v>CMQ_TTE - QUILMES TTE</v>
          </cell>
          <cell r="BR85" t="str">
            <v>CMQ_TTE - QUILMES TTE</v>
          </cell>
          <cell r="BS85" t="str">
            <v>CMQ_TTE - QUILMES TTE</v>
          </cell>
          <cell r="BT85" t="str">
            <v>CMQ_TTE - QUILMES TTE</v>
          </cell>
          <cell r="BU85" t="str">
            <v>CMQ_TTE - QUILMES TTE</v>
          </cell>
          <cell r="BV85" t="str">
            <v>CMQ_TTE - QUILMES TTE</v>
          </cell>
          <cell r="BW85" t="str">
            <v>CMQ_TTE - QUILMES TTE</v>
          </cell>
          <cell r="BX85" t="str">
            <v>CMQ_TTE - QUILMES TTE</v>
          </cell>
          <cell r="BY85" t="str">
            <v>CMQ_TTE - QUILMES TTE</v>
          </cell>
          <cell r="BZ85" t="str">
            <v>CMQ_TTE - QUILMES TTE</v>
          </cell>
          <cell r="CA85" t="str">
            <v>CMQ_TTE - QUILMES TTE</v>
          </cell>
          <cell r="CB85" t="str">
            <v>CMQ_TTE - QUILMES TTE</v>
          </cell>
          <cell r="CC85" t="str">
            <v>CMQ_TTE - QUILMES TTE</v>
          </cell>
          <cell r="CD85" t="str">
            <v>CMQ_TTE - QUILMES TTE</v>
          </cell>
          <cell r="CE85" t="str">
            <v>CMQ_TTE - QUILMES TTE</v>
          </cell>
          <cell r="CF85" t="str">
            <v>CMQ_TTE - QUILMES TTE</v>
          </cell>
          <cell r="CG85" t="str">
            <v>CMQ_TTE - QUILMES TTE</v>
          </cell>
          <cell r="CH85" t="str">
            <v>CMQ_TTE - QUILMES TTE</v>
          </cell>
          <cell r="CI85" t="str">
            <v>CMQ_TTE - QUILMES TTE</v>
          </cell>
          <cell r="CJ85" t="str">
            <v>CMQ_TTE - QUILMES TTE</v>
          </cell>
          <cell r="CK85" t="str">
            <v>CMQ_TTE - QUILMES TTE</v>
          </cell>
          <cell r="CL85" t="str">
            <v>CMQ_TTE - QUILMES TTE</v>
          </cell>
          <cell r="CM85" t="str">
            <v>CMQ_TTE - QUILMES TTE</v>
          </cell>
          <cell r="CN85" t="str">
            <v>CMQ_TTE - QUILMES TTE</v>
          </cell>
          <cell r="CO85" t="str">
            <v>CMQ_TTE - QUILMES TTE</v>
          </cell>
          <cell r="CP85" t="str">
            <v>CMQ_TTE - QUILMES TTE</v>
          </cell>
          <cell r="CQ85" t="str">
            <v>CMQ_TTE - QUILMES TTE</v>
          </cell>
          <cell r="CR85" t="str">
            <v>CMQ_TTE - QUILMES TTE</v>
          </cell>
          <cell r="CS85" t="str">
            <v>CMQ_TTE - QUILMES TTE</v>
          </cell>
          <cell r="CT85" t="str">
            <v>CMQ_TTE - QUILMES TTE</v>
          </cell>
          <cell r="CU85" t="str">
            <v>CMQ_TTE - QUILMES TTE</v>
          </cell>
          <cell r="CV85" t="str">
            <v>CMQ_TTE - QUILMES TTE</v>
          </cell>
          <cell r="CW85" t="str">
            <v>CMQ_TTE - QUILMES TTE</v>
          </cell>
        </row>
        <row r="86">
          <cell r="D86" t="str">
            <v>AF542LX</v>
          </cell>
          <cell r="E86" t="str">
            <v>Camioneta</v>
          </cell>
          <cell r="F86" t="str">
            <v>Utilitario</v>
          </cell>
          <cell r="G86" t="str">
            <v>Utilitario</v>
          </cell>
          <cell r="N86" t="str">
            <v>TDU</v>
          </cell>
          <cell r="O86" t="str">
            <v>TDU</v>
          </cell>
          <cell r="P86" t="str">
            <v>No</v>
          </cell>
          <cell r="Q86" t="str">
            <v>Propio</v>
          </cell>
          <cell r="R86" t="str">
            <v>-</v>
          </cell>
          <cell r="S86" t="str">
            <v>Propio</v>
          </cell>
          <cell r="T86" t="str">
            <v>Renault</v>
          </cell>
          <cell r="U86" t="str">
            <v>KANGOO II EXPRESS CONFORT 1,5 DCI-FURGON-</v>
          </cell>
          <cell r="V86" t="str">
            <v>K9KC612D462575</v>
          </cell>
          <cell r="W86" t="str">
            <v>8A18SRZL4PL288115</v>
          </cell>
          <cell r="X86">
            <v>2022</v>
          </cell>
          <cell r="Y86">
            <v>4</v>
          </cell>
          <cell r="BG86" t="str">
            <v>CMQ_TTE - QUILMES TTE</v>
          </cell>
          <cell r="BH86" t="str">
            <v>CMQ_TTE - QUILMES TTE</v>
          </cell>
          <cell r="BI86" t="str">
            <v>CMQ_TTE - QUILMES TTE</v>
          </cell>
          <cell r="BJ86" t="str">
            <v>CMQ_TTE - QUILMES TTE</v>
          </cell>
          <cell r="BK86" t="str">
            <v>CMQ_TTE - QUILMES TTE</v>
          </cell>
          <cell r="BL86" t="str">
            <v>CMQ_TTE - QUILMES TTE</v>
          </cell>
          <cell r="BM86" t="str">
            <v>CMQ_TTE - QUILMES TTE</v>
          </cell>
          <cell r="BN86" t="str">
            <v>CMQ_TTE - QUILMES TTE</v>
          </cell>
          <cell r="BO86" t="str">
            <v>CMQ_TTE - QUILMES TTE</v>
          </cell>
          <cell r="BP86" t="str">
            <v>CMQ_TTE - QUILMES TTE</v>
          </cell>
          <cell r="BQ86" t="str">
            <v>T3</v>
          </cell>
          <cell r="BR86" t="str">
            <v>T3</v>
          </cell>
          <cell r="BS86" t="str">
            <v>CMQ_TTE - QUILMES TTE</v>
          </cell>
          <cell r="BT86" t="str">
            <v>CMQ_TTE - QUILMES TTE</v>
          </cell>
          <cell r="BU86" t="str">
            <v>CMQ_TTE - QUILMES TTE</v>
          </cell>
          <cell r="BV86" t="str">
            <v>CMQ_TTE - QUILMES TTE</v>
          </cell>
          <cell r="BW86" t="str">
            <v>CMQ_TTE - QUILMES TTE</v>
          </cell>
          <cell r="BX86" t="str">
            <v>CMQ_TTE - QUILMES TTE</v>
          </cell>
          <cell r="BY86" t="str">
            <v>CMQ_TTE - QUILMES TTE</v>
          </cell>
          <cell r="BZ86" t="str">
            <v>CMQ_TTE - QUILMES TTE</v>
          </cell>
          <cell r="CA86" t="str">
            <v>CMQ_TTE - QUILMES TTE</v>
          </cell>
          <cell r="CB86" t="str">
            <v>CMQ_TTE - QUILMES TTE</v>
          </cell>
          <cell r="CC86" t="str">
            <v>CMQ_TTE - QUILMES TTE</v>
          </cell>
          <cell r="CD86" t="str">
            <v>CMQ_TTE - QUILMES TTE</v>
          </cell>
          <cell r="CE86" t="str">
            <v>CMQ_TTE - QUILMES TTE</v>
          </cell>
          <cell r="CF86" t="str">
            <v>CMQ_TTE - QUILMES TTE</v>
          </cell>
          <cell r="CG86" t="str">
            <v>CMQ_TTE - QUILMES TTE</v>
          </cell>
          <cell r="CH86" t="str">
            <v>CMQ_TTE - QUILMES TTE</v>
          </cell>
          <cell r="CI86" t="str">
            <v>CMQ_TTE - QUILMES TTE</v>
          </cell>
          <cell r="CJ86" t="str">
            <v>CMQ_TTE - QUILMES TTE</v>
          </cell>
          <cell r="CK86" t="str">
            <v>Sin Operación</v>
          </cell>
          <cell r="CL86" t="str">
            <v>Gs_Estru - Gastos de Estructura</v>
          </cell>
          <cell r="CM86" t="str">
            <v>Gs_Estru - Gastos de Estructura</v>
          </cell>
          <cell r="CN86" t="str">
            <v>CIMSA_SRA</v>
          </cell>
          <cell r="CO86" t="str">
            <v>CIMSA_SRA</v>
          </cell>
          <cell r="CP86" t="str">
            <v>CIMSA_SRA</v>
          </cell>
          <cell r="CQ86" t="str">
            <v>CIMSA_SRA</v>
          </cell>
          <cell r="CR86" t="str">
            <v>CIMSA_SRA</v>
          </cell>
          <cell r="CS86" t="str">
            <v>CIMSA_SRA</v>
          </cell>
          <cell r="CT86" t="str">
            <v>CIMSA_SRA</v>
          </cell>
          <cell r="CU86" t="str">
            <v>CIMSA_SRA</v>
          </cell>
          <cell r="CV86" t="str">
            <v>CIMSA_SRA</v>
          </cell>
          <cell r="CW86" t="str">
            <v>CIMSA_SRA</v>
          </cell>
        </row>
        <row r="87">
          <cell r="D87" t="str">
            <v>AF613YX</v>
          </cell>
          <cell r="E87" t="str">
            <v>Chasis</v>
          </cell>
          <cell r="F87" t="str">
            <v>Chasis</v>
          </cell>
          <cell r="G87" t="str">
            <v>Chasis</v>
          </cell>
          <cell r="N87" t="str">
            <v>TDU</v>
          </cell>
          <cell r="O87" t="str">
            <v>TDU</v>
          </cell>
          <cell r="P87" t="str">
            <v>No</v>
          </cell>
          <cell r="Q87" t="str">
            <v>Propio</v>
          </cell>
          <cell r="R87">
            <v>12</v>
          </cell>
          <cell r="S87" t="str">
            <v>Propio</v>
          </cell>
          <cell r="T87" t="str">
            <v>IVECO</v>
          </cell>
          <cell r="U87" t="str">
            <v>170E28 MLC EBS</v>
          </cell>
          <cell r="V87" t="str">
            <v>F4AE3681E*8107993</v>
          </cell>
          <cell r="W87" t="str">
            <v>8ATA1RMH0PX120723</v>
          </cell>
          <cell r="X87">
            <v>2022</v>
          </cell>
          <cell r="Y87">
            <v>4</v>
          </cell>
          <cell r="BI87" t="str">
            <v>CMQ_TTE - QUILMES TTE</v>
          </cell>
          <cell r="BJ87" t="str">
            <v>CMQ_TTE - QUILMES TTE</v>
          </cell>
          <cell r="BK87" t="str">
            <v>CMQ_TTE - QUILMES TTE</v>
          </cell>
          <cell r="BL87" t="str">
            <v>CMQ_TTE - QUILMES TTE</v>
          </cell>
          <cell r="BM87" t="str">
            <v>CMQ_TTE - QUILMES TTE</v>
          </cell>
          <cell r="BN87" t="str">
            <v>Papelera - Papelera del Plata S.A.</v>
          </cell>
          <cell r="BO87" t="str">
            <v>Papelera - Papelera del Plata S.A.</v>
          </cell>
          <cell r="BP87" t="str">
            <v>Papelera - Papelera del Plata S.A.</v>
          </cell>
          <cell r="BQ87" t="str">
            <v>Papelera - Papelera del Plata S.A.</v>
          </cell>
          <cell r="BR87" t="str">
            <v>Papelera - Papelera del Plata S.A.</v>
          </cell>
          <cell r="BS87" t="str">
            <v>Papelera - Papelera del Plata S.A.</v>
          </cell>
          <cell r="BT87" t="str">
            <v>Papelera - Papelera del Plata S.A.</v>
          </cell>
          <cell r="BU87" t="str">
            <v>Papelera - Papelera del Plata S.A.</v>
          </cell>
          <cell r="BV87" t="str">
            <v>Papelera - Papelera del Plata S.A.</v>
          </cell>
          <cell r="BW87" t="str">
            <v>Papelera - Papelera del Plata S.A.</v>
          </cell>
          <cell r="BX87" t="str">
            <v>Papelera - Papelera del Plata S.A.</v>
          </cell>
          <cell r="BY87" t="str">
            <v>Papelera - Papelera del Plata S.A.</v>
          </cell>
          <cell r="BZ87" t="str">
            <v>Papelera - Papelera del Plata S.A.</v>
          </cell>
          <cell r="CA87" t="str">
            <v>Papelera - Papelera del Plata S.A.</v>
          </cell>
          <cell r="CB87" t="str">
            <v>Papelera - Papelera del Plata S.A.</v>
          </cell>
          <cell r="CC87" t="str">
            <v>Papelera - Papelera del Plata S.A.</v>
          </cell>
          <cell r="CD87" t="str">
            <v>Papelera - Papelera del Plata S.A.</v>
          </cell>
          <cell r="CE87" t="str">
            <v>Papelera - Papelera del Plata S.A.</v>
          </cell>
          <cell r="CF87" t="str">
            <v>Papelera - Papelera del Plata S.A.</v>
          </cell>
          <cell r="CG87" t="str">
            <v>Papelera - Papelera del Plata S.A.</v>
          </cell>
          <cell r="CH87" t="str">
            <v>Papelera - Papelera del Plata S.A.</v>
          </cell>
          <cell r="CI87" t="str">
            <v>Papelera - Papelera del Plata S.A.</v>
          </cell>
          <cell r="CJ87" t="str">
            <v>Papelera - Papelera del Plata S.A.</v>
          </cell>
          <cell r="CK87" t="str">
            <v>Papelera - Papelera del Plata S.A.</v>
          </cell>
          <cell r="CL87" t="str">
            <v>Papelera - Papelera del Plata S.A.</v>
          </cell>
          <cell r="CM87" t="str">
            <v>Papelera - Papelera del Plata S.A.</v>
          </cell>
          <cell r="CN87" t="str">
            <v>Sin Operación</v>
          </cell>
          <cell r="CO87" t="str">
            <v>Papelera - Papelera del Plata S.A.</v>
          </cell>
          <cell r="CP87" t="str">
            <v>Papelera - Papelera del Plata S.A.</v>
          </cell>
          <cell r="CQ87" t="str">
            <v>CMQ_TTE - QUILMES TTE</v>
          </cell>
          <cell r="CR87" t="str">
            <v>CMQ_TTE - QUILMES TTE</v>
          </cell>
          <cell r="CS87" t="str">
            <v>CMQ_TTE - QUILMES TTE</v>
          </cell>
          <cell r="CT87" t="str">
            <v>CMQ_TTE - QUILMES TTE</v>
          </cell>
          <cell r="CU87" t="str">
            <v>CMQ_TTE - QUILMES TTE</v>
          </cell>
          <cell r="CV87" t="str">
            <v>CMQ_TTE - QUILMES TTE</v>
          </cell>
          <cell r="CW87" t="str">
            <v>CMQ_TTE - QUILMES TTE</v>
          </cell>
        </row>
        <row r="88">
          <cell r="D88" t="str">
            <v>AF613YZ</v>
          </cell>
          <cell r="E88" t="str">
            <v>Chasis</v>
          </cell>
          <cell r="F88" t="str">
            <v>Chasis</v>
          </cell>
          <cell r="G88" t="str">
            <v>Chasis</v>
          </cell>
          <cell r="N88" t="str">
            <v>TDU</v>
          </cell>
          <cell r="O88" t="str">
            <v>TDU</v>
          </cell>
          <cell r="P88" t="str">
            <v>No</v>
          </cell>
          <cell r="Q88" t="str">
            <v>Propio</v>
          </cell>
          <cell r="R88">
            <v>12</v>
          </cell>
          <cell r="S88" t="str">
            <v>Propio</v>
          </cell>
          <cell r="T88" t="str">
            <v>IVECO</v>
          </cell>
          <cell r="U88" t="str">
            <v>170E28NCM51 EBS</v>
          </cell>
          <cell r="V88" t="str">
            <v>F4AE3681E*8106323</v>
          </cell>
          <cell r="W88" t="str">
            <v>8ATA1RMH0PX120556</v>
          </cell>
          <cell r="X88">
            <v>2022</v>
          </cell>
          <cell r="Y88">
            <v>4</v>
          </cell>
          <cell r="BI88" t="str">
            <v>CMQ_TTE - QUILMES TTE</v>
          </cell>
          <cell r="BJ88" t="str">
            <v>CMQ_TTE - QUILMES TTE</v>
          </cell>
          <cell r="BK88" t="str">
            <v>CMQ_TTE - QUILMES TTE</v>
          </cell>
          <cell r="BL88" t="str">
            <v>CMQ_TTE - QUILMES TTE</v>
          </cell>
          <cell r="BM88" t="str">
            <v>CMQ_TTE - QUILMES TTE</v>
          </cell>
          <cell r="BN88" t="str">
            <v>CMQ_TTE - QUILMES TTE</v>
          </cell>
          <cell r="BO88" t="str">
            <v>CMQ_TTE - QUILMES TTE</v>
          </cell>
          <cell r="BP88" t="str">
            <v>CMQ_TTE - QUILMES TTE</v>
          </cell>
          <cell r="BQ88" t="str">
            <v>CMQ_TTE - QUILMES TTE</v>
          </cell>
          <cell r="BR88" t="str">
            <v>CMQ_TTE - QUILMES TTE</v>
          </cell>
          <cell r="BS88" t="str">
            <v>AGN_TTE - AGUANORT - Transporte</v>
          </cell>
          <cell r="BT88" t="str">
            <v>AGN_TTE - AGUANORT - Transporte</v>
          </cell>
          <cell r="BU88" t="str">
            <v>AGN_TTE - AGUANORT - Transporte</v>
          </cell>
          <cell r="BV88" t="str">
            <v>CMQ_TTE - QUILMES TTE</v>
          </cell>
          <cell r="BW88" t="str">
            <v>CMQ_TTE - QUILMES TTE</v>
          </cell>
          <cell r="BX88" t="str">
            <v>CMQ_TTE - QUILMES TTE</v>
          </cell>
          <cell r="BY88" t="str">
            <v>CMQ_TTE - QUILMES TTE</v>
          </cell>
          <cell r="BZ88" t="str">
            <v>CMQ_TTE - QUILMES TTE</v>
          </cell>
          <cell r="CA88" t="str">
            <v>CMQ_TTE - QUILMES TTE</v>
          </cell>
          <cell r="CB88" t="str">
            <v>CMQ_TTE - QUILMES TTE</v>
          </cell>
          <cell r="CC88" t="str">
            <v>CMQ_TTE - QUILMES TTE</v>
          </cell>
          <cell r="CD88" t="str">
            <v>CMQ_TTE - QUILMES TTE</v>
          </cell>
          <cell r="CE88" t="str">
            <v>CMQ_TTE - QUILMES TTE</v>
          </cell>
          <cell r="CF88" t="str">
            <v>CMQ_TTE - QUILMES TTE</v>
          </cell>
          <cell r="CG88" t="str">
            <v>CMQ_TTE - QUILMES TTE</v>
          </cell>
          <cell r="CH88" t="str">
            <v>CMQ_TTE - QUILMES TTE</v>
          </cell>
          <cell r="CI88" t="str">
            <v>CMQ_TTE - QUILMES TTE</v>
          </cell>
          <cell r="CJ88" t="str">
            <v>CMQ_TTE - QUILMES TTE</v>
          </cell>
          <cell r="CK88" t="str">
            <v>CMQ_TTE - QUILMES TTE</v>
          </cell>
          <cell r="CL88" t="str">
            <v>CMQ_TTE - QUILMES TTE</v>
          </cell>
          <cell r="CM88" t="str">
            <v>CMQ_TTE - QUILMES TTE</v>
          </cell>
          <cell r="CN88" t="str">
            <v>CMQ_TTE - QUILMES TTE</v>
          </cell>
          <cell r="CO88" t="str">
            <v>CMQ_TTE - QUILMES TTE</v>
          </cell>
          <cell r="CP88" t="str">
            <v>CMQ_TTE - QUILMES TTE</v>
          </cell>
          <cell r="CQ88" t="str">
            <v>CMQ_TTE - QUILMES TTE</v>
          </cell>
          <cell r="CR88" t="str">
            <v>CMQ_TTE - QUILMES TTE</v>
          </cell>
          <cell r="CS88" t="str">
            <v>CMQ_TTE - QUILMES TTE</v>
          </cell>
          <cell r="CT88" t="str">
            <v>CMQ_TTE - QUILMES TTE</v>
          </cell>
          <cell r="CU88" t="str">
            <v>CMQ_TTE - QUILMES TTE</v>
          </cell>
          <cell r="CV88" t="str">
            <v>CMQ_TTE - QUILMES TTE</v>
          </cell>
          <cell r="CW88" t="str">
            <v>CMQ_TTE - QUILMES TTE</v>
          </cell>
        </row>
        <row r="89">
          <cell r="D89" t="str">
            <v>AF619YO</v>
          </cell>
          <cell r="E89" t="str">
            <v>Camioneta</v>
          </cell>
          <cell r="F89" t="str">
            <v>Camioneta</v>
          </cell>
          <cell r="G89" t="str">
            <v>Camioneta</v>
          </cell>
          <cell r="N89" t="str">
            <v>TDU</v>
          </cell>
          <cell r="O89" t="str">
            <v>TDU</v>
          </cell>
          <cell r="P89" t="str">
            <v>No</v>
          </cell>
          <cell r="Q89" t="str">
            <v>Propio</v>
          </cell>
          <cell r="R89" t="str">
            <v>-</v>
          </cell>
          <cell r="S89" t="str">
            <v>Propio</v>
          </cell>
          <cell r="T89" t="str">
            <v>PEUGEOT</v>
          </cell>
          <cell r="U89" t="str">
            <v>PARTNER CONFORT 1.6 HDI 92 AM22 -FURGON-</v>
          </cell>
          <cell r="V89" t="str">
            <v>10JBGR0036012</v>
          </cell>
          <cell r="W89" t="str">
            <v>8AEGC9HPAPG522360</v>
          </cell>
          <cell r="X89">
            <v>2022</v>
          </cell>
          <cell r="Y89">
            <v>4</v>
          </cell>
          <cell r="BI89" t="str">
            <v>Expreso - Servicios Troncales</v>
          </cell>
          <cell r="BJ89" t="str">
            <v>Expreso - Servicios Troncales</v>
          </cell>
          <cell r="BK89" t="str">
            <v>Expreso - Servicios Troncales</v>
          </cell>
          <cell r="BL89" t="str">
            <v>Expreso - Servicios Troncales</v>
          </cell>
          <cell r="BM89" t="str">
            <v>Expreso - Servicios Troncales</v>
          </cell>
          <cell r="BN89" t="str">
            <v>Expreso - Servicios Troncales</v>
          </cell>
          <cell r="BO89" t="str">
            <v>Expreso - Servicios Troncales</v>
          </cell>
          <cell r="BP89" t="str">
            <v>Expreso - Servicios Troncales</v>
          </cell>
          <cell r="BQ89" t="str">
            <v>Expreso - Servicios Troncales</v>
          </cell>
          <cell r="BR89" t="str">
            <v>Expreso - Servicios Troncales</v>
          </cell>
          <cell r="BS89" t="str">
            <v>SUC_CTC - Sucursal Buenos Aires</v>
          </cell>
          <cell r="BT89" t="str">
            <v>SUC_CTC - Sucursal Buenos Aires</v>
          </cell>
          <cell r="BU89" t="str">
            <v>SUC_CTC - Sucursal Buenos Aires</v>
          </cell>
          <cell r="BV89" t="str">
            <v>SUC_CTC - Sucursal Buenos Aires</v>
          </cell>
          <cell r="BW89" t="str">
            <v>SUC_CTC - Sucursal Buenos Aires</v>
          </cell>
          <cell r="BX89" t="str">
            <v>SUC_CTC - Sucursal Buenos Aires</v>
          </cell>
          <cell r="BY89" t="str">
            <v>SUC_CTC - Sucursal Buenos Aires</v>
          </cell>
          <cell r="BZ89" t="str">
            <v>SUC_CTC - Sucursal Buenos Aires</v>
          </cell>
          <cell r="CA89" t="str">
            <v>Gs_Estru - Gastos de Estructura</v>
          </cell>
          <cell r="CB89" t="str">
            <v>Gs_Estru - Gastos de Estructura</v>
          </cell>
          <cell r="CC89" t="str">
            <v>Gs_Estru - Gastos de Estructura</v>
          </cell>
          <cell r="CD89" t="str">
            <v>Gs_Estru - Gastos de Estructura</v>
          </cell>
          <cell r="CE89" t="str">
            <v>Gs_Estru - Gastos de Estructura</v>
          </cell>
          <cell r="CF89" t="str">
            <v>Gs_Estru - Gastos de Estructura</v>
          </cell>
          <cell r="CG89" t="str">
            <v>Gs_Estru - Gastos de Estructura</v>
          </cell>
          <cell r="CH89" t="str">
            <v>Gs_Estru - Gastos de Estructura</v>
          </cell>
          <cell r="CI89" t="str">
            <v>Gs_Estru - Gastos de Estructura</v>
          </cell>
          <cell r="CJ89" t="str">
            <v>Gs_Estru - Gastos de Estructura</v>
          </cell>
          <cell r="CK89" t="str">
            <v>Gs_Estru - Gastos de Estructura</v>
          </cell>
          <cell r="CL89" t="str">
            <v>Gs_Estru - Gastos de Estructura</v>
          </cell>
          <cell r="CM89" t="str">
            <v>Gs_Estru - Gastos de Estructura</v>
          </cell>
          <cell r="CN89" t="str">
            <v>LlavDioc</v>
          </cell>
          <cell r="CO89" t="str">
            <v>LlavDioc</v>
          </cell>
          <cell r="CP89" t="str">
            <v>LlavDioc</v>
          </cell>
          <cell r="CQ89" t="str">
            <v>LlavDioc</v>
          </cell>
          <cell r="CR89" t="str">
            <v>LlavDioc</v>
          </cell>
          <cell r="CS89" t="str">
            <v>LlavDioc</v>
          </cell>
          <cell r="CT89" t="str">
            <v>Sin Operación</v>
          </cell>
          <cell r="CU89" t="str">
            <v>SUC_CTC - Sucursal Buenos Aires</v>
          </cell>
          <cell r="CV89" t="str">
            <v>SUC_CTC - Sucursal Buenos Aires</v>
          </cell>
          <cell r="CW89" t="str">
            <v>SUC_CTC - Sucursal Buenos Aires</v>
          </cell>
        </row>
        <row r="90">
          <cell r="D90" t="str">
            <v>AF619YP</v>
          </cell>
          <cell r="E90" t="str">
            <v>Camioneta</v>
          </cell>
          <cell r="F90" t="str">
            <v>Camioneta</v>
          </cell>
          <cell r="G90" t="str">
            <v>Camioneta</v>
          </cell>
          <cell r="N90" t="str">
            <v>TDU</v>
          </cell>
          <cell r="O90" t="str">
            <v>TDU</v>
          </cell>
          <cell r="P90" t="str">
            <v>No</v>
          </cell>
          <cell r="Q90" t="str">
            <v>Propio</v>
          </cell>
          <cell r="R90" t="str">
            <v>-</v>
          </cell>
          <cell r="S90" t="str">
            <v>Propio</v>
          </cell>
          <cell r="T90" t="str">
            <v>PEUGEOT</v>
          </cell>
          <cell r="U90" t="str">
            <v>PARTNER CONFORT 1.6 HDI 92 AM22 -FURGON-</v>
          </cell>
          <cell r="V90" t="str">
            <v>10JBGR0034944</v>
          </cell>
          <cell r="W90" t="str">
            <v>8AEGC9HPAPG522722</v>
          </cell>
          <cell r="X90">
            <v>2022</v>
          </cell>
          <cell r="Y90">
            <v>4</v>
          </cell>
          <cell r="BI90" t="str">
            <v>Expreso - Servicios Troncales</v>
          </cell>
          <cell r="BJ90" t="str">
            <v>Expreso - Servicios Troncales</v>
          </cell>
          <cell r="BK90" t="str">
            <v>Expreso - Servicios Troncales</v>
          </cell>
          <cell r="BL90" t="str">
            <v>Expreso - Servicios Troncales</v>
          </cell>
          <cell r="BM90" t="str">
            <v>Expreso - Servicios Troncales</v>
          </cell>
          <cell r="BN90" t="str">
            <v>Expreso - Servicios Troncales</v>
          </cell>
          <cell r="BO90" t="str">
            <v>Expreso - Servicios Troncales</v>
          </cell>
          <cell r="BP90" t="str">
            <v>Expreso - Servicios Troncales</v>
          </cell>
          <cell r="BQ90" t="str">
            <v>Expreso - Servicios Troncales</v>
          </cell>
          <cell r="BR90" t="str">
            <v>Expreso - Servicios Troncales</v>
          </cell>
          <cell r="BS90" t="str">
            <v>SUC_CTC - Sucursal Buenos Aires</v>
          </cell>
          <cell r="BT90" t="str">
            <v>SUC_CTC - Sucursal Buenos Aires</v>
          </cell>
          <cell r="BU90" t="str">
            <v>SUC_CTC - Sucursal Buenos Aires</v>
          </cell>
          <cell r="BV90" t="str">
            <v>SUC_CTC - Sucursal Buenos Aires</v>
          </cell>
          <cell r="BW90" t="str">
            <v>SUC_CTC - Sucursal Buenos Aires</v>
          </cell>
          <cell r="BX90" t="str">
            <v>SUC_CTC - Sucursal Buenos Aires</v>
          </cell>
          <cell r="BY90" t="str">
            <v>SUC_CTC - Sucursal Buenos Aires</v>
          </cell>
          <cell r="BZ90" t="str">
            <v>SUC_CTC - Sucursal Buenos Aires</v>
          </cell>
          <cell r="CA90" t="str">
            <v>Gs_Estru - Gastos de Estructura</v>
          </cell>
          <cell r="CB90" t="str">
            <v>Gs_Estru - Gastos de Estructura</v>
          </cell>
          <cell r="CC90" t="str">
            <v>Gs_Estru - Gastos de Estructura</v>
          </cell>
          <cell r="CD90" t="str">
            <v>Gs_Estru - Gastos de Estructura</v>
          </cell>
          <cell r="CE90" t="str">
            <v>Gs_Estru - Gastos de Estructura</v>
          </cell>
          <cell r="CF90" t="str">
            <v>Gs_Estru - Gastos de Estructura</v>
          </cell>
          <cell r="CG90" t="str">
            <v>Gs_Estru - Gastos de Estructura</v>
          </cell>
          <cell r="CH90" t="str">
            <v>Gs_Estru - Gastos de Estructura</v>
          </cell>
          <cell r="CI90" t="str">
            <v>Gs_Estru - Gastos de Estructura</v>
          </cell>
          <cell r="CJ90" t="str">
            <v>Gs_Estru - Gastos de Estructura</v>
          </cell>
          <cell r="CK90" t="str">
            <v>Gs_Estru - Gastos de Estructura</v>
          </cell>
          <cell r="CL90" t="str">
            <v>SUC_CTC - Sucursal Buenos Aires</v>
          </cell>
          <cell r="CM90" t="str">
            <v>Gs_Estru - Gastos de Estructura</v>
          </cell>
          <cell r="CN90" t="str">
            <v>LlaveLay</v>
          </cell>
          <cell r="CO90" t="str">
            <v>LlaveLay</v>
          </cell>
          <cell r="CP90" t="str">
            <v>LlaveLay</v>
          </cell>
          <cell r="CQ90" t="str">
            <v>LlaveLay</v>
          </cell>
          <cell r="CR90" t="str">
            <v>LlaveLay</v>
          </cell>
          <cell r="CS90" t="str">
            <v>LlaveLay</v>
          </cell>
          <cell r="CT90" t="str">
            <v>LlaveLay</v>
          </cell>
          <cell r="CU90" t="str">
            <v>LlaveLay</v>
          </cell>
          <cell r="CV90" t="str">
            <v>Sin Operación</v>
          </cell>
          <cell r="CW90" t="str">
            <v>LlaveLay</v>
          </cell>
        </row>
        <row r="91">
          <cell r="D91" t="str">
            <v>AF639HA</v>
          </cell>
          <cell r="E91" t="str">
            <v>Chasis</v>
          </cell>
          <cell r="F91" t="str">
            <v>Chasis</v>
          </cell>
          <cell r="G91" t="str">
            <v>Chasis</v>
          </cell>
          <cell r="N91" t="str">
            <v>TDU</v>
          </cell>
          <cell r="O91" t="str">
            <v>TDU</v>
          </cell>
          <cell r="P91" t="str">
            <v>No</v>
          </cell>
          <cell r="Q91" t="str">
            <v>Propio</v>
          </cell>
          <cell r="R91">
            <v>12</v>
          </cell>
          <cell r="S91" t="str">
            <v>Propio</v>
          </cell>
          <cell r="T91" t="str">
            <v>IVECO</v>
          </cell>
          <cell r="U91" t="str">
            <v>170E28NCM51 EBS</v>
          </cell>
          <cell r="V91" t="str">
            <v>F4AE3681E*8107381</v>
          </cell>
          <cell r="W91" t="str">
            <v>8ATA1RMH0PX120616</v>
          </cell>
          <cell r="X91">
            <v>2022</v>
          </cell>
          <cell r="Y91">
            <v>4</v>
          </cell>
          <cell r="BI91" t="str">
            <v>CMQ_TTE - QUILMES TTE</v>
          </cell>
          <cell r="BJ91" t="str">
            <v>CMQ_TTE - QUILMES TTE</v>
          </cell>
          <cell r="BK91" t="str">
            <v>CMQ_TTE - QUILMES TTE</v>
          </cell>
          <cell r="BL91" t="str">
            <v>CMQ_TTE - QUILMES TTE</v>
          </cell>
          <cell r="BM91" t="str">
            <v>CMQ_TTE - QUILMES TTE</v>
          </cell>
          <cell r="BN91" t="str">
            <v>CMQ_TTE - QUILMES TTE</v>
          </cell>
          <cell r="BO91" t="str">
            <v>CMQ_TTE - QUILMES TTE</v>
          </cell>
          <cell r="BP91" t="str">
            <v>LOGIS</v>
          </cell>
          <cell r="BQ91" t="str">
            <v>CMQ_TTE - QUILMES TTE</v>
          </cell>
          <cell r="BR91" t="str">
            <v>CMQ_TTE - QUILMES TTE</v>
          </cell>
          <cell r="BS91" t="str">
            <v>CMQ_TTE - QUILMES TTE</v>
          </cell>
          <cell r="BT91" t="str">
            <v>CMQ_TTE - QUILMES TTE</v>
          </cell>
          <cell r="BU91" t="str">
            <v>CMQ_TTE - QUILMES TTE</v>
          </cell>
          <cell r="BV91" t="str">
            <v>CMQ_TTE - QUILMES TTE</v>
          </cell>
          <cell r="BW91" t="str">
            <v>CMQ_TTE - QUILMES TTE</v>
          </cell>
          <cell r="BX91" t="str">
            <v>CMQ_TTE - QUILMES TTE</v>
          </cell>
          <cell r="BY91" t="str">
            <v>CMQ_TTE - QUILMES TTE</v>
          </cell>
          <cell r="BZ91" t="str">
            <v>CMQ_TTE - QUILMES TTE</v>
          </cell>
          <cell r="CA91" t="str">
            <v>CMQ_TTE - QUILMES TTE</v>
          </cell>
          <cell r="CB91" t="str">
            <v>CMQ_TTE - QUILMES TTE</v>
          </cell>
          <cell r="CC91" t="str">
            <v>CMQ_TTE - QUILMES TTE</v>
          </cell>
          <cell r="CD91" t="str">
            <v>CMQ_TTE - QUILMES TTE</v>
          </cell>
          <cell r="CE91" t="str">
            <v>CMQ_TTE - QUILMES TTE</v>
          </cell>
          <cell r="CF91" t="str">
            <v>CMQ_TTE - QUILMES TTE</v>
          </cell>
          <cell r="CG91" t="str">
            <v>CMQ_TTE - QUILMES TTE</v>
          </cell>
          <cell r="CH91" t="str">
            <v>CMQ_TTE - QUILMES TTE</v>
          </cell>
          <cell r="CI91" t="str">
            <v>CMQ_TTE - QUILMES TTE</v>
          </cell>
          <cell r="CJ91" t="str">
            <v>CMQ_TTE - QUILMES TTE</v>
          </cell>
          <cell r="CK91" t="str">
            <v>CMQ_TTE - QUILMES TTE</v>
          </cell>
          <cell r="CL91" t="str">
            <v>CMQ_TTE - QUILMES TTE</v>
          </cell>
          <cell r="CM91" t="str">
            <v>CMQ_TTE - QUILMES TTE</v>
          </cell>
          <cell r="CN91" t="str">
            <v>CMQ_TTE - QUILMES TTE</v>
          </cell>
          <cell r="CO91" t="str">
            <v>CMQ_TTE - QUILMES TTE</v>
          </cell>
          <cell r="CP91" t="str">
            <v>CMQ_TTE - QUILMES TTE</v>
          </cell>
          <cell r="CQ91" t="str">
            <v>CMQ_TTE - QUILMES TTE</v>
          </cell>
          <cell r="CR91" t="str">
            <v>CMQ_TTE - QUILMES TTE</v>
          </cell>
          <cell r="CS91" t="str">
            <v>CMQ_TTE - QUILMES TTE</v>
          </cell>
          <cell r="CT91" t="str">
            <v>CMQ_TTE - QUILMES TTE</v>
          </cell>
          <cell r="CU91" t="str">
            <v>CMQ_TTE - QUILMES TTE</v>
          </cell>
          <cell r="CV91" t="str">
            <v>CMQ_TTE - QUILMES TTE</v>
          </cell>
          <cell r="CW91" t="str">
            <v>CMQ_TTE - QUILMES TTE</v>
          </cell>
        </row>
        <row r="92">
          <cell r="D92" t="str">
            <v>AF639HB</v>
          </cell>
          <cell r="E92" t="str">
            <v>Chasis</v>
          </cell>
          <cell r="F92" t="str">
            <v>Chasis</v>
          </cell>
          <cell r="G92" t="str">
            <v>Chasis</v>
          </cell>
          <cell r="N92" t="str">
            <v>TDU</v>
          </cell>
          <cell r="O92" t="str">
            <v>TDU</v>
          </cell>
          <cell r="P92" t="str">
            <v>No</v>
          </cell>
          <cell r="Q92" t="str">
            <v>Propio</v>
          </cell>
          <cell r="R92">
            <v>12</v>
          </cell>
          <cell r="S92" t="str">
            <v>Propio</v>
          </cell>
          <cell r="T92" t="str">
            <v>IVECO</v>
          </cell>
          <cell r="U92" t="str">
            <v>170E28NCM51 EBS</v>
          </cell>
          <cell r="V92" t="str">
            <v>F4AE3681E*8105604</v>
          </cell>
          <cell r="W92" t="str">
            <v>8ATA1RMH0NX117138</v>
          </cell>
          <cell r="X92">
            <v>2022</v>
          </cell>
          <cell r="Y92">
            <v>4</v>
          </cell>
          <cell r="BI92" t="str">
            <v>CMQ_TTE - QUILMES TTE</v>
          </cell>
          <cell r="BJ92" t="str">
            <v>CMQ_TTE - QUILMES TTE</v>
          </cell>
          <cell r="BK92" t="str">
            <v>CMQ_TTE - QUILMES TTE</v>
          </cell>
          <cell r="BL92" t="str">
            <v>CMQ_TTE - QUILMES TTE</v>
          </cell>
          <cell r="BM92" t="str">
            <v>CMQ_TTE - QUILMES TTE</v>
          </cell>
          <cell r="BN92" t="str">
            <v>CMQ_TTE - QUILMES TTE</v>
          </cell>
          <cell r="BO92" t="str">
            <v>CMQ_TTE - QUILMES TTE</v>
          </cell>
          <cell r="BP92" t="str">
            <v>LOGIS</v>
          </cell>
          <cell r="BQ92" t="str">
            <v>CMQ_TTE - QUILMES TTE</v>
          </cell>
          <cell r="BR92" t="str">
            <v>CMQ_TTE - QUILMES TTE</v>
          </cell>
          <cell r="BS92" t="str">
            <v>AGN_TTE - AGUANORT - Transporte</v>
          </cell>
          <cell r="BT92" t="str">
            <v>AGN_TTE - AGUANORT - Transporte</v>
          </cell>
          <cell r="BU92" t="str">
            <v>AGN_TTE - AGUANORT - Transporte</v>
          </cell>
          <cell r="BV92" t="str">
            <v>CMQ_TTE - QUILMES TTE</v>
          </cell>
          <cell r="BW92" t="str">
            <v>CMQ_TTE - QUILMES TTE</v>
          </cell>
          <cell r="BX92" t="str">
            <v>CMQ_TTE - QUILMES TTE</v>
          </cell>
          <cell r="BY92" t="str">
            <v>CMQ_TTE - QUILMES TTE</v>
          </cell>
          <cell r="BZ92" t="str">
            <v>CMQ_TTE - QUILMES TTE</v>
          </cell>
          <cell r="CA92" t="str">
            <v>CMQ_TTE - QUILMES TTE</v>
          </cell>
          <cell r="CB92" t="str">
            <v>CMQ_TTE - QUILMES TTE</v>
          </cell>
          <cell r="CC92" t="str">
            <v>CMQ_TTE - QUILMES TTE</v>
          </cell>
          <cell r="CD92" t="str">
            <v>CMQ_TTE - QUILMES TTE</v>
          </cell>
          <cell r="CE92" t="str">
            <v>CMQ_TTE - QUILMES TTE</v>
          </cell>
          <cell r="CF92" t="str">
            <v>CMQ_TTE - QUILMES TTE</v>
          </cell>
          <cell r="CG92" t="str">
            <v>CMQ_TTE - QUILMES TTE</v>
          </cell>
          <cell r="CH92" t="str">
            <v>CMQ_TTE - QUILMES TTE</v>
          </cell>
          <cell r="CI92" t="str">
            <v>CMQ_TTE - QUILMES TTE</v>
          </cell>
          <cell r="CJ92" t="str">
            <v>CMQ_TTE - QUILMES TTE</v>
          </cell>
          <cell r="CK92" t="str">
            <v>CMQ_TTE - QUILMES TTE</v>
          </cell>
          <cell r="CL92" t="str">
            <v>CMQ_TTE - QUILMES TTE</v>
          </cell>
          <cell r="CM92" t="str">
            <v>CMQ_TTE - QUILMES TTE</v>
          </cell>
          <cell r="CN92" t="str">
            <v>CMQ_TTE - QUILMES TTE</v>
          </cell>
          <cell r="CO92" t="str">
            <v>CMQ_TTE - QUILMES TTE</v>
          </cell>
          <cell r="CP92" t="str">
            <v>CMQ_TTE - QUILMES TTE</v>
          </cell>
          <cell r="CQ92" t="str">
            <v>CMQ_TTE - QUILMES TTE</v>
          </cell>
          <cell r="CR92" t="str">
            <v>CMQ_TTE - QUILMES TTE</v>
          </cell>
          <cell r="CS92" t="str">
            <v>CMQ_TTE - QUILMES TTE</v>
          </cell>
          <cell r="CT92" t="str">
            <v>CMQ_TTE - QUILMES TTE</v>
          </cell>
          <cell r="CU92" t="str">
            <v>CMQ_TTE - QUILMES TTE</v>
          </cell>
          <cell r="CV92" t="str">
            <v>CMQ_TTE - QUILMES TTE</v>
          </cell>
          <cell r="CW92" t="str">
            <v>CMQ_TTE - QUILMES TTE</v>
          </cell>
        </row>
        <row r="93">
          <cell r="D93" t="str">
            <v>AF642OS</v>
          </cell>
          <cell r="E93" t="str">
            <v>CHASIS</v>
          </cell>
          <cell r="F93" t="str">
            <v>Chasis</v>
          </cell>
          <cell r="G93" t="str">
            <v>Chasis</v>
          </cell>
          <cell r="N93" t="str">
            <v>DYLASA</v>
          </cell>
          <cell r="O93" t="str">
            <v>DYLASA</v>
          </cell>
          <cell r="P93" t="str">
            <v>No</v>
          </cell>
          <cell r="Q93" t="str">
            <v>Propio</v>
          </cell>
          <cell r="R93">
            <v>12</v>
          </cell>
          <cell r="S93" t="str">
            <v>Propio</v>
          </cell>
          <cell r="T93" t="str">
            <v>MERCEDES BENZ</v>
          </cell>
          <cell r="U93" t="str">
            <v>ATEGO 1721 48</v>
          </cell>
          <cell r="V93" t="str">
            <v>924989U1391144</v>
          </cell>
          <cell r="W93" t="str">
            <v>8AB958154PA803762</v>
          </cell>
          <cell r="X93">
            <v>2022</v>
          </cell>
          <cell r="Y93">
            <v>4</v>
          </cell>
          <cell r="BH93" t="str">
            <v>ADA_MZA - Danone Arg. S.A. - MZA</v>
          </cell>
          <cell r="BI93" t="str">
            <v>ADA_Mino - Danone Arg. S.A. - Mino</v>
          </cell>
          <cell r="BJ93" t="str">
            <v>ADA_MZA - Danone Arg. S.A. - MZA</v>
          </cell>
          <cell r="BK93" t="str">
            <v>ADA_Mino - Danone Arg. S.A. - Mino</v>
          </cell>
          <cell r="BL93" t="str">
            <v>ADA_Mino - Danone Arg. S.A. - Mino</v>
          </cell>
          <cell r="BM93" t="str">
            <v>ADA_Mino - Danone Arg. S.A. - Mino</v>
          </cell>
          <cell r="BN93" t="str">
            <v>ADA_SMK - Danone Arg. S.A. - SMK</v>
          </cell>
          <cell r="BO93" t="str">
            <v>ADA_SMK - Danone Arg. S.A. - SMK</v>
          </cell>
          <cell r="BP93" t="str">
            <v>ADA_SMK - Danone Arg. S.A. - SMK</v>
          </cell>
          <cell r="BQ93" t="str">
            <v>ADA_SMK - Danone Arg. S.A. - SMK</v>
          </cell>
          <cell r="BR93" t="str">
            <v>ADA_SMK - Danone Arg. S.A. - SMK</v>
          </cell>
          <cell r="BS93" t="str">
            <v>ADA_SMK - Danone Arg. S.A. - SMK</v>
          </cell>
          <cell r="BT93" t="str">
            <v>ADA_SMK - Danone Arg. S.A. - SMK</v>
          </cell>
          <cell r="BU93" t="str">
            <v>CCUDyAZA</v>
          </cell>
          <cell r="BV93" t="str">
            <v>CCUDyAZA</v>
          </cell>
          <cell r="BW93" t="str">
            <v>CCUDyAZA</v>
          </cell>
          <cell r="BX93" t="str">
            <v>CCUDyAZA</v>
          </cell>
          <cell r="BY93" t="str">
            <v>CCUDyAZA</v>
          </cell>
          <cell r="BZ93" t="str">
            <v>CCUDyAZA</v>
          </cell>
          <cell r="CA93" t="str">
            <v>CCUDyAZA</v>
          </cell>
          <cell r="CB93" t="str">
            <v>CCUDyAZA</v>
          </cell>
          <cell r="CC93" t="str">
            <v>CCUDyAZA</v>
          </cell>
          <cell r="CD93" t="str">
            <v>CCUDyAZA</v>
          </cell>
          <cell r="CE93" t="str">
            <v>CCUDyAZA</v>
          </cell>
          <cell r="CF93" t="str">
            <v>CCUDyAZA</v>
          </cell>
          <cell r="CG93" t="str">
            <v>CCUDyAZA</v>
          </cell>
          <cell r="CH93" t="str">
            <v>CCUDyAZA</v>
          </cell>
          <cell r="CI93" t="str">
            <v>CCUDyAZA</v>
          </cell>
          <cell r="CJ93" t="str">
            <v>CCUDyAZA</v>
          </cell>
          <cell r="CK93" t="str">
            <v>CCUDyAZA</v>
          </cell>
          <cell r="CL93" t="str">
            <v>CCUDyAZA</v>
          </cell>
          <cell r="CM93" t="str">
            <v>CCUDyAZA</v>
          </cell>
          <cell r="CN93" t="str">
            <v>CCUDyAZA</v>
          </cell>
          <cell r="CO93" t="str">
            <v>CCUDyAZA</v>
          </cell>
          <cell r="CP93" t="str">
            <v>CCUDyAZA</v>
          </cell>
          <cell r="CQ93" t="str">
            <v>CCUDyAZA</v>
          </cell>
          <cell r="CR93" t="str">
            <v>CCUDyAZA</v>
          </cell>
          <cell r="CS93" t="str">
            <v>CCUDyAZA</v>
          </cell>
          <cell r="CT93" t="str">
            <v>CCUDyAZA</v>
          </cell>
          <cell r="CU93" t="str">
            <v>CCUDyAZA</v>
          </cell>
          <cell r="CV93" t="str">
            <v>CCUDyAZA</v>
          </cell>
          <cell r="CW93" t="str">
            <v>CCUDyAZA</v>
          </cell>
        </row>
        <row r="94">
          <cell r="D94" t="str">
            <v>AG079GA</v>
          </cell>
          <cell r="E94" t="str">
            <v>Chasis</v>
          </cell>
          <cell r="F94" t="str">
            <v>Balancin</v>
          </cell>
          <cell r="G94" t="str">
            <v>Balancin Termico</v>
          </cell>
          <cell r="N94" t="str">
            <v>TDU</v>
          </cell>
          <cell r="O94" t="str">
            <v>TDU</v>
          </cell>
          <cell r="P94" t="str">
            <v>No</v>
          </cell>
          <cell r="Q94" t="str">
            <v>Propio</v>
          </cell>
          <cell r="R94">
            <v>14</v>
          </cell>
          <cell r="S94" t="str">
            <v>Propio</v>
          </cell>
          <cell r="T94" t="str">
            <v>IVECO</v>
          </cell>
          <cell r="U94" t="str">
            <v>TECTOR EVO 170E28N 4815 MLC EBS 170E28NCM51</v>
          </cell>
          <cell r="V94" t="str">
            <v>F4AE3681E*8119261</v>
          </cell>
          <cell r="W94" t="str">
            <v>8ATA1RMH0RX124195</v>
          </cell>
          <cell r="X94">
            <v>2023</v>
          </cell>
          <cell r="Y94">
            <v>3</v>
          </cell>
          <cell r="BR94" t="str">
            <v>Sin Operación</v>
          </cell>
          <cell r="BS94" t="str">
            <v>Sin Operación</v>
          </cell>
          <cell r="BT94" t="str">
            <v>Sin Operación</v>
          </cell>
          <cell r="BU94" t="str">
            <v>Sin Operación</v>
          </cell>
          <cell r="BV94" t="str">
            <v>Arcor S.A.I.C.</v>
          </cell>
          <cell r="BW94" t="str">
            <v>Arcor S.A.I.C.</v>
          </cell>
          <cell r="BX94" t="str">
            <v>Arcor S.A.I.C.</v>
          </cell>
          <cell r="BY94" t="str">
            <v>Arcor S.A.I.C.</v>
          </cell>
          <cell r="BZ94" t="str">
            <v>Arcor S.A.I.C.</v>
          </cell>
          <cell r="CA94" t="str">
            <v>Arcor S.A.I.C.</v>
          </cell>
          <cell r="CB94" t="str">
            <v>Arcor S.A.I.C.</v>
          </cell>
          <cell r="CC94" t="str">
            <v>Arcor S.A.I.C.</v>
          </cell>
          <cell r="CD94" t="str">
            <v>Arcor S.A.I.C.</v>
          </cell>
          <cell r="CE94" t="str">
            <v>Arcor S.A.I.C.</v>
          </cell>
          <cell r="CF94" t="str">
            <v>Arcor S.A.I.C.</v>
          </cell>
          <cell r="CG94" t="str">
            <v>Arcor S.A.I.C.</v>
          </cell>
          <cell r="CH94" t="str">
            <v>Arcor S.A.I.C.</v>
          </cell>
          <cell r="CI94" t="str">
            <v>Arcor S.A.I.C.</v>
          </cell>
          <cell r="CJ94" t="str">
            <v>Arcor S.A.I.C.</v>
          </cell>
          <cell r="CK94" t="str">
            <v>Arcor S.A.I.C.</v>
          </cell>
          <cell r="CL94" t="str">
            <v>Arcor S.A.I.C.</v>
          </cell>
          <cell r="CM94" t="str">
            <v>Arcor S.A.I.C.</v>
          </cell>
          <cell r="CN94" t="str">
            <v>Arcor S.A.I.C.</v>
          </cell>
          <cell r="CO94" t="str">
            <v>Arcor S.A.I.C.</v>
          </cell>
          <cell r="CP94" t="str">
            <v>Arcor S.A.I.C.</v>
          </cell>
          <cell r="CQ94" t="str">
            <v>Arcor S.A.I.C.</v>
          </cell>
          <cell r="CR94" t="str">
            <v>Arcor S.A.I.C.</v>
          </cell>
          <cell r="CS94" t="str">
            <v>Arcor S.A.I.C.</v>
          </cell>
          <cell r="CT94" t="str">
            <v>Arcor S.A.I.C.</v>
          </cell>
          <cell r="CU94" t="str">
            <v>CENCO_MZ - Cencosud SA - Mendoza</v>
          </cell>
          <cell r="CV94" t="str">
            <v>CENCO_MZ - Cencosud SA - Mendoza</v>
          </cell>
          <cell r="CW94" t="str">
            <v>CENCO_MZ - Cencosud SA - Mendoza</v>
          </cell>
        </row>
        <row r="95">
          <cell r="D95" t="str">
            <v>AF642OU</v>
          </cell>
          <cell r="E95" t="str">
            <v>CHASIS</v>
          </cell>
          <cell r="F95" t="str">
            <v>Chasis</v>
          </cell>
          <cell r="G95" t="str">
            <v>Chasis</v>
          </cell>
          <cell r="N95" t="str">
            <v>DYLASA</v>
          </cell>
          <cell r="O95" t="str">
            <v>DYLASA</v>
          </cell>
          <cell r="P95" t="str">
            <v>No</v>
          </cell>
          <cell r="Q95" t="str">
            <v>Propio</v>
          </cell>
          <cell r="R95">
            <v>12</v>
          </cell>
          <cell r="S95" t="str">
            <v>Propio</v>
          </cell>
          <cell r="T95" t="str">
            <v>MERCEDES BENZ</v>
          </cell>
          <cell r="U95" t="str">
            <v>ATEGO 1721 48</v>
          </cell>
          <cell r="V95" t="str">
            <v>924989U1391437</v>
          </cell>
          <cell r="W95" t="str">
            <v>8AB958154PA803779</v>
          </cell>
          <cell r="X95">
            <v>2022</v>
          </cell>
          <cell r="Y95">
            <v>4</v>
          </cell>
          <cell r="BG95" t="str">
            <v>ADA_SMK - Danone Arg. S.A. - SMK</v>
          </cell>
          <cell r="BH95" t="str">
            <v>ADA_Mino - Danone Arg. S.A. - Mino</v>
          </cell>
          <cell r="BI95" t="str">
            <v>ADA_SMK - Danone Arg. S.A. - SMK</v>
          </cell>
          <cell r="BJ95" t="str">
            <v>ADA_Mino - Danone Arg. S.A. - Mino</v>
          </cell>
          <cell r="BK95" t="str">
            <v>ADA_Mino - Danone Arg. S.A. - Mino</v>
          </cell>
          <cell r="BL95" t="str">
            <v>ADA_Mino - Danone Arg. S.A. - Mino</v>
          </cell>
          <cell r="BM95" t="str">
            <v>ADA_Mino - Danone Arg. S.A. - Mino</v>
          </cell>
          <cell r="BN95" t="str">
            <v>ADA_SMK - Danone Arg. S.A. - SMK</v>
          </cell>
          <cell r="BO95" t="str">
            <v>ADA_SMK - Danone Arg. S.A. - SMK</v>
          </cell>
          <cell r="BP95" t="str">
            <v>ADA_SMK - Danone Arg. S.A. - SMK</v>
          </cell>
          <cell r="BQ95" t="str">
            <v>ADA_SMK - Danone Arg. S.A. - SMK</v>
          </cell>
          <cell r="BR95" t="str">
            <v>ADA_SMK - Danone Arg. S.A. - SMK</v>
          </cell>
          <cell r="BS95" t="str">
            <v>ADA_SMK - Danone Arg. S.A. - SMK</v>
          </cell>
          <cell r="BT95" t="str">
            <v>ADA_SMK - Danone Arg. S.A. - SMK</v>
          </cell>
          <cell r="BU95" t="str">
            <v>CCUDyAZA</v>
          </cell>
          <cell r="BV95" t="str">
            <v>CCUDyAZA</v>
          </cell>
          <cell r="BW95" t="str">
            <v>CCUDyAZA</v>
          </cell>
          <cell r="BX95" t="str">
            <v>CCUDyAZA</v>
          </cell>
          <cell r="BY95" t="str">
            <v>CCUDyAZA</v>
          </cell>
          <cell r="BZ95" t="str">
            <v>CCUDyAZA</v>
          </cell>
          <cell r="CA95" t="str">
            <v>CCUDyAZA</v>
          </cell>
          <cell r="CB95" t="str">
            <v>CCUDyAZA</v>
          </cell>
          <cell r="CC95" t="str">
            <v>CCUDyAZA</v>
          </cell>
          <cell r="CD95" t="str">
            <v>CCUDyAZA</v>
          </cell>
          <cell r="CE95" t="str">
            <v>CCUDyAZA</v>
          </cell>
          <cell r="CF95" t="str">
            <v>CCUDyAZA</v>
          </cell>
          <cell r="CG95" t="str">
            <v>CCUDyAZA</v>
          </cell>
          <cell r="CH95" t="str">
            <v>CCUDyAZA</v>
          </cell>
          <cell r="CI95" t="str">
            <v>CCUDyAZA</v>
          </cell>
          <cell r="CJ95" t="str">
            <v>CCUDyAZA</v>
          </cell>
          <cell r="CK95" t="str">
            <v>CCUDyAZA</v>
          </cell>
          <cell r="CL95" t="str">
            <v>CCUDyAZA</v>
          </cell>
          <cell r="CM95" t="str">
            <v>CCUDyAZA</v>
          </cell>
          <cell r="CN95" t="str">
            <v>CCUDyAZA</v>
          </cell>
          <cell r="CO95" t="str">
            <v>CCUDyAZA</v>
          </cell>
          <cell r="CP95" t="str">
            <v>CCUDyAZA</v>
          </cell>
          <cell r="CQ95" t="str">
            <v>CCUDyAZA</v>
          </cell>
          <cell r="CR95" t="str">
            <v>CCUDyAZA</v>
          </cell>
          <cell r="CS95" t="str">
            <v>CCUDyAZA</v>
          </cell>
          <cell r="CT95" t="str">
            <v>CCUDyAZA</v>
          </cell>
          <cell r="CU95" t="str">
            <v>CCUDyAZA</v>
          </cell>
          <cell r="CV95" t="str">
            <v>CCUDyAZA</v>
          </cell>
          <cell r="CW95" t="str">
            <v>CCUDyAZA</v>
          </cell>
        </row>
        <row r="96">
          <cell r="D96" t="str">
            <v>AF653AA</v>
          </cell>
          <cell r="E96" t="str">
            <v>CHASIS</v>
          </cell>
          <cell r="F96" t="str">
            <v>Chasis</v>
          </cell>
          <cell r="G96" t="str">
            <v>Chasis</v>
          </cell>
          <cell r="N96" t="str">
            <v>TDU (PRENDA MB CIA FINANCIERA ARG. SA)</v>
          </cell>
          <cell r="O96" t="str">
            <v>TDU</v>
          </cell>
          <cell r="P96" t="str">
            <v>Sí</v>
          </cell>
          <cell r="Q96" t="str">
            <v>Propio</v>
          </cell>
          <cell r="R96">
            <v>12</v>
          </cell>
          <cell r="S96" t="str">
            <v>Propio</v>
          </cell>
          <cell r="T96" t="str">
            <v>MERCEDES BENZ</v>
          </cell>
          <cell r="U96" t="str">
            <v>ATEGO 1721 48</v>
          </cell>
          <cell r="V96" t="str">
            <v>924989U1388538</v>
          </cell>
          <cell r="W96" t="str">
            <v>8AB958154PA803629</v>
          </cell>
          <cell r="X96">
            <v>2022</v>
          </cell>
          <cell r="Y96">
            <v>4</v>
          </cell>
          <cell r="BJ96" t="str">
            <v>LOGIS</v>
          </cell>
          <cell r="BK96" t="str">
            <v>LOGIS</v>
          </cell>
          <cell r="BL96" t="str">
            <v>LOGIS</v>
          </cell>
          <cell r="BM96" t="str">
            <v>LOGIS</v>
          </cell>
          <cell r="BN96" t="str">
            <v>Papelera - Papelera del Plata S.A.</v>
          </cell>
          <cell r="BO96" t="str">
            <v>Papelera - Papelera del Plata S.A.</v>
          </cell>
          <cell r="BP96" t="str">
            <v>Papelera - Papelera del Plata S.A.</v>
          </cell>
          <cell r="BQ96" t="str">
            <v>Papelera - Papelera del Plata S.A.</v>
          </cell>
          <cell r="BR96" t="str">
            <v>Papelera - Papelera del Plata S.A.</v>
          </cell>
          <cell r="BS96" t="str">
            <v>Papelera - Papelera del Plata S.A.</v>
          </cell>
          <cell r="BT96" t="str">
            <v>Papelera - Papelera del Plata S.A.</v>
          </cell>
          <cell r="BU96" t="str">
            <v>Papelera - Papelera del Plata S.A.</v>
          </cell>
          <cell r="BV96" t="str">
            <v>Papelera - Papelera del Plata S.A.</v>
          </cell>
          <cell r="BW96" t="str">
            <v>Papelera - Papelera del Plata S.A.</v>
          </cell>
          <cell r="BX96" t="str">
            <v>Papelera - Papelera del Plata S.A.</v>
          </cell>
          <cell r="BY96" t="str">
            <v>Papelera - Papelera del Plata S.A.</v>
          </cell>
          <cell r="BZ96" t="str">
            <v>Papelera - Papelera del Plata S.A.</v>
          </cell>
          <cell r="CA96" t="str">
            <v>Papelera - Papelera del Plata S.A.</v>
          </cell>
          <cell r="CB96" t="str">
            <v>Papelera - Papelera del Plata S.A.</v>
          </cell>
          <cell r="CC96" t="str">
            <v>Papelera - Papelera del Plata S.A.</v>
          </cell>
          <cell r="CD96" t="str">
            <v>Papelera - Papelera del Plata S.A.</v>
          </cell>
          <cell r="CE96" t="str">
            <v>Papelera - Papelera del Plata S.A.</v>
          </cell>
          <cell r="CF96" t="str">
            <v>Papelera - Papelera del Plata S.A.</v>
          </cell>
          <cell r="CG96" t="str">
            <v>Papelera - Papelera del Plata S.A.</v>
          </cell>
          <cell r="CH96" t="str">
            <v>Papelera - Papelera del Plata S.A.</v>
          </cell>
          <cell r="CI96" t="str">
            <v>Papelera - Papelera del Plata S.A.</v>
          </cell>
          <cell r="CJ96" t="str">
            <v>Papelera - Papelera del Plata S.A.</v>
          </cell>
          <cell r="CK96" t="str">
            <v>Papelera - Papelera del Plata S.A.</v>
          </cell>
          <cell r="CL96" t="str">
            <v>Papelera - Papelera del Plata S.A.</v>
          </cell>
          <cell r="CM96" t="str">
            <v>Papelera - Papelera del Plata S.A.</v>
          </cell>
          <cell r="CN96" t="str">
            <v>Sin Operación</v>
          </cell>
          <cell r="CO96" t="str">
            <v>Sin Operación</v>
          </cell>
          <cell r="CP96" t="str">
            <v>Sin Operación</v>
          </cell>
          <cell r="CQ96" t="str">
            <v>CMQ_TTE - QUILMES TTE</v>
          </cell>
          <cell r="CR96" t="str">
            <v>CMQ_TTE - QUILMES TTE</v>
          </cell>
          <cell r="CS96" t="str">
            <v>CMQ_TTE - QUILMES TTE</v>
          </cell>
          <cell r="CT96" t="str">
            <v>CMQ_TTE - QUILMES TTE</v>
          </cell>
          <cell r="CU96" t="str">
            <v>CMQ_TTE - QUILMES TTE</v>
          </cell>
          <cell r="CV96" t="str">
            <v>CMQ_TTE - QUILMES TTE</v>
          </cell>
          <cell r="CW96" t="str">
            <v>CMQ_TTE - QUILMES TTE</v>
          </cell>
        </row>
        <row r="97">
          <cell r="D97" t="str">
            <v>AF653AB</v>
          </cell>
          <cell r="E97" t="str">
            <v>CHASIS</v>
          </cell>
          <cell r="F97" t="str">
            <v>Chasis</v>
          </cell>
          <cell r="G97" t="str">
            <v>Chasis</v>
          </cell>
          <cell r="N97" t="str">
            <v>TDU (PRENDA MB CIA FINANCIERA ARG. SA)</v>
          </cell>
          <cell r="O97" t="str">
            <v>TDU</v>
          </cell>
          <cell r="P97" t="str">
            <v>Sí</v>
          </cell>
          <cell r="Q97" t="str">
            <v>Propio</v>
          </cell>
          <cell r="R97">
            <v>12</v>
          </cell>
          <cell r="S97" t="str">
            <v>Propio</v>
          </cell>
          <cell r="T97" t="str">
            <v>MERCEDES BENZ</v>
          </cell>
          <cell r="U97" t="str">
            <v>ATEGO 1721 48</v>
          </cell>
          <cell r="V97" t="str">
            <v>924989U1384022</v>
          </cell>
          <cell r="W97" t="str">
            <v>8AB958154PA803570</v>
          </cell>
          <cell r="X97">
            <v>2022</v>
          </cell>
          <cell r="Y97">
            <v>4</v>
          </cell>
          <cell r="BJ97" t="str">
            <v>LOGIS</v>
          </cell>
          <cell r="BK97" t="str">
            <v>LOGIS</v>
          </cell>
          <cell r="BL97" t="str">
            <v>LOGIS</v>
          </cell>
          <cell r="BM97" t="str">
            <v>LOGIS</v>
          </cell>
          <cell r="BN97" t="str">
            <v>Papelera - Papelera del Plata S.A.</v>
          </cell>
          <cell r="BO97" t="str">
            <v>Papelera - Papelera del Plata S.A.</v>
          </cell>
          <cell r="BP97" t="str">
            <v>Papelera - Papelera del Plata S.A.</v>
          </cell>
          <cell r="BQ97" t="str">
            <v>Papelera - Papelera del Plata S.A.</v>
          </cell>
          <cell r="BR97" t="str">
            <v>Papelera - Papelera del Plata S.A.</v>
          </cell>
          <cell r="BS97" t="str">
            <v>Papelera - Papelera del Plata S.A.</v>
          </cell>
          <cell r="BT97" t="str">
            <v>Papelera - Papelera del Plata S.A.</v>
          </cell>
          <cell r="BU97" t="str">
            <v>Papelera - Papelera del Plata S.A.</v>
          </cell>
          <cell r="BV97" t="str">
            <v>Papelera - Papelera del Plata S.A.</v>
          </cell>
          <cell r="BW97" t="str">
            <v>Papelera - Papelera del Plata S.A.</v>
          </cell>
          <cell r="BX97" t="str">
            <v>Papelera - Papelera del Plata S.A.</v>
          </cell>
          <cell r="BY97" t="str">
            <v>Papelera - Papelera del Plata S.A.</v>
          </cell>
          <cell r="BZ97" t="str">
            <v>Papelera - Papelera del Plata S.A.</v>
          </cell>
          <cell r="CA97" t="str">
            <v>Papelera - Papelera del Plata S.A.</v>
          </cell>
          <cell r="CB97" t="str">
            <v>Papelera - Papelera del Plata S.A.</v>
          </cell>
          <cell r="CC97" t="str">
            <v>Papelera - Papelera del Plata S.A.</v>
          </cell>
          <cell r="CD97" t="str">
            <v>Papelera - Papelera del Plata S.A.</v>
          </cell>
          <cell r="CE97" t="str">
            <v>Papelera - Papelera del Plata S.A.</v>
          </cell>
          <cell r="CF97" t="str">
            <v>Papelera - Papelera del Plata S.A.</v>
          </cell>
          <cell r="CG97" t="str">
            <v>Papelera - Papelera del Plata S.A.</v>
          </cell>
          <cell r="CH97" t="str">
            <v>Papelera - Papelera del Plata S.A.</v>
          </cell>
          <cell r="CI97" t="str">
            <v>Papelera - Papelera del Plata S.A.</v>
          </cell>
          <cell r="CJ97" t="str">
            <v>Papelera - Papelera del Plata S.A.</v>
          </cell>
          <cell r="CK97" t="str">
            <v>Papelera - Papelera del Plata S.A.</v>
          </cell>
          <cell r="CL97" t="str">
            <v>Papelera - Papelera del Plata S.A.</v>
          </cell>
          <cell r="CM97" t="str">
            <v>Papelera - Papelera del Plata S.A.</v>
          </cell>
          <cell r="CN97" t="str">
            <v>Sin Operación</v>
          </cell>
          <cell r="CO97" t="str">
            <v>Sin Operación</v>
          </cell>
          <cell r="CP97" t="str">
            <v>Sin Operación</v>
          </cell>
          <cell r="CQ97" t="str">
            <v>CMQ_TTE - QUILMES TTE</v>
          </cell>
          <cell r="CR97" t="str">
            <v>CMQ_TTE - QUILMES TTE</v>
          </cell>
          <cell r="CS97" t="str">
            <v>CMQ_TTE - QUILMES TTE</v>
          </cell>
          <cell r="CT97" t="str">
            <v>CMQ_TTE - QUILMES TTE</v>
          </cell>
          <cell r="CU97" t="str">
            <v>CMQ_TTE - QUILMES TTE</v>
          </cell>
          <cell r="CV97" t="str">
            <v>CMQ_TTE - QUILMES TTE</v>
          </cell>
          <cell r="CW97" t="str">
            <v>CMQ_TTE - QUILMES TTE</v>
          </cell>
        </row>
        <row r="98">
          <cell r="D98" t="str">
            <v>AF672EU</v>
          </cell>
          <cell r="E98" t="str">
            <v>Tractor</v>
          </cell>
          <cell r="F98" t="str">
            <v>Tractor</v>
          </cell>
          <cell r="G98" t="str">
            <v>Tractor</v>
          </cell>
          <cell r="N98" t="str">
            <v>TDU-Consecionario Besten-Leasing-</v>
          </cell>
          <cell r="O98" t="str">
            <v>TDU</v>
          </cell>
          <cell r="P98" t="str">
            <v>Sí</v>
          </cell>
          <cell r="Q98" t="str">
            <v>Propio</v>
          </cell>
          <cell r="R98" t="str">
            <v>-</v>
          </cell>
          <cell r="S98" t="str">
            <v>Propio</v>
          </cell>
          <cell r="T98" t="str">
            <v>MERCEDES BENZ</v>
          </cell>
          <cell r="U98" t="str">
            <v>ATEGO 1729 S36 CD TE</v>
          </cell>
          <cell r="V98" t="str">
            <v>926994U1391089</v>
          </cell>
          <cell r="W98" t="str">
            <v>8AB958077PA803727</v>
          </cell>
          <cell r="X98">
            <v>2022</v>
          </cell>
          <cell r="Y98">
            <v>4</v>
          </cell>
          <cell r="BI98" t="str">
            <v>CMQ_TTE - QUILMES TTE</v>
          </cell>
          <cell r="BJ98" t="str">
            <v>CMQ_TTE - QUILMES TTE</v>
          </cell>
          <cell r="BK98" t="str">
            <v>CMQ_TTE - QUILMES TTE</v>
          </cell>
          <cell r="BL98" t="str">
            <v>CMQ_TTE - QUILMES TTE</v>
          </cell>
          <cell r="BM98" t="str">
            <v>CMQ_TTE - QUILMES TTE</v>
          </cell>
          <cell r="BN98" t="str">
            <v>CMQ_TTE - QUILMES TTE</v>
          </cell>
          <cell r="BO98" t="str">
            <v>LOGIS</v>
          </cell>
          <cell r="BP98" t="str">
            <v>Arcor S.A.I.C.</v>
          </cell>
          <cell r="BQ98" t="str">
            <v>Arcor S.A.I.C.</v>
          </cell>
          <cell r="BR98" t="str">
            <v>Arcor S.A.I.C.</v>
          </cell>
          <cell r="BS98" t="str">
            <v>Arcor S.A.I.C.</v>
          </cell>
          <cell r="BT98" t="str">
            <v>Arcor S.A.I.C.</v>
          </cell>
          <cell r="BU98" t="str">
            <v>Arcor S.A.I.C.</v>
          </cell>
          <cell r="BV98" t="str">
            <v>Arcor S.A.I.C.</v>
          </cell>
          <cell r="BW98" t="str">
            <v>Arcor S.A.I.C.</v>
          </cell>
          <cell r="BX98" t="str">
            <v>Arcor S.A.I.C.</v>
          </cell>
          <cell r="BY98" t="str">
            <v>Arcor S.A.I.C.</v>
          </cell>
          <cell r="BZ98" t="str">
            <v>Arcor S.A.I.C.</v>
          </cell>
          <cell r="CA98" t="str">
            <v>Arcor S.A.I.C.</v>
          </cell>
          <cell r="CB98" t="str">
            <v>Arcor S.A.I.C.</v>
          </cell>
          <cell r="CC98" t="str">
            <v>Arcor S.A.I.C.</v>
          </cell>
          <cell r="CD98" t="str">
            <v>Arcor S.A.I.C.</v>
          </cell>
          <cell r="CE98" t="str">
            <v>Arcor S.A.I.C.</v>
          </cell>
          <cell r="CF98" t="str">
            <v>Arcor S.A.I.C.</v>
          </cell>
          <cell r="CG98" t="str">
            <v>Arcor S.A.I.C.</v>
          </cell>
          <cell r="CH98" t="str">
            <v>Arcor S.A.I.C.</v>
          </cell>
          <cell r="CI98" t="str">
            <v>Arcor S.A.I.C.</v>
          </cell>
          <cell r="CJ98" t="str">
            <v>Arcor S.A.I.C.</v>
          </cell>
          <cell r="CK98" t="str">
            <v>Arcor S.A.I.C.</v>
          </cell>
          <cell r="CL98" t="str">
            <v>Arcor S.A.I.C.</v>
          </cell>
          <cell r="CM98" t="str">
            <v>Arcor S.A.I.C.</v>
          </cell>
          <cell r="CN98" t="str">
            <v>Arcor S.A.I.C.</v>
          </cell>
          <cell r="CO98" t="str">
            <v>Arcor S.A.I.C.</v>
          </cell>
          <cell r="CP98" t="str">
            <v>Arcor S.A.I.C.</v>
          </cell>
          <cell r="CQ98" t="str">
            <v>Arcor S.A.I.C.</v>
          </cell>
          <cell r="CR98" t="str">
            <v>Arcor S.A.I.C.</v>
          </cell>
          <cell r="CS98" t="str">
            <v>Arcor S.A.I.C.</v>
          </cell>
          <cell r="CT98" t="str">
            <v>Arcor S.A.I.C.</v>
          </cell>
          <cell r="CU98" t="str">
            <v>Arcor S.A.I.C.</v>
          </cell>
          <cell r="CV98" t="str">
            <v>Arcor S.A.I.C.</v>
          </cell>
          <cell r="CW98" t="str">
            <v>Arcor S.A.I.C.</v>
          </cell>
        </row>
        <row r="99">
          <cell r="D99" t="str">
            <v>AF722DM</v>
          </cell>
          <cell r="E99" t="str">
            <v>Chasis</v>
          </cell>
          <cell r="F99" t="str">
            <v>Chasis</v>
          </cell>
          <cell r="G99" t="str">
            <v>Chasis</v>
          </cell>
          <cell r="N99" t="str">
            <v>TDU</v>
          </cell>
          <cell r="O99" t="str">
            <v>TDU</v>
          </cell>
          <cell r="P99" t="str">
            <v>No</v>
          </cell>
          <cell r="Q99" t="str">
            <v>Propio</v>
          </cell>
          <cell r="R99">
            <v>12</v>
          </cell>
          <cell r="S99" t="str">
            <v>Propio</v>
          </cell>
          <cell r="T99" t="str">
            <v>IVECO</v>
          </cell>
          <cell r="U99" t="str">
            <v>170E28 MLC EBS</v>
          </cell>
          <cell r="V99" t="str">
            <v>F4AE3681E*8109774</v>
          </cell>
          <cell r="W99" t="str">
            <v>8ATA1RMH0PX121223</v>
          </cell>
          <cell r="X99">
            <v>2022</v>
          </cell>
          <cell r="Y99">
            <v>4</v>
          </cell>
          <cell r="BJ99" t="str">
            <v>CMQ_TTE - QUILMES TTE</v>
          </cell>
          <cell r="BK99" t="str">
            <v>CMQ_TTE - QUILMES TTE</v>
          </cell>
          <cell r="BL99" t="str">
            <v>CMQ_TTE - QUILMES TTE</v>
          </cell>
          <cell r="BM99" t="str">
            <v>CMQ_TTE - QUILMES TTE</v>
          </cell>
          <cell r="BN99" t="str">
            <v>CMQ_TTE - QUILMES TTE</v>
          </cell>
          <cell r="BO99" t="str">
            <v>CMQ_TTE - QUILMES TTE</v>
          </cell>
          <cell r="BP99" t="str">
            <v>CMQ_TTE - QUILMES TTE</v>
          </cell>
          <cell r="BQ99" t="str">
            <v>Sin Operación</v>
          </cell>
          <cell r="BR99" t="str">
            <v>Sin Operación</v>
          </cell>
          <cell r="BS99" t="str">
            <v>Sin Operación</v>
          </cell>
          <cell r="BT99" t="str">
            <v>Sin Operación</v>
          </cell>
          <cell r="BU99" t="str">
            <v>CMQ_TTE - QUILMES TTE</v>
          </cell>
          <cell r="BV99" t="str">
            <v>CMQ_TTE - QUILMES TTE</v>
          </cell>
          <cell r="BW99" t="str">
            <v>CMQ_TTE - QUILMES TTE</v>
          </cell>
          <cell r="BX99" t="str">
            <v>CMQ_TTE - QUILMES TTE</v>
          </cell>
          <cell r="BY99" t="str">
            <v>CMQ_TTE - QUILMES TTE</v>
          </cell>
          <cell r="BZ99" t="str">
            <v>CMQ_TTE - QUILMES TTE</v>
          </cell>
          <cell r="CA99" t="str">
            <v>CMQ_TTE - QUILMES TTE</v>
          </cell>
          <cell r="CB99" t="str">
            <v>CMQ_TTE - QUILMES TTE</v>
          </cell>
          <cell r="CC99" t="str">
            <v>CMQ_TTE - QUILMES TTE</v>
          </cell>
          <cell r="CD99" t="str">
            <v>CMQ_TTE - QUILMES TTE</v>
          </cell>
          <cell r="CE99" t="str">
            <v>CMQ_TTE - QUILMES TTE</v>
          </cell>
          <cell r="CF99" t="str">
            <v>CMQ_TTE - QUILMES TTE</v>
          </cell>
          <cell r="CG99" t="str">
            <v>CMQ_TTE - QUILMES TTE</v>
          </cell>
          <cell r="CH99" t="str">
            <v>CMQ_TTE - QUILMES TTE</v>
          </cell>
          <cell r="CI99" t="str">
            <v>CMQ_TTE - QUILMES TTE</v>
          </cell>
          <cell r="CJ99" t="str">
            <v>CMQ_TTE - QUILMES TTE</v>
          </cell>
          <cell r="CK99" t="str">
            <v>CMQ_TTE - QUILMES TTE</v>
          </cell>
          <cell r="CL99" t="str">
            <v>CMQ_TTE - QUILMES TTE</v>
          </cell>
          <cell r="CM99" t="str">
            <v>CMQ_TTE - QUILMES TTE</v>
          </cell>
          <cell r="CN99" t="str">
            <v>CMQ_TTE - QUILMES TTE</v>
          </cell>
          <cell r="CO99" t="str">
            <v>CMQ_TTE - QUILMES TTE</v>
          </cell>
          <cell r="CP99" t="str">
            <v>CMQ_TTE - QUILMES TTE</v>
          </cell>
          <cell r="CQ99" t="str">
            <v>CMQ_TTE - QUILMES TTE</v>
          </cell>
          <cell r="CR99" t="str">
            <v>CMQ_TTE - QUILMES TTE</v>
          </cell>
          <cell r="CS99" t="str">
            <v>CMQ_TTE - QUILMES TTE</v>
          </cell>
          <cell r="CT99" t="str">
            <v>CMQ_TTE - QUILMES TTE</v>
          </cell>
          <cell r="CU99" t="str">
            <v>CMQ_TTE - QUILMES TTE</v>
          </cell>
          <cell r="CV99" t="str">
            <v>CMQ_TTE - QUILMES TTE</v>
          </cell>
          <cell r="CW99" t="str">
            <v>CMQ_TTE - QUILMES TTE</v>
          </cell>
        </row>
        <row r="100">
          <cell r="D100" t="str">
            <v>AF722DN</v>
          </cell>
          <cell r="E100" t="str">
            <v>Chasis</v>
          </cell>
          <cell r="F100" t="str">
            <v>Chasis</v>
          </cell>
          <cell r="G100" t="str">
            <v>Chasis</v>
          </cell>
          <cell r="N100" t="str">
            <v>TDU</v>
          </cell>
          <cell r="O100" t="str">
            <v>TDU</v>
          </cell>
          <cell r="P100" t="str">
            <v>No</v>
          </cell>
          <cell r="Q100" t="str">
            <v>Propio</v>
          </cell>
          <cell r="R100">
            <v>12</v>
          </cell>
          <cell r="S100" t="str">
            <v>Propio</v>
          </cell>
          <cell r="T100" t="str">
            <v>IVECO</v>
          </cell>
          <cell r="U100" t="str">
            <v>170E28 MLC EBS</v>
          </cell>
          <cell r="V100" t="str">
            <v>F4A3681E*8109293</v>
          </cell>
          <cell r="W100" t="str">
            <v>8ATA1RMH0PX121225</v>
          </cell>
          <cell r="X100">
            <v>2022</v>
          </cell>
          <cell r="Y100">
            <v>4</v>
          </cell>
          <cell r="BJ100" t="str">
            <v>CMQ_TTE - QUILMES TTE</v>
          </cell>
          <cell r="BK100" t="str">
            <v>CMQ_TTE - QUILMES TTE</v>
          </cell>
          <cell r="BL100" t="str">
            <v>CMQ_TTE - QUILMES TTE</v>
          </cell>
          <cell r="BM100" t="str">
            <v>CMQ_TTE - QUILMES TTE</v>
          </cell>
          <cell r="BN100" t="str">
            <v>Papelera - Papelera del Plata S.A.</v>
          </cell>
          <cell r="BO100" t="str">
            <v>Papelera - Papelera del Plata S.A.</v>
          </cell>
          <cell r="BP100" t="str">
            <v>Papelera - Papelera del Plata S.A.</v>
          </cell>
          <cell r="BQ100" t="str">
            <v>Papelera - Papelera del Plata S.A.</v>
          </cell>
          <cell r="BR100" t="str">
            <v>Papelera - Papelera del Plata S.A.</v>
          </cell>
          <cell r="BS100" t="str">
            <v>Papelera - Papelera del Plata S.A.</v>
          </cell>
          <cell r="BT100" t="str">
            <v>Papelera - Papelera del Plata S.A.</v>
          </cell>
          <cell r="BU100" t="str">
            <v>Papelera - Papelera del Plata S.A.</v>
          </cell>
          <cell r="BV100" t="str">
            <v>Papelera - Papelera del Plata S.A.</v>
          </cell>
          <cell r="BW100" t="str">
            <v>Papelera - Papelera del Plata S.A.</v>
          </cell>
          <cell r="BX100" t="str">
            <v>Papelera - Papelera del Plata S.A.</v>
          </cell>
          <cell r="BY100" t="str">
            <v>Papelera - Papelera del Plata S.A.</v>
          </cell>
          <cell r="BZ100" t="str">
            <v>Papelera - Papelera del Plata S.A.</v>
          </cell>
          <cell r="CA100" t="str">
            <v>Papelera - Papelera del Plata S.A.</v>
          </cell>
          <cell r="CB100" t="str">
            <v>Papelera - Papelera del Plata S.A.</v>
          </cell>
          <cell r="CC100" t="str">
            <v>Papelera - Papelera del Plata S.A.</v>
          </cell>
          <cell r="CD100" t="str">
            <v>Papelera - Papelera del Plata S.A.</v>
          </cell>
          <cell r="CE100" t="str">
            <v>Papelera - Papelera del Plata S.A.</v>
          </cell>
          <cell r="CF100" t="str">
            <v>Papelera - Papelera del Plata S.A.</v>
          </cell>
          <cell r="CG100" t="str">
            <v>Papelera - Papelera del Plata S.A.</v>
          </cell>
          <cell r="CH100" t="str">
            <v>Papelera - Papelera del Plata S.A.</v>
          </cell>
          <cell r="CI100" t="str">
            <v>Papelera - Papelera del Plata S.A.</v>
          </cell>
          <cell r="CJ100" t="str">
            <v>Papelera - Papelera del Plata S.A.</v>
          </cell>
          <cell r="CK100" t="str">
            <v>Papelera - Papelera del Plata S.A.</v>
          </cell>
          <cell r="CL100" t="str">
            <v>Papelera - Papelera del Plata S.A.</v>
          </cell>
          <cell r="CM100" t="str">
            <v>Papelera - Papelera del Plata S.A.</v>
          </cell>
          <cell r="CN100" t="str">
            <v>Sin Operación</v>
          </cell>
          <cell r="CO100" t="str">
            <v>Sin Operación</v>
          </cell>
          <cell r="CP100" t="str">
            <v>Sin Operación</v>
          </cell>
          <cell r="CQ100" t="str">
            <v>CMQ_TTE - QUILMES TTE</v>
          </cell>
          <cell r="CR100" t="str">
            <v>CMQ_TTE - QUILMES TTE</v>
          </cell>
          <cell r="CS100" t="str">
            <v>CMQ_TTE - QUILMES TTE</v>
          </cell>
          <cell r="CT100" t="str">
            <v>CMQ_TTE - QUILMES TTE</v>
          </cell>
          <cell r="CU100" t="str">
            <v>CMQ_TTE - QUILMES TTE</v>
          </cell>
          <cell r="CV100" t="str">
            <v>CMQ_TTE - QUILMES TTE</v>
          </cell>
          <cell r="CW100" t="str">
            <v>CMQ_TTE - QUILMES TTE</v>
          </cell>
        </row>
        <row r="101">
          <cell r="D101" t="str">
            <v>AF737MP</v>
          </cell>
          <cell r="E101" t="str">
            <v>Chasis</v>
          </cell>
          <cell r="F101" t="str">
            <v>Chasis</v>
          </cell>
          <cell r="G101" t="str">
            <v>Chasis</v>
          </cell>
          <cell r="N101" t="str">
            <v>TDU-ARMANDO RIOS-Leasing-</v>
          </cell>
          <cell r="O101" t="str">
            <v>TDU</v>
          </cell>
          <cell r="P101" t="str">
            <v>Sí</v>
          </cell>
          <cell r="Q101" t="str">
            <v>Propio</v>
          </cell>
          <cell r="R101">
            <v>12</v>
          </cell>
          <cell r="S101" t="str">
            <v>Propio</v>
          </cell>
          <cell r="T101" t="str">
            <v>MERCEDES BENZ</v>
          </cell>
          <cell r="U101" t="str">
            <v>ATEGO 1721 48</v>
          </cell>
          <cell r="V101" t="str">
            <v>924898U1392627</v>
          </cell>
          <cell r="W101" t="str">
            <v>8AB958154PA803777</v>
          </cell>
          <cell r="X101">
            <v>2023</v>
          </cell>
          <cell r="Y101">
            <v>3</v>
          </cell>
          <cell r="BL101" t="str">
            <v>LOGIS</v>
          </cell>
          <cell r="BM101" t="str">
            <v>CMQ_TTE - QUILMES TTE</v>
          </cell>
          <cell r="BN101" t="str">
            <v>LOGIS</v>
          </cell>
          <cell r="BO101" t="str">
            <v>CMQ_TTE - QUILMES TTE</v>
          </cell>
          <cell r="BP101" t="str">
            <v>CMQ_TTE - QUILMES TTE</v>
          </cell>
          <cell r="BQ101" t="str">
            <v>Sin Operación</v>
          </cell>
          <cell r="BR101" t="str">
            <v>Sin Operación</v>
          </cell>
          <cell r="BS101" t="str">
            <v>Sin Operación</v>
          </cell>
          <cell r="BT101" t="str">
            <v>Sin Operación</v>
          </cell>
          <cell r="BU101" t="str">
            <v>CMQ_TTE - QUILMES TTE</v>
          </cell>
          <cell r="BV101" t="str">
            <v>CMQ_TTE - QUILMES TTE</v>
          </cell>
          <cell r="BW101" t="str">
            <v>CMQ_TTE - QUILMES TTE</v>
          </cell>
          <cell r="BX101" t="str">
            <v>CMQ_TTE - QUILMES TTE</v>
          </cell>
          <cell r="BY101" t="str">
            <v>CMQ_TTE - QUILMES TTE</v>
          </cell>
          <cell r="BZ101" t="str">
            <v>CMQ_TTE - QUILMES TTE</v>
          </cell>
          <cell r="CA101" t="str">
            <v>CMQ_TTE - QUILMES TTE</v>
          </cell>
          <cell r="CB101" t="str">
            <v>CMQ_TTE - QUILMES TTE</v>
          </cell>
          <cell r="CC101" t="str">
            <v>CMQ_TTE - QUILMES TTE</v>
          </cell>
          <cell r="CD101" t="str">
            <v>CMQ_TTE - QUILMES TTE</v>
          </cell>
          <cell r="CE101" t="str">
            <v>CMQ_TTE - QUILMES TTE</v>
          </cell>
          <cell r="CF101" t="str">
            <v>CMQ_TTE - QUILMES TTE</v>
          </cell>
          <cell r="CG101" t="str">
            <v>CMQ_TTE - QUILMES TTE</v>
          </cell>
          <cell r="CH101" t="str">
            <v>CMQ_TTE - QUILMES TTE</v>
          </cell>
          <cell r="CI101" t="str">
            <v>CMQ_TTE - QUILMES TTE</v>
          </cell>
          <cell r="CJ101" t="str">
            <v>CMQ_TTE - QUILMES TTE</v>
          </cell>
          <cell r="CK101" t="str">
            <v>CMQ_TTE - QUILMES TTE</v>
          </cell>
          <cell r="CL101" t="str">
            <v>CMQ_TTE - QUILMES TTE</v>
          </cell>
          <cell r="CM101" t="str">
            <v>CMQ_TTE - QUILMES TTE</v>
          </cell>
          <cell r="CN101" t="str">
            <v>CMQ_TTE - QUILMES TTE</v>
          </cell>
          <cell r="CO101" t="str">
            <v>CMQ_TTE - QUILMES TTE</v>
          </cell>
          <cell r="CP101" t="str">
            <v>CMQ_TTE - QUILMES TTE</v>
          </cell>
          <cell r="CQ101" t="str">
            <v>CMQ_TTE - QUILMES TTE</v>
          </cell>
          <cell r="CR101" t="str">
            <v>CMQ_TTE - QUILMES TTE</v>
          </cell>
          <cell r="CS101" t="str">
            <v>CMQ_TTE - QUILMES TTE</v>
          </cell>
          <cell r="CT101" t="str">
            <v>CMQ_TTE - QUILMES TTE</v>
          </cell>
          <cell r="CU101" t="str">
            <v>CMQ_TTE - QUILMES TTE</v>
          </cell>
          <cell r="CV101" t="str">
            <v>CMQ_TTE - QUILMES TTE</v>
          </cell>
          <cell r="CW101" t="str">
            <v>CMQ_TTE - QUILMES TTE</v>
          </cell>
        </row>
        <row r="102">
          <cell r="D102" t="str">
            <v>AF737MQ</v>
          </cell>
          <cell r="E102" t="str">
            <v>Chasis</v>
          </cell>
          <cell r="F102" t="str">
            <v>Chasis</v>
          </cell>
          <cell r="G102" t="str">
            <v>Chasis</v>
          </cell>
          <cell r="N102" t="str">
            <v>TDU-ARMANDO RIOS-Leasing-</v>
          </cell>
          <cell r="O102" t="str">
            <v>TDU</v>
          </cell>
          <cell r="P102" t="str">
            <v>Sí</v>
          </cell>
          <cell r="Q102" t="str">
            <v>Propio</v>
          </cell>
          <cell r="R102">
            <v>12</v>
          </cell>
          <cell r="S102" t="str">
            <v>Propio</v>
          </cell>
          <cell r="T102" t="str">
            <v>MERCEDES BENZ</v>
          </cell>
          <cell r="U102" t="str">
            <v>ATEGO 1721 48</v>
          </cell>
          <cell r="V102" t="str">
            <v>924989U1403083</v>
          </cell>
          <cell r="W102" t="str">
            <v>8AB958154PA803980</v>
          </cell>
          <cell r="X102">
            <v>2023</v>
          </cell>
          <cell r="Y102">
            <v>3</v>
          </cell>
          <cell r="BL102" t="str">
            <v>LOGIS</v>
          </cell>
          <cell r="BM102" t="str">
            <v>CMQ_TTE - QUILMES TTE</v>
          </cell>
          <cell r="BN102" t="str">
            <v>LOGIS</v>
          </cell>
          <cell r="BO102" t="str">
            <v>CMQ_TTE - QUILMES TTE</v>
          </cell>
          <cell r="BP102" t="str">
            <v>CMQ_TTE - QUILMES TTE</v>
          </cell>
          <cell r="BQ102" t="str">
            <v>Sin Operación</v>
          </cell>
          <cell r="BR102" t="str">
            <v>Sin Operación</v>
          </cell>
          <cell r="BS102" t="str">
            <v>Sin Operación</v>
          </cell>
          <cell r="BT102" t="str">
            <v>Sin Operación</v>
          </cell>
          <cell r="BU102" t="str">
            <v>CMQ_TTE - QUILMES TTE</v>
          </cell>
          <cell r="BV102" t="str">
            <v>CMQ_TTE - QUILMES TTE</v>
          </cell>
          <cell r="BW102" t="str">
            <v>CMQ_TTE - QUILMES TTE</v>
          </cell>
          <cell r="BX102" t="str">
            <v>CMQ_TTE - QUILMES TTE</v>
          </cell>
          <cell r="BY102" t="str">
            <v>CMQ_TTE - QUILMES TTE</v>
          </cell>
          <cell r="BZ102" t="str">
            <v>CMQ_TTE - QUILMES TTE</v>
          </cell>
          <cell r="CA102" t="str">
            <v>CMQ_TTE - QUILMES TTE</v>
          </cell>
          <cell r="CB102" t="str">
            <v>CMQ_TTE - QUILMES TTE</v>
          </cell>
          <cell r="CC102" t="str">
            <v>CMQ_TTE - QUILMES TTE</v>
          </cell>
          <cell r="CD102" t="str">
            <v>CMQ_TTE - QUILMES TTE</v>
          </cell>
          <cell r="CE102" t="str">
            <v>CMQ_TTE - QUILMES TTE</v>
          </cell>
          <cell r="CF102" t="str">
            <v>CMQ_TTE - QUILMES TTE</v>
          </cell>
          <cell r="CG102" t="str">
            <v>CMQ_TTE - QUILMES TTE</v>
          </cell>
          <cell r="CH102" t="str">
            <v>CMQ_TTE - QUILMES TTE</v>
          </cell>
          <cell r="CI102" t="str">
            <v>CMQ_TTE - QUILMES TTE</v>
          </cell>
          <cell r="CJ102" t="str">
            <v>CMQ_TTE - QUILMES TTE</v>
          </cell>
          <cell r="CK102" t="str">
            <v>CMQ_TTE - QUILMES TTE</v>
          </cell>
          <cell r="CL102" t="str">
            <v>CMQ_TTE - QUILMES TTE</v>
          </cell>
          <cell r="CM102" t="str">
            <v>CMQ_TTE - QUILMES TTE</v>
          </cell>
          <cell r="CN102" t="str">
            <v>CMQ_TTE - QUILMES TTE</v>
          </cell>
          <cell r="CO102" t="str">
            <v>CMQ_TTE - QUILMES TTE</v>
          </cell>
          <cell r="CP102" t="str">
            <v>CMQ_TTE - QUILMES TTE</v>
          </cell>
          <cell r="CQ102" t="str">
            <v>CMQ_TTE - QUILMES TTE</v>
          </cell>
          <cell r="CR102" t="str">
            <v>CMQ_TTE - QUILMES TTE</v>
          </cell>
          <cell r="CS102" t="str">
            <v>CMQ_TTE - QUILMES TTE</v>
          </cell>
          <cell r="CT102" t="str">
            <v>CMQ_TTE - QUILMES TTE</v>
          </cell>
          <cell r="CU102" t="str">
            <v>CMQ_TTE - QUILMES TTE</v>
          </cell>
          <cell r="CV102" t="str">
            <v>CMQ_TTE - QUILMES TTE</v>
          </cell>
          <cell r="CW102" t="str">
            <v>CMQ_TTE - QUILMES TTE</v>
          </cell>
        </row>
        <row r="103">
          <cell r="D103" t="str">
            <v>AF743LB</v>
          </cell>
          <cell r="E103" t="str">
            <v>Tractor</v>
          </cell>
          <cell r="F103" t="str">
            <v>Tractor</v>
          </cell>
          <cell r="G103" t="str">
            <v>Tractor</v>
          </cell>
          <cell r="N103" t="str">
            <v>TDU-Consecionario Besten-Leasing-</v>
          </cell>
          <cell r="O103" t="str">
            <v>TDU</v>
          </cell>
          <cell r="P103" t="str">
            <v>Sí</v>
          </cell>
          <cell r="Q103" t="str">
            <v>Propio</v>
          </cell>
          <cell r="R103" t="str">
            <v>-</v>
          </cell>
          <cell r="S103" t="str">
            <v>Propio</v>
          </cell>
          <cell r="T103" t="str">
            <v>MERCEDES BENZ</v>
          </cell>
          <cell r="U103" t="str">
            <v>ATEGO 1729 S36 CD TE</v>
          </cell>
          <cell r="V103" t="str">
            <v>926994U1402048</v>
          </cell>
          <cell r="W103" t="str">
            <v>8AB958077PA803974</v>
          </cell>
          <cell r="X103">
            <v>2022</v>
          </cell>
          <cell r="Y103">
            <v>4</v>
          </cell>
          <cell r="BJ103" t="str">
            <v>ADA_CH - Danone Arg. S.A. - Chascomus</v>
          </cell>
          <cell r="BK103" t="str">
            <v>ADA_CH - Danone Arg. S.A. - Chascomus</v>
          </cell>
          <cell r="BL103" t="str">
            <v>ADA_CH - Danone Arg. S.A. - Chascomus</v>
          </cell>
          <cell r="BM103" t="str">
            <v>ADA_CH - Danone Arg. S.A. - Chascomus</v>
          </cell>
          <cell r="BN103" t="str">
            <v>ADA_CH - Danone Arg. S.A. - Chascomus</v>
          </cell>
          <cell r="BO103" t="str">
            <v>ADA_CH - Danone Arg. S.A. - Chascomus</v>
          </cell>
          <cell r="BP103" t="str">
            <v>ADA_CH - Danone Arg. S.A. - Chascomus</v>
          </cell>
          <cell r="BQ103" t="str">
            <v>ADA_CH - Danone Arg. S.A. - Chascomus</v>
          </cell>
          <cell r="BR103" t="str">
            <v>ADA_CH - Danone Arg. S.A. - Chascomus</v>
          </cell>
          <cell r="BS103" t="str">
            <v>ADA_CH - Danone Arg. S.A. - Chascomus</v>
          </cell>
          <cell r="BT103" t="str">
            <v>ADA_CH - Danone Arg. S.A. - Chascomus</v>
          </cell>
          <cell r="BU103" t="str">
            <v>ADA_CH - Danone Arg. S.A. - Chascomus</v>
          </cell>
          <cell r="BV103" t="str">
            <v>ADA_CH - Danone Arg. S.A. - Chascomus</v>
          </cell>
          <cell r="BW103" t="str">
            <v>ADA_CH - Danone Arg. S.A. - Chascomus</v>
          </cell>
          <cell r="BX103" t="str">
            <v>ADA_CH - Danone Arg. S.A. - Chascomus</v>
          </cell>
          <cell r="BY103" t="str">
            <v>ADA_CH - Danone Arg. S.A. - Chascomus</v>
          </cell>
          <cell r="BZ103" t="str">
            <v>ADA_CH - Danone Arg. S.A. - Chascomus</v>
          </cell>
          <cell r="CA103" t="str">
            <v>ADA_CH - Danone Arg. S.A. - Chascomus</v>
          </cell>
          <cell r="CB103" t="str">
            <v>ADA_CH - Danone Arg. S.A. - Chascomus</v>
          </cell>
          <cell r="CC103" t="str">
            <v>ADA_CH - Danone Arg. S.A. - Chascomus</v>
          </cell>
          <cell r="CD103" t="str">
            <v>ADA_CH - Danone Arg. S.A. - Chascomus</v>
          </cell>
          <cell r="CE103" t="str">
            <v>ADA_CH - Danone Arg. S.A. - Chascomus</v>
          </cell>
          <cell r="CF103" t="str">
            <v>ADA_CH - Danone Arg. S.A. - Chascomus</v>
          </cell>
          <cell r="CG103" t="str">
            <v>ADA_CH - Danone Arg. S.A. - Chascomus</v>
          </cell>
          <cell r="CH103" t="str">
            <v>ADA_CH - Danone Arg. S.A. - Chascomus</v>
          </cell>
          <cell r="CI103" t="str">
            <v>ADA_CH - Danone Arg. S.A. - Chascomus</v>
          </cell>
          <cell r="CJ103" t="str">
            <v>ADA_CH - Danone Arg. S.A. - Chascomus</v>
          </cell>
          <cell r="CK103" t="str">
            <v>ADA_CH - Danone Arg. S.A. - Chascomus</v>
          </cell>
          <cell r="CL103" t="str">
            <v>ADA_CH - Danone Arg. S.A. - Chascomus</v>
          </cell>
          <cell r="CM103" t="str">
            <v>ADA_CH - Danone Arg. S.A. - Chascomus</v>
          </cell>
          <cell r="CN103" t="str">
            <v>ADA_CH - Danone Arg. S.A. - Chascomus</v>
          </cell>
          <cell r="CO103" t="str">
            <v>ADA_CH - Danone Arg. S.A. - Chascomus</v>
          </cell>
          <cell r="CP103" t="str">
            <v>ADA_CH - Danone Arg. S.A. - Chascomus</v>
          </cell>
          <cell r="CQ103" t="str">
            <v>ADA_CH - Danone Arg. S.A. - Chascomus</v>
          </cell>
          <cell r="CR103" t="str">
            <v>ADA_CH - Danone Arg. S.A. - Chascomus</v>
          </cell>
          <cell r="CS103" t="str">
            <v>ADA_CH - Danone Arg. S.A. - Chascomus</v>
          </cell>
          <cell r="CT103" t="str">
            <v>ADA_CH - Danone Arg. S.A. - Chascomus</v>
          </cell>
          <cell r="CU103" t="str">
            <v>ADA_CH - Danone Arg. S.A. - Chascomus</v>
          </cell>
          <cell r="CV103" t="str">
            <v>ADA_CH - Danone Arg. S.A. - Chascomus</v>
          </cell>
          <cell r="CW103" t="str">
            <v>ADA_CH - Danone Arg. S.A. - Chascomus</v>
          </cell>
        </row>
        <row r="104">
          <cell r="D104" t="str">
            <v>AF746ED</v>
          </cell>
          <cell r="E104" t="str">
            <v>Chasis</v>
          </cell>
          <cell r="F104" t="str">
            <v>Balancin</v>
          </cell>
          <cell r="G104" t="str">
            <v>Balancin</v>
          </cell>
          <cell r="N104" t="str">
            <v>TDU</v>
          </cell>
          <cell r="O104" t="str">
            <v>TDU</v>
          </cell>
          <cell r="P104" t="str">
            <v>No</v>
          </cell>
          <cell r="Q104" t="str">
            <v>Propio</v>
          </cell>
          <cell r="R104">
            <v>16</v>
          </cell>
          <cell r="S104" t="str">
            <v>Propio</v>
          </cell>
          <cell r="T104" t="str">
            <v>IVECO</v>
          </cell>
          <cell r="U104" t="str">
            <v>170E28NCM22 SIN EBS</v>
          </cell>
          <cell r="V104" t="str">
            <v>F4AE3681E*8108330</v>
          </cell>
          <cell r="W104" t="str">
            <v>8ATA1PMH0PX122187</v>
          </cell>
          <cell r="X104">
            <v>2023</v>
          </cell>
          <cell r="Y104">
            <v>3</v>
          </cell>
          <cell r="BL104" t="str">
            <v>CMQ_TTE - QUILMES TTE</v>
          </cell>
          <cell r="BM104" t="str">
            <v>CMQ_TTE - QUILMES TTE</v>
          </cell>
          <cell r="BN104" t="str">
            <v>CMQ_TTE - QUILMES TTE</v>
          </cell>
          <cell r="BO104" t="str">
            <v>CMQ_TTE - QUILMES TTE</v>
          </cell>
          <cell r="BP104" t="str">
            <v>CMQ_TTE - QUILMES TTE</v>
          </cell>
          <cell r="BQ104" t="str">
            <v>CMQ_TTE - QUILMES TTE</v>
          </cell>
          <cell r="BR104" t="str">
            <v>CMQ_TTE - QUILMES TTE</v>
          </cell>
          <cell r="BS104" t="str">
            <v>CMQ_TTE - QUILMES TTE</v>
          </cell>
          <cell r="BT104" t="str">
            <v>CMQ_TTE - QUILMES TTE</v>
          </cell>
          <cell r="BU104" t="str">
            <v>CMQ_TTE - QUILMES TTE</v>
          </cell>
          <cell r="BV104" t="str">
            <v>CMQ_TTE - QUILMES TTE</v>
          </cell>
          <cell r="BW104" t="str">
            <v>CMQ_TTE - QUILMES TTE</v>
          </cell>
          <cell r="BX104" t="str">
            <v>CMQ_TTE - QUILMES TTE</v>
          </cell>
          <cell r="BY104" t="str">
            <v>CMQ_TTE - QUILMES TTE</v>
          </cell>
          <cell r="BZ104" t="str">
            <v>CMQ_TTE - QUILMES TTE</v>
          </cell>
          <cell r="CA104" t="str">
            <v>CMQ_TTE - QUILMES TTE</v>
          </cell>
          <cell r="CB104" t="str">
            <v>CMQ_TTE - QUILMES TTE</v>
          </cell>
          <cell r="CC104" t="str">
            <v>CMQ_TTE - QUILMES TTE</v>
          </cell>
          <cell r="CD104" t="str">
            <v>CMQ_TTE - QUILMES TTE</v>
          </cell>
          <cell r="CE104" t="str">
            <v>CMQ_TTE - QUILMES TTE</v>
          </cell>
          <cell r="CF104" t="str">
            <v>CMQ_TTE - QUILMES TTE</v>
          </cell>
          <cell r="CG104" t="str">
            <v>CMQ_TTE - QUILMES TTE</v>
          </cell>
          <cell r="CH104" t="str">
            <v>CMQ_TTE - QUILMES TTE</v>
          </cell>
          <cell r="CI104" t="str">
            <v>CMQ_TTE - QUILMES TTE</v>
          </cell>
          <cell r="CJ104" t="str">
            <v>CMQ_TTE - QUILMES TTE</v>
          </cell>
          <cell r="CK104" t="str">
            <v>CMQ_TTE - QUILMES TTE</v>
          </cell>
          <cell r="CL104" t="str">
            <v>CMQ_TTE - QUILMES TTE</v>
          </cell>
          <cell r="CM104" t="str">
            <v>CMQ_TTE - QUILMES TTE</v>
          </cell>
          <cell r="CN104" t="str">
            <v>CMQ_TTE - QUILMES TTE</v>
          </cell>
          <cell r="CO104" t="str">
            <v>CMQ_TTE - QUILMES TTE</v>
          </cell>
          <cell r="CP104" t="str">
            <v>CMQ_TTE - QUILMES TTE</v>
          </cell>
          <cell r="CQ104" t="str">
            <v>CMQ_TTE - QUILMES TTE</v>
          </cell>
          <cell r="CR104" t="str">
            <v>CMQ_TTE - QUILMES TTE</v>
          </cell>
          <cell r="CS104" t="str">
            <v>CMQ_TTE - QUILMES TTE</v>
          </cell>
          <cell r="CT104" t="str">
            <v>CMQ_TTE - QUILMES TTE</v>
          </cell>
          <cell r="CU104" t="str">
            <v>CMQ_TTE - QUILMES TTE</v>
          </cell>
          <cell r="CV104" t="str">
            <v>CMQ_TTE - QUILMES TTE</v>
          </cell>
          <cell r="CW104" t="str">
            <v>CMQ_TTE - QUILMES TTE</v>
          </cell>
        </row>
        <row r="105">
          <cell r="D105" t="str">
            <v>AF746EM</v>
          </cell>
          <cell r="E105" t="str">
            <v>Tractor</v>
          </cell>
          <cell r="F105" t="str">
            <v>Tractor</v>
          </cell>
          <cell r="G105" t="str">
            <v>Tractor</v>
          </cell>
          <cell r="N105" t="str">
            <v>TDU</v>
          </cell>
          <cell r="O105" t="str">
            <v>TDU</v>
          </cell>
          <cell r="P105" t="str">
            <v>No</v>
          </cell>
          <cell r="Q105" t="str">
            <v>Propio</v>
          </cell>
          <cell r="R105" t="str">
            <v>-</v>
          </cell>
          <cell r="S105" t="str">
            <v>Propio</v>
          </cell>
          <cell r="T105" t="str">
            <v>IVECO</v>
          </cell>
          <cell r="U105" t="str">
            <v>170E30TLA22 EBS</v>
          </cell>
          <cell r="V105" t="str">
            <v>F4HE3681E*8111523</v>
          </cell>
          <cell r="W105" t="str">
            <v>8ATM11PMZPX121770</v>
          </cell>
          <cell r="X105">
            <v>2023</v>
          </cell>
          <cell r="Y105">
            <v>3</v>
          </cell>
          <cell r="BL105" t="str">
            <v>CMQ_TTE - QUILMES TTE</v>
          </cell>
          <cell r="BM105" t="str">
            <v>CMQ_TTE - QUILMES TTE</v>
          </cell>
          <cell r="BN105" t="str">
            <v>CMQ_TTE - QUILMES TTE</v>
          </cell>
          <cell r="BO105" t="str">
            <v>CMQ_TTE - QUILMES TTE</v>
          </cell>
          <cell r="BP105" t="str">
            <v>CMQ_TTE - QUILMES TTE</v>
          </cell>
          <cell r="BQ105" t="str">
            <v>CMQ_TTE - QUILMES TTE</v>
          </cell>
          <cell r="BR105" t="str">
            <v>CMQ_TTE - QUILMES TTE</v>
          </cell>
          <cell r="BS105" t="str">
            <v>CMQ_TTE - QUILMES TTE</v>
          </cell>
          <cell r="BT105" t="str">
            <v>CMQ_TTE - QUILMES TTE</v>
          </cell>
          <cell r="BU105" t="str">
            <v>CMQ_TTE - QUILMES TTE</v>
          </cell>
          <cell r="BV105" t="str">
            <v>CMQ_TTE - QUILMES TTE</v>
          </cell>
          <cell r="BW105" t="str">
            <v>CMQ_TTE - QUILMES TTE</v>
          </cell>
          <cell r="BX105" t="str">
            <v>CMQ_TTE - QUILMES TTE</v>
          </cell>
          <cell r="BY105" t="str">
            <v>CMQ_TTE - QUILMES TTE</v>
          </cell>
          <cell r="BZ105" t="str">
            <v>CMQ_TTE - QUILMES TTE</v>
          </cell>
          <cell r="CA105" t="str">
            <v>CMQ_TTE - QUILMES TTE</v>
          </cell>
          <cell r="CB105" t="str">
            <v>CMQ_TTE - QUILMES TTE</v>
          </cell>
          <cell r="CC105" t="str">
            <v>CMQ_TTE - QUILMES TTE</v>
          </cell>
          <cell r="CD105" t="str">
            <v>CMQ_TTE - QUILMES TTE</v>
          </cell>
          <cell r="CE105" t="str">
            <v>CMQ_TTE - QUILMES TTE</v>
          </cell>
          <cell r="CF105" t="str">
            <v>CMQ_TTE - QUILMES TTE</v>
          </cell>
          <cell r="CG105" t="str">
            <v>CMQ_TTE - QUILMES TTE</v>
          </cell>
          <cell r="CH105" t="str">
            <v>CMQ_TTE - QUILMES TTE</v>
          </cell>
          <cell r="CI105" t="str">
            <v>CMQ_TTE - QUILMES TTE</v>
          </cell>
          <cell r="CJ105" t="str">
            <v>CMQ_TTE - QUILMES TTE</v>
          </cell>
          <cell r="CK105" t="str">
            <v>CMQ_TTE - QUILMES TTE</v>
          </cell>
          <cell r="CL105" t="str">
            <v>CMQ_TTE - QUILMES TTE</v>
          </cell>
          <cell r="CM105" t="str">
            <v>CMQ_TTE - QUILMES TTE</v>
          </cell>
          <cell r="CN105" t="str">
            <v>CMQ_TTE - QUILMES TTE</v>
          </cell>
          <cell r="CO105" t="str">
            <v>CMQ_TTE - QUILMES TTE</v>
          </cell>
          <cell r="CP105" t="str">
            <v>CMQ_TTE - QUILMES TTE</v>
          </cell>
          <cell r="CQ105" t="str">
            <v>CMQ_TTE - QUILMES TTE</v>
          </cell>
          <cell r="CR105" t="str">
            <v>CMQ_TTE - QUILMES TTE</v>
          </cell>
          <cell r="CS105" t="str">
            <v>CMQ_TTE - QUILMES TTE</v>
          </cell>
          <cell r="CT105" t="str">
            <v>CMQ_TTE - QUILMES TTE</v>
          </cell>
          <cell r="CU105" t="str">
            <v>CMQ_TTE - QUILMES TTE</v>
          </cell>
          <cell r="CV105" t="str">
            <v>CMQ_TTE - QUILMES TTE</v>
          </cell>
          <cell r="CW105" t="str">
            <v>CMQ_TTE - QUILMES TTE</v>
          </cell>
        </row>
        <row r="106">
          <cell r="D106" t="str">
            <v>AF746EN</v>
          </cell>
          <cell r="E106" t="str">
            <v>Chasis</v>
          </cell>
          <cell r="F106" t="str">
            <v>Chasis</v>
          </cell>
          <cell r="G106" t="str">
            <v>Chasis</v>
          </cell>
          <cell r="N106" t="str">
            <v>TDU</v>
          </cell>
          <cell r="O106" t="str">
            <v>TDU</v>
          </cell>
          <cell r="P106" t="str">
            <v>No</v>
          </cell>
          <cell r="Q106" t="str">
            <v>Propio</v>
          </cell>
          <cell r="R106">
            <v>12</v>
          </cell>
          <cell r="S106" t="str">
            <v>Propio</v>
          </cell>
          <cell r="T106" t="str">
            <v>IVECO</v>
          </cell>
          <cell r="U106" t="str">
            <v>170E28 MLC (4185) EBS</v>
          </cell>
          <cell r="V106" t="str">
            <v>F4AE3681E*8111481</v>
          </cell>
          <cell r="W106" t="str">
            <v>8ATA1RMH0PX121622</v>
          </cell>
          <cell r="X106">
            <v>2023</v>
          </cell>
          <cell r="Y106">
            <v>3</v>
          </cell>
          <cell r="BL106" t="str">
            <v>CMQ_TTE - QUILMES TTE</v>
          </cell>
          <cell r="BM106" t="str">
            <v>CMQ_TTE - QUILMES TTE</v>
          </cell>
          <cell r="BN106" t="str">
            <v>CMQ_TTE - QUILMES TTE</v>
          </cell>
          <cell r="BO106" t="str">
            <v>CMQ_TTE - QUILMES TTE</v>
          </cell>
          <cell r="BP106" t="str">
            <v>CMQ_TTE - QUILMES TTE</v>
          </cell>
          <cell r="BQ106" t="str">
            <v>Sin Operación</v>
          </cell>
          <cell r="BR106" t="str">
            <v>Sin Operación</v>
          </cell>
          <cell r="BS106" t="str">
            <v>Sin Operación</v>
          </cell>
          <cell r="BT106" t="str">
            <v>Sin Operación</v>
          </cell>
          <cell r="BU106" t="str">
            <v>Sin Operación</v>
          </cell>
          <cell r="BV106" t="str">
            <v>CMQ_TTE - QUILMES TTE</v>
          </cell>
          <cell r="BW106" t="str">
            <v>CMQ_TTE - QUILMES TTE</v>
          </cell>
          <cell r="BX106" t="str">
            <v>CMQ_TTE - QUILMES TTE</v>
          </cell>
          <cell r="BY106" t="str">
            <v>CMQ_TTE - QUILMES TTE</v>
          </cell>
          <cell r="BZ106" t="str">
            <v>CMQ_TTE - QUILMES TTE</v>
          </cell>
          <cell r="CA106" t="str">
            <v>CMQ_TTE - QUILMES TTE</v>
          </cell>
          <cell r="CB106" t="str">
            <v>CMQ_TTE - QUILMES TTE</v>
          </cell>
          <cell r="CC106" t="str">
            <v>CMQ_TTE - QUILMES TTE</v>
          </cell>
          <cell r="CD106" t="str">
            <v>CMQ_TTE - QUILMES TTE</v>
          </cell>
          <cell r="CE106" t="str">
            <v>CMQ_TTE - QUILMES TTE</v>
          </cell>
          <cell r="CF106" t="str">
            <v>CMQ_TTE - QUILMES TTE</v>
          </cell>
          <cell r="CG106" t="str">
            <v>CMQ_TTE - QUILMES TTE</v>
          </cell>
          <cell r="CH106" t="str">
            <v>CMQ_TTE - QUILMES TTE</v>
          </cell>
          <cell r="CI106" t="str">
            <v>CMQ_TTE - QUILMES TTE</v>
          </cell>
          <cell r="CJ106" t="str">
            <v>CMQ_TTE - QUILMES TTE</v>
          </cell>
          <cell r="CK106" t="str">
            <v>CMQ_TTE - QUILMES TTE</v>
          </cell>
          <cell r="CL106" t="str">
            <v>CMQ_TTE - QUILMES TTE</v>
          </cell>
          <cell r="CM106" t="str">
            <v>CMQ_TTE - QUILMES TTE</v>
          </cell>
          <cell r="CN106" t="str">
            <v>CMQ_TTE - QUILMES TTE</v>
          </cell>
          <cell r="CO106" t="str">
            <v>CMQ_TTE - QUILMES TTE</v>
          </cell>
          <cell r="CP106" t="str">
            <v>CMQ_TTE - QUILMES TTE</v>
          </cell>
          <cell r="CQ106" t="str">
            <v>CMQ_TTE - QUILMES TTE</v>
          </cell>
          <cell r="CR106" t="str">
            <v>CMQ_TTE - QUILMES TTE</v>
          </cell>
          <cell r="CS106" t="str">
            <v>CMQ_TTE - QUILMES TTE</v>
          </cell>
          <cell r="CT106" t="str">
            <v>CMQ_TTE - QUILMES TTE</v>
          </cell>
          <cell r="CU106" t="str">
            <v>CMQ_TTE - QUILMES TTE</v>
          </cell>
          <cell r="CV106" t="str">
            <v>CMQ_TTE - QUILMES TTE</v>
          </cell>
          <cell r="CW106" t="str">
            <v>CMQ_TTE - QUILMES TTE</v>
          </cell>
        </row>
        <row r="107">
          <cell r="D107" t="str">
            <v>GFZ650</v>
          </cell>
          <cell r="E107" t="str">
            <v>Chasis</v>
          </cell>
          <cell r="F107" t="str">
            <v>Chasis</v>
          </cell>
          <cell r="G107" t="str">
            <v>Chasis termico</v>
          </cell>
          <cell r="N107" t="str">
            <v>CODYLSA</v>
          </cell>
          <cell r="O107" t="str">
            <v>CODYLSA</v>
          </cell>
          <cell r="P107" t="str">
            <v>No</v>
          </cell>
          <cell r="Q107" t="str">
            <v>Propio</v>
          </cell>
          <cell r="R107">
            <v>12</v>
          </cell>
          <cell r="S107" t="str">
            <v>Propio</v>
          </cell>
          <cell r="T107" t="str">
            <v>MERCEDES BENZ</v>
          </cell>
          <cell r="U107">
            <v>1624</v>
          </cell>
          <cell r="V107" t="str">
            <v>906973U0711086</v>
          </cell>
          <cell r="W107" t="str">
            <v>9BM6950107B514588</v>
          </cell>
          <cell r="X107">
            <v>2007</v>
          </cell>
          <cell r="Y107">
            <v>19</v>
          </cell>
          <cell r="Z107" t="str">
            <v>Jumbo Mendoza</v>
          </cell>
          <cell r="AA107" t="str">
            <v>CENCO_MZ - Cencosud SA - Mendoza</v>
          </cell>
          <cell r="AB107" t="str">
            <v>CENCO_MZ - Cencosud SA - Mendoza</v>
          </cell>
          <cell r="AC107" t="str">
            <v>CENCO_MZ - Cencosud SA - Mendoza</v>
          </cell>
          <cell r="AD107" t="str">
            <v>CENCO_MZ - Cencosud SA - Mendoza</v>
          </cell>
          <cell r="AE107" t="str">
            <v>CENCO_MZ - Cencosud SA - Mendoza</v>
          </cell>
          <cell r="AF107" t="str">
            <v>CENCO_MZ - Cencosud SA - Mendoza</v>
          </cell>
          <cell r="AG107" t="str">
            <v>CENCO_MZ - Cencosud SA - Mendoza</v>
          </cell>
          <cell r="AH107" t="str">
            <v>CENCO_MZ - Cencosud SA - Mendoza</v>
          </cell>
          <cell r="AI107" t="str">
            <v>CENCO_MZ - Cencosud SA - Mendoza</v>
          </cell>
          <cell r="AJ107" t="str">
            <v>CENCO_MZ - Cencosud SA - Mendoza</v>
          </cell>
          <cell r="AK107" t="str">
            <v>CENCO_MZ - Cencosud SA - Mendoza</v>
          </cell>
          <cell r="AL107" t="str">
            <v>CENCO_MZ - Cencosud SA - Mendoza</v>
          </cell>
          <cell r="AM107" t="str">
            <v>CENCO_MZ - Cencosud SA - Mendoza</v>
          </cell>
          <cell r="AN107" t="str">
            <v>CENCO_MZ - Cencosud SA - Mendoza</v>
          </cell>
          <cell r="AO107" t="str">
            <v>CENCO_MZ - Cencosud SA - Mendoza</v>
          </cell>
          <cell r="AP107" t="str">
            <v>CENCO_MZ - Cencosud SA - Mendoza</v>
          </cell>
          <cell r="AQ107" t="str">
            <v>CENCO_MZ - Cencosud SA - Mendoza</v>
          </cell>
          <cell r="AR107" t="str">
            <v>CENCO_MZ - Cencosud SA - Mendoza</v>
          </cell>
          <cell r="AS107" t="str">
            <v>CENCO_MZ - Cencosud SA - Mendoza</v>
          </cell>
          <cell r="AT107" t="str">
            <v>CENCO_MZ - Cencosud SA - Mendoza</v>
          </cell>
          <cell r="AU107" t="str">
            <v>CENCO_MZ - Cencosud SA - Mendoza</v>
          </cell>
          <cell r="AV107" t="str">
            <v>CENCO_MZ - Cencosud SA - Mendoza</v>
          </cell>
          <cell r="AW107" t="str">
            <v>CENCO_MZ - Cencosud SA - Mendoza</v>
          </cell>
          <cell r="AX107" t="str">
            <v>CENCO_MZ - Cencosud SA - Mendoza</v>
          </cell>
          <cell r="AY107" t="str">
            <v>CENCO_MZ - Cencosud SA - Mendoza</v>
          </cell>
          <cell r="AZ107" t="str">
            <v>CENCO_MZ - Cencosud SA - Mendoza</v>
          </cell>
          <cell r="BA107" t="str">
            <v>CENCO_MZ - Cencosud SA - Mendoza</v>
          </cell>
          <cell r="BB107" t="str">
            <v>CENCO_MZ - Cencosud SA - Mendoza</v>
          </cell>
          <cell r="BC107" t="str">
            <v>CENCO_MZ - Cencosud SA - Mendoza</v>
          </cell>
          <cell r="BD107" t="str">
            <v>CENCO_MZ - Cencosud SA - Mendoza</v>
          </cell>
          <cell r="BE107" t="str">
            <v>CENCO_MZ - Cencosud SA - Mendoza</v>
          </cell>
          <cell r="BF107" t="str">
            <v>CENCO_MZ - Cencosud SA - Mendoza</v>
          </cell>
          <cell r="BG107" t="str">
            <v>CENCO_MZ - Cencosud SA - Mendoza</v>
          </cell>
          <cell r="BH107" t="str">
            <v>CENCO_MZ - Cencosud SA - Mendoza</v>
          </cell>
          <cell r="BI107" t="str">
            <v>CENCO_MZ - Cencosud SA - Mendoza</v>
          </cell>
          <cell r="BJ107" t="str">
            <v>CENCO_MZ - Cencosud SA - Mendoza</v>
          </cell>
          <cell r="BK107" t="str">
            <v>CENCO_MZ - Cencosud SA - Mendoza</v>
          </cell>
          <cell r="BL107" t="str">
            <v>CENCO_MZ - Cencosud SA - Mendoza</v>
          </cell>
          <cell r="BM107" t="str">
            <v>CENCO_MZ - Cencosud SA - Mendoza</v>
          </cell>
          <cell r="BN107" t="str">
            <v>CENCOMLD - Cencosud SA - Mendoza</v>
          </cell>
          <cell r="BO107" t="str">
            <v>CENCOMLD - Cencosud SA - Mendoza</v>
          </cell>
          <cell r="BP107" t="str">
            <v>CENCOMLD - Cencosud SA - Mendoza</v>
          </cell>
          <cell r="BQ107" t="str">
            <v>CENCOMLD - Cencosud SA - Mendoza</v>
          </cell>
          <cell r="BR107" t="str">
            <v>CENCOMLD - Cencosud SA - Mendoza</v>
          </cell>
          <cell r="BS107" t="str">
            <v>CENCOMLD - Cencosud SA - Mendoza</v>
          </cell>
          <cell r="BT107" t="str">
            <v>CENCOMLD - Cencosud SA - Mendoza</v>
          </cell>
          <cell r="BU107" t="str">
            <v>CENCOMLD - Cencosud SA - Mendoza</v>
          </cell>
          <cell r="BV107" t="str">
            <v>CENCOMLD - Cencosud SA - Mendoza</v>
          </cell>
          <cell r="BW107" t="str">
            <v>CENCOMLD - Cencosud SA - Mendoza</v>
          </cell>
          <cell r="BX107" t="str">
            <v>CENCOMLD - Cencosud SA - Mendoza</v>
          </cell>
          <cell r="BY107" t="str">
            <v>CENCOMLD - Cencosud SA - Mendoza</v>
          </cell>
          <cell r="BZ107" t="str">
            <v>CENCOMLD - Cencosud SA - Mendoza</v>
          </cell>
          <cell r="CA107" t="str">
            <v>CENCOMLD - Cencosud SA - Mendoza</v>
          </cell>
          <cell r="CB107" t="str">
            <v>CENCOMLD - Cencosud SA - Mendoza</v>
          </cell>
          <cell r="CC107" t="str">
            <v>CENCOMLD - Cencosud SA - Mendoza</v>
          </cell>
          <cell r="CD107" t="str">
            <v>CENCO_MZ - Cencosud SA - Mendoza</v>
          </cell>
          <cell r="CE107" t="str">
            <v>CENCO_MZ - Cencosud SA - Mendoza</v>
          </cell>
          <cell r="CF107" t="str">
            <v>CENCO_MZ - Cencosud SA - Mendoza</v>
          </cell>
          <cell r="CG107" t="str">
            <v>CENCO_MZ - Cencosud SA - Mendoza</v>
          </cell>
          <cell r="CH107" t="str">
            <v>CENCO_MZ - Cencosud SA - Mendoza</v>
          </cell>
          <cell r="CI107" t="str">
            <v>CENCO_MZ - Cencosud SA - Mendoza</v>
          </cell>
          <cell r="CJ107" t="str">
            <v>CENCOMLD - Cencosud SA - Mendoza</v>
          </cell>
          <cell r="CK107" t="str">
            <v>CENCOMLD - Cencosud SA - Mendoza</v>
          </cell>
          <cell r="CL107" t="str">
            <v>CENCOMLD - Cencosud SA - Mendoza</v>
          </cell>
          <cell r="CM107" t="str">
            <v>CENCOMLD - Cencosud SA - Mendoza</v>
          </cell>
          <cell r="CN107" t="str">
            <v>CENCOMLD - Cencosud SA - Mendoza</v>
          </cell>
          <cell r="CO107" t="str">
            <v>CENCOMLD - Cencosud SA - Mendoza</v>
          </cell>
          <cell r="CP107" t="str">
            <v>CENCOMLD - Cencosud SA - Mendoza</v>
          </cell>
          <cell r="CQ107" t="str">
            <v>CENCOMLD - Cencosud SA - Mendoza</v>
          </cell>
          <cell r="CR107" t="str">
            <v>CENCOMLD - Cencosud SA - Mendoza</v>
          </cell>
          <cell r="CS107" t="str">
            <v>CENCOMLD - Cencosud SA - Mendoza</v>
          </cell>
          <cell r="CT107" t="str">
            <v>CENCOMLD - Cencosud SA - Mendoza</v>
          </cell>
          <cell r="CU107" t="str">
            <v>CENCO_MZ - Cencosud SA - Mendoza</v>
          </cell>
          <cell r="CV107" t="str">
            <v>CENCO_MZ - Cencosud SA - Mendoza</v>
          </cell>
          <cell r="CW107" t="str">
            <v>CENCO_MZ - Cencosud SA - Mendoza</v>
          </cell>
        </row>
        <row r="108">
          <cell r="D108" t="str">
            <v>GMJ025</v>
          </cell>
          <cell r="E108" t="str">
            <v>Chasis</v>
          </cell>
          <cell r="F108" t="str">
            <v>Chasis</v>
          </cell>
          <cell r="G108" t="str">
            <v>Chasis Termico</v>
          </cell>
          <cell r="N108" t="str">
            <v>CODYLSA</v>
          </cell>
          <cell r="O108" t="str">
            <v>CODYLSA</v>
          </cell>
          <cell r="P108" t="str">
            <v>No</v>
          </cell>
          <cell r="Q108" t="str">
            <v>Propio</v>
          </cell>
          <cell r="R108">
            <v>12</v>
          </cell>
          <cell r="S108" t="str">
            <v>Propio</v>
          </cell>
          <cell r="T108" t="str">
            <v>MERCEDES BENZ</v>
          </cell>
          <cell r="U108">
            <v>1624</v>
          </cell>
          <cell r="V108" t="str">
            <v>906973U0729467</v>
          </cell>
          <cell r="W108" t="str">
            <v>9BM6950108B536685</v>
          </cell>
          <cell r="X108">
            <v>2007</v>
          </cell>
          <cell r="Y108">
            <v>19</v>
          </cell>
          <cell r="Z108" t="str">
            <v>Papelera</v>
          </cell>
          <cell r="AA108" t="str">
            <v>Papelera - Papelera del Plata S.A.</v>
          </cell>
          <cell r="AB108" t="str">
            <v>Papelera - Papelera del Plata S.A.</v>
          </cell>
          <cell r="AC108" t="str">
            <v>Papelera - Papelera del Plata S.A.</v>
          </cell>
          <cell r="AD108" t="str">
            <v>Papelera - Papelera del Plata S.A.</v>
          </cell>
          <cell r="AE108" t="str">
            <v>Papelera - Papelera del Plata S.A.</v>
          </cell>
          <cell r="AF108" t="str">
            <v>Papelera - Papelera del Plata S.A.</v>
          </cell>
          <cell r="AG108" t="str">
            <v>Papelera - Papelera del Plata S.A.</v>
          </cell>
          <cell r="AH108" t="str">
            <v>Papelera - Papelera del Plata S.A.</v>
          </cell>
          <cell r="AI108" t="str">
            <v>Papelera - Papelera del Plata S.A.</v>
          </cell>
          <cell r="AJ108" t="str">
            <v>Papelera - Papelera del Plata S.A.</v>
          </cell>
          <cell r="AK108" t="str">
            <v>Papelera - Papelera del Plata S.A.</v>
          </cell>
          <cell r="AL108" t="str">
            <v>Papelera - Papelera del Plata S.A.</v>
          </cell>
          <cell r="AM108" t="str">
            <v>Papelera - Papelera del Plata S.A.</v>
          </cell>
          <cell r="AN108" t="str">
            <v>Unilever - Unilever de Arg. S.A.</v>
          </cell>
          <cell r="AO108" t="str">
            <v>Papelera - Papelera del Plata S.A.</v>
          </cell>
          <cell r="AP108" t="str">
            <v>Papelera - Papelera del Plata S.A.</v>
          </cell>
          <cell r="AQ108" t="str">
            <v>Papelera - Papelera del Plata S.A.</v>
          </cell>
          <cell r="AR108" t="str">
            <v>Papelera - Papelera del Plata S.A.</v>
          </cell>
          <cell r="AS108" t="str">
            <v>Papelera - Papelera del Plata S.A.</v>
          </cell>
          <cell r="AT108" t="str">
            <v>Papelera - Papelera del Plata S.A.</v>
          </cell>
          <cell r="AU108" t="str">
            <v>Papelera - Papelera del Plata S.A.</v>
          </cell>
          <cell r="AV108" t="str">
            <v>Papelera - Papelera del Plata S.A.</v>
          </cell>
          <cell r="AW108" t="str">
            <v>Papelera - Papelera del Plata S.A.</v>
          </cell>
          <cell r="AX108" t="str">
            <v>Papelera - Papelera del Plata S.A.</v>
          </cell>
          <cell r="AY108" t="str">
            <v>Papelera - Papelera del Plata S.A.</v>
          </cell>
          <cell r="AZ108" t="str">
            <v>Papelera - Papelera del Plata S.A.</v>
          </cell>
          <cell r="BA108" t="str">
            <v>Papelera - Papelera del Plata S.A.</v>
          </cell>
          <cell r="BB108" t="str">
            <v>Papelera - Papelera del Plata S.A.</v>
          </cell>
          <cell r="BC108" t="str">
            <v>Papelera - Papelera del Plata S.A.</v>
          </cell>
          <cell r="BD108" t="str">
            <v>Papelera - Papelera del Plata S.A.</v>
          </cell>
          <cell r="BE108" t="str">
            <v>Papelera - Papelera del Plata S.A.</v>
          </cell>
          <cell r="BF108" t="str">
            <v>CLI_SPOT - CLIENTE SPOT</v>
          </cell>
          <cell r="BG108" t="str">
            <v>CLI_SPOT - CLIENTE SPOT</v>
          </cell>
          <cell r="BH108" t="str">
            <v>CLI_SPOT - CLIENTE SPOT</v>
          </cell>
          <cell r="BI108" t="str">
            <v>CLI_SPOT - CLIENTE SPOT</v>
          </cell>
          <cell r="BJ108" t="str">
            <v>CLI_SPOT - CLIENTE SPOT</v>
          </cell>
          <cell r="BK108" t="str">
            <v>CLI_SPOT - CLIENTE SPOT</v>
          </cell>
          <cell r="BL108" t="str">
            <v>CLI_SPOT - CLIENTE SPOT</v>
          </cell>
          <cell r="BM108" t="str">
            <v>CLI_SPOT - CLIENTE SPOT</v>
          </cell>
          <cell r="BN108" t="str">
            <v>CLI_SPOT - CLIENTE SPOT</v>
          </cell>
          <cell r="BO108" t="str">
            <v>CLI_SPOT - CLIENTE SPOT</v>
          </cell>
          <cell r="BP108" t="str">
            <v>CLI_SPOT - CLIENTE SPOT</v>
          </cell>
          <cell r="BQ108" t="str">
            <v>Cook Master</v>
          </cell>
          <cell r="BR108" t="str">
            <v>Cook Master</v>
          </cell>
          <cell r="BS108" t="str">
            <v>Cook Master</v>
          </cell>
          <cell r="BT108" t="str">
            <v>Cook Master</v>
          </cell>
          <cell r="BU108" t="str">
            <v>Cook Master</v>
          </cell>
          <cell r="BV108" t="str">
            <v>Cook Master</v>
          </cell>
          <cell r="BW108" t="str">
            <v>Cook Master</v>
          </cell>
          <cell r="BX108" t="str">
            <v>Cook Master</v>
          </cell>
          <cell r="BY108" t="str">
            <v>Cook Master</v>
          </cell>
          <cell r="BZ108" t="str">
            <v>Cook Master</v>
          </cell>
          <cell r="CA108" t="str">
            <v>Cook Master</v>
          </cell>
          <cell r="CB108" t="str">
            <v>Cook Master</v>
          </cell>
          <cell r="CC108" t="str">
            <v>Cook Master</v>
          </cell>
          <cell r="CD108" t="str">
            <v>Cook Master</v>
          </cell>
          <cell r="CE108" t="str">
            <v>Cook Master</v>
          </cell>
          <cell r="CF108" t="str">
            <v>Cook Master</v>
          </cell>
          <cell r="CG108" t="str">
            <v>Arcor S.A.I.C.</v>
          </cell>
          <cell r="CH108" t="str">
            <v>Arcor S.A.I.C.</v>
          </cell>
          <cell r="CI108" t="str">
            <v>Arcor S.A.I.C.</v>
          </cell>
          <cell r="CJ108" t="str">
            <v>Arcor S.A.I.C.</v>
          </cell>
          <cell r="CK108" t="str">
            <v>Arcor S.A.I.C.</v>
          </cell>
          <cell r="CL108" t="str">
            <v>Arcor S.A.I.C.</v>
          </cell>
          <cell r="CM108" t="str">
            <v>Arcor S.A.I.C.</v>
          </cell>
          <cell r="CN108" t="str">
            <v>Arcor S.A.I.C.</v>
          </cell>
          <cell r="CO108" t="str">
            <v>Arcor S.A.I.C.</v>
          </cell>
          <cell r="CP108" t="str">
            <v>Arcor S.A.I.C.</v>
          </cell>
          <cell r="CQ108" t="str">
            <v>Arcor S.A.I.C.</v>
          </cell>
          <cell r="CR108" t="str">
            <v>Arcor S.A.I.C.</v>
          </cell>
          <cell r="CS108" t="str">
            <v>Arcor S.A.I.C.</v>
          </cell>
          <cell r="CT108" t="str">
            <v>Arcor S.A.I.C.</v>
          </cell>
          <cell r="CU108" t="str">
            <v>Arcor S.A.I.C.</v>
          </cell>
          <cell r="CV108" t="str">
            <v>CENCO_MZ - Cencosud SA - Mendoza</v>
          </cell>
          <cell r="CW108" t="str">
            <v>CENCO_MZ - Cencosud SA - Mendoza</v>
          </cell>
        </row>
        <row r="109">
          <cell r="D109" t="str">
            <v>HEU640</v>
          </cell>
          <cell r="E109" t="str">
            <v>Chasis</v>
          </cell>
          <cell r="F109">
            <v>0</v>
          </cell>
          <cell r="G109" t="str">
            <v>Balancin frio</v>
          </cell>
          <cell r="N109" t="str">
            <v>FRASCA LUIS ANTONIO</v>
          </cell>
          <cell r="O109" t="str">
            <v>FRASCA LUIS ANTONIO</v>
          </cell>
          <cell r="P109" t="str">
            <v>No</v>
          </cell>
          <cell r="Q109" t="str">
            <v>De Tercero</v>
          </cell>
          <cell r="R109" t="str">
            <v>-</v>
          </cell>
          <cell r="S109" t="str">
            <v>De Tercero</v>
          </cell>
          <cell r="T109" t="str">
            <v>VOLKSWAGEN</v>
          </cell>
          <cell r="U109" t="str">
            <v>CAM 19.320/38T</v>
          </cell>
          <cell r="V109">
            <v>2008</v>
          </cell>
          <cell r="W109">
            <v>18</v>
          </cell>
          <cell r="X109">
            <v>2008</v>
          </cell>
          <cell r="Y109">
            <v>18</v>
          </cell>
          <cell r="Z109" t="str">
            <v>Jumbo Mendoza</v>
          </cell>
          <cell r="AA109" t="str">
            <v>AGN_TTE - AGUANORT - Transporte</v>
          </cell>
          <cell r="AB109" t="str">
            <v>ADA_MZA - Danone Arg. S.A. - MZA</v>
          </cell>
          <cell r="AC109" t="str">
            <v>ADA_MZA - Danone Arg. S.A. - MZA</v>
          </cell>
          <cell r="AD109" t="str">
            <v>ADA_MZA - Danone Arg. S.A. - MZA</v>
          </cell>
          <cell r="AE109" t="str">
            <v>ADA_MZA - Danone Arg. S.A. - MZA</v>
          </cell>
          <cell r="AF109" t="str">
            <v>ADA_MZA - Danone Arg. S.A. - MZA</v>
          </cell>
          <cell r="AG109" t="str">
            <v>ADA_MZA - Danone Arg. S.A. - MZA</v>
          </cell>
          <cell r="AH109" t="str">
            <v>ADA_MZA - Danone Arg. S.A. - MZA</v>
          </cell>
          <cell r="AI109" t="str">
            <v>CENCO_MZ - Cencosud SA - Mendoza</v>
          </cell>
          <cell r="AJ109" t="str">
            <v>CENCO_MZ - Cencosud SA - Mendoza</v>
          </cell>
          <cell r="AK109" t="str">
            <v>CENCO_MZ - Cencosud SA - Mendoza</v>
          </cell>
          <cell r="AL109" t="str">
            <v>CENCO_MZ - Cencosud SA - Mendoza</v>
          </cell>
          <cell r="AM109" t="str">
            <v>CENCO_MZ - Cencosud SA - Mendoza</v>
          </cell>
          <cell r="AN109" t="str">
            <v>CENCO_MZ - Cencosud SA - Mendoza</v>
          </cell>
          <cell r="AO109" t="str">
            <v>CENCO_MZ - Cencosud SA - Mendoza</v>
          </cell>
          <cell r="AP109" t="str">
            <v>CENCO_MZ - Cencosud SA - Mendoza</v>
          </cell>
          <cell r="AQ109" t="str">
            <v>CENCO_MZ - Cencosud SA - Mendoza</v>
          </cell>
          <cell r="AR109" t="str">
            <v>CENCO_MZ - Cencosud SA - Mendoza</v>
          </cell>
          <cell r="AS109" t="str">
            <v>CENCO_MZ - Cencosud SA - Mendoza</v>
          </cell>
          <cell r="AT109" t="str">
            <v>CENCO_MZ - Cencosud SA - Mendoza</v>
          </cell>
          <cell r="AU109" t="str">
            <v>CENCO_MZ - Cencosud SA - Mendoza</v>
          </cell>
          <cell r="AV109" t="str">
            <v>CENCO_MZ - Cencosud SA - Mendoza</v>
          </cell>
          <cell r="AW109" t="str">
            <v>CENCO_MZ - Cencosud SA - Mendoza</v>
          </cell>
          <cell r="AX109" t="str">
            <v>CENCO_MZ - Cencosud SA - Mendoza</v>
          </cell>
          <cell r="AY109" t="str">
            <v>CENCO_MZ - Cencosud SA - Mendoza</v>
          </cell>
          <cell r="AZ109" t="str">
            <v>CENCO_MZ - Cencosud SA - Mendoza</v>
          </cell>
          <cell r="BA109" t="str">
            <v>CENCO_MZ - Cencosud SA - Mendoza</v>
          </cell>
          <cell r="BB109" t="str">
            <v>CENCO_MZ - Cencosud SA - Mendoza</v>
          </cell>
          <cell r="BC109" t="str">
            <v>CENCO_MZ - Cencosud SA - Mendoza</v>
          </cell>
          <cell r="BD109" t="str">
            <v>CENCO_MZ - Cencosud SA - Mendoza</v>
          </cell>
          <cell r="BE109" t="str">
            <v>CENCO_MZ - Cencosud SA - Mendoza</v>
          </cell>
          <cell r="BF109" t="str">
            <v>CENCO_MZ - Cencosud SA - Mendoza</v>
          </cell>
          <cell r="BG109" t="str">
            <v>CENCO_MZ - Cencosud SA - Mendoza</v>
          </cell>
          <cell r="BH109" t="str">
            <v>CENCO_MZ - Cencosud SA - Mendoza</v>
          </cell>
          <cell r="BI109" t="str">
            <v>CENCO_MZ - Cencosud SA - Mendoza</v>
          </cell>
          <cell r="BJ109" t="str">
            <v>CENCO_MZ - Cencosud SA - Mendoza</v>
          </cell>
          <cell r="BK109" t="str">
            <v>CENCO_MZ - Cencosud SA - Mendoza</v>
          </cell>
          <cell r="BL109" t="str">
            <v>CENCO_MZ - Cencosud SA - Mendoza</v>
          </cell>
          <cell r="BM109" t="str">
            <v>CENCO_MZ - Cencosud SA - Mendoza</v>
          </cell>
          <cell r="BN109" t="str">
            <v>CENCO_MZ - Cencosud SA - Mendoza</v>
          </cell>
          <cell r="BO109" t="str">
            <v>CENCO_MZ - Cencosud SA - Mendoza</v>
          </cell>
          <cell r="BP109" t="str">
            <v>CENCO_MZ - Cencosud SA - Mendoza</v>
          </cell>
          <cell r="BQ109" t="str">
            <v>CENCO_MZ - Cencosud SA - Mendoza</v>
          </cell>
          <cell r="BR109" t="str">
            <v>CENCO_MZ - Cencosud SA - Mendoza</v>
          </cell>
          <cell r="BS109" t="str">
            <v>CENCO_MZ - Cencosud SA - Mendoza</v>
          </cell>
          <cell r="BT109" t="str">
            <v>CENCO_MZ - Cencosud SA - Mendoza</v>
          </cell>
          <cell r="BU109" t="str">
            <v>CENCO_MZ - Cencosud SA - Mendoza</v>
          </cell>
          <cell r="BV109" t="str">
            <v>CENCO_MZ - Cencosud SA - Mendoza</v>
          </cell>
          <cell r="BW109" t="str">
            <v>CENCO_MZ - Cencosud SA - Mendoza</v>
          </cell>
          <cell r="BX109" t="str">
            <v>CENCO_MZ - Cencosud SA - Mendoza</v>
          </cell>
          <cell r="BY109" t="str">
            <v>CENCO_MZ - Cencosud SA - Mendoza</v>
          </cell>
          <cell r="BZ109" t="str">
            <v>CENCO_MZ - Cencosud SA - Mendoza</v>
          </cell>
          <cell r="CA109" t="str">
            <v>CENCO_MZ - Cencosud SA - Mendoza</v>
          </cell>
          <cell r="CB109" t="str">
            <v>CENCO_MZ - Cencosud SA - Mendoza</v>
          </cell>
          <cell r="CC109" t="str">
            <v>CENCO_MZ - Cencosud SA - Mendoza</v>
          </cell>
          <cell r="CD109" t="str">
            <v>CENCO_MZ - Cencosud SA - Mendoza</v>
          </cell>
          <cell r="CE109" t="str">
            <v>CENCO_MZ - Cencosud SA - Mendoza</v>
          </cell>
          <cell r="CF109" t="str">
            <v>CENCO_MZ - Cencosud SA - Mendoza</v>
          </cell>
          <cell r="CG109" t="str">
            <v>CENCO_MZ - Cencosud SA - Mendoza</v>
          </cell>
          <cell r="CH109" t="str">
            <v>CENCO_MZ - Cencosud SA - Mendoza</v>
          </cell>
          <cell r="CI109" t="str">
            <v>CENCO_MZ - Cencosud SA - Mendoza</v>
          </cell>
          <cell r="CJ109" t="str">
            <v>CENCO_MZ - Cencosud SA - Mendoza</v>
          </cell>
          <cell r="CK109" t="str">
            <v>CENCO_MZ - Cencosud SA - Mendoza</v>
          </cell>
          <cell r="CL109" t="str">
            <v>CENCO_MZ - Cencosud SA - Mendoza</v>
          </cell>
          <cell r="CM109" t="str">
            <v>CENCO_MZ - Cencosud SA - Mendoza</v>
          </cell>
          <cell r="CN109" t="str">
            <v>CENCO_MZ - Cencosud SA - Mendoza</v>
          </cell>
          <cell r="CO109" t="str">
            <v>CENCO_MZ - Cencosud SA - Mendoza</v>
          </cell>
          <cell r="CP109" t="str">
            <v>CENCO_MZ - Cencosud SA - Mendoza</v>
          </cell>
          <cell r="CQ109" t="str">
            <v>CENCO_MZ - Cencosud SA - Mendoza</v>
          </cell>
          <cell r="CR109" t="str">
            <v>CENCO_MZ - Cencosud SA - Mendoza</v>
          </cell>
          <cell r="CS109" t="str">
            <v>CENCO_MZ - Cencosud SA - Mendoza</v>
          </cell>
          <cell r="CT109" t="str">
            <v>CENCO_MZ - Cencosud SA - Mendoza</v>
          </cell>
          <cell r="CU109" t="str">
            <v>CENCO_MZ - Cencosud SA - Mendoza</v>
          </cell>
          <cell r="CV109" t="str">
            <v>CENCO_MZ - Cencosud SA - Mendoza</v>
          </cell>
          <cell r="CW109" t="str">
            <v>CENCO_MZ - Cencosud SA - Mendoza</v>
          </cell>
        </row>
        <row r="110">
          <cell r="D110" t="str">
            <v>AF804RD</v>
          </cell>
          <cell r="E110" t="str">
            <v>Tractor</v>
          </cell>
          <cell r="F110" t="str">
            <v>Tractor</v>
          </cell>
          <cell r="G110" t="str">
            <v>Tractor</v>
          </cell>
          <cell r="N110" t="str">
            <v>CODYLSA</v>
          </cell>
          <cell r="O110" t="str">
            <v>CODYLSA</v>
          </cell>
          <cell r="Q110" t="str">
            <v>Propio</v>
          </cell>
          <cell r="R110" t="str">
            <v>-</v>
          </cell>
          <cell r="S110" t="str">
            <v>Propio</v>
          </cell>
          <cell r="T110" t="str">
            <v>MERCEDES BENZ</v>
          </cell>
          <cell r="U110" t="str">
            <v>ATEGO 1729 S36 CD TE</v>
          </cell>
          <cell r="V110" t="str">
            <v>926994U1416834</v>
          </cell>
          <cell r="W110" t="str">
            <v>8AB958077PA804476</v>
          </cell>
          <cell r="X110">
            <v>2023</v>
          </cell>
          <cell r="Y110">
            <v>3</v>
          </cell>
          <cell r="BL110" t="e">
            <v>#REF!</v>
          </cell>
          <cell r="BM110" t="e">
            <v>#REF!</v>
          </cell>
          <cell r="BN110" t="e">
            <v>#REF!</v>
          </cell>
          <cell r="BO110" t="e">
            <v>#REF!</v>
          </cell>
          <cell r="BP110" t="e">
            <v>#REF!</v>
          </cell>
          <cell r="BQ110" t="str">
            <v>Arcor S.A.I.C.</v>
          </cell>
          <cell r="BR110" t="str">
            <v>Arcor S.A.I.C.</v>
          </cell>
          <cell r="BS110" t="str">
            <v>Arcor S.A.I.C.</v>
          </cell>
          <cell r="BT110" t="str">
            <v>Arcor S.A.I.C.</v>
          </cell>
          <cell r="BU110" t="str">
            <v>Arcor S.A.I.C.</v>
          </cell>
          <cell r="BV110" t="str">
            <v>Arcor S.A.I.C.</v>
          </cell>
          <cell r="BW110" t="str">
            <v>Arcor S.A.I.C.</v>
          </cell>
          <cell r="BX110" t="str">
            <v>Arcor S.A.I.C.</v>
          </cell>
          <cell r="BY110" t="str">
            <v>Arcor S.A.I.C.</v>
          </cell>
          <cell r="BZ110" t="str">
            <v>Arcor S.A.I.C.</v>
          </cell>
          <cell r="CA110" t="str">
            <v>Arcor S.A.I.C.</v>
          </cell>
          <cell r="CB110" t="str">
            <v>Arcor S.A.I.C.</v>
          </cell>
          <cell r="CC110" t="str">
            <v>Arcor S.A.I.C.</v>
          </cell>
          <cell r="CD110" t="str">
            <v>Arcor S.A.I.C.</v>
          </cell>
          <cell r="CE110" t="str">
            <v>Arcor S.A.I.C.</v>
          </cell>
          <cell r="CF110" t="str">
            <v>Arcor S.A.I.C.</v>
          </cell>
          <cell r="CG110" t="str">
            <v>Arcor S.A.I.C.</v>
          </cell>
          <cell r="CH110" t="str">
            <v>Arcor S.A.I.C.</v>
          </cell>
          <cell r="CI110" t="str">
            <v>Arcor S.A.I.C.</v>
          </cell>
          <cell r="CJ110" t="str">
            <v>Arcor S.A.I.C.</v>
          </cell>
          <cell r="CK110" t="str">
            <v>Arcor S.A.I.C.</v>
          </cell>
          <cell r="CL110" t="str">
            <v>Arcor S.A.I.C.</v>
          </cell>
          <cell r="CM110" t="str">
            <v>Arcor S.A.I.C.</v>
          </cell>
          <cell r="CN110" t="str">
            <v>Arcor S.A.I.C.</v>
          </cell>
          <cell r="CO110" t="str">
            <v>Arcor S.A.I.C.</v>
          </cell>
          <cell r="CP110" t="str">
            <v>Arcor S.A.I.C.</v>
          </cell>
          <cell r="CQ110" t="str">
            <v>Arcor S.A.I.C.</v>
          </cell>
          <cell r="CR110" t="str">
            <v>Arcor S.A.I.C.</v>
          </cell>
          <cell r="CS110" t="str">
            <v>Arcor S.A.I.C.</v>
          </cell>
          <cell r="CT110" t="str">
            <v>Arcor S.A.I.C.</v>
          </cell>
          <cell r="CU110" t="str">
            <v>Arcor S.A.I.C.</v>
          </cell>
          <cell r="CV110" t="str">
            <v>Arcor S.A.I.C.</v>
          </cell>
          <cell r="CW110" t="str">
            <v>Arcor S.A.I.C.</v>
          </cell>
        </row>
        <row r="111">
          <cell r="D111" t="str">
            <v>HRJ003</v>
          </cell>
          <cell r="E111" t="str">
            <v>Chasis</v>
          </cell>
          <cell r="F111" t="str">
            <v>Chasis</v>
          </cell>
          <cell r="G111" t="str">
            <v>Chasis termico</v>
          </cell>
          <cell r="N111" t="str">
            <v>CODYLSA</v>
          </cell>
          <cell r="O111" t="str">
            <v>CODYLSA</v>
          </cell>
          <cell r="P111" t="str">
            <v>No</v>
          </cell>
          <cell r="Q111" t="str">
            <v>Propio</v>
          </cell>
          <cell r="R111">
            <v>12</v>
          </cell>
          <cell r="S111" t="str">
            <v>Propio</v>
          </cell>
          <cell r="T111" t="str">
            <v>MERCEDES BENZ</v>
          </cell>
          <cell r="U111" t="str">
            <v>L-1318</v>
          </cell>
          <cell r="V111" t="str">
            <v>904976U0802814</v>
          </cell>
          <cell r="W111" t="str">
            <v>9BM6940009B627378</v>
          </cell>
          <cell r="X111">
            <v>2008</v>
          </cell>
          <cell r="Y111">
            <v>18</v>
          </cell>
          <cell r="Z111" t="str">
            <v>Jumbo San Juan</v>
          </cell>
          <cell r="AA111" t="str">
            <v>CENCO_SJ - Cencosud SA - San Juan</v>
          </cell>
          <cell r="AB111" t="str">
            <v>CENCO_SJ - Cencosud SA - San Juan</v>
          </cell>
          <cell r="AC111" t="str">
            <v>CENCO_SJ - Cencosud SA - San Juan</v>
          </cell>
          <cell r="AD111" t="str">
            <v>CENCO_SJ - Cencosud SA - San Juan</v>
          </cell>
          <cell r="AE111" t="str">
            <v>CENCO_SJ - Cencosud SA - San Juan</v>
          </cell>
          <cell r="AF111" t="str">
            <v>CENCO_SJ - Cencosud SA - San Juan</v>
          </cell>
          <cell r="AG111" t="str">
            <v>CENCO_SJ - Cencosud SA - San Juan</v>
          </cell>
          <cell r="AH111" t="str">
            <v>CENCO_SJ - Cencosud SA - San Juan</v>
          </cell>
          <cell r="AI111" t="str">
            <v>CENCO_SJ - Cencosud SA - San Juan</v>
          </cell>
          <cell r="AJ111" t="str">
            <v>CENCO_SJ - Cencosud SA - San Juan</v>
          </cell>
          <cell r="AK111" t="str">
            <v>CENCO_SJ - Cencosud SA - San Juan</v>
          </cell>
          <cell r="AL111" t="str">
            <v>CENCO_SJ - Cencosud SA - San Juan</v>
          </cell>
          <cell r="AM111" t="str">
            <v>CENCO_SJ - Cencosud SA - San Juan</v>
          </cell>
          <cell r="AN111" t="str">
            <v>CENCO_SJ - Cencosud SA - San Juan</v>
          </cell>
          <cell r="AO111" t="str">
            <v>CENCO_SJ - Cencosud SA - San Juan</v>
          </cell>
          <cell r="AP111" t="str">
            <v>CENCO_SJ - Cencosud SA - San Juan</v>
          </cell>
          <cell r="AQ111" t="str">
            <v>CENCO_SJ - Cencosud SA - San Juan</v>
          </cell>
          <cell r="AR111" t="str">
            <v>CENCO_SJ - Cencosud SA - San Juan</v>
          </cell>
          <cell r="AS111" t="str">
            <v>CENCO_SJ - Cencosud SA - San Juan</v>
          </cell>
          <cell r="AT111" t="str">
            <v>CENCO_SJ - Cencosud SA - San Juan</v>
          </cell>
          <cell r="AU111" t="str">
            <v>CENCO_SJ - Cencosud SA - San Juan</v>
          </cell>
          <cell r="AV111" t="str">
            <v>CENCO_SJ - Cencosud SA - San Juan</v>
          </cell>
          <cell r="AW111" t="str">
            <v>CENCO_SJ - Cencosud SA - San Juan</v>
          </cell>
          <cell r="AX111" t="str">
            <v>CENCO_MZ - Cencosud SA - Mendoza</v>
          </cell>
          <cell r="AY111" t="str">
            <v>CENCO_MZ - Cencosud SA - Mendoza</v>
          </cell>
          <cell r="AZ111" t="str">
            <v>CENCO_MZ - Cencosud SA - Mendoza</v>
          </cell>
          <cell r="BA111" t="str">
            <v>CENCO_MZ - Cencosud SA - Mendoza</v>
          </cell>
          <cell r="BB111" t="str">
            <v>CENCO_MZ - Cencosud SA - Mendoza</v>
          </cell>
          <cell r="BC111" t="str">
            <v>CENCO_MZ - Cencosud SA - Mendoza</v>
          </cell>
          <cell r="BD111" t="str">
            <v>CENCO_MZ - Cencosud SA - Mendoza</v>
          </cell>
          <cell r="BE111" t="str">
            <v>CENCO_MZ - Cencosud SA - Mendoza</v>
          </cell>
          <cell r="BF111" t="str">
            <v>CENCO_MZ - Cencosud SA - Mendoza</v>
          </cell>
          <cell r="BG111" t="str">
            <v>CENCO_MZ - Cencosud SA - Mendoza</v>
          </cell>
          <cell r="BH111" t="str">
            <v>CENCO_MZ - Cencosud SA - Mendoza</v>
          </cell>
          <cell r="BI111" t="str">
            <v>CENCO_MZ - Cencosud SA - Mendoza</v>
          </cell>
          <cell r="BJ111" t="str">
            <v>CENCO_MZ - Cencosud SA - Mendoza</v>
          </cell>
          <cell r="BK111" t="str">
            <v>CENCO_MZ - Cencosud SA - Mendoza</v>
          </cell>
          <cell r="BL111" t="str">
            <v>CENCO_MZ - Cencosud SA - Mendoza</v>
          </cell>
          <cell r="BM111" t="str">
            <v>CENCO_MZ - Cencosud SA - Mendoza</v>
          </cell>
          <cell r="BN111" t="str">
            <v>CENCO_MZ - Cencosud SA - Mendoza</v>
          </cell>
          <cell r="BO111" t="str">
            <v>CENCO_MZ - Cencosud SA - Mendoza</v>
          </cell>
          <cell r="BP111" t="str">
            <v>CENCO_MZ - Cencosud SA - Mendoza</v>
          </cell>
          <cell r="BQ111" t="str">
            <v>CENCO_MZ - Cencosud SA - Mendoza</v>
          </cell>
          <cell r="BR111" t="str">
            <v>CENCO_MZ - Cencosud SA - Mendoza</v>
          </cell>
          <cell r="BS111" t="str">
            <v>CENCO_MZ - Cencosud SA - Mendoza</v>
          </cell>
          <cell r="BT111" t="str">
            <v>CENCO_MZ - Cencosud SA - Mendoza</v>
          </cell>
          <cell r="BU111" t="str">
            <v>CENCO_MZ - Cencosud SA - Mendoza</v>
          </cell>
          <cell r="BV111" t="str">
            <v>CENCO_MZ - Cencosud SA - Mendoza</v>
          </cell>
          <cell r="BW111" t="str">
            <v>CENCO_MZ - Cencosud SA - Mendoza</v>
          </cell>
          <cell r="BX111" t="str">
            <v>CENCO_MZ - Cencosud SA - Mendoza</v>
          </cell>
          <cell r="BY111" t="str">
            <v>CENCO_MZ - Cencosud SA - Mendoza</v>
          </cell>
          <cell r="BZ111" t="str">
            <v>CENCO_MZ - Cencosud SA - Mendoza</v>
          </cell>
          <cell r="CA111" t="str">
            <v>CENCO_MZ - Cencosud SA - Mendoza</v>
          </cell>
          <cell r="CB111" t="str">
            <v>CENCO_MZ - Cencosud SA - Mendoza</v>
          </cell>
          <cell r="CC111" t="str">
            <v>CENCO_MZ - Cencosud SA - Mendoza</v>
          </cell>
          <cell r="CD111" t="str">
            <v>CENCO_MZ - Cencosud SA - Mendoza</v>
          </cell>
          <cell r="CE111" t="str">
            <v>CENCO_MZ - Cencosud SA - Mendoza</v>
          </cell>
          <cell r="CF111" t="str">
            <v>CENCO_MZ - Cencosud SA - Mendoza</v>
          </cell>
          <cell r="CG111" t="str">
            <v>CENCO_MZ - Cencosud SA - Mendoza</v>
          </cell>
          <cell r="CH111" t="str">
            <v>CENCO_MZ - Cencosud SA - Mendoza</v>
          </cell>
          <cell r="CI111" t="str">
            <v>CENCO_MZ - Cencosud SA - Mendoza</v>
          </cell>
          <cell r="CJ111" t="str">
            <v>CENCO_MZ - Cencosud SA - Mendoza</v>
          </cell>
          <cell r="CK111" t="str">
            <v>CENCO_MZ - Cencosud SA - Mendoza</v>
          </cell>
          <cell r="CL111" t="str">
            <v>CENCO_MZ - Cencosud SA - Mendoza</v>
          </cell>
          <cell r="CM111" t="str">
            <v>CENCO_MZ - Cencosud SA - Mendoza</v>
          </cell>
          <cell r="CN111" t="str">
            <v>CENCO_MZ - Cencosud SA - Mendoza</v>
          </cell>
          <cell r="CO111" t="str">
            <v>CENCO_MZ - Cencosud SA - Mendoza</v>
          </cell>
          <cell r="CP111" t="str">
            <v>CENCO_MZ - Cencosud SA - Mendoza</v>
          </cell>
          <cell r="CQ111" t="str">
            <v>CENCO_MZ - Cencosud SA - Mendoza</v>
          </cell>
          <cell r="CR111" t="str">
            <v>CENCO_MZ - Cencosud SA - Mendoza</v>
          </cell>
          <cell r="CS111" t="str">
            <v>CENCO_MZ - Cencosud SA - Mendoza</v>
          </cell>
          <cell r="CT111" t="str">
            <v>CENCO_MZ - Cencosud SA - Mendoza</v>
          </cell>
          <cell r="CU111" t="str">
            <v>CENCO_MZ - Cencosud SA - Mendoza</v>
          </cell>
          <cell r="CV111" t="str">
            <v>CENCO_MZ - Cencosud SA - Mendoza</v>
          </cell>
          <cell r="CW111" t="str">
            <v>CENCO_MZ - Cencosud SA - Mendoza</v>
          </cell>
        </row>
        <row r="112">
          <cell r="D112" t="str">
            <v>AF804RF</v>
          </cell>
          <cell r="E112" t="str">
            <v>Chasis</v>
          </cell>
          <cell r="F112" t="str">
            <v>Chasis</v>
          </cell>
          <cell r="G112" t="str">
            <v>CHASIS</v>
          </cell>
          <cell r="N112" t="str">
            <v>CODYLSA (LEASING MB CIA FINANCIERA ARG. SA)</v>
          </cell>
          <cell r="O112" t="str">
            <v>CODYLSA</v>
          </cell>
          <cell r="P112" t="str">
            <v>Sí</v>
          </cell>
          <cell r="Q112" t="str">
            <v>Propio</v>
          </cell>
          <cell r="R112">
            <v>12</v>
          </cell>
          <cell r="S112" t="str">
            <v>Propio</v>
          </cell>
          <cell r="T112" t="str">
            <v>MERCEDES BENZ</v>
          </cell>
          <cell r="U112" t="str">
            <v>ATEGO 1721 48</v>
          </cell>
          <cell r="V112" t="str">
            <v>924989U1412875</v>
          </cell>
          <cell r="W112" t="str">
            <v>68AB958154PA804275</v>
          </cell>
          <cell r="X112">
            <v>2023</v>
          </cell>
          <cell r="Y112">
            <v>3</v>
          </cell>
          <cell r="BL112" t="str">
            <v>Sin Op</v>
          </cell>
          <cell r="BM112" t="str">
            <v>Sin Op</v>
          </cell>
          <cell r="BN112" t="str">
            <v>Sin Op</v>
          </cell>
          <cell r="BO112" t="str">
            <v>Sin Op</v>
          </cell>
          <cell r="BP112" t="str">
            <v>ADA_SMK - Danone Arg. S.A. - SMK</v>
          </cell>
          <cell r="BQ112" t="str">
            <v>Sin Operación</v>
          </cell>
          <cell r="BR112" t="str">
            <v>Sin Operación</v>
          </cell>
          <cell r="BS112" t="str">
            <v>Unilever - Unilever de Arg. S.A.</v>
          </cell>
          <cell r="BT112" t="str">
            <v>Unilever - Unilever de Arg. S.A.</v>
          </cell>
          <cell r="BU112" t="str">
            <v>Unilever - Unilever de Arg. S.A.</v>
          </cell>
          <cell r="BV112" t="str">
            <v>Unilever - Unilever de Arg. S.A.</v>
          </cell>
          <cell r="BW112" t="str">
            <v>Unilever - Unilever de Arg. S.A.</v>
          </cell>
          <cell r="BX112" t="str">
            <v>JOHNSON - SC JOHNSON DE ARGENTINA SAIC</v>
          </cell>
          <cell r="BY112" t="str">
            <v>JOHNSON - SC JOHNSON DE ARGENTINA SAIC</v>
          </cell>
          <cell r="BZ112" t="str">
            <v>JOHNSON - SC JOHNSON DE ARGENTINA SAIC</v>
          </cell>
          <cell r="CA112" t="str">
            <v>JOHNSON - SC JOHNSON DE ARGENTINA SAIC</v>
          </cell>
          <cell r="CB112" t="str">
            <v>JOHNSON - SC JOHNSON DE ARGENTINA SAIC</v>
          </cell>
          <cell r="CC112" t="str">
            <v>JOHNSON - SC JOHNSON DE ARGENTINA SAIC</v>
          </cell>
          <cell r="CD112" t="str">
            <v>JOHNSON - SC JOHNSON DE ARGENTINA SAIC</v>
          </cell>
          <cell r="CE112" t="str">
            <v>JOHNSON - SC JOHNSON DE ARGENTINA SAIC</v>
          </cell>
          <cell r="CF112" t="str">
            <v>JOHNSON - SC JOHNSON DE ARGENTINA SAIC</v>
          </cell>
          <cell r="CG112" t="str">
            <v>JOHNSON - SC JOHNSON DE ARGENTINA SAIC</v>
          </cell>
          <cell r="CH112" t="str">
            <v>JOHNSON - SC JOHNSON DE ARGENTINA SAIC</v>
          </cell>
          <cell r="CI112" t="str">
            <v>JOHNSON - SC JOHNSON DE ARGENTINA SAIC</v>
          </cell>
          <cell r="CJ112" t="str">
            <v>JOHNSON - SC JOHNSON DE ARGENTINA SAIC</v>
          </cell>
          <cell r="CK112" t="str">
            <v>JOHNSON - SC JOHNSON DE ARGENTINA SAIC</v>
          </cell>
          <cell r="CL112" t="str">
            <v>JOHNSON - SC JOHNSON DE ARGENTINA SAIC</v>
          </cell>
          <cell r="CM112" t="str">
            <v>JOHNSON - SC JOHNSON DE ARGENTINA SAIC</v>
          </cell>
          <cell r="CN112" t="str">
            <v>Sin Operación</v>
          </cell>
          <cell r="CO112" t="str">
            <v>Sin Operación</v>
          </cell>
          <cell r="CP112" t="str">
            <v>Sin Operación</v>
          </cell>
          <cell r="CQ112" t="str">
            <v>Papelera - Papelera del Plata S.A.</v>
          </cell>
          <cell r="CR112" t="str">
            <v>Papelera - Papelera del Plata S.A.</v>
          </cell>
          <cell r="CS112" t="str">
            <v>Papelera - Papelera del Plata S.A.</v>
          </cell>
          <cell r="CT112" t="str">
            <v>Papelera - Papelera del Plata S.A.</v>
          </cell>
          <cell r="CU112" t="str">
            <v>Papelera - Papelera del Plata S.A.</v>
          </cell>
          <cell r="CV112" t="str">
            <v>Papelera - Papelera del Plata S.A.</v>
          </cell>
          <cell r="CW112" t="str">
            <v>Papelera - Papelera del Plata S.A.</v>
          </cell>
        </row>
        <row r="113">
          <cell r="D113" t="str">
            <v>AF831AF</v>
          </cell>
          <cell r="E113" t="str">
            <v>Camioneta</v>
          </cell>
          <cell r="F113" t="str">
            <v>Camioneta</v>
          </cell>
          <cell r="G113" t="str">
            <v>Camioneta</v>
          </cell>
          <cell r="N113" t="str">
            <v>TDU</v>
          </cell>
          <cell r="O113" t="str">
            <v>TDU</v>
          </cell>
          <cell r="P113" t="str">
            <v>No</v>
          </cell>
          <cell r="Q113" t="str">
            <v>Propio</v>
          </cell>
          <cell r="R113" t="str">
            <v>-</v>
          </cell>
          <cell r="S113" t="str">
            <v>Propio</v>
          </cell>
          <cell r="T113" t="str">
            <v>RENAULT</v>
          </cell>
          <cell r="U113" t="str">
            <v>KANGOO II EXPRESS CONFORT 1,5 CDI FURGON</v>
          </cell>
          <cell r="V113" t="str">
            <v>K9KC612D464218</v>
          </cell>
          <cell r="W113" t="str">
            <v>8A18SRZL4PL506007</v>
          </cell>
          <cell r="X113">
            <v>2023</v>
          </cell>
          <cell r="Y113">
            <v>3</v>
          </cell>
          <cell r="BN113" t="str">
            <v>Gs_Estru - Gastos de Estructura</v>
          </cell>
          <cell r="BO113" t="str">
            <v>Gs_Estru - Gastos de Estructura</v>
          </cell>
          <cell r="BP113" t="str">
            <v>Gs_Estru - Gastos de Estructura</v>
          </cell>
          <cell r="BQ113" t="str">
            <v>Gs_Estru - Gastos de Estructura</v>
          </cell>
          <cell r="BR113" t="str">
            <v>Gs_Estru - Gastos de Estructura</v>
          </cell>
          <cell r="BS113" t="str">
            <v>Gs_Estru - Gastos de Estructura</v>
          </cell>
          <cell r="BT113" t="str">
            <v>Gs_Estru - Gastos de Estructura</v>
          </cell>
          <cell r="BU113" t="str">
            <v>Gs_Estru - Gastos de Estructura</v>
          </cell>
          <cell r="BV113" t="str">
            <v>Gs_Estru - Gastos de Estructura</v>
          </cell>
          <cell r="BW113" t="str">
            <v>Gs_Estru - Gastos de Estructura</v>
          </cell>
          <cell r="BX113" t="str">
            <v>Gs_Estru - Gastos de Estructura</v>
          </cell>
          <cell r="BY113" t="str">
            <v>Gs_Estru - Gastos de Estructura</v>
          </cell>
          <cell r="BZ113" t="str">
            <v>Gs_Estru - Gastos de Estructura</v>
          </cell>
          <cell r="CA113" t="str">
            <v>Gs_Estru - Gastos de Estructura</v>
          </cell>
          <cell r="CB113" t="str">
            <v>Gs_Estru - Gastos de Estructura</v>
          </cell>
          <cell r="CC113" t="str">
            <v>Gs_Estru - Gastos de Estructura</v>
          </cell>
          <cell r="CD113" t="str">
            <v>Gs_Estru - Gastos de Estructura</v>
          </cell>
          <cell r="CE113" t="str">
            <v>Gs_Estru - Gastos de Estructura</v>
          </cell>
          <cell r="CF113" t="str">
            <v>Gs_Estru - Gastos de Estructura</v>
          </cell>
          <cell r="CG113" t="str">
            <v>Gs_Estru - Gastos de Estructura</v>
          </cell>
          <cell r="CH113" t="str">
            <v>Gs_Estru - Gastos de Estructura</v>
          </cell>
          <cell r="CI113" t="str">
            <v>Gs_Estru - Gastos de Estructura</v>
          </cell>
          <cell r="CJ113" t="str">
            <v>Gs_Estru - Gastos de Estructura</v>
          </cell>
          <cell r="CK113" t="str">
            <v>Gs_Estru - Gastos de Estructura</v>
          </cell>
          <cell r="CL113" t="str">
            <v>Gs_Estru - Gastos de Estructura</v>
          </cell>
          <cell r="CM113" t="str">
            <v>Gs_Estru - Gastos de Estructura</v>
          </cell>
          <cell r="CN113" t="str">
            <v>CIMSA_BS AS</v>
          </cell>
          <cell r="CO113" t="str">
            <v>CIMSA_BS AS</v>
          </cell>
          <cell r="CP113" t="str">
            <v>CIMSA_BS AS</v>
          </cell>
          <cell r="CQ113" t="str">
            <v>CIMSA_BS AS</v>
          </cell>
          <cell r="CR113" t="str">
            <v>CIMSA_BS AS</v>
          </cell>
          <cell r="CS113" t="str">
            <v>CIMSA_BS AS</v>
          </cell>
          <cell r="CT113" t="str">
            <v>CIMSA_BS AS</v>
          </cell>
          <cell r="CU113" t="str">
            <v>CIMSA_BS AS</v>
          </cell>
          <cell r="CV113" t="str">
            <v>CIMSA_BS AS</v>
          </cell>
          <cell r="CW113" t="str">
            <v>CIMSA_BS AS</v>
          </cell>
        </row>
        <row r="114">
          <cell r="D114" t="str">
            <v>AF865RV</v>
          </cell>
          <cell r="E114" t="str">
            <v>Camioneta</v>
          </cell>
          <cell r="F114" t="str">
            <v>Camioneta</v>
          </cell>
          <cell r="G114" t="str">
            <v>Camioneta</v>
          </cell>
          <cell r="N114" t="str">
            <v>TDU</v>
          </cell>
          <cell r="O114" t="str">
            <v>TDU</v>
          </cell>
          <cell r="P114" t="str">
            <v>No</v>
          </cell>
          <cell r="Q114" t="str">
            <v>Propio</v>
          </cell>
          <cell r="R114" t="str">
            <v>-</v>
          </cell>
          <cell r="S114" t="str">
            <v>Propio</v>
          </cell>
          <cell r="T114" t="str">
            <v>RENAULT</v>
          </cell>
          <cell r="U114" t="str">
            <v>KANGOO II EXPRESS CONFORT 1,5 CDI FURGON</v>
          </cell>
          <cell r="V114" t="str">
            <v>K9KC612D463942</v>
          </cell>
          <cell r="W114" t="str">
            <v>8A18SRZL4PL497099</v>
          </cell>
          <cell r="X114">
            <v>2023</v>
          </cell>
          <cell r="Y114">
            <v>3</v>
          </cell>
          <cell r="BN114" t="str">
            <v>Gs_Estru - Gastos de Estructura</v>
          </cell>
          <cell r="BO114" t="str">
            <v>Gs_Estru - Gastos de Estructura</v>
          </cell>
          <cell r="BP114" t="str">
            <v>Gs_Estru - Gastos de Estructura</v>
          </cell>
          <cell r="BQ114" t="str">
            <v>Gs_Estru - Gastos de Estructura</v>
          </cell>
          <cell r="BR114" t="str">
            <v>Gs_Estru - Gastos de Estructura</v>
          </cell>
          <cell r="BS114" t="str">
            <v>Gs_Estru - Gastos de Estructura</v>
          </cell>
          <cell r="BT114" t="str">
            <v>Gs_Estru - Gastos de Estructura</v>
          </cell>
          <cell r="BU114" t="str">
            <v>Gs_Estru - Gastos de Estructura</v>
          </cell>
          <cell r="BV114" t="str">
            <v>Gs_Estru - Gastos de Estructura</v>
          </cell>
          <cell r="BW114" t="str">
            <v>Gs_Estru - Gastos de Estructura</v>
          </cell>
          <cell r="BX114" t="str">
            <v>Gs_Estru - Gastos de Estructura</v>
          </cell>
          <cell r="BY114" t="str">
            <v>Gs_Estru - Gastos de Estructura</v>
          </cell>
          <cell r="BZ114" t="str">
            <v>Gs_Estru - Gastos de Estructura</v>
          </cell>
          <cell r="CA114" t="str">
            <v>Gs_Estru - Gastos de Estructura</v>
          </cell>
          <cell r="CB114" t="str">
            <v>Gs_Estru - Gastos de Estructura</v>
          </cell>
          <cell r="CC114" t="str">
            <v>Gs_Estru - Gastos de Estructura</v>
          </cell>
          <cell r="CD114" t="str">
            <v>Gs_Estru - Gastos de Estructura</v>
          </cell>
          <cell r="CE114" t="str">
            <v>Gs_Estru - Gastos de Estructura</v>
          </cell>
          <cell r="CF114" t="str">
            <v>Gs_Estru - Gastos de Estructura</v>
          </cell>
          <cell r="CG114" t="str">
            <v>Gs_Estru - Gastos de Estructura</v>
          </cell>
          <cell r="CH114" t="str">
            <v>Gs_Estru - Gastos de Estructura</v>
          </cell>
          <cell r="CI114" t="str">
            <v>Gs_Estru - Gastos de Estructura</v>
          </cell>
          <cell r="CJ114" t="str">
            <v>Gs_Estru - Gastos de Estructura</v>
          </cell>
          <cell r="CK114" t="str">
            <v>Gs_Estru - Gastos de Estructura</v>
          </cell>
          <cell r="CL114" t="str">
            <v>Gs_Estru - Gastos de Estructura</v>
          </cell>
          <cell r="CM114" t="str">
            <v>Gs_Estru - Gastos de Estructura</v>
          </cell>
          <cell r="CN114" t="str">
            <v>CIMSA_BS AS</v>
          </cell>
          <cell r="CO114" t="str">
            <v>CIMSA_BS AS</v>
          </cell>
          <cell r="CP114" t="str">
            <v>CIMSA_BS AS</v>
          </cell>
          <cell r="CQ114" t="str">
            <v>CIMSA_BS AS</v>
          </cell>
          <cell r="CR114" t="str">
            <v>CIMSA_BS AS</v>
          </cell>
          <cell r="CS114" t="str">
            <v>CIMSA_BS AS</v>
          </cell>
          <cell r="CT114" t="str">
            <v>CIMSA_BS AS</v>
          </cell>
          <cell r="CU114" t="str">
            <v>CIMSA_BS AS</v>
          </cell>
          <cell r="CV114" t="str">
            <v>CIMSA_BS AS</v>
          </cell>
          <cell r="CW114" t="str">
            <v>CIMSA_BS AS</v>
          </cell>
        </row>
        <row r="115">
          <cell r="D115" t="str">
            <v>HRJ004</v>
          </cell>
          <cell r="E115" t="str">
            <v>Chasis</v>
          </cell>
          <cell r="F115" t="str">
            <v>Chasis</v>
          </cell>
          <cell r="G115" t="str">
            <v>Chasis termico</v>
          </cell>
          <cell r="N115" t="str">
            <v>CODYLSA</v>
          </cell>
          <cell r="O115" t="str">
            <v>CODYLSA</v>
          </cell>
          <cell r="P115" t="str">
            <v>No</v>
          </cell>
          <cell r="Q115" t="str">
            <v>Propio</v>
          </cell>
          <cell r="R115">
            <v>12</v>
          </cell>
          <cell r="S115" t="str">
            <v>Propio</v>
          </cell>
          <cell r="T115" t="str">
            <v>MERCEDES BENZ</v>
          </cell>
          <cell r="U115" t="str">
            <v>L-1318</v>
          </cell>
          <cell r="V115" t="str">
            <v>904976U0802645</v>
          </cell>
          <cell r="W115" t="str">
            <v>9BM6940009B627141</v>
          </cell>
          <cell r="X115">
            <v>2008</v>
          </cell>
          <cell r="Y115">
            <v>18</v>
          </cell>
          <cell r="Z115" t="str">
            <v>Jumbo Mendoza</v>
          </cell>
          <cell r="AA115" t="str">
            <v>CENCO_MZ - Cencosud SA - Mendoza</v>
          </cell>
          <cell r="AB115" t="str">
            <v>CENCO_MZ - Cencosud SA - Mendoza</v>
          </cell>
          <cell r="AC115" t="str">
            <v>CENCO_MZ - Cencosud SA - Mendoza</v>
          </cell>
          <cell r="AD115" t="str">
            <v>CENCO_MZ - Cencosud SA - Mendoza</v>
          </cell>
          <cell r="AE115" t="str">
            <v>CENCO_MZ - Cencosud SA - Mendoza</v>
          </cell>
          <cell r="AF115" t="str">
            <v>CENCO_MZ - Cencosud SA - Mendoza</v>
          </cell>
          <cell r="AG115" t="str">
            <v>CENCO_MZ - Cencosud SA - Mendoza</v>
          </cell>
          <cell r="AH115" t="str">
            <v>CENCO_MZ - Cencosud SA - Mendoza</v>
          </cell>
          <cell r="AI115" t="str">
            <v>CENCO_MZ - Cencosud SA - Mendoza</v>
          </cell>
          <cell r="AJ115" t="str">
            <v>CENCO_MZ - Cencosud SA - Mendoza</v>
          </cell>
          <cell r="AK115" t="str">
            <v>CENCO_MZ - Cencosud SA - Mendoza</v>
          </cell>
          <cell r="AL115" t="str">
            <v>CENCO_MZ - Cencosud SA - Mendoza</v>
          </cell>
          <cell r="AM115" t="str">
            <v>CENCO_MZ - Cencosud SA - Mendoza</v>
          </cell>
          <cell r="AN115" t="str">
            <v>CENCO_MZ - Cencosud SA - Mendoza</v>
          </cell>
          <cell r="AO115" t="str">
            <v>CENCO_MZ - Cencosud SA - Mendoza</v>
          </cell>
          <cell r="AP115" t="str">
            <v>CENCO_MZ - Cencosud SA - Mendoza</v>
          </cell>
          <cell r="AQ115" t="str">
            <v>CENCO_MZ - Cencosud SA - Mendoza</v>
          </cell>
          <cell r="AR115" t="str">
            <v>CENCO_MZ - Cencosud SA - Mendoza</v>
          </cell>
          <cell r="AS115" t="str">
            <v>CENCO_MZ - Cencosud SA - Mendoza</v>
          </cell>
          <cell r="AT115" t="str">
            <v>CENCO_MZ - Cencosud SA - Mendoza</v>
          </cell>
          <cell r="AU115" t="str">
            <v>CENCO_MZ - Cencosud SA - Mendoza</v>
          </cell>
          <cell r="AV115" t="str">
            <v>CENCO_MZ - Cencosud SA - Mendoza</v>
          </cell>
          <cell r="AW115" t="str">
            <v>CENCO_MZ - Cencosud SA - Mendoza</v>
          </cell>
          <cell r="AX115" t="str">
            <v>CENCO_MZ - Cencosud SA - Mendoza</v>
          </cell>
          <cell r="AY115" t="str">
            <v>CENCO_MZ - Cencosud SA - Mendoza</v>
          </cell>
          <cell r="AZ115" t="str">
            <v>CENCO_MZ - Cencosud SA - Mendoza</v>
          </cell>
          <cell r="BA115" t="str">
            <v>CENCO_MZ - Cencosud SA - Mendoza</v>
          </cell>
          <cell r="BB115" t="str">
            <v>CENCO_MZ - Cencosud SA - Mendoza</v>
          </cell>
          <cell r="BC115" t="str">
            <v>CENCO_MZ - Cencosud SA - Mendoza</v>
          </cell>
          <cell r="BD115" t="str">
            <v>CENCO_MZ - Cencosud SA - Mendoza</v>
          </cell>
          <cell r="BE115" t="str">
            <v>CENCO_MZ - Cencosud SA - Mendoza</v>
          </cell>
          <cell r="BF115" t="str">
            <v>CENCO_MZ - Cencosud SA - Mendoza</v>
          </cell>
          <cell r="BG115" t="str">
            <v>CENCO_MZ - Cencosud SA - Mendoza</v>
          </cell>
          <cell r="BH115" t="str">
            <v>CENCO_MZ - Cencosud SA - Mendoza</v>
          </cell>
          <cell r="BI115" t="str">
            <v>CENCO_MZ - Cencosud SA - Mendoza</v>
          </cell>
          <cell r="BJ115" t="str">
            <v>CENCO_MZ - Cencosud SA - Mendoza</v>
          </cell>
          <cell r="BK115" t="str">
            <v>CENCO_MZ - Cencosud SA - Mendoza</v>
          </cell>
          <cell r="BL115" t="str">
            <v>CENCO_MZ - Cencosud SA - Mendoza</v>
          </cell>
          <cell r="BM115" t="str">
            <v>CENCO_MZ - Cencosud SA - Mendoza</v>
          </cell>
          <cell r="BN115" t="str">
            <v>CENCO_MZ - Cencosud SA - Mendoza</v>
          </cell>
          <cell r="BO115" t="str">
            <v>CENCO_MZ - Cencosud SA - Mendoza</v>
          </cell>
          <cell r="BP115" t="str">
            <v>CENCO_MZ - Cencosud SA - Mendoza</v>
          </cell>
          <cell r="BQ115" t="str">
            <v>CENCO_MZ - Cencosud SA - Mendoza</v>
          </cell>
          <cell r="BR115" t="str">
            <v>CENCO_MZ - Cencosud SA - Mendoza</v>
          </cell>
          <cell r="BS115" t="str">
            <v>CENCO_MZ - Cencosud SA - Mendoza</v>
          </cell>
          <cell r="BT115" t="str">
            <v>CENCO_MZ - Cencosud SA - Mendoza</v>
          </cell>
          <cell r="BU115" t="str">
            <v>CENCO_MZ - Cencosud SA - Mendoza</v>
          </cell>
          <cell r="BV115" t="str">
            <v>CENCO_MZ - Cencosud SA - Mendoza</v>
          </cell>
          <cell r="BW115" t="str">
            <v>CENCO_MZ - Cencosud SA - Mendoza</v>
          </cell>
          <cell r="BX115" t="str">
            <v>CENCO_MZ - Cencosud SA - Mendoza</v>
          </cell>
          <cell r="BY115" t="str">
            <v>CENCO_MZ - Cencosud SA - Mendoza</v>
          </cell>
          <cell r="BZ115" t="str">
            <v>CENCO_MZ - Cencosud SA - Mendoza</v>
          </cell>
          <cell r="CA115" t="str">
            <v>CENCO_MZ - Cencosud SA - Mendoza</v>
          </cell>
          <cell r="CB115" t="str">
            <v>CENCO_MZ - Cencosud SA - Mendoza</v>
          </cell>
          <cell r="CC115" t="str">
            <v>CENCO_MZ - Cencosud SA - Mendoza</v>
          </cell>
          <cell r="CD115" t="str">
            <v>CENCO_MZ - Cencosud SA - Mendoza</v>
          </cell>
          <cell r="CE115" t="str">
            <v>CENCO_MZ - Cencosud SA - Mendoza</v>
          </cell>
          <cell r="CF115" t="str">
            <v>CENCO_MZ - Cencosud SA - Mendoza</v>
          </cell>
          <cell r="CG115" t="str">
            <v>CENCO_MZ - Cencosud SA - Mendoza</v>
          </cell>
          <cell r="CH115" t="str">
            <v>CENCO_MZ - Cencosud SA - Mendoza</v>
          </cell>
          <cell r="CI115" t="str">
            <v>CENCO_MZ - Cencosud SA - Mendoza</v>
          </cell>
          <cell r="CJ115" t="str">
            <v>CENCO_MZ - Cencosud SA - Mendoza</v>
          </cell>
          <cell r="CK115" t="str">
            <v>CENCO_MZ - Cencosud SA - Mendoza</v>
          </cell>
          <cell r="CL115" t="str">
            <v>CENCO_MZ - Cencosud SA - Mendoza</v>
          </cell>
          <cell r="CM115" t="str">
            <v>CENCO_MZ - Cencosud SA - Mendoza</v>
          </cell>
          <cell r="CN115" t="str">
            <v>CENCO_MZ - Cencosud SA - Mendoza</v>
          </cell>
          <cell r="CO115" t="str">
            <v>CENCO_MZ - Cencosud SA - Mendoza</v>
          </cell>
          <cell r="CP115" t="str">
            <v>CENCO_MZ - Cencosud SA - Mendoza</v>
          </cell>
          <cell r="CQ115" t="str">
            <v>CENCO_MZ - Cencosud SA - Mendoza</v>
          </cell>
          <cell r="CR115" t="str">
            <v>CENCO_MZ - Cencosud SA - Mendoza</v>
          </cell>
          <cell r="CS115" t="str">
            <v>CENCO_MZ - Cencosud SA - Mendoza</v>
          </cell>
          <cell r="CT115" t="str">
            <v>CENCO_MZ - Cencosud SA - Mendoza</v>
          </cell>
          <cell r="CU115" t="str">
            <v>CENCO_MZ - Cencosud SA - Mendoza</v>
          </cell>
          <cell r="CV115" t="str">
            <v>CENCO_MZ - Cencosud SA - Mendoza</v>
          </cell>
          <cell r="CW115" t="str">
            <v>CENCO_MZ - Cencosud SA - Mendoza</v>
          </cell>
        </row>
        <row r="116">
          <cell r="D116" t="str">
            <v>AF918RI</v>
          </cell>
          <cell r="E116" t="str">
            <v>CHASIS</v>
          </cell>
          <cell r="F116" t="str">
            <v>Balancin</v>
          </cell>
          <cell r="G116" t="str">
            <v>Balancin</v>
          </cell>
          <cell r="N116" t="str">
            <v>TDU</v>
          </cell>
          <cell r="O116" t="str">
            <v>TDU</v>
          </cell>
          <cell r="P116" t="str">
            <v>No</v>
          </cell>
          <cell r="Q116" t="str">
            <v>Propio</v>
          </cell>
          <cell r="R116">
            <v>16</v>
          </cell>
          <cell r="S116" t="str">
            <v>Propio</v>
          </cell>
          <cell r="T116" t="str">
            <v>IVECO</v>
          </cell>
          <cell r="U116" t="str">
            <v>170E28NCM51</v>
          </cell>
          <cell r="V116" t="str">
            <v>F4AE3681E*8113258</v>
          </cell>
          <cell r="W116" t="str">
            <v>8ATA1RMH0PX122593</v>
          </cell>
          <cell r="X116">
            <v>2023</v>
          </cell>
          <cell r="Y116">
            <v>3</v>
          </cell>
          <cell r="BO116" t="str">
            <v>Sin Operación</v>
          </cell>
          <cell r="BP116" t="str">
            <v>Sin Operación</v>
          </cell>
          <cell r="BQ116" t="str">
            <v>Sin Operación</v>
          </cell>
          <cell r="BR116" t="str">
            <v>Sin Operación</v>
          </cell>
          <cell r="BS116" t="str">
            <v>Sin Operación</v>
          </cell>
          <cell r="BT116" t="str">
            <v>CMQ_TTE - QUILMES TTE</v>
          </cell>
          <cell r="BU116" t="str">
            <v>CMQ_TTE - QUILMES TTE</v>
          </cell>
          <cell r="BV116" t="str">
            <v>CMQ_TTE - QUILMES TTE</v>
          </cell>
          <cell r="BW116" t="str">
            <v>CMQ_TTE - QUILMES TTE</v>
          </cell>
          <cell r="BX116" t="str">
            <v>CMQ_TTE - QUILMES TTE</v>
          </cell>
          <cell r="BY116" t="str">
            <v>CMQ_TTE - QUILMES TTE</v>
          </cell>
          <cell r="BZ116" t="str">
            <v>CMQ_TTE - QUILMES TTE</v>
          </cell>
          <cell r="CA116" t="str">
            <v>CMQ_TTE - QUILMES TTE</v>
          </cell>
          <cell r="CB116" t="str">
            <v>CMQ_TTE - QUILMES TTE</v>
          </cell>
          <cell r="CC116" t="str">
            <v>CMQ_TTE - QUILMES TTE</v>
          </cell>
          <cell r="CD116" t="str">
            <v>CMQ_TTE - QUILMES TTE</v>
          </cell>
          <cell r="CE116" t="str">
            <v>CMQ_TTE - QUILMES TTE</v>
          </cell>
          <cell r="CF116" t="str">
            <v>CMQ_TTE - QUILMES TTE</v>
          </cell>
          <cell r="CG116" t="str">
            <v>CMQ_TTE - QUILMES TTE</v>
          </cell>
          <cell r="CH116" t="str">
            <v>CMQ_TTE - QUILMES TTE</v>
          </cell>
          <cell r="CI116" t="str">
            <v>CMQ_TTE - QUILMES TTE</v>
          </cell>
          <cell r="CJ116" t="str">
            <v>CMQ_TTE - QUILMES TTE</v>
          </cell>
          <cell r="CK116" t="str">
            <v>CMQ_TTE - QUILMES TTE</v>
          </cell>
          <cell r="CL116" t="str">
            <v>CMQ_TTE - QUILMES TTE</v>
          </cell>
          <cell r="CM116" t="str">
            <v>CMQ_TTE - QUILMES TTE</v>
          </cell>
          <cell r="CN116" t="str">
            <v>CMQ_TTE - QUILMES TTE</v>
          </cell>
          <cell r="CO116" t="str">
            <v>CMQ_TTE - QUILMES TTE</v>
          </cell>
          <cell r="CP116" t="str">
            <v>CMQ_TTE - QUILMES TTE</v>
          </cell>
          <cell r="CQ116" t="str">
            <v>CMQ_TTE - QUILMES TTE</v>
          </cell>
          <cell r="CR116" t="str">
            <v>CMQ_TTE - QUILMES TTE</v>
          </cell>
          <cell r="CS116" t="str">
            <v>CMQ_TTE - QUILMES TTE</v>
          </cell>
          <cell r="CT116" t="str">
            <v>CMQ_TTE - QUILMES TTE</v>
          </cell>
          <cell r="CU116" t="str">
            <v>CMQ_TTE - QUILMES TTE</v>
          </cell>
          <cell r="CV116" t="str">
            <v>CMQ_TTE - QUILMES TTE</v>
          </cell>
          <cell r="CW116" t="str">
            <v>CMQ_TTE - QUILMES TTE</v>
          </cell>
        </row>
        <row r="117">
          <cell r="D117" t="str">
            <v>AF948NA</v>
          </cell>
          <cell r="E117" t="str">
            <v>Chasis</v>
          </cell>
          <cell r="F117" t="str">
            <v>Balancin</v>
          </cell>
          <cell r="G117" t="str">
            <v>Balancin Playo</v>
          </cell>
          <cell r="N117" t="str">
            <v>TDU-AURELIA-LEASING BIND</v>
          </cell>
          <cell r="O117" t="str">
            <v>TDU</v>
          </cell>
          <cell r="P117" t="str">
            <v>Sí</v>
          </cell>
          <cell r="Q117" t="str">
            <v>Propio</v>
          </cell>
          <cell r="R117">
            <v>16</v>
          </cell>
          <cell r="S117" t="str">
            <v>Propio</v>
          </cell>
          <cell r="T117" t="str">
            <v>IVECO</v>
          </cell>
          <cell r="U117" t="str">
            <v>170E28 MLC</v>
          </cell>
          <cell r="V117" t="str">
            <v>F4AE3681E*8114979</v>
          </cell>
          <cell r="W117" t="str">
            <v>8ATA1RMH0PX122901</v>
          </cell>
          <cell r="X117">
            <v>2023</v>
          </cell>
          <cell r="Y117">
            <v>3</v>
          </cell>
          <cell r="BO117" t="str">
            <v>Sin Operación</v>
          </cell>
          <cell r="BP117" t="str">
            <v>Sin Operación</v>
          </cell>
          <cell r="BQ117" t="str">
            <v>Sin Operación</v>
          </cell>
          <cell r="BR117" t="str">
            <v>Sin Operación</v>
          </cell>
          <cell r="BS117" t="str">
            <v>CMQ_TTE - QUILMES TTE</v>
          </cell>
          <cell r="BT117" t="str">
            <v>CMQ_TTE - QUILMES TTE</v>
          </cell>
          <cell r="BU117" t="str">
            <v>CMQ_TTE - QUILMES TTE</v>
          </cell>
          <cell r="BV117" t="str">
            <v>CMQ_TTE - QUILMES TTE</v>
          </cell>
          <cell r="BW117" t="str">
            <v>CMQ_TTE - QUILMES TTE</v>
          </cell>
          <cell r="BX117" t="str">
            <v>CMQ_TTE - QUILMES TTE</v>
          </cell>
          <cell r="BY117" t="str">
            <v>CMQ_TTE - QUILMES TTE</v>
          </cell>
          <cell r="BZ117" t="str">
            <v>CMQ_TTE - QUILMES TTE</v>
          </cell>
          <cell r="CA117" t="str">
            <v>CMQ_TTE - QUILMES TTE</v>
          </cell>
          <cell r="CB117" t="str">
            <v>CMQ_TTE - QUILMES TTE</v>
          </cell>
          <cell r="CC117" t="str">
            <v>CMQ_TTE - QUILMES TTE</v>
          </cell>
          <cell r="CD117" t="str">
            <v>CMQ_TTE - QUILMES TTE</v>
          </cell>
          <cell r="CE117" t="str">
            <v>CMQ_TTE - QUILMES TTE</v>
          </cell>
          <cell r="CF117" t="str">
            <v>CMQ_TTE - QUILMES TTE</v>
          </cell>
          <cell r="CG117" t="str">
            <v>CMQ_TTE - QUILMES TTE</v>
          </cell>
          <cell r="CH117" t="str">
            <v>CMQ_TTE - QUILMES TTE</v>
          </cell>
          <cell r="CI117" t="str">
            <v>CMQ_TTE - QUILMES TTE</v>
          </cell>
          <cell r="CJ117" t="str">
            <v>CMQ_TTE - QUILMES TTE</v>
          </cell>
          <cell r="CK117" t="str">
            <v>CMQ_TTE - QUILMES TTE</v>
          </cell>
          <cell r="CL117" t="str">
            <v>CMQ_TTE - QUILMES TTE</v>
          </cell>
          <cell r="CM117" t="str">
            <v>CMQ_TTE - QUILMES TTE</v>
          </cell>
          <cell r="CN117" t="str">
            <v>CMQ_TTE - QUILMES TTE</v>
          </cell>
          <cell r="CO117" t="str">
            <v>CMQ_TTE - QUILMES TTE</v>
          </cell>
          <cell r="CP117" t="str">
            <v>CMQ_TTE - QUILMES TTE</v>
          </cell>
          <cell r="CQ117" t="str">
            <v>CMQ_TTE - QUILMES TTE</v>
          </cell>
          <cell r="CR117" t="str">
            <v>CMQ_TTE - QUILMES TTE</v>
          </cell>
          <cell r="CS117" t="str">
            <v>CMQ_TTE - QUILMES TTE</v>
          </cell>
          <cell r="CT117" t="str">
            <v>CMQ_TTE - QUILMES TTE</v>
          </cell>
          <cell r="CU117" t="str">
            <v>CMQ_TTE - QUILMES TTE</v>
          </cell>
          <cell r="CV117" t="str">
            <v>CMQ_TTE - QUILMES TTE</v>
          </cell>
          <cell r="CW117" t="str">
            <v>CMQ_TTE - QUILMES TTE</v>
          </cell>
        </row>
        <row r="118">
          <cell r="D118" t="str">
            <v>AG017HW</v>
          </cell>
          <cell r="E118" t="str">
            <v>Tractor</v>
          </cell>
          <cell r="F118" t="str">
            <v>Tractor</v>
          </cell>
          <cell r="G118" t="str">
            <v>Tractor</v>
          </cell>
          <cell r="N118" t="str">
            <v>TDU (BCO SUPERVIELLE SA-LEASING)</v>
          </cell>
          <cell r="O118" t="str">
            <v>TDU</v>
          </cell>
          <cell r="P118" t="str">
            <v>Sí</v>
          </cell>
          <cell r="Q118" t="str">
            <v>Propio</v>
          </cell>
          <cell r="R118" t="str">
            <v>-</v>
          </cell>
          <cell r="S118" t="str">
            <v>Propio</v>
          </cell>
          <cell r="T118" t="str">
            <v>MERCEDES BENZ</v>
          </cell>
          <cell r="U118" t="str">
            <v>ATEGO 1729 S 36 CD TE</v>
          </cell>
          <cell r="V118" t="str">
            <v>926994U1434425</v>
          </cell>
          <cell r="W118" t="str">
            <v>8AB958077PA804831</v>
          </cell>
          <cell r="X118">
            <v>2023</v>
          </cell>
          <cell r="Y118">
            <v>3</v>
          </cell>
          <cell r="BQ118" t="str">
            <v>Sin Operación</v>
          </cell>
          <cell r="BR118" t="str">
            <v>Sin Operación</v>
          </cell>
          <cell r="BS118" t="str">
            <v>Sin Operación</v>
          </cell>
          <cell r="BT118" t="str">
            <v>Sin Operación</v>
          </cell>
          <cell r="BU118" t="str">
            <v>Sin Operación</v>
          </cell>
          <cell r="BV118" t="str">
            <v>Expreso - Servicios Troncales</v>
          </cell>
          <cell r="BW118" t="str">
            <v>Expreso - Servicios Troncales</v>
          </cell>
          <cell r="BX118" t="str">
            <v>Arcor S.A.I.C.</v>
          </cell>
          <cell r="BY118" t="str">
            <v>Papelera - Papelera del Plata S.A.</v>
          </cell>
          <cell r="BZ118" t="str">
            <v>Arcor S.A.I.C.</v>
          </cell>
          <cell r="CA118" t="str">
            <v>Arcor S.A.I.C.</v>
          </cell>
          <cell r="CB118" t="str">
            <v>Arcor S.A.I.C.</v>
          </cell>
          <cell r="CC118" t="str">
            <v>Arcor S.A.I.C.</v>
          </cell>
          <cell r="CD118" t="str">
            <v>Arcor S.A.I.C.</v>
          </cell>
          <cell r="CE118" t="str">
            <v>Arcor S.A.I.C.</v>
          </cell>
          <cell r="CF118" t="str">
            <v>Arcor S.A.I.C.</v>
          </cell>
          <cell r="CG118" t="str">
            <v>Arcor S.A.I.C.</v>
          </cell>
          <cell r="CH118" t="str">
            <v>Arcor S.A.I.C.</v>
          </cell>
          <cell r="CI118" t="str">
            <v>Arcor S.A.I.C.</v>
          </cell>
          <cell r="CJ118" t="str">
            <v>Arcor S.A.I.C.</v>
          </cell>
          <cell r="CK118" t="str">
            <v>Arcor S.A.I.C.</v>
          </cell>
          <cell r="CL118" t="str">
            <v>Arcor S.A.I.C.</v>
          </cell>
          <cell r="CM118" t="str">
            <v>Arcor S.A.I.C.</v>
          </cell>
          <cell r="CN118" t="str">
            <v>Arcor S.A.I.C.</v>
          </cell>
          <cell r="CO118" t="str">
            <v>Arcor S.A.I.C.</v>
          </cell>
          <cell r="CP118" t="str">
            <v>Arcor S.A.I.C.</v>
          </cell>
          <cell r="CQ118" t="str">
            <v>Arcor S.A.I.C.</v>
          </cell>
          <cell r="CR118" t="str">
            <v>Arcor S.A.I.C.</v>
          </cell>
          <cell r="CS118" t="str">
            <v>Arcor S.A.I.C.</v>
          </cell>
          <cell r="CT118" t="str">
            <v>Arcor S.A.I.C.</v>
          </cell>
          <cell r="CU118" t="str">
            <v>Arcor S.A.I.C.</v>
          </cell>
          <cell r="CV118" t="str">
            <v>Arcor S.A.I.C.</v>
          </cell>
          <cell r="CW118" t="str">
            <v>Arcor S.A.I.C.</v>
          </cell>
        </row>
        <row r="119">
          <cell r="D119" t="str">
            <v>AG043HA</v>
          </cell>
          <cell r="E119" t="str">
            <v>Tractor</v>
          </cell>
          <cell r="F119" t="str">
            <v>Tractor</v>
          </cell>
          <cell r="G119" t="str">
            <v>Tractor</v>
          </cell>
          <cell r="N119" t="str">
            <v>TDU (BCO SUPERVIELLE SA-LEASING)</v>
          </cell>
          <cell r="O119" t="str">
            <v>TDU</v>
          </cell>
          <cell r="P119" t="str">
            <v>Sí</v>
          </cell>
          <cell r="Q119" t="str">
            <v>Propio</v>
          </cell>
          <cell r="R119" t="str">
            <v>-</v>
          </cell>
          <cell r="S119" t="str">
            <v>Propio</v>
          </cell>
          <cell r="T119" t="str">
            <v>MERCEDES BENZ</v>
          </cell>
          <cell r="U119" t="str">
            <v>ATEGO 1729 S 36 CD TE</v>
          </cell>
          <cell r="V119" t="str">
            <v>926994U1434358</v>
          </cell>
          <cell r="W119" t="str">
            <v>8AB958077PA804832</v>
          </cell>
          <cell r="X119">
            <v>2023</v>
          </cell>
          <cell r="Y119">
            <v>3</v>
          </cell>
          <cell r="BQ119" t="str">
            <v>Sin Operación</v>
          </cell>
          <cell r="BR119" t="str">
            <v>Sin Operación</v>
          </cell>
          <cell r="BS119" t="str">
            <v>Sin Operación</v>
          </cell>
          <cell r="BT119" t="str">
            <v>Sin Operación</v>
          </cell>
          <cell r="BU119" t="str">
            <v>Sin Operación</v>
          </cell>
          <cell r="BV119" t="str">
            <v>Expreso - Servicios Troncales</v>
          </cell>
          <cell r="BW119" t="str">
            <v>Expreso - Servicios Troncales</v>
          </cell>
          <cell r="BX119" t="str">
            <v>Arcor S.A.I.C.</v>
          </cell>
          <cell r="BY119" t="str">
            <v>Arcor S.A.I.C.</v>
          </cell>
          <cell r="BZ119" t="str">
            <v>Arcor S.A.I.C.</v>
          </cell>
          <cell r="CA119" t="str">
            <v>Arcor S.A.I.C.</v>
          </cell>
          <cell r="CB119" t="str">
            <v>Arcor S.A.I.C.</v>
          </cell>
          <cell r="CC119" t="str">
            <v>Arcor S.A.I.C.</v>
          </cell>
          <cell r="CD119" t="str">
            <v>Arcor S.A.I.C.</v>
          </cell>
          <cell r="CE119" t="str">
            <v>Arcor S.A.I.C.</v>
          </cell>
          <cell r="CF119" t="str">
            <v>Arcor S.A.I.C.</v>
          </cell>
          <cell r="CG119" t="str">
            <v>Arcor S.A.I.C.</v>
          </cell>
          <cell r="CH119" t="str">
            <v>Arcor S.A.I.C.</v>
          </cell>
          <cell r="CI119" t="str">
            <v>Arcor S.A.I.C.</v>
          </cell>
          <cell r="CJ119" t="str">
            <v>Arcor S.A.I.C.</v>
          </cell>
          <cell r="CK119" t="str">
            <v>Arcor S.A.I.C.</v>
          </cell>
          <cell r="CL119" t="str">
            <v>Arcor S.A.I.C.</v>
          </cell>
          <cell r="CM119" t="str">
            <v>Arcor S.A.I.C.</v>
          </cell>
          <cell r="CN119" t="str">
            <v>Arcor S.A.I.C.</v>
          </cell>
          <cell r="CO119" t="str">
            <v>Arcor S.A.I.C.</v>
          </cell>
          <cell r="CP119" t="str">
            <v>Arcor S.A.I.C.</v>
          </cell>
          <cell r="CQ119" t="str">
            <v>Arcor S.A.I.C.</v>
          </cell>
          <cell r="CR119" t="str">
            <v>Arcor S.A.I.C.</v>
          </cell>
          <cell r="CS119" t="str">
            <v>Arcor S.A.I.C.</v>
          </cell>
          <cell r="CT119" t="str">
            <v>Arcor S.A.I.C.</v>
          </cell>
          <cell r="CU119" t="str">
            <v>Arcor S.A.I.C.</v>
          </cell>
          <cell r="CV119" t="str">
            <v>Arcor S.A.I.C.</v>
          </cell>
          <cell r="CW119" t="str">
            <v>Arcor S.A.I.C.</v>
          </cell>
        </row>
        <row r="120">
          <cell r="D120" t="str">
            <v>AG054RB</v>
          </cell>
          <cell r="E120" t="str">
            <v>Semiremolque</v>
          </cell>
          <cell r="F120" t="str">
            <v>Semiremolque</v>
          </cell>
          <cell r="G120" t="str">
            <v>Semiremolque Sider 15,5m 30P</v>
          </cell>
          <cell r="N120" t="str">
            <v>DYLASA (BCO SUPERVIELLE SA-LEASING)</v>
          </cell>
          <cell r="O120" t="str">
            <v>DYLASA</v>
          </cell>
          <cell r="P120" t="str">
            <v>Sí</v>
          </cell>
          <cell r="Q120" t="str">
            <v>Propio</v>
          </cell>
          <cell r="R120">
            <v>30</v>
          </cell>
          <cell r="S120" t="str">
            <v>Propio</v>
          </cell>
          <cell r="T120" t="str">
            <v>HERMANN</v>
          </cell>
          <cell r="U120" t="str">
            <v>PALETERO S.PA.3E.71 2+1</v>
          </cell>
          <cell r="V120">
            <v>0</v>
          </cell>
          <cell r="W120" t="str">
            <v>8EHSPA3E0PA000725</v>
          </cell>
          <cell r="X120">
            <v>2023</v>
          </cell>
          <cell r="Y120">
            <v>3</v>
          </cell>
          <cell r="BR120" t="str">
            <v>Sin Operación</v>
          </cell>
          <cell r="BS120" t="str">
            <v>Sin Operación</v>
          </cell>
          <cell r="BT120" t="str">
            <v>Sin Operación</v>
          </cell>
          <cell r="BU120" t="str">
            <v>Sin Operación</v>
          </cell>
          <cell r="BV120" t="str">
            <v>Expreso - Servicios Troncales</v>
          </cell>
          <cell r="BW120" t="str">
            <v>Expreso - Servicios Troncales</v>
          </cell>
          <cell r="BX120" t="str">
            <v>Expreso - Servicios Troncales</v>
          </cell>
          <cell r="BY120" t="str">
            <v>Expreso - Servicios Troncales</v>
          </cell>
          <cell r="BZ120" t="str">
            <v>Expreso - Servicios Troncales</v>
          </cell>
          <cell r="CA120" t="str">
            <v>Expreso - Servicios Troncales</v>
          </cell>
          <cell r="CB120" t="str">
            <v>Expreso - Servicios Troncales</v>
          </cell>
          <cell r="CC120" t="str">
            <v>Expreso - Servicios Troncales</v>
          </cell>
          <cell r="CD120" t="str">
            <v>Expreso - Servicios Troncales</v>
          </cell>
          <cell r="CE120" t="str">
            <v>Expreso - Servicios Troncales</v>
          </cell>
          <cell r="CF120" t="str">
            <v>Expreso - Servicios Troncales</v>
          </cell>
          <cell r="CG120" t="str">
            <v>Expreso - Servicios Troncales</v>
          </cell>
          <cell r="CH120" t="str">
            <v>Expreso - Servicios Troncales</v>
          </cell>
          <cell r="CI120" t="str">
            <v>Expreso - Servicios Troncales</v>
          </cell>
          <cell r="CJ120" t="str">
            <v>Expreso - Servicios Troncales</v>
          </cell>
          <cell r="CK120" t="str">
            <v>Expreso - Servicios Troncales</v>
          </cell>
          <cell r="CL120" t="str">
            <v>Expreso - Servicios Troncales</v>
          </cell>
          <cell r="CM120" t="str">
            <v>Expreso - Servicios Troncales</v>
          </cell>
          <cell r="CN120" t="str">
            <v>Expreso - Servicios Troncales</v>
          </cell>
          <cell r="CO120" t="str">
            <v>Expreso - Servicios Troncales</v>
          </cell>
          <cell r="CP120" t="str">
            <v>Expreso - Servicios Troncales</v>
          </cell>
          <cell r="CQ120" t="str">
            <v>Expreso - Servicios Troncales</v>
          </cell>
          <cell r="CR120" t="str">
            <v>Expreso - Servicios Troncales</v>
          </cell>
          <cell r="CS120" t="str">
            <v>Expreso - Servicios Troncales</v>
          </cell>
          <cell r="CT120" t="str">
            <v>Expreso - Servicios Troncales</v>
          </cell>
          <cell r="CU120" t="str">
            <v>Expreso - Servicios Troncales</v>
          </cell>
          <cell r="CV120" t="str">
            <v>Expreso - Servicios Troncales</v>
          </cell>
          <cell r="CW120" t="str">
            <v>Expreso - Servicios Troncales</v>
          </cell>
        </row>
        <row r="121">
          <cell r="D121" t="str">
            <v>AG054RD</v>
          </cell>
          <cell r="E121" t="str">
            <v>Semiremolque</v>
          </cell>
          <cell r="F121" t="str">
            <v>Semiremolque</v>
          </cell>
          <cell r="G121" t="str">
            <v>Semiremolque Sider 15,5m 30P</v>
          </cell>
          <cell r="N121" t="str">
            <v>DYLASA (BCO SUPERVIELLE SA-LEASING)</v>
          </cell>
          <cell r="O121" t="str">
            <v>DYLASA</v>
          </cell>
          <cell r="P121" t="str">
            <v>Sí</v>
          </cell>
          <cell r="Q121" t="str">
            <v>Propio</v>
          </cell>
          <cell r="R121">
            <v>30</v>
          </cell>
          <cell r="S121" t="str">
            <v>Propio</v>
          </cell>
          <cell r="T121" t="str">
            <v>HERMANN</v>
          </cell>
          <cell r="U121" t="str">
            <v>PALETERO S.PA.3E.71 2+1</v>
          </cell>
          <cell r="V121">
            <v>0</v>
          </cell>
          <cell r="W121" t="str">
            <v>8EHSPA3E0PA000723</v>
          </cell>
          <cell r="X121">
            <v>2023</v>
          </cell>
          <cell r="Y121">
            <v>3</v>
          </cell>
          <cell r="BR121" t="str">
            <v>Sin Operación</v>
          </cell>
          <cell r="BS121" t="str">
            <v>Sin Operación</v>
          </cell>
          <cell r="BT121" t="str">
            <v>Sin Operación</v>
          </cell>
          <cell r="BU121" t="str">
            <v>Sin Operación</v>
          </cell>
          <cell r="BV121" t="str">
            <v>Expreso - Servicios Troncales</v>
          </cell>
          <cell r="BW121" t="str">
            <v>Expreso - Servicios Troncales</v>
          </cell>
          <cell r="BX121" t="str">
            <v>Expreso - Servicios Troncales</v>
          </cell>
          <cell r="BY121" t="str">
            <v>Expreso - Servicios Troncales</v>
          </cell>
          <cell r="BZ121" t="str">
            <v>Expreso - Servicios Troncales</v>
          </cell>
          <cell r="CA121" t="str">
            <v>Expreso - Servicios Troncales</v>
          </cell>
          <cell r="CB121" t="str">
            <v>Expreso - Servicios Troncales</v>
          </cell>
          <cell r="CC121" t="str">
            <v>Expreso - Servicios Troncales</v>
          </cell>
          <cell r="CD121" t="str">
            <v>Expreso - Servicios Troncales</v>
          </cell>
          <cell r="CE121" t="str">
            <v>Expreso - Servicios Troncales</v>
          </cell>
          <cell r="CF121" t="str">
            <v>Expreso - Servicios Troncales</v>
          </cell>
          <cell r="CG121" t="str">
            <v>Expreso - Servicios Troncales</v>
          </cell>
          <cell r="CH121" t="str">
            <v>Expreso - Servicios Troncales</v>
          </cell>
          <cell r="CI121" t="str">
            <v>Expreso - Servicios Troncales</v>
          </cell>
          <cell r="CJ121" t="str">
            <v>Expreso - Servicios Troncales</v>
          </cell>
          <cell r="CK121" t="str">
            <v>Expreso - Servicios Troncales</v>
          </cell>
          <cell r="CL121" t="str">
            <v>Expreso - Servicios Troncales</v>
          </cell>
          <cell r="CM121" t="str">
            <v>Expreso - Servicios Troncales</v>
          </cell>
          <cell r="CN121" t="str">
            <v>Expreso - Servicios Troncales</v>
          </cell>
          <cell r="CO121" t="str">
            <v>Expreso - Servicios Troncales</v>
          </cell>
          <cell r="CP121" t="str">
            <v>Expreso - Servicios Troncales</v>
          </cell>
          <cell r="CQ121" t="str">
            <v>Expreso - Servicios Troncales</v>
          </cell>
          <cell r="CR121" t="str">
            <v>Expreso - Servicios Troncales</v>
          </cell>
          <cell r="CS121" t="str">
            <v>Expreso - Servicios Troncales</v>
          </cell>
          <cell r="CT121" t="str">
            <v>Expreso - Servicios Troncales</v>
          </cell>
          <cell r="CU121" t="str">
            <v>Expreso - Servicios Troncales</v>
          </cell>
          <cell r="CV121" t="str">
            <v>Expreso - Servicios Troncales</v>
          </cell>
          <cell r="CW121" t="str">
            <v>Expreso - Servicios Troncales</v>
          </cell>
        </row>
        <row r="122">
          <cell r="D122" t="str">
            <v>AG054RE</v>
          </cell>
          <cell r="E122" t="str">
            <v>Semiremolque</v>
          </cell>
          <cell r="F122" t="str">
            <v>Semiremolque</v>
          </cell>
          <cell r="G122" t="str">
            <v>Semiremolque Sider 15,5m 30P</v>
          </cell>
          <cell r="N122" t="str">
            <v>DYLASA (BCO SUPERVIELLE SA-LEASING)</v>
          </cell>
          <cell r="O122" t="str">
            <v>DYLASA</v>
          </cell>
          <cell r="P122" t="str">
            <v>Sí</v>
          </cell>
          <cell r="Q122" t="str">
            <v>Propio</v>
          </cell>
          <cell r="R122">
            <v>30</v>
          </cell>
          <cell r="S122" t="str">
            <v>Propio</v>
          </cell>
          <cell r="T122" t="str">
            <v>HERMANN</v>
          </cell>
          <cell r="U122" t="str">
            <v>PALETERO S.PA.3E.71 2+1</v>
          </cell>
          <cell r="V122">
            <v>0</v>
          </cell>
          <cell r="W122" t="str">
            <v>8EHSPA3E0PA000724</v>
          </cell>
          <cell r="X122">
            <v>2023</v>
          </cell>
          <cell r="Y122">
            <v>3</v>
          </cell>
          <cell r="BR122" t="str">
            <v>Sin Operación</v>
          </cell>
          <cell r="BS122" t="str">
            <v>Sin Operación</v>
          </cell>
          <cell r="BT122" t="str">
            <v>Sin Operación</v>
          </cell>
          <cell r="BU122" t="str">
            <v>Sin Operación</v>
          </cell>
          <cell r="BV122" t="str">
            <v>Expreso - Servicios Troncales</v>
          </cell>
          <cell r="BW122" t="str">
            <v>Expreso - Servicios Troncales</v>
          </cell>
          <cell r="BX122" t="str">
            <v>Expreso - Servicios Troncales</v>
          </cell>
          <cell r="BY122" t="str">
            <v>Expreso - Servicios Troncales</v>
          </cell>
          <cell r="BZ122" t="str">
            <v>Expreso - Servicios Troncales</v>
          </cell>
          <cell r="CA122" t="str">
            <v>Expreso - Servicios Troncales</v>
          </cell>
          <cell r="CB122" t="str">
            <v>Expreso - Servicios Troncales</v>
          </cell>
          <cell r="CC122" t="str">
            <v>Expreso - Servicios Troncales</v>
          </cell>
          <cell r="CD122" t="str">
            <v>Expreso - Servicios Troncales</v>
          </cell>
          <cell r="CE122" t="str">
            <v>Expreso - Servicios Troncales</v>
          </cell>
          <cell r="CF122" t="str">
            <v>Expreso - Servicios Troncales</v>
          </cell>
          <cell r="CG122" t="str">
            <v>Expreso - Servicios Troncales</v>
          </cell>
          <cell r="CH122" t="str">
            <v>Expreso - Servicios Troncales</v>
          </cell>
          <cell r="CI122" t="str">
            <v>Expreso - Servicios Troncales</v>
          </cell>
          <cell r="CJ122" t="str">
            <v>Expreso - Servicios Troncales</v>
          </cell>
          <cell r="CK122" t="str">
            <v>Expreso - Servicios Troncales</v>
          </cell>
          <cell r="CL122" t="str">
            <v>Expreso - Servicios Troncales</v>
          </cell>
          <cell r="CM122" t="str">
            <v>Expreso - Servicios Troncales</v>
          </cell>
          <cell r="CN122" t="str">
            <v>Expreso - Servicios Troncales</v>
          </cell>
          <cell r="CO122" t="str">
            <v>Expreso - Servicios Troncales</v>
          </cell>
          <cell r="CP122" t="str">
            <v>Expreso - Servicios Troncales</v>
          </cell>
          <cell r="CQ122" t="str">
            <v>Expreso - Servicios Troncales</v>
          </cell>
          <cell r="CR122" t="str">
            <v>Expreso - Servicios Troncales</v>
          </cell>
          <cell r="CS122" t="str">
            <v>Expreso - Servicios Troncales</v>
          </cell>
          <cell r="CT122" t="str">
            <v>Expreso - Servicios Troncales</v>
          </cell>
          <cell r="CU122" t="str">
            <v>Expreso - Servicios Troncales</v>
          </cell>
          <cell r="CV122" t="str">
            <v>Expreso - Servicios Troncales</v>
          </cell>
          <cell r="CW122" t="str">
            <v>Expreso - Servicios Troncales</v>
          </cell>
        </row>
        <row r="123">
          <cell r="D123" t="str">
            <v>HSC655</v>
          </cell>
          <cell r="E123" t="str">
            <v>Chasis</v>
          </cell>
          <cell r="F123" t="str">
            <v>Chasis</v>
          </cell>
          <cell r="G123" t="str">
            <v>Chasis termico (falso)</v>
          </cell>
          <cell r="N123" t="str">
            <v>CODYLSA</v>
          </cell>
          <cell r="O123" t="str">
            <v>CODYLSA</v>
          </cell>
          <cell r="P123" t="str">
            <v>No</v>
          </cell>
          <cell r="Q123" t="str">
            <v>Propio</v>
          </cell>
          <cell r="R123">
            <v>12</v>
          </cell>
          <cell r="S123" t="str">
            <v>Propio</v>
          </cell>
          <cell r="T123" t="str">
            <v>MERCEDES BENZ</v>
          </cell>
          <cell r="U123" t="str">
            <v>L-1318</v>
          </cell>
          <cell r="V123" t="str">
            <v>904976U0802790</v>
          </cell>
          <cell r="W123" t="str">
            <v>9BM6940009B627357</v>
          </cell>
          <cell r="X123">
            <v>2008</v>
          </cell>
          <cell r="Y123">
            <v>18</v>
          </cell>
          <cell r="Z123" t="str">
            <v>Jumbo San Juan</v>
          </cell>
          <cell r="AA123" t="str">
            <v>CENCO_SJ - Cencosud SA - San Juan</v>
          </cell>
          <cell r="AB123" t="str">
            <v>CENCO_SJ - Cencosud SA - San Juan</v>
          </cell>
          <cell r="AC123" t="str">
            <v>CENCO_SJ - Cencosud SA - San Juan</v>
          </cell>
          <cell r="AD123" t="str">
            <v>CENCO_SJ - Cencosud SA - San Juan</v>
          </cell>
          <cell r="AE123" t="str">
            <v>CENCO_SJ - Cencosud SA - San Juan</v>
          </cell>
          <cell r="AF123" t="str">
            <v>CENCO_SJ - Cencosud SA - San Juan</v>
          </cell>
          <cell r="AG123" t="str">
            <v>CENCO_SJ - Cencosud SA - San Juan</v>
          </cell>
          <cell r="AH123" t="str">
            <v>CENCO_SJ - Cencosud SA - San Juan</v>
          </cell>
          <cell r="AI123" t="str">
            <v>CENCO_SJ - Cencosud SA - San Juan</v>
          </cell>
          <cell r="AJ123" t="str">
            <v>CENCO_SJ - Cencosud SA - San Juan</v>
          </cell>
          <cell r="AK123" t="str">
            <v>CENCO_SJ - Cencosud SA - San Juan</v>
          </cell>
          <cell r="AL123" t="str">
            <v>CENCO_SJ - Cencosud SA - San Juan</v>
          </cell>
          <cell r="AM123" t="str">
            <v>CENCO_SJ - Cencosud SA - San Juan</v>
          </cell>
          <cell r="AN123" t="str">
            <v>CENCO_SJ - Cencosud SA - San Juan</v>
          </cell>
          <cell r="AO123" t="str">
            <v>CENCO_SJ - Cencosud SA - San Juan</v>
          </cell>
          <cell r="AP123" t="str">
            <v>CENCO_SJ - Cencosud SA - San Juan</v>
          </cell>
          <cell r="AQ123" t="str">
            <v>CENCO_SJ - Cencosud SA - San Juan</v>
          </cell>
          <cell r="AR123" t="str">
            <v>CENCO_SJ - Cencosud SA - San Juan</v>
          </cell>
          <cell r="AS123" t="str">
            <v>CENCO_SJ - Cencosud SA - San Juan</v>
          </cell>
          <cell r="AT123" t="str">
            <v>CENCO_SJ - Cencosud SA - San Juan</v>
          </cell>
          <cell r="AU123" t="str">
            <v>CENCO_SJ - Cencosud SA - San Juan</v>
          </cell>
          <cell r="AV123" t="str">
            <v>CENCO_SJ - Cencosud SA - San Juan</v>
          </cell>
          <cell r="AW123" t="str">
            <v>CENCO_SJ - Cencosud SA - San Juan</v>
          </cell>
          <cell r="AX123" t="str">
            <v>CENCO_SJ - Cencosud SA - San Juan</v>
          </cell>
          <cell r="AY123" t="str">
            <v>CENCO_SJ - Cencosud SA - San Juan</v>
          </cell>
          <cell r="AZ123" t="str">
            <v>CENCO_SJ - Cencosud SA - San Juan</v>
          </cell>
          <cell r="BA123" t="str">
            <v>CENCO_SJ - Cencosud SA - San Juan</v>
          </cell>
          <cell r="BB123" t="str">
            <v>CENCO_SJ - Cencosud SA - San Juan</v>
          </cell>
          <cell r="BC123" t="str">
            <v>CENCO_SJ - Cencosud SA - San Juan</v>
          </cell>
          <cell r="BD123" t="str">
            <v>CENCO_SJ - Cencosud SA - San Juan</v>
          </cell>
          <cell r="BE123" t="str">
            <v>CENCO_SJ - Cencosud SA - San Juan</v>
          </cell>
          <cell r="BF123" t="str">
            <v>CENCO_SJ - Cencosud SA - San Juan</v>
          </cell>
          <cell r="BG123" t="str">
            <v>CENCO_SJ - Cencosud SA - San Juan</v>
          </cell>
          <cell r="BH123" t="str">
            <v>CENCO_SJ - Cencosud SA - San Juan</v>
          </cell>
          <cell r="BI123" t="str">
            <v>CENCO_SJ - Cencosud SA - San Juan</v>
          </cell>
          <cell r="BJ123" t="str">
            <v>CENCO_SJ - Cencosud SA - San Juan</v>
          </cell>
          <cell r="BK123" t="str">
            <v>CENCO_SJ - Cencosud SA - San Juan</v>
          </cell>
          <cell r="BL123" t="str">
            <v>CENCO_SJ - Cencosud SA - San Juan</v>
          </cell>
          <cell r="BM123" t="str">
            <v>CENCO_MZ - Cencosud SA - Mendoza</v>
          </cell>
          <cell r="BN123" t="str">
            <v>CENCO_MZ - Cencosud SA - Mendoza</v>
          </cell>
          <cell r="BO123" t="str">
            <v>CENCO_MZ - Cencosud SA - Mendoza</v>
          </cell>
          <cell r="BP123" t="str">
            <v>CENCO_MZ - Cencosud SA - Mendoza</v>
          </cell>
          <cell r="BQ123" t="str">
            <v>CENCO_MZ - Cencosud SA - Mendoza</v>
          </cell>
          <cell r="BR123" t="str">
            <v>CENCO_MZ - Cencosud SA - Mendoza</v>
          </cell>
          <cell r="BS123" t="str">
            <v>CENCO_MZ - Cencosud SA - Mendoza</v>
          </cell>
          <cell r="BT123" t="str">
            <v>CENCO_MZ - Cencosud SA - Mendoza</v>
          </cell>
          <cell r="BU123" t="str">
            <v>CENCO_MZ - Cencosud SA - Mendoza</v>
          </cell>
          <cell r="BV123" t="str">
            <v>CENCO_MZ - Cencosud SA - Mendoza</v>
          </cell>
          <cell r="BW123" t="str">
            <v>CENCO_MZ - Cencosud SA - Mendoza</v>
          </cell>
          <cell r="BX123" t="str">
            <v>CENCO_MZ - Cencosud SA - Mendoza</v>
          </cell>
          <cell r="BY123" t="str">
            <v>CENCO_MZ - Cencosud SA - Mendoza</v>
          </cell>
          <cell r="BZ123" t="str">
            <v>CENCO_MZ - Cencosud SA - Mendoza</v>
          </cell>
          <cell r="CA123" t="str">
            <v>CENCO_MZ - Cencosud SA - Mendoza</v>
          </cell>
          <cell r="CB123" t="str">
            <v>CENCO_MZ - Cencosud SA - Mendoza</v>
          </cell>
          <cell r="CC123" t="str">
            <v>CENCO_MZ - Cencosud SA - Mendoza</v>
          </cell>
          <cell r="CD123" t="str">
            <v>CENCO_MZ - Cencosud SA - Mendoza</v>
          </cell>
          <cell r="CE123" t="str">
            <v>CENCO_MZ - Cencosud SA - Mendoza</v>
          </cell>
          <cell r="CF123" t="str">
            <v>CENCO_MZ - Cencosud SA - Mendoza</v>
          </cell>
          <cell r="CG123" t="str">
            <v>CENCO_MZ - Cencosud SA - Mendoza</v>
          </cell>
          <cell r="CH123" t="str">
            <v>CENCO_MZ - Cencosud SA - Mendoza</v>
          </cell>
          <cell r="CI123" t="str">
            <v>CENCO_MZ - Cencosud SA - Mendoza</v>
          </cell>
          <cell r="CJ123" t="str">
            <v>CENCO_MZ - Cencosud SA - Mendoza</v>
          </cell>
          <cell r="CK123" t="str">
            <v>CENCO_MZ - Cencosud SA - Mendoza</v>
          </cell>
          <cell r="CL123" t="str">
            <v>CENCO_MZ - Cencosud SA - Mendoza</v>
          </cell>
          <cell r="CM123" t="str">
            <v>CENCO_MZ - Cencosud SA - Mendoza</v>
          </cell>
          <cell r="CN123" t="str">
            <v>CENCO_MZ - Cencosud SA - Mendoza</v>
          </cell>
          <cell r="CO123" t="str">
            <v>CENCO_MZ - Cencosud SA - Mendoza</v>
          </cell>
          <cell r="CP123" t="str">
            <v>CENCO_MZ - Cencosud SA - Mendoza</v>
          </cell>
          <cell r="CQ123" t="str">
            <v>CENCO_MZ - Cencosud SA - Mendoza</v>
          </cell>
          <cell r="CR123" t="str">
            <v>CENCO_MZ - Cencosud SA - Mendoza</v>
          </cell>
          <cell r="CS123" t="str">
            <v>CENCO_MZ - Cencosud SA - Mendoza</v>
          </cell>
          <cell r="CT123" t="str">
            <v>CENCO_MZ - Cencosud SA - Mendoza</v>
          </cell>
          <cell r="CU123" t="str">
            <v>CENCO_MZ - Cencosud SA - Mendoza</v>
          </cell>
          <cell r="CV123" t="str">
            <v>CENCO_MZ - Cencosud SA - Mendoza</v>
          </cell>
          <cell r="CW123" t="str">
            <v>CENCO_MZ - Cencosud SA - Mendoza</v>
          </cell>
        </row>
        <row r="124">
          <cell r="D124" t="str">
            <v>AG079GB</v>
          </cell>
          <cell r="E124" t="str">
            <v>Chasis</v>
          </cell>
          <cell r="F124" t="str">
            <v>Balancin</v>
          </cell>
          <cell r="G124" t="str">
            <v>Balancin</v>
          </cell>
          <cell r="N124" t="str">
            <v>TDU</v>
          </cell>
          <cell r="O124" t="str">
            <v>TDU</v>
          </cell>
          <cell r="P124" t="str">
            <v>No</v>
          </cell>
          <cell r="Q124" t="str">
            <v>Propio</v>
          </cell>
          <cell r="R124">
            <v>16</v>
          </cell>
          <cell r="S124" t="str">
            <v>Propio</v>
          </cell>
          <cell r="T124" t="str">
            <v>IVECO</v>
          </cell>
          <cell r="U124" t="str">
            <v>TECTOR EVO 170E28N 4815 MLC EBS 170E28NCM51</v>
          </cell>
          <cell r="V124" t="str">
            <v>F4AE3681E*8119597</v>
          </cell>
          <cell r="W124" t="str">
            <v>8ATA1RMH0RX124233</v>
          </cell>
          <cell r="X124">
            <v>2023</v>
          </cell>
          <cell r="Y124">
            <v>3</v>
          </cell>
          <cell r="BR124" t="str">
            <v>Sin Operación</v>
          </cell>
          <cell r="BS124" t="str">
            <v>Sin Operación</v>
          </cell>
          <cell r="BT124" t="str">
            <v>Sin Operación</v>
          </cell>
          <cell r="BU124" t="str">
            <v>Sin Operación</v>
          </cell>
          <cell r="BV124" t="str">
            <v>Sin Operación</v>
          </cell>
          <cell r="BW124" t="str">
            <v>CMQ_TTE - QUILMES TTE</v>
          </cell>
          <cell r="BX124" t="str">
            <v>CMQ_TTE - QUILMES TTE</v>
          </cell>
          <cell r="BY124" t="str">
            <v>CMQ_TTE - QUILMES TTE</v>
          </cell>
          <cell r="BZ124" t="str">
            <v>CMQ_TTE - QUILMES TTE</v>
          </cell>
          <cell r="CA124" t="str">
            <v>CMQ_TTE - QUILMES TTE</v>
          </cell>
          <cell r="CB124" t="str">
            <v>CMQ_TTE - QUILMES TTE</v>
          </cell>
          <cell r="CC124" t="str">
            <v>CMQ_TTE - QUILMES TTE</v>
          </cell>
          <cell r="CD124" t="str">
            <v>CMQ_TTE - QUILMES TTE</v>
          </cell>
          <cell r="CE124" t="str">
            <v>CMQ_TTE - QUILMES TTE</v>
          </cell>
          <cell r="CF124" t="str">
            <v>CMQ_TTE - QUILMES TTE</v>
          </cell>
          <cell r="CG124" t="str">
            <v>CMQ_TTE - QUILMES TTE</v>
          </cell>
          <cell r="CH124" t="str">
            <v>CMQ_TTE - QUILMES TTE</v>
          </cell>
          <cell r="CI124" t="str">
            <v>CMQ_TTE - QUILMES TTE</v>
          </cell>
          <cell r="CJ124" t="str">
            <v>CMQ_TTE - QUILMES TTE</v>
          </cell>
          <cell r="CK124" t="str">
            <v>CMQ_TTE - QUILMES TTE</v>
          </cell>
          <cell r="CL124" t="str">
            <v>CMQ_TTE - QUILMES TTE</v>
          </cell>
          <cell r="CM124" t="str">
            <v>CMQ_TTE - QUILMES TTE</v>
          </cell>
          <cell r="CN124" t="str">
            <v>CMQ_TTE - QUILMES TTE</v>
          </cell>
          <cell r="CO124" t="str">
            <v>CMQ_TTE - QUILMES TTE</v>
          </cell>
          <cell r="CP124" t="str">
            <v>CMQ_TTE - QUILMES TTE</v>
          </cell>
          <cell r="CQ124" t="str">
            <v>CMQ_TTE - QUILMES TTE</v>
          </cell>
          <cell r="CR124" t="str">
            <v>CMQ_TTE - QUILMES TTE</v>
          </cell>
          <cell r="CS124" t="str">
            <v>CMQ_TTE - QUILMES TTE</v>
          </cell>
          <cell r="CT124" t="str">
            <v>CMQ_TTE - QUILMES TTE</v>
          </cell>
          <cell r="CU124" t="str">
            <v>CMQ_TTE - QUILMES TTE</v>
          </cell>
          <cell r="CV124" t="str">
            <v>CMQ_TTE - QUILMES TTE</v>
          </cell>
          <cell r="CW124" t="str">
            <v>CMQ_TTE - QUILMES TTE</v>
          </cell>
        </row>
        <row r="125">
          <cell r="D125" t="str">
            <v>AG095MQ</v>
          </cell>
          <cell r="E125" t="str">
            <v>Chasis</v>
          </cell>
          <cell r="F125" t="str">
            <v>Chasis</v>
          </cell>
          <cell r="G125" t="str">
            <v>Chasis</v>
          </cell>
          <cell r="N125" t="str">
            <v>TDU-LEASING MB FINANCIERA-COLCAR</v>
          </cell>
          <cell r="O125" t="str">
            <v>TDU</v>
          </cell>
          <cell r="P125" t="str">
            <v>Sí</v>
          </cell>
          <cell r="Q125" t="str">
            <v>Propio</v>
          </cell>
          <cell r="R125">
            <v>12</v>
          </cell>
          <cell r="S125" t="str">
            <v>Propio</v>
          </cell>
          <cell r="T125" t="str">
            <v>MERCEDES BENZ</v>
          </cell>
          <cell r="U125" t="str">
            <v>ATEGO 1721 -48</v>
          </cell>
          <cell r="V125" t="str">
            <v>924989U1442848</v>
          </cell>
          <cell r="W125" t="str">
            <v>8AB958154RA805091</v>
          </cell>
          <cell r="X125">
            <v>2023</v>
          </cell>
          <cell r="Y125">
            <v>3</v>
          </cell>
          <cell r="BS125" t="str">
            <v>Sin Operación</v>
          </cell>
          <cell r="BT125" t="str">
            <v>Sin Operación</v>
          </cell>
          <cell r="BU125" t="str">
            <v>Sin Operación</v>
          </cell>
          <cell r="BV125" t="str">
            <v>Sin Operación</v>
          </cell>
          <cell r="BW125" t="str">
            <v>CMQ_TTE - QUILMES TTE</v>
          </cell>
          <cell r="BX125" t="str">
            <v>CMQ_TTE - QUILMES TTE</v>
          </cell>
          <cell r="BY125" t="str">
            <v>CMQ_TTE - QUILMES TTE</v>
          </cell>
          <cell r="BZ125" t="str">
            <v>CMQ_TTE - QUILMES TTE</v>
          </cell>
          <cell r="CA125" t="str">
            <v>CMQ_TTE - QUILMES TTE</v>
          </cell>
          <cell r="CB125" t="str">
            <v>CMQ_TTE - QUILMES TTE</v>
          </cell>
          <cell r="CC125" t="str">
            <v>CMQ_TTE - QUILMES TTE</v>
          </cell>
          <cell r="CD125" t="str">
            <v>CMQ_TTE - QUILMES TTE</v>
          </cell>
          <cell r="CE125" t="str">
            <v>CMQ_TTE - QUILMES TTE</v>
          </cell>
          <cell r="CF125" t="str">
            <v>CMQ_TTE - QUILMES TTE</v>
          </cell>
          <cell r="CG125" t="str">
            <v>CMQ_TTE - QUILMES TTE</v>
          </cell>
          <cell r="CH125" t="str">
            <v>CMQ_TTE - QUILMES TTE</v>
          </cell>
          <cell r="CI125" t="str">
            <v>CMQ_TTE - QUILMES TTE</v>
          </cell>
          <cell r="CJ125" t="str">
            <v>CMQ_TTE - QUILMES TTE</v>
          </cell>
          <cell r="CK125" t="str">
            <v>CMQ_TTE - QUILMES TTE</v>
          </cell>
          <cell r="CL125" t="str">
            <v>CMQ_TTE - QUILMES TTE</v>
          </cell>
          <cell r="CM125" t="str">
            <v>CMQ_TTE - QUILMES TTE</v>
          </cell>
          <cell r="CN125" t="str">
            <v>CMQ_TTE - QUILMES TTE</v>
          </cell>
          <cell r="CO125" t="str">
            <v>CMQ_TTE - QUILMES TTE</v>
          </cell>
          <cell r="CP125" t="str">
            <v>CMQ_TTE - QUILMES TTE</v>
          </cell>
          <cell r="CQ125" t="str">
            <v>CMQ_TTE - QUILMES TTE</v>
          </cell>
          <cell r="CR125" t="str">
            <v>CMQ_TTE - QUILMES TTE</v>
          </cell>
          <cell r="CS125" t="str">
            <v>CMQ_TTE - QUILMES TTE</v>
          </cell>
          <cell r="CT125" t="str">
            <v>CMQ_TTE - QUILMES TTE</v>
          </cell>
          <cell r="CU125" t="str">
            <v>CMQ_TTE - QUILMES TTE</v>
          </cell>
          <cell r="CV125" t="str">
            <v>CMQ_TTE - QUILMES TTE</v>
          </cell>
          <cell r="CW125" t="str">
            <v>CMQ_TTE - QUILMES TTE</v>
          </cell>
        </row>
        <row r="126">
          <cell r="D126" t="str">
            <v>AG095MR</v>
          </cell>
          <cell r="E126" t="str">
            <v>Chasis</v>
          </cell>
          <cell r="F126" t="str">
            <v>Chasis</v>
          </cell>
          <cell r="G126" t="str">
            <v>Chasis</v>
          </cell>
          <cell r="N126" t="str">
            <v>TDU-LEASING MB FINANCIERA-COLCAR</v>
          </cell>
          <cell r="O126" t="str">
            <v>TDU</v>
          </cell>
          <cell r="P126" t="str">
            <v>Sí</v>
          </cell>
          <cell r="Q126" t="str">
            <v>Propio</v>
          </cell>
          <cell r="R126">
            <v>12</v>
          </cell>
          <cell r="S126" t="str">
            <v>Propio</v>
          </cell>
          <cell r="T126" t="str">
            <v>MERCEDES BENZ</v>
          </cell>
          <cell r="U126" t="str">
            <v>ATEGO 1721 -48</v>
          </cell>
          <cell r="V126" t="str">
            <v>924989U1433817</v>
          </cell>
          <cell r="W126" t="str">
            <v>8AB958154RA804991</v>
          </cell>
          <cell r="X126">
            <v>2023</v>
          </cell>
          <cell r="Y126">
            <v>3</v>
          </cell>
          <cell r="BS126" t="str">
            <v>Sin Operación</v>
          </cell>
          <cell r="BT126" t="str">
            <v>Sin Operación</v>
          </cell>
          <cell r="BU126" t="str">
            <v>Sin Operación</v>
          </cell>
          <cell r="BV126" t="str">
            <v>Sin Operación</v>
          </cell>
          <cell r="BW126" t="str">
            <v>Sin Operación</v>
          </cell>
          <cell r="BX126" t="str">
            <v>CMQ_TTE - QUILMES TTE</v>
          </cell>
          <cell r="BY126" t="str">
            <v>CMQ_TTE - QUILMES TTE</v>
          </cell>
          <cell r="BZ126" t="str">
            <v>CMQ_TTE - QUILMES TTE</v>
          </cell>
          <cell r="CA126" t="str">
            <v>CMQ_TTE - QUILMES TTE</v>
          </cell>
          <cell r="CB126" t="str">
            <v>CMQ_TTE - QUILMES TTE</v>
          </cell>
          <cell r="CC126" t="str">
            <v>CMQ_TTE - QUILMES TTE</v>
          </cell>
          <cell r="CD126" t="str">
            <v>CMQ_TTE - QUILMES TTE</v>
          </cell>
          <cell r="CE126" t="str">
            <v>CMQ_TTE - QUILMES TTE</v>
          </cell>
          <cell r="CF126" t="str">
            <v>CMQ_TTE - QUILMES TTE</v>
          </cell>
          <cell r="CG126" t="str">
            <v>CMQ_TTE - QUILMES TTE</v>
          </cell>
          <cell r="CH126" t="str">
            <v>CMQ_TTE - QUILMES TTE</v>
          </cell>
          <cell r="CI126" t="str">
            <v>CMQ_TTE - QUILMES TTE</v>
          </cell>
          <cell r="CJ126" t="str">
            <v>CMQ_TTE - QUILMES TTE</v>
          </cell>
          <cell r="CK126" t="str">
            <v>CMQ_TTE - QUILMES TTE</v>
          </cell>
          <cell r="CL126" t="str">
            <v>CMQ_TTE - QUILMES TTE</v>
          </cell>
          <cell r="CM126" t="str">
            <v>CMQ_TTE - QUILMES TTE</v>
          </cell>
          <cell r="CN126" t="str">
            <v>CMQ_TTE - QUILMES TTE</v>
          </cell>
          <cell r="CO126" t="str">
            <v>CMQ_TTE - QUILMES TTE</v>
          </cell>
          <cell r="CP126" t="str">
            <v>CMQ_TTE - QUILMES TTE</v>
          </cell>
          <cell r="CQ126" t="str">
            <v>CMQ_TTE - QUILMES TTE</v>
          </cell>
          <cell r="CR126" t="str">
            <v>CMQ_TTE - QUILMES TTE</v>
          </cell>
          <cell r="CS126" t="str">
            <v>CMQ_TTE - QUILMES TTE</v>
          </cell>
          <cell r="CT126" t="str">
            <v>CMQ_TTE - QUILMES TTE</v>
          </cell>
          <cell r="CU126" t="str">
            <v>CMQ_TTE - QUILMES TTE</v>
          </cell>
          <cell r="CV126" t="str">
            <v>CMQ_TTE - QUILMES TTE</v>
          </cell>
          <cell r="CW126" t="str">
            <v>CMQ_TTE - QUILMES TTE</v>
          </cell>
        </row>
        <row r="127">
          <cell r="D127" t="str">
            <v>AG176NA</v>
          </cell>
          <cell r="E127" t="str">
            <v>Chasis</v>
          </cell>
          <cell r="F127" t="str">
            <v>Chasis</v>
          </cell>
          <cell r="G127" t="str">
            <v>Chasis GNC</v>
          </cell>
          <cell r="N127" t="str">
            <v>CODYLSA</v>
          </cell>
          <cell r="O127" t="str">
            <v>CODYLSA</v>
          </cell>
          <cell r="P127" t="str">
            <v>No</v>
          </cell>
          <cell r="Q127" t="str">
            <v>Propio</v>
          </cell>
          <cell r="R127">
            <v>12</v>
          </cell>
          <cell r="S127" t="str">
            <v>Propio</v>
          </cell>
          <cell r="T127" t="str">
            <v>IVECO</v>
          </cell>
          <cell r="U127" t="str">
            <v>160E21CCM32</v>
          </cell>
          <cell r="V127" t="str">
            <v>F4GFE601A*002010775</v>
          </cell>
          <cell r="W127" t="str">
            <v>8ATA01PE0PX121716</v>
          </cell>
          <cell r="X127">
            <v>2023</v>
          </cell>
          <cell r="Y127">
            <v>3</v>
          </cell>
          <cell r="BT127" t="str">
            <v>Sin Operación</v>
          </cell>
          <cell r="BU127" t="str">
            <v>Sin Operación</v>
          </cell>
          <cell r="BV127" t="str">
            <v>Sin Operación</v>
          </cell>
          <cell r="BW127" t="str">
            <v>Sin Operación</v>
          </cell>
          <cell r="BX127" t="str">
            <v>Unilever - Unilever de Arg. S.A.</v>
          </cell>
          <cell r="BY127" t="str">
            <v>Unilever - Unilever de Arg. S.A.</v>
          </cell>
          <cell r="BZ127" t="str">
            <v>Unilever - Unilever de Arg. S.A.</v>
          </cell>
          <cell r="CA127" t="str">
            <v>Unilever - Unilever de Arg. S.A.</v>
          </cell>
          <cell r="CB127" t="str">
            <v>Unilever - Unilever de Arg. S.A.</v>
          </cell>
          <cell r="CC127" t="str">
            <v>Unilever - Unilever de Arg. S.A.</v>
          </cell>
          <cell r="CD127" t="str">
            <v>Unilever - Unilever de Arg. S.A.</v>
          </cell>
          <cell r="CE127" t="str">
            <v>Unilever - Unilever de Arg. S.A.</v>
          </cell>
          <cell r="CF127" t="str">
            <v>Unilever - Unilever de Arg. S.A.</v>
          </cell>
          <cell r="CG127" t="str">
            <v>Unilever - Unilever de Arg. S.A.</v>
          </cell>
          <cell r="CH127" t="str">
            <v>Unilever - Unilever de Arg. S.A.</v>
          </cell>
          <cell r="CI127" t="str">
            <v>Unilever - Unilever de Arg. S.A.</v>
          </cell>
          <cell r="CJ127" t="str">
            <v>Unilever - Unilever de Arg. S.A.</v>
          </cell>
          <cell r="CK127" t="str">
            <v>Unilever - Unilever de Arg. S.A.</v>
          </cell>
          <cell r="CL127" t="str">
            <v>Unilever - Unilever de Arg. S.A.</v>
          </cell>
          <cell r="CM127" t="str">
            <v>Unilever - Unilever de Arg. S.A.</v>
          </cell>
          <cell r="CN127" t="str">
            <v>Unilever - Unilever de Arg. S.A.</v>
          </cell>
          <cell r="CO127" t="str">
            <v>Unilever - Unilever de Arg. S.A.</v>
          </cell>
          <cell r="CP127" t="str">
            <v>Unilever - Unilever de Arg. S.A.</v>
          </cell>
          <cell r="CQ127" t="str">
            <v>Unilever - Unilever de Arg. S.A.</v>
          </cell>
          <cell r="CR127" t="str">
            <v>Unilever - Unilever de Arg. S.A.</v>
          </cell>
          <cell r="CS127" t="str">
            <v>Unilever - Unilever de Arg. S.A.</v>
          </cell>
          <cell r="CT127" t="str">
            <v>Unilever - Unilever de Arg. S.A.</v>
          </cell>
          <cell r="CU127" t="str">
            <v>Unilever - Unilever de Arg. S.A.</v>
          </cell>
          <cell r="CV127" t="str">
            <v>Unilever - Unilever de Arg. S.A.</v>
          </cell>
          <cell r="CW127" t="str">
            <v>Unilever - Unilever de Arg. S.A.</v>
          </cell>
        </row>
        <row r="128">
          <cell r="D128" t="str">
            <v>AG176NB</v>
          </cell>
          <cell r="E128" t="str">
            <v>Chasis</v>
          </cell>
          <cell r="F128" t="str">
            <v>Chasis</v>
          </cell>
          <cell r="G128" t="str">
            <v>Chasis GNC</v>
          </cell>
          <cell r="N128" t="str">
            <v>CODYLSA</v>
          </cell>
          <cell r="O128" t="str">
            <v>CODYLSA</v>
          </cell>
          <cell r="P128" t="str">
            <v>No</v>
          </cell>
          <cell r="Q128" t="str">
            <v>Propio</v>
          </cell>
          <cell r="R128">
            <v>12</v>
          </cell>
          <cell r="S128" t="str">
            <v>Propio</v>
          </cell>
          <cell r="T128" t="str">
            <v>IVECO</v>
          </cell>
          <cell r="U128" t="str">
            <v>160E21CCM32</v>
          </cell>
          <cell r="V128" t="str">
            <v>F4GFE601A*002018625</v>
          </cell>
          <cell r="W128" t="str">
            <v>8ATA01PE0PX122449</v>
          </cell>
          <cell r="X128">
            <v>2023</v>
          </cell>
          <cell r="Y128">
            <v>3</v>
          </cell>
          <cell r="BT128" t="str">
            <v>Sin Operación</v>
          </cell>
          <cell r="BU128" t="str">
            <v>Sin Operación</v>
          </cell>
          <cell r="BV128" t="str">
            <v>Sin Operación</v>
          </cell>
          <cell r="BW128" t="str">
            <v>Sin Operación</v>
          </cell>
          <cell r="BX128" t="str">
            <v>Unilever - Unilever de Arg. S.A.</v>
          </cell>
          <cell r="BY128" t="str">
            <v>Unilever - Unilever de Arg. S.A.</v>
          </cell>
          <cell r="BZ128" t="str">
            <v>Unilever - Unilever de Arg. S.A.</v>
          </cell>
          <cell r="CA128" t="str">
            <v>Unilever - Unilever de Arg. S.A.</v>
          </cell>
          <cell r="CB128" t="str">
            <v>Unilever - Unilever de Arg. S.A.</v>
          </cell>
          <cell r="CC128" t="str">
            <v>Unilever - Unilever de Arg. S.A.</v>
          </cell>
          <cell r="CD128" t="str">
            <v>Unilever - Unilever de Arg. S.A.</v>
          </cell>
          <cell r="CE128" t="str">
            <v>Unilever - Unilever de Arg. S.A.</v>
          </cell>
          <cell r="CF128" t="str">
            <v>Unilever - Unilever de Arg. S.A.</v>
          </cell>
          <cell r="CG128" t="str">
            <v>Unilever - Unilever de Arg. S.A.</v>
          </cell>
          <cell r="CH128" t="str">
            <v>Unilever - Unilever de Arg. S.A.</v>
          </cell>
          <cell r="CI128" t="str">
            <v>Unilever - Unilever de Arg. S.A.</v>
          </cell>
          <cell r="CJ128" t="str">
            <v>Unilever - Unilever de Arg. S.A.</v>
          </cell>
          <cell r="CK128" t="str">
            <v>Unilever - Unilever de Arg. S.A.</v>
          </cell>
          <cell r="CL128" t="str">
            <v>Unilever - Unilever de Arg. S.A.</v>
          </cell>
          <cell r="CM128" t="str">
            <v>Unilever - Unilever de Arg. S.A.</v>
          </cell>
          <cell r="CN128" t="str">
            <v>Unilever - Unilever de Arg. S.A.</v>
          </cell>
          <cell r="CO128" t="str">
            <v>Unilever - Unilever de Arg. S.A.</v>
          </cell>
          <cell r="CP128" t="str">
            <v>Unilever - Unilever de Arg. S.A.</v>
          </cell>
          <cell r="CQ128" t="str">
            <v>Unilever - Unilever de Arg. S.A.</v>
          </cell>
          <cell r="CR128" t="str">
            <v>Unilever - Unilever de Arg. S.A.</v>
          </cell>
          <cell r="CS128" t="str">
            <v>Unilever - Unilever de Arg. S.A.</v>
          </cell>
          <cell r="CT128" t="str">
            <v>Unilever - Unilever de Arg. S.A.</v>
          </cell>
          <cell r="CU128" t="str">
            <v>Unilever - Unilever de Arg. S.A.</v>
          </cell>
          <cell r="CV128" t="str">
            <v>Unilever - Unilever de Arg. S.A.</v>
          </cell>
          <cell r="CW128" t="str">
            <v>Unilever - Unilever de Arg. S.A.</v>
          </cell>
        </row>
        <row r="129">
          <cell r="D129" t="str">
            <v>AG204ZQ</v>
          </cell>
          <cell r="E129" t="str">
            <v>Tractor</v>
          </cell>
          <cell r="F129" t="str">
            <v>Tractor</v>
          </cell>
          <cell r="G129" t="str">
            <v>Tractor</v>
          </cell>
          <cell r="N129" t="str">
            <v>TDU-LEASING MB FINANCIERA-COLCAR</v>
          </cell>
          <cell r="O129" t="str">
            <v>TDU</v>
          </cell>
          <cell r="P129" t="str">
            <v>Sí</v>
          </cell>
          <cell r="Q129" t="str">
            <v>Propio</v>
          </cell>
          <cell r="R129" t="str">
            <v>-</v>
          </cell>
          <cell r="S129" t="str">
            <v>Propio</v>
          </cell>
          <cell r="T129" t="str">
            <v>MERCEDES BENZ</v>
          </cell>
          <cell r="U129" t="str">
            <v>ATEGO 1729-S36 CD TE</v>
          </cell>
          <cell r="V129" t="str">
            <v>926994U1446162</v>
          </cell>
          <cell r="W129" t="str">
            <v>8AB958077RA805349</v>
          </cell>
          <cell r="X129">
            <v>2023</v>
          </cell>
          <cell r="Y129">
            <v>3</v>
          </cell>
          <cell r="BT129" t="str">
            <v>Sin Operación</v>
          </cell>
          <cell r="BU129" t="str">
            <v>Arcor S.A.I.C.</v>
          </cell>
          <cell r="BV129" t="str">
            <v>Sin Operación</v>
          </cell>
          <cell r="BW129" t="str">
            <v>Arcor S.A.I.C.</v>
          </cell>
          <cell r="BX129" t="str">
            <v>Papelera - Papelera del Plata S.A.</v>
          </cell>
          <cell r="BY129" t="str">
            <v>Arcor S.A.I.C.</v>
          </cell>
          <cell r="BZ129" t="str">
            <v>Arcor S.A.I.C.</v>
          </cell>
          <cell r="CA129" t="str">
            <v>Arcor S.A.I.C.</v>
          </cell>
          <cell r="CB129" t="str">
            <v>Arcor S.A.I.C.</v>
          </cell>
          <cell r="CC129" t="str">
            <v>Arcor S.A.I.C.</v>
          </cell>
          <cell r="CD129" t="str">
            <v>Arcor S.A.I.C.</v>
          </cell>
          <cell r="CE129" t="str">
            <v>Arcor S.A.I.C.</v>
          </cell>
          <cell r="CF129" t="str">
            <v>Arcor S.A.I.C.</v>
          </cell>
          <cell r="CG129" t="str">
            <v>Arcor S.A.I.C.</v>
          </cell>
          <cell r="CH129" t="str">
            <v>Arcor S.A.I.C.</v>
          </cell>
          <cell r="CI129" t="str">
            <v>Arcor S.A.I.C.</v>
          </cell>
          <cell r="CJ129" t="str">
            <v>Arcor S.A.I.C.</v>
          </cell>
          <cell r="CK129" t="str">
            <v>Arcor S.A.I.C.</v>
          </cell>
          <cell r="CL129" t="str">
            <v>Arcor S.A.I.C.</v>
          </cell>
          <cell r="CM129" t="str">
            <v>Arcor S.A.I.C.</v>
          </cell>
          <cell r="CN129" t="str">
            <v>Arcor S.A.I.C.</v>
          </cell>
          <cell r="CO129" t="str">
            <v>Arcor S.A.I.C.</v>
          </cell>
          <cell r="CP129" t="str">
            <v>Arcor S.A.I.C.</v>
          </cell>
          <cell r="CQ129" t="str">
            <v>Arcor S.A.I.C.</v>
          </cell>
          <cell r="CR129" t="str">
            <v>Arcor S.A.I.C.</v>
          </cell>
          <cell r="CS129" t="str">
            <v>Arcor S.A.I.C.</v>
          </cell>
          <cell r="CT129" t="str">
            <v>Arcor S.A.I.C.</v>
          </cell>
          <cell r="CU129" t="str">
            <v>Arcor S.A.I.C.</v>
          </cell>
          <cell r="CV129" t="str">
            <v>Arcor S.A.I.C.</v>
          </cell>
          <cell r="CW129" t="str">
            <v>Arcor S.A.I.C.</v>
          </cell>
        </row>
        <row r="130">
          <cell r="D130" t="str">
            <v>AG204ZX</v>
          </cell>
          <cell r="E130" t="str">
            <v>Chasis</v>
          </cell>
          <cell r="F130" t="str">
            <v>Chasis</v>
          </cell>
          <cell r="G130" t="str">
            <v>Chasis</v>
          </cell>
          <cell r="N130" t="str">
            <v>TDU-LEASING MB FINANCIERA-COLCAR</v>
          </cell>
          <cell r="O130" t="str">
            <v>TDU</v>
          </cell>
          <cell r="P130" t="str">
            <v>Sí</v>
          </cell>
          <cell r="Q130" t="str">
            <v>Propio</v>
          </cell>
          <cell r="R130">
            <v>12</v>
          </cell>
          <cell r="S130" t="str">
            <v>Propio</v>
          </cell>
          <cell r="T130" t="str">
            <v>MERCEDES BENZ</v>
          </cell>
          <cell r="U130" t="str">
            <v>ATEGO 1721-48</v>
          </cell>
          <cell r="V130" t="str">
            <v>924989U1444521</v>
          </cell>
          <cell r="W130" t="str">
            <v>8AB958154RA805369</v>
          </cell>
          <cell r="X130">
            <v>2023</v>
          </cell>
          <cell r="Y130">
            <v>3</v>
          </cell>
          <cell r="BT130" t="str">
            <v>Sin Operación</v>
          </cell>
          <cell r="BU130" t="str">
            <v>Sin Operación</v>
          </cell>
          <cell r="BV130" t="str">
            <v>Sin Operación</v>
          </cell>
          <cell r="BW130" t="str">
            <v>Sin Operación</v>
          </cell>
          <cell r="BX130" t="str">
            <v>CMQ_TTE - QUILMES TTE</v>
          </cell>
          <cell r="BY130" t="str">
            <v>CMQ_TTE - QUILMES TTE</v>
          </cell>
          <cell r="BZ130" t="str">
            <v>CMQ_TTE - QUILMES TTE</v>
          </cell>
          <cell r="CA130" t="str">
            <v>CMQ_TTE - QUILMES TTE</v>
          </cell>
          <cell r="CB130" t="str">
            <v>CMQ_TTE - QUILMES TTE</v>
          </cell>
          <cell r="CC130" t="str">
            <v>CMQ_TTE - QUILMES TTE</v>
          </cell>
          <cell r="CD130" t="str">
            <v>CMQ_TTE - QUILMES TTE</v>
          </cell>
          <cell r="CE130" t="str">
            <v>CMQ_TTE - QUILMES TTE</v>
          </cell>
          <cell r="CF130" t="str">
            <v>CMQ_TTE - QUILMES TTE</v>
          </cell>
          <cell r="CG130" t="str">
            <v>CMQ_TTE - QUILMES TTE</v>
          </cell>
          <cell r="CH130" t="str">
            <v>CMQ_TTE - QUILMES TTE</v>
          </cell>
          <cell r="CI130" t="str">
            <v>CMQ_TTE - QUILMES TTE</v>
          </cell>
          <cell r="CJ130" t="str">
            <v>CMQ_TTE - QUILMES TTE</v>
          </cell>
          <cell r="CK130" t="str">
            <v>CMQ_TTE - QUILMES TTE</v>
          </cell>
          <cell r="CL130" t="str">
            <v>CMQ_TTE - QUILMES TTE</v>
          </cell>
          <cell r="CM130" t="str">
            <v>CMQ_TTE - QUILMES TTE</v>
          </cell>
          <cell r="CN130" t="str">
            <v>CMQ_TTE - QUILMES TTE</v>
          </cell>
          <cell r="CO130" t="str">
            <v>CMQ_TTE - QUILMES TTE</v>
          </cell>
          <cell r="CP130" t="str">
            <v>CMQ_TTE - QUILMES TTE</v>
          </cell>
          <cell r="CQ130" t="str">
            <v>CMQ_TTE - QUILMES TTE</v>
          </cell>
          <cell r="CR130" t="str">
            <v>CMQ_TTE - QUILMES TTE</v>
          </cell>
          <cell r="CS130" t="str">
            <v>CMQ_TTE - QUILMES TTE</v>
          </cell>
          <cell r="CT130" t="str">
            <v>CMQ_TTE - QUILMES TTE</v>
          </cell>
          <cell r="CU130" t="str">
            <v>CMQ_TTE - QUILMES TTE</v>
          </cell>
          <cell r="CV130" t="str">
            <v>CMQ_TTE - QUILMES TTE</v>
          </cell>
          <cell r="CW130" t="str">
            <v>CMQ_TTE - QUILMES TTE</v>
          </cell>
        </row>
        <row r="131">
          <cell r="D131" t="str">
            <v>KER728</v>
          </cell>
          <cell r="E131" t="str">
            <v>Chasis</v>
          </cell>
          <cell r="F131" t="str">
            <v>Balancin</v>
          </cell>
          <cell r="G131" t="str">
            <v>Balancin Termico</v>
          </cell>
          <cell r="N131" t="str">
            <v>TDU</v>
          </cell>
          <cell r="O131" t="str">
            <v>TDU</v>
          </cell>
          <cell r="P131" t="str">
            <v>No</v>
          </cell>
          <cell r="Q131" t="str">
            <v>Propio</v>
          </cell>
          <cell r="R131">
            <v>14</v>
          </cell>
          <cell r="S131" t="str">
            <v>Propio</v>
          </cell>
          <cell r="T131" t="str">
            <v>MERCEDES BENZ</v>
          </cell>
          <cell r="U131" t="str">
            <v>ATEGO 1725</v>
          </cell>
          <cell r="V131" t="str">
            <v>906985U0941050</v>
          </cell>
          <cell r="W131" t="str">
            <v>9BM958074CB788469</v>
          </cell>
          <cell r="X131">
            <v>2011</v>
          </cell>
          <cell r="Y131">
            <v>15</v>
          </cell>
          <cell r="Z131" t="str">
            <v>TDU</v>
          </cell>
          <cell r="AA131" t="str">
            <v>CMQ_TTE - QUILMES TTE</v>
          </cell>
          <cell r="AB131" t="str">
            <v>CMQ_TTE - QUILMES TTE</v>
          </cell>
          <cell r="AC131" t="str">
            <v>CMQ_TTE - QUILMES TTE</v>
          </cell>
          <cell r="AD131" t="str">
            <v>CMQ_TTE - QUILMES TTE</v>
          </cell>
          <cell r="AE131" t="str">
            <v>CMQ_TTE - QUILMES TTE</v>
          </cell>
          <cell r="AF131" t="str">
            <v>CMQ_TTE - QUILMES TTE</v>
          </cell>
          <cell r="AG131" t="str">
            <v>CMQ_TTE - QUILMES TTE</v>
          </cell>
          <cell r="AH131" t="str">
            <v>CMQ_TTE - QUILMES TTE</v>
          </cell>
          <cell r="AI131" t="str">
            <v>CMQ_TTE - QUILMES TTE</v>
          </cell>
          <cell r="AJ131" t="str">
            <v>CMQ_TTE - QUILMES TTE</v>
          </cell>
          <cell r="AK131" t="str">
            <v>CMQ_TTE - QUILMES TTE</v>
          </cell>
          <cell r="AL131" t="str">
            <v>CMQ_TTE - QUILMES TTE</v>
          </cell>
          <cell r="AM131" t="str">
            <v>CMQ_TTE - QUILMES TTE</v>
          </cell>
          <cell r="AN131" t="str">
            <v>CMQ_TTE - QUILMES TTE</v>
          </cell>
          <cell r="AO131" t="str">
            <v>CMQ_TTE - QUILMES TTE</v>
          </cell>
          <cell r="AP131" t="str">
            <v>CMQ_TTE - QUILMES TTE</v>
          </cell>
          <cell r="AQ131" t="str">
            <v>CMQ_TTE - QUILMES TTE</v>
          </cell>
          <cell r="AR131" t="str">
            <v>CMQ_TTE - QUILMES TTE</v>
          </cell>
          <cell r="AS131" t="str">
            <v>CMQ_TTE - QUILMES TTE</v>
          </cell>
          <cell r="AT131" t="str">
            <v>CMQ_TTE - QUILMES TTE</v>
          </cell>
          <cell r="AU131" t="str">
            <v>CMQ_TTE - QUILMES TTE</v>
          </cell>
          <cell r="AV131" t="str">
            <v>CMQ_TTE - QUILMES TTE</v>
          </cell>
          <cell r="AW131" t="str">
            <v>CMQ_TTE - QUILMES TTE</v>
          </cell>
          <cell r="AX131" t="str">
            <v>CMQ_TTE - QUILMES TTE</v>
          </cell>
          <cell r="AY131" t="str">
            <v>CMQ_TTE - QUILMES TTE</v>
          </cell>
          <cell r="AZ131" t="str">
            <v>CMQ_TTE - QUILMES TTE</v>
          </cell>
          <cell r="BA131" t="str">
            <v>CMQ_TTE - QUILMES TTE</v>
          </cell>
          <cell r="BB131" t="str">
            <v>CMQ_TTE - QUILMES TTE</v>
          </cell>
          <cell r="BC131" t="str">
            <v>CMQ_TTE - QUILMES TTE</v>
          </cell>
          <cell r="BD131" t="str">
            <v>CMQ_TTE - QUILMES TTE</v>
          </cell>
          <cell r="BE131" t="str">
            <v>CMQ_TTE - QUILMES TTE</v>
          </cell>
          <cell r="BF131" t="str">
            <v>CMQ_TTE - QUILMES TTE</v>
          </cell>
          <cell r="BG131" t="str">
            <v>CMQ_TTE - QUILMES TTE</v>
          </cell>
          <cell r="BH131" t="str">
            <v>CMQ_TTE - QUILMES TTE</v>
          </cell>
          <cell r="BI131" t="str">
            <v>CMQ_TTE - QUILMES TTE</v>
          </cell>
          <cell r="BJ131" t="str">
            <v>CMQ_TTE - QUILMES TTE</v>
          </cell>
          <cell r="BK131" t="str">
            <v>CMQ_TTE - QUILMES TTE</v>
          </cell>
          <cell r="BL131" t="str">
            <v>CMQ_TTE - QUILMES TTE</v>
          </cell>
          <cell r="BM131" t="str">
            <v>CMQ_TTE - QUILMES TTE</v>
          </cell>
          <cell r="BN131" t="str">
            <v>CMQ_TTE - QUILMES TTE</v>
          </cell>
          <cell r="BO131" t="str">
            <v>CMQ_TTE - QUILMES TTE</v>
          </cell>
          <cell r="BP131" t="str">
            <v>CMQ_TTE - QUILMES TTE</v>
          </cell>
          <cell r="BQ131" t="str">
            <v>CMQ_TTE - QUILMES TTE</v>
          </cell>
          <cell r="BR131" t="str">
            <v>CMQ_TTE - QUILMES TTE</v>
          </cell>
          <cell r="BS131" t="str">
            <v>CMQ_TTE - QUILMES TTE</v>
          </cell>
          <cell r="BT131" t="str">
            <v>Arcor S.A.I.C.</v>
          </cell>
          <cell r="BU131" t="str">
            <v>Arcor S.A.I.C.</v>
          </cell>
          <cell r="BV131" t="str">
            <v>Arcor S.A.I.C.</v>
          </cell>
          <cell r="BW131" t="str">
            <v>Arcor S.A.I.C.</v>
          </cell>
          <cell r="BX131" t="str">
            <v>Arcor S.A.I.C.</v>
          </cell>
          <cell r="BY131" t="str">
            <v>Arcor S.A.I.C.</v>
          </cell>
          <cell r="BZ131" t="str">
            <v>Arcor S.A.I.C.</v>
          </cell>
          <cell r="CA131" t="str">
            <v>Arcor S.A.I.C.</v>
          </cell>
          <cell r="CB131" t="str">
            <v>Arcor S.A.I.C.</v>
          </cell>
          <cell r="CC131" t="str">
            <v>Arcor S.A.I.C.</v>
          </cell>
          <cell r="CD131" t="str">
            <v>Arcor S.A.I.C.</v>
          </cell>
          <cell r="CE131" t="str">
            <v>Arcor S.A.I.C.</v>
          </cell>
          <cell r="CF131" t="str">
            <v>Arcor S.A.I.C.</v>
          </cell>
          <cell r="CG131" t="str">
            <v>Arcor S.A.I.C.</v>
          </cell>
          <cell r="CH131" t="str">
            <v>Arcor S.A.I.C.</v>
          </cell>
          <cell r="CI131" t="str">
            <v>Arcor S.A.I.C.</v>
          </cell>
          <cell r="CJ131" t="str">
            <v>Arcor S.A.I.C.</v>
          </cell>
          <cell r="CK131" t="str">
            <v>Arcor S.A.I.C.</v>
          </cell>
          <cell r="CL131" t="str">
            <v>Arcor S.A.I.C.</v>
          </cell>
          <cell r="CM131" t="str">
            <v>Arcor S.A.I.C.</v>
          </cell>
          <cell r="CN131" t="str">
            <v>Arcor S.A.I.C.</v>
          </cell>
          <cell r="CO131" t="str">
            <v>Arcor S.A.I.C.</v>
          </cell>
          <cell r="CP131" t="str">
            <v>Arcor S.A.I.C.</v>
          </cell>
          <cell r="CQ131" t="str">
            <v>Arcor S.A.I.C.</v>
          </cell>
          <cell r="CR131" t="str">
            <v>Arcor S.A.I.C.</v>
          </cell>
          <cell r="CS131" t="str">
            <v>Arcor S.A.I.C.</v>
          </cell>
          <cell r="CT131" t="str">
            <v>Arcor S.A.I.C.</v>
          </cell>
          <cell r="CU131" t="str">
            <v>Arcor S.A.I.C.</v>
          </cell>
          <cell r="CV131" t="str">
            <v>CENCO_MZ - Cencosud SA - Mendoza</v>
          </cell>
          <cell r="CW131" t="str">
            <v>CENCO_MZ - Cencosud SA - Mendoza</v>
          </cell>
        </row>
        <row r="132">
          <cell r="D132" t="str">
            <v>KGM735</v>
          </cell>
          <cell r="E132" t="str">
            <v>Chasis</v>
          </cell>
          <cell r="F132" t="str">
            <v>Balancin</v>
          </cell>
          <cell r="G132" t="str">
            <v>Balancin Termico</v>
          </cell>
          <cell r="N132" t="str">
            <v>TDU</v>
          </cell>
          <cell r="O132" t="str">
            <v>TDU</v>
          </cell>
          <cell r="P132" t="str">
            <v>No</v>
          </cell>
          <cell r="Q132" t="str">
            <v>Propio</v>
          </cell>
          <cell r="R132">
            <v>14</v>
          </cell>
          <cell r="S132" t="str">
            <v>Propio</v>
          </cell>
          <cell r="T132" t="str">
            <v>MERCEDES BENZ</v>
          </cell>
          <cell r="U132" t="str">
            <v>ATEGO 1725</v>
          </cell>
          <cell r="V132" t="str">
            <v>906985U0945050</v>
          </cell>
          <cell r="W132" t="str">
            <v>9BM958072CB793300</v>
          </cell>
          <cell r="X132">
            <v>2011</v>
          </cell>
          <cell r="Y132">
            <v>15</v>
          </cell>
          <cell r="Z132" t="str">
            <v>TDU</v>
          </cell>
          <cell r="AA132" t="str">
            <v>CMQ_TTE - QUILMES TTE</v>
          </cell>
          <cell r="AB132" t="str">
            <v>CMQ_TTE - QUILMES TTE</v>
          </cell>
          <cell r="AC132" t="str">
            <v>CMQ_TTE - QUILMES TTE</v>
          </cell>
          <cell r="AD132" t="str">
            <v>CMQ_TTE - QUILMES TTE</v>
          </cell>
          <cell r="AE132" t="str">
            <v>CMQ_TTE - QUILMES TTE</v>
          </cell>
          <cell r="AF132" t="str">
            <v>CMQ_TTE - QUILMES TTE</v>
          </cell>
          <cell r="AG132" t="str">
            <v>CMQ_TTE - QUILMES TTE</v>
          </cell>
          <cell r="AH132" t="str">
            <v>CMQ_TTE - QUILMES TTE</v>
          </cell>
          <cell r="AI132" t="str">
            <v>CMQ_TTE - QUILMES TTE</v>
          </cell>
          <cell r="AJ132" t="str">
            <v>CMQ_TTE - QUILMES TTE</v>
          </cell>
          <cell r="AK132" t="str">
            <v>CMQ_TTE - QUILMES TTE</v>
          </cell>
          <cell r="AL132" t="str">
            <v>CMQ_TTE - QUILMES TTE</v>
          </cell>
          <cell r="AM132" t="str">
            <v>CMQ_TTE - QUILMES TTE</v>
          </cell>
          <cell r="AN132" t="str">
            <v>CMQ_TTE - QUILMES TTE</v>
          </cell>
          <cell r="AO132" t="str">
            <v>CMQ_TTE - QUILMES TTE</v>
          </cell>
          <cell r="AP132" t="str">
            <v>CMQ_TTE - QUILMES TTE</v>
          </cell>
          <cell r="AQ132" t="str">
            <v>CMQ_TTE - QUILMES TTE</v>
          </cell>
          <cell r="AR132" t="str">
            <v>CMQ_TTE - QUILMES TTE</v>
          </cell>
          <cell r="AS132" t="str">
            <v>CMQ_TTE - QUILMES TTE</v>
          </cell>
          <cell r="AT132" t="str">
            <v>CMQ_TTE - QUILMES TTE</v>
          </cell>
          <cell r="AU132" t="str">
            <v>CMQ_TTE - QUILMES TTE</v>
          </cell>
          <cell r="AV132" t="str">
            <v>CMQ_TTE - QUILMES TTE</v>
          </cell>
          <cell r="AW132" t="str">
            <v>CMQ_TTE - QUILMES TTE</v>
          </cell>
          <cell r="AX132" t="str">
            <v>CMQ_TTE - QUILMES TTE</v>
          </cell>
          <cell r="AY132" t="str">
            <v>CMQ_TTE - QUILMES TTE</v>
          </cell>
          <cell r="AZ132" t="str">
            <v>CMQ_TTE - QUILMES TTE</v>
          </cell>
          <cell r="BA132" t="str">
            <v>CMQ_TTE - QUILMES TTE</v>
          </cell>
          <cell r="BB132" t="str">
            <v>CMQ_TTE - QUILMES TTE</v>
          </cell>
          <cell r="BC132" t="str">
            <v>CMQ_TTE - QUILMES TTE</v>
          </cell>
          <cell r="BD132" t="str">
            <v>CMQ_TTE - QUILMES TTE</v>
          </cell>
          <cell r="BE132" t="str">
            <v>CMQ_TTE - QUILMES TTE</v>
          </cell>
          <cell r="BF132" t="str">
            <v>CMQ_TTE - QUILMES TTE</v>
          </cell>
          <cell r="BG132" t="str">
            <v>CMQ_TTE - QUILMES TTE</v>
          </cell>
          <cell r="BH132" t="str">
            <v>CMQ_TTE - QUILMES TTE</v>
          </cell>
          <cell r="BI132" t="str">
            <v>CMQ_TTE - QUILMES TTE</v>
          </cell>
          <cell r="BJ132" t="str">
            <v>CMQ_TTE - QUILMES TTE</v>
          </cell>
          <cell r="BK132" t="str">
            <v>CMQ_TTE - QUILMES TTE</v>
          </cell>
          <cell r="BL132" t="str">
            <v>CMQ_TTE - QUILMES TTE</v>
          </cell>
          <cell r="BM132" t="str">
            <v>CMQ_TTE - QUILMES TTE</v>
          </cell>
          <cell r="BN132" t="str">
            <v>CMQ_TTE - QUILMES TTE</v>
          </cell>
          <cell r="BO132" t="str">
            <v>CMQ_TTE - QUILMES TTE</v>
          </cell>
          <cell r="BP132" t="str">
            <v>CMQ_TTE - QUILMES TTE</v>
          </cell>
          <cell r="BQ132" t="str">
            <v>CMQ_TTE - QUILMES TTE</v>
          </cell>
          <cell r="BR132" t="str">
            <v>CMQ_TTE - QUILMES TTE</v>
          </cell>
          <cell r="BS132" t="str">
            <v>Arcor S.A.I.C.</v>
          </cell>
          <cell r="BT132" t="str">
            <v>Arcor S.A.I.C.</v>
          </cell>
          <cell r="BU132" t="str">
            <v>Arcor S.A.I.C.</v>
          </cell>
          <cell r="BV132" t="str">
            <v>Arcor S.A.I.C.</v>
          </cell>
          <cell r="BW132" t="str">
            <v>Arcor S.A.I.C.</v>
          </cell>
          <cell r="BX132" t="str">
            <v>Arcor S.A.I.C.</v>
          </cell>
          <cell r="BY132" t="str">
            <v>Arcor S.A.I.C.</v>
          </cell>
          <cell r="BZ132" t="str">
            <v>Arcor S.A.I.C.</v>
          </cell>
          <cell r="CA132" t="str">
            <v>Arcor S.A.I.C.</v>
          </cell>
          <cell r="CB132" t="str">
            <v>Arcor S.A.I.C.</v>
          </cell>
          <cell r="CC132" t="str">
            <v>Arcor S.A.I.C.</v>
          </cell>
          <cell r="CD132" t="str">
            <v>Arcor S.A.I.C.</v>
          </cell>
          <cell r="CE132" t="str">
            <v>Arcor S.A.I.C.</v>
          </cell>
          <cell r="CF132" t="str">
            <v>Arcor S.A.I.C.</v>
          </cell>
          <cell r="CG132" t="str">
            <v>Arcor S.A.I.C.</v>
          </cell>
          <cell r="CH132" t="str">
            <v>Arcor S.A.I.C.</v>
          </cell>
          <cell r="CI132" t="str">
            <v>Arcor S.A.I.C.</v>
          </cell>
          <cell r="CJ132" t="str">
            <v>Arcor S.A.I.C.</v>
          </cell>
          <cell r="CK132" t="str">
            <v>Arcor S.A.I.C.</v>
          </cell>
          <cell r="CL132" t="str">
            <v>Arcor S.A.I.C.</v>
          </cell>
          <cell r="CM132" t="str">
            <v>Arcor S.A.I.C.</v>
          </cell>
          <cell r="CN132" t="str">
            <v>Arcor S.A.I.C.</v>
          </cell>
          <cell r="CO132" t="str">
            <v>Arcor S.A.I.C.</v>
          </cell>
          <cell r="CP132" t="str">
            <v>Arcor S.A.I.C.</v>
          </cell>
          <cell r="CQ132" t="str">
            <v>Arcor S.A.I.C.</v>
          </cell>
          <cell r="CR132" t="str">
            <v>Arcor S.A.I.C.</v>
          </cell>
          <cell r="CS132" t="str">
            <v>Arcor S.A.I.C.</v>
          </cell>
          <cell r="CT132" t="str">
            <v>Arcor S.A.I.C.</v>
          </cell>
          <cell r="CU132" t="str">
            <v>Arcor S.A.I.C.</v>
          </cell>
          <cell r="CV132" t="str">
            <v>CENCO_MZ - Cencosud SA - Mendoza</v>
          </cell>
          <cell r="CW132" t="str">
            <v>CENCO_MZ - Cencosud SA - Mendoza</v>
          </cell>
        </row>
        <row r="133">
          <cell r="D133" t="str">
            <v>KHS009</v>
          </cell>
          <cell r="E133" t="str">
            <v>Chasis</v>
          </cell>
          <cell r="F133" t="str">
            <v>Balancin</v>
          </cell>
          <cell r="G133" t="str">
            <v>Balancin Termico</v>
          </cell>
          <cell r="N133" t="str">
            <v>CODYLSA</v>
          </cell>
          <cell r="O133" t="str">
            <v>CODYLSA</v>
          </cell>
          <cell r="P133" t="str">
            <v>No</v>
          </cell>
          <cell r="Q133" t="str">
            <v>Propio</v>
          </cell>
          <cell r="R133">
            <v>16</v>
          </cell>
          <cell r="S133" t="str">
            <v>Propio</v>
          </cell>
          <cell r="T133" t="str">
            <v>MERCEDES BENZ</v>
          </cell>
          <cell r="U133" t="str">
            <v>ATRON 1720/48  FRONTAL</v>
          </cell>
          <cell r="V133" t="str">
            <v>904980U0940529</v>
          </cell>
          <cell r="W133" t="str">
            <v>9BM693186CB787888</v>
          </cell>
          <cell r="X133">
            <v>2011</v>
          </cell>
          <cell r="Y133">
            <v>15</v>
          </cell>
          <cell r="Z133" t="str">
            <v>Jumbo Mendoza</v>
          </cell>
          <cell r="AA133" t="str">
            <v>CENCO_MZ - Cencosud SA - Mendoza</v>
          </cell>
          <cell r="AB133" t="str">
            <v>CENCO_MZ - Cencosud SA - Mendoza</v>
          </cell>
          <cell r="AC133" t="str">
            <v>CENCO_MZ - Cencosud SA - Mendoza</v>
          </cell>
          <cell r="AD133" t="str">
            <v>CENCO_MZ - Cencosud SA - Mendoza</v>
          </cell>
          <cell r="AE133" t="str">
            <v>CENCO_MZ - Cencosud SA - Mendoza</v>
          </cell>
          <cell r="AF133" t="str">
            <v>CENCO_MZ - Cencosud SA - Mendoza</v>
          </cell>
          <cell r="AG133" t="str">
            <v>CENCO_MZ - Cencosud SA - Mendoza</v>
          </cell>
          <cell r="AH133" t="str">
            <v>CENCO_MZ - Cencosud SA - Mendoza</v>
          </cell>
          <cell r="AI133" t="str">
            <v>CENCO_MZ - Cencosud SA - Mendoza</v>
          </cell>
          <cell r="AJ133" t="str">
            <v>CENCO_MZ - Cencosud SA - Mendoza</v>
          </cell>
          <cell r="AK133" t="str">
            <v>CENCO_MZ - Cencosud SA - Mendoza</v>
          </cell>
          <cell r="AL133" t="str">
            <v>CENCO_MZ - Cencosud SA - Mendoza</v>
          </cell>
          <cell r="AM133" t="str">
            <v>CENCO_MZ - Cencosud SA - Mendoza</v>
          </cell>
          <cell r="AN133" t="str">
            <v>CENCO_MZ - Cencosud SA - Mendoza</v>
          </cell>
          <cell r="AO133" t="str">
            <v>CENCO_MZ - Cencosud SA - Mendoza</v>
          </cell>
          <cell r="AP133" t="str">
            <v>CENCO_MZ - Cencosud SA - Mendoza</v>
          </cell>
          <cell r="AQ133" t="str">
            <v>CENCO_MZ - Cencosud SA - Mendoza</v>
          </cell>
          <cell r="AR133" t="str">
            <v>CENCO_MZ - Cencosud SA - Mendoza</v>
          </cell>
          <cell r="AS133" t="str">
            <v>CENCO_MZ - Cencosud SA - Mendoza</v>
          </cell>
          <cell r="AT133" t="str">
            <v>CENCO_MZ - Cencosud SA - Mendoza</v>
          </cell>
          <cell r="AU133" t="str">
            <v>CENCO_MZ - Cencosud SA - Mendoza</v>
          </cell>
          <cell r="AV133" t="str">
            <v>CENCO_MZ - Cencosud SA - Mendoza</v>
          </cell>
          <cell r="AW133" t="str">
            <v>CENCO_MZ - Cencosud SA - Mendoza</v>
          </cell>
          <cell r="AX133" t="str">
            <v>CENCO_MZ - Cencosud SA - Mendoza</v>
          </cell>
          <cell r="AY133" t="str">
            <v>CENCO_MZ - Cencosud SA - Mendoza</v>
          </cell>
          <cell r="AZ133" t="str">
            <v>CENCO_MZ - Cencosud SA - Mendoza</v>
          </cell>
          <cell r="BA133" t="str">
            <v>CENCO_MZ - Cencosud SA - Mendoza</v>
          </cell>
          <cell r="BB133" t="str">
            <v>CENCO_MZ - Cencosud SA - Mendoza</v>
          </cell>
          <cell r="BC133" t="str">
            <v>CENCO_MZ - Cencosud SA - Mendoza</v>
          </cell>
          <cell r="BD133" t="str">
            <v>CENCO_MZ - Cencosud SA - Mendoza</v>
          </cell>
          <cell r="BE133" t="str">
            <v>CENCO_MZ - Cencosud SA - Mendoza</v>
          </cell>
          <cell r="BF133" t="str">
            <v>CENCO_MZ - Cencosud SA - Mendoza</v>
          </cell>
          <cell r="BG133" t="str">
            <v>CENCO_MZ - Cencosud SA - Mendoza</v>
          </cell>
          <cell r="BH133" t="str">
            <v>CENCO_MZ - Cencosud SA - Mendoza</v>
          </cell>
          <cell r="BI133" t="str">
            <v>CENCO_MZ - Cencosud SA - Mendoza</v>
          </cell>
          <cell r="BJ133" t="str">
            <v>CENCO_MZ - Cencosud SA - Mendoza</v>
          </cell>
          <cell r="BK133" t="str">
            <v>CENCO_MZ - Cencosud SA - Mendoza</v>
          </cell>
          <cell r="BL133" t="str">
            <v>CENCO_MZ - Cencosud SA - Mendoza</v>
          </cell>
          <cell r="BM133" t="str">
            <v>CENCO_MZ - Cencosud SA - Mendoza</v>
          </cell>
          <cell r="BN133" t="str">
            <v>CENCO_MZ - Cencosud SA - Mendoza</v>
          </cell>
          <cell r="BO133" t="str">
            <v>CENCO_MZ - Cencosud SA - Mendoza</v>
          </cell>
          <cell r="BP133" t="str">
            <v>CENCO_MZ - Cencosud SA - Mendoza</v>
          </cell>
          <cell r="BQ133" t="str">
            <v>CENCO_MZ - Cencosud SA - Mendoza</v>
          </cell>
          <cell r="BR133" t="str">
            <v>CENCO_MZ - Cencosud SA - Mendoza</v>
          </cell>
          <cell r="BS133" t="str">
            <v>CENCO_MZ - Cencosud SA - Mendoza</v>
          </cell>
          <cell r="BT133" t="str">
            <v>CENCO_MZ - Cencosud SA - Mendoza</v>
          </cell>
          <cell r="BU133" t="str">
            <v>CENCO_MZ - Cencosud SA - Mendoza</v>
          </cell>
          <cell r="BV133" t="str">
            <v>CENCO_MZ - Cencosud SA - Mendoza</v>
          </cell>
          <cell r="BW133" t="str">
            <v>CENCO_MZ - Cencosud SA - Mendoza</v>
          </cell>
          <cell r="BX133" t="str">
            <v>CENCO_MZ - Cencosud SA - Mendoza</v>
          </cell>
          <cell r="BY133" t="str">
            <v>CENCO_MZ - Cencosud SA - Mendoza</v>
          </cell>
          <cell r="BZ133" t="str">
            <v>CENCO_MZ - Cencosud SA - Mendoza</v>
          </cell>
          <cell r="CA133" t="str">
            <v>CENCO_MZ - Cencosud SA - Mendoza</v>
          </cell>
          <cell r="CB133" t="str">
            <v>CENCO_MZ - Cencosud SA - Mendoza</v>
          </cell>
          <cell r="CC133" t="str">
            <v>CENCO_MZ - Cencosud SA - Mendoza</v>
          </cell>
          <cell r="CD133" t="str">
            <v>CENCO_MZ - Cencosud SA - Mendoza</v>
          </cell>
          <cell r="CE133" t="str">
            <v>CENCO_MZ - Cencosud SA - Mendoza</v>
          </cell>
          <cell r="CF133" t="str">
            <v>CENCO_MZ - Cencosud SA - Mendoza</v>
          </cell>
          <cell r="CG133" t="str">
            <v>CENCO_MZ - Cencosud SA - Mendoza</v>
          </cell>
          <cell r="CH133" t="str">
            <v>CENCO_MZ - Cencosud SA - Mendoza</v>
          </cell>
          <cell r="CI133" t="str">
            <v>CENCO_MZ - Cencosud SA - Mendoza</v>
          </cell>
          <cell r="CJ133" t="str">
            <v>CENCO_MZ - Cencosud SA - Mendoza</v>
          </cell>
          <cell r="CK133" t="str">
            <v>CENCO_MZ - Cencosud SA - Mendoza</v>
          </cell>
          <cell r="CL133" t="str">
            <v>CENCO_MZ - Cencosud SA - Mendoza</v>
          </cell>
          <cell r="CM133" t="str">
            <v>CENCO_MZ - Cencosud SA - Mendoza</v>
          </cell>
          <cell r="CN133" t="str">
            <v>CENCO_MZ - Cencosud SA - Mendoza</v>
          </cell>
          <cell r="CO133" t="str">
            <v>CENCO_MZ - Cencosud SA - Mendoza</v>
          </cell>
          <cell r="CP133" t="str">
            <v>CENCO_MZ - Cencosud SA - Mendoza</v>
          </cell>
          <cell r="CQ133" t="str">
            <v>CENCO_MZ - Cencosud SA - Mendoza</v>
          </cell>
          <cell r="CR133" t="str">
            <v>CENCO_MZ - Cencosud SA - Mendoza</v>
          </cell>
          <cell r="CS133" t="str">
            <v>CENCO_MZ - Cencosud SA - Mendoza</v>
          </cell>
          <cell r="CT133" t="str">
            <v>CENCO_MZ - Cencosud SA - Mendoza</v>
          </cell>
          <cell r="CU133" t="str">
            <v>CENCO_MZ - Cencosud SA - Mendoza</v>
          </cell>
          <cell r="CV133" t="str">
            <v>CENCO_MZ - Cencosud SA - Mendoza</v>
          </cell>
          <cell r="CW133" t="str">
            <v>CENCO_MZ - Cencosud SA - Mendoza</v>
          </cell>
        </row>
        <row r="134">
          <cell r="D134" t="str">
            <v>AG255NF</v>
          </cell>
          <cell r="E134" t="str">
            <v>Semi frío</v>
          </cell>
          <cell r="F134" t="str">
            <v>Semiremolque</v>
          </cell>
          <cell r="G134" t="str">
            <v>Semiremolque Termico Carnicero 14,5m 28P</v>
          </cell>
          <cell r="N134" t="str">
            <v>DYLASA</v>
          </cell>
          <cell r="O134" t="str">
            <v>DYLASA</v>
          </cell>
          <cell r="P134" t="str">
            <v>No</v>
          </cell>
          <cell r="Q134" t="str">
            <v>Propio</v>
          </cell>
          <cell r="R134">
            <v>28</v>
          </cell>
          <cell r="S134" t="str">
            <v>Propio</v>
          </cell>
          <cell r="T134" t="str">
            <v>AST-PARA</v>
          </cell>
          <cell r="U134" t="str">
            <v>FTHDCFW3</v>
          </cell>
          <cell r="V134">
            <v>0</v>
          </cell>
          <cell r="W134" t="str">
            <v>8E9298770PS238040</v>
          </cell>
          <cell r="X134">
            <v>2023</v>
          </cell>
          <cell r="Y134">
            <v>3</v>
          </cell>
          <cell r="BT134" t="str">
            <v>Sin Operación</v>
          </cell>
          <cell r="BU134" t="str">
            <v>Arcor S.A.I.C.</v>
          </cell>
          <cell r="BV134" t="str">
            <v>Sin Operación</v>
          </cell>
          <cell r="BW134" t="str">
            <v>Arcor S.A.I.C.</v>
          </cell>
          <cell r="BX134" t="str">
            <v>Arcor S.A.I.C.</v>
          </cell>
          <cell r="BY134" t="str">
            <v>Arcor S.A.I.C.</v>
          </cell>
          <cell r="BZ134" t="str">
            <v>Arcor S.A.I.C.</v>
          </cell>
          <cell r="CA134" t="str">
            <v>Arcor S.A.I.C.</v>
          </cell>
          <cell r="CB134" t="str">
            <v>Arcor S.A.I.C.</v>
          </cell>
          <cell r="CC134" t="str">
            <v>Arcor S.A.I.C.</v>
          </cell>
          <cell r="CD134" t="str">
            <v>Arcor S.A.I.C.</v>
          </cell>
          <cell r="CE134" t="str">
            <v>Arcor S.A.I.C.</v>
          </cell>
          <cell r="CF134" t="str">
            <v>Arcor S.A.I.C.</v>
          </cell>
          <cell r="CG134" t="str">
            <v>Arcor S.A.I.C.</v>
          </cell>
          <cell r="CH134" t="str">
            <v>Arcor S.A.I.C.</v>
          </cell>
          <cell r="CI134" t="str">
            <v>Arcor S.A.I.C.</v>
          </cell>
          <cell r="CJ134" t="str">
            <v>Arcor S.A.I.C.</v>
          </cell>
          <cell r="CK134" t="str">
            <v>Arcor S.A.I.C.</v>
          </cell>
          <cell r="CL134" t="str">
            <v>Arcor S.A.I.C.</v>
          </cell>
          <cell r="CM134" t="str">
            <v>Arcor S.A.I.C.</v>
          </cell>
          <cell r="CN134" t="str">
            <v>Arcor S.A.I.C.</v>
          </cell>
          <cell r="CO134" t="str">
            <v>Arcor S.A.I.C.</v>
          </cell>
          <cell r="CP134" t="str">
            <v>Arcor S.A.I.C.</v>
          </cell>
          <cell r="CQ134" t="str">
            <v>Arcor S.A.I.C.</v>
          </cell>
          <cell r="CR134" t="str">
            <v>Arcor S.A.I.C.</v>
          </cell>
          <cell r="CS134" t="str">
            <v>Arcor S.A.I.C.</v>
          </cell>
          <cell r="CT134" t="str">
            <v>Arcor S.A.I.C.</v>
          </cell>
          <cell r="CU134" t="str">
            <v>Arcor S.A.I.C.</v>
          </cell>
          <cell r="CV134" t="str">
            <v>Arcor S.A.I.C.</v>
          </cell>
          <cell r="CW134" t="str">
            <v>Arcor S.A.I.C.</v>
          </cell>
        </row>
        <row r="135">
          <cell r="D135" t="str">
            <v>AG255NG</v>
          </cell>
          <cell r="E135" t="str">
            <v>Semiremolque FRIO</v>
          </cell>
          <cell r="F135" t="str">
            <v>Semiremolque</v>
          </cell>
          <cell r="G135" t="str">
            <v>Semiremolque Termico Carnicero 14,5m 28P</v>
          </cell>
          <cell r="N135" t="str">
            <v>DYLASA</v>
          </cell>
          <cell r="O135" t="str">
            <v>DYLASA</v>
          </cell>
          <cell r="P135" t="str">
            <v>No</v>
          </cell>
          <cell r="Q135" t="str">
            <v>Propio</v>
          </cell>
          <cell r="R135">
            <v>28</v>
          </cell>
          <cell r="S135" t="str">
            <v>Propio</v>
          </cell>
          <cell r="T135" t="str">
            <v>AST-PARA</v>
          </cell>
          <cell r="U135" t="str">
            <v>FTHDCFW3</v>
          </cell>
          <cell r="V135">
            <v>0</v>
          </cell>
          <cell r="W135" t="str">
            <v>8E9298770PS238039</v>
          </cell>
          <cell r="X135">
            <v>2023</v>
          </cell>
          <cell r="Y135">
            <v>3</v>
          </cell>
          <cell r="BT135" t="str">
            <v>Sin Operación</v>
          </cell>
          <cell r="BU135" t="str">
            <v>Arcor S.A.I.C.</v>
          </cell>
          <cell r="BV135" t="str">
            <v>Sin Operación</v>
          </cell>
          <cell r="BW135" t="str">
            <v>Arcor S.A.I.C.</v>
          </cell>
          <cell r="BX135" t="str">
            <v>Arcor S.A.I.C.</v>
          </cell>
          <cell r="BY135" t="str">
            <v>Arcor S.A.I.C.</v>
          </cell>
          <cell r="BZ135" t="str">
            <v>Arcor S.A.I.C.</v>
          </cell>
          <cell r="CA135" t="str">
            <v>Arcor S.A.I.C.</v>
          </cell>
          <cell r="CB135" t="str">
            <v>Arcor S.A.I.C.</v>
          </cell>
          <cell r="CC135" t="str">
            <v>Arcor S.A.I.C.</v>
          </cell>
          <cell r="CD135" t="str">
            <v>Arcor S.A.I.C.</v>
          </cell>
          <cell r="CE135" t="str">
            <v>Arcor S.A.I.C.</v>
          </cell>
          <cell r="CF135" t="str">
            <v>Arcor S.A.I.C.</v>
          </cell>
          <cell r="CG135" t="str">
            <v>Arcor S.A.I.C.</v>
          </cell>
          <cell r="CH135" t="str">
            <v>Arcor S.A.I.C.</v>
          </cell>
          <cell r="CI135" t="str">
            <v>Arcor S.A.I.C.</v>
          </cell>
          <cell r="CJ135" t="str">
            <v>Arcor S.A.I.C.</v>
          </cell>
          <cell r="CK135" t="str">
            <v>Arcor S.A.I.C.</v>
          </cell>
          <cell r="CL135" t="str">
            <v>Arcor S.A.I.C.</v>
          </cell>
          <cell r="CM135" t="str">
            <v>Arcor S.A.I.C.</v>
          </cell>
          <cell r="CN135" t="str">
            <v>Arcor S.A.I.C.</v>
          </cell>
          <cell r="CO135" t="str">
            <v>Arcor S.A.I.C.</v>
          </cell>
          <cell r="CP135" t="str">
            <v>Arcor S.A.I.C.</v>
          </cell>
          <cell r="CQ135" t="str">
            <v>Arcor S.A.I.C.</v>
          </cell>
          <cell r="CR135" t="str">
            <v>Arcor S.A.I.C.</v>
          </cell>
          <cell r="CS135" t="str">
            <v>Arcor S.A.I.C.</v>
          </cell>
          <cell r="CT135" t="str">
            <v>Arcor S.A.I.C.</v>
          </cell>
          <cell r="CU135" t="str">
            <v>Arcor S.A.I.C.</v>
          </cell>
          <cell r="CV135" t="str">
            <v>Arcor S.A.I.C.</v>
          </cell>
          <cell r="CW135" t="str">
            <v>Arcor S.A.I.C.</v>
          </cell>
        </row>
        <row r="136">
          <cell r="D136" t="str">
            <v>GUW657</v>
          </cell>
          <cell r="E136" t="str">
            <v>Chasis</v>
          </cell>
          <cell r="F136" t="str">
            <v>Chasis</v>
          </cell>
          <cell r="G136" t="str">
            <v>Chasis termico</v>
          </cell>
          <cell r="N136" t="str">
            <v>CODYLSA</v>
          </cell>
          <cell r="O136" t="str">
            <v>CODYLSA</v>
          </cell>
          <cell r="P136" t="str">
            <v>No</v>
          </cell>
          <cell r="Q136" t="str">
            <v>Propio</v>
          </cell>
          <cell r="R136">
            <v>12</v>
          </cell>
          <cell r="S136" t="str">
            <v>Propio</v>
          </cell>
          <cell r="T136" t="str">
            <v>MERCEDES BENZ</v>
          </cell>
          <cell r="U136">
            <v>1624</v>
          </cell>
          <cell r="V136" t="str">
            <v>906973U0754257</v>
          </cell>
          <cell r="W136" t="str">
            <v>9BM6950108B567359</v>
          </cell>
          <cell r="X136">
            <v>2007</v>
          </cell>
          <cell r="Y136">
            <v>19</v>
          </cell>
          <cell r="Z136" t="str">
            <v>Jumbo Mendoza</v>
          </cell>
          <cell r="AA136" t="str">
            <v>CENCO_MZ - Cencosud SA - Mendoza</v>
          </cell>
          <cell r="AB136" t="str">
            <v>CENCO_MZ - Cencosud SA - Mendoza</v>
          </cell>
          <cell r="AC136" t="str">
            <v>CENCO_MZ - Cencosud SA - Mendoza</v>
          </cell>
          <cell r="AD136" t="str">
            <v>CENCO_MZ - Cencosud SA - Mendoza</v>
          </cell>
          <cell r="AE136" t="str">
            <v>CENCO_MZ - Cencosud SA - Mendoza</v>
          </cell>
          <cell r="AF136" t="str">
            <v>CENCO_MZ - Cencosud SA - Mendoza</v>
          </cell>
          <cell r="AG136" t="str">
            <v>CENCO_MZ - Cencosud SA - Mendoza</v>
          </cell>
          <cell r="AH136" t="str">
            <v>CENCO_MZ - Cencosud SA - Mendoza</v>
          </cell>
          <cell r="AI136" t="str">
            <v>CENCO_MZ - Cencosud SA - Mendoza</v>
          </cell>
          <cell r="AJ136" t="str">
            <v>CENCO_MZ - Cencosud SA - Mendoza</v>
          </cell>
          <cell r="AK136" t="str">
            <v>CENCO_MZ - Cencosud SA - Mendoza</v>
          </cell>
          <cell r="AL136" t="str">
            <v>CENCO_MZ - Cencosud SA - Mendoza</v>
          </cell>
          <cell r="AM136" t="str">
            <v>CENCO_MZ - Cencosud SA - Mendoza</v>
          </cell>
          <cell r="AN136" t="str">
            <v>CENCO_MZ - Cencosud SA - Mendoza</v>
          </cell>
          <cell r="AO136" t="str">
            <v>CENCO_MZ - Cencosud SA - Mendoza</v>
          </cell>
          <cell r="AP136" t="str">
            <v>CENCO_MZ - Cencosud SA - Mendoza</v>
          </cell>
          <cell r="AQ136" t="str">
            <v>CENCO_MZ - Cencosud SA - Mendoza</v>
          </cell>
          <cell r="AR136" t="str">
            <v>CENCO_MZ - Cencosud SA - Mendoza</v>
          </cell>
          <cell r="AS136" t="str">
            <v>CENCO_MZ - Cencosud SA - Mendoza</v>
          </cell>
          <cell r="AT136" t="str">
            <v>CENCO_MZ - Cencosud SA - Mendoza</v>
          </cell>
          <cell r="AU136" t="str">
            <v>CENCO_MZ - Cencosud SA - Mendoza</v>
          </cell>
          <cell r="AV136" t="str">
            <v>CENCO_MZ - Cencosud SA - Mendoza</v>
          </cell>
          <cell r="AW136" t="str">
            <v>CENCO_MZ - Cencosud SA - Mendoza</v>
          </cell>
          <cell r="AX136" t="str">
            <v>CENCO_MZ - Cencosud SA - Mendoza</v>
          </cell>
          <cell r="AY136" t="str">
            <v>CENCO_MZ - Cencosud SA - Mendoza</v>
          </cell>
          <cell r="AZ136" t="str">
            <v>CENCO_MZ - Cencosud SA - Mendoza</v>
          </cell>
          <cell r="BA136" t="str">
            <v>CENCO_MZ - Cencosud SA - Mendoza</v>
          </cell>
          <cell r="BB136" t="str">
            <v>CENCO_MZ - Cencosud SA - Mendoza</v>
          </cell>
          <cell r="BC136" t="str">
            <v>CENCO_MZ - Cencosud SA - Mendoza</v>
          </cell>
          <cell r="BD136" t="str">
            <v>CENCO_MZ - Cencosud SA - Mendoza</v>
          </cell>
          <cell r="BE136" t="str">
            <v>CENCO_MZ - Cencosud SA - Mendoza</v>
          </cell>
          <cell r="BF136" t="str">
            <v>CENCO_MZ - Cencosud SA - Mendoza</v>
          </cell>
          <cell r="BG136" t="str">
            <v>CENCO_MZ - Cencosud SA - Mendoza</v>
          </cell>
          <cell r="BH136" t="str">
            <v>CENCO_MZ - Cencosud SA - Mendoza</v>
          </cell>
          <cell r="BI136" t="str">
            <v>CENCO_MZ - Cencosud SA - Mendoza</v>
          </cell>
          <cell r="BJ136" t="str">
            <v>CENCO_MZ - Cencosud SA - Mendoza</v>
          </cell>
          <cell r="BK136" t="str">
            <v>CENCO_MZ - Cencosud SA - Mendoza</v>
          </cell>
          <cell r="BL136" t="str">
            <v>CENCO_MZ - Cencosud SA - Mendoza</v>
          </cell>
          <cell r="BM136" t="str">
            <v>CENCO_SJ - Cencosud SA - San Juan</v>
          </cell>
          <cell r="BN136" t="str">
            <v>CENCO_SJ - Cencosud SA - San Juan</v>
          </cell>
          <cell r="BO136" t="str">
            <v>CENCO_SJ - Cencosud SA - San Juan</v>
          </cell>
          <cell r="BP136" t="str">
            <v>CENCO_SJ - Cencosud SA - San Juan</v>
          </cell>
          <cell r="BQ136" t="str">
            <v>CENCO_SJ - Cencosud SA - San Juan</v>
          </cell>
          <cell r="BR136" t="str">
            <v>CENCO_SJ - Cencosud SA - San Juan</v>
          </cell>
          <cell r="BS136" t="str">
            <v>CENCO_SJ - Cencosud SA - San Juan</v>
          </cell>
          <cell r="BT136" t="str">
            <v>CENCO_SJ - Cencosud SA - San Juan</v>
          </cell>
          <cell r="BU136" t="str">
            <v>CENCO_SJ - Cencosud SA - San Juan</v>
          </cell>
          <cell r="BV136" t="str">
            <v>CENCO_SJ - Cencosud SA - San Juan</v>
          </cell>
          <cell r="BW136" t="str">
            <v>CENCO_SJ - Cencosud SA - San Juan</v>
          </cell>
          <cell r="BX136" t="str">
            <v>CENCO_SJ - Cencosud SA - San Juan</v>
          </cell>
          <cell r="BY136" t="str">
            <v>CENCO_SJ - Cencosud SA - San Juan</v>
          </cell>
          <cell r="BZ136" t="str">
            <v>CENCO_SJ - Cencosud SA - San Juan</v>
          </cell>
          <cell r="CA136" t="str">
            <v>CENCO_SJ - Cencosud SA - San Juan</v>
          </cell>
          <cell r="CB136" t="str">
            <v>CENCO_SJ - Cencosud SA - San Juan</v>
          </cell>
          <cell r="CC136" t="str">
            <v>CENCO_SJ - Cencosud SA - San Juan</v>
          </cell>
          <cell r="CD136" t="str">
            <v>CENCO_SJ - Cencosud SA - San Juan</v>
          </cell>
          <cell r="CE136" t="str">
            <v>CENCO_SJ - Cencosud SA - San Juan</v>
          </cell>
          <cell r="CF136" t="str">
            <v>CENCO_SJ - Cencosud SA - San Juan</v>
          </cell>
          <cell r="CG136" t="str">
            <v>CENCO_SJ - Cencosud SA - San Juan</v>
          </cell>
          <cell r="CH136" t="str">
            <v>CENCO_SJ - Cencosud SA - San Juan</v>
          </cell>
          <cell r="CI136" t="str">
            <v>CENCO_SJ - Cencosud SA - San Juan</v>
          </cell>
          <cell r="CJ136" t="str">
            <v>CENCO_SJ - Cencosud SA - San Juan</v>
          </cell>
          <cell r="CK136" t="str">
            <v>CENCO_SJ - Cencosud SA - San Juan</v>
          </cell>
          <cell r="CL136" t="str">
            <v>CENCO_SJ - Cencosud SA - San Juan</v>
          </cell>
          <cell r="CM136" t="str">
            <v>CENCO_SJ - Cencosud SA - San Juan</v>
          </cell>
          <cell r="CN136" t="str">
            <v>CENCO_SJ - Cencosud SA - San Juan</v>
          </cell>
          <cell r="CO136" t="str">
            <v>CENCO_SJ - Cencosud SA - San Juan</v>
          </cell>
          <cell r="CP136" t="str">
            <v>CENCO_SJ - Cencosud SA - San Juan</v>
          </cell>
          <cell r="CQ136" t="str">
            <v>CENCO_SJ - Cencosud SA - San Juan</v>
          </cell>
          <cell r="CR136" t="str">
            <v>CENCO_SJ - Cencosud SA - San Juan</v>
          </cell>
          <cell r="CS136" t="str">
            <v>CENCO_SJ - Cencosud SA - San Juan</v>
          </cell>
          <cell r="CT136" t="str">
            <v>CENCO_SJ - Cencosud SA - San Juan</v>
          </cell>
          <cell r="CU136" t="str">
            <v>CENCO_SJ - Cencosud SA - San Juan</v>
          </cell>
          <cell r="CV136" t="str">
            <v>CENCO_SJ - Cencosud SA - San Juan</v>
          </cell>
          <cell r="CW136" t="str">
            <v>CENCO_SJ - Cencosud SA - San Juan</v>
          </cell>
        </row>
        <row r="137">
          <cell r="D137" t="str">
            <v>JIL525</v>
          </cell>
          <cell r="E137" t="str">
            <v>Chasis</v>
          </cell>
          <cell r="F137" t="str">
            <v>Chasis</v>
          </cell>
          <cell r="G137" t="str">
            <v>Chasis termico</v>
          </cell>
          <cell r="N137" t="str">
            <v>CODYLSA</v>
          </cell>
          <cell r="O137" t="str">
            <v>CODYLSA</v>
          </cell>
          <cell r="P137" t="str">
            <v>No</v>
          </cell>
          <cell r="Q137" t="str">
            <v>Propio</v>
          </cell>
          <cell r="R137">
            <v>12</v>
          </cell>
          <cell r="S137" t="str">
            <v>Propio</v>
          </cell>
          <cell r="T137" t="str">
            <v>MERCEDES BENZ</v>
          </cell>
          <cell r="U137" t="str">
            <v>L-1318</v>
          </cell>
          <cell r="V137" t="str">
            <v>904976U0887775</v>
          </cell>
          <cell r="W137" t="str">
            <v>9BM694000BB717360</v>
          </cell>
          <cell r="X137">
            <v>2010</v>
          </cell>
          <cell r="Y137">
            <v>16</v>
          </cell>
          <cell r="Z137" t="str">
            <v>Jumbo Mendoza</v>
          </cell>
          <cell r="AA137" t="str">
            <v>CENCO_MZ - Cencosud SA - Mendoza</v>
          </cell>
          <cell r="AB137" t="str">
            <v>CENCO_MZ - Cencosud SA - Mendoza</v>
          </cell>
          <cell r="AC137" t="str">
            <v>CENCO_MZ - Cencosud SA - Mendoza</v>
          </cell>
          <cell r="AD137" t="str">
            <v>CENCO_MZ - Cencosud SA - Mendoza</v>
          </cell>
          <cell r="AE137" t="str">
            <v>CENCO_MZ - Cencosud SA - Mendoza</v>
          </cell>
          <cell r="AF137" t="str">
            <v>CENCO_MZ - Cencosud SA - Mendoza</v>
          </cell>
          <cell r="AG137" t="str">
            <v>CENCO_MZ - Cencosud SA - Mendoza</v>
          </cell>
          <cell r="AH137" t="str">
            <v>CENCO_MZ - Cencosud SA - Mendoza</v>
          </cell>
          <cell r="AI137" t="str">
            <v>CENCO_MZ - Cencosud SA - Mendoza</v>
          </cell>
          <cell r="AJ137" t="str">
            <v>CENCO_MZ - Cencosud SA - Mendoza</v>
          </cell>
          <cell r="AK137" t="str">
            <v>CENCO_MZ - Cencosud SA - Mendoza</v>
          </cell>
          <cell r="AL137" t="str">
            <v>CENCO_MZ - Cencosud SA - Mendoza</v>
          </cell>
          <cell r="AM137" t="str">
            <v>CENCO_MZ - Cencosud SA - Mendoza</v>
          </cell>
          <cell r="AN137" t="str">
            <v>CENCO_MZ - Cencosud SA - Mendoza</v>
          </cell>
          <cell r="AO137" t="str">
            <v>CENCO_MZ - Cencosud SA - Mendoza</v>
          </cell>
          <cell r="AP137" t="str">
            <v>CENCO_MZ - Cencosud SA - Mendoza</v>
          </cell>
          <cell r="AQ137" t="str">
            <v>CENCO_MZ - Cencosud SA - Mendoza</v>
          </cell>
          <cell r="AR137" t="str">
            <v>CENCO_MZ - Cencosud SA - Mendoza</v>
          </cell>
          <cell r="AS137" t="str">
            <v>CENCO_MZ - Cencosud SA - Mendoza</v>
          </cell>
          <cell r="AT137" t="str">
            <v>CENCO_MZ - Cencosud SA - Mendoza</v>
          </cell>
          <cell r="AU137" t="str">
            <v>CENCO_MZ - Cencosud SA - Mendoza</v>
          </cell>
          <cell r="AV137" t="str">
            <v>CENCO_MZ - Cencosud SA - Mendoza</v>
          </cell>
          <cell r="AW137" t="str">
            <v>CENCO_MZ - Cencosud SA - Mendoza</v>
          </cell>
          <cell r="AX137" t="str">
            <v>CENCO_SJ - Cencosud SA - San Juan</v>
          </cell>
          <cell r="AY137" t="str">
            <v>CENCO_SJ - Cencosud SA - San Juan</v>
          </cell>
          <cell r="AZ137" t="str">
            <v>CENCO_SJ - Cencosud SA - San Juan</v>
          </cell>
          <cell r="BA137" t="str">
            <v>CENCO_SJ - Cencosud SA - San Juan</v>
          </cell>
          <cell r="BB137" t="str">
            <v>CENCO_SJ - Cencosud SA - San Juan</v>
          </cell>
          <cell r="BC137" t="str">
            <v>CENCO_SJ - Cencosud SA - San Juan</v>
          </cell>
          <cell r="BD137" t="str">
            <v>CENCO_SJ - Cencosud SA - San Juan</v>
          </cell>
          <cell r="BE137" t="str">
            <v>CENCO_SJ - Cencosud SA - San Juan</v>
          </cell>
          <cell r="BF137" t="str">
            <v>CENCO_SJ - Cencosud SA - San Juan</v>
          </cell>
          <cell r="BG137" t="str">
            <v>CENCO_SJ - Cencosud SA - San Juan</v>
          </cell>
          <cell r="BH137" t="str">
            <v>CENCO_SJ - Cencosud SA - San Juan</v>
          </cell>
          <cell r="BI137" t="str">
            <v>CENCO_SJ - Cencosud SA - San Juan</v>
          </cell>
          <cell r="BJ137" t="str">
            <v>CENCO_SJ - Cencosud SA - San Juan</v>
          </cell>
          <cell r="BK137" t="str">
            <v>CENCO_SJ - Cencosud SA - San Juan</v>
          </cell>
          <cell r="BL137" t="str">
            <v>CENCO_SJ - Cencosud SA - San Juan</v>
          </cell>
          <cell r="BM137" t="str">
            <v>CENCO_SJ - Cencosud SA - San Juan</v>
          </cell>
          <cell r="BN137" t="str">
            <v>CENCO_SJ - Cencosud SA - San Juan</v>
          </cell>
          <cell r="BO137" t="str">
            <v>CENCO_SJ - Cencosud SA - San Juan</v>
          </cell>
          <cell r="BP137" t="str">
            <v>CENCO_SJ - Cencosud SA - San Juan</v>
          </cell>
          <cell r="BQ137" t="str">
            <v>CENCO_SJ - Cencosud SA - San Juan</v>
          </cell>
          <cell r="BR137" t="str">
            <v>CENCO_SJ - Cencosud SA - San Juan</v>
          </cell>
          <cell r="BS137" t="str">
            <v>CENCO_SJ - Cencosud SA - San Juan</v>
          </cell>
          <cell r="BT137" t="str">
            <v>CENCO_SJ - Cencosud SA - San Juan</v>
          </cell>
          <cell r="BU137" t="str">
            <v>CENCO_SJ - Cencosud SA - San Juan</v>
          </cell>
          <cell r="BV137" t="str">
            <v>CENCO_SJ - Cencosud SA - San Juan</v>
          </cell>
          <cell r="BW137" t="str">
            <v>CENCO_SJ - Cencosud SA - San Juan</v>
          </cell>
          <cell r="BX137" t="str">
            <v>CENCO_SJ - Cencosud SA - San Juan</v>
          </cell>
          <cell r="BY137" t="str">
            <v>CENCO_SJ - Cencosud SA - San Juan</v>
          </cell>
          <cell r="BZ137" t="str">
            <v>CENCO_SJ - Cencosud SA - San Juan</v>
          </cell>
          <cell r="CA137" t="str">
            <v>CENCO_SJ - Cencosud SA - San Juan</v>
          </cell>
          <cell r="CB137" t="str">
            <v>CENCO_SJ - Cencosud SA - San Juan</v>
          </cell>
          <cell r="CC137" t="str">
            <v>CENCO_SJ - Cencosud SA - San Juan</v>
          </cell>
          <cell r="CD137" t="str">
            <v>CENCO_SJ - Cencosud SA - San Juan</v>
          </cell>
          <cell r="CE137" t="str">
            <v>CENCO_SJ - Cencosud SA - San Juan</v>
          </cell>
          <cell r="CF137" t="str">
            <v>CENCO_SJ - Cencosud SA - San Juan</v>
          </cell>
          <cell r="CG137" t="str">
            <v>CENCO_SJ - Cencosud SA - San Juan</v>
          </cell>
          <cell r="CH137" t="str">
            <v>CENCO_SJ - Cencosud SA - San Juan</v>
          </cell>
          <cell r="CI137" t="str">
            <v>CENCO_SJ - Cencosud SA - San Juan</v>
          </cell>
          <cell r="CJ137" t="str">
            <v>CENCO_SJ - Cencosud SA - San Juan</v>
          </cell>
          <cell r="CK137" t="str">
            <v>CENCO_SJ - Cencosud SA - San Juan</v>
          </cell>
          <cell r="CL137" t="str">
            <v>CENCO_SJ - Cencosud SA - San Juan</v>
          </cell>
          <cell r="CM137" t="str">
            <v>CENCO_SJ - Cencosud SA - San Juan</v>
          </cell>
          <cell r="CN137" t="str">
            <v>CENCO_SJ - Cencosud SA - San Juan</v>
          </cell>
          <cell r="CO137" t="str">
            <v>CENCO_SJ - Cencosud SA - San Juan</v>
          </cell>
          <cell r="CP137" t="str">
            <v>CENCO_SJ - Cencosud SA - San Juan</v>
          </cell>
          <cell r="CQ137" t="str">
            <v>CENCO_SJ - Cencosud SA - San Juan</v>
          </cell>
          <cell r="CR137" t="str">
            <v>CENCO_SJ - Cencosud SA - San Juan</v>
          </cell>
          <cell r="CS137" t="str">
            <v>CENCO_SJ - Cencosud SA - San Juan</v>
          </cell>
          <cell r="CT137" t="str">
            <v>CENCO_SJ - Cencosud SA - San Juan</v>
          </cell>
          <cell r="CU137" t="str">
            <v>CENCO_SJ - Cencosud SA - San Juan</v>
          </cell>
          <cell r="CV137" t="str">
            <v>CENCO_SJ - Cencosud SA - San Juan</v>
          </cell>
          <cell r="CW137" t="str">
            <v>CENCO_SJ - Cencosud SA - San Juan</v>
          </cell>
        </row>
        <row r="138">
          <cell r="D138" t="str">
            <v>AG300AQ</v>
          </cell>
          <cell r="E138" t="str">
            <v>Tractor</v>
          </cell>
          <cell r="F138" t="str">
            <v>Tractor</v>
          </cell>
          <cell r="G138" t="str">
            <v>Tractor</v>
          </cell>
          <cell r="N138" t="str">
            <v>TDU-LEASING MB FINANCIERA-COLCAR</v>
          </cell>
          <cell r="O138" t="str">
            <v>TDU</v>
          </cell>
          <cell r="P138" t="str">
            <v>Sí</v>
          </cell>
          <cell r="Q138" t="str">
            <v>Propio</v>
          </cell>
          <cell r="R138" t="str">
            <v>-</v>
          </cell>
          <cell r="S138" t="str">
            <v>Propio</v>
          </cell>
          <cell r="T138" t="str">
            <v>MERCEDES BENZ</v>
          </cell>
          <cell r="U138" t="str">
            <v>ACTROS 2045 LS/36</v>
          </cell>
          <cell r="V138" t="str">
            <v>460974U1146896</v>
          </cell>
          <cell r="W138" t="str">
            <v>W1T963403RB337563</v>
          </cell>
          <cell r="X138">
            <v>2023</v>
          </cell>
          <cell r="Y138">
            <v>3</v>
          </cell>
          <cell r="BV138" t="str">
            <v>Expreso - Servicios Troncales</v>
          </cell>
          <cell r="BW138" t="str">
            <v>Expreso - Servicios Troncales</v>
          </cell>
          <cell r="BX138" t="str">
            <v>Expreso - Servicios Troncales</v>
          </cell>
          <cell r="BY138" t="str">
            <v>Expreso - Servicios Troncales</v>
          </cell>
          <cell r="BZ138" t="str">
            <v>Expreso - Servicios Troncales</v>
          </cell>
          <cell r="CA138" t="str">
            <v>Expreso - Servicios Troncales</v>
          </cell>
          <cell r="CB138" t="str">
            <v>Expreso - Servicios Troncales</v>
          </cell>
          <cell r="CC138" t="str">
            <v>Expreso - Servicios Troncales</v>
          </cell>
          <cell r="CD138" t="str">
            <v>Expreso - Servicios Troncales</v>
          </cell>
          <cell r="CE138" t="str">
            <v>Expreso - Servicios Troncales</v>
          </cell>
          <cell r="CF138" t="str">
            <v>Expreso - Servicios Troncales</v>
          </cell>
          <cell r="CG138" t="str">
            <v>Expreso - Servicios Troncales</v>
          </cell>
          <cell r="CH138" t="str">
            <v>Expreso - Servicios Troncales</v>
          </cell>
          <cell r="CI138" t="str">
            <v>Expreso - Servicios Troncales</v>
          </cell>
          <cell r="CJ138" t="str">
            <v>Expreso - Servicios Troncales</v>
          </cell>
          <cell r="CK138" t="str">
            <v>Expreso - Servicios Troncales</v>
          </cell>
          <cell r="CL138" t="str">
            <v>Expreso - Servicios Troncales</v>
          </cell>
          <cell r="CM138" t="str">
            <v>Expreso - Servicios Troncales</v>
          </cell>
          <cell r="CN138" t="str">
            <v>Expreso - Servicios Troncales</v>
          </cell>
          <cell r="CO138" t="str">
            <v>Expreso - Servicios Troncales</v>
          </cell>
          <cell r="CP138" t="str">
            <v>Expreso - Servicios Troncales</v>
          </cell>
          <cell r="CQ138" t="str">
            <v>Expreso - Servicios Troncales</v>
          </cell>
          <cell r="CR138" t="str">
            <v>Expreso - Servicios Troncales</v>
          </cell>
          <cell r="CS138" t="str">
            <v>Expreso - Servicios Troncales</v>
          </cell>
          <cell r="CT138" t="str">
            <v>Expreso - Servicios Troncales</v>
          </cell>
          <cell r="CU138" t="str">
            <v>Expreso - Servicios Troncales</v>
          </cell>
          <cell r="CV138" t="str">
            <v>Expreso - Servicios Troncales</v>
          </cell>
          <cell r="CW138" t="str">
            <v>Expreso - Servicios Troncales</v>
          </cell>
        </row>
        <row r="139">
          <cell r="D139" t="str">
            <v>AG300AR</v>
          </cell>
          <cell r="E139" t="str">
            <v>Tractor</v>
          </cell>
          <cell r="F139" t="str">
            <v>Tractor</v>
          </cell>
          <cell r="G139" t="str">
            <v>Tractor</v>
          </cell>
          <cell r="N139" t="str">
            <v>TDU-LEASING MB FINANCIERA-COLCAR</v>
          </cell>
          <cell r="O139" t="str">
            <v>TDU</v>
          </cell>
          <cell r="P139" t="str">
            <v>Sí</v>
          </cell>
          <cell r="Q139" t="str">
            <v>Propio</v>
          </cell>
          <cell r="R139" t="str">
            <v>-</v>
          </cell>
          <cell r="S139" t="str">
            <v>Propio</v>
          </cell>
          <cell r="T139" t="str">
            <v>MERCEDES BENZ</v>
          </cell>
          <cell r="U139" t="str">
            <v>ATEGO 1729-S36 CD TE</v>
          </cell>
          <cell r="V139" t="str">
            <v>926994U1455860</v>
          </cell>
          <cell r="W139" t="str">
            <v>8AB958077RA805861</v>
          </cell>
          <cell r="X139">
            <v>2023</v>
          </cell>
          <cell r="Y139">
            <v>3</v>
          </cell>
          <cell r="BV139" t="str">
            <v>Unilever - Unilever de Arg. S.A.</v>
          </cell>
          <cell r="BW139" t="str">
            <v>Papelera - Papelera del Plata S.A.</v>
          </cell>
          <cell r="BX139" t="str">
            <v>Unilever - Unilever de Arg. S.A.</v>
          </cell>
          <cell r="BY139" t="str">
            <v>Papelera - Papelera del Plata S.A.</v>
          </cell>
          <cell r="BZ139" t="str">
            <v>Unilever - Unilever de Arg. S.A.</v>
          </cell>
          <cell r="CA139" t="str">
            <v>Unilever - Unilever de Arg. S.A.</v>
          </cell>
          <cell r="CB139" t="str">
            <v>Unilever - Unilever de Arg. S.A.</v>
          </cell>
          <cell r="CC139" t="str">
            <v>Unilever - Unilever de Arg. S.A.</v>
          </cell>
          <cell r="CD139" t="str">
            <v>Unilever - Unilever de Arg. S.A.</v>
          </cell>
          <cell r="CE139" t="str">
            <v>Unilever - Unilever de Arg. S.A.</v>
          </cell>
          <cell r="CF139" t="str">
            <v>Unilever - Unilever de Arg. S.A.</v>
          </cell>
          <cell r="CG139" t="str">
            <v>Unilever - Unilever de Arg. S.A.</v>
          </cell>
          <cell r="CH139" t="str">
            <v>Unilever - Unilever de Arg. S.A.</v>
          </cell>
          <cell r="CI139" t="str">
            <v>Unilever - Unilever de Arg. S.A.</v>
          </cell>
          <cell r="CJ139" t="str">
            <v>Unilever - Unilever de Arg. S.A.</v>
          </cell>
          <cell r="CK139" t="str">
            <v>Unilever - Unilever de Arg. S.A.</v>
          </cell>
          <cell r="CL139" t="str">
            <v>Unilever - Unilever de Arg. S.A.</v>
          </cell>
          <cell r="CM139" t="str">
            <v>Unilever - Unilever de Arg. S.A.</v>
          </cell>
          <cell r="CN139" t="str">
            <v>Unilever - Unilever de Arg. S.A.</v>
          </cell>
          <cell r="CO139" t="str">
            <v>Unilever - Unilever de Arg. S.A.</v>
          </cell>
          <cell r="CP139" t="str">
            <v>Arcor S.A.I.C.</v>
          </cell>
          <cell r="CQ139" t="str">
            <v>Arcor S.A.I.C.</v>
          </cell>
          <cell r="CR139" t="str">
            <v>Arcor S.A.I.C.</v>
          </cell>
          <cell r="CS139" t="str">
            <v>Arcor S.A.I.C.</v>
          </cell>
          <cell r="CT139" t="str">
            <v>Arcor S.A.I.C.</v>
          </cell>
          <cell r="CU139" t="str">
            <v>Arcor S.A.I.C.</v>
          </cell>
          <cell r="CV139" t="str">
            <v>Arcor S.A.I.C.</v>
          </cell>
          <cell r="CW139" t="str">
            <v>Arcor S.A.I.C.</v>
          </cell>
        </row>
        <row r="140">
          <cell r="D140" t="str">
            <v>AG390QD</v>
          </cell>
          <cell r="E140" t="str">
            <v>Chasis</v>
          </cell>
          <cell r="F140" t="str">
            <v>Chasis</v>
          </cell>
          <cell r="G140" t="str">
            <v>Chasis</v>
          </cell>
          <cell r="N140" t="str">
            <v>CODYLSA</v>
          </cell>
          <cell r="O140" t="str">
            <v>CODYLSA</v>
          </cell>
          <cell r="P140" t="str">
            <v>No</v>
          </cell>
          <cell r="Q140" t="str">
            <v>Propio</v>
          </cell>
          <cell r="R140">
            <v>8</v>
          </cell>
          <cell r="S140" t="str">
            <v>Propio</v>
          </cell>
          <cell r="T140" t="str">
            <v>MERCEDES BENZ</v>
          </cell>
          <cell r="U140" t="str">
            <v>ACCELO 1016 39</v>
          </cell>
          <cell r="V140" t="str">
            <v>924943U1460110</v>
          </cell>
          <cell r="W140" t="str">
            <v>8AB951104RA904748</v>
          </cell>
          <cell r="X140">
            <v>2023</v>
          </cell>
          <cell r="Y140">
            <v>3</v>
          </cell>
          <cell r="BX140" t="str">
            <v>Sin Operación</v>
          </cell>
          <cell r="BY140" t="str">
            <v>CCUDyAZA</v>
          </cell>
          <cell r="BZ140" t="str">
            <v>Sin Operación</v>
          </cell>
          <cell r="CA140" t="str">
            <v>CCUDyAZA</v>
          </cell>
          <cell r="CB140" t="str">
            <v>CCUDyAZA</v>
          </cell>
          <cell r="CC140" t="str">
            <v>CCUDyAZA</v>
          </cell>
          <cell r="CD140" t="str">
            <v>CCUDyAZA</v>
          </cell>
          <cell r="CE140" t="str">
            <v>CCUDyAZA</v>
          </cell>
          <cell r="CF140" t="str">
            <v>CCUDyAZA</v>
          </cell>
          <cell r="CG140" t="str">
            <v>CCUDyAZA</v>
          </cell>
          <cell r="CH140" t="str">
            <v>CCUDyAZA</v>
          </cell>
          <cell r="CI140" t="str">
            <v>CCUDyAZA</v>
          </cell>
          <cell r="CJ140" t="str">
            <v>CCUDyAZA</v>
          </cell>
          <cell r="CK140" t="str">
            <v>CCUDyAZA</v>
          </cell>
          <cell r="CL140" t="str">
            <v>CCUDyAZA</v>
          </cell>
          <cell r="CM140" t="str">
            <v>CCUDyAZA</v>
          </cell>
          <cell r="CN140" t="str">
            <v>CCUDyAZA</v>
          </cell>
          <cell r="CO140" t="str">
            <v>CCUDyAZA</v>
          </cell>
          <cell r="CP140" t="str">
            <v>CCUDyAZA</v>
          </cell>
          <cell r="CQ140" t="str">
            <v>CCUDyAZA</v>
          </cell>
          <cell r="CR140" t="str">
            <v>CCUDyAZA</v>
          </cell>
          <cell r="CS140" t="str">
            <v>CCUDyAZA</v>
          </cell>
          <cell r="CT140" t="str">
            <v>CCUDyAZA</v>
          </cell>
          <cell r="CU140" t="str">
            <v>CCUDyAZA</v>
          </cell>
          <cell r="CV140" t="str">
            <v>CCUDyAZA</v>
          </cell>
          <cell r="CW140" t="str">
            <v>CCUDyAZA</v>
          </cell>
        </row>
        <row r="141">
          <cell r="D141" t="str">
            <v>AG404LU</v>
          </cell>
          <cell r="E141" t="str">
            <v>Chasis</v>
          </cell>
          <cell r="F141" t="str">
            <v>Chasis</v>
          </cell>
          <cell r="G141" t="str">
            <v>Chasis</v>
          </cell>
          <cell r="N141" t="str">
            <v>TDU (BCO SUPERVIELLE SA-LEASING)</v>
          </cell>
          <cell r="O141" t="str">
            <v>TDU</v>
          </cell>
          <cell r="P141" t="str">
            <v>Sí</v>
          </cell>
          <cell r="Q141" t="str">
            <v>Propio</v>
          </cell>
          <cell r="R141">
            <v>12</v>
          </cell>
          <cell r="S141" t="str">
            <v>Propio</v>
          </cell>
          <cell r="T141" t="str">
            <v>MERCEDES BENZ</v>
          </cell>
          <cell r="U141" t="str">
            <v>ATEGO 1721 48</v>
          </cell>
          <cell r="V141" t="str">
            <v>924989U1455741</v>
          </cell>
          <cell r="W141" t="str">
            <v>8AB958154RA805941</v>
          </cell>
          <cell r="X141">
            <v>2023</v>
          </cell>
          <cell r="Y141">
            <v>3</v>
          </cell>
          <cell r="BX141" t="str">
            <v>Sin Operación</v>
          </cell>
          <cell r="BY141" t="str">
            <v>Sin Operación</v>
          </cell>
          <cell r="BZ141" t="str">
            <v>Sin Operación</v>
          </cell>
          <cell r="CA141" t="str">
            <v>Sin Operación</v>
          </cell>
          <cell r="CB141" t="str">
            <v>CMQ_TTE - QUILMES TTE</v>
          </cell>
          <cell r="CC141" t="str">
            <v>CMQ_TTE - QUILMES TTE</v>
          </cell>
          <cell r="CD141" t="str">
            <v>CMQ_TTE - QUILMES TTE</v>
          </cell>
          <cell r="CE141" t="str">
            <v>CMQ_TTE - QUILMES TTE</v>
          </cell>
          <cell r="CF141" t="str">
            <v>CMQ_TTE - QUILMES TTE</v>
          </cell>
          <cell r="CG141" t="str">
            <v>CMQ_TTE - QUILMES TTE</v>
          </cell>
          <cell r="CH141" t="str">
            <v>CMQ_TTE - QUILMES TTE</v>
          </cell>
          <cell r="CI141" t="str">
            <v>CMQ_TTE - QUILMES TTE</v>
          </cell>
          <cell r="CJ141" t="str">
            <v>CMQ_TTE - QUILMES TTE</v>
          </cell>
          <cell r="CK141" t="str">
            <v>CMQ_TTE - QUILMES TTE</v>
          </cell>
          <cell r="CL141" t="str">
            <v>CMQ_TTE - QUILMES TTE</v>
          </cell>
          <cell r="CM141" t="str">
            <v>CMQ_TTE - QUILMES TTE</v>
          </cell>
          <cell r="CN141" t="str">
            <v>CMQ_TTE - QUILMES TTE</v>
          </cell>
          <cell r="CO141" t="str">
            <v>CMQ_TTE - QUILMES TTE</v>
          </cell>
          <cell r="CP141" t="str">
            <v>CMQ_TTE - QUILMES TTE</v>
          </cell>
          <cell r="CQ141" t="str">
            <v>CMQ_TTE - QUILMES TTE</v>
          </cell>
          <cell r="CR141" t="str">
            <v>CMQ_TTE - QUILMES TTE</v>
          </cell>
          <cell r="CS141" t="str">
            <v>CMQ_TTE - QUILMES TTE</v>
          </cell>
          <cell r="CT141" t="str">
            <v>CMQ_TTE - QUILMES TTE</v>
          </cell>
          <cell r="CU141" t="str">
            <v>CMQ_TTE - QUILMES TTE</v>
          </cell>
          <cell r="CV141" t="str">
            <v>CMQ_TTE - QUILMES TTE</v>
          </cell>
          <cell r="CW141" t="str">
            <v>CMQ_TTE - QUILMES TTE</v>
          </cell>
        </row>
        <row r="142">
          <cell r="D142" t="str">
            <v>AG404LX</v>
          </cell>
          <cell r="E142" t="str">
            <v>Chasis</v>
          </cell>
          <cell r="F142" t="str">
            <v>Chasis</v>
          </cell>
          <cell r="G142" t="str">
            <v>Chasis</v>
          </cell>
          <cell r="N142" t="str">
            <v>CODYLSA (BCO SUPERVIELLE SA-LEASING)</v>
          </cell>
          <cell r="O142" t="str">
            <v>CODYLSA</v>
          </cell>
          <cell r="P142" t="str">
            <v>Sí</v>
          </cell>
          <cell r="Q142" t="str">
            <v>Propio</v>
          </cell>
          <cell r="R142">
            <v>8</v>
          </cell>
          <cell r="S142" t="str">
            <v>Propio</v>
          </cell>
          <cell r="T142" t="str">
            <v>MERCEDES BENZ</v>
          </cell>
          <cell r="U142" t="str">
            <v>ACCELO 1016 39</v>
          </cell>
          <cell r="V142" t="str">
            <v>924943U1454910</v>
          </cell>
          <cell r="W142" t="str">
            <v>8AB951104RA904707</v>
          </cell>
          <cell r="X142">
            <v>2023</v>
          </cell>
          <cell r="Y142">
            <v>3</v>
          </cell>
          <cell r="BX142" t="str">
            <v>Sin Operación</v>
          </cell>
          <cell r="BY142" t="str">
            <v>CCUDyAZA</v>
          </cell>
          <cell r="BZ142" t="str">
            <v>Sin Operación</v>
          </cell>
          <cell r="CA142" t="str">
            <v>CCUDyAZA</v>
          </cell>
          <cell r="CB142" t="str">
            <v>CCUDyAZA</v>
          </cell>
          <cell r="CC142" t="str">
            <v>CCUDyAZA</v>
          </cell>
          <cell r="CD142" t="str">
            <v>CCUDyAZA</v>
          </cell>
          <cell r="CE142" t="str">
            <v>CCUDyAZA</v>
          </cell>
          <cell r="CF142" t="str">
            <v>CCUDyAZA</v>
          </cell>
          <cell r="CG142" t="str">
            <v>CCUDyAZA</v>
          </cell>
          <cell r="CH142" t="str">
            <v>CCUDyAZA</v>
          </cell>
          <cell r="CI142" t="str">
            <v>CCUDyAZA</v>
          </cell>
          <cell r="CJ142" t="str">
            <v>CCUDyAZA</v>
          </cell>
          <cell r="CK142" t="str">
            <v>CCUDyAZA</v>
          </cell>
          <cell r="CL142" t="str">
            <v>CCUDyAZA</v>
          </cell>
          <cell r="CM142" t="str">
            <v>CCUDyAZA</v>
          </cell>
          <cell r="CN142" t="str">
            <v>CCUDyAZA</v>
          </cell>
          <cell r="CO142" t="str">
            <v>CCUDyAZA</v>
          </cell>
          <cell r="CP142" t="str">
            <v>CCUDyAZA</v>
          </cell>
          <cell r="CQ142" t="str">
            <v>CCUDyAZA</v>
          </cell>
          <cell r="CR142" t="str">
            <v>CCUDyAZA</v>
          </cell>
          <cell r="CS142" t="str">
            <v>CCUDyAZA</v>
          </cell>
          <cell r="CT142" t="str">
            <v>CCUDyAZA</v>
          </cell>
          <cell r="CU142" t="str">
            <v>CCUDyAZA</v>
          </cell>
          <cell r="CV142" t="str">
            <v>CCUDyAZA</v>
          </cell>
          <cell r="CW142" t="str">
            <v>CCUDyAZA</v>
          </cell>
        </row>
        <row r="143">
          <cell r="D143" t="str">
            <v>AG465YJ</v>
          </cell>
          <cell r="E143" t="str">
            <v>Semiremolque termico</v>
          </cell>
          <cell r="F143" t="str">
            <v>Semiremolque</v>
          </cell>
          <cell r="G143" t="str">
            <v>Semiremolque Termico Carnicero 14,5m 28P</v>
          </cell>
          <cell r="N143" t="str">
            <v>DYLASA</v>
          </cell>
          <cell r="O143" t="str">
            <v>DYLASA</v>
          </cell>
          <cell r="P143" t="str">
            <v>No</v>
          </cell>
          <cell r="Q143" t="str">
            <v>Propio</v>
          </cell>
          <cell r="R143">
            <v>28</v>
          </cell>
          <cell r="S143" t="str">
            <v>Propio</v>
          </cell>
          <cell r="T143" t="str">
            <v>AST-PRA</v>
          </cell>
          <cell r="U143" t="str">
            <v>FTHDCFW3 FURGON TERMICO 2+1 EJES</v>
          </cell>
          <cell r="V143">
            <v>0</v>
          </cell>
          <cell r="W143" t="str">
            <v>8E9298770PS238059</v>
          </cell>
          <cell r="X143">
            <v>2023</v>
          </cell>
          <cell r="Y143">
            <v>3</v>
          </cell>
          <cell r="BX143" t="str">
            <v>Sin Operación</v>
          </cell>
          <cell r="BY143" t="str">
            <v>Sin Operación</v>
          </cell>
          <cell r="BZ143" t="str">
            <v>Sin Operación</v>
          </cell>
          <cell r="CA143" t="str">
            <v>Sin Operación</v>
          </cell>
          <cell r="CB143" t="str">
            <v>Sin Operación</v>
          </cell>
          <cell r="CC143" t="str">
            <v>Sin Operación</v>
          </cell>
          <cell r="CD143" t="str">
            <v>Sin Operación</v>
          </cell>
          <cell r="CE143" t="str">
            <v>Sin Operación</v>
          </cell>
          <cell r="CF143" t="str">
            <v>Sin Operación</v>
          </cell>
          <cell r="CG143" t="str">
            <v>Sin Operación</v>
          </cell>
          <cell r="CH143" t="str">
            <v>Sin Operación</v>
          </cell>
          <cell r="CI143" t="str">
            <v>Sin Operación</v>
          </cell>
          <cell r="CJ143" t="str">
            <v>Sin Operación</v>
          </cell>
          <cell r="CK143" t="str">
            <v>Sin Operación</v>
          </cell>
          <cell r="CL143" t="str">
            <v>Sin Operación</v>
          </cell>
          <cell r="CM143" t="str">
            <v>Sin Operación</v>
          </cell>
          <cell r="CN143" t="str">
            <v>INACTIVO</v>
          </cell>
          <cell r="CO143" t="str">
            <v>INACTIVO</v>
          </cell>
          <cell r="CP143" t="str">
            <v>INACTIVO</v>
          </cell>
          <cell r="CQ143" t="str">
            <v>INACTIVO</v>
          </cell>
          <cell r="CR143" t="str">
            <v>INACTIVO</v>
          </cell>
          <cell r="CS143" t="str">
            <v>INACTIVO</v>
          </cell>
          <cell r="CT143" t="str">
            <v>Arcor S.A.I.C.</v>
          </cell>
          <cell r="CU143" t="str">
            <v>Arcor S.A.I.C.</v>
          </cell>
          <cell r="CV143" t="str">
            <v>Arcor S.A.I.C.</v>
          </cell>
          <cell r="CW143" t="str">
            <v>Arcor S.A.I.C.</v>
          </cell>
        </row>
        <row r="144">
          <cell r="D144" t="str">
            <v>ALJ327</v>
          </cell>
          <cell r="E144" t="str">
            <v>Acoplado</v>
          </cell>
          <cell r="F144">
            <v>0</v>
          </cell>
          <cell r="G144" t="str">
            <v>Semiremolque</v>
          </cell>
          <cell r="N144" t="str">
            <v>GONZALEZ MARIA SOLEDAD(MORALES ANTONIO CARLOS(ANI-CAR))</v>
          </cell>
          <cell r="O144" t="str">
            <v>GONZALEZ MARIA SOLEDAD(MORALES ANTONIO CARLOS(ANI-CAR))</v>
          </cell>
          <cell r="P144" t="str">
            <v>No</v>
          </cell>
          <cell r="Q144" t="str">
            <v>De Tercero</v>
          </cell>
          <cell r="R144" t="str">
            <v>-</v>
          </cell>
          <cell r="S144" t="str">
            <v>De Tercero</v>
          </cell>
          <cell r="T144" t="str">
            <v>MALDONADO</v>
          </cell>
          <cell r="U144" t="str">
            <v>NN</v>
          </cell>
          <cell r="V144">
            <v>1995</v>
          </cell>
          <cell r="W144">
            <v>31</v>
          </cell>
          <cell r="X144">
            <v>1995</v>
          </cell>
          <cell r="Y144">
            <v>31</v>
          </cell>
          <cell r="Z144" t="str">
            <v>Jumbo Mendoza</v>
          </cell>
          <cell r="AA144" t="str">
            <v>CENCO_MZ - Cencosud SA - Mendoza</v>
          </cell>
          <cell r="AB144" t="str">
            <v>CENCO_MZ - Cencosud SA - Mendoza</v>
          </cell>
          <cell r="AC144" t="str">
            <v>CENCO_MZ - Cencosud SA - Mendoza</v>
          </cell>
          <cell r="AD144" t="str">
            <v>CENCO_MZ - Cencosud SA - Mendoza</v>
          </cell>
          <cell r="AE144" t="str">
            <v>CENCO_MZ - Cencosud SA - Mendoza</v>
          </cell>
          <cell r="AF144" t="str">
            <v>CENCO_MZ - Cencosud SA - Mendoza</v>
          </cell>
          <cell r="AG144" t="str">
            <v>CENCO_MZ - Cencosud SA - Mendoza</v>
          </cell>
          <cell r="AH144" t="str">
            <v>CENCO_MZ - Cencosud SA - Mendoza</v>
          </cell>
          <cell r="AI144" t="str">
            <v>CENCO_MZ - Cencosud SA - Mendoza</v>
          </cell>
          <cell r="AJ144" t="str">
            <v>CENCO_MZ - Cencosud SA - Mendoza</v>
          </cell>
          <cell r="AK144" t="str">
            <v>CENCO_MZ - Cencosud SA - Mendoza</v>
          </cell>
          <cell r="AL144" t="str">
            <v>CENCO_MZ - Cencosud SA - Mendoza</v>
          </cell>
          <cell r="AM144" t="str">
            <v>CENCO_MZ - Cencosud SA - Mendoza</v>
          </cell>
          <cell r="AN144" t="str">
            <v>CENCO_MZ - Cencosud SA - Mendoza</v>
          </cell>
          <cell r="AO144" t="str">
            <v>CENCO_MZ - Cencosud SA - Mendoza</v>
          </cell>
          <cell r="AP144" t="str">
            <v>CENCO_MZ - Cencosud SA - Mendoza</v>
          </cell>
          <cell r="AQ144" t="str">
            <v>CENCO_MZ - Cencosud SA - Mendoza</v>
          </cell>
          <cell r="AR144" t="str">
            <v>CENCO_MZ - Cencosud SA - Mendoza</v>
          </cell>
          <cell r="AS144" t="str">
            <v>CENCO_MZ - Cencosud SA - Mendoza</v>
          </cell>
          <cell r="AT144" t="str">
            <v>CENCO_MZ - Cencosud SA - Mendoza</v>
          </cell>
          <cell r="AU144" t="str">
            <v>CENCO_MZ - Cencosud SA - Mendoza</v>
          </cell>
          <cell r="AV144" t="str">
            <v>CENCO_MZ - Cencosud SA - Mendoza</v>
          </cell>
          <cell r="AW144" t="str">
            <v>CENCO_MZ - Cencosud SA - Mendoza</v>
          </cell>
          <cell r="AX144" t="str">
            <v>CENCO_MZ - Cencosud SA - Mendoza</v>
          </cell>
          <cell r="AY144" t="str">
            <v>CENCO_MZ - Cencosud SA - Mendoza</v>
          </cell>
          <cell r="AZ144" t="str">
            <v>CENCO_MZ - Cencosud SA - Mendoza</v>
          </cell>
          <cell r="BA144" t="str">
            <v>CENCO_MZ - Cencosud SA - Mendoza</v>
          </cell>
          <cell r="BB144" t="str">
            <v>CENCO_MZ - Cencosud SA - Mendoza</v>
          </cell>
          <cell r="BC144" t="str">
            <v>CENCO_MZ - Cencosud SA - Mendoza</v>
          </cell>
          <cell r="BD144" t="str">
            <v>CENCO_MZ - Cencosud SA - Mendoza</v>
          </cell>
          <cell r="BE144" t="str">
            <v>CENCO_MZ - Cencosud SA - Mendoza</v>
          </cell>
          <cell r="BF144" t="str">
            <v>CENCO_MZ - Cencosud SA - Mendoza</v>
          </cell>
          <cell r="BG144" t="str">
            <v>CENCO_MZ - Cencosud SA - Mendoza</v>
          </cell>
          <cell r="BH144" t="str">
            <v>CENCO_MZ - Cencosud SA - Mendoza</v>
          </cell>
          <cell r="BI144" t="str">
            <v>CENCO_MZ - Cencosud SA - Mendoza</v>
          </cell>
          <cell r="BJ144" t="str">
            <v>INACTIVO</v>
          </cell>
          <cell r="BK144" t="str">
            <v>INACTIVO</v>
          </cell>
          <cell r="BL144" t="str">
            <v>INACTIVO</v>
          </cell>
          <cell r="BM144" t="str">
            <v>INACTIVO</v>
          </cell>
          <cell r="BN144" t="str">
            <v>INACTIVO</v>
          </cell>
          <cell r="BO144" t="str">
            <v>INACTIVO</v>
          </cell>
          <cell r="BP144" t="str">
            <v>INACTIVO</v>
          </cell>
          <cell r="BQ144" t="str">
            <v>INACTIVO</v>
          </cell>
          <cell r="BR144" t="str">
            <v>INACTIVO</v>
          </cell>
          <cell r="BS144" t="str">
            <v>INACTIVO</v>
          </cell>
          <cell r="BT144" t="str">
            <v>INACTIVO</v>
          </cell>
          <cell r="BU144" t="str">
            <v>INACTIVO</v>
          </cell>
          <cell r="BV144" t="str">
            <v>INACTIVO</v>
          </cell>
          <cell r="BW144" t="str">
            <v>INACTIVO</v>
          </cell>
          <cell r="BX144" t="str">
            <v>INACTIVO</v>
          </cell>
          <cell r="BY144" t="str">
            <v>INACTIVO</v>
          </cell>
          <cell r="BZ144" t="str">
            <v>INACTIVO</v>
          </cell>
          <cell r="CA144" t="str">
            <v>INACTIVO</v>
          </cell>
          <cell r="CB144" t="str">
            <v>INACTIVO</v>
          </cell>
          <cell r="CC144" t="str">
            <v>BAJA</v>
          </cell>
          <cell r="CD144" t="str">
            <v>BAJA</v>
          </cell>
          <cell r="CE144" t="str">
            <v>BAJA</v>
          </cell>
          <cell r="CF144" t="str">
            <v>BAJA</v>
          </cell>
          <cell r="CG144" t="str">
            <v>BAJA</v>
          </cell>
          <cell r="CH144" t="str">
            <v>BAJA</v>
          </cell>
          <cell r="CI144" t="str">
            <v>BAJA</v>
          </cell>
          <cell r="CJ144" t="str">
            <v>BAJA</v>
          </cell>
          <cell r="CK144" t="str">
            <v>BAJA</v>
          </cell>
          <cell r="CL144" t="str">
            <v>BAJA</v>
          </cell>
          <cell r="CM144" t="str">
            <v>BAJA</v>
          </cell>
          <cell r="CN144" t="str">
            <v>BAJA</v>
          </cell>
          <cell r="CO144" t="str">
            <v>BAJA</v>
          </cell>
          <cell r="CP144" t="str">
            <v>BAJA</v>
          </cell>
          <cell r="CQ144" t="str">
            <v>BAJA</v>
          </cell>
          <cell r="CR144" t="str">
            <v>BAJA</v>
          </cell>
          <cell r="CS144" t="str">
            <v>BAJA</v>
          </cell>
          <cell r="CT144" t="str">
            <v>BAJA</v>
          </cell>
          <cell r="CU144" t="str">
            <v>BAJA</v>
          </cell>
          <cell r="CV144" t="str">
            <v>BAJA</v>
          </cell>
          <cell r="CW144" t="str">
            <v>BAJA</v>
          </cell>
        </row>
        <row r="145">
          <cell r="D145" t="str">
            <v>AMV854</v>
          </cell>
          <cell r="E145" t="str">
            <v>SEMIRREMOLQUE</v>
          </cell>
          <cell r="F145" t="str">
            <v>SEMIRREMOLQUE</v>
          </cell>
          <cell r="G145" t="str">
            <v>SEMIRREMOLQUE</v>
          </cell>
          <cell r="N145" t="str">
            <v>HERRERA CAZAR MARIA FLORENCIA, FIDUCIARIA DEL FIDEICOMISO DE ADMINISTRACION BEAR &amp; DAUGHTERS</v>
          </cell>
          <cell r="O145" t="str">
            <v>HERRERA CAZAR MARIA FLORENCIA,</v>
          </cell>
          <cell r="P145" t="str">
            <v>No</v>
          </cell>
          <cell r="Q145" t="str">
            <v>De Tercero</v>
          </cell>
          <cell r="R145" t="str">
            <v>-</v>
          </cell>
          <cell r="S145" t="str">
            <v>De Tercero</v>
          </cell>
          <cell r="T145" t="str">
            <v>MONTRAILER</v>
          </cell>
          <cell r="U145" t="str">
            <v>SBV313000</v>
          </cell>
          <cell r="V145">
            <v>0</v>
          </cell>
          <cell r="W145">
            <v>2003</v>
          </cell>
          <cell r="X145">
            <v>1995</v>
          </cell>
          <cell r="CJ145" t="str">
            <v>SUC_MEN - Sucursal Mendoza</v>
          </cell>
          <cell r="CK145" t="str">
            <v>SUC_MEN - Sucursal Mendoza</v>
          </cell>
          <cell r="CL145" t="str">
            <v>SUC_MEN - Sucursal Mendoza</v>
          </cell>
          <cell r="CM145" t="str">
            <v>SUC_MEN - Sucursal Mendoza</v>
          </cell>
          <cell r="CN145" t="str">
            <v>SUC_MEN - Sucursal Mendoza</v>
          </cell>
          <cell r="CO145" t="str">
            <v>SUC_MEN - Sucursal Mendoza</v>
          </cell>
          <cell r="CP145" t="str">
            <v>SUC_MEN - Sucursal Mendoza</v>
          </cell>
          <cell r="CQ145" t="str">
            <v>SUC_MEN - Sucursal Mendoza</v>
          </cell>
          <cell r="CR145" t="str">
            <v>SUC_MEN - Sucursal Mendoza</v>
          </cell>
          <cell r="CS145" t="str">
            <v>SUC_MEN - Sucursal Mendoza</v>
          </cell>
          <cell r="CT145" t="str">
            <v>SUC_MEN - Sucursal Mendoza</v>
          </cell>
          <cell r="CU145" t="str">
            <v>SUC_MEN - Sucursal Mendoza</v>
          </cell>
          <cell r="CV145" t="str">
            <v>SUC_MEN - Sucursal Mendoza</v>
          </cell>
          <cell r="CW145" t="str">
            <v>SUC_MEN - Sucursal Mendoza</v>
          </cell>
        </row>
        <row r="146">
          <cell r="D146" t="str">
            <v>APK014</v>
          </cell>
          <cell r="E146" t="str">
            <v>Tractor</v>
          </cell>
          <cell r="F146">
            <v>0</v>
          </cell>
          <cell r="G146" t="str">
            <v>Tractor</v>
          </cell>
          <cell r="N146" t="str">
            <v>MARTINEZ ALFREDO DANIEL</v>
          </cell>
          <cell r="O146" t="str">
            <v>MARTINEZ ALFREDO DANIEL</v>
          </cell>
          <cell r="P146" t="str">
            <v>No</v>
          </cell>
          <cell r="Q146" t="str">
            <v>Alquilados</v>
          </cell>
          <cell r="R146" t="str">
            <v>-</v>
          </cell>
          <cell r="S146" t="str">
            <v>Alquilados</v>
          </cell>
          <cell r="T146" t="str">
            <v>MERCEDES BENZ</v>
          </cell>
          <cell r="U146" t="str">
            <v>LS 1622</v>
          </cell>
          <cell r="V146">
            <v>1996</v>
          </cell>
          <cell r="W146">
            <v>30</v>
          </cell>
          <cell r="X146">
            <v>1996</v>
          </cell>
          <cell r="Y146">
            <v>30</v>
          </cell>
          <cell r="Z146" t="str">
            <v>Danone Mendoza</v>
          </cell>
          <cell r="AA146" t="str">
            <v>ADA_MZA - Danone Arg. S.A. - MZA</v>
          </cell>
          <cell r="AB146" t="str">
            <v>ADA_MZA - Danone Arg. S.A. - MZA</v>
          </cell>
          <cell r="AC146" t="str">
            <v>ADA_MZA - Danone Arg. S.A. - MZA</v>
          </cell>
          <cell r="AD146" t="str">
            <v>ADA_MZA - Danone Arg. S.A. - MZA</v>
          </cell>
          <cell r="AE146" t="str">
            <v>ADA_MZA - Danone Arg. S.A. - MZA</v>
          </cell>
          <cell r="AF146" t="str">
            <v>ADA_MZA - Danone Arg. S.A. - MZA</v>
          </cell>
          <cell r="AG146" t="str">
            <v>ADA_MZA - Danone Arg. S.A. - MZA</v>
          </cell>
          <cell r="AH146" t="str">
            <v>ADA_MZA - Danone Arg. S.A. - MZA</v>
          </cell>
          <cell r="AI146" t="str">
            <v>ADA_MZA - Danone Arg. S.A. - MZA</v>
          </cell>
          <cell r="AJ146" t="str">
            <v>ADA_MZA - Danone Arg. S.A. - MZA</v>
          </cell>
          <cell r="AK146" t="str">
            <v>ADA_MZA - Danone Arg. S.A. - MZA</v>
          </cell>
          <cell r="AL146" t="str">
            <v>ADA_MZA - Danone Arg. S.A. - MZA</v>
          </cell>
          <cell r="AM146" t="str">
            <v>ADA_MZA - Danone Arg. S.A. - MZA</v>
          </cell>
          <cell r="AN146" t="str">
            <v>ADA_MZA - Danone Arg. S.A. - MZA</v>
          </cell>
          <cell r="AO146" t="str">
            <v>ADA_MZA - Danone Arg. S.A. - MZA</v>
          </cell>
          <cell r="AP146" t="str">
            <v>ADA_MZA - Danone Arg. S.A. - MZA</v>
          </cell>
          <cell r="AQ146" t="str">
            <v>ADA_MZA - Danone Arg. S.A. - MZA</v>
          </cell>
          <cell r="AR146" t="str">
            <v>ADA_MZA - Danone Arg. S.A. - MZA</v>
          </cell>
          <cell r="AS146" t="str">
            <v>ADA_MZA - Danone Arg. S.A. - MZA</v>
          </cell>
          <cell r="AT146" t="str">
            <v>ADA_MZA - Danone Arg. S.A. - MZA</v>
          </cell>
          <cell r="AU146" t="str">
            <v>ADA_MZA - Danone Arg. S.A. - MZA</v>
          </cell>
          <cell r="AV146" t="str">
            <v>ADA_MZA - Danone Arg. S.A. - MZA</v>
          </cell>
          <cell r="AW146" t="str">
            <v>ADA_MZA - Danone Arg. S.A. - MZA</v>
          </cell>
          <cell r="AX146" t="str">
            <v>INACTIVO</v>
          </cell>
          <cell r="AY146" t="str">
            <v>INACTIVO</v>
          </cell>
          <cell r="AZ146" t="str">
            <v>INACTIVO</v>
          </cell>
          <cell r="BA146" t="str">
            <v>INACTIVO</v>
          </cell>
          <cell r="BB146" t="str">
            <v>INACTIVO</v>
          </cell>
          <cell r="BC146" t="str">
            <v>INACTIVO</v>
          </cell>
          <cell r="BD146" t="str">
            <v>INACTIVO</v>
          </cell>
          <cell r="BE146" t="str">
            <v>INACTIVO</v>
          </cell>
          <cell r="BF146" t="str">
            <v>INACTIVO</v>
          </cell>
          <cell r="BG146" t="str">
            <v>INACTIVO</v>
          </cell>
          <cell r="BH146" t="str">
            <v>INACTIVO</v>
          </cell>
          <cell r="BI146" t="str">
            <v>INACTIVO</v>
          </cell>
          <cell r="BJ146" t="str">
            <v>INACTIVO</v>
          </cell>
          <cell r="BK146" t="str">
            <v>INACTIVO</v>
          </cell>
          <cell r="BL146" t="str">
            <v>INACTIVO</v>
          </cell>
          <cell r="BM146" t="str">
            <v>INACTIVO</v>
          </cell>
          <cell r="BN146" t="str">
            <v>INACTIVO</v>
          </cell>
          <cell r="BO146" t="str">
            <v>INACTIVO</v>
          </cell>
          <cell r="BP146" t="str">
            <v>INACTIVO</v>
          </cell>
          <cell r="BQ146" t="str">
            <v>INACTIVO</v>
          </cell>
          <cell r="BR146" t="str">
            <v>INACTIVO</v>
          </cell>
          <cell r="BS146" t="str">
            <v>INACTIVO</v>
          </cell>
          <cell r="BT146" t="str">
            <v>INACTIVO</v>
          </cell>
          <cell r="BU146" t="str">
            <v>INACTIVO</v>
          </cell>
          <cell r="BV146" t="str">
            <v>INACTIVO</v>
          </cell>
          <cell r="BW146" t="str">
            <v>INACTIVO</v>
          </cell>
          <cell r="BX146" t="str">
            <v>INACTIVO</v>
          </cell>
          <cell r="BY146" t="str">
            <v>INACTIVO</v>
          </cell>
          <cell r="BZ146" t="str">
            <v>INACTIVO</v>
          </cell>
          <cell r="CA146" t="str">
            <v>INACTIVO</v>
          </cell>
          <cell r="CB146" t="str">
            <v>INACTIVO</v>
          </cell>
          <cell r="CC146" t="str">
            <v>BAJA</v>
          </cell>
          <cell r="CD146" t="str">
            <v>BAJA</v>
          </cell>
          <cell r="CE146" t="str">
            <v>BAJA</v>
          </cell>
          <cell r="CF146" t="str">
            <v>BAJA</v>
          </cell>
          <cell r="CG146" t="str">
            <v>BAJA</v>
          </cell>
          <cell r="CH146" t="str">
            <v>BAJA</v>
          </cell>
          <cell r="CI146" t="str">
            <v>BAJA</v>
          </cell>
          <cell r="CJ146" t="str">
            <v>BAJA</v>
          </cell>
          <cell r="CK146" t="str">
            <v>BAJA</v>
          </cell>
          <cell r="CL146" t="str">
            <v>BAJA</v>
          </cell>
          <cell r="CM146" t="str">
            <v>BAJA</v>
          </cell>
          <cell r="CN146" t="str">
            <v>BAJA</v>
          </cell>
          <cell r="CO146" t="str">
            <v>BAJA</v>
          </cell>
          <cell r="CP146" t="str">
            <v>BAJA</v>
          </cell>
          <cell r="CQ146" t="str">
            <v>BAJA</v>
          </cell>
          <cell r="CR146" t="str">
            <v>BAJA</v>
          </cell>
          <cell r="CS146" t="str">
            <v>BAJA</v>
          </cell>
          <cell r="CT146" t="str">
            <v>BAJA</v>
          </cell>
          <cell r="CU146" t="str">
            <v>BAJA</v>
          </cell>
          <cell r="CV146" t="str">
            <v>BAJA</v>
          </cell>
          <cell r="CW146" t="str">
            <v>BAJA</v>
          </cell>
        </row>
        <row r="147">
          <cell r="D147" t="str">
            <v>ARK153</v>
          </cell>
          <cell r="E147" t="str">
            <v>Camioneta</v>
          </cell>
          <cell r="F147" t="str">
            <v>Camioneta</v>
          </cell>
          <cell r="G147" t="str">
            <v>Camioneta</v>
          </cell>
          <cell r="N147" t="str">
            <v>CODYLSA</v>
          </cell>
          <cell r="O147" t="str">
            <v>CODYLSA</v>
          </cell>
          <cell r="P147" t="str">
            <v>No</v>
          </cell>
          <cell r="Q147" t="str">
            <v>Propio</v>
          </cell>
          <cell r="R147" t="str">
            <v>-</v>
          </cell>
          <cell r="S147" t="str">
            <v>Propio</v>
          </cell>
          <cell r="T147" t="str">
            <v>Renault</v>
          </cell>
          <cell r="U147" t="str">
            <v>Express</v>
          </cell>
          <cell r="V147" t="str">
            <v>F8QB640C052575</v>
          </cell>
          <cell r="W147" t="str">
            <v>VF1F40RP514201873</v>
          </cell>
          <cell r="X147">
            <v>1998</v>
          </cell>
          <cell r="Y147">
            <v>28</v>
          </cell>
          <cell r="Z147" t="str">
            <v>Gs_FPR</v>
          </cell>
          <cell r="AA147" t="str">
            <v>Gs_Estru - Gastos de Estructura</v>
          </cell>
          <cell r="AB147" t="str">
            <v>Gs_Estru - Gastos de Estructura</v>
          </cell>
          <cell r="AC147" t="str">
            <v>Gs_Estru - Gastos de Estructura</v>
          </cell>
          <cell r="AD147" t="str">
            <v>Gs_Estru - Gastos de Estructura</v>
          </cell>
          <cell r="AE147" t="str">
            <v>Gs_Estru - Gastos de Estructura</v>
          </cell>
          <cell r="AF147" t="str">
            <v>Gs_Estru - Gastos de Estructura</v>
          </cell>
          <cell r="AG147" t="str">
            <v>Gs_Estru - Gastos de Estructura</v>
          </cell>
          <cell r="AH147" t="str">
            <v>Gs_Estru - Gastos de Estructura</v>
          </cell>
          <cell r="AI147" t="str">
            <v>Gs_Estru - Gastos de Estructura</v>
          </cell>
          <cell r="AJ147" t="str">
            <v>Gs_Estru - Gastos de Estructura</v>
          </cell>
          <cell r="AK147" t="str">
            <v>Gs_Estru - Gastos de Estructura</v>
          </cell>
          <cell r="AL147" t="str">
            <v>Gs_Estru - Gastos de Estructura</v>
          </cell>
          <cell r="AM147" t="str">
            <v>Gs_Estru - Gastos de Estructura</v>
          </cell>
          <cell r="AN147" t="str">
            <v>Gs_Estru - Gastos de Estructura</v>
          </cell>
          <cell r="AO147" t="str">
            <v>Gs_Estru - Gastos de Estructura</v>
          </cell>
          <cell r="AP147" t="str">
            <v>Gs_Estru - Gastos de Estructura</v>
          </cell>
          <cell r="AQ147" t="str">
            <v>Gs_Estru - Gastos de Estructura</v>
          </cell>
          <cell r="AR147" t="str">
            <v>Gs_Estru - Gastos de Estructura</v>
          </cell>
          <cell r="AS147" t="str">
            <v>Gs_Estru - Gastos de Estructura</v>
          </cell>
          <cell r="AT147" t="str">
            <v>Gs_Estru - Gastos de Estructura</v>
          </cell>
          <cell r="AU147" t="str">
            <v>Gs_Estru - Gastos de Estructura</v>
          </cell>
          <cell r="AV147" t="str">
            <v>Gs_Estru - Gastos de Estructura</v>
          </cell>
          <cell r="AW147" t="str">
            <v>Gs_Estru - Gastos de Estructura</v>
          </cell>
          <cell r="AX147" t="str">
            <v>Gs_Estru - Gastos de Estructura</v>
          </cell>
          <cell r="AY147" t="str">
            <v>Gs_Estru - Gastos de Estructura</v>
          </cell>
          <cell r="AZ147" t="str">
            <v>Gs_Estru - Gastos de Estructura</v>
          </cell>
          <cell r="BA147" t="str">
            <v>Gs_Estru - Gastos de Estructura</v>
          </cell>
          <cell r="BB147" t="str">
            <v>Gs_Estru - Gastos de Estructura</v>
          </cell>
          <cell r="BC147" t="str">
            <v>Gs_Estru - Gastos de Estructura</v>
          </cell>
          <cell r="BD147" t="str">
            <v>Gs_Estru - Gastos de Estructura</v>
          </cell>
          <cell r="BE147" t="str">
            <v>Gs_Estru - Gastos de Estructura</v>
          </cell>
          <cell r="BF147" t="str">
            <v>Gs_Estru - Gastos de Estructura</v>
          </cell>
          <cell r="BG147" t="str">
            <v>Gs_Estru - Gastos de Estructura</v>
          </cell>
          <cell r="BH147" t="str">
            <v>Gs_Estru - Gastos de Estructura</v>
          </cell>
          <cell r="BI147" t="str">
            <v>Gs_Estru - Gastos de Estructura</v>
          </cell>
          <cell r="BJ147" t="str">
            <v>Gs_Estru - Gastos de Estructura</v>
          </cell>
          <cell r="BK147" t="str">
            <v>Gs_Estru - Gastos de Estructura</v>
          </cell>
          <cell r="BL147" t="str">
            <v>Gs_Estru - Gastos de Estructura</v>
          </cell>
          <cell r="BM147" t="str">
            <v>Gs_Estru - Gastos de Estructura</v>
          </cell>
          <cell r="BN147" t="str">
            <v>Gs_Estru - Gastos de Estructura</v>
          </cell>
          <cell r="BO147" t="str">
            <v>Gs_Estru - Gastos de Estructura</v>
          </cell>
          <cell r="BP147" t="str">
            <v>Gs_Estru - Gastos de Estructura</v>
          </cell>
          <cell r="BQ147" t="str">
            <v>Gs_Estru - Gastos de Estructura</v>
          </cell>
          <cell r="BR147" t="str">
            <v>Gs_Estru - Gastos de Estructura</v>
          </cell>
          <cell r="BS147" t="str">
            <v>Gs_Estru - Gastos de Estructura</v>
          </cell>
          <cell r="BT147" t="str">
            <v>Gs_Estru - Gastos de Estructura</v>
          </cell>
          <cell r="BU147" t="str">
            <v>Gs_Estru - Gastos de Estructura</v>
          </cell>
          <cell r="BV147" t="str">
            <v>Gs_Estru - Gastos de Estructura</v>
          </cell>
          <cell r="BW147" t="str">
            <v>Gs_Estru - Gastos de Estructura</v>
          </cell>
          <cell r="BX147" t="str">
            <v>Gs_Estru - Gastos de Estructura</v>
          </cell>
          <cell r="BY147" t="str">
            <v>Gs_Estru - Gastos de Estructura</v>
          </cell>
          <cell r="BZ147" t="str">
            <v>Gs_Estru - Gastos de Estructura</v>
          </cell>
          <cell r="CA147" t="str">
            <v>Gs_Estru - Gastos de Estructura</v>
          </cell>
          <cell r="CB147" t="str">
            <v>Gs_Estru - Gastos de Estructura</v>
          </cell>
          <cell r="CC147" t="str">
            <v>INACTIVO</v>
          </cell>
          <cell r="CD147" t="str">
            <v>INACTIVO</v>
          </cell>
          <cell r="CE147" t="str">
            <v>INACTIVO</v>
          </cell>
          <cell r="CF147" t="str">
            <v>INACTIVO</v>
          </cell>
          <cell r="CG147" t="str">
            <v>INACTIVO</v>
          </cell>
          <cell r="CH147" t="str">
            <v>INACTIVO</v>
          </cell>
          <cell r="CI147" t="str">
            <v>INACTIVO</v>
          </cell>
          <cell r="CJ147" t="str">
            <v>INACTIVO</v>
          </cell>
          <cell r="CK147" t="str">
            <v>INACTIVO</v>
          </cell>
          <cell r="CL147" t="str">
            <v>INACTIVO</v>
          </cell>
          <cell r="CM147" t="str">
            <v>INACTIVO</v>
          </cell>
          <cell r="CN147" t="str">
            <v>INACTIVO</v>
          </cell>
          <cell r="CO147" t="str">
            <v>INACTIVO</v>
          </cell>
          <cell r="CP147" t="str">
            <v>INACTIVO</v>
          </cell>
          <cell r="CQ147" t="str">
            <v>INACTIVO</v>
          </cell>
          <cell r="CR147" t="str">
            <v>INACTIVO</v>
          </cell>
          <cell r="CS147" t="str">
            <v>INACTIVO</v>
          </cell>
          <cell r="CT147" t="str">
            <v>INACTIVO</v>
          </cell>
          <cell r="CU147" t="str">
            <v>INACTIVO</v>
          </cell>
          <cell r="CV147" t="str">
            <v>INACTIVO</v>
          </cell>
          <cell r="CW147" t="str">
            <v>INACTIVO</v>
          </cell>
        </row>
        <row r="148">
          <cell r="D148" t="str">
            <v>AUW393</v>
          </cell>
          <cell r="E148" t="str">
            <v>Chasis</v>
          </cell>
          <cell r="F148" t="str">
            <v>Chasis</v>
          </cell>
          <cell r="G148" t="str">
            <v>Chasis</v>
          </cell>
          <cell r="N148" t="str">
            <v>CODYLSA</v>
          </cell>
          <cell r="O148" t="str">
            <v>CODYLSA</v>
          </cell>
          <cell r="P148" t="str">
            <v>No</v>
          </cell>
          <cell r="Q148" t="str">
            <v>Propio</v>
          </cell>
          <cell r="R148" t="str">
            <v>-</v>
          </cell>
          <cell r="S148" t="str">
            <v>Propio</v>
          </cell>
          <cell r="T148" t="str">
            <v>MERCEDES BENZ</v>
          </cell>
          <cell r="U148">
            <v>710</v>
          </cell>
          <cell r="V148" t="str">
            <v>374905-50-317619</v>
          </cell>
          <cell r="W148" t="str">
            <v>8AC688107TA119834</v>
          </cell>
          <cell r="X148">
            <v>1996</v>
          </cell>
          <cell r="Y148">
            <v>30</v>
          </cell>
          <cell r="Z148" t="str">
            <v>Danone Mendoza</v>
          </cell>
          <cell r="AA148" t="str">
            <v>ADA_MZA - Danone Arg. S.A. - MZA</v>
          </cell>
          <cell r="AB148" t="str">
            <v>ADA_MZA - Danone Arg. S.A. - MZA</v>
          </cell>
          <cell r="AC148" t="str">
            <v>ADA_MZA - Danone Arg. S.A. - MZA</v>
          </cell>
          <cell r="AD148" t="str">
            <v>ADA_MZA - Danone Arg. S.A. - MZA</v>
          </cell>
          <cell r="AE148" t="str">
            <v>ADA_MZA - Danone Arg. S.A. - MZA</v>
          </cell>
          <cell r="AF148" t="str">
            <v>ADA_MZA - Danone Arg. S.A. - MZA</v>
          </cell>
          <cell r="AG148" t="str">
            <v>ADA_MZA - Danone Arg. S.A. - MZA</v>
          </cell>
          <cell r="AH148" t="str">
            <v>ADA_MZA - Danone Arg. S.A. - MZA</v>
          </cell>
          <cell r="AI148" t="str">
            <v>ADA_MZA - Danone Arg. S.A. - MZA</v>
          </cell>
          <cell r="AJ148" t="str">
            <v>ADA_MZA - Danone Arg. S.A. - MZA</v>
          </cell>
          <cell r="AK148" t="str">
            <v>ADA_MZA - Danone Arg. S.A. - MZA</v>
          </cell>
          <cell r="AL148" t="str">
            <v>ADA_MZA - Danone Arg. S.A. - MZA</v>
          </cell>
          <cell r="AM148" t="str">
            <v>ADA_MZA - Danone Arg. S.A. - MZA</v>
          </cell>
          <cell r="AN148" t="str">
            <v>ADA_MZA - Danone Arg. S.A. - MZA</v>
          </cell>
          <cell r="AO148" t="str">
            <v>Expreso - Servicios Troncales</v>
          </cell>
          <cell r="AP148" t="str">
            <v>Expreso - Servicios Troncales</v>
          </cell>
          <cell r="AQ148" t="str">
            <v>Expreso - Servicios Troncales</v>
          </cell>
          <cell r="AR148" t="str">
            <v>Expreso - Servicios Troncales</v>
          </cell>
          <cell r="AS148" t="str">
            <v>Expreso - Servicios Troncales</v>
          </cell>
          <cell r="AT148" t="str">
            <v>Expreso - Servicios Troncales</v>
          </cell>
          <cell r="AU148" t="str">
            <v>Expreso - Servicios Troncales</v>
          </cell>
          <cell r="AV148" t="str">
            <v>Expreso - Servicios Troncales</v>
          </cell>
          <cell r="AW148" t="str">
            <v>Expreso - Servicios Troncales</v>
          </cell>
          <cell r="AX148" t="str">
            <v>Expreso - Servicios Troncales</v>
          </cell>
          <cell r="AY148" t="str">
            <v>Expreso - Servicios Troncales</v>
          </cell>
          <cell r="AZ148" t="str">
            <v>Expreso - Servicios Troncales</v>
          </cell>
          <cell r="BA148" t="str">
            <v>Expreso - Servicios Troncales</v>
          </cell>
          <cell r="BB148" t="str">
            <v>Expreso - Servicios Troncales</v>
          </cell>
          <cell r="BC148" t="str">
            <v>Expreso - Servicios Troncales</v>
          </cell>
          <cell r="BD148" t="str">
            <v>SUC_MAL - Sucursal Malargüe</v>
          </cell>
          <cell r="BE148" t="str">
            <v>SUC_MAL - Sucursal Malargüe</v>
          </cell>
          <cell r="BF148" t="str">
            <v>SUC_MAL - Sucursal Malargüe</v>
          </cell>
          <cell r="BG148" t="str">
            <v>SUC_MAL - Sucursal Malargüe</v>
          </cell>
          <cell r="BH148" t="str">
            <v>SUC_MAL - Sucursal Malargüe</v>
          </cell>
          <cell r="BI148" t="str">
            <v>SUC_MAL - Sucursal Malargüe</v>
          </cell>
          <cell r="BJ148" t="str">
            <v>SUC_MAL - Sucursal Malargüe</v>
          </cell>
          <cell r="BK148" t="str">
            <v>SUC_MAL - Sucursal Malargüe</v>
          </cell>
          <cell r="BL148" t="str">
            <v>SUC_MAL - Sucursal Malargüe</v>
          </cell>
          <cell r="BM148" t="str">
            <v>SUC_MAL - Sucursal Malargüe</v>
          </cell>
          <cell r="BN148" t="str">
            <v>SUC_MAL - Sucursal Malargüe</v>
          </cell>
          <cell r="BO148" t="str">
            <v>SUC_MAL - Sucursal Malargüe</v>
          </cell>
          <cell r="BP148" t="str">
            <v>SUC_MAL - Sucursal Malargüe</v>
          </cell>
          <cell r="BQ148" t="str">
            <v>SUC_MAL - Sucursal Malargüe</v>
          </cell>
          <cell r="BR148" t="str">
            <v>SUC_MAL - Sucursal Malargüe</v>
          </cell>
          <cell r="BS148" t="str">
            <v>SUC_MAL - Sucursal Malargüe</v>
          </cell>
          <cell r="BT148" t="str">
            <v>SUC_MAL - Sucursal Malargüe</v>
          </cell>
          <cell r="BU148" t="str">
            <v>SUC_MAL - Sucursal Malargüe</v>
          </cell>
          <cell r="BV148" t="str">
            <v>SUC_MAL - Sucursal Malargüe</v>
          </cell>
          <cell r="BW148" t="str">
            <v>SUC_MAL - Sucursal Malargüe</v>
          </cell>
          <cell r="BX148" t="str">
            <v>SUC_SRA - Sucursal San Rafael</v>
          </cell>
          <cell r="BY148" t="str">
            <v>SUC_SRA - Sucursal San Rafael</v>
          </cell>
          <cell r="BZ148" t="str">
            <v>SUC_SRA - Sucursal San Rafael</v>
          </cell>
          <cell r="CA148" t="str">
            <v>SUC_SRA - Sucursal San Rafael</v>
          </cell>
          <cell r="CB148" t="str">
            <v>SUC_SRA - Sucursal San Rafael</v>
          </cell>
          <cell r="CC148" t="str">
            <v>SUC_SRA - Sucursal San Rafael</v>
          </cell>
          <cell r="CD148" t="str">
            <v>Sin Operación</v>
          </cell>
          <cell r="CE148" t="str">
            <v>Sin Operación</v>
          </cell>
          <cell r="CF148" t="str">
            <v>INACTIVO</v>
          </cell>
          <cell r="CG148" t="str">
            <v>INACTIVO</v>
          </cell>
          <cell r="CH148" t="str">
            <v>BAJA</v>
          </cell>
          <cell r="CI148" t="str">
            <v>BAJA</v>
          </cell>
          <cell r="CJ148" t="str">
            <v>BAJA</v>
          </cell>
          <cell r="CK148" t="str">
            <v>BAJA</v>
          </cell>
          <cell r="CL148" t="str">
            <v>BAJA</v>
          </cell>
          <cell r="CM148" t="str">
            <v>BAJA</v>
          </cell>
          <cell r="CN148" t="str">
            <v>BAJA</v>
          </cell>
          <cell r="CO148" t="str">
            <v>BAJA</v>
          </cell>
          <cell r="CP148" t="str">
            <v>BAJA</v>
          </cell>
          <cell r="CQ148" t="str">
            <v>BAJA</v>
          </cell>
          <cell r="CR148" t="str">
            <v>BAJA</v>
          </cell>
          <cell r="CS148" t="str">
            <v>BAJA</v>
          </cell>
          <cell r="CT148" t="str">
            <v>BAJA</v>
          </cell>
          <cell r="CU148" t="str">
            <v>BAJA</v>
          </cell>
          <cell r="CV148" t="str">
            <v>BAJA</v>
          </cell>
          <cell r="CW148" t="str">
            <v>BAJA</v>
          </cell>
        </row>
        <row r="149">
          <cell r="D149" t="str">
            <v>BBJ908</v>
          </cell>
          <cell r="E149" t="str">
            <v>Chasis</v>
          </cell>
          <cell r="F149" t="str">
            <v>Chasis</v>
          </cell>
          <cell r="G149" t="str">
            <v>Chasis</v>
          </cell>
          <cell r="N149" t="str">
            <v>CODYLSA</v>
          </cell>
          <cell r="O149" t="str">
            <v>CODYLSA</v>
          </cell>
          <cell r="P149" t="str">
            <v>No</v>
          </cell>
          <cell r="Q149" t="str">
            <v>Propio</v>
          </cell>
          <cell r="R149" t="str">
            <v>-</v>
          </cell>
          <cell r="S149" t="str">
            <v>Propio</v>
          </cell>
          <cell r="T149" t="str">
            <v>MERCEDES BENZ</v>
          </cell>
          <cell r="U149">
            <v>1215</v>
          </cell>
          <cell r="V149" t="str">
            <v>376907-50-321053</v>
          </cell>
          <cell r="W149" t="str">
            <v>8AC334007TA120553</v>
          </cell>
          <cell r="X149">
            <v>1996</v>
          </cell>
          <cell r="Y149">
            <v>30</v>
          </cell>
          <cell r="Z149" t="str">
            <v>Danone Mendoza</v>
          </cell>
          <cell r="AA149" t="str">
            <v>ADA_MZA - Danone Arg. S.A. - MZA</v>
          </cell>
          <cell r="AB149" t="str">
            <v>ADA_MZA - Danone Arg. S.A. - MZA</v>
          </cell>
          <cell r="AC149" t="str">
            <v>ADA_MZA - Danone Arg. S.A. - MZA</v>
          </cell>
          <cell r="AD149" t="str">
            <v>ADA_MZA - Danone Arg. S.A. - MZA</v>
          </cell>
          <cell r="AE149" t="str">
            <v>ADA_MZA - Danone Arg. S.A. - MZA</v>
          </cell>
          <cell r="AF149" t="str">
            <v>ADA_MZA - Danone Arg. S.A. - MZA</v>
          </cell>
          <cell r="AG149" t="str">
            <v>ADA_MZA - Danone Arg. S.A. - MZA</v>
          </cell>
          <cell r="AH149" t="str">
            <v>ADA_MZA - Danone Arg. S.A. - MZA</v>
          </cell>
          <cell r="AI149" t="str">
            <v>ADA_MZA - Danone Arg. S.A. - MZA</v>
          </cell>
          <cell r="AJ149" t="str">
            <v>ADA_MZA - Danone Arg. S.A. - MZA</v>
          </cell>
          <cell r="AK149" t="str">
            <v>ADA_MZA - Danone Arg. S.A. - MZA</v>
          </cell>
          <cell r="AL149" t="str">
            <v>ADA_MZA - Danone Arg. S.A. - MZA</v>
          </cell>
          <cell r="AM149" t="str">
            <v>ADA_MZA - Danone Arg. S.A. - MZA</v>
          </cell>
          <cell r="AN149" t="str">
            <v>ADA_MZA - Danone Arg. S.A. - MZA</v>
          </cell>
          <cell r="AO149" t="str">
            <v>ADA_MZA - Danone Arg. S.A. - MZA</v>
          </cell>
          <cell r="AP149" t="str">
            <v>ADA_MZA - Danone Arg. S.A. - MZA</v>
          </cell>
          <cell r="AQ149" t="str">
            <v>ADA_MZA - Danone Arg. S.A. - MZA</v>
          </cell>
          <cell r="AR149" t="str">
            <v>ADA_MZA - Danone Arg. S.A. - MZA</v>
          </cell>
          <cell r="AS149" t="str">
            <v>ADA_MZA - Danone Arg. S.A. - MZA</v>
          </cell>
          <cell r="AT149" t="str">
            <v>ADA_MZA - Danone Arg. S.A. - MZA</v>
          </cell>
          <cell r="AU149" t="str">
            <v>ADA_MZA - Danone Arg. S.A. - MZA</v>
          </cell>
          <cell r="AV149" t="str">
            <v>ADA_MZA - Danone Arg. S.A. - MZA</v>
          </cell>
          <cell r="AW149" t="str">
            <v>Expreso - Servicios Troncales</v>
          </cell>
          <cell r="AX149" t="str">
            <v>Expreso - Servicios Troncales</v>
          </cell>
          <cell r="AY149" t="str">
            <v>Expreso - Servicios Troncales</v>
          </cell>
          <cell r="AZ149" t="str">
            <v>Expreso - Servicios Troncales</v>
          </cell>
          <cell r="BA149" t="str">
            <v>Unilever - Unilever de Arg. S.A.</v>
          </cell>
          <cell r="BB149" t="str">
            <v>Unilever - Unilever de Arg. S.A.</v>
          </cell>
          <cell r="BC149" t="str">
            <v>Unilever - Unilever de Arg. S.A.</v>
          </cell>
          <cell r="BD149" t="str">
            <v>Unilever - Unilever de Arg. S.A.</v>
          </cell>
          <cell r="BE149" t="str">
            <v>Unilever - Unilever de Arg. S.A.</v>
          </cell>
          <cell r="BF149" t="str">
            <v>ADA_SMK - Danone Arg. S.A. - SMK</v>
          </cell>
          <cell r="BG149" t="str">
            <v>ADA_SMK - Danone Arg. S.A. - SMK</v>
          </cell>
          <cell r="BH149" t="str">
            <v>ADA_SMK - Danone Arg. S.A. - SMK</v>
          </cell>
          <cell r="BI149" t="str">
            <v>ADA_Mino - Danone Arg. S.A. - Mino</v>
          </cell>
          <cell r="BJ149" t="str">
            <v>ADA_Mino - Danone Arg. S.A. - Mino</v>
          </cell>
          <cell r="BK149" t="str">
            <v>ADA_Mino - Danone Arg. S.A. - Mino</v>
          </cell>
          <cell r="BL149" t="str">
            <v>ADA_Mino - Danone Arg. S.A. - Mino</v>
          </cell>
          <cell r="BM149" t="str">
            <v>ADA_Mino - Danone Arg. S.A. - Mino</v>
          </cell>
          <cell r="BN149" t="str">
            <v>ADA_Mino - Danone Arg. S.A. - Mino</v>
          </cell>
          <cell r="BO149" t="str">
            <v>ADA_Mino - Danone Arg. S.A. - Mino</v>
          </cell>
          <cell r="BP149" t="str">
            <v>ADA_Mino - Danone Arg. S.A. - Mino</v>
          </cell>
          <cell r="BQ149" t="str">
            <v>Sin Operación</v>
          </cell>
          <cell r="BR149" t="str">
            <v>Papelera - Papelera del Plata S.A.</v>
          </cell>
          <cell r="BS149" t="str">
            <v>Llorente - J. Llorente y Cía. S.A.</v>
          </cell>
          <cell r="BT149" t="str">
            <v>Llorente - J. Llorente y Cía. S.A.</v>
          </cell>
          <cell r="BU149" t="str">
            <v>Llorente - J. Llorente y Cía. S.A.</v>
          </cell>
          <cell r="BV149" t="str">
            <v>Sin Operación</v>
          </cell>
          <cell r="BW149" t="str">
            <v>Sin Operación</v>
          </cell>
          <cell r="BX149" t="str">
            <v>Sin Operación</v>
          </cell>
          <cell r="BY149" t="str">
            <v>Sin Operación</v>
          </cell>
          <cell r="BZ149" t="str">
            <v>Sin Operación</v>
          </cell>
          <cell r="CA149" t="str">
            <v>Sin Operación</v>
          </cell>
          <cell r="CB149" t="str">
            <v>Sin Operación</v>
          </cell>
          <cell r="CC149" t="str">
            <v>Sin Operación</v>
          </cell>
          <cell r="CD149" t="str">
            <v>Sin Operación</v>
          </cell>
          <cell r="CE149" t="str">
            <v>Sin Operación</v>
          </cell>
          <cell r="CF149" t="str">
            <v>Sin Operación</v>
          </cell>
          <cell r="CG149" t="str">
            <v>Sin Operación</v>
          </cell>
          <cell r="CH149" t="str">
            <v>Sin Operación</v>
          </cell>
          <cell r="CI149" t="str">
            <v>Sin Operación</v>
          </cell>
          <cell r="CJ149" t="str">
            <v>Sin Operación</v>
          </cell>
          <cell r="CK149" t="str">
            <v>Sin Operación</v>
          </cell>
          <cell r="CL149" t="str">
            <v>INACTIVO</v>
          </cell>
          <cell r="CM149" t="str">
            <v>INACTIVO</v>
          </cell>
          <cell r="CN149" t="str">
            <v>INACTIVO</v>
          </cell>
          <cell r="CO149" t="str">
            <v>INACTIVO</v>
          </cell>
          <cell r="CP149" t="str">
            <v>INACTIVO</v>
          </cell>
          <cell r="CQ149" t="str">
            <v>INACTIVO</v>
          </cell>
          <cell r="CR149" t="str">
            <v>INACTIVO</v>
          </cell>
          <cell r="CS149" t="str">
            <v>INACTIVO</v>
          </cell>
          <cell r="CT149" t="str">
            <v>INACTIVO</v>
          </cell>
          <cell r="CU149" t="str">
            <v>INACTIVO</v>
          </cell>
          <cell r="CV149" t="str">
            <v>INACTIVO</v>
          </cell>
          <cell r="CW149" t="str">
            <v>INACTIVO</v>
          </cell>
        </row>
        <row r="150">
          <cell r="D150" t="str">
            <v>BHB143</v>
          </cell>
          <cell r="E150" t="str">
            <v>Chasis</v>
          </cell>
          <cell r="F150" t="str">
            <v>Chasis</v>
          </cell>
          <cell r="G150" t="str">
            <v>Chasis</v>
          </cell>
          <cell r="H150" t="str">
            <v>https://drive.google.com/drive/folders/1khjp-Bu5z7yTFllbE5tyaztudGxbwJH3</v>
          </cell>
          <cell r="I150" t="str">
            <v>Manual</v>
          </cell>
          <cell r="J150" t="str">
            <v>Cummins</v>
          </cell>
          <cell r="K150" t="str">
            <v>Hidráulica</v>
          </cell>
          <cell r="L150">
            <v>162</v>
          </cell>
          <cell r="M150">
            <v>6927</v>
          </cell>
          <cell r="N150" t="str">
            <v>CODYLSA</v>
          </cell>
          <cell r="O150" t="str">
            <v>CODYLSA</v>
          </cell>
          <cell r="P150" t="str">
            <v>No</v>
          </cell>
          <cell r="Q150" t="str">
            <v>Propio</v>
          </cell>
          <cell r="R150" t="str">
            <v>-</v>
          </cell>
          <cell r="S150" t="str">
            <v>Propio</v>
          </cell>
          <cell r="T150" t="str">
            <v>Ford</v>
          </cell>
          <cell r="U150">
            <v>14000</v>
          </cell>
          <cell r="V150">
            <v>6016689</v>
          </cell>
          <cell r="W150" t="str">
            <v>9BFXTNSZ5VDB36101</v>
          </cell>
          <cell r="X150">
            <v>1997</v>
          </cell>
          <cell r="Y150">
            <v>29</v>
          </cell>
          <cell r="Z150" t="str">
            <v>Malargue</v>
          </cell>
          <cell r="AA150" t="str">
            <v>Expreso - Servicios Troncales</v>
          </cell>
          <cell r="AB150" t="str">
            <v>Expreso - Servicios Troncales</v>
          </cell>
          <cell r="AC150" t="str">
            <v>Expreso - Servicios Troncales</v>
          </cell>
          <cell r="AD150" t="str">
            <v>Expreso - Servicios Troncales</v>
          </cell>
          <cell r="AE150" t="str">
            <v>Expreso - Servicios Troncales</v>
          </cell>
          <cell r="AF150" t="str">
            <v>Expreso - Servicios Troncales</v>
          </cell>
          <cell r="AG150" t="str">
            <v>Expreso - Servicios Troncales</v>
          </cell>
          <cell r="AH150" t="str">
            <v>Expreso - Servicios Troncales</v>
          </cell>
          <cell r="AI150" t="str">
            <v>Expreso - Servicios Troncales</v>
          </cell>
          <cell r="AJ150" t="str">
            <v>Expreso - Servicios Troncales</v>
          </cell>
          <cell r="AK150" t="str">
            <v>Expreso - Servicios Troncales</v>
          </cell>
          <cell r="AL150" t="str">
            <v>Expreso - Servicios Troncales</v>
          </cell>
          <cell r="AM150" t="str">
            <v>Expreso - Servicios Troncales</v>
          </cell>
          <cell r="AN150" t="str">
            <v>Expreso - Servicios Troncales</v>
          </cell>
          <cell r="AO150" t="str">
            <v>Expreso - Servicios Troncales</v>
          </cell>
          <cell r="AP150" t="str">
            <v>Expreso - Servicios Troncales</v>
          </cell>
          <cell r="AQ150" t="str">
            <v>Expreso - Servicios Troncales</v>
          </cell>
          <cell r="AR150" t="str">
            <v>Expreso - Servicios Troncales</v>
          </cell>
          <cell r="AS150" t="str">
            <v>Expreso - Servicios Troncales</v>
          </cell>
          <cell r="AT150" t="str">
            <v>Expreso - Servicios Troncales</v>
          </cell>
          <cell r="AU150" t="str">
            <v>Expreso - Servicios Troncales</v>
          </cell>
          <cell r="AV150" t="str">
            <v>Expreso - Servicios Troncales</v>
          </cell>
          <cell r="AW150" t="str">
            <v>Expreso - Servicios Troncales</v>
          </cell>
          <cell r="AX150" t="str">
            <v>Expreso - Servicios Troncales</v>
          </cell>
          <cell r="AY150" t="str">
            <v>Expreso - Servicios Troncales</v>
          </cell>
          <cell r="AZ150" t="str">
            <v>Expreso - Servicios Troncales</v>
          </cell>
          <cell r="BA150" t="str">
            <v>Expreso - Servicios Troncales</v>
          </cell>
          <cell r="BB150" t="str">
            <v>Expreso - Servicios Troncales</v>
          </cell>
          <cell r="BC150" t="str">
            <v>Expreso - Servicios Troncales</v>
          </cell>
          <cell r="BD150" t="str">
            <v>SUC_MEN - Sucursal Mendoza</v>
          </cell>
          <cell r="BE150" t="str">
            <v>SUC_MEN - Sucursal Mendoza</v>
          </cell>
          <cell r="BF150" t="str">
            <v>SUC_MEN - Sucursal Mendoza</v>
          </cell>
          <cell r="BG150" t="str">
            <v>SUC_MEN - Sucursal Mendoza</v>
          </cell>
          <cell r="BH150" t="str">
            <v>SUC_MEN - Sucursal Mendoza</v>
          </cell>
          <cell r="BI150" t="str">
            <v>SUC_MEN - Sucursal Mendoza</v>
          </cell>
          <cell r="BJ150" t="str">
            <v>SUC_MEN - Sucursal Mendoza</v>
          </cell>
          <cell r="BK150" t="str">
            <v>SUC_MEN - Sucursal Mendoza</v>
          </cell>
          <cell r="BL150" t="str">
            <v>SUC_MEN - Sucursal Mendoza</v>
          </cell>
          <cell r="BM150" t="str">
            <v>SUC_MEN - Sucursal Mendoza</v>
          </cell>
          <cell r="BN150" t="str">
            <v>SUC_MEN - Sucursal Mendoza</v>
          </cell>
          <cell r="BO150" t="str">
            <v>SUC_MEN - Sucursal Mendoza</v>
          </cell>
          <cell r="BP150" t="str">
            <v>SUC_MEN - Sucursal Mendoza</v>
          </cell>
          <cell r="BQ150" t="str">
            <v>SUC_MEN - Sucursal Mendoza</v>
          </cell>
          <cell r="BR150" t="str">
            <v>SUC_MEN - Sucursal Mendoza</v>
          </cell>
          <cell r="BS150" t="str">
            <v>SUC_MEN - Sucursal Mendoza</v>
          </cell>
          <cell r="BT150" t="str">
            <v>INACTIVO</v>
          </cell>
          <cell r="BU150" t="str">
            <v>INACTIVO</v>
          </cell>
          <cell r="BV150" t="str">
            <v>INACTIVO</v>
          </cell>
          <cell r="BW150" t="str">
            <v>BAJA</v>
          </cell>
          <cell r="BX150" t="str">
            <v>BAJA</v>
          </cell>
          <cell r="BY150" t="str">
            <v>BAJA</v>
          </cell>
          <cell r="BZ150" t="str">
            <v>BAJA</v>
          </cell>
          <cell r="CA150" t="str">
            <v>BAJA</v>
          </cell>
          <cell r="CB150" t="str">
            <v>BAJA</v>
          </cell>
          <cell r="CC150" t="str">
            <v>BAJA</v>
          </cell>
          <cell r="CD150" t="str">
            <v>BAJA</v>
          </cell>
          <cell r="CE150" t="str">
            <v>BAJA</v>
          </cell>
          <cell r="CF150" t="str">
            <v>BAJA</v>
          </cell>
          <cell r="CG150" t="str">
            <v>BAJA</v>
          </cell>
          <cell r="CH150" t="str">
            <v>BAJA</v>
          </cell>
          <cell r="CI150" t="str">
            <v>BAJA</v>
          </cell>
          <cell r="CJ150" t="str">
            <v>BAJA</v>
          </cell>
          <cell r="CK150" t="str">
            <v>BAJA</v>
          </cell>
          <cell r="CL150" t="str">
            <v>BAJA</v>
          </cell>
          <cell r="CM150" t="str">
            <v>BAJA</v>
          </cell>
          <cell r="CN150" t="str">
            <v>BAJA</v>
          </cell>
          <cell r="CO150" t="str">
            <v>BAJA</v>
          </cell>
          <cell r="CP150" t="str">
            <v>BAJA</v>
          </cell>
          <cell r="CQ150" t="str">
            <v>BAJA</v>
          </cell>
          <cell r="CR150" t="str">
            <v>BAJA</v>
          </cell>
          <cell r="CS150" t="str">
            <v>BAJA</v>
          </cell>
          <cell r="CT150" t="str">
            <v>BAJA</v>
          </cell>
          <cell r="CU150" t="str">
            <v>BAJA</v>
          </cell>
          <cell r="CV150" t="str">
            <v>BAJA</v>
          </cell>
          <cell r="CW150" t="str">
            <v>BAJA</v>
          </cell>
        </row>
        <row r="151">
          <cell r="D151" t="str">
            <v>BJG486</v>
          </cell>
          <cell r="E151" t="str">
            <v>Chasis</v>
          </cell>
          <cell r="F151" t="str">
            <v>Chasis</v>
          </cell>
          <cell r="G151" t="str">
            <v>Chasis</v>
          </cell>
          <cell r="N151" t="str">
            <v>CODYLSA</v>
          </cell>
          <cell r="O151" t="str">
            <v>CODYLSA</v>
          </cell>
          <cell r="P151" t="str">
            <v>No</v>
          </cell>
          <cell r="Q151" t="str">
            <v>Propio</v>
          </cell>
          <cell r="R151">
            <v>12</v>
          </cell>
          <cell r="S151" t="str">
            <v>Propio</v>
          </cell>
          <cell r="T151" t="str">
            <v>MERCEDES BENZ</v>
          </cell>
          <cell r="U151">
            <v>710</v>
          </cell>
          <cell r="V151" t="str">
            <v>370952-50-344874</v>
          </cell>
          <cell r="W151" t="str">
            <v>8AC688151VA123928</v>
          </cell>
          <cell r="X151">
            <v>1997</v>
          </cell>
          <cell r="Y151">
            <v>29</v>
          </cell>
          <cell r="Z151" t="str">
            <v>Danone Mendoza</v>
          </cell>
          <cell r="AA151" t="str">
            <v>ADA_MZA - Danone Arg. S.A. - MZA</v>
          </cell>
          <cell r="AB151" t="str">
            <v>ADA_MZA - Danone Arg. S.A. - MZA</v>
          </cell>
          <cell r="AC151" t="str">
            <v>ADA_MZA - Danone Arg. S.A. - MZA</v>
          </cell>
          <cell r="AD151" t="str">
            <v>ADA_MZA - Danone Arg. S.A. - MZA</v>
          </cell>
          <cell r="AE151" t="str">
            <v>ADA_MZA - Danone Arg. S.A. - MZA</v>
          </cell>
          <cell r="AF151" t="str">
            <v>ADA_MZA - Danone Arg. S.A. - MZA</v>
          </cell>
          <cell r="AG151" t="str">
            <v>ADA_MZA - Danone Arg. S.A. - MZA</v>
          </cell>
          <cell r="AH151" t="str">
            <v>ADA_MZA - Danone Arg. S.A. - MZA</v>
          </cell>
          <cell r="AI151" t="str">
            <v>ADA_MZA - Danone Arg. S.A. - MZA</v>
          </cell>
          <cell r="AJ151" t="str">
            <v>ADA_MZA - Danone Arg. S.A. - MZA</v>
          </cell>
          <cell r="AK151" t="str">
            <v>ADA_MZA - Danone Arg. S.A. - MZA</v>
          </cell>
          <cell r="AL151" t="str">
            <v>ADA_MZA - Danone Arg. S.A. - MZA</v>
          </cell>
          <cell r="AM151" t="str">
            <v>ADA_MZA - Danone Arg. S.A. - MZA</v>
          </cell>
          <cell r="AN151" t="str">
            <v>ADA_MZA - Danone Arg. S.A. - MZA</v>
          </cell>
          <cell r="AO151" t="str">
            <v>ADA_MZA - Danone Arg. S.A. - MZA</v>
          </cell>
          <cell r="AP151" t="str">
            <v>ADA_MZA - Danone Arg. S.A. - MZA</v>
          </cell>
          <cell r="AQ151" t="str">
            <v>ADA_MZA - Danone Arg. S.A. - MZA</v>
          </cell>
          <cell r="AR151" t="str">
            <v>ADA_MZA - Danone Arg. S.A. - MZA</v>
          </cell>
          <cell r="AS151" t="str">
            <v>ADA_MZA - Danone Arg. S.A. - MZA</v>
          </cell>
          <cell r="AT151" t="str">
            <v>ADA_MZA - Danone Arg. S.A. - MZA</v>
          </cell>
          <cell r="AU151" t="str">
            <v>ADA_MZA - Danone Arg. S.A. - MZA</v>
          </cell>
          <cell r="AV151" t="str">
            <v>ADA_MZA - Danone Arg. S.A. - MZA</v>
          </cell>
          <cell r="AW151" t="str">
            <v>ADA_MZA - Danone Arg. S.A. - MZA</v>
          </cell>
          <cell r="AX151" t="str">
            <v>ADA_MZA - Danone Arg. S.A. - MZA</v>
          </cell>
          <cell r="AY151" t="str">
            <v>ADA_MZA - Danone Arg. S.A. - MZA</v>
          </cell>
          <cell r="AZ151" t="str">
            <v>ADA_MZA - Danone Arg. S.A. - MZA</v>
          </cell>
          <cell r="BA151" t="str">
            <v>ADA_MZA - Danone Arg. S.A. - MZA</v>
          </cell>
          <cell r="BB151" t="str">
            <v>ADA_MZA - Danone Arg. S.A. - MZA</v>
          </cell>
          <cell r="BC151" t="str">
            <v>ADA_MZA - Danone Arg. S.A. - MZA</v>
          </cell>
          <cell r="BD151" t="str">
            <v>ADA_MZA - Danone Arg. S.A. - MZA</v>
          </cell>
          <cell r="BE151" t="str">
            <v>ADA_MZA - Danone Arg. S.A. - MZA</v>
          </cell>
          <cell r="BF151" t="str">
            <v>ADA_MZA - Danone Arg. S.A. - MZA</v>
          </cell>
          <cell r="BG151" t="str">
            <v>ADA_MZA - Danone Arg. S.A. - MZA</v>
          </cell>
          <cell r="BH151" t="str">
            <v>ADA_MZA - Danone Arg. S.A. - MZA</v>
          </cell>
          <cell r="BI151" t="str">
            <v>ADA_MZA - Danone Arg. S.A. - MZA</v>
          </cell>
          <cell r="BJ151" t="str">
            <v>ADA_MZA - Danone Arg. S.A. - MZA</v>
          </cell>
          <cell r="BK151" t="str">
            <v>ADA_MZA - Danone Arg. S.A. - MZA</v>
          </cell>
          <cell r="BL151" t="str">
            <v>ADA_MZA - Danone Arg. S.A. - MZA</v>
          </cell>
          <cell r="BM151" t="str">
            <v>ADA_MZA - Danone Arg. S.A. - MZA</v>
          </cell>
          <cell r="BN151" t="str">
            <v>ADA_MZA - Danone Arg. S.A. - MZA</v>
          </cell>
          <cell r="BO151" t="str">
            <v>ADA_MZA - Danone Arg. S.A. - MZA</v>
          </cell>
          <cell r="BP151" t="str">
            <v>ADA_MZA - Danone Arg. S.A. - MZA</v>
          </cell>
          <cell r="BQ151" t="str">
            <v>Sin Operación</v>
          </cell>
          <cell r="BR151" t="str">
            <v>SUC_GAL - Sucursal General Alvear</v>
          </cell>
          <cell r="BS151" t="str">
            <v>SUC_REA - Sucursal Realicó</v>
          </cell>
          <cell r="BT151" t="str">
            <v>SUC_REA - Sucursal Realicó</v>
          </cell>
          <cell r="BU151" t="str">
            <v>SUC_REA - Sucursal Realicó</v>
          </cell>
          <cell r="BV151" t="str">
            <v>SUC_REA - Sucursal Realicó</v>
          </cell>
          <cell r="BW151" t="str">
            <v>SUC_REA - Sucursal Realicó</v>
          </cell>
          <cell r="BX151" t="str">
            <v>SUC_REA - Sucursal Realicó</v>
          </cell>
          <cell r="BY151" t="str">
            <v>SUC_REA - Sucursal Realicó</v>
          </cell>
          <cell r="BZ151" t="str">
            <v>SUC_REA - Sucursal Realicó</v>
          </cell>
          <cell r="CA151" t="str">
            <v>SUC_REA - Sucursal Realicó</v>
          </cell>
          <cell r="CB151" t="str">
            <v>SUC_REA - Sucursal Realicó</v>
          </cell>
          <cell r="CC151" t="str">
            <v>SUC_REA - Sucursal Realicó</v>
          </cell>
          <cell r="CD151" t="str">
            <v>SUC_REA - Sucursal Realicó</v>
          </cell>
          <cell r="CE151" t="str">
            <v>SUC_REA - Sucursal Realicó</v>
          </cell>
          <cell r="CF151" t="str">
            <v>SUC_REA - Sucursal Realicó</v>
          </cell>
          <cell r="CG151" t="str">
            <v>Sin Operación</v>
          </cell>
          <cell r="CH151" t="str">
            <v>Sin Operación</v>
          </cell>
          <cell r="CI151" t="str">
            <v>Sin Operación</v>
          </cell>
          <cell r="CJ151" t="str">
            <v>Sin Operación</v>
          </cell>
          <cell r="CK151" t="str">
            <v>Sin Operación</v>
          </cell>
          <cell r="CL151" t="str">
            <v>Sin Operación</v>
          </cell>
          <cell r="CM151" t="str">
            <v>Sin Operación</v>
          </cell>
          <cell r="CN151" t="str">
            <v>Sin Operación</v>
          </cell>
          <cell r="CO151" t="str">
            <v>Sin Operación</v>
          </cell>
          <cell r="CP151" t="str">
            <v>Sin Operación</v>
          </cell>
          <cell r="CQ151" t="str">
            <v>Sin Operación</v>
          </cell>
          <cell r="CR151" t="str">
            <v>Sin Operación</v>
          </cell>
          <cell r="CS151" t="str">
            <v>Sin Operación</v>
          </cell>
          <cell r="CT151" t="str">
            <v>Sin Operación</v>
          </cell>
          <cell r="CU151" t="str">
            <v>Sin Operación</v>
          </cell>
          <cell r="CV151" t="str">
            <v>Sin Operación</v>
          </cell>
          <cell r="CW151" t="str">
            <v>Sin Operación</v>
          </cell>
        </row>
        <row r="152">
          <cell r="D152" t="str">
            <v>BJH275</v>
          </cell>
          <cell r="E152" t="str">
            <v>Chasis</v>
          </cell>
          <cell r="F152" t="str">
            <v>Chasis</v>
          </cell>
          <cell r="G152" t="str">
            <v>Chasis</v>
          </cell>
          <cell r="N152" t="str">
            <v>CODYLSA</v>
          </cell>
          <cell r="O152" t="str">
            <v>CODYLSA</v>
          </cell>
          <cell r="P152" t="str">
            <v>No</v>
          </cell>
          <cell r="Q152" t="str">
            <v>Propio</v>
          </cell>
          <cell r="R152">
            <v>12</v>
          </cell>
          <cell r="S152" t="str">
            <v>Propio</v>
          </cell>
          <cell r="T152" t="str">
            <v>MERCEDES BENZ</v>
          </cell>
          <cell r="U152">
            <v>1218</v>
          </cell>
          <cell r="V152" t="str">
            <v>372962-50-351621</v>
          </cell>
          <cell r="W152" t="str">
            <v>8AC384010VA124524</v>
          </cell>
          <cell r="X152">
            <v>1997</v>
          </cell>
          <cell r="Y152">
            <v>29</v>
          </cell>
          <cell r="Z152" t="str">
            <v>Danone Mendoza</v>
          </cell>
          <cell r="AA152" t="str">
            <v>ADA_MZA - Danone Arg. S.A. - MZA</v>
          </cell>
          <cell r="AB152" t="str">
            <v>ADA_MZA - Danone Arg. S.A. - MZA</v>
          </cell>
          <cell r="AC152" t="str">
            <v>ADA_MZA - Danone Arg. S.A. - MZA</v>
          </cell>
          <cell r="AD152" t="str">
            <v>ADA_MZA - Danone Arg. S.A. - MZA</v>
          </cell>
          <cell r="AE152" t="str">
            <v>ADA_MZA - Danone Arg. S.A. - MZA</v>
          </cell>
          <cell r="AF152" t="str">
            <v>ADA_MZA - Danone Arg. S.A. - MZA</v>
          </cell>
          <cell r="AG152" t="str">
            <v>ADA_MZA - Danone Arg. S.A. - MZA</v>
          </cell>
          <cell r="AH152" t="str">
            <v>ADA_MZA - Danone Arg. S.A. - MZA</v>
          </cell>
          <cell r="AI152" t="str">
            <v>ADA_MZA - Danone Arg. S.A. - MZA</v>
          </cell>
          <cell r="AJ152" t="str">
            <v>ADA_MZA - Danone Arg. S.A. - MZA</v>
          </cell>
          <cell r="AK152" t="str">
            <v>ADA_MZA - Danone Arg. S.A. - MZA</v>
          </cell>
          <cell r="AL152" t="str">
            <v>ADA_MZA - Danone Arg. S.A. - MZA</v>
          </cell>
          <cell r="AM152" t="str">
            <v>ADA_MZA - Danone Arg. S.A. - MZA</v>
          </cell>
          <cell r="AN152" t="str">
            <v>ADA_MZA - Danone Arg. S.A. - MZA</v>
          </cell>
          <cell r="AO152" t="str">
            <v>ADA_MZA - Danone Arg. S.A. - MZA</v>
          </cell>
          <cell r="AP152" t="str">
            <v>ADA_MZA - Danone Arg. S.A. - MZA</v>
          </cell>
          <cell r="AQ152" t="str">
            <v>ADA_MZA - Danone Arg. S.A. - MZA</v>
          </cell>
          <cell r="AR152" t="str">
            <v>ADA_MZA - Danone Arg. S.A. - MZA</v>
          </cell>
          <cell r="AS152" t="str">
            <v>ADA_MZA - Danone Arg. S.A. - MZA</v>
          </cell>
          <cell r="AT152" t="str">
            <v>ADA_MZA - Danone Arg. S.A. - MZA</v>
          </cell>
          <cell r="AU152" t="str">
            <v>ADA_MZA - Danone Arg. S.A. - MZA</v>
          </cell>
          <cell r="AV152" t="str">
            <v>ADA_MZA - Danone Arg. S.A. - MZA</v>
          </cell>
          <cell r="AW152" t="str">
            <v>ADA_MZA - Danone Arg. S.A. - MZA</v>
          </cell>
          <cell r="AX152" t="str">
            <v>ADA_MZA - Danone Arg. S.A. - MZA</v>
          </cell>
          <cell r="AY152" t="str">
            <v>ADA_MZA - Danone Arg. S.A. - MZA</v>
          </cell>
          <cell r="AZ152" t="str">
            <v>ADA_MZA - Danone Arg. S.A. - MZA</v>
          </cell>
          <cell r="BA152" t="str">
            <v>ADA_MZA - Danone Arg. S.A. - MZA</v>
          </cell>
          <cell r="BB152" t="str">
            <v>ADA_MZA - Danone Arg. S.A. - MZA</v>
          </cell>
          <cell r="BC152" t="str">
            <v>ADA_MZA - Danone Arg. S.A. - MZA</v>
          </cell>
          <cell r="BD152" t="str">
            <v>ADA_MZA - Danone Arg. S.A. - MZA</v>
          </cell>
          <cell r="BE152" t="str">
            <v>ADA_MZA - Danone Arg. S.A. - MZA</v>
          </cell>
          <cell r="BF152" t="str">
            <v>ADA_MZA - Danone Arg. S.A. - MZA</v>
          </cell>
          <cell r="BG152" t="str">
            <v>ADA_MZA - Danone Arg. S.A. - MZA</v>
          </cell>
          <cell r="BH152" t="str">
            <v>ADA_MZA - Danone Arg. S.A. - MZA</v>
          </cell>
          <cell r="BI152" t="str">
            <v>ADA_MZA - Danone Arg. S.A. - MZA</v>
          </cell>
          <cell r="BJ152" t="str">
            <v>ADA_MZA - Danone Arg. S.A. - MZA</v>
          </cell>
          <cell r="BK152" t="str">
            <v>ADA_SMK - Danone Arg. S.A. - SMK</v>
          </cell>
          <cell r="BL152" t="str">
            <v>LOGIS</v>
          </cell>
          <cell r="BM152" t="str">
            <v>LOGIS</v>
          </cell>
          <cell r="BN152" t="str">
            <v>SUC_CTC - Sucursal Buenos Aires</v>
          </cell>
          <cell r="BO152" t="str">
            <v>SUC_CTC - Sucursal Buenos Aires</v>
          </cell>
          <cell r="BP152" t="str">
            <v>SUC_CTC - Sucursal Buenos Aires</v>
          </cell>
          <cell r="BQ152" t="str">
            <v>Topacio</v>
          </cell>
          <cell r="BR152" t="str">
            <v>Topacio</v>
          </cell>
          <cell r="BS152" t="str">
            <v>Topacio</v>
          </cell>
          <cell r="BT152" t="str">
            <v>Topacio</v>
          </cell>
          <cell r="BU152" t="str">
            <v>Topacio</v>
          </cell>
          <cell r="BV152" t="str">
            <v>Topacio</v>
          </cell>
          <cell r="BW152" t="str">
            <v>Topacio</v>
          </cell>
          <cell r="BX152" t="str">
            <v>Topacio</v>
          </cell>
          <cell r="BY152" t="str">
            <v>Topacio</v>
          </cell>
          <cell r="BZ152" t="str">
            <v>Topacio</v>
          </cell>
          <cell r="CA152" t="str">
            <v>Topacio</v>
          </cell>
          <cell r="CB152" t="str">
            <v>Topacio</v>
          </cell>
          <cell r="CC152" t="str">
            <v>Topacio</v>
          </cell>
          <cell r="CD152" t="str">
            <v>Sin Operación</v>
          </cell>
          <cell r="CE152" t="str">
            <v>Sin Operación</v>
          </cell>
          <cell r="CF152" t="str">
            <v>Sin Operación</v>
          </cell>
          <cell r="CG152" t="str">
            <v>Sin Operación</v>
          </cell>
          <cell r="CH152" t="str">
            <v>Sin Operación</v>
          </cell>
          <cell r="CI152" t="str">
            <v>Sin Operación</v>
          </cell>
          <cell r="CJ152" t="str">
            <v>Sin Operación</v>
          </cell>
          <cell r="CK152" t="str">
            <v>Sin Operación</v>
          </cell>
          <cell r="CL152" t="str">
            <v>Sin Operación</v>
          </cell>
          <cell r="CM152" t="str">
            <v>Sin Operación</v>
          </cell>
          <cell r="CN152" t="str">
            <v>Sin Operación</v>
          </cell>
          <cell r="CO152" t="str">
            <v>Sin Operación</v>
          </cell>
          <cell r="CP152" t="str">
            <v>Sin Operación</v>
          </cell>
          <cell r="CQ152" t="str">
            <v>Sin Operación</v>
          </cell>
          <cell r="CR152" t="str">
            <v>Sin Operación</v>
          </cell>
          <cell r="CS152" t="str">
            <v>Sin Operación</v>
          </cell>
          <cell r="CT152" t="str">
            <v>Sin Operación</v>
          </cell>
          <cell r="CU152" t="str">
            <v>Sin Operación</v>
          </cell>
          <cell r="CV152" t="str">
            <v>Sin Operación</v>
          </cell>
          <cell r="CW152" t="str">
            <v>Sin Operación</v>
          </cell>
        </row>
        <row r="153">
          <cell r="D153" t="str">
            <v>BNW644</v>
          </cell>
          <cell r="E153" t="str">
            <v>Chasis</v>
          </cell>
          <cell r="F153" t="str">
            <v>Chasis</v>
          </cell>
          <cell r="G153" t="str">
            <v>Chasis</v>
          </cell>
          <cell r="N153" t="str">
            <v>CODYLSA</v>
          </cell>
          <cell r="O153" t="str">
            <v>CODYLSA</v>
          </cell>
          <cell r="P153" t="str">
            <v>No</v>
          </cell>
          <cell r="Q153" t="str">
            <v>Propio</v>
          </cell>
          <cell r="R153">
            <v>8</v>
          </cell>
          <cell r="S153" t="str">
            <v>Propio</v>
          </cell>
          <cell r="T153" t="str">
            <v>MERCEDES BENZ</v>
          </cell>
          <cell r="U153">
            <v>710</v>
          </cell>
          <cell r="V153" t="str">
            <v>37095250345511</v>
          </cell>
          <cell r="W153" t="str">
            <v>8AC688151VA123816</v>
          </cell>
          <cell r="X153">
            <v>1997</v>
          </cell>
          <cell r="Y153">
            <v>29</v>
          </cell>
          <cell r="Z153" t="str">
            <v>Danone Mendoza</v>
          </cell>
          <cell r="AA153" t="str">
            <v>ADA_MZA - Danone Arg. S.A. - MZA</v>
          </cell>
          <cell r="AB153" t="str">
            <v>ADA_MZA - Danone Arg. S.A. - MZA</v>
          </cell>
          <cell r="AC153" t="str">
            <v>ADA_MZA - Danone Arg. S.A. - MZA</v>
          </cell>
          <cell r="AD153" t="str">
            <v>ADA_MZA - Danone Arg. S.A. - MZA</v>
          </cell>
          <cell r="AE153" t="str">
            <v>ADA_MZA - Danone Arg. S.A. - MZA</v>
          </cell>
          <cell r="AF153" t="str">
            <v>ADA_MZA - Danone Arg. S.A. - MZA</v>
          </cell>
          <cell r="AG153" t="str">
            <v>ADA_MZA - Danone Arg. S.A. - MZA</v>
          </cell>
          <cell r="AH153" t="str">
            <v>ADA_MZA - Danone Arg. S.A. - MZA</v>
          </cell>
          <cell r="AI153" t="str">
            <v>ADA_MZA - Danone Arg. S.A. - MZA</v>
          </cell>
          <cell r="AJ153" t="str">
            <v>ADA_MZA - Danone Arg. S.A. - MZA</v>
          </cell>
          <cell r="AK153" t="str">
            <v>ADA_MZA - Danone Arg. S.A. - MZA</v>
          </cell>
          <cell r="AL153" t="str">
            <v>ADA_MZA - Danone Arg. S.A. - MZA</v>
          </cell>
          <cell r="AM153" t="str">
            <v>ADA_MZA - Danone Arg. S.A. - MZA</v>
          </cell>
          <cell r="AN153" t="str">
            <v>ADA_MZA - Danone Arg. S.A. - MZA</v>
          </cell>
          <cell r="AO153" t="str">
            <v>ADA_MZA - Danone Arg. S.A. - MZA</v>
          </cell>
          <cell r="AP153" t="str">
            <v>ADA_MZA - Danone Arg. S.A. - MZA</v>
          </cell>
          <cell r="AQ153" t="str">
            <v>ADA_MZA - Danone Arg. S.A. - MZA</v>
          </cell>
          <cell r="AR153" t="str">
            <v>ADA_MZA - Danone Arg. S.A. - MZA</v>
          </cell>
          <cell r="AS153" t="str">
            <v>ADA_MZA - Danone Arg. S.A. - MZA</v>
          </cell>
          <cell r="AT153" t="str">
            <v>ADA_MZA - Danone Arg. S.A. - MZA</v>
          </cell>
          <cell r="AU153" t="str">
            <v>ADA_MZA - Danone Arg. S.A. - MZA</v>
          </cell>
          <cell r="AV153" t="str">
            <v>ADA_MZA - Danone Arg. S.A. - MZA</v>
          </cell>
          <cell r="AW153" t="str">
            <v>ADA_MZA - Danone Arg. S.A. - MZA</v>
          </cell>
          <cell r="AX153" t="str">
            <v>ADA_MZA - Danone Arg. S.A. - MZA</v>
          </cell>
          <cell r="AY153" t="str">
            <v>ADA_MZA - Danone Arg. S.A. - MZA</v>
          </cell>
          <cell r="AZ153" t="str">
            <v>ADA_MZA - Danone Arg. S.A. - MZA</v>
          </cell>
          <cell r="BA153" t="str">
            <v>ADA_MZA - Danone Arg. S.A. - MZA</v>
          </cell>
          <cell r="BB153" t="str">
            <v>ADA_MZA - Danone Arg. S.A. - MZA</v>
          </cell>
          <cell r="BC153" t="str">
            <v>ADA_MZA - Danone Arg. S.A. - MZA</v>
          </cell>
          <cell r="BD153" t="str">
            <v>ADA_MZA - Danone Arg. S.A. - MZA</v>
          </cell>
          <cell r="BE153" t="str">
            <v>ADA_MZA - Danone Arg. S.A. - MZA</v>
          </cell>
          <cell r="BF153" t="str">
            <v>ADA_MZA - Danone Arg. S.A. - MZA</v>
          </cell>
          <cell r="BG153" t="str">
            <v>ADA_MZA - Danone Arg. S.A. - MZA</v>
          </cell>
          <cell r="BH153" t="str">
            <v>ADA_MZA - Danone Arg. S.A. - MZA</v>
          </cell>
          <cell r="BI153" t="str">
            <v>ADA_MZA - Danone Arg. S.A. - MZA</v>
          </cell>
          <cell r="BJ153" t="str">
            <v>ADA_MZA - Danone Arg. S.A. - MZA</v>
          </cell>
          <cell r="BK153" t="str">
            <v>ADA_MZA - Danone Arg. S.A. - MZA</v>
          </cell>
          <cell r="BL153" t="str">
            <v>ADA_MZA - Danone Arg. S.A. - MZA</v>
          </cell>
          <cell r="BM153" t="str">
            <v>ADA_MZA - Danone Arg. S.A. - MZA</v>
          </cell>
          <cell r="BN153" t="str">
            <v>ADA_MZA - Danone Arg. S.A. - MZA</v>
          </cell>
          <cell r="BO153" t="str">
            <v>ADA_MZA - Danone Arg. S.A. - MZA</v>
          </cell>
          <cell r="BP153" t="str">
            <v>ADA_MZA - Danone Arg. S.A. - MZA</v>
          </cell>
          <cell r="BQ153" t="str">
            <v>ADA_MZA - Danone Arg. S.A. - MZA</v>
          </cell>
          <cell r="BR153" t="str">
            <v>ADA_MZA - Danone Arg. S.A. - MZA</v>
          </cell>
          <cell r="BS153" t="str">
            <v>ADA_MZA - Danone Arg. S.A. - MZA</v>
          </cell>
          <cell r="BT153" t="str">
            <v>Sin Operación</v>
          </cell>
          <cell r="BU153" t="str">
            <v>Sin Operación</v>
          </cell>
          <cell r="BV153" t="str">
            <v>Sin Operación</v>
          </cell>
          <cell r="BW153" t="str">
            <v>SUC_MEN - Sucursal Mendoza</v>
          </cell>
          <cell r="BX153" t="str">
            <v>SUC_MEN - Sucursal Mendoza</v>
          </cell>
          <cell r="BY153" t="str">
            <v>SUC_MEN - Sucursal Mendoza</v>
          </cell>
          <cell r="BZ153" t="str">
            <v>SUC_MEN - Sucursal Mendoza</v>
          </cell>
          <cell r="CA153" t="str">
            <v>SUC_SRA - Sucursal San Rafael</v>
          </cell>
          <cell r="CB153" t="str">
            <v>SUC_SRA - Sucursal San Rafael</v>
          </cell>
          <cell r="CC153" t="str">
            <v>SUC_GAL - Sucursal General Alvear</v>
          </cell>
          <cell r="CD153" t="str">
            <v>SUC_GAL - Sucursal General Alvear</v>
          </cell>
          <cell r="CE153" t="str">
            <v>SUC_GAL - Sucursal General Alvear</v>
          </cell>
          <cell r="CF153" t="str">
            <v>SUC_GAL - Sucursal General Alvear</v>
          </cell>
          <cell r="CG153" t="str">
            <v>SUC_GAL - Sucursal General Alvear</v>
          </cell>
          <cell r="CH153" t="str">
            <v>SUC_GAL - Sucursal General Alvear</v>
          </cell>
          <cell r="CI153" t="str">
            <v>SUC_GAL - Sucursal General Alvear</v>
          </cell>
          <cell r="CJ153" t="str">
            <v>SUC_GAL - Sucursal General Alvear</v>
          </cell>
          <cell r="CK153" t="str">
            <v>SUC_GAL - Sucursal General Alvear</v>
          </cell>
          <cell r="CL153" t="str">
            <v>SUC_GAL - Sucursal General Alvear</v>
          </cell>
          <cell r="CM153" t="str">
            <v>SUC_GAL - Sucursal General Alvear</v>
          </cell>
          <cell r="CN153" t="str">
            <v>SUC_GAL - Sucursal General Alvear</v>
          </cell>
          <cell r="CO153" t="str">
            <v>SUC_GAL - Sucursal General Alvear</v>
          </cell>
          <cell r="CP153" t="str">
            <v>SUC_GAL - Sucursal General Alvear</v>
          </cell>
          <cell r="CQ153" t="str">
            <v>SUC_GAL - Sucursal General Alvear</v>
          </cell>
          <cell r="CR153" t="str">
            <v>SUC_GAL - Sucursal General Alvear</v>
          </cell>
          <cell r="CS153" t="str">
            <v>SUC_GAL - Sucursal General Alvear</v>
          </cell>
          <cell r="CT153" t="str">
            <v>SUC_GAL - Sucursal General Alvear</v>
          </cell>
          <cell r="CU153" t="str">
            <v>SUC_GAL - Sucursal General Alvear</v>
          </cell>
          <cell r="CV153" t="str">
            <v>SUC_GAL - Sucursal General Alvear</v>
          </cell>
          <cell r="CW153" t="str">
            <v>SUC_GAL - Sucursal General Alvear</v>
          </cell>
        </row>
        <row r="154">
          <cell r="D154" t="str">
            <v>BRJ211</v>
          </cell>
          <cell r="E154" t="str">
            <v>Chasis</v>
          </cell>
          <cell r="F154" t="str">
            <v>Chasis</v>
          </cell>
          <cell r="G154" t="str">
            <v>Chasis</v>
          </cell>
          <cell r="N154" t="str">
            <v>CODYLSA</v>
          </cell>
          <cell r="O154" t="str">
            <v>CODYLSA</v>
          </cell>
          <cell r="P154" t="str">
            <v>No</v>
          </cell>
          <cell r="Q154" t="str">
            <v>Propio</v>
          </cell>
          <cell r="R154">
            <v>8</v>
          </cell>
          <cell r="S154" t="str">
            <v>Propio</v>
          </cell>
          <cell r="T154" t="str">
            <v>MERCEDES BENZ</v>
          </cell>
          <cell r="U154">
            <v>710</v>
          </cell>
          <cell r="V154">
            <v>37495310356210</v>
          </cell>
          <cell r="W154" t="str">
            <v>9BM688156VB123810</v>
          </cell>
          <cell r="X154">
            <v>1997</v>
          </cell>
          <cell r="Y154">
            <v>29</v>
          </cell>
          <cell r="Z154" t="str">
            <v>Danone Mendoza</v>
          </cell>
          <cell r="AA154" t="str">
            <v>ADA_MZA - Danone Arg. S.A. - MZA</v>
          </cell>
          <cell r="AB154" t="str">
            <v>ADA_MZA - Danone Arg. S.A. - MZA</v>
          </cell>
          <cell r="AC154" t="str">
            <v>ADA_MZA - Danone Arg. S.A. - MZA</v>
          </cell>
          <cell r="AD154" t="str">
            <v>ADA_MZA - Danone Arg. S.A. - MZA</v>
          </cell>
          <cell r="AE154" t="str">
            <v>ADA_MZA - Danone Arg. S.A. - MZA</v>
          </cell>
          <cell r="AF154" t="str">
            <v>ADA_MZA - Danone Arg. S.A. - MZA</v>
          </cell>
          <cell r="AG154" t="str">
            <v>ADA_MZA - Danone Arg. S.A. - MZA</v>
          </cell>
          <cell r="AH154" t="str">
            <v>ADA_MZA - Danone Arg. S.A. - MZA</v>
          </cell>
          <cell r="AI154" t="str">
            <v>ADA_MZA - Danone Arg. S.A. - MZA</v>
          </cell>
          <cell r="AJ154" t="str">
            <v>ADA_MZA - Danone Arg. S.A. - MZA</v>
          </cell>
          <cell r="AK154" t="str">
            <v>ADA_MZA - Danone Arg. S.A. - MZA</v>
          </cell>
          <cell r="AL154" t="str">
            <v>ADA_MZA - Danone Arg. S.A. - MZA</v>
          </cell>
          <cell r="AM154" t="str">
            <v>ADA_MZA - Danone Arg. S.A. - MZA</v>
          </cell>
          <cell r="AN154" t="str">
            <v>ADA_MZA - Danone Arg. S.A. - MZA</v>
          </cell>
          <cell r="AO154" t="str">
            <v>ADA_MZA - Danone Arg. S.A. - MZA</v>
          </cell>
          <cell r="AP154" t="str">
            <v>ADA_MZA - Danone Arg. S.A. - MZA</v>
          </cell>
          <cell r="AQ154" t="str">
            <v>ADA_MZA - Danone Arg. S.A. - MZA</v>
          </cell>
          <cell r="AR154" t="str">
            <v>ADA_MZA - Danone Arg. S.A. - MZA</v>
          </cell>
          <cell r="AS154" t="str">
            <v>ADA_MZA - Danone Arg. S.A. - MZA</v>
          </cell>
          <cell r="AT154" t="str">
            <v>ADA_MZA - Danone Arg. S.A. - MZA</v>
          </cell>
          <cell r="AU154" t="str">
            <v>ADA_MZA - Danone Arg. S.A. - MZA</v>
          </cell>
          <cell r="AV154" t="str">
            <v>ADA_MZA - Danone Arg. S.A. - MZA</v>
          </cell>
          <cell r="AW154" t="str">
            <v>ADA_MZA - Danone Arg. S.A. - MZA</v>
          </cell>
          <cell r="AX154" t="str">
            <v>ADA_MZA - Danone Arg. S.A. - MZA</v>
          </cell>
          <cell r="AY154" t="str">
            <v>ADA_MZA - Danone Arg. S.A. - MZA</v>
          </cell>
          <cell r="AZ154" t="str">
            <v>ADA_MZA - Danone Arg. S.A. - MZA</v>
          </cell>
          <cell r="BA154" t="str">
            <v>ADA_MZA - Danone Arg. S.A. - MZA</v>
          </cell>
          <cell r="BB154" t="str">
            <v>ADA_MZA - Danone Arg. S.A. - MZA</v>
          </cell>
          <cell r="BC154" t="str">
            <v>ADA_MZA - Danone Arg. S.A. - MZA</v>
          </cell>
          <cell r="BD154" t="str">
            <v>ADA_MZA - Danone Arg. S.A. - MZA</v>
          </cell>
          <cell r="BE154" t="str">
            <v>ADA_MZA - Danone Arg. S.A. - MZA</v>
          </cell>
          <cell r="BF154" t="str">
            <v>ADA_MZA - Danone Arg. S.A. - MZA</v>
          </cell>
          <cell r="BG154" t="str">
            <v>ADA_MZA - Danone Arg. S.A. - MZA</v>
          </cell>
          <cell r="BH154" t="str">
            <v>ADA_MZA - Danone Arg. S.A. - MZA</v>
          </cell>
          <cell r="BI154" t="str">
            <v>ADA_MZA - Danone Arg. S.A. - MZA</v>
          </cell>
          <cell r="BJ154" t="str">
            <v>ADA_MZA - Danone Arg. S.A. - MZA</v>
          </cell>
          <cell r="BK154" t="str">
            <v>ADA_MZA - Danone Arg. S.A. - MZA</v>
          </cell>
          <cell r="BL154" t="str">
            <v>ADA_MZA - Danone Arg. S.A. - MZA</v>
          </cell>
          <cell r="BM154" t="str">
            <v>ADA_MZA - Danone Arg. S.A. - MZA</v>
          </cell>
          <cell r="BN154" t="str">
            <v>ADA_MZA - Danone Arg. S.A. - MZA</v>
          </cell>
          <cell r="BO154" t="str">
            <v>ADA_MZA - Danone Arg. S.A. - MZA</v>
          </cell>
          <cell r="BP154" t="str">
            <v>ADA_MZA - Danone Arg. S.A. - MZA</v>
          </cell>
          <cell r="BQ154" t="str">
            <v>ADA_MZA - Danone Arg. S.A. - MZA</v>
          </cell>
          <cell r="BR154" t="str">
            <v>ADA_MZA - Danone Arg. S.A. - MZA</v>
          </cell>
          <cell r="BS154" t="str">
            <v>ADA_MZA - Danone Arg. S.A. - MZA</v>
          </cell>
          <cell r="BT154" t="str">
            <v>Sin Operación</v>
          </cell>
          <cell r="BU154" t="str">
            <v>Sin Operación</v>
          </cell>
          <cell r="BV154" t="str">
            <v>Sin Operación</v>
          </cell>
          <cell r="BW154" t="str">
            <v>Sin Operación</v>
          </cell>
          <cell r="BX154" t="str">
            <v>Sin Operación</v>
          </cell>
          <cell r="BY154" t="str">
            <v>SUC_MAL - Sucursal Malargüe</v>
          </cell>
          <cell r="BZ154" t="str">
            <v>SUC_MAL - Sucursal Malargüe</v>
          </cell>
          <cell r="CA154" t="str">
            <v>SUC_MAL - Sucursal Malargüe</v>
          </cell>
          <cell r="CB154" t="str">
            <v>SUC_MAL - Sucursal Malargüe</v>
          </cell>
          <cell r="CC154" t="str">
            <v>SUC_MAL - Sucursal Malargüe</v>
          </cell>
          <cell r="CD154" t="str">
            <v>SUC_MAL - Sucursal Malargüe</v>
          </cell>
          <cell r="CE154" t="str">
            <v>SUC_MAL - Sucursal Malargüe</v>
          </cell>
          <cell r="CF154" t="str">
            <v>SUC_MAL - Sucursal Malargüe</v>
          </cell>
          <cell r="CG154" t="str">
            <v>SUC_MAL - Sucursal Malargüe</v>
          </cell>
          <cell r="CH154" t="str">
            <v>SUC_MAL - Sucursal Malargüe</v>
          </cell>
          <cell r="CI154" t="str">
            <v>SUC_MAL - Sucursal Malargüe</v>
          </cell>
          <cell r="CJ154" t="str">
            <v>SUC_MAL - Sucursal Malargüe</v>
          </cell>
          <cell r="CK154" t="str">
            <v>SUC_MAL - Sucursal Malargüe</v>
          </cell>
          <cell r="CL154" t="str">
            <v>SUC_MAL - Sucursal Malargüe</v>
          </cell>
          <cell r="CM154" t="str">
            <v>SUC_MAL - Sucursal Malargüe</v>
          </cell>
          <cell r="CN154" t="str">
            <v>SUC_MAL - Sucursal Malargüe</v>
          </cell>
          <cell r="CO154" t="str">
            <v>SUC_MAL - Sucursal Malargüe</v>
          </cell>
          <cell r="CP154" t="str">
            <v>SUC_MAL - Sucursal Malargüe</v>
          </cell>
          <cell r="CQ154" t="str">
            <v>SUC_MAL - Sucursal Malargüe</v>
          </cell>
          <cell r="CR154" t="str">
            <v>SUC_MAL - Sucursal Malargüe</v>
          </cell>
          <cell r="CS154" t="str">
            <v>SUC_MAL - Sucursal Malargüe</v>
          </cell>
          <cell r="CT154" t="str">
            <v>SUC_MAL - Sucursal Malargüe</v>
          </cell>
          <cell r="CU154" t="str">
            <v>SUC_MAL - Sucursal Malargüe</v>
          </cell>
          <cell r="CV154" t="str">
            <v>SUC_MAL - Sucursal Malargüe</v>
          </cell>
          <cell r="CW154" t="str">
            <v>SUC_MAL - Sucursal Malargüe</v>
          </cell>
        </row>
        <row r="155">
          <cell r="D155" t="str">
            <v>BVH267</v>
          </cell>
          <cell r="E155" t="str">
            <v>Chasis</v>
          </cell>
          <cell r="F155" t="str">
            <v>Chasis</v>
          </cell>
          <cell r="G155" t="str">
            <v>Chasis</v>
          </cell>
          <cell r="N155" t="str">
            <v>CODYLSA</v>
          </cell>
          <cell r="O155" t="str">
            <v>CODYLSA</v>
          </cell>
          <cell r="P155" t="str">
            <v>No</v>
          </cell>
          <cell r="Q155" t="str">
            <v>Propio</v>
          </cell>
          <cell r="R155">
            <v>12</v>
          </cell>
          <cell r="S155" t="str">
            <v>Propio</v>
          </cell>
          <cell r="T155" t="str">
            <v>MERCEDES BENZ</v>
          </cell>
          <cell r="U155">
            <v>914</v>
          </cell>
          <cell r="V155" t="str">
            <v>B49132</v>
          </cell>
          <cell r="W155" t="str">
            <v>9BM688133VB145488</v>
          </cell>
          <cell r="X155">
            <v>1998</v>
          </cell>
          <cell r="Y155">
            <v>28</v>
          </cell>
          <cell r="Z155" t="str">
            <v>Danone Alianza</v>
          </cell>
          <cell r="AA155" t="str">
            <v>ADA_Mino - Danone Arg. S.A. - Mino</v>
          </cell>
          <cell r="AB155" t="str">
            <v>ADA_Mino - Danone Arg. S.A. - Mino</v>
          </cell>
          <cell r="AC155" t="str">
            <v>ADA_Mino - Danone Arg. S.A. - Mino</v>
          </cell>
          <cell r="AD155" t="str">
            <v>ADA_Mino - Danone Arg. S.A. - Mino</v>
          </cell>
          <cell r="AE155" t="str">
            <v>ADA_Mino - Danone Arg. S.A. - Mino</v>
          </cell>
          <cell r="AF155" t="str">
            <v>ADA_Mino - Danone Arg. S.A. - Mino</v>
          </cell>
          <cell r="AG155" t="str">
            <v>ADA_Mino - Danone Arg. S.A. - Mino</v>
          </cell>
          <cell r="AH155" t="str">
            <v>ADA_Mino - Danone Arg. S.A. - Mino</v>
          </cell>
          <cell r="AI155" t="str">
            <v>ADA_Mino - Danone Arg. S.A. - Mino</v>
          </cell>
          <cell r="AJ155" t="str">
            <v>ADA_Mino - Danone Arg. S.A. - Mino</v>
          </cell>
          <cell r="AK155" t="str">
            <v>JOHNSON - SC JOHNSON DE ARGENTINA SAIC</v>
          </cell>
          <cell r="AL155" t="str">
            <v>JOHNSON - SC JOHNSON DE ARGENTINA SAIC</v>
          </cell>
          <cell r="AM155" t="str">
            <v>JOHNSON - SC JOHNSON DE ARGENTINA SAIC</v>
          </cell>
          <cell r="AN155" t="str">
            <v>Unilever - Unilever de Arg. S.A.</v>
          </cell>
          <cell r="AO155" t="str">
            <v>Unilever - Unilever de Arg. S.A.</v>
          </cell>
          <cell r="AP155" t="str">
            <v>Unilever - Unilever de Arg. S.A.</v>
          </cell>
          <cell r="AQ155" t="str">
            <v>Unilever - Unilever de Arg. S.A.</v>
          </cell>
          <cell r="AR155" t="str">
            <v>Unilever - Unilever de Arg. S.A.</v>
          </cell>
          <cell r="AS155" t="str">
            <v>Unilever - Unilever de Arg. S.A.</v>
          </cell>
          <cell r="AT155" t="str">
            <v>Unilever - Unilever de Arg. S.A.</v>
          </cell>
          <cell r="AU155" t="str">
            <v>Unilever - Unilever de Arg. S.A.</v>
          </cell>
          <cell r="AV155" t="str">
            <v>Unilever - Unilever de Arg. S.A.</v>
          </cell>
          <cell r="AW155" t="str">
            <v>Unilever - Unilever de Arg. S.A.</v>
          </cell>
          <cell r="AX155" t="str">
            <v>Unilever - Unilever de Arg. S.A.</v>
          </cell>
          <cell r="AY155" t="str">
            <v>Unilever - Unilever de Arg. S.A.</v>
          </cell>
          <cell r="AZ155" t="str">
            <v>Unilever - Unilever de Arg. S.A.</v>
          </cell>
          <cell r="BA155" t="str">
            <v>Unilever - Unilever de Arg. S.A.</v>
          </cell>
          <cell r="BB155" t="str">
            <v>Unilever - Unilever de Arg. S.A.</v>
          </cell>
          <cell r="BC155" t="str">
            <v>Unilever - Unilever de Arg. S.A.</v>
          </cell>
          <cell r="BD155" t="str">
            <v>Unilever - Unilever de Arg. S.A.</v>
          </cell>
          <cell r="BE155" t="str">
            <v>Unilever - Unilever de Arg. S.A.</v>
          </cell>
          <cell r="BF155" t="str">
            <v>Unilever - Unilever de Arg. S.A.</v>
          </cell>
          <cell r="BG155" t="str">
            <v>Unilever - Unilever de Arg. S.A.</v>
          </cell>
          <cell r="BH155" t="str">
            <v>Unilever - Unilever de Arg. S.A.</v>
          </cell>
          <cell r="BI155" t="str">
            <v>Unilever - Unilever de Arg. S.A.</v>
          </cell>
          <cell r="BJ155" t="str">
            <v>Unilever - Unilever de Arg. S.A.</v>
          </cell>
          <cell r="BK155" t="str">
            <v>Unilever - Unilever de Arg. S.A.</v>
          </cell>
          <cell r="BL155" t="str">
            <v>Unilever - Unilever de Arg. S.A.</v>
          </cell>
          <cell r="BM155" t="str">
            <v>Unilever - Unilever de Arg. S.A.</v>
          </cell>
          <cell r="BN155" t="str">
            <v>Unilever - Unilever de Arg. S.A.</v>
          </cell>
          <cell r="BO155" t="str">
            <v>Unilever - Unilever de Arg. S.A.</v>
          </cell>
          <cell r="BP155" t="str">
            <v>Unilever - Unilever de Arg. S.A.</v>
          </cell>
          <cell r="BQ155" t="str">
            <v>Unilever - Unilever de Arg. S.A.</v>
          </cell>
          <cell r="BR155" t="str">
            <v>Unilever - Unilever de Arg. S.A.</v>
          </cell>
          <cell r="BS155" t="str">
            <v>Unilever - Unilever de Arg. S.A.</v>
          </cell>
          <cell r="BT155" t="str">
            <v>Unilever - Unilever de Arg. S.A.</v>
          </cell>
          <cell r="BU155" t="str">
            <v>Unilever - Unilever de Arg. S.A.</v>
          </cell>
          <cell r="BV155" t="str">
            <v>Unilever - Unilever de Arg. S.A.</v>
          </cell>
          <cell r="BW155" t="str">
            <v>Unilever - Unilever de Arg. S.A.</v>
          </cell>
          <cell r="BX155" t="str">
            <v>Unilever - Unilever de Arg. S.A.</v>
          </cell>
          <cell r="BY155" t="str">
            <v>JOHNSON - SC JOHNSON DE ARGENTINA SAIC</v>
          </cell>
          <cell r="BZ155" t="str">
            <v>JOHNSON - SC JOHNSON DE ARGENTINA SAIC</v>
          </cell>
          <cell r="CA155" t="str">
            <v>Topacio</v>
          </cell>
          <cell r="CB155" t="str">
            <v>Topacio</v>
          </cell>
          <cell r="CC155" t="str">
            <v>Topacio</v>
          </cell>
          <cell r="CD155" t="str">
            <v>Topacio</v>
          </cell>
          <cell r="CE155" t="str">
            <v>JOHNSON - SC JOHNSON DE ARGENTINA SAIC</v>
          </cell>
          <cell r="CF155" t="str">
            <v>JOHNSON - SC JOHNSON DE ARGENTINA SAIC</v>
          </cell>
          <cell r="CG155" t="str">
            <v>JOHNSON - SC JOHNSON DE ARGENTINA SAIC</v>
          </cell>
          <cell r="CH155" t="str">
            <v>JOHNSON - SC JOHNSON DE ARGENTINA SAIC</v>
          </cell>
          <cell r="CI155" t="str">
            <v>JOHNSON - SC JOHNSON DE ARGENTINA SAIC</v>
          </cell>
          <cell r="CJ155" t="str">
            <v>Unilever - Unilever de Arg. S.A.</v>
          </cell>
          <cell r="CK155" t="str">
            <v>Unilever - Unilever de Arg. S.A.</v>
          </cell>
          <cell r="CL155" t="str">
            <v>Unilever - Unilever de Arg. S.A.</v>
          </cell>
          <cell r="CM155" t="str">
            <v>Unilever - Unilever de Arg. S.A.</v>
          </cell>
          <cell r="CN155" t="str">
            <v>JOHNSON - SC JOHNSON DE ARGENTINA SAIC</v>
          </cell>
          <cell r="CO155" t="str">
            <v>JOHNSON - SC JOHNSON DE ARGENTINA SAIC</v>
          </cell>
          <cell r="CP155" t="str">
            <v>Unilever - Unilever de Arg. S.A.</v>
          </cell>
          <cell r="CQ155" t="str">
            <v>Unilever - Unilever de Arg. S.A.</v>
          </cell>
          <cell r="CR155" t="str">
            <v>Unilever - Unilever de Arg. S.A.</v>
          </cell>
          <cell r="CS155" t="str">
            <v>Unilever - Unilever de Arg. S.A.</v>
          </cell>
          <cell r="CT155" t="str">
            <v>Unilever - Unilever de Arg. S.A.</v>
          </cell>
          <cell r="CU155" t="str">
            <v>Unilever - Unilever de Arg. S.A.</v>
          </cell>
          <cell r="CV155" t="str">
            <v>Unilever - Unilever de Arg. S.A.</v>
          </cell>
          <cell r="CW155" t="str">
            <v>Unilever - Unilever de Arg. S.A.</v>
          </cell>
        </row>
        <row r="156">
          <cell r="D156" t="str">
            <v>BXK441</v>
          </cell>
          <cell r="E156" t="str">
            <v>Chasis</v>
          </cell>
          <cell r="F156">
            <v>0</v>
          </cell>
          <cell r="G156" t="str">
            <v>Chasis</v>
          </cell>
          <cell r="N156" t="str">
            <v>MORTARA CLAUDIO GABRIEL</v>
          </cell>
          <cell r="O156" t="str">
            <v>MORTARA CLAUDIO GABRIEL</v>
          </cell>
          <cell r="P156" t="str">
            <v>No</v>
          </cell>
          <cell r="Q156" t="str">
            <v>De Tercero</v>
          </cell>
          <cell r="R156" t="str">
            <v>-</v>
          </cell>
          <cell r="S156" t="str">
            <v>De Tercero</v>
          </cell>
          <cell r="T156" t="str">
            <v>NISSAN</v>
          </cell>
          <cell r="U156" t="str">
            <v>T5U41080141</v>
          </cell>
          <cell r="V156">
            <v>1998</v>
          </cell>
          <cell r="W156">
            <v>28</v>
          </cell>
          <cell r="X156">
            <v>1998</v>
          </cell>
          <cell r="Y156">
            <v>28</v>
          </cell>
          <cell r="Z156" t="str">
            <v>Malargue</v>
          </cell>
          <cell r="AA156" t="str">
            <v>Expreso - Servicios Troncales</v>
          </cell>
          <cell r="AB156" t="str">
            <v>Expreso - Servicios Troncales</v>
          </cell>
          <cell r="AC156" t="str">
            <v>Expreso - Servicios Troncales</v>
          </cell>
          <cell r="AD156" t="str">
            <v>Expreso - Servicios Troncales</v>
          </cell>
          <cell r="AE156" t="str">
            <v>Expreso - Servicios Troncales</v>
          </cell>
          <cell r="AF156" t="str">
            <v>Expreso - Servicios Troncales</v>
          </cell>
          <cell r="AG156" t="str">
            <v>Expreso - Servicios Troncales</v>
          </cell>
          <cell r="AH156" t="str">
            <v>Expreso - Servicios Troncales</v>
          </cell>
          <cell r="AI156" t="str">
            <v>Expreso - Servicios Troncales</v>
          </cell>
          <cell r="AJ156" t="str">
            <v>Expreso - Servicios Troncales</v>
          </cell>
          <cell r="AK156" t="str">
            <v>Expreso - Servicios Troncales</v>
          </cell>
          <cell r="AL156" t="str">
            <v>Expreso - Servicios Troncales</v>
          </cell>
          <cell r="AM156" t="str">
            <v>Expreso - Servicios Troncales</v>
          </cell>
          <cell r="AN156" t="str">
            <v>Expreso - Servicios Troncales</v>
          </cell>
          <cell r="AO156" t="str">
            <v>Expreso - Servicios Troncales</v>
          </cell>
          <cell r="AP156" t="str">
            <v>Expreso - Servicios Troncales</v>
          </cell>
          <cell r="AQ156" t="str">
            <v>Expreso - Servicios Troncales</v>
          </cell>
          <cell r="AR156" t="str">
            <v>Expreso - Servicios Troncales</v>
          </cell>
          <cell r="AS156" t="str">
            <v>Expreso - Servicios Troncales</v>
          </cell>
          <cell r="AT156" t="str">
            <v>Expreso - Servicios Troncales</v>
          </cell>
          <cell r="AU156" t="str">
            <v>Expreso - Servicios Troncales</v>
          </cell>
          <cell r="AV156" t="str">
            <v>Expreso - Servicios Troncales</v>
          </cell>
          <cell r="AW156" t="str">
            <v>Expreso - Servicios Troncales</v>
          </cell>
          <cell r="AX156" t="str">
            <v>Expreso - Servicios Troncales</v>
          </cell>
          <cell r="AY156" t="str">
            <v>Expreso - Servicios Troncales</v>
          </cell>
          <cell r="AZ156" t="str">
            <v>Expreso - Servicios Troncales</v>
          </cell>
          <cell r="BA156" t="str">
            <v>Expreso - Servicios Troncales</v>
          </cell>
          <cell r="BB156" t="str">
            <v>Expreso - Servicios Troncales</v>
          </cell>
          <cell r="BC156" t="str">
            <v>Expreso - Servicios Troncales</v>
          </cell>
          <cell r="BD156" t="str">
            <v>SUC_SRA - Sucursal San Rafael</v>
          </cell>
          <cell r="BE156" t="str">
            <v>SUC_SRA - Sucursal San Rafael</v>
          </cell>
          <cell r="BF156" t="str">
            <v>SUC_SRA - Sucursal San Rafael</v>
          </cell>
          <cell r="BG156" t="str">
            <v>SUC_SRA - Sucursal San Rafael</v>
          </cell>
          <cell r="BH156" t="str">
            <v>SUC_SRA - Sucursal San Rafael</v>
          </cell>
          <cell r="BI156" t="str">
            <v>SUC_SRA - Sucursal San Rafael</v>
          </cell>
          <cell r="BJ156" t="str">
            <v>SUC_SRA - Sucursal San Rafael</v>
          </cell>
          <cell r="BK156" t="str">
            <v>SUC_SRA - Sucursal San Rafael</v>
          </cell>
          <cell r="BL156" t="str">
            <v>SUC_SRA - Sucursal San Rafael</v>
          </cell>
          <cell r="BM156" t="str">
            <v>SUC_SRA - Sucursal San Rafael</v>
          </cell>
          <cell r="BN156" t="str">
            <v>SUC_SRA - Sucursal San Rafael</v>
          </cell>
          <cell r="BO156" t="str">
            <v>SUC_SRA - Sucursal San Rafael</v>
          </cell>
          <cell r="BP156" t="str">
            <v>SUC_SRA - Sucursal San Rafael</v>
          </cell>
          <cell r="BQ156" t="str">
            <v>SUC_SRA - Sucursal San Rafael</v>
          </cell>
          <cell r="BR156" t="str">
            <v>SUC_SRA - Sucursal San Rafael</v>
          </cell>
          <cell r="BS156" t="str">
            <v>SUC_SRA - Sucursal San Rafael</v>
          </cell>
          <cell r="BT156" t="str">
            <v>SUC_SRA - Sucursal San Rafael</v>
          </cell>
          <cell r="BU156" t="str">
            <v>SUC_SRA - Sucursal San Rafael</v>
          </cell>
          <cell r="BV156" t="str">
            <v>SUC_SRA - Sucursal San Rafael</v>
          </cell>
          <cell r="BW156" t="str">
            <v>SUC_SRA - Sucursal San Rafael</v>
          </cell>
          <cell r="BX156" t="str">
            <v>SUC_SRA - Sucursal San Rafael</v>
          </cell>
          <cell r="BY156" t="str">
            <v>SUC_SRA - Sucursal San Rafael</v>
          </cell>
          <cell r="BZ156" t="str">
            <v>SUC_SRA - Sucursal San Rafael</v>
          </cell>
          <cell r="CA156" t="str">
            <v>SUC_SRA - Sucursal San Rafael</v>
          </cell>
          <cell r="CB156" t="str">
            <v>SUC_SRA - Sucursal San Rafael</v>
          </cell>
          <cell r="CC156" t="str">
            <v>SUC_SRA - Sucursal San Rafael</v>
          </cell>
          <cell r="CD156" t="str">
            <v>SUC_SRA - Sucursal San Rafael</v>
          </cell>
          <cell r="CE156" t="str">
            <v>SUC_SRA - Sucursal San Rafael</v>
          </cell>
          <cell r="CF156" t="str">
            <v>SUC_SRA - Sucursal San Rafael</v>
          </cell>
          <cell r="CG156" t="str">
            <v>SUC_SRA - Sucursal San Rafael</v>
          </cell>
          <cell r="CH156" t="str">
            <v>SUC_SRA - Sucursal San Rafael</v>
          </cell>
          <cell r="CI156" t="str">
            <v>SUC_SRA - Sucursal San Rafael</v>
          </cell>
          <cell r="CJ156" t="str">
            <v>SUC_SRA - Sucursal San Rafael</v>
          </cell>
          <cell r="CK156" t="str">
            <v>SUC_SRA - Sucursal San Rafael</v>
          </cell>
          <cell r="CL156" t="str">
            <v>SUC_SRA - Sucursal San Rafael</v>
          </cell>
          <cell r="CM156" t="str">
            <v>SUC_SRA - Sucursal San Rafael</v>
          </cell>
          <cell r="CN156" t="str">
            <v>SUC_SRA - Sucursal San Rafael</v>
          </cell>
          <cell r="CO156" t="str">
            <v>SUC_SRA - Sucursal San Rafael</v>
          </cell>
          <cell r="CP156" t="str">
            <v>SUC_SRA - Sucursal San Rafael</v>
          </cell>
          <cell r="CQ156" t="str">
            <v>SUC_SRA - Sucursal San Rafael</v>
          </cell>
          <cell r="CR156" t="str">
            <v>SUC_SRA - Sucursal San Rafael</v>
          </cell>
          <cell r="CS156" t="str">
            <v>SUC_SRA - Sucursal San Rafael</v>
          </cell>
          <cell r="CT156" t="str">
            <v>SUC_SRA - Sucursal San Rafael</v>
          </cell>
          <cell r="CU156" t="str">
            <v>SUC_SRA - Sucursal San Rafael</v>
          </cell>
          <cell r="CV156" t="str">
            <v>SUC_SRA - Sucursal San Rafael</v>
          </cell>
          <cell r="CW156" t="str">
            <v>SUC_SRA - Sucursal San Rafael</v>
          </cell>
        </row>
        <row r="157">
          <cell r="D157" t="str">
            <v>CCV203</v>
          </cell>
          <cell r="E157" t="str">
            <v>Chasis</v>
          </cell>
          <cell r="F157">
            <v>0</v>
          </cell>
          <cell r="G157" t="str">
            <v>Chasis</v>
          </cell>
          <cell r="N157" t="str">
            <v>PERNIA FERNANDO RAUL</v>
          </cell>
          <cell r="O157" t="str">
            <v>PERNIA FERNANDO RAUL</v>
          </cell>
          <cell r="P157" t="str">
            <v>No</v>
          </cell>
          <cell r="Q157" t="str">
            <v>De Tercero</v>
          </cell>
          <cell r="R157" t="str">
            <v>-</v>
          </cell>
          <cell r="S157" t="str">
            <v>De Tercero</v>
          </cell>
          <cell r="T157" t="str">
            <v>MERCEDES BENZ</v>
          </cell>
          <cell r="U157" t="str">
            <v>L1620</v>
          </cell>
          <cell r="V157">
            <v>1998</v>
          </cell>
          <cell r="W157">
            <v>28</v>
          </cell>
          <cell r="X157">
            <v>1998</v>
          </cell>
          <cell r="Y157">
            <v>28</v>
          </cell>
          <cell r="Z157" t="str">
            <v>TDU</v>
          </cell>
          <cell r="AA157" t="str">
            <v>CMQ_TTE - QUILMES TTE</v>
          </cell>
          <cell r="AB157" t="str">
            <v>CMQ_TTE - QUILMES TTE</v>
          </cell>
          <cell r="AC157" t="str">
            <v>CMQ_TTE - QUILMES TTE</v>
          </cell>
          <cell r="AD157" t="str">
            <v>CMQ_TTE - QUILMES TTE</v>
          </cell>
          <cell r="AE157" t="str">
            <v>CMQ_TTE - QUILMES TTE</v>
          </cell>
          <cell r="AF157" t="str">
            <v>CMQ_TTE - QUILMES TTE</v>
          </cell>
          <cell r="AG157" t="str">
            <v>CMQ_TTE - QUILMES TTE</v>
          </cell>
          <cell r="AH157" t="str">
            <v>CMQ_TTE - QUILMES TTE</v>
          </cell>
          <cell r="AI157" t="str">
            <v>CMQ_TTE - QUILMES TTE</v>
          </cell>
          <cell r="AJ157" t="str">
            <v>CMQ_TTE - QUILMES TTE</v>
          </cell>
          <cell r="AK157" t="str">
            <v>CMQ_TTE - QUILMES TTE</v>
          </cell>
          <cell r="AL157" t="str">
            <v>CMQ_TTE - QUILMES TTE</v>
          </cell>
          <cell r="AM157" t="str">
            <v>CMQ_TTE - QUILMES TTE</v>
          </cell>
          <cell r="AN157" t="str">
            <v>CMQ_TTE - QUILMES TTE</v>
          </cell>
          <cell r="AO157" t="str">
            <v>CMQ_TTE - QUILMES TTE</v>
          </cell>
          <cell r="AP157" t="str">
            <v>CMQ_TTE - QUILMES TTE</v>
          </cell>
          <cell r="AQ157" t="str">
            <v>CMQ_TTE - QUILMES TTE</v>
          </cell>
          <cell r="AR157" t="str">
            <v>CMQ_TTE - QUILMES TTE</v>
          </cell>
          <cell r="AS157" t="str">
            <v>CMQ_TTE - QUILMES TTE</v>
          </cell>
          <cell r="AT157" t="str">
            <v>CMQ_TTE - QUILMES TTE</v>
          </cell>
          <cell r="AU157" t="str">
            <v>CMQ_TTE - QUILMES TTE</v>
          </cell>
          <cell r="AV157" t="str">
            <v>CMQ_TTE - QUILMES TTE</v>
          </cell>
          <cell r="AW157" t="str">
            <v>CMQ_TTE - QUILMES TTE</v>
          </cell>
          <cell r="AX157" t="str">
            <v>CMQ_TTE - QUILMES TTE</v>
          </cell>
          <cell r="AY157" t="str">
            <v>CMQ_TTE - QUILMES TTE</v>
          </cell>
          <cell r="AZ157" t="str">
            <v>CMQ_TTE - QUILMES TTE</v>
          </cell>
          <cell r="BA157" t="str">
            <v>CMQ_TTE - QUILMES TTE</v>
          </cell>
          <cell r="BB157" t="str">
            <v>CMQ_TTE - QUILMES TTE</v>
          </cell>
          <cell r="BC157" t="str">
            <v>CMQ_TTE - QUILMES TTE</v>
          </cell>
          <cell r="BD157" t="str">
            <v>CMQ_TTE - QUILMES TTE</v>
          </cell>
          <cell r="BE157" t="str">
            <v>CMQ_TTE - QUILMES TTE</v>
          </cell>
          <cell r="BF157" t="str">
            <v>CMQ_TTE - QUILMES TTE</v>
          </cell>
          <cell r="BG157" t="str">
            <v>CMQ_TTE - QUILMES TTE</v>
          </cell>
          <cell r="BH157" t="str">
            <v>CMQ_TTE - QUILMES TTE</v>
          </cell>
          <cell r="BI157" t="str">
            <v>CMQ_TTE - QUILMES TTE</v>
          </cell>
          <cell r="BJ157" t="str">
            <v>CMQ_TTE - QUILMES TTE</v>
          </cell>
          <cell r="BK157" t="str">
            <v>CMQ_TTE - QUILMES TTE</v>
          </cell>
          <cell r="BL157" t="str">
            <v>CMQ_TTE - QUILMES TTE</v>
          </cell>
          <cell r="BM157" t="str">
            <v>CMQ_TTE - QUILMES TTE</v>
          </cell>
          <cell r="BN157" t="str">
            <v>CMQ_TTE - QUILMES TTE</v>
          </cell>
          <cell r="BO157" t="str">
            <v>CMQ_TTE - QUILMES TTE</v>
          </cell>
          <cell r="BP157" t="str">
            <v>CMQ_TTE - QUILMES TTE</v>
          </cell>
          <cell r="BQ157" t="str">
            <v>CMQ_TTE - QUILMES TTE</v>
          </cell>
          <cell r="BR157" t="str">
            <v>CMQ_TTE - QUILMES TTE</v>
          </cell>
          <cell r="BS157" t="str">
            <v>CMQ_TTE - QUILMES TTE</v>
          </cell>
          <cell r="BT157" t="str">
            <v>CMQ_TTE - QUILMES TTE</v>
          </cell>
          <cell r="BU157" t="str">
            <v>CMQ_TTE - QUILMES TTE</v>
          </cell>
          <cell r="BV157" t="str">
            <v>CMQ_TTE - QUILMES TTE</v>
          </cell>
          <cell r="BW157" t="str">
            <v>CMQ_TTE - QUILMES TTE</v>
          </cell>
          <cell r="BX157" t="str">
            <v>CMQ_TTE - QUILMES TTE</v>
          </cell>
          <cell r="BY157" t="str">
            <v>CMQ_TTE - QUILMES TTE</v>
          </cell>
          <cell r="BZ157" t="str">
            <v>CMQ_TTE - QUILMES TTE</v>
          </cell>
          <cell r="CA157" t="str">
            <v>CMQ_TTE - QUILMES TTE</v>
          </cell>
          <cell r="CB157" t="str">
            <v>CMQ_TTE - QUILMES TTE</v>
          </cell>
          <cell r="CC157" t="str">
            <v>CMQ_TTE - QUILMES TTE</v>
          </cell>
          <cell r="CD157" t="str">
            <v>CMQ_TTE - QUILMES TTE</v>
          </cell>
          <cell r="CE157" t="str">
            <v>CMQ_TTE - QUILMES TTE</v>
          </cell>
          <cell r="CF157" t="str">
            <v>CMQ_TTE - QUILMES TTE</v>
          </cell>
          <cell r="CG157" t="str">
            <v>CMQ_TTE - QUILMES TTE</v>
          </cell>
          <cell r="CH157" t="str">
            <v>CMQ_TTE - QUILMES TTE</v>
          </cell>
          <cell r="CI157" t="str">
            <v>CMQ_TTE - QUILMES TTE</v>
          </cell>
          <cell r="CJ157" t="str">
            <v>CMQ_TTE - QUILMES TTE</v>
          </cell>
          <cell r="CK157" t="str">
            <v>CMQ_TTE - QUILMES TTE</v>
          </cell>
          <cell r="CL157" t="str">
            <v>CMQ_TTE - QUILMES TTE</v>
          </cell>
          <cell r="CM157" t="str">
            <v>CMQ_TTE - QUILMES TTE</v>
          </cell>
          <cell r="CN157" t="str">
            <v>INACTIVO</v>
          </cell>
          <cell r="CO157" t="str">
            <v>CMQ_TTE - QUILMES TTE</v>
          </cell>
          <cell r="CP157" t="str">
            <v>CMQ_TTE - QUILMES TTE</v>
          </cell>
          <cell r="CQ157" t="str">
            <v>CMQ_TTE - QUILMES TTE</v>
          </cell>
          <cell r="CR157" t="str">
            <v>CMQ_TTE - QUILMES TTE</v>
          </cell>
          <cell r="CS157" t="str">
            <v>CMQ_TTE - QUILMES TTE</v>
          </cell>
          <cell r="CT157" t="str">
            <v>CMQ_TTE - QUILMES TTE</v>
          </cell>
          <cell r="CU157" t="str">
            <v>CMQ_TTE - QUILMES TTE</v>
          </cell>
          <cell r="CV157" t="str">
            <v>CMQ_TTE - QUILMES TTE</v>
          </cell>
          <cell r="CW157" t="str">
            <v>CMQ_TTE - QUILMES TTE</v>
          </cell>
        </row>
        <row r="158">
          <cell r="D158" t="str">
            <v>CCV874</v>
          </cell>
          <cell r="E158" t="str">
            <v>Chasis</v>
          </cell>
          <cell r="F158" t="str">
            <v>Chasis</v>
          </cell>
          <cell r="G158" t="str">
            <v>Chasis</v>
          </cell>
          <cell r="N158" t="str">
            <v>CODYLSA</v>
          </cell>
          <cell r="O158" t="str">
            <v>CODYLSA</v>
          </cell>
          <cell r="P158" t="str">
            <v>No</v>
          </cell>
          <cell r="Q158" t="str">
            <v>Propio</v>
          </cell>
          <cell r="R158" t="str">
            <v>-</v>
          </cell>
          <cell r="S158" t="str">
            <v>Propio</v>
          </cell>
          <cell r="T158" t="str">
            <v>MERCEDES BENZ</v>
          </cell>
          <cell r="U158">
            <v>710</v>
          </cell>
          <cell r="V158" t="str">
            <v>374953-10394768</v>
          </cell>
          <cell r="W158" t="str">
            <v>9BM688157WB158246</v>
          </cell>
          <cell r="X158">
            <v>1998</v>
          </cell>
          <cell r="Y158">
            <v>28</v>
          </cell>
          <cell r="Z158" t="str">
            <v>Danone La Plata</v>
          </cell>
          <cell r="AA158" t="str">
            <v>ADA_LP - Danone Arg. S.A. - LP</v>
          </cell>
          <cell r="AB158" t="str">
            <v>ADA_LP - Danone Arg. S.A. - LP</v>
          </cell>
          <cell r="AC158" t="str">
            <v>ADA_LP - Danone Arg. S.A. - LP</v>
          </cell>
          <cell r="AD158" t="str">
            <v>ADA_LP - Danone Arg. S.A. - LP</v>
          </cell>
          <cell r="AE158" t="str">
            <v>ADA_LP - Danone Arg. S.A. - LP</v>
          </cell>
          <cell r="AF158" t="str">
            <v>ADA_LP - Danone Arg. S.A. - LP</v>
          </cell>
          <cell r="AG158" t="str">
            <v>ADA_LP - Danone Arg. S.A. - LP</v>
          </cell>
          <cell r="AH158" t="str">
            <v>ADA_LP - Danone Arg. S.A. - LP</v>
          </cell>
          <cell r="AI158" t="str">
            <v>ADA_LP - Danone Arg. S.A. - LP</v>
          </cell>
          <cell r="AJ158" t="str">
            <v>ADA_LP - Danone Arg. S.A. - LP</v>
          </cell>
          <cell r="AK158" t="str">
            <v>ADA_LP - Danone Arg. S.A. - LP</v>
          </cell>
          <cell r="AL158" t="str">
            <v>ADA_LP - Danone Arg. S.A. - LP</v>
          </cell>
          <cell r="AM158" t="str">
            <v>ADA_LP - Danone Arg. S.A. - LP</v>
          </cell>
          <cell r="AN158" t="str">
            <v>ADA_LP - Danone Arg. S.A. - LP</v>
          </cell>
          <cell r="AO158" t="str">
            <v>ADA_LP - Danone Arg. S.A. - LP</v>
          </cell>
          <cell r="AP158" t="str">
            <v>ADA_LP - Danone Arg. S.A. - LP</v>
          </cell>
          <cell r="AQ158" t="str">
            <v>ADA_LP - Danone Arg. S.A. - LP</v>
          </cell>
          <cell r="AR158" t="str">
            <v>ADA_LP - Danone Arg. S.A. - LP</v>
          </cell>
          <cell r="AS158" t="str">
            <v>ADA_LP - Danone Arg. S.A. - LP</v>
          </cell>
          <cell r="AT158" t="str">
            <v>ADA_LP - Danone Arg. S.A. - LP</v>
          </cell>
          <cell r="AU158" t="str">
            <v>ADA_LP - Danone Arg. S.A. - LP</v>
          </cell>
          <cell r="AV158" t="str">
            <v>ADA_LP - Danone Arg. S.A. - LP</v>
          </cell>
          <cell r="AW158" t="str">
            <v>ADA_LP - Danone Arg. S.A. - LP</v>
          </cell>
          <cell r="AX158" t="str">
            <v>ADA_LP - Danone Arg. S.A. - LP</v>
          </cell>
          <cell r="AY158" t="str">
            <v>ADA_LP - Danone Arg. S.A. - LP</v>
          </cell>
          <cell r="AZ158" t="str">
            <v>ADA_LP - Danone Arg. S.A. - LP</v>
          </cell>
          <cell r="BA158" t="str">
            <v>ADA_LP - Danone Arg. S.A. - LP</v>
          </cell>
          <cell r="BB158" t="str">
            <v>ADA_LP - Danone Arg. S.A. - LP</v>
          </cell>
          <cell r="BC158" t="str">
            <v>ADA_LP - Danone Arg. S.A. - LP</v>
          </cell>
          <cell r="BD158" t="str">
            <v>ADA_LP - Danone Arg. S.A. - LP</v>
          </cell>
          <cell r="BE158" t="str">
            <v>ADA_LP - Danone Arg. S.A. - LP</v>
          </cell>
          <cell r="BF158" t="str">
            <v>ADA_LP - Danone Arg. S.A. - LP</v>
          </cell>
          <cell r="BG158" t="str">
            <v>ADA_LP - Danone Arg. S.A. - LP</v>
          </cell>
          <cell r="BH158" t="str">
            <v>ADA_LP - Danone Arg. S.A. - LP</v>
          </cell>
          <cell r="BI158" t="str">
            <v>ADA_LP - Danone Arg. S.A. - LP</v>
          </cell>
          <cell r="BJ158" t="str">
            <v>ADA_LP - Danone Arg. S.A. - LP</v>
          </cell>
          <cell r="BK158" t="str">
            <v>ADA_LP - Danone Arg. S.A. - LP</v>
          </cell>
          <cell r="BL158" t="str">
            <v>ADA_LP - Danone Arg. S.A. - LP</v>
          </cell>
          <cell r="BM158" t="str">
            <v>ADA_LP - Danone Arg. S.A. - LP</v>
          </cell>
          <cell r="BN158" t="str">
            <v>ADA_LP - Danone Arg. S.A. - LP</v>
          </cell>
          <cell r="BO158" t="str">
            <v>ADA_LP - Danone Arg. S.A. - LP</v>
          </cell>
          <cell r="BP158" t="str">
            <v>ADA_LP - Danone Arg. S.A. - LP</v>
          </cell>
          <cell r="BQ158" t="str">
            <v>ADA_LP - Danone Arg. S.A. - LP</v>
          </cell>
          <cell r="BR158" t="str">
            <v>ADA_LP - Danone Arg. S.A. - LP</v>
          </cell>
          <cell r="BS158" t="str">
            <v>ADA_LP - Danone Arg. S.A. - LP</v>
          </cell>
          <cell r="BT158" t="str">
            <v>ADA_LP - Danone Arg. S.A. - LP</v>
          </cell>
          <cell r="BU158" t="str">
            <v>CCUCoAZA</v>
          </cell>
          <cell r="BV158" t="str">
            <v>CCUCoAZA</v>
          </cell>
          <cell r="BW158" t="str">
            <v>CCUCoAZA</v>
          </cell>
          <cell r="BX158" t="str">
            <v>CCUCoAZA</v>
          </cell>
          <cell r="BY158" t="str">
            <v>Unilever - Unilever de Arg. S.A.</v>
          </cell>
          <cell r="BZ158" t="str">
            <v>Unilever - Unilever de Arg. S.A.</v>
          </cell>
          <cell r="CA158" t="str">
            <v>INACTIVO</v>
          </cell>
          <cell r="CB158" t="str">
            <v>INACTIVO</v>
          </cell>
          <cell r="CC158" t="str">
            <v>INACTIVO</v>
          </cell>
          <cell r="CD158" t="str">
            <v>INACTIVO</v>
          </cell>
          <cell r="CE158" t="str">
            <v>INACTIVO</v>
          </cell>
          <cell r="CF158" t="str">
            <v>INACTIVO</v>
          </cell>
          <cell r="CG158" t="str">
            <v>INACTIVO</v>
          </cell>
          <cell r="CH158" t="str">
            <v>BAJA</v>
          </cell>
          <cell r="CI158" t="str">
            <v>BAJA</v>
          </cell>
          <cell r="CJ158" t="str">
            <v>BAJA</v>
          </cell>
          <cell r="CK158" t="str">
            <v>BAJA</v>
          </cell>
          <cell r="CL158" t="str">
            <v>BAJA</v>
          </cell>
          <cell r="CM158" t="str">
            <v>BAJA</v>
          </cell>
          <cell r="CN158" t="str">
            <v>BAJA</v>
          </cell>
          <cell r="CO158" t="str">
            <v>BAJA</v>
          </cell>
          <cell r="CP158" t="str">
            <v>BAJA</v>
          </cell>
          <cell r="CQ158" t="str">
            <v>BAJA</v>
          </cell>
          <cell r="CR158" t="str">
            <v>BAJA</v>
          </cell>
          <cell r="CS158" t="str">
            <v>BAJA</v>
          </cell>
          <cell r="CT158" t="str">
            <v>BAJA</v>
          </cell>
          <cell r="CU158" t="str">
            <v>BAJA</v>
          </cell>
          <cell r="CV158" t="str">
            <v>BAJA</v>
          </cell>
          <cell r="CW158" t="str">
            <v>BAJA</v>
          </cell>
        </row>
        <row r="159">
          <cell r="D159" t="str">
            <v>CEM260</v>
          </cell>
          <cell r="E159" t="str">
            <v>Tractor</v>
          </cell>
          <cell r="F159">
            <v>0</v>
          </cell>
          <cell r="G159" t="str">
            <v>Tractor</v>
          </cell>
          <cell r="N159" t="str">
            <v>Aballay Claudio Javier</v>
          </cell>
          <cell r="O159" t="str">
            <v>Aballay Claudio Javier</v>
          </cell>
          <cell r="P159" t="str">
            <v>No</v>
          </cell>
          <cell r="Q159" t="str">
            <v>De Tercero</v>
          </cell>
          <cell r="R159" t="str">
            <v>-</v>
          </cell>
          <cell r="S159" t="str">
            <v>De Tercero</v>
          </cell>
          <cell r="T159" t="str">
            <v>IVECO</v>
          </cell>
          <cell r="U159" t="str">
            <v>130E23T</v>
          </cell>
          <cell r="V159">
            <v>1998</v>
          </cell>
          <cell r="W159">
            <v>28</v>
          </cell>
          <cell r="X159">
            <v>1998</v>
          </cell>
          <cell r="Y159">
            <v>28</v>
          </cell>
          <cell r="Z159" t="str">
            <v>Jumbo Mendoza</v>
          </cell>
          <cell r="AA159" t="str">
            <v>CENCO_MZ - Cencosud SA - Mendoza</v>
          </cell>
          <cell r="AB159" t="str">
            <v>CENCO_MZ - Cencosud SA - Mendoza</v>
          </cell>
          <cell r="AC159" t="str">
            <v>CENCO_MZ - Cencosud SA - Mendoza</v>
          </cell>
          <cell r="AD159" t="str">
            <v>CENCO_MZ - Cencosud SA - Mendoza</v>
          </cell>
          <cell r="AE159" t="str">
            <v>CENCO_MZ - Cencosud SA - Mendoza</v>
          </cell>
          <cell r="AF159" t="str">
            <v>CENCO_MZ - Cencosud SA - Mendoza</v>
          </cell>
          <cell r="AG159" t="str">
            <v>CENCO_MZ - Cencosud SA - Mendoza</v>
          </cell>
          <cell r="AH159" t="str">
            <v>CENCO_MZ - Cencosud SA - Mendoza</v>
          </cell>
          <cell r="AI159" t="str">
            <v>CENCO_MZ - Cencosud SA - Mendoza</v>
          </cell>
          <cell r="AJ159" t="str">
            <v>CENCO_MZ - Cencosud SA - Mendoza</v>
          </cell>
          <cell r="AK159" t="str">
            <v>CENCO_MZ - Cencosud SA - Mendoza</v>
          </cell>
          <cell r="AL159" t="str">
            <v>CENCO_MZ - Cencosud SA - Mendoza</v>
          </cell>
          <cell r="AM159" t="str">
            <v>CENCO_MZ - Cencosud SA - Mendoza</v>
          </cell>
          <cell r="AN159" t="str">
            <v>CENCO_MZ - Cencosud SA - Mendoza</v>
          </cell>
          <cell r="AO159" t="str">
            <v>CENCO_MZ - Cencosud SA - Mendoza</v>
          </cell>
          <cell r="AP159" t="str">
            <v>CENCO_MZ - Cencosud SA - Mendoza</v>
          </cell>
          <cell r="AQ159" t="str">
            <v>CENCO_MZ - Cencosud SA - Mendoza</v>
          </cell>
          <cell r="AR159" t="str">
            <v>CENCO_MZ - Cencosud SA - Mendoza</v>
          </cell>
          <cell r="AS159" t="str">
            <v>CENCO_MZ - Cencosud SA - Mendoza</v>
          </cell>
          <cell r="AT159" t="str">
            <v>CENCO_MZ - Cencosud SA - Mendoza</v>
          </cell>
          <cell r="AU159" t="str">
            <v>CENCO_MZ - Cencosud SA - Mendoza</v>
          </cell>
          <cell r="AV159" t="str">
            <v>CENCO_MZ - Cencosud SA - Mendoza</v>
          </cell>
          <cell r="AW159" t="str">
            <v>CENCO_MZ - Cencosud SA - Mendoza</v>
          </cell>
          <cell r="AX159" t="str">
            <v>INACTIVO</v>
          </cell>
          <cell r="AY159" t="str">
            <v>INACTIVO</v>
          </cell>
          <cell r="AZ159" t="str">
            <v>INACTIVO</v>
          </cell>
          <cell r="BA159" t="str">
            <v>INACTIVO</v>
          </cell>
          <cell r="BB159" t="str">
            <v>INACTIVO</v>
          </cell>
          <cell r="BC159" t="str">
            <v>INACTIVO</v>
          </cell>
          <cell r="BD159" t="str">
            <v>INACTIVO</v>
          </cell>
          <cell r="BE159" t="str">
            <v>INACTIVO</v>
          </cell>
          <cell r="BF159" t="str">
            <v>INACTIVO</v>
          </cell>
          <cell r="BG159" t="str">
            <v>INACTIVO</v>
          </cell>
          <cell r="BH159" t="str">
            <v>INACTIVO</v>
          </cell>
          <cell r="BI159" t="str">
            <v>INACTIVO</v>
          </cell>
          <cell r="BJ159" t="str">
            <v>INACTIVO</v>
          </cell>
          <cell r="BK159" t="str">
            <v>INACTIVO</v>
          </cell>
          <cell r="BL159" t="str">
            <v>INACTIVO</v>
          </cell>
          <cell r="BM159" t="str">
            <v>INACTIVO</v>
          </cell>
          <cell r="BN159" t="str">
            <v>INACTIVO</v>
          </cell>
          <cell r="BO159" t="str">
            <v>INACTIVO</v>
          </cell>
          <cell r="BP159" t="str">
            <v>INACTIVO</v>
          </cell>
          <cell r="BQ159" t="str">
            <v>INACTIVO</v>
          </cell>
          <cell r="BR159" t="str">
            <v>INACTIVO</v>
          </cell>
          <cell r="BS159" t="str">
            <v>INACTIVO</v>
          </cell>
          <cell r="BT159" t="str">
            <v>INACTIVO</v>
          </cell>
          <cell r="BU159" t="str">
            <v>INACTIVO</v>
          </cell>
          <cell r="BV159" t="str">
            <v>INACTIVO</v>
          </cell>
          <cell r="BW159" t="str">
            <v>INACTIVO</v>
          </cell>
          <cell r="BX159" t="str">
            <v>INACTIVO</v>
          </cell>
          <cell r="BY159" t="str">
            <v>INACTIVO</v>
          </cell>
          <cell r="BZ159" t="str">
            <v>INACTIVO</v>
          </cell>
          <cell r="CA159" t="str">
            <v>INACTIVO</v>
          </cell>
          <cell r="CB159" t="str">
            <v>INACTIVO</v>
          </cell>
          <cell r="CC159" t="str">
            <v>BAJA</v>
          </cell>
          <cell r="CD159" t="str">
            <v>BAJA</v>
          </cell>
          <cell r="CE159" t="str">
            <v>BAJA</v>
          </cell>
          <cell r="CF159" t="str">
            <v>BAJA</v>
          </cell>
          <cell r="CG159" t="str">
            <v>BAJA</v>
          </cell>
          <cell r="CH159" t="str">
            <v>BAJA</v>
          </cell>
          <cell r="CI159" t="str">
            <v>BAJA</v>
          </cell>
          <cell r="CJ159" t="str">
            <v>BAJA</v>
          </cell>
          <cell r="CK159" t="str">
            <v>BAJA</v>
          </cell>
          <cell r="CL159" t="str">
            <v>BAJA</v>
          </cell>
          <cell r="CM159" t="str">
            <v>BAJA</v>
          </cell>
          <cell r="CN159" t="str">
            <v>BAJA</v>
          </cell>
          <cell r="CO159" t="str">
            <v>BAJA</v>
          </cell>
          <cell r="CP159" t="str">
            <v>BAJA</v>
          </cell>
          <cell r="CQ159" t="str">
            <v>BAJA</v>
          </cell>
          <cell r="CR159" t="str">
            <v>BAJA</v>
          </cell>
          <cell r="CS159" t="str">
            <v>BAJA</v>
          </cell>
          <cell r="CT159" t="str">
            <v>BAJA</v>
          </cell>
          <cell r="CU159" t="str">
            <v>BAJA</v>
          </cell>
          <cell r="CV159" t="str">
            <v>BAJA</v>
          </cell>
          <cell r="CW159" t="str">
            <v>BAJA</v>
          </cell>
        </row>
        <row r="160">
          <cell r="D160" t="str">
            <v>CKQ823</v>
          </cell>
          <cell r="E160" t="str">
            <v>CHASIS</v>
          </cell>
          <cell r="F160" t="str">
            <v>CHASIS</v>
          </cell>
          <cell r="G160" t="str">
            <v>CHASIS</v>
          </cell>
          <cell r="N160" t="str">
            <v>LOMBARDO DARIO</v>
          </cell>
          <cell r="O160" t="str">
            <v>LOMBARDO DARIO</v>
          </cell>
          <cell r="P160" t="str">
            <v>No</v>
          </cell>
          <cell r="Q160" t="str">
            <v>De Tercero</v>
          </cell>
          <cell r="R160" t="str">
            <v>-</v>
          </cell>
          <cell r="S160" t="str">
            <v>De Tercero</v>
          </cell>
          <cell r="CK160" t="str">
            <v>INACTIVO</v>
          </cell>
          <cell r="CL160" t="str">
            <v>INACTIVO</v>
          </cell>
          <cell r="CM160" t="str">
            <v>INACTIVO</v>
          </cell>
          <cell r="CN160" t="str">
            <v>INACTIVO</v>
          </cell>
          <cell r="CO160" t="str">
            <v>CMQ_TTE - QUILMES TTE</v>
          </cell>
          <cell r="CP160" t="str">
            <v>CMQ_TTE - QUILMES TTE</v>
          </cell>
          <cell r="CQ160" t="str">
            <v>CMQ_TTE - QUILMES TTE</v>
          </cell>
          <cell r="CR160" t="str">
            <v>CMQ_TTE - QUILMES TTE</v>
          </cell>
          <cell r="CS160" t="str">
            <v>CMQ_TTE - QUILMES TTE</v>
          </cell>
          <cell r="CT160" t="str">
            <v>CMQ_TTE - QUILMES TTE</v>
          </cell>
          <cell r="CU160" t="str">
            <v>CMQ_TTE - QUILMES TTE</v>
          </cell>
          <cell r="CV160" t="str">
            <v>CMQ_TTE - QUILMES TTE</v>
          </cell>
          <cell r="CW160" t="str">
            <v>CMQ_TTE - QUILMES TTE</v>
          </cell>
        </row>
        <row r="161">
          <cell r="D161" t="str">
            <v>CVF922</v>
          </cell>
          <cell r="E161" t="str">
            <v>Chasis</v>
          </cell>
          <cell r="F161" t="str">
            <v>Chasis</v>
          </cell>
          <cell r="G161" t="str">
            <v>Chasis</v>
          </cell>
          <cell r="N161" t="str">
            <v>CODYLSA</v>
          </cell>
          <cell r="O161" t="str">
            <v>CODYLSA</v>
          </cell>
          <cell r="P161" t="str">
            <v>No</v>
          </cell>
          <cell r="Q161" t="str">
            <v>Propio</v>
          </cell>
          <cell r="R161">
            <v>8</v>
          </cell>
          <cell r="S161" t="str">
            <v>Propio</v>
          </cell>
          <cell r="T161" t="str">
            <v>MERCEDES BENZ</v>
          </cell>
          <cell r="U161">
            <v>712</v>
          </cell>
          <cell r="V161">
            <v>904918438046</v>
          </cell>
          <cell r="W161" t="str">
            <v>9BM688255XB202695</v>
          </cell>
          <cell r="X161">
            <v>1999</v>
          </cell>
          <cell r="Y161">
            <v>27</v>
          </cell>
          <cell r="Z161" t="str">
            <v>Danone La Plata</v>
          </cell>
          <cell r="AA161" t="str">
            <v>ADA_LP - Danone Arg. S.A. - LP</v>
          </cell>
          <cell r="AB161" t="str">
            <v>ADA_LP - Danone Arg. S.A. - LP</v>
          </cell>
          <cell r="AC161" t="str">
            <v>ADA_LP - Danone Arg. S.A. - LP</v>
          </cell>
          <cell r="AD161" t="str">
            <v>ADA_LP - Danone Arg. S.A. - LP</v>
          </cell>
          <cell r="AE161" t="str">
            <v>ADA_LP - Danone Arg. S.A. - LP</v>
          </cell>
          <cell r="AF161" t="str">
            <v>ADA_LP - Danone Arg. S.A. - LP</v>
          </cell>
          <cell r="AG161" t="str">
            <v>ADA_LP - Danone Arg. S.A. - LP</v>
          </cell>
          <cell r="AH161" t="str">
            <v>ADA_LP - Danone Arg. S.A. - LP</v>
          </cell>
          <cell r="AI161" t="str">
            <v>ADA_LP - Danone Arg. S.A. - LP</v>
          </cell>
          <cell r="AJ161" t="str">
            <v>ADA_LP - Danone Arg. S.A. - LP</v>
          </cell>
          <cell r="AK161" t="str">
            <v>ADA_LP - Danone Arg. S.A. - LP</v>
          </cell>
          <cell r="AL161" t="str">
            <v>ADA_LP - Danone Arg. S.A. - LP</v>
          </cell>
          <cell r="AM161" t="str">
            <v>INACTIVO</v>
          </cell>
          <cell r="AN161" t="str">
            <v>ADA_LP - Danone Arg. S.A. - LP</v>
          </cell>
          <cell r="AO161" t="str">
            <v>ADA_LP - Danone Arg. S.A. - LP</v>
          </cell>
          <cell r="AP161" t="str">
            <v>ADA_LP - Danone Arg. S.A. - LP</v>
          </cell>
          <cell r="AQ161" t="str">
            <v>ADA_LP - Danone Arg. S.A. - LP</v>
          </cell>
          <cell r="AR161" t="str">
            <v>ADA_LP - Danone Arg. S.A. - LP</v>
          </cell>
          <cell r="AS161" t="str">
            <v>ADA_LP - Danone Arg. S.A. - LP</v>
          </cell>
          <cell r="AT161" t="str">
            <v>ADA_LP - Danone Arg. S.A. - LP</v>
          </cell>
          <cell r="AU161" t="str">
            <v>ADA_LP - Danone Arg. S.A. - LP</v>
          </cell>
          <cell r="AV161" t="str">
            <v>ADA_LP - Danone Arg. S.A. - LP</v>
          </cell>
          <cell r="AW161" t="str">
            <v>ADA_LP - Danone Arg. S.A. - LP</v>
          </cell>
          <cell r="AX161" t="str">
            <v>ADA_LP - Danone Arg. S.A. - LP</v>
          </cell>
          <cell r="AY161" t="str">
            <v>ADA_LP - Danone Arg. S.A. - LP</v>
          </cell>
          <cell r="AZ161" t="str">
            <v>ADA_LP - Danone Arg. S.A. - LP</v>
          </cell>
          <cell r="BA161" t="str">
            <v>ADA_LP - Danone Arg. S.A. - LP</v>
          </cell>
          <cell r="BB161" t="str">
            <v>ADA_LP - Danone Arg. S.A. - LP</v>
          </cell>
          <cell r="BC161" t="str">
            <v>ADA_LP - Danone Arg. S.A. - LP</v>
          </cell>
          <cell r="BD161" t="str">
            <v>ADA_LP - Danone Arg. S.A. - LP</v>
          </cell>
          <cell r="BE161" t="str">
            <v>ADA_LP - Danone Arg. S.A. - LP</v>
          </cell>
          <cell r="BF161" t="str">
            <v>ADA_LP - Danone Arg. S.A. - LP</v>
          </cell>
          <cell r="BG161" t="str">
            <v>ADA_LP - Danone Arg. S.A. - LP</v>
          </cell>
          <cell r="BH161" t="str">
            <v>ADA_LP - Danone Arg. S.A. - LP</v>
          </cell>
          <cell r="BI161" t="str">
            <v>ADA_LP - Danone Arg. S.A. - LP</v>
          </cell>
          <cell r="BJ161" t="str">
            <v>ADA_LP - Danone Arg. S.A. - LP</v>
          </cell>
          <cell r="BK161" t="str">
            <v>ADA_LP - Danone Arg. S.A. - LP</v>
          </cell>
          <cell r="BL161" t="str">
            <v>ADA_LP - Danone Arg. S.A. - LP</v>
          </cell>
          <cell r="BM161" t="str">
            <v>ADA_LP - Danone Arg. S.A. - LP</v>
          </cell>
          <cell r="BN161" t="str">
            <v>ADA_LP - Danone Arg. S.A. - LP</v>
          </cell>
          <cell r="BO161" t="str">
            <v>ADA_LP - Danone Arg. S.A. - LP</v>
          </cell>
          <cell r="BP161" t="str">
            <v>ADA_LP - Danone Arg. S.A. - LP</v>
          </cell>
          <cell r="BQ161" t="str">
            <v>Sin Operación</v>
          </cell>
          <cell r="BR161" t="str">
            <v>SUC_REA - Sucursal Realicó</v>
          </cell>
          <cell r="BS161" t="str">
            <v>SUC_REA - Sucursal Realicó</v>
          </cell>
          <cell r="BT161" t="str">
            <v>SUC_REA - Sucursal Realicó</v>
          </cell>
          <cell r="BU161" t="str">
            <v>SUC_REA - Sucursal Realicó</v>
          </cell>
          <cell r="BV161" t="str">
            <v>SUC_REA - Sucursal Realicó</v>
          </cell>
          <cell r="BW161" t="str">
            <v>SUC_REA - Sucursal Realicó</v>
          </cell>
          <cell r="BX161" t="str">
            <v>SUC_REA - Sucursal Realicó</v>
          </cell>
          <cell r="BY161" t="str">
            <v>SUC_REA - Sucursal Realicó</v>
          </cell>
          <cell r="BZ161" t="str">
            <v>SUC_REA - Sucursal Realicó</v>
          </cell>
          <cell r="CA161" t="str">
            <v>SUC_REA - Sucursal Realicó</v>
          </cell>
          <cell r="CB161" t="str">
            <v>SUC_REA - Sucursal Realicó</v>
          </cell>
          <cell r="CC161" t="str">
            <v>SUC_REA - Sucursal Realicó</v>
          </cell>
          <cell r="CD161" t="str">
            <v>SUC_REA - Sucursal Realicó</v>
          </cell>
          <cell r="CE161" t="str">
            <v>SUC_REA - Sucursal Realicó</v>
          </cell>
          <cell r="CF161" t="str">
            <v>SUC_REA - Sucursal Realicó</v>
          </cell>
          <cell r="CG161" t="str">
            <v>SUC_REA - Sucursal Realicó</v>
          </cell>
          <cell r="CH161" t="str">
            <v>SUC_REA - Sucursal Realicó</v>
          </cell>
          <cell r="CI161" t="str">
            <v>SUC_REA - Sucursal Realicó</v>
          </cell>
          <cell r="CJ161" t="str">
            <v>SUC_REA - Sucursal Realicó</v>
          </cell>
          <cell r="CK161" t="str">
            <v>SUC_REA - Sucursal Realicó</v>
          </cell>
          <cell r="CL161" t="str">
            <v>SUC_REA - Sucursal Realicó</v>
          </cell>
          <cell r="CM161" t="str">
            <v>SUC_REA - Sucursal Realicó</v>
          </cell>
          <cell r="CN161" t="str">
            <v>SUC_REA - Sucursal Realicó</v>
          </cell>
          <cell r="CO161" t="str">
            <v>SUC_REA - Sucursal Realicó</v>
          </cell>
          <cell r="CP161" t="str">
            <v>SUC_REA - Sucursal Realicó</v>
          </cell>
          <cell r="CQ161" t="str">
            <v>SUC_REA - Sucursal Realicó</v>
          </cell>
          <cell r="CR161" t="str">
            <v>SUC_REA - Sucursal Realicó</v>
          </cell>
          <cell r="CS161" t="str">
            <v>SUC_REA - Sucursal Realicó</v>
          </cell>
          <cell r="CT161" t="str">
            <v>SUC_REA - Sucursal Realicó</v>
          </cell>
          <cell r="CU161" t="str">
            <v>SUC_REA - Sucursal Realicó</v>
          </cell>
          <cell r="CV161" t="str">
            <v>SUC_REA - Sucursal Realicó</v>
          </cell>
          <cell r="CW161" t="str">
            <v>SUC_REA - Sucursal Realicó</v>
          </cell>
        </row>
        <row r="162">
          <cell r="D162" t="str">
            <v>CVF923</v>
          </cell>
          <cell r="E162" t="str">
            <v>Chasis</v>
          </cell>
          <cell r="F162" t="str">
            <v>Chasis</v>
          </cell>
          <cell r="G162" t="str">
            <v>Chasis</v>
          </cell>
          <cell r="N162" t="str">
            <v>CODYLSA</v>
          </cell>
          <cell r="O162" t="str">
            <v>CODYLSA</v>
          </cell>
          <cell r="P162" t="str">
            <v>No</v>
          </cell>
          <cell r="Q162" t="str">
            <v>Propio</v>
          </cell>
          <cell r="R162">
            <v>8</v>
          </cell>
          <cell r="S162" t="str">
            <v>Propio</v>
          </cell>
          <cell r="T162" t="str">
            <v>MERCEDES BENZ</v>
          </cell>
          <cell r="U162">
            <v>712</v>
          </cell>
          <cell r="V162" t="str">
            <v>RPA344974</v>
          </cell>
          <cell r="W162" t="str">
            <v>9BM688255XB202542</v>
          </cell>
          <cell r="X162">
            <v>1999</v>
          </cell>
          <cell r="Y162">
            <v>27</v>
          </cell>
          <cell r="Z162" t="str">
            <v>Danone La Plata</v>
          </cell>
          <cell r="AA162" t="str">
            <v>ADA_LP - Danone Arg. S.A. - LP</v>
          </cell>
          <cell r="AB162" t="str">
            <v>ADA_LP - Danone Arg. S.A. - LP</v>
          </cell>
          <cell r="AC162" t="str">
            <v>ADA_LP - Danone Arg. S.A. - LP</v>
          </cell>
          <cell r="AD162" t="str">
            <v>ADA_LP - Danone Arg. S.A. - LP</v>
          </cell>
          <cell r="AE162" t="str">
            <v>ADA_LP - Danone Arg. S.A. - LP</v>
          </cell>
          <cell r="AF162" t="str">
            <v>ADA_LP - Danone Arg. S.A. - LP</v>
          </cell>
          <cell r="AG162" t="str">
            <v>ADA_LP - Danone Arg. S.A. - LP</v>
          </cell>
          <cell r="AH162" t="str">
            <v>ADA_LP - Danone Arg. S.A. - LP</v>
          </cell>
          <cell r="AI162" t="str">
            <v>ADA_LP - Danone Arg. S.A. - LP</v>
          </cell>
          <cell r="AJ162" t="str">
            <v>ADA_LP - Danone Arg. S.A. - LP</v>
          </cell>
          <cell r="AK162" t="str">
            <v>ADA_LP - Danone Arg. S.A. - LP</v>
          </cell>
          <cell r="AL162" t="str">
            <v>INACTIVO</v>
          </cell>
          <cell r="AM162" t="str">
            <v>INACTIVO</v>
          </cell>
          <cell r="AN162" t="str">
            <v>INACTIVO</v>
          </cell>
          <cell r="AO162" t="str">
            <v>INACTIVO</v>
          </cell>
          <cell r="AP162" t="str">
            <v>ADA_Mino - Danone Arg. S.A. - Mino</v>
          </cell>
          <cell r="AQ162" t="str">
            <v>ADA_Mino - Danone Arg. S.A. - Mino</v>
          </cell>
          <cell r="AR162" t="str">
            <v>ADA_Mino - Danone Arg. S.A. - Mino</v>
          </cell>
          <cell r="AS162" t="str">
            <v>ADA_Mino - Danone Arg. S.A. - Mino</v>
          </cell>
          <cell r="AT162" t="str">
            <v>ADA_Mino - Danone Arg. S.A. - Mino</v>
          </cell>
          <cell r="AU162" t="str">
            <v>ADA_Mino - Danone Arg. S.A. - Mino</v>
          </cell>
          <cell r="AV162" t="str">
            <v>ADA_SMK - Danone Arg. S.A. - SMK</v>
          </cell>
          <cell r="AW162" t="str">
            <v>ADA_SMK - Danone Arg. S.A. - SMK</v>
          </cell>
          <cell r="AX162" t="str">
            <v>ADA_SMK - Danone Arg. S.A. - SMK</v>
          </cell>
          <cell r="AY162" t="str">
            <v>ADA_SMK - Danone Arg. S.A. - SMK</v>
          </cell>
          <cell r="AZ162" t="str">
            <v>ADA_SMK - Danone Arg. S.A. - SMK</v>
          </cell>
          <cell r="BA162" t="str">
            <v>ADA_SMK - Danone Arg. S.A. - SMK</v>
          </cell>
          <cell r="BB162" t="str">
            <v>ADA_SMK - Danone Arg. S.A. - SMK</v>
          </cell>
          <cell r="BC162" t="str">
            <v>ADA_SMK - Danone Arg. S.A. - SMK</v>
          </cell>
          <cell r="BD162" t="str">
            <v>ADA_SMK - Danone Arg. S.A. - SMK</v>
          </cell>
          <cell r="BE162" t="str">
            <v>JOHNSON - SC JOHNSON DE ARGENTINA SAIC</v>
          </cell>
          <cell r="BF162" t="str">
            <v>JOHNSON - SC JOHNSON DE ARGENTINA SAIC</v>
          </cell>
          <cell r="BG162" t="str">
            <v>JOHNSON - SC JOHNSON DE ARGENTINA SAIC</v>
          </cell>
          <cell r="BH162" t="str">
            <v>JOHNSON - SC JOHNSON DE ARGENTINA SAIC</v>
          </cell>
          <cell r="BI162" t="str">
            <v>JOHNSON - SC JOHNSON DE ARGENTINA SAIC</v>
          </cell>
          <cell r="BJ162" t="str">
            <v>JOHNSON - SC JOHNSON DE ARGENTINA SAIC</v>
          </cell>
          <cell r="BK162" t="str">
            <v>JOHNSON - SC JOHNSON DE ARGENTINA SAIC</v>
          </cell>
          <cell r="BL162" t="str">
            <v>JOHNSON - SC JOHNSON DE ARGENTINA SAIC</v>
          </cell>
          <cell r="BM162" t="str">
            <v>JOHNSON - SC JOHNSON DE ARGENTINA SAIC</v>
          </cell>
          <cell r="BN162" t="str">
            <v>JOHNSON - SC JOHNSON DE ARGENTINA SAIC</v>
          </cell>
          <cell r="BO162" t="str">
            <v>JOHNSON - SC JOHNSON DE ARGENTINA SAIC</v>
          </cell>
          <cell r="BP162" t="str">
            <v>JOHNSON - SC JOHNSON DE ARGENTINA SAIC</v>
          </cell>
          <cell r="BQ162" t="str">
            <v>Unilever - Unilever de Arg. S.A.</v>
          </cell>
          <cell r="BR162" t="str">
            <v>Unilever - Unilever de Arg. S.A.</v>
          </cell>
          <cell r="BS162" t="str">
            <v>Unilever - Unilever de Arg. S.A.</v>
          </cell>
          <cell r="BT162" t="str">
            <v>Unilever - Unilever de Arg. S.A.</v>
          </cell>
          <cell r="BU162" t="str">
            <v>Unilever - Unilever de Arg. S.A.</v>
          </cell>
          <cell r="BV162" t="str">
            <v>Unilever - Unilever de Arg. S.A.</v>
          </cell>
          <cell r="BW162" t="str">
            <v>Unilever - Unilever de Arg. S.A.</v>
          </cell>
          <cell r="BX162" t="str">
            <v>Unilever - Unilever de Arg. S.A.</v>
          </cell>
          <cell r="BY162" t="str">
            <v>Unilever - Unilever de Arg. S.A.</v>
          </cell>
          <cell r="BZ162" t="str">
            <v>Unilever - Unilever de Arg. S.A.</v>
          </cell>
          <cell r="CA162" t="str">
            <v>Unilever - Unilever de Arg. S.A.</v>
          </cell>
          <cell r="CB162" t="str">
            <v>Unilever - Unilever de Arg. S.A.</v>
          </cell>
          <cell r="CC162" t="str">
            <v>Unilever - Unilever de Arg. S.A.</v>
          </cell>
          <cell r="CD162" t="str">
            <v>Unilever - Unilever de Arg. S.A.</v>
          </cell>
          <cell r="CE162" t="str">
            <v>JOHNSON - SC JOHNSON DE ARGENTINA SAIC</v>
          </cell>
          <cell r="CF162" t="str">
            <v>JOHNSON - SC JOHNSON DE ARGENTINA SAIC</v>
          </cell>
          <cell r="CG162" t="str">
            <v>JOHNSON - SC JOHNSON DE ARGENTINA SAIC</v>
          </cell>
          <cell r="CH162" t="str">
            <v>LOGIS</v>
          </cell>
          <cell r="CI162" t="str">
            <v>LOGIS</v>
          </cell>
          <cell r="CJ162" t="str">
            <v>JOHNSON - SC JOHNSON DE ARGENTINA SAIC</v>
          </cell>
          <cell r="CK162" t="str">
            <v>JOHNSON - SC JOHNSON DE ARGENTINA SAIC</v>
          </cell>
          <cell r="CL162" t="str">
            <v>JOHNSON - SC JOHNSON DE ARGENTINA SAIC</v>
          </cell>
          <cell r="CM162" t="str">
            <v>JOHNSON - SC JOHNSON DE ARGENTINA SAIC</v>
          </cell>
          <cell r="CN162" t="str">
            <v>JOHNSON - SC JOHNSON DE ARGENTINA SAIC</v>
          </cell>
          <cell r="CO162" t="str">
            <v>JOHNSON - SC JOHNSON DE ARGENTINA SAIC</v>
          </cell>
          <cell r="CP162" t="str">
            <v>JOHNSON - SC JOHNSON DE ARGENTINA SAIC</v>
          </cell>
          <cell r="CQ162" t="str">
            <v>JOHNSON - SC JOHNSON DE ARGENTINA SAIC</v>
          </cell>
          <cell r="CR162" t="str">
            <v>JOHNSON - SC JOHNSON DE ARGENTINA SAIC</v>
          </cell>
          <cell r="CS162" t="str">
            <v>JOHNSON - SC JOHNSON DE ARGENTINA SAIC</v>
          </cell>
          <cell r="CT162" t="str">
            <v>JOHNSON - SC JOHNSON DE ARGENTINA SAIC</v>
          </cell>
          <cell r="CU162" t="str">
            <v>JOHNSON - SC JOHNSON DE ARGENTINA SAIC</v>
          </cell>
          <cell r="CV162" t="str">
            <v>JOHNSON - SC JOHNSON DE ARGENTINA SAIC</v>
          </cell>
          <cell r="CW162" t="str">
            <v>JOHNSON - SC JOHNSON DE ARGENTINA SAIC</v>
          </cell>
        </row>
        <row r="163">
          <cell r="D163" t="str">
            <v>DCC976</v>
          </cell>
          <cell r="E163" t="str">
            <v>Chasis</v>
          </cell>
          <cell r="F163">
            <v>0</v>
          </cell>
          <cell r="G163" t="str">
            <v>Chasis</v>
          </cell>
          <cell r="N163" t="str">
            <v>CABA ALBERTO ANTONIO</v>
          </cell>
          <cell r="O163" t="str">
            <v>CABA ALBERTO ANTONIO</v>
          </cell>
          <cell r="P163" t="str">
            <v>No</v>
          </cell>
          <cell r="Q163" t="str">
            <v>De Tercero</v>
          </cell>
          <cell r="R163" t="str">
            <v>-</v>
          </cell>
          <cell r="S163" t="str">
            <v>De Tercero</v>
          </cell>
          <cell r="T163" t="str">
            <v>MERCEDES BENZ</v>
          </cell>
          <cell r="U163" t="str">
            <v>L 1218 R</v>
          </cell>
          <cell r="V163">
            <v>2000</v>
          </cell>
          <cell r="W163">
            <v>26</v>
          </cell>
          <cell r="X163">
            <v>2000</v>
          </cell>
          <cell r="Y163">
            <v>26</v>
          </cell>
          <cell r="Z163" t="str">
            <v xml:space="preserve">Aguanort </v>
          </cell>
          <cell r="AA163" t="str">
            <v>AGN_TTE - AGUANORT - Transporte</v>
          </cell>
          <cell r="AB163" t="str">
            <v>AGN_TTE - AGUANORT - Transporte</v>
          </cell>
          <cell r="AC163" t="str">
            <v>AGN_TTE - AGUANORT - Transporte</v>
          </cell>
          <cell r="AD163" t="str">
            <v>AGN_TTE - AGUANORT - Transporte</v>
          </cell>
          <cell r="AE163" t="str">
            <v>AGN_TTE - AGUANORT - Transporte</v>
          </cell>
          <cell r="AF163" t="str">
            <v>AGN_TTE - AGUANORT - Transporte</v>
          </cell>
          <cell r="AG163" t="str">
            <v>AGN_TTE - AGUANORT - Transporte</v>
          </cell>
          <cell r="AH163" t="str">
            <v>AGN_TTE - AGUANORT - Transporte</v>
          </cell>
          <cell r="AI163" t="str">
            <v>AGN_TTE - AGUANORT - Transporte</v>
          </cell>
          <cell r="AJ163" t="str">
            <v>AGN_TTE - AGUANORT - Transporte</v>
          </cell>
          <cell r="AK163" t="str">
            <v>AGN_TTE - AGUANORT - Transporte</v>
          </cell>
          <cell r="AL163" t="str">
            <v>AGN_TTE - AGUANORT - Transporte</v>
          </cell>
          <cell r="AM163" t="str">
            <v>AGN_TTE - AGUANORT - Transporte</v>
          </cell>
          <cell r="AN163" t="str">
            <v>AGN_TTE - AGUANORT - Transporte</v>
          </cell>
          <cell r="AO163" t="str">
            <v>AGN_TTE - AGUANORT - Transporte</v>
          </cell>
          <cell r="AP163" t="str">
            <v>AGN_TTE - AGUANORT - Transporte</v>
          </cell>
          <cell r="AQ163" t="str">
            <v>AGN_TTE - AGUANORT - Transporte</v>
          </cell>
          <cell r="AR163" t="str">
            <v>AGN_TTE - AGUANORT - Transporte</v>
          </cell>
          <cell r="AS163" t="str">
            <v>AGN_TTE - AGUANORT - Transporte</v>
          </cell>
          <cell r="AT163" t="str">
            <v>AGN_TTE - AGUANORT - Transporte</v>
          </cell>
          <cell r="AU163" t="str">
            <v>AGN_TTE - AGUANORT - Transporte</v>
          </cell>
          <cell r="AV163" t="str">
            <v>AGN_TTE - AGUANORT - Transporte</v>
          </cell>
          <cell r="AW163" t="str">
            <v>AGN_TTE - AGUANORT - Transporte</v>
          </cell>
          <cell r="AX163" t="str">
            <v>AGN_TTE - AGUANORT - Transporte</v>
          </cell>
          <cell r="AY163" t="str">
            <v>AGN_TTE - AGUANORT - Transporte</v>
          </cell>
          <cell r="AZ163" t="str">
            <v>AGN_TTE - AGUANORT - Transporte</v>
          </cell>
          <cell r="BA163" t="str">
            <v>AGN_TTE - AGUANORT - Transporte</v>
          </cell>
          <cell r="BB163" t="str">
            <v>AGN_TTE - AGUANORT - Transporte</v>
          </cell>
          <cell r="BC163" t="str">
            <v>AGN_TTE - AGUANORT - Transporte</v>
          </cell>
          <cell r="BD163" t="str">
            <v>AGN_TTE - AGUANORT - Transporte</v>
          </cell>
          <cell r="BE163" t="str">
            <v>AGN_TTE - AGUANORT - Transporte</v>
          </cell>
          <cell r="BF163" t="str">
            <v>AGN_TTE - AGUANORT - Transporte</v>
          </cell>
          <cell r="BG163" t="str">
            <v>AGN_TTE - AGUANORT - Transporte</v>
          </cell>
          <cell r="BH163" t="str">
            <v>AGN_TTE - AGUANORT - Transporte</v>
          </cell>
          <cell r="BI163" t="str">
            <v>AGN_TTE - AGUANORT - Transporte</v>
          </cell>
          <cell r="BJ163" t="str">
            <v>AGN_TTE - AGUANORT - Transporte</v>
          </cell>
          <cell r="BK163" t="str">
            <v>AGN_TTE - AGUANORT - Transporte</v>
          </cell>
          <cell r="BL163" t="str">
            <v>AGN_TTE - AGUANORT - Transporte</v>
          </cell>
          <cell r="BM163" t="str">
            <v>AGN_TTE - AGUANORT - Transporte</v>
          </cell>
          <cell r="BN163" t="str">
            <v>AGN_TTE - AGUANORT - Transporte</v>
          </cell>
          <cell r="BO163" t="str">
            <v>AGN_TTE - AGUANORT - Transporte</v>
          </cell>
          <cell r="BP163" t="str">
            <v>AGN_TTE - AGUANORT - Transporte</v>
          </cell>
          <cell r="BQ163" t="str">
            <v>AGN_TTE - AGUANORT - Transporte</v>
          </cell>
          <cell r="BR163" t="str">
            <v>AGN_TTE - AGUANORT - Transporte</v>
          </cell>
          <cell r="BS163" t="str">
            <v>AGN_TTE - AGUANORT - Transporte</v>
          </cell>
          <cell r="BT163" t="str">
            <v>AGN_TTE - AGUANORT - Transporte</v>
          </cell>
          <cell r="BU163" t="str">
            <v>Sin Operación</v>
          </cell>
          <cell r="BV163" t="str">
            <v>AGN_TTE - AGUANORT - Transporte</v>
          </cell>
          <cell r="BW163" t="str">
            <v>AGN_TTE - AGUANORT - Transporte</v>
          </cell>
          <cell r="BX163" t="str">
            <v>AGN_TTE - AGUANORT - Transporte</v>
          </cell>
          <cell r="BY163" t="str">
            <v>AGN_TTE - AGUANORT - Transporte</v>
          </cell>
          <cell r="BZ163" t="str">
            <v>AGN_TTE - AGUANORT - Transporte</v>
          </cell>
          <cell r="CA163" t="str">
            <v>AGN_TTE - AGUANORT - Transporte</v>
          </cell>
          <cell r="CB163" t="str">
            <v>AGN_TTE - AGUANORT - Transporte</v>
          </cell>
          <cell r="CC163" t="str">
            <v>AGN_TTE - AGUANORT - Transporte</v>
          </cell>
          <cell r="CD163" t="str">
            <v>AGN_TTE - AGUANORT - Transporte</v>
          </cell>
          <cell r="CE163" t="str">
            <v>AGN_TTE - AGUANORT - Transporte</v>
          </cell>
          <cell r="CF163" t="str">
            <v>AGN_TTE - AGUANORT - Transporte</v>
          </cell>
          <cell r="CG163" t="str">
            <v>AGN_TTE - AGUANORT - Transporte</v>
          </cell>
          <cell r="CH163" t="str">
            <v>AGN_TTE - AGUANORT - Transporte</v>
          </cell>
          <cell r="CI163" t="str">
            <v>AGN_TTE - AGUANORT - Transporte</v>
          </cell>
          <cell r="CJ163" t="str">
            <v>AGN_TTE - AGUANORT - Transporte</v>
          </cell>
          <cell r="CK163" t="str">
            <v>AGN_TTE - AGUANORT - Transporte</v>
          </cell>
          <cell r="CL163" t="str">
            <v>AGN_TTE - AGUANORT - Transporte</v>
          </cell>
          <cell r="CM163" t="str">
            <v>AGN_TTE - AGUANORT - Transporte</v>
          </cell>
          <cell r="CN163" t="str">
            <v>AGN_TTE - AGUANORT - Transporte</v>
          </cell>
          <cell r="CO163" t="str">
            <v>AGN_TTE - AGUANORT - Transporte</v>
          </cell>
          <cell r="CP163" t="str">
            <v>AGN_TTE - AGUANORT - Transporte</v>
          </cell>
          <cell r="CQ163" t="str">
            <v>AGN_TTE - AGUANORT - Transporte</v>
          </cell>
          <cell r="CR163" t="str">
            <v>AGN_TTE - AGUANORT - Transporte</v>
          </cell>
          <cell r="CS163" t="str">
            <v>AGN_TTE - AGUANORT - Transporte</v>
          </cell>
          <cell r="CT163" t="str">
            <v>AGN_TTE - AGUANORT - Transporte</v>
          </cell>
          <cell r="CU163" t="str">
            <v>AGN_TTE - AGUANORT - Transporte</v>
          </cell>
          <cell r="CV163" t="str">
            <v>AGN_TTE - AGUANORT - Transporte</v>
          </cell>
          <cell r="CW163" t="str">
            <v>AGN_TTE - AGUANORT - Transporte</v>
          </cell>
        </row>
        <row r="164">
          <cell r="D164" t="str">
            <v>DLW395</v>
          </cell>
          <cell r="E164" t="str">
            <v>Chasis</v>
          </cell>
          <cell r="F164" t="str">
            <v>Chasis</v>
          </cell>
          <cell r="G164" t="str">
            <v>Chasis</v>
          </cell>
          <cell r="N164" t="str">
            <v>CODYLSA</v>
          </cell>
          <cell r="O164" t="str">
            <v>CODYLSA</v>
          </cell>
          <cell r="P164" t="str">
            <v>No</v>
          </cell>
          <cell r="Q164" t="str">
            <v>Propio</v>
          </cell>
          <cell r="R164">
            <v>14</v>
          </cell>
          <cell r="S164" t="str">
            <v>Propio</v>
          </cell>
          <cell r="T164" t="str">
            <v>MERCEDES BENZ</v>
          </cell>
          <cell r="U164">
            <v>1215</v>
          </cell>
          <cell r="V164">
            <v>904925456774</v>
          </cell>
          <cell r="W164" t="str">
            <v>9BM693028YB221889</v>
          </cell>
          <cell r="X164">
            <v>2000</v>
          </cell>
          <cell r="Y164">
            <v>26</v>
          </cell>
          <cell r="Z164" t="str">
            <v>Morixe</v>
          </cell>
          <cell r="AA164" t="str">
            <v>MORIXE - MORIXE HERMANOS SACEI</v>
          </cell>
          <cell r="AB164" t="str">
            <v>MORIXE - MORIXE HERMANOS SACEI</v>
          </cell>
          <cell r="AC164" t="str">
            <v>ADA_Mino - Danone Arg. S.A. - Mino</v>
          </cell>
          <cell r="AD164" t="str">
            <v>ADA_LP - Danone Arg. S.A. - LP</v>
          </cell>
          <cell r="AE164" t="str">
            <v>ADA_LP - Danone Arg. S.A. - LP</v>
          </cell>
          <cell r="AF164" t="str">
            <v>ADA_LP - Danone Arg. S.A. - LP</v>
          </cell>
          <cell r="AG164" t="str">
            <v>ADA_LP - Danone Arg. S.A. - LP</v>
          </cell>
          <cell r="AH164" t="str">
            <v>ADA_LP - Danone Arg. S.A. - LP</v>
          </cell>
          <cell r="AI164" t="str">
            <v>ADA_LP - Danone Arg. S.A. - LP</v>
          </cell>
          <cell r="AJ164" t="str">
            <v>ADA_LP - Danone Arg. S.A. - LP</v>
          </cell>
          <cell r="AK164" t="str">
            <v>JOHNSON - SC JOHNSON DE ARGENTINA SAIC</v>
          </cell>
          <cell r="AL164" t="str">
            <v>JOHNSON - SC JOHNSON DE ARGENTINA SAIC</v>
          </cell>
          <cell r="AM164" t="str">
            <v>JOHNSON - SC JOHNSON DE ARGENTINA SAIC</v>
          </cell>
          <cell r="AN164" t="str">
            <v>JOHNSON - SC JOHNSON DE ARGENTINA SAIC</v>
          </cell>
          <cell r="AO164" t="str">
            <v>JOHNSON - SC JOHNSON DE ARGENTINA SAIC</v>
          </cell>
          <cell r="AP164" t="str">
            <v>JOHNSON - SC JOHNSON DE ARGENTINA SAIC</v>
          </cell>
          <cell r="AQ164" t="str">
            <v>JOHNSON - SC JOHNSON DE ARGENTINA SAIC</v>
          </cell>
          <cell r="AR164" t="str">
            <v>JOHNSON - SC JOHNSON DE ARGENTINA SAIC</v>
          </cell>
          <cell r="AS164" t="str">
            <v>JOHNSON - SC JOHNSON DE ARGENTINA SAIC</v>
          </cell>
          <cell r="AT164" t="str">
            <v>JOHNSON - SC JOHNSON DE ARGENTINA SAIC</v>
          </cell>
          <cell r="AU164" t="str">
            <v>JOHNSON - SC JOHNSON DE ARGENTINA SAIC</v>
          </cell>
          <cell r="AV164" t="str">
            <v>JOHNSON - SC JOHNSON DE ARGENTINA SAIC</v>
          </cell>
          <cell r="AW164" t="str">
            <v>JOHNSON - SC JOHNSON DE ARGENTINA SAIC</v>
          </cell>
          <cell r="AX164" t="str">
            <v>Llorente - J. Llorente y Cía. S.A.</v>
          </cell>
          <cell r="AY164" t="str">
            <v>Llorente - J. Llorente y Cía. S.A.</v>
          </cell>
          <cell r="AZ164" t="str">
            <v>Llorente - J. Llorente y Cía. S.A.</v>
          </cell>
          <cell r="BA164" t="str">
            <v>Llorente - J. Llorente y Cía. S.A.</v>
          </cell>
          <cell r="BB164" t="str">
            <v>Llorente - J. Llorente y Cía. S.A.</v>
          </cell>
          <cell r="BC164" t="str">
            <v>Llorente - J. Llorente y Cía. S.A.</v>
          </cell>
          <cell r="BD164" t="str">
            <v>Llorente - J. Llorente y Cía. S.A.</v>
          </cell>
          <cell r="BE164" t="str">
            <v>Llorente - J. Llorente y Cía. S.A.</v>
          </cell>
          <cell r="BF164" t="str">
            <v>Unilever - Unilever de Arg. S.A.</v>
          </cell>
          <cell r="BG164" t="str">
            <v>Unilever - Unilever de Arg. S.A.</v>
          </cell>
          <cell r="BH164" t="str">
            <v>Unilever - Unilever de Arg. S.A.</v>
          </cell>
          <cell r="BI164" t="str">
            <v>Unilever - Unilever de Arg. S.A.</v>
          </cell>
          <cell r="BJ164" t="str">
            <v>Unilever - Unilever de Arg. S.A.</v>
          </cell>
          <cell r="BK164" t="str">
            <v>Unilever - Unilever de Arg. S.A.</v>
          </cell>
          <cell r="BL164" t="str">
            <v>Unilever - Unilever de Arg. S.A.</v>
          </cell>
          <cell r="BM164" t="str">
            <v>Unilever - Unilever de Arg. S.A.</v>
          </cell>
          <cell r="BN164" t="str">
            <v>Unilever - Unilever de Arg. S.A.</v>
          </cell>
          <cell r="BO164" t="str">
            <v>Unilever - Unilever de Arg. S.A.</v>
          </cell>
          <cell r="BP164" t="str">
            <v>Unilever - Unilever de Arg. S.A.</v>
          </cell>
          <cell r="BQ164" t="str">
            <v>Unilever - Unilever de Arg. S.A.</v>
          </cell>
          <cell r="BR164" t="str">
            <v>Unilever - Unilever de Arg. S.A.</v>
          </cell>
          <cell r="BS164" t="str">
            <v>JOHNSON - SC JOHNSON DE ARGENTINA SAIC</v>
          </cell>
          <cell r="BT164" t="str">
            <v>JOHNSON - SC JOHNSON DE ARGENTINA SAIC</v>
          </cell>
          <cell r="BU164" t="str">
            <v>JOHNSON - SC JOHNSON DE ARGENTINA SAIC</v>
          </cell>
          <cell r="BV164" t="str">
            <v>JOHNSON - SC JOHNSON DE ARGENTINA SAIC</v>
          </cell>
          <cell r="BW164" t="str">
            <v>JOHNSON - SC JOHNSON DE ARGENTINA SAIC</v>
          </cell>
          <cell r="BX164" t="str">
            <v>JOHNSON - SC JOHNSON DE ARGENTINA SAIC</v>
          </cell>
          <cell r="BY164" t="str">
            <v>JOHNSON - SC JOHNSON DE ARGENTINA SAIC</v>
          </cell>
          <cell r="BZ164" t="str">
            <v>Unilever - Unilever de Arg. S.A.</v>
          </cell>
          <cell r="CA164" t="str">
            <v>Unilever - Unilever de Arg. S.A.</v>
          </cell>
          <cell r="CB164" t="str">
            <v>Unilever - Unilever de Arg. S.A.</v>
          </cell>
          <cell r="CC164" t="str">
            <v>Unilever - Unilever de Arg. S.A.</v>
          </cell>
          <cell r="CD164" t="str">
            <v>Unilever - Unilever de Arg. S.A.</v>
          </cell>
          <cell r="CE164" t="str">
            <v>JOHNSON - SC JOHNSON DE ARGENTINA SAIC</v>
          </cell>
          <cell r="CF164" t="str">
            <v>JOHNSON - SC JOHNSON DE ARGENTINA SAIC</v>
          </cell>
          <cell r="CG164" t="str">
            <v>JOHNSON - SC JOHNSON DE ARGENTINA SAIC</v>
          </cell>
          <cell r="CH164" t="str">
            <v>LOGIS</v>
          </cell>
          <cell r="CI164" t="str">
            <v>LOGIS</v>
          </cell>
          <cell r="CJ164" t="str">
            <v>Unilever - Unilever de Arg. S.A.</v>
          </cell>
          <cell r="CK164" t="str">
            <v>Unilever - Unilever de Arg. S.A.</v>
          </cell>
          <cell r="CL164" t="str">
            <v>Unilever - Unilever de Arg. S.A.</v>
          </cell>
          <cell r="CM164" t="str">
            <v>Unilever - Unilever de Arg. S.A.</v>
          </cell>
          <cell r="CN164" t="str">
            <v>JOHNSON - SC JOHNSON DE ARGENTINA SAIC</v>
          </cell>
          <cell r="CO164" t="str">
            <v>JOHNSON - SC JOHNSON DE ARGENTINA SAIC</v>
          </cell>
          <cell r="CP164" t="str">
            <v>JOHNSON - SC JOHNSON DE ARGENTINA SAIC</v>
          </cell>
          <cell r="CQ164" t="str">
            <v>JOHNSON - SC JOHNSON DE ARGENTINA SAIC</v>
          </cell>
          <cell r="CR164" t="str">
            <v>JOHNSON - SC JOHNSON DE ARGENTINA SAIC</v>
          </cell>
          <cell r="CS164" t="str">
            <v>JOHNSON - SC JOHNSON DE ARGENTINA SAIC</v>
          </cell>
          <cell r="CT164" t="str">
            <v>JOHNSON - SC JOHNSON DE ARGENTINA SAIC</v>
          </cell>
          <cell r="CU164" t="str">
            <v>JOHNSON - SC JOHNSON DE ARGENTINA SAIC</v>
          </cell>
          <cell r="CV164" t="str">
            <v>JOHNSON - SC JOHNSON DE ARGENTINA SAIC</v>
          </cell>
          <cell r="CW164" t="str">
            <v>JOHNSON - SC JOHNSON DE ARGENTINA SAIC</v>
          </cell>
        </row>
        <row r="165">
          <cell r="D165" t="str">
            <v>DTU738</v>
          </cell>
          <cell r="E165" t="str">
            <v>Camioneta</v>
          </cell>
          <cell r="F165" t="str">
            <v>Camioneta</v>
          </cell>
          <cell r="G165" t="str">
            <v>Camioneta</v>
          </cell>
          <cell r="N165" t="str">
            <v>CODYLSA</v>
          </cell>
          <cell r="O165" t="str">
            <v>CODYLSA</v>
          </cell>
          <cell r="P165" t="str">
            <v>No</v>
          </cell>
          <cell r="Q165" t="str">
            <v>Propio</v>
          </cell>
          <cell r="R165" t="str">
            <v>-</v>
          </cell>
          <cell r="S165" t="str">
            <v>Propio</v>
          </cell>
          <cell r="T165" t="str">
            <v>TOYOTA</v>
          </cell>
          <cell r="U165" t="str">
            <v>HILUX</v>
          </cell>
          <cell r="V165" t="str">
            <v>5L-5121428</v>
          </cell>
          <cell r="W165" t="str">
            <v>8AJ33LNL029101086</v>
          </cell>
          <cell r="X165">
            <v>2001</v>
          </cell>
          <cell r="Y165">
            <v>25</v>
          </cell>
          <cell r="Z165" t="str">
            <v>Gs_FPR</v>
          </cell>
          <cell r="AA165" t="str">
            <v>Gs_Estru - Gastos de Estructura</v>
          </cell>
          <cell r="AB165" t="str">
            <v>Gs_Estru - Gastos de Estructura</v>
          </cell>
          <cell r="AC165" t="str">
            <v>Gs_Estru - Gastos de Estructura</v>
          </cell>
          <cell r="AD165" t="str">
            <v>Gs_Estru - Gastos de Estructura</v>
          </cell>
          <cell r="AE165" t="str">
            <v>Gs_Estru - Gastos de Estructura</v>
          </cell>
          <cell r="AF165" t="str">
            <v>Gs_Estru - Gastos de Estructura</v>
          </cell>
          <cell r="AG165" t="str">
            <v>Gs_Estru - Gastos de Estructura</v>
          </cell>
          <cell r="AH165" t="str">
            <v>Gs_Estru - Gastos de Estructura</v>
          </cell>
          <cell r="AI165" t="str">
            <v>Gs_Estru - Gastos de Estructura</v>
          </cell>
          <cell r="AJ165" t="str">
            <v>Gs_Estru - Gastos de Estructura</v>
          </cell>
          <cell r="AK165" t="str">
            <v>Gs_Estru - Gastos de Estructura</v>
          </cell>
          <cell r="AL165" t="str">
            <v>Gs_Estru - Gastos de Estructura</v>
          </cell>
          <cell r="AM165" t="str">
            <v>Gs_Estru - Gastos de Estructura</v>
          </cell>
          <cell r="AN165" t="str">
            <v>Gs_Estru - Gastos de Estructura</v>
          </cell>
          <cell r="AO165" t="str">
            <v>Gs_Estru - Gastos de Estructura</v>
          </cell>
          <cell r="AP165" t="str">
            <v>Gs_Estru - Gastos de Estructura</v>
          </cell>
          <cell r="AQ165" t="str">
            <v>Gs_Estru - Gastos de Estructura</v>
          </cell>
          <cell r="AR165" t="str">
            <v>Gs_Estru - Gastos de Estructura</v>
          </cell>
          <cell r="AS165" t="str">
            <v>Gs_Estru - Gastos de Estructura</v>
          </cell>
          <cell r="AT165" t="str">
            <v>Gs_Estru - Gastos de Estructura</v>
          </cell>
          <cell r="AU165" t="str">
            <v>Gs_Estru - Gastos de Estructura</v>
          </cell>
          <cell r="AV165" t="str">
            <v>Gs_Estru - Gastos de Estructura</v>
          </cell>
          <cell r="AW165" t="str">
            <v>Gs_Estru - Gastos de Estructura</v>
          </cell>
          <cell r="AX165" t="str">
            <v>Gs_Estru - Gastos de Estructura</v>
          </cell>
          <cell r="AY165" t="str">
            <v>Gs_Estru - Gastos de Estructura</v>
          </cell>
          <cell r="AZ165" t="str">
            <v>Gs_Estru - Gastos de Estructura</v>
          </cell>
          <cell r="BA165" t="str">
            <v>Gs_Estru - Gastos de Estructura</v>
          </cell>
          <cell r="BB165" t="str">
            <v>Gs_Estru - Gastos de Estructura</v>
          </cell>
          <cell r="BC165" t="str">
            <v>Gs_Estru - Gastos de Estructura</v>
          </cell>
          <cell r="BD165" t="str">
            <v>Gs_Estru - Gastos de Estructura</v>
          </cell>
          <cell r="BE165" t="str">
            <v>Gs_Estru - Gastos de Estructura</v>
          </cell>
          <cell r="BF165" t="str">
            <v>Gs_Estru - Gastos de Estructura</v>
          </cell>
          <cell r="BG165" t="str">
            <v>Gs_Estru - Gastos de Estructura</v>
          </cell>
          <cell r="BH165" t="str">
            <v>Gs_Estru - Gastos de Estructura</v>
          </cell>
          <cell r="BI165" t="str">
            <v>Gs_Estru - Gastos de Estructura</v>
          </cell>
          <cell r="BJ165" t="str">
            <v>Gs_Estru - Gastos de Estructura</v>
          </cell>
          <cell r="BK165" t="str">
            <v>Gs_Estru - Gastos de Estructura</v>
          </cell>
          <cell r="BL165" t="str">
            <v>Gs_Estru - Gastos de Estructura</v>
          </cell>
          <cell r="BM165" t="str">
            <v>Gs_Estru - Gastos de Estructura</v>
          </cell>
          <cell r="BN165" t="str">
            <v>Gs_Estru - Gastos de Estructura</v>
          </cell>
          <cell r="BO165" t="str">
            <v>Gs_Estru - Gastos de Estructura</v>
          </cell>
          <cell r="BP165" t="str">
            <v>Gs_Estru - Gastos de Estructura</v>
          </cell>
          <cell r="BQ165" t="str">
            <v>Gs_Estru - Gastos de Estructura</v>
          </cell>
          <cell r="BR165" t="str">
            <v>Gs_Estru - Gastos de Estructura</v>
          </cell>
          <cell r="BS165" t="str">
            <v>Gs_Estru - Gastos de Estructura</v>
          </cell>
          <cell r="BT165" t="str">
            <v>Gs_Estru - Gastos de Estructura</v>
          </cell>
          <cell r="BU165" t="str">
            <v>Gs_Estru - Gastos de Estructura</v>
          </cell>
          <cell r="BV165" t="str">
            <v>Gs_Estru - Gastos de Estructura</v>
          </cell>
          <cell r="BW165" t="str">
            <v>Gs_Estru - Gastos de Estructura</v>
          </cell>
          <cell r="BX165" t="str">
            <v>Gs_Estru - Gastos de Estructura</v>
          </cell>
          <cell r="BY165" t="str">
            <v>Gs_Estru - Gastos de Estructura</v>
          </cell>
          <cell r="BZ165" t="str">
            <v>Gs_Estru - Gastos de Estructura</v>
          </cell>
          <cell r="CA165" t="str">
            <v>Gs_Estru - Gastos de Estructura</v>
          </cell>
          <cell r="CB165" t="str">
            <v>Gs_Estru - Gastos de Estructura</v>
          </cell>
          <cell r="CC165" t="str">
            <v>Gs_Estru - Gastos de Estructura</v>
          </cell>
          <cell r="CD165" t="str">
            <v>Gs_Estru - Gastos de Estructura</v>
          </cell>
          <cell r="CE165" t="str">
            <v>Gs_Estru - Gastos de Estructura</v>
          </cell>
          <cell r="CF165" t="str">
            <v>Gs_Estru - Gastos de Estructura</v>
          </cell>
          <cell r="CG165" t="str">
            <v>Gs_Estru - Gastos de Estructura</v>
          </cell>
          <cell r="CH165" t="str">
            <v>Gs_Estru - Gastos de Estructura</v>
          </cell>
          <cell r="CI165" t="str">
            <v>Gs_Estru - Gastos de Estructura</v>
          </cell>
          <cell r="CJ165" t="str">
            <v>Gs_Estru - Gastos de Estructura</v>
          </cell>
          <cell r="CK165" t="str">
            <v>Gs_Estru - Gastos de Estructura</v>
          </cell>
          <cell r="CL165" t="str">
            <v>Gs_Estru - Gastos de Estructura</v>
          </cell>
          <cell r="CM165" t="str">
            <v>Gs_Estru - Gastos de Estructura</v>
          </cell>
          <cell r="CN165" t="str">
            <v>CIMSA_BS AS</v>
          </cell>
          <cell r="CO165" t="str">
            <v>CIMSA_BS AS</v>
          </cell>
          <cell r="CP165" t="str">
            <v>CIMSA_BS AS</v>
          </cell>
          <cell r="CQ165" t="str">
            <v>CIMSA_BS AS</v>
          </cell>
          <cell r="CR165" t="str">
            <v>CIMSA_BS AS</v>
          </cell>
          <cell r="CS165" t="str">
            <v>CIMSA_BS AS</v>
          </cell>
          <cell r="CT165" t="str">
            <v>CIMSA_BS AS</v>
          </cell>
          <cell r="CU165" t="str">
            <v>CIMSA_BS AS</v>
          </cell>
          <cell r="CV165" t="str">
            <v>CIMSA_BS AS</v>
          </cell>
          <cell r="CW165" t="str">
            <v>CIMSA_BS AS</v>
          </cell>
        </row>
        <row r="166">
          <cell r="D166" t="str">
            <v>EDC509</v>
          </cell>
          <cell r="E166" t="str">
            <v>Chasis</v>
          </cell>
          <cell r="F166">
            <v>0</v>
          </cell>
          <cell r="G166" t="str">
            <v>Chasis</v>
          </cell>
          <cell r="N166" t="str">
            <v>CABA ALBERTO ANTONIO</v>
          </cell>
          <cell r="O166" t="str">
            <v>CABA ALBERTO ANTONIO</v>
          </cell>
          <cell r="P166" t="str">
            <v>No</v>
          </cell>
          <cell r="Q166" t="str">
            <v>De Tercero</v>
          </cell>
          <cell r="R166" t="str">
            <v>-</v>
          </cell>
          <cell r="S166" t="str">
            <v>De Tercero</v>
          </cell>
          <cell r="T166" t="str">
            <v>VOLKSWAGEN</v>
          </cell>
          <cell r="U166">
            <v>17220</v>
          </cell>
          <cell r="V166">
            <v>2003</v>
          </cell>
          <cell r="W166">
            <v>23</v>
          </cell>
          <cell r="X166">
            <v>2003</v>
          </cell>
          <cell r="Y166">
            <v>23</v>
          </cell>
          <cell r="Z166" t="str">
            <v xml:space="preserve">Aguanort </v>
          </cell>
          <cell r="AA166" t="str">
            <v>AGN_TTE - AGUANORT - Transporte</v>
          </cell>
          <cell r="AB166" t="str">
            <v>AGN_TTE - AGUANORT - Transporte</v>
          </cell>
          <cell r="AC166" t="str">
            <v>AGN_TTE - AGUANORT - Transporte</v>
          </cell>
          <cell r="AD166" t="str">
            <v>AGN_TTE - AGUANORT - Transporte</v>
          </cell>
          <cell r="AE166" t="str">
            <v>AGN_TTE - AGUANORT - Transporte</v>
          </cell>
          <cell r="AF166" t="str">
            <v>AGN_TTE - AGUANORT - Transporte</v>
          </cell>
          <cell r="AG166" t="str">
            <v>AGN_TTE - AGUANORT - Transporte</v>
          </cell>
          <cell r="AH166" t="str">
            <v>AGN_TTE - AGUANORT - Transporte</v>
          </cell>
          <cell r="AI166" t="str">
            <v>AGN_TTE - AGUANORT - Transporte</v>
          </cell>
          <cell r="AJ166" t="str">
            <v>AGN_TTE - AGUANORT - Transporte</v>
          </cell>
          <cell r="AK166" t="str">
            <v>AGN_TTE - AGUANORT - Transporte</v>
          </cell>
          <cell r="AL166" t="str">
            <v>AGN_TTE - AGUANORT - Transporte</v>
          </cell>
          <cell r="AM166" t="str">
            <v>AGN_TTE - AGUANORT - Transporte</v>
          </cell>
          <cell r="AN166" t="str">
            <v>AGN_TTE - AGUANORT - Transporte</v>
          </cell>
          <cell r="AO166" t="str">
            <v>AGN_TTE - AGUANORT - Transporte</v>
          </cell>
          <cell r="AP166" t="str">
            <v>AGN_TTE - AGUANORT - Transporte</v>
          </cell>
          <cell r="AQ166" t="str">
            <v>AGN_TTE - AGUANORT - Transporte</v>
          </cell>
          <cell r="AR166" t="str">
            <v>AGN_TTE - AGUANORT - Transporte</v>
          </cell>
          <cell r="AS166" t="str">
            <v>AGN_TTE - AGUANORT - Transporte</v>
          </cell>
          <cell r="AT166" t="str">
            <v>AGN_TTE - AGUANORT - Transporte</v>
          </cell>
          <cell r="AU166" t="str">
            <v>AGN_TTE - AGUANORT - Transporte</v>
          </cell>
          <cell r="AV166" t="str">
            <v>AGN_TTE - AGUANORT - Transporte</v>
          </cell>
          <cell r="AW166" t="str">
            <v>AGN_TTE - AGUANORT - Transporte</v>
          </cell>
          <cell r="AX166" t="str">
            <v>AGN_TTE - AGUANORT - Transporte</v>
          </cell>
          <cell r="AY166" t="str">
            <v>AGN_TTE - AGUANORT - Transporte</v>
          </cell>
          <cell r="AZ166" t="str">
            <v>AGN_TTE - AGUANORT - Transporte</v>
          </cell>
          <cell r="BA166" t="str">
            <v>AGN_TTE - AGUANORT - Transporte</v>
          </cell>
          <cell r="BB166" t="str">
            <v>AGN_TTE - AGUANORT - Transporte</v>
          </cell>
          <cell r="BC166" t="str">
            <v>AGN_TTE - AGUANORT - Transporte</v>
          </cell>
          <cell r="BD166" t="str">
            <v>AGN_TTE - AGUANORT - Transporte</v>
          </cell>
          <cell r="BE166" t="str">
            <v>AGN_TTE - AGUANORT - Transporte</v>
          </cell>
          <cell r="BF166" t="str">
            <v>AGN_TTE - AGUANORT - Transporte</v>
          </cell>
          <cell r="BG166" t="str">
            <v>AGN_TTE - AGUANORT - Transporte</v>
          </cell>
          <cell r="BH166" t="str">
            <v>AGN_TTE - AGUANORT - Transporte</v>
          </cell>
          <cell r="BI166" t="str">
            <v>AGN_TTE - AGUANORT - Transporte</v>
          </cell>
          <cell r="BJ166" t="str">
            <v>AGN_TTE - AGUANORT - Transporte</v>
          </cell>
          <cell r="BK166" t="str">
            <v>AGN_TTE - AGUANORT - Transporte</v>
          </cell>
          <cell r="BL166" t="str">
            <v>AGN_TTE - AGUANORT - Transporte</v>
          </cell>
          <cell r="BM166" t="str">
            <v>AGN_TTE - AGUANORT - Transporte</v>
          </cell>
          <cell r="BN166" t="str">
            <v>AGN_TTE - AGUANORT - Transporte</v>
          </cell>
          <cell r="BO166" t="str">
            <v>AGN_TTE - AGUANORT - Transporte</v>
          </cell>
          <cell r="BP166" t="str">
            <v>AGN_TTE - AGUANORT - Transporte</v>
          </cell>
          <cell r="BQ166" t="str">
            <v>AGN_TTE - AGUANORT - Transporte</v>
          </cell>
          <cell r="BR166" t="str">
            <v>AGN_TTE - AGUANORT - Transporte</v>
          </cell>
          <cell r="BS166" t="str">
            <v>AGN_TTE - AGUANORT - Transporte</v>
          </cell>
          <cell r="BT166" t="str">
            <v>AGN_TTE - AGUANORT - Transporte</v>
          </cell>
          <cell r="BU166" t="str">
            <v>Sin Operación</v>
          </cell>
          <cell r="BV166" t="str">
            <v>AGN_TTE - AGUANORT - Transporte</v>
          </cell>
          <cell r="BW166" t="str">
            <v>AGN_TTE - AGUANORT - Transporte</v>
          </cell>
          <cell r="BX166" t="str">
            <v>AGN_TTE - AGUANORT - Transporte</v>
          </cell>
          <cell r="BY166" t="str">
            <v>AGN_TTE - AGUANORT - Transporte</v>
          </cell>
          <cell r="BZ166" t="str">
            <v>AGN_TTE - AGUANORT - Transporte</v>
          </cell>
          <cell r="CA166" t="str">
            <v>AGN_TTE - AGUANORT - Transporte</v>
          </cell>
          <cell r="CB166" t="str">
            <v>AGN_TTE - AGUANORT - Transporte</v>
          </cell>
          <cell r="CC166" t="str">
            <v>AGN_TTE - AGUANORT - Transporte</v>
          </cell>
          <cell r="CD166" t="str">
            <v>AGN_TTE - AGUANORT - Transporte</v>
          </cell>
          <cell r="CE166" t="str">
            <v>AGN_TTE - AGUANORT - Transporte</v>
          </cell>
          <cell r="CF166" t="str">
            <v>AGN_TTE - AGUANORT - Transporte</v>
          </cell>
          <cell r="CG166" t="str">
            <v>AGN_TTE - AGUANORT - Transporte</v>
          </cell>
          <cell r="CH166" t="str">
            <v>AGN_TTE - AGUANORT - Transporte</v>
          </cell>
          <cell r="CI166" t="str">
            <v>AGN_TTE - AGUANORT - Transporte</v>
          </cell>
          <cell r="CJ166" t="str">
            <v>AGN_TTE - AGUANORT - Transporte</v>
          </cell>
          <cell r="CK166" t="str">
            <v>AGN_TTE - AGUANORT - Transporte</v>
          </cell>
          <cell r="CL166" t="str">
            <v>AGN_TTE - AGUANORT - Transporte</v>
          </cell>
          <cell r="CM166" t="str">
            <v>AGN_TTE - AGUANORT - Transporte</v>
          </cell>
          <cell r="CN166" t="str">
            <v>AGN_TTE - AGUANORT - Transporte</v>
          </cell>
          <cell r="CO166" t="str">
            <v>AGN_TTE - AGUANORT - Transporte</v>
          </cell>
          <cell r="CP166" t="str">
            <v>AGN_TTE - AGUANORT - Transporte</v>
          </cell>
          <cell r="CQ166" t="str">
            <v>AGN_TTE - AGUANORT - Transporte</v>
          </cell>
          <cell r="CR166" t="str">
            <v>AGN_TTE - AGUANORT - Transporte</v>
          </cell>
          <cell r="CS166" t="str">
            <v>AGN_TTE - AGUANORT - Transporte</v>
          </cell>
          <cell r="CT166" t="str">
            <v>AGN_TTE - AGUANORT - Transporte</v>
          </cell>
          <cell r="CU166" t="str">
            <v>AGN_TTE - AGUANORT - Transporte</v>
          </cell>
          <cell r="CV166" t="str">
            <v>AGN_TTE - AGUANORT - Transporte</v>
          </cell>
          <cell r="CW166" t="str">
            <v>AGN_TTE - AGUANORT - Transporte</v>
          </cell>
        </row>
        <row r="167">
          <cell r="D167" t="str">
            <v>EGW558</v>
          </cell>
          <cell r="E167" t="str">
            <v>Semiremolque</v>
          </cell>
          <cell r="F167" t="str">
            <v>Semiremolque</v>
          </cell>
          <cell r="G167" t="str">
            <v>Semiremolque Baranda 13,5m 26P</v>
          </cell>
          <cell r="H167" t="str">
            <v>https://drive.google.com/drive/folders/1kfsYLNCI-9MK03T_9JFvZCQPZWBLB1-X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>
            <v>8400</v>
          </cell>
          <cell r="N167" t="str">
            <v>Expreso Malargüe S. A.</v>
          </cell>
          <cell r="O167" t="str">
            <v>Expreso Malargüe S. A.</v>
          </cell>
          <cell r="P167" t="str">
            <v>No</v>
          </cell>
          <cell r="Q167" t="str">
            <v>Propio</v>
          </cell>
          <cell r="R167" t="str">
            <v>-</v>
          </cell>
          <cell r="S167" t="str">
            <v>Propio</v>
          </cell>
          <cell r="T167" t="str">
            <v>HELVETICA</v>
          </cell>
          <cell r="U167" t="str">
            <v>-</v>
          </cell>
          <cell r="V167">
            <v>0</v>
          </cell>
          <cell r="W167" t="str">
            <v>8DHSR13C330000390</v>
          </cell>
          <cell r="X167">
            <v>2004</v>
          </cell>
          <cell r="Y167">
            <v>22</v>
          </cell>
          <cell r="Z167" t="str">
            <v>Malargue</v>
          </cell>
          <cell r="AA167" t="str">
            <v>Expreso - Servicios Troncales</v>
          </cell>
          <cell r="AB167" t="str">
            <v>Expreso - Servicios Troncales</v>
          </cell>
          <cell r="AC167" t="str">
            <v>Expreso - Servicios Troncales</v>
          </cell>
          <cell r="AD167" t="str">
            <v>Expreso - Servicios Troncales</v>
          </cell>
          <cell r="AE167" t="str">
            <v>Expreso - Servicios Troncales</v>
          </cell>
          <cell r="AF167" t="str">
            <v>Expreso - Servicios Troncales</v>
          </cell>
          <cell r="AG167" t="str">
            <v>Expreso - Servicios Troncales</v>
          </cell>
          <cell r="AH167" t="str">
            <v>Expreso - Servicios Troncales</v>
          </cell>
          <cell r="AI167" t="str">
            <v>Expreso - Servicios Troncales</v>
          </cell>
          <cell r="AJ167" t="str">
            <v>Expreso - Servicios Troncales</v>
          </cell>
          <cell r="AK167" t="str">
            <v>Expreso - Servicios Troncales</v>
          </cell>
          <cell r="AL167" t="str">
            <v>Expreso - Servicios Troncales</v>
          </cell>
          <cell r="AM167" t="str">
            <v>Expreso - Servicios Troncales</v>
          </cell>
          <cell r="AN167" t="str">
            <v>Expreso - Servicios Troncales</v>
          </cell>
          <cell r="AO167" t="str">
            <v>Expreso - Servicios Troncales</v>
          </cell>
          <cell r="AP167" t="str">
            <v>Expreso - Servicios Troncales</v>
          </cell>
          <cell r="AQ167" t="str">
            <v>Expreso - Servicios Troncales</v>
          </cell>
          <cell r="AR167" t="str">
            <v>Expreso - Servicios Troncales</v>
          </cell>
          <cell r="AS167" t="str">
            <v>Expreso - Servicios Troncales</v>
          </cell>
          <cell r="AT167" t="str">
            <v>Expreso - Servicios Troncales</v>
          </cell>
          <cell r="AU167" t="str">
            <v>Expreso - Servicios Troncales</v>
          </cell>
          <cell r="AV167" t="str">
            <v>Expreso - Servicios Troncales</v>
          </cell>
          <cell r="AW167" t="str">
            <v>Expreso - Servicios Troncales</v>
          </cell>
          <cell r="AX167" t="str">
            <v>Expreso - Servicios Troncales</v>
          </cell>
          <cell r="AY167" t="str">
            <v>Expreso - Servicios Troncales</v>
          </cell>
          <cell r="AZ167" t="str">
            <v>Expreso - Servicios Troncales</v>
          </cell>
          <cell r="BA167" t="str">
            <v>Expreso - Servicios Troncales</v>
          </cell>
          <cell r="BB167" t="str">
            <v>Expreso - Servicios Troncales</v>
          </cell>
          <cell r="BC167" t="str">
            <v>Expreso - Servicios Troncales</v>
          </cell>
          <cell r="BD167" t="str">
            <v>Expreso - Servicios Troncales</v>
          </cell>
          <cell r="BE167" t="str">
            <v>Expreso - Servicios Troncales</v>
          </cell>
          <cell r="BF167" t="str">
            <v>Expreso - Servicios Troncales</v>
          </cell>
          <cell r="BG167" t="str">
            <v>Expreso - Servicios Troncales</v>
          </cell>
          <cell r="BH167" t="str">
            <v>Expreso - Servicios Troncales</v>
          </cell>
          <cell r="BI167" t="str">
            <v>Expreso - Servicios Troncales</v>
          </cell>
          <cell r="BJ167" t="str">
            <v>Expreso - Servicios Troncales</v>
          </cell>
          <cell r="BK167" t="str">
            <v>Expreso - Servicios Troncales</v>
          </cell>
          <cell r="BL167" t="str">
            <v>Expreso - Servicios Troncales</v>
          </cell>
          <cell r="BM167" t="str">
            <v>Expreso - Servicios Troncales</v>
          </cell>
          <cell r="BN167" t="str">
            <v>Expreso - Servicios Troncales</v>
          </cell>
          <cell r="BO167" t="str">
            <v>Expreso - Servicios Troncales</v>
          </cell>
          <cell r="BP167" t="str">
            <v>Expreso - Servicios Troncales</v>
          </cell>
          <cell r="BQ167" t="str">
            <v>Expreso - Servicios Troncales</v>
          </cell>
          <cell r="BR167" t="str">
            <v>Expreso - Servicios Troncales</v>
          </cell>
          <cell r="BS167" t="str">
            <v>INACTIVO</v>
          </cell>
          <cell r="BT167" t="str">
            <v>Sin Operación</v>
          </cell>
          <cell r="BU167" t="str">
            <v>Sin Operación</v>
          </cell>
          <cell r="BV167" t="str">
            <v>Sin Operación</v>
          </cell>
          <cell r="BW167" t="str">
            <v>Sin Operación</v>
          </cell>
          <cell r="BX167" t="str">
            <v>Sin Operación</v>
          </cell>
          <cell r="BY167" t="str">
            <v>Sin Operación</v>
          </cell>
          <cell r="BZ167" t="str">
            <v>Sin Operación</v>
          </cell>
          <cell r="CA167" t="str">
            <v>Sin Operación</v>
          </cell>
          <cell r="CB167" t="str">
            <v>Sin Operación</v>
          </cell>
          <cell r="CC167" t="str">
            <v>INACTIVO</v>
          </cell>
          <cell r="CD167" t="str">
            <v>INACTIVO</v>
          </cell>
          <cell r="CE167" t="str">
            <v>INACTIVO</v>
          </cell>
          <cell r="CF167" t="str">
            <v>INACTIVO</v>
          </cell>
          <cell r="CG167" t="str">
            <v>INACTIVO</v>
          </cell>
          <cell r="CH167" t="str">
            <v>INACTIVO</v>
          </cell>
          <cell r="CI167" t="str">
            <v>INACTIVO</v>
          </cell>
          <cell r="CJ167" t="str">
            <v>INACTIVO</v>
          </cell>
          <cell r="CK167" t="str">
            <v>INACTIVO</v>
          </cell>
          <cell r="CL167" t="str">
            <v>INACTIVO</v>
          </cell>
          <cell r="CM167" t="str">
            <v>INACTIVO</v>
          </cell>
          <cell r="CN167" t="str">
            <v>INACTIVO</v>
          </cell>
          <cell r="CO167" t="str">
            <v>INACTIVO</v>
          </cell>
          <cell r="CP167" t="str">
            <v>INACTIVO</v>
          </cell>
          <cell r="CQ167" t="str">
            <v>INACTIVO</v>
          </cell>
          <cell r="CR167" t="str">
            <v>INACTIVO</v>
          </cell>
          <cell r="CS167" t="str">
            <v>INACTIVO</v>
          </cell>
          <cell r="CT167" t="str">
            <v>INACTIVO</v>
          </cell>
          <cell r="CU167" t="str">
            <v>INACTIVO</v>
          </cell>
          <cell r="CV167" t="str">
            <v>INACTIVO</v>
          </cell>
          <cell r="CW167" t="str">
            <v>INACTIVO</v>
          </cell>
        </row>
        <row r="168">
          <cell r="D168" t="str">
            <v>ENA706</v>
          </cell>
          <cell r="E168" t="str">
            <v>Semiremolque</v>
          </cell>
          <cell r="F168" t="str">
            <v>Semiremolque</v>
          </cell>
          <cell r="G168" t="str">
            <v>Semiremolque Baranda 13,5m 26P</v>
          </cell>
          <cell r="H168" t="str">
            <v>https://drive.google.com/drive/folders/1kc1nOqqAJIc8sMTjB3_lqRkLlj6AdnF1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>
            <v>8400</v>
          </cell>
          <cell r="N168" t="str">
            <v>Expreso Malargüe S. A.</v>
          </cell>
          <cell r="O168" t="str">
            <v>Expreso Malargüe S. A.</v>
          </cell>
          <cell r="P168" t="str">
            <v>No</v>
          </cell>
          <cell r="Q168" t="str">
            <v>Propio</v>
          </cell>
          <cell r="R168" t="str">
            <v>-</v>
          </cell>
          <cell r="S168" t="str">
            <v>Propio</v>
          </cell>
          <cell r="T168" t="str">
            <v>HELVETICA</v>
          </cell>
          <cell r="U168" t="str">
            <v>-</v>
          </cell>
          <cell r="V168">
            <v>0</v>
          </cell>
          <cell r="W168" t="str">
            <v>8DHSR13B340000788</v>
          </cell>
          <cell r="X168">
            <v>2004</v>
          </cell>
          <cell r="Y168">
            <v>22</v>
          </cell>
          <cell r="Z168" t="str">
            <v>Malargue</v>
          </cell>
          <cell r="AA168" t="str">
            <v>Expreso - Servicios Troncales</v>
          </cell>
          <cell r="AB168" t="str">
            <v>Expreso - Servicios Troncales</v>
          </cell>
          <cell r="AC168" t="str">
            <v>Expreso - Servicios Troncales</v>
          </cell>
          <cell r="AD168" t="str">
            <v>Expreso - Servicios Troncales</v>
          </cell>
          <cell r="AE168" t="str">
            <v>Expreso - Servicios Troncales</v>
          </cell>
          <cell r="AF168" t="str">
            <v>Expreso - Servicios Troncales</v>
          </cell>
          <cell r="AG168" t="str">
            <v>Expreso - Servicios Troncales</v>
          </cell>
          <cell r="AH168" t="str">
            <v>Expreso - Servicios Troncales</v>
          </cell>
          <cell r="AI168" t="str">
            <v>Expreso - Servicios Troncales</v>
          </cell>
          <cell r="AJ168" t="str">
            <v>Expreso - Servicios Troncales</v>
          </cell>
          <cell r="AK168" t="str">
            <v>Expreso - Servicios Troncales</v>
          </cell>
          <cell r="AL168" t="str">
            <v>Expreso - Servicios Troncales</v>
          </cell>
          <cell r="AM168" t="str">
            <v>Expreso - Servicios Troncales</v>
          </cell>
          <cell r="AN168" t="str">
            <v>Expreso - Servicios Troncales</v>
          </cell>
          <cell r="AO168" t="str">
            <v>Expreso - Servicios Troncales</v>
          </cell>
          <cell r="AP168" t="str">
            <v>Expreso - Servicios Troncales</v>
          </cell>
          <cell r="AQ168" t="str">
            <v>Expreso - Servicios Troncales</v>
          </cell>
          <cell r="AR168" t="str">
            <v>Expreso - Servicios Troncales</v>
          </cell>
          <cell r="AS168" t="str">
            <v>Expreso - Servicios Troncales</v>
          </cell>
          <cell r="AT168" t="str">
            <v>Expreso - Servicios Troncales</v>
          </cell>
          <cell r="AU168" t="str">
            <v>Expreso - Servicios Troncales</v>
          </cell>
          <cell r="AV168" t="str">
            <v>Expreso - Servicios Troncales</v>
          </cell>
          <cell r="AW168" t="str">
            <v>Expreso - Servicios Troncales</v>
          </cell>
          <cell r="AX168" t="str">
            <v>Expreso - Servicios Troncales</v>
          </cell>
          <cell r="AY168" t="str">
            <v>Expreso - Servicios Troncales</v>
          </cell>
          <cell r="AZ168" t="str">
            <v>Expreso - Servicios Troncales</v>
          </cell>
          <cell r="BA168" t="str">
            <v>Expreso - Servicios Troncales</v>
          </cell>
          <cell r="BB168" t="str">
            <v>Expreso - Servicios Troncales</v>
          </cell>
          <cell r="BC168" t="str">
            <v>Expreso - Servicios Troncales</v>
          </cell>
          <cell r="BD168" t="str">
            <v>Expreso - Servicios Troncales</v>
          </cell>
          <cell r="BE168" t="str">
            <v>Expreso - Servicios Troncales</v>
          </cell>
          <cell r="BF168" t="str">
            <v>Expreso - Servicios Troncales</v>
          </cell>
          <cell r="BG168" t="str">
            <v>Expreso - Servicios Troncales</v>
          </cell>
          <cell r="BH168" t="str">
            <v>Expreso - Servicios Troncales</v>
          </cell>
          <cell r="BI168" t="str">
            <v>Expreso - Servicios Troncales</v>
          </cell>
          <cell r="BJ168" t="str">
            <v>Expreso - Servicios Troncales</v>
          </cell>
          <cell r="BK168" t="str">
            <v>Expreso - Servicios Troncales</v>
          </cell>
          <cell r="BL168" t="str">
            <v>Expreso - Servicios Troncales</v>
          </cell>
          <cell r="BM168" t="str">
            <v>Expreso - Servicios Troncales</v>
          </cell>
          <cell r="BN168" t="str">
            <v>Expreso - Servicios Troncales</v>
          </cell>
          <cell r="BO168" t="str">
            <v>Expreso - Servicios Troncales</v>
          </cell>
          <cell r="BP168" t="str">
            <v>Expreso - Servicios Troncales</v>
          </cell>
          <cell r="BQ168" t="str">
            <v>Expreso - Servicios Troncales</v>
          </cell>
          <cell r="BR168" t="str">
            <v>Expreso - Servicios Troncales</v>
          </cell>
          <cell r="BS168" t="str">
            <v>INACTIVO</v>
          </cell>
          <cell r="BT168" t="str">
            <v>Sin Operación</v>
          </cell>
          <cell r="BU168" t="str">
            <v>Sin Operación</v>
          </cell>
          <cell r="BV168" t="str">
            <v>Sin Operación</v>
          </cell>
          <cell r="BW168" t="str">
            <v>Sin Operación</v>
          </cell>
          <cell r="BX168" t="str">
            <v>Sin Operación</v>
          </cell>
          <cell r="BY168" t="str">
            <v>Sin Operación</v>
          </cell>
          <cell r="BZ168" t="str">
            <v>Sin Operación</v>
          </cell>
          <cell r="CA168" t="str">
            <v>Sin Operación</v>
          </cell>
          <cell r="CB168" t="str">
            <v>Sin Operación</v>
          </cell>
          <cell r="CC168" t="str">
            <v>INACTIVO</v>
          </cell>
          <cell r="CD168" t="str">
            <v>INACTIVO</v>
          </cell>
          <cell r="CE168" t="str">
            <v>INACTIVO</v>
          </cell>
          <cell r="CF168" t="str">
            <v>INACTIVO</v>
          </cell>
          <cell r="CG168" t="str">
            <v>INACTIVO</v>
          </cell>
          <cell r="CH168" t="str">
            <v>INACTIVO</v>
          </cell>
          <cell r="CI168" t="str">
            <v>INACTIVO</v>
          </cell>
          <cell r="CJ168" t="str">
            <v>INACTIVO</v>
          </cell>
          <cell r="CK168" t="str">
            <v>INACTIVO</v>
          </cell>
          <cell r="CL168" t="str">
            <v>INACTIVO</v>
          </cell>
          <cell r="CM168" t="str">
            <v>INACTIVO</v>
          </cell>
          <cell r="CN168" t="str">
            <v>INACTIVO</v>
          </cell>
          <cell r="CO168" t="str">
            <v>INACTIVO</v>
          </cell>
          <cell r="CP168" t="str">
            <v>INACTIVO</v>
          </cell>
          <cell r="CQ168" t="str">
            <v>INACTIVO</v>
          </cell>
          <cell r="CR168" t="str">
            <v>INACTIVO</v>
          </cell>
          <cell r="CS168" t="str">
            <v>INACTIVO</v>
          </cell>
          <cell r="CT168" t="str">
            <v>INACTIVO</v>
          </cell>
          <cell r="CU168" t="str">
            <v>INACTIVO</v>
          </cell>
          <cell r="CV168" t="str">
            <v>INACTIVO</v>
          </cell>
          <cell r="CW168" t="str">
            <v>INACTIVO</v>
          </cell>
        </row>
        <row r="169">
          <cell r="D169" t="str">
            <v>ENA708</v>
          </cell>
          <cell r="E169" t="str">
            <v>Semiremolque</v>
          </cell>
          <cell r="F169" t="str">
            <v>Semiremolque</v>
          </cell>
          <cell r="G169" t="str">
            <v>Semiremolque Baranda 13,5m 26P</v>
          </cell>
          <cell r="H169" t="str">
            <v>https://drive.google.com/drive/folders/1kc1C5KwY1Kfb0c5jWc8JdfKFM6Pi1U2R</v>
          </cell>
          <cell r="I169" t="str">
            <v>-</v>
          </cell>
          <cell r="J169" t="str">
            <v>-</v>
          </cell>
          <cell r="K169" t="str">
            <v>-</v>
          </cell>
          <cell r="L169" t="str">
            <v>-</v>
          </cell>
          <cell r="M169">
            <v>8400</v>
          </cell>
          <cell r="N169" t="str">
            <v>Expreso Malargüe S. A.</v>
          </cell>
          <cell r="O169" t="str">
            <v>Expreso Malargüe S. A.</v>
          </cell>
          <cell r="P169" t="str">
            <v>No</v>
          </cell>
          <cell r="Q169" t="str">
            <v>Propio</v>
          </cell>
          <cell r="R169" t="str">
            <v>-</v>
          </cell>
          <cell r="S169" t="str">
            <v>Propio</v>
          </cell>
          <cell r="T169" t="str">
            <v>HELVETICA</v>
          </cell>
          <cell r="U169" t="str">
            <v>-</v>
          </cell>
          <cell r="V169">
            <v>0</v>
          </cell>
          <cell r="W169" t="str">
            <v>8DHSR13B340000789</v>
          </cell>
          <cell r="X169">
            <v>2004</v>
          </cell>
          <cell r="Y169">
            <v>22</v>
          </cell>
          <cell r="Z169" t="str">
            <v>Malargue</v>
          </cell>
          <cell r="AA169" t="str">
            <v>Expreso - Servicios Troncales</v>
          </cell>
          <cell r="AB169" t="str">
            <v>Expreso - Servicios Troncales</v>
          </cell>
          <cell r="AC169" t="str">
            <v>Expreso - Servicios Troncales</v>
          </cell>
          <cell r="AD169" t="str">
            <v>Expreso - Servicios Troncales</v>
          </cell>
          <cell r="AE169" t="str">
            <v>Expreso - Servicios Troncales</v>
          </cell>
          <cell r="AF169" t="str">
            <v>Expreso - Servicios Troncales</v>
          </cell>
          <cell r="AG169" t="str">
            <v>Expreso - Servicios Troncales</v>
          </cell>
          <cell r="AH169" t="str">
            <v>Expreso - Servicios Troncales</v>
          </cell>
          <cell r="AI169" t="str">
            <v>Expreso - Servicios Troncales</v>
          </cell>
          <cell r="AJ169" t="str">
            <v>Expreso - Servicios Troncales</v>
          </cell>
          <cell r="AK169" t="str">
            <v>Expreso - Servicios Troncales</v>
          </cell>
          <cell r="AL169" t="str">
            <v>Expreso - Servicios Troncales</v>
          </cell>
          <cell r="AM169" t="str">
            <v>Expreso - Servicios Troncales</v>
          </cell>
          <cell r="AN169" t="str">
            <v>Expreso - Servicios Troncales</v>
          </cell>
          <cell r="AO169" t="str">
            <v>Expreso - Servicios Troncales</v>
          </cell>
          <cell r="AP169" t="str">
            <v>Expreso - Servicios Troncales</v>
          </cell>
          <cell r="AQ169" t="str">
            <v>Expreso - Servicios Troncales</v>
          </cell>
          <cell r="AR169" t="str">
            <v>Expreso - Servicios Troncales</v>
          </cell>
          <cell r="AS169" t="str">
            <v>Expreso - Servicios Troncales</v>
          </cell>
          <cell r="AT169" t="str">
            <v>Expreso - Servicios Troncales</v>
          </cell>
          <cell r="AU169" t="str">
            <v>Expreso - Servicios Troncales</v>
          </cell>
          <cell r="AV169" t="str">
            <v>Expreso - Servicios Troncales</v>
          </cell>
          <cell r="AW169" t="str">
            <v>Expreso - Servicios Troncales</v>
          </cell>
          <cell r="AX169" t="str">
            <v>Expreso - Servicios Troncales</v>
          </cell>
          <cell r="AY169" t="str">
            <v>Expreso - Servicios Troncales</v>
          </cell>
          <cell r="AZ169" t="str">
            <v>Expreso - Servicios Troncales</v>
          </cell>
          <cell r="BA169" t="str">
            <v>Expreso - Servicios Troncales</v>
          </cell>
          <cell r="BB169" t="str">
            <v>Expreso - Servicios Troncales</v>
          </cell>
          <cell r="BC169" t="str">
            <v>Expreso - Servicios Troncales</v>
          </cell>
          <cell r="BD169" t="str">
            <v>Expreso - Servicios Troncales</v>
          </cell>
          <cell r="BE169" t="str">
            <v>Expreso - Servicios Troncales</v>
          </cell>
          <cell r="BF169" t="str">
            <v>Expreso - Servicios Troncales</v>
          </cell>
          <cell r="BG169" t="str">
            <v>Expreso - Servicios Troncales</v>
          </cell>
          <cell r="BH169" t="str">
            <v>Expreso - Servicios Troncales</v>
          </cell>
          <cell r="BI169" t="str">
            <v>Expreso - Servicios Troncales</v>
          </cell>
          <cell r="BJ169" t="str">
            <v>Expreso - Servicios Troncales</v>
          </cell>
          <cell r="BK169" t="str">
            <v>Expreso - Servicios Troncales</v>
          </cell>
          <cell r="BL169" t="str">
            <v>Expreso - Servicios Troncales</v>
          </cell>
          <cell r="BM169" t="str">
            <v>Expreso - Servicios Troncales</v>
          </cell>
          <cell r="BN169" t="str">
            <v>Expreso - Servicios Troncales</v>
          </cell>
          <cell r="BO169" t="str">
            <v>Expreso - Servicios Troncales</v>
          </cell>
          <cell r="BP169" t="str">
            <v>Expreso - Servicios Troncales</v>
          </cell>
          <cell r="BQ169" t="str">
            <v>Expreso - Servicios Troncales</v>
          </cell>
          <cell r="BR169" t="str">
            <v>Expreso - Servicios Troncales</v>
          </cell>
          <cell r="BS169" t="str">
            <v>INACTIVO</v>
          </cell>
          <cell r="BT169" t="str">
            <v>Sin Operación</v>
          </cell>
          <cell r="BU169" t="str">
            <v>Sin Operación</v>
          </cell>
          <cell r="BV169" t="str">
            <v>Sin Operación</v>
          </cell>
          <cell r="BW169" t="str">
            <v>Sin Operación</v>
          </cell>
          <cell r="BX169" t="str">
            <v>Sin Operación</v>
          </cell>
          <cell r="BY169" t="str">
            <v>Sin Operación</v>
          </cell>
          <cell r="BZ169" t="str">
            <v>Sin Operación</v>
          </cell>
          <cell r="CA169" t="str">
            <v>Sin Operación</v>
          </cell>
          <cell r="CB169" t="str">
            <v>Sin Operación</v>
          </cell>
          <cell r="CC169" t="str">
            <v>INACTIVO</v>
          </cell>
          <cell r="CD169" t="str">
            <v>INACTIVO</v>
          </cell>
          <cell r="CE169" t="str">
            <v>INACTIVO</v>
          </cell>
          <cell r="CF169" t="str">
            <v>INACTIVO</v>
          </cell>
          <cell r="CG169" t="str">
            <v>INACTIVO</v>
          </cell>
          <cell r="CH169" t="str">
            <v>INACTIVO</v>
          </cell>
          <cell r="CI169" t="str">
            <v>INACTIVO</v>
          </cell>
          <cell r="CJ169" t="str">
            <v>INACTIVO</v>
          </cell>
          <cell r="CK169" t="str">
            <v>INACTIVO</v>
          </cell>
          <cell r="CL169" t="str">
            <v>INACTIVO</v>
          </cell>
          <cell r="CM169" t="str">
            <v>INACTIVO</v>
          </cell>
          <cell r="CN169" t="str">
            <v>INACTIVO</v>
          </cell>
          <cell r="CO169" t="str">
            <v>INACTIVO</v>
          </cell>
          <cell r="CP169" t="str">
            <v>INACTIVO</v>
          </cell>
          <cell r="CQ169" t="str">
            <v>INACTIVO</v>
          </cell>
          <cell r="CR169" t="str">
            <v>INACTIVO</v>
          </cell>
          <cell r="CS169" t="str">
            <v>INACTIVO</v>
          </cell>
          <cell r="CT169" t="str">
            <v>INACTIVO</v>
          </cell>
          <cell r="CU169" t="str">
            <v>INACTIVO</v>
          </cell>
          <cell r="CV169" t="str">
            <v>INACTIVO</v>
          </cell>
          <cell r="CW169" t="str">
            <v>INACTIVO</v>
          </cell>
        </row>
        <row r="170">
          <cell r="D170" t="str">
            <v>EPU120</v>
          </cell>
          <cell r="E170" t="str">
            <v>Chasis</v>
          </cell>
          <cell r="F170">
            <v>0</v>
          </cell>
          <cell r="G170" t="str">
            <v>Chasis</v>
          </cell>
          <cell r="N170" t="str">
            <v>GIRON ELIBERTO</v>
          </cell>
          <cell r="O170" t="str">
            <v>GIRON ELIBERTO</v>
          </cell>
          <cell r="P170" t="str">
            <v>No</v>
          </cell>
          <cell r="Q170" t="str">
            <v>De Tercero</v>
          </cell>
          <cell r="R170" t="str">
            <v>-</v>
          </cell>
          <cell r="S170" t="str">
            <v>De Tercero</v>
          </cell>
          <cell r="T170" t="str">
            <v>IVECO</v>
          </cell>
          <cell r="U170" t="str">
            <v>320 E18 T</v>
          </cell>
          <cell r="V170">
            <v>2004</v>
          </cell>
          <cell r="W170">
            <v>22</v>
          </cell>
          <cell r="X170">
            <v>2004</v>
          </cell>
          <cell r="Y170">
            <v>22</v>
          </cell>
          <cell r="Z170" t="str">
            <v>TDU</v>
          </cell>
          <cell r="AA170" t="str">
            <v>AGN_TTE - AGUANORT - Transporte</v>
          </cell>
          <cell r="AB170" t="str">
            <v>AGN_TTE - AGUANORT - Transporte</v>
          </cell>
          <cell r="AC170" t="str">
            <v>AGN_TTE - AGUANORT - Transporte</v>
          </cell>
          <cell r="AD170" t="str">
            <v>AGN_TTE - AGUANORT - Transporte</v>
          </cell>
          <cell r="AE170" t="str">
            <v>AGN_TTE - AGUANORT - Transporte</v>
          </cell>
          <cell r="AF170" t="str">
            <v>AGN_TTE - AGUANORT - Transporte</v>
          </cell>
          <cell r="AG170" t="str">
            <v>AGN_TTE - AGUANORT - Transporte</v>
          </cell>
          <cell r="AH170" t="str">
            <v>AGN_TTE - AGUANORT - Transporte</v>
          </cell>
          <cell r="AI170" t="str">
            <v>AGN_TTE - AGUANORT - Transporte</v>
          </cell>
          <cell r="AJ170" t="str">
            <v>AGN_TTE - AGUANORT - Transporte</v>
          </cell>
          <cell r="AK170" t="str">
            <v>AGN_TTE - AGUANORT - Transporte</v>
          </cell>
          <cell r="AL170" t="str">
            <v>AGN_TTE - AGUANORT - Transporte</v>
          </cell>
          <cell r="AM170" t="str">
            <v>AGN_TTE - AGUANORT - Transporte</v>
          </cell>
          <cell r="AN170" t="str">
            <v>AGN_TTE - AGUANORT - Transporte</v>
          </cell>
          <cell r="AO170" t="str">
            <v>AGN_TTE - AGUANORT - Transporte</v>
          </cell>
          <cell r="AP170" t="str">
            <v>AGN_TTE - AGUANORT - Transporte</v>
          </cell>
          <cell r="AQ170" t="str">
            <v>AGN_TTE - AGUANORT - Transporte</v>
          </cell>
          <cell r="AR170" t="str">
            <v>AGN_TTE - AGUANORT - Transporte</v>
          </cell>
          <cell r="AS170" t="str">
            <v>AGN_TTE - AGUANORT - Transporte</v>
          </cell>
          <cell r="AT170" t="str">
            <v>AGN_TTE - AGUANORT - Transporte</v>
          </cell>
          <cell r="AU170" t="str">
            <v>AGN_TTE - AGUANORT - Transporte</v>
          </cell>
          <cell r="AV170" t="str">
            <v>AGN_TTE - AGUANORT - Transporte</v>
          </cell>
          <cell r="AW170" t="str">
            <v>AGN_TTE - AGUANORT - Transporte</v>
          </cell>
          <cell r="AX170" t="str">
            <v>CMQ_TTE - QUILMES TTE</v>
          </cell>
          <cell r="AY170" t="str">
            <v>CMQ_TTE - QUILMES TTE</v>
          </cell>
          <cell r="AZ170" t="str">
            <v>CMQ_TTE - QUILMES TTE</v>
          </cell>
          <cell r="BA170" t="str">
            <v>CMQ_TTE - QUILMES TTE</v>
          </cell>
          <cell r="BB170" t="str">
            <v>CMQ_TTE - QUILMES TTE</v>
          </cell>
          <cell r="BC170" t="str">
            <v>CMQ_TTE - QUILMES TTE</v>
          </cell>
          <cell r="BD170" t="str">
            <v>CMQ_TTE - QUILMES TTE</v>
          </cell>
          <cell r="BE170" t="str">
            <v>CMQ_TTE - QUILMES TTE</v>
          </cell>
          <cell r="BF170" t="str">
            <v>CMQ_TTE - QUILMES TTE</v>
          </cell>
          <cell r="BG170" t="str">
            <v>CMQ_TTE - QUILMES TTE</v>
          </cell>
          <cell r="BH170" t="str">
            <v>AGN_TTE - AGUANORT - Transporte</v>
          </cell>
          <cell r="BI170" t="str">
            <v>AGN_TTE - AGUANORT - Transporte</v>
          </cell>
          <cell r="BJ170" t="str">
            <v>AGN_TTE - AGUANORT - Transporte</v>
          </cell>
          <cell r="BK170" t="str">
            <v>AGN_TTE - AGUANORT - Transporte</v>
          </cell>
          <cell r="BL170" t="str">
            <v>AGN_TTE - AGUANORT - Transporte</v>
          </cell>
          <cell r="BM170" t="str">
            <v>AGN_TTE - AGUANORT - Transporte</v>
          </cell>
          <cell r="BN170" t="str">
            <v>AGN_TTE - AGUANORT - Transporte</v>
          </cell>
          <cell r="BO170" t="str">
            <v>AGN_TTE - AGUANORT - Transporte</v>
          </cell>
          <cell r="BP170" t="str">
            <v>AGN_TTE - AGUANORT - Transporte</v>
          </cell>
          <cell r="BQ170" t="str">
            <v>AGN_TTE - AGUANORT - Transporte</v>
          </cell>
          <cell r="BR170" t="str">
            <v>AGN_TTE - AGUANORT - Transporte</v>
          </cell>
          <cell r="BS170" t="str">
            <v>AGN_TTE - AGUANORT - Transporte</v>
          </cell>
          <cell r="BT170" t="str">
            <v>AGN_TTE - AGUANORT - Transporte</v>
          </cell>
          <cell r="BU170" t="str">
            <v>Sin Operación</v>
          </cell>
          <cell r="BV170" t="str">
            <v>Sin Operación</v>
          </cell>
          <cell r="BW170" t="str">
            <v>Sin Operación</v>
          </cell>
          <cell r="BX170" t="str">
            <v>Sin Operación</v>
          </cell>
          <cell r="BY170" t="str">
            <v>CMQ_TTE - QUILMES TTE</v>
          </cell>
          <cell r="BZ170" t="str">
            <v>CMQ_TTE - QUILMES TTE</v>
          </cell>
          <cell r="CA170" t="str">
            <v>CMQ_TTE - QUILMES TTE</v>
          </cell>
          <cell r="CB170" t="str">
            <v>CMQ_TTE - QUILMES TTE</v>
          </cell>
          <cell r="CC170" t="str">
            <v>CMQ_TTE - QUILMES TTE</v>
          </cell>
          <cell r="CD170" t="str">
            <v>CMQ_TTE - QUILMES TTE</v>
          </cell>
          <cell r="CE170" t="str">
            <v>CMQ_TTE - QUILMES TTE</v>
          </cell>
          <cell r="CF170" t="str">
            <v>CMQ_TTE - QUILMES TTE</v>
          </cell>
          <cell r="CG170" t="str">
            <v>CMQ_TTE - QUILMES TTE</v>
          </cell>
          <cell r="CH170" t="str">
            <v>CMQ_TTE - QUILMES TTE</v>
          </cell>
          <cell r="CI170" t="str">
            <v>CMQ_TTE - QUILMES TTE</v>
          </cell>
          <cell r="CJ170" t="str">
            <v>BAJA</v>
          </cell>
          <cell r="CK170" t="str">
            <v>BAJA</v>
          </cell>
          <cell r="CL170" t="str">
            <v>BAJA</v>
          </cell>
          <cell r="CM170" t="str">
            <v>BAJA</v>
          </cell>
          <cell r="CN170" t="str">
            <v>BAJA</v>
          </cell>
          <cell r="CO170" t="str">
            <v>BAJA</v>
          </cell>
          <cell r="CP170" t="str">
            <v>BAJA</v>
          </cell>
          <cell r="CQ170" t="str">
            <v>BAJA</v>
          </cell>
          <cell r="CR170" t="str">
            <v>BAJA</v>
          </cell>
          <cell r="CS170" t="str">
            <v>BAJA</v>
          </cell>
          <cell r="CT170" t="str">
            <v>BAJA</v>
          </cell>
          <cell r="CU170" t="str">
            <v>BAJA</v>
          </cell>
          <cell r="CV170" t="str">
            <v>BAJA</v>
          </cell>
          <cell r="CW170" t="str">
            <v>BAJA</v>
          </cell>
        </row>
        <row r="171">
          <cell r="D171" t="str">
            <v>ESI300</v>
          </cell>
          <cell r="E171" t="str">
            <v>Chasis</v>
          </cell>
          <cell r="F171">
            <v>0</v>
          </cell>
          <cell r="G171" t="str">
            <v>Chasis</v>
          </cell>
          <cell r="N171" t="str">
            <v>LOMBARDO DARIO</v>
          </cell>
          <cell r="O171" t="str">
            <v>LOMBARDO DARIO</v>
          </cell>
          <cell r="P171" t="str">
            <v>No</v>
          </cell>
          <cell r="Q171" t="str">
            <v>De Tercero</v>
          </cell>
          <cell r="R171" t="str">
            <v>-</v>
          </cell>
          <cell r="S171" t="str">
            <v>De Tercero</v>
          </cell>
          <cell r="T171" t="str">
            <v>MERCEDES BENZ</v>
          </cell>
          <cell r="U171" t="str">
            <v>EL 1218 L</v>
          </cell>
          <cell r="V171">
            <v>904938616970</v>
          </cell>
          <cell r="W171" t="str">
            <v>9BM6940005B404457</v>
          </cell>
          <cell r="X171">
            <v>2004</v>
          </cell>
          <cell r="Y171">
            <v>22</v>
          </cell>
          <cell r="Z171" t="str">
            <v>TDU</v>
          </cell>
          <cell r="AA171" t="str">
            <v>CMQ_TTE - QUILMES TTE</v>
          </cell>
          <cell r="AB171" t="str">
            <v>CMQ_TTE - QUILMES TTE</v>
          </cell>
          <cell r="AC171" t="str">
            <v>CMQ_TTE - QUILMES TTE</v>
          </cell>
          <cell r="AD171" t="str">
            <v>CMQ_TTE - QUILMES TTE</v>
          </cell>
          <cell r="AE171" t="str">
            <v>CMQ_TTE - QUILMES TTE</v>
          </cell>
          <cell r="AF171" t="str">
            <v>CMQ_TTE - QUILMES TTE</v>
          </cell>
          <cell r="AG171" t="str">
            <v>CMQ_TTE - QUILMES TTE</v>
          </cell>
          <cell r="AH171" t="str">
            <v>CMQ_TTE - QUILMES TTE</v>
          </cell>
          <cell r="AI171" t="str">
            <v>CMQ_TTE - QUILMES TTE</v>
          </cell>
          <cell r="AJ171" t="str">
            <v>CMQ_TTE - QUILMES TTE</v>
          </cell>
          <cell r="AK171" t="str">
            <v>CMQ_TTE - QUILMES TTE</v>
          </cell>
          <cell r="AL171" t="str">
            <v>CMQ_TTE - QUILMES TTE</v>
          </cell>
          <cell r="AM171" t="str">
            <v>CMQ_TTE - QUILMES TTE</v>
          </cell>
          <cell r="AN171" t="str">
            <v>CMQ_TTE - QUILMES TTE</v>
          </cell>
          <cell r="AO171" t="str">
            <v>CMQ_TTE - QUILMES TTE</v>
          </cell>
          <cell r="AP171" t="str">
            <v>CMQ_TTE - QUILMES TTE</v>
          </cell>
          <cell r="AQ171" t="str">
            <v>CMQ_TTE - QUILMES TTE</v>
          </cell>
          <cell r="AR171" t="str">
            <v>CMQ_TTE - QUILMES TTE</v>
          </cell>
          <cell r="AS171" t="str">
            <v>CMQ_TTE - QUILMES TTE</v>
          </cell>
          <cell r="AT171" t="str">
            <v>CMQ_TTE - QUILMES TTE</v>
          </cell>
          <cell r="AU171" t="str">
            <v>CMQ_TTE - QUILMES TTE</v>
          </cell>
          <cell r="AV171" t="str">
            <v>CMQ_TTE - QUILMES TTE</v>
          </cell>
          <cell r="AW171" t="str">
            <v>CMQ_TTE - QUILMES TTE</v>
          </cell>
          <cell r="AX171" t="str">
            <v>CMQ_TTE - QUILMES TTE</v>
          </cell>
          <cell r="AY171" t="str">
            <v>CMQ_TTE - QUILMES TTE</v>
          </cell>
          <cell r="AZ171" t="str">
            <v>CMQ_TTE - QUILMES TTE</v>
          </cell>
          <cell r="BA171" t="str">
            <v>CMQ_TTE - QUILMES TTE</v>
          </cell>
          <cell r="BB171" t="str">
            <v>CMQ_TTE - QUILMES TTE</v>
          </cell>
          <cell r="BC171" t="str">
            <v>CMQ_TTE - QUILMES TTE</v>
          </cell>
          <cell r="BD171" t="str">
            <v>CMQ_TTE - QUILMES TTE</v>
          </cell>
          <cell r="BE171" t="str">
            <v>CMQ_TTE - QUILMES TTE</v>
          </cell>
          <cell r="BF171" t="str">
            <v>CMQ_TTE - QUILMES TTE</v>
          </cell>
          <cell r="BG171" t="str">
            <v>CMQ_TTE - QUILMES TTE</v>
          </cell>
          <cell r="BH171" t="str">
            <v>INACTIVO</v>
          </cell>
          <cell r="BI171" t="str">
            <v>INACTIVO</v>
          </cell>
          <cell r="BJ171" t="str">
            <v>INACTIVO</v>
          </cell>
          <cell r="BK171" t="str">
            <v>INACTIVO</v>
          </cell>
          <cell r="BL171" t="str">
            <v>INACTIVO</v>
          </cell>
          <cell r="BM171" t="str">
            <v>INACTIVO</v>
          </cell>
          <cell r="BN171" t="str">
            <v>INACTIVO</v>
          </cell>
          <cell r="BO171" t="str">
            <v>INACTIVO</v>
          </cell>
          <cell r="BP171" t="str">
            <v>INACTIVO</v>
          </cell>
          <cell r="BQ171" t="str">
            <v>INACTIVO</v>
          </cell>
          <cell r="BR171" t="str">
            <v>INACTIVO</v>
          </cell>
          <cell r="BS171" t="str">
            <v>INACTIVO</v>
          </cell>
          <cell r="BT171" t="str">
            <v>INACTIVO</v>
          </cell>
          <cell r="BU171" t="str">
            <v>INACTIVO</v>
          </cell>
          <cell r="BV171" t="str">
            <v>INACTIVO</v>
          </cell>
          <cell r="BW171" t="str">
            <v>INACTIVO</v>
          </cell>
          <cell r="BX171" t="str">
            <v>INACTIVO</v>
          </cell>
          <cell r="BY171" t="str">
            <v>INACTIVO</v>
          </cell>
          <cell r="BZ171" t="str">
            <v>INACTIVO</v>
          </cell>
          <cell r="CA171" t="str">
            <v>INACTIVO</v>
          </cell>
          <cell r="CB171" t="str">
            <v>INACTIVO</v>
          </cell>
          <cell r="CC171" t="str">
            <v>BAJA</v>
          </cell>
          <cell r="CD171" t="str">
            <v>BAJA</v>
          </cell>
          <cell r="CE171" t="str">
            <v>BAJA</v>
          </cell>
          <cell r="CF171" t="str">
            <v>BAJA</v>
          </cell>
          <cell r="CG171" t="str">
            <v>BAJA</v>
          </cell>
          <cell r="CH171" t="str">
            <v>BAJA</v>
          </cell>
          <cell r="CI171" t="str">
            <v>BAJA</v>
          </cell>
          <cell r="CJ171" t="str">
            <v>BAJA</v>
          </cell>
          <cell r="CK171" t="str">
            <v>BAJA</v>
          </cell>
          <cell r="CL171" t="str">
            <v>BAJA</v>
          </cell>
          <cell r="CM171" t="str">
            <v>BAJA</v>
          </cell>
          <cell r="CN171" t="str">
            <v>BAJA</v>
          </cell>
          <cell r="CO171" t="str">
            <v>BAJA</v>
          </cell>
          <cell r="CP171" t="str">
            <v>BAJA</v>
          </cell>
          <cell r="CQ171" t="str">
            <v>BAJA</v>
          </cell>
          <cell r="CR171" t="str">
            <v>BAJA</v>
          </cell>
          <cell r="CS171" t="str">
            <v>BAJA</v>
          </cell>
          <cell r="CT171" t="str">
            <v>BAJA</v>
          </cell>
          <cell r="CU171" t="str">
            <v>BAJA</v>
          </cell>
          <cell r="CV171" t="str">
            <v>BAJA</v>
          </cell>
          <cell r="CW171" t="str">
            <v>BAJA</v>
          </cell>
        </row>
        <row r="172">
          <cell r="D172" t="str">
            <v>FCC940</v>
          </cell>
          <cell r="E172" t="str">
            <v>Semiremolque</v>
          </cell>
          <cell r="F172" t="str">
            <v>Semiremolque</v>
          </cell>
          <cell r="G172" t="str">
            <v>Semiremolque Baranda 13,5m 26P</v>
          </cell>
          <cell r="H172" t="str">
            <v>https://drive.google.com/drive/folders/1kaCwN_cNgQMc9RhrtjvaabTZaKr1_Xj8</v>
          </cell>
          <cell r="I172" t="str">
            <v>-</v>
          </cell>
          <cell r="J172" t="str">
            <v>-</v>
          </cell>
          <cell r="K172" t="str">
            <v>-</v>
          </cell>
          <cell r="L172" t="str">
            <v>-</v>
          </cell>
          <cell r="M172">
            <v>8400</v>
          </cell>
          <cell r="N172" t="str">
            <v>Expreso Malargüe S. A.</v>
          </cell>
          <cell r="O172" t="str">
            <v>Expreso Malargüe S. A.</v>
          </cell>
          <cell r="P172" t="str">
            <v>No</v>
          </cell>
          <cell r="Q172" t="str">
            <v>Propio</v>
          </cell>
          <cell r="R172" t="str">
            <v>-</v>
          </cell>
          <cell r="S172" t="str">
            <v>Propio</v>
          </cell>
          <cell r="T172" t="str">
            <v>SALTO</v>
          </cell>
          <cell r="U172" t="str">
            <v>-</v>
          </cell>
          <cell r="V172">
            <v>0</v>
          </cell>
          <cell r="W172" t="str">
            <v>8B9G1363S50002144</v>
          </cell>
          <cell r="X172">
            <v>2005</v>
          </cell>
          <cell r="Y172">
            <v>21</v>
          </cell>
          <cell r="Z172" t="str">
            <v>Malargue</v>
          </cell>
          <cell r="AA172" t="str">
            <v>Expreso - Servicios Troncales</v>
          </cell>
          <cell r="AB172" t="str">
            <v>Expreso - Servicios Troncales</v>
          </cell>
          <cell r="AC172" t="str">
            <v>Expreso - Servicios Troncales</v>
          </cell>
          <cell r="AD172" t="str">
            <v>Expreso - Servicios Troncales</v>
          </cell>
          <cell r="AE172" t="str">
            <v>Expreso - Servicios Troncales</v>
          </cell>
          <cell r="AF172" t="str">
            <v>Expreso - Servicios Troncales</v>
          </cell>
          <cell r="AG172" t="str">
            <v>Expreso - Servicios Troncales</v>
          </cell>
          <cell r="AH172" t="str">
            <v>Expreso - Servicios Troncales</v>
          </cell>
          <cell r="AI172" t="str">
            <v>Expreso - Servicios Troncales</v>
          </cell>
          <cell r="AJ172" t="str">
            <v>Expreso - Servicios Troncales</v>
          </cell>
          <cell r="AK172" t="str">
            <v>Expreso - Servicios Troncales</v>
          </cell>
          <cell r="AL172" t="str">
            <v>Expreso - Servicios Troncales</v>
          </cell>
          <cell r="AM172" t="str">
            <v>Expreso - Servicios Troncales</v>
          </cell>
          <cell r="AN172" t="str">
            <v>Expreso - Servicios Troncales</v>
          </cell>
          <cell r="AO172" t="str">
            <v>Expreso - Servicios Troncales</v>
          </cell>
          <cell r="AP172" t="str">
            <v>Expreso - Servicios Troncales</v>
          </cell>
          <cell r="AQ172" t="str">
            <v>Expreso - Servicios Troncales</v>
          </cell>
          <cell r="AR172" t="str">
            <v>Expreso - Servicios Troncales</v>
          </cell>
          <cell r="AS172" t="str">
            <v>Expreso - Servicios Troncales</v>
          </cell>
          <cell r="AT172" t="str">
            <v>Expreso - Servicios Troncales</v>
          </cell>
          <cell r="AU172" t="str">
            <v>Expreso - Servicios Troncales</v>
          </cell>
          <cell r="AV172" t="str">
            <v>Expreso - Servicios Troncales</v>
          </cell>
          <cell r="AW172" t="str">
            <v>Expreso - Servicios Troncales</v>
          </cell>
          <cell r="AX172" t="str">
            <v>Expreso - Servicios Troncales</v>
          </cell>
          <cell r="AY172" t="str">
            <v>Expreso - Servicios Troncales</v>
          </cell>
          <cell r="AZ172" t="str">
            <v>Expreso - Servicios Troncales</v>
          </cell>
          <cell r="BA172" t="str">
            <v>Expreso - Servicios Troncales</v>
          </cell>
          <cell r="BB172" t="str">
            <v>Expreso - Servicios Troncales</v>
          </cell>
          <cell r="BC172" t="str">
            <v>Expreso - Servicios Troncales</v>
          </cell>
          <cell r="BD172" t="str">
            <v>Expreso - Servicios Troncales</v>
          </cell>
          <cell r="BE172" t="str">
            <v>Expreso - Servicios Troncales</v>
          </cell>
          <cell r="BF172" t="str">
            <v>Expreso - Servicios Troncales</v>
          </cell>
          <cell r="BG172" t="str">
            <v>Expreso - Servicios Troncales</v>
          </cell>
          <cell r="BH172" t="str">
            <v>Expreso - Servicios Troncales</v>
          </cell>
          <cell r="BI172" t="str">
            <v>Expreso - Servicios Troncales</v>
          </cell>
          <cell r="BJ172" t="str">
            <v>Expreso - Servicios Troncales</v>
          </cell>
          <cell r="BK172" t="str">
            <v>Expreso - Servicios Troncales</v>
          </cell>
          <cell r="BL172" t="str">
            <v>Expreso - Servicios Troncales</v>
          </cell>
          <cell r="BM172" t="str">
            <v>Expreso - Servicios Troncales</v>
          </cell>
          <cell r="BN172" t="str">
            <v>Expreso - Servicios Troncales</v>
          </cell>
          <cell r="BO172" t="str">
            <v>Expreso - Servicios Troncales</v>
          </cell>
          <cell r="BP172" t="str">
            <v>Expreso - Servicios Troncales</v>
          </cell>
          <cell r="BQ172" t="str">
            <v>Expreso - Servicios Troncales</v>
          </cell>
          <cell r="BR172" t="str">
            <v>Expreso - Servicios Troncales</v>
          </cell>
          <cell r="BS172" t="str">
            <v>INACTIVO</v>
          </cell>
          <cell r="BT172" t="str">
            <v>Sin Operación</v>
          </cell>
          <cell r="BU172" t="str">
            <v>Sin Operación</v>
          </cell>
          <cell r="BV172" t="str">
            <v>Sin Operación</v>
          </cell>
          <cell r="BW172" t="str">
            <v>Sin Operación</v>
          </cell>
          <cell r="BX172" t="str">
            <v>Sin Operación</v>
          </cell>
          <cell r="BY172" t="str">
            <v>Sin Operación</v>
          </cell>
          <cell r="BZ172" t="str">
            <v>Sin Operación</v>
          </cell>
          <cell r="CA172" t="str">
            <v>Sin Operación</v>
          </cell>
          <cell r="CB172" t="str">
            <v>Sin Operación</v>
          </cell>
          <cell r="CC172" t="str">
            <v>INACTIVO</v>
          </cell>
          <cell r="CD172" t="str">
            <v>INACTIVO</v>
          </cell>
          <cell r="CE172" t="str">
            <v>INACTIVO</v>
          </cell>
          <cell r="CF172" t="str">
            <v>INACTIVO</v>
          </cell>
          <cell r="CG172" t="str">
            <v>INACTIVO</v>
          </cell>
          <cell r="CH172" t="str">
            <v>INACTIVO</v>
          </cell>
          <cell r="CI172" t="str">
            <v>INACTIVO</v>
          </cell>
          <cell r="CJ172" t="str">
            <v>INACTIVO</v>
          </cell>
          <cell r="CK172" t="str">
            <v>INACTIVO</v>
          </cell>
          <cell r="CL172" t="str">
            <v>INACTIVO</v>
          </cell>
          <cell r="CM172" t="str">
            <v>INACTIVO</v>
          </cell>
          <cell r="CN172" t="str">
            <v>INACTIVO</v>
          </cell>
          <cell r="CO172" t="str">
            <v>INACTIVO</v>
          </cell>
          <cell r="CP172" t="str">
            <v>INACTIVO</v>
          </cell>
          <cell r="CQ172" t="str">
            <v>INACTIVO</v>
          </cell>
          <cell r="CR172" t="str">
            <v>INACTIVO</v>
          </cell>
          <cell r="CS172" t="str">
            <v>INACTIVO</v>
          </cell>
          <cell r="CT172" t="str">
            <v>INACTIVO</v>
          </cell>
          <cell r="CU172" t="str">
            <v>INACTIVO</v>
          </cell>
          <cell r="CV172" t="str">
            <v>INACTIVO</v>
          </cell>
          <cell r="CW172" t="str">
            <v>INACTIVO</v>
          </cell>
        </row>
        <row r="173">
          <cell r="D173" t="str">
            <v>FCD324</v>
          </cell>
          <cell r="E173" t="str">
            <v>Chasis</v>
          </cell>
          <cell r="F173" t="str">
            <v>Chasis</v>
          </cell>
          <cell r="G173" t="str">
            <v>Chasis</v>
          </cell>
          <cell r="N173" t="str">
            <v>CODYLSA</v>
          </cell>
          <cell r="O173" t="str">
            <v>CODYLSA</v>
          </cell>
          <cell r="P173" t="str">
            <v>No</v>
          </cell>
          <cell r="Q173" t="str">
            <v>Propio</v>
          </cell>
          <cell r="R173">
            <v>8</v>
          </cell>
          <cell r="S173" t="str">
            <v>Propio</v>
          </cell>
          <cell r="T173" t="str">
            <v>MERCEDES BENZ</v>
          </cell>
          <cell r="U173">
            <v>710</v>
          </cell>
          <cell r="V173" t="str">
            <v>37498810643044</v>
          </cell>
          <cell r="W173" t="str">
            <v>9BM6881575B436420</v>
          </cell>
          <cell r="X173">
            <v>2005</v>
          </cell>
          <cell r="Y173">
            <v>21</v>
          </cell>
          <cell r="Z173" t="str">
            <v>Danone Mendoza</v>
          </cell>
          <cell r="AA173" t="str">
            <v>ADA_MZA - Danone Arg. S.A. - MZA</v>
          </cell>
          <cell r="AB173" t="str">
            <v>ADA_MZA - Danone Arg. S.A. - MZA</v>
          </cell>
          <cell r="AC173" t="str">
            <v>ADA_MZA - Danone Arg. S.A. - MZA</v>
          </cell>
          <cell r="AD173" t="str">
            <v>ADA_MZA - Danone Arg. S.A. - MZA</v>
          </cell>
          <cell r="AE173" t="str">
            <v>ADA_MZA - Danone Arg. S.A. - MZA</v>
          </cell>
          <cell r="AF173" t="str">
            <v>ADA_MZA - Danone Arg. S.A. - MZA</v>
          </cell>
          <cell r="AG173" t="str">
            <v>ADA_MZA - Danone Arg. S.A. - MZA</v>
          </cell>
          <cell r="AH173" t="str">
            <v>ADA_MZA - Danone Arg. S.A. - MZA</v>
          </cell>
          <cell r="AI173" t="str">
            <v>ADA_MZA - Danone Arg. S.A. - MZA</v>
          </cell>
          <cell r="AJ173" t="str">
            <v>ADA_MZA - Danone Arg. S.A. - MZA</v>
          </cell>
          <cell r="AK173" t="str">
            <v>ADA_MZA - Danone Arg. S.A. - MZA</v>
          </cell>
          <cell r="AL173" t="str">
            <v>ADA_MZA - Danone Arg. S.A. - MZA</v>
          </cell>
          <cell r="AM173" t="str">
            <v>ADA_MZA - Danone Arg. S.A. - MZA</v>
          </cell>
          <cell r="AN173" t="str">
            <v>ADA_MZA - Danone Arg. S.A. - MZA</v>
          </cell>
          <cell r="AO173" t="str">
            <v>ADA_MZA - Danone Arg. S.A. - MZA</v>
          </cell>
          <cell r="AP173" t="str">
            <v>ADA_MZA - Danone Arg. S.A. - MZA</v>
          </cell>
          <cell r="AQ173" t="str">
            <v>ADA_MZA - Danone Arg. S.A. - MZA</v>
          </cell>
          <cell r="AR173" t="str">
            <v>ADA_MZA - Danone Arg. S.A. - MZA</v>
          </cell>
          <cell r="AS173" t="str">
            <v>ADA_MZA - Danone Arg. S.A. - MZA</v>
          </cell>
          <cell r="AT173" t="str">
            <v>ADA_MZA - Danone Arg. S.A. - MZA</v>
          </cell>
          <cell r="AU173" t="str">
            <v>ADA_MZA - Danone Arg. S.A. - MZA</v>
          </cell>
          <cell r="AV173" t="str">
            <v>ADA_MZA - Danone Arg. S.A. - MZA</v>
          </cell>
          <cell r="AW173" t="str">
            <v>ADA_MZA - Danone Arg. S.A. - MZA</v>
          </cell>
          <cell r="AX173" t="str">
            <v>ADA_MZA - Danone Arg. S.A. - MZA</v>
          </cell>
          <cell r="AY173" t="str">
            <v>ADA_MZA - Danone Arg. S.A. - MZA</v>
          </cell>
          <cell r="AZ173" t="str">
            <v>ADA_MZA - Danone Arg. S.A. - MZA</v>
          </cell>
          <cell r="BA173" t="str">
            <v>ADA_MZA - Danone Arg. S.A. - MZA</v>
          </cell>
          <cell r="BB173" t="str">
            <v>ADA_MZA - Danone Arg. S.A. - MZA</v>
          </cell>
          <cell r="BC173" t="str">
            <v>ADA_MZA - Danone Arg. S.A. - MZA</v>
          </cell>
          <cell r="BD173" t="str">
            <v>ADA_MZA - Danone Arg. S.A. - MZA</v>
          </cell>
          <cell r="BE173" t="str">
            <v>ADA_MZA - Danone Arg. S.A. - MZA</v>
          </cell>
          <cell r="BF173" t="str">
            <v>ADA_MZA - Danone Arg. S.A. - MZA</v>
          </cell>
          <cell r="BG173" t="str">
            <v>ADA_MZA - Danone Arg. S.A. - MZA</v>
          </cell>
          <cell r="BH173" t="str">
            <v>ADA_MZA - Danone Arg. S.A. - MZA</v>
          </cell>
          <cell r="BI173" t="str">
            <v>ADA_MZA - Danone Arg. S.A. - MZA</v>
          </cell>
          <cell r="BJ173" t="str">
            <v>ADA_MZA - Danone Arg. S.A. - MZA</v>
          </cell>
          <cell r="BK173" t="str">
            <v>ADA_MZA - Danone Arg. S.A. - MZA</v>
          </cell>
          <cell r="BL173" t="str">
            <v>ADA_MZA - Danone Arg. S.A. - MZA</v>
          </cell>
          <cell r="BM173" t="str">
            <v>ADA_MZA - Danone Arg. S.A. - MZA</v>
          </cell>
          <cell r="BN173" t="str">
            <v>ADA_MZA - Danone Arg. S.A. - MZA</v>
          </cell>
          <cell r="BO173" t="str">
            <v>ADA_MZA - Danone Arg. S.A. - MZA</v>
          </cell>
          <cell r="BP173" t="str">
            <v>ADA_MZA - Danone Arg. S.A. - MZA</v>
          </cell>
          <cell r="BQ173" t="str">
            <v>ADA_MZA - Danone Arg. S.A. - MZA</v>
          </cell>
          <cell r="BR173" t="str">
            <v>ADA_MZA - Danone Arg. S.A. - MZA</v>
          </cell>
          <cell r="BS173" t="str">
            <v>ADA_MZA - Danone Arg. S.A. - MZA</v>
          </cell>
          <cell r="BT173" t="str">
            <v>Sin Operación</v>
          </cell>
          <cell r="BU173" t="str">
            <v>SUC_MEN - Sucursal Mendoza</v>
          </cell>
          <cell r="BV173" t="str">
            <v>SUC_MEN - Sucursal Mendoza</v>
          </cell>
          <cell r="BW173" t="str">
            <v>SUC_MEN - Sucursal Mendoza</v>
          </cell>
          <cell r="BX173" t="str">
            <v>SUC_MEN - Sucursal Mendoza</v>
          </cell>
          <cell r="BY173" t="str">
            <v>SUC_MEN - Sucursal Mendoza</v>
          </cell>
          <cell r="BZ173" t="str">
            <v>SUC_MEN - Sucursal Mendoza</v>
          </cell>
          <cell r="CA173" t="str">
            <v>SUC_MEN - Sucursal Mendoza</v>
          </cell>
          <cell r="CB173" t="str">
            <v>SUC_MEN - Sucursal Mendoza</v>
          </cell>
          <cell r="CC173" t="str">
            <v>SUC_MEN - Sucursal Mendoza</v>
          </cell>
          <cell r="CD173" t="str">
            <v>SUC_MEN - Sucursal Mendoza</v>
          </cell>
          <cell r="CE173" t="str">
            <v>SUC_MEN - Sucursal Mendoza</v>
          </cell>
          <cell r="CF173" t="str">
            <v>SUC_MEN - Sucursal Mendoza</v>
          </cell>
          <cell r="CG173" t="str">
            <v>SUC_MEN - Sucursal Mendoza</v>
          </cell>
          <cell r="CH173" t="str">
            <v>SUC_MEN - Sucursal Mendoza</v>
          </cell>
          <cell r="CI173" t="str">
            <v>SUC_MEN - Sucursal Mendoza</v>
          </cell>
          <cell r="CJ173" t="str">
            <v>SUC_MEN - Sucursal Mendoza</v>
          </cell>
          <cell r="CK173" t="str">
            <v>SUC_MEN - Sucursal Mendoza</v>
          </cell>
          <cell r="CL173" t="str">
            <v>SUC_MEN - Sucursal Mendoza</v>
          </cell>
          <cell r="CM173" t="str">
            <v>SUC_MEN - Sucursal Mendoza</v>
          </cell>
          <cell r="CN173" t="str">
            <v>SUC_MEN - Sucursal Mendoza</v>
          </cell>
          <cell r="CO173" t="str">
            <v>SUC_MEN - Sucursal Mendoza</v>
          </cell>
          <cell r="CP173" t="str">
            <v>SUC_MEN - Sucursal Mendoza</v>
          </cell>
          <cell r="CQ173" t="str">
            <v>SUC_MEN - Sucursal Mendoza</v>
          </cell>
          <cell r="CR173" t="str">
            <v>SUC_MEN - Sucursal Mendoza</v>
          </cell>
          <cell r="CS173" t="str">
            <v>SUC_MEN - Sucursal Mendoza</v>
          </cell>
          <cell r="CT173" t="str">
            <v>SUC_MEN - Sucursal Mendoza</v>
          </cell>
          <cell r="CU173" t="str">
            <v>SUC_MEN - Sucursal Mendoza</v>
          </cell>
          <cell r="CV173" t="str">
            <v>SUC_MEN - Sucursal Mendoza</v>
          </cell>
          <cell r="CW173" t="str">
            <v>SUC_MEN - Sucursal Mendoza</v>
          </cell>
        </row>
        <row r="174">
          <cell r="D174" t="str">
            <v>FEQ601</v>
          </cell>
          <cell r="E174" t="str">
            <v>Chasis</v>
          </cell>
          <cell r="F174" t="str">
            <v>Chasis</v>
          </cell>
          <cell r="G174" t="str">
            <v>Chasis</v>
          </cell>
          <cell r="N174" t="str">
            <v>CODYLSA</v>
          </cell>
          <cell r="O174" t="str">
            <v>CODYLSA</v>
          </cell>
          <cell r="P174" t="str">
            <v>No</v>
          </cell>
          <cell r="Q174" t="str">
            <v>Propio</v>
          </cell>
          <cell r="R174">
            <v>12</v>
          </cell>
          <cell r="S174" t="str">
            <v>Propio</v>
          </cell>
          <cell r="T174" t="str">
            <v>MERCEDES BENZ</v>
          </cell>
          <cell r="U174">
            <v>1620</v>
          </cell>
          <cell r="V174">
            <v>37798310647390</v>
          </cell>
          <cell r="W174" t="str">
            <v>9BM6950146B440564</v>
          </cell>
          <cell r="X174">
            <v>2005</v>
          </cell>
          <cell r="Y174">
            <v>21</v>
          </cell>
          <cell r="Z174" t="str">
            <v>Danone Oeste</v>
          </cell>
          <cell r="AA174" t="str">
            <v>AdaMinZO - Danone Minorista Zona Oeste</v>
          </cell>
          <cell r="AB174" t="str">
            <v>AdaMinZO - Danone Minorista Zona Oeste</v>
          </cell>
          <cell r="AC174" t="str">
            <v>AdaMinZO - Danone Minorista Zona Oeste</v>
          </cell>
          <cell r="AD174" t="str">
            <v>ADA_LP - Danone Arg. S.A. - LP</v>
          </cell>
          <cell r="AE174" t="str">
            <v>ADA_LP - Danone Arg. S.A. - LP</v>
          </cell>
          <cell r="AF174" t="str">
            <v>ADA_SMK - Danone Arg. S.A. - SMK</v>
          </cell>
          <cell r="AG174" t="str">
            <v>ADA_SMK - Danone Arg. S.A. - SMK</v>
          </cell>
          <cell r="AH174" t="str">
            <v>ADA_SMK - Danone Arg. S.A. - SMK</v>
          </cell>
          <cell r="AI174" t="str">
            <v>ADA_SMK - Danone Arg. S.A. - SMK</v>
          </cell>
          <cell r="AJ174" t="str">
            <v>ADA_SMK - Danone Arg. S.A. - SMK</v>
          </cell>
          <cell r="AK174" t="str">
            <v>ADA_SMK - Danone Arg. S.A. - SMK</v>
          </cell>
          <cell r="AL174" t="str">
            <v>ADA_SMK - Danone Arg. S.A. - SMK</v>
          </cell>
          <cell r="AM174" t="str">
            <v>ADA_SMK - Danone Arg. S.A. - SMK</v>
          </cell>
          <cell r="AN174" t="str">
            <v>ADA_SMK - Danone Arg. S.A. - SMK</v>
          </cell>
          <cell r="AO174" t="str">
            <v>ADA_SMK - Danone Arg. S.A. - SMK</v>
          </cell>
          <cell r="AP174" t="str">
            <v>ADA_SMK - Danone Arg. S.A. - SMK</v>
          </cell>
          <cell r="AQ174" t="str">
            <v>ADA_SMK - Danone Arg. S.A. - SMK</v>
          </cell>
          <cell r="AR174" t="str">
            <v>ADA_SMK - Danone Arg. S.A. - SMK</v>
          </cell>
          <cell r="AS174" t="str">
            <v>ADA_SMK - Danone Arg. S.A. - SMK</v>
          </cell>
          <cell r="AT174" t="str">
            <v>ADA_SMK - Danone Arg. S.A. - SMK</v>
          </cell>
          <cell r="AU174" t="str">
            <v>ADA_SMK - Danone Arg. S.A. - SMK</v>
          </cell>
          <cell r="AV174" t="str">
            <v>AdaMinZO - Danone Minorista Zona Oeste</v>
          </cell>
          <cell r="AW174" t="str">
            <v>AdaMinZO - Danone Minorista Zona Oeste</v>
          </cell>
          <cell r="AX174" t="str">
            <v>ADA_SMK - Danone Arg. S.A. - SMK</v>
          </cell>
          <cell r="AY174" t="str">
            <v>ADA_SMK - Danone Arg. S.A. - SMK</v>
          </cell>
          <cell r="AZ174" t="str">
            <v>ADA_SMK - Danone Arg. S.A. - SMK</v>
          </cell>
          <cell r="BA174" t="str">
            <v>ADA_SMK - Danone Arg. S.A. - SMK</v>
          </cell>
          <cell r="BB174" t="str">
            <v>ADA_SMK - Danone Arg. S.A. - SMK</v>
          </cell>
          <cell r="BC174" t="str">
            <v>ADA_SMK - Danone Arg. S.A. - SMK</v>
          </cell>
          <cell r="BD174" t="str">
            <v>ADA_SMK - Danone Arg. S.A. - SMK</v>
          </cell>
          <cell r="BE174" t="str">
            <v>ADA_SMK - Danone Arg. S.A. - SMK</v>
          </cell>
          <cell r="BF174" t="str">
            <v>ADA_SMK - Danone Arg. S.A. - SMK</v>
          </cell>
          <cell r="BG174" t="str">
            <v>ADA_SMK - Danone Arg. S.A. - SMK</v>
          </cell>
          <cell r="BH174" t="str">
            <v>ADA_SMK - Danone Arg. S.A. - SMK</v>
          </cell>
          <cell r="BI174" t="str">
            <v>ADA_SMK - Danone Arg. S.A. - SMK</v>
          </cell>
          <cell r="BJ174" t="str">
            <v>ADA_SMK - Danone Arg. S.A. - SMK</v>
          </cell>
          <cell r="BK174" t="str">
            <v>Papelera - Papelera del Plata S.A.</v>
          </cell>
          <cell r="BL174" t="str">
            <v>Papelera - Papelera del Plata S.A.</v>
          </cell>
          <cell r="BM174" t="str">
            <v>Papelera - Papelera del Plata S.A.</v>
          </cell>
          <cell r="BN174" t="str">
            <v>SUC_CTC - Sucursal Buenos Aires</v>
          </cell>
          <cell r="BO174" t="str">
            <v>SUC_CTC - Sucursal Buenos Aires</v>
          </cell>
          <cell r="BP174" t="str">
            <v>SUC_CTC - Sucursal Buenos Aires</v>
          </cell>
          <cell r="BQ174" t="str">
            <v>Topacio</v>
          </cell>
          <cell r="BR174" t="str">
            <v>Topacio</v>
          </cell>
          <cell r="BS174" t="str">
            <v>Topacio</v>
          </cell>
          <cell r="BT174" t="str">
            <v>Topacio</v>
          </cell>
          <cell r="BU174" t="str">
            <v>Topacio</v>
          </cell>
          <cell r="BV174" t="str">
            <v>Sin Operación</v>
          </cell>
          <cell r="BW174" t="str">
            <v>Sin Operación</v>
          </cell>
          <cell r="BX174" t="str">
            <v>Sin Operación</v>
          </cell>
          <cell r="BY174" t="str">
            <v>Sin Operación</v>
          </cell>
          <cell r="BZ174" t="str">
            <v>Sin Operación</v>
          </cell>
          <cell r="CA174" t="str">
            <v>Sin Operación</v>
          </cell>
          <cell r="CB174" t="str">
            <v>Sin Operación</v>
          </cell>
          <cell r="CC174" t="str">
            <v>Sin Operación</v>
          </cell>
          <cell r="CD174" t="str">
            <v>Sin Operación</v>
          </cell>
          <cell r="CE174" t="str">
            <v>Sin Operación</v>
          </cell>
          <cell r="CF174" t="str">
            <v>Sin Operación</v>
          </cell>
          <cell r="CG174" t="str">
            <v>Sin Operación</v>
          </cell>
          <cell r="CH174" t="str">
            <v>Sin Operación</v>
          </cell>
          <cell r="CI174" t="str">
            <v>Sin Operación</v>
          </cell>
          <cell r="CJ174" t="str">
            <v>Sin Operación</v>
          </cell>
          <cell r="CK174" t="str">
            <v>AGN_TTE - AGUANORT - Transporte</v>
          </cell>
          <cell r="CL174" t="str">
            <v>AGN_TTE - AGUANORT - Transporte</v>
          </cell>
          <cell r="CM174" t="str">
            <v>AGN_TTE - AGUANORT - Transporte</v>
          </cell>
          <cell r="CN174" t="str">
            <v>AGN_TTE - AGUANORT - Transporte</v>
          </cell>
          <cell r="CO174" t="str">
            <v>AGN_TTE - AGUANORT - Transporte</v>
          </cell>
          <cell r="CP174" t="str">
            <v>AGN_TTE - AGUANORT - Transporte</v>
          </cell>
          <cell r="CQ174" t="str">
            <v>Sin Operación</v>
          </cell>
          <cell r="CR174" t="str">
            <v>Sin Operación</v>
          </cell>
          <cell r="CS174" t="str">
            <v>Sin Operación</v>
          </cell>
          <cell r="CT174" t="str">
            <v>Sin Operación</v>
          </cell>
          <cell r="CU174" t="str">
            <v>Sin Operación</v>
          </cell>
          <cell r="CV174" t="str">
            <v>Sin Operación</v>
          </cell>
          <cell r="CW174" t="str">
            <v>Sin Operación</v>
          </cell>
        </row>
        <row r="175">
          <cell r="D175" t="str">
            <v>FEQ602</v>
          </cell>
          <cell r="E175" t="str">
            <v>Chasis</v>
          </cell>
          <cell r="F175" t="str">
            <v>Chasis</v>
          </cell>
          <cell r="G175" t="str">
            <v>Chasis</v>
          </cell>
          <cell r="N175" t="str">
            <v>CODYLSA</v>
          </cell>
          <cell r="O175" t="str">
            <v>CODYLSA</v>
          </cell>
          <cell r="P175" t="str">
            <v>No</v>
          </cell>
          <cell r="Q175" t="str">
            <v>Propio</v>
          </cell>
          <cell r="R175">
            <v>12</v>
          </cell>
          <cell r="S175" t="str">
            <v>Propio</v>
          </cell>
          <cell r="T175" t="str">
            <v>MERCEDES BENZ</v>
          </cell>
          <cell r="U175">
            <v>1620</v>
          </cell>
          <cell r="V175">
            <v>37798310648059</v>
          </cell>
          <cell r="W175" t="str">
            <v>9BM6950146B441563</v>
          </cell>
          <cell r="X175">
            <v>2005</v>
          </cell>
          <cell r="Y175">
            <v>21</v>
          </cell>
          <cell r="Z175" t="str">
            <v>Royal Canin</v>
          </cell>
          <cell r="AA175" t="str">
            <v>Royal - Royal Canin Arg. S.A.</v>
          </cell>
          <cell r="AB175" t="str">
            <v>Royal - Royal Canin Arg. S.A.</v>
          </cell>
          <cell r="AC175" t="str">
            <v>ADA_Mino - Danone Arg. S.A. - Mino</v>
          </cell>
          <cell r="AD175" t="str">
            <v>ADA_Mino - Danone Arg. S.A. - Mino</v>
          </cell>
          <cell r="AE175" t="str">
            <v>ADA_Mino - Danone Arg. S.A. - Mino</v>
          </cell>
          <cell r="AF175" t="str">
            <v>ADA_Mino - Danone Arg. S.A. - Mino</v>
          </cell>
          <cell r="AG175" t="str">
            <v>ADA_Mino - Danone Arg. S.A. - Mino</v>
          </cell>
          <cell r="AH175" t="str">
            <v>ADA_Mino - Danone Arg. S.A. - Mino</v>
          </cell>
          <cell r="AI175" t="str">
            <v>ADA_Mino - Danone Arg. S.A. - Mino</v>
          </cell>
          <cell r="AJ175" t="str">
            <v>ADA_Mino - Danone Arg. S.A. - Mino</v>
          </cell>
          <cell r="AK175" t="str">
            <v>ADA_Mino - Danone Arg. S.A. - Mino</v>
          </cell>
          <cell r="AL175" t="str">
            <v>ADA_Mino - Danone Arg. S.A. - Mino</v>
          </cell>
          <cell r="AM175" t="str">
            <v>ADA_Mino - Danone Arg. S.A. - Mino</v>
          </cell>
          <cell r="AN175" t="str">
            <v>ADA_SMK - Danone Arg. S.A. - SMK</v>
          </cell>
          <cell r="AO175" t="str">
            <v>ADA_SMK - Danone Arg. S.A. - SMK</v>
          </cell>
          <cell r="AP175" t="str">
            <v>ADA_SMK - Danone Arg. S.A. - SMK</v>
          </cell>
          <cell r="AQ175" t="str">
            <v>ADA_SMK - Danone Arg. S.A. - SMK</v>
          </cell>
          <cell r="AR175" t="str">
            <v>ADA_SMK - Danone Arg. S.A. - SMK</v>
          </cell>
          <cell r="AS175" t="str">
            <v>ADA_SMK - Danone Arg. S.A. - SMK</v>
          </cell>
          <cell r="AT175" t="str">
            <v>ADA_SMK - Danone Arg. S.A. - SMK</v>
          </cell>
          <cell r="AU175" t="str">
            <v>ADA_SMK - Danone Arg. S.A. - SMK</v>
          </cell>
          <cell r="AV175" t="str">
            <v>ADA_SMK - Danone Arg. S.A. - SMK</v>
          </cell>
          <cell r="AW175" t="str">
            <v>ADA_SMK - Danone Arg. S.A. - SMK</v>
          </cell>
          <cell r="AX175" t="str">
            <v>ADA_Mino - Danone Arg. S.A. - Mino</v>
          </cell>
          <cell r="AY175" t="str">
            <v>ADA_Mino - Danone Arg. S.A. - Mino</v>
          </cell>
          <cell r="AZ175" t="str">
            <v>ADA_Mino - Danone Arg. S.A. - Mino</v>
          </cell>
          <cell r="BA175" t="str">
            <v>ADA_Mino - Danone Arg. S.A. - Mino</v>
          </cell>
          <cell r="BB175" t="str">
            <v>ADA_Mino - Danone Arg. S.A. - Mino</v>
          </cell>
          <cell r="BC175" t="str">
            <v>ADA_Mino - Danone Arg. S.A. - Mino</v>
          </cell>
          <cell r="BD175" t="str">
            <v>ADA_Mino - Danone Arg. S.A. - Mino</v>
          </cell>
          <cell r="BE175" t="str">
            <v>ADA_Mino - Danone Arg. S.A. - Mino</v>
          </cell>
          <cell r="BF175" t="str">
            <v>ADA_Mino - Danone Arg. S.A. - Mino</v>
          </cell>
          <cell r="BG175" t="str">
            <v>ADA_Mino - Danone Arg. S.A. - Mino</v>
          </cell>
          <cell r="BH175" t="str">
            <v>ADA_Mino - Danone Arg. S.A. - Mino</v>
          </cell>
          <cell r="BI175" t="str">
            <v>ADA_Mino - Danone Arg. S.A. - Mino</v>
          </cell>
          <cell r="BJ175" t="str">
            <v>ADA_Mino - Danone Arg. S.A. - Mino</v>
          </cell>
          <cell r="BK175" t="str">
            <v>ADA_Mino - Danone Arg. S.A. - Mino</v>
          </cell>
          <cell r="BL175" t="str">
            <v>ADA_Mino - Danone Arg. S.A. - Mino</v>
          </cell>
          <cell r="BM175" t="str">
            <v>ADA_LP - Danone Arg. S.A. - LP</v>
          </cell>
          <cell r="BN175" t="str">
            <v>ADA_LP - Danone Arg. S.A. - LP</v>
          </cell>
          <cell r="BO175" t="str">
            <v>ADA_LP - Danone Arg. S.A. - LP</v>
          </cell>
          <cell r="BP175" t="str">
            <v>ADA_LP - Danone Arg. S.A. - LP</v>
          </cell>
          <cell r="BQ175" t="str">
            <v>ADA_LP - Danone Arg. S.A. - LP</v>
          </cell>
          <cell r="BR175" t="str">
            <v>ADA_LP - Danone Arg. S.A. - LP</v>
          </cell>
          <cell r="BS175" t="str">
            <v>ADA_LP - Danone Arg. S.A. - LP</v>
          </cell>
          <cell r="BT175" t="str">
            <v>ADA_LP - Danone Arg. S.A. - LP</v>
          </cell>
          <cell r="BU175" t="str">
            <v>CCUCoAZA</v>
          </cell>
          <cell r="BV175" t="str">
            <v>CCUCoAZA</v>
          </cell>
          <cell r="BW175" t="str">
            <v>CCUCoAZA</v>
          </cell>
          <cell r="BX175" t="str">
            <v>CCUCoAZA</v>
          </cell>
          <cell r="BY175" t="str">
            <v>CCUCoAZA</v>
          </cell>
          <cell r="BZ175" t="str">
            <v>CCUCoAZA</v>
          </cell>
          <cell r="CA175" t="str">
            <v>CCUCoAZA</v>
          </cell>
          <cell r="CB175" t="str">
            <v>Sin Operación</v>
          </cell>
          <cell r="CC175" t="str">
            <v>Sin Operación</v>
          </cell>
          <cell r="CD175" t="str">
            <v>Sin Operación</v>
          </cell>
          <cell r="CE175" t="str">
            <v>Sin Operación</v>
          </cell>
          <cell r="CF175" t="str">
            <v>Sin Operación</v>
          </cell>
          <cell r="CG175" t="str">
            <v>Sin Operación</v>
          </cell>
          <cell r="CH175" t="str">
            <v>AGN_TTE - AGUANORT - Transporte</v>
          </cell>
          <cell r="CI175" t="str">
            <v>AGN_TTE - AGUANORT - Transporte</v>
          </cell>
          <cell r="CJ175" t="str">
            <v>AGN_TTE - AGUANORT - Transporte</v>
          </cell>
          <cell r="CK175" t="str">
            <v>AGN_TTE - AGUANORT - Transporte</v>
          </cell>
          <cell r="CL175" t="str">
            <v>AGN_TTE - AGUANORT - Transporte</v>
          </cell>
          <cell r="CM175" t="str">
            <v>AGN_TTE - AGUANORT - Transporte</v>
          </cell>
          <cell r="CN175" t="str">
            <v>AGN_TTE - AGUANORT - Transporte</v>
          </cell>
          <cell r="CO175" t="str">
            <v>AGN_TTE - AGUANORT - Transporte</v>
          </cell>
          <cell r="CP175" t="str">
            <v>AGN_TTE - AGUANORT - Transporte</v>
          </cell>
          <cell r="CQ175" t="str">
            <v>Sin Operación</v>
          </cell>
          <cell r="CR175" t="str">
            <v>Sin Operación</v>
          </cell>
          <cell r="CS175" t="str">
            <v>Sin Operación</v>
          </cell>
          <cell r="CT175" t="str">
            <v>Sin Operación</v>
          </cell>
          <cell r="CU175" t="str">
            <v>Sin Operación</v>
          </cell>
          <cell r="CV175" t="str">
            <v>Sin Operación</v>
          </cell>
          <cell r="CW175" t="str">
            <v>Sin Operación</v>
          </cell>
        </row>
        <row r="176">
          <cell r="D176" t="str">
            <v>FFJ868</v>
          </cell>
          <cell r="E176" t="str">
            <v>Chasis</v>
          </cell>
          <cell r="F176" t="str">
            <v>Chasis</v>
          </cell>
          <cell r="G176" t="str">
            <v>Chasis</v>
          </cell>
          <cell r="N176" t="str">
            <v>TDU</v>
          </cell>
          <cell r="O176" t="str">
            <v>TDU</v>
          </cell>
          <cell r="P176" t="str">
            <v>No</v>
          </cell>
          <cell r="Q176" t="str">
            <v>Propio</v>
          </cell>
          <cell r="R176">
            <v>12</v>
          </cell>
          <cell r="S176" t="str">
            <v>Propio</v>
          </cell>
          <cell r="T176" t="str">
            <v>MERCEDES BENZ</v>
          </cell>
          <cell r="U176">
            <v>1218</v>
          </cell>
          <cell r="V176" t="str">
            <v>904938U0652693</v>
          </cell>
          <cell r="W176" t="str">
            <v>9BM6940006B446203</v>
          </cell>
          <cell r="X176">
            <v>2005</v>
          </cell>
          <cell r="Y176">
            <v>21</v>
          </cell>
          <cell r="Z176" t="str">
            <v>TDU</v>
          </cell>
          <cell r="AA176" t="str">
            <v>CMQ_TTE - QUILMES TTE</v>
          </cell>
          <cell r="AB176" t="str">
            <v>CMQ_TTE - QUILMES TTE</v>
          </cell>
          <cell r="AC176" t="str">
            <v>CMQ_TTE - QUILMES TTE</v>
          </cell>
          <cell r="AD176" t="str">
            <v>CMQ_TTE - QUILMES TTE</v>
          </cell>
          <cell r="AE176" t="str">
            <v>CMQ_TTE - QUILMES TTE</v>
          </cell>
          <cell r="AF176" t="str">
            <v>CMQ_TTE - QUILMES TTE</v>
          </cell>
          <cell r="AG176" t="str">
            <v>CMQ_TTE - QUILMES TTE</v>
          </cell>
          <cell r="AH176" t="str">
            <v>CMQ_TTE - QUILMES TTE</v>
          </cell>
          <cell r="AI176" t="str">
            <v>CMQ_TTE - QUILMES TTE</v>
          </cell>
          <cell r="AJ176" t="str">
            <v>CMQ_TTE - QUILMES TTE</v>
          </cell>
          <cell r="AK176" t="str">
            <v>CMQ_TTE - QUILMES TTE</v>
          </cell>
          <cell r="AL176" t="str">
            <v>CMQ_TTE - QUILMES TTE</v>
          </cell>
          <cell r="AM176" t="str">
            <v>CMQ_TTE - QUILMES TTE</v>
          </cell>
          <cell r="AN176" t="str">
            <v>CMQ_TTE - QUILMES TTE</v>
          </cell>
          <cell r="AO176" t="str">
            <v>CMQ_TTE - QUILMES TTE</v>
          </cell>
          <cell r="AP176" t="str">
            <v>AGN_TTE - AGUANORT - Transporte</v>
          </cell>
          <cell r="AQ176" t="str">
            <v>AGN_TTE - AGUANORT - Transporte</v>
          </cell>
          <cell r="AR176" t="str">
            <v>AGN_TTE - AGUANORT - Transporte</v>
          </cell>
          <cell r="AS176" t="str">
            <v>AGN_TTE - AGUANORT - Transporte</v>
          </cell>
          <cell r="AT176" t="str">
            <v>AGN_TTE - AGUANORT - Transporte</v>
          </cell>
          <cell r="AU176" t="str">
            <v>AGN_TTE - AGUANORT - Transporte</v>
          </cell>
          <cell r="AV176" t="str">
            <v>AGN_TTE - AGUANORT - Transporte</v>
          </cell>
          <cell r="AW176" t="str">
            <v>AGN_TTE - AGUANORT - Transporte</v>
          </cell>
          <cell r="AX176" t="str">
            <v>CMQ_TTE - QUILMES TTE</v>
          </cell>
          <cell r="AY176" t="str">
            <v>CMQ_TTE - QUILMES TTE</v>
          </cell>
          <cell r="AZ176" t="str">
            <v>CMQ_TTE - QUILMES TTE</v>
          </cell>
          <cell r="BA176" t="str">
            <v>CMQ_TTE - QUILMES TTE</v>
          </cell>
          <cell r="BB176" t="str">
            <v>CMQ_TTE - QUILMES TTE</v>
          </cell>
          <cell r="BC176" t="str">
            <v>CMQ_TTE - QUILMES TTE</v>
          </cell>
          <cell r="BD176" t="str">
            <v>CMQ_TTE - QUILMES TTE</v>
          </cell>
          <cell r="BE176" t="str">
            <v>CMQ_TTE - QUILMES TTE</v>
          </cell>
          <cell r="BF176" t="str">
            <v>CMQ_TTE - QUILMES TTE</v>
          </cell>
          <cell r="BG176" t="str">
            <v>CMQ_TTE - QUILMES TTE</v>
          </cell>
          <cell r="BH176" t="str">
            <v>CMQ_TTE - QUILMES TTE</v>
          </cell>
          <cell r="BI176" t="str">
            <v>ADA_MZA - Danone Arg. S.A. - MZA</v>
          </cell>
          <cell r="BJ176" t="str">
            <v>ADA_MZA - Danone Arg. S.A. - MZA</v>
          </cell>
          <cell r="BK176" t="str">
            <v>ADA_MZA - Danone Arg. S.A. - MZA</v>
          </cell>
          <cell r="BL176" t="str">
            <v>ADA_MZA - Danone Arg. S.A. - MZA</v>
          </cell>
          <cell r="BM176" t="str">
            <v>ADA_MZA - Danone Arg. S.A. - MZA</v>
          </cell>
          <cell r="BN176" t="str">
            <v>ADA_MZA - Danone Arg. S.A. - MZA</v>
          </cell>
          <cell r="BO176" t="str">
            <v>ADA_MZA - Danone Arg. S.A. - MZA</v>
          </cell>
          <cell r="BP176" t="str">
            <v>ADA_MZA - Danone Arg. S.A. - MZA</v>
          </cell>
          <cell r="BQ176" t="str">
            <v>ADA_MZA - Danone Arg. S.A. - MZA</v>
          </cell>
          <cell r="BR176" t="str">
            <v>ADA_MZA - Danone Arg. S.A. - MZA</v>
          </cell>
          <cell r="BS176" t="str">
            <v>ADA_MZA - Danone Arg. S.A. - MZA</v>
          </cell>
          <cell r="BT176" t="str">
            <v>CCU_MZA - Comp. Cerv. Unidas - MZA</v>
          </cell>
          <cell r="BU176" t="str">
            <v>CCU_MZA - Comp. Cerv. Unidas - MZA</v>
          </cell>
          <cell r="BV176" t="str">
            <v>CCU_MZA - Comp. Cerv. Unidas - MZA</v>
          </cell>
          <cell r="BW176" t="str">
            <v>CCU_MZA - Comp. Cerv. Unidas - MZA</v>
          </cell>
          <cell r="BX176" t="str">
            <v>CCU_MZA - Comp. Cerv. Unidas - MZA</v>
          </cell>
          <cell r="BY176" t="str">
            <v>CCU_MZA - Comp. Cerv. Unidas - MZA</v>
          </cell>
          <cell r="BZ176" t="str">
            <v>CCU_MZA - Comp. Cerv. Unidas - MZA</v>
          </cell>
          <cell r="CA176" t="str">
            <v>CCU_MZA - Comp. Cerv. Unidas - MZA</v>
          </cell>
          <cell r="CB176" t="str">
            <v>CCU_MZA - Comp. Cerv. Unidas - MZA</v>
          </cell>
          <cell r="CC176" t="str">
            <v>CCU_MZA - Comp. Cerv. Unidas - MZA</v>
          </cell>
          <cell r="CD176" t="str">
            <v>CCU_MZA - Comp. Cerv. Unidas - MZA</v>
          </cell>
          <cell r="CE176" t="str">
            <v>CCU_MZA - Comp. Cerv. Unidas - MZA</v>
          </cell>
          <cell r="CF176" t="str">
            <v>CCU_MZA - Comp. Cerv. Unidas - MZA</v>
          </cell>
          <cell r="CG176" t="str">
            <v>CCU_MZA - Comp. Cerv. Unidas - MZA</v>
          </cell>
          <cell r="CH176" t="str">
            <v>CCU_MZA - Comp. Cerv. Unidas - MZA</v>
          </cell>
          <cell r="CI176" t="str">
            <v>CCU_MZA - Comp. Cerv. Unidas - MZA</v>
          </cell>
          <cell r="CJ176" t="str">
            <v>CCU_MZA - Comp. Cerv. Unidas - MZA</v>
          </cell>
          <cell r="CK176" t="str">
            <v>CCU_MZA - Comp. Cerv. Unidas - MZA</v>
          </cell>
          <cell r="CL176" t="str">
            <v>CCU_MZA - Comp. Cerv. Unidas - MZA</v>
          </cell>
          <cell r="CM176" t="str">
            <v>CCU_MZA - Comp. Cerv. Unidas - MZA</v>
          </cell>
          <cell r="CN176" t="str">
            <v>CCU_MZA - Comp. Cerv. Unidas - MZA</v>
          </cell>
          <cell r="CO176" t="str">
            <v>CCU_MZA - Comp. Cerv. Unidas - MZA</v>
          </cell>
          <cell r="CP176" t="str">
            <v>CCU_MZA - Comp. Cerv. Unidas - MZA</v>
          </cell>
          <cell r="CQ176" t="str">
            <v>CCU_MZA - Comp. Cerv. Unidas - MZA</v>
          </cell>
          <cell r="CR176" t="str">
            <v>CCU_MZA - Comp. Cerv. Unidas - MZA</v>
          </cell>
          <cell r="CS176" t="str">
            <v>CCU_MZA - Comp. Cerv. Unidas - MZA</v>
          </cell>
          <cell r="CT176" t="str">
            <v>CCU_MZA - Comp. Cerv. Unidas - MZA</v>
          </cell>
          <cell r="CU176" t="str">
            <v>CCU_MZA - Comp. Cerv. Unidas - MZA</v>
          </cell>
          <cell r="CV176" t="str">
            <v>Sin Operación</v>
          </cell>
          <cell r="CW176" t="str">
            <v>Sin Operación</v>
          </cell>
        </row>
        <row r="177">
          <cell r="D177" t="str">
            <v>FFO440</v>
          </cell>
          <cell r="E177" t="str">
            <v>Chasis</v>
          </cell>
          <cell r="F177" t="str">
            <v>Chasis</v>
          </cell>
          <cell r="G177" t="str">
            <v>Chasis</v>
          </cell>
          <cell r="N177" t="str">
            <v>TDU</v>
          </cell>
          <cell r="O177" t="str">
            <v>TDU</v>
          </cell>
          <cell r="P177" t="str">
            <v>No</v>
          </cell>
          <cell r="Q177" t="str">
            <v>Propio</v>
          </cell>
          <cell r="R177">
            <v>12</v>
          </cell>
          <cell r="S177" t="str">
            <v>Propio</v>
          </cell>
          <cell r="T177" t="str">
            <v>MERCEDES BENZ</v>
          </cell>
          <cell r="U177">
            <v>1620</v>
          </cell>
          <cell r="V177" t="str">
            <v>377983U0652213</v>
          </cell>
          <cell r="W177" t="str">
            <v>9BM6950166B445963</v>
          </cell>
          <cell r="X177">
            <v>2005</v>
          </cell>
          <cell r="Y177">
            <v>21</v>
          </cell>
          <cell r="Z177" t="str">
            <v xml:space="preserve">Aguanort </v>
          </cell>
          <cell r="AA177" t="str">
            <v>AGN_TTE - AGUANORT - Transporte</v>
          </cell>
          <cell r="AB177" t="str">
            <v>AGN_TTE - AGUANORT - Transporte</v>
          </cell>
          <cell r="AC177" t="str">
            <v>AGN_TTE - AGUANORT - Transporte</v>
          </cell>
          <cell r="AD177" t="str">
            <v>AGN_TTE - AGUANORT - Transporte</v>
          </cell>
          <cell r="AE177" t="str">
            <v>AGN_TTE - AGUANORT - Transporte</v>
          </cell>
          <cell r="AF177" t="str">
            <v>AGN_TTE - AGUANORT - Transporte</v>
          </cell>
          <cell r="AG177" t="str">
            <v>AGN_TTE - AGUANORT - Transporte</v>
          </cell>
          <cell r="AH177" t="str">
            <v>AGN_TTE - AGUANORT - Transporte</v>
          </cell>
          <cell r="AI177" t="str">
            <v>AGN_TTE - AGUANORT - Transporte</v>
          </cell>
          <cell r="AJ177" t="str">
            <v>AGN_TTE - AGUANORT - Transporte</v>
          </cell>
          <cell r="AK177" t="str">
            <v>AGN_TTE - AGUANORT - Transporte</v>
          </cell>
          <cell r="AL177" t="str">
            <v>AGN_TTE - AGUANORT - Transporte</v>
          </cell>
          <cell r="AM177" t="str">
            <v>AGN_TTE - AGUANORT - Transporte</v>
          </cell>
          <cell r="AN177" t="str">
            <v>AGN_TTE - AGUANORT - Transporte</v>
          </cell>
          <cell r="AO177" t="str">
            <v>AGN_TTE - AGUANORT - Transporte</v>
          </cell>
          <cell r="AP177" t="str">
            <v>CMQ_TTE - QUILMES TTE</v>
          </cell>
          <cell r="AQ177" t="str">
            <v>CMQ_TTE - QUILMES TTE</v>
          </cell>
          <cell r="AR177" t="str">
            <v>CMQ_TTE - QUILMES TTE</v>
          </cell>
          <cell r="AS177" t="str">
            <v>CMQ_TTE - QUILMES TTE</v>
          </cell>
          <cell r="AT177" t="str">
            <v>CMQ_TTE - QUILMES TTE</v>
          </cell>
          <cell r="AU177" t="str">
            <v>CMQ_TTE - QUILMES TTE</v>
          </cell>
          <cell r="AV177" t="str">
            <v>CMQ_TTE - QUILMES TTE</v>
          </cell>
          <cell r="AW177" t="str">
            <v>CMQ_TTE - QUILMES TTE</v>
          </cell>
          <cell r="AX177" t="str">
            <v>CMQ_TTE - QUILMES TTE</v>
          </cell>
          <cell r="AY177" t="str">
            <v>CMQ_TTE - QUILMES TTE</v>
          </cell>
          <cell r="AZ177" t="str">
            <v>CMQ_TTE - QUILMES TTE</v>
          </cell>
          <cell r="BA177" t="str">
            <v>CMQ_TTE - QUILMES TTE</v>
          </cell>
          <cell r="BB177" t="str">
            <v>CMQ_TTE - QUILMES TTE</v>
          </cell>
          <cell r="BC177" t="str">
            <v>CMQ_TTE - QUILMES TTE</v>
          </cell>
          <cell r="BD177" t="str">
            <v>CMQ_TTE - QUILMES TTE</v>
          </cell>
          <cell r="BE177" t="str">
            <v>CMQ_TTE - QUILMES TTE</v>
          </cell>
          <cell r="BF177" t="str">
            <v>CMQ_TTE - QUILMES TTE</v>
          </cell>
          <cell r="BG177" t="str">
            <v>CMQ_TTE - QUILMES TTE</v>
          </cell>
          <cell r="BH177" t="str">
            <v>CMQ_TTE - QUILMES TTE</v>
          </cell>
          <cell r="BI177" t="str">
            <v>CMQ_TTE - QUILMES TTE</v>
          </cell>
          <cell r="BJ177" t="str">
            <v>CMQ_TTE - QUILMES TTE</v>
          </cell>
          <cell r="BK177" t="str">
            <v>CMQ_TTE - QUILMES TTE</v>
          </cell>
          <cell r="BL177" t="str">
            <v>CMQ_TTE - QUILMES TTE</v>
          </cell>
          <cell r="BM177" t="str">
            <v>CMQ_TTE - QUILMES TTE</v>
          </cell>
          <cell r="BN177" t="str">
            <v>CMQ_TTE - QUILMES TTE</v>
          </cell>
          <cell r="BO177" t="str">
            <v>CMQ_TTE - QUILMES TTE</v>
          </cell>
          <cell r="BP177" t="str">
            <v>CMQ_TTE - QUILMES TTE</v>
          </cell>
          <cell r="BQ177" t="str">
            <v>CMQ_TTE - QUILMES TTE</v>
          </cell>
          <cell r="BR177" t="str">
            <v>CMQ_TTE - QUILMES TTE</v>
          </cell>
          <cell r="BS177" t="str">
            <v>CMQ_TTE - QUILMES TTE</v>
          </cell>
          <cell r="BT177" t="str">
            <v>CMQ_TTE - QUILMES TTE</v>
          </cell>
          <cell r="BU177" t="str">
            <v>CMQ_TTE - QUILMES TTE</v>
          </cell>
          <cell r="BV177" t="str">
            <v>CMQ_TTE - QUILMES TTE</v>
          </cell>
          <cell r="BW177" t="str">
            <v>CMQ_TTE - QUILMES TTE</v>
          </cell>
          <cell r="BX177" t="str">
            <v>CMQ_TTE - QUILMES TTE</v>
          </cell>
          <cell r="BY177" t="str">
            <v>CMQ_TTE - QUILMES TTE</v>
          </cell>
          <cell r="BZ177" t="str">
            <v>CMQ_TTE - QUILMES TTE</v>
          </cell>
          <cell r="CA177" t="str">
            <v>CMQ_TTE - QUILMES TTE</v>
          </cell>
          <cell r="CB177" t="str">
            <v>CMQ_TTE - QUILMES TTE</v>
          </cell>
          <cell r="CC177" t="str">
            <v>CMQ_TTE - QUILMES TTE</v>
          </cell>
          <cell r="CD177" t="str">
            <v>CMQ_TTE - QUILMES TTE</v>
          </cell>
          <cell r="CE177" t="str">
            <v>CMQ_TTE - QUILMES TTE</v>
          </cell>
          <cell r="CF177" t="str">
            <v>CMQ_TTE - QUILMES TTE</v>
          </cell>
          <cell r="CG177" t="str">
            <v>CMQ_TTE - QUILMES TTE</v>
          </cell>
          <cell r="CH177" t="str">
            <v>CMQ_TTE - QUILMES TTE</v>
          </cell>
          <cell r="CI177" t="str">
            <v>CMQ_TTE - QUILMES TTE</v>
          </cell>
          <cell r="CJ177" t="str">
            <v>CMQ_TTE - QUILMES TTE</v>
          </cell>
          <cell r="CK177" t="str">
            <v>CMQ_TTE - QUILMES TTE</v>
          </cell>
          <cell r="CL177" t="str">
            <v>CMQ_TTE - QUILMES TTE</v>
          </cell>
          <cell r="CM177" t="str">
            <v>CMQ_TTE - QUILMES TTE</v>
          </cell>
          <cell r="CN177" t="str">
            <v>CMQ_TTE - QUILMES TTE</v>
          </cell>
          <cell r="CO177" t="str">
            <v>CMQ_TTE - QUILMES TTE</v>
          </cell>
          <cell r="CP177" t="str">
            <v>CMQ_TTE - QUILMES TTE</v>
          </cell>
          <cell r="CQ177" t="str">
            <v>CMQ_TTE - QUILMES TTE</v>
          </cell>
          <cell r="CR177" t="str">
            <v>Sin Operación</v>
          </cell>
          <cell r="CS177" t="str">
            <v>Sin Operación</v>
          </cell>
          <cell r="CT177" t="str">
            <v>Sin Operación</v>
          </cell>
          <cell r="CU177" t="str">
            <v>Sin Operación</v>
          </cell>
          <cell r="CV177" t="str">
            <v>Sin Operación</v>
          </cell>
          <cell r="CW177" t="str">
            <v>Sin Operación</v>
          </cell>
        </row>
        <row r="178">
          <cell r="D178" t="str">
            <v>FFV165</v>
          </cell>
          <cell r="E178" t="str">
            <v>Chasis</v>
          </cell>
          <cell r="F178" t="str">
            <v>Chasis</v>
          </cell>
          <cell r="G178" t="str">
            <v>Chasis</v>
          </cell>
          <cell r="N178" t="str">
            <v>TDU</v>
          </cell>
          <cell r="O178" t="str">
            <v>TDU</v>
          </cell>
          <cell r="P178" t="str">
            <v>No</v>
          </cell>
          <cell r="Q178" t="str">
            <v>Propio</v>
          </cell>
          <cell r="R178">
            <v>12</v>
          </cell>
          <cell r="S178" t="str">
            <v>Propio</v>
          </cell>
          <cell r="T178" t="str">
            <v>MERCEDES BENZ</v>
          </cell>
          <cell r="U178">
            <v>1620</v>
          </cell>
          <cell r="V178" t="str">
            <v>377983U0653225</v>
          </cell>
          <cell r="W178" t="str">
            <v>9BM6950146B447448</v>
          </cell>
          <cell r="X178">
            <v>2005</v>
          </cell>
          <cell r="Y178">
            <v>21</v>
          </cell>
          <cell r="Z178" t="str">
            <v>Papelera</v>
          </cell>
          <cell r="AA178" t="str">
            <v>Papelera - Papelera del Plata S.A.</v>
          </cell>
          <cell r="AB178" t="str">
            <v>Papelera - Papelera del Plata S.A.</v>
          </cell>
          <cell r="AC178" t="str">
            <v>ADA_Mino - Danone Arg. S.A. - Mino</v>
          </cell>
          <cell r="AD178" t="str">
            <v>CMQ_TTE - QUILMES TTE</v>
          </cell>
          <cell r="AE178" t="str">
            <v>CMQ_TTE - QUILMES TTE</v>
          </cell>
          <cell r="AF178" t="str">
            <v>CMQ_TTE - QUILMES TTE</v>
          </cell>
          <cell r="AG178" t="str">
            <v>CMQ_TTE - QUILMES TTE</v>
          </cell>
          <cell r="AH178" t="str">
            <v>CMQ_TTE - QUILMES TTE</v>
          </cell>
          <cell r="AI178" t="str">
            <v>CMQ_TTE - QUILMES TTE</v>
          </cell>
          <cell r="AJ178" t="str">
            <v>CMQ_TTE - QUILMES TTE</v>
          </cell>
          <cell r="AK178" t="str">
            <v>CMQ_TTE - QUILMES TTE</v>
          </cell>
          <cell r="AL178" t="str">
            <v>CMQ_TTE - QUILMES TTE</v>
          </cell>
          <cell r="AM178" t="str">
            <v>CMQ_TTE - QUILMES TTE</v>
          </cell>
          <cell r="AN178" t="str">
            <v>CMQ_TTE - QUILMES TTE</v>
          </cell>
          <cell r="AO178" t="str">
            <v>CMQ_TTE - QUILMES TTE</v>
          </cell>
          <cell r="AP178" t="str">
            <v>CMQ_TTE - QUILMES TTE</v>
          </cell>
          <cell r="AQ178" t="str">
            <v>CMQ_TTE - QUILMES TTE</v>
          </cell>
          <cell r="AR178" t="str">
            <v>CMQ_TTE - QUILMES TTE</v>
          </cell>
          <cell r="AS178" t="str">
            <v>CMQ_TTE - QUILMES TTE</v>
          </cell>
          <cell r="AT178" t="str">
            <v>CMQ_TTE - QUILMES TTE</v>
          </cell>
          <cell r="AU178" t="str">
            <v>CMQ_TTE - QUILMES TTE</v>
          </cell>
          <cell r="AV178" t="str">
            <v>CMQ_TTE - QUILMES TTE</v>
          </cell>
          <cell r="AW178" t="str">
            <v>CMQ_TTE - QUILMES TTE</v>
          </cell>
          <cell r="AX178" t="str">
            <v>CMQ_TTE - QUILMES TTE</v>
          </cell>
          <cell r="AY178" t="str">
            <v>CMQ_TTE - QUILMES TTE</v>
          </cell>
          <cell r="AZ178" t="str">
            <v>CMQ_TTE - QUILMES TTE</v>
          </cell>
          <cell r="BA178" t="str">
            <v>CMQ_TTE - QUILMES TTE</v>
          </cell>
          <cell r="BB178" t="str">
            <v>CMQ_TTE - QUILMES TTE</v>
          </cell>
          <cell r="BC178" t="str">
            <v>CMQ_TTE - QUILMES TTE</v>
          </cell>
          <cell r="BD178" t="str">
            <v>CMQ_TTE - QUILMES TTE</v>
          </cell>
          <cell r="BE178" t="str">
            <v>CMQ_TTE - QUILMES TTE</v>
          </cell>
          <cell r="BF178" t="str">
            <v>CMQ_TTE - QUILMES TTE</v>
          </cell>
          <cell r="BG178" t="str">
            <v>CMQ_TTE - QUILMES TTE</v>
          </cell>
          <cell r="BH178" t="str">
            <v>ADA_LP - Danone Arg. S.A. - LP</v>
          </cell>
          <cell r="BI178" t="str">
            <v>ADA_Mino - Danone Arg. S.A. - Mino</v>
          </cell>
          <cell r="BJ178" t="str">
            <v>ADA_Mino - Danone Arg. S.A. - Mino</v>
          </cell>
          <cell r="BK178" t="str">
            <v>ADA_Mino - Danone Arg. S.A. - Mino</v>
          </cell>
          <cell r="BL178" t="str">
            <v>ADA_Mino - Danone Arg. S.A. - Mino</v>
          </cell>
          <cell r="BM178" t="str">
            <v>ADA_Mino - Danone Arg. S.A. - Mino</v>
          </cell>
          <cell r="BN178" t="str">
            <v>ADA_Mino - Danone Arg. S.A. - Mino</v>
          </cell>
          <cell r="BO178" t="str">
            <v>ADA_Mino - Danone Arg. S.A. - Mino</v>
          </cell>
          <cell r="BP178" t="str">
            <v>ADA_Mino - Danone Arg. S.A. - Mino</v>
          </cell>
          <cell r="BQ178" t="str">
            <v>ADA_Mino - Danone Arg. S.A. - Mino</v>
          </cell>
          <cell r="BR178" t="str">
            <v>ADA_Mino - Danone Arg. S.A. - Mino</v>
          </cell>
          <cell r="BS178" t="str">
            <v>ADA_SMK - Danone Arg. S.A. - SMK</v>
          </cell>
          <cell r="BT178" t="str">
            <v>ADA_SMK - Danone Arg. S.A. - SMK</v>
          </cell>
          <cell r="BU178" t="str">
            <v>CCUDyAZA</v>
          </cell>
          <cell r="BV178" t="str">
            <v>CCUDyAZA</v>
          </cell>
          <cell r="BW178" t="str">
            <v>CCUDyAZA</v>
          </cell>
          <cell r="BX178" t="str">
            <v>CCUDyAZA</v>
          </cell>
          <cell r="BY178" t="str">
            <v>CCUDyAZA</v>
          </cell>
          <cell r="BZ178" t="str">
            <v>CCUDyAZA</v>
          </cell>
          <cell r="CA178" t="str">
            <v>CCUDyAZA</v>
          </cell>
          <cell r="CB178" t="str">
            <v>Sin Operación</v>
          </cell>
          <cell r="CC178" t="str">
            <v>Sin Operación</v>
          </cell>
          <cell r="CD178" t="str">
            <v>Sin Operación</v>
          </cell>
          <cell r="CE178" t="str">
            <v>Sin Operación</v>
          </cell>
          <cell r="CF178" t="str">
            <v>Sin Operación</v>
          </cell>
          <cell r="CG178" t="str">
            <v>Sin Operación</v>
          </cell>
          <cell r="CH178" t="str">
            <v>AGN_TTE - AGUANORT - Transporte</v>
          </cell>
          <cell r="CI178" t="str">
            <v>AGN_TTE - AGUANORT - Transporte</v>
          </cell>
          <cell r="CJ178" t="str">
            <v>AGN_TTE - AGUANORT - Transporte</v>
          </cell>
          <cell r="CK178" t="str">
            <v>AGN_TTE - AGUANORT - Transporte</v>
          </cell>
          <cell r="CL178" t="str">
            <v>AGN_TTE - AGUANORT - Transporte</v>
          </cell>
          <cell r="CM178" t="str">
            <v>AGN_TTE - AGUANORT - Transporte</v>
          </cell>
          <cell r="CN178" t="str">
            <v>AGN_TTE - AGUANORT - Transporte</v>
          </cell>
          <cell r="CO178" t="str">
            <v>AGN_TTE - AGUANORT - Transporte</v>
          </cell>
          <cell r="CP178" t="str">
            <v>AGN_TTE - AGUANORT - Transporte</v>
          </cell>
          <cell r="CQ178" t="str">
            <v>Sin Operación</v>
          </cell>
          <cell r="CR178" t="str">
            <v>Sin Operación</v>
          </cell>
          <cell r="CS178" t="str">
            <v>Sin Operación</v>
          </cell>
          <cell r="CT178" t="str">
            <v>Sin Operación</v>
          </cell>
          <cell r="CU178" t="str">
            <v>Sin Operación</v>
          </cell>
          <cell r="CV178" t="str">
            <v>Sin Operación</v>
          </cell>
          <cell r="CW178" t="str">
            <v>Sin Operación</v>
          </cell>
        </row>
        <row r="179">
          <cell r="D179" t="str">
            <v>FFV166</v>
          </cell>
          <cell r="E179" t="str">
            <v>Chasis</v>
          </cell>
          <cell r="F179" t="str">
            <v>Chasis</v>
          </cell>
          <cell r="G179" t="str">
            <v>Chasis</v>
          </cell>
          <cell r="N179" t="str">
            <v>CODYLSA</v>
          </cell>
          <cell r="O179" t="str">
            <v>CODYLSA</v>
          </cell>
          <cell r="P179" t="str">
            <v>No</v>
          </cell>
          <cell r="Q179" t="str">
            <v>Propio</v>
          </cell>
          <cell r="R179">
            <v>12</v>
          </cell>
          <cell r="S179" t="str">
            <v>Propio</v>
          </cell>
          <cell r="T179" t="str">
            <v>MERCEDES BENZ</v>
          </cell>
          <cell r="U179">
            <v>1620</v>
          </cell>
          <cell r="V179" t="str">
            <v>377983U0653208</v>
          </cell>
          <cell r="W179" t="str">
            <v>9BM6950146B447148</v>
          </cell>
          <cell r="X179">
            <v>2005</v>
          </cell>
          <cell r="Y179">
            <v>21</v>
          </cell>
          <cell r="Z179" t="str">
            <v>Danone Alianza</v>
          </cell>
          <cell r="AA179" t="str">
            <v>ADA_Mino - Danone Arg. S.A. - Mino</v>
          </cell>
          <cell r="AB179" t="str">
            <v>ADA_Mino - Danone Arg. S.A. - Mino</v>
          </cell>
          <cell r="AC179" t="str">
            <v>ADA_Mino - Danone Arg. S.A. - Mino</v>
          </cell>
          <cell r="AD179" t="str">
            <v>ADA_Mino - Danone Arg. S.A. - Mino</v>
          </cell>
          <cell r="AE179" t="str">
            <v>ADA_Mino - Danone Arg. S.A. - Mino</v>
          </cell>
          <cell r="AF179" t="str">
            <v>ADA_Mino - Danone Arg. S.A. - Mino</v>
          </cell>
          <cell r="AG179" t="str">
            <v>ADA_Mino - Danone Arg. S.A. - Mino</v>
          </cell>
          <cell r="AH179" t="str">
            <v>ADA_Mino - Danone Arg. S.A. - Mino</v>
          </cell>
          <cell r="AI179" t="str">
            <v>ADA_Mino - Danone Arg. S.A. - Mino</v>
          </cell>
          <cell r="AJ179" t="str">
            <v>ADA_Mino - Danone Arg. S.A. - Mino</v>
          </cell>
          <cell r="AK179" t="str">
            <v>ADA_Mino - Danone Arg. S.A. - Mino</v>
          </cell>
          <cell r="AL179" t="str">
            <v>ADA_Mino - Danone Arg. S.A. - Mino</v>
          </cell>
          <cell r="AM179" t="str">
            <v>ADA_Mino - Danone Arg. S.A. - Mino</v>
          </cell>
          <cell r="AN179" t="str">
            <v>ADA_Mino - Danone Arg. S.A. - Mino</v>
          </cell>
          <cell r="AO179" t="str">
            <v>ADA_Mino - Danone Arg. S.A. - Mino</v>
          </cell>
          <cell r="AP179" t="str">
            <v>ADA_Mino - Danone Arg. S.A. - Mino</v>
          </cell>
          <cell r="AQ179" t="str">
            <v>ADA_Mino - Danone Arg. S.A. - Mino</v>
          </cell>
          <cell r="AR179" t="str">
            <v>ADA_Mino - Danone Arg. S.A. - Mino</v>
          </cell>
          <cell r="AS179" t="str">
            <v>ADA_Mino - Danone Arg. S.A. - Mino</v>
          </cell>
          <cell r="AT179" t="str">
            <v>ADA_Mino - Danone Arg. S.A. - Mino</v>
          </cell>
          <cell r="AU179" t="str">
            <v>ADA_Mino - Danone Arg. S.A. - Mino</v>
          </cell>
          <cell r="AV179" t="str">
            <v>AdaMinZO - Danone Minorista Zona Oeste</v>
          </cell>
          <cell r="AW179" t="str">
            <v>AdaMinZO - Danone Minorista Zona Oeste</v>
          </cell>
          <cell r="AX179" t="str">
            <v>AdaMinZO - Danone Minorista Zona Oeste</v>
          </cell>
          <cell r="AY179" t="str">
            <v>AdaMinZO - Danone Minorista Zona Oeste</v>
          </cell>
          <cell r="AZ179" t="str">
            <v>AdaMinZO - Danone Minorista Zona Oeste</v>
          </cell>
          <cell r="BA179" t="str">
            <v>AdaMinZO - Danone Minorista Zona Oeste</v>
          </cell>
          <cell r="BB179" t="str">
            <v>AdaMinZO - Danone Minorista Zona Oeste</v>
          </cell>
          <cell r="BC179" t="str">
            <v>AdaMinZO - Danone Minorista Zona Oeste</v>
          </cell>
          <cell r="BD179" t="str">
            <v>AdaMinZO - Danone Minorista Zona Oeste</v>
          </cell>
          <cell r="BE179" t="str">
            <v>INACTIVO</v>
          </cell>
          <cell r="BF179" t="str">
            <v>ADA_Mino - Danone Arg. S.A. - Mino</v>
          </cell>
          <cell r="BG179" t="str">
            <v>ADA_Mino - Danone Arg. S.A. - Mino</v>
          </cell>
          <cell r="BH179" t="str">
            <v>ADA_Mino - Danone Arg. S.A. - Mino</v>
          </cell>
          <cell r="BI179" t="str">
            <v>ADA_Mino - Danone Arg. S.A. - Mino</v>
          </cell>
          <cell r="BJ179" t="str">
            <v>ADA_Mino - Danone Arg. S.A. - Mino</v>
          </cell>
          <cell r="BK179" t="str">
            <v>ADA_Mino - Danone Arg. S.A. - Mino</v>
          </cell>
          <cell r="BL179" t="str">
            <v>ADA_Mino - Danone Arg. S.A. - Mino</v>
          </cell>
          <cell r="BM179" t="str">
            <v>ADA_Mino - Danone Arg. S.A. - Mino</v>
          </cell>
          <cell r="BN179" t="str">
            <v>ADA_Mino - Danone Arg. S.A. - Mino</v>
          </cell>
          <cell r="BO179" t="str">
            <v>ADA_Mino - Danone Arg. S.A. - Mino</v>
          </cell>
          <cell r="BP179" t="str">
            <v>ADA_Mino - Danone Arg. S.A. - Mino</v>
          </cell>
          <cell r="BQ179" t="str">
            <v>ADA_Mino - Danone Arg. S.A. - Mino</v>
          </cell>
          <cell r="BR179" t="str">
            <v>ADA_Mino - Danone Arg. S.A. - Mino</v>
          </cell>
          <cell r="BS179" t="str">
            <v>ADA_SMK - Danone Arg. S.A. - SMK</v>
          </cell>
          <cell r="BT179" t="str">
            <v>ADA_SMK - Danone Arg. S.A. - SMK</v>
          </cell>
          <cell r="BU179" t="str">
            <v>CCUDyAZA</v>
          </cell>
          <cell r="BV179" t="str">
            <v>CCUDyAZA</v>
          </cell>
          <cell r="BW179" t="str">
            <v>CCUDyAZA</v>
          </cell>
          <cell r="BX179" t="str">
            <v>CCUDyAZA</v>
          </cell>
          <cell r="BY179" t="str">
            <v>CCUDyAZA</v>
          </cell>
          <cell r="BZ179" t="str">
            <v>CCUDyAZA</v>
          </cell>
          <cell r="CA179" t="str">
            <v>CCUDyAZA</v>
          </cell>
          <cell r="CB179" t="str">
            <v>Sin Operación</v>
          </cell>
          <cell r="CC179" t="str">
            <v>Sin Operación</v>
          </cell>
          <cell r="CD179" t="str">
            <v>Topacio</v>
          </cell>
          <cell r="CE179" t="str">
            <v>Topacio</v>
          </cell>
          <cell r="CF179" t="str">
            <v>Topacio</v>
          </cell>
          <cell r="CG179" t="str">
            <v>Topacio</v>
          </cell>
          <cell r="CH179" t="str">
            <v>Topacio</v>
          </cell>
          <cell r="CI179" t="str">
            <v>Topacio</v>
          </cell>
          <cell r="CJ179" t="str">
            <v>Topacio</v>
          </cell>
          <cell r="CK179" t="str">
            <v>AGN_TTE - AGUANORT - Transporte</v>
          </cell>
          <cell r="CL179" t="str">
            <v>AGN_TTE - AGUANORT - Transporte</v>
          </cell>
          <cell r="CM179" t="str">
            <v>AGN_TTE - AGUANORT - Transporte</v>
          </cell>
          <cell r="CN179" t="str">
            <v>AGN_TTE - AGUANORT - Transporte</v>
          </cell>
          <cell r="CO179" t="str">
            <v>AGN_TTE - AGUANORT - Transporte</v>
          </cell>
          <cell r="CP179" t="str">
            <v>AGN_TTE - AGUANORT - Transporte</v>
          </cell>
          <cell r="CQ179" t="str">
            <v>Sin Operación</v>
          </cell>
          <cell r="CR179" t="str">
            <v>Sin Operación</v>
          </cell>
          <cell r="CS179" t="str">
            <v>Sin Operación</v>
          </cell>
          <cell r="CT179" t="str">
            <v>Sin Operación</v>
          </cell>
          <cell r="CU179" t="str">
            <v>Sin Operación</v>
          </cell>
          <cell r="CV179" t="str">
            <v>Sin Operación</v>
          </cell>
          <cell r="CW179" t="str">
            <v>Sin Operación</v>
          </cell>
        </row>
        <row r="180">
          <cell r="D180" t="str">
            <v>FGG476</v>
          </cell>
          <cell r="E180" t="str">
            <v>Chasis</v>
          </cell>
          <cell r="F180" t="str">
            <v>Chasis</v>
          </cell>
          <cell r="G180" t="str">
            <v>Chasis</v>
          </cell>
          <cell r="N180" t="str">
            <v>TDU</v>
          </cell>
          <cell r="O180" t="str">
            <v>TDU</v>
          </cell>
          <cell r="P180" t="str">
            <v>No</v>
          </cell>
          <cell r="Q180" t="str">
            <v>Propio</v>
          </cell>
          <cell r="R180" t="str">
            <v>-</v>
          </cell>
          <cell r="S180" t="str">
            <v>Propio</v>
          </cell>
          <cell r="T180" t="str">
            <v>MERCEDES BENZ</v>
          </cell>
          <cell r="U180">
            <v>1620</v>
          </cell>
          <cell r="V180" t="str">
            <v>377983U0657279</v>
          </cell>
          <cell r="W180" t="str">
            <v>9BM6950146B451882</v>
          </cell>
          <cell r="X180">
            <v>2005</v>
          </cell>
          <cell r="Y180">
            <v>21</v>
          </cell>
          <cell r="Z180" t="str">
            <v>TDU</v>
          </cell>
          <cell r="AA180" t="str">
            <v>CMQ_TTE - QUILMES TTE</v>
          </cell>
          <cell r="AB180" t="str">
            <v>CMQ_TTE - QUILMES TTE</v>
          </cell>
          <cell r="AC180" t="str">
            <v>CMQ_TTE - QUILMES TTE</v>
          </cell>
          <cell r="AD180" t="str">
            <v>CMQ_TTE - QUILMES TTE</v>
          </cell>
          <cell r="AE180" t="str">
            <v>CMQ_TTE - QUILMES TTE</v>
          </cell>
          <cell r="AF180" t="str">
            <v>CMQ_TTE - QUILMES TTE</v>
          </cell>
          <cell r="AG180" t="str">
            <v>CMQ_TTE - QUILMES TTE</v>
          </cell>
          <cell r="AH180" t="str">
            <v>CMQ_TTE - QUILMES TTE</v>
          </cell>
          <cell r="AI180" t="str">
            <v>CMQ_TTE - QUILMES TTE</v>
          </cell>
          <cell r="AJ180" t="str">
            <v>CMQ_TTE - QUILMES TTE</v>
          </cell>
          <cell r="AK180" t="str">
            <v>CMQ_TTE - QUILMES TTE</v>
          </cell>
          <cell r="AL180" t="str">
            <v>CMQ_TTE - QUILMES TTE</v>
          </cell>
          <cell r="AM180" t="str">
            <v>CMQ_TTE - QUILMES TTE</v>
          </cell>
          <cell r="AN180" t="str">
            <v>CMQ_TTE - QUILMES TTE</v>
          </cell>
          <cell r="AO180" t="str">
            <v>CMQ_TTE - QUILMES TTE</v>
          </cell>
          <cell r="AP180" t="str">
            <v>CMQ_TTE - QUILMES TTE</v>
          </cell>
          <cell r="AQ180" t="str">
            <v>CMQ_TTE - QUILMES TTE</v>
          </cell>
          <cell r="AR180" t="str">
            <v>CMQ_TTE - QUILMES TTE</v>
          </cell>
          <cell r="AS180" t="str">
            <v>CMQ_TTE - QUILMES TTE</v>
          </cell>
          <cell r="AT180" t="str">
            <v>CMQ_TTE - QUILMES TTE</v>
          </cell>
          <cell r="AU180" t="str">
            <v>CMQ_TTE - QUILMES TTE</v>
          </cell>
          <cell r="AV180" t="str">
            <v>CMQ_TTE - QUILMES TTE</v>
          </cell>
          <cell r="AW180" t="str">
            <v>CMQ_TTE - QUILMES TTE</v>
          </cell>
          <cell r="AX180" t="str">
            <v>CMQ_TTE - QUILMES TTE</v>
          </cell>
          <cell r="AY180" t="str">
            <v>CMQ_TTE - QUILMES TTE</v>
          </cell>
          <cell r="AZ180" t="str">
            <v>CMQ_TTE - QUILMES TTE</v>
          </cell>
          <cell r="BA180" t="str">
            <v>CMQ_TTE - QUILMES TTE</v>
          </cell>
          <cell r="BB180" t="str">
            <v>CMQ_TTE - QUILMES TTE</v>
          </cell>
          <cell r="BC180" t="str">
            <v>CMQ_TTE - QUILMES TTE</v>
          </cell>
          <cell r="BD180" t="str">
            <v>CMQ_TTE - QUILMES TTE</v>
          </cell>
          <cell r="BE180" t="str">
            <v>CMQ_TTE - QUILMES TTE</v>
          </cell>
          <cell r="BF180" t="str">
            <v>CMQ_TTE - QUILMES TTE</v>
          </cell>
          <cell r="BG180" t="str">
            <v>CMQ_TTE - QUILMES TTE</v>
          </cell>
          <cell r="BH180" t="str">
            <v>CMQ_TTE - QUILMES TTE</v>
          </cell>
          <cell r="BI180" t="str">
            <v>CMQ_TTE - QUILMES TTE</v>
          </cell>
          <cell r="BJ180" t="str">
            <v>CMQ_TTE - QUILMES TTE</v>
          </cell>
          <cell r="BK180" t="str">
            <v>CMQ_TTE - QUILMES TTE</v>
          </cell>
          <cell r="BL180" t="str">
            <v>CMQ_TTE - QUILMES TTE</v>
          </cell>
          <cell r="BM180" t="str">
            <v>CMQ_TTE - QUILMES TTE</v>
          </cell>
          <cell r="BN180" t="str">
            <v>INACTIVO</v>
          </cell>
          <cell r="BO180" t="str">
            <v>INACTIVO</v>
          </cell>
          <cell r="BP180" t="str">
            <v>INACTIVO</v>
          </cell>
          <cell r="BQ180" t="str">
            <v>INACTIVO</v>
          </cell>
          <cell r="BR180" t="str">
            <v>INACTIVO</v>
          </cell>
          <cell r="BS180" t="str">
            <v>INACTIVO</v>
          </cell>
          <cell r="BT180" t="str">
            <v>INACTIVO</v>
          </cell>
          <cell r="BU180" t="str">
            <v>INACTIVO</v>
          </cell>
          <cell r="BV180" t="str">
            <v>INACTIVO</v>
          </cell>
          <cell r="BW180" t="str">
            <v>BAJA</v>
          </cell>
          <cell r="BX180" t="str">
            <v>BAJA</v>
          </cell>
          <cell r="BY180" t="str">
            <v>BAJA</v>
          </cell>
          <cell r="BZ180" t="str">
            <v>BAJA</v>
          </cell>
          <cell r="CA180" t="str">
            <v>BAJA</v>
          </cell>
          <cell r="CB180" t="str">
            <v>BAJA</v>
          </cell>
          <cell r="CC180" t="str">
            <v>BAJA</v>
          </cell>
          <cell r="CD180" t="str">
            <v>BAJA</v>
          </cell>
          <cell r="CE180" t="str">
            <v>BAJA</v>
          </cell>
          <cell r="CF180" t="str">
            <v>BAJA</v>
          </cell>
          <cell r="CG180" t="str">
            <v>BAJA</v>
          </cell>
          <cell r="CH180" t="str">
            <v>BAJA</v>
          </cell>
          <cell r="CI180" t="str">
            <v>BAJA</v>
          </cell>
          <cell r="CJ180" t="str">
            <v>BAJA</v>
          </cell>
          <cell r="CK180" t="str">
            <v>BAJA</v>
          </cell>
          <cell r="CL180" t="str">
            <v>BAJA</v>
          </cell>
          <cell r="CM180" t="str">
            <v>BAJA</v>
          </cell>
          <cell r="CN180" t="str">
            <v>BAJA</v>
          </cell>
          <cell r="CO180" t="str">
            <v>BAJA</v>
          </cell>
          <cell r="CP180" t="str">
            <v>BAJA</v>
          </cell>
          <cell r="CQ180" t="str">
            <v>BAJA</v>
          </cell>
          <cell r="CR180" t="str">
            <v>BAJA</v>
          </cell>
          <cell r="CS180" t="str">
            <v>BAJA</v>
          </cell>
          <cell r="CT180" t="str">
            <v>BAJA</v>
          </cell>
          <cell r="CU180" t="str">
            <v>BAJA</v>
          </cell>
          <cell r="CV180" t="str">
            <v>BAJA</v>
          </cell>
          <cell r="CW180" t="str">
            <v>BAJA</v>
          </cell>
        </row>
        <row r="181">
          <cell r="D181" t="str">
            <v>FGV321</v>
          </cell>
          <cell r="E181" t="str">
            <v>Chasis</v>
          </cell>
          <cell r="F181" t="str">
            <v>Chasis</v>
          </cell>
          <cell r="G181" t="str">
            <v>Chasis</v>
          </cell>
          <cell r="N181" t="str">
            <v>CODYLSA</v>
          </cell>
          <cell r="O181" t="str">
            <v>CODYLSA</v>
          </cell>
          <cell r="P181" t="str">
            <v>No</v>
          </cell>
          <cell r="Q181" t="str">
            <v>Propio</v>
          </cell>
          <cell r="R181">
            <v>12</v>
          </cell>
          <cell r="S181" t="str">
            <v>Propio</v>
          </cell>
          <cell r="T181" t="str">
            <v>MERCEDES BENZ</v>
          </cell>
          <cell r="U181">
            <v>1218</v>
          </cell>
          <cell r="V181" t="str">
            <v>904938U0652324</v>
          </cell>
          <cell r="W181" t="str">
            <v>9BM6940006B445960</v>
          </cell>
          <cell r="X181">
            <v>2005</v>
          </cell>
          <cell r="Y181">
            <v>21</v>
          </cell>
          <cell r="Z181" t="str">
            <v>Danone Alianza</v>
          </cell>
          <cell r="AA181" t="str">
            <v>ADA_Mino - Danone Arg. S.A. - Mino</v>
          </cell>
          <cell r="AB181" t="str">
            <v>ADA_Mino - Danone Arg. S.A. - Mino</v>
          </cell>
          <cell r="AC181" t="str">
            <v>ADA_Mino - Danone Arg. S.A. - Mino</v>
          </cell>
          <cell r="AD181" t="str">
            <v>ADA_Mino - Danone Arg. S.A. - Mino</v>
          </cell>
          <cell r="AE181" t="str">
            <v>ADA_Mino - Danone Arg. S.A. - Mino</v>
          </cell>
          <cell r="AF181" t="str">
            <v>ADA_Mino - Danone Arg. S.A. - Mino</v>
          </cell>
          <cell r="AG181" t="str">
            <v>ADA_Mino - Danone Arg. S.A. - Mino</v>
          </cell>
          <cell r="AH181" t="str">
            <v>ADA_Mino - Danone Arg. S.A. - Mino</v>
          </cell>
          <cell r="AI181" t="str">
            <v>ADA_Mino - Danone Arg. S.A. - Mino</v>
          </cell>
          <cell r="AJ181" t="str">
            <v>ADA_Mino - Danone Arg. S.A. - Mino</v>
          </cell>
          <cell r="AK181" t="str">
            <v>ADA_Mino - Danone Arg. S.A. - Mino</v>
          </cell>
          <cell r="AL181" t="str">
            <v>ADA_LP - Danone Arg. S.A. - LP</v>
          </cell>
          <cell r="AM181" t="str">
            <v>ADA_LP - Danone Arg. S.A. - LP</v>
          </cell>
          <cell r="AN181" t="str">
            <v>ADA_LP - Danone Arg. S.A. - LP</v>
          </cell>
          <cell r="AO181" t="str">
            <v>ADA_LP - Danone Arg. S.A. - LP</v>
          </cell>
          <cell r="AP181" t="str">
            <v>ADA_LP - Danone Arg. S.A. - LP</v>
          </cell>
          <cell r="AQ181" t="str">
            <v>ADA_LP - Danone Arg. S.A. - LP</v>
          </cell>
          <cell r="AR181" t="str">
            <v>ADA_LP - Danone Arg. S.A. - LP</v>
          </cell>
          <cell r="AS181" t="str">
            <v>ADA_LP - Danone Arg. S.A. - LP</v>
          </cell>
          <cell r="AT181" t="str">
            <v>ADA_LP - Danone Arg. S.A. - LP</v>
          </cell>
          <cell r="AU181" t="str">
            <v>ADA_LP - Danone Arg. S.A. - LP</v>
          </cell>
          <cell r="AV181" t="str">
            <v>ADA_LP - Danone Arg. S.A. - LP</v>
          </cell>
          <cell r="AW181" t="str">
            <v>ADA_LP - Danone Arg. S.A. - LP</v>
          </cell>
          <cell r="AX181" t="str">
            <v>ADA_LP - Danone Arg. S.A. - LP</v>
          </cell>
          <cell r="AY181" t="str">
            <v>ADA_LP - Danone Arg. S.A. - LP</v>
          </cell>
          <cell r="AZ181" t="str">
            <v>ADA_LP - Danone Arg. S.A. - LP</v>
          </cell>
          <cell r="BA181" t="str">
            <v>ADA_LP - Danone Arg. S.A. - LP</v>
          </cell>
          <cell r="BB181" t="str">
            <v>ADA_LP - Danone Arg. S.A. - LP</v>
          </cell>
          <cell r="BC181" t="str">
            <v>ADA_LP - Danone Arg. S.A. - LP</v>
          </cell>
          <cell r="BD181" t="str">
            <v>ADA_LP - Danone Arg. S.A. - LP</v>
          </cell>
          <cell r="BE181" t="str">
            <v>ADA_LP - Danone Arg. S.A. - LP</v>
          </cell>
          <cell r="BF181" t="str">
            <v>ADA_LP - Danone Arg. S.A. - LP</v>
          </cell>
          <cell r="BG181" t="str">
            <v>ADA_LP - Danone Arg. S.A. - LP</v>
          </cell>
          <cell r="BH181" t="str">
            <v>ADA_LP - Danone Arg. S.A. - LP</v>
          </cell>
          <cell r="BI181" t="str">
            <v>ADA_LP - Danone Arg. S.A. - LP</v>
          </cell>
          <cell r="BJ181" t="str">
            <v>ADA_LP - Danone Arg. S.A. - LP</v>
          </cell>
          <cell r="BK181" t="str">
            <v>ADA_LP - Danone Arg. S.A. - LP</v>
          </cell>
          <cell r="BL181" t="str">
            <v>ADA_LP - Danone Arg. S.A. - LP</v>
          </cell>
          <cell r="BM181" t="str">
            <v>ADA_LP - Danone Arg. S.A. - LP</v>
          </cell>
          <cell r="BN181" t="str">
            <v>ADA_LP - Danone Arg. S.A. - LP</v>
          </cell>
          <cell r="BO181" t="str">
            <v>ADA_LP - Danone Arg. S.A. - LP</v>
          </cell>
          <cell r="BP181" t="str">
            <v>ADA_LP - Danone Arg. S.A. - LP</v>
          </cell>
          <cell r="BQ181" t="str">
            <v>ADA_LP - Danone Arg. S.A. - LP</v>
          </cell>
          <cell r="BR181" t="str">
            <v>ADA_LP - Danone Arg. S.A. - LP</v>
          </cell>
          <cell r="BS181" t="str">
            <v>ADA_LP - Danone Arg. S.A. - LP</v>
          </cell>
          <cell r="BT181" t="str">
            <v>ADA_LP - Danone Arg. S.A. - LP</v>
          </cell>
          <cell r="BU181" t="str">
            <v>CCUCoAZA</v>
          </cell>
          <cell r="BV181" t="str">
            <v>CCUCoAZA</v>
          </cell>
          <cell r="BW181" t="str">
            <v>CCUCoAZA</v>
          </cell>
          <cell r="BX181" t="str">
            <v>CCUCoAZA</v>
          </cell>
          <cell r="BY181" t="str">
            <v>CCUCoAZA</v>
          </cell>
          <cell r="BZ181" t="str">
            <v>CCUCoAZA</v>
          </cell>
          <cell r="CA181" t="str">
            <v>CCUCoAZA</v>
          </cell>
          <cell r="CB181" t="str">
            <v>CCUCoAZA</v>
          </cell>
          <cell r="CC181" t="str">
            <v>CCUCoAZA</v>
          </cell>
          <cell r="CD181" t="str">
            <v>CCUCoAZA</v>
          </cell>
          <cell r="CE181" t="str">
            <v>CCUCoAZA</v>
          </cell>
          <cell r="CF181" t="str">
            <v>CCUCoAZA</v>
          </cell>
          <cell r="CG181" t="str">
            <v>CCUCoAZA</v>
          </cell>
          <cell r="CH181" t="str">
            <v>CCUCoAZA</v>
          </cell>
          <cell r="CI181" t="str">
            <v>CCUCoAZA</v>
          </cell>
          <cell r="CJ181" t="str">
            <v>CCUCoAZA</v>
          </cell>
          <cell r="CK181" t="str">
            <v>CCUCoAZA</v>
          </cell>
          <cell r="CL181" t="str">
            <v>CCUCoAZA</v>
          </cell>
          <cell r="CM181" t="str">
            <v>CCUCoAZA</v>
          </cell>
          <cell r="CN181" t="str">
            <v>CCUCoAZA</v>
          </cell>
          <cell r="CO181" t="str">
            <v>CCUCoAZA</v>
          </cell>
          <cell r="CP181" t="str">
            <v>CCUCoAZA</v>
          </cell>
          <cell r="CQ181" t="str">
            <v>CCUCoAZA</v>
          </cell>
          <cell r="CR181" t="str">
            <v>CCUCoAZA</v>
          </cell>
          <cell r="CS181" t="str">
            <v>CCUCoAZA</v>
          </cell>
          <cell r="CT181" t="str">
            <v>CCUCoAZA</v>
          </cell>
          <cell r="CU181" t="str">
            <v>CCUCoAZA</v>
          </cell>
          <cell r="CV181" t="str">
            <v>CCUCoAZA</v>
          </cell>
          <cell r="CW181" t="str">
            <v>CCUCoAZA</v>
          </cell>
        </row>
        <row r="182">
          <cell r="D182" t="str">
            <v>FHJ542</v>
          </cell>
          <cell r="E182" t="str">
            <v>Semi corto</v>
          </cell>
          <cell r="F182">
            <v>0</v>
          </cell>
          <cell r="G182" t="str">
            <v>Semiremolque</v>
          </cell>
          <cell r="N182" t="str">
            <v>MENDEZ CARLOS FABIAN(UNOTRUCKS)</v>
          </cell>
          <cell r="O182" t="str">
            <v>MENDEZ CARLOS FABIAN(UNOTRUCKS)</v>
          </cell>
          <cell r="P182" t="str">
            <v>No</v>
          </cell>
          <cell r="Q182" t="str">
            <v>Alquilados</v>
          </cell>
          <cell r="R182" t="str">
            <v>-</v>
          </cell>
          <cell r="S182" t="str">
            <v>Alquilados</v>
          </cell>
          <cell r="T182" t="str">
            <v>HELVETICA</v>
          </cell>
          <cell r="U182" t="str">
            <v>AC3E</v>
          </cell>
          <cell r="V182">
            <v>2005</v>
          </cell>
          <cell r="W182">
            <v>21</v>
          </cell>
          <cell r="X182">
            <v>2005</v>
          </cell>
          <cell r="Y182">
            <v>21</v>
          </cell>
          <cell r="Z182" t="str">
            <v>Jumbo Mendoza</v>
          </cell>
          <cell r="AA182" t="str">
            <v>CENCO_MZ - Cencosud SA - Mendoza</v>
          </cell>
          <cell r="AB182" t="str">
            <v>CENCO_MZ - Cencosud SA - Mendoza</v>
          </cell>
          <cell r="AC182" t="str">
            <v>CENCO_MZ - Cencosud SA - Mendoza</v>
          </cell>
          <cell r="AD182" t="str">
            <v>CENCO_MZ - Cencosud SA - Mendoza</v>
          </cell>
          <cell r="AE182" t="str">
            <v>CENCO_MZ - Cencosud SA - Mendoza</v>
          </cell>
          <cell r="AF182" t="str">
            <v>CENCO_MZ - Cencosud SA - Mendoza</v>
          </cell>
          <cell r="AG182" t="str">
            <v>CENCO_MZ - Cencosud SA - Mendoza</v>
          </cell>
          <cell r="AH182" t="str">
            <v>CENCO_MZ - Cencosud SA - Mendoza</v>
          </cell>
          <cell r="AI182" t="str">
            <v>CENCO_MZ - Cencosud SA - Mendoza</v>
          </cell>
          <cell r="AJ182" t="str">
            <v>CENCO_MZ - Cencosud SA - Mendoza</v>
          </cell>
          <cell r="AK182" t="str">
            <v>CENCO_MZ - Cencosud SA - Mendoza</v>
          </cell>
          <cell r="AL182" t="str">
            <v>CENCO_MZ - Cencosud SA - Mendoza</v>
          </cell>
          <cell r="AM182" t="str">
            <v>CENCO_MZ - Cencosud SA - Mendoza</v>
          </cell>
          <cell r="AN182" t="str">
            <v>CENCO_MZ - Cencosud SA - Mendoza</v>
          </cell>
          <cell r="AO182" t="str">
            <v>CENCO_MZ - Cencosud SA - Mendoza</v>
          </cell>
          <cell r="AP182" t="str">
            <v>CENCO_MZ - Cencosud SA - Mendoza</v>
          </cell>
          <cell r="AQ182" t="str">
            <v>CENCO_MZ - Cencosud SA - Mendoza</v>
          </cell>
          <cell r="AR182" t="str">
            <v>CENCO_MZ - Cencosud SA - Mendoza</v>
          </cell>
          <cell r="AS182" t="str">
            <v>CENCO_MZ - Cencosud SA - Mendoza</v>
          </cell>
          <cell r="AT182" t="str">
            <v>CENCO_MZ - Cencosud SA - Mendoza</v>
          </cell>
          <cell r="AU182" t="str">
            <v>CENCO_MZ - Cencosud SA - Mendoza</v>
          </cell>
          <cell r="AV182" t="str">
            <v>CENCO_MZ - Cencosud SA - Mendoza</v>
          </cell>
          <cell r="AW182" t="str">
            <v>CENCO_MZ - Cencosud SA - Mendoza</v>
          </cell>
          <cell r="AX182" t="str">
            <v>CENCO_MZ - Cencosud SA - Mendoza</v>
          </cell>
          <cell r="AY182" t="str">
            <v>CENCO_MZ - Cencosud SA - Mendoza</v>
          </cell>
          <cell r="AZ182" t="str">
            <v>CENCO_MZ - Cencosud SA - Mendoza</v>
          </cell>
          <cell r="BA182" t="str">
            <v>CENCO_MZ - Cencosud SA - Mendoza</v>
          </cell>
          <cell r="BB182" t="str">
            <v>INACTIVO</v>
          </cell>
          <cell r="BC182" t="str">
            <v>INACTIVO</v>
          </cell>
          <cell r="BD182" t="str">
            <v>INACTIVO</v>
          </cell>
          <cell r="BE182" t="str">
            <v>INACTIVO</v>
          </cell>
          <cell r="BF182" t="str">
            <v>INACTIVO</v>
          </cell>
          <cell r="BG182" t="str">
            <v>INACTIVO</v>
          </cell>
          <cell r="BH182" t="str">
            <v>INACTIVO</v>
          </cell>
          <cell r="BI182" t="str">
            <v>INACTIVO</v>
          </cell>
          <cell r="BJ182" t="str">
            <v>INACTIVO</v>
          </cell>
          <cell r="BK182" t="str">
            <v>INACTIVO</v>
          </cell>
          <cell r="BL182" t="str">
            <v>INACTIVO</v>
          </cell>
          <cell r="BM182" t="str">
            <v>INACTIVO</v>
          </cell>
          <cell r="BN182" t="str">
            <v>INACTIVO</v>
          </cell>
          <cell r="BO182" t="str">
            <v>INACTIVO</v>
          </cell>
          <cell r="BP182" t="str">
            <v>INACTIVO</v>
          </cell>
          <cell r="BQ182" t="str">
            <v>INACTIVO</v>
          </cell>
          <cell r="BR182" t="str">
            <v>INACTIVO</v>
          </cell>
          <cell r="BS182" t="str">
            <v>INACTIVO</v>
          </cell>
          <cell r="BT182" t="str">
            <v>INACTIVO</v>
          </cell>
          <cell r="BU182" t="str">
            <v>INACTIVO</v>
          </cell>
          <cell r="BV182" t="str">
            <v>INACTIVO</v>
          </cell>
          <cell r="BW182" t="str">
            <v>INACTIVO</v>
          </cell>
          <cell r="BX182" t="str">
            <v>INACTIVO</v>
          </cell>
          <cell r="BY182" t="str">
            <v>INACTIVO</v>
          </cell>
          <cell r="BZ182" t="str">
            <v>INACTIVO</v>
          </cell>
          <cell r="CA182" t="str">
            <v>INACTIVO</v>
          </cell>
          <cell r="CB182" t="str">
            <v>INACTIVO</v>
          </cell>
          <cell r="CC182" t="str">
            <v>BAJA</v>
          </cell>
          <cell r="CD182" t="str">
            <v>BAJA</v>
          </cell>
          <cell r="CE182" t="str">
            <v>BAJA</v>
          </cell>
          <cell r="CF182" t="str">
            <v>BAJA</v>
          </cell>
          <cell r="CG182" t="str">
            <v>BAJA</v>
          </cell>
          <cell r="CH182" t="str">
            <v>BAJA</v>
          </cell>
          <cell r="CI182" t="str">
            <v>BAJA</v>
          </cell>
          <cell r="CJ182" t="str">
            <v>BAJA</v>
          </cell>
          <cell r="CK182" t="str">
            <v>BAJA</v>
          </cell>
          <cell r="CL182" t="str">
            <v>BAJA</v>
          </cell>
          <cell r="CM182" t="str">
            <v>BAJA</v>
          </cell>
          <cell r="CN182" t="str">
            <v>BAJA</v>
          </cell>
          <cell r="CO182" t="str">
            <v>BAJA</v>
          </cell>
          <cell r="CP182" t="str">
            <v>BAJA</v>
          </cell>
          <cell r="CQ182" t="str">
            <v>BAJA</v>
          </cell>
          <cell r="CR182" t="str">
            <v>BAJA</v>
          </cell>
          <cell r="CS182" t="str">
            <v>BAJA</v>
          </cell>
          <cell r="CT182" t="str">
            <v>BAJA</v>
          </cell>
          <cell r="CU182" t="str">
            <v>BAJA</v>
          </cell>
          <cell r="CV182" t="str">
            <v>BAJA</v>
          </cell>
          <cell r="CW182" t="str">
            <v>BAJA</v>
          </cell>
        </row>
        <row r="183">
          <cell r="D183" t="str">
            <v>FHK364</v>
          </cell>
          <cell r="E183" t="str">
            <v>Chasis</v>
          </cell>
          <cell r="F183" t="str">
            <v>Chasis</v>
          </cell>
          <cell r="G183" t="str">
            <v>Chasis</v>
          </cell>
          <cell r="N183" t="str">
            <v>TDU</v>
          </cell>
          <cell r="O183" t="str">
            <v>TDU</v>
          </cell>
          <cell r="P183" t="str">
            <v>No</v>
          </cell>
          <cell r="Q183" t="str">
            <v>Propio</v>
          </cell>
          <cell r="R183">
            <v>12</v>
          </cell>
          <cell r="S183" t="str">
            <v>Propio</v>
          </cell>
          <cell r="T183" t="str">
            <v>MERCEDES BENZ</v>
          </cell>
          <cell r="U183">
            <v>1620</v>
          </cell>
          <cell r="V183" t="str">
            <v>377983U0661698</v>
          </cell>
          <cell r="W183" t="str">
            <v>9BM6950146B457216</v>
          </cell>
          <cell r="X183">
            <v>2005</v>
          </cell>
          <cell r="Y183">
            <v>21</v>
          </cell>
          <cell r="Z183" t="str">
            <v>TDU</v>
          </cell>
          <cell r="AA183" t="str">
            <v>CMQ_TTE - QUILMES TTE</v>
          </cell>
          <cell r="AB183" t="str">
            <v>CMQ_TTE - QUILMES TTE</v>
          </cell>
          <cell r="AC183" t="str">
            <v>CMQ_TTE - QUILMES TTE</v>
          </cell>
          <cell r="AD183" t="str">
            <v>CMQ_TTE - QUILMES TTE</v>
          </cell>
          <cell r="AE183" t="str">
            <v>CMQ_TTE - QUILMES TTE</v>
          </cell>
          <cell r="AF183" t="str">
            <v>CMQ_TTE - QUILMES TTE</v>
          </cell>
          <cell r="AG183" t="str">
            <v>CMQ_TTE - QUILMES TTE</v>
          </cell>
          <cell r="AH183" t="str">
            <v>CMQ_TTE - QUILMES TTE</v>
          </cell>
          <cell r="AI183" t="str">
            <v>CMQ_TTE - QUILMES TTE</v>
          </cell>
          <cell r="AJ183" t="str">
            <v>CMQ_TTE - QUILMES TTE</v>
          </cell>
          <cell r="AK183" t="str">
            <v>CMQ_TTE - QUILMES TTE</v>
          </cell>
          <cell r="AL183" t="str">
            <v>CMQ_TTE - QUILMES TTE</v>
          </cell>
          <cell r="AM183" t="str">
            <v>CMQ_TTE - QUILMES TTE</v>
          </cell>
          <cell r="AN183" t="str">
            <v>CMQ_TTE - QUILMES TTE</v>
          </cell>
          <cell r="AO183" t="str">
            <v>CMQ_TTE - QUILMES TTE</v>
          </cell>
          <cell r="AP183" t="str">
            <v>CMQ_TTE - QUILMES TTE</v>
          </cell>
          <cell r="AQ183" t="str">
            <v>CMQ_TTE - QUILMES TTE</v>
          </cell>
          <cell r="AR183" t="str">
            <v>CMQ_TTE - QUILMES TTE</v>
          </cell>
          <cell r="AS183" t="str">
            <v>CMQ_TTE - QUILMES TTE</v>
          </cell>
          <cell r="AT183" t="str">
            <v>CMQ_TTE - QUILMES TTE</v>
          </cell>
          <cell r="AU183" t="str">
            <v>Expreso - Servicios Troncales</v>
          </cell>
          <cell r="AV183" t="str">
            <v>Expreso - Servicios Troncales</v>
          </cell>
          <cell r="AW183" t="str">
            <v>Expreso - Servicios Troncales</v>
          </cell>
          <cell r="AX183" t="str">
            <v>Expreso - Servicios Troncales</v>
          </cell>
          <cell r="AY183" t="str">
            <v>Expreso - Servicios Troncales</v>
          </cell>
          <cell r="AZ183" t="str">
            <v>Expreso - Servicios Troncales</v>
          </cell>
          <cell r="BA183" t="str">
            <v>Unilever - Unilever de Arg. S.A.</v>
          </cell>
          <cell r="BB183" t="str">
            <v>Unilever - Unilever de Arg. S.A.</v>
          </cell>
          <cell r="BC183" t="str">
            <v>Unilever - Unilever de Arg. S.A.</v>
          </cell>
          <cell r="BD183" t="str">
            <v>Unilever - Unilever de Arg. S.A.</v>
          </cell>
          <cell r="BE183" t="str">
            <v>Unilever - Unilever de Arg. S.A.</v>
          </cell>
          <cell r="BF183" t="str">
            <v>Unilever - Unilever de Arg. S.A.</v>
          </cell>
          <cell r="BG183" t="str">
            <v>Unilever - Unilever de Arg. S.A.</v>
          </cell>
          <cell r="BH183" t="str">
            <v>Unilever - Unilever de Arg. S.A.</v>
          </cell>
          <cell r="BI183" t="str">
            <v>Unilever - Unilever de Arg. S.A.</v>
          </cell>
          <cell r="BJ183" t="str">
            <v>Unilever - Unilever de Arg. S.A.</v>
          </cell>
          <cell r="BK183" t="str">
            <v>Unilever - Unilever de Arg. S.A.</v>
          </cell>
          <cell r="BL183" t="str">
            <v>Unilever - Unilever de Arg. S.A.</v>
          </cell>
          <cell r="BM183" t="str">
            <v>SUC_CTC - Sucursal Buenos Aires</v>
          </cell>
          <cell r="BN183" t="str">
            <v>SUC_CTC - Sucursal Buenos Aires</v>
          </cell>
          <cell r="BO183" t="str">
            <v>SUC_CTC - Sucursal Buenos Aires</v>
          </cell>
          <cell r="BP183" t="str">
            <v>SUC_CTC - Sucursal Buenos Aires</v>
          </cell>
          <cell r="BQ183" t="str">
            <v>Topacio</v>
          </cell>
          <cell r="BR183" t="str">
            <v>Topacio</v>
          </cell>
          <cell r="BS183" t="str">
            <v>Topacio</v>
          </cell>
          <cell r="BT183" t="str">
            <v>Topacio</v>
          </cell>
          <cell r="BU183" t="str">
            <v>SUC_CTC - Sucursal Buenos Aires</v>
          </cell>
          <cell r="BV183" t="str">
            <v>SUC_CTC - Sucursal Buenos Aires</v>
          </cell>
          <cell r="BW183" t="str">
            <v>SUC_CTC - Sucursal Buenos Aires</v>
          </cell>
          <cell r="BX183" t="str">
            <v>SUC_CTC - Sucursal Buenos Aires</v>
          </cell>
          <cell r="BY183" t="str">
            <v>SUC_CTC - Sucursal Buenos Aires</v>
          </cell>
          <cell r="BZ183" t="str">
            <v>SUC_CTC - Sucursal Buenos Aires</v>
          </cell>
          <cell r="CA183" t="str">
            <v>SUC_CTC - Sucursal Buenos Aires</v>
          </cell>
          <cell r="CB183" t="str">
            <v>SUC_CTC - Sucursal Buenos Aires</v>
          </cell>
          <cell r="CC183" t="str">
            <v>SUC_CTC - Sucursal Buenos Aires</v>
          </cell>
          <cell r="CD183" t="str">
            <v>SUC_CTC - Sucursal Buenos Aires</v>
          </cell>
          <cell r="CE183" t="str">
            <v>SUC_CTC - Sucursal Buenos Aires</v>
          </cell>
          <cell r="CF183" t="str">
            <v>SUC_CTC - Sucursal Buenos Aires</v>
          </cell>
          <cell r="CG183" t="str">
            <v>SUC_CTC - Sucursal Buenos Aires</v>
          </cell>
          <cell r="CH183" t="str">
            <v>SUC_CTC - Sucursal Buenos Aires</v>
          </cell>
          <cell r="CI183" t="str">
            <v>SUC_CTC - Sucursal Buenos Aires</v>
          </cell>
          <cell r="CJ183" t="str">
            <v>SUC_CTC - Sucursal Buenos Aires</v>
          </cell>
          <cell r="CK183" t="str">
            <v>SUC_CTC - Sucursal Buenos Aires</v>
          </cell>
          <cell r="CL183" t="str">
            <v>SUC_CTC - Sucursal Buenos Aires</v>
          </cell>
          <cell r="CM183" t="str">
            <v>SUC_CTC - Sucursal Buenos Aires</v>
          </cell>
          <cell r="CN183" t="str">
            <v>SUC_CTC - Sucursal Buenos Aires</v>
          </cell>
          <cell r="CO183" t="str">
            <v>SUC_CTC - Sucursal Buenos Aires</v>
          </cell>
          <cell r="CP183" t="str">
            <v>SUC_CTC - Sucursal Buenos Aires</v>
          </cell>
          <cell r="CQ183" t="str">
            <v>SUC_CTC - Sucursal Buenos Aires</v>
          </cell>
          <cell r="CR183" t="str">
            <v>SUC_CTC - Sucursal Buenos Aires</v>
          </cell>
          <cell r="CS183" t="str">
            <v>SUC_CTC - Sucursal Buenos Aires</v>
          </cell>
          <cell r="CT183" t="str">
            <v>SUC_CTC - Sucursal Buenos Aires</v>
          </cell>
          <cell r="CU183" t="str">
            <v>SUC_CTC - Sucursal Buenos Aires</v>
          </cell>
          <cell r="CV183" t="str">
            <v>SUC_CTC - Sucursal Buenos Aires</v>
          </cell>
          <cell r="CW183" t="str">
            <v>SUC_CTC - Sucursal Buenos Aires</v>
          </cell>
        </row>
        <row r="184">
          <cell r="D184" t="str">
            <v>FJT707</v>
          </cell>
          <cell r="E184" t="str">
            <v>Chasis</v>
          </cell>
          <cell r="F184" t="str">
            <v>Chasis</v>
          </cell>
          <cell r="G184" t="str">
            <v>Chasis</v>
          </cell>
          <cell r="N184" t="str">
            <v>CODYLSA</v>
          </cell>
          <cell r="O184" t="str">
            <v>CODYLSA</v>
          </cell>
          <cell r="P184" t="str">
            <v>No</v>
          </cell>
          <cell r="Q184" t="str">
            <v>Propio</v>
          </cell>
          <cell r="R184">
            <v>12</v>
          </cell>
          <cell r="S184" t="str">
            <v>Propio</v>
          </cell>
          <cell r="T184" t="str">
            <v>MERCEDES BENZ</v>
          </cell>
          <cell r="U184">
            <v>1218</v>
          </cell>
          <cell r="V184" t="str">
            <v>904938U0665678</v>
          </cell>
          <cell r="W184" t="str">
            <v>9BM6940006B461253</v>
          </cell>
          <cell r="X184">
            <v>2006</v>
          </cell>
          <cell r="Y184">
            <v>20</v>
          </cell>
          <cell r="Z184" t="str">
            <v>Danone Oeste</v>
          </cell>
          <cell r="AA184" t="str">
            <v>AdaMinZO - Danone Minorista Zona Oeste</v>
          </cell>
          <cell r="AB184" t="str">
            <v>AdaMinZO - Danone Minorista Zona Oeste</v>
          </cell>
          <cell r="AC184" t="str">
            <v>AdaMinZO - Danone Minorista Zona Oeste</v>
          </cell>
          <cell r="AD184" t="str">
            <v>AdaMinZO - Danone Minorista Zona Oeste</v>
          </cell>
          <cell r="AE184" t="str">
            <v>AdaMinZO - Danone Minorista Zona Oeste</v>
          </cell>
          <cell r="AF184" t="str">
            <v>AdaMinZO - Danone Minorista Zona Oeste</v>
          </cell>
          <cell r="AG184" t="str">
            <v>AdaMinZO - Danone Minorista Zona Oeste</v>
          </cell>
          <cell r="AH184" t="str">
            <v>AdaMinZO - Danone Minorista Zona Oeste</v>
          </cell>
          <cell r="AI184" t="str">
            <v>AdaMinZO - Danone Minorista Zona Oeste</v>
          </cell>
          <cell r="AJ184" t="str">
            <v>AdaMinZO - Danone Minorista Zona Oeste</v>
          </cell>
          <cell r="AK184" t="str">
            <v>AdaMinZO - Danone Minorista Zona Oeste</v>
          </cell>
          <cell r="AL184" t="str">
            <v>ADA_LP - Danone Arg. S.A. - LP</v>
          </cell>
          <cell r="AM184" t="str">
            <v>ADA_LP - Danone Arg. S.A. - LP</v>
          </cell>
          <cell r="AN184" t="str">
            <v>ADA_LP - Danone Arg. S.A. - LP</v>
          </cell>
          <cell r="AO184" t="str">
            <v>ADA_LP - Danone Arg. S.A. - LP</v>
          </cell>
          <cell r="AP184" t="str">
            <v>ADA_LP - Danone Arg. S.A. - LP</v>
          </cell>
          <cell r="AQ184" t="str">
            <v>ADA_LP - Danone Arg. S.A. - LP</v>
          </cell>
          <cell r="AR184" t="str">
            <v>ADA_LP - Danone Arg. S.A. - LP</v>
          </cell>
          <cell r="AS184" t="str">
            <v>ADA_LP - Danone Arg. S.A. - LP</v>
          </cell>
          <cell r="AT184" t="str">
            <v>ADA_LP - Danone Arg. S.A. - LP</v>
          </cell>
          <cell r="AU184" t="str">
            <v>ADA_LP - Danone Arg. S.A. - LP</v>
          </cell>
          <cell r="AV184" t="str">
            <v>ADA_LP - Danone Arg. S.A. - LP</v>
          </cell>
          <cell r="AW184" t="str">
            <v>AdaMinZO - Danone Minorista Zona Oeste</v>
          </cell>
          <cell r="AX184" t="str">
            <v>AdaMinZO - Danone Minorista Zona Oeste</v>
          </cell>
          <cell r="AY184" t="str">
            <v>AdaMinZO - Danone Minorista Zona Oeste</v>
          </cell>
          <cell r="AZ184" t="str">
            <v>AdaMinZO - Danone Minorista Zona Oeste</v>
          </cell>
          <cell r="BA184" t="str">
            <v>AdaMinZO - Danone Minorista Zona Oeste</v>
          </cell>
          <cell r="BB184" t="str">
            <v>AdaMinZO - Danone Minorista Zona Oeste</v>
          </cell>
          <cell r="BC184" t="str">
            <v>AdaMinZO - Danone Minorista Zona Oeste</v>
          </cell>
          <cell r="BD184" t="str">
            <v>AdaMinZO - Danone Minorista Zona Oeste</v>
          </cell>
          <cell r="BE184" t="str">
            <v>AdaMinZO - Danone Minorista Zona Oeste</v>
          </cell>
          <cell r="BF184" t="str">
            <v>AdaMinZO - Danone Minorista Zona Oeste</v>
          </cell>
          <cell r="BG184" t="str">
            <v>AdaMinZO - Danone Minorista Zona Oeste</v>
          </cell>
          <cell r="BH184" t="str">
            <v>AdaMinZO - Danone Minorista Zona Oeste</v>
          </cell>
          <cell r="BI184" t="str">
            <v>AdaMinZO - Danone Minorista Zona Oeste</v>
          </cell>
          <cell r="BJ184" t="str">
            <v>AdaMinZO - Danone Minorista Zona Oeste</v>
          </cell>
          <cell r="BK184" t="str">
            <v>AdaMinZO - Danone Minorista Zona Oeste</v>
          </cell>
          <cell r="BL184" t="str">
            <v>AdaMinZO - Danone Minorista Zona Oeste</v>
          </cell>
          <cell r="BM184" t="str">
            <v>AdaMinZO - Danone Minorista Zona Oeste</v>
          </cell>
          <cell r="BN184" t="str">
            <v>ADA_LP - Danone Arg. S.A. - LP</v>
          </cell>
          <cell r="BO184" t="str">
            <v>ADA_LP - Danone Arg. S.A. - LP</v>
          </cell>
          <cell r="BP184" t="str">
            <v>ADA_LP - Danone Arg. S.A. - LP</v>
          </cell>
          <cell r="BQ184" t="str">
            <v>ADA_LP - Danone Arg. S.A. - LP</v>
          </cell>
          <cell r="BR184" t="str">
            <v>SUC_MEN - Sucursal Mendoza</v>
          </cell>
          <cell r="BS184" t="str">
            <v>SUC_MEN - Sucursal Mendoza</v>
          </cell>
          <cell r="BT184" t="str">
            <v>SUC_MEN - Sucursal Mendoza</v>
          </cell>
          <cell r="BU184" t="str">
            <v>SUC_MEN - Sucursal Mendoza</v>
          </cell>
          <cell r="BV184" t="str">
            <v>SUC_MEN - Sucursal Mendoza</v>
          </cell>
          <cell r="BW184" t="str">
            <v>SUC_MEN - Sucursal Mendoza</v>
          </cell>
          <cell r="BX184" t="str">
            <v>SUC_REA - Sucursal Realicó</v>
          </cell>
          <cell r="BY184" t="str">
            <v>SUC_MEN - Sucursal Mendoza</v>
          </cell>
          <cell r="BZ184" t="str">
            <v>SUC_MEN - Sucursal Mendoza</v>
          </cell>
          <cell r="CA184" t="str">
            <v>SUC_MEN - Sucursal Mendoza</v>
          </cell>
          <cell r="CB184" t="str">
            <v>SUC_MEN - Sucursal Mendoza</v>
          </cell>
          <cell r="CC184" t="str">
            <v>SUC_MEN - Sucursal Mendoza</v>
          </cell>
          <cell r="CD184" t="str">
            <v>SUC_MEN - Sucursal Mendoza</v>
          </cell>
          <cell r="CE184" t="str">
            <v>SUC_MEN - Sucursal Mendoza</v>
          </cell>
          <cell r="CF184" t="str">
            <v>SUC_MEN - Sucursal Mendoza</v>
          </cell>
          <cell r="CG184" t="str">
            <v>SUC_MEN - Sucursal Mendoza</v>
          </cell>
          <cell r="CH184" t="str">
            <v>SUC_MEN - Sucursal Mendoza</v>
          </cell>
          <cell r="CI184" t="str">
            <v>SUC_MEN - Sucursal Mendoza</v>
          </cell>
          <cell r="CJ184" t="str">
            <v>SUC_MEN - Sucursal Mendoza</v>
          </cell>
          <cell r="CK184" t="str">
            <v>SUC_MEN - Sucursal Mendoza</v>
          </cell>
          <cell r="CL184" t="str">
            <v>SUC_MEN - Sucursal Mendoza</v>
          </cell>
          <cell r="CM184" t="str">
            <v>SUC_MEN - Sucursal Mendoza</v>
          </cell>
          <cell r="CN184" t="str">
            <v>SUC_MEN - Sucursal Mendoza</v>
          </cell>
          <cell r="CO184" t="str">
            <v>SUC_MEN - Sucursal Mendoza</v>
          </cell>
          <cell r="CP184" t="str">
            <v>SUC_MEN - Sucursal Mendoza</v>
          </cell>
          <cell r="CQ184" t="str">
            <v>SUC_MEN - Sucursal Mendoza</v>
          </cell>
          <cell r="CR184" t="str">
            <v>SUC_MEN - Sucursal Mendoza</v>
          </cell>
          <cell r="CS184" t="str">
            <v>SUC_MEN - Sucursal Mendoza</v>
          </cell>
          <cell r="CT184" t="str">
            <v>SUC_MEN - Sucursal Mendoza</v>
          </cell>
          <cell r="CU184" t="str">
            <v>SUC_MEN - Sucursal Mendoza</v>
          </cell>
          <cell r="CV184" t="str">
            <v>SUC_MEN - Sucursal Mendoza</v>
          </cell>
          <cell r="CW184" t="str">
            <v>SUC_MEN - Sucursal Mendoza</v>
          </cell>
        </row>
        <row r="185">
          <cell r="D185" t="str">
            <v>FNY245</v>
          </cell>
          <cell r="E185" t="str">
            <v>Semiremolque</v>
          </cell>
          <cell r="F185">
            <v>0</v>
          </cell>
          <cell r="G185" t="str">
            <v>Semiremolque</v>
          </cell>
          <cell r="N185" t="str">
            <v>MARTINEZ ALFREDO DANIEL</v>
          </cell>
          <cell r="O185" t="str">
            <v>MARTINEZ ALFREDO DANIEL</v>
          </cell>
          <cell r="P185" t="str">
            <v>No</v>
          </cell>
          <cell r="Q185" t="str">
            <v>Alquilados</v>
          </cell>
          <cell r="R185" t="str">
            <v>-</v>
          </cell>
          <cell r="S185" t="str">
            <v>Alquilados</v>
          </cell>
          <cell r="T185" t="str">
            <v>MONTENEGRO</v>
          </cell>
          <cell r="U185" t="str">
            <v>SBVE</v>
          </cell>
          <cell r="V185">
            <v>2006</v>
          </cell>
          <cell r="W185">
            <v>20</v>
          </cell>
          <cell r="X185">
            <v>2006</v>
          </cell>
          <cell r="Y185">
            <v>20</v>
          </cell>
          <cell r="Z185" t="str">
            <v>Danone Mendoza</v>
          </cell>
          <cell r="AA185" t="str">
            <v>ADA_MZA - Danone Arg. S.A. - MZA</v>
          </cell>
          <cell r="AB185" t="str">
            <v>ADA_MZA - Danone Arg. S.A. - MZA</v>
          </cell>
          <cell r="AC185" t="str">
            <v>ADA_MZA - Danone Arg. S.A. - MZA</v>
          </cell>
          <cell r="AD185" t="str">
            <v>ADA_MZA - Danone Arg. S.A. - MZA</v>
          </cell>
          <cell r="AE185" t="str">
            <v>ADA_MZA - Danone Arg. S.A. - MZA</v>
          </cell>
          <cell r="AF185" t="str">
            <v>ADA_MZA - Danone Arg. S.A. - MZA</v>
          </cell>
          <cell r="AG185" t="str">
            <v>ADA_MZA - Danone Arg. S.A. - MZA</v>
          </cell>
          <cell r="AH185" t="str">
            <v>ADA_MZA - Danone Arg. S.A. - MZA</v>
          </cell>
          <cell r="AI185" t="str">
            <v>ADA_MZA - Danone Arg. S.A. - MZA</v>
          </cell>
          <cell r="AJ185" t="str">
            <v>ADA_MZA - Danone Arg. S.A. - MZA</v>
          </cell>
          <cell r="AK185" t="str">
            <v>ADA_MZA - Danone Arg. S.A. - MZA</v>
          </cell>
          <cell r="AL185" t="str">
            <v>ADA_MZA - Danone Arg. S.A. - MZA</v>
          </cell>
          <cell r="AM185" t="str">
            <v>ADA_MZA - Danone Arg. S.A. - MZA</v>
          </cell>
          <cell r="AN185" t="str">
            <v>ADA_MZA - Danone Arg. S.A. - MZA</v>
          </cell>
          <cell r="AO185" t="str">
            <v>ADA_MZA - Danone Arg. S.A. - MZA</v>
          </cell>
          <cell r="AP185" t="str">
            <v>ADA_MZA - Danone Arg. S.A. - MZA</v>
          </cell>
          <cell r="AQ185" t="str">
            <v>ADA_MZA - Danone Arg. S.A. - MZA</v>
          </cell>
          <cell r="AR185" t="str">
            <v>ADA_MZA - Danone Arg. S.A. - MZA</v>
          </cell>
          <cell r="AS185" t="str">
            <v>ADA_MZA - Danone Arg. S.A. - MZA</v>
          </cell>
          <cell r="AT185" t="str">
            <v>ADA_MZA - Danone Arg. S.A. - MZA</v>
          </cell>
          <cell r="AU185" t="str">
            <v>ADA_MZA - Danone Arg. S.A. - MZA</v>
          </cell>
          <cell r="AV185" t="str">
            <v>ADA_MZA - Danone Arg. S.A. - MZA</v>
          </cell>
          <cell r="AW185" t="str">
            <v>ADA_MZA - Danone Arg. S.A. - MZA</v>
          </cell>
          <cell r="AX185" t="str">
            <v>INACTIVO</v>
          </cell>
          <cell r="AY185" t="str">
            <v>INACTIVO</v>
          </cell>
          <cell r="AZ185" t="str">
            <v>INACTIVO</v>
          </cell>
          <cell r="BA185" t="str">
            <v>INACTIVO</v>
          </cell>
          <cell r="BB185" t="str">
            <v>INACTIVO</v>
          </cell>
          <cell r="BC185" t="str">
            <v>INACTIVO</v>
          </cell>
          <cell r="BD185" t="str">
            <v>INACTIVO</v>
          </cell>
          <cell r="BE185" t="str">
            <v>INACTIVO</v>
          </cell>
          <cell r="BF185" t="str">
            <v>INACTIVO</v>
          </cell>
          <cell r="BG185" t="str">
            <v>INACTIVO</v>
          </cell>
          <cell r="BH185" t="str">
            <v>INACTIVO</v>
          </cell>
          <cell r="BI185" t="str">
            <v>INACTIVO</v>
          </cell>
          <cell r="BJ185" t="str">
            <v>INACTIVO</v>
          </cell>
          <cell r="BK185" t="str">
            <v>INACTIVO</v>
          </cell>
          <cell r="BL185" t="str">
            <v>INACTIVO</v>
          </cell>
          <cell r="BM185" t="str">
            <v>INACTIVO</v>
          </cell>
          <cell r="BN185" t="str">
            <v>INACTIVO</v>
          </cell>
          <cell r="BO185" t="str">
            <v>INACTIVO</v>
          </cell>
          <cell r="BP185" t="str">
            <v>INACTIVO</v>
          </cell>
          <cell r="BQ185" t="str">
            <v>INACTIVO</v>
          </cell>
          <cell r="BR185" t="str">
            <v>INACTIVO</v>
          </cell>
          <cell r="BS185" t="str">
            <v>INACTIVO</v>
          </cell>
          <cell r="BT185" t="str">
            <v>INACTIVO</v>
          </cell>
          <cell r="BU185" t="str">
            <v>INACTIVO</v>
          </cell>
          <cell r="BV185" t="str">
            <v>INACTIVO</v>
          </cell>
          <cell r="BW185" t="str">
            <v>INACTIVO</v>
          </cell>
          <cell r="BX185" t="str">
            <v>INACTIVO</v>
          </cell>
          <cell r="BY185" t="str">
            <v>INACTIVO</v>
          </cell>
          <cell r="BZ185" t="str">
            <v>INACTIVO</v>
          </cell>
          <cell r="CA185" t="str">
            <v>INACTIVO</v>
          </cell>
          <cell r="CB185" t="str">
            <v>INACTIVO</v>
          </cell>
          <cell r="CC185" t="str">
            <v>BAJA</v>
          </cell>
          <cell r="CD185" t="str">
            <v>BAJA</v>
          </cell>
          <cell r="CE185" t="str">
            <v>BAJA</v>
          </cell>
          <cell r="CF185" t="str">
            <v>BAJA</v>
          </cell>
          <cell r="CG185" t="str">
            <v>BAJA</v>
          </cell>
          <cell r="CH185" t="str">
            <v>BAJA</v>
          </cell>
          <cell r="CI185" t="str">
            <v>BAJA</v>
          </cell>
          <cell r="CJ185" t="str">
            <v>BAJA</v>
          </cell>
          <cell r="CK185" t="str">
            <v>BAJA</v>
          </cell>
          <cell r="CL185" t="str">
            <v>BAJA</v>
          </cell>
          <cell r="CM185" t="str">
            <v>BAJA</v>
          </cell>
          <cell r="CN185" t="str">
            <v>BAJA</v>
          </cell>
          <cell r="CO185" t="str">
            <v>BAJA</v>
          </cell>
          <cell r="CP185" t="str">
            <v>BAJA</v>
          </cell>
          <cell r="CQ185" t="str">
            <v>BAJA</v>
          </cell>
          <cell r="CR185" t="str">
            <v>BAJA</v>
          </cell>
          <cell r="CS185" t="str">
            <v>BAJA</v>
          </cell>
          <cell r="CT185" t="str">
            <v>BAJA</v>
          </cell>
          <cell r="CU185" t="str">
            <v>BAJA</v>
          </cell>
          <cell r="CV185" t="str">
            <v>BAJA</v>
          </cell>
          <cell r="CW185" t="str">
            <v>BAJA</v>
          </cell>
        </row>
        <row r="186">
          <cell r="D186" t="str">
            <v>FQT892</v>
          </cell>
          <cell r="E186" t="str">
            <v>Chasis</v>
          </cell>
          <cell r="F186" t="str">
            <v>Chasis</v>
          </cell>
          <cell r="G186" t="str">
            <v>Chasis</v>
          </cell>
          <cell r="N186" t="str">
            <v>CODYLSA</v>
          </cell>
          <cell r="O186" t="str">
            <v>CODYLSA</v>
          </cell>
          <cell r="P186" t="str">
            <v>No</v>
          </cell>
          <cell r="Q186" t="str">
            <v>Propio</v>
          </cell>
          <cell r="R186">
            <v>12</v>
          </cell>
          <cell r="S186" t="str">
            <v>Propio</v>
          </cell>
          <cell r="T186" t="str">
            <v>MERCEDES BENZ</v>
          </cell>
          <cell r="U186">
            <v>1620</v>
          </cell>
          <cell r="V186" t="str">
            <v>377983U0681643</v>
          </cell>
          <cell r="W186" t="str">
            <v>9BM6950146B480166</v>
          </cell>
          <cell r="X186">
            <v>2006</v>
          </cell>
          <cell r="Y186">
            <v>20</v>
          </cell>
          <cell r="Z186" t="str">
            <v>Danone La Plata</v>
          </cell>
          <cell r="AA186" t="str">
            <v>ADA_LP - Danone Arg. S.A. - LP</v>
          </cell>
          <cell r="AB186" t="str">
            <v>ADA_LP - Danone Arg. S.A. - LP</v>
          </cell>
          <cell r="AC186" t="str">
            <v>ADA_LP - Danone Arg. S.A. - LP</v>
          </cell>
          <cell r="AD186" t="str">
            <v>ADA_LP - Danone Arg. S.A. - LP</v>
          </cell>
          <cell r="AE186" t="str">
            <v>ADA_LP - Danone Arg. S.A. - LP</v>
          </cell>
          <cell r="AF186" t="str">
            <v>ADA_LP - Danone Arg. S.A. - LP</v>
          </cell>
          <cell r="AG186" t="str">
            <v>ADA_LP - Danone Arg. S.A. - LP</v>
          </cell>
          <cell r="AH186" t="str">
            <v>ADA_LP - Danone Arg. S.A. - LP</v>
          </cell>
          <cell r="AI186" t="str">
            <v>ADA_LP - Danone Arg. S.A. - LP</v>
          </cell>
          <cell r="AJ186" t="str">
            <v>ADA_LP - Danone Arg. S.A. - LP</v>
          </cell>
          <cell r="AK186" t="str">
            <v>ADA_LP - Danone Arg. S.A. - LP</v>
          </cell>
          <cell r="AL186" t="str">
            <v>ADA_LP - Danone Arg. S.A. - LP</v>
          </cell>
          <cell r="AM186" t="str">
            <v>ADA_LP - Danone Arg. S.A. - LP</v>
          </cell>
          <cell r="AN186" t="str">
            <v>ADA_LP - Danone Arg. S.A. - LP</v>
          </cell>
          <cell r="AO186" t="str">
            <v>ADA_LP - Danone Arg. S.A. - LP</v>
          </cell>
          <cell r="AP186" t="str">
            <v>ADA_LP - Danone Arg. S.A. - LP</v>
          </cell>
          <cell r="AQ186" t="str">
            <v>ADA_LP - Danone Arg. S.A. - LP</v>
          </cell>
          <cell r="AR186" t="str">
            <v>ADA_LP - Danone Arg. S.A. - LP</v>
          </cell>
          <cell r="AS186" t="str">
            <v>ADA_LP - Danone Arg. S.A. - LP</v>
          </cell>
          <cell r="AT186" t="str">
            <v>ADA_LP - Danone Arg. S.A. - LP</v>
          </cell>
          <cell r="AU186" t="str">
            <v>ADA_LP - Danone Arg. S.A. - LP</v>
          </cell>
          <cell r="AV186" t="str">
            <v>ADA_LP - Danone Arg. S.A. - LP</v>
          </cell>
          <cell r="AW186" t="str">
            <v>ADA_LP - Danone Arg. S.A. - LP</v>
          </cell>
          <cell r="AX186" t="str">
            <v>ADA_LP - Danone Arg. S.A. - LP</v>
          </cell>
          <cell r="AY186" t="str">
            <v>ADA_LP - Danone Arg. S.A. - LP</v>
          </cell>
          <cell r="AZ186" t="str">
            <v>ADA_LP - Danone Arg. S.A. - LP</v>
          </cell>
          <cell r="BA186" t="str">
            <v>ADA_LP - Danone Arg. S.A. - LP</v>
          </cell>
          <cell r="BB186" t="str">
            <v>ADA_LP - Danone Arg. S.A. - LP</v>
          </cell>
          <cell r="BC186" t="str">
            <v>ADA_LP - Danone Arg. S.A. - LP</v>
          </cell>
          <cell r="BD186" t="str">
            <v>ADA_LP - Danone Arg. S.A. - LP</v>
          </cell>
          <cell r="BE186" t="str">
            <v>ADA_LP - Danone Arg. S.A. - LP</v>
          </cell>
          <cell r="BF186" t="str">
            <v>ADA_LP - Danone Arg. S.A. - LP</v>
          </cell>
          <cell r="BG186" t="str">
            <v>ADA_LP - Danone Arg. S.A. - LP</v>
          </cell>
          <cell r="BH186" t="str">
            <v>ADA_LP - Danone Arg. S.A. - LP</v>
          </cell>
          <cell r="BI186" t="str">
            <v>ADA_LP - Danone Arg. S.A. - LP</v>
          </cell>
          <cell r="BJ186" t="str">
            <v>ADA_LP - Danone Arg. S.A. - LP</v>
          </cell>
          <cell r="BK186" t="str">
            <v>ADA_LP - Danone Arg. S.A. - LP</v>
          </cell>
          <cell r="BL186" t="str">
            <v>ADA_LP - Danone Arg. S.A. - LP</v>
          </cell>
          <cell r="BM186" t="str">
            <v>ADA_LP - Danone Arg. S.A. - LP</v>
          </cell>
          <cell r="BN186" t="str">
            <v>ADA_LP - Danone Arg. S.A. - LP</v>
          </cell>
          <cell r="BO186" t="str">
            <v>ADA_LP - Danone Arg. S.A. - LP</v>
          </cell>
          <cell r="BP186" t="str">
            <v>ADA_LP - Danone Arg. S.A. - LP</v>
          </cell>
          <cell r="BQ186" t="str">
            <v>ADA_LP - Danone Arg. S.A. - LP</v>
          </cell>
          <cell r="BR186" t="str">
            <v>ADA_LP - Danone Arg. S.A. - LP</v>
          </cell>
          <cell r="BS186" t="str">
            <v>ADA_LP - Danone Arg. S.A. - LP</v>
          </cell>
          <cell r="BT186" t="str">
            <v>ADA_LP - Danone Arg. S.A. - LP</v>
          </cell>
          <cell r="BU186" t="str">
            <v>CCUCoAZA</v>
          </cell>
          <cell r="BV186" t="str">
            <v>CCUCoAZA</v>
          </cell>
          <cell r="BW186" t="str">
            <v>CCUCoAZA</v>
          </cell>
          <cell r="BX186" t="str">
            <v>CCUCoAZA</v>
          </cell>
          <cell r="BY186" t="str">
            <v>CCUCoAZA</v>
          </cell>
          <cell r="BZ186" t="str">
            <v>CCUCoAZA</v>
          </cell>
          <cell r="CA186" t="str">
            <v>CCUCoAZA</v>
          </cell>
          <cell r="CB186" t="str">
            <v>CCUCoAZA</v>
          </cell>
          <cell r="CC186" t="str">
            <v>CCUCoAZA</v>
          </cell>
          <cell r="CD186" t="str">
            <v>CCUCoAZA</v>
          </cell>
          <cell r="CE186" t="str">
            <v>CCUCoAZA</v>
          </cell>
          <cell r="CF186" t="str">
            <v>CCUCoAZA</v>
          </cell>
          <cell r="CG186" t="str">
            <v>CCUCoAZA</v>
          </cell>
          <cell r="CH186" t="str">
            <v>CCUCoAZA</v>
          </cell>
          <cell r="CI186" t="str">
            <v>CCUCoAZA</v>
          </cell>
          <cell r="CJ186" t="str">
            <v>CCUCoAZA</v>
          </cell>
          <cell r="CK186" t="str">
            <v>CCUCoAZA</v>
          </cell>
          <cell r="CL186" t="str">
            <v>CCUCoAZA</v>
          </cell>
          <cell r="CM186" t="str">
            <v>CCUCoAZA</v>
          </cell>
          <cell r="CN186" t="str">
            <v>CCUCoAZA</v>
          </cell>
          <cell r="CO186" t="str">
            <v>CCUCoAZA</v>
          </cell>
          <cell r="CP186" t="str">
            <v>CCUCoAZA</v>
          </cell>
          <cell r="CQ186" t="str">
            <v>CCUCoAZA</v>
          </cell>
          <cell r="CR186" t="str">
            <v>CCUCoAZA</v>
          </cell>
          <cell r="CS186" t="str">
            <v>CCUCoAZA</v>
          </cell>
          <cell r="CT186" t="str">
            <v>CCUCoAZA</v>
          </cell>
          <cell r="CU186" t="str">
            <v>CCUCoAZA</v>
          </cell>
          <cell r="CV186" t="str">
            <v>CCUCoAZA</v>
          </cell>
          <cell r="CW186" t="str">
            <v>Sin Operación</v>
          </cell>
        </row>
        <row r="187">
          <cell r="D187" t="str">
            <v>FQT893</v>
          </cell>
          <cell r="E187" t="str">
            <v>Chasis</v>
          </cell>
          <cell r="F187" t="str">
            <v>Chasis</v>
          </cell>
          <cell r="G187" t="str">
            <v>Chasis</v>
          </cell>
          <cell r="N187" t="str">
            <v>CODYLSA</v>
          </cell>
          <cell r="O187" t="str">
            <v>CODYLSA</v>
          </cell>
          <cell r="P187" t="str">
            <v>No</v>
          </cell>
          <cell r="Q187" t="str">
            <v>Propio</v>
          </cell>
          <cell r="R187">
            <v>12</v>
          </cell>
          <cell r="S187" t="str">
            <v>Propio</v>
          </cell>
          <cell r="T187" t="str">
            <v>MERCEDES BENZ</v>
          </cell>
          <cell r="U187">
            <v>1620</v>
          </cell>
          <cell r="V187" t="str">
            <v>377983U0681285</v>
          </cell>
          <cell r="W187" t="str">
            <v>9BM6950146B480096</v>
          </cell>
          <cell r="X187">
            <v>2006</v>
          </cell>
          <cell r="Y187">
            <v>20</v>
          </cell>
          <cell r="Z187" t="str">
            <v>Danone Oeste</v>
          </cell>
          <cell r="AA187" t="str">
            <v>AdaMinZO - Danone Minorista Zona Oeste</v>
          </cell>
          <cell r="AB187" t="str">
            <v>AdaMinZO - Danone Minorista Zona Oeste</v>
          </cell>
          <cell r="AC187" t="str">
            <v>AdaMinZO - Danone Minorista Zona Oeste</v>
          </cell>
          <cell r="AD187" t="str">
            <v>AdaMinZO - Danone Minorista Zona Oeste</v>
          </cell>
          <cell r="AE187" t="str">
            <v>AdaMinZO - Danone Minorista Zona Oeste</v>
          </cell>
          <cell r="AF187" t="str">
            <v>AdaMinZO - Danone Minorista Zona Oeste</v>
          </cell>
          <cell r="AG187" t="str">
            <v>AdaMinZO - Danone Minorista Zona Oeste</v>
          </cell>
          <cell r="AH187" t="str">
            <v>AdaMinZO - Danone Minorista Zona Oeste</v>
          </cell>
          <cell r="AI187" t="str">
            <v>AdaMinZO - Danone Minorista Zona Oeste</v>
          </cell>
          <cell r="AJ187" t="str">
            <v>AdaMinZO - Danone Minorista Zona Oeste</v>
          </cell>
          <cell r="AK187" t="str">
            <v>AdaMinZO - Danone Minorista Zona Oeste</v>
          </cell>
          <cell r="AL187" t="str">
            <v>ADA_LP - Danone Arg. S.A. - LP</v>
          </cell>
          <cell r="AM187" t="str">
            <v>ADA_LP - Danone Arg. S.A. - LP</v>
          </cell>
          <cell r="AN187" t="str">
            <v>ADA_LP - Danone Arg. S.A. - LP</v>
          </cell>
          <cell r="AO187" t="str">
            <v>ADA_LP - Danone Arg. S.A. - LP</v>
          </cell>
          <cell r="AP187" t="str">
            <v>ADA_LP - Danone Arg. S.A. - LP</v>
          </cell>
          <cell r="AQ187" t="str">
            <v>ADA_LP - Danone Arg. S.A. - LP</v>
          </cell>
          <cell r="AR187" t="str">
            <v>ADA_LP - Danone Arg. S.A. - LP</v>
          </cell>
          <cell r="AS187" t="str">
            <v>ADA_LP - Danone Arg. S.A. - LP</v>
          </cell>
          <cell r="AT187" t="str">
            <v>ADA_LP - Danone Arg. S.A. - LP</v>
          </cell>
          <cell r="AU187" t="str">
            <v>ADA_LP - Danone Arg. S.A. - LP</v>
          </cell>
          <cell r="AV187" t="str">
            <v>ADA_LP - Danone Arg. S.A. - LP</v>
          </cell>
          <cell r="AW187" t="str">
            <v>ADA_LP - Danone Arg. S.A. - LP</v>
          </cell>
          <cell r="AX187" t="str">
            <v>ADA_LP - Danone Arg. S.A. - LP</v>
          </cell>
          <cell r="AY187" t="str">
            <v>ADA_LP - Danone Arg. S.A. - LP</v>
          </cell>
          <cell r="AZ187" t="str">
            <v>ADA_LP - Danone Arg. S.A. - LP</v>
          </cell>
          <cell r="BA187" t="str">
            <v>ADA_LP - Danone Arg. S.A. - LP</v>
          </cell>
          <cell r="BB187" t="str">
            <v>ADA_LP - Danone Arg. S.A. - LP</v>
          </cell>
          <cell r="BC187" t="str">
            <v>ADA_LP - Danone Arg. S.A. - LP</v>
          </cell>
          <cell r="BD187" t="str">
            <v>ADA_LP - Danone Arg. S.A. - LP</v>
          </cell>
          <cell r="BE187" t="str">
            <v>ADA_LP - Danone Arg. S.A. - LP</v>
          </cell>
          <cell r="BF187" t="str">
            <v>ADA_LP - Danone Arg. S.A. - LP</v>
          </cell>
          <cell r="BG187" t="str">
            <v>ADA_LP - Danone Arg. S.A. - LP</v>
          </cell>
          <cell r="BH187" t="str">
            <v>ADA_LP - Danone Arg. S.A. - LP</v>
          </cell>
          <cell r="BI187" t="str">
            <v>ADA_LP - Danone Arg. S.A. - LP</v>
          </cell>
          <cell r="BJ187" t="str">
            <v>ADA_LP - Danone Arg. S.A. - LP</v>
          </cell>
          <cell r="BK187" t="str">
            <v>ADA_LP - Danone Arg. S.A. - LP</v>
          </cell>
          <cell r="BL187" t="str">
            <v>ADA_LP - Danone Arg. S.A. - LP</v>
          </cell>
          <cell r="BM187" t="str">
            <v>ADA_LP - Danone Arg. S.A. - LP</v>
          </cell>
          <cell r="BN187" t="str">
            <v>ADA_Mino - Danone Arg. S.A. - Mino</v>
          </cell>
          <cell r="BO187" t="str">
            <v>AdaMinZO - Danone Minorista Zona Oeste</v>
          </cell>
          <cell r="BP187" t="str">
            <v>AdaMinZO - Danone Minorista Zona Oeste</v>
          </cell>
          <cell r="BQ187" t="str">
            <v>ADA_LP - Danone Arg. S.A. - LP</v>
          </cell>
          <cell r="BR187" t="str">
            <v>ADA_LP - Danone Arg. S.A. - LP</v>
          </cell>
          <cell r="BS187" t="str">
            <v>ADA_LP - Danone Arg. S.A. - LP</v>
          </cell>
          <cell r="BT187" t="str">
            <v>ADA_LP - Danone Arg. S.A. - LP</v>
          </cell>
          <cell r="BU187" t="str">
            <v>CCUCoAZA</v>
          </cell>
          <cell r="BV187" t="str">
            <v>CCUCoAZA</v>
          </cell>
          <cell r="BW187" t="str">
            <v>CCUCoAZA</v>
          </cell>
          <cell r="BX187" t="str">
            <v>CCUCoAZA</v>
          </cell>
          <cell r="BY187" t="str">
            <v>CCUCoAZA</v>
          </cell>
          <cell r="BZ187" t="str">
            <v>CCUCoAZA</v>
          </cell>
          <cell r="CA187" t="str">
            <v>CCUCoAZA</v>
          </cell>
          <cell r="CB187" t="str">
            <v>CCUCoAZA</v>
          </cell>
          <cell r="CC187" t="str">
            <v>CCUCoAZA</v>
          </cell>
          <cell r="CD187" t="str">
            <v>CCUCoAZA</v>
          </cell>
          <cell r="CE187" t="str">
            <v>CCUCoAZA</v>
          </cell>
          <cell r="CF187" t="str">
            <v>CCUCoAZA</v>
          </cell>
          <cell r="CG187" t="str">
            <v>CCUCoAZA</v>
          </cell>
          <cell r="CH187" t="str">
            <v>CCUCoAZA</v>
          </cell>
          <cell r="CI187" t="str">
            <v>CCUCoAZA</v>
          </cell>
          <cell r="CJ187" t="str">
            <v>CCUCoAZA</v>
          </cell>
          <cell r="CK187" t="str">
            <v>CCUCoAZA</v>
          </cell>
          <cell r="CL187" t="str">
            <v>CCUCoAZA</v>
          </cell>
          <cell r="CM187" t="str">
            <v>CCUCoAZA</v>
          </cell>
          <cell r="CN187" t="str">
            <v>CCUCoAZA</v>
          </cell>
          <cell r="CO187" t="str">
            <v>CCUCoAZA</v>
          </cell>
          <cell r="CP187" t="str">
            <v>CCUCoAZA</v>
          </cell>
          <cell r="CQ187" t="str">
            <v>Sin Operación</v>
          </cell>
          <cell r="CR187" t="str">
            <v>Sin Operación</v>
          </cell>
          <cell r="CS187" t="str">
            <v>Sin Operación</v>
          </cell>
          <cell r="CT187" t="str">
            <v>Sin Operación</v>
          </cell>
          <cell r="CU187" t="str">
            <v>Sin Operación</v>
          </cell>
          <cell r="CV187" t="str">
            <v>Sin Operación</v>
          </cell>
          <cell r="CW187" t="str">
            <v>Sin Operación</v>
          </cell>
        </row>
        <row r="188">
          <cell r="D188" t="str">
            <v>FQT894</v>
          </cell>
          <cell r="E188" t="str">
            <v>Chasis</v>
          </cell>
          <cell r="F188" t="str">
            <v>Chasis</v>
          </cell>
          <cell r="G188" t="str">
            <v>Chasis</v>
          </cell>
          <cell r="N188" t="str">
            <v>CODYLSA</v>
          </cell>
          <cell r="O188" t="str">
            <v>CODYLSA</v>
          </cell>
          <cell r="P188" t="str">
            <v>No</v>
          </cell>
          <cell r="Q188" t="str">
            <v>Propio</v>
          </cell>
          <cell r="R188">
            <v>12</v>
          </cell>
          <cell r="S188" t="str">
            <v>Propio</v>
          </cell>
          <cell r="T188" t="str">
            <v>MERCEDES BENZ</v>
          </cell>
          <cell r="U188">
            <v>1620</v>
          </cell>
          <cell r="V188" t="str">
            <v>377983U0680663</v>
          </cell>
          <cell r="W188" t="str">
            <v>9BM6950146B480010</v>
          </cell>
          <cell r="X188">
            <v>2006</v>
          </cell>
          <cell r="Y188">
            <v>20</v>
          </cell>
          <cell r="Z188" t="str">
            <v>Danone Alianza</v>
          </cell>
          <cell r="AA188" t="str">
            <v>ADA_Mino - Danone Arg. S.A. - Mino</v>
          </cell>
          <cell r="AB188" t="str">
            <v>ADA_Mino - Danone Arg. S.A. - Mino</v>
          </cell>
          <cell r="AC188" t="str">
            <v>ADA_Mino - Danone Arg. S.A. - Mino</v>
          </cell>
          <cell r="AD188" t="str">
            <v>ADA_Mino - Danone Arg. S.A. - Mino</v>
          </cell>
          <cell r="AE188" t="str">
            <v>ADA_Mino - Danone Arg. S.A. - Mino</v>
          </cell>
          <cell r="AF188" t="str">
            <v>ADA_Mino - Danone Arg. S.A. - Mino</v>
          </cell>
          <cell r="AG188" t="str">
            <v>ADA_Mino - Danone Arg. S.A. - Mino</v>
          </cell>
          <cell r="AH188" t="str">
            <v>ADA_Mino - Danone Arg. S.A. - Mino</v>
          </cell>
          <cell r="AI188" t="str">
            <v>ADA_Mino - Danone Arg. S.A. - Mino</v>
          </cell>
          <cell r="AJ188" t="str">
            <v>ADA_Mino - Danone Arg. S.A. - Mino</v>
          </cell>
          <cell r="AK188" t="str">
            <v>ADA_Mino - Danone Arg. S.A. - Mino</v>
          </cell>
          <cell r="AL188" t="str">
            <v>ADA_Mino - Danone Arg. S.A. - Mino</v>
          </cell>
          <cell r="AM188" t="str">
            <v>ADA_Mino - Danone Arg. S.A. - Mino</v>
          </cell>
          <cell r="AN188" t="str">
            <v>ADA_SMK - Danone Arg. S.A. - SMK</v>
          </cell>
          <cell r="AO188" t="str">
            <v>ADA_SMK - Danone Arg. S.A. - SMK</v>
          </cell>
          <cell r="AP188" t="str">
            <v>ADA_SMK - Danone Arg. S.A. - SMK</v>
          </cell>
          <cell r="AQ188" t="str">
            <v>ADA_SMK - Danone Arg. S.A. - SMK</v>
          </cell>
          <cell r="AR188" t="str">
            <v>ADA_SMK - Danone Arg. S.A. - SMK</v>
          </cell>
          <cell r="AS188" t="str">
            <v>ADA_SMK - Danone Arg. S.A. - SMK</v>
          </cell>
          <cell r="AT188" t="str">
            <v>ADA_SMK - Danone Arg. S.A. - SMK</v>
          </cell>
          <cell r="AU188" t="str">
            <v>ADA_SMK - Danone Arg. S.A. - SMK</v>
          </cell>
          <cell r="AV188" t="str">
            <v>AdaMinZO - Danone Minorista Zona Oeste</v>
          </cell>
          <cell r="AW188" t="str">
            <v>AdaMinZO - Danone Minorista Zona Oeste</v>
          </cell>
          <cell r="AX188" t="str">
            <v>ADA_Mino - Danone Arg. S.A. - Mino</v>
          </cell>
          <cell r="AY188" t="str">
            <v>ADA_Mino - Danone Arg. S.A. - Mino</v>
          </cell>
          <cell r="AZ188" t="str">
            <v>ADA_Mino - Danone Arg. S.A. - Mino</v>
          </cell>
          <cell r="BA188" t="str">
            <v>ADA_Mino - Danone Arg. S.A. - Mino</v>
          </cell>
          <cell r="BB188" t="str">
            <v>ADA_Mino - Danone Arg. S.A. - Mino</v>
          </cell>
          <cell r="BC188" t="str">
            <v>ADA_Mino - Danone Arg. S.A. - Mino</v>
          </cell>
          <cell r="BD188" t="str">
            <v>ADA_Mino - Danone Arg. S.A. - Mino</v>
          </cell>
          <cell r="BE188" t="str">
            <v>AdaMinZO - Danone Minorista Zona Oeste</v>
          </cell>
          <cell r="BF188" t="str">
            <v>AdaMinZO - Danone Minorista Zona Oeste</v>
          </cell>
          <cell r="BG188" t="str">
            <v>AdaMinZO - Danone Minorista Zona Oeste</v>
          </cell>
          <cell r="BH188" t="str">
            <v>AdaMinZO - Danone Minorista Zona Oeste</v>
          </cell>
          <cell r="BI188" t="str">
            <v>AdaMinZO - Danone Minorista Zona Oeste</v>
          </cell>
          <cell r="BJ188" t="str">
            <v>AdaMinZO - Danone Minorista Zona Oeste</v>
          </cell>
          <cell r="BK188" t="str">
            <v>AdaMinZO - Danone Minorista Zona Oeste</v>
          </cell>
          <cell r="BL188" t="str">
            <v>AdaMinZO - Danone Minorista Zona Oeste</v>
          </cell>
          <cell r="BM188" t="str">
            <v>AdaMinZO - Danone Minorista Zona Oeste</v>
          </cell>
          <cell r="BN188" t="str">
            <v>ADA_LP - Danone Arg. S.A. - LP</v>
          </cell>
          <cell r="BO188" t="str">
            <v>ADA_LP - Danone Arg. S.A. - LP</v>
          </cell>
          <cell r="BP188" t="str">
            <v>ADA_LP - Danone Arg. S.A. - LP</v>
          </cell>
          <cell r="BQ188" t="str">
            <v>Sin Operación</v>
          </cell>
          <cell r="BR188" t="str">
            <v>ADA_LP - Danone Arg. S.A. - LP</v>
          </cell>
          <cell r="BS188" t="str">
            <v>ADA_LP - Danone Arg. S.A. - LP</v>
          </cell>
          <cell r="BT188" t="str">
            <v>ADA_LP - Danone Arg. S.A. - LP</v>
          </cell>
          <cell r="BU188" t="str">
            <v>CCUCoAZA</v>
          </cell>
          <cell r="BV188" t="str">
            <v>CCUCoAZA</v>
          </cell>
          <cell r="BW188" t="str">
            <v>CCUCoAZA</v>
          </cell>
          <cell r="BX188" t="str">
            <v>CCUCoAZA</v>
          </cell>
          <cell r="BY188" t="str">
            <v>CCUCoAZA</v>
          </cell>
          <cell r="BZ188" t="str">
            <v>CCUCoAZA</v>
          </cell>
          <cell r="CA188" t="str">
            <v>CCUCoAZA</v>
          </cell>
          <cell r="CB188" t="str">
            <v>Sin Operación</v>
          </cell>
          <cell r="CC188" t="str">
            <v>Sin Operación</v>
          </cell>
          <cell r="CD188" t="str">
            <v>Sin Operación</v>
          </cell>
          <cell r="CE188" t="str">
            <v>Sin Operación</v>
          </cell>
          <cell r="CF188" t="str">
            <v>Sin Operación</v>
          </cell>
          <cell r="CG188" t="str">
            <v>Sin Operación</v>
          </cell>
          <cell r="CH188" t="str">
            <v>AGN_TTE - AGUANORT - Transporte</v>
          </cell>
          <cell r="CI188" t="str">
            <v>AGN_TTE - AGUANORT - Transporte</v>
          </cell>
          <cell r="CJ188" t="str">
            <v>AGN_TTE - AGUANORT - Transporte</v>
          </cell>
          <cell r="CK188" t="str">
            <v>SUC_MEN - Sucursal Mendoza</v>
          </cell>
          <cell r="CL188" t="str">
            <v>SUC_SRA - Sucursal San Rafael</v>
          </cell>
          <cell r="CM188" t="str">
            <v>SUC_SRA - Sucursal San Rafael</v>
          </cell>
          <cell r="CN188" t="str">
            <v>SUC_SRA - Sucursal San Rafael</v>
          </cell>
          <cell r="CO188" t="str">
            <v>SUC_SRA - Sucursal San Rafael</v>
          </cell>
          <cell r="CP188" t="str">
            <v>SUC_SRA - Sucursal San Rafael</v>
          </cell>
          <cell r="CQ188" t="str">
            <v>SUC_SRA - Sucursal San Rafael</v>
          </cell>
          <cell r="CR188" t="str">
            <v>SUC_SRA - Sucursal San Rafael</v>
          </cell>
          <cell r="CS188" t="str">
            <v>SUC_SRA - Sucursal San Rafael</v>
          </cell>
          <cell r="CT188" t="str">
            <v>SUC_SRA - Sucursal San Rafael</v>
          </cell>
          <cell r="CU188" t="str">
            <v>SUC_SRA - Sucursal San Rafael</v>
          </cell>
          <cell r="CV188" t="str">
            <v>SUC_SRA - Sucursal San Rafael</v>
          </cell>
          <cell r="CW188" t="str">
            <v>SUC_SRA - Sucursal San Rafael</v>
          </cell>
        </row>
        <row r="189">
          <cell r="D189" t="str">
            <v>FVH034</v>
          </cell>
          <cell r="E189" t="str">
            <v>Chasis</v>
          </cell>
          <cell r="F189" t="str">
            <v>Chasis</v>
          </cell>
          <cell r="G189" t="str">
            <v>Chasis</v>
          </cell>
          <cell r="N189" t="str">
            <v>CODYLSA</v>
          </cell>
          <cell r="O189" t="str">
            <v>CODYLSA</v>
          </cell>
          <cell r="P189" t="str">
            <v>No</v>
          </cell>
          <cell r="Q189" t="str">
            <v>Propio</v>
          </cell>
          <cell r="R189">
            <v>8</v>
          </cell>
          <cell r="S189" t="str">
            <v>Propio</v>
          </cell>
          <cell r="T189" t="str">
            <v>MERCEDES BENZ</v>
          </cell>
          <cell r="U189">
            <v>710</v>
          </cell>
          <cell r="V189" t="str">
            <v>374988U0684835</v>
          </cell>
          <cell r="W189" t="str">
            <v>9BM6881576B484271</v>
          </cell>
          <cell r="X189">
            <v>2006</v>
          </cell>
          <cell r="Y189">
            <v>20</v>
          </cell>
          <cell r="Z189" t="str">
            <v>Malargue</v>
          </cell>
          <cell r="AA189" t="str">
            <v>Expreso - Servicios Troncales</v>
          </cell>
          <cell r="AB189" t="str">
            <v>Expreso - Servicios Troncales</v>
          </cell>
          <cell r="AC189" t="str">
            <v>Expreso - Servicios Troncales</v>
          </cell>
          <cell r="AD189" t="str">
            <v>Expreso - Servicios Troncales</v>
          </cell>
          <cell r="AE189" t="str">
            <v>Expreso - Servicios Troncales</v>
          </cell>
          <cell r="AF189" t="str">
            <v>Expreso - Servicios Troncales</v>
          </cell>
          <cell r="AG189" t="str">
            <v>Expreso - Servicios Troncales</v>
          </cell>
          <cell r="AH189" t="str">
            <v>Expreso - Servicios Troncales</v>
          </cell>
          <cell r="AI189" t="str">
            <v>Expreso - Servicios Troncales</v>
          </cell>
          <cell r="AJ189" t="str">
            <v>Expreso - Servicios Troncales</v>
          </cell>
          <cell r="AK189" t="str">
            <v>Expreso - Servicios Troncales</v>
          </cell>
          <cell r="AL189" t="str">
            <v>Expreso - Servicios Troncales</v>
          </cell>
          <cell r="AM189" t="str">
            <v>Expreso - Servicios Troncales</v>
          </cell>
          <cell r="AN189" t="str">
            <v>Expreso - Servicios Troncales</v>
          </cell>
          <cell r="AO189" t="str">
            <v>Expreso - Servicios Troncales</v>
          </cell>
          <cell r="AP189" t="str">
            <v>Expreso - Servicios Troncales</v>
          </cell>
          <cell r="AQ189" t="str">
            <v>Expreso - Servicios Troncales</v>
          </cell>
          <cell r="AR189" t="str">
            <v>Expreso - Servicios Troncales</v>
          </cell>
          <cell r="AS189" t="str">
            <v>Expreso - Servicios Troncales</v>
          </cell>
          <cell r="AT189" t="str">
            <v>Expreso - Servicios Troncales</v>
          </cell>
          <cell r="AU189" t="str">
            <v>Expreso - Servicios Troncales</v>
          </cell>
          <cell r="AV189" t="str">
            <v>Expreso - Servicios Troncales</v>
          </cell>
          <cell r="AW189" t="str">
            <v>Expreso - Servicios Troncales</v>
          </cell>
          <cell r="AX189" t="str">
            <v>Expreso - Servicios Troncales</v>
          </cell>
          <cell r="AY189" t="str">
            <v>Expreso - Servicios Troncales</v>
          </cell>
          <cell r="AZ189" t="str">
            <v>Expreso - Servicios Troncales</v>
          </cell>
          <cell r="BA189" t="str">
            <v>Expreso - Servicios Troncales</v>
          </cell>
          <cell r="BB189" t="str">
            <v>Expreso - Servicios Troncales</v>
          </cell>
          <cell r="BC189" t="str">
            <v>Expreso - Servicios Troncales</v>
          </cell>
          <cell r="BD189" t="str">
            <v>SUC_SRA - Sucursal San Rafael</v>
          </cell>
          <cell r="BE189" t="str">
            <v>SUC_SRA - Sucursal San Rafael</v>
          </cell>
          <cell r="BF189" t="str">
            <v>SUC_SRA - Sucursal San Rafael</v>
          </cell>
          <cell r="BG189" t="str">
            <v>SUC_SRA - Sucursal San Rafael</v>
          </cell>
          <cell r="BH189" t="str">
            <v>SUC_SRA - Sucursal San Rafael</v>
          </cell>
          <cell r="BI189" t="str">
            <v>SUC_SRA - Sucursal San Rafael</v>
          </cell>
          <cell r="BJ189" t="str">
            <v>SUC_SRA - Sucursal San Rafael</v>
          </cell>
          <cell r="BK189" t="str">
            <v>SUC_SRA - Sucursal San Rafael</v>
          </cell>
          <cell r="BL189" t="str">
            <v>SUC_SRA - Sucursal San Rafael</v>
          </cell>
          <cell r="BM189" t="str">
            <v>SUC_SRA - Sucursal San Rafael</v>
          </cell>
          <cell r="BN189" t="str">
            <v>SUC_SRA - Sucursal San Rafael</v>
          </cell>
          <cell r="BO189" t="str">
            <v>SUC_SRA - Sucursal San Rafael</v>
          </cell>
          <cell r="BP189" t="str">
            <v>SUC_SRA - Sucursal San Rafael</v>
          </cell>
          <cell r="BQ189" t="str">
            <v>SUC_SRA - Sucursal San Rafael</v>
          </cell>
          <cell r="BR189" t="str">
            <v>SUC_SRA - Sucursal San Rafael</v>
          </cell>
          <cell r="BS189" t="str">
            <v>SUC_SRA - Sucursal San Rafael</v>
          </cell>
          <cell r="BT189" t="str">
            <v>SUC_SRA - Sucursal San Rafael</v>
          </cell>
          <cell r="BU189" t="str">
            <v>SUC_SRA - Sucursal San Rafael</v>
          </cell>
          <cell r="BV189" t="str">
            <v>SUC_SRA - Sucursal San Rafael</v>
          </cell>
          <cell r="BW189" t="str">
            <v>SUC_SRA - Sucursal San Rafael</v>
          </cell>
          <cell r="BX189" t="str">
            <v>SUC_SRA - Sucursal San Rafael</v>
          </cell>
          <cell r="BY189" t="str">
            <v>SUC_SRA - Sucursal San Rafael</v>
          </cell>
          <cell r="BZ189" t="str">
            <v>SUC_SRA - Sucursal San Rafael</v>
          </cell>
          <cell r="CA189" t="str">
            <v>SUC_SRA - Sucursal San Rafael</v>
          </cell>
          <cell r="CB189" t="str">
            <v>SUC_SRA - Sucursal San Rafael</v>
          </cell>
          <cell r="CC189" t="str">
            <v>SUC_SRA - Sucursal San Rafael</v>
          </cell>
          <cell r="CD189" t="str">
            <v>SUC_SRA - Sucursal San Rafael</v>
          </cell>
          <cell r="CE189" t="str">
            <v>SUC_SRA - Sucursal San Rafael</v>
          </cell>
          <cell r="CF189" t="str">
            <v>SUC_SRA - Sucursal San Rafael</v>
          </cell>
          <cell r="CG189" t="str">
            <v>SUC_SRA - Sucursal San Rafael</v>
          </cell>
          <cell r="CH189" t="str">
            <v>SUC_SRA - Sucursal San Rafael</v>
          </cell>
          <cell r="CI189" t="str">
            <v>SUC_SRA - Sucursal San Rafael</v>
          </cell>
          <cell r="CJ189" t="str">
            <v>SUC_SRA - Sucursal San Rafael</v>
          </cell>
          <cell r="CK189" t="str">
            <v>SUC_SRA - Sucursal San Rafael</v>
          </cell>
          <cell r="CL189" t="str">
            <v>SUC_SRA - Sucursal San Rafael</v>
          </cell>
          <cell r="CM189" t="str">
            <v>SUC_SRA - Sucursal San Rafael</v>
          </cell>
          <cell r="CN189" t="str">
            <v>SUC_SRA - Sucursal San Rafael</v>
          </cell>
          <cell r="CO189" t="str">
            <v>SUC_SRA - Sucursal San Rafael</v>
          </cell>
          <cell r="CP189" t="str">
            <v>SUC_SRA - Sucursal San Rafael</v>
          </cell>
          <cell r="CQ189" t="str">
            <v>SUC_SRA - Sucursal San Rafael</v>
          </cell>
          <cell r="CR189" t="str">
            <v>SUC_SRA - Sucursal San Rafael</v>
          </cell>
          <cell r="CS189" t="str">
            <v>SUC_SRA - Sucursal San Rafael</v>
          </cell>
          <cell r="CT189" t="str">
            <v>SUC_SRA - Sucursal San Rafael</v>
          </cell>
          <cell r="CU189" t="str">
            <v>SUC_SRA - Sucursal San Rafael</v>
          </cell>
          <cell r="CV189" t="str">
            <v>SUC_SRA - Sucursal San Rafael</v>
          </cell>
          <cell r="CW189" t="str">
            <v>SUC_SRA - Sucursal San Rafael</v>
          </cell>
        </row>
        <row r="190">
          <cell r="D190" t="str">
            <v>FVK506</v>
          </cell>
          <cell r="E190" t="str">
            <v>Chasis</v>
          </cell>
          <cell r="F190" t="str">
            <v>Chasis</v>
          </cell>
          <cell r="G190" t="str">
            <v>Chasis</v>
          </cell>
          <cell r="N190" t="str">
            <v>CODYLSA</v>
          </cell>
          <cell r="O190" t="str">
            <v>CODYLSA</v>
          </cell>
          <cell r="P190" t="str">
            <v>No</v>
          </cell>
          <cell r="Q190" t="str">
            <v>Propio</v>
          </cell>
          <cell r="R190">
            <v>21</v>
          </cell>
          <cell r="S190" t="str">
            <v>Propio</v>
          </cell>
          <cell r="T190" t="str">
            <v>MERCEDES BENZ</v>
          </cell>
          <cell r="U190">
            <v>1620</v>
          </cell>
          <cell r="V190" t="str">
            <v>377983U0690150</v>
          </cell>
          <cell r="W190" t="str">
            <v>9BM6950146B490371</v>
          </cell>
          <cell r="X190">
            <v>2006</v>
          </cell>
          <cell r="Y190">
            <v>20</v>
          </cell>
          <cell r="Z190" t="str">
            <v>Danone Mendoza</v>
          </cell>
          <cell r="AA190" t="str">
            <v>ADA_MZA - Danone Arg. S.A. - MZA</v>
          </cell>
          <cell r="AB190" t="str">
            <v>ADA_MZA - Danone Arg. S.A. - MZA</v>
          </cell>
          <cell r="AC190" t="str">
            <v>ADA_MZA - Danone Arg. S.A. - MZA</v>
          </cell>
          <cell r="AD190" t="str">
            <v>ADA_MZA - Danone Arg. S.A. - MZA</v>
          </cell>
          <cell r="AE190" t="str">
            <v>ADA_MZA - Danone Arg. S.A. - MZA</v>
          </cell>
          <cell r="AF190" t="str">
            <v>ADA_MZA - Danone Arg. S.A. - MZA</v>
          </cell>
          <cell r="AG190" t="str">
            <v>ADA_MZA - Danone Arg. S.A. - MZA</v>
          </cell>
          <cell r="AH190" t="str">
            <v>ADA_MZA - Danone Arg. S.A. - MZA</v>
          </cell>
          <cell r="AI190" t="str">
            <v>ADA_MZA - Danone Arg. S.A. - MZA</v>
          </cell>
          <cell r="AJ190" t="str">
            <v>ADA_MZA - Danone Arg. S.A. - MZA</v>
          </cell>
          <cell r="AK190" t="str">
            <v>ADA_MZA - Danone Arg. S.A. - MZA</v>
          </cell>
          <cell r="AL190" t="str">
            <v>ADA_MZA - Danone Arg. S.A. - MZA</v>
          </cell>
          <cell r="AM190" t="str">
            <v>ADA_MZA - Danone Arg. S.A. - MZA</v>
          </cell>
          <cell r="AN190" t="str">
            <v>ADA_MZA - Danone Arg. S.A. - MZA</v>
          </cell>
          <cell r="AO190" t="str">
            <v>ADA_MZA - Danone Arg. S.A. - MZA</v>
          </cell>
          <cell r="AP190" t="str">
            <v>ADA_MZA - Danone Arg. S.A. - MZA</v>
          </cell>
          <cell r="AQ190" t="str">
            <v>ADA_MZA - Danone Arg. S.A. - MZA</v>
          </cell>
          <cell r="AR190" t="str">
            <v>ADA_MZA - Danone Arg. S.A. - MZA</v>
          </cell>
          <cell r="AS190" t="str">
            <v>ADA_MZA - Danone Arg. S.A. - MZA</v>
          </cell>
          <cell r="AT190" t="str">
            <v>ADA_MZA - Danone Arg. S.A. - MZA</v>
          </cell>
          <cell r="AU190" t="str">
            <v>ADA_MZA - Danone Arg. S.A. - MZA</v>
          </cell>
          <cell r="AV190" t="str">
            <v>ADA_MZA - Danone Arg. S.A. - MZA</v>
          </cell>
          <cell r="AW190" t="str">
            <v>ADA_MZA - Danone Arg. S.A. - MZA</v>
          </cell>
          <cell r="AX190" t="str">
            <v>ADA_MZA - Danone Arg. S.A. - MZA</v>
          </cell>
          <cell r="AY190" t="str">
            <v>ADA_MZA - Danone Arg. S.A. - MZA</v>
          </cell>
          <cell r="AZ190" t="str">
            <v>ADA_MZA - Danone Arg. S.A. - MZA</v>
          </cell>
          <cell r="BA190" t="str">
            <v>ADA_SMK - Danone Arg. S.A. - SMK</v>
          </cell>
          <cell r="BB190" t="str">
            <v>ADA_SMK - Danone Arg. S.A. - SMK</v>
          </cell>
          <cell r="BC190" t="str">
            <v>ADA_SMK - Danone Arg. S.A. - SMK</v>
          </cell>
          <cell r="BD190" t="str">
            <v>ADA_SMK - Danone Arg. S.A. - SMK</v>
          </cell>
          <cell r="BE190" t="str">
            <v>ADA_Mino - Danone Arg. S.A. - Mino</v>
          </cell>
          <cell r="BF190" t="str">
            <v>ADA_Mino - Danone Arg. S.A. - Mino</v>
          </cell>
          <cell r="BG190" t="str">
            <v>ADA_Mino - Danone Arg. S.A. - Mino</v>
          </cell>
          <cell r="BH190" t="str">
            <v>ADA_Mino - Danone Arg. S.A. - Mino</v>
          </cell>
          <cell r="BI190" t="str">
            <v>ADA_Mino - Danone Arg. S.A. - Mino</v>
          </cell>
          <cell r="BJ190" t="str">
            <v>ADA_Mino - Danone Arg. S.A. - Mino</v>
          </cell>
          <cell r="BK190" t="str">
            <v>ADA_Mino - Danone Arg. S.A. - Mino</v>
          </cell>
          <cell r="BL190" t="str">
            <v>ADA_Mino - Danone Arg. S.A. - Mino</v>
          </cell>
          <cell r="BM190" t="str">
            <v>ADA_Mino - Danone Arg. S.A. - Mino</v>
          </cell>
          <cell r="BN190" t="str">
            <v>AdaMinZO - Danone Minorista Zona Oeste</v>
          </cell>
          <cell r="BO190" t="str">
            <v>AdaMinZO - Danone Minorista Zona Oeste</v>
          </cell>
          <cell r="BP190" t="str">
            <v>AdaMinZO - Danone Minorista Zona Oeste</v>
          </cell>
          <cell r="BQ190" t="str">
            <v>AdaMinZO - Danone Minorista Zona Oeste</v>
          </cell>
          <cell r="BR190" t="str">
            <v>AdaMinZO - Danone Minorista Zona Oeste</v>
          </cell>
          <cell r="BS190" t="str">
            <v>ADA_SMK - Danone Arg. S.A. - SMK</v>
          </cell>
          <cell r="BT190" t="str">
            <v>ADA_SMK - Danone Arg. S.A. - SMK</v>
          </cell>
          <cell r="BU190" t="str">
            <v>CCUDyAZA</v>
          </cell>
          <cell r="BV190" t="str">
            <v>CCUDyAZA</v>
          </cell>
          <cell r="BW190" t="str">
            <v>CCUDyAZA</v>
          </cell>
          <cell r="BX190" t="str">
            <v>CCUDyAZA</v>
          </cell>
          <cell r="BY190" t="str">
            <v>CCUDyAZA</v>
          </cell>
          <cell r="BZ190" t="str">
            <v>CCUDyAZA</v>
          </cell>
          <cell r="CA190" t="str">
            <v>CCUDyAZA</v>
          </cell>
          <cell r="CB190" t="str">
            <v>CCUDyAZA</v>
          </cell>
          <cell r="CC190" t="str">
            <v>CCUDyAZA</v>
          </cell>
          <cell r="CD190" t="str">
            <v>CCUDyAZA</v>
          </cell>
          <cell r="CE190" t="str">
            <v>CCUDyAZA</v>
          </cell>
          <cell r="CF190" t="str">
            <v>CCUDyAZA</v>
          </cell>
          <cell r="CG190" t="str">
            <v>CCUDyAZA</v>
          </cell>
          <cell r="CH190" t="str">
            <v>CCUDyAZA</v>
          </cell>
          <cell r="CI190" t="str">
            <v>CCUDyAZA</v>
          </cell>
          <cell r="CJ190" t="str">
            <v>CCUDyAZA</v>
          </cell>
          <cell r="CK190" t="str">
            <v>CCUDyAZA</v>
          </cell>
          <cell r="CL190" t="str">
            <v>CCUDyAZA</v>
          </cell>
          <cell r="CM190" t="str">
            <v>CCUDyAZA</v>
          </cell>
          <cell r="CN190" t="str">
            <v>CCUDyAZA</v>
          </cell>
          <cell r="CO190" t="str">
            <v>CCUDyAZA</v>
          </cell>
          <cell r="CP190" t="str">
            <v>CCUDyAZA</v>
          </cell>
          <cell r="CQ190" t="str">
            <v>CCUDyAZA</v>
          </cell>
          <cell r="CR190" t="str">
            <v>CCUDyAZA</v>
          </cell>
          <cell r="CS190" t="str">
            <v>CCUDyAZA</v>
          </cell>
          <cell r="CT190" t="str">
            <v>CCUDyAZA</v>
          </cell>
          <cell r="CU190" t="str">
            <v>CCUDyAZA</v>
          </cell>
          <cell r="CV190" t="str">
            <v>CCUDyAZA</v>
          </cell>
          <cell r="CW190" t="str">
            <v>Sin Operación</v>
          </cell>
        </row>
        <row r="191">
          <cell r="D191" t="str">
            <v>FVO107</v>
          </cell>
          <cell r="E191" t="str">
            <v>Chasis</v>
          </cell>
          <cell r="F191" t="str">
            <v>Chasis</v>
          </cell>
          <cell r="G191" t="str">
            <v>Chasis</v>
          </cell>
          <cell r="N191" t="str">
            <v>CODYLSA</v>
          </cell>
          <cell r="O191" t="str">
            <v>CODYLSA</v>
          </cell>
          <cell r="P191" t="str">
            <v>No</v>
          </cell>
          <cell r="Q191" t="str">
            <v>Propio</v>
          </cell>
          <cell r="R191">
            <v>12</v>
          </cell>
          <cell r="S191" t="str">
            <v>Propio</v>
          </cell>
          <cell r="T191" t="str">
            <v>MERCEDES BENZ</v>
          </cell>
          <cell r="U191">
            <v>1620</v>
          </cell>
          <cell r="V191" t="str">
            <v>377983U0691111</v>
          </cell>
          <cell r="W191" t="str">
            <v>9BM6950146B491432</v>
          </cell>
          <cell r="X191">
            <v>2006</v>
          </cell>
          <cell r="Y191">
            <v>20</v>
          </cell>
          <cell r="Z191" t="str">
            <v>TDU</v>
          </cell>
          <cell r="AA191" t="str">
            <v>CMQ_TTE - QUILMES TTE</v>
          </cell>
          <cell r="AB191" t="str">
            <v>CMQ_TTE - QUILMES TTE</v>
          </cell>
          <cell r="AC191" t="str">
            <v>CMQ_TTE - QUILMES TTE</v>
          </cell>
          <cell r="AD191" t="str">
            <v>CMQ_TTE - QUILMES TTE</v>
          </cell>
          <cell r="AE191" t="str">
            <v>CMQ_TTE - QUILMES TTE</v>
          </cell>
          <cell r="AF191" t="str">
            <v>CMQ_TTE - QUILMES TTE</v>
          </cell>
          <cell r="AG191" t="str">
            <v>CMQ_TTE - QUILMES TTE</v>
          </cell>
          <cell r="AH191" t="str">
            <v>CMQ_TTE - QUILMES TTE</v>
          </cell>
          <cell r="AI191" t="str">
            <v>CMQ_TTE - QUILMES TTE</v>
          </cell>
          <cell r="AJ191" t="str">
            <v>CMQ_TTE - QUILMES TTE</v>
          </cell>
          <cell r="AK191" t="str">
            <v>CMQ_TTE - QUILMES TTE</v>
          </cell>
          <cell r="AL191" t="str">
            <v>CMQ_TTE - QUILMES TTE</v>
          </cell>
          <cell r="AM191" t="str">
            <v>CMQ_TTE - QUILMES TTE</v>
          </cell>
          <cell r="AN191" t="str">
            <v>CMQ_TTE - QUILMES TTE</v>
          </cell>
          <cell r="AO191" t="str">
            <v>CMQ_TTE - QUILMES TTE</v>
          </cell>
          <cell r="AP191" t="str">
            <v>CMQ_TTE - QUILMES TTE</v>
          </cell>
          <cell r="AQ191" t="str">
            <v>ADA_MZA - Danone Arg. S.A. - MZA</v>
          </cell>
          <cell r="AR191" t="str">
            <v>ADA_MZA - Danone Arg. S.A. - MZA</v>
          </cell>
          <cell r="AS191" t="str">
            <v>ADA_MZA - Danone Arg. S.A. - MZA</v>
          </cell>
          <cell r="AT191" t="str">
            <v>ADA_MZA - Danone Arg. S.A. - MZA</v>
          </cell>
          <cell r="AU191" t="str">
            <v>ADA_MZA - Danone Arg. S.A. - MZA</v>
          </cell>
          <cell r="AV191" t="str">
            <v>ADA_MZA - Danone Arg. S.A. - MZA</v>
          </cell>
          <cell r="AW191" t="str">
            <v>ADA_MZA - Danone Arg. S.A. - MZA</v>
          </cell>
          <cell r="AX191" t="str">
            <v>ADA_MZA - Danone Arg. S.A. - MZA</v>
          </cell>
          <cell r="AY191" t="str">
            <v>CMQ_TTE - QUILMES TTE</v>
          </cell>
          <cell r="AZ191" t="str">
            <v>CMQ_TTE - QUILMES TTE</v>
          </cell>
          <cell r="BA191" t="str">
            <v>CMQ_TTE - QUILMES TTE</v>
          </cell>
          <cell r="BB191" t="str">
            <v>CMQ_TTE - QUILMES TTE</v>
          </cell>
          <cell r="BC191" t="str">
            <v>CMQ_TTE - QUILMES TTE</v>
          </cell>
          <cell r="BD191" t="str">
            <v>CMQ_TTE - QUILMES TTE</v>
          </cell>
          <cell r="BE191" t="str">
            <v>CMQ_TTE - QUILMES TTE</v>
          </cell>
          <cell r="BF191" t="str">
            <v>CMQ_TTE - QUILMES TTE</v>
          </cell>
          <cell r="BG191" t="str">
            <v>CMQ_TTE - QUILMES TTE</v>
          </cell>
          <cell r="BH191" t="str">
            <v>AGN_TTE - AGUANORT - Transporte</v>
          </cell>
          <cell r="BI191" t="str">
            <v>AGN_TTE - AGUANORT - Transporte</v>
          </cell>
          <cell r="BJ191" t="str">
            <v>AGN_TTE - AGUANORT - Transporte</v>
          </cell>
          <cell r="BK191" t="str">
            <v>Papelera - Papelera del Plata S.A.</v>
          </cell>
          <cell r="BL191" t="str">
            <v>Papelera - Papelera del Plata S.A.</v>
          </cell>
          <cell r="BM191" t="str">
            <v>Papelera - Papelera del Plata S.A.</v>
          </cell>
          <cell r="BN191" t="str">
            <v>SUC_CTC - Sucursal Buenos Aires</v>
          </cell>
          <cell r="BO191" t="str">
            <v>SUC_CTC - Sucursal Buenos Aires</v>
          </cell>
          <cell r="BP191" t="str">
            <v>SUC_CTC - Sucursal Buenos Aires</v>
          </cell>
          <cell r="BQ191" t="str">
            <v>Topacio</v>
          </cell>
          <cell r="BR191" t="str">
            <v>Topacio</v>
          </cell>
          <cell r="BS191" t="str">
            <v>Topacio</v>
          </cell>
          <cell r="BT191" t="str">
            <v>Topacio</v>
          </cell>
          <cell r="BU191" t="str">
            <v>Topacio</v>
          </cell>
          <cell r="BV191" t="str">
            <v>Topacio</v>
          </cell>
          <cell r="BW191" t="str">
            <v>Topacio</v>
          </cell>
          <cell r="BX191" t="str">
            <v>Topacio</v>
          </cell>
          <cell r="BY191" t="str">
            <v>Topacio</v>
          </cell>
          <cell r="BZ191" t="str">
            <v>Topacio</v>
          </cell>
          <cell r="CA191" t="str">
            <v>Topacio</v>
          </cell>
          <cell r="CB191" t="str">
            <v>Topacio</v>
          </cell>
          <cell r="CC191" t="str">
            <v>Topacio</v>
          </cell>
          <cell r="CD191" t="str">
            <v>Topacio</v>
          </cell>
          <cell r="CE191" t="str">
            <v>Topacio</v>
          </cell>
          <cell r="CF191" t="str">
            <v>Topacio</v>
          </cell>
          <cell r="CG191" t="str">
            <v>Topacio</v>
          </cell>
          <cell r="CH191" t="str">
            <v>Topacio</v>
          </cell>
          <cell r="CI191" t="str">
            <v>Topacio</v>
          </cell>
          <cell r="CJ191" t="str">
            <v>Topacio</v>
          </cell>
          <cell r="CK191" t="str">
            <v>AGN_TTE - AGUANORT - Transporte</v>
          </cell>
          <cell r="CL191" t="str">
            <v>AGN_TTE - AGUANORT - Transporte</v>
          </cell>
          <cell r="CM191" t="str">
            <v>AGN_TTE - AGUANORT - Transporte</v>
          </cell>
          <cell r="CN191" t="str">
            <v>AGN_TTE - AGUANORT - Transporte</v>
          </cell>
          <cell r="CO191" t="str">
            <v>AGN_TTE - AGUANORT - Transporte</v>
          </cell>
          <cell r="CP191" t="str">
            <v>AGN_TTE - AGUANORT - Transporte</v>
          </cell>
          <cell r="CQ191" t="str">
            <v>Sin Operación</v>
          </cell>
          <cell r="CR191" t="str">
            <v>Sin Operación</v>
          </cell>
          <cell r="CS191" t="str">
            <v>Sin Operación</v>
          </cell>
          <cell r="CT191" t="str">
            <v>Sin Operación</v>
          </cell>
          <cell r="CU191" t="str">
            <v>Sin Operación</v>
          </cell>
          <cell r="CV191" t="str">
            <v>Sin Operación</v>
          </cell>
          <cell r="CW191" t="str">
            <v>Sin Operación</v>
          </cell>
        </row>
        <row r="192">
          <cell r="D192" t="str">
            <v>FVO108</v>
          </cell>
          <cell r="E192" t="str">
            <v>Chasis</v>
          </cell>
          <cell r="F192" t="str">
            <v>Chasis</v>
          </cell>
          <cell r="G192" t="str">
            <v>Chasis</v>
          </cell>
          <cell r="N192" t="str">
            <v>TDU</v>
          </cell>
          <cell r="O192" t="str">
            <v>TDU</v>
          </cell>
          <cell r="P192" t="str">
            <v>No</v>
          </cell>
          <cell r="Q192" t="str">
            <v>Propio</v>
          </cell>
          <cell r="R192">
            <v>12</v>
          </cell>
          <cell r="S192" t="str">
            <v>Propio</v>
          </cell>
          <cell r="T192" t="str">
            <v>MERCEDES BENZ</v>
          </cell>
          <cell r="U192">
            <v>1620</v>
          </cell>
          <cell r="V192" t="str">
            <v>377983U0691090</v>
          </cell>
          <cell r="W192" t="str">
            <v>9BM6950146B491401</v>
          </cell>
          <cell r="X192">
            <v>2006</v>
          </cell>
          <cell r="Y192">
            <v>20</v>
          </cell>
          <cell r="Z192" t="str">
            <v>TDU</v>
          </cell>
          <cell r="AA192" t="str">
            <v>CMQ_TTE - QUILMES TTE</v>
          </cell>
          <cell r="AB192" t="str">
            <v>CMQ_TTE - QUILMES TTE</v>
          </cell>
          <cell r="AC192" t="str">
            <v>CMQ_TTE - QUILMES TTE</v>
          </cell>
          <cell r="AD192" t="str">
            <v>CMQ_TTE - QUILMES TTE</v>
          </cell>
          <cell r="AE192" t="str">
            <v>CMQ_TTE - QUILMES TTE</v>
          </cell>
          <cell r="AF192" t="str">
            <v>CMQ_TTE - QUILMES TTE</v>
          </cell>
          <cell r="AG192" t="str">
            <v>CMQ_TTE - QUILMES TTE</v>
          </cell>
          <cell r="AH192" t="str">
            <v>CMQ_TTE - QUILMES TTE</v>
          </cell>
          <cell r="AI192" t="str">
            <v>CMQ_TTE - QUILMES TTE</v>
          </cell>
          <cell r="AJ192" t="str">
            <v>CMQ_TTE - QUILMES TTE</v>
          </cell>
          <cell r="AK192" t="str">
            <v>CMQ_TTE - QUILMES TTE</v>
          </cell>
          <cell r="AL192" t="str">
            <v>CMQ_TTE - QUILMES TTE</v>
          </cell>
          <cell r="AM192" t="str">
            <v>CMQ_TTE - QUILMES TTE</v>
          </cell>
          <cell r="AN192" t="str">
            <v>CMQ_TTE - QUILMES TTE</v>
          </cell>
          <cell r="AO192" t="str">
            <v>CMQ_TTE - QUILMES TTE</v>
          </cell>
          <cell r="AP192" t="str">
            <v>CMQ_TTE - QUILMES TTE</v>
          </cell>
          <cell r="AQ192" t="str">
            <v>CMQ_TTE - QUILMES TTE</v>
          </cell>
          <cell r="AR192" t="str">
            <v>CMQ_TTE - QUILMES TTE</v>
          </cell>
          <cell r="AS192" t="str">
            <v>CMQ_TTE - QUILMES TTE</v>
          </cell>
          <cell r="AT192" t="str">
            <v>CMQ_TTE - QUILMES TTE</v>
          </cell>
          <cell r="AU192" t="str">
            <v>CMQ_TTE - QUILMES TTE</v>
          </cell>
          <cell r="AV192" t="str">
            <v>CMQ_TTE - QUILMES TTE</v>
          </cell>
          <cell r="AW192" t="str">
            <v>CMQ_TTE - QUILMES TTE</v>
          </cell>
          <cell r="AX192" t="str">
            <v>CMQ_TTE - QUILMES TTE</v>
          </cell>
          <cell r="AY192" t="str">
            <v>CMQ_TTE - QUILMES TTE</v>
          </cell>
          <cell r="AZ192" t="str">
            <v>CMQ_TTE - QUILMES TTE</v>
          </cell>
          <cell r="BA192" t="str">
            <v>CMQ_TTE - QUILMES TTE</v>
          </cell>
          <cell r="BB192" t="str">
            <v>CMQ_TTE - QUILMES TTE</v>
          </cell>
          <cell r="BC192" t="str">
            <v>CMQ_TTE - QUILMES TTE</v>
          </cell>
          <cell r="BD192" t="str">
            <v>CMQ_TTE - QUILMES TTE</v>
          </cell>
          <cell r="BE192" t="str">
            <v>CMQ_TTE - QUILMES TTE</v>
          </cell>
          <cell r="BF192" t="str">
            <v>CMQ_TTE - QUILMES TTE</v>
          </cell>
          <cell r="BG192" t="str">
            <v>CMQ_TTE - QUILMES TTE</v>
          </cell>
          <cell r="BH192" t="str">
            <v>CMQ_TTE - QUILMES TTE</v>
          </cell>
          <cell r="BI192" t="str">
            <v>CMQ_TTE - QUILMES TTE</v>
          </cell>
          <cell r="BJ192" t="str">
            <v>CMQ_TTE - QUILMES TTE</v>
          </cell>
          <cell r="BK192" t="str">
            <v>CMQ_TTE - QUILMES TTE</v>
          </cell>
          <cell r="BL192" t="str">
            <v>CMQ_TTE - QUILMES TTE</v>
          </cell>
          <cell r="BM192" t="str">
            <v>CMQ_TTE - QUILMES TTE</v>
          </cell>
          <cell r="BN192" t="str">
            <v>CMQ_TTE - QUILMES TTE</v>
          </cell>
          <cell r="BO192" t="str">
            <v>CMQ_TTE - QUILMES TTE</v>
          </cell>
          <cell r="BP192" t="str">
            <v>CMQ_TTE - QUILMES TTE</v>
          </cell>
          <cell r="BQ192" t="str">
            <v>Topacio</v>
          </cell>
          <cell r="BR192" t="str">
            <v>Topacio</v>
          </cell>
          <cell r="BS192" t="str">
            <v>Topacio</v>
          </cell>
          <cell r="BT192" t="str">
            <v>Topacio</v>
          </cell>
          <cell r="BU192" t="str">
            <v>Topacio</v>
          </cell>
          <cell r="BV192" t="str">
            <v>Topacio</v>
          </cell>
          <cell r="BW192" t="str">
            <v>Topacio</v>
          </cell>
          <cell r="BX192" t="str">
            <v>Topacio</v>
          </cell>
          <cell r="BY192" t="str">
            <v>Topacio</v>
          </cell>
          <cell r="BZ192" t="str">
            <v>Topacio</v>
          </cell>
          <cell r="CA192" t="str">
            <v>Topacio</v>
          </cell>
          <cell r="CB192" t="str">
            <v>Topacio</v>
          </cell>
          <cell r="CC192" t="str">
            <v>Topacio</v>
          </cell>
          <cell r="CD192" t="str">
            <v>Topacio</v>
          </cell>
          <cell r="CE192" t="str">
            <v>Topacio</v>
          </cell>
          <cell r="CF192" t="str">
            <v>Topacio</v>
          </cell>
          <cell r="CG192" t="str">
            <v>Topacio</v>
          </cell>
          <cell r="CH192" t="str">
            <v>Topacio</v>
          </cell>
          <cell r="CI192" t="str">
            <v>Topacio</v>
          </cell>
          <cell r="CJ192" t="str">
            <v>Topacio</v>
          </cell>
          <cell r="CK192" t="str">
            <v>AGN_TTE - AGUANORT - Transporte</v>
          </cell>
          <cell r="CL192" t="str">
            <v>AGN_TTE - AGUANORT - Transporte</v>
          </cell>
          <cell r="CM192" t="str">
            <v>AGN_TTE - AGUANORT - Transporte</v>
          </cell>
          <cell r="CN192" t="str">
            <v>AGN_TTE - AGUANORT - Transporte</v>
          </cell>
          <cell r="CO192" t="str">
            <v>AGN_TTE - AGUANORT - Transporte</v>
          </cell>
          <cell r="CP192" t="str">
            <v>AGN_TTE - AGUANORT - Transporte</v>
          </cell>
          <cell r="CQ192" t="str">
            <v>Sin Operación</v>
          </cell>
          <cell r="CR192" t="str">
            <v>Sin Operación</v>
          </cell>
          <cell r="CS192" t="str">
            <v>Sin Operación</v>
          </cell>
          <cell r="CT192" t="str">
            <v>Sin Operación</v>
          </cell>
          <cell r="CU192" t="str">
            <v>Sin Operación</v>
          </cell>
          <cell r="CV192" t="str">
            <v>Sin Operación</v>
          </cell>
          <cell r="CW192" t="str">
            <v>Sin Operación</v>
          </cell>
        </row>
        <row r="193">
          <cell r="D193" t="str">
            <v>FZK806</v>
          </cell>
          <cell r="E193" t="str">
            <v>Chasis</v>
          </cell>
          <cell r="F193">
            <v>0</v>
          </cell>
          <cell r="G193" t="str">
            <v>Chasis</v>
          </cell>
          <cell r="N193" t="str">
            <v>CABA ALBERTO ANTONIO</v>
          </cell>
          <cell r="O193" t="str">
            <v>CABA ALBERTO ANTONIO</v>
          </cell>
          <cell r="P193" t="str">
            <v>No</v>
          </cell>
          <cell r="Q193" t="str">
            <v>De Tercero</v>
          </cell>
          <cell r="R193" t="str">
            <v>-</v>
          </cell>
          <cell r="S193" t="str">
            <v>De Tercero</v>
          </cell>
          <cell r="T193" t="str">
            <v>VOLKSWAGEN</v>
          </cell>
          <cell r="U193" t="str">
            <v>13 180</v>
          </cell>
          <cell r="V193">
            <v>2006</v>
          </cell>
          <cell r="W193">
            <v>20</v>
          </cell>
          <cell r="X193">
            <v>2006</v>
          </cell>
          <cell r="Y193">
            <v>20</v>
          </cell>
          <cell r="Z193" t="str">
            <v>TDU</v>
          </cell>
          <cell r="AA193" t="str">
            <v>AGN_TTE - AGUANORT - Transporte</v>
          </cell>
          <cell r="AB193" t="str">
            <v>AGN_TTE - AGUANORT - Transporte</v>
          </cell>
          <cell r="AC193" t="str">
            <v>AGN_TTE - AGUANORT - Transporte</v>
          </cell>
          <cell r="AD193" t="str">
            <v>AGN_TTE - AGUANORT - Transporte</v>
          </cell>
          <cell r="AE193" t="str">
            <v>AGN_TTE - AGUANORT - Transporte</v>
          </cell>
          <cell r="AF193" t="str">
            <v>AGN_TTE - AGUANORT - Transporte</v>
          </cell>
          <cell r="AG193" t="str">
            <v>AGN_TTE - AGUANORT - Transporte</v>
          </cell>
          <cell r="AH193" t="str">
            <v>AGN_TTE - AGUANORT - Transporte</v>
          </cell>
          <cell r="AI193" t="str">
            <v>AGN_TTE - AGUANORT - Transporte</v>
          </cell>
          <cell r="AJ193" t="str">
            <v>AGN_TTE - AGUANORT - Transporte</v>
          </cell>
          <cell r="AK193" t="str">
            <v>AGN_TTE - AGUANORT - Transporte</v>
          </cell>
          <cell r="AL193" t="str">
            <v>AGN_TTE - AGUANORT - Transporte</v>
          </cell>
          <cell r="AM193" t="str">
            <v>AGN_TTE - AGUANORT - Transporte</v>
          </cell>
          <cell r="AN193" t="str">
            <v>AGN_TTE - AGUANORT - Transporte</v>
          </cell>
          <cell r="AO193" t="str">
            <v>AGN_TTE - AGUANORT - Transporte</v>
          </cell>
          <cell r="AP193" t="str">
            <v>AGN_TTE - AGUANORT - Transporte</v>
          </cell>
          <cell r="AQ193" t="str">
            <v>AGN_TTE - AGUANORT - Transporte</v>
          </cell>
          <cell r="AR193" t="str">
            <v>AGN_TTE - AGUANORT - Transporte</v>
          </cell>
          <cell r="AS193" t="str">
            <v>AGN_TTE - AGUANORT - Transporte</v>
          </cell>
          <cell r="AT193" t="str">
            <v>AGN_TTE - AGUANORT - Transporte</v>
          </cell>
          <cell r="AU193" t="str">
            <v>AGN_TTE - AGUANORT - Transporte</v>
          </cell>
          <cell r="AV193" t="str">
            <v>AGN_TTE - AGUANORT - Transporte</v>
          </cell>
          <cell r="AW193" t="str">
            <v>AGN_TTE - AGUANORT - Transporte</v>
          </cell>
          <cell r="AX193" t="str">
            <v>CMQ_TTE - QUILMES TTE</v>
          </cell>
          <cell r="AY193" t="str">
            <v>CMQ_TTE - QUILMES TTE</v>
          </cell>
          <cell r="AZ193" t="str">
            <v>CMQ_TTE - QUILMES TTE</v>
          </cell>
          <cell r="BA193" t="str">
            <v>CMQ_TTE - QUILMES TTE</v>
          </cell>
          <cell r="BB193" t="str">
            <v>CMQ_TTE - QUILMES TTE</v>
          </cell>
          <cell r="BC193" t="str">
            <v>CMQ_TTE - QUILMES TTE</v>
          </cell>
          <cell r="BD193" t="str">
            <v>CMQ_TTE - QUILMES TTE</v>
          </cell>
          <cell r="BE193" t="str">
            <v>CMQ_TTE - QUILMES TTE</v>
          </cell>
          <cell r="BF193" t="str">
            <v>CMQ_TTE - QUILMES TTE</v>
          </cell>
          <cell r="BG193" t="str">
            <v>CMQ_TTE - QUILMES TTE</v>
          </cell>
          <cell r="BH193" t="str">
            <v>CMQ_TTE - QUILMES TTE</v>
          </cell>
          <cell r="BI193" t="str">
            <v>CMQ_TTE - QUILMES TTE</v>
          </cell>
          <cell r="BJ193" t="str">
            <v>CMQ_TTE - QUILMES TTE</v>
          </cell>
          <cell r="BK193" t="str">
            <v>CMQ_TTE - QUILMES TTE</v>
          </cell>
          <cell r="BL193" t="str">
            <v>CMQ_TTE - QUILMES TTE</v>
          </cell>
          <cell r="BM193" t="str">
            <v>CMQ_TTE - QUILMES TTE</v>
          </cell>
          <cell r="BN193" t="str">
            <v>CMQ_TTE - QUILMES TTE</v>
          </cell>
          <cell r="BO193" t="str">
            <v>CMQ_TTE - QUILMES TTE</v>
          </cell>
          <cell r="BP193" t="str">
            <v>CMQ_TTE - QUILMES TTE</v>
          </cell>
          <cell r="BQ193" t="str">
            <v>CMQ_TTE - QUILMES TTE</v>
          </cell>
          <cell r="BR193" t="str">
            <v>CMQ_TTE - QUILMES TTE</v>
          </cell>
          <cell r="BS193" t="str">
            <v>CMQ_TTE - QUILMES TTE</v>
          </cell>
          <cell r="BT193" t="str">
            <v>CMQ_TTE - QUILMES TTE</v>
          </cell>
          <cell r="BU193" t="str">
            <v>CMQ_TTE - QUILMES TTE</v>
          </cell>
          <cell r="BV193" t="str">
            <v>CMQ_TTE - QUILMES TTE</v>
          </cell>
          <cell r="BW193" t="str">
            <v>CMQ_TTE - QUILMES TTE</v>
          </cell>
          <cell r="BX193" t="str">
            <v>CMQ_TTE - QUILMES TTE</v>
          </cell>
          <cell r="BY193" t="str">
            <v>CMQ_TTE - QUILMES TTE</v>
          </cell>
          <cell r="BZ193" t="str">
            <v>CMQ_TTE - QUILMES TTE</v>
          </cell>
          <cell r="CA193" t="str">
            <v>CMQ_TTE - QUILMES TTE</v>
          </cell>
          <cell r="CB193" t="str">
            <v>CMQ_TTE - QUILMES TTE</v>
          </cell>
          <cell r="CC193" t="str">
            <v>CMQ_TTE - QUILMES TTE</v>
          </cell>
          <cell r="CD193" t="str">
            <v>CMQ_TTE - QUILMES TTE</v>
          </cell>
          <cell r="CE193" t="str">
            <v>CMQ_TTE - QUILMES TTE</v>
          </cell>
          <cell r="CF193" t="str">
            <v>CMQ_TTE - QUILMES TTE</v>
          </cell>
          <cell r="CG193" t="str">
            <v>CMQ_TTE - QUILMES TTE</v>
          </cell>
          <cell r="CH193" t="str">
            <v>CMQ_TTE - QUILMES TTE</v>
          </cell>
          <cell r="CI193" t="str">
            <v>CMQ_TTE - QUILMES TTE</v>
          </cell>
          <cell r="CJ193" t="str">
            <v>CMQ_TTE - QUILMES TTE</v>
          </cell>
          <cell r="CK193" t="str">
            <v>CMQ_TTE - QUILMES TTE</v>
          </cell>
          <cell r="CL193" t="str">
            <v>CMQ_TTE - QUILMES TTE</v>
          </cell>
          <cell r="CM193" t="str">
            <v>CMQ_TTE - QUILMES TTE</v>
          </cell>
          <cell r="CN193" t="str">
            <v>CMQ_TTE - QUILMES TTE</v>
          </cell>
          <cell r="CO193" t="str">
            <v>CMQ_TTE - QUILMES TTE</v>
          </cell>
          <cell r="CP193" t="str">
            <v>CMQ_TTE - QUILMES TTE</v>
          </cell>
          <cell r="CQ193" t="str">
            <v>CMQ_TTE - QUILMES TTE</v>
          </cell>
          <cell r="CR193" t="str">
            <v>CMQ_TTE - QUILMES TTE</v>
          </cell>
          <cell r="CS193" t="str">
            <v>CMQ_TTE - QUILMES TTE</v>
          </cell>
          <cell r="CT193" t="str">
            <v>CMQ_TTE - QUILMES TTE</v>
          </cell>
          <cell r="CU193" t="str">
            <v>CMQ_TTE - QUILMES TTE</v>
          </cell>
          <cell r="CV193" t="str">
            <v>CMQ_TTE - QUILMES TTE</v>
          </cell>
          <cell r="CW193" t="str">
            <v>CMQ_TTE - QUILMES TTE</v>
          </cell>
        </row>
        <row r="194">
          <cell r="D194" t="str">
            <v>FZK807</v>
          </cell>
          <cell r="E194" t="str">
            <v>Chasis</v>
          </cell>
          <cell r="F194">
            <v>0</v>
          </cell>
          <cell r="G194" t="str">
            <v>Chasis</v>
          </cell>
          <cell r="N194" t="str">
            <v>CABA ALBERTO ANTONIO</v>
          </cell>
          <cell r="O194" t="str">
            <v>CABA ALBERTO ANTONIO</v>
          </cell>
          <cell r="P194" t="str">
            <v>No</v>
          </cell>
          <cell r="Q194" t="str">
            <v>De Tercero</v>
          </cell>
          <cell r="R194" t="str">
            <v>-</v>
          </cell>
          <cell r="S194" t="str">
            <v>De Tercero</v>
          </cell>
          <cell r="T194" t="str">
            <v>VOLKSWAGEN</v>
          </cell>
          <cell r="U194" t="str">
            <v>13 180</v>
          </cell>
          <cell r="V194">
            <v>2007</v>
          </cell>
          <cell r="W194">
            <v>19</v>
          </cell>
          <cell r="X194">
            <v>2007</v>
          </cell>
          <cell r="Y194">
            <v>19</v>
          </cell>
          <cell r="Z194" t="str">
            <v>TDU</v>
          </cell>
          <cell r="AA194" t="str">
            <v>AGN_TTE - AGUANORT - Transporte</v>
          </cell>
          <cell r="AB194" t="str">
            <v>AGN_TTE - AGUANORT - Transporte</v>
          </cell>
          <cell r="AC194" t="str">
            <v>AGN_TTE - AGUANORT - Transporte</v>
          </cell>
          <cell r="AD194" t="str">
            <v>AGN_TTE - AGUANORT - Transporte</v>
          </cell>
          <cell r="AE194" t="str">
            <v>AGN_TTE - AGUANORT - Transporte</v>
          </cell>
          <cell r="AF194" t="str">
            <v>AGN_TTE - AGUANORT - Transporte</v>
          </cell>
          <cell r="AG194" t="str">
            <v>AGN_TTE - AGUANORT - Transporte</v>
          </cell>
          <cell r="AH194" t="str">
            <v>AGN_TTE - AGUANORT - Transporte</v>
          </cell>
          <cell r="AI194" t="str">
            <v>AGN_TTE - AGUANORT - Transporte</v>
          </cell>
          <cell r="AJ194" t="str">
            <v>AGN_TTE - AGUANORT - Transporte</v>
          </cell>
          <cell r="AK194" t="str">
            <v>AGN_TTE - AGUANORT - Transporte</v>
          </cell>
          <cell r="AL194" t="str">
            <v>AGN_TTE - AGUANORT - Transporte</v>
          </cell>
          <cell r="AM194" t="str">
            <v>AGN_TTE - AGUANORT - Transporte</v>
          </cell>
          <cell r="AN194" t="str">
            <v>AGN_TTE - AGUANORT - Transporte</v>
          </cell>
          <cell r="AO194" t="str">
            <v>AGN_TTE - AGUANORT - Transporte</v>
          </cell>
          <cell r="AP194" t="str">
            <v>AGN_TTE - AGUANORT - Transporte</v>
          </cell>
          <cell r="AQ194" t="str">
            <v>AGN_TTE - AGUANORT - Transporte</v>
          </cell>
          <cell r="AR194" t="str">
            <v>AGN_TTE - AGUANORT - Transporte</v>
          </cell>
          <cell r="AS194" t="str">
            <v>AGN_TTE - AGUANORT - Transporte</v>
          </cell>
          <cell r="AT194" t="str">
            <v>AGN_TTE - AGUANORT - Transporte</v>
          </cell>
          <cell r="AU194" t="str">
            <v>AGN_TTE - AGUANORT - Transporte</v>
          </cell>
          <cell r="AV194" t="str">
            <v>AGN_TTE - AGUANORT - Transporte</v>
          </cell>
          <cell r="AW194" t="str">
            <v>AGN_TTE - AGUANORT - Transporte</v>
          </cell>
          <cell r="AX194" t="str">
            <v>CMQ_TTE - QUILMES TTE</v>
          </cell>
          <cell r="AY194" t="str">
            <v>CMQ_TTE - QUILMES TTE</v>
          </cell>
          <cell r="AZ194" t="str">
            <v>CMQ_TTE - QUILMES TTE</v>
          </cell>
          <cell r="BA194" t="str">
            <v>CMQ_TTE - QUILMES TTE</v>
          </cell>
          <cell r="BB194" t="str">
            <v>CMQ_TTE - QUILMES TTE</v>
          </cell>
          <cell r="BC194" t="str">
            <v>CMQ_TTE - QUILMES TTE</v>
          </cell>
          <cell r="BD194" t="str">
            <v>CMQ_TTE - QUILMES TTE</v>
          </cell>
          <cell r="BE194" t="str">
            <v>CMQ_TTE - QUILMES TTE</v>
          </cell>
          <cell r="BF194" t="str">
            <v>CMQ_TTE - QUILMES TTE</v>
          </cell>
          <cell r="BG194" t="str">
            <v>CMQ_TTE - QUILMES TTE</v>
          </cell>
          <cell r="BH194" t="str">
            <v>CMQ_TTE - QUILMES TTE</v>
          </cell>
          <cell r="BI194" t="str">
            <v>CMQ_TTE - QUILMES TTE</v>
          </cell>
          <cell r="BJ194" t="str">
            <v>CMQ_TTE - QUILMES TTE</v>
          </cell>
          <cell r="BK194" t="str">
            <v>CMQ_TTE - QUILMES TTE</v>
          </cell>
          <cell r="BL194" t="str">
            <v>CMQ_TTE - QUILMES TTE</v>
          </cell>
          <cell r="BM194" t="str">
            <v>CMQ_TTE - QUILMES TTE</v>
          </cell>
          <cell r="BN194" t="str">
            <v>CMQ_TTE - QUILMES TTE</v>
          </cell>
          <cell r="BO194" t="str">
            <v>CMQ_TTE - QUILMES TTE</v>
          </cell>
          <cell r="BP194" t="str">
            <v>CMQ_TTE - QUILMES TTE</v>
          </cell>
          <cell r="BQ194" t="str">
            <v>CMQ_TTE - QUILMES TTE</v>
          </cell>
          <cell r="BR194" t="str">
            <v>CMQ_TTE - QUILMES TTE</v>
          </cell>
          <cell r="BS194" t="str">
            <v>CMQ_TTE - QUILMES TTE</v>
          </cell>
          <cell r="BT194" t="str">
            <v>CMQ_TTE - QUILMES TTE</v>
          </cell>
          <cell r="BU194" t="str">
            <v>CMQ_TTE - QUILMES TTE</v>
          </cell>
          <cell r="BV194" t="str">
            <v>CMQ_TTE - QUILMES TTE</v>
          </cell>
          <cell r="BW194" t="str">
            <v>CMQ_TTE - QUILMES TTE</v>
          </cell>
          <cell r="BX194" t="str">
            <v>CMQ_TTE - QUILMES TTE</v>
          </cell>
          <cell r="BY194" t="str">
            <v>CMQ_TTE - QUILMES TTE</v>
          </cell>
          <cell r="BZ194" t="str">
            <v>CMQ_TTE - QUILMES TTE</v>
          </cell>
          <cell r="CA194" t="str">
            <v>CMQ_TTE - QUILMES TTE</v>
          </cell>
          <cell r="CB194" t="str">
            <v>CMQ_TTE - QUILMES TTE</v>
          </cell>
          <cell r="CC194" t="str">
            <v>CMQ_TTE - QUILMES TTE</v>
          </cell>
          <cell r="CD194" t="str">
            <v>CMQ_TTE - QUILMES TTE</v>
          </cell>
          <cell r="CE194" t="str">
            <v>CMQ_TTE - QUILMES TTE</v>
          </cell>
          <cell r="CF194" t="str">
            <v>CMQ_TTE - QUILMES TTE</v>
          </cell>
          <cell r="CG194" t="str">
            <v>CMQ_TTE - QUILMES TTE</v>
          </cell>
          <cell r="CH194" t="str">
            <v>CMQ_TTE - QUILMES TTE</v>
          </cell>
          <cell r="CI194" t="str">
            <v>CMQ_TTE - QUILMES TTE</v>
          </cell>
          <cell r="CJ194" t="str">
            <v>CMQ_TTE - QUILMES TTE</v>
          </cell>
          <cell r="CK194" t="str">
            <v>CMQ_TTE - QUILMES TTE</v>
          </cell>
          <cell r="CL194" t="str">
            <v>CMQ_TTE - QUILMES TTE</v>
          </cell>
          <cell r="CM194" t="str">
            <v>CMQ_TTE - QUILMES TTE</v>
          </cell>
          <cell r="CN194" t="str">
            <v>CMQ_TTE - QUILMES TTE</v>
          </cell>
          <cell r="CO194" t="str">
            <v>CMQ_TTE - QUILMES TTE</v>
          </cell>
          <cell r="CP194" t="str">
            <v>CMQ_TTE - QUILMES TTE</v>
          </cell>
          <cell r="CQ194" t="str">
            <v>CMQ_TTE - QUILMES TTE</v>
          </cell>
          <cell r="CR194" t="str">
            <v>CMQ_TTE - QUILMES TTE</v>
          </cell>
          <cell r="CS194" t="str">
            <v>CMQ_TTE - QUILMES TTE</v>
          </cell>
          <cell r="CT194" t="str">
            <v>CMQ_TTE - QUILMES TTE</v>
          </cell>
          <cell r="CU194" t="str">
            <v>CMQ_TTE - QUILMES TTE</v>
          </cell>
          <cell r="CV194" t="str">
            <v>CMQ_TTE - QUILMES TTE</v>
          </cell>
          <cell r="CW194" t="str">
            <v>CMQ_TTE - QUILMES TTE</v>
          </cell>
        </row>
        <row r="195">
          <cell r="D195" t="str">
            <v>GBC607</v>
          </cell>
          <cell r="E195" t="str">
            <v>Chasis</v>
          </cell>
          <cell r="F195">
            <v>0</v>
          </cell>
          <cell r="G195" t="str">
            <v>Chasis</v>
          </cell>
          <cell r="N195" t="str">
            <v>ALMEIDA JULIO ALBERTO ANTONIO</v>
          </cell>
          <cell r="O195" t="str">
            <v>ALMEIDA JULIO ALBERTO ANTONIO</v>
          </cell>
          <cell r="P195" t="str">
            <v>No</v>
          </cell>
          <cell r="Q195" t="str">
            <v>De Tercero</v>
          </cell>
          <cell r="R195" t="str">
            <v>-</v>
          </cell>
          <cell r="S195" t="str">
            <v>De Tercero</v>
          </cell>
          <cell r="T195" t="str">
            <v>IVECO</v>
          </cell>
          <cell r="U195" t="str">
            <v>170E22T</v>
          </cell>
          <cell r="V195">
            <v>2008</v>
          </cell>
          <cell r="W195">
            <v>18</v>
          </cell>
          <cell r="X195">
            <v>2008</v>
          </cell>
          <cell r="Y195">
            <v>18</v>
          </cell>
          <cell r="Z195" t="str">
            <v>TDU</v>
          </cell>
          <cell r="AA195" t="str">
            <v>CMQ_TTE - QUILMES TTE</v>
          </cell>
          <cell r="AB195" t="str">
            <v>CMQ_TTE - QUILMES TTE</v>
          </cell>
          <cell r="AC195" t="str">
            <v>CMQ_TTE - QUILMES TTE</v>
          </cell>
          <cell r="AD195" t="str">
            <v>CMQ_TTE - QUILMES TTE</v>
          </cell>
          <cell r="AE195" t="str">
            <v>CMQ_TTE - QUILMES TTE</v>
          </cell>
          <cell r="AF195" t="str">
            <v>CMQ_TTE - QUILMES TTE</v>
          </cell>
          <cell r="AG195" t="str">
            <v>CMQ_TTE - QUILMES TTE</v>
          </cell>
          <cell r="AH195" t="str">
            <v>CMQ_TTE - QUILMES TTE</v>
          </cell>
          <cell r="AI195" t="str">
            <v>CMQ_TTE - QUILMES TTE</v>
          </cell>
          <cell r="AJ195" t="str">
            <v>CMQ_TTE - QUILMES TTE</v>
          </cell>
          <cell r="AK195" t="str">
            <v>CMQ_TTE - QUILMES TTE</v>
          </cell>
          <cell r="AL195" t="str">
            <v>CMQ_TTE - QUILMES TTE</v>
          </cell>
          <cell r="AM195" t="str">
            <v>CMQ_TTE - QUILMES TTE</v>
          </cell>
          <cell r="AN195" t="str">
            <v>CMQ_TTE - QUILMES TTE</v>
          </cell>
          <cell r="AO195" t="str">
            <v>CMQ_TTE - QUILMES TTE</v>
          </cell>
          <cell r="AP195" t="str">
            <v>CMQ_TTE - QUILMES TTE</v>
          </cell>
          <cell r="AQ195" t="str">
            <v>CMQ_TTE - QUILMES TTE</v>
          </cell>
          <cell r="AR195" t="str">
            <v>CMQ_TTE - QUILMES TTE</v>
          </cell>
          <cell r="AS195" t="str">
            <v>CMQ_TTE - QUILMES TTE</v>
          </cell>
          <cell r="AT195" t="str">
            <v>CMQ_TTE - QUILMES TTE</v>
          </cell>
          <cell r="AU195" t="str">
            <v>CMQ_TTE - QUILMES TTE</v>
          </cell>
          <cell r="AV195" t="str">
            <v>CMQ_TTE - QUILMES TTE</v>
          </cell>
          <cell r="AW195" t="str">
            <v>CMQ_TTE - QUILMES TTE</v>
          </cell>
          <cell r="AX195" t="str">
            <v>CMQ_TTE - QUILMES TTE</v>
          </cell>
          <cell r="AY195" t="str">
            <v>CMQ_TTE - QUILMES TTE</v>
          </cell>
          <cell r="AZ195" t="str">
            <v>CMQ_TTE - QUILMES TTE</v>
          </cell>
          <cell r="BA195" t="str">
            <v>CMQ_TTE - QUILMES TTE</v>
          </cell>
          <cell r="BB195" t="str">
            <v>CMQ_TTE - QUILMES TTE</v>
          </cell>
          <cell r="BC195" t="str">
            <v>CMQ_TTE - QUILMES TTE</v>
          </cell>
          <cell r="BD195" t="str">
            <v>CMQ_TTE - QUILMES TTE</v>
          </cell>
          <cell r="BE195" t="str">
            <v>CMQ_TTE - QUILMES TTE</v>
          </cell>
          <cell r="BF195" t="str">
            <v>CMQ_TTE - QUILMES TTE</v>
          </cell>
          <cell r="BG195" t="str">
            <v>CMQ_TTE - QUILMES TTE</v>
          </cell>
          <cell r="BH195" t="str">
            <v>CMQ_TTE - QUILMES TTE</v>
          </cell>
          <cell r="BI195" t="str">
            <v>CMQ_TTE - QUILMES TTE</v>
          </cell>
          <cell r="BJ195" t="str">
            <v>CMQ_TTE - QUILMES TTE</v>
          </cell>
          <cell r="BK195" t="str">
            <v>CMQ_TTE - QUILMES TTE</v>
          </cell>
          <cell r="BL195" t="str">
            <v>CMQ_TTE - QUILMES TTE</v>
          </cell>
          <cell r="BM195" t="str">
            <v>CMQ_TTE - QUILMES TTE</v>
          </cell>
          <cell r="BN195" t="str">
            <v>CMQ_TTE - QUILMES TTE</v>
          </cell>
          <cell r="BO195" t="str">
            <v>CMQ_TTE - QUILMES TTE</v>
          </cell>
          <cell r="BP195" t="str">
            <v>CMQ_TTE - QUILMES TTE</v>
          </cell>
          <cell r="BQ195" t="str">
            <v>CMQ_TTE - QUILMES TTE</v>
          </cell>
          <cell r="BR195" t="str">
            <v>CMQ_TTE - QUILMES TTE</v>
          </cell>
          <cell r="BS195" t="str">
            <v>CMQ_TTE - QUILMES TTE</v>
          </cell>
          <cell r="BT195" t="str">
            <v>CMQ_TTE - QUILMES TTE</v>
          </cell>
          <cell r="BU195" t="str">
            <v>CMQ_TTE - QUILMES TTE</v>
          </cell>
          <cell r="BV195" t="str">
            <v>CMQ_TTE - QUILMES TTE</v>
          </cell>
          <cell r="BW195" t="str">
            <v>CMQ_TTE - QUILMES TTE</v>
          </cell>
          <cell r="BX195" t="str">
            <v>CMQ_TTE - QUILMES TTE</v>
          </cell>
          <cell r="BY195" t="str">
            <v>CMQ_TTE - QUILMES TTE</v>
          </cell>
          <cell r="BZ195" t="str">
            <v>CMQ_TTE - QUILMES TTE</v>
          </cell>
          <cell r="CA195" t="str">
            <v>CMQ_TTE - QUILMES TTE</v>
          </cell>
          <cell r="CB195" t="str">
            <v>CMQ_TTE - QUILMES TTE</v>
          </cell>
          <cell r="CC195" t="str">
            <v>CMQ_TTE - QUILMES TTE</v>
          </cell>
          <cell r="CD195" t="str">
            <v>CMQ_TTE - QUILMES TTE</v>
          </cell>
          <cell r="CE195" t="str">
            <v>CMQ_TTE - QUILMES TTE</v>
          </cell>
          <cell r="CF195" t="str">
            <v>CMQ_TTE - QUILMES TTE</v>
          </cell>
          <cell r="CG195" t="str">
            <v>CMQ_TTE - QUILMES TTE</v>
          </cell>
          <cell r="CH195" t="str">
            <v>CMQ_TTE - QUILMES TTE</v>
          </cell>
          <cell r="CI195" t="str">
            <v>CMQ_TTE - QUILMES TTE</v>
          </cell>
          <cell r="CJ195" t="str">
            <v>CMQ_TTE - QUILMES TTE</v>
          </cell>
          <cell r="CK195" t="str">
            <v>CMQ_TTE - QUILMES TTE</v>
          </cell>
          <cell r="CL195" t="str">
            <v>CMQ_TTE - QUILMES TTE</v>
          </cell>
          <cell r="CM195" t="str">
            <v>CMQ_TTE - QUILMES TTE</v>
          </cell>
          <cell r="CN195" t="str">
            <v>CMQ_TTE - QUILMES TTE</v>
          </cell>
          <cell r="CO195" t="str">
            <v>CMQ_TTE - QUILMES TTE</v>
          </cell>
          <cell r="CP195" t="str">
            <v>CMQ_TTE - QUILMES TTE</v>
          </cell>
          <cell r="CQ195" t="str">
            <v>CMQ_TTE - QUILMES TTE</v>
          </cell>
          <cell r="CR195" t="str">
            <v>CMQ_TTE - QUILMES TTE</v>
          </cell>
          <cell r="CS195" t="str">
            <v>CMQ_TTE - QUILMES TTE</v>
          </cell>
          <cell r="CT195" t="str">
            <v>CMQ_TTE - QUILMES TTE</v>
          </cell>
          <cell r="CU195" t="str">
            <v>CMQ_TTE - QUILMES TTE</v>
          </cell>
          <cell r="CV195" t="str">
            <v>CMQ_TTE - QUILMES TTE</v>
          </cell>
          <cell r="CW195" t="str">
            <v>CMQ_TTE - QUILMES TTE</v>
          </cell>
        </row>
        <row r="196">
          <cell r="D196" t="str">
            <v>GDR525</v>
          </cell>
          <cell r="E196" t="str">
            <v>Chasis</v>
          </cell>
          <cell r="F196" t="str">
            <v>Balancin</v>
          </cell>
          <cell r="G196" t="str">
            <v>Balancin Termico</v>
          </cell>
          <cell r="N196" t="str">
            <v>TDU</v>
          </cell>
          <cell r="O196" t="str">
            <v>TDU</v>
          </cell>
          <cell r="P196" t="str">
            <v>No</v>
          </cell>
          <cell r="Q196" t="str">
            <v>Propio</v>
          </cell>
          <cell r="R196">
            <v>14</v>
          </cell>
          <cell r="S196" t="str">
            <v>Propio</v>
          </cell>
          <cell r="T196" t="str">
            <v>MERCEDES BENZ</v>
          </cell>
          <cell r="U196">
            <v>1620</v>
          </cell>
          <cell r="V196" t="str">
            <v>377983U0697096</v>
          </cell>
          <cell r="W196" t="str">
            <v>9BM6980147B498391</v>
          </cell>
          <cell r="X196">
            <v>2007</v>
          </cell>
          <cell r="Y196">
            <v>19</v>
          </cell>
          <cell r="Z196" t="str">
            <v>TDU</v>
          </cell>
          <cell r="AA196" t="str">
            <v>CMQ_TTE - QUILMES TTE</v>
          </cell>
          <cell r="AB196" t="str">
            <v>CMQ_TTE - QUILMES TTE</v>
          </cell>
          <cell r="AC196" t="str">
            <v>CMQ_TTE - QUILMES TTE</v>
          </cell>
          <cell r="AD196" t="str">
            <v>CMQ_TTE - QUILMES TTE</v>
          </cell>
          <cell r="AE196" t="str">
            <v>CMQ_TTE - QUILMES TTE</v>
          </cell>
          <cell r="AF196" t="str">
            <v>CMQ_TTE - QUILMES TTE</v>
          </cell>
          <cell r="AG196" t="str">
            <v>CMQ_TTE - QUILMES TTE</v>
          </cell>
          <cell r="AH196" t="str">
            <v>CMQ_TTE - QUILMES TTE</v>
          </cell>
          <cell r="AI196" t="str">
            <v>CMQ_TTE - QUILMES TTE</v>
          </cell>
          <cell r="AJ196" t="str">
            <v>CMQ_TTE - QUILMES TTE</v>
          </cell>
          <cell r="AK196" t="str">
            <v>CMQ_TTE - QUILMES TTE</v>
          </cell>
          <cell r="AL196" t="str">
            <v>CMQ_TTE - QUILMES TTE</v>
          </cell>
          <cell r="AM196" t="str">
            <v>CMQ_TTE - QUILMES TTE</v>
          </cell>
          <cell r="AN196" t="str">
            <v>CMQ_TTE - QUILMES TTE</v>
          </cell>
          <cell r="AO196" t="str">
            <v>CMQ_TTE - QUILMES TTE</v>
          </cell>
          <cell r="AP196" t="str">
            <v>CMQ_TTE - QUILMES TTE</v>
          </cell>
          <cell r="AQ196" t="str">
            <v>CMQ_TTE - QUILMES TTE</v>
          </cell>
          <cell r="AR196" t="str">
            <v>CMQ_TTE - QUILMES TTE</v>
          </cell>
          <cell r="AS196" t="str">
            <v>CMQ_TTE - QUILMES TTE</v>
          </cell>
          <cell r="AT196" t="str">
            <v>CMQ_TTE - QUILMES TTE</v>
          </cell>
          <cell r="AU196" t="str">
            <v>CMQ_TTE - QUILMES TTE</v>
          </cell>
          <cell r="AV196" t="str">
            <v>CMQ_TTE - QUILMES TTE</v>
          </cell>
          <cell r="AW196" t="str">
            <v>CMQ_TTE - QUILMES TTE</v>
          </cell>
          <cell r="AX196" t="str">
            <v>CMQ_TTE - QUILMES TTE</v>
          </cell>
          <cell r="AY196" t="str">
            <v>CMQ_TTE - QUILMES TTE</v>
          </cell>
          <cell r="AZ196" t="str">
            <v>CMQ_TTE - QUILMES TTE</v>
          </cell>
          <cell r="BA196" t="str">
            <v>CMQ_TTE - QUILMES TTE</v>
          </cell>
          <cell r="BB196" t="str">
            <v>CMQ_TTE - QUILMES TTE</v>
          </cell>
          <cell r="BC196" t="str">
            <v>CMQ_TTE - QUILMES TTE</v>
          </cell>
          <cell r="BD196" t="str">
            <v>CMQ_TTE - QUILMES TTE</v>
          </cell>
          <cell r="BE196" t="str">
            <v>CMQ_TTE - QUILMES TTE</v>
          </cell>
          <cell r="BF196" t="str">
            <v>CMQ_TTE - QUILMES TTE</v>
          </cell>
          <cell r="BG196" t="str">
            <v>CMQ_TTE - QUILMES TTE</v>
          </cell>
          <cell r="BH196" t="str">
            <v>CMQ_TTE - QUILMES TTE</v>
          </cell>
          <cell r="BI196" t="str">
            <v>CMQ_TTE - QUILMES TTE</v>
          </cell>
          <cell r="BJ196" t="str">
            <v>CMQ_TTE - QUILMES TTE</v>
          </cell>
          <cell r="BK196" t="str">
            <v>CMQ_TTE - QUILMES TTE</v>
          </cell>
          <cell r="BL196" t="str">
            <v>CMQ_TTE - QUILMES TTE</v>
          </cell>
          <cell r="BM196" t="str">
            <v>CMQ_TTE - QUILMES TTE</v>
          </cell>
          <cell r="BN196" t="str">
            <v>CMQ_TTE - QUILMES TTE</v>
          </cell>
          <cell r="BO196" t="str">
            <v>CMQ_TTE - QUILMES TTE</v>
          </cell>
          <cell r="BP196" t="str">
            <v>CMQ_TTE - QUILMES TTE</v>
          </cell>
          <cell r="BQ196" t="str">
            <v>Arcor S.A.I.C.</v>
          </cell>
          <cell r="BR196" t="str">
            <v>Arcor S.A.I.C.</v>
          </cell>
          <cell r="BS196" t="str">
            <v>Arcor S.A.I.C.</v>
          </cell>
          <cell r="BT196" t="str">
            <v>Arcor S.A.I.C.</v>
          </cell>
          <cell r="BU196" t="str">
            <v>Arcor S.A.I.C.</v>
          </cell>
          <cell r="BV196" t="str">
            <v>Arcor S.A.I.C.</v>
          </cell>
          <cell r="BW196" t="str">
            <v>Arcor S.A.I.C.</v>
          </cell>
          <cell r="BX196" t="str">
            <v>Arcor S.A.I.C.</v>
          </cell>
          <cell r="BY196" t="str">
            <v>Arcor S.A.I.C.</v>
          </cell>
          <cell r="BZ196" t="str">
            <v>Arcor S.A.I.C.</v>
          </cell>
          <cell r="CA196" t="str">
            <v>Arcor S.A.I.C.</v>
          </cell>
          <cell r="CB196" t="str">
            <v>Arcor S.A.I.C.</v>
          </cell>
          <cell r="CC196" t="str">
            <v>Arcor S.A.I.C.</v>
          </cell>
          <cell r="CD196" t="str">
            <v>Arcor S.A.I.C.</v>
          </cell>
          <cell r="CE196" t="str">
            <v>Arcor S.A.I.C.</v>
          </cell>
          <cell r="CF196" t="str">
            <v>Arcor S.A.I.C.</v>
          </cell>
          <cell r="CG196" t="str">
            <v>Arcor S.A.I.C.</v>
          </cell>
          <cell r="CH196" t="str">
            <v>Arcor S.A.I.C.</v>
          </cell>
          <cell r="CI196" t="str">
            <v>Arcor S.A.I.C.</v>
          </cell>
          <cell r="CJ196" t="str">
            <v>Arcor S.A.I.C.</v>
          </cell>
          <cell r="CK196" t="str">
            <v>Arcor S.A.I.C.</v>
          </cell>
          <cell r="CL196" t="str">
            <v>Arcor S.A.I.C.</v>
          </cell>
          <cell r="CM196" t="str">
            <v>Arcor S.A.I.C.</v>
          </cell>
          <cell r="CN196" t="str">
            <v>Arcor S.A.I.C.</v>
          </cell>
          <cell r="CO196" t="str">
            <v>Arcor S.A.I.C.</v>
          </cell>
          <cell r="CP196" t="str">
            <v>Arcor S.A.I.C.</v>
          </cell>
          <cell r="CQ196" t="str">
            <v>Arcor S.A.I.C.</v>
          </cell>
          <cell r="CR196" t="str">
            <v>Arcor S.A.I.C.</v>
          </cell>
          <cell r="CS196" t="str">
            <v>Arcor S.A.I.C.</v>
          </cell>
          <cell r="CT196" t="str">
            <v>Arcor S.A.I.C.</v>
          </cell>
          <cell r="CU196" t="str">
            <v>Arcor S.A.I.C.</v>
          </cell>
          <cell r="CV196" t="str">
            <v>Arcor S.A.I.C.</v>
          </cell>
          <cell r="CW196" t="str">
            <v>Arcor S.A.I.C.</v>
          </cell>
        </row>
        <row r="197">
          <cell r="D197" t="str">
            <v>GDR526</v>
          </cell>
          <cell r="E197" t="str">
            <v>Chasis</v>
          </cell>
          <cell r="F197" t="str">
            <v>Balancin</v>
          </cell>
          <cell r="G197" t="str">
            <v>Balancin</v>
          </cell>
          <cell r="N197" t="str">
            <v>TDU</v>
          </cell>
          <cell r="O197" t="str">
            <v>TDU</v>
          </cell>
          <cell r="P197" t="str">
            <v>No</v>
          </cell>
          <cell r="Q197" t="str">
            <v>Propio</v>
          </cell>
          <cell r="R197">
            <v>14</v>
          </cell>
          <cell r="S197" t="str">
            <v>Propio</v>
          </cell>
          <cell r="T197" t="str">
            <v>MERCEDES BENZ</v>
          </cell>
          <cell r="U197">
            <v>1620</v>
          </cell>
          <cell r="V197" t="str">
            <v>377983U0697112</v>
          </cell>
          <cell r="W197" t="str">
            <v>9BM6950147B498423</v>
          </cell>
          <cell r="X197">
            <v>2007</v>
          </cell>
          <cell r="Y197">
            <v>19</v>
          </cell>
          <cell r="Z197" t="str">
            <v>TDU</v>
          </cell>
          <cell r="AA197" t="str">
            <v>CMQ_TTE - QUILMES TTE</v>
          </cell>
          <cell r="AB197" t="str">
            <v>CMQ_TTE - QUILMES TTE</v>
          </cell>
          <cell r="AC197" t="str">
            <v>CMQ_TTE - QUILMES TTE</v>
          </cell>
          <cell r="AD197" t="str">
            <v>CMQ_TTE - QUILMES TTE</v>
          </cell>
          <cell r="AE197" t="str">
            <v>CMQ_TTE - QUILMES TTE</v>
          </cell>
          <cell r="AF197" t="str">
            <v>CMQ_TTE - QUILMES TTE</v>
          </cell>
          <cell r="AG197" t="str">
            <v>CMQ_TTE - QUILMES TTE</v>
          </cell>
          <cell r="AH197" t="str">
            <v>CMQ_TTE - QUILMES TTE</v>
          </cell>
          <cell r="AI197" t="str">
            <v>CMQ_TTE - QUILMES TTE</v>
          </cell>
          <cell r="AJ197" t="str">
            <v>CMQ_TTE - QUILMES TTE</v>
          </cell>
          <cell r="AK197" t="str">
            <v>CMQ_TTE - QUILMES TTE</v>
          </cell>
          <cell r="AL197" t="str">
            <v>CMQ_TTE - QUILMES TTE</v>
          </cell>
          <cell r="AM197" t="str">
            <v>CMQ_TTE - QUILMES TTE</v>
          </cell>
          <cell r="AN197" t="str">
            <v>CMQ_TTE - QUILMES TTE</v>
          </cell>
          <cell r="AO197" t="str">
            <v>CMQ_TTE - QUILMES TTE</v>
          </cell>
          <cell r="AP197" t="str">
            <v>CMQ_TTE - QUILMES TTE</v>
          </cell>
          <cell r="AQ197" t="str">
            <v>CMQ_TTE - QUILMES TTE</v>
          </cell>
          <cell r="AR197" t="str">
            <v>CMQ_TTE - QUILMES TTE</v>
          </cell>
          <cell r="AS197" t="str">
            <v>CMQ_TTE - QUILMES TTE</v>
          </cell>
          <cell r="AT197" t="str">
            <v>CMQ_TTE - QUILMES TTE</v>
          </cell>
          <cell r="AU197" t="str">
            <v>CMQ_TTE - QUILMES TTE</v>
          </cell>
          <cell r="AV197" t="str">
            <v>CMQ_TTE - QUILMES TTE</v>
          </cell>
          <cell r="AW197" t="str">
            <v>CMQ_TTE - QUILMES TTE</v>
          </cell>
          <cell r="AX197" t="str">
            <v>CMQ_TTE - QUILMES TTE</v>
          </cell>
          <cell r="AY197" t="str">
            <v>CMQ_TTE - QUILMES TTE</v>
          </cell>
          <cell r="AZ197" t="str">
            <v>CMQ_TTE - QUILMES TTE</v>
          </cell>
          <cell r="BA197" t="str">
            <v>CMQ_TTE - QUILMES TTE</v>
          </cell>
          <cell r="BB197" t="str">
            <v>CMQ_TTE - QUILMES TTE</v>
          </cell>
          <cell r="BC197" t="str">
            <v>CMQ_TTE - QUILMES TTE</v>
          </cell>
          <cell r="BD197" t="str">
            <v>CMQ_TTE - QUILMES TTE</v>
          </cell>
          <cell r="BE197" t="str">
            <v>CMQ_TTE - QUILMES TTE</v>
          </cell>
          <cell r="BF197" t="str">
            <v>CMQ_TTE - QUILMES TTE</v>
          </cell>
          <cell r="BG197" t="str">
            <v>CMQ_TTE - QUILMES TTE</v>
          </cell>
          <cell r="BH197" t="str">
            <v>CMQ_TTE - QUILMES TTE</v>
          </cell>
          <cell r="BI197" t="str">
            <v>CMQ_TTE - QUILMES TTE</v>
          </cell>
          <cell r="BJ197" t="str">
            <v>CMQ_TTE - QUILMES TTE</v>
          </cell>
          <cell r="BK197" t="str">
            <v>CMQ_TTE - QUILMES TTE</v>
          </cell>
          <cell r="BL197" t="str">
            <v>CMQ_TTE - QUILMES TTE</v>
          </cell>
          <cell r="BM197" t="str">
            <v>CMQ_TTE - QUILMES TTE</v>
          </cell>
          <cell r="BN197" t="str">
            <v>CMQ_TTE - QUILMES TTE</v>
          </cell>
          <cell r="BO197" t="str">
            <v>CMQ_TTE - QUILMES TTE</v>
          </cell>
          <cell r="BP197" t="str">
            <v>CMQ_TTE - QUILMES TTE</v>
          </cell>
          <cell r="BQ197" t="str">
            <v>CMQ_TTE - QUILMES TTE</v>
          </cell>
          <cell r="BR197" t="str">
            <v>CMQ_TTE - QUILMES TTE</v>
          </cell>
          <cell r="BS197" t="str">
            <v>CMQ_TTE - QUILMES TTE</v>
          </cell>
          <cell r="BT197" t="str">
            <v>CMQ_TTE - QUILMES TTE</v>
          </cell>
          <cell r="BU197" t="str">
            <v>CMQ_TTE - QUILMES TTE</v>
          </cell>
          <cell r="BV197" t="str">
            <v>CMQ_TTE - QUILMES TTE</v>
          </cell>
          <cell r="BW197" t="str">
            <v>CMQ_TTE - QUILMES TTE</v>
          </cell>
          <cell r="BX197" t="str">
            <v>Sin Operación</v>
          </cell>
          <cell r="BY197" t="str">
            <v>CMQ_TTE - QUILMES TTE</v>
          </cell>
          <cell r="BZ197" t="str">
            <v>CMQ_TTE - QUILMES TTE</v>
          </cell>
          <cell r="CA197" t="str">
            <v>Sin Operación</v>
          </cell>
          <cell r="CB197" t="str">
            <v>Sin Operación</v>
          </cell>
          <cell r="CC197" t="str">
            <v>Sin Operación</v>
          </cell>
          <cell r="CD197" t="str">
            <v>Sin Operación</v>
          </cell>
          <cell r="CE197" t="str">
            <v>Sin Operación</v>
          </cell>
          <cell r="CF197" t="str">
            <v>Sin Operación</v>
          </cell>
          <cell r="CG197" t="str">
            <v>Sin Operación</v>
          </cell>
          <cell r="CH197" t="str">
            <v>Alfavinil SA</v>
          </cell>
          <cell r="CI197" t="str">
            <v>Alfavinil SA</v>
          </cell>
          <cell r="CJ197" t="str">
            <v>Alfavinil SA</v>
          </cell>
          <cell r="CK197" t="str">
            <v>Alfavinil SA</v>
          </cell>
          <cell r="CL197" t="str">
            <v>Alfavinil SA</v>
          </cell>
          <cell r="CM197" t="str">
            <v>Alfavinil SA</v>
          </cell>
          <cell r="CN197" t="str">
            <v>Alfavinil SA</v>
          </cell>
          <cell r="CO197" t="str">
            <v>Alfavinil SA</v>
          </cell>
          <cell r="CP197" t="str">
            <v>Alfavinil SA</v>
          </cell>
          <cell r="CQ197" t="str">
            <v>Alfavinil SA</v>
          </cell>
          <cell r="CR197" t="str">
            <v>Alfavinil SA</v>
          </cell>
          <cell r="CS197" t="str">
            <v>Alfavinil SA</v>
          </cell>
          <cell r="CT197" t="str">
            <v>Alfavinil SA</v>
          </cell>
          <cell r="CU197" t="str">
            <v>Alfavinil SA</v>
          </cell>
          <cell r="CV197" t="str">
            <v>Alfavinil SA</v>
          </cell>
          <cell r="CW197" t="str">
            <v>Alfavinil SA</v>
          </cell>
        </row>
        <row r="198">
          <cell r="D198" t="str">
            <v>GDR527</v>
          </cell>
          <cell r="E198" t="str">
            <v>Chasis</v>
          </cell>
          <cell r="F198" t="str">
            <v>Balancin</v>
          </cell>
          <cell r="G198" t="str">
            <v>Balancin</v>
          </cell>
          <cell r="N198" t="str">
            <v>TDU</v>
          </cell>
          <cell r="O198" t="str">
            <v>TDU</v>
          </cell>
          <cell r="P198" t="str">
            <v>No</v>
          </cell>
          <cell r="Q198" t="str">
            <v>Propio</v>
          </cell>
          <cell r="R198">
            <v>14</v>
          </cell>
          <cell r="S198" t="str">
            <v>Propio</v>
          </cell>
          <cell r="T198" t="str">
            <v>MERCEDES BENZ</v>
          </cell>
          <cell r="U198">
            <v>1620</v>
          </cell>
          <cell r="V198" t="str">
            <v>377983U0702309</v>
          </cell>
          <cell r="W198" t="str">
            <v>9BM6950147B504609</v>
          </cell>
          <cell r="X198">
            <v>2007</v>
          </cell>
          <cell r="Y198">
            <v>19</v>
          </cell>
          <cell r="Z198" t="str">
            <v>TDU</v>
          </cell>
          <cell r="AA198" t="str">
            <v>CMQ_TTE - QUILMES TTE</v>
          </cell>
          <cell r="AB198" t="str">
            <v>CMQ_TTE - QUILMES TTE</v>
          </cell>
          <cell r="AC198" t="str">
            <v>CMQ_TTE - QUILMES TTE</v>
          </cell>
          <cell r="AD198" t="str">
            <v>CMQ_TTE - QUILMES TTE</v>
          </cell>
          <cell r="AE198" t="str">
            <v>CMQ_TTE - QUILMES TTE</v>
          </cell>
          <cell r="AF198" t="str">
            <v>CMQ_TTE - QUILMES TTE</v>
          </cell>
          <cell r="AG198" t="str">
            <v>CMQ_TTE - QUILMES TTE</v>
          </cell>
          <cell r="AH198" t="str">
            <v>CMQ_TTE - QUILMES TTE</v>
          </cell>
          <cell r="AI198" t="str">
            <v>CMQ_TTE - QUILMES TTE</v>
          </cell>
          <cell r="AJ198" t="str">
            <v>CMQ_TTE - QUILMES TTE</v>
          </cell>
          <cell r="AK198" t="str">
            <v>CMQ_TTE - QUILMES TTE</v>
          </cell>
          <cell r="AL198" t="str">
            <v>CMQ_TTE - QUILMES TTE</v>
          </cell>
          <cell r="AM198" t="str">
            <v>CMQ_TTE - QUILMES TTE</v>
          </cell>
          <cell r="AN198" t="str">
            <v>CMQ_TTE - QUILMES TTE</v>
          </cell>
          <cell r="AO198" t="str">
            <v>CMQ_TTE - QUILMES TTE</v>
          </cell>
          <cell r="AP198" t="str">
            <v>CMQ_TTE - QUILMES TTE</v>
          </cell>
          <cell r="AQ198" t="str">
            <v>CMQ_TTE - QUILMES TTE</v>
          </cell>
          <cell r="AR198" t="str">
            <v>CMQ_TTE - QUILMES TTE</v>
          </cell>
          <cell r="AS198" t="str">
            <v>CMQ_TTE - QUILMES TTE</v>
          </cell>
          <cell r="AT198" t="str">
            <v>CMQ_TTE - QUILMES TTE</v>
          </cell>
          <cell r="AU198" t="str">
            <v>CMQ_TTE - QUILMES TTE</v>
          </cell>
          <cell r="AV198" t="str">
            <v>CMQ_TTE - QUILMES TTE</v>
          </cell>
          <cell r="AW198" t="str">
            <v>CMQ_TTE - QUILMES TTE</v>
          </cell>
          <cell r="AX198" t="str">
            <v>CMQ_TTE - QUILMES TTE</v>
          </cell>
          <cell r="AY198" t="str">
            <v>CMQ_TTE - QUILMES TTE</v>
          </cell>
          <cell r="AZ198" t="str">
            <v>CMQ_TTE - QUILMES TTE</v>
          </cell>
          <cell r="BA198" t="str">
            <v>CMQ_TTE - QUILMES TTE</v>
          </cell>
          <cell r="BB198" t="str">
            <v>CMQ_TTE - QUILMES TTE</v>
          </cell>
          <cell r="BC198" t="str">
            <v>CMQ_TTE - QUILMES TTE</v>
          </cell>
          <cell r="BD198" t="str">
            <v>CMQ_TTE - QUILMES TTE</v>
          </cell>
          <cell r="BE198" t="str">
            <v>CMQ_TTE - QUILMES TTE</v>
          </cell>
          <cell r="BF198" t="str">
            <v>CMQ_TTE - QUILMES TTE</v>
          </cell>
          <cell r="BG198" t="str">
            <v>CMQ_TTE - QUILMES TTE</v>
          </cell>
          <cell r="BH198" t="str">
            <v>CMQ_TTE - QUILMES TTE</v>
          </cell>
          <cell r="BI198" t="str">
            <v>CMQ_TTE - QUILMES TTE</v>
          </cell>
          <cell r="BJ198" t="str">
            <v>CMQ_TTE - QUILMES TTE</v>
          </cell>
          <cell r="BK198" t="str">
            <v>CMQ_TTE - QUILMES TTE</v>
          </cell>
          <cell r="BL198" t="str">
            <v>CMQ_TTE - QUILMES TTE</v>
          </cell>
          <cell r="BM198" t="str">
            <v>CMQ_TTE - QUILMES TTE</v>
          </cell>
          <cell r="BN198" t="str">
            <v>CMQ_TTE - QUILMES TTE</v>
          </cell>
          <cell r="BO198" t="str">
            <v>CMQ_TTE - QUILMES TTE</v>
          </cell>
          <cell r="BP198" t="str">
            <v>CMQ_TTE - QUILMES TTE</v>
          </cell>
          <cell r="BQ198" t="str">
            <v>CMQ_TTE - QUILMES TTE</v>
          </cell>
          <cell r="BR198" t="str">
            <v>CMQ_TTE - QUILMES TTE</v>
          </cell>
          <cell r="BS198" t="str">
            <v>CMQ_TTE - QUILMES TTE</v>
          </cell>
          <cell r="BT198" t="str">
            <v>CMQ_TTE - QUILMES TTE</v>
          </cell>
          <cell r="BU198" t="str">
            <v>CMQ_TTE - QUILMES TTE</v>
          </cell>
          <cell r="BV198" t="str">
            <v>CMQ_TTE - QUILMES TTE</v>
          </cell>
          <cell r="BW198" t="str">
            <v>CMQ_TTE - QUILMES TTE</v>
          </cell>
          <cell r="BX198" t="str">
            <v>CMQ_TTE - QUILMES TTE</v>
          </cell>
          <cell r="BY198" t="str">
            <v>CMQ_TTE - QUILMES TTE</v>
          </cell>
          <cell r="BZ198" t="str">
            <v>CMQ_TTE - QUILMES TTE</v>
          </cell>
          <cell r="CA198" t="str">
            <v>CMQ_TTE - QUILMES TTE</v>
          </cell>
          <cell r="CB198" t="str">
            <v>CMQ_TTE - QUILMES TTE</v>
          </cell>
          <cell r="CC198" t="str">
            <v>CMQ_TTE - QUILMES TTE</v>
          </cell>
          <cell r="CD198" t="str">
            <v>CMQ_TTE - QUILMES TTE</v>
          </cell>
          <cell r="CE198" t="str">
            <v>CMQ_TTE - QUILMES TTE</v>
          </cell>
          <cell r="CF198" t="str">
            <v>CMQ_TTE - QUILMES TTE</v>
          </cell>
          <cell r="CG198" t="str">
            <v>CMQ_TTE - QUILMES TTE</v>
          </cell>
          <cell r="CH198" t="str">
            <v>CMQ_TTE - QUILMES TTE</v>
          </cell>
          <cell r="CI198" t="str">
            <v>CMQ_TTE - QUILMES TTE</v>
          </cell>
          <cell r="CJ198" t="str">
            <v>CMQ_TTE - QUILMES TTE</v>
          </cell>
          <cell r="CK198" t="str">
            <v>CMQ_TTE - QUILMES TTE</v>
          </cell>
          <cell r="CL198" t="str">
            <v>CMQ_TTE - QUILMES TTE</v>
          </cell>
          <cell r="CM198" t="str">
            <v>CMQ_TTE - QUILMES TTE</v>
          </cell>
          <cell r="CN198" t="str">
            <v>CMQ_TTE - QUILMES TTE</v>
          </cell>
          <cell r="CO198" t="str">
            <v>CMQ_TTE - QUILMES TTE</v>
          </cell>
          <cell r="CP198" t="str">
            <v>CMQ_TTE - QUILMES TTE</v>
          </cell>
          <cell r="CQ198" t="str">
            <v>CMQ_TTE - QUILMES TTE</v>
          </cell>
          <cell r="CR198" t="str">
            <v>CMQ_TTE - QUILMES TTE</v>
          </cell>
          <cell r="CS198" t="str">
            <v>CMQ_TTE - QUILMES TTE</v>
          </cell>
          <cell r="CT198" t="str">
            <v>CMQ_TTE - QUILMES TTE</v>
          </cell>
          <cell r="CU198" t="str">
            <v>CMQ_TTE - QUILMES TTE</v>
          </cell>
          <cell r="CV198" t="str">
            <v>CMQ_TTE - QUILMES TTE</v>
          </cell>
          <cell r="CW198" t="str">
            <v>CMQ_TTE - QUILMES TTE</v>
          </cell>
        </row>
        <row r="199">
          <cell r="D199" t="str">
            <v>GEB768</v>
          </cell>
          <cell r="E199" t="str">
            <v>Chasis</v>
          </cell>
          <cell r="F199" t="str">
            <v>Balancin</v>
          </cell>
          <cell r="G199" t="str">
            <v>Balancin</v>
          </cell>
          <cell r="N199" t="str">
            <v>TDU</v>
          </cell>
          <cell r="O199" t="str">
            <v>TDU</v>
          </cell>
          <cell r="P199" t="str">
            <v>No</v>
          </cell>
          <cell r="Q199" t="str">
            <v>Propio</v>
          </cell>
          <cell r="R199">
            <v>14</v>
          </cell>
          <cell r="S199" t="str">
            <v>Propio</v>
          </cell>
          <cell r="T199" t="str">
            <v>MERCEDES BENZ</v>
          </cell>
          <cell r="U199">
            <v>1620</v>
          </cell>
          <cell r="V199" t="str">
            <v>377983U0701655</v>
          </cell>
          <cell r="W199" t="str">
            <v>9BM6950147B503835</v>
          </cell>
          <cell r="X199">
            <v>2007</v>
          </cell>
          <cell r="Y199">
            <v>19</v>
          </cell>
          <cell r="Z199" t="str">
            <v>TDU</v>
          </cell>
          <cell r="AA199" t="str">
            <v>CMQ_TTE - QUILMES TTE</v>
          </cell>
          <cell r="AB199" t="str">
            <v>CMQ_TTE - QUILMES TTE</v>
          </cell>
          <cell r="AC199" t="str">
            <v>CMQ_TTE - QUILMES TTE</v>
          </cell>
          <cell r="AD199" t="str">
            <v>CMQ_TTE - QUILMES TTE</v>
          </cell>
          <cell r="AE199" t="str">
            <v>CMQ_TTE - QUILMES TTE</v>
          </cell>
          <cell r="AF199" t="str">
            <v>CMQ_TTE - QUILMES TTE</v>
          </cell>
          <cell r="AG199" t="str">
            <v>CMQ_TTE - QUILMES TTE</v>
          </cell>
          <cell r="AH199" t="str">
            <v>CMQ_TTE - QUILMES TTE</v>
          </cell>
          <cell r="AI199" t="str">
            <v>CMQ_TTE - QUILMES TTE</v>
          </cell>
          <cell r="AJ199" t="str">
            <v>CMQ_TTE - QUILMES TTE</v>
          </cell>
          <cell r="AK199" t="str">
            <v>CMQ_TTE - QUILMES TTE</v>
          </cell>
          <cell r="AL199" t="str">
            <v>CMQ_TTE - QUILMES TTE</v>
          </cell>
          <cell r="AM199" t="str">
            <v>CMQ_TTE - QUILMES TTE</v>
          </cell>
          <cell r="AN199" t="str">
            <v>CMQ_TTE - QUILMES TTE</v>
          </cell>
          <cell r="AO199" t="str">
            <v>CMQ_TTE - QUILMES TTE</v>
          </cell>
          <cell r="AP199" t="str">
            <v>CMQ_TTE - QUILMES TTE</v>
          </cell>
          <cell r="AQ199" t="str">
            <v>CMQ_TTE - QUILMES TTE</v>
          </cell>
          <cell r="AR199" t="str">
            <v>CMQ_TTE - QUILMES TTE</v>
          </cell>
          <cell r="AS199" t="str">
            <v>CMQ_TTE - QUILMES TTE</v>
          </cell>
          <cell r="AT199" t="str">
            <v>CMQ_TTE - QUILMES TTE</v>
          </cell>
          <cell r="AU199" t="str">
            <v>CMQ_TTE - QUILMES TTE</v>
          </cell>
          <cell r="AV199" t="str">
            <v>CMQ_TTE - QUILMES TTE</v>
          </cell>
          <cell r="AW199" t="str">
            <v>CMQ_TTE - QUILMES TTE</v>
          </cell>
          <cell r="AX199" t="str">
            <v>CMQ_TTE - QUILMES TTE</v>
          </cell>
          <cell r="AY199" t="str">
            <v>CMQ_TTE - QUILMES TTE</v>
          </cell>
          <cell r="AZ199" t="str">
            <v>CMQ_TTE - QUILMES TTE</v>
          </cell>
          <cell r="BA199" t="str">
            <v>CMQ_TTE - QUILMES TTE</v>
          </cell>
          <cell r="BB199" t="str">
            <v>CMQ_TTE - QUILMES TTE</v>
          </cell>
          <cell r="BC199" t="str">
            <v>CMQ_TTE - QUILMES TTE</v>
          </cell>
          <cell r="BD199" t="str">
            <v>CMQ_TTE - QUILMES TTE</v>
          </cell>
          <cell r="BE199" t="str">
            <v>CMQ_TTE - QUILMES TTE</v>
          </cell>
          <cell r="BF199" t="str">
            <v>CMQ_TTE - QUILMES TTE</v>
          </cell>
          <cell r="BG199" t="str">
            <v>CMQ_TTE - QUILMES TTE</v>
          </cell>
          <cell r="BH199" t="str">
            <v>CMQ_TTE - QUILMES TTE</v>
          </cell>
          <cell r="BI199" t="str">
            <v>CMQ_TTE - QUILMES TTE</v>
          </cell>
          <cell r="BJ199" t="str">
            <v>CMQ_TTE - QUILMES TTE</v>
          </cell>
          <cell r="BK199" t="str">
            <v>CMQ_TTE - QUILMES TTE</v>
          </cell>
          <cell r="BL199" t="str">
            <v>CMQ_TTE - QUILMES TTE</v>
          </cell>
          <cell r="BM199" t="str">
            <v>CMQ_TTE - QUILMES TTE</v>
          </cell>
          <cell r="BN199" t="str">
            <v>CMQ_TTE - QUILMES TTE</v>
          </cell>
          <cell r="BO199" t="str">
            <v>CMQ_TTE - QUILMES TTE</v>
          </cell>
          <cell r="BP199" t="str">
            <v>CMQ_TTE - QUILMES TTE</v>
          </cell>
          <cell r="BQ199" t="str">
            <v>CMQ_TTE - QUILMES TTE</v>
          </cell>
          <cell r="BR199" t="str">
            <v>CMQ_TTE - QUILMES TTE</v>
          </cell>
          <cell r="BS199" t="str">
            <v>CMQ_TTE - QUILMES TTE</v>
          </cell>
          <cell r="BT199" t="str">
            <v>CMQ_TTE - QUILMES TTE</v>
          </cell>
          <cell r="BU199" t="str">
            <v>CMQ_TTE - QUILMES TTE</v>
          </cell>
          <cell r="BV199" t="str">
            <v>CMQ_TTE - QUILMES TTE</v>
          </cell>
          <cell r="BW199" t="str">
            <v>CMQ_TTE - QUILMES TTE</v>
          </cell>
          <cell r="BX199" t="str">
            <v>CMQ_TTE - QUILMES TTE</v>
          </cell>
          <cell r="BY199" t="str">
            <v>CMQ_TTE - QUILMES TTE</v>
          </cell>
          <cell r="BZ199" t="str">
            <v>CMQ_TTE - QUILMES TTE</v>
          </cell>
          <cell r="CA199" t="str">
            <v>CMQ_TTE - QUILMES TTE</v>
          </cell>
          <cell r="CB199" t="str">
            <v>CMQ_TTE - QUILMES TTE</v>
          </cell>
          <cell r="CC199" t="str">
            <v>CMQ_TTE - QUILMES TTE</v>
          </cell>
          <cell r="CD199" t="str">
            <v>CMQ_TTE - QUILMES TTE</v>
          </cell>
          <cell r="CE199" t="str">
            <v>CMQ_TTE - QUILMES TTE</v>
          </cell>
          <cell r="CF199" t="str">
            <v>CMQ_TTE - QUILMES TTE</v>
          </cell>
          <cell r="CG199" t="str">
            <v>CMQ_TTE - QUILMES TTE</v>
          </cell>
          <cell r="CH199" t="str">
            <v>CMQ_TTE - QUILMES TTE</v>
          </cell>
          <cell r="CI199" t="str">
            <v>CMQ_TTE - QUILMES TTE</v>
          </cell>
          <cell r="CJ199" t="str">
            <v>CMQ_TTE - QUILMES TTE</v>
          </cell>
          <cell r="CK199" t="str">
            <v>CMQ_TTE - QUILMES TTE</v>
          </cell>
          <cell r="CL199" t="str">
            <v>CMQ_TTE - QUILMES TTE</v>
          </cell>
          <cell r="CM199" t="str">
            <v>CMQ_TTE - QUILMES TTE</v>
          </cell>
          <cell r="CN199" t="str">
            <v>CMQ_TTE - QUILMES TTE</v>
          </cell>
          <cell r="CO199" t="str">
            <v>CMQ_TTE - QUILMES TTE</v>
          </cell>
          <cell r="CP199" t="str">
            <v>CMQ_TTE - QUILMES TTE</v>
          </cell>
          <cell r="CQ199" t="str">
            <v>CMQ_TTE - QUILMES TTE</v>
          </cell>
          <cell r="CR199" t="str">
            <v>CMQ_TTE - QUILMES TTE</v>
          </cell>
          <cell r="CS199" t="str">
            <v>CMQ_TTE - QUILMES TTE</v>
          </cell>
          <cell r="CT199" t="str">
            <v>CMQ_TTE - QUILMES TTE</v>
          </cell>
          <cell r="CU199" t="str">
            <v>CMQ_TTE - QUILMES TTE</v>
          </cell>
          <cell r="CV199" t="str">
            <v>CMQ_TTE - QUILMES TTE</v>
          </cell>
          <cell r="CW199" t="str">
            <v>CMQ_TTE - QUILMES TTE</v>
          </cell>
        </row>
        <row r="200">
          <cell r="D200" t="str">
            <v>GEB769</v>
          </cell>
          <cell r="E200" t="str">
            <v>Chasis</v>
          </cell>
          <cell r="F200" t="str">
            <v>Chasis</v>
          </cell>
          <cell r="G200" t="str">
            <v>Chasis</v>
          </cell>
          <cell r="N200" t="str">
            <v>TDU</v>
          </cell>
          <cell r="O200" t="str">
            <v>TDU</v>
          </cell>
          <cell r="P200" t="str">
            <v>No</v>
          </cell>
          <cell r="Q200" t="str">
            <v>Propio</v>
          </cell>
          <cell r="R200">
            <v>12</v>
          </cell>
          <cell r="S200" t="str">
            <v>Propio</v>
          </cell>
          <cell r="T200" t="str">
            <v>MERCEDES BENZ</v>
          </cell>
          <cell r="U200">
            <v>1620</v>
          </cell>
          <cell r="V200" t="str">
            <v>377983U0701795</v>
          </cell>
          <cell r="W200" t="str">
            <v>9BM6950147B503996</v>
          </cell>
          <cell r="X200">
            <v>2007</v>
          </cell>
          <cell r="Y200">
            <v>19</v>
          </cell>
          <cell r="Z200" t="str">
            <v>TDU</v>
          </cell>
          <cell r="AA200" t="str">
            <v>CMQ_TTE - QUILMES TTE</v>
          </cell>
          <cell r="AB200" t="str">
            <v>CMQ_TTE - QUILMES TTE</v>
          </cell>
          <cell r="AC200" t="str">
            <v>CMQ_TTE - QUILMES TTE</v>
          </cell>
          <cell r="AD200" t="str">
            <v>CMQ_TTE - QUILMES TTE</v>
          </cell>
          <cell r="AE200" t="str">
            <v>CMQ_TTE - QUILMES TTE</v>
          </cell>
          <cell r="AF200" t="str">
            <v>CMQ_TTE - QUILMES TTE</v>
          </cell>
          <cell r="AG200" t="str">
            <v>CMQ_TTE - QUILMES TTE</v>
          </cell>
          <cell r="AH200" t="str">
            <v>CMQ_TTE - QUILMES TTE</v>
          </cell>
          <cell r="AI200" t="str">
            <v>CMQ_TTE - QUILMES TTE</v>
          </cell>
          <cell r="AJ200" t="str">
            <v>CMQ_TTE - QUILMES TTE</v>
          </cell>
          <cell r="AK200" t="str">
            <v>CMQ_TTE - QUILMES TTE</v>
          </cell>
          <cell r="AL200" t="str">
            <v>CMQ_TTE - QUILMES TTE</v>
          </cell>
          <cell r="AM200" t="str">
            <v>CMQ_TTE - QUILMES TTE</v>
          </cell>
          <cell r="AN200" t="str">
            <v>CMQ_TTE - QUILMES TTE</v>
          </cell>
          <cell r="AO200" t="str">
            <v>CMQ_TTE - QUILMES TTE</v>
          </cell>
          <cell r="AP200" t="str">
            <v>CMQ_TTE - QUILMES TTE</v>
          </cell>
          <cell r="AQ200" t="str">
            <v>CMQ_TTE - QUILMES TTE</v>
          </cell>
          <cell r="AR200" t="str">
            <v>CMQ_TTE - QUILMES TTE</v>
          </cell>
          <cell r="AS200" t="str">
            <v>CMQ_TTE - QUILMES TTE</v>
          </cell>
          <cell r="AT200" t="str">
            <v>CMQ_TTE - QUILMES TTE</v>
          </cell>
          <cell r="AU200" t="str">
            <v>CMQ_TTE - QUILMES TTE</v>
          </cell>
          <cell r="AV200" t="str">
            <v>CMQ_TTE - QUILMES TTE</v>
          </cell>
          <cell r="AW200" t="str">
            <v>CMQ_TTE - QUILMES TTE</v>
          </cell>
          <cell r="AX200" t="str">
            <v>CMQ_TTE - QUILMES TTE</v>
          </cell>
          <cell r="AY200" t="str">
            <v>CMQ_TTE - QUILMES TTE</v>
          </cell>
          <cell r="AZ200" t="str">
            <v>CMQ_TTE - QUILMES TTE</v>
          </cell>
          <cell r="BA200" t="str">
            <v>CMQ_TTE - QUILMES TTE</v>
          </cell>
          <cell r="BB200" t="str">
            <v>CMQ_TTE - QUILMES TTE</v>
          </cell>
          <cell r="BC200" t="str">
            <v>CMQ_TTE - QUILMES TTE</v>
          </cell>
          <cell r="BD200" t="str">
            <v>CMQ_TTE - QUILMES TTE</v>
          </cell>
          <cell r="BE200" t="str">
            <v>CMQ_TTE - QUILMES TTE</v>
          </cell>
          <cell r="BF200" t="str">
            <v>CMQ_TTE - QUILMES TTE</v>
          </cell>
          <cell r="BG200" t="str">
            <v>CMQ_TTE - QUILMES TTE</v>
          </cell>
          <cell r="BH200" t="str">
            <v>CMQ_TTE - QUILMES TTE</v>
          </cell>
          <cell r="BI200" t="str">
            <v>CMQ_TTE - QUILMES TTE</v>
          </cell>
          <cell r="BJ200" t="str">
            <v>CMQ_TTE - QUILMES TTE</v>
          </cell>
          <cell r="BK200" t="str">
            <v>CMQ_TTE - QUILMES TTE</v>
          </cell>
          <cell r="BL200" t="str">
            <v>CMQ_TTE - QUILMES TTE</v>
          </cell>
          <cell r="BM200" t="str">
            <v>CMQ_TTE - QUILMES TTE</v>
          </cell>
          <cell r="BN200" t="str">
            <v>CMQ_TTE - QUILMES TTE</v>
          </cell>
          <cell r="BO200" t="str">
            <v>SUC_CTC - Sucursal Buenos Aires</v>
          </cell>
          <cell r="BP200" t="str">
            <v>SUC_CTC - Sucursal Buenos Aires</v>
          </cell>
          <cell r="BQ200" t="str">
            <v>SUC_CTC - Sucursal Buenos Aires</v>
          </cell>
          <cell r="BR200" t="str">
            <v>SUC_CTC - Sucursal Buenos Aires</v>
          </cell>
          <cell r="BS200" t="str">
            <v>SUC_CTC - Sucursal Buenos Aires</v>
          </cell>
          <cell r="BT200" t="str">
            <v>SUC_CTC - Sucursal Buenos Aires</v>
          </cell>
          <cell r="BU200" t="str">
            <v>SUC_CTC - Sucursal Buenos Aires</v>
          </cell>
          <cell r="BV200" t="str">
            <v>SUC_CTC - Sucursal Buenos Aires</v>
          </cell>
          <cell r="BW200" t="str">
            <v>SUC_CTC - Sucursal Buenos Aires</v>
          </cell>
          <cell r="BX200" t="str">
            <v>SUC_CTC - Sucursal Buenos Aires</v>
          </cell>
          <cell r="BY200" t="str">
            <v>SUC_CTC - Sucursal Buenos Aires</v>
          </cell>
          <cell r="BZ200" t="str">
            <v>SUC_CTC - Sucursal Buenos Aires</v>
          </cell>
          <cell r="CA200" t="str">
            <v>SUC_CTC - Sucursal Buenos Aires</v>
          </cell>
          <cell r="CB200" t="str">
            <v>Cook Master</v>
          </cell>
          <cell r="CC200" t="str">
            <v>Cook Master</v>
          </cell>
          <cell r="CD200" t="str">
            <v>Cook Master</v>
          </cell>
          <cell r="CE200" t="str">
            <v>Cook Master</v>
          </cell>
          <cell r="CF200" t="str">
            <v>Cook Master</v>
          </cell>
          <cell r="CG200" t="str">
            <v>Cook Master</v>
          </cell>
          <cell r="CH200" t="str">
            <v>Topacio</v>
          </cell>
          <cell r="CI200" t="str">
            <v>Topacio</v>
          </cell>
          <cell r="CJ200" t="str">
            <v>Topacio</v>
          </cell>
          <cell r="CK200" t="str">
            <v>Topacio</v>
          </cell>
          <cell r="CL200" t="str">
            <v>Topacio</v>
          </cell>
          <cell r="CM200" t="str">
            <v>Topacio</v>
          </cell>
          <cell r="CN200" t="str">
            <v>Topacio</v>
          </cell>
          <cell r="CO200" t="str">
            <v>Topacio</v>
          </cell>
          <cell r="CP200" t="str">
            <v>Topacio</v>
          </cell>
          <cell r="CQ200" t="str">
            <v>Topacio</v>
          </cell>
          <cell r="CR200" t="str">
            <v>Topacio</v>
          </cell>
          <cell r="CS200" t="str">
            <v>Topacio</v>
          </cell>
          <cell r="CT200" t="str">
            <v>Topacio</v>
          </cell>
          <cell r="CU200" t="str">
            <v>Topacio</v>
          </cell>
          <cell r="CV200" t="str">
            <v>Unilever - Unilever de Arg. S.A.</v>
          </cell>
          <cell r="CW200" t="str">
            <v>Unilever - Unilever de Arg. S.A.</v>
          </cell>
        </row>
        <row r="201">
          <cell r="D201" t="str">
            <v>GES583</v>
          </cell>
          <cell r="E201" t="str">
            <v>Chasis</v>
          </cell>
          <cell r="F201">
            <v>0</v>
          </cell>
          <cell r="G201" t="str">
            <v>Chasis</v>
          </cell>
          <cell r="N201" t="str">
            <v>GIRON ELIBERTO</v>
          </cell>
          <cell r="O201" t="str">
            <v>GIRON ELIBERTO</v>
          </cell>
          <cell r="P201" t="str">
            <v>No</v>
          </cell>
          <cell r="Q201" t="str">
            <v>De Tercero</v>
          </cell>
          <cell r="R201" t="str">
            <v>-</v>
          </cell>
          <cell r="S201" t="str">
            <v>De Tercero</v>
          </cell>
          <cell r="T201" t="str">
            <v>MERCEDES BENZ</v>
          </cell>
          <cell r="U201" t="str">
            <v>L 1620</v>
          </cell>
          <cell r="V201">
            <v>2007</v>
          </cell>
          <cell r="W201">
            <v>19</v>
          </cell>
          <cell r="X201">
            <v>2007</v>
          </cell>
          <cell r="Y201">
            <v>19</v>
          </cell>
          <cell r="Z201" t="str">
            <v xml:space="preserve">Aguanort </v>
          </cell>
          <cell r="AA201" t="str">
            <v>AGN_TTE - AGUANORT - Transporte</v>
          </cell>
          <cell r="AB201" t="str">
            <v>AGN_TTE - AGUANORT - Transporte</v>
          </cell>
          <cell r="AC201" t="str">
            <v>AGN_TTE - AGUANORT - Transporte</v>
          </cell>
          <cell r="AD201" t="str">
            <v>AGN_TTE - AGUANORT - Transporte</v>
          </cell>
          <cell r="AE201" t="str">
            <v>AGN_TTE - AGUANORT - Transporte</v>
          </cell>
          <cell r="AF201" t="str">
            <v>AGN_TTE - AGUANORT - Transporte</v>
          </cell>
          <cell r="AG201" t="str">
            <v>AGN_TTE - AGUANORT - Transporte</v>
          </cell>
          <cell r="AH201" t="str">
            <v>AGN_TTE - AGUANORT - Transporte</v>
          </cell>
          <cell r="AI201" t="str">
            <v>AGN_TTE - AGUANORT - Transporte</v>
          </cell>
          <cell r="AJ201" t="str">
            <v>AGN_TTE - AGUANORT - Transporte</v>
          </cell>
          <cell r="AK201" t="str">
            <v>AGN_TTE - AGUANORT - Transporte</v>
          </cell>
          <cell r="AL201" t="str">
            <v>AGN_TTE - AGUANORT - Transporte</v>
          </cell>
          <cell r="AM201" t="str">
            <v>AGN_TTE - AGUANORT - Transporte</v>
          </cell>
          <cell r="AN201" t="str">
            <v>AGN_TTE - AGUANORT - Transporte</v>
          </cell>
          <cell r="AO201" t="str">
            <v>AGN_TTE - AGUANORT - Transporte</v>
          </cell>
          <cell r="AP201" t="str">
            <v>AGN_TTE - AGUANORT - Transporte</v>
          </cell>
          <cell r="AQ201" t="str">
            <v>AGN_TTE - AGUANORT - Transporte</v>
          </cell>
          <cell r="AR201" t="str">
            <v>AGN_TTE - AGUANORT - Transporte</v>
          </cell>
          <cell r="AS201" t="str">
            <v>AGN_TTE - AGUANORT - Transporte</v>
          </cell>
          <cell r="AT201" t="str">
            <v>AGN_TTE - AGUANORT - Transporte</v>
          </cell>
          <cell r="AU201" t="str">
            <v>AGN_TTE - AGUANORT - Transporte</v>
          </cell>
          <cell r="AV201" t="str">
            <v>AGN_TTE - AGUANORT - Transporte</v>
          </cell>
          <cell r="AW201" t="str">
            <v>AGN_TTE - AGUANORT - Transporte</v>
          </cell>
          <cell r="AX201" t="str">
            <v>AGN_TTE - AGUANORT - Transporte</v>
          </cell>
          <cell r="AY201" t="str">
            <v>AGN_TTE - AGUANORT - Transporte</v>
          </cell>
          <cell r="AZ201" t="str">
            <v>AGN_TTE - AGUANORT - Transporte</v>
          </cell>
          <cell r="BA201" t="str">
            <v>AGN_TTE - AGUANORT - Transporte</v>
          </cell>
          <cell r="BB201" t="str">
            <v>AGN_TTE - AGUANORT - Transporte</v>
          </cell>
          <cell r="BC201" t="str">
            <v>AGN_TTE - AGUANORT - Transporte</v>
          </cell>
          <cell r="BD201" t="str">
            <v>AGN_TTE - AGUANORT - Transporte</v>
          </cell>
          <cell r="BE201" t="str">
            <v>AGN_TTE - AGUANORT - Transporte</v>
          </cell>
          <cell r="BF201" t="str">
            <v>AGN_TTE - AGUANORT - Transporte</v>
          </cell>
          <cell r="BG201" t="str">
            <v>AGN_TTE - AGUANORT - Transporte</v>
          </cell>
          <cell r="BH201" t="str">
            <v>AGN_TTE - AGUANORT - Transporte</v>
          </cell>
          <cell r="BI201" t="str">
            <v>AGN_TTE - AGUANORT - Transporte</v>
          </cell>
          <cell r="BJ201" t="str">
            <v>AGN_TTE - AGUANORT - Transporte</v>
          </cell>
          <cell r="BK201" t="str">
            <v>AGN_TTE - AGUANORT - Transporte</v>
          </cell>
          <cell r="BL201" t="str">
            <v>AGN_TTE - AGUANORT - Transporte</v>
          </cell>
          <cell r="BM201" t="str">
            <v>AGN_TTE - AGUANORT - Transporte</v>
          </cell>
          <cell r="BN201" t="str">
            <v>AGN_TTE - AGUANORT - Transporte</v>
          </cell>
          <cell r="BO201" t="str">
            <v>AGN_TTE - AGUANORT - Transporte</v>
          </cell>
          <cell r="BP201" t="str">
            <v>AGN_TTE - AGUANORT - Transporte</v>
          </cell>
          <cell r="BQ201" t="str">
            <v>AGN_TTE - AGUANORT - Transporte</v>
          </cell>
          <cell r="BR201" t="str">
            <v>AGN_TTE - AGUANORT - Transporte</v>
          </cell>
          <cell r="BS201" t="str">
            <v>AGN_TTE - AGUANORT - Transporte</v>
          </cell>
          <cell r="BT201" t="str">
            <v>AGN_TTE - AGUANORT - Transporte</v>
          </cell>
          <cell r="BU201" t="str">
            <v>Sin Operación</v>
          </cell>
          <cell r="BV201" t="str">
            <v>AGN_TTE - AGUANORT - Transporte</v>
          </cell>
          <cell r="BW201" t="str">
            <v>AGN_TTE - AGUANORT - Transporte</v>
          </cell>
          <cell r="BX201" t="str">
            <v>AGN_TTE - AGUANORT - Transporte</v>
          </cell>
          <cell r="BY201" t="str">
            <v>AGN_TTE - AGUANORT - Transporte</v>
          </cell>
          <cell r="BZ201" t="str">
            <v>AGN_TTE - AGUANORT - Transporte</v>
          </cell>
          <cell r="CA201" t="str">
            <v>AGN_TTE - AGUANORT - Transporte</v>
          </cell>
          <cell r="CB201" t="str">
            <v>AGN_TTE - AGUANORT - Transporte</v>
          </cell>
          <cell r="CC201" t="str">
            <v>AGN_TTE - AGUANORT - Transporte</v>
          </cell>
          <cell r="CD201" t="str">
            <v>AGN_TTE - AGUANORT - Transporte</v>
          </cell>
          <cell r="CE201" t="str">
            <v>AGN_TTE - AGUANORT - Transporte</v>
          </cell>
          <cell r="CF201" t="str">
            <v>AGN_TTE - AGUANORT - Transporte</v>
          </cell>
          <cell r="CG201" t="str">
            <v>AGN_TTE - AGUANORT - Transporte</v>
          </cell>
          <cell r="CH201" t="str">
            <v>AGN_TTE - AGUANORT - Transporte</v>
          </cell>
          <cell r="CI201" t="str">
            <v>AGN_TTE - AGUANORT - Transporte</v>
          </cell>
          <cell r="CJ201" t="str">
            <v>AGN_TTE - AGUANORT - Transporte</v>
          </cell>
          <cell r="CK201" t="str">
            <v>AGN_TTE - AGUANORT - Transporte</v>
          </cell>
          <cell r="CL201" t="str">
            <v>AGN_TTE - AGUANORT - Transporte</v>
          </cell>
          <cell r="CM201" t="str">
            <v>AGN_TTE - AGUANORT - Transporte</v>
          </cell>
          <cell r="CN201" t="str">
            <v>AGN_TTE - AGUANORT - Transporte</v>
          </cell>
          <cell r="CO201" t="str">
            <v>AGN_TTE - AGUANORT - Transporte</v>
          </cell>
          <cell r="CP201" t="str">
            <v>AGN_TTE - AGUANORT - Transporte</v>
          </cell>
          <cell r="CQ201" t="str">
            <v>AGN_TTE - AGUANORT - Transporte</v>
          </cell>
          <cell r="CR201" t="str">
            <v>AGN_TTE - AGUANORT - Transporte</v>
          </cell>
          <cell r="CS201" t="str">
            <v>AGN_TTE - AGUANORT - Transporte</v>
          </cell>
          <cell r="CT201" t="str">
            <v>AGN_TTE - AGUANORT - Transporte</v>
          </cell>
          <cell r="CU201" t="str">
            <v>AGN_TTE - AGUANORT - Transporte</v>
          </cell>
          <cell r="CV201" t="str">
            <v>AGN_TTE - AGUANORT - Transporte</v>
          </cell>
          <cell r="CW201" t="str">
            <v>AGN_TTE - AGUANORT - Transporte</v>
          </cell>
        </row>
        <row r="202">
          <cell r="D202" t="str">
            <v>GFV163</v>
          </cell>
          <cell r="E202" t="str">
            <v>Chasis</v>
          </cell>
          <cell r="F202">
            <v>0</v>
          </cell>
          <cell r="G202" t="str">
            <v>Chasis</v>
          </cell>
          <cell r="N202" t="str">
            <v>LAGUZZI RUBEN Y BLANCO OLGA S.H.</v>
          </cell>
          <cell r="O202" t="str">
            <v>LAGUZZI RUBEN Y BLANCO OLGA S.H.</v>
          </cell>
          <cell r="P202" t="str">
            <v>No</v>
          </cell>
          <cell r="Q202" t="str">
            <v>De Tercero</v>
          </cell>
          <cell r="R202" t="str">
            <v>-</v>
          </cell>
          <cell r="S202" t="str">
            <v>De Tercero</v>
          </cell>
          <cell r="T202" t="str">
            <v>MERCEDES BENZ</v>
          </cell>
          <cell r="U202" t="str">
            <v>L1620</v>
          </cell>
          <cell r="V202">
            <v>2007</v>
          </cell>
          <cell r="W202">
            <v>19</v>
          </cell>
          <cell r="X202">
            <v>2007</v>
          </cell>
          <cell r="Y202">
            <v>19</v>
          </cell>
          <cell r="Z202" t="str">
            <v>TDU</v>
          </cell>
          <cell r="AA202" t="str">
            <v>CMQ_TTE - QUILMES TTE</v>
          </cell>
          <cell r="AB202" t="str">
            <v>CMQ_TTE - QUILMES TTE</v>
          </cell>
          <cell r="AC202" t="str">
            <v>CMQ_TTE - QUILMES TTE</v>
          </cell>
          <cell r="AD202" t="str">
            <v>CMQ_TTE - QUILMES TTE</v>
          </cell>
          <cell r="AE202" t="str">
            <v>CMQ_TTE - QUILMES TTE</v>
          </cell>
          <cell r="AF202" t="str">
            <v>CMQ_TTE - QUILMES TTE</v>
          </cell>
          <cell r="AG202" t="str">
            <v>CMQ_TTE - QUILMES TTE</v>
          </cell>
          <cell r="AH202" t="str">
            <v>CMQ_TTE - QUILMES TTE</v>
          </cell>
          <cell r="AI202" t="str">
            <v>CMQ_TTE - QUILMES TTE</v>
          </cell>
          <cell r="AJ202" t="str">
            <v>CMQ_TTE - QUILMES TTE</v>
          </cell>
          <cell r="AK202" t="str">
            <v>CMQ_TTE - QUILMES TTE</v>
          </cell>
          <cell r="AL202" t="str">
            <v>CMQ_TTE - QUILMES TTE</v>
          </cell>
          <cell r="AM202" t="str">
            <v>CMQ_TTE - QUILMES TTE</v>
          </cell>
          <cell r="AN202" t="str">
            <v>CMQ_TTE - QUILMES TTE</v>
          </cell>
          <cell r="AO202" t="str">
            <v>CMQ_TTE - QUILMES TTE</v>
          </cell>
          <cell r="AP202" t="str">
            <v>CMQ_TTE - QUILMES TTE</v>
          </cell>
          <cell r="AQ202" t="str">
            <v>CMQ_TTE - QUILMES TTE</v>
          </cell>
          <cell r="AR202" t="str">
            <v>CMQ_TTE - QUILMES TTE</v>
          </cell>
          <cell r="AS202" t="str">
            <v>CMQ_TTE - QUILMES TTE</v>
          </cell>
          <cell r="AT202" t="str">
            <v>CMQ_TTE - QUILMES TTE</v>
          </cell>
          <cell r="AU202" t="str">
            <v>CMQ_TTE - QUILMES TTE</v>
          </cell>
          <cell r="AV202" t="str">
            <v>CMQ_TTE - QUILMES TTE</v>
          </cell>
          <cell r="AW202" t="str">
            <v>CMQ_TTE - QUILMES TTE</v>
          </cell>
          <cell r="AX202" t="str">
            <v>CMQ_TTE - QUILMES TTE</v>
          </cell>
          <cell r="AY202" t="str">
            <v>CMQ_TTE - QUILMES TTE</v>
          </cell>
          <cell r="AZ202" t="str">
            <v>CMQ_TTE - QUILMES TTE</v>
          </cell>
          <cell r="BA202" t="str">
            <v>CMQ_TTE - QUILMES TTE</v>
          </cell>
          <cell r="BB202" t="str">
            <v>CMQ_TTE - QUILMES TTE</v>
          </cell>
          <cell r="BC202" t="str">
            <v>CMQ_TTE - QUILMES TTE</v>
          </cell>
          <cell r="BD202" t="str">
            <v>CMQ_TTE - QUILMES TTE</v>
          </cell>
          <cell r="BE202" t="str">
            <v>CMQ_TTE - QUILMES TTE</v>
          </cell>
          <cell r="BF202" t="str">
            <v>CMQ_TTE - QUILMES TTE</v>
          </cell>
          <cell r="BG202" t="str">
            <v>CMQ_TTE - QUILMES TTE</v>
          </cell>
          <cell r="BH202" t="str">
            <v>CMQ_TTE - QUILMES TTE</v>
          </cell>
          <cell r="BI202" t="str">
            <v>CMQ_TTE - QUILMES TTE</v>
          </cell>
          <cell r="BJ202" t="str">
            <v>CMQ_TTE - QUILMES TTE</v>
          </cell>
          <cell r="BK202" t="str">
            <v>CMQ_TTE - QUILMES TTE</v>
          </cell>
          <cell r="BL202" t="str">
            <v>CMQ_TTE - QUILMES TTE</v>
          </cell>
          <cell r="BM202" t="str">
            <v>CMQ_TTE - QUILMES TTE</v>
          </cell>
          <cell r="BN202" t="str">
            <v>CMQ_TTE - QUILMES TTE</v>
          </cell>
          <cell r="BO202" t="str">
            <v>CMQ_TTE - QUILMES TTE</v>
          </cell>
          <cell r="BP202" t="str">
            <v>CMQ_TTE - QUILMES TTE</v>
          </cell>
          <cell r="BQ202" t="str">
            <v>CMQ_TTE - QUILMES TTE</v>
          </cell>
          <cell r="BR202" t="str">
            <v>CMQ_TTE - QUILMES TTE</v>
          </cell>
          <cell r="BS202" t="str">
            <v>CMQ_TTE - QUILMES TTE</v>
          </cell>
          <cell r="BT202" t="str">
            <v>CMQ_TTE - QUILMES TTE</v>
          </cell>
          <cell r="BU202" t="str">
            <v>CMQ_TTE - QUILMES TTE</v>
          </cell>
          <cell r="BV202" t="str">
            <v>CMQ_TTE - QUILMES TTE</v>
          </cell>
          <cell r="BW202" t="str">
            <v>CMQ_TTE - QUILMES TTE</v>
          </cell>
          <cell r="BX202" t="str">
            <v>CMQ_TTE - QUILMES TTE</v>
          </cell>
          <cell r="BY202" t="str">
            <v>CMQ_TTE - QUILMES TTE</v>
          </cell>
          <cell r="BZ202" t="str">
            <v>CMQ_TTE - QUILMES TTE</v>
          </cell>
          <cell r="CA202" t="str">
            <v>CMQ_TTE - QUILMES TTE</v>
          </cell>
          <cell r="CB202" t="str">
            <v>CMQ_TTE - QUILMES TTE</v>
          </cell>
          <cell r="CC202" t="str">
            <v>CMQ_TTE - QUILMES TTE</v>
          </cell>
          <cell r="CD202" t="str">
            <v>CMQ_TTE - QUILMES TTE</v>
          </cell>
          <cell r="CE202" t="str">
            <v>CMQ_TTE - QUILMES TTE</v>
          </cell>
          <cell r="CF202" t="str">
            <v>CMQ_TTE - QUILMES TTE</v>
          </cell>
          <cell r="CG202" t="str">
            <v>CMQ_TTE - QUILMES TTE</v>
          </cell>
          <cell r="CH202" t="str">
            <v>CMQ_TTE - QUILMES TTE</v>
          </cell>
          <cell r="CI202" t="str">
            <v>CMQ_TTE - QUILMES TTE</v>
          </cell>
          <cell r="CJ202" t="str">
            <v>CMQ_TTE - QUILMES TTE</v>
          </cell>
          <cell r="CK202" t="str">
            <v>CMQ_TTE - QUILMES TTE</v>
          </cell>
          <cell r="CL202" t="str">
            <v>CMQ_TTE - QUILMES TTE</v>
          </cell>
          <cell r="CM202" t="str">
            <v>CMQ_TTE - QUILMES TTE</v>
          </cell>
          <cell r="CN202" t="str">
            <v>CMQ_TTE - QUILMES TTE</v>
          </cell>
          <cell r="CO202" t="str">
            <v>CMQ_TTE - QUILMES TTE</v>
          </cell>
          <cell r="CP202" t="str">
            <v>CMQ_TTE - QUILMES TTE</v>
          </cell>
          <cell r="CQ202" t="str">
            <v>CMQ_TTE - QUILMES TTE</v>
          </cell>
          <cell r="CR202" t="str">
            <v>CMQ_TTE - QUILMES TTE</v>
          </cell>
          <cell r="CS202" t="str">
            <v>CMQ_TTE - QUILMES TTE</v>
          </cell>
          <cell r="CT202" t="str">
            <v>CMQ_TTE - QUILMES TTE</v>
          </cell>
          <cell r="CU202" t="str">
            <v>CMQ_TTE - QUILMES TTE</v>
          </cell>
          <cell r="CV202" t="str">
            <v>CMQ_TTE - QUILMES TTE</v>
          </cell>
          <cell r="CW202" t="str">
            <v>CMQ_TTE - QUILMES TTE</v>
          </cell>
        </row>
        <row r="203">
          <cell r="D203" t="str">
            <v>AE243WV</v>
          </cell>
          <cell r="E203" t="str">
            <v>Chasis</v>
          </cell>
          <cell r="F203" t="str">
            <v>Balancin</v>
          </cell>
          <cell r="G203" t="str">
            <v>Balancin Termico</v>
          </cell>
          <cell r="N203" t="str">
            <v>DYLASA</v>
          </cell>
          <cell r="O203" t="str">
            <v>DYLASA</v>
          </cell>
          <cell r="P203" t="str">
            <v>No</v>
          </cell>
          <cell r="Q203" t="str">
            <v>Propio</v>
          </cell>
          <cell r="R203">
            <v>14</v>
          </cell>
          <cell r="S203" t="str">
            <v>Propio</v>
          </cell>
          <cell r="T203" t="str">
            <v>MERCEDES BENZ</v>
          </cell>
          <cell r="U203" t="str">
            <v>Atego 2426</v>
          </cell>
          <cell r="V203" t="str">
            <v>926991U1302953</v>
          </cell>
          <cell r="W203" t="str">
            <v>9BM958164LB172126</v>
          </cell>
          <cell r="X203">
            <v>2020</v>
          </cell>
          <cell r="Y203">
            <v>6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 t="str">
            <v>CENCO_MZ - Cencosud SA - Mendoza</v>
          </cell>
          <cell r="AT203" t="str">
            <v>CENCO_MZ - Cencosud SA - Mendoza</v>
          </cell>
          <cell r="AU203" t="str">
            <v>CENCO_MZ - Cencosud SA - Mendoza</v>
          </cell>
          <cell r="AV203" t="str">
            <v>CENCO_MZ - Cencosud SA - Mendoza</v>
          </cell>
          <cell r="AW203" t="str">
            <v>CENCO_MZ - Cencosud SA - Mendoza</v>
          </cell>
          <cell r="AX203" t="str">
            <v>CENCO_MZ - Cencosud SA - Mendoza</v>
          </cell>
          <cell r="AY203" t="str">
            <v>CENCO_MZ - Cencosud SA - Mendoza</v>
          </cell>
          <cell r="AZ203" t="str">
            <v>CENCO_MZ - Cencosud SA - Mendoza</v>
          </cell>
          <cell r="BA203" t="str">
            <v>CENCO_MZ - Cencosud SA - Mendoza</v>
          </cell>
          <cell r="BB203" t="str">
            <v>CENCO_MZ - Cencosud SA - Mendoza</v>
          </cell>
          <cell r="BC203" t="str">
            <v>CENCO_MZ - Cencosud SA - Mendoza</v>
          </cell>
          <cell r="BD203" t="str">
            <v>CENCO_MZ - Cencosud SA - Mendoza</v>
          </cell>
          <cell r="BE203" t="str">
            <v>CENCO_MZ - Cencosud SA - Mendoza</v>
          </cell>
          <cell r="BF203" t="str">
            <v>CENCO_MZ - Cencosud SA - Mendoza</v>
          </cell>
          <cell r="BG203" t="str">
            <v>CENCO_MZ - Cencosud SA - Mendoza</v>
          </cell>
          <cell r="BH203" t="str">
            <v>CENCO_MZ - Cencosud SA - Mendoza</v>
          </cell>
          <cell r="BI203" t="str">
            <v>CENCO_MZ - Cencosud SA - Mendoza</v>
          </cell>
          <cell r="BJ203" t="str">
            <v>CENCO_MZ - Cencosud SA - Mendoza</v>
          </cell>
          <cell r="BK203" t="str">
            <v>CENCO_MZ - Cencosud SA - Mendoza</v>
          </cell>
          <cell r="BL203" t="str">
            <v>CENCO_MZ - Cencosud SA - Mendoza</v>
          </cell>
          <cell r="BM203" t="str">
            <v>CENCO_MZ - Cencosud SA - Mendoza</v>
          </cell>
          <cell r="BN203" t="str">
            <v>CENCOMLD - Cencosud SA - Mendoza</v>
          </cell>
          <cell r="BO203" t="str">
            <v>CENCOMLD - Cencosud SA - Mendoza</v>
          </cell>
          <cell r="BP203" t="str">
            <v>CENCOMLD - Cencosud SA - Mendoza</v>
          </cell>
          <cell r="BQ203" t="str">
            <v>CENCOMLD - Cencosud SA - Mendoza</v>
          </cell>
          <cell r="BR203" t="str">
            <v>CENCOMLD - Cencosud SA - Mendoza</v>
          </cell>
          <cell r="BS203" t="str">
            <v>CENCOMLD - Cencosud SA - Mendoza</v>
          </cell>
          <cell r="BT203" t="str">
            <v>CENCOMLD - Cencosud SA - Mendoza</v>
          </cell>
          <cell r="BU203" t="str">
            <v>CENCOMLD - Cencosud SA - Mendoza</v>
          </cell>
          <cell r="BV203" t="str">
            <v>CENCOMLD - Cencosud SA - Mendoza</v>
          </cell>
          <cell r="BW203" t="str">
            <v>CENCOMLD - Cencosud SA - Mendoza</v>
          </cell>
          <cell r="BX203" t="str">
            <v>CENCOMLD - Cencosud SA - Mendoza</v>
          </cell>
          <cell r="BY203" t="str">
            <v>CENCOMLD - Cencosud SA - Mendoza</v>
          </cell>
          <cell r="BZ203" t="str">
            <v>CENCOMLD - Cencosud SA - Mendoza</v>
          </cell>
          <cell r="CA203" t="str">
            <v>CENCOMLD - Cencosud SA - Mendoza</v>
          </cell>
          <cell r="CB203" t="str">
            <v>CENCOMLD - Cencosud SA - Mendoza</v>
          </cell>
          <cell r="CC203" t="str">
            <v>CENCOMLD - Cencosud SA - Mendoza</v>
          </cell>
          <cell r="CD203" t="str">
            <v>CENCOMLD - Cencosud SA - Mendoza</v>
          </cell>
          <cell r="CE203" t="str">
            <v>CENCOMLD - Cencosud SA - Mendoza</v>
          </cell>
          <cell r="CF203" t="str">
            <v>CENCOMLD - Cencosud SA - Mendoza</v>
          </cell>
          <cell r="CG203" t="str">
            <v>CENCOMLD - Cencosud SA - Mendoza</v>
          </cell>
          <cell r="CH203" t="str">
            <v>CENCOMLD - Cencosud SA - Mendoza</v>
          </cell>
          <cell r="CI203" t="str">
            <v>CENCOMLD - Cencosud SA - Mendoza</v>
          </cell>
          <cell r="CJ203" t="str">
            <v>CENCOMLD - Cencosud SA - Mendoza</v>
          </cell>
          <cell r="CK203" t="str">
            <v>CENCOMLD - Cencosud SA - Mendoza</v>
          </cell>
          <cell r="CL203" t="str">
            <v>CENCOMLD - Cencosud SA - Mendoza</v>
          </cell>
          <cell r="CM203" t="str">
            <v>CENCOMLD - Cencosud SA - Mendoza</v>
          </cell>
          <cell r="CN203" t="str">
            <v>CENCOMLD - Cencosud SA - Mendoza</v>
          </cell>
          <cell r="CO203" t="str">
            <v>CENCOMLD - Cencosud SA - Mendoza</v>
          </cell>
          <cell r="CP203" t="str">
            <v>CENCOMLD - Cencosud SA - Mendoza</v>
          </cell>
          <cell r="CQ203" t="str">
            <v>CENCOMLD - Cencosud SA - Mendoza</v>
          </cell>
          <cell r="CR203" t="str">
            <v>CENCOMLD - Cencosud SA - Mendoza</v>
          </cell>
          <cell r="CS203" t="str">
            <v>CENCOMLD - Cencosud SA - Mendoza</v>
          </cell>
          <cell r="CT203" t="str">
            <v>CENCOMLD - Cencosud SA - Mendoza</v>
          </cell>
          <cell r="CU203" t="str">
            <v>CENCOMLD - Cencosud SA - Mendoza</v>
          </cell>
          <cell r="CV203" t="str">
            <v>CENCOMLD - Cencosud SA - Mendoza</v>
          </cell>
          <cell r="CW203" t="str">
            <v>CENCOMLD - Cencosud SA - Mendoza</v>
          </cell>
        </row>
        <row r="204">
          <cell r="D204" t="str">
            <v>GFZ651</v>
          </cell>
          <cell r="E204" t="str">
            <v>Chasis</v>
          </cell>
          <cell r="F204" t="str">
            <v>Chasis</v>
          </cell>
          <cell r="G204" t="str">
            <v>Chasis</v>
          </cell>
          <cell r="N204" t="str">
            <v>CODYLSA</v>
          </cell>
          <cell r="O204" t="str">
            <v>CODYLSA</v>
          </cell>
          <cell r="P204" t="str">
            <v>No</v>
          </cell>
          <cell r="Q204" t="str">
            <v>Propio</v>
          </cell>
          <cell r="R204">
            <v>12</v>
          </cell>
          <cell r="S204" t="str">
            <v>Propio</v>
          </cell>
          <cell r="T204" t="str">
            <v>MERCEDES BENZ</v>
          </cell>
          <cell r="U204">
            <v>1624</v>
          </cell>
          <cell r="V204" t="str">
            <v>906973U0711109</v>
          </cell>
          <cell r="W204" t="str">
            <v>9BM6950107B514611</v>
          </cell>
          <cell r="X204">
            <v>2007</v>
          </cell>
          <cell r="Y204">
            <v>19</v>
          </cell>
          <cell r="Z204" t="str">
            <v>Malargue</v>
          </cell>
          <cell r="AA204" t="str">
            <v>Expreso - Servicios Troncales</v>
          </cell>
          <cell r="AB204" t="str">
            <v>Expreso - Servicios Troncales</v>
          </cell>
          <cell r="AC204" t="str">
            <v>Expreso - Servicios Troncales</v>
          </cell>
          <cell r="AD204" t="str">
            <v>Expreso - Servicios Troncales</v>
          </cell>
          <cell r="AE204" t="str">
            <v>Expreso - Servicios Troncales</v>
          </cell>
          <cell r="AF204" t="str">
            <v>Expreso - Servicios Troncales</v>
          </cell>
          <cell r="AG204" t="str">
            <v>Expreso - Servicios Troncales</v>
          </cell>
          <cell r="AH204" t="str">
            <v>Expreso - Servicios Troncales</v>
          </cell>
          <cell r="AI204" t="str">
            <v>Expreso - Servicios Troncales</v>
          </cell>
          <cell r="AJ204" t="str">
            <v>Expreso - Servicios Troncales</v>
          </cell>
          <cell r="AK204" t="str">
            <v>Expreso - Servicios Troncales</v>
          </cell>
          <cell r="AL204" t="str">
            <v>Expreso - Servicios Troncales</v>
          </cell>
          <cell r="AM204" t="str">
            <v>Expreso - Servicios Troncales</v>
          </cell>
          <cell r="AN204" t="str">
            <v>Expreso - Servicios Troncales</v>
          </cell>
          <cell r="AO204" t="str">
            <v>Expreso - Servicios Troncales</v>
          </cell>
          <cell r="AP204" t="str">
            <v>Expreso - Servicios Troncales</v>
          </cell>
          <cell r="AQ204" t="str">
            <v>Expreso - Servicios Troncales</v>
          </cell>
          <cell r="AR204" t="str">
            <v>Expreso - Servicios Troncales</v>
          </cell>
          <cell r="AS204" t="str">
            <v>Expreso - Servicios Troncales</v>
          </cell>
          <cell r="AT204" t="str">
            <v>Expreso - Servicios Troncales</v>
          </cell>
          <cell r="AU204" t="str">
            <v>Papelera - Papelera del Plata S.A.</v>
          </cell>
          <cell r="AV204" t="str">
            <v>Papelera - Papelera del Plata S.A.</v>
          </cell>
          <cell r="AW204" t="str">
            <v>Papelera - Papelera del Plata S.A.</v>
          </cell>
          <cell r="AX204" t="str">
            <v>Papelera - Papelera del Plata S.A.</v>
          </cell>
          <cell r="AY204" t="str">
            <v>Papelera - Papelera del Plata S.A.</v>
          </cell>
          <cell r="AZ204" t="str">
            <v>Papelera - Papelera del Plata S.A.</v>
          </cell>
          <cell r="BA204" t="str">
            <v>Papelera - Papelera del Plata S.A.</v>
          </cell>
          <cell r="BB204" t="str">
            <v>Papelera - Papelera del Plata S.A.</v>
          </cell>
          <cell r="BC204" t="str">
            <v>Papelera - Papelera del Plata S.A.</v>
          </cell>
          <cell r="BD204" t="str">
            <v>Papelera - Papelera del Plata S.A.</v>
          </cell>
          <cell r="BE204" t="str">
            <v>Papelera - Papelera del Plata S.A.</v>
          </cell>
          <cell r="BF204" t="str">
            <v>CLI_SPOT - CLIENTE SPOT</v>
          </cell>
          <cell r="BG204" t="str">
            <v>CLI_SPOT - CLIENTE SPOT</v>
          </cell>
          <cell r="BH204" t="str">
            <v>CLI_SPOT - CLIENTE SPOT</v>
          </cell>
          <cell r="BI204" t="str">
            <v>CLI_SPOT - CLIENTE SPOT</v>
          </cell>
          <cell r="BJ204" t="str">
            <v>CLI_SPOT - CLIENTE SPOT</v>
          </cell>
          <cell r="BK204" t="str">
            <v>CLI_SPOT - CLIENTE SPOT</v>
          </cell>
          <cell r="BL204" t="str">
            <v>CLI_SPOT - CLIENTE SPOT</v>
          </cell>
          <cell r="BM204" t="str">
            <v>CLI_SPOT - CLIENTE SPOT</v>
          </cell>
          <cell r="BN204" t="str">
            <v>CLI_SPOT - CLIENTE SPOT</v>
          </cell>
          <cell r="BO204" t="str">
            <v>CLI_SPOT - CLIENTE SPOT</v>
          </cell>
          <cell r="BP204" t="str">
            <v>CLI_SPOT - CLIENTE SPOT</v>
          </cell>
          <cell r="BQ204" t="str">
            <v>Cook Master</v>
          </cell>
          <cell r="BR204" t="str">
            <v>Cook Master</v>
          </cell>
          <cell r="BS204" t="str">
            <v>Llorente - J. Llorente y Cía. S.A.</v>
          </cell>
          <cell r="BT204" t="str">
            <v>Llorente - J. Llorente y Cía. S.A.</v>
          </cell>
          <cell r="BU204" t="str">
            <v>Llorente - J. Llorente y Cía. S.A.</v>
          </cell>
          <cell r="BV204" t="str">
            <v>Unilever - Unilever de Arg. S.A.</v>
          </cell>
          <cell r="BW204" t="str">
            <v>Unilever - Unilever de Arg. S.A.</v>
          </cell>
          <cell r="BX204" t="str">
            <v>JOHNSON - SC JOHNSON DE ARGENTINA SAIC</v>
          </cell>
          <cell r="BY204" t="str">
            <v>JOHNSON - SC JOHNSON DE ARGENTINA SAIC</v>
          </cell>
          <cell r="BZ204" t="str">
            <v>Unilever - Unilever de Arg. S.A.</v>
          </cell>
          <cell r="CA204" t="str">
            <v>SUC_CTC - Sucursal Buenos Aires</v>
          </cell>
          <cell r="CB204" t="str">
            <v>SUC_CTC - Sucursal Buenos Aires</v>
          </cell>
          <cell r="CC204" t="str">
            <v>SUC_CTC - Sucursal Buenos Aires</v>
          </cell>
          <cell r="CD204" t="str">
            <v>SUC_CTC - Sucursal Buenos Aires</v>
          </cell>
          <cell r="CE204" t="str">
            <v>SUC_CTC - Sucursal Buenos Aires</v>
          </cell>
          <cell r="CF204" t="str">
            <v>SUC_CTC - Sucursal Buenos Aires</v>
          </cell>
          <cell r="CG204" t="str">
            <v>SUC_CTC - Sucursal Buenos Aires</v>
          </cell>
          <cell r="CH204" t="str">
            <v>SUC_CTC - Sucursal Buenos Aires</v>
          </cell>
          <cell r="CI204" t="str">
            <v>SUC_CTC - Sucursal Buenos Aires</v>
          </cell>
          <cell r="CJ204" t="str">
            <v>SUC_CTC - Sucursal Buenos Aires</v>
          </cell>
          <cell r="CK204" t="str">
            <v>SUC_CTC - Sucursal Buenos Aires</v>
          </cell>
          <cell r="CL204" t="str">
            <v>SUC_CTC - Sucursal Buenos Aires</v>
          </cell>
          <cell r="CM204" t="str">
            <v>SUC_CTC - Sucursal Buenos Aires</v>
          </cell>
          <cell r="CN204" t="str">
            <v>SUC_CTC - Sucursal Buenos Aires</v>
          </cell>
          <cell r="CO204" t="str">
            <v>SUC_CTC - Sucursal Buenos Aires</v>
          </cell>
          <cell r="CP204" t="str">
            <v>SUC_CTC - Sucursal Buenos Aires</v>
          </cell>
          <cell r="CQ204" t="str">
            <v>SUC_CTC - Sucursal Buenos Aires</v>
          </cell>
          <cell r="CR204" t="str">
            <v>SUC_CTC - Sucursal Buenos Aires</v>
          </cell>
          <cell r="CS204" t="str">
            <v>SUC_CTC - Sucursal Buenos Aires</v>
          </cell>
          <cell r="CT204" t="str">
            <v>SUC_CTC - Sucursal Buenos Aires</v>
          </cell>
          <cell r="CU204" t="str">
            <v>SUC_CTC - Sucursal Buenos Aires</v>
          </cell>
          <cell r="CV204" t="str">
            <v>SUC_CTC - Sucursal Buenos Aires</v>
          </cell>
          <cell r="CW204" t="str">
            <v>SUC_CTC - Sucursal Buenos Aires</v>
          </cell>
        </row>
        <row r="205">
          <cell r="D205" t="str">
            <v>GGN909</v>
          </cell>
          <cell r="E205" t="str">
            <v>Semiremolque</v>
          </cell>
          <cell r="F205" t="str">
            <v>Semiremolque</v>
          </cell>
          <cell r="G205" t="str">
            <v>Semiremolque</v>
          </cell>
          <cell r="N205" t="str">
            <v>Expreso Malargüe S. A.</v>
          </cell>
          <cell r="O205" t="str">
            <v>Expreso Malargüe S. A.</v>
          </cell>
          <cell r="P205" t="str">
            <v>No</v>
          </cell>
          <cell r="Q205" t="str">
            <v>Propio</v>
          </cell>
          <cell r="R205" t="str">
            <v>-</v>
          </cell>
          <cell r="S205" t="str">
            <v>Propio</v>
          </cell>
          <cell r="T205" t="str">
            <v>HELVETICA</v>
          </cell>
          <cell r="U205" t="str">
            <v>-</v>
          </cell>
          <cell r="V205" t="str">
            <v>-</v>
          </cell>
          <cell r="W205" t="str">
            <v>8DHSR13B360001873</v>
          </cell>
          <cell r="X205">
            <v>2006</v>
          </cell>
          <cell r="Y205">
            <v>20</v>
          </cell>
          <cell r="Z205" t="str">
            <v>Malargue</v>
          </cell>
          <cell r="AA205" t="str">
            <v>Expreso - Servicios Troncales</v>
          </cell>
          <cell r="AB205" t="str">
            <v>Expreso - Servicios Troncales</v>
          </cell>
          <cell r="AC205" t="str">
            <v>Expreso - Servicios Troncales</v>
          </cell>
          <cell r="AD205" t="str">
            <v>Expreso - Servicios Troncales</v>
          </cell>
          <cell r="AE205" t="str">
            <v>Expreso - Servicios Troncales</v>
          </cell>
          <cell r="AF205" t="str">
            <v>Expreso - Servicios Troncales</v>
          </cell>
          <cell r="AG205" t="str">
            <v>Expreso - Servicios Troncales</v>
          </cell>
          <cell r="AH205" t="str">
            <v>Expreso - Servicios Troncales</v>
          </cell>
          <cell r="AI205" t="str">
            <v>Expreso - Servicios Troncales</v>
          </cell>
          <cell r="AJ205" t="str">
            <v>Expreso - Servicios Troncales</v>
          </cell>
          <cell r="AK205" t="str">
            <v>Expreso - Servicios Troncales</v>
          </cell>
          <cell r="AL205" t="str">
            <v>Expreso - Servicios Troncales</v>
          </cell>
          <cell r="AM205" t="str">
            <v>Expreso - Servicios Troncales</v>
          </cell>
          <cell r="AN205" t="str">
            <v>Expreso - Servicios Troncales</v>
          </cell>
          <cell r="AO205" t="str">
            <v>Expreso - Servicios Troncales</v>
          </cell>
          <cell r="AP205" t="str">
            <v>Expreso - Servicios Troncales</v>
          </cell>
          <cell r="AQ205" t="str">
            <v>Expreso - Servicios Troncales</v>
          </cell>
          <cell r="AR205" t="str">
            <v>Expreso - Servicios Troncales</v>
          </cell>
          <cell r="AS205" t="str">
            <v>Expreso - Servicios Troncales</v>
          </cell>
          <cell r="AT205" t="str">
            <v>Expreso - Servicios Troncales</v>
          </cell>
          <cell r="AU205" t="str">
            <v>Expreso - Servicios Troncales</v>
          </cell>
          <cell r="AV205" t="str">
            <v>Expreso - Servicios Troncales</v>
          </cell>
          <cell r="AW205" t="str">
            <v>Expreso - Servicios Troncales</v>
          </cell>
          <cell r="AX205" t="str">
            <v>INACTIVO</v>
          </cell>
          <cell r="AY205" t="str">
            <v>INACTIVO</v>
          </cell>
          <cell r="AZ205" t="str">
            <v>INACTIVO</v>
          </cell>
          <cell r="BA205" t="str">
            <v>INACTIVO</v>
          </cell>
          <cell r="BB205" t="str">
            <v>INACTIVO</v>
          </cell>
          <cell r="BC205" t="str">
            <v>INACTIVO</v>
          </cell>
          <cell r="BD205" t="str">
            <v>INACTIVO</v>
          </cell>
          <cell r="BE205" t="str">
            <v>INACTIVO</v>
          </cell>
          <cell r="BF205" t="str">
            <v>INACTIVO</v>
          </cell>
          <cell r="BG205" t="str">
            <v>INACTIVO</v>
          </cell>
          <cell r="BH205" t="str">
            <v>INACTIVO</v>
          </cell>
          <cell r="BI205" t="str">
            <v>INACTIVO</v>
          </cell>
          <cell r="BJ205" t="str">
            <v>INACTIVO</v>
          </cell>
          <cell r="BK205" t="str">
            <v>INACTIVO</v>
          </cell>
          <cell r="BL205" t="str">
            <v>INACTIVO</v>
          </cell>
          <cell r="BM205" t="str">
            <v>INACTIVO</v>
          </cell>
          <cell r="BN205" t="str">
            <v>INACTIVO</v>
          </cell>
          <cell r="BO205" t="str">
            <v>INACTIVO</v>
          </cell>
          <cell r="BP205" t="str">
            <v>INACTIVO</v>
          </cell>
          <cell r="BQ205" t="str">
            <v>INACTIVO</v>
          </cell>
          <cell r="BR205" t="str">
            <v>INACTIVO</v>
          </cell>
          <cell r="BS205" t="str">
            <v>INACTIVO</v>
          </cell>
          <cell r="BT205" t="str">
            <v>INACTIVO</v>
          </cell>
          <cell r="BU205" t="str">
            <v>INACTIVO</v>
          </cell>
          <cell r="BV205" t="str">
            <v>INACTIVO</v>
          </cell>
          <cell r="BW205" t="str">
            <v>BAJA</v>
          </cell>
          <cell r="BX205" t="str">
            <v>BAJA</v>
          </cell>
          <cell r="BY205" t="str">
            <v>BAJA</v>
          </cell>
          <cell r="BZ205" t="str">
            <v>BAJA</v>
          </cell>
          <cell r="CA205" t="str">
            <v>BAJA</v>
          </cell>
          <cell r="CB205" t="str">
            <v>BAJA</v>
          </cell>
          <cell r="CC205" t="str">
            <v>BAJA</v>
          </cell>
          <cell r="CD205" t="str">
            <v>BAJA</v>
          </cell>
          <cell r="CE205" t="str">
            <v>BAJA</v>
          </cell>
          <cell r="CF205" t="str">
            <v>BAJA</v>
          </cell>
          <cell r="CG205" t="str">
            <v>BAJA</v>
          </cell>
          <cell r="CH205" t="str">
            <v>BAJA</v>
          </cell>
          <cell r="CI205" t="str">
            <v>BAJA</v>
          </cell>
          <cell r="CJ205" t="str">
            <v>BAJA</v>
          </cell>
          <cell r="CK205" t="str">
            <v>BAJA</v>
          </cell>
          <cell r="CL205" t="str">
            <v>BAJA</v>
          </cell>
          <cell r="CM205" t="str">
            <v>BAJA</v>
          </cell>
          <cell r="CN205" t="str">
            <v>BAJA</v>
          </cell>
          <cell r="CO205" t="str">
            <v>BAJA</v>
          </cell>
          <cell r="CP205" t="str">
            <v>BAJA</v>
          </cell>
          <cell r="CQ205" t="str">
            <v>BAJA</v>
          </cell>
          <cell r="CR205" t="str">
            <v>BAJA</v>
          </cell>
          <cell r="CS205" t="str">
            <v>BAJA</v>
          </cell>
          <cell r="CT205" t="str">
            <v>BAJA</v>
          </cell>
          <cell r="CU205" t="str">
            <v>BAJA</v>
          </cell>
          <cell r="CV205" t="str">
            <v>BAJA</v>
          </cell>
          <cell r="CW205" t="str">
            <v>BAJA</v>
          </cell>
        </row>
        <row r="206">
          <cell r="D206" t="str">
            <v>GJC631</v>
          </cell>
          <cell r="E206" t="str">
            <v>Chasis</v>
          </cell>
          <cell r="F206" t="str">
            <v>Chasis</v>
          </cell>
          <cell r="G206" t="str">
            <v>Chasis</v>
          </cell>
          <cell r="N206" t="str">
            <v>CODYLSA</v>
          </cell>
          <cell r="O206" t="str">
            <v>CODYLSA</v>
          </cell>
          <cell r="P206" t="str">
            <v>No</v>
          </cell>
          <cell r="Q206" t="str">
            <v>Propio</v>
          </cell>
          <cell r="R206">
            <v>12</v>
          </cell>
          <cell r="S206" t="str">
            <v>Propio</v>
          </cell>
          <cell r="T206" t="str">
            <v>MERCEDES BENZ</v>
          </cell>
          <cell r="U206">
            <v>1624</v>
          </cell>
          <cell r="V206" t="str">
            <v>906973U0724555</v>
          </cell>
          <cell r="W206" t="str">
            <v>9BM6950107B530807</v>
          </cell>
          <cell r="X206">
            <v>2007</v>
          </cell>
          <cell r="Y206">
            <v>19</v>
          </cell>
          <cell r="Z206" t="str">
            <v>Danone Alianza</v>
          </cell>
          <cell r="AA206" t="str">
            <v>ADA_Mino - Danone Arg. S.A. - Mino</v>
          </cell>
          <cell r="AB206" t="str">
            <v>ADA_Mino - Danone Arg. S.A. - Mino</v>
          </cell>
          <cell r="AC206" t="str">
            <v>ADA_Mino - Danone Arg. S.A. - Mino</v>
          </cell>
          <cell r="AD206" t="str">
            <v>ADA_Mino - Danone Arg. S.A. - Mino</v>
          </cell>
          <cell r="AE206" t="str">
            <v>ADA_Mino - Danone Arg. S.A. - Mino</v>
          </cell>
          <cell r="AF206" t="str">
            <v>ADA_Mino - Danone Arg. S.A. - Mino</v>
          </cell>
          <cell r="AG206" t="str">
            <v>ADA_Mino - Danone Arg. S.A. - Mino</v>
          </cell>
          <cell r="AH206" t="str">
            <v>ADA_Mino - Danone Arg. S.A. - Mino</v>
          </cell>
          <cell r="AI206" t="str">
            <v>ADA_Mino - Danone Arg. S.A. - Mino</v>
          </cell>
          <cell r="AJ206" t="str">
            <v>ADA_Mino - Danone Arg. S.A. - Mino</v>
          </cell>
          <cell r="AK206" t="str">
            <v>ADA_Mino - Danone Arg. S.A. - Mino</v>
          </cell>
          <cell r="AL206" t="str">
            <v>ADA_Mino - Danone Arg. S.A. - Mino</v>
          </cell>
          <cell r="AM206" t="str">
            <v>ADA_Mino - Danone Arg. S.A. - Mino</v>
          </cell>
          <cell r="AN206" t="str">
            <v>ADA_Mino - Danone Arg. S.A. - Mino</v>
          </cell>
          <cell r="AO206" t="str">
            <v>ADA_Mino - Danone Arg. S.A. - Mino</v>
          </cell>
          <cell r="AP206" t="str">
            <v>ADA_Mino - Danone Arg. S.A. - Mino</v>
          </cell>
          <cell r="AQ206" t="str">
            <v>ADA_Mino - Danone Arg. S.A. - Mino</v>
          </cell>
          <cell r="AR206" t="str">
            <v>ADA_Mino - Danone Arg. S.A. - Mino</v>
          </cell>
          <cell r="AS206" t="str">
            <v>ADA_Mino - Danone Arg. S.A. - Mino</v>
          </cell>
          <cell r="AT206" t="str">
            <v>ADA_Mino - Danone Arg. S.A. - Mino</v>
          </cell>
          <cell r="AU206" t="str">
            <v>ADA_Mino - Danone Arg. S.A. - Mino</v>
          </cell>
          <cell r="AV206" t="str">
            <v>ADA_Mino - Danone Arg. S.A. - Mino</v>
          </cell>
          <cell r="AW206" t="str">
            <v>ADA_Mino - Danone Arg. S.A. - Mino</v>
          </cell>
          <cell r="AX206" t="str">
            <v>ADA_Mino - Danone Arg. S.A. - Mino</v>
          </cell>
          <cell r="AY206" t="str">
            <v>ADA_Mino - Danone Arg. S.A. - Mino</v>
          </cell>
          <cell r="AZ206" t="str">
            <v>ADA_Mino - Danone Arg. S.A. - Mino</v>
          </cell>
          <cell r="BA206" t="str">
            <v>ADA_Mino - Danone Arg. S.A. - Mino</v>
          </cell>
          <cell r="BB206" t="str">
            <v>ADA_Mino - Danone Arg. S.A. - Mino</v>
          </cell>
          <cell r="BC206" t="str">
            <v>ADA_Mino - Danone Arg. S.A. - Mino</v>
          </cell>
          <cell r="BD206" t="str">
            <v>ADA_Mino - Danone Arg. S.A. - Mino</v>
          </cell>
          <cell r="BE206" t="str">
            <v>ADA_Mino - Danone Arg. S.A. - Mino</v>
          </cell>
          <cell r="BF206" t="str">
            <v>ADA_Mino - Danone Arg. S.A. - Mino</v>
          </cell>
          <cell r="BG206" t="str">
            <v>ADA_Mino - Danone Arg. S.A. - Mino</v>
          </cell>
          <cell r="BH206" t="str">
            <v>ADA_Mino - Danone Arg. S.A. - Mino</v>
          </cell>
          <cell r="BI206" t="str">
            <v>ADA_Mino - Danone Arg. S.A. - Mino</v>
          </cell>
          <cell r="BJ206" t="str">
            <v>ADA_Mino - Danone Arg. S.A. - Mino</v>
          </cell>
          <cell r="BK206" t="str">
            <v>ADA_Mino - Danone Arg. S.A. - Mino</v>
          </cell>
          <cell r="BL206" t="str">
            <v>ADA_Mino - Danone Arg. S.A. - Mino</v>
          </cell>
          <cell r="BM206" t="str">
            <v>ADA_Mino - Danone Arg. S.A. - Mino</v>
          </cell>
          <cell r="BN206" t="str">
            <v>ADA_Mino - Danone Arg. S.A. - Mino</v>
          </cell>
          <cell r="BO206" t="str">
            <v>ADA_Mino - Danone Arg. S.A. - Mino</v>
          </cell>
          <cell r="BP206" t="str">
            <v>ADA_Mino - Danone Arg. S.A. - Mino</v>
          </cell>
          <cell r="BQ206" t="str">
            <v>ADA_Mino - Danone Arg. S.A. - Mino</v>
          </cell>
          <cell r="BR206" t="str">
            <v>ADA_Mino - Danone Arg. S.A. - Mino</v>
          </cell>
          <cell r="BS206" t="str">
            <v>ADA_Mino - Danone Arg. S.A. - Mino</v>
          </cell>
          <cell r="BT206" t="str">
            <v>ADA_Mino - Danone Arg. S.A. - Mino</v>
          </cell>
          <cell r="BU206" t="str">
            <v>CCUCoAZA</v>
          </cell>
          <cell r="BV206" t="str">
            <v>CCUCoAZA</v>
          </cell>
          <cell r="BW206" t="str">
            <v>CCUCoAZA</v>
          </cell>
          <cell r="BX206" t="str">
            <v>CCUCoAZA</v>
          </cell>
          <cell r="BY206" t="str">
            <v>CCUCoAZA</v>
          </cell>
          <cell r="BZ206" t="str">
            <v>CCUCoAZA</v>
          </cell>
          <cell r="CA206" t="str">
            <v>CCUCoAZA</v>
          </cell>
          <cell r="CB206" t="str">
            <v>CCUCoAZA</v>
          </cell>
          <cell r="CC206" t="str">
            <v>CCUCoAZA</v>
          </cell>
          <cell r="CD206" t="str">
            <v>CCUCoAZA</v>
          </cell>
          <cell r="CE206" t="str">
            <v>CCUCoAZA</v>
          </cell>
          <cell r="CF206" t="str">
            <v>CCUCoAZA</v>
          </cell>
          <cell r="CG206" t="str">
            <v>CCUCoAZA</v>
          </cell>
          <cell r="CH206" t="str">
            <v>CCUCoAZA</v>
          </cell>
          <cell r="CI206" t="str">
            <v>CCUCoAZA</v>
          </cell>
          <cell r="CJ206" t="str">
            <v>CCUCoAZA</v>
          </cell>
          <cell r="CK206" t="str">
            <v>CCUCoAZA</v>
          </cell>
          <cell r="CL206" t="str">
            <v>CCUCoAZA</v>
          </cell>
          <cell r="CM206" t="str">
            <v>CCUCoAZA</v>
          </cell>
          <cell r="CN206" t="str">
            <v>CCUCoAZA</v>
          </cell>
          <cell r="CO206" t="str">
            <v>CCUCoAZA</v>
          </cell>
          <cell r="CP206" t="str">
            <v>CCUCoAZA</v>
          </cell>
          <cell r="CQ206" t="str">
            <v>CCUCoAZA</v>
          </cell>
          <cell r="CR206" t="str">
            <v>CCUCoAZA</v>
          </cell>
          <cell r="CS206" t="str">
            <v>CCUCoAZA</v>
          </cell>
          <cell r="CT206" t="str">
            <v>CCUCoAZA</v>
          </cell>
          <cell r="CU206" t="str">
            <v>CCUCoAZA</v>
          </cell>
          <cell r="CV206" t="str">
            <v>CCUCoAZA</v>
          </cell>
          <cell r="CW206" t="str">
            <v>CCUCoAZA</v>
          </cell>
        </row>
        <row r="207">
          <cell r="D207" t="str">
            <v>GJC632</v>
          </cell>
          <cell r="E207" t="str">
            <v>Chasis</v>
          </cell>
          <cell r="F207" t="str">
            <v>Chasis</v>
          </cell>
          <cell r="G207" t="str">
            <v>Chasis</v>
          </cell>
          <cell r="N207" t="str">
            <v>CODYLSA</v>
          </cell>
          <cell r="O207" t="str">
            <v>CODYLSA</v>
          </cell>
          <cell r="P207" t="str">
            <v>No</v>
          </cell>
          <cell r="Q207" t="str">
            <v>Propio</v>
          </cell>
          <cell r="R207">
            <v>12</v>
          </cell>
          <cell r="S207" t="str">
            <v>Propio</v>
          </cell>
          <cell r="T207" t="str">
            <v>MERCEDES BENZ</v>
          </cell>
          <cell r="U207">
            <v>1624</v>
          </cell>
          <cell r="V207" t="str">
            <v>906973U0723154</v>
          </cell>
          <cell r="W207" t="str">
            <v>9BM6950107B529123</v>
          </cell>
          <cell r="X207">
            <v>2007</v>
          </cell>
          <cell r="Y207">
            <v>19</v>
          </cell>
          <cell r="Z207" t="str">
            <v>Danone Alianza</v>
          </cell>
          <cell r="AA207" t="str">
            <v>ADA_Mino - Danone Arg. S.A. - Mino</v>
          </cell>
          <cell r="AB207" t="str">
            <v>ADA_Mino - Danone Arg. S.A. - Mino</v>
          </cell>
          <cell r="AC207" t="str">
            <v>ADA_Mino - Danone Arg. S.A. - Mino</v>
          </cell>
          <cell r="AD207" t="str">
            <v>ADA_Mino - Danone Arg. S.A. - Mino</v>
          </cell>
          <cell r="AE207" t="str">
            <v>ADA_Mino - Danone Arg. S.A. - Mino</v>
          </cell>
          <cell r="AF207" t="str">
            <v>ADA_Mino - Danone Arg. S.A. - Mino</v>
          </cell>
          <cell r="AG207" t="str">
            <v>ADA_Mino - Danone Arg. S.A. - Mino</v>
          </cell>
          <cell r="AH207" t="str">
            <v>ADA_Mino - Danone Arg. S.A. - Mino</v>
          </cell>
          <cell r="AI207" t="str">
            <v>ADA_Mino - Danone Arg. S.A. - Mino</v>
          </cell>
          <cell r="AJ207" t="str">
            <v>ADA_Mino - Danone Arg. S.A. - Mino</v>
          </cell>
          <cell r="AK207" t="str">
            <v>ADA_Mino - Danone Arg. S.A. - Mino</v>
          </cell>
          <cell r="AL207" t="str">
            <v>ADA_Mino - Danone Arg. S.A. - Mino</v>
          </cell>
          <cell r="AM207" t="str">
            <v>ADA_Mino - Danone Arg. S.A. - Mino</v>
          </cell>
          <cell r="AN207" t="str">
            <v>ADA_Mino - Danone Arg. S.A. - Mino</v>
          </cell>
          <cell r="AO207" t="str">
            <v>ADA_Mino - Danone Arg. S.A. - Mino</v>
          </cell>
          <cell r="AP207" t="str">
            <v>ADA_Mino - Danone Arg. S.A. - Mino</v>
          </cell>
          <cell r="AQ207" t="str">
            <v>ADA_Mino - Danone Arg. S.A. - Mino</v>
          </cell>
          <cell r="AR207" t="str">
            <v>ADA_Mino - Danone Arg. S.A. - Mino</v>
          </cell>
          <cell r="AS207" t="str">
            <v>ADA_Mino - Danone Arg. S.A. - Mino</v>
          </cell>
          <cell r="AT207" t="str">
            <v>ADA_Mino - Danone Arg. S.A. - Mino</v>
          </cell>
          <cell r="AU207" t="str">
            <v>ADA_Mino - Danone Arg. S.A. - Mino</v>
          </cell>
          <cell r="AV207" t="str">
            <v>ADA_Mino - Danone Arg. S.A. - Mino</v>
          </cell>
          <cell r="AW207" t="str">
            <v>ADA_Mino - Danone Arg. S.A. - Mino</v>
          </cell>
          <cell r="AX207" t="str">
            <v>ADA_Mino - Danone Arg. S.A. - Mino</v>
          </cell>
          <cell r="AY207" t="str">
            <v>ADA_Mino - Danone Arg. S.A. - Mino</v>
          </cell>
          <cell r="AZ207" t="str">
            <v>ADA_Mino - Danone Arg. S.A. - Mino</v>
          </cell>
          <cell r="BA207" t="str">
            <v>ADA_Mino - Danone Arg. S.A. - Mino</v>
          </cell>
          <cell r="BB207" t="str">
            <v>ADA_Mino - Danone Arg. S.A. - Mino</v>
          </cell>
          <cell r="BC207" t="str">
            <v>ADA_Mino - Danone Arg. S.A. - Mino</v>
          </cell>
          <cell r="BD207" t="str">
            <v>ADA_Mino - Danone Arg. S.A. - Mino</v>
          </cell>
          <cell r="BE207" t="str">
            <v>ADA_Mino - Danone Arg. S.A. - Mino</v>
          </cell>
          <cell r="BF207" t="str">
            <v>ADA_Mino - Danone Arg. S.A. - Mino</v>
          </cell>
          <cell r="BG207" t="str">
            <v>ADA_Mino - Danone Arg. S.A. - Mino</v>
          </cell>
          <cell r="BH207" t="str">
            <v>ADA_Mino - Danone Arg. S.A. - Mino</v>
          </cell>
          <cell r="BI207" t="str">
            <v>ADA_Mino - Danone Arg. S.A. - Mino</v>
          </cell>
          <cell r="BJ207" t="str">
            <v>ADA_Mino - Danone Arg. S.A. - Mino</v>
          </cell>
          <cell r="BK207" t="str">
            <v>ADA_Mino - Danone Arg. S.A. - Mino</v>
          </cell>
          <cell r="BL207" t="str">
            <v>ADA_Mino - Danone Arg. S.A. - Mino</v>
          </cell>
          <cell r="BM207" t="str">
            <v>ADA_Mino - Danone Arg. S.A. - Mino</v>
          </cell>
          <cell r="BN207" t="str">
            <v>ADA_Mino - Danone Arg. S.A. - Mino</v>
          </cell>
          <cell r="BO207" t="str">
            <v>ADA_Mino - Danone Arg. S.A. - Mino</v>
          </cell>
          <cell r="BP207" t="str">
            <v>ADA_Mino - Danone Arg. S.A. - Mino</v>
          </cell>
          <cell r="BQ207" t="str">
            <v>Papelera - Papelera del Plata S.A.</v>
          </cell>
          <cell r="BR207" t="str">
            <v>Papelera - Papelera del Plata S.A.</v>
          </cell>
          <cell r="BS207" t="str">
            <v>Papelera - Papelera del Plata S.A.</v>
          </cell>
          <cell r="BT207" t="str">
            <v>Papelera - Papelera del Plata S.A.</v>
          </cell>
          <cell r="BU207" t="str">
            <v>Papelera - Papelera del Plata S.A.</v>
          </cell>
          <cell r="BV207" t="str">
            <v>Papelera - Papelera del Plata S.A.</v>
          </cell>
          <cell r="BW207" t="str">
            <v>Papelera - Papelera del Plata S.A.</v>
          </cell>
          <cell r="BX207" t="str">
            <v>Papelera - Papelera del Plata S.A.</v>
          </cell>
          <cell r="BY207" t="str">
            <v>Papelera - Papelera del Plata S.A.</v>
          </cell>
          <cell r="BZ207" t="str">
            <v>Papelera - Papelera del Plata S.A.</v>
          </cell>
          <cell r="CA207" t="str">
            <v>Papelera - Papelera del Plata S.A.</v>
          </cell>
          <cell r="CB207" t="str">
            <v>Papelera - Papelera del Plata S.A.</v>
          </cell>
          <cell r="CC207" t="str">
            <v>Papelera - Papelera del Plata S.A.</v>
          </cell>
          <cell r="CD207" t="str">
            <v>Papelera - Papelera del Plata S.A.</v>
          </cell>
          <cell r="CE207" t="str">
            <v>Papelera - Papelera del Plata S.A.</v>
          </cell>
          <cell r="CF207" t="str">
            <v>Papelera - Papelera del Plata S.A.</v>
          </cell>
          <cell r="CG207" t="str">
            <v>Papelera - Papelera del Plata S.A.</v>
          </cell>
          <cell r="CH207" t="str">
            <v>Cook Master</v>
          </cell>
          <cell r="CI207" t="str">
            <v>Cook Master</v>
          </cell>
          <cell r="CJ207" t="str">
            <v>Topacio</v>
          </cell>
          <cell r="CK207" t="str">
            <v>Topacio</v>
          </cell>
          <cell r="CL207" t="str">
            <v>Topacio</v>
          </cell>
          <cell r="CM207" t="str">
            <v>Unilever - Unilever de Arg. S.A.</v>
          </cell>
          <cell r="CN207" t="str">
            <v>Topacio</v>
          </cell>
          <cell r="CO207" t="str">
            <v>Papelera - Papelera del Plata S.A.</v>
          </cell>
          <cell r="CP207" t="str">
            <v>Topacio</v>
          </cell>
          <cell r="CQ207" t="str">
            <v>Topacio</v>
          </cell>
          <cell r="CR207" t="str">
            <v>Topacio</v>
          </cell>
          <cell r="CS207" t="str">
            <v>Topacio</v>
          </cell>
          <cell r="CT207" t="str">
            <v>Topacio</v>
          </cell>
          <cell r="CU207" t="str">
            <v>Topacio</v>
          </cell>
          <cell r="CV207" t="str">
            <v>Topacio</v>
          </cell>
          <cell r="CW207" t="str">
            <v>Topacio</v>
          </cell>
        </row>
        <row r="208">
          <cell r="D208" t="str">
            <v>GJQ542</v>
          </cell>
          <cell r="E208" t="str">
            <v>Chasis</v>
          </cell>
          <cell r="F208">
            <v>0</v>
          </cell>
          <cell r="G208" t="str">
            <v>Chasis</v>
          </cell>
          <cell r="N208" t="str">
            <v>CABA ALBERTO ANTONIO</v>
          </cell>
          <cell r="O208" t="str">
            <v>CABA ALBERTO ANTONIO</v>
          </cell>
          <cell r="P208" t="str">
            <v>No</v>
          </cell>
          <cell r="Q208" t="str">
            <v>De Tercero</v>
          </cell>
          <cell r="R208" t="str">
            <v>-</v>
          </cell>
          <cell r="S208" t="str">
            <v>De Tercero</v>
          </cell>
          <cell r="T208" t="str">
            <v>FORD</v>
          </cell>
          <cell r="U208" t="str">
            <v>CARGO 1517</v>
          </cell>
          <cell r="V208">
            <v>2007</v>
          </cell>
          <cell r="W208">
            <v>19</v>
          </cell>
          <cell r="X208">
            <v>2007</v>
          </cell>
          <cell r="Y208">
            <v>19</v>
          </cell>
          <cell r="Z208" t="str">
            <v xml:space="preserve">Aguanort </v>
          </cell>
          <cell r="AA208" t="str">
            <v>AGN_TTE - AGUANORT - Transporte</v>
          </cell>
          <cell r="AB208" t="str">
            <v>AGN_TTE - AGUANORT - Transporte</v>
          </cell>
          <cell r="AC208" t="str">
            <v>AGN_TTE - AGUANORT - Transporte</v>
          </cell>
          <cell r="AD208" t="str">
            <v>AGN_TTE - AGUANORT - Transporte</v>
          </cell>
          <cell r="AE208" t="str">
            <v>AGN_TTE - AGUANORT - Transporte</v>
          </cell>
          <cell r="AF208" t="str">
            <v>AGN_TTE - AGUANORT - Transporte</v>
          </cell>
          <cell r="AG208" t="str">
            <v>AGN_TTE - AGUANORT - Transporte</v>
          </cell>
          <cell r="AH208" t="str">
            <v>AGN_TTE - AGUANORT - Transporte</v>
          </cell>
          <cell r="AI208" t="str">
            <v>AGN_TTE - AGUANORT - Transporte</v>
          </cell>
          <cell r="AJ208" t="str">
            <v>AGN_TTE - AGUANORT - Transporte</v>
          </cell>
          <cell r="AK208" t="str">
            <v>AGN_TTE - AGUANORT - Transporte</v>
          </cell>
          <cell r="AL208" t="str">
            <v>AGN_TTE - AGUANORT - Transporte</v>
          </cell>
          <cell r="AM208" t="str">
            <v>AGN_TTE - AGUANORT - Transporte</v>
          </cell>
          <cell r="AN208" t="str">
            <v>AGN_TTE - AGUANORT - Transporte</v>
          </cell>
          <cell r="AO208" t="str">
            <v>AGN_TTE - AGUANORT - Transporte</v>
          </cell>
          <cell r="AP208" t="str">
            <v>AGN_TTE - AGUANORT - Transporte</v>
          </cell>
          <cell r="AQ208" t="str">
            <v>AGN_TTE - AGUANORT - Transporte</v>
          </cell>
          <cell r="AR208" t="str">
            <v>AGN_TTE - AGUANORT - Transporte</v>
          </cell>
          <cell r="AS208" t="str">
            <v>AGN_TTE - AGUANORT - Transporte</v>
          </cell>
          <cell r="AT208" t="str">
            <v>AGN_TTE - AGUANORT - Transporte</v>
          </cell>
          <cell r="AU208" t="str">
            <v>AGN_TTE - AGUANORT - Transporte</v>
          </cell>
          <cell r="AV208" t="str">
            <v>AGN_TTE - AGUANORT - Transporte</v>
          </cell>
          <cell r="AW208" t="str">
            <v>AGN_TTE - AGUANORT - Transporte</v>
          </cell>
          <cell r="AX208" t="str">
            <v>AGN_TTE - AGUANORT - Transporte</v>
          </cell>
          <cell r="AY208" t="str">
            <v>AGN_TTE - AGUANORT - Transporte</v>
          </cell>
          <cell r="AZ208" t="str">
            <v>AGN_TTE - AGUANORT - Transporte</v>
          </cell>
          <cell r="BA208" t="str">
            <v>AGN_TTE - AGUANORT - Transporte</v>
          </cell>
          <cell r="BB208" t="str">
            <v>AGN_TTE - AGUANORT - Transporte</v>
          </cell>
          <cell r="BC208" t="str">
            <v>AGN_TTE - AGUANORT - Transporte</v>
          </cell>
          <cell r="BD208" t="str">
            <v>AGN_TTE - AGUANORT - Transporte</v>
          </cell>
          <cell r="BE208" t="str">
            <v>AGN_TTE - AGUANORT - Transporte</v>
          </cell>
          <cell r="BF208" t="str">
            <v>AGN_TTE - AGUANORT - Transporte</v>
          </cell>
          <cell r="BG208" t="str">
            <v>AGN_TTE - AGUANORT - Transporte</v>
          </cell>
          <cell r="BH208" t="str">
            <v>AGN_TTE - AGUANORT - Transporte</v>
          </cell>
          <cell r="BI208" t="str">
            <v>AGN_TTE - AGUANORT - Transporte</v>
          </cell>
          <cell r="BJ208" t="str">
            <v>AGN_TTE - AGUANORT - Transporte</v>
          </cell>
          <cell r="BK208" t="str">
            <v>AGN_TTE - AGUANORT - Transporte</v>
          </cell>
          <cell r="BL208" t="str">
            <v>AGN_TTE - AGUANORT - Transporte</v>
          </cell>
          <cell r="BM208" t="str">
            <v>AGN_TTE - AGUANORT - Transporte</v>
          </cell>
          <cell r="BN208" t="str">
            <v>AGN_TTE - AGUANORT - Transporte</v>
          </cell>
          <cell r="BO208" t="str">
            <v>AGN_TTE - AGUANORT - Transporte</v>
          </cell>
          <cell r="BP208" t="str">
            <v>AGN_TTE - AGUANORT - Transporte</v>
          </cell>
          <cell r="BQ208" t="str">
            <v>AGN_TTE - AGUANORT - Transporte</v>
          </cell>
          <cell r="BR208" t="str">
            <v>AGN_TTE - AGUANORT - Transporte</v>
          </cell>
          <cell r="BS208" t="str">
            <v>AGN_TTE - AGUANORT - Transporte</v>
          </cell>
          <cell r="BT208" t="str">
            <v>AGN_TTE - AGUANORT - Transporte</v>
          </cell>
          <cell r="BU208" t="str">
            <v>Sin Operación</v>
          </cell>
          <cell r="BV208" t="str">
            <v>AGN_TTE - AGUANORT - Transporte</v>
          </cell>
          <cell r="BW208" t="str">
            <v>AGN_TTE - AGUANORT - Transporte</v>
          </cell>
          <cell r="BX208" t="str">
            <v>AGN_TTE - AGUANORT - Transporte</v>
          </cell>
          <cell r="BY208" t="str">
            <v>AGN_TTE - AGUANORT - Transporte</v>
          </cell>
          <cell r="BZ208" t="str">
            <v>AGN_TTE - AGUANORT - Transporte</v>
          </cell>
          <cell r="CA208" t="str">
            <v>AGN_TTE - AGUANORT - Transporte</v>
          </cell>
          <cell r="CB208" t="str">
            <v>AGN_TTE - AGUANORT - Transporte</v>
          </cell>
          <cell r="CC208" t="str">
            <v>AGN_TTE - AGUANORT - Transporte</v>
          </cell>
          <cell r="CD208" t="str">
            <v>AGN_TTE - AGUANORT - Transporte</v>
          </cell>
          <cell r="CE208" t="str">
            <v>AGN_TTE - AGUANORT - Transporte</v>
          </cell>
          <cell r="CF208" t="str">
            <v>AGN_TTE - AGUANORT - Transporte</v>
          </cell>
          <cell r="CG208" t="str">
            <v>AGN_TTE - AGUANORT - Transporte</v>
          </cell>
          <cell r="CH208" t="str">
            <v>AGN_TTE - AGUANORT - Transporte</v>
          </cell>
          <cell r="CI208" t="str">
            <v>AGN_TTE - AGUANORT - Transporte</v>
          </cell>
          <cell r="CJ208" t="str">
            <v>AGN_TTE - AGUANORT - Transporte</v>
          </cell>
          <cell r="CK208" t="str">
            <v>AGN_TTE - AGUANORT - Transporte</v>
          </cell>
          <cell r="CL208" t="str">
            <v>AGN_TTE - AGUANORT - Transporte</v>
          </cell>
          <cell r="CM208" t="str">
            <v>AGN_TTE - AGUANORT - Transporte</v>
          </cell>
          <cell r="CN208" t="str">
            <v>AGN_TTE - AGUANORT - Transporte</v>
          </cell>
          <cell r="CO208" t="str">
            <v>AGN_TTE - AGUANORT - Transporte</v>
          </cell>
          <cell r="CP208" t="str">
            <v>AGN_TTE - AGUANORT - Transporte</v>
          </cell>
          <cell r="CQ208" t="str">
            <v>AGN_TTE - AGUANORT - Transporte</v>
          </cell>
          <cell r="CR208" t="str">
            <v>AGN_TTE - AGUANORT - Transporte</v>
          </cell>
          <cell r="CS208" t="str">
            <v>AGN_TTE - AGUANORT - Transporte</v>
          </cell>
          <cell r="CT208" t="str">
            <v>AGN_TTE - AGUANORT - Transporte</v>
          </cell>
          <cell r="CU208" t="str">
            <v>AGN_TTE - AGUANORT - Transporte</v>
          </cell>
          <cell r="CV208" t="str">
            <v>AGN_TTE - AGUANORT - Transporte</v>
          </cell>
          <cell r="CW208" t="str">
            <v>AGN_TTE - AGUANORT - Transporte</v>
          </cell>
        </row>
        <row r="209">
          <cell r="D209" t="str">
            <v>GJQ543</v>
          </cell>
          <cell r="E209" t="str">
            <v>Chasis</v>
          </cell>
          <cell r="F209">
            <v>0</v>
          </cell>
          <cell r="G209" t="str">
            <v>Chasis</v>
          </cell>
          <cell r="N209" t="str">
            <v>CABA ALBERTO ANTONIO</v>
          </cell>
          <cell r="O209" t="str">
            <v>CABA ALBERTO ANTONIO</v>
          </cell>
          <cell r="P209" t="str">
            <v>No</v>
          </cell>
          <cell r="Q209" t="str">
            <v>De Tercero</v>
          </cell>
          <cell r="R209" t="str">
            <v>-</v>
          </cell>
          <cell r="S209" t="str">
            <v>De Tercero</v>
          </cell>
          <cell r="T209" t="str">
            <v>FORD</v>
          </cell>
          <cell r="U209" t="str">
            <v>CARGO 1517</v>
          </cell>
          <cell r="V209">
            <v>2007</v>
          </cell>
          <cell r="W209">
            <v>19</v>
          </cell>
          <cell r="X209">
            <v>2007</v>
          </cell>
          <cell r="Y209">
            <v>19</v>
          </cell>
          <cell r="Z209" t="str">
            <v xml:space="preserve">Aguanort </v>
          </cell>
          <cell r="AA209" t="str">
            <v>AGN_TTE - AGUANORT - Transporte</v>
          </cell>
          <cell r="AB209" t="str">
            <v>AGN_TTE - AGUANORT - Transporte</v>
          </cell>
          <cell r="AC209" t="str">
            <v>AGN_TTE - AGUANORT - Transporte</v>
          </cell>
          <cell r="AD209" t="str">
            <v>AGN_TTE - AGUANORT - Transporte</v>
          </cell>
          <cell r="AE209" t="str">
            <v>AGN_TTE - AGUANORT - Transporte</v>
          </cell>
          <cell r="AF209" t="str">
            <v>AGN_TTE - AGUANORT - Transporte</v>
          </cell>
          <cell r="AG209" t="str">
            <v>AGN_TTE - AGUANORT - Transporte</v>
          </cell>
          <cell r="AH209" t="str">
            <v>AGN_TTE - AGUANORT - Transporte</v>
          </cell>
          <cell r="AI209" t="str">
            <v>AGN_TTE - AGUANORT - Transporte</v>
          </cell>
          <cell r="AJ209" t="str">
            <v>AGN_TTE - AGUANORT - Transporte</v>
          </cell>
          <cell r="AK209" t="str">
            <v>AGN_TTE - AGUANORT - Transporte</v>
          </cell>
          <cell r="AL209" t="str">
            <v>AGN_TTE - AGUANORT - Transporte</v>
          </cell>
          <cell r="AM209" t="str">
            <v>AGN_TTE - AGUANORT - Transporte</v>
          </cell>
          <cell r="AN209" t="str">
            <v>AGN_TTE - AGUANORT - Transporte</v>
          </cell>
          <cell r="AO209" t="str">
            <v>AGN_TTE - AGUANORT - Transporte</v>
          </cell>
          <cell r="AP209" t="str">
            <v>AGN_TTE - AGUANORT - Transporte</v>
          </cell>
          <cell r="AQ209" t="str">
            <v>AGN_TTE - AGUANORT - Transporte</v>
          </cell>
          <cell r="AR209" t="str">
            <v>AGN_TTE - AGUANORT - Transporte</v>
          </cell>
          <cell r="AS209" t="str">
            <v>AGN_TTE - AGUANORT - Transporte</v>
          </cell>
          <cell r="AT209" t="str">
            <v>AGN_TTE - AGUANORT - Transporte</v>
          </cell>
          <cell r="AU209" t="str">
            <v>AGN_TTE - AGUANORT - Transporte</v>
          </cell>
          <cell r="AV209" t="str">
            <v>AGN_TTE - AGUANORT - Transporte</v>
          </cell>
          <cell r="AW209" t="str">
            <v>AGN_TTE - AGUANORT - Transporte</v>
          </cell>
          <cell r="AX209" t="str">
            <v>AGN_TTE - AGUANORT - Transporte</v>
          </cell>
          <cell r="AY209" t="str">
            <v>AGN_TTE - AGUANORT - Transporte</v>
          </cell>
          <cell r="AZ209" t="str">
            <v>AGN_TTE - AGUANORT - Transporte</v>
          </cell>
          <cell r="BA209" t="str">
            <v>AGN_TTE - AGUANORT - Transporte</v>
          </cell>
          <cell r="BB209" t="str">
            <v>AGN_TTE - AGUANORT - Transporte</v>
          </cell>
          <cell r="BC209" t="str">
            <v>AGN_TTE - AGUANORT - Transporte</v>
          </cell>
          <cell r="BD209" t="str">
            <v>AGN_TTE - AGUANORT - Transporte</v>
          </cell>
          <cell r="BE209" t="str">
            <v>AGN_TTE - AGUANORT - Transporte</v>
          </cell>
          <cell r="BF209" t="str">
            <v>AGN_TTE - AGUANORT - Transporte</v>
          </cell>
          <cell r="BG209" t="str">
            <v>AGN_TTE - AGUANORT - Transporte</v>
          </cell>
          <cell r="BH209" t="str">
            <v>AGN_TTE - AGUANORT - Transporte</v>
          </cell>
          <cell r="BI209" t="str">
            <v>AGN_TTE - AGUANORT - Transporte</v>
          </cell>
          <cell r="BJ209" t="str">
            <v>AGN_TTE - AGUANORT - Transporte</v>
          </cell>
          <cell r="BK209" t="str">
            <v>AGN_TTE - AGUANORT - Transporte</v>
          </cell>
          <cell r="BL209" t="str">
            <v>AGN_TTE - AGUANORT - Transporte</v>
          </cell>
          <cell r="BM209" t="str">
            <v>AGN_TTE - AGUANORT - Transporte</v>
          </cell>
          <cell r="BN209" t="str">
            <v>AGN_TTE - AGUANORT - Transporte</v>
          </cell>
          <cell r="BO209" t="str">
            <v>AGN_TTE - AGUANORT - Transporte</v>
          </cell>
          <cell r="BP209" t="str">
            <v>AGN_TTE - AGUANORT - Transporte</v>
          </cell>
          <cell r="BQ209" t="str">
            <v>AGN_TTE - AGUANORT - Transporte</v>
          </cell>
          <cell r="BR209" t="str">
            <v>AGN_TTE - AGUANORT - Transporte</v>
          </cell>
          <cell r="BS209" t="str">
            <v>AGN_TTE - AGUANORT - Transporte</v>
          </cell>
          <cell r="BT209" t="str">
            <v>AGN_TTE - AGUANORT - Transporte</v>
          </cell>
          <cell r="BU209" t="str">
            <v>Sin Operación</v>
          </cell>
          <cell r="BV209" t="str">
            <v>AGN_TTE - AGUANORT - Transporte</v>
          </cell>
          <cell r="BW209" t="str">
            <v>AGN_TTE - AGUANORT - Transporte</v>
          </cell>
          <cell r="BX209" t="str">
            <v>AGN_TTE - AGUANORT - Transporte</v>
          </cell>
          <cell r="BY209" t="str">
            <v>AGN_TTE - AGUANORT - Transporte</v>
          </cell>
          <cell r="BZ209" t="str">
            <v>AGN_TTE - AGUANORT - Transporte</v>
          </cell>
          <cell r="CA209" t="str">
            <v>AGN_TTE - AGUANORT - Transporte</v>
          </cell>
          <cell r="CB209" t="str">
            <v>AGN_TTE - AGUANORT - Transporte</v>
          </cell>
          <cell r="CC209" t="str">
            <v>AGN_TTE - AGUANORT - Transporte</v>
          </cell>
          <cell r="CD209" t="str">
            <v>AGN_TTE - AGUANORT - Transporte</v>
          </cell>
          <cell r="CE209" t="str">
            <v>AGN_TTE - AGUANORT - Transporte</v>
          </cell>
          <cell r="CF209" t="str">
            <v>AGN_TTE - AGUANORT - Transporte</v>
          </cell>
          <cell r="CG209" t="str">
            <v>AGN_TTE - AGUANORT - Transporte</v>
          </cell>
          <cell r="CH209" t="str">
            <v>AGN_TTE - AGUANORT - Transporte</v>
          </cell>
          <cell r="CI209" t="str">
            <v>AGN_TTE - AGUANORT - Transporte</v>
          </cell>
          <cell r="CJ209" t="str">
            <v>AGN_TTE - AGUANORT - Transporte</v>
          </cell>
          <cell r="CK209" t="str">
            <v>AGN_TTE - AGUANORT - Transporte</v>
          </cell>
          <cell r="CL209" t="str">
            <v>AGN_TTE - AGUANORT - Transporte</v>
          </cell>
          <cell r="CM209" t="str">
            <v>AGN_TTE - AGUANORT - Transporte</v>
          </cell>
          <cell r="CN209" t="str">
            <v>AGN_TTE - AGUANORT - Transporte</v>
          </cell>
          <cell r="CO209" t="str">
            <v>AGN_TTE - AGUANORT - Transporte</v>
          </cell>
          <cell r="CP209" t="str">
            <v>AGN_TTE - AGUANORT - Transporte</v>
          </cell>
          <cell r="CQ209" t="str">
            <v>AGN_TTE - AGUANORT - Transporte</v>
          </cell>
          <cell r="CR209" t="str">
            <v>AGN_TTE - AGUANORT - Transporte</v>
          </cell>
          <cell r="CS209" t="str">
            <v>AGN_TTE - AGUANORT - Transporte</v>
          </cell>
          <cell r="CT209" t="str">
            <v>AGN_TTE - AGUANORT - Transporte</v>
          </cell>
          <cell r="CU209" t="str">
            <v>AGN_TTE - AGUANORT - Transporte</v>
          </cell>
          <cell r="CV209" t="str">
            <v>AGN_TTE - AGUANORT - Transporte</v>
          </cell>
          <cell r="CW209" t="str">
            <v>AGN_TTE - AGUANORT - Transporte</v>
          </cell>
        </row>
        <row r="210">
          <cell r="D210" t="str">
            <v>GJQ699</v>
          </cell>
          <cell r="E210" t="str">
            <v>Chasis</v>
          </cell>
          <cell r="F210" t="str">
            <v>Chasis</v>
          </cell>
          <cell r="G210" t="str">
            <v>Chasis</v>
          </cell>
          <cell r="N210" t="str">
            <v>CODYLSA</v>
          </cell>
          <cell r="O210" t="str">
            <v>CODYLSA</v>
          </cell>
          <cell r="P210" t="str">
            <v>No</v>
          </cell>
          <cell r="Q210" t="str">
            <v>Propio</v>
          </cell>
          <cell r="R210">
            <v>12</v>
          </cell>
          <cell r="S210" t="str">
            <v>Propio</v>
          </cell>
          <cell r="T210" t="str">
            <v>MERCEDES BENZ</v>
          </cell>
          <cell r="U210">
            <v>1624</v>
          </cell>
          <cell r="V210" t="str">
            <v>906973U0724346</v>
          </cell>
          <cell r="W210" t="str">
            <v>9BM6950107B530509</v>
          </cell>
          <cell r="X210">
            <v>2007</v>
          </cell>
          <cell r="Y210">
            <v>19</v>
          </cell>
          <cell r="Z210" t="str">
            <v>Danone Oeste</v>
          </cell>
          <cell r="AA210" t="str">
            <v>AdaMinZO - Danone Minorista Zona Oeste</v>
          </cell>
          <cell r="AB210" t="str">
            <v>AdaMinZO - Danone Minorista Zona Oeste</v>
          </cell>
          <cell r="AC210" t="str">
            <v>AdaMinZO - Danone Minorista Zona Oeste</v>
          </cell>
          <cell r="AD210" t="str">
            <v>AdaMinZO - Danone Minorista Zona Oeste</v>
          </cell>
          <cell r="AE210" t="str">
            <v>AdaMinZO - Danone Minorista Zona Oeste</v>
          </cell>
          <cell r="AF210" t="str">
            <v>AdaMinZO - Danone Minorista Zona Oeste</v>
          </cell>
          <cell r="AG210" t="str">
            <v>AdaMinZO - Danone Minorista Zona Oeste</v>
          </cell>
          <cell r="AH210" t="str">
            <v>AdaMinZO - Danone Minorista Zona Oeste</v>
          </cell>
          <cell r="AI210" t="str">
            <v>AdaMinZO - Danone Minorista Zona Oeste</v>
          </cell>
          <cell r="AJ210" t="str">
            <v>AdaMinZO - Danone Minorista Zona Oeste</v>
          </cell>
          <cell r="AK210" t="str">
            <v>AdaMinZO - Danone Minorista Zona Oeste</v>
          </cell>
          <cell r="AL210" t="str">
            <v>AdaMinZO - Danone Minorista Zona Oeste</v>
          </cell>
          <cell r="AM210" t="str">
            <v>AdaMinZO - Danone Minorista Zona Oeste</v>
          </cell>
          <cell r="AN210" t="str">
            <v>AdaMinZO - Danone Minorista Zona Oeste</v>
          </cell>
          <cell r="AO210" t="str">
            <v>AdaMinZO - Danone Minorista Zona Oeste</v>
          </cell>
          <cell r="AP210" t="str">
            <v>AdaMinZO - Danone Minorista Zona Oeste</v>
          </cell>
          <cell r="AQ210" t="str">
            <v>AdaMinZO - Danone Minorista Zona Oeste</v>
          </cell>
          <cell r="AR210" t="str">
            <v>AdaMinZO - Danone Minorista Zona Oeste</v>
          </cell>
          <cell r="AS210" t="str">
            <v>AdaMinZO - Danone Minorista Zona Oeste</v>
          </cell>
          <cell r="AT210" t="str">
            <v>AdaMinZO - Danone Minorista Zona Oeste</v>
          </cell>
          <cell r="AU210" t="str">
            <v>AdaMinZO - Danone Minorista Zona Oeste</v>
          </cell>
          <cell r="AV210" t="str">
            <v>AdaMinZO - Danone Minorista Zona Oeste</v>
          </cell>
          <cell r="AW210" t="str">
            <v>AdaMinZO - Danone Minorista Zona Oeste</v>
          </cell>
          <cell r="AX210" t="str">
            <v>AdaMinZO - Danone Minorista Zona Oeste</v>
          </cell>
          <cell r="AY210" t="str">
            <v>AdaMinZO - Danone Minorista Zona Oeste</v>
          </cell>
          <cell r="AZ210" t="str">
            <v>AdaMinZO - Danone Minorista Zona Oeste</v>
          </cell>
          <cell r="BA210" t="str">
            <v>AdaMinZO - Danone Minorista Zona Oeste</v>
          </cell>
          <cell r="BB210" t="str">
            <v>AdaMinZO - Danone Minorista Zona Oeste</v>
          </cell>
          <cell r="BC210" t="str">
            <v>AdaMinZO - Danone Minorista Zona Oeste</v>
          </cell>
          <cell r="BD210" t="str">
            <v>AdaMinZO - Danone Minorista Zona Oeste</v>
          </cell>
          <cell r="BE210" t="str">
            <v>AdaMinZO - Danone Minorista Zona Oeste</v>
          </cell>
          <cell r="BF210" t="str">
            <v>AdaMinZO - Danone Minorista Zona Oeste</v>
          </cell>
          <cell r="BG210" t="str">
            <v>AdaMinZO - Danone Minorista Zona Oeste</v>
          </cell>
          <cell r="BH210" t="str">
            <v>AdaMinZO - Danone Minorista Zona Oeste</v>
          </cell>
          <cell r="BI210" t="str">
            <v>AdaMinZO - Danone Minorista Zona Oeste</v>
          </cell>
          <cell r="BJ210" t="str">
            <v>AdaMinZO - Danone Minorista Zona Oeste</v>
          </cell>
          <cell r="BK210" t="str">
            <v>AdaMinZO - Danone Minorista Zona Oeste</v>
          </cell>
          <cell r="BL210" t="str">
            <v>AdaMinZO - Danone Minorista Zona Oeste</v>
          </cell>
          <cell r="BM210" t="str">
            <v>AdaMinZO - Danone Minorista Zona Oeste</v>
          </cell>
          <cell r="BN210" t="str">
            <v>AdaMinZO - Danone Minorista Zona Oeste</v>
          </cell>
          <cell r="BO210" t="str">
            <v>AdaMinZO - Danone Minorista Zona Oeste</v>
          </cell>
          <cell r="BP210" t="str">
            <v>AdaMinZO - Danone Minorista Zona Oeste</v>
          </cell>
          <cell r="BQ210" t="str">
            <v>AdaMinZO - Danone Minorista Zona Oeste</v>
          </cell>
          <cell r="BR210" t="str">
            <v>AdaMinZO - Danone Minorista Zona Oeste</v>
          </cell>
          <cell r="BS210" t="str">
            <v>ADA_SMK - Danone Arg. S.A. - SMK</v>
          </cell>
          <cell r="BT210" t="str">
            <v>ADA_SMK - Danone Arg. S.A. - SMK</v>
          </cell>
          <cell r="BU210" t="str">
            <v>CCUDyAZA</v>
          </cell>
          <cell r="BV210" t="str">
            <v>CCUDyAZA</v>
          </cell>
          <cell r="BW210" t="str">
            <v>CCUDyAZA</v>
          </cell>
          <cell r="BX210" t="str">
            <v>CCUDyAZA</v>
          </cell>
          <cell r="BY210" t="str">
            <v>CCUDyAZA</v>
          </cell>
          <cell r="BZ210" t="str">
            <v>CCUDyAZA</v>
          </cell>
          <cell r="CA210" t="str">
            <v>CCUDyAZA</v>
          </cell>
          <cell r="CB210" t="str">
            <v>CCUDyAZA</v>
          </cell>
          <cell r="CC210" t="str">
            <v>CCUDyAZA</v>
          </cell>
          <cell r="CD210" t="str">
            <v>CCUDyAZA</v>
          </cell>
          <cell r="CE210" t="str">
            <v>CCUDyAZA</v>
          </cell>
          <cell r="CF210" t="str">
            <v>CCUDyAZA</v>
          </cell>
          <cell r="CG210" t="str">
            <v>CCUDyAZA</v>
          </cell>
          <cell r="CH210" t="str">
            <v>CCUDyAZA</v>
          </cell>
          <cell r="CI210" t="str">
            <v>CCUDyAZA</v>
          </cell>
          <cell r="CJ210" t="str">
            <v>CCUDyAZA</v>
          </cell>
          <cell r="CK210" t="str">
            <v>CCUDyAZA</v>
          </cell>
          <cell r="CL210" t="str">
            <v>CCUDyAZA</v>
          </cell>
          <cell r="CM210" t="str">
            <v>CCUDyAZA</v>
          </cell>
          <cell r="CN210" t="str">
            <v>CCUDyAZA</v>
          </cell>
          <cell r="CO210" t="str">
            <v>CCUDyAZA</v>
          </cell>
          <cell r="CP210" t="str">
            <v>CCUDyAZA</v>
          </cell>
          <cell r="CQ210" t="str">
            <v>CCUDyAZA</v>
          </cell>
          <cell r="CR210" t="str">
            <v>CCUDyAZA</v>
          </cell>
          <cell r="CS210" t="str">
            <v>CCUDyAZA</v>
          </cell>
          <cell r="CT210" t="str">
            <v>CCUDyAZA</v>
          </cell>
          <cell r="CU210" t="str">
            <v>CCUDyAZA</v>
          </cell>
          <cell r="CV210" t="str">
            <v>CCUDyAZA</v>
          </cell>
          <cell r="CW210" t="str">
            <v>CCUDyAZA</v>
          </cell>
        </row>
        <row r="211">
          <cell r="D211" t="str">
            <v>GKK500</v>
          </cell>
          <cell r="E211" t="str">
            <v>Chasis</v>
          </cell>
          <cell r="F211" t="str">
            <v>Chasis</v>
          </cell>
          <cell r="G211" t="str">
            <v>Chasis</v>
          </cell>
          <cell r="N211" t="str">
            <v>CODYLSA</v>
          </cell>
          <cell r="O211" t="str">
            <v>CODYLSA</v>
          </cell>
          <cell r="P211" t="str">
            <v>No</v>
          </cell>
          <cell r="Q211" t="str">
            <v>Propio</v>
          </cell>
          <cell r="R211">
            <v>12</v>
          </cell>
          <cell r="S211" t="str">
            <v>Propio</v>
          </cell>
          <cell r="T211" t="str">
            <v>MERCEDES BENZ</v>
          </cell>
          <cell r="U211">
            <v>1624</v>
          </cell>
          <cell r="V211" t="str">
            <v>906973U0715680</v>
          </cell>
          <cell r="W211" t="str">
            <v>9BM6950107B520055</v>
          </cell>
          <cell r="X211">
            <v>2007</v>
          </cell>
          <cell r="Y211">
            <v>19</v>
          </cell>
          <cell r="Z211" t="str">
            <v>Danone Mendoza</v>
          </cell>
          <cell r="AA211" t="str">
            <v>ADA_MZA - Danone Arg. S.A. - MZA</v>
          </cell>
          <cell r="AB211" t="str">
            <v>ADA_MZA - Danone Arg. S.A. - MZA</v>
          </cell>
          <cell r="AC211" t="str">
            <v>ADA_MZA - Danone Arg. S.A. - MZA</v>
          </cell>
          <cell r="AD211" t="str">
            <v>ADA_MZA - Danone Arg. S.A. - MZA</v>
          </cell>
          <cell r="AE211" t="str">
            <v>ADA_MZA - Danone Arg. S.A. - MZA</v>
          </cell>
          <cell r="AF211" t="str">
            <v>ADA_MZA - Danone Arg. S.A. - MZA</v>
          </cell>
          <cell r="AG211" t="str">
            <v>ADA_MZA - Danone Arg. S.A. - MZA</v>
          </cell>
          <cell r="AH211" t="str">
            <v>ADA_MZA - Danone Arg. S.A. - MZA</v>
          </cell>
          <cell r="AI211" t="str">
            <v>ADA_MZA - Danone Arg. S.A. - MZA</v>
          </cell>
          <cell r="AJ211" t="str">
            <v>ADA_MZA - Danone Arg. S.A. - MZA</v>
          </cell>
          <cell r="AK211" t="str">
            <v>ADA_MZA - Danone Arg. S.A. - MZA</v>
          </cell>
          <cell r="AL211" t="str">
            <v>ADA_MZA - Danone Arg. S.A. - MZA</v>
          </cell>
          <cell r="AM211" t="str">
            <v>ADA_MZA - Danone Arg. S.A. - MZA</v>
          </cell>
          <cell r="AN211" t="str">
            <v>ADA_MZA - Danone Arg. S.A. - MZA</v>
          </cell>
          <cell r="AO211" t="str">
            <v>ADA_MZA - Danone Arg. S.A. - MZA</v>
          </cell>
          <cell r="AP211" t="str">
            <v>ADA_MZA - Danone Arg. S.A. - MZA</v>
          </cell>
          <cell r="AQ211" t="str">
            <v>ADA_MZA - Danone Arg. S.A. - MZA</v>
          </cell>
          <cell r="AR211" t="str">
            <v>ADA_MZA - Danone Arg. S.A. - MZA</v>
          </cell>
          <cell r="AS211" t="str">
            <v>ADA_MZA - Danone Arg. S.A. - MZA</v>
          </cell>
          <cell r="AT211" t="str">
            <v>ADA_MZA - Danone Arg. S.A. - MZA</v>
          </cell>
          <cell r="AU211" t="str">
            <v>ADA_MZA - Danone Arg. S.A. - MZA</v>
          </cell>
          <cell r="AV211" t="str">
            <v>ADA_MZA - Danone Arg. S.A. - MZA</v>
          </cell>
          <cell r="AW211" t="str">
            <v>ADA_MZA - Danone Arg. S.A. - MZA</v>
          </cell>
          <cell r="AX211" t="str">
            <v>CENCO_MZ - Cencosud SA - Mendoza</v>
          </cell>
          <cell r="AY211" t="str">
            <v>CENCO_MZ - Cencosud SA - Mendoza</v>
          </cell>
          <cell r="AZ211" t="str">
            <v>CENCO_MZ - Cencosud SA - Mendoza</v>
          </cell>
          <cell r="BA211" t="str">
            <v>CENCO_MZ - Cencosud SA - Mendoza</v>
          </cell>
          <cell r="BB211" t="str">
            <v>CENCO_MZ - Cencosud SA - Mendoza</v>
          </cell>
          <cell r="BC211" t="str">
            <v>CENCO_MZ - Cencosud SA - Mendoza</v>
          </cell>
          <cell r="BD211" t="str">
            <v>CENCO_MZ - Cencosud SA - Mendoza</v>
          </cell>
          <cell r="BE211" t="str">
            <v>CENCO_MZ - Cencosud SA - Mendoza</v>
          </cell>
          <cell r="BF211" t="str">
            <v>CENCO_MZ - Cencosud SA - Mendoza</v>
          </cell>
          <cell r="BG211" t="str">
            <v>CENCO_MZ - Cencosud SA - Mendoza</v>
          </cell>
          <cell r="BH211" t="str">
            <v>CENCO_MZ - Cencosud SA - Mendoza</v>
          </cell>
          <cell r="BI211" t="str">
            <v>CENCO_MZ - Cencosud SA - Mendoza</v>
          </cell>
          <cell r="BJ211" t="str">
            <v>ADA_MZA - Danone Arg. S.A. - MZA</v>
          </cell>
          <cell r="BK211" t="str">
            <v>ADA_MZA - Danone Arg. S.A. - MZA</v>
          </cell>
          <cell r="BL211" t="str">
            <v>ADA_MZA - Danone Arg. S.A. - MZA</v>
          </cell>
          <cell r="BM211" t="str">
            <v>ADA_MZA - Danone Arg. S.A. - MZA</v>
          </cell>
          <cell r="BN211" t="str">
            <v>ADA_MZA - Danone Arg. S.A. - MZA</v>
          </cell>
          <cell r="BO211" t="str">
            <v>ADA_MZA - Danone Arg. S.A. - MZA</v>
          </cell>
          <cell r="BP211" t="str">
            <v>ADA_MZA - Danone Arg. S.A. - MZA</v>
          </cell>
          <cell r="BQ211" t="str">
            <v>ADA_MZA - Danone Arg. S.A. - MZA</v>
          </cell>
          <cell r="BR211" t="str">
            <v>ADA_MZA - Danone Arg. S.A. - MZA</v>
          </cell>
          <cell r="BS211" t="str">
            <v>ADA_MZA - Danone Arg. S.A. - MZA</v>
          </cell>
          <cell r="BT211" t="str">
            <v>CCU_MZA - Comp. Cerv. Unidas - MZA</v>
          </cell>
          <cell r="BU211" t="str">
            <v>CCU_MZA - Comp. Cerv. Unidas - MZA</v>
          </cell>
          <cell r="BV211" t="str">
            <v>CCU_MZA - Comp. Cerv. Unidas - MZA</v>
          </cell>
          <cell r="BW211" t="str">
            <v>CCU_MZA - Comp. Cerv. Unidas - MZA</v>
          </cell>
          <cell r="BX211" t="str">
            <v>CCU_MZA - Comp. Cerv. Unidas - MZA</v>
          </cell>
          <cell r="BY211" t="str">
            <v>CCU_MZA - Comp. Cerv. Unidas - MZA</v>
          </cell>
          <cell r="BZ211" t="str">
            <v>CCU_MZA - Comp. Cerv. Unidas - MZA</v>
          </cell>
          <cell r="CA211" t="str">
            <v>CCU_MZA - Comp. Cerv. Unidas - MZA</v>
          </cell>
          <cell r="CB211" t="str">
            <v>CCU_MZA - Comp. Cerv. Unidas - MZA</v>
          </cell>
          <cell r="CC211" t="str">
            <v>CCU_MZA - Comp. Cerv. Unidas - MZA</v>
          </cell>
          <cell r="CD211" t="str">
            <v>CCU_MZA - Comp. Cerv. Unidas - MZA</v>
          </cell>
          <cell r="CE211" t="str">
            <v>SUC_MEN - Sucursal Mendoza</v>
          </cell>
          <cell r="CF211" t="str">
            <v>SUC_MEN - Sucursal Mendoza</v>
          </cell>
          <cell r="CG211" t="str">
            <v>SUC_MEN - Sucursal Mendoza</v>
          </cell>
          <cell r="CH211" t="str">
            <v>SUC_MEN - Sucursal Mendoza</v>
          </cell>
          <cell r="CI211" t="str">
            <v>SUC_MEN - Sucursal Mendoza</v>
          </cell>
          <cell r="CJ211" t="str">
            <v>SUC_MEN - Sucursal Mendoza</v>
          </cell>
          <cell r="CK211" t="str">
            <v>SUC_MEN - Sucursal Mendoza</v>
          </cell>
          <cell r="CL211" t="str">
            <v>SUC_MEN - Sucursal Mendoza</v>
          </cell>
          <cell r="CM211" t="str">
            <v>SUC_MEN - Sucursal Mendoza</v>
          </cell>
          <cell r="CN211" t="str">
            <v>SUC_MEN - Sucursal Mendoza</v>
          </cell>
          <cell r="CO211" t="str">
            <v>SUC_MEN - Sucursal Mendoza</v>
          </cell>
          <cell r="CP211" t="str">
            <v>SUC_MEN - Sucursal Mendoza</v>
          </cell>
          <cell r="CQ211" t="str">
            <v>SUC_MEN - Sucursal Mendoza</v>
          </cell>
          <cell r="CR211" t="str">
            <v>SUC_MEN - Sucursal Mendoza</v>
          </cell>
          <cell r="CS211" t="str">
            <v>SUC_MEN - Sucursal Mendoza</v>
          </cell>
          <cell r="CT211" t="str">
            <v>SUC_MEN - Sucursal Mendoza</v>
          </cell>
          <cell r="CU211" t="str">
            <v>SUC_MEN - Sucursal Mendoza</v>
          </cell>
          <cell r="CV211" t="str">
            <v>SUC_MEN - Sucursal Mendoza</v>
          </cell>
          <cell r="CW211" t="str">
            <v>SUC_MEN - Sucursal Mendoza</v>
          </cell>
        </row>
        <row r="212">
          <cell r="D212" t="str">
            <v>GLT550</v>
          </cell>
          <cell r="E212" t="str">
            <v>Chasis</v>
          </cell>
          <cell r="F212" t="str">
            <v>Chasis</v>
          </cell>
          <cell r="G212" t="str">
            <v>Chasis</v>
          </cell>
          <cell r="N212" t="str">
            <v>CODYLSA</v>
          </cell>
          <cell r="O212" t="str">
            <v>CODYLSA</v>
          </cell>
          <cell r="P212" t="str">
            <v>No</v>
          </cell>
          <cell r="Q212" t="str">
            <v>Propio</v>
          </cell>
          <cell r="R212">
            <v>12</v>
          </cell>
          <cell r="S212" t="str">
            <v>Propio</v>
          </cell>
          <cell r="T212" t="str">
            <v>MERCEDES BENZ</v>
          </cell>
          <cell r="U212">
            <v>1624</v>
          </cell>
          <cell r="V212" t="str">
            <v>906973U0728271</v>
          </cell>
          <cell r="W212" t="str">
            <v>9BM6950107B535269</v>
          </cell>
          <cell r="X212">
            <v>2007</v>
          </cell>
          <cell r="Y212">
            <v>19</v>
          </cell>
          <cell r="Z212" t="str">
            <v>Danone Oeste</v>
          </cell>
          <cell r="AA212" t="str">
            <v>AdaMinZO - Danone Minorista Zona Oeste</v>
          </cell>
          <cell r="AB212" t="str">
            <v>AdaMinZO - Danone Minorista Zona Oeste</v>
          </cell>
          <cell r="AC212" t="str">
            <v>AdaMinZO - Danone Minorista Zona Oeste</v>
          </cell>
          <cell r="AD212" t="str">
            <v>AdaMinZO - Danone Minorista Zona Oeste</v>
          </cell>
          <cell r="AE212" t="str">
            <v>AdaMinZO - Danone Minorista Zona Oeste</v>
          </cell>
          <cell r="AF212" t="str">
            <v>AdaMinZO - Danone Minorista Zona Oeste</v>
          </cell>
          <cell r="AG212" t="str">
            <v>AdaMinZO - Danone Minorista Zona Oeste</v>
          </cell>
          <cell r="AH212" t="str">
            <v>AdaMinZO - Danone Minorista Zona Oeste</v>
          </cell>
          <cell r="AI212" t="str">
            <v>AdaMinZO - Danone Minorista Zona Oeste</v>
          </cell>
          <cell r="AJ212" t="str">
            <v>AdaMinZO - Danone Minorista Zona Oeste</v>
          </cell>
          <cell r="AK212" t="str">
            <v>AdaMinZO - Danone Minorista Zona Oeste</v>
          </cell>
          <cell r="AL212" t="str">
            <v>AdaMinZO - Danone Minorista Zona Oeste</v>
          </cell>
          <cell r="AM212" t="str">
            <v>AdaMinZO - Danone Minorista Zona Oeste</v>
          </cell>
          <cell r="AN212" t="str">
            <v>AdaMinZO - Danone Minorista Zona Oeste</v>
          </cell>
          <cell r="AO212" t="str">
            <v>AdaMinZO - Danone Minorista Zona Oeste</v>
          </cell>
          <cell r="AP212" t="str">
            <v>AdaMinZO - Danone Minorista Zona Oeste</v>
          </cell>
          <cell r="AQ212" t="str">
            <v>AdaMinZO - Danone Minorista Zona Oeste</v>
          </cell>
          <cell r="AR212" t="str">
            <v>AdaMinZO - Danone Minorista Zona Oeste</v>
          </cell>
          <cell r="AS212" t="str">
            <v>AdaMinZO - Danone Minorista Zona Oeste</v>
          </cell>
          <cell r="AT212" t="str">
            <v>AdaMinZO - Danone Minorista Zona Oeste</v>
          </cell>
          <cell r="AU212" t="str">
            <v>AdaMinZO - Danone Minorista Zona Oeste</v>
          </cell>
          <cell r="AV212" t="str">
            <v>AdaMinZO - Danone Minorista Zona Oeste</v>
          </cell>
          <cell r="AW212" t="str">
            <v>AdaMinZO - Danone Minorista Zona Oeste</v>
          </cell>
          <cell r="AX212" t="str">
            <v>AdaMinZO - Danone Minorista Zona Oeste</v>
          </cell>
          <cell r="AY212" t="str">
            <v>AdaMinZO - Danone Minorista Zona Oeste</v>
          </cell>
          <cell r="AZ212" t="str">
            <v>AdaMinZO - Danone Minorista Zona Oeste</v>
          </cell>
          <cell r="BA212" t="str">
            <v>AdaMinZO - Danone Minorista Zona Oeste</v>
          </cell>
          <cell r="BB212" t="str">
            <v>AdaMinZO - Danone Minorista Zona Oeste</v>
          </cell>
          <cell r="BC212" t="str">
            <v>AdaMinZO - Danone Minorista Zona Oeste</v>
          </cell>
          <cell r="BD212" t="str">
            <v>AdaMinZO - Danone Minorista Zona Oeste</v>
          </cell>
          <cell r="BE212" t="str">
            <v>AdaMinZO - Danone Minorista Zona Oeste</v>
          </cell>
          <cell r="BF212" t="str">
            <v>AdaMinZO - Danone Minorista Zona Oeste</v>
          </cell>
          <cell r="BG212" t="str">
            <v>AdaMinZO - Danone Minorista Zona Oeste</v>
          </cell>
          <cell r="BH212" t="str">
            <v>AdaMinZO - Danone Minorista Zona Oeste</v>
          </cell>
          <cell r="BI212" t="str">
            <v>AdaMinZO - Danone Minorista Zona Oeste</v>
          </cell>
          <cell r="BJ212" t="str">
            <v>AdaMinZO - Danone Minorista Zona Oeste</v>
          </cell>
          <cell r="BK212" t="str">
            <v>AdaMinZO - Danone Minorista Zona Oeste</v>
          </cell>
          <cell r="BL212" t="str">
            <v>AdaMinZO - Danone Minorista Zona Oeste</v>
          </cell>
          <cell r="BM212" t="str">
            <v>AdaMinZO - Danone Minorista Zona Oeste</v>
          </cell>
          <cell r="BN212" t="str">
            <v>AdaMinZO - Danone Minorista Zona Oeste</v>
          </cell>
          <cell r="BO212" t="str">
            <v>AdaMinZO - Danone Minorista Zona Oeste</v>
          </cell>
          <cell r="BP212" t="str">
            <v>AdaMinZO - Danone Minorista Zona Oeste</v>
          </cell>
          <cell r="BQ212" t="str">
            <v>AdaMinZO - Danone Minorista Zona Oeste</v>
          </cell>
          <cell r="BR212" t="str">
            <v>AdaMinZO - Danone Minorista Zona Oeste</v>
          </cell>
          <cell r="BS212" t="str">
            <v>ADA_SMK - Danone Arg. S.A. - SMK</v>
          </cell>
          <cell r="BT212" t="str">
            <v>ADA_SMK - Danone Arg. S.A. - SMK</v>
          </cell>
          <cell r="BU212" t="str">
            <v>CCUDyAZA</v>
          </cell>
          <cell r="BV212" t="str">
            <v>CCUDyAZA</v>
          </cell>
          <cell r="BW212" t="str">
            <v>CCUDyAZA</v>
          </cell>
          <cell r="BX212" t="str">
            <v>CCUDyAZA</v>
          </cell>
          <cell r="BY212" t="str">
            <v>CCUDyAZA</v>
          </cell>
          <cell r="BZ212" t="str">
            <v>CCUDyAZA</v>
          </cell>
          <cell r="CA212" t="str">
            <v>CCUDyAZA</v>
          </cell>
          <cell r="CB212" t="str">
            <v>CCUDyAZA</v>
          </cell>
          <cell r="CC212" t="str">
            <v>CCUDyAZA</v>
          </cell>
          <cell r="CD212" t="str">
            <v>CCUDyAZA</v>
          </cell>
          <cell r="CE212" t="str">
            <v>CCUDyAZA</v>
          </cell>
          <cell r="CF212" t="str">
            <v>CCUDyAZA</v>
          </cell>
          <cell r="CG212" t="str">
            <v>CCUDyAZA</v>
          </cell>
          <cell r="CH212" t="str">
            <v>CCUDyAZA</v>
          </cell>
          <cell r="CI212" t="str">
            <v>CCUDyAZA</v>
          </cell>
          <cell r="CJ212" t="str">
            <v>CCUDyAZA</v>
          </cell>
          <cell r="CK212" t="str">
            <v>CCUDyAZA</v>
          </cell>
          <cell r="CL212" t="str">
            <v>CCUDyAZA</v>
          </cell>
          <cell r="CM212" t="str">
            <v>CCUDyAZA</v>
          </cell>
          <cell r="CN212" t="str">
            <v>CCUDyAZA</v>
          </cell>
          <cell r="CO212" t="str">
            <v>CCUDyAZA</v>
          </cell>
          <cell r="CP212" t="str">
            <v>CCUDyAZA</v>
          </cell>
          <cell r="CQ212" t="str">
            <v>CCUDyAZA</v>
          </cell>
          <cell r="CR212" t="str">
            <v>CCUDyAZA</v>
          </cell>
          <cell r="CS212" t="str">
            <v>CCUDyAZA</v>
          </cell>
          <cell r="CT212" t="str">
            <v>CCUDyAZA</v>
          </cell>
          <cell r="CU212" t="str">
            <v>CCUDyAZA</v>
          </cell>
          <cell r="CV212" t="str">
            <v>CCUDyAZA</v>
          </cell>
          <cell r="CW212" t="str">
            <v>CCUDyAZA</v>
          </cell>
        </row>
        <row r="213">
          <cell r="D213" t="str">
            <v>AE356ZB</v>
          </cell>
          <cell r="E213" t="str">
            <v>Acoplado</v>
          </cell>
          <cell r="F213" t="str">
            <v>Acoplado</v>
          </cell>
          <cell r="G213" t="str">
            <v>Acoplado</v>
          </cell>
          <cell r="N213" t="str">
            <v>DYLASA</v>
          </cell>
          <cell r="O213" t="str">
            <v>DYLASA</v>
          </cell>
          <cell r="P213" t="str">
            <v>No</v>
          </cell>
          <cell r="Q213" t="str">
            <v>Propio</v>
          </cell>
          <cell r="R213">
            <v>14</v>
          </cell>
          <cell r="S213" t="str">
            <v>Propio</v>
          </cell>
          <cell r="T213" t="str">
            <v>Bonano</v>
          </cell>
          <cell r="U213" t="str">
            <v>8CB2ABZZZLB000130</v>
          </cell>
          <cell r="V213">
            <v>2020</v>
          </cell>
          <cell r="W213" t="str">
            <v>8CB2ABZZZLB000130</v>
          </cell>
          <cell r="X213">
            <v>2020</v>
          </cell>
          <cell r="Y213">
            <v>6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 t="str">
            <v>CENCO_MZ - Cencosud SA - Mendoza</v>
          </cell>
          <cell r="AT213" t="str">
            <v>CENCO_MZ - Cencosud SA - Mendoza</v>
          </cell>
          <cell r="AU213" t="str">
            <v>CENCO_MZ - Cencosud SA - Mendoza</v>
          </cell>
          <cell r="AV213" t="str">
            <v>CENCO_MZ - Cencosud SA - Mendoza</v>
          </cell>
          <cell r="AW213" t="str">
            <v>CENCO_MZ - Cencosud SA - Mendoza</v>
          </cell>
          <cell r="AX213" t="str">
            <v>CENCO_MZ - Cencosud SA - Mendoza</v>
          </cell>
          <cell r="AY213" t="str">
            <v>CENCO_MZ - Cencosud SA - Mendoza</v>
          </cell>
          <cell r="AZ213" t="str">
            <v>CENCO_MZ - Cencosud SA - Mendoza</v>
          </cell>
          <cell r="BA213" t="str">
            <v>CENCO_MZ - Cencosud SA - Mendoza</v>
          </cell>
          <cell r="BB213" t="str">
            <v>CENCO_MZ - Cencosud SA - Mendoza</v>
          </cell>
          <cell r="BC213" t="str">
            <v>CENCO_MZ - Cencosud SA - Mendoza</v>
          </cell>
          <cell r="BD213" t="str">
            <v>CENCO_MZ - Cencosud SA - Mendoza</v>
          </cell>
          <cell r="BE213" t="str">
            <v>CENCO_MZ - Cencosud SA - Mendoza</v>
          </cell>
          <cell r="BF213" t="str">
            <v>CENCO_MZ - Cencosud SA - Mendoza</v>
          </cell>
          <cell r="BG213" t="str">
            <v>CENCO_MZ - Cencosud SA - Mendoza</v>
          </cell>
          <cell r="BH213" t="str">
            <v>CENCO_MZ - Cencosud SA - Mendoza</v>
          </cell>
          <cell r="BI213" t="str">
            <v>CENCO_MZ - Cencosud SA - Mendoza</v>
          </cell>
          <cell r="BJ213" t="str">
            <v>CENCO_MZ - Cencosud SA - Mendoza</v>
          </cell>
          <cell r="BK213" t="str">
            <v>CENCO_MZ - Cencosud SA - Mendoza</v>
          </cell>
          <cell r="BL213" t="str">
            <v>CENCO_MZ - Cencosud SA - Mendoza</v>
          </cell>
          <cell r="BM213" t="str">
            <v>CENCO_MZ - Cencosud SA - Mendoza</v>
          </cell>
          <cell r="BN213" t="str">
            <v>CENCOMLD - Cencosud SA - Mendoza</v>
          </cell>
          <cell r="BO213" t="str">
            <v>CENCOMLD - Cencosud SA - Mendoza</v>
          </cell>
          <cell r="BP213" t="str">
            <v>CENCOMLD - Cencosud SA - Mendoza</v>
          </cell>
          <cell r="BQ213" t="str">
            <v>CENCOMLD - Cencosud SA - Mendoza</v>
          </cell>
          <cell r="BR213" t="str">
            <v>CENCOMLD - Cencosud SA - Mendoza</v>
          </cell>
          <cell r="BS213" t="str">
            <v>CENCOMLD - Cencosud SA - Mendoza</v>
          </cell>
          <cell r="BT213" t="str">
            <v>CENCOMLD - Cencosud SA - Mendoza</v>
          </cell>
          <cell r="BU213" t="str">
            <v>CENCOMLD - Cencosud SA - Mendoza</v>
          </cell>
          <cell r="BV213" t="str">
            <v>CENCOMLD - Cencosud SA - Mendoza</v>
          </cell>
          <cell r="BW213" t="str">
            <v>CENCOMLD - Cencosud SA - Mendoza</v>
          </cell>
          <cell r="BX213" t="str">
            <v>CENCOMLD - Cencosud SA - Mendoza</v>
          </cell>
          <cell r="BY213" t="str">
            <v>CENCOMLD - Cencosud SA - Mendoza</v>
          </cell>
          <cell r="BZ213" t="str">
            <v>CENCOMLD - Cencosud SA - Mendoza</v>
          </cell>
          <cell r="CA213" t="str">
            <v>CENCOMLD - Cencosud SA - Mendoza</v>
          </cell>
          <cell r="CB213" t="str">
            <v>CENCOMLD - Cencosud SA - Mendoza</v>
          </cell>
          <cell r="CC213" t="str">
            <v>CENCOMLD - Cencosud SA - Mendoza</v>
          </cell>
          <cell r="CD213" t="str">
            <v>CENCOMLD - Cencosud SA - Mendoza</v>
          </cell>
          <cell r="CE213" t="str">
            <v>CENCOMLD - Cencosud SA - Mendoza</v>
          </cell>
          <cell r="CF213" t="str">
            <v>CENCOMLD - Cencosud SA - Mendoza</v>
          </cell>
          <cell r="CG213" t="str">
            <v>CENCOMLD - Cencosud SA - Mendoza</v>
          </cell>
          <cell r="CH213" t="str">
            <v>CENCOMLD - Cencosud SA - Mendoza</v>
          </cell>
          <cell r="CI213" t="str">
            <v>CENCOMLD - Cencosud SA - Mendoza</v>
          </cell>
          <cell r="CJ213" t="str">
            <v>CENCOMLD - Cencosud SA - Mendoza</v>
          </cell>
          <cell r="CK213" t="str">
            <v>CENCOMLD - Cencosud SA - Mendoza</v>
          </cell>
          <cell r="CL213" t="str">
            <v>CENCOMLD - Cencosud SA - Mendoza</v>
          </cell>
          <cell r="CM213" t="str">
            <v>CENCOMLD - Cencosud SA - Mendoza</v>
          </cell>
          <cell r="CN213" t="str">
            <v>CENCOMLD - Cencosud SA - Mendoza</v>
          </cell>
          <cell r="CO213" t="str">
            <v>CENCOMLD - Cencosud SA - Mendoza</v>
          </cell>
          <cell r="CP213" t="str">
            <v>CENCOMLD - Cencosud SA - Mendoza</v>
          </cell>
          <cell r="CQ213" t="str">
            <v>CENCOMLD - Cencosud SA - Mendoza</v>
          </cell>
          <cell r="CR213" t="str">
            <v>CENCOMLD - Cencosud SA - Mendoza</v>
          </cell>
          <cell r="CS213" t="str">
            <v>CENCOMLD - Cencosud SA - Mendoza</v>
          </cell>
          <cell r="CT213" t="str">
            <v>CENCOMLD - Cencosud SA - Mendoza</v>
          </cell>
          <cell r="CU213" t="str">
            <v>CENCOMLD - Cencosud SA - Mendoza</v>
          </cell>
          <cell r="CV213" t="str">
            <v>CENCOMLD - Cencosud SA - Mendoza</v>
          </cell>
          <cell r="CW213" t="str">
            <v>CENCOMLD - Cencosud SA - Mendoza</v>
          </cell>
        </row>
        <row r="214">
          <cell r="D214" t="str">
            <v>GLT552</v>
          </cell>
          <cell r="E214" t="str">
            <v>Chasis</v>
          </cell>
          <cell r="F214" t="str">
            <v>Chasis</v>
          </cell>
          <cell r="G214" t="str">
            <v>Chasis</v>
          </cell>
          <cell r="N214" t="str">
            <v>CODYLSA</v>
          </cell>
          <cell r="O214" t="str">
            <v>CODYLSA</v>
          </cell>
          <cell r="P214" t="str">
            <v>No</v>
          </cell>
          <cell r="Q214" t="str">
            <v>Propio</v>
          </cell>
          <cell r="R214">
            <v>12</v>
          </cell>
          <cell r="S214" t="str">
            <v>Propio</v>
          </cell>
          <cell r="T214" t="str">
            <v>MERCEDES BENZ</v>
          </cell>
          <cell r="U214">
            <v>1624</v>
          </cell>
          <cell r="V214" t="str">
            <v>906973U0728072</v>
          </cell>
          <cell r="W214" t="str">
            <v>9BM6950107B534967</v>
          </cell>
          <cell r="X214">
            <v>2007</v>
          </cell>
          <cell r="Y214">
            <v>19</v>
          </cell>
          <cell r="Z214" t="str">
            <v>Papelera</v>
          </cell>
          <cell r="AA214" t="str">
            <v>Papelera - Papelera del Plata S.A.</v>
          </cell>
          <cell r="AB214" t="str">
            <v>Papelera - Papelera del Plata S.A.</v>
          </cell>
          <cell r="AC214" t="str">
            <v>Papelera - Papelera del Plata S.A.</v>
          </cell>
          <cell r="AD214" t="str">
            <v>Papelera - Papelera del Plata S.A.</v>
          </cell>
          <cell r="AE214" t="str">
            <v>Papelera - Papelera del Plata S.A.</v>
          </cell>
          <cell r="AF214" t="str">
            <v>Papelera - Papelera del Plata S.A.</v>
          </cell>
          <cell r="AG214" t="str">
            <v>Papelera - Papelera del Plata S.A.</v>
          </cell>
          <cell r="AH214" t="str">
            <v>Papelera - Papelera del Plata S.A.</v>
          </cell>
          <cell r="AI214" t="str">
            <v>Papelera - Papelera del Plata S.A.</v>
          </cell>
          <cell r="AJ214" t="str">
            <v>Papelera - Papelera del Plata S.A.</v>
          </cell>
          <cell r="AK214" t="str">
            <v>Papelera - Papelera del Plata S.A.</v>
          </cell>
          <cell r="AL214" t="str">
            <v>Papelera - Papelera del Plata S.A.</v>
          </cell>
          <cell r="AM214" t="str">
            <v>Papelera - Papelera del Plata S.A.</v>
          </cell>
          <cell r="AN214" t="str">
            <v>Papelera - Papelera del Plata S.A.</v>
          </cell>
          <cell r="AO214" t="str">
            <v>Papelera - Papelera del Plata S.A.</v>
          </cell>
          <cell r="AP214" t="str">
            <v>Papelera - Papelera del Plata S.A.</v>
          </cell>
          <cell r="AQ214" t="str">
            <v>Papelera - Papelera del Plata S.A.</v>
          </cell>
          <cell r="AR214" t="str">
            <v>Papelera - Papelera del Plata S.A.</v>
          </cell>
          <cell r="AS214" t="str">
            <v>Papelera - Papelera del Plata S.A.</v>
          </cell>
          <cell r="AT214" t="str">
            <v>Papelera - Papelera del Plata S.A.</v>
          </cell>
          <cell r="AU214" t="str">
            <v>Papelera - Papelera del Plata S.A.</v>
          </cell>
          <cell r="AV214" t="str">
            <v>Papelera - Papelera del Plata S.A.</v>
          </cell>
          <cell r="AW214" t="str">
            <v>Papelera - Papelera del Plata S.A.</v>
          </cell>
          <cell r="AX214" t="str">
            <v>Papelera - Papelera del Plata S.A.</v>
          </cell>
          <cell r="AY214" t="str">
            <v>Papelera - Papelera del Plata S.A.</v>
          </cell>
          <cell r="AZ214" t="str">
            <v>Papelera - Papelera del Plata S.A.</v>
          </cell>
          <cell r="BA214" t="str">
            <v>Papelera - Papelera del Plata S.A.</v>
          </cell>
          <cell r="BB214" t="str">
            <v>Papelera - Papelera del Plata S.A.</v>
          </cell>
          <cell r="BC214" t="str">
            <v>Papelera - Papelera del Plata S.A.</v>
          </cell>
          <cell r="BD214" t="str">
            <v>Papelera - Papelera del Plata S.A.</v>
          </cell>
          <cell r="BE214" t="str">
            <v>Papelera - Papelera del Plata S.A.</v>
          </cell>
          <cell r="BF214" t="str">
            <v>Papelera - Papelera del Plata S.A.</v>
          </cell>
          <cell r="BG214" t="str">
            <v>Papelera - Papelera del Plata S.A.</v>
          </cell>
          <cell r="BH214" t="str">
            <v>Papelera - Papelera del Plata S.A.</v>
          </cell>
          <cell r="BI214" t="str">
            <v>Papelera - Papelera del Plata S.A.</v>
          </cell>
          <cell r="BJ214" t="str">
            <v>Papelera - Papelera del Plata S.A.</v>
          </cell>
          <cell r="BK214" t="str">
            <v>Papelera - Papelera del Plata S.A.</v>
          </cell>
          <cell r="BL214" t="str">
            <v>Papelera - Papelera del Plata S.A.</v>
          </cell>
          <cell r="BM214" t="str">
            <v>Papelera - Papelera del Plata S.A.</v>
          </cell>
          <cell r="BN214" t="str">
            <v>Papelera - Papelera del Plata S.A.</v>
          </cell>
          <cell r="BO214" t="str">
            <v>Papelera - Papelera del Plata S.A.</v>
          </cell>
          <cell r="BP214" t="str">
            <v>Papelera - Papelera del Plata S.A.</v>
          </cell>
          <cell r="BQ214" t="str">
            <v>Unilever - Unilever de Arg. S.A.</v>
          </cell>
          <cell r="BR214" t="str">
            <v>Unilever - Unilever de Arg. S.A.</v>
          </cell>
          <cell r="BS214" t="str">
            <v>Unilever - Unilever de Arg. S.A.</v>
          </cell>
          <cell r="BT214" t="str">
            <v>Unilever - Unilever de Arg. S.A.</v>
          </cell>
          <cell r="BU214" t="str">
            <v>Unilever - Unilever de Arg. S.A.</v>
          </cell>
          <cell r="BV214" t="str">
            <v>Unilever - Unilever de Arg. S.A.</v>
          </cell>
          <cell r="BW214" t="str">
            <v>Unilever - Unilever de Arg. S.A.</v>
          </cell>
          <cell r="BX214" t="str">
            <v>JOHNSON - SC JOHNSON DE ARGENTINA SAIC</v>
          </cell>
          <cell r="BY214" t="str">
            <v>JOHNSON - SC JOHNSON DE ARGENTINA SAIC</v>
          </cell>
          <cell r="BZ214" t="str">
            <v>Unilever - Unilever de Arg. S.A.</v>
          </cell>
          <cell r="CA214" t="str">
            <v>Unilever - Unilever de Arg. S.A.</v>
          </cell>
          <cell r="CB214" t="str">
            <v>Unilever - Unilever de Arg. S.A.</v>
          </cell>
          <cell r="CC214" t="str">
            <v>Unilever - Unilever de Arg. S.A.</v>
          </cell>
          <cell r="CD214" t="str">
            <v>Unilever - Unilever de Arg. S.A.</v>
          </cell>
          <cell r="CE214" t="str">
            <v>Unilever - Unilever de Arg. S.A.</v>
          </cell>
          <cell r="CF214" t="str">
            <v>Unilever - Unilever de Arg. S.A.</v>
          </cell>
          <cell r="CG214" t="str">
            <v>Unilever - Unilever de Arg. S.A.</v>
          </cell>
          <cell r="CH214" t="str">
            <v>Unilever - Unilever de Arg. S.A.</v>
          </cell>
          <cell r="CI214" t="str">
            <v>Unilever - Unilever de Arg. S.A.</v>
          </cell>
          <cell r="CJ214" t="str">
            <v>Unilever - Unilever de Arg. S.A.</v>
          </cell>
          <cell r="CK214" t="str">
            <v>Unilever - Unilever de Arg. S.A.</v>
          </cell>
          <cell r="CL214" t="str">
            <v>Unilever - Unilever de Arg. S.A.</v>
          </cell>
          <cell r="CM214" t="str">
            <v>JOHNSON - SC JOHNSON DE ARGENTINA SAIC</v>
          </cell>
          <cell r="CN214" t="str">
            <v>JOHNSON - SC JOHNSON DE ARGENTINA SAIC</v>
          </cell>
          <cell r="CO214" t="str">
            <v>JOHNSON - SC JOHNSON DE ARGENTINA SAIC</v>
          </cell>
          <cell r="CP214" t="str">
            <v>Unilever - Unilever de Arg. S.A.</v>
          </cell>
          <cell r="CQ214" t="str">
            <v>Unilever - Unilever de Arg. S.A.</v>
          </cell>
          <cell r="CR214" t="str">
            <v>Unilever - Unilever de Arg. S.A.</v>
          </cell>
          <cell r="CS214" t="str">
            <v>Unilever - Unilever de Arg. S.A.</v>
          </cell>
          <cell r="CT214" t="str">
            <v>Unilever - Unilever de Arg. S.A.</v>
          </cell>
          <cell r="CU214" t="str">
            <v>Unilever - Unilever de Arg. S.A.</v>
          </cell>
          <cell r="CV214" t="str">
            <v>Unilever - Unilever de Arg. S.A.</v>
          </cell>
          <cell r="CW214" t="str">
            <v>Unilever - Unilever de Arg. S.A.</v>
          </cell>
        </row>
        <row r="215">
          <cell r="D215" t="str">
            <v>GMJ024</v>
          </cell>
          <cell r="E215" t="str">
            <v>Chasis</v>
          </cell>
          <cell r="F215" t="str">
            <v>Chasis</v>
          </cell>
          <cell r="G215" t="str">
            <v>Chasis</v>
          </cell>
          <cell r="N215" t="str">
            <v>CODYLSA</v>
          </cell>
          <cell r="O215" t="str">
            <v>CODYLSA</v>
          </cell>
          <cell r="P215" t="str">
            <v>No</v>
          </cell>
          <cell r="Q215" t="str">
            <v>Propio</v>
          </cell>
          <cell r="R215">
            <v>12</v>
          </cell>
          <cell r="S215" t="str">
            <v>Propio</v>
          </cell>
          <cell r="T215" t="str">
            <v>MERCEDES BENZ</v>
          </cell>
          <cell r="U215">
            <v>1624</v>
          </cell>
          <cell r="V215" t="str">
            <v>906973U0729418</v>
          </cell>
          <cell r="W215" t="str">
            <v>9BM6950108B536644</v>
          </cell>
          <cell r="X215">
            <v>2007</v>
          </cell>
          <cell r="Y215">
            <v>19</v>
          </cell>
          <cell r="Z215" t="str">
            <v>Papelera</v>
          </cell>
          <cell r="AA215" t="str">
            <v>Papelera - Papelera del Plata S.A.</v>
          </cell>
          <cell r="AB215" t="str">
            <v>Papelera - Papelera del Plata S.A.</v>
          </cell>
          <cell r="AC215" t="str">
            <v>Papelera - Papelera del Plata S.A.</v>
          </cell>
          <cell r="AD215" t="str">
            <v>Papelera - Papelera del Plata S.A.</v>
          </cell>
          <cell r="AE215" t="str">
            <v>Papelera - Papelera del Plata S.A.</v>
          </cell>
          <cell r="AF215" t="str">
            <v>Papelera - Papelera del Plata S.A.</v>
          </cell>
          <cell r="AG215" t="str">
            <v>Papelera - Papelera del Plata S.A.</v>
          </cell>
          <cell r="AH215" t="str">
            <v>Papelera - Papelera del Plata S.A.</v>
          </cell>
          <cell r="AI215" t="str">
            <v>Papelera - Papelera del Plata S.A.</v>
          </cell>
          <cell r="AJ215" t="str">
            <v>Papelera - Papelera del Plata S.A.</v>
          </cell>
          <cell r="AK215" t="str">
            <v>JOHNSON - SC JOHNSON DE ARGENTINA SAIC</v>
          </cell>
          <cell r="AL215" t="str">
            <v>JOHNSON - SC JOHNSON DE ARGENTINA SAIC</v>
          </cell>
          <cell r="AM215" t="str">
            <v>JOHNSON - SC JOHNSON DE ARGENTINA SAIC</v>
          </cell>
          <cell r="AN215" t="str">
            <v>Papelera - Papelera del Plata S.A.</v>
          </cell>
          <cell r="AO215" t="str">
            <v>Papelera - Papelera del Plata S.A.</v>
          </cell>
          <cell r="AP215" t="str">
            <v>Papelera - Papelera del Plata S.A.</v>
          </cell>
          <cell r="AQ215" t="str">
            <v>Papelera - Papelera del Plata S.A.</v>
          </cell>
          <cell r="AR215" t="str">
            <v>Papelera - Papelera del Plata S.A.</v>
          </cell>
          <cell r="AS215" t="str">
            <v>Papelera - Papelera del Plata S.A.</v>
          </cell>
          <cell r="AT215" t="str">
            <v>Papelera - Papelera del Plata S.A.</v>
          </cell>
          <cell r="AU215" t="str">
            <v>Papelera - Papelera del Plata S.A.</v>
          </cell>
          <cell r="AV215" t="str">
            <v>Papelera - Papelera del Plata S.A.</v>
          </cell>
          <cell r="AW215" t="str">
            <v>Papelera - Papelera del Plata S.A.</v>
          </cell>
          <cell r="AX215" t="str">
            <v>Papelera - Papelera del Plata S.A.</v>
          </cell>
          <cell r="AY215" t="str">
            <v>Papelera - Papelera del Plata S.A.</v>
          </cell>
          <cell r="AZ215" t="str">
            <v>Papelera - Papelera del Plata S.A.</v>
          </cell>
          <cell r="BA215" t="str">
            <v>Papelera - Papelera del Plata S.A.</v>
          </cell>
          <cell r="BB215" t="str">
            <v>Papelera - Papelera del Plata S.A.</v>
          </cell>
          <cell r="BC215" t="str">
            <v>Papelera - Papelera del Plata S.A.</v>
          </cell>
          <cell r="BD215" t="str">
            <v>Papelera - Papelera del Plata S.A.</v>
          </cell>
          <cell r="BE215" t="str">
            <v>Papelera - Papelera del Plata S.A.</v>
          </cell>
          <cell r="BF215" t="str">
            <v>CLI_SPOT - CLIENTE SPOT</v>
          </cell>
          <cell r="BG215" t="str">
            <v>CLI_SPOT - CLIENTE SPOT</v>
          </cell>
          <cell r="BH215" t="str">
            <v>CLI_SPOT - CLIENTE SPOT</v>
          </cell>
          <cell r="BI215" t="str">
            <v>CLI_SPOT - CLIENTE SPOT</v>
          </cell>
          <cell r="BJ215" t="str">
            <v>CLI_SPOT - CLIENTE SPOT</v>
          </cell>
          <cell r="BK215" t="str">
            <v>CLI_SPOT - CLIENTE SPOT</v>
          </cell>
          <cell r="BL215" t="str">
            <v>CLI_SPOT - CLIENTE SPOT</v>
          </cell>
          <cell r="BM215" t="str">
            <v>CLI_SPOT - CLIENTE SPOT</v>
          </cell>
          <cell r="BN215" t="str">
            <v>CLI_SPOT - CLIENTE SPOT</v>
          </cell>
          <cell r="BO215" t="str">
            <v>CLI_SPOT - CLIENTE SPOT</v>
          </cell>
          <cell r="BP215" t="str">
            <v>CLI_SPOT - CLIENTE SPOT</v>
          </cell>
          <cell r="BQ215" t="str">
            <v>Papelera - Papelera del Plata S.A.</v>
          </cell>
          <cell r="BR215" t="str">
            <v>Cook Master</v>
          </cell>
          <cell r="BS215" t="str">
            <v>Papelera - Papelera del Plata S.A.</v>
          </cell>
          <cell r="BT215" t="str">
            <v>Papelera - Papelera del Plata S.A.</v>
          </cell>
          <cell r="BU215" t="str">
            <v>Papelera - Papelera del Plata S.A.</v>
          </cell>
          <cell r="BV215" t="str">
            <v>Papelera - Papelera del Plata S.A.</v>
          </cell>
          <cell r="BW215" t="str">
            <v>Papelera - Papelera del Plata S.A.</v>
          </cell>
          <cell r="BX215" t="str">
            <v>Papelera - Papelera del Plata S.A.</v>
          </cell>
          <cell r="BY215" t="str">
            <v>Papelera - Papelera del Plata S.A.</v>
          </cell>
          <cell r="BZ215" t="str">
            <v>Llorente - J. Llorente y Cía. S.A.</v>
          </cell>
          <cell r="CA215" t="str">
            <v>Llorente - J. Llorente y Cía. S.A.</v>
          </cell>
          <cell r="CB215" t="str">
            <v>Papelera - Papelera del Plata S.A.</v>
          </cell>
          <cell r="CC215" t="str">
            <v>Papelera - Papelera del Plata S.A.</v>
          </cell>
          <cell r="CD215" t="str">
            <v>Papelera - Papelera del Plata S.A.</v>
          </cell>
          <cell r="CE215" t="str">
            <v>Papelera - Papelera del Plata S.A.</v>
          </cell>
          <cell r="CF215" t="str">
            <v>Papelera - Papelera del Plata S.A.</v>
          </cell>
          <cell r="CG215" t="str">
            <v>Papelera - Papelera del Plata S.A.</v>
          </cell>
          <cell r="CH215" t="str">
            <v>LOGIS</v>
          </cell>
          <cell r="CI215" t="str">
            <v>LOGIS</v>
          </cell>
          <cell r="CJ215" t="str">
            <v>Papelera - Papelera del Plata S.A.</v>
          </cell>
          <cell r="CK215" t="str">
            <v>Papelera - Papelera del Plata S.A.</v>
          </cell>
          <cell r="CL215" t="str">
            <v>Papelera - Papelera del Plata S.A.</v>
          </cell>
          <cell r="CM215" t="str">
            <v>Topacio</v>
          </cell>
          <cell r="CN215" t="str">
            <v>Papelera - Papelera del Plata S.A.</v>
          </cell>
          <cell r="CO215" t="str">
            <v>Papelera - Papelera del Plata S.A.</v>
          </cell>
          <cell r="CP215" t="str">
            <v>Papelera - Papelera del Plata S.A.</v>
          </cell>
          <cell r="CQ215" t="str">
            <v>Papelera - Papelera del Plata S.A.</v>
          </cell>
          <cell r="CR215" t="str">
            <v>Papelera - Papelera del Plata S.A.</v>
          </cell>
          <cell r="CS215" t="str">
            <v>Papelera - Papelera del Plata S.A.</v>
          </cell>
          <cell r="CT215" t="str">
            <v>Papelera - Papelera del Plata S.A.</v>
          </cell>
          <cell r="CU215" t="str">
            <v>Papelera - Papelera del Plata S.A.</v>
          </cell>
          <cell r="CV215" t="str">
            <v>Papelera - Papelera del Plata S.A.</v>
          </cell>
          <cell r="CW215" t="str">
            <v>Papelera - Papelera del Plata S.A.</v>
          </cell>
        </row>
        <row r="216">
          <cell r="D216" t="str">
            <v>AE787OQ</v>
          </cell>
          <cell r="E216" t="str">
            <v>Tractor</v>
          </cell>
          <cell r="F216" t="str">
            <v>Tractor</v>
          </cell>
          <cell r="G216" t="str">
            <v>Tractor</v>
          </cell>
          <cell r="N216" t="str">
            <v>DYLASA</v>
          </cell>
          <cell r="O216" t="str">
            <v>DYLASA</v>
          </cell>
          <cell r="P216" t="str">
            <v>No</v>
          </cell>
          <cell r="Q216" t="str">
            <v>Propio</v>
          </cell>
          <cell r="R216" t="str">
            <v>-</v>
          </cell>
          <cell r="S216" t="str">
            <v>Propio</v>
          </cell>
          <cell r="T216" t="str">
            <v>MERCEDES BENZ</v>
          </cell>
          <cell r="U216" t="str">
            <v>Atego 1729 S</v>
          </cell>
          <cell r="V216" t="str">
            <v>926994U1327795</v>
          </cell>
          <cell r="W216" t="str">
            <v>9BM958077MB199746</v>
          </cell>
          <cell r="X216">
            <v>2021</v>
          </cell>
          <cell r="Y216">
            <v>5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 t="str">
            <v>CENCO_MZ - Cencosud SA - Mendoza</v>
          </cell>
          <cell r="AT216" t="str">
            <v>CENCO_MZ - Cencosud SA - Mendoza</v>
          </cell>
          <cell r="AU216" t="str">
            <v>CENCO_MZ - Cencosud SA - Mendoza</v>
          </cell>
          <cell r="AV216" t="str">
            <v>CENCO_MZ - Cencosud SA - Mendoza</v>
          </cell>
          <cell r="AW216" t="str">
            <v>CENCO_MZ - Cencosud SA - Mendoza</v>
          </cell>
          <cell r="AX216" t="str">
            <v>CENCO_MZ - Cencosud SA - Mendoza</v>
          </cell>
          <cell r="AY216" t="str">
            <v>CENCO_MZ - Cencosud SA - Mendoza</v>
          </cell>
          <cell r="AZ216" t="str">
            <v>CENCO_MZ - Cencosud SA - Mendoza</v>
          </cell>
          <cell r="BA216" t="str">
            <v>CENCO_MZ - Cencosud SA - Mendoza</v>
          </cell>
          <cell r="BB216" t="str">
            <v>CENCO_MZ - Cencosud SA - Mendoza</v>
          </cell>
          <cell r="BC216" t="str">
            <v>CENCO_MZ - Cencosud SA - Mendoza</v>
          </cell>
          <cell r="BD216" t="str">
            <v>CENCO_MZ - Cencosud SA - Mendoza</v>
          </cell>
          <cell r="BE216" t="str">
            <v>CENCO_MZ - Cencosud SA - Mendoza</v>
          </cell>
          <cell r="BF216" t="str">
            <v>CENCO_MZ - Cencosud SA - Mendoza</v>
          </cell>
          <cell r="BG216" t="str">
            <v>CENCO_MZ - Cencosud SA - Mendoza</v>
          </cell>
          <cell r="BH216" t="str">
            <v>CENCO_MZ - Cencosud SA - Mendoza</v>
          </cell>
          <cell r="BI216" t="str">
            <v>CENCO_MZ - Cencosud SA - Mendoza</v>
          </cell>
          <cell r="BJ216" t="str">
            <v>CENCO_MZ - Cencosud SA - Mendoza</v>
          </cell>
          <cell r="BK216" t="str">
            <v>CENCO_MZ - Cencosud SA - Mendoza</v>
          </cell>
          <cell r="BL216" t="str">
            <v>CENCO_MZ - Cencosud SA - Mendoza</v>
          </cell>
          <cell r="BM216" t="str">
            <v>CENCO_MZ - Cencosud SA - Mendoza</v>
          </cell>
          <cell r="BN216" t="str">
            <v>CENCOMLD - Cencosud SA - Mendoza</v>
          </cell>
          <cell r="BO216" t="str">
            <v>CENCOMLD - Cencosud SA - Mendoza</v>
          </cell>
          <cell r="BP216" t="str">
            <v>CENCOMLD - Cencosud SA - Mendoza</v>
          </cell>
          <cell r="BQ216" t="str">
            <v>CENCOMLD - Cencosud SA - Mendoza</v>
          </cell>
          <cell r="BR216" t="str">
            <v>CENCOMLD - Cencosud SA - Mendoza</v>
          </cell>
          <cell r="BS216" t="str">
            <v>CENCOMLD - Cencosud SA - Mendoza</v>
          </cell>
          <cell r="BT216" t="str">
            <v>CENCOMLD - Cencosud SA - Mendoza</v>
          </cell>
          <cell r="BU216" t="str">
            <v>CENCOMLD - Cencosud SA - Mendoza</v>
          </cell>
          <cell r="BV216" t="str">
            <v>CENCOMLD - Cencosud SA - Mendoza</v>
          </cell>
          <cell r="BW216" t="str">
            <v>CENCOMLD - Cencosud SA - Mendoza</v>
          </cell>
          <cell r="BX216" t="str">
            <v>CENCOMLD - Cencosud SA - Mendoza</v>
          </cell>
          <cell r="BY216" t="str">
            <v>CENCOMLD - Cencosud SA - Mendoza</v>
          </cell>
          <cell r="BZ216" t="str">
            <v>CENCOMLD - Cencosud SA - Mendoza</v>
          </cell>
          <cell r="CA216" t="str">
            <v>CENCOMLD - Cencosud SA - Mendoza</v>
          </cell>
          <cell r="CB216" t="str">
            <v>CENCOMLD - Cencosud SA - Mendoza</v>
          </cell>
          <cell r="CC216" t="str">
            <v>CENCOMLD - Cencosud SA - Mendoza</v>
          </cell>
          <cell r="CD216" t="str">
            <v>CENCOMLD - Cencosud SA - Mendoza</v>
          </cell>
          <cell r="CE216" t="str">
            <v>CENCOMLD - Cencosud SA - Mendoza</v>
          </cell>
          <cell r="CF216" t="str">
            <v>CENCOMLD - Cencosud SA - Mendoza</v>
          </cell>
          <cell r="CG216" t="str">
            <v>CENCOMLD - Cencosud SA - Mendoza</v>
          </cell>
          <cell r="CH216" t="str">
            <v>CENCOMLD - Cencosud SA - Mendoza</v>
          </cell>
          <cell r="CI216" t="str">
            <v>CENCOMLD - Cencosud SA - Mendoza</v>
          </cell>
          <cell r="CJ216" t="str">
            <v>CENCOMLD - Cencosud SA - Mendoza</v>
          </cell>
          <cell r="CK216" t="str">
            <v>CENCOMLD - Cencosud SA - Mendoza</v>
          </cell>
          <cell r="CL216" t="str">
            <v>CENCOMLD - Cencosud SA - Mendoza</v>
          </cell>
          <cell r="CM216" t="str">
            <v>CENCOMLD - Cencosud SA - Mendoza</v>
          </cell>
          <cell r="CN216" t="str">
            <v>CENCOMLD - Cencosud SA - Mendoza</v>
          </cell>
          <cell r="CO216" t="str">
            <v>CENCOMLD - Cencosud SA - Mendoza</v>
          </cell>
          <cell r="CP216" t="str">
            <v>CENCOMLD - Cencosud SA - Mendoza</v>
          </cell>
          <cell r="CQ216" t="str">
            <v>CENCOMLD - Cencosud SA - Mendoza</v>
          </cell>
          <cell r="CR216" t="str">
            <v>CENCOMLD - Cencosud SA - Mendoza</v>
          </cell>
          <cell r="CS216" t="str">
            <v>CENCOMLD - Cencosud SA - Mendoza</v>
          </cell>
          <cell r="CT216" t="str">
            <v>CENCOMLD - Cencosud SA - Mendoza</v>
          </cell>
          <cell r="CU216" t="str">
            <v>CENCOMLD - Cencosud SA - Mendoza</v>
          </cell>
          <cell r="CV216" t="str">
            <v>CENCOMLD - Cencosud SA - Mendoza</v>
          </cell>
          <cell r="CW216" t="str">
            <v>CENCOMLD - Cencosud SA - Mendoza</v>
          </cell>
        </row>
        <row r="217">
          <cell r="D217" t="str">
            <v>GNY197</v>
          </cell>
          <cell r="E217" t="str">
            <v>Chasis</v>
          </cell>
          <cell r="F217" t="str">
            <v>Chasis</v>
          </cell>
          <cell r="G217" t="str">
            <v>Chasis</v>
          </cell>
          <cell r="N217" t="str">
            <v>CODYLSA</v>
          </cell>
          <cell r="O217" t="str">
            <v>CODYLSA</v>
          </cell>
          <cell r="P217" t="str">
            <v>No</v>
          </cell>
          <cell r="Q217" t="str">
            <v>Propio</v>
          </cell>
          <cell r="R217">
            <v>12</v>
          </cell>
          <cell r="S217" t="str">
            <v>Propio</v>
          </cell>
          <cell r="T217" t="str">
            <v>MERCEDES BENZ</v>
          </cell>
          <cell r="U217">
            <v>1624</v>
          </cell>
          <cell r="V217" t="str">
            <v>906973U0734817</v>
          </cell>
          <cell r="W217" t="str">
            <v>9BM6950108B543287</v>
          </cell>
          <cell r="X217">
            <v>2007</v>
          </cell>
          <cell r="Y217">
            <v>19</v>
          </cell>
          <cell r="Z217" t="str">
            <v>Papelera</v>
          </cell>
          <cell r="AA217" t="str">
            <v>Papelera - Papelera del Plata S.A.</v>
          </cell>
          <cell r="AB217" t="str">
            <v>Papelera - Papelera del Plata S.A.</v>
          </cell>
          <cell r="AC217" t="str">
            <v>Papelera - Papelera del Plata S.A.</v>
          </cell>
          <cell r="AD217" t="str">
            <v>Papelera - Papelera del Plata S.A.</v>
          </cell>
          <cell r="AE217" t="str">
            <v>Papelera - Papelera del Plata S.A.</v>
          </cell>
          <cell r="AF217" t="str">
            <v>Papelera - Papelera del Plata S.A.</v>
          </cell>
          <cell r="AG217" t="str">
            <v>Papelera - Papelera del Plata S.A.</v>
          </cell>
          <cell r="AH217" t="str">
            <v>Papelera - Papelera del Plata S.A.</v>
          </cell>
          <cell r="AI217" t="str">
            <v>Papelera - Papelera del Plata S.A.</v>
          </cell>
          <cell r="AJ217" t="str">
            <v>Papelera - Papelera del Plata S.A.</v>
          </cell>
          <cell r="AK217" t="str">
            <v>Papelera - Papelera del Plata S.A.</v>
          </cell>
          <cell r="AL217" t="str">
            <v>Papelera - Papelera del Plata S.A.</v>
          </cell>
          <cell r="AM217" t="str">
            <v>Papelera - Papelera del Plata S.A.</v>
          </cell>
          <cell r="AN217" t="str">
            <v>Papelera - Papelera del Plata S.A.</v>
          </cell>
          <cell r="AO217" t="str">
            <v>Papelera - Papelera del Plata S.A.</v>
          </cell>
          <cell r="AP217" t="str">
            <v>Papelera - Papelera del Plata S.A.</v>
          </cell>
          <cell r="AQ217" t="str">
            <v>Papelera - Papelera del Plata S.A.</v>
          </cell>
          <cell r="AR217" t="str">
            <v>Papelera - Papelera del Plata S.A.</v>
          </cell>
          <cell r="AS217" t="str">
            <v>Papelera - Papelera del Plata S.A.</v>
          </cell>
          <cell r="AT217" t="str">
            <v>Papelera - Papelera del Plata S.A.</v>
          </cell>
          <cell r="AU217" t="str">
            <v>Papelera - Papelera del Plata S.A.</v>
          </cell>
          <cell r="AV217" t="str">
            <v>Papelera - Papelera del Plata S.A.</v>
          </cell>
          <cell r="AW217" t="str">
            <v>Papelera - Papelera del Plata S.A.</v>
          </cell>
          <cell r="AX217" t="str">
            <v>Papelera - Papelera del Plata S.A.</v>
          </cell>
          <cell r="AY217" t="str">
            <v>Papelera - Papelera del Plata S.A.</v>
          </cell>
          <cell r="AZ217" t="str">
            <v>Papelera - Papelera del Plata S.A.</v>
          </cell>
          <cell r="BA217" t="str">
            <v>Papelera - Papelera del Plata S.A.</v>
          </cell>
          <cell r="BB217" t="str">
            <v>Papelera - Papelera del Plata S.A.</v>
          </cell>
          <cell r="BC217" t="str">
            <v>Papelera - Papelera del Plata S.A.</v>
          </cell>
          <cell r="BD217" t="str">
            <v>Papelera - Papelera del Plata S.A.</v>
          </cell>
          <cell r="BE217" t="str">
            <v>Papelera - Papelera del Plata S.A.</v>
          </cell>
          <cell r="BF217" t="str">
            <v>CLI_SPOT - CLIENTE SPOT</v>
          </cell>
          <cell r="BG217" t="str">
            <v>CLI_SPOT - CLIENTE SPOT</v>
          </cell>
          <cell r="BH217" t="str">
            <v>CLI_SPOT - CLIENTE SPOT</v>
          </cell>
          <cell r="BI217" t="str">
            <v>CLI_SPOT - CLIENTE SPOT</v>
          </cell>
          <cell r="BJ217" t="str">
            <v>CLI_SPOT - CLIENTE SPOT</v>
          </cell>
          <cell r="BK217" t="str">
            <v>CLI_SPOT - CLIENTE SPOT</v>
          </cell>
          <cell r="BL217" t="str">
            <v>CLI_SPOT - CLIENTE SPOT</v>
          </cell>
          <cell r="BM217" t="str">
            <v>CLI_SPOT - CLIENTE SPOT</v>
          </cell>
          <cell r="BN217" t="str">
            <v>CLI_SPOT - CLIENTE SPOT</v>
          </cell>
          <cell r="BO217" t="str">
            <v>CLI_SPOT - CLIENTE SPOT</v>
          </cell>
          <cell r="BP217" t="str">
            <v>CLI_SPOT - CLIENTE SPOT</v>
          </cell>
          <cell r="BQ217" t="str">
            <v>Papelera - Papelera del Plata S.A.</v>
          </cell>
          <cell r="BR217" t="str">
            <v>JOHNSON - SC JOHNSON DE ARGENTINA SAIC</v>
          </cell>
          <cell r="BS217" t="str">
            <v>Papelera - Papelera del Plata S.A.</v>
          </cell>
          <cell r="BT217" t="str">
            <v>Papelera - Papelera del Plata S.A.</v>
          </cell>
          <cell r="BU217" t="str">
            <v>Papelera - Papelera del Plata S.A.</v>
          </cell>
          <cell r="BV217" t="str">
            <v>Unilever - Unilever de Arg. S.A.</v>
          </cell>
          <cell r="BW217" t="str">
            <v>Unilever - Unilever de Arg. S.A.</v>
          </cell>
          <cell r="BX217" t="str">
            <v>Papelera - Papelera del Plata S.A.</v>
          </cell>
          <cell r="BY217" t="str">
            <v>Papelera - Papelera del Plata S.A.</v>
          </cell>
          <cell r="BZ217" t="str">
            <v>Cook Master</v>
          </cell>
          <cell r="CA217" t="str">
            <v>Cook Master</v>
          </cell>
          <cell r="CB217" t="str">
            <v>Papelera - Papelera del Plata S.A.</v>
          </cell>
          <cell r="CC217" t="str">
            <v>Papelera - Papelera del Plata S.A.</v>
          </cell>
          <cell r="CD217" t="str">
            <v>Papelera - Papelera del Plata S.A.</v>
          </cell>
          <cell r="CE217" t="str">
            <v>Papelera - Papelera del Plata S.A.</v>
          </cell>
          <cell r="CF217" t="str">
            <v>Papelera - Papelera del Plata S.A.</v>
          </cell>
          <cell r="CG217" t="str">
            <v>Papelera - Papelera del Plata S.A.</v>
          </cell>
          <cell r="CH217" t="str">
            <v>LOGIS</v>
          </cell>
          <cell r="CI217" t="str">
            <v>LOGIS</v>
          </cell>
          <cell r="CJ217" t="str">
            <v>Papelera - Papelera del Plata S.A.</v>
          </cell>
          <cell r="CK217" t="str">
            <v>Papelera - Papelera del Plata S.A.</v>
          </cell>
          <cell r="CL217" t="str">
            <v>Papelera - Papelera del Plata S.A.</v>
          </cell>
          <cell r="CM217" t="str">
            <v>Papelera - Papelera del Plata S.A.</v>
          </cell>
          <cell r="CN217" t="str">
            <v>Papelera - Papelera del Plata S.A.</v>
          </cell>
          <cell r="CO217" t="str">
            <v>Papelera - Papelera del Plata S.A.</v>
          </cell>
          <cell r="CP217" t="str">
            <v>Papelera - Papelera del Plata S.A.</v>
          </cell>
          <cell r="CQ217" t="str">
            <v>Papelera - Papelera del Plata S.A.</v>
          </cell>
          <cell r="CR217" t="str">
            <v>Papelera - Papelera del Plata S.A.</v>
          </cell>
          <cell r="CS217" t="str">
            <v>Papelera - Papelera del Plata S.A.</v>
          </cell>
          <cell r="CT217" t="str">
            <v>Papelera - Papelera del Plata S.A.</v>
          </cell>
          <cell r="CU217" t="str">
            <v>Papelera - Papelera del Plata S.A.</v>
          </cell>
          <cell r="CV217" t="str">
            <v>Papelera - Papelera del Plata S.A.</v>
          </cell>
          <cell r="CW217" t="str">
            <v>Papelera - Papelera del Plata S.A.</v>
          </cell>
        </row>
        <row r="218">
          <cell r="D218" t="str">
            <v>GNY198</v>
          </cell>
          <cell r="E218" t="str">
            <v>Chasis</v>
          </cell>
          <cell r="F218" t="str">
            <v>Chasis</v>
          </cell>
          <cell r="G218" t="str">
            <v>Chasis</v>
          </cell>
          <cell r="N218" t="str">
            <v>CODYLSA</v>
          </cell>
          <cell r="O218" t="str">
            <v>CODYLSA</v>
          </cell>
          <cell r="P218" t="str">
            <v>No</v>
          </cell>
          <cell r="Q218" t="str">
            <v>Propio</v>
          </cell>
          <cell r="R218">
            <v>12</v>
          </cell>
          <cell r="S218" t="str">
            <v>Propio</v>
          </cell>
          <cell r="T218" t="str">
            <v>MERCEDES BENZ</v>
          </cell>
          <cell r="U218">
            <v>1624</v>
          </cell>
          <cell r="V218" t="str">
            <v>906973U0732156</v>
          </cell>
          <cell r="W218" t="str">
            <v>9BM6950108B539998</v>
          </cell>
          <cell r="X218">
            <v>2007</v>
          </cell>
          <cell r="Y218">
            <v>19</v>
          </cell>
          <cell r="Z218" t="str">
            <v>Danone Alianza</v>
          </cell>
          <cell r="AA218" t="str">
            <v>ADA_Mino - Danone Arg. S.A. - Mino</v>
          </cell>
          <cell r="AB218" t="str">
            <v>ADA_Mino - Danone Arg. S.A. - Mino</v>
          </cell>
          <cell r="AC218" t="str">
            <v>ADA_Mino - Danone Arg. S.A. - Mino</v>
          </cell>
          <cell r="AD218" t="str">
            <v>ADA_Mino - Danone Arg. S.A. - Mino</v>
          </cell>
          <cell r="AE218" t="str">
            <v>ADA_Mino - Danone Arg. S.A. - Mino</v>
          </cell>
          <cell r="AF218" t="str">
            <v>ADA_Mino - Danone Arg. S.A. - Mino</v>
          </cell>
          <cell r="AG218" t="str">
            <v>ADA_Mino - Danone Arg. S.A. - Mino</v>
          </cell>
          <cell r="AH218" t="str">
            <v>ADA_Mino - Danone Arg. S.A. - Mino</v>
          </cell>
          <cell r="AI218" t="str">
            <v>ADA_Mino - Danone Arg. S.A. - Mino</v>
          </cell>
          <cell r="AJ218" t="str">
            <v>ADA_Mino - Danone Arg. S.A. - Mino</v>
          </cell>
          <cell r="AK218" t="str">
            <v>ADA_Mino - Danone Arg. S.A. - Mino</v>
          </cell>
          <cell r="AL218" t="str">
            <v>ADA_Mino - Danone Arg. S.A. - Mino</v>
          </cell>
          <cell r="AM218" t="str">
            <v>ADA_Mino - Danone Arg. S.A. - Mino</v>
          </cell>
          <cell r="AN218" t="str">
            <v>ADA_Mino - Danone Arg. S.A. - Mino</v>
          </cell>
          <cell r="AO218" t="str">
            <v>ADA_Mino - Danone Arg. S.A. - Mino</v>
          </cell>
          <cell r="AP218" t="str">
            <v>ADA_Mino - Danone Arg. S.A. - Mino</v>
          </cell>
          <cell r="AQ218" t="str">
            <v>ADA_Mino - Danone Arg. S.A. - Mino</v>
          </cell>
          <cell r="AR218" t="str">
            <v>ADA_Mino - Danone Arg. S.A. - Mino</v>
          </cell>
          <cell r="AS218" t="str">
            <v>ADA_Mino - Danone Arg. S.A. - Mino</v>
          </cell>
          <cell r="AT218" t="str">
            <v>ADA_Mino - Danone Arg. S.A. - Mino</v>
          </cell>
          <cell r="AU218" t="str">
            <v>ADA_Mino - Danone Arg. S.A. - Mino</v>
          </cell>
          <cell r="AV218" t="str">
            <v>ADA_Mino - Danone Arg. S.A. - Mino</v>
          </cell>
          <cell r="AW218" t="str">
            <v>ADA_Mino - Danone Arg. S.A. - Mino</v>
          </cell>
          <cell r="AX218" t="str">
            <v>ADA_Mino - Danone Arg. S.A. - Mino</v>
          </cell>
          <cell r="AY218" t="str">
            <v>ADA_Mino - Danone Arg. S.A. - Mino</v>
          </cell>
          <cell r="AZ218" t="str">
            <v>ADA_Mino - Danone Arg. S.A. - Mino</v>
          </cell>
          <cell r="BA218" t="str">
            <v>ADA_Mino - Danone Arg. S.A. - Mino</v>
          </cell>
          <cell r="BB218" t="str">
            <v>ADA_Mino - Danone Arg. S.A. - Mino</v>
          </cell>
          <cell r="BC218" t="str">
            <v>ADA_Mino - Danone Arg. S.A. - Mino</v>
          </cell>
          <cell r="BD218" t="str">
            <v>ADA_Mino - Danone Arg. S.A. - Mino</v>
          </cell>
          <cell r="BE218" t="str">
            <v>ADA_Mino - Danone Arg. S.A. - Mino</v>
          </cell>
          <cell r="BF218" t="str">
            <v>ADA_Mino - Danone Arg. S.A. - Mino</v>
          </cell>
          <cell r="BG218" t="str">
            <v>ADA_Mino - Danone Arg. S.A. - Mino</v>
          </cell>
          <cell r="BH218" t="str">
            <v>ADA_Mino - Danone Arg. S.A. - Mino</v>
          </cell>
          <cell r="BI218" t="str">
            <v>ADA_Mino - Danone Arg. S.A. - Mino</v>
          </cell>
          <cell r="BJ218" t="str">
            <v>ADA_Mino - Danone Arg. S.A. - Mino</v>
          </cell>
          <cell r="BK218" t="str">
            <v>ADA_Mino - Danone Arg. S.A. - Mino</v>
          </cell>
          <cell r="BL218" t="str">
            <v>ADA_Mino - Danone Arg. S.A. - Mino</v>
          </cell>
          <cell r="BM218" t="str">
            <v>ADA_Mino - Danone Arg. S.A. - Mino</v>
          </cell>
          <cell r="BN218" t="str">
            <v>ADA_Mino - Danone Arg. S.A. - Mino</v>
          </cell>
          <cell r="BO218" t="str">
            <v>ADA_Mino - Danone Arg. S.A. - Mino</v>
          </cell>
          <cell r="BP218" t="str">
            <v>ADA_Mino - Danone Arg. S.A. - Mino</v>
          </cell>
          <cell r="BQ218" t="str">
            <v>ADA_Mino - Danone Arg. S.A. - Mino</v>
          </cell>
          <cell r="BR218" t="str">
            <v>ADA_Mino - Danone Arg. S.A. - Mino</v>
          </cell>
          <cell r="BS218" t="str">
            <v>ADA_Mino - Danone Arg. S.A. - Mino</v>
          </cell>
          <cell r="BT218" t="str">
            <v>ADA_Mino - Danone Arg. S.A. - Mino</v>
          </cell>
          <cell r="BU218" t="str">
            <v>CCUCoAZA</v>
          </cell>
          <cell r="BV218" t="str">
            <v>CCUCoAZA</v>
          </cell>
          <cell r="BW218" t="str">
            <v>CCUCoAZA</v>
          </cell>
          <cell r="BX218" t="str">
            <v>CCUCoAZA</v>
          </cell>
          <cell r="BY218" t="str">
            <v>CCUCoAZA</v>
          </cell>
          <cell r="BZ218" t="str">
            <v>CCUCoAZA</v>
          </cell>
          <cell r="CA218" t="str">
            <v>CCUCoAZA</v>
          </cell>
          <cell r="CB218" t="str">
            <v>CCUCoAZA</v>
          </cell>
          <cell r="CC218" t="str">
            <v>CCUCoAZA</v>
          </cell>
          <cell r="CD218" t="str">
            <v>CCUCoAZA</v>
          </cell>
          <cell r="CE218" t="str">
            <v>CCUCoAZA</v>
          </cell>
          <cell r="CF218" t="str">
            <v>CCUCoAZA</v>
          </cell>
          <cell r="CG218" t="str">
            <v>CCUCoAZA</v>
          </cell>
          <cell r="CH218" t="str">
            <v>CCUCoAZA</v>
          </cell>
          <cell r="CI218" t="str">
            <v>CCUCoAZA</v>
          </cell>
          <cell r="CJ218" t="str">
            <v>CCUCoAZA</v>
          </cell>
          <cell r="CK218" t="str">
            <v>CCUCoAZA</v>
          </cell>
          <cell r="CL218" t="str">
            <v>CCUCoAZA</v>
          </cell>
          <cell r="CM218" t="str">
            <v>CCUCoAZA</v>
          </cell>
          <cell r="CN218" t="str">
            <v>CCUCoAZA</v>
          </cell>
          <cell r="CO218" t="str">
            <v>CCUCoAZA</v>
          </cell>
          <cell r="CP218" t="str">
            <v>CCUCoAZA</v>
          </cell>
          <cell r="CQ218" t="str">
            <v>CCUCoAZA</v>
          </cell>
          <cell r="CR218" t="str">
            <v>CCUCoAZA</v>
          </cell>
          <cell r="CS218" t="str">
            <v>CCUCoAZA</v>
          </cell>
          <cell r="CT218" t="str">
            <v>CCUCoAZA</v>
          </cell>
          <cell r="CU218" t="str">
            <v>CCUCoAZA</v>
          </cell>
          <cell r="CV218" t="str">
            <v>CCUCoAZA</v>
          </cell>
          <cell r="CW218" t="str">
            <v>CCUCoAZA</v>
          </cell>
        </row>
        <row r="219">
          <cell r="D219" t="str">
            <v>GNY199</v>
          </cell>
          <cell r="E219" t="str">
            <v>Chasis</v>
          </cell>
          <cell r="F219" t="str">
            <v>Chasis</v>
          </cell>
          <cell r="G219" t="str">
            <v>Chasis</v>
          </cell>
          <cell r="N219" t="str">
            <v>CODYLSA</v>
          </cell>
          <cell r="O219" t="str">
            <v>CODYLSA</v>
          </cell>
          <cell r="P219" t="str">
            <v>No</v>
          </cell>
          <cell r="Q219" t="str">
            <v>Propio</v>
          </cell>
          <cell r="R219" t="str">
            <v>-</v>
          </cell>
          <cell r="S219" t="str">
            <v>Propio</v>
          </cell>
          <cell r="T219" t="str">
            <v>MERCEDES BENZ</v>
          </cell>
          <cell r="U219">
            <v>1624</v>
          </cell>
          <cell r="V219" t="str">
            <v>906973U0732622</v>
          </cell>
          <cell r="W219" t="str">
            <v>9BM6950108B540560</v>
          </cell>
          <cell r="X219">
            <v>2007</v>
          </cell>
          <cell r="Y219">
            <v>19</v>
          </cell>
          <cell r="Z219" t="str">
            <v>Danone Alianza</v>
          </cell>
          <cell r="AA219" t="str">
            <v>ADA_Mino - Danone Arg. S.A. - Mino</v>
          </cell>
          <cell r="AB219" t="str">
            <v>ADA_Mino - Danone Arg. S.A. - Mino</v>
          </cell>
          <cell r="AC219" t="str">
            <v>ADA_Mino - Danone Arg. S.A. - Mino</v>
          </cell>
          <cell r="AD219" t="str">
            <v>ADA_Mino - Danone Arg. S.A. - Mino</v>
          </cell>
          <cell r="AE219" t="str">
            <v>ADA_Mino - Danone Arg. S.A. - Mino</v>
          </cell>
          <cell r="AF219" t="str">
            <v>ADA_Mino - Danone Arg. S.A. - Mino</v>
          </cell>
          <cell r="AG219" t="str">
            <v>ADA_Mino - Danone Arg. S.A. - Mino</v>
          </cell>
          <cell r="AH219" t="str">
            <v>ADA_Mino - Danone Arg. S.A. - Mino</v>
          </cell>
          <cell r="AI219" t="str">
            <v>ADA_Mino - Danone Arg. S.A. - Mino</v>
          </cell>
          <cell r="AJ219" t="str">
            <v>ADA_Mino - Danone Arg. S.A. - Mino</v>
          </cell>
          <cell r="AK219" t="str">
            <v>ADA_Mino - Danone Arg. S.A. - Mino</v>
          </cell>
          <cell r="AL219" t="str">
            <v>ADA_Mino - Danone Arg. S.A. - Mino</v>
          </cell>
          <cell r="AM219" t="str">
            <v>ADA_Mino - Danone Arg. S.A. - Mino</v>
          </cell>
          <cell r="AN219" t="str">
            <v>ADA_Mino - Danone Arg. S.A. - Mino</v>
          </cell>
          <cell r="AO219" t="str">
            <v>ADA_Mino - Danone Arg. S.A. - Mino</v>
          </cell>
          <cell r="AP219" t="str">
            <v>ADA_Mino - Danone Arg. S.A. - Mino</v>
          </cell>
          <cell r="AQ219" t="str">
            <v>ADA_Mino - Danone Arg. S.A. - Mino</v>
          </cell>
          <cell r="AR219" t="str">
            <v>ADA_Mino - Danone Arg. S.A. - Mino</v>
          </cell>
          <cell r="AS219" t="str">
            <v>ADA_Mino - Danone Arg. S.A. - Mino</v>
          </cell>
          <cell r="AT219" t="str">
            <v>ADA_Mino - Danone Arg. S.A. - Mino</v>
          </cell>
          <cell r="AU219" t="str">
            <v>ADA_Mino - Danone Arg. S.A. - Mino</v>
          </cell>
          <cell r="AV219" t="str">
            <v>ADA_Mino - Danone Arg. S.A. - Mino</v>
          </cell>
          <cell r="AW219" t="str">
            <v>ADA_Mino - Danone Arg. S.A. - Mino</v>
          </cell>
          <cell r="AX219" t="str">
            <v>ADA_Mino - Danone Arg. S.A. - Mino</v>
          </cell>
          <cell r="AY219" t="str">
            <v>ADA_Mino - Danone Arg. S.A. - Mino</v>
          </cell>
          <cell r="AZ219" t="str">
            <v>ADA_Mino - Danone Arg. S.A. - Mino</v>
          </cell>
          <cell r="BA219" t="str">
            <v>ADA_Mino - Danone Arg. S.A. - Mino</v>
          </cell>
          <cell r="BB219" t="str">
            <v>ADA_Mino - Danone Arg. S.A. - Mino</v>
          </cell>
          <cell r="BC219" t="str">
            <v>ADA_Mino - Danone Arg. S.A. - Mino</v>
          </cell>
          <cell r="BD219" t="str">
            <v>ADA_Mino - Danone Arg. S.A. - Mino</v>
          </cell>
          <cell r="BE219" t="str">
            <v>ADA_Mino - Danone Arg. S.A. - Mino</v>
          </cell>
          <cell r="BF219" t="str">
            <v>ADA_Mino - Danone Arg. S.A. - Mino</v>
          </cell>
          <cell r="BG219" t="str">
            <v>ADA_Mino - Danone Arg. S.A. - Mino</v>
          </cell>
          <cell r="BH219" t="str">
            <v>ADA_Mino - Danone Arg. S.A. - Mino</v>
          </cell>
          <cell r="BI219" t="str">
            <v>ADA_Mino - Danone Arg. S.A. - Mino</v>
          </cell>
          <cell r="BJ219" t="str">
            <v>ADA_Mino - Danone Arg. S.A. - Mino</v>
          </cell>
          <cell r="BK219" t="str">
            <v>ADA_Mino - Danone Arg. S.A. - Mino</v>
          </cell>
          <cell r="BL219" t="str">
            <v>ADA_Mino - Danone Arg. S.A. - Mino</v>
          </cell>
          <cell r="BM219" t="str">
            <v>ADA_Mino - Danone Arg. S.A. - Mino</v>
          </cell>
          <cell r="BN219" t="str">
            <v>ADA_Mino - Danone Arg. S.A. - Mino</v>
          </cell>
          <cell r="BO219" t="str">
            <v>ADA_Mino - Danone Arg. S.A. - Mino</v>
          </cell>
          <cell r="BP219" t="str">
            <v>ADA_Mino - Danone Arg. S.A. - Mino</v>
          </cell>
          <cell r="BQ219" t="str">
            <v>ADA_Mino - Danone Arg. S.A. - Mino</v>
          </cell>
          <cell r="BR219" t="str">
            <v>ADA_Mino - Danone Arg. S.A. - Mino</v>
          </cell>
          <cell r="BS219" t="str">
            <v>ADA_Mino - Danone Arg. S.A. - Mino</v>
          </cell>
          <cell r="BT219" t="str">
            <v>ADA_Mino - Danone Arg. S.A. - Mino</v>
          </cell>
          <cell r="BU219" t="str">
            <v>CCUCoAZA</v>
          </cell>
          <cell r="BV219" t="str">
            <v>CCUCoAZA</v>
          </cell>
          <cell r="BW219" t="str">
            <v>CCUCoAZA</v>
          </cell>
          <cell r="BX219" t="str">
            <v>CCUCoAZA</v>
          </cell>
          <cell r="BY219" t="str">
            <v>CCUCoAZA</v>
          </cell>
          <cell r="BZ219" t="str">
            <v>CCUCoAZA</v>
          </cell>
          <cell r="CA219" t="str">
            <v>CCUCoAZA</v>
          </cell>
          <cell r="CB219" t="str">
            <v>CCUCoAZA</v>
          </cell>
          <cell r="CC219" t="str">
            <v>CCUCoAZA</v>
          </cell>
          <cell r="CD219" t="str">
            <v>CCUCoAZA</v>
          </cell>
          <cell r="CE219" t="str">
            <v>CCUCoAZA</v>
          </cell>
          <cell r="CF219" t="str">
            <v>CCUCoAZA</v>
          </cell>
          <cell r="CG219" t="str">
            <v>CCUCoAZA</v>
          </cell>
          <cell r="CH219" t="str">
            <v>CCUCoAZA</v>
          </cell>
          <cell r="CI219" t="str">
            <v>CCUCoAZA</v>
          </cell>
          <cell r="CJ219" t="str">
            <v>BAJA</v>
          </cell>
          <cell r="CK219" t="str">
            <v>BAJA</v>
          </cell>
          <cell r="CL219" t="str">
            <v>BAJA</v>
          </cell>
          <cell r="CM219" t="str">
            <v>BAJA</v>
          </cell>
          <cell r="CN219" t="str">
            <v>BAJA</v>
          </cell>
          <cell r="CO219" t="str">
            <v>BAJA</v>
          </cell>
          <cell r="CP219" t="str">
            <v>BAJA</v>
          </cell>
          <cell r="CQ219" t="str">
            <v>BAJA</v>
          </cell>
          <cell r="CR219" t="str">
            <v>BAJA</v>
          </cell>
          <cell r="CS219" t="str">
            <v>BAJA</v>
          </cell>
          <cell r="CT219" t="str">
            <v>BAJA</v>
          </cell>
          <cell r="CU219" t="str">
            <v>BAJA</v>
          </cell>
          <cell r="CV219" t="str">
            <v>BAJA</v>
          </cell>
          <cell r="CW219" t="str">
            <v>BAJA</v>
          </cell>
        </row>
        <row r="220">
          <cell r="D220" t="str">
            <v>GOR390</v>
          </cell>
          <cell r="E220" t="str">
            <v>Chasis</v>
          </cell>
          <cell r="F220" t="str">
            <v>Chasis</v>
          </cell>
          <cell r="G220" t="str">
            <v>Chasis</v>
          </cell>
          <cell r="N220" t="str">
            <v>CODYLSA</v>
          </cell>
          <cell r="O220" t="str">
            <v>CODYLSA</v>
          </cell>
          <cell r="P220" t="str">
            <v>No</v>
          </cell>
          <cell r="Q220" t="str">
            <v>Propio</v>
          </cell>
          <cell r="R220">
            <v>12</v>
          </cell>
          <cell r="S220" t="str">
            <v>Propio</v>
          </cell>
          <cell r="T220" t="str">
            <v>MERCEDES BENZ</v>
          </cell>
          <cell r="U220">
            <v>1624</v>
          </cell>
          <cell r="V220" t="str">
            <v>906973U0738620</v>
          </cell>
          <cell r="W220" t="str">
            <v>9BM6950108B547847</v>
          </cell>
          <cell r="X220">
            <v>2007</v>
          </cell>
          <cell r="Y220">
            <v>19</v>
          </cell>
          <cell r="Z220" t="str">
            <v>Papelera</v>
          </cell>
          <cell r="AA220" t="str">
            <v>Papelera - Papelera del Plata S.A.</v>
          </cell>
          <cell r="AB220" t="str">
            <v>Papelera - Papelera del Plata S.A.</v>
          </cell>
          <cell r="AC220" t="str">
            <v>Papelera - Papelera del Plata S.A.</v>
          </cell>
          <cell r="AD220" t="str">
            <v>Papelera - Papelera del Plata S.A.</v>
          </cell>
          <cell r="AE220" t="str">
            <v>Papelera - Papelera del Plata S.A.</v>
          </cell>
          <cell r="AF220" t="str">
            <v>Papelera - Papelera del Plata S.A.</v>
          </cell>
          <cell r="AG220" t="str">
            <v>Papelera - Papelera del Plata S.A.</v>
          </cell>
          <cell r="AH220" t="str">
            <v>Papelera - Papelera del Plata S.A.</v>
          </cell>
          <cell r="AI220" t="str">
            <v>Papelera - Papelera del Plata S.A.</v>
          </cell>
          <cell r="AJ220" t="str">
            <v>Papelera - Papelera del Plata S.A.</v>
          </cell>
          <cell r="AK220" t="str">
            <v>Unilever - Unilever de Arg. S.A.</v>
          </cell>
          <cell r="AL220" t="str">
            <v>Unilever - Unilever de Arg. S.A.</v>
          </cell>
          <cell r="AM220" t="str">
            <v>Unilever - Unilever de Arg. S.A.</v>
          </cell>
          <cell r="AN220" t="str">
            <v>Unilever - Unilever de Arg. S.A.</v>
          </cell>
          <cell r="AO220" t="str">
            <v>Unilever - Unilever de Arg. S.A.</v>
          </cell>
          <cell r="AP220" t="str">
            <v>Unilever - Unilever de Arg. S.A.</v>
          </cell>
          <cell r="AQ220" t="str">
            <v>Unilever - Unilever de Arg. S.A.</v>
          </cell>
          <cell r="AR220" t="str">
            <v>Unilever - Unilever de Arg. S.A.</v>
          </cell>
          <cell r="AS220" t="str">
            <v>Unilever - Unilever de Arg. S.A.</v>
          </cell>
          <cell r="AT220" t="str">
            <v>Unilever - Unilever de Arg. S.A.</v>
          </cell>
          <cell r="AU220" t="str">
            <v>Unilever - Unilever de Arg. S.A.</v>
          </cell>
          <cell r="AV220" t="str">
            <v>Unilever - Unilever de Arg. S.A.</v>
          </cell>
          <cell r="AW220" t="str">
            <v>Unilever - Unilever de Arg. S.A.</v>
          </cell>
          <cell r="AX220" t="str">
            <v>Llorente - J. Llorente y Cía. S.A.</v>
          </cell>
          <cell r="AY220" t="str">
            <v>Llorente - J. Llorente y Cía. S.A.</v>
          </cell>
          <cell r="AZ220" t="str">
            <v>Llorente - J. Llorente y Cía. S.A.</v>
          </cell>
          <cell r="BA220" t="str">
            <v>Llorente - J. Llorente y Cía. S.A.</v>
          </cell>
          <cell r="BB220" t="str">
            <v>Llorente - J. Llorente y Cía. S.A.</v>
          </cell>
          <cell r="BC220" t="str">
            <v>Llorente - J. Llorente y Cía. S.A.</v>
          </cell>
          <cell r="BD220" t="str">
            <v>Llorente - J. Llorente y Cía. S.A.</v>
          </cell>
          <cell r="BE220" t="str">
            <v>Llorente - J. Llorente y Cía. S.A.</v>
          </cell>
          <cell r="BF220" t="str">
            <v>Unilever - Unilever de Arg. S.A.</v>
          </cell>
          <cell r="BG220" t="str">
            <v>Unilever - Unilever de Arg. S.A.</v>
          </cell>
          <cell r="BH220" t="str">
            <v>Unilever - Unilever de Arg. S.A.</v>
          </cell>
          <cell r="BI220" t="str">
            <v>Unilever - Unilever de Arg. S.A.</v>
          </cell>
          <cell r="BJ220" t="str">
            <v>Unilever - Unilever de Arg. S.A.</v>
          </cell>
          <cell r="BK220" t="str">
            <v>Unilever - Unilever de Arg. S.A.</v>
          </cell>
          <cell r="BL220" t="str">
            <v>Unilever - Unilever de Arg. S.A.</v>
          </cell>
          <cell r="BM220" t="str">
            <v>Unilever - Unilever de Arg. S.A.</v>
          </cell>
          <cell r="BN220" t="str">
            <v>Unilever - Unilever de Arg. S.A.</v>
          </cell>
          <cell r="BO220" t="str">
            <v>Unilever - Unilever de Arg. S.A.</v>
          </cell>
          <cell r="BP220" t="str">
            <v>Unilever - Unilever de Arg. S.A.</v>
          </cell>
          <cell r="BQ220" t="str">
            <v>JOHNSON - SC JOHNSON DE ARGENTINA SAIC</v>
          </cell>
          <cell r="BR220" t="str">
            <v>Unilever - Unilever de Arg. S.A.</v>
          </cell>
          <cell r="BS220" t="str">
            <v>Unilever - Unilever de Arg. S.A.</v>
          </cell>
          <cell r="BT220" t="str">
            <v>Unilever - Unilever de Arg. S.A.</v>
          </cell>
          <cell r="BU220" t="str">
            <v>Unilever - Unilever de Arg. S.A.</v>
          </cell>
          <cell r="BV220" t="str">
            <v>JOHNSON - SC JOHNSON DE ARGENTINA SAIC</v>
          </cell>
          <cell r="BW220" t="str">
            <v>JOHNSON - SC JOHNSON DE ARGENTINA SAIC</v>
          </cell>
          <cell r="BX220" t="str">
            <v>Unilever - Unilever de Arg. S.A.</v>
          </cell>
          <cell r="BY220" t="str">
            <v>Unilever - Unilever de Arg. S.A.</v>
          </cell>
          <cell r="BZ220" t="str">
            <v>Unilever - Unilever de Arg. S.A.</v>
          </cell>
          <cell r="CA220" t="str">
            <v>Unilever - Unilever de Arg. S.A.</v>
          </cell>
          <cell r="CB220" t="str">
            <v>Unilever - Unilever de Arg. S.A.</v>
          </cell>
          <cell r="CC220" t="str">
            <v>Unilever - Unilever de Arg. S.A.</v>
          </cell>
          <cell r="CD220" t="str">
            <v>Unilever - Unilever de Arg. S.A.</v>
          </cell>
          <cell r="CE220" t="str">
            <v>Unilever - Unilever de Arg. S.A.</v>
          </cell>
          <cell r="CF220" t="str">
            <v>Unilever - Unilever de Arg. S.A.</v>
          </cell>
          <cell r="CG220" t="str">
            <v>Unilever - Unilever de Arg. S.A.</v>
          </cell>
          <cell r="CH220" t="str">
            <v>Unilever - Unilever de Arg. S.A.</v>
          </cell>
          <cell r="CI220" t="str">
            <v>Unilever - Unilever de Arg. S.A.</v>
          </cell>
          <cell r="CJ220" t="str">
            <v>Unilever - Unilever de Arg. S.A.</v>
          </cell>
          <cell r="CK220" t="str">
            <v>Unilever - Unilever de Arg. S.A.</v>
          </cell>
          <cell r="CL220" t="str">
            <v>Unilever - Unilever de Arg. S.A.</v>
          </cell>
          <cell r="CM220" t="str">
            <v>Unilever - Unilever de Arg. S.A.</v>
          </cell>
          <cell r="CN220" t="str">
            <v>Unilever - Unilever de Arg. S.A.</v>
          </cell>
          <cell r="CO220" t="str">
            <v>Unilever - Unilever de Arg. S.A.</v>
          </cell>
          <cell r="CP220" t="str">
            <v>Unilever - Unilever de Arg. S.A.</v>
          </cell>
          <cell r="CQ220" t="str">
            <v>Unilever - Unilever de Arg. S.A.</v>
          </cell>
          <cell r="CR220" t="str">
            <v>Unilever - Unilever de Arg. S.A.</v>
          </cell>
          <cell r="CS220" t="str">
            <v>Unilever - Unilever de Arg. S.A.</v>
          </cell>
          <cell r="CT220" t="str">
            <v>Unilever - Unilever de Arg. S.A.</v>
          </cell>
          <cell r="CU220" t="str">
            <v>Unilever - Unilever de Arg. S.A.</v>
          </cell>
          <cell r="CV220" t="str">
            <v>Unilever - Unilever de Arg. S.A.</v>
          </cell>
          <cell r="CW220" t="str">
            <v>Unilever - Unilever de Arg. S.A.</v>
          </cell>
        </row>
        <row r="221">
          <cell r="D221" t="str">
            <v>GOR397</v>
          </cell>
          <cell r="E221" t="str">
            <v>Chasis</v>
          </cell>
          <cell r="F221" t="str">
            <v>Chasis</v>
          </cell>
          <cell r="G221" t="str">
            <v>Chasis</v>
          </cell>
          <cell r="N221" t="str">
            <v>CODYLSA</v>
          </cell>
          <cell r="O221" t="str">
            <v>CODYLSA</v>
          </cell>
          <cell r="P221" t="str">
            <v>No</v>
          </cell>
          <cell r="Q221" t="str">
            <v>Propio</v>
          </cell>
          <cell r="R221">
            <v>12</v>
          </cell>
          <cell r="S221" t="str">
            <v>Propio</v>
          </cell>
          <cell r="T221" t="str">
            <v>MERCEDES BENZ</v>
          </cell>
          <cell r="U221">
            <v>1624</v>
          </cell>
          <cell r="V221" t="str">
            <v>906973U0739818</v>
          </cell>
          <cell r="W221" t="str">
            <v>9BM6950108B549475</v>
          </cell>
          <cell r="X221">
            <v>2007</v>
          </cell>
          <cell r="Y221">
            <v>19</v>
          </cell>
          <cell r="Z221" t="str">
            <v>Malargue</v>
          </cell>
          <cell r="AA221" t="str">
            <v>Expreso - Servicios Troncales</v>
          </cell>
          <cell r="AB221" t="str">
            <v>Expreso - Servicios Troncales</v>
          </cell>
          <cell r="AC221" t="str">
            <v>Expreso - Servicios Troncales</v>
          </cell>
          <cell r="AD221" t="str">
            <v>Expreso - Servicios Troncales</v>
          </cell>
          <cell r="AE221" t="str">
            <v>Expreso - Servicios Troncales</v>
          </cell>
          <cell r="AF221" t="str">
            <v>Expreso - Servicios Troncales</v>
          </cell>
          <cell r="AG221" t="str">
            <v>Expreso - Servicios Troncales</v>
          </cell>
          <cell r="AH221" t="str">
            <v>Expreso - Servicios Troncales</v>
          </cell>
          <cell r="AI221" t="str">
            <v>Expreso - Servicios Troncales</v>
          </cell>
          <cell r="AJ221" t="str">
            <v>Expreso - Servicios Troncales</v>
          </cell>
          <cell r="AK221" t="str">
            <v>Expreso - Servicios Troncales</v>
          </cell>
          <cell r="AL221" t="str">
            <v>Expreso - Servicios Troncales</v>
          </cell>
          <cell r="AM221" t="str">
            <v>Expreso - Servicios Troncales</v>
          </cell>
          <cell r="AN221" t="str">
            <v>Expreso - Servicios Troncales</v>
          </cell>
          <cell r="AO221" t="str">
            <v>Expreso - Servicios Troncales</v>
          </cell>
          <cell r="AP221" t="str">
            <v>Expreso - Servicios Troncales</v>
          </cell>
          <cell r="AQ221" t="str">
            <v>Expreso - Servicios Troncales</v>
          </cell>
          <cell r="AR221" t="str">
            <v>Expreso - Servicios Troncales</v>
          </cell>
          <cell r="AS221" t="str">
            <v>Expreso - Servicios Troncales</v>
          </cell>
          <cell r="AT221" t="str">
            <v>Expreso - Servicios Troncales</v>
          </cell>
          <cell r="AU221" t="str">
            <v>Expreso - Servicios Troncales</v>
          </cell>
          <cell r="AV221" t="str">
            <v>Expreso - Servicios Troncales</v>
          </cell>
          <cell r="AW221" t="str">
            <v>Expreso - Servicios Troncales</v>
          </cell>
          <cell r="AX221" t="str">
            <v>Expreso - Servicios Troncales</v>
          </cell>
          <cell r="AY221" t="str">
            <v>Expreso - Servicios Troncales</v>
          </cell>
          <cell r="AZ221" t="str">
            <v>Expreso - Servicios Troncales</v>
          </cell>
          <cell r="BA221" t="str">
            <v>Expreso - Servicios Troncales</v>
          </cell>
          <cell r="BB221" t="str">
            <v>Expreso - Servicios Troncales</v>
          </cell>
          <cell r="BC221" t="str">
            <v>Expreso - Servicios Troncales</v>
          </cell>
          <cell r="BD221" t="str">
            <v>SUC_SLU - Sucursal San Luis</v>
          </cell>
          <cell r="BE221" t="str">
            <v>SUC_SLU - Sucursal San Luis</v>
          </cell>
          <cell r="BF221" t="str">
            <v>SUC_SLU - Sucursal San Luis</v>
          </cell>
          <cell r="BG221" t="str">
            <v>SUC_SLU - Sucursal San Luis</v>
          </cell>
          <cell r="BH221" t="str">
            <v>SUC_SLU - Sucursal San Luis</v>
          </cell>
          <cell r="BI221" t="str">
            <v>SUC_SLU - Sucursal San Luis</v>
          </cell>
          <cell r="BJ221" t="str">
            <v>SUC_SLU - Sucursal San Luis</v>
          </cell>
          <cell r="BK221" t="str">
            <v>SUC_SLU - Sucursal San Luis</v>
          </cell>
          <cell r="BL221" t="str">
            <v>SUC_SLU - Sucursal San Luis</v>
          </cell>
          <cell r="BM221" t="str">
            <v>SUC_SLU - Sucursal San Luis</v>
          </cell>
          <cell r="BN221" t="str">
            <v>SUC_SLU - Sucursal San Luis</v>
          </cell>
          <cell r="BO221" t="str">
            <v>SUC_SLU - Sucursal San Luis</v>
          </cell>
          <cell r="BP221" t="str">
            <v>SUC_SLU - Sucursal San Luis</v>
          </cell>
          <cell r="BQ221" t="str">
            <v>SUC_SLU - Sucursal San Luis</v>
          </cell>
          <cell r="BR221" t="str">
            <v>SUC_SLU - Sucursal San Luis</v>
          </cell>
          <cell r="BS221" t="str">
            <v>SUC_SLU - Sucursal San Luis</v>
          </cell>
          <cell r="BT221" t="str">
            <v>SUC_SLU - Sucursal San Luis</v>
          </cell>
          <cell r="BU221" t="str">
            <v>SUC_SLU - Sucursal San Luis</v>
          </cell>
          <cell r="BV221" t="str">
            <v>SUC_SLU - Sucursal San Luis</v>
          </cell>
          <cell r="BW221" t="str">
            <v>SUC_SLU - Sucursal San Luis</v>
          </cell>
          <cell r="BX221" t="str">
            <v>SUC_SLU - Sucursal San Luis</v>
          </cell>
          <cell r="BY221" t="str">
            <v>SUC_SLU - Sucursal San Luis</v>
          </cell>
          <cell r="BZ221" t="str">
            <v>SUC_SLU - Sucursal San Luis</v>
          </cell>
          <cell r="CA221" t="str">
            <v>SUC_SLU - Sucursal San Luis</v>
          </cell>
          <cell r="CB221" t="str">
            <v>SUC_SLU - Sucursal San Luis</v>
          </cell>
          <cell r="CC221" t="str">
            <v>SUC_SLU - Sucursal San Luis</v>
          </cell>
          <cell r="CD221" t="str">
            <v>SUC_SLU - Sucursal San Luis</v>
          </cell>
          <cell r="CE221" t="str">
            <v>SUC_SLU - Sucursal San Luis</v>
          </cell>
          <cell r="CF221" t="str">
            <v>SUC_SLU - Sucursal San Luis</v>
          </cell>
          <cell r="CG221" t="str">
            <v>SUC_SLU - Sucursal San Luis</v>
          </cell>
          <cell r="CH221" t="str">
            <v>SUC_SLU - Sucursal San Luis</v>
          </cell>
          <cell r="CI221" t="str">
            <v>SUC_SLU - Sucursal San Luis</v>
          </cell>
          <cell r="CJ221" t="str">
            <v>SUC_SLU - Sucursal San Luis</v>
          </cell>
          <cell r="CK221" t="str">
            <v>SUC_SLU - Sucursal San Luis</v>
          </cell>
          <cell r="CL221" t="str">
            <v>SUC_SLU - Sucursal San Luis</v>
          </cell>
          <cell r="CM221" t="str">
            <v>SUC_SLU - Sucursal San Luis</v>
          </cell>
          <cell r="CN221" t="str">
            <v>SUC_SLU - Sucursal San Luis</v>
          </cell>
          <cell r="CO221" t="str">
            <v>SUC_SLU - Sucursal San Luis</v>
          </cell>
          <cell r="CP221" t="str">
            <v>SUC_SLU - Sucursal San Luis</v>
          </cell>
          <cell r="CQ221" t="str">
            <v>SUC_SLU - Sucursal San Luis</v>
          </cell>
          <cell r="CR221" t="str">
            <v>SUC_SLU - Sucursal San Luis</v>
          </cell>
          <cell r="CS221" t="str">
            <v>SUC_SLU - Sucursal San Luis</v>
          </cell>
          <cell r="CT221" t="str">
            <v>SUC_SLU - Sucursal San Luis</v>
          </cell>
          <cell r="CU221" t="str">
            <v>SUC_SLU - Sucursal San Luis</v>
          </cell>
          <cell r="CV221" t="str">
            <v>SUC_SLU - Sucursal San Luis</v>
          </cell>
          <cell r="CW221" t="str">
            <v>SUC_SLU - Sucursal San Luis</v>
          </cell>
        </row>
        <row r="222">
          <cell r="D222" t="str">
            <v>GOX956</v>
          </cell>
          <cell r="E222" t="str">
            <v>Chasis</v>
          </cell>
          <cell r="F222" t="str">
            <v>Chasis</v>
          </cell>
          <cell r="G222" t="str">
            <v>Chasis</v>
          </cell>
          <cell r="N222" t="str">
            <v>CODYLSA</v>
          </cell>
          <cell r="O222" t="str">
            <v>CODYLSA</v>
          </cell>
          <cell r="P222" t="str">
            <v>No</v>
          </cell>
          <cell r="Q222" t="str">
            <v>Propio</v>
          </cell>
          <cell r="R222">
            <v>12</v>
          </cell>
          <cell r="S222" t="str">
            <v>Propio</v>
          </cell>
          <cell r="T222" t="str">
            <v>MERCEDES BENZ</v>
          </cell>
          <cell r="U222">
            <v>1624</v>
          </cell>
          <cell r="V222" t="str">
            <v>906973U0733701</v>
          </cell>
          <cell r="W222" t="str">
            <v>9BM6950108B542138</v>
          </cell>
          <cell r="X222">
            <v>2007</v>
          </cell>
          <cell r="Y222">
            <v>19</v>
          </cell>
          <cell r="Z222" t="str">
            <v xml:space="preserve">Unilever </v>
          </cell>
          <cell r="AA222" t="str">
            <v>Unilever - Unilever de Arg. S.A.</v>
          </cell>
          <cell r="AB222" t="str">
            <v>Unilever - Unilever de Arg. S.A.</v>
          </cell>
          <cell r="AC222" t="str">
            <v>Unilever - Unilever de Arg. S.A.</v>
          </cell>
          <cell r="AD222" t="str">
            <v>Unilever - Unilever de Arg. S.A.</v>
          </cell>
          <cell r="AE222" t="str">
            <v>Unilever - Unilever de Arg. S.A.</v>
          </cell>
          <cell r="AF222" t="str">
            <v>Unilever - Unilever de Arg. S.A.</v>
          </cell>
          <cell r="AG222" t="str">
            <v>Unilever - Unilever de Arg. S.A.</v>
          </cell>
          <cell r="AH222" t="str">
            <v>Unilever - Unilever de Arg. S.A.</v>
          </cell>
          <cell r="AI222" t="str">
            <v>Unilever - Unilever de Arg. S.A.</v>
          </cell>
          <cell r="AJ222" t="str">
            <v>Unilever - Unilever de Arg. S.A.</v>
          </cell>
          <cell r="AK222" t="str">
            <v>Unilever - Unilever de Arg. S.A.</v>
          </cell>
          <cell r="AL222" t="str">
            <v>Unilever - Unilever de Arg. S.A.</v>
          </cell>
          <cell r="AM222" t="str">
            <v>Unilever - Unilever de Arg. S.A.</v>
          </cell>
          <cell r="AN222" t="str">
            <v>Unilever - Unilever de Arg. S.A.</v>
          </cell>
          <cell r="AO222" t="str">
            <v>Unilever - Unilever de Arg. S.A.</v>
          </cell>
          <cell r="AP222" t="str">
            <v>Unilever - Unilever de Arg. S.A.</v>
          </cell>
          <cell r="AQ222" t="str">
            <v>Unilever - Unilever de Arg. S.A.</v>
          </cell>
          <cell r="AR222" t="str">
            <v>Unilever - Unilever de Arg. S.A.</v>
          </cell>
          <cell r="AS222" t="str">
            <v>Unilever - Unilever de Arg. S.A.</v>
          </cell>
          <cell r="AT222" t="str">
            <v>Unilever - Unilever de Arg. S.A.</v>
          </cell>
          <cell r="AU222" t="str">
            <v>Unilever - Unilever de Arg. S.A.</v>
          </cell>
          <cell r="AV222" t="str">
            <v>Unilever - Unilever de Arg. S.A.</v>
          </cell>
          <cell r="AW222" t="str">
            <v>Unilever - Unilever de Arg. S.A.</v>
          </cell>
          <cell r="AX222" t="str">
            <v>Llorente - J. Llorente y Cía. S.A.</v>
          </cell>
          <cell r="AY222" t="str">
            <v>Llorente - J. Llorente y Cía. S.A.</v>
          </cell>
          <cell r="AZ222" t="str">
            <v>Llorente - J. Llorente y Cía. S.A.</v>
          </cell>
          <cell r="BA222" t="str">
            <v>Llorente - J. Llorente y Cía. S.A.</v>
          </cell>
          <cell r="BB222" t="str">
            <v>Llorente - J. Llorente y Cía. S.A.</v>
          </cell>
          <cell r="BC222" t="str">
            <v>Llorente - J. Llorente y Cía. S.A.</v>
          </cell>
          <cell r="BD222" t="str">
            <v>Llorente - J. Llorente y Cía. S.A.</v>
          </cell>
          <cell r="BE222" t="str">
            <v>Llorente - J. Llorente y Cía. S.A.</v>
          </cell>
          <cell r="BF222" t="str">
            <v>Unilever - Unilever de Arg. S.A.</v>
          </cell>
          <cell r="BG222" t="str">
            <v>Unilever - Unilever de Arg. S.A.</v>
          </cell>
          <cell r="BH222" t="str">
            <v>Unilever - Unilever de Arg. S.A.</v>
          </cell>
          <cell r="BI222" t="str">
            <v>Unilever - Unilever de Arg. S.A.</v>
          </cell>
          <cell r="BJ222" t="str">
            <v>Unilever - Unilever de Arg. S.A.</v>
          </cell>
          <cell r="BK222" t="str">
            <v>Unilever - Unilever de Arg. S.A.</v>
          </cell>
          <cell r="BL222" t="str">
            <v>Unilever - Unilever de Arg. S.A.</v>
          </cell>
          <cell r="BM222" t="str">
            <v>Unilever - Unilever de Arg. S.A.</v>
          </cell>
          <cell r="BN222" t="str">
            <v>Unilever - Unilever de Arg. S.A.</v>
          </cell>
          <cell r="BO222" t="str">
            <v>Unilever - Unilever de Arg. S.A.</v>
          </cell>
          <cell r="BP222" t="str">
            <v>Unilever - Unilever de Arg. S.A.</v>
          </cell>
          <cell r="BQ222" t="str">
            <v>Unilever - Unilever de Arg. S.A.</v>
          </cell>
          <cell r="BR222" t="str">
            <v>Unilever - Unilever de Arg. S.A.</v>
          </cell>
          <cell r="BS222" t="str">
            <v>JOHNSON - SC JOHNSON DE ARGENTINA SAIC</v>
          </cell>
          <cell r="BT222" t="str">
            <v>JOHNSON - SC JOHNSON DE ARGENTINA SAIC</v>
          </cell>
          <cell r="BU222" t="str">
            <v>JOHNSON - SC JOHNSON DE ARGENTINA SAIC</v>
          </cell>
          <cell r="BV222" t="str">
            <v>Unilever - Unilever de Arg. S.A.</v>
          </cell>
          <cell r="BW222" t="str">
            <v>Unilever - Unilever de Arg. S.A.</v>
          </cell>
          <cell r="BX222" t="str">
            <v>Unilever - Unilever de Arg. S.A.</v>
          </cell>
          <cell r="BY222" t="str">
            <v>Unilever - Unilever de Arg. S.A.</v>
          </cell>
          <cell r="BZ222" t="str">
            <v>JOHNSON - SC JOHNSON DE ARGENTINA SAIC</v>
          </cell>
          <cell r="CA222" t="str">
            <v>JOHNSON - SC JOHNSON DE ARGENTINA SAIC</v>
          </cell>
          <cell r="CB222" t="str">
            <v>Unilever - Unilever de Arg. S.A.</v>
          </cell>
          <cell r="CC222" t="str">
            <v>Unilever - Unilever de Arg. S.A.</v>
          </cell>
          <cell r="CD222" t="str">
            <v>Unilever - Unilever de Arg. S.A.</v>
          </cell>
          <cell r="CE222" t="str">
            <v>JOHNSON - SC JOHNSON DE ARGENTINA SAIC</v>
          </cell>
          <cell r="CF222" t="str">
            <v>JOHNSON - SC JOHNSON DE ARGENTINA SAIC</v>
          </cell>
          <cell r="CG222" t="str">
            <v>JOHNSON - SC JOHNSON DE ARGENTINA SAIC</v>
          </cell>
          <cell r="CH222" t="str">
            <v>JOHNSON - SC JOHNSON DE ARGENTINA SAIC</v>
          </cell>
          <cell r="CI222" t="str">
            <v>JOHNSON - SC JOHNSON DE ARGENTINA SAIC</v>
          </cell>
          <cell r="CJ222" t="str">
            <v>JOHNSON - SC JOHNSON DE ARGENTINA SAIC</v>
          </cell>
          <cell r="CK222" t="str">
            <v>JOHNSON - SC JOHNSON DE ARGENTINA SAIC</v>
          </cell>
          <cell r="CL222" t="str">
            <v>JOHNSON - SC JOHNSON DE ARGENTINA SAIC</v>
          </cell>
          <cell r="CM222" t="str">
            <v>JOHNSON - SC JOHNSON DE ARGENTINA SAIC</v>
          </cell>
          <cell r="CN222" t="str">
            <v>JOHNSON - SC JOHNSON DE ARGENTINA SAIC</v>
          </cell>
          <cell r="CO222" t="str">
            <v>JOHNSON - SC JOHNSON DE ARGENTINA SAIC</v>
          </cell>
          <cell r="CP222" t="str">
            <v>JOHNSON - SC JOHNSON DE ARGENTINA SAIC</v>
          </cell>
          <cell r="CQ222" t="str">
            <v>JOHNSON - SC JOHNSON DE ARGENTINA SAIC</v>
          </cell>
          <cell r="CR222" t="str">
            <v>Unilever - Unilever de Arg. S.A.</v>
          </cell>
          <cell r="CS222" t="str">
            <v>Unilever - Unilever de Arg. S.A.</v>
          </cell>
          <cell r="CT222" t="str">
            <v>Unilever - Unilever de Arg. S.A.</v>
          </cell>
          <cell r="CU222" t="str">
            <v>Unilever - Unilever de Arg. S.A.</v>
          </cell>
          <cell r="CV222" t="str">
            <v>JOHNSON - SC JOHNSON DE ARGENTINA SAIC</v>
          </cell>
          <cell r="CW222" t="str">
            <v>JOHNSON - SC JOHNSON DE ARGENTINA SAIC</v>
          </cell>
        </row>
        <row r="223">
          <cell r="D223" t="str">
            <v>GOX957</v>
          </cell>
          <cell r="E223" t="str">
            <v>Chasis</v>
          </cell>
          <cell r="F223" t="str">
            <v>Chasis</v>
          </cell>
          <cell r="G223" t="str">
            <v>Chasis</v>
          </cell>
          <cell r="N223" t="str">
            <v>CODYLSA</v>
          </cell>
          <cell r="O223" t="str">
            <v>CODYLSA</v>
          </cell>
          <cell r="P223" t="str">
            <v>No</v>
          </cell>
          <cell r="Q223" t="str">
            <v>Propio</v>
          </cell>
          <cell r="R223">
            <v>12</v>
          </cell>
          <cell r="S223" t="str">
            <v>Propio</v>
          </cell>
          <cell r="T223" t="str">
            <v>MERCEDES BENZ</v>
          </cell>
          <cell r="U223">
            <v>1624</v>
          </cell>
          <cell r="V223" t="str">
            <v>906973U0732902</v>
          </cell>
          <cell r="W223" t="str">
            <v>9BM6950108B541922</v>
          </cell>
          <cell r="X223">
            <v>2007</v>
          </cell>
          <cell r="Y223">
            <v>19</v>
          </cell>
          <cell r="Z223" t="str">
            <v xml:space="preserve">Unilever </v>
          </cell>
          <cell r="AA223" t="str">
            <v>Unilever - Unilever de Arg. S.A.</v>
          </cell>
          <cell r="AB223" t="str">
            <v>Unilever - Unilever de Arg. S.A.</v>
          </cell>
          <cell r="AC223" t="str">
            <v>Unilever - Unilever de Arg. S.A.</v>
          </cell>
          <cell r="AD223" t="str">
            <v>Unilever - Unilever de Arg. S.A.</v>
          </cell>
          <cell r="AE223" t="str">
            <v>Unilever - Unilever de Arg. S.A.</v>
          </cell>
          <cell r="AF223" t="str">
            <v>Unilever - Unilever de Arg. S.A.</v>
          </cell>
          <cell r="AG223" t="str">
            <v>Unilever - Unilever de Arg. S.A.</v>
          </cell>
          <cell r="AH223" t="str">
            <v>Unilever - Unilever de Arg. S.A.</v>
          </cell>
          <cell r="AI223" t="str">
            <v>Unilever - Unilever de Arg. S.A.</v>
          </cell>
          <cell r="AJ223" t="str">
            <v>Unilever - Unilever de Arg. S.A.</v>
          </cell>
          <cell r="AK223" t="str">
            <v>Unilever - Unilever de Arg. S.A.</v>
          </cell>
          <cell r="AL223" t="str">
            <v>Unilever - Unilever de Arg. S.A.</v>
          </cell>
          <cell r="AM223" t="str">
            <v>Unilever - Unilever de Arg. S.A.</v>
          </cell>
          <cell r="AN223" t="str">
            <v>Unilever - Unilever de Arg. S.A.</v>
          </cell>
          <cell r="AO223" t="str">
            <v>Unilever - Unilever de Arg. S.A.</v>
          </cell>
          <cell r="AP223" t="str">
            <v>Unilever - Unilever de Arg. S.A.</v>
          </cell>
          <cell r="AQ223" t="str">
            <v>Unilever - Unilever de Arg. S.A.</v>
          </cell>
          <cell r="AR223" t="str">
            <v>Unilever - Unilever de Arg. S.A.</v>
          </cell>
          <cell r="AS223" t="str">
            <v>Unilever - Unilever de Arg. S.A.</v>
          </cell>
          <cell r="AT223" t="str">
            <v>Unilever - Unilever de Arg. S.A.</v>
          </cell>
          <cell r="AU223" t="str">
            <v>Unilever - Unilever de Arg. S.A.</v>
          </cell>
          <cell r="AV223" t="str">
            <v>Unilever - Unilever de Arg. S.A.</v>
          </cell>
          <cell r="AW223" t="str">
            <v>Unilever - Unilever de Arg. S.A.</v>
          </cell>
          <cell r="AX223" t="str">
            <v>Unilever - Unilever de Arg. S.A.</v>
          </cell>
          <cell r="AY223" t="str">
            <v>Unilever - Unilever de Arg. S.A.</v>
          </cell>
          <cell r="AZ223" t="str">
            <v>Unilever - Unilever de Arg. S.A.</v>
          </cell>
          <cell r="BA223" t="str">
            <v>Unilever - Unilever de Arg. S.A.</v>
          </cell>
          <cell r="BB223" t="str">
            <v>Unilever - Unilever de Arg. S.A.</v>
          </cell>
          <cell r="BC223" t="str">
            <v>Unilever - Unilever de Arg. S.A.</v>
          </cell>
          <cell r="BD223" t="str">
            <v>Unilever - Unilever de Arg. S.A.</v>
          </cell>
          <cell r="BE223" t="str">
            <v>Unilever - Unilever de Arg. S.A.</v>
          </cell>
          <cell r="BF223" t="str">
            <v>Unilever - Unilever de Arg. S.A.</v>
          </cell>
          <cell r="BG223" t="str">
            <v>Unilever - Unilever de Arg. S.A.</v>
          </cell>
          <cell r="BH223" t="str">
            <v>Unilever - Unilever de Arg. S.A.</v>
          </cell>
          <cell r="BI223" t="str">
            <v>Unilever - Unilever de Arg. S.A.</v>
          </cell>
          <cell r="BJ223" t="str">
            <v>Unilever - Unilever de Arg. S.A.</v>
          </cell>
          <cell r="BK223" t="str">
            <v>Unilever - Unilever de Arg. S.A.</v>
          </cell>
          <cell r="BL223" t="str">
            <v>Unilever - Unilever de Arg. S.A.</v>
          </cell>
          <cell r="BM223" t="str">
            <v>Unilever - Unilever de Arg. S.A.</v>
          </cell>
          <cell r="BN223" t="str">
            <v>Unilever - Unilever de Arg. S.A.</v>
          </cell>
          <cell r="BO223" t="str">
            <v>Unilever - Unilever de Arg. S.A.</v>
          </cell>
          <cell r="BP223" t="str">
            <v>Unilever - Unilever de Arg. S.A.</v>
          </cell>
          <cell r="BQ223" t="str">
            <v>JOHNSON - SC JOHNSON DE ARGENTINA SAIC</v>
          </cell>
          <cell r="BR223" t="str">
            <v>Unilever - Unilever de Arg. S.A.</v>
          </cell>
          <cell r="BS223" t="str">
            <v>Unilever - Unilever de Arg. S.A.</v>
          </cell>
          <cell r="BT223" t="str">
            <v>Unilever - Unilever de Arg. S.A.</v>
          </cell>
          <cell r="BU223" t="str">
            <v>Unilever - Unilever de Arg. S.A.</v>
          </cell>
          <cell r="BV223" t="str">
            <v>Cook Master</v>
          </cell>
          <cell r="BW223" t="str">
            <v>Cook Master</v>
          </cell>
          <cell r="BX223" t="str">
            <v>Llorente - J. Llorente y Cía. S.A.</v>
          </cell>
          <cell r="BY223" t="str">
            <v>Llorente - J. Llorente y Cía. S.A.</v>
          </cell>
          <cell r="BZ223" t="str">
            <v>Unilever - Unilever de Arg. S.A.</v>
          </cell>
          <cell r="CA223" t="str">
            <v>Unilever - Unilever de Arg. S.A.</v>
          </cell>
          <cell r="CB223" t="str">
            <v>JOHNSON - SC JOHNSON DE ARGENTINA SAIC</v>
          </cell>
          <cell r="CC223" t="str">
            <v>JOHNSON - SC JOHNSON DE ARGENTINA SAIC</v>
          </cell>
          <cell r="CD223" t="str">
            <v>JOHNSON - SC JOHNSON DE ARGENTINA SAIC</v>
          </cell>
          <cell r="CE223" t="str">
            <v>Unilever - Unilever de Arg. S.A.</v>
          </cell>
          <cell r="CF223" t="str">
            <v>Unilever - Unilever de Arg. S.A.</v>
          </cell>
          <cell r="CG223" t="str">
            <v>Unilever - Unilever de Arg. S.A.</v>
          </cell>
          <cell r="CH223" t="str">
            <v>Unilever - Unilever de Arg. S.A.</v>
          </cell>
          <cell r="CI223" t="str">
            <v>Unilever - Unilever de Arg. S.A.</v>
          </cell>
          <cell r="CJ223" t="str">
            <v>Unilever - Unilever de Arg. S.A.</v>
          </cell>
          <cell r="CK223" t="str">
            <v>Unilever - Unilever de Arg. S.A.</v>
          </cell>
          <cell r="CL223" t="str">
            <v>Unilever - Unilever de Arg. S.A.</v>
          </cell>
          <cell r="CM223" t="str">
            <v>Unilever - Unilever de Arg. S.A.</v>
          </cell>
          <cell r="CN223" t="str">
            <v>Papelera - Papelera del Plata S.A.</v>
          </cell>
          <cell r="CO223" t="str">
            <v>Papelera - Papelera del Plata S.A.</v>
          </cell>
          <cell r="CP223" t="str">
            <v>Papelera - Papelera del Plata S.A.</v>
          </cell>
          <cell r="CQ223" t="str">
            <v>Papelera - Papelera del Plata S.A.</v>
          </cell>
          <cell r="CR223" t="str">
            <v>Papelera - Papelera del Plata S.A.</v>
          </cell>
          <cell r="CS223" t="str">
            <v>Papelera - Papelera del Plata S.A.</v>
          </cell>
          <cell r="CT223" t="str">
            <v>Unilever - Unilever de Arg. S.A.</v>
          </cell>
          <cell r="CU223" t="str">
            <v>Unilever - Unilever de Arg. S.A.</v>
          </cell>
          <cell r="CV223" t="str">
            <v>Papelera - Papelera del Plata S.A.</v>
          </cell>
          <cell r="CW223" t="str">
            <v>Papelera - Papelera del Plata S.A.</v>
          </cell>
        </row>
        <row r="224">
          <cell r="D224" t="str">
            <v>GOX958</v>
          </cell>
          <cell r="E224" t="str">
            <v>Chasis</v>
          </cell>
          <cell r="F224" t="str">
            <v>Chasis</v>
          </cell>
          <cell r="G224" t="str">
            <v>Chasis</v>
          </cell>
          <cell r="N224" t="str">
            <v>CODYLSA</v>
          </cell>
          <cell r="O224" t="str">
            <v>CODYLSA</v>
          </cell>
          <cell r="P224" t="str">
            <v>No</v>
          </cell>
          <cell r="Q224" t="str">
            <v>Propio</v>
          </cell>
          <cell r="R224">
            <v>12</v>
          </cell>
          <cell r="S224" t="str">
            <v>Propio</v>
          </cell>
          <cell r="T224" t="str">
            <v>MERCEDES BENZ</v>
          </cell>
          <cell r="U224" t="str">
            <v>L-1318</v>
          </cell>
          <cell r="V224" t="str">
            <v>904976U0739422</v>
          </cell>
          <cell r="W224" t="str">
            <v>9BM6940008B548972</v>
          </cell>
          <cell r="X224">
            <v>2007</v>
          </cell>
          <cell r="Y224">
            <v>19</v>
          </cell>
          <cell r="Z224" t="str">
            <v xml:space="preserve">Unilever </v>
          </cell>
          <cell r="AA224" t="str">
            <v>Unilever - Unilever de Arg. S.A.</v>
          </cell>
          <cell r="AB224" t="str">
            <v>Unilever - Unilever de Arg. S.A.</v>
          </cell>
          <cell r="AC224" t="str">
            <v>Unilever - Unilever de Arg. S.A.</v>
          </cell>
          <cell r="AD224" t="str">
            <v>Unilever - Unilever de Arg. S.A.</v>
          </cell>
          <cell r="AE224" t="str">
            <v>Unilever - Unilever de Arg. S.A.</v>
          </cell>
          <cell r="AF224" t="str">
            <v>Unilever - Unilever de Arg. S.A.</v>
          </cell>
          <cell r="AG224" t="str">
            <v>Unilever - Unilever de Arg. S.A.</v>
          </cell>
          <cell r="AH224" t="str">
            <v>Unilever - Unilever de Arg. S.A.</v>
          </cell>
          <cell r="AI224" t="str">
            <v>Unilever - Unilever de Arg. S.A.</v>
          </cell>
          <cell r="AJ224" t="str">
            <v>Unilever - Unilever de Arg. S.A.</v>
          </cell>
          <cell r="AK224" t="str">
            <v>Unilever - Unilever de Arg. S.A.</v>
          </cell>
          <cell r="AL224" t="str">
            <v>Unilever - Unilever de Arg. S.A.</v>
          </cell>
          <cell r="AM224" t="str">
            <v>Unilever - Unilever de Arg. S.A.</v>
          </cell>
          <cell r="AN224" t="str">
            <v>JOHNSON - SC JOHNSON DE ARGENTINA SAIC</v>
          </cell>
          <cell r="AO224" t="str">
            <v>Unilever - Unilever de Arg. S.A.</v>
          </cell>
          <cell r="AP224" t="str">
            <v>Unilever - Unilever de Arg. S.A.</v>
          </cell>
          <cell r="AQ224" t="str">
            <v>Unilever - Unilever de Arg. S.A.</v>
          </cell>
          <cell r="AR224" t="str">
            <v>Unilever - Unilever de Arg. S.A.</v>
          </cell>
          <cell r="AS224" t="str">
            <v>Unilever - Unilever de Arg. S.A.</v>
          </cell>
          <cell r="AT224" t="str">
            <v>Unilever - Unilever de Arg. S.A.</v>
          </cell>
          <cell r="AU224" t="str">
            <v>Unilever - Unilever de Arg. S.A.</v>
          </cell>
          <cell r="AV224" t="str">
            <v>Unilever - Unilever de Arg. S.A.</v>
          </cell>
          <cell r="AW224" t="str">
            <v>Unilever - Unilever de Arg. S.A.</v>
          </cell>
          <cell r="AX224" t="str">
            <v>Unilever - Unilever de Arg. S.A.</v>
          </cell>
          <cell r="AY224" t="str">
            <v>Unilever - Unilever de Arg. S.A.</v>
          </cell>
          <cell r="AZ224" t="str">
            <v>Unilever - Unilever de Arg. S.A.</v>
          </cell>
          <cell r="BA224" t="str">
            <v>Unilever - Unilever de Arg. S.A.</v>
          </cell>
          <cell r="BB224" t="str">
            <v>Unilever - Unilever de Arg. S.A.</v>
          </cell>
          <cell r="BC224" t="str">
            <v>Unilever - Unilever de Arg. S.A.</v>
          </cell>
          <cell r="BD224" t="str">
            <v>Unilever - Unilever de Arg. S.A.</v>
          </cell>
          <cell r="BE224" t="str">
            <v>Unilever - Unilever de Arg. S.A.</v>
          </cell>
          <cell r="BF224" t="str">
            <v>Unilever - Unilever de Arg. S.A.</v>
          </cell>
          <cell r="BG224" t="str">
            <v>Unilever - Unilever de Arg. S.A.</v>
          </cell>
          <cell r="BH224" t="str">
            <v>Unilever - Unilever de Arg. S.A.</v>
          </cell>
          <cell r="BI224" t="str">
            <v>Unilever - Unilever de Arg. S.A.</v>
          </cell>
          <cell r="BJ224" t="str">
            <v>Unilever - Unilever de Arg. S.A.</v>
          </cell>
          <cell r="BK224" t="str">
            <v>Unilever - Unilever de Arg. S.A.</v>
          </cell>
          <cell r="BL224" t="str">
            <v>Unilever - Unilever de Arg. S.A.</v>
          </cell>
          <cell r="BM224" t="str">
            <v>Unilever - Unilever de Arg. S.A.</v>
          </cell>
          <cell r="BN224" t="str">
            <v>Unilever - Unilever de Arg. S.A.</v>
          </cell>
          <cell r="BO224" t="str">
            <v>Unilever - Unilever de Arg. S.A.</v>
          </cell>
          <cell r="BP224" t="str">
            <v>Unilever - Unilever de Arg. S.A.</v>
          </cell>
          <cell r="BQ224" t="str">
            <v>JOHNSON - SC JOHNSON DE ARGENTINA SAIC</v>
          </cell>
          <cell r="BR224" t="str">
            <v>Unilever - Unilever de Arg. S.A.</v>
          </cell>
          <cell r="BS224" t="str">
            <v>Unilever - Unilever de Arg. S.A.</v>
          </cell>
          <cell r="BT224" t="str">
            <v>Unilever - Unilever de Arg. S.A.</v>
          </cell>
          <cell r="BU224" t="str">
            <v>Unilever - Unilever de Arg. S.A.</v>
          </cell>
          <cell r="BV224" t="str">
            <v>Unilever - Unilever de Arg. S.A.</v>
          </cell>
          <cell r="BW224" t="str">
            <v>Unilever - Unilever de Arg. S.A.</v>
          </cell>
          <cell r="BX224" t="str">
            <v>JOHNSON - SC JOHNSON DE ARGENTINA SAIC</v>
          </cell>
          <cell r="BY224" t="str">
            <v>JOHNSON - SC JOHNSON DE ARGENTINA SAIC</v>
          </cell>
          <cell r="BZ224" t="str">
            <v>Unilever - Unilever de Arg. S.A.</v>
          </cell>
          <cell r="CA224" t="str">
            <v>Unilever - Unilever de Arg. S.A.</v>
          </cell>
          <cell r="CB224" t="str">
            <v>Unilever - Unilever de Arg. S.A.</v>
          </cell>
          <cell r="CC224" t="str">
            <v>Unilever - Unilever de Arg. S.A.</v>
          </cell>
          <cell r="CD224" t="str">
            <v>Unilever - Unilever de Arg. S.A.</v>
          </cell>
          <cell r="CE224" t="str">
            <v>Unilever - Unilever de Arg. S.A.</v>
          </cell>
          <cell r="CF224" t="str">
            <v>Unilever - Unilever de Arg. S.A.</v>
          </cell>
          <cell r="CG224" t="str">
            <v>Unilever - Unilever de Arg. S.A.</v>
          </cell>
          <cell r="CH224" t="str">
            <v>Unilever - Unilever de Arg. S.A.</v>
          </cell>
          <cell r="CI224" t="str">
            <v>Unilever - Unilever de Arg. S.A.</v>
          </cell>
          <cell r="CJ224" t="str">
            <v>Unilever - Unilever de Arg. S.A.</v>
          </cell>
          <cell r="CK224" t="str">
            <v>Unilever - Unilever de Arg. S.A.</v>
          </cell>
          <cell r="CL224" t="str">
            <v>Unilever - Unilever de Arg. S.A.</v>
          </cell>
          <cell r="CM224" t="str">
            <v>Unilever - Unilever de Arg. S.A.</v>
          </cell>
          <cell r="CN224" t="str">
            <v>Unilever - Unilever de Arg. S.A.</v>
          </cell>
          <cell r="CO224" t="str">
            <v>Unilever - Unilever de Arg. S.A.</v>
          </cell>
          <cell r="CP224" t="str">
            <v>Papelera - Papelera del Plata S.A.</v>
          </cell>
          <cell r="CQ224" t="str">
            <v>Papelera - Papelera del Plata S.A.</v>
          </cell>
          <cell r="CR224" t="str">
            <v>Papelera - Papelera del Plata S.A.</v>
          </cell>
          <cell r="CS224" t="str">
            <v>Papelera - Papelera del Plata S.A.</v>
          </cell>
          <cell r="CT224" t="str">
            <v>Papelera - Papelera del Plata S.A.</v>
          </cell>
          <cell r="CU224" t="str">
            <v>Papelera - Papelera del Plata S.A.</v>
          </cell>
          <cell r="CV224" t="str">
            <v>Papelera - Papelera del Plata S.A.</v>
          </cell>
          <cell r="CW224" t="str">
            <v>Papelera - Papelera del Plata S.A.</v>
          </cell>
        </row>
        <row r="225">
          <cell r="D225" t="str">
            <v>GOX959</v>
          </cell>
          <cell r="E225" t="str">
            <v>Chasis</v>
          </cell>
          <cell r="F225" t="str">
            <v>Chasis</v>
          </cell>
          <cell r="G225" t="str">
            <v>Chasis</v>
          </cell>
          <cell r="N225" t="str">
            <v>CODYLSA</v>
          </cell>
          <cell r="O225" t="str">
            <v>CODYLSA</v>
          </cell>
          <cell r="P225" t="str">
            <v>No</v>
          </cell>
          <cell r="Q225" t="str">
            <v>Propio</v>
          </cell>
          <cell r="R225">
            <v>12</v>
          </cell>
          <cell r="S225" t="str">
            <v>Propio</v>
          </cell>
          <cell r="T225" t="str">
            <v>MERCEDES BENZ</v>
          </cell>
          <cell r="U225" t="str">
            <v>L-1318</v>
          </cell>
          <cell r="V225" t="str">
            <v>904976U0729059</v>
          </cell>
          <cell r="W225" t="str">
            <v>9BM6940008B536180</v>
          </cell>
          <cell r="X225">
            <v>2007</v>
          </cell>
          <cell r="Y225">
            <v>19</v>
          </cell>
          <cell r="Z225" t="str">
            <v>Danone Alianza</v>
          </cell>
          <cell r="AA225" t="str">
            <v>ADA_Mino - Danone Arg. S.A. - Mino</v>
          </cell>
          <cell r="AB225" t="str">
            <v>ADA_Mino - Danone Arg. S.A. - Mino</v>
          </cell>
          <cell r="AC225" t="str">
            <v>ADA_Mino - Danone Arg. S.A. - Mino</v>
          </cell>
          <cell r="AD225" t="str">
            <v>ADA_Mino - Danone Arg. S.A. - Mino</v>
          </cell>
          <cell r="AE225" t="str">
            <v>ADA_Mino - Danone Arg. S.A. - Mino</v>
          </cell>
          <cell r="AF225" t="str">
            <v>ADA_Mino - Danone Arg. S.A. - Mino</v>
          </cell>
          <cell r="AG225" t="str">
            <v>ADA_Mino - Danone Arg. S.A. - Mino</v>
          </cell>
          <cell r="AH225" t="str">
            <v>ADA_Mino - Danone Arg. S.A. - Mino</v>
          </cell>
          <cell r="AI225" t="str">
            <v>ADA_Mino - Danone Arg. S.A. - Mino</v>
          </cell>
          <cell r="AJ225" t="str">
            <v>ADA_Mino - Danone Arg. S.A. - Mino</v>
          </cell>
          <cell r="AK225" t="str">
            <v>ADA_Mino - Danone Arg. S.A. - Mino</v>
          </cell>
          <cell r="AL225" t="str">
            <v>ADA_Mino - Danone Arg. S.A. - Mino</v>
          </cell>
          <cell r="AM225" t="str">
            <v>ADA_Mino - Danone Arg. S.A. - Mino</v>
          </cell>
          <cell r="AN225" t="str">
            <v>ADA_Mino - Danone Arg. S.A. - Mino</v>
          </cell>
          <cell r="AO225" t="str">
            <v>ADA_Mino - Danone Arg. S.A. - Mino</v>
          </cell>
          <cell r="AP225" t="str">
            <v>ADA_Mino - Danone Arg. S.A. - Mino</v>
          </cell>
          <cell r="AQ225" t="str">
            <v>ADA_Mino - Danone Arg. S.A. - Mino</v>
          </cell>
          <cell r="AR225" t="str">
            <v>ADA_Mino - Danone Arg. S.A. - Mino</v>
          </cell>
          <cell r="AS225" t="str">
            <v>ADA_Mino - Danone Arg. S.A. - Mino</v>
          </cell>
          <cell r="AT225" t="str">
            <v>ADA_Mino - Danone Arg. S.A. - Mino</v>
          </cell>
          <cell r="AU225" t="str">
            <v>ADA_Mino - Danone Arg. S.A. - Mino</v>
          </cell>
          <cell r="AV225" t="str">
            <v>ADA_Mino - Danone Arg. S.A. - Mino</v>
          </cell>
          <cell r="AW225" t="str">
            <v>ADA_Mino - Danone Arg. S.A. - Mino</v>
          </cell>
          <cell r="AX225" t="str">
            <v>ADA_Mino - Danone Arg. S.A. - Mino</v>
          </cell>
          <cell r="AY225" t="str">
            <v>ADA_Mino - Danone Arg. S.A. - Mino</v>
          </cell>
          <cell r="AZ225" t="str">
            <v>ADA_Mino - Danone Arg. S.A. - Mino</v>
          </cell>
          <cell r="BA225" t="str">
            <v>ADA_Mino - Danone Arg. S.A. - Mino</v>
          </cell>
          <cell r="BB225" t="str">
            <v>ADA_Mino - Danone Arg. S.A. - Mino</v>
          </cell>
          <cell r="BC225" t="str">
            <v>ADA_Mino - Danone Arg. S.A. - Mino</v>
          </cell>
          <cell r="BD225" t="str">
            <v>ADA_Mino - Danone Arg. S.A. - Mino</v>
          </cell>
          <cell r="BE225" t="str">
            <v>ADA_Mino - Danone Arg. S.A. - Mino</v>
          </cell>
          <cell r="BF225" t="str">
            <v>ADA_Mino - Danone Arg. S.A. - Mino</v>
          </cell>
          <cell r="BG225" t="str">
            <v>ADA_Mino - Danone Arg. S.A. - Mino</v>
          </cell>
          <cell r="BH225" t="str">
            <v>ADA_Mino - Danone Arg. S.A. - Mino</v>
          </cell>
          <cell r="BI225" t="str">
            <v>ADA_Mino - Danone Arg. S.A. - Mino</v>
          </cell>
          <cell r="BJ225" t="str">
            <v>ADA_Mino - Danone Arg. S.A. - Mino</v>
          </cell>
          <cell r="BK225" t="str">
            <v>ADA_Mino - Danone Arg. S.A. - Mino</v>
          </cell>
          <cell r="BL225" t="str">
            <v>ADA_Mino - Danone Arg. S.A. - Mino</v>
          </cell>
          <cell r="BM225" t="str">
            <v>ADA_Mino - Danone Arg. S.A. - Mino</v>
          </cell>
          <cell r="BN225" t="str">
            <v>ADA_Mino - Danone Arg. S.A. - Mino</v>
          </cell>
          <cell r="BO225" t="str">
            <v>ADA_Mino - Danone Arg. S.A. - Mino</v>
          </cell>
          <cell r="BP225" t="str">
            <v>ADA_Mino - Danone Arg. S.A. - Mino</v>
          </cell>
          <cell r="BQ225" t="str">
            <v>ADA_Mino - Danone Arg. S.A. - Mino</v>
          </cell>
          <cell r="BR225" t="str">
            <v>ADA_Mino - Danone Arg. S.A. - Mino</v>
          </cell>
          <cell r="BS225" t="str">
            <v>ADA_Mino - Danone Arg. S.A. - Mino</v>
          </cell>
          <cell r="BT225" t="str">
            <v>ADA_Mino - Danone Arg. S.A. - Mino</v>
          </cell>
          <cell r="BU225" t="str">
            <v>CCUCoAZA</v>
          </cell>
          <cell r="BV225" t="str">
            <v>CCUCoAZA</v>
          </cell>
          <cell r="BW225" t="str">
            <v>CCUCoAZA</v>
          </cell>
          <cell r="BX225" t="str">
            <v>CCUCoAZA</v>
          </cell>
          <cell r="BY225" t="str">
            <v>CCUCoAZA</v>
          </cell>
          <cell r="BZ225" t="str">
            <v>CCUCoAZA</v>
          </cell>
          <cell r="CA225" t="str">
            <v>CCUCoAZA</v>
          </cell>
          <cell r="CB225" t="str">
            <v>CCUCoAZA</v>
          </cell>
          <cell r="CC225" t="str">
            <v>CCUCoAZA</v>
          </cell>
          <cell r="CD225" t="str">
            <v>CCUCoAZA</v>
          </cell>
          <cell r="CE225" t="str">
            <v>CCUCoAZA</v>
          </cell>
          <cell r="CF225" t="str">
            <v>CCUCoAZA</v>
          </cell>
          <cell r="CG225" t="str">
            <v>CCUCoAZA</v>
          </cell>
          <cell r="CH225" t="str">
            <v>CCUCoAZA</v>
          </cell>
          <cell r="CI225" t="str">
            <v>CCUCoAZA</v>
          </cell>
          <cell r="CJ225" t="str">
            <v>CCUCoAZA</v>
          </cell>
          <cell r="CK225" t="str">
            <v>CCUCoAZA</v>
          </cell>
          <cell r="CL225" t="str">
            <v>CCUCoAZA</v>
          </cell>
          <cell r="CM225" t="str">
            <v>CCUCoAZA</v>
          </cell>
          <cell r="CN225" t="str">
            <v>CCUCoAZA</v>
          </cell>
          <cell r="CO225" t="str">
            <v>CCUCoAZA</v>
          </cell>
          <cell r="CP225" t="str">
            <v>CCUCoAZA</v>
          </cell>
          <cell r="CQ225" t="str">
            <v>CCUCoAZA</v>
          </cell>
          <cell r="CR225" t="str">
            <v>CCUCoAZA</v>
          </cell>
          <cell r="CS225" t="str">
            <v>CCUCoAZA</v>
          </cell>
          <cell r="CT225" t="str">
            <v>CCUCoAZA</v>
          </cell>
          <cell r="CU225" t="str">
            <v>CCUCoAZA</v>
          </cell>
          <cell r="CV225" t="str">
            <v>CCUCoAZA</v>
          </cell>
          <cell r="CW225" t="str">
            <v>CCUCoAZA</v>
          </cell>
        </row>
        <row r="226">
          <cell r="D226" t="str">
            <v>GPE838</v>
          </cell>
          <cell r="E226" t="str">
            <v>Tractor</v>
          </cell>
          <cell r="F226">
            <v>0</v>
          </cell>
          <cell r="G226" t="str">
            <v>Tractor</v>
          </cell>
          <cell r="N226" t="str">
            <v>CICERO JUAN PABLO</v>
          </cell>
          <cell r="O226" t="str">
            <v>CICERO JUAN PABLO</v>
          </cell>
          <cell r="P226" t="str">
            <v>No</v>
          </cell>
          <cell r="Q226" t="str">
            <v>De Tercero</v>
          </cell>
          <cell r="R226" t="str">
            <v>-</v>
          </cell>
          <cell r="S226" t="str">
            <v>De Tercero</v>
          </cell>
          <cell r="T226" t="str">
            <v>FORD</v>
          </cell>
          <cell r="U226" t="str">
            <v>CARGO 1832E</v>
          </cell>
          <cell r="V226">
            <v>2007</v>
          </cell>
          <cell r="W226">
            <v>19</v>
          </cell>
          <cell r="X226">
            <v>2007</v>
          </cell>
          <cell r="Y226">
            <v>19</v>
          </cell>
          <cell r="Z226" t="str">
            <v>No operativo</v>
          </cell>
          <cell r="AA226" t="str">
            <v>CMQ_TTE - QUILMES TTE</v>
          </cell>
          <cell r="AB226" t="str">
            <v>CMQ_TTE - QUILMES TTE</v>
          </cell>
          <cell r="AC226" t="str">
            <v>CMQ_TTE - QUILMES TTE</v>
          </cell>
          <cell r="AD226" t="str">
            <v>CMQ_TTE - QUILMES TTE</v>
          </cell>
          <cell r="AE226" t="str">
            <v>CMQ_TTE - QUILMES TTE</v>
          </cell>
          <cell r="AF226" t="str">
            <v>CMQ_TTE - QUILMES TTE</v>
          </cell>
          <cell r="AG226" t="str">
            <v>CMQ_TTE - QUILMES TTE</v>
          </cell>
          <cell r="AH226" t="str">
            <v>CMQ_TTE - QUILMES TTE</v>
          </cell>
          <cell r="AI226" t="str">
            <v>CMQ_TTE - QUILMES TTE</v>
          </cell>
          <cell r="AJ226" t="str">
            <v>CMQ_TTE - QUILMES TTE</v>
          </cell>
          <cell r="AK226" t="str">
            <v>CMQ_TTE - QUILMES TTE</v>
          </cell>
          <cell r="AL226" t="str">
            <v>Procter - Procter&amp;Gamble de Arg. S.R.L</v>
          </cell>
          <cell r="AM226" t="str">
            <v>Procter - Procter&amp;Gamble de Arg. S.R.L</v>
          </cell>
          <cell r="AN226" t="str">
            <v>CMQ_TTE - QUILMES TTE</v>
          </cell>
          <cell r="AO226" t="str">
            <v>CMQ_TTE - QUILMES TTE</v>
          </cell>
          <cell r="AP226" t="str">
            <v>CMQ_TTE - QUILMES TTE</v>
          </cell>
          <cell r="AQ226" t="str">
            <v>CMQ_TTE - QUILMES TTE</v>
          </cell>
          <cell r="AR226" t="str">
            <v>CMQ_TTE - QUILMES TTE</v>
          </cell>
          <cell r="AS226" t="str">
            <v>CMQ_TTE - QUILMES TTE</v>
          </cell>
          <cell r="AT226" t="str">
            <v>CMQ_TTE - QUILMES TTE</v>
          </cell>
          <cell r="AU226" t="str">
            <v>CMQ_TTE - QUILMES TTE</v>
          </cell>
          <cell r="AV226" t="str">
            <v>CMQ_TTE - QUILMES TTE</v>
          </cell>
          <cell r="AW226" t="str">
            <v>CMQ_TTE - QUILMES TTE</v>
          </cell>
          <cell r="AX226" t="str">
            <v>INACTIVO</v>
          </cell>
          <cell r="AY226" t="str">
            <v>INACTIVO</v>
          </cell>
          <cell r="AZ226" t="str">
            <v>INACTIVO</v>
          </cell>
          <cell r="BA226" t="str">
            <v>INACTIVO</v>
          </cell>
          <cell r="BB226" t="str">
            <v>INACTIVO</v>
          </cell>
          <cell r="BC226" t="str">
            <v>INACTIVO</v>
          </cell>
          <cell r="BD226" t="str">
            <v>INACTIVO</v>
          </cell>
          <cell r="BE226" t="str">
            <v>INACTIVO</v>
          </cell>
          <cell r="BF226" t="str">
            <v>INACTIVO</v>
          </cell>
          <cell r="BG226" t="str">
            <v>INACTIVO</v>
          </cell>
          <cell r="BH226" t="str">
            <v>INACTIVO</v>
          </cell>
          <cell r="BI226" t="str">
            <v>INACTIVO</v>
          </cell>
          <cell r="BJ226" t="str">
            <v>INACTIVO</v>
          </cell>
          <cell r="BK226" t="str">
            <v>INACTIVO</v>
          </cell>
          <cell r="BL226" t="str">
            <v>INACTIVO</v>
          </cell>
          <cell r="BM226" t="str">
            <v>INACTIVO</v>
          </cell>
          <cell r="BN226" t="str">
            <v>INACTIVO</v>
          </cell>
          <cell r="BO226" t="str">
            <v>CMQ_TTE - QUILMES TTE</v>
          </cell>
          <cell r="BP226" t="str">
            <v>CMQ_TTE - QUILMES TTE</v>
          </cell>
          <cell r="BQ226" t="str">
            <v>CMQ_TTE - QUILMES TTE</v>
          </cell>
          <cell r="BR226" t="str">
            <v>CMQ_TTE - QUILMES TTE</v>
          </cell>
          <cell r="BS226" t="str">
            <v>CMQ_TTE - QUILMES TTE</v>
          </cell>
          <cell r="BT226" t="str">
            <v>CMQ_TTE - QUILMES TTE</v>
          </cell>
          <cell r="BU226" t="str">
            <v>CMQ_TTE - QUILMES TTE</v>
          </cell>
          <cell r="BV226" t="str">
            <v>Sin Operación</v>
          </cell>
          <cell r="BW226" t="str">
            <v>Sin Operación</v>
          </cell>
          <cell r="BX226" t="str">
            <v>Sin Operación</v>
          </cell>
          <cell r="BY226" t="str">
            <v>Sin Operación</v>
          </cell>
          <cell r="BZ226" t="str">
            <v>Sin Operación</v>
          </cell>
          <cell r="CA226" t="str">
            <v>INACTIVO</v>
          </cell>
          <cell r="CB226" t="str">
            <v>INACTIVO</v>
          </cell>
          <cell r="CC226" t="str">
            <v>BAJA</v>
          </cell>
          <cell r="CD226" t="str">
            <v>BAJA</v>
          </cell>
          <cell r="CE226" t="str">
            <v>BAJA</v>
          </cell>
          <cell r="CF226" t="str">
            <v>BAJA</v>
          </cell>
          <cell r="CG226" t="str">
            <v>BAJA</v>
          </cell>
          <cell r="CH226" t="str">
            <v>BAJA</v>
          </cell>
          <cell r="CI226" t="str">
            <v>BAJA</v>
          </cell>
          <cell r="CJ226" t="str">
            <v>BAJA</v>
          </cell>
          <cell r="CK226" t="str">
            <v>BAJA</v>
          </cell>
          <cell r="CL226" t="str">
            <v>BAJA</v>
          </cell>
          <cell r="CM226" t="str">
            <v>BAJA</v>
          </cell>
          <cell r="CN226" t="str">
            <v>BAJA</v>
          </cell>
          <cell r="CO226" t="str">
            <v>BAJA</v>
          </cell>
          <cell r="CP226" t="str">
            <v>BAJA</v>
          </cell>
          <cell r="CQ226" t="str">
            <v>BAJA</v>
          </cell>
          <cell r="CR226" t="str">
            <v>BAJA</v>
          </cell>
          <cell r="CS226" t="str">
            <v>BAJA</v>
          </cell>
          <cell r="CT226" t="str">
            <v>BAJA</v>
          </cell>
          <cell r="CU226" t="str">
            <v>BAJA</v>
          </cell>
          <cell r="CV226" t="str">
            <v>BAJA</v>
          </cell>
          <cell r="CW226" t="str">
            <v>BAJA</v>
          </cell>
        </row>
        <row r="227">
          <cell r="D227" t="str">
            <v>GPL520</v>
          </cell>
          <cell r="E227" t="str">
            <v>Chasis</v>
          </cell>
          <cell r="F227" t="str">
            <v>Chasis</v>
          </cell>
          <cell r="G227" t="str">
            <v>Chasis</v>
          </cell>
          <cell r="N227" t="str">
            <v>CODYLSA</v>
          </cell>
          <cell r="O227" t="str">
            <v>CODYLSA</v>
          </cell>
          <cell r="P227" t="str">
            <v>No</v>
          </cell>
          <cell r="Q227" t="str">
            <v>Propio</v>
          </cell>
          <cell r="R227">
            <v>12</v>
          </cell>
          <cell r="S227" t="str">
            <v>Propio</v>
          </cell>
          <cell r="T227" t="str">
            <v>MERCEDES BENZ</v>
          </cell>
          <cell r="U227" t="str">
            <v>L-1318</v>
          </cell>
          <cell r="V227" t="str">
            <v>904976U0734147</v>
          </cell>
          <cell r="W227" t="str">
            <v>9BM6940008B542498</v>
          </cell>
          <cell r="X227">
            <v>2007</v>
          </cell>
          <cell r="Y227">
            <v>19</v>
          </cell>
          <cell r="Z227" t="str">
            <v>Malargue</v>
          </cell>
          <cell r="AA227" t="str">
            <v>Expreso - Servicios Troncales</v>
          </cell>
          <cell r="AB227" t="str">
            <v>Expreso - Servicios Troncales</v>
          </cell>
          <cell r="AC227" t="str">
            <v>Expreso - Servicios Troncales</v>
          </cell>
          <cell r="AD227" t="str">
            <v>Expreso - Servicios Troncales</v>
          </cell>
          <cell r="AE227" t="str">
            <v>Expreso - Servicios Troncales</v>
          </cell>
          <cell r="AF227" t="str">
            <v>Expreso - Servicios Troncales</v>
          </cell>
          <cell r="AG227" t="str">
            <v>Expreso - Servicios Troncales</v>
          </cell>
          <cell r="AH227" t="str">
            <v>Expreso - Servicios Troncales</v>
          </cell>
          <cell r="AI227" t="str">
            <v>Expreso - Servicios Troncales</v>
          </cell>
          <cell r="AJ227" t="str">
            <v>Expreso - Servicios Troncales</v>
          </cell>
          <cell r="AK227" t="str">
            <v>Expreso - Servicios Troncales</v>
          </cell>
          <cell r="AL227" t="str">
            <v>Expreso - Servicios Troncales</v>
          </cell>
          <cell r="AM227" t="str">
            <v>Expreso - Servicios Troncales</v>
          </cell>
          <cell r="AN227" t="str">
            <v>Expreso - Servicios Troncales</v>
          </cell>
          <cell r="AO227" t="str">
            <v>Expreso - Servicios Troncales</v>
          </cell>
          <cell r="AP227" t="str">
            <v>Expreso - Servicios Troncales</v>
          </cell>
          <cell r="AQ227" t="str">
            <v>Expreso - Servicios Troncales</v>
          </cell>
          <cell r="AR227" t="str">
            <v>Expreso - Servicios Troncales</v>
          </cell>
          <cell r="AS227" t="str">
            <v>Expreso - Servicios Troncales</v>
          </cell>
          <cell r="AT227" t="str">
            <v>Expreso - Servicios Troncales</v>
          </cell>
          <cell r="AU227" t="str">
            <v>Expreso - Servicios Troncales</v>
          </cell>
          <cell r="AV227" t="str">
            <v>Expreso - Servicios Troncales</v>
          </cell>
          <cell r="AW227" t="str">
            <v>Expreso - Servicios Troncales</v>
          </cell>
          <cell r="AX227" t="str">
            <v>Expreso - Servicios Troncales</v>
          </cell>
          <cell r="AY227" t="str">
            <v>Expreso - Servicios Troncales</v>
          </cell>
          <cell r="AZ227" t="str">
            <v>Expreso - Servicios Troncales</v>
          </cell>
          <cell r="BA227" t="str">
            <v>Expreso - Servicios Troncales</v>
          </cell>
          <cell r="BB227" t="str">
            <v>Expreso - Servicios Troncales</v>
          </cell>
          <cell r="BC227" t="str">
            <v>Expreso - Servicios Troncales</v>
          </cell>
          <cell r="BD227" t="str">
            <v>SUC_REA - Sucursal Realicó</v>
          </cell>
          <cell r="BE227" t="str">
            <v>SUC_REA - Sucursal Realicó</v>
          </cell>
          <cell r="BF227" t="str">
            <v>SUC_REA - Sucursal Realicó</v>
          </cell>
          <cell r="BG227" t="str">
            <v>SUC_REA - Sucursal Realicó</v>
          </cell>
          <cell r="BH227" t="str">
            <v>SUC_REA - Sucursal Realicó</v>
          </cell>
          <cell r="BI227" t="str">
            <v>SUC_REA - Sucursal Realicó</v>
          </cell>
          <cell r="BJ227" t="str">
            <v>SUC_REA - Sucursal Realicó</v>
          </cell>
          <cell r="BK227" t="str">
            <v>SUC_REA - Sucursal Realicó</v>
          </cell>
          <cell r="BL227" t="str">
            <v>SUC_REA - Sucursal Realicó</v>
          </cell>
          <cell r="BM227" t="str">
            <v>SUC_REA - Sucursal Realicó</v>
          </cell>
          <cell r="BN227" t="str">
            <v>SUC_REA - Sucursal Realicó</v>
          </cell>
          <cell r="BO227" t="str">
            <v>SUC_REA - Sucursal Realicó</v>
          </cell>
          <cell r="BP227" t="str">
            <v>SUC_REA - Sucursal Realicó</v>
          </cell>
          <cell r="BQ227" t="str">
            <v>SUC_REA - Sucursal Realicó</v>
          </cell>
          <cell r="BR227" t="str">
            <v>SUC_REA - Sucursal Realicó</v>
          </cell>
          <cell r="BS227" t="str">
            <v>SUC_REA - Sucursal Realicó</v>
          </cell>
          <cell r="BT227" t="str">
            <v>SUC_REA - Sucursal Realicó</v>
          </cell>
          <cell r="BU227" t="str">
            <v>SUC_REA - Sucursal Realicó</v>
          </cell>
          <cell r="BV227" t="str">
            <v>SUC_REA - Sucursal Realicó</v>
          </cell>
          <cell r="BW227" t="str">
            <v>SUC_REA - Sucursal Realicó</v>
          </cell>
          <cell r="BX227" t="str">
            <v>SUC_REA - Sucursal Realicó</v>
          </cell>
          <cell r="BY227" t="str">
            <v>SUC_REA - Sucursal Realicó</v>
          </cell>
          <cell r="BZ227" t="str">
            <v>SUC_REA - Sucursal Realicó</v>
          </cell>
          <cell r="CA227" t="str">
            <v>SUC_REA - Sucursal Realicó</v>
          </cell>
          <cell r="CB227" t="str">
            <v>SUC_REA - Sucursal Realicó</v>
          </cell>
          <cell r="CC227" t="str">
            <v>SUC_REA - Sucursal Realicó</v>
          </cell>
          <cell r="CD227" t="str">
            <v>SUC_REA - Sucursal Realicó</v>
          </cell>
          <cell r="CE227" t="str">
            <v>SUC_REA - Sucursal Realicó</v>
          </cell>
          <cell r="CF227" t="str">
            <v>SUC_REA - Sucursal Realicó</v>
          </cell>
          <cell r="CG227" t="str">
            <v>SUC_REA - Sucursal Realicó</v>
          </cell>
          <cell r="CH227" t="str">
            <v>SUC_REA - Sucursal Realicó</v>
          </cell>
          <cell r="CI227" t="str">
            <v>SUC_REA - Sucursal Realicó</v>
          </cell>
          <cell r="CJ227" t="str">
            <v>SUC_REA - Sucursal Realicó</v>
          </cell>
          <cell r="CK227" t="str">
            <v>SUC_REA - Sucursal Realicó</v>
          </cell>
          <cell r="CL227" t="str">
            <v>SUC_REA - Sucursal Realicó</v>
          </cell>
          <cell r="CM227" t="str">
            <v>SUC_REA - Sucursal Realicó</v>
          </cell>
          <cell r="CN227" t="str">
            <v>SUC_REA - Sucursal Realicó</v>
          </cell>
          <cell r="CO227" t="str">
            <v>SUC_REA - Sucursal Realicó</v>
          </cell>
          <cell r="CP227" t="str">
            <v>SUC_REA - Sucursal Realicó</v>
          </cell>
          <cell r="CQ227" t="str">
            <v>SUC_REA - Sucursal Realicó</v>
          </cell>
          <cell r="CR227" t="str">
            <v>SUC_REA - Sucursal Realicó</v>
          </cell>
          <cell r="CS227" t="str">
            <v>SUC_REA - Sucursal Realicó</v>
          </cell>
          <cell r="CT227" t="str">
            <v>SUC_REA - Sucursal Realicó</v>
          </cell>
          <cell r="CU227" t="str">
            <v>SUC_REA - Sucursal Realicó</v>
          </cell>
          <cell r="CV227" t="str">
            <v>SUC_REA - Sucursal Realicó</v>
          </cell>
          <cell r="CW227" t="str">
            <v>SUC_REA - Sucursal Realicó</v>
          </cell>
        </row>
        <row r="228">
          <cell r="D228" t="str">
            <v>GPT859</v>
          </cell>
          <cell r="E228" t="str">
            <v>AUTO</v>
          </cell>
          <cell r="F228" t="str">
            <v>AUTO</v>
          </cell>
          <cell r="G228" t="str">
            <v>AUTO</v>
          </cell>
          <cell r="N228" t="str">
            <v>CODYLSA</v>
          </cell>
          <cell r="O228" t="str">
            <v>CODYLSA</v>
          </cell>
          <cell r="P228" t="str">
            <v>No</v>
          </cell>
          <cell r="Q228" t="str">
            <v>De Tercero</v>
          </cell>
          <cell r="R228" t="str">
            <v>-</v>
          </cell>
          <cell r="S228" t="str">
            <v>De Tercero</v>
          </cell>
          <cell r="CK228" t="str">
            <v>CIMSA_BS AS</v>
          </cell>
          <cell r="CL228" t="str">
            <v>CIMSA_BS AS</v>
          </cell>
          <cell r="CM228" t="str">
            <v>CIMSA_BS AS</v>
          </cell>
          <cell r="CN228" t="str">
            <v>CIMSA_BS AS</v>
          </cell>
          <cell r="CO228" t="str">
            <v>CIMSA_BS AS</v>
          </cell>
          <cell r="CP228" t="str">
            <v>CIMSA_BS AS</v>
          </cell>
          <cell r="CQ228" t="str">
            <v>CIMSA_BS AS</v>
          </cell>
          <cell r="CR228" t="str">
            <v>CIMSA_BS AS</v>
          </cell>
          <cell r="CS228" t="str">
            <v>CIMSA_BS AS</v>
          </cell>
          <cell r="CT228" t="str">
            <v>CIMSA_BS AS</v>
          </cell>
          <cell r="CU228" t="str">
            <v>CIMSA_BS AS</v>
          </cell>
          <cell r="CV228" t="str">
            <v>CIMSA_BS AS</v>
          </cell>
          <cell r="CW228" t="str">
            <v>CIMSA_BS AS</v>
          </cell>
        </row>
        <row r="229">
          <cell r="D229" t="str">
            <v>GQN688</v>
          </cell>
          <cell r="E229" t="str">
            <v>Chasis</v>
          </cell>
          <cell r="F229" t="str">
            <v>Chasis</v>
          </cell>
          <cell r="G229" t="str">
            <v>Chasis</v>
          </cell>
          <cell r="N229" t="str">
            <v>CODYLSA</v>
          </cell>
          <cell r="O229" t="str">
            <v>CODYLSA</v>
          </cell>
          <cell r="P229" t="str">
            <v>No</v>
          </cell>
          <cell r="Q229" t="str">
            <v>Propio</v>
          </cell>
          <cell r="R229">
            <v>12</v>
          </cell>
          <cell r="S229" t="str">
            <v>Propio</v>
          </cell>
          <cell r="T229" t="str">
            <v>MERCEDES BENZ</v>
          </cell>
          <cell r="U229">
            <v>1624</v>
          </cell>
          <cell r="V229" t="str">
            <v>906973U0728623</v>
          </cell>
          <cell r="W229" t="str">
            <v>9BM6950108B535663</v>
          </cell>
          <cell r="X229">
            <v>2007</v>
          </cell>
          <cell r="Y229">
            <v>19</v>
          </cell>
          <cell r="Z229" t="str">
            <v>Danone Alianza</v>
          </cell>
          <cell r="AA229" t="str">
            <v>ADA_Mino - Danone Arg. S.A. - Mino</v>
          </cell>
          <cell r="AB229" t="str">
            <v>ADA_Mino - Danone Arg. S.A. - Mino</v>
          </cell>
          <cell r="AC229" t="str">
            <v>ADA_Mino - Danone Arg. S.A. - Mino</v>
          </cell>
          <cell r="AD229" t="str">
            <v>ADA_Mino - Danone Arg. S.A. - Mino</v>
          </cell>
          <cell r="AE229" t="str">
            <v>ADA_Mino - Danone Arg. S.A. - Mino</v>
          </cell>
          <cell r="AF229" t="str">
            <v>ADA_Mino - Danone Arg. S.A. - Mino</v>
          </cell>
          <cell r="AG229" t="str">
            <v>ADA_Mino - Danone Arg. S.A. - Mino</v>
          </cell>
          <cell r="AH229" t="str">
            <v>ADA_Mino - Danone Arg. S.A. - Mino</v>
          </cell>
          <cell r="AI229" t="str">
            <v>ADA_Mino - Danone Arg. S.A. - Mino</v>
          </cell>
          <cell r="AJ229" t="str">
            <v>ADA_Mino - Danone Arg. S.A. - Mino</v>
          </cell>
          <cell r="AK229" t="str">
            <v>ADA_Mino - Danone Arg. S.A. - Mino</v>
          </cell>
          <cell r="AL229" t="str">
            <v>ADA_Mino - Danone Arg. S.A. - Mino</v>
          </cell>
          <cell r="AM229" t="str">
            <v>ADA_Mino - Danone Arg. S.A. - Mino</v>
          </cell>
          <cell r="AN229" t="str">
            <v>ADA_Mino - Danone Arg. S.A. - Mino</v>
          </cell>
          <cell r="AO229" t="str">
            <v>ADA_Mino - Danone Arg. S.A. - Mino</v>
          </cell>
          <cell r="AP229" t="str">
            <v>ADA_Mino - Danone Arg. S.A. - Mino</v>
          </cell>
          <cell r="AQ229" t="str">
            <v>ADA_Mino - Danone Arg. S.A. - Mino</v>
          </cell>
          <cell r="AR229" t="str">
            <v>ADA_Mino - Danone Arg. S.A. - Mino</v>
          </cell>
          <cell r="AS229" t="str">
            <v>ADA_Mino - Danone Arg. S.A. - Mino</v>
          </cell>
          <cell r="AT229" t="str">
            <v>ADA_Mino - Danone Arg. S.A. - Mino</v>
          </cell>
          <cell r="AU229" t="str">
            <v>ADA_Mino - Danone Arg. S.A. - Mino</v>
          </cell>
          <cell r="AV229" t="str">
            <v>ADA_Mino - Danone Arg. S.A. - Mino</v>
          </cell>
          <cell r="AW229" t="str">
            <v>ADA_Mino - Danone Arg. S.A. - Mino</v>
          </cell>
          <cell r="AX229" t="str">
            <v>ADA_Mino - Danone Arg. S.A. - Mino</v>
          </cell>
          <cell r="AY229" t="str">
            <v>ADA_Mino - Danone Arg. S.A. - Mino</v>
          </cell>
          <cell r="AZ229" t="str">
            <v>ADA_Mino - Danone Arg. S.A. - Mino</v>
          </cell>
          <cell r="BA229" t="str">
            <v>ADA_Mino - Danone Arg. S.A. - Mino</v>
          </cell>
          <cell r="BB229" t="str">
            <v>ADA_Mino - Danone Arg. S.A. - Mino</v>
          </cell>
          <cell r="BC229" t="str">
            <v>ADA_Mino - Danone Arg. S.A. - Mino</v>
          </cell>
          <cell r="BD229" t="str">
            <v>ADA_Mino - Danone Arg. S.A. - Mino</v>
          </cell>
          <cell r="BE229" t="str">
            <v>ADA_Mino - Danone Arg. S.A. - Mino</v>
          </cell>
          <cell r="BF229" t="str">
            <v>ADA_Mino - Danone Arg. S.A. - Mino</v>
          </cell>
          <cell r="BG229" t="str">
            <v>ADA_Mino - Danone Arg. S.A. - Mino</v>
          </cell>
          <cell r="BH229" t="str">
            <v>ADA_Mino - Danone Arg. S.A. - Mino</v>
          </cell>
          <cell r="BI229" t="str">
            <v>ADA_Mino - Danone Arg. S.A. - Mino</v>
          </cell>
          <cell r="BJ229" t="str">
            <v>ADA_Mino - Danone Arg. S.A. - Mino</v>
          </cell>
          <cell r="BK229" t="str">
            <v>ADA_Mino - Danone Arg. S.A. - Mino</v>
          </cell>
          <cell r="BL229" t="str">
            <v>ADA_Mino - Danone Arg. S.A. - Mino</v>
          </cell>
          <cell r="BM229" t="str">
            <v>ADA_Mino - Danone Arg. S.A. - Mino</v>
          </cell>
          <cell r="BN229" t="str">
            <v>ADA_Mino - Danone Arg. S.A. - Mino</v>
          </cell>
          <cell r="BO229" t="str">
            <v>ADA_Mino - Danone Arg. S.A. - Mino</v>
          </cell>
          <cell r="BP229" t="str">
            <v>ADA_Mino - Danone Arg. S.A. - Mino</v>
          </cell>
          <cell r="BQ229" t="str">
            <v>Cook Master</v>
          </cell>
          <cell r="BR229" t="str">
            <v>Papelera - Papelera del Plata S.A.</v>
          </cell>
          <cell r="BS229" t="str">
            <v>Cook Master</v>
          </cell>
          <cell r="BT229" t="str">
            <v>Cook Master</v>
          </cell>
          <cell r="BU229" t="str">
            <v>Cook Master</v>
          </cell>
          <cell r="BV229" t="str">
            <v>Cook Master</v>
          </cell>
          <cell r="BW229" t="str">
            <v>Cook Master</v>
          </cell>
          <cell r="BX229" t="str">
            <v>Cook Master</v>
          </cell>
          <cell r="BY229" t="str">
            <v>Cook Master</v>
          </cell>
          <cell r="BZ229" t="str">
            <v>Cook Master</v>
          </cell>
          <cell r="CA229" t="str">
            <v>Cook Master</v>
          </cell>
          <cell r="CB229" t="str">
            <v>Cook Master</v>
          </cell>
          <cell r="CC229" t="str">
            <v>Cook Master</v>
          </cell>
          <cell r="CD229" t="str">
            <v>Cook Master</v>
          </cell>
          <cell r="CE229" t="str">
            <v>Cook Master</v>
          </cell>
          <cell r="CF229" t="str">
            <v>Cook Master</v>
          </cell>
          <cell r="CG229" t="str">
            <v>SUC_CTC - Sucursal Buenos Aires</v>
          </cell>
          <cell r="CH229" t="str">
            <v>SUC_CTC - Sucursal Buenos Aires</v>
          </cell>
          <cell r="CI229" t="str">
            <v>SUC_CTC - Sucursal Buenos Aires</v>
          </cell>
          <cell r="CJ229" t="str">
            <v>SUC_CTC - Sucursal Buenos Aires</v>
          </cell>
          <cell r="CK229" t="str">
            <v>SUC_CTC - Sucursal Buenos Aires</v>
          </cell>
          <cell r="CL229" t="str">
            <v>SUC_CTC - Sucursal Buenos Aires</v>
          </cell>
          <cell r="CM229" t="str">
            <v>SUC_CTC - Sucursal Buenos Aires</v>
          </cell>
          <cell r="CN229" t="str">
            <v>SUC_CTC - Sucursal Buenos Aires</v>
          </cell>
          <cell r="CO229" t="str">
            <v>SUC_CTC - Sucursal Buenos Aires</v>
          </cell>
          <cell r="CP229" t="str">
            <v>SUC_CTC - Sucursal Buenos Aires</v>
          </cell>
          <cell r="CQ229" t="str">
            <v>SUC_CTC - Sucursal Buenos Aires</v>
          </cell>
          <cell r="CR229" t="str">
            <v>SUC_CTC - Sucursal Buenos Aires</v>
          </cell>
          <cell r="CS229" t="str">
            <v>SUC_CTC - Sucursal Buenos Aires</v>
          </cell>
          <cell r="CT229" t="str">
            <v>Expreso - Servicios Troncales</v>
          </cell>
          <cell r="CU229" t="str">
            <v>Expreso - Servicios Troncales</v>
          </cell>
          <cell r="CV229" t="str">
            <v>Expreso - Servicios Troncales</v>
          </cell>
          <cell r="CW229" t="str">
            <v>Expreso - Servicios Troncales</v>
          </cell>
        </row>
        <row r="230">
          <cell r="D230" t="str">
            <v>GRC311</v>
          </cell>
          <cell r="E230" t="str">
            <v>Chasis</v>
          </cell>
          <cell r="F230" t="str">
            <v>Chasis</v>
          </cell>
          <cell r="G230" t="str">
            <v>Chasis</v>
          </cell>
          <cell r="N230" t="str">
            <v>CODYLSA</v>
          </cell>
          <cell r="O230" t="str">
            <v>CODYLSA</v>
          </cell>
          <cell r="P230" t="str">
            <v>No</v>
          </cell>
          <cell r="Q230" t="str">
            <v>Propio</v>
          </cell>
          <cell r="R230">
            <v>12</v>
          </cell>
          <cell r="S230" t="str">
            <v>Propio</v>
          </cell>
          <cell r="T230" t="str">
            <v>MERCEDES BENZ</v>
          </cell>
          <cell r="U230">
            <v>1624</v>
          </cell>
          <cell r="V230" t="str">
            <v>906973U0736389</v>
          </cell>
          <cell r="W230" t="str">
            <v>9BM6950108B545073</v>
          </cell>
          <cell r="X230">
            <v>2007</v>
          </cell>
          <cell r="Y230">
            <v>19</v>
          </cell>
          <cell r="Z230" t="str">
            <v>Danone Alianza</v>
          </cell>
          <cell r="AA230" t="str">
            <v>ADA_Mino - Danone Arg. S.A. - Mino</v>
          </cell>
          <cell r="AB230" t="str">
            <v>ADA_Mino - Danone Arg. S.A. - Mino</v>
          </cell>
          <cell r="AC230" t="str">
            <v>ADA_Mino - Danone Arg. S.A. - Mino</v>
          </cell>
          <cell r="AD230" t="str">
            <v>ADA_Mino - Danone Arg. S.A. - Mino</v>
          </cell>
          <cell r="AE230" t="str">
            <v>ADA_Mino - Danone Arg. S.A. - Mino</v>
          </cell>
          <cell r="AF230" t="str">
            <v>ADA_Mino - Danone Arg. S.A. - Mino</v>
          </cell>
          <cell r="AG230" t="str">
            <v>ADA_Mino - Danone Arg. S.A. - Mino</v>
          </cell>
          <cell r="AH230" t="str">
            <v>ADA_Mino - Danone Arg. S.A. - Mino</v>
          </cell>
          <cell r="AI230" t="str">
            <v>ADA_Mino - Danone Arg. S.A. - Mino</v>
          </cell>
          <cell r="AJ230" t="str">
            <v>ADA_Mino - Danone Arg. S.A. - Mino</v>
          </cell>
          <cell r="AK230" t="str">
            <v>ADA_Mino - Danone Arg. S.A. - Mino</v>
          </cell>
          <cell r="AL230" t="str">
            <v>ADA_Mino - Danone Arg. S.A. - Mino</v>
          </cell>
          <cell r="AM230" t="str">
            <v>ADA_Mino - Danone Arg. S.A. - Mino</v>
          </cell>
          <cell r="AN230" t="str">
            <v>ADA_Mino - Danone Arg. S.A. - Mino</v>
          </cell>
          <cell r="AO230" t="str">
            <v>ADA_Mino - Danone Arg. S.A. - Mino</v>
          </cell>
          <cell r="AP230" t="str">
            <v>ADA_Mino - Danone Arg. S.A. - Mino</v>
          </cell>
          <cell r="AQ230" t="str">
            <v>ADA_Mino - Danone Arg. S.A. - Mino</v>
          </cell>
          <cell r="AR230" t="str">
            <v>ADA_Mino - Danone Arg. S.A. - Mino</v>
          </cell>
          <cell r="AS230" t="str">
            <v>ADA_Mino - Danone Arg. S.A. - Mino</v>
          </cell>
          <cell r="AT230" t="str">
            <v>ADA_Mino - Danone Arg. S.A. - Mino</v>
          </cell>
          <cell r="AU230" t="str">
            <v>ADA_Mino - Danone Arg. S.A. - Mino</v>
          </cell>
          <cell r="AV230" t="str">
            <v>ADA_Mino - Danone Arg. S.A. - Mino</v>
          </cell>
          <cell r="AW230" t="str">
            <v>ADA_Mino - Danone Arg. S.A. - Mino</v>
          </cell>
          <cell r="AX230" t="str">
            <v>ADA_Mino - Danone Arg. S.A. - Mino</v>
          </cell>
          <cell r="AY230" t="str">
            <v>ADA_Mino - Danone Arg. S.A. - Mino</v>
          </cell>
          <cell r="AZ230" t="str">
            <v>ADA_Mino - Danone Arg. S.A. - Mino</v>
          </cell>
          <cell r="BA230" t="str">
            <v>ADA_Mino - Danone Arg. S.A. - Mino</v>
          </cell>
          <cell r="BB230" t="str">
            <v>ADA_Mino - Danone Arg. S.A. - Mino</v>
          </cell>
          <cell r="BC230" t="str">
            <v>ADA_Mino - Danone Arg. S.A. - Mino</v>
          </cell>
          <cell r="BD230" t="str">
            <v>ADA_Mino - Danone Arg. S.A. - Mino</v>
          </cell>
          <cell r="BE230" t="str">
            <v>ADA_Mino - Danone Arg. S.A. - Mino</v>
          </cell>
          <cell r="BF230" t="str">
            <v>ADA_Mino - Danone Arg. S.A. - Mino</v>
          </cell>
          <cell r="BG230" t="str">
            <v>ADA_Mino - Danone Arg. S.A. - Mino</v>
          </cell>
          <cell r="BH230" t="str">
            <v>ADA_Mino - Danone Arg. S.A. - Mino</v>
          </cell>
          <cell r="BI230" t="str">
            <v>ADA_Mino - Danone Arg. S.A. - Mino</v>
          </cell>
          <cell r="BJ230" t="str">
            <v>ADA_Mino - Danone Arg. S.A. - Mino</v>
          </cell>
          <cell r="BK230" t="str">
            <v>ADA_Mino - Danone Arg. S.A. - Mino</v>
          </cell>
          <cell r="BL230" t="str">
            <v>ADA_Mino - Danone Arg. S.A. - Mino</v>
          </cell>
          <cell r="BM230" t="str">
            <v>ADA_Mino - Danone Arg. S.A. - Mino</v>
          </cell>
          <cell r="BN230" t="str">
            <v>ADA_Mino - Danone Arg. S.A. - Mino</v>
          </cell>
          <cell r="BO230" t="str">
            <v>ADA_Mino - Danone Arg. S.A. - Mino</v>
          </cell>
          <cell r="BP230" t="str">
            <v>ADA_Mino - Danone Arg. S.A. - Mino</v>
          </cell>
          <cell r="BQ230" t="str">
            <v>ADA_Mino - Danone Arg. S.A. - Mino</v>
          </cell>
          <cell r="BR230" t="str">
            <v>ADA_Mino - Danone Arg. S.A. - Mino</v>
          </cell>
          <cell r="BS230" t="str">
            <v>ADA_Mino - Danone Arg. S.A. - Mino</v>
          </cell>
          <cell r="BT230" t="str">
            <v>ADA_Mino - Danone Arg. S.A. - Mino</v>
          </cell>
          <cell r="BU230" t="str">
            <v>CCUCoAZA</v>
          </cell>
          <cell r="BV230" t="str">
            <v>CCUCoAZA</v>
          </cell>
          <cell r="BW230" t="str">
            <v>CCUCoAZA</v>
          </cell>
          <cell r="BX230" t="str">
            <v>CCUCoAZA</v>
          </cell>
          <cell r="BY230" t="str">
            <v>CCUCoAZA</v>
          </cell>
          <cell r="BZ230" t="str">
            <v>CCUCoAZA</v>
          </cell>
          <cell r="CA230" t="str">
            <v>CCUCoAZA</v>
          </cell>
          <cell r="CB230" t="str">
            <v>CCUCoAZA</v>
          </cell>
          <cell r="CC230" t="str">
            <v>CCUCoAZA</v>
          </cell>
          <cell r="CD230" t="str">
            <v>CCUCoAZA</v>
          </cell>
          <cell r="CE230" t="str">
            <v>CCUCoAZA</v>
          </cell>
          <cell r="CF230" t="str">
            <v>CCUCoAZA</v>
          </cell>
          <cell r="CG230" t="str">
            <v>CCUCoAZA</v>
          </cell>
          <cell r="CH230" t="str">
            <v>CCUCoAZA</v>
          </cell>
          <cell r="CI230" t="str">
            <v>CCUCoAZA</v>
          </cell>
          <cell r="CJ230" t="str">
            <v>CCUCoAZA</v>
          </cell>
          <cell r="CK230" t="str">
            <v>CCUCoAZA</v>
          </cell>
          <cell r="CL230" t="str">
            <v>CCUCoAZA</v>
          </cell>
          <cell r="CM230" t="str">
            <v>CCUCoAZA</v>
          </cell>
          <cell r="CN230" t="str">
            <v>CCUCoAZA</v>
          </cell>
          <cell r="CO230" t="str">
            <v>CCUCoAZA</v>
          </cell>
          <cell r="CP230" t="str">
            <v>CCUCoAZA</v>
          </cell>
          <cell r="CQ230" t="str">
            <v>CCUCoAZA</v>
          </cell>
          <cell r="CR230" t="str">
            <v>CCUCoAZA</v>
          </cell>
          <cell r="CS230" t="str">
            <v>CCUCoAZA</v>
          </cell>
          <cell r="CT230" t="str">
            <v>CCUCoAZA</v>
          </cell>
          <cell r="CU230" t="str">
            <v>CCUCoAZA</v>
          </cell>
          <cell r="CV230" t="str">
            <v>CCUCoAZA</v>
          </cell>
          <cell r="CW230" t="str">
            <v>CCUCoAZA</v>
          </cell>
        </row>
        <row r="231">
          <cell r="D231" t="str">
            <v>GRE072</v>
          </cell>
          <cell r="E231" t="str">
            <v>Chasis</v>
          </cell>
          <cell r="F231" t="str">
            <v>Chasis</v>
          </cell>
          <cell r="G231" t="str">
            <v>Chasis</v>
          </cell>
          <cell r="N231" t="str">
            <v>CODYLSA</v>
          </cell>
          <cell r="O231" t="str">
            <v>CODYLSA</v>
          </cell>
          <cell r="P231" t="str">
            <v>No</v>
          </cell>
          <cell r="Q231" t="str">
            <v>Propio</v>
          </cell>
          <cell r="R231">
            <v>12</v>
          </cell>
          <cell r="S231" t="str">
            <v>Propio</v>
          </cell>
          <cell r="T231" t="str">
            <v>MERCEDES BENZ</v>
          </cell>
          <cell r="U231">
            <v>1624</v>
          </cell>
          <cell r="V231" t="str">
            <v>906973U0745253</v>
          </cell>
          <cell r="W231" t="str">
            <v>9BM6950108B556060</v>
          </cell>
          <cell r="X231">
            <v>2007</v>
          </cell>
          <cell r="Y231">
            <v>19</v>
          </cell>
          <cell r="Z231" t="str">
            <v>Danone Alianza</v>
          </cell>
          <cell r="AA231" t="str">
            <v>ADA_Mino - Danone Arg. S.A. - Mino</v>
          </cell>
          <cell r="AB231" t="str">
            <v>ADA_Mino - Danone Arg. S.A. - Mino</v>
          </cell>
          <cell r="AC231" t="str">
            <v>ADA_Mino - Danone Arg. S.A. - Mino</v>
          </cell>
          <cell r="AD231" t="str">
            <v>ADA_Mino - Danone Arg. S.A. - Mino</v>
          </cell>
          <cell r="AE231" t="str">
            <v>ADA_Mino - Danone Arg. S.A. - Mino</v>
          </cell>
          <cell r="AF231" t="str">
            <v>ADA_Mino - Danone Arg. S.A. - Mino</v>
          </cell>
          <cell r="AG231" t="str">
            <v>ADA_Mino - Danone Arg. S.A. - Mino</v>
          </cell>
          <cell r="AH231" t="str">
            <v>ADA_Mino - Danone Arg. S.A. - Mino</v>
          </cell>
          <cell r="AI231" t="str">
            <v>ADA_Mino - Danone Arg. S.A. - Mino</v>
          </cell>
          <cell r="AJ231" t="str">
            <v>ADA_Mino - Danone Arg. S.A. - Mino</v>
          </cell>
          <cell r="AK231" t="str">
            <v>ADA_Mino - Danone Arg. S.A. - Mino</v>
          </cell>
          <cell r="AL231" t="str">
            <v>ADA_Mino - Danone Arg. S.A. - Mino</v>
          </cell>
          <cell r="AM231" t="str">
            <v>ADA_Mino - Danone Arg. S.A. - Mino</v>
          </cell>
          <cell r="AN231" t="str">
            <v>ADA_Mino - Danone Arg. S.A. - Mino</v>
          </cell>
          <cell r="AO231" t="str">
            <v>ADA_Mino - Danone Arg. S.A. - Mino</v>
          </cell>
          <cell r="AP231" t="str">
            <v>ADA_Mino - Danone Arg. S.A. - Mino</v>
          </cell>
          <cell r="AQ231" t="str">
            <v>ADA_Mino - Danone Arg. S.A. - Mino</v>
          </cell>
          <cell r="AR231" t="str">
            <v>ADA_Mino - Danone Arg. S.A. - Mino</v>
          </cell>
          <cell r="AS231" t="str">
            <v>ADA_Mino - Danone Arg. S.A. - Mino</v>
          </cell>
          <cell r="AT231" t="str">
            <v>ADA_Mino - Danone Arg. S.A. - Mino</v>
          </cell>
          <cell r="AU231" t="str">
            <v>ADA_Mino - Danone Arg. S.A. - Mino</v>
          </cell>
          <cell r="AV231" t="str">
            <v>ADA_Mino - Danone Arg. S.A. - Mino</v>
          </cell>
          <cell r="AW231" t="str">
            <v>ADA_Mino - Danone Arg. S.A. - Mino</v>
          </cell>
          <cell r="AX231" t="str">
            <v>ADA_Mino - Danone Arg. S.A. - Mino</v>
          </cell>
          <cell r="AY231" t="str">
            <v>ADA_Mino - Danone Arg. S.A. - Mino</v>
          </cell>
          <cell r="AZ231" t="str">
            <v>ADA_Mino - Danone Arg. S.A. - Mino</v>
          </cell>
          <cell r="BA231" t="str">
            <v>ADA_Mino - Danone Arg. S.A. - Mino</v>
          </cell>
          <cell r="BB231" t="str">
            <v>ADA_Mino - Danone Arg. S.A. - Mino</v>
          </cell>
          <cell r="BC231" t="str">
            <v>ADA_Mino - Danone Arg. S.A. - Mino</v>
          </cell>
          <cell r="BD231" t="str">
            <v>ADA_Mino - Danone Arg. S.A. - Mino</v>
          </cell>
          <cell r="BE231" t="str">
            <v>ADA_Mino - Danone Arg. S.A. - Mino</v>
          </cell>
          <cell r="BF231" t="str">
            <v>ADA_Mino - Danone Arg. S.A. - Mino</v>
          </cell>
          <cell r="BG231" t="str">
            <v>ADA_Mino - Danone Arg. S.A. - Mino</v>
          </cell>
          <cell r="BH231" t="str">
            <v>ADA_Mino - Danone Arg. S.A. - Mino</v>
          </cell>
          <cell r="BI231" t="str">
            <v>ADA_Mino - Danone Arg. S.A. - Mino</v>
          </cell>
          <cell r="BJ231" t="str">
            <v>ADA_Mino - Danone Arg. S.A. - Mino</v>
          </cell>
          <cell r="BK231" t="str">
            <v>ADA_Mino - Danone Arg. S.A. - Mino</v>
          </cell>
          <cell r="BL231" t="str">
            <v>ADA_Mino - Danone Arg. S.A. - Mino</v>
          </cell>
          <cell r="BM231" t="str">
            <v>ADA_Mino - Danone Arg. S.A. - Mino</v>
          </cell>
          <cell r="BN231" t="str">
            <v>ADA_Mino - Danone Arg. S.A. - Mino</v>
          </cell>
          <cell r="BO231" t="str">
            <v>ADA_Mino - Danone Arg. S.A. - Mino</v>
          </cell>
          <cell r="BP231" t="str">
            <v>ADA_Mino - Danone Arg. S.A. - Mino</v>
          </cell>
          <cell r="BQ231" t="str">
            <v>ADA_Mino - Danone Arg. S.A. - Mino</v>
          </cell>
          <cell r="BR231" t="str">
            <v>ADA_Mino - Danone Arg. S.A. - Mino</v>
          </cell>
          <cell r="BS231" t="str">
            <v>ADA_Mino - Danone Arg. S.A. - Mino</v>
          </cell>
          <cell r="BT231" t="str">
            <v>ADA_Mino - Danone Arg. S.A. - Mino</v>
          </cell>
          <cell r="BU231" t="str">
            <v>CCUCoAZA</v>
          </cell>
          <cell r="BV231" t="str">
            <v>CCUCoAZA</v>
          </cell>
          <cell r="BW231" t="str">
            <v>CCUCoAZA</v>
          </cell>
          <cell r="BX231" t="str">
            <v>CCUCoAZA</v>
          </cell>
          <cell r="BY231" t="str">
            <v>CCUCoAZA</v>
          </cell>
          <cell r="BZ231" t="str">
            <v>CCUCoAZA</v>
          </cell>
          <cell r="CA231" t="str">
            <v>CCUCoAZA</v>
          </cell>
          <cell r="CB231" t="str">
            <v>CCUCoAZA</v>
          </cell>
          <cell r="CC231" t="str">
            <v>CCUCoAZA</v>
          </cell>
          <cell r="CD231" t="str">
            <v>CCUCoAZA</v>
          </cell>
          <cell r="CE231" t="str">
            <v>CCUCoAZA</v>
          </cell>
          <cell r="CF231" t="str">
            <v>CCUCoAZA</v>
          </cell>
          <cell r="CG231" t="str">
            <v>CCUCoAZA</v>
          </cell>
          <cell r="CH231" t="str">
            <v>CCUCoAZA</v>
          </cell>
          <cell r="CI231" t="str">
            <v>CCUCoAZA</v>
          </cell>
          <cell r="CJ231" t="str">
            <v>CCUCoAZA</v>
          </cell>
          <cell r="CK231" t="str">
            <v>CCUCoAZA</v>
          </cell>
          <cell r="CL231" t="str">
            <v>CCUCoAZA</v>
          </cell>
          <cell r="CM231" t="str">
            <v>CCUCoAZA</v>
          </cell>
          <cell r="CN231" t="str">
            <v>CCUCoAZA</v>
          </cell>
          <cell r="CO231" t="str">
            <v>CCUCoAZA</v>
          </cell>
          <cell r="CP231" t="str">
            <v>CCUCoAZA</v>
          </cell>
          <cell r="CQ231" t="str">
            <v>CCUCoAZA</v>
          </cell>
          <cell r="CR231" t="str">
            <v>CCUCoAZA</v>
          </cell>
          <cell r="CS231" t="str">
            <v>CCUCoAZA</v>
          </cell>
          <cell r="CT231" t="str">
            <v>CCUCoAZA</v>
          </cell>
          <cell r="CU231" t="str">
            <v>CCUCoAZA</v>
          </cell>
          <cell r="CV231" t="str">
            <v>CCUCoAZA</v>
          </cell>
          <cell r="CW231" t="str">
            <v>CCUCoAZA</v>
          </cell>
        </row>
        <row r="232">
          <cell r="D232" t="str">
            <v>GRE073</v>
          </cell>
          <cell r="E232" t="str">
            <v>Chasis</v>
          </cell>
          <cell r="F232" t="str">
            <v>Chasis</v>
          </cell>
          <cell r="G232" t="str">
            <v>Chasis</v>
          </cell>
          <cell r="N232" t="str">
            <v>CODYLSA</v>
          </cell>
          <cell r="O232" t="str">
            <v>CODYLSA</v>
          </cell>
          <cell r="P232" t="str">
            <v>No</v>
          </cell>
          <cell r="Q232" t="str">
            <v>Propio</v>
          </cell>
          <cell r="R232">
            <v>12</v>
          </cell>
          <cell r="S232" t="str">
            <v>Propio</v>
          </cell>
          <cell r="T232" t="str">
            <v>MERCEDES BENZ</v>
          </cell>
          <cell r="U232">
            <v>1624</v>
          </cell>
          <cell r="V232" t="str">
            <v>906973U0744860</v>
          </cell>
          <cell r="W232" t="str">
            <v>9BM6950108B555571</v>
          </cell>
          <cell r="X232">
            <v>2007</v>
          </cell>
          <cell r="Y232">
            <v>19</v>
          </cell>
          <cell r="Z232" t="str">
            <v>Danone Alianza</v>
          </cell>
          <cell r="AA232" t="str">
            <v>ADA_Mino - Danone Arg. S.A. - Mino</v>
          </cell>
          <cell r="AB232" t="str">
            <v>ADA_Mino - Danone Arg. S.A. - Mino</v>
          </cell>
          <cell r="AC232" t="str">
            <v>ADA_Mino - Danone Arg. S.A. - Mino</v>
          </cell>
          <cell r="AD232" t="str">
            <v>ADA_Mino - Danone Arg. S.A. - Mino</v>
          </cell>
          <cell r="AE232" t="str">
            <v>ADA_Mino - Danone Arg. S.A. - Mino</v>
          </cell>
          <cell r="AF232" t="str">
            <v>ADA_Mino - Danone Arg. S.A. - Mino</v>
          </cell>
          <cell r="AG232" t="str">
            <v>ADA_Mino - Danone Arg. S.A. - Mino</v>
          </cell>
          <cell r="AH232" t="str">
            <v>ADA_Mino - Danone Arg. S.A. - Mino</v>
          </cell>
          <cell r="AI232" t="str">
            <v>ADA_Mino - Danone Arg. S.A. - Mino</v>
          </cell>
          <cell r="AJ232" t="str">
            <v>ADA_Mino - Danone Arg. S.A. - Mino</v>
          </cell>
          <cell r="AK232" t="str">
            <v>ADA_Mino - Danone Arg. S.A. - Mino</v>
          </cell>
          <cell r="AL232" t="str">
            <v>ADA_Mino - Danone Arg. S.A. - Mino</v>
          </cell>
          <cell r="AM232" t="str">
            <v>ADA_Mino - Danone Arg. S.A. - Mino</v>
          </cell>
          <cell r="AN232" t="str">
            <v>ADA_Mino - Danone Arg. S.A. - Mino</v>
          </cell>
          <cell r="AO232" t="str">
            <v>ADA_Mino - Danone Arg. S.A. - Mino</v>
          </cell>
          <cell r="AP232" t="str">
            <v>ADA_Mino - Danone Arg. S.A. - Mino</v>
          </cell>
          <cell r="AQ232" t="str">
            <v>ADA_Mino - Danone Arg. S.A. - Mino</v>
          </cell>
          <cell r="AR232" t="str">
            <v>ADA_Mino - Danone Arg. S.A. - Mino</v>
          </cell>
          <cell r="AS232" t="str">
            <v>ADA_Mino - Danone Arg. S.A. - Mino</v>
          </cell>
          <cell r="AT232" t="str">
            <v>ADA_Mino - Danone Arg. S.A. - Mino</v>
          </cell>
          <cell r="AU232" t="str">
            <v>ADA_Mino - Danone Arg. S.A. - Mino</v>
          </cell>
          <cell r="AV232" t="str">
            <v>AdaMinZO - Danone Minorista Zona Oeste</v>
          </cell>
          <cell r="AW232" t="str">
            <v>ADA_MZA - Danone Arg. S.A. - MZA</v>
          </cell>
          <cell r="AX232" t="str">
            <v>ADA_MZA - Danone Arg. S.A. - MZA</v>
          </cell>
          <cell r="AY232" t="str">
            <v>ADA_MZA - Danone Arg. S.A. - MZA</v>
          </cell>
          <cell r="AZ232" t="str">
            <v>ADA_MZA - Danone Arg. S.A. - MZA</v>
          </cell>
          <cell r="BA232" t="str">
            <v>ADA_MZA - Danone Arg. S.A. - MZA</v>
          </cell>
          <cell r="BB232" t="str">
            <v>ADA_MZA - Danone Arg. S.A. - MZA</v>
          </cell>
          <cell r="BC232" t="str">
            <v>ADA_MZA - Danone Arg. S.A. - MZA</v>
          </cell>
          <cell r="BD232" t="str">
            <v>ADA_MZA - Danone Arg. S.A. - MZA</v>
          </cell>
          <cell r="BE232" t="str">
            <v>ADA_MZA - Danone Arg. S.A. - MZA</v>
          </cell>
          <cell r="BF232" t="str">
            <v>ADA_MZA - Danone Arg. S.A. - MZA</v>
          </cell>
          <cell r="BG232" t="str">
            <v>ADA_MZA - Danone Arg. S.A. - MZA</v>
          </cell>
          <cell r="BH232" t="str">
            <v>ADA_MZA - Danone Arg. S.A. - MZA</v>
          </cell>
          <cell r="BI232" t="str">
            <v>ADA_MZA - Danone Arg. S.A. - MZA</v>
          </cell>
          <cell r="BJ232" t="str">
            <v>ADA_MZA - Danone Arg. S.A. - MZA</v>
          </cell>
          <cell r="BK232" t="str">
            <v>ADA_MZA - Danone Arg. S.A. - MZA</v>
          </cell>
          <cell r="BL232" t="str">
            <v>ADA_MZA - Danone Arg. S.A. - MZA</v>
          </cell>
          <cell r="BM232" t="str">
            <v>ADA_MZA - Danone Arg. S.A. - MZA</v>
          </cell>
          <cell r="BN232" t="str">
            <v>ADA_MZA - Danone Arg. S.A. - MZA</v>
          </cell>
          <cell r="BO232" t="str">
            <v>ADA_MZA - Danone Arg. S.A. - MZA</v>
          </cell>
          <cell r="BP232" t="str">
            <v>ADA_MZA - Danone Arg. S.A. - MZA</v>
          </cell>
          <cell r="BQ232" t="str">
            <v>ADA_MZA - Danone Arg. S.A. - MZA</v>
          </cell>
          <cell r="BR232" t="str">
            <v>ADA_MZA - Danone Arg. S.A. - MZA</v>
          </cell>
          <cell r="BS232" t="str">
            <v>ADA_MZA - Danone Arg. S.A. - MZA</v>
          </cell>
          <cell r="BT232" t="str">
            <v>CCU_MZA - Comp. Cerv. Unidas - MZA</v>
          </cell>
          <cell r="BU232" t="str">
            <v>CCU_MZA - Comp. Cerv. Unidas - MZA</v>
          </cell>
          <cell r="BV232" t="str">
            <v>CCU_MZA - Comp. Cerv. Unidas - MZA</v>
          </cell>
          <cell r="BW232" t="str">
            <v>CCU_MZA - Comp. Cerv. Unidas - MZA</v>
          </cell>
          <cell r="BX232" t="str">
            <v>CCU_MZA - Comp. Cerv. Unidas - MZA</v>
          </cell>
          <cell r="BY232" t="str">
            <v>CCU_MZA - Comp. Cerv. Unidas - MZA</v>
          </cell>
          <cell r="BZ232" t="str">
            <v>CCU_MZA - Comp. Cerv. Unidas - MZA</v>
          </cell>
          <cell r="CA232" t="str">
            <v>CCU_MZA - Comp. Cerv. Unidas - MZA</v>
          </cell>
          <cell r="CB232" t="str">
            <v>CCU_MZA - Comp. Cerv. Unidas - MZA</v>
          </cell>
          <cell r="CC232" t="str">
            <v>CCU_MZA - Comp. Cerv. Unidas - MZA</v>
          </cell>
          <cell r="CD232" t="str">
            <v>CCU_MZA - Comp. Cerv. Unidas - MZA</v>
          </cell>
          <cell r="CE232" t="str">
            <v>CCU_MZA - Comp. Cerv. Unidas - MZA</v>
          </cell>
          <cell r="CF232" t="str">
            <v>CCU_MZA - Comp. Cerv. Unidas - MZA</v>
          </cell>
          <cell r="CG232" t="str">
            <v>CCU_MZA - Comp. Cerv. Unidas - MZA</v>
          </cell>
          <cell r="CH232" t="str">
            <v>CCU_MZA - Comp. Cerv. Unidas - MZA</v>
          </cell>
          <cell r="CI232" t="str">
            <v>CCU_MZA - Comp. Cerv. Unidas - MZA</v>
          </cell>
          <cell r="CJ232" t="str">
            <v>CCU_MZA - Comp. Cerv. Unidas - MZA</v>
          </cell>
          <cell r="CK232" t="str">
            <v>CCU_MZA - Comp. Cerv. Unidas - MZA</v>
          </cell>
          <cell r="CL232" t="str">
            <v>CCU_MZA - Comp. Cerv. Unidas - MZA</v>
          </cell>
          <cell r="CM232" t="str">
            <v>CCU_MZA - Comp. Cerv. Unidas - MZA</v>
          </cell>
          <cell r="CN232" t="str">
            <v>CCU_MZA - Comp. Cerv. Unidas - MZA</v>
          </cell>
          <cell r="CO232" t="str">
            <v>CCU_MZA - Comp. Cerv. Unidas - MZA</v>
          </cell>
          <cell r="CP232" t="str">
            <v>CCU_MZA - Comp. Cerv. Unidas - MZA</v>
          </cell>
          <cell r="CQ232" t="str">
            <v>CCU_MZA - Comp. Cerv. Unidas - MZA</v>
          </cell>
          <cell r="CR232" t="str">
            <v>CCU_MZA - Comp. Cerv. Unidas - MZA</v>
          </cell>
          <cell r="CS232" t="str">
            <v>CCU_MZA - Comp. Cerv. Unidas - MZA</v>
          </cell>
          <cell r="CT232" t="str">
            <v>CCU_MZA - Comp. Cerv. Unidas - MZA</v>
          </cell>
          <cell r="CU232" t="str">
            <v>CCU_MZA - Comp. Cerv. Unidas - MZA</v>
          </cell>
          <cell r="CV232" t="str">
            <v>Sin Operación</v>
          </cell>
          <cell r="CW232" t="str">
            <v>SUC_MEN - Sucursal Mendoza</v>
          </cell>
        </row>
        <row r="233">
          <cell r="D233" t="str">
            <v>GTE287</v>
          </cell>
          <cell r="E233" t="str">
            <v>Chasis</v>
          </cell>
          <cell r="F233" t="str">
            <v>Chasis</v>
          </cell>
          <cell r="G233" t="str">
            <v>Chasis</v>
          </cell>
          <cell r="N233" t="str">
            <v>CODYLSA</v>
          </cell>
          <cell r="O233" t="str">
            <v>CODYLSA</v>
          </cell>
          <cell r="P233" t="str">
            <v>No</v>
          </cell>
          <cell r="Q233" t="str">
            <v>Propio</v>
          </cell>
          <cell r="R233">
            <v>12</v>
          </cell>
          <cell r="S233" t="str">
            <v>Propio</v>
          </cell>
          <cell r="T233" t="str">
            <v>MERCEDES BENZ</v>
          </cell>
          <cell r="U233">
            <v>1624</v>
          </cell>
          <cell r="V233" t="str">
            <v>906973U0749170</v>
          </cell>
          <cell r="W233" t="str">
            <v>9BM6950108B560805</v>
          </cell>
          <cell r="X233">
            <v>2007</v>
          </cell>
          <cell r="Y233">
            <v>19</v>
          </cell>
          <cell r="Z233" t="str">
            <v>Papelera</v>
          </cell>
          <cell r="AA233" t="str">
            <v>Papelera - Papelera del Plata S.A.</v>
          </cell>
          <cell r="AB233" t="str">
            <v>Papelera - Papelera del Plata S.A.</v>
          </cell>
          <cell r="AC233" t="str">
            <v>Papelera - Papelera del Plata S.A.</v>
          </cell>
          <cell r="AD233" t="str">
            <v>Papelera - Papelera del Plata S.A.</v>
          </cell>
          <cell r="AE233" t="str">
            <v>Papelera - Papelera del Plata S.A.</v>
          </cell>
          <cell r="AF233" t="str">
            <v>Papelera - Papelera del Plata S.A.</v>
          </cell>
          <cell r="AG233" t="str">
            <v>Papelera - Papelera del Plata S.A.</v>
          </cell>
          <cell r="AH233" t="str">
            <v>Papelera - Papelera del Plata S.A.</v>
          </cell>
          <cell r="AI233" t="str">
            <v>Papelera - Papelera del Plata S.A.</v>
          </cell>
          <cell r="AJ233" t="str">
            <v>Papelera - Papelera del Plata S.A.</v>
          </cell>
          <cell r="AK233" t="str">
            <v>Papelera - Papelera del Plata S.A.</v>
          </cell>
          <cell r="AL233" t="str">
            <v>Papelera - Papelera del Plata S.A.</v>
          </cell>
          <cell r="AM233" t="str">
            <v>Papelera - Papelera del Plata S.A.</v>
          </cell>
          <cell r="AN233" t="str">
            <v>Papelera - Papelera del Plata S.A.</v>
          </cell>
          <cell r="AO233" t="str">
            <v>Papelera - Papelera del Plata S.A.</v>
          </cell>
          <cell r="AP233" t="str">
            <v>Papelera - Papelera del Plata S.A.</v>
          </cell>
          <cell r="AQ233" t="str">
            <v>Papelera - Papelera del Plata S.A.</v>
          </cell>
          <cell r="AR233" t="str">
            <v>Papelera - Papelera del Plata S.A.</v>
          </cell>
          <cell r="AS233" t="str">
            <v>Papelera - Papelera del Plata S.A.</v>
          </cell>
          <cell r="AT233" t="str">
            <v>Papelera - Papelera del Plata S.A.</v>
          </cell>
          <cell r="AU233" t="str">
            <v>Papelera - Papelera del Plata S.A.</v>
          </cell>
          <cell r="AV233" t="str">
            <v>Papelera - Papelera del Plata S.A.</v>
          </cell>
          <cell r="AW233" t="str">
            <v>Papelera - Papelera del Plata S.A.</v>
          </cell>
          <cell r="AX233" t="str">
            <v>Papelera - Papelera del Plata S.A.</v>
          </cell>
          <cell r="AY233" t="str">
            <v>Papelera - Papelera del Plata S.A.</v>
          </cell>
          <cell r="AZ233" t="str">
            <v>Papelera - Papelera del Plata S.A.</v>
          </cell>
          <cell r="BA233" t="str">
            <v>Papelera - Papelera del Plata S.A.</v>
          </cell>
          <cell r="BB233" t="str">
            <v>Papelera - Papelera del Plata S.A.</v>
          </cell>
          <cell r="BC233" t="str">
            <v>Papelera - Papelera del Plata S.A.</v>
          </cell>
          <cell r="BD233" t="str">
            <v>Papelera - Papelera del Plata S.A.</v>
          </cell>
          <cell r="BE233" t="str">
            <v>Papelera - Papelera del Plata S.A.</v>
          </cell>
          <cell r="BF233" t="str">
            <v>Papelera - Papelera del Plata S.A.</v>
          </cell>
          <cell r="BG233" t="str">
            <v>Papelera - Papelera del Plata S.A.</v>
          </cell>
          <cell r="BH233" t="str">
            <v>Papelera - Papelera del Plata S.A.</v>
          </cell>
          <cell r="BI233" t="str">
            <v>Papelera - Papelera del Plata S.A.</v>
          </cell>
          <cell r="BJ233" t="str">
            <v>Papelera - Papelera del Plata S.A.</v>
          </cell>
          <cell r="BK233" t="str">
            <v>Papelera - Papelera del Plata S.A.</v>
          </cell>
          <cell r="BL233" t="str">
            <v>Papelera - Papelera del Plata S.A.</v>
          </cell>
          <cell r="BM233" t="str">
            <v>Papelera - Papelera del Plata S.A.</v>
          </cell>
          <cell r="BN233" t="str">
            <v>Papelera - Papelera del Plata S.A.</v>
          </cell>
          <cell r="BO233" t="str">
            <v>Papelera - Papelera del Plata S.A.</v>
          </cell>
          <cell r="BP233" t="str">
            <v>Papelera - Papelera del Plata S.A.</v>
          </cell>
          <cell r="BQ233" t="str">
            <v>Unilever - Unilever de Arg. S.A.</v>
          </cell>
          <cell r="BR233" t="str">
            <v>Unilever - Unilever de Arg. S.A.</v>
          </cell>
          <cell r="BS233" t="str">
            <v>Unilever - Unilever de Arg. S.A.</v>
          </cell>
          <cell r="BT233" t="str">
            <v>Unilever - Unilever de Arg. S.A.</v>
          </cell>
          <cell r="BU233" t="str">
            <v>Unilever - Unilever de Arg. S.A.</v>
          </cell>
          <cell r="BV233" t="str">
            <v>Unilever - Unilever de Arg. S.A.</v>
          </cell>
          <cell r="BW233" t="str">
            <v>Unilever - Unilever de Arg. S.A.</v>
          </cell>
          <cell r="BX233" t="str">
            <v>Unilever - Unilever de Arg. S.A.</v>
          </cell>
          <cell r="BY233" t="str">
            <v>Unilever - Unilever de Arg. S.A.</v>
          </cell>
          <cell r="BZ233" t="str">
            <v>JOHNSON - SC JOHNSON DE ARGENTINA SAIC</v>
          </cell>
          <cell r="CA233" t="str">
            <v>JOHNSON - SC JOHNSON DE ARGENTINA SAIC</v>
          </cell>
          <cell r="CB233" t="str">
            <v>JOHNSON - SC JOHNSON DE ARGENTINA SAIC</v>
          </cell>
          <cell r="CC233" t="str">
            <v>JOHNSON - SC JOHNSON DE ARGENTINA SAIC</v>
          </cell>
          <cell r="CD233" t="str">
            <v>JOHNSON - SC JOHNSON DE ARGENTINA SAIC</v>
          </cell>
          <cell r="CE233" t="str">
            <v>Unilever - Unilever de Arg. S.A.</v>
          </cell>
          <cell r="CF233" t="str">
            <v>Unilever - Unilever de Arg. S.A.</v>
          </cell>
          <cell r="CG233" t="str">
            <v>Unilever - Unilever de Arg. S.A.</v>
          </cell>
          <cell r="CH233" t="str">
            <v>LOGIS</v>
          </cell>
          <cell r="CI233" t="str">
            <v>LOGIS</v>
          </cell>
          <cell r="CJ233" t="str">
            <v>Unilever - Unilever de Arg. S.A.</v>
          </cell>
          <cell r="CK233" t="str">
            <v>Topacio</v>
          </cell>
          <cell r="CL233" t="str">
            <v>Topacio</v>
          </cell>
          <cell r="CM233" t="str">
            <v>Unilever - Unilever de Arg. S.A.</v>
          </cell>
          <cell r="CN233" t="str">
            <v>Topacio</v>
          </cell>
          <cell r="CO233" t="str">
            <v>Topacio</v>
          </cell>
          <cell r="CP233" t="str">
            <v>Topacio</v>
          </cell>
          <cell r="CQ233" t="str">
            <v>Topacio</v>
          </cell>
          <cell r="CR233" t="str">
            <v>Unilever - Unilever de Arg. S.A.</v>
          </cell>
          <cell r="CS233" t="str">
            <v>Unilever - Unilever de Arg. S.A.</v>
          </cell>
          <cell r="CT233" t="str">
            <v>Unilever - Unilever de Arg. S.A.</v>
          </cell>
          <cell r="CU233" t="str">
            <v>Unilever - Unilever de Arg. S.A.</v>
          </cell>
          <cell r="CV233" t="str">
            <v>Papelera - Papelera del Plata S.A.</v>
          </cell>
          <cell r="CW233" t="str">
            <v>Papelera - Papelera del Plata S.A.</v>
          </cell>
        </row>
        <row r="234">
          <cell r="D234" t="str">
            <v>GTE288</v>
          </cell>
          <cell r="E234" t="str">
            <v>Chasis</v>
          </cell>
          <cell r="F234" t="str">
            <v>Chasis</v>
          </cell>
          <cell r="G234" t="str">
            <v>Chasis</v>
          </cell>
          <cell r="N234" t="str">
            <v>CODYLSA</v>
          </cell>
          <cell r="O234" t="str">
            <v>CODYLSA</v>
          </cell>
          <cell r="P234" t="str">
            <v>No</v>
          </cell>
          <cell r="Q234" t="str">
            <v>Propio</v>
          </cell>
          <cell r="R234">
            <v>12</v>
          </cell>
          <cell r="S234" t="str">
            <v>Propio</v>
          </cell>
          <cell r="T234" t="str">
            <v>MERCEDES BENZ</v>
          </cell>
          <cell r="U234">
            <v>1624</v>
          </cell>
          <cell r="V234" t="str">
            <v>906973U0745810</v>
          </cell>
          <cell r="W234" t="str">
            <v>9BM6950108B556705</v>
          </cell>
          <cell r="X234">
            <v>2007</v>
          </cell>
          <cell r="Y234">
            <v>19</v>
          </cell>
          <cell r="Z234" t="str">
            <v xml:space="preserve">Unilever </v>
          </cell>
          <cell r="AA234" t="str">
            <v>Unilever - Unilever de Arg. S.A.</v>
          </cell>
          <cell r="AB234" t="str">
            <v>Unilever - Unilever de Arg. S.A.</v>
          </cell>
          <cell r="AC234" t="str">
            <v>Unilever - Unilever de Arg. S.A.</v>
          </cell>
          <cell r="AD234" t="str">
            <v>Unilever - Unilever de Arg. S.A.</v>
          </cell>
          <cell r="AE234" t="str">
            <v>Unilever - Unilever de Arg. S.A.</v>
          </cell>
          <cell r="AF234" t="str">
            <v>Unilever - Unilever de Arg. S.A.</v>
          </cell>
          <cell r="AG234" t="str">
            <v>Unilever - Unilever de Arg. S.A.</v>
          </cell>
          <cell r="AH234" t="str">
            <v>Unilever - Unilever de Arg. S.A.</v>
          </cell>
          <cell r="AI234" t="str">
            <v>Unilever - Unilever de Arg. S.A.</v>
          </cell>
          <cell r="AJ234" t="str">
            <v>Unilever - Unilever de Arg. S.A.</v>
          </cell>
          <cell r="AK234" t="str">
            <v>Unilever - Unilever de Arg. S.A.</v>
          </cell>
          <cell r="AL234" t="str">
            <v>Unilever - Unilever de Arg. S.A.</v>
          </cell>
          <cell r="AM234" t="str">
            <v>Unilever - Unilever de Arg. S.A.</v>
          </cell>
          <cell r="AN234" t="str">
            <v>Papelera - Papelera del Plata S.A.</v>
          </cell>
          <cell r="AO234" t="str">
            <v>Unilever - Unilever de Arg. S.A.</v>
          </cell>
          <cell r="AP234" t="str">
            <v>Unilever - Unilever de Arg. S.A.</v>
          </cell>
          <cell r="AQ234" t="str">
            <v>Unilever - Unilever de Arg. S.A.</v>
          </cell>
          <cell r="AR234" t="str">
            <v>Unilever - Unilever de Arg. S.A.</v>
          </cell>
          <cell r="AS234" t="str">
            <v>Unilever - Unilever de Arg. S.A.</v>
          </cell>
          <cell r="AT234" t="str">
            <v>Unilever - Unilever de Arg. S.A.</v>
          </cell>
          <cell r="AU234" t="str">
            <v>Unilever - Unilever de Arg. S.A.</v>
          </cell>
          <cell r="AV234" t="str">
            <v>Unilever - Unilever de Arg. S.A.</v>
          </cell>
          <cell r="AW234" t="str">
            <v>Unilever - Unilever de Arg. S.A.</v>
          </cell>
          <cell r="AX234" t="str">
            <v>Unilever - Unilever de Arg. S.A.</v>
          </cell>
          <cell r="AY234" t="str">
            <v>Unilever - Unilever de Arg. S.A.</v>
          </cell>
          <cell r="AZ234" t="str">
            <v>Unilever - Unilever de Arg. S.A.</v>
          </cell>
          <cell r="BA234" t="str">
            <v>Unilever - Unilever de Arg. S.A.</v>
          </cell>
          <cell r="BB234" t="str">
            <v>Unilever - Unilever de Arg. S.A.</v>
          </cell>
          <cell r="BC234" t="str">
            <v>Unilever - Unilever de Arg. S.A.</v>
          </cell>
          <cell r="BD234" t="str">
            <v>Unilever - Unilever de Arg. S.A.</v>
          </cell>
          <cell r="BE234" t="str">
            <v>Unilever - Unilever de Arg. S.A.</v>
          </cell>
          <cell r="BF234" t="str">
            <v>Unilever - Unilever de Arg. S.A.</v>
          </cell>
          <cell r="BG234" t="str">
            <v>Unilever - Unilever de Arg. S.A.</v>
          </cell>
          <cell r="BH234" t="str">
            <v>Unilever - Unilever de Arg. S.A.</v>
          </cell>
          <cell r="BI234" t="str">
            <v>Unilever - Unilever de Arg. S.A.</v>
          </cell>
          <cell r="BJ234" t="str">
            <v>Unilever - Unilever de Arg. S.A.</v>
          </cell>
          <cell r="BK234" t="str">
            <v>Unilever - Unilever de Arg. S.A.</v>
          </cell>
          <cell r="BL234" t="str">
            <v>Unilever - Unilever de Arg. S.A.</v>
          </cell>
          <cell r="BM234" t="str">
            <v>Unilever - Unilever de Arg. S.A.</v>
          </cell>
          <cell r="BN234" t="str">
            <v>Unilever - Unilever de Arg. S.A.</v>
          </cell>
          <cell r="BO234" t="str">
            <v>Unilever - Unilever de Arg. S.A.</v>
          </cell>
          <cell r="BP234" t="str">
            <v>Unilever - Unilever de Arg. S.A.</v>
          </cell>
          <cell r="BQ234" t="str">
            <v>Unilever - Unilever de Arg. S.A.</v>
          </cell>
          <cell r="BR234" t="str">
            <v>Unilever - Unilever de Arg. S.A.</v>
          </cell>
          <cell r="BS234" t="str">
            <v>JOHNSON - SC JOHNSON DE ARGENTINA SAIC</v>
          </cell>
          <cell r="BT234" t="str">
            <v>JOHNSON - SC JOHNSON DE ARGENTINA SAIC</v>
          </cell>
          <cell r="BU234" t="str">
            <v>JOHNSON - SC JOHNSON DE ARGENTINA SAIC</v>
          </cell>
          <cell r="BV234" t="str">
            <v>JOHNSON - SC JOHNSON DE ARGENTINA SAIC</v>
          </cell>
          <cell r="BW234" t="str">
            <v>JOHNSON - SC JOHNSON DE ARGENTINA SAIC</v>
          </cell>
          <cell r="BX234" t="str">
            <v>JOHNSON - SC JOHNSON DE ARGENTINA SAIC</v>
          </cell>
          <cell r="BY234" t="str">
            <v>JOHNSON - SC JOHNSON DE ARGENTINA SAIC</v>
          </cell>
          <cell r="BZ234" t="str">
            <v>JOHNSON - SC JOHNSON DE ARGENTINA SAIC</v>
          </cell>
          <cell r="CA234" t="str">
            <v>JOHNSON - SC JOHNSON DE ARGENTINA SAIC</v>
          </cell>
          <cell r="CB234" t="str">
            <v>JOHNSON - SC JOHNSON DE ARGENTINA SAIC</v>
          </cell>
          <cell r="CC234" t="str">
            <v>JOHNSON - SC JOHNSON DE ARGENTINA SAIC</v>
          </cell>
          <cell r="CD234" t="str">
            <v>JOHNSON - SC JOHNSON DE ARGENTINA SAIC</v>
          </cell>
          <cell r="CE234" t="str">
            <v>JOHNSON - SC JOHNSON DE ARGENTINA SAIC</v>
          </cell>
          <cell r="CF234" t="str">
            <v>JOHNSON - SC JOHNSON DE ARGENTINA SAIC</v>
          </cell>
          <cell r="CG234" t="str">
            <v>JOHNSON - SC JOHNSON DE ARGENTINA SAIC</v>
          </cell>
          <cell r="CH234" t="str">
            <v>JOHNSON - SC JOHNSON DE ARGENTINA SAIC</v>
          </cell>
          <cell r="CI234" t="str">
            <v>JOHNSON - SC JOHNSON DE ARGENTINA SAIC</v>
          </cell>
          <cell r="CJ234" t="str">
            <v>JOHNSON - SC JOHNSON DE ARGENTINA SAIC</v>
          </cell>
          <cell r="CK234" t="str">
            <v>JOHNSON - SC JOHNSON DE ARGENTINA SAIC</v>
          </cell>
          <cell r="CL234" t="str">
            <v>JOHNSON - SC JOHNSON DE ARGENTINA SAIC</v>
          </cell>
          <cell r="CM234" t="str">
            <v>Unilever - Unilever de Arg. S.A.</v>
          </cell>
          <cell r="CN234" t="str">
            <v>JOHNSON - SC JOHNSON DE ARGENTINA SAIC</v>
          </cell>
          <cell r="CO234" t="str">
            <v>JOHNSON - SC JOHNSON DE ARGENTINA SAIC</v>
          </cell>
          <cell r="CP234" t="str">
            <v>JOHNSON - SC JOHNSON DE ARGENTINA SAIC</v>
          </cell>
          <cell r="CQ234" t="str">
            <v>JOHNSON - SC JOHNSON DE ARGENTINA SAIC</v>
          </cell>
          <cell r="CR234" t="str">
            <v>JOHNSON - SC JOHNSON DE ARGENTINA SAIC</v>
          </cell>
          <cell r="CS234" t="str">
            <v>JOHNSON - SC JOHNSON DE ARGENTINA SAIC</v>
          </cell>
          <cell r="CT234" t="str">
            <v>JOHNSON - SC JOHNSON DE ARGENTINA SAIC</v>
          </cell>
          <cell r="CU234" t="str">
            <v>JOHNSON - SC JOHNSON DE ARGENTINA SAIC</v>
          </cell>
          <cell r="CV234" t="str">
            <v>JOHNSON - SC JOHNSON DE ARGENTINA SAIC</v>
          </cell>
          <cell r="CW234" t="str">
            <v>JOHNSON - SC JOHNSON DE ARGENTINA SAIC</v>
          </cell>
        </row>
        <row r="235">
          <cell r="D235" t="str">
            <v>GTE289</v>
          </cell>
          <cell r="E235" t="str">
            <v>Chasis</v>
          </cell>
          <cell r="F235" t="str">
            <v>Chasis</v>
          </cell>
          <cell r="G235" t="str">
            <v>Chasis</v>
          </cell>
          <cell r="N235" t="str">
            <v>CODYLSA</v>
          </cell>
          <cell r="O235" t="str">
            <v>CODYLSA</v>
          </cell>
          <cell r="P235" t="str">
            <v>No</v>
          </cell>
          <cell r="Q235" t="str">
            <v>Propio</v>
          </cell>
          <cell r="R235">
            <v>12</v>
          </cell>
          <cell r="S235" t="str">
            <v>Propio</v>
          </cell>
          <cell r="T235" t="str">
            <v>MERCEDES BENZ</v>
          </cell>
          <cell r="U235">
            <v>1624</v>
          </cell>
          <cell r="V235" t="str">
            <v>906973U0749370</v>
          </cell>
          <cell r="W235" t="str">
            <v>9BM6950108B561114</v>
          </cell>
          <cell r="X235">
            <v>2007</v>
          </cell>
          <cell r="Y235">
            <v>19</v>
          </cell>
          <cell r="Z235" t="str">
            <v>Papelera</v>
          </cell>
          <cell r="AA235" t="str">
            <v>Papelera - Papelera del Plata S.A.</v>
          </cell>
          <cell r="AB235" t="str">
            <v>Papelera - Papelera del Plata S.A.</v>
          </cell>
          <cell r="AC235" t="str">
            <v>Papelera - Papelera del Plata S.A.</v>
          </cell>
          <cell r="AD235" t="str">
            <v>Papelera - Papelera del Plata S.A.</v>
          </cell>
          <cell r="AE235" t="str">
            <v>Papelera - Papelera del Plata S.A.</v>
          </cell>
          <cell r="AF235" t="str">
            <v>Papelera - Papelera del Plata S.A.</v>
          </cell>
          <cell r="AG235" t="str">
            <v>Papelera - Papelera del Plata S.A.</v>
          </cell>
          <cell r="AH235" t="str">
            <v>Papelera - Papelera del Plata S.A.</v>
          </cell>
          <cell r="AI235" t="str">
            <v>Papelera - Papelera del Plata S.A.</v>
          </cell>
          <cell r="AJ235" t="str">
            <v>Papelera - Papelera del Plata S.A.</v>
          </cell>
          <cell r="AK235" t="str">
            <v>Papelera - Papelera del Plata S.A.</v>
          </cell>
          <cell r="AL235" t="str">
            <v>Papelera - Papelera del Plata S.A.</v>
          </cell>
          <cell r="AM235" t="str">
            <v>Papelera - Papelera del Plata S.A.</v>
          </cell>
          <cell r="AN235" t="str">
            <v>Papelera - Papelera del Plata S.A.</v>
          </cell>
          <cell r="AO235" t="str">
            <v>Papelera - Papelera del Plata S.A.</v>
          </cell>
          <cell r="AP235" t="str">
            <v>Papelera - Papelera del Plata S.A.</v>
          </cell>
          <cell r="AQ235" t="str">
            <v>Papelera - Papelera del Plata S.A.</v>
          </cell>
          <cell r="AR235" t="str">
            <v>Papelera - Papelera del Plata S.A.</v>
          </cell>
          <cell r="AS235" t="str">
            <v>Papelera - Papelera del Plata S.A.</v>
          </cell>
          <cell r="AT235" t="str">
            <v>Papelera - Papelera del Plata S.A.</v>
          </cell>
          <cell r="AU235" t="str">
            <v>Unilever - Unilever de Arg. S.A.</v>
          </cell>
          <cell r="AV235" t="str">
            <v>Unilever - Unilever de Arg. S.A.</v>
          </cell>
          <cell r="AW235" t="str">
            <v>Unilever - Unilever de Arg. S.A.</v>
          </cell>
          <cell r="AX235" t="str">
            <v>Unilever - Unilever de Arg. S.A.</v>
          </cell>
          <cell r="AY235" t="str">
            <v>Unilever - Unilever de Arg. S.A.</v>
          </cell>
          <cell r="AZ235" t="str">
            <v>Unilever - Unilever de Arg. S.A.</v>
          </cell>
          <cell r="BA235" t="str">
            <v>Unilever - Unilever de Arg. S.A.</v>
          </cell>
          <cell r="BB235" t="str">
            <v>Unilever - Unilever de Arg. S.A.</v>
          </cell>
          <cell r="BC235" t="str">
            <v>Unilever - Unilever de Arg. S.A.</v>
          </cell>
          <cell r="BD235" t="str">
            <v>Unilever - Unilever de Arg. S.A.</v>
          </cell>
          <cell r="BE235" t="str">
            <v>Unilever - Unilever de Arg. S.A.</v>
          </cell>
          <cell r="BF235" t="str">
            <v>JOHNSON - SC JOHNSON DE ARGENTINA SAIC</v>
          </cell>
          <cell r="BG235" t="str">
            <v>JOHNSON - SC JOHNSON DE ARGENTINA SAIC</v>
          </cell>
          <cell r="BH235" t="str">
            <v>JOHNSON - SC JOHNSON DE ARGENTINA SAIC</v>
          </cell>
          <cell r="BI235" t="str">
            <v>JOHNSON - SC JOHNSON DE ARGENTINA SAIC</v>
          </cell>
          <cell r="BJ235" t="str">
            <v>JOHNSON - SC JOHNSON DE ARGENTINA SAIC</v>
          </cell>
          <cell r="BK235" t="str">
            <v>JOHNSON - SC JOHNSON DE ARGENTINA SAIC</v>
          </cell>
          <cell r="BL235" t="str">
            <v>JOHNSON - SC JOHNSON DE ARGENTINA SAIC</v>
          </cell>
          <cell r="BM235" t="str">
            <v>JOHNSON - SC JOHNSON DE ARGENTINA SAIC</v>
          </cell>
          <cell r="BN235" t="str">
            <v>JOHNSON - SC JOHNSON DE ARGENTINA SAIC</v>
          </cell>
          <cell r="BO235" t="str">
            <v>JOHNSON - SC JOHNSON DE ARGENTINA SAIC</v>
          </cell>
          <cell r="BP235" t="str">
            <v>JOHNSON - SC JOHNSON DE ARGENTINA SAIC</v>
          </cell>
          <cell r="BQ235" t="str">
            <v>Papelera - Papelera del Plata S.A.</v>
          </cell>
          <cell r="BR235" t="str">
            <v>Papelera - Papelera del Plata S.A.</v>
          </cell>
          <cell r="BS235" t="str">
            <v>JOHNSON - SC JOHNSON DE ARGENTINA SAIC</v>
          </cell>
          <cell r="BT235" t="str">
            <v>JOHNSON - SC JOHNSON DE ARGENTINA SAIC</v>
          </cell>
          <cell r="BU235" t="str">
            <v>JOHNSON - SC JOHNSON DE ARGENTINA SAIC</v>
          </cell>
          <cell r="BV235" t="str">
            <v>JOHNSON - SC JOHNSON DE ARGENTINA SAIC</v>
          </cell>
          <cell r="BW235" t="str">
            <v>JOHNSON - SC JOHNSON DE ARGENTINA SAIC</v>
          </cell>
          <cell r="BX235" t="str">
            <v>Llorente - J. Llorente y Cía. S.A.</v>
          </cell>
          <cell r="BY235" t="str">
            <v>Llorente - J. Llorente y Cía. S.A.</v>
          </cell>
          <cell r="BZ235" t="str">
            <v>Unilever - Unilever de Arg. S.A.</v>
          </cell>
          <cell r="CA235" t="str">
            <v>Unilever - Unilever de Arg. S.A.</v>
          </cell>
          <cell r="CB235" t="str">
            <v>Unilever - Unilever de Arg. S.A.</v>
          </cell>
          <cell r="CC235" t="str">
            <v>Unilever - Unilever de Arg. S.A.</v>
          </cell>
          <cell r="CD235" t="str">
            <v>Unilever - Unilever de Arg. S.A.</v>
          </cell>
          <cell r="CE235" t="str">
            <v>Unilever - Unilever de Arg. S.A.</v>
          </cell>
          <cell r="CF235" t="str">
            <v>Unilever - Unilever de Arg. S.A.</v>
          </cell>
          <cell r="CG235" t="str">
            <v>Unilever - Unilever de Arg. S.A.</v>
          </cell>
          <cell r="CH235" t="str">
            <v>LOGIS</v>
          </cell>
          <cell r="CI235" t="str">
            <v>LOGIS</v>
          </cell>
          <cell r="CJ235" t="str">
            <v>Unilever - Unilever de Arg. S.A.</v>
          </cell>
          <cell r="CK235" t="str">
            <v>Topacio</v>
          </cell>
          <cell r="CL235" t="str">
            <v>Topacio</v>
          </cell>
          <cell r="CM235" t="str">
            <v>Unilever - Unilever de Arg. S.A.</v>
          </cell>
          <cell r="CN235" t="str">
            <v>Topacio</v>
          </cell>
          <cell r="CO235" t="str">
            <v>Topacio</v>
          </cell>
          <cell r="CP235" t="str">
            <v>Topacio</v>
          </cell>
          <cell r="CQ235" t="str">
            <v>Topacio</v>
          </cell>
          <cell r="CR235" t="str">
            <v>Papelera - Papelera del Plata S.A.</v>
          </cell>
          <cell r="CS235" t="str">
            <v>Papelera - Papelera del Plata S.A.</v>
          </cell>
          <cell r="CT235" t="str">
            <v>Papelera - Papelera del Plata S.A.</v>
          </cell>
          <cell r="CU235" t="str">
            <v>Papelera - Papelera del Plata S.A.</v>
          </cell>
          <cell r="CV235" t="str">
            <v>Papelera - Papelera del Plata S.A.</v>
          </cell>
          <cell r="CW235" t="str">
            <v>Papelera - Papelera del Plata S.A.</v>
          </cell>
        </row>
        <row r="236">
          <cell r="D236" t="str">
            <v>AE972ZS</v>
          </cell>
          <cell r="E236" t="str">
            <v>Acoplado frio</v>
          </cell>
          <cell r="F236" t="str">
            <v>Acoplado</v>
          </cell>
          <cell r="G236" t="str">
            <v>Acoplado Termico</v>
          </cell>
          <cell r="N236" t="str">
            <v>DYLASA</v>
          </cell>
          <cell r="O236" t="str">
            <v>DYLASA</v>
          </cell>
          <cell r="P236" t="str">
            <v>No</v>
          </cell>
          <cell r="Q236" t="str">
            <v>Propio</v>
          </cell>
          <cell r="R236">
            <v>16</v>
          </cell>
          <cell r="S236" t="str">
            <v>Propio</v>
          </cell>
          <cell r="T236" t="str">
            <v>BONANO</v>
          </cell>
          <cell r="U236" t="str">
            <v>74-ACOPLADO CARNICERO DE 3 EJES</v>
          </cell>
          <cell r="V236">
            <v>0</v>
          </cell>
          <cell r="W236" t="str">
            <v>8CB3ACZZZMB000229</v>
          </cell>
          <cell r="X236">
            <v>2021</v>
          </cell>
          <cell r="Y236">
            <v>5</v>
          </cell>
          <cell r="AV236" t="str">
            <v>CENCO_MZ - Cencosud SA - Mendoza</v>
          </cell>
          <cell r="AW236" t="str">
            <v>CENCO_MZ - Cencosud SA - Mendoza</v>
          </cell>
          <cell r="AX236" t="str">
            <v>CENCO_MZ - Cencosud SA - Mendoza</v>
          </cell>
          <cell r="AY236" t="str">
            <v>CENCO_MZ - Cencosud SA - Mendoza</v>
          </cell>
          <cell r="AZ236" t="str">
            <v>CENCO_MZ - Cencosud SA - Mendoza</v>
          </cell>
          <cell r="BA236" t="str">
            <v>CENCO_MZ - Cencosud SA - Mendoza</v>
          </cell>
          <cell r="BB236" t="str">
            <v>CENCO_MZ - Cencosud SA - Mendoza</v>
          </cell>
          <cell r="BC236" t="str">
            <v>CENCO_MZ - Cencosud SA - Mendoza</v>
          </cell>
          <cell r="BD236" t="str">
            <v>CENCO_MZ - Cencosud SA - Mendoza</v>
          </cell>
          <cell r="BE236" t="str">
            <v>CENCO_MZ - Cencosud SA - Mendoza</v>
          </cell>
          <cell r="BF236" t="str">
            <v>CENCO_MZ - Cencosud SA - Mendoza</v>
          </cell>
          <cell r="BG236" t="str">
            <v>CENCO_MZ - Cencosud SA - Mendoza</v>
          </cell>
          <cell r="BH236" t="str">
            <v>CENCO_MZ - Cencosud SA - Mendoza</v>
          </cell>
          <cell r="BI236" t="str">
            <v>CENCO_MZ - Cencosud SA - Mendoza</v>
          </cell>
          <cell r="BJ236" t="str">
            <v>CENCO_MZ - Cencosud SA - Mendoza</v>
          </cell>
          <cell r="BK236" t="str">
            <v>CENCO_MZ - Cencosud SA - Mendoza</v>
          </cell>
          <cell r="BL236" t="str">
            <v>CENCO_MZ - Cencosud SA - Mendoza</v>
          </cell>
          <cell r="BM236" t="str">
            <v>CENCO_MZ - Cencosud SA - Mendoza</v>
          </cell>
          <cell r="BN236" t="str">
            <v>CENCOMLD - Cencosud SA - Mendoza</v>
          </cell>
          <cell r="BO236" t="str">
            <v>CENCOMLD - Cencosud SA - Mendoza</v>
          </cell>
          <cell r="BP236" t="str">
            <v>CENCOMLD - Cencosud SA - Mendoza</v>
          </cell>
          <cell r="BQ236" t="str">
            <v>CENCOMLD - Cencosud SA - Mendoza</v>
          </cell>
          <cell r="BR236" t="str">
            <v>CENCOMLD - Cencosud SA - Mendoza</v>
          </cell>
          <cell r="BS236" t="str">
            <v>CENCOMLD - Cencosud SA - Mendoza</v>
          </cell>
          <cell r="BT236" t="str">
            <v>CENCOMLD - Cencosud SA - Mendoza</v>
          </cell>
          <cell r="BU236" t="str">
            <v>CENCOMLD - Cencosud SA - Mendoza</v>
          </cell>
          <cell r="BV236" t="str">
            <v>CENCOMLD - Cencosud SA - Mendoza</v>
          </cell>
          <cell r="BW236" t="str">
            <v>CENCOMLD - Cencosud SA - Mendoza</v>
          </cell>
          <cell r="BX236" t="str">
            <v>CENCOMLD - Cencosud SA - Mendoza</v>
          </cell>
          <cell r="BY236" t="str">
            <v>CENCOMLD - Cencosud SA - Mendoza</v>
          </cell>
          <cell r="BZ236" t="str">
            <v>CENCOMLD - Cencosud SA - Mendoza</v>
          </cell>
          <cell r="CA236" t="str">
            <v>CENCOMLD - Cencosud SA - Mendoza</v>
          </cell>
          <cell r="CB236" t="str">
            <v>CENCOMLD - Cencosud SA - Mendoza</v>
          </cell>
          <cell r="CC236" t="str">
            <v>CENCOMLD - Cencosud SA - Mendoza</v>
          </cell>
          <cell r="CD236" t="str">
            <v>CENCOMLD - Cencosud SA - Mendoza</v>
          </cell>
          <cell r="CE236" t="str">
            <v>CENCOMLD - Cencosud SA - Mendoza</v>
          </cell>
          <cell r="CF236" t="str">
            <v>CENCOMLD - Cencosud SA - Mendoza</v>
          </cell>
          <cell r="CG236" t="str">
            <v>CENCOMLD - Cencosud SA - Mendoza</v>
          </cell>
          <cell r="CH236" t="str">
            <v>CENCOMLD - Cencosud SA - Mendoza</v>
          </cell>
          <cell r="CI236" t="str">
            <v>CENCOMLD - Cencosud SA - Mendoza</v>
          </cell>
          <cell r="CJ236" t="str">
            <v>CENCOMLD - Cencosud SA - Mendoza</v>
          </cell>
          <cell r="CK236" t="str">
            <v>CENCOMLD - Cencosud SA - Mendoza</v>
          </cell>
          <cell r="CL236" t="str">
            <v>CENCOMLD - Cencosud SA - Mendoza</v>
          </cell>
          <cell r="CM236" t="str">
            <v>CENCOMLD - Cencosud SA - Mendoza</v>
          </cell>
          <cell r="CN236" t="str">
            <v>CENCOMLD - Cencosud SA - Mendoza</v>
          </cell>
          <cell r="CO236" t="str">
            <v>CENCOMLD - Cencosud SA - Mendoza</v>
          </cell>
          <cell r="CP236" t="str">
            <v>CENCOMLD - Cencosud SA - Mendoza</v>
          </cell>
          <cell r="CQ236" t="str">
            <v>CENCOMLD - Cencosud SA - Mendoza</v>
          </cell>
          <cell r="CR236" t="str">
            <v>CENCOMLD - Cencosud SA - Mendoza</v>
          </cell>
          <cell r="CS236" t="str">
            <v>CENCOMLD - Cencosud SA - Mendoza</v>
          </cell>
          <cell r="CT236" t="str">
            <v>CENCOMLD - Cencosud SA - Mendoza</v>
          </cell>
          <cell r="CU236" t="str">
            <v>CENCOMLD - Cencosud SA - Mendoza</v>
          </cell>
          <cell r="CV236" t="str">
            <v>CENCOMLD - Cencosud SA - Mendoza</v>
          </cell>
          <cell r="CW236" t="str">
            <v>CENCOMLD - Cencosud SA - Mendoza</v>
          </cell>
        </row>
        <row r="237">
          <cell r="D237" t="str">
            <v>GUW658</v>
          </cell>
          <cell r="E237" t="str">
            <v>Chasis</v>
          </cell>
          <cell r="F237" t="str">
            <v>Chasis</v>
          </cell>
          <cell r="G237" t="str">
            <v>Chasis</v>
          </cell>
          <cell r="N237" t="str">
            <v>CODYLSA</v>
          </cell>
          <cell r="O237" t="str">
            <v>CODYLSA</v>
          </cell>
          <cell r="P237" t="str">
            <v>No</v>
          </cell>
          <cell r="Q237" t="str">
            <v>Propio</v>
          </cell>
          <cell r="R237">
            <v>12</v>
          </cell>
          <cell r="S237" t="str">
            <v>Propio</v>
          </cell>
          <cell r="T237" t="str">
            <v>MERCEDES BENZ</v>
          </cell>
          <cell r="U237">
            <v>1624</v>
          </cell>
          <cell r="V237" t="str">
            <v>906973U0754465</v>
          </cell>
          <cell r="W237" t="str">
            <v>9BM6950108B567531</v>
          </cell>
          <cell r="X237">
            <v>2007</v>
          </cell>
          <cell r="Y237">
            <v>19</v>
          </cell>
          <cell r="Z237" t="str">
            <v xml:space="preserve">Unilever </v>
          </cell>
          <cell r="AA237" t="str">
            <v>Unilever - Unilever de Arg. S.A.</v>
          </cell>
          <cell r="AB237" t="str">
            <v>Unilever - Unilever de Arg. S.A.</v>
          </cell>
          <cell r="AC237" t="str">
            <v>Unilever - Unilever de Arg. S.A.</v>
          </cell>
          <cell r="AD237" t="str">
            <v>Unilever - Unilever de Arg. S.A.</v>
          </cell>
          <cell r="AE237" t="str">
            <v>Unilever - Unilever de Arg. S.A.</v>
          </cell>
          <cell r="AF237" t="str">
            <v>Unilever - Unilever de Arg. S.A.</v>
          </cell>
          <cell r="AG237" t="str">
            <v>Unilever - Unilever de Arg. S.A.</v>
          </cell>
          <cell r="AH237" t="str">
            <v>Unilever - Unilever de Arg. S.A.</v>
          </cell>
          <cell r="AI237" t="str">
            <v>Unilever - Unilever de Arg. S.A.</v>
          </cell>
          <cell r="AJ237" t="str">
            <v>Unilever - Unilever de Arg. S.A.</v>
          </cell>
          <cell r="AK237" t="str">
            <v>Unilever - Unilever de Arg. S.A.</v>
          </cell>
          <cell r="AL237" t="str">
            <v>Unilever - Unilever de Arg. S.A.</v>
          </cell>
          <cell r="AM237" t="str">
            <v>Unilever - Unilever de Arg. S.A.</v>
          </cell>
          <cell r="AN237" t="str">
            <v>Unilever - Unilever de Arg. S.A.</v>
          </cell>
          <cell r="AO237" t="str">
            <v>Unilever - Unilever de Arg. S.A.</v>
          </cell>
          <cell r="AP237" t="str">
            <v>Unilever - Unilever de Arg. S.A.</v>
          </cell>
          <cell r="AQ237" t="str">
            <v>Unilever - Unilever de Arg. S.A.</v>
          </cell>
          <cell r="AR237" t="str">
            <v>Unilever - Unilever de Arg. S.A.</v>
          </cell>
          <cell r="AS237" t="str">
            <v>Unilever - Unilever de Arg. S.A.</v>
          </cell>
          <cell r="AT237" t="str">
            <v>Unilever - Unilever de Arg. S.A.</v>
          </cell>
          <cell r="AU237" t="str">
            <v>Unilever - Unilever de Arg. S.A.</v>
          </cell>
          <cell r="AV237" t="str">
            <v>Unilever - Unilever de Arg. S.A.</v>
          </cell>
          <cell r="AW237" t="str">
            <v>Unilever - Unilever de Arg. S.A.</v>
          </cell>
          <cell r="AX237" t="str">
            <v>Unilever - Unilever de Arg. S.A.</v>
          </cell>
          <cell r="AY237" t="str">
            <v>Unilever - Unilever de Arg. S.A.</v>
          </cell>
          <cell r="AZ237" t="str">
            <v>Unilever - Unilever de Arg. S.A.</v>
          </cell>
          <cell r="BA237" t="str">
            <v>Unilever - Unilever de Arg. S.A.</v>
          </cell>
          <cell r="BB237" t="str">
            <v>Unilever - Unilever de Arg. S.A.</v>
          </cell>
          <cell r="BC237" t="str">
            <v>Unilever - Unilever de Arg. S.A.</v>
          </cell>
          <cell r="BD237" t="str">
            <v>Unilever - Unilever de Arg. S.A.</v>
          </cell>
          <cell r="BE237" t="str">
            <v>Unilever - Unilever de Arg. S.A.</v>
          </cell>
          <cell r="BF237" t="str">
            <v>Unilever - Unilever de Arg. S.A.</v>
          </cell>
          <cell r="BG237" t="str">
            <v>Unilever - Unilever de Arg. S.A.</v>
          </cell>
          <cell r="BH237" t="str">
            <v>Unilever - Unilever de Arg. S.A.</v>
          </cell>
          <cell r="BI237" t="str">
            <v>Unilever - Unilever de Arg. S.A.</v>
          </cell>
          <cell r="BJ237" t="str">
            <v>Unilever - Unilever de Arg. S.A.</v>
          </cell>
          <cell r="BK237" t="str">
            <v>Unilever - Unilever de Arg. S.A.</v>
          </cell>
          <cell r="BL237" t="str">
            <v>Unilever - Unilever de Arg. S.A.</v>
          </cell>
          <cell r="BM237" t="str">
            <v>Unilever - Unilever de Arg. S.A.</v>
          </cell>
          <cell r="BN237" t="str">
            <v>Unilever - Unilever de Arg. S.A.</v>
          </cell>
          <cell r="BO237" t="str">
            <v>Unilever - Unilever de Arg. S.A.</v>
          </cell>
          <cell r="BP237" t="str">
            <v>Unilever - Unilever de Arg. S.A.</v>
          </cell>
          <cell r="BQ237" t="str">
            <v>Unilever - Unilever de Arg. S.A.</v>
          </cell>
          <cell r="BR237" t="str">
            <v>JOHNSON - SC JOHNSON DE ARGENTINA SAIC</v>
          </cell>
          <cell r="BS237" t="str">
            <v>JOHNSON - SC JOHNSON DE ARGENTINA SAIC</v>
          </cell>
          <cell r="BT237" t="str">
            <v>JOHNSON - SC JOHNSON DE ARGENTINA SAIC</v>
          </cell>
          <cell r="BU237" t="str">
            <v>JOHNSON - SC JOHNSON DE ARGENTINA SAIC</v>
          </cell>
          <cell r="BV237" t="str">
            <v>Papelera - Papelera del Plata S.A.</v>
          </cell>
          <cell r="BW237" t="str">
            <v>Papelera - Papelera del Plata S.A.</v>
          </cell>
          <cell r="BX237" t="str">
            <v>Llorente - J. Llorente y Cía. S.A.</v>
          </cell>
          <cell r="BY237" t="str">
            <v>Llorente - J. Llorente y Cía. S.A.</v>
          </cell>
          <cell r="BZ237" t="str">
            <v>Unilever - Unilever de Arg. S.A.</v>
          </cell>
          <cell r="CA237" t="str">
            <v>Unilever - Unilever de Arg. S.A.</v>
          </cell>
          <cell r="CB237" t="str">
            <v>JOHNSON - SC JOHNSON DE ARGENTINA SAIC</v>
          </cell>
          <cell r="CC237" t="str">
            <v>JOHNSON - SC JOHNSON DE ARGENTINA SAIC</v>
          </cell>
          <cell r="CD237" t="str">
            <v>JOHNSON - SC JOHNSON DE ARGENTINA SAIC</v>
          </cell>
          <cell r="CE237" t="str">
            <v>JOHNSON - SC JOHNSON DE ARGENTINA SAIC</v>
          </cell>
          <cell r="CF237" t="str">
            <v>JOHNSON - SC JOHNSON DE ARGENTINA SAIC</v>
          </cell>
          <cell r="CG237" t="str">
            <v>JOHNSON - SC JOHNSON DE ARGENTINA SAIC</v>
          </cell>
          <cell r="CH237" t="str">
            <v>JOHNSON - SC JOHNSON DE ARGENTINA SAIC</v>
          </cell>
          <cell r="CI237" t="str">
            <v>JOHNSON - SC JOHNSON DE ARGENTINA SAIC</v>
          </cell>
          <cell r="CJ237" t="str">
            <v>JOHNSON - SC JOHNSON DE ARGENTINA SAIC</v>
          </cell>
          <cell r="CK237" t="str">
            <v>JOHNSON - SC JOHNSON DE ARGENTINA SAIC</v>
          </cell>
          <cell r="CL237" t="str">
            <v>JOHNSON - SC JOHNSON DE ARGENTINA SAIC</v>
          </cell>
          <cell r="CM237" t="str">
            <v>JOHNSON - SC JOHNSON DE ARGENTINA SAIC</v>
          </cell>
          <cell r="CN237" t="str">
            <v>Unilever - Unilever de Arg. S.A.</v>
          </cell>
          <cell r="CO237" t="str">
            <v>Unilever - Unilever de Arg. S.A.</v>
          </cell>
          <cell r="CP237" t="str">
            <v>Unilever - Unilever de Arg. S.A.</v>
          </cell>
          <cell r="CQ237" t="str">
            <v>Unilever - Unilever de Arg. S.A.</v>
          </cell>
          <cell r="CR237" t="str">
            <v>Unilever - Unilever de Arg. S.A.</v>
          </cell>
          <cell r="CS237" t="str">
            <v>Unilever - Unilever de Arg. S.A.</v>
          </cell>
          <cell r="CT237" t="str">
            <v>Unilever - Unilever de Arg. S.A.</v>
          </cell>
          <cell r="CU237" t="str">
            <v>Unilever - Unilever de Arg. S.A.</v>
          </cell>
          <cell r="CV237" t="str">
            <v>Unilever - Unilever de Arg. S.A.</v>
          </cell>
          <cell r="CW237" t="str">
            <v>Unilever - Unilever de Arg. S.A.</v>
          </cell>
        </row>
        <row r="238">
          <cell r="D238" t="str">
            <v>GVU096</v>
          </cell>
          <cell r="E238" t="str">
            <v>Chasis</v>
          </cell>
          <cell r="F238" t="str">
            <v>Chasis</v>
          </cell>
          <cell r="G238" t="str">
            <v>Chasis</v>
          </cell>
          <cell r="N238" t="str">
            <v>CODYLSA</v>
          </cell>
          <cell r="O238" t="str">
            <v>CODYLSA</v>
          </cell>
          <cell r="P238" t="str">
            <v>No</v>
          </cell>
          <cell r="Q238" t="str">
            <v>Propio</v>
          </cell>
          <cell r="R238">
            <v>12</v>
          </cell>
          <cell r="S238" t="str">
            <v>Propio</v>
          </cell>
          <cell r="T238" t="str">
            <v>MERCEDES BENZ</v>
          </cell>
          <cell r="U238">
            <v>1624</v>
          </cell>
          <cell r="V238" t="str">
            <v>906973U0754557</v>
          </cell>
          <cell r="W238" t="str">
            <v>9BM6950108B567635</v>
          </cell>
          <cell r="X238">
            <v>2008</v>
          </cell>
          <cell r="Y238">
            <v>18</v>
          </cell>
          <cell r="Z238" t="str">
            <v>Jumbo Mendoza</v>
          </cell>
          <cell r="AA238" t="str">
            <v>CENCO_MZ - Cencosud SA - Mendoza</v>
          </cell>
          <cell r="AB238" t="str">
            <v>CENCO_MZ - Cencosud SA - Mendoza</v>
          </cell>
          <cell r="AC238" t="str">
            <v>CENCO_MZ - Cencosud SA - Mendoza</v>
          </cell>
          <cell r="AD238" t="str">
            <v>CENCO_MZ - Cencosud SA - Mendoza</v>
          </cell>
          <cell r="AE238" t="str">
            <v>CENCO_MZ - Cencosud SA - Mendoza</v>
          </cell>
          <cell r="AF238" t="str">
            <v>CENCO_MZ - Cencosud SA - Mendoza</v>
          </cell>
          <cell r="AG238" t="str">
            <v>CENCO_MZ - Cencosud SA - Mendoza</v>
          </cell>
          <cell r="AH238" t="str">
            <v>CENCO_MZ - Cencosud SA - Mendoza</v>
          </cell>
          <cell r="AI238" t="str">
            <v>CENCO_MZ - Cencosud SA - Mendoza</v>
          </cell>
          <cell r="AJ238" t="str">
            <v>CENCO_MZ - Cencosud SA - Mendoza</v>
          </cell>
          <cell r="AK238" t="str">
            <v>CENCO_MZ - Cencosud SA - Mendoza</v>
          </cell>
          <cell r="AL238" t="str">
            <v>CENCO_MZ - Cencosud SA - Mendoza</v>
          </cell>
          <cell r="AM238" t="str">
            <v>CENCO_MZ - Cencosud SA - Mendoza</v>
          </cell>
          <cell r="AN238" t="str">
            <v>CENCO_MZ - Cencosud SA - Mendoza</v>
          </cell>
          <cell r="AO238" t="str">
            <v>CENCO_MZ - Cencosud SA - Mendoza</v>
          </cell>
          <cell r="AP238" t="str">
            <v>CENCO_MZ - Cencosud SA - Mendoza</v>
          </cell>
          <cell r="AQ238" t="str">
            <v>CENCO_MZ - Cencosud SA - Mendoza</v>
          </cell>
          <cell r="AR238" t="str">
            <v>CENCO_MZ - Cencosud SA - Mendoza</v>
          </cell>
          <cell r="AS238" t="str">
            <v>CENCO_MZ - Cencosud SA - Mendoza</v>
          </cell>
          <cell r="AT238" t="str">
            <v>CENCO_MZ - Cencosud SA - Mendoza</v>
          </cell>
          <cell r="AU238" t="str">
            <v>CENCO_MZ - Cencosud SA - Mendoza</v>
          </cell>
          <cell r="AV238" t="str">
            <v>CENCO_MZ - Cencosud SA - Mendoza</v>
          </cell>
          <cell r="AW238" t="str">
            <v>CENCO_MZ - Cencosud SA - Mendoza</v>
          </cell>
          <cell r="AX238" t="str">
            <v>CENCO_MZ - Cencosud SA - Mendoza</v>
          </cell>
          <cell r="AY238" t="str">
            <v>CENCO_MZ - Cencosud SA - Mendoza</v>
          </cell>
          <cell r="AZ238" t="str">
            <v>CENCO_MZ - Cencosud SA - Mendoza</v>
          </cell>
          <cell r="BA238" t="str">
            <v>CENCO_MZ - Cencosud SA - Mendoza</v>
          </cell>
          <cell r="BB238" t="str">
            <v>CENCO_MZ - Cencosud SA - Mendoza</v>
          </cell>
          <cell r="BC238" t="str">
            <v>CENCO_MZ - Cencosud SA - Mendoza</v>
          </cell>
          <cell r="BD238" t="str">
            <v>CENCO_MZ - Cencosud SA - Mendoza</v>
          </cell>
          <cell r="BE238" t="str">
            <v>CENCO_MZ - Cencosud SA - Mendoza</v>
          </cell>
          <cell r="BF238" t="str">
            <v>CENCO_MZ - Cencosud SA - Mendoza</v>
          </cell>
          <cell r="BG238" t="str">
            <v>CENCO_MZ - Cencosud SA - Mendoza</v>
          </cell>
          <cell r="BH238" t="str">
            <v>CENCO_MZ - Cencosud SA - Mendoza</v>
          </cell>
          <cell r="BI238" t="str">
            <v>CENCO_MZ - Cencosud SA - Mendoza</v>
          </cell>
          <cell r="BJ238" t="str">
            <v>CENCO_MZ - Cencosud SA - Mendoza</v>
          </cell>
          <cell r="BK238" t="str">
            <v>CENCO_MZ - Cencosud SA - Mendoza</v>
          </cell>
          <cell r="BL238" t="str">
            <v>CENCO_MZ - Cencosud SA - Mendoza</v>
          </cell>
          <cell r="BM238" t="str">
            <v>CENCO_MZ - Cencosud SA - Mendoza</v>
          </cell>
          <cell r="BN238" t="str">
            <v>CENCO_MZ - Cencosud SA - Mendoza</v>
          </cell>
          <cell r="BO238" t="str">
            <v>CENCO_MZ - Cencosud SA - Mendoza</v>
          </cell>
          <cell r="BP238" t="str">
            <v>CENCO_MZ - Cencosud SA - Mendoza</v>
          </cell>
          <cell r="BQ238" t="str">
            <v>CENCO_MZ - Cencosud SA - Mendoza</v>
          </cell>
          <cell r="BR238" t="str">
            <v>CENCO_MZ - Cencosud SA - Mendoza</v>
          </cell>
          <cell r="BS238" t="str">
            <v>CENCO_MZ - Cencosud SA - Mendoza</v>
          </cell>
          <cell r="BT238" t="str">
            <v>Sin Operación</v>
          </cell>
          <cell r="BU238" t="str">
            <v>Sin Operación</v>
          </cell>
          <cell r="BV238" t="str">
            <v>SUC_SRA - Sucursal San Rafael</v>
          </cell>
          <cell r="BW238" t="str">
            <v>SUC_SRA - Sucursal San Rafael</v>
          </cell>
          <cell r="BX238" t="str">
            <v>SUC_SRA - Sucursal San Rafael</v>
          </cell>
          <cell r="BY238" t="str">
            <v>SUC_SRA - Sucursal San Rafael</v>
          </cell>
          <cell r="BZ238" t="str">
            <v>SUC_SRA - Sucursal San Rafael</v>
          </cell>
          <cell r="CA238" t="str">
            <v>SUC_SRA - Sucursal San Rafael</v>
          </cell>
          <cell r="CB238" t="str">
            <v>SUC_SRA - Sucursal San Rafael</v>
          </cell>
          <cell r="CC238" t="str">
            <v>SUC_SRA - Sucursal San Rafael</v>
          </cell>
          <cell r="CD238" t="str">
            <v>SUC_SRA - Sucursal San Rafael</v>
          </cell>
          <cell r="CE238" t="str">
            <v>SUC_SRA - Sucursal San Rafael</v>
          </cell>
          <cell r="CF238" t="str">
            <v>SUC_SRA - Sucursal San Rafael</v>
          </cell>
          <cell r="CG238" t="str">
            <v>SUC_SRA - Sucursal San Rafael</v>
          </cell>
          <cell r="CH238" t="str">
            <v>SUC_SRA - Sucursal San Rafael</v>
          </cell>
          <cell r="CI238" t="str">
            <v>SUC_SRA - Sucursal San Rafael</v>
          </cell>
          <cell r="CJ238" t="str">
            <v>SUC_SRA - Sucursal San Rafael</v>
          </cell>
          <cell r="CK238" t="str">
            <v>SUC_SRA - Sucursal San Rafael</v>
          </cell>
          <cell r="CL238" t="str">
            <v>SUC_SRA - Sucursal San Rafael</v>
          </cell>
          <cell r="CM238" t="str">
            <v>SUC_SRA - Sucursal San Rafael</v>
          </cell>
          <cell r="CN238" t="str">
            <v>SUC_SRA - Sucursal San Rafael</v>
          </cell>
          <cell r="CO238" t="str">
            <v>SUC_SRA - Sucursal San Rafael</v>
          </cell>
          <cell r="CP238" t="str">
            <v>SUC_SRA - Sucursal San Rafael</v>
          </cell>
          <cell r="CQ238" t="str">
            <v>SUC_SRA - Sucursal San Rafael</v>
          </cell>
          <cell r="CR238" t="str">
            <v>SUC_SRA - Sucursal San Rafael</v>
          </cell>
          <cell r="CS238" t="str">
            <v>SUC_SRA - Sucursal San Rafael</v>
          </cell>
          <cell r="CT238" t="str">
            <v>SUC_SRA - Sucursal San Rafael</v>
          </cell>
          <cell r="CU238" t="str">
            <v>SUC_SRA - Sucursal San Rafael</v>
          </cell>
          <cell r="CV238" t="str">
            <v>SUC_SRA - Sucursal San Rafael</v>
          </cell>
          <cell r="CW238" t="str">
            <v>SUC_SRA - Sucursal San Rafael</v>
          </cell>
        </row>
        <row r="239">
          <cell r="D239" t="str">
            <v>GVU097</v>
          </cell>
          <cell r="E239" t="str">
            <v>Chasis</v>
          </cell>
          <cell r="F239" t="str">
            <v>Chasis</v>
          </cell>
          <cell r="G239" t="str">
            <v>Chasis</v>
          </cell>
          <cell r="N239" t="str">
            <v>CODYLSA</v>
          </cell>
          <cell r="O239" t="str">
            <v>CODYLSA</v>
          </cell>
          <cell r="P239" t="str">
            <v>No</v>
          </cell>
          <cell r="Q239" t="str">
            <v>Propio</v>
          </cell>
          <cell r="R239">
            <v>12</v>
          </cell>
          <cell r="S239" t="str">
            <v>Propio</v>
          </cell>
          <cell r="T239" t="str">
            <v>MERCEDES BENZ</v>
          </cell>
          <cell r="U239">
            <v>1624</v>
          </cell>
          <cell r="V239" t="str">
            <v>904976U0754306</v>
          </cell>
          <cell r="W239" t="str">
            <v>9BM6940008B567342</v>
          </cell>
          <cell r="X239">
            <v>2008</v>
          </cell>
          <cell r="Y239">
            <v>18</v>
          </cell>
          <cell r="Z239" t="str">
            <v xml:space="preserve">Unilever </v>
          </cell>
          <cell r="AA239" t="str">
            <v>Unilever - Unilever de Arg. S.A.</v>
          </cell>
          <cell r="AB239" t="str">
            <v>Unilever - Unilever de Arg. S.A.</v>
          </cell>
          <cell r="AC239" t="str">
            <v>Unilever - Unilever de Arg. S.A.</v>
          </cell>
          <cell r="AD239" t="str">
            <v>Unilever - Unilever de Arg. S.A.</v>
          </cell>
          <cell r="AE239" t="str">
            <v>Unilever - Unilever de Arg. S.A.</v>
          </cell>
          <cell r="AF239" t="str">
            <v>Unilever - Unilever de Arg. S.A.</v>
          </cell>
          <cell r="AG239" t="str">
            <v>Unilever - Unilever de Arg. S.A.</v>
          </cell>
          <cell r="AH239" t="str">
            <v>Unilever - Unilever de Arg. S.A.</v>
          </cell>
          <cell r="AI239" t="str">
            <v>Unilever - Unilever de Arg. S.A.</v>
          </cell>
          <cell r="AJ239" t="str">
            <v>Unilever - Unilever de Arg. S.A.</v>
          </cell>
          <cell r="AK239" t="str">
            <v>JOHNSON - SC JOHNSON DE ARGENTINA SAIC</v>
          </cell>
          <cell r="AL239" t="str">
            <v>JOHNSON - SC JOHNSON DE ARGENTINA SAIC</v>
          </cell>
          <cell r="AM239" t="str">
            <v>JOHNSON - SC JOHNSON DE ARGENTINA SAIC</v>
          </cell>
          <cell r="AN239" t="str">
            <v>Unilever - Unilever de Arg. S.A.</v>
          </cell>
          <cell r="AO239" t="str">
            <v>JOHNSON - SC JOHNSON DE ARGENTINA SAIC</v>
          </cell>
          <cell r="AP239" t="str">
            <v>JOHNSON - SC JOHNSON DE ARGENTINA SAIC</v>
          </cell>
          <cell r="AQ239" t="str">
            <v>JOHNSON - SC JOHNSON DE ARGENTINA SAIC</v>
          </cell>
          <cell r="AR239" t="str">
            <v>JOHNSON - SC JOHNSON DE ARGENTINA SAIC</v>
          </cell>
          <cell r="AS239" t="str">
            <v>JOHNSON - SC JOHNSON DE ARGENTINA SAIC</v>
          </cell>
          <cell r="AT239" t="str">
            <v>JOHNSON - SC JOHNSON DE ARGENTINA SAIC</v>
          </cell>
          <cell r="AU239" t="str">
            <v>JOHNSON - SC JOHNSON DE ARGENTINA SAIC</v>
          </cell>
          <cell r="AV239" t="str">
            <v>JOHNSON - SC JOHNSON DE ARGENTINA SAIC</v>
          </cell>
          <cell r="AW239" t="str">
            <v>JOHNSON - SC JOHNSON DE ARGENTINA SAIC</v>
          </cell>
          <cell r="AX239" t="str">
            <v>JOHNSON - SC JOHNSON DE ARGENTINA SAIC</v>
          </cell>
          <cell r="AY239" t="str">
            <v>JOHNSON - SC JOHNSON DE ARGENTINA SAIC</v>
          </cell>
          <cell r="AZ239" t="str">
            <v>JOHNSON - SC JOHNSON DE ARGENTINA SAIC</v>
          </cell>
          <cell r="BA239" t="str">
            <v>JOHNSON - SC JOHNSON DE ARGENTINA SAIC</v>
          </cell>
          <cell r="BB239" t="str">
            <v>JOHNSON - SC JOHNSON DE ARGENTINA SAIC</v>
          </cell>
          <cell r="BC239" t="str">
            <v>JOHNSON - SC JOHNSON DE ARGENTINA SAIC</v>
          </cell>
          <cell r="BD239" t="str">
            <v>JOHNSON - SC JOHNSON DE ARGENTINA SAIC</v>
          </cell>
          <cell r="BE239" t="str">
            <v>JOHNSON - SC JOHNSON DE ARGENTINA SAIC</v>
          </cell>
          <cell r="BF239" t="str">
            <v>Unilever - Unilever de Arg. S.A.</v>
          </cell>
          <cell r="BG239" t="str">
            <v>Unilever - Unilever de Arg. S.A.</v>
          </cell>
          <cell r="BH239" t="str">
            <v>Unilever - Unilever de Arg. S.A.</v>
          </cell>
          <cell r="BI239" t="str">
            <v>Unilever - Unilever de Arg. S.A.</v>
          </cell>
          <cell r="BJ239" t="str">
            <v>Unilever - Unilever de Arg. S.A.</v>
          </cell>
          <cell r="BK239" t="str">
            <v>Unilever - Unilever de Arg. S.A.</v>
          </cell>
          <cell r="BL239" t="str">
            <v>Unilever - Unilever de Arg. S.A.</v>
          </cell>
          <cell r="BM239" t="str">
            <v>Unilever - Unilever de Arg. S.A.</v>
          </cell>
          <cell r="BN239" t="str">
            <v>Unilever - Unilever de Arg. S.A.</v>
          </cell>
          <cell r="BO239" t="str">
            <v>Unilever - Unilever de Arg. S.A.</v>
          </cell>
          <cell r="BP239" t="str">
            <v>Unilever - Unilever de Arg. S.A.</v>
          </cell>
          <cell r="BQ239" t="str">
            <v>Unilever - Unilever de Arg. S.A.</v>
          </cell>
          <cell r="BR239" t="str">
            <v>Unilever - Unilever de Arg. S.A.</v>
          </cell>
          <cell r="BS239" t="str">
            <v>Unilever - Unilever de Arg. S.A.</v>
          </cell>
          <cell r="BT239" t="str">
            <v>Unilever - Unilever de Arg. S.A.</v>
          </cell>
          <cell r="BU239" t="str">
            <v>Unilever - Unilever de Arg. S.A.</v>
          </cell>
          <cell r="BV239" t="str">
            <v>Unilever - Unilever de Arg. S.A.</v>
          </cell>
          <cell r="BW239" t="str">
            <v>Unilever - Unilever de Arg. S.A.</v>
          </cell>
          <cell r="BX239" t="str">
            <v>Unilever - Unilever de Arg. S.A.</v>
          </cell>
          <cell r="BY239" t="str">
            <v>Unilever - Unilever de Arg. S.A.</v>
          </cell>
          <cell r="BZ239" t="str">
            <v>Llorente - J. Llorente y Cía. S.A.</v>
          </cell>
          <cell r="CA239" t="str">
            <v>Llorente - J. Llorente y Cía. S.A.</v>
          </cell>
          <cell r="CB239" t="str">
            <v>Llorente - J. Llorente y Cía. S.A.</v>
          </cell>
          <cell r="CC239" t="str">
            <v>Llorente - J. Llorente y Cía. S.A.</v>
          </cell>
          <cell r="CD239" t="str">
            <v>Llorente - J. Llorente y Cía. S.A.</v>
          </cell>
          <cell r="CE239" t="str">
            <v>JOHNSON - SC JOHNSON DE ARGENTINA SAIC</v>
          </cell>
          <cell r="CF239" t="str">
            <v>JOHNSON - SC JOHNSON DE ARGENTINA SAIC</v>
          </cell>
          <cell r="CG239" t="str">
            <v>JOHNSON - SC JOHNSON DE ARGENTINA SAIC</v>
          </cell>
          <cell r="CH239" t="str">
            <v>Unilever - Unilever de Arg. S.A.</v>
          </cell>
          <cell r="CI239" t="str">
            <v>Unilever - Unilever de Arg. S.A.</v>
          </cell>
          <cell r="CJ239" t="str">
            <v>Unilever - Unilever de Arg. S.A.</v>
          </cell>
          <cell r="CK239" t="str">
            <v>Unilever - Unilever de Arg. S.A.</v>
          </cell>
          <cell r="CL239" t="str">
            <v>Unilever - Unilever de Arg. S.A.</v>
          </cell>
          <cell r="CM239" t="str">
            <v>Unilever - Unilever de Arg. S.A.</v>
          </cell>
          <cell r="CN239" t="str">
            <v>Unilever - Unilever de Arg. S.A.</v>
          </cell>
          <cell r="CO239" t="str">
            <v>Papelera - Papelera del Plata S.A.</v>
          </cell>
          <cell r="CP239" t="str">
            <v>Papelera - Papelera del Plata S.A.</v>
          </cell>
          <cell r="CQ239" t="str">
            <v>Papelera - Papelera del Plata S.A.</v>
          </cell>
          <cell r="CR239" t="str">
            <v>Papelera - Papelera del Plata S.A.</v>
          </cell>
          <cell r="CS239" t="str">
            <v>Papelera - Papelera del Plata S.A.</v>
          </cell>
          <cell r="CT239" t="str">
            <v>Unilever - Unilever de Arg. S.A.</v>
          </cell>
          <cell r="CU239" t="str">
            <v>Unilever - Unilever de Arg. S.A.</v>
          </cell>
          <cell r="CV239" t="str">
            <v>Unilever - Unilever de Arg. S.A.</v>
          </cell>
          <cell r="CW239" t="str">
            <v>Unilever - Unilever de Arg. S.A.</v>
          </cell>
        </row>
        <row r="240">
          <cell r="D240" t="str">
            <v>GYB034</v>
          </cell>
          <cell r="E240" t="str">
            <v>Chasis</v>
          </cell>
          <cell r="F240" t="str">
            <v>Chasis</v>
          </cell>
          <cell r="G240" t="str">
            <v>Chasis</v>
          </cell>
          <cell r="N240" t="str">
            <v>CODYLSA</v>
          </cell>
          <cell r="O240" t="str">
            <v>CODYLSA</v>
          </cell>
          <cell r="P240" t="str">
            <v>No</v>
          </cell>
          <cell r="Q240" t="str">
            <v>Propio</v>
          </cell>
          <cell r="R240">
            <v>8</v>
          </cell>
          <cell r="S240" t="str">
            <v>Propio</v>
          </cell>
          <cell r="T240" t="str">
            <v>MERCEDES BENZ</v>
          </cell>
          <cell r="U240">
            <v>710</v>
          </cell>
          <cell r="V240" t="str">
            <v>374993U0749442</v>
          </cell>
          <cell r="W240" t="str">
            <v>9BM6881578B561423</v>
          </cell>
          <cell r="X240">
            <v>2008</v>
          </cell>
          <cell r="Y240">
            <v>18</v>
          </cell>
          <cell r="Z240" t="str">
            <v>Danone La Plata</v>
          </cell>
          <cell r="AA240" t="str">
            <v>ADA_LP - Danone Arg. S.A. - LP</v>
          </cell>
          <cell r="AB240" t="str">
            <v>ADA_LP - Danone Arg. S.A. - LP</v>
          </cell>
          <cell r="AC240" t="str">
            <v>ADA_LP - Danone Arg. S.A. - LP</v>
          </cell>
          <cell r="AD240" t="str">
            <v>ADA_LP - Danone Arg. S.A. - LP</v>
          </cell>
          <cell r="AE240" t="str">
            <v>ADA_LP - Danone Arg. S.A. - LP</v>
          </cell>
          <cell r="AF240" t="str">
            <v>ADA_LP - Danone Arg. S.A. - LP</v>
          </cell>
          <cell r="AG240" t="str">
            <v>ADA_LP - Danone Arg. S.A. - LP</v>
          </cell>
          <cell r="AH240" t="str">
            <v>ADA_LP - Danone Arg. S.A. - LP</v>
          </cell>
          <cell r="AI240" t="str">
            <v>ADA_LP - Danone Arg. S.A. - LP</v>
          </cell>
          <cell r="AJ240" t="str">
            <v>ADA_LP - Danone Arg. S.A. - LP</v>
          </cell>
          <cell r="AK240" t="str">
            <v>ADA_LP - Danone Arg. S.A. - LP</v>
          </cell>
          <cell r="AL240" t="str">
            <v>ADA_LP - Danone Arg. S.A. - LP</v>
          </cell>
          <cell r="AM240" t="str">
            <v>ADA_LP - Danone Arg. S.A. - LP</v>
          </cell>
          <cell r="AN240" t="str">
            <v>INACTIVO</v>
          </cell>
          <cell r="AO240" t="str">
            <v>INACTIVO</v>
          </cell>
          <cell r="AP240" t="str">
            <v>INACTIVO</v>
          </cell>
          <cell r="AQ240" t="str">
            <v>ADA_LP - Danone Arg. S.A. - LP</v>
          </cell>
          <cell r="AR240" t="str">
            <v>ADA_LP - Danone Arg. S.A. - LP</v>
          </cell>
          <cell r="AS240" t="str">
            <v>ADA_LP - Danone Arg. S.A. - LP</v>
          </cell>
          <cell r="AT240" t="str">
            <v>ADA_LP - Danone Arg. S.A. - LP</v>
          </cell>
          <cell r="AU240" t="str">
            <v>ADA_LP - Danone Arg. S.A. - LP</v>
          </cell>
          <cell r="AV240" t="str">
            <v>ADA_LP - Danone Arg. S.A. - LP</v>
          </cell>
          <cell r="AW240" t="str">
            <v>ADA_LP - Danone Arg. S.A. - LP</v>
          </cell>
          <cell r="AX240" t="str">
            <v>ADA_LP - Danone Arg. S.A. - LP</v>
          </cell>
          <cell r="AY240" t="str">
            <v>ADA_LP - Danone Arg. S.A. - LP</v>
          </cell>
          <cell r="AZ240" t="str">
            <v>ADA_LP - Danone Arg. S.A. - LP</v>
          </cell>
          <cell r="BA240" t="str">
            <v>ADA_LP - Danone Arg. S.A. - LP</v>
          </cell>
          <cell r="BB240" t="str">
            <v>ADA_LP - Danone Arg. S.A. - LP</v>
          </cell>
          <cell r="BC240" t="str">
            <v>ADA_LP - Danone Arg. S.A. - LP</v>
          </cell>
          <cell r="BD240" t="str">
            <v>ADA_LP - Danone Arg. S.A. - LP</v>
          </cell>
          <cell r="BE240" t="str">
            <v>ADA_LP - Danone Arg. S.A. - LP</v>
          </cell>
          <cell r="BF240" t="str">
            <v>ADA_LP - Danone Arg. S.A. - LP</v>
          </cell>
          <cell r="BG240" t="str">
            <v>ADA_LP - Danone Arg. S.A. - LP</v>
          </cell>
          <cell r="BH240" t="str">
            <v>ADA_LP - Danone Arg. S.A. - LP</v>
          </cell>
          <cell r="BI240" t="str">
            <v>ADA_LP - Danone Arg. S.A. - LP</v>
          </cell>
          <cell r="BJ240" t="str">
            <v>ADA_LP - Danone Arg. S.A. - LP</v>
          </cell>
          <cell r="BK240" t="str">
            <v>ADA_LP - Danone Arg. S.A. - LP</v>
          </cell>
          <cell r="BL240" t="str">
            <v>ADA_LP - Danone Arg. S.A. - LP</v>
          </cell>
          <cell r="BM240" t="str">
            <v>ADA_LP - Danone Arg. S.A. - LP</v>
          </cell>
          <cell r="BN240" t="str">
            <v>ADA_LP - Danone Arg. S.A. - LP</v>
          </cell>
          <cell r="BO240" t="str">
            <v>ADA_LP - Danone Arg. S.A. - LP</v>
          </cell>
          <cell r="BP240" t="str">
            <v>ADA_LP - Danone Arg. S.A. - LP</v>
          </cell>
          <cell r="BQ240" t="str">
            <v>ADA_LP - Danone Arg. S.A. - LP</v>
          </cell>
          <cell r="BR240" t="str">
            <v>ADA_LP - Danone Arg. S.A. - LP</v>
          </cell>
          <cell r="BS240" t="str">
            <v>ADA_LP - Danone Arg. S.A. - LP</v>
          </cell>
          <cell r="BT240" t="str">
            <v>ADA_LP - Danone Arg. S.A. - LP</v>
          </cell>
          <cell r="BU240" t="str">
            <v>CCUCoAZA</v>
          </cell>
          <cell r="BV240" t="str">
            <v>CCUCoAZA</v>
          </cell>
          <cell r="BW240" t="str">
            <v>CCUCoAZA</v>
          </cell>
          <cell r="BX240" t="str">
            <v>CCUCoAZA</v>
          </cell>
          <cell r="BY240" t="str">
            <v>Sin Operación</v>
          </cell>
          <cell r="BZ240" t="str">
            <v>Sin Operación</v>
          </cell>
          <cell r="CA240" t="str">
            <v>Sin Operación</v>
          </cell>
          <cell r="CB240" t="str">
            <v>Sin Operación</v>
          </cell>
          <cell r="CC240" t="str">
            <v>Sin Operación</v>
          </cell>
          <cell r="CD240" t="str">
            <v>SUC_MEN - Sucursal Mendoza</v>
          </cell>
          <cell r="CE240" t="str">
            <v>SUC_MEN - Sucursal Mendoza</v>
          </cell>
          <cell r="CF240" t="str">
            <v>SUC_MEN - Sucursal Mendoza</v>
          </cell>
          <cell r="CG240" t="str">
            <v>SUC_MEN - Sucursal Mendoza</v>
          </cell>
          <cell r="CH240" t="str">
            <v>SUC_MEN - Sucursal Mendoza</v>
          </cell>
          <cell r="CI240" t="str">
            <v>SUC_MEN - Sucursal Mendoza</v>
          </cell>
          <cell r="CJ240" t="str">
            <v>SUC_MEN - Sucursal Mendoza</v>
          </cell>
          <cell r="CK240" t="str">
            <v>SUC_MEN - Sucursal Mendoza</v>
          </cell>
          <cell r="CL240" t="str">
            <v>SUC_MEN - Sucursal Mendoza</v>
          </cell>
          <cell r="CM240" t="str">
            <v>SUC_MEN - Sucursal Mendoza</v>
          </cell>
          <cell r="CN240" t="str">
            <v>SUC_MEN - Sucursal Mendoza</v>
          </cell>
          <cell r="CO240" t="str">
            <v>SUC_MEN - Sucursal Mendoza</v>
          </cell>
          <cell r="CP240" t="str">
            <v>SUC_MEN - Sucursal Mendoza</v>
          </cell>
          <cell r="CQ240" t="str">
            <v>SUC_MEN - Sucursal Mendoza</v>
          </cell>
          <cell r="CR240" t="str">
            <v>SUC_MEN - Sucursal Mendoza</v>
          </cell>
          <cell r="CS240" t="str">
            <v>SUC_MEN - Sucursal Mendoza</v>
          </cell>
          <cell r="CT240" t="str">
            <v>SUC_MEN - Sucursal Mendoza</v>
          </cell>
          <cell r="CU240" t="str">
            <v>SUC_MEN - Sucursal Mendoza</v>
          </cell>
          <cell r="CV240" t="str">
            <v>SUC_MEN - Sucursal Mendoza</v>
          </cell>
          <cell r="CW240" t="str">
            <v>SUC_MEN - Sucursal Mendoza</v>
          </cell>
        </row>
        <row r="241">
          <cell r="D241" t="str">
            <v>GYO749</v>
          </cell>
          <cell r="E241" t="str">
            <v>Acoplado</v>
          </cell>
          <cell r="F241" t="str">
            <v>Acoplado</v>
          </cell>
          <cell r="G241" t="str">
            <v>Acoplado</v>
          </cell>
          <cell r="N241" t="str">
            <v>DYLASA</v>
          </cell>
          <cell r="O241" t="str">
            <v>DYLASA</v>
          </cell>
          <cell r="P241" t="str">
            <v>No</v>
          </cell>
          <cell r="Q241" t="str">
            <v>Propio</v>
          </cell>
          <cell r="R241">
            <v>18</v>
          </cell>
          <cell r="S241" t="str">
            <v>Propio</v>
          </cell>
          <cell r="T241" t="str">
            <v>NAVATUC</v>
          </cell>
          <cell r="U241" t="str">
            <v>8A9A9303B81NAV014</v>
          </cell>
          <cell r="V241">
            <v>2008</v>
          </cell>
          <cell r="W241" t="str">
            <v>8A9A9303B81NAV014</v>
          </cell>
          <cell r="X241">
            <v>2008</v>
          </cell>
          <cell r="Y241">
            <v>18</v>
          </cell>
          <cell r="BD241" t="str">
            <v>CENCO_MZ - Cencosud SA - Mendoza</v>
          </cell>
          <cell r="BE241" t="str">
            <v>CENCO_MZ - Cencosud SA - Mendoza</v>
          </cell>
          <cell r="BF241" t="str">
            <v>CENCO_MZ - Cencosud SA - Mendoza</v>
          </cell>
          <cell r="BG241" t="str">
            <v>CENCO_MZ - Cencosud SA - Mendoza</v>
          </cell>
          <cell r="BH241" t="str">
            <v>CENCO_MZ - Cencosud SA - Mendoza</v>
          </cell>
          <cell r="BI241" t="str">
            <v>CENCO_MZ - Cencosud SA - Mendoza</v>
          </cell>
          <cell r="BJ241" t="str">
            <v>CENCO_MZ - Cencosud SA - Mendoza</v>
          </cell>
          <cell r="BK241" t="str">
            <v>CENCO_MZ - Cencosud SA - Mendoza</v>
          </cell>
          <cell r="BL241" t="str">
            <v>CENCO_MZ - Cencosud SA - Mendoza</v>
          </cell>
          <cell r="BM241" t="str">
            <v>CENCO_MZ - Cencosud SA - Mendoza</v>
          </cell>
          <cell r="BN241" t="str">
            <v>CENCOMLD - Cencosud SA - Mendoza</v>
          </cell>
          <cell r="BO241" t="str">
            <v>CENCOMLD - Cencosud SA - Mendoza</v>
          </cell>
          <cell r="BP241" t="str">
            <v>CENCOMLD - Cencosud SA - Mendoza</v>
          </cell>
          <cell r="BQ241" t="str">
            <v>CENCOMLD - Cencosud SA - Mendoza</v>
          </cell>
          <cell r="BR241" t="str">
            <v>CENCOMLD - Cencosud SA - Mendoza</v>
          </cell>
          <cell r="BS241" t="str">
            <v>CENCOMLD - Cencosud SA - Mendoza</v>
          </cell>
          <cell r="BT241" t="str">
            <v>CENCOMLD - Cencosud SA - Mendoza</v>
          </cell>
          <cell r="BU241" t="str">
            <v>CENCOMLD - Cencosud SA - Mendoza</v>
          </cell>
          <cell r="BV241" t="str">
            <v>CENCOMLD - Cencosud SA - Mendoza</v>
          </cell>
          <cell r="BW241" t="str">
            <v>CENCOMLD - Cencosud SA - Mendoza</v>
          </cell>
          <cell r="BX241" t="str">
            <v>CENCOMLD - Cencosud SA - Mendoza</v>
          </cell>
          <cell r="BY241" t="str">
            <v>CENCOMLD - Cencosud SA - Mendoza</v>
          </cell>
          <cell r="BZ241" t="str">
            <v>CENCOMLD - Cencosud SA - Mendoza</v>
          </cell>
          <cell r="CA241" t="str">
            <v>CENCOMLD - Cencosud SA - Mendoza</v>
          </cell>
          <cell r="CB241" t="str">
            <v>CENCOMLD - Cencosud SA - Mendoza</v>
          </cell>
          <cell r="CC241" t="str">
            <v>CENCOMLD - Cencosud SA - Mendoza</v>
          </cell>
          <cell r="CD241" t="str">
            <v>Sin Operación</v>
          </cell>
          <cell r="CE241" t="str">
            <v>Sin Operación</v>
          </cell>
          <cell r="CF241" t="str">
            <v>SUC_MEN - Sucursal Mendoza</v>
          </cell>
          <cell r="CG241" t="str">
            <v>SUC_MEN - Sucursal Mendoza</v>
          </cell>
          <cell r="CH241" t="str">
            <v>SUC_MEN - Sucursal Mendoza</v>
          </cell>
          <cell r="CI241" t="str">
            <v>SUC_MEN - Sucursal Mendoza</v>
          </cell>
          <cell r="CJ241" t="str">
            <v>SUC_MEN - Sucursal Mendoza</v>
          </cell>
          <cell r="CK241" t="str">
            <v>SUC_MEN - Sucursal Mendoza</v>
          </cell>
          <cell r="CL241" t="str">
            <v>SUC_MEN - Sucursal Mendoza</v>
          </cell>
          <cell r="CM241" t="str">
            <v>SUC_MEN - Sucursal Mendoza</v>
          </cell>
          <cell r="CN241" t="str">
            <v>SUC_MEN - Sucursal Mendoza</v>
          </cell>
          <cell r="CO241" t="str">
            <v>SUC_MEN - Sucursal Mendoza</v>
          </cell>
          <cell r="CP241" t="str">
            <v>SUC_MEN - Sucursal Mendoza</v>
          </cell>
          <cell r="CQ241" t="str">
            <v>SUC_MEN - Sucursal Mendoza</v>
          </cell>
          <cell r="CR241" t="str">
            <v>SUC_MEN - Sucursal Mendoza</v>
          </cell>
          <cell r="CS241" t="str">
            <v>SUC_MEN - Sucursal Mendoza</v>
          </cell>
          <cell r="CT241" t="str">
            <v>SUC_MEN - Sucursal Mendoza</v>
          </cell>
          <cell r="CU241" t="str">
            <v>SUC_MEN - Sucursal Mendoza</v>
          </cell>
          <cell r="CV241" t="str">
            <v>SUC_MEN - Sucursal Mendoza</v>
          </cell>
          <cell r="CW241" t="str">
            <v>SUC_MEN - Sucursal Mendoza</v>
          </cell>
        </row>
        <row r="242">
          <cell r="D242" t="str">
            <v>HBD129</v>
          </cell>
          <cell r="E242" t="str">
            <v>Chasis</v>
          </cell>
          <cell r="F242">
            <v>0</v>
          </cell>
          <cell r="G242" t="str">
            <v>Chasis</v>
          </cell>
          <cell r="N242" t="str">
            <v>YATZKY EZEQUIEL ROBERTO</v>
          </cell>
          <cell r="O242" t="str">
            <v>YATZKY EZEQUIEL ROBERTO</v>
          </cell>
          <cell r="P242" t="str">
            <v>No</v>
          </cell>
          <cell r="Q242" t="str">
            <v>De Tercero</v>
          </cell>
          <cell r="R242" t="str">
            <v>-</v>
          </cell>
          <cell r="S242" t="str">
            <v>De Tercero</v>
          </cell>
          <cell r="T242" t="str">
            <v>MERCEDES BENZ</v>
          </cell>
          <cell r="U242" t="str">
            <v>ATEGO 1725</v>
          </cell>
          <cell r="V242">
            <v>2008</v>
          </cell>
          <cell r="W242">
            <v>18</v>
          </cell>
          <cell r="X242">
            <v>2008</v>
          </cell>
          <cell r="Y242">
            <v>18</v>
          </cell>
          <cell r="Z242" t="str">
            <v>TDU</v>
          </cell>
          <cell r="AA242" t="str">
            <v>CMQ_TTE - QUILMES TTE</v>
          </cell>
          <cell r="AB242" t="str">
            <v>CMQ_TTE - QUILMES TTE</v>
          </cell>
          <cell r="AC242" t="str">
            <v>CMQ_TTE - QUILMES TTE</v>
          </cell>
          <cell r="AD242" t="str">
            <v>CMQ_TTE - QUILMES TTE</v>
          </cell>
          <cell r="AE242" t="str">
            <v>CMQ_TTE - QUILMES TTE</v>
          </cell>
          <cell r="AF242" t="str">
            <v>CMQ_TTE - QUILMES TTE</v>
          </cell>
          <cell r="AG242" t="str">
            <v>CMQ_TTE - QUILMES TTE</v>
          </cell>
          <cell r="AH242" t="str">
            <v>CMQ_TTE - QUILMES TTE</v>
          </cell>
          <cell r="AI242" t="str">
            <v>CMQ_TTE - QUILMES TTE</v>
          </cell>
          <cell r="AJ242" t="str">
            <v>CMQ_TTE - QUILMES TTE</v>
          </cell>
          <cell r="AK242" t="str">
            <v>CMQ_TTE - QUILMES TTE</v>
          </cell>
          <cell r="AL242" t="str">
            <v>CMQ_TTE - QUILMES TTE</v>
          </cell>
          <cell r="AM242" t="str">
            <v>CMQ_TTE - QUILMES TTE</v>
          </cell>
          <cell r="AN242" t="str">
            <v>CMQ_TTE - QUILMES TTE</v>
          </cell>
          <cell r="AO242" t="str">
            <v>CMQ_TTE - QUILMES TTE</v>
          </cell>
          <cell r="AP242" t="str">
            <v>CMQ_TTE - QUILMES TTE</v>
          </cell>
          <cell r="AQ242" t="str">
            <v>CMQ_TTE - QUILMES TTE</v>
          </cell>
          <cell r="AR242" t="str">
            <v>CMQ_TTE - QUILMES TTE</v>
          </cell>
          <cell r="AS242" t="str">
            <v>CMQ_TTE - QUILMES TTE</v>
          </cell>
          <cell r="AT242" t="str">
            <v>CMQ_TTE - QUILMES TTE</v>
          </cell>
          <cell r="AU242" t="str">
            <v>CMQ_TTE - QUILMES TTE</v>
          </cell>
          <cell r="AV242" t="str">
            <v>CMQ_TTE - QUILMES TTE</v>
          </cell>
          <cell r="AW242" t="str">
            <v>CMQ_TTE - QUILMES TTE</v>
          </cell>
          <cell r="AX242" t="str">
            <v>INACTIVO</v>
          </cell>
          <cell r="AY242" t="str">
            <v>INACTIVO</v>
          </cell>
          <cell r="AZ242" t="str">
            <v>INACTIVO</v>
          </cell>
          <cell r="BA242" t="str">
            <v>INACTIVO</v>
          </cell>
          <cell r="BB242" t="str">
            <v>INACTIVO</v>
          </cell>
          <cell r="BC242" t="str">
            <v>INACTIVO</v>
          </cell>
          <cell r="BD242" t="str">
            <v>INACTIVO</v>
          </cell>
          <cell r="BE242" t="str">
            <v>INACTIVO</v>
          </cell>
          <cell r="BF242" t="str">
            <v>INACTIVO</v>
          </cell>
          <cell r="BG242" t="str">
            <v>INACTIVO</v>
          </cell>
          <cell r="BH242" t="str">
            <v>INACTIVO</v>
          </cell>
          <cell r="BI242" t="str">
            <v>INACTIVO</v>
          </cell>
          <cell r="BJ242" t="str">
            <v>INACTIVO</v>
          </cell>
          <cell r="BK242" t="str">
            <v>INACTIVO</v>
          </cell>
          <cell r="BL242" t="str">
            <v>INACTIVO</v>
          </cell>
          <cell r="BM242" t="str">
            <v>INACTIVO</v>
          </cell>
          <cell r="BN242" t="str">
            <v>INACTIVO</v>
          </cell>
          <cell r="BO242" t="str">
            <v>INACTIVO</v>
          </cell>
          <cell r="BP242" t="str">
            <v>INACTIVO</v>
          </cell>
          <cell r="BQ242" t="str">
            <v>INACTIVO</v>
          </cell>
          <cell r="BR242" t="str">
            <v>INACTIVO</v>
          </cell>
          <cell r="BS242" t="str">
            <v>INACTIVO</v>
          </cell>
          <cell r="BT242" t="str">
            <v>INACTIVO</v>
          </cell>
          <cell r="BU242" t="str">
            <v>INACTIVO</v>
          </cell>
          <cell r="BV242" t="str">
            <v>INACTIVO</v>
          </cell>
          <cell r="BW242" t="str">
            <v>INACTIVO</v>
          </cell>
          <cell r="BX242" t="str">
            <v>INACTIVO</v>
          </cell>
          <cell r="BY242" t="str">
            <v>INACTIVO</v>
          </cell>
          <cell r="BZ242" t="str">
            <v>INACTIVO</v>
          </cell>
          <cell r="CA242" t="str">
            <v>INACTIVO</v>
          </cell>
          <cell r="CB242" t="str">
            <v>INACTIVO</v>
          </cell>
          <cell r="CC242" t="str">
            <v>BAJA</v>
          </cell>
          <cell r="CD242" t="str">
            <v>BAJA</v>
          </cell>
          <cell r="CE242" t="str">
            <v>BAJA</v>
          </cell>
          <cell r="CF242" t="str">
            <v>BAJA</v>
          </cell>
          <cell r="CG242" t="str">
            <v>BAJA</v>
          </cell>
          <cell r="CH242" t="str">
            <v>BAJA</v>
          </cell>
          <cell r="CI242" t="str">
            <v>BAJA</v>
          </cell>
          <cell r="CJ242" t="str">
            <v>BAJA</v>
          </cell>
          <cell r="CK242" t="str">
            <v>BAJA</v>
          </cell>
          <cell r="CL242" t="str">
            <v>BAJA</v>
          </cell>
          <cell r="CM242" t="str">
            <v>BAJA</v>
          </cell>
          <cell r="CN242" t="str">
            <v>BAJA</v>
          </cell>
          <cell r="CO242" t="str">
            <v>BAJA</v>
          </cell>
          <cell r="CP242" t="str">
            <v>BAJA</v>
          </cell>
          <cell r="CQ242" t="str">
            <v>BAJA</v>
          </cell>
          <cell r="CR242" t="str">
            <v>BAJA</v>
          </cell>
          <cell r="CS242" t="str">
            <v>BAJA</v>
          </cell>
          <cell r="CT242" t="str">
            <v>BAJA</v>
          </cell>
          <cell r="CU242" t="str">
            <v>BAJA</v>
          </cell>
          <cell r="CV242" t="str">
            <v>BAJA</v>
          </cell>
          <cell r="CW242" t="str">
            <v>BAJA</v>
          </cell>
        </row>
        <row r="243">
          <cell r="D243" t="str">
            <v>AF118QA</v>
          </cell>
          <cell r="E243" t="str">
            <v>Tractor</v>
          </cell>
          <cell r="F243" t="str">
            <v>Tractor</v>
          </cell>
          <cell r="G243" t="str">
            <v>Tractor</v>
          </cell>
          <cell r="N243" t="str">
            <v>TDU</v>
          </cell>
          <cell r="O243" t="str">
            <v>TDU</v>
          </cell>
          <cell r="P243" t="str">
            <v>No</v>
          </cell>
          <cell r="Q243" t="str">
            <v>Propio</v>
          </cell>
          <cell r="R243" t="str">
            <v>-</v>
          </cell>
          <cell r="S243" t="str">
            <v>Propio</v>
          </cell>
          <cell r="T243" t="str">
            <v>MERCEDES BENZ</v>
          </cell>
          <cell r="U243" t="str">
            <v>ATEGO 1729-S36 CD TE</v>
          </cell>
          <cell r="V243" t="str">
            <v>926994U1343333</v>
          </cell>
          <cell r="W243" t="str">
            <v>9BM958077NB219264</v>
          </cell>
          <cell r="X243">
            <v>2021</v>
          </cell>
          <cell r="Y243">
            <v>5</v>
          </cell>
          <cell r="AZ243" t="str">
            <v>CENCO_MZ - Cencosud SA - Mendoza</v>
          </cell>
          <cell r="BA243" t="str">
            <v>CENCO_MZ - Cencosud SA - Mendoza</v>
          </cell>
          <cell r="BB243" t="str">
            <v>CENCO_MZ - Cencosud SA - Mendoza</v>
          </cell>
          <cell r="BC243" t="str">
            <v>CENCO_MZ - Cencosud SA - Mendoza</v>
          </cell>
          <cell r="BD243" t="str">
            <v>CENCO_MZ - Cencosud SA - Mendoza</v>
          </cell>
          <cell r="BE243" t="str">
            <v>CENCO_MZ - Cencosud SA - Mendoza</v>
          </cell>
          <cell r="BF243" t="str">
            <v>CENCO_MZ - Cencosud SA - Mendoza</v>
          </cell>
          <cell r="BG243" t="str">
            <v>CENCO_MZ - Cencosud SA - Mendoza</v>
          </cell>
          <cell r="BH243" t="str">
            <v>CENCO_MZ - Cencosud SA - Mendoza</v>
          </cell>
          <cell r="BI243" t="str">
            <v>CENCO_MZ - Cencosud SA - Mendoza</v>
          </cell>
          <cell r="BJ243" t="str">
            <v>CENCO_MZ - Cencosud SA - Mendoza</v>
          </cell>
          <cell r="BK243" t="str">
            <v>CENCO_MZ - Cencosud SA - Mendoza</v>
          </cell>
          <cell r="BL243" t="str">
            <v>CENCO_MZ - Cencosud SA - Mendoza</v>
          </cell>
          <cell r="BM243" t="str">
            <v>CENCO_MZ - Cencosud SA - Mendoza</v>
          </cell>
          <cell r="BN243" t="str">
            <v>CENCOMLD - Cencosud SA - Mendoza</v>
          </cell>
          <cell r="BO243" t="str">
            <v>CENCOMLD - Cencosud SA - Mendoza</v>
          </cell>
          <cell r="BP243" t="str">
            <v>CENCOMLD - Cencosud SA - Mendoza</v>
          </cell>
          <cell r="BQ243" t="str">
            <v>CENCOMLD - Cencosud SA - Mendoza</v>
          </cell>
          <cell r="BR243" t="str">
            <v>CENCOMLD - Cencosud SA - Mendoza</v>
          </cell>
          <cell r="BS243" t="str">
            <v>CENCOMLD - Cencosud SA - Mendoza</v>
          </cell>
          <cell r="BT243" t="str">
            <v>CENCOMLD - Cencosud SA - Mendoza</v>
          </cell>
          <cell r="BU243" t="str">
            <v>CENCOMLD - Cencosud SA - Mendoza</v>
          </cell>
          <cell r="BV243" t="str">
            <v>CENCOMLD - Cencosud SA - Mendoza</v>
          </cell>
          <cell r="BW243" t="str">
            <v>CENCOMLD - Cencosud SA - Mendoza</v>
          </cell>
          <cell r="BX243" t="str">
            <v>CENCOMLD - Cencosud SA - Mendoza</v>
          </cell>
          <cell r="BY243" t="str">
            <v>CENCOMLD - Cencosud SA - Mendoza</v>
          </cell>
          <cell r="BZ243" t="str">
            <v>CENCOMLD - Cencosud SA - Mendoza</v>
          </cell>
          <cell r="CA243" t="str">
            <v>CENCOMLD - Cencosud SA - Mendoza</v>
          </cell>
          <cell r="CB243" t="str">
            <v>CENCOMLD - Cencosud SA - Mendoza</v>
          </cell>
          <cell r="CC243" t="str">
            <v>CENCOMLD - Cencosud SA - Mendoza</v>
          </cell>
          <cell r="CD243" t="str">
            <v>CENCOMLD - Cencosud SA - Mendoza</v>
          </cell>
          <cell r="CE243" t="str">
            <v>CENCOMLD - Cencosud SA - Mendoza</v>
          </cell>
          <cell r="CF243" t="str">
            <v>CENCOMLD - Cencosud SA - Mendoza</v>
          </cell>
          <cell r="CG243" t="str">
            <v>CENCOMLD - Cencosud SA - Mendoza</v>
          </cell>
          <cell r="CH243" t="str">
            <v>CENCOMLD - Cencosud SA - Mendoza</v>
          </cell>
          <cell r="CI243" t="str">
            <v>CENCOMLD - Cencosud SA - Mendoza</v>
          </cell>
          <cell r="CJ243" t="str">
            <v>CENCOMLD - Cencosud SA - Mendoza</v>
          </cell>
          <cell r="CK243" t="str">
            <v>CENCOMLD - Cencosud SA - Mendoza</v>
          </cell>
          <cell r="CL243" t="str">
            <v>CENCOMLD - Cencosud SA - Mendoza</v>
          </cell>
          <cell r="CM243" t="str">
            <v>CENCOMLD - Cencosud SA - Mendoza</v>
          </cell>
          <cell r="CN243" t="str">
            <v>CENCOMLD - Cencosud SA - Mendoza</v>
          </cell>
          <cell r="CO243" t="str">
            <v>CENCOMLD - Cencosud SA - Mendoza</v>
          </cell>
          <cell r="CP243" t="str">
            <v>CENCOMLD - Cencosud SA - Mendoza</v>
          </cell>
          <cell r="CQ243" t="str">
            <v>CENCOMLD - Cencosud SA - Mendoza</v>
          </cell>
          <cell r="CR243" t="str">
            <v>CENCOMLD - Cencosud SA - Mendoza</v>
          </cell>
          <cell r="CS243" t="str">
            <v>CENCOMLD - Cencosud SA - Mendoza</v>
          </cell>
          <cell r="CT243" t="str">
            <v>CENCOMLD - Cencosud SA - Mendoza</v>
          </cell>
          <cell r="CU243" t="str">
            <v>CENCOMLD - Cencosud SA - Mendoza</v>
          </cell>
          <cell r="CV243" t="str">
            <v>CENCOMLD - Cencosud SA - Mendoza</v>
          </cell>
          <cell r="CW243" t="str">
            <v>CENCOMLD - Cencosud SA - Mendoza</v>
          </cell>
        </row>
        <row r="244">
          <cell r="D244" t="str">
            <v>HHJ239</v>
          </cell>
          <cell r="E244" t="str">
            <v>Chasis</v>
          </cell>
          <cell r="F244">
            <v>0</v>
          </cell>
          <cell r="G244" t="str">
            <v>Chasis</v>
          </cell>
          <cell r="N244" t="str">
            <v>ALMEIDA JULIO ALBERTO ANTONIO</v>
          </cell>
          <cell r="O244" t="str">
            <v>ALMEIDA JULIO ALBERTO ANTONIO</v>
          </cell>
          <cell r="P244" t="str">
            <v>No</v>
          </cell>
          <cell r="Q244" t="str">
            <v>De Tercero</v>
          </cell>
          <cell r="R244" t="str">
            <v>-</v>
          </cell>
          <cell r="S244" t="str">
            <v>De Tercero</v>
          </cell>
          <cell r="T244" t="str">
            <v>IVECO</v>
          </cell>
          <cell r="U244" t="str">
            <v>170E22T</v>
          </cell>
          <cell r="V244">
            <v>2008</v>
          </cell>
          <cell r="W244">
            <v>18</v>
          </cell>
          <cell r="X244">
            <v>2008</v>
          </cell>
          <cell r="Y244">
            <v>18</v>
          </cell>
          <cell r="Z244" t="str">
            <v>TDU</v>
          </cell>
          <cell r="AA244" t="str">
            <v>CMQ_TTE - QUILMES TTE</v>
          </cell>
          <cell r="AB244" t="str">
            <v>CMQ_TTE - QUILMES TTE</v>
          </cell>
          <cell r="AC244" t="str">
            <v>CMQ_TTE - QUILMES TTE</v>
          </cell>
          <cell r="AD244" t="str">
            <v>CMQ_TTE - QUILMES TTE</v>
          </cell>
          <cell r="AE244" t="str">
            <v>CMQ_TTE - QUILMES TTE</v>
          </cell>
          <cell r="AF244" t="str">
            <v>CMQ_TTE - QUILMES TTE</v>
          </cell>
          <cell r="AG244" t="str">
            <v>CMQ_TTE - QUILMES TTE</v>
          </cell>
          <cell r="AH244" t="str">
            <v>CMQ_TTE - QUILMES TTE</v>
          </cell>
          <cell r="AI244" t="str">
            <v>CMQ_TTE - QUILMES TTE</v>
          </cell>
          <cell r="AJ244" t="str">
            <v>CMQ_TTE - QUILMES TTE</v>
          </cell>
          <cell r="AK244" t="str">
            <v>CMQ_TTE - QUILMES TTE</v>
          </cell>
          <cell r="AL244" t="str">
            <v>CMQ_TTE - QUILMES TTE</v>
          </cell>
          <cell r="AM244" t="str">
            <v>CMQ_TTE - QUILMES TTE</v>
          </cell>
          <cell r="AN244" t="str">
            <v>CMQ_TTE - QUILMES TTE</v>
          </cell>
          <cell r="AO244" t="str">
            <v>CMQ_TTE - QUILMES TTE</v>
          </cell>
          <cell r="AP244" t="str">
            <v>CMQ_TTE - QUILMES TTE</v>
          </cell>
          <cell r="AQ244" t="str">
            <v>CMQ_TTE - QUILMES TTE</v>
          </cell>
          <cell r="AR244" t="str">
            <v>CMQ_TTE - QUILMES TTE</v>
          </cell>
          <cell r="AS244" t="str">
            <v>CMQ_TTE - QUILMES TTE</v>
          </cell>
          <cell r="AT244" t="str">
            <v>CMQ_TTE - QUILMES TTE</v>
          </cell>
          <cell r="AU244" t="str">
            <v>CMQ_TTE - QUILMES TTE</v>
          </cell>
          <cell r="AV244" t="str">
            <v>CMQ_TTE - QUILMES TTE</v>
          </cell>
          <cell r="AW244" t="str">
            <v>CMQ_TTE - QUILMES TTE</v>
          </cell>
          <cell r="AX244" t="str">
            <v>CMQ_TTE - QUILMES TTE</v>
          </cell>
          <cell r="AY244" t="str">
            <v>CMQ_TTE - QUILMES TTE</v>
          </cell>
          <cell r="AZ244" t="str">
            <v>CMQ_TTE - QUILMES TTE</v>
          </cell>
          <cell r="BA244" t="str">
            <v>CMQ_TTE - QUILMES TTE</v>
          </cell>
          <cell r="BB244" t="str">
            <v>CMQ_TTE - QUILMES TTE</v>
          </cell>
          <cell r="BC244" t="str">
            <v>CMQ_TTE - QUILMES TTE</v>
          </cell>
          <cell r="BD244" t="str">
            <v>CMQ_TTE - QUILMES TTE</v>
          </cell>
          <cell r="BE244" t="str">
            <v>CMQ_TTE - QUILMES TTE</v>
          </cell>
          <cell r="BF244" t="str">
            <v>CMQ_TTE - QUILMES TTE</v>
          </cell>
          <cell r="BG244" t="str">
            <v>CMQ_TTE - QUILMES TTE</v>
          </cell>
          <cell r="BH244" t="str">
            <v>CMQ_TTE - QUILMES TTE</v>
          </cell>
          <cell r="BI244" t="str">
            <v>CMQ_TTE - QUILMES TTE</v>
          </cell>
          <cell r="BJ244" t="str">
            <v>CMQ_TTE - QUILMES TTE</v>
          </cell>
          <cell r="BK244" t="str">
            <v>CMQ_TTE - QUILMES TTE</v>
          </cell>
          <cell r="BL244" t="str">
            <v>CMQ_TTE - QUILMES TTE</v>
          </cell>
          <cell r="BM244" t="str">
            <v>CMQ_TTE - QUILMES TTE</v>
          </cell>
          <cell r="BN244" t="str">
            <v>CMQ_TTE - QUILMES TTE</v>
          </cell>
          <cell r="BO244" t="str">
            <v>CMQ_TTE - QUILMES TTE</v>
          </cell>
          <cell r="BP244" t="str">
            <v>CMQ_TTE - QUILMES TTE</v>
          </cell>
          <cell r="BQ244" t="str">
            <v>CMQ_TTE - QUILMES TTE</v>
          </cell>
          <cell r="BR244" t="str">
            <v>CMQ_TTE - QUILMES TTE</v>
          </cell>
          <cell r="BS244" t="str">
            <v>CMQ_TTE - QUILMES TTE</v>
          </cell>
          <cell r="BT244" t="str">
            <v>CMQ_TTE - QUILMES TTE</v>
          </cell>
          <cell r="BU244" t="str">
            <v>CMQ_TTE - QUILMES TTE</v>
          </cell>
          <cell r="BV244" t="str">
            <v>CMQ_TTE - QUILMES TTE</v>
          </cell>
          <cell r="BW244" t="str">
            <v>CMQ_TTE - QUILMES TTE</v>
          </cell>
          <cell r="BX244" t="str">
            <v>CMQ_TTE - QUILMES TTE</v>
          </cell>
          <cell r="BY244" t="str">
            <v>CMQ_TTE - QUILMES TTE</v>
          </cell>
          <cell r="BZ244" t="str">
            <v>CMQ_TTE - QUILMES TTE</v>
          </cell>
          <cell r="CA244" t="str">
            <v>CMQ_TTE - QUILMES TTE</v>
          </cell>
          <cell r="CB244" t="str">
            <v>CMQ_TTE - QUILMES TTE</v>
          </cell>
          <cell r="CC244" t="str">
            <v>CMQ_TTE - QUILMES TTE</v>
          </cell>
          <cell r="CD244" t="str">
            <v>CMQ_TTE - QUILMES TTE</v>
          </cell>
          <cell r="CE244" t="str">
            <v>CMQ_TTE - QUILMES TTE</v>
          </cell>
          <cell r="CF244" t="str">
            <v>CMQ_TTE - QUILMES TTE</v>
          </cell>
          <cell r="CG244" t="str">
            <v>CMQ_TTE - QUILMES TTE</v>
          </cell>
          <cell r="CH244" t="str">
            <v>CMQ_TTE - QUILMES TTE</v>
          </cell>
          <cell r="CI244" t="str">
            <v>CMQ_TTE - QUILMES TTE</v>
          </cell>
          <cell r="CJ244" t="str">
            <v>CMQ_TTE - QUILMES TTE</v>
          </cell>
          <cell r="CK244" t="str">
            <v>CMQ_TTE - QUILMES TTE</v>
          </cell>
          <cell r="CL244" t="str">
            <v>CMQ_TTE - QUILMES TTE</v>
          </cell>
          <cell r="CM244" t="str">
            <v>CMQ_TTE - QUILMES TTE</v>
          </cell>
          <cell r="CN244" t="str">
            <v>CMQ_TTE - QUILMES TTE</v>
          </cell>
          <cell r="CO244" t="str">
            <v>CMQ_TTE - QUILMES TTE</v>
          </cell>
          <cell r="CP244" t="str">
            <v>CMQ_TTE - QUILMES TTE</v>
          </cell>
          <cell r="CQ244" t="str">
            <v>CMQ_TTE - QUILMES TTE</v>
          </cell>
          <cell r="CR244" t="str">
            <v>CMQ_TTE - QUILMES TTE</v>
          </cell>
          <cell r="CS244" t="str">
            <v>CMQ_TTE - QUILMES TTE</v>
          </cell>
          <cell r="CT244" t="str">
            <v>CMQ_TTE - QUILMES TTE</v>
          </cell>
          <cell r="CU244" t="str">
            <v>CMQ_TTE - QUILMES TTE</v>
          </cell>
          <cell r="CV244" t="str">
            <v>CMQ_TTE - QUILMES TTE</v>
          </cell>
          <cell r="CW244" t="str">
            <v>CMQ_TTE - QUILMES TTE</v>
          </cell>
        </row>
        <row r="245">
          <cell r="D245" t="str">
            <v>HIW856</v>
          </cell>
          <cell r="E245" t="str">
            <v>Camioneta</v>
          </cell>
          <cell r="F245" t="str">
            <v>Utilitario</v>
          </cell>
          <cell r="G245" t="str">
            <v>Vehículo Electrificado</v>
          </cell>
          <cell r="N245" t="str">
            <v>CODYLSA</v>
          </cell>
          <cell r="O245" t="str">
            <v>CODYLSA</v>
          </cell>
          <cell r="P245" t="str">
            <v>No</v>
          </cell>
          <cell r="Q245" t="str">
            <v>Propio</v>
          </cell>
          <cell r="R245">
            <v>1</v>
          </cell>
          <cell r="S245" t="str">
            <v>Propio</v>
          </cell>
          <cell r="T245" t="str">
            <v>Renault</v>
          </cell>
          <cell r="U245" t="str">
            <v>Kangoo</v>
          </cell>
          <cell r="V245" t="str">
            <v>C17100355</v>
          </cell>
          <cell r="W245" t="str">
            <v>8A1FC0J159L042200</v>
          </cell>
          <cell r="X245">
            <v>2008</v>
          </cell>
          <cell r="Y245">
            <v>18</v>
          </cell>
          <cell r="Z245" t="str">
            <v>Gs_FPR</v>
          </cell>
          <cell r="AA245" t="str">
            <v>Gs_Estru - Gastos de Estructura</v>
          </cell>
          <cell r="AB245" t="str">
            <v>Gs_Estru - Gastos de Estructura</v>
          </cell>
          <cell r="AC245" t="str">
            <v>Gs_Estru - Gastos de Estructura</v>
          </cell>
          <cell r="AD245" t="str">
            <v>Gs_Estru - Gastos de Estructura</v>
          </cell>
          <cell r="AE245" t="str">
            <v>Gs_Estru - Gastos de Estructura</v>
          </cell>
          <cell r="AF245" t="str">
            <v>Gs_Estru - Gastos de Estructura</v>
          </cell>
          <cell r="AG245" t="str">
            <v>Gs_Estru - Gastos de Estructura</v>
          </cell>
          <cell r="AH245" t="str">
            <v>Gs_Estru - Gastos de Estructura</v>
          </cell>
          <cell r="AI245" t="str">
            <v>Gs_Estru - Gastos de Estructura</v>
          </cell>
          <cell r="AJ245" t="str">
            <v>Gs_Estru - Gastos de Estructura</v>
          </cell>
          <cell r="AK245" t="str">
            <v>Gs_Estru - Gastos de Estructura</v>
          </cell>
          <cell r="AL245" t="str">
            <v>Gs_Estru - Gastos de Estructura</v>
          </cell>
          <cell r="AM245" t="str">
            <v>Gs_Estru - Gastos de Estructura</v>
          </cell>
          <cell r="AN245" t="str">
            <v>Gs_Estru - Gastos de Estructura</v>
          </cell>
          <cell r="AO245" t="str">
            <v>Gs_Estru - Gastos de Estructura</v>
          </cell>
          <cell r="AP245" t="str">
            <v>Gs_Estru - Gastos de Estructura</v>
          </cell>
          <cell r="AQ245" t="str">
            <v>Gs_Estru - Gastos de Estructura</v>
          </cell>
          <cell r="AR245" t="str">
            <v>Gs_Estru - Gastos de Estructura</v>
          </cell>
          <cell r="AS245" t="str">
            <v>Gs_Estru - Gastos de Estructura</v>
          </cell>
          <cell r="AT245" t="str">
            <v>Gs_Estru - Gastos de Estructura</v>
          </cell>
          <cell r="AU245" t="str">
            <v>Gs_Estru - Gastos de Estructura</v>
          </cell>
          <cell r="AV245" t="str">
            <v>Gs_Estru - Gastos de Estructura</v>
          </cell>
          <cell r="AW245" t="str">
            <v>Gs_Estru - Gastos de Estructura</v>
          </cell>
          <cell r="AX245" t="str">
            <v>Gs_Estru - Gastos de Estructura</v>
          </cell>
          <cell r="AY245" t="str">
            <v>Gs_Estru - Gastos de Estructura</v>
          </cell>
          <cell r="AZ245" t="str">
            <v>Gs_Estru - Gastos de Estructura</v>
          </cell>
          <cell r="BA245" t="str">
            <v>Gs_Estru - Gastos de Estructura</v>
          </cell>
          <cell r="BB245" t="str">
            <v>Gs_Estru - Gastos de Estructura</v>
          </cell>
          <cell r="BC245" t="str">
            <v>Gs_Estru - Gastos de Estructura</v>
          </cell>
          <cell r="BD245" t="str">
            <v>Gs_Estru - Gastos de Estructura</v>
          </cell>
          <cell r="BE245" t="str">
            <v>Gs_Estru - Gastos de Estructura</v>
          </cell>
          <cell r="BF245" t="str">
            <v>Gs_Estru - Gastos de Estructura</v>
          </cell>
          <cell r="BG245" t="str">
            <v>Gs_Estru - Gastos de Estructura</v>
          </cell>
          <cell r="BH245" t="str">
            <v>Gs_Estru - Gastos de Estructura</v>
          </cell>
          <cell r="BI245" t="str">
            <v>Gs_Estru - Gastos de Estructura</v>
          </cell>
          <cell r="BJ245" t="str">
            <v>Gs_Estru - Gastos de Estructura</v>
          </cell>
          <cell r="BK245" t="str">
            <v>Gs_Estru - Gastos de Estructura</v>
          </cell>
          <cell r="BL245" t="str">
            <v>Gs_Estru - Gastos de Estructura</v>
          </cell>
          <cell r="BM245" t="str">
            <v>Gs_Estru - Gastos de Estructura</v>
          </cell>
          <cell r="BN245" t="str">
            <v>Gs_Estru - Gastos de Estructura</v>
          </cell>
          <cell r="BO245" t="str">
            <v>Gs_Estru - Gastos de Estructura</v>
          </cell>
          <cell r="BP245" t="str">
            <v>Gs_Estru - Gastos de Estructura</v>
          </cell>
          <cell r="BQ245" t="str">
            <v>Gs_Estru - Gastos de Estructura</v>
          </cell>
          <cell r="BR245" t="str">
            <v>T3</v>
          </cell>
          <cell r="BS245" t="str">
            <v>T3</v>
          </cell>
          <cell r="BT245" t="str">
            <v>T3</v>
          </cell>
          <cell r="BU245" t="str">
            <v>T3</v>
          </cell>
          <cell r="BV245" t="str">
            <v>T3</v>
          </cell>
          <cell r="BW245" t="str">
            <v>T3</v>
          </cell>
          <cell r="BX245" t="str">
            <v>T3</v>
          </cell>
          <cell r="BY245" t="str">
            <v>T3</v>
          </cell>
          <cell r="BZ245" t="str">
            <v>T3</v>
          </cell>
          <cell r="CA245" t="str">
            <v>T3</v>
          </cell>
          <cell r="CB245" t="str">
            <v>T3</v>
          </cell>
          <cell r="CC245" t="str">
            <v>T3</v>
          </cell>
          <cell r="CD245" t="str">
            <v>T3</v>
          </cell>
          <cell r="CE245" t="str">
            <v>T3</v>
          </cell>
          <cell r="CF245" t="str">
            <v>T3</v>
          </cell>
          <cell r="CG245" t="str">
            <v>T3</v>
          </cell>
          <cell r="CH245" t="str">
            <v>T3</v>
          </cell>
          <cell r="CI245" t="str">
            <v>T3</v>
          </cell>
          <cell r="CJ245" t="str">
            <v>T3</v>
          </cell>
          <cell r="CK245" t="str">
            <v>T3</v>
          </cell>
          <cell r="CL245" t="str">
            <v>T3</v>
          </cell>
          <cell r="CM245" t="str">
            <v>T3</v>
          </cell>
          <cell r="CN245" t="str">
            <v>T3</v>
          </cell>
          <cell r="CO245" t="str">
            <v>T3</v>
          </cell>
          <cell r="CP245" t="str">
            <v>T3</v>
          </cell>
          <cell r="CQ245" t="str">
            <v>T3</v>
          </cell>
          <cell r="CR245" t="str">
            <v>T3</v>
          </cell>
          <cell r="CS245" t="str">
            <v>T3</v>
          </cell>
          <cell r="CT245" t="str">
            <v>T3</v>
          </cell>
          <cell r="CU245" t="str">
            <v>T3</v>
          </cell>
          <cell r="CV245" t="str">
            <v>T3</v>
          </cell>
          <cell r="CW245" t="str">
            <v>T3</v>
          </cell>
        </row>
        <row r="246">
          <cell r="D246" t="str">
            <v>HKR104</v>
          </cell>
          <cell r="E246" t="str">
            <v>Chasis</v>
          </cell>
          <cell r="F246">
            <v>0</v>
          </cell>
          <cell r="G246" t="str">
            <v>Chasis</v>
          </cell>
          <cell r="N246" t="str">
            <v>GIRON ELIBERTO</v>
          </cell>
          <cell r="O246" t="str">
            <v>GIRON ELIBERTO</v>
          </cell>
          <cell r="P246" t="str">
            <v>No</v>
          </cell>
          <cell r="Q246" t="str">
            <v>De Tercero</v>
          </cell>
          <cell r="R246" t="str">
            <v>-</v>
          </cell>
          <cell r="S246" t="str">
            <v>De Tercero</v>
          </cell>
          <cell r="T246" t="str">
            <v>Mercedes Benz</v>
          </cell>
          <cell r="U246" t="str">
            <v>L 1624</v>
          </cell>
          <cell r="V246">
            <v>2008</v>
          </cell>
          <cell r="W246">
            <v>18</v>
          </cell>
          <cell r="X246">
            <v>2008</v>
          </cell>
          <cell r="Y246">
            <v>18</v>
          </cell>
          <cell r="Z246" t="str">
            <v xml:space="preserve">Aguanort </v>
          </cell>
          <cell r="AA246" t="str">
            <v>AGN_TTE - AGUANORT - Transporte</v>
          </cell>
          <cell r="AB246" t="str">
            <v>AGN_TTE - AGUANORT - Transporte</v>
          </cell>
          <cell r="AC246" t="str">
            <v>AGN_TTE - AGUANORT - Transporte</v>
          </cell>
          <cell r="AD246" t="str">
            <v>AGN_TTE - AGUANORT - Transporte</v>
          </cell>
          <cell r="AE246" t="str">
            <v>AGN_TTE - AGUANORT - Transporte</v>
          </cell>
          <cell r="AF246" t="str">
            <v>AGN_TTE - AGUANORT - Transporte</v>
          </cell>
          <cell r="AG246" t="str">
            <v>AGN_TTE - AGUANORT - Transporte</v>
          </cell>
          <cell r="AH246" t="str">
            <v>AGN_TTE - AGUANORT - Transporte</v>
          </cell>
          <cell r="AI246" t="str">
            <v>AGN_TTE - AGUANORT - Transporte</v>
          </cell>
          <cell r="AJ246" t="str">
            <v>AGN_TTE - AGUANORT - Transporte</v>
          </cell>
          <cell r="AK246" t="str">
            <v>AGN_TTE - AGUANORT - Transporte</v>
          </cell>
          <cell r="AL246" t="str">
            <v>AGN_TTE - AGUANORT - Transporte</v>
          </cell>
          <cell r="AM246" t="str">
            <v>AGN_TTE - AGUANORT - Transporte</v>
          </cell>
          <cell r="AN246" t="str">
            <v>AGN_TTE - AGUANORT - Transporte</v>
          </cell>
          <cell r="AO246" t="str">
            <v>AGN_TTE - AGUANORT - Transporte</v>
          </cell>
          <cell r="AP246" t="str">
            <v>AGN_TTE - AGUANORT - Transporte</v>
          </cell>
          <cell r="AQ246" t="str">
            <v>AGN_TTE - AGUANORT - Transporte</v>
          </cell>
          <cell r="AR246" t="str">
            <v>AGN_TTE - AGUANORT - Transporte</v>
          </cell>
          <cell r="AS246" t="str">
            <v>AGN_TTE - AGUANORT - Transporte</v>
          </cell>
          <cell r="AT246" t="str">
            <v>AGN_TTE - AGUANORT - Transporte</v>
          </cell>
          <cell r="AU246" t="str">
            <v>AGN_TTE - AGUANORT - Transporte</v>
          </cell>
          <cell r="AV246" t="str">
            <v>AGN_TTE - AGUANORT - Transporte</v>
          </cell>
          <cell r="AW246" t="str">
            <v>AGN_TTE - AGUANORT - Transporte</v>
          </cell>
          <cell r="AX246" t="str">
            <v>AGN_TTE - AGUANORT - Transporte</v>
          </cell>
          <cell r="AY246" t="str">
            <v>AGN_TTE - AGUANORT - Transporte</v>
          </cell>
          <cell r="AZ246" t="str">
            <v>AGN_TTE - AGUANORT - Transporte</v>
          </cell>
          <cell r="BA246" t="str">
            <v>AGN_TTE - AGUANORT - Transporte</v>
          </cell>
          <cell r="BB246" t="str">
            <v>AGN_TTE - AGUANORT - Transporte</v>
          </cell>
          <cell r="BC246" t="str">
            <v>AGN_TTE - AGUANORT - Transporte</v>
          </cell>
          <cell r="BD246" t="str">
            <v>AGN_TTE - AGUANORT - Transporte</v>
          </cell>
          <cell r="BE246" t="str">
            <v>AGN_TTE - AGUANORT - Transporte</v>
          </cell>
          <cell r="BF246" t="str">
            <v>AGN_TTE - AGUANORT - Transporte</v>
          </cell>
          <cell r="BG246" t="str">
            <v>AGN_TTE - AGUANORT - Transporte</v>
          </cell>
          <cell r="BH246" t="str">
            <v>AGN_TTE - AGUANORT - Transporte</v>
          </cell>
          <cell r="BI246" t="str">
            <v>AGN_TTE - AGUANORT - Transporte</v>
          </cell>
          <cell r="BJ246" t="str">
            <v>AGN_TTE - AGUANORT - Transporte</v>
          </cell>
          <cell r="BK246" t="str">
            <v>AGN_TTE - AGUANORT - Transporte</v>
          </cell>
          <cell r="BL246" t="str">
            <v>AGN_TTE - AGUANORT - Transporte</v>
          </cell>
          <cell r="BM246" t="str">
            <v>AGN_TTE - AGUANORT - Transporte</v>
          </cell>
          <cell r="BN246" t="str">
            <v>AGN_TTE - AGUANORT - Transporte</v>
          </cell>
          <cell r="BO246" t="str">
            <v>AGN_TTE - AGUANORT - Transporte</v>
          </cell>
          <cell r="BP246" t="str">
            <v>AGN_TTE - AGUANORT - Transporte</v>
          </cell>
          <cell r="BQ246" t="str">
            <v>AGN_TTE - AGUANORT - Transporte</v>
          </cell>
          <cell r="BR246" t="str">
            <v>AGN_TTE - AGUANORT - Transporte</v>
          </cell>
          <cell r="BS246" t="str">
            <v>AGN_TTE - AGUANORT - Transporte</v>
          </cell>
          <cell r="BT246" t="str">
            <v>AGN_TTE - AGUANORT - Transporte</v>
          </cell>
          <cell r="BU246" t="str">
            <v>Sin Operación</v>
          </cell>
          <cell r="BV246" t="str">
            <v>AGN_TTE - AGUANORT - Transporte</v>
          </cell>
          <cell r="BW246" t="str">
            <v>AGN_TTE - AGUANORT - Transporte</v>
          </cell>
          <cell r="BX246" t="str">
            <v>AGN_TTE - AGUANORT - Transporte</v>
          </cell>
          <cell r="BY246" t="str">
            <v>AGN_TTE - AGUANORT - Transporte</v>
          </cell>
          <cell r="BZ246" t="str">
            <v>AGN_TTE - AGUANORT - Transporte</v>
          </cell>
          <cell r="CA246" t="str">
            <v>AGN_TTE - AGUANORT - Transporte</v>
          </cell>
          <cell r="CB246" t="str">
            <v>AGN_TTE - AGUANORT - Transporte</v>
          </cell>
          <cell r="CC246" t="str">
            <v>AGN_TTE - AGUANORT - Transporte</v>
          </cell>
          <cell r="CD246" t="str">
            <v>AGN_TTE - AGUANORT - Transporte</v>
          </cell>
          <cell r="CE246" t="str">
            <v>AGN_TTE - AGUANORT - Transporte</v>
          </cell>
          <cell r="CF246" t="str">
            <v>AGN_TTE - AGUANORT - Transporte</v>
          </cell>
          <cell r="CG246" t="str">
            <v>AGN_TTE - AGUANORT - Transporte</v>
          </cell>
          <cell r="CH246" t="str">
            <v>AGN_TTE - AGUANORT - Transporte</v>
          </cell>
          <cell r="CI246" t="str">
            <v>AGN_TTE - AGUANORT - Transporte</v>
          </cell>
          <cell r="CJ246" t="str">
            <v>AGN_TTE - AGUANORT - Transporte</v>
          </cell>
          <cell r="CK246" t="str">
            <v>AGN_TTE - AGUANORT - Transporte</v>
          </cell>
          <cell r="CL246" t="str">
            <v>AGN_TTE - AGUANORT - Transporte</v>
          </cell>
          <cell r="CM246" t="str">
            <v>AGN_TTE - AGUANORT - Transporte</v>
          </cell>
          <cell r="CN246" t="str">
            <v>AGN_TTE - AGUANORT - Transporte</v>
          </cell>
          <cell r="CO246" t="str">
            <v>AGN_TTE - AGUANORT - Transporte</v>
          </cell>
          <cell r="CP246" t="str">
            <v>AGN_TTE - AGUANORT - Transporte</v>
          </cell>
          <cell r="CQ246" t="str">
            <v>AGN_TTE - AGUANORT - Transporte</v>
          </cell>
          <cell r="CR246" t="str">
            <v>AGN_TTE - AGUANORT - Transporte</v>
          </cell>
          <cell r="CS246" t="str">
            <v>AGN_TTE - AGUANORT - Transporte</v>
          </cell>
          <cell r="CT246" t="str">
            <v>AGN_TTE - AGUANORT - Transporte</v>
          </cell>
          <cell r="CU246" t="str">
            <v>AGN_TTE - AGUANORT - Transporte</v>
          </cell>
          <cell r="CV246" t="str">
            <v>AGN_TTE - AGUANORT - Transporte</v>
          </cell>
          <cell r="CW246" t="str">
            <v>AGN_TTE - AGUANORT - Transporte</v>
          </cell>
        </row>
        <row r="247">
          <cell r="D247" t="str">
            <v>HKW894</v>
          </cell>
          <cell r="E247" t="str">
            <v>Chasis</v>
          </cell>
          <cell r="F247" t="str">
            <v>Chasis</v>
          </cell>
          <cell r="G247" t="str">
            <v>Chasis</v>
          </cell>
          <cell r="N247" t="str">
            <v>CODYLSA</v>
          </cell>
          <cell r="O247" t="str">
            <v>CODYLSA</v>
          </cell>
          <cell r="P247" t="str">
            <v>No</v>
          </cell>
          <cell r="Q247" t="str">
            <v>Propio</v>
          </cell>
          <cell r="R247">
            <v>12</v>
          </cell>
          <cell r="S247" t="str">
            <v>Propio</v>
          </cell>
          <cell r="T247" t="str">
            <v>MERCEDES BENZ</v>
          </cell>
          <cell r="U247" t="str">
            <v>L-1318</v>
          </cell>
          <cell r="V247" t="str">
            <v>904976U0778367</v>
          </cell>
          <cell r="W247" t="str">
            <v>9BM6940009B596985</v>
          </cell>
          <cell r="X247">
            <v>2008</v>
          </cell>
          <cell r="Y247">
            <v>18</v>
          </cell>
          <cell r="Z247" t="str">
            <v xml:space="preserve">Unilever </v>
          </cell>
          <cell r="AA247" t="str">
            <v>Unilever - Unilever de Arg. S.A.</v>
          </cell>
          <cell r="AB247" t="str">
            <v>Unilever - Unilever de Arg. S.A.</v>
          </cell>
          <cell r="AC247" t="str">
            <v>Unilever - Unilever de Arg. S.A.</v>
          </cell>
          <cell r="AD247" t="str">
            <v>Unilever - Unilever de Arg. S.A.</v>
          </cell>
          <cell r="AE247" t="str">
            <v>Unilever - Unilever de Arg. S.A.</v>
          </cell>
          <cell r="AF247" t="str">
            <v>Unilever - Unilever de Arg. S.A.</v>
          </cell>
          <cell r="AG247" t="str">
            <v>Unilever - Unilever de Arg. S.A.</v>
          </cell>
          <cell r="AH247" t="str">
            <v>Unilever - Unilever de Arg. S.A.</v>
          </cell>
          <cell r="AI247" t="str">
            <v>Unilever - Unilever de Arg. S.A.</v>
          </cell>
          <cell r="AJ247" t="str">
            <v>Unilever - Unilever de Arg. S.A.</v>
          </cell>
          <cell r="AK247" t="str">
            <v>JOHNSON - SC JOHNSON DE ARGENTINA SAIC</v>
          </cell>
          <cell r="AL247" t="str">
            <v>JOHNSON - SC JOHNSON DE ARGENTINA SAIC</v>
          </cell>
          <cell r="AM247" t="str">
            <v>JOHNSON - SC JOHNSON DE ARGENTINA SAIC</v>
          </cell>
          <cell r="AN247" t="str">
            <v>JOHNSON - SC JOHNSON DE ARGENTINA SAIC</v>
          </cell>
          <cell r="AO247" t="str">
            <v>JOHNSON - SC JOHNSON DE ARGENTINA SAIC</v>
          </cell>
          <cell r="AP247" t="str">
            <v>JOHNSON - SC JOHNSON DE ARGENTINA SAIC</v>
          </cell>
          <cell r="AQ247" t="str">
            <v>JOHNSON - SC JOHNSON DE ARGENTINA SAIC</v>
          </cell>
          <cell r="AR247" t="str">
            <v>JOHNSON - SC JOHNSON DE ARGENTINA SAIC</v>
          </cell>
          <cell r="AS247" t="str">
            <v>JOHNSON - SC JOHNSON DE ARGENTINA SAIC</v>
          </cell>
          <cell r="AT247" t="str">
            <v>JOHNSON - SC JOHNSON DE ARGENTINA SAIC</v>
          </cell>
          <cell r="AU247" t="str">
            <v>JOHNSON - SC JOHNSON DE ARGENTINA SAIC</v>
          </cell>
          <cell r="AV247" t="str">
            <v>JOHNSON - SC JOHNSON DE ARGENTINA SAIC</v>
          </cell>
          <cell r="AW247" t="str">
            <v>JOHNSON - SC JOHNSON DE ARGENTINA SAIC</v>
          </cell>
          <cell r="AX247" t="str">
            <v>JOHNSON - SC JOHNSON DE ARGENTINA SAIC</v>
          </cell>
          <cell r="AY247" t="str">
            <v>JOHNSON - SC JOHNSON DE ARGENTINA SAIC</v>
          </cell>
          <cell r="AZ247" t="str">
            <v>JOHNSON - SC JOHNSON DE ARGENTINA SAIC</v>
          </cell>
          <cell r="BA247" t="str">
            <v>JOHNSON - SC JOHNSON DE ARGENTINA SAIC</v>
          </cell>
          <cell r="BB247" t="str">
            <v>JOHNSON - SC JOHNSON DE ARGENTINA SAIC</v>
          </cell>
          <cell r="BC247" t="str">
            <v>JOHNSON - SC JOHNSON DE ARGENTINA SAIC</v>
          </cell>
          <cell r="BD247" t="str">
            <v>JOHNSON - SC JOHNSON DE ARGENTINA SAIC</v>
          </cell>
          <cell r="BE247" t="str">
            <v>JOHNSON - SC JOHNSON DE ARGENTINA SAIC</v>
          </cell>
          <cell r="BF247" t="str">
            <v>Unilever - Unilever de Arg. S.A.</v>
          </cell>
          <cell r="BG247" t="str">
            <v>Unilever - Unilever de Arg. S.A.</v>
          </cell>
          <cell r="BH247" t="str">
            <v>Unilever - Unilever de Arg. S.A.</v>
          </cell>
          <cell r="BI247" t="str">
            <v>Unilever - Unilever de Arg. S.A.</v>
          </cell>
          <cell r="BJ247" t="str">
            <v>Unilever - Unilever de Arg. S.A.</v>
          </cell>
          <cell r="BK247" t="str">
            <v>Unilever - Unilever de Arg. S.A.</v>
          </cell>
          <cell r="BL247" t="str">
            <v>Unilever - Unilever de Arg. S.A.</v>
          </cell>
          <cell r="BM247" t="str">
            <v>Unilever - Unilever de Arg. S.A.</v>
          </cell>
          <cell r="BN247" t="str">
            <v>Unilever - Unilever de Arg. S.A.</v>
          </cell>
          <cell r="BO247" t="str">
            <v>Unilever - Unilever de Arg. S.A.</v>
          </cell>
          <cell r="BP247" t="str">
            <v>Unilever - Unilever de Arg. S.A.</v>
          </cell>
          <cell r="BQ247" t="str">
            <v>Unilever - Unilever de Arg. S.A.</v>
          </cell>
          <cell r="BR247" t="str">
            <v>Unilever - Unilever de Arg. S.A.</v>
          </cell>
          <cell r="BS247" t="str">
            <v>Unilever - Unilever de Arg. S.A.</v>
          </cell>
          <cell r="BT247" t="str">
            <v>Unilever - Unilever de Arg. S.A.</v>
          </cell>
          <cell r="BU247" t="str">
            <v>Unilever - Unilever de Arg. S.A.</v>
          </cell>
          <cell r="BV247" t="str">
            <v>JOHNSON - SC JOHNSON DE ARGENTINA SAIC</v>
          </cell>
          <cell r="BW247" t="str">
            <v>JOHNSON - SC JOHNSON DE ARGENTINA SAIC</v>
          </cell>
          <cell r="BX247" t="str">
            <v>Unilever - Unilever de Arg. S.A.</v>
          </cell>
          <cell r="BY247" t="str">
            <v>Unilever - Unilever de Arg. S.A.</v>
          </cell>
          <cell r="BZ247" t="str">
            <v>Unilever - Unilever de Arg. S.A.</v>
          </cell>
          <cell r="CA247" t="str">
            <v>Unilever - Unilever de Arg. S.A.</v>
          </cell>
          <cell r="CB247" t="str">
            <v>Unilever - Unilever de Arg. S.A.</v>
          </cell>
          <cell r="CC247" t="str">
            <v>Unilever - Unilever de Arg. S.A.</v>
          </cell>
          <cell r="CD247" t="str">
            <v>Unilever - Unilever de Arg. S.A.</v>
          </cell>
          <cell r="CE247" t="str">
            <v>Unilever - Unilever de Arg. S.A.</v>
          </cell>
          <cell r="CF247" t="str">
            <v>Unilever - Unilever de Arg. S.A.</v>
          </cell>
          <cell r="CG247" t="str">
            <v>Unilever - Unilever de Arg. S.A.</v>
          </cell>
          <cell r="CH247" t="str">
            <v>Unilever - Unilever de Arg. S.A.</v>
          </cell>
          <cell r="CI247" t="str">
            <v>Unilever - Unilever de Arg. S.A.</v>
          </cell>
          <cell r="CJ247" t="str">
            <v>Unilever - Unilever de Arg. S.A.</v>
          </cell>
          <cell r="CK247" t="str">
            <v>Unilever - Unilever de Arg. S.A.</v>
          </cell>
          <cell r="CL247" t="str">
            <v>Unilever - Unilever de Arg. S.A.</v>
          </cell>
          <cell r="CM247" t="str">
            <v>JOHNSON - SC JOHNSON DE ARGENTINA SAIC</v>
          </cell>
          <cell r="CN247" t="str">
            <v>Unilever - Unilever de Arg. S.A.</v>
          </cell>
          <cell r="CO247" t="str">
            <v>Unilever - Unilever de Arg. S.A.</v>
          </cell>
          <cell r="CP247" t="str">
            <v>Unilever - Unilever de Arg. S.A.</v>
          </cell>
          <cell r="CQ247" t="str">
            <v>Papelera - Papelera del Plata S.A.</v>
          </cell>
          <cell r="CR247" t="str">
            <v>Papelera - Papelera del Plata S.A.</v>
          </cell>
          <cell r="CS247" t="str">
            <v>Papelera - Papelera del Plata S.A.</v>
          </cell>
          <cell r="CT247" t="str">
            <v>Papelera - Papelera del Plata S.A.</v>
          </cell>
          <cell r="CU247" t="str">
            <v>Papelera - Papelera del Plata S.A.</v>
          </cell>
          <cell r="CV247" t="str">
            <v>Papelera - Papelera del Plata S.A.</v>
          </cell>
          <cell r="CW247" t="str">
            <v>Papelera - Papelera del Plata S.A.</v>
          </cell>
        </row>
        <row r="248">
          <cell r="D248" t="str">
            <v>HNE430</v>
          </cell>
          <cell r="E248" t="str">
            <v>Chasis</v>
          </cell>
          <cell r="F248" t="str">
            <v>Chasis</v>
          </cell>
          <cell r="G248" t="str">
            <v>Chasis</v>
          </cell>
          <cell r="N248" t="str">
            <v>CODYLSA</v>
          </cell>
          <cell r="O248" t="str">
            <v>CODYLSA</v>
          </cell>
          <cell r="P248" t="str">
            <v>No</v>
          </cell>
          <cell r="Q248" t="str">
            <v>Propio</v>
          </cell>
          <cell r="R248">
            <v>12</v>
          </cell>
          <cell r="S248" t="str">
            <v>Propio</v>
          </cell>
          <cell r="T248" t="str">
            <v>MERCEDES BENZ</v>
          </cell>
          <cell r="U248" t="str">
            <v>L-1318</v>
          </cell>
          <cell r="V248" t="str">
            <v>904976U0788401</v>
          </cell>
          <cell r="W248" t="str">
            <v>9BM6940009B609436</v>
          </cell>
          <cell r="X248">
            <v>2008</v>
          </cell>
          <cell r="Y248">
            <v>18</v>
          </cell>
          <cell r="Z248" t="str">
            <v>Danone Alianza</v>
          </cell>
          <cell r="AA248" t="str">
            <v>ADA_Mino - Danone Arg. S.A. - Mino</v>
          </cell>
          <cell r="AB248" t="str">
            <v>ADA_Mino - Danone Arg. S.A. - Mino</v>
          </cell>
          <cell r="AC248" t="str">
            <v>ADA_Mino - Danone Arg. S.A. - Mino</v>
          </cell>
          <cell r="AD248" t="str">
            <v>ADA_Mino - Danone Arg. S.A. - Mino</v>
          </cell>
          <cell r="AE248" t="str">
            <v>ADA_Mino - Danone Arg. S.A. - Mino</v>
          </cell>
          <cell r="AF248" t="str">
            <v>ADA_Mino - Danone Arg. S.A. - Mino</v>
          </cell>
          <cell r="AG248" t="str">
            <v>ADA_Mino - Danone Arg. S.A. - Mino</v>
          </cell>
          <cell r="AH248" t="str">
            <v>ADA_Mino - Danone Arg. S.A. - Mino</v>
          </cell>
          <cell r="AI248" t="str">
            <v>ADA_Mino - Danone Arg. S.A. - Mino</v>
          </cell>
          <cell r="AJ248" t="str">
            <v>ADA_Mino - Danone Arg. S.A. - Mino</v>
          </cell>
          <cell r="AK248" t="str">
            <v>ADA_Mino - Danone Arg. S.A. - Mino</v>
          </cell>
          <cell r="AL248" t="str">
            <v>ADA_LP - Danone Arg. S.A. - LP</v>
          </cell>
          <cell r="AM248" t="str">
            <v>ADA_LP - Danone Arg. S.A. - LP</v>
          </cell>
          <cell r="AN248" t="str">
            <v>ADA_LP - Danone Arg. S.A. - LP</v>
          </cell>
          <cell r="AO248" t="str">
            <v>ADA_LP - Danone Arg. S.A. - LP</v>
          </cell>
          <cell r="AP248" t="str">
            <v>ADA_LP - Danone Arg. S.A. - LP</v>
          </cell>
          <cell r="AQ248" t="str">
            <v>ADA_LP - Danone Arg. S.A. - LP</v>
          </cell>
          <cell r="AR248" t="str">
            <v>ADA_LP - Danone Arg. S.A. - LP</v>
          </cell>
          <cell r="AS248" t="str">
            <v>ADA_LP - Danone Arg. S.A. - LP</v>
          </cell>
          <cell r="AT248" t="str">
            <v>ADA_LP - Danone Arg. S.A. - LP</v>
          </cell>
          <cell r="AU248" t="str">
            <v>ADA_LP - Danone Arg. S.A. - LP</v>
          </cell>
          <cell r="AV248" t="str">
            <v>ADA_LP - Danone Arg. S.A. - LP</v>
          </cell>
          <cell r="AW248" t="str">
            <v>ADA_LP - Danone Arg. S.A. - LP</v>
          </cell>
          <cell r="AX248" t="str">
            <v>ADA_LP - Danone Arg. S.A. - LP</v>
          </cell>
          <cell r="AY248" t="str">
            <v>ADA_LP - Danone Arg. S.A. - LP</v>
          </cell>
          <cell r="AZ248" t="str">
            <v>ADA_LP - Danone Arg. S.A. - LP</v>
          </cell>
          <cell r="BA248" t="str">
            <v>ADA_LP - Danone Arg. S.A. - LP</v>
          </cell>
          <cell r="BB248" t="str">
            <v>ADA_LP - Danone Arg. S.A. - LP</v>
          </cell>
          <cell r="BC248" t="str">
            <v>ADA_LP - Danone Arg. S.A. - LP</v>
          </cell>
          <cell r="BD248" t="str">
            <v>ADA_LP - Danone Arg. S.A. - LP</v>
          </cell>
          <cell r="BE248" t="str">
            <v>ADA_LP - Danone Arg. S.A. - LP</v>
          </cell>
          <cell r="BF248" t="str">
            <v>ADA_LP - Danone Arg. S.A. - LP</v>
          </cell>
          <cell r="BG248" t="str">
            <v>ADA_LP - Danone Arg. S.A. - LP</v>
          </cell>
          <cell r="BH248" t="str">
            <v>ADA_LP - Danone Arg. S.A. - LP</v>
          </cell>
          <cell r="BI248" t="str">
            <v>ADA_LP - Danone Arg. S.A. - LP</v>
          </cell>
          <cell r="BJ248" t="str">
            <v>ADA_LP - Danone Arg. S.A. - LP</v>
          </cell>
          <cell r="BK248" t="str">
            <v>ADA_LP - Danone Arg. S.A. - LP</v>
          </cell>
          <cell r="BL248" t="str">
            <v>ADA_LP - Danone Arg. S.A. - LP</v>
          </cell>
          <cell r="BM248" t="str">
            <v>ADA_Mino - Danone Arg. S.A. - Mino</v>
          </cell>
          <cell r="BN248" t="str">
            <v>ADA_Mino - Danone Arg. S.A. - Mino</v>
          </cell>
          <cell r="BO248" t="str">
            <v>ADA_Mino - Danone Arg. S.A. - Mino</v>
          </cell>
          <cell r="BP248" t="str">
            <v>ADA_Mino - Danone Arg. S.A. - Mino</v>
          </cell>
          <cell r="BQ248" t="str">
            <v>ADA_Mino - Danone Arg. S.A. - Mino</v>
          </cell>
          <cell r="BR248" t="str">
            <v>ADA_Mino - Danone Arg. S.A. - Mino</v>
          </cell>
          <cell r="BS248" t="str">
            <v>ADA_Mino - Danone Arg. S.A. - Mino</v>
          </cell>
          <cell r="BT248" t="str">
            <v>ADA_Mino - Danone Arg. S.A. - Mino</v>
          </cell>
          <cell r="BU248" t="str">
            <v>CCUCoAZA</v>
          </cell>
          <cell r="BV248" t="str">
            <v>CCUCoAZA</v>
          </cell>
          <cell r="BW248" t="str">
            <v>CCUCoAZA</v>
          </cell>
          <cell r="BX248" t="str">
            <v>CCUCoAZA</v>
          </cell>
          <cell r="BY248" t="str">
            <v>CCUCoAZA</v>
          </cell>
          <cell r="BZ248" t="str">
            <v>CCUCoAZA</v>
          </cell>
          <cell r="CA248" t="str">
            <v>CCUCoAZA</v>
          </cell>
          <cell r="CB248" t="str">
            <v>CCUCoAZA</v>
          </cell>
          <cell r="CC248" t="str">
            <v>CCUCoAZA</v>
          </cell>
          <cell r="CD248" t="str">
            <v>CCUCoAZA</v>
          </cell>
          <cell r="CE248" t="str">
            <v>CCUCoAZA</v>
          </cell>
          <cell r="CF248" t="str">
            <v>CCUCoAZA</v>
          </cell>
          <cell r="CG248" t="str">
            <v>CCUCoAZA</v>
          </cell>
          <cell r="CH248" t="str">
            <v>CCUCoAZA</v>
          </cell>
          <cell r="CI248" t="str">
            <v>CCUCoAZA</v>
          </cell>
          <cell r="CJ248" t="str">
            <v>CCUCoAZA</v>
          </cell>
          <cell r="CK248" t="str">
            <v>CCUCoAZA</v>
          </cell>
          <cell r="CL248" t="str">
            <v>CCUCoAZA</v>
          </cell>
          <cell r="CM248" t="str">
            <v>CCUCoAZA</v>
          </cell>
          <cell r="CN248" t="str">
            <v>CCUCoAZA</v>
          </cell>
          <cell r="CO248" t="str">
            <v>CCUCoAZA</v>
          </cell>
          <cell r="CP248" t="str">
            <v>CCUCoAZA</v>
          </cell>
          <cell r="CQ248" t="str">
            <v>CCUCoAZA</v>
          </cell>
          <cell r="CR248" t="str">
            <v>CCUCoAZA</v>
          </cell>
          <cell r="CS248" t="str">
            <v>CCUCoAZA</v>
          </cell>
          <cell r="CT248" t="str">
            <v>CCUCoAZA</v>
          </cell>
          <cell r="CU248" t="str">
            <v>CCUCoAZA</v>
          </cell>
          <cell r="CV248" t="str">
            <v>CCUCoAZA</v>
          </cell>
          <cell r="CW248" t="str">
            <v>CCUCoAZA</v>
          </cell>
        </row>
        <row r="249">
          <cell r="D249" t="str">
            <v>HNL373</v>
          </cell>
          <cell r="E249" t="str">
            <v>Chasis</v>
          </cell>
          <cell r="F249" t="str">
            <v>Chasis</v>
          </cell>
          <cell r="G249" t="str">
            <v>Chasis</v>
          </cell>
          <cell r="N249" t="str">
            <v>CODYLSA</v>
          </cell>
          <cell r="O249" t="str">
            <v>CODYLSA</v>
          </cell>
          <cell r="P249" t="str">
            <v>No</v>
          </cell>
          <cell r="Q249" t="str">
            <v>Propio</v>
          </cell>
          <cell r="R249">
            <v>12</v>
          </cell>
          <cell r="S249" t="str">
            <v>Propio</v>
          </cell>
          <cell r="T249" t="str">
            <v>MERCEDES BENZ</v>
          </cell>
          <cell r="U249" t="str">
            <v>L-1318</v>
          </cell>
          <cell r="V249" t="str">
            <v>904976U0793082</v>
          </cell>
          <cell r="W249" t="str">
            <v>9BM6940009B615094</v>
          </cell>
          <cell r="X249">
            <v>2008</v>
          </cell>
          <cell r="Y249">
            <v>18</v>
          </cell>
          <cell r="Z249" t="str">
            <v>Papelera</v>
          </cell>
          <cell r="AA249" t="str">
            <v>Papelera - Papelera del Plata S.A.</v>
          </cell>
          <cell r="AB249" t="str">
            <v>Papelera - Papelera del Plata S.A.</v>
          </cell>
          <cell r="AC249" t="str">
            <v>Papelera - Papelera del Plata S.A.</v>
          </cell>
          <cell r="AD249" t="str">
            <v>Papelera - Papelera del Plata S.A.</v>
          </cell>
          <cell r="AE249" t="str">
            <v>Papelera - Papelera del Plata S.A.</v>
          </cell>
          <cell r="AF249" t="str">
            <v>Papelera - Papelera del Plata S.A.</v>
          </cell>
          <cell r="AG249" t="str">
            <v>Papelera - Papelera del Plata S.A.</v>
          </cell>
          <cell r="AH249" t="str">
            <v>Papelera - Papelera del Plata S.A.</v>
          </cell>
          <cell r="AI249" t="str">
            <v>Papelera - Papelera del Plata S.A.</v>
          </cell>
          <cell r="AJ249" t="str">
            <v>Papelera - Papelera del Plata S.A.</v>
          </cell>
          <cell r="AK249" t="str">
            <v>Papelera - Papelera del Plata S.A.</v>
          </cell>
          <cell r="AL249" t="str">
            <v>Papelera - Papelera del Plata S.A.</v>
          </cell>
          <cell r="AM249" t="str">
            <v>Papelera - Papelera del Plata S.A.</v>
          </cell>
          <cell r="AN249" t="str">
            <v>Papelera - Papelera del Plata S.A.</v>
          </cell>
          <cell r="AO249" t="str">
            <v>Papelera - Papelera del Plata S.A.</v>
          </cell>
          <cell r="AP249" t="str">
            <v>Papelera - Papelera del Plata S.A.</v>
          </cell>
          <cell r="AQ249" t="str">
            <v>Papelera - Papelera del Plata S.A.</v>
          </cell>
          <cell r="AR249" t="str">
            <v>Papelera - Papelera del Plata S.A.</v>
          </cell>
          <cell r="AS249" t="str">
            <v>Papelera - Papelera del Plata S.A.</v>
          </cell>
          <cell r="AT249" t="str">
            <v>Papelera - Papelera del Plata S.A.</v>
          </cell>
          <cell r="AU249" t="str">
            <v>Papelera - Papelera del Plata S.A.</v>
          </cell>
          <cell r="AV249" t="str">
            <v>Papelera - Papelera del Plata S.A.</v>
          </cell>
          <cell r="AW249" t="str">
            <v>Papelera - Papelera del Plata S.A.</v>
          </cell>
          <cell r="AX249" t="str">
            <v>Papelera - Papelera del Plata S.A.</v>
          </cell>
          <cell r="AY249" t="str">
            <v>Papelera - Papelera del Plata S.A.</v>
          </cell>
          <cell r="AZ249" t="str">
            <v>Papelera - Papelera del Plata S.A.</v>
          </cell>
          <cell r="BA249" t="str">
            <v>Papelera - Papelera del Plata S.A.</v>
          </cell>
          <cell r="BB249" t="str">
            <v>Papelera - Papelera del Plata S.A.</v>
          </cell>
          <cell r="BC249" t="str">
            <v>Papelera - Papelera del Plata S.A.</v>
          </cell>
          <cell r="BD249" t="str">
            <v>Papelera - Papelera del Plata S.A.</v>
          </cell>
          <cell r="BE249" t="str">
            <v>Papelera - Papelera del Plata S.A.</v>
          </cell>
          <cell r="BF249" t="str">
            <v>CLI_SPOT - CLIENTE SPOT</v>
          </cell>
          <cell r="BG249" t="str">
            <v>CLI_SPOT - CLIENTE SPOT</v>
          </cell>
          <cell r="BH249" t="str">
            <v>CLI_SPOT - CLIENTE SPOT</v>
          </cell>
          <cell r="BI249" t="str">
            <v>CLI_SPOT - CLIENTE SPOT</v>
          </cell>
          <cell r="BJ249" t="str">
            <v>CLI_SPOT - CLIENTE SPOT</v>
          </cell>
          <cell r="BK249" t="str">
            <v>CLI_SPOT - CLIENTE SPOT</v>
          </cell>
          <cell r="BL249" t="str">
            <v>CLI_SPOT - CLIENTE SPOT</v>
          </cell>
          <cell r="BM249" t="str">
            <v>CLI_SPOT - CLIENTE SPOT</v>
          </cell>
          <cell r="BN249" t="str">
            <v>CLI_SPOT - CLIENTE SPOT</v>
          </cell>
          <cell r="BO249" t="str">
            <v>CLI_SPOT - CLIENTE SPOT</v>
          </cell>
          <cell r="BP249" t="str">
            <v>CLI_SPOT - CLIENTE SPOT</v>
          </cell>
          <cell r="BQ249" t="str">
            <v>Unilever - Unilever de Arg. S.A.</v>
          </cell>
          <cell r="BR249" t="str">
            <v>Unilever - Unilever de Arg. S.A.</v>
          </cell>
          <cell r="BS249" t="str">
            <v>Unilever - Unilever de Arg. S.A.</v>
          </cell>
          <cell r="BT249" t="str">
            <v>Unilever - Unilever de Arg. S.A.</v>
          </cell>
          <cell r="BU249" t="str">
            <v>Unilever - Unilever de Arg. S.A.</v>
          </cell>
          <cell r="BV249" t="str">
            <v>Unilever - Unilever de Arg. S.A.</v>
          </cell>
          <cell r="BW249" t="str">
            <v>Unilever - Unilever de Arg. S.A.</v>
          </cell>
          <cell r="BX249" t="str">
            <v>Unilever - Unilever de Arg. S.A.</v>
          </cell>
          <cell r="BY249" t="str">
            <v>Unilever - Unilever de Arg. S.A.</v>
          </cell>
          <cell r="BZ249" t="str">
            <v>Unilever - Unilever de Arg. S.A.</v>
          </cell>
          <cell r="CA249" t="str">
            <v>Unilever - Unilever de Arg. S.A.</v>
          </cell>
          <cell r="CB249" t="str">
            <v>Unilever - Unilever de Arg. S.A.</v>
          </cell>
          <cell r="CC249" t="str">
            <v>Unilever - Unilever de Arg. S.A.</v>
          </cell>
          <cell r="CD249" t="str">
            <v>Unilever - Unilever de Arg. S.A.</v>
          </cell>
          <cell r="CE249" t="str">
            <v>Unilever - Unilever de Arg. S.A.</v>
          </cell>
          <cell r="CF249" t="str">
            <v>Unilever - Unilever de Arg. S.A.</v>
          </cell>
          <cell r="CG249" t="str">
            <v>Unilever - Unilever de Arg. S.A.</v>
          </cell>
          <cell r="CH249" t="str">
            <v>LOGIS</v>
          </cell>
          <cell r="CI249" t="str">
            <v>LOGIS</v>
          </cell>
          <cell r="CJ249" t="str">
            <v>Unilever - Unilever de Arg. S.A.</v>
          </cell>
          <cell r="CK249" t="str">
            <v>Topacio</v>
          </cell>
          <cell r="CL249" t="str">
            <v>Topacio</v>
          </cell>
          <cell r="CM249" t="str">
            <v>Unilever - Unilever de Arg. S.A.</v>
          </cell>
          <cell r="CN249" t="str">
            <v>JOHNSON - SC JOHNSON DE ARGENTINA SAIC</v>
          </cell>
          <cell r="CO249" t="str">
            <v>JOHNSON - SC JOHNSON DE ARGENTINA SAIC</v>
          </cell>
          <cell r="CP249" t="str">
            <v>JOHNSON - SC JOHNSON DE ARGENTINA SAIC</v>
          </cell>
          <cell r="CQ249" t="str">
            <v>JOHNSON - SC JOHNSON DE ARGENTINA SAIC</v>
          </cell>
          <cell r="CR249" t="str">
            <v>Papelera - Papelera del Plata S.A.</v>
          </cell>
          <cell r="CS249" t="str">
            <v>Papelera - Papelera del Plata S.A.</v>
          </cell>
          <cell r="CT249" t="str">
            <v>Papelera - Papelera del Plata S.A.</v>
          </cell>
          <cell r="CU249" t="str">
            <v>Papelera - Papelera del Plata S.A.</v>
          </cell>
          <cell r="CV249" t="str">
            <v>Papelera - Papelera del Plata S.A.</v>
          </cell>
          <cell r="CW249" t="str">
            <v>Papelera - Papelera del Plata S.A.</v>
          </cell>
        </row>
        <row r="250">
          <cell r="D250" t="str">
            <v>HOA944</v>
          </cell>
          <cell r="E250" t="str">
            <v>CHASIS</v>
          </cell>
          <cell r="F250" t="str">
            <v>Chasis</v>
          </cell>
          <cell r="G250" t="str">
            <v>CHASIS</v>
          </cell>
          <cell r="N250" t="str">
            <v>CABRERIZO MARIA FABIANA</v>
          </cell>
          <cell r="O250" t="str">
            <v>CABRERIZO MARIA FABIANA</v>
          </cell>
          <cell r="P250" t="str">
            <v>No</v>
          </cell>
          <cell r="Q250" t="str">
            <v>De Tercero</v>
          </cell>
          <cell r="R250" t="str">
            <v>-</v>
          </cell>
          <cell r="S250" t="str">
            <v>De Tercero</v>
          </cell>
          <cell r="T250" t="str">
            <v>IVECO</v>
          </cell>
          <cell r="U250" t="str">
            <v>DAILY 55C16 PASO 3750</v>
          </cell>
          <cell r="V250">
            <v>7043271</v>
          </cell>
          <cell r="W250" t="str">
            <v>93ZC53B0198405592</v>
          </cell>
          <cell r="X250">
            <v>2008</v>
          </cell>
          <cell r="CE250" t="str">
            <v>SUC_MEN - Sucursal Mendoza</v>
          </cell>
          <cell r="CF250" t="str">
            <v>SUC_MEN - Sucursal Mendoza</v>
          </cell>
          <cell r="CG250" t="str">
            <v>SUC_MEN - Sucursal Mendoza</v>
          </cell>
          <cell r="CH250" t="str">
            <v>SUC_MEN - Sucursal Mendoza</v>
          </cell>
          <cell r="CI250" t="str">
            <v>SUC_MEN - Sucursal Mendoza</v>
          </cell>
          <cell r="CJ250" t="str">
            <v>SUC_MEN - Sucursal Mendoza</v>
          </cell>
          <cell r="CK250" t="str">
            <v>SUC_MEN - Sucursal Mendoza</v>
          </cell>
          <cell r="CL250" t="str">
            <v>SUC_MEN - Sucursal Mendoza</v>
          </cell>
          <cell r="CM250" t="str">
            <v>SUC_MEN - Sucursal Mendoza</v>
          </cell>
          <cell r="CN250" t="str">
            <v>INACTIVO</v>
          </cell>
          <cell r="CO250" t="str">
            <v>INACTIVO</v>
          </cell>
          <cell r="CP250" t="str">
            <v>INACTIVO</v>
          </cell>
          <cell r="CQ250" t="str">
            <v>INACTIVO</v>
          </cell>
          <cell r="CR250" t="str">
            <v>SUC_MEN - Sucursal Mendoza</v>
          </cell>
          <cell r="CS250" t="str">
            <v>SUC_MEN - Sucursal Mendoza</v>
          </cell>
          <cell r="CT250" t="str">
            <v>SUC_MEN - Sucursal Mendoza</v>
          </cell>
          <cell r="CU250" t="str">
            <v>SUC_MEN - Sucursal Mendoza</v>
          </cell>
          <cell r="CV250" t="str">
            <v>SUC_MEN - Sucursal Mendoza</v>
          </cell>
          <cell r="CW250" t="str">
            <v>SUC_MEN - Sucursal Mendoza</v>
          </cell>
        </row>
        <row r="251">
          <cell r="D251" t="str">
            <v>HPR687</v>
          </cell>
          <cell r="E251" t="str">
            <v>Chasis</v>
          </cell>
          <cell r="F251" t="str">
            <v>Chasis</v>
          </cell>
          <cell r="G251" t="str">
            <v>Chasis</v>
          </cell>
          <cell r="N251" t="str">
            <v>CODYLSA</v>
          </cell>
          <cell r="O251" t="str">
            <v>CODYLSA</v>
          </cell>
          <cell r="P251" t="str">
            <v>No</v>
          </cell>
          <cell r="Q251" t="str">
            <v>Propio</v>
          </cell>
          <cell r="R251">
            <v>12</v>
          </cell>
          <cell r="S251" t="str">
            <v>Propio</v>
          </cell>
          <cell r="T251" t="str">
            <v>MERCEDES BENZ</v>
          </cell>
          <cell r="U251" t="str">
            <v>L-1318</v>
          </cell>
          <cell r="V251" t="str">
            <v>904976U0792824</v>
          </cell>
          <cell r="W251" t="str">
            <v>9BM6940429B614836</v>
          </cell>
          <cell r="X251">
            <v>2008</v>
          </cell>
          <cell r="Y251">
            <v>18</v>
          </cell>
          <cell r="Z251" t="str">
            <v xml:space="preserve">Unilever </v>
          </cell>
          <cell r="AA251" t="str">
            <v>Unilever - Unilever de Arg. S.A.</v>
          </cell>
          <cell r="AB251" t="str">
            <v>Unilever - Unilever de Arg. S.A.</v>
          </cell>
          <cell r="AC251" t="str">
            <v>Unilever - Unilever de Arg. S.A.</v>
          </cell>
          <cell r="AD251" t="str">
            <v>Unilever - Unilever de Arg. S.A.</v>
          </cell>
          <cell r="AE251" t="str">
            <v>Unilever - Unilever de Arg. S.A.</v>
          </cell>
          <cell r="AF251" t="str">
            <v>Unilever - Unilever de Arg. S.A.</v>
          </cell>
          <cell r="AG251" t="str">
            <v>Unilever - Unilever de Arg. S.A.</v>
          </cell>
          <cell r="AH251" t="str">
            <v>Unilever - Unilever de Arg. S.A.</v>
          </cell>
          <cell r="AI251" t="str">
            <v>Unilever - Unilever de Arg. S.A.</v>
          </cell>
          <cell r="AJ251" t="str">
            <v>Unilever - Unilever de Arg. S.A.</v>
          </cell>
          <cell r="AK251" t="str">
            <v>JOHNSON - SC JOHNSON DE ARGENTINA SAIC</v>
          </cell>
          <cell r="AL251" t="str">
            <v>JOHNSON - SC JOHNSON DE ARGENTINA SAIC</v>
          </cell>
          <cell r="AM251" t="str">
            <v>JOHNSON - SC JOHNSON DE ARGENTINA SAIC</v>
          </cell>
          <cell r="AN251" t="str">
            <v>JOHNSON - SC JOHNSON DE ARGENTINA SAIC</v>
          </cell>
          <cell r="AO251" t="str">
            <v>Papelera - Papelera del Plata S.A.</v>
          </cell>
          <cell r="AP251" t="str">
            <v>Papelera - Papelera del Plata S.A.</v>
          </cell>
          <cell r="AQ251" t="str">
            <v>Papelera - Papelera del Plata S.A.</v>
          </cell>
          <cell r="AR251" t="str">
            <v>Papelera - Papelera del Plata S.A.</v>
          </cell>
          <cell r="AS251" t="str">
            <v>Papelera - Papelera del Plata S.A.</v>
          </cell>
          <cell r="AT251" t="str">
            <v>Papelera - Papelera del Plata S.A.</v>
          </cell>
          <cell r="AU251" t="str">
            <v>Unilever - Unilever de Arg. S.A.</v>
          </cell>
          <cell r="AV251" t="str">
            <v>Unilever - Unilever de Arg. S.A.</v>
          </cell>
          <cell r="AW251" t="str">
            <v>Unilever - Unilever de Arg. S.A.</v>
          </cell>
          <cell r="AX251" t="str">
            <v>Unilever - Unilever de Arg. S.A.</v>
          </cell>
          <cell r="AY251" t="str">
            <v>Unilever - Unilever de Arg. S.A.</v>
          </cell>
          <cell r="AZ251" t="str">
            <v>Unilever - Unilever de Arg. S.A.</v>
          </cell>
          <cell r="BA251" t="str">
            <v>Unilever - Unilever de Arg. S.A.</v>
          </cell>
          <cell r="BB251" t="str">
            <v>Unilever - Unilever de Arg. S.A.</v>
          </cell>
          <cell r="BC251" t="str">
            <v>Unilever - Unilever de Arg. S.A.</v>
          </cell>
          <cell r="BD251" t="str">
            <v>Unilever - Unilever de Arg. S.A.</v>
          </cell>
          <cell r="BE251" t="str">
            <v>Unilever - Unilever de Arg. S.A.</v>
          </cell>
          <cell r="BF251" t="str">
            <v>JOHNSON - SC JOHNSON DE ARGENTINA SAIC</v>
          </cell>
          <cell r="BG251" t="str">
            <v>JOHNSON - SC JOHNSON DE ARGENTINA SAIC</v>
          </cell>
          <cell r="BH251" t="str">
            <v>JOHNSON - SC JOHNSON DE ARGENTINA SAIC</v>
          </cell>
          <cell r="BI251" t="str">
            <v>JOHNSON - SC JOHNSON DE ARGENTINA SAIC</v>
          </cell>
          <cell r="BJ251" t="str">
            <v>JOHNSON - SC JOHNSON DE ARGENTINA SAIC</v>
          </cell>
          <cell r="BK251" t="str">
            <v>JOHNSON - SC JOHNSON DE ARGENTINA SAIC</v>
          </cell>
          <cell r="BL251" t="str">
            <v>JOHNSON - SC JOHNSON DE ARGENTINA SAIC</v>
          </cell>
          <cell r="BM251" t="str">
            <v>JOHNSON - SC JOHNSON DE ARGENTINA SAIC</v>
          </cell>
          <cell r="BN251" t="str">
            <v>JOHNSON - SC JOHNSON DE ARGENTINA SAIC</v>
          </cell>
          <cell r="BO251" t="str">
            <v>JOHNSON - SC JOHNSON DE ARGENTINA SAIC</v>
          </cell>
          <cell r="BP251" t="str">
            <v>JOHNSON - SC JOHNSON DE ARGENTINA SAIC</v>
          </cell>
          <cell r="BQ251" t="str">
            <v>Unilever - Unilever de Arg. S.A.</v>
          </cell>
          <cell r="BR251" t="str">
            <v>JOHNSON - SC JOHNSON DE ARGENTINA SAIC</v>
          </cell>
          <cell r="BS251" t="str">
            <v>JOHNSON - SC JOHNSON DE ARGENTINA SAIC</v>
          </cell>
          <cell r="BT251" t="str">
            <v>JOHNSON - SC JOHNSON DE ARGENTINA SAIC</v>
          </cell>
          <cell r="BU251" t="str">
            <v>JOHNSON - SC JOHNSON DE ARGENTINA SAIC</v>
          </cell>
          <cell r="BV251" t="str">
            <v>Unilever - Unilever de Arg. S.A.</v>
          </cell>
          <cell r="BW251" t="str">
            <v>Unilever - Unilever de Arg. S.A.</v>
          </cell>
          <cell r="BX251" t="str">
            <v>Unilever - Unilever de Arg. S.A.</v>
          </cell>
          <cell r="BY251" t="str">
            <v>Unilever - Unilever de Arg. S.A.</v>
          </cell>
          <cell r="BZ251" t="str">
            <v>JOHNSON - SC JOHNSON DE ARGENTINA SAIC</v>
          </cell>
          <cell r="CA251" t="str">
            <v>JOHNSON - SC JOHNSON DE ARGENTINA SAIC</v>
          </cell>
          <cell r="CB251" t="str">
            <v>Unilever - Unilever de Arg. S.A.</v>
          </cell>
          <cell r="CC251" t="str">
            <v>Unilever - Unilever de Arg. S.A.</v>
          </cell>
          <cell r="CD251" t="str">
            <v>Unilever - Unilever de Arg. S.A.</v>
          </cell>
          <cell r="CE251" t="str">
            <v>Unilever - Unilever de Arg. S.A.</v>
          </cell>
          <cell r="CF251" t="str">
            <v>Unilever - Unilever de Arg. S.A.</v>
          </cell>
          <cell r="CG251" t="str">
            <v>Unilever - Unilever de Arg. S.A.</v>
          </cell>
          <cell r="CH251" t="str">
            <v>Unilever - Unilever de Arg. S.A.</v>
          </cell>
          <cell r="CI251" t="str">
            <v>Unilever - Unilever de Arg. S.A.</v>
          </cell>
          <cell r="CJ251" t="str">
            <v>JOHNSON - SC JOHNSON DE ARGENTINA SAIC</v>
          </cell>
          <cell r="CK251" t="str">
            <v>JOHNSON - SC JOHNSON DE ARGENTINA SAIC</v>
          </cell>
          <cell r="CL251" t="str">
            <v>JOHNSON - SC JOHNSON DE ARGENTINA SAIC</v>
          </cell>
          <cell r="CM251" t="str">
            <v>Unilever - Unilever de Arg. S.A.</v>
          </cell>
          <cell r="CN251" t="str">
            <v>JOHNSON - SC JOHNSON DE ARGENTINA SAIC</v>
          </cell>
          <cell r="CO251" t="str">
            <v>JOHNSON - SC JOHNSON DE ARGENTINA SAIC</v>
          </cell>
          <cell r="CP251" t="str">
            <v>Unilever - Unilever de Arg. S.A.</v>
          </cell>
          <cell r="CQ251" t="str">
            <v>Unilever - Unilever de Arg. S.A.</v>
          </cell>
          <cell r="CR251" t="str">
            <v>Unilever - Unilever de Arg. S.A.</v>
          </cell>
          <cell r="CS251" t="str">
            <v>Unilever - Unilever de Arg. S.A.</v>
          </cell>
          <cell r="CT251" t="str">
            <v>Unilever - Unilever de Arg. S.A.</v>
          </cell>
          <cell r="CU251" t="str">
            <v>Unilever - Unilever de Arg. S.A.</v>
          </cell>
          <cell r="CV251" t="str">
            <v>Unilever - Unilever de Arg. S.A.</v>
          </cell>
          <cell r="CW251" t="str">
            <v>Unilever - Unilever de Arg. S.A.</v>
          </cell>
        </row>
        <row r="252">
          <cell r="D252" t="str">
            <v>HQM968</v>
          </cell>
          <cell r="E252" t="str">
            <v>Chasis</v>
          </cell>
          <cell r="F252" t="str">
            <v>Chasis</v>
          </cell>
          <cell r="G252" t="str">
            <v>Chasis</v>
          </cell>
          <cell r="N252" t="str">
            <v>CODYLSA</v>
          </cell>
          <cell r="O252" t="str">
            <v>CODYLSA</v>
          </cell>
          <cell r="P252" t="str">
            <v>No</v>
          </cell>
          <cell r="Q252" t="str">
            <v>Propio</v>
          </cell>
          <cell r="R252">
            <v>12</v>
          </cell>
          <cell r="S252" t="str">
            <v>Propio</v>
          </cell>
          <cell r="T252" t="str">
            <v>MERCEDES BENZ</v>
          </cell>
          <cell r="U252" t="str">
            <v>L-1318</v>
          </cell>
          <cell r="V252" t="str">
            <v>904976U0797671</v>
          </cell>
          <cell r="W252" t="str">
            <v>9BM6940009B621008</v>
          </cell>
          <cell r="X252">
            <v>2008</v>
          </cell>
          <cell r="Y252">
            <v>18</v>
          </cell>
          <cell r="Z252" t="str">
            <v>Danone Alianza</v>
          </cell>
          <cell r="AA252" t="str">
            <v>ADA_Mino - Danone Arg. S.A. - Mino</v>
          </cell>
          <cell r="AB252" t="str">
            <v>ADA_Mino - Danone Arg. S.A. - Mino</v>
          </cell>
          <cell r="AC252" t="str">
            <v>ADA_Mino - Danone Arg. S.A. - Mino</v>
          </cell>
          <cell r="AD252" t="str">
            <v>ADA_Mino - Danone Arg. S.A. - Mino</v>
          </cell>
          <cell r="AE252" t="str">
            <v>ADA_Mino - Danone Arg. S.A. - Mino</v>
          </cell>
          <cell r="AF252" t="str">
            <v>ADA_Mino - Danone Arg. S.A. - Mino</v>
          </cell>
          <cell r="AG252" t="str">
            <v>ADA_Mino - Danone Arg. S.A. - Mino</v>
          </cell>
          <cell r="AH252" t="str">
            <v>ADA_Mino - Danone Arg. S.A. - Mino</v>
          </cell>
          <cell r="AI252" t="str">
            <v>ADA_Mino - Danone Arg. S.A. - Mino</v>
          </cell>
          <cell r="AJ252" t="str">
            <v>ADA_Mino - Danone Arg. S.A. - Mino</v>
          </cell>
          <cell r="AK252" t="str">
            <v>ADA_Mino - Danone Arg. S.A. - Mino</v>
          </cell>
          <cell r="AL252" t="str">
            <v>ADA_Mino - Danone Arg. S.A. - Mino</v>
          </cell>
          <cell r="AM252" t="str">
            <v>ADA_Mino - Danone Arg. S.A. - Mino</v>
          </cell>
          <cell r="AN252" t="str">
            <v>ADA_Mino - Danone Arg. S.A. - Mino</v>
          </cell>
          <cell r="AO252" t="str">
            <v>ADA_Mino - Danone Arg. S.A. - Mino</v>
          </cell>
          <cell r="AP252" t="str">
            <v>ADA_Mino - Danone Arg. S.A. - Mino</v>
          </cell>
          <cell r="AQ252" t="str">
            <v>ADA_Mino - Danone Arg. S.A. - Mino</v>
          </cell>
          <cell r="AR252" t="str">
            <v>ADA_Mino - Danone Arg. S.A. - Mino</v>
          </cell>
          <cell r="AS252" t="str">
            <v>ADA_Mino - Danone Arg. S.A. - Mino</v>
          </cell>
          <cell r="AT252" t="str">
            <v>ADA_Mino - Danone Arg. S.A. - Mino</v>
          </cell>
          <cell r="AU252" t="str">
            <v>ADA_Mino - Danone Arg. S.A. - Mino</v>
          </cell>
          <cell r="AV252" t="str">
            <v>ADA_Mino - Danone Arg. S.A. - Mino</v>
          </cell>
          <cell r="AW252" t="str">
            <v>ADA_Mino - Danone Arg. S.A. - Mino</v>
          </cell>
          <cell r="AX252" t="str">
            <v>ADA_Mino - Danone Arg. S.A. - Mino</v>
          </cell>
          <cell r="AY252" t="str">
            <v>ADA_Mino - Danone Arg. S.A. - Mino</v>
          </cell>
          <cell r="AZ252" t="str">
            <v>ADA_Mino - Danone Arg. S.A. - Mino</v>
          </cell>
          <cell r="BA252" t="str">
            <v>ADA_Mino - Danone Arg. S.A. - Mino</v>
          </cell>
          <cell r="BB252" t="str">
            <v>ADA_Mino - Danone Arg. S.A. - Mino</v>
          </cell>
          <cell r="BC252" t="str">
            <v>ADA_Mino - Danone Arg. S.A. - Mino</v>
          </cell>
          <cell r="BD252" t="str">
            <v>ADA_Mino - Danone Arg. S.A. - Mino</v>
          </cell>
          <cell r="BE252" t="str">
            <v>ADA_Mino - Danone Arg. S.A. - Mino</v>
          </cell>
          <cell r="BF252" t="str">
            <v>ADA_Mino - Danone Arg. S.A. - Mino</v>
          </cell>
          <cell r="BG252" t="str">
            <v>ADA_Mino - Danone Arg. S.A. - Mino</v>
          </cell>
          <cell r="BH252" t="str">
            <v>ADA_Mino - Danone Arg. S.A. - Mino</v>
          </cell>
          <cell r="BI252" t="str">
            <v>ADA_Mino - Danone Arg. S.A. - Mino</v>
          </cell>
          <cell r="BJ252" t="str">
            <v>ADA_Mino - Danone Arg. S.A. - Mino</v>
          </cell>
          <cell r="BK252" t="str">
            <v>ADA_Mino - Danone Arg. S.A. - Mino</v>
          </cell>
          <cell r="BL252" t="str">
            <v>ADA_Mino - Danone Arg. S.A. - Mino</v>
          </cell>
          <cell r="BM252" t="str">
            <v>ADA_Mino - Danone Arg. S.A. - Mino</v>
          </cell>
          <cell r="BN252" t="str">
            <v>ADA_Mino - Danone Arg. S.A. - Mino</v>
          </cell>
          <cell r="BO252" t="str">
            <v>ADA_Mino - Danone Arg. S.A. - Mino</v>
          </cell>
          <cell r="BP252" t="str">
            <v>ADA_Mino - Danone Arg. S.A. - Mino</v>
          </cell>
          <cell r="BQ252" t="str">
            <v>ADA_Mino - Danone Arg. S.A. - Mino</v>
          </cell>
          <cell r="BR252" t="str">
            <v>ADA_Mino - Danone Arg. S.A. - Mino</v>
          </cell>
          <cell r="BS252" t="str">
            <v>ADA_Mino - Danone Arg. S.A. - Mino</v>
          </cell>
          <cell r="BT252" t="str">
            <v>ADA_Mino - Danone Arg. S.A. - Mino</v>
          </cell>
          <cell r="BU252" t="str">
            <v>CCUCoAZA</v>
          </cell>
          <cell r="BV252" t="str">
            <v>CCUCoAZA</v>
          </cell>
          <cell r="BW252" t="str">
            <v>CCUCoAZA</v>
          </cell>
          <cell r="BX252" t="str">
            <v>CCUCoAZA</v>
          </cell>
          <cell r="BY252" t="str">
            <v>CCUCoAZA</v>
          </cell>
          <cell r="BZ252" t="str">
            <v>CCUCoAZA</v>
          </cell>
          <cell r="CA252" t="str">
            <v>CCUCoAZA</v>
          </cell>
          <cell r="CB252" t="str">
            <v>CCUCoAZA</v>
          </cell>
          <cell r="CC252" t="str">
            <v>CCUCoAZA</v>
          </cell>
          <cell r="CD252" t="str">
            <v>CCUCoAZA</v>
          </cell>
          <cell r="CE252" t="str">
            <v>CCUCoAZA</v>
          </cell>
          <cell r="CF252" t="str">
            <v>CCUCoAZA</v>
          </cell>
          <cell r="CG252" t="str">
            <v>CCUCoAZA</v>
          </cell>
          <cell r="CH252" t="str">
            <v>CCUCoAZA</v>
          </cell>
          <cell r="CI252" t="str">
            <v>CCUCoAZA</v>
          </cell>
          <cell r="CJ252" t="str">
            <v>CCUCoAZA</v>
          </cell>
          <cell r="CK252" t="str">
            <v>CCUCoAZA</v>
          </cell>
          <cell r="CL252" t="str">
            <v>CCUCoAZA</v>
          </cell>
          <cell r="CM252" t="str">
            <v>CCUCoAZA</v>
          </cell>
          <cell r="CN252" t="str">
            <v>CCUCoAZA</v>
          </cell>
          <cell r="CO252" t="str">
            <v>CCUCoAZA</v>
          </cell>
          <cell r="CP252" t="str">
            <v>CCUCoAZA</v>
          </cell>
          <cell r="CQ252" t="str">
            <v>CCUCoAZA</v>
          </cell>
          <cell r="CR252" t="str">
            <v>CCUCoAZA</v>
          </cell>
          <cell r="CS252" t="str">
            <v>CCUCoAZA</v>
          </cell>
          <cell r="CT252" t="str">
            <v>CCUCoAZA</v>
          </cell>
          <cell r="CU252" t="str">
            <v>CCUCoAZA</v>
          </cell>
          <cell r="CV252" t="str">
            <v>CCUCoAZA</v>
          </cell>
          <cell r="CW252" t="str">
            <v>CCUCoAZA</v>
          </cell>
        </row>
        <row r="253">
          <cell r="D253" t="str">
            <v>HRJ002</v>
          </cell>
          <cell r="E253" t="str">
            <v>Chasis</v>
          </cell>
          <cell r="F253" t="str">
            <v>Chasis</v>
          </cell>
          <cell r="G253" t="str">
            <v>Chasis</v>
          </cell>
          <cell r="N253" t="str">
            <v>CODYLSA</v>
          </cell>
          <cell r="O253" t="str">
            <v>CODYLSA</v>
          </cell>
          <cell r="P253" t="str">
            <v>No</v>
          </cell>
          <cell r="Q253" t="str">
            <v>Propio</v>
          </cell>
          <cell r="R253">
            <v>12</v>
          </cell>
          <cell r="S253" t="str">
            <v>Propio</v>
          </cell>
          <cell r="T253" t="str">
            <v>MERCEDES BENZ</v>
          </cell>
          <cell r="U253" t="str">
            <v>L-1318</v>
          </cell>
          <cell r="V253" t="str">
            <v>904976U0802805</v>
          </cell>
          <cell r="W253" t="str">
            <v>9BM6940009B627369</v>
          </cell>
          <cell r="X253">
            <v>2008</v>
          </cell>
          <cell r="Y253">
            <v>18</v>
          </cell>
          <cell r="Z253" t="str">
            <v>Malargue</v>
          </cell>
          <cell r="AA253" t="str">
            <v>Expreso - Servicios Troncales</v>
          </cell>
          <cell r="AB253" t="str">
            <v>Expreso - Servicios Troncales</v>
          </cell>
          <cell r="AC253" t="str">
            <v>Expreso - Servicios Troncales</v>
          </cell>
          <cell r="AD253" t="str">
            <v>Expreso - Servicios Troncales</v>
          </cell>
          <cell r="AE253" t="str">
            <v>Expreso - Servicios Troncales</v>
          </cell>
          <cell r="AF253" t="str">
            <v>Expreso - Servicios Troncales</v>
          </cell>
          <cell r="AG253" t="str">
            <v>Expreso - Servicios Troncales</v>
          </cell>
          <cell r="AH253" t="str">
            <v>Expreso - Servicios Troncales</v>
          </cell>
          <cell r="AI253" t="str">
            <v>Expreso - Servicios Troncales</v>
          </cell>
          <cell r="AJ253" t="str">
            <v>Expreso - Servicios Troncales</v>
          </cell>
          <cell r="AK253" t="str">
            <v>Expreso - Servicios Troncales</v>
          </cell>
          <cell r="AL253" t="str">
            <v>Expreso - Servicios Troncales</v>
          </cell>
          <cell r="AM253" t="str">
            <v>Expreso - Servicios Troncales</v>
          </cell>
          <cell r="AN253" t="str">
            <v>Expreso - Servicios Troncales</v>
          </cell>
          <cell r="AO253" t="str">
            <v>Expreso - Servicios Troncales</v>
          </cell>
          <cell r="AP253" t="str">
            <v>Expreso - Servicios Troncales</v>
          </cell>
          <cell r="AQ253" t="str">
            <v>Expreso - Servicios Troncales</v>
          </cell>
          <cell r="AR253" t="str">
            <v>Expreso - Servicios Troncales</v>
          </cell>
          <cell r="AS253" t="str">
            <v>Expreso - Servicios Troncales</v>
          </cell>
          <cell r="AT253" t="str">
            <v>Expreso - Servicios Troncales</v>
          </cell>
          <cell r="AU253" t="str">
            <v>Expreso - Servicios Troncales</v>
          </cell>
          <cell r="AV253" t="str">
            <v>Expreso - Servicios Troncales</v>
          </cell>
          <cell r="AW253" t="str">
            <v>Expreso - Servicios Troncales</v>
          </cell>
          <cell r="AX253" t="str">
            <v>Expreso - Servicios Troncales</v>
          </cell>
          <cell r="AY253" t="str">
            <v>Expreso - Servicios Troncales</v>
          </cell>
          <cell r="AZ253" t="str">
            <v>Expreso - Servicios Troncales</v>
          </cell>
          <cell r="BA253" t="str">
            <v>Expreso - Servicios Troncales</v>
          </cell>
          <cell r="BB253" t="str">
            <v>Expreso - Servicios Troncales</v>
          </cell>
          <cell r="BC253" t="str">
            <v>Expreso - Servicios Troncales</v>
          </cell>
          <cell r="BD253" t="str">
            <v>SUC_REA - Sucursal Realicó</v>
          </cell>
          <cell r="BE253" t="str">
            <v>SUC_REA - Sucursal Realicó</v>
          </cell>
          <cell r="BF253" t="str">
            <v>SUC_REA - Sucursal Realicó</v>
          </cell>
          <cell r="BG253" t="str">
            <v>SUC_REA - Sucursal Realicó</v>
          </cell>
          <cell r="BH253" t="str">
            <v>SUC_REA - Sucursal Realicó</v>
          </cell>
          <cell r="BI253" t="str">
            <v>SUC_REA - Sucursal Realicó</v>
          </cell>
          <cell r="BJ253" t="str">
            <v>SUC_REA - Sucursal Realicó</v>
          </cell>
          <cell r="BK253" t="str">
            <v>SUC_REA - Sucursal Realicó</v>
          </cell>
          <cell r="BL253" t="str">
            <v>SUC_REA - Sucursal Realicó</v>
          </cell>
          <cell r="BM253" t="str">
            <v>SUC_REA - Sucursal Realicó</v>
          </cell>
          <cell r="BN253" t="str">
            <v>SUC_REA - Sucursal Realicó</v>
          </cell>
          <cell r="BO253" t="str">
            <v>SUC_REA - Sucursal Realicó</v>
          </cell>
          <cell r="BP253" t="str">
            <v>SUC_REA - Sucursal Realicó</v>
          </cell>
          <cell r="BQ253" t="str">
            <v>SUC_REA - Sucursal Realicó</v>
          </cell>
          <cell r="BR253" t="str">
            <v>SUC_REA - Sucursal Realicó</v>
          </cell>
          <cell r="BS253" t="str">
            <v>SUC_REA - Sucursal Realicó</v>
          </cell>
          <cell r="BT253" t="str">
            <v>SUC_REA - Sucursal Realicó</v>
          </cell>
          <cell r="BU253" t="str">
            <v>SUC_REA - Sucursal Realicó</v>
          </cell>
          <cell r="BV253" t="str">
            <v>SUC_REA - Sucursal Realicó</v>
          </cell>
          <cell r="BW253" t="str">
            <v>SUC_REA - Sucursal Realicó</v>
          </cell>
          <cell r="BX253" t="str">
            <v>SUC_MEN - Sucursal Mendoza</v>
          </cell>
          <cell r="BY253" t="str">
            <v>SUC_REA - Sucursal Realicó</v>
          </cell>
          <cell r="BZ253" t="str">
            <v>SUC_REA - Sucursal Realicó</v>
          </cell>
          <cell r="CA253" t="str">
            <v>SUC_REA - Sucursal Realicó</v>
          </cell>
          <cell r="CB253" t="str">
            <v>SUC_REA - Sucursal Realicó</v>
          </cell>
          <cell r="CC253" t="str">
            <v>SUC_REA - Sucursal Realicó</v>
          </cell>
          <cell r="CD253" t="str">
            <v>SUC_REA - Sucursal Realicó</v>
          </cell>
          <cell r="CE253" t="str">
            <v>SUC_REA - Sucursal Realicó</v>
          </cell>
          <cell r="CF253" t="str">
            <v>SUC_REA - Sucursal Realicó</v>
          </cell>
          <cell r="CG253" t="str">
            <v>SUC_REA - Sucursal Realicó</v>
          </cell>
          <cell r="CH253" t="str">
            <v>SUC_REA - Sucursal Realicó</v>
          </cell>
          <cell r="CI253" t="str">
            <v>SUC_REA - Sucursal Realicó</v>
          </cell>
          <cell r="CJ253" t="str">
            <v>SUC_REA - Sucursal Realicó</v>
          </cell>
          <cell r="CK253" t="str">
            <v>SUC_REA - Sucursal Realicó</v>
          </cell>
          <cell r="CL253" t="str">
            <v>SUC_REA - Sucursal Realicó</v>
          </cell>
          <cell r="CM253" t="str">
            <v>SUC_REA - Sucursal Realicó</v>
          </cell>
          <cell r="CN253" t="str">
            <v>SUC_REA - Sucursal Realicó</v>
          </cell>
          <cell r="CO253" t="str">
            <v>SUC_REA - Sucursal Realicó</v>
          </cell>
          <cell r="CP253" t="str">
            <v>SUC_REA - Sucursal Realicó</v>
          </cell>
          <cell r="CQ253" t="str">
            <v>SUC_REA - Sucursal Realicó</v>
          </cell>
          <cell r="CR253" t="str">
            <v>SUC_REA - Sucursal Realicó</v>
          </cell>
          <cell r="CS253" t="str">
            <v>SUC_REA - Sucursal Realicó</v>
          </cell>
          <cell r="CT253" t="str">
            <v>SUC_REA - Sucursal Realicó</v>
          </cell>
          <cell r="CU253" t="str">
            <v>SUC_REA - Sucursal Realicó</v>
          </cell>
          <cell r="CV253" t="str">
            <v>SUC_REA - Sucursal Realicó</v>
          </cell>
          <cell r="CW253" t="str">
            <v>SUC_REA - Sucursal Realicó</v>
          </cell>
        </row>
        <row r="254">
          <cell r="D254" t="str">
            <v>AF118QC</v>
          </cell>
          <cell r="E254" t="str">
            <v>Tractor</v>
          </cell>
          <cell r="F254" t="str">
            <v>Tractor</v>
          </cell>
          <cell r="G254" t="str">
            <v>Tractor</v>
          </cell>
          <cell r="N254" t="str">
            <v>TDU</v>
          </cell>
          <cell r="O254" t="str">
            <v>TDU</v>
          </cell>
          <cell r="P254" t="str">
            <v>No</v>
          </cell>
          <cell r="Q254" t="str">
            <v>Propio</v>
          </cell>
          <cell r="R254" t="str">
            <v>-</v>
          </cell>
          <cell r="S254" t="str">
            <v>Propio</v>
          </cell>
          <cell r="T254" t="str">
            <v>MERCEDES BENZ</v>
          </cell>
          <cell r="U254" t="str">
            <v>ATEGO 1729-S36 CD TE</v>
          </cell>
          <cell r="V254" t="str">
            <v>926994U1346132</v>
          </cell>
          <cell r="W254" t="str">
            <v>9BM958077NB222750</v>
          </cell>
          <cell r="X254">
            <v>2021</v>
          </cell>
          <cell r="Y254">
            <v>5</v>
          </cell>
          <cell r="AZ254" t="str">
            <v>CENCO_MZ - Cencosud SA - Mendoza</v>
          </cell>
          <cell r="BA254" t="str">
            <v>CENCO_MZ - Cencosud SA - Mendoza</v>
          </cell>
          <cell r="BB254" t="str">
            <v>CENCO_MZ - Cencosud SA - Mendoza</v>
          </cell>
          <cell r="BC254" t="str">
            <v>CENCO_MZ - Cencosud SA - Mendoza</v>
          </cell>
          <cell r="BD254" t="str">
            <v>CENCO_MZ - Cencosud SA - Mendoza</v>
          </cell>
          <cell r="BE254" t="str">
            <v>CENCO_MZ - Cencosud SA - Mendoza</v>
          </cell>
          <cell r="BF254" t="str">
            <v>CENCO_MZ - Cencosud SA - Mendoza</v>
          </cell>
          <cell r="BG254" t="str">
            <v>CENCO_MZ - Cencosud SA - Mendoza</v>
          </cell>
          <cell r="BH254" t="str">
            <v>CENCO_MZ - Cencosud SA - Mendoza</v>
          </cell>
          <cell r="BI254" t="str">
            <v>CENCO_MZ - Cencosud SA - Mendoza</v>
          </cell>
          <cell r="BJ254" t="str">
            <v>CENCO_MZ - Cencosud SA - Mendoza</v>
          </cell>
          <cell r="BK254" t="str">
            <v>CENCO_MZ - Cencosud SA - Mendoza</v>
          </cell>
          <cell r="BL254" t="str">
            <v>CENCO_MZ - Cencosud SA - Mendoza</v>
          </cell>
          <cell r="BM254" t="str">
            <v>CENCO_MZ - Cencosud SA - Mendoza</v>
          </cell>
          <cell r="BN254" t="str">
            <v>CENCOMLD - Cencosud SA - Mendoza</v>
          </cell>
          <cell r="BO254" t="str">
            <v>CENCOMLD - Cencosud SA - Mendoza</v>
          </cell>
          <cell r="BP254" t="str">
            <v>CENCOMLD - Cencosud SA - Mendoza</v>
          </cell>
          <cell r="BQ254" t="str">
            <v>CENCOMLD - Cencosud SA - Mendoza</v>
          </cell>
          <cell r="BR254" t="str">
            <v>CENCOMLD - Cencosud SA - Mendoza</v>
          </cell>
          <cell r="BS254" t="str">
            <v>CENCOMLD - Cencosud SA - Mendoza</v>
          </cell>
          <cell r="BT254" t="str">
            <v>CENCOMLD - Cencosud SA - Mendoza</v>
          </cell>
          <cell r="BU254" t="str">
            <v>CENCOMLD - Cencosud SA - Mendoza</v>
          </cell>
          <cell r="BV254" t="str">
            <v>CENCOMLD - Cencosud SA - Mendoza</v>
          </cell>
          <cell r="BW254" t="str">
            <v>CENCOMLD - Cencosud SA - Mendoza</v>
          </cell>
          <cell r="BX254" t="str">
            <v>CENCOMLD - Cencosud SA - Mendoza</v>
          </cell>
          <cell r="BY254" t="str">
            <v>CENCOMLD - Cencosud SA - Mendoza</v>
          </cell>
          <cell r="BZ254" t="str">
            <v>CENCOMLD - Cencosud SA - Mendoza</v>
          </cell>
          <cell r="CA254" t="str">
            <v>CENCOMLD - Cencosud SA - Mendoza</v>
          </cell>
          <cell r="CB254" t="str">
            <v>CENCOMLD - Cencosud SA - Mendoza</v>
          </cell>
          <cell r="CC254" t="str">
            <v>CENCOMLD - Cencosud SA - Mendoza</v>
          </cell>
          <cell r="CD254" t="str">
            <v>CENCOMLD - Cencosud SA - Mendoza</v>
          </cell>
          <cell r="CE254" t="str">
            <v>CENCOMLD - Cencosud SA - Mendoza</v>
          </cell>
          <cell r="CF254" t="str">
            <v>CENCOMLD - Cencosud SA - Mendoza</v>
          </cell>
          <cell r="CG254" t="str">
            <v>CENCOMLD - Cencosud SA - Mendoza</v>
          </cell>
          <cell r="CH254" t="str">
            <v>CENCOMLD - Cencosud SA - Mendoza</v>
          </cell>
          <cell r="CI254" t="str">
            <v>CENCOMLD - Cencosud SA - Mendoza</v>
          </cell>
          <cell r="CJ254" t="str">
            <v>CENCOMLD - Cencosud SA - Mendoza</v>
          </cell>
          <cell r="CK254" t="str">
            <v>CENCOMLD - Cencosud SA - Mendoza</v>
          </cell>
          <cell r="CL254" t="str">
            <v>CENCOMLD - Cencosud SA - Mendoza</v>
          </cell>
          <cell r="CM254" t="str">
            <v>CENCOMLD - Cencosud SA - Mendoza</v>
          </cell>
          <cell r="CN254" t="str">
            <v>CENCOMLD - Cencosud SA - Mendoza</v>
          </cell>
          <cell r="CO254" t="str">
            <v>CENCOMLD - Cencosud SA - Mendoza</v>
          </cell>
          <cell r="CP254" t="str">
            <v>CENCOMLD - Cencosud SA - Mendoza</v>
          </cell>
          <cell r="CQ254" t="str">
            <v>CENCOMLD - Cencosud SA - Mendoza</v>
          </cell>
          <cell r="CR254" t="str">
            <v>CENCOMLD - Cencosud SA - Mendoza</v>
          </cell>
          <cell r="CS254" t="str">
            <v>CENCOMLD - Cencosud SA - Mendoza</v>
          </cell>
          <cell r="CT254" t="str">
            <v>CENCOMLD - Cencosud SA - Mendoza</v>
          </cell>
          <cell r="CU254" t="str">
            <v>CENCOMLD - Cencosud SA - Mendoza</v>
          </cell>
          <cell r="CV254" t="str">
            <v>CENCOMLD - Cencosud SA - Mendoza</v>
          </cell>
          <cell r="CW254" t="str">
            <v>CENCOMLD - Cencosud SA - Mendoza</v>
          </cell>
        </row>
        <row r="255">
          <cell r="D255" t="str">
            <v>AF148MS</v>
          </cell>
          <cell r="E255" t="str">
            <v>Tractor</v>
          </cell>
          <cell r="F255" t="str">
            <v>Tractor</v>
          </cell>
          <cell r="G255" t="str">
            <v>Tractor</v>
          </cell>
          <cell r="N255" t="str">
            <v>TDU</v>
          </cell>
          <cell r="O255" t="str">
            <v>TDU</v>
          </cell>
          <cell r="P255" t="str">
            <v>No</v>
          </cell>
          <cell r="Q255" t="str">
            <v>Propio</v>
          </cell>
          <cell r="R255" t="str">
            <v>-</v>
          </cell>
          <cell r="S255" t="str">
            <v>Propio</v>
          </cell>
          <cell r="T255" t="str">
            <v>MERCEDES BENZ</v>
          </cell>
          <cell r="U255" t="str">
            <v>AXOR 1933 S</v>
          </cell>
          <cell r="V255" t="str">
            <v>926990U1368352</v>
          </cell>
          <cell r="W255" t="str">
            <v>9BM958207NB248917</v>
          </cell>
          <cell r="X255">
            <v>2021</v>
          </cell>
          <cell r="Y255">
            <v>5</v>
          </cell>
          <cell r="AZ255" t="str">
            <v>CENCO_MZ - Cencosud SA - Mendoza</v>
          </cell>
          <cell r="BA255" t="str">
            <v>CENCO_MZ - Cencosud SA - Mendoza</v>
          </cell>
          <cell r="BB255" t="str">
            <v>CENCO_MZ - Cencosud SA - Mendoza</v>
          </cell>
          <cell r="BC255" t="str">
            <v>CENCO_MZ - Cencosud SA - Mendoza</v>
          </cell>
          <cell r="BD255" t="str">
            <v>CENCO_MZ - Cencosud SA - Mendoza</v>
          </cell>
          <cell r="BE255" t="str">
            <v>CENCO_MZ - Cencosud SA - Mendoza</v>
          </cell>
          <cell r="BF255" t="str">
            <v>CENCO_MZ - Cencosud SA - Mendoza</v>
          </cell>
          <cell r="BG255" t="str">
            <v>CENCO_MZ - Cencosud SA - Mendoza</v>
          </cell>
          <cell r="BH255" t="str">
            <v>CENCO_MZ - Cencosud SA - Mendoza</v>
          </cell>
          <cell r="BI255" t="str">
            <v>CENCO_MZ - Cencosud SA - Mendoza</v>
          </cell>
          <cell r="BJ255" t="str">
            <v>CENCO_MZ - Cencosud SA - Mendoza</v>
          </cell>
          <cell r="BK255" t="str">
            <v>CENCO_MZ - Cencosud SA - Mendoza</v>
          </cell>
          <cell r="BL255" t="str">
            <v>CENCO_MZ - Cencosud SA - Mendoza</v>
          </cell>
          <cell r="BM255" t="str">
            <v>CENCO_MZ - Cencosud SA - Mendoza</v>
          </cell>
          <cell r="BN255" t="str">
            <v>CENCOMLD - Cencosud SA - Mendoza</v>
          </cell>
          <cell r="BO255" t="str">
            <v>CENCOMLD - Cencosud SA - Mendoza</v>
          </cell>
          <cell r="BP255" t="str">
            <v>CENCOMLD - Cencosud SA - Mendoza</v>
          </cell>
          <cell r="BQ255" t="str">
            <v>CENCOMLD - Cencosud SA - Mendoza</v>
          </cell>
          <cell r="BR255" t="str">
            <v>CENCOMLD - Cencosud SA - Mendoza</v>
          </cell>
          <cell r="BS255" t="str">
            <v>CENCOMLD - Cencosud SA - Mendoza</v>
          </cell>
          <cell r="BT255" t="str">
            <v>CENCOMLD - Cencosud SA - Mendoza</v>
          </cell>
          <cell r="BU255" t="str">
            <v>CENCOMLD - Cencosud SA - Mendoza</v>
          </cell>
          <cell r="BV255" t="str">
            <v>CENCOMLD - Cencosud SA - Mendoza</v>
          </cell>
          <cell r="BW255" t="str">
            <v>CENCOMLD - Cencosud SA - Mendoza</v>
          </cell>
          <cell r="BX255" t="str">
            <v>CENCOMLD - Cencosud SA - Mendoza</v>
          </cell>
          <cell r="BY255" t="str">
            <v>CENCOMLD - Cencosud SA - Mendoza</v>
          </cell>
          <cell r="BZ255" t="str">
            <v>CENCOMLD - Cencosud SA - Mendoza</v>
          </cell>
          <cell r="CA255" t="str">
            <v>CENCOMLD - Cencosud SA - Mendoza</v>
          </cell>
          <cell r="CB255" t="str">
            <v>CENCOMLD - Cencosud SA - Mendoza</v>
          </cell>
          <cell r="CC255" t="str">
            <v>CENCOMLD - Cencosud SA - Mendoza</v>
          </cell>
          <cell r="CD255" t="str">
            <v>CENCOMLD - Cencosud SA - Mendoza</v>
          </cell>
          <cell r="CE255" t="str">
            <v>CENCOMLD - Cencosud SA - Mendoza</v>
          </cell>
          <cell r="CF255" t="str">
            <v>CENCOMLD - Cencosud SA - Mendoza</v>
          </cell>
          <cell r="CG255" t="str">
            <v>CENCOMLD - Cencosud SA - Mendoza</v>
          </cell>
          <cell r="CH255" t="str">
            <v>CENCOMLD - Cencosud SA - Mendoza</v>
          </cell>
          <cell r="CI255" t="str">
            <v>CENCOMLD - Cencosud SA - Mendoza</v>
          </cell>
          <cell r="CJ255" t="str">
            <v>CENCOMLD - Cencosud SA - Mendoza</v>
          </cell>
          <cell r="CK255" t="str">
            <v>CENCOMLD - Cencosud SA - Mendoza</v>
          </cell>
          <cell r="CL255" t="str">
            <v>CENCOMLD - Cencosud SA - Mendoza</v>
          </cell>
          <cell r="CM255" t="str">
            <v>CENCOMLD - Cencosud SA - Mendoza</v>
          </cell>
          <cell r="CN255" t="str">
            <v>CENCOMLD - Cencosud SA - Mendoza</v>
          </cell>
          <cell r="CO255" t="str">
            <v>CENCOMLD - Cencosud SA - Mendoza</v>
          </cell>
          <cell r="CP255" t="str">
            <v>CENCOMLD - Cencosud SA - Mendoza</v>
          </cell>
          <cell r="CQ255" t="str">
            <v>CENCOMLD - Cencosud SA - Mendoza</v>
          </cell>
          <cell r="CR255" t="str">
            <v>CENCOMLD - Cencosud SA - Mendoza</v>
          </cell>
          <cell r="CS255" t="str">
            <v>CENCOMLD - Cencosud SA - Mendoza</v>
          </cell>
          <cell r="CT255" t="str">
            <v>CENCOMLD - Cencosud SA - Mendoza</v>
          </cell>
          <cell r="CU255" t="str">
            <v>CENCOMLD - Cencosud SA - Mendoza</v>
          </cell>
          <cell r="CV255" t="str">
            <v>CENCOMLD - Cencosud SA - Mendoza</v>
          </cell>
          <cell r="CW255" t="str">
            <v>CENCOMLD - Cencosud SA - Mendoza</v>
          </cell>
        </row>
        <row r="256">
          <cell r="D256" t="str">
            <v>AF371BF</v>
          </cell>
          <cell r="E256" t="str">
            <v>Semiremolque</v>
          </cell>
          <cell r="F256" t="str">
            <v>Semiremolque</v>
          </cell>
          <cell r="G256" t="str">
            <v>Semiremolque Sider 14,5m 28P</v>
          </cell>
          <cell r="N256" t="str">
            <v>DYLASA</v>
          </cell>
          <cell r="O256" t="str">
            <v>DYLASA</v>
          </cell>
          <cell r="P256" t="str">
            <v>No</v>
          </cell>
          <cell r="Q256" t="str">
            <v>Propio</v>
          </cell>
          <cell r="R256">
            <v>28</v>
          </cell>
          <cell r="S256" t="str">
            <v>Propio</v>
          </cell>
          <cell r="T256" t="str">
            <v>HERMANN</v>
          </cell>
          <cell r="U256" t="str">
            <v>8EHSPA3E0NA000064</v>
          </cell>
          <cell r="V256">
            <v>2022</v>
          </cell>
          <cell r="W256" t="str">
            <v>8EHSPA3E0NA000064</v>
          </cell>
          <cell r="X256">
            <v>2022</v>
          </cell>
          <cell r="Y256">
            <v>4</v>
          </cell>
          <cell r="BC256" t="str">
            <v>ADA_CH - Danone Arg. S.A. - Chascomus</v>
          </cell>
          <cell r="BD256" t="str">
            <v>ADA_CH - Danone Arg. S.A. - Chascomus</v>
          </cell>
          <cell r="BE256" t="str">
            <v>ADA_CH - Danone Arg. S.A. - Chascomus</v>
          </cell>
          <cell r="BF256" t="str">
            <v>ADA_CH - Danone Arg. S.A. - Chascomus</v>
          </cell>
          <cell r="BG256" t="str">
            <v>CENCO_MZ - Cencosud SA - Mendoza</v>
          </cell>
          <cell r="BH256" t="str">
            <v>CENCO_MZ - Cencosud SA - Mendoza</v>
          </cell>
          <cell r="BI256" t="str">
            <v>CENCO_MZ - Cencosud SA - Mendoza</v>
          </cell>
          <cell r="BJ256" t="str">
            <v>CENCO_MZ - Cencosud SA - Mendoza</v>
          </cell>
          <cell r="BK256" t="str">
            <v>CENCO_MZ - Cencosud SA - Mendoza</v>
          </cell>
          <cell r="BL256" t="str">
            <v>CENCO_MZ - Cencosud SA - Mendoza</v>
          </cell>
          <cell r="BM256" t="str">
            <v>ADA_MZA - Danone Arg. S.A. - MZA</v>
          </cell>
          <cell r="BN256" t="str">
            <v>ADA_MZA - Danone Arg. S.A. - MZA</v>
          </cell>
          <cell r="BO256" t="str">
            <v>ADA_MZA - Danone Arg. S.A. - MZA</v>
          </cell>
          <cell r="BP256" t="str">
            <v>ADA_MZA - Danone Arg. S.A. - MZA</v>
          </cell>
          <cell r="BQ256" t="str">
            <v>ADA_MZA - Danone Arg. S.A. - MZA</v>
          </cell>
          <cell r="BR256" t="str">
            <v>ADA_MZA - Danone Arg. S.A. - MZA</v>
          </cell>
          <cell r="BS256" t="str">
            <v>ADA_MZA - Danone Arg. S.A. - MZA</v>
          </cell>
          <cell r="BT256" t="str">
            <v>CENCOMLD - Cencosud SA - Mendoza</v>
          </cell>
          <cell r="BU256" t="str">
            <v>CENCOMLD - Cencosud SA - Mendoza</v>
          </cell>
          <cell r="BV256" t="str">
            <v>CENCOMLD - Cencosud SA - Mendoza</v>
          </cell>
          <cell r="BW256" t="str">
            <v>CENCOMLD - Cencosud SA - Mendoza</v>
          </cell>
          <cell r="BX256" t="str">
            <v>CENCOMLD - Cencosud SA - Mendoza</v>
          </cell>
          <cell r="BY256" t="str">
            <v>CENCOMLD - Cencosud SA - Mendoza</v>
          </cell>
          <cell r="BZ256" t="str">
            <v>CENCOMLD - Cencosud SA - Mendoza</v>
          </cell>
          <cell r="CA256" t="str">
            <v>CENCOMLD - Cencosud SA - Mendoza</v>
          </cell>
          <cell r="CB256" t="str">
            <v>CENCOMLD - Cencosud SA - Mendoza</v>
          </cell>
          <cell r="CC256" t="str">
            <v>CENCOMLD - Cencosud SA - Mendoza</v>
          </cell>
          <cell r="CD256" t="str">
            <v>CENCOMLD - Cencosud SA - Mendoza</v>
          </cell>
          <cell r="CE256" t="str">
            <v>CENCOMLD - Cencosud SA - Mendoza</v>
          </cell>
          <cell r="CF256" t="str">
            <v>CENCOMLD - Cencosud SA - Mendoza</v>
          </cell>
          <cell r="CG256" t="str">
            <v>CENCOMLD - Cencosud SA - Mendoza</v>
          </cell>
          <cell r="CH256" t="str">
            <v>CENCOMLD - Cencosud SA - Mendoza</v>
          </cell>
          <cell r="CI256" t="str">
            <v>CENCOMLD - Cencosud SA - Mendoza</v>
          </cell>
          <cell r="CJ256" t="str">
            <v>CENCOMLD - Cencosud SA - Mendoza</v>
          </cell>
          <cell r="CK256" t="str">
            <v>CENCOMLD - Cencosud SA - Mendoza</v>
          </cell>
          <cell r="CL256" t="str">
            <v>CENCOMLD - Cencosud SA - Mendoza</v>
          </cell>
          <cell r="CM256" t="str">
            <v>CENCOMLD - Cencosud SA - Mendoza</v>
          </cell>
          <cell r="CN256" t="str">
            <v>CENCOMLD - Cencosud SA - Mendoza</v>
          </cell>
          <cell r="CO256" t="str">
            <v>CENCOMLD - Cencosud SA - Mendoza</v>
          </cell>
          <cell r="CP256" t="str">
            <v>CENCOMLD - Cencosud SA - Mendoza</v>
          </cell>
          <cell r="CQ256" t="str">
            <v>CENCOMLD - Cencosud SA - Mendoza</v>
          </cell>
          <cell r="CR256" t="str">
            <v>CENCOMLD - Cencosud SA - Mendoza</v>
          </cell>
          <cell r="CS256" t="str">
            <v>CENCOMLD - Cencosud SA - Mendoza</v>
          </cell>
          <cell r="CT256" t="str">
            <v>CENCOMLD - Cencosud SA - Mendoza</v>
          </cell>
          <cell r="CU256" t="str">
            <v>CENCOMLD - Cencosud SA - Mendoza</v>
          </cell>
          <cell r="CV256" t="str">
            <v>CENCOMLD - Cencosud SA - Mendoza</v>
          </cell>
          <cell r="CW256" t="str">
            <v>CENCOMLD - Cencosud SA - Mendoza</v>
          </cell>
        </row>
        <row r="257">
          <cell r="D257" t="str">
            <v>HUY047</v>
          </cell>
          <cell r="E257" t="str">
            <v>Chasis</v>
          </cell>
          <cell r="F257" t="str">
            <v>Chasis</v>
          </cell>
          <cell r="G257" t="str">
            <v>Chasis</v>
          </cell>
          <cell r="N257" t="str">
            <v>CODYLSA</v>
          </cell>
          <cell r="O257" t="str">
            <v>CODYLSA</v>
          </cell>
          <cell r="P257" t="str">
            <v>No</v>
          </cell>
          <cell r="Q257" t="str">
            <v>Propio</v>
          </cell>
          <cell r="R257">
            <v>12</v>
          </cell>
          <cell r="S257" t="str">
            <v>Propio</v>
          </cell>
          <cell r="T257" t="str">
            <v>MERCEDES BENZ</v>
          </cell>
          <cell r="U257" t="str">
            <v>L-1318</v>
          </cell>
          <cell r="V257" t="str">
            <v>904976U0802824</v>
          </cell>
          <cell r="W257" t="str">
            <v>9BM6940009B627386</v>
          </cell>
          <cell r="X257">
            <v>2009</v>
          </cell>
          <cell r="Y257">
            <v>17</v>
          </cell>
          <cell r="Z257" t="str">
            <v xml:space="preserve">Unilever </v>
          </cell>
          <cell r="AA257" t="str">
            <v>Unilever - Unilever de Arg. S.A.</v>
          </cell>
          <cell r="AB257" t="str">
            <v>Unilever - Unilever de Arg. S.A.</v>
          </cell>
          <cell r="AC257" t="str">
            <v>Unilever - Unilever de Arg. S.A.</v>
          </cell>
          <cell r="AD257" t="str">
            <v>Unilever - Unilever de Arg. S.A.</v>
          </cell>
          <cell r="AE257" t="str">
            <v>Unilever - Unilever de Arg. S.A.</v>
          </cell>
          <cell r="AF257" t="str">
            <v>Unilever - Unilever de Arg. S.A.</v>
          </cell>
          <cell r="AG257" t="str">
            <v>Unilever - Unilever de Arg. S.A.</v>
          </cell>
          <cell r="AH257" t="str">
            <v>Unilever - Unilever de Arg. S.A.</v>
          </cell>
          <cell r="AI257" t="str">
            <v>Unilever - Unilever de Arg. S.A.</v>
          </cell>
          <cell r="AJ257" t="str">
            <v>Unilever - Unilever de Arg. S.A.</v>
          </cell>
          <cell r="AK257" t="str">
            <v>JOHNSON - SC JOHNSON DE ARGENTINA SAIC</v>
          </cell>
          <cell r="AL257" t="str">
            <v>JOHNSON - SC JOHNSON DE ARGENTINA SAIC</v>
          </cell>
          <cell r="AM257" t="str">
            <v>JOHNSON - SC JOHNSON DE ARGENTINA SAIC</v>
          </cell>
          <cell r="AN257" t="str">
            <v>JOHNSON - SC JOHNSON DE ARGENTINA SAIC</v>
          </cell>
          <cell r="AO257" t="str">
            <v>JOHNSON - SC JOHNSON DE ARGENTINA SAIC</v>
          </cell>
          <cell r="AP257" t="str">
            <v>JOHNSON - SC JOHNSON DE ARGENTINA SAIC</v>
          </cell>
          <cell r="AQ257" t="str">
            <v>JOHNSON - SC JOHNSON DE ARGENTINA SAIC</v>
          </cell>
          <cell r="AR257" t="str">
            <v>JOHNSON - SC JOHNSON DE ARGENTINA SAIC</v>
          </cell>
          <cell r="AS257" t="str">
            <v>JOHNSON - SC JOHNSON DE ARGENTINA SAIC</v>
          </cell>
          <cell r="AT257" t="str">
            <v>JOHNSON - SC JOHNSON DE ARGENTINA SAIC</v>
          </cell>
          <cell r="AU257" t="str">
            <v>JOHNSON - SC JOHNSON DE ARGENTINA SAIC</v>
          </cell>
          <cell r="AV257" t="str">
            <v>JOHNSON - SC JOHNSON DE ARGENTINA SAIC</v>
          </cell>
          <cell r="AW257" t="str">
            <v>JOHNSON - SC JOHNSON DE ARGENTINA SAIC</v>
          </cell>
          <cell r="AX257" t="str">
            <v>JOHNSON - SC JOHNSON DE ARGENTINA SAIC</v>
          </cell>
          <cell r="AY257" t="str">
            <v>JOHNSON - SC JOHNSON DE ARGENTINA SAIC</v>
          </cell>
          <cell r="AZ257" t="str">
            <v>JOHNSON - SC JOHNSON DE ARGENTINA SAIC</v>
          </cell>
          <cell r="BA257" t="str">
            <v>JOHNSON - SC JOHNSON DE ARGENTINA SAIC</v>
          </cell>
          <cell r="BB257" t="str">
            <v>JOHNSON - SC JOHNSON DE ARGENTINA SAIC</v>
          </cell>
          <cell r="BC257" t="str">
            <v>JOHNSON - SC JOHNSON DE ARGENTINA SAIC</v>
          </cell>
          <cell r="BD257" t="str">
            <v>JOHNSON - SC JOHNSON DE ARGENTINA SAIC</v>
          </cell>
          <cell r="BE257" t="str">
            <v>JOHNSON - SC JOHNSON DE ARGENTINA SAIC</v>
          </cell>
          <cell r="BF257" t="str">
            <v>Unilever - Unilever de Arg. S.A.</v>
          </cell>
          <cell r="BG257" t="str">
            <v>Unilever - Unilever de Arg. S.A.</v>
          </cell>
          <cell r="BH257" t="str">
            <v>Unilever - Unilever de Arg. S.A.</v>
          </cell>
          <cell r="BI257" t="str">
            <v>Unilever - Unilever de Arg. S.A.</v>
          </cell>
          <cell r="BJ257" t="str">
            <v>Unilever - Unilever de Arg. S.A.</v>
          </cell>
          <cell r="BK257" t="str">
            <v>Unilever - Unilever de Arg. S.A.</v>
          </cell>
          <cell r="BL257" t="str">
            <v>Unilever - Unilever de Arg. S.A.</v>
          </cell>
          <cell r="BM257" t="str">
            <v>Unilever - Unilever de Arg. S.A.</v>
          </cell>
          <cell r="BN257" t="str">
            <v>Unilever - Unilever de Arg. S.A.</v>
          </cell>
          <cell r="BO257" t="str">
            <v>Unilever - Unilever de Arg. S.A.</v>
          </cell>
          <cell r="BP257" t="str">
            <v>Unilever - Unilever de Arg. S.A.</v>
          </cell>
          <cell r="BQ257" t="str">
            <v>Unilever - Unilever de Arg. S.A.</v>
          </cell>
          <cell r="BR257" t="str">
            <v>Unilever - Unilever de Arg. S.A.</v>
          </cell>
          <cell r="BS257" t="str">
            <v>Unilever - Unilever de Arg. S.A.</v>
          </cell>
          <cell r="BT257" t="str">
            <v>Unilever - Unilever de Arg. S.A.</v>
          </cell>
          <cell r="BU257" t="str">
            <v>Unilever - Unilever de Arg. S.A.</v>
          </cell>
          <cell r="BV257" t="str">
            <v>Unilever - Unilever de Arg. S.A.</v>
          </cell>
          <cell r="BW257" t="str">
            <v>Unilever - Unilever de Arg. S.A.</v>
          </cell>
          <cell r="BX257" t="str">
            <v>Unilever - Unilever de Arg. S.A.</v>
          </cell>
          <cell r="BY257" t="str">
            <v>Unilever - Unilever de Arg. S.A.</v>
          </cell>
          <cell r="BZ257" t="str">
            <v>Cook Master</v>
          </cell>
          <cell r="CA257" t="str">
            <v>Cook Master</v>
          </cell>
          <cell r="CB257" t="str">
            <v>Unilever - Unilever de Arg. S.A.</v>
          </cell>
          <cell r="CC257" t="str">
            <v>Unilever - Unilever de Arg. S.A.</v>
          </cell>
          <cell r="CD257" t="str">
            <v>Unilever - Unilever de Arg. S.A.</v>
          </cell>
          <cell r="CE257" t="str">
            <v>Unilever - Unilever de Arg. S.A.</v>
          </cell>
          <cell r="CF257" t="str">
            <v>Unilever - Unilever de Arg. S.A.</v>
          </cell>
          <cell r="CG257" t="str">
            <v>Unilever - Unilever de Arg. S.A.</v>
          </cell>
          <cell r="CH257" t="str">
            <v>Unilever - Unilever de Arg. S.A.</v>
          </cell>
          <cell r="CI257" t="str">
            <v>Unilever - Unilever de Arg. S.A.</v>
          </cell>
          <cell r="CJ257" t="str">
            <v>Unilever - Unilever de Arg. S.A.</v>
          </cell>
          <cell r="CK257" t="str">
            <v>Unilever - Unilever de Arg. S.A.</v>
          </cell>
          <cell r="CL257" t="str">
            <v>Unilever - Unilever de Arg. S.A.</v>
          </cell>
          <cell r="CM257" t="str">
            <v>JOHNSON - SC JOHNSON DE ARGENTINA SAIC</v>
          </cell>
          <cell r="CN257" t="str">
            <v>Unilever - Unilever de Arg. S.A.</v>
          </cell>
          <cell r="CO257" t="str">
            <v>Unilever - Unilever de Arg. S.A.</v>
          </cell>
          <cell r="CP257" t="str">
            <v>Unilever - Unilever de Arg. S.A.</v>
          </cell>
          <cell r="CQ257" t="str">
            <v>Unilever - Unilever de Arg. S.A.</v>
          </cell>
          <cell r="CR257" t="str">
            <v>Unilever - Unilever de Arg. S.A.</v>
          </cell>
          <cell r="CS257" t="str">
            <v>Unilever - Unilever de Arg. S.A.</v>
          </cell>
          <cell r="CT257" t="str">
            <v>Unilever - Unilever de Arg. S.A.</v>
          </cell>
          <cell r="CU257" t="str">
            <v>Unilever - Unilever de Arg. S.A.</v>
          </cell>
          <cell r="CV257" t="str">
            <v>Unilever - Unilever de Arg. S.A.</v>
          </cell>
          <cell r="CW257" t="str">
            <v>Unilever - Unilever de Arg. S.A.</v>
          </cell>
        </row>
        <row r="258">
          <cell r="D258" t="str">
            <v>HXL135</v>
          </cell>
          <cell r="E258" t="str">
            <v>Chasis</v>
          </cell>
          <cell r="F258">
            <v>0</v>
          </cell>
          <cell r="G258" t="str">
            <v>Chasis</v>
          </cell>
          <cell r="N258" t="str">
            <v>GIRON ELIBERTO</v>
          </cell>
          <cell r="O258" t="str">
            <v>GIRON ELIBERTO</v>
          </cell>
          <cell r="P258" t="str">
            <v>No</v>
          </cell>
          <cell r="Q258" t="str">
            <v>De Tercero</v>
          </cell>
          <cell r="R258" t="str">
            <v>-</v>
          </cell>
          <cell r="S258" t="str">
            <v>De Tercero</v>
          </cell>
          <cell r="T258" t="str">
            <v>MERCEDES BENZ</v>
          </cell>
          <cell r="U258" t="str">
            <v>L 1624</v>
          </cell>
          <cell r="V258">
            <v>2009</v>
          </cell>
          <cell r="W258">
            <v>17</v>
          </cell>
          <cell r="X258">
            <v>2009</v>
          </cell>
          <cell r="Y258">
            <v>17</v>
          </cell>
          <cell r="Z258" t="str">
            <v xml:space="preserve">Aguanort </v>
          </cell>
          <cell r="AA258" t="str">
            <v>AGN_TTE - AGUANORT - Transporte</v>
          </cell>
          <cell r="AB258" t="str">
            <v>AGN_TTE - AGUANORT - Transporte</v>
          </cell>
          <cell r="AC258" t="str">
            <v>AGN_TTE - AGUANORT - Transporte</v>
          </cell>
          <cell r="AD258" t="str">
            <v>AGN_TTE - AGUANORT - Transporte</v>
          </cell>
          <cell r="AE258" t="str">
            <v>AGN_TTE - AGUANORT - Transporte</v>
          </cell>
          <cell r="AF258" t="str">
            <v>AGN_TTE - AGUANORT - Transporte</v>
          </cell>
          <cell r="AG258" t="str">
            <v>AGN_TTE - AGUANORT - Transporte</v>
          </cell>
          <cell r="AH258" t="str">
            <v>AGN_TTE - AGUANORT - Transporte</v>
          </cell>
          <cell r="AI258" t="str">
            <v>AGN_TTE - AGUANORT - Transporte</v>
          </cell>
          <cell r="AJ258" t="str">
            <v>AGN_TTE - AGUANORT - Transporte</v>
          </cell>
          <cell r="AK258" t="str">
            <v>AGN_TTE - AGUANORT - Transporte</v>
          </cell>
          <cell r="AL258" t="str">
            <v>AGN_TTE - AGUANORT - Transporte</v>
          </cell>
          <cell r="AM258" t="str">
            <v>AGN_TTE - AGUANORT - Transporte</v>
          </cell>
          <cell r="AN258" t="str">
            <v>AGN_TTE - AGUANORT - Transporte</v>
          </cell>
          <cell r="AO258" t="str">
            <v>AGN_TTE - AGUANORT - Transporte</v>
          </cell>
          <cell r="AP258" t="str">
            <v>AGN_TTE - AGUANORT - Transporte</v>
          </cell>
          <cell r="AQ258" t="str">
            <v>AGN_TTE - AGUANORT - Transporte</v>
          </cell>
          <cell r="AR258" t="str">
            <v>AGN_TTE - AGUANORT - Transporte</v>
          </cell>
          <cell r="AS258" t="str">
            <v>AGN_TTE - AGUANORT - Transporte</v>
          </cell>
          <cell r="AT258" t="str">
            <v>AGN_TTE - AGUANORT - Transporte</v>
          </cell>
          <cell r="AU258" t="str">
            <v>AGN_TTE - AGUANORT - Transporte</v>
          </cell>
          <cell r="AV258" t="str">
            <v>AGN_TTE - AGUANORT - Transporte</v>
          </cell>
          <cell r="AW258" t="str">
            <v>AGN_TTE - AGUANORT - Transporte</v>
          </cell>
          <cell r="AX258" t="str">
            <v>AGN_TTE - AGUANORT - Transporte</v>
          </cell>
          <cell r="AY258" t="str">
            <v>AGN_TTE - AGUANORT - Transporte</v>
          </cell>
          <cell r="AZ258" t="str">
            <v>AGN_TTE - AGUANORT - Transporte</v>
          </cell>
          <cell r="BA258" t="str">
            <v>AGN_TTE - AGUANORT - Transporte</v>
          </cell>
          <cell r="BB258" t="str">
            <v>AGN_TTE - AGUANORT - Transporte</v>
          </cell>
          <cell r="BC258" t="str">
            <v>AGN_TTE - AGUANORT - Transporte</v>
          </cell>
          <cell r="BD258" t="str">
            <v>AGN_TTE - AGUANORT - Transporte</v>
          </cell>
          <cell r="BE258" t="str">
            <v>AGN_TTE - AGUANORT - Transporte</v>
          </cell>
          <cell r="BF258" t="str">
            <v>AGN_TTE - AGUANORT - Transporte</v>
          </cell>
          <cell r="BG258" t="str">
            <v>AGN_TTE - AGUANORT - Transporte</v>
          </cell>
          <cell r="BH258" t="str">
            <v>AGN_TTE - AGUANORT - Transporte</v>
          </cell>
          <cell r="BI258" t="str">
            <v>AGN_TTE - AGUANORT - Transporte</v>
          </cell>
          <cell r="BJ258" t="str">
            <v>AGN_TTE - AGUANORT - Transporte</v>
          </cell>
          <cell r="BK258" t="str">
            <v>AGN_TTE - AGUANORT - Transporte</v>
          </cell>
          <cell r="BL258" t="str">
            <v>AGN_TTE - AGUANORT - Transporte</v>
          </cell>
          <cell r="BM258" t="str">
            <v>AGN_TTE - AGUANORT - Transporte</v>
          </cell>
          <cell r="BN258" t="str">
            <v>AGN_TTE - AGUANORT - Transporte</v>
          </cell>
          <cell r="BO258" t="str">
            <v>AGN_TTE - AGUANORT - Transporte</v>
          </cell>
          <cell r="BP258" t="str">
            <v>AGN_TTE - AGUANORT - Transporte</v>
          </cell>
          <cell r="BQ258" t="str">
            <v>AGN_TTE - AGUANORT - Transporte</v>
          </cell>
          <cell r="BR258" t="str">
            <v>AGN_TTE - AGUANORT - Transporte</v>
          </cell>
          <cell r="BS258" t="str">
            <v>AGN_TTE - AGUANORT - Transporte</v>
          </cell>
          <cell r="BT258" t="str">
            <v>AGN_TTE - AGUANORT - Transporte</v>
          </cell>
          <cell r="BU258" t="str">
            <v>Sin Operación</v>
          </cell>
          <cell r="BV258" t="str">
            <v>AGN_TTE - AGUANORT - Transporte</v>
          </cell>
          <cell r="BW258" t="str">
            <v>AGN_TTE - AGUANORT - Transporte</v>
          </cell>
          <cell r="BX258" t="str">
            <v>AGN_TTE - AGUANORT - Transporte</v>
          </cell>
          <cell r="BY258" t="str">
            <v>AGN_TTE - AGUANORT - Transporte</v>
          </cell>
          <cell r="BZ258" t="str">
            <v>AGN_TTE - AGUANORT - Transporte</v>
          </cell>
          <cell r="CA258" t="str">
            <v>AGN_TTE - AGUANORT - Transporte</v>
          </cell>
          <cell r="CB258" t="str">
            <v>AGN_TTE - AGUANORT - Transporte</v>
          </cell>
          <cell r="CC258" t="str">
            <v>AGN_TTE - AGUANORT - Transporte</v>
          </cell>
          <cell r="CD258" t="str">
            <v>AGN_TTE - AGUANORT - Transporte</v>
          </cell>
          <cell r="CE258" t="str">
            <v>AGN_TTE - AGUANORT - Transporte</v>
          </cell>
          <cell r="CF258" t="str">
            <v>AGN_TTE - AGUANORT - Transporte</v>
          </cell>
          <cell r="CG258" t="str">
            <v>AGN_TTE - AGUANORT - Transporte</v>
          </cell>
          <cell r="CH258" t="str">
            <v>AGN_TTE - AGUANORT - Transporte</v>
          </cell>
          <cell r="CI258" t="str">
            <v>AGN_TTE - AGUANORT - Transporte</v>
          </cell>
          <cell r="CJ258" t="str">
            <v>AGN_TTE - AGUANORT - Transporte</v>
          </cell>
          <cell r="CK258" t="str">
            <v>AGN_TTE - AGUANORT - Transporte</v>
          </cell>
          <cell r="CL258" t="str">
            <v>AGN_TTE - AGUANORT - Transporte</v>
          </cell>
          <cell r="CM258" t="str">
            <v>AGN_TTE - AGUANORT - Transporte</v>
          </cell>
          <cell r="CN258" t="str">
            <v>AGN_TTE - AGUANORT - Transporte</v>
          </cell>
          <cell r="CO258" t="str">
            <v>AGN_TTE - AGUANORT - Transporte</v>
          </cell>
          <cell r="CP258" t="str">
            <v>AGN_TTE - AGUANORT - Transporte</v>
          </cell>
          <cell r="CQ258" t="str">
            <v>AGN_TTE - AGUANORT - Transporte</v>
          </cell>
          <cell r="CR258" t="str">
            <v>AGN_TTE - AGUANORT - Transporte</v>
          </cell>
          <cell r="CS258" t="str">
            <v>AGN_TTE - AGUANORT - Transporte</v>
          </cell>
          <cell r="CT258" t="str">
            <v>AGN_TTE - AGUANORT - Transporte</v>
          </cell>
          <cell r="CU258" t="str">
            <v>AGN_TTE - AGUANORT - Transporte</v>
          </cell>
          <cell r="CV258" t="str">
            <v>AGN_TTE - AGUANORT - Transporte</v>
          </cell>
          <cell r="CW258" t="str">
            <v>AGN_TTE - AGUANORT - Transporte</v>
          </cell>
        </row>
        <row r="259">
          <cell r="D259" t="str">
            <v>IBB073</v>
          </cell>
          <cell r="E259" t="str">
            <v>Semiremolque</v>
          </cell>
          <cell r="F259" t="str">
            <v>Semiremolque</v>
          </cell>
          <cell r="G259" t="str">
            <v>Semiremolque Sider 15,5m 30P</v>
          </cell>
          <cell r="N259" t="str">
            <v>CODYLSA</v>
          </cell>
          <cell r="O259" t="str">
            <v>CODYLSA</v>
          </cell>
          <cell r="P259" t="str">
            <v>No</v>
          </cell>
          <cell r="Q259" t="str">
            <v>Propio</v>
          </cell>
          <cell r="R259">
            <v>30</v>
          </cell>
          <cell r="S259" t="str">
            <v>Propio</v>
          </cell>
          <cell r="T259" t="str">
            <v>HERMANN</v>
          </cell>
          <cell r="U259" t="str">
            <v>S PA 3E 71</v>
          </cell>
          <cell r="V259">
            <v>0</v>
          </cell>
          <cell r="W259" t="str">
            <v>8EHSPA3E09A000351</v>
          </cell>
          <cell r="X259">
            <v>2009</v>
          </cell>
          <cell r="Y259">
            <v>17</v>
          </cell>
          <cell r="Z259" t="str">
            <v>Danone Mendoza</v>
          </cell>
          <cell r="AA259" t="str">
            <v>ADA_MZA - Danone Arg. S.A. - MZA</v>
          </cell>
          <cell r="AB259" t="str">
            <v>ADA_MZA - Danone Arg. S.A. - MZA</v>
          </cell>
          <cell r="AC259" t="str">
            <v>ADA_MZA - Danone Arg. S.A. - MZA</v>
          </cell>
          <cell r="AD259" t="str">
            <v>ADA_MZA - Danone Arg. S.A. - MZA</v>
          </cell>
          <cell r="AE259" t="str">
            <v>ADA_MZA - Danone Arg. S.A. - MZA</v>
          </cell>
          <cell r="AF259" t="str">
            <v>ADA_MZA - Danone Arg. S.A. - MZA</v>
          </cell>
          <cell r="AG259" t="str">
            <v>ADA_MZA - Danone Arg. S.A. - MZA</v>
          </cell>
          <cell r="AH259" t="str">
            <v>ADA_MZA - Danone Arg. S.A. - MZA</v>
          </cell>
          <cell r="AI259" t="str">
            <v>ADA_MZA - Danone Arg. S.A. - MZA</v>
          </cell>
          <cell r="AJ259" t="str">
            <v>ADA_MZA - Danone Arg. S.A. - MZA</v>
          </cell>
          <cell r="AK259" t="str">
            <v>ADA_MZA - Danone Arg. S.A. - MZA</v>
          </cell>
          <cell r="AL259" t="str">
            <v>ADA_MZA - Danone Arg. S.A. - MZA</v>
          </cell>
          <cell r="AM259" t="str">
            <v>ADA_MZA - Danone Arg. S.A. - MZA</v>
          </cell>
          <cell r="AN259" t="str">
            <v>ADA_MZA - Danone Arg. S.A. - MZA</v>
          </cell>
          <cell r="AO259" t="str">
            <v>ADA_MZA - Danone Arg. S.A. - MZA</v>
          </cell>
          <cell r="AP259" t="str">
            <v>ADA_MZA - Danone Arg. S.A. - MZA</v>
          </cell>
          <cell r="AQ259" t="str">
            <v>ADA_MZA - Danone Arg. S.A. - MZA</v>
          </cell>
          <cell r="AR259" t="str">
            <v>ADA_MZA - Danone Arg. S.A. - MZA</v>
          </cell>
          <cell r="AS259" t="str">
            <v>ADA_MZA - Danone Arg. S.A. - MZA</v>
          </cell>
          <cell r="AT259" t="str">
            <v>ADA_MZA - Danone Arg. S.A. - MZA</v>
          </cell>
          <cell r="AU259" t="str">
            <v>ADA_MZA - Danone Arg. S.A. - MZA</v>
          </cell>
          <cell r="AV259" t="str">
            <v>ADA_MZA - Danone Arg. S.A. - MZA</v>
          </cell>
          <cell r="AW259" t="str">
            <v>ADA_MZA - Danone Arg. S.A. - MZA</v>
          </cell>
          <cell r="AX259" t="str">
            <v>ADA_MZA - Danone Arg. S.A. - MZA</v>
          </cell>
          <cell r="AY259" t="str">
            <v>ADA_MZA - Danone Arg. S.A. - MZA</v>
          </cell>
          <cell r="AZ259" t="str">
            <v>ADA_MZA - Danone Arg. S.A. - MZA</v>
          </cell>
          <cell r="BA259" t="str">
            <v>ADA_MZA - Danone Arg. S.A. - MZA</v>
          </cell>
          <cell r="BB259" t="str">
            <v>ADA_MZA - Danone Arg. S.A. - MZA</v>
          </cell>
          <cell r="BC259" t="str">
            <v>ADA_MZA - Danone Arg. S.A. - MZA</v>
          </cell>
          <cell r="BD259" t="str">
            <v>ADA_MZA - Danone Arg. S.A. - MZA</v>
          </cell>
          <cell r="BE259" t="str">
            <v>ADA_MZA - Danone Arg. S.A. - MZA</v>
          </cell>
          <cell r="BF259" t="str">
            <v>ADA_MZA - Danone Arg. S.A. - MZA</v>
          </cell>
          <cell r="BG259" t="str">
            <v>ADA_MZA - Danone Arg. S.A. - MZA</v>
          </cell>
          <cell r="BH259" t="str">
            <v>ADA_MZA - Danone Arg. S.A. - MZA</v>
          </cell>
          <cell r="BI259" t="str">
            <v>ADA_MZA - Danone Arg. S.A. - MZA</v>
          </cell>
          <cell r="BJ259" t="str">
            <v>ADA_MZA - Danone Arg. S.A. - MZA</v>
          </cell>
          <cell r="BK259" t="str">
            <v>ADA_MZA - Danone Arg. S.A. - MZA</v>
          </cell>
          <cell r="BL259" t="str">
            <v>ADA_MZA - Danone Arg. S.A. - MZA</v>
          </cell>
          <cell r="BM259" t="str">
            <v>ADA_MZA - Danone Arg. S.A. - MZA</v>
          </cell>
          <cell r="BN259" t="str">
            <v>ADA_MZA - Danone Arg. S.A. - MZA</v>
          </cell>
          <cell r="BO259" t="str">
            <v>ADA_MZA - Danone Arg. S.A. - MZA</v>
          </cell>
          <cell r="BP259" t="str">
            <v>ADA_MZA - Danone Arg. S.A. - MZA</v>
          </cell>
          <cell r="BQ259" t="str">
            <v>ADA_MZA - Danone Arg. S.A. - MZA</v>
          </cell>
          <cell r="BR259" t="str">
            <v>ADA_MZA - Danone Arg. S.A. - MZA</v>
          </cell>
          <cell r="BS259" t="str">
            <v>ADA_MZA - Danone Arg. S.A. - MZA</v>
          </cell>
          <cell r="BT259" t="str">
            <v>Sin Operación</v>
          </cell>
          <cell r="BU259" t="str">
            <v>Sin Operación</v>
          </cell>
          <cell r="BV259" t="str">
            <v>Sin Operación</v>
          </cell>
          <cell r="BW259" t="str">
            <v>Sin Operación</v>
          </cell>
          <cell r="BX259" t="str">
            <v>Expreso - Servicios Troncales</v>
          </cell>
          <cell r="BY259" t="str">
            <v>Expreso - Servicios Troncales</v>
          </cell>
          <cell r="BZ259" t="str">
            <v>Expreso - Servicios Troncales</v>
          </cell>
          <cell r="CA259" t="str">
            <v>Expreso - Servicios Troncales</v>
          </cell>
          <cell r="CB259" t="str">
            <v>Expreso - Servicios Troncales</v>
          </cell>
          <cell r="CC259" t="str">
            <v>Expreso - Servicios Troncales</v>
          </cell>
          <cell r="CD259" t="str">
            <v>Expreso - Servicios Troncales</v>
          </cell>
          <cell r="CE259" t="str">
            <v>Expreso - Servicios Troncales</v>
          </cell>
          <cell r="CF259" t="str">
            <v>Expreso - Servicios Troncales</v>
          </cell>
          <cell r="CG259" t="str">
            <v>Expreso - Servicios Troncales</v>
          </cell>
          <cell r="CH259" t="str">
            <v>Expreso - Servicios Troncales</v>
          </cell>
          <cell r="CI259" t="str">
            <v>Expreso - Servicios Troncales</v>
          </cell>
          <cell r="CJ259" t="str">
            <v>Expreso - Servicios Troncales</v>
          </cell>
          <cell r="CK259" t="str">
            <v>Expreso - Servicios Troncales</v>
          </cell>
          <cell r="CL259" t="str">
            <v>Expreso - Servicios Troncales</v>
          </cell>
          <cell r="CM259" t="str">
            <v>Expreso - Servicios Troncales</v>
          </cell>
          <cell r="CN259" t="str">
            <v>Expreso - Servicios Troncales</v>
          </cell>
          <cell r="CO259" t="str">
            <v>Expreso - Servicios Troncales</v>
          </cell>
          <cell r="CP259" t="str">
            <v>Expreso - Servicios Troncales</v>
          </cell>
          <cell r="CQ259" t="str">
            <v>Expreso - Servicios Troncales</v>
          </cell>
          <cell r="CR259" t="str">
            <v>Expreso - Servicios Troncales</v>
          </cell>
          <cell r="CS259" t="str">
            <v>Expreso - Servicios Troncales</v>
          </cell>
          <cell r="CT259" t="str">
            <v>Expreso - Servicios Troncales</v>
          </cell>
          <cell r="CU259" t="str">
            <v>Expreso - Servicios Troncales</v>
          </cell>
          <cell r="CV259" t="str">
            <v>Expreso - Servicios Troncales</v>
          </cell>
          <cell r="CW259" t="str">
            <v>Expreso - Servicios Troncales</v>
          </cell>
        </row>
        <row r="260">
          <cell r="D260" t="str">
            <v>IBB074</v>
          </cell>
          <cell r="E260" t="str">
            <v>Semiremolque</v>
          </cell>
          <cell r="F260" t="str">
            <v>Semiremolque</v>
          </cell>
          <cell r="G260" t="str">
            <v>Semiremolque Sider 15,5m 30P</v>
          </cell>
          <cell r="N260" t="str">
            <v>CODYLSA</v>
          </cell>
          <cell r="O260" t="str">
            <v>CODYLSA</v>
          </cell>
          <cell r="P260" t="str">
            <v>No</v>
          </cell>
          <cell r="Q260" t="str">
            <v>Propio</v>
          </cell>
          <cell r="R260">
            <v>30</v>
          </cell>
          <cell r="S260" t="str">
            <v>Propio</v>
          </cell>
          <cell r="T260" t="str">
            <v>HERMANN</v>
          </cell>
          <cell r="U260" t="str">
            <v>S PA 3E 71</v>
          </cell>
          <cell r="V260">
            <v>0</v>
          </cell>
          <cell r="W260" t="str">
            <v>8EHSPA3E09A000350</v>
          </cell>
          <cell r="X260">
            <v>2009</v>
          </cell>
          <cell r="Y260">
            <v>17</v>
          </cell>
          <cell r="Z260" t="str">
            <v>Malargue</v>
          </cell>
          <cell r="AA260" t="str">
            <v>Expreso - Servicios Troncales</v>
          </cell>
          <cell r="AB260" t="str">
            <v>Expreso - Servicios Troncales</v>
          </cell>
          <cell r="AC260" t="str">
            <v>Expreso - Servicios Troncales</v>
          </cell>
          <cell r="AD260" t="str">
            <v>Expreso - Servicios Troncales</v>
          </cell>
          <cell r="AE260" t="str">
            <v>Expreso - Servicios Troncales</v>
          </cell>
          <cell r="AF260" t="str">
            <v>Expreso - Servicios Troncales</v>
          </cell>
          <cell r="AG260" t="str">
            <v>Expreso - Servicios Troncales</v>
          </cell>
          <cell r="AH260" t="str">
            <v>Expreso - Servicios Troncales</v>
          </cell>
          <cell r="AI260" t="str">
            <v>Expreso - Servicios Troncales</v>
          </cell>
          <cell r="AJ260" t="str">
            <v>Expreso - Servicios Troncales</v>
          </cell>
          <cell r="AK260" t="str">
            <v>Expreso - Servicios Troncales</v>
          </cell>
          <cell r="AL260" t="str">
            <v>Expreso - Servicios Troncales</v>
          </cell>
          <cell r="AM260" t="str">
            <v>Expreso - Servicios Troncales</v>
          </cell>
          <cell r="AN260" t="str">
            <v>Expreso - Servicios Troncales</v>
          </cell>
          <cell r="AO260" t="str">
            <v>Expreso - Servicios Troncales</v>
          </cell>
          <cell r="AP260" t="str">
            <v>Expreso - Servicios Troncales</v>
          </cell>
          <cell r="AQ260" t="str">
            <v>Expreso - Servicios Troncales</v>
          </cell>
          <cell r="AR260" t="str">
            <v>Expreso - Servicios Troncales</v>
          </cell>
          <cell r="AS260" t="str">
            <v>Expreso - Servicios Troncales</v>
          </cell>
          <cell r="AT260" t="str">
            <v>Expreso - Servicios Troncales</v>
          </cell>
          <cell r="AU260" t="str">
            <v>Expreso - Servicios Troncales</v>
          </cell>
          <cell r="AV260" t="str">
            <v>Expreso - Servicios Troncales</v>
          </cell>
          <cell r="AW260" t="str">
            <v>Expreso - Servicios Troncales</v>
          </cell>
          <cell r="AX260" t="str">
            <v>Expreso - Servicios Troncales</v>
          </cell>
          <cell r="AY260" t="str">
            <v>Expreso - Servicios Troncales</v>
          </cell>
          <cell r="AZ260" t="str">
            <v>Expreso - Servicios Troncales</v>
          </cell>
          <cell r="BA260" t="str">
            <v>Expreso - Servicios Troncales</v>
          </cell>
          <cell r="BB260" t="str">
            <v>Expreso - Servicios Troncales</v>
          </cell>
          <cell r="BC260" t="str">
            <v>Expreso - Servicios Troncales</v>
          </cell>
          <cell r="BD260" t="str">
            <v>Expreso - Servicios Troncales</v>
          </cell>
          <cell r="BE260" t="str">
            <v>Expreso - Servicios Troncales</v>
          </cell>
          <cell r="BF260" t="str">
            <v>Expreso - Servicios Troncales</v>
          </cell>
          <cell r="BG260" t="str">
            <v>Expreso - Servicios Troncales</v>
          </cell>
          <cell r="BH260" t="str">
            <v>Expreso - Servicios Troncales</v>
          </cell>
          <cell r="BI260" t="str">
            <v>Expreso - Servicios Troncales</v>
          </cell>
          <cell r="BJ260" t="str">
            <v>Expreso - Servicios Troncales</v>
          </cell>
          <cell r="BK260" t="str">
            <v>Expreso - Servicios Troncales</v>
          </cell>
          <cell r="BL260" t="str">
            <v>Expreso - Servicios Troncales</v>
          </cell>
          <cell r="BM260" t="str">
            <v>Expreso - Servicios Troncales</v>
          </cell>
          <cell r="BN260" t="str">
            <v>Expreso - Servicios Troncales</v>
          </cell>
          <cell r="BO260" t="str">
            <v>Expreso - Servicios Troncales</v>
          </cell>
          <cell r="BP260" t="str">
            <v>Expreso - Servicios Troncales</v>
          </cell>
          <cell r="BQ260" t="str">
            <v>Expreso - Servicios Troncales</v>
          </cell>
          <cell r="BR260" t="str">
            <v>Expreso - Servicios Troncales</v>
          </cell>
          <cell r="BS260" t="str">
            <v>Expreso - Servicios Troncales</v>
          </cell>
          <cell r="BT260" t="str">
            <v>Expreso - Servicios Troncales</v>
          </cell>
          <cell r="BU260" t="str">
            <v>Expreso - Servicios Troncales</v>
          </cell>
          <cell r="BV260" t="str">
            <v>Expreso - Servicios Troncales</v>
          </cell>
          <cell r="BW260" t="str">
            <v>Expreso - Servicios Troncales</v>
          </cell>
          <cell r="BX260" t="str">
            <v>Expreso - Servicios Troncales</v>
          </cell>
          <cell r="BY260" t="str">
            <v>Expreso - Servicios Troncales</v>
          </cell>
          <cell r="BZ260" t="str">
            <v>Expreso - Servicios Troncales</v>
          </cell>
          <cell r="CA260" t="str">
            <v>Expreso - Servicios Troncales</v>
          </cell>
          <cell r="CB260" t="str">
            <v>Expreso - Servicios Troncales</v>
          </cell>
          <cell r="CC260" t="str">
            <v>Expreso - Servicios Troncales</v>
          </cell>
          <cell r="CD260" t="str">
            <v>Expreso - Servicios Troncales</v>
          </cell>
          <cell r="CE260" t="str">
            <v>Expreso - Servicios Troncales</v>
          </cell>
          <cell r="CF260" t="str">
            <v>Expreso - Servicios Troncales</v>
          </cell>
          <cell r="CG260" t="str">
            <v>Expreso - Servicios Troncales</v>
          </cell>
          <cell r="CH260" t="str">
            <v>Expreso - Servicios Troncales</v>
          </cell>
          <cell r="CI260" t="str">
            <v>Expreso - Servicios Troncales</v>
          </cell>
          <cell r="CJ260" t="str">
            <v>Expreso - Servicios Troncales</v>
          </cell>
          <cell r="CK260" t="str">
            <v>Expreso - Servicios Troncales</v>
          </cell>
          <cell r="CL260" t="str">
            <v>Expreso - Servicios Troncales</v>
          </cell>
          <cell r="CM260" t="str">
            <v>Expreso - Servicios Troncales</v>
          </cell>
          <cell r="CN260" t="str">
            <v>Expreso - Servicios Troncales</v>
          </cell>
          <cell r="CO260" t="str">
            <v>Expreso - Servicios Troncales</v>
          </cell>
          <cell r="CP260" t="str">
            <v>Expreso - Servicios Troncales</v>
          </cell>
          <cell r="CQ260" t="str">
            <v>Expreso - Servicios Troncales</v>
          </cell>
          <cell r="CR260" t="str">
            <v>Expreso - Servicios Troncales</v>
          </cell>
          <cell r="CS260" t="str">
            <v>Expreso - Servicios Troncales</v>
          </cell>
          <cell r="CT260" t="str">
            <v>Expreso - Servicios Troncales</v>
          </cell>
          <cell r="CU260" t="str">
            <v>Expreso - Servicios Troncales</v>
          </cell>
          <cell r="CV260" t="str">
            <v>Expreso - Servicios Troncales</v>
          </cell>
          <cell r="CW260" t="str">
            <v>Expreso - Servicios Troncales</v>
          </cell>
        </row>
        <row r="261">
          <cell r="D261" t="str">
            <v>IBB075</v>
          </cell>
          <cell r="E261" t="str">
            <v>Semiremolque</v>
          </cell>
          <cell r="F261" t="str">
            <v>Semiremolque</v>
          </cell>
          <cell r="G261" t="str">
            <v>Semiremolque Sider 15,5m 30P</v>
          </cell>
          <cell r="N261" t="str">
            <v>CODYLSA</v>
          </cell>
          <cell r="O261" t="str">
            <v>CODYLSA</v>
          </cell>
          <cell r="P261" t="str">
            <v>No</v>
          </cell>
          <cell r="Q261" t="str">
            <v>Propio</v>
          </cell>
          <cell r="R261">
            <v>30</v>
          </cell>
          <cell r="S261" t="str">
            <v>Propio</v>
          </cell>
          <cell r="T261" t="str">
            <v>HERMANN</v>
          </cell>
          <cell r="U261" t="str">
            <v>S PA 3E 71</v>
          </cell>
          <cell r="V261">
            <v>0</v>
          </cell>
          <cell r="W261" t="str">
            <v>8EHSPA3E09A000348</v>
          </cell>
          <cell r="X261">
            <v>2009</v>
          </cell>
          <cell r="Y261">
            <v>17</v>
          </cell>
          <cell r="Z261" t="str">
            <v>Malargue</v>
          </cell>
          <cell r="AA261" t="str">
            <v>Expreso - Servicios Troncales</v>
          </cell>
          <cell r="AB261" t="str">
            <v>Expreso - Servicios Troncales</v>
          </cell>
          <cell r="AC261" t="str">
            <v>Expreso - Servicios Troncales</v>
          </cell>
          <cell r="AD261" t="str">
            <v>Expreso - Servicios Troncales</v>
          </cell>
          <cell r="AE261" t="str">
            <v>Expreso - Servicios Troncales</v>
          </cell>
          <cell r="AF261" t="str">
            <v>Expreso - Servicios Troncales</v>
          </cell>
          <cell r="AG261" t="str">
            <v>Expreso - Servicios Troncales</v>
          </cell>
          <cell r="AH261" t="str">
            <v>Expreso - Servicios Troncales</v>
          </cell>
          <cell r="AI261" t="str">
            <v>Expreso - Servicios Troncales</v>
          </cell>
          <cell r="AJ261" t="str">
            <v>Expreso - Servicios Troncales</v>
          </cell>
          <cell r="AK261" t="str">
            <v>Expreso - Servicios Troncales</v>
          </cell>
          <cell r="AL261" t="str">
            <v>Expreso - Servicios Troncales</v>
          </cell>
          <cell r="AM261" t="str">
            <v>Expreso - Servicios Troncales</v>
          </cell>
          <cell r="AN261" t="str">
            <v>Expreso - Servicios Troncales</v>
          </cell>
          <cell r="AO261" t="str">
            <v>Expreso - Servicios Troncales</v>
          </cell>
          <cell r="AP261" t="str">
            <v>Expreso - Servicios Troncales</v>
          </cell>
          <cell r="AQ261" t="str">
            <v>Expreso - Servicios Troncales</v>
          </cell>
          <cell r="AR261" t="str">
            <v>Expreso - Servicios Troncales</v>
          </cell>
          <cell r="AS261" t="str">
            <v>Expreso - Servicios Troncales</v>
          </cell>
          <cell r="AT261" t="str">
            <v>Expreso - Servicios Troncales</v>
          </cell>
          <cell r="AU261" t="str">
            <v>Expreso - Servicios Troncales</v>
          </cell>
          <cell r="AV261" t="str">
            <v>Expreso - Servicios Troncales</v>
          </cell>
          <cell r="AW261" t="str">
            <v>Expreso - Servicios Troncales</v>
          </cell>
          <cell r="AX261" t="str">
            <v>Expreso - Servicios Troncales</v>
          </cell>
          <cell r="AY261" t="str">
            <v>Expreso - Servicios Troncales</v>
          </cell>
          <cell r="AZ261" t="str">
            <v>Expreso - Servicios Troncales</v>
          </cell>
          <cell r="BA261" t="str">
            <v>Expreso - Servicios Troncales</v>
          </cell>
          <cell r="BB261" t="str">
            <v>Expreso - Servicios Troncales</v>
          </cell>
          <cell r="BC261" t="str">
            <v>Expreso - Servicios Troncales</v>
          </cell>
          <cell r="BD261" t="str">
            <v>Expreso - Servicios Troncales</v>
          </cell>
          <cell r="BE261" t="str">
            <v>Expreso - Servicios Troncales</v>
          </cell>
          <cell r="BF261" t="str">
            <v>Expreso - Servicios Troncales</v>
          </cell>
          <cell r="BG261" t="str">
            <v>Expreso - Servicios Troncales</v>
          </cell>
          <cell r="BH261" t="str">
            <v>Expreso - Servicios Troncales</v>
          </cell>
          <cell r="BI261" t="str">
            <v>Expreso - Servicios Troncales</v>
          </cell>
          <cell r="BJ261" t="str">
            <v>Expreso - Servicios Troncales</v>
          </cell>
          <cell r="BK261" t="str">
            <v>Expreso - Servicios Troncales</v>
          </cell>
          <cell r="BL261" t="str">
            <v>Expreso - Servicios Troncales</v>
          </cell>
          <cell r="BM261" t="str">
            <v>Expreso - Servicios Troncales</v>
          </cell>
          <cell r="BN261" t="str">
            <v>Expreso - Servicios Troncales</v>
          </cell>
          <cell r="BO261" t="str">
            <v>Expreso - Servicios Troncales</v>
          </cell>
          <cell r="BP261" t="str">
            <v>Expreso - Servicios Troncales</v>
          </cell>
          <cell r="BQ261" t="str">
            <v>Expreso - Servicios Troncales</v>
          </cell>
          <cell r="BR261" t="str">
            <v>Expreso - Servicios Troncales</v>
          </cell>
          <cell r="BS261" t="str">
            <v>Expreso - Servicios Troncales</v>
          </cell>
          <cell r="BT261" t="str">
            <v>Expreso - Servicios Troncales</v>
          </cell>
          <cell r="BU261" t="str">
            <v>Expreso - Servicios Troncales</v>
          </cell>
          <cell r="BV261" t="str">
            <v>Expreso - Servicios Troncales</v>
          </cell>
          <cell r="BW261" t="str">
            <v>Expreso - Servicios Troncales</v>
          </cell>
          <cell r="BX261" t="str">
            <v>Expreso - Servicios Troncales</v>
          </cell>
          <cell r="BY261" t="str">
            <v>Expreso - Servicios Troncales</v>
          </cell>
          <cell r="BZ261" t="str">
            <v>Expreso - Servicios Troncales</v>
          </cell>
          <cell r="CA261" t="str">
            <v>Expreso - Servicios Troncales</v>
          </cell>
          <cell r="CB261" t="str">
            <v>Expreso - Servicios Troncales</v>
          </cell>
          <cell r="CC261" t="str">
            <v>Expreso - Servicios Troncales</v>
          </cell>
          <cell r="CD261" t="str">
            <v>Expreso - Servicios Troncales</v>
          </cell>
          <cell r="CE261" t="str">
            <v>Expreso - Servicios Troncales</v>
          </cell>
          <cell r="CF261" t="str">
            <v>Expreso - Servicios Troncales</v>
          </cell>
          <cell r="CG261" t="str">
            <v>Expreso - Servicios Troncales</v>
          </cell>
          <cell r="CH261" t="str">
            <v>Expreso - Servicios Troncales</v>
          </cell>
          <cell r="CI261" t="str">
            <v>Expreso - Servicios Troncales</v>
          </cell>
          <cell r="CJ261" t="str">
            <v>Expreso - Servicios Troncales</v>
          </cell>
          <cell r="CK261" t="str">
            <v>Expreso - Servicios Troncales</v>
          </cell>
          <cell r="CL261" t="str">
            <v>Expreso - Servicios Troncales</v>
          </cell>
          <cell r="CM261" t="str">
            <v>Expreso - Servicios Troncales</v>
          </cell>
          <cell r="CN261" t="str">
            <v>Expreso - Servicios Troncales</v>
          </cell>
          <cell r="CO261" t="str">
            <v>Expreso - Servicios Troncales</v>
          </cell>
          <cell r="CP261" t="str">
            <v>Expreso - Servicios Troncales</v>
          </cell>
          <cell r="CQ261" t="str">
            <v>Expreso - Servicios Troncales</v>
          </cell>
          <cell r="CR261" t="str">
            <v>Expreso - Servicios Troncales</v>
          </cell>
          <cell r="CS261" t="str">
            <v>Expreso - Servicios Troncales</v>
          </cell>
          <cell r="CT261" t="str">
            <v>Expreso - Servicios Troncales</v>
          </cell>
          <cell r="CU261" t="str">
            <v>Expreso - Servicios Troncales</v>
          </cell>
          <cell r="CV261" t="str">
            <v>Expreso - Servicios Troncales</v>
          </cell>
          <cell r="CW261" t="str">
            <v>Expreso - Servicios Troncales</v>
          </cell>
        </row>
        <row r="262">
          <cell r="D262" t="str">
            <v>IBB076</v>
          </cell>
          <cell r="E262" t="str">
            <v>Semiremolque</v>
          </cell>
          <cell r="F262" t="str">
            <v>Semiremolque</v>
          </cell>
          <cell r="G262" t="str">
            <v>Semiremolque Sider 15,5m 30P</v>
          </cell>
          <cell r="N262" t="str">
            <v>CODYLSA</v>
          </cell>
          <cell r="O262" t="str">
            <v>CODYLSA</v>
          </cell>
          <cell r="P262" t="str">
            <v>No</v>
          </cell>
          <cell r="Q262" t="str">
            <v>Propio</v>
          </cell>
          <cell r="R262">
            <v>30</v>
          </cell>
          <cell r="S262" t="str">
            <v>Propio</v>
          </cell>
          <cell r="T262" t="str">
            <v>HERMANN</v>
          </cell>
          <cell r="U262" t="str">
            <v>S PA 3E 71</v>
          </cell>
          <cell r="V262">
            <v>0</v>
          </cell>
          <cell r="W262" t="str">
            <v>8EHSPA3E09A000349</v>
          </cell>
          <cell r="X262">
            <v>2009</v>
          </cell>
          <cell r="Y262">
            <v>17</v>
          </cell>
          <cell r="Z262" t="str">
            <v>Danone Mendoza</v>
          </cell>
          <cell r="AA262" t="str">
            <v>ADA_MZA - Danone Arg. S.A. - MZA</v>
          </cell>
          <cell r="AB262" t="str">
            <v>ADA_MZA - Danone Arg. S.A. - MZA</v>
          </cell>
          <cell r="AC262" t="str">
            <v>ADA_MZA - Danone Arg. S.A. - MZA</v>
          </cell>
          <cell r="AD262" t="str">
            <v>ADA_MZA - Danone Arg. S.A. - MZA</v>
          </cell>
          <cell r="AE262" t="str">
            <v>ADA_MZA - Danone Arg. S.A. - MZA</v>
          </cell>
          <cell r="AF262" t="str">
            <v>ADA_MZA - Danone Arg. S.A. - MZA</v>
          </cell>
          <cell r="AG262" t="str">
            <v>ADA_MZA - Danone Arg. S.A. - MZA</v>
          </cell>
          <cell r="AH262" t="str">
            <v>ADA_MZA - Danone Arg. S.A. - MZA</v>
          </cell>
          <cell r="AI262" t="str">
            <v>ADA_MZA - Danone Arg. S.A. - MZA</v>
          </cell>
          <cell r="AJ262" t="str">
            <v>ADA_MZA - Danone Arg. S.A. - MZA</v>
          </cell>
          <cell r="AK262" t="str">
            <v>ADA_MZA - Danone Arg. S.A. - MZA</v>
          </cell>
          <cell r="AL262" t="str">
            <v>ADA_MZA - Danone Arg. S.A. - MZA</v>
          </cell>
          <cell r="AM262" t="str">
            <v>ADA_MZA - Danone Arg. S.A. - MZA</v>
          </cell>
          <cell r="AN262" t="str">
            <v>ADA_MZA - Danone Arg. S.A. - MZA</v>
          </cell>
          <cell r="AO262" t="str">
            <v>ADA_MZA - Danone Arg. S.A. - MZA</v>
          </cell>
          <cell r="AP262" t="str">
            <v>ADA_MZA - Danone Arg. S.A. - MZA</v>
          </cell>
          <cell r="AQ262" t="str">
            <v>ADA_MZA - Danone Arg. S.A. - MZA</v>
          </cell>
          <cell r="AR262" t="str">
            <v>ADA_MZA - Danone Arg. S.A. - MZA</v>
          </cell>
          <cell r="AS262" t="str">
            <v>ADA_MZA - Danone Arg. S.A. - MZA</v>
          </cell>
          <cell r="AT262" t="str">
            <v>ADA_MZA - Danone Arg. S.A. - MZA</v>
          </cell>
          <cell r="AU262" t="str">
            <v>ADA_MZA - Danone Arg. S.A. - MZA</v>
          </cell>
          <cell r="AV262" t="str">
            <v>ADA_MZA - Danone Arg. S.A. - MZA</v>
          </cell>
          <cell r="AW262" t="str">
            <v>ADA_MZA - Danone Arg. S.A. - MZA</v>
          </cell>
          <cell r="AX262" t="str">
            <v>ADA_MZA - Danone Arg. S.A. - MZA</v>
          </cell>
          <cell r="AY262" t="str">
            <v>ADA_MZA - Danone Arg. S.A. - MZA</v>
          </cell>
          <cell r="AZ262" t="str">
            <v>ADA_MZA - Danone Arg. S.A. - MZA</v>
          </cell>
          <cell r="BA262" t="str">
            <v>ADA_MZA - Danone Arg. S.A. - MZA</v>
          </cell>
          <cell r="BB262" t="str">
            <v>ADA_MZA - Danone Arg. S.A. - MZA</v>
          </cell>
          <cell r="BC262" t="str">
            <v>ADA_MZA - Danone Arg. S.A. - MZA</v>
          </cell>
          <cell r="BD262" t="str">
            <v>ADA_MZA - Danone Arg. S.A. - MZA</v>
          </cell>
          <cell r="BE262" t="str">
            <v>ADA_MZA - Danone Arg. S.A. - MZA</v>
          </cell>
          <cell r="BF262" t="str">
            <v>ADA_MZA - Danone Arg. S.A. - MZA</v>
          </cell>
          <cell r="BG262" t="str">
            <v>ADA_MZA - Danone Arg. S.A. - MZA</v>
          </cell>
          <cell r="BH262" t="str">
            <v>ADA_MZA - Danone Arg. S.A. - MZA</v>
          </cell>
          <cell r="BI262" t="str">
            <v>ADA_MZA - Danone Arg. S.A. - MZA</v>
          </cell>
          <cell r="BJ262" t="str">
            <v>ADA_MZA - Danone Arg. S.A. - MZA</v>
          </cell>
          <cell r="BK262" t="str">
            <v>ADA_MZA - Danone Arg. S.A. - MZA</v>
          </cell>
          <cell r="BL262" t="str">
            <v>ADA_MZA - Danone Arg. S.A. - MZA</v>
          </cell>
          <cell r="BM262" t="str">
            <v>Expreso - Servicios Troncales</v>
          </cell>
          <cell r="BN262" t="str">
            <v>Expreso - Servicios Troncales</v>
          </cell>
          <cell r="BO262" t="str">
            <v>Expreso - Servicios Troncales</v>
          </cell>
          <cell r="BP262" t="str">
            <v>Expreso - Servicios Troncales</v>
          </cell>
          <cell r="BQ262" t="str">
            <v>Expreso - Servicios Troncales</v>
          </cell>
          <cell r="BR262" t="str">
            <v>Expreso - Servicios Troncales</v>
          </cell>
          <cell r="BS262" t="str">
            <v>Expreso - Servicios Troncales</v>
          </cell>
          <cell r="BT262" t="str">
            <v>Expreso - Servicios Troncales</v>
          </cell>
          <cell r="BU262" t="str">
            <v>Expreso - Servicios Troncales</v>
          </cell>
          <cell r="BV262" t="str">
            <v>Expreso - Servicios Troncales</v>
          </cell>
          <cell r="BW262" t="str">
            <v>Expreso - Servicios Troncales</v>
          </cell>
          <cell r="BX262" t="str">
            <v>Expreso - Servicios Troncales</v>
          </cell>
          <cell r="BY262" t="str">
            <v>Expreso - Servicios Troncales</v>
          </cell>
          <cell r="BZ262" t="str">
            <v>Expreso - Servicios Troncales</v>
          </cell>
          <cell r="CA262" t="str">
            <v>Expreso - Servicios Troncales</v>
          </cell>
          <cell r="CB262" t="str">
            <v>Expreso - Servicios Troncales</v>
          </cell>
          <cell r="CC262" t="str">
            <v>ADA_CH - Danone Arg. S.A. - Chascomus</v>
          </cell>
          <cell r="CD262" t="str">
            <v>ADA_CH - Danone Arg. S.A. - Chascomus</v>
          </cell>
          <cell r="CE262" t="str">
            <v>Unilever - Unilever de Arg. S.A.</v>
          </cell>
          <cell r="CF262" t="str">
            <v>ADA_CH - Danone Arg. S.A. - Chascomus</v>
          </cell>
          <cell r="CG262" t="str">
            <v>ADA_CH - Danone Arg. S.A. - Chascomus</v>
          </cell>
          <cell r="CH262" t="str">
            <v>ADA_CH - Danone Arg. S.A. - Chascomus</v>
          </cell>
          <cell r="CI262" t="str">
            <v>ADA_CH - Danone Arg. S.A. - Chascomus</v>
          </cell>
          <cell r="CJ262" t="str">
            <v>ADA_CH - Danone Arg. S.A. - Chascomus</v>
          </cell>
          <cell r="CK262" t="str">
            <v>ADA_CH - Danone Arg. S.A. - Chascomus</v>
          </cell>
          <cell r="CL262" t="str">
            <v>ADA_CH - Danone Arg. S.A. - Chascomus</v>
          </cell>
          <cell r="CM262" t="str">
            <v>ADA_CH - Danone Arg. S.A. - Chascomus</v>
          </cell>
          <cell r="CN262" t="str">
            <v>ADA_CH - Danone Arg. S.A. - Chascomus</v>
          </cell>
          <cell r="CO262" t="str">
            <v>ADA_CH - Danone Arg. S.A. - Chascomus</v>
          </cell>
          <cell r="CP262" t="str">
            <v>ADA_CH - Danone Arg. S.A. - Chascomus</v>
          </cell>
          <cell r="CQ262" t="str">
            <v>ADA_CH - Danone Arg. S.A. - Chascomus</v>
          </cell>
          <cell r="CR262" t="str">
            <v>ADA_CH - Danone Arg. S.A. - Chascomus</v>
          </cell>
          <cell r="CS262" t="str">
            <v>ADA_CH - Danone Arg. S.A. - Chascomus</v>
          </cell>
          <cell r="CT262" t="str">
            <v>ADA_CH - Danone Arg. S.A. - Chascomus</v>
          </cell>
          <cell r="CU262" t="str">
            <v>ADA_CH - Danone Arg. S.A. - Chascomus</v>
          </cell>
          <cell r="CV262" t="str">
            <v>ADA_CH - Danone Arg. S.A. - Chascomus</v>
          </cell>
          <cell r="CW262" t="str">
            <v>ADA_CH - Danone Arg. S.A. - Chascomus</v>
          </cell>
        </row>
        <row r="263">
          <cell r="D263" t="str">
            <v>IDJ796</v>
          </cell>
          <cell r="E263" t="str">
            <v>Semiremolque</v>
          </cell>
          <cell r="F263" t="str">
            <v>Semiremolque</v>
          </cell>
          <cell r="G263" t="str">
            <v>Semirolque Furgón Paquetero 15,5m 30P</v>
          </cell>
          <cell r="N263" t="str">
            <v>CODYLSA</v>
          </cell>
          <cell r="O263" t="str">
            <v>CODYLSA</v>
          </cell>
          <cell r="P263" t="str">
            <v>No</v>
          </cell>
          <cell r="Q263" t="str">
            <v>Propio</v>
          </cell>
          <cell r="R263">
            <v>30</v>
          </cell>
          <cell r="S263" t="str">
            <v>Propio</v>
          </cell>
          <cell r="T263" t="str">
            <v>HERMANN</v>
          </cell>
          <cell r="U263" t="str">
            <v>S FP 3E 98</v>
          </cell>
          <cell r="V263">
            <v>0</v>
          </cell>
          <cell r="W263" t="str">
            <v>8EHSFP3E09A000377</v>
          </cell>
          <cell r="X263">
            <v>2009</v>
          </cell>
          <cell r="Y263">
            <v>17</v>
          </cell>
          <cell r="Z263" t="str">
            <v>Malargue</v>
          </cell>
          <cell r="AA263" t="str">
            <v>Expreso - Servicios Troncales</v>
          </cell>
          <cell r="AB263" t="str">
            <v>Expreso - Servicios Troncales</v>
          </cell>
          <cell r="AC263" t="str">
            <v>Expreso - Servicios Troncales</v>
          </cell>
          <cell r="AD263" t="str">
            <v>Expreso - Servicios Troncales</v>
          </cell>
          <cell r="AE263" t="str">
            <v>Expreso - Servicios Troncales</v>
          </cell>
          <cell r="AF263" t="str">
            <v>Expreso - Servicios Troncales</v>
          </cell>
          <cell r="AG263" t="str">
            <v>Expreso - Servicios Troncales</v>
          </cell>
          <cell r="AH263" t="str">
            <v>Expreso - Servicios Troncales</v>
          </cell>
          <cell r="AI263" t="str">
            <v>Expreso - Servicios Troncales</v>
          </cell>
          <cell r="AJ263" t="str">
            <v>Expreso - Servicios Troncales</v>
          </cell>
          <cell r="AK263" t="str">
            <v>Expreso - Servicios Troncales</v>
          </cell>
          <cell r="AL263" t="str">
            <v>Expreso - Servicios Troncales</v>
          </cell>
          <cell r="AM263" t="str">
            <v>Expreso - Servicios Troncales</v>
          </cell>
          <cell r="AN263" t="str">
            <v>Expreso - Servicios Troncales</v>
          </cell>
          <cell r="AO263" t="str">
            <v>Expreso - Servicios Troncales</v>
          </cell>
          <cell r="AP263" t="str">
            <v>Expreso - Servicios Troncales</v>
          </cell>
          <cell r="AQ263" t="str">
            <v>Expreso - Servicios Troncales</v>
          </cell>
          <cell r="AR263" t="str">
            <v>Expreso - Servicios Troncales</v>
          </cell>
          <cell r="AS263" t="str">
            <v>Expreso - Servicios Troncales</v>
          </cell>
          <cell r="AT263" t="str">
            <v>Expreso - Servicios Troncales</v>
          </cell>
          <cell r="AU263" t="str">
            <v>Expreso - Servicios Troncales</v>
          </cell>
          <cell r="AV263" t="str">
            <v>Expreso - Servicios Troncales</v>
          </cell>
          <cell r="AW263" t="str">
            <v>Expreso - Servicios Troncales</v>
          </cell>
          <cell r="AX263" t="str">
            <v>Expreso - Servicios Troncales</v>
          </cell>
          <cell r="AY263" t="str">
            <v>Expreso - Servicios Troncales</v>
          </cell>
          <cell r="AZ263" t="str">
            <v>Expreso - Servicios Troncales</v>
          </cell>
          <cell r="BA263" t="str">
            <v>Expreso - Servicios Troncales</v>
          </cell>
          <cell r="BB263" t="str">
            <v>Expreso - Servicios Troncales</v>
          </cell>
          <cell r="BC263" t="str">
            <v>Expreso - Servicios Troncales</v>
          </cell>
          <cell r="BD263" t="str">
            <v>Expreso - Servicios Troncales</v>
          </cell>
          <cell r="BE263" t="str">
            <v>Expreso - Servicios Troncales</v>
          </cell>
          <cell r="BF263" t="str">
            <v>Expreso - Servicios Troncales</v>
          </cell>
          <cell r="BG263" t="str">
            <v>Expreso - Servicios Troncales</v>
          </cell>
          <cell r="BH263" t="str">
            <v>Expreso - Servicios Troncales</v>
          </cell>
          <cell r="BI263" t="str">
            <v>Expreso - Servicios Troncales</v>
          </cell>
          <cell r="BJ263" t="str">
            <v>Expreso - Servicios Troncales</v>
          </cell>
          <cell r="BK263" t="str">
            <v>Expreso - Servicios Troncales</v>
          </cell>
          <cell r="BL263" t="str">
            <v>Expreso - Servicios Troncales</v>
          </cell>
          <cell r="BM263" t="str">
            <v>Expreso - Servicios Troncales</v>
          </cell>
          <cell r="BN263" t="str">
            <v>Expreso - Servicios Troncales</v>
          </cell>
          <cell r="BO263" t="str">
            <v>Expreso - Servicios Troncales</v>
          </cell>
          <cell r="BP263" t="str">
            <v>Expreso - Servicios Troncales</v>
          </cell>
          <cell r="BQ263" t="str">
            <v>Expreso - Servicios Troncales</v>
          </cell>
          <cell r="BR263" t="str">
            <v>Expreso - Servicios Troncales</v>
          </cell>
          <cell r="BS263" t="str">
            <v>Expreso - Servicios Troncales</v>
          </cell>
          <cell r="BT263" t="str">
            <v>Expreso - Servicios Troncales</v>
          </cell>
          <cell r="BU263" t="str">
            <v>Expreso - Servicios Troncales</v>
          </cell>
          <cell r="BV263" t="str">
            <v>Expreso - Servicios Troncales</v>
          </cell>
          <cell r="BW263" t="str">
            <v>Expreso - Servicios Troncales</v>
          </cell>
          <cell r="BX263" t="str">
            <v>Expreso - Servicios Troncales</v>
          </cell>
          <cell r="BY263" t="str">
            <v>Expreso - Servicios Troncales</v>
          </cell>
          <cell r="BZ263" t="str">
            <v>Expreso - Servicios Troncales</v>
          </cell>
          <cell r="CA263" t="str">
            <v>Expreso - Servicios Troncales</v>
          </cell>
          <cell r="CB263" t="str">
            <v>Expreso - Servicios Troncales</v>
          </cell>
          <cell r="CC263" t="str">
            <v>Expreso - Servicios Troncales</v>
          </cell>
          <cell r="CD263" t="str">
            <v>Expreso - Servicios Troncales</v>
          </cell>
          <cell r="CE263" t="str">
            <v>Expreso - Servicios Troncales</v>
          </cell>
          <cell r="CF263" t="str">
            <v>Expreso - Servicios Troncales</v>
          </cell>
          <cell r="CG263" t="str">
            <v>Expreso - Servicios Troncales</v>
          </cell>
          <cell r="CH263" t="str">
            <v>Expreso - Servicios Troncales</v>
          </cell>
          <cell r="CI263" t="str">
            <v>Expreso - Servicios Troncales</v>
          </cell>
          <cell r="CJ263" t="str">
            <v>Expreso - Servicios Troncales</v>
          </cell>
          <cell r="CK263" t="str">
            <v>Expreso - Servicios Troncales</v>
          </cell>
          <cell r="CL263" t="str">
            <v>Expreso - Servicios Troncales</v>
          </cell>
          <cell r="CM263" t="str">
            <v>Expreso - Servicios Troncales</v>
          </cell>
          <cell r="CN263" t="str">
            <v>Expreso - Servicios Troncales</v>
          </cell>
          <cell r="CO263" t="str">
            <v>Expreso - Servicios Troncales</v>
          </cell>
          <cell r="CP263" t="str">
            <v>Expreso - Servicios Troncales</v>
          </cell>
          <cell r="CQ263" t="str">
            <v>Expreso - Servicios Troncales</v>
          </cell>
          <cell r="CR263" t="str">
            <v>Expreso - Servicios Troncales</v>
          </cell>
          <cell r="CS263" t="str">
            <v>Expreso - Servicios Troncales</v>
          </cell>
          <cell r="CT263" t="str">
            <v>Expreso - Servicios Troncales</v>
          </cell>
          <cell r="CU263" t="str">
            <v>Expreso - Servicios Troncales</v>
          </cell>
          <cell r="CV263" t="str">
            <v>Expreso - Servicios Troncales</v>
          </cell>
          <cell r="CW263" t="str">
            <v>Expreso - Servicios Troncales</v>
          </cell>
        </row>
        <row r="264">
          <cell r="D264" t="str">
            <v>IDJ797</v>
          </cell>
          <cell r="E264" t="str">
            <v>Semiremolque</v>
          </cell>
          <cell r="F264" t="str">
            <v>Semiremolque</v>
          </cell>
          <cell r="G264" t="str">
            <v>Semirolque Furgón Paquetero 15,5m 30P</v>
          </cell>
          <cell r="N264" t="str">
            <v>CODYLSA</v>
          </cell>
          <cell r="O264" t="str">
            <v>CODYLSA</v>
          </cell>
          <cell r="P264" t="str">
            <v>No</v>
          </cell>
          <cell r="Q264" t="str">
            <v>Propio</v>
          </cell>
          <cell r="R264">
            <v>30</v>
          </cell>
          <cell r="S264" t="str">
            <v>Propio</v>
          </cell>
          <cell r="T264" t="str">
            <v>HERMANN</v>
          </cell>
          <cell r="U264" t="str">
            <v>S FP 3E 98</v>
          </cell>
          <cell r="V264">
            <v>0</v>
          </cell>
          <cell r="W264" t="str">
            <v>8EHSFP3E09A000378</v>
          </cell>
          <cell r="X264">
            <v>2009</v>
          </cell>
          <cell r="Y264">
            <v>17</v>
          </cell>
          <cell r="Z264" t="str">
            <v>Jumbo Mendoza</v>
          </cell>
          <cell r="AA264" t="str">
            <v>CENCO_MZ - Cencosud SA - Mendoza</v>
          </cell>
          <cell r="AB264" t="str">
            <v>CENCO_MZ - Cencosud SA - Mendoza</v>
          </cell>
          <cell r="AC264" t="str">
            <v>CENCO_MZ - Cencosud SA - Mendoza</v>
          </cell>
          <cell r="AD264" t="str">
            <v>CENCO_MZ - Cencosud SA - Mendoza</v>
          </cell>
          <cell r="AE264" t="str">
            <v>CENCO_MZ - Cencosud SA - Mendoza</v>
          </cell>
          <cell r="AF264" t="str">
            <v>CENCO_MZ - Cencosud SA - Mendoza</v>
          </cell>
          <cell r="AG264" t="str">
            <v>CENCO_MZ - Cencosud SA - Mendoza</v>
          </cell>
          <cell r="AH264" t="str">
            <v>CENCO_MZ - Cencosud SA - Mendoza</v>
          </cell>
          <cell r="AI264" t="str">
            <v>CENCO_MZ - Cencosud SA - Mendoza</v>
          </cell>
          <cell r="AJ264" t="str">
            <v>CENCO_MZ - Cencosud SA - Mendoza</v>
          </cell>
          <cell r="AK264" t="str">
            <v>CENCO_MZ - Cencosud SA - Mendoza</v>
          </cell>
          <cell r="AL264" t="str">
            <v>CENCO_MZ - Cencosud SA - Mendoza</v>
          </cell>
          <cell r="AM264" t="str">
            <v>CENCO_MZ - Cencosud SA - Mendoza</v>
          </cell>
          <cell r="AN264" t="str">
            <v>CENCO_MZ - Cencosud SA - Mendoza</v>
          </cell>
          <cell r="AO264" t="str">
            <v>CENCO_MZ - Cencosud SA - Mendoza</v>
          </cell>
          <cell r="AP264" t="str">
            <v>CENCO_MZ - Cencosud SA - Mendoza</v>
          </cell>
          <cell r="AQ264" t="str">
            <v>CENCO_MZ - Cencosud SA - Mendoza</v>
          </cell>
          <cell r="AR264" t="str">
            <v>CENCO_MZ - Cencosud SA - Mendoza</v>
          </cell>
          <cell r="AS264" t="str">
            <v>CENCO_MZ - Cencosud SA - Mendoza</v>
          </cell>
          <cell r="AT264" t="str">
            <v>CENCO_MZ - Cencosud SA - Mendoza</v>
          </cell>
          <cell r="AU264" t="str">
            <v>CENCO_MZ - Cencosud SA - Mendoza</v>
          </cell>
          <cell r="AV264" t="str">
            <v>CENCO_MZ - Cencosud SA - Mendoza</v>
          </cell>
          <cell r="AW264" t="str">
            <v>CENCO_MZ - Cencosud SA - Mendoza</v>
          </cell>
          <cell r="AX264" t="str">
            <v>CENCO_MZ - Cencosud SA - Mendoza</v>
          </cell>
          <cell r="AY264" t="str">
            <v>CENCO_MZ - Cencosud SA - Mendoza</v>
          </cell>
          <cell r="AZ264" t="str">
            <v>CENCO_MZ - Cencosud SA - Mendoza</v>
          </cell>
          <cell r="BA264" t="str">
            <v>CENCO_MZ - Cencosud SA - Mendoza</v>
          </cell>
          <cell r="BB264" t="str">
            <v>CENCO_MZ - Cencosud SA - Mendoza</v>
          </cell>
          <cell r="BC264" t="str">
            <v>CENCO_MZ - Cencosud SA - Mendoza</v>
          </cell>
          <cell r="BD264" t="str">
            <v>CENCO_MZ - Cencosud SA - Mendoza</v>
          </cell>
          <cell r="BE264" t="str">
            <v>CENCO_MZ - Cencosud SA - Mendoza</v>
          </cell>
          <cell r="BF264" t="str">
            <v>CENCO_MZ - Cencosud SA - Mendoza</v>
          </cell>
          <cell r="BG264" t="str">
            <v>CENCO_MZ - Cencosud SA - Mendoza</v>
          </cell>
          <cell r="BH264" t="str">
            <v>CENCO_MZ - Cencosud SA - Mendoza</v>
          </cell>
          <cell r="BI264" t="str">
            <v>CENCO_MZ - Cencosud SA - Mendoza</v>
          </cell>
          <cell r="BJ264" t="str">
            <v>CENCO_MZ - Cencosud SA - Mendoza</v>
          </cell>
          <cell r="BK264" t="str">
            <v>CENCO_MZ - Cencosud SA - Mendoza</v>
          </cell>
          <cell r="BL264" t="str">
            <v>CENCO_MZ - Cencosud SA - Mendoza</v>
          </cell>
          <cell r="BM264" t="str">
            <v>CENCO_MZ - Cencosud SA - Mendoza</v>
          </cell>
          <cell r="BN264" t="str">
            <v>CENCOMLD - Cencosud SA - Mendoza</v>
          </cell>
          <cell r="BO264" t="str">
            <v>CENCOMLD - Cencosud SA - Mendoza</v>
          </cell>
          <cell r="BP264" t="str">
            <v>CENCOMLD - Cencosud SA - Mendoza</v>
          </cell>
          <cell r="BQ264" t="str">
            <v>CENCOMLD - Cencosud SA - Mendoza</v>
          </cell>
          <cell r="BR264" t="str">
            <v>CENCOMLD - Cencosud SA - Mendoza</v>
          </cell>
          <cell r="BS264" t="str">
            <v>CENCOMLD - Cencosud SA - Mendoza</v>
          </cell>
          <cell r="BT264" t="str">
            <v>CENCOMLD - Cencosud SA - Mendoza</v>
          </cell>
          <cell r="BU264" t="str">
            <v>CENCOMLD - Cencosud SA - Mendoza</v>
          </cell>
          <cell r="BV264" t="str">
            <v>CENCOMLD - Cencosud SA - Mendoza</v>
          </cell>
          <cell r="BW264" t="str">
            <v>CENCOMLD - Cencosud SA - Mendoza</v>
          </cell>
          <cell r="BX264" t="str">
            <v>CENCOMLD - Cencosud SA - Mendoza</v>
          </cell>
          <cell r="BY264" t="str">
            <v>CENCOMLD - Cencosud SA - Mendoza</v>
          </cell>
          <cell r="BZ264" t="str">
            <v>CENCOMLD - Cencosud SA - Mendoza</v>
          </cell>
          <cell r="CA264" t="str">
            <v>CENCOMLD - Cencosud SA - Mendoza</v>
          </cell>
          <cell r="CB264" t="str">
            <v>CENCOMLD - Cencosud SA - Mendoza</v>
          </cell>
          <cell r="CC264" t="str">
            <v>CENCOMLD - Cencosud SA - Mendoza</v>
          </cell>
          <cell r="CD264" t="str">
            <v>CENCOMLD - Cencosud SA - Mendoza</v>
          </cell>
          <cell r="CE264" t="str">
            <v>Sin Operación</v>
          </cell>
          <cell r="CF264" t="str">
            <v>Expreso - Servicios Troncales</v>
          </cell>
          <cell r="CG264" t="str">
            <v>Expreso - Servicios Troncales</v>
          </cell>
          <cell r="CH264" t="str">
            <v>INACTIVO</v>
          </cell>
          <cell r="CI264" t="str">
            <v>INACTIVO</v>
          </cell>
          <cell r="CJ264" t="str">
            <v>Expreso - Servicios Troncales</v>
          </cell>
          <cell r="CK264" t="str">
            <v>Expreso - Servicios Troncales</v>
          </cell>
          <cell r="CL264" t="str">
            <v>Expreso - Servicios Troncales</v>
          </cell>
          <cell r="CM264" t="str">
            <v>Expreso - Servicios Troncales</v>
          </cell>
          <cell r="CN264" t="str">
            <v>Expreso - Servicios Troncales</v>
          </cell>
          <cell r="CO264" t="str">
            <v>Expreso - Servicios Troncales</v>
          </cell>
          <cell r="CP264" t="str">
            <v>Expreso - Servicios Troncales</v>
          </cell>
          <cell r="CQ264" t="str">
            <v>Expreso - Servicios Troncales</v>
          </cell>
          <cell r="CR264" t="str">
            <v>Expreso - Servicios Troncales</v>
          </cell>
          <cell r="CS264" t="str">
            <v>Expreso - Servicios Troncales</v>
          </cell>
          <cell r="CT264" t="str">
            <v>Expreso - Servicios Troncales</v>
          </cell>
          <cell r="CU264" t="str">
            <v>Expreso - Servicios Troncales</v>
          </cell>
          <cell r="CV264" t="str">
            <v>Expreso - Servicios Troncales</v>
          </cell>
          <cell r="CW264" t="str">
            <v>Expreso - Servicios Troncales</v>
          </cell>
        </row>
        <row r="265">
          <cell r="D265" t="str">
            <v>IDX163</v>
          </cell>
          <cell r="E265" t="str">
            <v>Tractor</v>
          </cell>
          <cell r="F265" t="str">
            <v>Tractor</v>
          </cell>
          <cell r="G265" t="str">
            <v>Tractor</v>
          </cell>
          <cell r="N265" t="str">
            <v>CODYLSA</v>
          </cell>
          <cell r="O265" t="str">
            <v>CODYLSA</v>
          </cell>
          <cell r="P265" t="str">
            <v>No</v>
          </cell>
          <cell r="Q265" t="str">
            <v>Propio</v>
          </cell>
          <cell r="R265" t="str">
            <v>-</v>
          </cell>
          <cell r="S265" t="str">
            <v>Propio</v>
          </cell>
          <cell r="T265" t="str">
            <v>MERCEDES BENZ</v>
          </cell>
          <cell r="U265" t="str">
            <v>AXOR 1933 S</v>
          </cell>
          <cell r="V265" t="str">
            <v>926921U0805924</v>
          </cell>
          <cell r="W265" t="str">
            <v>9BM9582079B631177</v>
          </cell>
          <cell r="X265">
            <v>2009</v>
          </cell>
          <cell r="Y265">
            <v>17</v>
          </cell>
          <cell r="Z265" t="str">
            <v>Morixe</v>
          </cell>
          <cell r="AA265" t="str">
            <v>MORIXE - MORIXE HERMANOS SACEI</v>
          </cell>
          <cell r="AB265" t="str">
            <v>MORIXE - MORIXE HERMANOS SACEI</v>
          </cell>
          <cell r="AC265" t="str">
            <v>MORIXE - MORIXE HERMANOS SACEI</v>
          </cell>
          <cell r="AD265" t="str">
            <v>MORIXE - MORIXE HERMANOS SACEI</v>
          </cell>
          <cell r="AE265" t="str">
            <v>MORIXE - MORIXE HERMANOS SACEI</v>
          </cell>
          <cell r="AF265" t="str">
            <v>MORIXE - MORIXE HERMANOS SACEI</v>
          </cell>
          <cell r="AG265" t="str">
            <v>MORIXE - MORIXE HERMANOS SACEI</v>
          </cell>
          <cell r="AH265" t="str">
            <v>MORIXE - MORIXE HERMANOS SACEI</v>
          </cell>
          <cell r="AI265" t="str">
            <v>MORIXE - MORIXE HERMANOS SACEI</v>
          </cell>
          <cell r="AJ265" t="str">
            <v>MORIXE - MORIXE HERMANOS SACEI</v>
          </cell>
          <cell r="AK265" t="str">
            <v>Papelera - Papelera del Plata S.A.</v>
          </cell>
          <cell r="AL265" t="str">
            <v>JOHNSON - SC JOHNSON DE ARGENTINA SAIC</v>
          </cell>
          <cell r="AM265" t="str">
            <v xml:space="preserve">Carrefour </v>
          </cell>
          <cell r="AN265" t="str">
            <v xml:space="preserve">Carrefour </v>
          </cell>
          <cell r="AO265" t="str">
            <v xml:space="preserve">Carrefour </v>
          </cell>
          <cell r="AP265" t="str">
            <v xml:space="preserve">Carrefour </v>
          </cell>
          <cell r="AQ265" t="str">
            <v xml:space="preserve">Carrefour </v>
          </cell>
          <cell r="AR265" t="str">
            <v xml:space="preserve">Carrefour </v>
          </cell>
          <cell r="AS265" t="str">
            <v xml:space="preserve">Carrefour </v>
          </cell>
          <cell r="AT265" t="str">
            <v xml:space="preserve">Carrefour </v>
          </cell>
          <cell r="AU265" t="str">
            <v>JOHNSON - SC JOHNSON DE ARGENTINA SAIC</v>
          </cell>
          <cell r="AV265" t="str">
            <v>JOHNSON - SC JOHNSON DE ARGENTINA SAIC</v>
          </cell>
          <cell r="AW265" t="str">
            <v>JOHNSON - SC JOHNSON DE ARGENTINA SAIC</v>
          </cell>
          <cell r="AX265" t="str">
            <v>JOHNSON - SC JOHNSON DE ARGENTINA SAIC</v>
          </cell>
          <cell r="AY265" t="str">
            <v>JOHNSON - SC JOHNSON DE ARGENTINA SAIC</v>
          </cell>
          <cell r="AZ265" t="str">
            <v>JOHNSON - SC JOHNSON DE ARGENTINA SAIC</v>
          </cell>
          <cell r="BA265" t="str">
            <v>JOHNSON - SC JOHNSON DE ARGENTINA SAIC</v>
          </cell>
          <cell r="BB265" t="str">
            <v>JOHNSON - SC JOHNSON DE ARGENTINA SAIC</v>
          </cell>
          <cell r="BC265" t="str">
            <v>JOHNSON - SC JOHNSON DE ARGENTINA SAIC</v>
          </cell>
          <cell r="BD265" t="str">
            <v>JOHNSON - SC JOHNSON DE ARGENTINA SAIC</v>
          </cell>
          <cell r="BE265" t="str">
            <v>JOHNSON - SC JOHNSON DE ARGENTINA SAIC</v>
          </cell>
          <cell r="BF265" t="str">
            <v>JOHNSON - SC JOHNSON DE ARGENTINA SAIC</v>
          </cell>
          <cell r="BG265" t="str">
            <v>JOHNSON - SC JOHNSON DE ARGENTINA SAIC</v>
          </cell>
          <cell r="BH265" t="str">
            <v>JOHNSON - SC JOHNSON DE ARGENTINA SAIC</v>
          </cell>
          <cell r="BI265" t="str">
            <v>JOHNSON - SC JOHNSON DE ARGENTINA SAIC</v>
          </cell>
          <cell r="BJ265" t="str">
            <v>JOHNSON - SC JOHNSON DE ARGENTINA SAIC</v>
          </cell>
          <cell r="BK265" t="str">
            <v>JOHNSON - SC JOHNSON DE ARGENTINA SAIC</v>
          </cell>
          <cell r="BL265" t="str">
            <v>JOHNSON - SC JOHNSON DE ARGENTINA SAIC</v>
          </cell>
          <cell r="BM265" t="str">
            <v>JOHNSON - SC JOHNSON DE ARGENTINA SAIC</v>
          </cell>
          <cell r="BN265" t="str">
            <v>JOHNSON - SC JOHNSON DE ARGENTINA SAIC</v>
          </cell>
          <cell r="BO265" t="str">
            <v>JOHNSON - SC JOHNSON DE ARGENTINA SAIC</v>
          </cell>
          <cell r="BP265" t="str">
            <v>JOHNSON - SC JOHNSON DE ARGENTINA SAIC</v>
          </cell>
          <cell r="BQ265" t="str">
            <v>Unilever - Unilever de Arg. S.A.</v>
          </cell>
          <cell r="BR265" t="str">
            <v>Unilever - Unilever de Arg. S.A.</v>
          </cell>
          <cell r="BS265" t="str">
            <v>Unilever - Unilever de Arg. S.A.</v>
          </cell>
          <cell r="BT265" t="str">
            <v>Unilever - Unilever de Arg. S.A.</v>
          </cell>
          <cell r="BU265" t="str">
            <v>Unilever - Unilever de Arg. S.A.</v>
          </cell>
          <cell r="BV265" t="str">
            <v>Unilever - Unilever de Arg. S.A.</v>
          </cell>
          <cell r="BW265" t="str">
            <v>Unilever - Unilever de Arg. S.A.</v>
          </cell>
          <cell r="BX265" t="str">
            <v>Unilever - Unilever de Arg. S.A.</v>
          </cell>
          <cell r="BY265" t="str">
            <v>Unilever - Unilever de Arg. S.A.</v>
          </cell>
          <cell r="BZ265" t="str">
            <v>JOHNSON - SC JOHNSON DE ARGENTINA SAIC</v>
          </cell>
          <cell r="CA265" t="str">
            <v>JOHNSON - SC JOHNSON DE ARGENTINA SAIC</v>
          </cell>
          <cell r="CB265" t="str">
            <v>JOHNSON - SC JOHNSON DE ARGENTINA SAIC</v>
          </cell>
          <cell r="CC265" t="str">
            <v>JOHNSON - SC JOHNSON DE ARGENTINA SAIC</v>
          </cell>
          <cell r="CD265" t="str">
            <v>JOHNSON - SC JOHNSON DE ARGENTINA SAIC</v>
          </cell>
          <cell r="CE265" t="str">
            <v>JOHNSON - SC JOHNSON DE ARGENTINA SAIC</v>
          </cell>
          <cell r="CF265" t="str">
            <v>JOHNSON - SC JOHNSON DE ARGENTINA SAIC</v>
          </cell>
          <cell r="CG265" t="str">
            <v>JOHNSON - SC JOHNSON DE ARGENTINA SAIC</v>
          </cell>
          <cell r="CH265" t="str">
            <v>JOHNSON - SC JOHNSON DE ARGENTINA SAIC</v>
          </cell>
          <cell r="CI265" t="str">
            <v>JOHNSON - SC JOHNSON DE ARGENTINA SAIC</v>
          </cell>
          <cell r="CJ265" t="str">
            <v>JOHNSON - SC JOHNSON DE ARGENTINA SAIC</v>
          </cell>
          <cell r="CK265" t="str">
            <v>JOHNSON - SC JOHNSON DE ARGENTINA SAIC</v>
          </cell>
          <cell r="CL265" t="str">
            <v>JOHNSON - SC JOHNSON DE ARGENTINA SAIC</v>
          </cell>
          <cell r="CM265" t="str">
            <v>JOHNSON - SC JOHNSON DE ARGENTINA SAIC</v>
          </cell>
          <cell r="CN265" t="str">
            <v>JOHNSON - SC JOHNSON DE ARGENTINA SAIC</v>
          </cell>
          <cell r="CO265" t="str">
            <v>JOHNSON - SC JOHNSON DE ARGENTINA SAIC</v>
          </cell>
          <cell r="CP265" t="str">
            <v>JOHNSON - SC JOHNSON DE ARGENTINA SAIC</v>
          </cell>
          <cell r="CQ265" t="str">
            <v>JOHNSON - SC JOHNSON DE ARGENTINA SAIC</v>
          </cell>
          <cell r="CR265" t="str">
            <v>JOHNSON - SC JOHNSON DE ARGENTINA SAIC</v>
          </cell>
          <cell r="CS265" t="str">
            <v>JOHNSON - SC JOHNSON DE ARGENTINA SAIC</v>
          </cell>
          <cell r="CT265" t="str">
            <v>JOHNSON - SC JOHNSON DE ARGENTINA SAIC</v>
          </cell>
          <cell r="CU265" t="str">
            <v>JOHNSON - SC JOHNSON DE ARGENTINA SAIC</v>
          </cell>
          <cell r="CV265" t="str">
            <v>JOHNSON - SC JOHNSON DE ARGENTINA SAIC</v>
          </cell>
          <cell r="CW265" t="str">
            <v>JOHNSON - SC JOHNSON DE ARGENTINA SAIC</v>
          </cell>
        </row>
        <row r="266">
          <cell r="D266" t="str">
            <v>IDX164</v>
          </cell>
          <cell r="E266" t="str">
            <v>Tractor</v>
          </cell>
          <cell r="F266" t="str">
            <v>Tractor</v>
          </cell>
          <cell r="G266" t="str">
            <v>Tractor</v>
          </cell>
          <cell r="N266" t="str">
            <v>CODYLSA</v>
          </cell>
          <cell r="O266" t="str">
            <v>CODYLSA</v>
          </cell>
          <cell r="P266" t="str">
            <v>No</v>
          </cell>
          <cell r="Q266" t="str">
            <v>Propio</v>
          </cell>
          <cell r="R266" t="str">
            <v>-</v>
          </cell>
          <cell r="S266" t="str">
            <v>Propio</v>
          </cell>
          <cell r="T266" t="str">
            <v>MERCEDES BENZ</v>
          </cell>
          <cell r="U266" t="str">
            <v>AXOR 1933 S</v>
          </cell>
          <cell r="V266" t="str">
            <v>926921U0807228</v>
          </cell>
          <cell r="W266" t="str">
            <v>9BM9582079B632730</v>
          </cell>
          <cell r="X266">
            <v>2009</v>
          </cell>
          <cell r="Y266">
            <v>17</v>
          </cell>
          <cell r="Z266" t="str">
            <v>Malargue</v>
          </cell>
          <cell r="AA266" t="str">
            <v>Expreso - Servicios Troncales</v>
          </cell>
          <cell r="AB266" t="str">
            <v>Expreso - Servicios Troncales</v>
          </cell>
          <cell r="AC266" t="str">
            <v>Expreso - Servicios Troncales</v>
          </cell>
          <cell r="AD266" t="str">
            <v>Expreso - Servicios Troncales</v>
          </cell>
          <cell r="AE266" t="str">
            <v>Expreso - Servicios Troncales</v>
          </cell>
          <cell r="AF266" t="str">
            <v>Expreso - Servicios Troncales</v>
          </cell>
          <cell r="AG266" t="str">
            <v>Expreso - Servicios Troncales</v>
          </cell>
          <cell r="AH266" t="str">
            <v>Expreso - Servicios Troncales</v>
          </cell>
          <cell r="AI266" t="str">
            <v>Expreso - Servicios Troncales</v>
          </cell>
          <cell r="AJ266" t="str">
            <v>Expreso - Servicios Troncales</v>
          </cell>
          <cell r="AK266" t="str">
            <v>Expreso - Servicios Troncales</v>
          </cell>
          <cell r="AL266" t="str">
            <v>Expreso - Servicios Troncales</v>
          </cell>
          <cell r="AM266" t="str">
            <v>Expreso - Servicios Troncales</v>
          </cell>
          <cell r="AN266" t="str">
            <v>Expreso - Servicios Troncales</v>
          </cell>
          <cell r="AO266" t="str">
            <v>Expreso - Servicios Troncales</v>
          </cell>
          <cell r="AP266" t="str">
            <v>Expreso - Servicios Troncales</v>
          </cell>
          <cell r="AQ266" t="str">
            <v>Expreso - Servicios Troncales</v>
          </cell>
          <cell r="AR266" t="str">
            <v>Expreso - Servicios Troncales</v>
          </cell>
          <cell r="AS266" t="str">
            <v>Expreso - Servicios Troncales</v>
          </cell>
          <cell r="AT266" t="str">
            <v>Expreso - Servicios Troncales</v>
          </cell>
          <cell r="AU266" t="str">
            <v>Expreso - Servicios Troncales</v>
          </cell>
          <cell r="AV266" t="str">
            <v>Expreso - Servicios Troncales</v>
          </cell>
          <cell r="AW266" t="str">
            <v>Expreso - Servicios Troncales</v>
          </cell>
          <cell r="AX266" t="str">
            <v>Expreso - Servicios Troncales</v>
          </cell>
          <cell r="AY266" t="str">
            <v>Expreso - Servicios Troncales</v>
          </cell>
          <cell r="AZ266" t="str">
            <v>Expreso - Servicios Troncales</v>
          </cell>
          <cell r="BA266" t="str">
            <v>Expreso - Servicios Troncales</v>
          </cell>
          <cell r="BB266" t="str">
            <v>Expreso - Servicios Troncales</v>
          </cell>
          <cell r="BC266" t="str">
            <v>Expreso - Servicios Troncales</v>
          </cell>
          <cell r="BD266" t="str">
            <v>SUC_CTC - Sucursal Buenos Aires</v>
          </cell>
          <cell r="BE266" t="str">
            <v>SUC_CTC - Sucursal Buenos Aires</v>
          </cell>
          <cell r="BF266" t="str">
            <v>SUC_CTC - Sucursal Buenos Aires</v>
          </cell>
          <cell r="BG266" t="str">
            <v>SUC_CTC - Sucursal Buenos Aires</v>
          </cell>
          <cell r="BH266" t="str">
            <v>SUC_CTC - Sucursal Buenos Aires</v>
          </cell>
          <cell r="BI266" t="str">
            <v>SUC_CTC - Sucursal Buenos Aires</v>
          </cell>
          <cell r="BJ266" t="str">
            <v>SUC_CTC - Sucursal Buenos Aires</v>
          </cell>
          <cell r="BK266" t="str">
            <v>SUC_CTC - Sucursal Buenos Aires</v>
          </cell>
          <cell r="BL266" t="str">
            <v>SUC_CTC - Sucursal Buenos Aires</v>
          </cell>
          <cell r="BM266" t="str">
            <v>SUC_CTC - Sucursal Buenos Aires</v>
          </cell>
          <cell r="BN266" t="str">
            <v>SUC_CTC - Sucursal Buenos Aires</v>
          </cell>
          <cell r="BO266" t="str">
            <v>SUC_CTC - Sucursal Buenos Aires</v>
          </cell>
          <cell r="BP266" t="str">
            <v>SUC_CTC - Sucursal Buenos Aires</v>
          </cell>
          <cell r="BQ266" t="str">
            <v>Expreso - Servicios Troncales</v>
          </cell>
          <cell r="BR266" t="str">
            <v>Expreso - Servicios Troncales</v>
          </cell>
          <cell r="BS266" t="str">
            <v>Expreso - Servicios Troncales</v>
          </cell>
          <cell r="BT266" t="str">
            <v>Expreso - Servicios Troncales</v>
          </cell>
          <cell r="BU266" t="str">
            <v>Expreso - Servicios Troncales</v>
          </cell>
          <cell r="BV266" t="str">
            <v>Expreso - Servicios Troncales</v>
          </cell>
          <cell r="BW266" t="str">
            <v>Expreso - Servicios Troncales</v>
          </cell>
          <cell r="BX266" t="str">
            <v>Expreso - Servicios Troncales</v>
          </cell>
          <cell r="BY266" t="str">
            <v>Expreso - Servicios Troncales</v>
          </cell>
          <cell r="BZ266" t="str">
            <v>Expreso - Servicios Troncales</v>
          </cell>
          <cell r="CA266" t="str">
            <v>Expreso - Servicios Troncales</v>
          </cell>
          <cell r="CB266" t="str">
            <v>Expreso - Servicios Troncales</v>
          </cell>
          <cell r="CC266" t="str">
            <v>Expreso - Servicios Troncales</v>
          </cell>
          <cell r="CD266" t="str">
            <v>Expreso - Servicios Troncales</v>
          </cell>
          <cell r="CE266" t="str">
            <v>Expreso - Servicios Troncales</v>
          </cell>
          <cell r="CF266" t="str">
            <v>Expreso - Servicios Troncales</v>
          </cell>
          <cell r="CG266" t="str">
            <v>Expreso - Servicios Troncales</v>
          </cell>
          <cell r="CH266" t="str">
            <v>Expreso - Servicios Troncales</v>
          </cell>
          <cell r="CI266" t="str">
            <v>Expreso - Servicios Troncales</v>
          </cell>
          <cell r="CJ266" t="str">
            <v>Expreso - Servicios Troncales</v>
          </cell>
          <cell r="CK266" t="str">
            <v>Expreso - Servicios Troncales</v>
          </cell>
          <cell r="CL266" t="str">
            <v>Expreso - Servicios Troncales</v>
          </cell>
          <cell r="CM266" t="str">
            <v>Expreso - Servicios Troncales</v>
          </cell>
          <cell r="CN266" t="str">
            <v>Expreso - Servicios Troncales</v>
          </cell>
          <cell r="CO266" t="str">
            <v>Expreso - Servicios Troncales</v>
          </cell>
          <cell r="CP266" t="str">
            <v>Expreso - Servicios Troncales</v>
          </cell>
          <cell r="CQ266" t="str">
            <v>Expreso - Servicios Troncales</v>
          </cell>
          <cell r="CR266" t="str">
            <v>Expreso - Servicios Troncales</v>
          </cell>
          <cell r="CS266" t="str">
            <v>Expreso - Servicios Troncales</v>
          </cell>
          <cell r="CT266" t="str">
            <v>Expreso - Servicios Troncales</v>
          </cell>
          <cell r="CU266" t="str">
            <v>Expreso - Servicios Troncales</v>
          </cell>
          <cell r="CV266" t="str">
            <v>Expreso - Servicios Troncales</v>
          </cell>
          <cell r="CW266" t="str">
            <v>Expreso - Servicios Troncales</v>
          </cell>
        </row>
        <row r="267">
          <cell r="D267" t="str">
            <v>IDX165</v>
          </cell>
          <cell r="E267" t="str">
            <v>Tractor</v>
          </cell>
          <cell r="F267" t="str">
            <v>Tractor</v>
          </cell>
          <cell r="G267" t="str">
            <v>Tractor</v>
          </cell>
          <cell r="N267" t="str">
            <v>CODYLSA</v>
          </cell>
          <cell r="O267" t="str">
            <v>CODYLSA</v>
          </cell>
          <cell r="P267" t="str">
            <v>No</v>
          </cell>
          <cell r="Q267" t="str">
            <v>Propio</v>
          </cell>
          <cell r="R267" t="str">
            <v>-</v>
          </cell>
          <cell r="S267" t="str">
            <v>Propio</v>
          </cell>
          <cell r="T267" t="str">
            <v>MERCEDES BENZ</v>
          </cell>
          <cell r="U267" t="str">
            <v>AXOR 1933 S</v>
          </cell>
          <cell r="V267" t="str">
            <v>926921U0806534</v>
          </cell>
          <cell r="W267" t="str">
            <v>9BM9582079B631986</v>
          </cell>
          <cell r="X267">
            <v>2009</v>
          </cell>
          <cell r="Y267">
            <v>17</v>
          </cell>
          <cell r="Z267" t="str">
            <v>Morixe</v>
          </cell>
          <cell r="AA267" t="str">
            <v>MORIXE - MORIXE HERMANOS SACEI</v>
          </cell>
          <cell r="AB267" t="str">
            <v>MORIXE - MORIXE HERMANOS SACEI</v>
          </cell>
          <cell r="AC267" t="str">
            <v>MORIXE - MORIXE HERMANOS SACEI</v>
          </cell>
          <cell r="AD267" t="str">
            <v>MORIXE - MORIXE HERMANOS SACEI</v>
          </cell>
          <cell r="AE267" t="str">
            <v>MORIXE - MORIXE HERMANOS SACEI</v>
          </cell>
          <cell r="AF267" t="str">
            <v>MORIXE - MORIXE HERMANOS SACEI</v>
          </cell>
          <cell r="AG267" t="str">
            <v>MORIXE - MORIXE HERMANOS SACEI</v>
          </cell>
          <cell r="AH267" t="str">
            <v>MORIXE - MORIXE HERMANOS SACEI</v>
          </cell>
          <cell r="AI267" t="str">
            <v>MORIXE - MORIXE HERMANOS SACEI</v>
          </cell>
          <cell r="AJ267" t="str">
            <v>MORIXE - MORIXE HERMANOS SACEI</v>
          </cell>
          <cell r="AK267" t="str">
            <v>Papelera - Papelera del Plata S.A.</v>
          </cell>
          <cell r="AL267" t="str">
            <v>JOHNSON - SC JOHNSON DE ARGENTINA SAIC</v>
          </cell>
          <cell r="AM267" t="str">
            <v>Papelera - Papelera del Plata S.A.</v>
          </cell>
          <cell r="AN267" t="str">
            <v xml:space="preserve">Carrefour </v>
          </cell>
          <cell r="AO267" t="str">
            <v>Expreso - Servicios Troncales</v>
          </cell>
          <cell r="AP267" t="str">
            <v>Expreso - Servicios Troncales</v>
          </cell>
          <cell r="AQ267" t="str">
            <v>Expreso - Servicios Troncales</v>
          </cell>
          <cell r="AR267" t="str">
            <v>Expreso - Servicios Troncales</v>
          </cell>
          <cell r="AS267" t="str">
            <v>Expreso - Servicios Troncales</v>
          </cell>
          <cell r="AT267" t="str">
            <v>Expreso - Servicios Troncales</v>
          </cell>
          <cell r="AU267" t="str">
            <v>Expreso - Servicios Troncales</v>
          </cell>
          <cell r="AV267" t="str">
            <v>Expreso - Servicios Troncales</v>
          </cell>
          <cell r="AW267" t="str">
            <v>Expreso - Servicios Troncales</v>
          </cell>
          <cell r="AX267" t="str">
            <v>Expreso - Servicios Troncales</v>
          </cell>
          <cell r="AY267" t="str">
            <v>Expreso - Servicios Troncales</v>
          </cell>
          <cell r="AZ267" t="str">
            <v>Expreso - Servicios Troncales</v>
          </cell>
          <cell r="BA267" t="str">
            <v>Expreso - Servicios Troncales</v>
          </cell>
          <cell r="BB267" t="str">
            <v>Expreso - Servicios Troncales</v>
          </cell>
          <cell r="BC267" t="str">
            <v>Expreso - Servicios Troncales</v>
          </cell>
          <cell r="BD267" t="str">
            <v>SUC_CTC - Sucursal Buenos Aires</v>
          </cell>
          <cell r="BE267" t="str">
            <v>SUC_CTC - Sucursal Buenos Aires</v>
          </cell>
          <cell r="BF267" t="str">
            <v>SUC_CTC - Sucursal Buenos Aires</v>
          </cell>
          <cell r="BG267" t="str">
            <v>SUC_CTC - Sucursal Buenos Aires</v>
          </cell>
          <cell r="BH267" t="str">
            <v>SUC_CTC - Sucursal Buenos Aires</v>
          </cell>
          <cell r="BI267" t="str">
            <v>SUC_CTC - Sucursal Buenos Aires</v>
          </cell>
          <cell r="BJ267" t="str">
            <v>SUC_CTC - Sucursal Buenos Aires</v>
          </cell>
          <cell r="BK267" t="str">
            <v>SUC_CTC - Sucursal Buenos Aires</v>
          </cell>
          <cell r="BL267" t="str">
            <v>SUC_CTC - Sucursal Buenos Aires</v>
          </cell>
          <cell r="BM267" t="str">
            <v>SUC_CTC - Sucursal Buenos Aires</v>
          </cell>
          <cell r="BN267" t="str">
            <v>SUC_CTC - Sucursal Buenos Aires</v>
          </cell>
          <cell r="BO267" t="str">
            <v>SUC_CTC - Sucursal Buenos Aires</v>
          </cell>
          <cell r="BP267" t="str">
            <v>SUC_CTC - Sucursal Buenos Aires</v>
          </cell>
          <cell r="BQ267" t="str">
            <v>Expreso - Servicios Troncales</v>
          </cell>
          <cell r="BR267" t="str">
            <v>Expreso - Servicios Troncales</v>
          </cell>
          <cell r="BS267" t="str">
            <v>Expreso - Servicios Troncales</v>
          </cell>
          <cell r="BT267" t="str">
            <v>Expreso - Servicios Troncales</v>
          </cell>
          <cell r="BU267" t="str">
            <v>Expreso - Servicios Troncales</v>
          </cell>
          <cell r="BV267" t="str">
            <v>Expreso - Servicios Troncales</v>
          </cell>
          <cell r="BW267" t="str">
            <v>Expreso - Servicios Troncales</v>
          </cell>
          <cell r="BX267" t="str">
            <v>Expreso - Servicios Troncales</v>
          </cell>
          <cell r="BY267" t="str">
            <v>Expreso - Servicios Troncales</v>
          </cell>
          <cell r="BZ267" t="str">
            <v>Expreso - Servicios Troncales</v>
          </cell>
          <cell r="CA267" t="str">
            <v>Expreso - Servicios Troncales</v>
          </cell>
          <cell r="CB267" t="str">
            <v>Expreso - Servicios Troncales</v>
          </cell>
          <cell r="CC267" t="str">
            <v>Expreso - Servicios Troncales</v>
          </cell>
          <cell r="CD267" t="str">
            <v>Expreso - Servicios Troncales</v>
          </cell>
          <cell r="CE267" t="str">
            <v>Unilever - Unilever de Arg. S.A.</v>
          </cell>
          <cell r="CF267" t="str">
            <v>Unilever - Unilever de Arg. S.A.</v>
          </cell>
          <cell r="CG267" t="str">
            <v>Unilever - Unilever de Arg. S.A.</v>
          </cell>
          <cell r="CH267" t="str">
            <v>JOHNSON - SC JOHNSON DE ARGENTINA SAIC</v>
          </cell>
          <cell r="CI267" t="str">
            <v>JOHNSON - SC JOHNSON DE ARGENTINA SAIC</v>
          </cell>
          <cell r="CJ267" t="str">
            <v>JOHNSON - SC JOHNSON DE ARGENTINA SAIC</v>
          </cell>
          <cell r="CK267" t="str">
            <v>JOHNSON - SC JOHNSON DE ARGENTINA SAIC</v>
          </cell>
          <cell r="CL267" t="str">
            <v>JOHNSON - SC JOHNSON DE ARGENTINA SAIC</v>
          </cell>
          <cell r="CM267" t="str">
            <v>JOHNSON - SC JOHNSON DE ARGENTINA SAIC</v>
          </cell>
          <cell r="CN267" t="str">
            <v>Unilever - Unilever de Arg. S.A.</v>
          </cell>
          <cell r="CO267" t="str">
            <v>Unilever - Unilever de Arg. S.A.</v>
          </cell>
          <cell r="CP267" t="str">
            <v>JOHNSON - SC JOHNSON DE ARGENTINA SAIC</v>
          </cell>
          <cell r="CQ267" t="str">
            <v>JOHNSON - SC JOHNSON DE ARGENTINA SAIC</v>
          </cell>
          <cell r="CR267" t="str">
            <v>Unilever - Unilever de Arg. S.A.</v>
          </cell>
          <cell r="CS267" t="str">
            <v>Unilever - Unilever de Arg. S.A.</v>
          </cell>
          <cell r="CT267" t="str">
            <v>Unilever - Unilever de Arg. S.A.</v>
          </cell>
          <cell r="CU267" t="str">
            <v>Unilever - Unilever de Arg. S.A.</v>
          </cell>
          <cell r="CV267" t="str">
            <v>Unilever - Unilever de Arg. S.A.</v>
          </cell>
          <cell r="CW267" t="str">
            <v>Unilever - Unilever de Arg. S.A.</v>
          </cell>
        </row>
        <row r="268">
          <cell r="D268" t="str">
            <v>IHC498</v>
          </cell>
          <cell r="E268" t="str">
            <v>Chasis</v>
          </cell>
          <cell r="F268">
            <v>0</v>
          </cell>
          <cell r="G268" t="str">
            <v>Chasis</v>
          </cell>
          <cell r="N268" t="str">
            <v>GIRON ELIBERTO</v>
          </cell>
          <cell r="O268" t="str">
            <v>GIRON ELIBERTO</v>
          </cell>
          <cell r="P268" t="str">
            <v>No</v>
          </cell>
          <cell r="Q268" t="str">
            <v>De Tercero</v>
          </cell>
          <cell r="R268" t="str">
            <v>-</v>
          </cell>
          <cell r="S268" t="str">
            <v>De Tercero</v>
          </cell>
          <cell r="T268" t="str">
            <v>MERCEDES BENZ</v>
          </cell>
          <cell r="U268" t="str">
            <v>L 1318</v>
          </cell>
          <cell r="V268">
            <v>2009</v>
          </cell>
          <cell r="W268">
            <v>17</v>
          </cell>
          <cell r="X268">
            <v>2009</v>
          </cell>
          <cell r="Y268">
            <v>17</v>
          </cell>
          <cell r="Z268" t="str">
            <v xml:space="preserve">Aguanort </v>
          </cell>
          <cell r="AA268" t="str">
            <v>AGN_TTE - AGUANORT - Transporte</v>
          </cell>
          <cell r="AB268" t="str">
            <v>AGN_TTE - AGUANORT - Transporte</v>
          </cell>
          <cell r="AC268" t="str">
            <v>AGN_TTE - AGUANORT - Transporte</v>
          </cell>
          <cell r="AD268" t="str">
            <v>AGN_TTE - AGUANORT - Transporte</v>
          </cell>
          <cell r="AE268" t="str">
            <v>AGN_TTE - AGUANORT - Transporte</v>
          </cell>
          <cell r="AF268" t="str">
            <v>AGN_TTE - AGUANORT - Transporte</v>
          </cell>
          <cell r="AG268" t="str">
            <v>AGN_TTE - AGUANORT - Transporte</v>
          </cell>
          <cell r="AH268" t="str">
            <v>AGN_TTE - AGUANORT - Transporte</v>
          </cell>
          <cell r="AI268" t="str">
            <v>AGN_TTE - AGUANORT - Transporte</v>
          </cell>
          <cell r="AJ268" t="str">
            <v>AGN_TTE - AGUANORT - Transporte</v>
          </cell>
          <cell r="AK268" t="str">
            <v>AGN_TTE - AGUANORT - Transporte</v>
          </cell>
          <cell r="AL268" t="str">
            <v>AGN_TTE - AGUANORT - Transporte</v>
          </cell>
          <cell r="AM268" t="str">
            <v>AGN_TTE - AGUANORT - Transporte</v>
          </cell>
          <cell r="AN268" t="str">
            <v>AGN_TTE - AGUANORT - Transporte</v>
          </cell>
          <cell r="AO268" t="str">
            <v>AGN_TTE - AGUANORT - Transporte</v>
          </cell>
          <cell r="AP268" t="str">
            <v>AGN_TTE - AGUANORT - Transporte</v>
          </cell>
          <cell r="AQ268" t="str">
            <v>AGN_TTE - AGUANORT - Transporte</v>
          </cell>
          <cell r="AR268" t="str">
            <v>AGN_TTE - AGUANORT - Transporte</v>
          </cell>
          <cell r="AS268" t="str">
            <v>AGN_TTE - AGUANORT - Transporte</v>
          </cell>
          <cell r="AT268" t="str">
            <v>AGN_TTE - AGUANORT - Transporte</v>
          </cell>
          <cell r="AU268" t="str">
            <v>AGN_TTE - AGUANORT - Transporte</v>
          </cell>
          <cell r="AV268" t="str">
            <v>AGN_TTE - AGUANORT - Transporte</v>
          </cell>
          <cell r="AW268" t="str">
            <v>AGN_TTE - AGUANORT - Transporte</v>
          </cell>
          <cell r="AX268" t="str">
            <v>AGN_TTE - AGUANORT - Transporte</v>
          </cell>
          <cell r="AY268" t="str">
            <v>AGN_TTE - AGUANORT - Transporte</v>
          </cell>
          <cell r="AZ268" t="str">
            <v>AGN_TTE - AGUANORT - Transporte</v>
          </cell>
          <cell r="BA268" t="str">
            <v>AGN_TTE - AGUANORT - Transporte</v>
          </cell>
          <cell r="BB268" t="str">
            <v>AGN_TTE - AGUANORT - Transporte</v>
          </cell>
          <cell r="BC268" t="str">
            <v>AGN_TTE - AGUANORT - Transporte</v>
          </cell>
          <cell r="BD268" t="str">
            <v>AGN_TTE - AGUANORT - Transporte</v>
          </cell>
          <cell r="BE268" t="str">
            <v>AGN_TTE - AGUANORT - Transporte</v>
          </cell>
          <cell r="BF268" t="str">
            <v>AGN_TTE - AGUANORT - Transporte</v>
          </cell>
          <cell r="BG268" t="str">
            <v>AGN_TTE - AGUANORT - Transporte</v>
          </cell>
          <cell r="BH268" t="str">
            <v>AGN_TTE - AGUANORT - Transporte</v>
          </cell>
          <cell r="BI268" t="str">
            <v>AGN_TTE - AGUANORT - Transporte</v>
          </cell>
          <cell r="BJ268" t="str">
            <v>AGN_TTE - AGUANORT - Transporte</v>
          </cell>
          <cell r="BK268" t="str">
            <v>AGN_TTE - AGUANORT - Transporte</v>
          </cell>
          <cell r="BL268" t="str">
            <v>AGN_TTE - AGUANORT - Transporte</v>
          </cell>
          <cell r="BM268" t="str">
            <v>AGN_TTE - AGUANORT - Transporte</v>
          </cell>
          <cell r="BN268" t="str">
            <v>AGN_TTE - AGUANORT - Transporte</v>
          </cell>
          <cell r="BO268" t="str">
            <v>AGN_TTE - AGUANORT - Transporte</v>
          </cell>
          <cell r="BP268" t="str">
            <v>AGN_TTE - AGUANORT - Transporte</v>
          </cell>
          <cell r="BQ268" t="str">
            <v>AGN_TTE - AGUANORT - Transporte</v>
          </cell>
          <cell r="BR268" t="str">
            <v>AGN_TTE - AGUANORT - Transporte</v>
          </cell>
          <cell r="BS268" t="str">
            <v>AGN_TTE - AGUANORT - Transporte</v>
          </cell>
          <cell r="BT268" t="str">
            <v>AGN_TTE - AGUANORT - Transporte</v>
          </cell>
          <cell r="BU268" t="str">
            <v>Sin Operación</v>
          </cell>
          <cell r="BV268" t="str">
            <v>AGN_TTE - AGUANORT - Transporte</v>
          </cell>
          <cell r="BW268" t="str">
            <v>AGN_TTE - AGUANORT - Transporte</v>
          </cell>
          <cell r="BX268" t="str">
            <v>AGN_TTE - AGUANORT - Transporte</v>
          </cell>
          <cell r="BY268" t="str">
            <v>AGN_TTE - AGUANORT - Transporte</v>
          </cell>
          <cell r="BZ268" t="str">
            <v>AGN_TTE - AGUANORT - Transporte</v>
          </cell>
          <cell r="CA268" t="str">
            <v>AGN_TTE - AGUANORT - Transporte</v>
          </cell>
          <cell r="CB268" t="str">
            <v>AGN_TTE - AGUANORT - Transporte</v>
          </cell>
          <cell r="CC268" t="str">
            <v>AGN_TTE - AGUANORT - Transporte</v>
          </cell>
          <cell r="CD268" t="str">
            <v>AGN_TTE - AGUANORT - Transporte</v>
          </cell>
          <cell r="CE268" t="str">
            <v>AGN_TTE - AGUANORT - Transporte</v>
          </cell>
          <cell r="CF268" t="str">
            <v>AGN_TTE - AGUANORT - Transporte</v>
          </cell>
          <cell r="CG268" t="str">
            <v>AGN_TTE - AGUANORT - Transporte</v>
          </cell>
          <cell r="CH268" t="str">
            <v>AGN_TTE - AGUANORT - Transporte</v>
          </cell>
          <cell r="CI268" t="str">
            <v>AGN_TTE - AGUANORT - Transporte</v>
          </cell>
          <cell r="CJ268" t="str">
            <v>AGN_TTE - AGUANORT - Transporte</v>
          </cell>
          <cell r="CK268" t="str">
            <v>AGN_TTE - AGUANORT - Transporte</v>
          </cell>
          <cell r="CL268" t="str">
            <v>AGN_TTE - AGUANORT - Transporte</v>
          </cell>
          <cell r="CM268" t="str">
            <v>AGN_TTE - AGUANORT - Transporte</v>
          </cell>
          <cell r="CN268" t="str">
            <v>AGN_TTE - AGUANORT - Transporte</v>
          </cell>
          <cell r="CO268" t="str">
            <v>AGN_TTE - AGUANORT - Transporte</v>
          </cell>
          <cell r="CP268" t="str">
            <v>AGN_TTE - AGUANORT - Transporte</v>
          </cell>
          <cell r="CQ268" t="str">
            <v>AGN_TTE - AGUANORT - Transporte</v>
          </cell>
          <cell r="CR268" t="str">
            <v>AGN_TTE - AGUANORT - Transporte</v>
          </cell>
          <cell r="CS268" t="str">
            <v>AGN_TTE - AGUANORT - Transporte</v>
          </cell>
          <cell r="CT268" t="str">
            <v>AGN_TTE - AGUANORT - Transporte</v>
          </cell>
          <cell r="CU268" t="str">
            <v>AGN_TTE - AGUANORT - Transporte</v>
          </cell>
          <cell r="CV268" t="str">
            <v>AGN_TTE - AGUANORT - Transporte</v>
          </cell>
          <cell r="CW268" t="str">
            <v>AGN_TTE - AGUANORT - Transporte</v>
          </cell>
        </row>
        <row r="269">
          <cell r="D269" t="str">
            <v>IRC117</v>
          </cell>
          <cell r="E269" t="str">
            <v>Camioneta</v>
          </cell>
          <cell r="F269" t="str">
            <v>Utilitario</v>
          </cell>
          <cell r="G269" t="str">
            <v>Utilitario</v>
          </cell>
          <cell r="N269" t="str">
            <v>CODYLSA</v>
          </cell>
          <cell r="O269" t="str">
            <v>CODYLSA</v>
          </cell>
          <cell r="P269" t="str">
            <v>No</v>
          </cell>
          <cell r="Q269" t="str">
            <v>Propio</v>
          </cell>
          <cell r="R269">
            <v>4</v>
          </cell>
          <cell r="S269" t="str">
            <v>Propio</v>
          </cell>
          <cell r="T269" t="str">
            <v>MERCEDES BENZ</v>
          </cell>
          <cell r="U269" t="str">
            <v>Sprinter 413 SDI/F</v>
          </cell>
          <cell r="V269">
            <v>61198170105546</v>
          </cell>
          <cell r="W269" t="str">
            <v>8AC904663AE029804</v>
          </cell>
          <cell r="X269">
            <v>2010</v>
          </cell>
          <cell r="Y269">
            <v>16</v>
          </cell>
          <cell r="Z269" t="str">
            <v>Malargue</v>
          </cell>
          <cell r="AA269" t="str">
            <v>Expreso - Servicios Troncales</v>
          </cell>
          <cell r="AB269" t="str">
            <v>Expreso - Servicios Troncales</v>
          </cell>
          <cell r="AC269" t="str">
            <v>Expreso - Servicios Troncales</v>
          </cell>
          <cell r="AD269" t="str">
            <v>Expreso - Servicios Troncales</v>
          </cell>
          <cell r="AE269" t="str">
            <v>Expreso - Servicios Troncales</v>
          </cell>
          <cell r="AF269" t="str">
            <v>Expreso - Servicios Troncales</v>
          </cell>
          <cell r="AG269" t="str">
            <v>Expreso - Servicios Troncales</v>
          </cell>
          <cell r="AH269" t="str">
            <v>Expreso - Servicios Troncales</v>
          </cell>
          <cell r="AI269" t="str">
            <v>Expreso - Servicios Troncales</v>
          </cell>
          <cell r="AJ269" t="str">
            <v>Expreso - Servicios Troncales</v>
          </cell>
          <cell r="AK269" t="str">
            <v>Expreso - Servicios Troncales</v>
          </cell>
          <cell r="AL269" t="str">
            <v>Expreso - Servicios Troncales</v>
          </cell>
          <cell r="AM269" t="str">
            <v>Expreso - Servicios Troncales</v>
          </cell>
          <cell r="AN269" t="str">
            <v>Expreso - Servicios Troncales</v>
          </cell>
          <cell r="AO269" t="str">
            <v>Expreso - Servicios Troncales</v>
          </cell>
          <cell r="AP269" t="str">
            <v>Expreso - Servicios Troncales</v>
          </cell>
          <cell r="AQ269" t="str">
            <v>Expreso - Servicios Troncales</v>
          </cell>
          <cell r="AR269" t="str">
            <v>Expreso - Servicios Troncales</v>
          </cell>
          <cell r="AS269" t="str">
            <v>Expreso - Servicios Troncales</v>
          </cell>
          <cell r="AT269" t="str">
            <v>Expreso - Servicios Troncales</v>
          </cell>
          <cell r="AU269" t="str">
            <v>Expreso - Servicios Troncales</v>
          </cell>
          <cell r="AV269" t="str">
            <v>Expreso - Servicios Troncales</v>
          </cell>
          <cell r="AW269" t="str">
            <v>Expreso - Servicios Troncales</v>
          </cell>
          <cell r="AX269" t="str">
            <v>Expreso - Servicios Troncales</v>
          </cell>
          <cell r="AY269" t="str">
            <v>Expreso - Servicios Troncales</v>
          </cell>
          <cell r="AZ269" t="str">
            <v>Expreso - Servicios Troncales</v>
          </cell>
          <cell r="BA269" t="str">
            <v>Expreso - Servicios Troncales</v>
          </cell>
          <cell r="BB269" t="str">
            <v>Expreso - Servicios Troncales</v>
          </cell>
          <cell r="BC269" t="str">
            <v>Expreso - Servicios Troncales</v>
          </cell>
          <cell r="BD269" t="str">
            <v>SUC_SLU - Sucursal San Luis</v>
          </cell>
          <cell r="BE269" t="str">
            <v>SUC_SLU - Sucursal San Luis</v>
          </cell>
          <cell r="BF269" t="str">
            <v>SUC_SLU - Sucursal San Luis</v>
          </cell>
          <cell r="BG269" t="str">
            <v>SUC_SLU - Sucursal San Luis</v>
          </cell>
          <cell r="BH269" t="str">
            <v>SUC_SLU - Sucursal San Luis</v>
          </cell>
          <cell r="BI269" t="str">
            <v>SUC_SLU - Sucursal San Luis</v>
          </cell>
          <cell r="BJ269" t="str">
            <v>SUC_SLU - Sucursal San Luis</v>
          </cell>
          <cell r="BK269" t="str">
            <v>SUC_SLU - Sucursal San Luis</v>
          </cell>
          <cell r="BL269" t="str">
            <v>SUC_SLU - Sucursal San Luis</v>
          </cell>
          <cell r="BM269" t="str">
            <v>SUC_SLU - Sucursal San Luis</v>
          </cell>
          <cell r="BN269" t="str">
            <v>SUC_SLU - Sucursal San Luis</v>
          </cell>
          <cell r="BO269" t="str">
            <v>SUC_SLU - Sucursal San Luis</v>
          </cell>
          <cell r="BP269" t="str">
            <v>SUC_SLU - Sucursal San Luis</v>
          </cell>
          <cell r="BQ269" t="str">
            <v>SUC_CTC - Sucursal Buenos Aires</v>
          </cell>
          <cell r="BR269" t="str">
            <v>SUC_CTC - Sucursal Buenos Aires</v>
          </cell>
          <cell r="BS269" t="str">
            <v>SUC_CTC - Sucursal Buenos Aires</v>
          </cell>
          <cell r="BT269" t="str">
            <v>SUC_CTC - Sucursal Buenos Aires</v>
          </cell>
          <cell r="BU269" t="str">
            <v>SUC_CTC - Sucursal Buenos Aires</v>
          </cell>
          <cell r="BV269" t="str">
            <v>SUC_CTC - Sucursal Buenos Aires</v>
          </cell>
          <cell r="BW269" t="str">
            <v>SUC_CTC - Sucursal Buenos Aires</v>
          </cell>
          <cell r="BX269" t="str">
            <v>SUC_CTC - Sucursal Buenos Aires</v>
          </cell>
          <cell r="BY269" t="str">
            <v>SUC_CTC - Sucursal Buenos Aires</v>
          </cell>
          <cell r="BZ269" t="str">
            <v>SUC_CTC - Sucursal Buenos Aires</v>
          </cell>
          <cell r="CA269" t="str">
            <v>SUC_CTC - Sucursal Buenos Aires</v>
          </cell>
          <cell r="CB269" t="str">
            <v>SUC_CTC - Sucursal Buenos Aires</v>
          </cell>
          <cell r="CC269" t="str">
            <v>SUC_CTC - Sucursal Buenos Aires</v>
          </cell>
          <cell r="CD269" t="str">
            <v>SUC_CTC - Sucursal Buenos Aires</v>
          </cell>
          <cell r="CE269" t="str">
            <v>SUC_CTC - Sucursal Buenos Aires</v>
          </cell>
          <cell r="CF269" t="str">
            <v>SUC_CTC - Sucursal Buenos Aires</v>
          </cell>
          <cell r="CG269" t="str">
            <v>SUC_CTC - Sucursal Buenos Aires</v>
          </cell>
          <cell r="CH269" t="str">
            <v>SUC_CTC - Sucursal Buenos Aires</v>
          </cell>
          <cell r="CI269" t="str">
            <v>SUC_CTC - Sucursal Buenos Aires</v>
          </cell>
          <cell r="CJ269" t="str">
            <v>SUC_CTC - Sucursal Buenos Aires</v>
          </cell>
          <cell r="CK269" t="str">
            <v>SUC_CTC - Sucursal Buenos Aires</v>
          </cell>
          <cell r="CL269" t="str">
            <v>SUC_CTC - Sucursal Buenos Aires</v>
          </cell>
          <cell r="CM269" t="str">
            <v>SUC_CTC - Sucursal Buenos Aires</v>
          </cell>
          <cell r="CN269" t="str">
            <v>SUC_CTC - Sucursal Buenos Aires</v>
          </cell>
          <cell r="CO269" t="str">
            <v>SUC_CTC - Sucursal Buenos Aires</v>
          </cell>
          <cell r="CP269" t="str">
            <v>SUC_CTC - Sucursal Buenos Aires</v>
          </cell>
          <cell r="CQ269" t="str">
            <v>SUC_CTC - Sucursal Buenos Aires</v>
          </cell>
          <cell r="CR269" t="str">
            <v>SUC_CTC - Sucursal Buenos Aires</v>
          </cell>
          <cell r="CS269" t="str">
            <v>SUC_CTC - Sucursal Buenos Aires</v>
          </cell>
          <cell r="CT269" t="str">
            <v>SUC_CTC - Sucursal Buenos Aires</v>
          </cell>
          <cell r="CU269" t="str">
            <v>SUC_CTC - Sucursal Buenos Aires</v>
          </cell>
          <cell r="CV269" t="str">
            <v>SUC_CTC - Sucursal Buenos Aires</v>
          </cell>
          <cell r="CW269" t="str">
            <v>SUC_CTC - Sucursal Buenos Aires</v>
          </cell>
        </row>
        <row r="270">
          <cell r="D270" t="str">
            <v>IVC008</v>
          </cell>
          <cell r="E270" t="str">
            <v>Chasis</v>
          </cell>
          <cell r="F270">
            <v>0</v>
          </cell>
          <cell r="G270" t="str">
            <v>Chasis</v>
          </cell>
          <cell r="N270" t="str">
            <v>GIRON ELIBERTO</v>
          </cell>
          <cell r="O270" t="str">
            <v>GIRON ELIBERTO</v>
          </cell>
          <cell r="P270" t="str">
            <v>No</v>
          </cell>
          <cell r="Q270" t="str">
            <v>De Tercero</v>
          </cell>
          <cell r="R270" t="str">
            <v>-</v>
          </cell>
          <cell r="S270" t="str">
            <v>De Tercero</v>
          </cell>
          <cell r="T270" t="str">
            <v>MERCEDES BENZ</v>
          </cell>
          <cell r="U270" t="str">
            <v>L 1624</v>
          </cell>
          <cell r="V270">
            <v>2010</v>
          </cell>
          <cell r="W270">
            <v>16</v>
          </cell>
          <cell r="X270">
            <v>2010</v>
          </cell>
          <cell r="Y270">
            <v>16</v>
          </cell>
          <cell r="Z270" t="str">
            <v>TDU</v>
          </cell>
          <cell r="AA270" t="str">
            <v>AGN_TTE - AGUANORT - Transporte</v>
          </cell>
          <cell r="AB270" t="str">
            <v>AGN_TTE - AGUANORT - Transporte</v>
          </cell>
          <cell r="AC270" t="str">
            <v>AGN_TTE - AGUANORT - Transporte</v>
          </cell>
          <cell r="AD270" t="str">
            <v>AGN_TTE - AGUANORT - Transporte</v>
          </cell>
          <cell r="AE270" t="str">
            <v>AGN_TTE - AGUANORT - Transporte</v>
          </cell>
          <cell r="AF270" t="str">
            <v>AGN_TTE - AGUANORT - Transporte</v>
          </cell>
          <cell r="AG270" t="str">
            <v>AGN_TTE - AGUANORT - Transporte</v>
          </cell>
          <cell r="AH270" t="str">
            <v>AGN_TTE - AGUANORT - Transporte</v>
          </cell>
          <cell r="AI270" t="str">
            <v>AGN_TTE - AGUANORT - Transporte</v>
          </cell>
          <cell r="AJ270" t="str">
            <v>AGN_TTE - AGUANORT - Transporte</v>
          </cell>
          <cell r="AK270" t="str">
            <v>AGN_TTE - AGUANORT - Transporte</v>
          </cell>
          <cell r="AL270" t="str">
            <v>AGN_TTE - AGUANORT - Transporte</v>
          </cell>
          <cell r="AM270" t="str">
            <v>AGN_TTE - AGUANORT - Transporte</v>
          </cell>
          <cell r="AN270" t="str">
            <v>AGN_TTE - AGUANORT - Transporte</v>
          </cell>
          <cell r="AO270" t="str">
            <v>AGN_TTE - AGUANORT - Transporte</v>
          </cell>
          <cell r="AP270" t="str">
            <v>AGN_TTE - AGUANORT - Transporte</v>
          </cell>
          <cell r="AQ270" t="str">
            <v>AGN_TTE - AGUANORT - Transporte</v>
          </cell>
          <cell r="AR270" t="str">
            <v>AGN_TTE - AGUANORT - Transporte</v>
          </cell>
          <cell r="AS270" t="str">
            <v>AGN_TTE - AGUANORT - Transporte</v>
          </cell>
          <cell r="AT270" t="str">
            <v>AGN_TTE - AGUANORT - Transporte</v>
          </cell>
          <cell r="AU270" t="str">
            <v>AGN_TTE - AGUANORT - Transporte</v>
          </cell>
          <cell r="AV270" t="str">
            <v>AGN_TTE - AGUANORT - Transporte</v>
          </cell>
          <cell r="AW270" t="str">
            <v>AGN_TTE - AGUANORT - Transporte</v>
          </cell>
          <cell r="AX270" t="str">
            <v>CMQ_TTE - QUILMES TTE</v>
          </cell>
          <cell r="AY270" t="str">
            <v>CMQ_TTE - QUILMES TTE</v>
          </cell>
          <cell r="AZ270" t="str">
            <v>CMQ_TTE - QUILMES TTE</v>
          </cell>
          <cell r="BA270" t="str">
            <v>CMQ_TTE - QUILMES TTE</v>
          </cell>
          <cell r="BB270" t="str">
            <v>CMQ_TTE - QUILMES TTE</v>
          </cell>
          <cell r="BC270" t="str">
            <v>CMQ_TTE - QUILMES TTE</v>
          </cell>
          <cell r="BD270" t="str">
            <v>CMQ_TTE - QUILMES TTE</v>
          </cell>
          <cell r="BE270" t="str">
            <v>CMQ_TTE - QUILMES TTE</v>
          </cell>
          <cell r="BF270" t="str">
            <v>CMQ_TTE - QUILMES TTE</v>
          </cell>
          <cell r="BG270" t="str">
            <v>CMQ_TTE - QUILMES TTE</v>
          </cell>
          <cell r="BH270" t="str">
            <v>CMQ_TTE - QUILMES TTE</v>
          </cell>
          <cell r="BI270" t="str">
            <v>CMQ_TTE - QUILMES TTE</v>
          </cell>
          <cell r="BJ270" t="str">
            <v>CMQ_TTE - QUILMES TTE</v>
          </cell>
          <cell r="BK270" t="str">
            <v>CMQ_TTE - QUILMES TTE</v>
          </cell>
          <cell r="BL270" t="str">
            <v>CMQ_TTE - QUILMES TTE</v>
          </cell>
          <cell r="BM270" t="str">
            <v>CMQ_TTE - QUILMES TTE</v>
          </cell>
          <cell r="BN270" t="str">
            <v>CMQ_TTE - QUILMES TTE</v>
          </cell>
          <cell r="BO270" t="str">
            <v>CMQ_TTE - QUILMES TTE</v>
          </cell>
          <cell r="BP270" t="str">
            <v>CMQ_TTE - QUILMES TTE</v>
          </cell>
          <cell r="BQ270" t="str">
            <v>CMQ_TTE - QUILMES TTE</v>
          </cell>
          <cell r="BR270" t="str">
            <v>CMQ_TTE - QUILMES TTE</v>
          </cell>
          <cell r="BS270" t="str">
            <v>CMQ_TTE - QUILMES TTE</v>
          </cell>
          <cell r="BT270" t="str">
            <v>CMQ_TTE - QUILMES TTE</v>
          </cell>
          <cell r="BU270" t="str">
            <v>CMQ_TTE - QUILMES TTE</v>
          </cell>
          <cell r="BV270" t="str">
            <v>CMQ_TTE - QUILMES TTE</v>
          </cell>
          <cell r="BW270" t="str">
            <v>CMQ_TTE - QUILMES TTE</v>
          </cell>
          <cell r="BX270" t="str">
            <v>CMQ_TTE - QUILMES TTE</v>
          </cell>
          <cell r="BY270" t="str">
            <v>CMQ_TTE - QUILMES TTE</v>
          </cell>
          <cell r="BZ270" t="str">
            <v>CMQ_TTE - QUILMES TTE</v>
          </cell>
          <cell r="CA270" t="str">
            <v>CMQ_TTE - QUILMES TTE</v>
          </cell>
          <cell r="CB270" t="str">
            <v>CMQ_TTE - QUILMES TTE</v>
          </cell>
          <cell r="CC270" t="str">
            <v>CMQ_TTE - QUILMES TTE</v>
          </cell>
          <cell r="CD270" t="str">
            <v>CMQ_TTE - QUILMES TTE</v>
          </cell>
          <cell r="CE270" t="str">
            <v>CMQ_TTE - QUILMES TTE</v>
          </cell>
          <cell r="CF270" t="str">
            <v>CMQ_TTE - QUILMES TTE</v>
          </cell>
          <cell r="CG270" t="str">
            <v>CMQ_TTE - QUILMES TTE</v>
          </cell>
          <cell r="CH270" t="str">
            <v>CMQ_TTE - QUILMES TTE</v>
          </cell>
          <cell r="CI270" t="str">
            <v>CMQ_TTE - QUILMES TTE</v>
          </cell>
          <cell r="CJ270" t="str">
            <v>CMQ_TTE - QUILMES TTE</v>
          </cell>
          <cell r="CK270" t="str">
            <v>CMQ_TTE - QUILMES TTE</v>
          </cell>
          <cell r="CL270" t="str">
            <v>CMQ_TTE - QUILMES TTE</v>
          </cell>
          <cell r="CM270" t="str">
            <v>CMQ_TTE - QUILMES TTE</v>
          </cell>
          <cell r="CN270" t="str">
            <v>CMQ_TTE - QUILMES TTE</v>
          </cell>
          <cell r="CO270" t="str">
            <v>CMQ_TTE - QUILMES TTE</v>
          </cell>
          <cell r="CP270" t="str">
            <v>CMQ_TTE - QUILMES TTE</v>
          </cell>
          <cell r="CQ270" t="str">
            <v>CMQ_TTE - QUILMES TTE</v>
          </cell>
          <cell r="CR270" t="str">
            <v>CMQ_TTE - QUILMES TTE</v>
          </cell>
          <cell r="CS270" t="str">
            <v>CMQ_TTE - QUILMES TTE</v>
          </cell>
          <cell r="CT270" t="str">
            <v>CMQ_TTE - QUILMES TTE</v>
          </cell>
          <cell r="CU270" t="str">
            <v>CMQ_TTE - QUILMES TTE</v>
          </cell>
          <cell r="CV270" t="str">
            <v>CMQ_TTE - QUILMES TTE</v>
          </cell>
          <cell r="CW270" t="str">
            <v>CMQ_TTE - QUILMES TTE</v>
          </cell>
        </row>
        <row r="271">
          <cell r="D271" t="str">
            <v>IVD940</v>
          </cell>
          <cell r="E271" t="str">
            <v>Chasis</v>
          </cell>
          <cell r="F271" t="str">
            <v>Chasis</v>
          </cell>
          <cell r="G271" t="str">
            <v>Chasis</v>
          </cell>
          <cell r="N271" t="str">
            <v>CODYLSA</v>
          </cell>
          <cell r="O271" t="str">
            <v>CODYLSA</v>
          </cell>
          <cell r="P271" t="str">
            <v>No</v>
          </cell>
          <cell r="Q271" t="str">
            <v>Propio</v>
          </cell>
          <cell r="R271">
            <v>12</v>
          </cell>
          <cell r="S271" t="str">
            <v>Propio</v>
          </cell>
          <cell r="T271" t="str">
            <v>MERCEDES BENZ</v>
          </cell>
          <cell r="U271" t="str">
            <v>ATEGO 1418/48 FRONTAL</v>
          </cell>
          <cell r="V271" t="str">
            <v>904967U859290</v>
          </cell>
          <cell r="W271" t="str">
            <v>9BM958034AB692341</v>
          </cell>
          <cell r="X271">
            <v>2010</v>
          </cell>
          <cell r="Y271">
            <v>16</v>
          </cell>
          <cell r="Z271" t="str">
            <v>Danone Alianza</v>
          </cell>
          <cell r="AA271" t="str">
            <v>ADA_Mino - Danone Arg. S.A. - Mino</v>
          </cell>
          <cell r="AB271" t="str">
            <v>ADA_Mino - Danone Arg. S.A. - Mino</v>
          </cell>
          <cell r="AC271" t="str">
            <v>ADA_Mino - Danone Arg. S.A. - Mino</v>
          </cell>
          <cell r="AD271" t="str">
            <v>ADA_Mino - Danone Arg. S.A. - Mino</v>
          </cell>
          <cell r="AE271" t="str">
            <v>ADA_Mino - Danone Arg. S.A. - Mino</v>
          </cell>
          <cell r="AF271" t="str">
            <v>ADA_Mino - Danone Arg. S.A. - Mino</v>
          </cell>
          <cell r="AG271" t="str">
            <v>ADA_Mino - Danone Arg. S.A. - Mino</v>
          </cell>
          <cell r="AH271" t="str">
            <v>ADA_Mino - Danone Arg. S.A. - Mino</v>
          </cell>
          <cell r="AI271" t="str">
            <v>ADA_Mino - Danone Arg. S.A. - Mino</v>
          </cell>
          <cell r="AJ271" t="str">
            <v>ADA_Mino - Danone Arg. S.A. - Mino</v>
          </cell>
          <cell r="AK271" t="str">
            <v>ADA_Mino - Danone Arg. S.A. - Mino</v>
          </cell>
          <cell r="AL271" t="str">
            <v>ADA_Mino - Danone Arg. S.A. - Mino</v>
          </cell>
          <cell r="AM271" t="str">
            <v>ADA_Mino - Danone Arg. S.A. - Mino</v>
          </cell>
          <cell r="AN271" t="str">
            <v>ADA_Mino - Danone Arg. S.A. - Mino</v>
          </cell>
          <cell r="AO271" t="str">
            <v>ADA_Mino - Danone Arg. S.A. - Mino</v>
          </cell>
          <cell r="AP271" t="str">
            <v>ADA_Mino - Danone Arg. S.A. - Mino</v>
          </cell>
          <cell r="AQ271" t="str">
            <v>ADA_Mino - Danone Arg. S.A. - Mino</v>
          </cell>
          <cell r="AR271" t="str">
            <v>ADA_Mino - Danone Arg. S.A. - Mino</v>
          </cell>
          <cell r="AS271" t="str">
            <v>ADA_Mino - Danone Arg. S.A. - Mino</v>
          </cell>
          <cell r="AT271" t="str">
            <v>ADA_Mino - Danone Arg. S.A. - Mino</v>
          </cell>
          <cell r="AU271" t="str">
            <v>ADA_Mino - Danone Arg. S.A. - Mino</v>
          </cell>
          <cell r="AV271" t="str">
            <v>ADA_Mino - Danone Arg. S.A. - Mino</v>
          </cell>
          <cell r="AW271" t="str">
            <v>ADA_Mino - Danone Arg. S.A. - Mino</v>
          </cell>
          <cell r="AX271" t="str">
            <v>ADA_Mino - Danone Arg. S.A. - Mino</v>
          </cell>
          <cell r="AY271" t="str">
            <v>ADA_Mino - Danone Arg. S.A. - Mino</v>
          </cell>
          <cell r="AZ271" t="str">
            <v>ADA_Mino - Danone Arg. S.A. - Mino</v>
          </cell>
          <cell r="BA271" t="str">
            <v>ADA_Mino - Danone Arg. S.A. - Mino</v>
          </cell>
          <cell r="BB271" t="str">
            <v>ADA_Mino - Danone Arg. S.A. - Mino</v>
          </cell>
          <cell r="BC271" t="str">
            <v>ADA_Mino - Danone Arg. S.A. - Mino</v>
          </cell>
          <cell r="BD271" t="str">
            <v>ADA_Mino - Danone Arg. S.A. - Mino</v>
          </cell>
          <cell r="BE271" t="str">
            <v>ADA_Mino - Danone Arg. S.A. - Mino</v>
          </cell>
          <cell r="BF271" t="str">
            <v>ADA_Mino - Danone Arg. S.A. - Mino</v>
          </cell>
          <cell r="BG271" t="str">
            <v>ADA_Mino - Danone Arg. S.A. - Mino</v>
          </cell>
          <cell r="BH271" t="str">
            <v>ADA_Mino - Danone Arg. S.A. - Mino</v>
          </cell>
          <cell r="BI271" t="str">
            <v>ADA_Mino - Danone Arg. S.A. - Mino</v>
          </cell>
          <cell r="BJ271" t="str">
            <v>ADA_Mino - Danone Arg. S.A. - Mino</v>
          </cell>
          <cell r="BK271" t="str">
            <v>ADA_Mino - Danone Arg. S.A. - Mino</v>
          </cell>
          <cell r="BL271" t="str">
            <v>ADA_Mino - Danone Arg. S.A. - Mino</v>
          </cell>
          <cell r="BM271" t="str">
            <v>ADA_Mino - Danone Arg. S.A. - Mino</v>
          </cell>
          <cell r="BN271" t="str">
            <v>ADA_Mino - Danone Arg. S.A. - Mino</v>
          </cell>
          <cell r="BO271" t="str">
            <v>ADA_Mino - Danone Arg. S.A. - Mino</v>
          </cell>
          <cell r="BP271" t="str">
            <v>ADA_Mino - Danone Arg. S.A. - Mino</v>
          </cell>
          <cell r="BQ271" t="str">
            <v>ADA_Mino - Danone Arg. S.A. - Mino</v>
          </cell>
          <cell r="BR271" t="str">
            <v>ADA_Mino - Danone Arg. S.A. - Mino</v>
          </cell>
          <cell r="BS271" t="str">
            <v>ADA_Mino - Danone Arg. S.A. - Mino</v>
          </cell>
          <cell r="BT271" t="str">
            <v>ADA_Mino - Danone Arg. S.A. - Mino</v>
          </cell>
          <cell r="BU271" t="str">
            <v>CCUCoAZA</v>
          </cell>
          <cell r="BV271" t="str">
            <v>CCUCoAZA</v>
          </cell>
          <cell r="BW271" t="str">
            <v>CCUCoAZA</v>
          </cell>
          <cell r="BX271" t="str">
            <v>CCUCoAZA</v>
          </cell>
          <cell r="BY271" t="str">
            <v>CCUCoAZA</v>
          </cell>
          <cell r="BZ271" t="str">
            <v>CCUCoAZA</v>
          </cell>
          <cell r="CA271" t="str">
            <v>CCUCoAZA</v>
          </cell>
          <cell r="CB271" t="str">
            <v>CCUCoAZA</v>
          </cell>
          <cell r="CC271" t="str">
            <v>CCUCoAZA</v>
          </cell>
          <cell r="CD271" t="str">
            <v>CCUCoAZA</v>
          </cell>
          <cell r="CE271" t="str">
            <v>CCUCoAZA</v>
          </cell>
          <cell r="CF271" t="str">
            <v>CCUCoAZA</v>
          </cell>
          <cell r="CG271" t="str">
            <v>CCUCoAZA</v>
          </cell>
          <cell r="CH271" t="str">
            <v>CCUCoAZA</v>
          </cell>
          <cell r="CI271" t="str">
            <v>CCUCoAZA</v>
          </cell>
          <cell r="CJ271" t="str">
            <v>CCUCoAZA</v>
          </cell>
          <cell r="CK271" t="str">
            <v>CCUCoAZA</v>
          </cell>
          <cell r="CL271" t="str">
            <v>CCUCoAZA</v>
          </cell>
          <cell r="CM271" t="str">
            <v>CCUCoAZA</v>
          </cell>
          <cell r="CN271" t="str">
            <v>CCUCoAZA</v>
          </cell>
          <cell r="CO271" t="str">
            <v>CCUCoAZA</v>
          </cell>
          <cell r="CP271" t="str">
            <v>CCUCoAZA</v>
          </cell>
          <cell r="CQ271" t="str">
            <v>CCUCoAZA</v>
          </cell>
          <cell r="CR271" t="str">
            <v>CCUCoAZA</v>
          </cell>
          <cell r="CS271" t="str">
            <v>CCUCoAZA</v>
          </cell>
          <cell r="CT271" t="str">
            <v>CCUCoAZA</v>
          </cell>
          <cell r="CU271" t="str">
            <v>CCUCoAZA</v>
          </cell>
          <cell r="CV271" t="str">
            <v>CCUCoAZA</v>
          </cell>
          <cell r="CW271" t="str">
            <v>CCUCoAZA</v>
          </cell>
        </row>
        <row r="272">
          <cell r="D272" t="str">
            <v>IVD941</v>
          </cell>
          <cell r="E272" t="str">
            <v>Chasis</v>
          </cell>
          <cell r="F272" t="str">
            <v>Chasis</v>
          </cell>
          <cell r="G272" t="str">
            <v>Chasis</v>
          </cell>
          <cell r="N272" t="str">
            <v>CODYLSA</v>
          </cell>
          <cell r="O272" t="str">
            <v>CODYLSA</v>
          </cell>
          <cell r="P272" t="str">
            <v>No</v>
          </cell>
          <cell r="Q272" t="str">
            <v>Propio</v>
          </cell>
          <cell r="R272">
            <v>12</v>
          </cell>
          <cell r="S272" t="str">
            <v>Propio</v>
          </cell>
          <cell r="T272" t="str">
            <v>MERCEDES BENZ</v>
          </cell>
          <cell r="U272" t="str">
            <v>ATEGO 1418/48 FRONTAL</v>
          </cell>
          <cell r="V272" t="str">
            <v>904967U0859116</v>
          </cell>
          <cell r="W272" t="str">
            <v>9BM958034AB692012</v>
          </cell>
          <cell r="X272">
            <v>2010</v>
          </cell>
          <cell r="Y272">
            <v>16</v>
          </cell>
          <cell r="Z272" t="str">
            <v>Danone Alianza</v>
          </cell>
          <cell r="AA272" t="str">
            <v>ADA_Mino - Danone Arg. S.A. - Mino</v>
          </cell>
          <cell r="AB272" t="str">
            <v>ADA_Mino - Danone Arg. S.A. - Mino</v>
          </cell>
          <cell r="AC272" t="str">
            <v>ADA_Mino - Danone Arg. S.A. - Mino</v>
          </cell>
          <cell r="AD272" t="str">
            <v>ADA_Mino - Danone Arg. S.A. - Mino</v>
          </cell>
          <cell r="AE272" t="str">
            <v>ADA_Mino - Danone Arg. S.A. - Mino</v>
          </cell>
          <cell r="AF272" t="str">
            <v>ADA_Mino - Danone Arg. S.A. - Mino</v>
          </cell>
          <cell r="AG272" t="str">
            <v>ADA_Mino - Danone Arg. S.A. - Mino</v>
          </cell>
          <cell r="AH272" t="str">
            <v>ADA_Mino - Danone Arg. S.A. - Mino</v>
          </cell>
          <cell r="AI272" t="str">
            <v>ADA_Mino - Danone Arg. S.A. - Mino</v>
          </cell>
          <cell r="AJ272" t="str">
            <v>ADA_Mino - Danone Arg. S.A. - Mino</v>
          </cell>
          <cell r="AK272" t="str">
            <v>ADA_Mino - Danone Arg. S.A. - Mino</v>
          </cell>
          <cell r="AL272" t="str">
            <v>ADA_Mino - Danone Arg. S.A. - Mino</v>
          </cell>
          <cell r="AM272" t="str">
            <v>ADA_Mino - Danone Arg. S.A. - Mino</v>
          </cell>
          <cell r="AN272" t="str">
            <v>ADA_Mino - Danone Arg. S.A. - Mino</v>
          </cell>
          <cell r="AO272" t="str">
            <v>ADA_Mino - Danone Arg. S.A. - Mino</v>
          </cell>
          <cell r="AP272" t="str">
            <v>ADA_Mino - Danone Arg. S.A. - Mino</v>
          </cell>
          <cell r="AQ272" t="str">
            <v>ADA_Mino - Danone Arg. S.A. - Mino</v>
          </cell>
          <cell r="AR272" t="str">
            <v>ADA_Mino - Danone Arg. S.A. - Mino</v>
          </cell>
          <cell r="AS272" t="str">
            <v>ADA_Mino - Danone Arg. S.A. - Mino</v>
          </cell>
          <cell r="AT272" t="str">
            <v>ADA_Mino - Danone Arg. S.A. - Mino</v>
          </cell>
          <cell r="AU272" t="str">
            <v>ADA_Mino - Danone Arg. S.A. - Mino</v>
          </cell>
          <cell r="AV272" t="str">
            <v>ADA_Mino - Danone Arg. S.A. - Mino</v>
          </cell>
          <cell r="AW272" t="str">
            <v>ADA_Mino - Danone Arg. S.A. - Mino</v>
          </cell>
          <cell r="AX272" t="str">
            <v>ADA_Mino - Danone Arg. S.A. - Mino</v>
          </cell>
          <cell r="AY272" t="str">
            <v>ADA_Mino - Danone Arg. S.A. - Mino</v>
          </cell>
          <cell r="AZ272" t="str">
            <v>ADA_Mino - Danone Arg. S.A. - Mino</v>
          </cell>
          <cell r="BA272" t="str">
            <v>ADA_Mino - Danone Arg. S.A. - Mino</v>
          </cell>
          <cell r="BB272" t="str">
            <v>ADA_Mino - Danone Arg. S.A. - Mino</v>
          </cell>
          <cell r="BC272" t="str">
            <v>ADA_Mino - Danone Arg. S.A. - Mino</v>
          </cell>
          <cell r="BD272" t="str">
            <v>ADA_Mino - Danone Arg. S.A. - Mino</v>
          </cell>
          <cell r="BE272" t="str">
            <v>ADA_Mino - Danone Arg. S.A. - Mino</v>
          </cell>
          <cell r="BF272" t="str">
            <v>ADA_Mino - Danone Arg. S.A. - Mino</v>
          </cell>
          <cell r="BG272" t="str">
            <v>ADA_Mino - Danone Arg. S.A. - Mino</v>
          </cell>
          <cell r="BH272" t="str">
            <v>ADA_Mino - Danone Arg. S.A. - Mino</v>
          </cell>
          <cell r="BI272" t="str">
            <v>ADA_Mino - Danone Arg. S.A. - Mino</v>
          </cell>
          <cell r="BJ272" t="str">
            <v>ADA_Mino - Danone Arg. S.A. - Mino</v>
          </cell>
          <cell r="BK272" t="str">
            <v>ADA_Mino - Danone Arg. S.A. - Mino</v>
          </cell>
          <cell r="BL272" t="str">
            <v>ADA_Mino - Danone Arg. S.A. - Mino</v>
          </cell>
          <cell r="BM272" t="str">
            <v>ADA_Mino - Danone Arg. S.A. - Mino</v>
          </cell>
          <cell r="BN272" t="str">
            <v>ADA_Mino - Danone Arg. S.A. - Mino</v>
          </cell>
          <cell r="BO272" t="str">
            <v>ADA_Mino - Danone Arg. S.A. - Mino</v>
          </cell>
          <cell r="BP272" t="str">
            <v>ADA_Mino - Danone Arg. S.A. - Mino</v>
          </cell>
          <cell r="BQ272" t="str">
            <v>ADA_Mino - Danone Arg. S.A. - Mino</v>
          </cell>
          <cell r="BR272" t="str">
            <v>ADA_Mino - Danone Arg. S.A. - Mino</v>
          </cell>
          <cell r="BS272" t="str">
            <v>ADA_Mino - Danone Arg. S.A. - Mino</v>
          </cell>
          <cell r="BT272" t="str">
            <v>ADA_Mino - Danone Arg. S.A. - Mino</v>
          </cell>
          <cell r="BU272" t="str">
            <v>CCUCoAZA</v>
          </cell>
          <cell r="BV272" t="str">
            <v>CCUCoAZA</v>
          </cell>
          <cell r="BW272" t="str">
            <v>CCUCoAZA</v>
          </cell>
          <cell r="BX272" t="str">
            <v>CCUCoAZA</v>
          </cell>
          <cell r="BY272" t="str">
            <v>CCUCoAZA</v>
          </cell>
          <cell r="BZ272" t="str">
            <v>CCUCoAZA</v>
          </cell>
          <cell r="CA272" t="str">
            <v>CCUCoAZA</v>
          </cell>
          <cell r="CB272" t="str">
            <v>CCUCoAZA</v>
          </cell>
          <cell r="CC272" t="str">
            <v>CCUCoAZA</v>
          </cell>
          <cell r="CD272" t="str">
            <v>CCUCoAZA</v>
          </cell>
          <cell r="CE272" t="str">
            <v>CCUCoAZA</v>
          </cell>
          <cell r="CF272" t="str">
            <v>CCUCoAZA</v>
          </cell>
          <cell r="CG272" t="str">
            <v>CCUCoAZA</v>
          </cell>
          <cell r="CH272" t="str">
            <v>CCUCoAZA</v>
          </cell>
          <cell r="CI272" t="str">
            <v>CCUCoAZA</v>
          </cell>
          <cell r="CJ272" t="str">
            <v>CCUCoAZA</v>
          </cell>
          <cell r="CK272" t="str">
            <v>CCUCoAZA</v>
          </cell>
          <cell r="CL272" t="str">
            <v>CCUCoAZA</v>
          </cell>
          <cell r="CM272" t="str">
            <v>CCUCoAZA</v>
          </cell>
          <cell r="CN272" t="str">
            <v>CCUCoAZA</v>
          </cell>
          <cell r="CO272" t="str">
            <v>CCUCoAZA</v>
          </cell>
          <cell r="CP272" t="str">
            <v>CCUCoAZA</v>
          </cell>
          <cell r="CQ272" t="str">
            <v>CCUCoAZA</v>
          </cell>
          <cell r="CR272" t="str">
            <v>CCUCoAZA</v>
          </cell>
          <cell r="CS272" t="str">
            <v>CCUCoAZA</v>
          </cell>
          <cell r="CT272" t="str">
            <v>CCUCoAZA</v>
          </cell>
          <cell r="CU272" t="str">
            <v>CCUCoAZA</v>
          </cell>
          <cell r="CV272" t="str">
            <v>CCUCoAZA</v>
          </cell>
          <cell r="CW272" t="str">
            <v>CCUCoAZA</v>
          </cell>
        </row>
        <row r="273">
          <cell r="D273" t="str">
            <v>IZD113</v>
          </cell>
          <cell r="E273" t="str">
            <v>Tractor</v>
          </cell>
          <cell r="F273">
            <v>0</v>
          </cell>
          <cell r="G273" t="str">
            <v>Tractor</v>
          </cell>
          <cell r="N273" t="str">
            <v>LUCONI DAMIAN EUGENIO</v>
          </cell>
          <cell r="O273" t="str">
            <v>LUCONI DAMIAN EUGENIO</v>
          </cell>
          <cell r="P273" t="str">
            <v>No</v>
          </cell>
          <cell r="Q273" t="str">
            <v>De Tercero</v>
          </cell>
          <cell r="R273" t="str">
            <v>-</v>
          </cell>
          <cell r="S273" t="str">
            <v>De Tercero</v>
          </cell>
          <cell r="T273" t="str">
            <v>VOLKSWAGEN</v>
          </cell>
          <cell r="U273" t="str">
            <v>17.250 E</v>
          </cell>
          <cell r="V273">
            <v>36155906</v>
          </cell>
          <cell r="W273" t="str">
            <v>9535N8275AR017188</v>
          </cell>
          <cell r="X273">
            <v>2010</v>
          </cell>
          <cell r="Y273">
            <v>16</v>
          </cell>
          <cell r="Z273" t="str">
            <v>Malargue</v>
          </cell>
          <cell r="AA273" t="str">
            <v>Expreso - Servicios Troncales</v>
          </cell>
          <cell r="AB273" t="str">
            <v>Expreso - Servicios Troncales</v>
          </cell>
          <cell r="AC273" t="str">
            <v>Expreso - Servicios Troncales</v>
          </cell>
          <cell r="AD273" t="str">
            <v>Expreso - Servicios Troncales</v>
          </cell>
          <cell r="AE273" t="str">
            <v>Expreso - Servicios Troncales</v>
          </cell>
          <cell r="AF273" t="str">
            <v>Expreso - Servicios Troncales</v>
          </cell>
          <cell r="AG273" t="str">
            <v>Expreso - Servicios Troncales</v>
          </cell>
          <cell r="AH273" t="str">
            <v>Expreso - Servicios Troncales</v>
          </cell>
          <cell r="AI273" t="str">
            <v>Expreso - Servicios Troncales</v>
          </cell>
          <cell r="AJ273" t="str">
            <v>Expreso - Servicios Troncales</v>
          </cell>
          <cell r="AK273" t="str">
            <v>Expreso - Servicios Troncales</v>
          </cell>
          <cell r="AL273" t="str">
            <v>Expreso - Servicios Troncales</v>
          </cell>
          <cell r="AM273" t="str">
            <v>Expreso - Servicios Troncales</v>
          </cell>
          <cell r="AN273" t="str">
            <v>Expreso - Servicios Troncales</v>
          </cell>
          <cell r="AO273" t="str">
            <v>Expreso - Servicios Troncales</v>
          </cell>
          <cell r="AP273" t="str">
            <v>Expreso - Servicios Troncales</v>
          </cell>
          <cell r="AQ273" t="str">
            <v>Expreso - Servicios Troncales</v>
          </cell>
          <cell r="AR273" t="str">
            <v>Expreso - Servicios Troncales</v>
          </cell>
          <cell r="AS273" t="str">
            <v>Expreso - Servicios Troncales</v>
          </cell>
          <cell r="AT273" t="str">
            <v>Expreso - Servicios Troncales</v>
          </cell>
          <cell r="AU273" t="str">
            <v>Expreso - Servicios Troncales</v>
          </cell>
          <cell r="AV273" t="str">
            <v>Expreso - Servicios Troncales</v>
          </cell>
          <cell r="AW273" t="str">
            <v>Expreso - Servicios Troncales</v>
          </cell>
          <cell r="AX273" t="str">
            <v>Expreso - Servicios Troncales</v>
          </cell>
          <cell r="AY273" t="str">
            <v>Expreso - Servicios Troncales</v>
          </cell>
          <cell r="AZ273" t="str">
            <v>Expreso - Servicios Troncales</v>
          </cell>
          <cell r="BA273" t="str">
            <v>Expreso - Servicios Troncales</v>
          </cell>
          <cell r="BB273" t="str">
            <v>Expreso - Servicios Troncales</v>
          </cell>
          <cell r="BC273" t="str">
            <v>Expreso - Servicios Troncales</v>
          </cell>
          <cell r="BD273" t="str">
            <v>SUC_MEN - Sucursal Mendoza</v>
          </cell>
          <cell r="BE273" t="str">
            <v>SUC_MEN - Sucursal Mendoza</v>
          </cell>
          <cell r="BF273" t="str">
            <v>SUC_MEN - Sucursal Mendoza</v>
          </cell>
          <cell r="BG273" t="str">
            <v>SUC_MEN - Sucursal Mendoza</v>
          </cell>
          <cell r="BH273" t="str">
            <v>SUC_MEN - Sucursal Mendoza</v>
          </cell>
          <cell r="BI273" t="str">
            <v>SUC_MEN - Sucursal Mendoza</v>
          </cell>
          <cell r="BJ273" t="str">
            <v>SUC_MEN - Sucursal Mendoza</v>
          </cell>
          <cell r="BK273" t="str">
            <v>SUC_MEN - Sucursal Mendoza</v>
          </cell>
          <cell r="BL273" t="str">
            <v>SUC_MEN - Sucursal Mendoza</v>
          </cell>
          <cell r="BM273" t="str">
            <v>SUC_MEN - Sucursal Mendoza</v>
          </cell>
          <cell r="BN273" t="str">
            <v>SUC_MEN - Sucursal Mendoza</v>
          </cell>
          <cell r="BO273" t="str">
            <v>SUC_MEN - Sucursal Mendoza</v>
          </cell>
          <cell r="BP273" t="str">
            <v>SUC_MEN - Sucursal Mendoza</v>
          </cell>
          <cell r="BQ273" t="str">
            <v>SUC_MEN - Sucursal Mendoza</v>
          </cell>
          <cell r="BR273" t="str">
            <v>SUC_MEN - Sucursal Mendoza</v>
          </cell>
          <cell r="BS273" t="str">
            <v>SUC_MEN - Sucursal Mendoza</v>
          </cell>
          <cell r="BT273" t="str">
            <v>SUC_MEN - Sucursal Mendoza</v>
          </cell>
          <cell r="BU273" t="str">
            <v>SUC_MEN - Sucursal Mendoza</v>
          </cell>
          <cell r="BV273" t="str">
            <v>SUC_MEN - Sucursal Mendoza</v>
          </cell>
          <cell r="BW273" t="str">
            <v>SUC_MEN - Sucursal Mendoza</v>
          </cell>
          <cell r="BX273" t="str">
            <v>SUC_MEN - Sucursal Mendoza</v>
          </cell>
          <cell r="BY273" t="str">
            <v>SUC_MEN - Sucursal Mendoza</v>
          </cell>
          <cell r="BZ273" t="str">
            <v>SUC_MEN - Sucursal Mendoza</v>
          </cell>
          <cell r="CA273" t="str">
            <v>SUC_MEN - Sucursal Mendoza</v>
          </cell>
          <cell r="CB273" t="str">
            <v>SUC_MEN - Sucursal Mendoza</v>
          </cell>
          <cell r="CC273" t="str">
            <v>SUC_MEN - Sucursal Mendoza</v>
          </cell>
          <cell r="CD273" t="str">
            <v>SUC_MEN - Sucursal Mendoza</v>
          </cell>
          <cell r="CE273" t="str">
            <v>SUC_MEN - Sucursal Mendoza</v>
          </cell>
          <cell r="CF273" t="str">
            <v>SUC_MEN - Sucursal Mendoza</v>
          </cell>
          <cell r="CG273" t="str">
            <v>SUC_MEN - Sucursal Mendoza</v>
          </cell>
          <cell r="CH273" t="str">
            <v>SUC_MEN - Sucursal Mendoza</v>
          </cell>
          <cell r="CI273" t="str">
            <v>SUC_MEN - Sucursal Mendoza</v>
          </cell>
          <cell r="CJ273" t="str">
            <v>SUC_MEN - Sucursal Mendoza</v>
          </cell>
          <cell r="CK273" t="str">
            <v>SUC_MEN - Sucursal Mendoza</v>
          </cell>
          <cell r="CL273" t="str">
            <v>SUC_MEN - Sucursal Mendoza</v>
          </cell>
          <cell r="CM273" t="str">
            <v>SUC_MEN - Sucursal Mendoza</v>
          </cell>
          <cell r="CN273" t="str">
            <v>SUC_MEN - Sucursal Mendoza</v>
          </cell>
          <cell r="CO273" t="str">
            <v>SUC_MEN - Sucursal Mendoza</v>
          </cell>
          <cell r="CP273" t="str">
            <v>SUC_MEN - Sucursal Mendoza</v>
          </cell>
          <cell r="CQ273" t="str">
            <v>SUC_MEN - Sucursal Mendoza</v>
          </cell>
          <cell r="CR273" t="str">
            <v>BAJA</v>
          </cell>
          <cell r="CS273" t="str">
            <v>BAJA</v>
          </cell>
          <cell r="CT273" t="str">
            <v>BAJA</v>
          </cell>
          <cell r="CU273" t="str">
            <v>BAJA</v>
          </cell>
          <cell r="CV273" t="str">
            <v>BAJA</v>
          </cell>
          <cell r="CW273" t="str">
            <v>BAJA</v>
          </cell>
        </row>
        <row r="274">
          <cell r="D274" t="str">
            <v>JAD357</v>
          </cell>
          <cell r="E274" t="str">
            <v>Tractor</v>
          </cell>
          <cell r="F274" t="str">
            <v>Tractor</v>
          </cell>
          <cell r="G274" t="str">
            <v>Tractor</v>
          </cell>
          <cell r="N274" t="str">
            <v>TDU</v>
          </cell>
          <cell r="O274" t="str">
            <v>TDU</v>
          </cell>
          <cell r="P274" t="str">
            <v>No</v>
          </cell>
          <cell r="Q274" t="str">
            <v>Propio</v>
          </cell>
          <cell r="R274" t="str">
            <v>-</v>
          </cell>
          <cell r="S274" t="str">
            <v>Propio</v>
          </cell>
          <cell r="T274" t="str">
            <v>MERCEDES BENZ</v>
          </cell>
          <cell r="U274" t="str">
            <v>ATEGO 1725-S36</v>
          </cell>
          <cell r="V274" t="str">
            <v>906985U0879368</v>
          </cell>
          <cell r="W274" t="str">
            <v>9BM958077BB715349</v>
          </cell>
          <cell r="X274">
            <v>2010</v>
          </cell>
          <cell r="Y274">
            <v>16</v>
          </cell>
          <cell r="Z274" t="str">
            <v>TDU</v>
          </cell>
          <cell r="AA274" t="str">
            <v>CMQ_TTE - QUILMES TTE</v>
          </cell>
          <cell r="AB274" t="str">
            <v>CMQ_TTE - QUILMES TTE</v>
          </cell>
          <cell r="AC274" t="str">
            <v>CMQ_TTE - QUILMES TTE</v>
          </cell>
          <cell r="AD274" t="str">
            <v>CMQ_TTE - QUILMES TTE</v>
          </cell>
          <cell r="AE274" t="str">
            <v>CMQ_TTE - QUILMES TTE</v>
          </cell>
          <cell r="AF274" t="str">
            <v>CMQ_TTE - QUILMES TTE</v>
          </cell>
          <cell r="AG274" t="str">
            <v>CMQ_TTE - QUILMES TTE</v>
          </cell>
          <cell r="AH274" t="str">
            <v>CMQ_TTE - QUILMES TTE</v>
          </cell>
          <cell r="AI274" t="str">
            <v>CMQ_TTE - QUILMES TTE</v>
          </cell>
          <cell r="AJ274" t="str">
            <v>CMQ_TTE - QUILMES TTE</v>
          </cell>
          <cell r="AK274" t="str">
            <v>CMQ_TTE - QUILMES TTE</v>
          </cell>
          <cell r="AL274" t="str">
            <v>CMQ_TTE - QUILMES TTE</v>
          </cell>
          <cell r="AM274" t="str">
            <v>CMQ_TTE - QUILMES TTE</v>
          </cell>
          <cell r="AN274" t="str">
            <v>CMQ_TTE - QUILMES TTE</v>
          </cell>
          <cell r="AO274" t="str">
            <v>CMQ_TTE - QUILMES TTE</v>
          </cell>
          <cell r="AP274" t="str">
            <v>CMQ_TTE - QUILMES TTE</v>
          </cell>
          <cell r="AQ274" t="str">
            <v>CMQ_TTE - QUILMES TTE</v>
          </cell>
          <cell r="AR274" t="str">
            <v>CMQ_TTE - QUILMES TTE</v>
          </cell>
          <cell r="AS274" t="str">
            <v>CMQ_TTE - QUILMES TTE</v>
          </cell>
          <cell r="AT274" t="str">
            <v>CMQ_TTE - QUILMES TTE</v>
          </cell>
          <cell r="AU274" t="str">
            <v>CMQ_TTE - QUILMES TTE</v>
          </cell>
          <cell r="AV274" t="str">
            <v>CMQ_TTE - QUILMES TTE</v>
          </cell>
          <cell r="AW274" t="str">
            <v>CMQ_TTE - QUILMES TTE</v>
          </cell>
          <cell r="AX274" t="str">
            <v>CMQ_TTE - QUILMES TTE</v>
          </cell>
          <cell r="AY274" t="str">
            <v>CMQ_TTE - QUILMES TTE</v>
          </cell>
          <cell r="AZ274" t="str">
            <v>CMQ_TTE - QUILMES TTE</v>
          </cell>
          <cell r="BA274" t="str">
            <v>CMQ_TTE - QUILMES TTE</v>
          </cell>
          <cell r="BB274" t="str">
            <v>CMQ_TTE - QUILMES TTE</v>
          </cell>
          <cell r="BC274" t="str">
            <v>CMQ_TTE - QUILMES TTE</v>
          </cell>
          <cell r="BD274" t="str">
            <v>CMQ_TTE - QUILMES TTE</v>
          </cell>
          <cell r="BE274" t="str">
            <v>CMQ_TTE - QUILMES TTE</v>
          </cell>
          <cell r="BF274" t="str">
            <v>CMQ_TTE - QUILMES TTE</v>
          </cell>
          <cell r="BG274" t="str">
            <v>CMQ_TTE - QUILMES TTE</v>
          </cell>
          <cell r="BH274" t="str">
            <v>CMQ_TTE - QUILMES TTE</v>
          </cell>
          <cell r="BI274" t="str">
            <v>CMQ_TTE - QUILMES TTE</v>
          </cell>
          <cell r="BJ274" t="str">
            <v>CMQ_TTE - QUILMES TTE</v>
          </cell>
          <cell r="BK274" t="str">
            <v>CMQ_TTE - QUILMES TTE</v>
          </cell>
          <cell r="BL274" t="str">
            <v>CMQ_TTE - QUILMES TTE</v>
          </cell>
          <cell r="BM274" t="str">
            <v>CMQ_TTE - QUILMES TTE</v>
          </cell>
          <cell r="BN274" t="str">
            <v>CMQ_TTE - QUILMES TTE</v>
          </cell>
          <cell r="BO274" t="str">
            <v>CMQ_TTE - QUILMES TTE</v>
          </cell>
          <cell r="BP274" t="str">
            <v>CMQ_TTE - QUILMES TTE</v>
          </cell>
          <cell r="BQ274" t="str">
            <v>CMQ_TTE - QUILMES TTE</v>
          </cell>
          <cell r="BR274" t="str">
            <v>CMQ_TTE - QUILMES TTE</v>
          </cell>
          <cell r="BS274" t="str">
            <v>CMQ_TTE - QUILMES TTE</v>
          </cell>
          <cell r="BT274" t="str">
            <v>CMQ_TTE - QUILMES TTE</v>
          </cell>
          <cell r="BU274" t="str">
            <v>CMQ_TTE - QUILMES TTE</v>
          </cell>
          <cell r="BV274" t="str">
            <v>CMQ_TTE - QUILMES TTE</v>
          </cell>
          <cell r="BW274" t="str">
            <v>CMQ_TTE - QUILMES TTE</v>
          </cell>
          <cell r="BX274" t="str">
            <v>CMQ_TTE - QUILMES TTE</v>
          </cell>
          <cell r="BY274" t="str">
            <v>CMQ_TTE - QUILMES TTE</v>
          </cell>
          <cell r="BZ274" t="str">
            <v>CMQ_TTE - QUILMES TTE</v>
          </cell>
          <cell r="CA274" t="str">
            <v>CMQ_TTE - QUILMES TTE</v>
          </cell>
          <cell r="CB274" t="str">
            <v>CMQ_TTE - QUILMES TTE</v>
          </cell>
          <cell r="CC274" t="str">
            <v>CMQ_TTE - QUILMES TTE</v>
          </cell>
          <cell r="CD274" t="str">
            <v>CMQ_TTE - QUILMES TTE</v>
          </cell>
          <cell r="CE274" t="str">
            <v>CMQ_TTE - QUILMES TTE</v>
          </cell>
          <cell r="CF274" t="str">
            <v>CMQ_TTE - QUILMES TTE</v>
          </cell>
          <cell r="CG274" t="str">
            <v>CMQ_TTE - QUILMES TTE</v>
          </cell>
          <cell r="CH274" t="str">
            <v>CMQ_TTE - QUILMES TTE</v>
          </cell>
          <cell r="CI274" t="str">
            <v>CMQ_TTE - QUILMES TTE</v>
          </cell>
          <cell r="CJ274" t="str">
            <v>CMQ_TTE - QUILMES TTE</v>
          </cell>
          <cell r="CK274" t="str">
            <v>CMQ_TTE - QUILMES TTE</v>
          </cell>
          <cell r="CL274" t="str">
            <v>CMQ_TTE - QUILMES TTE</v>
          </cell>
          <cell r="CM274" t="str">
            <v>CMQ_TTE - QUILMES TTE</v>
          </cell>
          <cell r="CN274" t="str">
            <v>CMQ_TTE - QUILMES TTE</v>
          </cell>
          <cell r="CO274" t="str">
            <v>CMQ_TTE - QUILMES TTE</v>
          </cell>
          <cell r="CP274" t="str">
            <v>CMQ_TTE - QUILMES TTE</v>
          </cell>
          <cell r="CQ274" t="str">
            <v>CMQ_TTE - QUILMES TTE</v>
          </cell>
          <cell r="CR274" t="str">
            <v>CMQ_TTE - QUILMES TTE</v>
          </cell>
          <cell r="CS274" t="str">
            <v>CMQ_TTE - QUILMES TTE</v>
          </cell>
          <cell r="CT274" t="str">
            <v>CMQ_TTE - QUILMES TTE</v>
          </cell>
          <cell r="CU274" t="str">
            <v>CMQ_TTE - QUILMES TTE</v>
          </cell>
          <cell r="CV274" t="str">
            <v>CMQ_TTE - QUILMES TTE</v>
          </cell>
          <cell r="CW274" t="str">
            <v>CMQ_TTE - QUILMES TTE</v>
          </cell>
        </row>
        <row r="275">
          <cell r="D275" t="str">
            <v>AG238NS</v>
          </cell>
          <cell r="E275" t="str">
            <v>Tractor</v>
          </cell>
          <cell r="F275" t="str">
            <v>Tractor</v>
          </cell>
          <cell r="G275" t="str">
            <v>Tractor</v>
          </cell>
          <cell r="N275" t="str">
            <v>DYLASA (MBF-LEASING)</v>
          </cell>
          <cell r="O275" t="str">
            <v>DYLASA</v>
          </cell>
          <cell r="P275" t="str">
            <v>Sí</v>
          </cell>
          <cell r="Q275" t="str">
            <v>Propio</v>
          </cell>
          <cell r="R275" t="str">
            <v>-</v>
          </cell>
          <cell r="S275" t="str">
            <v>Propio</v>
          </cell>
          <cell r="T275" t="str">
            <v>MERCEDES BENZ</v>
          </cell>
          <cell r="U275" t="str">
            <v>ATEGO 1729-S36 CD TE</v>
          </cell>
          <cell r="V275" t="str">
            <v>926994U1449434</v>
          </cell>
          <cell r="W275" t="str">
            <v>8AB958077RA805490</v>
          </cell>
          <cell r="X275">
            <v>2023</v>
          </cell>
          <cell r="Y275">
            <v>3</v>
          </cell>
          <cell r="BT275" t="str">
            <v>Sin Operación</v>
          </cell>
          <cell r="BU275" t="str">
            <v>Sin Operación</v>
          </cell>
          <cell r="BV275" t="str">
            <v>Sin Operación</v>
          </cell>
          <cell r="BW275" t="str">
            <v>Sin Operación</v>
          </cell>
          <cell r="BX275" t="str">
            <v>CENCOMLD - Cencosud SA - Mendoza</v>
          </cell>
          <cell r="BY275" t="str">
            <v>CENCOMLD - Cencosud SA - Mendoza</v>
          </cell>
          <cell r="BZ275" t="str">
            <v>CENCOMLD - Cencosud SA - Mendoza</v>
          </cell>
          <cell r="CA275" t="str">
            <v>CENCOMLD - Cencosud SA - Mendoza</v>
          </cell>
          <cell r="CB275" t="str">
            <v>CENCOMLD - Cencosud SA - Mendoza</v>
          </cell>
          <cell r="CC275" t="str">
            <v>CENCOMLD - Cencosud SA - Mendoza</v>
          </cell>
          <cell r="CD275" t="str">
            <v>CENCOMLD - Cencosud SA - Mendoza</v>
          </cell>
          <cell r="CE275" t="str">
            <v>CENCOMLD - Cencosud SA - Mendoza</v>
          </cell>
          <cell r="CF275" t="str">
            <v>CENCOMLD - Cencosud SA - Mendoza</v>
          </cell>
          <cell r="CG275" t="str">
            <v>CENCOMLD - Cencosud SA - Mendoza</v>
          </cell>
          <cell r="CH275" t="str">
            <v>CENCOMLD - Cencosud SA - Mendoza</v>
          </cell>
          <cell r="CI275" t="str">
            <v>CENCOMLD - Cencosud SA - Mendoza</v>
          </cell>
          <cell r="CJ275" t="str">
            <v>CENCOMLD - Cencosud SA - Mendoza</v>
          </cell>
          <cell r="CK275" t="str">
            <v>CENCOMLD - Cencosud SA - Mendoza</v>
          </cell>
          <cell r="CL275" t="str">
            <v>CENCOMLD - Cencosud SA - Mendoza</v>
          </cell>
          <cell r="CM275" t="str">
            <v>CENCOMLD - Cencosud SA - Mendoza</v>
          </cell>
          <cell r="CN275" t="str">
            <v>CENCOMLD - Cencosud SA - Mendoza</v>
          </cell>
          <cell r="CO275" t="str">
            <v>CENCOMLD - Cencosud SA - Mendoza</v>
          </cell>
          <cell r="CP275" t="str">
            <v>CENCOMLD - Cencosud SA - Mendoza</v>
          </cell>
          <cell r="CQ275" t="str">
            <v>CENCOMLD - Cencosud SA - Mendoza</v>
          </cell>
          <cell r="CR275" t="str">
            <v>CENCOMLD - Cencosud SA - Mendoza</v>
          </cell>
          <cell r="CS275" t="str">
            <v>CENCOMLD - Cencosud SA - Mendoza</v>
          </cell>
          <cell r="CT275" t="str">
            <v>CENCOMLD - Cencosud SA - Mendoza</v>
          </cell>
          <cell r="CU275" t="str">
            <v>CENCOMLD - Cencosud SA - Mendoza</v>
          </cell>
          <cell r="CV275" t="str">
            <v>CENCOMLD - Cencosud SA - Mendoza</v>
          </cell>
          <cell r="CW275" t="str">
            <v>CENCOMLD - Cencosud SA - Mendoza</v>
          </cell>
        </row>
        <row r="276">
          <cell r="D276" t="str">
            <v>JEB635</v>
          </cell>
          <cell r="E276" t="str">
            <v>Tractor</v>
          </cell>
          <cell r="F276" t="str">
            <v>Tractor</v>
          </cell>
          <cell r="G276" t="str">
            <v>Tractor</v>
          </cell>
          <cell r="N276" t="str">
            <v>TDU</v>
          </cell>
          <cell r="O276" t="str">
            <v>TDU</v>
          </cell>
          <cell r="P276" t="str">
            <v>No</v>
          </cell>
          <cell r="Q276" t="str">
            <v>Propio</v>
          </cell>
          <cell r="R276" t="str">
            <v>-</v>
          </cell>
          <cell r="S276" t="str">
            <v>Propio</v>
          </cell>
          <cell r="T276" t="str">
            <v>MERCEDES BENZ</v>
          </cell>
          <cell r="U276" t="str">
            <v>ATEGO 1725-S36</v>
          </cell>
          <cell r="V276" t="str">
            <v>906985U0895506</v>
          </cell>
          <cell r="W276" t="str">
            <v>9BM958077BB734692</v>
          </cell>
          <cell r="X276">
            <v>2010</v>
          </cell>
          <cell r="Y276">
            <v>16</v>
          </cell>
          <cell r="Z276" t="str">
            <v>TDU</v>
          </cell>
          <cell r="AA276" t="str">
            <v>CMQ_TTE - QUILMES TTE</v>
          </cell>
          <cell r="AB276" t="str">
            <v>CMQ_TTE - QUILMES TTE</v>
          </cell>
          <cell r="AC276" t="str">
            <v>CMQ_TTE - QUILMES TTE</v>
          </cell>
          <cell r="AD276" t="str">
            <v>CMQ_TTE - QUILMES TTE</v>
          </cell>
          <cell r="AE276" t="str">
            <v>CMQ_TTE - QUILMES TTE</v>
          </cell>
          <cell r="AF276" t="str">
            <v>CMQ_TTE - QUILMES TTE</v>
          </cell>
          <cell r="AG276" t="str">
            <v>CMQ_TTE - QUILMES TTE</v>
          </cell>
          <cell r="AH276" t="str">
            <v>CMQ_TTE - QUILMES TTE</v>
          </cell>
          <cell r="AI276" t="str">
            <v>CMQ_TTE - QUILMES TTE</v>
          </cell>
          <cell r="AJ276" t="str">
            <v>CMQ_TTE - QUILMES TTE</v>
          </cell>
          <cell r="AK276" t="str">
            <v>CMQ_TTE - QUILMES TTE</v>
          </cell>
          <cell r="AL276" t="str">
            <v>CMQ_TTE - QUILMES TTE</v>
          </cell>
          <cell r="AM276" t="str">
            <v>CMQ_TTE - QUILMES TTE</v>
          </cell>
          <cell r="AN276" t="str">
            <v>CMQ_TTE - QUILMES TTE</v>
          </cell>
          <cell r="AO276" t="str">
            <v>CMQ_TTE - QUILMES TTE</v>
          </cell>
          <cell r="AP276" t="str">
            <v>CMQ_TTE - QUILMES TTE</v>
          </cell>
          <cell r="AQ276" t="str">
            <v>CMQ_TTE - QUILMES TTE</v>
          </cell>
          <cell r="AR276" t="str">
            <v>CMQ_TTE - QUILMES TTE</v>
          </cell>
          <cell r="AS276" t="str">
            <v>CMQ_TTE - QUILMES TTE</v>
          </cell>
          <cell r="AT276" t="str">
            <v>CMQ_TTE - QUILMES TTE</v>
          </cell>
          <cell r="AU276" t="str">
            <v>CMQ_TTE - QUILMES TTE</v>
          </cell>
          <cell r="AV276" t="str">
            <v>CMQ_TTE - QUILMES TTE</v>
          </cell>
          <cell r="AW276" t="str">
            <v>CMQ_TTE - QUILMES TTE</v>
          </cell>
          <cell r="AX276" t="str">
            <v>CMQ_TTE - QUILMES TTE</v>
          </cell>
          <cell r="AY276" t="str">
            <v>CMQ_TTE - QUILMES TTE</v>
          </cell>
          <cell r="AZ276" t="str">
            <v>CMQ_TTE - QUILMES TTE</v>
          </cell>
          <cell r="BA276" t="str">
            <v>CMQ_TTE - QUILMES TTE</v>
          </cell>
          <cell r="BB276" t="str">
            <v>CMQ_TTE - QUILMES TTE</v>
          </cell>
          <cell r="BC276" t="str">
            <v>CMQ_TTE - QUILMES TTE</v>
          </cell>
          <cell r="BD276" t="str">
            <v>CMQ_TTE - QUILMES TTE</v>
          </cell>
          <cell r="BE276" t="str">
            <v>CMQ_TTE - QUILMES TTE</v>
          </cell>
          <cell r="BF276" t="str">
            <v>CMQ_TTE - QUILMES TTE</v>
          </cell>
          <cell r="BG276" t="str">
            <v>CMQ_TTE - QUILMES TTE</v>
          </cell>
          <cell r="BH276" t="str">
            <v>CMQ_TTE - QUILMES TTE</v>
          </cell>
          <cell r="BI276" t="str">
            <v>CMQ_TTE - QUILMES TTE</v>
          </cell>
          <cell r="BJ276" t="str">
            <v>CMQ_TTE - QUILMES TTE</v>
          </cell>
          <cell r="BK276" t="str">
            <v>CMQ_TTE - QUILMES TTE</v>
          </cell>
          <cell r="BL276" t="str">
            <v>CMQ_TTE - QUILMES TTE</v>
          </cell>
          <cell r="BM276" t="str">
            <v>CMQ_TTE - QUILMES TTE</v>
          </cell>
          <cell r="BN276" t="str">
            <v>CMQ_TTE - QUILMES TTE</v>
          </cell>
          <cell r="BO276" t="str">
            <v>CMQ_TTE - QUILMES TTE</v>
          </cell>
          <cell r="BP276" t="str">
            <v>CMQ_TTE - QUILMES TTE</v>
          </cell>
          <cell r="BQ276" t="str">
            <v>CMQ_TTE - QUILMES TTE</v>
          </cell>
          <cell r="BR276" t="str">
            <v>CMQ_TTE - QUILMES TTE</v>
          </cell>
          <cell r="BS276" t="str">
            <v>CMQ_TTE - QUILMES TTE</v>
          </cell>
          <cell r="BT276" t="str">
            <v>CMQ_TTE - QUILMES TTE</v>
          </cell>
          <cell r="BU276" t="str">
            <v>CMQ_TTE - QUILMES TTE</v>
          </cell>
          <cell r="BV276" t="str">
            <v>CMQ_TTE - QUILMES TTE</v>
          </cell>
          <cell r="BW276" t="str">
            <v>CMQ_TTE - QUILMES TTE</v>
          </cell>
          <cell r="BX276" t="str">
            <v>CMQ_TTE - QUILMES TTE</v>
          </cell>
          <cell r="BY276" t="str">
            <v>CMQ_TTE - QUILMES TTE</v>
          </cell>
          <cell r="BZ276" t="str">
            <v>CMQ_TTE - QUILMES TTE</v>
          </cell>
          <cell r="CA276" t="str">
            <v>CMQ_TTE - QUILMES TTE</v>
          </cell>
          <cell r="CB276" t="str">
            <v>CMQ_TTE - QUILMES TTE</v>
          </cell>
          <cell r="CC276" t="str">
            <v>CMQ_TTE - QUILMES TTE</v>
          </cell>
          <cell r="CD276" t="str">
            <v>CMQ_TTE - QUILMES TTE</v>
          </cell>
          <cell r="CE276" t="str">
            <v>CMQ_TTE - QUILMES TTE</v>
          </cell>
          <cell r="CF276" t="str">
            <v>CMQ_TTE - QUILMES TTE</v>
          </cell>
          <cell r="CG276" t="str">
            <v>CMQ_TTE - QUILMES TTE</v>
          </cell>
          <cell r="CH276" t="str">
            <v>CMQ_TTE - QUILMES TTE</v>
          </cell>
          <cell r="CI276" t="str">
            <v>CMQ_TTE - QUILMES TTE</v>
          </cell>
          <cell r="CJ276" t="str">
            <v>CMQ_TTE - QUILMES TTE</v>
          </cell>
          <cell r="CK276" t="str">
            <v>CMQ_TTE - QUILMES TTE</v>
          </cell>
          <cell r="CL276" t="str">
            <v>CMQ_TTE - QUILMES TTE</v>
          </cell>
          <cell r="CM276" t="str">
            <v>CMQ_TTE - QUILMES TTE</v>
          </cell>
          <cell r="CN276" t="str">
            <v>CMQ_TTE - QUILMES TTE</v>
          </cell>
          <cell r="CO276" t="str">
            <v>CMQ_TTE - QUILMES TTE</v>
          </cell>
          <cell r="CP276" t="str">
            <v>CMQ_TTE - QUILMES TTE</v>
          </cell>
          <cell r="CQ276" t="str">
            <v>CMQ_TTE - QUILMES TTE</v>
          </cell>
          <cell r="CR276" t="str">
            <v>CMQ_TTE - QUILMES TTE</v>
          </cell>
          <cell r="CS276" t="str">
            <v>CMQ_TTE - QUILMES TTE</v>
          </cell>
          <cell r="CT276" t="str">
            <v>CMQ_TTE - QUILMES TTE</v>
          </cell>
          <cell r="CU276" t="str">
            <v>CMQ_TTE - QUILMES TTE</v>
          </cell>
          <cell r="CV276" t="str">
            <v>CMQ_TTE - QUILMES TTE</v>
          </cell>
          <cell r="CW276" t="str">
            <v>CMQ_TTE - QUILMES TTE</v>
          </cell>
        </row>
        <row r="277">
          <cell r="D277" t="str">
            <v>JEB636</v>
          </cell>
          <cell r="E277" t="str">
            <v>Tractor</v>
          </cell>
          <cell r="F277" t="str">
            <v>Tractor</v>
          </cell>
          <cell r="G277" t="str">
            <v>Tractor</v>
          </cell>
          <cell r="N277" t="str">
            <v>CODYLSA</v>
          </cell>
          <cell r="O277" t="str">
            <v>CODYLSA</v>
          </cell>
          <cell r="P277" t="str">
            <v>No</v>
          </cell>
          <cell r="Q277" t="str">
            <v>Propio</v>
          </cell>
          <cell r="R277" t="str">
            <v>-</v>
          </cell>
          <cell r="S277" t="str">
            <v>Propio</v>
          </cell>
          <cell r="T277" t="str">
            <v>MERCEDES BENZ</v>
          </cell>
          <cell r="U277" t="str">
            <v>ATEGO 1725-S36</v>
          </cell>
          <cell r="V277" t="str">
            <v>906985U0894356</v>
          </cell>
          <cell r="W277" t="str">
            <v>9BM958077BB733262</v>
          </cell>
          <cell r="X277">
            <v>2010</v>
          </cell>
          <cell r="Y277">
            <v>16</v>
          </cell>
          <cell r="Z277" t="str">
            <v>Jumbo Mendoza</v>
          </cell>
          <cell r="AA277" t="str">
            <v>CENCO_MZ - Cencosud SA - Mendoza</v>
          </cell>
          <cell r="AB277" t="str">
            <v>CENCO_MZ - Cencosud SA - Mendoza</v>
          </cell>
          <cell r="AC277" t="str">
            <v>CENCO_MZ - Cencosud SA - Mendoza</v>
          </cell>
          <cell r="AD277" t="str">
            <v>CENCO_MZ - Cencosud SA - Mendoza</v>
          </cell>
          <cell r="AE277" t="str">
            <v>CENCO_MZ - Cencosud SA - Mendoza</v>
          </cell>
          <cell r="AF277" t="str">
            <v>CENCO_MZ - Cencosud SA - Mendoza</v>
          </cell>
          <cell r="AG277" t="str">
            <v>CENCO_MZ - Cencosud SA - Mendoza</v>
          </cell>
          <cell r="AH277" t="str">
            <v>CENCO_MZ - Cencosud SA - Mendoza</v>
          </cell>
          <cell r="AI277" t="str">
            <v>CENCO_MZ - Cencosud SA - Mendoza</v>
          </cell>
          <cell r="AJ277" t="str">
            <v>CENCO_MZ - Cencosud SA - Mendoza</v>
          </cell>
          <cell r="AK277" t="str">
            <v>CENCO_MZ - Cencosud SA - Mendoza</v>
          </cell>
          <cell r="AL277" t="str">
            <v>CENCO_MZ - Cencosud SA - Mendoza</v>
          </cell>
          <cell r="AM277" t="str">
            <v>CENCO_MZ - Cencosud SA - Mendoza</v>
          </cell>
          <cell r="AN277" t="str">
            <v>CENCO_MZ - Cencosud SA - Mendoza</v>
          </cell>
          <cell r="AO277" t="str">
            <v>CENCO_MZ - Cencosud SA - Mendoza</v>
          </cell>
          <cell r="AP277" t="str">
            <v>CENCO_MZ - Cencosud SA - Mendoza</v>
          </cell>
          <cell r="AQ277" t="str">
            <v>CENCO_MZ - Cencosud SA - Mendoza</v>
          </cell>
          <cell r="AR277" t="str">
            <v>CENCO_MZ - Cencosud SA - Mendoza</v>
          </cell>
          <cell r="AS277" t="str">
            <v>CENCO_MZ - Cencosud SA - Mendoza</v>
          </cell>
          <cell r="AT277" t="str">
            <v>CENCO_MZ - Cencosud SA - Mendoza</v>
          </cell>
          <cell r="AU277" t="str">
            <v>CENCO_MZ - Cencosud SA - Mendoza</v>
          </cell>
          <cell r="AV277" t="str">
            <v>CENCO_MZ - Cencosud SA - Mendoza</v>
          </cell>
          <cell r="AW277" t="str">
            <v>CENCO_MZ - Cencosud SA - Mendoza</v>
          </cell>
          <cell r="AX277" t="str">
            <v>CENCO_MZ - Cencosud SA - Mendoza</v>
          </cell>
          <cell r="AY277" t="str">
            <v>CENCO_MZ - Cencosud SA - Mendoza</v>
          </cell>
          <cell r="AZ277" t="str">
            <v>CENCO_MZ - Cencosud SA - Mendoza</v>
          </cell>
          <cell r="BA277" t="str">
            <v>CENCO_MZ - Cencosud SA - Mendoza</v>
          </cell>
          <cell r="BB277" t="str">
            <v>CENCO_MZ - Cencosud SA - Mendoza</v>
          </cell>
          <cell r="BC277" t="str">
            <v>CENCO_MZ - Cencosud SA - Mendoza</v>
          </cell>
          <cell r="BD277" t="str">
            <v>CENCO_MZ - Cencosud SA - Mendoza</v>
          </cell>
          <cell r="BE277" t="str">
            <v>CENCO_MZ - Cencosud SA - Mendoza</v>
          </cell>
          <cell r="BF277" t="str">
            <v>Unilever - Unilever de Arg. S.A.</v>
          </cell>
          <cell r="BG277" t="str">
            <v>Unilever - Unilever de Arg. S.A.</v>
          </cell>
          <cell r="BH277" t="str">
            <v>Unilever - Unilever de Arg. S.A.</v>
          </cell>
          <cell r="BI277" t="str">
            <v>Unilever - Unilever de Arg. S.A.</v>
          </cell>
          <cell r="BJ277" t="str">
            <v>Unilever - Unilever de Arg. S.A.</v>
          </cell>
          <cell r="BK277" t="str">
            <v>Unilever - Unilever de Arg. S.A.</v>
          </cell>
          <cell r="BL277" t="str">
            <v>Unilever - Unilever de Arg. S.A.</v>
          </cell>
          <cell r="BM277" t="str">
            <v>Unilever - Unilever de Arg. S.A.</v>
          </cell>
          <cell r="BN277" t="str">
            <v>Unilever - Unilever de Arg. S.A.</v>
          </cell>
          <cell r="BO277" t="str">
            <v>Unilever - Unilever de Arg. S.A.</v>
          </cell>
          <cell r="BP277" t="str">
            <v>Unilever - Unilever de Arg. S.A.</v>
          </cell>
          <cell r="BQ277" t="str">
            <v>Unilever - Unilever de Arg. S.A.</v>
          </cell>
          <cell r="BR277" t="str">
            <v>Unilever - Unilever de Arg. S.A.</v>
          </cell>
          <cell r="BS277" t="str">
            <v>Unilever - Unilever de Arg. S.A.</v>
          </cell>
          <cell r="BT277" t="str">
            <v>Unilever - Unilever de Arg. S.A.</v>
          </cell>
          <cell r="BU277" t="str">
            <v>Unilever - Unilever de Arg. S.A.</v>
          </cell>
          <cell r="BV277" t="str">
            <v>JOHNSON - SC JOHNSON DE ARGENTINA SAIC</v>
          </cell>
          <cell r="BW277" t="str">
            <v>JOHNSON - SC JOHNSON DE ARGENTINA SAIC</v>
          </cell>
          <cell r="BX277" t="str">
            <v>JOHNSON - SC JOHNSON DE ARGENTINA SAIC</v>
          </cell>
          <cell r="BY277" t="str">
            <v>JOHNSON - SC JOHNSON DE ARGENTINA SAIC</v>
          </cell>
          <cell r="BZ277" t="str">
            <v>JOHNSON - SC JOHNSON DE ARGENTINA SAIC</v>
          </cell>
          <cell r="CA277" t="str">
            <v>JOHNSON - SC JOHNSON DE ARGENTINA SAIC</v>
          </cell>
          <cell r="CB277" t="str">
            <v>JOHNSON - SC JOHNSON DE ARGENTINA SAIC</v>
          </cell>
          <cell r="CC277" t="str">
            <v>JOHNSON - SC JOHNSON DE ARGENTINA SAIC</v>
          </cell>
          <cell r="CD277" t="str">
            <v>JOHNSON - SC JOHNSON DE ARGENTINA SAIC</v>
          </cell>
          <cell r="CE277" t="str">
            <v>Unilever - Unilever de Arg. S.A.</v>
          </cell>
          <cell r="CF277" t="str">
            <v>Unilever - Unilever de Arg. S.A.</v>
          </cell>
          <cell r="CG277" t="str">
            <v>Unilever - Unilever de Arg. S.A.</v>
          </cell>
          <cell r="CH277" t="str">
            <v>Unilever - Unilever de Arg. S.A.</v>
          </cell>
          <cell r="CI277" t="str">
            <v>Unilever - Unilever de Arg. S.A.</v>
          </cell>
          <cell r="CJ277" t="str">
            <v>Unilever - Unilever de Arg. S.A.</v>
          </cell>
          <cell r="CK277" t="str">
            <v>Unilever - Unilever de Arg. S.A.</v>
          </cell>
          <cell r="CL277" t="str">
            <v>Unilever - Unilever de Arg. S.A.</v>
          </cell>
          <cell r="CM277" t="str">
            <v>JOHNSON - SC JOHNSON DE ARGENTINA SAIC</v>
          </cell>
          <cell r="CN277" t="str">
            <v>Unilever - Unilever de Arg. S.A.</v>
          </cell>
          <cell r="CO277" t="str">
            <v>Unilever - Unilever de Arg. S.A.</v>
          </cell>
          <cell r="CP277" t="str">
            <v>Unilever - Unilever de Arg. S.A.</v>
          </cell>
          <cell r="CQ277" t="str">
            <v>Unilever - Unilever de Arg. S.A.</v>
          </cell>
          <cell r="CR277" t="str">
            <v>Arcor S.A.I.C.</v>
          </cell>
          <cell r="CS277" t="str">
            <v>Arcor S.A.I.C.</v>
          </cell>
          <cell r="CT277" t="str">
            <v>Arcor S.A.I.C.</v>
          </cell>
          <cell r="CU277" t="str">
            <v>Arcor S.A.I.C.</v>
          </cell>
          <cell r="CV277" t="str">
            <v>Arcor S.A.I.C.</v>
          </cell>
          <cell r="CW277" t="str">
            <v>Arcor S.A.I.C.</v>
          </cell>
        </row>
        <row r="278">
          <cell r="D278" t="str">
            <v>JGG403</v>
          </cell>
          <cell r="E278" t="str">
            <v>Semiremolque</v>
          </cell>
          <cell r="F278" t="str">
            <v>Semiremolque</v>
          </cell>
          <cell r="G278" t="str">
            <v>Semiremolque Baranda 14,5m 28P</v>
          </cell>
          <cell r="N278" t="str">
            <v>Expreso Malargüe S. A.</v>
          </cell>
          <cell r="O278" t="str">
            <v>Expreso Malargüe S. A.</v>
          </cell>
          <cell r="P278" t="str">
            <v>No</v>
          </cell>
          <cell r="Q278" t="str">
            <v>Propio</v>
          </cell>
          <cell r="R278">
            <v>28</v>
          </cell>
          <cell r="S278" t="str">
            <v>Propio</v>
          </cell>
          <cell r="T278" t="str">
            <v>SALTO</v>
          </cell>
          <cell r="U278" t="str">
            <v>-</v>
          </cell>
          <cell r="V278">
            <v>0</v>
          </cell>
          <cell r="W278" t="str">
            <v>8B9G1463SA0002037</v>
          </cell>
          <cell r="X278">
            <v>2011</v>
          </cell>
          <cell r="Y278">
            <v>15</v>
          </cell>
          <cell r="Z278" t="str">
            <v>Malargue</v>
          </cell>
          <cell r="AA278" t="str">
            <v>Expreso - Servicios Troncales</v>
          </cell>
          <cell r="AB278" t="str">
            <v>Expreso - Servicios Troncales</v>
          </cell>
          <cell r="AC278" t="str">
            <v>Expreso - Servicios Troncales</v>
          </cell>
          <cell r="AD278" t="str">
            <v>Expreso - Servicios Troncales</v>
          </cell>
          <cell r="AE278" t="str">
            <v>Expreso - Servicios Troncales</v>
          </cell>
          <cell r="AF278" t="str">
            <v>Expreso - Servicios Troncales</v>
          </cell>
          <cell r="AG278" t="str">
            <v>Expreso - Servicios Troncales</v>
          </cell>
          <cell r="AH278" t="str">
            <v>Expreso - Servicios Troncales</v>
          </cell>
          <cell r="AI278" t="str">
            <v>Expreso - Servicios Troncales</v>
          </cell>
          <cell r="AJ278" t="str">
            <v>Expreso - Servicios Troncales</v>
          </cell>
          <cell r="AK278" t="str">
            <v>Expreso - Servicios Troncales</v>
          </cell>
          <cell r="AL278" t="str">
            <v>Expreso - Servicios Troncales</v>
          </cell>
          <cell r="AM278" t="str">
            <v>Expreso - Servicios Troncales</v>
          </cell>
          <cell r="AN278" t="str">
            <v>Expreso - Servicios Troncales</v>
          </cell>
          <cell r="AO278" t="str">
            <v>Expreso - Servicios Troncales</v>
          </cell>
          <cell r="AP278" t="str">
            <v>Expreso - Servicios Troncales</v>
          </cell>
          <cell r="AQ278" t="str">
            <v>Expreso - Servicios Troncales</v>
          </cell>
          <cell r="AR278" t="str">
            <v>Expreso - Servicios Troncales</v>
          </cell>
          <cell r="AS278" t="str">
            <v>Expreso - Servicios Troncales</v>
          </cell>
          <cell r="AT278" t="str">
            <v>Expreso - Servicios Troncales</v>
          </cell>
          <cell r="AU278" t="str">
            <v>Expreso - Servicios Troncales</v>
          </cell>
          <cell r="AV278" t="str">
            <v>Expreso - Servicios Troncales</v>
          </cell>
          <cell r="AW278" t="str">
            <v>Expreso - Servicios Troncales</v>
          </cell>
          <cell r="AX278" t="str">
            <v>Expreso - Servicios Troncales</v>
          </cell>
          <cell r="AY278" t="str">
            <v>Expreso - Servicios Troncales</v>
          </cell>
          <cell r="AZ278" t="str">
            <v>Expreso - Servicios Troncales</v>
          </cell>
          <cell r="BA278" t="str">
            <v>Expreso - Servicios Troncales</v>
          </cell>
          <cell r="BB278" t="str">
            <v>Expreso - Servicios Troncales</v>
          </cell>
          <cell r="BC278" t="str">
            <v>Expreso - Servicios Troncales</v>
          </cell>
          <cell r="BD278" t="str">
            <v>Expreso - Servicios Troncales</v>
          </cell>
          <cell r="BE278" t="str">
            <v>Expreso - Servicios Troncales</v>
          </cell>
          <cell r="BF278" t="str">
            <v>Expreso - Servicios Troncales</v>
          </cell>
          <cell r="BG278" t="str">
            <v>Expreso - Servicios Troncales</v>
          </cell>
          <cell r="BH278" t="str">
            <v>Expreso - Servicios Troncales</v>
          </cell>
          <cell r="BI278" t="str">
            <v>Expreso - Servicios Troncales</v>
          </cell>
          <cell r="BJ278" t="str">
            <v>Expreso - Servicios Troncales</v>
          </cell>
          <cell r="BK278" t="str">
            <v>Expreso - Servicios Troncales</v>
          </cell>
          <cell r="BL278" t="str">
            <v>Expreso - Servicios Troncales</v>
          </cell>
          <cell r="BM278" t="str">
            <v>Expreso - Servicios Troncales</v>
          </cell>
          <cell r="BN278" t="str">
            <v>Expreso - Servicios Troncales</v>
          </cell>
          <cell r="BO278" t="str">
            <v>Expreso - Servicios Troncales</v>
          </cell>
          <cell r="BP278" t="str">
            <v>Expreso - Servicios Troncales</v>
          </cell>
          <cell r="BQ278" t="str">
            <v>Expreso - Servicios Troncales</v>
          </cell>
          <cell r="BR278" t="str">
            <v>Expreso - Servicios Troncales</v>
          </cell>
          <cell r="BS278" t="str">
            <v>Expreso - Servicios Troncales</v>
          </cell>
          <cell r="BT278" t="str">
            <v>Expreso - Servicios Troncales</v>
          </cell>
          <cell r="BU278" t="str">
            <v>Expreso - Servicios Troncales</v>
          </cell>
          <cell r="BV278" t="str">
            <v>Expreso - Servicios Troncales</v>
          </cell>
          <cell r="BW278" t="str">
            <v>Expreso - Servicios Troncales</v>
          </cell>
          <cell r="BX278" t="str">
            <v>Expreso - Servicios Troncales</v>
          </cell>
          <cell r="BY278" t="str">
            <v>Expreso - Servicios Troncales</v>
          </cell>
          <cell r="BZ278" t="str">
            <v>Expreso - Servicios Troncales</v>
          </cell>
          <cell r="CA278" t="str">
            <v>Expreso - Servicios Troncales</v>
          </cell>
          <cell r="CB278" t="str">
            <v>Expreso - Servicios Troncales</v>
          </cell>
          <cell r="CC278" t="str">
            <v>Expreso - Servicios Troncales</v>
          </cell>
          <cell r="CD278" t="str">
            <v>Expreso - Servicios Troncales</v>
          </cell>
          <cell r="CE278" t="str">
            <v>Expreso - Servicios Troncales</v>
          </cell>
          <cell r="CF278" t="str">
            <v>Expreso - Servicios Troncales</v>
          </cell>
          <cell r="CG278" t="str">
            <v>Expreso - Servicios Troncales</v>
          </cell>
          <cell r="CH278" t="str">
            <v>Expreso - Servicios Troncales</v>
          </cell>
          <cell r="CI278" t="str">
            <v>Expreso - Servicios Troncales</v>
          </cell>
          <cell r="CJ278" t="str">
            <v>Expreso - Servicios Troncales</v>
          </cell>
          <cell r="CK278" t="str">
            <v>Expreso - Servicios Troncales</v>
          </cell>
          <cell r="CL278" t="str">
            <v>Expreso - Servicios Troncales</v>
          </cell>
          <cell r="CM278" t="str">
            <v>Expreso - Servicios Troncales</v>
          </cell>
          <cell r="CN278" t="str">
            <v>Expreso - Servicios Troncales</v>
          </cell>
          <cell r="CO278" t="str">
            <v>Expreso - Servicios Troncales</v>
          </cell>
          <cell r="CP278" t="str">
            <v>Expreso - Servicios Troncales</v>
          </cell>
          <cell r="CQ278" t="str">
            <v>Expreso - Servicios Troncales</v>
          </cell>
          <cell r="CR278" t="str">
            <v>Expreso - Servicios Troncales</v>
          </cell>
          <cell r="CS278" t="str">
            <v>Expreso - Servicios Troncales</v>
          </cell>
          <cell r="CT278" t="str">
            <v>Sin Operación</v>
          </cell>
          <cell r="CU278" t="str">
            <v>Sin Operación</v>
          </cell>
          <cell r="CV278" t="str">
            <v>Sin Operación</v>
          </cell>
          <cell r="CW278" t="str">
            <v>Sin Operación</v>
          </cell>
        </row>
        <row r="279">
          <cell r="D279" t="str">
            <v>JGG404</v>
          </cell>
          <cell r="E279" t="str">
            <v>Semiremolque</v>
          </cell>
          <cell r="F279" t="str">
            <v>Semiremolque</v>
          </cell>
          <cell r="G279" t="str">
            <v>Semiremolque Baranda 14,5m 28P</v>
          </cell>
          <cell r="N279" t="str">
            <v>Expreso Malargüe S. A.</v>
          </cell>
          <cell r="O279" t="str">
            <v>Expreso Malargüe S. A.</v>
          </cell>
          <cell r="P279" t="str">
            <v>No</v>
          </cell>
          <cell r="Q279" t="str">
            <v>Propio</v>
          </cell>
          <cell r="R279">
            <v>28</v>
          </cell>
          <cell r="S279" t="str">
            <v>Propio</v>
          </cell>
          <cell r="T279" t="str">
            <v>SALTO</v>
          </cell>
          <cell r="U279" t="str">
            <v>-</v>
          </cell>
          <cell r="V279">
            <v>0</v>
          </cell>
          <cell r="W279" t="str">
            <v>8B9G1463SA0002040</v>
          </cell>
          <cell r="X279">
            <v>2011</v>
          </cell>
          <cell r="Y279">
            <v>15</v>
          </cell>
          <cell r="Z279" t="str">
            <v>Malargue</v>
          </cell>
          <cell r="AA279" t="str">
            <v>Expreso - Servicios Troncales</v>
          </cell>
          <cell r="AB279" t="str">
            <v>Expreso - Servicios Troncales</v>
          </cell>
          <cell r="AC279" t="str">
            <v>Expreso - Servicios Troncales</v>
          </cell>
          <cell r="AD279" t="str">
            <v>Expreso - Servicios Troncales</v>
          </cell>
          <cell r="AE279" t="str">
            <v>Expreso - Servicios Troncales</v>
          </cell>
          <cell r="AF279" t="str">
            <v>Expreso - Servicios Troncales</v>
          </cell>
          <cell r="AG279" t="str">
            <v>Expreso - Servicios Troncales</v>
          </cell>
          <cell r="AH279" t="str">
            <v>Expreso - Servicios Troncales</v>
          </cell>
          <cell r="AI279" t="str">
            <v>Expreso - Servicios Troncales</v>
          </cell>
          <cell r="AJ279" t="str">
            <v>Expreso - Servicios Troncales</v>
          </cell>
          <cell r="AK279" t="str">
            <v>Expreso - Servicios Troncales</v>
          </cell>
          <cell r="AL279" t="str">
            <v>Expreso - Servicios Troncales</v>
          </cell>
          <cell r="AM279" t="str">
            <v>Expreso - Servicios Troncales</v>
          </cell>
          <cell r="AN279" t="str">
            <v>Expreso - Servicios Troncales</v>
          </cell>
          <cell r="AO279" t="str">
            <v>Expreso - Servicios Troncales</v>
          </cell>
          <cell r="AP279" t="str">
            <v>Expreso - Servicios Troncales</v>
          </cell>
          <cell r="AQ279" t="str">
            <v>Expreso - Servicios Troncales</v>
          </cell>
          <cell r="AR279" t="str">
            <v>Expreso - Servicios Troncales</v>
          </cell>
          <cell r="AS279" t="str">
            <v>Expreso - Servicios Troncales</v>
          </cell>
          <cell r="AT279" t="str">
            <v>Expreso - Servicios Troncales</v>
          </cell>
          <cell r="AU279" t="str">
            <v>Expreso - Servicios Troncales</v>
          </cell>
          <cell r="AV279" t="str">
            <v>Expreso - Servicios Troncales</v>
          </cell>
          <cell r="AW279" t="str">
            <v>Expreso - Servicios Troncales</v>
          </cell>
          <cell r="AX279" t="str">
            <v>Expreso - Servicios Troncales</v>
          </cell>
          <cell r="AY279" t="str">
            <v>Expreso - Servicios Troncales</v>
          </cell>
          <cell r="AZ279" t="str">
            <v>Expreso - Servicios Troncales</v>
          </cell>
          <cell r="BA279" t="str">
            <v>Expreso - Servicios Troncales</v>
          </cell>
          <cell r="BB279" t="str">
            <v>Expreso - Servicios Troncales</v>
          </cell>
          <cell r="BC279" t="str">
            <v>Expreso - Servicios Troncales</v>
          </cell>
          <cell r="BD279" t="str">
            <v>Expreso - Servicios Troncales</v>
          </cell>
          <cell r="BE279" t="str">
            <v>Expreso - Servicios Troncales</v>
          </cell>
          <cell r="BF279" t="str">
            <v>Expreso - Servicios Troncales</v>
          </cell>
          <cell r="BG279" t="str">
            <v>Expreso - Servicios Troncales</v>
          </cell>
          <cell r="BH279" t="str">
            <v>Expreso - Servicios Troncales</v>
          </cell>
          <cell r="BI279" t="str">
            <v>Expreso - Servicios Troncales</v>
          </cell>
          <cell r="BJ279" t="str">
            <v>Expreso - Servicios Troncales</v>
          </cell>
          <cell r="BK279" t="str">
            <v>Expreso - Servicios Troncales</v>
          </cell>
          <cell r="BL279" t="str">
            <v>Expreso - Servicios Troncales</v>
          </cell>
          <cell r="BM279" t="str">
            <v>Expreso - Servicios Troncales</v>
          </cell>
          <cell r="BN279" t="str">
            <v>Expreso - Servicios Troncales</v>
          </cell>
          <cell r="BO279" t="str">
            <v>Expreso - Servicios Troncales</v>
          </cell>
          <cell r="BP279" t="str">
            <v>Expreso - Servicios Troncales</v>
          </cell>
          <cell r="BQ279" t="str">
            <v>Expreso - Servicios Troncales</v>
          </cell>
          <cell r="BR279" t="str">
            <v>Expreso - Servicios Troncales</v>
          </cell>
          <cell r="BS279" t="str">
            <v>Expreso - Servicios Troncales</v>
          </cell>
          <cell r="BT279" t="str">
            <v>Expreso - Servicios Troncales</v>
          </cell>
          <cell r="BU279" t="str">
            <v>Expreso - Servicios Troncales</v>
          </cell>
          <cell r="BV279" t="str">
            <v>Expreso - Servicios Troncales</v>
          </cell>
          <cell r="BW279" t="str">
            <v>Expreso - Servicios Troncales</v>
          </cell>
          <cell r="BX279" t="str">
            <v>Expreso - Servicios Troncales</v>
          </cell>
          <cell r="BY279" t="str">
            <v>Expreso - Servicios Troncales</v>
          </cell>
          <cell r="BZ279" t="str">
            <v>Expreso - Servicios Troncales</v>
          </cell>
          <cell r="CA279" t="str">
            <v>Expreso - Servicios Troncales</v>
          </cell>
          <cell r="CB279" t="str">
            <v>Expreso - Servicios Troncales</v>
          </cell>
          <cell r="CC279" t="str">
            <v>Expreso - Servicios Troncales</v>
          </cell>
          <cell r="CD279" t="str">
            <v>Expreso - Servicios Troncales</v>
          </cell>
          <cell r="CE279" t="str">
            <v>Expreso - Servicios Troncales</v>
          </cell>
          <cell r="CF279" t="str">
            <v>Expreso - Servicios Troncales</v>
          </cell>
          <cell r="CG279" t="str">
            <v>Expreso - Servicios Troncales</v>
          </cell>
          <cell r="CH279" t="str">
            <v>Expreso - Servicios Troncales</v>
          </cell>
          <cell r="CI279" t="str">
            <v>Expreso - Servicios Troncales</v>
          </cell>
          <cell r="CJ279" t="str">
            <v>Expreso - Servicios Troncales</v>
          </cell>
          <cell r="CK279" t="str">
            <v>Expreso - Servicios Troncales</v>
          </cell>
          <cell r="CL279" t="str">
            <v>Expreso - Servicios Troncales</v>
          </cell>
          <cell r="CM279" t="str">
            <v>Expreso - Servicios Troncales</v>
          </cell>
          <cell r="CN279" t="str">
            <v>Expreso - Servicios Troncales</v>
          </cell>
          <cell r="CO279" t="str">
            <v>Expreso - Servicios Troncales</v>
          </cell>
          <cell r="CP279" t="str">
            <v>Expreso - Servicios Troncales</v>
          </cell>
          <cell r="CQ279" t="str">
            <v>Expreso - Servicios Troncales</v>
          </cell>
          <cell r="CR279" t="str">
            <v>Expreso - Servicios Troncales</v>
          </cell>
          <cell r="CS279" t="str">
            <v>Expreso - Servicios Troncales</v>
          </cell>
          <cell r="CT279" t="str">
            <v>Sin Operación</v>
          </cell>
          <cell r="CU279" t="str">
            <v>Sin Operación</v>
          </cell>
          <cell r="CV279" t="str">
            <v>Sin Operación</v>
          </cell>
          <cell r="CW279" t="str">
            <v>Sin Operación</v>
          </cell>
        </row>
        <row r="280">
          <cell r="D280" t="str">
            <v>JGG405</v>
          </cell>
          <cell r="E280" t="str">
            <v>Semiremolque</v>
          </cell>
          <cell r="F280" t="str">
            <v>Semiremolque</v>
          </cell>
          <cell r="G280" t="str">
            <v>Semiremolque Baranda 14,5m 28P</v>
          </cell>
          <cell r="N280" t="str">
            <v>Expreso Malargüe S. A.</v>
          </cell>
          <cell r="O280" t="str">
            <v>Expreso Malargüe S. A.</v>
          </cell>
          <cell r="P280" t="str">
            <v>No</v>
          </cell>
          <cell r="Q280" t="str">
            <v>Propio</v>
          </cell>
          <cell r="R280">
            <v>28</v>
          </cell>
          <cell r="S280" t="str">
            <v>Propio</v>
          </cell>
          <cell r="T280" t="str">
            <v>SALTO</v>
          </cell>
          <cell r="U280" t="str">
            <v>-</v>
          </cell>
          <cell r="V280">
            <v>0</v>
          </cell>
          <cell r="W280" t="str">
            <v>8B9G1463SA0002038</v>
          </cell>
          <cell r="X280">
            <v>2011</v>
          </cell>
          <cell r="Y280">
            <v>15</v>
          </cell>
          <cell r="Z280" t="str">
            <v>Malargue</v>
          </cell>
          <cell r="AA280" t="str">
            <v>Expreso - Servicios Troncales</v>
          </cell>
          <cell r="AB280" t="str">
            <v>Expreso - Servicios Troncales</v>
          </cell>
          <cell r="AC280" t="str">
            <v>Expreso - Servicios Troncales</v>
          </cell>
          <cell r="AD280" t="str">
            <v>Expreso - Servicios Troncales</v>
          </cell>
          <cell r="AE280" t="str">
            <v>Expreso - Servicios Troncales</v>
          </cell>
          <cell r="AF280" t="str">
            <v>Expreso - Servicios Troncales</v>
          </cell>
          <cell r="AG280" t="str">
            <v>Expreso - Servicios Troncales</v>
          </cell>
          <cell r="AH280" t="str">
            <v>Expreso - Servicios Troncales</v>
          </cell>
          <cell r="AI280" t="str">
            <v>Expreso - Servicios Troncales</v>
          </cell>
          <cell r="AJ280" t="str">
            <v>Expreso - Servicios Troncales</v>
          </cell>
          <cell r="AK280" t="str">
            <v>Expreso - Servicios Troncales</v>
          </cell>
          <cell r="AL280" t="str">
            <v>Expreso - Servicios Troncales</v>
          </cell>
          <cell r="AM280" t="str">
            <v>Expreso - Servicios Troncales</v>
          </cell>
          <cell r="AN280" t="str">
            <v>Expreso - Servicios Troncales</v>
          </cell>
          <cell r="AO280" t="str">
            <v>Expreso - Servicios Troncales</v>
          </cell>
          <cell r="AP280" t="str">
            <v>Expreso - Servicios Troncales</v>
          </cell>
          <cell r="AQ280" t="str">
            <v>Expreso - Servicios Troncales</v>
          </cell>
          <cell r="AR280" t="str">
            <v>Expreso - Servicios Troncales</v>
          </cell>
          <cell r="AS280" t="str">
            <v>Expreso - Servicios Troncales</v>
          </cell>
          <cell r="AT280" t="str">
            <v>Expreso - Servicios Troncales</v>
          </cell>
          <cell r="AU280" t="str">
            <v>Expreso - Servicios Troncales</v>
          </cell>
          <cell r="AV280" t="str">
            <v>Expreso - Servicios Troncales</v>
          </cell>
          <cell r="AW280" t="str">
            <v>Expreso - Servicios Troncales</v>
          </cell>
          <cell r="AX280" t="str">
            <v>Expreso - Servicios Troncales</v>
          </cell>
          <cell r="AY280" t="str">
            <v>Expreso - Servicios Troncales</v>
          </cell>
          <cell r="AZ280" t="str">
            <v>Expreso - Servicios Troncales</v>
          </cell>
          <cell r="BA280" t="str">
            <v>Expreso - Servicios Troncales</v>
          </cell>
          <cell r="BB280" t="str">
            <v>Expreso - Servicios Troncales</v>
          </cell>
          <cell r="BC280" t="str">
            <v>Expreso - Servicios Troncales</v>
          </cell>
          <cell r="BD280" t="str">
            <v>Expreso - Servicios Troncales</v>
          </cell>
          <cell r="BE280" t="str">
            <v>Expreso - Servicios Troncales</v>
          </cell>
          <cell r="BF280" t="str">
            <v>Expreso - Servicios Troncales</v>
          </cell>
          <cell r="BG280" t="str">
            <v>Expreso - Servicios Troncales</v>
          </cell>
          <cell r="BH280" t="str">
            <v>Expreso - Servicios Troncales</v>
          </cell>
          <cell r="BI280" t="str">
            <v>Expreso - Servicios Troncales</v>
          </cell>
          <cell r="BJ280" t="str">
            <v>Expreso - Servicios Troncales</v>
          </cell>
          <cell r="BK280" t="str">
            <v>Expreso - Servicios Troncales</v>
          </cell>
          <cell r="BL280" t="str">
            <v>Expreso - Servicios Troncales</v>
          </cell>
          <cell r="BM280" t="str">
            <v>Expreso - Servicios Troncales</v>
          </cell>
          <cell r="BN280" t="str">
            <v>Expreso - Servicios Troncales</v>
          </cell>
          <cell r="BO280" t="str">
            <v>Expreso - Servicios Troncales</v>
          </cell>
          <cell r="BP280" t="str">
            <v>Expreso - Servicios Troncales</v>
          </cell>
          <cell r="BQ280" t="str">
            <v>Expreso - Servicios Troncales</v>
          </cell>
          <cell r="BR280" t="str">
            <v>Expreso - Servicios Troncales</v>
          </cell>
          <cell r="BS280" t="str">
            <v>Expreso - Servicios Troncales</v>
          </cell>
          <cell r="BT280" t="str">
            <v>Expreso - Servicios Troncales</v>
          </cell>
          <cell r="BU280" t="str">
            <v>Expreso - Servicios Troncales</v>
          </cell>
          <cell r="BV280" t="str">
            <v>Expreso - Servicios Troncales</v>
          </cell>
          <cell r="BW280" t="str">
            <v>Expreso - Servicios Troncales</v>
          </cell>
          <cell r="BX280" t="str">
            <v>Expreso - Servicios Troncales</v>
          </cell>
          <cell r="BY280" t="str">
            <v>Expreso - Servicios Troncales</v>
          </cell>
          <cell r="BZ280" t="str">
            <v>Expreso - Servicios Troncales</v>
          </cell>
          <cell r="CA280" t="str">
            <v>Expreso - Servicios Troncales</v>
          </cell>
          <cell r="CB280" t="str">
            <v>Expreso - Servicios Troncales</v>
          </cell>
          <cell r="CC280" t="str">
            <v>Expreso - Servicios Troncales</v>
          </cell>
          <cell r="CD280" t="str">
            <v>Expreso - Servicios Troncales</v>
          </cell>
          <cell r="CE280" t="str">
            <v>Expreso - Servicios Troncales</v>
          </cell>
          <cell r="CF280" t="str">
            <v>Expreso - Servicios Troncales</v>
          </cell>
          <cell r="CG280" t="str">
            <v>Expreso - Servicios Troncales</v>
          </cell>
          <cell r="CH280" t="str">
            <v>Expreso - Servicios Troncales</v>
          </cell>
          <cell r="CI280" t="str">
            <v>Expreso - Servicios Troncales</v>
          </cell>
          <cell r="CJ280" t="str">
            <v>Expreso - Servicios Troncales</v>
          </cell>
          <cell r="CK280" t="str">
            <v>Expreso - Servicios Troncales</v>
          </cell>
          <cell r="CL280" t="str">
            <v>Expreso - Servicios Troncales</v>
          </cell>
          <cell r="CM280" t="str">
            <v>Expreso - Servicios Troncales</v>
          </cell>
          <cell r="CN280" t="str">
            <v>Expreso - Servicios Troncales</v>
          </cell>
          <cell r="CO280" t="str">
            <v>Expreso - Servicios Troncales</v>
          </cell>
          <cell r="CP280" t="str">
            <v>Expreso - Servicios Troncales</v>
          </cell>
          <cell r="CQ280" t="str">
            <v>Expreso - Servicios Troncales</v>
          </cell>
          <cell r="CR280" t="str">
            <v>Expreso - Servicios Troncales</v>
          </cell>
          <cell r="CS280" t="str">
            <v>Expreso - Servicios Troncales</v>
          </cell>
          <cell r="CT280" t="str">
            <v>Sin Operación</v>
          </cell>
          <cell r="CU280" t="str">
            <v>Sin Operación</v>
          </cell>
          <cell r="CV280" t="str">
            <v>Expreso - Servicios Troncales</v>
          </cell>
          <cell r="CW280" t="str">
            <v>Expreso - Servicios Troncales</v>
          </cell>
        </row>
        <row r="281">
          <cell r="D281" t="str">
            <v>JGG406</v>
          </cell>
          <cell r="E281" t="str">
            <v>Semiremolque</v>
          </cell>
          <cell r="F281" t="str">
            <v>Semiremolque</v>
          </cell>
          <cell r="G281" t="str">
            <v>Semiremolque Baranda 14,5m 28P</v>
          </cell>
          <cell r="N281" t="str">
            <v>Expreso Malargüe S. A.</v>
          </cell>
          <cell r="O281" t="str">
            <v>Expreso Malargüe S. A.</v>
          </cell>
          <cell r="P281" t="str">
            <v>No</v>
          </cell>
          <cell r="Q281" t="str">
            <v>Propio</v>
          </cell>
          <cell r="R281">
            <v>28</v>
          </cell>
          <cell r="S281" t="str">
            <v>Propio</v>
          </cell>
          <cell r="T281" t="str">
            <v>SALTO</v>
          </cell>
          <cell r="U281" t="str">
            <v>-</v>
          </cell>
          <cell r="V281">
            <v>0</v>
          </cell>
          <cell r="W281" t="str">
            <v>8B9G1463SA0002039</v>
          </cell>
          <cell r="X281">
            <v>2011</v>
          </cell>
          <cell r="Y281">
            <v>15</v>
          </cell>
          <cell r="Z281" t="str">
            <v>Malargue</v>
          </cell>
          <cell r="AA281" t="str">
            <v>Expreso - Servicios Troncales</v>
          </cell>
          <cell r="AB281" t="str">
            <v>Expreso - Servicios Troncales</v>
          </cell>
          <cell r="AC281" t="str">
            <v>Expreso - Servicios Troncales</v>
          </cell>
          <cell r="AD281" t="str">
            <v>Expreso - Servicios Troncales</v>
          </cell>
          <cell r="AE281" t="str">
            <v>Expreso - Servicios Troncales</v>
          </cell>
          <cell r="AF281" t="str">
            <v>Expreso - Servicios Troncales</v>
          </cell>
          <cell r="AG281" t="str">
            <v>Expreso - Servicios Troncales</v>
          </cell>
          <cell r="AH281" t="str">
            <v>Expreso - Servicios Troncales</v>
          </cell>
          <cell r="AI281" t="str">
            <v>Expreso - Servicios Troncales</v>
          </cell>
          <cell r="AJ281" t="str">
            <v>Expreso - Servicios Troncales</v>
          </cell>
          <cell r="AK281" t="str">
            <v>Expreso - Servicios Troncales</v>
          </cell>
          <cell r="AL281" t="str">
            <v>Expreso - Servicios Troncales</v>
          </cell>
          <cell r="AM281" t="str">
            <v>Expreso - Servicios Troncales</v>
          </cell>
          <cell r="AN281" t="str">
            <v>Expreso - Servicios Troncales</v>
          </cell>
          <cell r="AO281" t="str">
            <v>Expreso - Servicios Troncales</v>
          </cell>
          <cell r="AP281" t="str">
            <v>Expreso - Servicios Troncales</v>
          </cell>
          <cell r="AQ281" t="str">
            <v>Expreso - Servicios Troncales</v>
          </cell>
          <cell r="AR281" t="str">
            <v>Expreso - Servicios Troncales</v>
          </cell>
          <cell r="AS281" t="str">
            <v>Expreso - Servicios Troncales</v>
          </cell>
          <cell r="AT281" t="str">
            <v>Expreso - Servicios Troncales</v>
          </cell>
          <cell r="AU281" t="str">
            <v>Expreso - Servicios Troncales</v>
          </cell>
          <cell r="AV281" t="str">
            <v>Expreso - Servicios Troncales</v>
          </cell>
          <cell r="AW281" t="str">
            <v>Expreso - Servicios Troncales</v>
          </cell>
          <cell r="AX281" t="str">
            <v>Expreso - Servicios Troncales</v>
          </cell>
          <cell r="AY281" t="str">
            <v>Expreso - Servicios Troncales</v>
          </cell>
          <cell r="AZ281" t="str">
            <v>Expreso - Servicios Troncales</v>
          </cell>
          <cell r="BA281" t="str">
            <v>Expreso - Servicios Troncales</v>
          </cell>
          <cell r="BB281" t="str">
            <v>Expreso - Servicios Troncales</v>
          </cell>
          <cell r="BC281" t="str">
            <v>Expreso - Servicios Troncales</v>
          </cell>
          <cell r="BD281" t="str">
            <v>Expreso - Servicios Troncales</v>
          </cell>
          <cell r="BE281" t="str">
            <v>Expreso - Servicios Troncales</v>
          </cell>
          <cell r="BF281" t="str">
            <v>Expreso - Servicios Troncales</v>
          </cell>
          <cell r="BG281" t="str">
            <v>Expreso - Servicios Troncales</v>
          </cell>
          <cell r="BH281" t="str">
            <v>Expreso - Servicios Troncales</v>
          </cell>
          <cell r="BI281" t="str">
            <v>Expreso - Servicios Troncales</v>
          </cell>
          <cell r="BJ281" t="str">
            <v>Expreso - Servicios Troncales</v>
          </cell>
          <cell r="BK281" t="str">
            <v>Expreso - Servicios Troncales</v>
          </cell>
          <cell r="BL281" t="str">
            <v>Expreso - Servicios Troncales</v>
          </cell>
          <cell r="BM281" t="str">
            <v>Expreso - Servicios Troncales</v>
          </cell>
          <cell r="BN281" t="str">
            <v>Expreso - Servicios Troncales</v>
          </cell>
          <cell r="BO281" t="str">
            <v>Expreso - Servicios Troncales</v>
          </cell>
          <cell r="BP281" t="str">
            <v>Expreso - Servicios Troncales</v>
          </cell>
          <cell r="BQ281" t="str">
            <v>Expreso - Servicios Troncales</v>
          </cell>
          <cell r="BR281" t="str">
            <v>Expreso - Servicios Troncales</v>
          </cell>
          <cell r="BS281" t="str">
            <v>Expreso - Servicios Troncales</v>
          </cell>
          <cell r="BT281" t="str">
            <v>Expreso - Servicios Troncales</v>
          </cell>
          <cell r="BU281" t="str">
            <v>Expreso - Servicios Troncales</v>
          </cell>
          <cell r="BV281" t="str">
            <v>Expreso - Servicios Troncales</v>
          </cell>
          <cell r="BW281" t="str">
            <v>Expreso - Servicios Troncales</v>
          </cell>
          <cell r="BX281" t="str">
            <v>Expreso - Servicios Troncales</v>
          </cell>
          <cell r="BY281" t="str">
            <v>Expreso - Servicios Troncales</v>
          </cell>
          <cell r="BZ281" t="str">
            <v>Expreso - Servicios Troncales</v>
          </cell>
          <cell r="CA281" t="str">
            <v>Expreso - Servicios Troncales</v>
          </cell>
          <cell r="CB281" t="str">
            <v>Expreso - Servicios Troncales</v>
          </cell>
          <cell r="CC281" t="str">
            <v>Expreso - Servicios Troncales</v>
          </cell>
          <cell r="CD281" t="str">
            <v>Expreso - Servicios Troncales</v>
          </cell>
          <cell r="CE281" t="str">
            <v>Expreso - Servicios Troncales</v>
          </cell>
          <cell r="CF281" t="str">
            <v>Expreso - Servicios Troncales</v>
          </cell>
          <cell r="CG281" t="str">
            <v>Expreso - Servicios Troncales</v>
          </cell>
          <cell r="CH281" t="str">
            <v>Expreso - Servicios Troncales</v>
          </cell>
          <cell r="CI281" t="str">
            <v>Expreso - Servicios Troncales</v>
          </cell>
          <cell r="CJ281" t="str">
            <v>Expreso - Servicios Troncales</v>
          </cell>
          <cell r="CK281" t="str">
            <v>Expreso - Servicios Troncales</v>
          </cell>
          <cell r="CL281" t="str">
            <v>Expreso - Servicios Troncales</v>
          </cell>
          <cell r="CM281" t="str">
            <v>Expreso - Servicios Troncales</v>
          </cell>
          <cell r="CN281" t="str">
            <v>Expreso - Servicios Troncales</v>
          </cell>
          <cell r="CO281" t="str">
            <v>Expreso - Servicios Troncales</v>
          </cell>
          <cell r="CP281" t="str">
            <v>Expreso - Servicios Troncales</v>
          </cell>
          <cell r="CQ281" t="str">
            <v>Expreso - Servicios Troncales</v>
          </cell>
          <cell r="CR281" t="str">
            <v>Expreso - Servicios Troncales</v>
          </cell>
          <cell r="CS281" t="str">
            <v>Expreso - Servicios Troncales</v>
          </cell>
          <cell r="CT281" t="str">
            <v>Sin Operación</v>
          </cell>
          <cell r="CU281" t="str">
            <v>Sin Operación</v>
          </cell>
          <cell r="CV281" t="str">
            <v>Expreso - Servicios Troncales</v>
          </cell>
          <cell r="CW281" t="str">
            <v>Expreso - Servicios Troncales</v>
          </cell>
        </row>
        <row r="282">
          <cell r="D282" t="str">
            <v>JHD033</v>
          </cell>
          <cell r="E282" t="str">
            <v>Semiremolque</v>
          </cell>
          <cell r="F282" t="str">
            <v>Semiremolque</v>
          </cell>
          <cell r="G282" t="str">
            <v>Semiremolque Sider 14,5m 28P</v>
          </cell>
          <cell r="N282" t="str">
            <v>CODYLSA</v>
          </cell>
          <cell r="O282" t="str">
            <v>CODYLSA</v>
          </cell>
          <cell r="P282" t="str">
            <v>No</v>
          </cell>
          <cell r="Q282" t="str">
            <v>Propio</v>
          </cell>
          <cell r="R282">
            <v>28</v>
          </cell>
          <cell r="S282" t="str">
            <v>Propio</v>
          </cell>
          <cell r="T282" t="str">
            <v>HERMANN</v>
          </cell>
          <cell r="U282" t="str">
            <v>S PA 3E 71</v>
          </cell>
          <cell r="V282">
            <v>0</v>
          </cell>
          <cell r="W282" t="str">
            <v>8EHSPA3E0AA000758</v>
          </cell>
          <cell r="X282">
            <v>2010</v>
          </cell>
          <cell r="Y282">
            <v>16</v>
          </cell>
          <cell r="Z282" t="str">
            <v>Malargue</v>
          </cell>
          <cell r="AA282" t="str">
            <v>Expreso - Servicios Troncales</v>
          </cell>
          <cell r="AB282" t="str">
            <v>Expreso - Servicios Troncales</v>
          </cell>
          <cell r="AC282" t="str">
            <v>Expreso - Servicios Troncales</v>
          </cell>
          <cell r="AD282" t="str">
            <v>Expreso - Servicios Troncales</v>
          </cell>
          <cell r="AE282" t="str">
            <v>Expreso - Servicios Troncales</v>
          </cell>
          <cell r="AF282" t="str">
            <v>Expreso - Servicios Troncales</v>
          </cell>
          <cell r="AG282" t="str">
            <v>Expreso - Servicios Troncales</v>
          </cell>
          <cell r="AH282" t="str">
            <v>Expreso - Servicios Troncales</v>
          </cell>
          <cell r="AI282" t="str">
            <v>Expreso - Servicios Troncales</v>
          </cell>
          <cell r="AJ282" t="str">
            <v>Expreso - Servicios Troncales</v>
          </cell>
          <cell r="AK282" t="str">
            <v>Expreso - Servicios Troncales</v>
          </cell>
          <cell r="AL282" t="str">
            <v>Expreso - Servicios Troncales</v>
          </cell>
          <cell r="AM282" t="str">
            <v>Expreso - Servicios Troncales</v>
          </cell>
          <cell r="AN282" t="str">
            <v>Expreso - Servicios Troncales</v>
          </cell>
          <cell r="AO282" t="str">
            <v>Expreso - Servicios Troncales</v>
          </cell>
          <cell r="AP282" t="str">
            <v>Expreso - Servicios Troncales</v>
          </cell>
          <cell r="AQ282" t="str">
            <v>Expreso - Servicios Troncales</v>
          </cell>
          <cell r="AR282" t="str">
            <v>Expreso - Servicios Troncales</v>
          </cell>
          <cell r="AS282" t="str">
            <v>Expreso - Servicios Troncales</v>
          </cell>
          <cell r="AT282" t="str">
            <v>Expreso - Servicios Troncales</v>
          </cell>
          <cell r="AU282" t="str">
            <v>Expreso - Servicios Troncales</v>
          </cell>
          <cell r="AV282" t="str">
            <v>Expreso - Servicios Troncales</v>
          </cell>
          <cell r="AW282" t="str">
            <v>Expreso - Servicios Troncales</v>
          </cell>
          <cell r="AX282" t="str">
            <v>Expreso - Servicios Troncales</v>
          </cell>
          <cell r="AY282" t="str">
            <v>Expreso - Servicios Troncales</v>
          </cell>
          <cell r="AZ282" t="str">
            <v>Expreso - Servicios Troncales</v>
          </cell>
          <cell r="BA282" t="str">
            <v>Expreso - Servicios Troncales</v>
          </cell>
          <cell r="BB282" t="str">
            <v>Expreso - Servicios Troncales</v>
          </cell>
          <cell r="BC282" t="str">
            <v>Expreso - Servicios Troncales</v>
          </cell>
          <cell r="BD282" t="str">
            <v>Expreso - Servicios Troncales</v>
          </cell>
          <cell r="BE282" t="str">
            <v>Expreso - Servicios Troncales</v>
          </cell>
          <cell r="BF282" t="str">
            <v>Expreso - Servicios Troncales</v>
          </cell>
          <cell r="BG282" t="str">
            <v>Expreso - Servicios Troncales</v>
          </cell>
          <cell r="BH282" t="str">
            <v>Expreso - Servicios Troncales</v>
          </cell>
          <cell r="BI282" t="str">
            <v>Expreso - Servicios Troncales</v>
          </cell>
          <cell r="BJ282" t="str">
            <v>Expreso - Servicios Troncales</v>
          </cell>
          <cell r="BK282" t="str">
            <v>Expreso - Servicios Troncales</v>
          </cell>
          <cell r="BL282" t="str">
            <v>Expreso - Servicios Troncales</v>
          </cell>
          <cell r="BM282" t="str">
            <v>Expreso - Servicios Troncales</v>
          </cell>
          <cell r="BN282" t="str">
            <v>Expreso - Servicios Troncales</v>
          </cell>
          <cell r="BO282" t="str">
            <v>Expreso - Servicios Troncales</v>
          </cell>
          <cell r="BP282" t="str">
            <v>Expreso - Servicios Troncales</v>
          </cell>
          <cell r="BQ282" t="str">
            <v>Expreso - Servicios Troncales</v>
          </cell>
          <cell r="BR282" t="str">
            <v>Expreso - Servicios Troncales</v>
          </cell>
          <cell r="BS282" t="str">
            <v>Expreso - Servicios Troncales</v>
          </cell>
          <cell r="BT282" t="str">
            <v>Expreso - Servicios Troncales</v>
          </cell>
          <cell r="BU282" t="str">
            <v>Expreso - Servicios Troncales</v>
          </cell>
          <cell r="BV282" t="str">
            <v>Expreso - Servicios Troncales</v>
          </cell>
          <cell r="BW282" t="str">
            <v>Expreso - Servicios Troncales</v>
          </cell>
          <cell r="BX282" t="str">
            <v>Expreso - Servicios Troncales</v>
          </cell>
          <cell r="BY282" t="str">
            <v>Expreso - Servicios Troncales</v>
          </cell>
          <cell r="BZ282" t="str">
            <v>Expreso - Servicios Troncales</v>
          </cell>
          <cell r="CA282" t="str">
            <v>Expreso - Servicios Troncales</v>
          </cell>
          <cell r="CB282" t="str">
            <v>Expreso - Servicios Troncales</v>
          </cell>
          <cell r="CC282" t="str">
            <v>Expreso - Servicios Troncales</v>
          </cell>
          <cell r="CD282" t="str">
            <v>Expreso - Servicios Troncales</v>
          </cell>
          <cell r="CE282" t="str">
            <v>Expreso - Servicios Troncales</v>
          </cell>
          <cell r="CF282" t="str">
            <v>Expreso - Servicios Troncales</v>
          </cell>
          <cell r="CG282" t="str">
            <v>Expreso - Servicios Troncales</v>
          </cell>
          <cell r="CH282" t="str">
            <v>Expreso - Servicios Troncales</v>
          </cell>
          <cell r="CI282" t="str">
            <v>Expreso - Servicios Troncales</v>
          </cell>
          <cell r="CJ282" t="str">
            <v>Expreso - Servicios Troncales</v>
          </cell>
          <cell r="CK282" t="str">
            <v>Expreso - Servicios Troncales</v>
          </cell>
          <cell r="CL282" t="str">
            <v>Expreso - Servicios Troncales</v>
          </cell>
          <cell r="CM282" t="str">
            <v>Expreso - Servicios Troncales</v>
          </cell>
          <cell r="CN282" t="str">
            <v>Expreso - Servicios Troncales</v>
          </cell>
          <cell r="CO282" t="str">
            <v>Expreso - Servicios Troncales</v>
          </cell>
          <cell r="CP282" t="str">
            <v>Expreso - Servicios Troncales</v>
          </cell>
          <cell r="CQ282" t="str">
            <v>Expreso - Servicios Troncales</v>
          </cell>
          <cell r="CR282" t="str">
            <v>Expreso - Servicios Troncales</v>
          </cell>
          <cell r="CS282" t="str">
            <v>Expreso - Servicios Troncales</v>
          </cell>
          <cell r="CT282" t="str">
            <v>Expreso - Servicios Troncales</v>
          </cell>
          <cell r="CU282" t="str">
            <v>Expreso - Servicios Troncales</v>
          </cell>
          <cell r="CV282" t="str">
            <v>Expreso - Servicios Troncales</v>
          </cell>
          <cell r="CW282" t="str">
            <v>Expreso - Servicios Troncales</v>
          </cell>
        </row>
        <row r="283">
          <cell r="D283" t="str">
            <v>JHD034</v>
          </cell>
          <cell r="E283" t="str">
            <v>Semiremolque</v>
          </cell>
          <cell r="F283" t="str">
            <v>Semiremolque</v>
          </cell>
          <cell r="G283" t="str">
            <v>Semiremolque Baranda 14,5m 28P</v>
          </cell>
          <cell r="N283" t="str">
            <v>CODYLSA</v>
          </cell>
          <cell r="O283" t="str">
            <v>CODYLSA</v>
          </cell>
          <cell r="P283" t="str">
            <v>No</v>
          </cell>
          <cell r="Q283" t="str">
            <v>Propio</v>
          </cell>
          <cell r="R283">
            <v>28</v>
          </cell>
          <cell r="S283" t="str">
            <v>Propio</v>
          </cell>
          <cell r="T283" t="str">
            <v>HERMANN</v>
          </cell>
          <cell r="U283" t="str">
            <v>S.BV.3E.67</v>
          </cell>
          <cell r="V283">
            <v>0</v>
          </cell>
          <cell r="W283" t="str">
            <v>8EHSBV3E0AA000764</v>
          </cell>
          <cell r="X283">
            <v>2010</v>
          </cell>
          <cell r="Y283">
            <v>16</v>
          </cell>
          <cell r="Z283" t="str">
            <v>Malargue</v>
          </cell>
          <cell r="AA283" t="str">
            <v>Expreso - Servicios Troncales</v>
          </cell>
          <cell r="AB283" t="str">
            <v>Expreso - Servicios Troncales</v>
          </cell>
          <cell r="AC283" t="str">
            <v>Expreso - Servicios Troncales</v>
          </cell>
          <cell r="AD283" t="str">
            <v>Expreso - Servicios Troncales</v>
          </cell>
          <cell r="AE283" t="str">
            <v>Expreso - Servicios Troncales</v>
          </cell>
          <cell r="AF283" t="str">
            <v>Expreso - Servicios Troncales</v>
          </cell>
          <cell r="AG283" t="str">
            <v>Expreso - Servicios Troncales</v>
          </cell>
          <cell r="AH283" t="str">
            <v>Expreso - Servicios Troncales</v>
          </cell>
          <cell r="AI283" t="str">
            <v>Expreso - Servicios Troncales</v>
          </cell>
          <cell r="AJ283" t="str">
            <v>Expreso - Servicios Troncales</v>
          </cell>
          <cell r="AK283" t="str">
            <v>Expreso - Servicios Troncales</v>
          </cell>
          <cell r="AL283" t="str">
            <v>Expreso - Servicios Troncales</v>
          </cell>
          <cell r="AM283" t="str">
            <v>Expreso - Servicios Troncales</v>
          </cell>
          <cell r="AN283" t="str">
            <v>Expreso - Servicios Troncales</v>
          </cell>
          <cell r="AO283" t="str">
            <v>Expreso - Servicios Troncales</v>
          </cell>
          <cell r="AP283" t="str">
            <v>Expreso - Servicios Troncales</v>
          </cell>
          <cell r="AQ283" t="str">
            <v>Expreso - Servicios Troncales</v>
          </cell>
          <cell r="AR283" t="str">
            <v>Expreso - Servicios Troncales</v>
          </cell>
          <cell r="AS283" t="str">
            <v>Expreso - Servicios Troncales</v>
          </cell>
          <cell r="AT283" t="str">
            <v>Expreso - Servicios Troncales</v>
          </cell>
          <cell r="AU283" t="str">
            <v>Expreso - Servicios Troncales</v>
          </cell>
          <cell r="AV283" t="str">
            <v>Expreso - Servicios Troncales</v>
          </cell>
          <cell r="AW283" t="str">
            <v>Expreso - Servicios Troncales</v>
          </cell>
          <cell r="AX283" t="str">
            <v>Expreso - Servicios Troncales</v>
          </cell>
          <cell r="AY283" t="str">
            <v>Expreso - Servicios Troncales</v>
          </cell>
          <cell r="AZ283" t="str">
            <v>Expreso - Servicios Troncales</v>
          </cell>
          <cell r="BA283" t="str">
            <v>Expreso - Servicios Troncales</v>
          </cell>
          <cell r="BB283" t="str">
            <v>Expreso - Servicios Troncales</v>
          </cell>
          <cell r="BC283" t="str">
            <v>Expreso - Servicios Troncales</v>
          </cell>
          <cell r="BD283" t="str">
            <v>Expreso - Servicios Troncales</v>
          </cell>
          <cell r="BE283" t="str">
            <v>Expreso - Servicios Troncales</v>
          </cell>
          <cell r="BF283" t="str">
            <v>Expreso - Servicios Troncales</v>
          </cell>
          <cell r="BG283" t="str">
            <v>Expreso - Servicios Troncales</v>
          </cell>
          <cell r="BH283" t="str">
            <v>Expreso - Servicios Troncales</v>
          </cell>
          <cell r="BI283" t="str">
            <v>Expreso - Servicios Troncales</v>
          </cell>
          <cell r="BJ283" t="str">
            <v>Expreso - Servicios Troncales</v>
          </cell>
          <cell r="BK283" t="str">
            <v>Expreso - Servicios Troncales</v>
          </cell>
          <cell r="BL283" t="str">
            <v>Expreso - Servicios Troncales</v>
          </cell>
          <cell r="BM283" t="str">
            <v>Expreso - Servicios Troncales</v>
          </cell>
          <cell r="BN283" t="str">
            <v>Expreso - Servicios Troncales</v>
          </cell>
          <cell r="BO283" t="str">
            <v>Expreso - Servicios Troncales</v>
          </cell>
          <cell r="BP283" t="str">
            <v>Expreso - Servicios Troncales</v>
          </cell>
          <cell r="BQ283" t="str">
            <v>Expreso - Servicios Troncales</v>
          </cell>
          <cell r="BR283" t="str">
            <v>Expreso - Servicios Troncales</v>
          </cell>
          <cell r="BS283" t="str">
            <v>Expreso - Servicios Troncales</v>
          </cell>
          <cell r="BT283" t="str">
            <v>Expreso - Servicios Troncales</v>
          </cell>
          <cell r="BU283" t="str">
            <v>Expreso - Servicios Troncales</v>
          </cell>
          <cell r="BV283" t="str">
            <v>Expreso - Servicios Troncales</v>
          </cell>
          <cell r="BW283" t="str">
            <v>Expreso - Servicios Troncales</v>
          </cell>
          <cell r="BX283" t="str">
            <v>Expreso - Servicios Troncales</v>
          </cell>
          <cell r="BY283" t="str">
            <v>Expreso - Servicios Troncales</v>
          </cell>
          <cell r="BZ283" t="str">
            <v>Expreso - Servicios Troncales</v>
          </cell>
          <cell r="CA283" t="str">
            <v>Expreso - Servicios Troncales</v>
          </cell>
          <cell r="CB283" t="str">
            <v>Unilever - Unilever de Arg. S.A.</v>
          </cell>
          <cell r="CC283" t="str">
            <v>Unilever - Unilever de Arg. S.A.</v>
          </cell>
          <cell r="CD283" t="str">
            <v>Unilever - Unilever de Arg. S.A.</v>
          </cell>
          <cell r="CE283" t="str">
            <v>Unilever - Unilever de Arg. S.A.</v>
          </cell>
          <cell r="CF283" t="str">
            <v>Unilever - Unilever de Arg. S.A.</v>
          </cell>
          <cell r="CG283" t="str">
            <v>Unilever - Unilever de Arg. S.A.</v>
          </cell>
          <cell r="CH283" t="str">
            <v>Unilever - Unilever de Arg. S.A.</v>
          </cell>
          <cell r="CI283" t="str">
            <v>Unilever - Unilever de Arg. S.A.</v>
          </cell>
          <cell r="CJ283" t="str">
            <v>Unilever - Unilever de Arg. S.A.</v>
          </cell>
          <cell r="CK283" t="str">
            <v>Unilever - Unilever de Arg. S.A.</v>
          </cell>
          <cell r="CL283" t="str">
            <v>Unilever - Unilever de Arg. S.A.</v>
          </cell>
          <cell r="CM283" t="str">
            <v>JOHNSON - SC JOHNSON DE ARGENTINA SAIC</v>
          </cell>
          <cell r="CN283" t="str">
            <v>JOHNSON - SC JOHNSON DE ARGENTINA SAIC</v>
          </cell>
          <cell r="CO283" t="str">
            <v>SUC_CTC - Sucursal Buenos Aires</v>
          </cell>
          <cell r="CP283" t="str">
            <v>SUC_CTC - Sucursal Buenos Aires</v>
          </cell>
          <cell r="CQ283" t="str">
            <v>SUC_CTC - Sucursal Buenos Aires</v>
          </cell>
          <cell r="CR283" t="str">
            <v>Expreso - Servicios Troncales</v>
          </cell>
          <cell r="CS283" t="str">
            <v>Expreso - Servicios Troncales</v>
          </cell>
          <cell r="CT283" t="str">
            <v>Expreso - Servicios Troncales</v>
          </cell>
          <cell r="CU283" t="str">
            <v>Expreso - Servicios Troncales</v>
          </cell>
          <cell r="CV283" t="str">
            <v>Expreso - Servicios Troncales</v>
          </cell>
          <cell r="CW283" t="str">
            <v>Expreso - Servicios Troncales</v>
          </cell>
        </row>
        <row r="284">
          <cell r="D284" t="str">
            <v>JHD035</v>
          </cell>
          <cell r="E284" t="str">
            <v>Semiremolque</v>
          </cell>
          <cell r="F284" t="str">
            <v>Semiremolque</v>
          </cell>
          <cell r="G284" t="str">
            <v>Semiremolque Baranda 14,5m 28P</v>
          </cell>
          <cell r="N284" t="str">
            <v>CODYLSA</v>
          </cell>
          <cell r="O284" t="str">
            <v>CODYLSA</v>
          </cell>
          <cell r="P284" t="str">
            <v>No</v>
          </cell>
          <cell r="Q284" t="str">
            <v>Propio</v>
          </cell>
          <cell r="R284">
            <v>28</v>
          </cell>
          <cell r="S284" t="str">
            <v>Propio</v>
          </cell>
          <cell r="T284" t="str">
            <v>HERMANN</v>
          </cell>
          <cell r="U284" t="str">
            <v>S.BV.3E.67</v>
          </cell>
          <cell r="V284">
            <v>0</v>
          </cell>
          <cell r="W284" t="str">
            <v>8EHSBV3E0AA000763</v>
          </cell>
          <cell r="X284">
            <v>2010</v>
          </cell>
          <cell r="Y284">
            <v>16</v>
          </cell>
          <cell r="Z284" t="str">
            <v>Malargue</v>
          </cell>
          <cell r="AA284" t="str">
            <v>Expreso - Servicios Troncales</v>
          </cell>
          <cell r="AB284" t="str">
            <v>Expreso - Servicios Troncales</v>
          </cell>
          <cell r="AC284" t="str">
            <v>Expreso - Servicios Troncales</v>
          </cell>
          <cell r="AD284" t="str">
            <v>Expreso - Servicios Troncales</v>
          </cell>
          <cell r="AE284" t="str">
            <v>Expreso - Servicios Troncales</v>
          </cell>
          <cell r="AF284" t="str">
            <v>Expreso - Servicios Troncales</v>
          </cell>
          <cell r="AG284" t="str">
            <v>Expreso - Servicios Troncales</v>
          </cell>
          <cell r="AH284" t="str">
            <v>Expreso - Servicios Troncales</v>
          </cell>
          <cell r="AI284" t="str">
            <v>Expreso - Servicios Troncales</v>
          </cell>
          <cell r="AJ284" t="str">
            <v>Expreso - Servicios Troncales</v>
          </cell>
          <cell r="AK284" t="str">
            <v>Expreso - Servicios Troncales</v>
          </cell>
          <cell r="AL284" t="str">
            <v>Expreso - Servicios Troncales</v>
          </cell>
          <cell r="AM284" t="str">
            <v>Expreso - Servicios Troncales</v>
          </cell>
          <cell r="AN284" t="str">
            <v>Expreso - Servicios Troncales</v>
          </cell>
          <cell r="AO284" t="str">
            <v>Expreso - Servicios Troncales</v>
          </cell>
          <cell r="AP284" t="str">
            <v>Expreso - Servicios Troncales</v>
          </cell>
          <cell r="AQ284" t="str">
            <v>Expreso - Servicios Troncales</v>
          </cell>
          <cell r="AR284" t="str">
            <v>Expreso - Servicios Troncales</v>
          </cell>
          <cell r="AS284" t="str">
            <v>Expreso - Servicios Troncales</v>
          </cell>
          <cell r="AT284" t="str">
            <v>Expreso - Servicios Troncales</v>
          </cell>
          <cell r="AU284" t="str">
            <v>Expreso - Servicios Troncales</v>
          </cell>
          <cell r="AV284" t="str">
            <v>Expreso - Servicios Troncales</v>
          </cell>
          <cell r="AW284" t="str">
            <v>Expreso - Servicios Troncales</v>
          </cell>
          <cell r="AX284" t="str">
            <v>Expreso - Servicios Troncales</v>
          </cell>
          <cell r="AY284" t="str">
            <v>Expreso - Servicios Troncales</v>
          </cell>
          <cell r="AZ284" t="str">
            <v>Expreso - Servicios Troncales</v>
          </cell>
          <cell r="BA284" t="str">
            <v>Expreso - Servicios Troncales</v>
          </cell>
          <cell r="BB284" t="str">
            <v>Expreso - Servicios Troncales</v>
          </cell>
          <cell r="BC284" t="str">
            <v>Expreso - Servicios Troncales</v>
          </cell>
          <cell r="BD284" t="str">
            <v>Expreso - Servicios Troncales</v>
          </cell>
          <cell r="BE284" t="str">
            <v>Expreso - Servicios Troncales</v>
          </cell>
          <cell r="BF284" t="str">
            <v>Expreso - Servicios Troncales</v>
          </cell>
          <cell r="BG284" t="str">
            <v>Expreso - Servicios Troncales</v>
          </cell>
          <cell r="BH284" t="str">
            <v>Expreso - Servicios Troncales</v>
          </cell>
          <cell r="BI284" t="str">
            <v>Expreso - Servicios Troncales</v>
          </cell>
          <cell r="BJ284" t="str">
            <v>Expreso - Servicios Troncales</v>
          </cell>
          <cell r="BK284" t="str">
            <v>Expreso - Servicios Troncales</v>
          </cell>
          <cell r="BL284" t="str">
            <v>Expreso - Servicios Troncales</v>
          </cell>
          <cell r="BM284" t="str">
            <v>Expreso - Servicios Troncales</v>
          </cell>
          <cell r="BN284" t="str">
            <v>Expreso - Servicios Troncales</v>
          </cell>
          <cell r="BO284" t="str">
            <v>Expreso - Servicios Troncales</v>
          </cell>
          <cell r="BP284" t="str">
            <v>Expreso - Servicios Troncales</v>
          </cell>
          <cell r="BQ284" t="str">
            <v>Expreso - Servicios Troncales</v>
          </cell>
          <cell r="BR284" t="str">
            <v>Expreso - Servicios Troncales</v>
          </cell>
          <cell r="BS284" t="str">
            <v>Expreso - Servicios Troncales</v>
          </cell>
          <cell r="BT284" t="str">
            <v>Expreso - Servicios Troncales</v>
          </cell>
          <cell r="BU284" t="str">
            <v>Expreso - Servicios Troncales</v>
          </cell>
          <cell r="BV284" t="str">
            <v>Expreso - Servicios Troncales</v>
          </cell>
          <cell r="BW284" t="str">
            <v>Expreso - Servicios Troncales</v>
          </cell>
          <cell r="BX284" t="str">
            <v>Expreso - Servicios Troncales</v>
          </cell>
          <cell r="BY284" t="str">
            <v>Expreso - Servicios Troncales</v>
          </cell>
          <cell r="BZ284" t="str">
            <v>Unilever - Unilever de Arg. S.A.</v>
          </cell>
          <cell r="CA284" t="str">
            <v>Unilever - Unilever de Arg. S.A.</v>
          </cell>
          <cell r="CB284" t="str">
            <v>Unilever - Unilever de Arg. S.A.</v>
          </cell>
          <cell r="CC284" t="str">
            <v>Unilever - Unilever de Arg. S.A.</v>
          </cell>
          <cell r="CD284" t="str">
            <v>Unilever - Unilever de Arg. S.A.</v>
          </cell>
          <cell r="CE284" t="str">
            <v>Unilever - Unilever de Arg. S.A.</v>
          </cell>
          <cell r="CF284" t="str">
            <v>Unilever - Unilever de Arg. S.A.</v>
          </cell>
          <cell r="CG284" t="str">
            <v>Unilever - Unilever de Arg. S.A.</v>
          </cell>
          <cell r="CH284" t="str">
            <v>Unilever - Unilever de Arg. S.A.</v>
          </cell>
          <cell r="CI284" t="str">
            <v>Expreso - Servicios Troncales</v>
          </cell>
          <cell r="CJ284" t="str">
            <v>Expreso - Servicios Troncales</v>
          </cell>
          <cell r="CK284" t="str">
            <v>Expreso - Servicios Troncales</v>
          </cell>
          <cell r="CL284" t="str">
            <v>Expreso - Servicios Troncales</v>
          </cell>
          <cell r="CM284" t="str">
            <v>Expreso - Servicios Troncales</v>
          </cell>
          <cell r="CN284" t="str">
            <v>Expreso - Servicios Troncales</v>
          </cell>
          <cell r="CO284" t="str">
            <v>Expreso - Servicios Troncales</v>
          </cell>
          <cell r="CP284" t="str">
            <v>Expreso - Servicios Troncales</v>
          </cell>
          <cell r="CQ284" t="str">
            <v>Expreso - Servicios Troncales</v>
          </cell>
          <cell r="CR284" t="str">
            <v>Expreso - Servicios Troncales</v>
          </cell>
          <cell r="CS284" t="str">
            <v>Expreso - Servicios Troncales</v>
          </cell>
          <cell r="CT284" t="str">
            <v>Expreso - Servicios Troncales</v>
          </cell>
          <cell r="CU284" t="str">
            <v>Expreso - Servicios Troncales</v>
          </cell>
          <cell r="CV284" t="str">
            <v>Expreso - Servicios Troncales</v>
          </cell>
          <cell r="CW284" t="str">
            <v>Expreso - Servicios Troncales</v>
          </cell>
        </row>
        <row r="285">
          <cell r="D285" t="str">
            <v>JIL501</v>
          </cell>
          <cell r="E285" t="str">
            <v>Semiremolque</v>
          </cell>
          <cell r="F285" t="str">
            <v>Semiremolque</v>
          </cell>
          <cell r="G285" t="str">
            <v>Semiremolque Sider 14,5m 28P</v>
          </cell>
          <cell r="N285" t="str">
            <v>CODYLSA</v>
          </cell>
          <cell r="O285" t="str">
            <v>CODYLSA</v>
          </cell>
          <cell r="P285" t="str">
            <v>No</v>
          </cell>
          <cell r="Q285" t="str">
            <v>Propio</v>
          </cell>
          <cell r="R285">
            <v>28</v>
          </cell>
          <cell r="S285" t="str">
            <v>Propio</v>
          </cell>
          <cell r="T285" t="str">
            <v>HERMANN</v>
          </cell>
          <cell r="U285" t="str">
            <v>S PA 3E 71</v>
          </cell>
          <cell r="V285">
            <v>0</v>
          </cell>
          <cell r="W285" t="str">
            <v>8EHSPA3E0AA000759</v>
          </cell>
          <cell r="X285">
            <v>2010</v>
          </cell>
          <cell r="Y285">
            <v>16</v>
          </cell>
          <cell r="Z285" t="str">
            <v>Malargue</v>
          </cell>
          <cell r="AA285" t="str">
            <v>Expreso - Servicios Troncales</v>
          </cell>
          <cell r="AB285" t="str">
            <v>Expreso - Servicios Troncales</v>
          </cell>
          <cell r="AC285" t="str">
            <v>Expreso - Servicios Troncales</v>
          </cell>
          <cell r="AD285" t="str">
            <v>Expreso - Servicios Troncales</v>
          </cell>
          <cell r="AE285" t="str">
            <v>Expreso - Servicios Troncales</v>
          </cell>
          <cell r="AF285" t="str">
            <v>Expreso - Servicios Troncales</v>
          </cell>
          <cell r="AG285" t="str">
            <v>Expreso - Servicios Troncales</v>
          </cell>
          <cell r="AH285" t="str">
            <v>Expreso - Servicios Troncales</v>
          </cell>
          <cell r="AI285" t="str">
            <v>Expreso - Servicios Troncales</v>
          </cell>
          <cell r="AJ285" t="str">
            <v>Expreso - Servicios Troncales</v>
          </cell>
          <cell r="AK285" t="str">
            <v>Expreso - Servicios Troncales</v>
          </cell>
          <cell r="AL285" t="str">
            <v>Expreso - Servicios Troncales</v>
          </cell>
          <cell r="AM285" t="str">
            <v>Expreso - Servicios Troncales</v>
          </cell>
          <cell r="AN285" t="str">
            <v>Expreso - Servicios Troncales</v>
          </cell>
          <cell r="AO285" t="str">
            <v>Expreso - Servicios Troncales</v>
          </cell>
          <cell r="AP285" t="str">
            <v>Expreso - Servicios Troncales</v>
          </cell>
          <cell r="AQ285" t="str">
            <v>Expreso - Servicios Troncales</v>
          </cell>
          <cell r="AR285" t="str">
            <v>Expreso - Servicios Troncales</v>
          </cell>
          <cell r="AS285" t="str">
            <v>Expreso - Servicios Troncales</v>
          </cell>
          <cell r="AT285" t="str">
            <v>Expreso - Servicios Troncales</v>
          </cell>
          <cell r="AU285" t="str">
            <v>Expreso - Servicios Troncales</v>
          </cell>
          <cell r="AV285" t="str">
            <v>Expreso - Servicios Troncales</v>
          </cell>
          <cell r="AW285" t="str">
            <v>Expreso - Servicios Troncales</v>
          </cell>
          <cell r="AX285" t="str">
            <v>Expreso - Servicios Troncales</v>
          </cell>
          <cell r="AY285" t="str">
            <v>Expreso - Servicios Troncales</v>
          </cell>
          <cell r="AZ285" t="str">
            <v>Expreso - Servicios Troncales</v>
          </cell>
          <cell r="BA285" t="str">
            <v>Expreso - Servicios Troncales</v>
          </cell>
          <cell r="BB285" t="str">
            <v>Expreso - Servicios Troncales</v>
          </cell>
          <cell r="BC285" t="str">
            <v>Expreso - Servicios Troncales</v>
          </cell>
          <cell r="BD285" t="str">
            <v>Expreso - Servicios Troncales</v>
          </cell>
          <cell r="BE285" t="str">
            <v>Expreso - Servicios Troncales</v>
          </cell>
          <cell r="BF285" t="str">
            <v>Expreso - Servicios Troncales</v>
          </cell>
          <cell r="BG285" t="str">
            <v>Expreso - Servicios Troncales</v>
          </cell>
          <cell r="BH285" t="str">
            <v>Expreso - Servicios Troncales</v>
          </cell>
          <cell r="BI285" t="str">
            <v>Expreso - Servicios Troncales</v>
          </cell>
          <cell r="BJ285" t="str">
            <v>Expreso - Servicios Troncales</v>
          </cell>
          <cell r="BK285" t="str">
            <v>Expreso - Servicios Troncales</v>
          </cell>
          <cell r="BL285" t="str">
            <v>Expreso - Servicios Troncales</v>
          </cell>
          <cell r="BM285" t="str">
            <v>Expreso - Servicios Troncales</v>
          </cell>
          <cell r="BN285" t="str">
            <v>CMQ_TTE - QUILMES TTE</v>
          </cell>
          <cell r="BO285" t="str">
            <v>CMQ_TTE - QUILMES TTE</v>
          </cell>
          <cell r="BP285" t="str">
            <v>CMQ_TTE - QUILMES TTE</v>
          </cell>
          <cell r="BQ285" t="str">
            <v>CMQ_TTE - QUILMES TTE</v>
          </cell>
          <cell r="BR285" t="str">
            <v>MolCa</v>
          </cell>
          <cell r="BS285" t="str">
            <v>Papelera - Papelera del Plata S.A.</v>
          </cell>
          <cell r="BT285" t="str">
            <v>Papelera - Papelera del Plata S.A.</v>
          </cell>
          <cell r="BU285" t="str">
            <v>Papelera - Papelera del Plata S.A.</v>
          </cell>
          <cell r="BV285" t="str">
            <v>Unilever - Unilever de Arg. S.A.</v>
          </cell>
          <cell r="BW285" t="str">
            <v>Unilever - Unilever de Arg. S.A.</v>
          </cell>
          <cell r="BX285" t="str">
            <v>Unilever - Unilever de Arg. S.A.</v>
          </cell>
          <cell r="BY285" t="str">
            <v>Unilever - Unilever de Arg. S.A.</v>
          </cell>
          <cell r="BZ285" t="str">
            <v>Unilever - Unilever de Arg. S.A.</v>
          </cell>
          <cell r="CA285" t="str">
            <v>Unilever - Unilever de Arg. S.A.</v>
          </cell>
          <cell r="CB285" t="str">
            <v>Unilever - Unilever de Arg. S.A.</v>
          </cell>
          <cell r="CC285" t="str">
            <v>Unilever - Unilever de Arg. S.A.</v>
          </cell>
          <cell r="CD285" t="str">
            <v>Unilever - Unilever de Arg. S.A.</v>
          </cell>
          <cell r="CE285" t="str">
            <v>Unilever - Unilever de Arg. S.A.</v>
          </cell>
          <cell r="CF285" t="str">
            <v>Unilever - Unilever de Arg. S.A.</v>
          </cell>
          <cell r="CG285" t="str">
            <v>Unilever - Unilever de Arg. S.A.</v>
          </cell>
          <cell r="CH285" t="str">
            <v>Unilever - Unilever de Arg. S.A.</v>
          </cell>
          <cell r="CI285" t="str">
            <v>Unilever - Unilever de Arg. S.A.</v>
          </cell>
          <cell r="CJ285" t="str">
            <v>Unilever - Unilever de Arg. S.A.</v>
          </cell>
          <cell r="CK285" t="str">
            <v>Unilever - Unilever de Arg. S.A.</v>
          </cell>
          <cell r="CL285" t="str">
            <v>Unilever - Unilever de Arg. S.A.</v>
          </cell>
          <cell r="CM285" t="str">
            <v>Unilever - Unilever de Arg. S.A.</v>
          </cell>
          <cell r="CN285" t="str">
            <v>Unilever - Unilever de Arg. S.A.</v>
          </cell>
          <cell r="CO285" t="str">
            <v>Unilever - Unilever de Arg. S.A.</v>
          </cell>
          <cell r="CP285" t="str">
            <v>JOHNSON - SC JOHNSON DE ARGENTINA SAIC</v>
          </cell>
          <cell r="CQ285" t="str">
            <v>JOHNSON - SC JOHNSON DE ARGENTINA SAIC</v>
          </cell>
          <cell r="CR285" t="str">
            <v>Unilever - Unilever de Arg. S.A.</v>
          </cell>
          <cell r="CS285" t="str">
            <v>Unilever - Unilever de Arg. S.A.</v>
          </cell>
          <cell r="CT285" t="str">
            <v>Unilever - Unilever de Arg. S.A.</v>
          </cell>
          <cell r="CU285" t="str">
            <v>Unilever - Unilever de Arg. S.A.</v>
          </cell>
          <cell r="CV285" t="str">
            <v>Unilever - Unilever de Arg. S.A.</v>
          </cell>
          <cell r="CW285" t="str">
            <v>Unilever - Unilever de Arg. S.A.</v>
          </cell>
        </row>
        <row r="286">
          <cell r="D286" t="str">
            <v>AG255ND</v>
          </cell>
          <cell r="E286" t="str">
            <v>Semiremolque FRIO</v>
          </cell>
          <cell r="F286" t="str">
            <v>Semiremolque</v>
          </cell>
          <cell r="G286" t="str">
            <v>Semiremolque Termico Carnicero 14,5m 28P</v>
          </cell>
          <cell r="N286" t="str">
            <v>DYLASA</v>
          </cell>
          <cell r="O286" t="str">
            <v>DYLASA</v>
          </cell>
          <cell r="P286" t="str">
            <v>No</v>
          </cell>
          <cell r="Q286" t="str">
            <v>Propio</v>
          </cell>
          <cell r="R286">
            <v>28</v>
          </cell>
          <cell r="S286" t="str">
            <v>Propio</v>
          </cell>
          <cell r="T286" t="str">
            <v>AST-PARA</v>
          </cell>
          <cell r="U286" t="str">
            <v>FTHDCFW3</v>
          </cell>
          <cell r="V286">
            <v>0</v>
          </cell>
          <cell r="W286" t="str">
            <v>8E9298770PS238042</v>
          </cell>
          <cell r="X286">
            <v>2023</v>
          </cell>
          <cell r="Y286">
            <v>3</v>
          </cell>
          <cell r="BT286" t="str">
            <v>Sin Operación</v>
          </cell>
          <cell r="BU286" t="str">
            <v>Sin Operación</v>
          </cell>
          <cell r="BV286" t="str">
            <v>Sin Operación</v>
          </cell>
          <cell r="BW286" t="str">
            <v>Sin Operación</v>
          </cell>
          <cell r="BX286" t="str">
            <v>CENCOMLD - Cencosud SA - Mendoza</v>
          </cell>
          <cell r="BY286" t="str">
            <v>CENCOMLD - Cencosud SA - Mendoza</v>
          </cell>
          <cell r="BZ286" t="str">
            <v>CENCOMLD - Cencosud SA - Mendoza</v>
          </cell>
          <cell r="CA286" t="str">
            <v>CENCOMLD - Cencosud SA - Mendoza</v>
          </cell>
          <cell r="CB286" t="str">
            <v>CENCOMLD - Cencosud SA - Mendoza</v>
          </cell>
          <cell r="CC286" t="str">
            <v>CENCOMLD - Cencosud SA - Mendoza</v>
          </cell>
          <cell r="CD286" t="str">
            <v>CENCOMLD - Cencosud SA - Mendoza</v>
          </cell>
          <cell r="CE286" t="str">
            <v>CENCOMLD - Cencosud SA - Mendoza</v>
          </cell>
          <cell r="CF286" t="str">
            <v>CENCOMLD - Cencosud SA - Mendoza</v>
          </cell>
          <cell r="CG286" t="str">
            <v>CENCOMLD - Cencosud SA - Mendoza</v>
          </cell>
          <cell r="CH286" t="str">
            <v>CENCOMLD - Cencosud SA - Mendoza</v>
          </cell>
          <cell r="CI286" t="str">
            <v>CENCOMLD - Cencosud SA - Mendoza</v>
          </cell>
          <cell r="CJ286" t="str">
            <v>CENCOMLD - Cencosud SA - Mendoza</v>
          </cell>
          <cell r="CK286" t="str">
            <v>CENCOMLD - Cencosud SA - Mendoza</v>
          </cell>
          <cell r="CL286" t="str">
            <v>CENCOMLD - Cencosud SA - Mendoza</v>
          </cell>
          <cell r="CM286" t="str">
            <v>CENCOMLD - Cencosud SA - Mendoza</v>
          </cell>
          <cell r="CN286" t="str">
            <v>CENCOMLD - Cencosud SA - Mendoza</v>
          </cell>
          <cell r="CO286" t="str">
            <v>CENCOMLD - Cencosud SA - Mendoza</v>
          </cell>
          <cell r="CP286" t="str">
            <v>CENCOMLD - Cencosud SA - Mendoza</v>
          </cell>
          <cell r="CQ286" t="str">
            <v>CENCOMLD - Cencosud SA - Mendoza</v>
          </cell>
          <cell r="CR286" t="str">
            <v>CENCOMLD - Cencosud SA - Mendoza</v>
          </cell>
          <cell r="CS286" t="str">
            <v>CENCOMLD - Cencosud SA - Mendoza</v>
          </cell>
          <cell r="CT286" t="str">
            <v>CENCOMLD - Cencosud SA - Mendoza</v>
          </cell>
          <cell r="CU286" t="str">
            <v>CENCOMLD - Cencosud SA - Mendoza</v>
          </cell>
          <cell r="CV286" t="str">
            <v>CENCOMLD - Cencosud SA - Mendoza</v>
          </cell>
          <cell r="CW286" t="str">
            <v>CENCOMLD - Cencosud SA - Mendoza</v>
          </cell>
        </row>
        <row r="287">
          <cell r="D287" t="str">
            <v>JIU311</v>
          </cell>
          <cell r="E287" t="str">
            <v>Tractor</v>
          </cell>
          <cell r="F287" t="str">
            <v>Tractor</v>
          </cell>
          <cell r="G287" t="str">
            <v>Tractor</v>
          </cell>
          <cell r="N287" t="str">
            <v>CODYLSA</v>
          </cell>
          <cell r="O287" t="str">
            <v>CODYLSA</v>
          </cell>
          <cell r="P287" t="str">
            <v>No</v>
          </cell>
          <cell r="Q287" t="str">
            <v>Propio</v>
          </cell>
          <cell r="R287" t="str">
            <v>-</v>
          </cell>
          <cell r="S287" t="str">
            <v>Propio</v>
          </cell>
          <cell r="T287" t="str">
            <v>MERCEDES BENZ</v>
          </cell>
          <cell r="U287" t="str">
            <v>AXOR 1933 S</v>
          </cell>
          <cell r="V287" t="str">
            <v>926921U0901016</v>
          </cell>
          <cell r="W287" t="str">
            <v>9BM958207BB741770</v>
          </cell>
          <cell r="X287">
            <v>2010</v>
          </cell>
          <cell r="Y287">
            <v>16</v>
          </cell>
          <cell r="Z287" t="str">
            <v>Morixe</v>
          </cell>
          <cell r="AA287" t="str">
            <v>MORIXE - MORIXE HERMANOS SACEI</v>
          </cell>
          <cell r="AB287" t="str">
            <v>MORIXE - MORIXE HERMANOS SACEI</v>
          </cell>
          <cell r="AC287" t="str">
            <v>MORIXE - MORIXE HERMANOS SACEI</v>
          </cell>
          <cell r="AD287" t="str">
            <v>MORIXE - MORIXE HERMANOS SACEI</v>
          </cell>
          <cell r="AE287" t="str">
            <v>MORIXE - MORIXE HERMANOS SACEI</v>
          </cell>
          <cell r="AF287" t="str">
            <v>MORIXE - MORIXE HERMANOS SACEI</v>
          </cell>
          <cell r="AG287" t="str">
            <v>MORIXE - MORIXE HERMANOS SACEI</v>
          </cell>
          <cell r="AH287" t="str">
            <v>MORIXE - MORIXE HERMANOS SACEI</v>
          </cell>
          <cell r="AI287" t="str">
            <v>MORIXE - MORIXE HERMANOS SACEI</v>
          </cell>
          <cell r="AJ287" t="str">
            <v>MORIXE - MORIXE HERMANOS SACEI</v>
          </cell>
          <cell r="AK287" t="str">
            <v>Papelera - Papelera del Plata S.A.</v>
          </cell>
          <cell r="AL287" t="str">
            <v>Papelera - Papelera del Plata S.A.</v>
          </cell>
          <cell r="AM287" t="str">
            <v xml:space="preserve">Carrefour </v>
          </cell>
          <cell r="AN287" t="str">
            <v xml:space="preserve">Carrefour </v>
          </cell>
          <cell r="AO287" t="str">
            <v>Papelera - Papelera del Plata S.A.</v>
          </cell>
          <cell r="AP287" t="str">
            <v>Papelera - Papelera del Plata S.A.</v>
          </cell>
          <cell r="AQ287" t="str">
            <v>Expreso - Servicios Troncales</v>
          </cell>
          <cell r="AR287" t="str">
            <v>Expreso - Servicios Troncales</v>
          </cell>
          <cell r="AS287" t="str">
            <v>Expreso - Servicios Troncales</v>
          </cell>
          <cell r="AT287" t="str">
            <v>Expreso - Servicios Troncales</v>
          </cell>
          <cell r="AU287" t="str">
            <v>Expreso - Servicios Troncales</v>
          </cell>
          <cell r="AV287" t="str">
            <v>CENCO_MZ - Cencosud SA - Mendoza</v>
          </cell>
          <cell r="AW287" t="str">
            <v>CENCO_MZ - Cencosud SA - Mendoza</v>
          </cell>
          <cell r="AX287" t="str">
            <v>CENCO_MZ - Cencosud SA - Mendoza</v>
          </cell>
          <cell r="AY287" t="str">
            <v>CENCO_MZ - Cencosud SA - Mendoza</v>
          </cell>
          <cell r="AZ287" t="str">
            <v>CENCO_MZ - Cencosud SA - Mendoza</v>
          </cell>
          <cell r="BA287" t="str">
            <v>CENCO_MZ - Cencosud SA - Mendoza</v>
          </cell>
          <cell r="BB287" t="str">
            <v>CENCO_MZ - Cencosud SA - Mendoza</v>
          </cell>
          <cell r="BC287" t="str">
            <v>CENCO_MZ - Cencosud SA - Mendoza</v>
          </cell>
          <cell r="BD287" t="str">
            <v>SUC_CTC - Sucursal Buenos Aires</v>
          </cell>
          <cell r="BE287" t="str">
            <v>SUC_CTC - Sucursal Buenos Aires</v>
          </cell>
          <cell r="BF287" t="str">
            <v>SUC_CTC - Sucursal Buenos Aires</v>
          </cell>
          <cell r="BG287" t="str">
            <v>SUC_CTC - Sucursal Buenos Aires</v>
          </cell>
          <cell r="BH287" t="str">
            <v>SUC_CTC - Sucursal Buenos Aires</v>
          </cell>
          <cell r="BI287" t="str">
            <v>SUC_CTC - Sucursal Buenos Aires</v>
          </cell>
          <cell r="BJ287" t="str">
            <v>SUC_CTC - Sucursal Buenos Aires</v>
          </cell>
          <cell r="BK287" t="str">
            <v>SUC_CTC - Sucursal Buenos Aires</v>
          </cell>
          <cell r="BL287" t="str">
            <v>SUC_CTC - Sucursal Buenos Aires</v>
          </cell>
          <cell r="BM287" t="str">
            <v>SUC_CTC - Sucursal Buenos Aires</v>
          </cell>
          <cell r="BN287" t="str">
            <v>SUC_SRA - Sucursal San Rafael</v>
          </cell>
          <cell r="BO287" t="str">
            <v>SUC_SRA - Sucursal San Rafael</v>
          </cell>
          <cell r="BP287" t="str">
            <v>SUC_SRA - Sucursal San Rafael</v>
          </cell>
          <cell r="BQ287" t="str">
            <v>Expreso - Servicios Troncales</v>
          </cell>
          <cell r="BR287" t="str">
            <v>Expreso - Servicios Troncales</v>
          </cell>
          <cell r="BS287" t="str">
            <v>Expreso - Servicios Troncales</v>
          </cell>
          <cell r="BT287" t="str">
            <v>Expreso - Servicios Troncales</v>
          </cell>
          <cell r="BU287" t="str">
            <v>Expreso - Servicios Troncales</v>
          </cell>
          <cell r="BV287" t="str">
            <v>Expreso - Servicios Troncales</v>
          </cell>
          <cell r="BW287" t="str">
            <v>Expreso - Servicios Troncales</v>
          </cell>
          <cell r="BX287" t="str">
            <v>Expreso - Servicios Troncales</v>
          </cell>
          <cell r="BY287" t="str">
            <v>Expreso - Servicios Troncales</v>
          </cell>
          <cell r="BZ287" t="str">
            <v>Expreso - Servicios Troncales</v>
          </cell>
          <cell r="CA287" t="str">
            <v>Expreso - Servicios Troncales</v>
          </cell>
          <cell r="CB287" t="str">
            <v>Expreso - Servicios Troncales</v>
          </cell>
          <cell r="CC287" t="str">
            <v>Expreso - Servicios Troncales</v>
          </cell>
          <cell r="CD287" t="str">
            <v>Expreso - Servicios Troncales</v>
          </cell>
          <cell r="CE287" t="str">
            <v>Expreso - Servicios Troncales</v>
          </cell>
          <cell r="CF287" t="str">
            <v>Expreso - Servicios Troncales</v>
          </cell>
          <cell r="CG287" t="str">
            <v>Expreso - Servicios Troncales</v>
          </cell>
          <cell r="CH287" t="str">
            <v>Expreso - Servicios Troncales</v>
          </cell>
          <cell r="CI287" t="str">
            <v>Expreso - Servicios Troncales</v>
          </cell>
          <cell r="CJ287" t="str">
            <v>Expreso - Servicios Troncales</v>
          </cell>
          <cell r="CK287" t="str">
            <v>Expreso - Servicios Troncales</v>
          </cell>
          <cell r="CL287" t="str">
            <v>Expreso - Servicios Troncales</v>
          </cell>
          <cell r="CM287" t="str">
            <v>Expreso - Servicios Troncales</v>
          </cell>
          <cell r="CN287" t="str">
            <v>Expreso - Servicios Troncales</v>
          </cell>
          <cell r="CO287" t="str">
            <v>Expreso - Servicios Troncales</v>
          </cell>
          <cell r="CP287" t="str">
            <v>Expreso - Servicios Troncales</v>
          </cell>
          <cell r="CQ287" t="str">
            <v>Expreso - Servicios Troncales</v>
          </cell>
          <cell r="CR287" t="str">
            <v>Expreso - Servicios Troncales</v>
          </cell>
          <cell r="CS287" t="str">
            <v>Expreso - Servicios Troncales</v>
          </cell>
          <cell r="CT287" t="str">
            <v>Expreso - Servicios Troncales</v>
          </cell>
          <cell r="CU287" t="str">
            <v>Expreso - Servicios Troncales</v>
          </cell>
          <cell r="CV287" t="str">
            <v>Expreso - Servicios Troncales</v>
          </cell>
          <cell r="CW287" t="str">
            <v>Expreso - Servicios Troncales</v>
          </cell>
        </row>
        <row r="288">
          <cell r="D288" t="str">
            <v>JJH871</v>
          </cell>
          <cell r="E288" t="str">
            <v>Chasis</v>
          </cell>
          <cell r="F288" t="str">
            <v>Chasis</v>
          </cell>
          <cell r="G288" t="str">
            <v>Chasis</v>
          </cell>
          <cell r="N288" t="str">
            <v>CODYLSA</v>
          </cell>
          <cell r="O288" t="str">
            <v>CODYLSA</v>
          </cell>
          <cell r="P288" t="str">
            <v>No</v>
          </cell>
          <cell r="Q288" t="str">
            <v>Propio</v>
          </cell>
          <cell r="R288">
            <v>12</v>
          </cell>
          <cell r="S288" t="str">
            <v>Propio</v>
          </cell>
          <cell r="T288" t="str">
            <v>MERCEDES BENZ</v>
          </cell>
          <cell r="U288" t="str">
            <v>ATEGO 1418/48 FRONTAL</v>
          </cell>
          <cell r="V288" t="str">
            <v>904967U0903328</v>
          </cell>
          <cell r="W288" t="str">
            <v>9BM958034BB744433</v>
          </cell>
          <cell r="X288">
            <v>2010</v>
          </cell>
          <cell r="Y288">
            <v>16</v>
          </cell>
          <cell r="Z288" t="str">
            <v>Danone Alianza</v>
          </cell>
          <cell r="AA288" t="str">
            <v>ADA_Mino - Danone Arg. S.A. - Mino</v>
          </cell>
          <cell r="AB288" t="str">
            <v>ADA_Mino - Danone Arg. S.A. - Mino</v>
          </cell>
          <cell r="AC288" t="str">
            <v>ADA_Mino - Danone Arg. S.A. - Mino</v>
          </cell>
          <cell r="AD288" t="str">
            <v>ADA_Mino - Danone Arg. S.A. - Mino</v>
          </cell>
          <cell r="AE288" t="str">
            <v>ADA_Mino - Danone Arg. S.A. - Mino</v>
          </cell>
          <cell r="AF288" t="str">
            <v>ADA_Mino - Danone Arg. S.A. - Mino</v>
          </cell>
          <cell r="AG288" t="str">
            <v>ADA_Mino - Danone Arg. S.A. - Mino</v>
          </cell>
          <cell r="AH288" t="str">
            <v>ADA_Mino - Danone Arg. S.A. - Mino</v>
          </cell>
          <cell r="AI288" t="str">
            <v>ADA_Mino - Danone Arg. S.A. - Mino</v>
          </cell>
          <cell r="AJ288" t="str">
            <v>ADA_Mino - Danone Arg. S.A. - Mino</v>
          </cell>
          <cell r="AK288" t="str">
            <v>ADA_Mino - Danone Arg. S.A. - Mino</v>
          </cell>
          <cell r="AL288" t="str">
            <v>ADA_Mino - Danone Arg. S.A. - Mino</v>
          </cell>
          <cell r="AM288" t="str">
            <v>ADA_Mino - Danone Arg. S.A. - Mino</v>
          </cell>
          <cell r="AN288" t="str">
            <v>ADA_Mino - Danone Arg. S.A. - Mino</v>
          </cell>
          <cell r="AO288" t="str">
            <v>ADA_Mino - Danone Arg. S.A. - Mino</v>
          </cell>
          <cell r="AP288" t="str">
            <v>ADA_Mino - Danone Arg. S.A. - Mino</v>
          </cell>
          <cell r="AQ288" t="str">
            <v>ADA_Mino - Danone Arg. S.A. - Mino</v>
          </cell>
          <cell r="AR288" t="str">
            <v>ADA_Mino - Danone Arg. S.A. - Mino</v>
          </cell>
          <cell r="AS288" t="str">
            <v>ADA_Mino - Danone Arg. S.A. - Mino</v>
          </cell>
          <cell r="AT288" t="str">
            <v>ADA_Mino - Danone Arg. S.A. - Mino</v>
          </cell>
          <cell r="AU288" t="str">
            <v>ADA_Mino - Danone Arg. S.A. - Mino</v>
          </cell>
          <cell r="AV288" t="str">
            <v>ADA_Mino - Danone Arg. S.A. - Mino</v>
          </cell>
          <cell r="AW288" t="str">
            <v>ADA_Mino - Danone Arg. S.A. - Mino</v>
          </cell>
          <cell r="AX288" t="str">
            <v>ADA_Mino - Danone Arg. S.A. - Mino</v>
          </cell>
          <cell r="AY288" t="str">
            <v>ADA_Mino - Danone Arg. S.A. - Mino</v>
          </cell>
          <cell r="AZ288" t="str">
            <v>ADA_Mino - Danone Arg. S.A. - Mino</v>
          </cell>
          <cell r="BA288" t="str">
            <v>ADA_Mino - Danone Arg. S.A. - Mino</v>
          </cell>
          <cell r="BB288" t="str">
            <v>ADA_Mino - Danone Arg. S.A. - Mino</v>
          </cell>
          <cell r="BC288" t="str">
            <v>ADA_Mino - Danone Arg. S.A. - Mino</v>
          </cell>
          <cell r="BD288" t="str">
            <v>ADA_Mino - Danone Arg. S.A. - Mino</v>
          </cell>
          <cell r="BE288" t="str">
            <v>ADA_Mino - Danone Arg. S.A. - Mino</v>
          </cell>
          <cell r="BF288" t="str">
            <v>ADA_Mino - Danone Arg. S.A. - Mino</v>
          </cell>
          <cell r="BG288" t="str">
            <v>ADA_Mino - Danone Arg. S.A. - Mino</v>
          </cell>
          <cell r="BH288" t="str">
            <v>ADA_Mino - Danone Arg. S.A. - Mino</v>
          </cell>
          <cell r="BI288" t="str">
            <v>ADA_Mino - Danone Arg. S.A. - Mino</v>
          </cell>
          <cell r="BJ288" t="str">
            <v>ADA_Mino - Danone Arg. S.A. - Mino</v>
          </cell>
          <cell r="BK288" t="str">
            <v>ADA_Mino - Danone Arg. S.A. - Mino</v>
          </cell>
          <cell r="BL288" t="str">
            <v>ADA_Mino - Danone Arg. S.A. - Mino</v>
          </cell>
          <cell r="BM288" t="str">
            <v>ADA_Mino - Danone Arg. S.A. - Mino</v>
          </cell>
          <cell r="BN288" t="str">
            <v>ADA_Mino - Danone Arg. S.A. - Mino</v>
          </cell>
          <cell r="BO288" t="str">
            <v>ADA_Mino - Danone Arg. S.A. - Mino</v>
          </cell>
          <cell r="BP288" t="str">
            <v>ADA_Mino - Danone Arg. S.A. - Mino</v>
          </cell>
          <cell r="BQ288" t="str">
            <v>ADA_Mino - Danone Arg. S.A. - Mino</v>
          </cell>
          <cell r="BR288" t="str">
            <v>ADA_Mino - Danone Arg. S.A. - Mino</v>
          </cell>
          <cell r="BS288" t="str">
            <v>ADA_Mino - Danone Arg. S.A. - Mino</v>
          </cell>
          <cell r="BT288" t="str">
            <v>ADA_Mino - Danone Arg. S.A. - Mino</v>
          </cell>
          <cell r="BU288" t="str">
            <v>CCUCoAZA</v>
          </cell>
          <cell r="BV288" t="str">
            <v>CCUCoAZA</v>
          </cell>
          <cell r="BW288" t="str">
            <v>CCUCoAZA</v>
          </cell>
          <cell r="BX288" t="str">
            <v>CCUCoAZA</v>
          </cell>
          <cell r="BY288" t="str">
            <v>CCUCoAZA</v>
          </cell>
          <cell r="BZ288" t="str">
            <v>CCUCoAZA</v>
          </cell>
          <cell r="CA288" t="str">
            <v>CCUCoAZA</v>
          </cell>
          <cell r="CB288" t="str">
            <v>CCUCoAZA</v>
          </cell>
          <cell r="CC288" t="str">
            <v>CCUCoAZA</v>
          </cell>
          <cell r="CD288" t="str">
            <v>CCUCoAZA</v>
          </cell>
          <cell r="CE288" t="str">
            <v>CCUCoAZA</v>
          </cell>
          <cell r="CF288" t="str">
            <v>CCUCoAZA</v>
          </cell>
          <cell r="CG288" t="str">
            <v>CCUCoAZA</v>
          </cell>
          <cell r="CH288" t="str">
            <v>CCUCoAZA</v>
          </cell>
          <cell r="CI288" t="str">
            <v>CCUCoAZA</v>
          </cell>
          <cell r="CJ288" t="str">
            <v>CCUCoAZA</v>
          </cell>
          <cell r="CK288" t="str">
            <v>CCUCoAZA</v>
          </cell>
          <cell r="CL288" t="str">
            <v>CCUCoAZA</v>
          </cell>
          <cell r="CM288" t="str">
            <v>CCUCoAZA</v>
          </cell>
          <cell r="CN288" t="str">
            <v>CCUCoAZA</v>
          </cell>
          <cell r="CO288" t="str">
            <v>CCUCoAZA</v>
          </cell>
          <cell r="CP288" t="str">
            <v>CCUCoAZA</v>
          </cell>
          <cell r="CQ288" t="str">
            <v>CCUCoAZA</v>
          </cell>
          <cell r="CR288" t="str">
            <v>CCUCoAZA</v>
          </cell>
          <cell r="CS288" t="str">
            <v>CCUCoAZA</v>
          </cell>
          <cell r="CT288" t="str">
            <v>CCUCoAZA</v>
          </cell>
          <cell r="CU288" t="str">
            <v>CCUCoAZA</v>
          </cell>
          <cell r="CV288" t="str">
            <v>CCUCoAZA</v>
          </cell>
          <cell r="CW288" t="str">
            <v>CCUCoAZA</v>
          </cell>
        </row>
        <row r="289">
          <cell r="D289" t="str">
            <v>JKG664</v>
          </cell>
          <cell r="E289" t="str">
            <v>Tractor</v>
          </cell>
          <cell r="F289" t="str">
            <v>Tractor</v>
          </cell>
          <cell r="G289" t="str">
            <v>Tractor</v>
          </cell>
          <cell r="N289" t="str">
            <v>TDU</v>
          </cell>
          <cell r="O289" t="str">
            <v>TDU</v>
          </cell>
          <cell r="P289" t="str">
            <v>No</v>
          </cell>
          <cell r="Q289" t="str">
            <v>Propio</v>
          </cell>
          <cell r="R289" t="str">
            <v>-</v>
          </cell>
          <cell r="S289" t="str">
            <v>Propio</v>
          </cell>
          <cell r="T289" t="str">
            <v>MERCEDES BENZ</v>
          </cell>
          <cell r="U289" t="str">
            <v>ATEGO 1725-S36</v>
          </cell>
          <cell r="V289" t="str">
            <v>906985U0910716</v>
          </cell>
          <cell r="W289" t="str">
            <v>9BM958077BB753078</v>
          </cell>
          <cell r="X289">
            <v>2010</v>
          </cell>
          <cell r="Y289">
            <v>16</v>
          </cell>
          <cell r="Z289" t="str">
            <v>TDU</v>
          </cell>
          <cell r="AA289" t="str">
            <v>CMQ_TTE - QUILMES TTE</v>
          </cell>
          <cell r="AB289" t="str">
            <v>CMQ_TTE - QUILMES TTE</v>
          </cell>
          <cell r="AC289" t="str">
            <v>CMQ_TTE - QUILMES TTE</v>
          </cell>
          <cell r="AD289" t="str">
            <v>CMQ_TTE - QUILMES TTE</v>
          </cell>
          <cell r="AE289" t="str">
            <v>CMQ_TTE - QUILMES TTE</v>
          </cell>
          <cell r="AF289" t="str">
            <v>CMQ_TTE - QUILMES TTE</v>
          </cell>
          <cell r="AG289" t="str">
            <v>CMQ_TTE - QUILMES TTE</v>
          </cell>
          <cell r="AH289" t="str">
            <v>Papelera - Papelera del Plata S.A.</v>
          </cell>
          <cell r="AI289" t="str">
            <v>Papelera - Papelera del Plata S.A.</v>
          </cell>
          <cell r="AJ289" t="str">
            <v>Papelera - Papelera del Plata S.A.</v>
          </cell>
          <cell r="AK289" t="str">
            <v>Papelera - Papelera del Plata S.A.</v>
          </cell>
          <cell r="AL289" t="str">
            <v>Expreso - Servicios Troncales</v>
          </cell>
          <cell r="AM289" t="str">
            <v>Expreso - Servicios Troncales</v>
          </cell>
          <cell r="AN289" t="str">
            <v>CMQ_TTE - QUILMES TTE</v>
          </cell>
          <cell r="AO289" t="str">
            <v>CMQ_TTE - QUILMES TTE</v>
          </cell>
          <cell r="AP289" t="str">
            <v>CMQ_TTE - QUILMES TTE</v>
          </cell>
          <cell r="AQ289" t="str">
            <v>CMQ_TTE - QUILMES TTE</v>
          </cell>
          <cell r="AR289" t="str">
            <v>CMQ_TTE - QUILMES TTE</v>
          </cell>
          <cell r="AS289" t="str">
            <v>CMQ_TTE - QUILMES TTE</v>
          </cell>
          <cell r="AT289" t="str">
            <v>CMQ_TTE - QUILMES TTE</v>
          </cell>
          <cell r="AU289" t="str">
            <v>CMQ_TTE - QUILMES TTE</v>
          </cell>
          <cell r="AV289" t="str">
            <v>JOHNSON - SC JOHNSON DE ARGENTINA SAIC</v>
          </cell>
          <cell r="AW289" t="str">
            <v>JOHNSON - SC JOHNSON DE ARGENTINA SAIC</v>
          </cell>
          <cell r="AX289" t="str">
            <v>CMQ_TTE - QUILMES TTE</v>
          </cell>
          <cell r="AY289" t="str">
            <v>CMQ_TTE - QUILMES TTE</v>
          </cell>
          <cell r="AZ289" t="str">
            <v>CMQ_TTE - QUILMES TTE</v>
          </cell>
          <cell r="BA289" t="str">
            <v>CMQ_TTE - QUILMES TTE</v>
          </cell>
          <cell r="BB289" t="str">
            <v>CMQ_TTE - QUILMES TTE</v>
          </cell>
          <cell r="BC289" t="str">
            <v>CMQ_TTE - QUILMES TTE</v>
          </cell>
          <cell r="BD289" t="str">
            <v>CMQ_TTE - QUILMES TTE</v>
          </cell>
          <cell r="BE289" t="str">
            <v>CMQ_TTE - QUILMES TTE</v>
          </cell>
          <cell r="BF289" t="str">
            <v>CMQ_TTE - QUILMES TTE</v>
          </cell>
          <cell r="BG289" t="str">
            <v>CMQ_TTE - QUILMES TTE</v>
          </cell>
          <cell r="BH289" t="str">
            <v>CMQ_TTE - QUILMES TTE</v>
          </cell>
          <cell r="BI289" t="str">
            <v>CMQ_TTE - QUILMES TTE</v>
          </cell>
          <cell r="BJ289" t="str">
            <v>CMQ_TTE - QUILMES TTE</v>
          </cell>
          <cell r="BK289" t="str">
            <v>CMQ_TTE - QUILMES TTE</v>
          </cell>
          <cell r="BL289" t="str">
            <v>CMQ_TTE - QUILMES TTE</v>
          </cell>
          <cell r="BM289" t="str">
            <v>CMQ_TTE - QUILMES TTE</v>
          </cell>
          <cell r="BN289" t="str">
            <v>CMQ_TTE - QUILMES TTE</v>
          </cell>
          <cell r="BO289" t="str">
            <v>CMQ_TTE - QUILMES TTE</v>
          </cell>
          <cell r="BP289" t="str">
            <v>CMQ_TTE - QUILMES TTE</v>
          </cell>
          <cell r="BQ289" t="str">
            <v>CMQ_TTE - QUILMES TTE</v>
          </cell>
          <cell r="BR289" t="str">
            <v>MolCa</v>
          </cell>
          <cell r="BS289" t="str">
            <v>Papelera - Papelera del Plata S.A.</v>
          </cell>
          <cell r="BT289" t="str">
            <v>Papelera - Papelera del Plata S.A.</v>
          </cell>
          <cell r="BU289" t="str">
            <v>Papelera - Papelera del Plata S.A.</v>
          </cell>
          <cell r="BV289" t="str">
            <v>Unilever - Unilever de Arg. S.A.</v>
          </cell>
          <cell r="BW289" t="str">
            <v>Unilever - Unilever de Arg. S.A.</v>
          </cell>
          <cell r="BX289" t="str">
            <v>Unilever - Unilever de Arg. S.A.</v>
          </cell>
          <cell r="BY289" t="str">
            <v>Unilever - Unilever de Arg. S.A.</v>
          </cell>
          <cell r="BZ289" t="str">
            <v>Unilever - Unilever de Arg. S.A.</v>
          </cell>
          <cell r="CA289" t="str">
            <v>Unilever - Unilever de Arg. S.A.</v>
          </cell>
          <cell r="CB289" t="str">
            <v>Unilever - Unilever de Arg. S.A.</v>
          </cell>
          <cell r="CC289" t="str">
            <v>Unilever - Unilever de Arg. S.A.</v>
          </cell>
          <cell r="CD289" t="str">
            <v>Unilever - Unilever de Arg. S.A.</v>
          </cell>
          <cell r="CE289" t="str">
            <v>Unilever - Unilever de Arg. S.A.</v>
          </cell>
          <cell r="CF289" t="str">
            <v>Unilever - Unilever de Arg. S.A.</v>
          </cell>
          <cell r="CG289" t="str">
            <v>Unilever - Unilever de Arg. S.A.</v>
          </cell>
          <cell r="CH289" t="str">
            <v>Unilever - Unilever de Arg. S.A.</v>
          </cell>
          <cell r="CI289" t="str">
            <v>Unilever - Unilever de Arg. S.A.</v>
          </cell>
          <cell r="CJ289" t="str">
            <v>Unilever - Unilever de Arg. S.A.</v>
          </cell>
          <cell r="CK289" t="str">
            <v>Unilever - Unilever de Arg. S.A.</v>
          </cell>
          <cell r="CL289" t="str">
            <v>Unilever - Unilever de Arg. S.A.</v>
          </cell>
          <cell r="CM289" t="str">
            <v>Unilever - Unilever de Arg. S.A.</v>
          </cell>
          <cell r="CN289" t="str">
            <v>JOHNSON - SC JOHNSON DE ARGENTINA SAIC</v>
          </cell>
          <cell r="CO289" t="str">
            <v>JOHNSON - SC JOHNSON DE ARGENTINA SAIC</v>
          </cell>
          <cell r="CP289" t="str">
            <v>Unilever - Unilever de Arg. S.A.</v>
          </cell>
          <cell r="CQ289" t="str">
            <v>Unilever - Unilever de Arg. S.A.</v>
          </cell>
          <cell r="CR289" t="str">
            <v>Arcor S.A.I.C.</v>
          </cell>
          <cell r="CS289" t="str">
            <v>Arcor S.A.I.C.</v>
          </cell>
          <cell r="CT289" t="str">
            <v>Arcor S.A.I.C.</v>
          </cell>
          <cell r="CU289" t="str">
            <v>Arcor S.A.I.C.</v>
          </cell>
          <cell r="CV289" t="str">
            <v>Arcor S.A.I.C.</v>
          </cell>
          <cell r="CW289" t="str">
            <v>Arcor S.A.I.C.</v>
          </cell>
        </row>
        <row r="290">
          <cell r="D290" t="str">
            <v>JKQ773</v>
          </cell>
          <cell r="E290" t="str">
            <v>Chasis</v>
          </cell>
          <cell r="F290" t="str">
            <v>Chasis</v>
          </cell>
          <cell r="G290" t="str">
            <v>Chasis</v>
          </cell>
          <cell r="N290" t="str">
            <v>CODYLSA</v>
          </cell>
          <cell r="O290" t="str">
            <v>CODYLSA</v>
          </cell>
          <cell r="P290" t="str">
            <v>No</v>
          </cell>
          <cell r="Q290" t="str">
            <v>Propio</v>
          </cell>
          <cell r="R290">
            <v>12</v>
          </cell>
          <cell r="S290" t="str">
            <v>Propio</v>
          </cell>
          <cell r="T290" t="str">
            <v>MERCEDES BENZ</v>
          </cell>
          <cell r="U290" t="str">
            <v>ATEGO 1418/48 FRONTAL</v>
          </cell>
          <cell r="V290" t="str">
            <v>904967U0910516</v>
          </cell>
          <cell r="W290" t="str">
            <v>9BM958034BB752910</v>
          </cell>
          <cell r="X290">
            <v>2010</v>
          </cell>
          <cell r="Y290">
            <v>16</v>
          </cell>
          <cell r="Z290" t="str">
            <v>Danone Oeste</v>
          </cell>
          <cell r="AA290" t="str">
            <v>AdaMinZO - Danone Minorista Zona Oeste</v>
          </cell>
          <cell r="AB290" t="str">
            <v>AdaMinZO - Danone Minorista Zona Oeste</v>
          </cell>
          <cell r="AC290" t="str">
            <v>AdaMinZO - Danone Minorista Zona Oeste</v>
          </cell>
          <cell r="AD290" t="str">
            <v>AdaMinZO - Danone Minorista Zona Oeste</v>
          </cell>
          <cell r="AE290" t="str">
            <v>AdaMinZO - Danone Minorista Zona Oeste</v>
          </cell>
          <cell r="AF290" t="str">
            <v>AdaMinZO - Danone Minorista Zona Oeste</v>
          </cell>
          <cell r="AG290" t="str">
            <v>AdaMinZO - Danone Minorista Zona Oeste</v>
          </cell>
          <cell r="AH290" t="str">
            <v>AdaMinZO - Danone Minorista Zona Oeste</v>
          </cell>
          <cell r="AI290" t="str">
            <v>AdaMinZO - Danone Minorista Zona Oeste</v>
          </cell>
          <cell r="AJ290" t="str">
            <v>AdaMinZO - Danone Minorista Zona Oeste</v>
          </cell>
          <cell r="AK290" t="str">
            <v>AdaMinZO - Danone Minorista Zona Oeste</v>
          </cell>
          <cell r="AL290" t="str">
            <v>AdaMinZO - Danone Minorista Zona Oeste</v>
          </cell>
          <cell r="AM290" t="str">
            <v>AdaMinZO - Danone Minorista Zona Oeste</v>
          </cell>
          <cell r="AN290" t="str">
            <v>AdaMinZO - Danone Minorista Zona Oeste</v>
          </cell>
          <cell r="AO290" t="str">
            <v>AdaMinZO - Danone Minorista Zona Oeste</v>
          </cell>
          <cell r="AP290" t="str">
            <v>AdaMinZO - Danone Minorista Zona Oeste</v>
          </cell>
          <cell r="AQ290" t="str">
            <v>AdaMinZO - Danone Minorista Zona Oeste</v>
          </cell>
          <cell r="AR290" t="str">
            <v>AdaMinZO - Danone Minorista Zona Oeste</v>
          </cell>
          <cell r="AS290" t="str">
            <v>AdaMinZO - Danone Minorista Zona Oeste</v>
          </cell>
          <cell r="AT290" t="str">
            <v>AdaMinZO - Danone Minorista Zona Oeste</v>
          </cell>
          <cell r="AU290" t="str">
            <v>AdaMinZO - Danone Minorista Zona Oeste</v>
          </cell>
          <cell r="AV290" t="str">
            <v>AdaMinZO - Danone Minorista Zona Oeste</v>
          </cell>
          <cell r="AW290" t="str">
            <v>AdaMinZO - Danone Minorista Zona Oeste</v>
          </cell>
          <cell r="AX290" t="str">
            <v>AdaMinZO - Danone Minorista Zona Oeste</v>
          </cell>
          <cell r="AY290" t="str">
            <v>AdaMinZO - Danone Minorista Zona Oeste</v>
          </cell>
          <cell r="AZ290" t="str">
            <v>AdaMinZO - Danone Minorista Zona Oeste</v>
          </cell>
          <cell r="BA290" t="str">
            <v>AdaMinZO - Danone Minorista Zona Oeste</v>
          </cell>
          <cell r="BB290" t="str">
            <v>AdaMinZO - Danone Minorista Zona Oeste</v>
          </cell>
          <cell r="BC290" t="str">
            <v>AdaMinZO - Danone Minorista Zona Oeste</v>
          </cell>
          <cell r="BD290" t="str">
            <v>AdaMinZO - Danone Minorista Zona Oeste</v>
          </cell>
          <cell r="BE290" t="str">
            <v>AdaMinZO - Danone Minorista Zona Oeste</v>
          </cell>
          <cell r="BF290" t="str">
            <v>AdaMinZO - Danone Minorista Zona Oeste</v>
          </cell>
          <cell r="BG290" t="str">
            <v>AdaMinZO - Danone Minorista Zona Oeste</v>
          </cell>
          <cell r="BH290" t="str">
            <v>AdaMinZO - Danone Minorista Zona Oeste</v>
          </cell>
          <cell r="BI290" t="str">
            <v>AdaMinZO - Danone Minorista Zona Oeste</v>
          </cell>
          <cell r="BJ290" t="str">
            <v>AdaMinZO - Danone Minorista Zona Oeste</v>
          </cell>
          <cell r="BK290" t="str">
            <v>AdaMinZO - Danone Minorista Zona Oeste</v>
          </cell>
          <cell r="BL290" t="str">
            <v>AdaMinZO - Danone Minorista Zona Oeste</v>
          </cell>
          <cell r="BM290" t="str">
            <v>AdaMinZO - Danone Minorista Zona Oeste</v>
          </cell>
          <cell r="BN290" t="str">
            <v>AdaMinZO - Danone Minorista Zona Oeste</v>
          </cell>
          <cell r="BO290" t="str">
            <v>AdaMinZO - Danone Minorista Zona Oeste</v>
          </cell>
          <cell r="BP290" t="str">
            <v>AdaMinZO - Danone Minorista Zona Oeste</v>
          </cell>
          <cell r="BQ290" t="str">
            <v>AdaMinZO - Danone Minorista Zona Oeste</v>
          </cell>
          <cell r="BR290" t="str">
            <v>AdaMinZO - Danone Minorista Zona Oeste</v>
          </cell>
          <cell r="BS290" t="str">
            <v>ADA_SMK - Danone Arg. S.A. - SMK</v>
          </cell>
          <cell r="BT290" t="str">
            <v>ADA_SMK - Danone Arg. S.A. - SMK</v>
          </cell>
          <cell r="BU290" t="str">
            <v>CCUDyAZA</v>
          </cell>
          <cell r="BV290" t="str">
            <v>CCUDyAZA</v>
          </cell>
          <cell r="BW290" t="str">
            <v>CCUDyAZA</v>
          </cell>
          <cell r="BX290" t="str">
            <v>CCUDyAZA</v>
          </cell>
          <cell r="BY290" t="str">
            <v>CCUDyAZA</v>
          </cell>
          <cell r="BZ290" t="str">
            <v>CCUDyAZA</v>
          </cell>
          <cell r="CA290" t="str">
            <v>CCUDyAZA</v>
          </cell>
          <cell r="CB290" t="str">
            <v>CCUDyAZA</v>
          </cell>
          <cell r="CC290" t="str">
            <v>CCUDyAZA</v>
          </cell>
          <cell r="CD290" t="str">
            <v>CCUDyAZA</v>
          </cell>
          <cell r="CE290" t="str">
            <v>CCUDyAZA</v>
          </cell>
          <cell r="CF290" t="str">
            <v>CCUDyAZA</v>
          </cell>
          <cell r="CG290" t="str">
            <v>CCUDyAZA</v>
          </cell>
          <cell r="CH290" t="str">
            <v>CCUDyAZA</v>
          </cell>
          <cell r="CI290" t="str">
            <v>CCUDyAZA</v>
          </cell>
          <cell r="CJ290" t="str">
            <v>CCUDyAZA</v>
          </cell>
          <cell r="CK290" t="str">
            <v>CCUDyAZA</v>
          </cell>
          <cell r="CL290" t="str">
            <v>CCUDyAZA</v>
          </cell>
          <cell r="CM290" t="str">
            <v>CCUDyAZA</v>
          </cell>
          <cell r="CN290" t="str">
            <v>CCUDyAZA</v>
          </cell>
          <cell r="CO290" t="str">
            <v>CCUDyAZA</v>
          </cell>
          <cell r="CP290" t="str">
            <v>CCUDyAZA</v>
          </cell>
          <cell r="CQ290" t="str">
            <v>CCUDyAZA</v>
          </cell>
          <cell r="CR290" t="str">
            <v>CCUDyAZA</v>
          </cell>
          <cell r="CS290" t="str">
            <v>CCUDyAZA</v>
          </cell>
          <cell r="CT290" t="str">
            <v>CCUDyAZA</v>
          </cell>
          <cell r="CU290" t="str">
            <v>CCUDyAZA</v>
          </cell>
          <cell r="CV290" t="str">
            <v>CCUDyAZA</v>
          </cell>
          <cell r="CW290" t="str">
            <v>CCUDyAZA</v>
          </cell>
        </row>
        <row r="291">
          <cell r="D291" t="str">
            <v>JKQ774</v>
          </cell>
          <cell r="E291" t="str">
            <v>Chasis</v>
          </cell>
          <cell r="F291" t="str">
            <v>Chasis</v>
          </cell>
          <cell r="G291" t="str">
            <v>Chasis</v>
          </cell>
          <cell r="N291" t="str">
            <v>CODYLSA</v>
          </cell>
          <cell r="O291" t="str">
            <v>CODYLSA</v>
          </cell>
          <cell r="P291" t="str">
            <v>No</v>
          </cell>
          <cell r="Q291" t="str">
            <v>Propio</v>
          </cell>
          <cell r="R291">
            <v>12</v>
          </cell>
          <cell r="S291" t="str">
            <v>Propio</v>
          </cell>
          <cell r="T291" t="str">
            <v>MERCEDES BENZ</v>
          </cell>
          <cell r="U291" t="str">
            <v>ATEGO 1418/48 FRONTAL</v>
          </cell>
          <cell r="V291" t="str">
            <v>904967U0910903</v>
          </cell>
          <cell r="W291" t="str">
            <v>9BM958034BB753200</v>
          </cell>
          <cell r="X291">
            <v>2010</v>
          </cell>
          <cell r="Y291">
            <v>16</v>
          </cell>
          <cell r="Z291" t="str">
            <v>Danone Alianza</v>
          </cell>
          <cell r="AA291" t="str">
            <v>ADA_Mino - Danone Arg. S.A. - Mino</v>
          </cell>
          <cell r="AB291" t="str">
            <v>ADA_Mino - Danone Arg. S.A. - Mino</v>
          </cell>
          <cell r="AC291" t="str">
            <v>ADA_Mino - Danone Arg. S.A. - Mino</v>
          </cell>
          <cell r="AD291" t="str">
            <v>ADA_Mino - Danone Arg. S.A. - Mino</v>
          </cell>
          <cell r="AE291" t="str">
            <v>ADA_Mino - Danone Arg. S.A. - Mino</v>
          </cell>
          <cell r="AF291" t="str">
            <v>ADA_Mino - Danone Arg. S.A. - Mino</v>
          </cell>
          <cell r="AG291" t="str">
            <v>ADA_Mino - Danone Arg. S.A. - Mino</v>
          </cell>
          <cell r="AH291" t="str">
            <v>ADA_Mino - Danone Arg. S.A. - Mino</v>
          </cell>
          <cell r="AI291" t="str">
            <v>ADA_Mino - Danone Arg. S.A. - Mino</v>
          </cell>
          <cell r="AJ291" t="str">
            <v>ADA_Mino - Danone Arg. S.A. - Mino</v>
          </cell>
          <cell r="AK291" t="str">
            <v>ADA_Mino - Danone Arg. S.A. - Mino</v>
          </cell>
          <cell r="AL291" t="str">
            <v>ADA_Mino - Danone Arg. S.A. - Mino</v>
          </cell>
          <cell r="AM291" t="str">
            <v>ADA_Mino - Danone Arg. S.A. - Mino</v>
          </cell>
          <cell r="AN291" t="str">
            <v>ADA_Mino - Danone Arg. S.A. - Mino</v>
          </cell>
          <cell r="AO291" t="str">
            <v>ADA_Mino - Danone Arg. S.A. - Mino</v>
          </cell>
          <cell r="AP291" t="str">
            <v>ADA_Mino - Danone Arg. S.A. - Mino</v>
          </cell>
          <cell r="AQ291" t="str">
            <v>ADA_Mino - Danone Arg. S.A. - Mino</v>
          </cell>
          <cell r="AR291" t="str">
            <v>ADA_Mino - Danone Arg. S.A. - Mino</v>
          </cell>
          <cell r="AS291" t="str">
            <v>ADA_Mino - Danone Arg. S.A. - Mino</v>
          </cell>
          <cell r="AT291" t="str">
            <v>ADA_Mino - Danone Arg. S.A. - Mino</v>
          </cell>
          <cell r="AU291" t="str">
            <v>ADA_Mino - Danone Arg. S.A. - Mino</v>
          </cell>
          <cell r="AV291" t="str">
            <v>ADA_Mino - Danone Arg. S.A. - Mino</v>
          </cell>
          <cell r="AW291" t="str">
            <v>ADA_Mino - Danone Arg. S.A. - Mino</v>
          </cell>
          <cell r="AX291" t="str">
            <v>ADA_Mino - Danone Arg. S.A. - Mino</v>
          </cell>
          <cell r="AY291" t="str">
            <v>ADA_Mino - Danone Arg. S.A. - Mino</v>
          </cell>
          <cell r="AZ291" t="str">
            <v>ADA_Mino - Danone Arg. S.A. - Mino</v>
          </cell>
          <cell r="BA291" t="str">
            <v>ADA_Mino - Danone Arg. S.A. - Mino</v>
          </cell>
          <cell r="BB291" t="str">
            <v>ADA_Mino - Danone Arg. S.A. - Mino</v>
          </cell>
          <cell r="BC291" t="str">
            <v>ADA_Mino - Danone Arg. S.A. - Mino</v>
          </cell>
          <cell r="BD291" t="str">
            <v>ADA_Mino - Danone Arg. S.A. - Mino</v>
          </cell>
          <cell r="BE291" t="str">
            <v>ADA_Mino - Danone Arg. S.A. - Mino</v>
          </cell>
          <cell r="BF291" t="str">
            <v>ADA_Mino - Danone Arg. S.A. - Mino</v>
          </cell>
          <cell r="BG291" t="str">
            <v>ADA_Mino - Danone Arg. S.A. - Mino</v>
          </cell>
          <cell r="BH291" t="str">
            <v>ADA_Mino - Danone Arg. S.A. - Mino</v>
          </cell>
          <cell r="BI291" t="str">
            <v>ADA_Mino - Danone Arg. S.A. - Mino</v>
          </cell>
          <cell r="BJ291" t="str">
            <v>ADA_Mino - Danone Arg. S.A. - Mino</v>
          </cell>
          <cell r="BK291" t="str">
            <v>ADA_Mino - Danone Arg. S.A. - Mino</v>
          </cell>
          <cell r="BL291" t="str">
            <v>ADA_Mino - Danone Arg. S.A. - Mino</v>
          </cell>
          <cell r="BM291" t="str">
            <v>ADA_Mino - Danone Arg. S.A. - Mino</v>
          </cell>
          <cell r="BN291" t="str">
            <v>ADA_Mino - Danone Arg. S.A. - Mino</v>
          </cell>
          <cell r="BO291" t="str">
            <v>ADA_Mino - Danone Arg. S.A. - Mino</v>
          </cell>
          <cell r="BP291" t="str">
            <v>ADA_Mino - Danone Arg. S.A. - Mino</v>
          </cell>
          <cell r="BQ291" t="str">
            <v>ADA_Mino - Danone Arg. S.A. - Mino</v>
          </cell>
          <cell r="BR291" t="str">
            <v>ADA_Mino - Danone Arg. S.A. - Mino</v>
          </cell>
          <cell r="BS291" t="str">
            <v>ADA_Mino - Danone Arg. S.A. - Mino</v>
          </cell>
          <cell r="BT291" t="str">
            <v>ADA_Mino - Danone Arg. S.A. - Mino</v>
          </cell>
          <cell r="BU291" t="str">
            <v>CCUCoAZA</v>
          </cell>
          <cell r="BV291" t="str">
            <v>CCUCoAZA</v>
          </cell>
          <cell r="BW291" t="str">
            <v>CCUCoAZA</v>
          </cell>
          <cell r="BX291" t="str">
            <v>CCUCoAZA</v>
          </cell>
          <cell r="BY291" t="str">
            <v>CCUCoAZA</v>
          </cell>
          <cell r="BZ291" t="str">
            <v>CCUCoAZA</v>
          </cell>
          <cell r="CA291" t="str">
            <v>CCUCoAZA</v>
          </cell>
          <cell r="CB291" t="str">
            <v>CCUCoAZA</v>
          </cell>
          <cell r="CC291" t="str">
            <v>CCUCoAZA</v>
          </cell>
          <cell r="CD291" t="str">
            <v>CCUCoAZA</v>
          </cell>
          <cell r="CE291" t="str">
            <v>CCUCoAZA</v>
          </cell>
          <cell r="CF291" t="str">
            <v>CCUCoAZA</v>
          </cell>
          <cell r="CG291" t="str">
            <v>CCUCoAZA</v>
          </cell>
          <cell r="CH291" t="str">
            <v>CCUCoAZA</v>
          </cell>
          <cell r="CI291" t="str">
            <v>CCUCoAZA</v>
          </cell>
          <cell r="CJ291" t="str">
            <v>CCUCoAZA</v>
          </cell>
          <cell r="CK291" t="str">
            <v>CCUCoAZA</v>
          </cell>
          <cell r="CL291" t="str">
            <v>CCUCoAZA</v>
          </cell>
          <cell r="CM291" t="str">
            <v>CCUCoAZA</v>
          </cell>
          <cell r="CN291" t="str">
            <v>CCUCoAZA</v>
          </cell>
          <cell r="CO291" t="str">
            <v>CCUCoAZA</v>
          </cell>
          <cell r="CP291" t="str">
            <v>CCUCoAZA</v>
          </cell>
          <cell r="CQ291" t="str">
            <v>CCUCoAZA</v>
          </cell>
          <cell r="CR291" t="str">
            <v>CCUCoAZA</v>
          </cell>
          <cell r="CS291" t="str">
            <v>CCUCoAZA</v>
          </cell>
          <cell r="CT291" t="str">
            <v>CCUCoAZA</v>
          </cell>
          <cell r="CU291" t="str">
            <v>CCUCoAZA</v>
          </cell>
          <cell r="CV291" t="str">
            <v>CCUCoAZA</v>
          </cell>
          <cell r="CW291" t="str">
            <v>CCUCoAZA</v>
          </cell>
        </row>
        <row r="292">
          <cell r="D292" t="str">
            <v>JWV370</v>
          </cell>
          <cell r="E292" t="str">
            <v>Chasis</v>
          </cell>
          <cell r="F292" t="str">
            <v>Chasis</v>
          </cell>
          <cell r="G292" t="str">
            <v>Chasis</v>
          </cell>
          <cell r="N292" t="str">
            <v>TDU</v>
          </cell>
          <cell r="O292" t="str">
            <v>TDU</v>
          </cell>
          <cell r="P292" t="str">
            <v>No</v>
          </cell>
          <cell r="Q292" t="str">
            <v>Propio</v>
          </cell>
          <cell r="R292">
            <v>12</v>
          </cell>
          <cell r="S292" t="str">
            <v>Propio</v>
          </cell>
          <cell r="T292" t="str">
            <v>MERCEDES BENZ</v>
          </cell>
          <cell r="U292" t="str">
            <v>ATEGO 1418/48 FRONTAL</v>
          </cell>
          <cell r="V292" t="str">
            <v>904967U0928682</v>
          </cell>
          <cell r="W292" t="str">
            <v>9BM958034BB774352</v>
          </cell>
          <cell r="X292">
            <v>2011</v>
          </cell>
          <cell r="Y292">
            <v>15</v>
          </cell>
          <cell r="Z292" t="str">
            <v>TDU</v>
          </cell>
          <cell r="AA292" t="str">
            <v>CMQ_TTE - QUILMES TTE</v>
          </cell>
          <cell r="AB292" t="str">
            <v>CMQ_TTE - QUILMES TTE</v>
          </cell>
          <cell r="AC292" t="str">
            <v>CMQ_TTE - QUILMES TTE</v>
          </cell>
          <cell r="AD292" t="str">
            <v>CMQ_TTE - QUILMES TTE</v>
          </cell>
          <cell r="AE292" t="str">
            <v>CMQ_TTE - QUILMES TTE</v>
          </cell>
          <cell r="AF292" t="str">
            <v>CMQ_TTE - QUILMES TTE</v>
          </cell>
          <cell r="AG292" t="str">
            <v>CMQ_TTE - QUILMES TTE</v>
          </cell>
          <cell r="AH292" t="str">
            <v>CMQ_TTE - QUILMES TTE</v>
          </cell>
          <cell r="AI292" t="str">
            <v>CMQ_TTE - QUILMES TTE</v>
          </cell>
          <cell r="AJ292" t="str">
            <v>CMQ_TTE - QUILMES TTE</v>
          </cell>
          <cell r="AK292" t="str">
            <v>CMQ_TTE - QUILMES TTE</v>
          </cell>
          <cell r="AL292" t="str">
            <v>CMQ_TTE - QUILMES TTE</v>
          </cell>
          <cell r="AM292" t="str">
            <v>CMQ_TTE - QUILMES TTE</v>
          </cell>
          <cell r="AN292" t="str">
            <v>CMQ_TTE - QUILMES TTE</v>
          </cell>
          <cell r="AO292" t="str">
            <v>CMQ_TTE - QUILMES TTE</v>
          </cell>
          <cell r="AP292" t="str">
            <v>CMQ_TTE - QUILMES TTE</v>
          </cell>
          <cell r="AQ292" t="str">
            <v>CMQ_TTE - QUILMES TTE</v>
          </cell>
          <cell r="AR292" t="str">
            <v>CMQ_TTE - QUILMES TTE</v>
          </cell>
          <cell r="AS292" t="str">
            <v>CMQ_TTE - QUILMES TTE</v>
          </cell>
          <cell r="AT292" t="str">
            <v>CMQ_TTE - QUILMES TTE</v>
          </cell>
          <cell r="AU292" t="str">
            <v>CMQ_TTE - QUILMES TTE</v>
          </cell>
          <cell r="AV292" t="str">
            <v>CMQ_TTE - QUILMES TTE</v>
          </cell>
          <cell r="AW292" t="str">
            <v>CMQ_TTE - QUILMES TTE</v>
          </cell>
          <cell r="AX292" t="str">
            <v>CMQ_TTE - QUILMES TTE</v>
          </cell>
          <cell r="AY292" t="str">
            <v>CMQ_TTE - QUILMES TTE</v>
          </cell>
          <cell r="AZ292" t="str">
            <v>CMQ_TTE - QUILMES TTE</v>
          </cell>
          <cell r="BA292" t="str">
            <v>CMQ_TTE - QUILMES TTE</v>
          </cell>
          <cell r="BB292" t="str">
            <v>CMQ_TTE - QUILMES TTE</v>
          </cell>
          <cell r="BC292" t="str">
            <v>CMQ_TTE - QUILMES TTE</v>
          </cell>
          <cell r="BD292" t="str">
            <v>CMQ_TTE - QUILMES TTE</v>
          </cell>
          <cell r="BE292" t="str">
            <v>CMQ_TTE - QUILMES TTE</v>
          </cell>
          <cell r="BF292" t="str">
            <v>CMQ_TTE - QUILMES TTE</v>
          </cell>
          <cell r="BG292" t="str">
            <v>CMQ_TTE - QUILMES TTE</v>
          </cell>
          <cell r="BH292" t="str">
            <v>CMQ_TTE - QUILMES TTE</v>
          </cell>
          <cell r="BI292" t="str">
            <v>CMQ_TTE - QUILMES TTE</v>
          </cell>
          <cell r="BJ292" t="str">
            <v>CMQ_TTE - QUILMES TTE</v>
          </cell>
          <cell r="BK292" t="str">
            <v>CMQ_TTE - QUILMES TTE</v>
          </cell>
          <cell r="BL292" t="str">
            <v>CMQ_TTE - QUILMES TTE</v>
          </cell>
          <cell r="BM292" t="str">
            <v>CMQ_TTE - QUILMES TTE</v>
          </cell>
          <cell r="BN292" t="str">
            <v>CMQ_TTE - QUILMES TTE</v>
          </cell>
          <cell r="BO292" t="str">
            <v>CMQ_TTE - QUILMES TTE</v>
          </cell>
          <cell r="BP292" t="str">
            <v>CMQ_TTE - QUILMES TTE</v>
          </cell>
          <cell r="BQ292" t="str">
            <v>CMQ_TTE - QUILMES TTE</v>
          </cell>
          <cell r="BR292" t="str">
            <v>CMQ_TTE - QUILMES TTE</v>
          </cell>
          <cell r="BS292" t="str">
            <v>CMQ_TTE - QUILMES TTE</v>
          </cell>
          <cell r="BT292" t="str">
            <v>CMQ_TTE - QUILMES TTE</v>
          </cell>
          <cell r="BU292" t="str">
            <v>CMQ_TTE - QUILMES TTE</v>
          </cell>
          <cell r="BV292" t="str">
            <v>CMQ_TTE - QUILMES TTE</v>
          </cell>
          <cell r="BW292" t="str">
            <v>CMQ_TTE - QUILMES TTE</v>
          </cell>
          <cell r="BX292" t="str">
            <v>CMQ_TTE - QUILMES TTE</v>
          </cell>
          <cell r="BY292" t="str">
            <v>CMQ_TTE - QUILMES TTE</v>
          </cell>
          <cell r="BZ292" t="str">
            <v>CMQ_TTE - QUILMES TTE</v>
          </cell>
          <cell r="CA292" t="str">
            <v>CMQ_TTE - QUILMES TTE</v>
          </cell>
          <cell r="CB292" t="str">
            <v>CMQ_TTE - QUILMES TTE</v>
          </cell>
          <cell r="CC292" t="str">
            <v>CMQ_TTE - QUILMES TTE</v>
          </cell>
          <cell r="CD292" t="str">
            <v>CMQ_TTE - QUILMES TTE</v>
          </cell>
          <cell r="CE292" t="str">
            <v>CMQ_TTE - QUILMES TTE</v>
          </cell>
          <cell r="CF292" t="str">
            <v>CMQ_TTE - QUILMES TTE</v>
          </cell>
          <cell r="CG292" t="str">
            <v>CMQ_TTE - QUILMES TTE</v>
          </cell>
          <cell r="CH292" t="str">
            <v>CMQ_TTE - QUILMES TTE</v>
          </cell>
          <cell r="CI292" t="str">
            <v>CMQ_TTE - QUILMES TTE</v>
          </cell>
          <cell r="CJ292" t="str">
            <v>CMQ_TTE - QUILMES TTE</v>
          </cell>
          <cell r="CK292" t="str">
            <v>CMQ_TTE - QUILMES TTE</v>
          </cell>
          <cell r="CL292" t="str">
            <v>CMQ_TTE - QUILMES TTE</v>
          </cell>
          <cell r="CM292" t="str">
            <v>CMQ_TTE - QUILMES TTE</v>
          </cell>
          <cell r="CN292" t="str">
            <v>CMQ_TTE - QUILMES TTE</v>
          </cell>
          <cell r="CO292" t="str">
            <v>CMQ_TTE - QUILMES TTE</v>
          </cell>
          <cell r="CP292" t="str">
            <v>CMQ_TTE - QUILMES TTE</v>
          </cell>
          <cell r="CQ292" t="str">
            <v>Sin Operación</v>
          </cell>
          <cell r="CR292" t="str">
            <v>Sin Operación</v>
          </cell>
          <cell r="CS292" t="str">
            <v>Sin Operación</v>
          </cell>
          <cell r="CT292" t="str">
            <v>Sin Operación</v>
          </cell>
          <cell r="CU292" t="str">
            <v>Sin Operación</v>
          </cell>
          <cell r="CV292" t="str">
            <v>Sin Operación</v>
          </cell>
          <cell r="CW292" t="str">
            <v>CCUDyAZA</v>
          </cell>
        </row>
        <row r="293">
          <cell r="D293" t="str">
            <v>JWV371</v>
          </cell>
          <cell r="E293" t="str">
            <v>Chasis</v>
          </cell>
          <cell r="F293" t="str">
            <v>Chasis</v>
          </cell>
          <cell r="G293" t="str">
            <v>Chasis</v>
          </cell>
          <cell r="N293" t="str">
            <v>TDU</v>
          </cell>
          <cell r="O293" t="str">
            <v>TDU</v>
          </cell>
          <cell r="P293" t="str">
            <v>No</v>
          </cell>
          <cell r="Q293" t="str">
            <v>Propio</v>
          </cell>
          <cell r="R293">
            <v>12</v>
          </cell>
          <cell r="S293" t="str">
            <v>Propio</v>
          </cell>
          <cell r="T293" t="str">
            <v>MERCEDES BENZ</v>
          </cell>
          <cell r="U293" t="str">
            <v>ATEGO 1418/48 FRONTAL</v>
          </cell>
          <cell r="V293" t="str">
            <v>904967U0928988</v>
          </cell>
          <cell r="W293" t="str">
            <v>9BM958034BB774961</v>
          </cell>
          <cell r="X293">
            <v>2011</v>
          </cell>
          <cell r="Y293">
            <v>15</v>
          </cell>
          <cell r="Z293" t="str">
            <v>TDU</v>
          </cell>
          <cell r="AA293" t="str">
            <v>CMQ_TTE - QUILMES TTE</v>
          </cell>
          <cell r="AB293" t="str">
            <v>CMQ_TTE - QUILMES TTE</v>
          </cell>
          <cell r="AC293" t="str">
            <v>CMQ_TTE - QUILMES TTE</v>
          </cell>
          <cell r="AD293" t="str">
            <v>CMQ_TTE - QUILMES TTE</v>
          </cell>
          <cell r="AE293" t="str">
            <v>CMQ_TTE - QUILMES TTE</v>
          </cell>
          <cell r="AF293" t="str">
            <v>CMQ_TTE - QUILMES TTE</v>
          </cell>
          <cell r="AG293" t="str">
            <v>CMQ_TTE - QUILMES TTE</v>
          </cell>
          <cell r="AH293" t="str">
            <v>CMQ_TTE - QUILMES TTE</v>
          </cell>
          <cell r="AI293" t="str">
            <v>CMQ_TTE - QUILMES TTE</v>
          </cell>
          <cell r="AJ293" t="str">
            <v>CMQ_TTE - QUILMES TTE</v>
          </cell>
          <cell r="AK293" t="str">
            <v>CMQ_TTE - QUILMES TTE</v>
          </cell>
          <cell r="AL293" t="str">
            <v>CMQ_TTE - QUILMES TTE</v>
          </cell>
          <cell r="AM293" t="str">
            <v>CMQ_TTE - QUILMES TTE</v>
          </cell>
          <cell r="AN293" t="str">
            <v>CMQ_TTE - QUILMES TTE</v>
          </cell>
          <cell r="AO293" t="str">
            <v>CMQ_TTE - QUILMES TTE</v>
          </cell>
          <cell r="AP293" t="str">
            <v>CMQ_TTE - QUILMES TTE</v>
          </cell>
          <cell r="AQ293" t="str">
            <v>CMQ_TTE - QUILMES TTE</v>
          </cell>
          <cell r="AR293" t="str">
            <v>CMQ_TTE - QUILMES TTE</v>
          </cell>
          <cell r="AS293" t="str">
            <v>CMQ_TTE - QUILMES TTE</v>
          </cell>
          <cell r="AT293" t="str">
            <v>CMQ_TTE - QUILMES TTE</v>
          </cell>
          <cell r="AU293" t="str">
            <v>CMQ_TTE - QUILMES TTE</v>
          </cell>
          <cell r="AV293" t="str">
            <v>CMQ_TTE - QUILMES TTE</v>
          </cell>
          <cell r="AW293" t="str">
            <v>CMQ_TTE - QUILMES TTE</v>
          </cell>
          <cell r="AX293" t="str">
            <v>CMQ_TTE - QUILMES TTE</v>
          </cell>
          <cell r="AY293" t="str">
            <v>CMQ_TTE - QUILMES TTE</v>
          </cell>
          <cell r="AZ293" t="str">
            <v>CMQ_TTE - QUILMES TTE</v>
          </cell>
          <cell r="BA293" t="str">
            <v>CMQ_TTE - QUILMES TTE</v>
          </cell>
          <cell r="BB293" t="str">
            <v>CMQ_TTE - QUILMES TTE</v>
          </cell>
          <cell r="BC293" t="str">
            <v>CMQ_TTE - QUILMES TTE</v>
          </cell>
          <cell r="BD293" t="str">
            <v>CMQ_TTE - QUILMES TTE</v>
          </cell>
          <cell r="BE293" t="str">
            <v>CMQ_TTE - QUILMES TTE</v>
          </cell>
          <cell r="BF293" t="str">
            <v>CMQ_TTE - QUILMES TTE</v>
          </cell>
          <cell r="BG293" t="str">
            <v>CMQ_TTE - QUILMES TTE</v>
          </cell>
          <cell r="BH293" t="str">
            <v>CMQ_TTE - QUILMES TTE</v>
          </cell>
          <cell r="BI293" t="str">
            <v>CMQ_TTE - QUILMES TTE</v>
          </cell>
          <cell r="BJ293" t="str">
            <v>CMQ_TTE - QUILMES TTE</v>
          </cell>
          <cell r="BK293" t="str">
            <v>CMQ_TTE - QUILMES TTE</v>
          </cell>
          <cell r="BL293" t="str">
            <v>CMQ_TTE - QUILMES TTE</v>
          </cell>
          <cell r="BM293" t="str">
            <v>CMQ_TTE - QUILMES TTE</v>
          </cell>
          <cell r="BN293" t="str">
            <v>CMQ_TTE - QUILMES TTE</v>
          </cell>
          <cell r="BO293" t="str">
            <v>CMQ_TTE - QUILMES TTE</v>
          </cell>
          <cell r="BP293" t="str">
            <v>CMQ_TTE - QUILMES TTE</v>
          </cell>
          <cell r="BQ293" t="str">
            <v>CMQ_TTE - QUILMES TTE</v>
          </cell>
          <cell r="BR293" t="str">
            <v>CMQ_TTE - QUILMES TTE</v>
          </cell>
          <cell r="BS293" t="str">
            <v>CMQ_TTE - QUILMES TTE</v>
          </cell>
          <cell r="BT293" t="str">
            <v>CMQ_TTE - QUILMES TTE</v>
          </cell>
          <cell r="BU293" t="str">
            <v>CMQ_TTE - QUILMES TTE</v>
          </cell>
          <cell r="BV293" t="str">
            <v>CMQ_TTE - QUILMES TTE</v>
          </cell>
          <cell r="BW293" t="str">
            <v>CMQ_TTE - QUILMES TTE</v>
          </cell>
          <cell r="BX293" t="str">
            <v>CMQ_TTE - QUILMES TTE</v>
          </cell>
          <cell r="BY293" t="str">
            <v>CMQ_TTE - QUILMES TTE</v>
          </cell>
          <cell r="BZ293" t="str">
            <v>CMQ_TTE - QUILMES TTE</v>
          </cell>
          <cell r="CA293" t="str">
            <v>CMQ_TTE - QUILMES TTE</v>
          </cell>
          <cell r="CB293" t="str">
            <v>CMQ_TTE - QUILMES TTE</v>
          </cell>
          <cell r="CC293" t="str">
            <v>CMQ_TTE - QUILMES TTE</v>
          </cell>
          <cell r="CD293" t="str">
            <v>CMQ_TTE - QUILMES TTE</v>
          </cell>
          <cell r="CE293" t="str">
            <v>CMQ_TTE - QUILMES TTE</v>
          </cell>
          <cell r="CF293" t="str">
            <v>CMQ_TTE - QUILMES TTE</v>
          </cell>
          <cell r="CG293" t="str">
            <v>CMQ_TTE - QUILMES TTE</v>
          </cell>
          <cell r="CH293" t="str">
            <v>CMQ_TTE - QUILMES TTE</v>
          </cell>
          <cell r="CI293" t="str">
            <v>CMQ_TTE - QUILMES TTE</v>
          </cell>
          <cell r="CJ293" t="str">
            <v>CMQ_TTE - QUILMES TTE</v>
          </cell>
          <cell r="CK293" t="str">
            <v>CMQ_TTE - QUILMES TTE</v>
          </cell>
          <cell r="CL293" t="str">
            <v>CMQ_TTE - QUILMES TTE</v>
          </cell>
          <cell r="CM293" t="str">
            <v>CMQ_TTE - QUILMES TTE</v>
          </cell>
          <cell r="CN293" t="str">
            <v>CMQ_TTE - QUILMES TTE</v>
          </cell>
          <cell r="CO293" t="str">
            <v>CMQ_TTE - QUILMES TTE</v>
          </cell>
          <cell r="CP293" t="str">
            <v>CMQ_TTE - QUILMES TTE</v>
          </cell>
          <cell r="CQ293" t="str">
            <v>Sin Operación</v>
          </cell>
          <cell r="CR293" t="str">
            <v>Sin Operación</v>
          </cell>
          <cell r="CS293" t="str">
            <v>Sin Operación</v>
          </cell>
          <cell r="CT293" t="str">
            <v>Sin Operación</v>
          </cell>
          <cell r="CU293" t="str">
            <v>Sin Operación</v>
          </cell>
          <cell r="CV293" t="str">
            <v>Sin Operación</v>
          </cell>
          <cell r="CW293" t="str">
            <v>Sin Operación</v>
          </cell>
        </row>
        <row r="294">
          <cell r="D294" t="str">
            <v>JWV379</v>
          </cell>
          <cell r="E294" t="str">
            <v>Chasis</v>
          </cell>
          <cell r="F294" t="str">
            <v>Chasis</v>
          </cell>
          <cell r="G294" t="str">
            <v>Chasis</v>
          </cell>
          <cell r="N294" t="str">
            <v>TDU</v>
          </cell>
          <cell r="O294" t="str">
            <v>TDU</v>
          </cell>
          <cell r="P294" t="str">
            <v>No</v>
          </cell>
          <cell r="Q294" t="str">
            <v>Propio</v>
          </cell>
          <cell r="R294">
            <v>12</v>
          </cell>
          <cell r="S294" t="str">
            <v>Propio</v>
          </cell>
          <cell r="T294" t="str">
            <v>MERCEDES BENZ</v>
          </cell>
          <cell r="U294" t="str">
            <v>ATEGO 1418/48 FRONTAL</v>
          </cell>
          <cell r="V294" t="str">
            <v>904967U0929029</v>
          </cell>
          <cell r="W294" t="str">
            <v>9BM958034BB774980</v>
          </cell>
          <cell r="X294">
            <v>2011</v>
          </cell>
          <cell r="Y294">
            <v>15</v>
          </cell>
          <cell r="Z294" t="str">
            <v>TDU</v>
          </cell>
          <cell r="AA294" t="str">
            <v>CMQ_TTE - QUILMES TTE</v>
          </cell>
          <cell r="AB294" t="str">
            <v>CMQ_TTE - QUILMES TTE</v>
          </cell>
          <cell r="AC294" t="str">
            <v>CMQ_TTE - QUILMES TTE</v>
          </cell>
          <cell r="AD294" t="str">
            <v>CMQ_TTE - QUILMES TTE</v>
          </cell>
          <cell r="AE294" t="str">
            <v>CMQ_TTE - QUILMES TTE</v>
          </cell>
          <cell r="AF294" t="str">
            <v>CMQ_TTE - QUILMES TTE</v>
          </cell>
          <cell r="AG294" t="str">
            <v>CMQ_TTE - QUILMES TTE</v>
          </cell>
          <cell r="AH294" t="str">
            <v>CMQ_TTE - QUILMES TTE</v>
          </cell>
          <cell r="AI294" t="str">
            <v>CMQ_TTE - QUILMES TTE</v>
          </cell>
          <cell r="AJ294" t="str">
            <v>CMQ_TTE - QUILMES TTE</v>
          </cell>
          <cell r="AK294" t="str">
            <v>CMQ_TTE - QUILMES TTE</v>
          </cell>
          <cell r="AL294" t="str">
            <v>CMQ_TTE - QUILMES TTE</v>
          </cell>
          <cell r="AM294" t="str">
            <v>CMQ_TTE - QUILMES TTE</v>
          </cell>
          <cell r="AN294" t="str">
            <v>CMQ_TTE - QUILMES TTE</v>
          </cell>
          <cell r="AO294" t="str">
            <v>CMQ_TTE - QUILMES TTE</v>
          </cell>
          <cell r="AP294" t="str">
            <v>CMQ_TTE - QUILMES TTE</v>
          </cell>
          <cell r="AQ294" t="str">
            <v>CMQ_TTE - QUILMES TTE</v>
          </cell>
          <cell r="AR294" t="str">
            <v>CMQ_TTE - QUILMES TTE</v>
          </cell>
          <cell r="AS294" t="str">
            <v>CMQ_TTE - QUILMES TTE</v>
          </cell>
          <cell r="AT294" t="str">
            <v>CMQ_TTE - QUILMES TTE</v>
          </cell>
          <cell r="AU294" t="str">
            <v>CMQ_TTE - QUILMES TTE</v>
          </cell>
          <cell r="AV294" t="str">
            <v>CMQ_TTE - QUILMES TTE</v>
          </cell>
          <cell r="AW294" t="str">
            <v>CMQ_TTE - QUILMES TTE</v>
          </cell>
          <cell r="AX294" t="str">
            <v>CMQ_TTE - QUILMES TTE</v>
          </cell>
          <cell r="AY294" t="str">
            <v>CMQ_TTE - QUILMES TTE</v>
          </cell>
          <cell r="AZ294" t="str">
            <v>CMQ_TTE - QUILMES TTE</v>
          </cell>
          <cell r="BA294" t="str">
            <v>CMQ_TTE - QUILMES TTE</v>
          </cell>
          <cell r="BB294" t="str">
            <v>CMQ_TTE - QUILMES TTE</v>
          </cell>
          <cell r="BC294" t="str">
            <v>CMQ_TTE - QUILMES TTE</v>
          </cell>
          <cell r="BD294" t="str">
            <v>CMQ_TTE - QUILMES TTE</v>
          </cell>
          <cell r="BE294" t="str">
            <v>CMQ_TTE - QUILMES TTE</v>
          </cell>
          <cell r="BF294" t="str">
            <v>CMQ_TTE - QUILMES TTE</v>
          </cell>
          <cell r="BG294" t="str">
            <v>CMQ_TTE - QUILMES TTE</v>
          </cell>
          <cell r="BH294" t="str">
            <v>CMQ_TTE - QUILMES TTE</v>
          </cell>
          <cell r="BI294" t="str">
            <v>CMQ_TTE - QUILMES TTE</v>
          </cell>
          <cell r="BJ294" t="str">
            <v>CMQ_TTE - QUILMES TTE</v>
          </cell>
          <cell r="BK294" t="str">
            <v>CMQ_TTE - QUILMES TTE</v>
          </cell>
          <cell r="BL294" t="str">
            <v>CMQ_TTE - QUILMES TTE</v>
          </cell>
          <cell r="BM294" t="str">
            <v>CMQ_TTE - QUILMES TTE</v>
          </cell>
          <cell r="BN294" t="str">
            <v>CMQ_TTE - QUILMES TTE</v>
          </cell>
          <cell r="BO294" t="str">
            <v>CMQ_TTE - QUILMES TTE</v>
          </cell>
          <cell r="BP294" t="str">
            <v>CMQ_TTE - QUILMES TTE</v>
          </cell>
          <cell r="BQ294" t="str">
            <v>CMQ_TTE - QUILMES TTE</v>
          </cell>
          <cell r="BR294" t="str">
            <v>CMQ_TTE - QUILMES TTE</v>
          </cell>
          <cell r="BS294" t="str">
            <v>CMQ_TTE - QUILMES TTE</v>
          </cell>
          <cell r="BT294" t="str">
            <v>CMQ_TTE - QUILMES TTE</v>
          </cell>
          <cell r="BU294" t="str">
            <v>CMQ_TTE - QUILMES TTE</v>
          </cell>
          <cell r="BV294" t="str">
            <v>Sin Operación</v>
          </cell>
          <cell r="BW294" t="str">
            <v>CCUCoAZA</v>
          </cell>
          <cell r="BX294" t="str">
            <v>CCUCoAZA</v>
          </cell>
          <cell r="BY294" t="str">
            <v>CCUCoAZA</v>
          </cell>
          <cell r="BZ294" t="str">
            <v>CCUCoAZA</v>
          </cell>
          <cell r="CA294" t="str">
            <v>CCUCoAZA</v>
          </cell>
          <cell r="CB294" t="str">
            <v>CCUCoAZA</v>
          </cell>
          <cell r="CC294" t="str">
            <v>CCUCoAZA</v>
          </cell>
          <cell r="CD294" t="str">
            <v>CCUCoAZA</v>
          </cell>
          <cell r="CE294" t="str">
            <v>CCUCoAZA</v>
          </cell>
          <cell r="CF294" t="str">
            <v>CCUCoAZA</v>
          </cell>
          <cell r="CG294" t="str">
            <v>CCUCoAZA</v>
          </cell>
          <cell r="CH294" t="str">
            <v>CCUCoAZA</v>
          </cell>
          <cell r="CI294" t="str">
            <v>CCUCoAZA</v>
          </cell>
          <cell r="CJ294" t="str">
            <v>CCUCoAZA</v>
          </cell>
          <cell r="CK294" t="str">
            <v>CCUCoAZA</v>
          </cell>
          <cell r="CL294" t="str">
            <v>CCUCoAZA</v>
          </cell>
          <cell r="CM294" t="str">
            <v>CCUCoAZA</v>
          </cell>
          <cell r="CN294" t="str">
            <v>CCUCoAZA</v>
          </cell>
          <cell r="CO294" t="str">
            <v>CCUCoAZA</v>
          </cell>
          <cell r="CP294" t="str">
            <v>CCUCoAZA</v>
          </cell>
          <cell r="CQ294" t="str">
            <v>CCUCoAZA</v>
          </cell>
          <cell r="CR294" t="str">
            <v>CCUCoAZA</v>
          </cell>
          <cell r="CS294" t="str">
            <v>CCUCoAZA</v>
          </cell>
          <cell r="CT294" t="str">
            <v>CCUCoAZA</v>
          </cell>
          <cell r="CU294" t="str">
            <v>CCUCoAZA</v>
          </cell>
          <cell r="CV294" t="str">
            <v>CCUCoAZA</v>
          </cell>
          <cell r="CW294" t="str">
            <v>CCUCoAZA</v>
          </cell>
        </row>
        <row r="295">
          <cell r="D295" t="str">
            <v>JWV380</v>
          </cell>
          <cell r="E295" t="str">
            <v>Chasis</v>
          </cell>
          <cell r="F295" t="str">
            <v>Balancin</v>
          </cell>
          <cell r="G295" t="str">
            <v>Balancin</v>
          </cell>
          <cell r="N295" t="str">
            <v>TDU</v>
          </cell>
          <cell r="O295" t="str">
            <v>TDU</v>
          </cell>
          <cell r="P295" t="str">
            <v>No</v>
          </cell>
          <cell r="Q295" t="str">
            <v>Propio</v>
          </cell>
          <cell r="R295">
            <v>14</v>
          </cell>
          <cell r="S295" t="str">
            <v>Propio</v>
          </cell>
          <cell r="T295" t="str">
            <v>MERCEDES BENZ</v>
          </cell>
          <cell r="U295" t="str">
            <v>ATEGO 1418/48 FRONTAL</v>
          </cell>
          <cell r="V295" t="str">
            <v>904967U0928994</v>
          </cell>
          <cell r="W295" t="str">
            <v>9BM958034BB774968</v>
          </cell>
          <cell r="X295">
            <v>2011</v>
          </cell>
          <cell r="Y295">
            <v>15</v>
          </cell>
          <cell r="Z295" t="str">
            <v>TDU</v>
          </cell>
          <cell r="AA295" t="str">
            <v>CMQ_TTE - QUILMES TTE</v>
          </cell>
          <cell r="AB295" t="str">
            <v>CMQ_TTE - QUILMES TTE</v>
          </cell>
          <cell r="AC295" t="str">
            <v>CMQ_TTE - QUILMES TTE</v>
          </cell>
          <cell r="AD295" t="str">
            <v>CMQ_TTE - QUILMES TTE</v>
          </cell>
          <cell r="AE295" t="str">
            <v>CMQ_TTE - QUILMES TTE</v>
          </cell>
          <cell r="AF295" t="str">
            <v>CMQ_TTE - QUILMES TTE</v>
          </cell>
          <cell r="AG295" t="str">
            <v>CMQ_TTE - QUILMES TTE</v>
          </cell>
          <cell r="AH295" t="str">
            <v>CMQ_TTE - QUILMES TTE</v>
          </cell>
          <cell r="AI295" t="str">
            <v>CMQ_TTE - QUILMES TTE</v>
          </cell>
          <cell r="AJ295" t="str">
            <v>CMQ_TTE - QUILMES TTE</v>
          </cell>
          <cell r="AK295" t="str">
            <v>CMQ_TTE - QUILMES TTE</v>
          </cell>
          <cell r="AL295" t="str">
            <v>CMQ_TTE - QUILMES TTE</v>
          </cell>
          <cell r="AM295" t="str">
            <v>CMQ_TTE - QUILMES TTE</v>
          </cell>
          <cell r="AN295" t="str">
            <v>CMQ_TTE - QUILMES TTE</v>
          </cell>
          <cell r="AO295" t="str">
            <v>CMQ_TTE - QUILMES TTE</v>
          </cell>
          <cell r="AP295" t="str">
            <v>CMQ_TTE - QUILMES TTE</v>
          </cell>
          <cell r="AQ295" t="str">
            <v>CMQ_TTE - QUILMES TTE</v>
          </cell>
          <cell r="AR295" t="str">
            <v>CMQ_TTE - QUILMES TTE</v>
          </cell>
          <cell r="AS295" t="str">
            <v>CMQ_TTE - QUILMES TTE</v>
          </cell>
          <cell r="AT295" t="str">
            <v>CMQ_TTE - QUILMES TTE</v>
          </cell>
          <cell r="AU295" t="str">
            <v>CMQ_TTE - QUILMES TTE</v>
          </cell>
          <cell r="AV295" t="str">
            <v>CMQ_TTE - QUILMES TTE</v>
          </cell>
          <cell r="AW295" t="str">
            <v>CMQ_TTE - QUILMES TTE</v>
          </cell>
          <cell r="AX295" t="str">
            <v>CMQ_TTE - QUILMES TTE</v>
          </cell>
          <cell r="AY295" t="str">
            <v>CMQ_TTE - QUILMES TTE</v>
          </cell>
          <cell r="AZ295" t="str">
            <v>CMQ_TTE - QUILMES TTE</v>
          </cell>
          <cell r="BA295" t="str">
            <v>CMQ_TTE - QUILMES TTE</v>
          </cell>
          <cell r="BB295" t="str">
            <v>CMQ_TTE - QUILMES TTE</v>
          </cell>
          <cell r="BC295" t="str">
            <v>CMQ_TTE - QUILMES TTE</v>
          </cell>
          <cell r="BD295" t="str">
            <v>CMQ_TTE - QUILMES TTE</v>
          </cell>
          <cell r="BE295" t="str">
            <v>CMQ_TTE - QUILMES TTE</v>
          </cell>
          <cell r="BF295" t="str">
            <v>CMQ_TTE - QUILMES TTE</v>
          </cell>
          <cell r="BG295" t="str">
            <v>CMQ_TTE - QUILMES TTE</v>
          </cell>
          <cell r="BH295" t="str">
            <v>CMQ_TTE - QUILMES TTE</v>
          </cell>
          <cell r="BI295" t="str">
            <v>CMQ_TTE - QUILMES TTE</v>
          </cell>
          <cell r="BJ295" t="str">
            <v>CMQ_TTE - QUILMES TTE</v>
          </cell>
          <cell r="BK295" t="str">
            <v>CMQ_TTE - QUILMES TTE</v>
          </cell>
          <cell r="BL295" t="str">
            <v>CMQ_TTE - QUILMES TTE</v>
          </cell>
          <cell r="BM295" t="str">
            <v>CMQ_TTE - QUILMES TTE</v>
          </cell>
          <cell r="BN295" t="str">
            <v>CMQ_TTE - QUILMES TTE</v>
          </cell>
          <cell r="BO295" t="str">
            <v>CMQ_TTE - QUILMES TTE</v>
          </cell>
          <cell r="BP295" t="str">
            <v>CMQ_TTE - QUILMES TTE</v>
          </cell>
          <cell r="BQ295" t="str">
            <v>CMQ_TTE - QUILMES TTE</v>
          </cell>
          <cell r="BR295" t="str">
            <v>CMQ_TTE - QUILMES TTE</v>
          </cell>
          <cell r="BS295" t="str">
            <v>CMQ_TTE - QUILMES TTE</v>
          </cell>
          <cell r="BT295" t="str">
            <v>CMQ_TTE - QUILMES TTE</v>
          </cell>
          <cell r="BU295" t="str">
            <v>CMQ_TTE - QUILMES TTE</v>
          </cell>
          <cell r="BV295" t="str">
            <v>CMQ_TTE - QUILMES TTE</v>
          </cell>
          <cell r="BW295" t="str">
            <v>CMQ_TTE - QUILMES TTE</v>
          </cell>
          <cell r="BX295" t="str">
            <v>CMQ_TTE - QUILMES TTE</v>
          </cell>
          <cell r="BY295" t="str">
            <v>CMQ_TTE - QUILMES TTE</v>
          </cell>
          <cell r="BZ295" t="str">
            <v>CMQ_TTE - QUILMES TTE</v>
          </cell>
          <cell r="CA295" t="str">
            <v>CMQ_TTE - QUILMES TTE</v>
          </cell>
          <cell r="CB295" t="str">
            <v>CMQ_TTE - QUILMES TTE</v>
          </cell>
          <cell r="CC295" t="str">
            <v>CMQ_TTE - QUILMES TTE</v>
          </cell>
          <cell r="CD295" t="str">
            <v>CMQ_TTE - QUILMES TTE</v>
          </cell>
          <cell r="CE295" t="str">
            <v>CMQ_TTE - QUILMES TTE</v>
          </cell>
          <cell r="CF295" t="str">
            <v>CMQ_TTE - QUILMES TTE</v>
          </cell>
          <cell r="CG295" t="str">
            <v>CMQ_TTE - QUILMES TTE</v>
          </cell>
          <cell r="CH295" t="str">
            <v>CMQ_TTE - QUILMES TTE</v>
          </cell>
          <cell r="CI295" t="str">
            <v>CMQ_TTE - QUILMES TTE</v>
          </cell>
          <cell r="CJ295" t="str">
            <v>CMQ_TTE - QUILMES TTE</v>
          </cell>
          <cell r="CK295" t="str">
            <v>CMQ_TTE - QUILMES TTE</v>
          </cell>
          <cell r="CL295" t="str">
            <v>CMQ_TTE - QUILMES TTE</v>
          </cell>
          <cell r="CM295" t="str">
            <v>CMQ_TTE - QUILMES TTE</v>
          </cell>
          <cell r="CN295" t="str">
            <v>CMQ_TTE - QUILMES TTE</v>
          </cell>
          <cell r="CO295" t="str">
            <v>CMQ_TTE - QUILMES TTE</v>
          </cell>
          <cell r="CP295" t="str">
            <v>CMQ_TTE - QUILMES TTE</v>
          </cell>
          <cell r="CQ295" t="str">
            <v>CMQ_TTE - QUILMES TTE</v>
          </cell>
          <cell r="CR295" t="str">
            <v>CMQ_TTE - QUILMES TTE</v>
          </cell>
          <cell r="CS295" t="str">
            <v>CMQ_TTE - QUILMES TTE</v>
          </cell>
          <cell r="CT295" t="str">
            <v>CMQ_TTE - QUILMES TTE</v>
          </cell>
          <cell r="CU295" t="str">
            <v>CMQ_TTE - QUILMES TTE</v>
          </cell>
          <cell r="CV295" t="str">
            <v>CMQ_TTE - QUILMES TTE</v>
          </cell>
          <cell r="CW295" t="str">
            <v>CMQ_TTE - QUILMES TTE</v>
          </cell>
        </row>
        <row r="296">
          <cell r="D296" t="str">
            <v>JXJ303</v>
          </cell>
          <cell r="E296" t="str">
            <v>Chasis</v>
          </cell>
          <cell r="F296" t="str">
            <v>Chasis</v>
          </cell>
          <cell r="G296" t="str">
            <v>Chasis</v>
          </cell>
          <cell r="N296" t="str">
            <v>TDU</v>
          </cell>
          <cell r="O296" t="str">
            <v>TDU</v>
          </cell>
          <cell r="P296" t="str">
            <v>No</v>
          </cell>
          <cell r="Q296" t="str">
            <v>Propio</v>
          </cell>
          <cell r="R296">
            <v>12</v>
          </cell>
          <cell r="S296" t="str">
            <v>Propio</v>
          </cell>
          <cell r="T296" t="str">
            <v>MERCEDES BENZ</v>
          </cell>
          <cell r="U296" t="str">
            <v>ATEGO 1418/48 FRONTAL</v>
          </cell>
          <cell r="V296" t="str">
            <v>904967U0929632</v>
          </cell>
          <cell r="W296" t="str">
            <v>9BM958034BB775548</v>
          </cell>
          <cell r="X296">
            <v>2011</v>
          </cell>
          <cell r="Y296">
            <v>15</v>
          </cell>
          <cell r="Z296" t="str">
            <v>TDU</v>
          </cell>
          <cell r="AA296" t="str">
            <v>CMQ_TTE - QUILMES TTE</v>
          </cell>
          <cell r="AB296" t="str">
            <v>CMQ_TTE - QUILMES TTE</v>
          </cell>
          <cell r="AC296" t="str">
            <v>CMQ_TTE - QUILMES TTE</v>
          </cell>
          <cell r="AD296" t="str">
            <v>CMQ_TTE - QUILMES TTE</v>
          </cell>
          <cell r="AE296" t="str">
            <v>CMQ_TTE - QUILMES TTE</v>
          </cell>
          <cell r="AF296" t="str">
            <v>CMQ_TTE - QUILMES TTE</v>
          </cell>
          <cell r="AG296" t="str">
            <v>CMQ_TTE - QUILMES TTE</v>
          </cell>
          <cell r="AH296" t="str">
            <v>CMQ_TTE - QUILMES TTE</v>
          </cell>
          <cell r="AI296" t="str">
            <v>CMQ_TTE - QUILMES TTE</v>
          </cell>
          <cell r="AJ296" t="str">
            <v>CMQ_TTE - QUILMES TTE</v>
          </cell>
          <cell r="AK296" t="str">
            <v>CMQ_TTE - QUILMES TTE</v>
          </cell>
          <cell r="AL296" t="str">
            <v>CMQ_TTE - QUILMES TTE</v>
          </cell>
          <cell r="AM296" t="str">
            <v>CMQ_TTE - QUILMES TTE</v>
          </cell>
          <cell r="AN296" t="str">
            <v>CMQ_TTE - QUILMES TTE</v>
          </cell>
          <cell r="AO296" t="str">
            <v>CMQ_TTE - QUILMES TTE</v>
          </cell>
          <cell r="AP296" t="str">
            <v>CMQ_TTE - QUILMES TTE</v>
          </cell>
          <cell r="AQ296" t="str">
            <v>CMQ_TTE - QUILMES TTE</v>
          </cell>
          <cell r="AR296" t="str">
            <v>CMQ_TTE - QUILMES TTE</v>
          </cell>
          <cell r="AS296" t="str">
            <v>CMQ_TTE - QUILMES TTE</v>
          </cell>
          <cell r="AT296" t="str">
            <v>CMQ_TTE - QUILMES TTE</v>
          </cell>
          <cell r="AU296" t="str">
            <v>CMQ_TTE - QUILMES TTE</v>
          </cell>
          <cell r="AV296" t="str">
            <v>CMQ_TTE - QUILMES TTE</v>
          </cell>
          <cell r="AW296" t="str">
            <v>CMQ_TTE - QUILMES TTE</v>
          </cell>
          <cell r="AX296" t="str">
            <v>CMQ_TTE - QUILMES TTE</v>
          </cell>
          <cell r="AY296" t="str">
            <v>CMQ_TTE - QUILMES TTE</v>
          </cell>
          <cell r="AZ296" t="str">
            <v>CMQ_TTE - QUILMES TTE</v>
          </cell>
          <cell r="BA296" t="str">
            <v>CMQ_TTE - QUILMES TTE</v>
          </cell>
          <cell r="BB296" t="str">
            <v>CMQ_TTE - QUILMES TTE</v>
          </cell>
          <cell r="BC296" t="str">
            <v>CMQ_TTE - QUILMES TTE</v>
          </cell>
          <cell r="BD296" t="str">
            <v>CMQ_TTE - QUILMES TTE</v>
          </cell>
          <cell r="BE296" t="str">
            <v>CMQ_TTE - QUILMES TTE</v>
          </cell>
          <cell r="BF296" t="str">
            <v>CMQ_TTE - QUILMES TTE</v>
          </cell>
          <cell r="BG296" t="str">
            <v>CMQ_TTE - QUILMES TTE</v>
          </cell>
          <cell r="BH296" t="str">
            <v>CMQ_TTE - QUILMES TTE</v>
          </cell>
          <cell r="BI296" t="str">
            <v>CMQ_TTE - QUILMES TTE</v>
          </cell>
          <cell r="BJ296" t="str">
            <v>CMQ_TTE - QUILMES TTE</v>
          </cell>
          <cell r="BK296" t="str">
            <v>CMQ_TTE - QUILMES TTE</v>
          </cell>
          <cell r="BL296" t="str">
            <v>CMQ_TTE - QUILMES TTE</v>
          </cell>
          <cell r="BM296" t="str">
            <v>CMQ_TTE - QUILMES TTE</v>
          </cell>
          <cell r="BN296" t="str">
            <v>CMQ_TTE - QUILMES TTE</v>
          </cell>
          <cell r="BO296" t="str">
            <v>CMQ_TTE - QUILMES TTE</v>
          </cell>
          <cell r="BP296" t="str">
            <v>CMQ_TTE - QUILMES TTE</v>
          </cell>
          <cell r="BQ296" t="str">
            <v>ADA_Mino - Danone Arg. S.A. - Mino</v>
          </cell>
          <cell r="BR296" t="str">
            <v>ADA_Mino - Danone Arg. S.A. - Mino</v>
          </cell>
          <cell r="BS296" t="str">
            <v>ADA_Mino - Danone Arg. S.A. - Mino</v>
          </cell>
          <cell r="BT296" t="str">
            <v>ADA_Mino - Danone Arg. S.A. - Mino</v>
          </cell>
          <cell r="BU296" t="str">
            <v>CCUCoAZA</v>
          </cell>
          <cell r="BV296" t="str">
            <v>CCUCoAZA</v>
          </cell>
          <cell r="BW296" t="str">
            <v>CCUCoAZA</v>
          </cell>
          <cell r="BX296" t="str">
            <v>CCUCoAZA</v>
          </cell>
          <cell r="BY296" t="str">
            <v>CCUCoAZA</v>
          </cell>
          <cell r="BZ296" t="str">
            <v>CCUCoAZA</v>
          </cell>
          <cell r="CA296" t="str">
            <v>CCUCoAZA</v>
          </cell>
          <cell r="CB296" t="str">
            <v>CCUCoAZA</v>
          </cell>
          <cell r="CC296" t="str">
            <v>CCUCoAZA</v>
          </cell>
          <cell r="CD296" t="str">
            <v>CCUCoAZA</v>
          </cell>
          <cell r="CE296" t="str">
            <v>CCUCoAZA</v>
          </cell>
          <cell r="CF296" t="str">
            <v>CCUCoAZA</v>
          </cell>
          <cell r="CG296" t="str">
            <v>CCUCoAZA</v>
          </cell>
          <cell r="CH296" t="str">
            <v>CCUCoAZA</v>
          </cell>
          <cell r="CI296" t="str">
            <v>CCUCoAZA</v>
          </cell>
          <cell r="CJ296" t="str">
            <v>CCUCoAZA</v>
          </cell>
          <cell r="CK296" t="str">
            <v>CCUCoAZA</v>
          </cell>
          <cell r="CL296" t="str">
            <v>CCUCoAZA</v>
          </cell>
          <cell r="CM296" t="str">
            <v>CCUCoAZA</v>
          </cell>
          <cell r="CN296" t="str">
            <v>CCUCoAZA</v>
          </cell>
          <cell r="CO296" t="str">
            <v>CCUCoAZA</v>
          </cell>
          <cell r="CP296" t="str">
            <v>CCUCoAZA</v>
          </cell>
          <cell r="CQ296" t="str">
            <v>CCUCoAZA</v>
          </cell>
          <cell r="CR296" t="str">
            <v>CCUCoAZA</v>
          </cell>
          <cell r="CS296" t="str">
            <v>CCUCoAZA</v>
          </cell>
          <cell r="CT296" t="str">
            <v>CCUCoAZA</v>
          </cell>
          <cell r="CU296" t="str">
            <v>CCUCoAZA</v>
          </cell>
          <cell r="CV296" t="str">
            <v>CCUCoAZA</v>
          </cell>
          <cell r="CW296" t="str">
            <v>CCUCoAZA</v>
          </cell>
        </row>
        <row r="297">
          <cell r="D297" t="str">
            <v>JXZ244</v>
          </cell>
          <cell r="E297" t="str">
            <v>Semiremolque</v>
          </cell>
          <cell r="F297" t="str">
            <v>Semiremolque</v>
          </cell>
          <cell r="G297" t="str">
            <v>Semiremolque Baranda 14,5m 28P</v>
          </cell>
          <cell r="N297" t="str">
            <v>Expreso Malargüe S. A.</v>
          </cell>
          <cell r="O297" t="str">
            <v>Expreso Malargüe S. A.</v>
          </cell>
          <cell r="P297" t="str">
            <v>No</v>
          </cell>
          <cell r="Q297" t="str">
            <v>Propio</v>
          </cell>
          <cell r="R297">
            <v>28</v>
          </cell>
          <cell r="S297" t="str">
            <v>Propio</v>
          </cell>
          <cell r="T297" t="str">
            <v>MALDONADO</v>
          </cell>
          <cell r="U297" t="str">
            <v>-</v>
          </cell>
          <cell r="V297">
            <v>0</v>
          </cell>
          <cell r="W297" t="str">
            <v>8EMP1453SBA000144</v>
          </cell>
          <cell r="X297">
            <v>2011</v>
          </cell>
          <cell r="Y297">
            <v>15</v>
          </cell>
          <cell r="Z297" t="str">
            <v>Malargue</v>
          </cell>
          <cell r="AA297" t="str">
            <v>Expreso - Servicios Troncales</v>
          </cell>
          <cell r="AB297" t="str">
            <v>Expreso - Servicios Troncales</v>
          </cell>
          <cell r="AC297" t="str">
            <v>Expreso - Servicios Troncales</v>
          </cell>
          <cell r="AD297" t="str">
            <v>Expreso - Servicios Troncales</v>
          </cell>
          <cell r="AE297" t="str">
            <v>Expreso - Servicios Troncales</v>
          </cell>
          <cell r="AF297" t="str">
            <v>Expreso - Servicios Troncales</v>
          </cell>
          <cell r="AG297" t="str">
            <v>Expreso - Servicios Troncales</v>
          </cell>
          <cell r="AH297" t="str">
            <v>Expreso - Servicios Troncales</v>
          </cell>
          <cell r="AI297" t="str">
            <v>Expreso - Servicios Troncales</v>
          </cell>
          <cell r="AJ297" t="str">
            <v>Expreso - Servicios Troncales</v>
          </cell>
          <cell r="AK297" t="str">
            <v>Expreso - Servicios Troncales</v>
          </cell>
          <cell r="AL297" t="str">
            <v>Expreso - Servicios Troncales</v>
          </cell>
          <cell r="AM297" t="str">
            <v>Expreso - Servicios Troncales</v>
          </cell>
          <cell r="AN297" t="str">
            <v>Expreso - Servicios Troncales</v>
          </cell>
          <cell r="AO297" t="str">
            <v>Expreso - Servicios Troncales</v>
          </cell>
          <cell r="AP297" t="str">
            <v>Expreso - Servicios Troncales</v>
          </cell>
          <cell r="AQ297" t="str">
            <v>Expreso - Servicios Troncales</v>
          </cell>
          <cell r="AR297" t="str">
            <v>Expreso - Servicios Troncales</v>
          </cell>
          <cell r="AS297" t="str">
            <v>Expreso - Servicios Troncales</v>
          </cell>
          <cell r="AT297" t="str">
            <v>Expreso - Servicios Troncales</v>
          </cell>
          <cell r="AU297" t="str">
            <v>Expreso - Servicios Troncales</v>
          </cell>
          <cell r="AV297" t="str">
            <v>Expreso - Servicios Troncales</v>
          </cell>
          <cell r="AW297" t="str">
            <v>Expreso - Servicios Troncales</v>
          </cell>
          <cell r="AX297" t="str">
            <v>Expreso - Servicios Troncales</v>
          </cell>
          <cell r="AY297" t="str">
            <v>Expreso - Servicios Troncales</v>
          </cell>
          <cell r="AZ297" t="str">
            <v>Expreso - Servicios Troncales</v>
          </cell>
          <cell r="BA297" t="str">
            <v>Expreso - Servicios Troncales</v>
          </cell>
          <cell r="BB297" t="str">
            <v>Expreso - Servicios Troncales</v>
          </cell>
          <cell r="BC297" t="str">
            <v>Expreso - Servicios Troncales</v>
          </cell>
          <cell r="BD297" t="str">
            <v>Expreso - Servicios Troncales</v>
          </cell>
          <cell r="BE297" t="str">
            <v>Expreso - Servicios Troncales</v>
          </cell>
          <cell r="BF297" t="str">
            <v>Expreso - Servicios Troncales</v>
          </cell>
          <cell r="BG297" t="str">
            <v>Expreso - Servicios Troncales</v>
          </cell>
          <cell r="BH297" t="str">
            <v>Expreso - Servicios Troncales</v>
          </cell>
          <cell r="BI297" t="str">
            <v>Expreso - Servicios Troncales</v>
          </cell>
          <cell r="BJ297" t="str">
            <v>Expreso - Servicios Troncales</v>
          </cell>
          <cell r="BK297" t="str">
            <v>Expreso - Servicios Troncales</v>
          </cell>
          <cell r="BL297" t="str">
            <v>Expreso - Servicios Troncales</v>
          </cell>
          <cell r="BM297" t="str">
            <v>Expreso - Servicios Troncales</v>
          </cell>
          <cell r="BN297" t="str">
            <v>Expreso - Servicios Troncales</v>
          </cell>
          <cell r="BO297" t="str">
            <v>Expreso - Servicios Troncales</v>
          </cell>
          <cell r="BP297" t="str">
            <v>Expreso - Servicios Troncales</v>
          </cell>
          <cell r="BQ297" t="str">
            <v>Expreso - Servicios Troncales</v>
          </cell>
          <cell r="BR297" t="str">
            <v>Expreso - Servicios Troncales</v>
          </cell>
          <cell r="BS297" t="str">
            <v>Expreso - Servicios Troncales</v>
          </cell>
          <cell r="BT297" t="str">
            <v>Expreso - Servicios Troncales</v>
          </cell>
          <cell r="BU297" t="str">
            <v>Expreso - Servicios Troncales</v>
          </cell>
          <cell r="BV297" t="str">
            <v>Expreso - Servicios Troncales</v>
          </cell>
          <cell r="BW297" t="str">
            <v>Expreso - Servicios Troncales</v>
          </cell>
          <cell r="BX297" t="str">
            <v>Expreso - Servicios Troncales</v>
          </cell>
          <cell r="BY297" t="str">
            <v>Expreso - Servicios Troncales</v>
          </cell>
          <cell r="BZ297" t="str">
            <v>Expreso - Servicios Troncales</v>
          </cell>
          <cell r="CA297" t="str">
            <v>Expreso - Servicios Troncales</v>
          </cell>
          <cell r="CB297" t="str">
            <v>Expreso - Servicios Troncales</v>
          </cell>
          <cell r="CC297" t="str">
            <v>Expreso - Servicios Troncales</v>
          </cell>
          <cell r="CD297" t="str">
            <v>Expreso - Servicios Troncales</v>
          </cell>
          <cell r="CE297" t="str">
            <v>Expreso - Servicios Troncales</v>
          </cell>
          <cell r="CF297" t="str">
            <v>Expreso - Servicios Troncales</v>
          </cell>
          <cell r="CG297" t="str">
            <v>Expreso - Servicios Troncales</v>
          </cell>
          <cell r="CH297" t="str">
            <v>Expreso - Servicios Troncales</v>
          </cell>
          <cell r="CI297" t="str">
            <v>Expreso - Servicios Troncales</v>
          </cell>
          <cell r="CJ297" t="str">
            <v>Expreso - Servicios Troncales</v>
          </cell>
          <cell r="CK297" t="str">
            <v>Expreso - Servicios Troncales</v>
          </cell>
          <cell r="CL297" t="str">
            <v>Expreso - Servicios Troncales</v>
          </cell>
          <cell r="CM297" t="str">
            <v>Expreso - Servicios Troncales</v>
          </cell>
          <cell r="CN297" t="str">
            <v>Expreso - Servicios Troncales</v>
          </cell>
          <cell r="CO297" t="str">
            <v>Expreso - Servicios Troncales</v>
          </cell>
          <cell r="CP297" t="str">
            <v>Expreso - Servicios Troncales</v>
          </cell>
          <cell r="CQ297" t="str">
            <v>Expreso - Servicios Troncales</v>
          </cell>
          <cell r="CR297" t="str">
            <v>Expreso - Servicios Troncales</v>
          </cell>
          <cell r="CS297" t="str">
            <v>Expreso - Servicios Troncales</v>
          </cell>
          <cell r="CT297" t="str">
            <v>Expreso - Servicios Troncales</v>
          </cell>
          <cell r="CU297" t="str">
            <v>Expreso - Servicios Troncales</v>
          </cell>
          <cell r="CV297" t="str">
            <v>Expreso - Servicios Troncales</v>
          </cell>
          <cell r="CW297" t="str">
            <v>Expreso - Servicios Troncales</v>
          </cell>
        </row>
        <row r="298">
          <cell r="D298" t="str">
            <v>JXZ245</v>
          </cell>
          <cell r="E298" t="str">
            <v>Semiremolque</v>
          </cell>
          <cell r="F298" t="str">
            <v>Semiremolque</v>
          </cell>
          <cell r="G298" t="str">
            <v>Semiremolque Baranda 14,5m 28P</v>
          </cell>
          <cell r="N298" t="str">
            <v>Expreso Malargüe S. A.</v>
          </cell>
          <cell r="O298" t="str">
            <v>Expreso Malargüe S. A.</v>
          </cell>
          <cell r="P298" t="str">
            <v>No</v>
          </cell>
          <cell r="Q298" t="str">
            <v>Propio</v>
          </cell>
          <cell r="R298">
            <v>28</v>
          </cell>
          <cell r="S298" t="str">
            <v>Propio</v>
          </cell>
          <cell r="T298" t="str">
            <v>MALDONADO</v>
          </cell>
          <cell r="U298" t="str">
            <v>-</v>
          </cell>
          <cell r="V298">
            <v>0</v>
          </cell>
          <cell r="W298" t="str">
            <v>8EMP1453SBA000142</v>
          </cell>
          <cell r="X298">
            <v>2011</v>
          </cell>
          <cell r="Y298">
            <v>15</v>
          </cell>
          <cell r="Z298" t="str">
            <v>Malargue</v>
          </cell>
          <cell r="AA298" t="str">
            <v>Expreso - Servicios Troncales</v>
          </cell>
          <cell r="AB298" t="str">
            <v>Expreso - Servicios Troncales</v>
          </cell>
          <cell r="AC298" t="str">
            <v>Expreso - Servicios Troncales</v>
          </cell>
          <cell r="AD298" t="str">
            <v>Expreso - Servicios Troncales</v>
          </cell>
          <cell r="AE298" t="str">
            <v>Expreso - Servicios Troncales</v>
          </cell>
          <cell r="AF298" t="str">
            <v>Expreso - Servicios Troncales</v>
          </cell>
          <cell r="AG298" t="str">
            <v>Expreso - Servicios Troncales</v>
          </cell>
          <cell r="AH298" t="str">
            <v>Expreso - Servicios Troncales</v>
          </cell>
          <cell r="AI298" t="str">
            <v>Expreso - Servicios Troncales</v>
          </cell>
          <cell r="AJ298" t="str">
            <v>Expreso - Servicios Troncales</v>
          </cell>
          <cell r="AK298" t="str">
            <v>Expreso - Servicios Troncales</v>
          </cell>
          <cell r="AL298" t="str">
            <v>Expreso - Servicios Troncales</v>
          </cell>
          <cell r="AM298" t="str">
            <v>Expreso - Servicios Troncales</v>
          </cell>
          <cell r="AN298" t="str">
            <v>Expreso - Servicios Troncales</v>
          </cell>
          <cell r="AO298" t="str">
            <v>Expreso - Servicios Troncales</v>
          </cell>
          <cell r="AP298" t="str">
            <v>Expreso - Servicios Troncales</v>
          </cell>
          <cell r="AQ298" t="str">
            <v>Expreso - Servicios Troncales</v>
          </cell>
          <cell r="AR298" t="str">
            <v>Expreso - Servicios Troncales</v>
          </cell>
          <cell r="AS298" t="str">
            <v>Expreso - Servicios Troncales</v>
          </cell>
          <cell r="AT298" t="str">
            <v>Expreso - Servicios Troncales</v>
          </cell>
          <cell r="AU298" t="str">
            <v>Expreso - Servicios Troncales</v>
          </cell>
          <cell r="AV298" t="str">
            <v>Expreso - Servicios Troncales</v>
          </cell>
          <cell r="AW298" t="str">
            <v>Expreso - Servicios Troncales</v>
          </cell>
          <cell r="AX298" t="str">
            <v>Expreso - Servicios Troncales</v>
          </cell>
          <cell r="AY298" t="str">
            <v>Expreso - Servicios Troncales</v>
          </cell>
          <cell r="AZ298" t="str">
            <v>Expreso - Servicios Troncales</v>
          </cell>
          <cell r="BA298" t="str">
            <v>Expreso - Servicios Troncales</v>
          </cell>
          <cell r="BB298" t="str">
            <v>Expreso - Servicios Troncales</v>
          </cell>
          <cell r="BC298" t="str">
            <v>Expreso - Servicios Troncales</v>
          </cell>
          <cell r="BD298" t="str">
            <v>Expreso - Servicios Troncales</v>
          </cell>
          <cell r="BE298" t="str">
            <v>Expreso - Servicios Troncales</v>
          </cell>
          <cell r="BF298" t="str">
            <v>Expreso - Servicios Troncales</v>
          </cell>
          <cell r="BG298" t="str">
            <v>Expreso - Servicios Troncales</v>
          </cell>
          <cell r="BH298" t="str">
            <v>Expreso - Servicios Troncales</v>
          </cell>
          <cell r="BI298" t="str">
            <v>Expreso - Servicios Troncales</v>
          </cell>
          <cell r="BJ298" t="str">
            <v>Expreso - Servicios Troncales</v>
          </cell>
          <cell r="BK298" t="str">
            <v>Expreso - Servicios Troncales</v>
          </cell>
          <cell r="BL298" t="str">
            <v>Expreso - Servicios Troncales</v>
          </cell>
          <cell r="BM298" t="str">
            <v>Expreso - Servicios Troncales</v>
          </cell>
          <cell r="BN298" t="str">
            <v>Expreso - Servicios Troncales</v>
          </cell>
          <cell r="BO298" t="str">
            <v>Expreso - Servicios Troncales</v>
          </cell>
          <cell r="BP298" t="str">
            <v>Expreso - Servicios Troncales</v>
          </cell>
          <cell r="BQ298" t="str">
            <v>Expreso - Servicios Troncales</v>
          </cell>
          <cell r="BR298" t="str">
            <v>Expreso - Servicios Troncales</v>
          </cell>
          <cell r="BS298" t="str">
            <v>Expreso - Servicios Troncales</v>
          </cell>
          <cell r="BT298" t="str">
            <v>Expreso - Servicios Troncales</v>
          </cell>
          <cell r="BU298" t="str">
            <v>Expreso - Servicios Troncales</v>
          </cell>
          <cell r="BV298" t="str">
            <v>Expreso - Servicios Troncales</v>
          </cell>
          <cell r="BW298" t="str">
            <v>Expreso - Servicios Troncales</v>
          </cell>
          <cell r="BX298" t="str">
            <v>Expreso - Servicios Troncales</v>
          </cell>
          <cell r="BY298" t="str">
            <v>Expreso - Servicios Troncales</v>
          </cell>
          <cell r="BZ298" t="str">
            <v>Expreso - Servicios Troncales</v>
          </cell>
          <cell r="CA298" t="str">
            <v>Expreso - Servicios Troncales</v>
          </cell>
          <cell r="CB298" t="str">
            <v>Expreso - Servicios Troncales</v>
          </cell>
          <cell r="CC298" t="str">
            <v>Expreso - Servicios Troncales</v>
          </cell>
          <cell r="CD298" t="str">
            <v>Expreso - Servicios Troncales</v>
          </cell>
          <cell r="CE298" t="str">
            <v>Expreso - Servicios Troncales</v>
          </cell>
          <cell r="CF298" t="str">
            <v>Expreso - Servicios Troncales</v>
          </cell>
          <cell r="CG298" t="str">
            <v>Expreso - Servicios Troncales</v>
          </cell>
          <cell r="CH298" t="str">
            <v>Expreso - Servicios Troncales</v>
          </cell>
          <cell r="CI298" t="str">
            <v>Expreso - Servicios Troncales</v>
          </cell>
          <cell r="CJ298" t="str">
            <v>Expreso - Servicios Troncales</v>
          </cell>
          <cell r="CK298" t="str">
            <v>Expreso - Servicios Troncales</v>
          </cell>
          <cell r="CL298" t="str">
            <v>Expreso - Servicios Troncales</v>
          </cell>
          <cell r="CM298" t="str">
            <v>Expreso - Servicios Troncales</v>
          </cell>
          <cell r="CN298" t="str">
            <v>Expreso - Servicios Troncales</v>
          </cell>
          <cell r="CO298" t="str">
            <v>Expreso - Servicios Troncales</v>
          </cell>
          <cell r="CP298" t="str">
            <v>Expreso - Servicios Troncales</v>
          </cell>
          <cell r="CQ298" t="str">
            <v>Expreso - Servicios Troncales</v>
          </cell>
          <cell r="CR298" t="str">
            <v>Expreso - Servicios Troncales</v>
          </cell>
          <cell r="CS298" t="str">
            <v>Expreso - Servicios Troncales</v>
          </cell>
          <cell r="CT298" t="str">
            <v>Expreso - Servicios Troncales</v>
          </cell>
          <cell r="CU298" t="str">
            <v>Expreso - Servicios Troncales</v>
          </cell>
          <cell r="CV298" t="str">
            <v>Expreso - Servicios Troncales</v>
          </cell>
          <cell r="CW298" t="str">
            <v>Expreso - Servicios Troncales</v>
          </cell>
        </row>
        <row r="299">
          <cell r="D299" t="str">
            <v>JXZ246</v>
          </cell>
          <cell r="E299" t="str">
            <v>Semiremolque</v>
          </cell>
          <cell r="F299" t="str">
            <v>Semiremolque</v>
          </cell>
          <cell r="G299" t="str">
            <v>Semiremolque Baranda 14,5m 28P</v>
          </cell>
          <cell r="N299" t="str">
            <v>Expreso Malargüe S. A.</v>
          </cell>
          <cell r="O299" t="str">
            <v>Expreso Malargüe S. A.</v>
          </cell>
          <cell r="P299" t="str">
            <v>No</v>
          </cell>
          <cell r="Q299" t="str">
            <v>Propio</v>
          </cell>
          <cell r="R299">
            <v>28</v>
          </cell>
          <cell r="S299" t="str">
            <v>Propio</v>
          </cell>
          <cell r="T299" t="str">
            <v>MALDONADO</v>
          </cell>
          <cell r="U299" t="str">
            <v>-</v>
          </cell>
          <cell r="V299">
            <v>0</v>
          </cell>
          <cell r="W299" t="str">
            <v>8EMP1453SBA000143</v>
          </cell>
          <cell r="X299">
            <v>2011</v>
          </cell>
          <cell r="Y299">
            <v>15</v>
          </cell>
          <cell r="Z299" t="str">
            <v>Malargue</v>
          </cell>
          <cell r="AA299" t="str">
            <v>Expreso - Servicios Troncales</v>
          </cell>
          <cell r="AB299" t="str">
            <v>Expreso - Servicios Troncales</v>
          </cell>
          <cell r="AC299" t="str">
            <v>Expreso - Servicios Troncales</v>
          </cell>
          <cell r="AD299" t="str">
            <v>Expreso - Servicios Troncales</v>
          </cell>
          <cell r="AE299" t="str">
            <v>Expreso - Servicios Troncales</v>
          </cell>
          <cell r="AF299" t="str">
            <v>Expreso - Servicios Troncales</v>
          </cell>
          <cell r="AG299" t="str">
            <v>Expreso - Servicios Troncales</v>
          </cell>
          <cell r="AH299" t="str">
            <v>Expreso - Servicios Troncales</v>
          </cell>
          <cell r="AI299" t="str">
            <v>Expreso - Servicios Troncales</v>
          </cell>
          <cell r="AJ299" t="str">
            <v>Expreso - Servicios Troncales</v>
          </cell>
          <cell r="AK299" t="str">
            <v>Expreso - Servicios Troncales</v>
          </cell>
          <cell r="AL299" t="str">
            <v>Expreso - Servicios Troncales</v>
          </cell>
          <cell r="AM299" t="str">
            <v>Expreso - Servicios Troncales</v>
          </cell>
          <cell r="AN299" t="str">
            <v>Expreso - Servicios Troncales</v>
          </cell>
          <cell r="AO299" t="str">
            <v>Expreso - Servicios Troncales</v>
          </cell>
          <cell r="AP299" t="str">
            <v>Expreso - Servicios Troncales</v>
          </cell>
          <cell r="AQ299" t="str">
            <v>Expreso - Servicios Troncales</v>
          </cell>
          <cell r="AR299" t="str">
            <v>Expreso - Servicios Troncales</v>
          </cell>
          <cell r="AS299" t="str">
            <v>Expreso - Servicios Troncales</v>
          </cell>
          <cell r="AT299" t="str">
            <v>Expreso - Servicios Troncales</v>
          </cell>
          <cell r="AU299" t="str">
            <v>Expreso - Servicios Troncales</v>
          </cell>
          <cell r="AV299" t="str">
            <v>Expreso - Servicios Troncales</v>
          </cell>
          <cell r="AW299" t="str">
            <v>Expreso - Servicios Troncales</v>
          </cell>
          <cell r="AX299" t="str">
            <v>Expreso - Servicios Troncales</v>
          </cell>
          <cell r="AY299" t="str">
            <v>Expreso - Servicios Troncales</v>
          </cell>
          <cell r="AZ299" t="str">
            <v>Expreso - Servicios Troncales</v>
          </cell>
          <cell r="BA299" t="str">
            <v>Expreso - Servicios Troncales</v>
          </cell>
          <cell r="BB299" t="str">
            <v>Expreso - Servicios Troncales</v>
          </cell>
          <cell r="BC299" t="str">
            <v>Expreso - Servicios Troncales</v>
          </cell>
          <cell r="BD299" t="str">
            <v>Expreso - Servicios Troncales</v>
          </cell>
          <cell r="BE299" t="str">
            <v>Expreso - Servicios Troncales</v>
          </cell>
          <cell r="BF299" t="str">
            <v>Expreso - Servicios Troncales</v>
          </cell>
          <cell r="BG299" t="str">
            <v>Expreso - Servicios Troncales</v>
          </cell>
          <cell r="BH299" t="str">
            <v>Expreso - Servicios Troncales</v>
          </cell>
          <cell r="BI299" t="str">
            <v>Expreso - Servicios Troncales</v>
          </cell>
          <cell r="BJ299" t="str">
            <v>Expreso - Servicios Troncales</v>
          </cell>
          <cell r="BK299" t="str">
            <v>Expreso - Servicios Troncales</v>
          </cell>
          <cell r="BL299" t="str">
            <v>Expreso - Servicios Troncales</v>
          </cell>
          <cell r="BM299" t="str">
            <v>Expreso - Servicios Troncales</v>
          </cell>
          <cell r="BN299" t="str">
            <v>Expreso - Servicios Troncales</v>
          </cell>
          <cell r="BO299" t="str">
            <v>Expreso - Servicios Troncales</v>
          </cell>
          <cell r="BP299" t="str">
            <v>Expreso - Servicios Troncales</v>
          </cell>
          <cell r="BQ299" t="str">
            <v>Expreso - Servicios Troncales</v>
          </cell>
          <cell r="BR299" t="str">
            <v>Expreso - Servicios Troncales</v>
          </cell>
          <cell r="BS299" t="str">
            <v>Expreso - Servicios Troncales</v>
          </cell>
          <cell r="BT299" t="str">
            <v>Expreso - Servicios Troncales</v>
          </cell>
          <cell r="BU299" t="str">
            <v>Expreso - Servicios Troncales</v>
          </cell>
          <cell r="BV299" t="str">
            <v>Expreso - Servicios Troncales</v>
          </cell>
          <cell r="BW299" t="str">
            <v>Expreso - Servicios Troncales</v>
          </cell>
          <cell r="BX299" t="str">
            <v>Expreso - Servicios Troncales</v>
          </cell>
          <cell r="BY299" t="str">
            <v>Expreso - Servicios Troncales</v>
          </cell>
          <cell r="BZ299" t="str">
            <v>Expreso - Servicios Troncales</v>
          </cell>
          <cell r="CA299" t="str">
            <v>Expreso - Servicios Troncales</v>
          </cell>
          <cell r="CB299" t="str">
            <v>Expreso - Servicios Troncales</v>
          </cell>
          <cell r="CC299" t="str">
            <v>Expreso - Servicios Troncales</v>
          </cell>
          <cell r="CD299" t="str">
            <v>Expreso - Servicios Troncales</v>
          </cell>
          <cell r="CE299" t="str">
            <v>Expreso - Servicios Troncales</v>
          </cell>
          <cell r="CF299" t="str">
            <v>Expreso - Servicios Troncales</v>
          </cell>
          <cell r="CG299" t="str">
            <v>Expreso - Servicios Troncales</v>
          </cell>
          <cell r="CH299" t="str">
            <v>Expreso - Servicios Troncales</v>
          </cell>
          <cell r="CI299" t="str">
            <v>Expreso - Servicios Troncales</v>
          </cell>
          <cell r="CJ299" t="str">
            <v>Expreso - Servicios Troncales</v>
          </cell>
          <cell r="CK299" t="str">
            <v>Expreso - Servicios Troncales</v>
          </cell>
          <cell r="CL299" t="str">
            <v>Expreso - Servicios Troncales</v>
          </cell>
          <cell r="CM299" t="str">
            <v>Expreso - Servicios Troncales</v>
          </cell>
          <cell r="CN299" t="str">
            <v>Expreso - Servicios Troncales</v>
          </cell>
          <cell r="CO299" t="str">
            <v>Expreso - Servicios Troncales</v>
          </cell>
          <cell r="CP299" t="str">
            <v>Expreso - Servicios Troncales</v>
          </cell>
          <cell r="CQ299" t="str">
            <v>Expreso - Servicios Troncales</v>
          </cell>
          <cell r="CR299" t="str">
            <v>Expreso - Servicios Troncales</v>
          </cell>
          <cell r="CS299" t="str">
            <v>Expreso - Servicios Troncales</v>
          </cell>
          <cell r="CT299" t="str">
            <v>Expreso - Servicios Troncales</v>
          </cell>
          <cell r="CU299" t="str">
            <v>Expreso - Servicios Troncales</v>
          </cell>
          <cell r="CV299" t="str">
            <v>Expreso - Servicios Troncales</v>
          </cell>
          <cell r="CW299" t="str">
            <v>Expreso - Servicios Troncales</v>
          </cell>
        </row>
        <row r="300">
          <cell r="D300" t="str">
            <v>JXZ992</v>
          </cell>
          <cell r="E300" t="str">
            <v>Chasis</v>
          </cell>
          <cell r="F300" t="str">
            <v>Chasis</v>
          </cell>
          <cell r="G300" t="str">
            <v>Chasis</v>
          </cell>
          <cell r="N300" t="str">
            <v>TDU</v>
          </cell>
          <cell r="O300" t="str">
            <v>TDU</v>
          </cell>
          <cell r="P300" t="str">
            <v>No</v>
          </cell>
          <cell r="Q300" t="str">
            <v>Propio</v>
          </cell>
          <cell r="R300">
            <v>12</v>
          </cell>
          <cell r="S300" t="str">
            <v>Propio</v>
          </cell>
          <cell r="T300" t="str">
            <v>MERCEDES BENZ</v>
          </cell>
          <cell r="U300" t="str">
            <v>ATEGO 1418/48 FRONTAL</v>
          </cell>
          <cell r="V300" t="str">
            <v>904967U0929047</v>
          </cell>
          <cell r="W300" t="str">
            <v>9BM958034BB774992</v>
          </cell>
          <cell r="X300">
            <v>2011</v>
          </cell>
          <cell r="Y300">
            <v>15</v>
          </cell>
          <cell r="Z300" t="str">
            <v>TDU</v>
          </cell>
          <cell r="AA300" t="str">
            <v>CMQ_TTE - QUILMES TTE</v>
          </cell>
          <cell r="AB300" t="str">
            <v>CMQ_TTE - QUILMES TTE</v>
          </cell>
          <cell r="AC300" t="str">
            <v>CMQ_TTE - QUILMES TTE</v>
          </cell>
          <cell r="AD300" t="str">
            <v>CMQ_TTE - QUILMES TTE</v>
          </cell>
          <cell r="AE300" t="str">
            <v>CMQ_TTE - QUILMES TTE</v>
          </cell>
          <cell r="AF300" t="str">
            <v>CMQ_TTE - QUILMES TTE</v>
          </cell>
          <cell r="AG300" t="str">
            <v>CMQ_TTE - QUILMES TTE</v>
          </cell>
          <cell r="AH300" t="str">
            <v>CMQ_TTE - QUILMES TTE</v>
          </cell>
          <cell r="AI300" t="str">
            <v>CMQ_TTE - QUILMES TTE</v>
          </cell>
          <cell r="AJ300" t="str">
            <v>CMQ_TTE - QUILMES TTE</v>
          </cell>
          <cell r="AK300" t="str">
            <v>CMQ_TTE - QUILMES TTE</v>
          </cell>
          <cell r="AL300" t="str">
            <v>CMQ_TTE - QUILMES TTE</v>
          </cell>
          <cell r="AM300" t="str">
            <v>CMQ_TTE - QUILMES TTE</v>
          </cell>
          <cell r="AN300" t="str">
            <v>CMQ_TTE - QUILMES TTE</v>
          </cell>
          <cell r="AO300" t="str">
            <v>CMQ_TTE - QUILMES TTE</v>
          </cell>
          <cell r="AP300" t="str">
            <v>CMQ_TTE - QUILMES TTE</v>
          </cell>
          <cell r="AQ300" t="str">
            <v>CMQ_TTE - QUILMES TTE</v>
          </cell>
          <cell r="AR300" t="str">
            <v>CMQ_TTE - QUILMES TTE</v>
          </cell>
          <cell r="AS300" t="str">
            <v>CMQ_TTE - QUILMES TTE</v>
          </cell>
          <cell r="AT300" t="str">
            <v>CMQ_TTE - QUILMES TTE</v>
          </cell>
          <cell r="AU300" t="str">
            <v>CMQ_TTE - QUILMES TTE</v>
          </cell>
          <cell r="AV300" t="str">
            <v>CMQ_TTE - QUILMES TTE</v>
          </cell>
          <cell r="AW300" t="str">
            <v>CMQ_TTE - QUILMES TTE</v>
          </cell>
          <cell r="AX300" t="str">
            <v>ADA_Mino - Danone Arg. S.A. - Mino</v>
          </cell>
          <cell r="AY300" t="str">
            <v>ADA_Mino - Danone Arg. S.A. - Mino</v>
          </cell>
          <cell r="AZ300" t="str">
            <v>ADA_Mino - Danone Arg. S.A. - Mino</v>
          </cell>
          <cell r="BA300" t="str">
            <v>ADA_Mino - Danone Arg. S.A. - Mino</v>
          </cell>
          <cell r="BB300" t="str">
            <v>ADA_Mino - Danone Arg. S.A. - Mino</v>
          </cell>
          <cell r="BC300" t="str">
            <v>ADA_Mino - Danone Arg. S.A. - Mino</v>
          </cell>
          <cell r="BD300" t="str">
            <v>ADA_Mino - Danone Arg. S.A. - Mino</v>
          </cell>
          <cell r="BE300" t="str">
            <v>ADA_Mino - Danone Arg. S.A. - Mino</v>
          </cell>
          <cell r="BF300" t="str">
            <v>ADA_Mino - Danone Arg. S.A. - Mino</v>
          </cell>
          <cell r="BG300" t="str">
            <v>ADA_Mino - Danone Arg. S.A. - Mino</v>
          </cell>
          <cell r="BH300" t="str">
            <v>ADA_Mino - Danone Arg. S.A. - Mino</v>
          </cell>
          <cell r="BI300" t="str">
            <v>ADA_Mino - Danone Arg. S.A. - Mino</v>
          </cell>
          <cell r="BJ300" t="str">
            <v>ADA_Mino - Danone Arg. S.A. - Mino</v>
          </cell>
          <cell r="BK300" t="str">
            <v>ADA_Mino - Danone Arg. S.A. - Mino</v>
          </cell>
          <cell r="BL300" t="str">
            <v>ADA_Mino - Danone Arg. S.A. - Mino</v>
          </cell>
          <cell r="BM300" t="str">
            <v>ADA_Mino - Danone Arg. S.A. - Mino</v>
          </cell>
          <cell r="BN300" t="str">
            <v>ADA_SMK - Danone Arg. S.A. - SMK</v>
          </cell>
          <cell r="BO300" t="str">
            <v>ADA_Mino - Danone Arg. S.A. - Mino</v>
          </cell>
          <cell r="BP300" t="str">
            <v>ADA_Mino - Danone Arg. S.A. - Mino</v>
          </cell>
          <cell r="BQ300" t="str">
            <v>ADA_Mino - Danone Arg. S.A. - Mino</v>
          </cell>
          <cell r="BR300" t="str">
            <v>ADA_Mino - Danone Arg. S.A. - Mino</v>
          </cell>
          <cell r="BS300" t="str">
            <v>ADA_Mino - Danone Arg. S.A. - Mino</v>
          </cell>
          <cell r="BT300" t="str">
            <v>ADA_Mino - Danone Arg. S.A. - Mino</v>
          </cell>
          <cell r="BU300" t="str">
            <v>CCUCoAZA</v>
          </cell>
          <cell r="BV300" t="str">
            <v>CCUCoAZA</v>
          </cell>
          <cell r="BW300" t="str">
            <v>CCUCoAZA</v>
          </cell>
          <cell r="BX300" t="str">
            <v>CCUCoAZA</v>
          </cell>
          <cell r="BY300" t="str">
            <v>CCUCoAZA</v>
          </cell>
          <cell r="BZ300" t="str">
            <v>CCUCoAZA</v>
          </cell>
          <cell r="CA300" t="str">
            <v>CCUCoAZA</v>
          </cell>
          <cell r="CB300" t="str">
            <v>CCUCoAZA</v>
          </cell>
          <cell r="CC300" t="str">
            <v>CCUCoAZA</v>
          </cell>
          <cell r="CD300" t="str">
            <v>CCUCoAZA</v>
          </cell>
          <cell r="CE300" t="str">
            <v>CCUCoAZA</v>
          </cell>
          <cell r="CF300" t="str">
            <v>CCUCoAZA</v>
          </cell>
          <cell r="CG300" t="str">
            <v>CCUCoAZA</v>
          </cell>
          <cell r="CH300" t="str">
            <v>CCUCoAZA</v>
          </cell>
          <cell r="CI300" t="str">
            <v>CCUCoAZA</v>
          </cell>
          <cell r="CJ300" t="str">
            <v>CCUCoAZA</v>
          </cell>
          <cell r="CK300" t="str">
            <v>CCUCoAZA</v>
          </cell>
          <cell r="CL300" t="str">
            <v>CCUCoAZA</v>
          </cell>
          <cell r="CM300" t="str">
            <v>CCUCoAZA</v>
          </cell>
          <cell r="CN300" t="str">
            <v>CCUCoAZA</v>
          </cell>
          <cell r="CO300" t="str">
            <v>CCUCoAZA</v>
          </cell>
          <cell r="CP300" t="str">
            <v>CCUCoAZA</v>
          </cell>
          <cell r="CQ300" t="str">
            <v>CCUCoAZA</v>
          </cell>
          <cell r="CR300" t="str">
            <v>CCUCoAZA</v>
          </cell>
          <cell r="CS300" t="str">
            <v>CCUCoAZA</v>
          </cell>
          <cell r="CT300" t="str">
            <v>CCUCoAZA</v>
          </cell>
          <cell r="CU300" t="str">
            <v>CCUCoAZA</v>
          </cell>
          <cell r="CV300" t="str">
            <v>CCUCoAZA</v>
          </cell>
          <cell r="CW300" t="str">
            <v>CCUCoAZA</v>
          </cell>
        </row>
        <row r="301">
          <cell r="D301" t="str">
            <v>JXZ993</v>
          </cell>
          <cell r="E301" t="str">
            <v>Chasis</v>
          </cell>
          <cell r="F301" t="str">
            <v>Chasis</v>
          </cell>
          <cell r="G301" t="str">
            <v>Chasis</v>
          </cell>
          <cell r="N301" t="str">
            <v>TDU</v>
          </cell>
          <cell r="O301" t="str">
            <v>TDU</v>
          </cell>
          <cell r="P301" t="str">
            <v>No</v>
          </cell>
          <cell r="Q301" t="str">
            <v>Propio</v>
          </cell>
          <cell r="R301">
            <v>12</v>
          </cell>
          <cell r="S301" t="str">
            <v>Propio</v>
          </cell>
          <cell r="T301" t="str">
            <v>MERCEDES BENZ</v>
          </cell>
          <cell r="U301" t="str">
            <v>ATEGO 1418/48 FRONTAL</v>
          </cell>
          <cell r="V301" t="str">
            <v>904967U0928984</v>
          </cell>
          <cell r="W301" t="str">
            <v>9BM958034BB774957</v>
          </cell>
          <cell r="X301">
            <v>2011</v>
          </cell>
          <cell r="Y301">
            <v>15</v>
          </cell>
          <cell r="Z301" t="str">
            <v>TDU</v>
          </cell>
          <cell r="AA301" t="str">
            <v>CMQ_TTE - QUILMES TTE</v>
          </cell>
          <cell r="AB301" t="str">
            <v>CMQ_TTE - QUILMES TTE</v>
          </cell>
          <cell r="AC301" t="str">
            <v>CMQ_TTE - QUILMES TTE</v>
          </cell>
          <cell r="AD301" t="str">
            <v>CMQ_TTE - QUILMES TTE</v>
          </cell>
          <cell r="AE301" t="str">
            <v>CMQ_TTE - QUILMES TTE</v>
          </cell>
          <cell r="AF301" t="str">
            <v>CMQ_TTE - QUILMES TTE</v>
          </cell>
          <cell r="AG301" t="str">
            <v>CMQ_TTE - QUILMES TTE</v>
          </cell>
          <cell r="AH301" t="str">
            <v>CMQ_TTE - QUILMES TTE</v>
          </cell>
          <cell r="AI301" t="str">
            <v>CMQ_TTE - QUILMES TTE</v>
          </cell>
          <cell r="AJ301" t="str">
            <v>CMQ_TTE - QUILMES TTE</v>
          </cell>
          <cell r="AK301" t="str">
            <v>CMQ_TTE - QUILMES TTE</v>
          </cell>
          <cell r="AL301" t="str">
            <v>CMQ_TTE - QUILMES TTE</v>
          </cell>
          <cell r="AM301" t="str">
            <v>CMQ_TTE - QUILMES TTE</v>
          </cell>
          <cell r="AN301" t="str">
            <v>CMQ_TTE - QUILMES TTE</v>
          </cell>
          <cell r="AO301" t="str">
            <v>CMQ_TTE - QUILMES TTE</v>
          </cell>
          <cell r="AP301" t="str">
            <v>CMQ_TTE - QUILMES TTE</v>
          </cell>
          <cell r="AQ301" t="str">
            <v>CMQ_TTE - QUILMES TTE</v>
          </cell>
          <cell r="AR301" t="str">
            <v>CMQ_TTE - QUILMES TTE</v>
          </cell>
          <cell r="AS301" t="str">
            <v>CMQ_TTE - QUILMES TTE</v>
          </cell>
          <cell r="AT301" t="str">
            <v>CMQ_TTE - QUILMES TTE</v>
          </cell>
          <cell r="AU301" t="str">
            <v>CMQ_TTE - QUILMES TTE</v>
          </cell>
          <cell r="AV301" t="str">
            <v>CMQ_TTE - QUILMES TTE</v>
          </cell>
          <cell r="AW301" t="str">
            <v>CMQ_TTE - QUILMES TTE</v>
          </cell>
          <cell r="AX301" t="str">
            <v>CMQ_TTE - QUILMES TTE</v>
          </cell>
          <cell r="AY301" t="str">
            <v>CMQ_TTE - QUILMES TTE</v>
          </cell>
          <cell r="AZ301" t="str">
            <v>CMQ_TTE - QUILMES TTE</v>
          </cell>
          <cell r="BA301" t="str">
            <v>CMQ_TTE - QUILMES TTE</v>
          </cell>
          <cell r="BB301" t="str">
            <v>CMQ_TTE - QUILMES TTE</v>
          </cell>
          <cell r="BC301" t="str">
            <v>CMQ_TTE - QUILMES TTE</v>
          </cell>
          <cell r="BD301" t="str">
            <v>CMQ_TTE - QUILMES TTE</v>
          </cell>
          <cell r="BE301" t="str">
            <v>CMQ_TTE - QUILMES TTE</v>
          </cell>
          <cell r="BF301" t="str">
            <v>CMQ_TTE - QUILMES TTE</v>
          </cell>
          <cell r="BG301" t="str">
            <v>CMQ_TTE - QUILMES TTE</v>
          </cell>
          <cell r="BH301" t="str">
            <v>CMQ_TTE - QUILMES TTE</v>
          </cell>
          <cell r="BI301" t="str">
            <v>CMQ_TTE - QUILMES TTE</v>
          </cell>
          <cell r="BJ301" t="str">
            <v>CMQ_TTE - QUILMES TTE</v>
          </cell>
          <cell r="BK301" t="str">
            <v>CMQ_TTE - QUILMES TTE</v>
          </cell>
          <cell r="BL301" t="str">
            <v>CMQ_TTE - QUILMES TTE</v>
          </cell>
          <cell r="BM301" t="str">
            <v>CMQ_TTE - QUILMES TTE</v>
          </cell>
          <cell r="BN301" t="str">
            <v>CMQ_TTE - QUILMES TTE</v>
          </cell>
          <cell r="BO301" t="str">
            <v>CMQ_TTE - QUILMES TTE</v>
          </cell>
          <cell r="BP301" t="str">
            <v>CMQ_TTE - QUILMES TTE</v>
          </cell>
          <cell r="BQ301" t="str">
            <v>CMQ_TTE - QUILMES TTE</v>
          </cell>
          <cell r="BR301" t="str">
            <v>CMQ_TTE - QUILMES TTE</v>
          </cell>
          <cell r="BS301" t="str">
            <v>CMQ_TTE - QUILMES TTE</v>
          </cell>
          <cell r="BT301" t="str">
            <v>CMQ_TTE - QUILMES TTE</v>
          </cell>
          <cell r="BU301" t="str">
            <v>CMQ_TTE - QUILMES TTE</v>
          </cell>
          <cell r="BV301" t="str">
            <v>CMQ_TTE - QUILMES TTE</v>
          </cell>
          <cell r="BW301" t="str">
            <v>CMQ_TTE - QUILMES TTE</v>
          </cell>
          <cell r="BX301" t="str">
            <v>CMQ_TTE - QUILMES TTE</v>
          </cell>
          <cell r="BY301" t="str">
            <v>CMQ_TTE - QUILMES TTE</v>
          </cell>
          <cell r="BZ301" t="str">
            <v>CMQ_TTE - QUILMES TTE</v>
          </cell>
          <cell r="CA301" t="str">
            <v>CMQ_TTE - QUILMES TTE</v>
          </cell>
          <cell r="CB301" t="str">
            <v>CMQ_TTE - QUILMES TTE</v>
          </cell>
          <cell r="CC301" t="str">
            <v>CMQ_TTE - QUILMES TTE</v>
          </cell>
          <cell r="CD301" t="str">
            <v>CMQ_TTE - QUILMES TTE</v>
          </cell>
          <cell r="CE301" t="str">
            <v>CMQ_TTE - QUILMES TTE</v>
          </cell>
          <cell r="CF301" t="str">
            <v>CMQ_TTE - QUILMES TTE</v>
          </cell>
          <cell r="CG301" t="str">
            <v>CMQ_TTE - QUILMES TTE</v>
          </cell>
          <cell r="CH301" t="str">
            <v>CMQ_TTE - QUILMES TTE</v>
          </cell>
          <cell r="CI301" t="str">
            <v>CMQ_TTE - QUILMES TTE</v>
          </cell>
          <cell r="CJ301" t="str">
            <v>CMQ_TTE - QUILMES TTE</v>
          </cell>
          <cell r="CK301" t="str">
            <v>CMQ_TTE - QUILMES TTE</v>
          </cell>
          <cell r="CL301" t="str">
            <v>CMQ_TTE - QUILMES TTE</v>
          </cell>
          <cell r="CM301" t="str">
            <v>CMQ_TTE - QUILMES TTE</v>
          </cell>
          <cell r="CN301" t="str">
            <v>CMQ_TTE - QUILMES TTE</v>
          </cell>
          <cell r="CO301" t="str">
            <v>CMQ_TTE - QUILMES TTE</v>
          </cell>
          <cell r="CP301" t="str">
            <v>CMQ_TTE - QUILMES TTE</v>
          </cell>
          <cell r="CQ301" t="str">
            <v>Sin Operación</v>
          </cell>
          <cell r="CR301" t="str">
            <v>Sin Operación</v>
          </cell>
          <cell r="CS301" t="str">
            <v>Sin Operación</v>
          </cell>
          <cell r="CT301" t="str">
            <v>Sin Operación</v>
          </cell>
          <cell r="CU301" t="str">
            <v>Sin Operación</v>
          </cell>
          <cell r="CV301" t="str">
            <v>Sin Operación</v>
          </cell>
          <cell r="CW301" t="str">
            <v>Sin Operación</v>
          </cell>
        </row>
        <row r="302">
          <cell r="D302" t="str">
            <v>JYQ969</v>
          </cell>
          <cell r="E302" t="str">
            <v>Chasis</v>
          </cell>
          <cell r="F302" t="str">
            <v>Chasis</v>
          </cell>
          <cell r="G302" t="str">
            <v>Chasis</v>
          </cell>
          <cell r="N302" t="str">
            <v>TDU</v>
          </cell>
          <cell r="O302" t="str">
            <v>TDU</v>
          </cell>
          <cell r="P302" t="str">
            <v>No</v>
          </cell>
          <cell r="Q302" t="str">
            <v>Propio</v>
          </cell>
          <cell r="R302">
            <v>12</v>
          </cell>
          <cell r="S302" t="str">
            <v>Propio</v>
          </cell>
          <cell r="T302" t="str">
            <v>MERCEDES BENZ</v>
          </cell>
          <cell r="U302" t="str">
            <v>ATEGO 1418/48 FRONTAL</v>
          </cell>
          <cell r="V302" t="str">
            <v>904967U0930264</v>
          </cell>
          <cell r="W302" t="str">
            <v>9BM958034BB776141</v>
          </cell>
          <cell r="X302">
            <v>2011</v>
          </cell>
          <cell r="Y302">
            <v>15</v>
          </cell>
          <cell r="Z302" t="str">
            <v>TDU</v>
          </cell>
          <cell r="AA302" t="str">
            <v>CMQ_TTE - QUILMES TTE</v>
          </cell>
          <cell r="AB302" t="str">
            <v>CMQ_TTE - QUILMES TTE</v>
          </cell>
          <cell r="AC302" t="str">
            <v>CMQ_TTE - QUILMES TTE</v>
          </cell>
          <cell r="AD302" t="str">
            <v>CMQ_TTE - QUILMES TTE</v>
          </cell>
          <cell r="AE302" t="str">
            <v>CMQ_TTE - QUILMES TTE</v>
          </cell>
          <cell r="AF302" t="str">
            <v>CMQ_TTE - QUILMES TTE</v>
          </cell>
          <cell r="AG302" t="str">
            <v>CMQ_TTE - QUILMES TTE</v>
          </cell>
          <cell r="AH302" t="str">
            <v>CMQ_TTE - QUILMES TTE</v>
          </cell>
          <cell r="AI302" t="str">
            <v>CMQ_TTE - QUILMES TTE</v>
          </cell>
          <cell r="AJ302" t="str">
            <v>CMQ_TTE - QUILMES TTE</v>
          </cell>
          <cell r="AK302" t="str">
            <v>CMQ_TTE - QUILMES TTE</v>
          </cell>
          <cell r="AL302" t="str">
            <v>CMQ_TTE - QUILMES TTE</v>
          </cell>
          <cell r="AM302" t="str">
            <v>CMQ_TTE - QUILMES TTE</v>
          </cell>
          <cell r="AN302" t="str">
            <v>CMQ_TTE - QUILMES TTE</v>
          </cell>
          <cell r="AO302" t="str">
            <v>CMQ_TTE - QUILMES TTE</v>
          </cell>
          <cell r="AP302" t="str">
            <v>CMQ_TTE - QUILMES TTE</v>
          </cell>
          <cell r="AQ302" t="str">
            <v>CMQ_TTE - QUILMES TTE</v>
          </cell>
          <cell r="AR302" t="str">
            <v>CMQ_TTE - QUILMES TTE</v>
          </cell>
          <cell r="AS302" t="str">
            <v>CMQ_TTE - QUILMES TTE</v>
          </cell>
          <cell r="AT302" t="str">
            <v>CMQ_TTE - QUILMES TTE</v>
          </cell>
          <cell r="AU302" t="str">
            <v>CMQ_TTE - QUILMES TTE</v>
          </cell>
          <cell r="AV302" t="str">
            <v>CMQ_TTE - QUILMES TTE</v>
          </cell>
          <cell r="AW302" t="str">
            <v>CMQ_TTE - QUILMES TTE</v>
          </cell>
          <cell r="AX302" t="str">
            <v>CMQ_TTE - QUILMES TTE</v>
          </cell>
          <cell r="AY302" t="str">
            <v>CMQ_TTE - QUILMES TTE</v>
          </cell>
          <cell r="AZ302" t="str">
            <v>CMQ_TTE - QUILMES TTE</v>
          </cell>
          <cell r="BA302" t="str">
            <v>CMQ_TTE - QUILMES TTE</v>
          </cell>
          <cell r="BB302" t="str">
            <v>CMQ_TTE - QUILMES TTE</v>
          </cell>
          <cell r="BC302" t="str">
            <v>CMQ_TTE - QUILMES TTE</v>
          </cell>
          <cell r="BD302" t="str">
            <v>CMQ_TTE - QUILMES TTE</v>
          </cell>
          <cell r="BE302" t="str">
            <v>CMQ_TTE - QUILMES TTE</v>
          </cell>
          <cell r="BF302" t="str">
            <v>CMQ_TTE - QUILMES TTE</v>
          </cell>
          <cell r="BG302" t="str">
            <v>CMQ_TTE - QUILMES TTE</v>
          </cell>
          <cell r="BH302" t="str">
            <v>CMQ_TTE - QUILMES TTE</v>
          </cell>
          <cell r="BI302" t="str">
            <v>CMQ_TTE - QUILMES TTE</v>
          </cell>
          <cell r="BJ302" t="str">
            <v>CMQ_TTE - QUILMES TTE</v>
          </cell>
          <cell r="BK302" t="str">
            <v>CMQ_TTE - QUILMES TTE</v>
          </cell>
          <cell r="BL302" t="str">
            <v>CMQ_TTE - QUILMES TTE</v>
          </cell>
          <cell r="BM302" t="str">
            <v>CMQ_TTE - QUILMES TTE</v>
          </cell>
          <cell r="BN302" t="str">
            <v>CMQ_TTE - QUILMES TTE</v>
          </cell>
          <cell r="BO302" t="str">
            <v>CMQ_TTE - QUILMES TTE</v>
          </cell>
          <cell r="BP302" t="str">
            <v>CMQ_TTE - QUILMES TTE</v>
          </cell>
          <cell r="BQ302" t="str">
            <v>CMQ_TTE - QUILMES TTE</v>
          </cell>
          <cell r="BR302" t="str">
            <v>CMQ_TTE - QUILMES TTE</v>
          </cell>
          <cell r="BS302" t="str">
            <v>CMQ_TTE - QUILMES TTE</v>
          </cell>
          <cell r="BT302" t="str">
            <v>CMQ_TTE - QUILMES TTE</v>
          </cell>
          <cell r="BU302" t="str">
            <v>CMQ_TTE - QUILMES TTE</v>
          </cell>
          <cell r="BV302" t="str">
            <v>CMQ_TTE - QUILMES TTE</v>
          </cell>
          <cell r="BW302" t="str">
            <v>CMQ_TTE - QUILMES TTE</v>
          </cell>
          <cell r="BX302" t="str">
            <v>Sin Operación</v>
          </cell>
          <cell r="BY302" t="str">
            <v>CMQ_TTE - QUILMES TTE</v>
          </cell>
          <cell r="BZ302" t="str">
            <v>CMQ_TTE - QUILMES TTE</v>
          </cell>
          <cell r="CA302" t="str">
            <v>Sin Operación</v>
          </cell>
          <cell r="CB302" t="str">
            <v>Sin Operación</v>
          </cell>
          <cell r="CC302" t="str">
            <v>Sin Operación</v>
          </cell>
          <cell r="CD302" t="str">
            <v>Sin Operación</v>
          </cell>
          <cell r="CE302" t="str">
            <v>CCU_MZA - Comp. Cerv. Unidas - MZA</v>
          </cell>
          <cell r="CF302" t="str">
            <v>CCU_MZA - Comp. Cerv. Unidas - MZA</v>
          </cell>
          <cell r="CG302" t="str">
            <v>CCU_MZA - Comp. Cerv. Unidas - MZA</v>
          </cell>
          <cell r="CH302" t="str">
            <v>CCU_MZA - Comp. Cerv. Unidas - MZA</v>
          </cell>
          <cell r="CI302" t="str">
            <v>CCU_MZA - Comp. Cerv. Unidas - MZA</v>
          </cell>
          <cell r="CJ302" t="str">
            <v>CCU_MZA - Comp. Cerv. Unidas - MZA</v>
          </cell>
          <cell r="CK302" t="str">
            <v>CCU_MZA - Comp. Cerv. Unidas - MZA</v>
          </cell>
          <cell r="CL302" t="str">
            <v>CCU_MZA - Comp. Cerv. Unidas - MZA</v>
          </cell>
          <cell r="CM302" t="str">
            <v>CCU_MZA - Comp. Cerv. Unidas - MZA</v>
          </cell>
          <cell r="CN302" t="str">
            <v>CCU_MZA - Comp. Cerv. Unidas - MZA</v>
          </cell>
          <cell r="CO302" t="str">
            <v>CCU_MZA - Comp. Cerv. Unidas - MZA</v>
          </cell>
          <cell r="CP302" t="str">
            <v>CCU_MZA - Comp. Cerv. Unidas - MZA</v>
          </cell>
          <cell r="CQ302" t="str">
            <v>CCU_MZA - Comp. Cerv. Unidas - MZA</v>
          </cell>
          <cell r="CR302" t="str">
            <v>Sin Operación</v>
          </cell>
          <cell r="CS302" t="str">
            <v>Sin Operación</v>
          </cell>
          <cell r="CT302" t="str">
            <v>Sin Operación</v>
          </cell>
          <cell r="CU302" t="str">
            <v>Sin Operación</v>
          </cell>
          <cell r="CV302" t="str">
            <v>Sin Operación</v>
          </cell>
          <cell r="CW302" t="str">
            <v>CCUCoAZA</v>
          </cell>
        </row>
        <row r="303">
          <cell r="D303" t="str">
            <v>KAU644</v>
          </cell>
          <cell r="E303" t="str">
            <v>Tractor</v>
          </cell>
          <cell r="F303">
            <v>0</v>
          </cell>
          <cell r="G303" t="str">
            <v>Tractor</v>
          </cell>
          <cell r="N303" t="str">
            <v>LUCONI DAMIAN EUGENIO</v>
          </cell>
          <cell r="O303" t="str">
            <v>LUCONI DAMIAN EUGENIO</v>
          </cell>
          <cell r="P303" t="str">
            <v>No</v>
          </cell>
          <cell r="Q303" t="str">
            <v>Alquilados</v>
          </cell>
          <cell r="R303" t="str">
            <v>-</v>
          </cell>
          <cell r="S303" t="str">
            <v>Alquilados</v>
          </cell>
          <cell r="T303" t="str">
            <v>FIAT</v>
          </cell>
          <cell r="U303" t="str">
            <v>IVECO</v>
          </cell>
          <cell r="V303">
            <v>2012</v>
          </cell>
          <cell r="W303">
            <v>14</v>
          </cell>
          <cell r="X303">
            <v>2012</v>
          </cell>
          <cell r="Y303">
            <v>14</v>
          </cell>
          <cell r="Z303" t="str">
            <v>Malargue</v>
          </cell>
          <cell r="AA303" t="str">
            <v>Expreso - Servicios Troncales</v>
          </cell>
          <cell r="AB303" t="str">
            <v>Expreso - Servicios Troncales</v>
          </cell>
          <cell r="AC303" t="str">
            <v>Expreso - Servicios Troncales</v>
          </cell>
          <cell r="AD303" t="str">
            <v>Expreso - Servicios Troncales</v>
          </cell>
          <cell r="AE303" t="str">
            <v>Expreso - Servicios Troncales</v>
          </cell>
          <cell r="AF303" t="str">
            <v>Expreso - Servicios Troncales</v>
          </cell>
          <cell r="AG303" t="str">
            <v>Expreso - Servicios Troncales</v>
          </cell>
          <cell r="AH303" t="str">
            <v>Expreso - Servicios Troncales</v>
          </cell>
          <cell r="AI303" t="str">
            <v>Expreso - Servicios Troncales</v>
          </cell>
          <cell r="AJ303" t="str">
            <v>Expreso - Servicios Troncales</v>
          </cell>
          <cell r="AK303" t="str">
            <v>Expreso - Servicios Troncales</v>
          </cell>
          <cell r="AL303" t="str">
            <v>Expreso - Servicios Troncales</v>
          </cell>
          <cell r="AM303" t="str">
            <v>Expreso - Servicios Troncales</v>
          </cell>
          <cell r="AN303" t="str">
            <v>Expreso - Servicios Troncales</v>
          </cell>
          <cell r="AO303" t="str">
            <v>Expreso - Servicios Troncales</v>
          </cell>
          <cell r="AP303" t="str">
            <v>Expreso - Servicios Troncales</v>
          </cell>
          <cell r="AQ303" t="str">
            <v>Expreso - Servicios Troncales</v>
          </cell>
          <cell r="AR303" t="str">
            <v>Expreso - Servicios Troncales</v>
          </cell>
          <cell r="AS303" t="str">
            <v>Expreso - Servicios Troncales</v>
          </cell>
          <cell r="AT303" t="str">
            <v>Expreso - Servicios Troncales</v>
          </cell>
          <cell r="AU303" t="str">
            <v>Expreso - Servicios Troncales</v>
          </cell>
          <cell r="AV303" t="str">
            <v>Expreso - Servicios Troncales</v>
          </cell>
          <cell r="AW303" t="str">
            <v>Expreso - Servicios Troncales</v>
          </cell>
          <cell r="AX303" t="str">
            <v>Expreso - Servicios Troncales</v>
          </cell>
          <cell r="AY303" t="str">
            <v>Expreso - Servicios Troncales</v>
          </cell>
          <cell r="AZ303" t="str">
            <v>Expreso - Servicios Troncales</v>
          </cell>
          <cell r="BA303" t="str">
            <v>Expreso - Servicios Troncales</v>
          </cell>
          <cell r="BB303" t="str">
            <v>Expreso - Servicios Troncales</v>
          </cell>
          <cell r="BC303" t="str">
            <v>Expreso - Servicios Troncales</v>
          </cell>
          <cell r="BD303" t="str">
            <v>SUC_MEN - Sucursal Mendoza</v>
          </cell>
          <cell r="BE303" t="str">
            <v>SUC_MEN - Sucursal Mendoza</v>
          </cell>
          <cell r="BF303" t="str">
            <v>SUC_MEN - Sucursal Mendoza</v>
          </cell>
          <cell r="BG303" t="str">
            <v>SUC_MEN - Sucursal Mendoza</v>
          </cell>
          <cell r="BH303" t="str">
            <v>SUC_MEN - Sucursal Mendoza</v>
          </cell>
          <cell r="BI303" t="str">
            <v>SUC_MEN - Sucursal Mendoza</v>
          </cell>
          <cell r="BJ303" t="str">
            <v>SUC_MEN - Sucursal Mendoza</v>
          </cell>
          <cell r="BK303" t="str">
            <v>SUC_MEN - Sucursal Mendoza</v>
          </cell>
          <cell r="BL303" t="str">
            <v>SUC_MEN - Sucursal Mendoza</v>
          </cell>
          <cell r="BM303" t="str">
            <v>SUC_MEN - Sucursal Mendoza</v>
          </cell>
          <cell r="BN303" t="str">
            <v>SUC_MEN - Sucursal Mendoza</v>
          </cell>
          <cell r="BO303" t="str">
            <v>SUC_MEN - Sucursal Mendoza</v>
          </cell>
          <cell r="BP303" t="str">
            <v>SUC_MEN - Sucursal Mendoza</v>
          </cell>
          <cell r="BQ303" t="str">
            <v>SUC_MEN - Sucursal Mendoza</v>
          </cell>
          <cell r="BR303" t="str">
            <v>SUC_MEN - Sucursal Mendoza</v>
          </cell>
          <cell r="BS303" t="str">
            <v>SUC_MEN - Sucursal Mendoza</v>
          </cell>
          <cell r="BT303" t="str">
            <v>SUC_MEN - Sucursal Mendoza</v>
          </cell>
          <cell r="BU303" t="str">
            <v>SUC_MEN - Sucursal Mendoza</v>
          </cell>
          <cell r="BV303" t="str">
            <v>SUC_MEN - Sucursal Mendoza</v>
          </cell>
          <cell r="BW303" t="str">
            <v>SUC_MEN - Sucursal Mendoza</v>
          </cell>
          <cell r="BX303" t="str">
            <v>SUC_MEN - Sucursal Mendoza</v>
          </cell>
          <cell r="BY303" t="str">
            <v>SUC_MEN - Sucursal Mendoza</v>
          </cell>
          <cell r="BZ303" t="str">
            <v>SUC_MEN - Sucursal Mendoza</v>
          </cell>
          <cell r="CA303" t="str">
            <v>SUC_MEN - Sucursal Mendoza</v>
          </cell>
          <cell r="CB303" t="str">
            <v>SUC_MEN - Sucursal Mendoza</v>
          </cell>
          <cell r="CC303" t="str">
            <v>SUC_MEN - Sucursal Mendoza</v>
          </cell>
          <cell r="CD303" t="str">
            <v>SUC_MEN - Sucursal Mendoza</v>
          </cell>
          <cell r="CE303" t="str">
            <v>SUC_MEN - Sucursal Mendoza</v>
          </cell>
          <cell r="CF303" t="str">
            <v>SUC_MEN - Sucursal Mendoza</v>
          </cell>
          <cell r="CG303" t="str">
            <v>SUC_MEN - Sucursal Mendoza</v>
          </cell>
          <cell r="CH303" t="str">
            <v>INACTIVO</v>
          </cell>
          <cell r="CI303" t="str">
            <v>INACTIVO</v>
          </cell>
          <cell r="CJ303" t="str">
            <v>INACTIVO</v>
          </cell>
          <cell r="CK303" t="str">
            <v>INACTIVO</v>
          </cell>
          <cell r="CL303" t="str">
            <v>INACTIVO</v>
          </cell>
          <cell r="CM303" t="str">
            <v>INACTIVO</v>
          </cell>
          <cell r="CN303" t="str">
            <v>INACTIVO</v>
          </cell>
          <cell r="CO303" t="str">
            <v>INACTIVO</v>
          </cell>
          <cell r="CP303" t="str">
            <v>INACTIVO</v>
          </cell>
          <cell r="CQ303" t="str">
            <v>INACTIVO</v>
          </cell>
          <cell r="CR303" t="str">
            <v>BAJA</v>
          </cell>
          <cell r="CS303" t="str">
            <v>BAJA</v>
          </cell>
          <cell r="CT303" t="str">
            <v>BAJA</v>
          </cell>
          <cell r="CU303" t="str">
            <v>BAJA</v>
          </cell>
          <cell r="CV303" t="str">
            <v>BAJA</v>
          </cell>
          <cell r="CW303" t="str">
            <v>BAJA</v>
          </cell>
        </row>
        <row r="304">
          <cell r="D304" t="str">
            <v>KAV644</v>
          </cell>
          <cell r="E304" t="str">
            <v>Chasis</v>
          </cell>
          <cell r="F304" t="str">
            <v>Chasis</v>
          </cell>
          <cell r="G304" t="str">
            <v>Chasis</v>
          </cell>
          <cell r="N304" t="str">
            <v>TDU</v>
          </cell>
          <cell r="O304" t="str">
            <v>TDU</v>
          </cell>
          <cell r="P304" t="str">
            <v>No</v>
          </cell>
          <cell r="Q304" t="str">
            <v>Propio</v>
          </cell>
          <cell r="R304">
            <v>12</v>
          </cell>
          <cell r="S304" t="str">
            <v>Propio</v>
          </cell>
          <cell r="T304" t="str">
            <v>MERCEDES BENZ</v>
          </cell>
          <cell r="U304" t="str">
            <v>ATEGO 1418/48 FRONTAL</v>
          </cell>
          <cell r="V304" t="str">
            <v>904967U0931037</v>
          </cell>
          <cell r="W304" t="str">
            <v>9BM958034BB777100</v>
          </cell>
          <cell r="X304">
            <v>2011</v>
          </cell>
          <cell r="Y304">
            <v>15</v>
          </cell>
          <cell r="Z304" t="str">
            <v>TDU</v>
          </cell>
          <cell r="AA304" t="str">
            <v>CMQ_TTE - QUILMES TTE</v>
          </cell>
          <cell r="AB304" t="str">
            <v>CMQ_TTE - QUILMES TTE</v>
          </cell>
          <cell r="AC304" t="str">
            <v>CMQ_TTE - QUILMES TTE</v>
          </cell>
          <cell r="AD304" t="str">
            <v>CMQ_TTE - QUILMES TTE</v>
          </cell>
          <cell r="AE304" t="str">
            <v>CMQ_TTE - QUILMES TTE</v>
          </cell>
          <cell r="AF304" t="str">
            <v>CMQ_TTE - QUILMES TTE</v>
          </cell>
          <cell r="AG304" t="str">
            <v>CMQ_TTE - QUILMES TTE</v>
          </cell>
          <cell r="AH304" t="str">
            <v>CMQ_TTE - QUILMES TTE</v>
          </cell>
          <cell r="AI304" t="str">
            <v>CMQ_TTE - QUILMES TTE</v>
          </cell>
          <cell r="AJ304" t="str">
            <v>CMQ_TTE - QUILMES TTE</v>
          </cell>
          <cell r="AK304" t="str">
            <v>CMQ_TTE - QUILMES TTE</v>
          </cell>
          <cell r="AL304" t="str">
            <v>CMQ_TTE - QUILMES TTE</v>
          </cell>
          <cell r="AM304" t="str">
            <v>CMQ_TTE - QUILMES TTE</v>
          </cell>
          <cell r="AN304" t="str">
            <v>CMQ_TTE - QUILMES TTE</v>
          </cell>
          <cell r="AO304" t="str">
            <v>CMQ_TTE - QUILMES TTE</v>
          </cell>
          <cell r="AP304" t="str">
            <v>CMQ_TTE - QUILMES TTE</v>
          </cell>
          <cell r="AQ304" t="str">
            <v>CMQ_TTE - QUILMES TTE</v>
          </cell>
          <cell r="AR304" t="str">
            <v>CMQ_TTE - QUILMES TTE</v>
          </cell>
          <cell r="AS304" t="str">
            <v>CMQ_TTE - QUILMES TTE</v>
          </cell>
          <cell r="AT304" t="str">
            <v>CMQ_TTE - QUILMES TTE</v>
          </cell>
          <cell r="AU304" t="str">
            <v>CMQ_TTE - QUILMES TTE</v>
          </cell>
          <cell r="AV304" t="str">
            <v>CMQ_TTE - QUILMES TTE</v>
          </cell>
          <cell r="AW304" t="str">
            <v>ADA_Mino - Danone Arg. S.A. - Mino</v>
          </cell>
          <cell r="AX304" t="str">
            <v>ADA_Mino - Danone Arg. S.A. - Mino</v>
          </cell>
          <cell r="AY304" t="str">
            <v>ADA_Mino - Danone Arg. S.A. - Mino</v>
          </cell>
          <cell r="AZ304" t="str">
            <v>ADA_Mino - Danone Arg. S.A. - Mino</v>
          </cell>
          <cell r="BA304" t="str">
            <v>ADA_Mino - Danone Arg. S.A. - Mino</v>
          </cell>
          <cell r="BB304" t="str">
            <v>ADA_Mino - Danone Arg. S.A. - Mino</v>
          </cell>
          <cell r="BC304" t="str">
            <v>ADA_Mino - Danone Arg. S.A. - Mino</v>
          </cell>
          <cell r="BD304" t="str">
            <v>ADA_Mino - Danone Arg. S.A. - Mino</v>
          </cell>
          <cell r="BE304" t="str">
            <v>ADA_Mino - Danone Arg. S.A. - Mino</v>
          </cell>
          <cell r="BF304" t="str">
            <v>ADA_Mino - Danone Arg. S.A. - Mino</v>
          </cell>
          <cell r="BG304" t="str">
            <v>ADA_Mino - Danone Arg. S.A. - Mino</v>
          </cell>
          <cell r="BH304" t="str">
            <v>ADA_Mino - Danone Arg. S.A. - Mino</v>
          </cell>
          <cell r="BI304" t="str">
            <v>ADA_Mino - Danone Arg. S.A. - Mino</v>
          </cell>
          <cell r="BJ304" t="str">
            <v>ADA_Mino - Danone Arg. S.A. - Mino</v>
          </cell>
          <cell r="BK304" t="str">
            <v>ADA_Mino - Danone Arg. S.A. - Mino</v>
          </cell>
          <cell r="BL304" t="str">
            <v>ADA_Mino - Danone Arg. S.A. - Mino</v>
          </cell>
          <cell r="BM304" t="str">
            <v>ADA_Mino - Danone Arg. S.A. - Mino</v>
          </cell>
          <cell r="BN304" t="str">
            <v>ADA_Mino - Danone Arg. S.A. - Mino</v>
          </cell>
          <cell r="BO304" t="str">
            <v>ADA_Mino - Danone Arg. S.A. - Mino</v>
          </cell>
          <cell r="BP304" t="str">
            <v>ADA_Mino - Danone Arg. S.A. - Mino</v>
          </cell>
          <cell r="BQ304" t="str">
            <v>ADA_Mino - Danone Arg. S.A. - Mino</v>
          </cell>
          <cell r="BR304" t="str">
            <v>ADA_Mino - Danone Arg. S.A. - Mino</v>
          </cell>
          <cell r="BS304" t="str">
            <v>ADA_Mino - Danone Arg. S.A. - Mino</v>
          </cell>
          <cell r="BT304" t="str">
            <v>ADA_Mino - Danone Arg. S.A. - Mino</v>
          </cell>
          <cell r="BU304" t="str">
            <v>CCUCoAZA</v>
          </cell>
          <cell r="BV304" t="str">
            <v>CCUCoAZA</v>
          </cell>
          <cell r="BW304" t="str">
            <v>CCUCoAZA</v>
          </cell>
          <cell r="BX304" t="str">
            <v>CCUCoAZA</v>
          </cell>
          <cell r="BY304" t="str">
            <v>CCUCoAZA</v>
          </cell>
          <cell r="BZ304" t="str">
            <v>CCUCoAZA</v>
          </cell>
          <cell r="CA304" t="str">
            <v>CCUCoAZA</v>
          </cell>
          <cell r="CB304" t="str">
            <v>CCUCoAZA</v>
          </cell>
          <cell r="CC304" t="str">
            <v>CCUCoAZA</v>
          </cell>
          <cell r="CD304" t="str">
            <v>CCUCoAZA</v>
          </cell>
          <cell r="CE304" t="str">
            <v>CCUCoAZA</v>
          </cell>
          <cell r="CF304" t="str">
            <v>CCUCoAZA</v>
          </cell>
          <cell r="CG304" t="str">
            <v>CCUCoAZA</v>
          </cell>
          <cell r="CH304" t="str">
            <v>CCUCoAZA</v>
          </cell>
          <cell r="CI304" t="str">
            <v>CCUCoAZA</v>
          </cell>
          <cell r="CJ304" t="str">
            <v>CCUCoAZA</v>
          </cell>
          <cell r="CK304" t="str">
            <v>CCUCoAZA</v>
          </cell>
          <cell r="CL304" t="str">
            <v>CCUCoAZA</v>
          </cell>
          <cell r="CM304" t="str">
            <v>CCUCoAZA</v>
          </cell>
          <cell r="CN304" t="str">
            <v>CCUCoAZA</v>
          </cell>
          <cell r="CO304" t="str">
            <v>CCUCoAZA</v>
          </cell>
          <cell r="CP304" t="str">
            <v>CCUCoAZA</v>
          </cell>
          <cell r="CQ304" t="str">
            <v>CCUCoAZA</v>
          </cell>
          <cell r="CR304" t="str">
            <v>CCUCoAZA</v>
          </cell>
          <cell r="CS304" t="str">
            <v>CCUCoAZA</v>
          </cell>
          <cell r="CT304" t="str">
            <v>CCUCoAZA</v>
          </cell>
          <cell r="CU304" t="str">
            <v>CCUCoAZA</v>
          </cell>
          <cell r="CV304" t="str">
            <v>CCUCoAZA</v>
          </cell>
          <cell r="CW304" t="str">
            <v>CCUCoAZA</v>
          </cell>
        </row>
        <row r="305">
          <cell r="D305" t="str">
            <v>KBO540</v>
          </cell>
          <cell r="E305" t="str">
            <v>Chasis</v>
          </cell>
          <cell r="F305" t="str">
            <v>Chasis</v>
          </cell>
          <cell r="G305" t="str">
            <v>Chasis</v>
          </cell>
          <cell r="N305" t="str">
            <v>TDU</v>
          </cell>
          <cell r="O305" t="str">
            <v>TDU</v>
          </cell>
          <cell r="P305" t="str">
            <v>No</v>
          </cell>
          <cell r="Q305" t="str">
            <v>Propio</v>
          </cell>
          <cell r="R305">
            <v>12</v>
          </cell>
          <cell r="S305" t="str">
            <v>Propio</v>
          </cell>
          <cell r="T305" t="str">
            <v>MERCEDES BENZ</v>
          </cell>
          <cell r="U305" t="str">
            <v>L-1318</v>
          </cell>
          <cell r="V305" t="str">
            <v>904976U0925823</v>
          </cell>
          <cell r="W305" t="str">
            <v>9BM694000BB770703</v>
          </cell>
          <cell r="X305">
            <v>2011</v>
          </cell>
          <cell r="Y305">
            <v>15</v>
          </cell>
          <cell r="Z305" t="str">
            <v>TDU</v>
          </cell>
          <cell r="AA305" t="str">
            <v>CMQ_TTE - QUILMES TTE</v>
          </cell>
          <cell r="AB305" t="str">
            <v>CMQ_TTE - QUILMES TTE</v>
          </cell>
          <cell r="AC305" t="str">
            <v>CMQ_TTE - QUILMES TTE</v>
          </cell>
          <cell r="AD305" t="str">
            <v>CMQ_TTE - QUILMES TTE</v>
          </cell>
          <cell r="AE305" t="str">
            <v>CMQ_TTE - QUILMES TTE</v>
          </cell>
          <cell r="AF305" t="str">
            <v>CMQ_TTE - QUILMES TTE</v>
          </cell>
          <cell r="AG305" t="str">
            <v>CMQ_TTE - QUILMES TTE</v>
          </cell>
          <cell r="AH305" t="str">
            <v>CMQ_TTE - QUILMES TTE</v>
          </cell>
          <cell r="AI305" t="str">
            <v>CMQ_TTE - QUILMES TTE</v>
          </cell>
          <cell r="AJ305" t="str">
            <v>CMQ_TTE - QUILMES TTE</v>
          </cell>
          <cell r="AK305" t="str">
            <v>CMQ_TTE - QUILMES TTE</v>
          </cell>
          <cell r="AL305" t="str">
            <v>CMQ_TTE - QUILMES TTE</v>
          </cell>
          <cell r="AM305" t="str">
            <v>CMQ_TTE - QUILMES TTE</v>
          </cell>
          <cell r="AN305" t="str">
            <v>CMQ_TTE - QUILMES TTE</v>
          </cell>
          <cell r="AO305" t="str">
            <v>CMQ_TTE - QUILMES TTE</v>
          </cell>
          <cell r="AP305" t="str">
            <v>CMQ_TTE - QUILMES TTE</v>
          </cell>
          <cell r="AQ305" t="str">
            <v>CMQ_TTE - QUILMES TTE</v>
          </cell>
          <cell r="AR305" t="str">
            <v>CMQ_TTE - QUILMES TTE</v>
          </cell>
          <cell r="AS305" t="str">
            <v>CMQ_TTE - QUILMES TTE</v>
          </cell>
          <cell r="AT305" t="str">
            <v>CMQ_TTE - QUILMES TTE</v>
          </cell>
          <cell r="AU305" t="str">
            <v>CMQ_TTE - QUILMES TTE</v>
          </cell>
          <cell r="AV305" t="str">
            <v>CMQ_TTE - QUILMES TTE</v>
          </cell>
          <cell r="AW305" t="str">
            <v>CMQ_TTE - QUILMES TTE</v>
          </cell>
          <cell r="AX305" t="str">
            <v>CMQ_TTE - QUILMES TTE</v>
          </cell>
          <cell r="AY305" t="str">
            <v>CMQ_TTE - QUILMES TTE</v>
          </cell>
          <cell r="AZ305" t="str">
            <v>CMQ_TTE - QUILMES TTE</v>
          </cell>
          <cell r="BA305" t="str">
            <v>CMQ_TTE - QUILMES TTE</v>
          </cell>
          <cell r="BB305" t="str">
            <v>CMQ_TTE - QUILMES TTE</v>
          </cell>
          <cell r="BC305" t="str">
            <v>CMQ_TTE - QUILMES TTE</v>
          </cell>
          <cell r="BD305" t="str">
            <v>CMQ_TTE - QUILMES TTE</v>
          </cell>
          <cell r="BE305" t="str">
            <v>CMQ_TTE - QUILMES TTE</v>
          </cell>
          <cell r="BF305" t="str">
            <v>CMQ_TTE - QUILMES TTE</v>
          </cell>
          <cell r="BG305" t="str">
            <v>CMQ_TTE - QUILMES TTE</v>
          </cell>
          <cell r="BH305" t="str">
            <v>CMQ_TTE - QUILMES TTE</v>
          </cell>
          <cell r="BI305" t="str">
            <v>CMQ_TTE - QUILMES TTE</v>
          </cell>
          <cell r="BJ305" t="str">
            <v>CMQ_TTE - QUILMES TTE</v>
          </cell>
          <cell r="BK305" t="str">
            <v>CMQ_TTE - QUILMES TTE</v>
          </cell>
          <cell r="BL305" t="str">
            <v>CMQ_TTE - QUILMES TTE</v>
          </cell>
          <cell r="BM305" t="str">
            <v>CMQ_TTE - QUILMES TTE</v>
          </cell>
          <cell r="BN305" t="str">
            <v>AGN_TTE - AGUANORT - Transporte</v>
          </cell>
          <cell r="BO305" t="str">
            <v>AGN_TTE - AGUANORT - Transporte</v>
          </cell>
          <cell r="BP305" t="str">
            <v>AGN_TTE - AGUANORT - Transporte</v>
          </cell>
          <cell r="BQ305" t="str">
            <v>AGN_TTE - AGUANORT - Transporte</v>
          </cell>
          <cell r="BR305" t="str">
            <v>AGN_TTE - AGUANORT - Transporte</v>
          </cell>
          <cell r="BS305" t="str">
            <v>CMQ_TTE - QUILMES TTE</v>
          </cell>
          <cell r="BT305" t="str">
            <v>CMQ_TTE - QUILMES TTE</v>
          </cell>
          <cell r="BU305" t="str">
            <v>CMQ_TTE - QUILMES TTE</v>
          </cell>
          <cell r="BV305" t="str">
            <v>AGN_TTE - AGUANORT - Transporte</v>
          </cell>
          <cell r="BW305" t="str">
            <v>AGN_TTE - AGUANORT - Transporte</v>
          </cell>
          <cell r="BX305" t="str">
            <v>AGN_TTE - AGUANORT - Transporte</v>
          </cell>
          <cell r="BY305" t="str">
            <v>AGN_TTE - AGUANORT - Transporte</v>
          </cell>
          <cell r="BZ305" t="str">
            <v>AGN_TTE - AGUANORT - Transporte</v>
          </cell>
          <cell r="CA305" t="str">
            <v>AGN_TTE - AGUANORT - Transporte</v>
          </cell>
          <cell r="CB305" t="str">
            <v>AGN_TTE - AGUANORT - Transporte</v>
          </cell>
          <cell r="CC305" t="str">
            <v>AGN_TTE - AGUANORT - Transporte</v>
          </cell>
          <cell r="CD305" t="str">
            <v>AGN_TTE - AGUANORT - Transporte</v>
          </cell>
          <cell r="CE305" t="str">
            <v>AGN_TTE - AGUANORT - Transporte</v>
          </cell>
          <cell r="CF305" t="str">
            <v>AGN_TTE - AGUANORT - Transporte</v>
          </cell>
          <cell r="CG305" t="str">
            <v>AGN_TTE - AGUANORT - Transporte</v>
          </cell>
          <cell r="CH305" t="str">
            <v>AGN_TTE - AGUANORT - Transporte</v>
          </cell>
          <cell r="CI305" t="str">
            <v>AGN_TTE - AGUANORT - Transporte</v>
          </cell>
          <cell r="CJ305" t="str">
            <v>AGN_TTE - AGUANORT - Transporte</v>
          </cell>
          <cell r="CK305" t="str">
            <v>AGN_TTE - AGUANORT - Transporte</v>
          </cell>
          <cell r="CL305" t="str">
            <v>AGN_TTE - AGUANORT - Transporte</v>
          </cell>
          <cell r="CM305" t="str">
            <v>AGN_TTE - AGUANORT - Transporte</v>
          </cell>
          <cell r="CN305" t="str">
            <v>AGN_TTE - AGUANORT - Transporte</v>
          </cell>
          <cell r="CO305" t="str">
            <v>AGN_TTE - AGUANORT - Transporte</v>
          </cell>
          <cell r="CP305" t="str">
            <v>AGN_TTE - AGUANORT - Transporte</v>
          </cell>
          <cell r="CQ305" t="str">
            <v>Sin Operación</v>
          </cell>
          <cell r="CR305" t="str">
            <v>Sin Operación</v>
          </cell>
          <cell r="CS305" t="str">
            <v>Sin Operación</v>
          </cell>
          <cell r="CT305" t="str">
            <v>Sin Operación</v>
          </cell>
          <cell r="CU305" t="str">
            <v>Sin Operación</v>
          </cell>
          <cell r="CV305" t="str">
            <v>Sin Operación</v>
          </cell>
          <cell r="CW305" t="str">
            <v>Sin Operación</v>
          </cell>
        </row>
        <row r="306">
          <cell r="D306" t="str">
            <v>KBO541</v>
          </cell>
          <cell r="E306" t="str">
            <v>Chasis</v>
          </cell>
          <cell r="F306" t="str">
            <v>Chasis</v>
          </cell>
          <cell r="G306" t="str">
            <v>Chasis</v>
          </cell>
          <cell r="N306" t="str">
            <v>TDU</v>
          </cell>
          <cell r="O306" t="str">
            <v>TDU</v>
          </cell>
          <cell r="P306" t="str">
            <v>No</v>
          </cell>
          <cell r="Q306" t="str">
            <v>Propio</v>
          </cell>
          <cell r="R306" t="str">
            <v>-</v>
          </cell>
          <cell r="S306" t="str">
            <v>Propio</v>
          </cell>
          <cell r="T306" t="str">
            <v>MERCEDES BENZ</v>
          </cell>
          <cell r="U306" t="str">
            <v>L-1318</v>
          </cell>
          <cell r="V306" t="str">
            <v>904976U0929518</v>
          </cell>
          <cell r="W306" t="str">
            <v>9BM694000BB775355</v>
          </cell>
          <cell r="X306">
            <v>2011</v>
          </cell>
          <cell r="Y306">
            <v>15</v>
          </cell>
          <cell r="Z306" t="str">
            <v>TDU</v>
          </cell>
          <cell r="AA306" t="str">
            <v>CMQ_TTE - QUILMES TTE</v>
          </cell>
          <cell r="AB306" t="str">
            <v>CMQ_TTE - QUILMES TTE</v>
          </cell>
          <cell r="AC306" t="str">
            <v>CMQ_TTE - QUILMES TTE</v>
          </cell>
          <cell r="AD306" t="str">
            <v>CMQ_TTE - QUILMES TTE</v>
          </cell>
          <cell r="AE306" t="str">
            <v>CMQ_TTE - QUILMES TTE</v>
          </cell>
          <cell r="AF306" t="str">
            <v>CMQ_TTE - QUILMES TTE</v>
          </cell>
          <cell r="AG306" t="str">
            <v>CMQ_TTE - QUILMES TTE</v>
          </cell>
          <cell r="AH306" t="str">
            <v>CMQ_TTE - QUILMES TTE</v>
          </cell>
          <cell r="AI306" t="str">
            <v>CMQ_TTE - QUILMES TTE</v>
          </cell>
          <cell r="AJ306" t="str">
            <v>CMQ_TTE - QUILMES TTE</v>
          </cell>
          <cell r="AK306" t="str">
            <v>CMQ_TTE - QUILMES TTE</v>
          </cell>
          <cell r="AL306" t="str">
            <v>CMQ_TTE - QUILMES TTE</v>
          </cell>
          <cell r="AM306" t="str">
            <v>CMQ_TTE - QUILMES TTE</v>
          </cell>
          <cell r="AN306" t="str">
            <v>CMQ_TTE - QUILMES TTE</v>
          </cell>
          <cell r="AO306" t="str">
            <v>CMQ_TTE - QUILMES TTE</v>
          </cell>
          <cell r="AP306" t="str">
            <v>CMQ_TTE - QUILMES TTE</v>
          </cell>
          <cell r="AQ306" t="str">
            <v>CMQ_TTE - QUILMES TTE</v>
          </cell>
          <cell r="AR306" t="str">
            <v>CMQ_TTE - QUILMES TTE</v>
          </cell>
          <cell r="AS306" t="str">
            <v>CMQ_TTE - QUILMES TTE</v>
          </cell>
          <cell r="AT306" t="str">
            <v>CMQ_TTE - QUILMES TTE</v>
          </cell>
          <cell r="AU306" t="str">
            <v>CMQ_TTE - QUILMES TTE</v>
          </cell>
          <cell r="AV306" t="str">
            <v>CMQ_TTE - QUILMES TTE</v>
          </cell>
          <cell r="AW306" t="str">
            <v>CMQ_TTE - QUILMES TTE</v>
          </cell>
          <cell r="AX306" t="str">
            <v>CMQ_TTE - QUILMES TTE</v>
          </cell>
          <cell r="AY306" t="str">
            <v>CMQ_TTE - QUILMES TTE</v>
          </cell>
          <cell r="AZ306" t="str">
            <v>CMQ_TTE - QUILMES TTE</v>
          </cell>
          <cell r="BA306" t="str">
            <v>CMQ_TTE - QUILMES TTE</v>
          </cell>
          <cell r="BB306" t="str">
            <v>CMQ_TTE - QUILMES TTE</v>
          </cell>
          <cell r="BC306" t="str">
            <v>CMQ_TTE - QUILMES TTE</v>
          </cell>
          <cell r="BD306" t="str">
            <v>CMQ_TTE - QUILMES TTE</v>
          </cell>
          <cell r="BE306" t="str">
            <v>CMQ_TTE - QUILMES TTE</v>
          </cell>
          <cell r="BF306" t="str">
            <v>CMQ_TTE - QUILMES TTE</v>
          </cell>
          <cell r="BG306" t="str">
            <v>CMQ_TTE - QUILMES TTE</v>
          </cell>
          <cell r="BH306" t="str">
            <v>CMQ_TTE - QUILMES TTE</v>
          </cell>
          <cell r="BI306" t="str">
            <v>CMQ_TTE - QUILMES TTE</v>
          </cell>
          <cell r="BJ306" t="str">
            <v>CMQ_TTE - QUILMES TTE</v>
          </cell>
          <cell r="BK306" t="str">
            <v>CMQ_TTE - QUILMES TTE</v>
          </cell>
          <cell r="BL306" t="str">
            <v>CMQ_TTE - QUILMES TTE</v>
          </cell>
          <cell r="BM306" t="str">
            <v>CMQ_TTE - QUILMES TTE</v>
          </cell>
          <cell r="BN306" t="str">
            <v>CMQ_TTE - QUILMES TTE</v>
          </cell>
          <cell r="BO306" t="str">
            <v>CMQ_TTE - QUILMES TTE</v>
          </cell>
          <cell r="BP306" t="str">
            <v>CMQ_TTE - QUILMES TTE</v>
          </cell>
          <cell r="BQ306" t="str">
            <v>ADA_Mino - Danone Arg. S.A. - Mino</v>
          </cell>
          <cell r="BR306" t="str">
            <v>ADA_Mino - Danone Arg. S.A. - Mino</v>
          </cell>
          <cell r="BS306" t="str">
            <v>ADA_Mino - Danone Arg. S.A. - Mino</v>
          </cell>
          <cell r="BT306" t="str">
            <v>ADA_Mino - Danone Arg. S.A. - Mino</v>
          </cell>
          <cell r="BU306" t="str">
            <v>CCUCoAZA</v>
          </cell>
          <cell r="BV306" t="str">
            <v>CCUCoAZA</v>
          </cell>
          <cell r="BW306" t="str">
            <v>CCUCoAZA</v>
          </cell>
          <cell r="BX306" t="str">
            <v>CCUCoAZA</v>
          </cell>
          <cell r="BY306" t="str">
            <v>CCUCoAZA</v>
          </cell>
          <cell r="BZ306" t="str">
            <v>CCUCoAZA</v>
          </cell>
          <cell r="CA306" t="str">
            <v>CCUCoAZA</v>
          </cell>
          <cell r="CB306" t="str">
            <v>CCUCoAZA</v>
          </cell>
          <cell r="CC306" t="str">
            <v>CCUCoAZA</v>
          </cell>
          <cell r="CD306" t="str">
            <v>CCUCoAZA</v>
          </cell>
          <cell r="CE306" t="str">
            <v>CCUCoAZA</v>
          </cell>
          <cell r="CF306" t="str">
            <v>CCUCoAZA</v>
          </cell>
          <cell r="CG306" t="str">
            <v>CCUCoAZA</v>
          </cell>
          <cell r="CH306" t="str">
            <v>CCUCoAZA</v>
          </cell>
          <cell r="CI306" t="str">
            <v>CCUCoAZA</v>
          </cell>
          <cell r="CJ306" t="str">
            <v>BAJA</v>
          </cell>
          <cell r="CK306" t="str">
            <v>BAJA</v>
          </cell>
          <cell r="CL306" t="str">
            <v>BAJA</v>
          </cell>
          <cell r="CM306" t="str">
            <v>BAJA</v>
          </cell>
          <cell r="CN306" t="str">
            <v>BAJA</v>
          </cell>
          <cell r="CO306" t="str">
            <v>BAJA</v>
          </cell>
          <cell r="CP306" t="str">
            <v>BAJA</v>
          </cell>
          <cell r="CQ306" t="str">
            <v>BAJA</v>
          </cell>
          <cell r="CR306" t="str">
            <v>BAJA</v>
          </cell>
          <cell r="CS306" t="str">
            <v>BAJA</v>
          </cell>
          <cell r="CT306" t="str">
            <v>BAJA</v>
          </cell>
          <cell r="CU306" t="str">
            <v>BAJA</v>
          </cell>
          <cell r="CV306" t="str">
            <v>BAJA</v>
          </cell>
          <cell r="CW306" t="str">
            <v>BAJA</v>
          </cell>
        </row>
        <row r="307">
          <cell r="D307" t="str">
            <v>KBO542</v>
          </cell>
          <cell r="E307" t="str">
            <v>Tractor</v>
          </cell>
          <cell r="F307" t="str">
            <v>Tractor</v>
          </cell>
          <cell r="G307" t="str">
            <v>Tractor</v>
          </cell>
          <cell r="N307" t="str">
            <v>CODYLSA</v>
          </cell>
          <cell r="O307" t="str">
            <v>CODYLSA</v>
          </cell>
          <cell r="P307" t="str">
            <v>No</v>
          </cell>
          <cell r="Q307" t="str">
            <v>Propio</v>
          </cell>
          <cell r="R307" t="str">
            <v>-</v>
          </cell>
          <cell r="S307" t="str">
            <v>Propio</v>
          </cell>
          <cell r="T307" t="str">
            <v>MERCEDES BENZ</v>
          </cell>
          <cell r="U307" t="str">
            <v>AXOR 1933 S</v>
          </cell>
          <cell r="V307" t="str">
            <v>926921U0940898</v>
          </cell>
          <cell r="W307" t="str">
            <v>9BM958207CB788357</v>
          </cell>
          <cell r="X307">
            <v>2011</v>
          </cell>
          <cell r="Y307">
            <v>15</v>
          </cell>
          <cell r="Z307" t="str">
            <v>Malargue</v>
          </cell>
          <cell r="AA307" t="str">
            <v>Expreso - Servicios Troncales</v>
          </cell>
          <cell r="AB307" t="str">
            <v>Expreso - Servicios Troncales</v>
          </cell>
          <cell r="AC307" t="str">
            <v>Expreso - Servicios Troncales</v>
          </cell>
          <cell r="AD307" t="str">
            <v>Expreso - Servicios Troncales</v>
          </cell>
          <cell r="AE307" t="str">
            <v>Expreso - Servicios Troncales</v>
          </cell>
          <cell r="AF307" t="str">
            <v>Expreso - Servicios Troncales</v>
          </cell>
          <cell r="AG307" t="str">
            <v>JOHNSON - SC JOHNSON DE ARGENTINA SAIC</v>
          </cell>
          <cell r="AH307" t="str">
            <v>JOHNSON - SC JOHNSON DE ARGENTINA SAIC</v>
          </cell>
          <cell r="AI307" t="str">
            <v>JOHNSON - SC JOHNSON DE ARGENTINA SAIC</v>
          </cell>
          <cell r="AJ307" t="str">
            <v>Expreso - Servicios Troncales</v>
          </cell>
          <cell r="AK307" t="str">
            <v>Expreso - Servicios Troncales</v>
          </cell>
          <cell r="AL307" t="str">
            <v>Expreso - Servicios Troncales</v>
          </cell>
          <cell r="AM307" t="str">
            <v>Expreso - Servicios Troncales</v>
          </cell>
          <cell r="AN307" t="str">
            <v>Expreso - Servicios Troncales</v>
          </cell>
          <cell r="AO307" t="str">
            <v>Expreso - Servicios Troncales</v>
          </cell>
          <cell r="AP307" t="str">
            <v>Expreso - Servicios Troncales</v>
          </cell>
          <cell r="AQ307" t="str">
            <v>Expreso - Servicios Troncales</v>
          </cell>
          <cell r="AR307" t="str">
            <v>Expreso - Servicios Troncales</v>
          </cell>
          <cell r="AS307" t="str">
            <v>Expreso - Servicios Troncales</v>
          </cell>
          <cell r="AT307" t="str">
            <v>Expreso - Servicios Troncales</v>
          </cell>
          <cell r="AU307" t="str">
            <v>Expreso - Servicios Troncales</v>
          </cell>
          <cell r="AV307" t="str">
            <v>Expreso - Servicios Troncales</v>
          </cell>
          <cell r="AW307" t="str">
            <v>Expreso - Servicios Troncales</v>
          </cell>
          <cell r="AX307" t="str">
            <v>Expreso - Servicios Troncales</v>
          </cell>
          <cell r="AY307" t="str">
            <v>Expreso - Servicios Troncales</v>
          </cell>
          <cell r="AZ307" t="str">
            <v>Expreso - Servicios Troncales</v>
          </cell>
          <cell r="BA307" t="str">
            <v>Expreso - Servicios Troncales</v>
          </cell>
          <cell r="BB307" t="str">
            <v>Expreso - Servicios Troncales</v>
          </cell>
          <cell r="BC307" t="str">
            <v>Expreso - Servicios Troncales</v>
          </cell>
          <cell r="BD307" t="str">
            <v>SUC_CTC - Sucursal Buenos Aires</v>
          </cell>
          <cell r="BE307" t="str">
            <v>SUC_CTC - Sucursal Buenos Aires</v>
          </cell>
          <cell r="BF307" t="str">
            <v>SUC_CTC - Sucursal Buenos Aires</v>
          </cell>
          <cell r="BG307" t="str">
            <v>SUC_CTC - Sucursal Buenos Aires</v>
          </cell>
          <cell r="BH307" t="str">
            <v>SUC_CTC - Sucursal Buenos Aires</v>
          </cell>
          <cell r="BI307" t="str">
            <v>SUC_CTC - Sucursal Buenos Aires</v>
          </cell>
          <cell r="BJ307" t="str">
            <v>SUC_CTC - Sucursal Buenos Aires</v>
          </cell>
          <cell r="BK307" t="str">
            <v>SUC_CTC - Sucursal Buenos Aires</v>
          </cell>
          <cell r="BL307" t="str">
            <v>SUC_CTC - Sucursal Buenos Aires</v>
          </cell>
          <cell r="BM307" t="str">
            <v>SUC_CTC - Sucursal Buenos Aires</v>
          </cell>
          <cell r="BN307" t="str">
            <v>SUC_CTC - Sucursal Buenos Aires</v>
          </cell>
          <cell r="BO307" t="str">
            <v>SUC_CTC - Sucursal Buenos Aires</v>
          </cell>
          <cell r="BP307" t="str">
            <v>SUC_CTC - Sucursal Buenos Aires</v>
          </cell>
          <cell r="BQ307" t="str">
            <v>Expreso - Servicios Troncales</v>
          </cell>
          <cell r="BR307" t="str">
            <v>Expreso - Servicios Troncales</v>
          </cell>
          <cell r="BS307" t="str">
            <v>Expreso - Servicios Troncales</v>
          </cell>
          <cell r="BT307" t="str">
            <v>Expreso - Servicios Troncales</v>
          </cell>
          <cell r="BU307" t="str">
            <v>Expreso - Servicios Troncales</v>
          </cell>
          <cell r="BV307" t="str">
            <v>Expreso - Servicios Troncales</v>
          </cell>
          <cell r="BW307" t="str">
            <v>Expreso - Servicios Troncales</v>
          </cell>
          <cell r="BX307" t="str">
            <v>Expreso - Servicios Troncales</v>
          </cell>
          <cell r="BY307" t="str">
            <v>Expreso - Servicios Troncales</v>
          </cell>
          <cell r="BZ307" t="str">
            <v>Expreso - Servicios Troncales</v>
          </cell>
          <cell r="CA307" t="str">
            <v>Expreso - Servicios Troncales</v>
          </cell>
          <cell r="CB307" t="str">
            <v>Expreso - Servicios Troncales</v>
          </cell>
          <cell r="CC307" t="str">
            <v>Expreso - Servicios Troncales</v>
          </cell>
          <cell r="CD307" t="str">
            <v>Expreso - Servicios Troncales</v>
          </cell>
          <cell r="CE307" t="str">
            <v>JOHNSON - SC JOHNSON DE ARGENTINA SAIC</v>
          </cell>
          <cell r="CF307" t="str">
            <v>JOHNSON - SC JOHNSON DE ARGENTINA SAIC</v>
          </cell>
          <cell r="CG307" t="str">
            <v>JOHNSON - SC JOHNSON DE ARGENTINA SAIC</v>
          </cell>
          <cell r="CH307" t="str">
            <v>Arcor S.A.I.C.</v>
          </cell>
          <cell r="CI307" t="str">
            <v>Arcor S.A.I.C.</v>
          </cell>
          <cell r="CJ307" t="str">
            <v>Arcor S.A.I.C.</v>
          </cell>
          <cell r="CK307" t="str">
            <v>Arcor S.A.I.C.</v>
          </cell>
          <cell r="CL307" t="str">
            <v>Arcor S.A.I.C.</v>
          </cell>
          <cell r="CM307" t="str">
            <v>Arcor S.A.I.C.</v>
          </cell>
          <cell r="CN307" t="str">
            <v>Arcor S.A.I.C.</v>
          </cell>
          <cell r="CO307" t="str">
            <v>SUC_CTC - Sucursal Buenos Aires</v>
          </cell>
          <cell r="CP307" t="str">
            <v>SUC_CTC - Sucursal Buenos Aires</v>
          </cell>
          <cell r="CQ307" t="str">
            <v>SUC_CTC - Sucursal Buenos Aires</v>
          </cell>
          <cell r="CR307" t="str">
            <v>SUC_CTC - Sucursal Buenos Aires</v>
          </cell>
          <cell r="CS307" t="str">
            <v>SUC_CTC - Sucursal Buenos Aires</v>
          </cell>
          <cell r="CT307" t="str">
            <v>Expreso - Servicios Troncales</v>
          </cell>
          <cell r="CU307" t="str">
            <v>Expreso - Servicios Troncales</v>
          </cell>
          <cell r="CV307" t="str">
            <v>Expreso - Servicios Troncales</v>
          </cell>
          <cell r="CW307" t="str">
            <v>Expreso - Servicios Troncales</v>
          </cell>
        </row>
        <row r="308">
          <cell r="D308" t="str">
            <v>KBV611</v>
          </cell>
          <cell r="E308" t="str">
            <v>Chasis</v>
          </cell>
          <cell r="F308" t="str">
            <v>Chasis</v>
          </cell>
          <cell r="G308" t="str">
            <v>Chasis Playo</v>
          </cell>
          <cell r="N308" t="str">
            <v>TDU</v>
          </cell>
          <cell r="O308" t="str">
            <v>TDU</v>
          </cell>
          <cell r="P308" t="str">
            <v>No</v>
          </cell>
          <cell r="Q308" t="str">
            <v>Propio</v>
          </cell>
          <cell r="R308">
            <v>12</v>
          </cell>
          <cell r="S308" t="str">
            <v>Propio</v>
          </cell>
          <cell r="T308" t="str">
            <v>MERCEDES BENZ</v>
          </cell>
          <cell r="U308" t="str">
            <v>L-1318</v>
          </cell>
          <cell r="V308" t="str">
            <v>904976U0936872</v>
          </cell>
          <cell r="W308" t="str">
            <v>9BM694000CB783720</v>
          </cell>
          <cell r="X308">
            <v>2011</v>
          </cell>
          <cell r="Y308">
            <v>15</v>
          </cell>
          <cell r="Z308" t="str">
            <v>TDU</v>
          </cell>
          <cell r="AA308" t="str">
            <v>CMQ_TTE - QUILMES TTE</v>
          </cell>
          <cell r="AB308" t="str">
            <v>CMQ_TTE - QUILMES TTE</v>
          </cell>
          <cell r="AC308" t="str">
            <v>CMQ_TTE - QUILMES TTE</v>
          </cell>
          <cell r="AD308" t="str">
            <v>CMQ_TTE - QUILMES TTE</v>
          </cell>
          <cell r="AE308" t="str">
            <v>CMQ_TTE - QUILMES TTE</v>
          </cell>
          <cell r="AF308" t="str">
            <v>CMQ_TTE - QUILMES TTE</v>
          </cell>
          <cell r="AG308" t="str">
            <v>CMQ_TTE - QUILMES TTE</v>
          </cell>
          <cell r="AH308" t="str">
            <v>CMQ_TTE - QUILMES TTE</v>
          </cell>
          <cell r="AI308" t="str">
            <v>CMQ_TTE - QUILMES TTE</v>
          </cell>
          <cell r="AJ308" t="str">
            <v>CMQ_TTE - QUILMES TTE</v>
          </cell>
          <cell r="AK308" t="str">
            <v>CMQ_TTE - QUILMES TTE</v>
          </cell>
          <cell r="AL308" t="str">
            <v>CMQ_TTE - QUILMES TTE</v>
          </cell>
          <cell r="AM308" t="str">
            <v>CMQ_TTE - QUILMES TTE</v>
          </cell>
          <cell r="AN308" t="str">
            <v>CMQ_TTE - QUILMES TTE</v>
          </cell>
          <cell r="AO308" t="str">
            <v>CMQ_TTE - QUILMES TTE</v>
          </cell>
          <cell r="AP308" t="str">
            <v>CMQ_TTE - QUILMES TTE</v>
          </cell>
          <cell r="AQ308" t="str">
            <v>CMQ_TTE - QUILMES TTE</v>
          </cell>
          <cell r="AR308" t="str">
            <v>CMQ_TTE - QUILMES TTE</v>
          </cell>
          <cell r="AS308" t="str">
            <v>CMQ_TTE - QUILMES TTE</v>
          </cell>
          <cell r="AT308" t="str">
            <v>CMQ_TTE - QUILMES TTE</v>
          </cell>
          <cell r="AU308" t="str">
            <v>CMQ_TTE - QUILMES TTE</v>
          </cell>
          <cell r="AV308" t="str">
            <v>CMQ_TTE - QUILMES TTE</v>
          </cell>
          <cell r="AW308" t="str">
            <v>CMQ_TTE - QUILMES TTE</v>
          </cell>
          <cell r="AX308" t="str">
            <v>ADA_Mino - Danone Arg. S.A. - Mino</v>
          </cell>
          <cell r="AY308" t="str">
            <v>ADA_Mino - Danone Arg. S.A. - Mino</v>
          </cell>
          <cell r="AZ308" t="str">
            <v>ADA_Mino - Danone Arg. S.A. - Mino</v>
          </cell>
          <cell r="BA308" t="str">
            <v>ADA_Mino - Danone Arg. S.A. - Mino</v>
          </cell>
          <cell r="BB308" t="str">
            <v>ADA_Mino - Danone Arg. S.A. - Mino</v>
          </cell>
          <cell r="BC308" t="str">
            <v>ADA_Mino - Danone Arg. S.A. - Mino</v>
          </cell>
          <cell r="BD308" t="str">
            <v>ADA_Mino - Danone Arg. S.A. - Mino</v>
          </cell>
          <cell r="BE308" t="str">
            <v>ADA_Mino - Danone Arg. S.A. - Mino</v>
          </cell>
          <cell r="BF308" t="str">
            <v>ADA_Mino - Danone Arg. S.A. - Mino</v>
          </cell>
          <cell r="BG308" t="str">
            <v>ADA_Mino - Danone Arg. S.A. - Mino</v>
          </cell>
          <cell r="BH308" t="str">
            <v>ADA_Mino - Danone Arg. S.A. - Mino</v>
          </cell>
          <cell r="BI308" t="str">
            <v>ADA_SMK - Danone Arg. S.A. - SMK</v>
          </cell>
          <cell r="BJ308" t="str">
            <v>ADA_SMK - Danone Arg. S.A. - SMK</v>
          </cell>
          <cell r="BK308" t="str">
            <v>ADA_SMK - Danone Arg. S.A. - SMK</v>
          </cell>
          <cell r="BL308" t="str">
            <v>ADA_SMK - Danone Arg. S.A. - SMK</v>
          </cell>
          <cell r="BM308" t="str">
            <v>ADA_SMK - Danone Arg. S.A. - SMK</v>
          </cell>
          <cell r="BN308" t="str">
            <v>ADA_SMK - Danone Arg. S.A. - SMK</v>
          </cell>
          <cell r="BO308" t="str">
            <v>ADA_SMK - Danone Arg. S.A. - SMK</v>
          </cell>
          <cell r="BP308" t="str">
            <v>ADA_SMK - Danone Arg. S.A. - SMK</v>
          </cell>
          <cell r="BQ308" t="str">
            <v>ADA_SMK - Danone Arg. S.A. - SMK</v>
          </cell>
          <cell r="BR308" t="str">
            <v>ADA_SMK - Danone Arg. S.A. - SMK</v>
          </cell>
          <cell r="BS308" t="str">
            <v>ADA_SMK - Danone Arg. S.A. - SMK</v>
          </cell>
          <cell r="BT308" t="str">
            <v>ADA_SMK - Danone Arg. S.A. - SMK</v>
          </cell>
          <cell r="BU308" t="str">
            <v>CCUDyAZA</v>
          </cell>
          <cell r="BV308" t="str">
            <v>CCUDyAZA</v>
          </cell>
          <cell r="BW308" t="str">
            <v>CCUDyAZA</v>
          </cell>
          <cell r="BX308" t="str">
            <v>CCUDyAZA</v>
          </cell>
          <cell r="BY308" t="str">
            <v>CCUDyAZA</v>
          </cell>
          <cell r="BZ308" t="str">
            <v>CCUDyAZA</v>
          </cell>
          <cell r="CA308" t="str">
            <v>CCUDyAZA</v>
          </cell>
          <cell r="CB308" t="str">
            <v>CCUDyAZA</v>
          </cell>
          <cell r="CC308" t="str">
            <v>CCUDyAZA</v>
          </cell>
          <cell r="CD308" t="str">
            <v>CCUDyAZA</v>
          </cell>
          <cell r="CE308" t="str">
            <v>CCUDyAZA</v>
          </cell>
          <cell r="CF308" t="str">
            <v>CCUDyAZA</v>
          </cell>
          <cell r="CG308" t="str">
            <v>CCUDyAZA</v>
          </cell>
          <cell r="CH308" t="str">
            <v>CCUDyAZA</v>
          </cell>
          <cell r="CI308" t="str">
            <v>CCUDyAZA</v>
          </cell>
          <cell r="CJ308" t="str">
            <v>CCUDyAZA</v>
          </cell>
          <cell r="CK308" t="str">
            <v>CCUDyAZA</v>
          </cell>
          <cell r="CL308" t="str">
            <v>CCUDyAZA</v>
          </cell>
          <cell r="CM308" t="str">
            <v>CCUDyAZA</v>
          </cell>
          <cell r="CN308" t="str">
            <v>CCUDyAZA</v>
          </cell>
          <cell r="CO308" t="str">
            <v>CCUDyAZA</v>
          </cell>
          <cell r="CP308" t="str">
            <v>CCUDyAZA</v>
          </cell>
          <cell r="CQ308" t="str">
            <v>CCUDyAZA</v>
          </cell>
          <cell r="CR308" t="str">
            <v>CCUDyAZA</v>
          </cell>
          <cell r="CS308" t="str">
            <v>CCUDyAZA</v>
          </cell>
          <cell r="CT308" t="str">
            <v>CCUDyAZA</v>
          </cell>
          <cell r="CU308" t="str">
            <v>CCUDyAZA</v>
          </cell>
          <cell r="CV308" t="str">
            <v>CCUDyAZA</v>
          </cell>
          <cell r="CW308" t="str">
            <v>CCUDyAZA</v>
          </cell>
        </row>
        <row r="309">
          <cell r="D309" t="str">
            <v>KBV613</v>
          </cell>
          <cell r="E309" t="str">
            <v>Chasis</v>
          </cell>
          <cell r="F309" t="str">
            <v>Chasis</v>
          </cell>
          <cell r="G309" t="str">
            <v>Chasis</v>
          </cell>
          <cell r="N309" t="str">
            <v>TDU</v>
          </cell>
          <cell r="O309" t="str">
            <v>TDU</v>
          </cell>
          <cell r="P309" t="str">
            <v>No</v>
          </cell>
          <cell r="Q309" t="str">
            <v>Propio</v>
          </cell>
          <cell r="R309" t="str">
            <v>-</v>
          </cell>
          <cell r="S309" t="str">
            <v>Propio</v>
          </cell>
          <cell r="T309" t="str">
            <v>MERCEDES BENZ</v>
          </cell>
          <cell r="U309" t="str">
            <v>L-1318</v>
          </cell>
          <cell r="V309" t="str">
            <v>904976U0936557</v>
          </cell>
          <cell r="W309" t="str">
            <v>9BM694000CB783292</v>
          </cell>
          <cell r="X309">
            <v>2011</v>
          </cell>
          <cell r="Y309">
            <v>15</v>
          </cell>
          <cell r="Z309" t="str">
            <v>TDU</v>
          </cell>
          <cell r="AA309" t="str">
            <v>CMQ_TTE - QUILMES TTE</v>
          </cell>
          <cell r="AB309" t="str">
            <v>CMQ_TTE - QUILMES TTE</v>
          </cell>
          <cell r="AC309" t="str">
            <v>CMQ_TTE - QUILMES TTE</v>
          </cell>
          <cell r="AD309" t="str">
            <v>CMQ_TTE - QUILMES TTE</v>
          </cell>
          <cell r="AE309" t="str">
            <v>CMQ_TTE - QUILMES TTE</v>
          </cell>
          <cell r="AF309" t="str">
            <v>CMQ_TTE - QUILMES TTE</v>
          </cell>
          <cell r="AG309" t="str">
            <v>CMQ_TTE - QUILMES TTE</v>
          </cell>
          <cell r="AH309" t="str">
            <v>CMQ_TTE - QUILMES TTE</v>
          </cell>
          <cell r="AI309" t="str">
            <v>CMQ_TTE - QUILMES TTE</v>
          </cell>
          <cell r="AJ309" t="str">
            <v>CMQ_TTE - QUILMES TTE</v>
          </cell>
          <cell r="AK309" t="str">
            <v>CMQ_TTE - QUILMES TTE</v>
          </cell>
          <cell r="AL309" t="str">
            <v>CMQ_TTE - QUILMES TTE</v>
          </cell>
          <cell r="AM309" t="str">
            <v>CMQ_TTE - QUILMES TTE</v>
          </cell>
          <cell r="AN309" t="str">
            <v>CMQ_TTE - QUILMES TTE</v>
          </cell>
          <cell r="AO309" t="str">
            <v>CMQ_TTE - QUILMES TTE</v>
          </cell>
          <cell r="AP309" t="str">
            <v>CMQ_TTE - QUILMES TTE</v>
          </cell>
          <cell r="AQ309" t="str">
            <v>CMQ_TTE - QUILMES TTE</v>
          </cell>
          <cell r="AR309" t="str">
            <v>CMQ_TTE - QUILMES TTE</v>
          </cell>
          <cell r="AS309" t="str">
            <v>CMQ_TTE - QUILMES TTE</v>
          </cell>
          <cell r="AT309" t="str">
            <v>CMQ_TTE - QUILMES TTE</v>
          </cell>
          <cell r="AU309" t="str">
            <v>CMQ_TTE - QUILMES TTE</v>
          </cell>
          <cell r="AV309" t="str">
            <v>CMQ_TTE - QUILMES TTE</v>
          </cell>
          <cell r="AW309" t="str">
            <v>CMQ_TTE - QUILMES TTE</v>
          </cell>
          <cell r="AX309" t="str">
            <v>CMQ_TTE - QUILMES TTE</v>
          </cell>
          <cell r="AY309" t="str">
            <v>CMQ_TTE - QUILMES TTE</v>
          </cell>
          <cell r="AZ309" t="str">
            <v>CMQ_TTE - QUILMES TTE</v>
          </cell>
          <cell r="BA309" t="str">
            <v>CMQ_TTE - QUILMES TTE</v>
          </cell>
          <cell r="BB309" t="str">
            <v>CMQ_TTE - QUILMES TTE</v>
          </cell>
          <cell r="BC309" t="str">
            <v>CMQ_TTE - QUILMES TTE</v>
          </cell>
          <cell r="BD309" t="str">
            <v>CMQ_TTE - QUILMES TTE</v>
          </cell>
          <cell r="BE309" t="str">
            <v>CMQ_TTE - QUILMES TTE</v>
          </cell>
          <cell r="BF309" t="str">
            <v>CMQ_TTE - QUILMES TTE</v>
          </cell>
          <cell r="BG309" t="str">
            <v>CMQ_TTE - QUILMES TTE</v>
          </cell>
          <cell r="BH309" t="str">
            <v>CMQ_TTE - QUILMES TTE</v>
          </cell>
          <cell r="BI309" t="str">
            <v>CMQ_TTE - QUILMES TTE</v>
          </cell>
          <cell r="BJ309" t="str">
            <v>CMQ_TTE - QUILMES TTE</v>
          </cell>
          <cell r="BK309" t="str">
            <v>CMQ_TTE - QUILMES TTE</v>
          </cell>
          <cell r="BL309" t="str">
            <v>CMQ_TTE - QUILMES TTE</v>
          </cell>
          <cell r="BM309" t="str">
            <v>CMQ_TTE - QUILMES TTE</v>
          </cell>
          <cell r="BN309" t="str">
            <v>ADA_Mino - Danone Arg. S.A. - Mino</v>
          </cell>
          <cell r="BO309" t="str">
            <v>ADA_Mino - Danone Arg. S.A. - Mino</v>
          </cell>
          <cell r="BP309" t="str">
            <v>ADA_Mino - Danone Arg. S.A. - Mino</v>
          </cell>
          <cell r="BQ309" t="str">
            <v>ADA_Mino - Danone Arg. S.A. - Mino</v>
          </cell>
          <cell r="BR309" t="str">
            <v>ADA_Mino - Danone Arg. S.A. - Mino</v>
          </cell>
          <cell r="BS309" t="str">
            <v>ADA_Mino - Danone Arg. S.A. - Mino</v>
          </cell>
          <cell r="BT309" t="str">
            <v>ADA_Mino - Danone Arg. S.A. - Mino</v>
          </cell>
          <cell r="BU309" t="str">
            <v>CCUCoAZA</v>
          </cell>
          <cell r="BV309" t="str">
            <v>CCUCoAZA</v>
          </cell>
          <cell r="BW309" t="str">
            <v>CCUCoAZA</v>
          </cell>
          <cell r="BX309" t="str">
            <v>CCUCoAZA</v>
          </cell>
          <cell r="BY309" t="str">
            <v>CCUCoAZA</v>
          </cell>
          <cell r="BZ309" t="str">
            <v>CCUCoAZA</v>
          </cell>
          <cell r="CA309" t="str">
            <v>CCUCoAZA</v>
          </cell>
          <cell r="CB309" t="str">
            <v>CCUCoAZA</v>
          </cell>
          <cell r="CC309" t="str">
            <v>CCUCoAZA</v>
          </cell>
          <cell r="CD309" t="str">
            <v>CCUCoAZA</v>
          </cell>
          <cell r="CE309" t="str">
            <v>CCUCoAZA</v>
          </cell>
          <cell r="CF309" t="str">
            <v>CCUCoAZA</v>
          </cell>
          <cell r="CG309" t="str">
            <v>CCUCoAZA</v>
          </cell>
          <cell r="CH309" t="str">
            <v>CCUCoAZA</v>
          </cell>
          <cell r="CI309" t="str">
            <v>CCUCoAZA</v>
          </cell>
          <cell r="CJ309" t="str">
            <v>BAJA</v>
          </cell>
          <cell r="CK309" t="str">
            <v>BAJA</v>
          </cell>
          <cell r="CL309" t="str">
            <v>BAJA</v>
          </cell>
          <cell r="CM309" t="str">
            <v>BAJA</v>
          </cell>
          <cell r="CN309" t="str">
            <v>BAJA</v>
          </cell>
          <cell r="CO309" t="str">
            <v>BAJA</v>
          </cell>
          <cell r="CP309" t="str">
            <v>BAJA</v>
          </cell>
          <cell r="CQ309" t="str">
            <v>BAJA</v>
          </cell>
          <cell r="CR309" t="str">
            <v>BAJA</v>
          </cell>
          <cell r="CS309" t="str">
            <v>BAJA</v>
          </cell>
          <cell r="CT309" t="str">
            <v>BAJA</v>
          </cell>
          <cell r="CU309" t="str">
            <v>BAJA</v>
          </cell>
          <cell r="CV309" t="str">
            <v>BAJA</v>
          </cell>
          <cell r="CW309" t="str">
            <v>BAJA</v>
          </cell>
        </row>
        <row r="310">
          <cell r="D310" t="str">
            <v>KBV618</v>
          </cell>
          <cell r="E310" t="str">
            <v>Chasis</v>
          </cell>
          <cell r="F310" t="str">
            <v>Chasis</v>
          </cell>
          <cell r="G310" t="str">
            <v>Chasis</v>
          </cell>
          <cell r="N310" t="str">
            <v>TDU</v>
          </cell>
          <cell r="O310" t="str">
            <v>TDU</v>
          </cell>
          <cell r="P310" t="str">
            <v>No</v>
          </cell>
          <cell r="Q310" t="str">
            <v>Propio</v>
          </cell>
          <cell r="R310">
            <v>12</v>
          </cell>
          <cell r="S310" t="str">
            <v>Propio</v>
          </cell>
          <cell r="T310" t="str">
            <v>MERCEDES BENZ</v>
          </cell>
          <cell r="U310" t="str">
            <v>ATEGO 1418/48 FRONTAL</v>
          </cell>
          <cell r="V310" t="str">
            <v>904967U0942234</v>
          </cell>
          <cell r="W310" t="str">
            <v>9BM958034CB789897</v>
          </cell>
          <cell r="X310">
            <v>2011</v>
          </cell>
          <cell r="Y310">
            <v>15</v>
          </cell>
          <cell r="Z310" t="str">
            <v>TDU</v>
          </cell>
          <cell r="AA310" t="str">
            <v>CMQ_TTE - QUILMES TTE</v>
          </cell>
          <cell r="AB310" t="str">
            <v>CMQ_TTE - QUILMES TTE</v>
          </cell>
          <cell r="AC310" t="str">
            <v>CMQ_TTE - QUILMES TTE</v>
          </cell>
          <cell r="AD310" t="str">
            <v>CMQ_TTE - QUILMES TTE</v>
          </cell>
          <cell r="AE310" t="str">
            <v>CMQ_TTE - QUILMES TTE</v>
          </cell>
          <cell r="AF310" t="str">
            <v>CMQ_TTE - QUILMES TTE</v>
          </cell>
          <cell r="AG310" t="str">
            <v>CMQ_TTE - QUILMES TTE</v>
          </cell>
          <cell r="AH310" t="str">
            <v>CMQ_TTE - QUILMES TTE</v>
          </cell>
          <cell r="AI310" t="str">
            <v>CMQ_TTE - QUILMES TTE</v>
          </cell>
          <cell r="AJ310" t="str">
            <v>CMQ_TTE - QUILMES TTE</v>
          </cell>
          <cell r="AK310" t="str">
            <v>CMQ_TTE - QUILMES TTE</v>
          </cell>
          <cell r="AL310" t="str">
            <v>CMQ_TTE - QUILMES TTE</v>
          </cell>
          <cell r="AM310" t="str">
            <v>CMQ_TTE - QUILMES TTE</v>
          </cell>
          <cell r="AN310" t="str">
            <v>CMQ_TTE - QUILMES TTE</v>
          </cell>
          <cell r="AO310" t="str">
            <v>CMQ_TTE - QUILMES TTE</v>
          </cell>
          <cell r="AP310" t="str">
            <v>CMQ_TTE - QUILMES TTE</v>
          </cell>
          <cell r="AQ310" t="str">
            <v>CMQ_TTE - QUILMES TTE</v>
          </cell>
          <cell r="AR310" t="str">
            <v>CMQ_TTE - QUILMES TTE</v>
          </cell>
          <cell r="AS310" t="str">
            <v>CMQ_TTE - QUILMES TTE</v>
          </cell>
          <cell r="AT310" t="str">
            <v>CMQ_TTE - QUILMES TTE</v>
          </cell>
          <cell r="AU310" t="str">
            <v>CMQ_TTE - QUILMES TTE</v>
          </cell>
          <cell r="AV310" t="str">
            <v>CMQ_TTE - QUILMES TTE</v>
          </cell>
          <cell r="AW310" t="str">
            <v>CMQ_TTE - QUILMES TTE</v>
          </cell>
          <cell r="AX310" t="str">
            <v>ADA_Mino - Danone Arg. S.A. - Mino</v>
          </cell>
          <cell r="AY310" t="str">
            <v>ADA_Mino - Danone Arg. S.A. - Mino</v>
          </cell>
          <cell r="AZ310" t="str">
            <v>ADA_Mino - Danone Arg. S.A. - Mino</v>
          </cell>
          <cell r="BA310" t="str">
            <v>ADA_Mino - Danone Arg. S.A. - Mino</v>
          </cell>
          <cell r="BB310" t="str">
            <v>ADA_Mino - Danone Arg. S.A. - Mino</v>
          </cell>
          <cell r="BC310" t="str">
            <v>ADA_Mino - Danone Arg. S.A. - Mino</v>
          </cell>
          <cell r="BD310" t="str">
            <v>ADA_Mino - Danone Arg. S.A. - Mino</v>
          </cell>
          <cell r="BE310" t="str">
            <v>ADA_Mino - Danone Arg. S.A. - Mino</v>
          </cell>
          <cell r="BF310" t="str">
            <v>ADA_Mino - Danone Arg. S.A. - Mino</v>
          </cell>
          <cell r="BG310" t="str">
            <v>ADA_Mino - Danone Arg. S.A. - Mino</v>
          </cell>
          <cell r="BH310" t="str">
            <v>ADA_Mino - Danone Arg. S.A. - Mino</v>
          </cell>
          <cell r="BI310" t="str">
            <v>ADA_Mino - Danone Arg. S.A. - Mino</v>
          </cell>
          <cell r="BJ310" t="str">
            <v>ADA_Mino - Danone Arg. S.A. - Mino</v>
          </cell>
          <cell r="BK310" t="str">
            <v>ADA_Mino - Danone Arg. S.A. - Mino</v>
          </cell>
          <cell r="BL310" t="str">
            <v>ADA_Mino - Danone Arg. S.A. - Mino</v>
          </cell>
          <cell r="BM310" t="str">
            <v>ADA_Mino - Danone Arg. S.A. - Mino</v>
          </cell>
          <cell r="BN310" t="str">
            <v>ADA_Mino - Danone Arg. S.A. - Mino</v>
          </cell>
          <cell r="BO310" t="str">
            <v>ADA_Mino - Danone Arg. S.A. - Mino</v>
          </cell>
          <cell r="BP310" t="str">
            <v>ADA_Mino - Danone Arg. S.A. - Mino</v>
          </cell>
          <cell r="BQ310" t="str">
            <v>AdaMinZO - Danone Minorista Zona Oeste</v>
          </cell>
          <cell r="BR310" t="str">
            <v>AdaMinZO - Danone Minorista Zona Oeste</v>
          </cell>
          <cell r="BS310" t="str">
            <v>ADA_SMK - Danone Arg. S.A. - SMK</v>
          </cell>
          <cell r="BT310" t="str">
            <v>ADA_SMK - Danone Arg. S.A. - SMK</v>
          </cell>
          <cell r="BU310" t="str">
            <v>CCUDyAZA</v>
          </cell>
          <cell r="BV310" t="str">
            <v>CCUDyAZA</v>
          </cell>
          <cell r="BW310" t="str">
            <v>CCUDyAZA</v>
          </cell>
          <cell r="BX310" t="str">
            <v>CCUDyAZA</v>
          </cell>
          <cell r="BY310" t="str">
            <v>CCUDyAZA</v>
          </cell>
          <cell r="BZ310" t="str">
            <v>CCUDyAZA</v>
          </cell>
          <cell r="CA310" t="str">
            <v>CCUDyAZA</v>
          </cell>
          <cell r="CB310" t="str">
            <v>CCUDyAZA</v>
          </cell>
          <cell r="CC310" t="str">
            <v>CCUDyAZA</v>
          </cell>
          <cell r="CD310" t="str">
            <v>CCUDyAZA</v>
          </cell>
          <cell r="CE310" t="str">
            <v>CCUDyAZA</v>
          </cell>
          <cell r="CF310" t="str">
            <v>CCUDyAZA</v>
          </cell>
          <cell r="CG310" t="str">
            <v>CCUDyAZA</v>
          </cell>
          <cell r="CH310" t="str">
            <v>CCUDyAZA</v>
          </cell>
          <cell r="CI310" t="str">
            <v>CCUDyAZA</v>
          </cell>
          <cell r="CJ310" t="str">
            <v>CCUDyAZA</v>
          </cell>
          <cell r="CK310" t="str">
            <v>CCUDyAZA</v>
          </cell>
          <cell r="CL310" t="str">
            <v>CCUDyAZA</v>
          </cell>
          <cell r="CM310" t="str">
            <v>CCUDyAZA</v>
          </cell>
          <cell r="CN310" t="str">
            <v>CCUDyAZA</v>
          </cell>
          <cell r="CO310" t="str">
            <v>CCUDyAZA</v>
          </cell>
          <cell r="CP310" t="str">
            <v>CCUDyAZA</v>
          </cell>
          <cell r="CQ310" t="str">
            <v>CCUDyAZA</v>
          </cell>
          <cell r="CR310" t="str">
            <v>CCUDyAZA</v>
          </cell>
          <cell r="CS310" t="str">
            <v>CCUDyAZA</v>
          </cell>
          <cell r="CT310" t="str">
            <v>CCUDyAZA</v>
          </cell>
          <cell r="CU310" t="str">
            <v>CCUDyAZA</v>
          </cell>
          <cell r="CV310" t="str">
            <v>CCUDyAZA</v>
          </cell>
          <cell r="CW310" t="str">
            <v>CCUDyAZA</v>
          </cell>
        </row>
        <row r="311">
          <cell r="D311" t="str">
            <v>KBV620</v>
          </cell>
          <cell r="E311" t="str">
            <v>Chasis</v>
          </cell>
          <cell r="F311" t="str">
            <v>Chasis</v>
          </cell>
          <cell r="G311" t="str">
            <v>Chasis</v>
          </cell>
          <cell r="N311" t="str">
            <v>TDU</v>
          </cell>
          <cell r="O311" t="str">
            <v>TDU</v>
          </cell>
          <cell r="P311" t="str">
            <v>No</v>
          </cell>
          <cell r="Q311" t="str">
            <v>Propio</v>
          </cell>
          <cell r="R311">
            <v>12</v>
          </cell>
          <cell r="S311" t="str">
            <v>Propio</v>
          </cell>
          <cell r="T311" t="str">
            <v>MERCEDES BENZ</v>
          </cell>
          <cell r="U311" t="str">
            <v>L-1318</v>
          </cell>
          <cell r="V311" t="str">
            <v>904976U0942499</v>
          </cell>
          <cell r="W311" t="str">
            <v>9BM694000CB790128</v>
          </cell>
          <cell r="X311">
            <v>2011</v>
          </cell>
          <cell r="Y311">
            <v>15</v>
          </cell>
          <cell r="Z311" t="str">
            <v>TDU</v>
          </cell>
          <cell r="AA311" t="str">
            <v>CMQ_TTE - QUILMES TTE</v>
          </cell>
          <cell r="AB311" t="str">
            <v>CMQ_TTE - QUILMES TTE</v>
          </cell>
          <cell r="AC311" t="str">
            <v>CMQ_TTE - QUILMES TTE</v>
          </cell>
          <cell r="AD311" t="str">
            <v>CMQ_TTE - QUILMES TTE</v>
          </cell>
          <cell r="AE311" t="str">
            <v>CMQ_TTE - QUILMES TTE</v>
          </cell>
          <cell r="AF311" t="str">
            <v>CMQ_TTE - QUILMES TTE</v>
          </cell>
          <cell r="AG311" t="str">
            <v>CMQ_TTE - QUILMES TTE</v>
          </cell>
          <cell r="AH311" t="str">
            <v>CMQ_TTE - QUILMES TTE</v>
          </cell>
          <cell r="AI311" t="str">
            <v>CMQ_TTE - QUILMES TTE</v>
          </cell>
          <cell r="AJ311" t="str">
            <v>CMQ_TTE - QUILMES TTE</v>
          </cell>
          <cell r="AK311" t="str">
            <v>CMQ_TTE - QUILMES TTE</v>
          </cell>
          <cell r="AL311" t="str">
            <v>CMQ_TTE - QUILMES TTE</v>
          </cell>
          <cell r="AM311" t="str">
            <v>CMQ_TTE - QUILMES TTE</v>
          </cell>
          <cell r="AN311" t="str">
            <v>CMQ_TTE - QUILMES TTE</v>
          </cell>
          <cell r="AO311" t="str">
            <v>CMQ_TTE - QUILMES TTE</v>
          </cell>
          <cell r="AP311" t="str">
            <v>CMQ_TTE - QUILMES TTE</v>
          </cell>
          <cell r="AQ311" t="str">
            <v>CMQ_TTE - QUILMES TTE</v>
          </cell>
          <cell r="AR311" t="str">
            <v>CMQ_TTE - QUILMES TTE</v>
          </cell>
          <cell r="AS311" t="str">
            <v>CMQ_TTE - QUILMES TTE</v>
          </cell>
          <cell r="AT311" t="str">
            <v>CMQ_TTE - QUILMES TTE</v>
          </cell>
          <cell r="AU311" t="str">
            <v>CMQ_TTE - QUILMES TTE</v>
          </cell>
          <cell r="AV311" t="str">
            <v>CMQ_TTE - QUILMES TTE</v>
          </cell>
          <cell r="AW311" t="str">
            <v>CMQ_TTE - QUILMES TTE</v>
          </cell>
          <cell r="AX311" t="str">
            <v>CMQ_TTE - QUILMES TTE</v>
          </cell>
          <cell r="AY311" t="str">
            <v>CMQ_TTE - QUILMES TTE</v>
          </cell>
          <cell r="AZ311" t="str">
            <v>CMQ_TTE - QUILMES TTE</v>
          </cell>
          <cell r="BA311" t="str">
            <v>CMQ_TTE - QUILMES TTE</v>
          </cell>
          <cell r="BB311" t="str">
            <v>CMQ_TTE - QUILMES TTE</v>
          </cell>
          <cell r="BC311" t="str">
            <v>CMQ_TTE - QUILMES TTE</v>
          </cell>
          <cell r="BD311" t="str">
            <v>CMQ_TTE - QUILMES TTE</v>
          </cell>
          <cell r="BE311" t="str">
            <v>CMQ_TTE - QUILMES TTE</v>
          </cell>
          <cell r="BF311" t="str">
            <v>CMQ_TTE - QUILMES TTE</v>
          </cell>
          <cell r="BG311" t="str">
            <v>CMQ_TTE - QUILMES TTE</v>
          </cell>
          <cell r="BH311" t="str">
            <v>CMQ_TTE - QUILMES TTE</v>
          </cell>
          <cell r="BI311" t="str">
            <v>ADA_Mino - Danone Arg. S.A. - Mino</v>
          </cell>
          <cell r="BJ311" t="str">
            <v>ADA_Mino - Danone Arg. S.A. - Mino</v>
          </cell>
          <cell r="BK311" t="str">
            <v>ADA_Mino - Danone Arg. S.A. - Mino</v>
          </cell>
          <cell r="BL311" t="str">
            <v>ADA_Mino - Danone Arg. S.A. - Mino</v>
          </cell>
          <cell r="BM311" t="str">
            <v>ADA_Mino - Danone Arg. S.A. - Mino</v>
          </cell>
          <cell r="BN311" t="str">
            <v>ADA_Mino - Danone Arg. S.A. - Mino</v>
          </cell>
          <cell r="BO311" t="str">
            <v>ADA_Mino - Danone Arg. S.A. - Mino</v>
          </cell>
          <cell r="BP311" t="str">
            <v>ADA_Mino - Danone Arg. S.A. - Mino</v>
          </cell>
          <cell r="BQ311" t="str">
            <v>ADA_Mino - Danone Arg. S.A. - Mino</v>
          </cell>
          <cell r="BR311" t="str">
            <v>ADA_Mino - Danone Arg. S.A. - Mino</v>
          </cell>
          <cell r="BS311" t="str">
            <v>ADA_Mino - Danone Arg. S.A. - Mino</v>
          </cell>
          <cell r="BT311" t="str">
            <v>ADA_Mino - Danone Arg. S.A. - Mino</v>
          </cell>
          <cell r="BU311" t="str">
            <v>CCUCoAZA</v>
          </cell>
          <cell r="BV311" t="str">
            <v>CCUCoAZA</v>
          </cell>
          <cell r="BW311" t="str">
            <v>CCUCoAZA</v>
          </cell>
          <cell r="BX311" t="str">
            <v>CCUCoAZA</v>
          </cell>
          <cell r="BY311" t="str">
            <v>CCUCoAZA</v>
          </cell>
          <cell r="BZ311" t="str">
            <v>CCUCoAZA</v>
          </cell>
          <cell r="CA311" t="str">
            <v>CCUCoAZA</v>
          </cell>
          <cell r="CB311" t="str">
            <v>CCUCoAZA</v>
          </cell>
          <cell r="CC311" t="str">
            <v>CCUCoAZA</v>
          </cell>
          <cell r="CD311" t="str">
            <v>CCUCoAZA</v>
          </cell>
          <cell r="CE311" t="str">
            <v>CCUCoAZA</v>
          </cell>
          <cell r="CF311" t="str">
            <v>CCUCoAZA</v>
          </cell>
          <cell r="CG311" t="str">
            <v>CCUCoAZA</v>
          </cell>
          <cell r="CH311" t="str">
            <v>CCUCoAZA</v>
          </cell>
          <cell r="CI311" t="str">
            <v>CCUCoAZA</v>
          </cell>
          <cell r="CJ311" t="str">
            <v>CCUCoAZA</v>
          </cell>
          <cell r="CK311" t="str">
            <v>CCUCoAZA</v>
          </cell>
          <cell r="CL311" t="str">
            <v>CCUCoAZA</v>
          </cell>
          <cell r="CM311" t="str">
            <v>CCUCoAZA</v>
          </cell>
          <cell r="CN311" t="str">
            <v>CCUCoAZA</v>
          </cell>
          <cell r="CO311" t="str">
            <v>CCUCoAZA</v>
          </cell>
          <cell r="CP311" t="str">
            <v>CCUCoAZA</v>
          </cell>
          <cell r="CQ311" t="str">
            <v>CCUCoAZA</v>
          </cell>
          <cell r="CR311" t="str">
            <v>CCUCoAZA</v>
          </cell>
          <cell r="CS311" t="str">
            <v>CCUCoAZA</v>
          </cell>
          <cell r="CT311" t="str">
            <v>CCUCoAZA</v>
          </cell>
          <cell r="CU311" t="str">
            <v>CCUCoAZA</v>
          </cell>
          <cell r="CV311" t="str">
            <v>CCUCoAZA</v>
          </cell>
          <cell r="CW311" t="str">
            <v>CCUCoAZA</v>
          </cell>
        </row>
        <row r="312">
          <cell r="D312" t="str">
            <v>KDG188</v>
          </cell>
          <cell r="E312" t="str">
            <v>Chasis</v>
          </cell>
          <cell r="F312" t="str">
            <v>Chasis</v>
          </cell>
          <cell r="G312" t="str">
            <v>Chasis</v>
          </cell>
          <cell r="N312" t="str">
            <v>TDU</v>
          </cell>
          <cell r="O312" t="str">
            <v>TDU</v>
          </cell>
          <cell r="P312" t="str">
            <v>No</v>
          </cell>
          <cell r="Q312" t="str">
            <v>Propio</v>
          </cell>
          <cell r="R312">
            <v>12</v>
          </cell>
          <cell r="S312" t="str">
            <v>Propio</v>
          </cell>
          <cell r="T312" t="str">
            <v>MERCEDES BENZ</v>
          </cell>
          <cell r="U312" t="str">
            <v>L-1318</v>
          </cell>
          <cell r="V312" t="str">
            <v>904976U092670</v>
          </cell>
          <cell r="W312" t="str">
            <v>9BM694042BB771626</v>
          </cell>
          <cell r="X312">
            <v>2011</v>
          </cell>
          <cell r="Y312">
            <v>15</v>
          </cell>
          <cell r="Z312" t="str">
            <v>TDU</v>
          </cell>
          <cell r="AA312" t="str">
            <v>CMQ_TTE - QUILMES TTE</v>
          </cell>
          <cell r="AB312" t="str">
            <v>CMQ_TTE - QUILMES TTE</v>
          </cell>
          <cell r="AC312" t="str">
            <v>CMQ_TTE - QUILMES TTE</v>
          </cell>
          <cell r="AD312" t="str">
            <v>CMQ_TTE - QUILMES TTE</v>
          </cell>
          <cell r="AE312" t="str">
            <v>CMQ_TTE - QUILMES TTE</v>
          </cell>
          <cell r="AF312" t="str">
            <v>CMQ_TTE - QUILMES TTE</v>
          </cell>
          <cell r="AG312" t="str">
            <v>CMQ_TTE - QUILMES TTE</v>
          </cell>
          <cell r="AH312" t="str">
            <v>CMQ_TTE - QUILMES TTE</v>
          </cell>
          <cell r="AI312" t="str">
            <v>CMQ_TTE - QUILMES TTE</v>
          </cell>
          <cell r="AJ312" t="str">
            <v>CMQ_TTE - QUILMES TTE</v>
          </cell>
          <cell r="AK312" t="str">
            <v>CMQ_TTE - QUILMES TTE</v>
          </cell>
          <cell r="AL312" t="str">
            <v>CMQ_TTE - QUILMES TTE</v>
          </cell>
          <cell r="AM312" t="str">
            <v>CMQ_TTE - QUILMES TTE</v>
          </cell>
          <cell r="AN312" t="str">
            <v>CMQ_TTE - QUILMES TTE</v>
          </cell>
          <cell r="AO312" t="str">
            <v>CMQ_TTE - QUILMES TTE</v>
          </cell>
          <cell r="AP312" t="str">
            <v>CMQ_TTE - QUILMES TTE</v>
          </cell>
          <cell r="AQ312" t="str">
            <v>CMQ_TTE - QUILMES TTE</v>
          </cell>
          <cell r="AR312" t="str">
            <v>CMQ_TTE - QUILMES TTE</v>
          </cell>
          <cell r="AS312" t="str">
            <v>CMQ_TTE - QUILMES TTE</v>
          </cell>
          <cell r="AT312" t="str">
            <v>CMQ_TTE - QUILMES TTE</v>
          </cell>
          <cell r="AU312" t="str">
            <v>CMQ_TTE - QUILMES TTE</v>
          </cell>
          <cell r="AV312" t="str">
            <v>CMQ_TTE - QUILMES TTE</v>
          </cell>
          <cell r="AW312" t="str">
            <v>CMQ_TTE - QUILMES TTE</v>
          </cell>
          <cell r="AX312" t="str">
            <v>CMQ_TTE - QUILMES TTE</v>
          </cell>
          <cell r="AY312" t="str">
            <v>CMQ_TTE - QUILMES TTE</v>
          </cell>
          <cell r="AZ312" t="str">
            <v>CMQ_TTE - QUILMES TTE</v>
          </cell>
          <cell r="BA312" t="str">
            <v>CMQ_TTE - QUILMES TTE</v>
          </cell>
          <cell r="BB312" t="str">
            <v>CMQ_TTE - QUILMES TTE</v>
          </cell>
          <cell r="BC312" t="str">
            <v>CMQ_TTE - QUILMES TTE</v>
          </cell>
          <cell r="BD312" t="str">
            <v>CMQ_TTE - QUILMES TTE</v>
          </cell>
          <cell r="BE312" t="str">
            <v>CMQ_TTE - QUILMES TTE</v>
          </cell>
          <cell r="BF312" t="str">
            <v>CMQ_TTE - QUILMES TTE</v>
          </cell>
          <cell r="BG312" t="str">
            <v>CMQ_TTE - QUILMES TTE</v>
          </cell>
          <cell r="BH312" t="str">
            <v>CMQ_TTE - QUILMES TTE</v>
          </cell>
          <cell r="BI312" t="str">
            <v>CMQ_TTE - QUILMES TTE</v>
          </cell>
          <cell r="BJ312" t="str">
            <v>CMQ_TTE - QUILMES TTE</v>
          </cell>
          <cell r="BK312" t="str">
            <v>CMQ_TTE - QUILMES TTE</v>
          </cell>
          <cell r="BL312" t="str">
            <v>CMQ_TTE - QUILMES TTE</v>
          </cell>
          <cell r="BM312" t="str">
            <v>CMQ_TTE - QUILMES TTE</v>
          </cell>
          <cell r="BN312" t="str">
            <v>ADA_Mino - Danone Arg. S.A. - Mino</v>
          </cell>
          <cell r="BO312" t="str">
            <v>ADA_Mino - Danone Arg. S.A. - Mino</v>
          </cell>
          <cell r="BP312" t="str">
            <v>ADA_Mino - Danone Arg. S.A. - Mino</v>
          </cell>
          <cell r="BQ312" t="str">
            <v>ADA_Mino - Danone Arg. S.A. - Mino</v>
          </cell>
          <cell r="BR312" t="str">
            <v>ADA_Mino - Danone Arg. S.A. - Mino</v>
          </cell>
          <cell r="BS312" t="str">
            <v>ADA_Mino - Danone Arg. S.A. - Mino</v>
          </cell>
          <cell r="BT312" t="str">
            <v>ADA_Mino - Danone Arg. S.A. - Mino</v>
          </cell>
          <cell r="BU312" t="str">
            <v>CCUCoAZA</v>
          </cell>
          <cell r="BV312" t="str">
            <v>CCUCoAZA</v>
          </cell>
          <cell r="BW312" t="str">
            <v>CCUCoAZA</v>
          </cell>
          <cell r="BX312" t="str">
            <v>CCUCoAZA</v>
          </cell>
          <cell r="BY312" t="str">
            <v>CCUCoAZA</v>
          </cell>
          <cell r="BZ312" t="str">
            <v>CCUCoAZA</v>
          </cell>
          <cell r="CA312" t="str">
            <v>CCUCoAZA</v>
          </cell>
          <cell r="CB312" t="str">
            <v>CCUCoAZA</v>
          </cell>
          <cell r="CC312" t="str">
            <v>CCUCoAZA</v>
          </cell>
          <cell r="CD312" t="str">
            <v>CCUCoAZA</v>
          </cell>
          <cell r="CE312" t="str">
            <v>CCUCoAZA</v>
          </cell>
          <cell r="CF312" t="str">
            <v>CCUCoAZA</v>
          </cell>
          <cell r="CG312" t="str">
            <v>CCUCoAZA</v>
          </cell>
          <cell r="CH312" t="str">
            <v>CCUCoAZA</v>
          </cell>
          <cell r="CI312" t="str">
            <v>CCUCoAZA</v>
          </cell>
          <cell r="CJ312" t="str">
            <v>CCUCoAZA</v>
          </cell>
          <cell r="CK312" t="str">
            <v>CCUCoAZA</v>
          </cell>
          <cell r="CL312" t="str">
            <v>CCUCoAZA</v>
          </cell>
          <cell r="CM312" t="str">
            <v>CCUCoAZA</v>
          </cell>
          <cell r="CN312" t="str">
            <v>CCUCoAZA</v>
          </cell>
          <cell r="CO312" t="str">
            <v>CCUCoAZA</v>
          </cell>
          <cell r="CP312" t="str">
            <v>CCUCoAZA</v>
          </cell>
          <cell r="CQ312" t="str">
            <v>CCUCoAZA</v>
          </cell>
          <cell r="CR312" t="str">
            <v>CCUCoAZA</v>
          </cell>
          <cell r="CS312" t="str">
            <v>CCUCoAZA</v>
          </cell>
          <cell r="CT312" t="str">
            <v>CCUCoAZA</v>
          </cell>
          <cell r="CU312" t="str">
            <v>CCUCoAZA</v>
          </cell>
          <cell r="CV312" t="str">
            <v>CCUCoAZA</v>
          </cell>
          <cell r="CW312" t="str">
            <v>CCUCoAZA</v>
          </cell>
        </row>
        <row r="313">
          <cell r="D313" t="str">
            <v>KDN278</v>
          </cell>
          <cell r="E313" t="str">
            <v>CHASIS</v>
          </cell>
          <cell r="F313">
            <v>0</v>
          </cell>
          <cell r="G313" t="str">
            <v>Chasis</v>
          </cell>
          <cell r="N313" t="str">
            <v>LUCONI DAMIAN EUGENIO</v>
          </cell>
          <cell r="O313" t="str">
            <v>LUCONI DAMIAN EUGENIO</v>
          </cell>
          <cell r="P313" t="str">
            <v>No</v>
          </cell>
          <cell r="Q313" t="str">
            <v>Alquilados</v>
          </cell>
          <cell r="R313" t="str">
            <v>-</v>
          </cell>
          <cell r="S313" t="str">
            <v>Alquilados</v>
          </cell>
          <cell r="T313" t="str">
            <v>IVECO</v>
          </cell>
          <cell r="U313" t="str">
            <v>DAILY 35C14 PASO 3750</v>
          </cell>
          <cell r="V313">
            <v>2011</v>
          </cell>
          <cell r="W313">
            <v>15</v>
          </cell>
          <cell r="X313">
            <v>2011</v>
          </cell>
          <cell r="Y313">
            <v>15</v>
          </cell>
          <cell r="Z313" t="str">
            <v>Malargue</v>
          </cell>
          <cell r="AA313" t="str">
            <v>Expreso - Servicios Troncales</v>
          </cell>
          <cell r="AB313" t="str">
            <v>Expreso - Servicios Troncales</v>
          </cell>
          <cell r="AC313" t="str">
            <v>Expreso - Servicios Troncales</v>
          </cell>
          <cell r="AD313" t="str">
            <v>Expreso - Servicios Troncales</v>
          </cell>
          <cell r="AE313" t="str">
            <v>Expreso - Servicios Troncales</v>
          </cell>
          <cell r="AF313" t="str">
            <v>Expreso - Servicios Troncales</v>
          </cell>
          <cell r="AG313" t="str">
            <v>Expreso - Servicios Troncales</v>
          </cell>
          <cell r="AH313" t="str">
            <v>Expreso - Servicios Troncales</v>
          </cell>
          <cell r="AI313" t="str">
            <v>Expreso - Servicios Troncales</v>
          </cell>
          <cell r="AJ313" t="str">
            <v>Expreso - Servicios Troncales</v>
          </cell>
          <cell r="AK313" t="str">
            <v>Expreso - Servicios Troncales</v>
          </cell>
          <cell r="AL313" t="str">
            <v>Expreso - Servicios Troncales</v>
          </cell>
          <cell r="AM313" t="str">
            <v>Expreso - Servicios Troncales</v>
          </cell>
          <cell r="AN313" t="str">
            <v>Expreso - Servicios Troncales</v>
          </cell>
          <cell r="AO313" t="str">
            <v>Expreso - Servicios Troncales</v>
          </cell>
          <cell r="AP313" t="str">
            <v>Expreso - Servicios Troncales</v>
          </cell>
          <cell r="AQ313" t="str">
            <v>Expreso - Servicios Troncales</v>
          </cell>
          <cell r="AR313" t="str">
            <v>Expreso - Servicios Troncales</v>
          </cell>
          <cell r="AS313" t="str">
            <v>Expreso - Servicios Troncales</v>
          </cell>
          <cell r="AT313" t="str">
            <v>Expreso - Servicios Troncales</v>
          </cell>
          <cell r="AU313" t="str">
            <v>Expreso - Servicios Troncales</v>
          </cell>
          <cell r="AV313" t="str">
            <v>Expreso - Servicios Troncales</v>
          </cell>
          <cell r="AW313" t="str">
            <v>Expreso - Servicios Troncales</v>
          </cell>
          <cell r="AX313" t="str">
            <v>Expreso - Servicios Troncales</v>
          </cell>
          <cell r="AY313" t="str">
            <v>Expreso - Servicios Troncales</v>
          </cell>
          <cell r="AZ313" t="str">
            <v>Expreso - Servicios Troncales</v>
          </cell>
          <cell r="BA313" t="str">
            <v>Expreso - Servicios Troncales</v>
          </cell>
          <cell r="BB313" t="str">
            <v>Expreso - Servicios Troncales</v>
          </cell>
          <cell r="BC313" t="str">
            <v>Expreso - Servicios Troncales</v>
          </cell>
          <cell r="BD313" t="str">
            <v>SUC_MEN - Sucursal Mendoza</v>
          </cell>
          <cell r="BE313" t="str">
            <v>SUC_MEN - Sucursal Mendoza</v>
          </cell>
          <cell r="BF313" t="str">
            <v>SUC_MEN - Sucursal Mendoza</v>
          </cell>
          <cell r="BG313" t="str">
            <v>SUC_MEN - Sucursal Mendoza</v>
          </cell>
          <cell r="BH313" t="str">
            <v>SUC_MEN - Sucursal Mendoza</v>
          </cell>
          <cell r="BI313" t="str">
            <v>SUC_MEN - Sucursal Mendoza</v>
          </cell>
          <cell r="BJ313" t="str">
            <v>SUC_MEN - Sucursal Mendoza</v>
          </cell>
          <cell r="BK313" t="str">
            <v>SUC_MEN - Sucursal Mendoza</v>
          </cell>
          <cell r="BL313" t="str">
            <v>SUC_MEN - Sucursal Mendoza</v>
          </cell>
          <cell r="BM313" t="str">
            <v>SUC_MEN - Sucursal Mendoza</v>
          </cell>
          <cell r="BN313" t="str">
            <v>SUC_MEN - Sucursal Mendoza</v>
          </cell>
          <cell r="BO313" t="str">
            <v>SUC_MEN - Sucursal Mendoza</v>
          </cell>
          <cell r="BP313" t="str">
            <v>SUC_MEN - Sucursal Mendoza</v>
          </cell>
          <cell r="BQ313" t="str">
            <v>SUC_MEN - Sucursal Mendoza</v>
          </cell>
          <cell r="BR313" t="str">
            <v>SUC_MEN - Sucursal Mendoza</v>
          </cell>
          <cell r="BS313" t="str">
            <v>SUC_MEN - Sucursal Mendoza</v>
          </cell>
          <cell r="BT313" t="str">
            <v>SUC_MEN - Sucursal Mendoza</v>
          </cell>
          <cell r="BU313" t="str">
            <v>SUC_MEN - Sucursal Mendoza</v>
          </cell>
          <cell r="BV313" t="str">
            <v>SUC_MEN - Sucursal Mendoza</v>
          </cell>
          <cell r="BW313" t="str">
            <v>SUC_MEN - Sucursal Mendoza</v>
          </cell>
          <cell r="BX313" t="str">
            <v>SUC_MEN - Sucursal Mendoza</v>
          </cell>
          <cell r="BY313" t="str">
            <v>SUC_MEN - Sucursal Mendoza</v>
          </cell>
          <cell r="BZ313" t="str">
            <v>SUC_MEN - Sucursal Mendoza</v>
          </cell>
          <cell r="CA313" t="str">
            <v>SUC_MEN - Sucursal Mendoza</v>
          </cell>
          <cell r="CB313" t="str">
            <v>SUC_MEN - Sucursal Mendoza</v>
          </cell>
          <cell r="CC313" t="str">
            <v>SUC_MEN - Sucursal Mendoza</v>
          </cell>
          <cell r="CD313" t="str">
            <v>SUC_MEN - Sucursal Mendoza</v>
          </cell>
          <cell r="CE313" t="str">
            <v>SUC_MEN - Sucursal Mendoza</v>
          </cell>
          <cell r="CF313" t="str">
            <v>SUC_MEN - Sucursal Mendoza</v>
          </cell>
          <cell r="CG313" t="str">
            <v>SUC_MEN - Sucursal Mendoza</v>
          </cell>
          <cell r="CH313" t="str">
            <v>SUC_MEN - Sucursal Mendoza</v>
          </cell>
          <cell r="CI313" t="str">
            <v>SUC_MEN - Sucursal Mendoza</v>
          </cell>
          <cell r="CJ313" t="str">
            <v>SUC_MEN - Sucursal Mendoza</v>
          </cell>
          <cell r="CK313" t="str">
            <v>SUC_MEN - Sucursal Mendoza</v>
          </cell>
          <cell r="CL313" t="str">
            <v>SUC_MEN - Sucursal Mendoza</v>
          </cell>
          <cell r="CM313" t="str">
            <v>SUC_MEN - Sucursal Mendoza</v>
          </cell>
          <cell r="CN313" t="str">
            <v>SUC_MEN - Sucursal Mendoza</v>
          </cell>
          <cell r="CO313" t="str">
            <v>SUC_MEN - Sucursal Mendoza</v>
          </cell>
          <cell r="CP313" t="str">
            <v>SUC_MEN - Sucursal Mendoza</v>
          </cell>
          <cell r="CQ313" t="str">
            <v>SUC_MEN - Sucursal Mendoza</v>
          </cell>
          <cell r="CR313" t="str">
            <v>BAJA</v>
          </cell>
          <cell r="CS313" t="str">
            <v>BAJA</v>
          </cell>
          <cell r="CT313" t="str">
            <v>BAJA</v>
          </cell>
          <cell r="CU313" t="str">
            <v>BAJA</v>
          </cell>
          <cell r="CV313" t="str">
            <v>BAJA</v>
          </cell>
          <cell r="CW313" t="str">
            <v>BAJA</v>
          </cell>
        </row>
        <row r="314">
          <cell r="D314" t="str">
            <v>KDP489</v>
          </cell>
          <cell r="E314" t="str">
            <v>Chasis</v>
          </cell>
          <cell r="F314">
            <v>0</v>
          </cell>
          <cell r="G314" t="str">
            <v>Balancin</v>
          </cell>
          <cell r="N314" t="str">
            <v>PORTICELLA RUBEN ALFREDO</v>
          </cell>
          <cell r="O314" t="str">
            <v>PORTICELLA RUBEN ALFREDO</v>
          </cell>
          <cell r="P314" t="str">
            <v>No</v>
          </cell>
          <cell r="Q314" t="str">
            <v>De Tercero</v>
          </cell>
          <cell r="R314" t="str">
            <v>-</v>
          </cell>
          <cell r="S314" t="str">
            <v>De Tercero</v>
          </cell>
          <cell r="T314" t="str">
            <v>IVECO</v>
          </cell>
          <cell r="U314">
            <v>1.7E+24</v>
          </cell>
          <cell r="V314">
            <v>2011</v>
          </cell>
          <cell r="W314">
            <v>15</v>
          </cell>
          <cell r="X314">
            <v>2011</v>
          </cell>
          <cell r="Y314">
            <v>15</v>
          </cell>
          <cell r="Z314" t="str">
            <v>TDU</v>
          </cell>
          <cell r="AA314" t="str">
            <v>CMQ_TTE - QUILMES TTE</v>
          </cell>
          <cell r="AB314" t="str">
            <v>CMQ_TTE - QUILMES TTE</v>
          </cell>
          <cell r="AC314" t="str">
            <v>CMQ_TTE - QUILMES TTE</v>
          </cell>
          <cell r="AD314" t="str">
            <v>CMQ_TTE - QUILMES TTE</v>
          </cell>
          <cell r="AE314" t="str">
            <v>CMQ_TTE - QUILMES TTE</v>
          </cell>
          <cell r="AF314" t="str">
            <v>CMQ_TTE - QUILMES TTE</v>
          </cell>
          <cell r="AG314" t="str">
            <v>CMQ_TTE - QUILMES TTE</v>
          </cell>
          <cell r="AH314" t="str">
            <v>CMQ_TTE - QUILMES TTE</v>
          </cell>
          <cell r="AI314" t="str">
            <v>CMQ_TTE - QUILMES TTE</v>
          </cell>
          <cell r="AJ314" t="str">
            <v>CMQ_TTE - QUILMES TTE</v>
          </cell>
          <cell r="AK314" t="str">
            <v>CMQ_TTE - QUILMES TTE</v>
          </cell>
          <cell r="AL314" t="str">
            <v>CMQ_TTE - QUILMES TTE</v>
          </cell>
          <cell r="AM314" t="str">
            <v>CMQ_TTE - QUILMES TTE</v>
          </cell>
          <cell r="AN314" t="str">
            <v>CMQ_TTE - QUILMES TTE</v>
          </cell>
          <cell r="AO314" t="str">
            <v>CMQ_TTE - QUILMES TTE</v>
          </cell>
          <cell r="AP314" t="str">
            <v>CMQ_TTE - QUILMES TTE</v>
          </cell>
          <cell r="AQ314" t="str">
            <v>CMQ_TTE - QUILMES TTE</v>
          </cell>
          <cell r="AR314" t="str">
            <v>CMQ_TTE - QUILMES TTE</v>
          </cell>
          <cell r="AS314" t="str">
            <v>CMQ_TTE - QUILMES TTE</v>
          </cell>
          <cell r="AT314" t="str">
            <v>CMQ_TTE - QUILMES TTE</v>
          </cell>
          <cell r="AU314" t="str">
            <v>CMQ_TTE - QUILMES TTE</v>
          </cell>
          <cell r="AV314" t="str">
            <v>CMQ_TTE - QUILMES TTE</v>
          </cell>
          <cell r="AW314" t="str">
            <v>CMQ_TTE - QUILMES TTE</v>
          </cell>
          <cell r="AX314" t="str">
            <v>INACTIVO</v>
          </cell>
          <cell r="AY314" t="str">
            <v>INACTIVO</v>
          </cell>
          <cell r="AZ314" t="str">
            <v>INACTIVO</v>
          </cell>
          <cell r="BA314" t="str">
            <v>INACTIVO</v>
          </cell>
          <cell r="BB314" t="str">
            <v>INACTIVO</v>
          </cell>
          <cell r="BC314" t="str">
            <v>INACTIVO</v>
          </cell>
          <cell r="BD314" t="str">
            <v>INACTIVO</v>
          </cell>
          <cell r="BE314" t="str">
            <v>INACTIVO</v>
          </cell>
          <cell r="BF314" t="str">
            <v>INACTIVO</v>
          </cell>
          <cell r="BG314" t="str">
            <v>INACTIVO</v>
          </cell>
          <cell r="BH314" t="str">
            <v>INACTIVO</v>
          </cell>
          <cell r="BI314" t="str">
            <v>INACTIVO</v>
          </cell>
          <cell r="BJ314" t="str">
            <v>INACTIVO</v>
          </cell>
          <cell r="BK314" t="str">
            <v>INACTIVO</v>
          </cell>
          <cell r="BL314" t="str">
            <v>INACTIVO</v>
          </cell>
          <cell r="BM314" t="str">
            <v>INACTIVO</v>
          </cell>
          <cell r="BN314" t="str">
            <v>INACTIVO</v>
          </cell>
          <cell r="BO314" t="str">
            <v>INACTIVO</v>
          </cell>
          <cell r="BP314" t="str">
            <v>INACTIVO</v>
          </cell>
          <cell r="BQ314" t="str">
            <v>INACTIVO</v>
          </cell>
          <cell r="BR314" t="str">
            <v>INACTIVO</v>
          </cell>
          <cell r="BS314" t="str">
            <v>INACTIVO</v>
          </cell>
          <cell r="BT314" t="str">
            <v>INACTIVO</v>
          </cell>
          <cell r="BU314" t="str">
            <v>INACTIVO</v>
          </cell>
          <cell r="BV314" t="str">
            <v>INACTIVO</v>
          </cell>
          <cell r="BW314" t="str">
            <v>INACTIVO</v>
          </cell>
          <cell r="BX314" t="str">
            <v>INACTIVO</v>
          </cell>
          <cell r="BY314" t="str">
            <v>INACTIVO</v>
          </cell>
          <cell r="BZ314" t="str">
            <v>INACTIVO</v>
          </cell>
          <cell r="CA314" t="str">
            <v>INACTIVO</v>
          </cell>
          <cell r="CB314" t="str">
            <v>INACTIVO</v>
          </cell>
          <cell r="CC314" t="str">
            <v>BAJA</v>
          </cell>
          <cell r="CD314" t="str">
            <v>BAJA</v>
          </cell>
          <cell r="CE314" t="str">
            <v>BAJA</v>
          </cell>
          <cell r="CF314" t="str">
            <v>BAJA</v>
          </cell>
          <cell r="CG314" t="str">
            <v>BAJA</v>
          </cell>
          <cell r="CH314" t="str">
            <v>BAJA</v>
          </cell>
          <cell r="CI314" t="str">
            <v>BAJA</v>
          </cell>
          <cell r="CJ314" t="str">
            <v>BAJA</v>
          </cell>
          <cell r="CK314" t="str">
            <v>BAJA</v>
          </cell>
          <cell r="CL314" t="str">
            <v>BAJA</v>
          </cell>
          <cell r="CM314" t="str">
            <v>BAJA</v>
          </cell>
          <cell r="CN314" t="str">
            <v>BAJA</v>
          </cell>
          <cell r="CO314" t="str">
            <v>BAJA</v>
          </cell>
          <cell r="CP314" t="str">
            <v>BAJA</v>
          </cell>
          <cell r="CQ314" t="str">
            <v>BAJA</v>
          </cell>
          <cell r="CR314" t="str">
            <v>BAJA</v>
          </cell>
          <cell r="CS314" t="str">
            <v>BAJA</v>
          </cell>
          <cell r="CT314" t="str">
            <v>BAJA</v>
          </cell>
          <cell r="CU314" t="str">
            <v>BAJA</v>
          </cell>
          <cell r="CV314" t="str">
            <v>BAJA</v>
          </cell>
          <cell r="CW314" t="str">
            <v>BAJA</v>
          </cell>
        </row>
        <row r="315">
          <cell r="D315" t="str">
            <v>KER727</v>
          </cell>
          <cell r="E315" t="str">
            <v>Chasis</v>
          </cell>
          <cell r="F315" t="str">
            <v>Chasis</v>
          </cell>
          <cell r="G315" t="str">
            <v>Chasis</v>
          </cell>
          <cell r="N315" t="str">
            <v>TDU</v>
          </cell>
          <cell r="O315" t="str">
            <v>TDU</v>
          </cell>
          <cell r="P315" t="str">
            <v>No</v>
          </cell>
          <cell r="Q315" t="str">
            <v>Propio</v>
          </cell>
          <cell r="R315">
            <v>12</v>
          </cell>
          <cell r="S315" t="str">
            <v>Propio</v>
          </cell>
          <cell r="T315" t="str">
            <v>MERCEDES BENZ</v>
          </cell>
          <cell r="U315" t="str">
            <v>ATEGO 1418/48 FRONTAL</v>
          </cell>
          <cell r="V315" t="str">
            <v>904967U0940250</v>
          </cell>
          <cell r="W315" t="str">
            <v>9BM958034CB787494</v>
          </cell>
          <cell r="X315">
            <v>2011</v>
          </cell>
          <cell r="Y315">
            <v>15</v>
          </cell>
          <cell r="Z315" t="str">
            <v>TDU</v>
          </cell>
          <cell r="AA315" t="str">
            <v>CMQ_TTE - QUILMES TTE</v>
          </cell>
          <cell r="AB315" t="str">
            <v>CMQ_TTE - QUILMES TTE</v>
          </cell>
          <cell r="AC315" t="str">
            <v>CMQ_TTE - QUILMES TTE</v>
          </cell>
          <cell r="AD315" t="str">
            <v>CMQ_TTE - QUILMES TTE</v>
          </cell>
          <cell r="AE315" t="str">
            <v>CMQ_TTE - QUILMES TTE</v>
          </cell>
          <cell r="AF315" t="str">
            <v>CMQ_TTE - QUILMES TTE</v>
          </cell>
          <cell r="AG315" t="str">
            <v>CMQ_TTE - QUILMES TTE</v>
          </cell>
          <cell r="AH315" t="str">
            <v>CMQ_TTE - QUILMES TTE</v>
          </cell>
          <cell r="AI315" t="str">
            <v>CMQ_TTE - QUILMES TTE</v>
          </cell>
          <cell r="AJ315" t="str">
            <v>CMQ_TTE - QUILMES TTE</v>
          </cell>
          <cell r="AK315" t="str">
            <v>CMQ_TTE - QUILMES TTE</v>
          </cell>
          <cell r="AL315" t="str">
            <v>CMQ_TTE - QUILMES TTE</v>
          </cell>
          <cell r="AM315" t="str">
            <v>CMQ_TTE - QUILMES TTE</v>
          </cell>
          <cell r="AN315" t="str">
            <v>CMQ_TTE - QUILMES TTE</v>
          </cell>
          <cell r="AO315" t="str">
            <v>CMQ_TTE - QUILMES TTE</v>
          </cell>
          <cell r="AP315" t="str">
            <v>CMQ_TTE - QUILMES TTE</v>
          </cell>
          <cell r="AQ315" t="str">
            <v>CMQ_TTE - QUILMES TTE</v>
          </cell>
          <cell r="AR315" t="str">
            <v>CMQ_TTE - QUILMES TTE</v>
          </cell>
          <cell r="AS315" t="str">
            <v>CMQ_TTE - QUILMES TTE</v>
          </cell>
          <cell r="AT315" t="str">
            <v>CMQ_TTE - QUILMES TTE</v>
          </cell>
          <cell r="AU315" t="str">
            <v>CMQ_TTE - QUILMES TTE</v>
          </cell>
          <cell r="AV315" t="str">
            <v>CMQ_TTE - QUILMES TTE</v>
          </cell>
          <cell r="AW315" t="str">
            <v>CMQ_TTE - QUILMES TTE</v>
          </cell>
          <cell r="AX315" t="str">
            <v>CMQ_TTE - QUILMES TTE</v>
          </cell>
          <cell r="AY315" t="str">
            <v>CMQ_TTE - QUILMES TTE</v>
          </cell>
          <cell r="AZ315" t="str">
            <v>CMQ_TTE - QUILMES TTE</v>
          </cell>
          <cell r="BA315" t="str">
            <v>CMQ_TTE - QUILMES TTE</v>
          </cell>
          <cell r="BB315" t="str">
            <v>CMQ_TTE - QUILMES TTE</v>
          </cell>
          <cell r="BC315" t="str">
            <v>CMQ_TTE - QUILMES TTE</v>
          </cell>
          <cell r="BD315" t="str">
            <v>CMQ_TTE - QUILMES TTE</v>
          </cell>
          <cell r="BE315" t="str">
            <v>CMQ_TTE - QUILMES TTE</v>
          </cell>
          <cell r="BF315" t="str">
            <v>CMQ_TTE - QUILMES TTE</v>
          </cell>
          <cell r="BG315" t="str">
            <v>CMQ_TTE - QUILMES TTE</v>
          </cell>
          <cell r="BH315" t="str">
            <v>CMQ_TTE - QUILMES TTE</v>
          </cell>
          <cell r="BI315" t="str">
            <v>CMQ_TTE - QUILMES TTE</v>
          </cell>
          <cell r="BJ315" t="str">
            <v>CMQ_TTE - QUILMES TTE</v>
          </cell>
          <cell r="BK315" t="str">
            <v>CMQ_TTE - QUILMES TTE</v>
          </cell>
          <cell r="BL315" t="str">
            <v>CMQ_TTE - QUILMES TTE</v>
          </cell>
          <cell r="BM315" t="str">
            <v>CMQ_TTE - QUILMES TTE</v>
          </cell>
          <cell r="BN315" t="str">
            <v>CMQ_TTE - QUILMES TTE</v>
          </cell>
          <cell r="BO315" t="str">
            <v>CMQ_TTE - QUILMES TTE</v>
          </cell>
          <cell r="BP315" t="str">
            <v>CMQ_TTE - QUILMES TTE</v>
          </cell>
          <cell r="BQ315" t="str">
            <v>CMQ_TTE - QUILMES TTE</v>
          </cell>
          <cell r="BR315" t="str">
            <v>CMQ_TTE - QUILMES TTE</v>
          </cell>
          <cell r="BS315" t="str">
            <v>CMQ_TTE - QUILMES TTE</v>
          </cell>
          <cell r="BT315" t="str">
            <v>CMQ_TTE - QUILMES TTE</v>
          </cell>
          <cell r="BU315" t="str">
            <v>CMQ_TTE - QUILMES TTE</v>
          </cell>
          <cell r="BV315" t="str">
            <v>CMQ_TTE - QUILMES TTE</v>
          </cell>
          <cell r="BW315" t="str">
            <v>CMQ_TTE - QUILMES TTE</v>
          </cell>
          <cell r="BX315" t="str">
            <v>CMQ_TTE - QUILMES TTE</v>
          </cell>
          <cell r="BY315" t="str">
            <v>CMQ_TTE - QUILMES TTE</v>
          </cell>
          <cell r="BZ315" t="str">
            <v>CMQ_TTE - QUILMES TTE</v>
          </cell>
          <cell r="CA315" t="str">
            <v>CMQ_TTE - QUILMES TTE</v>
          </cell>
          <cell r="CB315" t="str">
            <v>CMQ_TTE - QUILMES TTE</v>
          </cell>
          <cell r="CC315" t="str">
            <v>CMQ_TTE - QUILMES TTE</v>
          </cell>
          <cell r="CD315" t="str">
            <v>CMQ_TTE - QUILMES TTE</v>
          </cell>
          <cell r="CE315" t="str">
            <v>AGN_TTE - AGUANORT - Transporte</v>
          </cell>
          <cell r="CF315" t="str">
            <v>AGN_TTE - AGUANORT - Transporte</v>
          </cell>
          <cell r="CG315" t="str">
            <v>AGN_TTE - AGUANORT - Transporte</v>
          </cell>
          <cell r="CH315" t="str">
            <v>CMQ_TTE - QUILMES TTE</v>
          </cell>
          <cell r="CI315" t="str">
            <v>CMQ_TTE - QUILMES TTE</v>
          </cell>
          <cell r="CJ315" t="str">
            <v>CMQ_TTE - QUILMES TTE</v>
          </cell>
          <cell r="CK315" t="str">
            <v>CMQ_TTE - QUILMES TTE</v>
          </cell>
          <cell r="CL315" t="str">
            <v>CMQ_TTE - QUILMES TTE</v>
          </cell>
          <cell r="CM315" t="str">
            <v>CMQ_TTE - QUILMES TTE</v>
          </cell>
          <cell r="CN315" t="str">
            <v>CMQ_TTE - QUILMES TTE</v>
          </cell>
          <cell r="CO315" t="str">
            <v>CMQ_TTE - QUILMES TTE</v>
          </cell>
          <cell r="CP315" t="str">
            <v>CMQ_TTE - QUILMES TTE</v>
          </cell>
          <cell r="CQ315" t="str">
            <v>Sin Operación</v>
          </cell>
          <cell r="CR315" t="str">
            <v>Sin Operación</v>
          </cell>
          <cell r="CS315" t="str">
            <v>Sin Operación</v>
          </cell>
          <cell r="CT315" t="str">
            <v>Papelera - Papelera del Plata S.A.</v>
          </cell>
          <cell r="CU315" t="str">
            <v>Papelera - Papelera del Plata S.A.</v>
          </cell>
          <cell r="CV315" t="str">
            <v>Papelera - Papelera del Plata S.A.</v>
          </cell>
          <cell r="CW315" t="str">
            <v>Papelera - Papelera del Plata S.A.</v>
          </cell>
        </row>
        <row r="316">
          <cell r="D316" t="str">
            <v>AG255NE</v>
          </cell>
          <cell r="E316" t="str">
            <v>Semiremolque FRIO</v>
          </cell>
          <cell r="F316" t="str">
            <v>Semiremolque</v>
          </cell>
          <cell r="G316" t="str">
            <v>Semiremolque Termico Carnicero 14,5m 28P</v>
          </cell>
          <cell r="N316" t="str">
            <v>DYLASA</v>
          </cell>
          <cell r="O316" t="str">
            <v>DYLASA</v>
          </cell>
          <cell r="P316" t="str">
            <v>No</v>
          </cell>
          <cell r="Q316" t="str">
            <v>Propio</v>
          </cell>
          <cell r="R316">
            <v>28</v>
          </cell>
          <cell r="S316" t="str">
            <v>Propio</v>
          </cell>
          <cell r="T316" t="str">
            <v>AST-PARA</v>
          </cell>
          <cell r="U316" t="str">
            <v>FTHDCFW3</v>
          </cell>
          <cell r="V316">
            <v>0</v>
          </cell>
          <cell r="W316" t="str">
            <v>8E9298770PS238041</v>
          </cell>
          <cell r="X316">
            <v>2023</v>
          </cell>
          <cell r="Y316">
            <v>3</v>
          </cell>
          <cell r="BT316" t="str">
            <v>Sin Operación</v>
          </cell>
          <cell r="BU316" t="str">
            <v>Sin Operación</v>
          </cell>
          <cell r="BV316" t="str">
            <v>Sin Operación</v>
          </cell>
          <cell r="BW316" t="str">
            <v>Sin Operación</v>
          </cell>
          <cell r="BX316" t="str">
            <v>CENCOMLD - Cencosud SA - Mendoza</v>
          </cell>
          <cell r="BY316" t="str">
            <v>CENCOMLD - Cencosud SA - Mendoza</v>
          </cell>
          <cell r="BZ316" t="str">
            <v>CENCOMLD - Cencosud SA - Mendoza</v>
          </cell>
          <cell r="CA316" t="str">
            <v>CENCOMLD - Cencosud SA - Mendoza</v>
          </cell>
          <cell r="CB316" t="str">
            <v>CENCOMLD - Cencosud SA - Mendoza</v>
          </cell>
          <cell r="CC316" t="str">
            <v>CENCOMLD - Cencosud SA - Mendoza</v>
          </cell>
          <cell r="CD316" t="str">
            <v>CENCOMLD - Cencosud SA - Mendoza</v>
          </cell>
          <cell r="CE316" t="str">
            <v>CENCOMLD - Cencosud SA - Mendoza</v>
          </cell>
          <cell r="CF316" t="str">
            <v>CENCOMLD - Cencosud SA - Mendoza</v>
          </cell>
          <cell r="CG316" t="str">
            <v>CENCOMLD - Cencosud SA - Mendoza</v>
          </cell>
          <cell r="CH316" t="str">
            <v>CENCOMLD - Cencosud SA - Mendoza</v>
          </cell>
          <cell r="CI316" t="str">
            <v>CENCOMLD - Cencosud SA - Mendoza</v>
          </cell>
          <cell r="CJ316" t="str">
            <v>CENCOMLD - Cencosud SA - Mendoza</v>
          </cell>
          <cell r="CK316" t="str">
            <v>CENCOMLD - Cencosud SA - Mendoza</v>
          </cell>
          <cell r="CL316" t="str">
            <v>CENCOMLD - Cencosud SA - Mendoza</v>
          </cell>
          <cell r="CM316" t="str">
            <v>CENCOMLD - Cencosud SA - Mendoza</v>
          </cell>
          <cell r="CN316" t="str">
            <v>CENCOMLD - Cencosud SA - Mendoza</v>
          </cell>
          <cell r="CO316" t="str">
            <v>CENCOMLD - Cencosud SA - Mendoza</v>
          </cell>
          <cell r="CP316" t="str">
            <v>CENCOMLD - Cencosud SA - Mendoza</v>
          </cell>
          <cell r="CQ316" t="str">
            <v>CENCOMLD - Cencosud SA - Mendoza</v>
          </cell>
          <cell r="CR316" t="str">
            <v>CENCOMLD - Cencosud SA - Mendoza</v>
          </cell>
          <cell r="CS316" t="str">
            <v>CENCOMLD - Cencosud SA - Mendoza</v>
          </cell>
          <cell r="CT316" t="str">
            <v>CENCOMLD - Cencosud SA - Mendoza</v>
          </cell>
          <cell r="CU316" t="str">
            <v>CENCOMLD - Cencosud SA - Mendoza</v>
          </cell>
          <cell r="CV316" t="str">
            <v>CENCOMLD - Cencosud SA - Mendoza</v>
          </cell>
          <cell r="CW316" t="str">
            <v>CENCOMLD - Cencosud SA - Mendoza</v>
          </cell>
        </row>
        <row r="317">
          <cell r="D317" t="str">
            <v>AG255NH</v>
          </cell>
          <cell r="E317" t="str">
            <v>Semiremolque FRIO</v>
          </cell>
          <cell r="F317" t="str">
            <v>Semiremolque</v>
          </cell>
          <cell r="G317" t="str">
            <v>Semiremolque Termico Carnicero 14,5m 28P</v>
          </cell>
          <cell r="N317" t="str">
            <v>DYLASA</v>
          </cell>
          <cell r="O317" t="str">
            <v>DYLASA</v>
          </cell>
          <cell r="P317" t="str">
            <v>No</v>
          </cell>
          <cell r="Q317" t="str">
            <v>Propio</v>
          </cell>
          <cell r="R317">
            <v>28</v>
          </cell>
          <cell r="S317" t="str">
            <v>Propio</v>
          </cell>
          <cell r="T317" t="str">
            <v>AST-PARA</v>
          </cell>
          <cell r="U317" t="str">
            <v>FTHDCFW3</v>
          </cell>
          <cell r="V317">
            <v>0</v>
          </cell>
          <cell r="W317" t="str">
            <v>8E9298770PS238043</v>
          </cell>
          <cell r="X317">
            <v>2023</v>
          </cell>
          <cell r="Y317">
            <v>3</v>
          </cell>
          <cell r="BT317" t="str">
            <v>Sin Operación</v>
          </cell>
          <cell r="BU317" t="str">
            <v>Arcor S.A.I.C.</v>
          </cell>
          <cell r="BV317" t="str">
            <v>Sin Operación</v>
          </cell>
          <cell r="BW317" t="str">
            <v>Arcor S.A.I.C.</v>
          </cell>
          <cell r="BX317" t="str">
            <v>CENCOMLD - Cencosud SA - Mendoza</v>
          </cell>
          <cell r="BY317" t="str">
            <v>CENCOMLD - Cencosud SA - Mendoza</v>
          </cell>
          <cell r="BZ317" t="str">
            <v>CENCOMLD - Cencosud SA - Mendoza</v>
          </cell>
          <cell r="CA317" t="str">
            <v>CENCOMLD - Cencosud SA - Mendoza</v>
          </cell>
          <cell r="CB317" t="str">
            <v>CENCOMLD - Cencosud SA - Mendoza</v>
          </cell>
          <cell r="CC317" t="str">
            <v>CENCOMLD - Cencosud SA - Mendoza</v>
          </cell>
          <cell r="CD317" t="str">
            <v>CENCOMLD - Cencosud SA - Mendoza</v>
          </cell>
          <cell r="CE317" t="str">
            <v>CENCOMLD - Cencosud SA - Mendoza</v>
          </cell>
          <cell r="CF317" t="str">
            <v>CENCOMLD - Cencosud SA - Mendoza</v>
          </cell>
          <cell r="CG317" t="str">
            <v>CENCOMLD - Cencosud SA - Mendoza</v>
          </cell>
          <cell r="CH317" t="str">
            <v>CENCOMLD - Cencosud SA - Mendoza</v>
          </cell>
          <cell r="CI317" t="str">
            <v>CENCOMLD - Cencosud SA - Mendoza</v>
          </cell>
          <cell r="CJ317" t="str">
            <v>CENCOMLD - Cencosud SA - Mendoza</v>
          </cell>
          <cell r="CK317" t="str">
            <v>CENCOMLD - Cencosud SA - Mendoza</v>
          </cell>
          <cell r="CL317" t="str">
            <v>CENCOMLD - Cencosud SA - Mendoza</v>
          </cell>
          <cell r="CM317" t="str">
            <v>CENCOMLD - Cencosud SA - Mendoza</v>
          </cell>
          <cell r="CN317" t="str">
            <v>CENCOMLD - Cencosud SA - Mendoza</v>
          </cell>
          <cell r="CO317" t="str">
            <v>CENCOMLD - Cencosud SA - Mendoza</v>
          </cell>
          <cell r="CP317" t="str">
            <v>CENCOMLD - Cencosud SA - Mendoza</v>
          </cell>
          <cell r="CQ317" t="str">
            <v>CENCOMLD - Cencosud SA - Mendoza</v>
          </cell>
          <cell r="CR317" t="str">
            <v>CENCOMLD - Cencosud SA - Mendoza</v>
          </cell>
          <cell r="CS317" t="str">
            <v>CENCOMLD - Cencosud SA - Mendoza</v>
          </cell>
          <cell r="CT317" t="str">
            <v>CENCOMLD - Cencosud SA - Mendoza</v>
          </cell>
          <cell r="CU317" t="str">
            <v>CENCOMLD - Cencosud SA - Mendoza</v>
          </cell>
          <cell r="CV317" t="str">
            <v>CENCOMLD - Cencosud SA - Mendoza</v>
          </cell>
          <cell r="CW317" t="str">
            <v>CENCOMLD - Cencosud SA - Mendoza</v>
          </cell>
        </row>
        <row r="318">
          <cell r="D318" t="str">
            <v>AG269WH</v>
          </cell>
          <cell r="E318" t="str">
            <v>Tractor</v>
          </cell>
          <cell r="F318" t="str">
            <v>Tractor</v>
          </cell>
          <cell r="G318" t="str">
            <v>Tractor</v>
          </cell>
          <cell r="N318" t="str">
            <v>DYLASA</v>
          </cell>
          <cell r="O318" t="str">
            <v>DYLASA</v>
          </cell>
          <cell r="P318" t="str">
            <v>No</v>
          </cell>
          <cell r="Q318" t="str">
            <v>Propio</v>
          </cell>
          <cell r="R318" t="str">
            <v>-</v>
          </cell>
          <cell r="S318" t="str">
            <v>Propio</v>
          </cell>
          <cell r="T318" t="str">
            <v>MERCEDES BENZ</v>
          </cell>
          <cell r="U318" t="str">
            <v>ATEGO 1729-S36 CD TE</v>
          </cell>
          <cell r="V318" t="str">
            <v>926994U1449177</v>
          </cell>
          <cell r="W318" t="str">
            <v>8AB958077RA805437</v>
          </cell>
          <cell r="X318">
            <v>2023</v>
          </cell>
          <cell r="Y318">
            <v>3</v>
          </cell>
          <cell r="BT318" t="str">
            <v>Sin Operación</v>
          </cell>
          <cell r="BU318" t="str">
            <v>Sin Operación</v>
          </cell>
          <cell r="BV318" t="str">
            <v>Sin Operación</v>
          </cell>
          <cell r="BW318" t="str">
            <v>Sin Operación</v>
          </cell>
          <cell r="BX318" t="str">
            <v>CENCOMLD - Cencosud SA - Mendoza</v>
          </cell>
          <cell r="BY318" t="str">
            <v>CENCOMLD - Cencosud SA - Mendoza</v>
          </cell>
          <cell r="BZ318" t="str">
            <v>CENCOMLD - Cencosud SA - Mendoza</v>
          </cell>
          <cell r="CA318" t="str">
            <v>CENCOMLD - Cencosud SA - Mendoza</v>
          </cell>
          <cell r="CB318" t="str">
            <v>CENCOMLD - Cencosud SA - Mendoza</v>
          </cell>
          <cell r="CC318" t="str">
            <v>CENCOMLD - Cencosud SA - Mendoza</v>
          </cell>
          <cell r="CD318" t="str">
            <v>CENCOMLD - Cencosud SA - Mendoza</v>
          </cell>
          <cell r="CE318" t="str">
            <v>CENCOMLD - Cencosud SA - Mendoza</v>
          </cell>
          <cell r="CF318" t="str">
            <v>CENCOMLD - Cencosud SA - Mendoza</v>
          </cell>
          <cell r="CG318" t="str">
            <v>CENCOMLD - Cencosud SA - Mendoza</v>
          </cell>
          <cell r="CH318" t="str">
            <v>CENCOMLD - Cencosud SA - Mendoza</v>
          </cell>
          <cell r="CI318" t="str">
            <v>CENCOMLD - Cencosud SA - Mendoza</v>
          </cell>
          <cell r="CJ318" t="str">
            <v>CENCOMLD - Cencosud SA - Mendoza</v>
          </cell>
          <cell r="CK318" t="str">
            <v>CENCOMLD - Cencosud SA - Mendoza</v>
          </cell>
          <cell r="CL318" t="str">
            <v>CENCOMLD - Cencosud SA - Mendoza</v>
          </cell>
          <cell r="CM318" t="str">
            <v>CENCOMLD - Cencosud SA - Mendoza</v>
          </cell>
          <cell r="CN318" t="str">
            <v>CENCOMLD - Cencosud SA - Mendoza</v>
          </cell>
          <cell r="CO318" t="str">
            <v>CENCOMLD - Cencosud SA - Mendoza</v>
          </cell>
          <cell r="CP318" t="str">
            <v>CENCOMLD - Cencosud SA - Mendoza</v>
          </cell>
          <cell r="CQ318" t="str">
            <v>CENCOMLD - Cencosud SA - Mendoza</v>
          </cell>
          <cell r="CR318" t="str">
            <v>CENCOMLD - Cencosud SA - Mendoza</v>
          </cell>
          <cell r="CS318" t="str">
            <v>CENCOMLD - Cencosud SA - Mendoza</v>
          </cell>
          <cell r="CT318" t="str">
            <v>CENCOMLD - Cencosud SA - Mendoza</v>
          </cell>
          <cell r="CU318" t="str">
            <v>CENCOMLD - Cencosud SA - Mendoza</v>
          </cell>
          <cell r="CV318" t="str">
            <v>CENCOMLD - Cencosud SA - Mendoza</v>
          </cell>
          <cell r="CW318" t="str">
            <v>CENCOMLD - Cencosud SA - Mendoza</v>
          </cell>
        </row>
        <row r="319">
          <cell r="D319" t="str">
            <v>KHS012</v>
          </cell>
          <cell r="E319" t="str">
            <v>Chasis</v>
          </cell>
          <cell r="F319" t="str">
            <v>Chasis</v>
          </cell>
          <cell r="G319" t="str">
            <v>Chasis</v>
          </cell>
          <cell r="N319" t="str">
            <v>TDU</v>
          </cell>
          <cell r="O319" t="str">
            <v>TDU</v>
          </cell>
          <cell r="P319" t="str">
            <v>No</v>
          </cell>
          <cell r="Q319" t="str">
            <v>Propio</v>
          </cell>
          <cell r="R319">
            <v>12</v>
          </cell>
          <cell r="S319" t="str">
            <v>Propio</v>
          </cell>
          <cell r="T319" t="str">
            <v>MERCEDES BENZ</v>
          </cell>
          <cell r="U319" t="str">
            <v>ATEGO 1418/48 FRONTAL</v>
          </cell>
          <cell r="V319" t="str">
            <v>904967U0945396</v>
          </cell>
          <cell r="W319" t="str">
            <v>9BM958034CB793649</v>
          </cell>
          <cell r="X319">
            <v>2011</v>
          </cell>
          <cell r="Y319">
            <v>15</v>
          </cell>
          <cell r="Z319" t="str">
            <v>TDU</v>
          </cell>
          <cell r="AA319" t="str">
            <v>CMQ_TTE - QUILMES TTE</v>
          </cell>
          <cell r="AB319" t="str">
            <v>CMQ_TTE - QUILMES TTE</v>
          </cell>
          <cell r="AC319" t="str">
            <v>CMQ_TTE - QUILMES TTE</v>
          </cell>
          <cell r="AD319" t="str">
            <v>CMQ_TTE - QUILMES TTE</v>
          </cell>
          <cell r="AE319" t="str">
            <v>CMQ_TTE - QUILMES TTE</v>
          </cell>
          <cell r="AF319" t="str">
            <v>CMQ_TTE - QUILMES TTE</v>
          </cell>
          <cell r="AG319" t="str">
            <v>CMQ_TTE - QUILMES TTE</v>
          </cell>
          <cell r="AH319" t="str">
            <v>CMQ_TTE - QUILMES TTE</v>
          </cell>
          <cell r="AI319" t="str">
            <v>CMQ_TTE - QUILMES TTE</v>
          </cell>
          <cell r="AJ319" t="str">
            <v>CMQ_TTE - QUILMES TTE</v>
          </cell>
          <cell r="AK319" t="str">
            <v>CMQ_TTE - QUILMES TTE</v>
          </cell>
          <cell r="AL319" t="str">
            <v>CMQ_TTE - QUILMES TTE</v>
          </cell>
          <cell r="AM319" t="str">
            <v>CMQ_TTE - QUILMES TTE</v>
          </cell>
          <cell r="AN319" t="str">
            <v>CMQ_TTE - QUILMES TTE</v>
          </cell>
          <cell r="AO319" t="str">
            <v>CMQ_TTE - QUILMES TTE</v>
          </cell>
          <cell r="AP319" t="str">
            <v>CMQ_TTE - QUILMES TTE</v>
          </cell>
          <cell r="AQ319" t="str">
            <v>CMQ_TTE - QUILMES TTE</v>
          </cell>
          <cell r="AR319" t="str">
            <v>CMQ_TTE - QUILMES TTE</v>
          </cell>
          <cell r="AS319" t="str">
            <v>CMQ_TTE - QUILMES TTE</v>
          </cell>
          <cell r="AT319" t="str">
            <v>CMQ_TTE - QUILMES TTE</v>
          </cell>
          <cell r="AU319" t="str">
            <v>CMQ_TTE - QUILMES TTE</v>
          </cell>
          <cell r="AV319" t="str">
            <v>CMQ_TTE - QUILMES TTE</v>
          </cell>
          <cell r="AW319" t="str">
            <v>CMQ_TTE - QUILMES TTE</v>
          </cell>
          <cell r="AX319" t="str">
            <v>CMQ_TTE - QUILMES TTE</v>
          </cell>
          <cell r="AY319" t="str">
            <v>CMQ_TTE - QUILMES TTE</v>
          </cell>
          <cell r="AZ319" t="str">
            <v>CMQ_TTE - QUILMES TTE</v>
          </cell>
          <cell r="BA319" t="str">
            <v>CMQ_TTE - QUILMES TTE</v>
          </cell>
          <cell r="BB319" t="str">
            <v>CMQ_TTE - QUILMES TTE</v>
          </cell>
          <cell r="BC319" t="str">
            <v>CMQ_TTE - QUILMES TTE</v>
          </cell>
          <cell r="BD319" t="str">
            <v>CMQ_TTE - QUILMES TTE</v>
          </cell>
          <cell r="BE319" t="str">
            <v>CMQ_TTE - QUILMES TTE</v>
          </cell>
          <cell r="BF319" t="str">
            <v>CMQ_TTE - QUILMES TTE</v>
          </cell>
          <cell r="BG319" t="str">
            <v>CMQ_TTE - QUILMES TTE</v>
          </cell>
          <cell r="BH319" t="str">
            <v>CMQ_TTE - QUILMES TTE</v>
          </cell>
          <cell r="BI319" t="str">
            <v>CMQ_TTE - QUILMES TTE</v>
          </cell>
          <cell r="BJ319" t="str">
            <v>CMQ_TTE - QUILMES TTE</v>
          </cell>
          <cell r="BK319" t="str">
            <v>CMQ_TTE - QUILMES TTE</v>
          </cell>
          <cell r="BL319" t="str">
            <v>CMQ_TTE - QUILMES TTE</v>
          </cell>
          <cell r="BM319" t="str">
            <v>CMQ_TTE - QUILMES TTE</v>
          </cell>
          <cell r="BN319" t="str">
            <v>CMQ_TTE - QUILMES TTE</v>
          </cell>
          <cell r="BO319" t="str">
            <v>CMQ_TTE - QUILMES TTE</v>
          </cell>
          <cell r="BP319" t="str">
            <v>CMQ_TTE - QUILMES TTE</v>
          </cell>
          <cell r="BQ319" t="str">
            <v>CMQ_TTE - QUILMES TTE</v>
          </cell>
          <cell r="BR319" t="str">
            <v>Papelera - Papelera del Plata S.A.</v>
          </cell>
          <cell r="BS319" t="str">
            <v>Llorente - J. Llorente y Cía. S.A.</v>
          </cell>
          <cell r="BT319" t="str">
            <v>Llorente - J. Llorente y Cía. S.A.</v>
          </cell>
          <cell r="BU319" t="str">
            <v>Llorente - J. Llorente y Cía. S.A.</v>
          </cell>
          <cell r="BV319" t="str">
            <v>Cook Master</v>
          </cell>
          <cell r="BW319" t="str">
            <v>Cook Master</v>
          </cell>
          <cell r="BX319" t="str">
            <v>Cook Master</v>
          </cell>
          <cell r="BY319" t="str">
            <v>Cook Master</v>
          </cell>
          <cell r="BZ319" t="str">
            <v>Cook Master</v>
          </cell>
          <cell r="CA319" t="str">
            <v>Cook Master</v>
          </cell>
          <cell r="CB319" t="str">
            <v>Cook Master</v>
          </cell>
          <cell r="CC319" t="str">
            <v>Cook Master</v>
          </cell>
          <cell r="CD319" t="str">
            <v>Cook Master</v>
          </cell>
          <cell r="CE319" t="str">
            <v>Cook Master</v>
          </cell>
          <cell r="CF319" t="str">
            <v>Cook Master</v>
          </cell>
          <cell r="CG319" t="str">
            <v>Cook Master</v>
          </cell>
          <cell r="CH319" t="str">
            <v>Cook Master</v>
          </cell>
          <cell r="CI319" t="str">
            <v>Cook Master</v>
          </cell>
          <cell r="CJ319" t="str">
            <v>Cook Master</v>
          </cell>
          <cell r="CK319" t="str">
            <v>Cook Master</v>
          </cell>
          <cell r="CL319" t="str">
            <v>Cook Master</v>
          </cell>
          <cell r="CM319" t="str">
            <v>Topacio</v>
          </cell>
          <cell r="CN319" t="str">
            <v>Topacio</v>
          </cell>
          <cell r="CO319" t="str">
            <v>Topacio</v>
          </cell>
          <cell r="CP319" t="str">
            <v>Topacio</v>
          </cell>
          <cell r="CQ319" t="str">
            <v>Topacio</v>
          </cell>
          <cell r="CR319" t="str">
            <v>Topacio</v>
          </cell>
          <cell r="CS319" t="str">
            <v>Topacio</v>
          </cell>
          <cell r="CT319" t="str">
            <v>Topacio</v>
          </cell>
          <cell r="CU319" t="str">
            <v>Topacio</v>
          </cell>
          <cell r="CV319" t="str">
            <v>Topacio</v>
          </cell>
          <cell r="CW319" t="str">
            <v>Topacio</v>
          </cell>
        </row>
        <row r="320">
          <cell r="D320" t="str">
            <v>KHS013</v>
          </cell>
          <cell r="E320" t="str">
            <v>Chasis</v>
          </cell>
          <cell r="F320" t="str">
            <v>Chasis</v>
          </cell>
          <cell r="G320" t="str">
            <v>Chasis</v>
          </cell>
          <cell r="N320" t="str">
            <v>TDU</v>
          </cell>
          <cell r="O320" t="str">
            <v>TDU</v>
          </cell>
          <cell r="P320" t="str">
            <v>No</v>
          </cell>
          <cell r="Q320" t="str">
            <v>Propio</v>
          </cell>
          <cell r="R320">
            <v>12</v>
          </cell>
          <cell r="S320" t="str">
            <v>Propio</v>
          </cell>
          <cell r="T320" t="str">
            <v>MERCEDES BENZ</v>
          </cell>
          <cell r="U320" t="str">
            <v>ATEGO 1418/48 FRONTAL</v>
          </cell>
          <cell r="V320" t="str">
            <v>904967U0945333</v>
          </cell>
          <cell r="W320" t="str">
            <v>9BM958034CB793611</v>
          </cell>
          <cell r="X320">
            <v>2011</v>
          </cell>
          <cell r="Y320">
            <v>15</v>
          </cell>
          <cell r="Z320" t="str">
            <v>TDU</v>
          </cell>
          <cell r="AA320" t="str">
            <v>CMQ_TTE - QUILMES TTE</v>
          </cell>
          <cell r="AB320" t="str">
            <v>CMQ_TTE - QUILMES TTE</v>
          </cell>
          <cell r="AC320" t="str">
            <v>CMQ_TTE - QUILMES TTE</v>
          </cell>
          <cell r="AD320" t="str">
            <v>CMQ_TTE - QUILMES TTE</v>
          </cell>
          <cell r="AE320" t="str">
            <v>CMQ_TTE - QUILMES TTE</v>
          </cell>
          <cell r="AF320" t="str">
            <v>CMQ_TTE - QUILMES TTE</v>
          </cell>
          <cell r="AG320" t="str">
            <v>CMQ_TTE - QUILMES TTE</v>
          </cell>
          <cell r="AH320" t="str">
            <v>CMQ_TTE - QUILMES TTE</v>
          </cell>
          <cell r="AI320" t="str">
            <v>CMQ_TTE - QUILMES TTE</v>
          </cell>
          <cell r="AJ320" t="str">
            <v>CMQ_TTE - QUILMES TTE</v>
          </cell>
          <cell r="AK320" t="str">
            <v>CMQ_TTE - QUILMES TTE</v>
          </cell>
          <cell r="AL320" t="str">
            <v>CMQ_TTE - QUILMES TTE</v>
          </cell>
          <cell r="AM320" t="str">
            <v>CMQ_TTE - QUILMES TTE</v>
          </cell>
          <cell r="AN320" t="str">
            <v>CMQ_TTE - QUILMES TTE</v>
          </cell>
          <cell r="AO320" t="str">
            <v>CMQ_TTE - QUILMES TTE</v>
          </cell>
          <cell r="AP320" t="str">
            <v>CMQ_TTE - QUILMES TTE</v>
          </cell>
          <cell r="AQ320" t="str">
            <v>CMQ_TTE - QUILMES TTE</v>
          </cell>
          <cell r="AR320" t="str">
            <v>CMQ_TTE - QUILMES TTE</v>
          </cell>
          <cell r="AS320" t="str">
            <v>CMQ_TTE - QUILMES TTE</v>
          </cell>
          <cell r="AT320" t="str">
            <v>CMQ_TTE - QUILMES TTE</v>
          </cell>
          <cell r="AU320" t="str">
            <v>CMQ_TTE - QUILMES TTE</v>
          </cell>
          <cell r="AV320" t="str">
            <v>CMQ_TTE - QUILMES TTE</v>
          </cell>
          <cell r="AW320" t="str">
            <v>CMQ_TTE - QUILMES TTE</v>
          </cell>
          <cell r="AX320" t="str">
            <v>CMQ_TTE - QUILMES TTE</v>
          </cell>
          <cell r="AY320" t="str">
            <v>CMQ_TTE - QUILMES TTE</v>
          </cell>
          <cell r="AZ320" t="str">
            <v>CMQ_TTE - QUILMES TTE</v>
          </cell>
          <cell r="BA320" t="str">
            <v>CMQ_TTE - QUILMES TTE</v>
          </cell>
          <cell r="BB320" t="str">
            <v>CMQ_TTE - QUILMES TTE</v>
          </cell>
          <cell r="BC320" t="str">
            <v>CMQ_TTE - QUILMES TTE</v>
          </cell>
          <cell r="BD320" t="str">
            <v>CMQ_TTE - QUILMES TTE</v>
          </cell>
          <cell r="BE320" t="str">
            <v>CMQ_TTE - QUILMES TTE</v>
          </cell>
          <cell r="BF320" t="str">
            <v>CMQ_TTE - QUILMES TTE</v>
          </cell>
          <cell r="BG320" t="str">
            <v>CMQ_TTE - QUILMES TTE</v>
          </cell>
          <cell r="BH320" t="str">
            <v>CMQ_TTE - QUILMES TTE</v>
          </cell>
          <cell r="BI320" t="str">
            <v>CMQ_TTE - QUILMES TTE</v>
          </cell>
          <cell r="BJ320" t="str">
            <v>CMQ_TTE - QUILMES TTE</v>
          </cell>
          <cell r="BK320" t="str">
            <v>CMQ_TTE - QUILMES TTE</v>
          </cell>
          <cell r="BL320" t="str">
            <v>CMQ_TTE - QUILMES TTE</v>
          </cell>
          <cell r="BM320" t="str">
            <v>CMQ_TTE - QUILMES TTE</v>
          </cell>
          <cell r="BN320" t="str">
            <v>CMQ_TTE - QUILMES TTE</v>
          </cell>
          <cell r="BO320" t="str">
            <v>CMQ_TTE - QUILMES TTE</v>
          </cell>
          <cell r="BP320" t="str">
            <v>CMQ_TTE - QUILMES TTE</v>
          </cell>
          <cell r="BQ320" t="str">
            <v>CMQ_TTE - QUILMES TTE</v>
          </cell>
          <cell r="BR320" t="str">
            <v>CMQ_TTE - QUILMES TTE</v>
          </cell>
          <cell r="BS320" t="str">
            <v>CMQ_TTE - QUILMES TTE</v>
          </cell>
          <cell r="BT320" t="str">
            <v>CMQ_TTE - QUILMES TTE</v>
          </cell>
          <cell r="BU320" t="str">
            <v>CMQ_TTE - QUILMES TTE</v>
          </cell>
          <cell r="BV320" t="str">
            <v>CMQ_TTE - QUILMES TTE</v>
          </cell>
          <cell r="BW320" t="str">
            <v>CMQ_TTE - QUILMES TTE</v>
          </cell>
          <cell r="BX320" t="str">
            <v>Sin Operación</v>
          </cell>
          <cell r="BY320" t="str">
            <v>Sin Operación</v>
          </cell>
          <cell r="BZ320" t="str">
            <v>Sin Operación</v>
          </cell>
          <cell r="CA320" t="str">
            <v>Sin Operación</v>
          </cell>
          <cell r="CB320" t="str">
            <v>Sin Operación</v>
          </cell>
          <cell r="CC320" t="str">
            <v>Sin Operación</v>
          </cell>
          <cell r="CD320" t="str">
            <v>SUC_GAL - Sucursal General Alvear</v>
          </cell>
          <cell r="CE320" t="str">
            <v>SUC_GAL - Sucursal General Alvear</v>
          </cell>
          <cell r="CF320" t="str">
            <v>SUC_GAL - Sucursal General Alvear</v>
          </cell>
          <cell r="CG320" t="str">
            <v>SUC_GAL - Sucursal General Alvear</v>
          </cell>
          <cell r="CH320" t="str">
            <v>SUC_GAL - Sucursal General Alvear</v>
          </cell>
          <cell r="CI320" t="str">
            <v>SUC_GAL - Sucursal General Alvear</v>
          </cell>
          <cell r="CJ320" t="str">
            <v>SUC_GAL - Sucursal General Alvear</v>
          </cell>
          <cell r="CK320" t="str">
            <v>SUC_GAL - Sucursal General Alvear</v>
          </cell>
          <cell r="CL320" t="str">
            <v>SUC_GAL - Sucursal General Alvear</v>
          </cell>
          <cell r="CM320" t="str">
            <v>SUC_GAL - Sucursal General Alvear</v>
          </cell>
          <cell r="CN320" t="str">
            <v>SUC_GAL - Sucursal General Alvear</v>
          </cell>
          <cell r="CO320" t="str">
            <v>SUC_GAL - Sucursal General Alvear</v>
          </cell>
          <cell r="CP320" t="str">
            <v>SUC_GAL - Sucursal General Alvear</v>
          </cell>
          <cell r="CQ320" t="str">
            <v>SUC_GAL - Sucursal General Alvear</v>
          </cell>
          <cell r="CR320" t="str">
            <v>SUC_GAL - Sucursal General Alvear</v>
          </cell>
          <cell r="CS320" t="str">
            <v>SUC_GAL - Sucursal General Alvear</v>
          </cell>
          <cell r="CT320" t="str">
            <v>SUC_GAL - Sucursal General Alvear</v>
          </cell>
          <cell r="CU320" t="str">
            <v>SUC_GAL - Sucursal General Alvear</v>
          </cell>
          <cell r="CV320" t="str">
            <v>SUC_GAL - Sucursal General Alvear</v>
          </cell>
          <cell r="CW320" t="str">
            <v>SUC_GAL - Sucursal General Alvear</v>
          </cell>
        </row>
        <row r="321">
          <cell r="D321" t="str">
            <v>KHS025</v>
          </cell>
          <cell r="E321" t="str">
            <v>Chasis</v>
          </cell>
          <cell r="F321" t="str">
            <v>Chasis</v>
          </cell>
          <cell r="G321" t="str">
            <v>Chasis</v>
          </cell>
          <cell r="N321" t="str">
            <v>TDU</v>
          </cell>
          <cell r="O321" t="str">
            <v>TDU</v>
          </cell>
          <cell r="P321" t="str">
            <v>No</v>
          </cell>
          <cell r="Q321" t="str">
            <v>Propio</v>
          </cell>
          <cell r="R321">
            <v>12</v>
          </cell>
          <cell r="S321" t="str">
            <v>Propio</v>
          </cell>
          <cell r="T321" t="str">
            <v>MERCEDES BENZ</v>
          </cell>
          <cell r="U321" t="str">
            <v>ATRON 1720/48  FRONTAL</v>
          </cell>
          <cell r="V321" t="str">
            <v>904980U0949702</v>
          </cell>
          <cell r="W321" t="str">
            <v>9BM693186CF138692</v>
          </cell>
          <cell r="X321">
            <v>2011</v>
          </cell>
          <cell r="Y321">
            <v>15</v>
          </cell>
          <cell r="Z321" t="str">
            <v>TDU</v>
          </cell>
          <cell r="AA321" t="str">
            <v>CMQ_TTE - QUILMES TTE</v>
          </cell>
          <cell r="AB321" t="str">
            <v>CMQ_TTE - QUILMES TTE</v>
          </cell>
          <cell r="AC321" t="str">
            <v>CMQ_TTE - QUILMES TTE</v>
          </cell>
          <cell r="AD321" t="str">
            <v>CMQ_TTE - QUILMES TTE</v>
          </cell>
          <cell r="AE321" t="str">
            <v>CMQ_TTE - QUILMES TTE</v>
          </cell>
          <cell r="AF321" t="str">
            <v>CMQ_TTE - QUILMES TTE</v>
          </cell>
          <cell r="AG321" t="str">
            <v>CMQ_TTE - QUILMES TTE</v>
          </cell>
          <cell r="AH321" t="str">
            <v>CMQ_TTE - QUILMES TTE</v>
          </cell>
          <cell r="AI321" t="str">
            <v>CMQ_TTE - QUILMES TTE</v>
          </cell>
          <cell r="AJ321" t="str">
            <v>CMQ_TTE - QUILMES TTE</v>
          </cell>
          <cell r="AK321" t="str">
            <v>CMQ_TTE - QUILMES TTE</v>
          </cell>
          <cell r="AL321" t="str">
            <v>CMQ_TTE - QUILMES TTE</v>
          </cell>
          <cell r="AM321" t="str">
            <v>CMQ_TTE - QUILMES TTE</v>
          </cell>
          <cell r="AN321" t="str">
            <v>CMQ_TTE - QUILMES TTE</v>
          </cell>
          <cell r="AO321" t="str">
            <v>CMQ_TTE - QUILMES TTE</v>
          </cell>
          <cell r="AP321" t="str">
            <v>CMQ_TTE - QUILMES TTE</v>
          </cell>
          <cell r="AQ321" t="str">
            <v>CMQ_TTE - QUILMES TTE</v>
          </cell>
          <cell r="AR321" t="str">
            <v>CMQ_TTE - QUILMES TTE</v>
          </cell>
          <cell r="AS321" t="str">
            <v>CMQ_TTE - QUILMES TTE</v>
          </cell>
          <cell r="AT321" t="str">
            <v>CMQ_TTE - QUILMES TTE</v>
          </cell>
          <cell r="AU321" t="str">
            <v>CMQ_TTE - QUILMES TTE</v>
          </cell>
          <cell r="AV321" t="str">
            <v>CMQ_TTE - QUILMES TTE</v>
          </cell>
          <cell r="AW321" t="str">
            <v>CMQ_TTE - QUILMES TTE</v>
          </cell>
          <cell r="AX321" t="str">
            <v>CMQ_TTE - QUILMES TTE</v>
          </cell>
          <cell r="AY321" t="str">
            <v>CMQ_TTE - QUILMES TTE</v>
          </cell>
          <cell r="AZ321" t="str">
            <v>CMQ_TTE - QUILMES TTE</v>
          </cell>
          <cell r="BA321" t="str">
            <v>CMQ_TTE - QUILMES TTE</v>
          </cell>
          <cell r="BB321" t="str">
            <v>CMQ_TTE - QUILMES TTE</v>
          </cell>
          <cell r="BC321" t="str">
            <v>CMQ_TTE - QUILMES TTE</v>
          </cell>
          <cell r="BD321" t="str">
            <v>CMQ_TTE - QUILMES TTE</v>
          </cell>
          <cell r="BE321" t="str">
            <v>CMQ_TTE - QUILMES TTE</v>
          </cell>
          <cell r="BF321" t="str">
            <v>CMQ_TTE - QUILMES TTE</v>
          </cell>
          <cell r="BG321" t="str">
            <v>CMQ_TTE - QUILMES TTE</v>
          </cell>
          <cell r="BH321" t="str">
            <v>CMQ_TTE - QUILMES TTE</v>
          </cell>
          <cell r="BI321" t="str">
            <v>CMQ_TTE - QUILMES TTE</v>
          </cell>
          <cell r="BJ321" t="str">
            <v>CMQ_TTE - QUILMES TTE</v>
          </cell>
          <cell r="BK321" t="str">
            <v>CMQ_TTE - QUILMES TTE</v>
          </cell>
          <cell r="BL321" t="str">
            <v>CMQ_TTE - QUILMES TTE</v>
          </cell>
          <cell r="BM321" t="str">
            <v>CMQ_TTE - QUILMES TTE</v>
          </cell>
          <cell r="BN321" t="str">
            <v>CMQ_TTE - QUILMES TTE</v>
          </cell>
          <cell r="BO321" t="str">
            <v>CMQ_TTE - QUILMES TTE</v>
          </cell>
          <cell r="BP321" t="str">
            <v>CMQ_TTE - QUILMES TTE</v>
          </cell>
          <cell r="BQ321" t="str">
            <v>CMQ_TTE - QUILMES TTE</v>
          </cell>
          <cell r="BR321" t="str">
            <v>CMQ_TTE - QUILMES TTE</v>
          </cell>
          <cell r="BS321" t="str">
            <v>CMQ_TTE - QUILMES TTE</v>
          </cell>
          <cell r="BT321" t="str">
            <v>CMQ_TTE - QUILMES TTE</v>
          </cell>
          <cell r="BU321" t="str">
            <v>CMQ_TTE - QUILMES TTE</v>
          </cell>
          <cell r="BV321" t="str">
            <v>CMQ_TTE - QUILMES TTE</v>
          </cell>
          <cell r="BW321" t="str">
            <v>CMQ_TTE - QUILMES TTE</v>
          </cell>
          <cell r="BX321" t="str">
            <v>CMQ_TTE - QUILMES TTE</v>
          </cell>
          <cell r="BY321" t="str">
            <v>CMQ_TTE - QUILMES TTE</v>
          </cell>
          <cell r="BZ321" t="str">
            <v>CMQ_TTE - QUILMES TTE</v>
          </cell>
          <cell r="CA321" t="str">
            <v>CMQ_TTE - QUILMES TTE</v>
          </cell>
          <cell r="CB321" t="str">
            <v>CMQ_TTE - QUILMES TTE</v>
          </cell>
          <cell r="CC321" t="str">
            <v>CMQ_TTE - QUILMES TTE</v>
          </cell>
          <cell r="CD321" t="str">
            <v>CMQ_TTE - QUILMES TTE</v>
          </cell>
          <cell r="CE321" t="str">
            <v>CMQ_TTE - QUILMES TTE</v>
          </cell>
          <cell r="CF321" t="str">
            <v>CMQ_TTE - QUILMES TTE</v>
          </cell>
          <cell r="CG321" t="str">
            <v>CMQ_TTE - QUILMES TTE</v>
          </cell>
          <cell r="CH321" t="str">
            <v>CMQ_TTE - QUILMES TTE</v>
          </cell>
          <cell r="CI321" t="str">
            <v>CMQ_TTE - QUILMES TTE</v>
          </cell>
          <cell r="CJ321" t="str">
            <v>CMQ_TTE - QUILMES TTE</v>
          </cell>
          <cell r="CK321" t="str">
            <v>CMQ_TTE - QUILMES TTE</v>
          </cell>
          <cell r="CL321" t="str">
            <v>CMQ_TTE - QUILMES TTE</v>
          </cell>
          <cell r="CM321" t="str">
            <v>CMQ_TTE - QUILMES TTE</v>
          </cell>
          <cell r="CN321" t="str">
            <v>CMQ_TTE - QUILMES TTE</v>
          </cell>
          <cell r="CO321" t="str">
            <v>CMQ_TTE - QUILMES TTE</v>
          </cell>
          <cell r="CP321" t="str">
            <v>CMQ_TTE - QUILMES TTE</v>
          </cell>
          <cell r="CQ321" t="str">
            <v>CMQ_TTE - QUILMES TTE</v>
          </cell>
          <cell r="CR321" t="str">
            <v>Sin Operación</v>
          </cell>
          <cell r="CS321" t="str">
            <v>Sin Operación</v>
          </cell>
          <cell r="CT321" t="str">
            <v>Sin Operación</v>
          </cell>
          <cell r="CU321" t="str">
            <v>Sin Operación</v>
          </cell>
          <cell r="CV321" t="str">
            <v>Sin Operación</v>
          </cell>
          <cell r="CW321" t="str">
            <v>Sin Operación</v>
          </cell>
        </row>
        <row r="322">
          <cell r="D322" t="str">
            <v>KHS026</v>
          </cell>
          <cell r="E322" t="str">
            <v>Chasis</v>
          </cell>
          <cell r="F322" t="str">
            <v>Balancin</v>
          </cell>
          <cell r="G322" t="str">
            <v>Balancin</v>
          </cell>
          <cell r="N322" t="str">
            <v>TDU</v>
          </cell>
          <cell r="O322" t="str">
            <v>TDU</v>
          </cell>
          <cell r="P322" t="str">
            <v>No</v>
          </cell>
          <cell r="Q322" t="str">
            <v>Propio</v>
          </cell>
          <cell r="R322">
            <v>14</v>
          </cell>
          <cell r="S322" t="str">
            <v>Propio</v>
          </cell>
          <cell r="T322" t="str">
            <v>MERCEDES BENZ</v>
          </cell>
          <cell r="U322" t="str">
            <v>ATRON 1720/48  FRONTAL</v>
          </cell>
          <cell r="V322" t="str">
            <v>904980U0954065</v>
          </cell>
          <cell r="W322" t="str">
            <v>9BM693186CF138818</v>
          </cell>
          <cell r="X322">
            <v>2011</v>
          </cell>
          <cell r="Y322">
            <v>15</v>
          </cell>
          <cell r="Z322" t="str">
            <v>TDU</v>
          </cell>
          <cell r="AA322" t="str">
            <v>CMQ_TTE - QUILMES TTE</v>
          </cell>
          <cell r="AB322" t="str">
            <v>CMQ_TTE - QUILMES TTE</v>
          </cell>
          <cell r="AC322" t="str">
            <v>CMQ_TTE - QUILMES TTE</v>
          </cell>
          <cell r="AD322" t="str">
            <v>CMQ_TTE - QUILMES TTE</v>
          </cell>
          <cell r="AE322" t="str">
            <v>CMQ_TTE - QUILMES TTE</v>
          </cell>
          <cell r="AF322" t="str">
            <v>CMQ_TTE - QUILMES TTE</v>
          </cell>
          <cell r="AG322" t="str">
            <v>CMQ_TTE - QUILMES TTE</v>
          </cell>
          <cell r="AH322" t="str">
            <v>CMQ_TTE - QUILMES TTE</v>
          </cell>
          <cell r="AI322" t="str">
            <v>CMQ_TTE - QUILMES TTE</v>
          </cell>
          <cell r="AJ322" t="str">
            <v>CMQ_TTE - QUILMES TTE</v>
          </cell>
          <cell r="AK322" t="str">
            <v>CMQ_TTE - QUILMES TTE</v>
          </cell>
          <cell r="AL322" t="str">
            <v>CMQ_TTE - QUILMES TTE</v>
          </cell>
          <cell r="AM322" t="str">
            <v>CMQ_TTE - QUILMES TTE</v>
          </cell>
          <cell r="AN322" t="str">
            <v>CMQ_TTE - QUILMES TTE</v>
          </cell>
          <cell r="AO322" t="str">
            <v>CMQ_TTE - QUILMES TTE</v>
          </cell>
          <cell r="AP322" t="str">
            <v>CMQ_TTE - QUILMES TTE</v>
          </cell>
          <cell r="AQ322" t="str">
            <v>CMQ_TTE - QUILMES TTE</v>
          </cell>
          <cell r="AR322" t="str">
            <v>CMQ_TTE - QUILMES TTE</v>
          </cell>
          <cell r="AS322" t="str">
            <v>CMQ_TTE - QUILMES TTE</v>
          </cell>
          <cell r="AT322" t="str">
            <v>CMQ_TTE - QUILMES TTE</v>
          </cell>
          <cell r="AU322" t="str">
            <v>CMQ_TTE - QUILMES TTE</v>
          </cell>
          <cell r="AV322" t="str">
            <v>CMQ_TTE - QUILMES TTE</v>
          </cell>
          <cell r="AW322" t="str">
            <v>CMQ_TTE - QUILMES TTE</v>
          </cell>
          <cell r="AX322" t="str">
            <v>CMQ_TTE - QUILMES TTE</v>
          </cell>
          <cell r="AY322" t="str">
            <v>CMQ_TTE - QUILMES TTE</v>
          </cell>
          <cell r="AZ322" t="str">
            <v>CMQ_TTE - QUILMES TTE</v>
          </cell>
          <cell r="BA322" t="str">
            <v>CMQ_TTE - QUILMES TTE</v>
          </cell>
          <cell r="BB322" t="str">
            <v>CMQ_TTE - QUILMES TTE</v>
          </cell>
          <cell r="BC322" t="str">
            <v>CMQ_TTE - QUILMES TTE</v>
          </cell>
          <cell r="BD322" t="str">
            <v>CMQ_TTE - QUILMES TTE</v>
          </cell>
          <cell r="BE322" t="str">
            <v>CMQ_TTE - QUILMES TTE</v>
          </cell>
          <cell r="BF322" t="str">
            <v>CMQ_TTE - QUILMES TTE</v>
          </cell>
          <cell r="BG322" t="str">
            <v>CMQ_TTE - QUILMES TTE</v>
          </cell>
          <cell r="BH322" t="str">
            <v>CMQ_TTE - QUILMES TTE</v>
          </cell>
          <cell r="BI322" t="str">
            <v>CMQ_TTE - QUILMES TTE</v>
          </cell>
          <cell r="BJ322" t="str">
            <v>CMQ_TTE - QUILMES TTE</v>
          </cell>
          <cell r="BK322" t="str">
            <v>CMQ_TTE - QUILMES TTE</v>
          </cell>
          <cell r="BL322" t="str">
            <v>CMQ_TTE - QUILMES TTE</v>
          </cell>
          <cell r="BM322" t="str">
            <v>CMQ_TTE - QUILMES TTE</v>
          </cell>
          <cell r="BN322" t="str">
            <v>CMQ_TTE - QUILMES TTE</v>
          </cell>
          <cell r="BO322" t="str">
            <v>CMQ_TTE - QUILMES TTE</v>
          </cell>
          <cell r="BP322" t="str">
            <v>CMQ_TTE - QUILMES TTE</v>
          </cell>
          <cell r="BQ322" t="str">
            <v>CMQ_TTE - QUILMES TTE</v>
          </cell>
          <cell r="BR322" t="str">
            <v>CMQ_TTE - QUILMES TTE</v>
          </cell>
          <cell r="BS322" t="str">
            <v>CMQ_TTE - QUILMES TTE</v>
          </cell>
          <cell r="BT322" t="str">
            <v>CMQ_TTE - QUILMES TTE</v>
          </cell>
          <cell r="BU322" t="str">
            <v>CMQ_TTE - QUILMES TTE</v>
          </cell>
          <cell r="BV322" t="str">
            <v>CMQ_TTE - QUILMES TTE</v>
          </cell>
          <cell r="BW322" t="str">
            <v>CMQ_TTE - QUILMES TTE</v>
          </cell>
          <cell r="BX322" t="str">
            <v>CMQ_TTE - QUILMES TTE</v>
          </cell>
          <cell r="BY322" t="str">
            <v>CMQ_TTE - QUILMES TTE</v>
          </cell>
          <cell r="BZ322" t="str">
            <v>CMQ_TTE - QUILMES TTE</v>
          </cell>
          <cell r="CA322" t="str">
            <v>CMQ_TTE - QUILMES TTE</v>
          </cell>
          <cell r="CB322" t="str">
            <v>CMQ_TTE - QUILMES TTE</v>
          </cell>
          <cell r="CC322" t="str">
            <v>CMQ_TTE - QUILMES TTE</v>
          </cell>
          <cell r="CD322" t="str">
            <v>CMQ_TTE - QUILMES TTE</v>
          </cell>
          <cell r="CE322" t="str">
            <v>CMQ_TTE - QUILMES TTE</v>
          </cell>
          <cell r="CF322" t="str">
            <v>CMQ_TTE - QUILMES TTE</v>
          </cell>
          <cell r="CG322" t="str">
            <v>CMQ_TTE - QUILMES TTE</v>
          </cell>
          <cell r="CH322" t="str">
            <v>CMQ_TTE - QUILMES TTE</v>
          </cell>
          <cell r="CI322" t="str">
            <v>CMQ_TTE - QUILMES TTE</v>
          </cell>
          <cell r="CJ322" t="str">
            <v>CMQ_TTE - QUILMES TTE</v>
          </cell>
          <cell r="CK322" t="str">
            <v>CMQ_TTE - QUILMES TTE</v>
          </cell>
          <cell r="CL322" t="str">
            <v>CMQ_TTE - QUILMES TTE</v>
          </cell>
          <cell r="CM322" t="str">
            <v>CMQ_TTE - QUILMES TTE</v>
          </cell>
          <cell r="CN322" t="str">
            <v>CMQ_TTE - QUILMES TTE</v>
          </cell>
          <cell r="CO322" t="str">
            <v>CMQ_TTE - QUILMES TTE</v>
          </cell>
          <cell r="CP322" t="str">
            <v>CMQ_TTE - QUILMES TTE</v>
          </cell>
          <cell r="CQ322" t="str">
            <v>CMQ_TTE - QUILMES TTE</v>
          </cell>
          <cell r="CR322" t="str">
            <v>CMQ_TTE - QUILMES TTE</v>
          </cell>
          <cell r="CS322" t="str">
            <v>CMQ_TTE - QUILMES TTE</v>
          </cell>
          <cell r="CT322" t="str">
            <v>CMQ_TTE - QUILMES TTE</v>
          </cell>
          <cell r="CU322" t="str">
            <v>CMQ_TTE - QUILMES TTE</v>
          </cell>
          <cell r="CV322" t="str">
            <v>CMQ_TTE - QUILMES TTE</v>
          </cell>
          <cell r="CW322" t="str">
            <v>CMQ_TTE - QUILMES TTE</v>
          </cell>
        </row>
        <row r="323">
          <cell r="D323" t="str">
            <v>KIL604</v>
          </cell>
          <cell r="E323" t="str">
            <v>Camioneta</v>
          </cell>
          <cell r="F323" t="str">
            <v>Utilitario</v>
          </cell>
          <cell r="G323" t="str">
            <v>Vehículo Electrificado</v>
          </cell>
          <cell r="N323" t="str">
            <v>TDU</v>
          </cell>
          <cell r="O323" t="str">
            <v>TDU</v>
          </cell>
          <cell r="P323" t="str">
            <v>No</v>
          </cell>
          <cell r="Q323" t="str">
            <v>Propio</v>
          </cell>
          <cell r="R323">
            <v>1</v>
          </cell>
          <cell r="S323" t="str">
            <v>Propio</v>
          </cell>
          <cell r="T323" t="str">
            <v>Renault</v>
          </cell>
          <cell r="U323" t="str">
            <v>KANGOO CONFORT 16 CD SVT 1PL 600KG--FURGON-</v>
          </cell>
          <cell r="V323" t="str">
            <v>K4MJ730Q076454</v>
          </cell>
          <cell r="W323" t="str">
            <v>8A1FC1315CL881642</v>
          </cell>
          <cell r="X323">
            <v>2011</v>
          </cell>
          <cell r="Y323">
            <v>15</v>
          </cell>
          <cell r="BH323" t="str">
            <v>CMQ_TTE - QUILMES TTE</v>
          </cell>
          <cell r="BI323" t="str">
            <v>CMQ_TTE - QUILMES TTE</v>
          </cell>
          <cell r="BJ323" t="str">
            <v>CMQ_TTE - QUILMES TTE</v>
          </cell>
          <cell r="BK323" t="str">
            <v>CMQ_TTE - QUILMES TTE</v>
          </cell>
          <cell r="BL323" t="str">
            <v>CMQ_TTE - QUILMES TTE</v>
          </cell>
          <cell r="BM323" t="str">
            <v>CMQ_TTE - QUILMES TTE</v>
          </cell>
          <cell r="BN323" t="str">
            <v>CMQ_TTE - QUILMES TTE</v>
          </cell>
          <cell r="BO323" t="str">
            <v>CMQ_TTE - QUILMES TTE</v>
          </cell>
          <cell r="BP323" t="str">
            <v>CMQ_TTE - QUILMES TTE</v>
          </cell>
          <cell r="BQ323" t="str">
            <v>CMQ_TTE - QUILMES TTE</v>
          </cell>
          <cell r="BR323" t="str">
            <v>T3</v>
          </cell>
          <cell r="BS323" t="str">
            <v>T3</v>
          </cell>
          <cell r="BT323" t="str">
            <v>T3</v>
          </cell>
          <cell r="BU323" t="str">
            <v>T3</v>
          </cell>
          <cell r="BV323" t="str">
            <v>T3</v>
          </cell>
          <cell r="BW323" t="str">
            <v>T3</v>
          </cell>
          <cell r="BX323" t="str">
            <v>T3</v>
          </cell>
          <cell r="BY323" t="str">
            <v>T3</v>
          </cell>
          <cell r="BZ323" t="str">
            <v>T3</v>
          </cell>
          <cell r="CA323" t="str">
            <v>T3</v>
          </cell>
          <cell r="CB323" t="str">
            <v>T3</v>
          </cell>
          <cell r="CC323" t="str">
            <v>T3</v>
          </cell>
          <cell r="CD323" t="str">
            <v>T3</v>
          </cell>
          <cell r="CE323" t="str">
            <v>T3</v>
          </cell>
          <cell r="CF323" t="str">
            <v>T3</v>
          </cell>
          <cell r="CG323" t="str">
            <v>T3</v>
          </cell>
          <cell r="CH323" t="str">
            <v>T3</v>
          </cell>
          <cell r="CI323" t="str">
            <v>T3</v>
          </cell>
          <cell r="CJ323" t="str">
            <v>T3</v>
          </cell>
          <cell r="CK323" t="str">
            <v>T3</v>
          </cell>
          <cell r="CL323" t="str">
            <v>T3</v>
          </cell>
          <cell r="CM323" t="str">
            <v>T3</v>
          </cell>
          <cell r="CN323" t="str">
            <v>T3</v>
          </cell>
          <cell r="CO323" t="str">
            <v>T3</v>
          </cell>
          <cell r="CP323" t="str">
            <v>T3</v>
          </cell>
          <cell r="CQ323" t="str">
            <v>T3</v>
          </cell>
          <cell r="CR323" t="str">
            <v>T3</v>
          </cell>
          <cell r="CS323" t="str">
            <v>T3</v>
          </cell>
          <cell r="CT323" t="str">
            <v>T3</v>
          </cell>
          <cell r="CU323" t="str">
            <v>T3</v>
          </cell>
          <cell r="CV323" t="str">
            <v>T3</v>
          </cell>
          <cell r="CW323" t="str">
            <v>T3</v>
          </cell>
        </row>
        <row r="324">
          <cell r="D324" t="str">
            <v>KIP032</v>
          </cell>
          <cell r="E324" t="str">
            <v>Tractor</v>
          </cell>
          <cell r="F324" t="str">
            <v>Tractor</v>
          </cell>
          <cell r="G324" t="str">
            <v>Tractor</v>
          </cell>
          <cell r="N324" t="str">
            <v>CODYLSA</v>
          </cell>
          <cell r="O324" t="str">
            <v>CODYLSA</v>
          </cell>
          <cell r="P324" t="str">
            <v>No</v>
          </cell>
          <cell r="Q324" t="str">
            <v>Propio</v>
          </cell>
          <cell r="R324" t="str">
            <v>-</v>
          </cell>
          <cell r="S324" t="str">
            <v>Propio</v>
          </cell>
          <cell r="T324" t="str">
            <v>MERCEDES BENZ</v>
          </cell>
          <cell r="U324" t="str">
            <v>ATEGO 1725-S36</v>
          </cell>
          <cell r="V324" t="str">
            <v>906985U0946618</v>
          </cell>
          <cell r="W324" t="str">
            <v>9BM958077CB795089</v>
          </cell>
          <cell r="X324">
            <v>2011</v>
          </cell>
          <cell r="Y324">
            <v>15</v>
          </cell>
          <cell r="Z324" t="str">
            <v>Jumbo Mendoza</v>
          </cell>
          <cell r="AA324" t="str">
            <v>CENCO_MZ - Cencosud SA - Mendoza</v>
          </cell>
          <cell r="AB324" t="str">
            <v>CENCO_MZ - Cencosud SA - Mendoza</v>
          </cell>
          <cell r="AC324" t="str">
            <v>CENCO_MZ - Cencosud SA - Mendoza</v>
          </cell>
          <cell r="AD324" t="str">
            <v>CENCO_MZ - Cencosud SA - Mendoza</v>
          </cell>
          <cell r="AE324" t="str">
            <v>CENCO_MZ - Cencosud SA - Mendoza</v>
          </cell>
          <cell r="AF324" t="str">
            <v>CENCO_MZ - Cencosud SA - Mendoza</v>
          </cell>
          <cell r="AG324" t="str">
            <v>CENCO_MZ - Cencosud SA - Mendoza</v>
          </cell>
          <cell r="AH324" t="str">
            <v>CENCO_MZ - Cencosud SA - Mendoza</v>
          </cell>
          <cell r="AI324" t="str">
            <v>CENCO_MZ - Cencosud SA - Mendoza</v>
          </cell>
          <cell r="AJ324" t="str">
            <v>CENCO_MZ - Cencosud SA - Mendoza</v>
          </cell>
          <cell r="AK324" t="str">
            <v>CENCO_MZ - Cencosud SA - Mendoza</v>
          </cell>
          <cell r="AL324" t="str">
            <v>CENCO_MZ - Cencosud SA - Mendoza</v>
          </cell>
          <cell r="AM324" t="str">
            <v>CENCO_MZ - Cencosud SA - Mendoza</v>
          </cell>
          <cell r="AN324" t="str">
            <v>CENCO_MZ - Cencosud SA - Mendoza</v>
          </cell>
          <cell r="AO324" t="str">
            <v>CENCO_MZ - Cencosud SA - Mendoza</v>
          </cell>
          <cell r="AP324" t="str">
            <v>CENCO_MZ - Cencosud SA - Mendoza</v>
          </cell>
          <cell r="AQ324" t="str">
            <v>CENCO_MZ - Cencosud SA - Mendoza</v>
          </cell>
          <cell r="AR324" t="str">
            <v>CENCO_MZ - Cencosud SA - Mendoza</v>
          </cell>
          <cell r="AS324" t="str">
            <v>CENCO_MZ - Cencosud SA - Mendoza</v>
          </cell>
          <cell r="AT324" t="str">
            <v>CENCO_MZ - Cencosud SA - Mendoza</v>
          </cell>
          <cell r="AU324" t="str">
            <v>CENCO_MZ - Cencosud SA - Mendoza</v>
          </cell>
          <cell r="AV324" t="str">
            <v>CENCO_MZ - Cencosud SA - Mendoza</v>
          </cell>
          <cell r="AW324" t="str">
            <v>CENCO_MZ - Cencosud SA - Mendoza</v>
          </cell>
          <cell r="AX324" t="str">
            <v>CENCO_MZ - Cencosud SA - Mendoza</v>
          </cell>
          <cell r="AY324" t="str">
            <v>CENCO_MZ - Cencosud SA - Mendoza</v>
          </cell>
          <cell r="AZ324" t="str">
            <v>CENCO_MZ - Cencosud SA - Mendoza</v>
          </cell>
          <cell r="BA324" t="str">
            <v>CENCO_MZ - Cencosud SA - Mendoza</v>
          </cell>
          <cell r="BB324" t="str">
            <v>CENCO_MZ - Cencosud SA - Mendoza</v>
          </cell>
          <cell r="BC324" t="str">
            <v>CENCO_MZ - Cencosud SA - Mendoza</v>
          </cell>
          <cell r="BD324" t="str">
            <v>CENCO_MZ - Cencosud SA - Mendoza</v>
          </cell>
          <cell r="BE324" t="str">
            <v>CENCO_MZ - Cencosud SA - Mendoza</v>
          </cell>
          <cell r="BF324" t="str">
            <v>CENCO_MZ - Cencosud SA - Mendoza</v>
          </cell>
          <cell r="BG324" t="str">
            <v>CENCO_MZ - Cencosud SA - Mendoza</v>
          </cell>
          <cell r="BH324" t="str">
            <v>CENCO_MZ - Cencosud SA - Mendoza</v>
          </cell>
          <cell r="BI324" t="str">
            <v>CENCO_MZ - Cencosud SA - Mendoza</v>
          </cell>
          <cell r="BJ324" t="str">
            <v>CENCO_MZ - Cencosud SA - Mendoza</v>
          </cell>
          <cell r="BK324" t="str">
            <v>CENCO_MZ - Cencosud SA - Mendoza</v>
          </cell>
          <cell r="BL324" t="str">
            <v>CENCO_MZ - Cencosud SA - Mendoza</v>
          </cell>
          <cell r="BM324" t="str">
            <v>CENCO_MZ - Cencosud SA - Mendoza</v>
          </cell>
          <cell r="BN324" t="str">
            <v>CENCO_MZ - Cencosud SA - Mendoza</v>
          </cell>
          <cell r="BO324" t="str">
            <v>CENCO_MZ - Cencosud SA - Mendoza</v>
          </cell>
          <cell r="BP324" t="str">
            <v>CENCOMLD - Cencosud SA - Mendoza</v>
          </cell>
          <cell r="BQ324" t="str">
            <v>CENCOMLD - Cencosud SA - Mendoza</v>
          </cell>
          <cell r="BR324" t="str">
            <v>CENCOMLD - Cencosud SA - Mendoza</v>
          </cell>
          <cell r="BS324" t="str">
            <v>CENCOMLD - Cencosud SA - Mendoza</v>
          </cell>
          <cell r="BT324" t="str">
            <v>SUC_MEN - Sucursal Mendoza</v>
          </cell>
          <cell r="BU324" t="str">
            <v>SUC_MEN - Sucursal Mendoza</v>
          </cell>
          <cell r="BV324" t="str">
            <v>SUC_MEN - Sucursal Mendoza</v>
          </cell>
          <cell r="BW324" t="str">
            <v>SUC_SLU - Sucursal San Luis</v>
          </cell>
          <cell r="BX324" t="str">
            <v>SUC_SLU - Sucursal San Luis</v>
          </cell>
          <cell r="BY324" t="str">
            <v>SUC_SLU - Sucursal San Luis</v>
          </cell>
          <cell r="BZ324" t="str">
            <v>SUC_SLU - Sucursal San Luis</v>
          </cell>
          <cell r="CA324" t="str">
            <v>SUC_SLU - Sucursal San Luis</v>
          </cell>
          <cell r="CB324" t="str">
            <v>SUC_SLU - Sucursal San Luis</v>
          </cell>
          <cell r="CC324" t="str">
            <v>Expreso - Servicios Troncales</v>
          </cell>
          <cell r="CD324" t="str">
            <v>Expreso - Servicios Troncales</v>
          </cell>
          <cell r="CE324" t="str">
            <v>Expreso - Servicios Troncales</v>
          </cell>
          <cell r="CF324" t="str">
            <v>Expreso - Servicios Troncales</v>
          </cell>
          <cell r="CG324" t="str">
            <v>Expreso - Servicios Troncales</v>
          </cell>
          <cell r="CH324" t="str">
            <v>Expreso - Servicios Troncales</v>
          </cell>
          <cell r="CI324" t="str">
            <v>Expreso - Servicios Troncales</v>
          </cell>
          <cell r="CJ324" t="str">
            <v>Expreso - Servicios Troncales</v>
          </cell>
          <cell r="CK324" t="str">
            <v>Expreso - Servicios Troncales</v>
          </cell>
          <cell r="CL324" t="str">
            <v>Expreso - Servicios Troncales</v>
          </cell>
          <cell r="CM324" t="str">
            <v>Expreso - Servicios Troncales</v>
          </cell>
          <cell r="CN324" t="str">
            <v>Expreso - Servicios Troncales</v>
          </cell>
          <cell r="CO324" t="str">
            <v>Expreso - Servicios Troncales</v>
          </cell>
          <cell r="CP324" t="str">
            <v>Expreso - Servicios Troncales</v>
          </cell>
          <cell r="CQ324" t="str">
            <v>SUC_SLU - Sucursal San Luis</v>
          </cell>
          <cell r="CR324" t="str">
            <v>Expreso - Servicios Troncales</v>
          </cell>
          <cell r="CS324" t="str">
            <v>Expreso - Servicios Troncales</v>
          </cell>
          <cell r="CT324" t="str">
            <v>Expreso - Servicios Troncales</v>
          </cell>
          <cell r="CU324" t="str">
            <v>Expreso - Servicios Troncales</v>
          </cell>
          <cell r="CV324" t="str">
            <v>Expreso - Servicios Troncales</v>
          </cell>
          <cell r="CW324" t="str">
            <v>Expreso - Servicios Troncales</v>
          </cell>
        </row>
        <row r="325">
          <cell r="D325" t="str">
            <v>KJH882</v>
          </cell>
          <cell r="E325" t="str">
            <v>Tractor</v>
          </cell>
          <cell r="F325" t="str">
            <v>Tractor</v>
          </cell>
          <cell r="G325" t="str">
            <v>Tractor</v>
          </cell>
          <cell r="N325" t="str">
            <v>CODYLSA</v>
          </cell>
          <cell r="O325" t="str">
            <v>CODYLSA</v>
          </cell>
          <cell r="P325" t="str">
            <v>No</v>
          </cell>
          <cell r="Q325" t="str">
            <v>Propio</v>
          </cell>
          <cell r="R325" t="str">
            <v>-</v>
          </cell>
          <cell r="S325" t="str">
            <v>Propio</v>
          </cell>
          <cell r="T325" t="str">
            <v>MERCEDES BENZ</v>
          </cell>
          <cell r="U325" t="str">
            <v>AXOR 1933 S</v>
          </cell>
          <cell r="V325" t="str">
            <v>926921U0951168</v>
          </cell>
          <cell r="W325" t="str">
            <v>9BM958207CBB00394</v>
          </cell>
          <cell r="X325">
            <v>2011</v>
          </cell>
          <cell r="Y325">
            <v>15</v>
          </cell>
          <cell r="Z325" t="str">
            <v>Jumbo Mendoza</v>
          </cell>
          <cell r="AA325" t="str">
            <v>CENCO_MZ - Cencosud SA - Mendoza</v>
          </cell>
          <cell r="AB325" t="str">
            <v>CENCO_MZ - Cencosud SA - Mendoza</v>
          </cell>
          <cell r="AC325" t="str">
            <v>CENCO_MZ - Cencosud SA - Mendoza</v>
          </cell>
          <cell r="AD325" t="str">
            <v>CENCO_MZ - Cencosud SA - Mendoza</v>
          </cell>
          <cell r="AE325" t="str">
            <v>CENCO_MZ - Cencosud SA - Mendoza</v>
          </cell>
          <cell r="AF325" t="str">
            <v>CENCO_MZ - Cencosud SA - Mendoza</v>
          </cell>
          <cell r="AG325" t="str">
            <v>CENCO_MZ - Cencosud SA - Mendoza</v>
          </cell>
          <cell r="AH325" t="str">
            <v>CENCO_MZ - Cencosud SA - Mendoza</v>
          </cell>
          <cell r="AI325" t="str">
            <v>CENCO_MZ - Cencosud SA - Mendoza</v>
          </cell>
          <cell r="AJ325" t="str">
            <v>CENCO_MZ - Cencosud SA - Mendoza</v>
          </cell>
          <cell r="AK325" t="str">
            <v>CENCO_MZ - Cencosud SA - Mendoza</v>
          </cell>
          <cell r="AL325" t="str">
            <v>CENCO_MZ - Cencosud SA - Mendoza</v>
          </cell>
          <cell r="AM325" t="str">
            <v>CENCO_MZ - Cencosud SA - Mendoza</v>
          </cell>
          <cell r="AN325" t="str">
            <v>CENCO_MZ - Cencosud SA - Mendoza</v>
          </cell>
          <cell r="AO325" t="str">
            <v>CENCO_MZ - Cencosud SA - Mendoza</v>
          </cell>
          <cell r="AP325" t="str">
            <v>CENCO_MZ - Cencosud SA - Mendoza</v>
          </cell>
          <cell r="AQ325" t="str">
            <v>CENCO_MZ - Cencosud SA - Mendoza</v>
          </cell>
          <cell r="AR325" t="str">
            <v>CENCO_MZ - Cencosud SA - Mendoza</v>
          </cell>
          <cell r="AS325" t="str">
            <v>CENCO_MZ - Cencosud SA - Mendoza</v>
          </cell>
          <cell r="AT325" t="str">
            <v>CENCO_MZ - Cencosud SA - Mendoza</v>
          </cell>
          <cell r="AU325" t="str">
            <v>CENCO_MZ - Cencosud SA - Mendoza</v>
          </cell>
          <cell r="AV325" t="str">
            <v>CENCO_MZ - Cencosud SA - Mendoza</v>
          </cell>
          <cell r="AW325" t="str">
            <v>CENCO_MZ - Cencosud SA - Mendoza</v>
          </cell>
          <cell r="AX325" t="str">
            <v>CENCO_MZ - Cencosud SA - Mendoza</v>
          </cell>
          <cell r="AY325" t="str">
            <v>CENCO_MZ - Cencosud SA - Mendoza</v>
          </cell>
          <cell r="AZ325" t="str">
            <v>CENCO_MZ - Cencosud SA - Mendoza</v>
          </cell>
          <cell r="BA325" t="str">
            <v>CENCO_MZ - Cencosud SA - Mendoza</v>
          </cell>
          <cell r="BB325" t="str">
            <v>CENCO_MZ - Cencosud SA - Mendoza</v>
          </cell>
          <cell r="BC325" t="str">
            <v>CENCO_MZ - Cencosud SA - Mendoza</v>
          </cell>
          <cell r="BD325" t="str">
            <v>ADA_MZA - Danone Arg. S.A. - MZA</v>
          </cell>
          <cell r="BE325" t="str">
            <v>ADA_MZA - Danone Arg. S.A. - MZA</v>
          </cell>
          <cell r="BF325" t="str">
            <v>ADA_MZA - Danone Arg. S.A. - MZA</v>
          </cell>
          <cell r="BG325" t="str">
            <v>ADA_MZA - Danone Arg. S.A. - MZA</v>
          </cell>
          <cell r="BH325" t="str">
            <v>ADA_MZA - Danone Arg. S.A. - MZA</v>
          </cell>
          <cell r="BI325" t="str">
            <v>ADA_MZA - Danone Arg. S.A. - MZA</v>
          </cell>
          <cell r="BJ325" t="str">
            <v>ADA_MZA - Danone Arg. S.A. - MZA</v>
          </cell>
          <cell r="BK325" t="str">
            <v>ADA_MZA - Danone Arg. S.A. - MZA</v>
          </cell>
          <cell r="BL325" t="str">
            <v>ADA_MZA - Danone Arg. S.A. - MZA</v>
          </cell>
          <cell r="BM325" t="str">
            <v>ADA_MZA - Danone Arg. S.A. - MZA</v>
          </cell>
          <cell r="BN325" t="str">
            <v>ADA_MZA - Danone Arg. S.A. - MZA</v>
          </cell>
          <cell r="BO325" t="str">
            <v>ADA_MZA - Danone Arg. S.A. - MZA</v>
          </cell>
          <cell r="BP325" t="str">
            <v>ADA_MZA - Danone Arg. S.A. - MZA</v>
          </cell>
          <cell r="BQ325" t="str">
            <v>ADA_MZA - Danone Arg. S.A. - MZA</v>
          </cell>
          <cell r="BR325" t="str">
            <v>ADA_MZA - Danone Arg. S.A. - MZA</v>
          </cell>
          <cell r="BS325" t="str">
            <v>ADA_MZA - Danone Arg. S.A. - MZA</v>
          </cell>
          <cell r="BT325" t="str">
            <v>CENCOMLD - Cencosud SA - Mendoza</v>
          </cell>
          <cell r="BU325" t="str">
            <v>CENCOMLD - Cencosud SA - Mendoza</v>
          </cell>
          <cell r="BV325" t="str">
            <v>CENCOMLD - Cencosud SA - Mendoza</v>
          </cell>
          <cell r="BW325" t="str">
            <v>CENCOMLD - Cencosud SA - Mendoza</v>
          </cell>
          <cell r="BX325" t="str">
            <v>CENCOMLD - Cencosud SA - Mendoza</v>
          </cell>
          <cell r="BY325" t="str">
            <v>Expreso - Servicios Troncales</v>
          </cell>
          <cell r="BZ325" t="str">
            <v>Expreso - Servicios Troncales</v>
          </cell>
          <cell r="CA325" t="str">
            <v>Expreso - Servicios Troncales</v>
          </cell>
          <cell r="CB325" t="str">
            <v>Expreso - Servicios Troncales</v>
          </cell>
          <cell r="CC325" t="str">
            <v>Expreso - Servicios Troncales</v>
          </cell>
          <cell r="CD325" t="str">
            <v>Expreso - Servicios Troncales</v>
          </cell>
          <cell r="CE325" t="str">
            <v>Arcor S.A.I.C.</v>
          </cell>
          <cell r="CF325" t="str">
            <v>Arcor S.A.I.C.</v>
          </cell>
          <cell r="CG325" t="str">
            <v>Arcor S.A.I.C.</v>
          </cell>
          <cell r="CH325" t="str">
            <v>LOGIS</v>
          </cell>
          <cell r="CI325" t="str">
            <v>LOGIS</v>
          </cell>
          <cell r="CJ325" t="str">
            <v>Unilever - Unilever de Arg. S.A.</v>
          </cell>
          <cell r="CK325" t="str">
            <v>Unilever - Unilever de Arg. S.A.</v>
          </cell>
          <cell r="CL325" t="str">
            <v>Unilever - Unilever de Arg. S.A.</v>
          </cell>
          <cell r="CM325" t="str">
            <v>Unilever - Unilever de Arg. S.A.</v>
          </cell>
          <cell r="CN325" t="str">
            <v>Unilever - Unilever de Arg. S.A.</v>
          </cell>
          <cell r="CO325" t="str">
            <v>Unilever - Unilever de Arg. S.A.</v>
          </cell>
          <cell r="CP325" t="str">
            <v>Arcor S.A.I.C.</v>
          </cell>
          <cell r="CQ325" t="str">
            <v>Arcor S.A.I.C.</v>
          </cell>
          <cell r="CR325" t="str">
            <v>Arcor S.A.I.C.</v>
          </cell>
          <cell r="CS325" t="str">
            <v>Arcor S.A.I.C.</v>
          </cell>
          <cell r="CT325" t="str">
            <v>Arcor S.A.I.C.</v>
          </cell>
          <cell r="CU325" t="str">
            <v>Arcor S.A.I.C.</v>
          </cell>
          <cell r="CV325" t="str">
            <v>Arcor S.A.I.C.</v>
          </cell>
          <cell r="CW325" t="str">
            <v>Arcor S.A.I.C.</v>
          </cell>
        </row>
        <row r="326">
          <cell r="D326" t="str">
            <v>KJH885</v>
          </cell>
          <cell r="E326" t="str">
            <v>Tractor</v>
          </cell>
          <cell r="F326" t="str">
            <v>Tractor</v>
          </cell>
          <cell r="G326" t="str">
            <v>Tractor</v>
          </cell>
          <cell r="N326" t="str">
            <v>CODYLSA</v>
          </cell>
          <cell r="O326" t="str">
            <v>CODYLSA</v>
          </cell>
          <cell r="P326" t="str">
            <v>No</v>
          </cell>
          <cell r="Q326" t="str">
            <v>Propio</v>
          </cell>
          <cell r="R326" t="str">
            <v>-</v>
          </cell>
          <cell r="S326" t="str">
            <v>Propio</v>
          </cell>
          <cell r="T326" t="str">
            <v>MERCEDES BENZ</v>
          </cell>
          <cell r="U326" t="str">
            <v>AXOR 1933 S</v>
          </cell>
          <cell r="V326" t="str">
            <v>926921U0951145</v>
          </cell>
          <cell r="W326" t="str">
            <v>9BM958207CBB00386</v>
          </cell>
          <cell r="X326">
            <v>2011</v>
          </cell>
          <cell r="Y326">
            <v>15</v>
          </cell>
          <cell r="Z326" t="str">
            <v>Jumbo Mendoza</v>
          </cell>
          <cell r="AA326" t="str">
            <v>CENCO_MZ - Cencosud SA - Mendoza</v>
          </cell>
          <cell r="AB326" t="str">
            <v>CENCO_MZ - Cencosud SA - Mendoza</v>
          </cell>
          <cell r="AC326" t="str">
            <v>CENCO_MZ - Cencosud SA - Mendoza</v>
          </cell>
          <cell r="AD326" t="str">
            <v>CENCO_MZ - Cencosud SA - Mendoza</v>
          </cell>
          <cell r="AE326" t="str">
            <v>CENCO_MZ - Cencosud SA - Mendoza</v>
          </cell>
          <cell r="AF326" t="str">
            <v>CENCO_MZ - Cencosud SA - Mendoza</v>
          </cell>
          <cell r="AG326" t="str">
            <v>CENCO_MZ - Cencosud SA - Mendoza</v>
          </cell>
          <cell r="AH326" t="str">
            <v>CENCO_MZ - Cencosud SA - Mendoza</v>
          </cell>
          <cell r="AI326" t="str">
            <v>CENCO_MZ - Cencosud SA - Mendoza</v>
          </cell>
          <cell r="AJ326" t="str">
            <v>CENCO_MZ - Cencosud SA - Mendoza</v>
          </cell>
          <cell r="AK326" t="str">
            <v>CENCO_MZ - Cencosud SA - Mendoza</v>
          </cell>
          <cell r="AL326" t="str">
            <v>CENCO_MZ - Cencosud SA - Mendoza</v>
          </cell>
          <cell r="AM326" t="str">
            <v>CENCO_MZ - Cencosud SA - Mendoza</v>
          </cell>
          <cell r="AN326" t="str">
            <v>CENCO_MZ - Cencosud SA - Mendoza</v>
          </cell>
          <cell r="AO326" t="str">
            <v>CENCO_MZ - Cencosud SA - Mendoza</v>
          </cell>
          <cell r="AP326" t="str">
            <v>CENCO_MZ - Cencosud SA - Mendoza</v>
          </cell>
          <cell r="AQ326" t="str">
            <v>CENCO_MZ - Cencosud SA - Mendoza</v>
          </cell>
          <cell r="AR326" t="str">
            <v>CENCO_MZ - Cencosud SA - Mendoza</v>
          </cell>
          <cell r="AS326" t="str">
            <v>CENCO_MZ - Cencosud SA - Mendoza</v>
          </cell>
          <cell r="AT326" t="str">
            <v>CENCO_MZ - Cencosud SA - Mendoza</v>
          </cell>
          <cell r="AU326" t="str">
            <v>CENCO_MZ - Cencosud SA - Mendoza</v>
          </cell>
          <cell r="AV326" t="str">
            <v>CENCO_MZ - Cencosud SA - Mendoza</v>
          </cell>
          <cell r="AW326" t="str">
            <v>CENCO_MZ - Cencosud SA - Mendoza</v>
          </cell>
          <cell r="AX326" t="str">
            <v>CENCO_MZ - Cencosud SA - Mendoza</v>
          </cell>
          <cell r="AY326" t="str">
            <v>CENCO_MZ - Cencosud SA - Mendoza</v>
          </cell>
          <cell r="AZ326" t="str">
            <v>CENCO_MZ - Cencosud SA - Mendoza</v>
          </cell>
          <cell r="BA326" t="str">
            <v>CENCO_MZ - Cencosud SA - Mendoza</v>
          </cell>
          <cell r="BB326" t="str">
            <v>CENCO_MZ - Cencosud SA - Mendoza</v>
          </cell>
          <cell r="BC326" t="str">
            <v>CENCO_MZ - Cencosud SA - Mendoza</v>
          </cell>
          <cell r="BD326" t="str">
            <v>CENCO_MZ - Cencosud SA - Mendoza</v>
          </cell>
          <cell r="BE326" t="str">
            <v>CENCO_MZ - Cencosud SA - Mendoza</v>
          </cell>
          <cell r="BF326" t="str">
            <v>CENCO_MZ - Cencosud SA - Mendoza</v>
          </cell>
          <cell r="BG326" t="str">
            <v>CENCO_MZ - Cencosud SA - Mendoza</v>
          </cell>
          <cell r="BH326" t="str">
            <v>CENCO_MZ - Cencosud SA - Mendoza</v>
          </cell>
          <cell r="BI326" t="str">
            <v>CENCO_MZ - Cencosud SA - Mendoza</v>
          </cell>
          <cell r="BJ326" t="str">
            <v>CENCO_MZ - Cencosud SA - Mendoza</v>
          </cell>
          <cell r="BK326" t="str">
            <v>CENCO_MZ - Cencosud SA - Mendoza</v>
          </cell>
          <cell r="BL326" t="str">
            <v>CENCO_MZ - Cencosud SA - Mendoza</v>
          </cell>
          <cell r="BM326" t="str">
            <v>CENCO_MZ - Cencosud SA - Mendoza</v>
          </cell>
          <cell r="BN326" t="str">
            <v>CENCOMLD - Cencosud SA - Mendoza</v>
          </cell>
          <cell r="BO326" t="str">
            <v>CENCOMLD - Cencosud SA - Mendoza</v>
          </cell>
          <cell r="BP326" t="str">
            <v>CENCOMLD - Cencosud SA - Mendoza</v>
          </cell>
          <cell r="BQ326" t="str">
            <v>CENCOMLD - Cencosud SA - Mendoza</v>
          </cell>
          <cell r="BR326" t="str">
            <v>CENCOMLD - Cencosud SA - Mendoza</v>
          </cell>
          <cell r="BS326" t="str">
            <v>CENCOMLD - Cencosud SA - Mendoza</v>
          </cell>
          <cell r="BT326" t="str">
            <v>CENCOMLD - Cencosud SA - Mendoza</v>
          </cell>
          <cell r="BU326" t="str">
            <v>CENCOMLD - Cencosud SA - Mendoza</v>
          </cell>
          <cell r="BV326" t="str">
            <v>CENCOMLD - Cencosud SA - Mendoza</v>
          </cell>
          <cell r="BW326" t="str">
            <v>CENCOMLD - Cencosud SA - Mendoza</v>
          </cell>
          <cell r="BX326" t="str">
            <v>CENCOMLD - Cencosud SA - Mendoza</v>
          </cell>
          <cell r="BY326" t="str">
            <v>Expreso - Servicios Troncales</v>
          </cell>
          <cell r="BZ326" t="str">
            <v>Expreso - Servicios Troncales</v>
          </cell>
          <cell r="CA326" t="str">
            <v>Expreso - Servicios Troncales</v>
          </cell>
          <cell r="CB326" t="str">
            <v>Unilever - Unilever de Arg. S.A.</v>
          </cell>
          <cell r="CC326" t="str">
            <v>Unilever - Unilever de Arg. S.A.</v>
          </cell>
          <cell r="CD326" t="str">
            <v>Unilever - Unilever de Arg. S.A.</v>
          </cell>
          <cell r="CE326" t="str">
            <v>Arcor S.A.I.C.</v>
          </cell>
          <cell r="CF326" t="str">
            <v>Arcor S.A.I.C.</v>
          </cell>
          <cell r="CG326" t="str">
            <v>Arcor S.A.I.C.</v>
          </cell>
          <cell r="CH326" t="str">
            <v>Arcor S.A.I.C.</v>
          </cell>
          <cell r="CI326" t="str">
            <v>Arcor S.A.I.C.</v>
          </cell>
          <cell r="CJ326" t="str">
            <v>Arcor S.A.I.C.</v>
          </cell>
          <cell r="CK326" t="str">
            <v>Arcor S.A.I.C.</v>
          </cell>
          <cell r="CL326" t="str">
            <v>Arcor S.A.I.C.</v>
          </cell>
          <cell r="CM326" t="str">
            <v>Arcor S.A.I.C.</v>
          </cell>
          <cell r="CN326" t="str">
            <v>Arcor S.A.I.C.</v>
          </cell>
          <cell r="CO326" t="str">
            <v>Arcor S.A.I.C.</v>
          </cell>
          <cell r="CP326" t="str">
            <v>Arcor S.A.I.C.</v>
          </cell>
          <cell r="CQ326" t="str">
            <v>Arcor S.A.I.C.</v>
          </cell>
          <cell r="CR326" t="str">
            <v>Arcor S.A.I.C.</v>
          </cell>
          <cell r="CS326" t="str">
            <v>Arcor S.A.I.C.</v>
          </cell>
          <cell r="CT326" t="str">
            <v>Arcor S.A.I.C.</v>
          </cell>
          <cell r="CU326" t="str">
            <v>Arcor S.A.I.C.</v>
          </cell>
          <cell r="CV326" t="str">
            <v>Arcor S.A.I.C.</v>
          </cell>
          <cell r="CW326" t="str">
            <v>Arcor S.A.I.C.</v>
          </cell>
        </row>
        <row r="327">
          <cell r="D327" t="str">
            <v>KJN079</v>
          </cell>
          <cell r="E327" t="str">
            <v>Chasis</v>
          </cell>
          <cell r="F327">
            <v>0</v>
          </cell>
          <cell r="G327" t="str">
            <v>Chasis</v>
          </cell>
          <cell r="N327" t="str">
            <v>LISIO ROQUE</v>
          </cell>
          <cell r="O327" t="str">
            <v>LISIO ROQUE</v>
          </cell>
          <cell r="P327" t="str">
            <v>No</v>
          </cell>
          <cell r="Q327" t="str">
            <v>Alquilados</v>
          </cell>
          <cell r="R327" t="str">
            <v>-</v>
          </cell>
          <cell r="S327" t="str">
            <v>Alquilados</v>
          </cell>
          <cell r="T327" t="str">
            <v>VOLKSWAGEN</v>
          </cell>
          <cell r="U327" t="str">
            <v>8.150E</v>
          </cell>
          <cell r="V327">
            <v>2011</v>
          </cell>
          <cell r="W327">
            <v>15</v>
          </cell>
          <cell r="X327">
            <v>2011</v>
          </cell>
          <cell r="Y327">
            <v>15</v>
          </cell>
          <cell r="Z327" t="str">
            <v>Danone SMK</v>
          </cell>
          <cell r="AA327" t="str">
            <v>ADA_SMK - Danone Arg. S.A. - SMK</v>
          </cell>
          <cell r="AB327" t="str">
            <v>ADA_SMK - Danone Arg. S.A. - SMK</v>
          </cell>
          <cell r="AC327" t="str">
            <v>ADA_SMK - Danone Arg. S.A. - SMK</v>
          </cell>
          <cell r="AD327" t="str">
            <v>ADA_SMK - Danone Arg. S.A. - SMK</v>
          </cell>
          <cell r="AE327" t="str">
            <v>ADA_SMK - Danone Arg. S.A. - SMK</v>
          </cell>
          <cell r="AF327" t="str">
            <v>ADA_SMK - Danone Arg. S.A. - SMK</v>
          </cell>
          <cell r="AG327" t="str">
            <v>ADA_SMK - Danone Arg. S.A. - SMK</v>
          </cell>
          <cell r="AH327" t="str">
            <v>ADA_SMK - Danone Arg. S.A. - SMK</v>
          </cell>
          <cell r="AI327" t="str">
            <v>ADA_SMK - Danone Arg. S.A. - SMK</v>
          </cell>
          <cell r="AJ327" t="str">
            <v>ADA_SMK - Danone Arg. S.A. - SMK</v>
          </cell>
          <cell r="AK327" t="str">
            <v>ADA_SMK - Danone Arg. S.A. - SMK</v>
          </cell>
          <cell r="AL327" t="str">
            <v>ADA_SMK - Danone Arg. S.A. - SMK</v>
          </cell>
          <cell r="AM327" t="str">
            <v>ADA_SMK - Danone Arg. S.A. - SMK</v>
          </cell>
          <cell r="AN327" t="str">
            <v>ADA_SMK - Danone Arg. S.A. - SMK</v>
          </cell>
          <cell r="AO327" t="str">
            <v>ADA_SMK - Danone Arg. S.A. - SMK</v>
          </cell>
          <cell r="AP327" t="str">
            <v>ADA_SMK - Danone Arg. S.A. - SMK</v>
          </cell>
          <cell r="AQ327" t="str">
            <v>INACTIVO</v>
          </cell>
          <cell r="AR327" t="str">
            <v>INACTIVO</v>
          </cell>
          <cell r="AS327" t="str">
            <v>INACTIVO</v>
          </cell>
          <cell r="AT327" t="str">
            <v>INACTIVO</v>
          </cell>
          <cell r="AU327" t="str">
            <v>INACTIVO</v>
          </cell>
          <cell r="AV327" t="str">
            <v>INACTIVO</v>
          </cell>
          <cell r="AW327" t="str">
            <v>INACTIVO</v>
          </cell>
          <cell r="AX327" t="str">
            <v>INACTIVO</v>
          </cell>
          <cell r="AY327" t="str">
            <v>INACTIVO</v>
          </cell>
          <cell r="AZ327" t="str">
            <v>INACTIVO</v>
          </cell>
          <cell r="BA327" t="str">
            <v>INACTIVO</v>
          </cell>
          <cell r="BB327" t="str">
            <v>INACTIVO</v>
          </cell>
          <cell r="BC327" t="str">
            <v>INACTIVO</v>
          </cell>
          <cell r="BD327" t="str">
            <v>INACTIVO</v>
          </cell>
          <cell r="BE327" t="str">
            <v>INACTIVO</v>
          </cell>
          <cell r="BF327" t="str">
            <v>INACTIVO</v>
          </cell>
          <cell r="BG327" t="str">
            <v>INACTIVO</v>
          </cell>
          <cell r="BH327" t="str">
            <v>INACTIVO</v>
          </cell>
          <cell r="BI327" t="str">
            <v>INACTIVO</v>
          </cell>
          <cell r="BJ327" t="str">
            <v>INACTIVO</v>
          </cell>
          <cell r="BK327" t="str">
            <v>INACTIVO</v>
          </cell>
          <cell r="BL327" t="str">
            <v>INACTIVO</v>
          </cell>
          <cell r="BM327" t="str">
            <v>INACTIVO</v>
          </cell>
          <cell r="BN327" t="str">
            <v>INACTIVO</v>
          </cell>
          <cell r="BO327" t="str">
            <v>INACTIVO</v>
          </cell>
          <cell r="BP327" t="str">
            <v>INACTIVO</v>
          </cell>
          <cell r="BQ327" t="str">
            <v>INACTIVO</v>
          </cell>
          <cell r="BR327" t="str">
            <v>INACTIVO</v>
          </cell>
          <cell r="BS327" t="str">
            <v>INACTIVO</v>
          </cell>
          <cell r="BT327" t="str">
            <v>INACTIVO</v>
          </cell>
          <cell r="BU327" t="str">
            <v>INACTIVO</v>
          </cell>
          <cell r="BV327" t="str">
            <v>INACTIVO</v>
          </cell>
          <cell r="BW327" t="str">
            <v>INACTIVO</v>
          </cell>
          <cell r="BX327" t="str">
            <v>INACTIVO</v>
          </cell>
          <cell r="BY327" t="str">
            <v>INACTIVO</v>
          </cell>
          <cell r="BZ327" t="str">
            <v>INACTIVO</v>
          </cell>
          <cell r="CA327" t="str">
            <v>INACTIVO</v>
          </cell>
          <cell r="CB327" t="str">
            <v>INACTIVO</v>
          </cell>
          <cell r="CC327" t="str">
            <v>BAJA</v>
          </cell>
          <cell r="CD327" t="str">
            <v>BAJA</v>
          </cell>
          <cell r="CE327" t="str">
            <v>BAJA</v>
          </cell>
          <cell r="CF327" t="str">
            <v>BAJA</v>
          </cell>
          <cell r="CG327" t="str">
            <v>BAJA</v>
          </cell>
          <cell r="CH327" t="str">
            <v>BAJA</v>
          </cell>
          <cell r="CI327" t="str">
            <v>BAJA</v>
          </cell>
          <cell r="CJ327" t="str">
            <v>BAJA</v>
          </cell>
          <cell r="CK327" t="str">
            <v>BAJA</v>
          </cell>
          <cell r="CL327" t="str">
            <v>BAJA</v>
          </cell>
          <cell r="CM327" t="str">
            <v>BAJA</v>
          </cell>
          <cell r="CN327" t="str">
            <v>BAJA</v>
          </cell>
          <cell r="CO327" t="str">
            <v>BAJA</v>
          </cell>
          <cell r="CP327" t="str">
            <v>BAJA</v>
          </cell>
          <cell r="CQ327" t="str">
            <v>BAJA</v>
          </cell>
          <cell r="CR327" t="str">
            <v>BAJA</v>
          </cell>
          <cell r="CS327" t="str">
            <v>BAJA</v>
          </cell>
          <cell r="CT327" t="str">
            <v>BAJA</v>
          </cell>
          <cell r="CU327" t="str">
            <v>BAJA</v>
          </cell>
          <cell r="CV327" t="str">
            <v>BAJA</v>
          </cell>
          <cell r="CW327" t="str">
            <v>BAJA</v>
          </cell>
        </row>
        <row r="328">
          <cell r="D328" t="str">
            <v>KJT198</v>
          </cell>
          <cell r="E328" t="str">
            <v>Camioneta</v>
          </cell>
          <cell r="F328" t="str">
            <v>Utilitario</v>
          </cell>
          <cell r="G328" t="str">
            <v>Utilitario</v>
          </cell>
          <cell r="N328" t="str">
            <v>GUEVARA ALFREDO PABLO</v>
          </cell>
          <cell r="O328" t="str">
            <v>GUEVARA ALFREDO PABLO</v>
          </cell>
          <cell r="P328" t="str">
            <v>No</v>
          </cell>
          <cell r="Q328" t="str">
            <v>De Tercero</v>
          </cell>
          <cell r="R328" t="str">
            <v>-</v>
          </cell>
          <cell r="S328" t="str">
            <v>De Tercero</v>
          </cell>
          <cell r="T328" t="str">
            <v>PEUGEOT</v>
          </cell>
          <cell r="U328" t="str">
            <v>EXPERT 1,6 HDI CONFORT FURGONETA</v>
          </cell>
          <cell r="V328" t="str">
            <v>10JBBY0067359</v>
          </cell>
          <cell r="W328" t="str">
            <v>VF3XS9HUBCZ000256</v>
          </cell>
          <cell r="X328">
            <v>2011</v>
          </cell>
          <cell r="CE328" t="str">
            <v>SUC_MEN - Sucursal Mendoza</v>
          </cell>
          <cell r="CF328" t="str">
            <v>SUC_MEN - Sucursal Mendoza</v>
          </cell>
          <cell r="CG328" t="str">
            <v>SUC_MEN - Sucursal Mendoza</v>
          </cell>
          <cell r="CH328" t="str">
            <v>SUC_MEN - Sucursal Mendoza</v>
          </cell>
          <cell r="CI328" t="str">
            <v>SUC_MEN - Sucursal Mendoza</v>
          </cell>
          <cell r="CJ328" t="str">
            <v>SUC_MEN - Sucursal Mendoza</v>
          </cell>
          <cell r="CK328" t="str">
            <v>SUC_MEN - Sucursal Mendoza</v>
          </cell>
          <cell r="CL328" t="str">
            <v>SUC_MEN - Sucursal Mendoza</v>
          </cell>
          <cell r="CM328" t="str">
            <v>SUC_MEN - Sucursal Mendoza</v>
          </cell>
          <cell r="CN328" t="str">
            <v>INACTIVO</v>
          </cell>
          <cell r="CO328" t="str">
            <v>INACTIVO</v>
          </cell>
          <cell r="CP328" t="str">
            <v>INACTIVO</v>
          </cell>
          <cell r="CQ328" t="str">
            <v>INACTIVO</v>
          </cell>
          <cell r="CR328" t="str">
            <v>SUC_MEN - Sucursal Mendoza</v>
          </cell>
          <cell r="CS328" t="str">
            <v>SUC_MEN - Sucursal Mendoza</v>
          </cell>
          <cell r="CT328" t="str">
            <v>SUC_MEN - Sucursal Mendoza</v>
          </cell>
          <cell r="CU328" t="str">
            <v>SUC_MEN - Sucursal Mendoza</v>
          </cell>
          <cell r="CV328" t="str">
            <v>SUC_MEN - Sucursal Mendoza</v>
          </cell>
          <cell r="CW328" t="str">
            <v>SUC_MEN - Sucursal Mendoza</v>
          </cell>
        </row>
        <row r="329">
          <cell r="D329" t="str">
            <v>KKI233</v>
          </cell>
          <cell r="E329" t="str">
            <v>Chasis</v>
          </cell>
          <cell r="F329" t="str">
            <v>Chasis</v>
          </cell>
          <cell r="G329" t="str">
            <v>Chasis</v>
          </cell>
          <cell r="N329" t="str">
            <v>CODYLSA</v>
          </cell>
          <cell r="O329" t="str">
            <v>CODYLSA</v>
          </cell>
          <cell r="P329" t="str">
            <v>No</v>
          </cell>
          <cell r="Q329" t="str">
            <v>Propio</v>
          </cell>
          <cell r="R329">
            <v>12</v>
          </cell>
          <cell r="S329" t="str">
            <v>Propio</v>
          </cell>
          <cell r="T329" t="str">
            <v>MERCEDES BENZ</v>
          </cell>
          <cell r="U329" t="str">
            <v>ATRON 1720/48  FRONTAL</v>
          </cell>
          <cell r="V329" t="str">
            <v>904980U0955114</v>
          </cell>
          <cell r="W329" t="str">
            <v>9BM693186CF139069</v>
          </cell>
          <cell r="X329">
            <v>2011</v>
          </cell>
          <cell r="Y329">
            <v>15</v>
          </cell>
          <cell r="Z329" t="str">
            <v xml:space="preserve">Unilever </v>
          </cell>
          <cell r="AA329" t="str">
            <v>Unilever - Unilever de Arg. S.A.</v>
          </cell>
          <cell r="AB329" t="str">
            <v>Unilever - Unilever de Arg. S.A.</v>
          </cell>
          <cell r="AC329" t="str">
            <v>Unilever - Unilever de Arg. S.A.</v>
          </cell>
          <cell r="AD329" t="str">
            <v>Unilever - Unilever de Arg. S.A.</v>
          </cell>
          <cell r="AE329" t="str">
            <v>Unilever - Unilever de Arg. S.A.</v>
          </cell>
          <cell r="AF329" t="str">
            <v>Unilever - Unilever de Arg. S.A.</v>
          </cell>
          <cell r="AG329" t="str">
            <v>Unilever - Unilever de Arg. S.A.</v>
          </cell>
          <cell r="AH329" t="str">
            <v>Unilever - Unilever de Arg. S.A.</v>
          </cell>
          <cell r="AI329" t="str">
            <v>Unilever - Unilever de Arg. S.A.</v>
          </cell>
          <cell r="AJ329" t="str">
            <v>Unilever - Unilever de Arg. S.A.</v>
          </cell>
          <cell r="AK329" t="str">
            <v>Unilever - Unilever de Arg. S.A.</v>
          </cell>
          <cell r="AL329" t="str">
            <v>Unilever - Unilever de Arg. S.A.</v>
          </cell>
          <cell r="AM329" t="str">
            <v>Unilever - Unilever de Arg. S.A.</v>
          </cell>
          <cell r="AN329" t="str">
            <v>Unilever - Unilever de Arg. S.A.</v>
          </cell>
          <cell r="AO329" t="str">
            <v>Unilever - Unilever de Arg. S.A.</v>
          </cell>
          <cell r="AP329" t="str">
            <v>Unilever - Unilever de Arg. S.A.</v>
          </cell>
          <cell r="AQ329" t="str">
            <v>Unilever - Unilever de Arg. S.A.</v>
          </cell>
          <cell r="AR329" t="str">
            <v>Unilever - Unilever de Arg. S.A.</v>
          </cell>
          <cell r="AS329" t="str">
            <v>Unilever - Unilever de Arg. S.A.</v>
          </cell>
          <cell r="AT329" t="str">
            <v>Unilever - Unilever de Arg. S.A.</v>
          </cell>
          <cell r="AU329" t="str">
            <v>Unilever - Unilever de Arg. S.A.</v>
          </cell>
          <cell r="AV329" t="str">
            <v>Unilever - Unilever de Arg. S.A.</v>
          </cell>
          <cell r="AW329" t="str">
            <v>Unilever - Unilever de Arg. S.A.</v>
          </cell>
          <cell r="AX329" t="str">
            <v>Unilever - Unilever de Arg. S.A.</v>
          </cell>
          <cell r="AY329" t="str">
            <v>Unilever - Unilever de Arg. S.A.</v>
          </cell>
          <cell r="AZ329" t="str">
            <v>Unilever - Unilever de Arg. S.A.</v>
          </cell>
          <cell r="BA329" t="str">
            <v>Unilever - Unilever de Arg. S.A.</v>
          </cell>
          <cell r="BB329" t="str">
            <v>Unilever - Unilever de Arg. S.A.</v>
          </cell>
          <cell r="BC329" t="str">
            <v>Unilever - Unilever de Arg. S.A.</v>
          </cell>
          <cell r="BD329" t="str">
            <v>Unilever - Unilever de Arg. S.A.</v>
          </cell>
          <cell r="BE329" t="str">
            <v>Unilever - Unilever de Arg. S.A.</v>
          </cell>
          <cell r="BF329" t="str">
            <v>Unilever - Unilever de Arg. S.A.</v>
          </cell>
          <cell r="BG329" t="str">
            <v>Unilever - Unilever de Arg. S.A.</v>
          </cell>
          <cell r="BH329" t="str">
            <v>Unilever - Unilever de Arg. S.A.</v>
          </cell>
          <cell r="BI329" t="str">
            <v>Unilever - Unilever de Arg. S.A.</v>
          </cell>
          <cell r="BJ329" t="str">
            <v>Unilever - Unilever de Arg. S.A.</v>
          </cell>
          <cell r="BK329" t="str">
            <v>Unilever - Unilever de Arg. S.A.</v>
          </cell>
          <cell r="BL329" t="str">
            <v>Unilever - Unilever de Arg. S.A.</v>
          </cell>
          <cell r="BM329" t="str">
            <v>Unilever - Unilever de Arg. S.A.</v>
          </cell>
          <cell r="BN329" t="str">
            <v>Unilever - Unilever de Arg. S.A.</v>
          </cell>
          <cell r="BO329" t="str">
            <v>Unilever - Unilever de Arg. S.A.</v>
          </cell>
          <cell r="BP329" t="str">
            <v>Unilever - Unilever de Arg. S.A.</v>
          </cell>
          <cell r="BQ329" t="str">
            <v>Unilever - Unilever de Arg. S.A.</v>
          </cell>
          <cell r="BR329" t="str">
            <v>Unilever - Unilever de Arg. S.A.</v>
          </cell>
          <cell r="BS329" t="str">
            <v>Unilever - Unilever de Arg. S.A.</v>
          </cell>
          <cell r="BT329" t="str">
            <v>Unilever - Unilever de Arg. S.A.</v>
          </cell>
          <cell r="BU329" t="str">
            <v>Unilever - Unilever de Arg. S.A.</v>
          </cell>
          <cell r="BV329" t="str">
            <v>Unilever - Unilever de Arg. S.A.</v>
          </cell>
          <cell r="BW329" t="str">
            <v>Unilever - Unilever de Arg. S.A.</v>
          </cell>
          <cell r="BX329" t="str">
            <v>Unilever - Unilever de Arg. S.A.</v>
          </cell>
          <cell r="BY329" t="str">
            <v>Unilever - Unilever de Arg. S.A.</v>
          </cell>
          <cell r="BZ329" t="str">
            <v>JOHNSON - SC JOHNSON DE ARGENTINA SAIC</v>
          </cell>
          <cell r="CA329" t="str">
            <v>JOHNSON - SC JOHNSON DE ARGENTINA SAIC</v>
          </cell>
          <cell r="CB329" t="str">
            <v>Unilever - Unilever de Arg. S.A.</v>
          </cell>
          <cell r="CC329" t="str">
            <v>Unilever - Unilever de Arg. S.A.</v>
          </cell>
          <cell r="CD329" t="str">
            <v>Unilever - Unilever de Arg. S.A.</v>
          </cell>
          <cell r="CE329" t="str">
            <v>Unilever - Unilever de Arg. S.A.</v>
          </cell>
          <cell r="CF329" t="str">
            <v>Unilever - Unilever de Arg. S.A.</v>
          </cell>
          <cell r="CG329" t="str">
            <v>Unilever - Unilever de Arg. S.A.</v>
          </cell>
          <cell r="CH329" t="str">
            <v>LOGIS</v>
          </cell>
          <cell r="CI329" t="str">
            <v>LOGIS</v>
          </cell>
          <cell r="CJ329" t="str">
            <v>Cook Master</v>
          </cell>
          <cell r="CK329" t="str">
            <v>Cook Master</v>
          </cell>
          <cell r="CL329" t="str">
            <v>Cook Master</v>
          </cell>
          <cell r="CM329" t="str">
            <v>Unilever - Unilever de Arg. S.A.</v>
          </cell>
          <cell r="CN329" t="str">
            <v>Papelera - Papelera del Plata S.A.</v>
          </cell>
          <cell r="CO329" t="str">
            <v>Papelera - Papelera del Plata S.A.</v>
          </cell>
          <cell r="CP329" t="str">
            <v>Papelera - Papelera del Plata S.A.</v>
          </cell>
          <cell r="CQ329" t="str">
            <v>Papelera - Papelera del Plata S.A.</v>
          </cell>
          <cell r="CR329" t="str">
            <v>Papelera - Papelera del Plata S.A.</v>
          </cell>
          <cell r="CS329" t="str">
            <v>Papelera - Papelera del Plata S.A.</v>
          </cell>
          <cell r="CT329" t="str">
            <v>Papelera - Papelera del Plata S.A.</v>
          </cell>
          <cell r="CU329" t="str">
            <v>Papelera - Papelera del Plata S.A.</v>
          </cell>
          <cell r="CV329" t="str">
            <v>Papelera - Papelera del Plata S.A.</v>
          </cell>
          <cell r="CW329" t="str">
            <v>Papelera - Papelera del Plata S.A.</v>
          </cell>
        </row>
        <row r="330">
          <cell r="D330" t="str">
            <v>KKZ666</v>
          </cell>
          <cell r="E330" t="str">
            <v>Semi frío</v>
          </cell>
          <cell r="F330" t="str">
            <v>Semiremolque</v>
          </cell>
          <cell r="G330" t="str">
            <v>Semiremolque Termico Carnicero 14,5m 28P</v>
          </cell>
          <cell r="N330" t="str">
            <v>CODYLSA</v>
          </cell>
          <cell r="O330" t="str">
            <v>CODYLSA</v>
          </cell>
          <cell r="P330" t="str">
            <v>No</v>
          </cell>
          <cell r="Q330" t="str">
            <v>Propio</v>
          </cell>
          <cell r="R330">
            <v>28</v>
          </cell>
          <cell r="S330" t="str">
            <v>Propio</v>
          </cell>
          <cell r="T330" t="str">
            <v>AST-PRA</v>
          </cell>
          <cell r="U330" t="str">
            <v>FTHDCFW3</v>
          </cell>
          <cell r="V330">
            <v>0</v>
          </cell>
          <cell r="W330" t="str">
            <v>8E9298770BS238082</v>
          </cell>
          <cell r="X330">
            <v>2011</v>
          </cell>
          <cell r="Y330">
            <v>15</v>
          </cell>
          <cell r="Z330" t="str">
            <v>Jumbo Mendoza</v>
          </cell>
          <cell r="AA330" t="str">
            <v>CENCO_MZ - Cencosud SA - Mendoza</v>
          </cell>
          <cell r="AB330" t="str">
            <v>CENCO_MZ - Cencosud SA - Mendoza</v>
          </cell>
          <cell r="AC330" t="str">
            <v>CENCO_MZ - Cencosud SA - Mendoza</v>
          </cell>
          <cell r="AD330" t="str">
            <v>CENCO_MZ - Cencosud SA - Mendoza</v>
          </cell>
          <cell r="AE330" t="str">
            <v>CENCO_MZ - Cencosud SA - Mendoza</v>
          </cell>
          <cell r="AF330" t="str">
            <v>CENCO_MZ - Cencosud SA - Mendoza</v>
          </cell>
          <cell r="AG330" t="str">
            <v>CENCO_MZ - Cencosud SA - Mendoza</v>
          </cell>
          <cell r="AH330" t="str">
            <v>CENCO_MZ - Cencosud SA - Mendoza</v>
          </cell>
          <cell r="AI330" t="str">
            <v>CENCO_MZ - Cencosud SA - Mendoza</v>
          </cell>
          <cell r="AJ330" t="str">
            <v>CENCO_MZ - Cencosud SA - Mendoza</v>
          </cell>
          <cell r="AK330" t="str">
            <v>CENCO_MZ - Cencosud SA - Mendoza</v>
          </cell>
          <cell r="AL330" t="str">
            <v>CENCO_MZ - Cencosud SA - Mendoza</v>
          </cell>
          <cell r="AM330" t="str">
            <v>CENCO_MZ - Cencosud SA - Mendoza</v>
          </cell>
          <cell r="AN330" t="str">
            <v>CENCO_MZ - Cencosud SA - Mendoza</v>
          </cell>
          <cell r="AO330" t="str">
            <v>CENCO_MZ - Cencosud SA - Mendoza</v>
          </cell>
          <cell r="AP330" t="str">
            <v>CENCO_MZ - Cencosud SA - Mendoza</v>
          </cell>
          <cell r="AQ330" t="str">
            <v>CENCO_MZ - Cencosud SA - Mendoza</v>
          </cell>
          <cell r="AR330" t="str">
            <v>CENCO_MZ - Cencosud SA - Mendoza</v>
          </cell>
          <cell r="AS330" t="str">
            <v>CENCO_MZ - Cencosud SA - Mendoza</v>
          </cell>
          <cell r="AT330" t="str">
            <v>CENCO_MZ - Cencosud SA - Mendoza</v>
          </cell>
          <cell r="AU330" t="str">
            <v>CENCO_MZ - Cencosud SA - Mendoza</v>
          </cell>
          <cell r="AV330" t="str">
            <v>CENCO_MZ - Cencosud SA - Mendoza</v>
          </cell>
          <cell r="AW330" t="str">
            <v>CENCO_MZ - Cencosud SA - Mendoza</v>
          </cell>
          <cell r="AX330" t="str">
            <v>CENCO_MZ - Cencosud SA - Mendoza</v>
          </cell>
          <cell r="AY330" t="str">
            <v>CENCO_MZ - Cencosud SA - Mendoza</v>
          </cell>
          <cell r="AZ330" t="str">
            <v>CENCO_MZ - Cencosud SA - Mendoza</v>
          </cell>
          <cell r="BA330" t="str">
            <v>CENCO_MZ - Cencosud SA - Mendoza</v>
          </cell>
          <cell r="BB330" t="str">
            <v>CENCO_MZ - Cencosud SA - Mendoza</v>
          </cell>
          <cell r="BC330" t="str">
            <v>CENCO_MZ - Cencosud SA - Mendoza</v>
          </cell>
          <cell r="BD330" t="str">
            <v>CENCO_MZ - Cencosud SA - Mendoza</v>
          </cell>
          <cell r="BE330" t="str">
            <v>CENCO_MZ - Cencosud SA - Mendoza</v>
          </cell>
          <cell r="BF330" t="str">
            <v>CENCO_MZ - Cencosud SA - Mendoza</v>
          </cell>
          <cell r="BG330" t="str">
            <v>CENCO_MZ - Cencosud SA - Mendoza</v>
          </cell>
          <cell r="BH330" t="str">
            <v>CENCO_MZ - Cencosud SA - Mendoza</v>
          </cell>
          <cell r="BI330" t="str">
            <v>CENCO_MZ - Cencosud SA - Mendoza</v>
          </cell>
          <cell r="BJ330" t="str">
            <v>CENCO_MZ - Cencosud SA - Mendoza</v>
          </cell>
          <cell r="BK330" t="str">
            <v>CENCO_MZ - Cencosud SA - Mendoza</v>
          </cell>
          <cell r="BL330" t="str">
            <v>CENCO_MZ - Cencosud SA - Mendoza</v>
          </cell>
          <cell r="BM330" t="str">
            <v>CENCO_MZ - Cencosud SA - Mendoza</v>
          </cell>
          <cell r="BN330" t="str">
            <v>CENCOMLD - Cencosud SA - Mendoza</v>
          </cell>
          <cell r="BO330" t="str">
            <v>CENCOMLD - Cencosud SA - Mendoza</v>
          </cell>
          <cell r="BP330" t="str">
            <v>CENCOMLD - Cencosud SA - Mendoza</v>
          </cell>
          <cell r="BQ330" t="str">
            <v>CENCOMLD - Cencosud SA - Mendoza</v>
          </cell>
          <cell r="BR330" t="str">
            <v>CENCOMLD - Cencosud SA - Mendoza</v>
          </cell>
          <cell r="BS330" t="str">
            <v>CENCOMLD - Cencosud SA - Mendoza</v>
          </cell>
          <cell r="BT330" t="str">
            <v>CENCOMLD - Cencosud SA - Mendoza</v>
          </cell>
          <cell r="BU330" t="str">
            <v>CENCOMLD - Cencosud SA - Mendoza</v>
          </cell>
          <cell r="BV330" t="str">
            <v>CENCOMLD - Cencosud SA - Mendoza</v>
          </cell>
          <cell r="BW330" t="str">
            <v>CENCOMLD - Cencosud SA - Mendoza</v>
          </cell>
          <cell r="BX330" t="str">
            <v>CENCOMLD - Cencosud SA - Mendoza</v>
          </cell>
          <cell r="BY330" t="str">
            <v>CENCOMLD - Cencosud SA - Mendoza</v>
          </cell>
          <cell r="BZ330" t="str">
            <v>CENCOMLD - Cencosud SA - Mendoza</v>
          </cell>
          <cell r="CA330" t="str">
            <v>CENCOMLD - Cencosud SA - Mendoza</v>
          </cell>
          <cell r="CB330" t="str">
            <v>Unilever - Unilever de Arg. S.A.</v>
          </cell>
          <cell r="CC330" t="str">
            <v>Unilever - Unilever de Arg. S.A.</v>
          </cell>
          <cell r="CD330" t="str">
            <v>Unilever - Unilever de Arg. S.A.</v>
          </cell>
          <cell r="CE330" t="str">
            <v>Arcor S.A.I.C.</v>
          </cell>
          <cell r="CF330" t="str">
            <v>Arcor S.A.I.C.</v>
          </cell>
          <cell r="CG330" t="str">
            <v>Arcor S.A.I.C.</v>
          </cell>
          <cell r="CH330" t="str">
            <v>Arcor S.A.I.C.</v>
          </cell>
          <cell r="CI330" t="str">
            <v>Arcor S.A.I.C.</v>
          </cell>
          <cell r="CJ330" t="str">
            <v>Arcor S.A.I.C.</v>
          </cell>
          <cell r="CK330" t="str">
            <v>Arcor S.A.I.C.</v>
          </cell>
          <cell r="CL330" t="str">
            <v>Arcor S.A.I.C.</v>
          </cell>
          <cell r="CM330" t="str">
            <v>Arcor S.A.I.C.</v>
          </cell>
          <cell r="CN330" t="str">
            <v>Arcor S.A.I.C.</v>
          </cell>
          <cell r="CO330" t="str">
            <v>Arcor S.A.I.C.</v>
          </cell>
          <cell r="CP330" t="str">
            <v>Arcor S.A.I.C.</v>
          </cell>
          <cell r="CQ330" t="str">
            <v>Arcor S.A.I.C.</v>
          </cell>
          <cell r="CR330" t="str">
            <v>Arcor S.A.I.C.</v>
          </cell>
          <cell r="CS330" t="str">
            <v>Arcor S.A.I.C.</v>
          </cell>
          <cell r="CT330" t="str">
            <v>Arcor S.A.I.C.</v>
          </cell>
          <cell r="CU330" t="str">
            <v>Arcor S.A.I.C.</v>
          </cell>
          <cell r="CV330" t="str">
            <v>Arcor S.A.I.C.</v>
          </cell>
          <cell r="CW330" t="str">
            <v>Arcor S.A.I.C.</v>
          </cell>
        </row>
        <row r="331">
          <cell r="D331" t="str">
            <v>KKZ668</v>
          </cell>
          <cell r="E331" t="str">
            <v>Semi frío</v>
          </cell>
          <cell r="F331" t="str">
            <v>Semiremolque</v>
          </cell>
          <cell r="G331" t="str">
            <v>Semiremolque Termico Carnicero 14,5m 28P</v>
          </cell>
          <cell r="N331" t="str">
            <v>CODYLSA</v>
          </cell>
          <cell r="O331" t="str">
            <v>CODYLSA</v>
          </cell>
          <cell r="P331" t="str">
            <v>No</v>
          </cell>
          <cell r="Q331" t="str">
            <v>Propio</v>
          </cell>
          <cell r="R331">
            <v>28</v>
          </cell>
          <cell r="S331" t="str">
            <v>Propio</v>
          </cell>
          <cell r="T331" t="str">
            <v>AST-PRA</v>
          </cell>
          <cell r="U331" t="str">
            <v>FTHDCFW3</v>
          </cell>
          <cell r="V331">
            <v>0</v>
          </cell>
          <cell r="W331" t="str">
            <v>8E9298770BS238083</v>
          </cell>
          <cell r="X331">
            <v>2011</v>
          </cell>
          <cell r="Y331">
            <v>15</v>
          </cell>
          <cell r="Z331" t="str">
            <v>Jumbo Mendoza</v>
          </cell>
          <cell r="AA331" t="str">
            <v>CENCO_MZ - Cencosud SA - Mendoza</v>
          </cell>
          <cell r="AB331" t="str">
            <v>CENCO_MZ - Cencosud SA - Mendoza</v>
          </cell>
          <cell r="AC331" t="str">
            <v>CENCO_MZ - Cencosud SA - Mendoza</v>
          </cell>
          <cell r="AD331" t="str">
            <v>CENCO_MZ - Cencosud SA - Mendoza</v>
          </cell>
          <cell r="AE331" t="str">
            <v>CENCO_MZ - Cencosud SA - Mendoza</v>
          </cell>
          <cell r="AF331" t="str">
            <v>CENCO_MZ - Cencosud SA - Mendoza</v>
          </cell>
          <cell r="AG331" t="str">
            <v>CENCO_MZ - Cencosud SA - Mendoza</v>
          </cell>
          <cell r="AH331" t="str">
            <v>CENCO_MZ - Cencosud SA - Mendoza</v>
          </cell>
          <cell r="AI331" t="str">
            <v>CENCO_MZ - Cencosud SA - Mendoza</v>
          </cell>
          <cell r="AJ331" t="str">
            <v>CENCO_MZ - Cencosud SA - Mendoza</v>
          </cell>
          <cell r="AK331" t="str">
            <v>CENCO_MZ - Cencosud SA - Mendoza</v>
          </cell>
          <cell r="AL331" t="str">
            <v>CENCO_MZ - Cencosud SA - Mendoza</v>
          </cell>
          <cell r="AM331" t="str">
            <v>CENCO_MZ - Cencosud SA - Mendoza</v>
          </cell>
          <cell r="AN331" t="str">
            <v>CENCO_MZ - Cencosud SA - Mendoza</v>
          </cell>
          <cell r="AO331" t="str">
            <v>CENCO_MZ - Cencosud SA - Mendoza</v>
          </cell>
          <cell r="AP331" t="str">
            <v>CENCO_MZ - Cencosud SA - Mendoza</v>
          </cell>
          <cell r="AQ331" t="str">
            <v>CENCO_MZ - Cencosud SA - Mendoza</v>
          </cell>
          <cell r="AR331" t="str">
            <v>CENCO_MZ - Cencosud SA - Mendoza</v>
          </cell>
          <cell r="AS331" t="str">
            <v>CENCO_MZ - Cencosud SA - Mendoza</v>
          </cell>
          <cell r="AT331" t="str">
            <v>CENCO_MZ - Cencosud SA - Mendoza</v>
          </cell>
          <cell r="AU331" t="str">
            <v>CENCO_MZ - Cencosud SA - Mendoza</v>
          </cell>
          <cell r="AV331" t="str">
            <v>CENCO_MZ - Cencosud SA - Mendoza</v>
          </cell>
          <cell r="AW331" t="str">
            <v>CENCO_MZ - Cencosud SA - Mendoza</v>
          </cell>
          <cell r="AX331" t="str">
            <v>CENCO_MZ - Cencosud SA - Mendoza</v>
          </cell>
          <cell r="AY331" t="str">
            <v>CENCO_MZ - Cencosud SA - Mendoza</v>
          </cell>
          <cell r="AZ331" t="str">
            <v>CENCO_MZ - Cencosud SA - Mendoza</v>
          </cell>
          <cell r="BA331" t="str">
            <v>CENCO_MZ - Cencosud SA - Mendoza</v>
          </cell>
          <cell r="BB331" t="str">
            <v>CENCO_MZ - Cencosud SA - Mendoza</v>
          </cell>
          <cell r="BC331" t="str">
            <v>CENCO_MZ - Cencosud SA - Mendoza</v>
          </cell>
          <cell r="BD331" t="str">
            <v>CENCO_MZ - Cencosud SA - Mendoza</v>
          </cell>
          <cell r="BE331" t="str">
            <v>CENCO_MZ - Cencosud SA - Mendoza</v>
          </cell>
          <cell r="BF331" t="str">
            <v>CENCO_MZ - Cencosud SA - Mendoza</v>
          </cell>
          <cell r="BG331" t="str">
            <v>CENCO_MZ - Cencosud SA - Mendoza</v>
          </cell>
          <cell r="BH331" t="str">
            <v>CENCO_MZ - Cencosud SA - Mendoza</v>
          </cell>
          <cell r="BI331" t="str">
            <v>CENCO_MZ - Cencosud SA - Mendoza</v>
          </cell>
          <cell r="BJ331" t="str">
            <v>CENCO_MZ - Cencosud SA - Mendoza</v>
          </cell>
          <cell r="BK331" t="str">
            <v>CENCO_MZ - Cencosud SA - Mendoza</v>
          </cell>
          <cell r="BL331" t="str">
            <v>CENCO_MZ - Cencosud SA - Mendoza</v>
          </cell>
          <cell r="BM331" t="str">
            <v>CENCO_MZ - Cencosud SA - Mendoza</v>
          </cell>
          <cell r="BN331" t="str">
            <v>CENCOMLD - Cencosud SA - Mendoza</v>
          </cell>
          <cell r="BO331" t="str">
            <v>CENCOMLD - Cencosud SA - Mendoza</v>
          </cell>
          <cell r="BP331" t="str">
            <v>CENCOMLD - Cencosud SA - Mendoza</v>
          </cell>
          <cell r="BQ331" t="str">
            <v>CENCOMLD - Cencosud SA - Mendoza</v>
          </cell>
          <cell r="BR331" t="str">
            <v>CENCOMLD - Cencosud SA - Mendoza</v>
          </cell>
          <cell r="BS331" t="str">
            <v>CENCOMLD - Cencosud SA - Mendoza</v>
          </cell>
          <cell r="BT331" t="str">
            <v>CENCOMLD - Cencosud SA - Mendoza</v>
          </cell>
          <cell r="BU331" t="str">
            <v>CENCOMLD - Cencosud SA - Mendoza</v>
          </cell>
          <cell r="BV331" t="str">
            <v>CENCOMLD - Cencosud SA - Mendoza</v>
          </cell>
          <cell r="BW331" t="str">
            <v>CENCOMLD - Cencosud SA - Mendoza</v>
          </cell>
          <cell r="BX331" t="str">
            <v>CENCOMLD - Cencosud SA - Mendoza</v>
          </cell>
          <cell r="BY331" t="str">
            <v>CENCOMLD - Cencosud SA - Mendoza</v>
          </cell>
          <cell r="BZ331" t="str">
            <v>CENCOMLD - Cencosud SA - Mendoza</v>
          </cell>
          <cell r="CA331" t="str">
            <v>Unilever - Unilever de Arg. S.A.</v>
          </cell>
          <cell r="CB331" t="str">
            <v>Unilever - Unilever de Arg. S.A.</v>
          </cell>
          <cell r="CC331" t="str">
            <v>Unilever - Unilever de Arg. S.A.</v>
          </cell>
          <cell r="CD331" t="str">
            <v>Unilever - Unilever de Arg. S.A.</v>
          </cell>
          <cell r="CE331" t="str">
            <v>Arcor S.A.I.C.</v>
          </cell>
          <cell r="CF331" t="str">
            <v>Arcor S.A.I.C.</v>
          </cell>
          <cell r="CG331" t="str">
            <v>Arcor S.A.I.C.</v>
          </cell>
          <cell r="CH331" t="str">
            <v>Arcor S.A.I.C.</v>
          </cell>
          <cell r="CI331" t="str">
            <v>Arcor S.A.I.C.</v>
          </cell>
          <cell r="CJ331" t="str">
            <v>Arcor S.A.I.C.</v>
          </cell>
          <cell r="CK331" t="str">
            <v>Arcor S.A.I.C.</v>
          </cell>
          <cell r="CL331" t="str">
            <v>Arcor S.A.I.C.</v>
          </cell>
          <cell r="CM331" t="str">
            <v>Arcor S.A.I.C.</v>
          </cell>
          <cell r="CN331" t="str">
            <v>Arcor S.A.I.C.</v>
          </cell>
          <cell r="CO331" t="str">
            <v>Arcor S.A.I.C.</v>
          </cell>
          <cell r="CP331" t="str">
            <v>Arcor S.A.I.C.</v>
          </cell>
          <cell r="CQ331" t="str">
            <v>Arcor S.A.I.C.</v>
          </cell>
          <cell r="CR331" t="str">
            <v>Arcor S.A.I.C.</v>
          </cell>
          <cell r="CS331" t="str">
            <v>Arcor S.A.I.C.</v>
          </cell>
          <cell r="CT331" t="str">
            <v>Arcor S.A.I.C.</v>
          </cell>
          <cell r="CU331" t="str">
            <v>Arcor S.A.I.C.</v>
          </cell>
          <cell r="CV331" t="str">
            <v>Arcor S.A.I.C.</v>
          </cell>
          <cell r="CW331" t="str">
            <v>Arcor S.A.I.C.</v>
          </cell>
        </row>
        <row r="332">
          <cell r="D332" t="str">
            <v>KKZ669</v>
          </cell>
          <cell r="E332" t="str">
            <v>Semi frío</v>
          </cell>
          <cell r="F332" t="str">
            <v>Semiremolque</v>
          </cell>
          <cell r="G332" t="str">
            <v>Semiremolque Termico Carnicero 14,5m 28P</v>
          </cell>
          <cell r="N332" t="str">
            <v>CODYLSA</v>
          </cell>
          <cell r="O332" t="str">
            <v>CODYLSA</v>
          </cell>
          <cell r="P332" t="str">
            <v>No</v>
          </cell>
          <cell r="Q332" t="str">
            <v>Propio</v>
          </cell>
          <cell r="R332">
            <v>28</v>
          </cell>
          <cell r="S332" t="str">
            <v>Propio</v>
          </cell>
          <cell r="T332" t="str">
            <v>AST-PRA</v>
          </cell>
          <cell r="U332" t="str">
            <v>FTHDCFW3</v>
          </cell>
          <cell r="V332">
            <v>0</v>
          </cell>
          <cell r="W332" t="str">
            <v>8E9298770BS238084</v>
          </cell>
          <cell r="X332">
            <v>2011</v>
          </cell>
          <cell r="Y332">
            <v>15</v>
          </cell>
          <cell r="Z332" t="str">
            <v>Jumbo Mendoza</v>
          </cell>
          <cell r="AA332" t="str">
            <v>CENCO_MZ - Cencosud SA - Mendoza</v>
          </cell>
          <cell r="AB332" t="str">
            <v>CENCO_MZ - Cencosud SA - Mendoza</v>
          </cell>
          <cell r="AC332" t="str">
            <v>CENCO_MZ - Cencosud SA - Mendoza</v>
          </cell>
          <cell r="AD332" t="str">
            <v>CENCO_MZ - Cencosud SA - Mendoza</v>
          </cell>
          <cell r="AE332" t="str">
            <v>CENCO_MZ - Cencosud SA - Mendoza</v>
          </cell>
          <cell r="AF332" t="str">
            <v>CENCO_MZ - Cencosud SA - Mendoza</v>
          </cell>
          <cell r="AG332" t="str">
            <v>CENCO_MZ - Cencosud SA - Mendoza</v>
          </cell>
          <cell r="AH332" t="str">
            <v>CENCO_MZ - Cencosud SA - Mendoza</v>
          </cell>
          <cell r="AI332" t="str">
            <v>CENCO_MZ - Cencosud SA - Mendoza</v>
          </cell>
          <cell r="AJ332" t="str">
            <v>CENCO_MZ - Cencosud SA - Mendoza</v>
          </cell>
          <cell r="AK332" t="str">
            <v>CENCO_MZ - Cencosud SA - Mendoza</v>
          </cell>
          <cell r="AL332" t="str">
            <v>CENCO_MZ - Cencosud SA - Mendoza</v>
          </cell>
          <cell r="AM332" t="str">
            <v>CENCO_MZ - Cencosud SA - Mendoza</v>
          </cell>
          <cell r="AN332" t="str">
            <v>CENCO_MZ - Cencosud SA - Mendoza</v>
          </cell>
          <cell r="AO332" t="str">
            <v>CENCO_MZ - Cencosud SA - Mendoza</v>
          </cell>
          <cell r="AP332" t="str">
            <v>CENCO_MZ - Cencosud SA - Mendoza</v>
          </cell>
          <cell r="AQ332" t="str">
            <v>CENCO_MZ - Cencosud SA - Mendoza</v>
          </cell>
          <cell r="AR332" t="str">
            <v>CENCO_MZ - Cencosud SA - Mendoza</v>
          </cell>
          <cell r="AS332" t="str">
            <v>CENCO_MZ - Cencosud SA - Mendoza</v>
          </cell>
          <cell r="AT332" t="str">
            <v>CENCO_MZ - Cencosud SA - Mendoza</v>
          </cell>
          <cell r="AU332" t="str">
            <v>CENCO_MZ - Cencosud SA - Mendoza</v>
          </cell>
          <cell r="AV332" t="str">
            <v>CENCO_MZ - Cencosud SA - Mendoza</v>
          </cell>
          <cell r="AW332" t="str">
            <v>CENCO_MZ - Cencosud SA - Mendoza</v>
          </cell>
          <cell r="AX332" t="str">
            <v>CENCO_MZ - Cencosud SA - Mendoza</v>
          </cell>
          <cell r="AY332" t="str">
            <v>CENCO_MZ - Cencosud SA - Mendoza</v>
          </cell>
          <cell r="AZ332" t="str">
            <v>CENCO_MZ - Cencosud SA - Mendoza</v>
          </cell>
          <cell r="BA332" t="str">
            <v>CENCO_MZ - Cencosud SA - Mendoza</v>
          </cell>
          <cell r="BB332" t="str">
            <v>CENCO_MZ - Cencosud SA - Mendoza</v>
          </cell>
          <cell r="BC332" t="str">
            <v>CENCO_MZ - Cencosud SA - Mendoza</v>
          </cell>
          <cell r="BD332" t="str">
            <v>CENCO_MZ - Cencosud SA - Mendoza</v>
          </cell>
          <cell r="BE332" t="str">
            <v>CENCO_MZ - Cencosud SA - Mendoza</v>
          </cell>
          <cell r="BF332" t="str">
            <v>CENCO_MZ - Cencosud SA - Mendoza</v>
          </cell>
          <cell r="BG332" t="str">
            <v>CENCO_MZ - Cencosud SA - Mendoza</v>
          </cell>
          <cell r="BH332" t="str">
            <v>CENCO_MZ - Cencosud SA - Mendoza</v>
          </cell>
          <cell r="BI332" t="str">
            <v>CENCO_MZ - Cencosud SA - Mendoza</v>
          </cell>
          <cell r="BJ332" t="str">
            <v>CENCO_MZ - Cencosud SA - Mendoza</v>
          </cell>
          <cell r="BK332" t="str">
            <v>CENCO_MZ - Cencosud SA - Mendoza</v>
          </cell>
          <cell r="BL332" t="str">
            <v>CENCO_MZ - Cencosud SA - Mendoza</v>
          </cell>
          <cell r="BM332" t="str">
            <v>CENCO_MZ - Cencosud SA - Mendoza</v>
          </cell>
          <cell r="BN332" t="str">
            <v>CENCOMLD - Cencosud SA - Mendoza</v>
          </cell>
          <cell r="BO332" t="str">
            <v>LOGIS</v>
          </cell>
          <cell r="BP332" t="str">
            <v>Arcor S.A.I.C.</v>
          </cell>
          <cell r="BQ332" t="str">
            <v>Arcor S.A.I.C.</v>
          </cell>
          <cell r="BR332" t="str">
            <v>Arcor S.A.I.C.</v>
          </cell>
          <cell r="BS332" t="str">
            <v>Arcor S.A.I.C.</v>
          </cell>
          <cell r="BT332" t="str">
            <v>Arcor S.A.I.C.</v>
          </cell>
          <cell r="BU332" t="str">
            <v>Arcor S.A.I.C.</v>
          </cell>
          <cell r="BV332" t="str">
            <v>Arcor S.A.I.C.</v>
          </cell>
          <cell r="BW332" t="str">
            <v>Arcor S.A.I.C.</v>
          </cell>
          <cell r="BX332" t="str">
            <v>Arcor S.A.I.C.</v>
          </cell>
          <cell r="BY332" t="str">
            <v>Arcor S.A.I.C.</v>
          </cell>
          <cell r="BZ332" t="str">
            <v>Arcor S.A.I.C.</v>
          </cell>
          <cell r="CA332" t="str">
            <v>Arcor S.A.I.C.</v>
          </cell>
          <cell r="CB332" t="str">
            <v>Arcor S.A.I.C.</v>
          </cell>
          <cell r="CC332" t="str">
            <v>Arcor S.A.I.C.</v>
          </cell>
          <cell r="CD332" t="str">
            <v>Arcor S.A.I.C.</v>
          </cell>
          <cell r="CE332" t="str">
            <v>Arcor S.A.I.C.</v>
          </cell>
          <cell r="CF332" t="str">
            <v>Arcor S.A.I.C.</v>
          </cell>
          <cell r="CG332" t="str">
            <v>Arcor S.A.I.C.</v>
          </cell>
          <cell r="CH332" t="str">
            <v>Arcor S.A.I.C.</v>
          </cell>
          <cell r="CI332" t="str">
            <v>Arcor S.A.I.C.</v>
          </cell>
          <cell r="CJ332" t="str">
            <v>Arcor S.A.I.C.</v>
          </cell>
          <cell r="CK332" t="str">
            <v>Arcor S.A.I.C.</v>
          </cell>
          <cell r="CL332" t="str">
            <v>Arcor S.A.I.C.</v>
          </cell>
          <cell r="CM332" t="str">
            <v>Arcor S.A.I.C.</v>
          </cell>
          <cell r="CN332" t="str">
            <v>Arcor S.A.I.C.</v>
          </cell>
          <cell r="CO332" t="str">
            <v>Arcor S.A.I.C.</v>
          </cell>
          <cell r="CP332" t="str">
            <v>Arcor S.A.I.C.</v>
          </cell>
          <cell r="CQ332" t="str">
            <v>Arcor S.A.I.C.</v>
          </cell>
          <cell r="CR332" t="str">
            <v>Arcor S.A.I.C.</v>
          </cell>
          <cell r="CS332" t="str">
            <v>Arcor S.A.I.C.</v>
          </cell>
          <cell r="CT332" t="str">
            <v>Arcor S.A.I.C.</v>
          </cell>
          <cell r="CU332" t="str">
            <v>Arcor S.A.I.C.</v>
          </cell>
          <cell r="CV332" t="str">
            <v>Arcor S.A.I.C.</v>
          </cell>
          <cell r="CW332" t="str">
            <v>Arcor S.A.I.C.</v>
          </cell>
        </row>
        <row r="333">
          <cell r="D333" t="str">
            <v>KLY952</v>
          </cell>
          <cell r="E333" t="str">
            <v>Chasis</v>
          </cell>
          <cell r="F333" t="str">
            <v>Chasis</v>
          </cell>
          <cell r="G333" t="str">
            <v>Chasis</v>
          </cell>
          <cell r="N333" t="str">
            <v>TDU</v>
          </cell>
          <cell r="O333" t="str">
            <v>TDU</v>
          </cell>
          <cell r="P333" t="str">
            <v>No</v>
          </cell>
          <cell r="Q333" t="str">
            <v>Propio</v>
          </cell>
          <cell r="R333">
            <v>12</v>
          </cell>
          <cell r="S333" t="str">
            <v>Propio</v>
          </cell>
          <cell r="T333" t="str">
            <v>MERCEDES BENZ</v>
          </cell>
          <cell r="U333" t="str">
            <v>ATEGO 1418/48 FRONTAL</v>
          </cell>
          <cell r="V333" t="str">
            <v>904967U0942663</v>
          </cell>
          <cell r="W333" t="str">
            <v>9BM958034CB790502</v>
          </cell>
          <cell r="X333">
            <v>2011</v>
          </cell>
          <cell r="Y333">
            <v>15</v>
          </cell>
          <cell r="Z333" t="str">
            <v>TDU</v>
          </cell>
          <cell r="AA333" t="str">
            <v>CMQ_TTE - QUILMES TTE</v>
          </cell>
          <cell r="AB333" t="str">
            <v>CMQ_TTE - QUILMES TTE</v>
          </cell>
          <cell r="AC333" t="str">
            <v>CMQ_TTE - QUILMES TTE</v>
          </cell>
          <cell r="AD333" t="str">
            <v>CMQ_TTE - QUILMES TTE</v>
          </cell>
          <cell r="AE333" t="str">
            <v>CMQ_TTE - QUILMES TTE</v>
          </cell>
          <cell r="AF333" t="str">
            <v>CMQ_TTE - QUILMES TTE</v>
          </cell>
          <cell r="AG333" t="str">
            <v>CMQ_TTE - QUILMES TTE</v>
          </cell>
          <cell r="AH333" t="str">
            <v>CMQ_TTE - QUILMES TTE</v>
          </cell>
          <cell r="AI333" t="str">
            <v>CMQ_TTE - QUILMES TTE</v>
          </cell>
          <cell r="AJ333" t="str">
            <v>CMQ_TTE - QUILMES TTE</v>
          </cell>
          <cell r="AK333" t="str">
            <v>CMQ_TTE - QUILMES TTE</v>
          </cell>
          <cell r="AL333" t="str">
            <v>CMQ_TTE - QUILMES TTE</v>
          </cell>
          <cell r="AM333" t="str">
            <v>CMQ_TTE - QUILMES TTE</v>
          </cell>
          <cell r="AN333" t="str">
            <v>CMQ_TTE - QUILMES TTE</v>
          </cell>
          <cell r="AO333" t="str">
            <v>CMQ_TTE - QUILMES TTE</v>
          </cell>
          <cell r="AP333" t="str">
            <v>CMQ_TTE - QUILMES TTE</v>
          </cell>
          <cell r="AQ333" t="str">
            <v>CMQ_TTE - QUILMES TTE</v>
          </cell>
          <cell r="AR333" t="str">
            <v>CMQ_TTE - QUILMES TTE</v>
          </cell>
          <cell r="AS333" t="str">
            <v>CMQ_TTE - QUILMES TTE</v>
          </cell>
          <cell r="AT333" t="str">
            <v>CMQ_TTE - QUILMES TTE</v>
          </cell>
          <cell r="AU333" t="str">
            <v>CMQ_TTE - QUILMES TTE</v>
          </cell>
          <cell r="AV333" t="str">
            <v>CMQ_TTE - QUILMES TTE</v>
          </cell>
          <cell r="AW333" t="str">
            <v>CMQ_TTE - QUILMES TTE</v>
          </cell>
          <cell r="AX333" t="str">
            <v>AGN_TTE - AGUANORT - Transporte</v>
          </cell>
          <cell r="AY333" t="str">
            <v>AGN_TTE - AGUANORT - Transporte</v>
          </cell>
          <cell r="AZ333" t="str">
            <v>AGN_TTE - AGUANORT - Transporte</v>
          </cell>
          <cell r="BA333" t="str">
            <v>AGN_TTE - AGUANORT - Transporte</v>
          </cell>
          <cell r="BB333" t="str">
            <v>AGN_TTE - AGUANORT - Transporte</v>
          </cell>
          <cell r="BC333" t="str">
            <v>AGN_TTE - AGUANORT - Transporte</v>
          </cell>
          <cell r="BD333" t="str">
            <v>AGN_TTE - AGUANORT - Transporte</v>
          </cell>
          <cell r="BE333" t="str">
            <v>AGN_TTE - AGUANORT - Transporte</v>
          </cell>
          <cell r="BF333" t="str">
            <v>AGN_TTE - AGUANORT - Transporte</v>
          </cell>
          <cell r="BG333" t="str">
            <v>AGN_TTE - AGUANORT - Transporte</v>
          </cell>
          <cell r="BH333" t="str">
            <v>AGN_TTE - AGUANORT - Transporte</v>
          </cell>
          <cell r="BI333" t="str">
            <v>AGN_TTE - AGUANORT - Transporte</v>
          </cell>
          <cell r="BJ333" t="str">
            <v>AGN_TTE - AGUANORT - Transporte</v>
          </cell>
          <cell r="BK333" t="str">
            <v>AGN_TTE - AGUANORT - Transporte</v>
          </cell>
          <cell r="BL333" t="str">
            <v>AGN_TTE - AGUANORT - Transporte</v>
          </cell>
          <cell r="BM333" t="str">
            <v>AGN_TTE - AGUANORT - Transporte</v>
          </cell>
          <cell r="BN333" t="str">
            <v>AGN_TTE - AGUANORT - Transporte</v>
          </cell>
          <cell r="BO333" t="str">
            <v>AGN_TTE - AGUANORT - Transporte</v>
          </cell>
          <cell r="BP333" t="str">
            <v>AGN_TTE - AGUANORT - Transporte</v>
          </cell>
          <cell r="BQ333" t="str">
            <v>AGN_TTE - AGUANORT - Transporte</v>
          </cell>
          <cell r="BR333" t="str">
            <v>AGN_TTE - AGUANORT - Transporte</v>
          </cell>
          <cell r="BS333" t="str">
            <v>CMQ_TTE - QUILMES TTE</v>
          </cell>
          <cell r="BT333" t="str">
            <v>CMQ_TTE - QUILMES TTE</v>
          </cell>
          <cell r="BU333" t="str">
            <v>CMQ_TTE - QUILMES TTE</v>
          </cell>
          <cell r="BV333" t="str">
            <v>AGN_TTE - AGUANORT - Transporte</v>
          </cell>
          <cell r="BW333" t="str">
            <v>AGN_TTE - AGUANORT - Transporte</v>
          </cell>
          <cell r="BX333" t="str">
            <v>AGN_TTE - AGUANORT - Transporte</v>
          </cell>
          <cell r="BY333" t="str">
            <v>AGN_TTE - AGUANORT - Transporte</v>
          </cell>
          <cell r="BZ333" t="str">
            <v>AGN_TTE - AGUANORT - Transporte</v>
          </cell>
          <cell r="CA333" t="str">
            <v>AGN_TTE - AGUANORT - Transporte</v>
          </cell>
          <cell r="CB333" t="str">
            <v>AGN_TTE - AGUANORT - Transporte</v>
          </cell>
          <cell r="CC333" t="str">
            <v>AGN_TTE - AGUANORT - Transporte</v>
          </cell>
          <cell r="CD333" t="str">
            <v>AGN_TTE - AGUANORT - Transporte</v>
          </cell>
          <cell r="CE333" t="str">
            <v>AGN_TTE - AGUANORT - Transporte</v>
          </cell>
          <cell r="CF333" t="str">
            <v>AGN_TTE - AGUANORT - Transporte</v>
          </cell>
          <cell r="CG333" t="str">
            <v>AGN_TTE - AGUANORT - Transporte</v>
          </cell>
          <cell r="CH333" t="str">
            <v>AGN_TTE - AGUANORT - Transporte</v>
          </cell>
          <cell r="CI333" t="str">
            <v>AGN_TTE - AGUANORT - Transporte</v>
          </cell>
          <cell r="CJ333" t="str">
            <v>AGN_TTE - AGUANORT - Transporte</v>
          </cell>
          <cell r="CK333" t="str">
            <v>AGN_TTE - AGUANORT - Transporte</v>
          </cell>
          <cell r="CL333" t="str">
            <v>AGN_TTE - AGUANORT - Transporte</v>
          </cell>
          <cell r="CM333" t="str">
            <v>AGN_TTE - AGUANORT - Transporte</v>
          </cell>
          <cell r="CN333" t="str">
            <v>AGN_TTE - AGUANORT - Transporte</v>
          </cell>
          <cell r="CO333" t="str">
            <v>AGN_TTE - AGUANORT - Transporte</v>
          </cell>
          <cell r="CP333" t="str">
            <v>AGN_TTE - AGUANORT - Transporte</v>
          </cell>
          <cell r="CQ333" t="str">
            <v>AGN_TTE - AGUANORT - Transporte</v>
          </cell>
          <cell r="CR333" t="str">
            <v>AGN_TTE - AGUANORT - Transporte</v>
          </cell>
          <cell r="CS333" t="str">
            <v>AGN_TTE - AGUANORT - Transporte</v>
          </cell>
          <cell r="CT333" t="str">
            <v>AGN_TTE - AGUANORT - Transporte</v>
          </cell>
          <cell r="CU333" t="str">
            <v>AGN_TTE - AGUANORT - Transporte</v>
          </cell>
          <cell r="CV333" t="str">
            <v>AGN_TTE - AGUANORT - Transporte</v>
          </cell>
          <cell r="CW333" t="str">
            <v>AGN_TTE - AGUANORT - Transporte</v>
          </cell>
        </row>
        <row r="334">
          <cell r="D334" t="str">
            <v>KLY974</v>
          </cell>
          <cell r="E334" t="str">
            <v>Semi frío</v>
          </cell>
          <cell r="F334" t="str">
            <v>Semiremolque</v>
          </cell>
          <cell r="G334" t="str">
            <v>Semiremolque Termico Carnicero 13,5m 26P</v>
          </cell>
          <cell r="N334" t="str">
            <v>CODYLSA</v>
          </cell>
          <cell r="O334" t="str">
            <v>CODYLSA</v>
          </cell>
          <cell r="P334" t="str">
            <v>No</v>
          </cell>
          <cell r="Q334" t="str">
            <v>Propio</v>
          </cell>
          <cell r="R334">
            <v>26</v>
          </cell>
          <cell r="S334" t="str">
            <v>Propio</v>
          </cell>
          <cell r="T334" t="str">
            <v>AST-PRA</v>
          </cell>
          <cell r="U334" t="str">
            <v>FTHDCFW3</v>
          </cell>
          <cell r="V334">
            <v>0</v>
          </cell>
          <cell r="W334" t="str">
            <v>8E9298670BS238180</v>
          </cell>
          <cell r="X334">
            <v>2011</v>
          </cell>
          <cell r="Y334">
            <v>15</v>
          </cell>
          <cell r="Z334" t="str">
            <v>Jumbo Mendoza</v>
          </cell>
          <cell r="AA334" t="str">
            <v>CENCO_MZ - Cencosud SA - Mendoza</v>
          </cell>
          <cell r="AB334" t="str">
            <v>CENCO_MZ - Cencosud SA - Mendoza</v>
          </cell>
          <cell r="AC334" t="str">
            <v>CENCO_MZ - Cencosud SA - Mendoza</v>
          </cell>
          <cell r="AD334" t="str">
            <v>CENCO_MZ - Cencosud SA - Mendoza</v>
          </cell>
          <cell r="AE334" t="str">
            <v>CENCO_MZ - Cencosud SA - Mendoza</v>
          </cell>
          <cell r="AF334" t="str">
            <v>CENCO_MZ - Cencosud SA - Mendoza</v>
          </cell>
          <cell r="AG334" t="str">
            <v>CENCO_MZ - Cencosud SA - Mendoza</v>
          </cell>
          <cell r="AH334" t="str">
            <v>CENCO_MZ - Cencosud SA - Mendoza</v>
          </cell>
          <cell r="AI334" t="str">
            <v>CENCO_MZ - Cencosud SA - Mendoza</v>
          </cell>
          <cell r="AJ334" t="str">
            <v>CENCO_MZ - Cencosud SA - Mendoza</v>
          </cell>
          <cell r="AK334" t="str">
            <v>CENCO_MZ - Cencosud SA - Mendoza</v>
          </cell>
          <cell r="AL334" t="str">
            <v>CENCO_MZ - Cencosud SA - Mendoza</v>
          </cell>
          <cell r="AM334" t="str">
            <v>CENCO_MZ - Cencosud SA - Mendoza</v>
          </cell>
          <cell r="AN334" t="str">
            <v>CENCO_MZ - Cencosud SA - Mendoza</v>
          </cell>
          <cell r="AO334" t="str">
            <v>CENCO_MZ - Cencosud SA - Mendoza</v>
          </cell>
          <cell r="AP334" t="str">
            <v>CENCO_MZ - Cencosud SA - Mendoza</v>
          </cell>
          <cell r="AQ334" t="str">
            <v>CENCO_MZ - Cencosud SA - Mendoza</v>
          </cell>
          <cell r="AR334" t="str">
            <v>CENCO_MZ - Cencosud SA - Mendoza</v>
          </cell>
          <cell r="AS334" t="str">
            <v>CENCO_MZ - Cencosud SA - Mendoza</v>
          </cell>
          <cell r="AT334" t="str">
            <v>CENCO_MZ - Cencosud SA - Mendoza</v>
          </cell>
          <cell r="AU334" t="str">
            <v>CENCO_MZ - Cencosud SA - Mendoza</v>
          </cell>
          <cell r="AV334" t="str">
            <v>CENCO_MZ - Cencosud SA - Mendoza</v>
          </cell>
          <cell r="AW334" t="str">
            <v>CENCO_MZ - Cencosud SA - Mendoza</v>
          </cell>
          <cell r="AX334" t="str">
            <v>CENCO_MZ - Cencosud SA - Mendoza</v>
          </cell>
          <cell r="AY334" t="str">
            <v>CENCO_MZ - Cencosud SA - Mendoza</v>
          </cell>
          <cell r="AZ334" t="str">
            <v>CENCO_MZ - Cencosud SA - Mendoza</v>
          </cell>
          <cell r="BA334" t="str">
            <v>CENCO_MZ - Cencosud SA - Mendoza</v>
          </cell>
          <cell r="BB334" t="str">
            <v>CENCO_MZ - Cencosud SA - Mendoza</v>
          </cell>
          <cell r="BC334" t="str">
            <v>CENCO_MZ - Cencosud SA - Mendoza</v>
          </cell>
          <cell r="BD334" t="str">
            <v>CENCO_MZ - Cencosud SA - Mendoza</v>
          </cell>
          <cell r="BE334" t="str">
            <v>CENCO_MZ - Cencosud SA - Mendoza</v>
          </cell>
          <cell r="BF334" t="str">
            <v>CENCO_MZ - Cencosud SA - Mendoza</v>
          </cell>
          <cell r="BG334" t="str">
            <v>CENCO_MZ - Cencosud SA - Mendoza</v>
          </cell>
          <cell r="BH334" t="str">
            <v>CENCO_MZ - Cencosud SA - Mendoza</v>
          </cell>
          <cell r="BI334" t="str">
            <v>CENCO_MZ - Cencosud SA - Mendoza</v>
          </cell>
          <cell r="BJ334" t="str">
            <v>CENCO_MZ - Cencosud SA - Mendoza</v>
          </cell>
          <cell r="BK334" t="str">
            <v>CENCO_MZ - Cencosud SA - Mendoza</v>
          </cell>
          <cell r="BL334" t="str">
            <v>CENCO_MZ - Cencosud SA - Mendoza</v>
          </cell>
          <cell r="BM334" t="str">
            <v>CENCO_MZ - Cencosud SA - Mendoza</v>
          </cell>
          <cell r="BN334" t="str">
            <v>CENCOMLD - Cencosud SA - Mendoza</v>
          </cell>
          <cell r="BO334" t="str">
            <v>CENCOMLD - Cencosud SA - Mendoza</v>
          </cell>
          <cell r="BP334" t="str">
            <v>CENCOMLD - Cencosud SA - Mendoza</v>
          </cell>
          <cell r="BQ334" t="str">
            <v>CENCOMLD - Cencosud SA - Mendoza</v>
          </cell>
          <cell r="BR334" t="str">
            <v>CENCOMLD - Cencosud SA - Mendoza</v>
          </cell>
          <cell r="BS334" t="str">
            <v>CENCOMLD - Cencosud SA - Mendoza</v>
          </cell>
          <cell r="BT334" t="str">
            <v>CENCOMLD - Cencosud SA - Mendoza</v>
          </cell>
          <cell r="BU334" t="str">
            <v>CENCOMLD - Cencosud SA - Mendoza</v>
          </cell>
          <cell r="BV334" t="str">
            <v>CENCOMLD - Cencosud SA - Mendoza</v>
          </cell>
          <cell r="BW334" t="str">
            <v>CENCOMLD - Cencosud SA - Mendoza</v>
          </cell>
          <cell r="BX334" t="str">
            <v>CENCOMLD - Cencosud SA - Mendoza</v>
          </cell>
          <cell r="BY334" t="str">
            <v>CENCOMLD - Cencosud SA - Mendoza</v>
          </cell>
          <cell r="BZ334" t="str">
            <v>CENCOMLD - Cencosud SA - Mendoza</v>
          </cell>
          <cell r="CA334" t="str">
            <v>CENCOMLD - Cencosud SA - Mendoza</v>
          </cell>
          <cell r="CB334" t="str">
            <v>CENCOMLD - Cencosud SA - Mendoza</v>
          </cell>
          <cell r="CC334" t="str">
            <v>CENCOMLD - Cencosud SA - Mendoza</v>
          </cell>
          <cell r="CD334" t="str">
            <v>CENCOMLD - Cencosud SA - Mendoza</v>
          </cell>
          <cell r="CE334" t="str">
            <v>CENCOMLD - Cencosud SA - Mendoza</v>
          </cell>
          <cell r="CF334" t="str">
            <v>CENCOMLD - Cencosud SA - Mendoza</v>
          </cell>
          <cell r="CG334" t="str">
            <v>CENCOMLD - Cencosud SA - Mendoza</v>
          </cell>
          <cell r="CH334" t="str">
            <v>CENCOMLD - Cencosud SA - Mendoza</v>
          </cell>
          <cell r="CI334" t="str">
            <v>CENCOMLD - Cencosud SA - Mendoza</v>
          </cell>
          <cell r="CJ334" t="str">
            <v>CENCOMLD - Cencosud SA - Mendoza</v>
          </cell>
          <cell r="CK334" t="str">
            <v>CENCOMLD - Cencosud SA - Mendoza</v>
          </cell>
          <cell r="CL334" t="str">
            <v>CENCOMLD - Cencosud SA - Mendoza</v>
          </cell>
          <cell r="CM334" t="str">
            <v>CENCOMLD - Cencosud SA - Mendoza</v>
          </cell>
          <cell r="CN334" t="str">
            <v>CENCOMLD - Cencosud SA - Mendoza</v>
          </cell>
          <cell r="CO334" t="str">
            <v>CENCOMLD - Cencosud SA - Mendoza</v>
          </cell>
          <cell r="CP334" t="str">
            <v>CENCOMLD - Cencosud SA - Mendoza</v>
          </cell>
          <cell r="CQ334" t="str">
            <v>CENCOMLD - Cencosud SA - Mendoza</v>
          </cell>
          <cell r="CR334" t="str">
            <v>CENCOMLD - Cencosud SA - Mendoza</v>
          </cell>
          <cell r="CS334" t="str">
            <v>CENCOMLD - Cencosud SA - Mendoza</v>
          </cell>
          <cell r="CT334" t="str">
            <v>CENCOMLD - Cencosud SA - Mendoza</v>
          </cell>
          <cell r="CU334" t="str">
            <v>CENCOMLD - Cencosud SA - Mendoza</v>
          </cell>
          <cell r="CV334" t="str">
            <v>CENCOMLD - Cencosud SA - Mendoza</v>
          </cell>
          <cell r="CW334" t="str">
            <v>CENCOMLD - Cencosud SA - Mendoza</v>
          </cell>
        </row>
        <row r="335">
          <cell r="D335" t="str">
            <v>KMF921</v>
          </cell>
          <cell r="E335" t="str">
            <v>Semi frío</v>
          </cell>
          <cell r="F335" t="str">
            <v>Semiremolque</v>
          </cell>
          <cell r="G335" t="str">
            <v>Semiremolque Termico Carnicero 14,5m 28P</v>
          </cell>
          <cell r="N335" t="str">
            <v>CODYLSA</v>
          </cell>
          <cell r="O335" t="str">
            <v>CODYLSA</v>
          </cell>
          <cell r="P335" t="str">
            <v>No</v>
          </cell>
          <cell r="Q335" t="str">
            <v>Propio</v>
          </cell>
          <cell r="R335">
            <v>28</v>
          </cell>
          <cell r="S335" t="str">
            <v>Propio</v>
          </cell>
          <cell r="T335" t="str">
            <v>AST-PRA</v>
          </cell>
          <cell r="U335" t="str">
            <v>FTHDCFW3</v>
          </cell>
          <cell r="V335">
            <v>0</v>
          </cell>
          <cell r="W335" t="str">
            <v>8E9298770BS238081</v>
          </cell>
          <cell r="X335">
            <v>2011</v>
          </cell>
          <cell r="Y335">
            <v>15</v>
          </cell>
          <cell r="Z335" t="str">
            <v>Jumbo Mendoza</v>
          </cell>
          <cell r="AA335" t="str">
            <v>CENCO_MZ - Cencosud SA - Mendoza</v>
          </cell>
          <cell r="AB335" t="str">
            <v>CENCO_MZ - Cencosud SA - Mendoza</v>
          </cell>
          <cell r="AC335" t="str">
            <v>CENCO_MZ - Cencosud SA - Mendoza</v>
          </cell>
          <cell r="AD335" t="str">
            <v>CENCO_MZ - Cencosud SA - Mendoza</v>
          </cell>
          <cell r="AE335" t="str">
            <v>CENCO_MZ - Cencosud SA - Mendoza</v>
          </cell>
          <cell r="AF335" t="str">
            <v>CENCO_MZ - Cencosud SA - Mendoza</v>
          </cell>
          <cell r="AG335" t="str">
            <v>CENCO_MZ - Cencosud SA - Mendoza</v>
          </cell>
          <cell r="AH335" t="str">
            <v>CENCO_MZ - Cencosud SA - Mendoza</v>
          </cell>
          <cell r="AI335" t="str">
            <v>CENCO_MZ - Cencosud SA - Mendoza</v>
          </cell>
          <cell r="AJ335" t="str">
            <v>CENCO_MZ - Cencosud SA - Mendoza</v>
          </cell>
          <cell r="AK335" t="str">
            <v>CENCO_MZ - Cencosud SA - Mendoza</v>
          </cell>
          <cell r="AL335" t="str">
            <v>CENCO_MZ - Cencosud SA - Mendoza</v>
          </cell>
          <cell r="AM335" t="str">
            <v>CENCO_MZ - Cencosud SA - Mendoza</v>
          </cell>
          <cell r="AN335" t="str">
            <v>CENCO_MZ - Cencosud SA - Mendoza</v>
          </cell>
          <cell r="AO335" t="str">
            <v>CENCO_MZ - Cencosud SA - Mendoza</v>
          </cell>
          <cell r="AP335" t="str">
            <v>CENCO_MZ - Cencosud SA - Mendoza</v>
          </cell>
          <cell r="AQ335" t="str">
            <v>CENCO_MZ - Cencosud SA - Mendoza</v>
          </cell>
          <cell r="AR335" t="str">
            <v>CENCO_MZ - Cencosud SA - Mendoza</v>
          </cell>
          <cell r="AS335" t="str">
            <v>CENCO_MZ - Cencosud SA - Mendoza</v>
          </cell>
          <cell r="AT335" t="str">
            <v>CENCO_MZ - Cencosud SA - Mendoza</v>
          </cell>
          <cell r="AU335" t="str">
            <v>CENCO_MZ - Cencosud SA - Mendoza</v>
          </cell>
          <cell r="AV335" t="str">
            <v>CENCO_MZ - Cencosud SA - Mendoza</v>
          </cell>
          <cell r="AW335" t="str">
            <v>CENCO_MZ - Cencosud SA - Mendoza</v>
          </cell>
          <cell r="AX335" t="str">
            <v>CENCO_MZ - Cencosud SA - Mendoza</v>
          </cell>
          <cell r="AY335" t="str">
            <v>CENCO_MZ - Cencosud SA - Mendoza</v>
          </cell>
          <cell r="AZ335" t="str">
            <v>CENCO_MZ - Cencosud SA - Mendoza</v>
          </cell>
          <cell r="BA335" t="str">
            <v>CENCO_MZ - Cencosud SA - Mendoza</v>
          </cell>
          <cell r="BB335" t="str">
            <v>CENCO_MZ - Cencosud SA - Mendoza</v>
          </cell>
          <cell r="BC335" t="str">
            <v>CENCO_MZ - Cencosud SA - Mendoza</v>
          </cell>
          <cell r="BD335" t="str">
            <v>CENCO_MZ - Cencosud SA - Mendoza</v>
          </cell>
          <cell r="BE335" t="str">
            <v>CENCO_MZ - Cencosud SA - Mendoza</v>
          </cell>
          <cell r="BF335" t="str">
            <v>CENCO_MZ - Cencosud SA - Mendoza</v>
          </cell>
          <cell r="BG335" t="str">
            <v>CENCO_MZ - Cencosud SA - Mendoza</v>
          </cell>
          <cell r="BH335" t="str">
            <v>CENCO_MZ - Cencosud SA - Mendoza</v>
          </cell>
          <cell r="BI335" t="str">
            <v>CENCO_MZ - Cencosud SA - Mendoza</v>
          </cell>
          <cell r="BJ335" t="str">
            <v>CENCO_MZ - Cencosud SA - Mendoza</v>
          </cell>
          <cell r="BK335" t="str">
            <v>CENCO_MZ - Cencosud SA - Mendoza</v>
          </cell>
          <cell r="BL335" t="str">
            <v>CENCO_MZ - Cencosud SA - Mendoza</v>
          </cell>
          <cell r="BM335" t="str">
            <v>CENCO_MZ - Cencosud SA - Mendoza</v>
          </cell>
          <cell r="BN335" t="str">
            <v>CENCOMLD - Cencosud SA - Mendoza</v>
          </cell>
          <cell r="BO335" t="str">
            <v>LOGIS</v>
          </cell>
          <cell r="BP335" t="str">
            <v>Arcor S.A.I.C.</v>
          </cell>
          <cell r="BQ335" t="str">
            <v>Arcor S.A.I.C.</v>
          </cell>
          <cell r="BR335" t="str">
            <v>Arcor S.A.I.C.</v>
          </cell>
          <cell r="BS335" t="str">
            <v>Arcor S.A.I.C.</v>
          </cell>
          <cell r="BT335" t="str">
            <v>Arcor S.A.I.C.</v>
          </cell>
          <cell r="BU335" t="str">
            <v>Arcor S.A.I.C.</v>
          </cell>
          <cell r="BV335" t="str">
            <v>Arcor S.A.I.C.</v>
          </cell>
          <cell r="BW335" t="str">
            <v>Arcor S.A.I.C.</v>
          </cell>
          <cell r="BX335" t="str">
            <v>Arcor S.A.I.C.</v>
          </cell>
          <cell r="BY335" t="str">
            <v>Arcor S.A.I.C.</v>
          </cell>
          <cell r="BZ335" t="str">
            <v>Arcor S.A.I.C.</v>
          </cell>
          <cell r="CA335" t="str">
            <v>Arcor S.A.I.C.</v>
          </cell>
          <cell r="CB335" t="str">
            <v>Arcor S.A.I.C.</v>
          </cell>
          <cell r="CC335" t="str">
            <v>Arcor S.A.I.C.</v>
          </cell>
          <cell r="CD335" t="str">
            <v>Arcor S.A.I.C.</v>
          </cell>
          <cell r="CE335" t="str">
            <v>Arcor S.A.I.C.</v>
          </cell>
          <cell r="CF335" t="str">
            <v>Arcor S.A.I.C.</v>
          </cell>
          <cell r="CG335" t="str">
            <v>Arcor S.A.I.C.</v>
          </cell>
          <cell r="CH335" t="str">
            <v>Arcor S.A.I.C.</v>
          </cell>
          <cell r="CI335" t="str">
            <v>Arcor S.A.I.C.</v>
          </cell>
          <cell r="CJ335" t="str">
            <v>Arcor S.A.I.C.</v>
          </cell>
          <cell r="CK335" t="str">
            <v>Arcor S.A.I.C.</v>
          </cell>
          <cell r="CL335" t="str">
            <v>Arcor S.A.I.C.</v>
          </cell>
          <cell r="CM335" t="str">
            <v>Arcor S.A.I.C.</v>
          </cell>
          <cell r="CN335" t="str">
            <v>Arcor S.A.I.C.</v>
          </cell>
          <cell r="CO335" t="str">
            <v>Arcor S.A.I.C.</v>
          </cell>
          <cell r="CP335" t="str">
            <v>Arcor S.A.I.C.</v>
          </cell>
          <cell r="CQ335" t="str">
            <v>Arcor S.A.I.C.</v>
          </cell>
          <cell r="CR335" t="str">
            <v>Arcor S.A.I.C.</v>
          </cell>
          <cell r="CS335" t="str">
            <v>Arcor S.A.I.C.</v>
          </cell>
          <cell r="CT335" t="str">
            <v>Arcor S.A.I.C.</v>
          </cell>
          <cell r="CU335" t="str">
            <v>Arcor S.A.I.C.</v>
          </cell>
          <cell r="CV335" t="str">
            <v>Arcor S.A.I.C.</v>
          </cell>
          <cell r="CW335" t="str">
            <v>Arcor S.A.I.C.</v>
          </cell>
        </row>
        <row r="336">
          <cell r="D336" t="str">
            <v>KMM903</v>
          </cell>
          <cell r="E336" t="str">
            <v>Chasis</v>
          </cell>
          <cell r="F336" t="str">
            <v>Chasis</v>
          </cell>
          <cell r="G336" t="str">
            <v>Chasis</v>
          </cell>
          <cell r="N336" t="str">
            <v>TDU</v>
          </cell>
          <cell r="O336" t="str">
            <v>TDU</v>
          </cell>
          <cell r="P336" t="str">
            <v>No</v>
          </cell>
          <cell r="Q336" t="str">
            <v>Propio</v>
          </cell>
          <cell r="R336">
            <v>12</v>
          </cell>
          <cell r="S336" t="str">
            <v>Propio</v>
          </cell>
          <cell r="T336" t="str">
            <v>MERCEDES BENZ</v>
          </cell>
          <cell r="U336" t="str">
            <v>ATRON 1720/48  FRONTAL</v>
          </cell>
          <cell r="V336" t="str">
            <v>904980UO961428</v>
          </cell>
          <cell r="W336" t="str">
            <v>9BM693186CF139190</v>
          </cell>
          <cell r="X336">
            <v>2011</v>
          </cell>
          <cell r="Y336">
            <v>15</v>
          </cell>
          <cell r="Z336" t="str">
            <v>TDU</v>
          </cell>
          <cell r="AA336" t="str">
            <v>CMQ_TTE - QUILMES TTE</v>
          </cell>
          <cell r="AB336" t="str">
            <v>CMQ_TTE - QUILMES TTE</v>
          </cell>
          <cell r="AC336" t="str">
            <v>CMQ_TTE - QUILMES TTE</v>
          </cell>
          <cell r="AD336" t="str">
            <v>CMQ_TTE - QUILMES TTE</v>
          </cell>
          <cell r="AE336" t="str">
            <v>CMQ_TTE - QUILMES TTE</v>
          </cell>
          <cell r="AF336" t="str">
            <v>CMQ_TTE - QUILMES TTE</v>
          </cell>
          <cell r="AG336" t="str">
            <v>CMQ_TTE - QUILMES TTE</v>
          </cell>
          <cell r="AH336" t="str">
            <v>CMQ_TTE - QUILMES TTE</v>
          </cell>
          <cell r="AI336" t="str">
            <v>CMQ_TTE - QUILMES TTE</v>
          </cell>
          <cell r="AJ336" t="str">
            <v>CMQ_TTE - QUILMES TTE</v>
          </cell>
          <cell r="AK336" t="str">
            <v>CMQ_TTE - QUILMES TTE</v>
          </cell>
          <cell r="AL336" t="str">
            <v>CMQ_TTE - QUILMES TTE</v>
          </cell>
          <cell r="AM336" t="str">
            <v>CMQ_TTE - QUILMES TTE</v>
          </cell>
          <cell r="AN336" t="str">
            <v>CMQ_TTE - QUILMES TTE</v>
          </cell>
          <cell r="AO336" t="str">
            <v>CMQ_TTE - QUILMES TTE</v>
          </cell>
          <cell r="AP336" t="str">
            <v>CMQ_TTE - QUILMES TTE</v>
          </cell>
          <cell r="AQ336" t="str">
            <v>CMQ_TTE - QUILMES TTE</v>
          </cell>
          <cell r="AR336" t="str">
            <v>CMQ_TTE - QUILMES TTE</v>
          </cell>
          <cell r="AS336" t="str">
            <v>CMQ_TTE - QUILMES TTE</v>
          </cell>
          <cell r="AT336" t="str">
            <v>CMQ_TTE - QUILMES TTE</v>
          </cell>
          <cell r="AU336" t="str">
            <v>CMQ_TTE - QUILMES TTE</v>
          </cell>
          <cell r="AV336" t="str">
            <v>CMQ_TTE - QUILMES TTE</v>
          </cell>
          <cell r="AW336" t="str">
            <v>CMQ_TTE - QUILMES TTE</v>
          </cell>
          <cell r="AX336" t="str">
            <v>CMQ_TTE - QUILMES TTE</v>
          </cell>
          <cell r="AY336" t="str">
            <v>CMQ_TTE - QUILMES TTE</v>
          </cell>
          <cell r="AZ336" t="str">
            <v>CMQ_TTE - QUILMES TTE</v>
          </cell>
          <cell r="BA336" t="str">
            <v>CMQ_TTE - QUILMES TTE</v>
          </cell>
          <cell r="BB336" t="str">
            <v>CMQ_TTE - QUILMES TTE</v>
          </cell>
          <cell r="BC336" t="str">
            <v>CMQ_TTE - QUILMES TTE</v>
          </cell>
          <cell r="BD336" t="str">
            <v>CMQ_TTE - QUILMES TTE</v>
          </cell>
          <cell r="BE336" t="str">
            <v>CMQ_TTE - QUILMES TTE</v>
          </cell>
          <cell r="BF336" t="str">
            <v>CMQ_TTE - QUILMES TTE</v>
          </cell>
          <cell r="BG336" t="str">
            <v>CMQ_TTE - QUILMES TTE</v>
          </cell>
          <cell r="BH336" t="str">
            <v>CMQ_TTE - QUILMES TTE</v>
          </cell>
          <cell r="BI336" t="str">
            <v>CMQ_TTE - QUILMES TTE</v>
          </cell>
          <cell r="BJ336" t="str">
            <v>CMQ_TTE - QUILMES TTE</v>
          </cell>
          <cell r="BK336" t="str">
            <v>CMQ_TTE - QUILMES TTE</v>
          </cell>
          <cell r="BL336" t="str">
            <v>CMQ_TTE - QUILMES TTE</v>
          </cell>
          <cell r="BM336" t="str">
            <v>CMQ_TTE - QUILMES TTE</v>
          </cell>
          <cell r="BN336" t="str">
            <v>CMQ_TTE - QUILMES TTE</v>
          </cell>
          <cell r="BO336" t="str">
            <v>CMQ_TTE - QUILMES TTE</v>
          </cell>
          <cell r="BP336" t="str">
            <v>CMQ_TTE - QUILMES TTE</v>
          </cell>
          <cell r="BQ336" t="str">
            <v>CMQ_TTE - QUILMES TTE</v>
          </cell>
          <cell r="BR336" t="str">
            <v>CMQ_TTE - QUILMES TTE</v>
          </cell>
          <cell r="BS336" t="str">
            <v>CMQ_TTE - QUILMES TTE</v>
          </cell>
          <cell r="BT336" t="str">
            <v>CMQ_TTE - QUILMES TTE</v>
          </cell>
          <cell r="BU336" t="str">
            <v>CMQ_TTE - QUILMES TTE</v>
          </cell>
          <cell r="BV336" t="str">
            <v>CMQ_TTE - QUILMES TTE</v>
          </cell>
          <cell r="BW336" t="str">
            <v>CMQ_TTE - QUILMES TTE</v>
          </cell>
          <cell r="BX336" t="str">
            <v>CMQ_TTE - QUILMES TTE</v>
          </cell>
          <cell r="BY336" t="str">
            <v>CMQ_TTE - QUILMES TTE</v>
          </cell>
          <cell r="BZ336" t="str">
            <v>CMQ_TTE - QUILMES TTE</v>
          </cell>
          <cell r="CA336" t="str">
            <v>CMQ_TTE - QUILMES TTE</v>
          </cell>
          <cell r="CB336" t="str">
            <v>CMQ_TTE - QUILMES TTE</v>
          </cell>
          <cell r="CC336" t="str">
            <v>CMQ_TTE - QUILMES TTE</v>
          </cell>
          <cell r="CD336" t="str">
            <v>CMQ_TTE - QUILMES TTE</v>
          </cell>
          <cell r="CE336" t="str">
            <v>CMQ_TTE - QUILMES TTE</v>
          </cell>
          <cell r="CF336" t="str">
            <v>CMQ_TTE - QUILMES TTE</v>
          </cell>
          <cell r="CG336" t="str">
            <v>CMQ_TTE - QUILMES TTE</v>
          </cell>
          <cell r="CH336" t="str">
            <v>CMQ_TTE - QUILMES TTE</v>
          </cell>
          <cell r="CI336" t="str">
            <v>CMQ_TTE - QUILMES TTE</v>
          </cell>
          <cell r="CJ336" t="str">
            <v>CMQ_TTE - QUILMES TTE</v>
          </cell>
          <cell r="CK336" t="str">
            <v>CMQ_TTE - QUILMES TTE</v>
          </cell>
          <cell r="CL336" t="str">
            <v>CMQ_TTE - QUILMES TTE</v>
          </cell>
          <cell r="CM336" t="str">
            <v>CMQ_TTE - QUILMES TTE</v>
          </cell>
          <cell r="CN336" t="str">
            <v>CMQ_TTE - QUILMES TTE</v>
          </cell>
          <cell r="CO336" t="str">
            <v>CMQ_TTE - QUILMES TTE</v>
          </cell>
          <cell r="CP336" t="str">
            <v>CMQ_TTE - QUILMES TTE</v>
          </cell>
          <cell r="CQ336" t="str">
            <v>CMQ_TTE - QUILMES TTE</v>
          </cell>
          <cell r="CR336" t="str">
            <v>CMQ_TTE - QUILMES TTE</v>
          </cell>
          <cell r="CS336" t="str">
            <v>CMQ_TTE - QUILMES TTE</v>
          </cell>
          <cell r="CT336" t="str">
            <v>CMQ_TTE - QUILMES TTE</v>
          </cell>
          <cell r="CU336" t="str">
            <v>CMQ_TTE - QUILMES TTE</v>
          </cell>
          <cell r="CV336" t="str">
            <v>CMQ_TTE - QUILMES TTE</v>
          </cell>
          <cell r="CW336" t="str">
            <v>CMQ_TTE - QUILMES TTE</v>
          </cell>
        </row>
        <row r="337">
          <cell r="D337" t="str">
            <v>KMM904</v>
          </cell>
          <cell r="E337" t="str">
            <v>Chasis</v>
          </cell>
          <cell r="F337" t="str">
            <v>Chasis</v>
          </cell>
          <cell r="G337" t="str">
            <v>Chasis</v>
          </cell>
          <cell r="N337" t="str">
            <v>TDU</v>
          </cell>
          <cell r="O337" t="str">
            <v>TDU</v>
          </cell>
          <cell r="P337" t="str">
            <v>No</v>
          </cell>
          <cell r="Q337" t="str">
            <v>Propio</v>
          </cell>
          <cell r="R337">
            <v>12</v>
          </cell>
          <cell r="S337" t="str">
            <v>Propio</v>
          </cell>
          <cell r="T337" t="str">
            <v>MERCEDES BENZ</v>
          </cell>
          <cell r="U337" t="str">
            <v>ATRON 1720/48  FRONTAL</v>
          </cell>
          <cell r="V337" t="str">
            <v>904980UO961415</v>
          </cell>
          <cell r="W337" t="str">
            <v>9BM693186CF139173</v>
          </cell>
          <cell r="X337">
            <v>2011</v>
          </cell>
          <cell r="Y337">
            <v>15</v>
          </cell>
          <cell r="Z337" t="str">
            <v>TDU</v>
          </cell>
          <cell r="AA337" t="str">
            <v>CMQ_TTE - QUILMES TTE</v>
          </cell>
          <cell r="AB337" t="str">
            <v>CMQ_TTE - QUILMES TTE</v>
          </cell>
          <cell r="AC337" t="str">
            <v>CMQ_TTE - QUILMES TTE</v>
          </cell>
          <cell r="AD337" t="str">
            <v>CMQ_TTE - QUILMES TTE</v>
          </cell>
          <cell r="AE337" t="str">
            <v>CMQ_TTE - QUILMES TTE</v>
          </cell>
          <cell r="AF337" t="str">
            <v>CMQ_TTE - QUILMES TTE</v>
          </cell>
          <cell r="AG337" t="str">
            <v>CMQ_TTE - QUILMES TTE</v>
          </cell>
          <cell r="AH337" t="str">
            <v>CMQ_TTE - QUILMES TTE</v>
          </cell>
          <cell r="AI337" t="str">
            <v>CMQ_TTE - QUILMES TTE</v>
          </cell>
          <cell r="AJ337" t="str">
            <v>CMQ_TTE - QUILMES TTE</v>
          </cell>
          <cell r="AK337" t="str">
            <v>CMQ_TTE - QUILMES TTE</v>
          </cell>
          <cell r="AL337" t="str">
            <v>CMQ_TTE - QUILMES TTE</v>
          </cell>
          <cell r="AM337" t="str">
            <v>CMQ_TTE - QUILMES TTE</v>
          </cell>
          <cell r="AN337" t="str">
            <v>CMQ_TTE - QUILMES TTE</v>
          </cell>
          <cell r="AO337" t="str">
            <v>CMQ_TTE - QUILMES TTE</v>
          </cell>
          <cell r="AP337" t="str">
            <v>CMQ_TTE - QUILMES TTE</v>
          </cell>
          <cell r="AQ337" t="str">
            <v>CMQ_TTE - QUILMES TTE</v>
          </cell>
          <cell r="AR337" t="str">
            <v>CMQ_TTE - QUILMES TTE</v>
          </cell>
          <cell r="AS337" t="str">
            <v>CMQ_TTE - QUILMES TTE</v>
          </cell>
          <cell r="AT337" t="str">
            <v>CMQ_TTE - QUILMES TTE</v>
          </cell>
          <cell r="AU337" t="str">
            <v>CMQ_TTE - QUILMES TTE</v>
          </cell>
          <cell r="AV337" t="str">
            <v>CMQ_TTE - QUILMES TTE</v>
          </cell>
          <cell r="AW337" t="str">
            <v>CMQ_TTE - QUILMES TTE</v>
          </cell>
          <cell r="AX337" t="str">
            <v>CMQ_TTE - QUILMES TTE</v>
          </cell>
          <cell r="AY337" t="str">
            <v>CMQ_TTE - QUILMES TTE</v>
          </cell>
          <cell r="AZ337" t="str">
            <v>CMQ_TTE - QUILMES TTE</v>
          </cell>
          <cell r="BA337" t="str">
            <v>CMQ_TTE - QUILMES TTE</v>
          </cell>
          <cell r="BB337" t="str">
            <v>CMQ_TTE - QUILMES TTE</v>
          </cell>
          <cell r="BC337" t="str">
            <v>CMQ_TTE - QUILMES TTE</v>
          </cell>
          <cell r="BD337" t="str">
            <v>CMQ_TTE - QUILMES TTE</v>
          </cell>
          <cell r="BE337" t="str">
            <v>CMQ_TTE - QUILMES TTE</v>
          </cell>
          <cell r="BF337" t="str">
            <v>CMQ_TTE - QUILMES TTE</v>
          </cell>
          <cell r="BG337" t="str">
            <v>CMQ_TTE - QUILMES TTE</v>
          </cell>
          <cell r="BH337" t="str">
            <v>CMQ_TTE - QUILMES TTE</v>
          </cell>
          <cell r="BI337" t="str">
            <v>CMQ_TTE - QUILMES TTE</v>
          </cell>
          <cell r="BJ337" t="str">
            <v>CMQ_TTE - QUILMES TTE</v>
          </cell>
          <cell r="BK337" t="str">
            <v>CMQ_TTE - QUILMES TTE</v>
          </cell>
          <cell r="BL337" t="str">
            <v>CMQ_TTE - QUILMES TTE</v>
          </cell>
          <cell r="BM337" t="str">
            <v>CMQ_TTE - QUILMES TTE</v>
          </cell>
          <cell r="BN337" t="str">
            <v>CMQ_TTE - QUILMES TTE</v>
          </cell>
          <cell r="BO337" t="str">
            <v>CMQ_TTE - QUILMES TTE</v>
          </cell>
          <cell r="BP337" t="str">
            <v>CMQ_TTE - QUILMES TTE</v>
          </cell>
          <cell r="BQ337" t="str">
            <v>CMQ_TTE - QUILMES TTE</v>
          </cell>
          <cell r="BR337" t="str">
            <v>CMQ_TTE - QUILMES TTE</v>
          </cell>
          <cell r="BS337" t="str">
            <v>CMQ_TTE - QUILMES TTE</v>
          </cell>
          <cell r="BT337" t="str">
            <v>CMQ_TTE - QUILMES TTE</v>
          </cell>
          <cell r="BU337" t="str">
            <v>CMQ_TTE - QUILMES TTE</v>
          </cell>
          <cell r="BV337" t="str">
            <v>CMQ_TTE - QUILMES TTE</v>
          </cell>
          <cell r="BW337" t="str">
            <v>CMQ_TTE - QUILMES TTE</v>
          </cell>
          <cell r="BX337" t="str">
            <v>CMQ_TTE - QUILMES TTE</v>
          </cell>
          <cell r="BY337" t="str">
            <v>CMQ_TTE - QUILMES TTE</v>
          </cell>
          <cell r="BZ337" t="str">
            <v>CMQ_TTE - QUILMES TTE</v>
          </cell>
          <cell r="CA337" t="str">
            <v>CMQ_TTE - QUILMES TTE</v>
          </cell>
          <cell r="CB337" t="str">
            <v>CMQ_TTE - QUILMES TTE</v>
          </cell>
          <cell r="CC337" t="str">
            <v>CMQ_TTE - QUILMES TTE</v>
          </cell>
          <cell r="CD337" t="str">
            <v>CMQ_TTE - QUILMES TTE</v>
          </cell>
          <cell r="CE337" t="str">
            <v>CMQ_TTE - QUILMES TTE</v>
          </cell>
          <cell r="CF337" t="str">
            <v>CMQ_TTE - QUILMES TTE</v>
          </cell>
          <cell r="CG337" t="str">
            <v>CMQ_TTE - QUILMES TTE</v>
          </cell>
          <cell r="CH337" t="str">
            <v>CMQ_TTE - QUILMES TTE</v>
          </cell>
          <cell r="CI337" t="str">
            <v>CMQ_TTE - QUILMES TTE</v>
          </cell>
          <cell r="CJ337" t="str">
            <v>CMQ_TTE - QUILMES TTE</v>
          </cell>
          <cell r="CK337" t="str">
            <v>CMQ_TTE - QUILMES TTE</v>
          </cell>
          <cell r="CL337" t="str">
            <v>CMQ_TTE - QUILMES TTE</v>
          </cell>
          <cell r="CM337" t="str">
            <v>CMQ_TTE - QUILMES TTE</v>
          </cell>
          <cell r="CN337" t="str">
            <v>CMQ_TTE - QUILMES TTE</v>
          </cell>
          <cell r="CO337" t="str">
            <v>CMQ_TTE - QUILMES TTE</v>
          </cell>
          <cell r="CP337" t="str">
            <v>CMQ_TTE - QUILMES TTE</v>
          </cell>
          <cell r="CQ337" t="str">
            <v>CMQ_TTE - QUILMES TTE</v>
          </cell>
          <cell r="CR337" t="str">
            <v>CMQ_TTE - QUILMES TTE</v>
          </cell>
          <cell r="CS337" t="str">
            <v>CMQ_TTE - QUILMES TTE</v>
          </cell>
          <cell r="CT337" t="str">
            <v>CMQ_TTE - QUILMES TTE</v>
          </cell>
          <cell r="CU337" t="str">
            <v>CMQ_TTE - QUILMES TTE</v>
          </cell>
          <cell r="CV337" t="str">
            <v>CMQ_TTE - QUILMES TTE</v>
          </cell>
          <cell r="CW337" t="str">
            <v>CMQ_TTE - QUILMES TTE</v>
          </cell>
        </row>
        <row r="338">
          <cell r="D338" t="str">
            <v>KMN384</v>
          </cell>
          <cell r="E338" t="str">
            <v>Semiremolque</v>
          </cell>
          <cell r="F338" t="str">
            <v>Semiremolque</v>
          </cell>
          <cell r="G338" t="str">
            <v>Semiremolque Baranda 14,5m 28P</v>
          </cell>
          <cell r="N338" t="str">
            <v>Expreso Malargüe S. A.</v>
          </cell>
          <cell r="O338" t="str">
            <v>Expreso Malargüe S. A.</v>
          </cell>
          <cell r="P338" t="str">
            <v>No</v>
          </cell>
          <cell r="Q338" t="str">
            <v>Propio</v>
          </cell>
          <cell r="R338">
            <v>28</v>
          </cell>
          <cell r="S338" t="str">
            <v>Propio</v>
          </cell>
          <cell r="T338" t="str">
            <v>AST-PRA</v>
          </cell>
          <cell r="U338" t="str">
            <v>2+1</v>
          </cell>
          <cell r="V338">
            <v>0</v>
          </cell>
          <cell r="W338" t="str">
            <v>8E9248670BS238085</v>
          </cell>
          <cell r="X338">
            <v>2011</v>
          </cell>
          <cell r="Y338">
            <v>15</v>
          </cell>
          <cell r="Z338" t="str">
            <v>Malargue</v>
          </cell>
          <cell r="AA338" t="str">
            <v>Expreso - Servicios Troncales</v>
          </cell>
          <cell r="AB338" t="str">
            <v>Expreso - Servicios Troncales</v>
          </cell>
          <cell r="AC338" t="str">
            <v>Expreso - Servicios Troncales</v>
          </cell>
          <cell r="AD338" t="str">
            <v>Expreso - Servicios Troncales</v>
          </cell>
          <cell r="AE338" t="str">
            <v>Expreso - Servicios Troncales</v>
          </cell>
          <cell r="AF338" t="str">
            <v>Expreso - Servicios Troncales</v>
          </cell>
          <cell r="AG338" t="str">
            <v>Expreso - Servicios Troncales</v>
          </cell>
          <cell r="AH338" t="str">
            <v>Expreso - Servicios Troncales</v>
          </cell>
          <cell r="AI338" t="str">
            <v>Expreso - Servicios Troncales</v>
          </cell>
          <cell r="AJ338" t="str">
            <v>Expreso - Servicios Troncales</v>
          </cell>
          <cell r="AK338" t="str">
            <v>Expreso - Servicios Troncales</v>
          </cell>
          <cell r="AL338" t="str">
            <v>Expreso - Servicios Troncales</v>
          </cell>
          <cell r="AM338" t="str">
            <v>Expreso - Servicios Troncales</v>
          </cell>
          <cell r="AN338" t="str">
            <v>Expreso - Servicios Troncales</v>
          </cell>
          <cell r="AO338" t="str">
            <v>Expreso - Servicios Troncales</v>
          </cell>
          <cell r="AP338" t="str">
            <v>Expreso - Servicios Troncales</v>
          </cell>
          <cell r="AQ338" t="str">
            <v>Expreso - Servicios Troncales</v>
          </cell>
          <cell r="AR338" t="str">
            <v>Expreso - Servicios Troncales</v>
          </cell>
          <cell r="AS338" t="str">
            <v>Expreso - Servicios Troncales</v>
          </cell>
          <cell r="AT338" t="str">
            <v>Expreso - Servicios Troncales</v>
          </cell>
          <cell r="AU338" t="str">
            <v>Expreso - Servicios Troncales</v>
          </cell>
          <cell r="AV338" t="str">
            <v>Expreso - Servicios Troncales</v>
          </cell>
          <cell r="AW338" t="str">
            <v>Expreso - Servicios Troncales</v>
          </cell>
          <cell r="AX338" t="str">
            <v>Expreso - Servicios Troncales</v>
          </cell>
          <cell r="AY338" t="str">
            <v>Expreso - Servicios Troncales</v>
          </cell>
          <cell r="AZ338" t="str">
            <v>Expreso - Servicios Troncales</v>
          </cell>
          <cell r="BA338" t="str">
            <v>Expreso - Servicios Troncales</v>
          </cell>
          <cell r="BB338" t="str">
            <v>Expreso - Servicios Troncales</v>
          </cell>
          <cell r="BC338" t="str">
            <v>Expreso - Servicios Troncales</v>
          </cell>
          <cell r="BD338" t="str">
            <v>Expreso - Servicios Troncales</v>
          </cell>
          <cell r="BE338" t="str">
            <v>Expreso - Servicios Troncales</v>
          </cell>
          <cell r="BF338" t="str">
            <v>Expreso - Servicios Troncales</v>
          </cell>
          <cell r="BG338" t="str">
            <v>Expreso - Servicios Troncales</v>
          </cell>
          <cell r="BH338" t="str">
            <v>Expreso - Servicios Troncales</v>
          </cell>
          <cell r="BI338" t="str">
            <v>Expreso - Servicios Troncales</v>
          </cell>
          <cell r="BJ338" t="str">
            <v>Expreso - Servicios Troncales</v>
          </cell>
          <cell r="BK338" t="str">
            <v>Expreso - Servicios Troncales</v>
          </cell>
          <cell r="BL338" t="str">
            <v>Expreso - Servicios Troncales</v>
          </cell>
          <cell r="BM338" t="str">
            <v>Expreso - Servicios Troncales</v>
          </cell>
          <cell r="BN338" t="str">
            <v>Expreso - Servicios Troncales</v>
          </cell>
          <cell r="BO338" t="str">
            <v>Expreso - Servicios Troncales</v>
          </cell>
          <cell r="BP338" t="str">
            <v>Expreso - Servicios Troncales</v>
          </cell>
          <cell r="BQ338" t="str">
            <v>Expreso - Servicios Troncales</v>
          </cell>
          <cell r="BR338" t="str">
            <v>Expreso - Servicios Troncales</v>
          </cell>
          <cell r="BS338" t="str">
            <v>Expreso - Servicios Troncales</v>
          </cell>
          <cell r="BT338" t="str">
            <v>Expreso - Servicios Troncales</v>
          </cell>
          <cell r="BU338" t="str">
            <v>Expreso - Servicios Troncales</v>
          </cell>
          <cell r="BV338" t="str">
            <v>Expreso - Servicios Troncales</v>
          </cell>
          <cell r="BW338" t="str">
            <v>Expreso - Servicios Troncales</v>
          </cell>
          <cell r="BX338" t="str">
            <v>Expreso - Servicios Troncales</v>
          </cell>
          <cell r="BY338" t="str">
            <v>Expreso - Servicios Troncales</v>
          </cell>
          <cell r="BZ338" t="str">
            <v>Expreso - Servicios Troncales</v>
          </cell>
          <cell r="CA338" t="str">
            <v>Expreso - Servicios Troncales</v>
          </cell>
          <cell r="CB338" t="str">
            <v>Expreso - Servicios Troncales</v>
          </cell>
          <cell r="CC338" t="str">
            <v>Expreso - Servicios Troncales</v>
          </cell>
          <cell r="CD338" t="str">
            <v>Expreso - Servicios Troncales</v>
          </cell>
          <cell r="CE338" t="str">
            <v>Expreso - Servicios Troncales</v>
          </cell>
          <cell r="CF338" t="str">
            <v>Expreso - Servicios Troncales</v>
          </cell>
          <cell r="CG338" t="str">
            <v>Expreso - Servicios Troncales</v>
          </cell>
          <cell r="CH338" t="str">
            <v>Expreso - Servicios Troncales</v>
          </cell>
          <cell r="CI338" t="str">
            <v>Expreso - Servicios Troncales</v>
          </cell>
          <cell r="CJ338" t="str">
            <v>Expreso - Servicios Troncales</v>
          </cell>
          <cell r="CK338" t="str">
            <v>Expreso - Servicios Troncales</v>
          </cell>
          <cell r="CL338" t="str">
            <v>Expreso - Servicios Troncales</v>
          </cell>
          <cell r="CM338" t="str">
            <v>Expreso - Servicios Troncales</v>
          </cell>
          <cell r="CN338" t="str">
            <v>Expreso - Servicios Troncales</v>
          </cell>
          <cell r="CO338" t="str">
            <v>Expreso - Servicios Troncales</v>
          </cell>
          <cell r="CP338" t="str">
            <v>Expreso - Servicios Troncales</v>
          </cell>
          <cell r="CQ338" t="str">
            <v>Expreso - Servicios Troncales</v>
          </cell>
          <cell r="CR338" t="str">
            <v>Expreso - Servicios Troncales</v>
          </cell>
          <cell r="CS338" t="str">
            <v>Expreso - Servicios Troncales</v>
          </cell>
          <cell r="CT338" t="str">
            <v>Expreso - Servicios Troncales</v>
          </cell>
          <cell r="CU338" t="str">
            <v>Expreso - Servicios Troncales</v>
          </cell>
          <cell r="CV338" t="str">
            <v>Expreso - Servicios Troncales</v>
          </cell>
          <cell r="CW338" t="str">
            <v>Expreso - Servicios Troncales</v>
          </cell>
        </row>
        <row r="339">
          <cell r="D339" t="str">
            <v>KMN385</v>
          </cell>
          <cell r="E339" t="str">
            <v>Semiremolque</v>
          </cell>
          <cell r="F339" t="str">
            <v>Semiremolque</v>
          </cell>
          <cell r="G339" t="str">
            <v>Semiremolque Baranda 14,5m 28P</v>
          </cell>
          <cell r="N339" t="str">
            <v>Expreso Malargüe S. A.</v>
          </cell>
          <cell r="O339" t="str">
            <v>Expreso Malargüe S. A.</v>
          </cell>
          <cell r="P339" t="str">
            <v>No</v>
          </cell>
          <cell r="Q339" t="str">
            <v>Propio</v>
          </cell>
          <cell r="R339">
            <v>28</v>
          </cell>
          <cell r="S339" t="str">
            <v>Propio</v>
          </cell>
          <cell r="T339" t="str">
            <v>AST-PRA</v>
          </cell>
          <cell r="U339" t="str">
            <v>2+1</v>
          </cell>
          <cell r="V339">
            <v>0</v>
          </cell>
          <cell r="W339" t="str">
            <v>8E9248670BS238099</v>
          </cell>
          <cell r="X339">
            <v>2011</v>
          </cell>
          <cell r="Y339">
            <v>15</v>
          </cell>
          <cell r="Z339" t="str">
            <v>Malargue</v>
          </cell>
          <cell r="AA339" t="str">
            <v>Expreso - Servicios Troncales</v>
          </cell>
          <cell r="AB339" t="str">
            <v>Expreso - Servicios Troncales</v>
          </cell>
          <cell r="AC339" t="str">
            <v>Expreso - Servicios Troncales</v>
          </cell>
          <cell r="AD339" t="str">
            <v>Expreso - Servicios Troncales</v>
          </cell>
          <cell r="AE339" t="str">
            <v>Expreso - Servicios Troncales</v>
          </cell>
          <cell r="AF339" t="str">
            <v>Expreso - Servicios Troncales</v>
          </cell>
          <cell r="AG339" t="str">
            <v>Expreso - Servicios Troncales</v>
          </cell>
          <cell r="AH339" t="str">
            <v>Expreso - Servicios Troncales</v>
          </cell>
          <cell r="AI339" t="str">
            <v>Expreso - Servicios Troncales</v>
          </cell>
          <cell r="AJ339" t="str">
            <v>Expreso - Servicios Troncales</v>
          </cell>
          <cell r="AK339" t="str">
            <v>Expreso - Servicios Troncales</v>
          </cell>
          <cell r="AL339" t="str">
            <v>Expreso - Servicios Troncales</v>
          </cell>
          <cell r="AM339" t="str">
            <v>Expreso - Servicios Troncales</v>
          </cell>
          <cell r="AN339" t="str">
            <v>Expreso - Servicios Troncales</v>
          </cell>
          <cell r="AO339" t="str">
            <v>Expreso - Servicios Troncales</v>
          </cell>
          <cell r="AP339" t="str">
            <v>Expreso - Servicios Troncales</v>
          </cell>
          <cell r="AQ339" t="str">
            <v>Expreso - Servicios Troncales</v>
          </cell>
          <cell r="AR339" t="str">
            <v>Expreso - Servicios Troncales</v>
          </cell>
          <cell r="AS339" t="str">
            <v>Expreso - Servicios Troncales</v>
          </cell>
          <cell r="AT339" t="str">
            <v>Expreso - Servicios Troncales</v>
          </cell>
          <cell r="AU339" t="str">
            <v>Expreso - Servicios Troncales</v>
          </cell>
          <cell r="AV339" t="str">
            <v>Expreso - Servicios Troncales</v>
          </cell>
          <cell r="AW339" t="str">
            <v>Expreso - Servicios Troncales</v>
          </cell>
          <cell r="AX339" t="str">
            <v>Expreso - Servicios Troncales</v>
          </cell>
          <cell r="AY339" t="str">
            <v>Expreso - Servicios Troncales</v>
          </cell>
          <cell r="AZ339" t="str">
            <v>Expreso - Servicios Troncales</v>
          </cell>
          <cell r="BA339" t="str">
            <v>Expreso - Servicios Troncales</v>
          </cell>
          <cell r="BB339" t="str">
            <v>Expreso - Servicios Troncales</v>
          </cell>
          <cell r="BC339" t="str">
            <v>Expreso - Servicios Troncales</v>
          </cell>
          <cell r="BD339" t="str">
            <v>Expreso - Servicios Troncales</v>
          </cell>
          <cell r="BE339" t="str">
            <v>Expreso - Servicios Troncales</v>
          </cell>
          <cell r="BF339" t="str">
            <v>Expreso - Servicios Troncales</v>
          </cell>
          <cell r="BG339" t="str">
            <v>Expreso - Servicios Troncales</v>
          </cell>
          <cell r="BH339" t="str">
            <v>Expreso - Servicios Troncales</v>
          </cell>
          <cell r="BI339" t="str">
            <v>Expreso - Servicios Troncales</v>
          </cell>
          <cell r="BJ339" t="str">
            <v>Expreso - Servicios Troncales</v>
          </cell>
          <cell r="BK339" t="str">
            <v>Expreso - Servicios Troncales</v>
          </cell>
          <cell r="BL339" t="str">
            <v>Expreso - Servicios Troncales</v>
          </cell>
          <cell r="BM339" t="str">
            <v>Expreso - Servicios Troncales</v>
          </cell>
          <cell r="BN339" t="str">
            <v>Expreso - Servicios Troncales</v>
          </cell>
          <cell r="BO339" t="str">
            <v>Expreso - Servicios Troncales</v>
          </cell>
          <cell r="BP339" t="str">
            <v>Expreso - Servicios Troncales</v>
          </cell>
          <cell r="BQ339" t="str">
            <v>Expreso - Servicios Troncales</v>
          </cell>
          <cell r="BR339" t="str">
            <v>Expreso - Servicios Troncales</v>
          </cell>
          <cell r="BS339" t="str">
            <v>Expreso - Servicios Troncales</v>
          </cell>
          <cell r="BT339" t="str">
            <v>Expreso - Servicios Troncales</v>
          </cell>
          <cell r="BU339" t="str">
            <v>Expreso - Servicios Troncales</v>
          </cell>
          <cell r="BV339" t="str">
            <v>Expreso - Servicios Troncales</v>
          </cell>
          <cell r="BW339" t="str">
            <v>Expreso - Servicios Troncales</v>
          </cell>
          <cell r="BX339" t="str">
            <v>Expreso - Servicios Troncales</v>
          </cell>
          <cell r="BY339" t="str">
            <v>Expreso - Servicios Troncales</v>
          </cell>
          <cell r="BZ339" t="str">
            <v>Expreso - Servicios Troncales</v>
          </cell>
          <cell r="CA339" t="str">
            <v>Expreso - Servicios Troncales</v>
          </cell>
          <cell r="CB339" t="str">
            <v>Expreso - Servicios Troncales</v>
          </cell>
          <cell r="CC339" t="str">
            <v>Expreso - Servicios Troncales</v>
          </cell>
          <cell r="CD339" t="str">
            <v>Expreso - Servicios Troncales</v>
          </cell>
          <cell r="CE339" t="str">
            <v>Expreso - Servicios Troncales</v>
          </cell>
          <cell r="CF339" t="str">
            <v>Expreso - Servicios Troncales</v>
          </cell>
          <cell r="CG339" t="str">
            <v>Expreso - Servicios Troncales</v>
          </cell>
          <cell r="CH339" t="str">
            <v>Expreso - Servicios Troncales</v>
          </cell>
          <cell r="CI339" t="str">
            <v>Expreso - Servicios Troncales</v>
          </cell>
          <cell r="CJ339" t="str">
            <v>Expreso - Servicios Troncales</v>
          </cell>
          <cell r="CK339" t="str">
            <v>Expreso - Servicios Troncales</v>
          </cell>
          <cell r="CL339" t="str">
            <v>Expreso - Servicios Troncales</v>
          </cell>
          <cell r="CM339" t="str">
            <v>Expreso - Servicios Troncales</v>
          </cell>
          <cell r="CN339" t="str">
            <v>Expreso - Servicios Troncales</v>
          </cell>
          <cell r="CO339" t="str">
            <v>Expreso - Servicios Troncales</v>
          </cell>
          <cell r="CP339" t="str">
            <v>Expreso - Servicios Troncales</v>
          </cell>
          <cell r="CQ339" t="str">
            <v>Expreso - Servicios Troncales</v>
          </cell>
          <cell r="CR339" t="str">
            <v>Expreso - Servicios Troncales</v>
          </cell>
          <cell r="CS339" t="str">
            <v>Expreso - Servicios Troncales</v>
          </cell>
          <cell r="CT339" t="str">
            <v>Expreso - Servicios Troncales</v>
          </cell>
          <cell r="CU339" t="str">
            <v>Expreso - Servicios Troncales</v>
          </cell>
          <cell r="CV339" t="str">
            <v>Expreso - Servicios Troncales</v>
          </cell>
          <cell r="CW339" t="str">
            <v>Expreso - Servicios Troncales</v>
          </cell>
        </row>
        <row r="340">
          <cell r="D340" t="str">
            <v>KNE956</v>
          </cell>
          <cell r="E340" t="str">
            <v>Tractor</v>
          </cell>
          <cell r="F340" t="str">
            <v>Tractor</v>
          </cell>
          <cell r="G340" t="str">
            <v>Tractor</v>
          </cell>
          <cell r="N340" t="str">
            <v>CODYLSA</v>
          </cell>
          <cell r="O340" t="str">
            <v>CODYLSA</v>
          </cell>
          <cell r="P340" t="str">
            <v>No</v>
          </cell>
          <cell r="Q340" t="str">
            <v>Propio</v>
          </cell>
          <cell r="R340" t="str">
            <v>-</v>
          </cell>
          <cell r="S340" t="str">
            <v>Propio</v>
          </cell>
          <cell r="T340" t="str">
            <v>MERCEDES BENZ</v>
          </cell>
          <cell r="U340" t="str">
            <v>AXOR 1933 S</v>
          </cell>
          <cell r="V340" t="str">
            <v>926921U0947563</v>
          </cell>
          <cell r="W340" t="str">
            <v>9BM958207CB796245</v>
          </cell>
          <cell r="X340">
            <v>2011</v>
          </cell>
          <cell r="Y340">
            <v>15</v>
          </cell>
          <cell r="Z340" t="str">
            <v>Jumbo Mendoza</v>
          </cell>
          <cell r="AA340" t="str">
            <v>CENCO_MZ - Cencosud SA - Mendoza</v>
          </cell>
          <cell r="AB340" t="str">
            <v>CENCO_MZ - Cencosud SA - Mendoza</v>
          </cell>
          <cell r="AC340" t="str">
            <v>CENCO_MZ - Cencosud SA - Mendoza</v>
          </cell>
          <cell r="AD340" t="str">
            <v>CENCO_MZ - Cencosud SA - Mendoza</v>
          </cell>
          <cell r="AE340" t="str">
            <v>CENCO_MZ - Cencosud SA - Mendoza</v>
          </cell>
          <cell r="AF340" t="str">
            <v>CENCO_MZ - Cencosud SA - Mendoza</v>
          </cell>
          <cell r="AG340" t="str">
            <v>CENCO_MZ - Cencosud SA - Mendoza</v>
          </cell>
          <cell r="AH340" t="str">
            <v>CENCO_MZ - Cencosud SA - Mendoza</v>
          </cell>
          <cell r="AI340" t="str">
            <v>CENCO_MZ - Cencosud SA - Mendoza</v>
          </cell>
          <cell r="AJ340" t="str">
            <v>CENCO_MZ - Cencosud SA - Mendoza</v>
          </cell>
          <cell r="AK340" t="str">
            <v>CENCO_MZ - Cencosud SA - Mendoza</v>
          </cell>
          <cell r="AL340" t="str">
            <v>CENCO_MZ - Cencosud SA - Mendoza</v>
          </cell>
          <cell r="AM340" t="str">
            <v>CENCO_MZ - Cencosud SA - Mendoza</v>
          </cell>
          <cell r="AN340" t="str">
            <v>CENCO_MZ - Cencosud SA - Mendoza</v>
          </cell>
          <cell r="AO340" t="str">
            <v>CENCO_MZ - Cencosud SA - Mendoza</v>
          </cell>
          <cell r="AP340" t="str">
            <v>CENCO_MZ - Cencosud SA - Mendoza</v>
          </cell>
          <cell r="AQ340" t="str">
            <v>CENCO_MZ - Cencosud SA - Mendoza</v>
          </cell>
          <cell r="AR340" t="str">
            <v>CENCO_MZ - Cencosud SA - Mendoza</v>
          </cell>
          <cell r="AS340" t="str">
            <v>CENCO_MZ - Cencosud SA - Mendoza</v>
          </cell>
          <cell r="AT340" t="str">
            <v>CENCO_MZ - Cencosud SA - Mendoza</v>
          </cell>
          <cell r="AU340" t="str">
            <v>CENCO_MZ - Cencosud SA - Mendoza</v>
          </cell>
          <cell r="AV340" t="str">
            <v>CENCO_MZ - Cencosud SA - Mendoza</v>
          </cell>
          <cell r="AW340" t="str">
            <v>CENCO_MZ - Cencosud SA - Mendoza</v>
          </cell>
          <cell r="AX340" t="str">
            <v>CENCO_MZ - Cencosud SA - Mendoza</v>
          </cell>
          <cell r="AY340" t="str">
            <v>CENCO_MZ - Cencosud SA - Mendoza</v>
          </cell>
          <cell r="AZ340" t="str">
            <v>CENCO_MZ - Cencosud SA - Mendoza</v>
          </cell>
          <cell r="BA340" t="str">
            <v>CENCO_MZ - Cencosud SA - Mendoza</v>
          </cell>
          <cell r="BB340" t="str">
            <v>CENCO_MZ - Cencosud SA - Mendoza</v>
          </cell>
          <cell r="BC340" t="str">
            <v>CENCO_MZ - Cencosud SA - Mendoza</v>
          </cell>
          <cell r="BD340" t="str">
            <v>CENCO_MZ - Cencosud SA - Mendoza</v>
          </cell>
          <cell r="BE340" t="str">
            <v>CENCO_MZ - Cencosud SA - Mendoza</v>
          </cell>
          <cell r="BF340" t="str">
            <v>CENCO_MZ - Cencosud SA - Mendoza</v>
          </cell>
          <cell r="BG340" t="str">
            <v>CENCO_MZ - Cencosud SA - Mendoza</v>
          </cell>
          <cell r="BH340" t="str">
            <v>CENCO_MZ - Cencosud SA - Mendoza</v>
          </cell>
          <cell r="BI340" t="str">
            <v>CENCO_MZ - Cencosud SA - Mendoza</v>
          </cell>
          <cell r="BJ340" t="str">
            <v>CENCO_MZ - Cencosud SA - Mendoza</v>
          </cell>
          <cell r="BK340" t="str">
            <v>ADA_CH - Danone Arg. S.A. - Chascomus</v>
          </cell>
          <cell r="BL340" t="str">
            <v>ADA_CH - Danone Arg. S.A. - Chascomus</v>
          </cell>
          <cell r="BM340" t="str">
            <v>ADA_CH - Danone Arg. S.A. - Chascomus</v>
          </cell>
          <cell r="BN340" t="str">
            <v>ADA_CH - Danone Arg. S.A. - Chascomus</v>
          </cell>
          <cell r="BO340" t="str">
            <v>ADA_CH - Danone Arg. S.A. - Chascomus</v>
          </cell>
          <cell r="BP340" t="str">
            <v>ADA_CH - Danone Arg. S.A. - Chascomus</v>
          </cell>
          <cell r="BQ340" t="str">
            <v>ADA_CH - Danone Arg. S.A. - Chascomus</v>
          </cell>
          <cell r="BR340" t="str">
            <v>ADA_CH - Danone Arg. S.A. - Chascomus</v>
          </cell>
          <cell r="BS340" t="str">
            <v>ADA_CH - Danone Arg. S.A. - Chascomus</v>
          </cell>
          <cell r="BT340" t="str">
            <v>ADA_CH - Danone Arg. S.A. - Chascomus</v>
          </cell>
          <cell r="BU340" t="str">
            <v>ADA_CH - Danone Arg. S.A. - Chascomus</v>
          </cell>
          <cell r="BV340" t="str">
            <v>ADA_CH - Danone Arg. S.A. - Chascomus</v>
          </cell>
          <cell r="BW340" t="str">
            <v>ADA_CH - Danone Arg. S.A. - Chascomus</v>
          </cell>
          <cell r="BX340" t="str">
            <v>ADA_CH - Danone Arg. S.A. - Chascomus</v>
          </cell>
          <cell r="BY340" t="str">
            <v>ADA_CH - Danone Arg. S.A. - Chascomus</v>
          </cell>
          <cell r="BZ340" t="str">
            <v>ADA_CH - Danone Arg. S.A. - Chascomus</v>
          </cell>
          <cell r="CA340" t="str">
            <v>ADA_CH - Danone Arg. S.A. - Chascomus</v>
          </cell>
          <cell r="CB340" t="str">
            <v>ADA_CH - Danone Arg. S.A. - Chascomus</v>
          </cell>
          <cell r="CC340" t="str">
            <v>ADA_CH - Danone Arg. S.A. - Chascomus</v>
          </cell>
          <cell r="CD340" t="str">
            <v>ADA_CH - Danone Arg. S.A. - Chascomus</v>
          </cell>
          <cell r="CE340" t="str">
            <v>Unilever - Unilever de Arg. S.A.</v>
          </cell>
          <cell r="CF340" t="str">
            <v>ADA_CH - Danone Arg. S.A. - Chascomus</v>
          </cell>
          <cell r="CG340" t="str">
            <v>ADA_CH - Danone Arg. S.A. - Chascomus</v>
          </cell>
          <cell r="CH340" t="str">
            <v>ADA_CH - Danone Arg. S.A. - Chascomus</v>
          </cell>
          <cell r="CI340" t="str">
            <v>ADA_CH - Danone Arg. S.A. - Chascomus</v>
          </cell>
          <cell r="CJ340" t="str">
            <v>ADA_CH - Danone Arg. S.A. - Chascomus</v>
          </cell>
          <cell r="CK340" t="str">
            <v>ADA_CH - Danone Arg. S.A. - Chascomus</v>
          </cell>
          <cell r="CL340" t="str">
            <v>ADA_CH - Danone Arg. S.A. - Chascomus</v>
          </cell>
          <cell r="CM340" t="str">
            <v>ADA_CH - Danone Arg. S.A. - Chascomus</v>
          </cell>
          <cell r="CN340" t="str">
            <v>ADA_CH - Danone Arg. S.A. - Chascomus</v>
          </cell>
          <cell r="CO340" t="str">
            <v>ADA_CH - Danone Arg. S.A. - Chascomus</v>
          </cell>
          <cell r="CP340" t="str">
            <v>ADA_CH - Danone Arg. S.A. - Chascomus</v>
          </cell>
          <cell r="CQ340" t="str">
            <v>ADA_CH - Danone Arg. S.A. - Chascomus</v>
          </cell>
          <cell r="CR340" t="str">
            <v>ADA_CH - Danone Arg. S.A. - Chascomus</v>
          </cell>
          <cell r="CS340" t="str">
            <v>ADA_CH - Danone Arg. S.A. - Chascomus</v>
          </cell>
          <cell r="CT340" t="str">
            <v>ADA_CH - Danone Arg. S.A. - Chascomus</v>
          </cell>
          <cell r="CU340" t="str">
            <v>ADA_CH - Danone Arg. S.A. - Chascomus</v>
          </cell>
          <cell r="CV340" t="str">
            <v>ADA_CH - Danone Arg. S.A. - Chascomus</v>
          </cell>
          <cell r="CW340" t="str">
            <v>ADA_CH - Danone Arg. S.A. - Chascomus</v>
          </cell>
        </row>
        <row r="341">
          <cell r="D341" t="str">
            <v>KPQ389</v>
          </cell>
          <cell r="E341" t="str">
            <v>Chasis</v>
          </cell>
          <cell r="F341" t="str">
            <v>Chasis</v>
          </cell>
          <cell r="G341" t="str">
            <v>Chasis</v>
          </cell>
          <cell r="N341" t="str">
            <v>TDU</v>
          </cell>
          <cell r="O341" t="str">
            <v>TDU</v>
          </cell>
          <cell r="P341" t="str">
            <v>No</v>
          </cell>
          <cell r="Q341" t="str">
            <v>Propio</v>
          </cell>
          <cell r="R341">
            <v>12</v>
          </cell>
          <cell r="S341" t="str">
            <v>Propio</v>
          </cell>
          <cell r="T341" t="str">
            <v>MERCEDES BENZ</v>
          </cell>
          <cell r="U341" t="str">
            <v>ATRON 1720/48  FRONTAL</v>
          </cell>
          <cell r="V341" t="str">
            <v>904980U0964516</v>
          </cell>
          <cell r="W341" t="str">
            <v>9BM693186CF139399</v>
          </cell>
          <cell r="X341">
            <v>2011</v>
          </cell>
          <cell r="Y341">
            <v>15</v>
          </cell>
          <cell r="Z341" t="str">
            <v>TDU</v>
          </cell>
          <cell r="AA341" t="str">
            <v>CMQ_TTE - QUILMES TTE</v>
          </cell>
          <cell r="AB341" t="str">
            <v>CMQ_TTE - QUILMES TTE</v>
          </cell>
          <cell r="AC341" t="str">
            <v>CMQ_TTE - QUILMES TTE</v>
          </cell>
          <cell r="AD341" t="str">
            <v>CMQ_TTE - QUILMES TTE</v>
          </cell>
          <cell r="AE341" t="str">
            <v>CMQ_TTE - QUILMES TTE</v>
          </cell>
          <cell r="AF341" t="str">
            <v>CMQ_TTE - QUILMES TTE</v>
          </cell>
          <cell r="AG341" t="str">
            <v>CMQ_TTE - QUILMES TTE</v>
          </cell>
          <cell r="AH341" t="str">
            <v>CMQ_TTE - QUILMES TTE</v>
          </cell>
          <cell r="AI341" t="str">
            <v>CMQ_TTE - QUILMES TTE</v>
          </cell>
          <cell r="AJ341" t="str">
            <v>CMQ_TTE - QUILMES TTE</v>
          </cell>
          <cell r="AK341" t="str">
            <v>CMQ_TTE - QUILMES TTE</v>
          </cell>
          <cell r="AL341" t="str">
            <v>CMQ_TTE - QUILMES TTE</v>
          </cell>
          <cell r="AM341" t="str">
            <v>CMQ_TTE - QUILMES TTE</v>
          </cell>
          <cell r="AN341" t="str">
            <v>CMQ_TTE - QUILMES TTE</v>
          </cell>
          <cell r="AO341" t="str">
            <v>CMQ_TTE - QUILMES TTE</v>
          </cell>
          <cell r="AP341" t="str">
            <v>CMQ_TTE - QUILMES TTE</v>
          </cell>
          <cell r="AQ341" t="str">
            <v>CMQ_TTE - QUILMES TTE</v>
          </cell>
          <cell r="AR341" t="str">
            <v>CMQ_TTE - QUILMES TTE</v>
          </cell>
          <cell r="AS341" t="str">
            <v>CMQ_TTE - QUILMES TTE</v>
          </cell>
          <cell r="AT341" t="str">
            <v>CMQ_TTE - QUILMES TTE</v>
          </cell>
          <cell r="AU341" t="str">
            <v>CMQ_TTE - QUILMES TTE</v>
          </cell>
          <cell r="AV341" t="str">
            <v>CMQ_TTE - QUILMES TTE</v>
          </cell>
          <cell r="AW341" t="str">
            <v>CMQ_TTE - QUILMES TTE</v>
          </cell>
          <cell r="AX341" t="str">
            <v>CMQ_TTE - QUILMES TTE</v>
          </cell>
          <cell r="AY341" t="str">
            <v>CMQ_TTE - QUILMES TTE</v>
          </cell>
          <cell r="AZ341" t="str">
            <v>CMQ_TTE - QUILMES TTE</v>
          </cell>
          <cell r="BA341" t="str">
            <v>CMQ_TTE - QUILMES TTE</v>
          </cell>
          <cell r="BB341" t="str">
            <v>CMQ_TTE - QUILMES TTE</v>
          </cell>
          <cell r="BC341" t="str">
            <v>CMQ_TTE - QUILMES TTE</v>
          </cell>
          <cell r="BD341" t="str">
            <v>CMQ_TTE - QUILMES TTE</v>
          </cell>
          <cell r="BE341" t="str">
            <v>CMQ_TTE - QUILMES TTE</v>
          </cell>
          <cell r="BF341" t="str">
            <v>CMQ_TTE - QUILMES TTE</v>
          </cell>
          <cell r="BG341" t="str">
            <v>CMQ_TTE - QUILMES TTE</v>
          </cell>
          <cell r="BH341" t="str">
            <v>CMQ_TTE - QUILMES TTE</v>
          </cell>
          <cell r="BI341" t="str">
            <v>CMQ_TTE - QUILMES TTE</v>
          </cell>
          <cell r="BJ341" t="str">
            <v>CMQ_TTE - QUILMES TTE</v>
          </cell>
          <cell r="BK341" t="str">
            <v>CMQ_TTE - QUILMES TTE</v>
          </cell>
          <cell r="BL341" t="str">
            <v>CMQ_TTE - QUILMES TTE</v>
          </cell>
          <cell r="BM341" t="str">
            <v>CMQ_TTE - QUILMES TTE</v>
          </cell>
          <cell r="BN341" t="str">
            <v>CMQ_TTE - QUILMES TTE</v>
          </cell>
          <cell r="BO341" t="str">
            <v>CMQ_TTE - QUILMES TTE</v>
          </cell>
          <cell r="BP341" t="str">
            <v>CMQ_TTE - QUILMES TTE</v>
          </cell>
          <cell r="BQ341" t="str">
            <v>CMQ_TTE - QUILMES TTE</v>
          </cell>
          <cell r="BR341" t="str">
            <v>CMQ_TTE - QUILMES TTE</v>
          </cell>
          <cell r="BS341" t="str">
            <v>CMQ_TTE - QUILMES TTE</v>
          </cell>
          <cell r="BT341" t="str">
            <v>CMQ_TTE - QUILMES TTE</v>
          </cell>
          <cell r="BU341" t="str">
            <v>CMQ_TTE - QUILMES TTE</v>
          </cell>
          <cell r="BV341" t="str">
            <v>CMQ_TTE - QUILMES TTE</v>
          </cell>
          <cell r="BW341" t="str">
            <v>CMQ_TTE - QUILMES TTE</v>
          </cell>
          <cell r="BX341" t="str">
            <v>CMQ_TTE - QUILMES TTE</v>
          </cell>
          <cell r="BY341" t="str">
            <v>CMQ_TTE - QUILMES TTE</v>
          </cell>
          <cell r="BZ341" t="str">
            <v>CMQ_TTE - QUILMES TTE</v>
          </cell>
          <cell r="CA341" t="str">
            <v>CMQ_TTE - QUILMES TTE</v>
          </cell>
          <cell r="CB341" t="str">
            <v>CMQ_TTE - QUILMES TTE</v>
          </cell>
          <cell r="CC341" t="str">
            <v>CMQ_TTE - QUILMES TTE</v>
          </cell>
          <cell r="CD341" t="str">
            <v>CMQ_TTE - QUILMES TTE</v>
          </cell>
          <cell r="CE341" t="str">
            <v>CMQ_TTE - QUILMES TTE</v>
          </cell>
          <cell r="CF341" t="str">
            <v>CMQ_TTE - QUILMES TTE</v>
          </cell>
          <cell r="CG341" t="str">
            <v>CMQ_TTE - QUILMES TTE</v>
          </cell>
          <cell r="CH341" t="str">
            <v>CMQ_TTE - QUILMES TTE</v>
          </cell>
          <cell r="CI341" t="str">
            <v>CMQ_TTE - QUILMES TTE</v>
          </cell>
          <cell r="CJ341" t="str">
            <v>CMQ_TTE - QUILMES TTE</v>
          </cell>
          <cell r="CK341" t="str">
            <v>CMQ_TTE - QUILMES TTE</v>
          </cell>
          <cell r="CL341" t="str">
            <v>CMQ_TTE - QUILMES TTE</v>
          </cell>
          <cell r="CM341" t="str">
            <v>CMQ_TTE - QUILMES TTE</v>
          </cell>
          <cell r="CN341" t="str">
            <v>CMQ_TTE - QUILMES TTE</v>
          </cell>
          <cell r="CO341" t="str">
            <v>CMQ_TTE - QUILMES TTE</v>
          </cell>
          <cell r="CP341" t="str">
            <v>CMQ_TTE - QUILMES TTE</v>
          </cell>
          <cell r="CQ341" t="str">
            <v>CMQ_TTE - QUILMES TTE</v>
          </cell>
          <cell r="CR341" t="str">
            <v>Sin Operación</v>
          </cell>
          <cell r="CS341" t="str">
            <v>Sin Operación</v>
          </cell>
          <cell r="CT341" t="str">
            <v>Sin Operación</v>
          </cell>
          <cell r="CU341" t="str">
            <v>Sin Operación</v>
          </cell>
          <cell r="CV341" t="str">
            <v>Sin Operación</v>
          </cell>
          <cell r="CW341" t="str">
            <v>Sin Operación</v>
          </cell>
        </row>
        <row r="342">
          <cell r="D342" t="str">
            <v>KPQ390</v>
          </cell>
          <cell r="E342" t="str">
            <v>Chasis</v>
          </cell>
          <cell r="F342" t="str">
            <v>Chasis</v>
          </cell>
          <cell r="G342" t="str">
            <v>Chasis</v>
          </cell>
          <cell r="N342" t="str">
            <v>TDU</v>
          </cell>
          <cell r="O342" t="str">
            <v>TDU</v>
          </cell>
          <cell r="P342" t="str">
            <v>No</v>
          </cell>
          <cell r="Q342" t="str">
            <v>Propio</v>
          </cell>
          <cell r="R342">
            <v>12</v>
          </cell>
          <cell r="S342" t="str">
            <v>Propio</v>
          </cell>
          <cell r="T342" t="str">
            <v>MERCEDES BENZ</v>
          </cell>
          <cell r="U342" t="str">
            <v>ATRON 1720/48  FRONTAL</v>
          </cell>
          <cell r="V342" t="str">
            <v>904980U0964619</v>
          </cell>
          <cell r="W342" t="str">
            <v>9BM693186CF139389</v>
          </cell>
          <cell r="X342">
            <v>2011</v>
          </cell>
          <cell r="Y342">
            <v>15</v>
          </cell>
          <cell r="Z342" t="str">
            <v>TDU</v>
          </cell>
          <cell r="AA342" t="str">
            <v>CMQ_TTE - QUILMES TTE</v>
          </cell>
          <cell r="AB342" t="str">
            <v>CMQ_TTE - QUILMES TTE</v>
          </cell>
          <cell r="AC342" t="str">
            <v>CMQ_TTE - QUILMES TTE</v>
          </cell>
          <cell r="AD342" t="str">
            <v>CMQ_TTE - QUILMES TTE</v>
          </cell>
          <cell r="AE342" t="str">
            <v>CMQ_TTE - QUILMES TTE</v>
          </cell>
          <cell r="AF342" t="str">
            <v>CMQ_TTE - QUILMES TTE</v>
          </cell>
          <cell r="AG342" t="str">
            <v>CMQ_TTE - QUILMES TTE</v>
          </cell>
          <cell r="AH342" t="str">
            <v>CMQ_TTE - QUILMES TTE</v>
          </cell>
          <cell r="AI342" t="str">
            <v>CMQ_TTE - QUILMES TTE</v>
          </cell>
          <cell r="AJ342" t="str">
            <v>CMQ_TTE - QUILMES TTE</v>
          </cell>
          <cell r="AK342" t="str">
            <v>CMQ_TTE - QUILMES TTE</v>
          </cell>
          <cell r="AL342" t="str">
            <v>CMQ_TTE - QUILMES TTE</v>
          </cell>
          <cell r="AM342" t="str">
            <v>CMQ_TTE - QUILMES TTE</v>
          </cell>
          <cell r="AN342" t="str">
            <v>CMQ_TTE - QUILMES TTE</v>
          </cell>
          <cell r="AO342" t="str">
            <v>CMQ_TTE - QUILMES TTE</v>
          </cell>
          <cell r="AP342" t="str">
            <v>CMQ_TTE - QUILMES TTE</v>
          </cell>
          <cell r="AQ342" t="str">
            <v>CMQ_TTE - QUILMES TTE</v>
          </cell>
          <cell r="AR342" t="str">
            <v>CMQ_TTE - QUILMES TTE</v>
          </cell>
          <cell r="AS342" t="str">
            <v>CMQ_TTE - QUILMES TTE</v>
          </cell>
          <cell r="AT342" t="str">
            <v>CMQ_TTE - QUILMES TTE</v>
          </cell>
          <cell r="AU342" t="str">
            <v>CMQ_TTE - QUILMES TTE</v>
          </cell>
          <cell r="AV342" t="str">
            <v>CMQ_TTE - QUILMES TTE</v>
          </cell>
          <cell r="AW342" t="str">
            <v>CMQ_TTE - QUILMES TTE</v>
          </cell>
          <cell r="AX342" t="str">
            <v>CMQ_TTE - QUILMES TTE</v>
          </cell>
          <cell r="AY342" t="str">
            <v>CMQ_TTE - QUILMES TTE</v>
          </cell>
          <cell r="AZ342" t="str">
            <v>CMQ_TTE - QUILMES TTE</v>
          </cell>
          <cell r="BA342" t="str">
            <v>CMQ_TTE - QUILMES TTE</v>
          </cell>
          <cell r="BB342" t="str">
            <v>CMQ_TTE - QUILMES TTE</v>
          </cell>
          <cell r="BC342" t="str">
            <v>CMQ_TTE - QUILMES TTE</v>
          </cell>
          <cell r="BD342" t="str">
            <v>CMQ_TTE - QUILMES TTE</v>
          </cell>
          <cell r="BE342" t="str">
            <v>CMQ_TTE - QUILMES TTE</v>
          </cell>
          <cell r="BF342" t="str">
            <v>CMQ_TTE - QUILMES TTE</v>
          </cell>
          <cell r="BG342" t="str">
            <v>CMQ_TTE - QUILMES TTE</v>
          </cell>
          <cell r="BH342" t="str">
            <v>CMQ_TTE - QUILMES TTE</v>
          </cell>
          <cell r="BI342" t="str">
            <v>CMQ_TTE - QUILMES TTE</v>
          </cell>
          <cell r="BJ342" t="str">
            <v>CMQ_TTE - QUILMES TTE</v>
          </cell>
          <cell r="BK342" t="str">
            <v>CMQ_TTE - QUILMES TTE</v>
          </cell>
          <cell r="BL342" t="str">
            <v>CMQ_TTE - QUILMES TTE</v>
          </cell>
          <cell r="BM342" t="str">
            <v>CMQ_TTE - QUILMES TTE</v>
          </cell>
          <cell r="BN342" t="str">
            <v>CMQ_TTE - QUILMES TTE</v>
          </cell>
          <cell r="BO342" t="str">
            <v>CMQ_TTE - QUILMES TTE</v>
          </cell>
          <cell r="BP342" t="str">
            <v>CMQ_TTE - QUILMES TTE</v>
          </cell>
          <cell r="BQ342" t="str">
            <v>CMQ_TTE - QUILMES TTE</v>
          </cell>
          <cell r="BR342" t="str">
            <v>CMQ_TTE - QUILMES TTE</v>
          </cell>
          <cell r="BS342" t="str">
            <v>CMQ_TTE - QUILMES TTE</v>
          </cell>
          <cell r="BT342" t="str">
            <v>CMQ_TTE - QUILMES TTE</v>
          </cell>
          <cell r="BU342" t="str">
            <v>CMQ_TTE - QUILMES TTE</v>
          </cell>
          <cell r="BV342" t="str">
            <v>CMQ_TTE - QUILMES TTE</v>
          </cell>
          <cell r="BW342" t="str">
            <v>CMQ_TTE - QUILMES TTE</v>
          </cell>
          <cell r="BX342" t="str">
            <v>CMQ_TTE - QUILMES TTE</v>
          </cell>
          <cell r="BY342" t="str">
            <v>CMQ_TTE - QUILMES TTE</v>
          </cell>
          <cell r="BZ342" t="str">
            <v>CMQ_TTE - QUILMES TTE</v>
          </cell>
          <cell r="CA342" t="str">
            <v>CMQ_TTE - QUILMES TTE</v>
          </cell>
          <cell r="CB342" t="str">
            <v>CMQ_TTE - QUILMES TTE</v>
          </cell>
          <cell r="CC342" t="str">
            <v>CMQ_TTE - QUILMES TTE</v>
          </cell>
          <cell r="CD342" t="str">
            <v>CMQ_TTE - QUILMES TTE</v>
          </cell>
          <cell r="CE342" t="str">
            <v>CMQ_TTE - QUILMES TTE</v>
          </cell>
          <cell r="CF342" t="str">
            <v>CMQ_TTE - QUILMES TTE</v>
          </cell>
          <cell r="CG342" t="str">
            <v>CMQ_TTE - QUILMES TTE</v>
          </cell>
          <cell r="CH342" t="str">
            <v>CMQ_TTE - QUILMES TTE</v>
          </cell>
          <cell r="CI342" t="str">
            <v>CMQ_TTE - QUILMES TTE</v>
          </cell>
          <cell r="CJ342" t="str">
            <v>CMQ_TTE - QUILMES TTE</v>
          </cell>
          <cell r="CK342" t="str">
            <v>CMQ_TTE - QUILMES TTE</v>
          </cell>
          <cell r="CL342" t="str">
            <v>CMQ_TTE - QUILMES TTE</v>
          </cell>
          <cell r="CM342" t="str">
            <v>CMQ_TTE - QUILMES TTE</v>
          </cell>
          <cell r="CN342" t="str">
            <v>CMQ_TTE - QUILMES TTE</v>
          </cell>
          <cell r="CO342" t="str">
            <v>CMQ_TTE - QUILMES TTE</v>
          </cell>
          <cell r="CP342" t="str">
            <v>CMQ_TTE - QUILMES TTE</v>
          </cell>
          <cell r="CQ342" t="str">
            <v>CMQ_TTE - QUILMES TTE</v>
          </cell>
          <cell r="CR342" t="str">
            <v>CMQ_TTE - QUILMES TTE</v>
          </cell>
          <cell r="CS342" t="str">
            <v>CMQ_TTE - QUILMES TTE</v>
          </cell>
          <cell r="CT342" t="str">
            <v>CMQ_TTE - QUILMES TTE</v>
          </cell>
          <cell r="CU342" t="str">
            <v>CMQ_TTE - QUILMES TTE</v>
          </cell>
          <cell r="CV342" t="str">
            <v>CMQ_TTE - QUILMES TTE</v>
          </cell>
          <cell r="CW342" t="str">
            <v>CMQ_TTE - QUILMES TTE</v>
          </cell>
        </row>
        <row r="343">
          <cell r="D343" t="str">
            <v>KPQ391</v>
          </cell>
          <cell r="E343" t="str">
            <v>Chasis</v>
          </cell>
          <cell r="F343" t="str">
            <v>Chasis</v>
          </cell>
          <cell r="G343" t="str">
            <v>Chasis</v>
          </cell>
          <cell r="N343" t="str">
            <v>TDU</v>
          </cell>
          <cell r="O343" t="str">
            <v>TDU</v>
          </cell>
          <cell r="P343" t="str">
            <v>No</v>
          </cell>
          <cell r="Q343" t="str">
            <v>Propio</v>
          </cell>
          <cell r="R343">
            <v>12</v>
          </cell>
          <cell r="S343" t="str">
            <v>Propio</v>
          </cell>
          <cell r="T343" t="str">
            <v>MERCEDES BENZ</v>
          </cell>
          <cell r="U343" t="str">
            <v>ATEGO 1418/48 FRONTAL</v>
          </cell>
          <cell r="V343" t="str">
            <v>904967U0959038</v>
          </cell>
          <cell r="W343" t="str">
            <v>9BM958034CB809317</v>
          </cell>
          <cell r="X343">
            <v>2011</v>
          </cell>
          <cell r="Y343">
            <v>15</v>
          </cell>
          <cell r="Z343" t="str">
            <v>TDU</v>
          </cell>
          <cell r="AA343" t="str">
            <v>CMQ_TTE - QUILMES TTE</v>
          </cell>
          <cell r="AB343" t="str">
            <v>CMQ_TTE - QUILMES TTE</v>
          </cell>
          <cell r="AC343" t="str">
            <v>CMQ_TTE - QUILMES TTE</v>
          </cell>
          <cell r="AD343" t="str">
            <v>CMQ_TTE - QUILMES TTE</v>
          </cell>
          <cell r="AE343" t="str">
            <v>CMQ_TTE - QUILMES TTE</v>
          </cell>
          <cell r="AF343" t="str">
            <v>CMQ_TTE - QUILMES TTE</v>
          </cell>
          <cell r="AG343" t="str">
            <v>CMQ_TTE - QUILMES TTE</v>
          </cell>
          <cell r="AH343" t="str">
            <v>CMQ_TTE - QUILMES TTE</v>
          </cell>
          <cell r="AI343" t="str">
            <v>CMQ_TTE - QUILMES TTE</v>
          </cell>
          <cell r="AJ343" t="str">
            <v>CMQ_TTE - QUILMES TTE</v>
          </cell>
          <cell r="AK343" t="str">
            <v>CMQ_TTE - QUILMES TTE</v>
          </cell>
          <cell r="AL343" t="str">
            <v>CMQ_TTE - QUILMES TTE</v>
          </cell>
          <cell r="AM343" t="str">
            <v>CMQ_TTE - QUILMES TTE</v>
          </cell>
          <cell r="AN343" t="str">
            <v>CMQ_TTE - QUILMES TTE</v>
          </cell>
          <cell r="AO343" t="str">
            <v>CMQ_TTE - QUILMES TTE</v>
          </cell>
          <cell r="AP343" t="str">
            <v>CMQ_TTE - QUILMES TTE</v>
          </cell>
          <cell r="AQ343" t="str">
            <v>CMQ_TTE - QUILMES TTE</v>
          </cell>
          <cell r="AR343" t="str">
            <v>CMQ_TTE - QUILMES TTE</v>
          </cell>
          <cell r="AS343" t="str">
            <v>CMQ_TTE - QUILMES TTE</v>
          </cell>
          <cell r="AT343" t="str">
            <v>CMQ_TTE - QUILMES TTE</v>
          </cell>
          <cell r="AU343" t="str">
            <v>CMQ_TTE - QUILMES TTE</v>
          </cell>
          <cell r="AV343" t="str">
            <v>CMQ_TTE - QUILMES TTE</v>
          </cell>
          <cell r="AW343" t="str">
            <v>CMQ_TTE - QUILMES TTE</v>
          </cell>
          <cell r="AX343" t="str">
            <v>CMQ_TTE - QUILMES TTE</v>
          </cell>
          <cell r="AY343" t="str">
            <v>CMQ_TTE - QUILMES TTE</v>
          </cell>
          <cell r="AZ343" t="str">
            <v>CMQ_TTE - QUILMES TTE</v>
          </cell>
          <cell r="BA343" t="str">
            <v>CMQ_TTE - QUILMES TTE</v>
          </cell>
          <cell r="BB343" t="str">
            <v>CMQ_TTE - QUILMES TTE</v>
          </cell>
          <cell r="BC343" t="str">
            <v>CMQ_TTE - QUILMES TTE</v>
          </cell>
          <cell r="BD343" t="str">
            <v>CMQ_TTE - QUILMES TTE</v>
          </cell>
          <cell r="BE343" t="str">
            <v>CMQ_TTE - QUILMES TTE</v>
          </cell>
          <cell r="BF343" t="str">
            <v>CMQ_TTE - QUILMES TTE</v>
          </cell>
          <cell r="BG343" t="str">
            <v>CMQ_TTE - QUILMES TTE</v>
          </cell>
          <cell r="BH343" t="str">
            <v>CMQ_TTE - QUILMES TTE</v>
          </cell>
          <cell r="BI343" t="str">
            <v>CMQ_TTE - QUILMES TTE</v>
          </cell>
          <cell r="BJ343" t="str">
            <v>CMQ_TTE - QUILMES TTE</v>
          </cell>
          <cell r="BK343" t="str">
            <v>CMQ_TTE - QUILMES TTE</v>
          </cell>
          <cell r="BL343" t="str">
            <v>CMQ_TTE - QUILMES TTE</v>
          </cell>
          <cell r="BM343" t="str">
            <v>CMQ_TTE - QUILMES TTE</v>
          </cell>
          <cell r="BN343" t="str">
            <v>CMQ_TTE - QUILMES TTE</v>
          </cell>
          <cell r="BO343" t="str">
            <v>CMQ_TTE - QUILMES TTE</v>
          </cell>
          <cell r="BP343" t="str">
            <v>CMQ_TTE - QUILMES TTE</v>
          </cell>
          <cell r="BQ343" t="str">
            <v>CMQ_TTE - QUILMES TTE</v>
          </cell>
          <cell r="BR343" t="str">
            <v>CMQ_TTE - QUILMES TTE</v>
          </cell>
          <cell r="BS343" t="str">
            <v>CMQ_TTE - QUILMES TTE</v>
          </cell>
          <cell r="BT343" t="str">
            <v>CMQ_TTE - QUILMES TTE</v>
          </cell>
          <cell r="BU343" t="str">
            <v>CMQ_TTE - QUILMES TTE</v>
          </cell>
          <cell r="BV343" t="str">
            <v>CMQ_TTE - QUILMES TTE</v>
          </cell>
          <cell r="BW343" t="str">
            <v>CMQ_TTE - QUILMES TTE</v>
          </cell>
          <cell r="BX343" t="str">
            <v>CMQ_TTE - QUILMES TTE</v>
          </cell>
          <cell r="BY343" t="str">
            <v>CMQ_TTE - QUILMES TTE</v>
          </cell>
          <cell r="BZ343" t="str">
            <v>CMQ_TTE - QUILMES TTE</v>
          </cell>
          <cell r="CA343" t="str">
            <v>CMQ_TTE - QUILMES TTE</v>
          </cell>
          <cell r="CB343" t="str">
            <v>CMQ_TTE - QUILMES TTE</v>
          </cell>
          <cell r="CC343" t="str">
            <v>CMQ_TTE - QUILMES TTE</v>
          </cell>
          <cell r="CD343" t="str">
            <v>CMQ_TTE - QUILMES TTE</v>
          </cell>
          <cell r="CE343" t="str">
            <v>CMQ_TTE - QUILMES TTE</v>
          </cell>
          <cell r="CF343" t="str">
            <v>CMQ_TTE - QUILMES TTE</v>
          </cell>
          <cell r="CG343" t="str">
            <v>CMQ_TTE - QUILMES TTE</v>
          </cell>
          <cell r="CH343" t="str">
            <v>CMQ_TTE - QUILMES TTE</v>
          </cell>
          <cell r="CI343" t="str">
            <v>CMQ_TTE - QUILMES TTE</v>
          </cell>
          <cell r="CJ343" t="str">
            <v>CMQ_TTE - QUILMES TTE</v>
          </cell>
          <cell r="CK343" t="str">
            <v>CMQ_TTE - QUILMES TTE</v>
          </cell>
          <cell r="CL343" t="str">
            <v>CMQ_TTE - QUILMES TTE</v>
          </cell>
          <cell r="CM343" t="str">
            <v>CMQ_TTE - QUILMES TTE</v>
          </cell>
          <cell r="CN343" t="str">
            <v>CMQ_TTE - QUILMES TTE</v>
          </cell>
          <cell r="CO343" t="str">
            <v>CMQ_TTE - QUILMES TTE</v>
          </cell>
          <cell r="CP343" t="str">
            <v>CMQ_TTE - QUILMES TTE</v>
          </cell>
          <cell r="CQ343" t="str">
            <v>Sin Operación</v>
          </cell>
          <cell r="CR343" t="str">
            <v>Sin Operación</v>
          </cell>
          <cell r="CS343" t="str">
            <v>Sin Operación</v>
          </cell>
          <cell r="CT343" t="str">
            <v>Sin Operación</v>
          </cell>
          <cell r="CU343" t="str">
            <v>Sin Operación</v>
          </cell>
          <cell r="CV343" t="str">
            <v>Sin Operación</v>
          </cell>
          <cell r="CW343" t="str">
            <v>Sin Operación</v>
          </cell>
        </row>
        <row r="344">
          <cell r="D344" t="str">
            <v>KPQ392</v>
          </cell>
          <cell r="E344" t="str">
            <v>Chasis</v>
          </cell>
          <cell r="F344" t="str">
            <v>Chasis</v>
          </cell>
          <cell r="G344" t="str">
            <v>Chasis</v>
          </cell>
          <cell r="N344" t="str">
            <v>TDU</v>
          </cell>
          <cell r="O344" t="str">
            <v>TDU</v>
          </cell>
          <cell r="P344" t="str">
            <v>No</v>
          </cell>
          <cell r="Q344" t="str">
            <v>Propio</v>
          </cell>
          <cell r="R344">
            <v>12</v>
          </cell>
          <cell r="S344" t="str">
            <v>Propio</v>
          </cell>
          <cell r="T344" t="str">
            <v>MERCEDES BENZ</v>
          </cell>
          <cell r="U344" t="str">
            <v>ATEGO 1418/48 FRONTAL</v>
          </cell>
          <cell r="V344" t="str">
            <v>904967U0951649</v>
          </cell>
          <cell r="W344" t="str">
            <v>9BM958034CB800844</v>
          </cell>
          <cell r="X344">
            <v>2011</v>
          </cell>
          <cell r="Y344">
            <v>15</v>
          </cell>
          <cell r="Z344" t="str">
            <v>TDU</v>
          </cell>
          <cell r="AA344" t="str">
            <v>CMQ_TTE - QUILMES TTE</v>
          </cell>
          <cell r="AB344" t="str">
            <v>CMQ_TTE - QUILMES TTE</v>
          </cell>
          <cell r="AC344" t="str">
            <v>CMQ_TTE - QUILMES TTE</v>
          </cell>
          <cell r="AD344" t="str">
            <v>CMQ_TTE - QUILMES TTE</v>
          </cell>
          <cell r="AE344" t="str">
            <v>CMQ_TTE - QUILMES TTE</v>
          </cell>
          <cell r="AF344" t="str">
            <v>CMQ_TTE - QUILMES TTE</v>
          </cell>
          <cell r="AG344" t="str">
            <v>CMQ_TTE - QUILMES TTE</v>
          </cell>
          <cell r="AH344" t="str">
            <v>CMQ_TTE - QUILMES TTE</v>
          </cell>
          <cell r="AI344" t="str">
            <v>CMQ_TTE - QUILMES TTE</v>
          </cell>
          <cell r="AJ344" t="str">
            <v>CMQ_TTE - QUILMES TTE</v>
          </cell>
          <cell r="AK344" t="str">
            <v>CMQ_TTE - QUILMES TTE</v>
          </cell>
          <cell r="AL344" t="str">
            <v>CMQ_TTE - QUILMES TTE</v>
          </cell>
          <cell r="AM344" t="str">
            <v>CMQ_TTE - QUILMES TTE</v>
          </cell>
          <cell r="AN344" t="str">
            <v>CMQ_TTE - QUILMES TTE</v>
          </cell>
          <cell r="AO344" t="str">
            <v>CMQ_TTE - QUILMES TTE</v>
          </cell>
          <cell r="AP344" t="str">
            <v>CMQ_TTE - QUILMES TTE</v>
          </cell>
          <cell r="AQ344" t="str">
            <v>CMQ_TTE - QUILMES TTE</v>
          </cell>
          <cell r="AR344" t="str">
            <v>CMQ_TTE - QUILMES TTE</v>
          </cell>
          <cell r="AS344" t="str">
            <v>CMQ_TTE - QUILMES TTE</v>
          </cell>
          <cell r="AT344" t="str">
            <v>CMQ_TTE - QUILMES TTE</v>
          </cell>
          <cell r="AU344" t="str">
            <v>CMQ_TTE - QUILMES TTE</v>
          </cell>
          <cell r="AV344" t="str">
            <v>CMQ_TTE - QUILMES TTE</v>
          </cell>
          <cell r="AW344" t="str">
            <v>CMQ_TTE - QUILMES TTE</v>
          </cell>
          <cell r="AX344" t="str">
            <v>CMQ_TTE - QUILMES TTE</v>
          </cell>
          <cell r="AY344" t="str">
            <v>CMQ_TTE - QUILMES TTE</v>
          </cell>
          <cell r="AZ344" t="str">
            <v>CMQ_TTE - QUILMES TTE</v>
          </cell>
          <cell r="BA344" t="str">
            <v>CMQ_TTE - QUILMES TTE</v>
          </cell>
          <cell r="BB344" t="str">
            <v>CMQ_TTE - QUILMES TTE</v>
          </cell>
          <cell r="BC344" t="str">
            <v>CMQ_TTE - QUILMES TTE</v>
          </cell>
          <cell r="BD344" t="str">
            <v>CMQ_TTE - QUILMES TTE</v>
          </cell>
          <cell r="BE344" t="str">
            <v>CMQ_TTE - QUILMES TTE</v>
          </cell>
          <cell r="BF344" t="str">
            <v>CMQ_TTE - QUILMES TTE</v>
          </cell>
          <cell r="BG344" t="str">
            <v>CMQ_TTE - QUILMES TTE</v>
          </cell>
          <cell r="BH344" t="str">
            <v>CMQ_TTE - QUILMES TTE</v>
          </cell>
          <cell r="BI344" t="str">
            <v>CMQ_TTE - QUILMES TTE</v>
          </cell>
          <cell r="BJ344" t="str">
            <v>CMQ_TTE - QUILMES TTE</v>
          </cell>
          <cell r="BK344" t="str">
            <v>CMQ_TTE - QUILMES TTE</v>
          </cell>
          <cell r="BL344" t="str">
            <v>CMQ_TTE - QUILMES TTE</v>
          </cell>
          <cell r="BM344" t="str">
            <v>CMQ_TTE - QUILMES TTE</v>
          </cell>
          <cell r="BN344" t="str">
            <v>CMQ_TTE - QUILMES TTE</v>
          </cell>
          <cell r="BO344" t="str">
            <v>CMQ_TTE - QUILMES TTE</v>
          </cell>
          <cell r="BP344" t="str">
            <v>CMQ_TTE - QUILMES TTE</v>
          </cell>
          <cell r="BQ344" t="str">
            <v>CMQ_TTE - QUILMES TTE</v>
          </cell>
          <cell r="BR344" t="str">
            <v>CMQ_TTE - QUILMES TTE</v>
          </cell>
          <cell r="BS344" t="str">
            <v>CMQ_TTE - QUILMES TTE</v>
          </cell>
          <cell r="BT344" t="str">
            <v>CMQ_TTE - QUILMES TTE</v>
          </cell>
          <cell r="BU344" t="str">
            <v>CMQ_TTE - QUILMES TTE</v>
          </cell>
          <cell r="BV344" t="str">
            <v>CMQ_TTE - QUILMES TTE</v>
          </cell>
          <cell r="BW344" t="str">
            <v>CMQ_TTE - QUILMES TTE</v>
          </cell>
          <cell r="BX344" t="str">
            <v>CMQ_TTE - QUILMES TTE</v>
          </cell>
          <cell r="BY344" t="str">
            <v>CMQ_TTE - QUILMES TTE</v>
          </cell>
          <cell r="BZ344" t="str">
            <v>CMQ_TTE - QUILMES TTE</v>
          </cell>
          <cell r="CA344" t="str">
            <v>CMQ_TTE - QUILMES TTE</v>
          </cell>
          <cell r="CB344" t="str">
            <v>CMQ_TTE - QUILMES TTE</v>
          </cell>
          <cell r="CC344" t="str">
            <v>CMQ_TTE - QUILMES TTE</v>
          </cell>
          <cell r="CD344" t="str">
            <v>CMQ_TTE - QUILMES TTE</v>
          </cell>
          <cell r="CE344" t="str">
            <v>CMQ_TTE - QUILMES TTE</v>
          </cell>
          <cell r="CF344" t="str">
            <v>CMQ_TTE - QUILMES TTE</v>
          </cell>
          <cell r="CG344" t="str">
            <v>CMQ_TTE - QUILMES TTE</v>
          </cell>
          <cell r="CH344" t="str">
            <v>CMQ_TTE - QUILMES TTE</v>
          </cell>
          <cell r="CI344" t="str">
            <v>CMQ_TTE - QUILMES TTE</v>
          </cell>
          <cell r="CJ344" t="str">
            <v>CMQ_TTE - QUILMES TTE</v>
          </cell>
          <cell r="CK344" t="str">
            <v>CMQ_TTE - QUILMES TTE</v>
          </cell>
          <cell r="CL344" t="str">
            <v>CMQ_TTE - QUILMES TTE</v>
          </cell>
          <cell r="CM344" t="str">
            <v>CMQ_TTE - QUILMES TTE</v>
          </cell>
          <cell r="CN344" t="str">
            <v>CMQ_TTE - QUILMES TTE</v>
          </cell>
          <cell r="CO344" t="str">
            <v>CMQ_TTE - QUILMES TTE</v>
          </cell>
          <cell r="CP344" t="str">
            <v>CMQ_TTE - QUILMES TTE</v>
          </cell>
          <cell r="CQ344" t="str">
            <v>Sin Operación</v>
          </cell>
          <cell r="CR344" t="str">
            <v>Sin Operación</v>
          </cell>
          <cell r="CS344" t="str">
            <v>Sin Operación</v>
          </cell>
          <cell r="CT344" t="str">
            <v>Sin Operación</v>
          </cell>
          <cell r="CU344" t="str">
            <v>Sin Operación</v>
          </cell>
          <cell r="CV344" t="str">
            <v>Sin Operación</v>
          </cell>
          <cell r="CW344" t="str">
            <v>AGN_TTE - AGUANORT - Transporte</v>
          </cell>
        </row>
        <row r="345">
          <cell r="D345" t="str">
            <v>KPQ393</v>
          </cell>
          <cell r="E345" t="str">
            <v>Chasis</v>
          </cell>
          <cell r="F345" t="str">
            <v>Chasis</v>
          </cell>
          <cell r="G345" t="str">
            <v>Chasis Playo</v>
          </cell>
          <cell r="N345" t="str">
            <v>TDU</v>
          </cell>
          <cell r="O345" t="str">
            <v>TDU</v>
          </cell>
          <cell r="P345" t="str">
            <v>No</v>
          </cell>
          <cell r="Q345" t="str">
            <v>Propio</v>
          </cell>
          <cell r="R345">
            <v>12</v>
          </cell>
          <cell r="S345" t="str">
            <v>Propio</v>
          </cell>
          <cell r="T345" t="str">
            <v>MERCEDES BENZ</v>
          </cell>
          <cell r="U345" t="str">
            <v>ATRON 1720/48  FRONTAL</v>
          </cell>
          <cell r="V345" t="str">
            <v>904980U0967019</v>
          </cell>
          <cell r="W345" t="str">
            <v>9BM693186CF139544</v>
          </cell>
          <cell r="X345">
            <v>2011</v>
          </cell>
          <cell r="Y345">
            <v>15</v>
          </cell>
          <cell r="Z345" t="str">
            <v>TDU</v>
          </cell>
          <cell r="AA345" t="str">
            <v>CMQ_TTE - QUILMES TTE</v>
          </cell>
          <cell r="AB345" t="str">
            <v>CMQ_TTE - QUILMES TTE</v>
          </cell>
          <cell r="AC345" t="str">
            <v>CMQ_TTE - QUILMES TTE</v>
          </cell>
          <cell r="AD345" t="str">
            <v>CMQ_TTE - QUILMES TTE</v>
          </cell>
          <cell r="AE345" t="str">
            <v>CMQ_TTE - QUILMES TTE</v>
          </cell>
          <cell r="AF345" t="str">
            <v>CMQ_TTE - QUILMES TTE</v>
          </cell>
          <cell r="AG345" t="str">
            <v>CMQ_TTE - QUILMES TTE</v>
          </cell>
          <cell r="AH345" t="str">
            <v>CMQ_TTE - QUILMES TTE</v>
          </cell>
          <cell r="AI345" t="str">
            <v>CMQ_TTE - QUILMES TTE</v>
          </cell>
          <cell r="AJ345" t="str">
            <v>CMQ_TTE - QUILMES TTE</v>
          </cell>
          <cell r="AK345" t="str">
            <v>CMQ_TTE - QUILMES TTE</v>
          </cell>
          <cell r="AL345" t="str">
            <v>CMQ_TTE - QUILMES TTE</v>
          </cell>
          <cell r="AM345" t="str">
            <v>CMQ_TTE - QUILMES TTE</v>
          </cell>
          <cell r="AN345" t="str">
            <v>CMQ_TTE - QUILMES TTE</v>
          </cell>
          <cell r="AO345" t="str">
            <v>CMQ_TTE - QUILMES TTE</v>
          </cell>
          <cell r="AP345" t="str">
            <v>CMQ_TTE - QUILMES TTE</v>
          </cell>
          <cell r="AQ345" t="str">
            <v>CMQ_TTE - QUILMES TTE</v>
          </cell>
          <cell r="AR345" t="str">
            <v>CMQ_TTE - QUILMES TTE</v>
          </cell>
          <cell r="AS345" t="str">
            <v>CMQ_TTE - QUILMES TTE</v>
          </cell>
          <cell r="AT345" t="str">
            <v>CMQ_TTE - QUILMES TTE</v>
          </cell>
          <cell r="AU345" t="str">
            <v>CMQ_TTE - QUILMES TTE</v>
          </cell>
          <cell r="AV345" t="str">
            <v>CMQ_TTE - QUILMES TTE</v>
          </cell>
          <cell r="AW345" t="str">
            <v>CMQ_TTE - QUILMES TTE</v>
          </cell>
          <cell r="AX345" t="str">
            <v>CMQ_TTE - QUILMES TTE</v>
          </cell>
          <cell r="AY345" t="str">
            <v>CMQ_TTE - QUILMES TTE</v>
          </cell>
          <cell r="AZ345" t="str">
            <v>CMQ_TTE - QUILMES TTE</v>
          </cell>
          <cell r="BA345" t="str">
            <v>CMQ_TTE - QUILMES TTE</v>
          </cell>
          <cell r="BB345" t="str">
            <v>CMQ_TTE - QUILMES TTE</v>
          </cell>
          <cell r="BC345" t="str">
            <v>CMQ_TTE - QUILMES TTE</v>
          </cell>
          <cell r="BD345" t="str">
            <v>CMQ_TTE - QUILMES TTE</v>
          </cell>
          <cell r="BE345" t="str">
            <v>CMQ_TTE - QUILMES TTE</v>
          </cell>
          <cell r="BF345" t="str">
            <v>CMQ_TTE - QUILMES TTE</v>
          </cell>
          <cell r="BG345" t="str">
            <v>CMQ_TTE - QUILMES TTE</v>
          </cell>
          <cell r="BH345" t="str">
            <v>CMQ_TTE - QUILMES TTE</v>
          </cell>
          <cell r="BI345" t="str">
            <v>CMQ_TTE - QUILMES TTE</v>
          </cell>
          <cell r="BJ345" t="str">
            <v>CMQ_TTE - QUILMES TTE</v>
          </cell>
          <cell r="BK345" t="str">
            <v>CMQ_TTE - QUILMES TTE</v>
          </cell>
          <cell r="BL345" t="str">
            <v>CMQ_TTE - QUILMES TTE</v>
          </cell>
          <cell r="BM345" t="str">
            <v>CMQ_TTE - QUILMES TTE</v>
          </cell>
          <cell r="BN345" t="str">
            <v>CMQ_TTE - QUILMES TTE</v>
          </cell>
          <cell r="BO345" t="str">
            <v>CMQ_TTE - QUILMES TTE</v>
          </cell>
          <cell r="BP345" t="str">
            <v>CMQ_TTE - QUILMES TTE</v>
          </cell>
          <cell r="BQ345" t="str">
            <v>CMQ_TTE - QUILMES TTE</v>
          </cell>
          <cell r="BR345" t="str">
            <v>CMQ_TTE - QUILMES TTE</v>
          </cell>
          <cell r="BS345" t="str">
            <v>CMQ_TTE - QUILMES TTE</v>
          </cell>
          <cell r="BT345" t="str">
            <v>CMQ_TTE - QUILMES TTE</v>
          </cell>
          <cell r="BU345" t="str">
            <v>CMQ_TTE - QUILMES TTE</v>
          </cell>
          <cell r="BV345" t="str">
            <v>CMQ_TTE - QUILMES TTE</v>
          </cell>
          <cell r="BW345" t="str">
            <v>CMQ_TTE - QUILMES TTE</v>
          </cell>
          <cell r="BX345" t="str">
            <v>CMQ_TTE - QUILMES TTE</v>
          </cell>
          <cell r="BY345" t="str">
            <v>CMQ_TTE - QUILMES TTE</v>
          </cell>
          <cell r="BZ345" t="str">
            <v>CMQ_TTE - QUILMES TTE</v>
          </cell>
          <cell r="CA345" t="str">
            <v>CMQ_TTE - QUILMES TTE</v>
          </cell>
          <cell r="CB345" t="str">
            <v>CMQ_TTE - QUILMES TTE</v>
          </cell>
          <cell r="CC345" t="str">
            <v>CMQ_TTE - QUILMES TTE</v>
          </cell>
          <cell r="CD345" t="str">
            <v>CMQ_TTE - QUILMES TTE</v>
          </cell>
          <cell r="CE345" t="str">
            <v>CMQ_TTE - QUILMES TTE</v>
          </cell>
          <cell r="CF345" t="str">
            <v>CMQ_TTE - QUILMES TTE</v>
          </cell>
          <cell r="CG345" t="str">
            <v>CMQ_TTE - QUILMES TTE</v>
          </cell>
          <cell r="CH345" t="str">
            <v>CMQ_TTE - QUILMES TTE</v>
          </cell>
          <cell r="CI345" t="str">
            <v>CMQ_TTE - QUILMES TTE</v>
          </cell>
          <cell r="CJ345" t="str">
            <v>CMQ_TTE - QUILMES TTE</v>
          </cell>
          <cell r="CK345" t="str">
            <v>CMQ_TTE - QUILMES TTE</v>
          </cell>
          <cell r="CL345" t="str">
            <v>CMQ_TTE - QUILMES TTE</v>
          </cell>
          <cell r="CM345" t="str">
            <v>CMQ_TTE - QUILMES TTE</v>
          </cell>
          <cell r="CN345" t="str">
            <v>CMQ_TTE - QUILMES TTE</v>
          </cell>
          <cell r="CO345" t="str">
            <v>CMQ_TTE - QUILMES TTE</v>
          </cell>
          <cell r="CP345" t="str">
            <v>CMQ_TTE - QUILMES TTE</v>
          </cell>
          <cell r="CQ345" t="str">
            <v>CMQ_TTE - QUILMES TTE</v>
          </cell>
          <cell r="CR345" t="str">
            <v>CMQ_TTE - QUILMES TTE</v>
          </cell>
          <cell r="CS345" t="str">
            <v>CMQ_TTE - QUILMES TTE</v>
          </cell>
          <cell r="CT345" t="str">
            <v>CMQ_TTE - QUILMES TTE</v>
          </cell>
          <cell r="CU345" t="str">
            <v>CMQ_TTE - QUILMES TTE</v>
          </cell>
          <cell r="CV345" t="str">
            <v>CMQ_TTE - QUILMES TTE</v>
          </cell>
          <cell r="CW345" t="str">
            <v>CMQ_TTE - QUILMES TTE</v>
          </cell>
        </row>
        <row r="346">
          <cell r="D346" t="str">
            <v>KRR045</v>
          </cell>
          <cell r="E346" t="str">
            <v>Semiremolque</v>
          </cell>
          <cell r="F346" t="str">
            <v>Semiremolque</v>
          </cell>
          <cell r="G346" t="str">
            <v>Semiremolque Baranda 14,5m 28P</v>
          </cell>
          <cell r="N346" t="str">
            <v>Expreso Malargüe S. A.</v>
          </cell>
          <cell r="O346" t="str">
            <v>Expreso Malargüe S. A.</v>
          </cell>
          <cell r="P346" t="str">
            <v>No</v>
          </cell>
          <cell r="Q346" t="str">
            <v>Propio</v>
          </cell>
          <cell r="R346">
            <v>28</v>
          </cell>
          <cell r="S346" t="str">
            <v>Propio</v>
          </cell>
          <cell r="T346" t="str">
            <v>HELVETICA</v>
          </cell>
          <cell r="U346" t="str">
            <v>2+1</v>
          </cell>
          <cell r="V346">
            <v>0</v>
          </cell>
          <cell r="W346" t="str">
            <v>8DHSR14B3B0004091</v>
          </cell>
          <cell r="X346">
            <v>2011</v>
          </cell>
          <cell r="Y346">
            <v>15</v>
          </cell>
          <cell r="Z346" t="str">
            <v>Malargue</v>
          </cell>
          <cell r="AA346" t="str">
            <v>Expreso - Servicios Troncales</v>
          </cell>
          <cell r="AB346" t="str">
            <v>Expreso - Servicios Troncales</v>
          </cell>
          <cell r="AC346" t="str">
            <v>Expreso - Servicios Troncales</v>
          </cell>
          <cell r="AD346" t="str">
            <v>Expreso - Servicios Troncales</v>
          </cell>
          <cell r="AE346" t="str">
            <v>Expreso - Servicios Troncales</v>
          </cell>
          <cell r="AF346" t="str">
            <v>Expreso - Servicios Troncales</v>
          </cell>
          <cell r="AG346" t="str">
            <v>Expreso - Servicios Troncales</v>
          </cell>
          <cell r="AH346" t="str">
            <v>Expreso - Servicios Troncales</v>
          </cell>
          <cell r="AI346" t="str">
            <v>Expreso - Servicios Troncales</v>
          </cell>
          <cell r="AJ346" t="str">
            <v>Expreso - Servicios Troncales</v>
          </cell>
          <cell r="AK346" t="str">
            <v>Expreso - Servicios Troncales</v>
          </cell>
          <cell r="AL346" t="str">
            <v>Expreso - Servicios Troncales</v>
          </cell>
          <cell r="AM346" t="str">
            <v>Expreso - Servicios Troncales</v>
          </cell>
          <cell r="AN346" t="str">
            <v>Expreso - Servicios Troncales</v>
          </cell>
          <cell r="AO346" t="str">
            <v>Expreso - Servicios Troncales</v>
          </cell>
          <cell r="AP346" t="str">
            <v>Expreso - Servicios Troncales</v>
          </cell>
          <cell r="AQ346" t="str">
            <v>Expreso - Servicios Troncales</v>
          </cell>
          <cell r="AR346" t="str">
            <v>Expreso - Servicios Troncales</v>
          </cell>
          <cell r="AS346" t="str">
            <v>Expreso - Servicios Troncales</v>
          </cell>
          <cell r="AT346" t="str">
            <v>Expreso - Servicios Troncales</v>
          </cell>
          <cell r="AU346" t="str">
            <v>Expreso - Servicios Troncales</v>
          </cell>
          <cell r="AV346" t="str">
            <v>Expreso - Servicios Troncales</v>
          </cell>
          <cell r="AW346" t="str">
            <v>Expreso - Servicios Troncales</v>
          </cell>
          <cell r="AX346" t="str">
            <v>Expreso - Servicios Troncales</v>
          </cell>
          <cell r="AY346" t="str">
            <v>Expreso - Servicios Troncales</v>
          </cell>
          <cell r="AZ346" t="str">
            <v>Expreso - Servicios Troncales</v>
          </cell>
          <cell r="BA346" t="str">
            <v>Expreso - Servicios Troncales</v>
          </cell>
          <cell r="BB346" t="str">
            <v>Expreso - Servicios Troncales</v>
          </cell>
          <cell r="BC346" t="str">
            <v>Expreso - Servicios Troncales</v>
          </cell>
          <cell r="BD346" t="str">
            <v>Unilever - Unilever de Arg. S.A.</v>
          </cell>
          <cell r="BE346" t="str">
            <v>Expreso - Servicios Troncales</v>
          </cell>
          <cell r="BF346" t="str">
            <v>Expreso - Servicios Troncales</v>
          </cell>
          <cell r="BG346" t="str">
            <v>Expreso - Servicios Troncales</v>
          </cell>
          <cell r="BH346" t="str">
            <v>Expreso - Servicios Troncales</v>
          </cell>
          <cell r="BI346" t="str">
            <v>Expreso - Servicios Troncales</v>
          </cell>
          <cell r="BJ346" t="str">
            <v>Expreso - Servicios Troncales</v>
          </cell>
          <cell r="BK346" t="str">
            <v>Expreso - Servicios Troncales</v>
          </cell>
          <cell r="BL346" t="str">
            <v>Expreso - Servicios Troncales</v>
          </cell>
          <cell r="BM346" t="str">
            <v>Expreso - Servicios Troncales</v>
          </cell>
          <cell r="BN346" t="str">
            <v>Expreso - Servicios Troncales</v>
          </cell>
          <cell r="BO346" t="str">
            <v>Expreso - Servicios Troncales</v>
          </cell>
          <cell r="BP346" t="str">
            <v>Expreso - Servicios Troncales</v>
          </cell>
          <cell r="BQ346" t="str">
            <v>Expreso - Servicios Troncales</v>
          </cell>
          <cell r="BR346" t="str">
            <v>Expreso - Servicios Troncales</v>
          </cell>
          <cell r="BS346" t="str">
            <v>Expreso - Servicios Troncales</v>
          </cell>
          <cell r="BT346" t="str">
            <v>Expreso - Servicios Troncales</v>
          </cell>
          <cell r="BU346" t="str">
            <v>Expreso - Servicios Troncales</v>
          </cell>
          <cell r="BV346" t="str">
            <v>Expreso - Servicios Troncales</v>
          </cell>
          <cell r="BW346" t="str">
            <v>Expreso - Servicios Troncales</v>
          </cell>
          <cell r="BX346" t="str">
            <v>Expreso - Servicios Troncales</v>
          </cell>
          <cell r="BY346" t="str">
            <v>Expreso - Servicios Troncales</v>
          </cell>
          <cell r="BZ346" t="str">
            <v>Expreso - Servicios Troncales</v>
          </cell>
          <cell r="CA346" t="str">
            <v>Expreso - Servicios Troncales</v>
          </cell>
          <cell r="CB346" t="str">
            <v>Expreso - Servicios Troncales</v>
          </cell>
          <cell r="CC346" t="str">
            <v>Expreso - Servicios Troncales</v>
          </cell>
          <cell r="CD346" t="str">
            <v>Expreso - Servicios Troncales</v>
          </cell>
          <cell r="CE346" t="str">
            <v>Expreso - Servicios Troncales</v>
          </cell>
          <cell r="CF346" t="str">
            <v>Expreso - Servicios Troncales</v>
          </cell>
          <cell r="CG346" t="str">
            <v>Expreso - Servicios Troncales</v>
          </cell>
          <cell r="CH346" t="str">
            <v>Expreso - Servicios Troncales</v>
          </cell>
          <cell r="CI346" t="str">
            <v>Expreso - Servicios Troncales</v>
          </cell>
          <cell r="CJ346" t="str">
            <v>Expreso - Servicios Troncales</v>
          </cell>
          <cell r="CK346" t="str">
            <v>Expreso - Servicios Troncales</v>
          </cell>
          <cell r="CL346" t="str">
            <v>Expreso - Servicios Troncales</v>
          </cell>
          <cell r="CM346" t="str">
            <v>Expreso - Servicios Troncales</v>
          </cell>
          <cell r="CN346" t="str">
            <v>Expreso - Servicios Troncales</v>
          </cell>
          <cell r="CO346" t="str">
            <v>Expreso - Servicios Troncales</v>
          </cell>
          <cell r="CP346" t="str">
            <v>Expreso - Servicios Troncales</v>
          </cell>
          <cell r="CQ346" t="str">
            <v>Expreso - Servicios Troncales</v>
          </cell>
          <cell r="CR346" t="str">
            <v>Expreso - Servicios Troncales</v>
          </cell>
          <cell r="CS346" t="str">
            <v>Expreso - Servicios Troncales</v>
          </cell>
          <cell r="CT346" t="str">
            <v>Expreso - Servicios Troncales</v>
          </cell>
          <cell r="CU346" t="str">
            <v>Expreso - Servicios Troncales</v>
          </cell>
          <cell r="CV346" t="str">
            <v>Expreso - Servicios Troncales</v>
          </cell>
          <cell r="CW346" t="str">
            <v>Expreso - Servicios Troncales</v>
          </cell>
        </row>
        <row r="347">
          <cell r="D347" t="str">
            <v>KRR046</v>
          </cell>
          <cell r="E347" t="str">
            <v>Semiremolque</v>
          </cell>
          <cell r="F347" t="str">
            <v>Semiremolque</v>
          </cell>
          <cell r="G347" t="str">
            <v>Semiremolque Baranda 14,5m 28P</v>
          </cell>
          <cell r="N347" t="str">
            <v>Expreso Malargüe S. A.</v>
          </cell>
          <cell r="O347" t="str">
            <v>Expreso Malargüe S. A.</v>
          </cell>
          <cell r="P347" t="str">
            <v>No</v>
          </cell>
          <cell r="Q347" t="str">
            <v>Propio</v>
          </cell>
          <cell r="R347">
            <v>28</v>
          </cell>
          <cell r="S347" t="str">
            <v>Propio</v>
          </cell>
          <cell r="T347" t="str">
            <v>HELVETICA</v>
          </cell>
          <cell r="U347" t="str">
            <v>2+1</v>
          </cell>
          <cell r="V347">
            <v>0</v>
          </cell>
          <cell r="W347" t="str">
            <v>8DHSR14B3B0004090</v>
          </cell>
          <cell r="X347">
            <v>2011</v>
          </cell>
          <cell r="Y347">
            <v>15</v>
          </cell>
          <cell r="Z347" t="str">
            <v>Morixe</v>
          </cell>
          <cell r="AA347" t="str">
            <v>MORIXE - MORIXE HERMANOS SACEI</v>
          </cell>
          <cell r="AB347" t="str">
            <v>MORIXE - MORIXE HERMANOS SACEI</v>
          </cell>
          <cell r="AC347" t="str">
            <v>MORIXE - MORIXE HERMANOS SACEI</v>
          </cell>
          <cell r="AD347" t="str">
            <v>MORIXE - MORIXE HERMANOS SACEI</v>
          </cell>
          <cell r="AE347" t="str">
            <v>MORIXE - MORIXE HERMANOS SACEI</v>
          </cell>
          <cell r="AF347" t="str">
            <v>MORIXE - MORIXE HERMANOS SACEI</v>
          </cell>
          <cell r="AG347" t="str">
            <v>Expreso - Servicios Troncales</v>
          </cell>
          <cell r="AH347" t="str">
            <v>Expreso - Servicios Troncales</v>
          </cell>
          <cell r="AI347" t="str">
            <v>Expreso - Servicios Troncales</v>
          </cell>
          <cell r="AJ347" t="str">
            <v>Expreso - Servicios Troncales</v>
          </cell>
          <cell r="AK347" t="str">
            <v>Expreso - Servicios Troncales</v>
          </cell>
          <cell r="AL347" t="str">
            <v>Expreso - Servicios Troncales</v>
          </cell>
          <cell r="AM347" t="str">
            <v>Expreso - Servicios Troncales</v>
          </cell>
          <cell r="AN347" t="str">
            <v>Expreso - Servicios Troncales</v>
          </cell>
          <cell r="AO347" t="str">
            <v>Expreso - Servicios Troncales</v>
          </cell>
          <cell r="AP347" t="str">
            <v>Expreso - Servicios Troncales</v>
          </cell>
          <cell r="AQ347" t="str">
            <v>Expreso - Servicios Troncales</v>
          </cell>
          <cell r="AR347" t="str">
            <v>Expreso - Servicios Troncales</v>
          </cell>
          <cell r="AS347" t="str">
            <v>Expreso - Servicios Troncales</v>
          </cell>
          <cell r="AT347" t="str">
            <v>Expreso - Servicios Troncales</v>
          </cell>
          <cell r="AU347" t="str">
            <v>Expreso - Servicios Troncales</v>
          </cell>
          <cell r="AV347" t="str">
            <v>Expreso - Servicios Troncales</v>
          </cell>
          <cell r="AW347" t="str">
            <v>Expreso - Servicios Troncales</v>
          </cell>
          <cell r="AX347" t="str">
            <v>Expreso - Servicios Troncales</v>
          </cell>
          <cell r="AY347" t="str">
            <v>Expreso - Servicios Troncales</v>
          </cell>
          <cell r="AZ347" t="str">
            <v>Expreso - Servicios Troncales</v>
          </cell>
          <cell r="BA347" t="str">
            <v>Expreso - Servicios Troncales</v>
          </cell>
          <cell r="BB347" t="str">
            <v>Expreso - Servicios Troncales</v>
          </cell>
          <cell r="BC347" t="str">
            <v>Expreso - Servicios Troncales</v>
          </cell>
          <cell r="BD347" t="str">
            <v>Unilever - Unilever de Arg. S.A.</v>
          </cell>
          <cell r="BE347" t="str">
            <v>Expreso - Servicios Troncales</v>
          </cell>
          <cell r="BF347" t="str">
            <v>Expreso - Servicios Troncales</v>
          </cell>
          <cell r="BG347" t="str">
            <v>Expreso - Servicios Troncales</v>
          </cell>
          <cell r="BH347" t="str">
            <v>Expreso - Servicios Troncales</v>
          </cell>
          <cell r="BI347" t="str">
            <v>Expreso - Servicios Troncales</v>
          </cell>
          <cell r="BJ347" t="str">
            <v>Expreso - Servicios Troncales</v>
          </cell>
          <cell r="BK347" t="str">
            <v>Expreso - Servicios Troncales</v>
          </cell>
          <cell r="BL347" t="str">
            <v>Expreso - Servicios Troncales</v>
          </cell>
          <cell r="BM347" t="str">
            <v>Expreso - Servicios Troncales</v>
          </cell>
          <cell r="BN347" t="str">
            <v>Expreso - Servicios Troncales</v>
          </cell>
          <cell r="BO347" t="str">
            <v>Expreso - Servicios Troncales</v>
          </cell>
          <cell r="BP347" t="str">
            <v>Expreso - Servicios Troncales</v>
          </cell>
          <cell r="BQ347" t="str">
            <v>Expreso - Servicios Troncales</v>
          </cell>
          <cell r="BR347" t="str">
            <v>Expreso - Servicios Troncales</v>
          </cell>
          <cell r="BS347" t="str">
            <v>Expreso - Servicios Troncales</v>
          </cell>
          <cell r="BT347" t="str">
            <v>Expreso - Servicios Troncales</v>
          </cell>
          <cell r="BU347" t="str">
            <v>Expreso - Servicios Troncales</v>
          </cell>
          <cell r="BV347" t="str">
            <v>Expreso - Servicios Troncales</v>
          </cell>
          <cell r="BW347" t="str">
            <v>Expreso - Servicios Troncales</v>
          </cell>
          <cell r="BX347" t="str">
            <v>Expreso - Servicios Troncales</v>
          </cell>
          <cell r="BY347" t="str">
            <v>Expreso - Servicios Troncales</v>
          </cell>
          <cell r="BZ347" t="str">
            <v>Expreso - Servicios Troncales</v>
          </cell>
          <cell r="CA347" t="str">
            <v>Expreso - Servicios Troncales</v>
          </cell>
          <cell r="CB347" t="str">
            <v>Expreso - Servicios Troncales</v>
          </cell>
          <cell r="CC347" t="str">
            <v>Expreso - Servicios Troncales</v>
          </cell>
          <cell r="CD347" t="str">
            <v>Expreso - Servicios Troncales</v>
          </cell>
          <cell r="CE347" t="str">
            <v>Expreso - Servicios Troncales</v>
          </cell>
          <cell r="CF347" t="str">
            <v>Expreso - Servicios Troncales</v>
          </cell>
          <cell r="CG347" t="str">
            <v>Expreso - Servicios Troncales</v>
          </cell>
          <cell r="CH347" t="str">
            <v>Expreso - Servicios Troncales</v>
          </cell>
          <cell r="CI347" t="str">
            <v>Expreso - Servicios Troncales</v>
          </cell>
          <cell r="CJ347" t="str">
            <v>Expreso - Servicios Troncales</v>
          </cell>
          <cell r="CK347" t="str">
            <v>Expreso - Servicios Troncales</v>
          </cell>
          <cell r="CL347" t="str">
            <v>Expreso - Servicios Troncales</v>
          </cell>
          <cell r="CM347" t="str">
            <v>Expreso - Servicios Troncales</v>
          </cell>
          <cell r="CN347" t="str">
            <v>Expreso - Servicios Troncales</v>
          </cell>
          <cell r="CO347" t="str">
            <v>Expreso - Servicios Troncales</v>
          </cell>
          <cell r="CP347" t="str">
            <v>Expreso - Servicios Troncales</v>
          </cell>
          <cell r="CQ347" t="str">
            <v>Expreso - Servicios Troncales</v>
          </cell>
          <cell r="CR347" t="str">
            <v>Expreso - Servicios Troncales</v>
          </cell>
          <cell r="CS347" t="str">
            <v>Expreso - Servicios Troncales</v>
          </cell>
          <cell r="CT347" t="str">
            <v>Expreso - Servicios Troncales</v>
          </cell>
          <cell r="CU347" t="str">
            <v>Expreso - Servicios Troncales</v>
          </cell>
          <cell r="CV347" t="str">
            <v>Expreso - Servicios Troncales</v>
          </cell>
          <cell r="CW347" t="str">
            <v>Expreso - Servicios Troncales</v>
          </cell>
        </row>
        <row r="348">
          <cell r="D348" t="str">
            <v>KTC854</v>
          </cell>
          <cell r="E348" t="str">
            <v>Chasis</v>
          </cell>
          <cell r="F348" t="str">
            <v>Chasis</v>
          </cell>
          <cell r="G348" t="str">
            <v>Chasis</v>
          </cell>
          <cell r="N348" t="str">
            <v>TDU</v>
          </cell>
          <cell r="O348" t="str">
            <v>TDU</v>
          </cell>
          <cell r="P348" t="str">
            <v>No</v>
          </cell>
          <cell r="Q348" t="str">
            <v>Propio</v>
          </cell>
          <cell r="R348">
            <v>12</v>
          </cell>
          <cell r="S348" t="str">
            <v>Propio</v>
          </cell>
          <cell r="T348" t="str">
            <v>MERCEDES BENZ</v>
          </cell>
          <cell r="U348" t="str">
            <v>ATEGO 1418/48 FRONTAL</v>
          </cell>
          <cell r="V348" t="str">
            <v>904967U0964858</v>
          </cell>
          <cell r="W348" t="str">
            <v>9BM958034CB816082</v>
          </cell>
          <cell r="X348">
            <v>2011</v>
          </cell>
          <cell r="Y348">
            <v>15</v>
          </cell>
          <cell r="Z348" t="str">
            <v>TDU</v>
          </cell>
          <cell r="AA348" t="str">
            <v>CMQ_TTE - QUILMES TTE</v>
          </cell>
          <cell r="AB348" t="str">
            <v>CMQ_TTE - QUILMES TTE</v>
          </cell>
          <cell r="AC348" t="str">
            <v>CMQ_TTE - QUILMES TTE</v>
          </cell>
          <cell r="AD348" t="str">
            <v>CMQ_TTE - QUILMES TTE</v>
          </cell>
          <cell r="AE348" t="str">
            <v>CMQ_TTE - QUILMES TTE</v>
          </cell>
          <cell r="AF348" t="str">
            <v>CMQ_TTE - QUILMES TTE</v>
          </cell>
          <cell r="AG348" t="str">
            <v>CMQ_TTE - QUILMES TTE</v>
          </cell>
          <cell r="AH348" t="str">
            <v>CMQ_TTE - QUILMES TTE</v>
          </cell>
          <cell r="AI348" t="str">
            <v>CMQ_TTE - QUILMES TTE</v>
          </cell>
          <cell r="AJ348" t="str">
            <v>CMQ_TTE - QUILMES TTE</v>
          </cell>
          <cell r="AK348" t="str">
            <v>CMQ_TTE - QUILMES TTE</v>
          </cell>
          <cell r="AL348" t="str">
            <v>CMQ_TTE - QUILMES TTE</v>
          </cell>
          <cell r="AM348" t="str">
            <v>CMQ_TTE - QUILMES TTE</v>
          </cell>
          <cell r="AN348" t="str">
            <v>CMQ_TTE - QUILMES TTE</v>
          </cell>
          <cell r="AO348" t="str">
            <v>CMQ_TTE - QUILMES TTE</v>
          </cell>
          <cell r="AP348" t="str">
            <v>CMQ_TTE - QUILMES TTE</v>
          </cell>
          <cell r="AQ348" t="str">
            <v>CMQ_TTE - QUILMES TTE</v>
          </cell>
          <cell r="AR348" t="str">
            <v>CMQ_TTE - QUILMES TTE</v>
          </cell>
          <cell r="AS348" t="str">
            <v>CMQ_TTE - QUILMES TTE</v>
          </cell>
          <cell r="AT348" t="str">
            <v>CMQ_TTE - QUILMES TTE</v>
          </cell>
          <cell r="AU348" t="str">
            <v>CMQ_TTE - QUILMES TTE</v>
          </cell>
          <cell r="AV348" t="str">
            <v>CMQ_TTE - QUILMES TTE</v>
          </cell>
          <cell r="AW348" t="str">
            <v>CMQ_TTE - QUILMES TTE</v>
          </cell>
          <cell r="AX348" t="str">
            <v>CMQ_TTE - QUILMES TTE</v>
          </cell>
          <cell r="AY348" t="str">
            <v>CMQ_TTE - QUILMES TTE</v>
          </cell>
          <cell r="AZ348" t="str">
            <v>CMQ_TTE - QUILMES TTE</v>
          </cell>
          <cell r="BA348" t="str">
            <v>CMQ_TTE - QUILMES TTE</v>
          </cell>
          <cell r="BB348" t="str">
            <v>CMQ_TTE - QUILMES TTE</v>
          </cell>
          <cell r="BC348" t="str">
            <v>CMQ_TTE - QUILMES TTE</v>
          </cell>
          <cell r="BD348" t="str">
            <v>CMQ_TTE - QUILMES TTE</v>
          </cell>
          <cell r="BE348" t="str">
            <v>CMQ_TTE - QUILMES TTE</v>
          </cell>
          <cell r="BF348" t="str">
            <v>CMQ_TTE - QUILMES TTE</v>
          </cell>
          <cell r="BG348" t="str">
            <v>CMQ_TTE - QUILMES TTE</v>
          </cell>
          <cell r="BH348" t="str">
            <v>CMQ_TTE - QUILMES TTE</v>
          </cell>
          <cell r="BI348" t="str">
            <v>CMQ_TTE - QUILMES TTE</v>
          </cell>
          <cell r="BJ348" t="str">
            <v>CMQ_TTE - QUILMES TTE</v>
          </cell>
          <cell r="BK348" t="str">
            <v>CMQ_TTE - QUILMES TTE</v>
          </cell>
          <cell r="BL348" t="str">
            <v>CMQ_TTE - QUILMES TTE</v>
          </cell>
          <cell r="BM348" t="str">
            <v>CMQ_TTE - QUILMES TTE</v>
          </cell>
          <cell r="BN348" t="str">
            <v>CMQ_TTE - QUILMES TTE</v>
          </cell>
          <cell r="BO348" t="str">
            <v>CMQ_TTE - QUILMES TTE</v>
          </cell>
          <cell r="BP348" t="str">
            <v>CMQ_TTE - QUILMES TTE</v>
          </cell>
          <cell r="BQ348" t="str">
            <v>CMQ_TTE - QUILMES TTE</v>
          </cell>
          <cell r="BR348" t="str">
            <v>CMQ_TTE - QUILMES TTE</v>
          </cell>
          <cell r="BS348" t="str">
            <v>CMQ_TTE - QUILMES TTE</v>
          </cell>
          <cell r="BT348" t="str">
            <v>CMQ_TTE - QUILMES TTE</v>
          </cell>
          <cell r="BU348" t="str">
            <v>CMQ_TTE - QUILMES TTE</v>
          </cell>
          <cell r="BV348" t="str">
            <v>Sin Operación</v>
          </cell>
          <cell r="BW348" t="str">
            <v>CCUCoAZA</v>
          </cell>
          <cell r="BX348" t="str">
            <v>CCUCoAZA</v>
          </cell>
          <cell r="BY348" t="str">
            <v>CCUCoAZA</v>
          </cell>
          <cell r="BZ348" t="str">
            <v>CCUCoAZA</v>
          </cell>
          <cell r="CA348" t="str">
            <v>CCUCoAZA</v>
          </cell>
          <cell r="CB348" t="str">
            <v>CCUCoAZA</v>
          </cell>
          <cell r="CC348" t="str">
            <v>CCUCoAZA</v>
          </cell>
          <cell r="CD348" t="str">
            <v>CCUCoAZA</v>
          </cell>
          <cell r="CE348" t="str">
            <v>CCUCoAZA</v>
          </cell>
          <cell r="CF348" t="str">
            <v>CCUCoAZA</v>
          </cell>
          <cell r="CG348" t="str">
            <v>CCUCoAZA</v>
          </cell>
          <cell r="CH348" t="str">
            <v>CCUCoAZA</v>
          </cell>
          <cell r="CI348" t="str">
            <v>CCUCoAZA</v>
          </cell>
          <cell r="CJ348" t="str">
            <v>CCUCoAZA</v>
          </cell>
          <cell r="CK348" t="str">
            <v>CCUCoAZA</v>
          </cell>
          <cell r="CL348" t="str">
            <v>CCUCoAZA</v>
          </cell>
          <cell r="CM348" t="str">
            <v>CCUCoAZA</v>
          </cell>
          <cell r="CN348" t="str">
            <v>CCUCoAZA</v>
          </cell>
          <cell r="CO348" t="str">
            <v>CCUCoAZA</v>
          </cell>
          <cell r="CP348" t="str">
            <v>CCUCoAZA</v>
          </cell>
          <cell r="CQ348" t="str">
            <v>CCUCoAZA</v>
          </cell>
          <cell r="CR348" t="str">
            <v>CCUCoAZA</v>
          </cell>
          <cell r="CS348" t="str">
            <v>CCUCoAZA</v>
          </cell>
          <cell r="CT348" t="str">
            <v>CCUCoAZA</v>
          </cell>
          <cell r="CU348" t="str">
            <v>CCUCoAZA</v>
          </cell>
          <cell r="CV348" t="str">
            <v>CCUCoAZA</v>
          </cell>
          <cell r="CW348" t="str">
            <v>CCUCoAZA</v>
          </cell>
        </row>
        <row r="349">
          <cell r="D349" t="str">
            <v>KUF605</v>
          </cell>
          <cell r="E349" t="str">
            <v>Tractor</v>
          </cell>
          <cell r="F349" t="str">
            <v>Tractor</v>
          </cell>
          <cell r="G349" t="str">
            <v>Tractor</v>
          </cell>
          <cell r="N349" t="str">
            <v>Expreso Malargüe S. A.</v>
          </cell>
          <cell r="O349" t="str">
            <v>Expreso Malargüe S. A.</v>
          </cell>
          <cell r="P349" t="str">
            <v>No</v>
          </cell>
          <cell r="Q349" t="str">
            <v>Propio</v>
          </cell>
          <cell r="R349" t="str">
            <v>-</v>
          </cell>
          <cell r="S349" t="str">
            <v>Propio</v>
          </cell>
          <cell r="T349" t="str">
            <v>MERCEDES BENZ</v>
          </cell>
          <cell r="U349" t="str">
            <v>1634</v>
          </cell>
          <cell r="V349" t="str">
            <v>457914U0966122</v>
          </cell>
          <cell r="W349" t="str">
            <v>9BM695053CB829760</v>
          </cell>
          <cell r="X349">
            <v>2011</v>
          </cell>
          <cell r="Y349">
            <v>15</v>
          </cell>
          <cell r="Z349" t="str">
            <v>Malargue</v>
          </cell>
          <cell r="AA349" t="str">
            <v>Expreso - Servicios Troncales</v>
          </cell>
          <cell r="AB349" t="str">
            <v>Expreso - Servicios Troncales</v>
          </cell>
          <cell r="AC349" t="str">
            <v>Expreso - Servicios Troncales</v>
          </cell>
          <cell r="AD349" t="str">
            <v>Expreso - Servicios Troncales</v>
          </cell>
          <cell r="AE349" t="str">
            <v>Expreso - Servicios Troncales</v>
          </cell>
          <cell r="AF349" t="str">
            <v>Expreso - Servicios Troncales</v>
          </cell>
          <cell r="AG349" t="str">
            <v>Expreso - Servicios Troncales</v>
          </cell>
          <cell r="AH349" t="str">
            <v>Expreso - Servicios Troncales</v>
          </cell>
          <cell r="AI349" t="str">
            <v>Expreso - Servicios Troncales</v>
          </cell>
          <cell r="AJ349" t="str">
            <v>Expreso - Servicios Troncales</v>
          </cell>
          <cell r="AK349" t="str">
            <v>Expreso - Servicios Troncales</v>
          </cell>
          <cell r="AL349" t="str">
            <v>Expreso - Servicios Troncales</v>
          </cell>
          <cell r="AM349" t="str">
            <v>Expreso - Servicios Troncales</v>
          </cell>
          <cell r="AN349" t="str">
            <v>Expreso - Servicios Troncales</v>
          </cell>
          <cell r="AO349" t="str">
            <v>Expreso - Servicios Troncales</v>
          </cell>
          <cell r="AP349" t="str">
            <v>Expreso - Servicios Troncales</v>
          </cell>
          <cell r="AQ349" t="str">
            <v>Expreso - Servicios Troncales</v>
          </cell>
          <cell r="AR349" t="str">
            <v>Expreso - Servicios Troncales</v>
          </cell>
          <cell r="AS349" t="str">
            <v>Expreso - Servicios Troncales</v>
          </cell>
          <cell r="AT349" t="str">
            <v>Expreso - Servicios Troncales</v>
          </cell>
          <cell r="AU349" t="str">
            <v>Expreso - Servicios Troncales</v>
          </cell>
          <cell r="AV349" t="str">
            <v>Expreso - Servicios Troncales</v>
          </cell>
          <cell r="AW349" t="str">
            <v>Expreso - Servicios Troncales</v>
          </cell>
          <cell r="AX349" t="str">
            <v>Expreso - Servicios Troncales</v>
          </cell>
          <cell r="AY349" t="str">
            <v>Expreso - Servicios Troncales</v>
          </cell>
          <cell r="AZ349" t="str">
            <v>Expreso - Servicios Troncales</v>
          </cell>
          <cell r="BA349" t="str">
            <v>Expreso - Servicios Troncales</v>
          </cell>
          <cell r="BB349" t="str">
            <v>Expreso - Servicios Troncales</v>
          </cell>
          <cell r="BC349" t="str">
            <v>Expreso - Servicios Troncales</v>
          </cell>
          <cell r="BD349" t="str">
            <v>SUC_SRA - Sucursal San Rafael</v>
          </cell>
          <cell r="BE349" t="str">
            <v>SUC_SRA - Sucursal San Rafael</v>
          </cell>
          <cell r="BF349" t="str">
            <v>SUC_SRA - Sucursal San Rafael</v>
          </cell>
          <cell r="BG349" t="str">
            <v>SUC_SRA - Sucursal San Rafael</v>
          </cell>
          <cell r="BH349" t="str">
            <v>SUC_SRA - Sucursal San Rafael</v>
          </cell>
          <cell r="BI349" t="str">
            <v>SUC_SRA - Sucursal San Rafael</v>
          </cell>
          <cell r="BJ349" t="str">
            <v>SUC_SRA - Sucursal San Rafael</v>
          </cell>
          <cell r="BK349" t="str">
            <v>SUC_SRA - Sucursal San Rafael</v>
          </cell>
          <cell r="BL349" t="str">
            <v>SUC_SRA - Sucursal San Rafael</v>
          </cell>
          <cell r="BM349" t="str">
            <v>SUC_SRA - Sucursal San Rafael</v>
          </cell>
          <cell r="BN349" t="str">
            <v>SUC_SRA - Sucursal San Rafael</v>
          </cell>
          <cell r="BO349" t="str">
            <v>SUC_SRA - Sucursal San Rafael</v>
          </cell>
          <cell r="BP349" t="str">
            <v>SUC_SRA - Sucursal San Rafael</v>
          </cell>
          <cell r="BQ349" t="str">
            <v>Expreso - Servicios Troncales</v>
          </cell>
          <cell r="BR349" t="str">
            <v>Expreso - Servicios Troncales</v>
          </cell>
          <cell r="BS349" t="str">
            <v>Expreso - Servicios Troncales</v>
          </cell>
          <cell r="BT349" t="str">
            <v>Expreso - Servicios Troncales</v>
          </cell>
          <cell r="BU349" t="str">
            <v>Expreso - Servicios Troncales</v>
          </cell>
          <cell r="BV349" t="str">
            <v>Expreso - Servicios Troncales</v>
          </cell>
          <cell r="BW349" t="str">
            <v>Expreso - Servicios Troncales</v>
          </cell>
          <cell r="BX349" t="str">
            <v>Expreso - Servicios Troncales</v>
          </cell>
          <cell r="BY349" t="str">
            <v>Expreso - Servicios Troncales</v>
          </cell>
          <cell r="BZ349" t="str">
            <v>Expreso - Servicios Troncales</v>
          </cell>
          <cell r="CA349" t="str">
            <v>Expreso - Servicios Troncales</v>
          </cell>
          <cell r="CB349" t="str">
            <v>Expreso - Servicios Troncales</v>
          </cell>
          <cell r="CC349" t="str">
            <v>Expreso - Servicios Troncales</v>
          </cell>
          <cell r="CD349" t="str">
            <v>Expreso - Servicios Troncales</v>
          </cell>
          <cell r="CE349" t="str">
            <v>Expreso - Servicios Troncales</v>
          </cell>
          <cell r="CF349" t="str">
            <v>Expreso - Servicios Troncales</v>
          </cell>
          <cell r="CG349" t="str">
            <v>Expreso - Servicios Troncales</v>
          </cell>
          <cell r="CH349" t="str">
            <v>Expreso - Servicios Troncales</v>
          </cell>
          <cell r="CI349" t="str">
            <v>Expreso - Servicios Troncales</v>
          </cell>
          <cell r="CJ349" t="str">
            <v>Expreso - Servicios Troncales</v>
          </cell>
          <cell r="CK349" t="str">
            <v>Expreso - Servicios Troncales</v>
          </cell>
          <cell r="CL349" t="str">
            <v>Expreso - Servicios Troncales</v>
          </cell>
          <cell r="CM349" t="str">
            <v>Expreso - Servicios Troncales</v>
          </cell>
          <cell r="CN349" t="str">
            <v>Expreso - Servicios Troncales</v>
          </cell>
          <cell r="CO349" t="str">
            <v>Expreso - Servicios Troncales</v>
          </cell>
          <cell r="CP349" t="str">
            <v>Expreso - Servicios Troncales</v>
          </cell>
          <cell r="CQ349" t="str">
            <v>Expreso - Servicios Troncales</v>
          </cell>
          <cell r="CR349" t="str">
            <v>Expreso - Servicios Troncales</v>
          </cell>
          <cell r="CS349" t="str">
            <v>Expreso - Servicios Troncales</v>
          </cell>
          <cell r="CT349" t="str">
            <v>Expreso - Servicios Troncales</v>
          </cell>
          <cell r="CU349" t="str">
            <v>Expreso - Servicios Troncales</v>
          </cell>
          <cell r="CV349" t="str">
            <v>Expreso - Servicios Troncales</v>
          </cell>
          <cell r="CW349" t="str">
            <v>Expreso - Servicios Troncales</v>
          </cell>
        </row>
        <row r="350">
          <cell r="D350" t="str">
            <v>KUF606</v>
          </cell>
          <cell r="E350" t="str">
            <v>Tractor</v>
          </cell>
          <cell r="F350" t="str">
            <v>Tractor</v>
          </cell>
          <cell r="G350" t="str">
            <v>Tractor</v>
          </cell>
          <cell r="N350" t="str">
            <v>Expreso Malargüe S. A.</v>
          </cell>
          <cell r="O350" t="str">
            <v>Expreso Malargüe S. A.</v>
          </cell>
          <cell r="P350" t="str">
            <v>No</v>
          </cell>
          <cell r="Q350" t="str">
            <v>Propio</v>
          </cell>
          <cell r="R350" t="str">
            <v>-</v>
          </cell>
          <cell r="S350" t="str">
            <v>Propio</v>
          </cell>
          <cell r="T350" t="str">
            <v>MERCEDES BENZ</v>
          </cell>
          <cell r="U350" t="str">
            <v>AXOR 1933-36 S</v>
          </cell>
          <cell r="V350" t="str">
            <v>926921U0972451</v>
          </cell>
          <cell r="W350" t="str">
            <v>9BM958207CB824827</v>
          </cell>
          <cell r="X350">
            <v>2011</v>
          </cell>
          <cell r="Y350">
            <v>15</v>
          </cell>
          <cell r="Z350" t="str">
            <v>Malargue</v>
          </cell>
          <cell r="AA350" t="str">
            <v>Expreso - Servicios Troncales</v>
          </cell>
          <cell r="AB350" t="str">
            <v>Expreso - Servicios Troncales</v>
          </cell>
          <cell r="AC350" t="str">
            <v>Expreso - Servicios Troncales</v>
          </cell>
          <cell r="AD350" t="str">
            <v>Expreso - Servicios Troncales</v>
          </cell>
          <cell r="AE350" t="str">
            <v>Expreso - Servicios Troncales</v>
          </cell>
          <cell r="AF350" t="str">
            <v>Expreso - Servicios Troncales</v>
          </cell>
          <cell r="AG350" t="str">
            <v>Expreso - Servicios Troncales</v>
          </cell>
          <cell r="AH350" t="str">
            <v>Expreso - Servicios Troncales</v>
          </cell>
          <cell r="AI350" t="str">
            <v>Expreso - Servicios Troncales</v>
          </cell>
          <cell r="AJ350" t="str">
            <v>Expreso - Servicios Troncales</v>
          </cell>
          <cell r="AK350" t="str">
            <v>Expreso - Servicios Troncales</v>
          </cell>
          <cell r="AL350" t="str">
            <v>Expreso - Servicios Troncales</v>
          </cell>
          <cell r="AM350" t="str">
            <v>Expreso - Servicios Troncales</v>
          </cell>
          <cell r="AN350" t="str">
            <v>Expreso - Servicios Troncales</v>
          </cell>
          <cell r="AO350" t="str">
            <v>Expreso - Servicios Troncales</v>
          </cell>
          <cell r="AP350" t="str">
            <v>Expreso - Servicios Troncales</v>
          </cell>
          <cell r="AQ350" t="str">
            <v>Expreso - Servicios Troncales</v>
          </cell>
          <cell r="AR350" t="str">
            <v>Expreso - Servicios Troncales</v>
          </cell>
          <cell r="AS350" t="str">
            <v>Expreso - Servicios Troncales</v>
          </cell>
          <cell r="AT350" t="str">
            <v>Expreso - Servicios Troncales</v>
          </cell>
          <cell r="AU350" t="str">
            <v>Expreso - Servicios Troncales</v>
          </cell>
          <cell r="AV350" t="str">
            <v>Expreso - Servicios Troncales</v>
          </cell>
          <cell r="AW350" t="str">
            <v>Expreso - Servicios Troncales</v>
          </cell>
          <cell r="AX350" t="str">
            <v>Expreso - Servicios Troncales</v>
          </cell>
          <cell r="AY350" t="str">
            <v>Expreso - Servicios Troncales</v>
          </cell>
          <cell r="AZ350" t="str">
            <v>Expreso - Servicios Troncales</v>
          </cell>
          <cell r="BA350" t="str">
            <v>Expreso - Servicios Troncales</v>
          </cell>
          <cell r="BB350" t="str">
            <v>Expreso - Servicios Troncales</v>
          </cell>
          <cell r="BC350" t="str">
            <v>Expreso - Servicios Troncales</v>
          </cell>
          <cell r="BD350" t="str">
            <v>SUC_SRA - Sucursal San Rafael</v>
          </cell>
          <cell r="BE350" t="str">
            <v>SUC_SRA - Sucursal San Rafael</v>
          </cell>
          <cell r="BF350" t="str">
            <v>SUC_SRA - Sucursal San Rafael</v>
          </cell>
          <cell r="BG350" t="str">
            <v>SUC_SRA - Sucursal San Rafael</v>
          </cell>
          <cell r="BH350" t="str">
            <v>SUC_SRA - Sucursal San Rafael</v>
          </cell>
          <cell r="BI350" t="str">
            <v>SUC_SRA - Sucursal San Rafael</v>
          </cell>
          <cell r="BJ350" t="str">
            <v>SUC_SRA - Sucursal San Rafael</v>
          </cell>
          <cell r="BK350" t="str">
            <v>SUC_SRA - Sucursal San Rafael</v>
          </cell>
          <cell r="BL350" t="str">
            <v>SUC_SRA - Sucursal San Rafael</v>
          </cell>
          <cell r="BM350" t="str">
            <v>SUC_SRA - Sucursal San Rafael</v>
          </cell>
          <cell r="BN350" t="str">
            <v>SUC_SRA - Sucursal San Rafael</v>
          </cell>
          <cell r="BO350" t="str">
            <v>SUC_SRA - Sucursal San Rafael</v>
          </cell>
          <cell r="BP350" t="str">
            <v>SUC_SRA - Sucursal San Rafael</v>
          </cell>
          <cell r="BQ350" t="str">
            <v>Expreso - Servicios Troncales</v>
          </cell>
          <cell r="BR350" t="str">
            <v>Expreso - Servicios Troncales</v>
          </cell>
          <cell r="BS350" t="str">
            <v>Expreso - Servicios Troncales</v>
          </cell>
          <cell r="BT350" t="str">
            <v>Expreso - Servicios Troncales</v>
          </cell>
          <cell r="BU350" t="str">
            <v>Expreso - Servicios Troncales</v>
          </cell>
          <cell r="BV350" t="str">
            <v>Expreso - Servicios Troncales</v>
          </cell>
          <cell r="BW350" t="str">
            <v>Expreso - Servicios Troncales</v>
          </cell>
          <cell r="BX350" t="str">
            <v>Expreso - Servicios Troncales</v>
          </cell>
          <cell r="BY350" t="str">
            <v>Expreso - Servicios Troncales</v>
          </cell>
          <cell r="BZ350" t="str">
            <v>Expreso - Servicios Troncales</v>
          </cell>
          <cell r="CA350" t="str">
            <v>Expreso - Servicios Troncales</v>
          </cell>
          <cell r="CB350" t="str">
            <v>Expreso - Servicios Troncales</v>
          </cell>
          <cell r="CC350" t="str">
            <v>Expreso - Servicios Troncales</v>
          </cell>
          <cell r="CD350" t="str">
            <v>Expreso - Servicios Troncales</v>
          </cell>
          <cell r="CE350" t="str">
            <v>Expreso - Servicios Troncales</v>
          </cell>
          <cell r="CF350" t="str">
            <v>Expreso - Servicios Troncales</v>
          </cell>
          <cell r="CG350" t="str">
            <v>Expreso - Servicios Troncales</v>
          </cell>
          <cell r="CH350" t="str">
            <v>Expreso - Servicios Troncales</v>
          </cell>
          <cell r="CI350" t="str">
            <v>Expreso - Servicios Troncales</v>
          </cell>
          <cell r="CJ350" t="str">
            <v>Expreso - Servicios Troncales</v>
          </cell>
          <cell r="CK350" t="str">
            <v>Expreso - Servicios Troncales</v>
          </cell>
          <cell r="CL350" t="str">
            <v>Expreso - Servicios Troncales</v>
          </cell>
          <cell r="CM350" t="str">
            <v>Expreso - Servicios Troncales</v>
          </cell>
          <cell r="CN350" t="str">
            <v>Expreso - Servicios Troncales</v>
          </cell>
          <cell r="CO350" t="str">
            <v>Expreso - Servicios Troncales</v>
          </cell>
          <cell r="CP350" t="str">
            <v>Expreso - Servicios Troncales</v>
          </cell>
          <cell r="CQ350" t="str">
            <v>Expreso - Servicios Troncales</v>
          </cell>
          <cell r="CR350" t="str">
            <v>Expreso - Servicios Troncales</v>
          </cell>
          <cell r="CS350" t="str">
            <v>Expreso - Servicios Troncales</v>
          </cell>
          <cell r="CT350" t="str">
            <v>Expreso - Servicios Troncales</v>
          </cell>
          <cell r="CU350" t="str">
            <v>Expreso - Servicios Troncales</v>
          </cell>
          <cell r="CV350" t="str">
            <v>Expreso - Servicios Troncales</v>
          </cell>
          <cell r="CW350" t="str">
            <v>Expreso - Servicios Troncales</v>
          </cell>
        </row>
        <row r="351">
          <cell r="D351" t="str">
            <v>KUF609</v>
          </cell>
          <cell r="E351" t="str">
            <v>Tractor</v>
          </cell>
          <cell r="F351" t="str">
            <v>Tractor</v>
          </cell>
          <cell r="G351" t="str">
            <v>Tractor</v>
          </cell>
          <cell r="N351" t="str">
            <v>Expreso Malargüe S. A.</v>
          </cell>
          <cell r="O351" t="str">
            <v>Expreso Malargüe S. A.</v>
          </cell>
          <cell r="P351" t="str">
            <v>No</v>
          </cell>
          <cell r="Q351" t="str">
            <v>Propio</v>
          </cell>
          <cell r="R351" t="str">
            <v>-</v>
          </cell>
          <cell r="S351" t="str">
            <v>Propio</v>
          </cell>
          <cell r="T351" t="str">
            <v>MERCEDES BENZ</v>
          </cell>
          <cell r="U351" t="str">
            <v>AXOR 1933-36 S</v>
          </cell>
          <cell r="V351" t="str">
            <v>926921U0976605</v>
          </cell>
          <cell r="W351" t="str">
            <v>9BM958207CB829935</v>
          </cell>
          <cell r="X351">
            <v>2011</v>
          </cell>
          <cell r="Y351">
            <v>15</v>
          </cell>
          <cell r="Z351" t="str">
            <v>Malargue</v>
          </cell>
          <cell r="AA351" t="str">
            <v>Expreso - Servicios Troncales</v>
          </cell>
          <cell r="AB351" t="str">
            <v>Expreso - Servicios Troncales</v>
          </cell>
          <cell r="AC351" t="str">
            <v>Expreso - Servicios Troncales</v>
          </cell>
          <cell r="AD351" t="str">
            <v>Expreso - Servicios Troncales</v>
          </cell>
          <cell r="AE351" t="str">
            <v>Expreso - Servicios Troncales</v>
          </cell>
          <cell r="AF351" t="str">
            <v>Expreso - Servicios Troncales</v>
          </cell>
          <cell r="AG351" t="str">
            <v>Expreso - Servicios Troncales</v>
          </cell>
          <cell r="AH351" t="str">
            <v>Expreso - Servicios Troncales</v>
          </cell>
          <cell r="AI351" t="str">
            <v>Expreso - Servicios Troncales</v>
          </cell>
          <cell r="AJ351" t="str">
            <v>Expreso - Servicios Troncales</v>
          </cell>
          <cell r="AK351" t="str">
            <v>Expreso - Servicios Troncales</v>
          </cell>
          <cell r="AL351" t="str">
            <v>Expreso - Servicios Troncales</v>
          </cell>
          <cell r="AM351" t="str">
            <v>Expreso - Servicios Troncales</v>
          </cell>
          <cell r="AN351" t="str">
            <v>Expreso - Servicios Troncales</v>
          </cell>
          <cell r="AO351" t="str">
            <v>Expreso - Servicios Troncales</v>
          </cell>
          <cell r="AP351" t="str">
            <v>Expreso - Servicios Troncales</v>
          </cell>
          <cell r="AQ351" t="str">
            <v>Expreso - Servicios Troncales</v>
          </cell>
          <cell r="AR351" t="str">
            <v>Expreso - Servicios Troncales</v>
          </cell>
          <cell r="AS351" t="str">
            <v>Expreso - Servicios Troncales</v>
          </cell>
          <cell r="AT351" t="str">
            <v>Expreso - Servicios Troncales</v>
          </cell>
          <cell r="AU351" t="str">
            <v>Expreso - Servicios Troncales</v>
          </cell>
          <cell r="AV351" t="str">
            <v>Expreso - Servicios Troncales</v>
          </cell>
          <cell r="AW351" t="str">
            <v>Expreso - Servicios Troncales</v>
          </cell>
          <cell r="AX351" t="str">
            <v>Expreso - Servicios Troncales</v>
          </cell>
          <cell r="AY351" t="str">
            <v>Expreso - Servicios Troncales</v>
          </cell>
          <cell r="AZ351" t="str">
            <v>Expreso - Servicios Troncales</v>
          </cell>
          <cell r="BA351" t="str">
            <v>Expreso - Servicios Troncales</v>
          </cell>
          <cell r="BB351" t="str">
            <v>Expreso - Servicios Troncales</v>
          </cell>
          <cell r="BC351" t="str">
            <v>Expreso - Servicios Troncales</v>
          </cell>
          <cell r="BD351" t="str">
            <v>SUC_SRA - Sucursal San Rafael</v>
          </cell>
          <cell r="BE351" t="str">
            <v>SUC_SRA - Sucursal San Rafael</v>
          </cell>
          <cell r="BF351" t="str">
            <v>SUC_SRA - Sucursal San Rafael</v>
          </cell>
          <cell r="BG351" t="str">
            <v>SUC_SRA - Sucursal San Rafael</v>
          </cell>
          <cell r="BH351" t="str">
            <v>SUC_SRA - Sucursal San Rafael</v>
          </cell>
          <cell r="BI351" t="str">
            <v>SUC_SRA - Sucursal San Rafael</v>
          </cell>
          <cell r="BJ351" t="str">
            <v>SUC_SRA - Sucursal San Rafael</v>
          </cell>
          <cell r="BK351" t="str">
            <v>SUC_SRA - Sucursal San Rafael</v>
          </cell>
          <cell r="BL351" t="str">
            <v>SUC_SRA - Sucursal San Rafael</v>
          </cell>
          <cell r="BM351" t="str">
            <v>SUC_SRA - Sucursal San Rafael</v>
          </cell>
          <cell r="BN351" t="str">
            <v>SUC_SRA - Sucursal San Rafael</v>
          </cell>
          <cell r="BO351" t="str">
            <v>SUC_SRA - Sucursal San Rafael</v>
          </cell>
          <cell r="BP351" t="str">
            <v>SUC_SRA - Sucursal San Rafael</v>
          </cell>
          <cell r="BQ351" t="str">
            <v>Expreso - Servicios Troncales</v>
          </cell>
          <cell r="BR351" t="str">
            <v>Expreso - Servicios Troncales</v>
          </cell>
          <cell r="BS351" t="str">
            <v>Expreso - Servicios Troncales</v>
          </cell>
          <cell r="BT351" t="str">
            <v>Expreso - Servicios Troncales</v>
          </cell>
          <cell r="BU351" t="str">
            <v>Expreso - Servicios Troncales</v>
          </cell>
          <cell r="BV351" t="str">
            <v>Expreso - Servicios Troncales</v>
          </cell>
          <cell r="BW351" t="str">
            <v>Expreso - Servicios Troncales</v>
          </cell>
          <cell r="BX351" t="str">
            <v>Expreso - Servicios Troncales</v>
          </cell>
          <cell r="BY351" t="str">
            <v>Expreso - Servicios Troncales</v>
          </cell>
          <cell r="BZ351" t="str">
            <v>Expreso - Servicios Troncales</v>
          </cell>
          <cell r="CA351" t="str">
            <v>Expreso - Servicios Troncales</v>
          </cell>
          <cell r="CB351" t="str">
            <v>Expreso - Servicios Troncales</v>
          </cell>
          <cell r="CC351" t="str">
            <v>Expreso - Servicios Troncales</v>
          </cell>
          <cell r="CD351" t="str">
            <v>Expreso - Servicios Troncales</v>
          </cell>
          <cell r="CE351" t="str">
            <v>Expreso - Servicios Troncales</v>
          </cell>
          <cell r="CF351" t="str">
            <v>Expreso - Servicios Troncales</v>
          </cell>
          <cell r="CG351" t="str">
            <v>Expreso - Servicios Troncales</v>
          </cell>
          <cell r="CH351" t="str">
            <v>Expreso - Servicios Troncales</v>
          </cell>
          <cell r="CI351" t="str">
            <v>Expreso - Servicios Troncales</v>
          </cell>
          <cell r="CJ351" t="str">
            <v>Expreso - Servicios Troncales</v>
          </cell>
          <cell r="CK351" t="str">
            <v>Expreso - Servicios Troncales</v>
          </cell>
          <cell r="CL351" t="str">
            <v>Expreso - Servicios Troncales</v>
          </cell>
          <cell r="CM351" t="str">
            <v>Expreso - Servicios Troncales</v>
          </cell>
          <cell r="CN351" t="str">
            <v>Expreso - Servicios Troncales</v>
          </cell>
          <cell r="CO351" t="str">
            <v>Expreso - Servicios Troncales</v>
          </cell>
          <cell r="CP351" t="str">
            <v>Expreso - Servicios Troncales</v>
          </cell>
          <cell r="CQ351" t="str">
            <v>Expreso - Servicios Troncales</v>
          </cell>
          <cell r="CR351" t="str">
            <v>Expreso - Servicios Troncales</v>
          </cell>
          <cell r="CS351" t="str">
            <v>Expreso - Servicios Troncales</v>
          </cell>
          <cell r="CT351" t="str">
            <v>Expreso - Servicios Troncales</v>
          </cell>
          <cell r="CU351" t="str">
            <v>Expreso - Servicios Troncales</v>
          </cell>
          <cell r="CV351" t="str">
            <v>Expreso - Servicios Troncales</v>
          </cell>
          <cell r="CW351" t="str">
            <v>Expreso - Servicios Troncales</v>
          </cell>
        </row>
        <row r="352">
          <cell r="D352" t="str">
            <v>KVP166</v>
          </cell>
          <cell r="E352" t="str">
            <v>Semi frío</v>
          </cell>
          <cell r="F352" t="str">
            <v>Semiremolque</v>
          </cell>
          <cell r="G352" t="str">
            <v>Semiremolque Termico Carnicero 14,5m 28P</v>
          </cell>
          <cell r="N352" t="str">
            <v>CODYLSA</v>
          </cell>
          <cell r="O352" t="str">
            <v>CODYLSA</v>
          </cell>
          <cell r="P352" t="str">
            <v>No</v>
          </cell>
          <cell r="Q352" t="str">
            <v>Propio</v>
          </cell>
          <cell r="R352">
            <v>28</v>
          </cell>
          <cell r="S352" t="str">
            <v>Propio</v>
          </cell>
          <cell r="T352" t="str">
            <v>AST-PRA</v>
          </cell>
          <cell r="U352" t="str">
            <v>FTHDCFW3</v>
          </cell>
          <cell r="V352">
            <v>0</v>
          </cell>
          <cell r="W352" t="str">
            <v>8E9298770BS238123</v>
          </cell>
          <cell r="X352">
            <v>2012</v>
          </cell>
          <cell r="Y352">
            <v>14</v>
          </cell>
          <cell r="Z352" t="str">
            <v>Jumbo Mendoza</v>
          </cell>
          <cell r="AA352" t="str">
            <v>CENCO_MZ - Cencosud SA - Mendoza</v>
          </cell>
          <cell r="AB352" t="str">
            <v>CENCO_MZ - Cencosud SA - Mendoza</v>
          </cell>
          <cell r="AC352" t="str">
            <v>CENCO_MZ - Cencosud SA - Mendoza</v>
          </cell>
          <cell r="AD352" t="str">
            <v>CENCO_MZ - Cencosud SA - Mendoza</v>
          </cell>
          <cell r="AE352" t="str">
            <v>CENCO_MZ - Cencosud SA - Mendoza</v>
          </cell>
          <cell r="AF352" t="str">
            <v>CENCO_MZ - Cencosud SA - Mendoza</v>
          </cell>
          <cell r="AG352" t="str">
            <v>CENCO_MZ - Cencosud SA - Mendoza</v>
          </cell>
          <cell r="AH352" t="str">
            <v>CENCO_MZ - Cencosud SA - Mendoza</v>
          </cell>
          <cell r="AI352" t="str">
            <v>CENCO_MZ - Cencosud SA - Mendoza</v>
          </cell>
          <cell r="AJ352" t="str">
            <v>CENCO_MZ - Cencosud SA - Mendoza</v>
          </cell>
          <cell r="AK352" t="str">
            <v>CENCO_MZ - Cencosud SA - Mendoza</v>
          </cell>
          <cell r="AL352" t="str">
            <v>CENCO_MZ - Cencosud SA - Mendoza</v>
          </cell>
          <cell r="AM352" t="str">
            <v>CENCO_MZ - Cencosud SA - Mendoza</v>
          </cell>
          <cell r="AN352" t="str">
            <v>CENCO_MZ - Cencosud SA - Mendoza</v>
          </cell>
          <cell r="AO352" t="str">
            <v>CENCO_MZ - Cencosud SA - Mendoza</v>
          </cell>
          <cell r="AP352" t="str">
            <v>CENCO_MZ - Cencosud SA - Mendoza</v>
          </cell>
          <cell r="AQ352" t="str">
            <v>CENCO_MZ - Cencosud SA - Mendoza</v>
          </cell>
          <cell r="AR352" t="str">
            <v>CENCO_MZ - Cencosud SA - Mendoza</v>
          </cell>
          <cell r="AS352" t="str">
            <v>CENCO_MZ - Cencosud SA - Mendoza</v>
          </cell>
          <cell r="AT352" t="str">
            <v>CENCO_MZ - Cencosud SA - Mendoza</v>
          </cell>
          <cell r="AU352" t="str">
            <v>CENCO_MZ - Cencosud SA - Mendoza</v>
          </cell>
          <cell r="AV352" t="str">
            <v>CENCO_MZ - Cencosud SA - Mendoza</v>
          </cell>
          <cell r="AW352" t="str">
            <v>CENCO_MZ - Cencosud SA - Mendoza</v>
          </cell>
          <cell r="AX352" t="str">
            <v>CENCO_MZ - Cencosud SA - Mendoza</v>
          </cell>
          <cell r="AY352" t="str">
            <v>CENCO_MZ - Cencosud SA - Mendoza</v>
          </cell>
          <cell r="AZ352" t="str">
            <v>CENCO_MZ - Cencosud SA - Mendoza</v>
          </cell>
          <cell r="BA352" t="str">
            <v>CENCO_MZ - Cencosud SA - Mendoza</v>
          </cell>
          <cell r="BB352" t="str">
            <v>CENCO_MZ - Cencosud SA - Mendoza</v>
          </cell>
          <cell r="BC352" t="str">
            <v>CENCO_MZ - Cencosud SA - Mendoza</v>
          </cell>
          <cell r="BD352" t="str">
            <v>CENCO_MZ - Cencosud SA - Mendoza</v>
          </cell>
          <cell r="BE352" t="str">
            <v>CENCO_MZ - Cencosud SA - Mendoza</v>
          </cell>
          <cell r="BF352" t="str">
            <v>CENCO_MZ - Cencosud SA - Mendoza</v>
          </cell>
          <cell r="BG352" t="str">
            <v>CENCO_MZ - Cencosud SA - Mendoza</v>
          </cell>
          <cell r="BH352" t="str">
            <v>CENCO_MZ - Cencosud SA - Mendoza</v>
          </cell>
          <cell r="BI352" t="str">
            <v>CENCO_MZ - Cencosud SA - Mendoza</v>
          </cell>
          <cell r="BJ352" t="str">
            <v>CENCO_MZ - Cencosud SA - Mendoza</v>
          </cell>
          <cell r="BK352" t="str">
            <v>CENCO_MZ - Cencosud SA - Mendoza</v>
          </cell>
          <cell r="BL352" t="str">
            <v>CENCO_MZ - Cencosud SA - Mendoza</v>
          </cell>
          <cell r="BM352" t="str">
            <v>CENCO_MZ - Cencosud SA - Mendoza</v>
          </cell>
          <cell r="BN352" t="str">
            <v>CENCOMLD - Cencosud SA - Mendoza</v>
          </cell>
          <cell r="BO352" t="str">
            <v>CENCOMLD - Cencosud SA - Mendoza</v>
          </cell>
          <cell r="BP352" t="str">
            <v>CENCOMLD - Cencosud SA - Mendoza</v>
          </cell>
          <cell r="BQ352" t="str">
            <v>CENCOMLD - Cencosud SA - Mendoza</v>
          </cell>
          <cell r="BR352" t="str">
            <v>CENCOMLD - Cencosud SA - Mendoza</v>
          </cell>
          <cell r="BS352" t="str">
            <v>CENCOMLD - Cencosud SA - Mendoza</v>
          </cell>
          <cell r="BT352" t="str">
            <v>CENCOMLD - Cencosud SA - Mendoza</v>
          </cell>
          <cell r="BU352" t="str">
            <v>CENCOMLD - Cencosud SA - Mendoza</v>
          </cell>
          <cell r="BV352" t="str">
            <v>CENCOMLD - Cencosud SA - Mendoza</v>
          </cell>
          <cell r="BW352" t="str">
            <v>CENCOMLD - Cencosud SA - Mendoza</v>
          </cell>
          <cell r="BX352" t="str">
            <v>Arcor S.A.I.C.</v>
          </cell>
          <cell r="BY352" t="str">
            <v>Arcor S.A.I.C.</v>
          </cell>
          <cell r="BZ352" t="str">
            <v>Arcor S.A.I.C.</v>
          </cell>
          <cell r="CA352" t="str">
            <v>Arcor S.A.I.C.</v>
          </cell>
          <cell r="CB352" t="str">
            <v>Arcor S.A.I.C.</v>
          </cell>
          <cell r="CC352" t="str">
            <v>Arcor S.A.I.C.</v>
          </cell>
          <cell r="CD352" t="str">
            <v>Arcor S.A.I.C.</v>
          </cell>
          <cell r="CE352" t="str">
            <v>Arcor S.A.I.C.</v>
          </cell>
          <cell r="CF352" t="str">
            <v>Arcor S.A.I.C.</v>
          </cell>
          <cell r="CG352" t="str">
            <v>Arcor S.A.I.C.</v>
          </cell>
          <cell r="CH352" t="str">
            <v>Arcor S.A.I.C.</v>
          </cell>
          <cell r="CI352" t="str">
            <v>Arcor S.A.I.C.</v>
          </cell>
          <cell r="CJ352" t="str">
            <v>Arcor S.A.I.C.</v>
          </cell>
          <cell r="CK352" t="str">
            <v>Arcor S.A.I.C.</v>
          </cell>
          <cell r="CL352" t="str">
            <v>Arcor S.A.I.C.</v>
          </cell>
          <cell r="CM352" t="str">
            <v>Arcor S.A.I.C.</v>
          </cell>
          <cell r="CN352" t="str">
            <v>Arcor S.A.I.C.</v>
          </cell>
          <cell r="CO352" t="str">
            <v>Arcor S.A.I.C.</v>
          </cell>
          <cell r="CP352" t="str">
            <v>Arcor S.A.I.C.</v>
          </cell>
          <cell r="CQ352" t="str">
            <v>Arcor S.A.I.C.</v>
          </cell>
          <cell r="CR352" t="str">
            <v>Arcor S.A.I.C.</v>
          </cell>
          <cell r="CS352" t="str">
            <v>Arcor S.A.I.C.</v>
          </cell>
          <cell r="CT352" t="str">
            <v>Arcor S.A.I.C.</v>
          </cell>
          <cell r="CU352" t="str">
            <v>Arcor S.A.I.C.</v>
          </cell>
          <cell r="CV352" t="str">
            <v>Arcor S.A.I.C.</v>
          </cell>
          <cell r="CW352" t="str">
            <v>Arcor S.A.I.C.</v>
          </cell>
        </row>
        <row r="353">
          <cell r="D353" t="str">
            <v>LAQ225</v>
          </cell>
          <cell r="E353" t="str">
            <v>Chasis</v>
          </cell>
          <cell r="F353">
            <v>0</v>
          </cell>
          <cell r="G353" t="str">
            <v>Chasis</v>
          </cell>
          <cell r="N353" t="str">
            <v>SIERRA JULIO JORGE</v>
          </cell>
          <cell r="O353" t="str">
            <v>SIERRA JULIO JORGE</v>
          </cell>
          <cell r="P353" t="str">
            <v>No</v>
          </cell>
          <cell r="Q353" t="str">
            <v>De Tercero</v>
          </cell>
          <cell r="R353" t="str">
            <v>-</v>
          </cell>
          <cell r="S353" t="str">
            <v>De Tercero</v>
          </cell>
          <cell r="T353" t="str">
            <v>MERCEDES BENZ</v>
          </cell>
          <cell r="U353" t="str">
            <v>1720/48</v>
          </cell>
          <cell r="V353">
            <v>2012</v>
          </cell>
          <cell r="W353">
            <v>14</v>
          </cell>
          <cell r="X353">
            <v>2012</v>
          </cell>
          <cell r="Y353">
            <v>14</v>
          </cell>
          <cell r="Z353" t="str">
            <v>TDU</v>
          </cell>
          <cell r="AA353" t="str">
            <v>CMQ_TTE - QUILMES TTE</v>
          </cell>
          <cell r="AB353" t="str">
            <v>CMQ_TTE - QUILMES TTE</v>
          </cell>
          <cell r="AC353" t="str">
            <v>CMQ_TTE - QUILMES TTE</v>
          </cell>
          <cell r="AD353" t="str">
            <v>CMQ_TTE - QUILMES TTE</v>
          </cell>
          <cell r="AE353" t="str">
            <v>CMQ_TTE - QUILMES TTE</v>
          </cell>
          <cell r="AF353" t="str">
            <v>CMQ_TTE - QUILMES TTE</v>
          </cell>
          <cell r="AG353" t="str">
            <v>CMQ_TTE - QUILMES TTE</v>
          </cell>
          <cell r="AH353" t="str">
            <v>CMQ_TTE - QUILMES TTE</v>
          </cell>
          <cell r="AI353" t="str">
            <v>CMQ_TTE - QUILMES TTE</v>
          </cell>
          <cell r="AJ353" t="str">
            <v>CMQ_TTE - QUILMES TTE</v>
          </cell>
          <cell r="AK353" t="str">
            <v>CMQ_TTE - QUILMES TTE</v>
          </cell>
          <cell r="AL353" t="str">
            <v>CMQ_TTE - QUILMES TTE</v>
          </cell>
          <cell r="AM353" t="str">
            <v>CMQ_TTE - QUILMES TTE</v>
          </cell>
          <cell r="AN353" t="str">
            <v>CMQ_TTE - QUILMES TTE</v>
          </cell>
          <cell r="AO353" t="str">
            <v>CMQ_TTE - QUILMES TTE</v>
          </cell>
          <cell r="AP353" t="str">
            <v>CMQ_TTE - QUILMES TTE</v>
          </cell>
          <cell r="AQ353" t="str">
            <v>CMQ_TTE - QUILMES TTE</v>
          </cell>
          <cell r="AR353" t="str">
            <v>CMQ_TTE - QUILMES TTE</v>
          </cell>
          <cell r="AS353" t="str">
            <v>CMQ_TTE - QUILMES TTE</v>
          </cell>
          <cell r="AT353" t="str">
            <v>CMQ_TTE - QUILMES TTE</v>
          </cell>
          <cell r="AU353" t="str">
            <v>CMQ_TTE - QUILMES TTE</v>
          </cell>
          <cell r="AV353" t="str">
            <v>CMQ_TTE - QUILMES TTE</v>
          </cell>
          <cell r="AW353" t="str">
            <v>CMQ_TTE - QUILMES TTE</v>
          </cell>
          <cell r="AX353" t="str">
            <v>INACTIVO</v>
          </cell>
          <cell r="AY353" t="str">
            <v>INACTIVO</v>
          </cell>
          <cell r="AZ353" t="str">
            <v>INACTIVO</v>
          </cell>
          <cell r="BA353" t="str">
            <v>INACTIVO</v>
          </cell>
          <cell r="BB353" t="str">
            <v>INACTIVO</v>
          </cell>
          <cell r="BC353" t="str">
            <v>INACTIVO</v>
          </cell>
          <cell r="BD353" t="str">
            <v>INACTIVO</v>
          </cell>
          <cell r="BE353" t="str">
            <v>INACTIVO</v>
          </cell>
          <cell r="BF353" t="str">
            <v>INACTIVO</v>
          </cell>
          <cell r="BG353" t="str">
            <v>INACTIVO</v>
          </cell>
          <cell r="BH353" t="str">
            <v>INACTIVO</v>
          </cell>
          <cell r="BI353" t="str">
            <v>INACTIVO</v>
          </cell>
          <cell r="BJ353" t="str">
            <v>INACTIVO</v>
          </cell>
          <cell r="BK353" t="str">
            <v>INACTIVO</v>
          </cell>
          <cell r="BL353" t="str">
            <v>INACTIVO</v>
          </cell>
          <cell r="BM353" t="str">
            <v>INACTIVO</v>
          </cell>
          <cell r="BN353" t="str">
            <v>INACTIVO</v>
          </cell>
          <cell r="BO353" t="str">
            <v>INACTIVO</v>
          </cell>
          <cell r="BP353" t="str">
            <v>INACTIVO</v>
          </cell>
          <cell r="BQ353" t="str">
            <v>INACTIVO</v>
          </cell>
          <cell r="BR353" t="str">
            <v>INACTIVO</v>
          </cell>
          <cell r="BS353" t="str">
            <v>INACTIVO</v>
          </cell>
          <cell r="BT353" t="str">
            <v>INACTIVO</v>
          </cell>
          <cell r="BU353" t="str">
            <v>INACTIVO</v>
          </cell>
          <cell r="BV353" t="str">
            <v>INACTIVO</v>
          </cell>
          <cell r="BW353" t="str">
            <v>INACTIVO</v>
          </cell>
          <cell r="BX353" t="str">
            <v>INACTIVO</v>
          </cell>
          <cell r="BY353" t="str">
            <v>INACTIVO</v>
          </cell>
          <cell r="BZ353" t="str">
            <v>INACTIVO</v>
          </cell>
          <cell r="CA353" t="str">
            <v>INACTIVO</v>
          </cell>
          <cell r="CB353" t="str">
            <v>INACTIVO</v>
          </cell>
          <cell r="CC353" t="str">
            <v>BAJA</v>
          </cell>
          <cell r="CD353" t="str">
            <v>BAJA</v>
          </cell>
          <cell r="CE353" t="str">
            <v>BAJA</v>
          </cell>
          <cell r="CF353" t="str">
            <v>BAJA</v>
          </cell>
          <cell r="CG353" t="str">
            <v>BAJA</v>
          </cell>
          <cell r="CH353" t="str">
            <v>BAJA</v>
          </cell>
          <cell r="CI353" t="str">
            <v>BAJA</v>
          </cell>
          <cell r="CJ353" t="str">
            <v>BAJA</v>
          </cell>
          <cell r="CK353" t="str">
            <v>BAJA</v>
          </cell>
          <cell r="CL353" t="str">
            <v>BAJA</v>
          </cell>
          <cell r="CM353" t="str">
            <v>BAJA</v>
          </cell>
          <cell r="CN353" t="str">
            <v>BAJA</v>
          </cell>
          <cell r="CO353" t="str">
            <v>BAJA</v>
          </cell>
          <cell r="CP353" t="str">
            <v>BAJA</v>
          </cell>
          <cell r="CQ353" t="str">
            <v>BAJA</v>
          </cell>
          <cell r="CR353" t="str">
            <v>BAJA</v>
          </cell>
          <cell r="CS353" t="str">
            <v>BAJA</v>
          </cell>
          <cell r="CT353" t="str">
            <v>BAJA</v>
          </cell>
          <cell r="CU353" t="str">
            <v>BAJA</v>
          </cell>
          <cell r="CV353" t="str">
            <v>BAJA</v>
          </cell>
          <cell r="CW353" t="str">
            <v>BAJA</v>
          </cell>
        </row>
        <row r="354">
          <cell r="D354" t="str">
            <v>LFK336</v>
          </cell>
          <cell r="E354" t="str">
            <v>Tractor</v>
          </cell>
          <cell r="F354" t="str">
            <v>Tractor</v>
          </cell>
          <cell r="G354" t="str">
            <v>Tractor</v>
          </cell>
          <cell r="N354" t="str">
            <v>Expreso Malargüe S. A.</v>
          </cell>
          <cell r="O354" t="str">
            <v>Expreso Malargüe S. A.</v>
          </cell>
          <cell r="P354" t="str">
            <v>No</v>
          </cell>
          <cell r="Q354" t="str">
            <v>Propio</v>
          </cell>
          <cell r="R354" t="str">
            <v>-</v>
          </cell>
          <cell r="S354" t="str">
            <v>Propio</v>
          </cell>
          <cell r="T354" t="str">
            <v>MERCEDES BENZ</v>
          </cell>
          <cell r="U354" t="str">
            <v>AXOR 2035-36 S TE</v>
          </cell>
          <cell r="V354" t="str">
            <v>457918U0970117</v>
          </cell>
          <cell r="W354" t="str">
            <v>9BM958433CB850529</v>
          </cell>
          <cell r="X354">
            <v>2012</v>
          </cell>
          <cell r="Y354">
            <v>14</v>
          </cell>
          <cell r="Z354" t="str">
            <v>Malargue</v>
          </cell>
          <cell r="AA354" t="str">
            <v>Expreso - Servicios Troncales</v>
          </cell>
          <cell r="AB354" t="str">
            <v>Expreso - Servicios Troncales</v>
          </cell>
          <cell r="AC354" t="str">
            <v>Expreso - Servicios Troncales</v>
          </cell>
          <cell r="AD354" t="str">
            <v>Expreso - Servicios Troncales</v>
          </cell>
          <cell r="AE354" t="str">
            <v>Expreso - Servicios Troncales</v>
          </cell>
          <cell r="AF354" t="str">
            <v>Expreso - Servicios Troncales</v>
          </cell>
          <cell r="AG354" t="str">
            <v>Expreso - Servicios Troncales</v>
          </cell>
          <cell r="AH354" t="str">
            <v>Expreso - Servicios Troncales</v>
          </cell>
          <cell r="AI354" t="str">
            <v>Expreso - Servicios Troncales</v>
          </cell>
          <cell r="AJ354" t="str">
            <v>Expreso - Servicios Troncales</v>
          </cell>
          <cell r="AK354" t="str">
            <v>Expreso - Servicios Troncales</v>
          </cell>
          <cell r="AL354" t="str">
            <v>Expreso - Servicios Troncales</v>
          </cell>
          <cell r="AM354" t="str">
            <v>Expreso - Servicios Troncales</v>
          </cell>
          <cell r="AN354" t="str">
            <v>Expreso - Servicios Troncales</v>
          </cell>
          <cell r="AO354" t="str">
            <v>Expreso - Servicios Troncales</v>
          </cell>
          <cell r="AP354" t="str">
            <v>Expreso - Servicios Troncales</v>
          </cell>
          <cell r="AQ354" t="str">
            <v>Expreso - Servicios Troncales</v>
          </cell>
          <cell r="AR354" t="str">
            <v>Expreso - Servicios Troncales</v>
          </cell>
          <cell r="AS354" t="str">
            <v>Expreso - Servicios Troncales</v>
          </cell>
          <cell r="AT354" t="str">
            <v>Expreso - Servicios Troncales</v>
          </cell>
          <cell r="AU354" t="str">
            <v>Expreso - Servicios Troncales</v>
          </cell>
          <cell r="AV354" t="str">
            <v>Expreso - Servicios Troncales</v>
          </cell>
          <cell r="AW354" t="str">
            <v>Expreso - Servicios Troncales</v>
          </cell>
          <cell r="AX354" t="str">
            <v>Expreso - Servicios Troncales</v>
          </cell>
          <cell r="AY354" t="str">
            <v>Expreso - Servicios Troncales</v>
          </cell>
          <cell r="AZ354" t="str">
            <v>Expreso - Servicios Troncales</v>
          </cell>
          <cell r="BA354" t="str">
            <v>Expreso - Servicios Troncales</v>
          </cell>
          <cell r="BB354" t="str">
            <v>Expreso - Servicios Troncales</v>
          </cell>
          <cell r="BC354" t="str">
            <v>Expreso - Servicios Troncales</v>
          </cell>
          <cell r="BD354" t="str">
            <v>SUC_SRA - Sucursal San Rafael</v>
          </cell>
          <cell r="BE354" t="str">
            <v>SUC_SRA - Sucursal San Rafael</v>
          </cell>
          <cell r="BF354" t="str">
            <v>SUC_SRA - Sucursal San Rafael</v>
          </cell>
          <cell r="BG354" t="str">
            <v>SUC_SRA - Sucursal San Rafael</v>
          </cell>
          <cell r="BH354" t="str">
            <v>SUC_SRA - Sucursal San Rafael</v>
          </cell>
          <cell r="BI354" t="str">
            <v>SUC_SRA - Sucursal San Rafael</v>
          </cell>
          <cell r="BJ354" t="str">
            <v>SUC_SRA - Sucursal San Rafael</v>
          </cell>
          <cell r="BK354" t="str">
            <v>SUC_SRA - Sucursal San Rafael</v>
          </cell>
          <cell r="BL354" t="str">
            <v>SUC_SRA - Sucursal San Rafael</v>
          </cell>
          <cell r="BM354" t="str">
            <v>SUC_SRA - Sucursal San Rafael</v>
          </cell>
          <cell r="BN354" t="str">
            <v>SUC_SRA - Sucursal San Rafael</v>
          </cell>
          <cell r="BO354" t="str">
            <v>SUC_SRA - Sucursal San Rafael</v>
          </cell>
          <cell r="BP354" t="str">
            <v>SUC_SRA - Sucursal San Rafael</v>
          </cell>
          <cell r="BQ354" t="str">
            <v>Expreso - Servicios Troncales</v>
          </cell>
          <cell r="BR354" t="str">
            <v>Expreso - Servicios Troncales</v>
          </cell>
          <cell r="BS354" t="str">
            <v>Expreso - Servicios Troncales</v>
          </cell>
          <cell r="BT354" t="str">
            <v>Expreso - Servicios Troncales</v>
          </cell>
          <cell r="BU354" t="str">
            <v>Expreso - Servicios Troncales</v>
          </cell>
          <cell r="BV354" t="str">
            <v>Expreso - Servicios Troncales</v>
          </cell>
          <cell r="BW354" t="str">
            <v>Expreso - Servicios Troncales</v>
          </cell>
          <cell r="BX354" t="str">
            <v>Expreso - Servicios Troncales</v>
          </cell>
          <cell r="BY354" t="str">
            <v>Expreso - Servicios Troncales</v>
          </cell>
          <cell r="BZ354" t="str">
            <v>Expreso - Servicios Troncales</v>
          </cell>
          <cell r="CA354" t="str">
            <v>Expreso - Servicios Troncales</v>
          </cell>
          <cell r="CB354" t="str">
            <v>Expreso - Servicios Troncales</v>
          </cell>
          <cell r="CC354" t="str">
            <v>Expreso - Servicios Troncales</v>
          </cell>
          <cell r="CD354" t="str">
            <v>Expreso - Servicios Troncales</v>
          </cell>
          <cell r="CE354" t="str">
            <v>Expreso - Servicios Troncales</v>
          </cell>
          <cell r="CF354" t="str">
            <v>Expreso - Servicios Troncales</v>
          </cell>
          <cell r="CG354" t="str">
            <v>Expreso - Servicios Troncales</v>
          </cell>
          <cell r="CH354" t="str">
            <v>Expreso - Servicios Troncales</v>
          </cell>
          <cell r="CI354" t="str">
            <v>Expreso - Servicios Troncales</v>
          </cell>
          <cell r="CJ354" t="str">
            <v>Expreso - Servicios Troncales</v>
          </cell>
          <cell r="CK354" t="str">
            <v>Expreso - Servicios Troncales</v>
          </cell>
          <cell r="CL354" t="str">
            <v>Expreso - Servicios Troncales</v>
          </cell>
          <cell r="CM354" t="str">
            <v>Expreso - Servicios Troncales</v>
          </cell>
          <cell r="CN354" t="str">
            <v>Expreso - Servicios Troncales</v>
          </cell>
          <cell r="CO354" t="str">
            <v>Expreso - Servicios Troncales</v>
          </cell>
          <cell r="CP354" t="str">
            <v>Expreso - Servicios Troncales</v>
          </cell>
          <cell r="CQ354" t="str">
            <v>Expreso - Servicios Troncales</v>
          </cell>
          <cell r="CR354" t="str">
            <v>Expreso - Servicios Troncales</v>
          </cell>
          <cell r="CS354" t="str">
            <v>Expreso - Servicios Troncales</v>
          </cell>
          <cell r="CT354" t="str">
            <v>Expreso - Servicios Troncales</v>
          </cell>
          <cell r="CU354" t="str">
            <v>Expreso - Servicios Troncales</v>
          </cell>
          <cell r="CV354" t="str">
            <v>Expreso - Servicios Troncales</v>
          </cell>
          <cell r="CW354" t="str">
            <v>Expreso - Servicios Troncales</v>
          </cell>
        </row>
        <row r="355">
          <cell r="D355" t="str">
            <v>LFK337</v>
          </cell>
          <cell r="E355" t="str">
            <v>Tractor</v>
          </cell>
          <cell r="F355" t="str">
            <v>Tractor</v>
          </cell>
          <cell r="G355" t="str">
            <v>Tractor</v>
          </cell>
          <cell r="N355" t="str">
            <v>Expreso Malargüe S. A.</v>
          </cell>
          <cell r="O355" t="str">
            <v>Expreso Malargüe S. A.</v>
          </cell>
          <cell r="P355" t="str">
            <v>No</v>
          </cell>
          <cell r="Q355" t="str">
            <v>Propio</v>
          </cell>
          <cell r="R355" t="str">
            <v>-</v>
          </cell>
          <cell r="S355" t="str">
            <v>Propio</v>
          </cell>
          <cell r="T355" t="str">
            <v>MERCEDES BENZ</v>
          </cell>
          <cell r="U355" t="str">
            <v>AXOR 2035-36 S TE</v>
          </cell>
          <cell r="V355" t="str">
            <v>457918U0970081</v>
          </cell>
          <cell r="W355" t="str">
            <v>9BM958433CB850509</v>
          </cell>
          <cell r="X355">
            <v>2012</v>
          </cell>
          <cell r="Y355">
            <v>14</v>
          </cell>
          <cell r="Z355" t="str">
            <v>Malargue</v>
          </cell>
          <cell r="AA355" t="str">
            <v>Expreso - Servicios Troncales</v>
          </cell>
          <cell r="AB355" t="str">
            <v>Expreso - Servicios Troncales</v>
          </cell>
          <cell r="AC355" t="str">
            <v>Expreso - Servicios Troncales</v>
          </cell>
          <cell r="AD355" t="str">
            <v>Expreso - Servicios Troncales</v>
          </cell>
          <cell r="AE355" t="str">
            <v>Expreso - Servicios Troncales</v>
          </cell>
          <cell r="AF355" t="str">
            <v>Expreso - Servicios Troncales</v>
          </cell>
          <cell r="AG355" t="str">
            <v>Expreso - Servicios Troncales</v>
          </cell>
          <cell r="AH355" t="str">
            <v>Expreso - Servicios Troncales</v>
          </cell>
          <cell r="AI355" t="str">
            <v>Expreso - Servicios Troncales</v>
          </cell>
          <cell r="AJ355" t="str">
            <v>Expreso - Servicios Troncales</v>
          </cell>
          <cell r="AK355" t="str">
            <v>Expreso - Servicios Troncales</v>
          </cell>
          <cell r="AL355" t="str">
            <v>Expreso - Servicios Troncales</v>
          </cell>
          <cell r="AM355" t="str">
            <v>Expreso - Servicios Troncales</v>
          </cell>
          <cell r="AN355" t="str">
            <v>Expreso - Servicios Troncales</v>
          </cell>
          <cell r="AO355" t="str">
            <v>Expreso - Servicios Troncales</v>
          </cell>
          <cell r="AP355" t="str">
            <v>Expreso - Servicios Troncales</v>
          </cell>
          <cell r="AQ355" t="str">
            <v>Expreso - Servicios Troncales</v>
          </cell>
          <cell r="AR355" t="str">
            <v>Expreso - Servicios Troncales</v>
          </cell>
          <cell r="AS355" t="str">
            <v>Expreso - Servicios Troncales</v>
          </cell>
          <cell r="AT355" t="str">
            <v>Expreso - Servicios Troncales</v>
          </cell>
          <cell r="AU355" t="str">
            <v>Expreso - Servicios Troncales</v>
          </cell>
          <cell r="AV355" t="str">
            <v>Expreso - Servicios Troncales</v>
          </cell>
          <cell r="AW355" t="str">
            <v>Expreso - Servicios Troncales</v>
          </cell>
          <cell r="AX355" t="str">
            <v>Expreso - Servicios Troncales</v>
          </cell>
          <cell r="AY355" t="str">
            <v>Expreso - Servicios Troncales</v>
          </cell>
          <cell r="AZ355" t="str">
            <v>Expreso - Servicios Troncales</v>
          </cell>
          <cell r="BA355" t="str">
            <v>Expreso - Servicios Troncales</v>
          </cell>
          <cell r="BB355" t="str">
            <v>Expreso - Servicios Troncales</v>
          </cell>
          <cell r="BC355" t="str">
            <v>Expreso - Servicios Troncales</v>
          </cell>
          <cell r="BD355" t="str">
            <v>SUC_SRA - Sucursal San Rafael</v>
          </cell>
          <cell r="BE355" t="str">
            <v>SUC_SRA - Sucursal San Rafael</v>
          </cell>
          <cell r="BF355" t="str">
            <v>SUC_SRA - Sucursal San Rafael</v>
          </cell>
          <cell r="BG355" t="str">
            <v>SUC_SRA - Sucursal San Rafael</v>
          </cell>
          <cell r="BH355" t="str">
            <v>SUC_SRA - Sucursal San Rafael</v>
          </cell>
          <cell r="BI355" t="str">
            <v>SUC_SRA - Sucursal San Rafael</v>
          </cell>
          <cell r="BJ355" t="str">
            <v>SUC_SRA - Sucursal San Rafael</v>
          </cell>
          <cell r="BK355" t="str">
            <v>SUC_SRA - Sucursal San Rafael</v>
          </cell>
          <cell r="BL355" t="str">
            <v>SUC_SRA - Sucursal San Rafael</v>
          </cell>
          <cell r="BM355" t="str">
            <v>SUC_SRA - Sucursal San Rafael</v>
          </cell>
          <cell r="BN355" t="str">
            <v>SUC_SRA - Sucursal San Rafael</v>
          </cell>
          <cell r="BO355" t="str">
            <v>SUC_SRA - Sucursal San Rafael</v>
          </cell>
          <cell r="BP355" t="str">
            <v>SUC_SRA - Sucursal San Rafael</v>
          </cell>
          <cell r="BQ355" t="str">
            <v>Expreso - Servicios Troncales</v>
          </cell>
          <cell r="BR355" t="str">
            <v>Expreso - Servicios Troncales</v>
          </cell>
          <cell r="BS355" t="str">
            <v>Expreso - Servicios Troncales</v>
          </cell>
          <cell r="BT355" t="str">
            <v>Expreso - Servicios Troncales</v>
          </cell>
          <cell r="BU355" t="str">
            <v>Expreso - Servicios Troncales</v>
          </cell>
          <cell r="BV355" t="str">
            <v>Expreso - Servicios Troncales</v>
          </cell>
          <cell r="BW355" t="str">
            <v>Expreso - Servicios Troncales</v>
          </cell>
          <cell r="BX355" t="str">
            <v>Expreso - Servicios Troncales</v>
          </cell>
          <cell r="BY355" t="str">
            <v>Expreso - Servicios Troncales</v>
          </cell>
          <cell r="BZ355" t="str">
            <v>Expreso - Servicios Troncales</v>
          </cell>
          <cell r="CA355" t="str">
            <v>Expreso - Servicios Troncales</v>
          </cell>
          <cell r="CB355" t="str">
            <v>Expreso - Servicios Troncales</v>
          </cell>
          <cell r="CC355" t="str">
            <v>Expreso - Servicios Troncales</v>
          </cell>
          <cell r="CD355" t="str">
            <v>Expreso - Servicios Troncales</v>
          </cell>
          <cell r="CE355" t="str">
            <v>Expreso - Servicios Troncales</v>
          </cell>
          <cell r="CF355" t="str">
            <v>Expreso - Servicios Troncales</v>
          </cell>
          <cell r="CG355" t="str">
            <v>Expreso - Servicios Troncales</v>
          </cell>
          <cell r="CH355" t="str">
            <v>Expreso - Servicios Troncales</v>
          </cell>
          <cell r="CI355" t="str">
            <v>Expreso - Servicios Troncales</v>
          </cell>
          <cell r="CJ355" t="str">
            <v>Expreso - Servicios Troncales</v>
          </cell>
          <cell r="CK355" t="str">
            <v>Expreso - Servicios Troncales</v>
          </cell>
          <cell r="CL355" t="str">
            <v>Expreso - Servicios Troncales</v>
          </cell>
          <cell r="CM355" t="str">
            <v>Expreso - Servicios Troncales</v>
          </cell>
          <cell r="CN355" t="str">
            <v>Expreso - Servicios Troncales</v>
          </cell>
          <cell r="CO355" t="str">
            <v>Expreso - Servicios Troncales</v>
          </cell>
          <cell r="CP355" t="str">
            <v>Expreso - Servicios Troncales</v>
          </cell>
          <cell r="CQ355" t="str">
            <v>Expreso - Servicios Troncales</v>
          </cell>
          <cell r="CR355" t="str">
            <v>Expreso - Servicios Troncales</v>
          </cell>
          <cell r="CS355" t="str">
            <v>Expreso - Servicios Troncales</v>
          </cell>
          <cell r="CT355" t="str">
            <v>Expreso - Servicios Troncales</v>
          </cell>
          <cell r="CU355" t="str">
            <v>Expreso - Servicios Troncales</v>
          </cell>
          <cell r="CV355" t="str">
            <v>Expreso - Servicios Troncales</v>
          </cell>
          <cell r="CW355" t="str">
            <v>Expreso - Servicios Troncales</v>
          </cell>
        </row>
        <row r="356">
          <cell r="D356" t="str">
            <v>LFK338</v>
          </cell>
          <cell r="E356" t="str">
            <v>Tractor</v>
          </cell>
          <cell r="F356" t="str">
            <v>Tractor</v>
          </cell>
          <cell r="G356" t="str">
            <v>Tractor</v>
          </cell>
          <cell r="N356" t="str">
            <v>Expreso Malargüe S. A.</v>
          </cell>
          <cell r="O356" t="str">
            <v>Expreso Malargüe S. A.</v>
          </cell>
          <cell r="P356" t="str">
            <v>No</v>
          </cell>
          <cell r="Q356" t="str">
            <v>Propio</v>
          </cell>
          <cell r="R356" t="str">
            <v>-</v>
          </cell>
          <cell r="S356" t="str">
            <v>Propio</v>
          </cell>
          <cell r="T356" t="str">
            <v>MERCEDES BENZ</v>
          </cell>
          <cell r="U356" t="str">
            <v>AXOR 2035-36 S TE</v>
          </cell>
          <cell r="V356" t="str">
            <v>457918U0970091</v>
          </cell>
          <cell r="W356" t="str">
            <v>9BM958433CB850513</v>
          </cell>
          <cell r="X356">
            <v>2012</v>
          </cell>
          <cell r="Y356">
            <v>14</v>
          </cell>
          <cell r="Z356" t="str">
            <v>Malargue</v>
          </cell>
          <cell r="AA356" t="str">
            <v>Expreso - Servicios Troncales</v>
          </cell>
          <cell r="AB356" t="str">
            <v>Expreso - Servicios Troncales</v>
          </cell>
          <cell r="AC356" t="str">
            <v>Expreso - Servicios Troncales</v>
          </cell>
          <cell r="AD356" t="str">
            <v>Expreso - Servicios Troncales</v>
          </cell>
          <cell r="AE356" t="str">
            <v>Expreso - Servicios Troncales</v>
          </cell>
          <cell r="AF356" t="str">
            <v>Expreso - Servicios Troncales</v>
          </cell>
          <cell r="AG356" t="str">
            <v>Expreso - Servicios Troncales</v>
          </cell>
          <cell r="AH356" t="str">
            <v>Expreso - Servicios Troncales</v>
          </cell>
          <cell r="AI356" t="str">
            <v>Expreso - Servicios Troncales</v>
          </cell>
          <cell r="AJ356" t="str">
            <v>Expreso - Servicios Troncales</v>
          </cell>
          <cell r="AK356" t="str">
            <v>Expreso - Servicios Troncales</v>
          </cell>
          <cell r="AL356" t="str">
            <v>Expreso - Servicios Troncales</v>
          </cell>
          <cell r="AM356" t="str">
            <v>Expreso - Servicios Troncales</v>
          </cell>
          <cell r="AN356" t="str">
            <v>Expreso - Servicios Troncales</v>
          </cell>
          <cell r="AO356" t="str">
            <v>Expreso - Servicios Troncales</v>
          </cell>
          <cell r="AP356" t="str">
            <v>Expreso - Servicios Troncales</v>
          </cell>
          <cell r="AQ356" t="str">
            <v>Expreso - Servicios Troncales</v>
          </cell>
          <cell r="AR356" t="str">
            <v>Expreso - Servicios Troncales</v>
          </cell>
          <cell r="AS356" t="str">
            <v>Expreso - Servicios Troncales</v>
          </cell>
          <cell r="AT356" t="str">
            <v>Expreso - Servicios Troncales</v>
          </cell>
          <cell r="AU356" t="str">
            <v>Expreso - Servicios Troncales</v>
          </cell>
          <cell r="AV356" t="str">
            <v>Expreso - Servicios Troncales</v>
          </cell>
          <cell r="AW356" t="str">
            <v>Expreso - Servicios Troncales</v>
          </cell>
          <cell r="AX356" t="str">
            <v>Expreso - Servicios Troncales</v>
          </cell>
          <cell r="AY356" t="str">
            <v>Expreso - Servicios Troncales</v>
          </cell>
          <cell r="AZ356" t="str">
            <v>Expreso - Servicios Troncales</v>
          </cell>
          <cell r="BA356" t="str">
            <v>Expreso - Servicios Troncales</v>
          </cell>
          <cell r="BB356" t="str">
            <v>Expreso - Servicios Troncales</v>
          </cell>
          <cell r="BC356" t="str">
            <v>Expreso - Servicios Troncales</v>
          </cell>
          <cell r="BD356" t="str">
            <v>SUC_SRA - Sucursal San Rafael</v>
          </cell>
          <cell r="BE356" t="str">
            <v>SUC_SRA - Sucursal San Rafael</v>
          </cell>
          <cell r="BF356" t="str">
            <v>SUC_SRA - Sucursal San Rafael</v>
          </cell>
          <cell r="BG356" t="str">
            <v>SUC_SRA - Sucursal San Rafael</v>
          </cell>
          <cell r="BH356" t="str">
            <v>SUC_SRA - Sucursal San Rafael</v>
          </cell>
          <cell r="BI356" t="str">
            <v>SUC_SRA - Sucursal San Rafael</v>
          </cell>
          <cell r="BJ356" t="str">
            <v>SUC_SRA - Sucursal San Rafael</v>
          </cell>
          <cell r="BK356" t="str">
            <v>SUC_SRA - Sucursal San Rafael</v>
          </cell>
          <cell r="BL356" t="str">
            <v>SUC_SRA - Sucursal San Rafael</v>
          </cell>
          <cell r="BM356" t="str">
            <v>SUC_SRA - Sucursal San Rafael</v>
          </cell>
          <cell r="BN356" t="str">
            <v>SUC_MEN - Sucursal Mendoza</v>
          </cell>
          <cell r="BO356" t="str">
            <v>SUC_MEN - Sucursal Mendoza</v>
          </cell>
          <cell r="BP356" t="str">
            <v>SUC_MEN - Sucursal Mendoza</v>
          </cell>
          <cell r="BQ356" t="str">
            <v>Expreso - Servicios Troncales</v>
          </cell>
          <cell r="BR356" t="str">
            <v>Expreso - Servicios Troncales</v>
          </cell>
          <cell r="BS356" t="str">
            <v>Expreso - Servicios Troncales</v>
          </cell>
          <cell r="BT356" t="str">
            <v>Expreso - Servicios Troncales</v>
          </cell>
          <cell r="BU356" t="str">
            <v>Expreso - Servicios Troncales</v>
          </cell>
          <cell r="BV356" t="str">
            <v>Expreso - Servicios Troncales</v>
          </cell>
          <cell r="BW356" t="str">
            <v>Expreso - Servicios Troncales</v>
          </cell>
          <cell r="BX356" t="str">
            <v>Expreso - Servicios Troncales</v>
          </cell>
          <cell r="BY356" t="str">
            <v>Expreso - Servicios Troncales</v>
          </cell>
          <cell r="BZ356" t="str">
            <v>Expreso - Servicios Troncales</v>
          </cell>
          <cell r="CA356" t="str">
            <v>Expreso - Servicios Troncales</v>
          </cell>
          <cell r="CB356" t="str">
            <v>Expreso - Servicios Troncales</v>
          </cell>
          <cell r="CC356" t="str">
            <v>Expreso - Servicios Troncales</v>
          </cell>
          <cell r="CD356" t="str">
            <v>Expreso - Servicios Troncales</v>
          </cell>
          <cell r="CE356" t="str">
            <v>Expreso - Servicios Troncales</v>
          </cell>
          <cell r="CF356" t="str">
            <v>Expreso - Servicios Troncales</v>
          </cell>
          <cell r="CG356" t="str">
            <v>Expreso - Servicios Troncales</v>
          </cell>
          <cell r="CH356" t="str">
            <v>Expreso - Servicios Troncales</v>
          </cell>
          <cell r="CI356" t="str">
            <v>Expreso - Servicios Troncales</v>
          </cell>
          <cell r="CJ356" t="str">
            <v>Expreso - Servicios Troncales</v>
          </cell>
          <cell r="CK356" t="str">
            <v>Expreso - Servicios Troncales</v>
          </cell>
          <cell r="CL356" t="str">
            <v>Expreso - Servicios Troncales</v>
          </cell>
          <cell r="CM356" t="str">
            <v>Expreso - Servicios Troncales</v>
          </cell>
          <cell r="CN356" t="str">
            <v>Expreso - Servicios Troncales</v>
          </cell>
          <cell r="CO356" t="str">
            <v>Expreso - Servicios Troncales</v>
          </cell>
          <cell r="CP356" t="str">
            <v>Expreso - Servicios Troncales</v>
          </cell>
          <cell r="CQ356" t="str">
            <v>Expreso - Servicios Troncales</v>
          </cell>
          <cell r="CR356" t="str">
            <v>Expreso - Servicios Troncales</v>
          </cell>
          <cell r="CS356" t="str">
            <v>Expreso - Servicios Troncales</v>
          </cell>
          <cell r="CT356" t="str">
            <v>Expreso - Servicios Troncales</v>
          </cell>
          <cell r="CU356" t="str">
            <v>Expreso - Servicios Troncales</v>
          </cell>
          <cell r="CV356" t="str">
            <v>Expreso - Servicios Troncales</v>
          </cell>
          <cell r="CW356" t="str">
            <v>Expreso - Servicios Troncales</v>
          </cell>
        </row>
        <row r="357">
          <cell r="D357" t="str">
            <v>LFK339</v>
          </cell>
          <cell r="E357" t="str">
            <v>Tractor</v>
          </cell>
          <cell r="F357" t="str">
            <v>Tractor</v>
          </cell>
          <cell r="G357" t="str">
            <v>Tractor</v>
          </cell>
          <cell r="N357" t="str">
            <v>Expreso Malargüe S. A.</v>
          </cell>
          <cell r="O357" t="str">
            <v>Expreso Malargüe S. A.</v>
          </cell>
          <cell r="P357" t="str">
            <v>No</v>
          </cell>
          <cell r="Q357" t="str">
            <v>Propio</v>
          </cell>
          <cell r="R357" t="str">
            <v>-</v>
          </cell>
          <cell r="S357" t="str">
            <v>Propio</v>
          </cell>
          <cell r="T357" t="str">
            <v>MERCEDES BENZ</v>
          </cell>
          <cell r="U357" t="str">
            <v>AXOR 2035-36 S TE</v>
          </cell>
          <cell r="V357" t="str">
            <v>457918U0970105</v>
          </cell>
          <cell r="W357" t="str">
            <v>9BM958433CB850521</v>
          </cell>
          <cell r="X357">
            <v>2012</v>
          </cell>
          <cell r="Y357">
            <v>14</v>
          </cell>
          <cell r="Z357" t="str">
            <v>Malargue</v>
          </cell>
          <cell r="AA357" t="str">
            <v>Expreso - Servicios Troncales</v>
          </cell>
          <cell r="AB357" t="str">
            <v>Expreso - Servicios Troncales</v>
          </cell>
          <cell r="AC357" t="str">
            <v>Expreso - Servicios Troncales</v>
          </cell>
          <cell r="AD357" t="str">
            <v>Expreso - Servicios Troncales</v>
          </cell>
          <cell r="AE357" t="str">
            <v>Expreso - Servicios Troncales</v>
          </cell>
          <cell r="AF357" t="str">
            <v>Expreso - Servicios Troncales</v>
          </cell>
          <cell r="AG357" t="str">
            <v>Expreso - Servicios Troncales</v>
          </cell>
          <cell r="AH357" t="str">
            <v>Expreso - Servicios Troncales</v>
          </cell>
          <cell r="AI357" t="str">
            <v>Expreso - Servicios Troncales</v>
          </cell>
          <cell r="AJ357" t="str">
            <v>Expreso - Servicios Troncales</v>
          </cell>
          <cell r="AK357" t="str">
            <v>Expreso - Servicios Troncales</v>
          </cell>
          <cell r="AL357" t="str">
            <v>Expreso - Servicios Troncales</v>
          </cell>
          <cell r="AM357" t="str">
            <v>Expreso - Servicios Troncales</v>
          </cell>
          <cell r="AN357" t="str">
            <v>Expreso - Servicios Troncales</v>
          </cell>
          <cell r="AO357" t="str">
            <v>Expreso - Servicios Troncales</v>
          </cell>
          <cell r="AP357" t="str">
            <v>Expreso - Servicios Troncales</v>
          </cell>
          <cell r="AQ357" t="str">
            <v>Expreso - Servicios Troncales</v>
          </cell>
          <cell r="AR357" t="str">
            <v>Expreso - Servicios Troncales</v>
          </cell>
          <cell r="AS357" t="str">
            <v>Expreso - Servicios Troncales</v>
          </cell>
          <cell r="AT357" t="str">
            <v>Expreso - Servicios Troncales</v>
          </cell>
          <cell r="AU357" t="str">
            <v>Expreso - Servicios Troncales</v>
          </cell>
          <cell r="AV357" t="str">
            <v>Expreso - Servicios Troncales</v>
          </cell>
          <cell r="AW357" t="str">
            <v>Expreso - Servicios Troncales</v>
          </cell>
          <cell r="AX357" t="str">
            <v>Expreso - Servicios Troncales</v>
          </cell>
          <cell r="AY357" t="str">
            <v>Expreso - Servicios Troncales</v>
          </cell>
          <cell r="AZ357" t="str">
            <v>Expreso - Servicios Troncales</v>
          </cell>
          <cell r="BA357" t="str">
            <v>Expreso - Servicios Troncales</v>
          </cell>
          <cell r="BB357" t="str">
            <v>Expreso - Servicios Troncales</v>
          </cell>
          <cell r="BC357" t="str">
            <v>Expreso - Servicios Troncales</v>
          </cell>
          <cell r="BD357" t="str">
            <v>SUC_MEN - Sucursal Mendoza</v>
          </cell>
          <cell r="BE357" t="str">
            <v>SUC_MEN - Sucursal Mendoza</v>
          </cell>
          <cell r="BF357" t="str">
            <v>SUC_MEN - Sucursal Mendoza</v>
          </cell>
          <cell r="BG357" t="str">
            <v>SUC_MEN - Sucursal Mendoza</v>
          </cell>
          <cell r="BH357" t="str">
            <v>SUC_MEN - Sucursal Mendoza</v>
          </cell>
          <cell r="BI357" t="str">
            <v>SUC_MEN - Sucursal Mendoza</v>
          </cell>
          <cell r="BJ357" t="str">
            <v>SUC_MEN - Sucursal Mendoza</v>
          </cell>
          <cell r="BK357" t="str">
            <v>SUC_MEN - Sucursal Mendoza</v>
          </cell>
          <cell r="BL357" t="str">
            <v>SUC_MEN - Sucursal Mendoza</v>
          </cell>
          <cell r="BM357" t="str">
            <v>SUC_MEN - Sucursal Mendoza</v>
          </cell>
          <cell r="BN357" t="str">
            <v>SUC_SRA - Sucursal San Rafael</v>
          </cell>
          <cell r="BO357" t="str">
            <v>SUC_SRA - Sucursal San Rafael</v>
          </cell>
          <cell r="BP357" t="str">
            <v>SUC_SRA - Sucursal San Rafael</v>
          </cell>
          <cell r="BQ357" t="str">
            <v>Expreso - Servicios Troncales</v>
          </cell>
          <cell r="BR357" t="str">
            <v>Expreso - Servicios Troncales</v>
          </cell>
          <cell r="BS357" t="str">
            <v>Expreso - Servicios Troncales</v>
          </cell>
          <cell r="BT357" t="str">
            <v>Expreso - Servicios Troncales</v>
          </cell>
          <cell r="BU357" t="str">
            <v>Expreso - Servicios Troncales</v>
          </cell>
          <cell r="BV357" t="str">
            <v>Expreso - Servicios Troncales</v>
          </cell>
          <cell r="BW357" t="str">
            <v>Expreso - Servicios Troncales</v>
          </cell>
          <cell r="BX357" t="str">
            <v>Expreso - Servicios Troncales</v>
          </cell>
          <cell r="BY357" t="str">
            <v>Expreso - Servicios Troncales</v>
          </cell>
          <cell r="BZ357" t="str">
            <v>Expreso - Servicios Troncales</v>
          </cell>
          <cell r="CA357" t="str">
            <v>Expreso - Servicios Troncales</v>
          </cell>
          <cell r="CB357" t="str">
            <v>Expreso - Servicios Troncales</v>
          </cell>
          <cell r="CC357" t="str">
            <v>Expreso - Servicios Troncales</v>
          </cell>
          <cell r="CD357" t="str">
            <v>Expreso - Servicios Troncales</v>
          </cell>
          <cell r="CE357" t="str">
            <v>Expreso - Servicios Troncales</v>
          </cell>
          <cell r="CF357" t="str">
            <v>Expreso - Servicios Troncales</v>
          </cell>
          <cell r="CG357" t="str">
            <v>Expreso - Servicios Troncales</v>
          </cell>
          <cell r="CH357" t="str">
            <v>Expreso - Servicios Troncales</v>
          </cell>
          <cell r="CI357" t="str">
            <v>Expreso - Servicios Troncales</v>
          </cell>
          <cell r="CJ357" t="str">
            <v>Expreso - Servicios Troncales</v>
          </cell>
          <cell r="CK357" t="str">
            <v>Expreso - Servicios Troncales</v>
          </cell>
          <cell r="CL357" t="str">
            <v>Expreso - Servicios Troncales</v>
          </cell>
          <cell r="CM357" t="str">
            <v>Expreso - Servicios Troncales</v>
          </cell>
          <cell r="CN357" t="str">
            <v>Expreso - Servicios Troncales</v>
          </cell>
          <cell r="CO357" t="str">
            <v>Expreso - Servicios Troncales</v>
          </cell>
          <cell r="CP357" t="str">
            <v>Expreso - Servicios Troncales</v>
          </cell>
          <cell r="CQ357" t="str">
            <v>Expreso - Servicios Troncales</v>
          </cell>
          <cell r="CR357" t="str">
            <v>Expreso - Servicios Troncales</v>
          </cell>
          <cell r="CS357" t="str">
            <v>Expreso - Servicios Troncales</v>
          </cell>
          <cell r="CT357" t="str">
            <v>Expreso - Servicios Troncales</v>
          </cell>
          <cell r="CU357" t="str">
            <v>Expreso - Servicios Troncales</v>
          </cell>
          <cell r="CV357" t="str">
            <v>Expreso - Servicios Troncales</v>
          </cell>
          <cell r="CW357" t="str">
            <v>Expreso - Servicios Troncales</v>
          </cell>
        </row>
        <row r="358">
          <cell r="D358" t="str">
            <v>LRN157</v>
          </cell>
          <cell r="E358" t="str">
            <v>Chasis</v>
          </cell>
          <cell r="F358" t="str">
            <v>Chasis</v>
          </cell>
          <cell r="G358" t="str">
            <v>Chasis termico</v>
          </cell>
          <cell r="N358" t="str">
            <v>DYLASA</v>
          </cell>
          <cell r="O358" t="str">
            <v>DYLASA</v>
          </cell>
          <cell r="P358" t="str">
            <v>No</v>
          </cell>
          <cell r="Q358" t="str">
            <v>Propio</v>
          </cell>
          <cell r="R358">
            <v>14</v>
          </cell>
          <cell r="S358" t="str">
            <v>Propio</v>
          </cell>
          <cell r="T358" t="str">
            <v>MERCEDES BENZ</v>
          </cell>
          <cell r="U358" t="str">
            <v>ATEGO 1725</v>
          </cell>
          <cell r="V358" t="str">
            <v>906985U1007566</v>
          </cell>
          <cell r="W358" t="str">
            <v>9BM958072DB863504</v>
          </cell>
          <cell r="X358">
            <v>2012</v>
          </cell>
          <cell r="Y358">
            <v>14</v>
          </cell>
          <cell r="BD358" t="str">
            <v>CENCO_MZ - Cencosud SA - Mendoza</v>
          </cell>
          <cell r="BE358" t="str">
            <v>CENCO_MZ - Cencosud SA - Mendoza</v>
          </cell>
          <cell r="BF358" t="str">
            <v>CENCO_MZ - Cencosud SA - Mendoza</v>
          </cell>
          <cell r="BG358" t="str">
            <v>CENCO_MZ - Cencosud SA - Mendoza</v>
          </cell>
          <cell r="BH358" t="str">
            <v>CENCO_MZ - Cencosud SA - Mendoza</v>
          </cell>
          <cell r="BI358" t="str">
            <v>CENCO_MZ - Cencosud SA - Mendoza</v>
          </cell>
          <cell r="BJ358" t="str">
            <v>CENCO_MZ - Cencosud SA - Mendoza</v>
          </cell>
          <cell r="BK358" t="str">
            <v>CENCO_MZ - Cencosud SA - Mendoza</v>
          </cell>
          <cell r="BL358" t="str">
            <v>CENCO_MZ - Cencosud SA - Mendoza</v>
          </cell>
          <cell r="BM358" t="str">
            <v>CENCO_MZ - Cencosud SA - Mendoza</v>
          </cell>
          <cell r="BN358" t="str">
            <v>CENCOMLD - Cencosud SA - Mendoza</v>
          </cell>
          <cell r="BO358" t="str">
            <v>CENCOMLD - Cencosud SA - Mendoza</v>
          </cell>
          <cell r="BP358" t="str">
            <v>CENCOMLD - Cencosud SA - Mendoza</v>
          </cell>
          <cell r="BQ358" t="str">
            <v>CENCOMLD - Cencosud SA - Mendoza</v>
          </cell>
          <cell r="BR358" t="str">
            <v>CENCOMLD - Cencosud SA - Mendoza</v>
          </cell>
          <cell r="BS358" t="str">
            <v>CENCOMLD - Cencosud SA - Mendoza</v>
          </cell>
          <cell r="BT358" t="str">
            <v>CENCOMLD - Cencosud SA - Mendoza</v>
          </cell>
          <cell r="BU358" t="str">
            <v>CENCOMLD - Cencosud SA - Mendoza</v>
          </cell>
          <cell r="BV358" t="str">
            <v>CENCOMLD - Cencosud SA - Mendoza</v>
          </cell>
          <cell r="BW358" t="str">
            <v>CENCOMLD - Cencosud SA - Mendoza</v>
          </cell>
          <cell r="BX358" t="str">
            <v>CENCOMLD - Cencosud SA - Mendoza</v>
          </cell>
          <cell r="BY358" t="str">
            <v>CENCOMLD - Cencosud SA - Mendoza</v>
          </cell>
          <cell r="BZ358" t="str">
            <v>CENCOMLD - Cencosud SA - Mendoza</v>
          </cell>
          <cell r="CA358" t="str">
            <v>CENCOMLD - Cencosud SA - Mendoza</v>
          </cell>
          <cell r="CB358" t="str">
            <v>CENCOMLD - Cencosud SA - Mendoza</v>
          </cell>
          <cell r="CC358" t="str">
            <v>CENCOMLD - Cencosud SA - Mendoza</v>
          </cell>
          <cell r="CD358" t="str">
            <v>CENCOMLD - Cencosud SA - Mendoza</v>
          </cell>
          <cell r="CE358" t="str">
            <v>CENCOMLD - Cencosud SA - Mendoza</v>
          </cell>
          <cell r="CF358" t="str">
            <v>CENCOMLD - Cencosud SA - Mendoza</v>
          </cell>
          <cell r="CG358" t="str">
            <v>CENCOMLD - Cencosud SA - Mendoza</v>
          </cell>
          <cell r="CH358" t="str">
            <v>CENCOMLD - Cencosud SA - Mendoza</v>
          </cell>
          <cell r="CI358" t="str">
            <v>CENCOMLD - Cencosud SA - Mendoza</v>
          </cell>
          <cell r="CJ358" t="str">
            <v>CENCOMLD - Cencosud SA - Mendoza</v>
          </cell>
          <cell r="CK358" t="str">
            <v>CENCOMLD - Cencosud SA - Mendoza</v>
          </cell>
          <cell r="CL358" t="str">
            <v>CENCOMLD - Cencosud SA - Mendoza</v>
          </cell>
          <cell r="CM358" t="str">
            <v>CENCOMLD - Cencosud SA - Mendoza</v>
          </cell>
          <cell r="CN358" t="str">
            <v>CENCOMLD - Cencosud SA - Mendoza</v>
          </cell>
          <cell r="CO358" t="str">
            <v>CENCOMLD - Cencosud SA - Mendoza</v>
          </cell>
          <cell r="CP358" t="str">
            <v>CENCOMLD - Cencosud SA - Mendoza</v>
          </cell>
          <cell r="CQ358" t="str">
            <v>CENCOMLD - Cencosud SA - Mendoza</v>
          </cell>
          <cell r="CR358" t="str">
            <v>CENCOMLD - Cencosud SA - Mendoza</v>
          </cell>
          <cell r="CS358" t="str">
            <v>CENCOMLD - Cencosud SA - Mendoza</v>
          </cell>
          <cell r="CT358" t="str">
            <v>CENCOMLD - Cencosud SA - Mendoza</v>
          </cell>
          <cell r="CU358" t="str">
            <v>CENCOMLD - Cencosud SA - Mendoza</v>
          </cell>
          <cell r="CV358" t="str">
            <v>CENCOMLD - Cencosud SA - Mendoza</v>
          </cell>
          <cell r="CW358" t="str">
            <v>CENCOMLD - Cencosud SA - Mendoza</v>
          </cell>
        </row>
        <row r="359">
          <cell r="D359" t="str">
            <v>LTS288</v>
          </cell>
          <cell r="E359" t="str">
            <v>Chasis</v>
          </cell>
          <cell r="F359" t="str">
            <v>Chasis</v>
          </cell>
          <cell r="G359" t="str">
            <v>Chasis termico</v>
          </cell>
          <cell r="N359" t="str">
            <v>DYLASA</v>
          </cell>
          <cell r="O359" t="str">
            <v>DYLASA</v>
          </cell>
          <cell r="P359" t="str">
            <v>No</v>
          </cell>
          <cell r="Q359" t="str">
            <v>Propio</v>
          </cell>
          <cell r="R359">
            <v>14</v>
          </cell>
          <cell r="S359" t="str">
            <v>Propio</v>
          </cell>
          <cell r="T359" t="str">
            <v>MERCEDES BENZ</v>
          </cell>
          <cell r="U359" t="str">
            <v>ATEGO 1725</v>
          </cell>
          <cell r="V359" t="str">
            <v>906985U1005036</v>
          </cell>
          <cell r="W359" t="str">
            <v>9BM958072DB861212</v>
          </cell>
          <cell r="X359">
            <v>2012</v>
          </cell>
          <cell r="Y359">
            <v>14</v>
          </cell>
          <cell r="BD359" t="str">
            <v>CENCO_MZ - Cencosud SA - Mendoza</v>
          </cell>
          <cell r="BE359" t="str">
            <v>CENCO_MZ - Cencosud SA - Mendoza</v>
          </cell>
          <cell r="BF359" t="str">
            <v>CENCO_MZ - Cencosud SA - Mendoza</v>
          </cell>
          <cell r="BG359" t="str">
            <v>CENCO_MZ - Cencosud SA - Mendoza</v>
          </cell>
          <cell r="BH359" t="str">
            <v>CENCO_MZ - Cencosud SA - Mendoza</v>
          </cell>
          <cell r="BI359" t="str">
            <v>CENCO_MZ - Cencosud SA - Mendoza</v>
          </cell>
          <cell r="BJ359" t="str">
            <v>CENCO_MZ - Cencosud SA - Mendoza</v>
          </cell>
          <cell r="BK359" t="str">
            <v>CENCO_MZ - Cencosud SA - Mendoza</v>
          </cell>
          <cell r="BL359" t="str">
            <v>CENCO_MZ - Cencosud SA - Mendoza</v>
          </cell>
          <cell r="BM359" t="str">
            <v>CENCO_MZ - Cencosud SA - Mendoza</v>
          </cell>
          <cell r="BN359" t="str">
            <v>CENCOMLD - Cencosud SA - Mendoza</v>
          </cell>
          <cell r="BO359" t="str">
            <v>CENCOMLD - Cencosud SA - Mendoza</v>
          </cell>
          <cell r="BP359" t="str">
            <v>CENCOMLD - Cencosud SA - Mendoza</v>
          </cell>
          <cell r="BQ359" t="str">
            <v>CENCOMLD - Cencosud SA - Mendoza</v>
          </cell>
          <cell r="BR359" t="str">
            <v>CENCOMLD - Cencosud SA - Mendoza</v>
          </cell>
          <cell r="BS359" t="str">
            <v>CENCOMLD - Cencosud SA - Mendoza</v>
          </cell>
          <cell r="BT359" t="str">
            <v>CENCOMLD - Cencosud SA - Mendoza</v>
          </cell>
          <cell r="BU359" t="str">
            <v>CENCOMLD - Cencosud SA - Mendoza</v>
          </cell>
          <cell r="BV359" t="str">
            <v>CENCOMLD - Cencosud SA - Mendoza</v>
          </cell>
          <cell r="BW359" t="str">
            <v>CENCOMLD - Cencosud SA - Mendoza</v>
          </cell>
          <cell r="BX359" t="str">
            <v>CENCOMLD - Cencosud SA - Mendoza</v>
          </cell>
          <cell r="BY359" t="str">
            <v>CENCOMLD - Cencosud SA - Mendoza</v>
          </cell>
          <cell r="BZ359" t="str">
            <v>CENCOMLD - Cencosud SA - Mendoza</v>
          </cell>
          <cell r="CA359" t="str">
            <v>CENCOMLD - Cencosud SA - Mendoza</v>
          </cell>
          <cell r="CB359" t="str">
            <v>CENCOMLD - Cencosud SA - Mendoza</v>
          </cell>
          <cell r="CC359" t="str">
            <v>CENCOMLD - Cencosud SA - Mendoza</v>
          </cell>
          <cell r="CD359" t="str">
            <v>CENCOMLD - Cencosud SA - Mendoza</v>
          </cell>
          <cell r="CE359" t="str">
            <v>CENCOMLD - Cencosud SA - Mendoza</v>
          </cell>
          <cell r="CF359" t="str">
            <v>CENCOMLD - Cencosud SA - Mendoza</v>
          </cell>
          <cell r="CG359" t="str">
            <v>CENCOMLD - Cencosud SA - Mendoza</v>
          </cell>
          <cell r="CH359" t="str">
            <v>CENCOMLD - Cencosud SA - Mendoza</v>
          </cell>
          <cell r="CI359" t="str">
            <v>CENCOMLD - Cencosud SA - Mendoza</v>
          </cell>
          <cell r="CJ359" t="str">
            <v>CENCOMLD - Cencosud SA - Mendoza</v>
          </cell>
          <cell r="CK359" t="str">
            <v>CENCOMLD - Cencosud SA - Mendoza</v>
          </cell>
          <cell r="CL359" t="str">
            <v>CENCOMLD - Cencosud SA - Mendoza</v>
          </cell>
          <cell r="CM359" t="str">
            <v>CENCOMLD - Cencosud SA - Mendoza</v>
          </cell>
          <cell r="CN359" t="str">
            <v>CENCOMLD - Cencosud SA - Mendoza</v>
          </cell>
          <cell r="CO359" t="str">
            <v>CENCOMLD - Cencosud SA - Mendoza</v>
          </cell>
          <cell r="CP359" t="str">
            <v>CENCOMLD - Cencosud SA - Mendoza</v>
          </cell>
          <cell r="CQ359" t="str">
            <v>CENCOMLD - Cencosud SA - Mendoza</v>
          </cell>
          <cell r="CR359" t="str">
            <v>CENCOMLD - Cencosud SA - Mendoza</v>
          </cell>
          <cell r="CS359" t="str">
            <v>CENCOMLD - Cencosud SA - Mendoza</v>
          </cell>
          <cell r="CT359" t="str">
            <v>CENCOMLD - Cencosud SA - Mendoza</v>
          </cell>
          <cell r="CU359" t="str">
            <v>CENCOMLD - Cencosud SA - Mendoza</v>
          </cell>
          <cell r="CV359" t="str">
            <v>CENCOMLD - Cencosud SA - Mendoza</v>
          </cell>
          <cell r="CW359" t="str">
            <v>CENCOMLD - Cencosud SA - Mendoza</v>
          </cell>
        </row>
        <row r="360">
          <cell r="D360" t="str">
            <v>LUW863</v>
          </cell>
          <cell r="E360" t="str">
            <v>Acoplado</v>
          </cell>
          <cell r="F360" t="str">
            <v>Acoplado</v>
          </cell>
          <cell r="G360" t="str">
            <v>Acoplado</v>
          </cell>
          <cell r="N360" t="str">
            <v>DYLASA</v>
          </cell>
          <cell r="O360" t="str">
            <v>DYLASA</v>
          </cell>
          <cell r="P360" t="str">
            <v>No</v>
          </cell>
          <cell r="Q360" t="str">
            <v>Propio</v>
          </cell>
          <cell r="R360">
            <v>14</v>
          </cell>
          <cell r="S360" t="str">
            <v>Propio</v>
          </cell>
          <cell r="T360" t="str">
            <v>SOLA Y BRUSA</v>
          </cell>
          <cell r="U360" t="str">
            <v>8C9A0933AC1003568</v>
          </cell>
          <cell r="V360">
            <v>2012</v>
          </cell>
          <cell r="W360" t="str">
            <v>8C9A0933AC1003568</v>
          </cell>
          <cell r="X360">
            <v>2012</v>
          </cell>
          <cell r="Y360">
            <v>14</v>
          </cell>
          <cell r="BD360" t="str">
            <v>CENCO_MZ - Cencosud SA - Mendoza</v>
          </cell>
          <cell r="BE360" t="str">
            <v>CENCO_MZ - Cencosud SA - Mendoza</v>
          </cell>
          <cell r="BF360" t="str">
            <v>CENCO_MZ - Cencosud SA - Mendoza</v>
          </cell>
          <cell r="BG360" t="str">
            <v>CENCO_MZ - Cencosud SA - Mendoza</v>
          </cell>
          <cell r="BH360" t="str">
            <v>CENCO_MZ - Cencosud SA - Mendoza</v>
          </cell>
          <cell r="BI360" t="str">
            <v>CENCO_MZ - Cencosud SA - Mendoza</v>
          </cell>
          <cell r="BJ360" t="str">
            <v>CENCO_MZ - Cencosud SA - Mendoza</v>
          </cell>
          <cell r="BK360" t="str">
            <v>CENCO_MZ - Cencosud SA - Mendoza</v>
          </cell>
          <cell r="BL360" t="str">
            <v>CENCO_MZ - Cencosud SA - Mendoza</v>
          </cell>
          <cell r="BM360" t="str">
            <v>CENCO_MZ - Cencosud SA - Mendoza</v>
          </cell>
          <cell r="BN360" t="str">
            <v>CENCOMLD - Cencosud SA - Mendoza</v>
          </cell>
          <cell r="BO360" t="str">
            <v>CENCOMLD - Cencosud SA - Mendoza</v>
          </cell>
          <cell r="BP360" t="str">
            <v>CENCOMLD - Cencosud SA - Mendoza</v>
          </cell>
          <cell r="BQ360" t="str">
            <v>CENCOMLD - Cencosud SA - Mendoza</v>
          </cell>
          <cell r="BR360" t="str">
            <v>CENCOMLD - Cencosud SA - Mendoza</v>
          </cell>
          <cell r="BS360" t="str">
            <v>CENCOMLD - Cencosud SA - Mendoza</v>
          </cell>
          <cell r="BT360" t="str">
            <v>CENCOMLD - Cencosud SA - Mendoza</v>
          </cell>
          <cell r="BU360" t="str">
            <v>CENCOMLD - Cencosud SA - Mendoza</v>
          </cell>
          <cell r="BV360" t="str">
            <v>CENCOMLD - Cencosud SA - Mendoza</v>
          </cell>
          <cell r="BW360" t="str">
            <v>CENCOMLD - Cencosud SA - Mendoza</v>
          </cell>
          <cell r="BX360" t="str">
            <v>CENCOMLD - Cencosud SA - Mendoza</v>
          </cell>
          <cell r="BY360" t="str">
            <v>CENCOMLD - Cencosud SA - Mendoza</v>
          </cell>
          <cell r="BZ360" t="str">
            <v>CENCOMLD - Cencosud SA - Mendoza</v>
          </cell>
          <cell r="CA360" t="str">
            <v>CENCOMLD - Cencosud SA - Mendoza</v>
          </cell>
          <cell r="CB360" t="str">
            <v>CENCOMLD - Cencosud SA - Mendoza</v>
          </cell>
          <cell r="CC360" t="str">
            <v>CENCOMLD - Cencosud SA - Mendoza</v>
          </cell>
          <cell r="CD360" t="str">
            <v>CENCOMLD - Cencosud SA - Mendoza</v>
          </cell>
          <cell r="CE360" t="str">
            <v>CENCOMLD - Cencosud SA - Mendoza</v>
          </cell>
          <cell r="CF360" t="str">
            <v>CENCOMLD - Cencosud SA - Mendoza</v>
          </cell>
          <cell r="CG360" t="str">
            <v>CENCOMLD - Cencosud SA - Mendoza</v>
          </cell>
          <cell r="CH360" t="str">
            <v>CENCOMLD - Cencosud SA - Mendoza</v>
          </cell>
          <cell r="CI360" t="str">
            <v>CENCOMLD - Cencosud SA - Mendoza</v>
          </cell>
          <cell r="CJ360" t="str">
            <v>CENCOMLD - Cencosud SA - Mendoza</v>
          </cell>
          <cell r="CK360" t="str">
            <v>CENCOMLD - Cencosud SA - Mendoza</v>
          </cell>
          <cell r="CL360" t="str">
            <v>CENCOMLD - Cencosud SA - Mendoza</v>
          </cell>
          <cell r="CM360" t="str">
            <v>CENCOMLD - Cencosud SA - Mendoza</v>
          </cell>
          <cell r="CN360" t="str">
            <v>CENCOMLD - Cencosud SA - Mendoza</v>
          </cell>
          <cell r="CO360" t="str">
            <v>CENCOMLD - Cencosud SA - Mendoza</v>
          </cell>
          <cell r="CP360" t="str">
            <v>CENCOMLD - Cencosud SA - Mendoza</v>
          </cell>
          <cell r="CQ360" t="str">
            <v>CENCOMLD - Cencosud SA - Mendoza</v>
          </cell>
          <cell r="CR360" t="str">
            <v>CENCOMLD - Cencosud SA - Mendoza</v>
          </cell>
          <cell r="CS360" t="str">
            <v>CENCOMLD - Cencosud SA - Mendoza</v>
          </cell>
          <cell r="CT360" t="str">
            <v>CENCOMLD - Cencosud SA - Mendoza</v>
          </cell>
          <cell r="CU360" t="str">
            <v>CENCOMLD - Cencosud SA - Mendoza</v>
          </cell>
          <cell r="CV360" t="str">
            <v>CENCOMLD - Cencosud SA - Mendoza</v>
          </cell>
          <cell r="CW360" t="str">
            <v>CENCOMLD - Cencosud SA - Mendoza</v>
          </cell>
        </row>
        <row r="361">
          <cell r="D361" t="str">
            <v>LXH429</v>
          </cell>
          <cell r="E361" t="str">
            <v>UTILITARIO</v>
          </cell>
          <cell r="F361">
            <v>0</v>
          </cell>
          <cell r="G361" t="str">
            <v>Camioneta</v>
          </cell>
          <cell r="N361" t="str">
            <v>CORREDATO ANDRES LUIS</v>
          </cell>
          <cell r="O361" t="str">
            <v>CORREDATO ANDRES LUIS</v>
          </cell>
          <cell r="P361" t="str">
            <v>No</v>
          </cell>
          <cell r="Q361" t="str">
            <v>De Tercero</v>
          </cell>
          <cell r="R361" t="str">
            <v>-</v>
          </cell>
          <cell r="S361" t="str">
            <v>De Tercero</v>
          </cell>
          <cell r="T361" t="str">
            <v>Renault</v>
          </cell>
          <cell r="U361" t="str">
            <v>Master 2.5</v>
          </cell>
          <cell r="V361">
            <v>2012</v>
          </cell>
          <cell r="W361">
            <v>14</v>
          </cell>
          <cell r="X361">
            <v>2012</v>
          </cell>
          <cell r="Y361">
            <v>14</v>
          </cell>
          <cell r="Z361" t="str">
            <v>TDU</v>
          </cell>
          <cell r="AA361" t="str">
            <v>AGN_TTE - AGUANORT - Transporte</v>
          </cell>
          <cell r="AB361" t="str">
            <v>CMQ_TTE - QUILMES TTE</v>
          </cell>
          <cell r="AC361" t="str">
            <v>CMQ_TTE - QUILMES TTE</v>
          </cell>
          <cell r="AD361" t="str">
            <v>CMQ_TTE - QUILMES TTE</v>
          </cell>
          <cell r="AE361" t="str">
            <v>CMQ_TTE - QUILMES TTE</v>
          </cell>
          <cell r="AF361" t="str">
            <v>CMQ_TTE - QUILMES TTE</v>
          </cell>
          <cell r="AG361" t="str">
            <v>CMQ_TTE - QUILMES TTE</v>
          </cell>
          <cell r="AH361" t="str">
            <v>CMQ_TTE - QUILMES TTE</v>
          </cell>
          <cell r="AI361" t="str">
            <v>CMQ_TTE - QUILMES TTE</v>
          </cell>
          <cell r="AJ361" t="str">
            <v>CMQ_TTE - QUILMES TTE</v>
          </cell>
          <cell r="AK361" t="str">
            <v>CMQ_TTE - QUILMES TTE</v>
          </cell>
          <cell r="AL361" t="str">
            <v>CMQ_TTE - QUILMES TTE</v>
          </cell>
          <cell r="AM361" t="str">
            <v>CMQ_TTE - QUILMES TTE</v>
          </cell>
          <cell r="AN361" t="str">
            <v>CMQ_TTE - QUILMES TTE</v>
          </cell>
          <cell r="AO361" t="str">
            <v>CMQ_TTE - QUILMES TTE</v>
          </cell>
          <cell r="AP361" t="str">
            <v>CMQ_TTE - QUILMES TTE</v>
          </cell>
          <cell r="AQ361" t="str">
            <v>CMQ_TTE - QUILMES TTE</v>
          </cell>
          <cell r="AR361" t="str">
            <v>CMQ_TTE - QUILMES TTE</v>
          </cell>
          <cell r="AS361" t="str">
            <v>CMQ_TTE - QUILMES TTE</v>
          </cell>
          <cell r="AT361" t="str">
            <v>CMQ_TTE - QUILMES TTE</v>
          </cell>
          <cell r="AU361" t="str">
            <v>CMQ_TTE - QUILMES TTE</v>
          </cell>
          <cell r="AV361" t="str">
            <v>CMQ_TTE - QUILMES TTE</v>
          </cell>
          <cell r="AW361" t="str">
            <v>CMQ_TTE - QUILMES TTE</v>
          </cell>
          <cell r="AX361" t="str">
            <v>CMQ_TTE - QUILMES TTE</v>
          </cell>
          <cell r="AY361" t="str">
            <v>CMQ_TTE - QUILMES TTE</v>
          </cell>
          <cell r="AZ361" t="str">
            <v>CMQ_TTE - QUILMES TTE</v>
          </cell>
          <cell r="BA361" t="str">
            <v>CMQ_TTE - QUILMES TTE</v>
          </cell>
          <cell r="BB361" t="str">
            <v>CMQ_TTE - QUILMES TTE</v>
          </cell>
          <cell r="BC361" t="str">
            <v>CMQ_TTE - QUILMES TTE</v>
          </cell>
          <cell r="BD361" t="str">
            <v>CMQ_TTE - QUILMES TTE</v>
          </cell>
          <cell r="BE361" t="str">
            <v>CMQ_TTE - QUILMES TTE</v>
          </cell>
          <cell r="BF361" t="str">
            <v>CMQ_TTE - QUILMES TTE</v>
          </cell>
          <cell r="BG361" t="str">
            <v>CMQ_TTE - QUILMES TTE</v>
          </cell>
          <cell r="BH361" t="str">
            <v>INACTIVO</v>
          </cell>
          <cell r="BI361" t="str">
            <v>INACTIVO</v>
          </cell>
          <cell r="BJ361" t="str">
            <v>INACTIVO</v>
          </cell>
          <cell r="BK361" t="str">
            <v>INACTIVO</v>
          </cell>
          <cell r="BL361" t="str">
            <v>INACTIVO</v>
          </cell>
          <cell r="BM361" t="str">
            <v>INACTIVO</v>
          </cell>
          <cell r="BN361" t="str">
            <v>INACTIVO</v>
          </cell>
          <cell r="BO361" t="str">
            <v>INACTIVO</v>
          </cell>
          <cell r="BP361" t="str">
            <v>INACTIVO</v>
          </cell>
          <cell r="BQ361" t="str">
            <v>INACTIVO</v>
          </cell>
          <cell r="BR361" t="str">
            <v>INACTIVO</v>
          </cell>
          <cell r="BS361" t="str">
            <v>INACTIVO</v>
          </cell>
          <cell r="BT361" t="str">
            <v>INACTIVO</v>
          </cell>
          <cell r="BU361" t="str">
            <v>INACTIVO</v>
          </cell>
          <cell r="BV361" t="str">
            <v>INACTIVO</v>
          </cell>
          <cell r="BW361" t="str">
            <v>INACTIVO</v>
          </cell>
          <cell r="BX361" t="str">
            <v>INACTIVO</v>
          </cell>
          <cell r="BY361" t="str">
            <v>INACTIVO</v>
          </cell>
          <cell r="BZ361" t="str">
            <v>INACTIVO</v>
          </cell>
          <cell r="CA361" t="str">
            <v>INACTIVO</v>
          </cell>
          <cell r="CB361" t="str">
            <v>INACTIVO</v>
          </cell>
          <cell r="CC361" t="str">
            <v>BAJA</v>
          </cell>
          <cell r="CD361" t="str">
            <v>BAJA</v>
          </cell>
          <cell r="CE361" t="str">
            <v>BAJA</v>
          </cell>
          <cell r="CF361" t="str">
            <v>BAJA</v>
          </cell>
          <cell r="CG361" t="str">
            <v>BAJA</v>
          </cell>
          <cell r="CH361" t="str">
            <v>BAJA</v>
          </cell>
          <cell r="CI361" t="str">
            <v>BAJA</v>
          </cell>
          <cell r="CJ361" t="str">
            <v>BAJA</v>
          </cell>
          <cell r="CK361" t="str">
            <v>BAJA</v>
          </cell>
          <cell r="CL361" t="str">
            <v>BAJA</v>
          </cell>
          <cell r="CM361" t="str">
            <v>BAJA</v>
          </cell>
          <cell r="CN361" t="str">
            <v>BAJA</v>
          </cell>
          <cell r="CO361" t="str">
            <v>BAJA</v>
          </cell>
          <cell r="CP361" t="str">
            <v>BAJA</v>
          </cell>
          <cell r="CQ361" t="str">
            <v>BAJA</v>
          </cell>
          <cell r="CR361" t="str">
            <v>BAJA</v>
          </cell>
          <cell r="CS361" t="str">
            <v>BAJA</v>
          </cell>
          <cell r="CT361" t="str">
            <v>BAJA</v>
          </cell>
          <cell r="CU361" t="str">
            <v>BAJA</v>
          </cell>
          <cell r="CV361" t="str">
            <v>BAJA</v>
          </cell>
          <cell r="CW361" t="str">
            <v>BAJA</v>
          </cell>
        </row>
        <row r="362">
          <cell r="D362" t="str">
            <v>LXM511</v>
          </cell>
          <cell r="E362" t="str">
            <v>Acoplado</v>
          </cell>
          <cell r="F362" t="str">
            <v>Acoplado</v>
          </cell>
          <cell r="G362" t="str">
            <v>Acoplado</v>
          </cell>
          <cell r="N362" t="str">
            <v>DYLASA</v>
          </cell>
          <cell r="O362" t="str">
            <v>DYLASA</v>
          </cell>
          <cell r="P362" t="str">
            <v>No</v>
          </cell>
          <cell r="Q362" t="str">
            <v>Propio</v>
          </cell>
          <cell r="R362">
            <v>14</v>
          </cell>
          <cell r="S362" t="str">
            <v>Propio</v>
          </cell>
          <cell r="T362" t="str">
            <v>BONANO</v>
          </cell>
          <cell r="U362" t="str">
            <v>8CB3ACZZZCB000621</v>
          </cell>
          <cell r="V362">
            <v>2012</v>
          </cell>
          <cell r="W362" t="str">
            <v>8CB3ACZZZCB000621</v>
          </cell>
          <cell r="X362">
            <v>2012</v>
          </cell>
          <cell r="Y362">
            <v>14</v>
          </cell>
          <cell r="BD362" t="str">
            <v>CENCO_MZ - Cencosud SA - Mendoza</v>
          </cell>
          <cell r="BE362" t="str">
            <v>CENCO_MZ - Cencosud SA - Mendoza</v>
          </cell>
          <cell r="BF362" t="str">
            <v>CENCO_MZ - Cencosud SA - Mendoza</v>
          </cell>
          <cell r="BG362" t="str">
            <v>CENCO_MZ - Cencosud SA - Mendoza</v>
          </cell>
          <cell r="BH362" t="str">
            <v>CENCO_MZ - Cencosud SA - Mendoza</v>
          </cell>
          <cell r="BI362" t="str">
            <v>CENCO_MZ - Cencosud SA - Mendoza</v>
          </cell>
          <cell r="BJ362" t="str">
            <v>CENCO_MZ - Cencosud SA - Mendoza</v>
          </cell>
          <cell r="BK362" t="str">
            <v>CENCO_MZ - Cencosud SA - Mendoza</v>
          </cell>
          <cell r="BL362" t="str">
            <v>CENCO_MZ - Cencosud SA - Mendoza</v>
          </cell>
          <cell r="BM362" t="str">
            <v>CENCO_MZ - Cencosud SA - Mendoza</v>
          </cell>
          <cell r="BN362" t="str">
            <v>CENCOMLD - Cencosud SA - Mendoza</v>
          </cell>
          <cell r="BO362" t="str">
            <v>CENCOMLD - Cencosud SA - Mendoza</v>
          </cell>
          <cell r="BP362" t="str">
            <v>CENCOMLD - Cencosud SA - Mendoza</v>
          </cell>
          <cell r="BQ362" t="str">
            <v>CENCOMLD - Cencosud SA - Mendoza</v>
          </cell>
          <cell r="BR362" t="str">
            <v>CENCOMLD - Cencosud SA - Mendoza</v>
          </cell>
          <cell r="BS362" t="str">
            <v>CENCOMLD - Cencosud SA - Mendoza</v>
          </cell>
          <cell r="BT362" t="str">
            <v>CENCOMLD - Cencosud SA - Mendoza</v>
          </cell>
          <cell r="BU362" t="str">
            <v>CENCOMLD - Cencosud SA - Mendoza</v>
          </cell>
          <cell r="BV362" t="str">
            <v>CENCOMLD - Cencosud SA - Mendoza</v>
          </cell>
          <cell r="BW362" t="str">
            <v>CENCOMLD - Cencosud SA - Mendoza</v>
          </cell>
          <cell r="BX362" t="str">
            <v>CENCOMLD - Cencosud SA - Mendoza</v>
          </cell>
          <cell r="BY362" t="str">
            <v>CENCOMLD - Cencosud SA - Mendoza</v>
          </cell>
          <cell r="BZ362" t="str">
            <v>CENCOMLD - Cencosud SA - Mendoza</v>
          </cell>
          <cell r="CA362" t="str">
            <v>CENCOMLD - Cencosud SA - Mendoza</v>
          </cell>
          <cell r="CB362" t="str">
            <v>CENCOMLD - Cencosud SA - Mendoza</v>
          </cell>
          <cell r="CC362" t="str">
            <v>CENCOMLD - Cencosud SA - Mendoza</v>
          </cell>
          <cell r="CD362" t="str">
            <v>CENCOMLD - Cencosud SA - Mendoza</v>
          </cell>
          <cell r="CE362" t="str">
            <v>CENCOMLD - Cencosud SA - Mendoza</v>
          </cell>
          <cell r="CF362" t="str">
            <v>CENCOMLD - Cencosud SA - Mendoza</v>
          </cell>
          <cell r="CG362" t="str">
            <v>CENCOMLD - Cencosud SA - Mendoza</v>
          </cell>
          <cell r="CH362" t="str">
            <v>CENCOMLD - Cencosud SA - Mendoza</v>
          </cell>
          <cell r="CI362" t="str">
            <v>CENCOMLD - Cencosud SA - Mendoza</v>
          </cell>
          <cell r="CJ362" t="str">
            <v>CENCOMLD - Cencosud SA - Mendoza</v>
          </cell>
          <cell r="CK362" t="str">
            <v>CENCOMLD - Cencosud SA - Mendoza</v>
          </cell>
          <cell r="CL362" t="str">
            <v>CENCOMLD - Cencosud SA - Mendoza</v>
          </cell>
          <cell r="CM362" t="str">
            <v>CENCOMLD - Cencosud SA - Mendoza</v>
          </cell>
          <cell r="CN362" t="str">
            <v>CENCOMLD - Cencosud SA - Mendoza</v>
          </cell>
          <cell r="CO362" t="str">
            <v>CENCOMLD - Cencosud SA - Mendoza</v>
          </cell>
          <cell r="CP362" t="str">
            <v>CENCOMLD - Cencosud SA - Mendoza</v>
          </cell>
          <cell r="CQ362" t="str">
            <v>CENCOMLD - Cencosud SA - Mendoza</v>
          </cell>
          <cell r="CR362" t="str">
            <v>CENCOMLD - Cencosud SA - Mendoza</v>
          </cell>
          <cell r="CS362" t="str">
            <v>CENCOMLD - Cencosud SA - Mendoza</v>
          </cell>
          <cell r="CT362" t="str">
            <v>CENCOMLD - Cencosud SA - Mendoza</v>
          </cell>
          <cell r="CU362" t="str">
            <v>CENCOMLD - Cencosud SA - Mendoza</v>
          </cell>
          <cell r="CV362" t="str">
            <v>CENCOMLD - Cencosud SA - Mendoza</v>
          </cell>
          <cell r="CW362" t="str">
            <v>CENCOMLD - Cencosud SA - Mendoza</v>
          </cell>
        </row>
        <row r="363">
          <cell r="D363" t="str">
            <v>MAO550</v>
          </cell>
          <cell r="E363" t="str">
            <v>Chasis</v>
          </cell>
          <cell r="F363">
            <v>0</v>
          </cell>
          <cell r="G363" t="str">
            <v>Balancin</v>
          </cell>
          <cell r="N363" t="str">
            <v>GIRON ELIBERTO</v>
          </cell>
          <cell r="O363" t="str">
            <v>GIRON ELIBERTO</v>
          </cell>
          <cell r="P363" t="str">
            <v>No</v>
          </cell>
          <cell r="Q363" t="str">
            <v>De Tercero</v>
          </cell>
          <cell r="R363" t="str">
            <v>-</v>
          </cell>
          <cell r="S363" t="str">
            <v>De Tercero</v>
          </cell>
          <cell r="T363" t="str">
            <v>MERCEDES BENZ</v>
          </cell>
          <cell r="U363" t="str">
            <v>ATEGO 1725</v>
          </cell>
          <cell r="V363">
            <v>2013</v>
          </cell>
          <cell r="W363">
            <v>13</v>
          </cell>
          <cell r="X363">
            <v>2013</v>
          </cell>
          <cell r="Y363">
            <v>13</v>
          </cell>
          <cell r="Z363" t="str">
            <v>No operativo</v>
          </cell>
          <cell r="AA363" t="str">
            <v>AGN_TTE - AGUANORT - Transporte</v>
          </cell>
          <cell r="AB363" t="str">
            <v>AGN_TTE - AGUANORT - Transporte</v>
          </cell>
          <cell r="AC363" t="str">
            <v>AGN_TTE - AGUANORT - Transporte</v>
          </cell>
          <cell r="AD363" t="str">
            <v>AGN_TTE - AGUANORT - Transporte</v>
          </cell>
          <cell r="AE363" t="str">
            <v>AGN_TTE - AGUANORT - Transporte</v>
          </cell>
          <cell r="AF363" t="str">
            <v>AGN_TTE - AGUANORT - Transporte</v>
          </cell>
          <cell r="AG363" t="str">
            <v>AGN_TTE - AGUANORT - Transporte</v>
          </cell>
          <cell r="AH363" t="str">
            <v>AGN_TTE - AGUANORT - Transporte</v>
          </cell>
          <cell r="AI363" t="str">
            <v>AGN_TTE - AGUANORT - Transporte</v>
          </cell>
          <cell r="AJ363" t="str">
            <v>AGN_TTE - AGUANORT - Transporte</v>
          </cell>
          <cell r="AK363" t="str">
            <v>AGN_TTE - AGUANORT - Transporte</v>
          </cell>
          <cell r="AL363" t="str">
            <v>AGN_TTE - AGUANORT - Transporte</v>
          </cell>
          <cell r="AM363" t="str">
            <v>AGN_TTE - AGUANORT - Transporte</v>
          </cell>
          <cell r="AN363" t="str">
            <v>AGN_TTE - AGUANORT - Transporte</v>
          </cell>
          <cell r="AO363" t="str">
            <v>AGN_TTE - AGUANORT - Transporte</v>
          </cell>
          <cell r="AP363" t="str">
            <v>AGN_TTE - AGUANORT - Transporte</v>
          </cell>
          <cell r="AQ363" t="str">
            <v>AGN_TTE - AGUANORT - Transporte</v>
          </cell>
          <cell r="AR363" t="str">
            <v>AGN_TTE - AGUANORT - Transporte</v>
          </cell>
          <cell r="AS363" t="str">
            <v>AGN_TTE - AGUANORT - Transporte</v>
          </cell>
          <cell r="AT363" t="str">
            <v>AGN_TTE - AGUANORT - Transporte</v>
          </cell>
          <cell r="AU363" t="str">
            <v>AGN_TTE - AGUANORT - Transporte</v>
          </cell>
          <cell r="AV363" t="str">
            <v>AGN_TTE - AGUANORT - Transporte</v>
          </cell>
          <cell r="AW363" t="str">
            <v>AGN_TTE - AGUANORT - Transporte</v>
          </cell>
          <cell r="AX363" t="str">
            <v>INACTIVO</v>
          </cell>
          <cell r="AY363" t="str">
            <v>INACTIVO</v>
          </cell>
          <cell r="AZ363" t="str">
            <v>INACTIVO</v>
          </cell>
          <cell r="BA363" t="str">
            <v>INACTIVO</v>
          </cell>
          <cell r="BB363" t="str">
            <v>INACTIVO</v>
          </cell>
          <cell r="BC363" t="str">
            <v>INACTIVO</v>
          </cell>
          <cell r="BD363" t="str">
            <v>CMQ_TTE - QUILMES TTE</v>
          </cell>
          <cell r="BE363" t="str">
            <v>CMQ_TTE - QUILMES TTE</v>
          </cell>
          <cell r="BF363" t="str">
            <v>CMQ_TTE - QUILMES TTE</v>
          </cell>
          <cell r="BG363" t="str">
            <v>CMQ_TTE - QUILMES TTE</v>
          </cell>
          <cell r="BH363" t="str">
            <v>CMQ_TTE - QUILMES TTE</v>
          </cell>
          <cell r="BI363" t="str">
            <v>CMQ_TTE - QUILMES TTE</v>
          </cell>
          <cell r="BJ363" t="str">
            <v>CMQ_TTE - QUILMES TTE</v>
          </cell>
          <cell r="BK363" t="str">
            <v>CMQ_TTE - QUILMES TTE</v>
          </cell>
          <cell r="BL363" t="str">
            <v>CMQ_TTE - QUILMES TTE</v>
          </cell>
          <cell r="BM363" t="str">
            <v>CMQ_TTE - QUILMES TTE</v>
          </cell>
          <cell r="BN363" t="str">
            <v>CMQ_TTE - QUILMES TTE</v>
          </cell>
          <cell r="BO363" t="str">
            <v>CMQ_TTE - QUILMES TTE</v>
          </cell>
          <cell r="BP363" t="str">
            <v>CMQ_TTE - QUILMES TTE</v>
          </cell>
          <cell r="BQ363" t="str">
            <v>CMQ_TTE - QUILMES TTE</v>
          </cell>
          <cell r="BR363" t="str">
            <v>CMQ_TTE - QUILMES TTE</v>
          </cell>
          <cell r="BS363" t="str">
            <v>CMQ_TTE - QUILMES TTE</v>
          </cell>
          <cell r="BT363" t="str">
            <v>CMQ_TTE - QUILMES TTE</v>
          </cell>
          <cell r="BU363" t="str">
            <v>CMQ_TTE - QUILMES TTE</v>
          </cell>
          <cell r="BV363" t="str">
            <v>CMQ_TTE - QUILMES TTE</v>
          </cell>
          <cell r="BW363" t="str">
            <v>CMQ_TTE - QUILMES TTE</v>
          </cell>
          <cell r="BX363" t="str">
            <v>CMQ_TTE - QUILMES TTE</v>
          </cell>
          <cell r="BY363" t="str">
            <v>CMQ_TTE - QUILMES TTE</v>
          </cell>
          <cell r="BZ363" t="str">
            <v>CMQ_TTE - QUILMES TTE</v>
          </cell>
          <cell r="CA363" t="str">
            <v>CMQ_TTE - QUILMES TTE</v>
          </cell>
          <cell r="CB363" t="str">
            <v>CMQ_TTE - QUILMES TTE</v>
          </cell>
          <cell r="CC363" t="str">
            <v>CMQ_TTE - QUILMES TTE</v>
          </cell>
          <cell r="CD363" t="str">
            <v>CMQ_TTE - QUILMES TTE</v>
          </cell>
          <cell r="CE363" t="str">
            <v>CMQ_TTE - QUILMES TTE</v>
          </cell>
          <cell r="CF363" t="str">
            <v>CMQ_TTE - QUILMES TTE</v>
          </cell>
          <cell r="CG363" t="str">
            <v>CMQ_TTE - QUILMES TTE</v>
          </cell>
          <cell r="CH363" t="str">
            <v>CMQ_TTE - QUILMES TTE</v>
          </cell>
          <cell r="CI363" t="str">
            <v>CMQ_TTE - QUILMES TTE</v>
          </cell>
          <cell r="CJ363" t="str">
            <v>CMQ_TTE - QUILMES TTE</v>
          </cell>
          <cell r="CK363" t="str">
            <v>CMQ_TTE - QUILMES TTE</v>
          </cell>
          <cell r="CL363" t="str">
            <v>CMQ_TTE - QUILMES TTE</v>
          </cell>
          <cell r="CM363" t="str">
            <v>CMQ_TTE - QUILMES TTE</v>
          </cell>
          <cell r="CN363" t="str">
            <v>CMQ_TTE - QUILMES TTE</v>
          </cell>
          <cell r="CO363" t="str">
            <v>CMQ_TTE - QUILMES TTE</v>
          </cell>
          <cell r="CP363" t="str">
            <v>CMQ_TTE - QUILMES TTE</v>
          </cell>
          <cell r="CQ363" t="str">
            <v>CMQ_TTE - QUILMES TTE</v>
          </cell>
          <cell r="CR363" t="str">
            <v>CMQ_TTE - QUILMES TTE</v>
          </cell>
          <cell r="CS363" t="str">
            <v>CMQ_TTE - QUILMES TTE</v>
          </cell>
          <cell r="CT363" t="str">
            <v>CMQ_TTE - QUILMES TTE</v>
          </cell>
          <cell r="CU363" t="str">
            <v>CMQ_TTE - QUILMES TTE</v>
          </cell>
          <cell r="CV363" t="str">
            <v>CMQ_TTE - QUILMES TTE</v>
          </cell>
          <cell r="CW363" t="str">
            <v>CMQ_TTE - QUILMES TTE</v>
          </cell>
        </row>
        <row r="364">
          <cell r="D364" t="str">
            <v>MFW350</v>
          </cell>
          <cell r="E364" t="str">
            <v>Semiremolque</v>
          </cell>
          <cell r="F364">
            <v>0</v>
          </cell>
          <cell r="G364" t="str">
            <v>Semiremolque</v>
          </cell>
          <cell r="N364" t="str">
            <v>INDUSTRIAS CECCONI SRL-VISINTIN MARCOS CLAUDIO-</v>
          </cell>
          <cell r="O364" t="str">
            <v>INDUSTRIAS CECCONI SRL-VISINTIN MARCOS CLAUDIO-</v>
          </cell>
          <cell r="P364" t="str">
            <v>No</v>
          </cell>
          <cell r="Q364" t="str">
            <v>Alquilados</v>
          </cell>
          <cell r="R364" t="str">
            <v>-</v>
          </cell>
          <cell r="S364" t="str">
            <v>Alquilados</v>
          </cell>
          <cell r="T364" t="str">
            <v>MIC</v>
          </cell>
          <cell r="U364" t="str">
            <v>8B9 S1J534D T 365004</v>
          </cell>
          <cell r="V364">
            <v>2013</v>
          </cell>
          <cell r="W364" t="str">
            <v>8B9 S1J534D T 365004</v>
          </cell>
          <cell r="X364">
            <v>2013</v>
          </cell>
          <cell r="Y364">
            <v>13</v>
          </cell>
          <cell r="Z364" t="str">
            <v>Danone Chascomus</v>
          </cell>
          <cell r="AA364" t="str">
            <v>ADA_CH - Danone Arg. S.A. - Chascomus</v>
          </cell>
          <cell r="AB364" t="str">
            <v>ADA_CH - Danone Arg. S.A. - Chascomus</v>
          </cell>
          <cell r="AC364" t="str">
            <v>ADA_CH - Danone Arg. S.A. - Chascomus</v>
          </cell>
          <cell r="AD364" t="str">
            <v>ADA_CH - Danone Arg. S.A. - Chascomus</v>
          </cell>
          <cell r="AE364" t="str">
            <v>ADA_CH - Danone Arg. S.A. - Chascomus</v>
          </cell>
          <cell r="AF364" t="str">
            <v>ADA_CH - Danone Arg. S.A. - Chascomus</v>
          </cell>
          <cell r="AG364" t="str">
            <v>ADA_CH - Danone Arg. S.A. - Chascomus</v>
          </cell>
          <cell r="AH364" t="str">
            <v>ADA_CH - Danone Arg. S.A. - Chascomus</v>
          </cell>
          <cell r="AI364" t="str">
            <v>ADA_CH - Danone Arg. S.A. - Chascomus</v>
          </cell>
          <cell r="AJ364" t="str">
            <v>ADA_CH - Danone Arg. S.A. - Chascomus</v>
          </cell>
          <cell r="AK364" t="str">
            <v>ADA_CH - Danone Arg. S.A. - Chascomus</v>
          </cell>
          <cell r="AL364" t="str">
            <v>ADA_CH - Danone Arg. S.A. - Chascomus</v>
          </cell>
          <cell r="AM364" t="str">
            <v>ADA_CH - Danone Arg. S.A. - Chascomus</v>
          </cell>
          <cell r="AN364" t="str">
            <v>ADA_CH - Danone Arg. S.A. - Chascomus</v>
          </cell>
          <cell r="AO364" t="str">
            <v>ADA_CH - Danone Arg. S.A. - Chascomus</v>
          </cell>
          <cell r="AP364" t="str">
            <v>ADA_CH - Danone Arg. S.A. - Chascomus</v>
          </cell>
          <cell r="AQ364" t="str">
            <v>ADA_CH - Danone Arg. S.A. - Chascomus</v>
          </cell>
          <cell r="AR364" t="str">
            <v>ADA_CH - Danone Arg. S.A. - Chascomus</v>
          </cell>
          <cell r="AS364" t="str">
            <v>ADA_CH - Danone Arg. S.A. - Chascomus</v>
          </cell>
          <cell r="AT364" t="str">
            <v>ADA_CH - Danone Arg. S.A. - Chascomus</v>
          </cell>
          <cell r="AU364" t="str">
            <v>ADA_CH - Danone Arg. S.A. - Chascomus</v>
          </cell>
          <cell r="AV364" t="str">
            <v>ADA_CH - Danone Arg. S.A. - Chascomus</v>
          </cell>
          <cell r="AW364" t="str">
            <v>ADA_CH - Danone Arg. S.A. - Chascomus</v>
          </cell>
          <cell r="AX364" t="str">
            <v>ADA_CH - Danone Arg. S.A. - Chascomus</v>
          </cell>
          <cell r="AY364" t="str">
            <v>ADA_CH - Danone Arg. S.A. - Chascomus</v>
          </cell>
          <cell r="AZ364" t="str">
            <v>ADA_CH - Danone Arg. S.A. - Chascomus</v>
          </cell>
          <cell r="BA364" t="str">
            <v>ADA_CH - Danone Arg. S.A. - Chascomus</v>
          </cell>
          <cell r="BB364" t="str">
            <v>ADA_CH - Danone Arg. S.A. - Chascomus</v>
          </cell>
          <cell r="BC364" t="str">
            <v>ADA_CH - Danone Arg. S.A. - Chascomus</v>
          </cell>
          <cell r="BD364" t="str">
            <v>ADA_CH - Danone Arg. S.A. - Chascomus</v>
          </cell>
          <cell r="BE364" t="str">
            <v>ADA_CH - Danone Arg. S.A. - Chascomus</v>
          </cell>
          <cell r="BF364" t="str">
            <v>ADA_CH - Danone Arg. S.A. - Chascomus</v>
          </cell>
          <cell r="BG364" t="str">
            <v>ADA_CH - Danone Arg. S.A. - Chascomus</v>
          </cell>
          <cell r="BH364" t="str">
            <v>INACTIVO</v>
          </cell>
          <cell r="BI364" t="str">
            <v>INACTIVO</v>
          </cell>
          <cell r="BJ364" t="str">
            <v>INACTIVO</v>
          </cell>
          <cell r="BK364" t="str">
            <v>INACTIVO</v>
          </cell>
          <cell r="BL364" t="str">
            <v>INACTIVO</v>
          </cell>
          <cell r="BM364" t="str">
            <v>INACTIVO</v>
          </cell>
          <cell r="BN364" t="str">
            <v>INACTIVO</v>
          </cell>
          <cell r="BO364" t="str">
            <v>INACTIVO</v>
          </cell>
          <cell r="BP364" t="str">
            <v>INACTIVO</v>
          </cell>
          <cell r="BQ364" t="str">
            <v>INACTIVO</v>
          </cell>
          <cell r="BR364" t="str">
            <v>INACTIVO</v>
          </cell>
          <cell r="BS364" t="str">
            <v>INACTIVO</v>
          </cell>
          <cell r="BT364" t="str">
            <v>INACTIVO</v>
          </cell>
          <cell r="BU364" t="str">
            <v>INACTIVO</v>
          </cell>
          <cell r="BV364" t="str">
            <v>INACTIVO</v>
          </cell>
          <cell r="BW364" t="str">
            <v>INACTIVO</v>
          </cell>
          <cell r="BX364" t="str">
            <v>INACTIVO</v>
          </cell>
          <cell r="BY364" t="str">
            <v>INACTIVO</v>
          </cell>
          <cell r="BZ364" t="str">
            <v>INACTIVO</v>
          </cell>
          <cell r="CA364" t="str">
            <v>INACTIVO</v>
          </cell>
          <cell r="CB364" t="str">
            <v>INACTIVO</v>
          </cell>
          <cell r="CC364" t="str">
            <v>BAJA</v>
          </cell>
          <cell r="CD364" t="str">
            <v>BAJA</v>
          </cell>
          <cell r="CE364" t="str">
            <v>BAJA</v>
          </cell>
          <cell r="CF364" t="str">
            <v>BAJA</v>
          </cell>
          <cell r="CG364" t="str">
            <v>BAJA</v>
          </cell>
          <cell r="CH364" t="str">
            <v>BAJA</v>
          </cell>
          <cell r="CI364" t="str">
            <v>BAJA</v>
          </cell>
          <cell r="CJ364" t="str">
            <v>BAJA</v>
          </cell>
          <cell r="CK364" t="str">
            <v>BAJA</v>
          </cell>
          <cell r="CL364" t="str">
            <v>BAJA</v>
          </cell>
          <cell r="CM364" t="str">
            <v>BAJA</v>
          </cell>
          <cell r="CN364" t="str">
            <v>BAJA</v>
          </cell>
          <cell r="CO364" t="str">
            <v>BAJA</v>
          </cell>
          <cell r="CP364" t="str">
            <v>BAJA</v>
          </cell>
          <cell r="CQ364" t="str">
            <v>BAJA</v>
          </cell>
          <cell r="CR364" t="str">
            <v>BAJA</v>
          </cell>
          <cell r="CS364" t="str">
            <v>BAJA</v>
          </cell>
          <cell r="CT364" t="str">
            <v>BAJA</v>
          </cell>
          <cell r="CU364" t="str">
            <v>BAJA</v>
          </cell>
          <cell r="CV364" t="str">
            <v>BAJA</v>
          </cell>
          <cell r="CW364" t="str">
            <v>BAJA</v>
          </cell>
        </row>
        <row r="365">
          <cell r="D365" t="str">
            <v>MVW325</v>
          </cell>
          <cell r="E365" t="str">
            <v>TRACTOR</v>
          </cell>
          <cell r="F365" t="str">
            <v>TRACTOR</v>
          </cell>
          <cell r="G365" t="str">
            <v>TRACTOR</v>
          </cell>
          <cell r="N365" t="str">
            <v>HERRERA CAZAR MARIA FLORENCIA, FIDUCIARIA DEL FIDEICOMISO DE ADMINISTRACION BEAR &amp; DAUGHTERS</v>
          </cell>
          <cell r="O365" t="str">
            <v>HERRERA CAZAR MARIA FLORENCIA,</v>
          </cell>
          <cell r="P365" t="str">
            <v>No</v>
          </cell>
          <cell r="Q365" t="str">
            <v>De Tercero</v>
          </cell>
          <cell r="R365" t="str">
            <v>-</v>
          </cell>
          <cell r="S365" t="str">
            <v>De Tercero</v>
          </cell>
          <cell r="T365" t="str">
            <v>VOLKSWAGEN</v>
          </cell>
          <cell r="U365" t="str">
            <v>19320E</v>
          </cell>
          <cell r="V365">
            <v>36408304</v>
          </cell>
          <cell r="W365" t="str">
            <v>9535J8275DR308886</v>
          </cell>
          <cell r="X365">
            <v>2013</v>
          </cell>
          <cell r="CH365" t="str">
            <v>SUC_MEN - Sucursal Mendoza</v>
          </cell>
          <cell r="CI365" t="str">
            <v>SUC_MEN - Sucursal Mendoza</v>
          </cell>
          <cell r="CJ365" t="str">
            <v>SUC_MEN - Sucursal Mendoza</v>
          </cell>
          <cell r="CK365" t="str">
            <v>SUC_MEN - Sucursal Mendoza</v>
          </cell>
          <cell r="CL365" t="str">
            <v>SUC_MEN - Sucursal Mendoza</v>
          </cell>
          <cell r="CM365" t="str">
            <v>SUC_MEN - Sucursal Mendoza</v>
          </cell>
          <cell r="CN365" t="str">
            <v>SUC_MEN - Sucursal Mendoza</v>
          </cell>
          <cell r="CO365" t="str">
            <v>SUC_MEN - Sucursal Mendoza</v>
          </cell>
          <cell r="CP365" t="str">
            <v>SUC_MEN - Sucursal Mendoza</v>
          </cell>
          <cell r="CQ365" t="str">
            <v>SUC_MEN - Sucursal Mendoza</v>
          </cell>
          <cell r="CR365" t="str">
            <v>SUC_MEN - Sucursal Mendoza</v>
          </cell>
          <cell r="CS365" t="str">
            <v>SUC_MEN - Sucursal Mendoza</v>
          </cell>
          <cell r="CT365" t="str">
            <v>SUC_MEN - Sucursal Mendoza</v>
          </cell>
          <cell r="CU365" t="str">
            <v>SUC_MEN - Sucursal Mendoza</v>
          </cell>
          <cell r="CV365" t="str">
            <v>SUC_MEN - Sucursal Mendoza</v>
          </cell>
          <cell r="CW365" t="str">
            <v>SUC_MEN - Sucursal Mendoza</v>
          </cell>
        </row>
        <row r="366">
          <cell r="D366" t="str">
            <v>MYR537</v>
          </cell>
          <cell r="E366" t="str">
            <v>Chasis</v>
          </cell>
          <cell r="F366" t="str">
            <v>Chasis</v>
          </cell>
          <cell r="G366" t="str">
            <v>Chasis caja Baranda</v>
          </cell>
          <cell r="N366" t="str">
            <v>DYLASA</v>
          </cell>
          <cell r="O366" t="str">
            <v>DYLASA</v>
          </cell>
          <cell r="P366" t="str">
            <v>No</v>
          </cell>
          <cell r="Q366" t="str">
            <v>Propio</v>
          </cell>
          <cell r="R366">
            <v>10</v>
          </cell>
          <cell r="S366" t="str">
            <v>Propio</v>
          </cell>
          <cell r="T366" t="str">
            <v>MERCEDES BENZ</v>
          </cell>
          <cell r="U366" t="str">
            <v>ATEGO 1725</v>
          </cell>
          <cell r="V366" t="str">
            <v>906985U1059028</v>
          </cell>
          <cell r="W366" t="str">
            <v>9BM958072EB911467</v>
          </cell>
          <cell r="X366">
            <v>2013</v>
          </cell>
          <cell r="Y366">
            <v>13</v>
          </cell>
          <cell r="BD366" t="str">
            <v>CENCO_MZ - Cencosud SA - Mendoza</v>
          </cell>
          <cell r="BE366" t="str">
            <v>CENCO_MZ - Cencosud SA - Mendoza</v>
          </cell>
          <cell r="BF366" t="str">
            <v>CENCO_MZ - Cencosud SA - Mendoza</v>
          </cell>
          <cell r="BG366" t="str">
            <v>CENCO_MZ - Cencosud SA - Mendoza</v>
          </cell>
          <cell r="BH366" t="str">
            <v>CENCO_MZ - Cencosud SA - Mendoza</v>
          </cell>
          <cell r="BI366" t="str">
            <v>CENCO_MZ - Cencosud SA - Mendoza</v>
          </cell>
          <cell r="BJ366" t="str">
            <v>CENCO_MZ - Cencosud SA - Mendoza</v>
          </cell>
          <cell r="BK366" t="str">
            <v>CENCO_MZ - Cencosud SA - Mendoza</v>
          </cell>
          <cell r="BL366" t="str">
            <v>CENCO_MZ - Cencosud SA - Mendoza</v>
          </cell>
          <cell r="BM366" t="str">
            <v>CENCO_MZ - Cencosud SA - Mendoza</v>
          </cell>
          <cell r="BN366" t="str">
            <v>CENCOMLD - Cencosud SA - Mendoza</v>
          </cell>
          <cell r="BO366" t="str">
            <v>CENCOMLD - Cencosud SA - Mendoza</v>
          </cell>
          <cell r="BP366" t="str">
            <v>CENCOMLD - Cencosud SA - Mendoza</v>
          </cell>
          <cell r="BQ366" t="str">
            <v>CENCOMLD - Cencosud SA - Mendoza</v>
          </cell>
          <cell r="BR366" t="str">
            <v>CENCOMLD - Cencosud SA - Mendoza</v>
          </cell>
          <cell r="BS366" t="str">
            <v>CENCOMLD - Cencosud SA - Mendoza</v>
          </cell>
          <cell r="BT366" t="str">
            <v>CENCOMLD - Cencosud SA - Mendoza</v>
          </cell>
          <cell r="BU366" t="str">
            <v>CENCOMLD - Cencosud SA - Mendoza</v>
          </cell>
          <cell r="BV366" t="str">
            <v>CENCOMLD - Cencosud SA - Mendoza</v>
          </cell>
          <cell r="BW366" t="str">
            <v>CENCOMLD - Cencosud SA - Mendoza</v>
          </cell>
          <cell r="BX366" t="str">
            <v>CENCOMLD - Cencosud SA - Mendoza</v>
          </cell>
          <cell r="BY366" t="str">
            <v>CENCOMLD - Cencosud SA - Mendoza</v>
          </cell>
          <cell r="BZ366" t="str">
            <v>CENCOMLD - Cencosud SA - Mendoza</v>
          </cell>
          <cell r="CA366" t="str">
            <v>CENCOMLD - Cencosud SA - Mendoza</v>
          </cell>
          <cell r="CB366" t="str">
            <v>CENCOMLD - Cencosud SA - Mendoza</v>
          </cell>
          <cell r="CC366" t="str">
            <v>CENCOMLD - Cencosud SA - Mendoza</v>
          </cell>
          <cell r="CD366" t="str">
            <v>CENCOMLD - Cencosud SA - Mendoza</v>
          </cell>
          <cell r="CE366" t="str">
            <v>CENCOMLD - Cencosud SA - Mendoza</v>
          </cell>
          <cell r="CF366" t="str">
            <v>CENCOMLD - Cencosud SA - Mendoza</v>
          </cell>
          <cell r="CG366" t="str">
            <v>CENCOMLD - Cencosud SA - Mendoza</v>
          </cell>
          <cell r="CH366" t="str">
            <v>CENCOMLD - Cencosud SA - Mendoza</v>
          </cell>
          <cell r="CI366" t="str">
            <v>CENCOMLD - Cencosud SA - Mendoza</v>
          </cell>
          <cell r="CJ366" t="str">
            <v>CENCOMLD - Cencosud SA - Mendoza</v>
          </cell>
          <cell r="CK366" t="str">
            <v>CENCOMLD - Cencosud SA - Mendoza</v>
          </cell>
          <cell r="CL366" t="str">
            <v>CENCOMLD - Cencosud SA - Mendoza</v>
          </cell>
          <cell r="CM366" t="str">
            <v>CENCOMLD - Cencosud SA - Mendoza</v>
          </cell>
          <cell r="CN366" t="str">
            <v>CENCOMLD - Cencosud SA - Mendoza</v>
          </cell>
          <cell r="CO366" t="str">
            <v>CENCOMLD - Cencosud SA - Mendoza</v>
          </cell>
          <cell r="CP366" t="str">
            <v>CENCOMLD - Cencosud SA - Mendoza</v>
          </cell>
          <cell r="CQ366" t="str">
            <v>CENCOMLD - Cencosud SA - Mendoza</v>
          </cell>
          <cell r="CR366" t="str">
            <v>CENCOMLD - Cencosud SA - Mendoza</v>
          </cell>
          <cell r="CS366" t="str">
            <v>CENCOMLD - Cencosud SA - Mendoza</v>
          </cell>
          <cell r="CT366" t="str">
            <v>CENCOMLD - Cencosud SA - Mendoza</v>
          </cell>
          <cell r="CU366" t="str">
            <v>CENCOMLD - Cencosud SA - Mendoza</v>
          </cell>
          <cell r="CV366" t="str">
            <v>CENCOMLD - Cencosud SA - Mendoza</v>
          </cell>
          <cell r="CW366" t="str">
            <v>CENCOMLD - Cencosud SA - Mendoza</v>
          </cell>
        </row>
        <row r="367">
          <cell r="D367" t="str">
            <v>NIE146</v>
          </cell>
          <cell r="E367" t="str">
            <v>Chasis</v>
          </cell>
          <cell r="F367" t="str">
            <v>Chasis</v>
          </cell>
          <cell r="G367" t="str">
            <v>Chasis</v>
          </cell>
          <cell r="N367" t="str">
            <v>CODYLSA</v>
          </cell>
          <cell r="O367" t="str">
            <v>CODYLSA</v>
          </cell>
          <cell r="P367" t="str">
            <v>No</v>
          </cell>
          <cell r="Q367" t="str">
            <v>Propio</v>
          </cell>
          <cell r="R367">
            <v>12</v>
          </cell>
          <cell r="S367" t="str">
            <v>Propio</v>
          </cell>
          <cell r="T367" t="str">
            <v>MERCEDES BENZ</v>
          </cell>
          <cell r="U367" t="str">
            <v>ATRON 1720/48  FRONTAL</v>
          </cell>
          <cell r="V367" t="str">
            <v>904980U1068577</v>
          </cell>
          <cell r="W367" t="str">
            <v>8AB693186EA600425</v>
          </cell>
          <cell r="X367">
            <v>2013</v>
          </cell>
          <cell r="Y367">
            <v>13</v>
          </cell>
          <cell r="Z367" t="str">
            <v>Papelera</v>
          </cell>
          <cell r="AA367" t="str">
            <v>Papelera - Papelera del Plata S.A.</v>
          </cell>
          <cell r="AB367" t="str">
            <v>Papelera - Papelera del Plata S.A.</v>
          </cell>
          <cell r="AC367" t="str">
            <v>Papelera - Papelera del Plata S.A.</v>
          </cell>
          <cell r="AD367" t="str">
            <v>Papelera - Papelera del Plata S.A.</v>
          </cell>
          <cell r="AE367" t="str">
            <v>Papelera - Papelera del Plata S.A.</v>
          </cell>
          <cell r="AF367" t="str">
            <v>Papelera - Papelera del Plata S.A.</v>
          </cell>
          <cell r="AG367" t="str">
            <v>Papelera - Papelera del Plata S.A.</v>
          </cell>
          <cell r="AH367" t="str">
            <v>Papelera - Papelera del Plata S.A.</v>
          </cell>
          <cell r="AI367" t="str">
            <v>Papelera - Papelera del Plata S.A.</v>
          </cell>
          <cell r="AJ367" t="str">
            <v>Papelera - Papelera del Plata S.A.</v>
          </cell>
          <cell r="AK367" t="str">
            <v>Papelera - Papelera del Plata S.A.</v>
          </cell>
          <cell r="AL367" t="str">
            <v>Papelera - Papelera del Plata S.A.</v>
          </cell>
          <cell r="AM367" t="str">
            <v>Papelera - Papelera del Plata S.A.</v>
          </cell>
          <cell r="AN367" t="str">
            <v>CMQ_TTE - QUILMES TTE</v>
          </cell>
          <cell r="AO367" t="str">
            <v>CMQ_TTE - QUILMES TTE</v>
          </cell>
          <cell r="AP367" t="str">
            <v>CMQ_TTE - QUILMES TTE</v>
          </cell>
          <cell r="AQ367" t="str">
            <v>CMQ_TTE - QUILMES TTE</v>
          </cell>
          <cell r="AR367" t="str">
            <v>CMQ_TTE - QUILMES TTE</v>
          </cell>
          <cell r="AS367" t="str">
            <v>CMQ_TTE - QUILMES TTE</v>
          </cell>
          <cell r="AT367" t="str">
            <v>CMQ_TTE - QUILMES TTE</v>
          </cell>
          <cell r="AU367" t="str">
            <v>Papelera - Papelera del Plata S.A.</v>
          </cell>
          <cell r="AV367" t="str">
            <v>Papelera - Papelera del Plata S.A.</v>
          </cell>
          <cell r="AW367" t="str">
            <v>Papelera - Papelera del Plata S.A.</v>
          </cell>
          <cell r="AX367" t="str">
            <v>Papelera - Papelera del Plata S.A.</v>
          </cell>
          <cell r="AY367" t="str">
            <v>Papelera - Papelera del Plata S.A.</v>
          </cell>
          <cell r="AZ367" t="str">
            <v>Papelera - Papelera del Plata S.A.</v>
          </cell>
          <cell r="BA367" t="str">
            <v>Papelera - Papelera del Plata S.A.</v>
          </cell>
          <cell r="BB367" t="str">
            <v>Papelera - Papelera del Plata S.A.</v>
          </cell>
          <cell r="BC367" t="str">
            <v>Papelera - Papelera del Plata S.A.</v>
          </cell>
          <cell r="BD367" t="str">
            <v>Papelera - Papelera del Plata S.A.</v>
          </cell>
          <cell r="BE367" t="str">
            <v>Papelera - Papelera del Plata S.A.</v>
          </cell>
          <cell r="BF367" t="str">
            <v>Papelera - Papelera del Plata S.A.</v>
          </cell>
          <cell r="BG367" t="str">
            <v>Papelera - Papelera del Plata S.A.</v>
          </cell>
          <cell r="BH367" t="str">
            <v>CMQ_TTE - QUILMES TTE</v>
          </cell>
          <cell r="BI367" t="str">
            <v>CMQ_TTE - QUILMES TTE</v>
          </cell>
          <cell r="BJ367" t="str">
            <v>CMQ_TTE - QUILMES TTE</v>
          </cell>
          <cell r="BK367" t="str">
            <v>CMQ_TTE - QUILMES TTE</v>
          </cell>
          <cell r="BL367" t="str">
            <v>CMQ_TTE - QUILMES TTE</v>
          </cell>
          <cell r="BM367" t="str">
            <v>CMQ_TTE - QUILMES TTE</v>
          </cell>
          <cell r="BN367" t="str">
            <v>CMQ_TTE - QUILMES TTE</v>
          </cell>
          <cell r="BO367" t="str">
            <v>CMQ_TTE - QUILMES TTE</v>
          </cell>
          <cell r="BP367" t="str">
            <v>CMQ_TTE - QUILMES TTE</v>
          </cell>
          <cell r="BQ367" t="str">
            <v>CMQ_TTE - QUILMES TTE</v>
          </cell>
          <cell r="BR367" t="str">
            <v>CMQ_TTE - QUILMES TTE</v>
          </cell>
          <cell r="BS367" t="str">
            <v>CMQ_TTE - QUILMES TTE</v>
          </cell>
          <cell r="BT367" t="str">
            <v>CMQ_TTE - QUILMES TTE</v>
          </cell>
          <cell r="BU367" t="str">
            <v>CMQ_TTE - QUILMES TTE</v>
          </cell>
          <cell r="BV367" t="str">
            <v>CMQ_TTE - QUILMES TTE</v>
          </cell>
          <cell r="BW367" t="str">
            <v>CMQ_TTE - QUILMES TTE</v>
          </cell>
          <cell r="BX367" t="str">
            <v>CMQ_TTE - QUILMES TTE</v>
          </cell>
          <cell r="BY367" t="str">
            <v>CMQ_TTE - QUILMES TTE</v>
          </cell>
          <cell r="BZ367" t="str">
            <v>CMQ_TTE - QUILMES TTE</v>
          </cell>
          <cell r="CA367" t="str">
            <v>CMQ_TTE - QUILMES TTE</v>
          </cell>
          <cell r="CB367" t="str">
            <v>CMQ_TTE - QUILMES TTE</v>
          </cell>
          <cell r="CC367" t="str">
            <v>CMQ_TTE - QUILMES TTE</v>
          </cell>
          <cell r="CD367" t="str">
            <v>CMQ_TTE - QUILMES TTE</v>
          </cell>
          <cell r="CE367" t="str">
            <v>CMQ_TTE - QUILMES TTE</v>
          </cell>
          <cell r="CF367" t="str">
            <v>CMQ_TTE - QUILMES TTE</v>
          </cell>
          <cell r="CG367" t="str">
            <v>CMQ_TTE - QUILMES TTE</v>
          </cell>
          <cell r="CH367" t="str">
            <v>CMQ_TTE - QUILMES TTE</v>
          </cell>
          <cell r="CI367" t="str">
            <v>CMQ_TTE - QUILMES TTE</v>
          </cell>
          <cell r="CJ367" t="str">
            <v>CMQ_TTE - QUILMES TTE</v>
          </cell>
          <cell r="CK367" t="str">
            <v>CMQ_TTE - QUILMES TTE</v>
          </cell>
          <cell r="CL367" t="str">
            <v>CMQ_TTE - QUILMES TTE</v>
          </cell>
          <cell r="CM367" t="str">
            <v>CMQ_TTE - QUILMES TTE</v>
          </cell>
          <cell r="CN367" t="str">
            <v>CMQ_TTE - QUILMES TTE</v>
          </cell>
          <cell r="CO367" t="str">
            <v>CMQ_TTE - QUILMES TTE</v>
          </cell>
          <cell r="CP367" t="str">
            <v>CMQ_TTE - QUILMES TTE</v>
          </cell>
          <cell r="CQ367" t="str">
            <v>CMQ_TTE - QUILMES TTE</v>
          </cell>
          <cell r="CR367" t="str">
            <v>CMQ_TTE - QUILMES TTE</v>
          </cell>
          <cell r="CS367" t="str">
            <v>CMQ_TTE - QUILMES TTE</v>
          </cell>
          <cell r="CT367" t="str">
            <v>CMQ_TTE - QUILMES TTE</v>
          </cell>
          <cell r="CU367" t="str">
            <v>CMQ_TTE - QUILMES TTE</v>
          </cell>
          <cell r="CV367" t="str">
            <v>CMQ_TTE - QUILMES TTE</v>
          </cell>
          <cell r="CW367" t="str">
            <v>CMQ_TTE - QUILMES TTE</v>
          </cell>
        </row>
        <row r="368">
          <cell r="D368" t="str">
            <v>NIE147</v>
          </cell>
          <cell r="E368" t="str">
            <v>Chasis</v>
          </cell>
          <cell r="F368" t="str">
            <v>Chasis</v>
          </cell>
          <cell r="G368" t="str">
            <v>Chasis</v>
          </cell>
          <cell r="N368" t="str">
            <v>CODYLSA</v>
          </cell>
          <cell r="O368" t="str">
            <v>CODYLSA</v>
          </cell>
          <cell r="P368" t="str">
            <v>No</v>
          </cell>
          <cell r="Q368" t="str">
            <v>Propio</v>
          </cell>
          <cell r="R368">
            <v>12</v>
          </cell>
          <cell r="S368" t="str">
            <v>Propio</v>
          </cell>
          <cell r="T368" t="str">
            <v>MERCEDES BENZ</v>
          </cell>
          <cell r="U368" t="str">
            <v>ATRON 1720/48  FRONTAL</v>
          </cell>
          <cell r="V368" t="str">
            <v>904980U1065535</v>
          </cell>
          <cell r="W368" t="str">
            <v>8AB693186EA600424</v>
          </cell>
          <cell r="X368">
            <v>2013</v>
          </cell>
          <cell r="Y368">
            <v>13</v>
          </cell>
          <cell r="Z368" t="str">
            <v>Royal Canin</v>
          </cell>
          <cell r="AA368" t="str">
            <v>Royal - Royal Canin Arg. S.A.</v>
          </cell>
          <cell r="AB368" t="str">
            <v>Royal - Royal Canin Arg. S.A.</v>
          </cell>
          <cell r="AC368" t="str">
            <v>Royal - Royal Canin Arg. S.A.</v>
          </cell>
          <cell r="AD368" t="str">
            <v>Royal - Royal Canin Arg. S.A.</v>
          </cell>
          <cell r="AE368" t="str">
            <v>Royal - Royal Canin Arg. S.A.</v>
          </cell>
          <cell r="AF368" t="str">
            <v>Royal - Royal Canin Arg. S.A.</v>
          </cell>
          <cell r="AG368" t="str">
            <v>Royal - Royal Canin Arg. S.A.</v>
          </cell>
          <cell r="AH368" t="str">
            <v>Royal - Royal Canin Arg. S.A.</v>
          </cell>
          <cell r="AI368" t="str">
            <v>Royal - Royal Canin Arg. S.A.</v>
          </cell>
          <cell r="AJ368" t="str">
            <v>Royal - Royal Canin Arg. S.A.</v>
          </cell>
          <cell r="AK368" t="str">
            <v>Royal - Royal Canin Arg. S.A.</v>
          </cell>
          <cell r="AL368" t="str">
            <v>Royal - Royal Canin Arg. S.A.</v>
          </cell>
          <cell r="AM368" t="str">
            <v>Royal - Royal Canin Arg. S.A.</v>
          </cell>
          <cell r="AN368" t="str">
            <v>Royal - Royal Canin Arg. S.A.</v>
          </cell>
          <cell r="AO368" t="str">
            <v>Royal - Royal Canin Arg. S.A.</v>
          </cell>
          <cell r="AP368" t="str">
            <v>Royal - Royal Canin Arg. S.A.</v>
          </cell>
          <cell r="AQ368" t="str">
            <v>Royal - Royal Canin Arg. S.A.</v>
          </cell>
          <cell r="AR368" t="str">
            <v>Royal - Royal Canin Arg. S.A.</v>
          </cell>
          <cell r="AS368" t="str">
            <v>Royal - Royal Canin Arg. S.A.</v>
          </cell>
          <cell r="AT368" t="str">
            <v>Royal - Royal Canin Arg. S.A.</v>
          </cell>
          <cell r="AU368" t="str">
            <v>Royal - Royal Canin Arg. S.A.</v>
          </cell>
          <cell r="AV368" t="str">
            <v>Royal - Royal Canin Arg. S.A.</v>
          </cell>
          <cell r="AW368" t="str">
            <v>Royal - Royal Canin Arg. S.A.</v>
          </cell>
          <cell r="AX368" t="str">
            <v>CMQ_TTE - QUILMES TTE</v>
          </cell>
          <cell r="AY368" t="str">
            <v>CMQ_TTE - QUILMES TTE</v>
          </cell>
          <cell r="AZ368" t="str">
            <v>CMQ_TTE - QUILMES TTE</v>
          </cell>
          <cell r="BA368" t="str">
            <v>CMQ_TTE - QUILMES TTE</v>
          </cell>
          <cell r="BB368" t="str">
            <v>CMQ_TTE - QUILMES TTE</v>
          </cell>
          <cell r="BC368" t="str">
            <v>CMQ_TTE - QUILMES TTE</v>
          </cell>
          <cell r="BD368" t="str">
            <v>CMQ_TTE - QUILMES TTE</v>
          </cell>
          <cell r="BE368" t="str">
            <v>CMQ_TTE - QUILMES TTE</v>
          </cell>
          <cell r="BF368" t="str">
            <v>CMQ_TTE - QUILMES TTE</v>
          </cell>
          <cell r="BG368" t="str">
            <v>CMQ_TTE - QUILMES TTE</v>
          </cell>
          <cell r="BH368" t="str">
            <v>CMQ_TTE - QUILMES TTE</v>
          </cell>
          <cell r="BI368" t="str">
            <v>CMQ_TTE - QUILMES TTE</v>
          </cell>
          <cell r="BJ368" t="str">
            <v>CMQ_TTE - QUILMES TTE</v>
          </cell>
          <cell r="BK368" t="str">
            <v>CMQ_TTE - QUILMES TTE</v>
          </cell>
          <cell r="BL368" t="str">
            <v>CMQ_TTE - QUILMES TTE</v>
          </cell>
          <cell r="BM368" t="str">
            <v>CMQ_TTE - QUILMES TTE</v>
          </cell>
          <cell r="BN368" t="str">
            <v>CMQ_TTE - QUILMES TTE</v>
          </cell>
          <cell r="BO368" t="str">
            <v>CMQ_TTE - QUILMES TTE</v>
          </cell>
          <cell r="BP368" t="str">
            <v>CMQ_TTE - QUILMES TTE</v>
          </cell>
          <cell r="BQ368" t="str">
            <v>CMQ_TTE - QUILMES TTE</v>
          </cell>
          <cell r="BR368" t="str">
            <v>CMQ_TTE - QUILMES TTE</v>
          </cell>
          <cell r="BS368" t="str">
            <v>CMQ_TTE - QUILMES TTE</v>
          </cell>
          <cell r="BT368" t="str">
            <v>CMQ_TTE - QUILMES TTE</v>
          </cell>
          <cell r="BU368" t="str">
            <v>CMQ_TTE - QUILMES TTE</v>
          </cell>
          <cell r="BV368" t="str">
            <v>CMQ_TTE - QUILMES TTE</v>
          </cell>
          <cell r="BW368" t="str">
            <v>CMQ_TTE - QUILMES TTE</v>
          </cell>
          <cell r="BX368" t="str">
            <v>CMQ_TTE - QUILMES TTE</v>
          </cell>
          <cell r="BY368" t="str">
            <v>CMQ_TTE - QUILMES TTE</v>
          </cell>
          <cell r="BZ368" t="str">
            <v>CMQ_TTE - QUILMES TTE</v>
          </cell>
          <cell r="CA368" t="str">
            <v>CMQ_TTE - QUILMES TTE</v>
          </cell>
          <cell r="CB368" t="str">
            <v>CMQ_TTE - QUILMES TTE</v>
          </cell>
          <cell r="CC368" t="str">
            <v>CMQ_TTE - QUILMES TTE</v>
          </cell>
          <cell r="CD368" t="str">
            <v>CMQ_TTE - QUILMES TTE</v>
          </cell>
          <cell r="CE368" t="str">
            <v>CMQ_TTE - QUILMES TTE</v>
          </cell>
          <cell r="CF368" t="str">
            <v>CMQ_TTE - QUILMES TTE</v>
          </cell>
          <cell r="CG368" t="str">
            <v>CMQ_TTE - QUILMES TTE</v>
          </cell>
          <cell r="CH368" t="str">
            <v>CMQ_TTE - QUILMES TTE</v>
          </cell>
          <cell r="CI368" t="str">
            <v>CMQ_TTE - QUILMES TTE</v>
          </cell>
          <cell r="CJ368" t="str">
            <v>CMQ_TTE - QUILMES TTE</v>
          </cell>
          <cell r="CK368" t="str">
            <v>CMQ_TTE - QUILMES TTE</v>
          </cell>
          <cell r="CL368" t="str">
            <v>CMQ_TTE - QUILMES TTE</v>
          </cell>
          <cell r="CM368" t="str">
            <v>CMQ_TTE - QUILMES TTE</v>
          </cell>
          <cell r="CN368" t="str">
            <v>CMQ_TTE - QUILMES TTE</v>
          </cell>
          <cell r="CO368" t="str">
            <v>CMQ_TTE - QUILMES TTE</v>
          </cell>
          <cell r="CP368" t="str">
            <v>CMQ_TTE - QUILMES TTE</v>
          </cell>
          <cell r="CQ368" t="str">
            <v>CMQ_TTE - QUILMES TTE</v>
          </cell>
          <cell r="CR368" t="str">
            <v>CMQ_TTE - QUILMES TTE</v>
          </cell>
          <cell r="CS368" t="str">
            <v>CMQ_TTE - QUILMES TTE</v>
          </cell>
          <cell r="CT368" t="str">
            <v>CMQ_TTE - QUILMES TTE</v>
          </cell>
          <cell r="CU368" t="str">
            <v>CMQ_TTE - QUILMES TTE</v>
          </cell>
          <cell r="CV368" t="str">
            <v>CMQ_TTE - QUILMES TTE</v>
          </cell>
          <cell r="CW368" t="str">
            <v>CMQ_TTE - QUILMES TTE</v>
          </cell>
        </row>
        <row r="369">
          <cell r="D369" t="str">
            <v>NIE148</v>
          </cell>
          <cell r="E369" t="str">
            <v>Chasis</v>
          </cell>
          <cell r="F369" t="str">
            <v>Chasis</v>
          </cell>
          <cell r="G369" t="str">
            <v>Chasis</v>
          </cell>
          <cell r="N369" t="str">
            <v>CODYLSA</v>
          </cell>
          <cell r="O369" t="str">
            <v>CODYLSA</v>
          </cell>
          <cell r="P369" t="str">
            <v>No</v>
          </cell>
          <cell r="Q369" t="str">
            <v>Propio</v>
          </cell>
          <cell r="R369">
            <v>12</v>
          </cell>
          <cell r="S369" t="str">
            <v>Propio</v>
          </cell>
          <cell r="T369" t="str">
            <v>MERCEDES BENZ</v>
          </cell>
          <cell r="U369" t="str">
            <v>ATRON 1720/48  FRONTAL</v>
          </cell>
          <cell r="V369" t="str">
            <v>904980U1064049</v>
          </cell>
          <cell r="W369" t="str">
            <v>8AB693186EA600368</v>
          </cell>
          <cell r="X369">
            <v>2013</v>
          </cell>
          <cell r="Y369">
            <v>13</v>
          </cell>
          <cell r="Z369" t="str">
            <v>Royal Canin</v>
          </cell>
          <cell r="AA369" t="str">
            <v>Royal - Royal Canin Arg. S.A.</v>
          </cell>
          <cell r="AB369" t="str">
            <v>Royal - Royal Canin Arg. S.A.</v>
          </cell>
          <cell r="AC369" t="str">
            <v>Royal - Royal Canin Arg. S.A.</v>
          </cell>
          <cell r="AD369" t="str">
            <v>Royal - Royal Canin Arg. S.A.</v>
          </cell>
          <cell r="AE369" t="str">
            <v>Royal - Royal Canin Arg. S.A.</v>
          </cell>
          <cell r="AF369" t="str">
            <v>Royal - Royal Canin Arg. S.A.</v>
          </cell>
          <cell r="AG369" t="str">
            <v>Royal - Royal Canin Arg. S.A.</v>
          </cell>
          <cell r="AH369" t="str">
            <v>Royal - Royal Canin Arg. S.A.</v>
          </cell>
          <cell r="AI369" t="str">
            <v>Royal - Royal Canin Arg. S.A.</v>
          </cell>
          <cell r="AJ369" t="str">
            <v>Royal - Royal Canin Arg. S.A.</v>
          </cell>
          <cell r="AK369" t="str">
            <v>Papelera - Papelera del Plata S.A.</v>
          </cell>
          <cell r="AL369" t="str">
            <v>Royal - Royal Canin Arg. S.A.</v>
          </cell>
          <cell r="AM369" t="str">
            <v>Royal - Royal Canin Arg. S.A.</v>
          </cell>
          <cell r="AN369" t="str">
            <v>CMQ_TTE - QUILMES TTE</v>
          </cell>
          <cell r="AO369" t="str">
            <v>CMQ_TTE - QUILMES TTE</v>
          </cell>
          <cell r="AP369" t="str">
            <v>CMQ_TTE - QUILMES TTE</v>
          </cell>
          <cell r="AQ369" t="str">
            <v>CMQ_TTE - QUILMES TTE</v>
          </cell>
          <cell r="AR369" t="str">
            <v>CMQ_TTE - QUILMES TTE</v>
          </cell>
          <cell r="AS369" t="str">
            <v>CMQ_TTE - QUILMES TTE</v>
          </cell>
          <cell r="AT369" t="str">
            <v>CMQ_TTE - QUILMES TTE</v>
          </cell>
          <cell r="AU369" t="str">
            <v>Papelera - Papelera del Plata S.A.</v>
          </cell>
          <cell r="AV369" t="str">
            <v>Papelera - Papelera del Plata S.A.</v>
          </cell>
          <cell r="AW369" t="str">
            <v>Papelera - Papelera del Plata S.A.</v>
          </cell>
          <cell r="AX369" t="str">
            <v>CMQ_TTE - QUILMES TTE</v>
          </cell>
          <cell r="AY369" t="str">
            <v>CMQ_TTE - QUILMES TTE</v>
          </cell>
          <cell r="AZ369" t="str">
            <v>CMQ_TTE - QUILMES TTE</v>
          </cell>
          <cell r="BA369" t="str">
            <v>CMQ_TTE - QUILMES TTE</v>
          </cell>
          <cell r="BB369" t="str">
            <v>CMQ_TTE - QUILMES TTE</v>
          </cell>
          <cell r="BC369" t="str">
            <v>CMQ_TTE - QUILMES TTE</v>
          </cell>
          <cell r="BD369" t="str">
            <v>CMQ_TTE - QUILMES TTE</v>
          </cell>
          <cell r="BE369" t="str">
            <v>CMQ_TTE - QUILMES TTE</v>
          </cell>
          <cell r="BF369" t="str">
            <v>CMQ_TTE - QUILMES TTE</v>
          </cell>
          <cell r="BG369" t="str">
            <v>CMQ_TTE - QUILMES TTE</v>
          </cell>
          <cell r="BH369" t="str">
            <v>Papelera - Papelera del Plata S.A.</v>
          </cell>
          <cell r="BI369" t="str">
            <v>Papelera - Papelera del Plata S.A.</v>
          </cell>
          <cell r="BJ369" t="str">
            <v>Papelera - Papelera del Plata S.A.</v>
          </cell>
          <cell r="BK369" t="str">
            <v>Papelera - Papelera del Plata S.A.</v>
          </cell>
          <cell r="BL369" t="str">
            <v>Papelera - Papelera del Plata S.A.</v>
          </cell>
          <cell r="BM369" t="str">
            <v>Papelera - Papelera del Plata S.A.</v>
          </cell>
          <cell r="BN369" t="str">
            <v>Papelera - Papelera del Plata S.A.</v>
          </cell>
          <cell r="BO369" t="str">
            <v>Papelera - Papelera del Plata S.A.</v>
          </cell>
          <cell r="BP369" t="str">
            <v>Papelera - Papelera del Plata S.A.</v>
          </cell>
          <cell r="BQ369" t="str">
            <v>Cook Master</v>
          </cell>
          <cell r="BR369" t="str">
            <v>Cook Master</v>
          </cell>
          <cell r="BS369" t="str">
            <v>Cook Master</v>
          </cell>
          <cell r="BT369" t="str">
            <v>Cook Master</v>
          </cell>
          <cell r="BU369" t="str">
            <v>Cook Master</v>
          </cell>
          <cell r="BV369" t="str">
            <v>Cook Master</v>
          </cell>
          <cell r="BW369" t="str">
            <v>Cook Master</v>
          </cell>
          <cell r="BX369" t="str">
            <v>Cook Master</v>
          </cell>
          <cell r="BY369" t="str">
            <v>Cook Master</v>
          </cell>
          <cell r="BZ369" t="str">
            <v>Cook Master</v>
          </cell>
          <cell r="CA369" t="str">
            <v>Cook Master</v>
          </cell>
          <cell r="CB369" t="str">
            <v>Cook Master</v>
          </cell>
          <cell r="CC369" t="str">
            <v>Cook Master</v>
          </cell>
          <cell r="CD369" t="str">
            <v>Cook Master</v>
          </cell>
          <cell r="CE369" t="str">
            <v>Papelera - Papelera del Plata S.A.</v>
          </cell>
          <cell r="CF369" t="str">
            <v>Papelera - Papelera del Plata S.A.</v>
          </cell>
          <cell r="CG369" t="str">
            <v>Papelera - Papelera del Plata S.A.</v>
          </cell>
          <cell r="CH369" t="str">
            <v>Papelera - Papelera del Plata S.A.</v>
          </cell>
          <cell r="CI369" t="str">
            <v>Papelera - Papelera del Plata S.A.</v>
          </cell>
          <cell r="CJ369" t="str">
            <v>Cook Master</v>
          </cell>
          <cell r="CK369" t="str">
            <v>Cook Master</v>
          </cell>
          <cell r="CL369" t="str">
            <v>Cook Master</v>
          </cell>
          <cell r="CM369" t="str">
            <v>JOHNSON - SC JOHNSON DE ARGENTINA SAIC</v>
          </cell>
          <cell r="CN369" t="str">
            <v>Papelera - Papelera del Plata S.A.</v>
          </cell>
          <cell r="CO369" t="str">
            <v>Papelera - Papelera del Plata S.A.</v>
          </cell>
          <cell r="CP369" t="str">
            <v>Papelera - Papelera del Plata S.A.</v>
          </cell>
          <cell r="CQ369" t="str">
            <v>Papelera - Papelera del Plata S.A.</v>
          </cell>
          <cell r="CR369" t="str">
            <v>Papelera - Papelera del Plata S.A.</v>
          </cell>
          <cell r="CS369" t="str">
            <v>Papelera - Papelera del Plata S.A.</v>
          </cell>
          <cell r="CT369" t="str">
            <v>Papelera - Papelera del Plata S.A.</v>
          </cell>
          <cell r="CU369" t="str">
            <v>Papelera - Papelera del Plata S.A.</v>
          </cell>
          <cell r="CV369" t="str">
            <v>Papelera - Papelera del Plata S.A.</v>
          </cell>
          <cell r="CW369" t="str">
            <v>Papelera - Papelera del Plata S.A.</v>
          </cell>
        </row>
        <row r="370">
          <cell r="D370" t="str">
            <v>NIE149</v>
          </cell>
          <cell r="E370" t="str">
            <v>Chasis</v>
          </cell>
          <cell r="F370" t="str">
            <v>Chasis</v>
          </cell>
          <cell r="G370" t="str">
            <v>Chasis</v>
          </cell>
          <cell r="N370" t="str">
            <v>CODYLSA</v>
          </cell>
          <cell r="O370" t="str">
            <v>CODYLSA</v>
          </cell>
          <cell r="P370" t="str">
            <v>No</v>
          </cell>
          <cell r="Q370" t="str">
            <v>Propio</v>
          </cell>
          <cell r="R370">
            <v>12</v>
          </cell>
          <cell r="S370" t="str">
            <v>Propio</v>
          </cell>
          <cell r="T370" t="str">
            <v>MERCEDES BENZ</v>
          </cell>
          <cell r="U370" t="str">
            <v>ATRON 1720/48  FRONTAL</v>
          </cell>
          <cell r="V370" t="str">
            <v>904980U1065811</v>
          </cell>
          <cell r="W370" t="str">
            <v>8AB693186EA600426</v>
          </cell>
          <cell r="X370">
            <v>2013</v>
          </cell>
          <cell r="Y370">
            <v>13</v>
          </cell>
          <cell r="Z370" t="str">
            <v>Royal Canin</v>
          </cell>
          <cell r="AA370" t="str">
            <v>Royal - Royal Canin Arg. S.A.</v>
          </cell>
          <cell r="AB370" t="str">
            <v>Royal - Royal Canin Arg. S.A.</v>
          </cell>
          <cell r="AC370" t="str">
            <v>Royal - Royal Canin Arg. S.A.</v>
          </cell>
          <cell r="AD370" t="str">
            <v>Royal - Royal Canin Arg. S.A.</v>
          </cell>
          <cell r="AE370" t="str">
            <v>Royal - Royal Canin Arg. S.A.</v>
          </cell>
          <cell r="AF370" t="str">
            <v>Royal - Royal Canin Arg. S.A.</v>
          </cell>
          <cell r="AG370" t="str">
            <v>Royal - Royal Canin Arg. S.A.</v>
          </cell>
          <cell r="AH370" t="str">
            <v>Royal - Royal Canin Arg. S.A.</v>
          </cell>
          <cell r="AI370" t="str">
            <v>Royal - Royal Canin Arg. S.A.</v>
          </cell>
          <cell r="AJ370" t="str">
            <v>Royal - Royal Canin Arg. S.A.</v>
          </cell>
          <cell r="AK370" t="str">
            <v>Royal - Royal Canin Arg. S.A.</v>
          </cell>
          <cell r="AL370" t="str">
            <v>Papelera - Papelera del Plata S.A.</v>
          </cell>
          <cell r="AM370" t="str">
            <v>Papelera - Papelera del Plata S.A.</v>
          </cell>
          <cell r="AN370" t="str">
            <v>CMQ_TTE - QUILMES TTE</v>
          </cell>
          <cell r="AO370" t="str">
            <v>CMQ_TTE - QUILMES TTE</v>
          </cell>
          <cell r="AP370" t="str">
            <v>CMQ_TTE - QUILMES TTE</v>
          </cell>
          <cell r="AQ370" t="str">
            <v>CMQ_TTE - QUILMES TTE</v>
          </cell>
          <cell r="AR370" t="str">
            <v>CMQ_TTE - QUILMES TTE</v>
          </cell>
          <cell r="AS370" t="str">
            <v>CMQ_TTE - QUILMES TTE</v>
          </cell>
          <cell r="AT370" t="str">
            <v>CMQ_TTE - QUILMES TTE</v>
          </cell>
          <cell r="AU370" t="str">
            <v>Papelera - Papelera del Plata S.A.</v>
          </cell>
          <cell r="AV370" t="str">
            <v>Papelera - Papelera del Plata S.A.</v>
          </cell>
          <cell r="AW370" t="str">
            <v>Papelera - Papelera del Plata S.A.</v>
          </cell>
          <cell r="AX370" t="str">
            <v>CMQ_TTE - QUILMES TTE</v>
          </cell>
          <cell r="AY370" t="str">
            <v>CMQ_TTE - QUILMES TTE</v>
          </cell>
          <cell r="AZ370" t="str">
            <v>CMQ_TTE - QUILMES TTE</v>
          </cell>
          <cell r="BA370" t="str">
            <v>CMQ_TTE - QUILMES TTE</v>
          </cell>
          <cell r="BB370" t="str">
            <v>CMQ_TTE - QUILMES TTE</v>
          </cell>
          <cell r="BC370" t="str">
            <v>CMQ_TTE - QUILMES TTE</v>
          </cell>
          <cell r="BD370" t="str">
            <v>CMQ_TTE - QUILMES TTE</v>
          </cell>
          <cell r="BE370" t="str">
            <v>CMQ_TTE - QUILMES TTE</v>
          </cell>
          <cell r="BF370" t="str">
            <v>CMQ_TTE - QUILMES TTE</v>
          </cell>
          <cell r="BG370" t="str">
            <v>CMQ_TTE - QUILMES TTE</v>
          </cell>
          <cell r="BH370" t="str">
            <v>CMQ_TTE - QUILMES TTE</v>
          </cell>
          <cell r="BI370" t="str">
            <v>CMQ_TTE - QUILMES TTE</v>
          </cell>
          <cell r="BJ370" t="str">
            <v>CMQ_TTE - QUILMES TTE</v>
          </cell>
          <cell r="BK370" t="str">
            <v>CMQ_TTE - QUILMES TTE</v>
          </cell>
          <cell r="BL370" t="str">
            <v>CMQ_TTE - QUILMES TTE</v>
          </cell>
          <cell r="BM370" t="str">
            <v>CMQ_TTE - QUILMES TTE</v>
          </cell>
          <cell r="BN370" t="str">
            <v>CMQ_TTE - QUILMES TTE</v>
          </cell>
          <cell r="BO370" t="str">
            <v>CMQ_TTE - QUILMES TTE</v>
          </cell>
          <cell r="BP370" t="str">
            <v>CMQ_TTE - QUILMES TTE</v>
          </cell>
          <cell r="BQ370" t="str">
            <v>CMQ_TTE - QUILMES TTE</v>
          </cell>
          <cell r="BR370" t="str">
            <v>CMQ_TTE - QUILMES TTE</v>
          </cell>
          <cell r="BS370" t="str">
            <v>CMQ_TTE - QUILMES TTE</v>
          </cell>
          <cell r="BT370" t="str">
            <v>CMQ_TTE - QUILMES TTE</v>
          </cell>
          <cell r="BU370" t="str">
            <v>CMQ_TTE - QUILMES TTE</v>
          </cell>
          <cell r="BV370" t="str">
            <v>CMQ_TTE - QUILMES TTE</v>
          </cell>
          <cell r="BW370" t="str">
            <v>CMQ_TTE - QUILMES TTE</v>
          </cell>
          <cell r="BX370" t="str">
            <v>CMQ_TTE - QUILMES TTE</v>
          </cell>
          <cell r="BY370" t="str">
            <v>CMQ_TTE - QUILMES TTE</v>
          </cell>
          <cell r="BZ370" t="str">
            <v>CMQ_TTE - QUILMES TTE</v>
          </cell>
          <cell r="CA370" t="str">
            <v>CMQ_TTE - QUILMES TTE</v>
          </cell>
          <cell r="CB370" t="str">
            <v>CMQ_TTE - QUILMES TTE</v>
          </cell>
          <cell r="CC370" t="str">
            <v>CMQ_TTE - QUILMES TTE</v>
          </cell>
          <cell r="CD370" t="str">
            <v>CMQ_TTE - QUILMES TTE</v>
          </cell>
          <cell r="CE370" t="str">
            <v>CMQ_TTE - QUILMES TTE</v>
          </cell>
          <cell r="CF370" t="str">
            <v>CMQ_TTE - QUILMES TTE</v>
          </cell>
          <cell r="CG370" t="str">
            <v>CMQ_TTE - QUILMES TTE</v>
          </cell>
          <cell r="CH370" t="str">
            <v>CMQ_TTE - QUILMES TTE</v>
          </cell>
          <cell r="CI370" t="str">
            <v>CMQ_TTE - QUILMES TTE</v>
          </cell>
          <cell r="CJ370" t="str">
            <v>CMQ_TTE - QUILMES TTE</v>
          </cell>
          <cell r="CK370" t="str">
            <v>CMQ_TTE - QUILMES TTE</v>
          </cell>
          <cell r="CL370" t="str">
            <v>CMQ_TTE - QUILMES TTE</v>
          </cell>
          <cell r="CM370" t="str">
            <v>CMQ_TTE - QUILMES TTE</v>
          </cell>
          <cell r="CN370" t="str">
            <v>CMQ_TTE - QUILMES TTE</v>
          </cell>
          <cell r="CO370" t="str">
            <v>CMQ_TTE - QUILMES TTE</v>
          </cell>
          <cell r="CP370" t="str">
            <v>CMQ_TTE - QUILMES TTE</v>
          </cell>
          <cell r="CQ370" t="str">
            <v>CMQ_TTE - QUILMES TTE</v>
          </cell>
          <cell r="CR370" t="str">
            <v>CMQ_TTE - QUILMES TTE</v>
          </cell>
          <cell r="CS370" t="str">
            <v>CMQ_TTE - QUILMES TTE</v>
          </cell>
          <cell r="CT370" t="str">
            <v>CMQ_TTE - QUILMES TTE</v>
          </cell>
          <cell r="CU370" t="str">
            <v>CMQ_TTE - QUILMES TTE</v>
          </cell>
          <cell r="CV370" t="str">
            <v>CMQ_TTE - QUILMES TTE</v>
          </cell>
          <cell r="CW370" t="str">
            <v>CMQ_TTE - QUILMES TTE</v>
          </cell>
        </row>
        <row r="371">
          <cell r="D371" t="str">
            <v>NIE150</v>
          </cell>
          <cell r="E371" t="str">
            <v>Chasis</v>
          </cell>
          <cell r="F371" t="str">
            <v>Chasis</v>
          </cell>
          <cell r="G371" t="str">
            <v>Chasis</v>
          </cell>
          <cell r="N371" t="str">
            <v>CODYLSA</v>
          </cell>
          <cell r="O371" t="str">
            <v>CODYLSA</v>
          </cell>
          <cell r="P371" t="str">
            <v>No</v>
          </cell>
          <cell r="Q371" t="str">
            <v>Propio</v>
          </cell>
          <cell r="R371">
            <v>12</v>
          </cell>
          <cell r="S371" t="str">
            <v>Propio</v>
          </cell>
          <cell r="T371" t="str">
            <v>MERCEDES BENZ</v>
          </cell>
          <cell r="U371" t="str">
            <v>ATRON 1720/48  FRONTAL</v>
          </cell>
          <cell r="V371" t="str">
            <v>904980U1052066</v>
          </cell>
          <cell r="W371" t="str">
            <v>8AB693186EA600197</v>
          </cell>
          <cell r="X371">
            <v>2013</v>
          </cell>
          <cell r="Y371">
            <v>13</v>
          </cell>
          <cell r="Z371" t="str">
            <v>Papelera</v>
          </cell>
          <cell r="AA371" t="str">
            <v>Papelera - Papelera del Plata S.A.</v>
          </cell>
          <cell r="AB371" t="str">
            <v>Papelera - Papelera del Plata S.A.</v>
          </cell>
          <cell r="AC371" t="str">
            <v>Papelera - Papelera del Plata S.A.</v>
          </cell>
          <cell r="AD371" t="str">
            <v>Papelera - Papelera del Plata S.A.</v>
          </cell>
          <cell r="AE371" t="str">
            <v>Papelera - Papelera del Plata S.A.</v>
          </cell>
          <cell r="AF371" t="str">
            <v>Papelera - Papelera del Plata S.A.</v>
          </cell>
          <cell r="AG371" t="str">
            <v>Papelera - Papelera del Plata S.A.</v>
          </cell>
          <cell r="AH371" t="str">
            <v>Papelera - Papelera del Plata S.A.</v>
          </cell>
          <cell r="AI371" t="str">
            <v>Papelera - Papelera del Plata S.A.</v>
          </cell>
          <cell r="AJ371" t="str">
            <v>Papelera - Papelera del Plata S.A.</v>
          </cell>
          <cell r="AK371" t="str">
            <v>Papelera - Papelera del Plata S.A.</v>
          </cell>
          <cell r="AL371" t="str">
            <v>Papelera - Papelera del Plata S.A.</v>
          </cell>
          <cell r="AM371" t="str">
            <v>Papelera - Papelera del Plata S.A.</v>
          </cell>
          <cell r="AN371" t="str">
            <v>CMQ_TTE - QUILMES TTE</v>
          </cell>
          <cell r="AO371" t="str">
            <v>CMQ_TTE - QUILMES TTE</v>
          </cell>
          <cell r="AP371" t="str">
            <v>CMQ_TTE - QUILMES TTE</v>
          </cell>
          <cell r="AQ371" t="str">
            <v>CMQ_TTE - QUILMES TTE</v>
          </cell>
          <cell r="AR371" t="str">
            <v>CMQ_TTE - QUILMES TTE</v>
          </cell>
          <cell r="AS371" t="str">
            <v>CMQ_TTE - QUILMES TTE</v>
          </cell>
          <cell r="AT371" t="str">
            <v>CMQ_TTE - QUILMES TTE</v>
          </cell>
          <cell r="AU371" t="str">
            <v>CMQ_TTE - QUILMES TTE</v>
          </cell>
          <cell r="AV371" t="str">
            <v>CMQ_TTE - QUILMES TTE</v>
          </cell>
          <cell r="AW371" t="str">
            <v>CMQ_TTE - QUILMES TTE</v>
          </cell>
          <cell r="AX371" t="str">
            <v>CMQ_TTE - QUILMES TTE</v>
          </cell>
          <cell r="AY371" t="str">
            <v>CMQ_TTE - QUILMES TTE</v>
          </cell>
          <cell r="AZ371" t="str">
            <v>CMQ_TTE - QUILMES TTE</v>
          </cell>
          <cell r="BA371" t="str">
            <v>CMQ_TTE - QUILMES TTE</v>
          </cell>
          <cell r="BB371" t="str">
            <v>CMQ_TTE - QUILMES TTE</v>
          </cell>
          <cell r="BC371" t="str">
            <v>CMQ_TTE - QUILMES TTE</v>
          </cell>
          <cell r="BD371" t="str">
            <v>CMQ_TTE - QUILMES TTE</v>
          </cell>
          <cell r="BE371" t="str">
            <v>CMQ_TTE - QUILMES TTE</v>
          </cell>
          <cell r="BF371" t="str">
            <v>CMQ_TTE - QUILMES TTE</v>
          </cell>
          <cell r="BG371" t="str">
            <v>CMQ_TTE - QUILMES TTE</v>
          </cell>
          <cell r="BH371" t="str">
            <v>Papelera - Papelera del Plata S.A.</v>
          </cell>
          <cell r="BI371" t="str">
            <v>Papelera - Papelera del Plata S.A.</v>
          </cell>
          <cell r="BJ371" t="str">
            <v>Papelera - Papelera del Plata S.A.</v>
          </cell>
          <cell r="BK371" t="str">
            <v>Papelera - Papelera del Plata S.A.</v>
          </cell>
          <cell r="BL371" t="str">
            <v>Papelera - Papelera del Plata S.A.</v>
          </cell>
          <cell r="BM371" t="str">
            <v>Papelera - Papelera del Plata S.A.</v>
          </cell>
          <cell r="BN371" t="str">
            <v>Papelera - Papelera del Plata S.A.</v>
          </cell>
          <cell r="BO371" t="str">
            <v>Papelera - Papelera del Plata S.A.</v>
          </cell>
          <cell r="BP371" t="str">
            <v>Papelera - Papelera del Plata S.A.</v>
          </cell>
          <cell r="BQ371" t="str">
            <v>Papelera - Papelera del Plata S.A.</v>
          </cell>
          <cell r="BR371" t="str">
            <v>Papelera - Papelera del Plata S.A.</v>
          </cell>
          <cell r="BS371" t="str">
            <v>Papelera - Papelera del Plata S.A.</v>
          </cell>
          <cell r="BT371" t="str">
            <v>Papelera - Papelera del Plata S.A.</v>
          </cell>
          <cell r="BU371" t="str">
            <v>Papelera - Papelera del Plata S.A.</v>
          </cell>
          <cell r="BV371" t="str">
            <v>Papelera - Papelera del Plata S.A.</v>
          </cell>
          <cell r="BW371" t="str">
            <v>Papelera - Papelera del Plata S.A.</v>
          </cell>
          <cell r="BX371" t="str">
            <v>Llorente - J. Llorente y Cía. S.A.</v>
          </cell>
          <cell r="BY371" t="str">
            <v>Llorente - J. Llorente y Cía. S.A.</v>
          </cell>
          <cell r="BZ371" t="str">
            <v>Papelera - Papelera del Plata S.A.</v>
          </cell>
          <cell r="CA371" t="str">
            <v>Papelera - Papelera del Plata S.A.</v>
          </cell>
          <cell r="CB371" t="str">
            <v>Papelera - Papelera del Plata S.A.</v>
          </cell>
          <cell r="CC371" t="str">
            <v>Papelera - Papelera del Plata S.A.</v>
          </cell>
          <cell r="CD371" t="str">
            <v>Papelera - Papelera del Plata S.A.</v>
          </cell>
          <cell r="CE371" t="str">
            <v>Papelera - Papelera del Plata S.A.</v>
          </cell>
          <cell r="CF371" t="str">
            <v>Papelera - Papelera del Plata S.A.</v>
          </cell>
          <cell r="CG371" t="str">
            <v>Papelera - Papelera del Plata S.A.</v>
          </cell>
          <cell r="CH371" t="str">
            <v>JOHNSON - SC JOHNSON DE ARGENTINA SAIC</v>
          </cell>
          <cell r="CI371" t="str">
            <v>JOHNSON - SC JOHNSON DE ARGENTINA SAIC</v>
          </cell>
          <cell r="CJ371" t="str">
            <v>Papelera - Papelera del Plata S.A.</v>
          </cell>
          <cell r="CK371" t="str">
            <v>Papelera - Papelera del Plata S.A.</v>
          </cell>
          <cell r="CL371" t="str">
            <v>Papelera - Papelera del Plata S.A.</v>
          </cell>
          <cell r="CM371" t="str">
            <v>Papelera - Papelera del Plata S.A.</v>
          </cell>
          <cell r="CN371" t="str">
            <v>Unilever - Unilever de Arg. S.A.</v>
          </cell>
          <cell r="CO371" t="str">
            <v>Papelera - Papelera del Plata S.A.</v>
          </cell>
          <cell r="CP371" t="str">
            <v>Papelera - Papelera del Plata S.A.</v>
          </cell>
          <cell r="CQ371" t="str">
            <v>Papelera - Papelera del Plata S.A.</v>
          </cell>
          <cell r="CR371" t="str">
            <v>Papelera - Papelera del Plata S.A.</v>
          </cell>
          <cell r="CS371" t="str">
            <v>Papelera - Papelera del Plata S.A.</v>
          </cell>
          <cell r="CT371" t="str">
            <v>Papelera - Papelera del Plata S.A.</v>
          </cell>
          <cell r="CU371" t="str">
            <v>Papelera - Papelera del Plata S.A.</v>
          </cell>
          <cell r="CV371" t="str">
            <v>Papelera - Papelera del Plata S.A.</v>
          </cell>
          <cell r="CW371" t="str">
            <v>Papelera - Papelera del Plata S.A.</v>
          </cell>
        </row>
        <row r="372">
          <cell r="D372" t="str">
            <v>NIE152</v>
          </cell>
          <cell r="E372" t="str">
            <v>Chasis</v>
          </cell>
          <cell r="F372" t="str">
            <v>Chasis</v>
          </cell>
          <cell r="G372" t="str">
            <v>Chasis</v>
          </cell>
          <cell r="N372" t="str">
            <v>CODYLSA</v>
          </cell>
          <cell r="O372" t="str">
            <v>CODYLSA</v>
          </cell>
          <cell r="P372" t="str">
            <v>No</v>
          </cell>
          <cell r="Q372" t="str">
            <v>Propio</v>
          </cell>
          <cell r="R372">
            <v>12</v>
          </cell>
          <cell r="S372" t="str">
            <v>Propio</v>
          </cell>
          <cell r="T372" t="str">
            <v>MERCEDES BENZ</v>
          </cell>
          <cell r="U372" t="str">
            <v>ATRON 1720/48  FRONTAL</v>
          </cell>
          <cell r="V372" t="str">
            <v>904980U1070337</v>
          </cell>
          <cell r="W372" t="str">
            <v>8AB693186EA600512</v>
          </cell>
          <cell r="X372">
            <v>2013</v>
          </cell>
          <cell r="Y372">
            <v>13</v>
          </cell>
          <cell r="Z372" t="str">
            <v>Morixe</v>
          </cell>
          <cell r="AA372" t="str">
            <v>MORIXE - MORIXE HERMANOS SACEI</v>
          </cell>
          <cell r="AB372" t="str">
            <v>MORIXE - MORIXE HERMANOS SACEI</v>
          </cell>
          <cell r="AC372" t="str">
            <v>MORIXE - MORIXE HERMANOS SACEI</v>
          </cell>
          <cell r="AD372" t="str">
            <v>MORIXE - MORIXE HERMANOS SACEI</v>
          </cell>
          <cell r="AE372" t="str">
            <v>MORIXE - MORIXE HERMANOS SACEI</v>
          </cell>
          <cell r="AF372" t="str">
            <v>MORIXE - MORIXE HERMANOS SACEI</v>
          </cell>
          <cell r="AG372" t="str">
            <v>MORIXE - MORIXE HERMANOS SACEI</v>
          </cell>
          <cell r="AH372" t="str">
            <v>MORIXE - MORIXE HERMANOS SACEI</v>
          </cell>
          <cell r="AI372" t="str">
            <v>MORIXE - MORIXE HERMANOS SACEI</v>
          </cell>
          <cell r="AJ372" t="str">
            <v>MORIXE - MORIXE HERMANOS SACEI</v>
          </cell>
          <cell r="AK372" t="str">
            <v>Papelera - Papelera del Plata S.A.</v>
          </cell>
          <cell r="AL372" t="str">
            <v>Papelera - Papelera del Plata S.A.</v>
          </cell>
          <cell r="AM372" t="str">
            <v>Papelera - Papelera del Plata S.A.</v>
          </cell>
          <cell r="AN372" t="str">
            <v>CMQ_TTE - QUILMES TTE</v>
          </cell>
          <cell r="AO372" t="str">
            <v>CMQ_TTE - QUILMES TTE</v>
          </cell>
          <cell r="AP372" t="str">
            <v>CMQ_TTE - QUILMES TTE</v>
          </cell>
          <cell r="AQ372" t="str">
            <v>CMQ_TTE - QUILMES TTE</v>
          </cell>
          <cell r="AR372" t="str">
            <v>CMQ_TTE - QUILMES TTE</v>
          </cell>
          <cell r="AS372" t="str">
            <v>CMQ_TTE - QUILMES TTE</v>
          </cell>
          <cell r="AT372" t="str">
            <v>CMQ_TTE - QUILMES TTE</v>
          </cell>
          <cell r="AU372" t="str">
            <v>CMQ_TTE - QUILMES TTE</v>
          </cell>
          <cell r="AV372" t="str">
            <v>CMQ_TTE - QUILMES TTE</v>
          </cell>
          <cell r="AW372" t="str">
            <v>CMQ_TTE - QUILMES TTE</v>
          </cell>
          <cell r="AX372" t="str">
            <v>CMQ_TTE - QUILMES TTE</v>
          </cell>
          <cell r="AY372" t="str">
            <v>CMQ_TTE - QUILMES TTE</v>
          </cell>
          <cell r="AZ372" t="str">
            <v>CMQ_TTE - QUILMES TTE</v>
          </cell>
          <cell r="BA372" t="str">
            <v>CMQ_TTE - QUILMES TTE</v>
          </cell>
          <cell r="BB372" t="str">
            <v>CMQ_TTE - QUILMES TTE</v>
          </cell>
          <cell r="BC372" t="str">
            <v>CMQ_TTE - QUILMES TTE</v>
          </cell>
          <cell r="BD372" t="str">
            <v>CMQ_TTE - QUILMES TTE</v>
          </cell>
          <cell r="BE372" t="str">
            <v>CMQ_TTE - QUILMES TTE</v>
          </cell>
          <cell r="BF372" t="str">
            <v>CMQ_TTE - QUILMES TTE</v>
          </cell>
          <cell r="BG372" t="str">
            <v>CMQ_TTE - QUILMES TTE</v>
          </cell>
          <cell r="BH372" t="str">
            <v>CMQ_TTE - QUILMES TTE</v>
          </cell>
          <cell r="BI372" t="str">
            <v>CMQ_TTE - QUILMES TTE</v>
          </cell>
          <cell r="BJ372" t="str">
            <v>CMQ_TTE - QUILMES TTE</v>
          </cell>
          <cell r="BK372" t="str">
            <v>CMQ_TTE - QUILMES TTE</v>
          </cell>
          <cell r="BL372" t="str">
            <v>CMQ_TTE - QUILMES TTE</v>
          </cell>
          <cell r="BM372" t="str">
            <v>CMQ_TTE - QUILMES TTE</v>
          </cell>
          <cell r="BN372" t="str">
            <v>CMQ_TTE - QUILMES TTE</v>
          </cell>
          <cell r="BO372" t="str">
            <v>CMQ_TTE - QUILMES TTE</v>
          </cell>
          <cell r="BP372" t="str">
            <v>CMQ_TTE - QUILMES TTE</v>
          </cell>
          <cell r="BQ372" t="str">
            <v>CMQ_TTE - QUILMES TTE</v>
          </cell>
          <cell r="BR372" t="str">
            <v>CMQ_TTE - QUILMES TTE</v>
          </cell>
          <cell r="BS372" t="str">
            <v>CMQ_TTE - QUILMES TTE</v>
          </cell>
          <cell r="BT372" t="str">
            <v>CMQ_TTE - QUILMES TTE</v>
          </cell>
          <cell r="BU372" t="str">
            <v>CMQ_TTE - QUILMES TTE</v>
          </cell>
          <cell r="BV372" t="str">
            <v>CMQ_TTE - QUILMES TTE</v>
          </cell>
          <cell r="BW372" t="str">
            <v>CMQ_TTE - QUILMES TTE</v>
          </cell>
          <cell r="BX372" t="str">
            <v>CMQ_TTE - QUILMES TTE</v>
          </cell>
          <cell r="BY372" t="str">
            <v>CMQ_TTE - QUILMES TTE</v>
          </cell>
          <cell r="BZ372" t="str">
            <v>CMQ_TTE - QUILMES TTE</v>
          </cell>
          <cell r="CA372" t="str">
            <v>CMQ_TTE - QUILMES TTE</v>
          </cell>
          <cell r="CB372" t="str">
            <v>CMQ_TTE - QUILMES TTE</v>
          </cell>
          <cell r="CC372" t="str">
            <v>CMQ_TTE - QUILMES TTE</v>
          </cell>
          <cell r="CD372" t="str">
            <v>CMQ_TTE - QUILMES TTE</v>
          </cell>
          <cell r="CE372" t="str">
            <v>CMQ_TTE - QUILMES TTE</v>
          </cell>
          <cell r="CF372" t="str">
            <v>CMQ_TTE - QUILMES TTE</v>
          </cell>
          <cell r="CG372" t="str">
            <v>CMQ_TTE - QUILMES TTE</v>
          </cell>
          <cell r="CH372" t="str">
            <v>CMQ_TTE - QUILMES TTE</v>
          </cell>
          <cell r="CI372" t="str">
            <v>CMQ_TTE - QUILMES TTE</v>
          </cell>
          <cell r="CJ372" t="str">
            <v>CMQ_TTE - QUILMES TTE</v>
          </cell>
          <cell r="CK372" t="str">
            <v>CMQ_TTE - QUILMES TTE</v>
          </cell>
          <cell r="CL372" t="str">
            <v>CMQ_TTE - QUILMES TTE</v>
          </cell>
          <cell r="CM372" t="str">
            <v>CMQ_TTE - QUILMES TTE</v>
          </cell>
          <cell r="CN372" t="str">
            <v>CMQ_TTE - QUILMES TTE</v>
          </cell>
          <cell r="CO372" t="str">
            <v>CMQ_TTE - QUILMES TTE</v>
          </cell>
          <cell r="CP372" t="str">
            <v>CMQ_TTE - QUILMES TTE</v>
          </cell>
          <cell r="CQ372" t="str">
            <v>CMQ_TTE - QUILMES TTE</v>
          </cell>
          <cell r="CR372" t="str">
            <v>CMQ_TTE - QUILMES TTE</v>
          </cell>
          <cell r="CS372" t="str">
            <v>CMQ_TTE - QUILMES TTE</v>
          </cell>
          <cell r="CT372" t="str">
            <v>CMQ_TTE - QUILMES TTE</v>
          </cell>
          <cell r="CU372" t="str">
            <v>CMQ_TTE - QUILMES TTE</v>
          </cell>
          <cell r="CV372" t="str">
            <v>CMQ_TTE - QUILMES TTE</v>
          </cell>
          <cell r="CW372" t="str">
            <v>CMQ_TTE - QUILMES TTE</v>
          </cell>
        </row>
        <row r="373">
          <cell r="D373" t="str">
            <v>NIE153</v>
          </cell>
          <cell r="E373" t="str">
            <v>Chasis</v>
          </cell>
          <cell r="F373" t="str">
            <v>Chasis</v>
          </cell>
          <cell r="G373" t="str">
            <v>Chasis</v>
          </cell>
          <cell r="N373" t="str">
            <v>CODYLSA</v>
          </cell>
          <cell r="O373" t="str">
            <v>CODYLSA</v>
          </cell>
          <cell r="P373" t="str">
            <v>No</v>
          </cell>
          <cell r="Q373" t="str">
            <v>Propio</v>
          </cell>
          <cell r="R373">
            <v>12</v>
          </cell>
          <cell r="S373" t="str">
            <v>Propio</v>
          </cell>
          <cell r="T373" t="str">
            <v>MERCEDES BENZ</v>
          </cell>
          <cell r="U373" t="str">
            <v>ATRON 1720/48  FRONTAL</v>
          </cell>
          <cell r="V373" t="str">
            <v>904980U1068925</v>
          </cell>
          <cell r="W373" t="str">
            <v>8AB693186EA600439</v>
          </cell>
          <cell r="X373">
            <v>2013</v>
          </cell>
          <cell r="Y373">
            <v>13</v>
          </cell>
          <cell r="Z373" t="str">
            <v>Papelera</v>
          </cell>
          <cell r="AA373" t="str">
            <v>Papelera - Papelera del Plata S.A.</v>
          </cell>
          <cell r="AB373" t="str">
            <v>Papelera - Papelera del Plata S.A.</v>
          </cell>
          <cell r="AC373" t="str">
            <v>Papelera - Papelera del Plata S.A.</v>
          </cell>
          <cell r="AD373" t="str">
            <v>Papelera - Papelera del Plata S.A.</v>
          </cell>
          <cell r="AE373" t="str">
            <v>Papelera - Papelera del Plata S.A.</v>
          </cell>
          <cell r="AF373" t="str">
            <v>Papelera - Papelera del Plata S.A.</v>
          </cell>
          <cell r="AG373" t="str">
            <v>Papelera - Papelera del Plata S.A.</v>
          </cell>
          <cell r="AH373" t="str">
            <v>Papelera - Papelera del Plata S.A.</v>
          </cell>
          <cell r="AI373" t="str">
            <v>Papelera - Papelera del Plata S.A.</v>
          </cell>
          <cell r="AJ373" t="str">
            <v>Papelera - Papelera del Plata S.A.</v>
          </cell>
          <cell r="AK373" t="str">
            <v>Papelera - Papelera del Plata S.A.</v>
          </cell>
          <cell r="AL373" t="str">
            <v>Papelera - Papelera del Plata S.A.</v>
          </cell>
          <cell r="AM373" t="str">
            <v>Papelera - Papelera del Plata S.A.</v>
          </cell>
          <cell r="AN373" t="str">
            <v>CMQ_TTE - QUILMES TTE</v>
          </cell>
          <cell r="AO373" t="str">
            <v>CMQ_TTE - QUILMES TTE</v>
          </cell>
          <cell r="AP373" t="str">
            <v>CMQ_TTE - QUILMES TTE</v>
          </cell>
          <cell r="AQ373" t="str">
            <v>CMQ_TTE - QUILMES TTE</v>
          </cell>
          <cell r="AR373" t="str">
            <v>CMQ_TTE - QUILMES TTE</v>
          </cell>
          <cell r="AS373" t="str">
            <v>CMQ_TTE - QUILMES TTE</v>
          </cell>
          <cell r="AT373" t="str">
            <v>CMQ_TTE - QUILMES TTE</v>
          </cell>
          <cell r="AU373" t="str">
            <v>CMQ_TTE - QUILMES TTE</v>
          </cell>
          <cell r="AV373" t="str">
            <v>CMQ_TTE - QUILMES TTE</v>
          </cell>
          <cell r="AW373" t="str">
            <v>CMQ_TTE - QUILMES TTE</v>
          </cell>
          <cell r="AX373" t="str">
            <v>CMQ_TTE - QUILMES TTE</v>
          </cell>
          <cell r="AY373" t="str">
            <v>CMQ_TTE - QUILMES TTE</v>
          </cell>
          <cell r="AZ373" t="str">
            <v>CMQ_TTE - QUILMES TTE</v>
          </cell>
          <cell r="BA373" t="str">
            <v>CMQ_TTE - QUILMES TTE</v>
          </cell>
          <cell r="BB373" t="str">
            <v>CMQ_TTE - QUILMES TTE</v>
          </cell>
          <cell r="BC373" t="str">
            <v>CMQ_TTE - QUILMES TTE</v>
          </cell>
          <cell r="BD373" t="str">
            <v>CMQ_TTE - QUILMES TTE</v>
          </cell>
          <cell r="BE373" t="str">
            <v>CMQ_TTE - QUILMES TTE</v>
          </cell>
          <cell r="BF373" t="str">
            <v>CMQ_TTE - QUILMES TTE</v>
          </cell>
          <cell r="BG373" t="str">
            <v>CMQ_TTE - QUILMES TTE</v>
          </cell>
          <cell r="BH373" t="str">
            <v>CMQ_TTE - QUILMES TTE</v>
          </cell>
          <cell r="BI373" t="str">
            <v>CMQ_TTE - QUILMES TTE</v>
          </cell>
          <cell r="BJ373" t="str">
            <v>CMQ_TTE - QUILMES TTE</v>
          </cell>
          <cell r="BK373" t="str">
            <v>CMQ_TTE - QUILMES TTE</v>
          </cell>
          <cell r="BL373" t="str">
            <v>CMQ_TTE - QUILMES TTE</v>
          </cell>
          <cell r="BM373" t="str">
            <v>CMQ_TTE - QUILMES TTE</v>
          </cell>
          <cell r="BN373" t="str">
            <v>CMQ_TTE - QUILMES TTE</v>
          </cell>
          <cell r="BO373" t="str">
            <v>CMQ_TTE - QUILMES TTE</v>
          </cell>
          <cell r="BP373" t="str">
            <v>CMQ_TTE - QUILMES TTE</v>
          </cell>
          <cell r="BQ373" t="str">
            <v>CMQ_TTE - QUILMES TTE</v>
          </cell>
          <cell r="BR373" t="str">
            <v>CMQ_TTE - QUILMES TTE</v>
          </cell>
          <cell r="BS373" t="str">
            <v>CMQ_TTE - QUILMES TTE</v>
          </cell>
          <cell r="BT373" t="str">
            <v>CMQ_TTE - QUILMES TTE</v>
          </cell>
          <cell r="BU373" t="str">
            <v>CMQ_TTE - QUILMES TTE</v>
          </cell>
          <cell r="BV373" t="str">
            <v>CMQ_TTE - QUILMES TTE</v>
          </cell>
          <cell r="BW373" t="str">
            <v>CMQ_TTE - QUILMES TTE</v>
          </cell>
          <cell r="BX373" t="str">
            <v>CMQ_TTE - QUILMES TTE</v>
          </cell>
          <cell r="BY373" t="str">
            <v>CMQ_TTE - QUILMES TTE</v>
          </cell>
          <cell r="BZ373" t="str">
            <v>CMQ_TTE - QUILMES TTE</v>
          </cell>
          <cell r="CA373" t="str">
            <v>CMQ_TTE - QUILMES TTE</v>
          </cell>
          <cell r="CB373" t="str">
            <v>CMQ_TTE - QUILMES TTE</v>
          </cell>
          <cell r="CC373" t="str">
            <v>CMQ_TTE - QUILMES TTE</v>
          </cell>
          <cell r="CD373" t="str">
            <v>CMQ_TTE - QUILMES TTE</v>
          </cell>
          <cell r="CE373" t="str">
            <v>CMQ_TTE - QUILMES TTE</v>
          </cell>
          <cell r="CF373" t="str">
            <v>CMQ_TTE - QUILMES TTE</v>
          </cell>
          <cell r="CG373" t="str">
            <v>CMQ_TTE - QUILMES TTE</v>
          </cell>
          <cell r="CH373" t="str">
            <v>CMQ_TTE - QUILMES TTE</v>
          </cell>
          <cell r="CI373" t="str">
            <v>CMQ_TTE - QUILMES TTE</v>
          </cell>
          <cell r="CJ373" t="str">
            <v>CMQ_TTE - QUILMES TTE</v>
          </cell>
          <cell r="CK373" t="str">
            <v>CMQ_TTE - QUILMES TTE</v>
          </cell>
          <cell r="CL373" t="str">
            <v>CMQ_TTE - QUILMES TTE</v>
          </cell>
          <cell r="CM373" t="str">
            <v>CMQ_TTE - QUILMES TTE</v>
          </cell>
          <cell r="CN373" t="str">
            <v>CMQ_TTE - QUILMES TTE</v>
          </cell>
          <cell r="CO373" t="str">
            <v>CMQ_TTE - QUILMES TTE</v>
          </cell>
          <cell r="CP373" t="str">
            <v>CMQ_TTE - QUILMES TTE</v>
          </cell>
          <cell r="CQ373" t="str">
            <v>CMQ_TTE - QUILMES TTE</v>
          </cell>
          <cell r="CR373" t="str">
            <v>CMQ_TTE - QUILMES TTE</v>
          </cell>
          <cell r="CS373" t="str">
            <v>CMQ_TTE - QUILMES TTE</v>
          </cell>
          <cell r="CT373" t="str">
            <v>CMQ_TTE - QUILMES TTE</v>
          </cell>
          <cell r="CU373" t="str">
            <v>CMQ_TTE - QUILMES TTE</v>
          </cell>
          <cell r="CV373" t="str">
            <v>CMQ_TTE - QUILMES TTE</v>
          </cell>
          <cell r="CW373" t="str">
            <v>CMQ_TTE - QUILMES TTE</v>
          </cell>
        </row>
        <row r="374">
          <cell r="D374" t="str">
            <v>NIE154</v>
          </cell>
          <cell r="E374" t="str">
            <v>Chasis</v>
          </cell>
          <cell r="F374" t="str">
            <v>Chasis</v>
          </cell>
          <cell r="G374" t="str">
            <v>Chasis</v>
          </cell>
          <cell r="N374" t="str">
            <v>CODYLSA</v>
          </cell>
          <cell r="O374" t="str">
            <v>CODYLSA</v>
          </cell>
          <cell r="P374" t="str">
            <v>No</v>
          </cell>
          <cell r="Q374" t="str">
            <v>Propio</v>
          </cell>
          <cell r="R374">
            <v>12</v>
          </cell>
          <cell r="S374" t="str">
            <v>Propio</v>
          </cell>
          <cell r="T374" t="str">
            <v>MERCEDES BENZ</v>
          </cell>
          <cell r="U374" t="str">
            <v>ATRON 1720/48  FRONTAL</v>
          </cell>
          <cell r="V374" t="str">
            <v>904980U1070096</v>
          </cell>
          <cell r="W374" t="str">
            <v>8AB693186EA600513</v>
          </cell>
          <cell r="X374">
            <v>2013</v>
          </cell>
          <cell r="Y374">
            <v>13</v>
          </cell>
          <cell r="Z374" t="str">
            <v>Morixe</v>
          </cell>
          <cell r="AA374" t="str">
            <v>MORIXE - MORIXE HERMANOS SACEI</v>
          </cell>
          <cell r="AB374" t="str">
            <v>MORIXE - MORIXE HERMANOS SACEI</v>
          </cell>
          <cell r="AC374" t="str">
            <v>MORIXE - MORIXE HERMANOS SACEI</v>
          </cell>
          <cell r="AD374" t="str">
            <v>MORIXE - MORIXE HERMANOS SACEI</v>
          </cell>
          <cell r="AE374" t="str">
            <v>MORIXE - MORIXE HERMANOS SACEI</v>
          </cell>
          <cell r="AF374" t="str">
            <v>MORIXE - MORIXE HERMANOS SACEI</v>
          </cell>
          <cell r="AG374" t="str">
            <v>MORIXE - MORIXE HERMANOS SACEI</v>
          </cell>
          <cell r="AH374" t="str">
            <v>MORIXE - MORIXE HERMANOS SACEI</v>
          </cell>
          <cell r="AI374" t="str">
            <v>MORIXE - MORIXE HERMANOS SACEI</v>
          </cell>
          <cell r="AJ374" t="str">
            <v>MORIXE - MORIXE HERMANOS SACEI</v>
          </cell>
          <cell r="AK374" t="str">
            <v>Papelera - Papelera del Plata S.A.</v>
          </cell>
          <cell r="AL374" t="str">
            <v>Papelera - Papelera del Plata S.A.</v>
          </cell>
          <cell r="AM374" t="str">
            <v>Papelera - Papelera del Plata S.A.</v>
          </cell>
          <cell r="AN374" t="str">
            <v>Papelera - Papelera del Plata S.A.</v>
          </cell>
          <cell r="AO374" t="str">
            <v>Papelera - Papelera del Plata S.A.</v>
          </cell>
          <cell r="AP374" t="str">
            <v>Papelera - Papelera del Plata S.A.</v>
          </cell>
          <cell r="AQ374" t="str">
            <v>Papelera - Papelera del Plata S.A.</v>
          </cell>
          <cell r="AR374" t="str">
            <v>Papelera - Papelera del Plata S.A.</v>
          </cell>
          <cell r="AS374" t="str">
            <v>Papelera - Papelera del Plata S.A.</v>
          </cell>
          <cell r="AT374" t="str">
            <v>Papelera - Papelera del Plata S.A.</v>
          </cell>
          <cell r="AU374" t="str">
            <v>Papelera - Papelera del Plata S.A.</v>
          </cell>
          <cell r="AV374" t="str">
            <v>Papelera - Papelera del Plata S.A.</v>
          </cell>
          <cell r="AW374" t="str">
            <v>Papelera - Papelera del Plata S.A.</v>
          </cell>
          <cell r="AX374" t="str">
            <v>Papelera - Papelera del Plata S.A.</v>
          </cell>
          <cell r="AY374" t="str">
            <v>Papelera - Papelera del Plata S.A.</v>
          </cell>
          <cell r="AZ374" t="str">
            <v>Papelera - Papelera del Plata S.A.</v>
          </cell>
          <cell r="BA374" t="str">
            <v>Papelera - Papelera del Plata S.A.</v>
          </cell>
          <cell r="BB374" t="str">
            <v>Papelera - Papelera del Plata S.A.</v>
          </cell>
          <cell r="BC374" t="str">
            <v>Papelera - Papelera del Plata S.A.</v>
          </cell>
          <cell r="BD374" t="str">
            <v>Papelera - Papelera del Plata S.A.</v>
          </cell>
          <cell r="BE374" t="str">
            <v>Papelera - Papelera del Plata S.A.</v>
          </cell>
          <cell r="BF374" t="str">
            <v>Papelera - Papelera del Plata S.A.</v>
          </cell>
          <cell r="BG374" t="str">
            <v>Papelera - Papelera del Plata S.A.</v>
          </cell>
          <cell r="BH374" t="str">
            <v>CMQ_TTE - QUILMES TTE</v>
          </cell>
          <cell r="BI374" t="str">
            <v>CMQ_TTE - QUILMES TTE</v>
          </cell>
          <cell r="BJ374" t="str">
            <v>CMQ_TTE - QUILMES TTE</v>
          </cell>
          <cell r="BK374" t="str">
            <v>CMQ_TTE - QUILMES TTE</v>
          </cell>
          <cell r="BL374" t="str">
            <v>CMQ_TTE - QUILMES TTE</v>
          </cell>
          <cell r="BM374" t="str">
            <v>CMQ_TTE - QUILMES TTE</v>
          </cell>
          <cell r="BN374" t="str">
            <v>CMQ_TTE - QUILMES TTE</v>
          </cell>
          <cell r="BO374" t="str">
            <v>CMQ_TTE - QUILMES TTE</v>
          </cell>
          <cell r="BP374" t="str">
            <v>CMQ_TTE - QUILMES TTE</v>
          </cell>
          <cell r="BQ374" t="str">
            <v>CMQ_TTE - QUILMES TTE</v>
          </cell>
          <cell r="BR374" t="str">
            <v>CMQ_TTE - QUILMES TTE</v>
          </cell>
          <cell r="BS374" t="str">
            <v>CMQ_TTE - QUILMES TTE</v>
          </cell>
          <cell r="BT374" t="str">
            <v>CMQ_TTE - QUILMES TTE</v>
          </cell>
          <cell r="BU374" t="str">
            <v>CMQ_TTE - QUILMES TTE</v>
          </cell>
          <cell r="BV374" t="str">
            <v>CMQ_TTE - QUILMES TTE</v>
          </cell>
          <cell r="BW374" t="str">
            <v>CMQ_TTE - QUILMES TTE</v>
          </cell>
          <cell r="BX374" t="str">
            <v>CMQ_TTE - QUILMES TTE</v>
          </cell>
          <cell r="BY374" t="str">
            <v>CMQ_TTE - QUILMES TTE</v>
          </cell>
          <cell r="BZ374" t="str">
            <v>CMQ_TTE - QUILMES TTE</v>
          </cell>
          <cell r="CA374" t="str">
            <v>CMQ_TTE - QUILMES TTE</v>
          </cell>
          <cell r="CB374" t="str">
            <v>CMQ_TTE - QUILMES TTE</v>
          </cell>
          <cell r="CC374" t="str">
            <v>CMQ_TTE - QUILMES TTE</v>
          </cell>
          <cell r="CD374" t="str">
            <v>CMQ_TTE - QUILMES TTE</v>
          </cell>
          <cell r="CE374" t="str">
            <v>CMQ_TTE - QUILMES TTE</v>
          </cell>
          <cell r="CF374" t="str">
            <v>CMQ_TTE - QUILMES TTE</v>
          </cell>
          <cell r="CG374" t="str">
            <v>CMQ_TTE - QUILMES TTE</v>
          </cell>
          <cell r="CH374" t="str">
            <v>CMQ_TTE - QUILMES TTE</v>
          </cell>
          <cell r="CI374" t="str">
            <v>CMQ_TTE - QUILMES TTE</v>
          </cell>
          <cell r="CJ374" t="str">
            <v>CMQ_TTE - QUILMES TTE</v>
          </cell>
          <cell r="CK374" t="str">
            <v>CMQ_TTE - QUILMES TTE</v>
          </cell>
          <cell r="CL374" t="str">
            <v>CMQ_TTE - QUILMES TTE</v>
          </cell>
          <cell r="CM374" t="str">
            <v>CMQ_TTE - QUILMES TTE</v>
          </cell>
          <cell r="CN374" t="str">
            <v>CMQ_TTE - QUILMES TTE</v>
          </cell>
          <cell r="CO374" t="str">
            <v>CMQ_TTE - QUILMES TTE</v>
          </cell>
          <cell r="CP374" t="str">
            <v>CMQ_TTE - QUILMES TTE</v>
          </cell>
          <cell r="CQ374" t="str">
            <v>CMQ_TTE - QUILMES TTE</v>
          </cell>
          <cell r="CR374" t="str">
            <v>CMQ_TTE - QUILMES TTE</v>
          </cell>
          <cell r="CS374" t="str">
            <v>CMQ_TTE - QUILMES TTE</v>
          </cell>
          <cell r="CT374" t="str">
            <v>CMQ_TTE - QUILMES TTE</v>
          </cell>
          <cell r="CU374" t="str">
            <v>CMQ_TTE - QUILMES TTE</v>
          </cell>
          <cell r="CV374" t="str">
            <v>CMQ_TTE - QUILMES TTE</v>
          </cell>
          <cell r="CW374" t="str">
            <v>CMQ_TTE - QUILMES TTE</v>
          </cell>
        </row>
        <row r="375">
          <cell r="D375" t="str">
            <v>NIE155</v>
          </cell>
          <cell r="E375" t="str">
            <v>Chasis</v>
          </cell>
          <cell r="F375" t="str">
            <v>Chasis</v>
          </cell>
          <cell r="G375" t="str">
            <v>Chasis</v>
          </cell>
          <cell r="N375" t="str">
            <v>CODYLSA</v>
          </cell>
          <cell r="O375" t="str">
            <v>CODYLSA</v>
          </cell>
          <cell r="P375" t="str">
            <v>No</v>
          </cell>
          <cell r="Q375" t="str">
            <v>Propio</v>
          </cell>
          <cell r="R375">
            <v>12</v>
          </cell>
          <cell r="S375" t="str">
            <v>Propio</v>
          </cell>
          <cell r="T375" t="str">
            <v>MERCEDES BENZ</v>
          </cell>
          <cell r="U375" t="str">
            <v>ATRON 1720/48  FRONTAL</v>
          </cell>
          <cell r="V375" t="str">
            <v>904980U1051427</v>
          </cell>
          <cell r="W375" t="str">
            <v>8AB693186EA600190</v>
          </cell>
          <cell r="X375">
            <v>2013</v>
          </cell>
          <cell r="Y375">
            <v>13</v>
          </cell>
          <cell r="Z375" t="str">
            <v>Papelera</v>
          </cell>
          <cell r="AA375" t="str">
            <v>Papelera - Papelera del Plata S.A.</v>
          </cell>
          <cell r="AB375" t="str">
            <v>Papelera - Papelera del Plata S.A.</v>
          </cell>
          <cell r="AC375" t="str">
            <v>Papelera - Papelera del Plata S.A.</v>
          </cell>
          <cell r="AD375" t="str">
            <v>Papelera - Papelera del Plata S.A.</v>
          </cell>
          <cell r="AE375" t="str">
            <v>Papelera - Papelera del Plata S.A.</v>
          </cell>
          <cell r="AF375" t="str">
            <v>Papelera - Papelera del Plata S.A.</v>
          </cell>
          <cell r="AG375" t="str">
            <v>Papelera - Papelera del Plata S.A.</v>
          </cell>
          <cell r="AH375" t="str">
            <v>Papelera - Papelera del Plata S.A.</v>
          </cell>
          <cell r="AI375" t="str">
            <v>Papelera - Papelera del Plata S.A.</v>
          </cell>
          <cell r="AJ375" t="str">
            <v>Papelera - Papelera del Plata S.A.</v>
          </cell>
          <cell r="AK375" t="str">
            <v>Royal - Royal Canin Arg. S.A.</v>
          </cell>
          <cell r="AL375" t="str">
            <v>Royal - Royal Canin Arg. S.A.</v>
          </cell>
          <cell r="AM375" t="str">
            <v>Royal - Royal Canin Arg. S.A.</v>
          </cell>
          <cell r="AN375" t="str">
            <v>Royal - Royal Canin Arg. S.A.</v>
          </cell>
          <cell r="AO375" t="str">
            <v>Royal - Royal Canin Arg. S.A.</v>
          </cell>
          <cell r="AP375" t="str">
            <v>Royal - Royal Canin Arg. S.A.</v>
          </cell>
          <cell r="AQ375" t="str">
            <v>Royal - Royal Canin Arg. S.A.</v>
          </cell>
          <cell r="AR375" t="str">
            <v>Royal - Royal Canin Arg. S.A.</v>
          </cell>
          <cell r="AS375" t="str">
            <v>Royal - Royal Canin Arg. S.A.</v>
          </cell>
          <cell r="AT375" t="str">
            <v>Royal - Royal Canin Arg. S.A.</v>
          </cell>
          <cell r="AU375" t="str">
            <v>Royal - Royal Canin Arg. S.A.</v>
          </cell>
          <cell r="AV375" t="str">
            <v>Royal - Royal Canin Arg. S.A.</v>
          </cell>
          <cell r="AW375" t="str">
            <v>Royal - Royal Canin Arg. S.A.</v>
          </cell>
          <cell r="AX375" t="str">
            <v>Unilever - Unilever de Arg. S.A.</v>
          </cell>
          <cell r="AY375" t="str">
            <v>Unilever - Unilever de Arg. S.A.</v>
          </cell>
          <cell r="AZ375" t="str">
            <v>Unilever - Unilever de Arg. S.A.</v>
          </cell>
          <cell r="BA375" t="str">
            <v>Unilever - Unilever de Arg. S.A.</v>
          </cell>
          <cell r="BB375" t="str">
            <v>Unilever - Unilever de Arg. S.A.</v>
          </cell>
          <cell r="BC375" t="str">
            <v>Unilever - Unilever de Arg. S.A.</v>
          </cell>
          <cell r="BD375" t="str">
            <v>Unilever - Unilever de Arg. S.A.</v>
          </cell>
          <cell r="BE375" t="str">
            <v>Unilever - Unilever de Arg. S.A.</v>
          </cell>
          <cell r="BF375" t="str">
            <v>JOHNSON - SC JOHNSON DE ARGENTINA SAIC</v>
          </cell>
          <cell r="BG375" t="str">
            <v>JOHNSON - SC JOHNSON DE ARGENTINA SAIC</v>
          </cell>
          <cell r="BH375" t="str">
            <v>JOHNSON - SC JOHNSON DE ARGENTINA SAIC</v>
          </cell>
          <cell r="BI375" t="str">
            <v>JOHNSON - SC JOHNSON DE ARGENTINA SAIC</v>
          </cell>
          <cell r="BJ375" t="str">
            <v>JOHNSON - SC JOHNSON DE ARGENTINA SAIC</v>
          </cell>
          <cell r="BK375" t="str">
            <v>JOHNSON - SC JOHNSON DE ARGENTINA SAIC</v>
          </cell>
          <cell r="BL375" t="str">
            <v>JOHNSON - SC JOHNSON DE ARGENTINA SAIC</v>
          </cell>
          <cell r="BM375" t="str">
            <v>JOHNSON - SC JOHNSON DE ARGENTINA SAIC</v>
          </cell>
          <cell r="BN375" t="str">
            <v>JOHNSON - SC JOHNSON DE ARGENTINA SAIC</v>
          </cell>
          <cell r="BO375" t="str">
            <v>JOHNSON - SC JOHNSON DE ARGENTINA SAIC</v>
          </cell>
          <cell r="BP375" t="str">
            <v>JOHNSON - SC JOHNSON DE ARGENTINA SAIC</v>
          </cell>
          <cell r="BQ375" t="str">
            <v>Cook Master</v>
          </cell>
          <cell r="BR375" t="str">
            <v>Cook Master</v>
          </cell>
          <cell r="BS375" t="str">
            <v>Cook Master</v>
          </cell>
          <cell r="BT375" t="str">
            <v>Cook Master</v>
          </cell>
          <cell r="BU375" t="str">
            <v>Cook Master</v>
          </cell>
          <cell r="BV375" t="str">
            <v>Papelera - Papelera del Plata S.A.</v>
          </cell>
          <cell r="BW375" t="str">
            <v>Papelera - Papelera del Plata S.A.</v>
          </cell>
          <cell r="BX375" t="str">
            <v>Cook Master</v>
          </cell>
          <cell r="BY375" t="str">
            <v>Cook Master</v>
          </cell>
          <cell r="BZ375" t="str">
            <v>Cook Master</v>
          </cell>
          <cell r="CA375" t="str">
            <v>Cook Master</v>
          </cell>
          <cell r="CB375" t="str">
            <v>Cook Master</v>
          </cell>
          <cell r="CC375" t="str">
            <v>Cook Master</v>
          </cell>
          <cell r="CD375" t="str">
            <v>Cook Master</v>
          </cell>
          <cell r="CE375" t="str">
            <v>Cook Master</v>
          </cell>
          <cell r="CF375" t="str">
            <v>Cook Master</v>
          </cell>
          <cell r="CG375" t="str">
            <v>Cook Master</v>
          </cell>
          <cell r="CH375" t="str">
            <v>LOGIS</v>
          </cell>
          <cell r="CI375" t="str">
            <v>LOGIS</v>
          </cell>
          <cell r="CJ375" t="str">
            <v>Cook Master</v>
          </cell>
          <cell r="CK375" t="str">
            <v>Cook Master</v>
          </cell>
          <cell r="CL375" t="str">
            <v>Cook Master</v>
          </cell>
          <cell r="CM375" t="str">
            <v>Topacio</v>
          </cell>
          <cell r="CN375" t="str">
            <v>Unilever - Unilever de Arg. S.A.</v>
          </cell>
          <cell r="CO375" t="str">
            <v>Unilever - Unilever de Arg. S.A.</v>
          </cell>
          <cell r="CP375" t="str">
            <v>Papelera - Papelera del Plata S.A.</v>
          </cell>
          <cell r="CQ375" t="str">
            <v>Papelera - Papelera del Plata S.A.</v>
          </cell>
          <cell r="CR375" t="str">
            <v>Papelera - Papelera del Plata S.A.</v>
          </cell>
          <cell r="CS375" t="str">
            <v>Papelera - Papelera del Plata S.A.</v>
          </cell>
          <cell r="CT375" t="str">
            <v>Papelera - Papelera del Plata S.A.</v>
          </cell>
          <cell r="CU375" t="str">
            <v>Papelera - Papelera del Plata S.A.</v>
          </cell>
          <cell r="CV375" t="str">
            <v>Papelera - Papelera del Plata S.A.</v>
          </cell>
          <cell r="CW375" t="str">
            <v>Papelera - Papelera del Plata S.A.</v>
          </cell>
        </row>
        <row r="376">
          <cell r="D376" t="str">
            <v>NUG769</v>
          </cell>
          <cell r="E376" t="str">
            <v>Tractor</v>
          </cell>
          <cell r="F376">
            <v>0</v>
          </cell>
          <cell r="G376" t="str">
            <v>Tractor</v>
          </cell>
          <cell r="N376" t="str">
            <v>NADIN JESUS CIARROCHI</v>
          </cell>
          <cell r="O376" t="str">
            <v>NADIN JESUS CIARROCHI</v>
          </cell>
          <cell r="P376" t="str">
            <v>No</v>
          </cell>
          <cell r="Q376" t="str">
            <v>Alquilados</v>
          </cell>
          <cell r="R376" t="str">
            <v>-</v>
          </cell>
          <cell r="S376" t="str">
            <v>Alquilados</v>
          </cell>
          <cell r="T376" t="str">
            <v>FORD</v>
          </cell>
          <cell r="U376" t="str">
            <v>CARGO 1722/37 E</v>
          </cell>
          <cell r="V376">
            <v>2005</v>
          </cell>
          <cell r="W376">
            <v>21</v>
          </cell>
          <cell r="X376">
            <v>2005</v>
          </cell>
          <cell r="Y376">
            <v>21</v>
          </cell>
          <cell r="Z376" t="str">
            <v>Malargue</v>
          </cell>
          <cell r="AA376" t="str">
            <v>Expreso - Servicios Troncales</v>
          </cell>
          <cell r="AB376" t="str">
            <v>Expreso - Servicios Troncales</v>
          </cell>
          <cell r="AC376" t="str">
            <v>Expreso - Servicios Troncales</v>
          </cell>
          <cell r="AD376" t="str">
            <v>Expreso - Servicios Troncales</v>
          </cell>
          <cell r="AE376" t="str">
            <v>Expreso - Servicios Troncales</v>
          </cell>
          <cell r="AF376" t="str">
            <v>Expreso - Servicios Troncales</v>
          </cell>
          <cell r="AG376" t="str">
            <v>Expreso - Servicios Troncales</v>
          </cell>
          <cell r="AH376" t="str">
            <v>Expreso - Servicios Troncales</v>
          </cell>
          <cell r="AI376" t="str">
            <v>INACTIVO</v>
          </cell>
          <cell r="AJ376" t="str">
            <v>INACTIVO</v>
          </cell>
          <cell r="AK376" t="str">
            <v>INACTIVO</v>
          </cell>
          <cell r="AL376" t="str">
            <v>INACTIVO</v>
          </cell>
          <cell r="AM376" t="str">
            <v>INACTIVO</v>
          </cell>
          <cell r="AN376" t="str">
            <v>INACTIVO</v>
          </cell>
          <cell r="AO376" t="str">
            <v>INACTIVO</v>
          </cell>
          <cell r="AP376" t="str">
            <v>INACTIVO</v>
          </cell>
          <cell r="AQ376" t="str">
            <v>Expreso - Servicios Troncales</v>
          </cell>
          <cell r="AR376" t="str">
            <v>Expreso - Servicios Troncales</v>
          </cell>
          <cell r="AS376" t="str">
            <v>Expreso - Servicios Troncales</v>
          </cell>
          <cell r="AT376" t="str">
            <v>Expreso - Servicios Troncales</v>
          </cell>
          <cell r="AU376" t="str">
            <v>Expreso - Servicios Troncales</v>
          </cell>
          <cell r="AV376" t="str">
            <v>Expreso - Servicios Troncales</v>
          </cell>
          <cell r="AW376" t="str">
            <v>Expreso - Servicios Troncales</v>
          </cell>
          <cell r="AX376" t="str">
            <v>INACTIVO</v>
          </cell>
          <cell r="AY376" t="str">
            <v>INACTIVO</v>
          </cell>
          <cell r="AZ376" t="str">
            <v>INACTIVO</v>
          </cell>
          <cell r="BA376" t="str">
            <v>INACTIVO</v>
          </cell>
          <cell r="BB376" t="str">
            <v>INACTIVO</v>
          </cell>
          <cell r="BC376" t="str">
            <v>INACTIVO</v>
          </cell>
          <cell r="BD376" t="str">
            <v>INACTIVO</v>
          </cell>
          <cell r="BE376" t="str">
            <v>INACTIVO</v>
          </cell>
          <cell r="BF376" t="str">
            <v>INACTIVO</v>
          </cell>
          <cell r="BG376" t="str">
            <v>INACTIVO</v>
          </cell>
          <cell r="BH376" t="str">
            <v>INACTIVO</v>
          </cell>
          <cell r="BI376" t="str">
            <v>INACTIVO</v>
          </cell>
          <cell r="BJ376" t="str">
            <v>INACTIVO</v>
          </cell>
          <cell r="BK376" t="str">
            <v>INACTIVO</v>
          </cell>
          <cell r="BL376" t="str">
            <v>INACTIVO</v>
          </cell>
          <cell r="BM376" t="str">
            <v>INACTIVO</v>
          </cell>
          <cell r="BN376" t="str">
            <v>INACTIVO</v>
          </cell>
          <cell r="BO376" t="str">
            <v>INACTIVO</v>
          </cell>
          <cell r="BP376" t="str">
            <v>INACTIVO</v>
          </cell>
          <cell r="BQ376" t="str">
            <v>INACTIVO</v>
          </cell>
          <cell r="BR376" t="str">
            <v>INACTIVO</v>
          </cell>
          <cell r="BS376" t="str">
            <v>INACTIVO</v>
          </cell>
          <cell r="BT376" t="str">
            <v>INACTIVO</v>
          </cell>
          <cell r="BU376" t="str">
            <v>INACTIVO</v>
          </cell>
          <cell r="BV376" t="str">
            <v>INACTIVO</v>
          </cell>
          <cell r="BW376" t="str">
            <v>INACTIVO</v>
          </cell>
          <cell r="BX376" t="str">
            <v>INACTIVO</v>
          </cell>
          <cell r="BY376" t="str">
            <v>INACTIVO</v>
          </cell>
          <cell r="BZ376" t="str">
            <v>INACTIVO</v>
          </cell>
          <cell r="CA376" t="str">
            <v>INACTIVO</v>
          </cell>
          <cell r="CB376" t="str">
            <v>INACTIVO</v>
          </cell>
          <cell r="CC376" t="str">
            <v>BAJA</v>
          </cell>
          <cell r="CD376" t="str">
            <v>BAJA</v>
          </cell>
          <cell r="CE376" t="str">
            <v>BAJA</v>
          </cell>
          <cell r="CF376" t="str">
            <v>BAJA</v>
          </cell>
          <cell r="CG376" t="str">
            <v>BAJA</v>
          </cell>
          <cell r="CH376" t="str">
            <v>BAJA</v>
          </cell>
          <cell r="CI376" t="str">
            <v>BAJA</v>
          </cell>
          <cell r="CJ376" t="str">
            <v>BAJA</v>
          </cell>
          <cell r="CK376" t="str">
            <v>BAJA</v>
          </cell>
          <cell r="CL376" t="str">
            <v>BAJA</v>
          </cell>
          <cell r="CM376" t="str">
            <v>BAJA</v>
          </cell>
          <cell r="CN376" t="str">
            <v>BAJA</v>
          </cell>
          <cell r="CO376" t="str">
            <v>BAJA</v>
          </cell>
          <cell r="CP376" t="str">
            <v>BAJA</v>
          </cell>
          <cell r="CQ376" t="str">
            <v>BAJA</v>
          </cell>
          <cell r="CR376" t="str">
            <v>BAJA</v>
          </cell>
          <cell r="CS376" t="str">
            <v>BAJA</v>
          </cell>
          <cell r="CT376" t="str">
            <v>BAJA</v>
          </cell>
          <cell r="CU376" t="str">
            <v>BAJA</v>
          </cell>
          <cell r="CV376" t="str">
            <v>BAJA</v>
          </cell>
          <cell r="CW376" t="str">
            <v>BAJA</v>
          </cell>
        </row>
        <row r="377">
          <cell r="D377" t="str">
            <v>NVX394</v>
          </cell>
          <cell r="E377" t="str">
            <v>Camioneta</v>
          </cell>
          <cell r="F377" t="str">
            <v>Camioneta</v>
          </cell>
          <cell r="G377" t="str">
            <v>Camioneta</v>
          </cell>
          <cell r="N377" t="str">
            <v>CODYLSA</v>
          </cell>
          <cell r="O377" t="str">
            <v>CODYLSA</v>
          </cell>
          <cell r="P377" t="str">
            <v>No</v>
          </cell>
          <cell r="Q377" t="str">
            <v>Propio</v>
          </cell>
          <cell r="R377" t="str">
            <v>-</v>
          </cell>
          <cell r="S377" t="str">
            <v>Propio</v>
          </cell>
          <cell r="T377" t="str">
            <v>FORD</v>
          </cell>
          <cell r="U377" t="str">
            <v>RANGER2</v>
          </cell>
          <cell r="V377" t="str">
            <v>QW2PEJ205972</v>
          </cell>
          <cell r="W377" t="str">
            <v>8AFAR22J2EJ205972</v>
          </cell>
          <cell r="X377">
            <v>2014</v>
          </cell>
          <cell r="Y377">
            <v>12</v>
          </cell>
          <cell r="Z377" t="str">
            <v>Gs_FPR</v>
          </cell>
          <cell r="AA377" t="str">
            <v>Gs_Estru - Gastos de Estructura</v>
          </cell>
          <cell r="AB377" t="str">
            <v>Gs_Estru - Gastos de Estructura</v>
          </cell>
          <cell r="AC377" t="str">
            <v>Gs_Estru - Gastos de Estructura</v>
          </cell>
          <cell r="AD377" t="str">
            <v>Gs_Estru - Gastos de Estructura</v>
          </cell>
          <cell r="AE377" t="str">
            <v>Gs_Estru - Gastos de Estructura</v>
          </cell>
          <cell r="AF377" t="str">
            <v>Gs_Estru - Gastos de Estructura</v>
          </cell>
          <cell r="AG377" t="str">
            <v>Gs_Estru - Gastos de Estructura</v>
          </cell>
          <cell r="AH377" t="str">
            <v>Gs_Estru - Gastos de Estructura</v>
          </cell>
          <cell r="AI377" t="str">
            <v>Gs_Estru - Gastos de Estructura</v>
          </cell>
          <cell r="AJ377" t="str">
            <v>Gs_Estru - Gastos de Estructura</v>
          </cell>
          <cell r="AK377" t="str">
            <v>Gs_Estru - Gastos de Estructura</v>
          </cell>
          <cell r="AL377" t="str">
            <v>Gs_Estru - Gastos de Estructura</v>
          </cell>
          <cell r="AM377" t="str">
            <v>Gs_Estru - Gastos de Estructura</v>
          </cell>
          <cell r="AN377" t="str">
            <v>Gs_Estru - Gastos de Estructura</v>
          </cell>
          <cell r="AO377" t="str">
            <v>Gs_Estru - Gastos de Estructura</v>
          </cell>
          <cell r="AP377" t="str">
            <v>Gs_Estru - Gastos de Estructura</v>
          </cell>
          <cell r="AQ377" t="str">
            <v>Gs_Estru - Gastos de Estructura</v>
          </cell>
          <cell r="AR377" t="str">
            <v>Gs_Estru - Gastos de Estructura</v>
          </cell>
          <cell r="AS377" t="str">
            <v>Gs_Estru - Gastos de Estructura</v>
          </cell>
          <cell r="AT377" t="str">
            <v>Gs_Estru - Gastos de Estructura</v>
          </cell>
          <cell r="AU377" t="str">
            <v>Gs_Estru - Gastos de Estructura</v>
          </cell>
          <cell r="AV377" t="str">
            <v>Gs_Estru - Gastos de Estructura</v>
          </cell>
          <cell r="AW377" t="str">
            <v>Gs_Estru - Gastos de Estructura</v>
          </cell>
          <cell r="AX377" t="str">
            <v>Gs_Estru - Gastos de Estructura</v>
          </cell>
          <cell r="AY377" t="str">
            <v>Expreso - Servicios Troncales</v>
          </cell>
          <cell r="AZ377" t="str">
            <v>Expreso - Servicios Troncales</v>
          </cell>
          <cell r="BA377" t="str">
            <v>Expreso - Servicios Troncales</v>
          </cell>
          <cell r="BB377" t="str">
            <v>Expreso - Servicios Troncales</v>
          </cell>
          <cell r="BC377" t="str">
            <v>Expreso - Servicios Troncales</v>
          </cell>
          <cell r="BD377" t="str">
            <v>SUC_CTC - Sucursal Buenos Aires</v>
          </cell>
          <cell r="BE377" t="str">
            <v>SUC_CTC - Sucursal Buenos Aires</v>
          </cell>
          <cell r="BF377" t="str">
            <v>SUC_CTC - Sucursal Buenos Aires</v>
          </cell>
          <cell r="BG377" t="str">
            <v>SUC_CTC - Sucursal Buenos Aires</v>
          </cell>
          <cell r="BH377" t="str">
            <v>SUC_CTC - Sucursal Buenos Aires</v>
          </cell>
          <cell r="BI377" t="str">
            <v>SUC_CTC - Sucursal Buenos Aires</v>
          </cell>
          <cell r="BJ377" t="str">
            <v>SUC_CTC - Sucursal Buenos Aires</v>
          </cell>
          <cell r="BK377" t="str">
            <v>SUC_CTC - Sucursal Buenos Aires</v>
          </cell>
          <cell r="BL377" t="str">
            <v>SUC_CTC - Sucursal Buenos Aires</v>
          </cell>
          <cell r="BM377" t="str">
            <v>SUC_CTC - Sucursal Buenos Aires</v>
          </cell>
          <cell r="BN377" t="str">
            <v>SUC_CTC - Sucursal Buenos Aires</v>
          </cell>
          <cell r="BO377" t="str">
            <v>SUC_CTC - Sucursal Buenos Aires</v>
          </cell>
          <cell r="BP377" t="str">
            <v>Gs_Estru - Gastos de Estructura</v>
          </cell>
          <cell r="BQ377" t="str">
            <v>Gs_Estru - Gastos de Estructura</v>
          </cell>
          <cell r="BR377" t="str">
            <v>Gs_Estru - Gastos de Estructura</v>
          </cell>
          <cell r="BS377" t="str">
            <v>Gs_Estru - Gastos de Estructura</v>
          </cell>
          <cell r="BT377" t="str">
            <v>Gs_Estru - Gastos de Estructura</v>
          </cell>
          <cell r="BU377" t="str">
            <v>Gs_Estru - Gastos de Estructura</v>
          </cell>
          <cell r="BV377" t="str">
            <v>Gs_Estru - Gastos de Estructura</v>
          </cell>
          <cell r="BW377" t="str">
            <v>Gs_Estru - Gastos de Estructura</v>
          </cell>
          <cell r="BX377" t="str">
            <v>Gs_Estru - Gastos de Estructura</v>
          </cell>
          <cell r="BY377" t="str">
            <v>Gs_Estru - Gastos de Estructura</v>
          </cell>
          <cell r="BZ377" t="str">
            <v>Gs_Estru - Gastos de Estructura</v>
          </cell>
          <cell r="CA377" t="str">
            <v>Gs_Estru - Gastos de Estructura</v>
          </cell>
          <cell r="CB377" t="str">
            <v>Gs_Estru - Gastos de Estructura</v>
          </cell>
          <cell r="CC377" t="str">
            <v>Gs_Estru - Gastos de Estructura</v>
          </cell>
          <cell r="CD377" t="str">
            <v>Gs_Estru - Gastos de Estructura</v>
          </cell>
          <cell r="CE377" t="str">
            <v>Gs_Estru - Gastos de Estructura</v>
          </cell>
          <cell r="CF377" t="str">
            <v>Gs_Estru - Gastos de Estructura</v>
          </cell>
          <cell r="CG377" t="str">
            <v>Gs_Estru - Gastos de Estructura</v>
          </cell>
          <cell r="CH377" t="str">
            <v>Gs_Estru - Gastos de Estructura</v>
          </cell>
          <cell r="CI377" t="str">
            <v>Gs_Estru - Gastos de Estructura</v>
          </cell>
          <cell r="CJ377" t="str">
            <v>Gs_Estru - Gastos de Estructura</v>
          </cell>
          <cell r="CK377" t="str">
            <v>Gs_Estru - Gastos de Estructura</v>
          </cell>
          <cell r="CL377" t="str">
            <v>Gs_Estru - Gastos de Estructura</v>
          </cell>
          <cell r="CM377" t="str">
            <v>Gs_Estru - Gastos de Estructura</v>
          </cell>
          <cell r="CN377" t="str">
            <v>CIMSA_MZA</v>
          </cell>
          <cell r="CO377" t="str">
            <v>CIMSA_MZA</v>
          </cell>
          <cell r="CP377" t="str">
            <v>CIMSA_MZA</v>
          </cell>
          <cell r="CQ377" t="str">
            <v>CIMSA_MZA</v>
          </cell>
          <cell r="CR377" t="str">
            <v>CIMSA_MZA</v>
          </cell>
          <cell r="CS377" t="str">
            <v>CIMSA_MZA</v>
          </cell>
          <cell r="CT377" t="str">
            <v>CIMSA_MZA</v>
          </cell>
          <cell r="CU377" t="str">
            <v>CIMSA_MZA</v>
          </cell>
          <cell r="CV377" t="str">
            <v>CIMSA_MZA</v>
          </cell>
          <cell r="CW377" t="str">
            <v>CIMSA_MZA</v>
          </cell>
        </row>
        <row r="378">
          <cell r="D378" t="str">
            <v>NWV169</v>
          </cell>
          <cell r="E378" t="str">
            <v>Semiremolque</v>
          </cell>
          <cell r="F378" t="str">
            <v>Semiremolque</v>
          </cell>
          <cell r="G378" t="str">
            <v>Semiremolque Baranda 14,5m 28P</v>
          </cell>
          <cell r="N378" t="str">
            <v>TDU</v>
          </cell>
          <cell r="O378" t="str">
            <v>TDU</v>
          </cell>
          <cell r="P378" t="str">
            <v>No</v>
          </cell>
          <cell r="Q378" t="str">
            <v>Propio</v>
          </cell>
          <cell r="R378">
            <v>28</v>
          </cell>
          <cell r="S378" t="str">
            <v>Propio</v>
          </cell>
          <cell r="T378" t="str">
            <v>SOLA Y BRUSA</v>
          </cell>
          <cell r="U378" t="str">
            <v>16-BDAS. VOLC. 3 EJES</v>
          </cell>
          <cell r="V378">
            <v>0</v>
          </cell>
          <cell r="W378" t="str">
            <v>8BAG1453AE1000328</v>
          </cell>
          <cell r="X378">
            <v>2014</v>
          </cell>
          <cell r="Y378">
            <v>12</v>
          </cell>
          <cell r="Z378" t="str">
            <v>Malargue</v>
          </cell>
          <cell r="AA378" t="str">
            <v>Expreso - Servicios Troncales</v>
          </cell>
          <cell r="AB378" t="str">
            <v>Expreso - Servicios Troncales</v>
          </cell>
          <cell r="AC378" t="str">
            <v>Expreso - Servicios Troncales</v>
          </cell>
          <cell r="AD378" t="str">
            <v>Expreso - Servicios Troncales</v>
          </cell>
          <cell r="AE378" t="str">
            <v>Expreso - Servicios Troncales</v>
          </cell>
          <cell r="AF378" t="str">
            <v>Expreso - Servicios Troncales</v>
          </cell>
          <cell r="AG378" t="str">
            <v>Expreso - Servicios Troncales</v>
          </cell>
          <cell r="AH378" t="str">
            <v>Expreso - Servicios Troncales</v>
          </cell>
          <cell r="AI378" t="str">
            <v>Expreso - Servicios Troncales</v>
          </cell>
          <cell r="AJ378" t="str">
            <v>Expreso - Servicios Troncales</v>
          </cell>
          <cell r="AK378" t="str">
            <v>Expreso - Servicios Troncales</v>
          </cell>
          <cell r="AL378" t="str">
            <v>Expreso - Servicios Troncales</v>
          </cell>
          <cell r="AM378" t="str">
            <v>Expreso - Servicios Troncales</v>
          </cell>
          <cell r="AN378" t="str">
            <v>Expreso - Servicios Troncales</v>
          </cell>
          <cell r="AO378" t="str">
            <v>Expreso - Servicios Troncales</v>
          </cell>
          <cell r="AP378" t="str">
            <v>Expreso - Servicios Troncales</v>
          </cell>
          <cell r="AQ378" t="str">
            <v>Expreso - Servicios Troncales</v>
          </cell>
          <cell r="AR378" t="str">
            <v>Expreso - Servicios Troncales</v>
          </cell>
          <cell r="AS378" t="str">
            <v>Expreso - Servicios Troncales</v>
          </cell>
          <cell r="AT378" t="str">
            <v>Expreso - Servicios Troncales</v>
          </cell>
          <cell r="AU378" t="str">
            <v>Expreso - Servicios Troncales</v>
          </cell>
          <cell r="AV378" t="str">
            <v>Expreso - Servicios Troncales</v>
          </cell>
          <cell r="AW378" t="str">
            <v>Expreso - Servicios Troncales</v>
          </cell>
          <cell r="AX378" t="str">
            <v>Expreso - Servicios Troncales</v>
          </cell>
          <cell r="AY378" t="str">
            <v>Expreso - Servicios Troncales</v>
          </cell>
          <cell r="AZ378" t="str">
            <v>Expreso - Servicios Troncales</v>
          </cell>
          <cell r="BA378" t="str">
            <v>Expreso - Servicios Troncales</v>
          </cell>
          <cell r="BB378" t="str">
            <v>Expreso - Servicios Troncales</v>
          </cell>
          <cell r="BC378" t="str">
            <v>Expreso - Servicios Troncales</v>
          </cell>
          <cell r="BD378" t="str">
            <v>Expreso - Servicios Troncales</v>
          </cell>
          <cell r="BE378" t="str">
            <v>Expreso - Servicios Troncales</v>
          </cell>
          <cell r="BF378" t="str">
            <v>Expreso - Servicios Troncales</v>
          </cell>
          <cell r="BG378" t="str">
            <v>Expreso - Servicios Troncales</v>
          </cell>
          <cell r="BH378" t="str">
            <v>Expreso - Servicios Troncales</v>
          </cell>
          <cell r="BI378" t="str">
            <v>Expreso - Servicios Troncales</v>
          </cell>
          <cell r="BJ378" t="str">
            <v>Expreso - Servicios Troncales</v>
          </cell>
          <cell r="BK378" t="str">
            <v>Expreso - Servicios Troncales</v>
          </cell>
          <cell r="BL378" t="str">
            <v>Expreso - Servicios Troncales</v>
          </cell>
          <cell r="BM378" t="str">
            <v>Expreso - Servicios Troncales</v>
          </cell>
          <cell r="BN378" t="str">
            <v>Expreso - Servicios Troncales</v>
          </cell>
          <cell r="BO378" t="str">
            <v>Expreso - Servicios Troncales</v>
          </cell>
          <cell r="BP378" t="str">
            <v>Expreso - Servicios Troncales</v>
          </cell>
          <cell r="BQ378" t="str">
            <v>Expreso - Servicios Troncales</v>
          </cell>
          <cell r="BR378" t="str">
            <v>Expreso - Servicios Troncales</v>
          </cell>
          <cell r="BS378" t="str">
            <v>Expreso - Servicios Troncales</v>
          </cell>
          <cell r="BT378" t="str">
            <v>Expreso - Servicios Troncales</v>
          </cell>
          <cell r="BU378" t="str">
            <v>Expreso - Servicios Troncales</v>
          </cell>
          <cell r="BV378" t="str">
            <v>Expreso - Servicios Troncales</v>
          </cell>
          <cell r="BW378" t="str">
            <v>Expreso - Servicios Troncales</v>
          </cell>
          <cell r="BX378" t="str">
            <v>Expreso - Servicios Troncales</v>
          </cell>
          <cell r="BY378" t="str">
            <v>Expreso - Servicios Troncales</v>
          </cell>
          <cell r="BZ378" t="str">
            <v>Expreso - Servicios Troncales</v>
          </cell>
          <cell r="CA378" t="str">
            <v>Expreso - Servicios Troncales</v>
          </cell>
          <cell r="CB378" t="str">
            <v>Expreso - Servicios Troncales</v>
          </cell>
          <cell r="CC378" t="str">
            <v>Expreso - Servicios Troncales</v>
          </cell>
          <cell r="CD378" t="str">
            <v>Expreso - Servicios Troncales</v>
          </cell>
          <cell r="CE378" t="str">
            <v>Expreso - Servicios Troncales</v>
          </cell>
          <cell r="CF378" t="str">
            <v>Expreso - Servicios Troncales</v>
          </cell>
          <cell r="CG378" t="str">
            <v>Expreso - Servicios Troncales</v>
          </cell>
          <cell r="CH378" t="str">
            <v>Expreso - Servicios Troncales</v>
          </cell>
          <cell r="CI378" t="str">
            <v>Expreso - Servicios Troncales</v>
          </cell>
          <cell r="CJ378" t="str">
            <v>Expreso - Servicios Troncales</v>
          </cell>
          <cell r="CK378" t="str">
            <v>Expreso - Servicios Troncales</v>
          </cell>
          <cell r="CL378" t="str">
            <v>Expreso - Servicios Troncales</v>
          </cell>
          <cell r="CM378" t="str">
            <v>Expreso - Servicios Troncales</v>
          </cell>
          <cell r="CN378" t="str">
            <v>Expreso - Servicios Troncales</v>
          </cell>
          <cell r="CO378" t="str">
            <v>Expreso - Servicios Troncales</v>
          </cell>
          <cell r="CP378" t="str">
            <v>Expreso - Servicios Troncales</v>
          </cell>
          <cell r="CQ378" t="str">
            <v>Expreso - Servicios Troncales</v>
          </cell>
          <cell r="CR378" t="str">
            <v>Expreso - Servicios Troncales</v>
          </cell>
          <cell r="CS378" t="str">
            <v>Expreso - Servicios Troncales</v>
          </cell>
          <cell r="CT378" t="str">
            <v>Expreso - Servicios Troncales</v>
          </cell>
          <cell r="CU378" t="str">
            <v>Expreso - Servicios Troncales</v>
          </cell>
          <cell r="CV378" t="str">
            <v>Expreso - Servicios Troncales</v>
          </cell>
          <cell r="CW378" t="str">
            <v>Expreso - Servicios Troncales</v>
          </cell>
        </row>
        <row r="379">
          <cell r="D379" t="str">
            <v>NWV170</v>
          </cell>
          <cell r="E379" t="str">
            <v>Semiremolque</v>
          </cell>
          <cell r="F379" t="str">
            <v>Semiremolque</v>
          </cell>
          <cell r="G379" t="str">
            <v>Semiremolque Baranda 14,5m 28P</v>
          </cell>
          <cell r="N379" t="str">
            <v>TDU</v>
          </cell>
          <cell r="O379" t="str">
            <v>TDU</v>
          </cell>
          <cell r="P379" t="str">
            <v>No</v>
          </cell>
          <cell r="Q379" t="str">
            <v>Propio</v>
          </cell>
          <cell r="R379">
            <v>28</v>
          </cell>
          <cell r="S379" t="str">
            <v>Propio</v>
          </cell>
          <cell r="T379" t="str">
            <v>SOLA Y BRUSA</v>
          </cell>
          <cell r="U379" t="str">
            <v>16-BDAS. VOLC. 3 EJES</v>
          </cell>
          <cell r="V379">
            <v>0</v>
          </cell>
          <cell r="W379" t="str">
            <v>8BAG1453AE1000327</v>
          </cell>
          <cell r="X379">
            <v>2014</v>
          </cell>
          <cell r="Y379">
            <v>12</v>
          </cell>
          <cell r="Z379" t="str">
            <v>Malargue</v>
          </cell>
          <cell r="AA379" t="str">
            <v>Expreso - Servicios Troncales</v>
          </cell>
          <cell r="AB379" t="str">
            <v>Expreso - Servicios Troncales</v>
          </cell>
          <cell r="AC379" t="str">
            <v>Expreso - Servicios Troncales</v>
          </cell>
          <cell r="AD379" t="str">
            <v>Expreso - Servicios Troncales</v>
          </cell>
          <cell r="AE379" t="str">
            <v>Expreso - Servicios Troncales</v>
          </cell>
          <cell r="AF379" t="str">
            <v>Expreso - Servicios Troncales</v>
          </cell>
          <cell r="AG379" t="str">
            <v>Expreso - Servicios Troncales</v>
          </cell>
          <cell r="AH379" t="str">
            <v>Expreso - Servicios Troncales</v>
          </cell>
          <cell r="AI379" t="str">
            <v>Expreso - Servicios Troncales</v>
          </cell>
          <cell r="AJ379" t="str">
            <v>Expreso - Servicios Troncales</v>
          </cell>
          <cell r="AK379" t="str">
            <v>Expreso - Servicios Troncales</v>
          </cell>
          <cell r="AL379" t="str">
            <v>Expreso - Servicios Troncales</v>
          </cell>
          <cell r="AM379" t="str">
            <v>Expreso - Servicios Troncales</v>
          </cell>
          <cell r="AN379" t="str">
            <v>Expreso - Servicios Troncales</v>
          </cell>
          <cell r="AO379" t="str">
            <v>Expreso - Servicios Troncales</v>
          </cell>
          <cell r="AP379" t="str">
            <v>Expreso - Servicios Troncales</v>
          </cell>
          <cell r="AQ379" t="str">
            <v>Expreso - Servicios Troncales</v>
          </cell>
          <cell r="AR379" t="str">
            <v>Expreso - Servicios Troncales</v>
          </cell>
          <cell r="AS379" t="str">
            <v>Expreso - Servicios Troncales</v>
          </cell>
          <cell r="AT379" t="str">
            <v>Expreso - Servicios Troncales</v>
          </cell>
          <cell r="AU379" t="str">
            <v>Expreso - Servicios Troncales</v>
          </cell>
          <cell r="AV379" t="str">
            <v>Expreso - Servicios Troncales</v>
          </cell>
          <cell r="AW379" t="str">
            <v>Expreso - Servicios Troncales</v>
          </cell>
          <cell r="AX379" t="str">
            <v>Expreso - Servicios Troncales</v>
          </cell>
          <cell r="AY379" t="str">
            <v>Expreso - Servicios Troncales</v>
          </cell>
          <cell r="AZ379" t="str">
            <v>Expreso - Servicios Troncales</v>
          </cell>
          <cell r="BA379" t="str">
            <v>Expreso - Servicios Troncales</v>
          </cell>
          <cell r="BB379" t="str">
            <v>Expreso - Servicios Troncales</v>
          </cell>
          <cell r="BC379" t="str">
            <v>Expreso - Servicios Troncales</v>
          </cell>
          <cell r="BD379" t="str">
            <v>Expreso - Servicios Troncales</v>
          </cell>
          <cell r="BE379" t="str">
            <v>Expreso - Servicios Troncales</v>
          </cell>
          <cell r="BF379" t="str">
            <v>Expreso - Servicios Troncales</v>
          </cell>
          <cell r="BG379" t="str">
            <v>Expreso - Servicios Troncales</v>
          </cell>
          <cell r="BH379" t="str">
            <v>Expreso - Servicios Troncales</v>
          </cell>
          <cell r="BI379" t="str">
            <v>Expreso - Servicios Troncales</v>
          </cell>
          <cell r="BJ379" t="str">
            <v>Expreso - Servicios Troncales</v>
          </cell>
          <cell r="BK379" t="str">
            <v>Expreso - Servicios Troncales</v>
          </cell>
          <cell r="BL379" t="str">
            <v>Expreso - Servicios Troncales</v>
          </cell>
          <cell r="BM379" t="str">
            <v>Expreso - Servicios Troncales</v>
          </cell>
          <cell r="BN379" t="str">
            <v>Expreso - Servicios Troncales</v>
          </cell>
          <cell r="BO379" t="str">
            <v>Expreso - Servicios Troncales</v>
          </cell>
          <cell r="BP379" t="str">
            <v>Expreso - Servicios Troncales</v>
          </cell>
          <cell r="BQ379" t="str">
            <v>Expreso - Servicios Troncales</v>
          </cell>
          <cell r="BR379" t="str">
            <v>Expreso - Servicios Troncales</v>
          </cell>
          <cell r="BS379" t="str">
            <v>Expreso - Servicios Troncales</v>
          </cell>
          <cell r="BT379" t="str">
            <v>Expreso - Servicios Troncales</v>
          </cell>
          <cell r="BU379" t="str">
            <v>Expreso - Servicios Troncales</v>
          </cell>
          <cell r="BV379" t="str">
            <v>Expreso - Servicios Troncales</v>
          </cell>
          <cell r="BW379" t="str">
            <v>Expreso - Servicios Troncales</v>
          </cell>
          <cell r="BX379" t="str">
            <v>Expreso - Servicios Troncales</v>
          </cell>
          <cell r="BY379" t="str">
            <v>Expreso - Servicios Troncales</v>
          </cell>
          <cell r="BZ379" t="str">
            <v>Expreso - Servicios Troncales</v>
          </cell>
          <cell r="CA379" t="str">
            <v>Expreso - Servicios Troncales</v>
          </cell>
          <cell r="CB379" t="str">
            <v>Expreso - Servicios Troncales</v>
          </cell>
          <cell r="CC379" t="str">
            <v>Expreso - Servicios Troncales</v>
          </cell>
          <cell r="CD379" t="str">
            <v>Expreso - Servicios Troncales</v>
          </cell>
          <cell r="CE379" t="str">
            <v>Expreso - Servicios Troncales</v>
          </cell>
          <cell r="CF379" t="str">
            <v>Expreso - Servicios Troncales</v>
          </cell>
          <cell r="CG379" t="str">
            <v>Expreso - Servicios Troncales</v>
          </cell>
          <cell r="CH379" t="str">
            <v>Expreso - Servicios Troncales</v>
          </cell>
          <cell r="CI379" t="str">
            <v>Expreso - Servicios Troncales</v>
          </cell>
          <cell r="CJ379" t="str">
            <v>Expreso - Servicios Troncales</v>
          </cell>
          <cell r="CK379" t="str">
            <v>Expreso - Servicios Troncales</v>
          </cell>
          <cell r="CL379" t="str">
            <v>Expreso - Servicios Troncales</v>
          </cell>
          <cell r="CM379" t="str">
            <v>Expreso - Servicios Troncales</v>
          </cell>
          <cell r="CN379" t="str">
            <v>Expreso - Servicios Troncales</v>
          </cell>
          <cell r="CO379" t="str">
            <v>Expreso - Servicios Troncales</v>
          </cell>
          <cell r="CP379" t="str">
            <v>Expreso - Servicios Troncales</v>
          </cell>
          <cell r="CQ379" t="str">
            <v>Expreso - Servicios Troncales</v>
          </cell>
          <cell r="CR379" t="str">
            <v>Expreso - Servicios Troncales</v>
          </cell>
          <cell r="CS379" t="str">
            <v>Expreso - Servicios Troncales</v>
          </cell>
          <cell r="CT379" t="str">
            <v>Expreso - Servicios Troncales</v>
          </cell>
          <cell r="CU379" t="str">
            <v>Expreso - Servicios Troncales</v>
          </cell>
          <cell r="CV379" t="str">
            <v>Expreso - Servicios Troncales</v>
          </cell>
          <cell r="CW379" t="str">
            <v>Expreso - Servicios Troncales</v>
          </cell>
        </row>
        <row r="380">
          <cell r="D380" t="str">
            <v>NWV171</v>
          </cell>
          <cell r="E380" t="str">
            <v>Semiremolque</v>
          </cell>
          <cell r="F380" t="str">
            <v>Semiremolque</v>
          </cell>
          <cell r="G380" t="str">
            <v>Semiremolque Baranda 14,5m 28P</v>
          </cell>
          <cell r="N380" t="str">
            <v>TDU</v>
          </cell>
          <cell r="O380" t="str">
            <v>TDU</v>
          </cell>
          <cell r="P380" t="str">
            <v>No</v>
          </cell>
          <cell r="Q380" t="str">
            <v>Propio</v>
          </cell>
          <cell r="R380">
            <v>28</v>
          </cell>
          <cell r="S380" t="str">
            <v>Propio</v>
          </cell>
          <cell r="T380" t="str">
            <v>SOLA Y BRUSA</v>
          </cell>
          <cell r="U380" t="str">
            <v>16-BDAS. VOLC. 3 EJES</v>
          </cell>
          <cell r="V380">
            <v>0</v>
          </cell>
          <cell r="W380" t="str">
            <v>8BAG1453AE1000330</v>
          </cell>
          <cell r="X380">
            <v>2014</v>
          </cell>
          <cell r="Y380">
            <v>12</v>
          </cell>
          <cell r="Z380" t="str">
            <v>Malargue</v>
          </cell>
          <cell r="AA380" t="str">
            <v>Expreso - Servicios Troncales</v>
          </cell>
          <cell r="AB380" t="str">
            <v>Expreso - Servicios Troncales</v>
          </cell>
          <cell r="AC380" t="str">
            <v>Expreso - Servicios Troncales</v>
          </cell>
          <cell r="AD380" t="str">
            <v>Expreso - Servicios Troncales</v>
          </cell>
          <cell r="AE380" t="str">
            <v>Expreso - Servicios Troncales</v>
          </cell>
          <cell r="AF380" t="str">
            <v>Expreso - Servicios Troncales</v>
          </cell>
          <cell r="AG380" t="str">
            <v>Expreso - Servicios Troncales</v>
          </cell>
          <cell r="AH380" t="str">
            <v>Expreso - Servicios Troncales</v>
          </cell>
          <cell r="AI380" t="str">
            <v>Expreso - Servicios Troncales</v>
          </cell>
          <cell r="AJ380" t="str">
            <v>Expreso - Servicios Troncales</v>
          </cell>
          <cell r="AK380" t="str">
            <v>Expreso - Servicios Troncales</v>
          </cell>
          <cell r="AL380" t="str">
            <v>Expreso - Servicios Troncales</v>
          </cell>
          <cell r="AM380" t="str">
            <v>Expreso - Servicios Troncales</v>
          </cell>
          <cell r="AN380" t="str">
            <v>Expreso - Servicios Troncales</v>
          </cell>
          <cell r="AO380" t="str">
            <v>Expreso - Servicios Troncales</v>
          </cell>
          <cell r="AP380" t="str">
            <v>Expreso - Servicios Troncales</v>
          </cell>
          <cell r="AQ380" t="str">
            <v>Expreso - Servicios Troncales</v>
          </cell>
          <cell r="AR380" t="str">
            <v>Expreso - Servicios Troncales</v>
          </cell>
          <cell r="AS380" t="str">
            <v>Expreso - Servicios Troncales</v>
          </cell>
          <cell r="AT380" t="str">
            <v>Expreso - Servicios Troncales</v>
          </cell>
          <cell r="AU380" t="str">
            <v>Expreso - Servicios Troncales</v>
          </cell>
          <cell r="AV380" t="str">
            <v>Expreso - Servicios Troncales</v>
          </cell>
          <cell r="AW380" t="str">
            <v>Expreso - Servicios Troncales</v>
          </cell>
          <cell r="AX380" t="str">
            <v>Expreso - Servicios Troncales</v>
          </cell>
          <cell r="AY380" t="str">
            <v>Expreso - Servicios Troncales</v>
          </cell>
          <cell r="AZ380" t="str">
            <v>Expreso - Servicios Troncales</v>
          </cell>
          <cell r="BA380" t="str">
            <v>Expreso - Servicios Troncales</v>
          </cell>
          <cell r="BB380" t="str">
            <v>Expreso - Servicios Troncales</v>
          </cell>
          <cell r="BC380" t="str">
            <v>Expreso - Servicios Troncales</v>
          </cell>
          <cell r="BD380" t="str">
            <v>Expreso - Servicios Troncales</v>
          </cell>
          <cell r="BE380" t="str">
            <v>Expreso - Servicios Troncales</v>
          </cell>
          <cell r="BF380" t="str">
            <v>Expreso - Servicios Troncales</v>
          </cell>
          <cell r="BG380" t="str">
            <v>Expreso - Servicios Troncales</v>
          </cell>
          <cell r="BH380" t="str">
            <v>Expreso - Servicios Troncales</v>
          </cell>
          <cell r="BI380" t="str">
            <v>Expreso - Servicios Troncales</v>
          </cell>
          <cell r="BJ380" t="str">
            <v>Expreso - Servicios Troncales</v>
          </cell>
          <cell r="BK380" t="str">
            <v>Expreso - Servicios Troncales</v>
          </cell>
          <cell r="BL380" t="str">
            <v>Expreso - Servicios Troncales</v>
          </cell>
          <cell r="BM380" t="str">
            <v>Expreso - Servicios Troncales</v>
          </cell>
          <cell r="BN380" t="str">
            <v>Expreso - Servicios Troncales</v>
          </cell>
          <cell r="BO380" t="str">
            <v>Expreso - Servicios Troncales</v>
          </cell>
          <cell r="BP380" t="str">
            <v>Expreso - Servicios Troncales</v>
          </cell>
          <cell r="BQ380" t="str">
            <v>Expreso - Servicios Troncales</v>
          </cell>
          <cell r="BR380" t="str">
            <v>Expreso - Servicios Troncales</v>
          </cell>
          <cell r="BS380" t="str">
            <v>Expreso - Servicios Troncales</v>
          </cell>
          <cell r="BT380" t="str">
            <v>Expreso - Servicios Troncales</v>
          </cell>
          <cell r="BU380" t="str">
            <v>Expreso - Servicios Troncales</v>
          </cell>
          <cell r="BV380" t="str">
            <v>Expreso - Servicios Troncales</v>
          </cell>
          <cell r="BW380" t="str">
            <v>Expreso - Servicios Troncales</v>
          </cell>
          <cell r="BX380" t="str">
            <v>Expreso - Servicios Troncales</v>
          </cell>
          <cell r="BY380" t="str">
            <v>Expreso - Servicios Troncales</v>
          </cell>
          <cell r="BZ380" t="str">
            <v>Expreso - Servicios Troncales</v>
          </cell>
          <cell r="CA380" t="str">
            <v>Expreso - Servicios Troncales</v>
          </cell>
          <cell r="CB380" t="str">
            <v>Expreso - Servicios Troncales</v>
          </cell>
          <cell r="CC380" t="str">
            <v>Expreso - Servicios Troncales</v>
          </cell>
          <cell r="CD380" t="str">
            <v>Expreso - Servicios Troncales</v>
          </cell>
          <cell r="CE380" t="str">
            <v>Expreso - Servicios Troncales</v>
          </cell>
          <cell r="CF380" t="str">
            <v>Expreso - Servicios Troncales</v>
          </cell>
          <cell r="CG380" t="str">
            <v>Expreso - Servicios Troncales</v>
          </cell>
          <cell r="CH380" t="str">
            <v>Expreso - Servicios Troncales</v>
          </cell>
          <cell r="CI380" t="str">
            <v>Expreso - Servicios Troncales</v>
          </cell>
          <cell r="CJ380" t="str">
            <v>Expreso - Servicios Troncales</v>
          </cell>
          <cell r="CK380" t="str">
            <v>Expreso - Servicios Troncales</v>
          </cell>
          <cell r="CL380" t="str">
            <v>Expreso - Servicios Troncales</v>
          </cell>
          <cell r="CM380" t="str">
            <v>Expreso - Servicios Troncales</v>
          </cell>
          <cell r="CN380" t="str">
            <v>Expreso - Servicios Troncales</v>
          </cell>
          <cell r="CO380" t="str">
            <v>Expreso - Servicios Troncales</v>
          </cell>
          <cell r="CP380" t="str">
            <v>Expreso - Servicios Troncales</v>
          </cell>
          <cell r="CQ380" t="str">
            <v>Expreso - Servicios Troncales</v>
          </cell>
          <cell r="CR380" t="str">
            <v>Expreso - Servicios Troncales</v>
          </cell>
          <cell r="CS380" t="str">
            <v>Expreso - Servicios Troncales</v>
          </cell>
          <cell r="CT380" t="str">
            <v>Expreso - Servicios Troncales</v>
          </cell>
          <cell r="CU380" t="str">
            <v>Expreso - Servicios Troncales</v>
          </cell>
          <cell r="CV380" t="str">
            <v>Expreso - Servicios Troncales</v>
          </cell>
          <cell r="CW380" t="str">
            <v>Expreso - Servicios Troncales</v>
          </cell>
        </row>
        <row r="381">
          <cell r="D381" t="str">
            <v>NWV172</v>
          </cell>
          <cell r="E381" t="str">
            <v>Semiremolque</v>
          </cell>
          <cell r="F381" t="str">
            <v>Semiremolque</v>
          </cell>
          <cell r="G381" t="str">
            <v>Semiremolque Baranda 14,5m 28P</v>
          </cell>
          <cell r="N381" t="str">
            <v>TDU</v>
          </cell>
          <cell r="O381" t="str">
            <v>TDU</v>
          </cell>
          <cell r="P381" t="str">
            <v>No</v>
          </cell>
          <cell r="Q381" t="str">
            <v>Propio</v>
          </cell>
          <cell r="R381">
            <v>28</v>
          </cell>
          <cell r="S381" t="str">
            <v>Propio</v>
          </cell>
          <cell r="T381" t="str">
            <v>SOLA Y BRUSA</v>
          </cell>
          <cell r="U381" t="str">
            <v>16-BDAS. VOLC. 3 EJES</v>
          </cell>
          <cell r="V381">
            <v>0</v>
          </cell>
          <cell r="W381" t="str">
            <v>8BAG1453AE1000331</v>
          </cell>
          <cell r="X381">
            <v>2014</v>
          </cell>
          <cell r="Y381">
            <v>12</v>
          </cell>
          <cell r="Z381" t="str">
            <v>Malargue</v>
          </cell>
          <cell r="AA381" t="str">
            <v>Expreso - Servicios Troncales</v>
          </cell>
          <cell r="AB381" t="str">
            <v>Expreso - Servicios Troncales</v>
          </cell>
          <cell r="AC381" t="str">
            <v>Expreso - Servicios Troncales</v>
          </cell>
          <cell r="AD381" t="str">
            <v>Expreso - Servicios Troncales</v>
          </cell>
          <cell r="AE381" t="str">
            <v>Expreso - Servicios Troncales</v>
          </cell>
          <cell r="AF381" t="str">
            <v>Expreso - Servicios Troncales</v>
          </cell>
          <cell r="AG381" t="str">
            <v>Expreso - Servicios Troncales</v>
          </cell>
          <cell r="AH381" t="str">
            <v>Expreso - Servicios Troncales</v>
          </cell>
          <cell r="AI381" t="str">
            <v>Expreso - Servicios Troncales</v>
          </cell>
          <cell r="AJ381" t="str">
            <v>Expreso - Servicios Troncales</v>
          </cell>
          <cell r="AK381" t="str">
            <v>Expreso - Servicios Troncales</v>
          </cell>
          <cell r="AL381" t="str">
            <v>Expreso - Servicios Troncales</v>
          </cell>
          <cell r="AM381" t="str">
            <v>Expreso - Servicios Troncales</v>
          </cell>
          <cell r="AN381" t="str">
            <v>Expreso - Servicios Troncales</v>
          </cell>
          <cell r="AO381" t="str">
            <v>Expreso - Servicios Troncales</v>
          </cell>
          <cell r="AP381" t="str">
            <v>Expreso - Servicios Troncales</v>
          </cell>
          <cell r="AQ381" t="str">
            <v>Expreso - Servicios Troncales</v>
          </cell>
          <cell r="AR381" t="str">
            <v>Expreso - Servicios Troncales</v>
          </cell>
          <cell r="AS381" t="str">
            <v>Expreso - Servicios Troncales</v>
          </cell>
          <cell r="AT381" t="str">
            <v>Expreso - Servicios Troncales</v>
          </cell>
          <cell r="AU381" t="str">
            <v>Expreso - Servicios Troncales</v>
          </cell>
          <cell r="AV381" t="str">
            <v>Expreso - Servicios Troncales</v>
          </cell>
          <cell r="AW381" t="str">
            <v>Expreso - Servicios Troncales</v>
          </cell>
          <cell r="AX381" t="str">
            <v>Expreso - Servicios Troncales</v>
          </cell>
          <cell r="AY381" t="str">
            <v>Expreso - Servicios Troncales</v>
          </cell>
          <cell r="AZ381" t="str">
            <v>Expreso - Servicios Troncales</v>
          </cell>
          <cell r="BA381" t="str">
            <v>Expreso - Servicios Troncales</v>
          </cell>
          <cell r="BB381" t="str">
            <v>Expreso - Servicios Troncales</v>
          </cell>
          <cell r="BC381" t="str">
            <v>Expreso - Servicios Troncales</v>
          </cell>
          <cell r="BD381" t="str">
            <v>Expreso - Servicios Troncales</v>
          </cell>
          <cell r="BE381" t="str">
            <v>Expreso - Servicios Troncales</v>
          </cell>
          <cell r="BF381" t="str">
            <v>Expreso - Servicios Troncales</v>
          </cell>
          <cell r="BG381" t="str">
            <v>Expreso - Servicios Troncales</v>
          </cell>
          <cell r="BH381" t="str">
            <v>Expreso - Servicios Troncales</v>
          </cell>
          <cell r="BI381" t="str">
            <v>Expreso - Servicios Troncales</v>
          </cell>
          <cell r="BJ381" t="str">
            <v>Expreso - Servicios Troncales</v>
          </cell>
          <cell r="BK381" t="str">
            <v>Expreso - Servicios Troncales</v>
          </cell>
          <cell r="BL381" t="str">
            <v>Expreso - Servicios Troncales</v>
          </cell>
          <cell r="BM381" t="str">
            <v>Expreso - Servicios Troncales</v>
          </cell>
          <cell r="BN381" t="str">
            <v>Expreso - Servicios Troncales</v>
          </cell>
          <cell r="BO381" t="str">
            <v>Expreso - Servicios Troncales</v>
          </cell>
          <cell r="BP381" t="str">
            <v>Expreso - Servicios Troncales</v>
          </cell>
          <cell r="BQ381" t="str">
            <v>Expreso - Servicios Troncales</v>
          </cell>
          <cell r="BR381" t="str">
            <v>Expreso - Servicios Troncales</v>
          </cell>
          <cell r="BS381" t="str">
            <v>Expreso - Servicios Troncales</v>
          </cell>
          <cell r="BT381" t="str">
            <v>Expreso - Servicios Troncales</v>
          </cell>
          <cell r="BU381" t="str">
            <v>Expreso - Servicios Troncales</v>
          </cell>
          <cell r="BV381" t="str">
            <v>Expreso - Servicios Troncales</v>
          </cell>
          <cell r="BW381" t="str">
            <v>Expreso - Servicios Troncales</v>
          </cell>
          <cell r="BX381" t="str">
            <v>Expreso - Servicios Troncales</v>
          </cell>
          <cell r="BY381" t="str">
            <v>Expreso - Servicios Troncales</v>
          </cell>
          <cell r="BZ381" t="str">
            <v>Expreso - Servicios Troncales</v>
          </cell>
          <cell r="CA381" t="str">
            <v>Expreso - Servicios Troncales</v>
          </cell>
          <cell r="CB381" t="str">
            <v>Expreso - Servicios Troncales</v>
          </cell>
          <cell r="CC381" t="str">
            <v>Expreso - Servicios Troncales</v>
          </cell>
          <cell r="CD381" t="str">
            <v>Expreso - Servicios Troncales</v>
          </cell>
          <cell r="CE381" t="str">
            <v>Expreso - Servicios Troncales</v>
          </cell>
          <cell r="CF381" t="str">
            <v>Expreso - Servicios Troncales</v>
          </cell>
          <cell r="CG381" t="str">
            <v>Expreso - Servicios Troncales</v>
          </cell>
          <cell r="CH381" t="str">
            <v>Expreso - Servicios Troncales</v>
          </cell>
          <cell r="CI381" t="str">
            <v>Expreso - Servicios Troncales</v>
          </cell>
          <cell r="CJ381" t="str">
            <v>Expreso - Servicios Troncales</v>
          </cell>
          <cell r="CK381" t="str">
            <v>Expreso - Servicios Troncales</v>
          </cell>
          <cell r="CL381" t="str">
            <v>Expreso - Servicios Troncales</v>
          </cell>
          <cell r="CM381" t="str">
            <v>Expreso - Servicios Troncales</v>
          </cell>
          <cell r="CN381" t="str">
            <v>Expreso - Servicios Troncales</v>
          </cell>
          <cell r="CO381" t="str">
            <v>Expreso - Servicios Troncales</v>
          </cell>
          <cell r="CP381" t="str">
            <v>Expreso - Servicios Troncales</v>
          </cell>
          <cell r="CQ381" t="str">
            <v>Expreso - Servicios Troncales</v>
          </cell>
          <cell r="CR381" t="str">
            <v>Expreso - Servicios Troncales</v>
          </cell>
          <cell r="CS381" t="str">
            <v>Expreso - Servicios Troncales</v>
          </cell>
          <cell r="CT381" t="str">
            <v>Expreso - Servicios Troncales</v>
          </cell>
          <cell r="CU381" t="str">
            <v>Expreso - Servicios Troncales</v>
          </cell>
          <cell r="CV381" t="str">
            <v>Expreso - Servicios Troncales</v>
          </cell>
          <cell r="CW381" t="str">
            <v>Expreso - Servicios Troncales</v>
          </cell>
        </row>
        <row r="382">
          <cell r="D382" t="str">
            <v>OAF635</v>
          </cell>
          <cell r="E382" t="str">
            <v>Semiremolque</v>
          </cell>
          <cell r="F382" t="str">
            <v>Semiremolque</v>
          </cell>
          <cell r="G382" t="str">
            <v>Semiremolque Baranda 14,5m 28P</v>
          </cell>
          <cell r="N382" t="str">
            <v>TDU</v>
          </cell>
          <cell r="O382" t="str">
            <v>TDU</v>
          </cell>
          <cell r="P382" t="str">
            <v>No</v>
          </cell>
          <cell r="Q382" t="str">
            <v>Propio</v>
          </cell>
          <cell r="R382">
            <v>28</v>
          </cell>
          <cell r="S382" t="str">
            <v>Propio</v>
          </cell>
          <cell r="T382" t="str">
            <v>SOLA Y BRUSA</v>
          </cell>
          <cell r="U382" t="str">
            <v>16-BDAS. VOLC. 3 EJES</v>
          </cell>
          <cell r="V382">
            <v>0</v>
          </cell>
          <cell r="W382" t="str">
            <v>8BAG1453AE1000370</v>
          </cell>
          <cell r="X382">
            <v>2014</v>
          </cell>
          <cell r="Y382">
            <v>12</v>
          </cell>
          <cell r="Z382" t="str">
            <v>Malargue</v>
          </cell>
          <cell r="AA382" t="str">
            <v>Expreso - Servicios Troncales</v>
          </cell>
          <cell r="AB382" t="str">
            <v>Expreso - Servicios Troncales</v>
          </cell>
          <cell r="AC382" t="str">
            <v>Expreso - Servicios Troncales</v>
          </cell>
          <cell r="AD382" t="str">
            <v>Expreso - Servicios Troncales</v>
          </cell>
          <cell r="AE382" t="str">
            <v>Expreso - Servicios Troncales</v>
          </cell>
          <cell r="AF382" t="str">
            <v>Expreso - Servicios Troncales</v>
          </cell>
          <cell r="AG382" t="str">
            <v>Expreso - Servicios Troncales</v>
          </cell>
          <cell r="AH382" t="str">
            <v>Expreso - Servicios Troncales</v>
          </cell>
          <cell r="AI382" t="str">
            <v>Expreso - Servicios Troncales</v>
          </cell>
          <cell r="AJ382" t="str">
            <v>Expreso - Servicios Troncales</v>
          </cell>
          <cell r="AK382" t="str">
            <v>Expreso - Servicios Troncales</v>
          </cell>
          <cell r="AL382" t="str">
            <v>Expreso - Servicios Troncales</v>
          </cell>
          <cell r="AM382" t="str">
            <v>Expreso - Servicios Troncales</v>
          </cell>
          <cell r="AN382" t="str">
            <v>Expreso - Servicios Troncales</v>
          </cell>
          <cell r="AO382" t="str">
            <v>Expreso - Servicios Troncales</v>
          </cell>
          <cell r="AP382" t="str">
            <v>Expreso - Servicios Troncales</v>
          </cell>
          <cell r="AQ382" t="str">
            <v>Expreso - Servicios Troncales</v>
          </cell>
          <cell r="AR382" t="str">
            <v>Expreso - Servicios Troncales</v>
          </cell>
          <cell r="AS382" t="str">
            <v>Expreso - Servicios Troncales</v>
          </cell>
          <cell r="AT382" t="str">
            <v>Expreso - Servicios Troncales</v>
          </cell>
          <cell r="AU382" t="str">
            <v>Expreso - Servicios Troncales</v>
          </cell>
          <cell r="AV382" t="str">
            <v>Expreso - Servicios Troncales</v>
          </cell>
          <cell r="AW382" t="str">
            <v>Expreso - Servicios Troncales</v>
          </cell>
          <cell r="AX382" t="str">
            <v>Expreso - Servicios Troncales</v>
          </cell>
          <cell r="AY382" t="str">
            <v>Expreso - Servicios Troncales</v>
          </cell>
          <cell r="AZ382" t="str">
            <v>Expreso - Servicios Troncales</v>
          </cell>
          <cell r="BA382" t="str">
            <v>Expreso - Servicios Troncales</v>
          </cell>
          <cell r="BB382" t="str">
            <v>Expreso - Servicios Troncales</v>
          </cell>
          <cell r="BC382" t="str">
            <v>Expreso - Servicios Troncales</v>
          </cell>
          <cell r="BD382" t="str">
            <v>Expreso - Servicios Troncales</v>
          </cell>
          <cell r="BE382" t="str">
            <v>Expreso - Servicios Troncales</v>
          </cell>
          <cell r="BF382" t="str">
            <v>Expreso - Servicios Troncales</v>
          </cell>
          <cell r="BG382" t="str">
            <v>Expreso - Servicios Troncales</v>
          </cell>
          <cell r="BH382" t="str">
            <v>Expreso - Servicios Troncales</v>
          </cell>
          <cell r="BI382" t="str">
            <v>Expreso - Servicios Troncales</v>
          </cell>
          <cell r="BJ382" t="str">
            <v>Expreso - Servicios Troncales</v>
          </cell>
          <cell r="BK382" t="str">
            <v>Expreso - Servicios Troncales</v>
          </cell>
          <cell r="BL382" t="str">
            <v>Expreso - Servicios Troncales</v>
          </cell>
          <cell r="BM382" t="str">
            <v>Expreso - Servicios Troncales</v>
          </cell>
          <cell r="BN382" t="str">
            <v>Expreso - Servicios Troncales</v>
          </cell>
          <cell r="BO382" t="str">
            <v>Expreso - Servicios Troncales</v>
          </cell>
          <cell r="BP382" t="str">
            <v>Expreso - Servicios Troncales</v>
          </cell>
          <cell r="BQ382" t="str">
            <v>Expreso - Servicios Troncales</v>
          </cell>
          <cell r="BR382" t="str">
            <v>Expreso - Servicios Troncales</v>
          </cell>
          <cell r="BS382" t="str">
            <v>Expreso - Servicios Troncales</v>
          </cell>
          <cell r="BT382" t="str">
            <v>Expreso - Servicios Troncales</v>
          </cell>
          <cell r="BU382" t="str">
            <v>Expreso - Servicios Troncales</v>
          </cell>
          <cell r="BV382" t="str">
            <v>Expreso - Servicios Troncales</v>
          </cell>
          <cell r="BW382" t="str">
            <v>Expreso - Servicios Troncales</v>
          </cell>
          <cell r="BX382" t="str">
            <v>Expreso - Servicios Troncales</v>
          </cell>
          <cell r="BY382" t="str">
            <v>Expreso - Servicios Troncales</v>
          </cell>
          <cell r="BZ382" t="str">
            <v>Expreso - Servicios Troncales</v>
          </cell>
          <cell r="CA382" t="str">
            <v>Expreso - Servicios Troncales</v>
          </cell>
          <cell r="CB382" t="str">
            <v>Expreso - Servicios Troncales</v>
          </cell>
          <cell r="CC382" t="str">
            <v>Expreso - Servicios Troncales</v>
          </cell>
          <cell r="CD382" t="str">
            <v>Expreso - Servicios Troncales</v>
          </cell>
          <cell r="CE382" t="str">
            <v>Expreso - Servicios Troncales</v>
          </cell>
          <cell r="CF382" t="str">
            <v>Expreso - Servicios Troncales</v>
          </cell>
          <cell r="CG382" t="str">
            <v>Expreso - Servicios Troncales</v>
          </cell>
          <cell r="CH382" t="str">
            <v>Expreso - Servicios Troncales</v>
          </cell>
          <cell r="CI382" t="str">
            <v>Expreso - Servicios Troncales</v>
          </cell>
          <cell r="CJ382" t="str">
            <v>Expreso - Servicios Troncales</v>
          </cell>
          <cell r="CK382" t="str">
            <v>Expreso - Servicios Troncales</v>
          </cell>
          <cell r="CL382" t="str">
            <v>Expreso - Servicios Troncales</v>
          </cell>
          <cell r="CM382" t="str">
            <v>Expreso - Servicios Troncales</v>
          </cell>
          <cell r="CN382" t="str">
            <v>Expreso - Servicios Troncales</v>
          </cell>
          <cell r="CO382" t="str">
            <v>Expreso - Servicios Troncales</v>
          </cell>
          <cell r="CP382" t="str">
            <v>Expreso - Servicios Troncales</v>
          </cell>
          <cell r="CQ382" t="str">
            <v>Expreso - Servicios Troncales</v>
          </cell>
          <cell r="CR382" t="str">
            <v>Expreso - Servicios Troncales</v>
          </cell>
          <cell r="CS382" t="str">
            <v>Expreso - Servicios Troncales</v>
          </cell>
          <cell r="CT382" t="str">
            <v>Expreso - Servicios Troncales</v>
          </cell>
          <cell r="CU382" t="str">
            <v>Expreso - Servicios Troncales</v>
          </cell>
          <cell r="CV382" t="str">
            <v>Expreso - Servicios Troncales</v>
          </cell>
          <cell r="CW382" t="str">
            <v>Expreso - Servicios Troncales</v>
          </cell>
        </row>
        <row r="383">
          <cell r="D383" t="str">
            <v>OAF636</v>
          </cell>
          <cell r="E383" t="str">
            <v>Semiremolque</v>
          </cell>
          <cell r="F383" t="str">
            <v>Semiremolque</v>
          </cell>
          <cell r="G383" t="str">
            <v>Semiremolque Baranda 14,5m 28P</v>
          </cell>
          <cell r="N383" t="str">
            <v>CODYLSA</v>
          </cell>
          <cell r="O383" t="str">
            <v>CODYLSA</v>
          </cell>
          <cell r="P383" t="str">
            <v>No</v>
          </cell>
          <cell r="Q383" t="str">
            <v>Propio</v>
          </cell>
          <cell r="R383">
            <v>28</v>
          </cell>
          <cell r="S383" t="str">
            <v>Propio</v>
          </cell>
          <cell r="T383" t="str">
            <v>SOLA Y BRUSA</v>
          </cell>
          <cell r="U383" t="str">
            <v>16-BDAS. VOLC. 3 EJES</v>
          </cell>
          <cell r="V383">
            <v>0</v>
          </cell>
          <cell r="W383" t="str">
            <v>8E9248670ES238021</v>
          </cell>
          <cell r="X383">
            <v>2014</v>
          </cell>
          <cell r="Y383">
            <v>12</v>
          </cell>
          <cell r="Z383" t="str">
            <v>Malargue</v>
          </cell>
          <cell r="AA383" t="str">
            <v>Expreso - Servicios Troncales</v>
          </cell>
          <cell r="AB383" t="str">
            <v>Expreso - Servicios Troncales</v>
          </cell>
          <cell r="AC383" t="str">
            <v>Expreso - Servicios Troncales</v>
          </cell>
          <cell r="AD383" t="str">
            <v>Expreso - Servicios Troncales</v>
          </cell>
          <cell r="AE383" t="str">
            <v>Expreso - Servicios Troncales</v>
          </cell>
          <cell r="AF383" t="str">
            <v>Expreso - Servicios Troncales</v>
          </cell>
          <cell r="AG383" t="str">
            <v>Expreso - Servicios Troncales</v>
          </cell>
          <cell r="AH383" t="str">
            <v>Expreso - Servicios Troncales</v>
          </cell>
          <cell r="AI383" t="str">
            <v>Expreso - Servicios Troncales</v>
          </cell>
          <cell r="AJ383" t="str">
            <v>Expreso - Servicios Troncales</v>
          </cell>
          <cell r="AK383" t="str">
            <v>Expreso - Servicios Troncales</v>
          </cell>
          <cell r="AL383" t="str">
            <v>Expreso - Servicios Troncales</v>
          </cell>
          <cell r="AM383" t="str">
            <v>Expreso - Servicios Troncales</v>
          </cell>
          <cell r="AN383" t="str">
            <v>Expreso - Servicios Troncales</v>
          </cell>
          <cell r="AO383" t="str">
            <v>Expreso - Servicios Troncales</v>
          </cell>
          <cell r="AP383" t="str">
            <v>Expreso - Servicios Troncales</v>
          </cell>
          <cell r="AQ383" t="str">
            <v>Expreso - Servicios Troncales</v>
          </cell>
          <cell r="AR383" t="str">
            <v>Expreso - Servicios Troncales</v>
          </cell>
          <cell r="AS383" t="str">
            <v>Expreso - Servicios Troncales</v>
          </cell>
          <cell r="AT383" t="str">
            <v>Expreso - Servicios Troncales</v>
          </cell>
          <cell r="AU383" t="str">
            <v>Expreso - Servicios Troncales</v>
          </cell>
          <cell r="AV383" t="str">
            <v>Expreso - Servicios Troncales</v>
          </cell>
          <cell r="AW383" t="str">
            <v>Expreso - Servicios Troncales</v>
          </cell>
          <cell r="AX383" t="str">
            <v>Expreso - Servicios Troncales</v>
          </cell>
          <cell r="AY383" t="str">
            <v>Expreso - Servicios Troncales</v>
          </cell>
          <cell r="AZ383" t="str">
            <v>Expreso - Servicios Troncales</v>
          </cell>
          <cell r="BA383" t="str">
            <v>Expreso - Servicios Troncales</v>
          </cell>
          <cell r="BB383" t="str">
            <v>Expreso - Servicios Troncales</v>
          </cell>
          <cell r="BC383" t="str">
            <v>Expreso - Servicios Troncales</v>
          </cell>
          <cell r="BD383" t="str">
            <v>Expreso - Servicios Troncales</v>
          </cell>
          <cell r="BE383" t="str">
            <v>Expreso - Servicios Troncales</v>
          </cell>
          <cell r="BF383" t="str">
            <v>Expreso - Servicios Troncales</v>
          </cell>
          <cell r="BG383" t="str">
            <v>Expreso - Servicios Troncales</v>
          </cell>
          <cell r="BH383" t="str">
            <v>Expreso - Servicios Troncales</v>
          </cell>
          <cell r="BI383" t="str">
            <v>Expreso - Servicios Troncales</v>
          </cell>
          <cell r="BJ383" t="str">
            <v>Expreso - Servicios Troncales</v>
          </cell>
          <cell r="BK383" t="str">
            <v>Expreso - Servicios Troncales</v>
          </cell>
          <cell r="BL383" t="str">
            <v>Expreso - Servicios Troncales</v>
          </cell>
          <cell r="BM383" t="str">
            <v>Expreso - Servicios Troncales</v>
          </cell>
          <cell r="BN383" t="str">
            <v>Expreso - Servicios Troncales</v>
          </cell>
          <cell r="BO383" t="str">
            <v>Expreso - Servicios Troncales</v>
          </cell>
          <cell r="BP383" t="str">
            <v>Expreso - Servicios Troncales</v>
          </cell>
          <cell r="BQ383" t="str">
            <v>Expreso - Servicios Troncales</v>
          </cell>
          <cell r="BR383" t="str">
            <v>Expreso - Servicios Troncales</v>
          </cell>
          <cell r="BS383" t="str">
            <v>Expreso - Servicios Troncales</v>
          </cell>
          <cell r="BT383" t="str">
            <v>Expreso - Servicios Troncales</v>
          </cell>
          <cell r="BU383" t="str">
            <v>Expreso - Servicios Troncales</v>
          </cell>
          <cell r="BV383" t="str">
            <v>Expreso - Servicios Troncales</v>
          </cell>
          <cell r="BW383" t="str">
            <v>Expreso - Servicios Troncales</v>
          </cell>
          <cell r="BX383" t="str">
            <v>Expreso - Servicios Troncales</v>
          </cell>
          <cell r="BY383" t="str">
            <v>Expreso - Servicios Troncales</v>
          </cell>
          <cell r="BZ383" t="str">
            <v>Expreso - Servicios Troncales</v>
          </cell>
          <cell r="CA383" t="str">
            <v>Expreso - Servicios Troncales</v>
          </cell>
          <cell r="CB383" t="str">
            <v>Expreso - Servicios Troncales</v>
          </cell>
          <cell r="CC383" t="str">
            <v>Expreso - Servicios Troncales</v>
          </cell>
          <cell r="CD383" t="str">
            <v>Expreso - Servicios Troncales</v>
          </cell>
          <cell r="CE383" t="str">
            <v>Expreso - Servicios Troncales</v>
          </cell>
          <cell r="CF383" t="str">
            <v>Expreso - Servicios Troncales</v>
          </cell>
          <cell r="CG383" t="str">
            <v>Expreso - Servicios Troncales</v>
          </cell>
          <cell r="CH383" t="str">
            <v>Expreso - Servicios Troncales</v>
          </cell>
          <cell r="CI383" t="str">
            <v>Expreso - Servicios Troncales</v>
          </cell>
          <cell r="CJ383" t="str">
            <v>Expreso - Servicios Troncales</v>
          </cell>
          <cell r="CK383" t="str">
            <v>Expreso - Servicios Troncales</v>
          </cell>
          <cell r="CL383" t="str">
            <v>Expreso - Servicios Troncales</v>
          </cell>
          <cell r="CM383" t="str">
            <v>Expreso - Servicios Troncales</v>
          </cell>
          <cell r="CN383" t="str">
            <v>Expreso - Servicios Troncales</v>
          </cell>
          <cell r="CO383" t="str">
            <v>Expreso - Servicios Troncales</v>
          </cell>
          <cell r="CP383" t="str">
            <v>Expreso - Servicios Troncales</v>
          </cell>
          <cell r="CQ383" t="str">
            <v>Expreso - Servicios Troncales</v>
          </cell>
          <cell r="CR383" t="str">
            <v>Expreso - Servicios Troncales</v>
          </cell>
          <cell r="CS383" t="str">
            <v>Expreso - Servicios Troncales</v>
          </cell>
          <cell r="CT383" t="str">
            <v>Expreso - Servicios Troncales</v>
          </cell>
          <cell r="CU383" t="str">
            <v>Expreso - Servicios Troncales</v>
          </cell>
          <cell r="CV383" t="str">
            <v>Expreso - Servicios Troncales</v>
          </cell>
          <cell r="CW383" t="str">
            <v>Expreso - Servicios Troncales</v>
          </cell>
        </row>
        <row r="384">
          <cell r="D384" t="str">
            <v>OAF637</v>
          </cell>
          <cell r="E384" t="str">
            <v>Semiremolque</v>
          </cell>
          <cell r="F384" t="str">
            <v>Semiremolque</v>
          </cell>
          <cell r="G384" t="str">
            <v>Semiremolque Baranda 14,5m 28P</v>
          </cell>
          <cell r="N384" t="str">
            <v>CODYLSA</v>
          </cell>
          <cell r="O384" t="str">
            <v>CODYLSA</v>
          </cell>
          <cell r="P384" t="str">
            <v>No</v>
          </cell>
          <cell r="Q384" t="str">
            <v>Propio</v>
          </cell>
          <cell r="R384">
            <v>28</v>
          </cell>
          <cell r="S384" t="str">
            <v>Propio</v>
          </cell>
          <cell r="T384" t="str">
            <v>SOLA Y BRUSA</v>
          </cell>
          <cell r="U384" t="str">
            <v>16-BDAS. VOLC. 3 EJES</v>
          </cell>
          <cell r="V384">
            <v>0</v>
          </cell>
          <cell r="W384" t="str">
            <v>8E9248670ES238022</v>
          </cell>
          <cell r="X384">
            <v>2014</v>
          </cell>
          <cell r="Y384">
            <v>12</v>
          </cell>
          <cell r="Z384" t="str">
            <v>Malargue</v>
          </cell>
          <cell r="AA384" t="str">
            <v>Expreso - Servicios Troncales</v>
          </cell>
          <cell r="AB384" t="str">
            <v>Expreso - Servicios Troncales</v>
          </cell>
          <cell r="AC384" t="str">
            <v>Expreso - Servicios Troncales</v>
          </cell>
          <cell r="AD384" t="str">
            <v>Expreso - Servicios Troncales</v>
          </cell>
          <cell r="AE384" t="str">
            <v>Expreso - Servicios Troncales</v>
          </cell>
          <cell r="AF384" t="str">
            <v>Expreso - Servicios Troncales</v>
          </cell>
          <cell r="AG384" t="str">
            <v>Expreso - Servicios Troncales</v>
          </cell>
          <cell r="AH384" t="str">
            <v>Expreso - Servicios Troncales</v>
          </cell>
          <cell r="AI384" t="str">
            <v>Expreso - Servicios Troncales</v>
          </cell>
          <cell r="AJ384" t="str">
            <v>Expreso - Servicios Troncales</v>
          </cell>
          <cell r="AK384" t="str">
            <v>Expreso - Servicios Troncales</v>
          </cell>
          <cell r="AL384" t="str">
            <v>Expreso - Servicios Troncales</v>
          </cell>
          <cell r="AM384" t="str">
            <v>Expreso - Servicios Troncales</v>
          </cell>
          <cell r="AN384" t="str">
            <v>Expreso - Servicios Troncales</v>
          </cell>
          <cell r="AO384" t="str">
            <v>Expreso - Servicios Troncales</v>
          </cell>
          <cell r="AP384" t="str">
            <v>Expreso - Servicios Troncales</v>
          </cell>
          <cell r="AQ384" t="str">
            <v>Expreso - Servicios Troncales</v>
          </cell>
          <cell r="AR384" t="str">
            <v>Expreso - Servicios Troncales</v>
          </cell>
          <cell r="AS384" t="str">
            <v>Expreso - Servicios Troncales</v>
          </cell>
          <cell r="AT384" t="str">
            <v>Expreso - Servicios Troncales</v>
          </cell>
          <cell r="AU384" t="str">
            <v>Expreso - Servicios Troncales</v>
          </cell>
          <cell r="AV384" t="str">
            <v>Expreso - Servicios Troncales</v>
          </cell>
          <cell r="AW384" t="str">
            <v>Expreso - Servicios Troncales</v>
          </cell>
          <cell r="AX384" t="str">
            <v>Expreso - Servicios Troncales</v>
          </cell>
          <cell r="AY384" t="str">
            <v>Expreso - Servicios Troncales</v>
          </cell>
          <cell r="AZ384" t="str">
            <v>Expreso - Servicios Troncales</v>
          </cell>
          <cell r="BA384" t="str">
            <v>Expreso - Servicios Troncales</v>
          </cell>
          <cell r="BB384" t="str">
            <v>Expreso - Servicios Troncales</v>
          </cell>
          <cell r="BC384" t="str">
            <v>Expreso - Servicios Troncales</v>
          </cell>
          <cell r="BD384" t="str">
            <v>Expreso - Servicios Troncales</v>
          </cell>
          <cell r="BE384" t="str">
            <v>Expreso - Servicios Troncales</v>
          </cell>
          <cell r="BF384" t="str">
            <v>Expreso - Servicios Troncales</v>
          </cell>
          <cell r="BG384" t="str">
            <v>Expreso - Servicios Troncales</v>
          </cell>
          <cell r="BH384" t="str">
            <v>Expreso - Servicios Troncales</v>
          </cell>
          <cell r="BI384" t="str">
            <v>Expreso - Servicios Troncales</v>
          </cell>
          <cell r="BJ384" t="str">
            <v>Expreso - Servicios Troncales</v>
          </cell>
          <cell r="BK384" t="str">
            <v>Expreso - Servicios Troncales</v>
          </cell>
          <cell r="BL384" t="str">
            <v>Expreso - Servicios Troncales</v>
          </cell>
          <cell r="BM384" t="str">
            <v>Expreso - Servicios Troncales</v>
          </cell>
          <cell r="BN384" t="str">
            <v>Expreso - Servicios Troncales</v>
          </cell>
          <cell r="BO384" t="str">
            <v>Expreso - Servicios Troncales</v>
          </cell>
          <cell r="BP384" t="str">
            <v>Expreso - Servicios Troncales</v>
          </cell>
          <cell r="BQ384" t="str">
            <v>Expreso - Servicios Troncales</v>
          </cell>
          <cell r="BR384" t="str">
            <v>Expreso - Servicios Troncales</v>
          </cell>
          <cell r="BS384" t="str">
            <v>Expreso - Servicios Troncales</v>
          </cell>
          <cell r="BT384" t="str">
            <v>Expreso - Servicios Troncales</v>
          </cell>
          <cell r="BU384" t="str">
            <v>Expreso - Servicios Troncales</v>
          </cell>
          <cell r="BV384" t="str">
            <v>Expreso - Servicios Troncales</v>
          </cell>
          <cell r="BW384" t="str">
            <v>Expreso - Servicios Troncales</v>
          </cell>
          <cell r="BX384" t="str">
            <v>Expreso - Servicios Troncales</v>
          </cell>
          <cell r="BY384" t="str">
            <v>Expreso - Servicios Troncales</v>
          </cell>
          <cell r="BZ384" t="str">
            <v>Expreso - Servicios Troncales</v>
          </cell>
          <cell r="CA384" t="str">
            <v>Expreso - Servicios Troncales</v>
          </cell>
          <cell r="CB384" t="str">
            <v>Expreso - Servicios Troncales</v>
          </cell>
          <cell r="CC384" t="str">
            <v>Expreso - Servicios Troncales</v>
          </cell>
          <cell r="CD384" t="str">
            <v>Expreso - Servicios Troncales</v>
          </cell>
          <cell r="CE384" t="str">
            <v>Expreso - Servicios Troncales</v>
          </cell>
          <cell r="CF384" t="str">
            <v>Expreso - Servicios Troncales</v>
          </cell>
          <cell r="CG384" t="str">
            <v>Expreso - Servicios Troncales</v>
          </cell>
          <cell r="CH384" t="str">
            <v>Expreso - Servicios Troncales</v>
          </cell>
          <cell r="CI384" t="str">
            <v>Expreso - Servicios Troncales</v>
          </cell>
          <cell r="CJ384" t="str">
            <v>Expreso - Servicios Troncales</v>
          </cell>
          <cell r="CK384" t="str">
            <v>Expreso - Servicios Troncales</v>
          </cell>
          <cell r="CL384" t="str">
            <v>Expreso - Servicios Troncales</v>
          </cell>
          <cell r="CM384" t="str">
            <v>Expreso - Servicios Troncales</v>
          </cell>
          <cell r="CN384" t="str">
            <v>Expreso - Servicios Troncales</v>
          </cell>
          <cell r="CO384" t="str">
            <v>Expreso - Servicios Troncales</v>
          </cell>
          <cell r="CP384" t="str">
            <v>Expreso - Servicios Troncales</v>
          </cell>
          <cell r="CQ384" t="str">
            <v>Expreso - Servicios Troncales</v>
          </cell>
          <cell r="CR384" t="str">
            <v>Expreso - Servicios Troncales</v>
          </cell>
          <cell r="CS384" t="str">
            <v>Expreso - Servicios Troncales</v>
          </cell>
          <cell r="CT384" t="str">
            <v>Expreso - Servicios Troncales</v>
          </cell>
          <cell r="CU384" t="str">
            <v>Expreso - Servicios Troncales</v>
          </cell>
          <cell r="CV384" t="str">
            <v>Expreso - Servicios Troncales</v>
          </cell>
          <cell r="CW384" t="str">
            <v>Expreso - Servicios Troncales</v>
          </cell>
        </row>
        <row r="385">
          <cell r="D385" t="str">
            <v>OAF638</v>
          </cell>
          <cell r="E385" t="str">
            <v>Semiremolque</v>
          </cell>
          <cell r="F385" t="str">
            <v>Semiremolque</v>
          </cell>
          <cell r="G385" t="str">
            <v>Semiremolque Baranda 14,5m 28P</v>
          </cell>
          <cell r="N385" t="str">
            <v>TDU</v>
          </cell>
          <cell r="O385" t="str">
            <v>TDU</v>
          </cell>
          <cell r="P385" t="str">
            <v>No</v>
          </cell>
          <cell r="Q385" t="str">
            <v>Propio</v>
          </cell>
          <cell r="R385">
            <v>28</v>
          </cell>
          <cell r="S385" t="str">
            <v>Propio</v>
          </cell>
          <cell r="T385" t="str">
            <v>SOLA Y BRUSA</v>
          </cell>
          <cell r="U385" t="str">
            <v>16-BDAS. VOLC. 3 EJES</v>
          </cell>
          <cell r="V385">
            <v>0</v>
          </cell>
          <cell r="W385" t="str">
            <v>8BAG1453AE1000369</v>
          </cell>
          <cell r="X385">
            <v>2014</v>
          </cell>
          <cell r="Y385">
            <v>12</v>
          </cell>
          <cell r="Z385" t="str">
            <v>Malargue</v>
          </cell>
          <cell r="AA385" t="str">
            <v>Expreso - Servicios Troncales</v>
          </cell>
          <cell r="AB385" t="str">
            <v>Expreso - Servicios Troncales</v>
          </cell>
          <cell r="AC385" t="str">
            <v>Expreso - Servicios Troncales</v>
          </cell>
          <cell r="AD385" t="str">
            <v>Expreso - Servicios Troncales</v>
          </cell>
          <cell r="AE385" t="str">
            <v>Expreso - Servicios Troncales</v>
          </cell>
          <cell r="AF385" t="str">
            <v>Expreso - Servicios Troncales</v>
          </cell>
          <cell r="AG385" t="str">
            <v>Expreso - Servicios Troncales</v>
          </cell>
          <cell r="AH385" t="str">
            <v>Expreso - Servicios Troncales</v>
          </cell>
          <cell r="AI385" t="str">
            <v>Expreso - Servicios Troncales</v>
          </cell>
          <cell r="AJ385" t="str">
            <v>Expreso - Servicios Troncales</v>
          </cell>
          <cell r="AK385" t="str">
            <v>Expreso - Servicios Troncales</v>
          </cell>
          <cell r="AL385" t="str">
            <v>Expreso - Servicios Troncales</v>
          </cell>
          <cell r="AM385" t="str">
            <v>Expreso - Servicios Troncales</v>
          </cell>
          <cell r="AN385" t="str">
            <v>Expreso - Servicios Troncales</v>
          </cell>
          <cell r="AO385" t="str">
            <v>Expreso - Servicios Troncales</v>
          </cell>
          <cell r="AP385" t="str">
            <v>Expreso - Servicios Troncales</v>
          </cell>
          <cell r="AQ385" t="str">
            <v>Expreso - Servicios Troncales</v>
          </cell>
          <cell r="AR385" t="str">
            <v>Expreso - Servicios Troncales</v>
          </cell>
          <cell r="AS385" t="str">
            <v>Expreso - Servicios Troncales</v>
          </cell>
          <cell r="AT385" t="str">
            <v>Expreso - Servicios Troncales</v>
          </cell>
          <cell r="AU385" t="str">
            <v>Expreso - Servicios Troncales</v>
          </cell>
          <cell r="AV385" t="str">
            <v>Expreso - Servicios Troncales</v>
          </cell>
          <cell r="AW385" t="str">
            <v>Expreso - Servicios Troncales</v>
          </cell>
          <cell r="AX385" t="str">
            <v>Expreso - Servicios Troncales</v>
          </cell>
          <cell r="AY385" t="str">
            <v>Expreso - Servicios Troncales</v>
          </cell>
          <cell r="AZ385" t="str">
            <v>Expreso - Servicios Troncales</v>
          </cell>
          <cell r="BA385" t="str">
            <v>Expreso - Servicios Troncales</v>
          </cell>
          <cell r="BB385" t="str">
            <v>Expreso - Servicios Troncales</v>
          </cell>
          <cell r="BC385" t="str">
            <v>Expreso - Servicios Troncales</v>
          </cell>
          <cell r="BD385" t="str">
            <v>Expreso - Servicios Troncales</v>
          </cell>
          <cell r="BE385" t="str">
            <v>Expreso - Servicios Troncales</v>
          </cell>
          <cell r="BF385" t="str">
            <v>Expreso - Servicios Troncales</v>
          </cell>
          <cell r="BG385" t="str">
            <v>Expreso - Servicios Troncales</v>
          </cell>
          <cell r="BH385" t="str">
            <v>Expreso - Servicios Troncales</v>
          </cell>
          <cell r="BI385" t="str">
            <v>Expreso - Servicios Troncales</v>
          </cell>
          <cell r="BJ385" t="str">
            <v>Expreso - Servicios Troncales</v>
          </cell>
          <cell r="BK385" t="str">
            <v>Expreso - Servicios Troncales</v>
          </cell>
          <cell r="BL385" t="str">
            <v>Expreso - Servicios Troncales</v>
          </cell>
          <cell r="BM385" t="str">
            <v>Expreso - Servicios Troncales</v>
          </cell>
          <cell r="BN385" t="str">
            <v>Expreso - Servicios Troncales</v>
          </cell>
          <cell r="BO385" t="str">
            <v>Expreso - Servicios Troncales</v>
          </cell>
          <cell r="BP385" t="str">
            <v>Expreso - Servicios Troncales</v>
          </cell>
          <cell r="BQ385" t="str">
            <v>Expreso - Servicios Troncales</v>
          </cell>
          <cell r="BR385" t="str">
            <v>Expreso - Servicios Troncales</v>
          </cell>
          <cell r="BS385" t="str">
            <v>Expreso - Servicios Troncales</v>
          </cell>
          <cell r="BT385" t="str">
            <v>Expreso - Servicios Troncales</v>
          </cell>
          <cell r="BU385" t="str">
            <v>Expreso - Servicios Troncales</v>
          </cell>
          <cell r="BV385" t="str">
            <v>Expreso - Servicios Troncales</v>
          </cell>
          <cell r="BW385" t="str">
            <v>Expreso - Servicios Troncales</v>
          </cell>
          <cell r="BX385" t="str">
            <v>Expreso - Servicios Troncales</v>
          </cell>
          <cell r="BY385" t="str">
            <v>Expreso - Servicios Troncales</v>
          </cell>
          <cell r="BZ385" t="str">
            <v>Expreso - Servicios Troncales</v>
          </cell>
          <cell r="CA385" t="str">
            <v>Expreso - Servicios Troncales</v>
          </cell>
          <cell r="CB385" t="str">
            <v>Expreso - Servicios Troncales</v>
          </cell>
          <cell r="CC385" t="str">
            <v>Expreso - Servicios Troncales</v>
          </cell>
          <cell r="CD385" t="str">
            <v>Expreso - Servicios Troncales</v>
          </cell>
          <cell r="CE385" t="str">
            <v>Expreso - Servicios Troncales</v>
          </cell>
          <cell r="CF385" t="str">
            <v>Expreso - Servicios Troncales</v>
          </cell>
          <cell r="CG385" t="str">
            <v>Expreso - Servicios Troncales</v>
          </cell>
          <cell r="CH385" t="str">
            <v>Expreso - Servicios Troncales</v>
          </cell>
          <cell r="CI385" t="str">
            <v>Expreso - Servicios Troncales</v>
          </cell>
          <cell r="CJ385" t="str">
            <v>Expreso - Servicios Troncales</v>
          </cell>
          <cell r="CK385" t="str">
            <v>Expreso - Servicios Troncales</v>
          </cell>
          <cell r="CL385" t="str">
            <v>Expreso - Servicios Troncales</v>
          </cell>
          <cell r="CM385" t="str">
            <v>Expreso - Servicios Troncales</v>
          </cell>
          <cell r="CN385" t="str">
            <v>Expreso - Servicios Troncales</v>
          </cell>
          <cell r="CO385" t="str">
            <v>Expreso - Servicios Troncales</v>
          </cell>
          <cell r="CP385" t="str">
            <v>Expreso - Servicios Troncales</v>
          </cell>
          <cell r="CQ385" t="str">
            <v>Expreso - Servicios Troncales</v>
          </cell>
          <cell r="CR385" t="str">
            <v>Expreso - Servicios Troncales</v>
          </cell>
          <cell r="CS385" t="str">
            <v>Expreso - Servicios Troncales</v>
          </cell>
          <cell r="CT385" t="str">
            <v>Expreso - Servicios Troncales</v>
          </cell>
          <cell r="CU385" t="str">
            <v>Expreso - Servicios Troncales</v>
          </cell>
          <cell r="CV385" t="str">
            <v>Expreso - Servicios Troncales</v>
          </cell>
          <cell r="CW385" t="str">
            <v>Expreso - Servicios Troncales</v>
          </cell>
        </row>
        <row r="386">
          <cell r="D386" t="str">
            <v>OAF639</v>
          </cell>
          <cell r="E386" t="str">
            <v>Semiremolque</v>
          </cell>
          <cell r="F386" t="str">
            <v>Semiremolque</v>
          </cell>
          <cell r="G386" t="str">
            <v>Semiremolque Baranda 14,5m 28P</v>
          </cell>
          <cell r="N386" t="str">
            <v>TDU</v>
          </cell>
          <cell r="O386" t="str">
            <v>TDU</v>
          </cell>
          <cell r="P386" t="str">
            <v>No</v>
          </cell>
          <cell r="Q386" t="str">
            <v>Propio</v>
          </cell>
          <cell r="R386">
            <v>28</v>
          </cell>
          <cell r="S386" t="str">
            <v>Propio</v>
          </cell>
          <cell r="T386" t="str">
            <v>SOLA Y BRUSA</v>
          </cell>
          <cell r="U386" t="str">
            <v>16-BDAS. VOLC. 3 EJES</v>
          </cell>
          <cell r="V386">
            <v>0</v>
          </cell>
          <cell r="W386" t="str">
            <v>8bag1453ae1000326</v>
          </cell>
          <cell r="X386">
            <v>2014</v>
          </cell>
          <cell r="Y386">
            <v>12</v>
          </cell>
          <cell r="Z386" t="str">
            <v>Malargue</v>
          </cell>
          <cell r="AA386" t="str">
            <v>Expreso - Servicios Troncales</v>
          </cell>
          <cell r="AB386" t="str">
            <v>Expreso - Servicios Troncales</v>
          </cell>
          <cell r="AC386" t="str">
            <v>Expreso - Servicios Troncales</v>
          </cell>
          <cell r="AD386" t="str">
            <v>Expreso - Servicios Troncales</v>
          </cell>
          <cell r="AE386" t="str">
            <v>Expreso - Servicios Troncales</v>
          </cell>
          <cell r="AF386" t="str">
            <v>Expreso - Servicios Troncales</v>
          </cell>
          <cell r="AG386" t="str">
            <v>Expreso - Servicios Troncales</v>
          </cell>
          <cell r="AH386" t="str">
            <v>Expreso - Servicios Troncales</v>
          </cell>
          <cell r="AI386" t="str">
            <v>Expreso - Servicios Troncales</v>
          </cell>
          <cell r="AJ386" t="str">
            <v>Expreso - Servicios Troncales</v>
          </cell>
          <cell r="AK386" t="str">
            <v>Expreso - Servicios Troncales</v>
          </cell>
          <cell r="AL386" t="str">
            <v>Expreso - Servicios Troncales</v>
          </cell>
          <cell r="AM386" t="str">
            <v>Expreso - Servicios Troncales</v>
          </cell>
          <cell r="AN386" t="str">
            <v>Expreso - Servicios Troncales</v>
          </cell>
          <cell r="AO386" t="str">
            <v>Expreso - Servicios Troncales</v>
          </cell>
          <cell r="AP386" t="str">
            <v>Expreso - Servicios Troncales</v>
          </cell>
          <cell r="AQ386" t="str">
            <v>Expreso - Servicios Troncales</v>
          </cell>
          <cell r="AR386" t="str">
            <v>Expreso - Servicios Troncales</v>
          </cell>
          <cell r="AS386" t="str">
            <v>Expreso - Servicios Troncales</v>
          </cell>
          <cell r="AT386" t="str">
            <v>Expreso - Servicios Troncales</v>
          </cell>
          <cell r="AU386" t="str">
            <v>Expreso - Servicios Troncales</v>
          </cell>
          <cell r="AV386" t="str">
            <v>Expreso - Servicios Troncales</v>
          </cell>
          <cell r="AW386" t="str">
            <v>Expreso - Servicios Troncales</v>
          </cell>
          <cell r="AX386" t="str">
            <v>Expreso - Servicios Troncales</v>
          </cell>
          <cell r="AY386" t="str">
            <v>Expreso - Servicios Troncales</v>
          </cell>
          <cell r="AZ386" t="str">
            <v>Expreso - Servicios Troncales</v>
          </cell>
          <cell r="BA386" t="str">
            <v>Expreso - Servicios Troncales</v>
          </cell>
          <cell r="BB386" t="str">
            <v>Expreso - Servicios Troncales</v>
          </cell>
          <cell r="BC386" t="str">
            <v>Expreso - Servicios Troncales</v>
          </cell>
          <cell r="BD386" t="str">
            <v>Expreso - Servicios Troncales</v>
          </cell>
          <cell r="BE386" t="str">
            <v>Expreso - Servicios Troncales</v>
          </cell>
          <cell r="BF386" t="str">
            <v>Expreso - Servicios Troncales</v>
          </cell>
          <cell r="BG386" t="str">
            <v>Expreso - Servicios Troncales</v>
          </cell>
          <cell r="BH386" t="str">
            <v>Expreso - Servicios Troncales</v>
          </cell>
          <cell r="BI386" t="str">
            <v>Expreso - Servicios Troncales</v>
          </cell>
          <cell r="BJ386" t="str">
            <v>Expreso - Servicios Troncales</v>
          </cell>
          <cell r="BK386" t="str">
            <v>Expreso - Servicios Troncales</v>
          </cell>
          <cell r="BL386" t="str">
            <v>Expreso - Servicios Troncales</v>
          </cell>
          <cell r="BM386" t="str">
            <v>Expreso - Servicios Troncales</v>
          </cell>
          <cell r="BN386" t="str">
            <v>Expreso - Servicios Troncales</v>
          </cell>
          <cell r="BO386" t="str">
            <v>Expreso - Servicios Troncales</v>
          </cell>
          <cell r="BP386" t="str">
            <v>Expreso - Servicios Troncales</v>
          </cell>
          <cell r="BQ386" t="str">
            <v>Expreso - Servicios Troncales</v>
          </cell>
          <cell r="BR386" t="str">
            <v>Expreso - Servicios Troncales</v>
          </cell>
          <cell r="BS386" t="str">
            <v>Expreso - Servicios Troncales</v>
          </cell>
          <cell r="BT386" t="str">
            <v>Expreso - Servicios Troncales</v>
          </cell>
          <cell r="BU386" t="str">
            <v>Expreso - Servicios Troncales</v>
          </cell>
          <cell r="BV386" t="str">
            <v>Expreso - Servicios Troncales</v>
          </cell>
          <cell r="BW386" t="str">
            <v>Expreso - Servicios Troncales</v>
          </cell>
          <cell r="BX386" t="str">
            <v>Expreso - Servicios Troncales</v>
          </cell>
          <cell r="BY386" t="str">
            <v>Expreso - Servicios Troncales</v>
          </cell>
          <cell r="BZ386" t="str">
            <v>Expreso - Servicios Troncales</v>
          </cell>
          <cell r="CA386" t="str">
            <v>Expreso - Servicios Troncales</v>
          </cell>
          <cell r="CB386" t="str">
            <v>Expreso - Servicios Troncales</v>
          </cell>
          <cell r="CC386" t="str">
            <v>Expreso - Servicios Troncales</v>
          </cell>
          <cell r="CD386" t="str">
            <v>Expreso - Servicios Troncales</v>
          </cell>
          <cell r="CE386" t="str">
            <v>Expreso - Servicios Troncales</v>
          </cell>
          <cell r="CF386" t="str">
            <v>Expreso - Servicios Troncales</v>
          </cell>
          <cell r="CG386" t="str">
            <v>Expreso - Servicios Troncales</v>
          </cell>
          <cell r="CH386" t="str">
            <v>Expreso - Servicios Troncales</v>
          </cell>
          <cell r="CI386" t="str">
            <v>Expreso - Servicios Troncales</v>
          </cell>
          <cell r="CJ386" t="str">
            <v>Expreso - Servicios Troncales</v>
          </cell>
          <cell r="CK386" t="str">
            <v>Expreso - Servicios Troncales</v>
          </cell>
          <cell r="CL386" t="str">
            <v>Expreso - Servicios Troncales</v>
          </cell>
          <cell r="CM386" t="str">
            <v>Expreso - Servicios Troncales</v>
          </cell>
          <cell r="CN386" t="str">
            <v>Expreso - Servicios Troncales</v>
          </cell>
          <cell r="CO386" t="str">
            <v>Expreso - Servicios Troncales</v>
          </cell>
          <cell r="CP386" t="str">
            <v>Expreso - Servicios Troncales</v>
          </cell>
          <cell r="CQ386" t="str">
            <v>Expreso - Servicios Troncales</v>
          </cell>
          <cell r="CR386" t="str">
            <v>Expreso - Servicios Troncales</v>
          </cell>
          <cell r="CS386" t="str">
            <v>Expreso - Servicios Troncales</v>
          </cell>
          <cell r="CT386" t="str">
            <v>Sin Operación</v>
          </cell>
          <cell r="CU386" t="str">
            <v>Sin Operación</v>
          </cell>
          <cell r="CV386" t="str">
            <v>CENCOMLD - Cencosud SA - Mendoza</v>
          </cell>
          <cell r="CW386" t="str">
            <v>CENCOMLD - Cencosud SA - Mendoza</v>
          </cell>
        </row>
        <row r="387">
          <cell r="D387" t="str">
            <v>OAF640</v>
          </cell>
          <cell r="E387" t="str">
            <v>Tractor</v>
          </cell>
          <cell r="F387" t="str">
            <v>Tractor</v>
          </cell>
          <cell r="G387" t="str">
            <v>Tractor</v>
          </cell>
          <cell r="N387" t="str">
            <v>TDU</v>
          </cell>
          <cell r="O387" t="str">
            <v>TDU</v>
          </cell>
          <cell r="P387" t="str">
            <v>No</v>
          </cell>
          <cell r="Q387" t="str">
            <v>Propio</v>
          </cell>
          <cell r="R387" t="str">
            <v>-</v>
          </cell>
          <cell r="S387" t="str">
            <v>Propio</v>
          </cell>
          <cell r="T387" t="str">
            <v>SCANIA</v>
          </cell>
          <cell r="U387" t="str">
            <v>G310 A4X2</v>
          </cell>
          <cell r="V387">
            <v>8231449</v>
          </cell>
          <cell r="W387" t="str">
            <v>+9BSG4X200++E3845377+</v>
          </cell>
          <cell r="X387">
            <v>2014</v>
          </cell>
          <cell r="Y387">
            <v>12</v>
          </cell>
          <cell r="Z387" t="str">
            <v>Malargue</v>
          </cell>
          <cell r="AA387" t="str">
            <v>Expreso - Servicios Troncales</v>
          </cell>
          <cell r="AB387" t="str">
            <v>Expreso - Servicios Troncales</v>
          </cell>
          <cell r="AC387" t="str">
            <v>Expreso - Servicios Troncales</v>
          </cell>
          <cell r="AD387" t="str">
            <v>Expreso - Servicios Troncales</v>
          </cell>
          <cell r="AE387" t="str">
            <v>Expreso - Servicios Troncales</v>
          </cell>
          <cell r="AF387" t="str">
            <v>Expreso - Servicios Troncales</v>
          </cell>
          <cell r="AG387" t="str">
            <v>Expreso - Servicios Troncales</v>
          </cell>
          <cell r="AH387" t="str">
            <v>Expreso - Servicios Troncales</v>
          </cell>
          <cell r="AI387" t="str">
            <v>Expreso - Servicios Troncales</v>
          </cell>
          <cell r="AJ387" t="str">
            <v>Expreso - Servicios Troncales</v>
          </cell>
          <cell r="AK387" t="str">
            <v>Expreso - Servicios Troncales</v>
          </cell>
          <cell r="AL387" t="str">
            <v>Expreso - Servicios Troncales</v>
          </cell>
          <cell r="AM387" t="str">
            <v>Expreso - Servicios Troncales</v>
          </cell>
          <cell r="AN387" t="str">
            <v>Expreso - Servicios Troncales</v>
          </cell>
          <cell r="AO387" t="str">
            <v>Expreso - Servicios Troncales</v>
          </cell>
          <cell r="AP387" t="str">
            <v>Expreso - Servicios Troncales</v>
          </cell>
          <cell r="AQ387" t="str">
            <v>Expreso - Servicios Troncales</v>
          </cell>
          <cell r="AR387" t="str">
            <v>Expreso - Servicios Troncales</v>
          </cell>
          <cell r="AS387" t="str">
            <v>Expreso - Servicios Troncales</v>
          </cell>
          <cell r="AT387" t="str">
            <v>Expreso - Servicios Troncales</v>
          </cell>
          <cell r="AU387" t="str">
            <v>Expreso - Servicios Troncales</v>
          </cell>
          <cell r="AV387" t="str">
            <v>Expreso - Servicios Troncales</v>
          </cell>
          <cell r="AW387" t="str">
            <v>Expreso - Servicios Troncales</v>
          </cell>
          <cell r="AX387" t="str">
            <v>Expreso - Servicios Troncales</v>
          </cell>
          <cell r="AY387" t="str">
            <v>Expreso - Servicios Troncales</v>
          </cell>
          <cell r="AZ387" t="str">
            <v>Expreso - Servicios Troncales</v>
          </cell>
          <cell r="BA387" t="str">
            <v>Expreso - Servicios Troncales</v>
          </cell>
          <cell r="BB387" t="str">
            <v>Expreso - Servicios Troncales</v>
          </cell>
          <cell r="BC387" t="str">
            <v>Expreso - Servicios Troncales</v>
          </cell>
          <cell r="BD387" t="str">
            <v>SUC_SRA - Sucursal San Rafael</v>
          </cell>
          <cell r="BE387" t="str">
            <v>SUC_SRA - Sucursal San Rafael</v>
          </cell>
          <cell r="BF387" t="str">
            <v>SUC_SRA - Sucursal San Rafael</v>
          </cell>
          <cell r="BG387" t="str">
            <v>SUC_SRA - Sucursal San Rafael</v>
          </cell>
          <cell r="BH387" t="str">
            <v>SUC_SRA - Sucursal San Rafael</v>
          </cell>
          <cell r="BI387" t="str">
            <v>SUC_SRA - Sucursal San Rafael</v>
          </cell>
          <cell r="BJ387" t="str">
            <v>SUC_SRA - Sucursal San Rafael</v>
          </cell>
          <cell r="BK387" t="str">
            <v>SUC_SRA - Sucursal San Rafael</v>
          </cell>
          <cell r="BL387" t="str">
            <v>SUC_SRA - Sucursal San Rafael</v>
          </cell>
          <cell r="BM387" t="str">
            <v>SUC_SRA - Sucursal San Rafael</v>
          </cell>
          <cell r="BN387" t="str">
            <v>SUC_SRA - Sucursal San Rafael</v>
          </cell>
          <cell r="BO387" t="str">
            <v>SUC_SRA - Sucursal San Rafael</v>
          </cell>
          <cell r="BP387" t="str">
            <v>SUC_SRA - Sucursal San Rafael</v>
          </cell>
          <cell r="BQ387" t="str">
            <v>Expreso - Servicios Troncales</v>
          </cell>
          <cell r="BR387" t="str">
            <v>Expreso - Servicios Troncales</v>
          </cell>
          <cell r="BS387" t="str">
            <v>Expreso - Servicios Troncales</v>
          </cell>
          <cell r="BT387" t="str">
            <v>Expreso - Servicios Troncales</v>
          </cell>
          <cell r="BU387" t="str">
            <v>Expreso - Servicios Troncales</v>
          </cell>
          <cell r="BV387" t="str">
            <v>Expreso - Servicios Troncales</v>
          </cell>
          <cell r="BW387" t="str">
            <v>Expreso - Servicios Troncales</v>
          </cell>
          <cell r="BX387" t="str">
            <v>Expreso - Servicios Troncales</v>
          </cell>
          <cell r="BY387" t="str">
            <v>Expreso - Servicios Troncales</v>
          </cell>
          <cell r="BZ387" t="str">
            <v>Expreso - Servicios Troncales</v>
          </cell>
          <cell r="CA387" t="str">
            <v>Expreso - Servicios Troncales</v>
          </cell>
          <cell r="CB387" t="str">
            <v>Expreso - Servicios Troncales</v>
          </cell>
          <cell r="CC387" t="str">
            <v>Expreso - Servicios Troncales</v>
          </cell>
          <cell r="CD387" t="str">
            <v>Expreso - Servicios Troncales</v>
          </cell>
          <cell r="CE387" t="str">
            <v>Expreso - Servicios Troncales</v>
          </cell>
          <cell r="CF387" t="str">
            <v>Expreso - Servicios Troncales</v>
          </cell>
          <cell r="CG387" t="str">
            <v>Expreso - Servicios Troncales</v>
          </cell>
          <cell r="CH387" t="str">
            <v>Expreso - Servicios Troncales</v>
          </cell>
          <cell r="CI387" t="str">
            <v>Expreso - Servicios Troncales</v>
          </cell>
          <cell r="CJ387" t="str">
            <v>Expreso - Servicios Troncales</v>
          </cell>
          <cell r="CK387" t="str">
            <v>Expreso - Servicios Troncales</v>
          </cell>
          <cell r="CL387" t="str">
            <v>Expreso - Servicios Troncales</v>
          </cell>
          <cell r="CM387" t="str">
            <v>Expreso - Servicios Troncales</v>
          </cell>
          <cell r="CN387" t="str">
            <v>Expreso - Servicios Troncales</v>
          </cell>
          <cell r="CO387" t="str">
            <v>Expreso - Servicios Troncales</v>
          </cell>
          <cell r="CP387" t="str">
            <v>Expreso - Servicios Troncales</v>
          </cell>
          <cell r="CQ387" t="str">
            <v>Expreso - Servicios Troncales</v>
          </cell>
          <cell r="CR387" t="str">
            <v>Expreso - Servicios Troncales</v>
          </cell>
          <cell r="CS387" t="str">
            <v>Expreso - Servicios Troncales</v>
          </cell>
          <cell r="CT387" t="str">
            <v>Expreso - Servicios Troncales</v>
          </cell>
          <cell r="CU387" t="str">
            <v>Expreso - Servicios Troncales</v>
          </cell>
          <cell r="CV387" t="str">
            <v>Expreso - Servicios Troncales</v>
          </cell>
          <cell r="CW387" t="str">
            <v>Expreso - Servicios Troncales</v>
          </cell>
        </row>
        <row r="388">
          <cell r="D388" t="str">
            <v>OAF641</v>
          </cell>
          <cell r="E388" t="str">
            <v>Tractor</v>
          </cell>
          <cell r="F388" t="str">
            <v>Tractor</v>
          </cell>
          <cell r="G388" t="str">
            <v>Tractor</v>
          </cell>
          <cell r="N388" t="str">
            <v>TDU</v>
          </cell>
          <cell r="O388" t="str">
            <v>TDU</v>
          </cell>
          <cell r="P388" t="str">
            <v>No</v>
          </cell>
          <cell r="Q388" t="str">
            <v>Propio</v>
          </cell>
          <cell r="R388" t="str">
            <v>-</v>
          </cell>
          <cell r="S388" t="str">
            <v>Propio</v>
          </cell>
          <cell r="T388" t="str">
            <v>SCANIA</v>
          </cell>
          <cell r="U388" t="str">
            <v>G310 A4X2</v>
          </cell>
          <cell r="V388">
            <v>8231937</v>
          </cell>
          <cell r="W388" t="str">
            <v>+9BSG4X200++E3845765+</v>
          </cell>
          <cell r="X388">
            <v>2014</v>
          </cell>
          <cell r="Y388">
            <v>12</v>
          </cell>
          <cell r="Z388" t="str">
            <v>Malargue</v>
          </cell>
          <cell r="AA388" t="str">
            <v>Expreso - Servicios Troncales</v>
          </cell>
          <cell r="AB388" t="str">
            <v>Expreso - Servicios Troncales</v>
          </cell>
          <cell r="AC388" t="str">
            <v>Expreso - Servicios Troncales</v>
          </cell>
          <cell r="AD388" t="str">
            <v>Expreso - Servicios Troncales</v>
          </cell>
          <cell r="AE388" t="str">
            <v>Expreso - Servicios Troncales</v>
          </cell>
          <cell r="AF388" t="str">
            <v>Expreso - Servicios Troncales</v>
          </cell>
          <cell r="AG388" t="str">
            <v>Expreso - Servicios Troncales</v>
          </cell>
          <cell r="AH388" t="str">
            <v>Expreso - Servicios Troncales</v>
          </cell>
          <cell r="AI388" t="str">
            <v>Expreso - Servicios Troncales</v>
          </cell>
          <cell r="AJ388" t="str">
            <v>Expreso - Servicios Troncales</v>
          </cell>
          <cell r="AK388" t="str">
            <v>Expreso - Servicios Troncales</v>
          </cell>
          <cell r="AL388" t="str">
            <v>Expreso - Servicios Troncales</v>
          </cell>
          <cell r="AM388" t="str">
            <v>Expreso - Servicios Troncales</v>
          </cell>
          <cell r="AN388" t="str">
            <v>Expreso - Servicios Troncales</v>
          </cell>
          <cell r="AO388" t="str">
            <v>Expreso - Servicios Troncales</v>
          </cell>
          <cell r="AP388" t="str">
            <v>Expreso - Servicios Troncales</v>
          </cell>
          <cell r="AQ388" t="str">
            <v>Expreso - Servicios Troncales</v>
          </cell>
          <cell r="AR388" t="str">
            <v>Expreso - Servicios Troncales</v>
          </cell>
          <cell r="AS388" t="str">
            <v>Expreso - Servicios Troncales</v>
          </cell>
          <cell r="AT388" t="str">
            <v>Expreso - Servicios Troncales</v>
          </cell>
          <cell r="AU388" t="str">
            <v>Expreso - Servicios Troncales</v>
          </cell>
          <cell r="AV388" t="str">
            <v>Expreso - Servicios Troncales</v>
          </cell>
          <cell r="AW388" t="str">
            <v>Expreso - Servicios Troncales</v>
          </cell>
          <cell r="AX388" t="str">
            <v>Expreso - Servicios Troncales</v>
          </cell>
          <cell r="AY388" t="str">
            <v>Expreso - Servicios Troncales</v>
          </cell>
          <cell r="AZ388" t="str">
            <v>Expreso - Servicios Troncales</v>
          </cell>
          <cell r="BA388" t="str">
            <v>Expreso - Servicios Troncales</v>
          </cell>
          <cell r="BB388" t="str">
            <v>Expreso - Servicios Troncales</v>
          </cell>
          <cell r="BC388" t="str">
            <v>Expreso - Servicios Troncales</v>
          </cell>
          <cell r="BD388" t="str">
            <v>SUC_MEN - Sucursal Mendoza</v>
          </cell>
          <cell r="BE388" t="str">
            <v>SUC_MEN - Sucursal Mendoza</v>
          </cell>
          <cell r="BF388" t="str">
            <v>SUC_MEN - Sucursal Mendoza</v>
          </cell>
          <cell r="BG388" t="str">
            <v>SUC_MEN - Sucursal Mendoza</v>
          </cell>
          <cell r="BH388" t="str">
            <v>SUC_MEN - Sucursal Mendoza</v>
          </cell>
          <cell r="BI388" t="str">
            <v>SUC_MEN - Sucursal Mendoza</v>
          </cell>
          <cell r="BJ388" t="str">
            <v>SUC_MEN - Sucursal Mendoza</v>
          </cell>
          <cell r="BK388" t="str">
            <v>SUC_MEN - Sucursal Mendoza</v>
          </cell>
          <cell r="BL388" t="str">
            <v>SUC_MEN - Sucursal Mendoza</v>
          </cell>
          <cell r="BM388" t="str">
            <v>SUC_MEN - Sucursal Mendoza</v>
          </cell>
          <cell r="BN388" t="str">
            <v>SUC_MEN - Sucursal Mendoza</v>
          </cell>
          <cell r="BO388" t="str">
            <v>SUC_MEN - Sucursal Mendoza</v>
          </cell>
          <cell r="BP388" t="str">
            <v>SUC_MEN - Sucursal Mendoza</v>
          </cell>
          <cell r="BQ388" t="str">
            <v>Expreso - Servicios Troncales</v>
          </cell>
          <cell r="BR388" t="str">
            <v>Expreso - Servicios Troncales</v>
          </cell>
          <cell r="BS388" t="str">
            <v>Expreso - Servicios Troncales</v>
          </cell>
          <cell r="BT388" t="str">
            <v>Expreso - Servicios Troncales</v>
          </cell>
          <cell r="BU388" t="str">
            <v>Expreso - Servicios Troncales</v>
          </cell>
          <cell r="BV388" t="str">
            <v>Expreso - Servicios Troncales</v>
          </cell>
          <cell r="BW388" t="str">
            <v>Expreso - Servicios Troncales</v>
          </cell>
          <cell r="BX388" t="str">
            <v>Expreso - Servicios Troncales</v>
          </cell>
          <cell r="BY388" t="str">
            <v>Expreso - Servicios Troncales</v>
          </cell>
          <cell r="BZ388" t="str">
            <v>Expreso - Servicios Troncales</v>
          </cell>
          <cell r="CA388" t="str">
            <v>Expreso - Servicios Troncales</v>
          </cell>
          <cell r="CB388" t="str">
            <v>Expreso - Servicios Troncales</v>
          </cell>
          <cell r="CC388" t="str">
            <v>Expreso - Servicios Troncales</v>
          </cell>
          <cell r="CD388" t="str">
            <v>Expreso - Servicios Troncales</v>
          </cell>
          <cell r="CE388" t="str">
            <v>Expreso - Servicios Troncales</v>
          </cell>
          <cell r="CF388" t="str">
            <v>Expreso - Servicios Troncales</v>
          </cell>
          <cell r="CG388" t="str">
            <v>Expreso - Servicios Troncales</v>
          </cell>
          <cell r="CH388" t="str">
            <v>Expreso - Servicios Troncales</v>
          </cell>
          <cell r="CI388" t="str">
            <v>Expreso - Servicios Troncales</v>
          </cell>
          <cell r="CJ388" t="str">
            <v>Expreso - Servicios Troncales</v>
          </cell>
          <cell r="CK388" t="str">
            <v>Expreso - Servicios Troncales</v>
          </cell>
          <cell r="CL388" t="str">
            <v>Expreso - Servicios Troncales</v>
          </cell>
          <cell r="CM388" t="str">
            <v>Expreso - Servicios Troncales</v>
          </cell>
          <cell r="CN388" t="str">
            <v>Expreso - Servicios Troncales</v>
          </cell>
          <cell r="CO388" t="str">
            <v>Expreso - Servicios Troncales</v>
          </cell>
          <cell r="CP388" t="str">
            <v>Expreso - Servicios Troncales</v>
          </cell>
          <cell r="CQ388" t="str">
            <v>Expreso - Servicios Troncales</v>
          </cell>
          <cell r="CR388" t="str">
            <v>Expreso - Servicios Troncales</v>
          </cell>
          <cell r="CS388" t="str">
            <v>Expreso - Servicios Troncales</v>
          </cell>
          <cell r="CT388" t="str">
            <v>Expreso - Servicios Troncales</v>
          </cell>
          <cell r="CU388" t="str">
            <v>Expreso - Servicios Troncales</v>
          </cell>
          <cell r="CV388" t="str">
            <v>Expreso - Servicios Troncales</v>
          </cell>
          <cell r="CW388" t="str">
            <v>Expreso - Servicios Troncales</v>
          </cell>
        </row>
        <row r="389">
          <cell r="D389" t="str">
            <v>OAF642</v>
          </cell>
          <cell r="E389" t="str">
            <v>Tractor</v>
          </cell>
          <cell r="F389" t="str">
            <v>Tractor</v>
          </cell>
          <cell r="G389" t="str">
            <v>Tractor</v>
          </cell>
          <cell r="N389" t="str">
            <v>TDU</v>
          </cell>
          <cell r="O389" t="str">
            <v>TDU</v>
          </cell>
          <cell r="P389" t="str">
            <v>No</v>
          </cell>
          <cell r="Q389" t="str">
            <v>Propio</v>
          </cell>
          <cell r="R389" t="str">
            <v>-</v>
          </cell>
          <cell r="S389" t="str">
            <v>Propio</v>
          </cell>
          <cell r="T389" t="str">
            <v>SCANIA</v>
          </cell>
          <cell r="U389" t="str">
            <v>G310 A4X2</v>
          </cell>
          <cell r="V389">
            <v>8233918</v>
          </cell>
          <cell r="W389" t="str">
            <v>+9BSG4X200++E3847745+</v>
          </cell>
          <cell r="X389">
            <v>2014</v>
          </cell>
          <cell r="Y389">
            <v>12</v>
          </cell>
          <cell r="Z389" t="str">
            <v>Malargue</v>
          </cell>
          <cell r="AA389" t="str">
            <v>Expreso - Servicios Troncales</v>
          </cell>
          <cell r="AB389" t="str">
            <v>Expreso - Servicios Troncales</v>
          </cell>
          <cell r="AC389" t="str">
            <v>Expreso - Servicios Troncales</v>
          </cell>
          <cell r="AD389" t="str">
            <v>Expreso - Servicios Troncales</v>
          </cell>
          <cell r="AE389" t="str">
            <v>Expreso - Servicios Troncales</v>
          </cell>
          <cell r="AF389" t="str">
            <v>Expreso - Servicios Troncales</v>
          </cell>
          <cell r="AG389" t="str">
            <v>Expreso - Servicios Troncales</v>
          </cell>
          <cell r="AH389" t="str">
            <v>Expreso - Servicios Troncales</v>
          </cell>
          <cell r="AI389" t="str">
            <v>Expreso - Servicios Troncales</v>
          </cell>
          <cell r="AJ389" t="str">
            <v>Expreso - Servicios Troncales</v>
          </cell>
          <cell r="AK389" t="str">
            <v>Expreso - Servicios Troncales</v>
          </cell>
          <cell r="AL389" t="str">
            <v>Expreso - Servicios Troncales</v>
          </cell>
          <cell r="AM389" t="str">
            <v>Expreso - Servicios Troncales</v>
          </cell>
          <cell r="AN389" t="str">
            <v>Expreso - Servicios Troncales</v>
          </cell>
          <cell r="AO389" t="str">
            <v>Expreso - Servicios Troncales</v>
          </cell>
          <cell r="AP389" t="str">
            <v>Expreso - Servicios Troncales</v>
          </cell>
          <cell r="AQ389" t="str">
            <v>Expreso - Servicios Troncales</v>
          </cell>
          <cell r="AR389" t="str">
            <v>Expreso - Servicios Troncales</v>
          </cell>
          <cell r="AS389" t="str">
            <v>Expreso - Servicios Troncales</v>
          </cell>
          <cell r="AT389" t="str">
            <v>Expreso - Servicios Troncales</v>
          </cell>
          <cell r="AU389" t="str">
            <v>Expreso - Servicios Troncales</v>
          </cell>
          <cell r="AV389" t="str">
            <v>Expreso - Servicios Troncales</v>
          </cell>
          <cell r="AW389" t="str">
            <v>Expreso - Servicios Troncales</v>
          </cell>
          <cell r="AX389" t="str">
            <v>Expreso - Servicios Troncales</v>
          </cell>
          <cell r="AY389" t="str">
            <v>Expreso - Servicios Troncales</v>
          </cell>
          <cell r="AZ389" t="str">
            <v>Expreso - Servicios Troncales</v>
          </cell>
          <cell r="BA389" t="str">
            <v>Expreso - Servicios Troncales</v>
          </cell>
          <cell r="BB389" t="str">
            <v>Expreso - Servicios Troncales</v>
          </cell>
          <cell r="BC389" t="str">
            <v>Expreso - Servicios Troncales</v>
          </cell>
          <cell r="BD389" t="str">
            <v>SUC_SRA - Sucursal San Rafael</v>
          </cell>
          <cell r="BE389" t="str">
            <v>SUC_SRA - Sucursal San Rafael</v>
          </cell>
          <cell r="BF389" t="str">
            <v>SUC_SRA - Sucursal San Rafael</v>
          </cell>
          <cell r="BG389" t="str">
            <v>SUC_SRA - Sucursal San Rafael</v>
          </cell>
          <cell r="BH389" t="str">
            <v>SUC_SRA - Sucursal San Rafael</v>
          </cell>
          <cell r="BI389" t="str">
            <v>SUC_SRA - Sucursal San Rafael</v>
          </cell>
          <cell r="BJ389" t="str">
            <v>SUC_SRA - Sucursal San Rafael</v>
          </cell>
          <cell r="BK389" t="str">
            <v>SUC_SRA - Sucursal San Rafael</v>
          </cell>
          <cell r="BL389" t="str">
            <v>SUC_SRA - Sucursal San Rafael</v>
          </cell>
          <cell r="BM389" t="str">
            <v>SUC_SRA - Sucursal San Rafael</v>
          </cell>
          <cell r="BN389" t="str">
            <v>SUC_SRA - Sucursal San Rafael</v>
          </cell>
          <cell r="BO389" t="str">
            <v>SUC_SRA - Sucursal San Rafael</v>
          </cell>
          <cell r="BP389" t="str">
            <v>SUC_SRA - Sucursal San Rafael</v>
          </cell>
          <cell r="BQ389" t="str">
            <v>Expreso - Servicios Troncales</v>
          </cell>
          <cell r="BR389" t="str">
            <v>Expreso - Servicios Troncales</v>
          </cell>
          <cell r="BS389" t="str">
            <v>Expreso - Servicios Troncales</v>
          </cell>
          <cell r="BT389" t="str">
            <v>Expreso - Servicios Troncales</v>
          </cell>
          <cell r="BU389" t="str">
            <v>Expreso - Servicios Troncales</v>
          </cell>
          <cell r="BV389" t="str">
            <v>Expreso - Servicios Troncales</v>
          </cell>
          <cell r="BW389" t="str">
            <v>Expreso - Servicios Troncales</v>
          </cell>
          <cell r="BX389" t="str">
            <v>Expreso - Servicios Troncales</v>
          </cell>
          <cell r="BY389" t="str">
            <v>Expreso - Servicios Troncales</v>
          </cell>
          <cell r="BZ389" t="str">
            <v>Expreso - Servicios Troncales</v>
          </cell>
          <cell r="CA389" t="str">
            <v>Expreso - Servicios Troncales</v>
          </cell>
          <cell r="CB389" t="str">
            <v>Expreso - Servicios Troncales</v>
          </cell>
          <cell r="CC389" t="str">
            <v>Expreso - Servicios Troncales</v>
          </cell>
          <cell r="CD389" t="str">
            <v>Expreso - Servicios Troncales</v>
          </cell>
          <cell r="CE389" t="str">
            <v>Expreso - Servicios Troncales</v>
          </cell>
          <cell r="CF389" t="str">
            <v>Expreso - Servicios Troncales</v>
          </cell>
          <cell r="CG389" t="str">
            <v>Expreso - Servicios Troncales</v>
          </cell>
          <cell r="CH389" t="str">
            <v>Expreso - Servicios Troncales</v>
          </cell>
          <cell r="CI389" t="str">
            <v>Expreso - Servicios Troncales</v>
          </cell>
          <cell r="CJ389" t="str">
            <v>Expreso - Servicios Troncales</v>
          </cell>
          <cell r="CK389" t="str">
            <v>Expreso - Servicios Troncales</v>
          </cell>
          <cell r="CL389" t="str">
            <v>Expreso - Servicios Troncales</v>
          </cell>
          <cell r="CM389" t="str">
            <v>Expreso - Servicios Troncales</v>
          </cell>
          <cell r="CN389" t="str">
            <v>Expreso - Servicios Troncales</v>
          </cell>
          <cell r="CO389" t="str">
            <v>Expreso - Servicios Troncales</v>
          </cell>
          <cell r="CP389" t="str">
            <v>Expreso - Servicios Troncales</v>
          </cell>
          <cell r="CQ389" t="str">
            <v>Expreso - Servicios Troncales</v>
          </cell>
          <cell r="CR389" t="str">
            <v>Expreso - Servicios Troncales</v>
          </cell>
          <cell r="CS389" t="str">
            <v>Expreso - Servicios Troncales</v>
          </cell>
          <cell r="CT389" t="str">
            <v>Expreso - Servicios Troncales</v>
          </cell>
          <cell r="CU389" t="str">
            <v>Expreso - Servicios Troncales</v>
          </cell>
          <cell r="CV389" t="str">
            <v>Expreso - Servicios Troncales</v>
          </cell>
          <cell r="CW389" t="str">
            <v>Expreso - Servicios Troncales</v>
          </cell>
        </row>
        <row r="390">
          <cell r="D390" t="str">
            <v>OAF643</v>
          </cell>
          <cell r="E390" t="str">
            <v>Tractor</v>
          </cell>
          <cell r="F390" t="str">
            <v>Tractor</v>
          </cell>
          <cell r="G390" t="str">
            <v>Tractor</v>
          </cell>
          <cell r="N390" t="str">
            <v>TDU</v>
          </cell>
          <cell r="O390" t="str">
            <v>TDU</v>
          </cell>
          <cell r="P390" t="str">
            <v>No</v>
          </cell>
          <cell r="Q390" t="str">
            <v>Propio</v>
          </cell>
          <cell r="R390" t="str">
            <v>-</v>
          </cell>
          <cell r="S390" t="str">
            <v>Propio</v>
          </cell>
          <cell r="T390" t="str">
            <v>SCANIA</v>
          </cell>
          <cell r="U390" t="str">
            <v>G310 A4X2</v>
          </cell>
          <cell r="V390">
            <v>8231879</v>
          </cell>
          <cell r="W390" t="str">
            <v>+9BSG4X200++E3845707+</v>
          </cell>
          <cell r="X390">
            <v>2014</v>
          </cell>
          <cell r="Y390">
            <v>12</v>
          </cell>
          <cell r="Z390" t="str">
            <v>Malargue</v>
          </cell>
          <cell r="AA390" t="str">
            <v>Expreso - Servicios Troncales</v>
          </cell>
          <cell r="AB390" t="str">
            <v>Expreso - Servicios Troncales</v>
          </cell>
          <cell r="AC390" t="str">
            <v>Expreso - Servicios Troncales</v>
          </cell>
          <cell r="AD390" t="str">
            <v>Expreso - Servicios Troncales</v>
          </cell>
          <cell r="AE390" t="str">
            <v>Expreso - Servicios Troncales</v>
          </cell>
          <cell r="AF390" t="str">
            <v>Expreso - Servicios Troncales</v>
          </cell>
          <cell r="AG390" t="str">
            <v>Expreso - Servicios Troncales</v>
          </cell>
          <cell r="AH390" t="str">
            <v>Expreso - Servicios Troncales</v>
          </cell>
          <cell r="AI390" t="str">
            <v>Expreso - Servicios Troncales</v>
          </cell>
          <cell r="AJ390" t="str">
            <v>Expreso - Servicios Troncales</v>
          </cell>
          <cell r="AK390" t="str">
            <v>Expreso - Servicios Troncales</v>
          </cell>
          <cell r="AL390" t="str">
            <v>Expreso - Servicios Troncales</v>
          </cell>
          <cell r="AM390" t="str">
            <v>Expreso - Servicios Troncales</v>
          </cell>
          <cell r="AN390" t="str">
            <v>Expreso - Servicios Troncales</v>
          </cell>
          <cell r="AO390" t="str">
            <v>Expreso - Servicios Troncales</v>
          </cell>
          <cell r="AP390" t="str">
            <v>Expreso - Servicios Troncales</v>
          </cell>
          <cell r="AQ390" t="str">
            <v>Expreso - Servicios Troncales</v>
          </cell>
          <cell r="AR390" t="str">
            <v>Expreso - Servicios Troncales</v>
          </cell>
          <cell r="AS390" t="str">
            <v>Expreso - Servicios Troncales</v>
          </cell>
          <cell r="AT390" t="str">
            <v>Expreso - Servicios Troncales</v>
          </cell>
          <cell r="AU390" t="str">
            <v>Expreso - Servicios Troncales</v>
          </cell>
          <cell r="AV390" t="str">
            <v>Expreso - Servicios Troncales</v>
          </cell>
          <cell r="AW390" t="str">
            <v>Expreso - Servicios Troncales</v>
          </cell>
          <cell r="AX390" t="str">
            <v>Expreso - Servicios Troncales</v>
          </cell>
          <cell r="AY390" t="str">
            <v>Expreso - Servicios Troncales</v>
          </cell>
          <cell r="AZ390" t="str">
            <v>Expreso - Servicios Troncales</v>
          </cell>
          <cell r="BA390" t="str">
            <v>Expreso - Servicios Troncales</v>
          </cell>
          <cell r="BB390" t="str">
            <v>Expreso - Servicios Troncales</v>
          </cell>
          <cell r="BC390" t="str">
            <v>Expreso - Servicios Troncales</v>
          </cell>
          <cell r="BD390" t="str">
            <v>SUC_MEN - Sucursal Mendoza</v>
          </cell>
          <cell r="BE390" t="str">
            <v>SUC_MEN - Sucursal Mendoza</v>
          </cell>
          <cell r="BF390" t="str">
            <v>SUC_MEN - Sucursal Mendoza</v>
          </cell>
          <cell r="BG390" t="str">
            <v>SUC_MEN - Sucursal Mendoza</v>
          </cell>
          <cell r="BH390" t="str">
            <v>SUC_MEN - Sucursal Mendoza</v>
          </cell>
          <cell r="BI390" t="str">
            <v>SUC_MEN - Sucursal Mendoza</v>
          </cell>
          <cell r="BJ390" t="str">
            <v>SUC_MEN - Sucursal Mendoza</v>
          </cell>
          <cell r="BK390" t="str">
            <v>SUC_MEN - Sucursal Mendoza</v>
          </cell>
          <cell r="BL390" t="str">
            <v>SUC_MEN - Sucursal Mendoza</v>
          </cell>
          <cell r="BM390" t="str">
            <v>SUC_MEN - Sucursal Mendoza</v>
          </cell>
          <cell r="BN390" t="str">
            <v>SUC_MEN - Sucursal Mendoza</v>
          </cell>
          <cell r="BO390" t="str">
            <v>SUC_MEN - Sucursal Mendoza</v>
          </cell>
          <cell r="BP390" t="str">
            <v>SUC_MEN - Sucursal Mendoza</v>
          </cell>
          <cell r="BQ390" t="str">
            <v>Expreso - Servicios Troncales</v>
          </cell>
          <cell r="BR390" t="str">
            <v>Expreso - Servicios Troncales</v>
          </cell>
          <cell r="BS390" t="str">
            <v>Expreso - Servicios Troncales</v>
          </cell>
          <cell r="BT390" t="str">
            <v>Expreso - Servicios Troncales</v>
          </cell>
          <cell r="BU390" t="str">
            <v>Expreso - Servicios Troncales</v>
          </cell>
          <cell r="BV390" t="str">
            <v>Expreso - Servicios Troncales</v>
          </cell>
          <cell r="BW390" t="str">
            <v>Expreso - Servicios Troncales</v>
          </cell>
          <cell r="BX390" t="str">
            <v>Expreso - Servicios Troncales</v>
          </cell>
          <cell r="BY390" t="str">
            <v>Expreso - Servicios Troncales</v>
          </cell>
          <cell r="BZ390" t="str">
            <v>Expreso - Servicios Troncales</v>
          </cell>
          <cell r="CA390" t="str">
            <v>Expreso - Servicios Troncales</v>
          </cell>
          <cell r="CB390" t="str">
            <v>Expreso - Servicios Troncales</v>
          </cell>
          <cell r="CC390" t="str">
            <v>Expreso - Servicios Troncales</v>
          </cell>
          <cell r="CD390" t="str">
            <v>Expreso - Servicios Troncales</v>
          </cell>
          <cell r="CE390" t="str">
            <v>Expreso - Servicios Troncales</v>
          </cell>
          <cell r="CF390" t="str">
            <v>Expreso - Servicios Troncales</v>
          </cell>
          <cell r="CG390" t="str">
            <v>Expreso - Servicios Troncales</v>
          </cell>
          <cell r="CH390" t="str">
            <v>Expreso - Servicios Troncales</v>
          </cell>
          <cell r="CI390" t="str">
            <v>Expreso - Servicios Troncales</v>
          </cell>
          <cell r="CJ390" t="str">
            <v>Expreso - Servicios Troncales</v>
          </cell>
          <cell r="CK390" t="str">
            <v>Expreso - Servicios Troncales</v>
          </cell>
          <cell r="CL390" t="str">
            <v>Expreso - Servicios Troncales</v>
          </cell>
          <cell r="CM390" t="str">
            <v>Expreso - Servicios Troncales</v>
          </cell>
          <cell r="CN390" t="str">
            <v>Expreso - Servicios Troncales</v>
          </cell>
          <cell r="CO390" t="str">
            <v>Expreso - Servicios Troncales</v>
          </cell>
          <cell r="CP390" t="str">
            <v>Expreso - Servicios Troncales</v>
          </cell>
          <cell r="CQ390" t="str">
            <v>Expreso - Servicios Troncales</v>
          </cell>
          <cell r="CR390" t="str">
            <v>Expreso - Servicios Troncales</v>
          </cell>
          <cell r="CS390" t="str">
            <v>Expreso - Servicios Troncales</v>
          </cell>
          <cell r="CT390" t="str">
            <v>Expreso - Servicios Troncales</v>
          </cell>
          <cell r="CU390" t="str">
            <v>Expreso - Servicios Troncales</v>
          </cell>
          <cell r="CV390" t="str">
            <v>Expreso - Servicios Troncales</v>
          </cell>
          <cell r="CW390" t="str">
            <v>Expreso - Servicios Troncales</v>
          </cell>
        </row>
        <row r="391">
          <cell r="D391" t="str">
            <v>OAF644</v>
          </cell>
          <cell r="E391" t="str">
            <v>Tractor</v>
          </cell>
          <cell r="F391" t="str">
            <v>Tractor</v>
          </cell>
          <cell r="G391" t="str">
            <v>Tractor</v>
          </cell>
          <cell r="N391" t="str">
            <v>TDU</v>
          </cell>
          <cell r="O391" t="str">
            <v>TDU</v>
          </cell>
          <cell r="P391" t="str">
            <v>No</v>
          </cell>
          <cell r="Q391" t="str">
            <v>Propio</v>
          </cell>
          <cell r="R391" t="str">
            <v>-</v>
          </cell>
          <cell r="S391" t="str">
            <v>Propio</v>
          </cell>
          <cell r="T391" t="str">
            <v>SCANIA</v>
          </cell>
          <cell r="U391" t="str">
            <v>G310 A4X2</v>
          </cell>
          <cell r="V391">
            <v>8231409</v>
          </cell>
          <cell r="W391" t="str">
            <v>+9BSG4X200++E3845337+</v>
          </cell>
          <cell r="X391">
            <v>2014</v>
          </cell>
          <cell r="Y391">
            <v>12</v>
          </cell>
          <cell r="Z391" t="str">
            <v>Malargue</v>
          </cell>
          <cell r="AA391" t="str">
            <v>Expreso - Servicios Troncales</v>
          </cell>
          <cell r="AB391" t="str">
            <v>Expreso - Servicios Troncales</v>
          </cell>
          <cell r="AC391" t="str">
            <v>Expreso - Servicios Troncales</v>
          </cell>
          <cell r="AD391" t="str">
            <v>Expreso - Servicios Troncales</v>
          </cell>
          <cell r="AE391" t="str">
            <v>Expreso - Servicios Troncales</v>
          </cell>
          <cell r="AF391" t="str">
            <v>Expreso - Servicios Troncales</v>
          </cell>
          <cell r="AG391" t="str">
            <v>JOHNSON - SC JOHNSON DE ARGENTINA SAIC</v>
          </cell>
          <cell r="AH391" t="str">
            <v>JOHNSON - SC JOHNSON DE ARGENTINA SAIC</v>
          </cell>
          <cell r="AI391" t="str">
            <v>Expreso - Servicios Troncales</v>
          </cell>
          <cell r="AJ391" t="str">
            <v>Expreso - Servicios Troncales</v>
          </cell>
          <cell r="AK391" t="str">
            <v>Expreso - Servicios Troncales</v>
          </cell>
          <cell r="AL391" t="str">
            <v>Expreso - Servicios Troncales</v>
          </cell>
          <cell r="AM391" t="str">
            <v>Expreso - Servicios Troncales</v>
          </cell>
          <cell r="AN391" t="str">
            <v>Expreso - Servicios Troncales</v>
          </cell>
          <cell r="AO391" t="str">
            <v>Expreso - Servicios Troncales</v>
          </cell>
          <cell r="AP391" t="str">
            <v>Expreso - Servicios Troncales</v>
          </cell>
          <cell r="AQ391" t="str">
            <v>Expreso - Servicios Troncales</v>
          </cell>
          <cell r="AR391" t="str">
            <v>Expreso - Servicios Troncales</v>
          </cell>
          <cell r="AS391" t="str">
            <v>Expreso - Servicios Troncales</v>
          </cell>
          <cell r="AT391" t="str">
            <v>Expreso - Servicios Troncales</v>
          </cell>
          <cell r="AU391" t="str">
            <v>Expreso - Servicios Troncales</v>
          </cell>
          <cell r="AV391" t="str">
            <v>Expreso - Servicios Troncales</v>
          </cell>
          <cell r="AW391" t="str">
            <v>Expreso - Servicios Troncales</v>
          </cell>
          <cell r="AX391" t="str">
            <v>Expreso - Servicios Troncales</v>
          </cell>
          <cell r="AY391" t="str">
            <v>Expreso - Servicios Troncales</v>
          </cell>
          <cell r="AZ391" t="str">
            <v>Expreso - Servicios Troncales</v>
          </cell>
          <cell r="BA391" t="str">
            <v>Expreso - Servicios Troncales</v>
          </cell>
          <cell r="BB391" t="str">
            <v>Expreso - Servicios Troncales</v>
          </cell>
          <cell r="BC391" t="str">
            <v>Expreso - Servicios Troncales</v>
          </cell>
          <cell r="BD391" t="str">
            <v>SUC_CTC - Sucursal Buenos Aires</v>
          </cell>
          <cell r="BE391" t="str">
            <v>SUC_CTC - Sucursal Buenos Aires</v>
          </cell>
          <cell r="BF391" t="str">
            <v>SUC_CTC - Sucursal Buenos Aires</v>
          </cell>
          <cell r="BG391" t="str">
            <v>SUC_CTC - Sucursal Buenos Aires</v>
          </cell>
          <cell r="BH391" t="str">
            <v>SUC_CTC - Sucursal Buenos Aires</v>
          </cell>
          <cell r="BI391" t="str">
            <v>SUC_CTC - Sucursal Buenos Aires</v>
          </cell>
          <cell r="BJ391" t="str">
            <v>SUC_CTC - Sucursal Buenos Aires</v>
          </cell>
          <cell r="BK391" t="str">
            <v>SUC_CTC - Sucursal Buenos Aires</v>
          </cell>
          <cell r="BL391" t="str">
            <v>SUC_CTC - Sucursal Buenos Aires</v>
          </cell>
          <cell r="BM391" t="str">
            <v>SUC_CTC - Sucursal Buenos Aires</v>
          </cell>
          <cell r="BN391" t="str">
            <v>SUC_CTC - Sucursal Buenos Aires</v>
          </cell>
          <cell r="BO391" t="str">
            <v>SUC_CTC - Sucursal Buenos Aires</v>
          </cell>
          <cell r="BP391" t="str">
            <v>SUC_CTC - Sucursal Buenos Aires</v>
          </cell>
          <cell r="BQ391" t="str">
            <v>Expreso - Servicios Troncales</v>
          </cell>
          <cell r="BR391" t="str">
            <v>Expreso - Servicios Troncales</v>
          </cell>
          <cell r="BS391" t="str">
            <v>Expreso - Servicios Troncales</v>
          </cell>
          <cell r="BT391" t="str">
            <v>Expreso - Servicios Troncales</v>
          </cell>
          <cell r="BU391" t="str">
            <v>Expreso - Servicios Troncales</v>
          </cell>
          <cell r="BV391" t="str">
            <v>Expreso - Servicios Troncales</v>
          </cell>
          <cell r="BW391" t="str">
            <v>Expreso - Servicios Troncales</v>
          </cell>
          <cell r="BX391" t="str">
            <v>Expreso - Servicios Troncales</v>
          </cell>
          <cell r="BY391" t="str">
            <v>Expreso - Servicios Troncales</v>
          </cell>
          <cell r="BZ391" t="str">
            <v>Expreso - Servicios Troncales</v>
          </cell>
          <cell r="CA391" t="str">
            <v>Expreso - Servicios Troncales</v>
          </cell>
          <cell r="CB391" t="str">
            <v>Expreso - Servicios Troncales</v>
          </cell>
          <cell r="CC391" t="str">
            <v>Expreso - Servicios Troncales</v>
          </cell>
          <cell r="CD391" t="str">
            <v>Expreso - Servicios Troncales</v>
          </cell>
          <cell r="CE391" t="str">
            <v>Expreso - Servicios Troncales</v>
          </cell>
          <cell r="CF391" t="str">
            <v>Expreso - Servicios Troncales</v>
          </cell>
          <cell r="CG391" t="str">
            <v>Expreso - Servicios Troncales</v>
          </cell>
          <cell r="CH391" t="str">
            <v>Expreso - Servicios Troncales</v>
          </cell>
          <cell r="CI391" t="str">
            <v>Expreso - Servicios Troncales</v>
          </cell>
          <cell r="CJ391" t="str">
            <v>Expreso - Servicios Troncales</v>
          </cell>
          <cell r="CK391" t="str">
            <v>Expreso - Servicios Troncales</v>
          </cell>
          <cell r="CL391" t="str">
            <v>Expreso - Servicios Troncales</v>
          </cell>
          <cell r="CM391" t="str">
            <v>Expreso - Servicios Troncales</v>
          </cell>
          <cell r="CN391" t="str">
            <v>Expreso - Servicios Troncales</v>
          </cell>
          <cell r="CO391" t="str">
            <v>Expreso - Servicios Troncales</v>
          </cell>
          <cell r="CP391" t="str">
            <v>Expreso - Servicios Troncales</v>
          </cell>
          <cell r="CQ391" t="str">
            <v>Expreso - Servicios Troncales</v>
          </cell>
          <cell r="CR391" t="str">
            <v>Expreso - Servicios Troncales</v>
          </cell>
          <cell r="CS391" t="str">
            <v>Expreso - Servicios Troncales</v>
          </cell>
          <cell r="CT391" t="str">
            <v>Expreso - Servicios Troncales</v>
          </cell>
          <cell r="CU391" t="str">
            <v>Expreso - Servicios Troncales</v>
          </cell>
          <cell r="CV391" t="str">
            <v>Expreso - Servicios Troncales</v>
          </cell>
          <cell r="CW391" t="str">
            <v>Expreso - Servicios Troncales</v>
          </cell>
        </row>
        <row r="392">
          <cell r="D392" t="str">
            <v>OAF653</v>
          </cell>
          <cell r="E392" t="str">
            <v>Semiremolque</v>
          </cell>
          <cell r="F392" t="str">
            <v>Semiremolque</v>
          </cell>
          <cell r="G392" t="str">
            <v>Semiremolque Baranda 14,5m 28P</v>
          </cell>
          <cell r="N392" t="str">
            <v>TDU</v>
          </cell>
          <cell r="O392" t="str">
            <v>TDU</v>
          </cell>
          <cell r="P392" t="str">
            <v>No</v>
          </cell>
          <cell r="Q392" t="str">
            <v>Propio</v>
          </cell>
          <cell r="R392">
            <v>28</v>
          </cell>
          <cell r="S392" t="str">
            <v>Propio</v>
          </cell>
          <cell r="T392" t="str">
            <v>SOLA Y BRUSA</v>
          </cell>
          <cell r="U392" t="str">
            <v>16-BDAS. VOLC. 3 EJES</v>
          </cell>
          <cell r="V392">
            <v>0</v>
          </cell>
          <cell r="W392" t="str">
            <v>8BAG1453AE1000329</v>
          </cell>
          <cell r="X392">
            <v>2014</v>
          </cell>
          <cell r="Y392">
            <v>12</v>
          </cell>
          <cell r="Z392" t="str">
            <v>Malargue</v>
          </cell>
          <cell r="AA392" t="str">
            <v>Expreso - Servicios Troncales</v>
          </cell>
          <cell r="AB392" t="str">
            <v>Expreso - Servicios Troncales</v>
          </cell>
          <cell r="AC392" t="str">
            <v>Expreso - Servicios Troncales</v>
          </cell>
          <cell r="AD392" t="str">
            <v>Expreso - Servicios Troncales</v>
          </cell>
          <cell r="AE392" t="str">
            <v>Expreso - Servicios Troncales</v>
          </cell>
          <cell r="AF392" t="str">
            <v>Expreso - Servicios Troncales</v>
          </cell>
          <cell r="AG392" t="str">
            <v>Expreso - Servicios Troncales</v>
          </cell>
          <cell r="AH392" t="str">
            <v>Expreso - Servicios Troncales</v>
          </cell>
          <cell r="AI392" t="str">
            <v>Expreso - Servicios Troncales</v>
          </cell>
          <cell r="AJ392" t="str">
            <v>Expreso - Servicios Troncales</v>
          </cell>
          <cell r="AK392" t="str">
            <v>Expreso - Servicios Troncales</v>
          </cell>
          <cell r="AL392" t="str">
            <v>Expreso - Servicios Troncales</v>
          </cell>
          <cell r="AM392" t="str">
            <v>Expreso - Servicios Troncales</v>
          </cell>
          <cell r="AN392" t="str">
            <v>Expreso - Servicios Troncales</v>
          </cell>
          <cell r="AO392" t="str">
            <v>Expreso - Servicios Troncales</v>
          </cell>
          <cell r="AP392" t="str">
            <v>Expreso - Servicios Troncales</v>
          </cell>
          <cell r="AQ392" t="str">
            <v>Expreso - Servicios Troncales</v>
          </cell>
          <cell r="AR392" t="str">
            <v>Expreso - Servicios Troncales</v>
          </cell>
          <cell r="AS392" t="str">
            <v>Expreso - Servicios Troncales</v>
          </cell>
          <cell r="AT392" t="str">
            <v>Expreso - Servicios Troncales</v>
          </cell>
          <cell r="AU392" t="str">
            <v>Expreso - Servicios Troncales</v>
          </cell>
          <cell r="AV392" t="str">
            <v>Expreso - Servicios Troncales</v>
          </cell>
          <cell r="AW392" t="str">
            <v>Expreso - Servicios Troncales</v>
          </cell>
          <cell r="AX392" t="str">
            <v>Expreso - Servicios Troncales</v>
          </cell>
          <cell r="AY392" t="str">
            <v>Expreso - Servicios Troncales</v>
          </cell>
          <cell r="AZ392" t="str">
            <v>Expreso - Servicios Troncales</v>
          </cell>
          <cell r="BA392" t="str">
            <v>Expreso - Servicios Troncales</v>
          </cell>
          <cell r="BB392" t="str">
            <v>Expreso - Servicios Troncales</v>
          </cell>
          <cell r="BC392" t="str">
            <v>Expreso - Servicios Troncales</v>
          </cell>
          <cell r="BD392" t="str">
            <v>Expreso - Servicios Troncales</v>
          </cell>
          <cell r="BE392" t="str">
            <v>Expreso - Servicios Troncales</v>
          </cell>
          <cell r="BF392" t="str">
            <v>Expreso - Servicios Troncales</v>
          </cell>
          <cell r="BG392" t="str">
            <v>Expreso - Servicios Troncales</v>
          </cell>
          <cell r="BH392" t="str">
            <v>Expreso - Servicios Troncales</v>
          </cell>
          <cell r="BI392" t="str">
            <v>Expreso - Servicios Troncales</v>
          </cell>
          <cell r="BJ392" t="str">
            <v>Expreso - Servicios Troncales</v>
          </cell>
          <cell r="BK392" t="str">
            <v>Expreso - Servicios Troncales</v>
          </cell>
          <cell r="BL392" t="str">
            <v>Expreso - Servicios Troncales</v>
          </cell>
          <cell r="BM392" t="str">
            <v>Expreso - Servicios Troncales</v>
          </cell>
          <cell r="BN392" t="str">
            <v>Expreso - Servicios Troncales</v>
          </cell>
          <cell r="BO392" t="str">
            <v>Expreso - Servicios Troncales</v>
          </cell>
          <cell r="BP392" t="str">
            <v>Expreso - Servicios Troncales</v>
          </cell>
          <cell r="BQ392" t="str">
            <v>Expreso - Servicios Troncales</v>
          </cell>
          <cell r="BR392" t="str">
            <v>Expreso - Servicios Troncales</v>
          </cell>
          <cell r="BS392" t="str">
            <v>Expreso - Servicios Troncales</v>
          </cell>
          <cell r="BT392" t="str">
            <v>Expreso - Servicios Troncales</v>
          </cell>
          <cell r="BU392" t="str">
            <v>Expreso - Servicios Troncales</v>
          </cell>
          <cell r="BV392" t="str">
            <v>Expreso - Servicios Troncales</v>
          </cell>
          <cell r="BW392" t="str">
            <v>Expreso - Servicios Troncales</v>
          </cell>
          <cell r="BX392" t="str">
            <v>Expreso - Servicios Troncales</v>
          </cell>
          <cell r="BY392" t="str">
            <v>Expreso - Servicios Troncales</v>
          </cell>
          <cell r="BZ392" t="str">
            <v>Expreso - Servicios Troncales</v>
          </cell>
          <cell r="CA392" t="str">
            <v>Expreso - Servicios Troncales</v>
          </cell>
          <cell r="CB392" t="str">
            <v>Expreso - Servicios Troncales</v>
          </cell>
          <cell r="CC392" t="str">
            <v>Expreso - Servicios Troncales</v>
          </cell>
          <cell r="CD392" t="str">
            <v>Expreso - Servicios Troncales</v>
          </cell>
          <cell r="CE392" t="str">
            <v>Expreso - Servicios Troncales</v>
          </cell>
          <cell r="CF392" t="str">
            <v>Expreso - Servicios Troncales</v>
          </cell>
          <cell r="CG392" t="str">
            <v>Expreso - Servicios Troncales</v>
          </cell>
          <cell r="CH392" t="str">
            <v>Expreso - Servicios Troncales</v>
          </cell>
          <cell r="CI392" t="str">
            <v>Expreso - Servicios Troncales</v>
          </cell>
          <cell r="CJ392" t="str">
            <v>Expreso - Servicios Troncales</v>
          </cell>
          <cell r="CK392" t="str">
            <v>Expreso - Servicios Troncales</v>
          </cell>
          <cell r="CL392" t="str">
            <v>Expreso - Servicios Troncales</v>
          </cell>
          <cell r="CM392" t="str">
            <v>Expreso - Servicios Troncales</v>
          </cell>
          <cell r="CN392" t="str">
            <v>Expreso - Servicios Troncales</v>
          </cell>
          <cell r="CO392" t="str">
            <v>Expreso - Servicios Troncales</v>
          </cell>
          <cell r="CP392" t="str">
            <v>Expreso - Servicios Troncales</v>
          </cell>
          <cell r="CQ392" t="str">
            <v>Expreso - Servicios Troncales</v>
          </cell>
          <cell r="CR392" t="str">
            <v>Expreso - Servicios Troncales</v>
          </cell>
          <cell r="CS392" t="str">
            <v>Expreso - Servicios Troncales</v>
          </cell>
          <cell r="CT392" t="str">
            <v>Expreso - Servicios Troncales</v>
          </cell>
          <cell r="CU392" t="str">
            <v>Expreso - Servicios Troncales</v>
          </cell>
          <cell r="CV392" t="str">
            <v>Expreso - Servicios Troncales</v>
          </cell>
          <cell r="CW392" t="str">
            <v>Expreso - Servicios Troncales</v>
          </cell>
        </row>
        <row r="393">
          <cell r="D393" t="str">
            <v>OFF648</v>
          </cell>
          <cell r="E393" t="str">
            <v>Chasis</v>
          </cell>
          <cell r="F393" t="str">
            <v>Chasis</v>
          </cell>
          <cell r="G393" t="str">
            <v>Chasis</v>
          </cell>
          <cell r="N393" t="str">
            <v>GIRON ELIBERTO</v>
          </cell>
          <cell r="O393" t="str">
            <v>GIRON ELIBERTO</v>
          </cell>
          <cell r="P393" t="str">
            <v>No</v>
          </cell>
          <cell r="Q393" t="str">
            <v>De Tercero</v>
          </cell>
          <cell r="R393" t="str">
            <v>-</v>
          </cell>
          <cell r="S393" t="str">
            <v>De Tercero</v>
          </cell>
          <cell r="T393" t="str">
            <v>MERCEDES BENZ</v>
          </cell>
          <cell r="U393" t="str">
            <v>ATEGO 1418</v>
          </cell>
          <cell r="V393" t="str">
            <v>904967U1060592</v>
          </cell>
          <cell r="W393" t="str">
            <v>9BM958034EB913111</v>
          </cell>
          <cell r="X393">
            <v>2014</v>
          </cell>
          <cell r="Y393">
            <v>12</v>
          </cell>
          <cell r="BZ393" t="str">
            <v>CMQ_TTE - QUILMES TTE</v>
          </cell>
          <cell r="CA393" t="str">
            <v>CMQ_TTE - QUILMES TTE</v>
          </cell>
          <cell r="CB393" t="str">
            <v>CMQ_TTE - QUILMES TTE</v>
          </cell>
          <cell r="CC393" t="str">
            <v>CMQ_TTE - QUILMES TTE</v>
          </cell>
          <cell r="CD393" t="str">
            <v>CMQ_TTE - QUILMES TTE</v>
          </cell>
          <cell r="CE393" t="str">
            <v>CMQ_TTE - QUILMES TTE</v>
          </cell>
          <cell r="CF393" t="str">
            <v>CMQ_TTE - QUILMES TTE</v>
          </cell>
          <cell r="CG393" t="str">
            <v>CMQ_TTE - QUILMES TTE</v>
          </cell>
          <cell r="CH393" t="str">
            <v>CMQ_TTE - QUILMES TTE</v>
          </cell>
          <cell r="CI393" t="str">
            <v>CMQ_TTE - QUILMES TTE</v>
          </cell>
          <cell r="CJ393" t="str">
            <v>CMQ_TTE - QUILMES TTE</v>
          </cell>
          <cell r="CK393" t="str">
            <v>CMQ_TTE - QUILMES TTE</v>
          </cell>
          <cell r="CL393" t="str">
            <v>CMQ_TTE - QUILMES TTE</v>
          </cell>
          <cell r="CM393" t="str">
            <v>CMQ_TTE - QUILMES TTE</v>
          </cell>
          <cell r="CN393" t="str">
            <v>CMQ_TTE - QUILMES TTE</v>
          </cell>
          <cell r="CO393" t="str">
            <v>CMQ_TTE - QUILMES TTE</v>
          </cell>
          <cell r="CP393" t="str">
            <v>CMQ_TTE - QUILMES TTE</v>
          </cell>
          <cell r="CQ393" t="str">
            <v>CMQ_TTE - QUILMES TTE</v>
          </cell>
          <cell r="CR393" t="str">
            <v>CMQ_TTE - QUILMES TTE</v>
          </cell>
          <cell r="CS393" t="str">
            <v>CMQ_TTE - QUILMES TTE</v>
          </cell>
          <cell r="CT393" t="str">
            <v>CMQ_TTE - QUILMES TTE</v>
          </cell>
          <cell r="CU393" t="str">
            <v>CMQ_TTE - QUILMES TTE</v>
          </cell>
          <cell r="CV393" t="str">
            <v>CMQ_TTE - QUILMES TTE</v>
          </cell>
          <cell r="CW393" t="str">
            <v>CMQ_TTE - QUILMES TTE</v>
          </cell>
        </row>
        <row r="394">
          <cell r="D394" t="str">
            <v>OFV178</v>
          </cell>
          <cell r="E394" t="str">
            <v>Semiremolque</v>
          </cell>
          <cell r="F394" t="str">
            <v>Semiremolque</v>
          </cell>
          <cell r="G394" t="str">
            <v>Semiremolque Sider 14,5m 28P</v>
          </cell>
          <cell r="N394" t="str">
            <v>CODYLSA</v>
          </cell>
          <cell r="O394" t="str">
            <v>CODYLSA</v>
          </cell>
          <cell r="P394" t="str">
            <v>No</v>
          </cell>
          <cell r="Q394" t="str">
            <v>Propio</v>
          </cell>
          <cell r="R394">
            <v>28</v>
          </cell>
          <cell r="S394" t="str">
            <v>Propio</v>
          </cell>
          <cell r="T394" t="str">
            <v>SOLA Y BRUSA</v>
          </cell>
          <cell r="U394" t="str">
            <v>32-CORT. LAT. 3 EJES-1</v>
          </cell>
          <cell r="V394">
            <v>0</v>
          </cell>
          <cell r="W394" t="str">
            <v>8BAG1453GE1000389</v>
          </cell>
          <cell r="X394">
            <v>2014</v>
          </cell>
          <cell r="Y394">
            <v>12</v>
          </cell>
          <cell r="Z394" t="str">
            <v>Morixe</v>
          </cell>
          <cell r="AA394" t="str">
            <v>MORIXE - MORIXE HERMANOS SACEI</v>
          </cell>
          <cell r="AB394" t="str">
            <v>MORIXE - MORIXE HERMANOS SACEI</v>
          </cell>
          <cell r="AC394" t="str">
            <v>MORIXE - MORIXE HERMANOS SACEI</v>
          </cell>
          <cell r="AD394" t="str">
            <v>MORIXE - MORIXE HERMANOS SACEI</v>
          </cell>
          <cell r="AE394" t="str">
            <v>MORIXE - MORIXE HERMANOS SACEI</v>
          </cell>
          <cell r="AF394" t="str">
            <v>MORIXE - MORIXE HERMANOS SACEI</v>
          </cell>
          <cell r="AG394" t="str">
            <v>MORIXE - MORIXE HERMANOS SACEI</v>
          </cell>
          <cell r="AH394" t="str">
            <v>MORIXE - MORIXE HERMANOS SACEI</v>
          </cell>
          <cell r="AI394" t="str">
            <v>MORIXE - MORIXE HERMANOS SACEI</v>
          </cell>
          <cell r="AJ394" t="str">
            <v>MORIXE - MORIXE HERMANOS SACEI</v>
          </cell>
          <cell r="AK394" t="str">
            <v>Papelera - Papelera del Plata S.A.</v>
          </cell>
          <cell r="AL394" t="str">
            <v>JOHNSON - SC JOHNSON DE ARGENTINA SAIC</v>
          </cell>
          <cell r="AM394" t="str">
            <v>Papelera - Papelera del Plata S.A.</v>
          </cell>
          <cell r="AN394" t="str">
            <v xml:space="preserve">Carrefour </v>
          </cell>
          <cell r="AO394" t="str">
            <v xml:space="preserve">Carrefour </v>
          </cell>
          <cell r="AP394" t="str">
            <v xml:space="preserve">Carrefour </v>
          </cell>
          <cell r="AQ394" t="str">
            <v xml:space="preserve">Carrefour </v>
          </cell>
          <cell r="AR394" t="str">
            <v xml:space="preserve">Carrefour </v>
          </cell>
          <cell r="AS394" t="str">
            <v xml:space="preserve">Carrefour </v>
          </cell>
          <cell r="AT394" t="str">
            <v xml:space="preserve">Carrefour </v>
          </cell>
          <cell r="AU394" t="str">
            <v>JOHNSON - SC JOHNSON DE ARGENTINA SAIC</v>
          </cell>
          <cell r="AV394" t="str">
            <v>JOHNSON - SC JOHNSON DE ARGENTINA SAIC</v>
          </cell>
          <cell r="AW394" t="str">
            <v>JOHNSON - SC JOHNSON DE ARGENTINA SAIC</v>
          </cell>
          <cell r="AX394" t="str">
            <v>JOHNSON - SC JOHNSON DE ARGENTINA SAIC</v>
          </cell>
          <cell r="AY394" t="str">
            <v>JOHNSON - SC JOHNSON DE ARGENTINA SAIC</v>
          </cell>
          <cell r="AZ394" t="str">
            <v>JOHNSON - SC JOHNSON DE ARGENTINA SAIC</v>
          </cell>
          <cell r="BA394" t="str">
            <v>JOHNSON - SC JOHNSON DE ARGENTINA SAIC</v>
          </cell>
          <cell r="BB394" t="str">
            <v>JOHNSON - SC JOHNSON DE ARGENTINA SAIC</v>
          </cell>
          <cell r="BC394" t="str">
            <v>JOHNSON - SC JOHNSON DE ARGENTINA SAIC</v>
          </cell>
          <cell r="BD394" t="str">
            <v>JOHNSON - SC JOHNSON DE ARGENTINA SAIC</v>
          </cell>
          <cell r="BE394" t="str">
            <v>JOHNSON - SC JOHNSON DE ARGENTINA SAIC</v>
          </cell>
          <cell r="BF394" t="str">
            <v>JOHNSON - SC JOHNSON DE ARGENTINA SAIC</v>
          </cell>
          <cell r="BG394" t="str">
            <v>JOHNSON - SC JOHNSON DE ARGENTINA SAIC</v>
          </cell>
          <cell r="BH394" t="str">
            <v>JOHNSON - SC JOHNSON DE ARGENTINA SAIC</v>
          </cell>
          <cell r="BI394" t="str">
            <v>JOHNSON - SC JOHNSON DE ARGENTINA SAIC</v>
          </cell>
          <cell r="BJ394" t="str">
            <v>JOHNSON - SC JOHNSON DE ARGENTINA SAIC</v>
          </cell>
          <cell r="BK394" t="str">
            <v>JOHNSON - SC JOHNSON DE ARGENTINA SAIC</v>
          </cell>
          <cell r="BL394" t="str">
            <v>JOHNSON - SC JOHNSON DE ARGENTINA SAIC</v>
          </cell>
          <cell r="BM394" t="str">
            <v>JOHNSON - SC JOHNSON DE ARGENTINA SAIC</v>
          </cell>
          <cell r="BN394" t="str">
            <v>JOHNSON - SC JOHNSON DE ARGENTINA SAIC</v>
          </cell>
          <cell r="BO394" t="str">
            <v>JOHNSON - SC JOHNSON DE ARGENTINA SAIC</v>
          </cell>
          <cell r="BP394" t="str">
            <v>JOHNSON - SC JOHNSON DE ARGENTINA SAIC</v>
          </cell>
          <cell r="BQ394" t="str">
            <v>Unilever - Unilever de Arg. S.A.</v>
          </cell>
          <cell r="BR394" t="str">
            <v>Unilever - Unilever de Arg. S.A.</v>
          </cell>
          <cell r="BS394" t="str">
            <v>Unilever - Unilever de Arg. S.A.</v>
          </cell>
          <cell r="BT394" t="str">
            <v>Unilever - Unilever de Arg. S.A.</v>
          </cell>
          <cell r="BU394" t="str">
            <v>Unilever - Unilever de Arg. S.A.</v>
          </cell>
          <cell r="BV394" t="str">
            <v>Unilever - Unilever de Arg. S.A.</v>
          </cell>
          <cell r="BW394" t="str">
            <v>Unilever - Unilever de Arg. S.A.</v>
          </cell>
          <cell r="BX394" t="str">
            <v>Unilever - Unilever de Arg. S.A.</v>
          </cell>
          <cell r="BY394" t="str">
            <v>Unilever - Unilever de Arg. S.A.</v>
          </cell>
          <cell r="BZ394" t="str">
            <v>JOHNSON - SC JOHNSON DE ARGENTINA SAIC</v>
          </cell>
          <cell r="CA394" t="str">
            <v>JOHNSON - SC JOHNSON DE ARGENTINA SAIC</v>
          </cell>
          <cell r="CB394" t="str">
            <v>JOHNSON - SC JOHNSON DE ARGENTINA SAIC</v>
          </cell>
          <cell r="CC394" t="str">
            <v>JOHNSON - SC JOHNSON DE ARGENTINA SAIC</v>
          </cell>
          <cell r="CD394" t="str">
            <v>JOHNSON - SC JOHNSON DE ARGENTINA SAIC</v>
          </cell>
          <cell r="CE394" t="str">
            <v>JOHNSON - SC JOHNSON DE ARGENTINA SAIC</v>
          </cell>
          <cell r="CF394" t="str">
            <v>JOHNSON - SC JOHNSON DE ARGENTINA SAIC</v>
          </cell>
          <cell r="CG394" t="str">
            <v>JOHNSON - SC JOHNSON DE ARGENTINA SAIC</v>
          </cell>
          <cell r="CH394" t="str">
            <v>JOHNSON - SC JOHNSON DE ARGENTINA SAIC</v>
          </cell>
          <cell r="CI394" t="str">
            <v>JOHNSON - SC JOHNSON DE ARGENTINA SAIC</v>
          </cell>
          <cell r="CJ394" t="str">
            <v>JOHNSON - SC JOHNSON DE ARGENTINA SAIC</v>
          </cell>
          <cell r="CK394" t="str">
            <v>JOHNSON - SC JOHNSON DE ARGENTINA SAIC</v>
          </cell>
          <cell r="CL394" t="str">
            <v>JOHNSON - SC JOHNSON DE ARGENTINA SAIC</v>
          </cell>
          <cell r="CM394" t="str">
            <v>JOHNSON - SC JOHNSON DE ARGENTINA SAIC</v>
          </cell>
          <cell r="CN394" t="str">
            <v>JOHNSON - SC JOHNSON DE ARGENTINA SAIC</v>
          </cell>
          <cell r="CO394" t="str">
            <v>JOHNSON - SC JOHNSON DE ARGENTINA SAIC</v>
          </cell>
          <cell r="CP394" t="str">
            <v>Arcor S.A.I.C.</v>
          </cell>
          <cell r="CQ394" t="str">
            <v>Arcor S.A.I.C.</v>
          </cell>
          <cell r="CR394" t="str">
            <v>Arcor S.A.I.C.</v>
          </cell>
          <cell r="CS394" t="str">
            <v>Arcor S.A.I.C.</v>
          </cell>
          <cell r="CT394" t="str">
            <v>Arcor S.A.I.C.</v>
          </cell>
          <cell r="CU394" t="str">
            <v>Arcor S.A.I.C.</v>
          </cell>
          <cell r="CV394" t="str">
            <v>Arcor S.A.I.C.</v>
          </cell>
          <cell r="CW394" t="str">
            <v>Arcor S.A.I.C.</v>
          </cell>
        </row>
        <row r="395">
          <cell r="D395" t="str">
            <v>OFV179</v>
          </cell>
          <cell r="E395" t="str">
            <v>Semiremolque</v>
          </cell>
          <cell r="F395" t="str">
            <v>Semiremolque</v>
          </cell>
          <cell r="G395" t="str">
            <v>Semiremolque Sider 14,5m 28P</v>
          </cell>
          <cell r="N395" t="str">
            <v>CODYLSA</v>
          </cell>
          <cell r="O395" t="str">
            <v>CODYLSA</v>
          </cell>
          <cell r="P395" t="str">
            <v>No</v>
          </cell>
          <cell r="Q395" t="str">
            <v>Propio</v>
          </cell>
          <cell r="R395">
            <v>28</v>
          </cell>
          <cell r="S395" t="str">
            <v>Propio</v>
          </cell>
          <cell r="T395" t="str">
            <v>SOLA Y BRUSA</v>
          </cell>
          <cell r="U395" t="str">
            <v>32-CORT. LAT. 3 EJES-1</v>
          </cell>
          <cell r="V395">
            <v>0</v>
          </cell>
          <cell r="W395" t="str">
            <v>8BAG1453GE1000390</v>
          </cell>
          <cell r="X395">
            <v>2014</v>
          </cell>
          <cell r="Y395">
            <v>12</v>
          </cell>
          <cell r="Z395" t="str">
            <v>Malargue</v>
          </cell>
          <cell r="AA395" t="str">
            <v>Expreso - Servicios Troncales</v>
          </cell>
          <cell r="AB395" t="str">
            <v>Expreso - Servicios Troncales</v>
          </cell>
          <cell r="AC395" t="str">
            <v>Expreso - Servicios Troncales</v>
          </cell>
          <cell r="AD395" t="str">
            <v>Expreso - Servicios Troncales</v>
          </cell>
          <cell r="AE395" t="str">
            <v>Expreso - Servicios Troncales</v>
          </cell>
          <cell r="AF395" t="str">
            <v>Expreso - Servicios Troncales</v>
          </cell>
          <cell r="AG395" t="str">
            <v>JOHNSON - SC JOHNSON DE ARGENTINA SAIC</v>
          </cell>
          <cell r="AH395" t="str">
            <v>JOHNSON - SC JOHNSON DE ARGENTINA SAIC</v>
          </cell>
          <cell r="AI395" t="str">
            <v>JOHNSON - SC JOHNSON DE ARGENTINA SAIC</v>
          </cell>
          <cell r="AJ395" t="str">
            <v>JOHNSON - SC JOHNSON DE ARGENTINA SAIC</v>
          </cell>
          <cell r="AK395" t="str">
            <v>Papelera - Papelera del Plata S.A.</v>
          </cell>
          <cell r="AL395" t="str">
            <v>JOHNSON - SC JOHNSON DE ARGENTINA SAIC</v>
          </cell>
          <cell r="AM395" t="str">
            <v xml:space="preserve">Carrefour </v>
          </cell>
          <cell r="AN395" t="str">
            <v xml:space="preserve">Carrefour </v>
          </cell>
          <cell r="AO395" t="str">
            <v>Expreso - Servicios Troncales</v>
          </cell>
          <cell r="AP395" t="str">
            <v>Expreso - Servicios Troncales</v>
          </cell>
          <cell r="AQ395" t="str">
            <v>Expreso - Servicios Troncales</v>
          </cell>
          <cell r="AR395" t="str">
            <v>Expreso - Servicios Troncales</v>
          </cell>
          <cell r="AS395" t="str">
            <v>Expreso - Servicios Troncales</v>
          </cell>
          <cell r="AT395" t="str">
            <v>Expreso - Servicios Troncales</v>
          </cell>
          <cell r="AU395" t="str">
            <v>Expreso - Servicios Troncales</v>
          </cell>
          <cell r="AV395" t="str">
            <v>Expreso - Servicios Troncales</v>
          </cell>
          <cell r="AW395" t="str">
            <v>Expreso - Servicios Troncales</v>
          </cell>
          <cell r="AX395" t="str">
            <v>Expreso - Servicios Troncales</v>
          </cell>
          <cell r="AY395" t="str">
            <v>Expreso - Servicios Troncales</v>
          </cell>
          <cell r="AZ395" t="str">
            <v>Expreso - Servicios Troncales</v>
          </cell>
          <cell r="BA395" t="str">
            <v>Expreso - Servicios Troncales</v>
          </cell>
          <cell r="BB395" t="str">
            <v>Expreso - Servicios Troncales</v>
          </cell>
          <cell r="BC395" t="str">
            <v>Expreso - Servicios Troncales</v>
          </cell>
          <cell r="BD395" t="str">
            <v>Expreso - Servicios Troncales</v>
          </cell>
          <cell r="BE395" t="str">
            <v>Expreso - Servicios Troncales</v>
          </cell>
          <cell r="BF395" t="str">
            <v>Expreso - Servicios Troncales</v>
          </cell>
          <cell r="BG395" t="str">
            <v>Expreso - Servicios Troncales</v>
          </cell>
          <cell r="BH395" t="str">
            <v>Expreso - Servicios Troncales</v>
          </cell>
          <cell r="BI395" t="str">
            <v>Expreso - Servicios Troncales</v>
          </cell>
          <cell r="BJ395" t="str">
            <v>Expreso - Servicios Troncales</v>
          </cell>
          <cell r="BK395" t="str">
            <v>Expreso - Servicios Troncales</v>
          </cell>
          <cell r="BL395" t="str">
            <v>Expreso - Servicios Troncales</v>
          </cell>
          <cell r="BM395" t="str">
            <v>Expreso - Servicios Troncales</v>
          </cell>
          <cell r="BN395" t="str">
            <v>Expreso - Servicios Troncales</v>
          </cell>
          <cell r="BO395" t="str">
            <v>Expreso - Servicios Troncales</v>
          </cell>
          <cell r="BP395" t="str">
            <v>Expreso - Servicios Troncales</v>
          </cell>
          <cell r="BQ395" t="str">
            <v>Expreso - Servicios Troncales</v>
          </cell>
          <cell r="BR395" t="str">
            <v>Expreso - Servicios Troncales</v>
          </cell>
          <cell r="BS395" t="str">
            <v>Expreso - Servicios Troncales</v>
          </cell>
          <cell r="BT395" t="str">
            <v>Expreso - Servicios Troncales</v>
          </cell>
          <cell r="BU395" t="str">
            <v>Expreso - Servicios Troncales</v>
          </cell>
          <cell r="BV395" t="str">
            <v>Expreso - Servicios Troncales</v>
          </cell>
          <cell r="BW395" t="str">
            <v>Expreso - Servicios Troncales</v>
          </cell>
          <cell r="BX395" t="str">
            <v>Expreso - Servicios Troncales</v>
          </cell>
          <cell r="BY395" t="str">
            <v>Expreso - Servicios Troncales</v>
          </cell>
          <cell r="BZ395" t="str">
            <v>Expreso - Servicios Troncales</v>
          </cell>
          <cell r="CA395" t="str">
            <v>Expreso - Servicios Troncales</v>
          </cell>
          <cell r="CB395" t="str">
            <v>Expreso - Servicios Troncales</v>
          </cell>
          <cell r="CC395" t="str">
            <v>Expreso - Servicios Troncales</v>
          </cell>
          <cell r="CD395" t="str">
            <v>Expreso - Servicios Troncales</v>
          </cell>
          <cell r="CE395" t="str">
            <v>Unilever - Unilever de Arg. S.A.</v>
          </cell>
          <cell r="CF395" t="str">
            <v>Unilever - Unilever de Arg. S.A.</v>
          </cell>
          <cell r="CG395" t="str">
            <v>Unilever - Unilever de Arg. S.A.</v>
          </cell>
          <cell r="CH395" t="str">
            <v>JOHNSON - SC JOHNSON DE ARGENTINA SAIC</v>
          </cell>
          <cell r="CI395" t="str">
            <v>JOHNSON - SC JOHNSON DE ARGENTINA SAIC</v>
          </cell>
          <cell r="CJ395" t="str">
            <v>Unilever - Unilever de Arg. S.A.</v>
          </cell>
          <cell r="CK395" t="str">
            <v>Unilever - Unilever de Arg. S.A.</v>
          </cell>
          <cell r="CL395" t="str">
            <v>Unilever - Unilever de Arg. S.A.</v>
          </cell>
          <cell r="CM395" t="str">
            <v>Unilever - Unilever de Arg. S.A.</v>
          </cell>
          <cell r="CN395" t="str">
            <v>Unilever - Unilever de Arg. S.A.</v>
          </cell>
          <cell r="CO395" t="str">
            <v>Unilever - Unilever de Arg. S.A.</v>
          </cell>
          <cell r="CP395" t="str">
            <v>Unilever - Unilever de Arg. S.A.</v>
          </cell>
          <cell r="CQ395" t="str">
            <v>Unilever - Unilever de Arg. S.A.</v>
          </cell>
          <cell r="CR395" t="str">
            <v>Arcor S.A.I.C.</v>
          </cell>
          <cell r="CS395" t="str">
            <v>Arcor S.A.I.C.</v>
          </cell>
          <cell r="CT395" t="str">
            <v>Arcor S.A.I.C.</v>
          </cell>
          <cell r="CU395" t="str">
            <v>Arcor S.A.I.C.</v>
          </cell>
          <cell r="CV395" t="str">
            <v>Arcor S.A.I.C.</v>
          </cell>
          <cell r="CW395" t="str">
            <v>Arcor S.A.I.C.</v>
          </cell>
        </row>
        <row r="396">
          <cell r="D396" t="str">
            <v>OFZ590</v>
          </cell>
          <cell r="E396" t="str">
            <v>Semiremolque</v>
          </cell>
          <cell r="F396" t="str">
            <v>Semiremolque</v>
          </cell>
          <cell r="G396" t="str">
            <v>Semiremolque Sider 14,5m 28P</v>
          </cell>
          <cell r="N396" t="str">
            <v>CODYLSA</v>
          </cell>
          <cell r="O396" t="str">
            <v>CODYLSA</v>
          </cell>
          <cell r="P396" t="str">
            <v>No</v>
          </cell>
          <cell r="Q396" t="str">
            <v>Propio</v>
          </cell>
          <cell r="R396">
            <v>28</v>
          </cell>
          <cell r="S396" t="str">
            <v>Propio</v>
          </cell>
          <cell r="T396" t="str">
            <v>SOLA Y BRUSA</v>
          </cell>
          <cell r="U396" t="str">
            <v>32-CORT. LAT. 3 EJES-1</v>
          </cell>
          <cell r="V396">
            <v>0</v>
          </cell>
          <cell r="W396" t="str">
            <v>8BAG1453GE1000396</v>
          </cell>
          <cell r="X396">
            <v>2014</v>
          </cell>
          <cell r="Y396">
            <v>12</v>
          </cell>
          <cell r="Z396" t="str">
            <v>Malargue</v>
          </cell>
          <cell r="AA396" t="str">
            <v>Expreso - Servicios Troncales</v>
          </cell>
          <cell r="AB396" t="str">
            <v>Expreso - Servicios Troncales</v>
          </cell>
          <cell r="AC396" t="str">
            <v>Expreso - Servicios Troncales</v>
          </cell>
          <cell r="AD396" t="str">
            <v>Expreso - Servicios Troncales</v>
          </cell>
          <cell r="AE396" t="str">
            <v>Expreso - Servicios Troncales</v>
          </cell>
          <cell r="AF396" t="str">
            <v>Expreso - Servicios Troncales</v>
          </cell>
          <cell r="AG396" t="str">
            <v>JOHNSON - SC JOHNSON DE ARGENTINA SAIC</v>
          </cell>
          <cell r="AH396" t="str">
            <v>JOHNSON - SC JOHNSON DE ARGENTINA SAIC</v>
          </cell>
          <cell r="AI396" t="str">
            <v>JOHNSON - SC JOHNSON DE ARGENTINA SAIC</v>
          </cell>
          <cell r="AJ396" t="str">
            <v>Expreso - Servicios Troncales</v>
          </cell>
          <cell r="AK396" t="str">
            <v>Expreso - Servicios Troncales</v>
          </cell>
          <cell r="AL396" t="str">
            <v>Expreso - Servicios Troncales</v>
          </cell>
          <cell r="AM396" t="str">
            <v>Expreso - Servicios Troncales</v>
          </cell>
          <cell r="AN396" t="str">
            <v>Expreso - Servicios Troncales</v>
          </cell>
          <cell r="AO396" t="str">
            <v>Expreso - Servicios Troncales</v>
          </cell>
          <cell r="AP396" t="str">
            <v>Expreso - Servicios Troncales</v>
          </cell>
          <cell r="AQ396" t="str">
            <v>Expreso - Servicios Troncales</v>
          </cell>
          <cell r="AR396" t="str">
            <v>Expreso - Servicios Troncales</v>
          </cell>
          <cell r="AS396" t="str">
            <v>Expreso - Servicios Troncales</v>
          </cell>
          <cell r="AT396" t="str">
            <v>Expreso - Servicios Troncales</v>
          </cell>
          <cell r="AU396" t="str">
            <v>Expreso - Servicios Troncales</v>
          </cell>
          <cell r="AV396" t="str">
            <v>Expreso - Servicios Troncales</v>
          </cell>
          <cell r="AW396" t="str">
            <v>Expreso - Servicios Troncales</v>
          </cell>
          <cell r="AX396" t="str">
            <v>Expreso - Servicios Troncales</v>
          </cell>
          <cell r="AY396" t="str">
            <v>Expreso - Servicios Troncales</v>
          </cell>
          <cell r="AZ396" t="str">
            <v>Expreso - Servicios Troncales</v>
          </cell>
          <cell r="BA396" t="str">
            <v>Expreso - Servicios Troncales</v>
          </cell>
          <cell r="BB396" t="str">
            <v>Expreso - Servicios Troncales</v>
          </cell>
          <cell r="BC396" t="str">
            <v>Expreso - Servicios Troncales</v>
          </cell>
          <cell r="BD396" t="str">
            <v>Expreso - Servicios Troncales</v>
          </cell>
          <cell r="BE396" t="str">
            <v>Expreso - Servicios Troncales</v>
          </cell>
          <cell r="BF396" t="str">
            <v>Expreso - Servicios Troncales</v>
          </cell>
          <cell r="BG396" t="str">
            <v>Expreso - Servicios Troncales</v>
          </cell>
          <cell r="BH396" t="str">
            <v>Expreso - Servicios Troncales</v>
          </cell>
          <cell r="BI396" t="str">
            <v>Expreso - Servicios Troncales</v>
          </cell>
          <cell r="BJ396" t="str">
            <v>Expreso - Servicios Troncales</v>
          </cell>
          <cell r="BK396" t="str">
            <v>Expreso - Servicios Troncales</v>
          </cell>
          <cell r="BL396" t="str">
            <v>Expreso - Servicios Troncales</v>
          </cell>
          <cell r="BM396" t="str">
            <v>Expreso - Servicios Troncales</v>
          </cell>
          <cell r="BN396" t="str">
            <v>Expreso - Servicios Troncales</v>
          </cell>
          <cell r="BO396" t="str">
            <v>Expreso - Servicios Troncales</v>
          </cell>
          <cell r="BP396" t="str">
            <v>Expreso - Servicios Troncales</v>
          </cell>
          <cell r="BQ396" t="str">
            <v>Expreso - Servicios Troncales</v>
          </cell>
          <cell r="BR396" t="str">
            <v>Expreso - Servicios Troncales</v>
          </cell>
          <cell r="BS396" t="str">
            <v>Expreso - Servicios Troncales</v>
          </cell>
          <cell r="BT396" t="str">
            <v>Expreso - Servicios Troncales</v>
          </cell>
          <cell r="BU396" t="str">
            <v>Expreso - Servicios Troncales</v>
          </cell>
          <cell r="BV396" t="str">
            <v>Expreso - Servicios Troncales</v>
          </cell>
          <cell r="BW396" t="str">
            <v>Expreso - Servicios Troncales</v>
          </cell>
          <cell r="BX396" t="str">
            <v>Expreso - Servicios Troncales</v>
          </cell>
          <cell r="BY396" t="str">
            <v>Expreso - Servicios Troncales</v>
          </cell>
          <cell r="BZ396" t="str">
            <v>Expreso - Servicios Troncales</v>
          </cell>
          <cell r="CA396" t="str">
            <v>Expreso - Servicios Troncales</v>
          </cell>
          <cell r="CB396" t="str">
            <v>Expreso - Servicios Troncales</v>
          </cell>
          <cell r="CC396" t="str">
            <v>Expreso - Servicios Troncales</v>
          </cell>
          <cell r="CD396" t="str">
            <v>Expreso - Servicios Troncales</v>
          </cell>
          <cell r="CE396" t="str">
            <v>JOHNSON - SC JOHNSON DE ARGENTINA SAIC</v>
          </cell>
          <cell r="CF396" t="str">
            <v>JOHNSON - SC JOHNSON DE ARGENTINA SAIC</v>
          </cell>
          <cell r="CG396" t="str">
            <v>JOHNSON - SC JOHNSON DE ARGENTINA SAIC</v>
          </cell>
          <cell r="CH396" t="str">
            <v>LOGIS</v>
          </cell>
          <cell r="CI396" t="str">
            <v>LOGIS</v>
          </cell>
          <cell r="CJ396" t="str">
            <v>JOHNSON - SC JOHNSON DE ARGENTINA SAIC</v>
          </cell>
          <cell r="CK396" t="str">
            <v>JOHNSON - SC JOHNSON DE ARGENTINA SAIC</v>
          </cell>
          <cell r="CL396" t="str">
            <v>JOHNSON - SC JOHNSON DE ARGENTINA SAIC</v>
          </cell>
          <cell r="CM396" t="str">
            <v>Unilever - Unilever de Arg. S.A.</v>
          </cell>
          <cell r="CN396" t="str">
            <v>Unilever - Unilever de Arg. S.A.</v>
          </cell>
          <cell r="CO396" t="str">
            <v>Unilever - Unilever de Arg. S.A.</v>
          </cell>
          <cell r="CP396" t="str">
            <v>JOHNSON - SC JOHNSON DE ARGENTINA SAIC</v>
          </cell>
          <cell r="CQ396" t="str">
            <v>JOHNSON - SC JOHNSON DE ARGENTINA SAIC</v>
          </cell>
          <cell r="CR396" t="str">
            <v>JOHNSON - SC JOHNSON DE ARGENTINA SAIC</v>
          </cell>
          <cell r="CS396" t="str">
            <v>JOHNSON - SC JOHNSON DE ARGENTINA SAIC</v>
          </cell>
          <cell r="CT396" t="str">
            <v>JOHNSON - SC JOHNSON DE ARGENTINA SAIC</v>
          </cell>
          <cell r="CU396" t="str">
            <v>JOHNSON - SC JOHNSON DE ARGENTINA SAIC</v>
          </cell>
          <cell r="CV396" t="str">
            <v>JOHNSON - SC JOHNSON DE ARGENTINA SAIC</v>
          </cell>
          <cell r="CW396" t="str">
            <v>JOHNSON - SC JOHNSON DE ARGENTINA SAIC</v>
          </cell>
        </row>
        <row r="397">
          <cell r="D397" t="str">
            <v>OFZ591</v>
          </cell>
          <cell r="E397" t="str">
            <v>Semiremolque</v>
          </cell>
          <cell r="F397" t="str">
            <v>Semiremolque</v>
          </cell>
          <cell r="G397" t="str">
            <v>Semiremolque Sider 14,5m 28P</v>
          </cell>
          <cell r="N397" t="str">
            <v>CODYLSA</v>
          </cell>
          <cell r="O397" t="str">
            <v>CODYLSA</v>
          </cell>
          <cell r="P397" t="str">
            <v>No</v>
          </cell>
          <cell r="Q397" t="str">
            <v>Propio</v>
          </cell>
          <cell r="R397">
            <v>28</v>
          </cell>
          <cell r="S397" t="str">
            <v>Propio</v>
          </cell>
          <cell r="T397" t="str">
            <v>SOLA Y BRUSA</v>
          </cell>
          <cell r="U397" t="str">
            <v>32-CORT. LAT. 3 EJES-1</v>
          </cell>
          <cell r="V397">
            <v>0</v>
          </cell>
          <cell r="W397" t="str">
            <v>8BAG1453GE1000397</v>
          </cell>
          <cell r="X397">
            <v>2014</v>
          </cell>
          <cell r="Y397">
            <v>12</v>
          </cell>
          <cell r="Z397" t="str">
            <v>Morixe</v>
          </cell>
          <cell r="AA397" t="str">
            <v>MORIXE - MORIXE HERMANOS SACEI</v>
          </cell>
          <cell r="AB397" t="str">
            <v>MORIXE - MORIXE HERMANOS SACEI</v>
          </cell>
          <cell r="AC397" t="str">
            <v>MORIXE - MORIXE HERMANOS SACEI</v>
          </cell>
          <cell r="AD397" t="str">
            <v>MORIXE - MORIXE HERMANOS SACEI</v>
          </cell>
          <cell r="AE397" t="str">
            <v>MORIXE - MORIXE HERMANOS SACEI</v>
          </cell>
          <cell r="AF397" t="str">
            <v>MORIXE - MORIXE HERMANOS SACEI</v>
          </cell>
          <cell r="AG397" t="str">
            <v>MORIXE - MORIXE HERMANOS SACEI</v>
          </cell>
          <cell r="AH397" t="str">
            <v>MORIXE - MORIXE HERMANOS SACEI</v>
          </cell>
          <cell r="AI397" t="str">
            <v>MORIXE - MORIXE HERMANOS SACEI</v>
          </cell>
          <cell r="AJ397" t="str">
            <v>MORIXE - MORIXE HERMANOS SACEI</v>
          </cell>
          <cell r="AK397" t="str">
            <v>Papelera - Papelera del Plata S.A.</v>
          </cell>
          <cell r="AL397" t="str">
            <v>Papelera - Papelera del Plata S.A.</v>
          </cell>
          <cell r="AM397" t="str">
            <v xml:space="preserve">Carrefour </v>
          </cell>
          <cell r="AN397" t="str">
            <v xml:space="preserve">Carrefour </v>
          </cell>
          <cell r="AO397" t="str">
            <v>Papelera - Papelera del Plata S.A.</v>
          </cell>
          <cell r="AP397" t="str">
            <v>Papelera - Papelera del Plata S.A.</v>
          </cell>
          <cell r="AQ397" t="str">
            <v>Expreso - Servicios Troncales</v>
          </cell>
          <cell r="AR397" t="str">
            <v>Expreso - Servicios Troncales</v>
          </cell>
          <cell r="AS397" t="str">
            <v>Expreso - Servicios Troncales</v>
          </cell>
          <cell r="AT397" t="str">
            <v>Expreso - Servicios Troncales</v>
          </cell>
          <cell r="AU397" t="str">
            <v>Expreso - Servicios Troncales</v>
          </cell>
          <cell r="AV397" t="str">
            <v>Expreso - Servicios Troncales</v>
          </cell>
          <cell r="AW397" t="str">
            <v>Expreso - Servicios Troncales</v>
          </cell>
          <cell r="AX397" t="str">
            <v>Expreso - Servicios Troncales</v>
          </cell>
          <cell r="AY397" t="str">
            <v>Expreso - Servicios Troncales</v>
          </cell>
          <cell r="AZ397" t="str">
            <v>Expreso - Servicios Troncales</v>
          </cell>
          <cell r="BA397" t="str">
            <v>Expreso - Servicios Troncales</v>
          </cell>
          <cell r="BB397" t="str">
            <v>Expreso - Servicios Troncales</v>
          </cell>
          <cell r="BC397" t="str">
            <v>Expreso - Servicios Troncales</v>
          </cell>
          <cell r="BD397" t="str">
            <v>Expreso - Servicios Troncales</v>
          </cell>
          <cell r="BE397" t="str">
            <v>Unilever - Unilever de Arg. S.A.</v>
          </cell>
          <cell r="BF397" t="str">
            <v>Unilever - Unilever de Arg. S.A.</v>
          </cell>
          <cell r="BG397" t="str">
            <v>Unilever - Unilever de Arg. S.A.</v>
          </cell>
          <cell r="BH397" t="str">
            <v>Unilever - Unilever de Arg. S.A.</v>
          </cell>
          <cell r="BI397" t="str">
            <v>Unilever - Unilever de Arg. S.A.</v>
          </cell>
          <cell r="BJ397" t="str">
            <v>Unilever - Unilever de Arg. S.A.</v>
          </cell>
          <cell r="BK397" t="str">
            <v>Unilever - Unilever de Arg. S.A.</v>
          </cell>
          <cell r="BL397" t="str">
            <v>Unilever - Unilever de Arg. S.A.</v>
          </cell>
          <cell r="BM397" t="str">
            <v>Unilever - Unilever de Arg. S.A.</v>
          </cell>
          <cell r="BN397" t="str">
            <v>Unilever - Unilever de Arg. S.A.</v>
          </cell>
          <cell r="BO397" t="str">
            <v>Unilever - Unilever de Arg. S.A.</v>
          </cell>
          <cell r="BP397" t="str">
            <v>Unilever - Unilever de Arg. S.A.</v>
          </cell>
          <cell r="BQ397" t="str">
            <v>Unilever - Unilever de Arg. S.A.</v>
          </cell>
          <cell r="BR397" t="str">
            <v>Unilever - Unilever de Arg. S.A.</v>
          </cell>
          <cell r="BS397" t="str">
            <v>Unilever - Unilever de Arg. S.A.</v>
          </cell>
          <cell r="BT397" t="str">
            <v>Unilever - Unilever de Arg. S.A.</v>
          </cell>
          <cell r="BU397" t="str">
            <v>Unilever - Unilever de Arg. S.A.</v>
          </cell>
          <cell r="BV397" t="str">
            <v>JOHNSON - SC JOHNSON DE ARGENTINA SAIC</v>
          </cell>
          <cell r="BW397" t="str">
            <v>JOHNSON - SC JOHNSON DE ARGENTINA SAIC</v>
          </cell>
          <cell r="BX397" t="str">
            <v>JOHNSON - SC JOHNSON DE ARGENTINA SAIC</v>
          </cell>
          <cell r="BY397" t="str">
            <v>JOHNSON - SC JOHNSON DE ARGENTINA SAIC</v>
          </cell>
          <cell r="BZ397" t="str">
            <v>JOHNSON - SC JOHNSON DE ARGENTINA SAIC</v>
          </cell>
          <cell r="CA397" t="str">
            <v>JOHNSON - SC JOHNSON DE ARGENTINA SAIC</v>
          </cell>
          <cell r="CB397" t="str">
            <v>JOHNSON - SC JOHNSON DE ARGENTINA SAIC</v>
          </cell>
          <cell r="CC397" t="str">
            <v>JOHNSON - SC JOHNSON DE ARGENTINA SAIC</v>
          </cell>
          <cell r="CD397" t="str">
            <v>JOHNSON - SC JOHNSON DE ARGENTINA SAIC</v>
          </cell>
          <cell r="CE397" t="str">
            <v>Unilever - Unilever de Arg. S.A.</v>
          </cell>
          <cell r="CF397" t="str">
            <v>Unilever - Unilever de Arg. S.A.</v>
          </cell>
          <cell r="CG397" t="str">
            <v>Unilever - Unilever de Arg. S.A.</v>
          </cell>
          <cell r="CH397" t="str">
            <v>Unilever - Unilever de Arg. S.A.</v>
          </cell>
          <cell r="CI397" t="str">
            <v>Unilever - Unilever de Arg. S.A.</v>
          </cell>
          <cell r="CJ397" t="str">
            <v>Unilever - Unilever de Arg. S.A.</v>
          </cell>
          <cell r="CK397" t="str">
            <v>Unilever - Unilever de Arg. S.A.</v>
          </cell>
          <cell r="CL397" t="str">
            <v>Unilever - Unilever de Arg. S.A.</v>
          </cell>
          <cell r="CM397" t="str">
            <v>Unilever - Unilever de Arg. S.A.</v>
          </cell>
          <cell r="CN397" t="str">
            <v>Unilever - Unilever de Arg. S.A.</v>
          </cell>
          <cell r="CO397" t="str">
            <v>Unilever - Unilever de Arg. S.A.</v>
          </cell>
          <cell r="CP397" t="str">
            <v>Unilever - Unilever de Arg. S.A.</v>
          </cell>
          <cell r="CQ397" t="str">
            <v>Unilever - Unilever de Arg. S.A.</v>
          </cell>
          <cell r="CR397" t="str">
            <v>Arcor S.A.I.C.</v>
          </cell>
          <cell r="CS397" t="str">
            <v>Arcor S.A.I.C.</v>
          </cell>
          <cell r="CT397" t="str">
            <v>Arcor S.A.I.C.</v>
          </cell>
          <cell r="CU397" t="str">
            <v>Arcor S.A.I.C.</v>
          </cell>
          <cell r="CV397" t="str">
            <v>Arcor S.A.I.C.</v>
          </cell>
          <cell r="CW397" t="str">
            <v>Arcor S.A.I.C.</v>
          </cell>
        </row>
        <row r="398">
          <cell r="D398" t="str">
            <v>OFZ592</v>
          </cell>
          <cell r="E398" t="str">
            <v>Semiremolque</v>
          </cell>
          <cell r="F398" t="str">
            <v>Semiremolque</v>
          </cell>
          <cell r="G398" t="str">
            <v>Semiremolque Sider 14,5m 28P</v>
          </cell>
          <cell r="N398" t="str">
            <v>CODYLSA</v>
          </cell>
          <cell r="O398" t="str">
            <v>CODYLSA</v>
          </cell>
          <cell r="P398" t="str">
            <v>No</v>
          </cell>
          <cell r="Q398" t="str">
            <v>Propio</v>
          </cell>
          <cell r="R398">
            <v>28</v>
          </cell>
          <cell r="S398" t="str">
            <v>Propio</v>
          </cell>
          <cell r="T398" t="str">
            <v>SOLA Y BRUSA</v>
          </cell>
          <cell r="U398" t="str">
            <v>32-CORT. LAT. 3 EJES-1</v>
          </cell>
          <cell r="V398">
            <v>0</v>
          </cell>
          <cell r="W398" t="str">
            <v>8BAG1453GE1000398</v>
          </cell>
          <cell r="X398">
            <v>2014</v>
          </cell>
          <cell r="Y398">
            <v>12</v>
          </cell>
          <cell r="Z398" t="str">
            <v>Malargue</v>
          </cell>
          <cell r="AA398" t="str">
            <v>Expreso - Servicios Troncales</v>
          </cell>
          <cell r="AB398" t="str">
            <v>Expreso - Servicios Troncales</v>
          </cell>
          <cell r="AC398" t="str">
            <v>Expreso - Servicios Troncales</v>
          </cell>
          <cell r="AD398" t="str">
            <v>Expreso - Servicios Troncales</v>
          </cell>
          <cell r="AE398" t="str">
            <v>Expreso - Servicios Troncales</v>
          </cell>
          <cell r="AF398" t="str">
            <v>Expreso - Servicios Troncales</v>
          </cell>
          <cell r="AG398" t="str">
            <v>JOHNSON - SC JOHNSON DE ARGENTINA SAIC</v>
          </cell>
          <cell r="AH398" t="str">
            <v>JOHNSON - SC JOHNSON DE ARGENTINA SAIC</v>
          </cell>
          <cell r="AI398" t="str">
            <v>Expreso - Servicios Troncales</v>
          </cell>
          <cell r="AJ398" t="str">
            <v>Expreso - Servicios Troncales</v>
          </cell>
          <cell r="AK398" t="str">
            <v>Expreso - Servicios Troncales</v>
          </cell>
          <cell r="AL398" t="str">
            <v>Expreso - Servicios Troncales</v>
          </cell>
          <cell r="AM398" t="str">
            <v>Expreso - Servicios Troncales</v>
          </cell>
          <cell r="AN398" t="str">
            <v>Expreso - Servicios Troncales</v>
          </cell>
          <cell r="AO398" t="str">
            <v>Expreso - Servicios Troncales</v>
          </cell>
          <cell r="AP398" t="str">
            <v>Expreso - Servicios Troncales</v>
          </cell>
          <cell r="AQ398" t="str">
            <v>Expreso - Servicios Troncales</v>
          </cell>
          <cell r="AR398" t="str">
            <v>Expreso - Servicios Troncales</v>
          </cell>
          <cell r="AS398" t="str">
            <v>Expreso - Servicios Troncales</v>
          </cell>
          <cell r="AT398" t="str">
            <v>Expreso - Servicios Troncales</v>
          </cell>
          <cell r="AU398" t="str">
            <v>Expreso - Servicios Troncales</v>
          </cell>
          <cell r="AV398" t="str">
            <v>Expreso - Servicios Troncales</v>
          </cell>
          <cell r="AW398" t="str">
            <v>Expreso - Servicios Troncales</v>
          </cell>
          <cell r="AX398" t="str">
            <v>Expreso - Servicios Troncales</v>
          </cell>
          <cell r="AY398" t="str">
            <v>Expreso - Servicios Troncales</v>
          </cell>
          <cell r="AZ398" t="str">
            <v>Expreso - Servicios Troncales</v>
          </cell>
          <cell r="BA398" t="str">
            <v>Expreso - Servicios Troncales</v>
          </cell>
          <cell r="BB398" t="str">
            <v>Expreso - Servicios Troncales</v>
          </cell>
          <cell r="BC398" t="str">
            <v>Expreso - Servicios Troncales</v>
          </cell>
          <cell r="BD398" t="str">
            <v>Expreso - Servicios Troncales</v>
          </cell>
          <cell r="BE398" t="str">
            <v>Expreso - Servicios Troncales</v>
          </cell>
          <cell r="BF398" t="str">
            <v>Expreso - Servicios Troncales</v>
          </cell>
          <cell r="BG398" t="str">
            <v>Expreso - Servicios Troncales</v>
          </cell>
          <cell r="BH398" t="str">
            <v>Expreso - Servicios Troncales</v>
          </cell>
          <cell r="BI398" t="str">
            <v>Expreso - Servicios Troncales</v>
          </cell>
          <cell r="BJ398" t="str">
            <v>Expreso - Servicios Troncales</v>
          </cell>
          <cell r="BK398" t="str">
            <v>Expreso - Servicios Troncales</v>
          </cell>
          <cell r="BL398" t="str">
            <v>Expreso - Servicios Troncales</v>
          </cell>
          <cell r="BM398" t="str">
            <v>Expreso - Servicios Troncales</v>
          </cell>
          <cell r="BN398" t="str">
            <v>Expreso - Servicios Troncales</v>
          </cell>
          <cell r="BO398" t="str">
            <v>Expreso - Servicios Troncales</v>
          </cell>
          <cell r="BP398" t="str">
            <v>Expreso - Servicios Troncales</v>
          </cell>
          <cell r="BQ398" t="str">
            <v>Expreso - Servicios Troncales</v>
          </cell>
          <cell r="BR398" t="str">
            <v>Expreso - Servicios Troncales</v>
          </cell>
          <cell r="BS398" t="str">
            <v>Expreso - Servicios Troncales</v>
          </cell>
          <cell r="BT398" t="str">
            <v>Expreso - Servicios Troncales</v>
          </cell>
          <cell r="BU398" t="str">
            <v>Expreso - Servicios Troncales</v>
          </cell>
          <cell r="BV398" t="str">
            <v>Expreso - Servicios Troncales</v>
          </cell>
          <cell r="BW398" t="str">
            <v>Expreso - Servicios Troncales</v>
          </cell>
          <cell r="BX398" t="str">
            <v>Expreso - Servicios Troncales</v>
          </cell>
          <cell r="BY398" t="str">
            <v>Expreso - Servicios Troncales</v>
          </cell>
          <cell r="BZ398" t="str">
            <v>Expreso - Servicios Troncales</v>
          </cell>
          <cell r="CA398" t="str">
            <v>Expreso - Servicios Troncales</v>
          </cell>
          <cell r="CB398" t="str">
            <v>Expreso - Servicios Troncales</v>
          </cell>
          <cell r="CC398" t="str">
            <v>Expreso - Servicios Troncales</v>
          </cell>
          <cell r="CD398" t="str">
            <v>Expreso - Servicios Troncales</v>
          </cell>
          <cell r="CE398" t="str">
            <v>Expreso - Servicios Troncales</v>
          </cell>
          <cell r="CF398" t="str">
            <v>Expreso - Servicios Troncales</v>
          </cell>
          <cell r="CG398" t="str">
            <v>Expreso - Servicios Troncales</v>
          </cell>
          <cell r="CH398" t="str">
            <v>Expreso - Servicios Troncales</v>
          </cell>
          <cell r="CI398" t="str">
            <v>Expreso - Servicios Troncales</v>
          </cell>
          <cell r="CJ398" t="str">
            <v>Expreso - Servicios Troncales</v>
          </cell>
          <cell r="CK398" t="str">
            <v>Expreso - Servicios Troncales</v>
          </cell>
          <cell r="CL398" t="str">
            <v>Expreso - Servicios Troncales</v>
          </cell>
          <cell r="CM398" t="str">
            <v>Expreso - Servicios Troncales</v>
          </cell>
          <cell r="CN398" t="str">
            <v>Expreso - Servicios Troncales</v>
          </cell>
          <cell r="CO398" t="str">
            <v>Expreso - Servicios Troncales</v>
          </cell>
          <cell r="CP398" t="str">
            <v>Expreso - Servicios Troncales</v>
          </cell>
          <cell r="CQ398" t="str">
            <v>Expreso - Servicios Troncales</v>
          </cell>
          <cell r="CR398" t="str">
            <v>Expreso - Servicios Troncales</v>
          </cell>
          <cell r="CS398" t="str">
            <v>Expreso - Servicios Troncales</v>
          </cell>
          <cell r="CT398" t="str">
            <v>Expreso - Servicios Troncales</v>
          </cell>
          <cell r="CU398" t="str">
            <v>Expreso - Servicios Troncales</v>
          </cell>
          <cell r="CV398" t="str">
            <v>Expreso - Servicios Troncales</v>
          </cell>
          <cell r="CW398" t="str">
            <v>Expreso - Servicios Troncales</v>
          </cell>
        </row>
        <row r="399">
          <cell r="D399" t="str">
            <v>OHH586</v>
          </cell>
          <cell r="E399" t="str">
            <v>Chasis</v>
          </cell>
          <cell r="F399" t="str">
            <v>Chasis</v>
          </cell>
          <cell r="G399" t="str">
            <v>Chasis</v>
          </cell>
          <cell r="N399" t="str">
            <v>CODYLSA</v>
          </cell>
          <cell r="O399" t="str">
            <v>CODYLSA</v>
          </cell>
          <cell r="P399" t="str">
            <v>No</v>
          </cell>
          <cell r="Q399" t="str">
            <v>Propio</v>
          </cell>
          <cell r="R399">
            <v>12</v>
          </cell>
          <cell r="S399" t="str">
            <v>Propio</v>
          </cell>
          <cell r="T399" t="str">
            <v>MERCEDES BENZ</v>
          </cell>
          <cell r="U399" t="str">
            <v>ATRON 1720/48  FRONTAL</v>
          </cell>
          <cell r="V399" t="str">
            <v>904980U1111653</v>
          </cell>
          <cell r="W399" t="str">
            <v>8AB693186FA600959</v>
          </cell>
          <cell r="X399">
            <v>2014</v>
          </cell>
          <cell r="Y399">
            <v>12</v>
          </cell>
          <cell r="Z399" t="str">
            <v>Danone SMK</v>
          </cell>
          <cell r="AA399" t="str">
            <v>ADA_SMK - Danone Arg. S.A. - SMK</v>
          </cell>
          <cell r="AB399" t="str">
            <v>ADA_SMK - Danone Arg. S.A. - SMK</v>
          </cell>
          <cell r="AC399" t="str">
            <v>ADA_SMK - Danone Arg. S.A. - SMK</v>
          </cell>
          <cell r="AD399" t="str">
            <v>ADA_SMK - Danone Arg. S.A. - SMK</v>
          </cell>
          <cell r="AE399" t="str">
            <v>ADA_SMK - Danone Arg. S.A. - SMK</v>
          </cell>
          <cell r="AF399" t="str">
            <v>ADA_SMK - Danone Arg. S.A. - SMK</v>
          </cell>
          <cell r="AG399" t="str">
            <v>ADA_SMK - Danone Arg. S.A. - SMK</v>
          </cell>
          <cell r="AH399" t="str">
            <v>ADA_SMK - Danone Arg. S.A. - SMK</v>
          </cell>
          <cell r="AI399" t="str">
            <v>ADA_SMK - Danone Arg. S.A. - SMK</v>
          </cell>
          <cell r="AJ399" t="str">
            <v>ADA_SMK - Danone Arg. S.A. - SMK</v>
          </cell>
          <cell r="AK399" t="str">
            <v>ADA_SMK - Danone Arg. S.A. - SMK</v>
          </cell>
          <cell r="AL399" t="str">
            <v>ADA_SMK - Danone Arg. S.A. - SMK</v>
          </cell>
          <cell r="AM399" t="str">
            <v>ADA_SMK - Danone Arg. S.A. - SMK</v>
          </cell>
          <cell r="AN399" t="str">
            <v>ADA_SMK - Danone Arg. S.A. - SMK</v>
          </cell>
          <cell r="AO399" t="str">
            <v>ADA_SMK - Danone Arg. S.A. - SMK</v>
          </cell>
          <cell r="AP399" t="str">
            <v>ADA_SMK - Danone Arg. S.A. - SMK</v>
          </cell>
          <cell r="AQ399" t="str">
            <v>ADA_SMK - Danone Arg. S.A. - SMK</v>
          </cell>
          <cell r="AR399" t="str">
            <v>ADA_SMK - Danone Arg. S.A. - SMK</v>
          </cell>
          <cell r="AS399" t="str">
            <v>ADA_SMK - Danone Arg. S.A. - SMK</v>
          </cell>
          <cell r="AT399" t="str">
            <v>ADA_SMK - Danone Arg. S.A. - SMK</v>
          </cell>
          <cell r="AU399" t="str">
            <v>ADA_SMK - Danone Arg. S.A. - SMK</v>
          </cell>
          <cell r="AV399" t="str">
            <v>ADA_SMK - Danone Arg. S.A. - SMK</v>
          </cell>
          <cell r="AW399" t="str">
            <v>ADA_SMK - Danone Arg. S.A. - SMK</v>
          </cell>
          <cell r="AX399" t="str">
            <v>ADA_SMK - Danone Arg. S.A. - SMK</v>
          </cell>
          <cell r="AY399" t="str">
            <v>ADA_SMK - Danone Arg. S.A. - SMK</v>
          </cell>
          <cell r="AZ399" t="str">
            <v>ADA_SMK - Danone Arg. S.A. - SMK</v>
          </cell>
          <cell r="BA399" t="str">
            <v>ADA_SMK - Danone Arg. S.A. - SMK</v>
          </cell>
          <cell r="BB399" t="str">
            <v>ADA_SMK - Danone Arg. S.A. - SMK</v>
          </cell>
          <cell r="BC399" t="str">
            <v>ADA_SMK - Danone Arg. S.A. - SMK</v>
          </cell>
          <cell r="BD399" t="str">
            <v>ADA_SMK - Danone Arg. S.A. - SMK</v>
          </cell>
          <cell r="BE399" t="str">
            <v>ADA_SMK - Danone Arg. S.A. - SMK</v>
          </cell>
          <cell r="BF399" t="str">
            <v>ADA_SMK - Danone Arg. S.A. - SMK</v>
          </cell>
          <cell r="BG399" t="str">
            <v>ADA_SMK - Danone Arg. S.A. - SMK</v>
          </cell>
          <cell r="BH399" t="str">
            <v>ADA_SMK - Danone Arg. S.A. - SMK</v>
          </cell>
          <cell r="BI399" t="str">
            <v>ADA_SMK - Danone Arg. S.A. - SMK</v>
          </cell>
          <cell r="BJ399" t="str">
            <v>ADA_SMK - Danone Arg. S.A. - SMK</v>
          </cell>
          <cell r="BK399" t="str">
            <v>ADA_SMK - Danone Arg. S.A. - SMK</v>
          </cell>
          <cell r="BL399" t="str">
            <v>ADA_SMK - Danone Arg. S.A. - SMK</v>
          </cell>
          <cell r="BM399" t="str">
            <v>ADA_SMK - Danone Arg. S.A. - SMK</v>
          </cell>
          <cell r="BN399" t="str">
            <v>ADA_SMK - Danone Arg. S.A. - SMK</v>
          </cell>
          <cell r="BO399" t="str">
            <v>ADA_SMK - Danone Arg. S.A. - SMK</v>
          </cell>
          <cell r="BP399" t="str">
            <v>ADA_SMK - Danone Arg. S.A. - SMK</v>
          </cell>
          <cell r="BQ399" t="str">
            <v>ADA_SMK - Danone Arg. S.A. - SMK</v>
          </cell>
          <cell r="BR399" t="str">
            <v>ADA_SMK - Danone Arg. S.A. - SMK</v>
          </cell>
          <cell r="BS399" t="str">
            <v>ADA_SMK - Danone Arg. S.A. - SMK</v>
          </cell>
          <cell r="BT399" t="str">
            <v>ADA_SMK - Danone Arg. S.A. - SMK</v>
          </cell>
          <cell r="BU399" t="str">
            <v>CCUDyAZA</v>
          </cell>
          <cell r="BV399" t="str">
            <v>CCUDyAZA</v>
          </cell>
          <cell r="BW399" t="str">
            <v>CCUDyAZA</v>
          </cell>
          <cell r="BX399" t="str">
            <v>CCUDyAZA</v>
          </cell>
          <cell r="BY399" t="str">
            <v>CCUDyAZA</v>
          </cell>
          <cell r="BZ399" t="str">
            <v>CCUDyAZA</v>
          </cell>
          <cell r="CA399" t="str">
            <v>CCUDyAZA</v>
          </cell>
          <cell r="CB399" t="str">
            <v>CCUDyAZA</v>
          </cell>
          <cell r="CC399" t="str">
            <v>CCUDyAZA</v>
          </cell>
          <cell r="CD399" t="str">
            <v>CCUDyAZA</v>
          </cell>
          <cell r="CE399" t="str">
            <v>CCUDyAZA</v>
          </cell>
          <cell r="CF399" t="str">
            <v>CCUDyAZA</v>
          </cell>
          <cell r="CG399" t="str">
            <v>CCUDyAZA</v>
          </cell>
          <cell r="CH399" t="str">
            <v>CCUDyAZA</v>
          </cell>
          <cell r="CI399" t="str">
            <v>CCUDyAZA</v>
          </cell>
          <cell r="CJ399" t="str">
            <v>CCUDyAZA</v>
          </cell>
          <cell r="CK399" t="str">
            <v>CCUDyAZA</v>
          </cell>
          <cell r="CL399" t="str">
            <v>CCUDyAZA</v>
          </cell>
          <cell r="CM399" t="str">
            <v>CCUDyAZA</v>
          </cell>
          <cell r="CN399" t="str">
            <v>CCUDyAZA</v>
          </cell>
          <cell r="CO399" t="str">
            <v>CCUDyAZA</v>
          </cell>
          <cell r="CP399" t="str">
            <v>CCUDyAZA</v>
          </cell>
          <cell r="CQ399" t="str">
            <v>CCUDyAZA</v>
          </cell>
          <cell r="CR399" t="str">
            <v>CCUDyAZA</v>
          </cell>
          <cell r="CS399" t="str">
            <v>CCUDyAZA</v>
          </cell>
          <cell r="CT399" t="str">
            <v>CCUDyAZA</v>
          </cell>
          <cell r="CU399" t="str">
            <v>CCUDyAZA</v>
          </cell>
          <cell r="CV399" t="str">
            <v>CCUDyAZA</v>
          </cell>
          <cell r="CW399" t="str">
            <v>CCUDyAZA</v>
          </cell>
        </row>
        <row r="400">
          <cell r="D400" t="str">
            <v>OHH588</v>
          </cell>
          <cell r="E400" t="str">
            <v>Chasis</v>
          </cell>
          <cell r="F400" t="str">
            <v>Chasis</v>
          </cell>
          <cell r="G400" t="str">
            <v>Chasis</v>
          </cell>
          <cell r="N400" t="str">
            <v>CODYLSA</v>
          </cell>
          <cell r="O400" t="str">
            <v>CODYLSA</v>
          </cell>
          <cell r="P400" t="str">
            <v>No</v>
          </cell>
          <cell r="Q400" t="str">
            <v>Propio</v>
          </cell>
          <cell r="R400">
            <v>12</v>
          </cell>
          <cell r="S400" t="str">
            <v>Propio</v>
          </cell>
          <cell r="T400" t="str">
            <v>MERCEDES BENZ</v>
          </cell>
          <cell r="U400" t="str">
            <v>ATRON 1720/48  FRONTAL</v>
          </cell>
          <cell r="V400" t="str">
            <v>904980U1111963</v>
          </cell>
          <cell r="W400" t="str">
            <v>8AB693186FA600957</v>
          </cell>
          <cell r="X400">
            <v>2014</v>
          </cell>
          <cell r="Y400">
            <v>12</v>
          </cell>
          <cell r="Z400" t="str">
            <v>Danone SMK</v>
          </cell>
          <cell r="AA400" t="str">
            <v>ADA_SMK - Danone Arg. S.A. - SMK</v>
          </cell>
          <cell r="AB400" t="str">
            <v>ADA_SMK - Danone Arg. S.A. - SMK</v>
          </cell>
          <cell r="AC400" t="str">
            <v>ADA_SMK - Danone Arg. S.A. - SMK</v>
          </cell>
          <cell r="AD400" t="str">
            <v>ADA_SMK - Danone Arg. S.A. - SMK</v>
          </cell>
          <cell r="AE400" t="str">
            <v>ADA_SMK - Danone Arg. S.A. - SMK</v>
          </cell>
          <cell r="AF400" t="str">
            <v>ADA_SMK - Danone Arg. S.A. - SMK</v>
          </cell>
          <cell r="AG400" t="str">
            <v>ADA_SMK - Danone Arg. S.A. - SMK</v>
          </cell>
          <cell r="AH400" t="str">
            <v>ADA_SMK - Danone Arg. S.A. - SMK</v>
          </cell>
          <cell r="AI400" t="str">
            <v>ADA_SMK - Danone Arg. S.A. - SMK</v>
          </cell>
          <cell r="AJ400" t="str">
            <v>ADA_SMK - Danone Arg. S.A. - SMK</v>
          </cell>
          <cell r="AK400" t="str">
            <v>ADA_SMK - Danone Arg. S.A. - SMK</v>
          </cell>
          <cell r="AL400" t="str">
            <v>ADA_SMK - Danone Arg. S.A. - SMK</v>
          </cell>
          <cell r="AM400" t="str">
            <v>ADA_SMK - Danone Arg. S.A. - SMK</v>
          </cell>
          <cell r="AN400" t="str">
            <v>ADA_SMK - Danone Arg. S.A. - SMK</v>
          </cell>
          <cell r="AO400" t="str">
            <v>ADA_SMK - Danone Arg. S.A. - SMK</v>
          </cell>
          <cell r="AP400" t="str">
            <v>ADA_SMK - Danone Arg. S.A. - SMK</v>
          </cell>
          <cell r="AQ400" t="str">
            <v>ADA_SMK - Danone Arg. S.A. - SMK</v>
          </cell>
          <cell r="AR400" t="str">
            <v>ADA_SMK - Danone Arg. S.A. - SMK</v>
          </cell>
          <cell r="AS400" t="str">
            <v>ADA_SMK - Danone Arg. S.A. - SMK</v>
          </cell>
          <cell r="AT400" t="str">
            <v>ADA_SMK - Danone Arg. S.A. - SMK</v>
          </cell>
          <cell r="AU400" t="str">
            <v>ADA_SMK - Danone Arg. S.A. - SMK</v>
          </cell>
          <cell r="AV400" t="str">
            <v>ADA_SMK - Danone Arg. S.A. - SMK</v>
          </cell>
          <cell r="AW400" t="str">
            <v>ADA_SMK - Danone Arg. S.A. - SMK</v>
          </cell>
          <cell r="AX400" t="str">
            <v>ADA_SMK - Danone Arg. S.A. - SMK</v>
          </cell>
          <cell r="AY400" t="str">
            <v>ADA_SMK - Danone Arg. S.A. - SMK</v>
          </cell>
          <cell r="AZ400" t="str">
            <v>ADA_SMK - Danone Arg. S.A. - SMK</v>
          </cell>
          <cell r="BA400" t="str">
            <v>ADA_SMK - Danone Arg. S.A. - SMK</v>
          </cell>
          <cell r="BB400" t="str">
            <v>ADA_SMK - Danone Arg. S.A. - SMK</v>
          </cell>
          <cell r="BC400" t="str">
            <v>ADA_SMK - Danone Arg. S.A. - SMK</v>
          </cell>
          <cell r="BD400" t="str">
            <v>ADA_SMK - Danone Arg. S.A. - SMK</v>
          </cell>
          <cell r="BE400" t="str">
            <v>ADA_SMK - Danone Arg. S.A. - SMK</v>
          </cell>
          <cell r="BF400" t="str">
            <v>ADA_SMK - Danone Arg. S.A. - SMK</v>
          </cell>
          <cell r="BG400" t="str">
            <v>ADA_SMK - Danone Arg. S.A. - SMK</v>
          </cell>
          <cell r="BH400" t="str">
            <v>ADA_SMK - Danone Arg. S.A. - SMK</v>
          </cell>
          <cell r="BI400" t="str">
            <v>ADA_SMK - Danone Arg. S.A. - SMK</v>
          </cell>
          <cell r="BJ400" t="str">
            <v>ADA_SMK - Danone Arg. S.A. - SMK</v>
          </cell>
          <cell r="BK400" t="str">
            <v>ADA_SMK - Danone Arg. S.A. - SMK</v>
          </cell>
          <cell r="BL400" t="str">
            <v>ADA_SMK - Danone Arg. S.A. - SMK</v>
          </cell>
          <cell r="BM400" t="str">
            <v>ADA_SMK - Danone Arg. S.A. - SMK</v>
          </cell>
          <cell r="BN400" t="str">
            <v>ADA_SMK - Danone Arg. S.A. - SMK</v>
          </cell>
          <cell r="BO400" t="str">
            <v>ADA_SMK - Danone Arg. S.A. - SMK</v>
          </cell>
          <cell r="BP400" t="str">
            <v>ADA_SMK - Danone Arg. S.A. - SMK</v>
          </cell>
          <cell r="BQ400" t="str">
            <v>ADA_SMK - Danone Arg. S.A. - SMK</v>
          </cell>
          <cell r="BR400" t="str">
            <v>ADA_SMK - Danone Arg. S.A. - SMK</v>
          </cell>
          <cell r="BS400" t="str">
            <v>ADA_SMK - Danone Arg. S.A. - SMK</v>
          </cell>
          <cell r="BT400" t="str">
            <v>ADA_SMK - Danone Arg. S.A. - SMK</v>
          </cell>
          <cell r="BU400" t="str">
            <v>CCUDyAZA</v>
          </cell>
          <cell r="BV400" t="str">
            <v>CCUDyAZA</v>
          </cell>
          <cell r="BW400" t="str">
            <v>CCUDyAZA</v>
          </cell>
          <cell r="BX400" t="str">
            <v>CCUDyAZA</v>
          </cell>
          <cell r="BY400" t="str">
            <v>CCUDyAZA</v>
          </cell>
          <cell r="BZ400" t="str">
            <v>CCUDyAZA</v>
          </cell>
          <cell r="CA400" t="str">
            <v>CCUDyAZA</v>
          </cell>
          <cell r="CB400" t="str">
            <v>CCUDyAZA</v>
          </cell>
          <cell r="CC400" t="str">
            <v>CCUDyAZA</v>
          </cell>
          <cell r="CD400" t="str">
            <v>CCUDyAZA</v>
          </cell>
          <cell r="CE400" t="str">
            <v>CCUDyAZA</v>
          </cell>
          <cell r="CF400" t="str">
            <v>CCUDyAZA</v>
          </cell>
          <cell r="CG400" t="str">
            <v>CCUDyAZA</v>
          </cell>
          <cell r="CH400" t="str">
            <v>CCUDyAZA</v>
          </cell>
          <cell r="CI400" t="str">
            <v>CCUDyAZA</v>
          </cell>
          <cell r="CJ400" t="str">
            <v>CCUDyAZA</v>
          </cell>
          <cell r="CK400" t="str">
            <v>CCUDyAZA</v>
          </cell>
          <cell r="CL400" t="str">
            <v>CCUDyAZA</v>
          </cell>
          <cell r="CM400" t="str">
            <v>CCUDyAZA</v>
          </cell>
          <cell r="CN400" t="str">
            <v>CCUDyAZA</v>
          </cell>
          <cell r="CO400" t="str">
            <v>CCUDyAZA</v>
          </cell>
          <cell r="CP400" t="str">
            <v>CCUDyAZA</v>
          </cell>
          <cell r="CQ400" t="str">
            <v>CCUDyAZA</v>
          </cell>
          <cell r="CR400" t="str">
            <v>CCUDyAZA</v>
          </cell>
          <cell r="CS400" t="str">
            <v>CCUDyAZA</v>
          </cell>
          <cell r="CT400" t="str">
            <v>CCUDyAZA</v>
          </cell>
          <cell r="CU400" t="str">
            <v>CCUDyAZA</v>
          </cell>
          <cell r="CV400" t="str">
            <v>CCUDyAZA</v>
          </cell>
          <cell r="CW400" t="str">
            <v>CCUDyAZA</v>
          </cell>
        </row>
        <row r="401">
          <cell r="D401" t="str">
            <v>OHH589</v>
          </cell>
          <cell r="E401" t="str">
            <v>Chasis</v>
          </cell>
          <cell r="F401" t="str">
            <v>Balancin</v>
          </cell>
          <cell r="G401" t="str">
            <v>Balancin</v>
          </cell>
          <cell r="N401" t="str">
            <v>CODYLSA</v>
          </cell>
          <cell r="O401" t="str">
            <v>CODYLSA</v>
          </cell>
          <cell r="P401" t="str">
            <v>No</v>
          </cell>
          <cell r="Q401" t="str">
            <v>Propio</v>
          </cell>
          <cell r="R401">
            <v>12</v>
          </cell>
          <cell r="S401" t="str">
            <v>Propio</v>
          </cell>
          <cell r="T401" t="str">
            <v>MERCEDES BENZ</v>
          </cell>
          <cell r="U401" t="str">
            <v>ATRON 1720/48  FRONTAL</v>
          </cell>
          <cell r="V401" t="str">
            <v>904980U1111664</v>
          </cell>
          <cell r="W401" t="str">
            <v>8AB693186FA600958</v>
          </cell>
          <cell r="X401">
            <v>2014</v>
          </cell>
          <cell r="Y401">
            <v>12</v>
          </cell>
          <cell r="Z401" t="str">
            <v>Danone Alianza</v>
          </cell>
          <cell r="AA401" t="str">
            <v>ADA_Mino - Danone Arg. S.A. - Mino</v>
          </cell>
          <cell r="AB401" t="str">
            <v>ADA_Mino - Danone Arg. S.A. - Mino</v>
          </cell>
          <cell r="AC401" t="str">
            <v>ADA_Mino - Danone Arg. S.A. - Mino</v>
          </cell>
          <cell r="AD401" t="str">
            <v>ADA_Mino - Danone Arg. S.A. - Mino</v>
          </cell>
          <cell r="AE401" t="str">
            <v>ADA_Mino - Danone Arg. S.A. - Mino</v>
          </cell>
          <cell r="AF401" t="str">
            <v>ADA_Mino - Danone Arg. S.A. - Mino</v>
          </cell>
          <cell r="AG401" t="str">
            <v>ADA_Mino - Danone Arg. S.A. - Mino</v>
          </cell>
          <cell r="AH401" t="str">
            <v>ADA_Mino - Danone Arg. S.A. - Mino</v>
          </cell>
          <cell r="AI401" t="str">
            <v>ADA_Mino - Danone Arg. S.A. - Mino</v>
          </cell>
          <cell r="AJ401" t="str">
            <v>ADA_Mino - Danone Arg. S.A. - Mino</v>
          </cell>
          <cell r="AK401" t="str">
            <v>ADA_Mino - Danone Arg. S.A. - Mino</v>
          </cell>
          <cell r="AL401" t="str">
            <v>ADA_Mino - Danone Arg. S.A. - Mino</v>
          </cell>
          <cell r="AM401" t="str">
            <v>ADA_Mino - Danone Arg. S.A. - Mino</v>
          </cell>
          <cell r="AN401" t="str">
            <v>ADA_Mino - Danone Arg. S.A. - Mino</v>
          </cell>
          <cell r="AO401" t="str">
            <v>ADA_Mino - Danone Arg. S.A. - Mino</v>
          </cell>
          <cell r="AP401" t="str">
            <v>ADA_Mino - Danone Arg. S.A. - Mino</v>
          </cell>
          <cell r="AQ401" t="str">
            <v>ADA_Mino - Danone Arg. S.A. - Mino</v>
          </cell>
          <cell r="AR401" t="str">
            <v>ADA_Mino - Danone Arg. S.A. - Mino</v>
          </cell>
          <cell r="AS401" t="str">
            <v>ADA_Mino - Danone Arg. S.A. - Mino</v>
          </cell>
          <cell r="AT401" t="str">
            <v>ADA_Mino - Danone Arg. S.A. - Mino</v>
          </cell>
          <cell r="AU401" t="str">
            <v>ADA_Mino - Danone Arg. S.A. - Mino</v>
          </cell>
          <cell r="AV401" t="str">
            <v>ADA_Mino - Danone Arg. S.A. - Mino</v>
          </cell>
          <cell r="AW401" t="str">
            <v>CMQ_TTE - QUILMES TTE</v>
          </cell>
          <cell r="AX401" t="str">
            <v>CMQ_TTE - QUILMES TTE</v>
          </cell>
          <cell r="AY401" t="str">
            <v>CMQ_TTE - QUILMES TTE</v>
          </cell>
          <cell r="AZ401" t="str">
            <v>CMQ_TTE - QUILMES TTE</v>
          </cell>
          <cell r="BA401" t="str">
            <v>CMQ_TTE - QUILMES TTE</v>
          </cell>
          <cell r="BB401" t="str">
            <v>CMQ_TTE - QUILMES TTE</v>
          </cell>
          <cell r="BC401" t="str">
            <v>CMQ_TTE - QUILMES TTE</v>
          </cell>
          <cell r="BD401" t="str">
            <v>CMQ_TTE - QUILMES TTE</v>
          </cell>
          <cell r="BE401" t="str">
            <v>CMQ_TTE - QUILMES TTE</v>
          </cell>
          <cell r="BF401" t="str">
            <v>CMQ_TTE - QUILMES TTE</v>
          </cell>
          <cell r="BG401" t="str">
            <v>CMQ_TTE - QUILMES TTE</v>
          </cell>
          <cell r="BH401" t="str">
            <v>CMQ_TTE - QUILMES TTE</v>
          </cell>
          <cell r="BI401" t="str">
            <v>CMQ_TTE - QUILMES TTE</v>
          </cell>
          <cell r="BJ401" t="str">
            <v>CMQ_TTE - QUILMES TTE</v>
          </cell>
          <cell r="BK401" t="str">
            <v>CMQ_TTE - QUILMES TTE</v>
          </cell>
          <cell r="BL401" t="str">
            <v>CMQ_TTE - QUILMES TTE</v>
          </cell>
          <cell r="BM401" t="str">
            <v>CMQ_TTE - QUILMES TTE</v>
          </cell>
          <cell r="BN401" t="str">
            <v>CMQ_TTE - QUILMES TTE</v>
          </cell>
          <cell r="BO401" t="str">
            <v>CMQ_TTE - QUILMES TTE</v>
          </cell>
          <cell r="BP401" t="str">
            <v>CMQ_TTE - QUILMES TTE</v>
          </cell>
          <cell r="BQ401" t="str">
            <v>CMQ_TTE - QUILMES TTE</v>
          </cell>
          <cell r="BR401" t="str">
            <v>CMQ_TTE - QUILMES TTE</v>
          </cell>
          <cell r="BS401" t="str">
            <v>CMQ_TTE - QUILMES TTE</v>
          </cell>
          <cell r="BT401" t="str">
            <v>CMQ_TTE - QUILMES TTE</v>
          </cell>
          <cell r="BU401" t="str">
            <v>CMQ_TTE - QUILMES TTE</v>
          </cell>
          <cell r="BV401" t="str">
            <v>CMQ_TTE - QUILMES TTE</v>
          </cell>
          <cell r="BW401" t="str">
            <v>CMQ_TTE - QUILMES TTE</v>
          </cell>
          <cell r="BX401" t="str">
            <v>CMQ_TTE - QUILMES TTE</v>
          </cell>
          <cell r="BY401" t="str">
            <v>CMQ_TTE - QUILMES TTE</v>
          </cell>
          <cell r="BZ401" t="str">
            <v>CMQ_TTE - QUILMES TTE</v>
          </cell>
          <cell r="CA401" t="str">
            <v>CMQ_TTE - QUILMES TTE</v>
          </cell>
          <cell r="CB401" t="str">
            <v>CMQ_TTE - QUILMES TTE</v>
          </cell>
          <cell r="CC401" t="str">
            <v>CMQ_TTE - QUILMES TTE</v>
          </cell>
          <cell r="CD401" t="str">
            <v>CMQ_TTE - QUILMES TTE</v>
          </cell>
          <cell r="CE401" t="str">
            <v>CMQ_TTE - QUILMES TTE</v>
          </cell>
          <cell r="CF401" t="str">
            <v>CMQ_TTE - QUILMES TTE</v>
          </cell>
          <cell r="CG401" t="str">
            <v>CMQ_TTE - QUILMES TTE</v>
          </cell>
          <cell r="CH401" t="str">
            <v>CMQ_TTE - QUILMES TTE</v>
          </cell>
          <cell r="CI401" t="str">
            <v>CMQ_TTE - QUILMES TTE</v>
          </cell>
          <cell r="CJ401" t="str">
            <v>CMQ_TTE - QUILMES TTE</v>
          </cell>
          <cell r="CK401" t="str">
            <v>CMQ_TTE - QUILMES TTE</v>
          </cell>
          <cell r="CL401" t="str">
            <v>CMQ_TTE - QUILMES TTE</v>
          </cell>
          <cell r="CM401" t="str">
            <v>CMQ_TTE - QUILMES TTE</v>
          </cell>
          <cell r="CN401" t="str">
            <v>CMQ_TTE - QUILMES TTE</v>
          </cell>
          <cell r="CO401" t="str">
            <v>CMQ_TTE - QUILMES TTE</v>
          </cell>
          <cell r="CP401" t="str">
            <v>CMQ_TTE - QUILMES TTE</v>
          </cell>
          <cell r="CQ401" t="str">
            <v>CMQ_TTE - QUILMES TTE</v>
          </cell>
          <cell r="CR401" t="str">
            <v>CMQ_TTE - QUILMES TTE</v>
          </cell>
          <cell r="CS401" t="str">
            <v>CMQ_TTE - QUILMES TTE</v>
          </cell>
          <cell r="CT401" t="str">
            <v>CMQ_TTE - QUILMES TTE</v>
          </cell>
          <cell r="CU401" t="str">
            <v>CMQ_TTE - QUILMES TTE</v>
          </cell>
          <cell r="CV401" t="str">
            <v>CMQ_TTE - QUILMES TTE</v>
          </cell>
          <cell r="CW401" t="str">
            <v>CMQ_TTE - QUILMES TTE</v>
          </cell>
        </row>
        <row r="402">
          <cell r="D402" t="str">
            <v>OHH590</v>
          </cell>
          <cell r="E402" t="str">
            <v>Chasis</v>
          </cell>
          <cell r="F402" t="str">
            <v>Chasis</v>
          </cell>
          <cell r="G402" t="str">
            <v>Chasis</v>
          </cell>
          <cell r="N402" t="str">
            <v>CODYLSA</v>
          </cell>
          <cell r="O402" t="str">
            <v>CODYLSA</v>
          </cell>
          <cell r="P402" t="str">
            <v>No</v>
          </cell>
          <cell r="Q402" t="str">
            <v>Propio</v>
          </cell>
          <cell r="R402">
            <v>12</v>
          </cell>
          <cell r="S402" t="str">
            <v>Propio</v>
          </cell>
          <cell r="T402" t="str">
            <v>MERCEDES BENZ</v>
          </cell>
          <cell r="U402" t="str">
            <v>ATRON 1720/48  FRONTAL</v>
          </cell>
          <cell r="V402" t="str">
            <v>904980U1111648</v>
          </cell>
          <cell r="W402" t="str">
            <v>8AB693186FA600956</v>
          </cell>
          <cell r="X402">
            <v>2014</v>
          </cell>
          <cell r="Y402">
            <v>12</v>
          </cell>
          <cell r="Z402" t="str">
            <v>Danone SMK</v>
          </cell>
          <cell r="AA402" t="str">
            <v>ADA_SMK - Danone Arg. S.A. - SMK</v>
          </cell>
          <cell r="AB402" t="str">
            <v>ADA_SMK - Danone Arg. S.A. - SMK</v>
          </cell>
          <cell r="AC402" t="str">
            <v>ADA_SMK - Danone Arg. S.A. - SMK</v>
          </cell>
          <cell r="AD402" t="str">
            <v>ADA_SMK - Danone Arg. S.A. - SMK</v>
          </cell>
          <cell r="AE402" t="str">
            <v>ADA_SMK - Danone Arg. S.A. - SMK</v>
          </cell>
          <cell r="AF402" t="str">
            <v>ADA_SMK - Danone Arg. S.A. - SMK</v>
          </cell>
          <cell r="AG402" t="str">
            <v>ADA_SMK - Danone Arg. S.A. - SMK</v>
          </cell>
          <cell r="AH402" t="str">
            <v>ADA_SMK - Danone Arg. S.A. - SMK</v>
          </cell>
          <cell r="AI402" t="str">
            <v>ADA_SMK - Danone Arg. S.A. - SMK</v>
          </cell>
          <cell r="AJ402" t="str">
            <v>ADA_SMK - Danone Arg. S.A. - SMK</v>
          </cell>
          <cell r="AK402" t="str">
            <v>ADA_SMK - Danone Arg. S.A. - SMK</v>
          </cell>
          <cell r="AL402" t="str">
            <v>ADA_SMK - Danone Arg. S.A. - SMK</v>
          </cell>
          <cell r="AM402" t="str">
            <v>ADA_SMK - Danone Arg. S.A. - SMK</v>
          </cell>
          <cell r="AN402" t="str">
            <v>ADA_SMK - Danone Arg. S.A. - SMK</v>
          </cell>
          <cell r="AO402" t="str">
            <v>ADA_SMK - Danone Arg. S.A. - SMK</v>
          </cell>
          <cell r="AP402" t="str">
            <v>ADA_SMK - Danone Arg. S.A. - SMK</v>
          </cell>
          <cell r="AQ402" t="str">
            <v>ADA_SMK - Danone Arg. S.A. - SMK</v>
          </cell>
          <cell r="AR402" t="str">
            <v>ADA_SMK - Danone Arg. S.A. - SMK</v>
          </cell>
          <cell r="AS402" t="str">
            <v>ADA_SMK - Danone Arg. S.A. - SMK</v>
          </cell>
          <cell r="AT402" t="str">
            <v>ADA_SMK - Danone Arg. S.A. - SMK</v>
          </cell>
          <cell r="AU402" t="str">
            <v>ADA_SMK - Danone Arg. S.A. - SMK</v>
          </cell>
          <cell r="AV402" t="str">
            <v>ADA_SMK - Danone Arg. S.A. - SMK</v>
          </cell>
          <cell r="AW402" t="str">
            <v>ADA_SMK - Danone Arg. S.A. - SMK</v>
          </cell>
          <cell r="AX402" t="str">
            <v>ADA_SMK - Danone Arg. S.A. - SMK</v>
          </cell>
          <cell r="AY402" t="str">
            <v>ADA_SMK - Danone Arg. S.A. - SMK</v>
          </cell>
          <cell r="AZ402" t="str">
            <v>ADA_SMK - Danone Arg. S.A. - SMK</v>
          </cell>
          <cell r="BA402" t="str">
            <v>ADA_SMK - Danone Arg. S.A. - SMK</v>
          </cell>
          <cell r="BB402" t="str">
            <v>ADA_SMK - Danone Arg. S.A. - SMK</v>
          </cell>
          <cell r="BC402" t="str">
            <v>ADA_SMK - Danone Arg. S.A. - SMK</v>
          </cell>
          <cell r="BD402" t="str">
            <v>ADA_SMK - Danone Arg. S.A. - SMK</v>
          </cell>
          <cell r="BE402" t="str">
            <v>ADA_SMK - Danone Arg. S.A. - SMK</v>
          </cell>
          <cell r="BF402" t="str">
            <v>ADA_SMK - Danone Arg. S.A. - SMK</v>
          </cell>
          <cell r="BG402" t="str">
            <v>ADA_SMK - Danone Arg. S.A. - SMK</v>
          </cell>
          <cell r="BH402" t="str">
            <v>ADA_SMK - Danone Arg. S.A. - SMK</v>
          </cell>
          <cell r="BI402" t="str">
            <v>ADA_SMK - Danone Arg. S.A. - SMK</v>
          </cell>
          <cell r="BJ402" t="str">
            <v>ADA_SMK - Danone Arg. S.A. - SMK</v>
          </cell>
          <cell r="BK402" t="str">
            <v>ADA_SMK - Danone Arg. S.A. - SMK</v>
          </cell>
          <cell r="BL402" t="str">
            <v>ADA_SMK - Danone Arg. S.A. - SMK</v>
          </cell>
          <cell r="BM402" t="str">
            <v>ADA_SMK - Danone Arg. S.A. - SMK</v>
          </cell>
          <cell r="BN402" t="str">
            <v>ADA_SMK - Danone Arg. S.A. - SMK</v>
          </cell>
          <cell r="BO402" t="str">
            <v>ADA_SMK - Danone Arg. S.A. - SMK</v>
          </cell>
          <cell r="BP402" t="str">
            <v>ADA_SMK - Danone Arg. S.A. - SMK</v>
          </cell>
          <cell r="BQ402" t="str">
            <v>ADA_SMK - Danone Arg. S.A. - SMK</v>
          </cell>
          <cell r="BR402" t="str">
            <v>ADA_SMK - Danone Arg. S.A. - SMK</v>
          </cell>
          <cell r="BS402" t="str">
            <v>ADA_SMK - Danone Arg. S.A. - SMK</v>
          </cell>
          <cell r="BT402" t="str">
            <v>ADA_SMK - Danone Arg. S.A. - SMK</v>
          </cell>
          <cell r="BU402" t="str">
            <v>CCUDyAZA</v>
          </cell>
          <cell r="BV402" t="str">
            <v>CCUDyAZA</v>
          </cell>
          <cell r="BW402" t="str">
            <v>CCUDyAZA</v>
          </cell>
          <cell r="BX402" t="str">
            <v>CCUDyAZA</v>
          </cell>
          <cell r="BY402" t="str">
            <v>CCUDyAZA</v>
          </cell>
          <cell r="BZ402" t="str">
            <v>CCUDyAZA</v>
          </cell>
          <cell r="CA402" t="str">
            <v>CCUDyAZA</v>
          </cell>
          <cell r="CB402" t="str">
            <v>CCUDyAZA</v>
          </cell>
          <cell r="CC402" t="str">
            <v>CCUDyAZA</v>
          </cell>
          <cell r="CD402" t="str">
            <v>CCUDyAZA</v>
          </cell>
          <cell r="CE402" t="str">
            <v>CCUDyAZA</v>
          </cell>
          <cell r="CF402" t="str">
            <v>CCUDyAZA</v>
          </cell>
          <cell r="CG402" t="str">
            <v>CCUDyAZA</v>
          </cell>
          <cell r="CH402" t="str">
            <v>CCUDyAZA</v>
          </cell>
          <cell r="CI402" t="str">
            <v>CCUDyAZA</v>
          </cell>
          <cell r="CJ402" t="str">
            <v>CCUDyAZA</v>
          </cell>
          <cell r="CK402" t="str">
            <v>CCUDyAZA</v>
          </cell>
          <cell r="CL402" t="str">
            <v>CCUDyAZA</v>
          </cell>
          <cell r="CM402" t="str">
            <v>CCUDyAZA</v>
          </cell>
          <cell r="CN402" t="str">
            <v>CCUDyAZA</v>
          </cell>
          <cell r="CO402" t="str">
            <v>CCUDyAZA</v>
          </cell>
          <cell r="CP402" t="str">
            <v>CCUDyAZA</v>
          </cell>
          <cell r="CQ402" t="str">
            <v>CCUDyAZA</v>
          </cell>
          <cell r="CR402" t="str">
            <v>CCUDyAZA</v>
          </cell>
          <cell r="CS402" t="str">
            <v>CCUDyAZA</v>
          </cell>
          <cell r="CT402" t="str">
            <v>CCUDyAZA</v>
          </cell>
          <cell r="CU402" t="str">
            <v>CCUDyAZA</v>
          </cell>
          <cell r="CV402" t="str">
            <v>CCUDyAZA</v>
          </cell>
          <cell r="CW402" t="str">
            <v>CCUDyAZA</v>
          </cell>
        </row>
        <row r="403">
          <cell r="D403" t="str">
            <v>OHH591</v>
          </cell>
          <cell r="E403" t="str">
            <v>Chasis</v>
          </cell>
          <cell r="F403" t="str">
            <v>Chasis</v>
          </cell>
          <cell r="G403" t="str">
            <v>Chasis</v>
          </cell>
          <cell r="N403" t="str">
            <v>CODYLSA</v>
          </cell>
          <cell r="O403" t="str">
            <v>CODYLSA</v>
          </cell>
          <cell r="P403" t="str">
            <v>No</v>
          </cell>
          <cell r="Q403" t="str">
            <v>Propio</v>
          </cell>
          <cell r="R403">
            <v>12</v>
          </cell>
          <cell r="S403" t="str">
            <v>Propio</v>
          </cell>
          <cell r="T403" t="str">
            <v>MERCEDES BENZ</v>
          </cell>
          <cell r="U403" t="str">
            <v>ATRON 1720/48  FRONTAL</v>
          </cell>
          <cell r="V403" t="str">
            <v>904980U1112881</v>
          </cell>
          <cell r="W403" t="str">
            <v>8AB693186FA600960</v>
          </cell>
          <cell r="X403">
            <v>2014</v>
          </cell>
          <cell r="Y403">
            <v>12</v>
          </cell>
          <cell r="Z403" t="str">
            <v>Danone SMK</v>
          </cell>
          <cell r="AA403" t="str">
            <v>ADA_SMK - Danone Arg. S.A. - SMK</v>
          </cell>
          <cell r="AB403" t="str">
            <v>ADA_SMK - Danone Arg. S.A. - SMK</v>
          </cell>
          <cell r="AC403" t="str">
            <v>ADA_SMK - Danone Arg. S.A. - SMK</v>
          </cell>
          <cell r="AD403" t="str">
            <v>ADA_SMK - Danone Arg. S.A. - SMK</v>
          </cell>
          <cell r="AE403" t="str">
            <v>ADA_SMK - Danone Arg. S.A. - SMK</v>
          </cell>
          <cell r="AF403" t="str">
            <v>ADA_SMK - Danone Arg. S.A. - SMK</v>
          </cell>
          <cell r="AG403" t="str">
            <v>ADA_SMK - Danone Arg. S.A. - SMK</v>
          </cell>
          <cell r="AH403" t="str">
            <v>ADA_SMK - Danone Arg. S.A. - SMK</v>
          </cell>
          <cell r="AI403" t="str">
            <v>ADA_SMK - Danone Arg. S.A. - SMK</v>
          </cell>
          <cell r="AJ403" t="str">
            <v>ADA_SMK - Danone Arg. S.A. - SMK</v>
          </cell>
          <cell r="AK403" t="str">
            <v>ADA_SMK - Danone Arg. S.A. - SMK</v>
          </cell>
          <cell r="AL403" t="str">
            <v>ADA_SMK - Danone Arg. S.A. - SMK</v>
          </cell>
          <cell r="AM403" t="str">
            <v>ADA_SMK - Danone Arg. S.A. - SMK</v>
          </cell>
          <cell r="AN403" t="str">
            <v>ADA_SMK - Danone Arg. S.A. - SMK</v>
          </cell>
          <cell r="AO403" t="str">
            <v>ADA_SMK - Danone Arg. S.A. - SMK</v>
          </cell>
          <cell r="AP403" t="str">
            <v>ADA_SMK - Danone Arg. S.A. - SMK</v>
          </cell>
          <cell r="AQ403" t="str">
            <v>ADA_SMK - Danone Arg. S.A. - SMK</v>
          </cell>
          <cell r="AR403" t="str">
            <v>ADA_SMK - Danone Arg. S.A. - SMK</v>
          </cell>
          <cell r="AS403" t="str">
            <v>ADA_SMK - Danone Arg. S.A. - SMK</v>
          </cell>
          <cell r="AT403" t="str">
            <v>ADA_SMK - Danone Arg. S.A. - SMK</v>
          </cell>
          <cell r="AU403" t="str">
            <v>ADA_SMK - Danone Arg. S.A. - SMK</v>
          </cell>
          <cell r="AV403" t="str">
            <v>ADA_SMK - Danone Arg. S.A. - SMK</v>
          </cell>
          <cell r="AW403" t="str">
            <v>ADA_SMK - Danone Arg. S.A. - SMK</v>
          </cell>
          <cell r="AX403" t="str">
            <v>ADA_SMK - Danone Arg. S.A. - SMK</v>
          </cell>
          <cell r="AY403" t="str">
            <v>ADA_SMK - Danone Arg. S.A. - SMK</v>
          </cell>
          <cell r="AZ403" t="str">
            <v>ADA_SMK - Danone Arg. S.A. - SMK</v>
          </cell>
          <cell r="BA403" t="str">
            <v>ADA_SMK - Danone Arg. S.A. - SMK</v>
          </cell>
          <cell r="BB403" t="str">
            <v>ADA_SMK - Danone Arg. S.A. - SMK</v>
          </cell>
          <cell r="BC403" t="str">
            <v>ADA_SMK - Danone Arg. S.A. - SMK</v>
          </cell>
          <cell r="BD403" t="str">
            <v>ADA_SMK - Danone Arg. S.A. - SMK</v>
          </cell>
          <cell r="BE403" t="str">
            <v>ADA_SMK - Danone Arg. S.A. - SMK</v>
          </cell>
          <cell r="BF403" t="str">
            <v>ADA_SMK - Danone Arg. S.A. - SMK</v>
          </cell>
          <cell r="BG403" t="str">
            <v>ADA_SMK - Danone Arg. S.A. - SMK</v>
          </cell>
          <cell r="BH403" t="str">
            <v>ADA_SMK - Danone Arg. S.A. - SMK</v>
          </cell>
          <cell r="BI403" t="str">
            <v>ADA_SMK - Danone Arg. S.A. - SMK</v>
          </cell>
          <cell r="BJ403" t="str">
            <v>ADA_SMK - Danone Arg. S.A. - SMK</v>
          </cell>
          <cell r="BK403" t="str">
            <v>ADA_SMK - Danone Arg. S.A. - SMK</v>
          </cell>
          <cell r="BL403" t="str">
            <v>ADA_SMK - Danone Arg. S.A. - SMK</v>
          </cell>
          <cell r="BM403" t="str">
            <v>ADA_SMK - Danone Arg. S.A. - SMK</v>
          </cell>
          <cell r="BN403" t="str">
            <v>ADA_SMK - Danone Arg. S.A. - SMK</v>
          </cell>
          <cell r="BO403" t="str">
            <v>ADA_SMK - Danone Arg. S.A. - SMK</v>
          </cell>
          <cell r="BP403" t="str">
            <v>ADA_SMK - Danone Arg. S.A. - SMK</v>
          </cell>
          <cell r="BQ403" t="str">
            <v>ADA_SMK - Danone Arg. S.A. - SMK</v>
          </cell>
          <cell r="BR403" t="str">
            <v>ADA_SMK - Danone Arg. S.A. - SMK</v>
          </cell>
          <cell r="BS403" t="str">
            <v>ADA_SMK - Danone Arg. S.A. - SMK</v>
          </cell>
          <cell r="BT403" t="str">
            <v>ADA_SMK - Danone Arg. S.A. - SMK</v>
          </cell>
          <cell r="BU403" t="str">
            <v>CCUDyAZA</v>
          </cell>
          <cell r="BV403" t="str">
            <v>CCUDyAZA</v>
          </cell>
          <cell r="BW403" t="str">
            <v>CCUDyAZA</v>
          </cell>
          <cell r="BX403" t="str">
            <v>CCUDyAZA</v>
          </cell>
          <cell r="BY403" t="str">
            <v>CCUDyAZA</v>
          </cell>
          <cell r="BZ403" t="str">
            <v>CCUDyAZA</v>
          </cell>
          <cell r="CA403" t="str">
            <v>CCUDyAZA</v>
          </cell>
          <cell r="CB403" t="str">
            <v>CCUDyAZA</v>
          </cell>
          <cell r="CC403" t="str">
            <v>CCUDyAZA</v>
          </cell>
          <cell r="CD403" t="str">
            <v>CCUDyAZA</v>
          </cell>
          <cell r="CE403" t="str">
            <v>CCUDyAZA</v>
          </cell>
          <cell r="CF403" t="str">
            <v>CCUDyAZA</v>
          </cell>
          <cell r="CG403" t="str">
            <v>CCUDyAZA</v>
          </cell>
          <cell r="CH403" t="str">
            <v>CCUDyAZA</v>
          </cell>
          <cell r="CI403" t="str">
            <v>CCUDyAZA</v>
          </cell>
          <cell r="CJ403" t="str">
            <v>CCUDyAZA</v>
          </cell>
          <cell r="CK403" t="str">
            <v>CCUDyAZA</v>
          </cell>
          <cell r="CL403" t="str">
            <v>CCUDyAZA</v>
          </cell>
          <cell r="CM403" t="str">
            <v>CCUDyAZA</v>
          </cell>
          <cell r="CN403" t="str">
            <v>CCUDyAZA</v>
          </cell>
          <cell r="CO403" t="str">
            <v>CCUDyAZA</v>
          </cell>
          <cell r="CP403" t="str">
            <v>CCUDyAZA</v>
          </cell>
          <cell r="CQ403" t="str">
            <v>CCUDyAZA</v>
          </cell>
          <cell r="CR403" t="str">
            <v>CCUDyAZA</v>
          </cell>
          <cell r="CS403" t="str">
            <v>CCUDyAZA</v>
          </cell>
          <cell r="CT403" t="str">
            <v>CCUDyAZA</v>
          </cell>
          <cell r="CU403" t="str">
            <v>CCUDyAZA</v>
          </cell>
          <cell r="CV403" t="str">
            <v>CCUDyAZA</v>
          </cell>
          <cell r="CW403" t="str">
            <v>CCUDyAZA</v>
          </cell>
        </row>
        <row r="404">
          <cell r="D404" t="str">
            <v>OHH592</v>
          </cell>
          <cell r="E404" t="str">
            <v>Chasis</v>
          </cell>
          <cell r="F404" t="str">
            <v>Balancin</v>
          </cell>
          <cell r="G404" t="str">
            <v>Balancin</v>
          </cell>
          <cell r="N404" t="str">
            <v>CODYLSA</v>
          </cell>
          <cell r="O404" t="str">
            <v>CODYLSA</v>
          </cell>
          <cell r="P404" t="str">
            <v>No</v>
          </cell>
          <cell r="Q404" t="str">
            <v>Propio</v>
          </cell>
          <cell r="R404">
            <v>12</v>
          </cell>
          <cell r="S404" t="str">
            <v>Propio</v>
          </cell>
          <cell r="T404" t="str">
            <v>MERCEDES BENZ</v>
          </cell>
          <cell r="U404" t="str">
            <v>ATRON 1720/48  FRONTAL</v>
          </cell>
          <cell r="V404" t="str">
            <v>904980U1111662</v>
          </cell>
          <cell r="W404" t="str">
            <v>8AB693186FA600955</v>
          </cell>
          <cell r="X404">
            <v>2014</v>
          </cell>
          <cell r="Y404">
            <v>12</v>
          </cell>
          <cell r="Z404" t="str">
            <v>Danone Alianza</v>
          </cell>
          <cell r="AA404" t="str">
            <v>ADA_Mino - Danone Arg. S.A. - Mino</v>
          </cell>
          <cell r="AB404" t="str">
            <v>ADA_Mino - Danone Arg. S.A. - Mino</v>
          </cell>
          <cell r="AC404" t="str">
            <v>ADA_Mino - Danone Arg. S.A. - Mino</v>
          </cell>
          <cell r="AD404" t="str">
            <v>ADA_Mino - Danone Arg. S.A. - Mino</v>
          </cell>
          <cell r="AE404" t="str">
            <v>ADA_Mino - Danone Arg. S.A. - Mino</v>
          </cell>
          <cell r="AF404" t="str">
            <v>ADA_Mino - Danone Arg. S.A. - Mino</v>
          </cell>
          <cell r="AG404" t="str">
            <v>ADA_Mino - Danone Arg. S.A. - Mino</v>
          </cell>
          <cell r="AH404" t="str">
            <v>ADA_Mino - Danone Arg. S.A. - Mino</v>
          </cell>
          <cell r="AI404" t="str">
            <v>ADA_Mino - Danone Arg. S.A. - Mino</v>
          </cell>
          <cell r="AJ404" t="str">
            <v>ADA_Mino - Danone Arg. S.A. - Mino</v>
          </cell>
          <cell r="AK404" t="str">
            <v>ADA_Mino - Danone Arg. S.A. - Mino</v>
          </cell>
          <cell r="AL404" t="str">
            <v>ADA_Mino - Danone Arg. S.A. - Mino</v>
          </cell>
          <cell r="AM404" t="str">
            <v>ADA_Mino - Danone Arg. S.A. - Mino</v>
          </cell>
          <cell r="AN404" t="str">
            <v>ADA_Mino - Danone Arg. S.A. - Mino</v>
          </cell>
          <cell r="AO404" t="str">
            <v>ADA_Mino - Danone Arg. S.A. - Mino</v>
          </cell>
          <cell r="AP404" t="str">
            <v>ADA_Mino - Danone Arg. S.A. - Mino</v>
          </cell>
          <cell r="AQ404" t="str">
            <v>ADA_Mino - Danone Arg. S.A. - Mino</v>
          </cell>
          <cell r="AR404" t="str">
            <v>ADA_Mino - Danone Arg. S.A. - Mino</v>
          </cell>
          <cell r="AS404" t="str">
            <v>ADA_Mino - Danone Arg. S.A. - Mino</v>
          </cell>
          <cell r="AT404" t="str">
            <v>ADA_Mino - Danone Arg. S.A. - Mino</v>
          </cell>
          <cell r="AU404" t="str">
            <v>ADA_Mino - Danone Arg. S.A. - Mino</v>
          </cell>
          <cell r="AV404" t="str">
            <v>ADA_Mino - Danone Arg. S.A. - Mino</v>
          </cell>
          <cell r="AW404" t="str">
            <v>ADA_Mino - Danone Arg. S.A. - Mino</v>
          </cell>
          <cell r="AX404" t="str">
            <v>CMQ_TTE - QUILMES TTE</v>
          </cell>
          <cell r="AY404" t="str">
            <v>CMQ_TTE - QUILMES TTE</v>
          </cell>
          <cell r="AZ404" t="str">
            <v>CMQ_TTE - QUILMES TTE</v>
          </cell>
          <cell r="BA404" t="str">
            <v>CMQ_TTE - QUILMES TTE</v>
          </cell>
          <cell r="BB404" t="str">
            <v>CMQ_TTE - QUILMES TTE</v>
          </cell>
          <cell r="BC404" t="str">
            <v>CMQ_TTE - QUILMES TTE</v>
          </cell>
          <cell r="BD404" t="str">
            <v>CMQ_TTE - QUILMES TTE</v>
          </cell>
          <cell r="BE404" t="str">
            <v>CMQ_TTE - QUILMES TTE</v>
          </cell>
          <cell r="BF404" t="str">
            <v>CMQ_TTE - QUILMES TTE</v>
          </cell>
          <cell r="BG404" t="str">
            <v>CMQ_TTE - QUILMES TTE</v>
          </cell>
          <cell r="BH404" t="str">
            <v>CMQ_TTE - QUILMES TTE</v>
          </cell>
          <cell r="BI404" t="str">
            <v>CMQ_TTE - QUILMES TTE</v>
          </cell>
          <cell r="BJ404" t="str">
            <v>CMQ_TTE - QUILMES TTE</v>
          </cell>
          <cell r="BK404" t="str">
            <v>CMQ_TTE - QUILMES TTE</v>
          </cell>
          <cell r="BL404" t="str">
            <v>CMQ_TTE - QUILMES TTE</v>
          </cell>
          <cell r="BM404" t="str">
            <v>CMQ_TTE - QUILMES TTE</v>
          </cell>
          <cell r="BN404" t="str">
            <v>CMQ_TTE - QUILMES TTE</v>
          </cell>
          <cell r="BO404" t="str">
            <v>CMQ_TTE - QUILMES TTE</v>
          </cell>
          <cell r="BP404" t="str">
            <v>CMQ_TTE - QUILMES TTE</v>
          </cell>
          <cell r="BQ404" t="str">
            <v>CMQ_TTE - QUILMES TTE</v>
          </cell>
          <cell r="BR404" t="str">
            <v>CMQ_TTE - QUILMES TTE</v>
          </cell>
          <cell r="BS404" t="str">
            <v>CMQ_TTE - QUILMES TTE</v>
          </cell>
          <cell r="BT404" t="str">
            <v>CMQ_TTE - QUILMES TTE</v>
          </cell>
          <cell r="BU404" t="str">
            <v>CMQ_TTE - QUILMES TTE</v>
          </cell>
          <cell r="BV404" t="str">
            <v>CMQ_TTE - QUILMES TTE</v>
          </cell>
          <cell r="BW404" t="str">
            <v>CMQ_TTE - QUILMES TTE</v>
          </cell>
          <cell r="BX404" t="str">
            <v>CMQ_TTE - QUILMES TTE</v>
          </cell>
          <cell r="BY404" t="str">
            <v>CMQ_TTE - QUILMES TTE</v>
          </cell>
          <cell r="BZ404" t="str">
            <v>CMQ_TTE - QUILMES TTE</v>
          </cell>
          <cell r="CA404" t="str">
            <v>CMQ_TTE - QUILMES TTE</v>
          </cell>
          <cell r="CB404" t="str">
            <v>CMQ_TTE - QUILMES TTE</v>
          </cell>
          <cell r="CC404" t="str">
            <v>CMQ_TTE - QUILMES TTE</v>
          </cell>
          <cell r="CD404" t="str">
            <v>CMQ_TTE - QUILMES TTE</v>
          </cell>
          <cell r="CE404" t="str">
            <v>CMQ_TTE - QUILMES TTE</v>
          </cell>
          <cell r="CF404" t="str">
            <v>CMQ_TTE - QUILMES TTE</v>
          </cell>
          <cell r="CG404" t="str">
            <v>CMQ_TTE - QUILMES TTE</v>
          </cell>
          <cell r="CH404" t="str">
            <v>CMQ_TTE - QUILMES TTE</v>
          </cell>
          <cell r="CI404" t="str">
            <v>CMQ_TTE - QUILMES TTE</v>
          </cell>
          <cell r="CJ404" t="str">
            <v>CMQ_TTE - QUILMES TTE</v>
          </cell>
          <cell r="CK404" t="str">
            <v>CMQ_TTE - QUILMES TTE</v>
          </cell>
          <cell r="CL404" t="str">
            <v>CMQ_TTE - QUILMES TTE</v>
          </cell>
          <cell r="CM404" t="str">
            <v>CMQ_TTE - QUILMES TTE</v>
          </cell>
          <cell r="CN404" t="str">
            <v>CMQ_TTE - QUILMES TTE</v>
          </cell>
          <cell r="CO404" t="str">
            <v>CMQ_TTE - QUILMES TTE</v>
          </cell>
          <cell r="CP404" t="str">
            <v>CMQ_TTE - QUILMES TTE</v>
          </cell>
          <cell r="CQ404" t="str">
            <v>CMQ_TTE - QUILMES TTE</v>
          </cell>
          <cell r="CR404" t="str">
            <v>CMQ_TTE - QUILMES TTE</v>
          </cell>
          <cell r="CS404" t="str">
            <v>CMQ_TTE - QUILMES TTE</v>
          </cell>
          <cell r="CT404" t="str">
            <v>CMQ_TTE - QUILMES TTE</v>
          </cell>
          <cell r="CU404" t="str">
            <v>CMQ_TTE - QUILMES TTE</v>
          </cell>
          <cell r="CV404" t="str">
            <v>CMQ_TTE - QUILMES TTE</v>
          </cell>
          <cell r="CW404" t="str">
            <v>CMQ_TTE - QUILMES TTE</v>
          </cell>
        </row>
        <row r="405">
          <cell r="D405" t="str">
            <v>OHH593</v>
          </cell>
          <cell r="E405" t="str">
            <v>Chasis</v>
          </cell>
          <cell r="F405" t="str">
            <v>Chasis</v>
          </cell>
          <cell r="G405" t="str">
            <v>Chasis</v>
          </cell>
          <cell r="N405" t="str">
            <v>CODYLSA</v>
          </cell>
          <cell r="O405" t="str">
            <v>CODYLSA</v>
          </cell>
          <cell r="P405" t="str">
            <v>No</v>
          </cell>
          <cell r="Q405" t="str">
            <v>Propio</v>
          </cell>
          <cell r="R405">
            <v>12</v>
          </cell>
          <cell r="S405" t="str">
            <v>Propio</v>
          </cell>
          <cell r="T405" t="str">
            <v>MERCEDES BENZ</v>
          </cell>
          <cell r="U405" t="str">
            <v>ATRON 1720/48  FRONTAL</v>
          </cell>
          <cell r="V405" t="str">
            <v>904980U1112780</v>
          </cell>
          <cell r="W405" t="str">
            <v>8AB693186FA600963</v>
          </cell>
          <cell r="X405">
            <v>2014</v>
          </cell>
          <cell r="Y405">
            <v>12</v>
          </cell>
          <cell r="Z405" t="str">
            <v>Danone SMK</v>
          </cell>
          <cell r="AA405" t="str">
            <v>ADA_SMK - Danone Arg. S.A. - SMK</v>
          </cell>
          <cell r="AB405" t="str">
            <v>ADA_SMK - Danone Arg. S.A. - SMK</v>
          </cell>
          <cell r="AC405" t="str">
            <v>ADA_SMK - Danone Arg. S.A. - SMK</v>
          </cell>
          <cell r="AD405" t="str">
            <v>ADA_SMK - Danone Arg. S.A. - SMK</v>
          </cell>
          <cell r="AE405" t="str">
            <v>ADA_SMK - Danone Arg. S.A. - SMK</v>
          </cell>
          <cell r="AF405" t="str">
            <v>ADA_SMK - Danone Arg. S.A. - SMK</v>
          </cell>
          <cell r="AG405" t="str">
            <v>ADA_SMK - Danone Arg. S.A. - SMK</v>
          </cell>
          <cell r="AH405" t="str">
            <v>ADA_SMK - Danone Arg. S.A. - SMK</v>
          </cell>
          <cell r="AI405" t="str">
            <v>ADA_SMK - Danone Arg. S.A. - SMK</v>
          </cell>
          <cell r="AJ405" t="str">
            <v>ADA_SMK - Danone Arg. S.A. - SMK</v>
          </cell>
          <cell r="AK405" t="str">
            <v>ADA_SMK - Danone Arg. S.A. - SMK</v>
          </cell>
          <cell r="AL405" t="str">
            <v>ADA_SMK - Danone Arg. S.A. - SMK</v>
          </cell>
          <cell r="AM405" t="str">
            <v>ADA_SMK - Danone Arg. S.A. - SMK</v>
          </cell>
          <cell r="AN405" t="str">
            <v>ADA_SMK - Danone Arg. S.A. - SMK</v>
          </cell>
          <cell r="AO405" t="str">
            <v>ADA_SMK - Danone Arg. S.A. - SMK</v>
          </cell>
          <cell r="AP405" t="str">
            <v>ADA_SMK - Danone Arg. S.A. - SMK</v>
          </cell>
          <cell r="AQ405" t="str">
            <v>ADA_SMK - Danone Arg. S.A. - SMK</v>
          </cell>
          <cell r="AR405" t="str">
            <v>ADA_SMK - Danone Arg. S.A. - SMK</v>
          </cell>
          <cell r="AS405" t="str">
            <v>ADA_SMK - Danone Arg. S.A. - SMK</v>
          </cell>
          <cell r="AT405" t="str">
            <v>ADA_SMK - Danone Arg. S.A. - SMK</v>
          </cell>
          <cell r="AU405" t="str">
            <v>ADA_SMK - Danone Arg. S.A. - SMK</v>
          </cell>
          <cell r="AV405" t="str">
            <v>ADA_SMK - Danone Arg. S.A. - SMK</v>
          </cell>
          <cell r="AW405" t="str">
            <v>ADA_SMK - Danone Arg. S.A. - SMK</v>
          </cell>
          <cell r="AX405" t="str">
            <v>ADA_SMK - Danone Arg. S.A. - SMK</v>
          </cell>
          <cell r="AY405" t="str">
            <v>ADA_SMK - Danone Arg. S.A. - SMK</v>
          </cell>
          <cell r="AZ405" t="str">
            <v>ADA_SMK - Danone Arg. S.A. - SMK</v>
          </cell>
          <cell r="BA405" t="str">
            <v>ADA_SMK - Danone Arg. S.A. - SMK</v>
          </cell>
          <cell r="BB405" t="str">
            <v>ADA_SMK - Danone Arg. S.A. - SMK</v>
          </cell>
          <cell r="BC405" t="str">
            <v>ADA_SMK - Danone Arg. S.A. - SMK</v>
          </cell>
          <cell r="BD405" t="str">
            <v>ADA_SMK - Danone Arg. S.A. - SMK</v>
          </cell>
          <cell r="BE405" t="str">
            <v>ADA_SMK - Danone Arg. S.A. - SMK</v>
          </cell>
          <cell r="BF405" t="str">
            <v>ADA_SMK - Danone Arg. S.A. - SMK</v>
          </cell>
          <cell r="BG405" t="str">
            <v>ADA_SMK - Danone Arg. S.A. - SMK</v>
          </cell>
          <cell r="BH405" t="str">
            <v>ADA_SMK - Danone Arg. S.A. - SMK</v>
          </cell>
          <cell r="BI405" t="str">
            <v>ADA_Mino - Danone Arg. S.A. - Mino</v>
          </cell>
          <cell r="BJ405" t="str">
            <v>ADA_Mino - Danone Arg. S.A. - Mino</v>
          </cell>
          <cell r="BK405" t="str">
            <v>ADA_Mino - Danone Arg. S.A. - Mino</v>
          </cell>
          <cell r="BL405" t="str">
            <v>ADA_Mino - Danone Arg. S.A. - Mino</v>
          </cell>
          <cell r="BM405" t="str">
            <v>ADA_Mino - Danone Arg. S.A. - Mino</v>
          </cell>
          <cell r="BN405" t="str">
            <v>ADA_Mino - Danone Arg. S.A. - Mino</v>
          </cell>
          <cell r="BO405" t="str">
            <v>ADA_Mino - Danone Arg. S.A. - Mino</v>
          </cell>
          <cell r="BP405" t="str">
            <v>ADA_Mino - Danone Arg. S.A. - Mino</v>
          </cell>
          <cell r="BQ405" t="str">
            <v>ADA_Mino - Danone Arg. S.A. - Mino</v>
          </cell>
          <cell r="BR405" t="str">
            <v>ADA_Mino - Danone Arg. S.A. - Mino</v>
          </cell>
          <cell r="BS405" t="str">
            <v>ADA_Mino - Danone Arg. S.A. - Mino</v>
          </cell>
          <cell r="BT405" t="str">
            <v>ADA_Mino - Danone Arg. S.A. - Mino</v>
          </cell>
          <cell r="BU405" t="str">
            <v>CCUCoAZA</v>
          </cell>
          <cell r="BV405" t="str">
            <v>CCUCoAZA</v>
          </cell>
          <cell r="BW405" t="str">
            <v>CCUCoAZA</v>
          </cell>
          <cell r="BX405" t="str">
            <v>CCUCoAZA</v>
          </cell>
          <cell r="BY405" t="str">
            <v>CCUCoAZA</v>
          </cell>
          <cell r="BZ405" t="str">
            <v>CCUCoAZA</v>
          </cell>
          <cell r="CA405" t="str">
            <v>CCUCoAZA</v>
          </cell>
          <cell r="CB405" t="str">
            <v>CCUCoAZA</v>
          </cell>
          <cell r="CC405" t="str">
            <v>CCUCoAZA</v>
          </cell>
          <cell r="CD405" t="str">
            <v>CCUCoAZA</v>
          </cell>
          <cell r="CE405" t="str">
            <v>CCUCoAZA</v>
          </cell>
          <cell r="CF405" t="str">
            <v>CCUCoAZA</v>
          </cell>
          <cell r="CG405" t="str">
            <v>CCUCoAZA</v>
          </cell>
          <cell r="CH405" t="str">
            <v>CCUCoAZA</v>
          </cell>
          <cell r="CI405" t="str">
            <v>CCUCoAZA</v>
          </cell>
          <cell r="CJ405" t="str">
            <v>CCUCoAZA</v>
          </cell>
          <cell r="CK405" t="str">
            <v>CCUCoAZA</v>
          </cell>
          <cell r="CL405" t="str">
            <v>CCUCoAZA</v>
          </cell>
          <cell r="CM405" t="str">
            <v>CCUCoAZA</v>
          </cell>
          <cell r="CN405" t="str">
            <v>CCUCoAZA</v>
          </cell>
          <cell r="CO405" t="str">
            <v>CCUCoAZA</v>
          </cell>
          <cell r="CP405" t="str">
            <v>CCUCoAZA</v>
          </cell>
          <cell r="CQ405" t="str">
            <v>CCUCoAZA</v>
          </cell>
          <cell r="CR405" t="str">
            <v>CCUCoAZA</v>
          </cell>
          <cell r="CS405" t="str">
            <v>CCUCoAZA</v>
          </cell>
          <cell r="CT405" t="str">
            <v>CCUCoAZA</v>
          </cell>
          <cell r="CU405" t="str">
            <v>CCUCoAZA</v>
          </cell>
          <cell r="CV405" t="str">
            <v>CCUCoAZA</v>
          </cell>
          <cell r="CW405" t="str">
            <v>CCUCoAZA</v>
          </cell>
        </row>
        <row r="406">
          <cell r="D406" t="str">
            <v>OHH595</v>
          </cell>
          <cell r="E406" t="str">
            <v>Chasis</v>
          </cell>
          <cell r="F406" t="str">
            <v>Chasis</v>
          </cell>
          <cell r="G406" t="str">
            <v>Chasis</v>
          </cell>
          <cell r="N406" t="str">
            <v>CODYLSA</v>
          </cell>
          <cell r="O406" t="str">
            <v>CODYLSA</v>
          </cell>
          <cell r="P406" t="str">
            <v>No</v>
          </cell>
          <cell r="Q406" t="str">
            <v>Propio</v>
          </cell>
          <cell r="R406">
            <v>12</v>
          </cell>
          <cell r="S406" t="str">
            <v>Propio</v>
          </cell>
          <cell r="T406" t="str">
            <v>MERCEDES BENZ</v>
          </cell>
          <cell r="U406" t="str">
            <v>ATRON 1720/48  FRONTAL</v>
          </cell>
          <cell r="V406" t="str">
            <v>904980U1111953</v>
          </cell>
          <cell r="W406" t="str">
            <v>8AB693186FA600952</v>
          </cell>
          <cell r="X406">
            <v>2014</v>
          </cell>
          <cell r="Y406">
            <v>12</v>
          </cell>
          <cell r="Z406" t="str">
            <v>Danone SMK</v>
          </cell>
          <cell r="AA406" t="str">
            <v>ADA_SMK - Danone Arg. S.A. - SMK</v>
          </cell>
          <cell r="AB406" t="str">
            <v>ADA_SMK - Danone Arg. S.A. - SMK</v>
          </cell>
          <cell r="AC406" t="str">
            <v>ADA_SMK - Danone Arg. S.A. - SMK</v>
          </cell>
          <cell r="AD406" t="str">
            <v>ADA_SMK - Danone Arg. S.A. - SMK</v>
          </cell>
          <cell r="AE406" t="str">
            <v>ADA_SMK - Danone Arg. S.A. - SMK</v>
          </cell>
          <cell r="AF406" t="str">
            <v>ADA_SMK - Danone Arg. S.A. - SMK</v>
          </cell>
          <cell r="AG406" t="str">
            <v>ADA_SMK - Danone Arg. S.A. - SMK</v>
          </cell>
          <cell r="AH406" t="str">
            <v>ADA_SMK - Danone Arg. S.A. - SMK</v>
          </cell>
          <cell r="AI406" t="str">
            <v>ADA_SMK - Danone Arg. S.A. - SMK</v>
          </cell>
          <cell r="AJ406" t="str">
            <v>ADA_SMK - Danone Arg. S.A. - SMK</v>
          </cell>
          <cell r="AK406" t="str">
            <v>ADA_SMK - Danone Arg. S.A. - SMK</v>
          </cell>
          <cell r="AL406" t="str">
            <v>ADA_SMK - Danone Arg. S.A. - SMK</v>
          </cell>
          <cell r="AM406" t="str">
            <v>ADA_SMK - Danone Arg. S.A. - SMK</v>
          </cell>
          <cell r="AN406" t="str">
            <v>ADA_SMK - Danone Arg. S.A. - SMK</v>
          </cell>
          <cell r="AO406" t="str">
            <v>ADA_SMK - Danone Arg. S.A. - SMK</v>
          </cell>
          <cell r="AP406" t="str">
            <v>ADA_SMK - Danone Arg. S.A. - SMK</v>
          </cell>
          <cell r="AQ406" t="str">
            <v>ADA_SMK - Danone Arg. S.A. - SMK</v>
          </cell>
          <cell r="AR406" t="str">
            <v>ADA_SMK - Danone Arg. S.A. - SMK</v>
          </cell>
          <cell r="AS406" t="str">
            <v>ADA_SMK - Danone Arg. S.A. - SMK</v>
          </cell>
          <cell r="AT406" t="str">
            <v>ADA_SMK - Danone Arg. S.A. - SMK</v>
          </cell>
          <cell r="AU406" t="str">
            <v>ADA_SMK - Danone Arg. S.A. - SMK</v>
          </cell>
          <cell r="AV406" t="str">
            <v>ADA_SMK - Danone Arg. S.A. - SMK</v>
          </cell>
          <cell r="AW406" t="str">
            <v>ADA_SMK - Danone Arg. S.A. - SMK</v>
          </cell>
          <cell r="AX406" t="str">
            <v>ADA_SMK - Danone Arg. S.A. - SMK</v>
          </cell>
          <cell r="AY406" t="str">
            <v>ADA_SMK - Danone Arg. S.A. - SMK</v>
          </cell>
          <cell r="AZ406" t="str">
            <v>ADA_SMK - Danone Arg. S.A. - SMK</v>
          </cell>
          <cell r="BA406" t="str">
            <v>ADA_SMK - Danone Arg. S.A. - SMK</v>
          </cell>
          <cell r="BB406" t="str">
            <v>ADA_SMK - Danone Arg. S.A. - SMK</v>
          </cell>
          <cell r="BC406" t="str">
            <v>ADA_SMK - Danone Arg. S.A. - SMK</v>
          </cell>
          <cell r="BD406" t="str">
            <v>ADA_SMK - Danone Arg. S.A. - SMK</v>
          </cell>
          <cell r="BE406" t="str">
            <v>ADA_SMK - Danone Arg. S.A. - SMK</v>
          </cell>
          <cell r="BF406" t="str">
            <v>ADA_SMK - Danone Arg. S.A. - SMK</v>
          </cell>
          <cell r="BG406" t="str">
            <v>ADA_SMK - Danone Arg. S.A. - SMK</v>
          </cell>
          <cell r="BH406" t="str">
            <v>ADA_SMK - Danone Arg. S.A. - SMK</v>
          </cell>
          <cell r="BI406" t="str">
            <v>ADA_SMK - Danone Arg. S.A. - SMK</v>
          </cell>
          <cell r="BJ406" t="str">
            <v>ADA_SMK - Danone Arg. S.A. - SMK</v>
          </cell>
          <cell r="BK406" t="str">
            <v>ADA_SMK - Danone Arg. S.A. - SMK</v>
          </cell>
          <cell r="BL406" t="str">
            <v>ADA_SMK - Danone Arg. S.A. - SMK</v>
          </cell>
          <cell r="BM406" t="str">
            <v>ADA_SMK - Danone Arg. S.A. - SMK</v>
          </cell>
          <cell r="BN406" t="str">
            <v>ADA_SMK - Danone Arg. S.A. - SMK</v>
          </cell>
          <cell r="BO406" t="str">
            <v>ADA_SMK - Danone Arg. S.A. - SMK</v>
          </cell>
          <cell r="BP406" t="str">
            <v>ADA_SMK - Danone Arg. S.A. - SMK</v>
          </cell>
          <cell r="BQ406" t="str">
            <v>ADA_SMK - Danone Arg. S.A. - SMK</v>
          </cell>
          <cell r="BR406" t="str">
            <v>ADA_SMK - Danone Arg. S.A. - SMK</v>
          </cell>
          <cell r="BS406" t="str">
            <v>ADA_SMK - Danone Arg. S.A. - SMK</v>
          </cell>
          <cell r="BT406" t="str">
            <v>ADA_SMK - Danone Arg. S.A. - SMK</v>
          </cell>
          <cell r="BU406" t="str">
            <v>CCUDyAZA</v>
          </cell>
          <cell r="BV406" t="str">
            <v>CCUDyAZA</v>
          </cell>
          <cell r="BW406" t="str">
            <v>CCUDyAZA</v>
          </cell>
          <cell r="BX406" t="str">
            <v>CCUDyAZA</v>
          </cell>
          <cell r="BY406" t="str">
            <v>CCUDyAZA</v>
          </cell>
          <cell r="BZ406" t="str">
            <v>CCUDyAZA</v>
          </cell>
          <cell r="CA406" t="str">
            <v>CCUDyAZA</v>
          </cell>
          <cell r="CB406" t="str">
            <v>CCUDyAZA</v>
          </cell>
          <cell r="CC406" t="str">
            <v>CCUDyAZA</v>
          </cell>
          <cell r="CD406" t="str">
            <v>CCUDyAZA</v>
          </cell>
          <cell r="CE406" t="str">
            <v>CCUDyAZA</v>
          </cell>
          <cell r="CF406" t="str">
            <v>CCUDyAZA</v>
          </cell>
          <cell r="CG406" t="str">
            <v>CCUDyAZA</v>
          </cell>
          <cell r="CH406" t="str">
            <v>CCUDyAZA</v>
          </cell>
          <cell r="CI406" t="str">
            <v>CCUDyAZA</v>
          </cell>
          <cell r="CJ406" t="str">
            <v>CCUDyAZA</v>
          </cell>
          <cell r="CK406" t="str">
            <v>CCUDyAZA</v>
          </cell>
          <cell r="CL406" t="str">
            <v>CCUDyAZA</v>
          </cell>
          <cell r="CM406" t="str">
            <v>CCUDyAZA</v>
          </cell>
          <cell r="CN406" t="str">
            <v>CCUDyAZA</v>
          </cell>
          <cell r="CO406" t="str">
            <v>CCUDyAZA</v>
          </cell>
          <cell r="CP406" t="str">
            <v>CCUDyAZA</v>
          </cell>
          <cell r="CQ406" t="str">
            <v>CCUDyAZA</v>
          </cell>
          <cell r="CR406" t="str">
            <v>CCUDyAZA</v>
          </cell>
          <cell r="CS406" t="str">
            <v>CCUDyAZA</v>
          </cell>
          <cell r="CT406" t="str">
            <v>CCUDyAZA</v>
          </cell>
          <cell r="CU406" t="str">
            <v>CCUDyAZA</v>
          </cell>
          <cell r="CV406" t="str">
            <v>CCUDyAZA</v>
          </cell>
          <cell r="CW406" t="str">
            <v>CCUDyAZA</v>
          </cell>
        </row>
        <row r="407">
          <cell r="D407" t="str">
            <v>OHH596</v>
          </cell>
          <cell r="E407" t="str">
            <v>Chasis</v>
          </cell>
          <cell r="F407" t="str">
            <v>Chasis</v>
          </cell>
          <cell r="G407" t="str">
            <v>Chasis</v>
          </cell>
          <cell r="N407" t="str">
            <v>CODYLSA</v>
          </cell>
          <cell r="O407" t="str">
            <v>CODYLSA</v>
          </cell>
          <cell r="P407" t="str">
            <v>No</v>
          </cell>
          <cell r="Q407" t="str">
            <v>Propio</v>
          </cell>
          <cell r="R407">
            <v>12</v>
          </cell>
          <cell r="S407" t="str">
            <v>Propio</v>
          </cell>
          <cell r="T407" t="str">
            <v>MERCEDES BENZ</v>
          </cell>
          <cell r="U407" t="str">
            <v>ATRON 1720/48  FRONTAL</v>
          </cell>
          <cell r="V407" t="str">
            <v>904980U1111955</v>
          </cell>
          <cell r="W407" t="str">
            <v>8AB693186FA600945</v>
          </cell>
          <cell r="X407">
            <v>2014</v>
          </cell>
          <cell r="Y407">
            <v>12</v>
          </cell>
          <cell r="Z407" t="str">
            <v>Danone SMK</v>
          </cell>
          <cell r="AA407" t="str">
            <v>ADA_SMK - Danone Arg. S.A. - SMK</v>
          </cell>
          <cell r="AB407" t="str">
            <v>ADA_SMK - Danone Arg. S.A. - SMK</v>
          </cell>
          <cell r="AC407" t="str">
            <v>ADA_SMK - Danone Arg. S.A. - SMK</v>
          </cell>
          <cell r="AD407" t="str">
            <v>ADA_SMK - Danone Arg. S.A. - SMK</v>
          </cell>
          <cell r="AE407" t="str">
            <v>ADA_SMK - Danone Arg. S.A. - SMK</v>
          </cell>
          <cell r="AF407" t="str">
            <v>ADA_SMK - Danone Arg. S.A. - SMK</v>
          </cell>
          <cell r="AG407" t="str">
            <v>ADA_SMK - Danone Arg. S.A. - SMK</v>
          </cell>
          <cell r="AH407" t="str">
            <v>ADA_SMK - Danone Arg. S.A. - SMK</v>
          </cell>
          <cell r="AI407" t="str">
            <v>ADA_SMK - Danone Arg. S.A. - SMK</v>
          </cell>
          <cell r="AJ407" t="str">
            <v>ADA_SMK - Danone Arg. S.A. - SMK</v>
          </cell>
          <cell r="AK407" t="str">
            <v>ADA_SMK - Danone Arg. S.A. - SMK</v>
          </cell>
          <cell r="AL407" t="str">
            <v>ADA_SMK - Danone Arg. S.A. - SMK</v>
          </cell>
          <cell r="AM407" t="str">
            <v>ADA_SMK - Danone Arg. S.A. - SMK</v>
          </cell>
          <cell r="AN407" t="str">
            <v>ADA_SMK - Danone Arg. S.A. - SMK</v>
          </cell>
          <cell r="AO407" t="str">
            <v>ADA_SMK - Danone Arg. S.A. - SMK</v>
          </cell>
          <cell r="AP407" t="str">
            <v>ADA_SMK - Danone Arg. S.A. - SMK</v>
          </cell>
          <cell r="AQ407" t="str">
            <v>ADA_SMK - Danone Arg. S.A. - SMK</v>
          </cell>
          <cell r="AR407" t="str">
            <v>ADA_SMK - Danone Arg. S.A. - SMK</v>
          </cell>
          <cell r="AS407" t="str">
            <v>ADA_SMK - Danone Arg. S.A. - SMK</v>
          </cell>
          <cell r="AT407" t="str">
            <v>ADA_SMK - Danone Arg. S.A. - SMK</v>
          </cell>
          <cell r="AU407" t="str">
            <v>ADA_SMK - Danone Arg. S.A. - SMK</v>
          </cell>
          <cell r="AV407" t="str">
            <v>ADA_SMK - Danone Arg. S.A. - SMK</v>
          </cell>
          <cell r="AW407" t="str">
            <v>ADA_SMK - Danone Arg. S.A. - SMK</v>
          </cell>
          <cell r="AX407" t="str">
            <v>ADA_SMK - Danone Arg. S.A. - SMK</v>
          </cell>
          <cell r="AY407" t="str">
            <v>ADA_SMK - Danone Arg. S.A. - SMK</v>
          </cell>
          <cell r="AZ407" t="str">
            <v>ADA_SMK - Danone Arg. S.A. - SMK</v>
          </cell>
          <cell r="BA407" t="str">
            <v>ADA_SMK - Danone Arg. S.A. - SMK</v>
          </cell>
          <cell r="BB407" t="str">
            <v>ADA_SMK - Danone Arg. S.A. - SMK</v>
          </cell>
          <cell r="BC407" t="str">
            <v>ADA_SMK - Danone Arg. S.A. - SMK</v>
          </cell>
          <cell r="BD407" t="str">
            <v>ADA_SMK - Danone Arg. S.A. - SMK</v>
          </cell>
          <cell r="BE407" t="str">
            <v>ADA_SMK - Danone Arg. S.A. - SMK</v>
          </cell>
          <cell r="BF407" t="str">
            <v>ADA_SMK - Danone Arg. S.A. - SMK</v>
          </cell>
          <cell r="BG407" t="str">
            <v>ADA_SMK - Danone Arg. S.A. - SMK</v>
          </cell>
          <cell r="BH407" t="str">
            <v>ADA_SMK - Danone Arg. S.A. - SMK</v>
          </cell>
          <cell r="BI407" t="str">
            <v>ADA_SMK - Danone Arg. S.A. - SMK</v>
          </cell>
          <cell r="BJ407" t="str">
            <v>ADA_SMK - Danone Arg. S.A. - SMK</v>
          </cell>
          <cell r="BK407" t="str">
            <v>ADA_SMK - Danone Arg. S.A. - SMK</v>
          </cell>
          <cell r="BL407" t="str">
            <v>ADA_SMK - Danone Arg. S.A. - SMK</v>
          </cell>
          <cell r="BM407" t="str">
            <v>ADA_SMK - Danone Arg. S.A. - SMK</v>
          </cell>
          <cell r="BN407" t="str">
            <v>ADA_Mino - Danone Arg. S.A. - Mino</v>
          </cell>
          <cell r="BO407" t="str">
            <v>ADA_Mino - Danone Arg. S.A. - Mino</v>
          </cell>
          <cell r="BP407" t="str">
            <v>ADA_Mino - Danone Arg. S.A. - Mino</v>
          </cell>
          <cell r="BQ407" t="str">
            <v>ADA_Mino - Danone Arg. S.A. - Mino</v>
          </cell>
          <cell r="BR407" t="str">
            <v>ADA_Mino - Danone Arg. S.A. - Mino</v>
          </cell>
          <cell r="BS407" t="str">
            <v>ADA_Mino - Danone Arg. S.A. - Mino</v>
          </cell>
          <cell r="BT407" t="str">
            <v>ADA_Mino - Danone Arg. S.A. - Mino</v>
          </cell>
          <cell r="BU407" t="str">
            <v>CCUCoAZA</v>
          </cell>
          <cell r="BV407" t="str">
            <v>CCUCoAZA</v>
          </cell>
          <cell r="BW407" t="str">
            <v>CCUCoAZA</v>
          </cell>
          <cell r="BX407" t="str">
            <v>CCUCoAZA</v>
          </cell>
          <cell r="BY407" t="str">
            <v>CCUCoAZA</v>
          </cell>
          <cell r="BZ407" t="str">
            <v>CCUCoAZA</v>
          </cell>
          <cell r="CA407" t="str">
            <v>CCUCoAZA</v>
          </cell>
          <cell r="CB407" t="str">
            <v>CCUCoAZA</v>
          </cell>
          <cell r="CC407" t="str">
            <v>CCUCoAZA</v>
          </cell>
          <cell r="CD407" t="str">
            <v>CCUCoAZA</v>
          </cell>
          <cell r="CE407" t="str">
            <v>CCUCoAZA</v>
          </cell>
          <cell r="CF407" t="str">
            <v>CCUCoAZA</v>
          </cell>
          <cell r="CG407" t="str">
            <v>CCUCoAZA</v>
          </cell>
          <cell r="CH407" t="str">
            <v>CCUCoAZA</v>
          </cell>
          <cell r="CI407" t="str">
            <v>CCUCoAZA</v>
          </cell>
          <cell r="CJ407" t="str">
            <v>CCUCoAZA</v>
          </cell>
          <cell r="CK407" t="str">
            <v>CCUCoAZA</v>
          </cell>
          <cell r="CL407" t="str">
            <v>CCUCoAZA</v>
          </cell>
          <cell r="CM407" t="str">
            <v>CCUCoAZA</v>
          </cell>
          <cell r="CN407" t="str">
            <v>CCUCoAZA</v>
          </cell>
          <cell r="CO407" t="str">
            <v>CCUCoAZA</v>
          </cell>
          <cell r="CP407" t="str">
            <v>CCUCoAZA</v>
          </cell>
          <cell r="CQ407" t="str">
            <v>CCUCoAZA</v>
          </cell>
          <cell r="CR407" t="str">
            <v>CCUCoAZA</v>
          </cell>
          <cell r="CS407" t="str">
            <v>CCUCoAZA</v>
          </cell>
          <cell r="CT407" t="str">
            <v>CCUCoAZA</v>
          </cell>
          <cell r="CU407" t="str">
            <v>CCUCoAZA</v>
          </cell>
          <cell r="CV407" t="str">
            <v>CCUCoAZA</v>
          </cell>
          <cell r="CW407" t="str">
            <v>CCUCoAZA</v>
          </cell>
        </row>
        <row r="408">
          <cell r="D408" t="str">
            <v>OHH597</v>
          </cell>
          <cell r="E408" t="str">
            <v>Chasis</v>
          </cell>
          <cell r="F408" t="str">
            <v>Balancin</v>
          </cell>
          <cell r="G408" t="str">
            <v>Balancin</v>
          </cell>
          <cell r="N408" t="str">
            <v>CODYLSA</v>
          </cell>
          <cell r="O408" t="str">
            <v>CODYLSA</v>
          </cell>
          <cell r="P408" t="str">
            <v>No</v>
          </cell>
          <cell r="Q408" t="str">
            <v>Propio</v>
          </cell>
          <cell r="R408">
            <v>12</v>
          </cell>
          <cell r="S408" t="str">
            <v>Propio</v>
          </cell>
          <cell r="T408" t="str">
            <v>MERCEDES BENZ</v>
          </cell>
          <cell r="U408" t="str">
            <v>ATRON 1720/48  FRONTAL</v>
          </cell>
          <cell r="V408" t="str">
            <v>904980U1112766</v>
          </cell>
          <cell r="W408" t="str">
            <v>8AB693186FA600951</v>
          </cell>
          <cell r="X408">
            <v>2014</v>
          </cell>
          <cell r="Y408">
            <v>12</v>
          </cell>
          <cell r="Z408" t="str">
            <v>Danone SMK</v>
          </cell>
          <cell r="AA408" t="str">
            <v>ADA_SMK - Danone Arg. S.A. - SMK</v>
          </cell>
          <cell r="AB408" t="str">
            <v>ADA_SMK - Danone Arg. S.A. - SMK</v>
          </cell>
          <cell r="AC408" t="str">
            <v>ADA_SMK - Danone Arg. S.A. - SMK</v>
          </cell>
          <cell r="AD408" t="str">
            <v>ADA_SMK - Danone Arg. S.A. - SMK</v>
          </cell>
          <cell r="AE408" t="str">
            <v>ADA_SMK - Danone Arg. S.A. - SMK</v>
          </cell>
          <cell r="AF408" t="str">
            <v>ADA_SMK - Danone Arg. S.A. - SMK</v>
          </cell>
          <cell r="AG408" t="str">
            <v>ADA_SMK - Danone Arg. S.A. - SMK</v>
          </cell>
          <cell r="AH408" t="str">
            <v>ADA_SMK - Danone Arg. S.A. - SMK</v>
          </cell>
          <cell r="AI408" t="str">
            <v>ADA_SMK - Danone Arg. S.A. - SMK</v>
          </cell>
          <cell r="AJ408" t="str">
            <v>ADA_SMK - Danone Arg. S.A. - SMK</v>
          </cell>
          <cell r="AK408" t="str">
            <v>ADA_SMK - Danone Arg. S.A. - SMK</v>
          </cell>
          <cell r="AL408" t="str">
            <v>ADA_SMK - Danone Arg. S.A. - SMK</v>
          </cell>
          <cell r="AM408" t="str">
            <v>ADA_SMK - Danone Arg. S.A. - SMK</v>
          </cell>
          <cell r="AN408" t="str">
            <v>ADA_SMK - Danone Arg. S.A. - SMK</v>
          </cell>
          <cell r="AO408" t="str">
            <v>ADA_SMK - Danone Arg. S.A. - SMK</v>
          </cell>
          <cell r="AP408" t="str">
            <v>ADA_SMK - Danone Arg. S.A. - SMK</v>
          </cell>
          <cell r="AQ408" t="str">
            <v>ADA_SMK - Danone Arg. S.A. - SMK</v>
          </cell>
          <cell r="AR408" t="str">
            <v>ADA_SMK - Danone Arg. S.A. - SMK</v>
          </cell>
          <cell r="AS408" t="str">
            <v>ADA_SMK - Danone Arg. S.A. - SMK</v>
          </cell>
          <cell r="AT408" t="str">
            <v>ADA_SMK - Danone Arg. S.A. - SMK</v>
          </cell>
          <cell r="AU408" t="str">
            <v>ADA_SMK - Danone Arg. S.A. - SMK</v>
          </cell>
          <cell r="AV408" t="str">
            <v>ADA_Mino - Danone Arg. S.A. - Mino</v>
          </cell>
          <cell r="AW408" t="str">
            <v>ADA_Mino - Danone Arg. S.A. - Mino</v>
          </cell>
          <cell r="AX408" t="str">
            <v>CMQ_TTE - QUILMES TTE</v>
          </cell>
          <cell r="AY408" t="str">
            <v>CMQ_TTE - QUILMES TTE</v>
          </cell>
          <cell r="AZ408" t="str">
            <v>CMQ_TTE - QUILMES TTE</v>
          </cell>
          <cell r="BA408" t="str">
            <v>CMQ_TTE - QUILMES TTE</v>
          </cell>
          <cell r="BB408" t="str">
            <v>CMQ_TTE - QUILMES TTE</v>
          </cell>
          <cell r="BC408" t="str">
            <v>CMQ_TTE - QUILMES TTE</v>
          </cell>
          <cell r="BD408" t="str">
            <v>CMQ_TTE - QUILMES TTE</v>
          </cell>
          <cell r="BE408" t="str">
            <v>CMQ_TTE - QUILMES TTE</v>
          </cell>
          <cell r="BF408" t="str">
            <v>CMQ_TTE - QUILMES TTE</v>
          </cell>
          <cell r="BG408" t="str">
            <v>CMQ_TTE - QUILMES TTE</v>
          </cell>
          <cell r="BH408" t="str">
            <v>CMQ_TTE - QUILMES TTE</v>
          </cell>
          <cell r="BI408" t="str">
            <v>CMQ_TTE - QUILMES TTE</v>
          </cell>
          <cell r="BJ408" t="str">
            <v>CMQ_TTE - QUILMES TTE</v>
          </cell>
          <cell r="BK408" t="str">
            <v>CMQ_TTE - QUILMES TTE</v>
          </cell>
          <cell r="BL408" t="str">
            <v>CMQ_TTE - QUILMES TTE</v>
          </cell>
          <cell r="BM408" t="str">
            <v>CMQ_TTE - QUILMES TTE</v>
          </cell>
          <cell r="BN408" t="str">
            <v>CMQ_TTE - QUILMES TTE</v>
          </cell>
          <cell r="BO408" t="str">
            <v>CMQ_TTE - QUILMES TTE</v>
          </cell>
          <cell r="BP408" t="str">
            <v>CMQ_TTE - QUILMES TTE</v>
          </cell>
          <cell r="BQ408" t="str">
            <v>CMQ_TTE - QUILMES TTE</v>
          </cell>
          <cell r="BR408" t="str">
            <v>CMQ_TTE - QUILMES TTE</v>
          </cell>
          <cell r="BS408" t="str">
            <v>CMQ_TTE - QUILMES TTE</v>
          </cell>
          <cell r="BT408" t="str">
            <v>CMQ_TTE - QUILMES TTE</v>
          </cell>
          <cell r="BU408" t="str">
            <v>CMQ_TTE - QUILMES TTE</v>
          </cell>
          <cell r="BV408" t="str">
            <v>CMQ_TTE - QUILMES TTE</v>
          </cell>
          <cell r="BW408" t="str">
            <v>CMQ_TTE - QUILMES TTE</v>
          </cell>
          <cell r="BX408" t="str">
            <v>CMQ_TTE - QUILMES TTE</v>
          </cell>
          <cell r="BY408" t="str">
            <v>CMQ_TTE - QUILMES TTE</v>
          </cell>
          <cell r="BZ408" t="str">
            <v>CMQ_TTE - QUILMES TTE</v>
          </cell>
          <cell r="CA408" t="str">
            <v>CMQ_TTE - QUILMES TTE</v>
          </cell>
          <cell r="CB408" t="str">
            <v>CMQ_TTE - QUILMES TTE</v>
          </cell>
          <cell r="CC408" t="str">
            <v>CMQ_TTE - QUILMES TTE</v>
          </cell>
          <cell r="CD408" t="str">
            <v>CMQ_TTE - QUILMES TTE</v>
          </cell>
          <cell r="CE408" t="str">
            <v>CMQ_TTE - QUILMES TTE</v>
          </cell>
          <cell r="CF408" t="str">
            <v>CMQ_TTE - QUILMES TTE</v>
          </cell>
          <cell r="CG408" t="str">
            <v>CMQ_TTE - QUILMES TTE</v>
          </cell>
          <cell r="CH408" t="str">
            <v>CMQ_TTE - QUILMES TTE</v>
          </cell>
          <cell r="CI408" t="str">
            <v>CMQ_TTE - QUILMES TTE</v>
          </cell>
          <cell r="CJ408" t="str">
            <v>CMQ_TTE - QUILMES TTE</v>
          </cell>
          <cell r="CK408" t="str">
            <v>CMQ_TTE - QUILMES TTE</v>
          </cell>
          <cell r="CL408" t="str">
            <v>CMQ_TTE - QUILMES TTE</v>
          </cell>
          <cell r="CM408" t="str">
            <v>CMQ_TTE - QUILMES TTE</v>
          </cell>
          <cell r="CN408" t="str">
            <v>CMQ_TTE - QUILMES TTE</v>
          </cell>
          <cell r="CO408" t="str">
            <v>CMQ_TTE - QUILMES TTE</v>
          </cell>
          <cell r="CP408" t="str">
            <v>CMQ_TTE - QUILMES TTE</v>
          </cell>
          <cell r="CQ408" t="str">
            <v>CMQ_TTE - QUILMES TTE</v>
          </cell>
          <cell r="CR408" t="str">
            <v>CMQ_TTE - QUILMES TTE</v>
          </cell>
          <cell r="CS408" t="str">
            <v>CMQ_TTE - QUILMES TTE</v>
          </cell>
          <cell r="CT408" t="str">
            <v>CMQ_TTE - QUILMES TTE</v>
          </cell>
          <cell r="CU408" t="str">
            <v>CMQ_TTE - QUILMES TTE</v>
          </cell>
          <cell r="CV408" t="str">
            <v>CMQ_TTE - QUILMES TTE</v>
          </cell>
          <cell r="CW408" t="str">
            <v>CMQ_TTE - QUILMES TTE</v>
          </cell>
        </row>
        <row r="409">
          <cell r="D409" t="str">
            <v>OIC418</v>
          </cell>
          <cell r="E409" t="str">
            <v>Chasis</v>
          </cell>
          <cell r="F409" t="str">
            <v>Chasis</v>
          </cell>
          <cell r="G409" t="str">
            <v>Chasis</v>
          </cell>
          <cell r="N409" t="str">
            <v>CODYLSA</v>
          </cell>
          <cell r="O409" t="str">
            <v>CODYLSA</v>
          </cell>
          <cell r="P409" t="str">
            <v>No</v>
          </cell>
          <cell r="Q409" t="str">
            <v>Propio</v>
          </cell>
          <cell r="R409">
            <v>12</v>
          </cell>
          <cell r="S409" t="str">
            <v>Propio</v>
          </cell>
          <cell r="T409" t="str">
            <v>MERCEDES BENZ</v>
          </cell>
          <cell r="U409" t="str">
            <v>ATRON 1720/48  FRONTAL</v>
          </cell>
          <cell r="V409" t="str">
            <v>904980U1111651</v>
          </cell>
          <cell r="W409" t="str">
            <v>8SB693186FA600939</v>
          </cell>
          <cell r="X409">
            <v>2014</v>
          </cell>
          <cell r="Y409">
            <v>12</v>
          </cell>
          <cell r="Z409" t="str">
            <v>Danone SMK</v>
          </cell>
          <cell r="AA409" t="str">
            <v>ADA_SMK - Danone Arg. S.A. - SMK</v>
          </cell>
          <cell r="AB409" t="str">
            <v>ADA_SMK - Danone Arg. S.A. - SMK</v>
          </cell>
          <cell r="AC409" t="str">
            <v>ADA_SMK - Danone Arg. S.A. - SMK</v>
          </cell>
          <cell r="AD409" t="str">
            <v>ADA_SMK - Danone Arg. S.A. - SMK</v>
          </cell>
          <cell r="AE409" t="str">
            <v>ADA_SMK - Danone Arg. S.A. - SMK</v>
          </cell>
          <cell r="AF409" t="str">
            <v>ADA_SMK - Danone Arg. S.A. - SMK</v>
          </cell>
          <cell r="AG409" t="str">
            <v>ADA_SMK - Danone Arg. S.A. - SMK</v>
          </cell>
          <cell r="AH409" t="str">
            <v>ADA_SMK - Danone Arg. S.A. - SMK</v>
          </cell>
          <cell r="AI409" t="str">
            <v>ADA_SMK - Danone Arg. S.A. - SMK</v>
          </cell>
          <cell r="AJ409" t="str">
            <v>ADA_SMK - Danone Arg. S.A. - SMK</v>
          </cell>
          <cell r="AK409" t="str">
            <v>ADA_SMK - Danone Arg. S.A. - SMK</v>
          </cell>
          <cell r="AL409" t="str">
            <v>ADA_SMK - Danone Arg. S.A. - SMK</v>
          </cell>
          <cell r="AM409" t="str">
            <v>ADA_SMK - Danone Arg. S.A. - SMK</v>
          </cell>
          <cell r="AN409" t="str">
            <v>ADA_SMK - Danone Arg. S.A. - SMK</v>
          </cell>
          <cell r="AO409" t="str">
            <v>ADA_SMK - Danone Arg. S.A. - SMK</v>
          </cell>
          <cell r="AP409" t="str">
            <v>ADA_SMK - Danone Arg. S.A. - SMK</v>
          </cell>
          <cell r="AQ409" t="str">
            <v>ADA_SMK - Danone Arg. S.A. - SMK</v>
          </cell>
          <cell r="AR409" t="str">
            <v>ADA_SMK - Danone Arg. S.A. - SMK</v>
          </cell>
          <cell r="AS409" t="str">
            <v>ADA_SMK - Danone Arg. S.A. - SMK</v>
          </cell>
          <cell r="AT409" t="str">
            <v>ADA_SMK - Danone Arg. S.A. - SMK</v>
          </cell>
          <cell r="AU409" t="str">
            <v>ADA_SMK - Danone Arg. S.A. - SMK</v>
          </cell>
          <cell r="AV409" t="str">
            <v>ADA_SMK - Danone Arg. S.A. - SMK</v>
          </cell>
          <cell r="AW409" t="str">
            <v>ADA_SMK - Danone Arg. S.A. - SMK</v>
          </cell>
          <cell r="AX409" t="str">
            <v>ADA_SMK - Danone Arg. S.A. - SMK</v>
          </cell>
          <cell r="AY409" t="str">
            <v>ADA_SMK - Danone Arg. S.A. - SMK</v>
          </cell>
          <cell r="AZ409" t="str">
            <v>ADA_SMK - Danone Arg. S.A. - SMK</v>
          </cell>
          <cell r="BA409" t="str">
            <v>ADA_SMK - Danone Arg. S.A. - SMK</v>
          </cell>
          <cell r="BB409" t="str">
            <v>ADA_SMK - Danone Arg. S.A. - SMK</v>
          </cell>
          <cell r="BC409" t="str">
            <v>ADA_SMK - Danone Arg. S.A. - SMK</v>
          </cell>
          <cell r="BD409" t="str">
            <v>ADA_SMK - Danone Arg. S.A. - SMK</v>
          </cell>
          <cell r="BE409" t="str">
            <v>ADA_SMK - Danone Arg. S.A. - SMK</v>
          </cell>
          <cell r="BF409" t="str">
            <v>ADA_SMK - Danone Arg. S.A. - SMK</v>
          </cell>
          <cell r="BG409" t="str">
            <v>ADA_SMK - Danone Arg. S.A. - SMK</v>
          </cell>
          <cell r="BH409" t="str">
            <v>ADA_SMK - Danone Arg. S.A. - SMK</v>
          </cell>
          <cell r="BI409" t="str">
            <v>ADA_SMK - Danone Arg. S.A. - SMK</v>
          </cell>
          <cell r="BJ409" t="str">
            <v>ADA_SMK - Danone Arg. S.A. - SMK</v>
          </cell>
          <cell r="BK409" t="str">
            <v>ADA_SMK - Danone Arg. S.A. - SMK</v>
          </cell>
          <cell r="BL409" t="str">
            <v>ADA_SMK - Danone Arg. S.A. - SMK</v>
          </cell>
          <cell r="BM409" t="str">
            <v>ADA_SMK - Danone Arg. S.A. - SMK</v>
          </cell>
          <cell r="BN409" t="str">
            <v>ADA_SMK - Danone Arg. S.A. - SMK</v>
          </cell>
          <cell r="BO409" t="str">
            <v>ADA_SMK - Danone Arg. S.A. - SMK</v>
          </cell>
          <cell r="BP409" t="str">
            <v>ADA_SMK - Danone Arg. S.A. - SMK</v>
          </cell>
          <cell r="BQ409" t="str">
            <v>ADA_SMK - Danone Arg. S.A. - SMK</v>
          </cell>
          <cell r="BR409" t="str">
            <v>ADA_SMK - Danone Arg. S.A. - SMK</v>
          </cell>
          <cell r="BS409" t="str">
            <v>ADA_SMK - Danone Arg. S.A. - SMK</v>
          </cell>
          <cell r="BT409" t="str">
            <v>ADA_SMK - Danone Arg. S.A. - SMK</v>
          </cell>
          <cell r="BU409" t="str">
            <v>CCUDyAZA</v>
          </cell>
          <cell r="BV409" t="str">
            <v>CCUDyAZA</v>
          </cell>
          <cell r="BW409" t="str">
            <v>CCUDyAZA</v>
          </cell>
          <cell r="BX409" t="str">
            <v>CCUDyAZA</v>
          </cell>
          <cell r="BY409" t="str">
            <v>CCUDyAZA</v>
          </cell>
          <cell r="BZ409" t="str">
            <v>CCUDyAZA</v>
          </cell>
          <cell r="CA409" t="str">
            <v>CCUDyAZA</v>
          </cell>
          <cell r="CB409" t="str">
            <v>CCUDyAZA</v>
          </cell>
          <cell r="CC409" t="str">
            <v>CCUDyAZA</v>
          </cell>
          <cell r="CD409" t="str">
            <v>CCUDyAZA</v>
          </cell>
          <cell r="CE409" t="str">
            <v>CCUDyAZA</v>
          </cell>
          <cell r="CF409" t="str">
            <v>CCUDyAZA</v>
          </cell>
          <cell r="CG409" t="str">
            <v>CCUDyAZA</v>
          </cell>
          <cell r="CH409" t="str">
            <v>CCUDyAZA</v>
          </cell>
          <cell r="CI409" t="str">
            <v>CCUDyAZA</v>
          </cell>
          <cell r="CJ409" t="str">
            <v>CCUDyAZA</v>
          </cell>
          <cell r="CK409" t="str">
            <v>CCUDyAZA</v>
          </cell>
          <cell r="CL409" t="str">
            <v>CCUDyAZA</v>
          </cell>
          <cell r="CM409" t="str">
            <v>CCUDyAZA</v>
          </cell>
          <cell r="CN409" t="str">
            <v>CCUDyAZA</v>
          </cell>
          <cell r="CO409" t="str">
            <v>CCUDyAZA</v>
          </cell>
          <cell r="CP409" t="str">
            <v>CCUDyAZA</v>
          </cell>
          <cell r="CQ409" t="str">
            <v>CCUDyAZA</v>
          </cell>
          <cell r="CR409" t="str">
            <v>CCUDyAZA</v>
          </cell>
          <cell r="CS409" t="str">
            <v>CCUDyAZA</v>
          </cell>
          <cell r="CT409" t="str">
            <v>CCUDyAZA</v>
          </cell>
          <cell r="CU409" t="str">
            <v>CCUDyAZA</v>
          </cell>
          <cell r="CV409" t="str">
            <v>CCUDyAZA</v>
          </cell>
          <cell r="CW409" t="str">
            <v>CCUDyAZA</v>
          </cell>
        </row>
        <row r="410">
          <cell r="D410" t="str">
            <v>OIC419</v>
          </cell>
          <cell r="E410" t="str">
            <v>Chasis</v>
          </cell>
          <cell r="F410" t="str">
            <v>Chasis</v>
          </cell>
          <cell r="G410" t="str">
            <v>Chasis</v>
          </cell>
          <cell r="N410" t="str">
            <v>CODYLSA</v>
          </cell>
          <cell r="O410" t="str">
            <v>CODYLSA</v>
          </cell>
          <cell r="P410" t="str">
            <v>No</v>
          </cell>
          <cell r="Q410" t="str">
            <v>Propio</v>
          </cell>
          <cell r="R410">
            <v>12</v>
          </cell>
          <cell r="S410" t="str">
            <v>Propio</v>
          </cell>
          <cell r="T410" t="str">
            <v>MERCEDES BENZ</v>
          </cell>
          <cell r="U410" t="str">
            <v>ATRON 1720/48  FRONTAL</v>
          </cell>
          <cell r="V410" t="str">
            <v>904980U1111640</v>
          </cell>
          <cell r="W410" t="str">
            <v>8AB693186FA600940</v>
          </cell>
          <cell r="X410">
            <v>2014</v>
          </cell>
          <cell r="Y410">
            <v>12</v>
          </cell>
          <cell r="Z410" t="str">
            <v>Danone SMK</v>
          </cell>
          <cell r="AA410" t="str">
            <v>ADA_SMK - Danone Arg. S.A. - SMK</v>
          </cell>
          <cell r="AB410" t="str">
            <v>ADA_SMK - Danone Arg. S.A. - SMK</v>
          </cell>
          <cell r="AC410" t="str">
            <v>ADA_SMK - Danone Arg. S.A. - SMK</v>
          </cell>
          <cell r="AD410" t="str">
            <v>ADA_SMK - Danone Arg. S.A. - SMK</v>
          </cell>
          <cell r="AE410" t="str">
            <v>ADA_SMK - Danone Arg. S.A. - SMK</v>
          </cell>
          <cell r="AF410" t="str">
            <v>ADA_SMK - Danone Arg. S.A. - SMK</v>
          </cell>
          <cell r="AG410" t="str">
            <v>ADA_SMK - Danone Arg. S.A. - SMK</v>
          </cell>
          <cell r="AH410" t="str">
            <v>ADA_SMK - Danone Arg. S.A. - SMK</v>
          </cell>
          <cell r="AI410" t="str">
            <v>ADA_SMK - Danone Arg. S.A. - SMK</v>
          </cell>
          <cell r="AJ410" t="str">
            <v>ADA_SMK - Danone Arg. S.A. - SMK</v>
          </cell>
          <cell r="AK410" t="str">
            <v>ADA_SMK - Danone Arg. S.A. - SMK</v>
          </cell>
          <cell r="AL410" t="str">
            <v>ADA_SMK - Danone Arg. S.A. - SMK</v>
          </cell>
          <cell r="AM410" t="str">
            <v>ADA_SMK - Danone Arg. S.A. - SMK</v>
          </cell>
          <cell r="AN410" t="str">
            <v>ADA_SMK - Danone Arg. S.A. - SMK</v>
          </cell>
          <cell r="AO410" t="str">
            <v>ADA_SMK - Danone Arg. S.A. - SMK</v>
          </cell>
          <cell r="AP410" t="str">
            <v>ADA_SMK - Danone Arg. S.A. - SMK</v>
          </cell>
          <cell r="AQ410" t="str">
            <v>ADA_SMK - Danone Arg. S.A. - SMK</v>
          </cell>
          <cell r="AR410" t="str">
            <v>ADA_SMK - Danone Arg. S.A. - SMK</v>
          </cell>
          <cell r="AS410" t="str">
            <v>ADA_SMK - Danone Arg. S.A. - SMK</v>
          </cell>
          <cell r="AT410" t="str">
            <v>ADA_SMK - Danone Arg. S.A. - SMK</v>
          </cell>
          <cell r="AU410" t="str">
            <v>ADA_SMK - Danone Arg. S.A. - SMK</v>
          </cell>
          <cell r="AV410" t="str">
            <v>ADA_SMK - Danone Arg. S.A. - SMK</v>
          </cell>
          <cell r="AW410" t="str">
            <v>ADA_SMK - Danone Arg. S.A. - SMK</v>
          </cell>
          <cell r="AX410" t="str">
            <v>ADA_SMK - Danone Arg. S.A. - SMK</v>
          </cell>
          <cell r="AY410" t="str">
            <v>ADA_SMK - Danone Arg. S.A. - SMK</v>
          </cell>
          <cell r="AZ410" t="str">
            <v>ADA_SMK - Danone Arg. S.A. - SMK</v>
          </cell>
          <cell r="BA410" t="str">
            <v>ADA_SMK - Danone Arg. S.A. - SMK</v>
          </cell>
          <cell r="BB410" t="str">
            <v>ADA_SMK - Danone Arg. S.A. - SMK</v>
          </cell>
          <cell r="BC410" t="str">
            <v>ADA_SMK - Danone Arg. S.A. - SMK</v>
          </cell>
          <cell r="BD410" t="str">
            <v>ADA_SMK - Danone Arg. S.A. - SMK</v>
          </cell>
          <cell r="BE410" t="str">
            <v>ADA_SMK - Danone Arg. S.A. - SMK</v>
          </cell>
          <cell r="BF410" t="str">
            <v>ADA_SMK - Danone Arg. S.A. - SMK</v>
          </cell>
          <cell r="BG410" t="str">
            <v>ADA_SMK - Danone Arg. S.A. - SMK</v>
          </cell>
          <cell r="BH410" t="str">
            <v>ADA_SMK - Danone Arg. S.A. - SMK</v>
          </cell>
          <cell r="BI410" t="str">
            <v>ADA_SMK - Danone Arg. S.A. - SMK</v>
          </cell>
          <cell r="BJ410" t="str">
            <v>ADA_SMK - Danone Arg. S.A. - SMK</v>
          </cell>
          <cell r="BK410" t="str">
            <v>ADA_SMK - Danone Arg. S.A. - SMK</v>
          </cell>
          <cell r="BL410" t="str">
            <v>ADA_SMK - Danone Arg. S.A. - SMK</v>
          </cell>
          <cell r="BM410" t="str">
            <v>ADA_SMK - Danone Arg. S.A. - SMK</v>
          </cell>
          <cell r="BN410" t="str">
            <v>ADA_SMK - Danone Arg. S.A. - SMK</v>
          </cell>
          <cell r="BO410" t="str">
            <v>ADA_SMK - Danone Arg. S.A. - SMK</v>
          </cell>
          <cell r="BP410" t="str">
            <v>ADA_SMK - Danone Arg. S.A. - SMK</v>
          </cell>
          <cell r="BQ410" t="str">
            <v>ADA_SMK - Danone Arg. S.A. - SMK</v>
          </cell>
          <cell r="BR410" t="str">
            <v>ADA_SMK - Danone Arg. S.A. - SMK</v>
          </cell>
          <cell r="BS410" t="str">
            <v>ADA_SMK - Danone Arg. S.A. - SMK</v>
          </cell>
          <cell r="BT410" t="str">
            <v>ADA_SMK - Danone Arg. S.A. - SMK</v>
          </cell>
          <cell r="BU410" t="str">
            <v>CCUDyAZA</v>
          </cell>
          <cell r="BV410" t="str">
            <v>CCUDyAZA</v>
          </cell>
          <cell r="BW410" t="str">
            <v>CCUDyAZA</v>
          </cell>
          <cell r="BX410" t="str">
            <v>CCUDyAZA</v>
          </cell>
          <cell r="BY410" t="str">
            <v>CCUDyAZA</v>
          </cell>
          <cell r="BZ410" t="str">
            <v>CCUDyAZA</v>
          </cell>
          <cell r="CA410" t="str">
            <v>CCUDyAZA</v>
          </cell>
          <cell r="CB410" t="str">
            <v>CCUDyAZA</v>
          </cell>
          <cell r="CC410" t="str">
            <v>CCUDyAZA</v>
          </cell>
          <cell r="CD410" t="str">
            <v>CCUDyAZA</v>
          </cell>
          <cell r="CE410" t="str">
            <v>CCUDyAZA</v>
          </cell>
          <cell r="CF410" t="str">
            <v>CCUDyAZA</v>
          </cell>
          <cell r="CG410" t="str">
            <v>CCUDyAZA</v>
          </cell>
          <cell r="CH410" t="str">
            <v>CCUDyAZA</v>
          </cell>
          <cell r="CI410" t="str">
            <v>CCUDyAZA</v>
          </cell>
          <cell r="CJ410" t="str">
            <v>CCUDyAZA</v>
          </cell>
          <cell r="CK410" t="str">
            <v>CCUDyAZA</v>
          </cell>
          <cell r="CL410" t="str">
            <v>CCUDyAZA</v>
          </cell>
          <cell r="CM410" t="str">
            <v>CCUDyAZA</v>
          </cell>
          <cell r="CN410" t="str">
            <v>CCUDyAZA</v>
          </cell>
          <cell r="CO410" t="str">
            <v>CCUDyAZA</v>
          </cell>
          <cell r="CP410" t="str">
            <v>CCUDyAZA</v>
          </cell>
          <cell r="CQ410" t="str">
            <v>CCUDyAZA</v>
          </cell>
          <cell r="CR410" t="str">
            <v>CCUDyAZA</v>
          </cell>
          <cell r="CS410" t="str">
            <v>CCUDyAZA</v>
          </cell>
          <cell r="CT410" t="str">
            <v>CCUDyAZA</v>
          </cell>
          <cell r="CU410" t="str">
            <v>CCUDyAZA</v>
          </cell>
          <cell r="CV410" t="str">
            <v>CCUDyAZA</v>
          </cell>
          <cell r="CW410" t="str">
            <v>CCUDyAZA</v>
          </cell>
        </row>
        <row r="411">
          <cell r="D411" t="str">
            <v>OJG060</v>
          </cell>
          <cell r="E411" t="str">
            <v>Chasis</v>
          </cell>
          <cell r="F411" t="str">
            <v>Chasis</v>
          </cell>
          <cell r="G411" t="str">
            <v>Chasis</v>
          </cell>
          <cell r="N411" t="str">
            <v>CODYLSA</v>
          </cell>
          <cell r="O411" t="str">
            <v>CODYLSA</v>
          </cell>
          <cell r="P411" t="str">
            <v>No</v>
          </cell>
          <cell r="Q411" t="str">
            <v>Propio</v>
          </cell>
          <cell r="R411">
            <v>12</v>
          </cell>
          <cell r="S411" t="str">
            <v>Propio</v>
          </cell>
          <cell r="T411" t="str">
            <v>MERCEDES BENZ</v>
          </cell>
          <cell r="U411" t="str">
            <v>ATRON 1720/48  FRONTAL</v>
          </cell>
          <cell r="V411" t="str">
            <v>904980U1111639</v>
          </cell>
          <cell r="W411" t="str">
            <v>8AB693186FA600941</v>
          </cell>
          <cell r="X411">
            <v>2014</v>
          </cell>
          <cell r="Y411">
            <v>12</v>
          </cell>
          <cell r="Z411" t="str">
            <v>Danone SMK</v>
          </cell>
          <cell r="AA411" t="str">
            <v>ADA_SMK - Danone Arg. S.A. - SMK</v>
          </cell>
          <cell r="AB411" t="str">
            <v>ADA_SMK - Danone Arg. S.A. - SMK</v>
          </cell>
          <cell r="AC411" t="str">
            <v>ADA_SMK - Danone Arg. S.A. - SMK</v>
          </cell>
          <cell r="AD411" t="str">
            <v>ADA_SMK - Danone Arg. S.A. - SMK</v>
          </cell>
          <cell r="AE411" t="str">
            <v>ADA_SMK - Danone Arg. S.A. - SMK</v>
          </cell>
          <cell r="AF411" t="str">
            <v>ADA_SMK - Danone Arg. S.A. - SMK</v>
          </cell>
          <cell r="AG411" t="str">
            <v>ADA_SMK - Danone Arg. S.A. - SMK</v>
          </cell>
          <cell r="AH411" t="str">
            <v>ADA_SMK - Danone Arg. S.A. - SMK</v>
          </cell>
          <cell r="AI411" t="str">
            <v>ADA_SMK - Danone Arg. S.A. - SMK</v>
          </cell>
          <cell r="AJ411" t="str">
            <v>ADA_SMK - Danone Arg. S.A. - SMK</v>
          </cell>
          <cell r="AK411" t="str">
            <v>ADA_SMK - Danone Arg. S.A. - SMK</v>
          </cell>
          <cell r="AL411" t="str">
            <v>ADA_SMK - Danone Arg. S.A. - SMK</v>
          </cell>
          <cell r="AM411" t="str">
            <v>ADA_SMK - Danone Arg. S.A. - SMK</v>
          </cell>
          <cell r="AN411" t="str">
            <v>ADA_SMK - Danone Arg. S.A. - SMK</v>
          </cell>
          <cell r="AO411" t="str">
            <v>ADA_SMK - Danone Arg. S.A. - SMK</v>
          </cell>
          <cell r="AP411" t="str">
            <v>ADA_SMK - Danone Arg. S.A. - SMK</v>
          </cell>
          <cell r="AQ411" t="str">
            <v>ADA_SMK - Danone Arg. S.A. - SMK</v>
          </cell>
          <cell r="AR411" t="str">
            <v>ADA_SMK - Danone Arg. S.A. - SMK</v>
          </cell>
          <cell r="AS411" t="str">
            <v>ADA_SMK - Danone Arg. S.A. - SMK</v>
          </cell>
          <cell r="AT411" t="str">
            <v>ADA_SMK - Danone Arg. S.A. - SMK</v>
          </cell>
          <cell r="AU411" t="str">
            <v>ADA_SMK - Danone Arg. S.A. - SMK</v>
          </cell>
          <cell r="AV411" t="str">
            <v>ADA_SMK - Danone Arg. S.A. - SMK</v>
          </cell>
          <cell r="AW411" t="str">
            <v>ADA_SMK - Danone Arg. S.A. - SMK</v>
          </cell>
          <cell r="AX411" t="str">
            <v>ADA_SMK - Danone Arg. S.A. - SMK</v>
          </cell>
          <cell r="AY411" t="str">
            <v>ADA_SMK - Danone Arg. S.A. - SMK</v>
          </cell>
          <cell r="AZ411" t="str">
            <v>ADA_SMK - Danone Arg. S.A. - SMK</v>
          </cell>
          <cell r="BA411" t="str">
            <v>ADA_SMK - Danone Arg. S.A. - SMK</v>
          </cell>
          <cell r="BB411" t="str">
            <v>ADA_SMK - Danone Arg. S.A. - SMK</v>
          </cell>
          <cell r="BC411" t="str">
            <v>ADA_SMK - Danone Arg. S.A. - SMK</v>
          </cell>
          <cell r="BD411" t="str">
            <v>ADA_SMK - Danone Arg. S.A. - SMK</v>
          </cell>
          <cell r="BE411" t="str">
            <v>ADA_SMK - Danone Arg. S.A. - SMK</v>
          </cell>
          <cell r="BF411" t="str">
            <v>ADA_SMK - Danone Arg. S.A. - SMK</v>
          </cell>
          <cell r="BG411" t="str">
            <v>ADA_SMK - Danone Arg. S.A. - SMK</v>
          </cell>
          <cell r="BH411" t="str">
            <v>ADA_SMK - Danone Arg. S.A. - SMK</v>
          </cell>
          <cell r="BI411" t="str">
            <v>ADA_SMK - Danone Arg. S.A. - SMK</v>
          </cell>
          <cell r="BJ411" t="str">
            <v>ADA_SMK - Danone Arg. S.A. - SMK</v>
          </cell>
          <cell r="BK411" t="str">
            <v>ADA_SMK - Danone Arg. S.A. - SMK</v>
          </cell>
          <cell r="BL411" t="str">
            <v>ADA_SMK - Danone Arg. S.A. - SMK</v>
          </cell>
          <cell r="BM411" t="str">
            <v>ADA_SMK - Danone Arg. S.A. - SMK</v>
          </cell>
          <cell r="BN411" t="str">
            <v>ADA_SMK - Danone Arg. S.A. - SMK</v>
          </cell>
          <cell r="BO411" t="str">
            <v>ADA_SMK - Danone Arg. S.A. - SMK</v>
          </cell>
          <cell r="BP411" t="str">
            <v>ADA_SMK - Danone Arg. S.A. - SMK</v>
          </cell>
          <cell r="BQ411" t="str">
            <v>ADA_SMK - Danone Arg. S.A. - SMK</v>
          </cell>
          <cell r="BR411" t="str">
            <v>ADA_SMK - Danone Arg. S.A. - SMK</v>
          </cell>
          <cell r="BS411" t="str">
            <v>ADA_SMK - Danone Arg. S.A. - SMK</v>
          </cell>
          <cell r="BT411" t="str">
            <v>ADA_SMK - Danone Arg. S.A. - SMK</v>
          </cell>
          <cell r="BU411" t="str">
            <v>CCUDyAZA</v>
          </cell>
          <cell r="BV411" t="str">
            <v>CCUDyAZA</v>
          </cell>
          <cell r="BW411" t="str">
            <v>CCUDyAZA</v>
          </cell>
          <cell r="BX411" t="str">
            <v>CCUDyAZA</v>
          </cell>
          <cell r="BY411" t="str">
            <v>CCUDyAZA</v>
          </cell>
          <cell r="BZ411" t="str">
            <v>CCUDyAZA</v>
          </cell>
          <cell r="CA411" t="str">
            <v>CCUDyAZA</v>
          </cell>
          <cell r="CB411" t="str">
            <v>CCUDyAZA</v>
          </cell>
          <cell r="CC411" t="str">
            <v>CCUDyAZA</v>
          </cell>
          <cell r="CD411" t="str">
            <v>CCUDyAZA</v>
          </cell>
          <cell r="CE411" t="str">
            <v>CCUDyAZA</v>
          </cell>
          <cell r="CF411" t="str">
            <v>CCUDyAZA</v>
          </cell>
          <cell r="CG411" t="str">
            <v>CCUDyAZA</v>
          </cell>
          <cell r="CH411" t="str">
            <v>CCUDyAZA</v>
          </cell>
          <cell r="CI411" t="str">
            <v>CCUDyAZA</v>
          </cell>
          <cell r="CJ411" t="str">
            <v>CCUDyAZA</v>
          </cell>
          <cell r="CK411" t="str">
            <v>CCUDyAZA</v>
          </cell>
          <cell r="CL411" t="str">
            <v>CCUDyAZA</v>
          </cell>
          <cell r="CM411" t="str">
            <v>CCUDyAZA</v>
          </cell>
          <cell r="CN411" t="str">
            <v>CCUDyAZA</v>
          </cell>
          <cell r="CO411" t="str">
            <v>CCUDyAZA</v>
          </cell>
          <cell r="CP411" t="str">
            <v>CCUDyAZA</v>
          </cell>
          <cell r="CQ411" t="str">
            <v>CCUDyAZA</v>
          </cell>
          <cell r="CR411" t="str">
            <v>CCUDyAZA</v>
          </cell>
          <cell r="CS411" t="str">
            <v>CCUDyAZA</v>
          </cell>
          <cell r="CT411" t="str">
            <v>CCUDyAZA</v>
          </cell>
          <cell r="CU411" t="str">
            <v>CCUDyAZA</v>
          </cell>
          <cell r="CV411" t="str">
            <v>CCUDyAZA</v>
          </cell>
          <cell r="CW411" t="str">
            <v>CCUDyAZA</v>
          </cell>
        </row>
        <row r="412">
          <cell r="D412" t="str">
            <v>OJG061</v>
          </cell>
          <cell r="E412" t="str">
            <v>Chasis</v>
          </cell>
          <cell r="F412" t="str">
            <v>Chasis</v>
          </cell>
          <cell r="G412" t="str">
            <v>Chasis</v>
          </cell>
          <cell r="N412" t="str">
            <v>CODYLSA</v>
          </cell>
          <cell r="O412" t="str">
            <v>CODYLSA</v>
          </cell>
          <cell r="P412" t="str">
            <v>No</v>
          </cell>
          <cell r="Q412" t="str">
            <v>Propio</v>
          </cell>
          <cell r="R412">
            <v>12</v>
          </cell>
          <cell r="S412" t="str">
            <v>Propio</v>
          </cell>
          <cell r="T412" t="str">
            <v>MERCEDES BENZ</v>
          </cell>
          <cell r="U412" t="str">
            <v>ATRON 1720/48  FRONTAL</v>
          </cell>
          <cell r="V412" t="str">
            <v>904980U1108863</v>
          </cell>
          <cell r="W412" t="str">
            <v>8AB693186EA600910</v>
          </cell>
          <cell r="X412">
            <v>2014</v>
          </cell>
          <cell r="Y412">
            <v>12</v>
          </cell>
          <cell r="Z412" t="str">
            <v>Danone SMK</v>
          </cell>
          <cell r="AA412" t="str">
            <v>ADA_SMK - Danone Arg. S.A. - SMK</v>
          </cell>
          <cell r="AB412" t="str">
            <v>ADA_SMK - Danone Arg. S.A. - SMK</v>
          </cell>
          <cell r="AC412" t="str">
            <v>ADA_SMK - Danone Arg. S.A. - SMK</v>
          </cell>
          <cell r="AD412" t="str">
            <v>ADA_SMK - Danone Arg. S.A. - SMK</v>
          </cell>
          <cell r="AE412" t="str">
            <v>ADA_SMK - Danone Arg. S.A. - SMK</v>
          </cell>
          <cell r="AF412" t="str">
            <v>ADA_SMK - Danone Arg. S.A. - SMK</v>
          </cell>
          <cell r="AG412" t="str">
            <v>ADA_SMK - Danone Arg. S.A. - SMK</v>
          </cell>
          <cell r="AH412" t="str">
            <v>ADA_SMK - Danone Arg. S.A. - SMK</v>
          </cell>
          <cell r="AI412" t="str">
            <v>ADA_SMK - Danone Arg. S.A. - SMK</v>
          </cell>
          <cell r="AJ412" t="str">
            <v>ADA_SMK - Danone Arg. S.A. - SMK</v>
          </cell>
          <cell r="AK412" t="str">
            <v>ADA_SMK - Danone Arg. S.A. - SMK</v>
          </cell>
          <cell r="AL412" t="str">
            <v>ADA_SMK - Danone Arg. S.A. - SMK</v>
          </cell>
          <cell r="AM412" t="str">
            <v>ADA_SMK - Danone Arg. S.A. - SMK</v>
          </cell>
          <cell r="AN412" t="str">
            <v>ADA_SMK - Danone Arg. S.A. - SMK</v>
          </cell>
          <cell r="AO412" t="str">
            <v>ADA_SMK - Danone Arg. S.A. - SMK</v>
          </cell>
          <cell r="AP412" t="str">
            <v>ADA_SMK - Danone Arg. S.A. - SMK</v>
          </cell>
          <cell r="AQ412" t="str">
            <v>ADA_SMK - Danone Arg. S.A. - SMK</v>
          </cell>
          <cell r="AR412" t="str">
            <v>ADA_SMK - Danone Arg. S.A. - SMK</v>
          </cell>
          <cell r="AS412" t="str">
            <v>ADA_SMK - Danone Arg. S.A. - SMK</v>
          </cell>
          <cell r="AT412" t="str">
            <v>ADA_SMK - Danone Arg. S.A. - SMK</v>
          </cell>
          <cell r="AU412" t="str">
            <v>ADA_SMK - Danone Arg. S.A. - SMK</v>
          </cell>
          <cell r="AV412" t="str">
            <v>ADA_SMK - Danone Arg. S.A. - SMK</v>
          </cell>
          <cell r="AW412" t="str">
            <v>ADA_SMK - Danone Arg. S.A. - SMK</v>
          </cell>
          <cell r="AX412" t="str">
            <v>ADA_SMK - Danone Arg. S.A. - SMK</v>
          </cell>
          <cell r="AY412" t="str">
            <v>ADA_SMK - Danone Arg. S.A. - SMK</v>
          </cell>
          <cell r="AZ412" t="str">
            <v>ADA_SMK - Danone Arg. S.A. - SMK</v>
          </cell>
          <cell r="BA412" t="str">
            <v>ADA_SMK - Danone Arg. S.A. - SMK</v>
          </cell>
          <cell r="BB412" t="str">
            <v>ADA_SMK - Danone Arg. S.A. - SMK</v>
          </cell>
          <cell r="BC412" t="str">
            <v>ADA_SMK - Danone Arg. S.A. - SMK</v>
          </cell>
          <cell r="BD412" t="str">
            <v>ADA_SMK - Danone Arg. S.A. - SMK</v>
          </cell>
          <cell r="BE412" t="str">
            <v>ADA_SMK - Danone Arg. S.A. - SMK</v>
          </cell>
          <cell r="BF412" t="str">
            <v>ADA_SMK - Danone Arg. S.A. - SMK</v>
          </cell>
          <cell r="BG412" t="str">
            <v>ADA_SMK - Danone Arg. S.A. - SMK</v>
          </cell>
          <cell r="BH412" t="str">
            <v>ADA_SMK - Danone Arg. S.A. - SMK</v>
          </cell>
          <cell r="BI412" t="str">
            <v>ADA_SMK - Danone Arg. S.A. - SMK</v>
          </cell>
          <cell r="BJ412" t="str">
            <v>ADA_SMK - Danone Arg. S.A. - SMK</v>
          </cell>
          <cell r="BK412" t="str">
            <v>ADA_SMK - Danone Arg. S.A. - SMK</v>
          </cell>
          <cell r="BL412" t="str">
            <v>ADA_SMK - Danone Arg. S.A. - SMK</v>
          </cell>
          <cell r="BM412" t="str">
            <v>ADA_SMK - Danone Arg. S.A. - SMK</v>
          </cell>
          <cell r="BN412" t="str">
            <v>ADA_SMK - Danone Arg. S.A. - SMK</v>
          </cell>
          <cell r="BO412" t="str">
            <v>ADA_SMK - Danone Arg. S.A. - SMK</v>
          </cell>
          <cell r="BP412" t="str">
            <v>ADA_SMK - Danone Arg. S.A. - SMK</v>
          </cell>
          <cell r="BQ412" t="str">
            <v>ADA_SMK - Danone Arg. S.A. - SMK</v>
          </cell>
          <cell r="BR412" t="str">
            <v>ADA_SMK - Danone Arg. S.A. - SMK</v>
          </cell>
          <cell r="BS412" t="str">
            <v>ADA_SMK - Danone Arg. S.A. - SMK</v>
          </cell>
          <cell r="BT412" t="str">
            <v>ADA_SMK - Danone Arg. S.A. - SMK</v>
          </cell>
          <cell r="BU412" t="str">
            <v>CCUDyAZA</v>
          </cell>
          <cell r="BV412" t="str">
            <v>CCUDyAZA</v>
          </cell>
          <cell r="BW412" t="str">
            <v>CCUDyAZA</v>
          </cell>
          <cell r="BX412" t="str">
            <v>CCUDyAZA</v>
          </cell>
          <cell r="BY412" t="str">
            <v>CCUDyAZA</v>
          </cell>
          <cell r="BZ412" t="str">
            <v>CCUDyAZA</v>
          </cell>
          <cell r="CA412" t="str">
            <v>CCUDyAZA</v>
          </cell>
          <cell r="CB412" t="str">
            <v>CCUDyAZA</v>
          </cell>
          <cell r="CC412" t="str">
            <v>CCUDyAZA</v>
          </cell>
          <cell r="CD412" t="str">
            <v>CCUDyAZA</v>
          </cell>
          <cell r="CE412" t="str">
            <v>CCUDyAZA</v>
          </cell>
          <cell r="CF412" t="str">
            <v>CCUDyAZA</v>
          </cell>
          <cell r="CG412" t="str">
            <v>CCUDyAZA</v>
          </cell>
          <cell r="CH412" t="str">
            <v>CCUDyAZA</v>
          </cell>
          <cell r="CI412" t="str">
            <v>CCUDyAZA</v>
          </cell>
          <cell r="CJ412" t="str">
            <v>CCUDyAZA</v>
          </cell>
          <cell r="CK412" t="str">
            <v>CCUDyAZA</v>
          </cell>
          <cell r="CL412" t="str">
            <v>CCUDyAZA</v>
          </cell>
          <cell r="CM412" t="str">
            <v>CCUDyAZA</v>
          </cell>
          <cell r="CN412" t="str">
            <v>CCUDyAZA</v>
          </cell>
          <cell r="CO412" t="str">
            <v>CCUDyAZA</v>
          </cell>
          <cell r="CP412" t="str">
            <v>CCUDyAZA</v>
          </cell>
          <cell r="CQ412" t="str">
            <v>CCUDyAZA</v>
          </cell>
          <cell r="CR412" t="str">
            <v>CCUDyAZA</v>
          </cell>
          <cell r="CS412" t="str">
            <v>CCUDyAZA</v>
          </cell>
          <cell r="CT412" t="str">
            <v>CCUDyAZA</v>
          </cell>
          <cell r="CU412" t="str">
            <v>CCUDyAZA</v>
          </cell>
          <cell r="CV412" t="str">
            <v>CCUDyAZA</v>
          </cell>
          <cell r="CW412" t="str">
            <v>CCUDyAZA</v>
          </cell>
        </row>
        <row r="413">
          <cell r="D413" t="str">
            <v>OJG062</v>
          </cell>
          <cell r="E413" t="str">
            <v>Chasis</v>
          </cell>
          <cell r="F413" t="str">
            <v>Chasis</v>
          </cell>
          <cell r="G413" t="str">
            <v>Chasis</v>
          </cell>
          <cell r="N413" t="str">
            <v>CODYLSA</v>
          </cell>
          <cell r="O413" t="str">
            <v>CODYLSA</v>
          </cell>
          <cell r="P413" t="str">
            <v>No</v>
          </cell>
          <cell r="Q413" t="str">
            <v>Propio</v>
          </cell>
          <cell r="R413">
            <v>12</v>
          </cell>
          <cell r="S413" t="str">
            <v>Propio</v>
          </cell>
          <cell r="T413" t="str">
            <v>MERCEDES BENZ</v>
          </cell>
          <cell r="U413" t="str">
            <v>ATRON 1720/48  FRONTAL</v>
          </cell>
          <cell r="V413" t="str">
            <v>904980U1111638</v>
          </cell>
          <cell r="W413" t="str">
            <v>8AB693186FA600943</v>
          </cell>
          <cell r="X413">
            <v>2014</v>
          </cell>
          <cell r="Y413">
            <v>12</v>
          </cell>
          <cell r="Z413" t="str">
            <v>Danone SMK</v>
          </cell>
          <cell r="AA413" t="str">
            <v>ADA_SMK - Danone Arg. S.A. - SMK</v>
          </cell>
          <cell r="AB413" t="str">
            <v>ADA_SMK - Danone Arg. S.A. - SMK</v>
          </cell>
          <cell r="AC413" t="str">
            <v>ADA_SMK - Danone Arg. S.A. - SMK</v>
          </cell>
          <cell r="AD413" t="str">
            <v>ADA_SMK - Danone Arg. S.A. - SMK</v>
          </cell>
          <cell r="AE413" t="str">
            <v>ADA_SMK - Danone Arg. S.A. - SMK</v>
          </cell>
          <cell r="AF413" t="str">
            <v>ADA_SMK - Danone Arg. S.A. - SMK</v>
          </cell>
          <cell r="AG413" t="str">
            <v>ADA_SMK - Danone Arg. S.A. - SMK</v>
          </cell>
          <cell r="AH413" t="str">
            <v>ADA_SMK - Danone Arg. S.A. - SMK</v>
          </cell>
          <cell r="AI413" t="str">
            <v>ADA_SMK - Danone Arg. S.A. - SMK</v>
          </cell>
          <cell r="AJ413" t="str">
            <v>ADA_SMK - Danone Arg. S.A. - SMK</v>
          </cell>
          <cell r="AK413" t="str">
            <v>ADA_SMK - Danone Arg. S.A. - SMK</v>
          </cell>
          <cell r="AL413" t="str">
            <v>ADA_SMK - Danone Arg. S.A. - SMK</v>
          </cell>
          <cell r="AM413" t="str">
            <v>ADA_SMK - Danone Arg. S.A. - SMK</v>
          </cell>
          <cell r="AN413" t="str">
            <v>ADA_SMK - Danone Arg. S.A. - SMK</v>
          </cell>
          <cell r="AO413" t="str">
            <v>ADA_SMK - Danone Arg. S.A. - SMK</v>
          </cell>
          <cell r="AP413" t="str">
            <v>ADA_SMK - Danone Arg. S.A. - SMK</v>
          </cell>
          <cell r="AQ413" t="str">
            <v>ADA_SMK - Danone Arg. S.A. - SMK</v>
          </cell>
          <cell r="AR413" t="str">
            <v>ADA_SMK - Danone Arg. S.A. - SMK</v>
          </cell>
          <cell r="AS413" t="str">
            <v>ADA_SMK - Danone Arg. S.A. - SMK</v>
          </cell>
          <cell r="AT413" t="str">
            <v>ADA_SMK - Danone Arg. S.A. - SMK</v>
          </cell>
          <cell r="AU413" t="str">
            <v>ADA_SMK - Danone Arg. S.A. - SMK</v>
          </cell>
          <cell r="AV413" t="str">
            <v>ADA_SMK - Danone Arg. S.A. - SMK</v>
          </cell>
          <cell r="AW413" t="str">
            <v>ADA_SMK - Danone Arg. S.A. - SMK</v>
          </cell>
          <cell r="AX413" t="str">
            <v>ADA_SMK - Danone Arg. S.A. - SMK</v>
          </cell>
          <cell r="AY413" t="str">
            <v>ADA_SMK - Danone Arg. S.A. - SMK</v>
          </cell>
          <cell r="AZ413" t="str">
            <v>ADA_SMK - Danone Arg. S.A. - SMK</v>
          </cell>
          <cell r="BA413" t="str">
            <v>ADA_SMK - Danone Arg. S.A. - SMK</v>
          </cell>
          <cell r="BB413" t="str">
            <v>ADA_SMK - Danone Arg. S.A. - SMK</v>
          </cell>
          <cell r="BC413" t="str">
            <v>ADA_SMK - Danone Arg. S.A. - SMK</v>
          </cell>
          <cell r="BD413" t="str">
            <v>ADA_SMK - Danone Arg. S.A. - SMK</v>
          </cell>
          <cell r="BE413" t="str">
            <v>ADA_SMK - Danone Arg. S.A. - SMK</v>
          </cell>
          <cell r="BF413" t="str">
            <v>ADA_SMK - Danone Arg. S.A. - SMK</v>
          </cell>
          <cell r="BG413" t="str">
            <v>ADA_SMK - Danone Arg. S.A. - SMK</v>
          </cell>
          <cell r="BH413" t="str">
            <v>ADA_SMK - Danone Arg. S.A. - SMK</v>
          </cell>
          <cell r="BI413" t="str">
            <v>ADA_SMK - Danone Arg. S.A. - SMK</v>
          </cell>
          <cell r="BJ413" t="str">
            <v>ADA_SMK - Danone Arg. S.A. - SMK</v>
          </cell>
          <cell r="BK413" t="str">
            <v>ADA_SMK - Danone Arg. S.A. - SMK</v>
          </cell>
          <cell r="BL413" t="str">
            <v>ADA_SMK - Danone Arg. S.A. - SMK</v>
          </cell>
          <cell r="BM413" t="str">
            <v>ADA_SMK - Danone Arg. S.A. - SMK</v>
          </cell>
          <cell r="BN413" t="str">
            <v>ADA_SMK - Danone Arg. S.A. - SMK</v>
          </cell>
          <cell r="BO413" t="str">
            <v>ADA_SMK - Danone Arg. S.A. - SMK</v>
          </cell>
          <cell r="BP413" t="str">
            <v>ADA_SMK - Danone Arg. S.A. - SMK</v>
          </cell>
          <cell r="BQ413" t="str">
            <v>ADA_SMK - Danone Arg. S.A. - SMK</v>
          </cell>
          <cell r="BR413" t="str">
            <v>ADA_SMK - Danone Arg. S.A. - SMK</v>
          </cell>
          <cell r="BS413" t="str">
            <v>ADA_SMK - Danone Arg. S.A. - SMK</v>
          </cell>
          <cell r="BT413" t="str">
            <v>ADA_SMK - Danone Arg. S.A. - SMK</v>
          </cell>
          <cell r="BU413" t="str">
            <v>CCUDyAZA</v>
          </cell>
          <cell r="BV413" t="str">
            <v>CCUDyAZA</v>
          </cell>
          <cell r="BW413" t="str">
            <v>CCUDyAZA</v>
          </cell>
          <cell r="BX413" t="str">
            <v>CCUDyAZA</v>
          </cell>
          <cell r="BY413" t="str">
            <v>CCUDyAZA</v>
          </cell>
          <cell r="BZ413" t="str">
            <v>CCUDyAZA</v>
          </cell>
          <cell r="CA413" t="str">
            <v>CCUDyAZA</v>
          </cell>
          <cell r="CB413" t="str">
            <v>CCUDyAZA</v>
          </cell>
          <cell r="CC413" t="str">
            <v>CCUDyAZA</v>
          </cell>
          <cell r="CD413" t="str">
            <v>CCUDyAZA</v>
          </cell>
          <cell r="CE413" t="str">
            <v>CCUDyAZA</v>
          </cell>
          <cell r="CF413" t="str">
            <v>CCUDyAZA</v>
          </cell>
          <cell r="CG413" t="str">
            <v>CCUDyAZA</v>
          </cell>
          <cell r="CH413" t="str">
            <v>CCUDyAZA</v>
          </cell>
          <cell r="CI413" t="str">
            <v>CCUDyAZA</v>
          </cell>
          <cell r="CJ413" t="str">
            <v>CCUDyAZA</v>
          </cell>
          <cell r="CK413" t="str">
            <v>CCUDyAZA</v>
          </cell>
          <cell r="CL413" t="str">
            <v>CCUDyAZA</v>
          </cell>
          <cell r="CM413" t="str">
            <v>CCUDyAZA</v>
          </cell>
          <cell r="CN413" t="str">
            <v>CCUDyAZA</v>
          </cell>
          <cell r="CO413" t="str">
            <v>CCUDyAZA</v>
          </cell>
          <cell r="CP413" t="str">
            <v>CCUDyAZA</v>
          </cell>
          <cell r="CQ413" t="str">
            <v>CCUDyAZA</v>
          </cell>
          <cell r="CR413" t="str">
            <v>CCUDyAZA</v>
          </cell>
          <cell r="CS413" t="str">
            <v>CCUDyAZA</v>
          </cell>
          <cell r="CT413" t="str">
            <v>CCUDyAZA</v>
          </cell>
          <cell r="CU413" t="str">
            <v>CCUDyAZA</v>
          </cell>
          <cell r="CV413" t="str">
            <v>CCUDyAZA</v>
          </cell>
          <cell r="CW413" t="str">
            <v>CCUDyAZA</v>
          </cell>
        </row>
        <row r="414">
          <cell r="D414" t="str">
            <v>OJG063</v>
          </cell>
          <cell r="E414" t="str">
            <v>Chasis</v>
          </cell>
          <cell r="F414" t="str">
            <v>Chasis</v>
          </cell>
          <cell r="G414" t="str">
            <v>Chasis</v>
          </cell>
          <cell r="N414" t="str">
            <v>CODYLSA</v>
          </cell>
          <cell r="O414" t="str">
            <v>CODYLSA</v>
          </cell>
          <cell r="P414" t="str">
            <v>No</v>
          </cell>
          <cell r="Q414" t="str">
            <v>Propio</v>
          </cell>
          <cell r="R414">
            <v>12</v>
          </cell>
          <cell r="S414" t="str">
            <v>Propio</v>
          </cell>
          <cell r="T414" t="str">
            <v>MERCEDES BENZ</v>
          </cell>
          <cell r="U414" t="str">
            <v>ATRON 1720/48  FRONTAL</v>
          </cell>
          <cell r="V414" t="str">
            <v>904980U1111649</v>
          </cell>
          <cell r="W414" t="str">
            <v>8AB693186FA600944</v>
          </cell>
          <cell r="X414">
            <v>2014</v>
          </cell>
          <cell r="Y414">
            <v>12</v>
          </cell>
          <cell r="Z414" t="str">
            <v>Danone Alianza</v>
          </cell>
          <cell r="AA414" t="str">
            <v>ADA_Mino - Danone Arg. S.A. - Mino</v>
          </cell>
          <cell r="AB414" t="str">
            <v>ADA_Mino - Danone Arg. S.A. - Mino</v>
          </cell>
          <cell r="AC414" t="str">
            <v>ADA_Mino - Danone Arg. S.A. - Mino</v>
          </cell>
          <cell r="AD414" t="str">
            <v>ADA_Mino - Danone Arg. S.A. - Mino</v>
          </cell>
          <cell r="AE414" t="str">
            <v>ADA_Mino - Danone Arg. S.A. - Mino</v>
          </cell>
          <cell r="AF414" t="str">
            <v>ADA_Mino - Danone Arg. S.A. - Mino</v>
          </cell>
          <cell r="AG414" t="str">
            <v>ADA_Mino - Danone Arg. S.A. - Mino</v>
          </cell>
          <cell r="AH414" t="str">
            <v>ADA_Mino - Danone Arg. S.A. - Mino</v>
          </cell>
          <cell r="AI414" t="str">
            <v>ADA_Mino - Danone Arg. S.A. - Mino</v>
          </cell>
          <cell r="AJ414" t="str">
            <v>ADA_Mino - Danone Arg. S.A. - Mino</v>
          </cell>
          <cell r="AK414" t="str">
            <v>ADA_Mino - Danone Arg. S.A. - Mino</v>
          </cell>
          <cell r="AL414" t="str">
            <v>ADA_Mino - Danone Arg. S.A. - Mino</v>
          </cell>
          <cell r="AM414" t="str">
            <v>ADA_Mino - Danone Arg. S.A. - Mino</v>
          </cell>
          <cell r="AN414" t="str">
            <v>ADA_Mino - Danone Arg. S.A. - Mino</v>
          </cell>
          <cell r="AO414" t="str">
            <v>ADA_Mino - Danone Arg. S.A. - Mino</v>
          </cell>
          <cell r="AP414" t="str">
            <v>ADA_Mino - Danone Arg. S.A. - Mino</v>
          </cell>
          <cell r="AQ414" t="str">
            <v>ADA_Mino - Danone Arg. S.A. - Mino</v>
          </cell>
          <cell r="AR414" t="str">
            <v>ADA_Mino - Danone Arg. S.A. - Mino</v>
          </cell>
          <cell r="AS414" t="str">
            <v>ADA_Mino - Danone Arg. S.A. - Mino</v>
          </cell>
          <cell r="AT414" t="str">
            <v>ADA_Mino - Danone Arg. S.A. - Mino</v>
          </cell>
          <cell r="AU414" t="str">
            <v>ADA_Mino - Danone Arg. S.A. - Mino</v>
          </cell>
          <cell r="AV414" t="str">
            <v>ADA_Mino - Danone Arg. S.A. - Mino</v>
          </cell>
          <cell r="AW414" t="str">
            <v>ADA_Mino - Danone Arg. S.A. - Mino</v>
          </cell>
          <cell r="AX414" t="str">
            <v>ADA_Mino - Danone Arg. S.A. - Mino</v>
          </cell>
          <cell r="AY414" t="str">
            <v>ADA_Mino - Danone Arg. S.A. - Mino</v>
          </cell>
          <cell r="AZ414" t="str">
            <v>ADA_Mino - Danone Arg. S.A. - Mino</v>
          </cell>
          <cell r="BA414" t="str">
            <v>ADA_Mino - Danone Arg. S.A. - Mino</v>
          </cell>
          <cell r="BB414" t="str">
            <v>ADA_Mino - Danone Arg. S.A. - Mino</v>
          </cell>
          <cell r="BC414" t="str">
            <v>ADA_Mino - Danone Arg. S.A. - Mino</v>
          </cell>
          <cell r="BD414" t="str">
            <v>ADA_Mino - Danone Arg. S.A. - Mino</v>
          </cell>
          <cell r="BE414" t="str">
            <v>ADA_Mino - Danone Arg. S.A. - Mino</v>
          </cell>
          <cell r="BF414" t="str">
            <v>ADA_Mino - Danone Arg. S.A. - Mino</v>
          </cell>
          <cell r="BG414" t="str">
            <v>ADA_Mino - Danone Arg. S.A. - Mino</v>
          </cell>
          <cell r="BH414" t="str">
            <v>ADA_Mino - Danone Arg. S.A. - Mino</v>
          </cell>
          <cell r="BI414" t="str">
            <v>ADA_Mino - Danone Arg. S.A. - Mino</v>
          </cell>
          <cell r="BJ414" t="str">
            <v>ADA_Mino - Danone Arg. S.A. - Mino</v>
          </cell>
          <cell r="BK414" t="str">
            <v>ADA_Mino - Danone Arg. S.A. - Mino</v>
          </cell>
          <cell r="BL414" t="str">
            <v>ADA_Mino - Danone Arg. S.A. - Mino</v>
          </cell>
          <cell r="BM414" t="str">
            <v>ADA_Mino - Danone Arg. S.A. - Mino</v>
          </cell>
          <cell r="BN414" t="str">
            <v>ADA_Mino - Danone Arg. S.A. - Mino</v>
          </cell>
          <cell r="BO414" t="str">
            <v>ADA_Mino - Danone Arg. S.A. - Mino</v>
          </cell>
          <cell r="BP414" t="str">
            <v>ADA_Mino - Danone Arg. S.A. - Mino</v>
          </cell>
          <cell r="BQ414" t="str">
            <v>ADA_Mino - Danone Arg. S.A. - Mino</v>
          </cell>
          <cell r="BR414" t="str">
            <v>ADA_Mino - Danone Arg. S.A. - Mino</v>
          </cell>
          <cell r="BS414" t="str">
            <v>ADA_Mino - Danone Arg. S.A. - Mino</v>
          </cell>
          <cell r="BT414" t="str">
            <v>ADA_Mino - Danone Arg. S.A. - Mino</v>
          </cell>
          <cell r="BU414" t="str">
            <v>CCUCoAZA</v>
          </cell>
          <cell r="BV414" t="str">
            <v>CCUCoAZA</v>
          </cell>
          <cell r="BW414" t="str">
            <v>CCUCoAZA</v>
          </cell>
          <cell r="BX414" t="str">
            <v>CCUCoAZA</v>
          </cell>
          <cell r="BY414" t="str">
            <v>CCUCoAZA</v>
          </cell>
          <cell r="BZ414" t="str">
            <v>CCUCoAZA</v>
          </cell>
          <cell r="CA414" t="str">
            <v>CCUCoAZA</v>
          </cell>
          <cell r="CB414" t="str">
            <v>CCUCoAZA</v>
          </cell>
          <cell r="CC414" t="str">
            <v>CCUCoAZA</v>
          </cell>
          <cell r="CD414" t="str">
            <v>CCUCoAZA</v>
          </cell>
          <cell r="CE414" t="str">
            <v>CCUCoAZA</v>
          </cell>
          <cell r="CF414" t="str">
            <v>CCUCoAZA</v>
          </cell>
          <cell r="CG414" t="str">
            <v>CCUCoAZA</v>
          </cell>
          <cell r="CH414" t="str">
            <v>CCUCoAZA</v>
          </cell>
          <cell r="CI414" t="str">
            <v>CCUCoAZA</v>
          </cell>
          <cell r="CJ414" t="str">
            <v>CCUCoAZA</v>
          </cell>
          <cell r="CK414" t="str">
            <v>CCUCoAZA</v>
          </cell>
          <cell r="CL414" t="str">
            <v>CCUCoAZA</v>
          </cell>
          <cell r="CM414" t="str">
            <v>CCUCoAZA</v>
          </cell>
          <cell r="CN414" t="str">
            <v>CCUCoAZA</v>
          </cell>
          <cell r="CO414" t="str">
            <v>CCUCoAZA</v>
          </cell>
          <cell r="CP414" t="str">
            <v>CCUCoAZA</v>
          </cell>
          <cell r="CQ414" t="str">
            <v>CCUCoAZA</v>
          </cell>
          <cell r="CR414" t="str">
            <v>CCUCoAZA</v>
          </cell>
          <cell r="CS414" t="str">
            <v>CCUCoAZA</v>
          </cell>
          <cell r="CT414" t="str">
            <v>CCUCoAZA</v>
          </cell>
          <cell r="CU414" t="str">
            <v>CCUCoAZA</v>
          </cell>
          <cell r="CV414" t="str">
            <v>CCUCoAZA</v>
          </cell>
          <cell r="CW414" t="str">
            <v>CCUCoAZA</v>
          </cell>
        </row>
        <row r="415">
          <cell r="D415" t="str">
            <v>OJG064</v>
          </cell>
          <cell r="E415" t="str">
            <v>Chasis</v>
          </cell>
          <cell r="F415" t="str">
            <v>Balancin</v>
          </cell>
          <cell r="G415" t="str">
            <v>Balancin</v>
          </cell>
          <cell r="N415" t="str">
            <v>CODYLSA</v>
          </cell>
          <cell r="O415" t="str">
            <v>CODYLSA</v>
          </cell>
          <cell r="P415" t="str">
            <v>No</v>
          </cell>
          <cell r="Q415" t="str">
            <v>Propio</v>
          </cell>
          <cell r="R415">
            <v>12</v>
          </cell>
          <cell r="S415" t="str">
            <v>Propio</v>
          </cell>
          <cell r="T415" t="str">
            <v>MERCEDES BENZ</v>
          </cell>
          <cell r="U415" t="str">
            <v>ATRON 1720/48  FRONTAL</v>
          </cell>
          <cell r="V415" t="str">
            <v>904980U1111650</v>
          </cell>
          <cell r="W415" t="str">
            <v>8AB693186FA600938</v>
          </cell>
          <cell r="X415">
            <v>2014</v>
          </cell>
          <cell r="Y415">
            <v>12</v>
          </cell>
          <cell r="Z415" t="str">
            <v>Danone SMK</v>
          </cell>
          <cell r="AA415" t="str">
            <v>ADA_SMK - Danone Arg. S.A. - SMK</v>
          </cell>
          <cell r="AB415" t="str">
            <v>ADA_SMK - Danone Arg. S.A. - SMK</v>
          </cell>
          <cell r="AC415" t="str">
            <v>ADA_SMK - Danone Arg. S.A. - SMK</v>
          </cell>
          <cell r="AD415" t="str">
            <v>ADA_SMK - Danone Arg. S.A. - SMK</v>
          </cell>
          <cell r="AE415" t="str">
            <v>ADA_SMK - Danone Arg. S.A. - SMK</v>
          </cell>
          <cell r="AF415" t="str">
            <v>ADA_SMK - Danone Arg. S.A. - SMK</v>
          </cell>
          <cell r="AG415" t="str">
            <v>ADA_SMK - Danone Arg. S.A. - SMK</v>
          </cell>
          <cell r="AH415" t="str">
            <v>ADA_SMK - Danone Arg. S.A. - SMK</v>
          </cell>
          <cell r="AI415" t="str">
            <v>ADA_SMK - Danone Arg. S.A. - SMK</v>
          </cell>
          <cell r="AJ415" t="str">
            <v>ADA_SMK - Danone Arg. S.A. - SMK</v>
          </cell>
          <cell r="AK415" t="str">
            <v>ADA_SMK - Danone Arg. S.A. - SMK</v>
          </cell>
          <cell r="AL415" t="str">
            <v>ADA_SMK - Danone Arg. S.A. - SMK</v>
          </cell>
          <cell r="AM415" t="str">
            <v>ADA_SMK - Danone Arg. S.A. - SMK</v>
          </cell>
          <cell r="AN415" t="str">
            <v>ADA_SMK - Danone Arg. S.A. - SMK</v>
          </cell>
          <cell r="AO415" t="str">
            <v>ADA_SMK - Danone Arg. S.A. - SMK</v>
          </cell>
          <cell r="AP415" t="str">
            <v>ADA_SMK - Danone Arg. S.A. - SMK</v>
          </cell>
          <cell r="AQ415" t="str">
            <v>ADA_SMK - Danone Arg. S.A. - SMK</v>
          </cell>
          <cell r="AR415" t="str">
            <v>ADA_SMK - Danone Arg. S.A. - SMK</v>
          </cell>
          <cell r="AS415" t="str">
            <v>ADA_SMK - Danone Arg. S.A. - SMK</v>
          </cell>
          <cell r="AT415" t="str">
            <v>ADA_SMK - Danone Arg. S.A. - SMK</v>
          </cell>
          <cell r="AU415" t="str">
            <v>ADA_SMK - Danone Arg. S.A. - SMK</v>
          </cell>
          <cell r="AV415" t="str">
            <v>ADA_SMK - Danone Arg. S.A. - SMK</v>
          </cell>
          <cell r="AW415" t="str">
            <v>ADA_SMK - Danone Arg. S.A. - SMK</v>
          </cell>
          <cell r="AX415" t="str">
            <v>CMQ_TTE - QUILMES TTE</v>
          </cell>
          <cell r="AY415" t="str">
            <v>CMQ_TTE - QUILMES TTE</v>
          </cell>
          <cell r="AZ415" t="str">
            <v>CMQ_TTE - QUILMES TTE</v>
          </cell>
          <cell r="BA415" t="str">
            <v>CMQ_TTE - QUILMES TTE</v>
          </cell>
          <cell r="BB415" t="str">
            <v>CMQ_TTE - QUILMES TTE</v>
          </cell>
          <cell r="BC415" t="str">
            <v>CMQ_TTE - QUILMES TTE</v>
          </cell>
          <cell r="BD415" t="str">
            <v>CMQ_TTE - QUILMES TTE</v>
          </cell>
          <cell r="BE415" t="str">
            <v>CMQ_TTE - QUILMES TTE</v>
          </cell>
          <cell r="BF415" t="str">
            <v>CMQ_TTE - QUILMES TTE</v>
          </cell>
          <cell r="BG415" t="str">
            <v>CMQ_TTE - QUILMES TTE</v>
          </cell>
          <cell r="BH415" t="str">
            <v>CMQ_TTE - QUILMES TTE</v>
          </cell>
          <cell r="BI415" t="str">
            <v>CMQ_TTE - QUILMES TTE</v>
          </cell>
          <cell r="BJ415" t="str">
            <v>CMQ_TTE - QUILMES TTE</v>
          </cell>
          <cell r="BK415" t="str">
            <v>CMQ_TTE - QUILMES TTE</v>
          </cell>
          <cell r="BL415" t="str">
            <v>CMQ_TTE - QUILMES TTE</v>
          </cell>
          <cell r="BM415" t="str">
            <v>CMQ_TTE - QUILMES TTE</v>
          </cell>
          <cell r="BN415" t="str">
            <v>CMQ_TTE - QUILMES TTE</v>
          </cell>
          <cell r="BO415" t="str">
            <v>CMQ_TTE - QUILMES TTE</v>
          </cell>
          <cell r="BP415" t="str">
            <v>CMQ_TTE - QUILMES TTE</v>
          </cell>
          <cell r="BQ415" t="str">
            <v>CMQ_TTE - QUILMES TTE</v>
          </cell>
          <cell r="BR415" t="str">
            <v>CMQ_TTE - QUILMES TTE</v>
          </cell>
          <cell r="BS415" t="str">
            <v>CMQ_TTE - QUILMES TTE</v>
          </cell>
          <cell r="BT415" t="str">
            <v>CMQ_TTE - QUILMES TTE</v>
          </cell>
          <cell r="BU415" t="str">
            <v>CMQ_TTE - QUILMES TTE</v>
          </cell>
          <cell r="BV415" t="str">
            <v>CMQ_TTE - QUILMES TTE</v>
          </cell>
          <cell r="BW415" t="str">
            <v>CMQ_TTE - QUILMES TTE</v>
          </cell>
          <cell r="BX415" t="str">
            <v>CMQ_TTE - QUILMES TTE</v>
          </cell>
          <cell r="BY415" t="str">
            <v>CMQ_TTE - QUILMES TTE</v>
          </cell>
          <cell r="BZ415" t="str">
            <v>CMQ_TTE - QUILMES TTE</v>
          </cell>
          <cell r="CA415" t="str">
            <v>CMQ_TTE - QUILMES TTE</v>
          </cell>
          <cell r="CB415" t="str">
            <v>CMQ_TTE - QUILMES TTE</v>
          </cell>
          <cell r="CC415" t="str">
            <v>CMQ_TTE - QUILMES TTE</v>
          </cell>
          <cell r="CD415" t="str">
            <v>CMQ_TTE - QUILMES TTE</v>
          </cell>
          <cell r="CE415" t="str">
            <v>CMQ_TTE - QUILMES TTE</v>
          </cell>
          <cell r="CF415" t="str">
            <v>CMQ_TTE - QUILMES TTE</v>
          </cell>
          <cell r="CG415" t="str">
            <v>CMQ_TTE - QUILMES TTE</v>
          </cell>
          <cell r="CH415" t="str">
            <v>CMQ_TTE - QUILMES TTE</v>
          </cell>
          <cell r="CI415" t="str">
            <v>CMQ_TTE - QUILMES TTE</v>
          </cell>
          <cell r="CJ415" t="str">
            <v>CMQ_TTE - QUILMES TTE</v>
          </cell>
          <cell r="CK415" t="str">
            <v>CMQ_TTE - QUILMES TTE</v>
          </cell>
          <cell r="CL415" t="str">
            <v>CMQ_TTE - QUILMES TTE</v>
          </cell>
          <cell r="CM415" t="str">
            <v>CMQ_TTE - QUILMES TTE</v>
          </cell>
          <cell r="CN415" t="str">
            <v>CMQ_TTE - QUILMES TTE</v>
          </cell>
          <cell r="CO415" t="str">
            <v>CMQ_TTE - QUILMES TTE</v>
          </cell>
          <cell r="CP415" t="str">
            <v>CMQ_TTE - QUILMES TTE</v>
          </cell>
          <cell r="CQ415" t="str">
            <v>CMQ_TTE - QUILMES TTE</v>
          </cell>
          <cell r="CR415" t="str">
            <v>CMQ_TTE - QUILMES TTE</v>
          </cell>
          <cell r="CS415" t="str">
            <v>CMQ_TTE - QUILMES TTE</v>
          </cell>
          <cell r="CT415" t="str">
            <v>CMQ_TTE - QUILMES TTE</v>
          </cell>
          <cell r="CU415" t="str">
            <v>CMQ_TTE - QUILMES TTE</v>
          </cell>
          <cell r="CV415" t="str">
            <v>CMQ_TTE - QUILMES TTE</v>
          </cell>
          <cell r="CW415" t="str">
            <v>CMQ_TTE - QUILMES TTE</v>
          </cell>
        </row>
        <row r="416">
          <cell r="D416" t="str">
            <v>OJG065</v>
          </cell>
          <cell r="E416" t="str">
            <v>Chasis</v>
          </cell>
          <cell r="F416" t="str">
            <v>Chasis</v>
          </cell>
          <cell r="G416" t="str">
            <v>Chasis</v>
          </cell>
          <cell r="N416" t="str">
            <v>CODYLSA</v>
          </cell>
          <cell r="O416" t="str">
            <v>CODYLSA</v>
          </cell>
          <cell r="P416" t="str">
            <v>No</v>
          </cell>
          <cell r="Q416" t="str">
            <v>Propio</v>
          </cell>
          <cell r="R416">
            <v>12</v>
          </cell>
          <cell r="S416" t="str">
            <v>Propio</v>
          </cell>
          <cell r="T416" t="str">
            <v>MERCEDES BENZ</v>
          </cell>
          <cell r="U416" t="str">
            <v>ATRON 1720/48  FRONTAL</v>
          </cell>
          <cell r="V416" t="str">
            <v>904980U1111641</v>
          </cell>
          <cell r="W416" t="str">
            <v>8AB693186FA600942</v>
          </cell>
          <cell r="X416">
            <v>2014</v>
          </cell>
          <cell r="Y416">
            <v>12</v>
          </cell>
          <cell r="Z416" t="str">
            <v>Danone SMK</v>
          </cell>
          <cell r="AA416" t="str">
            <v>ADA_SMK - Danone Arg. S.A. - SMK</v>
          </cell>
          <cell r="AB416" t="str">
            <v>ADA_SMK - Danone Arg. S.A. - SMK</v>
          </cell>
          <cell r="AC416" t="str">
            <v>ADA_SMK - Danone Arg. S.A. - SMK</v>
          </cell>
          <cell r="AD416" t="str">
            <v>ADA_SMK - Danone Arg. S.A. - SMK</v>
          </cell>
          <cell r="AE416" t="str">
            <v>ADA_SMK - Danone Arg. S.A. - SMK</v>
          </cell>
          <cell r="AF416" t="str">
            <v>ADA_SMK - Danone Arg. S.A. - SMK</v>
          </cell>
          <cell r="AG416" t="str">
            <v>ADA_SMK - Danone Arg. S.A. - SMK</v>
          </cell>
          <cell r="AH416" t="str">
            <v>ADA_SMK - Danone Arg. S.A. - SMK</v>
          </cell>
          <cell r="AI416" t="str">
            <v>ADA_SMK - Danone Arg. S.A. - SMK</v>
          </cell>
          <cell r="AJ416" t="str">
            <v>ADA_SMK - Danone Arg. S.A. - SMK</v>
          </cell>
          <cell r="AK416" t="str">
            <v>ADA_SMK - Danone Arg. S.A. - SMK</v>
          </cell>
          <cell r="AL416" t="str">
            <v>ADA_SMK - Danone Arg. S.A. - SMK</v>
          </cell>
          <cell r="AM416" t="str">
            <v>ADA_SMK - Danone Arg. S.A. - SMK</v>
          </cell>
          <cell r="AN416" t="str">
            <v>ADA_SMK - Danone Arg. S.A. - SMK</v>
          </cell>
          <cell r="AO416" t="str">
            <v>ADA_SMK - Danone Arg. S.A. - SMK</v>
          </cell>
          <cell r="AP416" t="str">
            <v>ADA_SMK - Danone Arg. S.A. - SMK</v>
          </cell>
          <cell r="AQ416" t="str">
            <v>ADA_SMK - Danone Arg. S.A. - SMK</v>
          </cell>
          <cell r="AR416" t="str">
            <v>ADA_SMK - Danone Arg. S.A. - SMK</v>
          </cell>
          <cell r="AS416" t="str">
            <v>ADA_SMK - Danone Arg. S.A. - SMK</v>
          </cell>
          <cell r="AT416" t="str">
            <v>ADA_SMK - Danone Arg. S.A. - SMK</v>
          </cell>
          <cell r="AU416" t="str">
            <v>ADA_SMK - Danone Arg. S.A. - SMK</v>
          </cell>
          <cell r="AV416" t="str">
            <v>ADA_SMK - Danone Arg. S.A. - SMK</v>
          </cell>
          <cell r="AW416" t="str">
            <v>ADA_SMK - Danone Arg. S.A. - SMK</v>
          </cell>
          <cell r="AX416" t="str">
            <v>ADA_SMK - Danone Arg. S.A. - SMK</v>
          </cell>
          <cell r="AY416" t="str">
            <v>ADA_SMK - Danone Arg. S.A. - SMK</v>
          </cell>
          <cell r="AZ416" t="str">
            <v>ADA_SMK - Danone Arg. S.A. - SMK</v>
          </cell>
          <cell r="BA416" t="str">
            <v>ADA_SMK - Danone Arg. S.A. - SMK</v>
          </cell>
          <cell r="BB416" t="str">
            <v>ADA_SMK - Danone Arg. S.A. - SMK</v>
          </cell>
          <cell r="BC416" t="str">
            <v>ADA_SMK - Danone Arg. S.A. - SMK</v>
          </cell>
          <cell r="BD416" t="str">
            <v>ADA_SMK - Danone Arg. S.A. - SMK</v>
          </cell>
          <cell r="BE416" t="str">
            <v>ADA_SMK - Danone Arg. S.A. - SMK</v>
          </cell>
          <cell r="BF416" t="str">
            <v>ADA_SMK - Danone Arg. S.A. - SMK</v>
          </cell>
          <cell r="BG416" t="str">
            <v>ADA_SMK - Danone Arg. S.A. - SMK</v>
          </cell>
          <cell r="BH416" t="str">
            <v>ADA_SMK - Danone Arg. S.A. - SMK</v>
          </cell>
          <cell r="BI416" t="str">
            <v>ADA_SMK - Danone Arg. S.A. - SMK</v>
          </cell>
          <cell r="BJ416" t="str">
            <v>ADA_SMK - Danone Arg. S.A. - SMK</v>
          </cell>
          <cell r="BK416" t="str">
            <v>ADA_SMK - Danone Arg. S.A. - SMK</v>
          </cell>
          <cell r="BL416" t="str">
            <v>ADA_SMK - Danone Arg. S.A. - SMK</v>
          </cell>
          <cell r="BM416" t="str">
            <v>ADA_SMK - Danone Arg. S.A. - SMK</v>
          </cell>
          <cell r="BN416" t="str">
            <v>ADA_SMK - Danone Arg. S.A. - SMK</v>
          </cell>
          <cell r="BO416" t="str">
            <v>ADA_SMK - Danone Arg. S.A. - SMK</v>
          </cell>
          <cell r="BP416" t="str">
            <v>ADA_SMK - Danone Arg. S.A. - SMK</v>
          </cell>
          <cell r="BQ416" t="str">
            <v>ADA_SMK - Danone Arg. S.A. - SMK</v>
          </cell>
          <cell r="BR416" t="str">
            <v>ADA_SMK - Danone Arg. S.A. - SMK</v>
          </cell>
          <cell r="BS416" t="str">
            <v>ADA_SMK - Danone Arg. S.A. - SMK</v>
          </cell>
          <cell r="BT416" t="str">
            <v>ADA_SMK - Danone Arg. S.A. - SMK</v>
          </cell>
          <cell r="BU416" t="str">
            <v>CCUDyAZA</v>
          </cell>
          <cell r="BV416" t="str">
            <v>CCUDyAZA</v>
          </cell>
          <cell r="BW416" t="str">
            <v>CCUDyAZA</v>
          </cell>
          <cell r="BX416" t="str">
            <v>CCUDyAZA</v>
          </cell>
          <cell r="BY416" t="str">
            <v>CCUDyAZA</v>
          </cell>
          <cell r="BZ416" t="str">
            <v>CCUDyAZA</v>
          </cell>
          <cell r="CA416" t="str">
            <v>CCUDyAZA</v>
          </cell>
          <cell r="CB416" t="str">
            <v>CCUDyAZA</v>
          </cell>
          <cell r="CC416" t="str">
            <v>CCUDyAZA</v>
          </cell>
          <cell r="CD416" t="str">
            <v>CCUDyAZA</v>
          </cell>
          <cell r="CE416" t="str">
            <v>CCUDyAZA</v>
          </cell>
          <cell r="CF416" t="str">
            <v>CCUDyAZA</v>
          </cell>
          <cell r="CG416" t="str">
            <v>CCUDyAZA</v>
          </cell>
          <cell r="CH416" t="str">
            <v>CCUDyAZA</v>
          </cell>
          <cell r="CI416" t="str">
            <v>CCUDyAZA</v>
          </cell>
          <cell r="CJ416" t="str">
            <v>CCUDyAZA</v>
          </cell>
          <cell r="CK416" t="str">
            <v>CCUDyAZA</v>
          </cell>
          <cell r="CL416" t="str">
            <v>CCUDyAZA</v>
          </cell>
          <cell r="CM416" t="str">
            <v>CCUDyAZA</v>
          </cell>
          <cell r="CN416" t="str">
            <v>CCUDyAZA</v>
          </cell>
          <cell r="CO416" t="str">
            <v>CCUDyAZA</v>
          </cell>
          <cell r="CP416" t="str">
            <v>CCUDyAZA</v>
          </cell>
          <cell r="CQ416" t="str">
            <v>CCUDyAZA</v>
          </cell>
          <cell r="CR416" t="str">
            <v>CCUDyAZA</v>
          </cell>
          <cell r="CS416" t="str">
            <v>CCUDyAZA</v>
          </cell>
          <cell r="CT416" t="str">
            <v>CCUDyAZA</v>
          </cell>
          <cell r="CU416" t="str">
            <v>CCUDyAZA</v>
          </cell>
          <cell r="CV416" t="str">
            <v>CCUDyAZA</v>
          </cell>
          <cell r="CW416" t="str">
            <v>CCUDyAZA</v>
          </cell>
        </row>
        <row r="417">
          <cell r="D417" t="str">
            <v>OJG072</v>
          </cell>
          <cell r="E417" t="str">
            <v>Semiremolque</v>
          </cell>
          <cell r="F417" t="str">
            <v>Semiremolque</v>
          </cell>
          <cell r="G417" t="str">
            <v>Semiremolque Sider 14,5m 28P</v>
          </cell>
          <cell r="N417" t="str">
            <v>TDU</v>
          </cell>
          <cell r="O417" t="str">
            <v>TDU</v>
          </cell>
          <cell r="P417" t="str">
            <v>No</v>
          </cell>
          <cell r="Q417" t="str">
            <v>Propio</v>
          </cell>
          <cell r="R417">
            <v>28</v>
          </cell>
          <cell r="S417" t="str">
            <v>Propio</v>
          </cell>
          <cell r="T417" t="str">
            <v>SOLA Y BRUSA</v>
          </cell>
          <cell r="U417" t="str">
            <v>32-CORT. LAT. 3 EJES-1</v>
          </cell>
          <cell r="V417">
            <v>0</v>
          </cell>
          <cell r="W417" t="str">
            <v>8BAG1453GE1000395</v>
          </cell>
          <cell r="X417">
            <v>2014</v>
          </cell>
          <cell r="Y417">
            <v>12</v>
          </cell>
          <cell r="Z417" t="str">
            <v>TDU</v>
          </cell>
          <cell r="AA417" t="str">
            <v>CMQ_TTE - QUILMES TTE</v>
          </cell>
          <cell r="AB417" t="str">
            <v>CMQ_TTE - QUILMES TTE</v>
          </cell>
          <cell r="AC417" t="str">
            <v>CMQ_TTE - QUILMES TTE</v>
          </cell>
          <cell r="AD417" t="str">
            <v>CMQ_TTE - QUILMES TTE</v>
          </cell>
          <cell r="AE417" t="str">
            <v>CMQ_TTE - QUILMES TTE</v>
          </cell>
          <cell r="AF417" t="str">
            <v>CMQ_TTE - QUILMES TTE</v>
          </cell>
          <cell r="AG417" t="str">
            <v>CMQ_TTE - QUILMES TTE</v>
          </cell>
          <cell r="AH417" t="str">
            <v>CMQ_TTE - QUILMES TTE</v>
          </cell>
          <cell r="AI417" t="str">
            <v>CMQ_TTE - QUILMES TTE</v>
          </cell>
          <cell r="AJ417" t="str">
            <v>CMQ_TTE - QUILMES TTE</v>
          </cell>
          <cell r="AK417" t="str">
            <v>CMQ_TTE - QUILMES TTE</v>
          </cell>
          <cell r="AL417" t="str">
            <v>CMQ_TTE - QUILMES TTE</v>
          </cell>
          <cell r="AM417" t="str">
            <v>CMQ_TTE - QUILMES TTE</v>
          </cell>
          <cell r="AN417" t="str">
            <v>CMQ_TTE - QUILMES TTE</v>
          </cell>
          <cell r="AO417" t="str">
            <v>CMQ_TTE - QUILMES TTE</v>
          </cell>
          <cell r="AP417" t="str">
            <v>CMQ_TTE - QUILMES TTE</v>
          </cell>
          <cell r="AQ417" t="str">
            <v>CMQ_TTE - QUILMES TTE</v>
          </cell>
          <cell r="AR417" t="str">
            <v>CMQ_TTE - QUILMES TTE</v>
          </cell>
          <cell r="AS417" t="str">
            <v>CMQ_TTE - QUILMES TTE</v>
          </cell>
          <cell r="AT417" t="str">
            <v>CMQ_TTE - QUILMES TTE</v>
          </cell>
          <cell r="AU417" t="str">
            <v>CMQ_TTE - QUILMES TTE</v>
          </cell>
          <cell r="AV417" t="str">
            <v>CMQ_TTE - QUILMES TTE</v>
          </cell>
          <cell r="AW417" t="str">
            <v>CMQ_TTE - QUILMES TTE</v>
          </cell>
          <cell r="AX417" t="str">
            <v>CMQ_TTE - QUILMES TTE</v>
          </cell>
          <cell r="AY417" t="str">
            <v>CMQ_TTE - QUILMES TTE</v>
          </cell>
          <cell r="AZ417" t="str">
            <v>CMQ_TTE - QUILMES TTE</v>
          </cell>
          <cell r="BA417" t="str">
            <v>CMQ_TTE - QUILMES TTE</v>
          </cell>
          <cell r="BB417" t="str">
            <v>CMQ_TTE - QUILMES TTE</v>
          </cell>
          <cell r="BC417" t="str">
            <v>CMQ_TTE - QUILMES TTE</v>
          </cell>
          <cell r="BD417" t="str">
            <v>CMQ_TTE - QUILMES TTE</v>
          </cell>
          <cell r="BE417" t="str">
            <v>CMQ_TTE - QUILMES TTE</v>
          </cell>
          <cell r="BF417" t="str">
            <v>CMQ_TTE - QUILMES TTE</v>
          </cell>
          <cell r="BG417" t="str">
            <v>CMQ_TTE - QUILMES TTE</v>
          </cell>
          <cell r="BH417" t="str">
            <v>CMQ_TTE - QUILMES TTE</v>
          </cell>
          <cell r="BI417" t="str">
            <v>CMQ_TTE - QUILMES TTE</v>
          </cell>
          <cell r="BJ417" t="str">
            <v>CMQ_TTE - QUILMES TTE</v>
          </cell>
          <cell r="BK417" t="str">
            <v>CMQ_TTE - QUILMES TTE</v>
          </cell>
          <cell r="BL417" t="str">
            <v>CMQ_TTE - QUILMES TTE</v>
          </cell>
          <cell r="BM417" t="str">
            <v>CMQ_TTE - QUILMES TTE</v>
          </cell>
          <cell r="BN417" t="str">
            <v>CMQ_TTE - QUILMES TTE</v>
          </cell>
          <cell r="BO417" t="str">
            <v>CMQ_TTE - QUILMES TTE</v>
          </cell>
          <cell r="BP417" t="str">
            <v>CMQ_TTE - QUILMES TTE</v>
          </cell>
          <cell r="BQ417" t="str">
            <v>CMQ_TTE - QUILMES TTE</v>
          </cell>
          <cell r="BR417" t="str">
            <v>CMQ_TTE - QUILMES TTE</v>
          </cell>
          <cell r="BS417" t="str">
            <v>CMQ_TTE - QUILMES TTE</v>
          </cell>
          <cell r="BT417" t="str">
            <v>CMQ_TTE - QUILMES TTE</v>
          </cell>
          <cell r="BU417" t="str">
            <v>Sin Operación</v>
          </cell>
          <cell r="BV417" t="str">
            <v>CMQ_TTE - QUILMES TTE</v>
          </cell>
          <cell r="BW417" t="str">
            <v>CMQ_TTE - QUILMES TTE</v>
          </cell>
          <cell r="BX417" t="str">
            <v>CMQ_TTE - QUILMES TTE</v>
          </cell>
          <cell r="BY417" t="str">
            <v>CMQ_TTE - QUILMES TTE</v>
          </cell>
          <cell r="BZ417" t="str">
            <v>CMQ_TTE - QUILMES TTE</v>
          </cell>
          <cell r="CA417" t="str">
            <v>CMQ_TTE - QUILMES TTE</v>
          </cell>
          <cell r="CB417" t="str">
            <v>CMQ_TTE - QUILMES TTE</v>
          </cell>
          <cell r="CC417" t="str">
            <v>CMQ_TTE - QUILMES TTE</v>
          </cell>
          <cell r="CD417" t="str">
            <v>CMQ_TTE - QUILMES TTE</v>
          </cell>
          <cell r="CE417" t="str">
            <v>CMQ_TTE - QUILMES TTE</v>
          </cell>
          <cell r="CF417" t="str">
            <v>CMQ_TTE - QUILMES TTE</v>
          </cell>
          <cell r="CG417" t="str">
            <v>CMQ_TTE - QUILMES TTE</v>
          </cell>
          <cell r="CH417" t="str">
            <v>CMQ_TTE - QUILMES TTE</v>
          </cell>
          <cell r="CI417" t="str">
            <v>CMQ_TTE - QUILMES TTE</v>
          </cell>
          <cell r="CJ417" t="str">
            <v>CMQ_TTE - QUILMES TTE</v>
          </cell>
          <cell r="CK417" t="str">
            <v>CMQ_TTE - QUILMES TTE</v>
          </cell>
          <cell r="CL417" t="str">
            <v>CMQ_TTE - QUILMES TTE</v>
          </cell>
          <cell r="CM417" t="str">
            <v>CMQ_TTE - QUILMES TTE</v>
          </cell>
          <cell r="CN417" t="str">
            <v>CMQ_TTE - QUILMES TTE</v>
          </cell>
          <cell r="CO417" t="str">
            <v>CMQ_TTE - QUILMES TTE</v>
          </cell>
          <cell r="CP417" t="str">
            <v>CMQ_TTE - QUILMES TTE</v>
          </cell>
          <cell r="CQ417" t="str">
            <v>CMQ_TTE - QUILMES TTE</v>
          </cell>
          <cell r="CR417" t="str">
            <v>CMQ_TTE - QUILMES TTE</v>
          </cell>
          <cell r="CS417" t="str">
            <v>CMQ_TTE - QUILMES TTE</v>
          </cell>
          <cell r="CT417" t="str">
            <v>CMQ_TTE - QUILMES TTE</v>
          </cell>
          <cell r="CU417" t="str">
            <v>CMQ_TTE - QUILMES TTE</v>
          </cell>
          <cell r="CV417" t="str">
            <v>CMQ_TTE - QUILMES TTE</v>
          </cell>
          <cell r="CW417" t="str">
            <v>CMQ_TTE - QUILMES TTE</v>
          </cell>
        </row>
        <row r="418">
          <cell r="D418" t="str">
            <v>OJG073</v>
          </cell>
          <cell r="E418" t="str">
            <v>Semiremolque</v>
          </cell>
          <cell r="F418" t="str">
            <v>Semiremolque</v>
          </cell>
          <cell r="G418" t="str">
            <v>Semiremolque Sider 14,5m 28P</v>
          </cell>
          <cell r="N418" t="str">
            <v>TDU</v>
          </cell>
          <cell r="O418" t="str">
            <v>TDU</v>
          </cell>
          <cell r="P418" t="str">
            <v>No</v>
          </cell>
          <cell r="Q418" t="str">
            <v>Propio</v>
          </cell>
          <cell r="R418">
            <v>28</v>
          </cell>
          <cell r="S418" t="str">
            <v>Propio</v>
          </cell>
          <cell r="T418" t="str">
            <v>SOLA Y BRUSA</v>
          </cell>
          <cell r="U418" t="str">
            <v>32-CORT. LAT. 3 EJES-1</v>
          </cell>
          <cell r="V418">
            <v>0</v>
          </cell>
          <cell r="W418" t="str">
            <v>8BAG1453GE1000392</v>
          </cell>
          <cell r="X418">
            <v>2014</v>
          </cell>
          <cell r="Y418">
            <v>12</v>
          </cell>
          <cell r="Z418" t="str">
            <v>TDU</v>
          </cell>
          <cell r="AA418" t="str">
            <v>CMQ_TTE - QUILMES TTE</v>
          </cell>
          <cell r="AB418" t="str">
            <v>CMQ_TTE - QUILMES TTE</v>
          </cell>
          <cell r="AC418" t="str">
            <v>CMQ_TTE - QUILMES TTE</v>
          </cell>
          <cell r="AD418" t="str">
            <v>CMQ_TTE - QUILMES TTE</v>
          </cell>
          <cell r="AE418" t="str">
            <v>CMQ_TTE - QUILMES TTE</v>
          </cell>
          <cell r="AF418" t="str">
            <v>CMQ_TTE - QUILMES TTE</v>
          </cell>
          <cell r="AG418" t="str">
            <v>CMQ_TTE - QUILMES TTE</v>
          </cell>
          <cell r="AH418" t="str">
            <v>Papelera - Papelera del Plata S.A.</v>
          </cell>
          <cell r="AI418" t="str">
            <v>Papelera - Papelera del Plata S.A.</v>
          </cell>
          <cell r="AJ418" t="str">
            <v>Papelera - Papelera del Plata S.A.</v>
          </cell>
          <cell r="AK418" t="str">
            <v>Papelera - Papelera del Plata S.A.</v>
          </cell>
          <cell r="AL418" t="str">
            <v>Expreso - Servicios Troncales</v>
          </cell>
          <cell r="AM418" t="str">
            <v>Expreso - Servicios Troncales</v>
          </cell>
          <cell r="AN418" t="str">
            <v>CMQ_TTE - QUILMES TTE</v>
          </cell>
          <cell r="AO418" t="str">
            <v>CMQ_TTE - QUILMES TTE</v>
          </cell>
          <cell r="AP418" t="str">
            <v>CMQ_TTE - QUILMES TTE</v>
          </cell>
          <cell r="AQ418" t="str">
            <v>CMQ_TTE - QUILMES TTE</v>
          </cell>
          <cell r="AR418" t="str">
            <v>CMQ_TTE - QUILMES TTE</v>
          </cell>
          <cell r="AS418" t="str">
            <v>CMQ_TTE - QUILMES TTE</v>
          </cell>
          <cell r="AT418" t="str">
            <v>CMQ_TTE - QUILMES TTE</v>
          </cell>
          <cell r="AU418" t="str">
            <v>CMQ_TTE - QUILMES TTE</v>
          </cell>
          <cell r="AV418" t="str">
            <v>JOHNSON - SC JOHNSON DE ARGENTINA SAIC</v>
          </cell>
          <cell r="AW418" t="str">
            <v>JOHNSON - SC JOHNSON DE ARGENTINA SAIC</v>
          </cell>
          <cell r="AX418" t="str">
            <v>CMQ_TTE - QUILMES TTE</v>
          </cell>
          <cell r="AY418" t="str">
            <v>CMQ_TTE - QUILMES TTE</v>
          </cell>
          <cell r="AZ418" t="str">
            <v>CMQ_TTE - QUILMES TTE</v>
          </cell>
          <cell r="BA418" t="str">
            <v>CMQ_TTE - QUILMES TTE</v>
          </cell>
          <cell r="BB418" t="str">
            <v>CMQ_TTE - QUILMES TTE</v>
          </cell>
          <cell r="BC418" t="str">
            <v>CMQ_TTE - QUILMES TTE</v>
          </cell>
          <cell r="BD418" t="str">
            <v>CMQ_TTE - QUILMES TTE</v>
          </cell>
          <cell r="BE418" t="str">
            <v>CMQ_TTE - QUILMES TTE</v>
          </cell>
          <cell r="BF418" t="str">
            <v>CMQ_TTE - QUILMES TTE</v>
          </cell>
          <cell r="BG418" t="str">
            <v>CMQ_TTE - QUILMES TTE</v>
          </cell>
          <cell r="BH418" t="str">
            <v>CMQ_TTE - QUILMES TTE</v>
          </cell>
          <cell r="BI418" t="str">
            <v>CMQ_TTE - QUILMES TTE</v>
          </cell>
          <cell r="BJ418" t="str">
            <v>CMQ_TTE - QUILMES TTE</v>
          </cell>
          <cell r="BK418" t="str">
            <v>CMQ_TTE - QUILMES TTE</v>
          </cell>
          <cell r="BL418" t="str">
            <v>CMQ_TTE - QUILMES TTE</v>
          </cell>
          <cell r="BM418" t="str">
            <v>CMQ_TTE - QUILMES TTE</v>
          </cell>
          <cell r="BN418" t="str">
            <v>CMQ_TTE - QUILMES TTE</v>
          </cell>
          <cell r="BO418" t="str">
            <v>CMQ_TTE - QUILMES TTE</v>
          </cell>
          <cell r="BP418" t="str">
            <v>CMQ_TTE - QUILMES TTE</v>
          </cell>
          <cell r="BQ418" t="str">
            <v>CMQ_TTE - QUILMES TTE</v>
          </cell>
          <cell r="BR418" t="str">
            <v>CMQ_TTE - QUILMES TTE</v>
          </cell>
          <cell r="BS418" t="str">
            <v>CMQ_TTE - QUILMES TTE</v>
          </cell>
          <cell r="BT418" t="str">
            <v>CMQ_TTE - QUILMES TTE</v>
          </cell>
          <cell r="BU418" t="str">
            <v>Sin Operación</v>
          </cell>
          <cell r="BV418" t="str">
            <v>CMQ_TTE - QUILMES TTE</v>
          </cell>
          <cell r="BW418" t="str">
            <v>CMQ_TTE - QUILMES TTE</v>
          </cell>
          <cell r="BX418" t="str">
            <v>CMQ_TTE - QUILMES TTE</v>
          </cell>
          <cell r="BY418" t="str">
            <v>CMQ_TTE - QUILMES TTE</v>
          </cell>
          <cell r="BZ418" t="str">
            <v>CMQ_TTE - QUILMES TTE</v>
          </cell>
          <cell r="CA418" t="str">
            <v>CMQ_TTE - QUILMES TTE</v>
          </cell>
          <cell r="CB418" t="str">
            <v>CMQ_TTE - QUILMES TTE</v>
          </cell>
          <cell r="CC418" t="str">
            <v>CMQ_TTE - QUILMES TTE</v>
          </cell>
          <cell r="CD418" t="str">
            <v>CMQ_TTE - QUILMES TTE</v>
          </cell>
          <cell r="CE418" t="str">
            <v>CMQ_TTE - QUILMES TTE</v>
          </cell>
          <cell r="CF418" t="str">
            <v>CMQ_TTE - QUILMES TTE</v>
          </cell>
          <cell r="CG418" t="str">
            <v>CMQ_TTE - QUILMES TTE</v>
          </cell>
          <cell r="CH418" t="str">
            <v>CMQ_TTE - QUILMES TTE</v>
          </cell>
          <cell r="CI418" t="str">
            <v>CMQ_TTE - QUILMES TTE</v>
          </cell>
          <cell r="CJ418" t="str">
            <v>CMQ_TTE - QUILMES TTE</v>
          </cell>
          <cell r="CK418" t="str">
            <v>CMQ_TTE - QUILMES TTE</v>
          </cell>
          <cell r="CL418" t="str">
            <v>CMQ_TTE - QUILMES TTE</v>
          </cell>
          <cell r="CM418" t="str">
            <v>CMQ_TTE - QUILMES TTE</v>
          </cell>
          <cell r="CN418" t="str">
            <v>CMQ_TTE - QUILMES TTE</v>
          </cell>
          <cell r="CO418" t="str">
            <v>CMQ_TTE - QUILMES TTE</v>
          </cell>
          <cell r="CP418" t="str">
            <v>CMQ_TTE - QUILMES TTE</v>
          </cell>
          <cell r="CQ418" t="str">
            <v>CMQ_TTE - QUILMES TTE</v>
          </cell>
          <cell r="CR418" t="str">
            <v>CMQ_TTE - QUILMES TTE</v>
          </cell>
          <cell r="CS418" t="str">
            <v>CMQ_TTE - QUILMES TTE</v>
          </cell>
          <cell r="CT418" t="str">
            <v>CMQ_TTE - QUILMES TTE</v>
          </cell>
          <cell r="CU418" t="str">
            <v>CMQ_TTE - QUILMES TTE</v>
          </cell>
          <cell r="CV418" t="str">
            <v>CMQ_TTE - QUILMES TTE</v>
          </cell>
          <cell r="CW418" t="str">
            <v>CMQ_TTE - QUILMES TTE</v>
          </cell>
        </row>
        <row r="419">
          <cell r="D419" t="str">
            <v>OJG074</v>
          </cell>
          <cell r="E419" t="str">
            <v>Semiremolque</v>
          </cell>
          <cell r="F419" t="str">
            <v>Semiremolque</v>
          </cell>
          <cell r="G419" t="str">
            <v>Semiremolque Sider 14,5m 28P</v>
          </cell>
          <cell r="N419" t="str">
            <v>TDU</v>
          </cell>
          <cell r="O419" t="str">
            <v>TDU</v>
          </cell>
          <cell r="P419" t="str">
            <v>No</v>
          </cell>
          <cell r="Q419" t="str">
            <v>Propio</v>
          </cell>
          <cell r="R419">
            <v>28</v>
          </cell>
          <cell r="S419" t="str">
            <v>Propio</v>
          </cell>
          <cell r="T419" t="str">
            <v>SOLA Y BRUSA</v>
          </cell>
          <cell r="U419" t="str">
            <v>32-CORT. LAT. 3 EJES-1</v>
          </cell>
          <cell r="V419">
            <v>0</v>
          </cell>
          <cell r="W419" t="str">
            <v>8BAG1453GE1000394</v>
          </cell>
          <cell r="X419">
            <v>2014</v>
          </cell>
          <cell r="Y419">
            <v>12</v>
          </cell>
          <cell r="Z419" t="str">
            <v>TDU</v>
          </cell>
          <cell r="AA419" t="str">
            <v>CMQ_TTE - QUILMES TTE</v>
          </cell>
          <cell r="AB419" t="str">
            <v>CMQ_TTE - QUILMES TTE</v>
          </cell>
          <cell r="AC419" t="str">
            <v>CMQ_TTE - QUILMES TTE</v>
          </cell>
          <cell r="AD419" t="str">
            <v>CMQ_TTE - QUILMES TTE</v>
          </cell>
          <cell r="AE419" t="str">
            <v>CMQ_TTE - QUILMES TTE</v>
          </cell>
          <cell r="AF419" t="str">
            <v>CMQ_TTE - QUILMES TTE</v>
          </cell>
          <cell r="AG419" t="str">
            <v>CMQ_TTE - QUILMES TTE</v>
          </cell>
          <cell r="AH419" t="str">
            <v>CMQ_TTE - QUILMES TTE</v>
          </cell>
          <cell r="AI419" t="str">
            <v>CMQ_TTE - QUILMES TTE</v>
          </cell>
          <cell r="AJ419" t="str">
            <v>CMQ_TTE - QUILMES TTE</v>
          </cell>
          <cell r="AK419" t="str">
            <v>CMQ_TTE - QUILMES TTE</v>
          </cell>
          <cell r="AL419" t="str">
            <v>CMQ_TTE - QUILMES TTE</v>
          </cell>
          <cell r="AM419" t="str">
            <v>CMQ_TTE - QUILMES TTE</v>
          </cell>
          <cell r="AN419" t="str">
            <v>CMQ_TTE - QUILMES TTE</v>
          </cell>
          <cell r="AO419" t="str">
            <v>CMQ_TTE - QUILMES TTE</v>
          </cell>
          <cell r="AP419" t="str">
            <v>CMQ_TTE - QUILMES TTE</v>
          </cell>
          <cell r="AQ419" t="str">
            <v>CMQ_TTE - QUILMES TTE</v>
          </cell>
          <cell r="AR419" t="str">
            <v>CMQ_TTE - QUILMES TTE</v>
          </cell>
          <cell r="AS419" t="str">
            <v>CMQ_TTE - QUILMES TTE</v>
          </cell>
          <cell r="AT419" t="str">
            <v>CMQ_TTE - QUILMES TTE</v>
          </cell>
          <cell r="AU419" t="str">
            <v>CMQ_TTE - QUILMES TTE</v>
          </cell>
          <cell r="AV419" t="str">
            <v>CMQ_TTE - QUILMES TTE</v>
          </cell>
          <cell r="AW419" t="str">
            <v>CMQ_TTE - QUILMES TTE</v>
          </cell>
          <cell r="AX419" t="str">
            <v>CMQ_TTE - QUILMES TTE</v>
          </cell>
          <cell r="AY419" t="str">
            <v>CMQ_TTE - QUILMES TTE</v>
          </cell>
          <cell r="AZ419" t="str">
            <v>CMQ_TTE - QUILMES TTE</v>
          </cell>
          <cell r="BA419" t="str">
            <v>CMQ_TTE - QUILMES TTE</v>
          </cell>
          <cell r="BB419" t="str">
            <v>CMQ_TTE - QUILMES TTE</v>
          </cell>
          <cell r="BC419" t="str">
            <v>CMQ_TTE - QUILMES TTE</v>
          </cell>
          <cell r="BD419" t="str">
            <v>CMQ_TTE - QUILMES TTE</v>
          </cell>
          <cell r="BE419" t="str">
            <v>CMQ_TTE - QUILMES TTE</v>
          </cell>
          <cell r="BF419" t="str">
            <v>CMQ_TTE - QUILMES TTE</v>
          </cell>
          <cell r="BG419" t="str">
            <v>CMQ_TTE - QUILMES TTE</v>
          </cell>
          <cell r="BH419" t="str">
            <v>CMQ_TTE - QUILMES TTE</v>
          </cell>
          <cell r="BI419" t="str">
            <v>CMQ_TTE - QUILMES TTE</v>
          </cell>
          <cell r="BJ419" t="str">
            <v>CMQ_TTE - QUILMES TTE</v>
          </cell>
          <cell r="BK419" t="str">
            <v>CMQ_TTE - QUILMES TTE</v>
          </cell>
          <cell r="BL419" t="str">
            <v>CMQ_TTE - QUILMES TTE</v>
          </cell>
          <cell r="BM419" t="str">
            <v>CMQ_TTE - QUILMES TTE</v>
          </cell>
          <cell r="BN419" t="str">
            <v>CMQ_TTE - QUILMES TTE</v>
          </cell>
          <cell r="BO419" t="str">
            <v>CMQ_TTE - QUILMES TTE</v>
          </cell>
          <cell r="BP419" t="str">
            <v>CMQ_TTE - QUILMES TTE</v>
          </cell>
          <cell r="BQ419" t="str">
            <v>CMQ_TTE - QUILMES TTE</v>
          </cell>
          <cell r="BR419" t="str">
            <v>CMQ_TTE - QUILMES TTE</v>
          </cell>
          <cell r="BS419" t="str">
            <v>CMQ_TTE - QUILMES TTE</v>
          </cell>
          <cell r="BT419" t="str">
            <v>CMQ_TTE - QUILMES TTE</v>
          </cell>
          <cell r="BU419" t="str">
            <v>Sin Operación</v>
          </cell>
          <cell r="BV419" t="str">
            <v>CMQ_TTE - QUILMES TTE</v>
          </cell>
          <cell r="BW419" t="str">
            <v>CMQ_TTE - QUILMES TTE</v>
          </cell>
          <cell r="BX419" t="str">
            <v>CMQ_TTE - QUILMES TTE</v>
          </cell>
          <cell r="BY419" t="str">
            <v>CMQ_TTE - QUILMES TTE</v>
          </cell>
          <cell r="BZ419" t="str">
            <v>CMQ_TTE - QUILMES TTE</v>
          </cell>
          <cell r="CA419" t="str">
            <v>CMQ_TTE - QUILMES TTE</v>
          </cell>
          <cell r="CB419" t="str">
            <v>CMQ_TTE - QUILMES TTE</v>
          </cell>
          <cell r="CC419" t="str">
            <v>CMQ_TTE - QUILMES TTE</v>
          </cell>
          <cell r="CD419" t="str">
            <v>CMQ_TTE - QUILMES TTE</v>
          </cell>
          <cell r="CE419" t="str">
            <v>CMQ_TTE - QUILMES TTE</v>
          </cell>
          <cell r="CF419" t="str">
            <v>CMQ_TTE - QUILMES TTE</v>
          </cell>
          <cell r="CG419" t="str">
            <v>CMQ_TTE - QUILMES TTE</v>
          </cell>
          <cell r="CH419" t="str">
            <v>CMQ_TTE - QUILMES TTE</v>
          </cell>
          <cell r="CI419" t="str">
            <v>CMQ_TTE - QUILMES TTE</v>
          </cell>
          <cell r="CJ419" t="str">
            <v>CMQ_TTE - QUILMES TTE</v>
          </cell>
          <cell r="CK419" t="str">
            <v>CMQ_TTE - QUILMES TTE</v>
          </cell>
          <cell r="CL419" t="str">
            <v>CMQ_TTE - QUILMES TTE</v>
          </cell>
          <cell r="CM419" t="str">
            <v>CMQ_TTE - QUILMES TTE</v>
          </cell>
          <cell r="CN419" t="str">
            <v>CMQ_TTE - QUILMES TTE</v>
          </cell>
          <cell r="CO419" t="str">
            <v>CMQ_TTE - QUILMES TTE</v>
          </cell>
          <cell r="CP419" t="str">
            <v>CMQ_TTE - QUILMES TTE</v>
          </cell>
          <cell r="CQ419" t="str">
            <v>CMQ_TTE - QUILMES TTE</v>
          </cell>
          <cell r="CR419" t="str">
            <v>CMQ_TTE - QUILMES TTE</v>
          </cell>
          <cell r="CS419" t="str">
            <v>CMQ_TTE - QUILMES TTE</v>
          </cell>
          <cell r="CT419" t="str">
            <v>CMQ_TTE - QUILMES TTE</v>
          </cell>
          <cell r="CU419" t="str">
            <v>CMQ_TTE - QUILMES TTE</v>
          </cell>
          <cell r="CV419" t="str">
            <v>CMQ_TTE - QUILMES TTE</v>
          </cell>
          <cell r="CW419" t="str">
            <v>CMQ_TTE - QUILMES TTE</v>
          </cell>
        </row>
        <row r="420">
          <cell r="D420" t="str">
            <v>OJG075</v>
          </cell>
          <cell r="E420" t="str">
            <v>Semiremolque</v>
          </cell>
          <cell r="F420" t="str">
            <v>Semiremolque</v>
          </cell>
          <cell r="G420" t="str">
            <v>Semiremolque Sider 14,5m 28P</v>
          </cell>
          <cell r="N420" t="str">
            <v>CODYLSA</v>
          </cell>
          <cell r="O420" t="str">
            <v>CODYLSA</v>
          </cell>
          <cell r="P420" t="str">
            <v>No</v>
          </cell>
          <cell r="Q420" t="str">
            <v>Propio</v>
          </cell>
          <cell r="R420">
            <v>28</v>
          </cell>
          <cell r="S420" t="str">
            <v>Propio</v>
          </cell>
          <cell r="T420" t="str">
            <v>SOLA Y BRUSA</v>
          </cell>
          <cell r="U420" t="str">
            <v>32-CORT. LAT. 3 EJES-1</v>
          </cell>
          <cell r="V420">
            <v>0</v>
          </cell>
          <cell r="W420" t="str">
            <v>8BAG1453GE1000393</v>
          </cell>
          <cell r="X420">
            <v>2014</v>
          </cell>
          <cell r="Y420">
            <v>12</v>
          </cell>
          <cell r="Z420" t="str">
            <v>Malargue</v>
          </cell>
          <cell r="AA420" t="str">
            <v>Expreso - Servicios Troncales</v>
          </cell>
          <cell r="AB420" t="str">
            <v>Expreso - Servicios Troncales</v>
          </cell>
          <cell r="AC420" t="str">
            <v>Expreso - Servicios Troncales</v>
          </cell>
          <cell r="AD420" t="str">
            <v>Expreso - Servicios Troncales</v>
          </cell>
          <cell r="AE420" t="str">
            <v>Expreso - Servicios Troncales</v>
          </cell>
          <cell r="AF420" t="str">
            <v>Expreso - Servicios Troncales</v>
          </cell>
          <cell r="AG420" t="str">
            <v>Expreso - Servicios Troncales</v>
          </cell>
          <cell r="AH420" t="str">
            <v>Expreso - Servicios Troncales</v>
          </cell>
          <cell r="AI420" t="str">
            <v>Expreso - Servicios Troncales</v>
          </cell>
          <cell r="AJ420" t="str">
            <v>Expreso - Servicios Troncales</v>
          </cell>
          <cell r="AK420" t="str">
            <v>Expreso - Servicios Troncales</v>
          </cell>
          <cell r="AL420" t="str">
            <v>Expreso - Servicios Troncales</v>
          </cell>
          <cell r="AM420" t="str">
            <v>Expreso - Servicios Troncales</v>
          </cell>
          <cell r="AN420" t="str">
            <v>Expreso - Servicios Troncales</v>
          </cell>
          <cell r="AO420" t="str">
            <v>Expreso - Servicios Troncales</v>
          </cell>
          <cell r="AP420" t="str">
            <v>Expreso - Servicios Troncales</v>
          </cell>
          <cell r="AQ420" t="str">
            <v>Expreso - Servicios Troncales</v>
          </cell>
          <cell r="AR420" t="str">
            <v>Expreso - Servicios Troncales</v>
          </cell>
          <cell r="AS420" t="str">
            <v>Expreso - Servicios Troncales</v>
          </cell>
          <cell r="AT420" t="str">
            <v>Expreso - Servicios Troncales</v>
          </cell>
          <cell r="AU420" t="str">
            <v>Expreso - Servicios Troncales</v>
          </cell>
          <cell r="AV420" t="str">
            <v>Expreso - Servicios Troncales</v>
          </cell>
          <cell r="AW420" t="str">
            <v>Expreso - Servicios Troncales</v>
          </cell>
          <cell r="AX420" t="str">
            <v>Expreso - Servicios Troncales</v>
          </cell>
          <cell r="AY420" t="str">
            <v>Expreso - Servicios Troncales</v>
          </cell>
          <cell r="AZ420" t="str">
            <v>Expreso - Servicios Troncales</v>
          </cell>
          <cell r="BA420" t="str">
            <v>Expreso - Servicios Troncales</v>
          </cell>
          <cell r="BB420" t="str">
            <v>Expreso - Servicios Troncales</v>
          </cell>
          <cell r="BC420" t="str">
            <v>Expreso - Servicios Troncales</v>
          </cell>
          <cell r="BD420" t="str">
            <v>Expreso - Servicios Troncales</v>
          </cell>
          <cell r="BE420" t="str">
            <v>Expreso - Servicios Troncales</v>
          </cell>
          <cell r="BF420" t="str">
            <v>Expreso - Servicios Troncales</v>
          </cell>
          <cell r="BG420" t="str">
            <v>Expreso - Servicios Troncales</v>
          </cell>
          <cell r="BH420" t="str">
            <v>Expreso - Servicios Troncales</v>
          </cell>
          <cell r="BI420" t="str">
            <v>Expreso - Servicios Troncales</v>
          </cell>
          <cell r="BJ420" t="str">
            <v>Expreso - Servicios Troncales</v>
          </cell>
          <cell r="BK420" t="str">
            <v>Expreso - Servicios Troncales</v>
          </cell>
          <cell r="BL420" t="str">
            <v>Expreso - Servicios Troncales</v>
          </cell>
          <cell r="BM420" t="str">
            <v>Expreso - Servicios Troncales</v>
          </cell>
          <cell r="BN420" t="str">
            <v>Expreso - Servicios Troncales</v>
          </cell>
          <cell r="BO420" t="str">
            <v>Expreso - Servicios Troncales</v>
          </cell>
          <cell r="BP420" t="str">
            <v>Expreso - Servicios Troncales</v>
          </cell>
          <cell r="BQ420" t="str">
            <v>Expreso - Servicios Troncales</v>
          </cell>
          <cell r="BR420" t="str">
            <v>Expreso - Servicios Troncales</v>
          </cell>
          <cell r="BS420" t="str">
            <v>Expreso - Servicios Troncales</v>
          </cell>
          <cell r="BT420" t="str">
            <v>Expreso - Servicios Troncales</v>
          </cell>
          <cell r="BU420" t="str">
            <v>Expreso - Servicios Troncales</v>
          </cell>
          <cell r="BV420" t="str">
            <v>Expreso - Servicios Troncales</v>
          </cell>
          <cell r="BW420" t="str">
            <v>Expreso - Servicios Troncales</v>
          </cell>
          <cell r="BX420" t="str">
            <v>Expreso - Servicios Troncales</v>
          </cell>
          <cell r="BY420" t="str">
            <v>Expreso - Servicios Troncales</v>
          </cell>
          <cell r="BZ420" t="str">
            <v>Expreso - Servicios Troncales</v>
          </cell>
          <cell r="CA420" t="str">
            <v>Expreso - Servicios Troncales</v>
          </cell>
          <cell r="CB420" t="str">
            <v>Expreso - Servicios Troncales</v>
          </cell>
          <cell r="CC420" t="str">
            <v>Expreso - Servicios Troncales</v>
          </cell>
          <cell r="CD420" t="str">
            <v>Expreso - Servicios Troncales</v>
          </cell>
          <cell r="CE420" t="str">
            <v>Expreso - Servicios Troncales</v>
          </cell>
          <cell r="CF420" t="str">
            <v>Expreso - Servicios Troncales</v>
          </cell>
          <cell r="CG420" t="str">
            <v>Expreso - Servicios Troncales</v>
          </cell>
          <cell r="CH420" t="str">
            <v>Expreso - Servicios Troncales</v>
          </cell>
          <cell r="CI420" t="str">
            <v>Expreso - Servicios Troncales</v>
          </cell>
          <cell r="CJ420" t="str">
            <v>Expreso - Servicios Troncales</v>
          </cell>
          <cell r="CK420" t="str">
            <v>Expreso - Servicios Troncales</v>
          </cell>
          <cell r="CL420" t="str">
            <v>Expreso - Servicios Troncales</v>
          </cell>
          <cell r="CM420" t="str">
            <v>Expreso - Servicios Troncales</v>
          </cell>
          <cell r="CN420" t="str">
            <v>Expreso - Servicios Troncales</v>
          </cell>
          <cell r="CO420" t="str">
            <v>Expreso - Servicios Troncales</v>
          </cell>
          <cell r="CP420" t="str">
            <v>Expreso - Servicios Troncales</v>
          </cell>
          <cell r="CQ420" t="str">
            <v>Expreso - Servicios Troncales</v>
          </cell>
          <cell r="CR420" t="str">
            <v>Expreso - Servicios Troncales</v>
          </cell>
          <cell r="CS420" t="str">
            <v>Expreso - Servicios Troncales</v>
          </cell>
          <cell r="CT420" t="str">
            <v>Expreso - Servicios Troncales</v>
          </cell>
          <cell r="CU420" t="str">
            <v>Expreso - Servicios Troncales</v>
          </cell>
          <cell r="CV420" t="str">
            <v>Expreso - Servicios Troncales</v>
          </cell>
          <cell r="CW420" t="str">
            <v>Expreso - Servicios Troncales</v>
          </cell>
        </row>
        <row r="421">
          <cell r="D421" t="str">
            <v>OJG076</v>
          </cell>
          <cell r="E421" t="str">
            <v>Semiremolque</v>
          </cell>
          <cell r="F421" t="str">
            <v>Semiremolque</v>
          </cell>
          <cell r="G421" t="str">
            <v>Semiremolque Sider 14,5m 28P</v>
          </cell>
          <cell r="N421" t="str">
            <v>CODYLSA</v>
          </cell>
          <cell r="O421" t="str">
            <v>CODYLSA</v>
          </cell>
          <cell r="P421" t="str">
            <v>No</v>
          </cell>
          <cell r="Q421" t="str">
            <v>Propio</v>
          </cell>
          <cell r="R421">
            <v>28</v>
          </cell>
          <cell r="S421" t="str">
            <v>Propio</v>
          </cell>
          <cell r="T421" t="str">
            <v>SOLA Y BRUSA</v>
          </cell>
          <cell r="U421" t="str">
            <v>32-CORT. LAT. 3 EJES-1</v>
          </cell>
          <cell r="V421">
            <v>0</v>
          </cell>
          <cell r="W421" t="str">
            <v>8BAG1453GE1000391</v>
          </cell>
          <cell r="X421">
            <v>2014</v>
          </cell>
          <cell r="Y421">
            <v>12</v>
          </cell>
          <cell r="Z421" t="str">
            <v>Malargue</v>
          </cell>
          <cell r="AA421" t="str">
            <v>Expreso - Servicios Troncales</v>
          </cell>
          <cell r="AB421" t="str">
            <v>Expreso - Servicios Troncales</v>
          </cell>
          <cell r="AC421" t="str">
            <v>Expreso - Servicios Troncales</v>
          </cell>
          <cell r="AD421" t="str">
            <v>Expreso - Servicios Troncales</v>
          </cell>
          <cell r="AE421" t="str">
            <v>Expreso - Servicios Troncales</v>
          </cell>
          <cell r="AF421" t="str">
            <v>Expreso - Servicios Troncales</v>
          </cell>
          <cell r="AG421" t="str">
            <v>Expreso - Servicios Troncales</v>
          </cell>
          <cell r="AH421" t="str">
            <v>Expreso - Servicios Troncales</v>
          </cell>
          <cell r="AI421" t="str">
            <v>Expreso - Servicios Troncales</v>
          </cell>
          <cell r="AJ421" t="str">
            <v>Expreso - Servicios Troncales</v>
          </cell>
          <cell r="AK421" t="str">
            <v>Expreso - Servicios Troncales</v>
          </cell>
          <cell r="AL421" t="str">
            <v>Expreso - Servicios Troncales</v>
          </cell>
          <cell r="AM421" t="str">
            <v>Expreso - Servicios Troncales</v>
          </cell>
          <cell r="AN421" t="str">
            <v>Expreso - Servicios Troncales</v>
          </cell>
          <cell r="AO421" t="str">
            <v>Expreso - Servicios Troncales</v>
          </cell>
          <cell r="AP421" t="str">
            <v>Expreso - Servicios Troncales</v>
          </cell>
          <cell r="AQ421" t="str">
            <v>Expreso - Servicios Troncales</v>
          </cell>
          <cell r="AR421" t="str">
            <v>Expreso - Servicios Troncales</v>
          </cell>
          <cell r="AS421" t="str">
            <v>Expreso - Servicios Troncales</v>
          </cell>
          <cell r="AT421" t="str">
            <v>Expreso - Servicios Troncales</v>
          </cell>
          <cell r="AU421" t="str">
            <v>Expreso - Servicios Troncales</v>
          </cell>
          <cell r="AV421" t="str">
            <v>Expreso - Servicios Troncales</v>
          </cell>
          <cell r="AW421" t="str">
            <v>Expreso - Servicios Troncales</v>
          </cell>
          <cell r="AX421" t="str">
            <v>Expreso - Servicios Troncales</v>
          </cell>
          <cell r="AY421" t="str">
            <v>Expreso - Servicios Troncales</v>
          </cell>
          <cell r="AZ421" t="str">
            <v>Expreso - Servicios Troncales</v>
          </cell>
          <cell r="BA421" t="str">
            <v>Expreso - Servicios Troncales</v>
          </cell>
          <cell r="BB421" t="str">
            <v>Expreso - Servicios Troncales</v>
          </cell>
          <cell r="BC421" t="str">
            <v>Expreso - Servicios Troncales</v>
          </cell>
          <cell r="BD421" t="str">
            <v>Expreso - Servicios Troncales</v>
          </cell>
          <cell r="BE421" t="str">
            <v>Expreso - Servicios Troncales</v>
          </cell>
          <cell r="BF421" t="str">
            <v>Expreso - Servicios Troncales</v>
          </cell>
          <cell r="BG421" t="str">
            <v>Expreso - Servicios Troncales</v>
          </cell>
          <cell r="BH421" t="str">
            <v>Expreso - Servicios Troncales</v>
          </cell>
          <cell r="BI421" t="str">
            <v>Expreso - Servicios Troncales</v>
          </cell>
          <cell r="BJ421" t="str">
            <v>Expreso - Servicios Troncales</v>
          </cell>
          <cell r="BK421" t="str">
            <v>Expreso - Servicios Troncales</v>
          </cell>
          <cell r="BL421" t="str">
            <v>Expreso - Servicios Troncales</v>
          </cell>
          <cell r="BM421" t="str">
            <v>Expreso - Servicios Troncales</v>
          </cell>
          <cell r="BN421" t="str">
            <v>Expreso - Servicios Troncales</v>
          </cell>
          <cell r="BO421" t="str">
            <v>Expreso - Servicios Troncales</v>
          </cell>
          <cell r="BP421" t="str">
            <v>Expreso - Servicios Troncales</v>
          </cell>
          <cell r="BQ421" t="str">
            <v>Expreso - Servicios Troncales</v>
          </cell>
          <cell r="BR421" t="str">
            <v>Expreso - Servicios Troncales</v>
          </cell>
          <cell r="BS421" t="str">
            <v>Expreso - Servicios Troncales</v>
          </cell>
          <cell r="BT421" t="str">
            <v>Expreso - Servicios Troncales</v>
          </cell>
          <cell r="BU421" t="str">
            <v>Expreso - Servicios Troncales</v>
          </cell>
          <cell r="BV421" t="str">
            <v>Expreso - Servicios Troncales</v>
          </cell>
          <cell r="BW421" t="str">
            <v>Expreso - Servicios Troncales</v>
          </cell>
          <cell r="BX421" t="str">
            <v>Expreso - Servicios Troncales</v>
          </cell>
          <cell r="BY421" t="str">
            <v>Expreso - Servicios Troncales</v>
          </cell>
          <cell r="BZ421" t="str">
            <v>Expreso - Servicios Troncales</v>
          </cell>
          <cell r="CA421" t="str">
            <v>Expreso - Servicios Troncales</v>
          </cell>
          <cell r="CB421" t="str">
            <v>Expreso - Servicios Troncales</v>
          </cell>
          <cell r="CC421" t="str">
            <v>Expreso - Servicios Troncales</v>
          </cell>
          <cell r="CD421" t="str">
            <v>Expreso - Servicios Troncales</v>
          </cell>
          <cell r="CE421" t="str">
            <v>Expreso - Servicios Troncales</v>
          </cell>
          <cell r="CF421" t="str">
            <v>Expreso - Servicios Troncales</v>
          </cell>
          <cell r="CG421" t="str">
            <v>Expreso - Servicios Troncales</v>
          </cell>
          <cell r="CH421" t="str">
            <v>Expreso - Servicios Troncales</v>
          </cell>
          <cell r="CI421" t="str">
            <v>Expreso - Servicios Troncales</v>
          </cell>
          <cell r="CJ421" t="str">
            <v>Expreso - Servicios Troncales</v>
          </cell>
          <cell r="CK421" t="str">
            <v>Expreso - Servicios Troncales</v>
          </cell>
          <cell r="CL421" t="str">
            <v>Expreso - Servicios Troncales</v>
          </cell>
          <cell r="CM421" t="str">
            <v>Expreso - Servicios Troncales</v>
          </cell>
          <cell r="CN421" t="str">
            <v>Expreso - Servicios Troncales</v>
          </cell>
          <cell r="CO421" t="str">
            <v>Expreso - Servicios Troncales</v>
          </cell>
          <cell r="CP421" t="str">
            <v>Expreso - Servicios Troncales</v>
          </cell>
          <cell r="CQ421" t="str">
            <v>Expreso - Servicios Troncales</v>
          </cell>
          <cell r="CR421" t="str">
            <v>Expreso - Servicios Troncales</v>
          </cell>
          <cell r="CS421" t="str">
            <v>Expreso - Servicios Troncales</v>
          </cell>
          <cell r="CT421" t="str">
            <v>Expreso - Servicios Troncales</v>
          </cell>
          <cell r="CU421" t="str">
            <v>Expreso - Servicios Troncales</v>
          </cell>
          <cell r="CV421" t="str">
            <v>Expreso - Servicios Troncales</v>
          </cell>
          <cell r="CW421" t="str">
            <v>Expreso - Servicios Troncales</v>
          </cell>
        </row>
        <row r="422">
          <cell r="D422" t="str">
            <v>OJG097</v>
          </cell>
          <cell r="E422" t="str">
            <v>Chasis</v>
          </cell>
          <cell r="F422" t="str">
            <v>Balancin</v>
          </cell>
          <cell r="G422" t="str">
            <v>Balancin</v>
          </cell>
          <cell r="N422" t="str">
            <v>CODYLSA</v>
          </cell>
          <cell r="O422" t="str">
            <v>CODYLSA</v>
          </cell>
          <cell r="P422" t="str">
            <v>No</v>
          </cell>
          <cell r="Q422" t="str">
            <v>Propio</v>
          </cell>
          <cell r="R422">
            <v>16</v>
          </cell>
          <cell r="S422" t="str">
            <v>Propio</v>
          </cell>
          <cell r="T422" t="str">
            <v>MERCEDES BENZ</v>
          </cell>
          <cell r="U422" t="str">
            <v>ATEGO 1725</v>
          </cell>
          <cell r="V422" t="str">
            <v>906985U1088886</v>
          </cell>
          <cell r="W422" t="str">
            <v>9BM958072EB940026</v>
          </cell>
          <cell r="X422">
            <v>2014</v>
          </cell>
          <cell r="Y422">
            <v>12</v>
          </cell>
          <cell r="Z422" t="str">
            <v>Danone SMK</v>
          </cell>
          <cell r="AA422" t="str">
            <v>ADA_SMK - Danone Arg. S.A. - SMK</v>
          </cell>
          <cell r="AB422" t="str">
            <v>ADA_SMK - Danone Arg. S.A. - SMK</v>
          </cell>
          <cell r="AC422" t="str">
            <v>ADA_SMK - Danone Arg. S.A. - SMK</v>
          </cell>
          <cell r="AD422" t="str">
            <v>ADA_SMK - Danone Arg. S.A. - SMK</v>
          </cell>
          <cell r="AE422" t="str">
            <v>ADA_SMK - Danone Arg. S.A. - SMK</v>
          </cell>
          <cell r="AF422" t="str">
            <v>ADA_SMK - Danone Arg. S.A. - SMK</v>
          </cell>
          <cell r="AG422" t="str">
            <v>ADA_SMK - Danone Arg. S.A. - SMK</v>
          </cell>
          <cell r="AH422" t="str">
            <v>ADA_SMK - Danone Arg. S.A. - SMK</v>
          </cell>
          <cell r="AI422" t="str">
            <v>ADA_SMK - Danone Arg. S.A. - SMK</v>
          </cell>
          <cell r="AJ422" t="str">
            <v>ADA_SMK - Danone Arg. S.A. - SMK</v>
          </cell>
          <cell r="AK422" t="str">
            <v>ADA_SMK - Danone Arg. S.A. - SMK</v>
          </cell>
          <cell r="AL422" t="str">
            <v>ADA_SMK - Danone Arg. S.A. - SMK</v>
          </cell>
          <cell r="AM422" t="str">
            <v>ADA_SMK - Danone Arg. S.A. - SMK</v>
          </cell>
          <cell r="AN422" t="str">
            <v>ADA_SMK - Danone Arg. S.A. - SMK</v>
          </cell>
          <cell r="AO422" t="str">
            <v>ADA_SMK - Danone Arg. S.A. - SMK</v>
          </cell>
          <cell r="AP422" t="str">
            <v>ADA_SMK - Danone Arg. S.A. - SMK</v>
          </cell>
          <cell r="AQ422" t="str">
            <v>ADA_SMK - Danone Arg. S.A. - SMK</v>
          </cell>
          <cell r="AR422" t="str">
            <v>ADA_MZA - Danone Arg. S.A. - MZA</v>
          </cell>
          <cell r="AS422" t="str">
            <v>ADA_MZA - Danone Arg. S.A. - MZA</v>
          </cell>
          <cell r="AT422" t="str">
            <v>ADA_MZA - Danone Arg. S.A. - MZA</v>
          </cell>
          <cell r="AU422" t="str">
            <v>ADA_MZA - Danone Arg. S.A. - MZA</v>
          </cell>
          <cell r="AV422" t="str">
            <v>ADA_SMK - Danone Arg. S.A. - SMK</v>
          </cell>
          <cell r="AW422" t="str">
            <v>ADA_SMK - Danone Arg. S.A. - SMK</v>
          </cell>
          <cell r="AX422" t="str">
            <v>ADA_SMK - Danone Arg. S.A. - SMK</v>
          </cell>
          <cell r="AY422" t="str">
            <v>ADA_SMK - Danone Arg. S.A. - SMK</v>
          </cell>
          <cell r="AZ422" t="str">
            <v>ADA_SMK - Danone Arg. S.A. - SMK</v>
          </cell>
          <cell r="BA422" t="str">
            <v>ADA_SMK - Danone Arg. S.A. - SMK</v>
          </cell>
          <cell r="BB422" t="str">
            <v>ADA_SMK - Danone Arg. S.A. - SMK</v>
          </cell>
          <cell r="BC422" t="str">
            <v>ADA_SMK - Danone Arg. S.A. - SMK</v>
          </cell>
          <cell r="BD422" t="str">
            <v>ADA_SMK - Danone Arg. S.A. - SMK</v>
          </cell>
          <cell r="BE422" t="str">
            <v>ADA_SMK - Danone Arg. S.A. - SMK</v>
          </cell>
          <cell r="BF422" t="str">
            <v>ADA_SMK - Danone Arg. S.A. - SMK</v>
          </cell>
          <cell r="BG422" t="str">
            <v>ADA_SMK - Danone Arg. S.A. - SMK</v>
          </cell>
          <cell r="BH422" t="str">
            <v>ADA_SMK - Danone Arg. S.A. - SMK</v>
          </cell>
          <cell r="BI422" t="str">
            <v>ADA_SMK - Danone Arg. S.A. - SMK</v>
          </cell>
          <cell r="BJ422" t="str">
            <v>ADA_SMK - Danone Arg. S.A. - SMK</v>
          </cell>
          <cell r="BK422" t="str">
            <v>ADA_SMK - Danone Arg. S.A. - SMK</v>
          </cell>
          <cell r="BL422" t="str">
            <v>ADA_SMK - Danone Arg. S.A. - SMK</v>
          </cell>
          <cell r="BM422" t="str">
            <v>ADA_SMK - Danone Arg. S.A. - SMK</v>
          </cell>
          <cell r="BN422" t="str">
            <v>ADA_SMK - Danone Arg. S.A. - SMK</v>
          </cell>
          <cell r="BO422" t="str">
            <v>ADA_SMK - Danone Arg. S.A. - SMK</v>
          </cell>
          <cell r="BP422" t="str">
            <v>ADA_SMK - Danone Arg. S.A. - SMK</v>
          </cell>
          <cell r="BQ422" t="str">
            <v>ADA_SMK - Danone Arg. S.A. - SMK</v>
          </cell>
          <cell r="BR422" t="str">
            <v>ADA_SMK - Danone Arg. S.A. - SMK</v>
          </cell>
          <cell r="BS422" t="str">
            <v>ADA_SMK - Danone Arg. S.A. - SMK</v>
          </cell>
          <cell r="BT422" t="str">
            <v>ADA_SMK - Danone Arg. S.A. - SMK</v>
          </cell>
          <cell r="BU422" t="str">
            <v>CCUDyAZA</v>
          </cell>
          <cell r="BV422" t="str">
            <v>CCUDyAZA</v>
          </cell>
          <cell r="BW422" t="str">
            <v>CCUDyAZA</v>
          </cell>
          <cell r="BX422" t="str">
            <v>CCUDyAZA</v>
          </cell>
          <cell r="BY422" t="str">
            <v>CCUDyAZA</v>
          </cell>
          <cell r="BZ422" t="str">
            <v>CCUDyAZA</v>
          </cell>
          <cell r="CA422" t="str">
            <v>CCUDyAZA</v>
          </cell>
          <cell r="CB422" t="str">
            <v>CCUDyAZA</v>
          </cell>
          <cell r="CC422" t="str">
            <v>CCUDyAZA</v>
          </cell>
          <cell r="CD422" t="str">
            <v>CCUDyAZA</v>
          </cell>
          <cell r="CE422" t="str">
            <v>CCUDyAZA</v>
          </cell>
          <cell r="CF422" t="str">
            <v>CCUDyAZA</v>
          </cell>
          <cell r="CG422" t="str">
            <v>CCUDyAZA</v>
          </cell>
          <cell r="CH422" t="str">
            <v>CCUDyAZA</v>
          </cell>
          <cell r="CI422" t="str">
            <v>CCUDyAZA</v>
          </cell>
          <cell r="CJ422" t="str">
            <v>CCUDyAZA</v>
          </cell>
          <cell r="CK422" t="str">
            <v>CCUDyAZA</v>
          </cell>
          <cell r="CL422" t="str">
            <v>CCUDyAZA</v>
          </cell>
          <cell r="CM422" t="str">
            <v>CCUDyAZA</v>
          </cell>
          <cell r="CN422" t="str">
            <v>CCUDyAZA</v>
          </cell>
          <cell r="CO422" t="str">
            <v>CCUDyAZA</v>
          </cell>
          <cell r="CP422" t="str">
            <v>CCUDyAZA</v>
          </cell>
          <cell r="CQ422" t="str">
            <v>CCUDyAZA</v>
          </cell>
          <cell r="CR422" t="str">
            <v>CCUDyAZA</v>
          </cell>
          <cell r="CS422" t="str">
            <v>CCUDyAZA</v>
          </cell>
          <cell r="CT422" t="str">
            <v>CCUDyAZA</v>
          </cell>
          <cell r="CU422" t="str">
            <v>CCUDyAZA</v>
          </cell>
          <cell r="CV422" t="str">
            <v>CCUDyAZA</v>
          </cell>
          <cell r="CW422" t="str">
            <v>CCUDyAZA</v>
          </cell>
        </row>
        <row r="423">
          <cell r="D423" t="str">
            <v>OJG098</v>
          </cell>
          <cell r="E423" t="str">
            <v>Chasis</v>
          </cell>
          <cell r="F423" t="str">
            <v>Balancin</v>
          </cell>
          <cell r="G423" t="str">
            <v>Balancin</v>
          </cell>
          <cell r="N423" t="str">
            <v>CODYLSA</v>
          </cell>
          <cell r="O423" t="str">
            <v>CODYLSA</v>
          </cell>
          <cell r="P423" t="str">
            <v>No</v>
          </cell>
          <cell r="Q423" t="str">
            <v>Propio</v>
          </cell>
          <cell r="R423">
            <v>16</v>
          </cell>
          <cell r="S423" t="str">
            <v>Propio</v>
          </cell>
          <cell r="T423" t="str">
            <v>MERCEDES BENZ</v>
          </cell>
          <cell r="U423" t="str">
            <v>ATEGO 1725</v>
          </cell>
          <cell r="V423" t="str">
            <v>906985U1091656</v>
          </cell>
          <cell r="W423" t="str">
            <v>9BM958072EB942900</v>
          </cell>
          <cell r="X423">
            <v>2014</v>
          </cell>
          <cell r="Y423">
            <v>12</v>
          </cell>
          <cell r="Z423" t="str">
            <v>Danone SMK</v>
          </cell>
          <cell r="AA423" t="str">
            <v>ADA_SMK - Danone Arg. S.A. - SMK</v>
          </cell>
          <cell r="AB423" t="str">
            <v>ADA_SMK - Danone Arg. S.A. - SMK</v>
          </cell>
          <cell r="AC423" t="str">
            <v>ADA_SMK - Danone Arg. S.A. - SMK</v>
          </cell>
          <cell r="AD423" t="str">
            <v>ADA_SMK - Danone Arg. S.A. - SMK</v>
          </cell>
          <cell r="AE423" t="str">
            <v>ADA_SMK - Danone Arg. S.A. - SMK</v>
          </cell>
          <cell r="AF423" t="str">
            <v>ADA_SMK - Danone Arg. S.A. - SMK</v>
          </cell>
          <cell r="AG423" t="str">
            <v>ADA_SMK - Danone Arg. S.A. - SMK</v>
          </cell>
          <cell r="AH423" t="str">
            <v>ADA_SMK - Danone Arg. S.A. - SMK</v>
          </cell>
          <cell r="AI423" t="str">
            <v>ADA_SMK - Danone Arg. S.A. - SMK</v>
          </cell>
          <cell r="AJ423" t="str">
            <v>ADA_SMK - Danone Arg. S.A. - SMK</v>
          </cell>
          <cell r="AK423" t="str">
            <v>ADA_SMK - Danone Arg. S.A. - SMK</v>
          </cell>
          <cell r="AL423" t="str">
            <v>ADA_SMK - Danone Arg. S.A. - SMK</v>
          </cell>
          <cell r="AM423" t="str">
            <v>ADA_SMK - Danone Arg. S.A. - SMK</v>
          </cell>
          <cell r="AN423" t="str">
            <v>ADA_SMK - Danone Arg. S.A. - SMK</v>
          </cell>
          <cell r="AO423" t="str">
            <v>ADA_SMK - Danone Arg. S.A. - SMK</v>
          </cell>
          <cell r="AP423" t="str">
            <v>ADA_SMK - Danone Arg. S.A. - SMK</v>
          </cell>
          <cell r="AQ423" t="str">
            <v>ADA_SMK - Danone Arg. S.A. - SMK</v>
          </cell>
          <cell r="AR423" t="str">
            <v>ADA_SMK - Danone Arg. S.A. - SMK</v>
          </cell>
          <cell r="AS423" t="str">
            <v>ADA_SMK - Danone Arg. S.A. - SMK</v>
          </cell>
          <cell r="AT423" t="str">
            <v>ADA_SMK - Danone Arg. S.A. - SMK</v>
          </cell>
          <cell r="AU423" t="str">
            <v>ADA_SMK - Danone Arg. S.A. - SMK</v>
          </cell>
          <cell r="AV423" t="str">
            <v>ADA_SMK - Danone Arg. S.A. - SMK</v>
          </cell>
          <cell r="AW423" t="str">
            <v>ADA_SMK - Danone Arg. S.A. - SMK</v>
          </cell>
          <cell r="AX423" t="str">
            <v>ADA_SMK - Danone Arg. S.A. - SMK</v>
          </cell>
          <cell r="AY423" t="str">
            <v>ADA_SMK - Danone Arg. S.A. - SMK</v>
          </cell>
          <cell r="AZ423" t="str">
            <v>ADA_SMK - Danone Arg. S.A. - SMK</v>
          </cell>
          <cell r="BA423" t="str">
            <v>ADA_SMK - Danone Arg. S.A. - SMK</v>
          </cell>
          <cell r="BB423" t="str">
            <v>ADA_SMK - Danone Arg. S.A. - SMK</v>
          </cell>
          <cell r="BC423" t="str">
            <v>ADA_SMK - Danone Arg. S.A. - SMK</v>
          </cell>
          <cell r="BD423" t="str">
            <v>ADA_SMK - Danone Arg. S.A. - SMK</v>
          </cell>
          <cell r="BE423" t="str">
            <v>ADA_SMK - Danone Arg. S.A. - SMK</v>
          </cell>
          <cell r="BF423" t="str">
            <v>ADA_SMK - Danone Arg. S.A. - SMK</v>
          </cell>
          <cell r="BG423" t="str">
            <v>ADA_SMK - Danone Arg. S.A. - SMK</v>
          </cell>
          <cell r="BH423" t="str">
            <v>ADA_SMK - Danone Arg. S.A. - SMK</v>
          </cell>
          <cell r="BI423" t="str">
            <v>ADA_SMK - Danone Arg. S.A. - SMK</v>
          </cell>
          <cell r="BJ423" t="str">
            <v>ADA_SMK - Danone Arg. S.A. - SMK</v>
          </cell>
          <cell r="BK423" t="str">
            <v>ADA_SMK - Danone Arg. S.A. - SMK</v>
          </cell>
          <cell r="BL423" t="str">
            <v>ADA_SMK - Danone Arg. S.A. - SMK</v>
          </cell>
          <cell r="BM423" t="str">
            <v>ADA_SMK - Danone Arg. S.A. - SMK</v>
          </cell>
          <cell r="BN423" t="str">
            <v>ADA_SMK - Danone Arg. S.A. - SMK</v>
          </cell>
          <cell r="BO423" t="str">
            <v>ADA_SMK - Danone Arg. S.A. - SMK</v>
          </cell>
          <cell r="BP423" t="str">
            <v>ADA_SMK - Danone Arg. S.A. - SMK</v>
          </cell>
          <cell r="BQ423" t="str">
            <v>ADA_SMK - Danone Arg. S.A. - SMK</v>
          </cell>
          <cell r="BR423" t="str">
            <v>ADA_SMK - Danone Arg. S.A. - SMK</v>
          </cell>
          <cell r="BS423" t="str">
            <v>ADA_SMK - Danone Arg. S.A. - SMK</v>
          </cell>
          <cell r="BT423" t="str">
            <v>ADA_SMK - Danone Arg. S.A. - SMK</v>
          </cell>
          <cell r="BU423" t="str">
            <v>CCUDyAZA</v>
          </cell>
          <cell r="BV423" t="str">
            <v>CCUDyAZA</v>
          </cell>
          <cell r="BW423" t="str">
            <v>CCUDyAZA</v>
          </cell>
          <cell r="BX423" t="str">
            <v>CCUDyAZA</v>
          </cell>
          <cell r="BY423" t="str">
            <v>CCUDyAZA</v>
          </cell>
          <cell r="BZ423" t="str">
            <v>CCUDyAZA</v>
          </cell>
          <cell r="CA423" t="str">
            <v>CCUDyAZA</v>
          </cell>
          <cell r="CB423" t="str">
            <v>CCUDyAZA</v>
          </cell>
          <cell r="CC423" t="str">
            <v>CCUDyAZA</v>
          </cell>
          <cell r="CD423" t="str">
            <v>CCUDyAZA</v>
          </cell>
          <cell r="CE423" t="str">
            <v>CCUDyAZA</v>
          </cell>
          <cell r="CF423" t="str">
            <v>CCUDyAZA</v>
          </cell>
          <cell r="CG423" t="str">
            <v>CCUDyAZA</v>
          </cell>
          <cell r="CH423" t="str">
            <v>CCUDyAZA</v>
          </cell>
          <cell r="CI423" t="str">
            <v>CCUDyAZA</v>
          </cell>
          <cell r="CJ423" t="str">
            <v>CCUDyAZA</v>
          </cell>
          <cell r="CK423" t="str">
            <v>CCUDyAZA</v>
          </cell>
          <cell r="CL423" t="str">
            <v>CCUDyAZA</v>
          </cell>
          <cell r="CM423" t="str">
            <v>CCUDyAZA</v>
          </cell>
          <cell r="CN423" t="str">
            <v>CCUDyAZA</v>
          </cell>
          <cell r="CO423" t="str">
            <v>CCUDyAZA</v>
          </cell>
          <cell r="CP423" t="str">
            <v>CCUDyAZA</v>
          </cell>
          <cell r="CQ423" t="str">
            <v>CCUDyAZA</v>
          </cell>
          <cell r="CR423" t="str">
            <v>CCUDyAZA</v>
          </cell>
          <cell r="CS423" t="str">
            <v>CCUDyAZA</v>
          </cell>
          <cell r="CT423" t="str">
            <v>CCUDyAZA</v>
          </cell>
          <cell r="CU423" t="str">
            <v>CCUDyAZA</v>
          </cell>
          <cell r="CV423" t="str">
            <v>CCUDyAZA</v>
          </cell>
          <cell r="CW423" t="str">
            <v>CCUDyAZA</v>
          </cell>
        </row>
        <row r="424">
          <cell r="D424" t="str">
            <v>OJG099</v>
          </cell>
          <cell r="E424" t="str">
            <v>Chasis</v>
          </cell>
          <cell r="F424" t="str">
            <v>Balancin</v>
          </cell>
          <cell r="G424" t="str">
            <v>Balancin</v>
          </cell>
          <cell r="N424" t="str">
            <v>CODYLSA</v>
          </cell>
          <cell r="O424" t="str">
            <v>CODYLSA</v>
          </cell>
          <cell r="P424" t="str">
            <v>No</v>
          </cell>
          <cell r="Q424" t="str">
            <v>Propio</v>
          </cell>
          <cell r="R424">
            <v>16</v>
          </cell>
          <cell r="S424" t="str">
            <v>Propio</v>
          </cell>
          <cell r="T424" t="str">
            <v>MERCEDES BENZ</v>
          </cell>
          <cell r="U424" t="str">
            <v>ATEGO 1725</v>
          </cell>
          <cell r="V424" t="str">
            <v>906985U1090084</v>
          </cell>
          <cell r="W424" t="str">
            <v>9BM958072EB941284</v>
          </cell>
          <cell r="X424">
            <v>2014</v>
          </cell>
          <cell r="Y424">
            <v>12</v>
          </cell>
          <cell r="Z424" t="str">
            <v>Danone SMK</v>
          </cell>
          <cell r="AA424" t="str">
            <v>ADA_SMK - Danone Arg. S.A. - SMK</v>
          </cell>
          <cell r="AB424" t="str">
            <v>ADA_SMK - Danone Arg. S.A. - SMK</v>
          </cell>
          <cell r="AC424" t="str">
            <v>ADA_SMK - Danone Arg. S.A. - SMK</v>
          </cell>
          <cell r="AD424" t="str">
            <v>ADA_SMK - Danone Arg. S.A. - SMK</v>
          </cell>
          <cell r="AE424" t="str">
            <v>ADA_SMK - Danone Arg. S.A. - SMK</v>
          </cell>
          <cell r="AF424" t="str">
            <v>ADA_SMK - Danone Arg. S.A. - SMK</v>
          </cell>
          <cell r="AG424" t="str">
            <v>ADA_SMK - Danone Arg. S.A. - SMK</v>
          </cell>
          <cell r="AH424" t="str">
            <v>ADA_SMK - Danone Arg. S.A. - SMK</v>
          </cell>
          <cell r="AI424" t="str">
            <v>ADA_SMK - Danone Arg. S.A. - SMK</v>
          </cell>
          <cell r="AJ424" t="str">
            <v>ADA_SMK - Danone Arg. S.A. - SMK</v>
          </cell>
          <cell r="AK424" t="str">
            <v>ADA_SMK - Danone Arg. S.A. - SMK</v>
          </cell>
          <cell r="AL424" t="str">
            <v>ADA_SMK - Danone Arg. S.A. - SMK</v>
          </cell>
          <cell r="AM424" t="str">
            <v>ADA_SMK - Danone Arg. S.A. - SMK</v>
          </cell>
          <cell r="AN424" t="str">
            <v>ADA_SMK - Danone Arg. S.A. - SMK</v>
          </cell>
          <cell r="AO424" t="str">
            <v>ADA_SMK - Danone Arg. S.A. - SMK</v>
          </cell>
          <cell r="AP424" t="str">
            <v>ADA_SMK - Danone Arg. S.A. - SMK</v>
          </cell>
          <cell r="AQ424" t="str">
            <v>ADA_SMK - Danone Arg. S.A. - SMK</v>
          </cell>
          <cell r="AR424" t="str">
            <v>ADA_SMK - Danone Arg. S.A. - SMK</v>
          </cell>
          <cell r="AS424" t="str">
            <v>ADA_SMK - Danone Arg. S.A. - SMK</v>
          </cell>
          <cell r="AT424" t="str">
            <v>ADA_SMK - Danone Arg. S.A. - SMK</v>
          </cell>
          <cell r="AU424" t="str">
            <v>ADA_SMK - Danone Arg. S.A. - SMK</v>
          </cell>
          <cell r="AV424" t="str">
            <v>ADA_SMK - Danone Arg. S.A. - SMK</v>
          </cell>
          <cell r="AW424" t="str">
            <v>ADA_SMK - Danone Arg. S.A. - SMK</v>
          </cell>
          <cell r="AX424" t="str">
            <v>ADA_SMK - Danone Arg. S.A. - SMK</v>
          </cell>
          <cell r="AY424" t="str">
            <v>ADA_SMK - Danone Arg. S.A. - SMK</v>
          </cell>
          <cell r="AZ424" t="str">
            <v>ADA_SMK - Danone Arg. S.A. - SMK</v>
          </cell>
          <cell r="BA424" t="str">
            <v>ADA_SMK - Danone Arg. S.A. - SMK</v>
          </cell>
          <cell r="BB424" t="str">
            <v>ADA_SMK - Danone Arg. S.A. - SMK</v>
          </cell>
          <cell r="BC424" t="str">
            <v>ADA_SMK - Danone Arg. S.A. - SMK</v>
          </cell>
          <cell r="BD424" t="str">
            <v>ADA_SMK - Danone Arg. S.A. - SMK</v>
          </cell>
          <cell r="BE424" t="str">
            <v>ADA_SMK - Danone Arg. S.A. - SMK</v>
          </cell>
          <cell r="BF424" t="str">
            <v>ADA_SMK - Danone Arg. S.A. - SMK</v>
          </cell>
          <cell r="BG424" t="str">
            <v>ADA_SMK - Danone Arg. S.A. - SMK</v>
          </cell>
          <cell r="BH424" t="str">
            <v>ADA_SMK - Danone Arg. S.A. - SMK</v>
          </cell>
          <cell r="BI424" t="str">
            <v>ADA_SMK - Danone Arg. S.A. - SMK</v>
          </cell>
          <cell r="BJ424" t="str">
            <v>ADA_SMK - Danone Arg. S.A. - SMK</v>
          </cell>
          <cell r="BK424" t="str">
            <v>ADA_SMK - Danone Arg. S.A. - SMK</v>
          </cell>
          <cell r="BL424" t="str">
            <v>ADA_SMK - Danone Arg. S.A. - SMK</v>
          </cell>
          <cell r="BM424" t="str">
            <v>ADA_SMK - Danone Arg. S.A. - SMK</v>
          </cell>
          <cell r="BN424" t="str">
            <v>ADA_SMK - Danone Arg. S.A. - SMK</v>
          </cell>
          <cell r="BO424" t="str">
            <v>ADA_SMK - Danone Arg. S.A. - SMK</v>
          </cell>
          <cell r="BP424" t="str">
            <v>ADA_SMK - Danone Arg. S.A. - SMK</v>
          </cell>
          <cell r="BQ424" t="str">
            <v>ADA_SMK - Danone Arg. S.A. - SMK</v>
          </cell>
          <cell r="BR424" t="str">
            <v>ADA_SMK - Danone Arg. S.A. - SMK</v>
          </cell>
          <cell r="BS424" t="str">
            <v>ADA_SMK - Danone Arg. S.A. - SMK</v>
          </cell>
          <cell r="BT424" t="str">
            <v>ADA_SMK - Danone Arg. S.A. - SMK</v>
          </cell>
          <cell r="BU424" t="str">
            <v>CCUDyAZA</v>
          </cell>
          <cell r="BV424" t="str">
            <v>CCUDyAZA</v>
          </cell>
          <cell r="BW424" t="str">
            <v>CCUDyAZA</v>
          </cell>
          <cell r="BX424" t="str">
            <v>CCUDyAZA</v>
          </cell>
          <cell r="BY424" t="str">
            <v>CCUDyAZA</v>
          </cell>
          <cell r="BZ424" t="str">
            <v>CCUDyAZA</v>
          </cell>
          <cell r="CA424" t="str">
            <v>CCUDyAZA</v>
          </cell>
          <cell r="CB424" t="str">
            <v>CCUDyAZA</v>
          </cell>
          <cell r="CC424" t="str">
            <v>CCUDyAZA</v>
          </cell>
          <cell r="CD424" t="str">
            <v>CCUDyAZA</v>
          </cell>
          <cell r="CE424" t="str">
            <v>CCUDyAZA</v>
          </cell>
          <cell r="CF424" t="str">
            <v>CCUDyAZA</v>
          </cell>
          <cell r="CG424" t="str">
            <v>CCUDyAZA</v>
          </cell>
          <cell r="CH424" t="str">
            <v>CCUDyAZA</v>
          </cell>
          <cell r="CI424" t="str">
            <v>CCUDyAZA</v>
          </cell>
          <cell r="CJ424" t="str">
            <v>CCUDyAZA</v>
          </cell>
          <cell r="CK424" t="str">
            <v>CCUDyAZA</v>
          </cell>
          <cell r="CL424" t="str">
            <v>CCUDyAZA</v>
          </cell>
          <cell r="CM424" t="str">
            <v>CCUDyAZA</v>
          </cell>
          <cell r="CN424" t="str">
            <v>CCUDyAZA</v>
          </cell>
          <cell r="CO424" t="str">
            <v>CCUDyAZA</v>
          </cell>
          <cell r="CP424" t="str">
            <v>CCUDyAZA</v>
          </cell>
          <cell r="CQ424" t="str">
            <v>CCUDyAZA</v>
          </cell>
          <cell r="CR424" t="str">
            <v>CCUDyAZA</v>
          </cell>
          <cell r="CS424" t="str">
            <v>CCUDyAZA</v>
          </cell>
          <cell r="CT424" t="str">
            <v>CCUDyAZA</v>
          </cell>
          <cell r="CU424" t="str">
            <v>CCUDyAZA</v>
          </cell>
          <cell r="CV424" t="str">
            <v>CCUDyAZA</v>
          </cell>
          <cell r="CW424" t="str">
            <v>CCUDyAZA</v>
          </cell>
        </row>
        <row r="425">
          <cell r="D425" t="str">
            <v>OJG101</v>
          </cell>
          <cell r="E425" t="str">
            <v>Chasis</v>
          </cell>
          <cell r="F425" t="str">
            <v>Balancin</v>
          </cell>
          <cell r="G425" t="str">
            <v>Balancin</v>
          </cell>
          <cell r="N425" t="str">
            <v>CODYLSA</v>
          </cell>
          <cell r="O425" t="str">
            <v>CODYLSA</v>
          </cell>
          <cell r="P425" t="str">
            <v>No</v>
          </cell>
          <cell r="Q425" t="str">
            <v>Propio</v>
          </cell>
          <cell r="R425">
            <v>16</v>
          </cell>
          <cell r="S425" t="str">
            <v>Propio</v>
          </cell>
          <cell r="T425" t="str">
            <v>MERCEDES BENZ</v>
          </cell>
          <cell r="U425" t="str">
            <v>ATEGO 1725</v>
          </cell>
          <cell r="V425" t="str">
            <v>906985U1084040</v>
          </cell>
          <cell r="W425" t="str">
            <v>9BM958072EB935095</v>
          </cell>
          <cell r="X425">
            <v>2014</v>
          </cell>
          <cell r="Y425">
            <v>12</v>
          </cell>
          <cell r="Z425" t="str">
            <v>Danone SMK</v>
          </cell>
          <cell r="AA425" t="str">
            <v>ADA_SMK - Danone Arg. S.A. - SMK</v>
          </cell>
          <cell r="AB425" t="str">
            <v>ADA_SMK - Danone Arg. S.A. - SMK</v>
          </cell>
          <cell r="AC425" t="str">
            <v>ADA_SMK - Danone Arg. S.A. - SMK</v>
          </cell>
          <cell r="AD425" t="str">
            <v>ADA_SMK - Danone Arg. S.A. - SMK</v>
          </cell>
          <cell r="AE425" t="str">
            <v>ADA_SMK - Danone Arg. S.A. - SMK</v>
          </cell>
          <cell r="AF425" t="str">
            <v>ADA_SMK - Danone Arg. S.A. - SMK</v>
          </cell>
          <cell r="AG425" t="str">
            <v>ADA_SMK - Danone Arg. S.A. - SMK</v>
          </cell>
          <cell r="AH425" t="str">
            <v>ADA_SMK - Danone Arg. S.A. - SMK</v>
          </cell>
          <cell r="AI425" t="str">
            <v>ADA_SMK - Danone Arg. S.A. - SMK</v>
          </cell>
          <cell r="AJ425" t="str">
            <v>ADA_SMK - Danone Arg. S.A. - SMK</v>
          </cell>
          <cell r="AK425" t="str">
            <v>ADA_SMK - Danone Arg. S.A. - SMK</v>
          </cell>
          <cell r="AL425" t="str">
            <v>ADA_SMK - Danone Arg. S.A. - SMK</v>
          </cell>
          <cell r="AM425" t="str">
            <v>ADA_SMK - Danone Arg. S.A. - SMK</v>
          </cell>
          <cell r="AN425" t="str">
            <v>ADA_SMK - Danone Arg. S.A. - SMK</v>
          </cell>
          <cell r="AO425" t="str">
            <v>ADA_SMK - Danone Arg. S.A. - SMK</v>
          </cell>
          <cell r="AP425" t="str">
            <v>ADA_SMK - Danone Arg. S.A. - SMK</v>
          </cell>
          <cell r="AQ425" t="str">
            <v>ADA_SMK - Danone Arg. S.A. - SMK</v>
          </cell>
          <cell r="AR425" t="str">
            <v>ADA_SMK - Danone Arg. S.A. - SMK</v>
          </cell>
          <cell r="AS425" t="str">
            <v>ADA_SMK - Danone Arg. S.A. - SMK</v>
          </cell>
          <cell r="AT425" t="str">
            <v>ADA_SMK - Danone Arg. S.A. - SMK</v>
          </cell>
          <cell r="AU425" t="str">
            <v>ADA_SMK - Danone Arg. S.A. - SMK</v>
          </cell>
          <cell r="AV425" t="str">
            <v>ADA_SMK - Danone Arg. S.A. - SMK</v>
          </cell>
          <cell r="AW425" t="str">
            <v>ADA_SMK - Danone Arg. S.A. - SMK</v>
          </cell>
          <cell r="AX425" t="str">
            <v>ADA_SMK - Danone Arg. S.A. - SMK</v>
          </cell>
          <cell r="AY425" t="str">
            <v>ADA_SMK - Danone Arg. S.A. - SMK</v>
          </cell>
          <cell r="AZ425" t="str">
            <v>ADA_SMK - Danone Arg. S.A. - SMK</v>
          </cell>
          <cell r="BA425" t="str">
            <v>ADA_SMK - Danone Arg. S.A. - SMK</v>
          </cell>
          <cell r="BB425" t="str">
            <v>ADA_SMK - Danone Arg. S.A. - SMK</v>
          </cell>
          <cell r="BC425" t="str">
            <v>ADA_SMK - Danone Arg. S.A. - SMK</v>
          </cell>
          <cell r="BD425" t="str">
            <v>ADA_SMK - Danone Arg. S.A. - SMK</v>
          </cell>
          <cell r="BE425" t="str">
            <v>ADA_SMK - Danone Arg. S.A. - SMK</v>
          </cell>
          <cell r="BF425" t="str">
            <v>ADA_SMK - Danone Arg. S.A. - SMK</v>
          </cell>
          <cell r="BG425" t="str">
            <v>ADA_SMK - Danone Arg. S.A. - SMK</v>
          </cell>
          <cell r="BH425" t="str">
            <v>ADA_SMK - Danone Arg. S.A. - SMK</v>
          </cell>
          <cell r="BI425" t="str">
            <v>ADA_SMK - Danone Arg. S.A. - SMK</v>
          </cell>
          <cell r="BJ425" t="str">
            <v>ADA_SMK - Danone Arg. S.A. - SMK</v>
          </cell>
          <cell r="BK425" t="str">
            <v>ADA_SMK - Danone Arg. S.A. - SMK</v>
          </cell>
          <cell r="BL425" t="str">
            <v>ADA_SMK - Danone Arg. S.A. - SMK</v>
          </cell>
          <cell r="BM425" t="str">
            <v>ADA_SMK - Danone Arg. S.A. - SMK</v>
          </cell>
          <cell r="BN425" t="str">
            <v>ADA_SMK - Danone Arg. S.A. - SMK</v>
          </cell>
          <cell r="BO425" t="str">
            <v>ADA_SMK - Danone Arg. S.A. - SMK</v>
          </cell>
          <cell r="BP425" t="str">
            <v>ADA_SMK - Danone Arg. S.A. - SMK</v>
          </cell>
          <cell r="BQ425" t="str">
            <v>ADA_SMK - Danone Arg. S.A. - SMK</v>
          </cell>
          <cell r="BR425" t="str">
            <v>ADA_SMK - Danone Arg. S.A. - SMK</v>
          </cell>
          <cell r="BS425" t="str">
            <v>ADA_SMK - Danone Arg. S.A. - SMK</v>
          </cell>
          <cell r="BT425" t="str">
            <v>ADA_SMK - Danone Arg. S.A. - SMK</v>
          </cell>
          <cell r="BU425" t="str">
            <v>CCUDyAZA</v>
          </cell>
          <cell r="BV425" t="str">
            <v>CCUDyAZA</v>
          </cell>
          <cell r="BW425" t="str">
            <v>CCUDyAZA</v>
          </cell>
          <cell r="BX425" t="str">
            <v>CCUDyAZA</v>
          </cell>
          <cell r="BY425" t="str">
            <v>CCUDyAZA</v>
          </cell>
          <cell r="BZ425" t="str">
            <v>CCUDyAZA</v>
          </cell>
          <cell r="CA425" t="str">
            <v>CCUDyAZA</v>
          </cell>
          <cell r="CB425" t="str">
            <v>CCUDyAZA</v>
          </cell>
          <cell r="CC425" t="str">
            <v>CCUDyAZA</v>
          </cell>
          <cell r="CD425" t="str">
            <v>CCUDyAZA</v>
          </cell>
          <cell r="CE425" t="str">
            <v>CCUDyAZA</v>
          </cell>
          <cell r="CF425" t="str">
            <v>CCUDyAZA</v>
          </cell>
          <cell r="CG425" t="str">
            <v>CCUDyAZA</v>
          </cell>
          <cell r="CH425" t="str">
            <v>CCUDyAZA</v>
          </cell>
          <cell r="CI425" t="str">
            <v>CCUDyAZA</v>
          </cell>
          <cell r="CJ425" t="str">
            <v>CCUDyAZA</v>
          </cell>
          <cell r="CK425" t="str">
            <v>CCUDyAZA</v>
          </cell>
          <cell r="CL425" t="str">
            <v>CCUDyAZA</v>
          </cell>
          <cell r="CM425" t="str">
            <v>CCUDyAZA</v>
          </cell>
          <cell r="CN425" t="str">
            <v>CCUDyAZA</v>
          </cell>
          <cell r="CO425" t="str">
            <v>CCUDyAZA</v>
          </cell>
          <cell r="CP425" t="str">
            <v>CCUDyAZA</v>
          </cell>
          <cell r="CQ425" t="str">
            <v>CCUDyAZA</v>
          </cell>
          <cell r="CR425" t="str">
            <v>CCUDyAZA</v>
          </cell>
          <cell r="CS425" t="str">
            <v>CCUDyAZA</v>
          </cell>
          <cell r="CT425" t="str">
            <v>CCUDyAZA</v>
          </cell>
          <cell r="CU425" t="str">
            <v>CCUDyAZA</v>
          </cell>
          <cell r="CV425" t="str">
            <v>CCUDyAZA</v>
          </cell>
          <cell r="CW425" t="str">
            <v>CCUDyAZA</v>
          </cell>
        </row>
        <row r="426">
          <cell r="D426" t="str">
            <v>OJG103</v>
          </cell>
          <cell r="E426" t="str">
            <v>Tractor</v>
          </cell>
          <cell r="F426" t="str">
            <v>Tractor</v>
          </cell>
          <cell r="G426" t="str">
            <v>Tractor</v>
          </cell>
          <cell r="N426" t="str">
            <v>TDU</v>
          </cell>
          <cell r="O426" t="str">
            <v>TDU</v>
          </cell>
          <cell r="P426" t="str">
            <v>No</v>
          </cell>
          <cell r="Q426" t="str">
            <v>Propio</v>
          </cell>
          <cell r="R426" t="str">
            <v>-</v>
          </cell>
          <cell r="S426" t="str">
            <v>Propio</v>
          </cell>
          <cell r="T426" t="str">
            <v>SCANIA</v>
          </cell>
          <cell r="U426" t="str">
            <v>G310 A4X2</v>
          </cell>
          <cell r="V426">
            <v>8231420</v>
          </cell>
          <cell r="W426" t="str">
            <v>+9BSG4X200++E3845348+</v>
          </cell>
          <cell r="X426">
            <v>2014</v>
          </cell>
          <cell r="Y426">
            <v>12</v>
          </cell>
          <cell r="Z426" t="str">
            <v>Malargue</v>
          </cell>
          <cell r="AA426" t="str">
            <v>Expreso - Servicios Troncales</v>
          </cell>
          <cell r="AB426" t="str">
            <v>Expreso - Servicios Troncales</v>
          </cell>
          <cell r="AC426" t="str">
            <v>Expreso - Servicios Troncales</v>
          </cell>
          <cell r="AD426" t="str">
            <v>Expreso - Servicios Troncales</v>
          </cell>
          <cell r="AE426" t="str">
            <v>Expreso - Servicios Troncales</v>
          </cell>
          <cell r="AF426" t="str">
            <v>Expreso - Servicios Troncales</v>
          </cell>
          <cell r="AG426" t="str">
            <v>Expreso - Servicios Troncales</v>
          </cell>
          <cell r="AH426" t="str">
            <v>Expreso - Servicios Troncales</v>
          </cell>
          <cell r="AI426" t="str">
            <v>Expreso - Servicios Troncales</v>
          </cell>
          <cell r="AJ426" t="str">
            <v>Expreso - Servicios Troncales</v>
          </cell>
          <cell r="AK426" t="str">
            <v>Expreso - Servicios Troncales</v>
          </cell>
          <cell r="AL426" t="str">
            <v>Expreso - Servicios Troncales</v>
          </cell>
          <cell r="AM426" t="str">
            <v>Expreso - Servicios Troncales</v>
          </cell>
          <cell r="AN426" t="str">
            <v>Expreso - Servicios Troncales</v>
          </cell>
          <cell r="AO426" t="str">
            <v>Expreso - Servicios Troncales</v>
          </cell>
          <cell r="AP426" t="str">
            <v>Expreso - Servicios Troncales</v>
          </cell>
          <cell r="AQ426" t="str">
            <v>Expreso - Servicios Troncales</v>
          </cell>
          <cell r="AR426" t="str">
            <v>Expreso - Servicios Troncales</v>
          </cell>
          <cell r="AS426" t="str">
            <v>Expreso - Servicios Troncales</v>
          </cell>
          <cell r="AT426" t="str">
            <v>Expreso - Servicios Troncales</v>
          </cell>
          <cell r="AU426" t="str">
            <v>Expreso - Servicios Troncales</v>
          </cell>
          <cell r="AV426" t="str">
            <v>Expreso - Servicios Troncales</v>
          </cell>
          <cell r="AW426" t="str">
            <v>Expreso - Servicios Troncales</v>
          </cell>
          <cell r="AX426" t="str">
            <v>Expreso - Servicios Troncales</v>
          </cell>
          <cell r="AY426" t="str">
            <v>Expreso - Servicios Troncales</v>
          </cell>
          <cell r="AZ426" t="str">
            <v>Expreso - Servicios Troncales</v>
          </cell>
          <cell r="BA426" t="str">
            <v>Expreso - Servicios Troncales</v>
          </cell>
          <cell r="BB426" t="str">
            <v>Expreso - Servicios Troncales</v>
          </cell>
          <cell r="BC426" t="str">
            <v>Expreso - Servicios Troncales</v>
          </cell>
          <cell r="BD426" t="str">
            <v>SUC_MEN - Sucursal Mendoza</v>
          </cell>
          <cell r="BE426" t="str">
            <v>SUC_MEN - Sucursal Mendoza</v>
          </cell>
          <cell r="BF426" t="str">
            <v>SUC_MEN - Sucursal Mendoza</v>
          </cell>
          <cell r="BG426" t="str">
            <v>SUC_MEN - Sucursal Mendoza</v>
          </cell>
          <cell r="BH426" t="str">
            <v>SUC_MEN - Sucursal Mendoza</v>
          </cell>
          <cell r="BI426" t="str">
            <v>SUC_MEN - Sucursal Mendoza</v>
          </cell>
          <cell r="BJ426" t="str">
            <v>SUC_MEN - Sucursal Mendoza</v>
          </cell>
          <cell r="BK426" t="str">
            <v>SUC_MEN - Sucursal Mendoza</v>
          </cell>
          <cell r="BL426" t="str">
            <v>SUC_MEN - Sucursal Mendoza</v>
          </cell>
          <cell r="BM426" t="str">
            <v>SUC_MEN - Sucursal Mendoza</v>
          </cell>
          <cell r="BN426" t="str">
            <v>SUC_MEN - Sucursal Mendoza</v>
          </cell>
          <cell r="BO426" t="str">
            <v>SUC_MEN - Sucursal Mendoza</v>
          </cell>
          <cell r="BP426" t="str">
            <v>SUC_MEN - Sucursal Mendoza</v>
          </cell>
          <cell r="BQ426" t="str">
            <v>Expreso - Servicios Troncales</v>
          </cell>
          <cell r="BR426" t="str">
            <v>Expreso - Servicios Troncales</v>
          </cell>
          <cell r="BS426" t="str">
            <v>Expreso - Servicios Troncales</v>
          </cell>
          <cell r="BT426" t="str">
            <v>Expreso - Servicios Troncales</v>
          </cell>
          <cell r="BU426" t="str">
            <v>Expreso - Servicios Troncales</v>
          </cell>
          <cell r="BV426" t="str">
            <v>Expreso - Servicios Troncales</v>
          </cell>
          <cell r="BW426" t="str">
            <v>Expreso - Servicios Troncales</v>
          </cell>
          <cell r="BX426" t="str">
            <v>Expreso - Servicios Troncales</v>
          </cell>
          <cell r="BY426" t="str">
            <v>Expreso - Servicios Troncales</v>
          </cell>
          <cell r="BZ426" t="str">
            <v>Expreso - Servicios Troncales</v>
          </cell>
          <cell r="CA426" t="str">
            <v>Expreso - Servicios Troncales</v>
          </cell>
          <cell r="CB426" t="str">
            <v>Expreso - Servicios Troncales</v>
          </cell>
          <cell r="CC426" t="str">
            <v>Expreso - Servicios Troncales</v>
          </cell>
          <cell r="CD426" t="str">
            <v>Expreso - Servicios Troncales</v>
          </cell>
          <cell r="CE426" t="str">
            <v>Expreso - Servicios Troncales</v>
          </cell>
          <cell r="CF426" t="str">
            <v>Expreso - Servicios Troncales</v>
          </cell>
          <cell r="CG426" t="str">
            <v>Expreso - Servicios Troncales</v>
          </cell>
          <cell r="CH426" t="str">
            <v>Expreso - Servicios Troncales</v>
          </cell>
          <cell r="CI426" t="str">
            <v>Expreso - Servicios Troncales</v>
          </cell>
          <cell r="CJ426" t="str">
            <v>Expreso - Servicios Troncales</v>
          </cell>
          <cell r="CK426" t="str">
            <v>Expreso - Servicios Troncales</v>
          </cell>
          <cell r="CL426" t="str">
            <v>Expreso - Servicios Troncales</v>
          </cell>
          <cell r="CM426" t="str">
            <v>Expreso - Servicios Troncales</v>
          </cell>
          <cell r="CN426" t="str">
            <v>Expreso - Servicios Troncales</v>
          </cell>
          <cell r="CO426" t="str">
            <v>Expreso - Servicios Troncales</v>
          </cell>
          <cell r="CP426" t="str">
            <v>Expreso - Servicios Troncales</v>
          </cell>
          <cell r="CQ426" t="str">
            <v>Expreso - Servicios Troncales</v>
          </cell>
          <cell r="CR426" t="str">
            <v>Expreso - Servicios Troncales</v>
          </cell>
          <cell r="CS426" t="str">
            <v>Expreso - Servicios Troncales</v>
          </cell>
          <cell r="CT426" t="str">
            <v>Expreso - Servicios Troncales</v>
          </cell>
          <cell r="CU426" t="str">
            <v>Expreso - Servicios Troncales</v>
          </cell>
          <cell r="CV426" t="str">
            <v>Expreso - Servicios Troncales</v>
          </cell>
          <cell r="CW426" t="str">
            <v>Expreso - Servicios Troncales</v>
          </cell>
        </row>
        <row r="427">
          <cell r="D427" t="str">
            <v>OMQ198</v>
          </cell>
          <cell r="E427" t="str">
            <v>Chasis</v>
          </cell>
          <cell r="F427" t="str">
            <v>Balancin</v>
          </cell>
          <cell r="G427" t="str">
            <v>Balancin</v>
          </cell>
          <cell r="N427" t="str">
            <v>CODYLSA</v>
          </cell>
          <cell r="O427" t="str">
            <v>CODYLSA</v>
          </cell>
          <cell r="P427" t="str">
            <v>No</v>
          </cell>
          <cell r="Q427" t="str">
            <v>Propio</v>
          </cell>
          <cell r="R427">
            <v>16</v>
          </cell>
          <cell r="S427" t="str">
            <v>Propio</v>
          </cell>
          <cell r="T427" t="str">
            <v>MERCEDES BENZ</v>
          </cell>
          <cell r="U427" t="str">
            <v>ATEGO 1725</v>
          </cell>
          <cell r="V427" t="str">
            <v>906985U1100741</v>
          </cell>
          <cell r="W427" t="str">
            <v>9BM958072EB952531</v>
          </cell>
          <cell r="X427">
            <v>2015</v>
          </cell>
          <cell r="Y427">
            <v>11</v>
          </cell>
          <cell r="Z427" t="str">
            <v>Danone SMK</v>
          </cell>
          <cell r="AA427" t="str">
            <v>ADA_SMK - Danone Arg. S.A. - SMK</v>
          </cell>
          <cell r="AB427" t="str">
            <v>ADA_SMK - Danone Arg. S.A. - SMK</v>
          </cell>
          <cell r="AC427" t="str">
            <v>ADA_SMK - Danone Arg. S.A. - SMK</v>
          </cell>
          <cell r="AD427" t="str">
            <v>ADA_SMK - Danone Arg. S.A. - SMK</v>
          </cell>
          <cell r="AE427" t="str">
            <v>ADA_SMK - Danone Arg. S.A. - SMK</v>
          </cell>
          <cell r="AF427" t="str">
            <v>ADA_SMK - Danone Arg. S.A. - SMK</v>
          </cell>
          <cell r="AG427" t="str">
            <v>ADA_SMK - Danone Arg. S.A. - SMK</v>
          </cell>
          <cell r="AH427" t="str">
            <v>ADA_SMK - Danone Arg. S.A. - SMK</v>
          </cell>
          <cell r="AI427" t="str">
            <v>ADA_SMK - Danone Arg. S.A. - SMK</v>
          </cell>
          <cell r="AJ427" t="str">
            <v>ADA_SMK - Danone Arg. S.A. - SMK</v>
          </cell>
          <cell r="AK427" t="str">
            <v>ADA_SMK - Danone Arg. S.A. - SMK</v>
          </cell>
          <cell r="AL427" t="str">
            <v>ADA_SMK - Danone Arg. S.A. - SMK</v>
          </cell>
          <cell r="AM427" t="str">
            <v>ADA_SMK - Danone Arg. S.A. - SMK</v>
          </cell>
          <cell r="AN427" t="str">
            <v>ADA_SMK - Danone Arg. S.A. - SMK</v>
          </cell>
          <cell r="AO427" t="str">
            <v>ADA_SMK - Danone Arg. S.A. - SMK</v>
          </cell>
          <cell r="AP427" t="str">
            <v>ADA_SMK - Danone Arg. S.A. - SMK</v>
          </cell>
          <cell r="AQ427" t="str">
            <v>ADA_SMK - Danone Arg. S.A. - SMK</v>
          </cell>
          <cell r="AR427" t="str">
            <v>ADA_SMK - Danone Arg. S.A. - SMK</v>
          </cell>
          <cell r="AS427" t="str">
            <v>ADA_SMK - Danone Arg. S.A. - SMK</v>
          </cell>
          <cell r="AT427" t="str">
            <v>ADA_SMK - Danone Arg. S.A. - SMK</v>
          </cell>
          <cell r="AU427" t="str">
            <v>ADA_SMK - Danone Arg. S.A. - SMK</v>
          </cell>
          <cell r="AV427" t="str">
            <v>ADA_SMK - Danone Arg. S.A. - SMK</v>
          </cell>
          <cell r="AW427" t="str">
            <v>ADA_SMK - Danone Arg. S.A. - SMK</v>
          </cell>
          <cell r="AX427" t="str">
            <v>ADA_SMK - Danone Arg. S.A. - SMK</v>
          </cell>
          <cell r="AY427" t="str">
            <v>ADA_SMK - Danone Arg. S.A. - SMK</v>
          </cell>
          <cell r="AZ427" t="str">
            <v>ADA_SMK - Danone Arg. S.A. - SMK</v>
          </cell>
          <cell r="BA427" t="str">
            <v>ADA_SMK - Danone Arg. S.A. - SMK</v>
          </cell>
          <cell r="BB427" t="str">
            <v>ADA_SMK - Danone Arg. S.A. - SMK</v>
          </cell>
          <cell r="BC427" t="str">
            <v>ADA_SMK - Danone Arg. S.A. - SMK</v>
          </cell>
          <cell r="BD427" t="str">
            <v>ADA_SMK - Danone Arg. S.A. - SMK</v>
          </cell>
          <cell r="BE427" t="str">
            <v>ADA_SMK - Danone Arg. S.A. - SMK</v>
          </cell>
          <cell r="BF427" t="str">
            <v>ADA_SMK - Danone Arg. S.A. - SMK</v>
          </cell>
          <cell r="BG427" t="str">
            <v>ADA_SMK - Danone Arg. S.A. - SMK</v>
          </cell>
          <cell r="BH427" t="str">
            <v>ADA_SMK - Danone Arg. S.A. - SMK</v>
          </cell>
          <cell r="BI427" t="str">
            <v>ADA_SMK - Danone Arg. S.A. - SMK</v>
          </cell>
          <cell r="BJ427" t="str">
            <v>ADA_SMK - Danone Arg. S.A. - SMK</v>
          </cell>
          <cell r="BK427" t="str">
            <v>ADA_SMK - Danone Arg. S.A. - SMK</v>
          </cell>
          <cell r="BL427" t="str">
            <v>ADA_SMK - Danone Arg. S.A. - SMK</v>
          </cell>
          <cell r="BM427" t="str">
            <v>ADA_SMK - Danone Arg. S.A. - SMK</v>
          </cell>
          <cell r="BN427" t="str">
            <v>ADA_SMK - Danone Arg. S.A. - SMK</v>
          </cell>
          <cell r="BO427" t="str">
            <v>ADA_SMK - Danone Arg. S.A. - SMK</v>
          </cell>
          <cell r="BP427" t="str">
            <v>ADA_SMK - Danone Arg. S.A. - SMK</v>
          </cell>
          <cell r="BQ427" t="str">
            <v>ADA_SMK - Danone Arg. S.A. - SMK</v>
          </cell>
          <cell r="BR427" t="str">
            <v>ADA_SMK - Danone Arg. S.A. - SMK</v>
          </cell>
          <cell r="BS427" t="str">
            <v>ADA_SMK - Danone Arg. S.A. - SMK</v>
          </cell>
          <cell r="BT427" t="str">
            <v>ADA_SMK - Danone Arg. S.A. - SMK</v>
          </cell>
          <cell r="BU427" t="str">
            <v>CCUDyAZA</v>
          </cell>
          <cell r="BV427" t="str">
            <v>CCUDyAZA</v>
          </cell>
          <cell r="BW427" t="str">
            <v>CCUDyAZA</v>
          </cell>
          <cell r="BX427" t="str">
            <v>CCUDyAZA</v>
          </cell>
          <cell r="BY427" t="str">
            <v>CCUDyAZA</v>
          </cell>
          <cell r="BZ427" t="str">
            <v>CCUDyAZA</v>
          </cell>
          <cell r="CA427" t="str">
            <v>CCUDyAZA</v>
          </cell>
          <cell r="CB427" t="str">
            <v>CCUDyAZA</v>
          </cell>
          <cell r="CC427" t="str">
            <v>CCUDyAZA</v>
          </cell>
          <cell r="CD427" t="str">
            <v>CCUDyAZA</v>
          </cell>
          <cell r="CE427" t="str">
            <v>CCUDyAZA</v>
          </cell>
          <cell r="CF427" t="str">
            <v>CCUDyAZA</v>
          </cell>
          <cell r="CG427" t="str">
            <v>CCUDyAZA</v>
          </cell>
          <cell r="CH427" t="str">
            <v>CCUDyAZA</v>
          </cell>
          <cell r="CI427" t="str">
            <v>CCUDyAZA</v>
          </cell>
          <cell r="CJ427" t="str">
            <v>CCUDyAZA</v>
          </cell>
          <cell r="CK427" t="str">
            <v>CCUDyAZA</v>
          </cell>
          <cell r="CL427" t="str">
            <v>CCUDyAZA</v>
          </cell>
          <cell r="CM427" t="str">
            <v>CCUDyAZA</v>
          </cell>
          <cell r="CN427" t="str">
            <v>CCUDyAZA</v>
          </cell>
          <cell r="CO427" t="str">
            <v>CCUDyAZA</v>
          </cell>
          <cell r="CP427" t="str">
            <v>CCUDyAZA</v>
          </cell>
          <cell r="CQ427" t="str">
            <v>CCUDyAZA</v>
          </cell>
          <cell r="CR427" t="str">
            <v>CCUDyAZA</v>
          </cell>
          <cell r="CS427" t="str">
            <v>CCUDyAZA</v>
          </cell>
          <cell r="CT427" t="str">
            <v>CCUDyAZA</v>
          </cell>
          <cell r="CU427" t="str">
            <v>CCUDyAZA</v>
          </cell>
          <cell r="CV427" t="str">
            <v>CCUDyAZA</v>
          </cell>
          <cell r="CW427" t="str">
            <v>CCUDyAZA</v>
          </cell>
        </row>
        <row r="428">
          <cell r="D428" t="str">
            <v>OMQ199</v>
          </cell>
          <cell r="E428" t="str">
            <v>Chasis</v>
          </cell>
          <cell r="F428" t="str">
            <v>Balancin</v>
          </cell>
          <cell r="G428" t="str">
            <v>Balancin</v>
          </cell>
          <cell r="N428" t="str">
            <v>CODYLSA</v>
          </cell>
          <cell r="O428" t="str">
            <v>CODYLSA</v>
          </cell>
          <cell r="P428" t="str">
            <v>No</v>
          </cell>
          <cell r="Q428" t="str">
            <v>Propio</v>
          </cell>
          <cell r="R428">
            <v>16</v>
          </cell>
          <cell r="S428" t="str">
            <v>Propio</v>
          </cell>
          <cell r="T428" t="str">
            <v>MERCEDES BENZ</v>
          </cell>
          <cell r="U428" t="str">
            <v>ATEGO 1725</v>
          </cell>
          <cell r="V428" t="str">
            <v>906985U1103077</v>
          </cell>
          <cell r="W428" t="str">
            <v>9BM958072EB954925</v>
          </cell>
          <cell r="X428">
            <v>2015</v>
          </cell>
          <cell r="Y428">
            <v>11</v>
          </cell>
          <cell r="Z428" t="str">
            <v>Danone SMK</v>
          </cell>
          <cell r="AA428" t="str">
            <v>ADA_SMK - Danone Arg. S.A. - SMK</v>
          </cell>
          <cell r="AB428" t="str">
            <v>ADA_SMK - Danone Arg. S.A. - SMK</v>
          </cell>
          <cell r="AC428" t="str">
            <v>ADA_SMK - Danone Arg. S.A. - SMK</v>
          </cell>
          <cell r="AD428" t="str">
            <v>ADA_SMK - Danone Arg. S.A. - SMK</v>
          </cell>
          <cell r="AE428" t="str">
            <v>ADA_SMK - Danone Arg. S.A. - SMK</v>
          </cell>
          <cell r="AF428" t="str">
            <v>ADA_SMK - Danone Arg. S.A. - SMK</v>
          </cell>
          <cell r="AG428" t="str">
            <v>ADA_SMK - Danone Arg. S.A. - SMK</v>
          </cell>
          <cell r="AH428" t="str">
            <v>ADA_SMK - Danone Arg. S.A. - SMK</v>
          </cell>
          <cell r="AI428" t="str">
            <v>ADA_SMK - Danone Arg. S.A. - SMK</v>
          </cell>
          <cell r="AJ428" t="str">
            <v>ADA_SMK - Danone Arg. S.A. - SMK</v>
          </cell>
          <cell r="AK428" t="str">
            <v>ADA_SMK - Danone Arg. S.A. - SMK</v>
          </cell>
          <cell r="AL428" t="str">
            <v>ADA_SMK - Danone Arg. S.A. - SMK</v>
          </cell>
          <cell r="AM428" t="str">
            <v>ADA_SMK - Danone Arg. S.A. - SMK</v>
          </cell>
          <cell r="AN428" t="str">
            <v>ADA_SMK - Danone Arg. S.A. - SMK</v>
          </cell>
          <cell r="AO428" t="str">
            <v>ADA_SMK - Danone Arg. S.A. - SMK</v>
          </cell>
          <cell r="AP428" t="str">
            <v>ADA_SMK - Danone Arg. S.A. - SMK</v>
          </cell>
          <cell r="AQ428" t="str">
            <v>ADA_SMK - Danone Arg. S.A. - SMK</v>
          </cell>
          <cell r="AR428" t="str">
            <v>ADA_SMK - Danone Arg. S.A. - SMK</v>
          </cell>
          <cell r="AS428" t="str">
            <v>ADA_SMK - Danone Arg. S.A. - SMK</v>
          </cell>
          <cell r="AT428" t="str">
            <v>ADA_SMK - Danone Arg. S.A. - SMK</v>
          </cell>
          <cell r="AU428" t="str">
            <v>ADA_SMK - Danone Arg. S.A. - SMK</v>
          </cell>
          <cell r="AV428" t="str">
            <v>ADA_SMK - Danone Arg. S.A. - SMK</v>
          </cell>
          <cell r="AW428" t="str">
            <v>ADA_SMK - Danone Arg. S.A. - SMK</v>
          </cell>
          <cell r="AX428" t="str">
            <v>ADA_SMK - Danone Arg. S.A. - SMK</v>
          </cell>
          <cell r="AY428" t="str">
            <v>ADA_SMK - Danone Arg. S.A. - SMK</v>
          </cell>
          <cell r="AZ428" t="str">
            <v>ADA_SMK - Danone Arg. S.A. - SMK</v>
          </cell>
          <cell r="BA428" t="str">
            <v>ADA_SMK - Danone Arg. S.A. - SMK</v>
          </cell>
          <cell r="BB428" t="str">
            <v>ADA_SMK - Danone Arg. S.A. - SMK</v>
          </cell>
          <cell r="BC428" t="str">
            <v>ADA_SMK - Danone Arg. S.A. - SMK</v>
          </cell>
          <cell r="BD428" t="str">
            <v>ADA_SMK - Danone Arg. S.A. - SMK</v>
          </cell>
          <cell r="BE428" t="str">
            <v>ADA_SMK - Danone Arg. S.A. - SMK</v>
          </cell>
          <cell r="BF428" t="str">
            <v>ADA_SMK - Danone Arg. S.A. - SMK</v>
          </cell>
          <cell r="BG428" t="str">
            <v>ADA_SMK - Danone Arg. S.A. - SMK</v>
          </cell>
          <cell r="BH428" t="str">
            <v>ADA_SMK - Danone Arg. S.A. - SMK</v>
          </cell>
          <cell r="BI428" t="str">
            <v>ADA_SMK - Danone Arg. S.A. - SMK</v>
          </cell>
          <cell r="BJ428" t="str">
            <v>ADA_SMK - Danone Arg. S.A. - SMK</v>
          </cell>
          <cell r="BK428" t="str">
            <v>ADA_SMK - Danone Arg. S.A. - SMK</v>
          </cell>
          <cell r="BL428" t="str">
            <v>ADA_SMK - Danone Arg. S.A. - SMK</v>
          </cell>
          <cell r="BM428" t="str">
            <v>ADA_SMK - Danone Arg. S.A. - SMK</v>
          </cell>
          <cell r="BN428" t="str">
            <v>ADA_SMK - Danone Arg. S.A. - SMK</v>
          </cell>
          <cell r="BO428" t="str">
            <v>ADA_SMK - Danone Arg. S.A. - SMK</v>
          </cell>
          <cell r="BP428" t="str">
            <v>ADA_SMK - Danone Arg. S.A. - SMK</v>
          </cell>
          <cell r="BQ428" t="str">
            <v>ADA_SMK - Danone Arg. S.A. - SMK</v>
          </cell>
          <cell r="BR428" t="str">
            <v>ADA_SMK - Danone Arg. S.A. - SMK</v>
          </cell>
          <cell r="BS428" t="str">
            <v>ADA_SMK - Danone Arg. S.A. - SMK</v>
          </cell>
          <cell r="BT428" t="str">
            <v>ADA_SMK - Danone Arg. S.A. - SMK</v>
          </cell>
          <cell r="BU428" t="str">
            <v>CCUDyAZA</v>
          </cell>
          <cell r="BV428" t="str">
            <v>CCUDyAZA</v>
          </cell>
          <cell r="BW428" t="str">
            <v>CCUDyAZA</v>
          </cell>
          <cell r="BX428" t="str">
            <v>CCUDyAZA</v>
          </cell>
          <cell r="BY428" t="str">
            <v>CCUDyAZA</v>
          </cell>
          <cell r="BZ428" t="str">
            <v>CCUDyAZA</v>
          </cell>
          <cell r="CA428" t="str">
            <v>CCUDyAZA</v>
          </cell>
          <cell r="CB428" t="str">
            <v>CCUDyAZA</v>
          </cell>
          <cell r="CC428" t="str">
            <v>CCUDyAZA</v>
          </cell>
          <cell r="CD428" t="str">
            <v>CCUDyAZA</v>
          </cell>
          <cell r="CE428" t="str">
            <v>CCUDyAZA</v>
          </cell>
          <cell r="CF428" t="str">
            <v>CCUDyAZA</v>
          </cell>
          <cell r="CG428" t="str">
            <v>CCUDyAZA</v>
          </cell>
          <cell r="CH428" t="str">
            <v>CCUDyAZA</v>
          </cell>
          <cell r="CI428" t="str">
            <v>CCUDyAZA</v>
          </cell>
          <cell r="CJ428" t="str">
            <v>CCUDyAZA</v>
          </cell>
          <cell r="CK428" t="str">
            <v>CCUDyAZA</v>
          </cell>
          <cell r="CL428" t="str">
            <v>CCUDyAZA</v>
          </cell>
          <cell r="CM428" t="str">
            <v>CCUDyAZA</v>
          </cell>
          <cell r="CN428" t="str">
            <v>CCUDyAZA</v>
          </cell>
          <cell r="CO428" t="str">
            <v>CCUDyAZA</v>
          </cell>
          <cell r="CP428" t="str">
            <v>CCUDyAZA</v>
          </cell>
          <cell r="CQ428" t="str">
            <v>CCUDyAZA</v>
          </cell>
          <cell r="CR428" t="str">
            <v>CCUDyAZA</v>
          </cell>
          <cell r="CS428" t="str">
            <v>CCUDyAZA</v>
          </cell>
          <cell r="CT428" t="str">
            <v>CCUDyAZA</v>
          </cell>
          <cell r="CU428" t="str">
            <v>CCUDyAZA</v>
          </cell>
          <cell r="CV428" t="str">
            <v>CCUDyAZA</v>
          </cell>
          <cell r="CW428" t="str">
            <v>CCUDyAZA</v>
          </cell>
        </row>
        <row r="429">
          <cell r="D429" t="str">
            <v>ONB350</v>
          </cell>
          <cell r="E429" t="str">
            <v>Semiremolque</v>
          </cell>
          <cell r="F429">
            <v>0</v>
          </cell>
          <cell r="G429" t="str">
            <v>Semiremolque</v>
          </cell>
          <cell r="N429" t="str">
            <v>INDUSTRIAS CECCONI SRL-GRUPO DON HUGO DE PEHUAJO SA</v>
          </cell>
          <cell r="O429" t="str">
            <v>INDUSTRIAS CECCONI SRL-GRUPO DON HUGO DE PEHUAJO SA</v>
          </cell>
          <cell r="P429" t="str">
            <v>No</v>
          </cell>
          <cell r="Q429" t="str">
            <v>Alquilados</v>
          </cell>
          <cell r="R429" t="str">
            <v>-</v>
          </cell>
          <cell r="S429" t="str">
            <v>Alquilados</v>
          </cell>
          <cell r="T429" t="str">
            <v>SALTO</v>
          </cell>
          <cell r="U429" t="str">
            <v>8AAF1443SE0016628</v>
          </cell>
          <cell r="V429">
            <v>2015</v>
          </cell>
          <cell r="W429" t="str">
            <v>8AAF1443SE0016628</v>
          </cell>
          <cell r="X429">
            <v>2015</v>
          </cell>
          <cell r="Y429">
            <v>11</v>
          </cell>
          <cell r="Z429" t="str">
            <v>Danone Chascomus</v>
          </cell>
          <cell r="AA429" t="str">
            <v>ADA_CH - Danone Arg. S.A. - Chascomus</v>
          </cell>
          <cell r="AB429" t="str">
            <v>ADA_CH - Danone Arg. S.A. - Chascomus</v>
          </cell>
          <cell r="AC429" t="str">
            <v>ADA_CH - Danone Arg. S.A. - Chascomus</v>
          </cell>
          <cell r="AD429" t="str">
            <v>ADA_CH - Danone Arg. S.A. - Chascomus</v>
          </cell>
          <cell r="AE429" t="str">
            <v>ADA_CH - Danone Arg. S.A. - Chascomus</v>
          </cell>
          <cell r="AF429" t="str">
            <v>ADA_CH - Danone Arg. S.A. - Chascomus</v>
          </cell>
          <cell r="AG429" t="str">
            <v>ADA_CH - Danone Arg. S.A. - Chascomus</v>
          </cell>
          <cell r="AH429" t="str">
            <v>ADA_CH - Danone Arg. S.A. - Chascomus</v>
          </cell>
          <cell r="AI429" t="str">
            <v>ADA_CH - Danone Arg. S.A. - Chascomus</v>
          </cell>
          <cell r="AJ429" t="str">
            <v>ADA_CH - Danone Arg. S.A. - Chascomus</v>
          </cell>
          <cell r="AK429" t="str">
            <v>ADA_CH - Danone Arg. S.A. - Chascomus</v>
          </cell>
          <cell r="AL429" t="str">
            <v>ADA_CH - Danone Arg. S.A. - Chascomus</v>
          </cell>
          <cell r="AM429" t="str">
            <v>ADA_CH - Danone Arg. S.A. - Chascomus</v>
          </cell>
          <cell r="AN429" t="str">
            <v>ADA_CH - Danone Arg. S.A. - Chascomus</v>
          </cell>
          <cell r="AO429" t="str">
            <v>ADA_CH - Danone Arg. S.A. - Chascomus</v>
          </cell>
          <cell r="AP429" t="str">
            <v>ADA_CH - Danone Arg. S.A. - Chascomus</v>
          </cell>
          <cell r="AQ429" t="str">
            <v>ADA_CH - Danone Arg. S.A. - Chascomus</v>
          </cell>
          <cell r="AR429" t="str">
            <v>ADA_CH - Danone Arg. S.A. - Chascomus</v>
          </cell>
          <cell r="AS429" t="str">
            <v>ADA_CH - Danone Arg. S.A. - Chascomus</v>
          </cell>
          <cell r="AT429" t="str">
            <v>ADA_CH - Danone Arg. S.A. - Chascomus</v>
          </cell>
          <cell r="AU429" t="str">
            <v>ADA_CH - Danone Arg. S.A. - Chascomus</v>
          </cell>
          <cell r="AV429" t="str">
            <v>ADA_CH - Danone Arg. S.A. - Chascomus</v>
          </cell>
          <cell r="AW429" t="str">
            <v>ADA_CH - Danone Arg. S.A. - Chascomus</v>
          </cell>
          <cell r="AX429" t="str">
            <v>ADA_CH - Danone Arg. S.A. - Chascomus</v>
          </cell>
          <cell r="AY429" t="str">
            <v>ADA_CH - Danone Arg. S.A. - Chascomus</v>
          </cell>
          <cell r="AZ429" t="str">
            <v>ADA_CH - Danone Arg. S.A. - Chascomus</v>
          </cell>
          <cell r="BA429" t="str">
            <v>ADA_CH - Danone Arg. S.A. - Chascomus</v>
          </cell>
          <cell r="BB429" t="str">
            <v>ADA_CH - Danone Arg. S.A. - Chascomus</v>
          </cell>
          <cell r="BC429" t="str">
            <v>ADA_CH - Danone Arg. S.A. - Chascomus</v>
          </cell>
          <cell r="BD429" t="str">
            <v>ADA_CH - Danone Arg. S.A. - Chascomus</v>
          </cell>
          <cell r="BE429" t="str">
            <v>ADA_CH - Danone Arg. S.A. - Chascomus</v>
          </cell>
          <cell r="BF429" t="str">
            <v>ADA_CH - Danone Arg. S.A. - Chascomus</v>
          </cell>
          <cell r="BG429" t="str">
            <v>INACTIVO</v>
          </cell>
          <cell r="BH429" t="str">
            <v>INACTIVO</v>
          </cell>
          <cell r="BI429" t="str">
            <v>INACTIVO</v>
          </cell>
          <cell r="BJ429" t="str">
            <v>INACTIVO</v>
          </cell>
          <cell r="BK429" t="str">
            <v>INACTIVO</v>
          </cell>
          <cell r="BL429" t="str">
            <v>INACTIVO</v>
          </cell>
          <cell r="BM429" t="str">
            <v>INACTIVO</v>
          </cell>
          <cell r="BN429" t="str">
            <v>INACTIVO</v>
          </cell>
          <cell r="BO429" t="str">
            <v>INACTIVO</v>
          </cell>
          <cell r="BP429" t="str">
            <v>INACTIVO</v>
          </cell>
          <cell r="BQ429" t="str">
            <v>INACTIVO</v>
          </cell>
          <cell r="BR429" t="str">
            <v>INACTIVO</v>
          </cell>
          <cell r="BS429" t="str">
            <v>INACTIVO</v>
          </cell>
          <cell r="BT429" t="str">
            <v>INACTIVO</v>
          </cell>
          <cell r="BU429" t="str">
            <v>INACTIVO</v>
          </cell>
          <cell r="BV429" t="str">
            <v>INACTIVO</v>
          </cell>
          <cell r="BW429" t="str">
            <v>INACTIVO</v>
          </cell>
          <cell r="BX429" t="str">
            <v>INACTIVO</v>
          </cell>
          <cell r="BY429" t="str">
            <v>INACTIVO</v>
          </cell>
          <cell r="BZ429" t="str">
            <v>INACTIVO</v>
          </cell>
          <cell r="CA429" t="str">
            <v>INACTIVO</v>
          </cell>
          <cell r="CB429" t="str">
            <v>INACTIVO</v>
          </cell>
          <cell r="CC429" t="str">
            <v>BAJA</v>
          </cell>
          <cell r="CD429" t="str">
            <v>BAJA</v>
          </cell>
          <cell r="CE429" t="str">
            <v>BAJA</v>
          </cell>
          <cell r="CF429" t="str">
            <v>BAJA</v>
          </cell>
          <cell r="CG429" t="str">
            <v>BAJA</v>
          </cell>
          <cell r="CH429" t="str">
            <v>BAJA</v>
          </cell>
          <cell r="CI429" t="str">
            <v>BAJA</v>
          </cell>
          <cell r="CJ429" t="str">
            <v>BAJA</v>
          </cell>
          <cell r="CK429" t="str">
            <v>BAJA</v>
          </cell>
          <cell r="CL429" t="str">
            <v>BAJA</v>
          </cell>
          <cell r="CM429" t="str">
            <v>BAJA</v>
          </cell>
          <cell r="CN429" t="str">
            <v>BAJA</v>
          </cell>
          <cell r="CO429" t="str">
            <v>BAJA</v>
          </cell>
          <cell r="CP429" t="str">
            <v>BAJA</v>
          </cell>
          <cell r="CQ429" t="str">
            <v>BAJA</v>
          </cell>
          <cell r="CR429" t="str">
            <v>BAJA</v>
          </cell>
          <cell r="CS429" t="str">
            <v>BAJA</v>
          </cell>
          <cell r="CT429" t="str">
            <v>BAJA</v>
          </cell>
          <cell r="CU429" t="str">
            <v>BAJA</v>
          </cell>
          <cell r="CV429" t="str">
            <v>BAJA</v>
          </cell>
          <cell r="CW429" t="str">
            <v>BAJA</v>
          </cell>
        </row>
        <row r="430">
          <cell r="D430" t="str">
            <v>ONB392</v>
          </cell>
          <cell r="E430" t="str">
            <v>Semiremolque</v>
          </cell>
          <cell r="F430">
            <v>0</v>
          </cell>
          <cell r="G430" t="str">
            <v>Semiremolque</v>
          </cell>
          <cell r="N430" t="str">
            <v>INDUSTRIAS CECCONI SRL-GRUPO DON HUGO DE PEHUAJO SA</v>
          </cell>
          <cell r="O430" t="str">
            <v>INDUSTRIAS CECCONI SRL-GRUPO DON HUGO DE PEHUAJO SA</v>
          </cell>
          <cell r="P430" t="str">
            <v>No</v>
          </cell>
          <cell r="Q430" t="str">
            <v>Alquilados</v>
          </cell>
          <cell r="R430" t="str">
            <v>-</v>
          </cell>
          <cell r="S430" t="str">
            <v>Alquilados</v>
          </cell>
          <cell r="T430" t="str">
            <v>SALTO</v>
          </cell>
          <cell r="U430" t="str">
            <v>8AAF1443SE0016637</v>
          </cell>
          <cell r="V430">
            <v>2015</v>
          </cell>
          <cell r="W430" t="str">
            <v>8AAF1443SE0016637</v>
          </cell>
          <cell r="X430">
            <v>2015</v>
          </cell>
          <cell r="Y430">
            <v>11</v>
          </cell>
          <cell r="Z430" t="str">
            <v>Danone Chascomus</v>
          </cell>
          <cell r="AA430" t="str">
            <v>ADA_CH - Danone Arg. S.A. - Chascomus</v>
          </cell>
          <cell r="AB430" t="str">
            <v>ADA_CH - Danone Arg. S.A. - Chascomus</v>
          </cell>
          <cell r="AC430" t="str">
            <v>ADA_CH - Danone Arg. S.A. - Chascomus</v>
          </cell>
          <cell r="AD430" t="str">
            <v>ADA_CH - Danone Arg. S.A. - Chascomus</v>
          </cell>
          <cell r="AE430" t="str">
            <v>ADA_CH - Danone Arg. S.A. - Chascomus</v>
          </cell>
          <cell r="AF430" t="str">
            <v>ADA_CH - Danone Arg. S.A. - Chascomus</v>
          </cell>
          <cell r="AG430" t="str">
            <v>ADA_CH - Danone Arg. S.A. - Chascomus</v>
          </cell>
          <cell r="AH430" t="str">
            <v>ADA_CH - Danone Arg. S.A. - Chascomus</v>
          </cell>
          <cell r="AI430" t="str">
            <v>ADA_CH - Danone Arg. S.A. - Chascomus</v>
          </cell>
          <cell r="AJ430" t="str">
            <v>ADA_CH - Danone Arg. S.A. - Chascomus</v>
          </cell>
          <cell r="AK430" t="str">
            <v>ADA_CH - Danone Arg. S.A. - Chascomus</v>
          </cell>
          <cell r="AL430" t="str">
            <v>ADA_CH - Danone Arg. S.A. - Chascomus</v>
          </cell>
          <cell r="AM430" t="str">
            <v>ADA_CH - Danone Arg. S.A. - Chascomus</v>
          </cell>
          <cell r="AN430" t="str">
            <v>ADA_CH - Danone Arg. S.A. - Chascomus</v>
          </cell>
          <cell r="AO430" t="str">
            <v>ADA_CH - Danone Arg. S.A. - Chascomus</v>
          </cell>
          <cell r="AP430" t="str">
            <v>ADA_CH - Danone Arg. S.A. - Chascomus</v>
          </cell>
          <cell r="AQ430" t="str">
            <v>ADA_CH - Danone Arg. S.A. - Chascomus</v>
          </cell>
          <cell r="AR430" t="str">
            <v>ADA_CH - Danone Arg. S.A. - Chascomus</v>
          </cell>
          <cell r="AS430" t="str">
            <v>ADA_CH - Danone Arg. S.A. - Chascomus</v>
          </cell>
          <cell r="AT430" t="str">
            <v>ADA_CH - Danone Arg. S.A. - Chascomus</v>
          </cell>
          <cell r="AU430" t="str">
            <v>ADA_CH - Danone Arg. S.A. - Chascomus</v>
          </cell>
          <cell r="AV430" t="str">
            <v>ADA_CH - Danone Arg. S.A. - Chascomus</v>
          </cell>
          <cell r="AW430" t="str">
            <v>ADA_CH - Danone Arg. S.A. - Chascomus</v>
          </cell>
          <cell r="AX430" t="str">
            <v>ADA_CH - Danone Arg. S.A. - Chascomus</v>
          </cell>
          <cell r="AY430" t="str">
            <v>ADA_CH - Danone Arg. S.A. - Chascomus</v>
          </cell>
          <cell r="AZ430" t="str">
            <v>ADA_CH - Danone Arg. S.A. - Chascomus</v>
          </cell>
          <cell r="BA430" t="str">
            <v>ADA_CH - Danone Arg. S.A. - Chascomus</v>
          </cell>
          <cell r="BB430" t="str">
            <v>ADA_CH - Danone Arg. S.A. - Chascomus</v>
          </cell>
          <cell r="BC430" t="str">
            <v>ADA_CH - Danone Arg. S.A. - Chascomus</v>
          </cell>
          <cell r="BD430" t="str">
            <v>ADA_CH - Danone Arg. S.A. - Chascomus</v>
          </cell>
          <cell r="BE430" t="str">
            <v>ADA_CH - Danone Arg. S.A. - Chascomus</v>
          </cell>
          <cell r="BF430" t="str">
            <v>INACTIVO</v>
          </cell>
          <cell r="BG430" t="str">
            <v>INACTIVO</v>
          </cell>
          <cell r="BH430" t="str">
            <v>INACTIVO</v>
          </cell>
          <cell r="BI430" t="str">
            <v>INACTIVO</v>
          </cell>
          <cell r="BJ430" t="str">
            <v>INACTIVO</v>
          </cell>
          <cell r="BK430" t="str">
            <v>INACTIVO</v>
          </cell>
          <cell r="BL430" t="str">
            <v>INACTIVO</v>
          </cell>
          <cell r="BM430" t="str">
            <v>INACTIVO</v>
          </cell>
          <cell r="BN430" t="str">
            <v>INACTIVO</v>
          </cell>
          <cell r="BO430" t="str">
            <v>INACTIVO</v>
          </cell>
          <cell r="BP430" t="str">
            <v>INACTIVO</v>
          </cell>
          <cell r="BQ430" t="str">
            <v>INACTIVO</v>
          </cell>
          <cell r="BR430" t="str">
            <v>INACTIVO</v>
          </cell>
          <cell r="BS430" t="str">
            <v>INACTIVO</v>
          </cell>
          <cell r="BT430" t="str">
            <v>INACTIVO</v>
          </cell>
          <cell r="BU430" t="str">
            <v>INACTIVO</v>
          </cell>
          <cell r="BV430" t="str">
            <v>INACTIVO</v>
          </cell>
          <cell r="BW430" t="str">
            <v>INACTIVO</v>
          </cell>
          <cell r="BX430" t="str">
            <v>INACTIVO</v>
          </cell>
          <cell r="BY430" t="str">
            <v>INACTIVO</v>
          </cell>
          <cell r="BZ430" t="str">
            <v>INACTIVO</v>
          </cell>
          <cell r="CA430" t="str">
            <v>INACTIVO</v>
          </cell>
          <cell r="CB430" t="str">
            <v>INACTIVO</v>
          </cell>
          <cell r="CC430" t="str">
            <v>BAJA</v>
          </cell>
          <cell r="CD430" t="str">
            <v>BAJA</v>
          </cell>
          <cell r="CE430" t="str">
            <v>BAJA</v>
          </cell>
          <cell r="CF430" t="str">
            <v>BAJA</v>
          </cell>
          <cell r="CG430" t="str">
            <v>BAJA</v>
          </cell>
          <cell r="CH430" t="str">
            <v>BAJA</v>
          </cell>
          <cell r="CI430" t="str">
            <v>BAJA</v>
          </cell>
          <cell r="CJ430" t="str">
            <v>BAJA</v>
          </cell>
          <cell r="CK430" t="str">
            <v>BAJA</v>
          </cell>
          <cell r="CL430" t="str">
            <v>BAJA</v>
          </cell>
          <cell r="CM430" t="str">
            <v>BAJA</v>
          </cell>
          <cell r="CN430" t="str">
            <v>BAJA</v>
          </cell>
          <cell r="CO430" t="str">
            <v>BAJA</v>
          </cell>
          <cell r="CP430" t="str">
            <v>BAJA</v>
          </cell>
          <cell r="CQ430" t="str">
            <v>BAJA</v>
          </cell>
          <cell r="CR430" t="str">
            <v>BAJA</v>
          </cell>
          <cell r="CS430" t="str">
            <v>BAJA</v>
          </cell>
          <cell r="CT430" t="str">
            <v>BAJA</v>
          </cell>
          <cell r="CU430" t="str">
            <v>BAJA</v>
          </cell>
          <cell r="CV430" t="str">
            <v>BAJA</v>
          </cell>
          <cell r="CW430" t="str">
            <v>BAJA</v>
          </cell>
        </row>
        <row r="431">
          <cell r="D431" t="str">
            <v>ONB395</v>
          </cell>
          <cell r="E431" t="str">
            <v>Semiremolque</v>
          </cell>
          <cell r="F431">
            <v>0</v>
          </cell>
          <cell r="G431" t="str">
            <v>Semiremolque</v>
          </cell>
          <cell r="N431" t="str">
            <v>INDUSTRIAS CECCONI SRL-GRUPO DON HUGO DE PEHUAJO SA</v>
          </cell>
          <cell r="O431" t="str">
            <v>INDUSTRIAS CECCONI SRL-GRUPO DON HUGO DE PEHUAJO SA</v>
          </cell>
          <cell r="P431" t="str">
            <v>No</v>
          </cell>
          <cell r="Q431" t="str">
            <v>Alquilados</v>
          </cell>
          <cell r="R431" t="str">
            <v>-</v>
          </cell>
          <cell r="S431" t="str">
            <v>Alquilados</v>
          </cell>
          <cell r="T431" t="str">
            <v>SALTO</v>
          </cell>
          <cell r="U431" t="str">
            <v>8AAF1443SE0016638</v>
          </cell>
          <cell r="V431">
            <v>2015</v>
          </cell>
          <cell r="W431" t="str">
            <v>8AAF1443SE0016638</v>
          </cell>
          <cell r="X431">
            <v>2015</v>
          </cell>
          <cell r="Y431">
            <v>11</v>
          </cell>
          <cell r="Z431" t="str">
            <v>Danone Chascomus</v>
          </cell>
          <cell r="AA431" t="str">
            <v>ADA_CH - Danone Arg. S.A. - Chascomus</v>
          </cell>
          <cell r="AB431" t="str">
            <v>ADA_CH - Danone Arg. S.A. - Chascomus</v>
          </cell>
          <cell r="AC431" t="str">
            <v>ADA_CH - Danone Arg. S.A. - Chascomus</v>
          </cell>
          <cell r="AD431" t="str">
            <v>ADA_CH - Danone Arg. S.A. - Chascomus</v>
          </cell>
          <cell r="AE431" t="str">
            <v>ADA_CH - Danone Arg. S.A. - Chascomus</v>
          </cell>
          <cell r="AF431" t="str">
            <v>ADA_CH - Danone Arg. S.A. - Chascomus</v>
          </cell>
          <cell r="AG431" t="str">
            <v>ADA_CH - Danone Arg. S.A. - Chascomus</v>
          </cell>
          <cell r="AH431" t="str">
            <v>ADA_CH - Danone Arg. S.A. - Chascomus</v>
          </cell>
          <cell r="AI431" t="str">
            <v>ADA_CH - Danone Arg. S.A. - Chascomus</v>
          </cell>
          <cell r="AJ431" t="str">
            <v>ADA_CH - Danone Arg. S.A. - Chascomus</v>
          </cell>
          <cell r="AK431" t="str">
            <v>ADA_CH - Danone Arg. S.A. - Chascomus</v>
          </cell>
          <cell r="AL431" t="str">
            <v>ADA_CH - Danone Arg. S.A. - Chascomus</v>
          </cell>
          <cell r="AM431" t="str">
            <v>ADA_CH - Danone Arg. S.A. - Chascomus</v>
          </cell>
          <cell r="AN431" t="str">
            <v>ADA_CH - Danone Arg. S.A. - Chascomus</v>
          </cell>
          <cell r="AO431" t="str">
            <v>ADA_CH - Danone Arg. S.A. - Chascomus</v>
          </cell>
          <cell r="AP431" t="str">
            <v>ADA_CH - Danone Arg. S.A. - Chascomus</v>
          </cell>
          <cell r="AQ431" t="str">
            <v>ADA_CH - Danone Arg. S.A. - Chascomus</v>
          </cell>
          <cell r="AR431" t="str">
            <v>ADA_CH - Danone Arg. S.A. - Chascomus</v>
          </cell>
          <cell r="AS431" t="str">
            <v>ADA_CH - Danone Arg. S.A. - Chascomus</v>
          </cell>
          <cell r="AT431" t="str">
            <v>ADA_CH - Danone Arg. S.A. - Chascomus</v>
          </cell>
          <cell r="AU431" t="str">
            <v>ADA_CH - Danone Arg. S.A. - Chascomus</v>
          </cell>
          <cell r="AV431" t="str">
            <v>ADA_CH - Danone Arg. S.A. - Chascomus</v>
          </cell>
          <cell r="AW431" t="str">
            <v>ADA_CH - Danone Arg. S.A. - Chascomus</v>
          </cell>
          <cell r="AX431" t="str">
            <v>ADA_CH - Danone Arg. S.A. - Chascomus</v>
          </cell>
          <cell r="AY431" t="str">
            <v>ADA_CH - Danone Arg. S.A. - Chascomus</v>
          </cell>
          <cell r="AZ431" t="str">
            <v>ADA_CH - Danone Arg. S.A. - Chascomus</v>
          </cell>
          <cell r="BA431" t="str">
            <v>ADA_CH - Danone Arg. S.A. - Chascomus</v>
          </cell>
          <cell r="BB431" t="str">
            <v>ADA_CH - Danone Arg. S.A. - Chascomus</v>
          </cell>
          <cell r="BC431" t="str">
            <v>ADA_CH - Danone Arg. S.A. - Chascomus</v>
          </cell>
          <cell r="BD431" t="str">
            <v>ADA_CH - Danone Arg. S.A. - Chascomus</v>
          </cell>
          <cell r="BE431" t="str">
            <v>ADA_CH - Danone Arg. S.A. - Chascomus</v>
          </cell>
          <cell r="BF431" t="str">
            <v>INACTIVO</v>
          </cell>
          <cell r="BG431" t="str">
            <v>INACTIVO</v>
          </cell>
          <cell r="BH431" t="str">
            <v>INACTIVO</v>
          </cell>
          <cell r="BI431" t="str">
            <v>INACTIVO</v>
          </cell>
          <cell r="BJ431" t="str">
            <v>INACTIVO</v>
          </cell>
          <cell r="BK431" t="str">
            <v>INACTIVO</v>
          </cell>
          <cell r="BL431" t="str">
            <v>INACTIVO</v>
          </cell>
          <cell r="BM431" t="str">
            <v>INACTIVO</v>
          </cell>
          <cell r="BN431" t="str">
            <v>INACTIVO</v>
          </cell>
          <cell r="BO431" t="str">
            <v>INACTIVO</v>
          </cell>
          <cell r="BP431" t="str">
            <v>INACTIVO</v>
          </cell>
          <cell r="BQ431" t="str">
            <v>INACTIVO</v>
          </cell>
          <cell r="BR431" t="str">
            <v>INACTIVO</v>
          </cell>
          <cell r="BS431" t="str">
            <v>INACTIVO</v>
          </cell>
          <cell r="BT431" t="str">
            <v>INACTIVO</v>
          </cell>
          <cell r="BU431" t="str">
            <v>INACTIVO</v>
          </cell>
          <cell r="BV431" t="str">
            <v>INACTIVO</v>
          </cell>
          <cell r="BW431" t="str">
            <v>INACTIVO</v>
          </cell>
          <cell r="BX431" t="str">
            <v>INACTIVO</v>
          </cell>
          <cell r="BY431" t="str">
            <v>INACTIVO</v>
          </cell>
          <cell r="BZ431" t="str">
            <v>INACTIVO</v>
          </cell>
          <cell r="CA431" t="str">
            <v>INACTIVO</v>
          </cell>
          <cell r="CB431" t="str">
            <v>INACTIVO</v>
          </cell>
          <cell r="CC431" t="str">
            <v>BAJA</v>
          </cell>
          <cell r="CD431" t="str">
            <v>BAJA</v>
          </cell>
          <cell r="CE431" t="str">
            <v>BAJA</v>
          </cell>
          <cell r="CF431" t="str">
            <v>BAJA</v>
          </cell>
          <cell r="CG431" t="str">
            <v>BAJA</v>
          </cell>
          <cell r="CH431" t="str">
            <v>BAJA</v>
          </cell>
          <cell r="CI431" t="str">
            <v>BAJA</v>
          </cell>
          <cell r="CJ431" t="str">
            <v>BAJA</v>
          </cell>
          <cell r="CK431" t="str">
            <v>BAJA</v>
          </cell>
          <cell r="CL431" t="str">
            <v>BAJA</v>
          </cell>
          <cell r="CM431" t="str">
            <v>BAJA</v>
          </cell>
          <cell r="CN431" t="str">
            <v>BAJA</v>
          </cell>
          <cell r="CO431" t="str">
            <v>BAJA</v>
          </cell>
          <cell r="CP431" t="str">
            <v>BAJA</v>
          </cell>
          <cell r="CQ431" t="str">
            <v>BAJA</v>
          </cell>
          <cell r="CR431" t="str">
            <v>BAJA</v>
          </cell>
          <cell r="CS431" t="str">
            <v>BAJA</v>
          </cell>
          <cell r="CT431" t="str">
            <v>BAJA</v>
          </cell>
          <cell r="CU431" t="str">
            <v>BAJA</v>
          </cell>
          <cell r="CV431" t="str">
            <v>BAJA</v>
          </cell>
          <cell r="CW431" t="str">
            <v>BAJA</v>
          </cell>
        </row>
        <row r="432">
          <cell r="D432" t="str">
            <v>OZH811</v>
          </cell>
          <cell r="E432" t="str">
            <v>Chasis</v>
          </cell>
          <cell r="F432" t="str">
            <v>Balancin</v>
          </cell>
          <cell r="G432" t="str">
            <v>Balancin Termico</v>
          </cell>
          <cell r="N432" t="str">
            <v>DYLASA</v>
          </cell>
          <cell r="O432" t="str">
            <v>DYLASA</v>
          </cell>
          <cell r="P432" t="str">
            <v>No</v>
          </cell>
          <cell r="Q432" t="str">
            <v>Propio</v>
          </cell>
          <cell r="R432">
            <v>12</v>
          </cell>
          <cell r="S432" t="str">
            <v>Propio</v>
          </cell>
          <cell r="T432" t="str">
            <v>MERCEDES BENZ</v>
          </cell>
          <cell r="U432" t="str">
            <v>ATEGO 1725</v>
          </cell>
          <cell r="V432" t="str">
            <v>906985U1138681</v>
          </cell>
          <cell r="W432" t="str">
            <v>9BM958072FB000175</v>
          </cell>
          <cell r="X432">
            <v>2015</v>
          </cell>
          <cell r="Y432">
            <v>11</v>
          </cell>
          <cell r="BD432" t="str">
            <v>CENCO_MZ - Cencosud SA - Mendoza</v>
          </cell>
          <cell r="BE432" t="str">
            <v>CENCO_MZ - Cencosud SA - Mendoza</v>
          </cell>
          <cell r="BF432" t="str">
            <v>CENCO_MZ - Cencosud SA - Mendoza</v>
          </cell>
          <cell r="BG432" t="str">
            <v>CENCO_MZ - Cencosud SA - Mendoza</v>
          </cell>
          <cell r="BH432" t="str">
            <v>CENCO_MZ - Cencosud SA - Mendoza</v>
          </cell>
          <cell r="BI432" t="str">
            <v>CENCO_MZ - Cencosud SA - Mendoza</v>
          </cell>
          <cell r="BJ432" t="str">
            <v>CENCO_MZ - Cencosud SA - Mendoza</v>
          </cell>
          <cell r="BK432" t="str">
            <v>CENCO_MZ - Cencosud SA - Mendoza</v>
          </cell>
          <cell r="BL432" t="str">
            <v>CENCO_MZ - Cencosud SA - Mendoza</v>
          </cell>
          <cell r="BM432" t="str">
            <v>CENCO_MZ - Cencosud SA - Mendoza</v>
          </cell>
          <cell r="BN432" t="str">
            <v>CENCOMLD - Cencosud SA - Mendoza</v>
          </cell>
          <cell r="BO432" t="str">
            <v>CENCOMLD - Cencosud SA - Mendoza</v>
          </cell>
          <cell r="BP432" t="str">
            <v>CENCOMLD - Cencosud SA - Mendoza</v>
          </cell>
          <cell r="BQ432" t="str">
            <v>CENCOMLD - Cencosud SA - Mendoza</v>
          </cell>
          <cell r="BR432" t="str">
            <v>CENCOMLD - Cencosud SA - Mendoza</v>
          </cell>
          <cell r="BS432" t="str">
            <v>CENCOMLD - Cencosud SA - Mendoza</v>
          </cell>
          <cell r="BT432" t="str">
            <v>CENCOMLD - Cencosud SA - Mendoza</v>
          </cell>
          <cell r="BU432" t="str">
            <v>CENCOMLD - Cencosud SA - Mendoza</v>
          </cell>
          <cell r="BV432" t="str">
            <v>CENCOMLD - Cencosud SA - Mendoza</v>
          </cell>
          <cell r="BW432" t="str">
            <v>CENCOMLD - Cencosud SA - Mendoza</v>
          </cell>
          <cell r="BX432" t="str">
            <v>CENCOMLD - Cencosud SA - Mendoza</v>
          </cell>
          <cell r="BY432" t="str">
            <v>CENCOMLD - Cencosud SA - Mendoza</v>
          </cell>
          <cell r="BZ432" t="str">
            <v>CENCOMLD - Cencosud SA - Mendoza</v>
          </cell>
          <cell r="CA432" t="str">
            <v>CENCOMLD - Cencosud SA - Mendoza</v>
          </cell>
          <cell r="CB432" t="str">
            <v>CENCOMLD - Cencosud SA - Mendoza</v>
          </cell>
          <cell r="CC432" t="str">
            <v>CENCOMLD - Cencosud SA - Mendoza</v>
          </cell>
          <cell r="CD432" t="str">
            <v>CENCOMLD - Cencosud SA - Mendoza</v>
          </cell>
          <cell r="CE432" t="str">
            <v>CENCOMLD - Cencosud SA - Mendoza</v>
          </cell>
          <cell r="CF432" t="str">
            <v>CENCOMLD - Cencosud SA - Mendoza</v>
          </cell>
          <cell r="CG432" t="str">
            <v>CENCOMLD - Cencosud SA - Mendoza</v>
          </cell>
          <cell r="CH432" t="str">
            <v>CENCOMLD - Cencosud SA - Mendoza</v>
          </cell>
          <cell r="CI432" t="str">
            <v>CENCOMLD - Cencosud SA - Mendoza</v>
          </cell>
          <cell r="CJ432" t="str">
            <v>CENCO_MZ - Cencosud SA - Mendoza</v>
          </cell>
          <cell r="CK432" t="str">
            <v>CENCO_MZ - Cencosud SA - Mendoza</v>
          </cell>
          <cell r="CL432" t="str">
            <v>CENCO_MZ - Cencosud SA - Mendoza</v>
          </cell>
          <cell r="CM432" t="str">
            <v>CENCO_MZ - Cencosud SA - Mendoza</v>
          </cell>
          <cell r="CN432" t="str">
            <v>CENCO_MZ - Cencosud SA - Mendoza</v>
          </cell>
          <cell r="CO432" t="str">
            <v>CENCO_MZ - Cencosud SA - Mendoza</v>
          </cell>
          <cell r="CP432" t="str">
            <v>CENCO_MZ - Cencosud SA - Mendoza</v>
          </cell>
          <cell r="CQ432" t="str">
            <v>CENCO_MZ - Cencosud SA - Mendoza</v>
          </cell>
          <cell r="CR432" t="str">
            <v>CENCO_MZ - Cencosud SA - Mendoza</v>
          </cell>
          <cell r="CS432" t="str">
            <v>CENCO_MZ - Cencosud SA - Mendoza</v>
          </cell>
          <cell r="CT432" t="str">
            <v>CENCO_MZ - Cencosud SA - Mendoza</v>
          </cell>
          <cell r="CU432" t="str">
            <v>CENCO_MZ - Cencosud SA - Mendoza</v>
          </cell>
          <cell r="CV432" t="str">
            <v>CENCOMLD - Cencosud SA - Mendoza</v>
          </cell>
          <cell r="CW432" t="str">
            <v>CENCOMLD - Cencosud SA - Mendoza</v>
          </cell>
        </row>
        <row r="433">
          <cell r="D433" t="str">
            <v>PDD687</v>
          </cell>
          <cell r="E433" t="str">
            <v>Acoplado</v>
          </cell>
          <cell r="F433" t="str">
            <v>Acoplado</v>
          </cell>
          <cell r="G433" t="str">
            <v>Acoplado</v>
          </cell>
          <cell r="N433" t="str">
            <v>DYLASA</v>
          </cell>
          <cell r="O433" t="str">
            <v>DYLASA</v>
          </cell>
          <cell r="P433" t="str">
            <v>No</v>
          </cell>
          <cell r="Q433" t="str">
            <v>Propio</v>
          </cell>
          <cell r="R433">
            <v>18</v>
          </cell>
          <cell r="S433" t="str">
            <v>Propio</v>
          </cell>
          <cell r="T433" t="str">
            <v>BONANO</v>
          </cell>
          <cell r="U433" t="str">
            <v>8CB3AUZZZFB000269</v>
          </cell>
          <cell r="V433">
            <v>2015</v>
          </cell>
          <cell r="W433" t="str">
            <v>8CB3AUZZZFB000269</v>
          </cell>
          <cell r="X433">
            <v>2015</v>
          </cell>
          <cell r="Y433">
            <v>11</v>
          </cell>
          <cell r="BD433" t="str">
            <v>CENCO_MZ - Cencosud SA - Mendoza</v>
          </cell>
          <cell r="BE433" t="str">
            <v>CENCO_MZ - Cencosud SA - Mendoza</v>
          </cell>
          <cell r="BF433" t="str">
            <v>CENCO_MZ - Cencosud SA - Mendoza</v>
          </cell>
          <cell r="BG433" t="str">
            <v>CENCO_MZ - Cencosud SA - Mendoza</v>
          </cell>
          <cell r="BH433" t="str">
            <v>CENCO_MZ - Cencosud SA - Mendoza</v>
          </cell>
          <cell r="BI433" t="str">
            <v>CENCO_MZ - Cencosud SA - Mendoza</v>
          </cell>
          <cell r="BJ433" t="str">
            <v>CENCO_MZ - Cencosud SA - Mendoza</v>
          </cell>
          <cell r="BK433" t="str">
            <v>CENCO_MZ - Cencosud SA - Mendoza</v>
          </cell>
          <cell r="BL433" t="str">
            <v>CENCO_MZ - Cencosud SA - Mendoza</v>
          </cell>
          <cell r="BM433" t="str">
            <v>CENCO_MZ - Cencosud SA - Mendoza</v>
          </cell>
          <cell r="BN433" t="str">
            <v>CENCOMLD - Cencosud SA - Mendoza</v>
          </cell>
          <cell r="BO433" t="str">
            <v>CENCOMLD - Cencosud SA - Mendoza</v>
          </cell>
          <cell r="BP433" t="str">
            <v>CENCOMLD - Cencosud SA - Mendoza</v>
          </cell>
          <cell r="BQ433" t="str">
            <v>CENCOMLD - Cencosud SA - Mendoza</v>
          </cell>
          <cell r="BR433" t="str">
            <v>CENCOMLD - Cencosud SA - Mendoza</v>
          </cell>
          <cell r="BS433" t="str">
            <v>CENCOMLD - Cencosud SA - Mendoza</v>
          </cell>
          <cell r="BT433" t="str">
            <v>CENCOMLD - Cencosud SA - Mendoza</v>
          </cell>
          <cell r="BU433" t="str">
            <v>CENCOMLD - Cencosud SA - Mendoza</v>
          </cell>
          <cell r="BV433" t="str">
            <v>CENCOMLD - Cencosud SA - Mendoza</v>
          </cell>
          <cell r="BW433" t="str">
            <v>CENCOMLD - Cencosud SA - Mendoza</v>
          </cell>
          <cell r="BX433" t="str">
            <v>CENCOMLD - Cencosud SA - Mendoza</v>
          </cell>
          <cell r="BY433" t="str">
            <v>CENCOMLD - Cencosud SA - Mendoza</v>
          </cell>
          <cell r="BZ433" t="str">
            <v>CENCOMLD - Cencosud SA - Mendoza</v>
          </cell>
          <cell r="CA433" t="str">
            <v>CENCOMLD - Cencosud SA - Mendoza</v>
          </cell>
          <cell r="CB433" t="str">
            <v>CENCOMLD - Cencosud SA - Mendoza</v>
          </cell>
          <cell r="CC433" t="str">
            <v>CENCOMLD - Cencosud SA - Mendoza</v>
          </cell>
          <cell r="CD433" t="str">
            <v>CENCOMLD - Cencosud SA - Mendoza</v>
          </cell>
          <cell r="CE433" t="str">
            <v>CENCOMLD - Cencosud SA - Mendoza</v>
          </cell>
          <cell r="CF433" t="str">
            <v>CENCOMLD - Cencosud SA - Mendoza</v>
          </cell>
          <cell r="CG433" t="str">
            <v>CENCOMLD - Cencosud SA - Mendoza</v>
          </cell>
          <cell r="CH433" t="str">
            <v>CENCOMLD - Cencosud SA - Mendoza</v>
          </cell>
          <cell r="CI433" t="str">
            <v>CENCOMLD - Cencosud SA - Mendoza</v>
          </cell>
          <cell r="CJ433" t="str">
            <v>CENCOMLD - Cencosud SA - Mendoza</v>
          </cell>
          <cell r="CK433" t="str">
            <v>CENCOMLD - Cencosud SA - Mendoza</v>
          </cell>
          <cell r="CL433" t="str">
            <v>CENCOMLD - Cencosud SA - Mendoza</v>
          </cell>
          <cell r="CM433" t="str">
            <v>CENCOMLD - Cencosud SA - Mendoza</v>
          </cell>
          <cell r="CN433" t="str">
            <v>CENCOMLD - Cencosud SA - Mendoza</v>
          </cell>
          <cell r="CO433" t="str">
            <v>CENCOMLD - Cencosud SA - Mendoza</v>
          </cell>
          <cell r="CP433" t="str">
            <v>CENCOMLD - Cencosud SA - Mendoza</v>
          </cell>
          <cell r="CQ433" t="str">
            <v>CENCOMLD - Cencosud SA - Mendoza</v>
          </cell>
          <cell r="CR433" t="str">
            <v>CENCOMLD - Cencosud SA - Mendoza</v>
          </cell>
          <cell r="CS433" t="str">
            <v>CENCOMLD - Cencosud SA - Mendoza</v>
          </cell>
          <cell r="CT433" t="str">
            <v>CENCOMLD - Cencosud SA - Mendoza</v>
          </cell>
          <cell r="CU433" t="str">
            <v>CENCOMLD - Cencosud SA - Mendoza</v>
          </cell>
          <cell r="CV433" t="str">
            <v>CENCOMLD - Cencosud SA - Mendoza</v>
          </cell>
          <cell r="CW433" t="str">
            <v>CENCOMLD - Cencosud SA - Mendoza</v>
          </cell>
        </row>
        <row r="434">
          <cell r="D434" t="str">
            <v>PLU468</v>
          </cell>
          <cell r="E434" t="str">
            <v>Chasis</v>
          </cell>
          <cell r="F434" t="str">
            <v>Chasis</v>
          </cell>
          <cell r="G434" t="str">
            <v>Chasis</v>
          </cell>
          <cell r="N434" t="str">
            <v>CODYLSA</v>
          </cell>
          <cell r="O434" t="str">
            <v>CODYLSA</v>
          </cell>
          <cell r="P434" t="str">
            <v>No</v>
          </cell>
          <cell r="Q434" t="str">
            <v>Propio</v>
          </cell>
          <cell r="R434">
            <v>8</v>
          </cell>
          <cell r="S434" t="str">
            <v>Propio</v>
          </cell>
          <cell r="T434" t="str">
            <v>MERCEDES BENZ</v>
          </cell>
          <cell r="U434" t="str">
            <v>ACCELO 915C</v>
          </cell>
          <cell r="V434" t="str">
            <v>904970U1159323</v>
          </cell>
          <cell r="W434" t="str">
            <v>9BM979046GS034162</v>
          </cell>
          <cell r="X434">
            <v>2016</v>
          </cell>
          <cell r="Y434">
            <v>10</v>
          </cell>
          <cell r="Z434" t="str">
            <v>Danone SMK</v>
          </cell>
          <cell r="AA434" t="str">
            <v>ADA_SMK - Danone Arg. S.A. - SMK</v>
          </cell>
          <cell r="AB434" t="str">
            <v>ADA_SMK - Danone Arg. S.A. - SMK</v>
          </cell>
          <cell r="AC434" t="str">
            <v>ADA_SMK - Danone Arg. S.A. - SMK</v>
          </cell>
          <cell r="AD434" t="str">
            <v>ADA_SMK - Danone Arg. S.A. - SMK</v>
          </cell>
          <cell r="AE434" t="str">
            <v>ADA_SMK - Danone Arg. S.A. - SMK</v>
          </cell>
          <cell r="AF434" t="str">
            <v>ADA_SMK - Danone Arg. S.A. - SMK</v>
          </cell>
          <cell r="AG434" t="str">
            <v>ADA_SMK - Danone Arg. S.A. - SMK</v>
          </cell>
          <cell r="AH434" t="str">
            <v>ADA_SMK - Danone Arg. S.A. - SMK</v>
          </cell>
          <cell r="AI434" t="str">
            <v>ADA_SMK - Danone Arg. S.A. - SMK</v>
          </cell>
          <cell r="AJ434" t="str">
            <v>ADA_SMK - Danone Arg. S.A. - SMK</v>
          </cell>
          <cell r="AK434" t="str">
            <v>ADA_SMK - Danone Arg. S.A. - SMK</v>
          </cell>
          <cell r="AL434" t="str">
            <v>ADA_SMK - Danone Arg. S.A. - SMK</v>
          </cell>
          <cell r="AM434" t="str">
            <v>ADA_SMK - Danone Arg. S.A. - SMK</v>
          </cell>
          <cell r="AN434" t="str">
            <v>ADA_SMK - Danone Arg. S.A. - SMK</v>
          </cell>
          <cell r="AO434" t="str">
            <v>ADA_SMK - Danone Arg. S.A. - SMK</v>
          </cell>
          <cell r="AP434" t="str">
            <v>ADA_SMK - Danone Arg. S.A. - SMK</v>
          </cell>
          <cell r="AQ434" t="str">
            <v>ADA_SMK - Danone Arg. S.A. - SMK</v>
          </cell>
          <cell r="AR434" t="str">
            <v>ADA_SMK - Danone Arg. S.A. - SMK</v>
          </cell>
          <cell r="AS434" t="str">
            <v>ADA_SMK - Danone Arg. S.A. - SMK</v>
          </cell>
          <cell r="AT434" t="str">
            <v>ADA_SMK - Danone Arg. S.A. - SMK</v>
          </cell>
          <cell r="AU434" t="str">
            <v>ADA_SMK - Danone Arg. S.A. - SMK</v>
          </cell>
          <cell r="AV434" t="str">
            <v>ADA_SMK - Danone Arg. S.A. - SMK</v>
          </cell>
          <cell r="AW434" t="str">
            <v>ADA_SMK - Danone Arg. S.A. - SMK</v>
          </cell>
          <cell r="AX434" t="str">
            <v>ADA_SMK - Danone Arg. S.A. - SMK</v>
          </cell>
          <cell r="AY434" t="str">
            <v>ADA_SMK - Danone Arg. S.A. - SMK</v>
          </cell>
          <cell r="AZ434" t="str">
            <v>ADA_SMK - Danone Arg. S.A. - SMK</v>
          </cell>
          <cell r="BA434" t="str">
            <v>ADA_SMK - Danone Arg. S.A. - SMK</v>
          </cell>
          <cell r="BB434" t="str">
            <v>ADA_SMK - Danone Arg. S.A. - SMK</v>
          </cell>
          <cell r="BC434" t="str">
            <v>ADA_SMK - Danone Arg. S.A. - SMK</v>
          </cell>
          <cell r="BD434" t="str">
            <v>ADA_SMK - Danone Arg. S.A. - SMK</v>
          </cell>
          <cell r="BE434" t="str">
            <v>ADA_SMK - Danone Arg. S.A. - SMK</v>
          </cell>
          <cell r="BF434" t="str">
            <v>ADA_SMK - Danone Arg. S.A. - SMK</v>
          </cell>
          <cell r="BG434" t="str">
            <v>ADA_SMK - Danone Arg. S.A. - SMK</v>
          </cell>
          <cell r="BH434" t="str">
            <v>ADA_SMK - Danone Arg. S.A. - SMK</v>
          </cell>
          <cell r="BI434" t="str">
            <v>ADA_SMK - Danone Arg. S.A. - SMK</v>
          </cell>
          <cell r="BJ434" t="str">
            <v>ADA_SMK - Danone Arg. S.A. - SMK</v>
          </cell>
          <cell r="BK434" t="str">
            <v>ADA_SMK - Danone Arg. S.A. - SMK</v>
          </cell>
          <cell r="BL434" t="str">
            <v>ADA_SMK - Danone Arg. S.A. - SMK</v>
          </cell>
          <cell r="BM434" t="str">
            <v>ADA_SMK - Danone Arg. S.A. - SMK</v>
          </cell>
          <cell r="BN434" t="str">
            <v>ADA_SMK - Danone Arg. S.A. - SMK</v>
          </cell>
          <cell r="BO434" t="str">
            <v>ADA_SMK - Danone Arg. S.A. - SMK</v>
          </cell>
          <cell r="BP434" t="str">
            <v>ADA_SMK - Danone Arg. S.A. - SMK</v>
          </cell>
          <cell r="BQ434" t="str">
            <v>ADA_SMK - Danone Arg. S.A. - SMK</v>
          </cell>
          <cell r="BR434" t="str">
            <v>ADA_SMK - Danone Arg. S.A. - SMK</v>
          </cell>
          <cell r="BS434" t="str">
            <v>ADA_SMK - Danone Arg. S.A. - SMK</v>
          </cell>
          <cell r="BT434" t="str">
            <v>ADA_SMK - Danone Arg. S.A. - SMK</v>
          </cell>
          <cell r="BU434" t="str">
            <v>CCUDyAZA</v>
          </cell>
          <cell r="BV434" t="str">
            <v>CCUDyAZA</v>
          </cell>
          <cell r="BW434" t="str">
            <v>CCUDyAZA</v>
          </cell>
          <cell r="BX434" t="str">
            <v>CCUDyAZA</v>
          </cell>
          <cell r="BY434" t="str">
            <v>CCUDyAZA</v>
          </cell>
          <cell r="BZ434" t="str">
            <v>CCUDyAZA</v>
          </cell>
          <cell r="CA434" t="str">
            <v>Unilever - Unilever de Arg. S.A.</v>
          </cell>
          <cell r="CB434" t="str">
            <v>Unilever - Unilever de Arg. S.A.</v>
          </cell>
          <cell r="CC434" t="str">
            <v>Unilever - Unilever de Arg. S.A.</v>
          </cell>
          <cell r="CD434" t="str">
            <v>Unilever - Unilever de Arg. S.A.</v>
          </cell>
          <cell r="CE434" t="str">
            <v>Unilever - Unilever de Arg. S.A.</v>
          </cell>
          <cell r="CF434" t="str">
            <v>Unilever - Unilever de Arg. S.A.</v>
          </cell>
          <cell r="CG434" t="str">
            <v>Unilever - Unilever de Arg. S.A.</v>
          </cell>
          <cell r="CH434" t="str">
            <v>Unilever - Unilever de Arg. S.A.</v>
          </cell>
          <cell r="CI434" t="str">
            <v>Unilever - Unilever de Arg. S.A.</v>
          </cell>
          <cell r="CJ434" t="str">
            <v>JOHNSON - SC JOHNSON DE ARGENTINA SAIC</v>
          </cell>
          <cell r="CK434" t="str">
            <v>JOHNSON - SC JOHNSON DE ARGENTINA SAIC</v>
          </cell>
          <cell r="CL434" t="str">
            <v>JOHNSON - SC JOHNSON DE ARGENTINA SAIC</v>
          </cell>
          <cell r="CM434" t="str">
            <v>Topacio</v>
          </cell>
          <cell r="CN434" t="str">
            <v>Unilever - Unilever de Arg. S.A.</v>
          </cell>
          <cell r="CO434" t="str">
            <v>Unilever - Unilever de Arg. S.A.</v>
          </cell>
          <cell r="CP434" t="str">
            <v>JOHNSON - SC JOHNSON DE ARGENTINA SAIC</v>
          </cell>
          <cell r="CQ434" t="str">
            <v>JOHNSON - SC JOHNSON DE ARGENTINA SAIC</v>
          </cell>
          <cell r="CR434" t="str">
            <v>JOHNSON - SC JOHNSON DE ARGENTINA SAIC</v>
          </cell>
          <cell r="CS434" t="str">
            <v>JOHNSON - SC JOHNSON DE ARGENTINA SAIC</v>
          </cell>
          <cell r="CT434" t="str">
            <v>JOHNSON - SC JOHNSON DE ARGENTINA SAIC</v>
          </cell>
          <cell r="CU434" t="str">
            <v>JOHNSON - SC JOHNSON DE ARGENTINA SAIC</v>
          </cell>
          <cell r="CV434" t="str">
            <v>JOHNSON - SC JOHNSON DE ARGENTINA SAIC</v>
          </cell>
          <cell r="CW434" t="str">
            <v>JOHNSON - SC JOHNSON DE ARGENTINA SAIC</v>
          </cell>
        </row>
        <row r="435">
          <cell r="D435" t="str">
            <v>PLU469</v>
          </cell>
          <cell r="E435" t="str">
            <v>Chasis</v>
          </cell>
          <cell r="F435" t="str">
            <v>Chasis</v>
          </cell>
          <cell r="G435" t="str">
            <v>Chasis Playo</v>
          </cell>
          <cell r="N435" t="str">
            <v>CODYLSA</v>
          </cell>
          <cell r="O435" t="str">
            <v>CODYLSA</v>
          </cell>
          <cell r="P435" t="str">
            <v>No</v>
          </cell>
          <cell r="Q435" t="str">
            <v>Propio</v>
          </cell>
          <cell r="R435">
            <v>8</v>
          </cell>
          <cell r="S435" t="str">
            <v>Propio</v>
          </cell>
          <cell r="T435" t="str">
            <v>MERCEDES BENZ</v>
          </cell>
          <cell r="U435" t="str">
            <v>ACCELO 915C</v>
          </cell>
          <cell r="V435" t="str">
            <v>904970U1159174</v>
          </cell>
          <cell r="W435" t="str">
            <v>9BM979046GS034244</v>
          </cell>
          <cell r="X435">
            <v>2016</v>
          </cell>
          <cell r="Y435">
            <v>10</v>
          </cell>
          <cell r="Z435" t="str">
            <v>Danone SMK</v>
          </cell>
          <cell r="AA435" t="str">
            <v>ADA_SMK - Danone Arg. S.A. - SMK</v>
          </cell>
          <cell r="AB435" t="str">
            <v>ADA_SMK - Danone Arg. S.A. - SMK</v>
          </cell>
          <cell r="AC435" t="str">
            <v>ADA_SMK - Danone Arg. S.A. - SMK</v>
          </cell>
          <cell r="AD435" t="str">
            <v>ADA_SMK - Danone Arg. S.A. - SMK</v>
          </cell>
          <cell r="AE435" t="str">
            <v>ADA_SMK - Danone Arg. S.A. - SMK</v>
          </cell>
          <cell r="AF435" t="str">
            <v>ADA_SMK - Danone Arg. S.A. - SMK</v>
          </cell>
          <cell r="AG435" t="str">
            <v>ADA_SMK - Danone Arg. S.A. - SMK</v>
          </cell>
          <cell r="AH435" t="str">
            <v>ADA_SMK - Danone Arg. S.A. - SMK</v>
          </cell>
          <cell r="AI435" t="str">
            <v>ADA_SMK - Danone Arg. S.A. - SMK</v>
          </cell>
          <cell r="AJ435" t="str">
            <v>ADA_SMK - Danone Arg. S.A. - SMK</v>
          </cell>
          <cell r="AK435" t="str">
            <v>ADA_SMK - Danone Arg. S.A. - SMK</v>
          </cell>
          <cell r="AL435" t="str">
            <v>ADA_SMK - Danone Arg. S.A. - SMK</v>
          </cell>
          <cell r="AM435" t="str">
            <v>ADA_SMK - Danone Arg. S.A. - SMK</v>
          </cell>
          <cell r="AN435" t="str">
            <v>ADA_SMK - Danone Arg. S.A. - SMK</v>
          </cell>
          <cell r="AO435" t="str">
            <v>ADA_SMK - Danone Arg. S.A. - SMK</v>
          </cell>
          <cell r="AP435" t="str">
            <v>ADA_SMK - Danone Arg. S.A. - SMK</v>
          </cell>
          <cell r="AQ435" t="str">
            <v>ADA_SMK - Danone Arg. S.A. - SMK</v>
          </cell>
          <cell r="AR435" t="str">
            <v>ADA_SMK - Danone Arg. S.A. - SMK</v>
          </cell>
          <cell r="AS435" t="str">
            <v>ADA_SMK - Danone Arg. S.A. - SMK</v>
          </cell>
          <cell r="AT435" t="str">
            <v>ADA_SMK - Danone Arg. S.A. - SMK</v>
          </cell>
          <cell r="AU435" t="str">
            <v>ADA_SMK - Danone Arg. S.A. - SMK</v>
          </cell>
          <cell r="AV435" t="str">
            <v>ADA_SMK - Danone Arg. S.A. - SMK</v>
          </cell>
          <cell r="AW435" t="str">
            <v>ADA_SMK - Danone Arg. S.A. - SMK</v>
          </cell>
          <cell r="AX435" t="str">
            <v>ADA_SMK - Danone Arg. S.A. - SMK</v>
          </cell>
          <cell r="AY435" t="str">
            <v>ADA_SMK - Danone Arg. S.A. - SMK</v>
          </cell>
          <cell r="AZ435" t="str">
            <v>ADA_SMK - Danone Arg. S.A. - SMK</v>
          </cell>
          <cell r="BA435" t="str">
            <v>ADA_SMK - Danone Arg. S.A. - SMK</v>
          </cell>
          <cell r="BB435" t="str">
            <v>ADA_SMK - Danone Arg. S.A. - SMK</v>
          </cell>
          <cell r="BC435" t="str">
            <v>ADA_SMK - Danone Arg. S.A. - SMK</v>
          </cell>
          <cell r="BD435" t="str">
            <v>ADA_SMK - Danone Arg. S.A. - SMK</v>
          </cell>
          <cell r="BE435" t="str">
            <v>ADA_SMK - Danone Arg. S.A. - SMK</v>
          </cell>
          <cell r="BF435" t="str">
            <v>ADA_SMK - Danone Arg. S.A. - SMK</v>
          </cell>
          <cell r="BG435" t="str">
            <v>ADA_SMK - Danone Arg. S.A. - SMK</v>
          </cell>
          <cell r="BH435" t="str">
            <v>ADA_SMK - Danone Arg. S.A. - SMK</v>
          </cell>
          <cell r="BI435" t="str">
            <v>ADA_SMK - Danone Arg. S.A. - SMK</v>
          </cell>
          <cell r="BJ435" t="str">
            <v>ADA_SMK - Danone Arg. S.A. - SMK</v>
          </cell>
          <cell r="BK435" t="str">
            <v>ADA_SMK - Danone Arg. S.A. - SMK</v>
          </cell>
          <cell r="BL435" t="str">
            <v>ADA_SMK - Danone Arg. S.A. - SMK</v>
          </cell>
          <cell r="BM435" t="str">
            <v>ADA_SMK - Danone Arg. S.A. - SMK</v>
          </cell>
          <cell r="BN435" t="str">
            <v>ADA_SMK - Danone Arg. S.A. - SMK</v>
          </cell>
          <cell r="BO435" t="str">
            <v>ADA_SMK - Danone Arg. S.A. - SMK</v>
          </cell>
          <cell r="BP435" t="str">
            <v>ADA_SMK - Danone Arg. S.A. - SMK</v>
          </cell>
          <cell r="BQ435" t="str">
            <v>ADA_SMK - Danone Arg. S.A. - SMK</v>
          </cell>
          <cell r="BR435" t="str">
            <v>ADA_SMK - Danone Arg. S.A. - SMK</v>
          </cell>
          <cell r="BS435" t="str">
            <v>ADA_SMK - Danone Arg. S.A. - SMK</v>
          </cell>
          <cell r="BT435" t="str">
            <v>ADA_SMK - Danone Arg. S.A. - SMK</v>
          </cell>
          <cell r="BU435" t="str">
            <v>CCUDyAZA</v>
          </cell>
          <cell r="BV435" t="str">
            <v>CCUDyAZA</v>
          </cell>
          <cell r="BW435" t="str">
            <v>CCUDyAZA</v>
          </cell>
          <cell r="BX435" t="str">
            <v>CCUDyAZA</v>
          </cell>
          <cell r="BY435" t="str">
            <v>CCUDyAZA</v>
          </cell>
          <cell r="BZ435" t="str">
            <v>CCUDyAZA</v>
          </cell>
          <cell r="CA435" t="str">
            <v>Unilever - Unilever de Arg. S.A.</v>
          </cell>
          <cell r="CB435" t="str">
            <v>CCUDyAZA</v>
          </cell>
          <cell r="CC435" t="str">
            <v>CCUDyAZA</v>
          </cell>
          <cell r="CD435" t="str">
            <v>CCUDyAZA</v>
          </cell>
          <cell r="CE435" t="str">
            <v>CCUDyAZA</v>
          </cell>
          <cell r="CF435" t="str">
            <v>CCUDyAZA</v>
          </cell>
          <cell r="CG435" t="str">
            <v>CCUDyAZA</v>
          </cell>
          <cell r="CH435" t="str">
            <v>CCUDyAZA</v>
          </cell>
          <cell r="CI435" t="str">
            <v>CCUDyAZA</v>
          </cell>
          <cell r="CJ435" t="str">
            <v>CCUDyAZA</v>
          </cell>
          <cell r="CK435" t="str">
            <v>CCUDyAZA</v>
          </cell>
          <cell r="CL435" t="str">
            <v>CCUDyAZA</v>
          </cell>
          <cell r="CM435" t="str">
            <v>CCUDyAZA</v>
          </cell>
          <cell r="CN435" t="str">
            <v>CCUDyAZA</v>
          </cell>
          <cell r="CO435" t="str">
            <v>CCUDyAZA</v>
          </cell>
          <cell r="CP435" t="str">
            <v>CCUDyAZA</v>
          </cell>
          <cell r="CQ435" t="str">
            <v>CCUDyAZA</v>
          </cell>
          <cell r="CR435" t="str">
            <v>CCUDyAZA</v>
          </cell>
          <cell r="CS435" t="str">
            <v>CCUDyAZA</v>
          </cell>
          <cell r="CT435" t="str">
            <v>CCUDyAZA</v>
          </cell>
          <cell r="CU435" t="str">
            <v>CCUDyAZA</v>
          </cell>
          <cell r="CV435" t="str">
            <v>CCUDyAZA</v>
          </cell>
          <cell r="CW435" t="str">
            <v>CCUDyAZA</v>
          </cell>
        </row>
        <row r="436">
          <cell r="D436" t="str">
            <v>RAU901</v>
          </cell>
          <cell r="E436" t="str">
            <v>Chasis</v>
          </cell>
          <cell r="F436">
            <v>0</v>
          </cell>
          <cell r="G436" t="str">
            <v>Chasis</v>
          </cell>
          <cell r="N436" t="str">
            <v>LONGO HERNAN OSCAR</v>
          </cell>
          <cell r="O436" t="str">
            <v>LONGO HERNAN OSCAR</v>
          </cell>
          <cell r="P436" t="str">
            <v>No</v>
          </cell>
          <cell r="Q436" t="str">
            <v>De Tercero</v>
          </cell>
          <cell r="R436" t="str">
            <v>-</v>
          </cell>
          <cell r="S436" t="str">
            <v>De Tercero</v>
          </cell>
          <cell r="T436" t="str">
            <v>FORD</v>
          </cell>
          <cell r="U436" t="str">
            <v>F14000</v>
          </cell>
          <cell r="V436">
            <v>1994</v>
          </cell>
          <cell r="W436">
            <v>32</v>
          </cell>
          <cell r="X436">
            <v>1994</v>
          </cell>
          <cell r="Y436">
            <v>32</v>
          </cell>
          <cell r="Z436" t="str">
            <v>TDU</v>
          </cell>
          <cell r="AA436" t="str">
            <v>CMQ_TTE - QUILMES TTE</v>
          </cell>
          <cell r="AB436" t="str">
            <v>CMQ_TTE - QUILMES TTE</v>
          </cell>
          <cell r="AC436" t="str">
            <v>CMQ_TTE - QUILMES TTE</v>
          </cell>
          <cell r="AD436" t="str">
            <v>CMQ_TTE - QUILMES TTE</v>
          </cell>
          <cell r="AE436" t="str">
            <v>CMQ_TTE - QUILMES TTE</v>
          </cell>
          <cell r="AF436" t="str">
            <v>CMQ_TTE - QUILMES TTE</v>
          </cell>
          <cell r="AG436" t="str">
            <v>CMQ_TTE - QUILMES TTE</v>
          </cell>
          <cell r="AH436" t="str">
            <v>CMQ_TTE - QUILMES TTE</v>
          </cell>
          <cell r="AI436" t="str">
            <v>CMQ_TTE - QUILMES TTE</v>
          </cell>
          <cell r="AJ436" t="str">
            <v>CMQ_TTE - QUILMES TTE</v>
          </cell>
          <cell r="AK436" t="str">
            <v>CMQ_TTE - QUILMES TTE</v>
          </cell>
          <cell r="AL436" t="str">
            <v>CMQ_TTE - QUILMES TTE</v>
          </cell>
          <cell r="AM436" t="str">
            <v>CMQ_TTE - QUILMES TTE</v>
          </cell>
          <cell r="AN436" t="str">
            <v>CMQ_TTE - QUILMES TTE</v>
          </cell>
          <cell r="AO436" t="str">
            <v>CMQ_TTE - QUILMES TTE</v>
          </cell>
          <cell r="AP436" t="str">
            <v>CMQ_TTE - QUILMES TTE</v>
          </cell>
          <cell r="AQ436" t="str">
            <v>CMQ_TTE - QUILMES TTE</v>
          </cell>
          <cell r="AR436" t="str">
            <v>CMQ_TTE - QUILMES TTE</v>
          </cell>
          <cell r="AS436" t="str">
            <v>CMQ_TTE - QUILMES TTE</v>
          </cell>
          <cell r="AT436" t="str">
            <v>CMQ_TTE - QUILMES TTE</v>
          </cell>
          <cell r="AU436" t="str">
            <v>CMQ_TTE - QUILMES TTE</v>
          </cell>
          <cell r="AV436" t="str">
            <v>CMQ_TTE - QUILMES TTE</v>
          </cell>
          <cell r="AW436" t="str">
            <v>CMQ_TTE - QUILMES TTE</v>
          </cell>
          <cell r="AX436" t="str">
            <v>INACTIVO</v>
          </cell>
          <cell r="AY436" t="str">
            <v>INACTIVO</v>
          </cell>
          <cell r="AZ436" t="str">
            <v>INACTIVO</v>
          </cell>
          <cell r="BA436" t="str">
            <v>INACTIVO</v>
          </cell>
          <cell r="BB436" t="str">
            <v>INACTIVO</v>
          </cell>
          <cell r="BC436" t="str">
            <v>INACTIVO</v>
          </cell>
          <cell r="BD436" t="str">
            <v>INACTIVO</v>
          </cell>
          <cell r="BE436" t="str">
            <v>INACTIVO</v>
          </cell>
          <cell r="BF436" t="str">
            <v>INACTIVO</v>
          </cell>
          <cell r="BG436" t="str">
            <v>INACTIVO</v>
          </cell>
          <cell r="BH436" t="str">
            <v>INACTIVO</v>
          </cell>
          <cell r="BI436" t="str">
            <v>INACTIVO</v>
          </cell>
          <cell r="BJ436" t="str">
            <v>INACTIVO</v>
          </cell>
          <cell r="BK436" t="str">
            <v>INACTIVO</v>
          </cell>
          <cell r="BL436" t="str">
            <v>INACTIVO</v>
          </cell>
          <cell r="BM436" t="str">
            <v>INACTIVO</v>
          </cell>
          <cell r="BN436" t="str">
            <v>INACTIVO</v>
          </cell>
          <cell r="BO436" t="str">
            <v>INACTIVO</v>
          </cell>
          <cell r="BP436" t="str">
            <v>INACTIVO</v>
          </cell>
          <cell r="BQ436" t="str">
            <v>INACTIVO</v>
          </cell>
          <cell r="BR436" t="str">
            <v>INACTIVO</v>
          </cell>
          <cell r="BS436" t="str">
            <v>INACTIVO</v>
          </cell>
          <cell r="BT436" t="str">
            <v>INACTIVO</v>
          </cell>
          <cell r="BU436" t="str">
            <v>INACTIVO</v>
          </cell>
          <cell r="BV436" t="str">
            <v>INACTIVO</v>
          </cell>
          <cell r="BW436" t="str">
            <v>INACTIVO</v>
          </cell>
          <cell r="BX436" t="str">
            <v>INACTIVO</v>
          </cell>
          <cell r="BY436" t="str">
            <v>INACTIVO</v>
          </cell>
          <cell r="BZ436" t="str">
            <v>INACTIVO</v>
          </cell>
          <cell r="CA436" t="str">
            <v>INACTIVO</v>
          </cell>
          <cell r="CB436" t="str">
            <v>INACTIVO</v>
          </cell>
          <cell r="CC436" t="str">
            <v>BAJA</v>
          </cell>
          <cell r="CD436" t="str">
            <v>BAJA</v>
          </cell>
          <cell r="CE436" t="str">
            <v>BAJA</v>
          </cell>
          <cell r="CF436" t="str">
            <v>BAJA</v>
          </cell>
          <cell r="CG436" t="str">
            <v>BAJA</v>
          </cell>
          <cell r="CH436" t="str">
            <v>BAJA</v>
          </cell>
          <cell r="CI436" t="str">
            <v>BAJA</v>
          </cell>
          <cell r="CJ436" t="str">
            <v>BAJA</v>
          </cell>
          <cell r="CK436" t="str">
            <v>BAJA</v>
          </cell>
          <cell r="CL436" t="str">
            <v>BAJA</v>
          </cell>
          <cell r="CM436" t="str">
            <v>BAJA</v>
          </cell>
          <cell r="CN436" t="str">
            <v>BAJA</v>
          </cell>
          <cell r="CO436" t="str">
            <v>BAJA</v>
          </cell>
          <cell r="CP436" t="str">
            <v>BAJA</v>
          </cell>
          <cell r="CQ436" t="str">
            <v>BAJA</v>
          </cell>
          <cell r="CR436" t="str">
            <v>BAJA</v>
          </cell>
          <cell r="CS436" t="str">
            <v>BAJA</v>
          </cell>
          <cell r="CT436" t="str">
            <v>BAJA</v>
          </cell>
          <cell r="CU436" t="str">
            <v>BAJA</v>
          </cell>
          <cell r="CV436" t="str">
            <v>BAJA</v>
          </cell>
          <cell r="CW436" t="str">
            <v>BAJA</v>
          </cell>
        </row>
        <row r="437">
          <cell r="D437" t="str">
            <v>RCS092</v>
          </cell>
          <cell r="E437" t="str">
            <v>Chasis</v>
          </cell>
          <cell r="F437" t="str">
            <v>Chasis</v>
          </cell>
          <cell r="G437" t="str">
            <v>Chasis</v>
          </cell>
          <cell r="N437" t="str">
            <v>CODYLSA</v>
          </cell>
          <cell r="O437" t="str">
            <v>CODYLSA</v>
          </cell>
          <cell r="P437" t="str">
            <v>No</v>
          </cell>
          <cell r="Q437" t="str">
            <v>Propio</v>
          </cell>
          <cell r="R437" t="str">
            <v>-</v>
          </cell>
          <cell r="S437" t="str">
            <v>Propio</v>
          </cell>
          <cell r="T437" t="str">
            <v>MERCEDES BENZ</v>
          </cell>
          <cell r="U437">
            <v>913</v>
          </cell>
          <cell r="V437">
            <v>374950771195379</v>
          </cell>
          <cell r="W437" t="str">
            <v>9BM688129PB983161</v>
          </cell>
          <cell r="X437">
            <v>1993</v>
          </cell>
          <cell r="Y437">
            <v>33</v>
          </cell>
          <cell r="Z437" t="str">
            <v>Danone Alianza</v>
          </cell>
          <cell r="AA437" t="str">
            <v>ADA_Mino - Danone Arg. S.A. - Mino</v>
          </cell>
          <cell r="AB437" t="str">
            <v>ADA_Mino - Danone Arg. S.A. - Mino</v>
          </cell>
          <cell r="AC437" t="str">
            <v>ADA_Mino - Danone Arg. S.A. - Mino</v>
          </cell>
          <cell r="AD437" t="str">
            <v>ADA_Mino - Danone Arg. S.A. - Mino</v>
          </cell>
          <cell r="AE437" t="str">
            <v>ADA_Mino - Danone Arg. S.A. - Mino</v>
          </cell>
          <cell r="AF437" t="str">
            <v>ADA_Mino - Danone Arg. S.A. - Mino</v>
          </cell>
          <cell r="AG437" t="str">
            <v>ADA_Mino - Danone Arg. S.A. - Mino</v>
          </cell>
          <cell r="AH437" t="str">
            <v>ADA_Mino - Danone Arg. S.A. - Mino</v>
          </cell>
          <cell r="AI437" t="str">
            <v>ADA_Mino - Danone Arg. S.A. - Mino</v>
          </cell>
          <cell r="AJ437" t="str">
            <v>ADA_Mino - Danone Arg. S.A. - Mino</v>
          </cell>
          <cell r="AK437" t="str">
            <v>ADA_Mino - Danone Arg. S.A. - Mino</v>
          </cell>
          <cell r="AL437" t="str">
            <v>ADA_Mino - Danone Arg. S.A. - Mino</v>
          </cell>
          <cell r="AM437" t="str">
            <v>ADA_Mino - Danone Arg. S.A. - Mino</v>
          </cell>
          <cell r="AN437" t="str">
            <v>ADA_Mino - Danone Arg. S.A. - Mino</v>
          </cell>
          <cell r="AO437" t="str">
            <v>ADA_Mino - Danone Arg. S.A. - Mino</v>
          </cell>
          <cell r="AP437" t="str">
            <v>ADA_Mino - Danone Arg. S.A. - Mino</v>
          </cell>
          <cell r="AQ437" t="str">
            <v>ADA_Mino - Danone Arg. S.A. - Mino</v>
          </cell>
          <cell r="AR437" t="str">
            <v>ADA_Mino - Danone Arg. S.A. - Mino</v>
          </cell>
          <cell r="AS437" t="str">
            <v>ADA_Mino - Danone Arg. S.A. - Mino</v>
          </cell>
          <cell r="AT437" t="str">
            <v>ADA_Mino - Danone Arg. S.A. - Mino</v>
          </cell>
          <cell r="AU437" t="str">
            <v>ADA_Mino - Danone Arg. S.A. - Mino</v>
          </cell>
          <cell r="AV437" t="str">
            <v>ADA_Mino - Danone Arg. S.A. - Mino</v>
          </cell>
          <cell r="AW437" t="str">
            <v>ADA_Mino - Danone Arg. S.A. - Mino</v>
          </cell>
          <cell r="AX437" t="str">
            <v>ADA_Mino - Danone Arg. S.A. - Mino</v>
          </cell>
          <cell r="AY437" t="str">
            <v>ADA_Mino - Danone Arg. S.A. - Mino</v>
          </cell>
          <cell r="AZ437" t="str">
            <v>ADA_Mino - Danone Arg. S.A. - Mino</v>
          </cell>
          <cell r="BA437" t="str">
            <v>ADA_Mino - Danone Arg. S.A. - Mino</v>
          </cell>
          <cell r="BB437" t="str">
            <v>ADA_Mino - Danone Arg. S.A. - Mino</v>
          </cell>
          <cell r="BC437" t="str">
            <v>ADA_Mino - Danone Arg. S.A. - Mino</v>
          </cell>
          <cell r="BD437" t="str">
            <v>ADA_Mino - Danone Arg. S.A. - Mino</v>
          </cell>
          <cell r="BE437" t="str">
            <v>ADA_Mino - Danone Arg. S.A. - Mino</v>
          </cell>
          <cell r="BF437" t="str">
            <v>ADA_Mino - Danone Arg. S.A. - Mino</v>
          </cell>
          <cell r="BG437" t="str">
            <v>ADA_Mino - Danone Arg. S.A. - Mino</v>
          </cell>
          <cell r="BH437" t="str">
            <v>ADA_Mino - Danone Arg. S.A. - Mino</v>
          </cell>
          <cell r="BI437" t="str">
            <v>ADA_Mino - Danone Arg. S.A. - Mino</v>
          </cell>
          <cell r="BJ437" t="str">
            <v>ADA_Mino - Danone Arg. S.A. - Mino</v>
          </cell>
          <cell r="BK437" t="str">
            <v>ADA_Mino - Danone Arg. S.A. - Mino</v>
          </cell>
          <cell r="BL437" t="str">
            <v>ADA_Mino - Danone Arg. S.A. - Mino</v>
          </cell>
          <cell r="BM437" t="str">
            <v>ADA_Mino - Danone Arg. S.A. - Mino</v>
          </cell>
          <cell r="BN437" t="str">
            <v>ADA_Mino - Danone Arg. S.A. - Mino</v>
          </cell>
          <cell r="BO437" t="str">
            <v>ADA_Mino - Danone Arg. S.A. - Mino</v>
          </cell>
          <cell r="BP437" t="str">
            <v>ADA_Mino - Danone Arg. S.A. - Mino</v>
          </cell>
          <cell r="BQ437" t="str">
            <v>ADA_Mino - Danone Arg. S.A. - Mino</v>
          </cell>
          <cell r="BR437" t="str">
            <v>ADA_Mino - Danone Arg. S.A. - Mino</v>
          </cell>
          <cell r="BS437" t="str">
            <v>ADA_Mino - Danone Arg. S.A. - Mino</v>
          </cell>
          <cell r="BT437" t="str">
            <v>ADA_Mino - Danone Arg. S.A. - Mino</v>
          </cell>
          <cell r="BU437" t="str">
            <v>CCUCoAZA</v>
          </cell>
          <cell r="BV437" t="str">
            <v>CCUCoAZA</v>
          </cell>
          <cell r="BW437" t="str">
            <v>CCUCoAZA</v>
          </cell>
          <cell r="BX437" t="str">
            <v>CCUCoAZA</v>
          </cell>
          <cell r="BY437" t="str">
            <v>Unilever - Unilever de Arg. S.A.</v>
          </cell>
          <cell r="BZ437" t="str">
            <v>Unilever - Unilever de Arg. S.A.</v>
          </cell>
          <cell r="CA437" t="str">
            <v>INACTIVO</v>
          </cell>
          <cell r="CB437" t="str">
            <v>INACTIVO</v>
          </cell>
          <cell r="CC437" t="str">
            <v>INACTIVO</v>
          </cell>
          <cell r="CD437" t="str">
            <v>INACTIVO</v>
          </cell>
          <cell r="CE437" t="str">
            <v>INACTIVO</v>
          </cell>
          <cell r="CF437" t="str">
            <v>INACTIVO</v>
          </cell>
          <cell r="CG437" t="str">
            <v>INACTIVO</v>
          </cell>
          <cell r="CH437" t="str">
            <v>BAJA</v>
          </cell>
          <cell r="CI437" t="str">
            <v>BAJA</v>
          </cell>
          <cell r="CJ437" t="str">
            <v>BAJA</v>
          </cell>
          <cell r="CK437" t="str">
            <v>BAJA</v>
          </cell>
          <cell r="CL437" t="str">
            <v>BAJA</v>
          </cell>
          <cell r="CM437" t="str">
            <v>BAJA</v>
          </cell>
          <cell r="CN437" t="str">
            <v>BAJA</v>
          </cell>
          <cell r="CO437" t="str">
            <v>BAJA</v>
          </cell>
          <cell r="CP437" t="str">
            <v>BAJA</v>
          </cell>
          <cell r="CQ437" t="str">
            <v>BAJA</v>
          </cell>
          <cell r="CR437" t="str">
            <v>BAJA</v>
          </cell>
          <cell r="CS437" t="str">
            <v>BAJA</v>
          </cell>
          <cell r="CT437" t="str">
            <v>BAJA</v>
          </cell>
          <cell r="CU437" t="str">
            <v>BAJA</v>
          </cell>
          <cell r="CV437" t="str">
            <v>BAJA</v>
          </cell>
          <cell r="CW437" t="str">
            <v>BAJA</v>
          </cell>
        </row>
        <row r="438">
          <cell r="D438" t="str">
            <v>RCS097</v>
          </cell>
          <cell r="E438" t="str">
            <v>Chasis</v>
          </cell>
          <cell r="F438" t="str">
            <v>Chasis</v>
          </cell>
          <cell r="G438" t="str">
            <v>Chasis</v>
          </cell>
          <cell r="N438" t="str">
            <v>CODYLSA</v>
          </cell>
          <cell r="O438" t="str">
            <v>CODYLSA</v>
          </cell>
          <cell r="P438" t="str">
            <v>No</v>
          </cell>
          <cell r="Q438" t="str">
            <v>Propio</v>
          </cell>
          <cell r="R438">
            <v>8</v>
          </cell>
          <cell r="S438" t="str">
            <v>Propio</v>
          </cell>
          <cell r="T438" t="str">
            <v>MERCEDES BENZ</v>
          </cell>
          <cell r="U438">
            <v>710</v>
          </cell>
          <cell r="V438">
            <v>37490510175297</v>
          </cell>
          <cell r="W438" t="str">
            <v>9BM688103PB966756</v>
          </cell>
          <cell r="X438">
            <v>1993</v>
          </cell>
          <cell r="Y438">
            <v>33</v>
          </cell>
          <cell r="Z438" t="str">
            <v>Danone Mendoza</v>
          </cell>
          <cell r="AA438" t="str">
            <v>ADA_MZA - Danone Arg. S.A. - MZA</v>
          </cell>
          <cell r="AB438" t="str">
            <v>ADA_MZA - Danone Arg. S.A. - MZA</v>
          </cell>
          <cell r="AC438" t="str">
            <v>ADA_MZA - Danone Arg. S.A. - MZA</v>
          </cell>
          <cell r="AD438" t="str">
            <v>ADA_MZA - Danone Arg. S.A. - MZA</v>
          </cell>
          <cell r="AE438" t="str">
            <v>ADA_MZA - Danone Arg. S.A. - MZA</v>
          </cell>
          <cell r="AF438" t="str">
            <v>ADA_MZA - Danone Arg. S.A. - MZA</v>
          </cell>
          <cell r="AG438" t="str">
            <v>ADA_MZA - Danone Arg. S.A. - MZA</v>
          </cell>
          <cell r="AH438" t="str">
            <v>ADA_MZA - Danone Arg. S.A. - MZA</v>
          </cell>
          <cell r="AI438" t="str">
            <v>ADA_MZA - Danone Arg. S.A. - MZA</v>
          </cell>
          <cell r="AJ438" t="str">
            <v>ADA_MZA - Danone Arg. S.A. - MZA</v>
          </cell>
          <cell r="AK438" t="str">
            <v>ADA_MZA - Danone Arg. S.A. - MZA</v>
          </cell>
          <cell r="AL438" t="str">
            <v>ADA_MZA - Danone Arg. S.A. - MZA</v>
          </cell>
          <cell r="AM438" t="str">
            <v>ADA_MZA - Danone Arg. S.A. - MZA</v>
          </cell>
          <cell r="AN438" t="str">
            <v>ADA_MZA - Danone Arg. S.A. - MZA</v>
          </cell>
          <cell r="AO438" t="str">
            <v>ADA_MZA - Danone Arg. S.A. - MZA</v>
          </cell>
          <cell r="AP438" t="str">
            <v>ADA_MZA - Danone Arg. S.A. - MZA</v>
          </cell>
          <cell r="AQ438" t="str">
            <v>ADA_MZA - Danone Arg. S.A. - MZA</v>
          </cell>
          <cell r="AR438" t="str">
            <v>ADA_MZA - Danone Arg. S.A. - MZA</v>
          </cell>
          <cell r="AS438" t="str">
            <v>ADA_MZA - Danone Arg. S.A. - MZA</v>
          </cell>
          <cell r="AT438" t="str">
            <v>ADA_MZA - Danone Arg. S.A. - MZA</v>
          </cell>
          <cell r="AU438" t="str">
            <v>ADA_MZA - Danone Arg. S.A. - MZA</v>
          </cell>
          <cell r="AV438" t="str">
            <v>ADA_MZA - Danone Arg. S.A. - MZA</v>
          </cell>
          <cell r="AW438" t="str">
            <v>ADA_MZA - Danone Arg. S.A. - MZA</v>
          </cell>
          <cell r="AX438" t="str">
            <v>ADA_MZA - Danone Arg. S.A. - MZA</v>
          </cell>
          <cell r="AY438" t="str">
            <v>ADA_MZA - Danone Arg. S.A. - MZA</v>
          </cell>
          <cell r="AZ438" t="str">
            <v>ADA_MZA - Danone Arg. S.A. - MZA</v>
          </cell>
          <cell r="BA438" t="str">
            <v>ADA_MZA - Danone Arg. S.A. - MZA</v>
          </cell>
          <cell r="BB438" t="str">
            <v>ADA_MZA - Danone Arg. S.A. - MZA</v>
          </cell>
          <cell r="BC438" t="str">
            <v>ADA_MZA - Danone Arg. S.A. - MZA</v>
          </cell>
          <cell r="BD438" t="str">
            <v>ADA_MZA - Danone Arg. S.A. - MZA</v>
          </cell>
          <cell r="BE438" t="str">
            <v>ADA_MZA - Danone Arg. S.A. - MZA</v>
          </cell>
          <cell r="BF438" t="str">
            <v>ADA_MZA - Danone Arg. S.A. - MZA</v>
          </cell>
          <cell r="BG438" t="str">
            <v>ADA_MZA - Danone Arg. S.A. - MZA</v>
          </cell>
          <cell r="BH438" t="str">
            <v>SUC_MEN - Sucursal Mendoza</v>
          </cell>
          <cell r="BI438" t="str">
            <v>SUC_MEN - Sucursal Mendoza</v>
          </cell>
          <cell r="BJ438" t="str">
            <v>SUC_MEN - Sucursal Mendoza</v>
          </cell>
          <cell r="BK438" t="str">
            <v>SUC_MEN - Sucursal Mendoza</v>
          </cell>
          <cell r="BL438" t="str">
            <v>SUC_MEN - Sucursal Mendoza</v>
          </cell>
          <cell r="BM438" t="str">
            <v>SUC_MEN - Sucursal Mendoza</v>
          </cell>
          <cell r="BN438" t="str">
            <v>SUC_REA - Sucursal Realicó</v>
          </cell>
          <cell r="BO438" t="str">
            <v>SUC_REA - Sucursal Realicó</v>
          </cell>
          <cell r="BP438" t="str">
            <v>SUC_REA - Sucursal Realicó</v>
          </cell>
          <cell r="BQ438" t="str">
            <v>SUC_REA - Sucursal Realicó</v>
          </cell>
          <cell r="BR438" t="str">
            <v>SUC_REA - Sucursal Realicó</v>
          </cell>
          <cell r="BS438" t="str">
            <v>SUC_REA - Sucursal Realicó</v>
          </cell>
          <cell r="BT438" t="str">
            <v>SUC_GAL - Sucursal General Alvear</v>
          </cell>
          <cell r="BU438" t="str">
            <v>SUC_GAL - Sucursal General Alvear</v>
          </cell>
          <cell r="BV438" t="str">
            <v>SUC_SRA - Sucursal San Rafael</v>
          </cell>
          <cell r="BW438" t="str">
            <v>SUC_SRA - Sucursal San Rafael</v>
          </cell>
          <cell r="BX438" t="str">
            <v>SUC_MAL - Sucursal Malargüe</v>
          </cell>
          <cell r="BY438" t="str">
            <v>SUC_MAL - Sucursal Malargüe</v>
          </cell>
          <cell r="BZ438" t="str">
            <v>SUC_MAL - Sucursal Malargüe</v>
          </cell>
          <cell r="CA438" t="str">
            <v>SUC_SRA - Sucursal San Rafael</v>
          </cell>
          <cell r="CB438" t="str">
            <v>SUC_SRA - Sucursal San Rafael</v>
          </cell>
          <cell r="CC438" t="str">
            <v>SUC_SRA - Sucursal San Rafael</v>
          </cell>
          <cell r="CD438" t="str">
            <v>SUC_SRA - Sucursal San Rafael</v>
          </cell>
          <cell r="CE438" t="str">
            <v>SUC_SRA - Sucursal San Rafael</v>
          </cell>
          <cell r="CF438" t="str">
            <v>SUC_SRA - Sucursal San Rafael</v>
          </cell>
          <cell r="CG438" t="str">
            <v>SUC_SRA - Sucursal San Rafael</v>
          </cell>
          <cell r="CH438" t="str">
            <v>SUC_SRA - Sucursal San Rafael</v>
          </cell>
          <cell r="CI438" t="str">
            <v>SUC_SRA - Sucursal San Rafael</v>
          </cell>
          <cell r="CJ438" t="str">
            <v>SUC_SRA - Sucursal San Rafael</v>
          </cell>
          <cell r="CK438" t="str">
            <v>SUC_SRA - Sucursal San Rafael</v>
          </cell>
          <cell r="CL438" t="str">
            <v>SUC_SRA - Sucursal San Rafael</v>
          </cell>
          <cell r="CM438" t="str">
            <v>SUC_SRA - Sucursal San Rafael</v>
          </cell>
          <cell r="CN438" t="str">
            <v>SUC_SRA - Sucursal San Rafael</v>
          </cell>
          <cell r="CO438" t="str">
            <v>SUC_SRA - Sucursal San Rafael</v>
          </cell>
          <cell r="CP438" t="str">
            <v>SUC_SRA - Sucursal San Rafael</v>
          </cell>
          <cell r="CQ438" t="str">
            <v>SUC_SRA - Sucursal San Rafael</v>
          </cell>
          <cell r="CR438" t="str">
            <v>SUC_SRA - Sucursal San Rafael</v>
          </cell>
          <cell r="CS438" t="str">
            <v>SUC_SRA - Sucursal San Rafael</v>
          </cell>
          <cell r="CT438" t="str">
            <v>SUC_SRA - Sucursal San Rafael</v>
          </cell>
          <cell r="CU438" t="str">
            <v>SUC_SRA - Sucursal San Rafael</v>
          </cell>
          <cell r="CV438" t="str">
            <v>SUC_SRA - Sucursal San Rafael</v>
          </cell>
          <cell r="CW438" t="str">
            <v>SUC_SRA - Sucursal San Rafael</v>
          </cell>
        </row>
        <row r="439">
          <cell r="D439" t="str">
            <v>RLD364</v>
          </cell>
          <cell r="E439" t="str">
            <v>Chasis</v>
          </cell>
          <cell r="F439">
            <v>0</v>
          </cell>
          <cell r="G439" t="str">
            <v>Balancin</v>
          </cell>
          <cell r="N439" t="str">
            <v>FLORES ALBERTO EZEQUIEL</v>
          </cell>
          <cell r="O439" t="str">
            <v>FLORES ALBERTO EZEQUIEL</v>
          </cell>
          <cell r="P439" t="str">
            <v>No</v>
          </cell>
          <cell r="Q439" t="str">
            <v>De Tercero</v>
          </cell>
          <cell r="R439" t="str">
            <v>-</v>
          </cell>
          <cell r="S439" t="str">
            <v>De Tercero</v>
          </cell>
          <cell r="T439" t="str">
            <v>MERCEDES BENZ</v>
          </cell>
          <cell r="U439">
            <v>1316</v>
          </cell>
          <cell r="V439">
            <v>1994</v>
          </cell>
          <cell r="W439">
            <v>32</v>
          </cell>
          <cell r="X439">
            <v>1994</v>
          </cell>
          <cell r="Y439">
            <v>32</v>
          </cell>
          <cell r="Z439" t="str">
            <v>TDU</v>
          </cell>
          <cell r="AA439" t="str">
            <v>AGN_TTE - AGUANORT - Transporte</v>
          </cell>
          <cell r="AB439" t="str">
            <v>CMQ_TTE - QUILMES TTE</v>
          </cell>
          <cell r="AC439" t="str">
            <v>CMQ_TTE - QUILMES TTE</v>
          </cell>
          <cell r="AD439" t="str">
            <v>CMQ_TTE - QUILMES TTE</v>
          </cell>
          <cell r="AE439" t="str">
            <v>CMQ_TTE - QUILMES TTE</v>
          </cell>
          <cell r="AF439" t="str">
            <v>CMQ_TTE - QUILMES TTE</v>
          </cell>
          <cell r="AG439" t="str">
            <v>CMQ_TTE - QUILMES TTE</v>
          </cell>
          <cell r="AH439" t="str">
            <v>CMQ_TTE - QUILMES TTE</v>
          </cell>
          <cell r="AI439" t="str">
            <v>CMQ_TTE - QUILMES TTE</v>
          </cell>
          <cell r="AJ439" t="str">
            <v>CMQ_TTE - QUILMES TTE</v>
          </cell>
          <cell r="AK439" t="str">
            <v>CMQ_TTE - QUILMES TTE</v>
          </cell>
          <cell r="AL439" t="str">
            <v>CMQ_TTE - QUILMES TTE</v>
          </cell>
          <cell r="AM439" t="str">
            <v>CMQ_TTE - QUILMES TTE</v>
          </cell>
          <cell r="AN439" t="str">
            <v>CMQ_TTE - QUILMES TTE</v>
          </cell>
          <cell r="AO439" t="str">
            <v>CMQ_TTE - QUILMES TTE</v>
          </cell>
          <cell r="AP439" t="str">
            <v>CMQ_TTE - QUILMES TTE</v>
          </cell>
          <cell r="AQ439" t="str">
            <v>CMQ_TTE - QUILMES TTE</v>
          </cell>
          <cell r="AR439" t="str">
            <v>CMQ_TTE - QUILMES TTE</v>
          </cell>
          <cell r="AS439" t="str">
            <v>CMQ_TTE - QUILMES TTE</v>
          </cell>
          <cell r="AT439" t="str">
            <v>CMQ_TTE - QUILMES TTE</v>
          </cell>
          <cell r="AU439" t="str">
            <v>CMQ_TTE - QUILMES TTE</v>
          </cell>
          <cell r="AV439" t="str">
            <v>CMQ_TTE - QUILMES TTE</v>
          </cell>
          <cell r="AW439" t="str">
            <v>CMQ_TTE - QUILMES TTE</v>
          </cell>
          <cell r="AX439" t="str">
            <v>INACTIVO</v>
          </cell>
          <cell r="AY439" t="str">
            <v>INACTIVO</v>
          </cell>
          <cell r="AZ439" t="str">
            <v>INACTIVO</v>
          </cell>
          <cell r="BA439" t="str">
            <v>INACTIVO</v>
          </cell>
          <cell r="BB439" t="str">
            <v>INACTIVO</v>
          </cell>
          <cell r="BC439" t="str">
            <v>INACTIVO</v>
          </cell>
          <cell r="BD439" t="str">
            <v>INACTIVO</v>
          </cell>
          <cell r="BE439" t="str">
            <v>INACTIVO</v>
          </cell>
          <cell r="BF439" t="str">
            <v>INACTIVO</v>
          </cell>
          <cell r="BG439" t="str">
            <v>INACTIVO</v>
          </cell>
          <cell r="BH439" t="str">
            <v>INACTIVO</v>
          </cell>
          <cell r="BI439" t="str">
            <v>INACTIVO</v>
          </cell>
          <cell r="BJ439" t="str">
            <v>INACTIVO</v>
          </cell>
          <cell r="BK439" t="str">
            <v>INACTIVO</v>
          </cell>
          <cell r="BL439" t="str">
            <v>INACTIVO</v>
          </cell>
          <cell r="BM439" t="str">
            <v>INACTIVO</v>
          </cell>
          <cell r="BN439" t="str">
            <v>INACTIVO</v>
          </cell>
          <cell r="BO439" t="str">
            <v>INACTIVO</v>
          </cell>
          <cell r="BP439" t="str">
            <v>INACTIVO</v>
          </cell>
          <cell r="BQ439" t="str">
            <v>INACTIVO</v>
          </cell>
          <cell r="BR439" t="str">
            <v>INACTIVO</v>
          </cell>
          <cell r="BS439" t="str">
            <v>INACTIVO</v>
          </cell>
          <cell r="BT439" t="str">
            <v>INACTIVO</v>
          </cell>
          <cell r="BU439" t="str">
            <v>INACTIVO</v>
          </cell>
          <cell r="BV439" t="str">
            <v>INACTIVO</v>
          </cell>
          <cell r="BW439" t="str">
            <v>INACTIVO</v>
          </cell>
          <cell r="BX439" t="str">
            <v>INACTIVO</v>
          </cell>
          <cell r="BY439" t="str">
            <v>INACTIVO</v>
          </cell>
          <cell r="BZ439" t="str">
            <v>INACTIVO</v>
          </cell>
          <cell r="CA439" t="str">
            <v>INACTIVO</v>
          </cell>
          <cell r="CB439" t="str">
            <v>INACTIVO</v>
          </cell>
          <cell r="CC439" t="str">
            <v>BAJA</v>
          </cell>
          <cell r="CD439" t="str">
            <v>BAJA</v>
          </cell>
          <cell r="CE439" t="str">
            <v>BAJA</v>
          </cell>
          <cell r="CF439" t="str">
            <v>BAJA</v>
          </cell>
          <cell r="CG439" t="str">
            <v>BAJA</v>
          </cell>
          <cell r="CH439" t="str">
            <v>BAJA</v>
          </cell>
          <cell r="CI439" t="str">
            <v>BAJA</v>
          </cell>
          <cell r="CJ439" t="str">
            <v>BAJA</v>
          </cell>
          <cell r="CK439" t="str">
            <v>BAJA</v>
          </cell>
          <cell r="CL439" t="str">
            <v>BAJA</v>
          </cell>
          <cell r="CM439" t="str">
            <v>BAJA</v>
          </cell>
          <cell r="CN439" t="str">
            <v>BAJA</v>
          </cell>
          <cell r="CO439" t="str">
            <v>BAJA</v>
          </cell>
          <cell r="CP439" t="str">
            <v>BAJA</v>
          </cell>
          <cell r="CQ439" t="str">
            <v>BAJA</v>
          </cell>
          <cell r="CR439" t="str">
            <v>BAJA</v>
          </cell>
          <cell r="CS439" t="str">
            <v>BAJA</v>
          </cell>
          <cell r="CT439" t="str">
            <v>BAJA</v>
          </cell>
          <cell r="CU439" t="str">
            <v>BAJA</v>
          </cell>
          <cell r="CV439" t="str">
            <v>BAJA</v>
          </cell>
          <cell r="CW439" t="str">
            <v>BAJA</v>
          </cell>
        </row>
        <row r="440">
          <cell r="D440" t="str">
            <v>RNO350</v>
          </cell>
          <cell r="E440" t="str">
            <v>CHASIS</v>
          </cell>
          <cell r="F440">
            <v>0</v>
          </cell>
          <cell r="G440" t="str">
            <v>Chasis</v>
          </cell>
          <cell r="N440" t="str">
            <v>BONIFACIO CRISTIAN HECTOR</v>
          </cell>
          <cell r="O440" t="str">
            <v>BONIFACIO CRISTIAN HECTOR</v>
          </cell>
          <cell r="P440" t="str">
            <v>No</v>
          </cell>
          <cell r="Q440" t="str">
            <v>De Tercero</v>
          </cell>
          <cell r="R440" t="str">
            <v>-</v>
          </cell>
          <cell r="S440" t="str">
            <v>De Tercero</v>
          </cell>
          <cell r="T440" t="str">
            <v>CHEVROLET</v>
          </cell>
          <cell r="U440" t="str">
            <v>C60</v>
          </cell>
          <cell r="V440">
            <v>1971</v>
          </cell>
          <cell r="W440">
            <v>55</v>
          </cell>
          <cell r="X440">
            <v>1971</v>
          </cell>
          <cell r="Y440">
            <v>55</v>
          </cell>
          <cell r="Z440" t="str">
            <v>Malargue</v>
          </cell>
          <cell r="AA440" t="str">
            <v>Expreso - Servicios Troncales</v>
          </cell>
          <cell r="AB440" t="str">
            <v>Expreso - Servicios Troncales</v>
          </cell>
          <cell r="AC440" t="str">
            <v>Expreso - Servicios Troncales</v>
          </cell>
          <cell r="AD440" t="str">
            <v>Expreso - Servicios Troncales</v>
          </cell>
          <cell r="AE440" t="str">
            <v>Expreso - Servicios Troncales</v>
          </cell>
          <cell r="AF440" t="str">
            <v>Expreso - Servicios Troncales</v>
          </cell>
          <cell r="AG440" t="str">
            <v>Expreso - Servicios Troncales</v>
          </cell>
          <cell r="AH440" t="str">
            <v>Expreso - Servicios Troncales</v>
          </cell>
          <cell r="AI440" t="str">
            <v>Expreso - Servicios Troncales</v>
          </cell>
          <cell r="AJ440" t="str">
            <v>Expreso - Servicios Troncales</v>
          </cell>
          <cell r="AK440" t="str">
            <v>Expreso - Servicios Troncales</v>
          </cell>
          <cell r="AL440" t="str">
            <v>Expreso - Servicios Troncales</v>
          </cell>
          <cell r="AM440" t="str">
            <v>Expreso - Servicios Troncales</v>
          </cell>
          <cell r="AN440" t="str">
            <v>Expreso - Servicios Troncales</v>
          </cell>
          <cell r="AO440" t="str">
            <v>Expreso - Servicios Troncales</v>
          </cell>
          <cell r="AP440" t="str">
            <v>Expreso - Servicios Troncales</v>
          </cell>
          <cell r="AQ440" t="str">
            <v>Expreso - Servicios Troncales</v>
          </cell>
          <cell r="AR440" t="str">
            <v>Expreso - Servicios Troncales</v>
          </cell>
          <cell r="AS440" t="str">
            <v>Expreso - Servicios Troncales</v>
          </cell>
          <cell r="AT440" t="str">
            <v>Expreso - Servicios Troncales</v>
          </cell>
          <cell r="AU440" t="str">
            <v>Expreso - Servicios Troncales</v>
          </cell>
          <cell r="AV440" t="str">
            <v>Expreso - Servicios Troncales</v>
          </cell>
          <cell r="AW440" t="str">
            <v>Expreso - Servicios Troncales</v>
          </cell>
          <cell r="AX440" t="str">
            <v>Expreso - Servicios Troncales</v>
          </cell>
          <cell r="AY440" t="str">
            <v>Expreso - Servicios Troncales</v>
          </cell>
          <cell r="AZ440" t="str">
            <v>Expreso - Servicios Troncales</v>
          </cell>
          <cell r="BA440" t="str">
            <v>Expreso - Servicios Troncales</v>
          </cell>
          <cell r="BB440" t="str">
            <v>Expreso - Servicios Troncales</v>
          </cell>
          <cell r="BC440" t="str">
            <v>Expreso - Servicios Troncales</v>
          </cell>
          <cell r="BD440" t="str">
            <v>SUC_ROS - Sucursal Rosario</v>
          </cell>
          <cell r="BE440" t="str">
            <v>SUC_ROS - Sucursal Rosario</v>
          </cell>
          <cell r="BF440" t="str">
            <v>SUC_ROS - Sucursal Rosario</v>
          </cell>
          <cell r="BG440" t="str">
            <v>SUC_ROS - Sucursal Rosario</v>
          </cell>
          <cell r="BH440" t="str">
            <v>SUC_ROS - Sucursal Rosario</v>
          </cell>
          <cell r="BI440" t="str">
            <v>SUC_ROS - Sucursal Rosario</v>
          </cell>
          <cell r="BJ440" t="str">
            <v>SUC_ROS - Sucursal Rosario</v>
          </cell>
          <cell r="BK440" t="str">
            <v>SUC_ROS - Sucursal Rosario</v>
          </cell>
          <cell r="BL440" t="str">
            <v>SUC_ROS - Sucursal Rosario</v>
          </cell>
          <cell r="BM440" t="str">
            <v>SUC_ROS - Sucursal Rosario</v>
          </cell>
          <cell r="BN440" t="str">
            <v>SUC_ROS - Sucursal Rosario</v>
          </cell>
          <cell r="BO440" t="str">
            <v>SUC_ROS - Sucursal Rosario</v>
          </cell>
          <cell r="BP440" t="str">
            <v>SUC_ROS - Sucursal Rosario</v>
          </cell>
          <cell r="BQ440" t="str">
            <v>SUC_ROS - Sucursal Rosario</v>
          </cell>
          <cell r="BR440" t="str">
            <v>SUC_ROS - Sucursal Rosario</v>
          </cell>
          <cell r="BS440" t="str">
            <v>SUC_ROS - Sucursal Rosario</v>
          </cell>
          <cell r="BT440" t="str">
            <v>SUC_ROS - Sucursal Rosario</v>
          </cell>
          <cell r="BU440" t="str">
            <v>SUC_ROS - Sucursal Rosario</v>
          </cell>
          <cell r="BV440" t="str">
            <v>SUC_ROS - Sucursal Rosario</v>
          </cell>
          <cell r="BW440" t="str">
            <v>SUC_ROS - Sucursal Rosario</v>
          </cell>
          <cell r="BX440" t="str">
            <v>SUC_ROS - Sucursal Rosario</v>
          </cell>
          <cell r="BY440" t="str">
            <v>SUC_ROS - Sucursal Rosario</v>
          </cell>
          <cell r="BZ440" t="str">
            <v>SUC_ROS - Sucursal Rosario</v>
          </cell>
          <cell r="CA440" t="str">
            <v>SUC_ROS - Sucursal Rosario</v>
          </cell>
          <cell r="CB440" t="str">
            <v>SUC_ROS - Sucursal Rosario</v>
          </cell>
          <cell r="CC440" t="str">
            <v>SUC_ROS - Sucursal Rosario</v>
          </cell>
          <cell r="CD440" t="str">
            <v>SUC_ROS - Sucursal Rosario</v>
          </cell>
          <cell r="CE440" t="str">
            <v>SUC_ROS - Sucursal Rosario</v>
          </cell>
          <cell r="CF440" t="str">
            <v>SUC_ROS - Sucursal Rosario</v>
          </cell>
          <cell r="CG440" t="str">
            <v>SUC_ROS - Sucursal Rosario</v>
          </cell>
          <cell r="CH440" t="str">
            <v>SUC_ROS - Sucursal Rosario</v>
          </cell>
          <cell r="CI440" t="str">
            <v>SUC_ROS - Sucursal Rosario</v>
          </cell>
          <cell r="CJ440" t="str">
            <v>SUC_ROS - Sucursal Rosario</v>
          </cell>
          <cell r="CK440" t="str">
            <v>SUC_ROS - Sucursal Rosario</v>
          </cell>
          <cell r="CL440" t="str">
            <v>SUC_ROS - Sucursal Rosario</v>
          </cell>
          <cell r="CM440" t="str">
            <v>SUC_ROS - Sucursal Rosario</v>
          </cell>
          <cell r="CN440" t="str">
            <v>SUC_ROS - Sucursal Rosario</v>
          </cell>
          <cell r="CO440" t="str">
            <v>SUC_ROS - Sucursal Rosario</v>
          </cell>
          <cell r="CP440" t="str">
            <v>SUC_ROS - Sucursal Rosario</v>
          </cell>
          <cell r="CQ440" t="str">
            <v>SUC_ROS - Sucursal Rosario</v>
          </cell>
          <cell r="CR440" t="str">
            <v>SUC_ROS - Sucursal Rosario</v>
          </cell>
          <cell r="CS440" t="str">
            <v>SUC_ROS - Sucursal Rosario</v>
          </cell>
          <cell r="CT440" t="str">
            <v>SUC_ROS - Sucursal Rosario</v>
          </cell>
          <cell r="CU440" t="str">
            <v>SUC_ROS - Sucursal Rosario</v>
          </cell>
          <cell r="CV440" t="str">
            <v>SUC_ROS - Sucursal Rosario</v>
          </cell>
          <cell r="CW440" t="str">
            <v>SUC_ROS - Sucursal Rosario</v>
          </cell>
        </row>
        <row r="441">
          <cell r="D441" t="str">
            <v>RNX412</v>
          </cell>
          <cell r="E441" t="str">
            <v>Tractor</v>
          </cell>
          <cell r="F441" t="str">
            <v>Tractor</v>
          </cell>
          <cell r="G441" t="str">
            <v>Tractor</v>
          </cell>
          <cell r="N441" t="str">
            <v>Expreso Malargüe S. A.</v>
          </cell>
          <cell r="O441" t="str">
            <v>Expreso Malargüe S. A.</v>
          </cell>
          <cell r="P441" t="str">
            <v>No</v>
          </cell>
          <cell r="Q441" t="str">
            <v>Propio</v>
          </cell>
          <cell r="R441" t="str">
            <v>-</v>
          </cell>
          <cell r="S441" t="str">
            <v>Propio</v>
          </cell>
          <cell r="T441" t="str">
            <v>MERCEDES BENZ</v>
          </cell>
          <cell r="U441" t="str">
            <v>1633</v>
          </cell>
          <cell r="V441" t="str">
            <v>B44274</v>
          </cell>
          <cell r="W441" t="str">
            <v>9BM386058NB.961436</v>
          </cell>
          <cell r="X441">
            <v>1993</v>
          </cell>
          <cell r="Y441">
            <v>33</v>
          </cell>
          <cell r="Z441" t="str">
            <v>Malargue</v>
          </cell>
          <cell r="AA441" t="str">
            <v>Expreso - Servicios Troncales</v>
          </cell>
          <cell r="AB441" t="str">
            <v>Expreso - Servicios Troncales</v>
          </cell>
          <cell r="AC441" t="str">
            <v>Expreso - Servicios Troncales</v>
          </cell>
          <cell r="AD441" t="str">
            <v>Expreso - Servicios Troncales</v>
          </cell>
          <cell r="AE441" t="str">
            <v>Expreso - Servicios Troncales</v>
          </cell>
          <cell r="AF441" t="str">
            <v>Expreso - Servicios Troncales</v>
          </cell>
          <cell r="AG441" t="str">
            <v>Expreso - Servicios Troncales</v>
          </cell>
          <cell r="AH441" t="str">
            <v>Expreso - Servicios Troncales</v>
          </cell>
          <cell r="AI441" t="str">
            <v>Expreso - Servicios Troncales</v>
          </cell>
          <cell r="AJ441" t="str">
            <v>Expreso - Servicios Troncales</v>
          </cell>
          <cell r="AK441" t="str">
            <v>Expreso - Servicios Troncales</v>
          </cell>
          <cell r="AL441" t="str">
            <v>Expreso - Servicios Troncales</v>
          </cell>
          <cell r="AM441" t="str">
            <v>Expreso - Servicios Troncales</v>
          </cell>
          <cell r="AN441" t="str">
            <v>Expreso - Servicios Troncales</v>
          </cell>
          <cell r="AO441" t="str">
            <v>Expreso - Servicios Troncales</v>
          </cell>
          <cell r="AP441" t="str">
            <v>Expreso - Servicios Troncales</v>
          </cell>
          <cell r="AQ441" t="str">
            <v>Expreso - Servicios Troncales</v>
          </cell>
          <cell r="AR441" t="str">
            <v>Expreso - Servicios Troncales</v>
          </cell>
          <cell r="AS441" t="str">
            <v>Expreso - Servicios Troncales</v>
          </cell>
          <cell r="AT441" t="str">
            <v>Expreso - Servicios Troncales</v>
          </cell>
          <cell r="AU441" t="str">
            <v>Expreso - Servicios Troncales</v>
          </cell>
          <cell r="AV441" t="str">
            <v>Expreso - Servicios Troncales</v>
          </cell>
          <cell r="AW441" t="str">
            <v>Expreso - Servicios Troncales</v>
          </cell>
          <cell r="AX441" t="str">
            <v>Expreso - Servicios Troncales</v>
          </cell>
          <cell r="AY441" t="str">
            <v>Expreso - Servicios Troncales</v>
          </cell>
          <cell r="AZ441" t="str">
            <v>Expreso - Servicios Troncales</v>
          </cell>
          <cell r="BA441" t="str">
            <v>Expreso - Servicios Troncales</v>
          </cell>
          <cell r="BB441" t="str">
            <v>Expreso - Servicios Troncales</v>
          </cell>
          <cell r="BC441" t="str">
            <v>Expreso - Servicios Troncales</v>
          </cell>
          <cell r="BD441" t="str">
            <v>SUC_SLU - Sucursal San Luis</v>
          </cell>
          <cell r="BE441" t="str">
            <v>SUC_SLU - Sucursal San Luis</v>
          </cell>
          <cell r="BF441" t="str">
            <v>SUC_SLU - Sucursal San Luis</v>
          </cell>
          <cell r="BG441" t="str">
            <v>SUC_SLU - Sucursal San Luis</v>
          </cell>
          <cell r="BH441" t="str">
            <v>SUC_SLU - Sucursal San Luis</v>
          </cell>
          <cell r="BI441" t="str">
            <v>SUC_SLU - Sucursal San Luis</v>
          </cell>
          <cell r="BJ441" t="str">
            <v>SUC_SLU - Sucursal San Luis</v>
          </cell>
          <cell r="BK441" t="str">
            <v>SUC_SLU - Sucursal San Luis</v>
          </cell>
          <cell r="BL441" t="str">
            <v>SUC_SLU - Sucursal San Luis</v>
          </cell>
          <cell r="BM441" t="str">
            <v>SUC_SLU - Sucursal San Luis</v>
          </cell>
          <cell r="BN441" t="str">
            <v>SUC_SLU - Sucursal San Luis</v>
          </cell>
          <cell r="BO441" t="str">
            <v>SUC_SLU - Sucursal San Luis</v>
          </cell>
          <cell r="BP441" t="str">
            <v>SUC_SLU - Sucursal San Luis</v>
          </cell>
          <cell r="BQ441" t="str">
            <v>SUC_SLU - Sucursal San Luis</v>
          </cell>
          <cell r="BR441" t="str">
            <v>SUC_SLU - Sucursal San Luis</v>
          </cell>
          <cell r="BS441" t="str">
            <v>SUC_SLU - Sucursal San Luis</v>
          </cell>
          <cell r="BT441" t="str">
            <v>SUC_SLU - Sucursal San Luis</v>
          </cell>
          <cell r="BU441" t="str">
            <v>SUC_SLU - Sucursal San Luis</v>
          </cell>
          <cell r="BV441" t="str">
            <v>SUC_SLU - Sucursal San Luis</v>
          </cell>
          <cell r="BW441" t="str">
            <v>Expreso - Servicios Troncales</v>
          </cell>
          <cell r="BX441" t="str">
            <v>Expreso - Servicios Troncales</v>
          </cell>
          <cell r="BY441" t="str">
            <v>Expreso - Servicios Troncales</v>
          </cell>
          <cell r="BZ441" t="str">
            <v>Expreso - Servicios Troncales</v>
          </cell>
          <cell r="CA441" t="str">
            <v>Expreso - Servicios Troncales</v>
          </cell>
          <cell r="CB441" t="str">
            <v>Expreso - Servicios Troncales</v>
          </cell>
          <cell r="CC441" t="str">
            <v>Expreso - Servicios Troncales</v>
          </cell>
          <cell r="CD441" t="str">
            <v>Expreso - Servicios Troncales</v>
          </cell>
          <cell r="CE441" t="str">
            <v>Expreso - Servicios Troncales</v>
          </cell>
          <cell r="CF441" t="str">
            <v>Expreso - Servicios Troncales</v>
          </cell>
          <cell r="CG441" t="str">
            <v>Expreso - Servicios Troncales</v>
          </cell>
          <cell r="CH441" t="str">
            <v>Expreso - Servicios Troncales</v>
          </cell>
          <cell r="CI441" t="str">
            <v>Expreso - Servicios Troncales</v>
          </cell>
          <cell r="CJ441" t="str">
            <v>Expreso - Servicios Troncales</v>
          </cell>
          <cell r="CK441" t="str">
            <v>Expreso - Servicios Troncales</v>
          </cell>
          <cell r="CL441" t="str">
            <v>Expreso - Servicios Troncales</v>
          </cell>
          <cell r="CM441" t="str">
            <v>Expreso - Servicios Troncales</v>
          </cell>
          <cell r="CN441" t="str">
            <v>Expreso - Servicios Troncales</v>
          </cell>
          <cell r="CO441" t="str">
            <v>Expreso - Servicios Troncales</v>
          </cell>
          <cell r="CP441" t="str">
            <v>Expreso - Servicios Troncales</v>
          </cell>
          <cell r="CQ441" t="str">
            <v>Expreso - Servicios Troncales</v>
          </cell>
          <cell r="CR441" t="str">
            <v>Expreso - Servicios Troncales</v>
          </cell>
          <cell r="CS441" t="str">
            <v>Expreso - Servicios Troncales</v>
          </cell>
          <cell r="CT441" t="str">
            <v>Expreso - Servicios Troncales</v>
          </cell>
          <cell r="CU441" t="str">
            <v>Expreso - Servicios Troncales</v>
          </cell>
          <cell r="CV441" t="str">
            <v>Expreso - Servicios Troncales</v>
          </cell>
          <cell r="CW441" t="str">
            <v>Expreso - Servicios Troncales</v>
          </cell>
        </row>
        <row r="442">
          <cell r="D442" t="str">
            <v>ROC452</v>
          </cell>
          <cell r="E442" t="str">
            <v>Tractor</v>
          </cell>
          <cell r="F442">
            <v>0</v>
          </cell>
          <cell r="G442" t="str">
            <v>Tractor</v>
          </cell>
          <cell r="N442" t="str">
            <v>Campos Alfredo</v>
          </cell>
          <cell r="O442" t="str">
            <v>Campos Alfredo</v>
          </cell>
          <cell r="P442" t="str">
            <v>No</v>
          </cell>
          <cell r="Q442" t="str">
            <v>De Tercero</v>
          </cell>
          <cell r="R442" t="str">
            <v>-</v>
          </cell>
          <cell r="S442" t="str">
            <v>De Tercero</v>
          </cell>
          <cell r="T442" t="str">
            <v>SCANIA</v>
          </cell>
          <cell r="U442" t="str">
            <v>T 112H 4X2 42 DS 310 HP</v>
          </cell>
          <cell r="V442">
            <v>1989</v>
          </cell>
          <cell r="W442">
            <v>37</v>
          </cell>
          <cell r="X442">
            <v>1989</v>
          </cell>
          <cell r="Y442">
            <v>37</v>
          </cell>
          <cell r="Z442" t="str">
            <v>Malargue</v>
          </cell>
          <cell r="AA442" t="str">
            <v>Expreso - Servicios Troncales</v>
          </cell>
          <cell r="AB442" t="str">
            <v>Expreso - Servicios Troncales</v>
          </cell>
          <cell r="AC442" t="str">
            <v>Expreso - Servicios Troncales</v>
          </cell>
          <cell r="AD442" t="str">
            <v>Expreso - Servicios Troncales</v>
          </cell>
          <cell r="AE442" t="str">
            <v>Expreso - Servicios Troncales</v>
          </cell>
          <cell r="AF442" t="str">
            <v>Expreso - Servicios Troncales</v>
          </cell>
          <cell r="AG442" t="str">
            <v>Expreso - Servicios Troncales</v>
          </cell>
          <cell r="AH442" t="str">
            <v>Expreso - Servicios Troncales</v>
          </cell>
          <cell r="AI442" t="str">
            <v>Expreso - Servicios Troncales</v>
          </cell>
          <cell r="AJ442" t="str">
            <v>Expreso - Servicios Troncales</v>
          </cell>
          <cell r="AK442" t="str">
            <v>Expreso - Servicios Troncales</v>
          </cell>
          <cell r="AL442" t="str">
            <v>Expreso - Servicios Troncales</v>
          </cell>
          <cell r="AM442" t="str">
            <v>Expreso - Servicios Troncales</v>
          </cell>
          <cell r="AN442" t="str">
            <v>Expreso - Servicios Troncales</v>
          </cell>
          <cell r="AO442" t="str">
            <v>Expreso - Servicios Troncales</v>
          </cell>
          <cell r="AP442" t="str">
            <v>Expreso - Servicios Troncales</v>
          </cell>
          <cell r="AQ442" t="str">
            <v>Expreso - Servicios Troncales</v>
          </cell>
          <cell r="AR442" t="str">
            <v>Expreso - Servicios Troncales</v>
          </cell>
          <cell r="AS442" t="str">
            <v>Expreso - Servicios Troncales</v>
          </cell>
          <cell r="AT442" t="str">
            <v>Expreso - Servicios Troncales</v>
          </cell>
          <cell r="AU442" t="str">
            <v>Expreso - Servicios Troncales</v>
          </cell>
          <cell r="AV442" t="str">
            <v>Expreso - Servicios Troncales</v>
          </cell>
          <cell r="AW442" t="str">
            <v>Expreso - Servicios Troncales</v>
          </cell>
          <cell r="AX442" t="str">
            <v>INACTIVO</v>
          </cell>
          <cell r="AY442" t="str">
            <v>INACTIVO</v>
          </cell>
          <cell r="AZ442" t="str">
            <v>INACTIVO</v>
          </cell>
          <cell r="BA442" t="str">
            <v>INACTIVO</v>
          </cell>
          <cell r="BB442" t="str">
            <v>INACTIVO</v>
          </cell>
          <cell r="BC442" t="str">
            <v>INACTIVO</v>
          </cell>
          <cell r="BD442" t="str">
            <v>INACTIVO</v>
          </cell>
          <cell r="BE442" t="str">
            <v>INACTIVO</v>
          </cell>
          <cell r="BF442" t="str">
            <v>INACTIVO</v>
          </cell>
          <cell r="BG442" t="str">
            <v>INACTIVO</v>
          </cell>
          <cell r="BH442" t="str">
            <v>INACTIVO</v>
          </cell>
          <cell r="BI442" t="str">
            <v>INACTIVO</v>
          </cell>
          <cell r="BJ442" t="str">
            <v>INACTIVO</v>
          </cell>
          <cell r="BK442" t="str">
            <v>INACTIVO</v>
          </cell>
          <cell r="BL442" t="str">
            <v>INACTIVO</v>
          </cell>
          <cell r="BM442" t="str">
            <v>INACTIVO</v>
          </cell>
          <cell r="BN442" t="str">
            <v>INACTIVO</v>
          </cell>
          <cell r="BO442" t="str">
            <v>INACTIVO</v>
          </cell>
          <cell r="BP442" t="str">
            <v>INACTIVO</v>
          </cell>
          <cell r="BQ442" t="str">
            <v>INACTIVO</v>
          </cell>
          <cell r="BR442" t="str">
            <v>INACTIVO</v>
          </cell>
          <cell r="BS442" t="str">
            <v>INACTIVO</v>
          </cell>
          <cell r="BT442" t="str">
            <v>INACTIVO</v>
          </cell>
          <cell r="BU442" t="str">
            <v>INACTIVO</v>
          </cell>
          <cell r="BV442" t="str">
            <v>INACTIVO</v>
          </cell>
          <cell r="BW442" t="str">
            <v>INACTIVO</v>
          </cell>
          <cell r="BX442" t="str">
            <v>INACTIVO</v>
          </cell>
          <cell r="BY442" t="str">
            <v>INACTIVO</v>
          </cell>
          <cell r="BZ442" t="str">
            <v>INACTIVO</v>
          </cell>
          <cell r="CA442" t="str">
            <v>INACTIVO</v>
          </cell>
          <cell r="CB442" t="str">
            <v>INACTIVO</v>
          </cell>
          <cell r="CC442" t="str">
            <v>BAJA</v>
          </cell>
          <cell r="CD442" t="str">
            <v>BAJA</v>
          </cell>
          <cell r="CE442" t="str">
            <v>BAJA</v>
          </cell>
          <cell r="CF442" t="str">
            <v>BAJA</v>
          </cell>
          <cell r="CG442" t="str">
            <v>BAJA</v>
          </cell>
          <cell r="CH442" t="str">
            <v>BAJA</v>
          </cell>
          <cell r="CI442" t="str">
            <v>BAJA</v>
          </cell>
          <cell r="CJ442" t="str">
            <v>BAJA</v>
          </cell>
          <cell r="CK442" t="str">
            <v>BAJA</v>
          </cell>
          <cell r="CL442" t="str">
            <v>BAJA</v>
          </cell>
          <cell r="CM442" t="str">
            <v>BAJA</v>
          </cell>
          <cell r="CN442" t="str">
            <v>BAJA</v>
          </cell>
          <cell r="CO442" t="str">
            <v>BAJA</v>
          </cell>
          <cell r="CP442" t="str">
            <v>BAJA</v>
          </cell>
          <cell r="CQ442" t="str">
            <v>BAJA</v>
          </cell>
          <cell r="CR442" t="str">
            <v>BAJA</v>
          </cell>
          <cell r="CS442" t="str">
            <v>BAJA</v>
          </cell>
          <cell r="CT442" t="str">
            <v>BAJA</v>
          </cell>
          <cell r="CU442" t="str">
            <v>BAJA</v>
          </cell>
          <cell r="CV442" t="str">
            <v>BAJA</v>
          </cell>
          <cell r="CW442" t="str">
            <v>BAJA</v>
          </cell>
        </row>
        <row r="443">
          <cell r="D443" t="str">
            <v>RUT270</v>
          </cell>
          <cell r="E443" t="str">
            <v>Chasis</v>
          </cell>
          <cell r="F443" t="str">
            <v>Chasis</v>
          </cell>
          <cell r="G443" t="str">
            <v>Chasis</v>
          </cell>
          <cell r="H443" t="str">
            <v>https://drive.google.com/drive/folders/1ka1gWt6l11yAZnxSO5SlsLP7YW_HQU3X</v>
          </cell>
          <cell r="I443" t="str">
            <v>Manual</v>
          </cell>
          <cell r="J443" t="str">
            <v>Cummins</v>
          </cell>
          <cell r="K443" t="str">
            <v>Hidráulica</v>
          </cell>
          <cell r="L443">
            <v>162</v>
          </cell>
          <cell r="M443">
            <v>6927</v>
          </cell>
          <cell r="N443" t="str">
            <v>CODYLSA</v>
          </cell>
          <cell r="O443" t="str">
            <v>CODYLSA</v>
          </cell>
          <cell r="P443" t="str">
            <v>No</v>
          </cell>
          <cell r="Q443" t="str">
            <v>Propio</v>
          </cell>
          <cell r="R443" t="str">
            <v>-</v>
          </cell>
          <cell r="S443" t="str">
            <v>Propio</v>
          </cell>
          <cell r="T443" t="str">
            <v>Ford</v>
          </cell>
          <cell r="U443">
            <v>14000</v>
          </cell>
          <cell r="V443" t="str">
            <v>MWN22906142679</v>
          </cell>
          <cell r="W443" t="str">
            <v>98FXTN5W55RD82</v>
          </cell>
          <cell r="X443">
            <v>1994</v>
          </cell>
          <cell r="Y443">
            <v>32</v>
          </cell>
          <cell r="Z443" t="str">
            <v>Malargue</v>
          </cell>
          <cell r="AA443" t="str">
            <v>Expreso - Servicios Troncales</v>
          </cell>
          <cell r="AB443" t="str">
            <v>Expreso - Servicios Troncales</v>
          </cell>
          <cell r="AC443" t="str">
            <v>Expreso - Servicios Troncales</v>
          </cell>
          <cell r="AD443" t="str">
            <v>Expreso - Servicios Troncales</v>
          </cell>
          <cell r="AE443" t="str">
            <v>Expreso - Servicios Troncales</v>
          </cell>
          <cell r="AF443" t="str">
            <v>Expreso - Servicios Troncales</v>
          </cell>
          <cell r="AG443" t="str">
            <v>Expreso - Servicios Troncales</v>
          </cell>
          <cell r="AH443" t="str">
            <v>Expreso - Servicios Troncales</v>
          </cell>
          <cell r="AI443" t="str">
            <v>Expreso - Servicios Troncales</v>
          </cell>
          <cell r="AJ443" t="str">
            <v>Expreso - Servicios Troncales</v>
          </cell>
          <cell r="AK443" t="str">
            <v>Expreso - Servicios Troncales</v>
          </cell>
          <cell r="AL443" t="str">
            <v>Expreso - Servicios Troncales</v>
          </cell>
          <cell r="AM443" t="str">
            <v>Expreso - Servicios Troncales</v>
          </cell>
          <cell r="AN443" t="str">
            <v>Expreso - Servicios Troncales</v>
          </cell>
          <cell r="AO443" t="str">
            <v>Expreso - Servicios Troncales</v>
          </cell>
          <cell r="AP443" t="str">
            <v>Expreso - Servicios Troncales</v>
          </cell>
          <cell r="AQ443" t="str">
            <v>Expreso - Servicios Troncales</v>
          </cell>
          <cell r="AR443" t="str">
            <v>Expreso - Servicios Troncales</v>
          </cell>
          <cell r="AS443" t="str">
            <v>Expreso - Servicios Troncales</v>
          </cell>
          <cell r="AT443" t="str">
            <v>Expreso - Servicios Troncales</v>
          </cell>
          <cell r="AU443" t="str">
            <v>Expreso - Servicios Troncales</v>
          </cell>
          <cell r="AV443" t="str">
            <v>Expreso - Servicios Troncales</v>
          </cell>
          <cell r="AW443" t="str">
            <v>Expreso - Servicios Troncales</v>
          </cell>
          <cell r="AX443" t="str">
            <v>Expreso - Servicios Troncales</v>
          </cell>
          <cell r="AY443" t="str">
            <v>Expreso - Servicios Troncales</v>
          </cell>
          <cell r="AZ443" t="str">
            <v>Expreso - Servicios Troncales</v>
          </cell>
          <cell r="BA443" t="str">
            <v>Expreso - Servicios Troncales</v>
          </cell>
          <cell r="BB443" t="str">
            <v>Expreso - Servicios Troncales</v>
          </cell>
          <cell r="BC443" t="str">
            <v>Expreso - Servicios Troncales</v>
          </cell>
          <cell r="BD443" t="str">
            <v>SUC_MEN - Sucursal Mendoza</v>
          </cell>
          <cell r="BE443" t="str">
            <v>SUC_TUN - Sucursal Tunuyán</v>
          </cell>
          <cell r="BF443" t="str">
            <v>SUC_TUN - Sucursal Tunuyán</v>
          </cell>
          <cell r="BG443" t="str">
            <v>SUC_TUN - Sucursal Tunuyán</v>
          </cell>
          <cell r="BH443" t="str">
            <v>SUC_TUN - Sucursal Tunuyán</v>
          </cell>
          <cell r="BI443" t="str">
            <v>SUC_TUN - Sucursal Tunuyán</v>
          </cell>
          <cell r="BJ443" t="str">
            <v>SUC_TUN - Sucursal Tunuyán</v>
          </cell>
          <cell r="BK443" t="str">
            <v>SUC_TUN - Sucursal Tunuyán</v>
          </cell>
          <cell r="BL443" t="str">
            <v>SUC_TUN - Sucursal Tunuyán</v>
          </cell>
          <cell r="BM443" t="str">
            <v>SUC_MEN - Sucursal Mendoza</v>
          </cell>
          <cell r="BN443" t="str">
            <v>SUC_MEN - Sucursal Mendoza</v>
          </cell>
          <cell r="BO443" t="str">
            <v>SUC_MEN - Sucursal Mendoza</v>
          </cell>
          <cell r="BP443" t="str">
            <v>SUC_MEN - Sucursal Mendoza</v>
          </cell>
          <cell r="BQ443" t="str">
            <v>SUC_MEN - Sucursal Mendoza</v>
          </cell>
          <cell r="BR443" t="str">
            <v>SUC_MEN - Sucursal Mendoza</v>
          </cell>
          <cell r="BS443" t="str">
            <v>INACTIVO</v>
          </cell>
          <cell r="BT443" t="str">
            <v>INACTIVO</v>
          </cell>
          <cell r="BU443" t="str">
            <v>INACTIVO</v>
          </cell>
          <cell r="BV443" t="str">
            <v>INACTIVO</v>
          </cell>
          <cell r="BW443" t="str">
            <v>BAJA</v>
          </cell>
          <cell r="BX443" t="str">
            <v>BAJA</v>
          </cell>
          <cell r="BY443" t="str">
            <v>BAJA</v>
          </cell>
          <cell r="BZ443" t="str">
            <v>BAJA</v>
          </cell>
          <cell r="CA443" t="str">
            <v>BAJA</v>
          </cell>
          <cell r="CB443" t="str">
            <v>BAJA</v>
          </cell>
          <cell r="CC443" t="str">
            <v>BAJA</v>
          </cell>
          <cell r="CD443" t="str">
            <v>BAJA</v>
          </cell>
          <cell r="CE443" t="str">
            <v>BAJA</v>
          </cell>
          <cell r="CF443" t="str">
            <v>BAJA</v>
          </cell>
          <cell r="CG443" t="str">
            <v>BAJA</v>
          </cell>
          <cell r="CH443" t="str">
            <v>BAJA</v>
          </cell>
          <cell r="CI443" t="str">
            <v>BAJA</v>
          </cell>
          <cell r="CJ443" t="str">
            <v>BAJA</v>
          </cell>
          <cell r="CK443" t="str">
            <v>BAJA</v>
          </cell>
          <cell r="CL443" t="str">
            <v>BAJA</v>
          </cell>
          <cell r="CM443" t="str">
            <v>BAJA</v>
          </cell>
          <cell r="CN443" t="str">
            <v>BAJA</v>
          </cell>
          <cell r="CO443" t="str">
            <v>BAJA</v>
          </cell>
          <cell r="CP443" t="str">
            <v>BAJA</v>
          </cell>
          <cell r="CQ443" t="str">
            <v>BAJA</v>
          </cell>
          <cell r="CR443" t="str">
            <v>BAJA</v>
          </cell>
          <cell r="CS443" t="str">
            <v>BAJA</v>
          </cell>
          <cell r="CT443" t="str">
            <v>BAJA</v>
          </cell>
          <cell r="CU443" t="str">
            <v>BAJA</v>
          </cell>
          <cell r="CV443" t="str">
            <v>BAJA</v>
          </cell>
          <cell r="CW443" t="str">
            <v>BAJA</v>
          </cell>
        </row>
        <row r="444">
          <cell r="D444" t="str">
            <v>SHZ643</v>
          </cell>
          <cell r="E444" t="str">
            <v>Chasis</v>
          </cell>
          <cell r="F444">
            <v>0</v>
          </cell>
          <cell r="G444" t="str">
            <v>Chasis</v>
          </cell>
          <cell r="N444" t="str">
            <v>MICHELOTTI MARCELO RAMON</v>
          </cell>
          <cell r="O444" t="str">
            <v>MICHELOTTI MARCELO RAMON</v>
          </cell>
          <cell r="P444" t="str">
            <v>No</v>
          </cell>
          <cell r="Q444" t="str">
            <v>De Tercero</v>
          </cell>
          <cell r="R444" t="str">
            <v>-</v>
          </cell>
          <cell r="S444" t="str">
            <v>De Tercero</v>
          </cell>
          <cell r="T444" t="str">
            <v>MERCEDES BENZ</v>
          </cell>
          <cell r="U444" t="str">
            <v>L 1614</v>
          </cell>
          <cell r="V444">
            <v>1992</v>
          </cell>
          <cell r="W444">
            <v>34</v>
          </cell>
          <cell r="X444">
            <v>1992</v>
          </cell>
          <cell r="Y444">
            <v>34</v>
          </cell>
          <cell r="Z444" t="str">
            <v>TDU</v>
          </cell>
          <cell r="AA444" t="str">
            <v>CMQ_TTE - QUILMES TTE</v>
          </cell>
          <cell r="AB444" t="str">
            <v>CMQ_TTE - QUILMES TTE</v>
          </cell>
          <cell r="AC444" t="str">
            <v>CMQ_TTE - QUILMES TTE</v>
          </cell>
          <cell r="AD444" t="str">
            <v>CMQ_TTE - QUILMES TTE</v>
          </cell>
          <cell r="AE444" t="str">
            <v>CMQ_TTE - QUILMES TTE</v>
          </cell>
          <cell r="AF444" t="str">
            <v>CMQ_TTE - QUILMES TTE</v>
          </cell>
          <cell r="AG444" t="str">
            <v>CMQ_TTE - QUILMES TTE</v>
          </cell>
          <cell r="AH444" t="str">
            <v>CMQ_TTE - QUILMES TTE</v>
          </cell>
          <cell r="AI444" t="str">
            <v>CMQ_TTE - QUILMES TTE</v>
          </cell>
          <cell r="AJ444" t="str">
            <v>CMQ_TTE - QUILMES TTE</v>
          </cell>
          <cell r="AK444" t="str">
            <v>CMQ_TTE - QUILMES TTE</v>
          </cell>
          <cell r="AL444" t="str">
            <v>CMQ_TTE - QUILMES TTE</v>
          </cell>
          <cell r="AM444" t="str">
            <v>CMQ_TTE - QUILMES TTE</v>
          </cell>
          <cell r="AN444" t="str">
            <v>CMQ_TTE - QUILMES TTE</v>
          </cell>
          <cell r="AO444" t="str">
            <v>CMQ_TTE - QUILMES TTE</v>
          </cell>
          <cell r="AP444" t="str">
            <v>CMQ_TTE - QUILMES TTE</v>
          </cell>
          <cell r="AQ444" t="str">
            <v>CMQ_TTE - QUILMES TTE</v>
          </cell>
          <cell r="AR444" t="str">
            <v>CMQ_TTE - QUILMES TTE</v>
          </cell>
          <cell r="AS444" t="str">
            <v>CMQ_TTE - QUILMES TTE</v>
          </cell>
          <cell r="AT444" t="str">
            <v>CMQ_TTE - QUILMES TTE</v>
          </cell>
          <cell r="AU444" t="str">
            <v>CMQ_TTE - QUILMES TTE</v>
          </cell>
          <cell r="AV444" t="str">
            <v>CMQ_TTE - QUILMES TTE</v>
          </cell>
          <cell r="AW444" t="str">
            <v>CMQ_TTE - QUILMES TTE</v>
          </cell>
          <cell r="AX444" t="str">
            <v>CMQ_TTE - QUILMES TTE</v>
          </cell>
          <cell r="AY444" t="str">
            <v>CMQ_TTE - QUILMES TTE</v>
          </cell>
          <cell r="AZ444" t="str">
            <v>CMQ_TTE - QUILMES TTE</v>
          </cell>
          <cell r="BA444" t="str">
            <v>CMQ_TTE - QUILMES TTE</v>
          </cell>
          <cell r="BB444" t="str">
            <v>CMQ_TTE - QUILMES TTE</v>
          </cell>
          <cell r="BC444" t="str">
            <v>CMQ_TTE - QUILMES TTE</v>
          </cell>
          <cell r="BD444" t="str">
            <v>CMQ_TTE - QUILMES TTE</v>
          </cell>
          <cell r="BE444" t="str">
            <v>CMQ_TTE - QUILMES TTE</v>
          </cell>
          <cell r="BF444" t="str">
            <v>CMQ_TTE - QUILMES TTE</v>
          </cell>
          <cell r="BG444" t="str">
            <v>CMQ_TTE - QUILMES TTE</v>
          </cell>
          <cell r="BH444" t="str">
            <v>ADA_Mino - Danone Arg. S.A. - Mino</v>
          </cell>
          <cell r="BI444" t="str">
            <v>INACTIVO</v>
          </cell>
          <cell r="BJ444" t="str">
            <v>INACTIVO</v>
          </cell>
          <cell r="BK444" t="str">
            <v>INACTIVO</v>
          </cell>
          <cell r="BL444" t="str">
            <v>INACTIVO</v>
          </cell>
          <cell r="BM444" t="str">
            <v>INACTIVO</v>
          </cell>
          <cell r="BN444" t="str">
            <v>CMQ_TTE - QUILMES TTE</v>
          </cell>
          <cell r="BO444" t="str">
            <v>CMQ_TTE - QUILMES TTE</v>
          </cell>
          <cell r="BP444" t="str">
            <v>CMQ_TTE - QUILMES TTE</v>
          </cell>
          <cell r="BQ444" t="str">
            <v>CMQ_TTE - QUILMES TTE</v>
          </cell>
          <cell r="BR444" t="str">
            <v>CMQ_TTE - QUILMES TTE</v>
          </cell>
          <cell r="BS444" t="str">
            <v>CMQ_TTE - QUILMES TTE</v>
          </cell>
          <cell r="BT444" t="str">
            <v>CMQ_TTE - QUILMES TTE</v>
          </cell>
          <cell r="BU444" t="str">
            <v>CMQ_TTE - QUILMES TTE</v>
          </cell>
          <cell r="BV444" t="str">
            <v>CMQ_TTE - QUILMES TTE</v>
          </cell>
          <cell r="BW444" t="str">
            <v>CMQ_TTE - QUILMES TTE</v>
          </cell>
          <cell r="BX444" t="str">
            <v>CMQ_TTE - QUILMES TTE</v>
          </cell>
          <cell r="BY444" t="str">
            <v>CMQ_TTE - QUILMES TTE</v>
          </cell>
          <cell r="BZ444" t="str">
            <v>CMQ_TTE - QUILMES TTE</v>
          </cell>
          <cell r="CA444" t="str">
            <v>CMQ_TTE - QUILMES TTE</v>
          </cell>
          <cell r="CB444" t="str">
            <v>CMQ_TTE - QUILMES TTE</v>
          </cell>
          <cell r="CC444" t="str">
            <v>CMQ_TTE - QUILMES TTE</v>
          </cell>
          <cell r="CD444" t="str">
            <v>CMQ_TTE - QUILMES TTE</v>
          </cell>
          <cell r="CE444" t="str">
            <v>CMQ_TTE - QUILMES TTE</v>
          </cell>
          <cell r="CF444" t="str">
            <v>CMQ_TTE - QUILMES TTE</v>
          </cell>
          <cell r="CG444" t="str">
            <v>CMQ_TTE - QUILMES TTE</v>
          </cell>
          <cell r="CH444" t="str">
            <v>CMQ_TTE - QUILMES TTE</v>
          </cell>
          <cell r="CI444" t="str">
            <v>CMQ_TTE - QUILMES TTE</v>
          </cell>
          <cell r="CJ444" t="str">
            <v>CMQ_TTE - QUILMES TTE</v>
          </cell>
          <cell r="CK444" t="str">
            <v>CMQ_TTE - QUILMES TTE</v>
          </cell>
          <cell r="CL444" t="str">
            <v>CMQ_TTE - QUILMES TTE</v>
          </cell>
          <cell r="CM444" t="str">
            <v>CMQ_TTE - QUILMES TTE</v>
          </cell>
          <cell r="CN444" t="str">
            <v>CMQ_TTE - QUILMES TTE</v>
          </cell>
          <cell r="CO444" t="str">
            <v>CMQ_TTE - QUILMES TTE</v>
          </cell>
          <cell r="CP444" t="str">
            <v>CMQ_TTE - QUILMES TTE</v>
          </cell>
          <cell r="CQ444" t="str">
            <v>CMQ_TTE - QUILMES TTE</v>
          </cell>
          <cell r="CR444" t="str">
            <v>CMQ_TTE - QUILMES TTE</v>
          </cell>
          <cell r="CS444" t="str">
            <v>CMQ_TTE - QUILMES TTE</v>
          </cell>
          <cell r="CT444" t="str">
            <v>CMQ_TTE - QUILMES TTE</v>
          </cell>
          <cell r="CU444" t="str">
            <v>CMQ_TTE - QUILMES TTE</v>
          </cell>
          <cell r="CV444" t="str">
            <v>CMQ_TTE - QUILMES TTE</v>
          </cell>
          <cell r="CW444" t="str">
            <v>CMQ_TTE - QUILMES TTE</v>
          </cell>
        </row>
        <row r="445">
          <cell r="D445" t="str">
            <v>SHZ662</v>
          </cell>
          <cell r="E445" t="str">
            <v>Chasis</v>
          </cell>
          <cell r="F445">
            <v>0</v>
          </cell>
          <cell r="G445" t="str">
            <v>Chasis</v>
          </cell>
          <cell r="N445" t="str">
            <v>HOST OMAR ROBERTO</v>
          </cell>
          <cell r="O445" t="str">
            <v>HOST OMAR ROBERTO</v>
          </cell>
          <cell r="P445" t="str">
            <v>No</v>
          </cell>
          <cell r="Q445" t="str">
            <v>De Tercero</v>
          </cell>
          <cell r="R445" t="str">
            <v>-</v>
          </cell>
          <cell r="S445" t="str">
            <v>De Tercero</v>
          </cell>
          <cell r="T445" t="str">
            <v>MERCEDES BENZ</v>
          </cell>
          <cell r="U445" t="str">
            <v>L 1614</v>
          </cell>
          <cell r="V445" t="str">
            <v>37690710147546</v>
          </cell>
          <cell r="W445" t="str">
            <v>9BM386004NB,948605</v>
          </cell>
          <cell r="X445">
            <v>1992</v>
          </cell>
          <cell r="Y445">
            <v>34</v>
          </cell>
          <cell r="Z445" t="str">
            <v>TDU</v>
          </cell>
          <cell r="AA445" t="str">
            <v>CMQ_TTE - QUILMES TTE</v>
          </cell>
          <cell r="AB445" t="str">
            <v>CMQ_TTE - QUILMES TTE</v>
          </cell>
          <cell r="AC445" t="str">
            <v>CMQ_TTE - QUILMES TTE</v>
          </cell>
          <cell r="AD445" t="str">
            <v>CMQ_TTE - QUILMES TTE</v>
          </cell>
          <cell r="AE445" t="str">
            <v>CMQ_TTE - QUILMES TTE</v>
          </cell>
          <cell r="AF445" t="str">
            <v>CMQ_TTE - QUILMES TTE</v>
          </cell>
          <cell r="AG445" t="str">
            <v>CMQ_TTE - QUILMES TTE</v>
          </cell>
          <cell r="AH445" t="str">
            <v>CMQ_TTE - QUILMES TTE</v>
          </cell>
          <cell r="AI445" t="str">
            <v>CMQ_TTE - QUILMES TTE</v>
          </cell>
          <cell r="AJ445" t="str">
            <v>CMQ_TTE - QUILMES TTE</v>
          </cell>
          <cell r="AK445" t="str">
            <v>CMQ_TTE - QUILMES TTE</v>
          </cell>
          <cell r="AL445" t="str">
            <v>CMQ_TTE - QUILMES TTE</v>
          </cell>
          <cell r="AM445" t="str">
            <v>CMQ_TTE - QUILMES TTE</v>
          </cell>
          <cell r="AN445" t="str">
            <v>CMQ_TTE - QUILMES TTE</v>
          </cell>
          <cell r="AO445" t="str">
            <v>CMQ_TTE - QUILMES TTE</v>
          </cell>
          <cell r="AP445" t="str">
            <v>CMQ_TTE - QUILMES TTE</v>
          </cell>
          <cell r="AQ445" t="str">
            <v>CMQ_TTE - QUILMES TTE</v>
          </cell>
          <cell r="AR445" t="str">
            <v>CMQ_TTE - QUILMES TTE</v>
          </cell>
          <cell r="AS445" t="str">
            <v>CMQ_TTE - QUILMES TTE</v>
          </cell>
          <cell r="AT445" t="str">
            <v>CMQ_TTE - QUILMES TTE</v>
          </cell>
          <cell r="AU445" t="str">
            <v>CMQ_TTE - QUILMES TTE</v>
          </cell>
          <cell r="AV445" t="str">
            <v>CMQ_TTE - QUILMES TTE</v>
          </cell>
          <cell r="AW445" t="str">
            <v>CMQ_TTE - QUILMES TTE</v>
          </cell>
          <cell r="AX445" t="str">
            <v>CMQ_TTE - QUILMES TTE</v>
          </cell>
          <cell r="AY445" t="str">
            <v>CMQ_TTE - QUILMES TTE</v>
          </cell>
          <cell r="AZ445" t="str">
            <v>CMQ_TTE - QUILMES TTE</v>
          </cell>
          <cell r="BA445" t="str">
            <v>CMQ_TTE - QUILMES TTE</v>
          </cell>
          <cell r="BB445" t="str">
            <v>CMQ_TTE - QUILMES TTE</v>
          </cell>
          <cell r="BC445" t="str">
            <v>CMQ_TTE - QUILMES TTE</v>
          </cell>
          <cell r="BD445" t="str">
            <v>CMQ_TTE - QUILMES TTE</v>
          </cell>
          <cell r="BE445" t="str">
            <v>CMQ_TTE - QUILMES TTE</v>
          </cell>
          <cell r="BF445" t="str">
            <v>CMQ_TTE - QUILMES TTE</v>
          </cell>
          <cell r="BG445" t="str">
            <v>CMQ_TTE - QUILMES TTE</v>
          </cell>
          <cell r="BH445" t="str">
            <v>CMQ_TTE - QUILMES TTE</v>
          </cell>
          <cell r="BI445" t="str">
            <v>CMQ_TTE - QUILMES TTE</v>
          </cell>
          <cell r="BJ445" t="str">
            <v>CMQ_TTE - QUILMES TTE</v>
          </cell>
          <cell r="BK445" t="str">
            <v>CMQ_TTE - QUILMES TTE</v>
          </cell>
          <cell r="BL445" t="str">
            <v>CMQ_TTE - QUILMES TTE</v>
          </cell>
          <cell r="BM445" t="str">
            <v>CMQ_TTE - QUILMES TTE</v>
          </cell>
          <cell r="BN445" t="str">
            <v>CMQ_TTE - QUILMES TTE</v>
          </cell>
          <cell r="BO445" t="str">
            <v>CMQ_TTE - QUILMES TTE</v>
          </cell>
          <cell r="BP445" t="str">
            <v>CMQ_TTE - QUILMES TTE</v>
          </cell>
          <cell r="BQ445" t="str">
            <v>CMQ_TTE - QUILMES TTE</v>
          </cell>
          <cell r="BR445" t="str">
            <v>CMQ_TTE - QUILMES TTE</v>
          </cell>
          <cell r="BS445" t="str">
            <v>CMQ_TTE - QUILMES TTE</v>
          </cell>
          <cell r="BT445" t="str">
            <v>CMQ_TTE - QUILMES TTE</v>
          </cell>
          <cell r="BU445" t="str">
            <v>CMQ_TTE - QUILMES TTE</v>
          </cell>
          <cell r="BV445" t="str">
            <v>CMQ_TTE - QUILMES TTE</v>
          </cell>
          <cell r="BW445" t="str">
            <v>CMQ_TTE - QUILMES TTE</v>
          </cell>
          <cell r="BX445" t="str">
            <v>CMQ_TTE - QUILMES TTE</v>
          </cell>
          <cell r="BY445" t="str">
            <v>CMQ_TTE - QUILMES TTE</v>
          </cell>
          <cell r="BZ445" t="str">
            <v>CMQ_TTE - QUILMES TTE</v>
          </cell>
          <cell r="CA445" t="str">
            <v>CMQ_TTE - QUILMES TTE</v>
          </cell>
          <cell r="CB445" t="str">
            <v>CMQ_TTE - QUILMES TTE</v>
          </cell>
          <cell r="CC445" t="str">
            <v>CMQ_TTE - QUILMES TTE</v>
          </cell>
          <cell r="CD445" t="str">
            <v>CMQ_TTE - QUILMES TTE</v>
          </cell>
          <cell r="CE445" t="str">
            <v>CMQ_TTE - QUILMES TTE</v>
          </cell>
          <cell r="CF445" t="str">
            <v>CMQ_TTE - QUILMES TTE</v>
          </cell>
          <cell r="CG445" t="str">
            <v>CMQ_TTE - QUILMES TTE</v>
          </cell>
          <cell r="CH445" t="str">
            <v>CMQ_TTE - QUILMES TTE</v>
          </cell>
          <cell r="CI445" t="str">
            <v>CMQ_TTE - QUILMES TTE</v>
          </cell>
          <cell r="CJ445" t="str">
            <v>CMQ_TTE - QUILMES TTE</v>
          </cell>
          <cell r="CK445" t="str">
            <v>CMQ_TTE - QUILMES TTE</v>
          </cell>
          <cell r="CL445" t="str">
            <v>CMQ_TTE - QUILMES TTE</v>
          </cell>
          <cell r="CM445" t="str">
            <v>CMQ_TTE - QUILMES TTE</v>
          </cell>
          <cell r="CN445" t="str">
            <v>CMQ_TTE - QUILMES TTE</v>
          </cell>
          <cell r="CO445" t="str">
            <v>CMQ_TTE - QUILMES TTE</v>
          </cell>
          <cell r="CP445" t="str">
            <v>CMQ_TTE - QUILMES TTE</v>
          </cell>
          <cell r="CQ445" t="str">
            <v>CMQ_TTE - QUILMES TTE</v>
          </cell>
          <cell r="CR445" t="str">
            <v>CMQ_TTE - QUILMES TTE</v>
          </cell>
          <cell r="CS445" t="str">
            <v>CMQ_TTE - QUILMES TTE</v>
          </cell>
          <cell r="CT445" t="str">
            <v>CMQ_TTE - QUILMES TTE</v>
          </cell>
          <cell r="CU445" t="str">
            <v>CMQ_TTE - QUILMES TTE</v>
          </cell>
          <cell r="CV445" t="str">
            <v>CMQ_TTE - QUILMES TTE</v>
          </cell>
          <cell r="CW445" t="str">
            <v>CMQ_TTE - QUILMES TTE</v>
          </cell>
        </row>
        <row r="446">
          <cell r="D446" t="str">
            <v>SKX507</v>
          </cell>
          <cell r="E446" t="str">
            <v>Chasis</v>
          </cell>
          <cell r="F446">
            <v>0</v>
          </cell>
          <cell r="G446" t="str">
            <v>Chasis</v>
          </cell>
          <cell r="N446" t="str">
            <v>VARGAS ROBERTO ANTONIO(COMODATO CON Ayala Maria Elizabeth)</v>
          </cell>
          <cell r="O446" t="str">
            <v>VARGAS ROBERTO ANTONIO(COMODATO CON Ayala Maria Elizabeth)</v>
          </cell>
          <cell r="P446" t="str">
            <v>No</v>
          </cell>
          <cell r="Q446" t="str">
            <v>De Tercero</v>
          </cell>
          <cell r="R446" t="str">
            <v>-</v>
          </cell>
          <cell r="S446" t="str">
            <v>De Tercero</v>
          </cell>
          <cell r="T446" t="str">
            <v>DODGE</v>
          </cell>
          <cell r="U446" t="str">
            <v>DD. 900 197</v>
          </cell>
          <cell r="V446">
            <v>1980</v>
          </cell>
          <cell r="W446">
            <v>46</v>
          </cell>
          <cell r="X446">
            <v>1980</v>
          </cell>
          <cell r="Y446">
            <v>46</v>
          </cell>
          <cell r="Z446" t="str">
            <v>Danone Mendoza</v>
          </cell>
          <cell r="AA446" t="str">
            <v>ADA_MZA - Danone Arg. S.A. - MZA</v>
          </cell>
          <cell r="AB446" t="str">
            <v>ADA_MZA - Danone Arg. S.A. - MZA</v>
          </cell>
          <cell r="AC446" t="str">
            <v>ADA_MZA - Danone Arg. S.A. - MZA</v>
          </cell>
          <cell r="AD446" t="str">
            <v>ADA_MZA - Danone Arg. S.A. - MZA</v>
          </cell>
          <cell r="AE446" t="str">
            <v>ADA_MZA - Danone Arg. S.A. - MZA</v>
          </cell>
          <cell r="AF446" t="str">
            <v>ADA_MZA - Danone Arg. S.A. - MZA</v>
          </cell>
          <cell r="AG446" t="str">
            <v>ADA_MZA - Danone Arg. S.A. - MZA</v>
          </cell>
          <cell r="AH446" t="str">
            <v>ADA_MZA - Danone Arg. S.A. - MZA</v>
          </cell>
          <cell r="AI446" t="str">
            <v>ADA_MZA - Danone Arg. S.A. - MZA</v>
          </cell>
          <cell r="AJ446" t="str">
            <v>ADA_MZA - Danone Arg. S.A. - MZA</v>
          </cell>
          <cell r="AK446" t="str">
            <v>ADA_MZA - Danone Arg. S.A. - MZA</v>
          </cell>
          <cell r="AL446" t="str">
            <v>ADA_MZA - Danone Arg. S.A. - MZA</v>
          </cell>
          <cell r="AM446" t="str">
            <v>ADA_MZA - Danone Arg. S.A. - MZA</v>
          </cell>
          <cell r="AN446" t="str">
            <v>ADA_MZA - Danone Arg. S.A. - MZA</v>
          </cell>
          <cell r="AO446" t="str">
            <v>ADA_MZA - Danone Arg. S.A. - MZA</v>
          </cell>
          <cell r="AP446" t="str">
            <v>ADA_MZA - Danone Arg. S.A. - MZA</v>
          </cell>
          <cell r="AQ446" t="str">
            <v>ADA_MZA - Danone Arg. S.A. - MZA</v>
          </cell>
          <cell r="AR446" t="str">
            <v>ADA_MZA - Danone Arg. S.A. - MZA</v>
          </cell>
          <cell r="AS446" t="str">
            <v>ADA_MZA - Danone Arg. S.A. - MZA</v>
          </cell>
          <cell r="AT446" t="str">
            <v>ADA_MZA - Danone Arg. S.A. - MZA</v>
          </cell>
          <cell r="AU446" t="str">
            <v>ADA_MZA - Danone Arg. S.A. - MZA</v>
          </cell>
          <cell r="AV446" t="str">
            <v>ADA_MZA - Danone Arg. S.A. - MZA</v>
          </cell>
          <cell r="AW446" t="str">
            <v>ADA_MZA - Danone Arg. S.A. - MZA</v>
          </cell>
          <cell r="AX446" t="str">
            <v>INACTIVO</v>
          </cell>
          <cell r="AY446" t="str">
            <v>INACTIVO</v>
          </cell>
          <cell r="AZ446" t="str">
            <v>INACTIVO</v>
          </cell>
          <cell r="BA446" t="str">
            <v>INACTIVO</v>
          </cell>
          <cell r="BB446" t="str">
            <v>INACTIVO</v>
          </cell>
          <cell r="BC446" t="str">
            <v>INACTIVO</v>
          </cell>
          <cell r="BD446" t="str">
            <v>INACTIVO</v>
          </cell>
          <cell r="BE446" t="str">
            <v>INACTIVO</v>
          </cell>
          <cell r="BF446" t="str">
            <v>INACTIVO</v>
          </cell>
          <cell r="BG446" t="str">
            <v>INACTIVO</v>
          </cell>
          <cell r="BH446" t="str">
            <v>INACTIVO</v>
          </cell>
          <cell r="BI446" t="str">
            <v>INACTIVO</v>
          </cell>
          <cell r="BJ446" t="str">
            <v>INACTIVO</v>
          </cell>
          <cell r="BK446" t="str">
            <v>INACTIVO</v>
          </cell>
          <cell r="BL446" t="str">
            <v>INACTIVO</v>
          </cell>
          <cell r="BM446" t="str">
            <v>INACTIVO</v>
          </cell>
          <cell r="BN446" t="str">
            <v>INACTIVO</v>
          </cell>
          <cell r="BO446" t="str">
            <v>INACTIVO</v>
          </cell>
          <cell r="BP446" t="str">
            <v>INACTIVO</v>
          </cell>
          <cell r="BQ446" t="str">
            <v>INACTIVO</v>
          </cell>
          <cell r="BR446" t="str">
            <v>INACTIVO</v>
          </cell>
          <cell r="BS446" t="str">
            <v>INACTIVO</v>
          </cell>
          <cell r="BT446" t="str">
            <v>INACTIVO</v>
          </cell>
          <cell r="BU446" t="str">
            <v>INACTIVO</v>
          </cell>
          <cell r="BV446" t="str">
            <v>INACTIVO</v>
          </cell>
          <cell r="BW446" t="str">
            <v>INACTIVO</v>
          </cell>
          <cell r="BX446" t="str">
            <v>INACTIVO</v>
          </cell>
          <cell r="BY446" t="str">
            <v>INACTIVO</v>
          </cell>
          <cell r="BZ446" t="str">
            <v>INACTIVO</v>
          </cell>
          <cell r="CA446" t="str">
            <v>INACTIVO</v>
          </cell>
          <cell r="CB446" t="str">
            <v>INACTIVO</v>
          </cell>
          <cell r="CC446" t="str">
            <v>BAJA</v>
          </cell>
          <cell r="CD446" t="str">
            <v>BAJA</v>
          </cell>
          <cell r="CE446" t="str">
            <v>BAJA</v>
          </cell>
          <cell r="CF446" t="str">
            <v>BAJA</v>
          </cell>
          <cell r="CG446" t="str">
            <v>BAJA</v>
          </cell>
          <cell r="CH446" t="str">
            <v>BAJA</v>
          </cell>
          <cell r="CI446" t="str">
            <v>BAJA</v>
          </cell>
          <cell r="CJ446" t="str">
            <v>BAJA</v>
          </cell>
          <cell r="CK446" t="str">
            <v>BAJA</v>
          </cell>
          <cell r="CL446" t="str">
            <v>BAJA</v>
          </cell>
          <cell r="CM446" t="str">
            <v>BAJA</v>
          </cell>
          <cell r="CN446" t="str">
            <v>BAJA</v>
          </cell>
          <cell r="CO446" t="str">
            <v>BAJA</v>
          </cell>
          <cell r="CP446" t="str">
            <v>BAJA</v>
          </cell>
          <cell r="CQ446" t="str">
            <v>BAJA</v>
          </cell>
          <cell r="CR446" t="str">
            <v>BAJA</v>
          </cell>
          <cell r="CS446" t="str">
            <v>BAJA</v>
          </cell>
          <cell r="CT446" t="str">
            <v>BAJA</v>
          </cell>
          <cell r="CU446" t="str">
            <v>BAJA</v>
          </cell>
          <cell r="CV446" t="str">
            <v>BAJA</v>
          </cell>
          <cell r="CW446" t="str">
            <v>BAJA</v>
          </cell>
        </row>
        <row r="447">
          <cell r="D447" t="str">
            <v>SOC883</v>
          </cell>
          <cell r="E447" t="str">
            <v>Tractor</v>
          </cell>
          <cell r="F447" t="str">
            <v>Tractor</v>
          </cell>
          <cell r="G447" t="str">
            <v>Tractor</v>
          </cell>
          <cell r="N447" t="str">
            <v>Expreso Malargüe S. A.</v>
          </cell>
          <cell r="O447" t="str">
            <v>Expreso Malargüe S. A.</v>
          </cell>
          <cell r="P447" t="str">
            <v>No</v>
          </cell>
          <cell r="Q447" t="str">
            <v>Propio</v>
          </cell>
          <cell r="R447" t="str">
            <v>-</v>
          </cell>
          <cell r="S447" t="str">
            <v>Propio</v>
          </cell>
          <cell r="T447" t="str">
            <v>MERCEDES BENZ</v>
          </cell>
          <cell r="U447" t="str">
            <v>LS 1632-45/51</v>
          </cell>
          <cell r="V447" t="str">
            <v>B44275</v>
          </cell>
          <cell r="W447" t="str">
            <v>386.062-12-097320</v>
          </cell>
          <cell r="X447">
            <v>1993</v>
          </cell>
          <cell r="Y447">
            <v>33</v>
          </cell>
          <cell r="Z447" t="str">
            <v>Malargue</v>
          </cell>
          <cell r="AA447" t="str">
            <v>Expreso - Servicios Troncales</v>
          </cell>
          <cell r="AB447" t="str">
            <v>Expreso - Servicios Troncales</v>
          </cell>
          <cell r="AC447" t="str">
            <v>Expreso - Servicios Troncales</v>
          </cell>
          <cell r="AD447" t="str">
            <v>Expreso - Servicios Troncales</v>
          </cell>
          <cell r="AE447" t="str">
            <v>Expreso - Servicios Troncales</v>
          </cell>
          <cell r="AF447" t="str">
            <v>Expreso - Servicios Troncales</v>
          </cell>
          <cell r="AG447" t="str">
            <v>Expreso - Servicios Troncales</v>
          </cell>
          <cell r="AH447" t="str">
            <v>Expreso - Servicios Troncales</v>
          </cell>
          <cell r="AI447" t="str">
            <v>Expreso - Servicios Troncales</v>
          </cell>
          <cell r="AJ447" t="str">
            <v>Expreso - Servicios Troncales</v>
          </cell>
          <cell r="AK447" t="str">
            <v>Expreso - Servicios Troncales</v>
          </cell>
          <cell r="AL447" t="str">
            <v>Expreso - Servicios Troncales</v>
          </cell>
          <cell r="AM447" t="str">
            <v>Expreso - Servicios Troncales</v>
          </cell>
          <cell r="AN447" t="str">
            <v>Expreso - Servicios Troncales</v>
          </cell>
          <cell r="AO447" t="str">
            <v>Expreso - Servicios Troncales</v>
          </cell>
          <cell r="AP447" t="str">
            <v>Expreso - Servicios Troncales</v>
          </cell>
          <cell r="AQ447" t="str">
            <v>Expreso - Servicios Troncales</v>
          </cell>
          <cell r="AR447" t="str">
            <v>Expreso - Servicios Troncales</v>
          </cell>
          <cell r="AS447" t="str">
            <v>Expreso - Servicios Troncales</v>
          </cell>
          <cell r="AT447" t="str">
            <v>Expreso - Servicios Troncales</v>
          </cell>
          <cell r="AU447" t="str">
            <v>Expreso - Servicios Troncales</v>
          </cell>
          <cell r="AV447" t="str">
            <v>Expreso - Servicios Troncales</v>
          </cell>
          <cell r="AW447" t="str">
            <v>Expreso - Servicios Troncales</v>
          </cell>
          <cell r="AX447" t="str">
            <v>Expreso - Servicios Troncales</v>
          </cell>
          <cell r="AY447" t="str">
            <v>Expreso - Servicios Troncales</v>
          </cell>
          <cell r="AZ447" t="str">
            <v>Expreso - Servicios Troncales</v>
          </cell>
          <cell r="BA447" t="str">
            <v>Expreso - Servicios Troncales</v>
          </cell>
          <cell r="BB447" t="str">
            <v>Expreso - Servicios Troncales</v>
          </cell>
          <cell r="BC447" t="str">
            <v>Expreso - Servicios Troncales</v>
          </cell>
          <cell r="BD447" t="str">
            <v>SUC_MEN - Sucursal Mendoza</v>
          </cell>
          <cell r="BE447" t="str">
            <v>SUC_MEN - Sucursal Mendoza</v>
          </cell>
          <cell r="BF447" t="str">
            <v>SUC_MEN - Sucursal Mendoza</v>
          </cell>
          <cell r="BG447" t="str">
            <v>SUC_MEN - Sucursal Mendoza</v>
          </cell>
          <cell r="BH447" t="str">
            <v>SUC_MEN - Sucursal Mendoza</v>
          </cell>
          <cell r="BI447" t="str">
            <v>SUC_MEN - Sucursal Mendoza</v>
          </cell>
          <cell r="BJ447" t="str">
            <v>SUC_MEN - Sucursal Mendoza</v>
          </cell>
          <cell r="BK447" t="str">
            <v>SUC_MEN - Sucursal Mendoza</v>
          </cell>
          <cell r="BL447" t="str">
            <v>SUC_MEN - Sucursal Mendoza</v>
          </cell>
          <cell r="BM447" t="str">
            <v>SUC_MEN - Sucursal Mendoza</v>
          </cell>
          <cell r="BN447" t="str">
            <v>SUC_MEN - Sucursal Mendoza</v>
          </cell>
          <cell r="BO447" t="str">
            <v>SUC_MEN - Sucursal Mendoza</v>
          </cell>
          <cell r="BP447" t="str">
            <v>SUC_MEN - Sucursal Mendoza</v>
          </cell>
          <cell r="BQ447" t="str">
            <v>SUC_MEN - Sucursal Mendoza</v>
          </cell>
          <cell r="BR447" t="str">
            <v>SUC_MEN - Sucursal Mendoza</v>
          </cell>
          <cell r="BS447" t="str">
            <v>SUC_MEN - Sucursal Mendoza</v>
          </cell>
          <cell r="BT447" t="str">
            <v>SUC_MEN - Sucursal Mendoza</v>
          </cell>
          <cell r="BU447" t="str">
            <v>SUC_MEN - Sucursal Mendoza</v>
          </cell>
          <cell r="BV447" t="str">
            <v>SUC_MEN - Sucursal Mendoza</v>
          </cell>
          <cell r="BW447" t="str">
            <v>Expreso - Servicios Troncales</v>
          </cell>
          <cell r="BX447" t="str">
            <v>Expreso - Servicios Troncales</v>
          </cell>
          <cell r="BY447" t="str">
            <v>Expreso - Servicios Troncales</v>
          </cell>
          <cell r="BZ447" t="str">
            <v>Expreso - Servicios Troncales</v>
          </cell>
          <cell r="CA447" t="str">
            <v>Expreso - Servicios Troncales</v>
          </cell>
          <cell r="CB447" t="str">
            <v>Expreso - Servicios Troncales</v>
          </cell>
          <cell r="CC447" t="str">
            <v>Expreso - Servicios Troncales</v>
          </cell>
          <cell r="CD447" t="str">
            <v>Expreso - Servicios Troncales</v>
          </cell>
          <cell r="CE447" t="str">
            <v>Expreso - Servicios Troncales</v>
          </cell>
          <cell r="CF447" t="str">
            <v>Expreso - Servicios Troncales</v>
          </cell>
          <cell r="CG447" t="str">
            <v>Expreso - Servicios Troncales</v>
          </cell>
          <cell r="CH447" t="str">
            <v>Expreso - Servicios Troncales</v>
          </cell>
          <cell r="CI447" t="str">
            <v>Expreso - Servicios Troncales</v>
          </cell>
          <cell r="CJ447" t="str">
            <v>Expreso - Servicios Troncales</v>
          </cell>
          <cell r="CK447" t="str">
            <v>Expreso - Servicios Troncales</v>
          </cell>
          <cell r="CL447" t="str">
            <v>Expreso - Servicios Troncales</v>
          </cell>
          <cell r="CM447" t="str">
            <v>Expreso - Servicios Troncales</v>
          </cell>
          <cell r="CN447" t="str">
            <v>Expreso - Servicios Troncales</v>
          </cell>
          <cell r="CO447" t="str">
            <v>Expreso - Servicios Troncales</v>
          </cell>
          <cell r="CP447" t="str">
            <v>Expreso - Servicios Troncales</v>
          </cell>
          <cell r="CQ447" t="str">
            <v>Expreso - Servicios Troncales</v>
          </cell>
          <cell r="CR447" t="str">
            <v>Expreso - Servicios Troncales</v>
          </cell>
          <cell r="CS447" t="str">
            <v>Expreso - Servicios Troncales</v>
          </cell>
          <cell r="CT447" t="str">
            <v>Expreso - Servicios Troncales</v>
          </cell>
          <cell r="CU447" t="str">
            <v>Expreso - Servicios Troncales</v>
          </cell>
          <cell r="CV447" t="str">
            <v>Expreso - Servicios Troncales</v>
          </cell>
          <cell r="CW447" t="str">
            <v>Expreso - Servicios Troncales</v>
          </cell>
        </row>
        <row r="448">
          <cell r="D448" t="str">
            <v>SSC171</v>
          </cell>
          <cell r="E448" t="str">
            <v>Chasis</v>
          </cell>
          <cell r="F448">
            <v>0</v>
          </cell>
          <cell r="G448" t="str">
            <v>Chasis</v>
          </cell>
          <cell r="N448" t="str">
            <v>LOMBARDO DARIO</v>
          </cell>
          <cell r="O448" t="str">
            <v>LOMBARDO DARIO</v>
          </cell>
          <cell r="P448" t="str">
            <v>No</v>
          </cell>
          <cell r="Q448" t="str">
            <v>De Tercero</v>
          </cell>
          <cell r="R448" t="str">
            <v>-</v>
          </cell>
          <cell r="S448" t="str">
            <v>De Tercero</v>
          </cell>
          <cell r="T448" t="str">
            <v>MERCEDES BENZ</v>
          </cell>
          <cell r="U448" t="str">
            <v>19-LO 1114/48</v>
          </cell>
          <cell r="V448">
            <v>1973</v>
          </cell>
          <cell r="W448">
            <v>53</v>
          </cell>
          <cell r="X448">
            <v>1973</v>
          </cell>
          <cell r="Y448">
            <v>53</v>
          </cell>
          <cell r="Z448" t="str">
            <v>TDU</v>
          </cell>
          <cell r="AV448" t="str">
            <v>CMQ_TTE - QUILMES TTE</v>
          </cell>
          <cell r="AW448" t="str">
            <v>CMQ_TTE - QUILMES TTE</v>
          </cell>
          <cell r="AX448" t="str">
            <v>CMQ_TTE - QUILMES TTE</v>
          </cell>
          <cell r="AY448" t="str">
            <v>CMQ_TTE - QUILMES TTE</v>
          </cell>
          <cell r="AZ448" t="str">
            <v>CMQ_TTE - QUILMES TTE</v>
          </cell>
          <cell r="BA448" t="str">
            <v>CMQ_TTE - QUILMES TTE</v>
          </cell>
          <cell r="BB448" t="str">
            <v>CMQ_TTE - QUILMES TTE</v>
          </cell>
          <cell r="BC448" t="str">
            <v>CMQ_TTE - QUILMES TTE</v>
          </cell>
          <cell r="BD448" t="str">
            <v>CMQ_TTE - QUILMES TTE</v>
          </cell>
          <cell r="BE448" t="str">
            <v>CMQ_TTE - QUILMES TTE</v>
          </cell>
          <cell r="BF448" t="str">
            <v>CMQ_TTE - QUILMES TTE</v>
          </cell>
          <cell r="BG448" t="str">
            <v>CMQ_TTE - QUILMES TTE</v>
          </cell>
          <cell r="BH448" t="str">
            <v>INACTIVO</v>
          </cell>
          <cell r="BI448" t="str">
            <v>INACTIVO</v>
          </cell>
          <cell r="BJ448" t="str">
            <v>INACTIVO</v>
          </cell>
          <cell r="BK448" t="str">
            <v>INACTIVO</v>
          </cell>
          <cell r="BL448" t="str">
            <v>INACTIVO</v>
          </cell>
          <cell r="BM448" t="str">
            <v>INACTIVO</v>
          </cell>
          <cell r="BN448" t="str">
            <v>INACTIVO</v>
          </cell>
          <cell r="BO448" t="str">
            <v>INACTIVO</v>
          </cell>
          <cell r="BP448" t="str">
            <v>INACTIVO</v>
          </cell>
          <cell r="BQ448" t="str">
            <v>INACTIVO</v>
          </cell>
          <cell r="BR448" t="str">
            <v>INACTIVO</v>
          </cell>
          <cell r="BS448" t="str">
            <v>INACTIVO</v>
          </cell>
          <cell r="BT448" t="str">
            <v>INACTIVO</v>
          </cell>
          <cell r="BU448" t="str">
            <v>INACTIVO</v>
          </cell>
          <cell r="BV448" t="str">
            <v>INACTIVO</v>
          </cell>
          <cell r="BW448" t="str">
            <v>INACTIVO</v>
          </cell>
          <cell r="BX448" t="str">
            <v>INACTIVO</v>
          </cell>
          <cell r="BY448" t="str">
            <v>INACTIVO</v>
          </cell>
          <cell r="BZ448" t="str">
            <v>INACTIVO</v>
          </cell>
          <cell r="CA448" t="str">
            <v>INACTIVO</v>
          </cell>
          <cell r="CB448" t="str">
            <v>INACTIVO</v>
          </cell>
          <cell r="CC448" t="str">
            <v>BAJA</v>
          </cell>
          <cell r="CD448" t="str">
            <v>BAJA</v>
          </cell>
          <cell r="CE448" t="str">
            <v>BAJA</v>
          </cell>
          <cell r="CF448" t="str">
            <v>BAJA</v>
          </cell>
          <cell r="CG448" t="str">
            <v>BAJA</v>
          </cell>
          <cell r="CH448" t="str">
            <v>BAJA</v>
          </cell>
          <cell r="CI448" t="str">
            <v>BAJA</v>
          </cell>
          <cell r="CJ448" t="str">
            <v>BAJA</v>
          </cell>
          <cell r="CK448" t="str">
            <v>BAJA</v>
          </cell>
          <cell r="CL448" t="str">
            <v>BAJA</v>
          </cell>
          <cell r="CM448" t="str">
            <v>BAJA</v>
          </cell>
          <cell r="CN448" t="str">
            <v>BAJA</v>
          </cell>
          <cell r="CO448" t="str">
            <v>BAJA</v>
          </cell>
          <cell r="CP448" t="str">
            <v>BAJA</v>
          </cell>
          <cell r="CQ448" t="str">
            <v>BAJA</v>
          </cell>
          <cell r="CR448" t="str">
            <v>BAJA</v>
          </cell>
          <cell r="CS448" t="str">
            <v>BAJA</v>
          </cell>
          <cell r="CT448" t="str">
            <v>BAJA</v>
          </cell>
          <cell r="CU448" t="str">
            <v>BAJA</v>
          </cell>
          <cell r="CV448" t="str">
            <v>BAJA</v>
          </cell>
          <cell r="CW448" t="str">
            <v>BAJA</v>
          </cell>
        </row>
        <row r="449">
          <cell r="D449" t="str">
            <v>SXB013</v>
          </cell>
          <cell r="E449" t="str">
            <v>CHASIS</v>
          </cell>
          <cell r="F449">
            <v>0</v>
          </cell>
          <cell r="G449" t="str">
            <v>Chasis</v>
          </cell>
          <cell r="N449" t="str">
            <v>SZULZ ADOLFO ARNOLDO</v>
          </cell>
          <cell r="O449" t="str">
            <v>SZULZ ADOLFO ARNOLDO</v>
          </cell>
          <cell r="P449" t="str">
            <v>No</v>
          </cell>
          <cell r="Q449" t="str">
            <v>De Tercero</v>
          </cell>
          <cell r="R449" t="str">
            <v>-</v>
          </cell>
          <cell r="S449" t="str">
            <v>De Tercero</v>
          </cell>
          <cell r="T449" t="str">
            <v>MERCEDES BENZ</v>
          </cell>
          <cell r="U449" t="str">
            <v>709D/3700</v>
          </cell>
          <cell r="V449">
            <v>1994</v>
          </cell>
          <cell r="W449">
            <v>32</v>
          </cell>
          <cell r="X449">
            <v>1994</v>
          </cell>
          <cell r="Y449">
            <v>32</v>
          </cell>
          <cell r="Z449" t="str">
            <v>Malargue</v>
          </cell>
          <cell r="AA449" t="str">
            <v>Expreso - Servicios Troncales</v>
          </cell>
          <cell r="AB449" t="str">
            <v>Expreso - Servicios Troncales</v>
          </cell>
          <cell r="AC449" t="str">
            <v>Expreso - Servicios Troncales</v>
          </cell>
          <cell r="AD449" t="str">
            <v>Expreso - Servicios Troncales</v>
          </cell>
          <cell r="AE449" t="str">
            <v>Expreso - Servicios Troncales</v>
          </cell>
          <cell r="AF449" t="str">
            <v>Expreso - Servicios Troncales</v>
          </cell>
          <cell r="AG449" t="str">
            <v>Expreso - Servicios Troncales</v>
          </cell>
          <cell r="AH449" t="str">
            <v>Expreso - Servicios Troncales</v>
          </cell>
          <cell r="AI449" t="str">
            <v>Expreso - Servicios Troncales</v>
          </cell>
          <cell r="AJ449" t="str">
            <v>Expreso - Servicios Troncales</v>
          </cell>
          <cell r="AK449" t="str">
            <v>Expreso - Servicios Troncales</v>
          </cell>
          <cell r="AL449" t="str">
            <v>Expreso - Servicios Troncales</v>
          </cell>
          <cell r="AM449" t="str">
            <v>Expreso - Servicios Troncales</v>
          </cell>
          <cell r="AN449" t="str">
            <v>Expreso - Servicios Troncales</v>
          </cell>
          <cell r="AO449" t="str">
            <v>Expreso - Servicios Troncales</v>
          </cell>
          <cell r="AP449" t="str">
            <v>Expreso - Servicios Troncales</v>
          </cell>
          <cell r="AQ449" t="str">
            <v>Expreso - Servicios Troncales</v>
          </cell>
          <cell r="AR449" t="str">
            <v>Expreso - Servicios Troncales</v>
          </cell>
          <cell r="AS449" t="str">
            <v>Expreso - Servicios Troncales</v>
          </cell>
          <cell r="AT449" t="str">
            <v>Expreso - Servicios Troncales</v>
          </cell>
          <cell r="AU449" t="str">
            <v>Expreso - Servicios Troncales</v>
          </cell>
          <cell r="AV449" t="str">
            <v>Expreso - Servicios Troncales</v>
          </cell>
          <cell r="AW449" t="str">
            <v>Expreso - Servicios Troncales</v>
          </cell>
          <cell r="AX449" t="str">
            <v>Expreso - Servicios Troncales</v>
          </cell>
          <cell r="AY449" t="str">
            <v>Expreso - Servicios Troncales</v>
          </cell>
          <cell r="AZ449" t="str">
            <v>Expreso - Servicios Troncales</v>
          </cell>
          <cell r="BA449" t="str">
            <v>Expreso - Servicios Troncales</v>
          </cell>
          <cell r="BB449" t="str">
            <v>Expreso - Servicios Troncales</v>
          </cell>
          <cell r="BC449" t="str">
            <v>Expreso - Servicios Troncales</v>
          </cell>
          <cell r="BD449" t="str">
            <v>SUC_CTC - Sucursal Buenos Aires</v>
          </cell>
          <cell r="BE449" t="str">
            <v>SUC_CTC - Sucursal Buenos Aires</v>
          </cell>
          <cell r="BF449" t="str">
            <v>SUC_CTC - Sucursal Buenos Aires</v>
          </cell>
          <cell r="BG449" t="str">
            <v>SUC_CTC - Sucursal Buenos Aires</v>
          </cell>
          <cell r="BH449" t="str">
            <v>SUC_CTC - Sucursal Buenos Aires</v>
          </cell>
          <cell r="BI449" t="str">
            <v>SUC_CTC - Sucursal Buenos Aires</v>
          </cell>
          <cell r="BJ449" t="str">
            <v>SUC_CTC - Sucursal Buenos Aires</v>
          </cell>
          <cell r="BK449" t="str">
            <v>SUC_CTC - Sucursal Buenos Aires</v>
          </cell>
          <cell r="BL449" t="str">
            <v>SUC_CTC - Sucursal Buenos Aires</v>
          </cell>
          <cell r="BM449" t="str">
            <v>SUC_CTC - Sucursal Buenos Aires</v>
          </cell>
          <cell r="BN449" t="str">
            <v>SUC_CTC - Sucursal Buenos Aires</v>
          </cell>
          <cell r="BO449" t="str">
            <v>SUC_CTC - Sucursal Buenos Aires</v>
          </cell>
          <cell r="BP449" t="str">
            <v>SUC_CTC - Sucursal Buenos Aires</v>
          </cell>
          <cell r="BQ449" t="str">
            <v>SUC_CTC - Sucursal Buenos Aires</v>
          </cell>
          <cell r="BR449" t="str">
            <v>SUC_CTC - Sucursal Buenos Aires</v>
          </cell>
          <cell r="BS449" t="str">
            <v>SUC_CTC - Sucursal Buenos Aires</v>
          </cell>
          <cell r="BT449" t="str">
            <v>SUC_CTC - Sucursal Buenos Aires</v>
          </cell>
          <cell r="BU449" t="str">
            <v>SUC_CTC - Sucursal Buenos Aires</v>
          </cell>
          <cell r="BV449" t="str">
            <v>SUC_CTC - Sucursal Buenos Aires</v>
          </cell>
          <cell r="BW449" t="str">
            <v>SUC_CTC - Sucursal Buenos Aires</v>
          </cell>
          <cell r="BX449" t="str">
            <v>SUC_CTC - Sucursal Buenos Aires</v>
          </cell>
          <cell r="BY449" t="str">
            <v>SUC_CTC - Sucursal Buenos Aires</v>
          </cell>
          <cell r="BZ449" t="str">
            <v>SUC_CTC - Sucursal Buenos Aires</v>
          </cell>
          <cell r="CA449" t="str">
            <v>SUC_CTC - Sucursal Buenos Aires</v>
          </cell>
          <cell r="CB449" t="str">
            <v>SUC_CTC - Sucursal Buenos Aires</v>
          </cell>
          <cell r="CC449" t="str">
            <v>SUC_CTC - Sucursal Buenos Aires</v>
          </cell>
          <cell r="CD449" t="str">
            <v>SUC_CTC - Sucursal Buenos Aires</v>
          </cell>
          <cell r="CE449" t="str">
            <v>SUC_CTC - Sucursal Buenos Aires</v>
          </cell>
          <cell r="CF449" t="str">
            <v>SUC_CTC - Sucursal Buenos Aires</v>
          </cell>
          <cell r="CG449" t="str">
            <v>SUC_CTC - Sucursal Buenos Aires</v>
          </cell>
          <cell r="CH449" t="str">
            <v>INACTIVO</v>
          </cell>
          <cell r="CI449" t="str">
            <v>INACTIVO</v>
          </cell>
          <cell r="CJ449" t="str">
            <v>INACTIVO</v>
          </cell>
          <cell r="CK449" t="str">
            <v>INACTIVO</v>
          </cell>
          <cell r="CL449" t="str">
            <v>INACTIVO</v>
          </cell>
          <cell r="CM449" t="str">
            <v>INACTIVO</v>
          </cell>
          <cell r="CN449" t="str">
            <v>INACTIVO</v>
          </cell>
          <cell r="CO449" t="str">
            <v>INACTIVO</v>
          </cell>
          <cell r="CP449" t="str">
            <v>INACTIVO</v>
          </cell>
          <cell r="CQ449" t="str">
            <v>INACTIVO</v>
          </cell>
          <cell r="CR449" t="str">
            <v>BAJA</v>
          </cell>
          <cell r="CS449" t="str">
            <v>BAJA</v>
          </cell>
          <cell r="CT449" t="str">
            <v>BAJA</v>
          </cell>
          <cell r="CU449" t="str">
            <v>BAJA</v>
          </cell>
          <cell r="CV449" t="str">
            <v>BAJA</v>
          </cell>
          <cell r="CW449" t="str">
            <v>BAJA</v>
          </cell>
        </row>
        <row r="450">
          <cell r="D450" t="str">
            <v>SYA640</v>
          </cell>
          <cell r="E450" t="str">
            <v>Chasis</v>
          </cell>
          <cell r="F450" t="str">
            <v>Chasis</v>
          </cell>
          <cell r="G450" t="str">
            <v>Chasis</v>
          </cell>
          <cell r="H450" t="str">
            <v>https://drive.google.com/drive/folders/1kUi_oiIUjAlYD7_STDRJTNB5IS662uPj</v>
          </cell>
          <cell r="I450" t="str">
            <v>Manual</v>
          </cell>
          <cell r="J450" t="str">
            <v>Cummins</v>
          </cell>
          <cell r="K450" t="str">
            <v>Hidráulica</v>
          </cell>
          <cell r="L450">
            <v>162</v>
          </cell>
          <cell r="M450">
            <v>6927</v>
          </cell>
          <cell r="N450" t="str">
            <v>CODYLSA</v>
          </cell>
          <cell r="O450" t="str">
            <v>CODYLSA</v>
          </cell>
          <cell r="P450" t="str">
            <v>No</v>
          </cell>
          <cell r="Q450" t="str">
            <v>Propio</v>
          </cell>
          <cell r="R450" t="str">
            <v>-</v>
          </cell>
          <cell r="S450" t="str">
            <v>Propio</v>
          </cell>
          <cell r="T450" t="str">
            <v>Ford</v>
          </cell>
          <cell r="U450">
            <v>14000</v>
          </cell>
          <cell r="V450">
            <v>22906143083</v>
          </cell>
          <cell r="W450" t="str">
            <v>9BFXTNSM9RDB31350</v>
          </cell>
          <cell r="X450">
            <v>1994</v>
          </cell>
          <cell r="Y450">
            <v>32</v>
          </cell>
          <cell r="Z450" t="str">
            <v>Malargue</v>
          </cell>
          <cell r="AA450" t="str">
            <v>Expreso - Servicios Troncales</v>
          </cell>
          <cell r="AB450" t="str">
            <v>Expreso - Servicios Troncales</v>
          </cell>
          <cell r="AC450" t="str">
            <v>Expreso - Servicios Troncales</v>
          </cell>
          <cell r="AD450" t="str">
            <v>Expreso - Servicios Troncales</v>
          </cell>
          <cell r="AE450" t="str">
            <v>Expreso - Servicios Troncales</v>
          </cell>
          <cell r="AF450" t="str">
            <v>Expreso - Servicios Troncales</v>
          </cell>
          <cell r="AG450" t="str">
            <v>Expreso - Servicios Troncales</v>
          </cell>
          <cell r="AH450" t="str">
            <v>Expreso - Servicios Troncales</v>
          </cell>
          <cell r="AI450" t="str">
            <v>Expreso - Servicios Troncales</v>
          </cell>
          <cell r="AJ450" t="str">
            <v>Expreso - Servicios Troncales</v>
          </cell>
          <cell r="AK450" t="str">
            <v>Expreso - Servicios Troncales</v>
          </cell>
          <cell r="AL450" t="str">
            <v>Expreso - Servicios Troncales</v>
          </cell>
          <cell r="AM450" t="str">
            <v>Expreso - Servicios Troncales</v>
          </cell>
          <cell r="AN450" t="str">
            <v>Expreso - Servicios Troncales</v>
          </cell>
          <cell r="AO450" t="str">
            <v>Expreso - Servicios Troncales</v>
          </cell>
          <cell r="AP450" t="str">
            <v>Expreso - Servicios Troncales</v>
          </cell>
          <cell r="AQ450" t="str">
            <v>Expreso - Servicios Troncales</v>
          </cell>
          <cell r="AR450" t="str">
            <v>Expreso - Servicios Troncales</v>
          </cell>
          <cell r="AS450" t="str">
            <v>Expreso - Servicios Troncales</v>
          </cell>
          <cell r="AT450" t="str">
            <v>Expreso - Servicios Troncales</v>
          </cell>
          <cell r="AU450" t="str">
            <v>Expreso - Servicios Troncales</v>
          </cell>
          <cell r="AV450" t="str">
            <v>Expreso - Servicios Troncales</v>
          </cell>
          <cell r="AW450" t="str">
            <v>Expreso - Servicios Troncales</v>
          </cell>
          <cell r="AX450" t="str">
            <v>Expreso - Servicios Troncales</v>
          </cell>
          <cell r="AY450" t="str">
            <v>Expreso - Servicios Troncales</v>
          </cell>
          <cell r="AZ450" t="str">
            <v>Expreso - Servicios Troncales</v>
          </cell>
          <cell r="BA450" t="str">
            <v>Expreso - Servicios Troncales</v>
          </cell>
          <cell r="BB450" t="str">
            <v>Expreso - Servicios Troncales</v>
          </cell>
          <cell r="BC450" t="str">
            <v>Expreso - Servicios Troncales</v>
          </cell>
          <cell r="BD450" t="str">
            <v>SUC_SRA - Sucursal San Rafael</v>
          </cell>
          <cell r="BE450" t="str">
            <v>SUC_SRA - Sucursal San Rafael</v>
          </cell>
          <cell r="BF450" t="str">
            <v>SUC_SRA - Sucursal San Rafael</v>
          </cell>
          <cell r="BG450" t="str">
            <v>SUC_SRA - Sucursal San Rafael</v>
          </cell>
          <cell r="BH450" t="str">
            <v>SUC_SRA - Sucursal San Rafael</v>
          </cell>
          <cell r="BI450" t="str">
            <v>SUC_SRA - Sucursal San Rafael</v>
          </cell>
          <cell r="BJ450" t="str">
            <v>SUC_SRA - Sucursal San Rafael</v>
          </cell>
          <cell r="BK450" t="str">
            <v>SUC_SRA - Sucursal San Rafael</v>
          </cell>
          <cell r="BL450" t="str">
            <v>SUC_SRA - Sucursal San Rafael</v>
          </cell>
          <cell r="BM450" t="str">
            <v>SUC_SRA - Sucursal San Rafael</v>
          </cell>
          <cell r="BN450" t="str">
            <v>SUC_SRA - Sucursal San Rafael</v>
          </cell>
          <cell r="BO450" t="str">
            <v>SUC_SRA - Sucursal San Rafael</v>
          </cell>
          <cell r="BP450" t="str">
            <v>SUC_SRA - Sucursal San Rafael</v>
          </cell>
          <cell r="BQ450" t="str">
            <v>SUC_SRA - Sucursal San Rafael</v>
          </cell>
          <cell r="BR450" t="str">
            <v>SUC_SRA - Sucursal San Rafael</v>
          </cell>
          <cell r="BS450" t="str">
            <v>SUC_SRA - Sucursal San Rafael</v>
          </cell>
          <cell r="BT450" t="str">
            <v>SUC_SRA - Sucursal San Rafael</v>
          </cell>
          <cell r="BU450" t="str">
            <v>SUC_SRA - Sucursal San Rafael</v>
          </cell>
          <cell r="BV450" t="str">
            <v>SUC_SRA - Sucursal San Rafael</v>
          </cell>
          <cell r="BW450" t="str">
            <v>SUC_SRA - Sucursal San Rafael</v>
          </cell>
          <cell r="BX450" t="str">
            <v>SUC_MEN - Sucursal Mendoza</v>
          </cell>
          <cell r="BY450" t="str">
            <v>SUC_MEN - Sucursal Mendoza</v>
          </cell>
          <cell r="BZ450" t="str">
            <v>SUC_MEN - Sucursal Mendoza</v>
          </cell>
          <cell r="CA450" t="str">
            <v>SUC_MEN - Sucursal Mendoza</v>
          </cell>
          <cell r="CB450" t="str">
            <v>SUC_MEN - Sucursal Mendoza</v>
          </cell>
          <cell r="CC450" t="str">
            <v>SUC_MEN - Sucursal Mendoza</v>
          </cell>
          <cell r="CD450" t="str">
            <v>Sin Operación</v>
          </cell>
          <cell r="CE450" t="str">
            <v>Sin Operación</v>
          </cell>
          <cell r="CF450" t="str">
            <v>INACTIVO</v>
          </cell>
          <cell r="CG450" t="str">
            <v>INACTIVO</v>
          </cell>
          <cell r="CH450" t="str">
            <v>BAJA</v>
          </cell>
          <cell r="CI450" t="str">
            <v>BAJA</v>
          </cell>
          <cell r="CJ450" t="str">
            <v>BAJA</v>
          </cell>
          <cell r="CK450" t="str">
            <v>BAJA</v>
          </cell>
          <cell r="CL450" t="str">
            <v>BAJA</v>
          </cell>
          <cell r="CM450" t="str">
            <v>BAJA</v>
          </cell>
          <cell r="CN450" t="str">
            <v>BAJA</v>
          </cell>
          <cell r="CO450" t="str">
            <v>BAJA</v>
          </cell>
          <cell r="CP450" t="str">
            <v>BAJA</v>
          </cell>
          <cell r="CQ450" t="str">
            <v>BAJA</v>
          </cell>
          <cell r="CR450" t="str">
            <v>BAJA</v>
          </cell>
          <cell r="CS450" t="str">
            <v>BAJA</v>
          </cell>
          <cell r="CT450" t="str">
            <v>BAJA</v>
          </cell>
          <cell r="CU450" t="str">
            <v>BAJA</v>
          </cell>
          <cell r="CV450" t="str">
            <v>BAJA</v>
          </cell>
          <cell r="CW450" t="str">
            <v>BAJA</v>
          </cell>
        </row>
        <row r="451">
          <cell r="D451" t="str">
            <v>SYG971</v>
          </cell>
          <cell r="E451" t="str">
            <v>Tractor</v>
          </cell>
          <cell r="F451" t="str">
            <v>Tractor</v>
          </cell>
          <cell r="G451" t="str">
            <v>Tractor</v>
          </cell>
          <cell r="N451" t="str">
            <v>Expreso Malargüe S. A.</v>
          </cell>
          <cell r="O451" t="str">
            <v>Expreso Malargüe S. A.</v>
          </cell>
          <cell r="P451" t="str">
            <v>No</v>
          </cell>
          <cell r="Q451" t="str">
            <v>Propio</v>
          </cell>
          <cell r="R451" t="str">
            <v>-</v>
          </cell>
          <cell r="S451" t="str">
            <v>Propio</v>
          </cell>
          <cell r="T451" t="str">
            <v>MERCEDES BENZ</v>
          </cell>
          <cell r="U451" t="str">
            <v>1633</v>
          </cell>
          <cell r="V451">
            <v>47598210666173</v>
          </cell>
          <cell r="W451" t="str">
            <v>9BM386058PB.978797</v>
          </cell>
          <cell r="X451">
            <v>1993</v>
          </cell>
          <cell r="Y451">
            <v>33</v>
          </cell>
          <cell r="Z451" t="str">
            <v>Malargue</v>
          </cell>
          <cell r="AA451" t="str">
            <v>Expreso - Servicios Troncales</v>
          </cell>
          <cell r="AB451" t="str">
            <v>Expreso - Servicios Troncales</v>
          </cell>
          <cell r="AC451" t="str">
            <v>Expreso - Servicios Troncales</v>
          </cell>
          <cell r="AD451" t="str">
            <v>Expreso - Servicios Troncales</v>
          </cell>
          <cell r="AE451" t="str">
            <v>Expreso - Servicios Troncales</v>
          </cell>
          <cell r="AF451" t="str">
            <v>Expreso - Servicios Troncales</v>
          </cell>
          <cell r="AG451" t="str">
            <v>Expreso - Servicios Troncales</v>
          </cell>
          <cell r="AH451" t="str">
            <v>Expreso - Servicios Troncales</v>
          </cell>
          <cell r="AI451" t="str">
            <v>Expreso - Servicios Troncales</v>
          </cell>
          <cell r="AJ451" t="str">
            <v>Expreso - Servicios Troncales</v>
          </cell>
          <cell r="AK451" t="str">
            <v>Expreso - Servicios Troncales</v>
          </cell>
          <cell r="AL451" t="str">
            <v>Expreso - Servicios Troncales</v>
          </cell>
          <cell r="AM451" t="str">
            <v>Expreso - Servicios Troncales</v>
          </cell>
          <cell r="AN451" t="str">
            <v>Expreso - Servicios Troncales</v>
          </cell>
          <cell r="AO451" t="str">
            <v>Expreso - Servicios Troncales</v>
          </cell>
          <cell r="AP451" t="str">
            <v>Expreso - Servicios Troncales</v>
          </cell>
          <cell r="AQ451" t="str">
            <v>Expreso - Servicios Troncales</v>
          </cell>
          <cell r="AR451" t="str">
            <v>Expreso - Servicios Troncales</v>
          </cell>
          <cell r="AS451" t="str">
            <v>Expreso - Servicios Troncales</v>
          </cell>
          <cell r="AT451" t="str">
            <v>Expreso - Servicios Troncales</v>
          </cell>
          <cell r="AU451" t="str">
            <v>Expreso - Servicios Troncales</v>
          </cell>
          <cell r="AV451" t="str">
            <v>Expreso - Servicios Troncales</v>
          </cell>
          <cell r="AW451" t="str">
            <v>Expreso - Servicios Troncales</v>
          </cell>
          <cell r="AX451" t="str">
            <v>Expreso - Servicios Troncales</v>
          </cell>
          <cell r="AY451" t="str">
            <v>Expreso - Servicios Troncales</v>
          </cell>
          <cell r="AZ451" t="str">
            <v>Expreso - Servicios Troncales</v>
          </cell>
          <cell r="BA451" t="str">
            <v>Expreso - Servicios Troncales</v>
          </cell>
          <cell r="BB451" t="str">
            <v>Expreso - Servicios Troncales</v>
          </cell>
          <cell r="BC451" t="str">
            <v>Expreso - Servicios Troncales</v>
          </cell>
          <cell r="BD451" t="str">
            <v>SUC_SRA - Sucursal San Rafael</v>
          </cell>
          <cell r="BE451" t="str">
            <v>SUC_SRA - Sucursal San Rafael</v>
          </cell>
          <cell r="BF451" t="str">
            <v>SUC_SRA - Sucursal San Rafael</v>
          </cell>
          <cell r="BG451" t="str">
            <v>SUC_SRA - Sucursal San Rafael</v>
          </cell>
          <cell r="BH451" t="str">
            <v>SUC_SRA - Sucursal San Rafael</v>
          </cell>
          <cell r="BI451" t="str">
            <v>SUC_SRA - Sucursal San Rafael</v>
          </cell>
          <cell r="BJ451" t="str">
            <v>SUC_SRA - Sucursal San Rafael</v>
          </cell>
          <cell r="BK451" t="str">
            <v>SUC_SRA - Sucursal San Rafael</v>
          </cell>
          <cell r="BL451" t="str">
            <v>SUC_SRA - Sucursal San Rafael</v>
          </cell>
          <cell r="BM451" t="str">
            <v>SUC_SRA - Sucursal San Rafael</v>
          </cell>
          <cell r="BN451" t="str">
            <v>SUC_SRA - Sucursal San Rafael</v>
          </cell>
          <cell r="BO451" t="str">
            <v>SUC_SRA - Sucursal San Rafael</v>
          </cell>
          <cell r="BP451" t="str">
            <v>SUC_SRA - Sucursal San Rafael</v>
          </cell>
          <cell r="BQ451" t="str">
            <v>SUC_SRA - Sucursal San Rafael</v>
          </cell>
          <cell r="BR451" t="str">
            <v>SUC_SRA - Sucursal San Rafael</v>
          </cell>
          <cell r="BS451" t="str">
            <v>SUC_SRA - Sucursal San Rafael</v>
          </cell>
          <cell r="BT451" t="str">
            <v>SUC_SRA - Sucursal San Rafael</v>
          </cell>
          <cell r="BU451" t="str">
            <v>SUC_SRA - Sucursal San Rafael</v>
          </cell>
          <cell r="BV451" t="str">
            <v>SUC_SRA - Sucursal San Rafael</v>
          </cell>
          <cell r="BW451" t="str">
            <v>Expreso - Servicios Troncales</v>
          </cell>
          <cell r="BX451" t="str">
            <v>Expreso - Servicios Troncales</v>
          </cell>
          <cell r="BY451" t="str">
            <v>Expreso - Servicios Troncales</v>
          </cell>
          <cell r="BZ451" t="str">
            <v>Expreso - Servicios Troncales</v>
          </cell>
          <cell r="CA451" t="str">
            <v>Expreso - Servicios Troncales</v>
          </cell>
          <cell r="CB451" t="str">
            <v>Expreso - Servicios Troncales</v>
          </cell>
          <cell r="CC451" t="str">
            <v>Expreso - Servicios Troncales</v>
          </cell>
          <cell r="CD451" t="str">
            <v>Expreso - Servicios Troncales</v>
          </cell>
          <cell r="CE451" t="str">
            <v>Expreso - Servicios Troncales</v>
          </cell>
          <cell r="CF451" t="str">
            <v>Expreso - Servicios Troncales</v>
          </cell>
          <cell r="CG451" t="str">
            <v>Expreso - Servicios Troncales</v>
          </cell>
          <cell r="CH451" t="str">
            <v>Expreso - Servicios Troncales</v>
          </cell>
          <cell r="CI451" t="str">
            <v>Expreso - Servicios Troncales</v>
          </cell>
          <cell r="CJ451" t="str">
            <v>Expreso - Servicios Troncales</v>
          </cell>
          <cell r="CK451" t="str">
            <v>Expreso - Servicios Troncales</v>
          </cell>
          <cell r="CL451" t="str">
            <v>Expreso - Servicios Troncales</v>
          </cell>
          <cell r="CM451" t="str">
            <v>Expreso - Servicios Troncales</v>
          </cell>
          <cell r="CN451" t="str">
            <v>Expreso - Servicios Troncales</v>
          </cell>
          <cell r="CO451" t="str">
            <v>Expreso - Servicios Troncales</v>
          </cell>
          <cell r="CP451" t="str">
            <v>Expreso - Servicios Troncales</v>
          </cell>
          <cell r="CQ451" t="str">
            <v>Expreso - Servicios Troncales</v>
          </cell>
          <cell r="CR451" t="str">
            <v>Expreso - Servicios Troncales</v>
          </cell>
          <cell r="CS451" t="str">
            <v>Expreso - Servicios Troncales</v>
          </cell>
          <cell r="CT451" t="str">
            <v>Expreso - Servicios Troncales</v>
          </cell>
          <cell r="CU451" t="str">
            <v>Expreso - Servicios Troncales</v>
          </cell>
          <cell r="CV451" t="str">
            <v>Expreso - Servicios Troncales</v>
          </cell>
          <cell r="CW451" t="str">
            <v>Expreso - Servicios Troncales</v>
          </cell>
        </row>
        <row r="452">
          <cell r="D452" t="str">
            <v>SYG972</v>
          </cell>
          <cell r="E452" t="str">
            <v>Tractor</v>
          </cell>
          <cell r="F452" t="str">
            <v>Tractor</v>
          </cell>
          <cell r="G452" t="str">
            <v>Tractor</v>
          </cell>
          <cell r="N452" t="str">
            <v>Expreso Malargüe S. A.</v>
          </cell>
          <cell r="O452" t="str">
            <v>Expreso Malargüe S. A.</v>
          </cell>
          <cell r="P452" t="str">
            <v>No</v>
          </cell>
          <cell r="Q452" t="str">
            <v>Propio</v>
          </cell>
          <cell r="R452" t="str">
            <v>-</v>
          </cell>
          <cell r="S452" t="str">
            <v>Propio</v>
          </cell>
          <cell r="T452" t="str">
            <v>MERCEDES BENZ</v>
          </cell>
          <cell r="U452" t="str">
            <v>1633</v>
          </cell>
          <cell r="V452">
            <v>47598210658285</v>
          </cell>
          <cell r="W452" t="str">
            <v>9BM386059NB954779</v>
          </cell>
          <cell r="X452">
            <v>1992</v>
          </cell>
          <cell r="Y452">
            <v>34</v>
          </cell>
          <cell r="Z452" t="str">
            <v>Malargue</v>
          </cell>
          <cell r="AA452" t="str">
            <v>Expreso - Servicios Troncales</v>
          </cell>
          <cell r="AB452" t="str">
            <v>Expreso - Servicios Troncales</v>
          </cell>
          <cell r="AC452" t="str">
            <v>Expreso - Servicios Troncales</v>
          </cell>
          <cell r="AD452" t="str">
            <v>Expreso - Servicios Troncales</v>
          </cell>
          <cell r="AE452" t="str">
            <v>Expreso - Servicios Troncales</v>
          </cell>
          <cell r="AF452" t="str">
            <v>Expreso - Servicios Troncales</v>
          </cell>
          <cell r="AG452" t="str">
            <v>Expreso - Servicios Troncales</v>
          </cell>
          <cell r="AH452" t="str">
            <v>Expreso - Servicios Troncales</v>
          </cell>
          <cell r="AI452" t="str">
            <v>Expreso - Servicios Troncales</v>
          </cell>
          <cell r="AJ452" t="str">
            <v>Expreso - Servicios Troncales</v>
          </cell>
          <cell r="AK452" t="str">
            <v>Expreso - Servicios Troncales</v>
          </cell>
          <cell r="AL452" t="str">
            <v>Expreso - Servicios Troncales</v>
          </cell>
          <cell r="AM452" t="str">
            <v>Expreso - Servicios Troncales</v>
          </cell>
          <cell r="AN452" t="str">
            <v>Expreso - Servicios Troncales</v>
          </cell>
          <cell r="AO452" t="str">
            <v>Expreso - Servicios Troncales</v>
          </cell>
          <cell r="AP452" t="str">
            <v>Expreso - Servicios Troncales</v>
          </cell>
          <cell r="AQ452" t="str">
            <v>Expreso - Servicios Troncales</v>
          </cell>
          <cell r="AR452" t="str">
            <v>Expreso - Servicios Troncales</v>
          </cell>
          <cell r="AS452" t="str">
            <v>Expreso - Servicios Troncales</v>
          </cell>
          <cell r="AT452" t="str">
            <v>Expreso - Servicios Troncales</v>
          </cell>
          <cell r="AU452" t="str">
            <v>Expreso - Servicios Troncales</v>
          </cell>
          <cell r="AV452" t="str">
            <v>Expreso - Servicios Troncales</v>
          </cell>
          <cell r="AW452" t="str">
            <v>Expreso - Servicios Troncales</v>
          </cell>
          <cell r="AX452" t="str">
            <v>Expreso - Servicios Troncales</v>
          </cell>
          <cell r="AY452" t="str">
            <v>Expreso - Servicios Troncales</v>
          </cell>
          <cell r="AZ452" t="str">
            <v>Expreso - Servicios Troncales</v>
          </cell>
          <cell r="BA452" t="str">
            <v>Expreso - Servicios Troncales</v>
          </cell>
          <cell r="BB452" t="str">
            <v>Expreso - Servicios Troncales</v>
          </cell>
          <cell r="BC452" t="str">
            <v>Expreso - Servicios Troncales</v>
          </cell>
          <cell r="BD452" t="str">
            <v>SUC_CTC - Sucursal Buenos Aires</v>
          </cell>
          <cell r="BE452" t="str">
            <v>SUC_CTC - Sucursal Buenos Aires</v>
          </cell>
          <cell r="BF452" t="str">
            <v>SUC_CTC - Sucursal Buenos Aires</v>
          </cell>
          <cell r="BG452" t="str">
            <v>SUC_CTC - Sucursal Buenos Aires</v>
          </cell>
          <cell r="BH452" t="str">
            <v>SUC_CTC - Sucursal Buenos Aires</v>
          </cell>
          <cell r="BI452" t="str">
            <v>SUC_CTC - Sucursal Buenos Aires</v>
          </cell>
          <cell r="BJ452" t="str">
            <v>SUC_CTC - Sucursal Buenos Aires</v>
          </cell>
          <cell r="BK452" t="str">
            <v>SUC_CTC - Sucursal Buenos Aires</v>
          </cell>
          <cell r="BL452" t="str">
            <v>SUC_CTC - Sucursal Buenos Aires</v>
          </cell>
          <cell r="BM452" t="str">
            <v>SUC_CTC - Sucursal Buenos Aires</v>
          </cell>
          <cell r="BN452" t="str">
            <v>SUC_CTC - Sucursal Buenos Aires</v>
          </cell>
          <cell r="BO452" t="str">
            <v>SUC_CTC - Sucursal Buenos Aires</v>
          </cell>
          <cell r="BP452" t="str">
            <v>SUC_CTC - Sucursal Buenos Aires</v>
          </cell>
          <cell r="BQ452" t="str">
            <v>SUC_CTC - Sucursal Buenos Aires</v>
          </cell>
          <cell r="BR452" t="str">
            <v>SUC_CTC - Sucursal Buenos Aires</v>
          </cell>
          <cell r="BS452" t="str">
            <v>SUC_CTC - Sucursal Buenos Aires</v>
          </cell>
          <cell r="BT452" t="str">
            <v>SUC_CTC - Sucursal Buenos Aires</v>
          </cell>
          <cell r="BU452" t="str">
            <v>SUC_CTC - Sucursal Buenos Aires</v>
          </cell>
          <cell r="BV452" t="str">
            <v>SUC_CTC - Sucursal Buenos Aires</v>
          </cell>
          <cell r="BW452" t="str">
            <v>Expreso - Servicios Troncales</v>
          </cell>
          <cell r="BX452" t="str">
            <v>Expreso - Servicios Troncales</v>
          </cell>
          <cell r="BY452" t="str">
            <v>Expreso - Servicios Troncales</v>
          </cell>
          <cell r="BZ452" t="str">
            <v>Expreso - Servicios Troncales</v>
          </cell>
          <cell r="CA452" t="str">
            <v>Expreso - Servicios Troncales</v>
          </cell>
          <cell r="CB452" t="str">
            <v>Expreso - Servicios Troncales</v>
          </cell>
          <cell r="CC452" t="str">
            <v>Expreso - Servicios Troncales</v>
          </cell>
          <cell r="CD452" t="str">
            <v>Expreso - Servicios Troncales</v>
          </cell>
          <cell r="CE452" t="str">
            <v>Sin Operación</v>
          </cell>
          <cell r="CF452" t="str">
            <v>Sin Operación</v>
          </cell>
          <cell r="CG452" t="str">
            <v>Sin Operación</v>
          </cell>
          <cell r="CH452" t="str">
            <v>Sin Operación</v>
          </cell>
          <cell r="CI452" t="str">
            <v>Sin Operación</v>
          </cell>
          <cell r="CJ452" t="str">
            <v>Sin Operación</v>
          </cell>
          <cell r="CK452" t="str">
            <v>Sin Operación</v>
          </cell>
          <cell r="CL452" t="str">
            <v>Sin Operación</v>
          </cell>
          <cell r="CM452" t="str">
            <v>Sin Operación</v>
          </cell>
          <cell r="CN452" t="str">
            <v>Sin Operación</v>
          </cell>
          <cell r="CO452" t="str">
            <v>BAJA</v>
          </cell>
          <cell r="CP452" t="str">
            <v>BAJA</v>
          </cell>
          <cell r="CQ452" t="str">
            <v>BAJA</v>
          </cell>
          <cell r="CR452" t="str">
            <v>BAJA</v>
          </cell>
          <cell r="CS452" t="str">
            <v>BAJA</v>
          </cell>
          <cell r="CT452" t="str">
            <v>BAJA</v>
          </cell>
          <cell r="CU452" t="str">
            <v>BAJA</v>
          </cell>
          <cell r="CV452" t="str">
            <v>BAJA</v>
          </cell>
          <cell r="CW452" t="str">
            <v>BAJA</v>
          </cell>
        </row>
        <row r="453">
          <cell r="D453" t="str">
            <v>SYG989</v>
          </cell>
          <cell r="E453" t="str">
            <v>Tractor</v>
          </cell>
          <cell r="F453" t="str">
            <v>Tractor</v>
          </cell>
          <cell r="G453" t="str">
            <v>Tractor</v>
          </cell>
          <cell r="N453" t="str">
            <v>Expreso Malargüe S. A.</v>
          </cell>
          <cell r="O453" t="str">
            <v>Expreso Malargüe S. A.</v>
          </cell>
          <cell r="P453" t="str">
            <v>No</v>
          </cell>
          <cell r="Q453" t="str">
            <v>Propio</v>
          </cell>
          <cell r="R453" t="str">
            <v>-</v>
          </cell>
          <cell r="S453" t="str">
            <v>Propio</v>
          </cell>
          <cell r="T453" t="str">
            <v>MERCEDES BENZ</v>
          </cell>
          <cell r="U453" t="str">
            <v>LS 1632-45/51</v>
          </cell>
          <cell r="V453" t="str">
            <v>475982-10-662027</v>
          </cell>
          <cell r="W453" t="str">
            <v>9BM386058NB.963595</v>
          </cell>
          <cell r="X453">
            <v>1993</v>
          </cell>
          <cell r="Y453">
            <v>33</v>
          </cell>
          <cell r="Z453" t="str">
            <v>Malargue</v>
          </cell>
          <cell r="AA453" t="str">
            <v>Expreso - Servicios Troncales</v>
          </cell>
          <cell r="AB453" t="str">
            <v>Expreso - Servicios Troncales</v>
          </cell>
          <cell r="AC453" t="str">
            <v>Expreso - Servicios Troncales</v>
          </cell>
          <cell r="AD453" t="str">
            <v>Expreso - Servicios Troncales</v>
          </cell>
          <cell r="AE453" t="str">
            <v>Expreso - Servicios Troncales</v>
          </cell>
          <cell r="AF453" t="str">
            <v>Expreso - Servicios Troncales</v>
          </cell>
          <cell r="AG453" t="str">
            <v>Expreso - Servicios Troncales</v>
          </cell>
          <cell r="AH453" t="str">
            <v>CENCO_MZ - Cencosud SA - Mendoza</v>
          </cell>
          <cell r="AI453" t="str">
            <v>CENCO_MZ - Cencosud SA - Mendoza</v>
          </cell>
          <cell r="AJ453" t="str">
            <v>CENCO_MZ - Cencosud SA - Mendoza</v>
          </cell>
          <cell r="AK453" t="str">
            <v>CENCO_MZ - Cencosud SA - Mendoza</v>
          </cell>
          <cell r="AL453" t="str">
            <v>CENCO_MZ - Cencosud SA - Mendoza</v>
          </cell>
          <cell r="AM453" t="str">
            <v>CENCO_MZ - Cencosud SA - Mendoza</v>
          </cell>
          <cell r="AN453" t="str">
            <v>CENCO_MZ - Cencosud SA - Mendoza</v>
          </cell>
          <cell r="AO453" t="str">
            <v>CENCO_MZ - Cencosud SA - Mendoza</v>
          </cell>
          <cell r="AP453" t="str">
            <v>CENCO_MZ - Cencosud SA - Mendoza</v>
          </cell>
          <cell r="AQ453" t="str">
            <v>CENCO_MZ - Cencosud SA - Mendoza</v>
          </cell>
          <cell r="AR453" t="str">
            <v>CENCO_MZ - Cencosud SA - Mendoza</v>
          </cell>
          <cell r="AS453" t="str">
            <v>CENCO_MZ - Cencosud SA - Mendoza</v>
          </cell>
          <cell r="AT453" t="str">
            <v>CENCO_MZ - Cencosud SA - Mendoza</v>
          </cell>
          <cell r="AU453" t="str">
            <v>CENCO_MZ - Cencosud SA - Mendoza</v>
          </cell>
          <cell r="AV453" t="str">
            <v>CENCO_MZ - Cencosud SA - Mendoza</v>
          </cell>
          <cell r="AW453" t="str">
            <v>CENCO_MZ - Cencosud SA - Mendoza</v>
          </cell>
          <cell r="AX453" t="str">
            <v>CENCO_MZ - Cencosud SA - Mendoza</v>
          </cell>
          <cell r="AY453" t="str">
            <v>ADA_MZA - Danone Arg. S.A. - MZA</v>
          </cell>
          <cell r="AZ453" t="str">
            <v>ADA_MZA - Danone Arg. S.A. - MZA</v>
          </cell>
          <cell r="BA453" t="str">
            <v>ADA_MZA - Danone Arg. S.A. - MZA</v>
          </cell>
          <cell r="BB453" t="str">
            <v>ADA_MZA - Danone Arg. S.A. - MZA</v>
          </cell>
          <cell r="BC453" t="str">
            <v>ADA_MZA - Danone Arg. S.A. - MZA</v>
          </cell>
          <cell r="BD453" t="str">
            <v>SUC_MEN - Sucursal Mendoza</v>
          </cell>
          <cell r="BE453" t="str">
            <v>SUC_MEN - Sucursal Mendoza</v>
          </cell>
          <cell r="BF453" t="str">
            <v>SUC_MEN - Sucursal Mendoza</v>
          </cell>
          <cell r="BG453" t="str">
            <v>SUC_MEN - Sucursal Mendoza</v>
          </cell>
          <cell r="BH453" t="str">
            <v>SUC_MEN - Sucursal Mendoza</v>
          </cell>
          <cell r="BI453" t="str">
            <v>SUC_MEN - Sucursal Mendoza</v>
          </cell>
          <cell r="BJ453" t="str">
            <v>SUC_MEN - Sucursal Mendoza</v>
          </cell>
          <cell r="BK453" t="str">
            <v>SUC_MEN - Sucursal Mendoza</v>
          </cell>
          <cell r="BL453" t="str">
            <v>SUC_MEN - Sucursal Mendoza</v>
          </cell>
          <cell r="BM453" t="str">
            <v>SUC_MEN - Sucursal Mendoza</v>
          </cell>
          <cell r="BN453" t="str">
            <v>SUC_MEN - Sucursal Mendoza</v>
          </cell>
          <cell r="BO453" t="str">
            <v>SUC_MEN - Sucursal Mendoza</v>
          </cell>
          <cell r="BP453" t="str">
            <v>SUC_MEN - Sucursal Mendoza</v>
          </cell>
          <cell r="BQ453" t="str">
            <v>SUC_MEN - Sucursal Mendoza</v>
          </cell>
          <cell r="BR453" t="str">
            <v>SUC_MEN - Sucursal Mendoza</v>
          </cell>
          <cell r="BS453" t="str">
            <v>SUC_MEN - Sucursal Mendoza</v>
          </cell>
          <cell r="BT453" t="str">
            <v>SUC_MEN - Sucursal Mendoza</v>
          </cell>
          <cell r="BU453" t="str">
            <v>SUC_MEN - Sucursal Mendoza</v>
          </cell>
          <cell r="BV453" t="str">
            <v>SUC_MEN - Sucursal Mendoza</v>
          </cell>
          <cell r="BW453" t="str">
            <v>Expreso - Servicios Troncales</v>
          </cell>
          <cell r="BX453" t="str">
            <v>Expreso - Servicios Troncales</v>
          </cell>
          <cell r="BY453" t="str">
            <v>Expreso - Servicios Troncales</v>
          </cell>
          <cell r="BZ453" t="str">
            <v>Expreso - Servicios Troncales</v>
          </cell>
          <cell r="CA453" t="str">
            <v>Expreso - Servicios Troncales</v>
          </cell>
          <cell r="CB453" t="str">
            <v>Expreso - Servicios Troncales</v>
          </cell>
          <cell r="CC453" t="str">
            <v>Expreso - Servicios Troncales</v>
          </cell>
          <cell r="CD453" t="str">
            <v>Expreso - Servicios Troncales</v>
          </cell>
          <cell r="CE453" t="str">
            <v>Expreso - Servicios Troncales</v>
          </cell>
          <cell r="CF453" t="str">
            <v>Expreso - Servicios Troncales</v>
          </cell>
          <cell r="CG453" t="str">
            <v>Expreso - Servicios Troncales</v>
          </cell>
          <cell r="CH453" t="str">
            <v>INACTIVO</v>
          </cell>
          <cell r="CI453" t="str">
            <v>INACTIVO</v>
          </cell>
          <cell r="CJ453" t="str">
            <v>INACTIVO</v>
          </cell>
          <cell r="CK453" t="str">
            <v>INACTIVO</v>
          </cell>
          <cell r="CL453" t="str">
            <v>Sin Operación</v>
          </cell>
          <cell r="CM453" t="str">
            <v>Sin Operación</v>
          </cell>
          <cell r="CN453" t="str">
            <v>Sin Operación</v>
          </cell>
          <cell r="CO453" t="str">
            <v>BAJA</v>
          </cell>
          <cell r="CP453" t="str">
            <v>BAJA</v>
          </cell>
          <cell r="CQ453" t="str">
            <v>BAJA</v>
          </cell>
          <cell r="CR453" t="str">
            <v>BAJA</v>
          </cell>
          <cell r="CS453" t="str">
            <v>BAJA</v>
          </cell>
          <cell r="CT453" t="str">
            <v>BAJA</v>
          </cell>
          <cell r="CU453" t="str">
            <v>BAJA</v>
          </cell>
          <cell r="CV453" t="str">
            <v>BAJA</v>
          </cell>
          <cell r="CW453" t="str">
            <v>BAJA</v>
          </cell>
        </row>
        <row r="454">
          <cell r="D454" t="str">
            <v>SYP554</v>
          </cell>
          <cell r="E454" t="str">
            <v>Tractor</v>
          </cell>
          <cell r="F454" t="str">
            <v>Tractor</v>
          </cell>
          <cell r="G454" t="str">
            <v>Tractor</v>
          </cell>
          <cell r="N454" t="str">
            <v>Expreso Malargüe S. A.</v>
          </cell>
          <cell r="O454" t="str">
            <v>Expreso Malargüe S. A.</v>
          </cell>
          <cell r="P454" t="str">
            <v>No</v>
          </cell>
          <cell r="Q454" t="str">
            <v>Propio</v>
          </cell>
          <cell r="R454" t="str">
            <v>-</v>
          </cell>
          <cell r="S454" t="str">
            <v>Propio</v>
          </cell>
          <cell r="T454" t="str">
            <v>SCANIA</v>
          </cell>
          <cell r="U454" t="str">
            <v>T 112H 4X2 42 DS 310 HP</v>
          </cell>
          <cell r="V454">
            <v>2039182</v>
          </cell>
          <cell r="W454" t="str">
            <v>02207061</v>
          </cell>
          <cell r="X454">
            <v>1989</v>
          </cell>
          <cell r="Y454">
            <v>37</v>
          </cell>
          <cell r="Z454" t="str">
            <v>Malargue</v>
          </cell>
          <cell r="AA454" t="str">
            <v>Expreso - Servicios Troncales</v>
          </cell>
          <cell r="AB454" t="str">
            <v>Expreso - Servicios Troncales</v>
          </cell>
          <cell r="AC454" t="str">
            <v>Expreso - Servicios Troncales</v>
          </cell>
          <cell r="AD454" t="str">
            <v>Expreso - Servicios Troncales</v>
          </cell>
          <cell r="AE454" t="str">
            <v>Expreso - Servicios Troncales</v>
          </cell>
          <cell r="AF454" t="str">
            <v>Expreso - Servicios Troncales</v>
          </cell>
          <cell r="AG454" t="str">
            <v>Expreso - Servicios Troncales</v>
          </cell>
          <cell r="AH454" t="str">
            <v>Expreso - Servicios Troncales</v>
          </cell>
          <cell r="AI454" t="str">
            <v>Expreso - Servicios Troncales</v>
          </cell>
          <cell r="AJ454" t="str">
            <v>Expreso - Servicios Troncales</v>
          </cell>
          <cell r="AK454" t="str">
            <v>Expreso - Servicios Troncales</v>
          </cell>
          <cell r="AL454" t="str">
            <v>Expreso - Servicios Troncales</v>
          </cell>
          <cell r="AM454" t="str">
            <v>Expreso - Servicios Troncales</v>
          </cell>
          <cell r="AN454" t="str">
            <v>Expreso - Servicios Troncales</v>
          </cell>
          <cell r="AO454" t="str">
            <v>Expreso - Servicios Troncales</v>
          </cell>
          <cell r="AP454" t="str">
            <v>Expreso - Servicios Troncales</v>
          </cell>
          <cell r="AQ454" t="str">
            <v>Expreso - Servicios Troncales</v>
          </cell>
          <cell r="AR454" t="str">
            <v>Expreso - Servicios Troncales</v>
          </cell>
          <cell r="AS454" t="str">
            <v>Expreso - Servicios Troncales</v>
          </cell>
          <cell r="AT454" t="str">
            <v>Expreso - Servicios Troncales</v>
          </cell>
          <cell r="AU454" t="str">
            <v>Expreso - Servicios Troncales</v>
          </cell>
          <cell r="AV454" t="str">
            <v>Expreso - Servicios Troncales</v>
          </cell>
          <cell r="AW454" t="str">
            <v>Expreso - Servicios Troncales</v>
          </cell>
          <cell r="AX454" t="str">
            <v>Expreso - Servicios Troncales</v>
          </cell>
          <cell r="AY454" t="str">
            <v>Expreso - Servicios Troncales</v>
          </cell>
          <cell r="AZ454" t="str">
            <v>Expreso - Servicios Troncales</v>
          </cell>
          <cell r="BA454" t="str">
            <v>Expreso - Servicios Troncales</v>
          </cell>
          <cell r="BB454" t="str">
            <v>Expreso - Servicios Troncales</v>
          </cell>
          <cell r="BC454" t="str">
            <v>Expreso - Servicios Troncales</v>
          </cell>
          <cell r="BD454" t="str">
            <v>SUC_SRA - Sucursal San Rafael</v>
          </cell>
          <cell r="BE454" t="str">
            <v>SUC_SRA - Sucursal San Rafael</v>
          </cell>
          <cell r="BF454" t="str">
            <v>SUC_SRA - Sucursal San Rafael</v>
          </cell>
          <cell r="BG454" t="str">
            <v>SUC_SRA - Sucursal San Rafael</v>
          </cell>
          <cell r="BH454" t="str">
            <v>SUC_SRA - Sucursal San Rafael</v>
          </cell>
          <cell r="BI454" t="str">
            <v>SUC_SRA - Sucursal San Rafael</v>
          </cell>
          <cell r="BJ454" t="str">
            <v>SUC_SRA - Sucursal San Rafael</v>
          </cell>
          <cell r="BK454" t="str">
            <v>SUC_SRA - Sucursal San Rafael</v>
          </cell>
          <cell r="BL454" t="str">
            <v>SUC_SRA - Sucursal San Rafael</v>
          </cell>
          <cell r="BM454" t="str">
            <v>SUC_SRA - Sucursal San Rafael</v>
          </cell>
          <cell r="BN454" t="str">
            <v>SUC_SRA - Sucursal San Rafael</v>
          </cell>
          <cell r="BO454" t="str">
            <v>SUC_SRA - Sucursal San Rafael</v>
          </cell>
          <cell r="BP454" t="str">
            <v>SUC_SRA - Sucursal San Rafael</v>
          </cell>
          <cell r="BQ454" t="str">
            <v>Expreso - Servicios Troncales</v>
          </cell>
          <cell r="BR454" t="str">
            <v>Expreso - Servicios Troncales</v>
          </cell>
          <cell r="BS454" t="str">
            <v>Expreso - Servicios Troncales</v>
          </cell>
          <cell r="BT454" t="str">
            <v>Expreso - Servicios Troncales</v>
          </cell>
          <cell r="BU454" t="str">
            <v>Expreso - Servicios Troncales</v>
          </cell>
          <cell r="BV454" t="str">
            <v>Expreso - Servicios Troncales</v>
          </cell>
          <cell r="BW454" t="str">
            <v>Expreso - Servicios Troncales</v>
          </cell>
          <cell r="BX454" t="str">
            <v>Expreso - Servicios Troncales</v>
          </cell>
          <cell r="BY454" t="str">
            <v>Expreso - Servicios Troncales</v>
          </cell>
          <cell r="BZ454" t="str">
            <v>Expreso - Servicios Troncales</v>
          </cell>
          <cell r="CA454" t="str">
            <v>Expreso - Servicios Troncales</v>
          </cell>
          <cell r="CB454" t="str">
            <v>Expreso - Servicios Troncales</v>
          </cell>
          <cell r="CC454" t="str">
            <v>Expreso - Servicios Troncales</v>
          </cell>
          <cell r="CD454" t="str">
            <v>Expreso - Servicios Troncales</v>
          </cell>
          <cell r="CE454" t="str">
            <v>Expreso - Servicios Troncales</v>
          </cell>
          <cell r="CF454" t="str">
            <v>Expreso - Servicios Troncales</v>
          </cell>
          <cell r="CG454" t="str">
            <v>Expreso - Servicios Troncales</v>
          </cell>
          <cell r="CH454" t="str">
            <v>Expreso - Servicios Troncales</v>
          </cell>
          <cell r="CI454" t="str">
            <v>Expreso - Servicios Troncales</v>
          </cell>
          <cell r="CJ454" t="str">
            <v>Expreso - Servicios Troncales</v>
          </cell>
          <cell r="CK454" t="str">
            <v>Expreso - Servicios Troncales</v>
          </cell>
          <cell r="CL454" t="str">
            <v>Expreso - Servicios Troncales</v>
          </cell>
          <cell r="CM454" t="str">
            <v>Expreso - Servicios Troncales</v>
          </cell>
          <cell r="CN454" t="str">
            <v>Expreso - Servicios Troncales</v>
          </cell>
          <cell r="CO454" t="str">
            <v>Expreso - Servicios Troncales</v>
          </cell>
          <cell r="CP454" t="str">
            <v>Expreso - Servicios Troncales</v>
          </cell>
          <cell r="CQ454" t="str">
            <v>Expreso - Servicios Troncales</v>
          </cell>
          <cell r="CR454" t="str">
            <v>Expreso - Servicios Troncales</v>
          </cell>
          <cell r="CS454" t="str">
            <v>Expreso - Servicios Troncales</v>
          </cell>
          <cell r="CT454" t="str">
            <v>Expreso - Servicios Troncales</v>
          </cell>
          <cell r="CU454" t="str">
            <v>Expreso - Servicios Troncales</v>
          </cell>
          <cell r="CV454" t="str">
            <v>Expreso - Servicios Troncales</v>
          </cell>
          <cell r="CW454" t="str">
            <v>Expreso - Servicios Troncales</v>
          </cell>
        </row>
        <row r="455">
          <cell r="D455" t="str">
            <v>TDP263</v>
          </cell>
          <cell r="E455" t="str">
            <v>Chasis</v>
          </cell>
          <cell r="F455">
            <v>0</v>
          </cell>
          <cell r="G455" t="str">
            <v>Balancin</v>
          </cell>
          <cell r="N455" t="str">
            <v>AGUIRRE JUAN CARLOS</v>
          </cell>
          <cell r="O455" t="str">
            <v>AGUIRRE JUAN CARLOS</v>
          </cell>
          <cell r="P455" t="str">
            <v>No</v>
          </cell>
          <cell r="Q455" t="str">
            <v>De Tercero</v>
          </cell>
          <cell r="R455" t="str">
            <v>-</v>
          </cell>
          <cell r="S455" t="str">
            <v>De Tercero</v>
          </cell>
          <cell r="T455" t="str">
            <v>CHEVROLET</v>
          </cell>
          <cell r="U455">
            <v>14000</v>
          </cell>
          <cell r="V455">
            <v>1993</v>
          </cell>
          <cell r="W455">
            <v>33</v>
          </cell>
          <cell r="X455">
            <v>1993</v>
          </cell>
          <cell r="Y455">
            <v>33</v>
          </cell>
          <cell r="Z455" t="str">
            <v>TDU</v>
          </cell>
          <cell r="AA455" t="str">
            <v>CMQ_TTE - QUILMES TTE</v>
          </cell>
          <cell r="AB455" t="str">
            <v>CMQ_TTE - QUILMES TTE</v>
          </cell>
          <cell r="AC455" t="str">
            <v>CMQ_TTE - QUILMES TTE</v>
          </cell>
          <cell r="AD455" t="str">
            <v>CMQ_TTE - QUILMES TTE</v>
          </cell>
          <cell r="AE455" t="str">
            <v>CMQ_TTE - QUILMES TTE</v>
          </cell>
          <cell r="AF455" t="str">
            <v>CMQ_TTE - QUILMES TTE</v>
          </cell>
          <cell r="AG455" t="str">
            <v>CMQ_TTE - QUILMES TTE</v>
          </cell>
          <cell r="AH455" t="str">
            <v>CMQ_TTE - QUILMES TTE</v>
          </cell>
          <cell r="AI455" t="str">
            <v>CMQ_TTE - QUILMES TTE</v>
          </cell>
          <cell r="AJ455" t="str">
            <v>CMQ_TTE - QUILMES TTE</v>
          </cell>
          <cell r="AK455" t="str">
            <v>CMQ_TTE - QUILMES TTE</v>
          </cell>
          <cell r="AL455" t="str">
            <v>CMQ_TTE - QUILMES TTE</v>
          </cell>
          <cell r="AM455" t="str">
            <v>CMQ_TTE - QUILMES TTE</v>
          </cell>
          <cell r="AN455" t="str">
            <v>CMQ_TTE - QUILMES TTE</v>
          </cell>
          <cell r="AO455" t="str">
            <v>CMQ_TTE - QUILMES TTE</v>
          </cell>
          <cell r="AP455" t="str">
            <v>CMQ_TTE - QUILMES TTE</v>
          </cell>
          <cell r="AQ455" t="str">
            <v>CMQ_TTE - QUILMES TTE</v>
          </cell>
          <cell r="AR455" t="str">
            <v>CMQ_TTE - QUILMES TTE</v>
          </cell>
          <cell r="AS455" t="str">
            <v>CMQ_TTE - QUILMES TTE</v>
          </cell>
          <cell r="AT455" t="str">
            <v>CMQ_TTE - QUILMES TTE</v>
          </cell>
          <cell r="AU455" t="str">
            <v>CMQ_TTE - QUILMES TTE</v>
          </cell>
          <cell r="AV455" t="str">
            <v>CMQ_TTE - QUILMES TTE</v>
          </cell>
          <cell r="AW455" t="str">
            <v>CMQ_TTE - QUILMES TTE</v>
          </cell>
          <cell r="AX455" t="str">
            <v>INACTIVO</v>
          </cell>
          <cell r="AY455" t="str">
            <v>INACTIVO</v>
          </cell>
          <cell r="AZ455" t="str">
            <v>INACTIVO</v>
          </cell>
          <cell r="BA455" t="str">
            <v>INACTIVO</v>
          </cell>
          <cell r="BB455" t="str">
            <v>INACTIVO</v>
          </cell>
          <cell r="BC455" t="str">
            <v>INACTIVO</v>
          </cell>
          <cell r="BD455" t="str">
            <v>INACTIVO</v>
          </cell>
          <cell r="BE455" t="str">
            <v>INACTIVO</v>
          </cell>
          <cell r="BF455" t="str">
            <v>INACTIVO</v>
          </cell>
          <cell r="BG455" t="str">
            <v>INACTIVO</v>
          </cell>
          <cell r="BH455" t="str">
            <v>INACTIVO</v>
          </cell>
          <cell r="BI455" t="str">
            <v>INACTIVO</v>
          </cell>
          <cell r="BJ455" t="str">
            <v>INACTIVO</v>
          </cell>
          <cell r="BK455" t="str">
            <v>INACTIVO</v>
          </cell>
          <cell r="BL455" t="str">
            <v>INACTIVO</v>
          </cell>
          <cell r="BM455" t="str">
            <v>INACTIVO</v>
          </cell>
          <cell r="BN455" t="str">
            <v>INACTIVO</v>
          </cell>
          <cell r="BO455" t="str">
            <v>INACTIVO</v>
          </cell>
          <cell r="BP455" t="str">
            <v>INACTIVO</v>
          </cell>
          <cell r="BQ455" t="str">
            <v>INACTIVO</v>
          </cell>
          <cell r="BR455" t="str">
            <v>INACTIVO</v>
          </cell>
          <cell r="BS455" t="str">
            <v>INACTIVO</v>
          </cell>
          <cell r="BT455" t="str">
            <v>INACTIVO</v>
          </cell>
          <cell r="BU455" t="str">
            <v>INACTIVO</v>
          </cell>
          <cell r="BV455" t="str">
            <v>INACTIVO</v>
          </cell>
          <cell r="BW455" t="str">
            <v>INACTIVO</v>
          </cell>
          <cell r="BX455" t="str">
            <v>INACTIVO</v>
          </cell>
          <cell r="BY455" t="str">
            <v>INACTIVO</v>
          </cell>
          <cell r="BZ455" t="str">
            <v>INACTIVO</v>
          </cell>
          <cell r="CA455" t="str">
            <v>INACTIVO</v>
          </cell>
          <cell r="CB455" t="str">
            <v>INACTIVO</v>
          </cell>
          <cell r="CC455" t="str">
            <v>BAJA</v>
          </cell>
          <cell r="CD455" t="str">
            <v>BAJA</v>
          </cell>
          <cell r="CE455" t="str">
            <v>BAJA</v>
          </cell>
          <cell r="CF455" t="str">
            <v>BAJA</v>
          </cell>
          <cell r="CG455" t="str">
            <v>BAJA</v>
          </cell>
          <cell r="CH455" t="str">
            <v>BAJA</v>
          </cell>
          <cell r="CI455" t="str">
            <v>BAJA</v>
          </cell>
          <cell r="CJ455" t="str">
            <v>BAJA</v>
          </cell>
          <cell r="CK455" t="str">
            <v>BAJA</v>
          </cell>
          <cell r="CL455" t="str">
            <v>BAJA</v>
          </cell>
          <cell r="CM455" t="str">
            <v>BAJA</v>
          </cell>
          <cell r="CN455" t="str">
            <v>BAJA</v>
          </cell>
          <cell r="CO455" t="str">
            <v>BAJA</v>
          </cell>
          <cell r="CP455" t="str">
            <v>BAJA</v>
          </cell>
          <cell r="CQ455" t="str">
            <v>BAJA</v>
          </cell>
          <cell r="CR455" t="str">
            <v>BAJA</v>
          </cell>
          <cell r="CS455" t="str">
            <v>BAJA</v>
          </cell>
          <cell r="CT455" t="str">
            <v>BAJA</v>
          </cell>
          <cell r="CU455" t="str">
            <v>BAJA</v>
          </cell>
          <cell r="CV455" t="str">
            <v>BAJA</v>
          </cell>
          <cell r="CW455" t="str">
            <v>BAJA</v>
          </cell>
        </row>
        <row r="456">
          <cell r="D456" t="str">
            <v>TJK520</v>
          </cell>
          <cell r="E456" t="str">
            <v>Chasis</v>
          </cell>
          <cell r="F456">
            <v>0</v>
          </cell>
          <cell r="G456" t="str">
            <v>Balancin</v>
          </cell>
          <cell r="N456" t="str">
            <v>LONGO DIEGO ALEJANDRO</v>
          </cell>
          <cell r="O456" t="str">
            <v>LONGO DIEGO ALEJANDRO</v>
          </cell>
          <cell r="P456" t="str">
            <v>No</v>
          </cell>
          <cell r="Q456" t="str">
            <v>De Tercero</v>
          </cell>
          <cell r="R456" t="str">
            <v>-</v>
          </cell>
          <cell r="S456" t="str">
            <v>De Tercero</v>
          </cell>
          <cell r="T456" t="str">
            <v>FORD</v>
          </cell>
          <cell r="U456">
            <v>700</v>
          </cell>
          <cell r="V456">
            <v>1969</v>
          </cell>
          <cell r="W456">
            <v>57</v>
          </cell>
          <cell r="X456">
            <v>1969</v>
          </cell>
          <cell r="Y456">
            <v>57</v>
          </cell>
          <cell r="Z456" t="str">
            <v>TDU</v>
          </cell>
          <cell r="AA456" t="str">
            <v>CMQ_TTE - QUILMES TTE</v>
          </cell>
          <cell r="AB456" t="str">
            <v>CMQ_TTE - QUILMES TTE</v>
          </cell>
          <cell r="AC456" t="str">
            <v>CMQ_TTE - QUILMES TTE</v>
          </cell>
          <cell r="AD456" t="str">
            <v>CMQ_TTE - QUILMES TTE</v>
          </cell>
          <cell r="AE456" t="str">
            <v>CMQ_TTE - QUILMES TTE</v>
          </cell>
          <cell r="AF456" t="str">
            <v>CMQ_TTE - QUILMES TTE</v>
          </cell>
          <cell r="AG456" t="str">
            <v>CMQ_TTE - QUILMES TTE</v>
          </cell>
          <cell r="AH456" t="str">
            <v>CMQ_TTE - QUILMES TTE</v>
          </cell>
          <cell r="AI456" t="str">
            <v>CMQ_TTE - QUILMES TTE</v>
          </cell>
          <cell r="AJ456" t="str">
            <v>CMQ_TTE - QUILMES TTE</v>
          </cell>
          <cell r="AK456" t="str">
            <v>CMQ_TTE - QUILMES TTE</v>
          </cell>
          <cell r="AL456" t="str">
            <v>CMQ_TTE - QUILMES TTE</v>
          </cell>
          <cell r="AM456" t="str">
            <v>CMQ_TTE - QUILMES TTE</v>
          </cell>
          <cell r="AN456" t="str">
            <v>CMQ_TTE - QUILMES TTE</v>
          </cell>
          <cell r="AO456" t="str">
            <v>CMQ_TTE - QUILMES TTE</v>
          </cell>
          <cell r="AP456" t="str">
            <v>CMQ_TTE - QUILMES TTE</v>
          </cell>
          <cell r="AQ456" t="str">
            <v>CMQ_TTE - QUILMES TTE</v>
          </cell>
          <cell r="AR456" t="str">
            <v>CMQ_TTE - QUILMES TTE</v>
          </cell>
          <cell r="AS456" t="str">
            <v>CMQ_TTE - QUILMES TTE</v>
          </cell>
          <cell r="AT456" t="str">
            <v>CMQ_TTE - QUILMES TTE</v>
          </cell>
          <cell r="AU456" t="str">
            <v>CMQ_TTE - QUILMES TTE</v>
          </cell>
          <cell r="AV456" t="str">
            <v>CMQ_TTE - QUILMES TTE</v>
          </cell>
          <cell r="AW456" t="str">
            <v>CMQ_TTE - QUILMES TTE</v>
          </cell>
          <cell r="AX456" t="str">
            <v>INACTIVO</v>
          </cell>
          <cell r="AY456" t="str">
            <v>INACTIVO</v>
          </cell>
          <cell r="AZ456" t="str">
            <v>INACTIVO</v>
          </cell>
          <cell r="BA456" t="str">
            <v>INACTIVO</v>
          </cell>
          <cell r="BB456" t="str">
            <v>INACTIVO</v>
          </cell>
          <cell r="BC456" t="str">
            <v>INACTIVO</v>
          </cell>
          <cell r="BD456" t="str">
            <v>INACTIVO</v>
          </cell>
          <cell r="BE456" t="str">
            <v>INACTIVO</v>
          </cell>
          <cell r="BF456" t="str">
            <v>INACTIVO</v>
          </cell>
          <cell r="BG456" t="str">
            <v>INACTIVO</v>
          </cell>
          <cell r="BH456" t="str">
            <v>INACTIVO</v>
          </cell>
          <cell r="BI456" t="str">
            <v>INACTIVO</v>
          </cell>
          <cell r="BJ456" t="str">
            <v>INACTIVO</v>
          </cell>
          <cell r="BK456" t="str">
            <v>INACTIVO</v>
          </cell>
          <cell r="BL456" t="str">
            <v>INACTIVO</v>
          </cell>
          <cell r="BM456" t="str">
            <v>INACTIVO</v>
          </cell>
          <cell r="BN456" t="str">
            <v>INACTIVO</v>
          </cell>
          <cell r="BO456" t="str">
            <v>INACTIVO</v>
          </cell>
          <cell r="BP456" t="str">
            <v>INACTIVO</v>
          </cell>
          <cell r="BQ456" t="str">
            <v>INACTIVO</v>
          </cell>
          <cell r="BR456" t="str">
            <v>INACTIVO</v>
          </cell>
          <cell r="BS456" t="str">
            <v>INACTIVO</v>
          </cell>
          <cell r="BT456" t="str">
            <v>INACTIVO</v>
          </cell>
          <cell r="BU456" t="str">
            <v>INACTIVO</v>
          </cell>
          <cell r="BV456" t="str">
            <v>INACTIVO</v>
          </cell>
          <cell r="BW456" t="str">
            <v>INACTIVO</v>
          </cell>
          <cell r="BX456" t="str">
            <v>INACTIVO</v>
          </cell>
          <cell r="BY456" t="str">
            <v>INACTIVO</v>
          </cell>
          <cell r="BZ456" t="str">
            <v>INACTIVO</v>
          </cell>
          <cell r="CA456" t="str">
            <v>INACTIVO</v>
          </cell>
          <cell r="CB456" t="str">
            <v>INACTIVO</v>
          </cell>
          <cell r="CC456" t="str">
            <v>BAJA</v>
          </cell>
          <cell r="CD456" t="str">
            <v>BAJA</v>
          </cell>
          <cell r="CE456" t="str">
            <v>BAJA</v>
          </cell>
          <cell r="CF456" t="str">
            <v>BAJA</v>
          </cell>
          <cell r="CG456" t="str">
            <v>BAJA</v>
          </cell>
          <cell r="CH456" t="str">
            <v>BAJA</v>
          </cell>
          <cell r="CI456" t="str">
            <v>BAJA</v>
          </cell>
          <cell r="CJ456" t="str">
            <v>BAJA</v>
          </cell>
          <cell r="CK456" t="str">
            <v>BAJA</v>
          </cell>
          <cell r="CL456" t="str">
            <v>BAJA</v>
          </cell>
          <cell r="CM456" t="str">
            <v>BAJA</v>
          </cell>
          <cell r="CN456" t="str">
            <v>BAJA</v>
          </cell>
          <cell r="CO456" t="str">
            <v>BAJA</v>
          </cell>
          <cell r="CP456" t="str">
            <v>BAJA</v>
          </cell>
          <cell r="CQ456" t="str">
            <v>BAJA</v>
          </cell>
          <cell r="CR456" t="str">
            <v>BAJA</v>
          </cell>
          <cell r="CS456" t="str">
            <v>BAJA</v>
          </cell>
          <cell r="CT456" t="str">
            <v>BAJA</v>
          </cell>
          <cell r="CU456" t="str">
            <v>BAJA</v>
          </cell>
          <cell r="CV456" t="str">
            <v>BAJA</v>
          </cell>
          <cell r="CW456" t="str">
            <v>BAJA</v>
          </cell>
        </row>
        <row r="457">
          <cell r="D457" t="str">
            <v>TLH736</v>
          </cell>
          <cell r="E457" t="str">
            <v>Chasis</v>
          </cell>
          <cell r="F457" t="str">
            <v>Chasis</v>
          </cell>
          <cell r="G457" t="str">
            <v>Chasis</v>
          </cell>
          <cell r="N457" t="str">
            <v>CODYLSA</v>
          </cell>
          <cell r="O457" t="str">
            <v>CODYLSA</v>
          </cell>
          <cell r="P457" t="str">
            <v>No</v>
          </cell>
          <cell r="Q457" t="str">
            <v>Propio</v>
          </cell>
          <cell r="R457">
            <v>8</v>
          </cell>
          <cell r="S457" t="str">
            <v>Propio</v>
          </cell>
          <cell r="T457" t="str">
            <v>MERCEDES BENZ</v>
          </cell>
          <cell r="U457">
            <v>710</v>
          </cell>
          <cell r="V457" t="str">
            <v>374905-10-143076</v>
          </cell>
          <cell r="W457" t="str">
            <v>9BM688102NB944379</v>
          </cell>
          <cell r="X457">
            <v>1992</v>
          </cell>
          <cell r="Y457">
            <v>34</v>
          </cell>
          <cell r="Z457" t="str">
            <v>Malargue</v>
          </cell>
          <cell r="AA457" t="str">
            <v>Expreso - Servicios Troncales</v>
          </cell>
          <cell r="AB457" t="str">
            <v>Expreso - Servicios Troncales</v>
          </cell>
          <cell r="AC457" t="str">
            <v>Expreso - Servicios Troncales</v>
          </cell>
          <cell r="AD457" t="str">
            <v>Expreso - Servicios Troncales</v>
          </cell>
          <cell r="AE457" t="str">
            <v>Expreso - Servicios Troncales</v>
          </cell>
          <cell r="AF457" t="str">
            <v>Expreso - Servicios Troncales</v>
          </cell>
          <cell r="AG457" t="str">
            <v>Expreso - Servicios Troncales</v>
          </cell>
          <cell r="AH457" t="str">
            <v>Expreso - Servicios Troncales</v>
          </cell>
          <cell r="AI457" t="str">
            <v>Expreso - Servicios Troncales</v>
          </cell>
          <cell r="AJ457" t="str">
            <v>Expreso - Servicios Troncales</v>
          </cell>
          <cell r="AK457" t="str">
            <v>Expreso - Servicios Troncales</v>
          </cell>
          <cell r="AL457" t="str">
            <v>Expreso - Servicios Troncales</v>
          </cell>
          <cell r="AM457" t="str">
            <v>Expreso - Servicios Troncales</v>
          </cell>
          <cell r="AN457" t="str">
            <v>Expreso - Servicios Troncales</v>
          </cell>
          <cell r="AO457" t="str">
            <v>Expreso - Servicios Troncales</v>
          </cell>
          <cell r="AP457" t="str">
            <v>Expreso - Servicios Troncales</v>
          </cell>
          <cell r="AQ457" t="str">
            <v>Expreso - Servicios Troncales</v>
          </cell>
          <cell r="AR457" t="str">
            <v>Expreso - Servicios Troncales</v>
          </cell>
          <cell r="AS457" t="str">
            <v>Expreso - Servicios Troncales</v>
          </cell>
          <cell r="AT457" t="str">
            <v>Expreso - Servicios Troncales</v>
          </cell>
          <cell r="AU457" t="str">
            <v>Expreso - Servicios Troncales</v>
          </cell>
          <cell r="AV457" t="str">
            <v>Expreso - Servicios Troncales</v>
          </cell>
          <cell r="AW457" t="str">
            <v>Expreso - Servicios Troncales</v>
          </cell>
          <cell r="AX457" t="str">
            <v>Expreso - Servicios Troncales</v>
          </cell>
          <cell r="AY457" t="str">
            <v>Expreso - Servicios Troncales</v>
          </cell>
          <cell r="AZ457" t="str">
            <v>Expreso - Servicios Troncales</v>
          </cell>
          <cell r="BA457" t="str">
            <v>Expreso - Servicios Troncales</v>
          </cell>
          <cell r="BB457" t="str">
            <v>Expreso - Servicios Troncales</v>
          </cell>
          <cell r="BC457" t="str">
            <v>Expreso - Servicios Troncales</v>
          </cell>
          <cell r="BD457" t="str">
            <v>SUC_SRA - Sucursal San Rafael</v>
          </cell>
          <cell r="BE457" t="str">
            <v>SUC_SRA - Sucursal San Rafael</v>
          </cell>
          <cell r="BF457" t="str">
            <v>SUC_SRA - Sucursal San Rafael</v>
          </cell>
          <cell r="BG457" t="str">
            <v>SUC_SRA - Sucursal San Rafael</v>
          </cell>
          <cell r="BH457" t="str">
            <v>SUC_SRA - Sucursal San Rafael</v>
          </cell>
          <cell r="BI457" t="str">
            <v>SUC_SRA - Sucursal San Rafael</v>
          </cell>
          <cell r="BJ457" t="str">
            <v>SUC_SRA - Sucursal San Rafael</v>
          </cell>
          <cell r="BK457" t="str">
            <v>SUC_SRA - Sucursal San Rafael</v>
          </cell>
          <cell r="BL457" t="str">
            <v>SUC_SRA - Sucursal San Rafael</v>
          </cell>
          <cell r="BM457" t="str">
            <v>SUC_SRA - Sucursal San Rafael</v>
          </cell>
          <cell r="BN457" t="str">
            <v>SUC_SRA - Sucursal San Rafael</v>
          </cell>
          <cell r="BO457" t="str">
            <v>SUC_SRA - Sucursal San Rafael</v>
          </cell>
          <cell r="BP457" t="str">
            <v>SUC_SRA - Sucursal San Rafael</v>
          </cell>
          <cell r="BQ457" t="str">
            <v>SUC_SRA - Sucursal San Rafael</v>
          </cell>
          <cell r="BR457" t="str">
            <v>SUC_SRA - Sucursal San Rafael</v>
          </cell>
          <cell r="BS457" t="str">
            <v>SUC_SRA - Sucursal San Rafael</v>
          </cell>
          <cell r="BT457" t="str">
            <v>SUC_SRA - Sucursal San Rafael</v>
          </cell>
          <cell r="BU457" t="str">
            <v>SUC_SRA - Sucursal San Rafael</v>
          </cell>
          <cell r="BV457" t="str">
            <v>SUC_SRA - Sucursal San Rafael</v>
          </cell>
          <cell r="BW457" t="str">
            <v>SUC_SRA - Sucursal San Rafael</v>
          </cell>
          <cell r="BX457" t="str">
            <v>SUC_SRA - Sucursal San Rafael</v>
          </cell>
          <cell r="BY457" t="str">
            <v>SUC_SRA - Sucursal San Rafael</v>
          </cell>
          <cell r="BZ457" t="str">
            <v>SUC_SRA - Sucursal San Rafael</v>
          </cell>
          <cell r="CA457" t="str">
            <v>SUC_SRA - Sucursal San Rafael</v>
          </cell>
          <cell r="CB457" t="str">
            <v>SUC_SRA - Sucursal San Rafael</v>
          </cell>
          <cell r="CC457" t="str">
            <v>SUC_SRA - Sucursal San Rafael</v>
          </cell>
          <cell r="CD457" t="str">
            <v>SUC_SRA - Sucursal San Rafael</v>
          </cell>
          <cell r="CE457" t="str">
            <v>SUC_SRA - Sucursal San Rafael</v>
          </cell>
          <cell r="CF457" t="str">
            <v>SUC_SRA - Sucursal San Rafael</v>
          </cell>
          <cell r="CG457" t="str">
            <v>SUC_SRA - Sucursal San Rafael</v>
          </cell>
          <cell r="CH457" t="str">
            <v>SUC_SRA - Sucursal San Rafael</v>
          </cell>
          <cell r="CI457" t="str">
            <v>SUC_SRA - Sucursal San Rafael</v>
          </cell>
          <cell r="CJ457" t="str">
            <v>SUC_SRA - Sucursal San Rafael</v>
          </cell>
          <cell r="CK457" t="str">
            <v>SUC_SRA - Sucursal San Rafael</v>
          </cell>
          <cell r="CL457" t="str">
            <v>SUC_SRA - Sucursal San Rafael</v>
          </cell>
          <cell r="CM457" t="str">
            <v>SUC_SRA - Sucursal San Rafael</v>
          </cell>
          <cell r="CN457" t="str">
            <v>SUC_SRA - Sucursal San Rafael</v>
          </cell>
          <cell r="CO457" t="str">
            <v>SUC_SRA - Sucursal San Rafael</v>
          </cell>
          <cell r="CP457" t="str">
            <v>SUC_SRA - Sucursal San Rafael</v>
          </cell>
          <cell r="CQ457" t="str">
            <v>SUC_SRA - Sucursal San Rafael</v>
          </cell>
          <cell r="CR457" t="str">
            <v>SUC_SRA - Sucursal San Rafael</v>
          </cell>
          <cell r="CS457" t="str">
            <v>SUC_SRA - Sucursal San Rafael</v>
          </cell>
          <cell r="CT457" t="str">
            <v>SUC_SRA - Sucursal San Rafael</v>
          </cell>
          <cell r="CU457" t="str">
            <v>SUC_SRA - Sucursal San Rafael</v>
          </cell>
          <cell r="CV457" t="str">
            <v>SUC_SRA - Sucursal San Rafael</v>
          </cell>
          <cell r="CW457" t="str">
            <v>SUC_SRA - Sucursal San Rafael</v>
          </cell>
        </row>
        <row r="458">
          <cell r="D458" t="str">
            <v>TMF902</v>
          </cell>
          <cell r="E458" t="str">
            <v>Chasis</v>
          </cell>
          <cell r="F458" t="str">
            <v>Chasis</v>
          </cell>
          <cell r="G458" t="str">
            <v>Chasis</v>
          </cell>
          <cell r="H458" t="str">
            <v>MAXI-JORGE</v>
          </cell>
          <cell r="I458" t="str">
            <v>Manual</v>
          </cell>
          <cell r="J458" t="str">
            <v>Perkins</v>
          </cell>
          <cell r="K458" t="str">
            <v>Manual</v>
          </cell>
          <cell r="L458">
            <v>126</v>
          </cell>
          <cell r="M458">
            <v>4710</v>
          </cell>
          <cell r="N458" t="str">
            <v>Expreso Malargüe S. A.</v>
          </cell>
          <cell r="O458" t="str">
            <v>Expreso Malargüe S. A.</v>
          </cell>
          <cell r="P458" t="str">
            <v>No</v>
          </cell>
          <cell r="Q458" t="str">
            <v>Propio</v>
          </cell>
          <cell r="R458" t="str">
            <v>-</v>
          </cell>
          <cell r="S458" t="str">
            <v>Propio</v>
          </cell>
          <cell r="T458" t="str">
            <v>FORD</v>
          </cell>
          <cell r="U458" t="str">
            <v>F-350 D</v>
          </cell>
          <cell r="V458" t="str">
            <v>PA6248900</v>
          </cell>
          <cell r="W458" t="str">
            <v>KA9LCF47093</v>
          </cell>
          <cell r="X458">
            <v>1983</v>
          </cell>
          <cell r="Y458">
            <v>43</v>
          </cell>
          <cell r="Z458" t="str">
            <v>Malargue</v>
          </cell>
          <cell r="AA458" t="str">
            <v>Expreso - Servicios Troncales</v>
          </cell>
          <cell r="AB458" t="str">
            <v>Expreso - Servicios Troncales</v>
          </cell>
          <cell r="AC458" t="str">
            <v>Expreso - Servicios Troncales</v>
          </cell>
          <cell r="AD458" t="str">
            <v>Expreso - Servicios Troncales</v>
          </cell>
          <cell r="AE458" t="str">
            <v>Expreso - Servicios Troncales</v>
          </cell>
          <cell r="AF458" t="str">
            <v>Expreso - Servicios Troncales</v>
          </cell>
          <cell r="AG458" t="str">
            <v>Expreso - Servicios Troncales</v>
          </cell>
          <cell r="AH458" t="str">
            <v>Expreso - Servicios Troncales</v>
          </cell>
          <cell r="AI458" t="str">
            <v>Expreso - Servicios Troncales</v>
          </cell>
          <cell r="AJ458" t="str">
            <v>Expreso - Servicios Troncales</v>
          </cell>
          <cell r="AK458" t="str">
            <v>Expreso - Servicios Troncales</v>
          </cell>
          <cell r="AL458" t="str">
            <v>Expreso - Servicios Troncales</v>
          </cell>
          <cell r="AM458" t="str">
            <v>Expreso - Servicios Troncales</v>
          </cell>
          <cell r="AN458" t="str">
            <v>Expreso - Servicios Troncales</v>
          </cell>
          <cell r="AO458" t="str">
            <v>Expreso - Servicios Troncales</v>
          </cell>
          <cell r="AP458" t="str">
            <v>Expreso - Servicios Troncales</v>
          </cell>
          <cell r="AQ458" t="str">
            <v>Expreso - Servicios Troncales</v>
          </cell>
          <cell r="AR458" t="str">
            <v>Expreso - Servicios Troncales</v>
          </cell>
          <cell r="AS458" t="str">
            <v>Expreso - Servicios Troncales</v>
          </cell>
          <cell r="AT458" t="str">
            <v>Expreso - Servicios Troncales</v>
          </cell>
          <cell r="AU458" t="str">
            <v>Expreso - Servicios Troncales</v>
          </cell>
          <cell r="AV458" t="str">
            <v>Expreso - Servicios Troncales</v>
          </cell>
          <cell r="AW458" t="str">
            <v>Expreso - Servicios Troncales</v>
          </cell>
          <cell r="AX458" t="str">
            <v>Expreso - Servicios Troncales</v>
          </cell>
          <cell r="AY458" t="str">
            <v>Expreso - Servicios Troncales</v>
          </cell>
          <cell r="AZ458" t="str">
            <v>Expreso - Servicios Troncales</v>
          </cell>
          <cell r="BA458" t="str">
            <v>Expreso - Servicios Troncales</v>
          </cell>
          <cell r="BB458" t="str">
            <v>Expreso - Servicios Troncales</v>
          </cell>
          <cell r="BC458" t="str">
            <v>Expreso - Servicios Troncales</v>
          </cell>
          <cell r="BD458" t="str">
            <v>SUC_GAL - Sucursal General Alvear</v>
          </cell>
          <cell r="BE458" t="str">
            <v>SUC_GAL - Sucursal General Alvear</v>
          </cell>
          <cell r="BF458" t="str">
            <v>SUC_GAL - Sucursal General Alvear</v>
          </cell>
          <cell r="BG458" t="str">
            <v>SUC_GAL - Sucursal General Alvear</v>
          </cell>
          <cell r="BH458" t="str">
            <v>SUC_GAL - Sucursal General Alvear</v>
          </cell>
          <cell r="BI458" t="str">
            <v>SUC_GAL - Sucursal General Alvear</v>
          </cell>
          <cell r="BJ458" t="str">
            <v>SUC_GAL - Sucursal General Alvear</v>
          </cell>
          <cell r="BK458" t="str">
            <v>SUC_GAL - Sucursal General Alvear</v>
          </cell>
          <cell r="BL458" t="str">
            <v>SUC_GAL - Sucursal General Alvear</v>
          </cell>
          <cell r="BM458" t="str">
            <v>SUC_GAL - Sucursal General Alvear</v>
          </cell>
          <cell r="BN458" t="str">
            <v>SUC_GAL - Sucursal General Alvear</v>
          </cell>
          <cell r="BO458" t="str">
            <v>SUC_GAL - Sucursal General Alvear</v>
          </cell>
          <cell r="BP458" t="str">
            <v>SUC_GAL - Sucursal General Alvear</v>
          </cell>
          <cell r="BQ458" t="str">
            <v>SUC_GAL - Sucursal General Alvear</v>
          </cell>
          <cell r="BR458" t="str">
            <v>SUC_GAL - Sucursal General Alvear</v>
          </cell>
          <cell r="BS458" t="str">
            <v>SUC_GAL - Sucursal General Alvear</v>
          </cell>
          <cell r="BT458" t="str">
            <v>SUC_GAL - Sucursal General Alvear</v>
          </cell>
          <cell r="BU458" t="str">
            <v>SUC_GAL - Sucursal General Alvear</v>
          </cell>
          <cell r="BV458" t="str">
            <v>SUC_GAL - Sucursal General Alvear</v>
          </cell>
          <cell r="BW458" t="str">
            <v>SUC_GAL - Sucursal General Alvear</v>
          </cell>
          <cell r="BX458" t="str">
            <v>SUC_GAL - Sucursal General Alvear</v>
          </cell>
          <cell r="BY458" t="str">
            <v>SUC_GAL - Sucursal General Alvear</v>
          </cell>
          <cell r="BZ458" t="str">
            <v>SUC_GAL - Sucursal General Alvear</v>
          </cell>
          <cell r="CA458" t="str">
            <v>SUC_GAL - Sucursal General Alvear</v>
          </cell>
          <cell r="CB458" t="str">
            <v>SUC_GAL - Sucursal General Alvear</v>
          </cell>
          <cell r="CC458" t="str">
            <v>Gs_Estru - Gastos de Estructura</v>
          </cell>
          <cell r="CD458" t="str">
            <v>Gs_Estru - Gastos de Estructura</v>
          </cell>
          <cell r="CE458" t="str">
            <v>Gs_Estru - Gastos de Estructura</v>
          </cell>
          <cell r="CF458" t="str">
            <v>Gs_Estru - Gastos de Estructura</v>
          </cell>
          <cell r="CG458" t="str">
            <v>Gs_Estru - Gastos de Estructura</v>
          </cell>
          <cell r="CH458" t="str">
            <v>Gs_Estru - Gastos de Estructura</v>
          </cell>
          <cell r="CI458" t="str">
            <v>Gs_Estru - Gastos de Estructura</v>
          </cell>
          <cell r="CJ458" t="str">
            <v>Gs_Estru - Gastos de Estructura</v>
          </cell>
          <cell r="CK458" t="str">
            <v>INACTIVO</v>
          </cell>
          <cell r="CL458" t="str">
            <v>INACTIVO</v>
          </cell>
          <cell r="CM458" t="str">
            <v>INACTIVO</v>
          </cell>
          <cell r="CN458" t="str">
            <v>INACTIVO</v>
          </cell>
          <cell r="CO458" t="str">
            <v>INACTIVO</v>
          </cell>
          <cell r="CP458" t="str">
            <v>INACTIVO</v>
          </cell>
          <cell r="CQ458" t="str">
            <v>INACTIVO</v>
          </cell>
          <cell r="CR458" t="str">
            <v>INACTIVO</v>
          </cell>
          <cell r="CS458" t="str">
            <v>INACTIVO</v>
          </cell>
          <cell r="CT458" t="str">
            <v>INACTIVO</v>
          </cell>
          <cell r="CU458" t="str">
            <v>INACTIVO</v>
          </cell>
          <cell r="CV458" t="str">
            <v>BAJA</v>
          </cell>
          <cell r="CW458" t="str">
            <v>BAJA</v>
          </cell>
        </row>
        <row r="459">
          <cell r="D459" t="str">
            <v>TMF909</v>
          </cell>
          <cell r="E459" t="str">
            <v>Chasis</v>
          </cell>
          <cell r="F459" t="str">
            <v>Chasis</v>
          </cell>
          <cell r="G459" t="str">
            <v>Chasis</v>
          </cell>
          <cell r="H459" t="str">
            <v>https://drive.google.com/drive/folders/1kSS-90Po7_j8Z07N3kYtveFMaLzknMGs</v>
          </cell>
          <cell r="I459" t="str">
            <v>Manual</v>
          </cell>
          <cell r="J459" t="str">
            <v>Perkins</v>
          </cell>
          <cell r="K459" t="str">
            <v>Manual</v>
          </cell>
          <cell r="L459">
            <v>103</v>
          </cell>
          <cell r="M459">
            <v>4560</v>
          </cell>
          <cell r="N459" t="str">
            <v>Expreso Malargüe S. A.</v>
          </cell>
          <cell r="O459" t="str">
            <v>Expreso Malargüe S. A.</v>
          </cell>
          <cell r="P459" t="str">
            <v>No</v>
          </cell>
          <cell r="Q459" t="str">
            <v>Propio</v>
          </cell>
          <cell r="R459" t="str">
            <v>-</v>
          </cell>
          <cell r="S459" t="str">
            <v>Propio</v>
          </cell>
          <cell r="T459" t="str">
            <v>FORD</v>
          </cell>
          <cell r="U459" t="str">
            <v>6000</v>
          </cell>
          <cell r="V459" t="str">
            <v>PA6242086</v>
          </cell>
          <cell r="W459" t="str">
            <v>KA4LYL-82769</v>
          </cell>
          <cell r="X459">
            <v>1980</v>
          </cell>
          <cell r="Y459">
            <v>46</v>
          </cell>
          <cell r="Z459" t="str">
            <v>Malargue</v>
          </cell>
          <cell r="AA459" t="str">
            <v>Expreso - Servicios Troncales</v>
          </cell>
          <cell r="AB459" t="str">
            <v>Expreso - Servicios Troncales</v>
          </cell>
          <cell r="AC459" t="str">
            <v>Expreso - Servicios Troncales</v>
          </cell>
          <cell r="AD459" t="str">
            <v>Expreso - Servicios Troncales</v>
          </cell>
          <cell r="AE459" t="str">
            <v>Expreso - Servicios Troncales</v>
          </cell>
          <cell r="AF459" t="str">
            <v>Expreso - Servicios Troncales</v>
          </cell>
          <cell r="AG459" t="str">
            <v>Expreso - Servicios Troncales</v>
          </cell>
          <cell r="AH459" t="str">
            <v>Expreso - Servicios Troncales</v>
          </cell>
          <cell r="AI459" t="str">
            <v>Expreso - Servicios Troncales</v>
          </cell>
          <cell r="AJ459" t="str">
            <v>Expreso - Servicios Troncales</v>
          </cell>
          <cell r="AK459" t="str">
            <v>Expreso - Servicios Troncales</v>
          </cell>
          <cell r="AL459" t="str">
            <v>Expreso - Servicios Troncales</v>
          </cell>
          <cell r="AM459" t="str">
            <v>Expreso - Servicios Troncales</v>
          </cell>
          <cell r="AN459" t="str">
            <v>Expreso - Servicios Troncales</v>
          </cell>
          <cell r="AO459" t="str">
            <v>Expreso - Servicios Troncales</v>
          </cell>
          <cell r="AP459" t="str">
            <v>Expreso - Servicios Troncales</v>
          </cell>
          <cell r="AQ459" t="str">
            <v>Expreso - Servicios Troncales</v>
          </cell>
          <cell r="AR459" t="str">
            <v>Expreso - Servicios Troncales</v>
          </cell>
          <cell r="AS459" t="str">
            <v>Expreso - Servicios Troncales</v>
          </cell>
          <cell r="AT459" t="str">
            <v>Expreso - Servicios Troncales</v>
          </cell>
          <cell r="AU459" t="str">
            <v>Expreso - Servicios Troncales</v>
          </cell>
          <cell r="AV459" t="str">
            <v>Expreso - Servicios Troncales</v>
          </cell>
          <cell r="AW459" t="str">
            <v>Expreso - Servicios Troncales</v>
          </cell>
          <cell r="AX459" t="str">
            <v>Expreso - Servicios Troncales</v>
          </cell>
          <cell r="AY459" t="str">
            <v>Expreso - Servicios Troncales</v>
          </cell>
          <cell r="AZ459" t="str">
            <v>Expreso - Servicios Troncales</v>
          </cell>
          <cell r="BA459" t="str">
            <v>Expreso - Servicios Troncales</v>
          </cell>
          <cell r="BB459" t="str">
            <v>Expreso - Servicios Troncales</v>
          </cell>
          <cell r="BC459" t="str">
            <v>Expreso - Servicios Troncales</v>
          </cell>
          <cell r="BD459" t="str">
            <v>SUC_SRA - Sucursal San Rafael</v>
          </cell>
          <cell r="BE459" t="str">
            <v>SUC_SRA - Sucursal San Rafael</v>
          </cell>
          <cell r="BF459" t="str">
            <v>SUC_SRA - Sucursal San Rafael</v>
          </cell>
          <cell r="BG459" t="str">
            <v>SUC_SRA - Sucursal San Rafael</v>
          </cell>
          <cell r="BH459" t="str">
            <v>SUC_SRA - Sucursal San Rafael</v>
          </cell>
          <cell r="BI459" t="str">
            <v>SUC_SRA - Sucursal San Rafael</v>
          </cell>
          <cell r="BJ459" t="str">
            <v>SUC_SRA - Sucursal San Rafael</v>
          </cell>
          <cell r="BK459" t="str">
            <v>SUC_SRA - Sucursal San Rafael</v>
          </cell>
          <cell r="BL459" t="str">
            <v>SUC_SRA - Sucursal San Rafael</v>
          </cell>
          <cell r="BM459" t="str">
            <v>SUC_SRA - Sucursal San Rafael</v>
          </cell>
          <cell r="BN459" t="str">
            <v>SUC_SRA - Sucursal San Rafael</v>
          </cell>
          <cell r="BO459" t="str">
            <v>SUC_SRA - Sucursal San Rafael</v>
          </cell>
          <cell r="BP459" t="str">
            <v>SUC_SRA - Sucursal San Rafael</v>
          </cell>
          <cell r="BQ459" t="str">
            <v>SUC_SRA - Sucursal San Rafael</v>
          </cell>
          <cell r="BR459" t="str">
            <v>SUC_SRA - Sucursal San Rafael</v>
          </cell>
          <cell r="BS459" t="str">
            <v>INACTIVO</v>
          </cell>
          <cell r="BT459" t="str">
            <v>INACTIVO</v>
          </cell>
          <cell r="BU459" t="str">
            <v>INACTIVO</v>
          </cell>
          <cell r="BV459" t="str">
            <v>INACTIVO</v>
          </cell>
          <cell r="BW459" t="str">
            <v>INACTIVO</v>
          </cell>
          <cell r="BX459" t="str">
            <v>INACTIVO</v>
          </cell>
          <cell r="BY459" t="str">
            <v>INACTIVO</v>
          </cell>
          <cell r="BZ459" t="str">
            <v>INACTIVO</v>
          </cell>
          <cell r="CA459" t="str">
            <v>INACTIVO</v>
          </cell>
          <cell r="CB459" t="str">
            <v>INACTIVO</v>
          </cell>
          <cell r="CC459" t="str">
            <v>INACTIVO</v>
          </cell>
          <cell r="CD459" t="str">
            <v>INACTIVO</v>
          </cell>
          <cell r="CE459" t="str">
            <v>INACTIVO</v>
          </cell>
          <cell r="CF459" t="str">
            <v>INACTIVO</v>
          </cell>
          <cell r="CG459" t="str">
            <v>INACTIVO</v>
          </cell>
          <cell r="CH459" t="str">
            <v>INACTIVO</v>
          </cell>
          <cell r="CI459" t="str">
            <v>INACTIVO</v>
          </cell>
          <cell r="CJ459" t="str">
            <v>INACTIVO</v>
          </cell>
          <cell r="CK459" t="str">
            <v>INACTIVO</v>
          </cell>
          <cell r="CL459" t="str">
            <v>INACTIVO</v>
          </cell>
          <cell r="CM459" t="str">
            <v>INACTIVO</v>
          </cell>
          <cell r="CN459" t="str">
            <v>INACTIVO</v>
          </cell>
          <cell r="CO459" t="str">
            <v>INACTIVO</v>
          </cell>
          <cell r="CP459" t="str">
            <v>INACTIVO</v>
          </cell>
          <cell r="CQ459" t="str">
            <v>INACTIVO</v>
          </cell>
          <cell r="CR459" t="str">
            <v>INACTIVO</v>
          </cell>
          <cell r="CS459" t="str">
            <v>INACTIVO</v>
          </cell>
          <cell r="CT459" t="str">
            <v>INACTIVO</v>
          </cell>
          <cell r="CU459" t="str">
            <v>INACTIVO</v>
          </cell>
          <cell r="CV459" t="str">
            <v>INACTIVO</v>
          </cell>
          <cell r="CW459" t="str">
            <v>INACTIVO</v>
          </cell>
        </row>
        <row r="460">
          <cell r="D460" t="str">
            <v>TPL487</v>
          </cell>
          <cell r="E460" t="str">
            <v>CHASIS</v>
          </cell>
          <cell r="F460">
            <v>0</v>
          </cell>
          <cell r="G460" t="str">
            <v>Chasis</v>
          </cell>
          <cell r="N460" t="str">
            <v>BRIZUELA ROBERTO SAMUEL</v>
          </cell>
          <cell r="O460" t="str">
            <v>BRIZUELA ROBERTO SAMUEL</v>
          </cell>
          <cell r="P460" t="str">
            <v>No</v>
          </cell>
          <cell r="Q460" t="str">
            <v>De Tercero</v>
          </cell>
          <cell r="R460" t="str">
            <v>-</v>
          </cell>
          <cell r="S460" t="str">
            <v>De Tercero</v>
          </cell>
          <cell r="T460" t="str">
            <v>MERCEDES BENZ</v>
          </cell>
          <cell r="U460">
            <v>608</v>
          </cell>
          <cell r="V460">
            <v>1977</v>
          </cell>
          <cell r="W460">
            <v>49</v>
          </cell>
          <cell r="X460">
            <v>1977</v>
          </cell>
          <cell r="Y460">
            <v>49</v>
          </cell>
          <cell r="Z460" t="str">
            <v>Malargue</v>
          </cell>
          <cell r="AA460" t="str">
            <v>Expreso - Servicios Troncales</v>
          </cell>
          <cell r="AB460" t="str">
            <v>Expreso - Servicios Troncales</v>
          </cell>
          <cell r="AC460" t="str">
            <v>Expreso - Servicios Troncales</v>
          </cell>
          <cell r="AD460" t="str">
            <v>Expreso - Servicios Troncales</v>
          </cell>
          <cell r="AE460" t="str">
            <v>Expreso - Servicios Troncales</v>
          </cell>
          <cell r="AF460" t="str">
            <v>Expreso - Servicios Troncales</v>
          </cell>
          <cell r="AG460" t="str">
            <v>Expreso - Servicios Troncales</v>
          </cell>
          <cell r="AH460" t="str">
            <v>Expreso - Servicios Troncales</v>
          </cell>
          <cell r="AI460" t="str">
            <v>Expreso - Servicios Troncales</v>
          </cell>
          <cell r="AJ460" t="str">
            <v>Expreso - Servicios Troncales</v>
          </cell>
          <cell r="AK460" t="str">
            <v>Expreso - Servicios Troncales</v>
          </cell>
          <cell r="AL460" t="str">
            <v>Expreso - Servicios Troncales</v>
          </cell>
          <cell r="AM460" t="str">
            <v>Expreso - Servicios Troncales</v>
          </cell>
          <cell r="AN460" t="str">
            <v>Expreso - Servicios Troncales</v>
          </cell>
          <cell r="AO460" t="str">
            <v>Expreso - Servicios Troncales</v>
          </cell>
          <cell r="AP460" t="str">
            <v>Expreso - Servicios Troncales</v>
          </cell>
          <cell r="AQ460" t="str">
            <v>Expreso - Servicios Troncales</v>
          </cell>
          <cell r="AR460" t="str">
            <v>Expreso - Servicios Troncales</v>
          </cell>
          <cell r="AS460" t="str">
            <v>Expreso - Servicios Troncales</v>
          </cell>
          <cell r="AT460" t="str">
            <v>Expreso - Servicios Troncales</v>
          </cell>
          <cell r="AU460" t="str">
            <v>Expreso - Servicios Troncales</v>
          </cell>
          <cell r="AV460" t="str">
            <v>Expreso - Servicios Troncales</v>
          </cell>
          <cell r="AW460" t="str">
            <v>Expreso - Servicios Troncales</v>
          </cell>
          <cell r="AX460" t="str">
            <v>Expreso - Servicios Troncales</v>
          </cell>
          <cell r="AY460" t="str">
            <v>Expreso - Servicios Troncales</v>
          </cell>
          <cell r="AZ460" t="str">
            <v>Expreso - Servicios Troncales</v>
          </cell>
          <cell r="BA460" t="str">
            <v>Expreso - Servicios Troncales</v>
          </cell>
          <cell r="BB460" t="str">
            <v>Expreso - Servicios Troncales</v>
          </cell>
          <cell r="BC460" t="str">
            <v>Expreso - Servicios Troncales</v>
          </cell>
          <cell r="BD460" t="str">
            <v>SUC_TUN - Sucursal Tunuyán</v>
          </cell>
          <cell r="BE460" t="str">
            <v>SUC_TUN - Sucursal Tunuyán</v>
          </cell>
          <cell r="BF460" t="str">
            <v>SUC_TUN - Sucursal Tunuyán</v>
          </cell>
          <cell r="BG460" t="str">
            <v>SUC_TUN - Sucursal Tunuyán</v>
          </cell>
          <cell r="BH460" t="str">
            <v>SUC_TUN - Sucursal Tunuyán</v>
          </cell>
          <cell r="BI460" t="str">
            <v>SUC_TUN - Sucursal Tunuyán</v>
          </cell>
          <cell r="BJ460" t="str">
            <v>SUC_TUN - Sucursal Tunuyán</v>
          </cell>
          <cell r="BK460" t="str">
            <v>SUC_TUN - Sucursal Tunuyán</v>
          </cell>
          <cell r="BL460" t="str">
            <v>SUC_TUN - Sucursal Tunuyán</v>
          </cell>
          <cell r="BM460" t="str">
            <v>SUC_SRA - Sucursal San Rafael</v>
          </cell>
          <cell r="BN460" t="str">
            <v>SUC_SRA - Sucursal San Rafael</v>
          </cell>
          <cell r="BO460" t="str">
            <v>SUC_SRA - Sucursal San Rafael</v>
          </cell>
          <cell r="BP460" t="str">
            <v>SUC_SRA - Sucursal San Rafael</v>
          </cell>
          <cell r="BQ460" t="str">
            <v>SUC_SRA - Sucursal San Rafael</v>
          </cell>
          <cell r="BR460" t="str">
            <v>SUC_SRA - Sucursal San Rafael</v>
          </cell>
          <cell r="BS460" t="str">
            <v>SUC_SRA - Sucursal San Rafael</v>
          </cell>
          <cell r="BT460" t="str">
            <v>SUC_SRA - Sucursal San Rafael</v>
          </cell>
          <cell r="BU460" t="str">
            <v>SUC_SRA - Sucursal San Rafael</v>
          </cell>
          <cell r="BV460" t="str">
            <v>SUC_SRA - Sucursal San Rafael</v>
          </cell>
          <cell r="BW460" t="str">
            <v>SUC_SRA - Sucursal San Rafael</v>
          </cell>
          <cell r="BX460" t="str">
            <v>SUC_SRA - Sucursal San Rafael</v>
          </cell>
          <cell r="BY460" t="str">
            <v>SUC_SRA - Sucursal San Rafael</v>
          </cell>
          <cell r="BZ460" t="str">
            <v>SUC_SRA - Sucursal San Rafael</v>
          </cell>
          <cell r="CA460" t="str">
            <v>SUC_SRA - Sucursal San Rafael</v>
          </cell>
          <cell r="CB460" t="str">
            <v>SUC_SRA - Sucursal San Rafael</v>
          </cell>
          <cell r="CC460" t="str">
            <v>BAJA</v>
          </cell>
          <cell r="CD460" t="str">
            <v>BAJA</v>
          </cell>
          <cell r="CE460" t="str">
            <v>BAJA</v>
          </cell>
          <cell r="CF460" t="str">
            <v>BAJA</v>
          </cell>
          <cell r="CG460" t="str">
            <v>BAJA</v>
          </cell>
          <cell r="CH460" t="str">
            <v>BAJA</v>
          </cell>
          <cell r="CI460" t="str">
            <v>BAJA</v>
          </cell>
          <cell r="CJ460" t="str">
            <v>BAJA</v>
          </cell>
          <cell r="CK460" t="str">
            <v>BAJA</v>
          </cell>
          <cell r="CL460" t="str">
            <v>BAJA</v>
          </cell>
          <cell r="CM460" t="str">
            <v>BAJA</v>
          </cell>
          <cell r="CN460" t="str">
            <v>BAJA</v>
          </cell>
          <cell r="CO460" t="str">
            <v>BAJA</v>
          </cell>
          <cell r="CP460" t="str">
            <v>BAJA</v>
          </cell>
          <cell r="CQ460" t="str">
            <v>BAJA</v>
          </cell>
          <cell r="CR460" t="str">
            <v>BAJA</v>
          </cell>
          <cell r="CS460" t="str">
            <v>BAJA</v>
          </cell>
          <cell r="CT460" t="str">
            <v>BAJA</v>
          </cell>
          <cell r="CU460" t="str">
            <v>BAJA</v>
          </cell>
          <cell r="CV460" t="str">
            <v>BAJA</v>
          </cell>
          <cell r="CW460" t="str">
            <v>BAJA</v>
          </cell>
        </row>
        <row r="461">
          <cell r="D461" t="str">
            <v>TPQ039</v>
          </cell>
          <cell r="E461" t="str">
            <v>Chasis</v>
          </cell>
          <cell r="F461">
            <v>0</v>
          </cell>
          <cell r="G461" t="str">
            <v>Chasis</v>
          </cell>
          <cell r="N461" t="str">
            <v>PIFFER NESTOR ALEJANDRO</v>
          </cell>
          <cell r="O461" t="str">
            <v>PIFFER NESTOR ALEJANDRO</v>
          </cell>
          <cell r="P461" t="str">
            <v>No</v>
          </cell>
          <cell r="Q461" t="str">
            <v>De Tercero</v>
          </cell>
          <cell r="R461" t="str">
            <v>-</v>
          </cell>
          <cell r="S461" t="str">
            <v>De Tercero</v>
          </cell>
          <cell r="T461" t="str">
            <v>MERCEDES BENZ</v>
          </cell>
          <cell r="U461">
            <v>1420</v>
          </cell>
          <cell r="V461">
            <v>1994</v>
          </cell>
          <cell r="W461">
            <v>32</v>
          </cell>
          <cell r="X461">
            <v>1994</v>
          </cell>
          <cell r="Y461">
            <v>32</v>
          </cell>
          <cell r="Z461" t="str">
            <v>TDU</v>
          </cell>
          <cell r="AA461" t="str">
            <v>CMQ_TTE - QUILMES TTE</v>
          </cell>
          <cell r="AB461" t="str">
            <v>CMQ_TTE - QUILMES TTE</v>
          </cell>
          <cell r="AC461" t="str">
            <v>CMQ_TTE - QUILMES TTE</v>
          </cell>
          <cell r="AD461" t="str">
            <v>CMQ_TTE - QUILMES TTE</v>
          </cell>
          <cell r="AE461" t="str">
            <v>CMQ_TTE - QUILMES TTE</v>
          </cell>
          <cell r="AF461" t="str">
            <v>CMQ_TTE - QUILMES TTE</v>
          </cell>
          <cell r="AG461" t="str">
            <v>CMQ_TTE - QUILMES TTE</v>
          </cell>
          <cell r="AH461" t="str">
            <v>CMQ_TTE - QUILMES TTE</v>
          </cell>
          <cell r="AI461" t="str">
            <v>CMQ_TTE - QUILMES TTE</v>
          </cell>
          <cell r="AJ461" t="str">
            <v>CMQ_TTE - QUILMES TTE</v>
          </cell>
          <cell r="AK461" t="str">
            <v>CMQ_TTE - QUILMES TTE</v>
          </cell>
          <cell r="AL461" t="str">
            <v>CMQ_TTE - QUILMES TTE</v>
          </cell>
          <cell r="AM461" t="str">
            <v>CMQ_TTE - QUILMES TTE</v>
          </cell>
          <cell r="AN461" t="str">
            <v>CMQ_TTE - QUILMES TTE</v>
          </cell>
          <cell r="AO461" t="str">
            <v>CMQ_TTE - QUILMES TTE</v>
          </cell>
          <cell r="AP461" t="str">
            <v>CMQ_TTE - QUILMES TTE</v>
          </cell>
          <cell r="AQ461" t="str">
            <v>CMQ_TTE - QUILMES TTE</v>
          </cell>
          <cell r="AR461" t="str">
            <v>CMQ_TTE - QUILMES TTE</v>
          </cell>
          <cell r="AS461" t="str">
            <v>CMQ_TTE - QUILMES TTE</v>
          </cell>
          <cell r="AT461" t="str">
            <v>CMQ_TTE - QUILMES TTE</v>
          </cell>
          <cell r="AU461" t="str">
            <v>CMQ_TTE - QUILMES TTE</v>
          </cell>
          <cell r="AV461" t="str">
            <v>CMQ_TTE - QUILMES TTE</v>
          </cell>
          <cell r="AW461" t="str">
            <v>CMQ_TTE - QUILMES TTE</v>
          </cell>
          <cell r="AX461" t="str">
            <v>CMQ_TTE - QUILMES TTE</v>
          </cell>
          <cell r="AY461" t="str">
            <v>CMQ_TTE - QUILMES TTE</v>
          </cell>
          <cell r="AZ461" t="str">
            <v>CMQ_TTE - QUILMES TTE</v>
          </cell>
          <cell r="BA461" t="str">
            <v>CMQ_TTE - QUILMES TTE</v>
          </cell>
          <cell r="BB461" t="str">
            <v>CMQ_TTE - QUILMES TTE</v>
          </cell>
          <cell r="BC461" t="str">
            <v>CMQ_TTE - QUILMES TTE</v>
          </cell>
          <cell r="BD461" t="str">
            <v>CMQ_TTE - QUILMES TTE</v>
          </cell>
          <cell r="BE461" t="str">
            <v>CMQ_TTE - QUILMES TTE</v>
          </cell>
          <cell r="BF461" t="str">
            <v>CMQ_TTE - QUILMES TTE</v>
          </cell>
          <cell r="BG461" t="str">
            <v>CMQ_TTE - QUILMES TTE</v>
          </cell>
          <cell r="BH461" t="str">
            <v>CMQ_TTE - QUILMES TTE</v>
          </cell>
          <cell r="BI461" t="str">
            <v>CMQ_TTE - QUILMES TTE</v>
          </cell>
          <cell r="BJ461" t="str">
            <v>CMQ_TTE - QUILMES TTE</v>
          </cell>
          <cell r="BK461" t="str">
            <v>CMQ_TTE - QUILMES TTE</v>
          </cell>
          <cell r="BL461" t="str">
            <v>CMQ_TTE - QUILMES TTE</v>
          </cell>
          <cell r="BM461" t="str">
            <v>CMQ_TTE - QUILMES TTE</v>
          </cell>
          <cell r="BN461" t="str">
            <v>CMQ_TTE - QUILMES TTE</v>
          </cell>
          <cell r="BO461" t="str">
            <v>CMQ_TTE - QUILMES TTE</v>
          </cell>
          <cell r="BP461" t="str">
            <v>CMQ_TTE - QUILMES TTE</v>
          </cell>
          <cell r="BQ461" t="str">
            <v>CMQ_TTE - QUILMES TTE</v>
          </cell>
          <cell r="BR461" t="str">
            <v>CMQ_TTE - QUILMES TTE</v>
          </cell>
          <cell r="BS461" t="str">
            <v>CMQ_TTE - QUILMES TTE</v>
          </cell>
          <cell r="BT461" t="str">
            <v>CMQ_TTE - QUILMES TTE</v>
          </cell>
          <cell r="BU461" t="str">
            <v>CMQ_TTE - QUILMES TTE</v>
          </cell>
          <cell r="BV461" t="str">
            <v>CMQ_TTE - QUILMES TTE</v>
          </cell>
          <cell r="BW461" t="str">
            <v>CMQ_TTE - QUILMES TTE</v>
          </cell>
          <cell r="BX461" t="str">
            <v>CMQ_TTE - QUILMES TTE</v>
          </cell>
          <cell r="BY461" t="str">
            <v>CMQ_TTE - QUILMES TTE</v>
          </cell>
          <cell r="BZ461" t="str">
            <v>CMQ_TTE - QUILMES TTE</v>
          </cell>
          <cell r="CA461" t="str">
            <v>CMQ_TTE - QUILMES TTE</v>
          </cell>
          <cell r="CB461" t="str">
            <v>CMQ_TTE - QUILMES TTE</v>
          </cell>
          <cell r="CC461" t="str">
            <v>CMQ_TTE - QUILMES TTE</v>
          </cell>
          <cell r="CD461" t="str">
            <v>CMQ_TTE - QUILMES TTE</v>
          </cell>
          <cell r="CE461" t="str">
            <v>CMQ_TTE - QUILMES TTE</v>
          </cell>
          <cell r="CF461" t="str">
            <v>CMQ_TTE - QUILMES TTE</v>
          </cell>
          <cell r="CG461" t="str">
            <v>CMQ_TTE - QUILMES TTE</v>
          </cell>
          <cell r="CH461" t="str">
            <v>CMQ_TTE - QUILMES TTE</v>
          </cell>
          <cell r="CI461" t="str">
            <v>CMQ_TTE - QUILMES TTE</v>
          </cell>
          <cell r="CJ461" t="str">
            <v>CMQ_TTE - QUILMES TTE</v>
          </cell>
          <cell r="CK461" t="str">
            <v>CMQ_TTE - QUILMES TTE</v>
          </cell>
          <cell r="CL461" t="str">
            <v>CMQ_TTE - QUILMES TTE</v>
          </cell>
          <cell r="CM461" t="str">
            <v>CMQ_TTE - QUILMES TTE</v>
          </cell>
          <cell r="CN461" t="str">
            <v>INACTIVO</v>
          </cell>
          <cell r="CO461" t="str">
            <v>CMQ_TTE - QUILMES TTE</v>
          </cell>
          <cell r="CP461" t="str">
            <v>CMQ_TTE - QUILMES TTE</v>
          </cell>
          <cell r="CQ461" t="str">
            <v>CMQ_TTE - QUILMES TTE</v>
          </cell>
          <cell r="CR461" t="str">
            <v>CMQ_TTE - QUILMES TTE</v>
          </cell>
          <cell r="CS461" t="str">
            <v>CMQ_TTE - QUILMES TTE</v>
          </cell>
          <cell r="CT461" t="str">
            <v>CMQ_TTE - QUILMES TTE</v>
          </cell>
          <cell r="CU461" t="str">
            <v>CMQ_TTE - QUILMES TTE</v>
          </cell>
          <cell r="CV461" t="str">
            <v>CMQ_TTE - QUILMES TTE</v>
          </cell>
          <cell r="CW461" t="str">
            <v>CMQ_TTE - QUILMES TTE</v>
          </cell>
        </row>
        <row r="462">
          <cell r="D462" t="str">
            <v>TQM070</v>
          </cell>
          <cell r="E462" t="str">
            <v>Acoplado</v>
          </cell>
          <cell r="F462" t="str">
            <v>Acoplado</v>
          </cell>
          <cell r="G462" t="str">
            <v>Acoplado</v>
          </cell>
          <cell r="N462" t="str">
            <v>DYLASA</v>
          </cell>
          <cell r="O462" t="str">
            <v>DYLASA</v>
          </cell>
          <cell r="P462" t="str">
            <v>No</v>
          </cell>
          <cell r="Q462" t="str">
            <v>Propio</v>
          </cell>
          <cell r="R462" t="str">
            <v>-</v>
          </cell>
          <cell r="S462" t="str">
            <v>Propio</v>
          </cell>
          <cell r="T462" t="str">
            <v>MALDONADO</v>
          </cell>
          <cell r="U462">
            <v>1977</v>
          </cell>
          <cell r="V462">
            <v>0</v>
          </cell>
          <cell r="W462" t="str">
            <v>RPA298594</v>
          </cell>
          <cell r="X462">
            <v>1977</v>
          </cell>
          <cell r="Y462">
            <v>49</v>
          </cell>
          <cell r="Z462" t="str">
            <v>Jumbo Mendoza</v>
          </cell>
          <cell r="AA462" t="str">
            <v>CENCO_MZ - Cencosud SA - Mendoza</v>
          </cell>
          <cell r="AB462" t="str">
            <v>CENCO_MZ - Cencosud SA - Mendoza</v>
          </cell>
          <cell r="AC462" t="str">
            <v>CENCO_MZ - Cencosud SA - Mendoza</v>
          </cell>
          <cell r="AD462" t="str">
            <v>CENCO_MZ - Cencosud SA - Mendoza</v>
          </cell>
          <cell r="AE462" t="str">
            <v>CENCO_MZ - Cencosud SA - Mendoza</v>
          </cell>
          <cell r="AF462" t="str">
            <v>CENCO_MZ - Cencosud SA - Mendoza</v>
          </cell>
          <cell r="AG462" t="str">
            <v>CENCO_MZ - Cencosud SA - Mendoza</v>
          </cell>
          <cell r="AH462" t="str">
            <v>CENCO_MZ - Cencosud SA - Mendoza</v>
          </cell>
          <cell r="AI462" t="str">
            <v>CENCO_MZ - Cencosud SA - Mendoza</v>
          </cell>
          <cell r="AJ462" t="str">
            <v>CENCO_MZ - Cencosud SA - Mendoza</v>
          </cell>
          <cell r="AK462" t="str">
            <v>CENCO_MZ - Cencosud SA - Mendoza</v>
          </cell>
          <cell r="AL462" t="str">
            <v>CENCO_MZ - Cencosud SA - Mendoza</v>
          </cell>
          <cell r="AM462" t="str">
            <v>CENCO_MZ - Cencosud SA - Mendoza</v>
          </cell>
          <cell r="AN462" t="str">
            <v>CENCO_MZ - Cencosud SA - Mendoza</v>
          </cell>
          <cell r="AO462" t="str">
            <v>CENCO_MZ - Cencosud SA - Mendoza</v>
          </cell>
          <cell r="AP462" t="str">
            <v>CENCO_MZ - Cencosud SA - Mendoza</v>
          </cell>
          <cell r="AQ462" t="str">
            <v>CENCO_MZ - Cencosud SA - Mendoza</v>
          </cell>
          <cell r="AR462" t="str">
            <v>CENCO_MZ - Cencosud SA - Mendoza</v>
          </cell>
          <cell r="AS462" t="str">
            <v>CENCO_MZ - Cencosud SA - Mendoza</v>
          </cell>
          <cell r="AT462" t="str">
            <v>CENCO_MZ - Cencosud SA - Mendoza</v>
          </cell>
          <cell r="AU462" t="str">
            <v>CENCO_MZ - Cencosud SA - Mendoza</v>
          </cell>
          <cell r="AV462" t="str">
            <v>CENCO_MZ - Cencosud SA - Mendoza</v>
          </cell>
          <cell r="AW462" t="str">
            <v>CENCO_MZ - Cencosud SA - Mendoza</v>
          </cell>
          <cell r="AX462" t="str">
            <v>CENCO_MZ - Cencosud SA - Mendoza</v>
          </cell>
          <cell r="AY462" t="str">
            <v>CENCO_MZ - Cencosud SA - Mendoza</v>
          </cell>
          <cell r="AZ462" t="str">
            <v>CENCO_MZ - Cencosud SA - Mendoza</v>
          </cell>
          <cell r="BA462" t="str">
            <v>CENCO_MZ - Cencosud SA - Mendoza</v>
          </cell>
          <cell r="BB462" t="str">
            <v>CENCO_MZ - Cencosud SA - Mendoza</v>
          </cell>
          <cell r="BC462" t="str">
            <v>CENCO_MZ - Cencosud SA - Mendoza</v>
          </cell>
          <cell r="BD462" t="str">
            <v>CENCO_MZ - Cencosud SA - Mendoza</v>
          </cell>
          <cell r="BE462" t="str">
            <v>CENCO_MZ - Cencosud SA - Mendoza</v>
          </cell>
          <cell r="BF462" t="str">
            <v>CENCO_MZ - Cencosud SA - Mendoza</v>
          </cell>
          <cell r="BG462" t="str">
            <v>CENCO_MZ - Cencosud SA - Mendoza</v>
          </cell>
          <cell r="BH462" t="str">
            <v>CENCO_MZ - Cencosud SA - Mendoza</v>
          </cell>
          <cell r="BI462" t="str">
            <v>CENCO_MZ - Cencosud SA - Mendoza</v>
          </cell>
          <cell r="BJ462" t="str">
            <v>CENCO_MZ - Cencosud SA - Mendoza</v>
          </cell>
          <cell r="BK462" t="str">
            <v>CENCO_MZ - Cencosud SA - Mendoza</v>
          </cell>
          <cell r="BL462" t="str">
            <v>CENCO_MZ - Cencosud SA - Mendoza</v>
          </cell>
          <cell r="BM462" t="str">
            <v>CENCO_MZ - Cencosud SA - Mendoza</v>
          </cell>
          <cell r="BN462" t="str">
            <v>CENCO_MZ - Cencosud SA - Mendoza</v>
          </cell>
          <cell r="BO462" t="str">
            <v>CENCO_MZ - Cencosud SA - Mendoza</v>
          </cell>
          <cell r="BP462" t="str">
            <v>Sin Operación</v>
          </cell>
          <cell r="BQ462" t="str">
            <v>Sin Operación</v>
          </cell>
          <cell r="BR462" t="str">
            <v>Sin Operación</v>
          </cell>
          <cell r="BS462" t="str">
            <v>Sin Operación</v>
          </cell>
          <cell r="BT462" t="str">
            <v>INACTIVO</v>
          </cell>
          <cell r="BU462" t="str">
            <v>INACTIVO</v>
          </cell>
          <cell r="BV462" t="str">
            <v>INACTIVO</v>
          </cell>
          <cell r="BW462" t="str">
            <v>INACTIVO</v>
          </cell>
          <cell r="BX462" t="str">
            <v>INACTIVO</v>
          </cell>
          <cell r="BY462" t="str">
            <v>INACTIVO</v>
          </cell>
          <cell r="BZ462" t="str">
            <v>INACTIVO</v>
          </cell>
          <cell r="CA462" t="str">
            <v>INACTIVO</v>
          </cell>
          <cell r="CB462" t="str">
            <v>INACTIVO</v>
          </cell>
          <cell r="CC462" t="str">
            <v>BAJA</v>
          </cell>
          <cell r="CD462" t="str">
            <v>BAJA</v>
          </cell>
          <cell r="CE462" t="str">
            <v>BAJA</v>
          </cell>
          <cell r="CF462" t="str">
            <v>BAJA</v>
          </cell>
          <cell r="CG462" t="str">
            <v>BAJA</v>
          </cell>
          <cell r="CH462" t="str">
            <v>BAJA</v>
          </cell>
          <cell r="CI462" t="str">
            <v>BAJA</v>
          </cell>
          <cell r="CJ462" t="str">
            <v>BAJA</v>
          </cell>
          <cell r="CK462" t="str">
            <v>BAJA</v>
          </cell>
          <cell r="CL462" t="str">
            <v>BAJA</v>
          </cell>
          <cell r="CM462" t="str">
            <v>BAJA</v>
          </cell>
          <cell r="CN462" t="str">
            <v>BAJA</v>
          </cell>
          <cell r="CO462" t="str">
            <v>BAJA</v>
          </cell>
          <cell r="CP462" t="str">
            <v>BAJA</v>
          </cell>
          <cell r="CQ462" t="str">
            <v>BAJA</v>
          </cell>
          <cell r="CR462" t="str">
            <v>BAJA</v>
          </cell>
          <cell r="CS462" t="str">
            <v>BAJA</v>
          </cell>
          <cell r="CT462" t="str">
            <v>BAJA</v>
          </cell>
          <cell r="CU462" t="str">
            <v>BAJA</v>
          </cell>
          <cell r="CV462" t="str">
            <v>BAJA</v>
          </cell>
          <cell r="CW462" t="str">
            <v>BAJA</v>
          </cell>
        </row>
        <row r="463">
          <cell r="D463" t="str">
            <v>TRC504</v>
          </cell>
          <cell r="E463" t="str">
            <v>Chasis</v>
          </cell>
          <cell r="F463">
            <v>0</v>
          </cell>
          <cell r="G463" t="str">
            <v>Chasis</v>
          </cell>
          <cell r="N463" t="str">
            <v>FERNANDEZ OSCAR ALEJANDRO</v>
          </cell>
          <cell r="O463" t="str">
            <v>FERNANDEZ OSCAR ALEJANDRO</v>
          </cell>
          <cell r="P463" t="str">
            <v>No</v>
          </cell>
          <cell r="Q463" t="str">
            <v>De Tercero</v>
          </cell>
          <cell r="R463" t="str">
            <v>-</v>
          </cell>
          <cell r="S463" t="str">
            <v>De Tercero</v>
          </cell>
          <cell r="T463" t="str">
            <v>MERCEDES BENZ</v>
          </cell>
          <cell r="U463">
            <v>1215</v>
          </cell>
          <cell r="V463">
            <v>1994</v>
          </cell>
          <cell r="W463">
            <v>32</v>
          </cell>
          <cell r="X463">
            <v>1994</v>
          </cell>
          <cell r="Y463">
            <v>32</v>
          </cell>
          <cell r="Z463" t="str">
            <v>Danone Mendoza</v>
          </cell>
          <cell r="AA463" t="str">
            <v>AGN_TTE - AGUANORT - Transporte</v>
          </cell>
          <cell r="AB463" t="str">
            <v>ADA_MZA - Danone Arg. S.A. - MZA</v>
          </cell>
          <cell r="AC463" t="str">
            <v>ADA_MZA - Danone Arg. S.A. - MZA</v>
          </cell>
          <cell r="AD463" t="str">
            <v>ADA_MZA - Danone Arg. S.A. - MZA</v>
          </cell>
          <cell r="AE463" t="str">
            <v>ADA_MZA - Danone Arg. S.A. - MZA</v>
          </cell>
          <cell r="AF463" t="str">
            <v>ADA_MZA - Danone Arg. S.A. - MZA</v>
          </cell>
          <cell r="AG463" t="str">
            <v>ADA_MZA - Danone Arg. S.A. - MZA</v>
          </cell>
          <cell r="AH463" t="str">
            <v>ADA_MZA - Danone Arg. S.A. - MZA</v>
          </cell>
          <cell r="AI463" t="str">
            <v>ADA_MZA - Danone Arg. S.A. - MZA</v>
          </cell>
          <cell r="AJ463" t="str">
            <v>ADA_MZA - Danone Arg. S.A. - MZA</v>
          </cell>
          <cell r="AK463" t="str">
            <v>ADA_MZA - Danone Arg. S.A. - MZA</v>
          </cell>
          <cell r="AL463" t="str">
            <v>ADA_MZA - Danone Arg. S.A. - MZA</v>
          </cell>
          <cell r="AM463" t="str">
            <v>ADA_MZA - Danone Arg. S.A. - MZA</v>
          </cell>
          <cell r="AN463" t="str">
            <v>ADA_MZA - Danone Arg. S.A. - MZA</v>
          </cell>
          <cell r="AO463" t="str">
            <v>ADA_MZA - Danone Arg. S.A. - MZA</v>
          </cell>
          <cell r="AP463" t="str">
            <v>ADA_MZA - Danone Arg. S.A. - MZA</v>
          </cell>
          <cell r="AQ463" t="str">
            <v>ADA_MZA - Danone Arg. S.A. - MZA</v>
          </cell>
          <cell r="AR463" t="str">
            <v>ADA_MZA - Danone Arg. S.A. - MZA</v>
          </cell>
          <cell r="AS463" t="str">
            <v>ADA_MZA - Danone Arg. S.A. - MZA</v>
          </cell>
          <cell r="AT463" t="str">
            <v>ADA_MZA - Danone Arg. S.A. - MZA</v>
          </cell>
          <cell r="AU463" t="str">
            <v>ADA_MZA - Danone Arg. S.A. - MZA</v>
          </cell>
          <cell r="AV463" t="str">
            <v>ADA_MZA - Danone Arg. S.A. - MZA</v>
          </cell>
          <cell r="AW463" t="str">
            <v>ADA_MZA - Danone Arg. S.A. - MZA</v>
          </cell>
          <cell r="AX463" t="str">
            <v>INACTIVO</v>
          </cell>
          <cell r="AY463" t="str">
            <v>ADA_MZA - Danone Arg. S.A. - MZA</v>
          </cell>
          <cell r="AZ463" t="str">
            <v>ADA_MZA - Danone Arg. S.A. - MZA</v>
          </cell>
          <cell r="BA463" t="str">
            <v>ADA_MZA - Danone Arg. S.A. - MZA</v>
          </cell>
          <cell r="BB463" t="str">
            <v>ADA_MZA - Danone Arg. S.A. - MZA</v>
          </cell>
          <cell r="BC463" t="str">
            <v>ADA_MZA - Danone Arg. S.A. - MZA</v>
          </cell>
          <cell r="BD463" t="str">
            <v>ADA_MZA - Danone Arg. S.A. - MZA</v>
          </cell>
          <cell r="BE463" t="str">
            <v>ADA_MZA - Danone Arg. S.A. - MZA</v>
          </cell>
          <cell r="BF463" t="str">
            <v>ADA_MZA - Danone Arg. S.A. - MZA</v>
          </cell>
          <cell r="BG463" t="str">
            <v>ADA_MZA - Danone Arg. S.A. - MZA</v>
          </cell>
          <cell r="BH463" t="str">
            <v>ADA_MZA - Danone Arg. S.A. - MZA</v>
          </cell>
          <cell r="BI463" t="str">
            <v>ADA_MZA - Danone Arg. S.A. - MZA</v>
          </cell>
          <cell r="BJ463" t="str">
            <v>ADA_MZA - Danone Arg. S.A. - MZA</v>
          </cell>
          <cell r="BK463" t="str">
            <v>ADA_MZA - Danone Arg. S.A. - MZA</v>
          </cell>
          <cell r="BL463" t="str">
            <v>ADA_MZA - Danone Arg. S.A. - MZA</v>
          </cell>
          <cell r="BM463" t="str">
            <v>ADA_MZA - Danone Arg. S.A. - MZA</v>
          </cell>
          <cell r="BN463" t="str">
            <v>ADA_MZA - Danone Arg. S.A. - MZA</v>
          </cell>
          <cell r="BO463" t="str">
            <v>ADA_MZA - Danone Arg. S.A. - MZA</v>
          </cell>
          <cell r="BP463" t="str">
            <v>ADA_MZA - Danone Arg. S.A. - MZA</v>
          </cell>
          <cell r="BQ463" t="str">
            <v>ADA_MZA - Danone Arg. S.A. - MZA</v>
          </cell>
          <cell r="BR463" t="str">
            <v>ADA_MZA - Danone Arg. S.A. - MZA</v>
          </cell>
          <cell r="BS463" t="str">
            <v>ADA_MZA - Danone Arg. S.A. - MZA</v>
          </cell>
          <cell r="BT463" t="str">
            <v>CCU_MZA - Comp. Cerv. Unidas - MZA</v>
          </cell>
          <cell r="BU463" t="str">
            <v>Sin Operación</v>
          </cell>
          <cell r="BV463" t="str">
            <v>Sin Operación</v>
          </cell>
          <cell r="BW463" t="str">
            <v>Sin Operación</v>
          </cell>
          <cell r="BX463" t="str">
            <v>Sin Operación</v>
          </cell>
          <cell r="BY463" t="str">
            <v>Sin Operación</v>
          </cell>
          <cell r="BZ463" t="str">
            <v>Sin Operación</v>
          </cell>
          <cell r="CA463" t="str">
            <v>INACTIVO</v>
          </cell>
          <cell r="CB463" t="str">
            <v>INACTIVO</v>
          </cell>
          <cell r="CC463" t="str">
            <v>BAJA</v>
          </cell>
          <cell r="CD463" t="str">
            <v>BAJA</v>
          </cell>
          <cell r="CE463" t="str">
            <v>BAJA</v>
          </cell>
          <cell r="CF463" t="str">
            <v>BAJA</v>
          </cell>
          <cell r="CG463" t="str">
            <v>BAJA</v>
          </cell>
          <cell r="CH463" t="str">
            <v>BAJA</v>
          </cell>
          <cell r="CI463" t="str">
            <v>BAJA</v>
          </cell>
          <cell r="CJ463" t="str">
            <v>BAJA</v>
          </cell>
          <cell r="CK463" t="str">
            <v>BAJA</v>
          </cell>
          <cell r="CL463" t="str">
            <v>BAJA</v>
          </cell>
          <cell r="CM463" t="str">
            <v>BAJA</v>
          </cell>
          <cell r="CN463" t="str">
            <v>BAJA</v>
          </cell>
          <cell r="CO463" t="str">
            <v>BAJA</v>
          </cell>
          <cell r="CP463" t="str">
            <v>BAJA</v>
          </cell>
          <cell r="CQ463" t="str">
            <v>BAJA</v>
          </cell>
          <cell r="CR463" t="str">
            <v>BAJA</v>
          </cell>
          <cell r="CS463" t="str">
            <v>BAJA</v>
          </cell>
          <cell r="CT463" t="str">
            <v>BAJA</v>
          </cell>
          <cell r="CU463" t="str">
            <v>BAJA</v>
          </cell>
          <cell r="CV463" t="str">
            <v>BAJA</v>
          </cell>
          <cell r="CW463" t="str">
            <v>BAJA</v>
          </cell>
        </row>
        <row r="464">
          <cell r="D464" t="str">
            <v>TSL775</v>
          </cell>
          <cell r="E464" t="str">
            <v>Camioneta</v>
          </cell>
          <cell r="F464" t="str">
            <v>Utilitario</v>
          </cell>
          <cell r="G464" t="str">
            <v>Utilitario</v>
          </cell>
          <cell r="N464" t="str">
            <v>Expreso Malargüe S. A.</v>
          </cell>
          <cell r="O464" t="str">
            <v>Expreso Malargüe S. A.</v>
          </cell>
          <cell r="P464" t="str">
            <v>No</v>
          </cell>
          <cell r="Q464" t="str">
            <v>Propio</v>
          </cell>
          <cell r="R464" t="str">
            <v>-</v>
          </cell>
          <cell r="S464" t="str">
            <v>Propio</v>
          </cell>
          <cell r="T464" t="str">
            <v>DODGE</v>
          </cell>
          <cell r="U464" t="str">
            <v>D 100</v>
          </cell>
          <cell r="V464" t="str">
            <v>PA4171723</v>
          </cell>
          <cell r="W464" t="str">
            <v>901K00366F</v>
          </cell>
          <cell r="X464">
            <v>1972</v>
          </cell>
          <cell r="Y464">
            <v>54</v>
          </cell>
          <cell r="Z464" t="str">
            <v>Malargue</v>
          </cell>
          <cell r="AA464" t="str">
            <v>Expreso - Servicios Troncales</v>
          </cell>
          <cell r="AB464" t="str">
            <v>Expreso - Servicios Troncales</v>
          </cell>
          <cell r="AC464" t="str">
            <v>Expreso - Servicios Troncales</v>
          </cell>
          <cell r="AD464" t="str">
            <v>Expreso - Servicios Troncales</v>
          </cell>
          <cell r="AE464" t="str">
            <v>Expreso - Servicios Troncales</v>
          </cell>
          <cell r="AF464" t="str">
            <v>Expreso - Servicios Troncales</v>
          </cell>
          <cell r="AG464" t="str">
            <v>Expreso - Servicios Troncales</v>
          </cell>
          <cell r="AH464" t="str">
            <v>Expreso - Servicios Troncales</v>
          </cell>
          <cell r="AI464" t="str">
            <v>Expreso - Servicios Troncales</v>
          </cell>
          <cell r="AJ464" t="str">
            <v>Expreso - Servicios Troncales</v>
          </cell>
          <cell r="AK464" t="str">
            <v>Expreso - Servicios Troncales</v>
          </cell>
          <cell r="AL464" t="str">
            <v>Expreso - Servicios Troncales</v>
          </cell>
          <cell r="AM464" t="str">
            <v>Expreso - Servicios Troncales</v>
          </cell>
          <cell r="AN464" t="str">
            <v>Expreso - Servicios Troncales</v>
          </cell>
          <cell r="AO464" t="str">
            <v>Expreso - Servicios Troncales</v>
          </cell>
          <cell r="AP464" t="str">
            <v>Expreso - Servicios Troncales</v>
          </cell>
          <cell r="AQ464" t="str">
            <v>Expreso - Servicios Troncales</v>
          </cell>
          <cell r="AR464" t="str">
            <v>Expreso - Servicios Troncales</v>
          </cell>
          <cell r="AS464" t="str">
            <v>Expreso - Servicios Troncales</v>
          </cell>
          <cell r="AT464" t="str">
            <v>Expreso - Servicios Troncales</v>
          </cell>
          <cell r="AU464" t="str">
            <v>Expreso - Servicios Troncales</v>
          </cell>
          <cell r="AV464" t="str">
            <v>Expreso - Servicios Troncales</v>
          </cell>
          <cell r="AW464" t="str">
            <v>Expreso - Servicios Troncales</v>
          </cell>
          <cell r="AX464" t="str">
            <v>Expreso - Servicios Troncales</v>
          </cell>
          <cell r="AY464" t="str">
            <v>Expreso - Servicios Troncales</v>
          </cell>
          <cell r="AZ464" t="str">
            <v>Expreso - Servicios Troncales</v>
          </cell>
          <cell r="BA464" t="str">
            <v>Expreso - Servicios Troncales</v>
          </cell>
          <cell r="BB464" t="str">
            <v>Expreso - Servicios Troncales</v>
          </cell>
          <cell r="BC464" t="str">
            <v>Expreso - Servicios Troncales</v>
          </cell>
          <cell r="BD464" t="str">
            <v>SUC_SRA - Sucursal San Rafael</v>
          </cell>
          <cell r="BE464" t="str">
            <v>SUC_SRA - Sucursal San Rafael</v>
          </cell>
          <cell r="BF464" t="str">
            <v>SUC_SRA - Sucursal San Rafael</v>
          </cell>
          <cell r="BG464" t="str">
            <v>SUC_SRA - Sucursal San Rafael</v>
          </cell>
          <cell r="BH464" t="str">
            <v>SUC_SRA - Sucursal San Rafael</v>
          </cell>
          <cell r="BI464" t="str">
            <v>SUC_SRA - Sucursal San Rafael</v>
          </cell>
          <cell r="BJ464" t="str">
            <v>SUC_SRA - Sucursal San Rafael</v>
          </cell>
          <cell r="BK464" t="str">
            <v>SUC_SRA - Sucursal San Rafael</v>
          </cell>
          <cell r="BL464" t="str">
            <v>SUC_SRA - Sucursal San Rafael</v>
          </cell>
          <cell r="BM464" t="str">
            <v>SUC_SRA - Sucursal San Rafael</v>
          </cell>
          <cell r="BN464" t="str">
            <v>SUC_SRA - Sucursal San Rafael</v>
          </cell>
          <cell r="BO464" t="str">
            <v>SUC_SRA - Sucursal San Rafael</v>
          </cell>
          <cell r="BP464" t="str">
            <v>SUC_SRA - Sucursal San Rafael</v>
          </cell>
          <cell r="BQ464" t="str">
            <v>SUC_SRA - Sucursal San Rafael</v>
          </cell>
          <cell r="BR464" t="str">
            <v>SUC_SRA - Sucursal San Rafael</v>
          </cell>
          <cell r="BS464" t="str">
            <v>SUC_SRA - Sucursal San Rafael</v>
          </cell>
          <cell r="BT464" t="str">
            <v>SUC_SRA - Sucursal San Rafael</v>
          </cell>
          <cell r="BU464" t="str">
            <v>SUC_SRA - Sucursal San Rafael</v>
          </cell>
          <cell r="BV464" t="str">
            <v>SUC_SRA - Sucursal San Rafael</v>
          </cell>
          <cell r="BW464" t="str">
            <v>INACTIVO</v>
          </cell>
          <cell r="BX464" t="str">
            <v>INACTIVO</v>
          </cell>
          <cell r="BY464" t="str">
            <v>SUC_SRA - Sucursal San Rafael</v>
          </cell>
          <cell r="BZ464" t="str">
            <v>SUC_SRA - Sucursal San Rafael</v>
          </cell>
          <cell r="CA464" t="str">
            <v>SUC_SRA - Sucursal San Rafael</v>
          </cell>
          <cell r="CB464" t="str">
            <v>SUC_SRA - Sucursal San Rafael</v>
          </cell>
          <cell r="CC464" t="str">
            <v>Gs_Estru - Gastos de Estructura</v>
          </cell>
          <cell r="CD464" t="str">
            <v>Gs_Estru - Gastos de Estructura</v>
          </cell>
          <cell r="CE464" t="str">
            <v>Gs_Estru - Gastos de Estructura</v>
          </cell>
          <cell r="CF464" t="str">
            <v>Gs_Estru - Gastos de Estructura</v>
          </cell>
          <cell r="CG464" t="str">
            <v>Gs_Estru - Gastos de Estructura</v>
          </cell>
          <cell r="CH464" t="str">
            <v>Gs_Estru - Gastos de Estructura</v>
          </cell>
          <cell r="CI464" t="str">
            <v>Gs_Estru - Gastos de Estructura</v>
          </cell>
          <cell r="CJ464" t="str">
            <v>Gs_Estru - Gastos de Estructura</v>
          </cell>
          <cell r="CK464" t="str">
            <v>Gs_Estru - Gastos de Estructura</v>
          </cell>
          <cell r="CL464" t="str">
            <v>INACTIVO</v>
          </cell>
          <cell r="CM464" t="str">
            <v>INACTIVO</v>
          </cell>
          <cell r="CN464" t="str">
            <v>INACTIVO</v>
          </cell>
          <cell r="CO464" t="str">
            <v>INACTIVO</v>
          </cell>
          <cell r="CP464" t="str">
            <v>INACTIVO</v>
          </cell>
          <cell r="CQ464" t="str">
            <v>INACTIVO</v>
          </cell>
          <cell r="CR464" t="str">
            <v>INACTIVO</v>
          </cell>
          <cell r="CS464" t="str">
            <v>INACTIVO</v>
          </cell>
          <cell r="CT464" t="str">
            <v>INACTIVO</v>
          </cell>
          <cell r="CU464" t="str">
            <v>INACTIVO</v>
          </cell>
          <cell r="CV464" t="str">
            <v>INACTIVO</v>
          </cell>
          <cell r="CW464" t="str">
            <v>INACTIVO</v>
          </cell>
        </row>
        <row r="465">
          <cell r="D465" t="str">
            <v>TTV896</v>
          </cell>
          <cell r="E465" t="str">
            <v>Chasis</v>
          </cell>
          <cell r="F465" t="str">
            <v>Chasis</v>
          </cell>
          <cell r="G465" t="str">
            <v>Chasis</v>
          </cell>
          <cell r="H465" t="str">
            <v>https://drive.google.com/drive/folders/1kQ3frNnsuggT1n0tciKL2LohP0FunPoC</v>
          </cell>
          <cell r="I465" t="str">
            <v>Manual</v>
          </cell>
          <cell r="J465" t="str">
            <v>Perkins</v>
          </cell>
          <cell r="K465" t="str">
            <v>Manual</v>
          </cell>
          <cell r="L465">
            <v>142</v>
          </cell>
          <cell r="M465">
            <v>5575</v>
          </cell>
          <cell r="N465" t="str">
            <v>Expreso Malargüe S. A.</v>
          </cell>
          <cell r="O465" t="str">
            <v>Expreso Malargüe S. A.</v>
          </cell>
          <cell r="P465" t="str">
            <v>No</v>
          </cell>
          <cell r="Q465" t="str">
            <v>Propio</v>
          </cell>
          <cell r="R465" t="str">
            <v>-</v>
          </cell>
          <cell r="S465" t="str">
            <v>Propio</v>
          </cell>
          <cell r="T465" t="str">
            <v>FORD</v>
          </cell>
          <cell r="U465">
            <v>7000</v>
          </cell>
          <cell r="V465" t="str">
            <v>PA6492057</v>
          </cell>
          <cell r="W465" t="str">
            <v>KA6LSG-11642</v>
          </cell>
          <cell r="X465">
            <v>1976</v>
          </cell>
          <cell r="Y465">
            <v>50</v>
          </cell>
          <cell r="Z465" t="str">
            <v>Malargue</v>
          </cell>
          <cell r="AA465" t="str">
            <v>Expreso - Servicios Troncales</v>
          </cell>
          <cell r="AB465" t="str">
            <v>Expreso - Servicios Troncales</v>
          </cell>
          <cell r="AC465" t="str">
            <v>Expreso - Servicios Troncales</v>
          </cell>
          <cell r="AD465" t="str">
            <v>Expreso - Servicios Troncales</v>
          </cell>
          <cell r="AE465" t="str">
            <v>Expreso - Servicios Troncales</v>
          </cell>
          <cell r="AF465" t="str">
            <v>Expreso - Servicios Troncales</v>
          </cell>
          <cell r="AG465" t="str">
            <v>Expreso - Servicios Troncales</v>
          </cell>
          <cell r="AH465" t="str">
            <v>Expreso - Servicios Troncales</v>
          </cell>
          <cell r="AI465" t="str">
            <v>Expreso - Servicios Troncales</v>
          </cell>
          <cell r="AJ465" t="str">
            <v>Expreso - Servicios Troncales</v>
          </cell>
          <cell r="AK465" t="str">
            <v>Expreso - Servicios Troncales</v>
          </cell>
          <cell r="AL465" t="str">
            <v>Expreso - Servicios Troncales</v>
          </cell>
          <cell r="AM465" t="str">
            <v>Expreso - Servicios Troncales</v>
          </cell>
          <cell r="AN465" t="str">
            <v>Expreso - Servicios Troncales</v>
          </cell>
          <cell r="AO465" t="str">
            <v>Expreso - Servicios Troncales</v>
          </cell>
          <cell r="AP465" t="str">
            <v>Expreso - Servicios Troncales</v>
          </cell>
          <cell r="AQ465" t="str">
            <v>Expreso - Servicios Troncales</v>
          </cell>
          <cell r="AR465" t="str">
            <v>Expreso - Servicios Troncales</v>
          </cell>
          <cell r="AS465" t="str">
            <v>Expreso - Servicios Troncales</v>
          </cell>
          <cell r="AT465" t="str">
            <v>Expreso - Servicios Troncales</v>
          </cell>
          <cell r="AU465" t="str">
            <v>Expreso - Servicios Troncales</v>
          </cell>
          <cell r="AV465" t="str">
            <v>Expreso - Servicios Troncales</v>
          </cell>
          <cell r="AW465" t="str">
            <v>Expreso - Servicios Troncales</v>
          </cell>
          <cell r="AX465" t="str">
            <v>Expreso - Servicios Troncales</v>
          </cell>
          <cell r="AY465" t="str">
            <v>Expreso - Servicios Troncales</v>
          </cell>
          <cell r="AZ465" t="str">
            <v>Expreso - Servicios Troncales</v>
          </cell>
          <cell r="BA465" t="str">
            <v>Expreso - Servicios Troncales</v>
          </cell>
          <cell r="BB465" t="str">
            <v>Expreso - Servicios Troncales</v>
          </cell>
          <cell r="BC465" t="str">
            <v>Expreso - Servicios Troncales</v>
          </cell>
          <cell r="BD465" t="str">
            <v>SUC_REA - Sucursal Realicó</v>
          </cell>
          <cell r="BE465" t="str">
            <v>SUC_REA - Sucursal Realicó</v>
          </cell>
          <cell r="BF465" t="str">
            <v>SUC_REA - Sucursal Realicó</v>
          </cell>
          <cell r="BG465" t="str">
            <v>SUC_REA - Sucursal Realicó</v>
          </cell>
          <cell r="BH465" t="str">
            <v>SUC_REA - Sucursal Realicó</v>
          </cell>
          <cell r="BI465" t="str">
            <v>SUC_REA - Sucursal Realicó</v>
          </cell>
          <cell r="BJ465" t="str">
            <v>SUC_REA - Sucursal Realicó</v>
          </cell>
          <cell r="BK465" t="str">
            <v>SUC_REA - Sucursal Realicó</v>
          </cell>
          <cell r="BL465" t="str">
            <v>SUC_REA - Sucursal Realicó</v>
          </cell>
          <cell r="BM465" t="str">
            <v>SUC_REA - Sucursal Realicó</v>
          </cell>
          <cell r="BN465" t="str">
            <v>SUC_MEN - Sucursal Mendoza</v>
          </cell>
          <cell r="BO465" t="str">
            <v>SUC_MEN - Sucursal Mendoza</v>
          </cell>
          <cell r="BP465" t="str">
            <v>SUC_MEN - Sucursal Mendoza</v>
          </cell>
          <cell r="BQ465" t="str">
            <v>SUC_MEN - Sucursal Mendoza</v>
          </cell>
          <cell r="BR465" t="str">
            <v>SUC_MEN - Sucursal Mendoza</v>
          </cell>
          <cell r="BS465" t="str">
            <v>INACTIVO</v>
          </cell>
          <cell r="BT465" t="str">
            <v>INACTIVO</v>
          </cell>
          <cell r="BU465" t="str">
            <v>INACTIVO</v>
          </cell>
          <cell r="BV465" t="str">
            <v>INACTIVO</v>
          </cell>
          <cell r="BW465" t="str">
            <v>INACTIVO</v>
          </cell>
          <cell r="BX465" t="str">
            <v>INACTIVO</v>
          </cell>
          <cell r="BY465" t="str">
            <v>INACTIVO</v>
          </cell>
          <cell r="BZ465" t="str">
            <v>INACTIVO</v>
          </cell>
          <cell r="CA465" t="str">
            <v>INACTIVO</v>
          </cell>
          <cell r="CB465" t="str">
            <v>INACTIVO</v>
          </cell>
          <cell r="CC465" t="str">
            <v>INACTIVO</v>
          </cell>
          <cell r="CD465" t="str">
            <v>INACTIVO</v>
          </cell>
          <cell r="CE465" t="str">
            <v>INACTIVO</v>
          </cell>
          <cell r="CF465" t="str">
            <v>INACTIVO</v>
          </cell>
          <cell r="CG465" t="str">
            <v>INACTIVO</v>
          </cell>
          <cell r="CH465" t="str">
            <v>INACTIVO</v>
          </cell>
          <cell r="CI465" t="str">
            <v>INACTIVO</v>
          </cell>
          <cell r="CJ465" t="str">
            <v>INACTIVO</v>
          </cell>
          <cell r="CK465" t="str">
            <v>INACTIVO</v>
          </cell>
          <cell r="CL465" t="str">
            <v>INACTIVO</v>
          </cell>
          <cell r="CM465" t="str">
            <v>INACTIVO</v>
          </cell>
          <cell r="CN465" t="str">
            <v>INACTIVO</v>
          </cell>
          <cell r="CO465" t="str">
            <v>INACTIVO</v>
          </cell>
          <cell r="CP465" t="str">
            <v>INACTIVO</v>
          </cell>
          <cell r="CQ465" t="str">
            <v>INACTIVO</v>
          </cell>
          <cell r="CR465" t="str">
            <v>INACTIVO</v>
          </cell>
          <cell r="CS465" t="str">
            <v>INACTIVO</v>
          </cell>
          <cell r="CT465" t="str">
            <v>INACTIVO</v>
          </cell>
          <cell r="CU465" t="str">
            <v>INACTIVO</v>
          </cell>
          <cell r="CV465" t="str">
            <v>INACTIVO</v>
          </cell>
          <cell r="CW465" t="str">
            <v>INACTIVO</v>
          </cell>
        </row>
        <row r="466">
          <cell r="D466" t="str">
            <v>TTV898</v>
          </cell>
          <cell r="E466" t="str">
            <v>Tractor</v>
          </cell>
          <cell r="F466" t="str">
            <v>Tractor</v>
          </cell>
          <cell r="G466" t="str">
            <v>Tractor</v>
          </cell>
          <cell r="N466" t="str">
            <v>Expreso Malargüe S. A.</v>
          </cell>
          <cell r="O466" t="str">
            <v>Expreso Malargüe S. A.</v>
          </cell>
          <cell r="P466" t="str">
            <v>No</v>
          </cell>
          <cell r="Q466" t="str">
            <v>Propio</v>
          </cell>
          <cell r="R466" t="str">
            <v>-</v>
          </cell>
          <cell r="S466" t="str">
            <v>Propio</v>
          </cell>
          <cell r="T466" t="str">
            <v>MERCEDES BENZ</v>
          </cell>
          <cell r="U466" t="str">
            <v>1114</v>
          </cell>
          <cell r="V466">
            <v>36939</v>
          </cell>
          <cell r="W466" t="str">
            <v>341038-15-022974</v>
          </cell>
          <cell r="X466">
            <v>1975</v>
          </cell>
          <cell r="Y466">
            <v>51</v>
          </cell>
          <cell r="Z466" t="str">
            <v>Malargue</v>
          </cell>
          <cell r="AA466" t="str">
            <v>Expreso - Servicios Troncales</v>
          </cell>
          <cell r="AB466" t="str">
            <v>Expreso - Servicios Troncales</v>
          </cell>
          <cell r="AC466" t="str">
            <v>Expreso - Servicios Troncales</v>
          </cell>
          <cell r="AD466" t="str">
            <v>Expreso - Servicios Troncales</v>
          </cell>
          <cell r="AE466" t="str">
            <v>Expreso - Servicios Troncales</v>
          </cell>
          <cell r="AF466" t="str">
            <v>Expreso - Servicios Troncales</v>
          </cell>
          <cell r="AG466" t="str">
            <v>Expreso - Servicios Troncales</v>
          </cell>
          <cell r="AH466" t="str">
            <v>Expreso - Servicios Troncales</v>
          </cell>
          <cell r="AI466" t="str">
            <v>Expreso - Servicios Troncales</v>
          </cell>
          <cell r="AJ466" t="str">
            <v>Expreso - Servicios Troncales</v>
          </cell>
          <cell r="AK466" t="str">
            <v>Expreso - Servicios Troncales</v>
          </cell>
          <cell r="AL466" t="str">
            <v>Expreso - Servicios Troncales</v>
          </cell>
          <cell r="AM466" t="str">
            <v>Expreso - Servicios Troncales</v>
          </cell>
          <cell r="AN466" t="str">
            <v>Expreso - Servicios Troncales</v>
          </cell>
          <cell r="AO466" t="str">
            <v>Expreso - Servicios Troncales</v>
          </cell>
          <cell r="AP466" t="str">
            <v>Expreso - Servicios Troncales</v>
          </cell>
          <cell r="AQ466" t="str">
            <v>Expreso - Servicios Troncales</v>
          </cell>
          <cell r="AR466" t="str">
            <v>Expreso - Servicios Troncales</v>
          </cell>
          <cell r="AS466" t="str">
            <v>Expreso - Servicios Troncales</v>
          </cell>
          <cell r="AT466" t="str">
            <v>Expreso - Servicios Troncales</v>
          </cell>
          <cell r="AU466" t="str">
            <v>Expreso - Servicios Troncales</v>
          </cell>
          <cell r="AV466" t="str">
            <v>Expreso - Servicios Troncales</v>
          </cell>
          <cell r="AW466" t="str">
            <v>Expreso - Servicios Troncales</v>
          </cell>
          <cell r="AX466" t="str">
            <v>Expreso - Servicios Troncales</v>
          </cell>
          <cell r="AY466" t="str">
            <v>Expreso - Servicios Troncales</v>
          </cell>
          <cell r="AZ466" t="str">
            <v>Expreso - Servicios Troncales</v>
          </cell>
          <cell r="BA466" t="str">
            <v>Expreso - Servicios Troncales</v>
          </cell>
          <cell r="BB466" t="str">
            <v>Expreso - Servicios Troncales</v>
          </cell>
          <cell r="BC466" t="str">
            <v>Expreso - Servicios Troncales</v>
          </cell>
          <cell r="BD466" t="str">
            <v>SUC_MEN - Sucursal Mendoza</v>
          </cell>
          <cell r="BE466" t="str">
            <v>SUC_MEN - Sucursal Mendoza</v>
          </cell>
          <cell r="BF466" t="str">
            <v>SUC_MEN - Sucursal Mendoza</v>
          </cell>
          <cell r="BG466" t="str">
            <v>SUC_MEN - Sucursal Mendoza</v>
          </cell>
          <cell r="BH466" t="str">
            <v>SUC_MEN - Sucursal Mendoza</v>
          </cell>
          <cell r="BI466" t="str">
            <v>SUC_MEN - Sucursal Mendoza</v>
          </cell>
          <cell r="BJ466" t="str">
            <v>SUC_MEN - Sucursal Mendoza</v>
          </cell>
          <cell r="BK466" t="str">
            <v>SUC_MEN - Sucursal Mendoza</v>
          </cell>
          <cell r="BL466" t="str">
            <v>SUC_MEN - Sucursal Mendoza</v>
          </cell>
          <cell r="BM466" t="str">
            <v>SUC_MEN - Sucursal Mendoza</v>
          </cell>
          <cell r="BN466" t="str">
            <v>SUC_MEN - Sucursal Mendoza</v>
          </cell>
          <cell r="BO466" t="str">
            <v>SUC_MEN - Sucursal Mendoza</v>
          </cell>
          <cell r="BP466" t="str">
            <v>SUC_MEN - Sucursal Mendoza</v>
          </cell>
          <cell r="BQ466" t="str">
            <v>SUC_MEN - Sucursal Mendoza</v>
          </cell>
          <cell r="BR466" t="str">
            <v>SUC_MEN - Sucursal Mendoza</v>
          </cell>
          <cell r="BS466" t="str">
            <v>SUC_MEN - Sucursal Mendoza</v>
          </cell>
          <cell r="BT466" t="str">
            <v>SUC_MEN - Sucursal Mendoza</v>
          </cell>
          <cell r="BU466" t="str">
            <v>SUC_MEN - Sucursal Mendoza</v>
          </cell>
          <cell r="BV466" t="str">
            <v>SUC_MEN - Sucursal Mendoza</v>
          </cell>
          <cell r="BW466" t="str">
            <v>Expreso - Servicios Troncales</v>
          </cell>
          <cell r="BX466" t="str">
            <v>Expreso - Servicios Troncales</v>
          </cell>
          <cell r="BY466" t="str">
            <v>Expreso - Servicios Troncales</v>
          </cell>
          <cell r="BZ466" t="str">
            <v>Expreso - Servicios Troncales</v>
          </cell>
          <cell r="CA466" t="str">
            <v>INACTIVO</v>
          </cell>
          <cell r="CB466" t="str">
            <v>INACTIVO</v>
          </cell>
          <cell r="CC466" t="str">
            <v>INACTIVO</v>
          </cell>
          <cell r="CD466" t="str">
            <v>INACTIVO</v>
          </cell>
          <cell r="CE466" t="str">
            <v>INACTIVO</v>
          </cell>
          <cell r="CF466" t="str">
            <v>INACTIVO</v>
          </cell>
          <cell r="CG466" t="str">
            <v>INACTIVO</v>
          </cell>
          <cell r="CH466" t="str">
            <v>INACTIVO</v>
          </cell>
          <cell r="CI466" t="str">
            <v>INACTIVO</v>
          </cell>
          <cell r="CJ466" t="str">
            <v>INACTIVO</v>
          </cell>
          <cell r="CK466" t="str">
            <v>INACTIVO</v>
          </cell>
          <cell r="CL466" t="str">
            <v>Sin Operación</v>
          </cell>
          <cell r="CM466" t="str">
            <v>Sin Operación</v>
          </cell>
          <cell r="CN466" t="str">
            <v>Sin Operación</v>
          </cell>
          <cell r="CO466" t="str">
            <v>Sin Operación</v>
          </cell>
          <cell r="CP466" t="str">
            <v>Sin Operación</v>
          </cell>
          <cell r="CQ466" t="str">
            <v>INACTIVO</v>
          </cell>
          <cell r="CR466" t="str">
            <v>INACTIVO</v>
          </cell>
          <cell r="CS466" t="str">
            <v>INACTIVO</v>
          </cell>
          <cell r="CT466" t="str">
            <v>INACTIVO</v>
          </cell>
          <cell r="CU466" t="str">
            <v>INACTIVO</v>
          </cell>
          <cell r="CV466" t="str">
            <v>INACTIVO</v>
          </cell>
          <cell r="CW466" t="str">
            <v>INACTIVO</v>
          </cell>
        </row>
        <row r="467">
          <cell r="D467" t="str">
            <v>TTV899</v>
          </cell>
          <cell r="E467" t="str">
            <v>Chasis</v>
          </cell>
          <cell r="F467" t="str">
            <v>Chasis</v>
          </cell>
          <cell r="G467" t="str">
            <v>Chasis</v>
          </cell>
          <cell r="H467" t="str">
            <v>https://drive.google.com/drive/folders/1kNmD3g4R2SqzMVN8Nj0R5bTqdKFgDeL3</v>
          </cell>
          <cell r="I467" t="str">
            <v>Manual</v>
          </cell>
          <cell r="J467" t="str">
            <v>Mercedes Benz</v>
          </cell>
          <cell r="K467" t="str">
            <v>Manual</v>
          </cell>
          <cell r="L467">
            <v>130</v>
          </cell>
          <cell r="M467">
            <v>11000</v>
          </cell>
          <cell r="N467" t="str">
            <v>Expreso Malargüe S. A.</v>
          </cell>
          <cell r="O467" t="str">
            <v>Expreso Malargüe S. A.</v>
          </cell>
          <cell r="P467" t="str">
            <v>No</v>
          </cell>
          <cell r="Q467" t="str">
            <v>Propio</v>
          </cell>
          <cell r="R467">
            <v>8</v>
          </cell>
          <cell r="S467" t="str">
            <v>Propio</v>
          </cell>
          <cell r="T467" t="str">
            <v>MERCEDES BENZ</v>
          </cell>
          <cell r="U467" t="str">
            <v>1114</v>
          </cell>
          <cell r="V467" t="str">
            <v>B012198</v>
          </cell>
          <cell r="W467" t="str">
            <v>341.036-15-030294</v>
          </cell>
          <cell r="X467">
            <v>1976</v>
          </cell>
          <cell r="Y467">
            <v>50</v>
          </cell>
          <cell r="Z467" t="str">
            <v>Malargue</v>
          </cell>
          <cell r="AA467" t="str">
            <v>Expreso - Servicios Troncales</v>
          </cell>
          <cell r="AB467" t="str">
            <v>Expreso - Servicios Troncales</v>
          </cell>
          <cell r="AC467" t="str">
            <v>Expreso - Servicios Troncales</v>
          </cell>
          <cell r="AD467" t="str">
            <v>Expreso - Servicios Troncales</v>
          </cell>
          <cell r="AE467" t="str">
            <v>Expreso - Servicios Troncales</v>
          </cell>
          <cell r="AF467" t="str">
            <v>Expreso - Servicios Troncales</v>
          </cell>
          <cell r="AG467" t="str">
            <v>Expreso - Servicios Troncales</v>
          </cell>
          <cell r="AH467" t="str">
            <v>Expreso - Servicios Troncales</v>
          </cell>
          <cell r="AI467" t="str">
            <v>Expreso - Servicios Troncales</v>
          </cell>
          <cell r="AJ467" t="str">
            <v>Expreso - Servicios Troncales</v>
          </cell>
          <cell r="AK467" t="str">
            <v>Expreso - Servicios Troncales</v>
          </cell>
          <cell r="AL467" t="str">
            <v>Expreso - Servicios Troncales</v>
          </cell>
          <cell r="AM467" t="str">
            <v>Expreso - Servicios Troncales</v>
          </cell>
          <cell r="AN467" t="str">
            <v>Expreso - Servicios Troncales</v>
          </cell>
          <cell r="AO467" t="str">
            <v>Expreso - Servicios Troncales</v>
          </cell>
          <cell r="AP467" t="str">
            <v>Expreso - Servicios Troncales</v>
          </cell>
          <cell r="AQ467" t="str">
            <v>Expreso - Servicios Troncales</v>
          </cell>
          <cell r="AR467" t="str">
            <v>Expreso - Servicios Troncales</v>
          </cell>
          <cell r="AS467" t="str">
            <v>Expreso - Servicios Troncales</v>
          </cell>
          <cell r="AT467" t="str">
            <v>Expreso - Servicios Troncales</v>
          </cell>
          <cell r="AU467" t="str">
            <v>Expreso - Servicios Troncales</v>
          </cell>
          <cell r="AV467" t="str">
            <v>Expreso - Servicios Troncales</v>
          </cell>
          <cell r="AW467" t="str">
            <v>Expreso - Servicios Troncales</v>
          </cell>
          <cell r="AX467" t="str">
            <v>Expreso - Servicios Troncales</v>
          </cell>
          <cell r="AY467" t="str">
            <v>Expreso - Servicios Troncales</v>
          </cell>
          <cell r="AZ467" t="str">
            <v>Expreso - Servicios Troncales</v>
          </cell>
          <cell r="BA467" t="str">
            <v>Expreso - Servicios Troncales</v>
          </cell>
          <cell r="BB467" t="str">
            <v>Expreso - Servicios Troncales</v>
          </cell>
          <cell r="BC467" t="str">
            <v>Expreso - Servicios Troncales</v>
          </cell>
          <cell r="BD467" t="str">
            <v>SUC_GAL - Sucursal General Alvear</v>
          </cell>
          <cell r="BE467" t="str">
            <v>SUC_GAL - Sucursal General Alvear</v>
          </cell>
          <cell r="BF467" t="str">
            <v>SUC_GAL - Sucursal General Alvear</v>
          </cell>
          <cell r="BG467" t="str">
            <v>SUC_GAL - Sucursal General Alvear</v>
          </cell>
          <cell r="BH467" t="str">
            <v>SUC_GAL - Sucursal General Alvear</v>
          </cell>
          <cell r="BI467" t="str">
            <v>SUC_GAL - Sucursal General Alvear</v>
          </cell>
          <cell r="BJ467" t="str">
            <v>SUC_GAL - Sucursal General Alvear</v>
          </cell>
          <cell r="BK467" t="str">
            <v>SUC_GAL - Sucursal General Alvear</v>
          </cell>
          <cell r="BL467" t="str">
            <v>SUC_GAL - Sucursal General Alvear</v>
          </cell>
          <cell r="BM467" t="str">
            <v>SUC_GAL - Sucursal General Alvear</v>
          </cell>
          <cell r="BN467" t="str">
            <v>SUC_GAL - Sucursal General Alvear</v>
          </cell>
          <cell r="BO467" t="str">
            <v>SUC_GAL - Sucursal General Alvear</v>
          </cell>
          <cell r="BP467" t="str">
            <v>SUC_GAL - Sucursal General Alvear</v>
          </cell>
          <cell r="BQ467" t="str">
            <v>SUC_GAL - Sucursal General Alvear</v>
          </cell>
          <cell r="BR467" t="str">
            <v>SUC_GAL - Sucursal General Alvear</v>
          </cell>
          <cell r="BS467" t="str">
            <v>SUC_GAL - Sucursal General Alvear</v>
          </cell>
          <cell r="BT467" t="str">
            <v>SUC_GAL - Sucursal General Alvear</v>
          </cell>
          <cell r="BU467" t="str">
            <v>SUC_GAL - Sucursal General Alvear</v>
          </cell>
          <cell r="BV467" t="str">
            <v>SUC_GAL - Sucursal General Alvear</v>
          </cell>
          <cell r="BW467" t="str">
            <v>SUC_GAL - Sucursal General Alvear</v>
          </cell>
          <cell r="BX467" t="str">
            <v>SUC_GAL - Sucursal General Alvear</v>
          </cell>
          <cell r="BY467" t="str">
            <v>SUC_GAL - Sucursal General Alvear</v>
          </cell>
          <cell r="BZ467" t="str">
            <v>SUC_GAL - Sucursal General Alvear</v>
          </cell>
          <cell r="CA467" t="str">
            <v>SUC_GAL - Sucursal General Alvear</v>
          </cell>
          <cell r="CB467" t="str">
            <v>SUC_GAL - Sucursal General Alvear</v>
          </cell>
          <cell r="CC467" t="str">
            <v>SUC_GAL - Sucursal General Alvear</v>
          </cell>
          <cell r="CD467" t="str">
            <v>INACTIVO</v>
          </cell>
          <cell r="CE467" t="str">
            <v>INACTIVO</v>
          </cell>
          <cell r="CF467" t="str">
            <v>INACTIVO</v>
          </cell>
          <cell r="CG467" t="str">
            <v>INACTIVO</v>
          </cell>
          <cell r="CH467" t="str">
            <v>INACTIVO</v>
          </cell>
          <cell r="CI467" t="str">
            <v>INACTIVO</v>
          </cell>
          <cell r="CJ467" t="str">
            <v>SUC_SRA - Sucursal San Rafael</v>
          </cell>
          <cell r="CK467" t="str">
            <v>SUC_SRA - Sucursal San Rafael</v>
          </cell>
          <cell r="CL467" t="str">
            <v>SUC_SRA - Sucursal San Rafael</v>
          </cell>
          <cell r="CM467" t="str">
            <v>SUC_SRA - Sucursal San Rafael</v>
          </cell>
          <cell r="CN467" t="str">
            <v>SUC_SRA - Sucursal San Rafael</v>
          </cell>
          <cell r="CO467" t="str">
            <v>SUC_SRA - Sucursal San Rafael</v>
          </cell>
          <cell r="CP467" t="str">
            <v>SUC_SRA - Sucursal San Rafael</v>
          </cell>
          <cell r="CQ467" t="str">
            <v>SUC_SRA - Sucursal San Rafael</v>
          </cell>
          <cell r="CR467" t="str">
            <v>SUC_SRA - Sucursal San Rafael</v>
          </cell>
          <cell r="CS467" t="str">
            <v>SUC_SRA - Sucursal San Rafael</v>
          </cell>
          <cell r="CT467" t="str">
            <v>SUC_SRA - Sucursal San Rafael</v>
          </cell>
          <cell r="CU467" t="str">
            <v>SUC_SRA - Sucursal San Rafael</v>
          </cell>
          <cell r="CV467" t="str">
            <v>Sin Operación</v>
          </cell>
          <cell r="CW467" t="str">
            <v>Sin Operación</v>
          </cell>
        </row>
        <row r="468">
          <cell r="D468" t="str">
            <v>UGC053</v>
          </cell>
          <cell r="E468" t="str">
            <v>Chasis</v>
          </cell>
          <cell r="F468">
            <v>0</v>
          </cell>
          <cell r="G468" t="str">
            <v>Balancin</v>
          </cell>
          <cell r="N468" t="str">
            <v>(CORBO ISABEL MARÍA)LONGO OSCAR NORBERTO</v>
          </cell>
          <cell r="O468" t="str">
            <v>(CORBO ISABEL MARÍA)LONGO OSCAR NORBERTO</v>
          </cell>
          <cell r="P468" t="str">
            <v>No</v>
          </cell>
          <cell r="Q468" t="str">
            <v>De Tercero</v>
          </cell>
          <cell r="R468" t="str">
            <v>-</v>
          </cell>
          <cell r="S468" t="str">
            <v>De Tercero</v>
          </cell>
          <cell r="T468" t="str">
            <v>Mercedes Benz</v>
          </cell>
          <cell r="U468">
            <v>1114</v>
          </cell>
          <cell r="V468">
            <v>1977</v>
          </cell>
          <cell r="W468">
            <v>49</v>
          </cell>
          <cell r="X468">
            <v>1977</v>
          </cell>
          <cell r="Y468">
            <v>49</v>
          </cell>
          <cell r="Z468" t="str">
            <v>No operativo</v>
          </cell>
          <cell r="AA468" t="str">
            <v>CMQ_TTE - QUILMES TTE</v>
          </cell>
          <cell r="AB468" t="str">
            <v>CMQ_TTE - QUILMES TTE</v>
          </cell>
          <cell r="AC468" t="str">
            <v>CMQ_TTE - QUILMES TTE</v>
          </cell>
          <cell r="AD468" t="str">
            <v>CMQ_TTE - QUILMES TTE</v>
          </cell>
          <cell r="AE468" t="str">
            <v>CMQ_TTE - QUILMES TTE</v>
          </cell>
          <cell r="AF468" t="str">
            <v>CMQ_TTE - QUILMES TTE</v>
          </cell>
          <cell r="AG468" t="str">
            <v>CMQ_TTE - QUILMES TTE</v>
          </cell>
          <cell r="AH468" t="str">
            <v>CMQ_TTE - QUILMES TTE</v>
          </cell>
          <cell r="AI468" t="str">
            <v>CMQ_TTE - QUILMES TTE</v>
          </cell>
          <cell r="AJ468" t="str">
            <v>CMQ_TTE - QUILMES TTE</v>
          </cell>
          <cell r="AK468" t="str">
            <v>CMQ_TTE - QUILMES TTE</v>
          </cell>
          <cell r="AL468" t="str">
            <v>CMQ_TTE - QUILMES TTE</v>
          </cell>
          <cell r="AM468" t="str">
            <v>CMQ_TTE - QUILMES TTE</v>
          </cell>
          <cell r="AN468" t="str">
            <v>CMQ_TTE - QUILMES TTE</v>
          </cell>
          <cell r="AO468" t="str">
            <v>CMQ_TTE - QUILMES TTE</v>
          </cell>
          <cell r="AP468" t="str">
            <v>CMQ_TTE - QUILMES TTE</v>
          </cell>
          <cell r="AQ468" t="str">
            <v>CMQ_TTE - QUILMES TTE</v>
          </cell>
          <cell r="AR468" t="str">
            <v>CMQ_TTE - QUILMES TTE</v>
          </cell>
          <cell r="AS468" t="str">
            <v>CMQ_TTE - QUILMES TTE</v>
          </cell>
          <cell r="AT468" t="str">
            <v>CMQ_TTE - QUILMES TTE</v>
          </cell>
          <cell r="AU468" t="str">
            <v>CMQ_TTE - QUILMES TTE</v>
          </cell>
          <cell r="AV468" t="str">
            <v>CMQ_TTE - QUILMES TTE</v>
          </cell>
          <cell r="AW468" t="str">
            <v>CMQ_TTE - QUILMES TTE</v>
          </cell>
          <cell r="AX468" t="str">
            <v>INACTIVO</v>
          </cell>
          <cell r="AY468" t="str">
            <v>INACTIVO</v>
          </cell>
          <cell r="AZ468" t="str">
            <v>INACTIVO</v>
          </cell>
          <cell r="BA468" t="str">
            <v>INACTIVO</v>
          </cell>
          <cell r="BB468" t="str">
            <v>INACTIVO</v>
          </cell>
          <cell r="BC468" t="str">
            <v>INACTIVO</v>
          </cell>
          <cell r="BD468" t="str">
            <v>INACTIVO</v>
          </cell>
          <cell r="BE468" t="str">
            <v>INACTIVO</v>
          </cell>
          <cell r="BF468" t="str">
            <v>INACTIVO</v>
          </cell>
          <cell r="BG468" t="str">
            <v>INACTIVO</v>
          </cell>
          <cell r="BH468" t="str">
            <v>INACTIVO</v>
          </cell>
          <cell r="BI468" t="str">
            <v>INACTIVO</v>
          </cell>
          <cell r="BJ468" t="str">
            <v>INACTIVO</v>
          </cell>
          <cell r="BK468" t="str">
            <v>INACTIVO</v>
          </cell>
          <cell r="BL468" t="str">
            <v>INACTIVO</v>
          </cell>
          <cell r="BM468" t="str">
            <v>INACTIVO</v>
          </cell>
          <cell r="BN468" t="str">
            <v>INACTIVO</v>
          </cell>
          <cell r="BO468" t="str">
            <v>INACTIVO</v>
          </cell>
          <cell r="BP468" t="str">
            <v>INACTIVO</v>
          </cell>
          <cell r="BQ468" t="str">
            <v>INACTIVO</v>
          </cell>
          <cell r="BR468" t="str">
            <v>INACTIVO</v>
          </cell>
          <cell r="BS468" t="str">
            <v>INACTIVO</v>
          </cell>
          <cell r="BT468" t="str">
            <v>INACTIVO</v>
          </cell>
          <cell r="BU468" t="str">
            <v>INACTIVO</v>
          </cell>
          <cell r="BV468" t="str">
            <v>INACTIVO</v>
          </cell>
          <cell r="BW468" t="str">
            <v>INACTIVO</v>
          </cell>
          <cell r="BX468" t="str">
            <v>INACTIVO</v>
          </cell>
          <cell r="BY468" t="str">
            <v>INACTIVO</v>
          </cell>
          <cell r="BZ468" t="str">
            <v>INACTIVO</v>
          </cell>
          <cell r="CA468" t="str">
            <v>INACTIVO</v>
          </cell>
          <cell r="CB468" t="str">
            <v>INACTIVO</v>
          </cell>
          <cell r="CC468" t="str">
            <v>BAJA</v>
          </cell>
          <cell r="CD468" t="str">
            <v>BAJA</v>
          </cell>
          <cell r="CE468" t="str">
            <v>BAJA</v>
          </cell>
          <cell r="CF468" t="str">
            <v>BAJA</v>
          </cell>
          <cell r="CG468" t="str">
            <v>BAJA</v>
          </cell>
          <cell r="CH468" t="str">
            <v>BAJA</v>
          </cell>
          <cell r="CI468" t="str">
            <v>BAJA</v>
          </cell>
          <cell r="CJ468" t="str">
            <v>BAJA</v>
          </cell>
          <cell r="CK468" t="str">
            <v>BAJA</v>
          </cell>
          <cell r="CL468" t="str">
            <v>BAJA</v>
          </cell>
          <cell r="CM468" t="str">
            <v>BAJA</v>
          </cell>
          <cell r="CN468" t="str">
            <v>BAJA</v>
          </cell>
          <cell r="CO468" t="str">
            <v>BAJA</v>
          </cell>
          <cell r="CP468" t="str">
            <v>BAJA</v>
          </cell>
          <cell r="CQ468" t="str">
            <v>BAJA</v>
          </cell>
          <cell r="CR468" t="str">
            <v>BAJA</v>
          </cell>
          <cell r="CS468" t="str">
            <v>BAJA</v>
          </cell>
          <cell r="CT468" t="str">
            <v>BAJA</v>
          </cell>
          <cell r="CU468" t="str">
            <v>BAJA</v>
          </cell>
          <cell r="CV468" t="str">
            <v>BAJA</v>
          </cell>
          <cell r="CW468" t="str">
            <v>BAJA</v>
          </cell>
        </row>
        <row r="469">
          <cell r="D469" t="str">
            <v>UTX203</v>
          </cell>
          <cell r="E469" t="str">
            <v>Semiremolque</v>
          </cell>
          <cell r="F469" t="str">
            <v>Semiremolque</v>
          </cell>
          <cell r="G469" t="str">
            <v>Semiremolque</v>
          </cell>
          <cell r="N469" t="str">
            <v>Expreso Malargüe S. A.</v>
          </cell>
          <cell r="O469" t="str">
            <v>Expreso Malargüe S. A.</v>
          </cell>
          <cell r="P469" t="str">
            <v>No</v>
          </cell>
          <cell r="Q469" t="str">
            <v>Propio</v>
          </cell>
          <cell r="R469" t="str">
            <v>-</v>
          </cell>
          <cell r="S469" t="str">
            <v>Propio</v>
          </cell>
          <cell r="T469" t="str">
            <v>CONST.MET.</v>
          </cell>
          <cell r="U469" t="str">
            <v>-</v>
          </cell>
          <cell r="V469" t="str">
            <v>-</v>
          </cell>
          <cell r="W469" t="str">
            <v>RPA291320</v>
          </cell>
          <cell r="X469">
            <v>1975</v>
          </cell>
          <cell r="Y469">
            <v>51</v>
          </cell>
          <cell r="Z469" t="str">
            <v>Malargue</v>
          </cell>
          <cell r="AA469" t="str">
            <v>Expreso - Servicios Troncales</v>
          </cell>
          <cell r="AB469" t="str">
            <v>Expreso - Servicios Troncales</v>
          </cell>
          <cell r="AC469" t="str">
            <v>Expreso - Servicios Troncales</v>
          </cell>
          <cell r="AD469" t="str">
            <v>Expreso - Servicios Troncales</v>
          </cell>
          <cell r="AE469" t="str">
            <v>Expreso - Servicios Troncales</v>
          </cell>
          <cell r="AF469" t="str">
            <v>Expreso - Servicios Troncales</v>
          </cell>
          <cell r="AG469" t="str">
            <v>Expreso - Servicios Troncales</v>
          </cell>
          <cell r="AH469" t="str">
            <v>Expreso - Servicios Troncales</v>
          </cell>
          <cell r="AI469" t="str">
            <v>INACTIVO</v>
          </cell>
          <cell r="AJ469" t="str">
            <v>INACTIVO</v>
          </cell>
          <cell r="AK469" t="str">
            <v>INACTIVO</v>
          </cell>
          <cell r="AL469" t="str">
            <v>INACTIVO</v>
          </cell>
          <cell r="AM469" t="str">
            <v>INACTIVO</v>
          </cell>
          <cell r="AN469" t="str">
            <v>INACTIVO</v>
          </cell>
          <cell r="AO469" t="str">
            <v>INACTIVO</v>
          </cell>
          <cell r="AP469" t="str">
            <v>INACTIVO</v>
          </cell>
          <cell r="AQ469" t="str">
            <v>INACTIVO</v>
          </cell>
          <cell r="AR469" t="str">
            <v>INACTIVO</v>
          </cell>
          <cell r="AS469" t="str">
            <v>INACTIVO</v>
          </cell>
          <cell r="AT469" t="str">
            <v>INACTIVO</v>
          </cell>
          <cell r="AU469" t="str">
            <v>INACTIVO</v>
          </cell>
          <cell r="AV469" t="str">
            <v>INACTIVO</v>
          </cell>
          <cell r="AW469" t="str">
            <v>INACTIVO</v>
          </cell>
          <cell r="AX469" t="str">
            <v>INACTIVO</v>
          </cell>
          <cell r="AY469" t="str">
            <v>INACTIVO</v>
          </cell>
          <cell r="AZ469" t="str">
            <v>INACTIVO</v>
          </cell>
          <cell r="BA469" t="str">
            <v>INACTIVO</v>
          </cell>
          <cell r="BB469" t="str">
            <v>INACTIVO</v>
          </cell>
          <cell r="BC469" t="str">
            <v>INACTIVO</v>
          </cell>
          <cell r="BD469" t="str">
            <v>INACTIVO</v>
          </cell>
          <cell r="BE469" t="str">
            <v>INACTIVO</v>
          </cell>
          <cell r="BF469" t="str">
            <v>INACTIVO</v>
          </cell>
          <cell r="BG469" t="str">
            <v>INACTIVO</v>
          </cell>
          <cell r="BH469" t="str">
            <v>INACTIVO</v>
          </cell>
          <cell r="BI469" t="str">
            <v>INACTIVO</v>
          </cell>
          <cell r="BJ469" t="str">
            <v>INACTIVO</v>
          </cell>
          <cell r="BK469" t="str">
            <v>INACTIVO</v>
          </cell>
          <cell r="BL469" t="str">
            <v>INACTIVO</v>
          </cell>
          <cell r="BM469" t="str">
            <v>INACTIVO</v>
          </cell>
          <cell r="BN469" t="str">
            <v>INACTIVO</v>
          </cell>
          <cell r="BO469" t="str">
            <v>INACTIVO</v>
          </cell>
          <cell r="BP469" t="str">
            <v>INACTIVO</v>
          </cell>
          <cell r="BQ469" t="str">
            <v>INACTIVO</v>
          </cell>
          <cell r="BR469" t="str">
            <v>INACTIVO</v>
          </cell>
          <cell r="BS469" t="str">
            <v>INACTIVO</v>
          </cell>
          <cell r="BT469" t="str">
            <v>INACTIVO</v>
          </cell>
          <cell r="BU469" t="str">
            <v>INACTIVO</v>
          </cell>
          <cell r="BV469" t="str">
            <v>INACTIVO</v>
          </cell>
          <cell r="BW469" t="str">
            <v>INACTIVO</v>
          </cell>
          <cell r="BX469" t="str">
            <v>INACTIVO</v>
          </cell>
          <cell r="BY469" t="str">
            <v>INACTIVO</v>
          </cell>
          <cell r="BZ469" t="str">
            <v>INACTIVO</v>
          </cell>
          <cell r="CA469" t="str">
            <v>INACTIVO</v>
          </cell>
          <cell r="CB469" t="str">
            <v>INACTIVO</v>
          </cell>
          <cell r="CC469" t="str">
            <v>INACTIVO</v>
          </cell>
          <cell r="CD469" t="str">
            <v>INACTIVO</v>
          </cell>
          <cell r="CE469" t="str">
            <v>INACTIVO</v>
          </cell>
          <cell r="CF469" t="str">
            <v>INACTIVO</v>
          </cell>
          <cell r="CG469" t="str">
            <v>INACTIVO</v>
          </cell>
          <cell r="CH469" t="str">
            <v>INACTIVO</v>
          </cell>
          <cell r="CI469" t="str">
            <v>INACTIVO</v>
          </cell>
          <cell r="CJ469" t="str">
            <v>INACTIVO</v>
          </cell>
          <cell r="CK469" t="str">
            <v>INACTIVO</v>
          </cell>
          <cell r="CL469" t="str">
            <v>INACTIVO</v>
          </cell>
          <cell r="CM469" t="str">
            <v>INACTIVO</v>
          </cell>
          <cell r="CN469" t="str">
            <v>INACTIVO</v>
          </cell>
          <cell r="CO469" t="str">
            <v>INACTIVO</v>
          </cell>
          <cell r="CP469" t="str">
            <v>INACTIVO</v>
          </cell>
          <cell r="CQ469" t="str">
            <v>INACTIVO</v>
          </cell>
          <cell r="CR469" t="str">
            <v>INACTIVO</v>
          </cell>
          <cell r="CS469" t="str">
            <v>INACTIVO</v>
          </cell>
          <cell r="CT469" t="str">
            <v>INACTIVO</v>
          </cell>
          <cell r="CU469" t="str">
            <v>INACTIVO</v>
          </cell>
          <cell r="CV469" t="str">
            <v>INACTIVO</v>
          </cell>
          <cell r="CW469" t="str">
            <v>INACTIVO</v>
          </cell>
        </row>
        <row r="470">
          <cell r="D470" t="str">
            <v>UTX205</v>
          </cell>
          <cell r="E470" t="str">
            <v>Semiremolque</v>
          </cell>
          <cell r="F470" t="str">
            <v>Semiremolque</v>
          </cell>
          <cell r="G470" t="str">
            <v>Semiremolque</v>
          </cell>
          <cell r="N470" t="str">
            <v>Expreso Malargüe S. A.</v>
          </cell>
          <cell r="O470" t="str">
            <v>Expreso Malargüe S. A.</v>
          </cell>
          <cell r="P470" t="str">
            <v>No</v>
          </cell>
          <cell r="Q470" t="str">
            <v>Propio</v>
          </cell>
          <cell r="R470" t="str">
            <v>-</v>
          </cell>
          <cell r="S470" t="str">
            <v>Propio</v>
          </cell>
          <cell r="T470" t="str">
            <v>CONST.MET.</v>
          </cell>
          <cell r="U470" t="str">
            <v>-</v>
          </cell>
          <cell r="V470" t="str">
            <v>-</v>
          </cell>
          <cell r="W470">
            <v>2711</v>
          </cell>
          <cell r="X470">
            <v>1976</v>
          </cell>
          <cell r="Y470">
            <v>50</v>
          </cell>
          <cell r="Z470" t="str">
            <v>Malargue</v>
          </cell>
          <cell r="AA470" t="str">
            <v>Expreso - Servicios Troncales</v>
          </cell>
          <cell r="AB470" t="str">
            <v>Expreso - Servicios Troncales</v>
          </cell>
          <cell r="AC470" t="str">
            <v>Expreso - Servicios Troncales</v>
          </cell>
          <cell r="AD470" t="str">
            <v>Expreso - Servicios Troncales</v>
          </cell>
          <cell r="AE470" t="str">
            <v>Expreso - Servicios Troncales</v>
          </cell>
          <cell r="AF470" t="str">
            <v>Expreso - Servicios Troncales</v>
          </cell>
          <cell r="AG470" t="str">
            <v>Expreso - Servicios Troncales</v>
          </cell>
          <cell r="AH470" t="str">
            <v>Expreso - Servicios Troncales</v>
          </cell>
          <cell r="AI470" t="str">
            <v>INACTIVO</v>
          </cell>
          <cell r="AJ470" t="str">
            <v>INACTIVO</v>
          </cell>
          <cell r="AK470" t="str">
            <v>INACTIVO</v>
          </cell>
          <cell r="AL470" t="str">
            <v>INACTIVO</v>
          </cell>
          <cell r="AM470" t="str">
            <v>INACTIVO</v>
          </cell>
          <cell r="AN470" t="str">
            <v>INACTIVO</v>
          </cell>
          <cell r="AO470" t="str">
            <v>INACTIVO</v>
          </cell>
          <cell r="AP470" t="str">
            <v>INACTIVO</v>
          </cell>
          <cell r="AQ470" t="str">
            <v>INACTIVO</v>
          </cell>
          <cell r="AR470" t="str">
            <v>INACTIVO</v>
          </cell>
          <cell r="AS470" t="str">
            <v>INACTIVO</v>
          </cell>
          <cell r="AT470" t="str">
            <v>INACTIVO</v>
          </cell>
          <cell r="AU470" t="str">
            <v>INACTIVO</v>
          </cell>
          <cell r="AV470" t="str">
            <v>INACTIVO</v>
          </cell>
          <cell r="AW470" t="str">
            <v>INACTIVO</v>
          </cell>
          <cell r="AX470" t="str">
            <v>INACTIVO</v>
          </cell>
          <cell r="AY470" t="str">
            <v>INACTIVO</v>
          </cell>
          <cell r="AZ470" t="str">
            <v>INACTIVO</v>
          </cell>
          <cell r="BA470" t="str">
            <v>INACTIVO</v>
          </cell>
          <cell r="BB470" t="str">
            <v>INACTIVO</v>
          </cell>
          <cell r="BC470" t="str">
            <v>INACTIVO</v>
          </cell>
          <cell r="BD470" t="str">
            <v>INACTIVO</v>
          </cell>
          <cell r="BE470" t="str">
            <v>INACTIVO</v>
          </cell>
          <cell r="BF470" t="str">
            <v>INACTIVO</v>
          </cell>
          <cell r="BG470" t="str">
            <v>INACTIVO</v>
          </cell>
          <cell r="BH470" t="str">
            <v>INACTIVO</v>
          </cell>
          <cell r="BI470" t="str">
            <v>INACTIVO</v>
          </cell>
          <cell r="BJ470" t="str">
            <v>INACTIVO</v>
          </cell>
          <cell r="BK470" t="str">
            <v>INACTIVO</v>
          </cell>
          <cell r="BL470" t="str">
            <v>INACTIVO</v>
          </cell>
          <cell r="BM470" t="str">
            <v>INACTIVO</v>
          </cell>
          <cell r="BN470" t="str">
            <v>INACTIVO</v>
          </cell>
          <cell r="BO470" t="str">
            <v>INACTIVO</v>
          </cell>
          <cell r="BP470" t="str">
            <v>INACTIVO</v>
          </cell>
          <cell r="BQ470" t="str">
            <v>INACTIVO</v>
          </cell>
          <cell r="BR470" t="str">
            <v>INACTIVO</v>
          </cell>
          <cell r="BS470" t="str">
            <v>INACTIVO</v>
          </cell>
          <cell r="BT470" t="str">
            <v>INACTIVO</v>
          </cell>
          <cell r="BU470" t="str">
            <v>INACTIVO</v>
          </cell>
          <cell r="BV470" t="str">
            <v>INACTIVO</v>
          </cell>
          <cell r="BW470" t="str">
            <v>INACTIVO</v>
          </cell>
          <cell r="BX470" t="str">
            <v>INACTIVO</v>
          </cell>
          <cell r="BY470" t="str">
            <v>INACTIVO</v>
          </cell>
          <cell r="BZ470" t="str">
            <v>INACTIVO</v>
          </cell>
          <cell r="CA470" t="str">
            <v>INACTIVO</v>
          </cell>
          <cell r="CB470" t="str">
            <v>INACTIVO</v>
          </cell>
          <cell r="CC470" t="str">
            <v>INACTIVO</v>
          </cell>
          <cell r="CD470" t="str">
            <v>INACTIVO</v>
          </cell>
          <cell r="CE470" t="str">
            <v>INACTIVO</v>
          </cell>
          <cell r="CF470" t="str">
            <v>INACTIVO</v>
          </cell>
          <cell r="CG470" t="str">
            <v>INACTIVO</v>
          </cell>
          <cell r="CH470" t="str">
            <v>INACTIVO</v>
          </cell>
          <cell r="CI470" t="str">
            <v>INACTIVO</v>
          </cell>
          <cell r="CJ470" t="str">
            <v>INACTIVO</v>
          </cell>
          <cell r="CK470" t="str">
            <v>INACTIVO</v>
          </cell>
          <cell r="CL470" t="str">
            <v>INACTIVO</v>
          </cell>
          <cell r="CM470" t="str">
            <v>INACTIVO</v>
          </cell>
          <cell r="CN470" t="str">
            <v>INACTIVO</v>
          </cell>
          <cell r="CO470" t="str">
            <v>INACTIVO</v>
          </cell>
          <cell r="CP470" t="str">
            <v>INACTIVO</v>
          </cell>
          <cell r="CQ470" t="str">
            <v>INACTIVO</v>
          </cell>
          <cell r="CR470" t="str">
            <v>INACTIVO</v>
          </cell>
          <cell r="CS470" t="str">
            <v>INACTIVO</v>
          </cell>
          <cell r="CT470" t="str">
            <v>INACTIVO</v>
          </cell>
          <cell r="CU470" t="str">
            <v>INACTIVO</v>
          </cell>
          <cell r="CV470" t="str">
            <v>INACTIVO</v>
          </cell>
          <cell r="CW470" t="str">
            <v>INACTIVO</v>
          </cell>
        </row>
        <row r="471">
          <cell r="D471" t="str">
            <v>UVL969</v>
          </cell>
          <cell r="E471" t="str">
            <v>Semiremolque</v>
          </cell>
          <cell r="F471" t="str">
            <v>Semiremolque</v>
          </cell>
          <cell r="G471" t="str">
            <v>Semiremolque</v>
          </cell>
          <cell r="N471" t="str">
            <v>Expreso Malargüe S. A.</v>
          </cell>
          <cell r="O471" t="str">
            <v>Expreso Malargüe S. A.</v>
          </cell>
          <cell r="P471" t="str">
            <v>No</v>
          </cell>
          <cell r="Q471" t="str">
            <v>Propio</v>
          </cell>
          <cell r="R471" t="str">
            <v>-</v>
          </cell>
          <cell r="S471" t="str">
            <v>Propio</v>
          </cell>
          <cell r="T471" t="str">
            <v>CONST.MET.</v>
          </cell>
          <cell r="U471" t="str">
            <v>-</v>
          </cell>
          <cell r="V471" t="str">
            <v>-</v>
          </cell>
          <cell r="W471">
            <v>2722</v>
          </cell>
          <cell r="X471">
            <v>1976</v>
          </cell>
          <cell r="Y471">
            <v>50</v>
          </cell>
          <cell r="Z471" t="str">
            <v>Malargue</v>
          </cell>
          <cell r="AA471" t="str">
            <v>Expreso - Servicios Troncales</v>
          </cell>
          <cell r="AB471" t="str">
            <v>Expreso - Servicios Troncales</v>
          </cell>
          <cell r="AC471" t="str">
            <v>Expreso - Servicios Troncales</v>
          </cell>
          <cell r="AD471" t="str">
            <v>Expreso - Servicios Troncales</v>
          </cell>
          <cell r="AE471" t="str">
            <v>Expreso - Servicios Troncales</v>
          </cell>
          <cell r="AF471" t="str">
            <v>Expreso - Servicios Troncales</v>
          </cell>
          <cell r="AG471" t="str">
            <v>Expreso - Servicios Troncales</v>
          </cell>
          <cell r="AH471" t="str">
            <v>Expreso - Servicios Troncales</v>
          </cell>
          <cell r="AI471" t="str">
            <v>INACTIVO</v>
          </cell>
          <cell r="AJ471" t="str">
            <v>INACTIVO</v>
          </cell>
          <cell r="AK471" t="str">
            <v>INACTIVO</v>
          </cell>
          <cell r="AL471" t="str">
            <v>INACTIVO</v>
          </cell>
          <cell r="AM471" t="str">
            <v>INACTIVO</v>
          </cell>
          <cell r="AN471" t="str">
            <v>INACTIVO</v>
          </cell>
          <cell r="AO471" t="str">
            <v>INACTIVO</v>
          </cell>
          <cell r="AP471" t="str">
            <v>INACTIVO</v>
          </cell>
          <cell r="AQ471" t="str">
            <v>INACTIVO</v>
          </cell>
          <cell r="AR471" t="str">
            <v>INACTIVO</v>
          </cell>
          <cell r="AS471" t="str">
            <v>INACTIVO</v>
          </cell>
          <cell r="AT471" t="str">
            <v>INACTIVO</v>
          </cell>
          <cell r="AU471" t="str">
            <v>INACTIVO</v>
          </cell>
          <cell r="AV471" t="str">
            <v>INACTIVO</v>
          </cell>
          <cell r="AW471" t="str">
            <v>INACTIVO</v>
          </cell>
          <cell r="AX471" t="str">
            <v>INACTIVO</v>
          </cell>
          <cell r="AY471" t="str">
            <v>INACTIVO</v>
          </cell>
          <cell r="AZ471" t="str">
            <v>INACTIVO</v>
          </cell>
          <cell r="BA471" t="str">
            <v>INACTIVO</v>
          </cell>
          <cell r="BB471" t="str">
            <v>INACTIVO</v>
          </cell>
          <cell r="BC471" t="str">
            <v>INACTIVO</v>
          </cell>
          <cell r="BD471" t="str">
            <v>INACTIVO</v>
          </cell>
          <cell r="BE471" t="str">
            <v>INACTIVO</v>
          </cell>
          <cell r="BF471" t="str">
            <v>INACTIVO</v>
          </cell>
          <cell r="BG471" t="str">
            <v>INACTIVO</v>
          </cell>
          <cell r="BH471" t="str">
            <v>INACTIVO</v>
          </cell>
          <cell r="BI471" t="str">
            <v>INACTIVO</v>
          </cell>
          <cell r="BJ471" t="str">
            <v>INACTIVO</v>
          </cell>
          <cell r="BK471" t="str">
            <v>INACTIVO</v>
          </cell>
          <cell r="BL471" t="str">
            <v>INACTIVO</v>
          </cell>
          <cell r="BM471" t="str">
            <v>INACTIVO</v>
          </cell>
          <cell r="BN471" t="str">
            <v>INACTIVO</v>
          </cell>
          <cell r="BO471" t="str">
            <v>INACTIVO</v>
          </cell>
          <cell r="BP471" t="str">
            <v>INACTIVO</v>
          </cell>
          <cell r="BQ471" t="str">
            <v>INACTIVO</v>
          </cell>
          <cell r="BR471" t="str">
            <v>INACTIVO</v>
          </cell>
          <cell r="BS471" t="str">
            <v>INACTIVO</v>
          </cell>
          <cell r="BT471" t="str">
            <v>INACTIVO</v>
          </cell>
          <cell r="BU471" t="str">
            <v>INACTIVO</v>
          </cell>
          <cell r="BV471" t="str">
            <v>INACTIVO</v>
          </cell>
          <cell r="BW471" t="str">
            <v>INACTIVO</v>
          </cell>
          <cell r="BX471" t="str">
            <v>INACTIVO</v>
          </cell>
          <cell r="BY471" t="str">
            <v>INACTIVO</v>
          </cell>
          <cell r="BZ471" t="str">
            <v>INACTIVO</v>
          </cell>
          <cell r="CA471" t="str">
            <v>INACTIVO</v>
          </cell>
          <cell r="CB471" t="str">
            <v>INACTIVO</v>
          </cell>
          <cell r="CC471" t="str">
            <v>INACTIVO</v>
          </cell>
          <cell r="CD471" t="str">
            <v>INACTIVO</v>
          </cell>
          <cell r="CE471" t="str">
            <v>INACTIVO</v>
          </cell>
          <cell r="CF471" t="str">
            <v>INACTIVO</v>
          </cell>
          <cell r="CG471" t="str">
            <v>INACTIVO</v>
          </cell>
          <cell r="CH471" t="str">
            <v>INACTIVO</v>
          </cell>
          <cell r="CI471" t="str">
            <v>INACTIVO</v>
          </cell>
          <cell r="CJ471" t="str">
            <v>INACTIVO</v>
          </cell>
          <cell r="CK471" t="str">
            <v>INACTIVO</v>
          </cell>
          <cell r="CL471" t="str">
            <v>INACTIVO</v>
          </cell>
          <cell r="CM471" t="str">
            <v>INACTIVO</v>
          </cell>
          <cell r="CN471" t="str">
            <v>INACTIVO</v>
          </cell>
          <cell r="CO471" t="str">
            <v>INACTIVO</v>
          </cell>
          <cell r="CP471" t="str">
            <v>INACTIVO</v>
          </cell>
          <cell r="CQ471" t="str">
            <v>INACTIVO</v>
          </cell>
          <cell r="CR471" t="str">
            <v>INACTIVO</v>
          </cell>
          <cell r="CS471" t="str">
            <v>INACTIVO</v>
          </cell>
          <cell r="CT471" t="str">
            <v>INACTIVO</v>
          </cell>
          <cell r="CU471" t="str">
            <v>INACTIVO</v>
          </cell>
          <cell r="CV471" t="str">
            <v>INACTIVO</v>
          </cell>
          <cell r="CW471" t="str">
            <v>INACTIVO</v>
          </cell>
        </row>
        <row r="472">
          <cell r="D472" t="str">
            <v>VJQ213</v>
          </cell>
          <cell r="E472" t="str">
            <v>Semiremolque</v>
          </cell>
          <cell r="F472" t="str">
            <v>Semiremolque</v>
          </cell>
          <cell r="G472" t="str">
            <v>Semiremolque Furgón 11,5m 22P</v>
          </cell>
          <cell r="N472" t="str">
            <v>Expreso Malargüe S. A.</v>
          </cell>
          <cell r="O472" t="str">
            <v>Expreso Malargüe S. A.</v>
          </cell>
          <cell r="P472" t="str">
            <v>No</v>
          </cell>
          <cell r="Q472" t="str">
            <v>Propio</v>
          </cell>
          <cell r="R472">
            <v>22</v>
          </cell>
          <cell r="S472" t="str">
            <v>Propio</v>
          </cell>
          <cell r="T472" t="str">
            <v>CONST.MET.</v>
          </cell>
          <cell r="U472">
            <v>4224</v>
          </cell>
          <cell r="V472">
            <v>1984</v>
          </cell>
          <cell r="W472">
            <v>4224</v>
          </cell>
          <cell r="X472">
            <v>1984</v>
          </cell>
          <cell r="Y472">
            <v>42</v>
          </cell>
          <cell r="Z472" t="str">
            <v>Malargue</v>
          </cell>
          <cell r="AA472" t="str">
            <v>Expreso - Servicios Troncales</v>
          </cell>
          <cell r="AB472" t="str">
            <v>Expreso - Servicios Troncales</v>
          </cell>
          <cell r="AC472" t="str">
            <v>Expreso - Servicios Troncales</v>
          </cell>
          <cell r="AD472" t="str">
            <v>Expreso - Servicios Troncales</v>
          </cell>
          <cell r="AE472" t="str">
            <v>Expreso - Servicios Troncales</v>
          </cell>
          <cell r="AF472" t="str">
            <v>Expreso - Servicios Troncales</v>
          </cell>
          <cell r="AG472" t="str">
            <v>Expreso - Servicios Troncales</v>
          </cell>
          <cell r="AH472" t="str">
            <v>Expreso - Servicios Troncales</v>
          </cell>
          <cell r="AI472" t="str">
            <v>Expreso - Servicios Troncales</v>
          </cell>
          <cell r="AJ472" t="str">
            <v>Expreso - Servicios Troncales</v>
          </cell>
          <cell r="AK472" t="str">
            <v>Expreso - Servicios Troncales</v>
          </cell>
          <cell r="AL472" t="str">
            <v>Expreso - Servicios Troncales</v>
          </cell>
          <cell r="AM472" t="str">
            <v>Expreso - Servicios Troncales</v>
          </cell>
          <cell r="AN472" t="str">
            <v>Expreso - Servicios Troncales</v>
          </cell>
          <cell r="AO472" t="str">
            <v>Expreso - Servicios Troncales</v>
          </cell>
          <cell r="AP472" t="str">
            <v>Expreso - Servicios Troncales</v>
          </cell>
          <cell r="AQ472" t="str">
            <v>Expreso - Servicios Troncales</v>
          </cell>
          <cell r="AR472" t="str">
            <v>Expreso - Servicios Troncales</v>
          </cell>
          <cell r="AS472" t="str">
            <v>Expreso - Servicios Troncales</v>
          </cell>
          <cell r="AT472" t="str">
            <v>Expreso - Servicios Troncales</v>
          </cell>
          <cell r="AU472" t="str">
            <v>Expreso - Servicios Troncales</v>
          </cell>
          <cell r="AV472" t="str">
            <v>Expreso - Servicios Troncales</v>
          </cell>
          <cell r="AW472" t="str">
            <v>Expreso - Servicios Troncales</v>
          </cell>
          <cell r="AX472" t="str">
            <v>Expreso - Servicios Troncales</v>
          </cell>
          <cell r="AY472" t="str">
            <v>Expreso - Servicios Troncales</v>
          </cell>
          <cell r="AZ472" t="str">
            <v>Expreso - Servicios Troncales</v>
          </cell>
          <cell r="BA472" t="str">
            <v>Expreso - Servicios Troncales</v>
          </cell>
          <cell r="BB472" t="str">
            <v>Expreso - Servicios Troncales</v>
          </cell>
          <cell r="BC472" t="str">
            <v>Expreso - Servicios Troncales</v>
          </cell>
          <cell r="BD472" t="str">
            <v>Expreso - Servicios Troncales</v>
          </cell>
          <cell r="BE472" t="str">
            <v>Expreso - Servicios Troncales</v>
          </cell>
          <cell r="BF472" t="str">
            <v>Expreso - Servicios Troncales</v>
          </cell>
          <cell r="BG472" t="str">
            <v>Expreso - Servicios Troncales</v>
          </cell>
          <cell r="BH472" t="str">
            <v>Expreso - Servicios Troncales</v>
          </cell>
          <cell r="BI472" t="str">
            <v>Expreso - Servicios Troncales</v>
          </cell>
          <cell r="BJ472" t="str">
            <v>Expreso - Servicios Troncales</v>
          </cell>
          <cell r="BK472" t="str">
            <v>Expreso - Servicios Troncales</v>
          </cell>
          <cell r="BL472" t="str">
            <v>Expreso - Servicios Troncales</v>
          </cell>
          <cell r="BM472" t="str">
            <v>Expreso - Servicios Troncales</v>
          </cell>
          <cell r="BN472" t="str">
            <v>Expreso - Servicios Troncales</v>
          </cell>
          <cell r="BO472" t="str">
            <v>Expreso - Servicios Troncales</v>
          </cell>
          <cell r="BP472" t="str">
            <v>Expreso - Servicios Troncales</v>
          </cell>
          <cell r="BQ472" t="str">
            <v>Expreso - Servicios Troncales</v>
          </cell>
          <cell r="BR472" t="str">
            <v>Expreso - Servicios Troncales</v>
          </cell>
          <cell r="BS472" t="str">
            <v>Expreso - Servicios Troncales</v>
          </cell>
          <cell r="BT472" t="str">
            <v>Expreso - Servicios Troncales</v>
          </cell>
          <cell r="BU472" t="str">
            <v>Expreso - Servicios Troncales</v>
          </cell>
          <cell r="BV472" t="str">
            <v>Expreso - Servicios Troncales</v>
          </cell>
          <cell r="BW472" t="str">
            <v>Expreso - Servicios Troncales</v>
          </cell>
          <cell r="BX472" t="str">
            <v>Expreso - Servicios Troncales</v>
          </cell>
          <cell r="BY472" t="str">
            <v>Expreso - Servicios Troncales</v>
          </cell>
          <cell r="BZ472" t="str">
            <v>Expreso - Servicios Troncales</v>
          </cell>
          <cell r="CA472" t="str">
            <v>Expreso - Servicios Troncales</v>
          </cell>
          <cell r="CB472" t="str">
            <v>Expreso - Servicios Troncales</v>
          </cell>
          <cell r="CC472" t="str">
            <v>Expreso - Servicios Troncales</v>
          </cell>
          <cell r="CD472" t="str">
            <v>Expreso - Servicios Troncales</v>
          </cell>
          <cell r="CE472" t="str">
            <v>Expreso - Servicios Troncales</v>
          </cell>
          <cell r="CF472" t="str">
            <v>Expreso - Servicios Troncales</v>
          </cell>
          <cell r="CG472" t="str">
            <v>Expreso - Servicios Troncales</v>
          </cell>
          <cell r="CH472" t="str">
            <v>Expreso - Servicios Troncales</v>
          </cell>
          <cell r="CI472" t="str">
            <v>Expreso - Servicios Troncales</v>
          </cell>
          <cell r="CJ472" t="str">
            <v>Expreso - Servicios Troncales</v>
          </cell>
          <cell r="CK472" t="str">
            <v>Expreso - Servicios Troncales</v>
          </cell>
          <cell r="CL472" t="str">
            <v>Expreso - Servicios Troncales</v>
          </cell>
          <cell r="CM472" t="str">
            <v>Expreso - Servicios Troncales</v>
          </cell>
          <cell r="CN472" t="str">
            <v>Expreso - Servicios Troncales</v>
          </cell>
          <cell r="CO472" t="str">
            <v>Expreso - Servicios Troncales</v>
          </cell>
          <cell r="CP472" t="str">
            <v>Expreso - Servicios Troncales</v>
          </cell>
          <cell r="CQ472" t="str">
            <v>Expreso - Servicios Troncales</v>
          </cell>
          <cell r="CR472" t="str">
            <v>Expreso - Servicios Troncales</v>
          </cell>
          <cell r="CS472" t="str">
            <v>Expreso - Servicios Troncales</v>
          </cell>
          <cell r="CT472" t="str">
            <v>Expreso - Servicios Troncales</v>
          </cell>
          <cell r="CU472" t="str">
            <v>Expreso - Servicios Troncales</v>
          </cell>
          <cell r="CV472" t="str">
            <v>Expreso - Servicios Troncales</v>
          </cell>
          <cell r="CW472" t="str">
            <v>Expreso - Servicios Troncales</v>
          </cell>
        </row>
        <row r="473">
          <cell r="D473" t="str">
            <v>VJQ325</v>
          </cell>
          <cell r="E473" t="str">
            <v>Semiremolque</v>
          </cell>
          <cell r="F473" t="str">
            <v>Semiremolque</v>
          </cell>
          <cell r="G473" t="str">
            <v>Semiremolque</v>
          </cell>
          <cell r="N473" t="str">
            <v>Expreso Malargüe S. A.</v>
          </cell>
          <cell r="O473" t="str">
            <v>Expreso Malargüe S. A.</v>
          </cell>
          <cell r="P473" t="str">
            <v>No</v>
          </cell>
          <cell r="Q473" t="str">
            <v>Propio</v>
          </cell>
          <cell r="R473" t="str">
            <v>-</v>
          </cell>
          <cell r="S473" t="str">
            <v>Propio</v>
          </cell>
          <cell r="T473" t="str">
            <v>CONST.MET.</v>
          </cell>
          <cell r="U473" t="str">
            <v>-</v>
          </cell>
          <cell r="V473">
            <v>1984</v>
          </cell>
          <cell r="W473">
            <v>42</v>
          </cell>
          <cell r="X473">
            <v>1984</v>
          </cell>
          <cell r="Y473">
            <v>42</v>
          </cell>
          <cell r="Z473" t="str">
            <v>Malargue</v>
          </cell>
          <cell r="AA473" t="str">
            <v>Expreso - Servicios Troncales</v>
          </cell>
          <cell r="AB473" t="str">
            <v>Expreso - Servicios Troncales</v>
          </cell>
          <cell r="AC473" t="str">
            <v>Expreso - Servicios Troncales</v>
          </cell>
          <cell r="AD473" t="str">
            <v>Expreso - Servicios Troncales</v>
          </cell>
          <cell r="AE473" t="str">
            <v>Expreso - Servicios Troncales</v>
          </cell>
          <cell r="AF473" t="str">
            <v>Expreso - Servicios Troncales</v>
          </cell>
          <cell r="AG473" t="str">
            <v>Expreso - Servicios Troncales</v>
          </cell>
          <cell r="AH473" t="str">
            <v>Expreso - Servicios Troncales</v>
          </cell>
          <cell r="AI473" t="str">
            <v>Expreso - Servicios Troncales</v>
          </cell>
          <cell r="AJ473" t="str">
            <v>Expreso - Servicios Troncales</v>
          </cell>
          <cell r="AK473" t="str">
            <v>Expreso - Servicios Troncales</v>
          </cell>
          <cell r="AL473" t="str">
            <v>Expreso - Servicios Troncales</v>
          </cell>
          <cell r="AM473" t="str">
            <v>Expreso - Servicios Troncales</v>
          </cell>
          <cell r="AN473" t="str">
            <v>Expreso - Servicios Troncales</v>
          </cell>
          <cell r="AO473" t="str">
            <v>Expreso - Servicios Troncales</v>
          </cell>
          <cell r="AP473" t="str">
            <v>Expreso - Servicios Troncales</v>
          </cell>
          <cell r="AQ473" t="str">
            <v>Expreso - Servicios Troncales</v>
          </cell>
          <cell r="AR473" t="str">
            <v>Expreso - Servicios Troncales</v>
          </cell>
          <cell r="AS473" t="str">
            <v>Expreso - Servicios Troncales</v>
          </cell>
          <cell r="AT473" t="str">
            <v>Expreso - Servicios Troncales</v>
          </cell>
          <cell r="AU473" t="str">
            <v>Expreso - Servicios Troncales</v>
          </cell>
          <cell r="AV473" t="str">
            <v>Expreso - Servicios Troncales</v>
          </cell>
          <cell r="AW473" t="str">
            <v>Expreso - Servicios Troncales</v>
          </cell>
          <cell r="AX473" t="str">
            <v>INACTIVO</v>
          </cell>
          <cell r="AY473" t="str">
            <v>INACTIVO</v>
          </cell>
          <cell r="AZ473" t="str">
            <v>INACTIVO</v>
          </cell>
          <cell r="BA473" t="str">
            <v>INACTIVO</v>
          </cell>
          <cell r="BB473" t="str">
            <v>INACTIVO</v>
          </cell>
          <cell r="BC473" t="str">
            <v>INACTIVO</v>
          </cell>
          <cell r="BD473" t="str">
            <v>INACTIVO</v>
          </cell>
          <cell r="BE473" t="str">
            <v>INACTIVO</v>
          </cell>
          <cell r="BF473" t="str">
            <v>INACTIVO</v>
          </cell>
          <cell r="BG473" t="str">
            <v>INACTIVO</v>
          </cell>
          <cell r="BH473" t="str">
            <v>INACTIVO</v>
          </cell>
          <cell r="BI473" t="str">
            <v>INACTIVO</v>
          </cell>
          <cell r="BJ473" t="str">
            <v>INACTIVO</v>
          </cell>
          <cell r="BK473" t="str">
            <v>INACTIVO</v>
          </cell>
          <cell r="BL473" t="str">
            <v>INACTIVO</v>
          </cell>
          <cell r="BM473" t="str">
            <v>INACTIVO</v>
          </cell>
          <cell r="BN473" t="str">
            <v>INACTIVO</v>
          </cell>
          <cell r="BO473" t="str">
            <v>INACTIVO</v>
          </cell>
          <cell r="BP473" t="str">
            <v>INACTIVO</v>
          </cell>
          <cell r="BQ473" t="str">
            <v>INACTIVO</v>
          </cell>
          <cell r="BR473" t="str">
            <v>INACTIVO</v>
          </cell>
          <cell r="BS473" t="str">
            <v>INACTIVO</v>
          </cell>
          <cell r="BT473" t="str">
            <v>INACTIVO</v>
          </cell>
          <cell r="BU473" t="str">
            <v>Sin Operación</v>
          </cell>
          <cell r="BV473" t="str">
            <v>INACTIVO</v>
          </cell>
          <cell r="BW473" t="str">
            <v>BAJA</v>
          </cell>
          <cell r="BX473" t="str">
            <v>BAJA</v>
          </cell>
          <cell r="BY473" t="str">
            <v>BAJA</v>
          </cell>
          <cell r="BZ473" t="str">
            <v>BAJA</v>
          </cell>
          <cell r="CA473" t="str">
            <v>BAJA</v>
          </cell>
          <cell r="CB473" t="str">
            <v>BAJA</v>
          </cell>
          <cell r="CC473" t="str">
            <v>BAJA</v>
          </cell>
          <cell r="CD473" t="str">
            <v>BAJA</v>
          </cell>
          <cell r="CE473" t="str">
            <v>BAJA</v>
          </cell>
          <cell r="CF473" t="str">
            <v>BAJA</v>
          </cell>
          <cell r="CG473" t="str">
            <v>BAJA</v>
          </cell>
          <cell r="CH473" t="str">
            <v>BAJA</v>
          </cell>
          <cell r="CI473" t="str">
            <v>BAJA</v>
          </cell>
          <cell r="CJ473" t="str">
            <v>BAJA</v>
          </cell>
          <cell r="CK473" t="str">
            <v>BAJA</v>
          </cell>
          <cell r="CL473" t="str">
            <v>BAJA</v>
          </cell>
          <cell r="CM473" t="str">
            <v>BAJA</v>
          </cell>
          <cell r="CN473" t="str">
            <v>BAJA</v>
          </cell>
          <cell r="CO473" t="str">
            <v>BAJA</v>
          </cell>
          <cell r="CP473" t="str">
            <v>BAJA</v>
          </cell>
          <cell r="CQ473" t="str">
            <v>BAJA</v>
          </cell>
          <cell r="CR473" t="str">
            <v>BAJA</v>
          </cell>
          <cell r="CS473" t="str">
            <v>BAJA</v>
          </cell>
          <cell r="CT473" t="str">
            <v>BAJA</v>
          </cell>
          <cell r="CU473" t="str">
            <v>BAJA</v>
          </cell>
          <cell r="CV473" t="str">
            <v>BAJA</v>
          </cell>
          <cell r="CW473" t="str">
            <v>BAJA</v>
          </cell>
        </row>
        <row r="474">
          <cell r="D474" t="str">
            <v>VLM778</v>
          </cell>
          <cell r="E474" t="str">
            <v>Chasis</v>
          </cell>
          <cell r="F474" t="str">
            <v>Chasis</v>
          </cell>
          <cell r="G474" t="str">
            <v>Chasis</v>
          </cell>
          <cell r="H474" t="str">
            <v>https://drive.google.com/drive/folders/1kMb2WdZMxpHdgl7fs8SnT7Y_SXCnVLrR</v>
          </cell>
          <cell r="I474" t="str">
            <v>Manual</v>
          </cell>
          <cell r="J474" t="str">
            <v>Perkins</v>
          </cell>
          <cell r="K474" t="str">
            <v>Manual</v>
          </cell>
          <cell r="L474">
            <v>103</v>
          </cell>
          <cell r="M474">
            <v>5600</v>
          </cell>
          <cell r="N474" t="str">
            <v>Expreso Malargüe S. A.</v>
          </cell>
          <cell r="O474" t="str">
            <v>Expreso Malargüe S. A.</v>
          </cell>
          <cell r="P474" t="str">
            <v>No</v>
          </cell>
          <cell r="Q474" t="str">
            <v>Propio</v>
          </cell>
          <cell r="R474" t="str">
            <v>-</v>
          </cell>
          <cell r="S474" t="str">
            <v>Propio</v>
          </cell>
          <cell r="T474" t="str">
            <v>FORD</v>
          </cell>
          <cell r="U474" t="str">
            <v>f 600</v>
          </cell>
          <cell r="V474" t="str">
            <v>PA6406303</v>
          </cell>
          <cell r="W474" t="str">
            <v>KA4LKA-35597</v>
          </cell>
          <cell r="X474">
            <v>1971</v>
          </cell>
          <cell r="Y474">
            <v>55</v>
          </cell>
          <cell r="Z474" t="str">
            <v>Malargue</v>
          </cell>
          <cell r="AA474" t="str">
            <v>Expreso - Servicios Troncales</v>
          </cell>
          <cell r="AB474" t="str">
            <v>Expreso - Servicios Troncales</v>
          </cell>
          <cell r="AC474" t="str">
            <v>Expreso - Servicios Troncales</v>
          </cell>
          <cell r="AD474" t="str">
            <v>Expreso - Servicios Troncales</v>
          </cell>
          <cell r="AE474" t="str">
            <v>Expreso - Servicios Troncales</v>
          </cell>
          <cell r="AF474" t="str">
            <v>Expreso - Servicios Troncales</v>
          </cell>
          <cell r="AG474" t="str">
            <v>Expreso - Servicios Troncales</v>
          </cell>
          <cell r="AH474" t="str">
            <v>Expreso - Servicios Troncales</v>
          </cell>
          <cell r="AI474" t="str">
            <v>Expreso - Servicios Troncales</v>
          </cell>
          <cell r="AJ474" t="str">
            <v>Expreso - Servicios Troncales</v>
          </cell>
          <cell r="AK474" t="str">
            <v>Expreso - Servicios Troncales</v>
          </cell>
          <cell r="AL474" t="str">
            <v>Expreso - Servicios Troncales</v>
          </cell>
          <cell r="AM474" t="str">
            <v>Expreso - Servicios Troncales</v>
          </cell>
          <cell r="AN474" t="str">
            <v>Expreso - Servicios Troncales</v>
          </cell>
          <cell r="AO474" t="str">
            <v>Expreso - Servicios Troncales</v>
          </cell>
          <cell r="AP474" t="str">
            <v>Expreso - Servicios Troncales</v>
          </cell>
          <cell r="AQ474" t="str">
            <v>Expreso - Servicios Troncales</v>
          </cell>
          <cell r="AR474" t="str">
            <v>Expreso - Servicios Troncales</v>
          </cell>
          <cell r="AS474" t="str">
            <v>Expreso - Servicios Troncales</v>
          </cell>
          <cell r="AT474" t="str">
            <v>Expreso - Servicios Troncales</v>
          </cell>
          <cell r="AU474" t="str">
            <v>Expreso - Servicios Troncales</v>
          </cell>
          <cell r="AV474" t="str">
            <v>Expreso - Servicios Troncales</v>
          </cell>
          <cell r="AW474" t="str">
            <v>Expreso - Servicios Troncales</v>
          </cell>
          <cell r="AX474" t="str">
            <v>Expreso - Servicios Troncales</v>
          </cell>
          <cell r="AY474" t="str">
            <v>Expreso - Servicios Troncales</v>
          </cell>
          <cell r="AZ474" t="str">
            <v>Expreso - Servicios Troncales</v>
          </cell>
          <cell r="BA474" t="str">
            <v>Expreso - Servicios Troncales</v>
          </cell>
          <cell r="BB474" t="str">
            <v>Expreso - Servicios Troncales</v>
          </cell>
          <cell r="BC474" t="str">
            <v>Expreso - Servicios Troncales</v>
          </cell>
          <cell r="BD474" t="str">
            <v>SUC_SRA - Sucursal San Rafael</v>
          </cell>
          <cell r="BE474" t="str">
            <v>SUC_SRA - Sucursal San Rafael</v>
          </cell>
          <cell r="BF474" t="str">
            <v>SUC_SRA - Sucursal San Rafael</v>
          </cell>
          <cell r="BG474" t="str">
            <v>SUC_SRA - Sucursal San Rafael</v>
          </cell>
          <cell r="BH474" t="str">
            <v>SUC_SRA - Sucursal San Rafael</v>
          </cell>
          <cell r="BI474" t="str">
            <v>SUC_SRA - Sucursal San Rafael</v>
          </cell>
          <cell r="BJ474" t="str">
            <v>SUC_SRA - Sucursal San Rafael</v>
          </cell>
          <cell r="BK474" t="str">
            <v>SUC_SRA - Sucursal San Rafael</v>
          </cell>
          <cell r="BL474" t="str">
            <v>SUC_SRA - Sucursal San Rafael</v>
          </cell>
          <cell r="BM474" t="str">
            <v>SUC_SRA - Sucursal San Rafael</v>
          </cell>
          <cell r="BN474" t="str">
            <v>SUC_SRA - Sucursal San Rafael</v>
          </cell>
          <cell r="BO474" t="str">
            <v>SUC_SRA - Sucursal San Rafael</v>
          </cell>
          <cell r="BP474" t="str">
            <v>SUC_SRA - Sucursal San Rafael</v>
          </cell>
          <cell r="BQ474" t="str">
            <v>SUC_SRA - Sucursal San Rafael</v>
          </cell>
          <cell r="BR474" t="str">
            <v>SUC_SRA - Sucursal San Rafael</v>
          </cell>
          <cell r="BS474" t="str">
            <v>SUC_SRA - Sucursal San Rafael</v>
          </cell>
          <cell r="BT474" t="str">
            <v>SUC_SRA - Sucursal San Rafael</v>
          </cell>
          <cell r="BU474" t="str">
            <v>SUC_SRA - Sucursal San Rafael</v>
          </cell>
          <cell r="BV474" t="str">
            <v>INACTIVO</v>
          </cell>
          <cell r="BW474" t="str">
            <v>INACTIVO</v>
          </cell>
          <cell r="BX474" t="str">
            <v>INACTIVO</v>
          </cell>
          <cell r="BY474" t="str">
            <v>INACTIVO</v>
          </cell>
          <cell r="BZ474" t="str">
            <v>INACTIVO</v>
          </cell>
          <cell r="CA474" t="str">
            <v>BAJA</v>
          </cell>
          <cell r="CB474" t="str">
            <v>BAJA</v>
          </cell>
          <cell r="CC474" t="str">
            <v>BAJA</v>
          </cell>
          <cell r="CD474" t="str">
            <v>BAJA</v>
          </cell>
          <cell r="CE474" t="str">
            <v>BAJA</v>
          </cell>
          <cell r="CF474" t="str">
            <v>BAJA</v>
          </cell>
          <cell r="CG474" t="str">
            <v>BAJA</v>
          </cell>
          <cell r="CH474" t="str">
            <v>BAJA</v>
          </cell>
          <cell r="CI474" t="str">
            <v>BAJA</v>
          </cell>
          <cell r="CJ474" t="str">
            <v>BAJA</v>
          </cell>
          <cell r="CK474" t="str">
            <v>BAJA</v>
          </cell>
          <cell r="CL474" t="str">
            <v>BAJA</v>
          </cell>
          <cell r="CM474" t="str">
            <v>BAJA</v>
          </cell>
          <cell r="CN474" t="str">
            <v>BAJA</v>
          </cell>
          <cell r="CO474" t="str">
            <v>BAJA</v>
          </cell>
          <cell r="CP474" t="str">
            <v>BAJA</v>
          </cell>
          <cell r="CQ474" t="str">
            <v>BAJA</v>
          </cell>
          <cell r="CR474" t="str">
            <v>BAJA</v>
          </cell>
          <cell r="CS474" t="str">
            <v>BAJA</v>
          </cell>
          <cell r="CT474" t="str">
            <v>BAJA</v>
          </cell>
          <cell r="CU474" t="str">
            <v>BAJA</v>
          </cell>
          <cell r="CV474" t="str">
            <v>BAJA</v>
          </cell>
          <cell r="CW474" t="str">
            <v>BAJA</v>
          </cell>
        </row>
        <row r="475">
          <cell r="D475" t="str">
            <v>VOO986</v>
          </cell>
          <cell r="E475" t="str">
            <v>Chasis</v>
          </cell>
          <cell r="F475" t="str">
            <v>Chasis</v>
          </cell>
          <cell r="G475" t="str">
            <v>Chasis</v>
          </cell>
          <cell r="H475" t="str">
            <v>https://drive.google.com/drive/folders/1kDvlIyY5d4PP3wA89i8nn_QTuovlW0VB</v>
          </cell>
          <cell r="I475" t="str">
            <v>Manual</v>
          </cell>
          <cell r="J475" t="str">
            <v>Bedford</v>
          </cell>
          <cell r="K475" t="str">
            <v>Manual</v>
          </cell>
          <cell r="L475">
            <v>98</v>
          </cell>
          <cell r="M475">
            <v>4650</v>
          </cell>
          <cell r="N475" t="str">
            <v>Expreso Malargüe S. A.</v>
          </cell>
          <cell r="O475" t="str">
            <v>Expreso Malargüe S. A.</v>
          </cell>
          <cell r="P475" t="str">
            <v>No</v>
          </cell>
          <cell r="Q475" t="str">
            <v>Propio</v>
          </cell>
          <cell r="R475" t="str">
            <v>-</v>
          </cell>
          <cell r="S475" t="str">
            <v>Propio</v>
          </cell>
          <cell r="T475" t="str">
            <v>Chevrolet</v>
          </cell>
          <cell r="U475" t="str">
            <v>C50</v>
          </cell>
          <cell r="V475" t="str">
            <v>A3D22420</v>
          </cell>
          <cell r="W475" t="str">
            <v>H033151</v>
          </cell>
          <cell r="X475">
            <v>1972</v>
          </cell>
          <cell r="Y475">
            <v>54</v>
          </cell>
          <cell r="Z475" t="str">
            <v>Malargue</v>
          </cell>
          <cell r="AA475" t="str">
            <v>Expreso - Servicios Troncales</v>
          </cell>
          <cell r="AB475" t="str">
            <v>Expreso - Servicios Troncales</v>
          </cell>
          <cell r="AC475" t="str">
            <v>Expreso - Servicios Troncales</v>
          </cell>
          <cell r="AD475" t="str">
            <v>Expreso - Servicios Troncales</v>
          </cell>
          <cell r="AE475" t="str">
            <v>Expreso - Servicios Troncales</v>
          </cell>
          <cell r="AF475" t="str">
            <v>Expreso - Servicios Troncales</v>
          </cell>
          <cell r="AG475" t="str">
            <v>Expreso - Servicios Troncales</v>
          </cell>
          <cell r="AH475" t="str">
            <v>Expreso - Servicios Troncales</v>
          </cell>
          <cell r="AI475" t="str">
            <v>Expreso - Servicios Troncales</v>
          </cell>
          <cell r="AJ475" t="str">
            <v>Expreso - Servicios Troncales</v>
          </cell>
          <cell r="AK475" t="str">
            <v>Expreso - Servicios Troncales</v>
          </cell>
          <cell r="AL475" t="str">
            <v>Expreso - Servicios Troncales</v>
          </cell>
          <cell r="AM475" t="str">
            <v>Expreso - Servicios Troncales</v>
          </cell>
          <cell r="AN475" t="str">
            <v>Expreso - Servicios Troncales</v>
          </cell>
          <cell r="AO475" t="str">
            <v>Expreso - Servicios Troncales</v>
          </cell>
          <cell r="AP475" t="str">
            <v>Expreso - Servicios Troncales</v>
          </cell>
          <cell r="AQ475" t="str">
            <v>Expreso - Servicios Troncales</v>
          </cell>
          <cell r="AR475" t="str">
            <v>Expreso - Servicios Troncales</v>
          </cell>
          <cell r="AS475" t="str">
            <v>Expreso - Servicios Troncales</v>
          </cell>
          <cell r="AT475" t="str">
            <v>Expreso - Servicios Troncales</v>
          </cell>
          <cell r="AU475" t="str">
            <v>Expreso - Servicios Troncales</v>
          </cell>
          <cell r="AV475" t="str">
            <v>Expreso - Servicios Troncales</v>
          </cell>
          <cell r="AW475" t="str">
            <v>Expreso - Servicios Troncales</v>
          </cell>
          <cell r="AX475" t="str">
            <v>Expreso - Servicios Troncales</v>
          </cell>
          <cell r="AY475" t="str">
            <v>Expreso - Servicios Troncales</v>
          </cell>
          <cell r="AZ475" t="str">
            <v>Expreso - Servicios Troncales</v>
          </cell>
          <cell r="BA475" t="str">
            <v>Expreso - Servicios Troncales</v>
          </cell>
          <cell r="BB475" t="str">
            <v>Expreso - Servicios Troncales</v>
          </cell>
          <cell r="BC475" t="str">
            <v>Expreso - Servicios Troncales</v>
          </cell>
          <cell r="BD475" t="str">
            <v>SUC_REA - Sucursal Realicó</v>
          </cell>
          <cell r="BE475" t="str">
            <v>SUC_REA - Sucursal Realicó</v>
          </cell>
          <cell r="BF475" t="str">
            <v>SUC_REA - Sucursal Realicó</v>
          </cell>
          <cell r="BG475" t="str">
            <v>SUC_REA - Sucursal Realicó</v>
          </cell>
          <cell r="BH475" t="str">
            <v>SUC_REA - Sucursal Realicó</v>
          </cell>
          <cell r="BI475" t="str">
            <v>SUC_REA - Sucursal Realicó</v>
          </cell>
          <cell r="BJ475" t="str">
            <v>SUC_REA - Sucursal Realicó</v>
          </cell>
          <cell r="BK475" t="str">
            <v>SUC_REA - Sucursal Realicó</v>
          </cell>
          <cell r="BL475" t="str">
            <v>SUC_REA - Sucursal Realicó</v>
          </cell>
          <cell r="BM475" t="str">
            <v>SUC_REA - Sucursal Realicó</v>
          </cell>
          <cell r="BN475" t="str">
            <v>SUC_REA - Sucursal Realicó</v>
          </cell>
          <cell r="BO475" t="str">
            <v>SUC_REA - Sucursal Realicó</v>
          </cell>
          <cell r="BP475" t="str">
            <v>SUC_REA - Sucursal Realicó</v>
          </cell>
          <cell r="BQ475" t="str">
            <v>SUC_REA - Sucursal Realicó</v>
          </cell>
          <cell r="BR475" t="str">
            <v>SUC_REA - Sucursal Realicó</v>
          </cell>
          <cell r="BS475" t="str">
            <v>INACTIVO</v>
          </cell>
          <cell r="BT475" t="str">
            <v>INACTIVO</v>
          </cell>
          <cell r="BU475" t="str">
            <v>INACTIVO</v>
          </cell>
          <cell r="BV475" t="str">
            <v>INACTIVO</v>
          </cell>
          <cell r="BW475" t="str">
            <v>INACTIVO</v>
          </cell>
          <cell r="BX475" t="str">
            <v>INACTIVO</v>
          </cell>
          <cell r="BY475" t="str">
            <v>INACTIVO</v>
          </cell>
          <cell r="BZ475" t="str">
            <v>INACTIVO</v>
          </cell>
          <cell r="CA475" t="str">
            <v>INACTIVO</v>
          </cell>
          <cell r="CB475" t="str">
            <v>INACTIVO</v>
          </cell>
          <cell r="CC475" t="str">
            <v>INACTIVO</v>
          </cell>
          <cell r="CD475" t="str">
            <v>INACTIVO</v>
          </cell>
          <cell r="CE475" t="str">
            <v>INACTIVO</v>
          </cell>
          <cell r="CF475" t="str">
            <v>INACTIVO</v>
          </cell>
          <cell r="CG475" t="str">
            <v>INACTIVO</v>
          </cell>
          <cell r="CH475" t="str">
            <v>INACTIVO</v>
          </cell>
          <cell r="CI475" t="str">
            <v>INACTIVO</v>
          </cell>
          <cell r="CJ475" t="str">
            <v>INACTIVO</v>
          </cell>
          <cell r="CK475" t="str">
            <v>INACTIVO</v>
          </cell>
          <cell r="CL475" t="str">
            <v>INACTIVO</v>
          </cell>
          <cell r="CM475" t="str">
            <v>INACTIVO</v>
          </cell>
          <cell r="CN475" t="str">
            <v>INACTIVO</v>
          </cell>
          <cell r="CO475" t="str">
            <v>INACTIVO</v>
          </cell>
          <cell r="CP475" t="str">
            <v>INACTIVO</v>
          </cell>
          <cell r="CQ475" t="str">
            <v>INACTIVO</v>
          </cell>
          <cell r="CR475" t="str">
            <v>INACTIVO</v>
          </cell>
          <cell r="CS475" t="str">
            <v>INACTIVO</v>
          </cell>
          <cell r="CT475" t="str">
            <v>INACTIVO</v>
          </cell>
          <cell r="CU475" t="str">
            <v>INACTIVO</v>
          </cell>
          <cell r="CV475" t="str">
            <v>INACTIVO</v>
          </cell>
          <cell r="CW475" t="str">
            <v>INACTIVO</v>
          </cell>
        </row>
        <row r="476">
          <cell r="D476" t="str">
            <v>VOO996</v>
          </cell>
          <cell r="E476" t="str">
            <v>Chasis</v>
          </cell>
          <cell r="F476" t="str">
            <v>Chasis</v>
          </cell>
          <cell r="G476" t="str">
            <v>Chasis</v>
          </cell>
          <cell r="H476" t="str">
            <v>https://drive.google.com/drive/folders/1kDAPSYKv0grgHMzAvYGiF2XXATH9CyyZ</v>
          </cell>
          <cell r="I476" t="str">
            <v>Manual</v>
          </cell>
          <cell r="J476" t="str">
            <v>Perkins</v>
          </cell>
          <cell r="K476" t="str">
            <v>Manual</v>
          </cell>
          <cell r="L476">
            <v>126</v>
          </cell>
          <cell r="M476">
            <v>4710</v>
          </cell>
          <cell r="N476" t="str">
            <v>Expreso Malargüe S. A.</v>
          </cell>
          <cell r="O476" t="str">
            <v>Expreso Malargüe S. A.</v>
          </cell>
          <cell r="P476" t="str">
            <v>No</v>
          </cell>
          <cell r="Q476" t="str">
            <v>Propio</v>
          </cell>
          <cell r="R476" t="str">
            <v>-</v>
          </cell>
          <cell r="S476" t="str">
            <v>Propio</v>
          </cell>
          <cell r="T476" t="str">
            <v>FORD</v>
          </cell>
          <cell r="U476" t="str">
            <v>F-350 D</v>
          </cell>
          <cell r="V476" t="str">
            <v>CSAL35698</v>
          </cell>
          <cell r="W476" t="str">
            <v>KA3JCS-29157</v>
          </cell>
          <cell r="X476">
            <v>1983</v>
          </cell>
          <cell r="Y476">
            <v>43</v>
          </cell>
          <cell r="Z476" t="str">
            <v>Malargue</v>
          </cell>
          <cell r="AA476" t="str">
            <v>Expreso - Servicios Troncales</v>
          </cell>
          <cell r="AB476" t="str">
            <v>Expreso - Servicios Troncales</v>
          </cell>
          <cell r="AC476" t="str">
            <v>Expreso - Servicios Troncales</v>
          </cell>
          <cell r="AD476" t="str">
            <v>Expreso - Servicios Troncales</v>
          </cell>
          <cell r="AE476" t="str">
            <v>Expreso - Servicios Troncales</v>
          </cell>
          <cell r="AF476" t="str">
            <v>Expreso - Servicios Troncales</v>
          </cell>
          <cell r="AG476" t="str">
            <v>Expreso - Servicios Troncales</v>
          </cell>
          <cell r="AH476" t="str">
            <v>Expreso - Servicios Troncales</v>
          </cell>
          <cell r="AI476" t="str">
            <v>Expreso - Servicios Troncales</v>
          </cell>
          <cell r="AJ476" t="str">
            <v>Expreso - Servicios Troncales</v>
          </cell>
          <cell r="AK476" t="str">
            <v>Expreso - Servicios Troncales</v>
          </cell>
          <cell r="AL476" t="str">
            <v>Expreso - Servicios Troncales</v>
          </cell>
          <cell r="AM476" t="str">
            <v>Expreso - Servicios Troncales</v>
          </cell>
          <cell r="AN476" t="str">
            <v>Expreso - Servicios Troncales</v>
          </cell>
          <cell r="AO476" t="str">
            <v>Expreso - Servicios Troncales</v>
          </cell>
          <cell r="AP476" t="str">
            <v>Expreso - Servicios Troncales</v>
          </cell>
          <cell r="AQ476" t="str">
            <v>Expreso - Servicios Troncales</v>
          </cell>
          <cell r="AR476" t="str">
            <v>Expreso - Servicios Troncales</v>
          </cell>
          <cell r="AS476" t="str">
            <v>Expreso - Servicios Troncales</v>
          </cell>
          <cell r="AT476" t="str">
            <v>Expreso - Servicios Troncales</v>
          </cell>
          <cell r="AU476" t="str">
            <v>Expreso - Servicios Troncales</v>
          </cell>
          <cell r="AV476" t="str">
            <v>Expreso - Servicios Troncales</v>
          </cell>
          <cell r="AW476" t="str">
            <v>Expreso - Servicios Troncales</v>
          </cell>
          <cell r="AX476" t="str">
            <v>Expreso - Servicios Troncales</v>
          </cell>
          <cell r="AY476" t="str">
            <v>Expreso - Servicios Troncales</v>
          </cell>
          <cell r="AZ476" t="str">
            <v>Expreso - Servicios Troncales</v>
          </cell>
          <cell r="BA476" t="str">
            <v>Expreso - Servicios Troncales</v>
          </cell>
          <cell r="BB476" t="str">
            <v>Expreso - Servicios Troncales</v>
          </cell>
          <cell r="BC476" t="str">
            <v>Expreso - Servicios Troncales</v>
          </cell>
          <cell r="BD476" t="str">
            <v>SUC_SRA - Sucursal San Rafael</v>
          </cell>
          <cell r="BE476" t="str">
            <v>SUC_SRA - Sucursal San Rafael</v>
          </cell>
          <cell r="BF476" t="str">
            <v>SUC_SRA - Sucursal San Rafael</v>
          </cell>
          <cell r="BG476" t="str">
            <v>SUC_SRA - Sucursal San Rafael</v>
          </cell>
          <cell r="BH476" t="str">
            <v>SUC_SRA - Sucursal San Rafael</v>
          </cell>
          <cell r="BI476" t="str">
            <v>SUC_SRA - Sucursal San Rafael</v>
          </cell>
          <cell r="BJ476" t="str">
            <v>SUC_SRA - Sucursal San Rafael</v>
          </cell>
          <cell r="BK476" t="str">
            <v>SUC_SRA - Sucursal San Rafael</v>
          </cell>
          <cell r="BL476" t="str">
            <v>SUC_SRA - Sucursal San Rafael</v>
          </cell>
          <cell r="BM476" t="str">
            <v>SUC_SRA - Sucursal San Rafael</v>
          </cell>
          <cell r="BN476" t="str">
            <v>SUC_SRA - Sucursal San Rafael</v>
          </cell>
          <cell r="BO476" t="str">
            <v>SUC_SRA - Sucursal San Rafael</v>
          </cell>
          <cell r="BP476" t="str">
            <v>SUC_SRA - Sucursal San Rafael</v>
          </cell>
          <cell r="BQ476" t="str">
            <v>SUC_SRA - Sucursal San Rafael</v>
          </cell>
          <cell r="BR476" t="str">
            <v>SUC_SRA - Sucursal San Rafael</v>
          </cell>
          <cell r="BS476" t="str">
            <v>SUC_SRA - Sucursal San Rafael</v>
          </cell>
          <cell r="BT476" t="str">
            <v>SUC_SRA - Sucursal San Rafael</v>
          </cell>
          <cell r="BU476" t="str">
            <v>SUC_SRA - Sucursal San Rafael</v>
          </cell>
          <cell r="BV476" t="str">
            <v>SUC_SRA - Sucursal San Rafael</v>
          </cell>
          <cell r="BW476" t="str">
            <v>SUC_SRA - Sucursal San Rafael</v>
          </cell>
          <cell r="BX476" t="str">
            <v>SUC_SRA - Sucursal San Rafael</v>
          </cell>
          <cell r="BY476" t="str">
            <v>SUC_SRA - Sucursal San Rafael</v>
          </cell>
          <cell r="BZ476" t="str">
            <v>SUC_SRA - Sucursal San Rafael</v>
          </cell>
          <cell r="CA476" t="str">
            <v>SUC_SRA - Sucursal San Rafael</v>
          </cell>
          <cell r="CB476" t="str">
            <v>SUC_SRA - Sucursal San Rafael</v>
          </cell>
          <cell r="CC476" t="str">
            <v>INACTIVO</v>
          </cell>
          <cell r="CD476" t="str">
            <v>INACTIVO</v>
          </cell>
          <cell r="CE476" t="str">
            <v>INACTIVO</v>
          </cell>
          <cell r="CF476" t="str">
            <v>INACTIVO</v>
          </cell>
          <cell r="CG476" t="str">
            <v>INACTIVO</v>
          </cell>
          <cell r="CH476" t="str">
            <v>INACTIVO</v>
          </cell>
          <cell r="CI476" t="str">
            <v>INACTIVO</v>
          </cell>
          <cell r="CJ476" t="str">
            <v>INACTIVO</v>
          </cell>
          <cell r="CK476" t="str">
            <v>INACTIVO</v>
          </cell>
          <cell r="CL476" t="str">
            <v>INACTIVO</v>
          </cell>
          <cell r="CM476" t="str">
            <v>INACTIVO</v>
          </cell>
          <cell r="CN476" t="str">
            <v>INACTIVO</v>
          </cell>
          <cell r="CO476" t="str">
            <v>INACTIVO</v>
          </cell>
          <cell r="CP476" t="str">
            <v>INACTIVO</v>
          </cell>
          <cell r="CQ476" t="str">
            <v>INACTIVO</v>
          </cell>
          <cell r="CR476" t="str">
            <v>INACTIVO</v>
          </cell>
          <cell r="CS476" t="str">
            <v>INACTIVO</v>
          </cell>
          <cell r="CT476" t="str">
            <v>INACTIVO</v>
          </cell>
          <cell r="CU476" t="str">
            <v>INACTIVO</v>
          </cell>
          <cell r="CV476" t="str">
            <v>BAJA</v>
          </cell>
          <cell r="CW476" t="str">
            <v>BAJA</v>
          </cell>
        </row>
        <row r="477">
          <cell r="D477" t="str">
            <v>VPC769</v>
          </cell>
          <cell r="E477" t="str">
            <v>Chasis</v>
          </cell>
          <cell r="F477">
            <v>0</v>
          </cell>
          <cell r="G477" t="str">
            <v>Chasis</v>
          </cell>
          <cell r="N477" t="str">
            <v>MURUA ALBINO ROMULO</v>
          </cell>
          <cell r="O477" t="str">
            <v>MURUA ALBINO ROMULO</v>
          </cell>
          <cell r="P477" t="str">
            <v>No</v>
          </cell>
          <cell r="Q477" t="str">
            <v>De Tercero</v>
          </cell>
          <cell r="R477" t="str">
            <v>-</v>
          </cell>
          <cell r="S477" t="str">
            <v>De Tercero</v>
          </cell>
          <cell r="T477" t="str">
            <v>DODGE</v>
          </cell>
          <cell r="U477" t="str">
            <v>DP600</v>
          </cell>
          <cell r="V477">
            <v>1975</v>
          </cell>
          <cell r="W477">
            <v>51</v>
          </cell>
          <cell r="X477">
            <v>1975</v>
          </cell>
          <cell r="Y477">
            <v>51</v>
          </cell>
          <cell r="Z477" t="str">
            <v>TDU</v>
          </cell>
          <cell r="AA477" t="str">
            <v>CMQ_TTE - QUILMES TTE</v>
          </cell>
          <cell r="AB477" t="str">
            <v>CMQ_TTE - QUILMES TTE</v>
          </cell>
          <cell r="AC477" t="str">
            <v>CMQ_TTE - QUILMES TTE</v>
          </cell>
          <cell r="AD477" t="str">
            <v>CMQ_TTE - QUILMES TTE</v>
          </cell>
          <cell r="AE477" t="str">
            <v>CMQ_TTE - QUILMES TTE</v>
          </cell>
          <cell r="AF477" t="str">
            <v>CMQ_TTE - QUILMES TTE</v>
          </cell>
          <cell r="AG477" t="str">
            <v>CMQ_TTE - QUILMES TTE</v>
          </cell>
          <cell r="AH477" t="str">
            <v>CMQ_TTE - QUILMES TTE</v>
          </cell>
          <cell r="AI477" t="str">
            <v>CMQ_TTE - QUILMES TTE</v>
          </cell>
          <cell r="AJ477" t="str">
            <v>CMQ_TTE - QUILMES TTE</v>
          </cell>
          <cell r="AK477" t="str">
            <v>CMQ_TTE - QUILMES TTE</v>
          </cell>
          <cell r="AL477" t="str">
            <v>CMQ_TTE - QUILMES TTE</v>
          </cell>
          <cell r="AM477" t="str">
            <v>CMQ_TTE - QUILMES TTE</v>
          </cell>
          <cell r="AN477" t="str">
            <v>CMQ_TTE - QUILMES TTE</v>
          </cell>
          <cell r="AO477" t="str">
            <v>CMQ_TTE - QUILMES TTE</v>
          </cell>
          <cell r="AP477" t="str">
            <v>CMQ_TTE - QUILMES TTE</v>
          </cell>
          <cell r="AQ477" t="str">
            <v>CMQ_TTE - QUILMES TTE</v>
          </cell>
          <cell r="AR477" t="str">
            <v>CMQ_TTE - QUILMES TTE</v>
          </cell>
          <cell r="AS477" t="str">
            <v>CMQ_TTE - QUILMES TTE</v>
          </cell>
          <cell r="AT477" t="str">
            <v>CMQ_TTE - QUILMES TTE</v>
          </cell>
          <cell r="AU477" t="str">
            <v>CMQ_TTE - QUILMES TTE</v>
          </cell>
          <cell r="AV477" t="str">
            <v>CMQ_TTE - QUILMES TTE</v>
          </cell>
          <cell r="AW477" t="str">
            <v>CMQ_TTE - QUILMES TTE</v>
          </cell>
          <cell r="AX477" t="str">
            <v>INACTIVO</v>
          </cell>
          <cell r="AY477" t="str">
            <v>INACTIVO</v>
          </cell>
          <cell r="AZ477" t="str">
            <v>INACTIVO</v>
          </cell>
          <cell r="BA477" t="str">
            <v>INACTIVO</v>
          </cell>
          <cell r="BB477" t="str">
            <v>INACTIVO</v>
          </cell>
          <cell r="BC477" t="str">
            <v>INACTIVO</v>
          </cell>
          <cell r="BD477" t="str">
            <v>INACTIVO</v>
          </cell>
          <cell r="BE477" t="str">
            <v>INACTIVO</v>
          </cell>
          <cell r="BF477" t="str">
            <v>INACTIVO</v>
          </cell>
          <cell r="BG477" t="str">
            <v>INACTIVO</v>
          </cell>
          <cell r="BH477" t="str">
            <v>INACTIVO</v>
          </cell>
          <cell r="BI477" t="str">
            <v>INACTIVO</v>
          </cell>
          <cell r="BJ477" t="str">
            <v>INACTIVO</v>
          </cell>
          <cell r="BK477" t="str">
            <v>INACTIVO</v>
          </cell>
          <cell r="BL477" t="str">
            <v>INACTIVO</v>
          </cell>
          <cell r="BM477" t="str">
            <v>INACTIVO</v>
          </cell>
          <cell r="BN477" t="str">
            <v>INACTIVO</v>
          </cell>
          <cell r="BO477" t="str">
            <v>INACTIVO</v>
          </cell>
          <cell r="BP477" t="str">
            <v>INACTIVO</v>
          </cell>
          <cell r="BQ477" t="str">
            <v>INACTIVO</v>
          </cell>
          <cell r="BR477" t="str">
            <v>INACTIVO</v>
          </cell>
          <cell r="BS477" t="str">
            <v>INACTIVO</v>
          </cell>
          <cell r="BT477" t="str">
            <v>INACTIVO</v>
          </cell>
          <cell r="BU477" t="str">
            <v>INACTIVO</v>
          </cell>
          <cell r="BV477" t="str">
            <v>INACTIVO</v>
          </cell>
          <cell r="BW477" t="str">
            <v>INACTIVO</v>
          </cell>
          <cell r="BX477" t="str">
            <v>INACTIVO</v>
          </cell>
          <cell r="BY477" t="str">
            <v>INACTIVO</v>
          </cell>
          <cell r="BZ477" t="str">
            <v>INACTIVO</v>
          </cell>
          <cell r="CA477" t="str">
            <v>INACTIVO</v>
          </cell>
          <cell r="CB477" t="str">
            <v>INACTIVO</v>
          </cell>
          <cell r="CC477" t="str">
            <v>BAJA</v>
          </cell>
          <cell r="CD477" t="str">
            <v>BAJA</v>
          </cell>
          <cell r="CE477" t="str">
            <v>BAJA</v>
          </cell>
          <cell r="CF477" t="str">
            <v>BAJA</v>
          </cell>
          <cell r="CG477" t="str">
            <v>BAJA</v>
          </cell>
          <cell r="CH477" t="str">
            <v>BAJA</v>
          </cell>
          <cell r="CI477" t="str">
            <v>BAJA</v>
          </cell>
          <cell r="CJ477" t="str">
            <v>BAJA</v>
          </cell>
          <cell r="CK477" t="str">
            <v>BAJA</v>
          </cell>
          <cell r="CL477" t="str">
            <v>BAJA</v>
          </cell>
          <cell r="CM477" t="str">
            <v>BAJA</v>
          </cell>
          <cell r="CN477" t="str">
            <v>BAJA</v>
          </cell>
          <cell r="CO477" t="str">
            <v>BAJA</v>
          </cell>
          <cell r="CP477" t="str">
            <v>BAJA</v>
          </cell>
          <cell r="CQ477" t="str">
            <v>BAJA</v>
          </cell>
          <cell r="CR477" t="str">
            <v>BAJA</v>
          </cell>
          <cell r="CS477" t="str">
            <v>BAJA</v>
          </cell>
          <cell r="CT477" t="str">
            <v>BAJA</v>
          </cell>
          <cell r="CU477" t="str">
            <v>BAJA</v>
          </cell>
          <cell r="CV477" t="str">
            <v>BAJA</v>
          </cell>
          <cell r="CW477" t="str">
            <v>BAJA</v>
          </cell>
        </row>
        <row r="478">
          <cell r="D478" t="str">
            <v>VPS388</v>
          </cell>
          <cell r="E478" t="str">
            <v>Chasis</v>
          </cell>
          <cell r="F478" t="str">
            <v>Chasis</v>
          </cell>
          <cell r="G478" t="str">
            <v>Chasis</v>
          </cell>
          <cell r="N478" t="str">
            <v>Expreso Malargüe S. A.</v>
          </cell>
          <cell r="O478" t="str">
            <v>Expreso Malargüe S. A.</v>
          </cell>
          <cell r="P478" t="str">
            <v>No</v>
          </cell>
          <cell r="Q478" t="str">
            <v>Propio</v>
          </cell>
          <cell r="R478" t="str">
            <v>-</v>
          </cell>
          <cell r="S478" t="str">
            <v>Propio</v>
          </cell>
          <cell r="T478" t="str">
            <v>GROSSPAL</v>
          </cell>
          <cell r="U478" t="str">
            <v>G 646</v>
          </cell>
          <cell r="V478">
            <v>404688</v>
          </cell>
          <cell r="W478" t="str">
            <v>060-0744 D</v>
          </cell>
          <cell r="X478">
            <v>1985</v>
          </cell>
          <cell r="Y478">
            <v>41</v>
          </cell>
          <cell r="Z478" t="str">
            <v>Malargue</v>
          </cell>
          <cell r="AA478" t="str">
            <v>Expreso - Servicios Troncales</v>
          </cell>
          <cell r="AB478" t="str">
            <v>Expreso - Servicios Troncales</v>
          </cell>
          <cell r="AC478" t="str">
            <v>Expreso - Servicios Troncales</v>
          </cell>
          <cell r="AD478" t="str">
            <v>Expreso - Servicios Troncales</v>
          </cell>
          <cell r="AE478" t="str">
            <v>Expreso - Servicios Troncales</v>
          </cell>
          <cell r="AF478" t="str">
            <v>Expreso - Servicios Troncales</v>
          </cell>
          <cell r="AG478" t="str">
            <v>Expreso - Servicios Troncales</v>
          </cell>
          <cell r="AH478" t="str">
            <v>Expreso - Servicios Troncales</v>
          </cell>
          <cell r="AI478" t="str">
            <v>INACTIVO</v>
          </cell>
          <cell r="AJ478" t="str">
            <v>INACTIVO</v>
          </cell>
          <cell r="AK478" t="str">
            <v>INACTIVO</v>
          </cell>
          <cell r="AL478" t="str">
            <v>INACTIVO</v>
          </cell>
          <cell r="AM478" t="str">
            <v>INACTIVO</v>
          </cell>
          <cell r="AN478" t="str">
            <v>INACTIVO</v>
          </cell>
          <cell r="AO478" t="str">
            <v>INACTIVO</v>
          </cell>
          <cell r="AP478" t="str">
            <v>INACTIVO</v>
          </cell>
          <cell r="AQ478" t="str">
            <v>INACTIVO</v>
          </cell>
          <cell r="AR478" t="str">
            <v>INACTIVO</v>
          </cell>
          <cell r="AS478" t="str">
            <v>INACTIVO</v>
          </cell>
          <cell r="AT478" t="str">
            <v>INACTIVO</v>
          </cell>
          <cell r="AU478" t="str">
            <v>INACTIVO</v>
          </cell>
          <cell r="AV478" t="str">
            <v>INACTIVO</v>
          </cell>
          <cell r="AW478" t="str">
            <v>INACTIVO</v>
          </cell>
          <cell r="AX478" t="str">
            <v>INACTIVO</v>
          </cell>
          <cell r="AY478" t="str">
            <v>INACTIVO</v>
          </cell>
          <cell r="AZ478" t="str">
            <v>INACTIVO</v>
          </cell>
          <cell r="BA478" t="str">
            <v>INACTIVO</v>
          </cell>
          <cell r="BB478" t="str">
            <v>INACTIVO</v>
          </cell>
          <cell r="BC478" t="str">
            <v>INACTIVO</v>
          </cell>
          <cell r="BD478" t="str">
            <v>INACTIVO</v>
          </cell>
          <cell r="BE478" t="str">
            <v>INACTIVO</v>
          </cell>
          <cell r="BF478" t="str">
            <v>INACTIVO</v>
          </cell>
          <cell r="BG478" t="str">
            <v>INACTIVO</v>
          </cell>
          <cell r="BH478" t="str">
            <v>INACTIVO</v>
          </cell>
          <cell r="BI478" t="str">
            <v>INACTIVO</v>
          </cell>
          <cell r="BJ478" t="str">
            <v>INACTIVO</v>
          </cell>
          <cell r="BK478" t="str">
            <v>INACTIVO</v>
          </cell>
          <cell r="BL478" t="str">
            <v>INACTIVO</v>
          </cell>
          <cell r="BM478" t="str">
            <v>INACTIVO</v>
          </cell>
          <cell r="BN478" t="str">
            <v>INACTIVO</v>
          </cell>
          <cell r="BO478" t="str">
            <v>INACTIVO</v>
          </cell>
          <cell r="BP478" t="str">
            <v>INACTIVO</v>
          </cell>
          <cell r="BQ478" t="str">
            <v>INACTIVO</v>
          </cell>
          <cell r="BR478" t="str">
            <v>INACTIVO</v>
          </cell>
          <cell r="BS478" t="str">
            <v>INACTIVO</v>
          </cell>
          <cell r="BT478" t="str">
            <v>INACTIVO</v>
          </cell>
          <cell r="BU478" t="str">
            <v>INACTIVO</v>
          </cell>
          <cell r="BV478" t="str">
            <v>INACTIVO</v>
          </cell>
          <cell r="BW478" t="str">
            <v>INACTIVO</v>
          </cell>
          <cell r="BX478" t="str">
            <v>INACTIVO</v>
          </cell>
          <cell r="BY478" t="str">
            <v>INACTIVO</v>
          </cell>
          <cell r="BZ478" t="str">
            <v>INACTIVO</v>
          </cell>
          <cell r="CA478" t="str">
            <v>INACTIVO</v>
          </cell>
          <cell r="CB478" t="str">
            <v>INACTIVO</v>
          </cell>
          <cell r="CC478" t="str">
            <v>INACTIVO</v>
          </cell>
          <cell r="CD478" t="str">
            <v>INACTIVO</v>
          </cell>
          <cell r="CE478" t="str">
            <v>INACTIVO</v>
          </cell>
          <cell r="CF478" t="str">
            <v>INACTIVO</v>
          </cell>
          <cell r="CG478" t="str">
            <v>INACTIVO</v>
          </cell>
          <cell r="CH478" t="str">
            <v>INACTIVO</v>
          </cell>
          <cell r="CI478" t="str">
            <v>INACTIVO</v>
          </cell>
          <cell r="CJ478" t="str">
            <v>INACTIVO</v>
          </cell>
          <cell r="CK478" t="str">
            <v>INACTIVO</v>
          </cell>
          <cell r="CL478" t="str">
            <v>INACTIVO</v>
          </cell>
          <cell r="CM478" t="str">
            <v>INACTIVO</v>
          </cell>
          <cell r="CN478" t="str">
            <v>INACTIVO</v>
          </cell>
          <cell r="CO478" t="str">
            <v>INACTIVO</v>
          </cell>
          <cell r="CP478" t="str">
            <v>INACTIVO</v>
          </cell>
          <cell r="CQ478" t="str">
            <v>INACTIVO</v>
          </cell>
          <cell r="CR478" t="str">
            <v>INACTIVO</v>
          </cell>
          <cell r="CS478" t="str">
            <v>INACTIVO</v>
          </cell>
          <cell r="CT478" t="str">
            <v>INACTIVO</v>
          </cell>
          <cell r="CU478" t="str">
            <v>INACTIVO</v>
          </cell>
          <cell r="CV478" t="str">
            <v>INACTIVO</v>
          </cell>
          <cell r="CW478" t="str">
            <v>INACTIVO</v>
          </cell>
        </row>
        <row r="479">
          <cell r="D479" t="str">
            <v>VPS391</v>
          </cell>
          <cell r="E479" t="str">
            <v xml:space="preserve">MUSEO </v>
          </cell>
          <cell r="F479" t="str">
            <v>Museo</v>
          </cell>
          <cell r="G479" t="str">
            <v xml:space="preserve">MUSEO </v>
          </cell>
          <cell r="N479" t="str">
            <v>Expreso Malargüe S. A.</v>
          </cell>
          <cell r="O479" t="str">
            <v>Expreso Malargüe S. A.</v>
          </cell>
          <cell r="P479" t="str">
            <v>No</v>
          </cell>
          <cell r="Q479" t="str">
            <v>Propio</v>
          </cell>
          <cell r="R479" t="str">
            <v>-</v>
          </cell>
          <cell r="S479" t="str">
            <v>Propio</v>
          </cell>
          <cell r="T479" t="str">
            <v>FORD</v>
          </cell>
          <cell r="U479">
            <v>31</v>
          </cell>
          <cell r="V479" t="str">
            <v>A2612836</v>
          </cell>
          <cell r="W479" t="str">
            <v>R.P.A.123457</v>
          </cell>
          <cell r="X479">
            <v>1931</v>
          </cell>
          <cell r="Y479">
            <v>95</v>
          </cell>
          <cell r="Z479" t="str">
            <v>Malargue</v>
          </cell>
          <cell r="AA479" t="str">
            <v>Expreso - Servicios Troncales</v>
          </cell>
          <cell r="AB479" t="str">
            <v>Expreso - Servicios Troncales</v>
          </cell>
          <cell r="AC479" t="str">
            <v>Expreso - Servicios Troncales</v>
          </cell>
          <cell r="AD479" t="str">
            <v>Expreso - Servicios Troncales</v>
          </cell>
          <cell r="AE479" t="str">
            <v>Expreso - Servicios Troncales</v>
          </cell>
          <cell r="AF479" t="str">
            <v>Expreso - Servicios Troncales</v>
          </cell>
          <cell r="AG479" t="str">
            <v>Expreso - Servicios Troncales</v>
          </cell>
          <cell r="AH479" t="str">
            <v>Expreso - Servicios Troncales</v>
          </cell>
          <cell r="AI479" t="str">
            <v>Expreso - Servicios Troncales</v>
          </cell>
          <cell r="AJ479" t="str">
            <v>Expreso - Servicios Troncales</v>
          </cell>
          <cell r="AK479" t="str">
            <v>Expreso - Servicios Troncales</v>
          </cell>
          <cell r="AL479" t="str">
            <v>Expreso - Servicios Troncales</v>
          </cell>
          <cell r="AM479" t="str">
            <v>Expreso - Servicios Troncales</v>
          </cell>
          <cell r="AN479" t="str">
            <v>Expreso - Servicios Troncales</v>
          </cell>
          <cell r="AO479" t="str">
            <v>Expreso - Servicios Troncales</v>
          </cell>
          <cell r="AP479" t="str">
            <v>Expreso - Servicios Troncales</v>
          </cell>
          <cell r="AQ479" t="str">
            <v>Expreso - Servicios Troncales</v>
          </cell>
          <cell r="AR479" t="str">
            <v>Expreso - Servicios Troncales</v>
          </cell>
          <cell r="AS479" t="str">
            <v>Expreso - Servicios Troncales</v>
          </cell>
          <cell r="AT479" t="str">
            <v>Expreso - Servicios Troncales</v>
          </cell>
          <cell r="AU479" t="str">
            <v>Expreso - Servicios Troncales</v>
          </cell>
          <cell r="AV479" t="str">
            <v>Expreso - Servicios Troncales</v>
          </cell>
          <cell r="AW479" t="str">
            <v>Expreso - Servicios Troncales</v>
          </cell>
          <cell r="AX479" t="str">
            <v>INACTIVO</v>
          </cell>
          <cell r="AY479" t="str">
            <v>INACTIVO</v>
          </cell>
          <cell r="AZ479" t="str">
            <v>INACTIVO</v>
          </cell>
          <cell r="BA479" t="str">
            <v>INACTIVO</v>
          </cell>
          <cell r="BB479" t="str">
            <v>INACTIVO</v>
          </cell>
          <cell r="BC479" t="str">
            <v>INACTIVO</v>
          </cell>
          <cell r="BD479" t="str">
            <v>INACTIVO</v>
          </cell>
          <cell r="BE479" t="str">
            <v>INACTIVO</v>
          </cell>
          <cell r="BF479" t="str">
            <v>INACTIVO</v>
          </cell>
          <cell r="BG479" t="str">
            <v>INACTIVO</v>
          </cell>
          <cell r="BH479" t="str">
            <v>INACTIVO</v>
          </cell>
          <cell r="BI479" t="str">
            <v>INACTIVO</v>
          </cell>
          <cell r="BJ479" t="str">
            <v>INACTIVO</v>
          </cell>
          <cell r="BK479" t="str">
            <v>INACTIVO</v>
          </cell>
          <cell r="BL479" t="str">
            <v>INACTIVO</v>
          </cell>
          <cell r="BM479" t="str">
            <v>INACTIVO</v>
          </cell>
          <cell r="BN479" t="str">
            <v>INACTIVO</v>
          </cell>
          <cell r="BO479" t="str">
            <v>INACTIVO</v>
          </cell>
          <cell r="BP479" t="str">
            <v>INACTIVO</v>
          </cell>
          <cell r="BQ479" t="str">
            <v>INACTIVO</v>
          </cell>
          <cell r="BR479" t="str">
            <v>INACTIVO</v>
          </cell>
          <cell r="BS479" t="str">
            <v>INACTIVO</v>
          </cell>
          <cell r="BT479" t="str">
            <v>INACTIVO</v>
          </cell>
          <cell r="BU479" t="str">
            <v>INACTIVO</v>
          </cell>
          <cell r="BV479" t="str">
            <v>INACTIVO</v>
          </cell>
          <cell r="BW479" t="str">
            <v>INACTIVO</v>
          </cell>
          <cell r="BX479" t="str">
            <v>INACTIVO</v>
          </cell>
          <cell r="BY479" t="str">
            <v>INACTIVO</v>
          </cell>
          <cell r="BZ479" t="str">
            <v>INACTIVO</v>
          </cell>
          <cell r="CA479" t="str">
            <v>INACTIVO</v>
          </cell>
          <cell r="CB479" t="str">
            <v>INACTIVO</v>
          </cell>
          <cell r="CC479" t="str">
            <v>INACTIVO</v>
          </cell>
          <cell r="CD479" t="str">
            <v>INACTIVO</v>
          </cell>
          <cell r="CE479" t="str">
            <v>INACTIVO</v>
          </cell>
          <cell r="CF479" t="str">
            <v>INACTIVO</v>
          </cell>
          <cell r="CG479" t="str">
            <v>INACTIVO</v>
          </cell>
          <cell r="CH479" t="str">
            <v>INACTIVO</v>
          </cell>
          <cell r="CI479" t="str">
            <v>INACTIVO</v>
          </cell>
          <cell r="CJ479" t="str">
            <v>INACTIVO</v>
          </cell>
          <cell r="CK479" t="str">
            <v>INACTIVO</v>
          </cell>
          <cell r="CL479" t="str">
            <v>INACTIVO</v>
          </cell>
          <cell r="CM479" t="str">
            <v>INACTIVO</v>
          </cell>
          <cell r="CN479" t="str">
            <v>INACTIVO</v>
          </cell>
          <cell r="CO479" t="str">
            <v>INACTIVO</v>
          </cell>
          <cell r="CP479" t="str">
            <v>INACTIVO</v>
          </cell>
          <cell r="CQ479" t="str">
            <v>INACTIVO</v>
          </cell>
          <cell r="CR479" t="str">
            <v>INACTIVO</v>
          </cell>
          <cell r="CS479" t="str">
            <v>INACTIVO</v>
          </cell>
          <cell r="CT479" t="str">
            <v>INACTIVO</v>
          </cell>
          <cell r="CU479" t="str">
            <v>INACTIVO</v>
          </cell>
          <cell r="CV479" t="str">
            <v>INACTIVO</v>
          </cell>
          <cell r="CW479" t="str">
            <v>INACTIVO</v>
          </cell>
        </row>
        <row r="480">
          <cell r="D480" t="str">
            <v>WBL441</v>
          </cell>
          <cell r="E480" t="str">
            <v>Tractor</v>
          </cell>
          <cell r="F480">
            <v>0</v>
          </cell>
          <cell r="G480" t="str">
            <v>Tractor</v>
          </cell>
          <cell r="N480" t="str">
            <v>DIAZ EDGARDO ALBERTO</v>
          </cell>
          <cell r="O480" t="str">
            <v>DIAZ EDGARDO ALBERTO</v>
          </cell>
          <cell r="P480" t="str">
            <v>No</v>
          </cell>
          <cell r="Q480" t="str">
            <v>De Tercero</v>
          </cell>
          <cell r="R480" t="str">
            <v>-</v>
          </cell>
          <cell r="S480" t="str">
            <v>De Tercero</v>
          </cell>
          <cell r="T480" t="str">
            <v>MERCEDES BENZ</v>
          </cell>
          <cell r="U480" t="str">
            <v>LS 1114/36</v>
          </cell>
          <cell r="V480">
            <v>1973</v>
          </cell>
          <cell r="W480">
            <v>53</v>
          </cell>
          <cell r="X480">
            <v>1973</v>
          </cell>
          <cell r="Y480">
            <v>53</v>
          </cell>
          <cell r="Z480" t="str">
            <v>Malargue</v>
          </cell>
          <cell r="AA480" t="str">
            <v>AGN_TTE - AGUANORT - Transporte</v>
          </cell>
          <cell r="AB480" t="str">
            <v>Expreso - Servicios Troncales</v>
          </cell>
          <cell r="AC480" t="str">
            <v>Expreso - Servicios Troncales</v>
          </cell>
          <cell r="AD480" t="str">
            <v>Expreso - Servicios Troncales</v>
          </cell>
          <cell r="AE480" t="str">
            <v>Expreso - Servicios Troncales</v>
          </cell>
          <cell r="AF480" t="str">
            <v>Expreso - Servicios Troncales</v>
          </cell>
          <cell r="AG480" t="str">
            <v>Expreso - Servicios Troncales</v>
          </cell>
          <cell r="AH480" t="str">
            <v>Expreso - Servicios Troncales</v>
          </cell>
          <cell r="AI480" t="str">
            <v>Expreso - Servicios Troncales</v>
          </cell>
          <cell r="AJ480" t="str">
            <v>Expreso - Servicios Troncales</v>
          </cell>
          <cell r="AK480" t="str">
            <v>Expreso - Servicios Troncales</v>
          </cell>
          <cell r="AL480" t="str">
            <v>Expreso - Servicios Troncales</v>
          </cell>
          <cell r="AM480" t="str">
            <v>Expreso - Servicios Troncales</v>
          </cell>
          <cell r="AN480" t="str">
            <v>Expreso - Servicios Troncales</v>
          </cell>
          <cell r="AO480" t="str">
            <v>Expreso - Servicios Troncales</v>
          </cell>
          <cell r="AP480" t="str">
            <v>Expreso - Servicios Troncales</v>
          </cell>
          <cell r="AQ480" t="str">
            <v>Expreso - Servicios Troncales</v>
          </cell>
          <cell r="AR480" t="str">
            <v>Expreso - Servicios Troncales</v>
          </cell>
          <cell r="AS480" t="str">
            <v>Expreso - Servicios Troncales</v>
          </cell>
          <cell r="AT480" t="str">
            <v>Expreso - Servicios Troncales</v>
          </cell>
          <cell r="AU480" t="str">
            <v>Expreso - Servicios Troncales</v>
          </cell>
          <cell r="AV480" t="str">
            <v>Expreso - Servicios Troncales</v>
          </cell>
          <cell r="AW480" t="str">
            <v>Expreso - Servicios Troncales</v>
          </cell>
          <cell r="AX480" t="str">
            <v>Expreso - Servicios Troncales</v>
          </cell>
          <cell r="AY480" t="str">
            <v>Expreso - Servicios Troncales</v>
          </cell>
          <cell r="AZ480" t="str">
            <v>Expreso - Servicios Troncales</v>
          </cell>
          <cell r="BA480" t="str">
            <v>Expreso - Servicios Troncales</v>
          </cell>
          <cell r="BB480" t="str">
            <v>Expreso - Servicios Troncales</v>
          </cell>
          <cell r="BC480" t="str">
            <v>Expreso - Servicios Troncales</v>
          </cell>
          <cell r="BD480" t="str">
            <v>SUC_REA - Sucursal Realicó</v>
          </cell>
          <cell r="BE480" t="str">
            <v>SUC_REA - Sucursal Realicó</v>
          </cell>
          <cell r="BF480" t="str">
            <v>SUC_REA - Sucursal Realicó</v>
          </cell>
          <cell r="BG480" t="str">
            <v>SUC_REA - Sucursal Realicó</v>
          </cell>
          <cell r="BH480" t="str">
            <v>SUC_REA - Sucursal Realicó</v>
          </cell>
          <cell r="BI480" t="str">
            <v>SUC_REA - Sucursal Realicó</v>
          </cell>
          <cell r="BJ480" t="str">
            <v>SUC_REA - Sucursal Realicó</v>
          </cell>
          <cell r="BK480" t="str">
            <v>SUC_REA - Sucursal Realicó</v>
          </cell>
          <cell r="BL480" t="str">
            <v>SUC_REA - Sucursal Realicó</v>
          </cell>
          <cell r="BM480" t="str">
            <v>SUC_REA - Sucursal Realicó</v>
          </cell>
          <cell r="BN480" t="str">
            <v>SUC_REA - Sucursal Realicó</v>
          </cell>
          <cell r="BO480" t="str">
            <v>SUC_REA - Sucursal Realicó</v>
          </cell>
          <cell r="BP480" t="str">
            <v>SUC_REA - Sucursal Realicó</v>
          </cell>
          <cell r="BQ480" t="str">
            <v>SUC_REA - Sucursal Realicó</v>
          </cell>
          <cell r="BR480" t="str">
            <v>SUC_REA - Sucursal Realicó</v>
          </cell>
          <cell r="BS480" t="str">
            <v>SUC_REA - Sucursal Realicó</v>
          </cell>
          <cell r="BT480" t="str">
            <v>SUC_REA - Sucursal Realicó</v>
          </cell>
          <cell r="BU480" t="str">
            <v>SUC_REA - Sucursal Realicó</v>
          </cell>
          <cell r="BV480" t="str">
            <v>SUC_REA - Sucursal Realicó</v>
          </cell>
          <cell r="BW480" t="str">
            <v>SUC_REA - Sucursal Realicó</v>
          </cell>
          <cell r="BX480" t="str">
            <v>SUC_REA - Sucursal Realicó</v>
          </cell>
          <cell r="BY480" t="str">
            <v>SUC_REA - Sucursal Realicó</v>
          </cell>
          <cell r="BZ480" t="str">
            <v>SUC_REA - Sucursal Realicó</v>
          </cell>
          <cell r="CA480" t="str">
            <v>SUC_REA - Sucursal Realicó</v>
          </cell>
          <cell r="CB480" t="str">
            <v>SUC_REA - Sucursal Realicó</v>
          </cell>
          <cell r="CC480" t="str">
            <v>BAJA</v>
          </cell>
          <cell r="CD480" t="str">
            <v>BAJA</v>
          </cell>
          <cell r="CE480" t="str">
            <v>BAJA</v>
          </cell>
          <cell r="CF480" t="str">
            <v>BAJA</v>
          </cell>
          <cell r="CG480" t="str">
            <v>BAJA</v>
          </cell>
          <cell r="CH480" t="str">
            <v>BAJA</v>
          </cell>
          <cell r="CI480" t="str">
            <v>BAJA</v>
          </cell>
          <cell r="CJ480" t="str">
            <v>BAJA</v>
          </cell>
          <cell r="CK480" t="str">
            <v>BAJA</v>
          </cell>
          <cell r="CL480" t="str">
            <v>BAJA</v>
          </cell>
          <cell r="CM480" t="str">
            <v>BAJA</v>
          </cell>
          <cell r="CN480" t="str">
            <v>BAJA</v>
          </cell>
          <cell r="CO480" t="str">
            <v>BAJA</v>
          </cell>
          <cell r="CP480" t="str">
            <v>BAJA</v>
          </cell>
          <cell r="CQ480" t="str">
            <v>BAJA</v>
          </cell>
          <cell r="CR480" t="str">
            <v>BAJA</v>
          </cell>
          <cell r="CS480" t="str">
            <v>BAJA</v>
          </cell>
          <cell r="CT480" t="str">
            <v>BAJA</v>
          </cell>
          <cell r="CU480" t="str">
            <v>BAJA</v>
          </cell>
          <cell r="CV480" t="str">
            <v>BAJA</v>
          </cell>
          <cell r="CW480" t="str">
            <v>BAJA</v>
          </cell>
        </row>
        <row r="481">
          <cell r="D481" t="str">
            <v>WEC405</v>
          </cell>
          <cell r="E481" t="str">
            <v>Chasis</v>
          </cell>
          <cell r="F481" t="str">
            <v>Chasis</v>
          </cell>
          <cell r="G481" t="str">
            <v>Chasis</v>
          </cell>
          <cell r="N481" t="str">
            <v>RICCOBELLI ARIEL ALEJANDRO(BONIFACIO FC)</v>
          </cell>
          <cell r="O481" t="str">
            <v>RICCOBELLI ARIEL ALEJANDRO(BONIFACIO FC)</v>
          </cell>
          <cell r="P481" t="str">
            <v>No</v>
          </cell>
          <cell r="Q481" t="str">
            <v>De Tercero</v>
          </cell>
          <cell r="R481" t="str">
            <v>-</v>
          </cell>
          <cell r="S481" t="str">
            <v>De Tercero</v>
          </cell>
          <cell r="T481" t="str">
            <v>FORD</v>
          </cell>
          <cell r="U481" t="str">
            <v>F600</v>
          </cell>
          <cell r="V481">
            <v>303949</v>
          </cell>
          <cell r="W481" t="str">
            <v>KA4LLY-27908</v>
          </cell>
          <cell r="X481">
            <v>1971</v>
          </cell>
          <cell r="Y481">
            <v>55</v>
          </cell>
          <cell r="BX481" t="str">
            <v>SUC_ROS - Sucursal Rosario</v>
          </cell>
          <cell r="BY481" t="str">
            <v>SUC_ROS - Sucursal Rosario</v>
          </cell>
          <cell r="BZ481" t="str">
            <v>SUC_ROS - Sucursal Rosario</v>
          </cell>
          <cell r="CA481" t="str">
            <v>SUC_ROS - Sucursal Rosario</v>
          </cell>
          <cell r="CB481" t="str">
            <v>SUC_ROS - Sucursal Rosario</v>
          </cell>
          <cell r="CC481" t="str">
            <v>SUC_ROS - Sucursal Rosario</v>
          </cell>
          <cell r="CD481" t="str">
            <v>SUC_ROS - Sucursal Rosario</v>
          </cell>
          <cell r="CE481" t="str">
            <v>SUC_ROS - Sucursal Rosario</v>
          </cell>
          <cell r="CF481" t="str">
            <v>SUC_ROS - Sucursal Rosario</v>
          </cell>
          <cell r="CG481" t="str">
            <v>SUC_ROS - Sucursal Rosario</v>
          </cell>
          <cell r="CH481" t="str">
            <v>SUC_ROS - Sucursal Rosario</v>
          </cell>
          <cell r="CI481" t="str">
            <v>SUC_ROS - Sucursal Rosario</v>
          </cell>
          <cell r="CJ481" t="str">
            <v>SUC_ROS - Sucursal Rosario</v>
          </cell>
          <cell r="CK481" t="str">
            <v>SUC_ROS - Sucursal Rosario</v>
          </cell>
          <cell r="CL481" t="str">
            <v>SUC_ROS - Sucursal Rosario</v>
          </cell>
          <cell r="CM481" t="str">
            <v>SUC_ROS - Sucursal Rosario</v>
          </cell>
          <cell r="CN481" t="str">
            <v>SUC_ROS - Sucursal Rosario</v>
          </cell>
          <cell r="CO481" t="str">
            <v>SUC_ROS - Sucursal Rosario</v>
          </cell>
          <cell r="CP481" t="str">
            <v>SUC_ROS - Sucursal Rosario</v>
          </cell>
          <cell r="CQ481" t="str">
            <v>SUC_ROS - Sucursal Rosario</v>
          </cell>
          <cell r="CR481" t="str">
            <v>SUC_ROS - Sucursal Rosario</v>
          </cell>
          <cell r="CS481" t="str">
            <v>SUC_ROS - Sucursal Rosario</v>
          </cell>
          <cell r="CT481" t="str">
            <v>SUC_ROS - Sucursal Rosario</v>
          </cell>
          <cell r="CU481" t="str">
            <v>SUC_ROS - Sucursal Rosario</v>
          </cell>
          <cell r="CV481" t="str">
            <v>SUC_ROS - Sucursal Rosario</v>
          </cell>
          <cell r="CW481" t="str">
            <v>SUC_ROS - Sucursal Rosario</v>
          </cell>
        </row>
        <row r="482">
          <cell r="D482" t="str">
            <v>WHP090</v>
          </cell>
          <cell r="E482" t="str">
            <v>Semiremolque</v>
          </cell>
          <cell r="F482">
            <v>0</v>
          </cell>
          <cell r="G482" t="str">
            <v>Semiremolque</v>
          </cell>
          <cell r="N482" t="str">
            <v>ALMEIDA JULIO ALBERTO ANTONIO</v>
          </cell>
          <cell r="O482" t="str">
            <v>ALMEIDA JULIO ALBERTO ANTONIO</v>
          </cell>
          <cell r="P482" t="str">
            <v>No</v>
          </cell>
          <cell r="Q482" t="str">
            <v>De Tercero</v>
          </cell>
          <cell r="R482" t="str">
            <v>-</v>
          </cell>
          <cell r="S482" t="str">
            <v>De Tercero</v>
          </cell>
          <cell r="T482" t="str">
            <v>PRATI FRUEHAUF</v>
          </cell>
          <cell r="U482" t="str">
            <v>RBB F1F1 HD 7,10 M</v>
          </cell>
          <cell r="V482">
            <v>1988</v>
          </cell>
          <cell r="W482">
            <v>38</v>
          </cell>
          <cell r="X482">
            <v>1988</v>
          </cell>
          <cell r="Y482">
            <v>38</v>
          </cell>
          <cell r="Z482" t="str">
            <v>TDU</v>
          </cell>
          <cell r="AA482" t="str">
            <v>CMQ_TTE - QUILMES TTE</v>
          </cell>
          <cell r="AB482" t="str">
            <v>CMQ_TTE - QUILMES TTE</v>
          </cell>
          <cell r="AC482" t="str">
            <v>CMQ_TTE - QUILMES TTE</v>
          </cell>
          <cell r="AD482" t="str">
            <v>CMQ_TTE - QUILMES TTE</v>
          </cell>
          <cell r="AE482" t="str">
            <v>CMQ_TTE - QUILMES TTE</v>
          </cell>
          <cell r="AF482" t="str">
            <v>CMQ_TTE - QUILMES TTE</v>
          </cell>
          <cell r="AG482" t="str">
            <v>CMQ_TTE - QUILMES TTE</v>
          </cell>
          <cell r="AH482" t="str">
            <v>CMQ_TTE - QUILMES TTE</v>
          </cell>
          <cell r="AI482" t="str">
            <v>CMQ_TTE - QUILMES TTE</v>
          </cell>
          <cell r="AJ482" t="str">
            <v>CMQ_TTE - QUILMES TTE</v>
          </cell>
          <cell r="AK482" t="str">
            <v>CMQ_TTE - QUILMES TTE</v>
          </cell>
          <cell r="AL482" t="str">
            <v>CMQ_TTE - QUILMES TTE</v>
          </cell>
          <cell r="AM482" t="str">
            <v>CMQ_TTE - QUILMES TTE</v>
          </cell>
          <cell r="AN482" t="str">
            <v>CMQ_TTE - QUILMES TTE</v>
          </cell>
          <cell r="AO482" t="str">
            <v>CMQ_TTE - QUILMES TTE</v>
          </cell>
          <cell r="AP482" t="str">
            <v>CMQ_TTE - QUILMES TTE</v>
          </cell>
          <cell r="AQ482" t="str">
            <v>CMQ_TTE - QUILMES TTE</v>
          </cell>
          <cell r="AR482" t="str">
            <v>CMQ_TTE - QUILMES TTE</v>
          </cell>
          <cell r="AS482" t="str">
            <v>CMQ_TTE - QUILMES TTE</v>
          </cell>
          <cell r="AT482" t="str">
            <v>CMQ_TTE - QUILMES TTE</v>
          </cell>
          <cell r="AU482" t="str">
            <v>CMQ_TTE - QUILMES TTE</v>
          </cell>
          <cell r="AV482" t="str">
            <v>CMQ_TTE - QUILMES TTE</v>
          </cell>
          <cell r="AW482" t="str">
            <v>CMQ_TTE - QUILMES TTE</v>
          </cell>
          <cell r="AX482" t="str">
            <v>CMQ_TTE - QUILMES TTE</v>
          </cell>
          <cell r="AY482" t="str">
            <v>CMQ_TTE - QUILMES TTE</v>
          </cell>
          <cell r="AZ482" t="str">
            <v>CMQ_TTE - QUILMES TTE</v>
          </cell>
          <cell r="BA482" t="str">
            <v>CMQ_TTE - QUILMES TTE</v>
          </cell>
          <cell r="BB482" t="str">
            <v>CMQ_TTE - QUILMES TTE</v>
          </cell>
          <cell r="BC482" t="str">
            <v>CMQ_TTE - QUILMES TTE</v>
          </cell>
          <cell r="BD482" t="str">
            <v>CMQ_TTE - QUILMES TTE</v>
          </cell>
          <cell r="BE482" t="str">
            <v>CMQ_TTE - QUILMES TTE</v>
          </cell>
          <cell r="BF482" t="str">
            <v>CMQ_TTE - QUILMES TTE</v>
          </cell>
          <cell r="BG482" t="str">
            <v>CMQ_TTE - QUILMES TTE</v>
          </cell>
          <cell r="BH482" t="str">
            <v>INACTIVO</v>
          </cell>
          <cell r="BI482" t="str">
            <v>INACTIVO</v>
          </cell>
          <cell r="BJ482" t="str">
            <v>INACTIVO</v>
          </cell>
          <cell r="BK482" t="str">
            <v>INACTIVO</v>
          </cell>
          <cell r="BL482" t="str">
            <v>INACTIVO</v>
          </cell>
          <cell r="BM482" t="str">
            <v>INACTIVO</v>
          </cell>
          <cell r="BN482" t="str">
            <v>INACTIVO</v>
          </cell>
          <cell r="BO482" t="str">
            <v>INACTIVO</v>
          </cell>
          <cell r="BP482" t="str">
            <v>INACTIVO</v>
          </cell>
          <cell r="BQ482" t="str">
            <v>INACTIVO</v>
          </cell>
          <cell r="BR482" t="str">
            <v>INACTIVO</v>
          </cell>
          <cell r="BS482" t="str">
            <v>INACTIVO</v>
          </cell>
          <cell r="BT482" t="str">
            <v>INACTIVO</v>
          </cell>
          <cell r="BU482" t="str">
            <v>INACTIVO</v>
          </cell>
          <cell r="BV482" t="str">
            <v>INACTIVO</v>
          </cell>
          <cell r="BW482" t="str">
            <v>INACTIVO</v>
          </cell>
          <cell r="BX482" t="str">
            <v>INACTIVO</v>
          </cell>
          <cell r="BY482" t="str">
            <v>INACTIVO</v>
          </cell>
          <cell r="BZ482" t="str">
            <v>INACTIVO</v>
          </cell>
          <cell r="CA482" t="str">
            <v>INACTIVO</v>
          </cell>
          <cell r="CB482" t="str">
            <v>INACTIVO</v>
          </cell>
          <cell r="CC482" t="str">
            <v>BAJA</v>
          </cell>
          <cell r="CD482" t="str">
            <v>BAJA</v>
          </cell>
          <cell r="CE482" t="str">
            <v>BAJA</v>
          </cell>
          <cell r="CF482" t="str">
            <v>BAJA</v>
          </cell>
          <cell r="CG482" t="str">
            <v>BAJA</v>
          </cell>
          <cell r="CH482" t="str">
            <v>BAJA</v>
          </cell>
          <cell r="CI482" t="str">
            <v>BAJA</v>
          </cell>
          <cell r="CJ482" t="str">
            <v>BAJA</v>
          </cell>
          <cell r="CK482" t="str">
            <v>BAJA</v>
          </cell>
          <cell r="CL482" t="str">
            <v>BAJA</v>
          </cell>
          <cell r="CM482" t="str">
            <v>BAJA</v>
          </cell>
          <cell r="CN482" t="str">
            <v>BAJA</v>
          </cell>
          <cell r="CO482" t="str">
            <v>BAJA</v>
          </cell>
          <cell r="CP482" t="str">
            <v>BAJA</v>
          </cell>
          <cell r="CQ482" t="str">
            <v>BAJA</v>
          </cell>
          <cell r="CR482" t="str">
            <v>BAJA</v>
          </cell>
          <cell r="CS482" t="str">
            <v>BAJA</v>
          </cell>
          <cell r="CT482" t="str">
            <v>BAJA</v>
          </cell>
          <cell r="CU482" t="str">
            <v>BAJA</v>
          </cell>
          <cell r="CV482" t="str">
            <v>BAJA</v>
          </cell>
          <cell r="CW482" t="str">
            <v>BAJA</v>
          </cell>
        </row>
        <row r="483">
          <cell r="D483" t="str">
            <v>ZZ000HC</v>
          </cell>
          <cell r="E483" t="str">
            <v xml:space="preserve">CUATRICICLO LIGERO </v>
          </cell>
          <cell r="F483" t="str">
            <v>Utilitario</v>
          </cell>
          <cell r="G483" t="str">
            <v>Vehículo Eletrico</v>
          </cell>
          <cell r="N483" t="str">
            <v>TDU</v>
          </cell>
          <cell r="O483" t="str">
            <v>TDU</v>
          </cell>
          <cell r="P483" t="str">
            <v>No</v>
          </cell>
          <cell r="Q483" t="str">
            <v>Propio</v>
          </cell>
          <cell r="R483">
            <v>0.3</v>
          </cell>
          <cell r="S483" t="str">
            <v>Propio</v>
          </cell>
          <cell r="T483" t="str">
            <v>AE-SERO</v>
          </cell>
          <cell r="U483" t="str">
            <v>03-ELECTRIC CARGO BAJO</v>
          </cell>
          <cell r="V483" t="str">
            <v>SEDF48VK036</v>
          </cell>
          <cell r="W483" t="str">
            <v>8D901C11XMPSE1036</v>
          </cell>
          <cell r="X483">
            <v>2021</v>
          </cell>
          <cell r="Y483">
            <v>5</v>
          </cell>
          <cell r="AX483" t="str">
            <v>CMQ_TTE - QUILMES TTE</v>
          </cell>
          <cell r="AY483" t="str">
            <v>CMQ_TTE - QUILMES TTE</v>
          </cell>
          <cell r="AZ483" t="str">
            <v>CMQ_TTE - QUILMES TTE</v>
          </cell>
          <cell r="BA483" t="str">
            <v>CMQ_TTE - QUILMES TTE</v>
          </cell>
          <cell r="BB483" t="str">
            <v>T3</v>
          </cell>
          <cell r="BC483" t="str">
            <v>T3</v>
          </cell>
          <cell r="BD483" t="str">
            <v>T3</v>
          </cell>
          <cell r="BE483" t="str">
            <v>T3</v>
          </cell>
          <cell r="BF483" t="str">
            <v>T3</v>
          </cell>
          <cell r="BG483" t="str">
            <v>T3</v>
          </cell>
          <cell r="BH483" t="str">
            <v>T3</v>
          </cell>
          <cell r="BI483" t="str">
            <v>T3</v>
          </cell>
          <cell r="BJ483" t="str">
            <v>T3</v>
          </cell>
          <cell r="BK483" t="str">
            <v>T3</v>
          </cell>
          <cell r="BL483" t="str">
            <v>T3</v>
          </cell>
          <cell r="BM483" t="str">
            <v>T3</v>
          </cell>
          <cell r="BN483" t="str">
            <v>T3</v>
          </cell>
          <cell r="BO483" t="str">
            <v>T3</v>
          </cell>
          <cell r="BP483" t="str">
            <v>T3</v>
          </cell>
          <cell r="BQ483" t="str">
            <v>T3</v>
          </cell>
          <cell r="BR483" t="str">
            <v>T3</v>
          </cell>
          <cell r="BS483" t="str">
            <v>T3</v>
          </cell>
          <cell r="BT483" t="str">
            <v>T3</v>
          </cell>
          <cell r="BU483" t="str">
            <v>T3</v>
          </cell>
          <cell r="BV483" t="str">
            <v>T3</v>
          </cell>
          <cell r="BW483" t="str">
            <v>T3</v>
          </cell>
          <cell r="BX483" t="str">
            <v>T3</v>
          </cell>
          <cell r="BY483" t="str">
            <v>T3</v>
          </cell>
          <cell r="BZ483" t="str">
            <v>T3</v>
          </cell>
          <cell r="CA483" t="str">
            <v>T3</v>
          </cell>
          <cell r="CB483" t="str">
            <v>T3</v>
          </cell>
          <cell r="CC483" t="str">
            <v>T3</v>
          </cell>
          <cell r="CD483" t="str">
            <v>T3</v>
          </cell>
          <cell r="CE483" t="str">
            <v>T3</v>
          </cell>
          <cell r="CF483" t="str">
            <v>T3</v>
          </cell>
          <cell r="CG483" t="str">
            <v>T3</v>
          </cell>
          <cell r="CH483" t="str">
            <v>T3</v>
          </cell>
          <cell r="CI483" t="str">
            <v>T3</v>
          </cell>
          <cell r="CJ483" t="str">
            <v>T3</v>
          </cell>
          <cell r="CK483" t="str">
            <v>T3</v>
          </cell>
          <cell r="CL483" t="str">
            <v>T3</v>
          </cell>
          <cell r="CM483" t="str">
            <v>SUC_SRA - Sucursal San Rafael</v>
          </cell>
          <cell r="CN483" t="str">
            <v>SUC_SRA - Sucursal San Rafael</v>
          </cell>
          <cell r="CO483" t="str">
            <v>SUC_SRA - Sucursal San Rafael</v>
          </cell>
          <cell r="CP483" t="str">
            <v>SUC_SRA - Sucursal San Rafael</v>
          </cell>
          <cell r="CQ483" t="str">
            <v>SUC_SRA - Sucursal San Rafael</v>
          </cell>
          <cell r="CR483" t="str">
            <v>SUC_SRA - Sucursal San Rafael</v>
          </cell>
          <cell r="CS483" t="str">
            <v>SUC_SRA - Sucursal San Rafael</v>
          </cell>
          <cell r="CT483" t="str">
            <v>SUC_SRA - Sucursal San Rafael</v>
          </cell>
          <cell r="CU483" t="str">
            <v>SUC_SRA - Sucursal San Rafael</v>
          </cell>
          <cell r="CV483" t="str">
            <v>SUC_SRA - Sucursal San Rafael</v>
          </cell>
          <cell r="CW483" t="str">
            <v>SUC_SRA - Sucursal San Rafael</v>
          </cell>
        </row>
        <row r="484">
          <cell r="D484" t="str">
            <v>ZZ000HD</v>
          </cell>
          <cell r="E484" t="str">
            <v xml:space="preserve">CUATRICICLO LIGERO </v>
          </cell>
          <cell r="F484" t="str">
            <v>Utilitario</v>
          </cell>
          <cell r="G484" t="str">
            <v>Vehículo Eletrico</v>
          </cell>
          <cell r="N484" t="str">
            <v>TDU</v>
          </cell>
          <cell r="O484" t="str">
            <v>TDU</v>
          </cell>
          <cell r="P484" t="str">
            <v>No</v>
          </cell>
          <cell r="Q484" t="str">
            <v>Propio</v>
          </cell>
          <cell r="R484">
            <v>0.3</v>
          </cell>
          <cell r="S484" t="str">
            <v>Propio</v>
          </cell>
          <cell r="T484" t="str">
            <v>AE-SERO</v>
          </cell>
          <cell r="U484" t="str">
            <v>03-ELECTRIC CARGO BAJO</v>
          </cell>
          <cell r="V484" t="str">
            <v>SEDF48VK035</v>
          </cell>
          <cell r="W484" t="str">
            <v>8D901C11XMPSE1035</v>
          </cell>
          <cell r="X484">
            <v>2021</v>
          </cell>
          <cell r="Y484">
            <v>5</v>
          </cell>
          <cell r="AW484" t="str">
            <v>CMQ_TTE - QUILMES TTE</v>
          </cell>
          <cell r="AX484" t="str">
            <v>CMQ_TTE - QUILMES TTE</v>
          </cell>
          <cell r="AY484" t="str">
            <v>CMQ_TTE - QUILMES TTE</v>
          </cell>
          <cell r="AZ484" t="str">
            <v>CMQ_TTE - QUILMES TTE</v>
          </cell>
          <cell r="BA484" t="str">
            <v>CMQ_TTE - QUILMES TTE</v>
          </cell>
          <cell r="BB484" t="str">
            <v>T3</v>
          </cell>
          <cell r="BC484" t="str">
            <v>T3</v>
          </cell>
          <cell r="BD484" t="str">
            <v>T3</v>
          </cell>
          <cell r="BE484" t="str">
            <v>T3</v>
          </cell>
          <cell r="BF484" t="str">
            <v>T3</v>
          </cell>
          <cell r="BG484" t="str">
            <v>T3</v>
          </cell>
          <cell r="BH484" t="str">
            <v>T3</v>
          </cell>
          <cell r="BI484" t="str">
            <v>T3</v>
          </cell>
          <cell r="BJ484" t="str">
            <v>T3</v>
          </cell>
          <cell r="BK484" t="str">
            <v>T3</v>
          </cell>
          <cell r="BL484" t="str">
            <v>T3</v>
          </cell>
          <cell r="BM484" t="str">
            <v>T3</v>
          </cell>
          <cell r="BN484" t="str">
            <v>T3</v>
          </cell>
          <cell r="BO484" t="str">
            <v>T3</v>
          </cell>
          <cell r="BP484" t="str">
            <v>T3</v>
          </cell>
          <cell r="BQ484" t="str">
            <v>T3</v>
          </cell>
          <cell r="BR484" t="str">
            <v>T3</v>
          </cell>
          <cell r="BS484" t="str">
            <v>T3</v>
          </cell>
          <cell r="BT484" t="str">
            <v>T3</v>
          </cell>
          <cell r="BU484" t="str">
            <v>T3</v>
          </cell>
          <cell r="BV484" t="str">
            <v>T3</v>
          </cell>
          <cell r="BW484" t="str">
            <v>T3</v>
          </cell>
          <cell r="BX484" t="str">
            <v>T3</v>
          </cell>
          <cell r="BY484" t="str">
            <v>T3</v>
          </cell>
          <cell r="BZ484" t="str">
            <v>T3</v>
          </cell>
          <cell r="CA484" t="str">
            <v>T3</v>
          </cell>
          <cell r="CB484" t="str">
            <v>T3</v>
          </cell>
          <cell r="CC484" t="str">
            <v>T3</v>
          </cell>
          <cell r="CD484" t="str">
            <v>T3</v>
          </cell>
          <cell r="CE484" t="str">
            <v>T3</v>
          </cell>
          <cell r="CF484" t="str">
            <v>T3</v>
          </cell>
          <cell r="CG484" t="str">
            <v>T3</v>
          </cell>
          <cell r="CH484" t="str">
            <v>T3</v>
          </cell>
          <cell r="CI484" t="str">
            <v>T3</v>
          </cell>
          <cell r="CJ484" t="str">
            <v>T3</v>
          </cell>
          <cell r="CK484" t="str">
            <v>T3</v>
          </cell>
          <cell r="CL484" t="str">
            <v>T3</v>
          </cell>
          <cell r="CM484" t="str">
            <v>T3</v>
          </cell>
          <cell r="CN484" t="str">
            <v>T3</v>
          </cell>
          <cell r="CO484" t="str">
            <v>T3</v>
          </cell>
          <cell r="CP484" t="str">
            <v>Sin Operación</v>
          </cell>
          <cell r="CQ484" t="str">
            <v>Sin Operación</v>
          </cell>
          <cell r="CR484" t="str">
            <v>Sin Operación</v>
          </cell>
          <cell r="CS484" t="str">
            <v>Sin Operación</v>
          </cell>
          <cell r="CT484" t="str">
            <v>Sin Operación</v>
          </cell>
          <cell r="CU484" t="str">
            <v>Sin Operación</v>
          </cell>
          <cell r="CV484" t="str">
            <v>Sin Operación</v>
          </cell>
          <cell r="CW484" t="str">
            <v>Sin Operación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ADA_CH - Danone Arg. S.A. - Chascomus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xis Casco" refreshedDate="46155.574416319447" createdVersion="6" refreshedVersion="6" minRefreshableVersion="3" recordCount="1293">
  <cacheSource type="worksheet">
    <worksheetSource ref="A1:AF1294" sheet="Sheet1"/>
  </cacheSource>
  <cacheFields count="32">
    <cacheField name="Patente" numFmtId="0">
      <sharedItems/>
    </cacheField>
    <cacheField name="Modelo" numFmtId="0">
      <sharedItems containsMixedTypes="1" containsNumber="1" containsInteger="1" minValue="710" maxValue="1624"/>
    </cacheField>
    <cacheField name="Plan Asociado" numFmtId="0">
      <sharedItems/>
    </cacheField>
    <cacheField name="Plan" numFmtId="0">
      <sharedItems/>
    </cacheField>
    <cacheField name="Tiempo Hs" numFmtId="0">
      <sharedItems containsSemiMixedTypes="0" containsString="0" containsNumber="1" minValue="0.25" maxValue="0.75"/>
    </cacheField>
    <cacheField name="Descripsion" numFmtId="0">
      <sharedItems containsMixedTypes="1" containsNumber="1" minValue="0.25" maxValue="0.75"/>
    </cacheField>
    <cacheField name="Ultima Fecha Cambio" numFmtId="0">
      <sharedItems containsDate="1" containsBlank="1" containsMixedTypes="1" minDate="2023-12-29T00:00:00" maxDate="2026-08-16T01:21:18"/>
    </cacheField>
    <cacheField name="Km cambio" numFmtId="0">
      <sharedItems containsString="0" containsBlank="1" containsNumber="1" minValue="6340" maxValue="1973725"/>
    </cacheField>
    <cacheField name="Proximo KM" numFmtId="0">
      <sharedItems containsString="0" containsBlank="1" containsNumber="1" minValue="18559.899999999991" maxValue="2003725"/>
    </cacheField>
    <cacheField name="Recorrido" numFmtId="0">
      <sharedItems containsString="0" containsBlank="1" containsNumber="1" minValue="0" maxValue="79750.570000000065"/>
    </cacheField>
    <cacheField name="Km Restante" numFmtId="0">
      <sharedItems containsString="0" containsBlank="1" containsNumber="1" minValue="-59750.570000000072" maxValue="59247.899999999987"/>
    </cacheField>
    <cacheField name="Km Actaul" numFmtId="0">
      <sharedItems containsString="0" containsBlank="1" containsNumber="1" minValue="107" maxValue="1977000.4"/>
    </cacheField>
    <cacheField name="Días transcurridos" numFmtId="0">
      <sharedItems containsString="0" containsBlank="1" containsNumber="1" minValue="17" maxValue="658"/>
    </cacheField>
    <cacheField name="PromedioKmdiarios" numFmtId="0">
      <sharedItems containsString="0" containsBlank="1" containsNumber="1" minValue="1.7600651465798041" maxValue="2668.176102941175"/>
    </cacheField>
    <cacheField name="DıasRestantesestimados" numFmtId="0">
      <sharedItems containsString="0" containsBlank="1" containsNumber="1" minValue="-316.17003539912008" maxValue="438.89549982557452"/>
    </cacheField>
    <cacheField name="Fecha Actual" numFmtId="0">
      <sharedItems containsSemiMixedTypes="0" containsNonDate="0" containsDate="1" containsString="0" minDate="2024-01-03T00:00:00" maxDate="2026-12-13T00:00:00"/>
    </cacheField>
    <cacheField name="Frecuencia" numFmtId="0">
      <sharedItems containsString="0" containsBlank="1" containsNumber="1" containsInteger="1" minValue="10000" maxValue="30000"/>
    </cacheField>
    <cacheField name="Fecha Plan Prox.orig" numFmtId="0">
      <sharedItems containsSemiMixedTypes="0" containsNonDate="0" containsDate="1" containsString="0" minDate="2026-01-02T00:00:00" maxDate="2026-12-31T07:26:44"/>
    </cacheField>
    <cacheField name="Fecha Plan Prox" numFmtId="14">
      <sharedItems containsSemiMixedTypes="0" containsNonDate="0" containsDate="1" containsString="0" minDate="2026-01-02T00:00:00" maxDate="2027-01-01T00:00:00"/>
    </cacheField>
    <cacheField name="Mes" numFmtId="0">
      <sharedItems/>
    </cacheField>
    <cacheField name="Estado" numFmtId="0">
      <sharedItems containsBlank="1"/>
    </cacheField>
    <cacheField name="Unnamed: 18" numFmtId="0">
      <sharedItems containsNonDate="0" containsDate="1" containsString="0" containsBlank="1" minDate="2026-02-03T14:08:13" maxDate="2026-12-23T04:04:21"/>
    </cacheField>
    <cacheField name="Unnamed: 19" numFmtId="0">
      <sharedItems containsNonDate="0" containsDate="1" containsString="0" containsBlank="1" minDate="2026-03-30T09:12:20" maxDate="2026-03-30T09:12:20"/>
    </cacheField>
    <cacheField name="Código" numFmtId="0">
      <sharedItems containsBlank="1"/>
    </cacheField>
    <cacheField name="Descripción" numFmtId="0">
      <sharedItems containsBlank="1"/>
    </cacheField>
    <cacheField name="Cantidad" numFmtId="0">
      <sharedItems containsString="0" containsBlank="1" containsNumber="1" minValue="1" maxValue="39"/>
    </cacheField>
    <cacheField name="Valor" numFmtId="0">
      <sharedItems containsString="0" containsBlank="1" containsNumber="1" minValue="2756" maxValue="170000"/>
    </cacheField>
    <cacheField name="Valor Total" numFmtId="0">
      <sharedItems containsSemiMixedTypes="0" containsString="0" containsNumber="1" minValue="0" maxValue="170000"/>
    </cacheField>
    <cacheField name="CC" numFmtId="0">
      <sharedItems count="30">
        <s v="CCU_MZA - Comp. Cerv. Unidas - MZA"/>
        <s v="CMQ_TTE - QUILMES TTE"/>
        <s v="CENCO_MZ - Cencosud SA - Mendoza"/>
        <s v="CCUDyAZA"/>
        <s v="Unilever - Unilever de Arg. S.A."/>
        <s v="JOHNSON - SC JOHNSON DE ARGENTINA SAIC"/>
        <s v="SUC_MEN - Sucursal Mendoza"/>
        <s v="CCUCoAZA"/>
        <s v="Sin Operación"/>
        <s v="Topacio"/>
        <s v="Papelera - Papelera del Plata S.A."/>
        <s v="Arcor S.A.I.C."/>
        <s v="Alfavinil"/>
        <s v="SUC_CTC - Sucursal Buenos Aires"/>
        <s v="SUC_SRA - Sucursal San Rafael"/>
        <s v="Expreso - Servicios Troncales"/>
        <s v="SUC_SLU - Sucursal San Luis"/>
        <s v="SUC_REA - Sucursal Realicó"/>
        <s v="CENCOMLD - Cencosud SA - Mendoza"/>
        <s v="CENCO_SJ - Cencosud SA - San Juan"/>
        <s v="SUC_ROS - Sucursal Rosario"/>
        <s v="CIMSA_SRA"/>
        <s v="CIMSA_BS AS"/>
        <s v="ADA_CH - Danone Arg. S.A. - Chascomus"/>
        <s v="SUC_MAL - Sucursal Malargüe"/>
        <s v="SUC_GAL - Sucursal General Alvear"/>
        <s v="AGN_TTE - AGUANORT - Transporte"/>
        <s v="CIMSA_MZA"/>
        <s v="Alfavinil SA" u="1"/>
        <s v="LlaveLay" u="1"/>
      </sharedItems>
    </cacheField>
    <cacheField name="Km_anual" numFmtId="0">
      <sharedItems containsString="0" containsBlank="1" containsNumber="1" minValue="155645.55952380961" maxValue="155645.55952380961"/>
    </cacheField>
    <cacheField name="Fecha Plan Prox Calculada" numFmtId="0">
      <sharedItems containsNonDate="0" containsDate="1" containsString="0" containsBlank="1" minDate="2026-01-17T00:00:00" maxDate="2026-10-25T09:48:24"/>
    </cacheField>
    <cacheField name="Nro Cambio Año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3">
  <r>
    <s v="AB320YQ"/>
    <s v="B66 - ATEGO 2426"/>
    <s v="2MC"/>
    <s v="2MC"/>
    <n v="0.75"/>
    <s v="Cambio De Aceite Y Filtro De Motor"/>
    <d v="2025-03-29T00:00:00"/>
    <n v="24484.400000000001"/>
    <n v="44484.4"/>
    <n v="12540.1"/>
    <n v="7459.8999999999978"/>
    <n v="37024.5"/>
    <n v="202"/>
    <n v="67.727480916030515"/>
    <n v="120.1664899003995"/>
    <d v="2025-10-17T00:00:00"/>
    <n v="20000"/>
    <d v="2026-02-14T03:59:45"/>
    <d v="2026-02-14T00:00:00"/>
    <s v="febrero"/>
    <s v="Activo"/>
    <m/>
    <m/>
    <s v="C000313"/>
    <s v="ACEITE 15W40 XV300 X 205LT (TAMBOR)"/>
    <n v="16"/>
    <n v="3389.9"/>
    <n v="54238.400000000001"/>
    <x v="0"/>
    <m/>
    <m/>
    <m/>
  </r>
  <r>
    <s v="AB320YQ"/>
    <s v="B66 - ATEGO 2426"/>
    <s v="2MC"/>
    <s v="2MC"/>
    <n v="0.75"/>
    <s v="Cambio De Aceite Y Filtro De Motor"/>
    <d v="2025-03-29T00:00:00"/>
    <n v="24484.400000000001"/>
    <n v="44484.4"/>
    <n v="12540.1"/>
    <n v="7459.8999999999978"/>
    <n v="37024.5"/>
    <n v="202"/>
    <n v="67.727480916030515"/>
    <n v="120.1664899003995"/>
    <d v="2025-10-17T00:00:00"/>
    <n v="20000"/>
    <d v="2026-02-14T03:59:45"/>
    <d v="2026-02-14T00:00:00"/>
    <s v="febrero"/>
    <s v="Activo"/>
    <m/>
    <m/>
    <s v="C002301"/>
    <s v="FILTRO DE ACEITE 6 CILINDROS MB 1318/1218/1215/914/712/1418/915/815 - MANN HU931/5X"/>
    <n v="1"/>
    <n v="8513.2800000000007"/>
    <n v="8513.2800000000007"/>
    <x v="0"/>
    <m/>
    <m/>
    <m/>
  </r>
  <r>
    <s v="AF088ED"/>
    <s v="958 ATEGO 1726-42 CE"/>
    <s v="2MC"/>
    <s v="2MC"/>
    <n v="0.75"/>
    <s v="Cambio De Aceite Y Filtro De Motor"/>
    <d v="2025-06-19T00:00:00"/>
    <n v="68428.5"/>
    <n v="88428.5"/>
    <n v="5182.2"/>
    <n v="14817.8"/>
    <n v="73610.7"/>
    <n v="120"/>
    <n v="48.244391143911422"/>
    <n v="343.1237698274864"/>
    <d v="2025-10-17T00:00:00"/>
    <n v="20000"/>
    <d v="2026-09-25T02:58:14"/>
    <d v="2026-09-25T00:00:00"/>
    <s v="septiembre"/>
    <s v="Activo"/>
    <m/>
    <m/>
    <s v="C000313"/>
    <s v="ACEITE 15W40 XV300 X 205LT (TAMBOR)"/>
    <n v="16"/>
    <n v="3389.9"/>
    <n v="54238.400000000001"/>
    <x v="1"/>
    <m/>
    <m/>
    <m/>
  </r>
  <r>
    <s v="AF088ED"/>
    <s v="958 ATEGO 1726-42 CE"/>
    <s v="2MC"/>
    <s v="2MC"/>
    <n v="0.75"/>
    <s v="Cambio De Aceite Y Filtro De Motor"/>
    <d v="2025-06-19T00:00:00"/>
    <n v="68428.5"/>
    <n v="88428.5"/>
    <n v="5182.2"/>
    <n v="14817.8"/>
    <n v="73610.7"/>
    <n v="120"/>
    <n v="48.244391143911422"/>
    <n v="343.1237698274864"/>
    <d v="2025-10-17T00:00:00"/>
    <n v="20000"/>
    <d v="2026-09-25T02:58:14"/>
    <d v="2026-09-25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AF338VO"/>
    <s v="ATEGO 1419"/>
    <s v="2MC"/>
    <s v="2MC"/>
    <n v="0.75"/>
    <s v="Cambio De Aceite Y Filtro De Motor"/>
    <s v="-"/>
    <m/>
    <m/>
    <m/>
    <m/>
    <m/>
    <m/>
    <n v="51.09303703703705"/>
    <m/>
    <d v="2025-10-17T00:00:00"/>
    <n v="20000"/>
    <d v="2026-11-12T10:37:35"/>
    <d v="2026-11-12T00:00:00"/>
    <s v="noviembre"/>
    <s v="Activo"/>
    <m/>
    <m/>
    <s v="C000313"/>
    <s v="ACEITE 15W40 XV300 X 205LT (TAMBOR)"/>
    <n v="16"/>
    <n v="3389.9"/>
    <n v="54238.400000000001"/>
    <x v="1"/>
    <m/>
    <m/>
    <m/>
  </r>
  <r>
    <s v="AF338VO"/>
    <s v="ATEGO 1419"/>
    <s v="2MC"/>
    <s v="2MC"/>
    <n v="0.75"/>
    <s v="Cambio De Aceite Y Filtro De Motor"/>
    <s v="-"/>
    <m/>
    <m/>
    <m/>
    <m/>
    <m/>
    <m/>
    <n v="51.09303703703705"/>
    <m/>
    <d v="2025-10-17T00:00:00"/>
    <n v="20000"/>
    <d v="2026-11-12T10:37:35"/>
    <d v="2026-11-12T00:00:00"/>
    <s v="noviembre"/>
    <s v="Activo"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AF364MN"/>
    <s v="ATEGO 1419"/>
    <s v="2MC"/>
    <s v="2MC"/>
    <n v="0.75"/>
    <s v="Cambio De Aceite Y Filtro De Motor"/>
    <d v="2024-06-18T00:00:00"/>
    <n v="38855.1"/>
    <n v="58855.1"/>
    <n v="22989.899999999991"/>
    <n v="-2989.899999999991"/>
    <n v="61844.999999999993"/>
    <n v="486"/>
    <n v="45.422519083969469"/>
    <n v="-63.205642477783549"/>
    <d v="2025-10-17T00:00:00"/>
    <n v="20000"/>
    <d v="2026-12-31T07:26:44"/>
    <d v="2026-12-31T00:00:00"/>
    <s v="diciembre"/>
    <s v="Activo"/>
    <m/>
    <m/>
    <s v="C000313"/>
    <s v="ACEITE 15W40 XV300 X 205LT (TAMBOR)"/>
    <n v="16"/>
    <n v="3389.9"/>
    <n v="54238.400000000001"/>
    <x v="1"/>
    <m/>
    <m/>
    <m/>
  </r>
  <r>
    <s v="AF364MN"/>
    <s v="ATEGO 1419"/>
    <s v="2MC"/>
    <s v="2MC"/>
    <n v="0.75"/>
    <s v="Cambio De Aceite Y Filtro De Motor"/>
    <d v="2024-06-18T00:00:00"/>
    <n v="38855.1"/>
    <n v="58855.1"/>
    <n v="22989.899999999991"/>
    <n v="-2989.899999999991"/>
    <n v="61844.999999999993"/>
    <n v="486"/>
    <n v="45.422519083969469"/>
    <n v="-63.205642477783549"/>
    <d v="2025-10-17T00:00:00"/>
    <n v="20000"/>
    <d v="2026-12-31T07:26:44"/>
    <d v="2026-12-31T00:00:00"/>
    <s v="diciembre"/>
    <s v="Activo"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AF877NC"/>
    <s v="ATEGO 1419 48"/>
    <s v="2MC"/>
    <s v="2MC"/>
    <n v="0.75"/>
    <s v="Cambio De Aceite Y Filtro De Motor"/>
    <d v="2025-06-14T00:00:00"/>
    <n v="71797"/>
    <n v="91797"/>
    <n v="0"/>
    <n v="20000"/>
    <n v="71797"/>
    <n v="125"/>
    <n v="4.7505769230769239"/>
    <n v="200"/>
    <d v="2025-10-17T00:00:00"/>
    <n v="20000"/>
    <d v="2026-05-05T00:00:00"/>
    <d v="2026-05-05T00:00:00"/>
    <s v="mayo"/>
    <s v="Activo"/>
    <m/>
    <m/>
    <s v="C000313"/>
    <s v="ACEITE 15W40 XV300 X 205LT (TAMBOR)"/>
    <n v="16"/>
    <n v="3389.9"/>
    <n v="54238.400000000001"/>
    <x v="2"/>
    <m/>
    <m/>
    <m/>
  </r>
  <r>
    <s v="AF877NC"/>
    <s v="ATEGO 1419 48"/>
    <s v="2MC"/>
    <s v="2MC"/>
    <n v="0.75"/>
    <s v="Cambio De Aceite Y Filtro De Motor"/>
    <d v="2025-06-14T00:00:00"/>
    <n v="71797"/>
    <n v="91797"/>
    <n v="0"/>
    <n v="20000"/>
    <n v="71797"/>
    <n v="125"/>
    <n v="4.7505769230769239"/>
    <n v="200"/>
    <d v="2025-10-17T00:00:00"/>
    <n v="20000"/>
    <d v="2026-05-05T00:00:00"/>
    <d v="2026-05-05T00:00:00"/>
    <s v="mayo"/>
    <s v="Activo"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AG390QD"/>
    <s v="ACCELO 1016 39"/>
    <s v="2MC"/>
    <s v="2MC"/>
    <n v="0.75"/>
    <s v="Cambio De Aceite Y Filtro De Motor"/>
    <d v="2025-03-11T00:00:00"/>
    <n v="15836.3"/>
    <n v="35836.300000000003"/>
    <n v="8775.7000000000007"/>
    <n v="11224.3"/>
    <n v="24612"/>
    <n v="220"/>
    <n v="36.572847682119232"/>
    <n v="281.38450493977678"/>
    <d v="2025-10-17T00:00:00"/>
    <n v="20000"/>
    <d v="2026-07-25T09:13:41"/>
    <d v="2026-07-25T00:00:00"/>
    <s v="julio"/>
    <s v="Activo"/>
    <m/>
    <m/>
    <s v="C000313"/>
    <s v="ACEITE 15W40 XV300 X 205LT (TAMBOR)"/>
    <n v="16"/>
    <n v="3389.9"/>
    <n v="54238.400000000001"/>
    <x v="3"/>
    <m/>
    <m/>
    <m/>
  </r>
  <r>
    <s v="AG390QD"/>
    <s v="ACCELO 1016 39"/>
    <s v="2MC"/>
    <s v="2MC"/>
    <n v="0.75"/>
    <s v="Cambio De Aceite Y Filtro De Motor"/>
    <d v="2025-03-11T00:00:00"/>
    <n v="15836.3"/>
    <n v="35836.300000000003"/>
    <n v="8775.7000000000007"/>
    <n v="11224.3"/>
    <n v="24612"/>
    <n v="220"/>
    <n v="36.572847682119232"/>
    <n v="281.38450493977678"/>
    <d v="2025-10-17T00:00:00"/>
    <n v="20000"/>
    <d v="2026-07-25T09:13:41"/>
    <d v="2026-07-25T00:00:00"/>
    <s v="julio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AG404LX"/>
    <s v="ACCELO 1016 39"/>
    <s v="2MC"/>
    <s v="2MC"/>
    <n v="0.75"/>
    <s v="Cambio De Aceite Y Filtro De Motor"/>
    <d v="2025-03-12T00:00:00"/>
    <n v="16579.5"/>
    <n v="36579.5"/>
    <n v="8515.1999999999989"/>
    <n v="11484.8"/>
    <n v="25094.7"/>
    <n v="219"/>
    <n v="35.248013245033107"/>
    <n v="295.37429537767758"/>
    <d v="2025-10-17T00:00:00"/>
    <n v="20000"/>
    <d v="2026-08-08T08:58:59"/>
    <d v="2026-08-08T00:00:00"/>
    <s v="agosto"/>
    <s v="Activo"/>
    <m/>
    <m/>
    <s v="C000313"/>
    <s v="ACEITE 15W40 XV300 X 205LT (TAMBOR)"/>
    <n v="16"/>
    <n v="3389.9"/>
    <n v="54238.400000000001"/>
    <x v="3"/>
    <m/>
    <m/>
    <m/>
  </r>
  <r>
    <s v="AG404LX"/>
    <s v="ACCELO 1016 39"/>
    <s v="2MC"/>
    <s v="2MC"/>
    <n v="0.75"/>
    <s v="Cambio De Aceite Y Filtro De Motor"/>
    <d v="2025-03-12T00:00:00"/>
    <n v="16579.5"/>
    <n v="36579.5"/>
    <n v="8515.1999999999989"/>
    <n v="11484.8"/>
    <n v="25094.7"/>
    <n v="219"/>
    <n v="35.248013245033107"/>
    <n v="295.37429537767758"/>
    <d v="2025-10-17T00:00:00"/>
    <n v="20000"/>
    <d v="2026-08-08T08:58:59"/>
    <d v="2026-08-08T00:00:00"/>
    <s v="agosto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BVH267"/>
    <n v="914"/>
    <s v="2MC"/>
    <s v="2MC"/>
    <n v="0.75"/>
    <s v="Cambio De Aceite Y Filtro De Motor"/>
    <d v="2024-08-26T00:00:00"/>
    <n v="297464"/>
    <n v="317464"/>
    <n v="23030.169999999991"/>
    <n v="-3030.1699999999951"/>
    <n v="320494.17"/>
    <n v="417"/>
    <n v="48.157370129870131"/>
    <n v="-54.866329254191257"/>
    <d v="2025-10-17T00:00:00"/>
    <n v="20000"/>
    <d v="2026-12-06T07:19:18"/>
    <d v="2026-12-06T00:00:00"/>
    <s v="diciembre"/>
    <s v="Activo"/>
    <m/>
    <m/>
    <s v="C000313"/>
    <s v="ACEITE 15W40 XV300 X 205LT (TAMBOR)"/>
    <n v="16"/>
    <n v="3389.9"/>
    <n v="54238.400000000001"/>
    <x v="4"/>
    <m/>
    <m/>
    <m/>
  </r>
  <r>
    <s v="BVH267"/>
    <n v="914"/>
    <s v="2MC"/>
    <s v="2MC"/>
    <n v="0.75"/>
    <s v="Cambio De Aceite Y Filtro De Motor"/>
    <d v="2024-08-26T00:00:00"/>
    <n v="297464"/>
    <n v="317464"/>
    <n v="23030.169999999991"/>
    <n v="-3030.1699999999951"/>
    <n v="320494.17"/>
    <n v="417"/>
    <n v="48.157370129870131"/>
    <n v="-54.866329254191257"/>
    <d v="2025-10-17T00:00:00"/>
    <n v="20000"/>
    <d v="2026-12-06T07:19:18"/>
    <d v="2026-12-06T00:00:00"/>
    <s v="diciembre"/>
    <s v="Activo"/>
    <m/>
    <m/>
    <s v="C002301"/>
    <s v="FILTRO DE ACEITE 6 CILINDROS MB 1318/1218/1215/914/712/1418/915/815 - MANN HU931/5X"/>
    <n v="1"/>
    <n v="8513.2800000000007"/>
    <n v="8513.2800000000007"/>
    <x v="4"/>
    <m/>
    <m/>
    <m/>
  </r>
  <r>
    <s v="CVF923"/>
    <n v="712"/>
    <s v="2MC"/>
    <s v="2MC"/>
    <n v="0.75"/>
    <s v="Cambio De Aceite Y Filtro De Motor"/>
    <d v="2025-05-21T00:00:00"/>
    <n v="32992.1"/>
    <n v="52992.1"/>
    <n v="9749.2999999999993"/>
    <n v="10250.700000000001"/>
    <n v="42741.399999999987"/>
    <n v="149"/>
    <n v="52.850396039603943"/>
    <n v="156.6629706748177"/>
    <d v="2025-10-17T00:00:00"/>
    <n v="20000"/>
    <d v="2026-03-22T15:54:41"/>
    <d v="2026-03-22T00:00:00"/>
    <s v="marzo"/>
    <s v="Activo"/>
    <m/>
    <m/>
    <s v="C000313"/>
    <s v="ACEITE 15W40 XV300 X 205LT (TAMBOR)"/>
    <n v="16"/>
    <n v="3389.9"/>
    <n v="54238.400000000001"/>
    <x v="5"/>
    <m/>
    <m/>
    <m/>
  </r>
  <r>
    <s v="CVF923"/>
    <n v="712"/>
    <s v="2MC"/>
    <s v="2MC"/>
    <n v="0.75"/>
    <s v="Cambio De Aceite Y Filtro De Motor"/>
    <d v="2025-05-21T00:00:00"/>
    <n v="32992.1"/>
    <n v="52992.1"/>
    <n v="9749.2999999999993"/>
    <n v="10250.700000000001"/>
    <n v="42741.399999999987"/>
    <n v="149"/>
    <n v="52.850396039603943"/>
    <n v="156.6629706748177"/>
    <d v="2025-10-17T00:00:00"/>
    <n v="20000"/>
    <d v="2026-03-22T15:54:41"/>
    <d v="2026-03-22T00:00:00"/>
    <s v="marzo"/>
    <s v="Activo"/>
    <m/>
    <m/>
    <s v="C002301"/>
    <s v="FILTRO DE ACEITE 6 CILINDROS MB 1318/1218/1215/914/712/1418/915/815 - MANN HU931/5X"/>
    <n v="1"/>
    <n v="8513.2800000000007"/>
    <n v="8513.2800000000007"/>
    <x v="5"/>
    <m/>
    <m/>
    <m/>
  </r>
  <r>
    <s v="DLW395"/>
    <n v="1215"/>
    <s v="2MC"/>
    <s v="2MC"/>
    <n v="0.75"/>
    <s v="Cambio De Aceite Y Filtro De Motor"/>
    <d v="2025-07-03T00:00:00"/>
    <n v="16065.4"/>
    <n v="36065.4"/>
    <n v="5233.4000000000005"/>
    <n v="14766.6"/>
    <n v="21298.799999999999"/>
    <n v="106"/>
    <n v="61.480495049504917"/>
    <n v="299.09038101425449"/>
    <d v="2025-10-17T00:00:00"/>
    <n v="20000"/>
    <d v="2026-08-12T02:10:09"/>
    <d v="2026-08-12T00:00:00"/>
    <s v="agosto"/>
    <s v="Activo"/>
    <m/>
    <m/>
    <s v="C000313"/>
    <s v="ACEITE 15W40 XV300 X 205LT (TAMBOR)"/>
    <n v="16"/>
    <n v="3389.9"/>
    <n v="54238.400000000001"/>
    <x v="5"/>
    <m/>
    <m/>
    <m/>
  </r>
  <r>
    <s v="DLW395"/>
    <n v="1215"/>
    <s v="2MC"/>
    <s v="2MC"/>
    <n v="0.75"/>
    <s v="Cambio De Aceite Y Filtro De Motor"/>
    <d v="2025-07-03T00:00:00"/>
    <n v="16065.4"/>
    <n v="36065.4"/>
    <n v="5233.4000000000005"/>
    <n v="14766.6"/>
    <n v="21298.799999999999"/>
    <n v="106"/>
    <n v="61.480495049504917"/>
    <n v="299.09038101425449"/>
    <d v="2025-10-17T00:00:00"/>
    <n v="20000"/>
    <d v="2026-08-12T02:10:09"/>
    <d v="2026-08-12T00:00:00"/>
    <s v="agosto"/>
    <s v="Activo"/>
    <m/>
    <m/>
    <s v="C002301"/>
    <s v="FILTRO DE ACEITE 6 CILINDROS MB 1318/1218/1215/914/712/1418/915/815 - MANN HU931/5X"/>
    <n v="1"/>
    <n v="8513.2800000000007"/>
    <n v="8513.2800000000007"/>
    <x v="5"/>
    <m/>
    <m/>
    <m/>
  </r>
  <r>
    <s v="FCD324"/>
    <n v="710"/>
    <s v="2MC"/>
    <s v="2MC"/>
    <n v="0.75"/>
    <s v="Cambio De Aceite Y Filtro De Motor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04-26T10:27:25"/>
    <d v="2026-04-26T00:00:00"/>
    <s v="abril"/>
    <s v="Activo"/>
    <m/>
    <m/>
    <s v="C000313"/>
    <s v="ACEITE 15W40 XV300 X 205LT (TAMBOR)"/>
    <n v="16"/>
    <n v="3389.9"/>
    <n v="54238.400000000001"/>
    <x v="6"/>
    <m/>
    <m/>
    <m/>
  </r>
  <r>
    <s v="FCD324"/>
    <n v="710"/>
    <s v="2MC"/>
    <s v="2MC"/>
    <n v="0.75"/>
    <s v="Cambio De Aceite Y Filtro De Motor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04-26T10:27:25"/>
    <d v="2026-04-26T00:00:00"/>
    <s v="abril"/>
    <s v="Activo"/>
    <m/>
    <m/>
    <s v="C002301"/>
    <s v="FILTRO DE ACEITE 6 CILINDROS MB 1318/1218/1215/914/712/1418/915/815 - MANN HU931/5X"/>
    <n v="1"/>
    <n v="8513.2800000000007"/>
    <n v="8513.2800000000007"/>
    <x v="6"/>
    <m/>
    <m/>
    <m/>
  </r>
  <r>
    <s v="FGV321"/>
    <n v="1218"/>
    <s v="2MC"/>
    <s v="2MC"/>
    <n v="0.75"/>
    <s v="Cambio De Aceite Y Filtro De Motor"/>
    <d v="2025-04-22T00:00:00"/>
    <n v="302541"/>
    <n v="322541"/>
    <n v="8078.8000000000029"/>
    <n v="11921.2"/>
    <n v="310619.8"/>
    <n v="178"/>
    <n v="40.451193548387103"/>
    <n v="262.6595038867157"/>
    <d v="2025-10-17T00:00:00"/>
    <n v="20000"/>
    <d v="2026-07-06T15:49:41"/>
    <d v="2026-07-06T00:00:00"/>
    <s v="julio"/>
    <s v="Activo"/>
    <m/>
    <m/>
    <s v="C000313"/>
    <s v="ACEITE 15W40 XV300 X 205LT (TAMBOR)"/>
    <n v="16"/>
    <n v="3389.9"/>
    <n v="54238.400000000001"/>
    <x v="7"/>
    <m/>
    <m/>
    <m/>
  </r>
  <r>
    <s v="FGV321"/>
    <n v="1218"/>
    <s v="2MC"/>
    <s v="2MC"/>
    <n v="0.75"/>
    <s v="Cambio De Aceite Y Filtro De Motor"/>
    <d v="2025-04-22T00:00:00"/>
    <n v="302541"/>
    <n v="322541"/>
    <n v="8078.8000000000029"/>
    <n v="11921.2"/>
    <n v="310619.8"/>
    <n v="178"/>
    <n v="40.451193548387103"/>
    <n v="262.6595038867157"/>
    <d v="2025-10-17T00:00:00"/>
    <n v="20000"/>
    <d v="2026-07-06T15:49:41"/>
    <d v="2026-07-06T00:00:00"/>
    <s v="julio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FJT707"/>
    <n v="1218"/>
    <s v="2MC"/>
    <s v="2MC"/>
    <n v="0.75"/>
    <s v="Cambio De Aceite Y Filtro De Motor"/>
    <d v="2024-11-21T00:00:00"/>
    <n v="17571.7"/>
    <n v="37571.699999999997"/>
    <n v="31178.54"/>
    <n v="-11178.54"/>
    <n v="48750.239999999998"/>
    <n v="330"/>
    <n v="86.918456591639867"/>
    <n v="-118.3159378213348"/>
    <d v="2025-10-17T00:00:00"/>
    <n v="20000"/>
    <d v="2026-06-04T02:25:03"/>
    <d v="2026-06-04T00:00:00"/>
    <s v="junio"/>
    <s v="Activo"/>
    <m/>
    <m/>
    <s v="C000313"/>
    <s v="ACEITE 15W40 XV300 X 205LT (TAMBOR)"/>
    <n v="16"/>
    <n v="3389.9"/>
    <n v="54238.400000000001"/>
    <x v="6"/>
    <m/>
    <m/>
    <m/>
  </r>
  <r>
    <s v="FJT707"/>
    <n v="1218"/>
    <s v="2MC"/>
    <s v="2MC"/>
    <n v="0.75"/>
    <s v="Cambio De Aceite Y Filtro De Motor"/>
    <d v="2024-11-21T00:00:00"/>
    <n v="17571.7"/>
    <n v="37571.699999999997"/>
    <n v="31178.54"/>
    <n v="-11178.54"/>
    <n v="48750.239999999998"/>
    <n v="330"/>
    <n v="86.918456591639867"/>
    <n v="-118.3159378213348"/>
    <d v="2025-10-17T00:00:00"/>
    <n v="20000"/>
    <d v="2026-06-04T02:25:03"/>
    <d v="2026-06-04T00:00:00"/>
    <s v="junio"/>
    <s v="Activo"/>
    <m/>
    <m/>
    <s v="C002301"/>
    <s v="FILTRO DE ACEITE 6 CILINDROS MB 1318/1218/1215/914/712/1418/915/815 - MANN HU931/5X"/>
    <n v="1"/>
    <n v="8513.2800000000007"/>
    <n v="8513.2800000000007"/>
    <x v="6"/>
    <m/>
    <m/>
    <m/>
  </r>
  <r>
    <s v="GYB034"/>
    <n v="710"/>
    <s v="2MC"/>
    <s v="2MC"/>
    <n v="0.75"/>
    <s v="Cambio De Aceite Y Filtro De Motor"/>
    <d v="2024-03-27T00:00:00"/>
    <n v="202420"/>
    <n v="222420"/>
    <n v="36588.559999999939"/>
    <n v="-16588.559999999939"/>
    <n v="239008.55999999991"/>
    <n v="569"/>
    <n v="69.022379421221856"/>
    <n v="-257.97382132557232"/>
    <d v="2025-10-17T00:00:00"/>
    <n v="20000"/>
    <d v="2026-08-02T18:15:58"/>
    <d v="2026-08-02T00:00:00"/>
    <s v="agosto"/>
    <s v="Activo"/>
    <m/>
    <m/>
    <s v="C000313"/>
    <s v="ACEITE 15W40 XV300 X 205LT (TAMBOR)"/>
    <n v="16"/>
    <n v="3389.9"/>
    <n v="54238.400000000001"/>
    <x v="6"/>
    <m/>
    <m/>
    <m/>
  </r>
  <r>
    <s v="GYB034"/>
    <n v="710"/>
    <s v="2MC"/>
    <s v="2MC"/>
    <n v="0.75"/>
    <s v="Cambio De Aceite Y Filtro De Motor"/>
    <d v="2024-03-27T00:00:00"/>
    <n v="202420"/>
    <n v="222420"/>
    <n v="36588.559999999939"/>
    <n v="-16588.559999999939"/>
    <n v="239008.55999999991"/>
    <n v="569"/>
    <n v="69.022379421221856"/>
    <n v="-257.97382132557232"/>
    <d v="2025-10-17T00:00:00"/>
    <n v="20000"/>
    <d v="2026-08-02T18:15:58"/>
    <d v="2026-08-02T00:00:00"/>
    <s v="agosto"/>
    <s v="Activo"/>
    <m/>
    <m/>
    <s v="C002301"/>
    <s v="FILTRO DE ACEITE 6 CILINDROS MB 1318/1218/1215/914/712/1418/915/815 - MANN HU931/5X"/>
    <n v="1"/>
    <n v="8513.2800000000007"/>
    <n v="8513.2800000000007"/>
    <x v="6"/>
    <m/>
    <m/>
    <m/>
  </r>
  <r>
    <s v="IVD940"/>
    <s v="ATEGO 1418/48 FRONTAL"/>
    <s v="2MC"/>
    <s v="2MC"/>
    <n v="0.75"/>
    <s v="Cambio De Aceite Y Filtro De Motor"/>
    <d v="2025-03-26T00:00:00"/>
    <n v="283696"/>
    <n v="303696"/>
    <n v="7346.0000000000036"/>
    <n v="12654"/>
    <n v="291042"/>
    <n v="205"/>
    <n v="34.247774193548388"/>
    <n v="353.12687176694772"/>
    <d v="2025-10-17T00:00:00"/>
    <n v="20000"/>
    <d v="2026-10-05T03:02:42"/>
    <d v="2026-10-05T00:00:00"/>
    <s v="octubre"/>
    <s v="Activo"/>
    <m/>
    <m/>
    <s v="C000313"/>
    <s v="ACEITE 15W40 XV300 X 205LT (TAMBOR)"/>
    <n v="16"/>
    <n v="3389.9"/>
    <n v="54238.400000000001"/>
    <x v="7"/>
    <m/>
    <m/>
    <m/>
  </r>
  <r>
    <s v="IVD940"/>
    <s v="ATEGO 1418/48 FRONTAL"/>
    <s v="2MC"/>
    <s v="2MC"/>
    <n v="0.75"/>
    <s v="Cambio De Aceite Y Filtro De Motor"/>
    <d v="2025-03-26T00:00:00"/>
    <n v="283696"/>
    <n v="303696"/>
    <n v="7346.0000000000036"/>
    <n v="12654"/>
    <n v="291042"/>
    <n v="205"/>
    <n v="34.247774193548388"/>
    <n v="353.12687176694772"/>
    <d v="2025-10-17T00:00:00"/>
    <n v="20000"/>
    <d v="2026-10-05T03:02:42"/>
    <d v="2026-10-05T00:00:00"/>
    <s v="octubre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IVD941"/>
    <s v="ATEGO 1418/48 FRONTAL"/>
    <s v="2MC"/>
    <s v="2MC"/>
    <n v="0.75"/>
    <s v="Cambio De Aceite Y Filtro De Motor"/>
    <d v="2025-07-04T00:00:00"/>
    <n v="227732"/>
    <n v="247732"/>
    <n v="5333.9000000000024"/>
    <n v="14666.1"/>
    <n v="233065.9"/>
    <n v="105"/>
    <n v="40.479774193548408"/>
    <n v="288.70816850709599"/>
    <d v="2025-10-17T00:00:00"/>
    <n v="20000"/>
    <d v="2026-08-01T16:59:46"/>
    <d v="2026-08-01T00:00:00"/>
    <s v="agosto"/>
    <s v="Activo"/>
    <m/>
    <m/>
    <s v="C000313"/>
    <s v="ACEITE 15W40 XV300 X 205LT (TAMBOR)"/>
    <n v="16"/>
    <n v="3389.9"/>
    <n v="54238.400000000001"/>
    <x v="7"/>
    <m/>
    <m/>
    <m/>
  </r>
  <r>
    <s v="IVD941"/>
    <s v="ATEGO 1418/48 FRONTAL"/>
    <s v="2MC"/>
    <s v="2MC"/>
    <n v="0.75"/>
    <s v="Cambio De Aceite Y Filtro De Motor"/>
    <d v="2025-07-04T00:00:00"/>
    <n v="227732"/>
    <n v="247732"/>
    <n v="5333.9000000000024"/>
    <n v="14666.1"/>
    <n v="233065.9"/>
    <n v="105"/>
    <n v="40.479774193548408"/>
    <n v="288.70816850709599"/>
    <d v="2025-10-17T00:00:00"/>
    <n v="20000"/>
    <d v="2026-08-01T16:59:46"/>
    <d v="2026-08-01T00:00:00"/>
    <s v="agosto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JKQ773"/>
    <s v="ATEGO 1418/48 FRONTAL"/>
    <s v="2MC"/>
    <s v="2MC"/>
    <n v="0.75"/>
    <s v="Cambio De Aceite Y Filtro De Motor"/>
    <d v="2025-05-13T00:00:00"/>
    <n v="237476"/>
    <n v="257476"/>
    <n v="6287.2000000000007"/>
    <n v="13712.8"/>
    <n v="243763.20000000001"/>
    <n v="157"/>
    <n v="36.85391585760523"/>
    <n v="342.42740806718399"/>
    <d v="2025-10-17T00:00:00"/>
    <n v="20000"/>
    <d v="2026-09-24T10:15:28"/>
    <d v="2026-09-24T00:00:00"/>
    <s v="septiembre"/>
    <s v="Activo"/>
    <m/>
    <m/>
    <s v="C000313"/>
    <s v="ACEITE 15W40 XV300 X 205LT (TAMBOR)"/>
    <n v="15"/>
    <n v="3389.9"/>
    <n v="50848.5"/>
    <x v="8"/>
    <m/>
    <m/>
    <m/>
  </r>
  <r>
    <s v="JKQ773"/>
    <s v="ATEGO 1418/48 FRONTAL"/>
    <s v="2MC"/>
    <s v="2MC"/>
    <n v="0.75"/>
    <s v="Cambio De Aceite Y Filtro De Motor"/>
    <d v="2025-05-13T00:00:00"/>
    <n v="237476"/>
    <n v="257476"/>
    <n v="6287.2000000000007"/>
    <n v="13712.8"/>
    <n v="243763.20000000001"/>
    <n v="157"/>
    <n v="36.85391585760523"/>
    <n v="342.42740806718399"/>
    <d v="2025-10-17T00:00:00"/>
    <n v="20000"/>
    <d v="2026-09-24T10:15:28"/>
    <d v="2026-09-24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JKQ774"/>
    <s v="ATEGO 1418/48 FRONTAL"/>
    <s v="2MC"/>
    <s v="2MC"/>
    <n v="0.75"/>
    <s v="Cambio De Aceite Y Filtro De Motor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08-02T21:02:13"/>
    <d v="2026-08-02T00:00:00"/>
    <s v="agosto"/>
    <s v="Activo"/>
    <m/>
    <m/>
    <s v="C000313"/>
    <s v="ACEITE 15W40 XV300 X 205LT (TAMBOR)"/>
    <n v="16"/>
    <n v="3389.9"/>
    <n v="54238.400000000001"/>
    <x v="7"/>
    <m/>
    <m/>
    <m/>
  </r>
  <r>
    <s v="JKQ774"/>
    <s v="ATEGO 1418/48 FRONTAL"/>
    <s v="2MC"/>
    <s v="2MC"/>
    <n v="0.75"/>
    <s v="Cambio De Aceite Y Filtro De Motor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08-02T21:02:13"/>
    <d v="2026-08-02T00:00:00"/>
    <s v="agosto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JXZ992"/>
    <s v="ATEGO 1418/48 FRONTAL"/>
    <s v="2MC"/>
    <s v="2MC"/>
    <n v="0.75"/>
    <s v="Cambio De Aceite Y Filtro De Motor"/>
    <d v="2024-12-30T00:00:00"/>
    <n v="216285"/>
    <n v="236285"/>
    <n v="9057.0900000000038"/>
    <n v="10942.91"/>
    <n v="225342.09"/>
    <n v="291"/>
    <n v="33.420996309963101"/>
    <n v="351.59050092248151"/>
    <d v="2025-10-17T00:00:00"/>
    <n v="20000"/>
    <d v="2026-10-03T14:10:19"/>
    <d v="2026-10-03T00:00:00"/>
    <s v="octubre"/>
    <s v="Activo"/>
    <m/>
    <m/>
    <s v="C000313"/>
    <s v="ACEITE 15W40 XV300 X 205LT (TAMBOR)"/>
    <n v="16"/>
    <n v="3389.9"/>
    <n v="54238.400000000001"/>
    <x v="7"/>
    <m/>
    <m/>
    <m/>
  </r>
  <r>
    <s v="JXZ992"/>
    <s v="ATEGO 1418/48 FRONTAL"/>
    <s v="2MC"/>
    <s v="2MC"/>
    <n v="0.75"/>
    <s v="Cambio De Aceite Y Filtro De Motor"/>
    <d v="2024-12-30T00:00:00"/>
    <n v="216285"/>
    <n v="236285"/>
    <n v="9057.0900000000038"/>
    <n v="10942.91"/>
    <n v="225342.09"/>
    <n v="291"/>
    <n v="33.420996309963101"/>
    <n v="351.59050092248151"/>
    <d v="2025-10-17T00:00:00"/>
    <n v="20000"/>
    <d v="2026-10-03T14:10:19"/>
    <d v="2026-10-03T00:00:00"/>
    <s v="octubre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KHS009"/>
    <s v="ATRON 1720/48  FRONTAL"/>
    <s v="2MC"/>
    <s v="2MC"/>
    <n v="0.75"/>
    <s v="Cambio De Aceite Y Filtro De Motor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1-05T01:54:37"/>
    <d v="2026-01-05T00:00:00"/>
    <s v="enero"/>
    <s v="Activo"/>
    <m/>
    <m/>
    <s v="C000313"/>
    <s v="ACEITE 15W40 XV300 X 205LT (TAMBOR)"/>
    <n v="16"/>
    <n v="3389.9"/>
    <n v="54238.400000000001"/>
    <x v="2"/>
    <m/>
    <m/>
    <m/>
  </r>
  <r>
    <s v="KHS009"/>
    <s v="ATRON 1720/48  FRONTAL"/>
    <s v="2MC"/>
    <s v="2MC"/>
    <n v="0.75"/>
    <s v="Cambio De Aceite Y Filtro De Motor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1-05T01:54:37"/>
    <d v="2026-01-05T00:00:00"/>
    <s v="enero"/>
    <s v="Activo"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KHS012"/>
    <s v="ATEGO 1418/48 FRONTAL"/>
    <s v="2MC"/>
    <s v="2MC"/>
    <n v="0.75"/>
    <s v="Cambio De Aceite Y Filtro De Motor"/>
    <d v="2024-11-07T00:00:00"/>
    <n v="342438"/>
    <n v="362438"/>
    <n v="22886.28"/>
    <n v="-2886.280000000002"/>
    <n v="365324.28"/>
    <n v="344"/>
    <n v="66.651970260223024"/>
    <n v="-43.383211251457233"/>
    <d v="2025-10-17T00:00:00"/>
    <n v="20000"/>
    <d v="2026-08-13T01:35:15"/>
    <d v="2026-08-13T00:00:00"/>
    <s v="agosto"/>
    <s v="Activo"/>
    <m/>
    <m/>
    <s v="C000313"/>
    <s v="ACEITE 15W40 XV300 X 205LT (TAMBOR)"/>
    <n v="16"/>
    <n v="3389.9"/>
    <n v="54238.400000000001"/>
    <x v="9"/>
    <m/>
    <m/>
    <m/>
  </r>
  <r>
    <s v="KHS012"/>
    <s v="ATEGO 1418/48 FRONTAL"/>
    <s v="2MC"/>
    <s v="2MC"/>
    <n v="0.75"/>
    <s v="Cambio De Aceite Y Filtro De Motor"/>
    <d v="2024-11-07T00:00:00"/>
    <n v="342438"/>
    <n v="362438"/>
    <n v="22886.28"/>
    <n v="-2886.280000000002"/>
    <n v="365324.28"/>
    <n v="344"/>
    <n v="66.651970260223024"/>
    <n v="-43.383211251457233"/>
    <d v="2025-10-17T00:00:00"/>
    <n v="20000"/>
    <d v="2026-08-13T01:35:15"/>
    <d v="2026-08-13T00:00:00"/>
    <s v="agosto"/>
    <s v="Activo"/>
    <m/>
    <m/>
    <s v="C002301"/>
    <s v="FILTRO DE ACEITE 6 CILINDROS MB 1318/1218/1215/914/712/1418/915/815 - MANN HU931/5X"/>
    <n v="1"/>
    <n v="8513.2800000000007"/>
    <n v="8513.2800000000007"/>
    <x v="9"/>
    <m/>
    <m/>
    <m/>
  </r>
  <r>
    <s v="KKI233"/>
    <s v="ATRON 1720/48  FRONTAL"/>
    <s v="2MC"/>
    <s v="2MC"/>
    <n v="0.75"/>
    <s v="Cambio De Aceite Y Filtro De Motor"/>
    <d v="2025-07-25T00:00:00"/>
    <n v="474074"/>
    <n v="494074"/>
    <n v="5983.7999999999993"/>
    <n v="14016.2"/>
    <n v="480057.8"/>
    <n v="84"/>
    <n v="63.859032258064524"/>
    <n v="196.7580467261607"/>
    <d v="2025-10-17T00:00:00"/>
    <n v="20000"/>
    <d v="2026-05-01T18:11:35"/>
    <d v="2026-05-01T00:00:00"/>
    <s v="mayo"/>
    <s v="Activo"/>
    <m/>
    <m/>
    <s v="C000313"/>
    <s v="ACEITE 15W40 XV300 X 205LT (TAMBOR)"/>
    <n v="16"/>
    <n v="3389.9"/>
    <n v="54238.400000000001"/>
    <x v="10"/>
    <m/>
    <m/>
    <m/>
  </r>
  <r>
    <s v="KKI233"/>
    <s v="ATRON 1720/48  FRONTAL"/>
    <s v="2MC"/>
    <s v="2MC"/>
    <n v="0.75"/>
    <s v="Cambio De Aceite Y Filtro De Motor"/>
    <d v="2025-07-25T00:00:00"/>
    <n v="474074"/>
    <n v="494074"/>
    <n v="5983.7999999999993"/>
    <n v="14016.2"/>
    <n v="480057.8"/>
    <n v="84"/>
    <n v="63.859032258064524"/>
    <n v="196.7580467261607"/>
    <d v="2025-10-17T00:00:00"/>
    <n v="20000"/>
    <d v="2026-05-01T18:11:35"/>
    <d v="2026-05-01T00:00:00"/>
    <s v="mayo"/>
    <s v="Activo"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NIE146"/>
    <s v="ATRON 1720/48  FRONTAL"/>
    <s v="2MC"/>
    <s v="2MC"/>
    <n v="0.75"/>
    <s v="Cambio De Aceite Y Filtro De Motor"/>
    <d v="2024-10-22T00:00:00"/>
    <n v="502203"/>
    <n v="522203"/>
    <n v="14467.7"/>
    <n v="5532.3000000000047"/>
    <n v="516670.7"/>
    <n v="360"/>
    <n v="33.863782051282037"/>
    <n v="137.66030536989311"/>
    <d v="2025-10-17T00:00:00"/>
    <n v="20000"/>
    <d v="2026-03-03T15:50:50"/>
    <d v="2026-03-03T00:00:00"/>
    <s v="marzo"/>
    <s v="Activo"/>
    <m/>
    <m/>
    <s v="C000313"/>
    <s v="ACEITE 15W40 XV300 X 205LT (TAMBOR)"/>
    <n v="16"/>
    <n v="3389.9"/>
    <n v="54238.400000000001"/>
    <x v="1"/>
    <m/>
    <m/>
    <m/>
  </r>
  <r>
    <s v="NIE146"/>
    <s v="ATRON 1720/48  FRONTAL"/>
    <s v="2MC"/>
    <s v="2MC"/>
    <n v="0.75"/>
    <s v="Cambio De Aceite Y Filtro De Motor"/>
    <d v="2024-10-22T00:00:00"/>
    <n v="502203"/>
    <n v="522203"/>
    <n v="14467.7"/>
    <n v="5532.3000000000047"/>
    <n v="516670.7"/>
    <n v="360"/>
    <n v="33.863782051282037"/>
    <n v="137.66030536989311"/>
    <d v="2025-10-17T00:00:00"/>
    <n v="20000"/>
    <d v="2026-03-03T15:50:50"/>
    <d v="2026-03-03T00:00:00"/>
    <s v="marzo"/>
    <s v="Activo"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NIE147"/>
    <s v="ATRON 1720/48  FRONTAL"/>
    <s v="2MC"/>
    <s v="2MC"/>
    <n v="0.75"/>
    <s v="Cambio De Aceite Y Filtro De Motor"/>
    <d v="2025-06-03T00:00:00"/>
    <n v="309592"/>
    <n v="329592"/>
    <n v="5644.7999999999975"/>
    <n v="14355.2"/>
    <n v="315236.8"/>
    <n v="136"/>
    <n v="34.71594771241827"/>
    <n v="345.8594104308392"/>
    <d v="2025-10-17T00:00:00"/>
    <n v="20000"/>
    <d v="2026-09-27T20:37:33"/>
    <d v="2026-09-27T00:00:00"/>
    <s v="septiembre"/>
    <s v="Activo"/>
    <m/>
    <m/>
    <s v="C000313"/>
    <s v="ACEITE 15W40 XV300 X 205LT (TAMBOR)"/>
    <n v="16"/>
    <n v="3389.9"/>
    <n v="54238.400000000001"/>
    <x v="1"/>
    <m/>
    <m/>
    <m/>
  </r>
  <r>
    <s v="NIE147"/>
    <s v="ATRON 1720/48  FRONTAL"/>
    <s v="2MC"/>
    <s v="2MC"/>
    <n v="0.75"/>
    <s v="Cambio De Aceite Y Filtro De Motor"/>
    <d v="2025-06-03T00:00:00"/>
    <n v="309592"/>
    <n v="329592"/>
    <n v="5644.7999999999975"/>
    <n v="14355.2"/>
    <n v="315236.8"/>
    <n v="136"/>
    <n v="34.71594771241827"/>
    <n v="345.8594104308392"/>
    <d v="2025-10-17T00:00:00"/>
    <n v="20000"/>
    <d v="2026-09-27T20:37:33"/>
    <d v="2026-09-27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NIE150"/>
    <s v="ATRON 1720/48  FRONTAL"/>
    <s v="2MC"/>
    <s v="2MC"/>
    <n v="0.75"/>
    <s v="Cambio De Aceite Y Filtro De Motor"/>
    <d v="2025-04-16T00:00:00"/>
    <n v="435565"/>
    <n v="455565"/>
    <n v="16726.900000000001"/>
    <n v="3273.099999999999"/>
    <n v="452291.9"/>
    <n v="184"/>
    <n v="76.02181229773467"/>
    <n v="36.004902283148681"/>
    <d v="2025-10-17T00:00:00"/>
    <n v="20000"/>
    <d v="2026-08-12T02:05:42"/>
    <d v="2026-08-12T00:00:00"/>
    <s v="agosto"/>
    <s v="Activo"/>
    <m/>
    <m/>
    <s v="C000313"/>
    <s v="ACEITE 15W40 XV300 X 205LT (TAMBOR)"/>
    <n v="16"/>
    <n v="3389.9"/>
    <n v="54238.400000000001"/>
    <x v="10"/>
    <m/>
    <m/>
    <m/>
  </r>
  <r>
    <s v="NIE150"/>
    <s v="ATRON 1720/48  FRONTAL"/>
    <s v="2MC"/>
    <s v="2MC"/>
    <n v="0.75"/>
    <s v="Cambio De Aceite Y Filtro De Motor"/>
    <d v="2025-04-16T00:00:00"/>
    <n v="435565"/>
    <n v="455565"/>
    <n v="16726.900000000001"/>
    <n v="3273.099999999999"/>
    <n v="452291.9"/>
    <n v="184"/>
    <n v="76.02181229773467"/>
    <n v="36.004902283148681"/>
    <d v="2025-10-17T00:00:00"/>
    <n v="20000"/>
    <d v="2026-08-12T02:05:42"/>
    <d v="2026-08-12T00:00:00"/>
    <s v="agosto"/>
    <s v="Activo"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OHH586"/>
    <s v="ATRON 1720/48  FRONTAL"/>
    <s v="2MC"/>
    <s v="2MC"/>
    <n v="0.75"/>
    <s v="Cambio De Aceite Y Filtro De Motor"/>
    <d v="2025-03-27T00:00:00"/>
    <n v="123548"/>
    <n v="143548"/>
    <n v="7382.7000000000016"/>
    <n v="12617.3"/>
    <n v="130930.7"/>
    <n v="204"/>
    <n v="33.855032679738592"/>
    <n v="348.64334186679662"/>
    <d v="2025-10-17T00:00:00"/>
    <n v="20000"/>
    <d v="2026-09-30T15:26:25"/>
    <d v="2026-09-30T00:00:00"/>
    <s v="septiembre"/>
    <s v="Activo"/>
    <m/>
    <m/>
    <s v="C000313"/>
    <s v="ACEITE 15W40 XV300 X 205LT (TAMBOR)"/>
    <n v="16"/>
    <n v="3389.9"/>
    <n v="54238.400000000001"/>
    <x v="3"/>
    <m/>
    <m/>
    <m/>
  </r>
  <r>
    <s v="OHH586"/>
    <s v="ATRON 1720/48  FRONTAL"/>
    <s v="2MC"/>
    <s v="2MC"/>
    <n v="0.75"/>
    <s v="Cambio De Aceite Y Filtro De Motor"/>
    <d v="2025-03-27T00:00:00"/>
    <n v="123548"/>
    <n v="143548"/>
    <n v="7382.7000000000016"/>
    <n v="12617.3"/>
    <n v="130930.7"/>
    <n v="204"/>
    <n v="33.855032679738592"/>
    <n v="348.64334186679662"/>
    <d v="2025-10-17T00:00:00"/>
    <n v="20000"/>
    <d v="2026-09-30T15:26:25"/>
    <d v="2026-09-30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HH588"/>
    <s v="ATRON 1720/48  FRONTAL"/>
    <s v="2MC"/>
    <s v="2MC"/>
    <n v="0.75"/>
    <s v="Cambio De Aceite Y Filtro De Motor"/>
    <d v="2025-04-03T00:00:00"/>
    <n v="172612"/>
    <n v="192612"/>
    <n v="9021.2999999999956"/>
    <n v="10978.7"/>
    <n v="181633.3"/>
    <n v="197"/>
    <n v="39.791067961165048"/>
    <n v="239.74414995621501"/>
    <d v="2025-10-17T00:00:00"/>
    <n v="20000"/>
    <d v="2026-06-13T17:51:35"/>
    <d v="2026-06-13T00:00:00"/>
    <s v="junio"/>
    <s v="Activo"/>
    <m/>
    <m/>
    <s v="C000313"/>
    <s v="ACEITE 15W40 XV300 X 205LT (TAMBOR)"/>
    <n v="16"/>
    <n v="3389.9"/>
    <n v="54238.400000000001"/>
    <x v="3"/>
    <m/>
    <m/>
    <m/>
  </r>
  <r>
    <s v="OHH588"/>
    <s v="ATRON 1720/48  FRONTAL"/>
    <s v="2MC"/>
    <s v="2MC"/>
    <n v="0.75"/>
    <s v="Cambio De Aceite Y Filtro De Motor"/>
    <d v="2025-04-03T00:00:00"/>
    <n v="172612"/>
    <n v="192612"/>
    <n v="9021.2999999999956"/>
    <n v="10978.7"/>
    <n v="181633.3"/>
    <n v="197"/>
    <n v="39.791067961165048"/>
    <n v="239.74414995621501"/>
    <d v="2025-10-17T00:00:00"/>
    <n v="20000"/>
    <d v="2026-06-13T17:51:35"/>
    <d v="2026-06-13T00:00:00"/>
    <s v="junio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HH590"/>
    <s v="ATRON 1720/48  FRONTAL"/>
    <s v="2MC"/>
    <s v="2MC"/>
    <n v="0.75"/>
    <s v="Cambio De Aceite Y Filtro De Motor"/>
    <d v="2025-05-26T00:00:00"/>
    <n v="134238"/>
    <n v="154238"/>
    <n v="6883.1999999999953"/>
    <n v="13116.8"/>
    <n v="141121.20000000001"/>
    <n v="144"/>
    <n v="38.754967741935467"/>
    <n v="274.41004184100439"/>
    <d v="2025-10-17T00:00:00"/>
    <n v="20000"/>
    <d v="2026-07-18T09:50:28"/>
    <d v="2026-07-18T00:00:00"/>
    <s v="julio"/>
    <s v="Activo"/>
    <m/>
    <m/>
    <s v="C000313"/>
    <s v="ACEITE 15W40 XV300 X 205LT (TAMBOR)"/>
    <n v="16"/>
    <n v="3389.9"/>
    <n v="54238.400000000001"/>
    <x v="3"/>
    <m/>
    <m/>
    <m/>
  </r>
  <r>
    <s v="OHH590"/>
    <s v="ATRON 1720/48  FRONTAL"/>
    <s v="2MC"/>
    <s v="2MC"/>
    <n v="0.75"/>
    <s v="Cambio De Aceite Y Filtro De Motor"/>
    <d v="2025-05-26T00:00:00"/>
    <n v="134238"/>
    <n v="154238"/>
    <n v="6883.1999999999953"/>
    <n v="13116.8"/>
    <n v="141121.20000000001"/>
    <n v="144"/>
    <n v="38.754967741935467"/>
    <n v="274.41004184100439"/>
    <d v="2025-10-17T00:00:00"/>
    <n v="20000"/>
    <d v="2026-07-18T09:50:28"/>
    <d v="2026-07-18T00:00:00"/>
    <s v="julio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HH591"/>
    <s v="ATRON 1720/48  FRONTAL"/>
    <s v="2MC"/>
    <s v="2MC"/>
    <n v="0.75"/>
    <s v="Cambio De Aceite Y Filtro De Motor"/>
    <d v="2025-03-12T00:00:00"/>
    <n v="136279"/>
    <n v="156279"/>
    <n v="9392.9000000000033"/>
    <n v="10607.1"/>
    <n v="145671.9"/>
    <n v="219"/>
    <n v="39.350485436893209"/>
    <n v="247.309659423607"/>
    <d v="2025-10-17T00:00:00"/>
    <n v="20000"/>
    <d v="2026-06-21T07:25:55"/>
    <d v="2026-06-21T00:00:00"/>
    <s v="junio"/>
    <s v="Activo"/>
    <m/>
    <m/>
    <s v="C000313"/>
    <s v="ACEITE 15W40 XV300 X 205LT (TAMBOR)"/>
    <n v="16"/>
    <n v="3389.9"/>
    <n v="54238.400000000001"/>
    <x v="3"/>
    <m/>
    <m/>
    <m/>
  </r>
  <r>
    <s v="OHH591"/>
    <s v="ATRON 1720/48  FRONTAL"/>
    <s v="2MC"/>
    <s v="2MC"/>
    <n v="0.75"/>
    <s v="Cambio De Aceite Y Filtro De Motor"/>
    <d v="2025-03-12T00:00:00"/>
    <n v="136279"/>
    <n v="156279"/>
    <n v="9392.9000000000033"/>
    <n v="10607.1"/>
    <n v="145671.9"/>
    <n v="219"/>
    <n v="39.350485436893209"/>
    <n v="247.309659423607"/>
    <d v="2025-10-17T00:00:00"/>
    <n v="20000"/>
    <d v="2026-06-21T07:25:55"/>
    <d v="2026-06-21T00:00:00"/>
    <s v="junio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HH593"/>
    <s v="ATRON 1720/48  FRONTAL"/>
    <s v="2MC"/>
    <s v="2MC"/>
    <n v="0.75"/>
    <s v="Cambio De Aceite Y Filtro De Motor"/>
    <d v="2025-03-11T00:00:00"/>
    <n v="135133"/>
    <n v="155133"/>
    <n v="15205.600000000009"/>
    <n v="4794.3999999999915"/>
    <n v="150338.6"/>
    <n v="220"/>
    <n v="62.077961165048592"/>
    <n v="69.367075288051595"/>
    <d v="2025-10-17T00:00:00"/>
    <n v="20000"/>
    <d v="2026-11-12T13:01:21"/>
    <d v="2026-11-12T00:00:00"/>
    <s v="noviembre"/>
    <s v="Activo"/>
    <m/>
    <m/>
    <s v="C000313"/>
    <s v="ACEITE 15W40 XV300 X 205LT (TAMBOR)"/>
    <n v="16"/>
    <n v="3389.9"/>
    <n v="54238.400000000001"/>
    <x v="7"/>
    <m/>
    <m/>
    <m/>
  </r>
  <r>
    <s v="OHH593"/>
    <s v="ATRON 1720/48  FRONTAL"/>
    <s v="2MC"/>
    <s v="2MC"/>
    <n v="0.75"/>
    <s v="Cambio De Aceite Y Filtro De Motor"/>
    <d v="2025-03-11T00:00:00"/>
    <n v="135133"/>
    <n v="155133"/>
    <n v="15205.600000000009"/>
    <n v="4794.3999999999915"/>
    <n v="150338.6"/>
    <n v="220"/>
    <n v="62.077961165048592"/>
    <n v="69.367075288051595"/>
    <d v="2025-10-17T00:00:00"/>
    <n v="20000"/>
    <d v="2026-11-12T13:01:21"/>
    <d v="2026-11-12T00:00:00"/>
    <s v="noviembre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OHH595"/>
    <s v="ATRON 1720/48  FRONTAL"/>
    <s v="2MC"/>
    <s v="2MC"/>
    <n v="0.75"/>
    <s v="Cambio De Aceite Y Filtro De Motor"/>
    <d v="2025-05-09T00:00:00"/>
    <n v="140250"/>
    <n v="160250"/>
    <n v="6502.5999999999949"/>
    <n v="13497.400000000011"/>
    <n v="146752.6"/>
    <n v="161"/>
    <n v="36.457612903225787"/>
    <n v="334.18654076830848"/>
    <d v="2025-10-17T00:00:00"/>
    <n v="20000"/>
    <d v="2026-09-16T04:28:37"/>
    <d v="2026-09-16T00:00:00"/>
    <s v="septiembre"/>
    <s v="Activo"/>
    <m/>
    <m/>
    <s v="C000313"/>
    <s v="ACEITE 15W40 XV300 X 205LT (TAMBOR)"/>
    <n v="16"/>
    <n v="3389.9"/>
    <n v="54238.400000000001"/>
    <x v="3"/>
    <m/>
    <m/>
    <m/>
  </r>
  <r>
    <s v="OHH595"/>
    <s v="ATRON 1720/48  FRONTAL"/>
    <s v="2MC"/>
    <s v="2MC"/>
    <n v="0.75"/>
    <s v="Cambio De Aceite Y Filtro De Motor"/>
    <d v="2025-05-09T00:00:00"/>
    <n v="140250"/>
    <n v="160250"/>
    <n v="6502.5999999999949"/>
    <n v="13497.400000000011"/>
    <n v="146752.6"/>
    <n v="161"/>
    <n v="36.457612903225787"/>
    <n v="334.18654076830848"/>
    <d v="2025-10-17T00:00:00"/>
    <n v="20000"/>
    <d v="2026-09-16T04:28:37"/>
    <d v="2026-09-16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HH596"/>
    <s v="ATRON 1720/48  FRONTAL"/>
    <s v="2MC"/>
    <s v="2MC"/>
    <n v="0.75"/>
    <s v="Cambio De Aceite Y Filtro De Motor"/>
    <d v="2025-03-17T00:00:00"/>
    <n v="175136"/>
    <n v="195136"/>
    <n v="10902.7"/>
    <n v="9097.2999999999993"/>
    <n v="186038.7"/>
    <n v="214"/>
    <n v="47.387909967845658"/>
    <n v="178.56331000577839"/>
    <d v="2025-10-17T00:00:00"/>
    <n v="20000"/>
    <d v="2026-04-13T13:31:10"/>
    <d v="2026-04-13T00:00:00"/>
    <s v="abril"/>
    <s v="Activo"/>
    <m/>
    <m/>
    <s v="C000313"/>
    <s v="ACEITE 15W40 XV300 X 205LT (TAMBOR)"/>
    <n v="16"/>
    <n v="3389.9"/>
    <n v="54238.400000000001"/>
    <x v="7"/>
    <m/>
    <m/>
    <m/>
  </r>
  <r>
    <s v="OHH596"/>
    <s v="ATRON 1720/48  FRONTAL"/>
    <s v="2MC"/>
    <s v="2MC"/>
    <n v="0.75"/>
    <s v="Cambio De Aceite Y Filtro De Motor"/>
    <d v="2025-03-17T00:00:00"/>
    <n v="175136"/>
    <n v="195136"/>
    <n v="10902.7"/>
    <n v="9097.2999999999993"/>
    <n v="186038.7"/>
    <n v="214"/>
    <n v="47.387909967845658"/>
    <n v="178.56331000577839"/>
    <d v="2025-10-17T00:00:00"/>
    <n v="20000"/>
    <d v="2026-04-13T13:31:10"/>
    <d v="2026-04-13T00:00:00"/>
    <s v="abril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OHH597"/>
    <s v="ATRON 1720/48  FRONTAL"/>
    <s v="2MC"/>
    <s v="2MC"/>
    <n v="0.75"/>
    <s v="Cambio De Aceite Y Filtro De Motor"/>
    <d v="2025-09-29T00:00:00"/>
    <n v="241798"/>
    <n v="261798"/>
    <n v="0"/>
    <n v="20000"/>
    <n v="241798"/>
    <n v="18"/>
    <n v="32.336013071895437"/>
    <n v="200"/>
    <d v="2025-10-17T00:00:00"/>
    <n v="20000"/>
    <d v="2026-05-05T00:00:00"/>
    <d v="2026-05-05T00:00:00"/>
    <s v="mayo"/>
    <s v="Activo"/>
    <m/>
    <m/>
    <s v="C000313"/>
    <s v="ACEITE 15W40 XV300 X 205LT (TAMBOR)"/>
    <n v="16"/>
    <n v="3389.9"/>
    <n v="54238.400000000001"/>
    <x v="1"/>
    <m/>
    <m/>
    <m/>
  </r>
  <r>
    <s v="OHH597"/>
    <s v="ATRON 1720/48  FRONTAL"/>
    <s v="2MC"/>
    <s v="2MC"/>
    <n v="0.75"/>
    <s v="Cambio De Aceite Y Filtro De Motor"/>
    <d v="2025-09-29T00:00:00"/>
    <n v="241798"/>
    <n v="261798"/>
    <n v="0"/>
    <n v="20000"/>
    <n v="241798"/>
    <n v="18"/>
    <n v="32.336013071895437"/>
    <n v="200"/>
    <d v="2025-10-17T00:00:00"/>
    <n v="20000"/>
    <d v="2026-05-05T00:00:00"/>
    <d v="2026-05-05T00:00:00"/>
    <s v="mayo"/>
    <s v="Activo"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OJG060"/>
    <s v="ATRON 1720/48  FRONTAL"/>
    <s v="2MC"/>
    <s v="2MC"/>
    <n v="0.75"/>
    <s v="Cambio De Aceite Y Filtro De Motor"/>
    <d v="2024-11-12T00:00:00"/>
    <n v="135670"/>
    <n v="155670"/>
    <n v="13146.66"/>
    <n v="6853.3399999999983"/>
    <n v="148816.66"/>
    <n v="339"/>
    <n v="35.350675241157553"/>
    <n v="176.72034265737449"/>
    <d v="2025-10-17T00:00:00"/>
    <n v="20000"/>
    <d v="2026-04-11T17:17:18"/>
    <d v="2026-04-11T00:00:00"/>
    <s v="abril"/>
    <s v="Activo"/>
    <m/>
    <m/>
    <s v="C000313"/>
    <s v="ACEITE 15W40 XV300 X 205LT (TAMBOR)"/>
    <n v="16"/>
    <n v="3389.9"/>
    <n v="54238.400000000001"/>
    <x v="3"/>
    <m/>
    <m/>
    <m/>
  </r>
  <r>
    <s v="OJG060"/>
    <s v="ATRON 1720/48  FRONTAL"/>
    <s v="2MC"/>
    <s v="2MC"/>
    <n v="0.75"/>
    <s v="Cambio De Aceite Y Filtro De Motor"/>
    <d v="2024-11-12T00:00:00"/>
    <n v="135670"/>
    <n v="155670"/>
    <n v="13146.66"/>
    <n v="6853.3399999999983"/>
    <n v="148816.66"/>
    <n v="339"/>
    <n v="35.350675241157553"/>
    <n v="176.72034265737449"/>
    <d v="2025-10-17T00:00:00"/>
    <n v="20000"/>
    <d v="2026-04-11T17:17:18"/>
    <d v="2026-04-11T00:00:00"/>
    <s v="abril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JG061"/>
    <s v="ATRON 1720/48  FRONTAL"/>
    <s v="2MC"/>
    <s v="2MC"/>
    <n v="0.75"/>
    <s v="Cambio De Aceite Y Filtro De Motor"/>
    <d v="2025-03-25T00:00:00"/>
    <n v="138994"/>
    <n v="158994"/>
    <n v="7813.9000000000042"/>
    <n v="12186.099999999989"/>
    <n v="146807.9"/>
    <n v="206"/>
    <n v="32.740519480519481"/>
    <n v="321.26551401988729"/>
    <d v="2025-10-17T00:00:00"/>
    <n v="20000"/>
    <d v="2026-09-03T06:22:20"/>
    <d v="2026-09-03T00:00:00"/>
    <s v="septiembre"/>
    <s v="Activo"/>
    <m/>
    <m/>
    <s v="C000313"/>
    <s v="ACEITE 15W40 XV300 X 205LT (TAMBOR)"/>
    <n v="16"/>
    <n v="3389.9"/>
    <n v="54238.400000000001"/>
    <x v="3"/>
    <m/>
    <m/>
    <m/>
  </r>
  <r>
    <s v="OJG061"/>
    <s v="ATRON 1720/48  FRONTAL"/>
    <s v="2MC"/>
    <s v="2MC"/>
    <n v="0.75"/>
    <s v="Cambio De Aceite Y Filtro De Motor"/>
    <d v="2025-03-25T00:00:00"/>
    <n v="138994"/>
    <n v="158994"/>
    <n v="7813.9000000000042"/>
    <n v="12186.099999999989"/>
    <n v="146807.9"/>
    <n v="206"/>
    <n v="32.740519480519481"/>
    <n v="321.26551401988729"/>
    <d v="2025-10-17T00:00:00"/>
    <n v="20000"/>
    <d v="2026-09-03T06:22:20"/>
    <d v="2026-09-03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JG062"/>
    <s v="ATRON 1720/48  FRONTAL"/>
    <s v="2MC"/>
    <s v="2MC"/>
    <n v="0.75"/>
    <s v="Cambio De Aceite Y Filtro De Motor"/>
    <d v="2025-04-03T00:00:00"/>
    <n v="135586"/>
    <n v="155586"/>
    <n v="6212.800000000002"/>
    <n v="13787.2"/>
    <n v="141798.79999999999"/>
    <n v="197"/>
    <n v="29.337411003236291"/>
    <n v="437.17460726242581"/>
    <d v="2025-10-17T00:00:00"/>
    <n v="20000"/>
    <d v="2026-12-28T04:11:26"/>
    <d v="2026-12-28T00:00:00"/>
    <s v="diciembre"/>
    <s v="Activo"/>
    <m/>
    <m/>
    <s v="C000313"/>
    <s v="ACEITE 15W40 XV300 X 205LT (TAMBOR)"/>
    <n v="16"/>
    <n v="3389.9"/>
    <n v="54238.400000000001"/>
    <x v="3"/>
    <m/>
    <m/>
    <m/>
  </r>
  <r>
    <s v="OJG062"/>
    <s v="ATRON 1720/48  FRONTAL"/>
    <s v="2MC"/>
    <s v="2MC"/>
    <n v="0.75"/>
    <s v="Cambio De Aceite Y Filtro De Motor"/>
    <d v="2025-04-03T00:00:00"/>
    <n v="135586"/>
    <n v="155586"/>
    <n v="6212.800000000002"/>
    <n v="13787.2"/>
    <n v="141798.79999999999"/>
    <n v="197"/>
    <n v="29.337411003236291"/>
    <n v="437.17460726242581"/>
    <d v="2025-10-17T00:00:00"/>
    <n v="20000"/>
    <d v="2026-12-28T04:11:26"/>
    <d v="2026-12-28T00:00:00"/>
    <s v="diciembre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JG063"/>
    <s v="ATRON 1720/48  FRONTAL"/>
    <s v="2MC"/>
    <s v="2MC"/>
    <n v="0.75"/>
    <s v="Cambio De Aceite Y Filtro De Motor"/>
    <d v="2025-05-15T00:00:00"/>
    <n v="139668"/>
    <n v="159668"/>
    <n v="6276.5"/>
    <n v="13723.5"/>
    <n v="145944.5"/>
    <n v="155"/>
    <n v="39.350129032258081"/>
    <n v="338.90583924161558"/>
    <d v="2025-10-17T00:00:00"/>
    <n v="20000"/>
    <d v="2026-09-20T21:44:25"/>
    <d v="2026-09-20T00:00:00"/>
    <s v="septiembre"/>
    <s v="Activo"/>
    <m/>
    <m/>
    <s v="C000313"/>
    <s v="ACEITE 15W40 XV300 X 205LT (TAMBOR)"/>
    <n v="16"/>
    <n v="3389.9"/>
    <n v="54238.400000000001"/>
    <x v="7"/>
    <m/>
    <m/>
    <m/>
  </r>
  <r>
    <s v="OJG063"/>
    <s v="ATRON 1720/48  FRONTAL"/>
    <s v="2MC"/>
    <s v="2MC"/>
    <n v="0.75"/>
    <s v="Cambio De Aceite Y Filtro De Motor"/>
    <d v="2025-05-15T00:00:00"/>
    <n v="139668"/>
    <n v="159668"/>
    <n v="6276.5"/>
    <n v="13723.5"/>
    <n v="145944.5"/>
    <n v="155"/>
    <n v="39.350129032258081"/>
    <n v="338.90583924161558"/>
    <d v="2025-10-17T00:00:00"/>
    <n v="20000"/>
    <d v="2026-09-20T21:44:25"/>
    <d v="2026-09-20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OJG064"/>
    <s v="ATRON 1720/48  FRONTAL"/>
    <s v="2MC"/>
    <s v="2MC"/>
    <n v="0.75"/>
    <s v="Cambio De Aceite Y Filtro De Motor"/>
    <d v="2024-11-13T00:00:00"/>
    <n v="129732"/>
    <n v="149732"/>
    <n v="10886.77"/>
    <n v="9113.23"/>
    <n v="140618.76999999999"/>
    <n v="338"/>
    <n v="28.6525"/>
    <n v="282.93715583226242"/>
    <d v="2025-10-17T00:00:00"/>
    <n v="20000"/>
    <d v="2026-07-26T22:29:30"/>
    <d v="2026-07-26T00:00:00"/>
    <s v="julio"/>
    <s v="Activo"/>
    <m/>
    <m/>
    <s v="C000313"/>
    <s v="ACEITE 15W40 XV300 X 205LT (TAMBOR)"/>
    <n v="16"/>
    <n v="3389.9"/>
    <n v="54238.400000000001"/>
    <x v="1"/>
    <m/>
    <m/>
    <m/>
  </r>
  <r>
    <s v="OJG064"/>
    <s v="ATRON 1720/48  FRONTAL"/>
    <s v="2MC"/>
    <s v="2MC"/>
    <n v="0.75"/>
    <s v="Cambio De Aceite Y Filtro De Motor"/>
    <d v="2024-11-13T00:00:00"/>
    <n v="129732"/>
    <n v="149732"/>
    <n v="10886.77"/>
    <n v="9113.23"/>
    <n v="140618.76999999999"/>
    <n v="338"/>
    <n v="28.6525"/>
    <n v="282.93715583226242"/>
    <d v="2025-10-17T00:00:00"/>
    <n v="20000"/>
    <d v="2026-07-26T22:29:30"/>
    <d v="2026-07-26T00:00:00"/>
    <s v="julio"/>
    <s v="Activo"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OJG065"/>
    <s v="ATRON 1720/48  FRONTAL"/>
    <s v="2MC"/>
    <s v="2MC"/>
    <n v="0.75"/>
    <s v="Cambio De Aceite Y Filtro De Motor"/>
    <d v="2025-07-21T00:00:00"/>
    <n v="117765"/>
    <n v="137765"/>
    <n v="3374.6999999999989"/>
    <n v="16625.3"/>
    <n v="121139.7"/>
    <n v="88"/>
    <n v="35.038354838709672"/>
    <n v="433.52783951166032"/>
    <d v="2025-10-17T00:00:00"/>
    <n v="20000"/>
    <d v="2026-12-24T12:40:05"/>
    <d v="2026-12-24T00:00:00"/>
    <s v="diciembre"/>
    <s v="Activo"/>
    <m/>
    <m/>
    <s v="C000313"/>
    <s v="ACEITE 15W40 XV300 X 205LT (TAMBOR)"/>
    <n v="16"/>
    <n v="3389.9"/>
    <n v="54238.400000000001"/>
    <x v="3"/>
    <m/>
    <m/>
    <m/>
  </r>
  <r>
    <s v="OJG065"/>
    <s v="ATRON 1720/48  FRONTAL"/>
    <s v="2MC"/>
    <s v="2MC"/>
    <n v="0.75"/>
    <s v="Cambio De Aceite Y Filtro De Motor"/>
    <d v="2025-07-21T00:00:00"/>
    <n v="117765"/>
    <n v="137765"/>
    <n v="3374.6999999999989"/>
    <n v="16625.3"/>
    <n v="121139.7"/>
    <n v="88"/>
    <n v="35.038354838709672"/>
    <n v="433.52783951166032"/>
    <d v="2025-10-17T00:00:00"/>
    <n v="20000"/>
    <d v="2026-12-24T12:40:05"/>
    <d v="2026-12-24T00:00:00"/>
    <s v="diciembre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PLU468"/>
    <s v="ACCELO 915C"/>
    <s v="2MC"/>
    <s v="2MC"/>
    <n v="0.75"/>
    <s v="Cambio De Aceite Y Filtro De Motor"/>
    <d v="2025-03-07T00:00:00"/>
    <n v="11627.1"/>
    <n v="31627.1"/>
    <n v="18411.3"/>
    <n v="1588.700000000001"/>
    <n v="30038.400000000001"/>
    <n v="224"/>
    <n v="66.921503267973904"/>
    <n v="19.32882523233015"/>
    <d v="2025-10-17T00:00:00"/>
    <n v="20000"/>
    <d v="2026-08-31T04:28:27"/>
    <d v="2026-08-31T00:00:00"/>
    <s v="agosto"/>
    <s v="Activo"/>
    <m/>
    <m/>
    <s v="C000313"/>
    <s v="ACEITE 15W40 XV300 X 205LT (TAMBOR)"/>
    <n v="16"/>
    <n v="3389.9"/>
    <n v="54238.400000000001"/>
    <x v="5"/>
    <m/>
    <m/>
    <m/>
  </r>
  <r>
    <s v="PLU468"/>
    <s v="ACCELO 915C"/>
    <s v="2MC"/>
    <s v="2MC"/>
    <n v="0.75"/>
    <s v="Cambio De Aceite Y Filtro De Motor"/>
    <d v="2025-03-07T00:00:00"/>
    <n v="11627.1"/>
    <n v="31627.1"/>
    <n v="18411.3"/>
    <n v="1588.700000000001"/>
    <n v="30038.400000000001"/>
    <n v="224"/>
    <n v="66.921503267973904"/>
    <n v="19.32882523233015"/>
    <d v="2025-10-17T00:00:00"/>
    <n v="20000"/>
    <d v="2026-08-31T04:28:27"/>
    <d v="2026-08-31T00:00:00"/>
    <s v="agosto"/>
    <s v="Activo"/>
    <m/>
    <m/>
    <s v="C002301"/>
    <s v="FILTRO DE ACEITE 6 CILINDROS MB 1318/1218/1215/914/712/1418/915/815 - MANN HU931/5X"/>
    <n v="1"/>
    <n v="8513.2800000000007"/>
    <n v="8513.2800000000007"/>
    <x v="5"/>
    <m/>
    <m/>
    <m/>
  </r>
  <r>
    <s v="PLU469"/>
    <s v="ACCELO 915C"/>
    <s v="2MC"/>
    <s v="2MC"/>
    <n v="0.75"/>
    <s v="Cambio De Aceite Y Filtro De Motor"/>
    <d v="2025-03-20T00:00:00"/>
    <n v="126999"/>
    <n v="146999"/>
    <n v="6493.4000000000005"/>
    <n v="13506.6"/>
    <n v="133492.4"/>
    <n v="211"/>
    <n v="29.333408360128612"/>
    <n v="438.89065820679451"/>
    <d v="2025-10-17T00:00:00"/>
    <n v="20000"/>
    <d v="2026-12-29T21:22:33"/>
    <d v="2026-12-29T00:00:00"/>
    <s v="diciembre"/>
    <s v="Activo"/>
    <m/>
    <m/>
    <s v="C000313"/>
    <s v="ACEITE 15W40 XV300 X 205LT (TAMBOR)"/>
    <n v="16"/>
    <n v="3389.9"/>
    <n v="54238.400000000001"/>
    <x v="3"/>
    <m/>
    <m/>
    <m/>
  </r>
  <r>
    <s v="PLU469"/>
    <s v="ACCELO 915C"/>
    <s v="2MC"/>
    <s v="2MC"/>
    <n v="0.75"/>
    <s v="Cambio De Aceite Y Filtro De Motor"/>
    <d v="2025-03-20T00:00:00"/>
    <n v="126999"/>
    <n v="146999"/>
    <n v="6493.4000000000005"/>
    <n v="13506.6"/>
    <n v="133492.4"/>
    <n v="211"/>
    <n v="29.333408360128612"/>
    <n v="438.89065820679451"/>
    <d v="2025-10-17T00:00:00"/>
    <n v="20000"/>
    <d v="2026-12-29T21:22:33"/>
    <d v="2026-12-29T00:00:00"/>
    <s v="diciembre"/>
    <s v="Activo"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GDR525"/>
    <n v="1620"/>
    <s v="3MC"/>
    <s v="3MC"/>
    <n v="0.5"/>
    <s v="Cambio De Filtro Gas Oíl Y Trampa De Agua"/>
    <d v="2025-03-27T00:00:00"/>
    <n v="315257"/>
    <n v="335257"/>
    <n v="0"/>
    <n v="20000"/>
    <n v="315257"/>
    <n v="204"/>
    <n v="4.0251111111111113"/>
    <n v="200"/>
    <d v="2025-10-17T00:00:00"/>
    <n v="20000"/>
    <d v="2026-05-05T00:00:00"/>
    <d v="2026-05-05T00:00:00"/>
    <s v="mayo"/>
    <s v="Activo"/>
    <m/>
    <m/>
    <s v="C001031"/>
    <s v="FILTRO DE COMBUSTIBLE MANN PU1046/1X"/>
    <n v="1"/>
    <n v="10535.04"/>
    <n v="10535.04"/>
    <x v="11"/>
    <m/>
    <m/>
    <m/>
  </r>
  <r>
    <s v="GDR525"/>
    <n v="1620"/>
    <s v="3MC"/>
    <s v="3MC"/>
    <n v="0.5"/>
    <s v="Cambio De Filtro Gas Oíl Y Trampa De Agua"/>
    <d v="2025-03-27T00:00:00"/>
    <n v="315257"/>
    <n v="335257"/>
    <n v="0"/>
    <n v="20000"/>
    <n v="315257"/>
    <n v="204"/>
    <n v="4.0251111111111113"/>
    <n v="200"/>
    <d v="2025-10-17T00:00:00"/>
    <n v="20000"/>
    <d v="2026-05-05T00:00:00"/>
    <d v="2026-05-05T00:00:00"/>
    <s v="mayo"/>
    <s v="Activo"/>
    <m/>
    <m/>
    <s v="C003103"/>
    <s v="FILTRO TRAMPA DE AGUA - WIX (WF 10288)"/>
    <n v="1"/>
    <n v="19410.240000000002"/>
    <n v="19410.240000000002"/>
    <x v="11"/>
    <m/>
    <m/>
    <m/>
  </r>
  <r>
    <s v="KER728"/>
    <s v="ATEGO 1725"/>
    <s v="3MC"/>
    <s v="3MC"/>
    <n v="0.5"/>
    <s v="Cambio De Filtro Gas Oíl Y Trampa De Agua"/>
    <d v="2025-05-09T00:00:00"/>
    <n v="331282"/>
    <n v="351282"/>
    <n v="13312.400000000011"/>
    <n v="6687.5999999999931"/>
    <n v="344594.4"/>
    <n v="161"/>
    <n v="86.162316176470569"/>
    <n v="80.879751209398634"/>
    <d v="2025-10-17T00:00:00"/>
    <n v="20000"/>
    <d v="2026-01-05T21:06:51"/>
    <d v="2026-01-05T00:00:00"/>
    <s v="enero"/>
    <s v="Activo"/>
    <m/>
    <m/>
    <s v="C001031"/>
    <s v="FILTRO DE COMBUSTIBLE MANN PU1046/1X"/>
    <n v="1"/>
    <n v="10535.04"/>
    <n v="10535.04"/>
    <x v="2"/>
    <m/>
    <m/>
    <m/>
  </r>
  <r>
    <s v="KER728"/>
    <s v="ATEGO 1725"/>
    <s v="3MC"/>
    <s v="3MC"/>
    <n v="0.5"/>
    <s v="Cambio De Filtro Gas Oíl Y Trampa De Agua"/>
    <d v="2025-05-09T00:00:00"/>
    <n v="331282"/>
    <n v="351282"/>
    <n v="13312.400000000011"/>
    <n v="6687.5999999999931"/>
    <n v="344594.4"/>
    <n v="161"/>
    <n v="86.162316176470569"/>
    <n v="80.879751209398634"/>
    <d v="2025-10-17T00:00:00"/>
    <n v="20000"/>
    <d v="2026-01-05T21:06:51"/>
    <d v="2026-01-05T00:00:00"/>
    <s v="enero"/>
    <s v="Activo"/>
    <m/>
    <m/>
    <s v="C003103"/>
    <s v="FILTRO TRAMPA DE AGUA - WIX (WF 10288)"/>
    <n v="1"/>
    <n v="19410.240000000002"/>
    <n v="19410.240000000002"/>
    <x v="2"/>
    <m/>
    <m/>
    <m/>
  </r>
  <r>
    <s v="AF088ED"/>
    <s v="958 ATEGO 1726-42 CE"/>
    <s v="3MC"/>
    <s v="3MC"/>
    <n v="0.5"/>
    <s v="Cambio De Filtro Gas Oíl Y Trampa De Agua"/>
    <d v="2025-06-19T00:00:00"/>
    <n v="68428.5"/>
    <n v="88428.5"/>
    <n v="5182.2"/>
    <n v="14817.8"/>
    <n v="73610.7"/>
    <n v="120"/>
    <n v="48.244391143911422"/>
    <n v="343.1237698274864"/>
    <d v="2025-10-17T00:00:00"/>
    <n v="20000"/>
    <d v="2026-09-25T02:58:14"/>
    <d v="2026-09-25T00:00:00"/>
    <s v="septiembre"/>
    <s v="Activo"/>
    <m/>
    <m/>
    <s v="C001031"/>
    <s v="FILTRO DE COMBUSTIBLE MANN PU1046/1X"/>
    <n v="1"/>
    <n v="10535.04"/>
    <n v="10535.04"/>
    <x v="1"/>
    <m/>
    <m/>
    <m/>
  </r>
  <r>
    <s v="AF088ED"/>
    <s v="958 ATEGO 1726-42 CE"/>
    <s v="3MC"/>
    <s v="3MC"/>
    <n v="0.5"/>
    <s v="Cambio De Filtro Gas Oíl Y Trampa De Agua"/>
    <d v="2025-06-19T00:00:00"/>
    <n v="68428.5"/>
    <n v="88428.5"/>
    <n v="5182.2"/>
    <n v="14817.8"/>
    <n v="73610.7"/>
    <n v="120"/>
    <n v="48.244391143911422"/>
    <n v="343.1237698274864"/>
    <d v="2025-10-17T00:00:00"/>
    <n v="20000"/>
    <d v="2026-09-25T02:58:14"/>
    <d v="2026-09-25T00:00:00"/>
    <s v="septiembre"/>
    <s v="Activo"/>
    <m/>
    <m/>
    <s v="C003103"/>
    <s v="FILTRO TRAMPA DE AGUA - WIX (WF 10288)"/>
    <n v="1"/>
    <n v="19410.240000000002"/>
    <n v="19410.240000000002"/>
    <x v="1"/>
    <m/>
    <m/>
    <m/>
  </r>
  <r>
    <s v="KGM735"/>
    <s v="ATEGO 1725"/>
    <s v="3MC"/>
    <s v="3MC"/>
    <n v="0.5"/>
    <s v="Cambio De Filtro Gas Oíl Y Trampa De Agua"/>
    <d v="2025-08-29T00:00:00"/>
    <n v="279340"/>
    <n v="299340"/>
    <n v="2584.1999999999998"/>
    <n v="17415.8"/>
    <n v="281924.2"/>
    <n v="49"/>
    <n v="86.131808118081167"/>
    <n v="330.22761396176759"/>
    <d v="2025-10-17T00:00:00"/>
    <n v="20000"/>
    <d v="2026-09-12T05:27:46"/>
    <d v="2026-09-12T00:00:00"/>
    <s v="septiembre"/>
    <s v="Activo"/>
    <m/>
    <m/>
    <s v="C001031"/>
    <s v="FILTRO DE COMBUSTIBLE MANN PU1046/1X"/>
    <n v="1"/>
    <n v="10535.04"/>
    <n v="10535.04"/>
    <x v="2"/>
    <m/>
    <m/>
    <m/>
  </r>
  <r>
    <s v="KGM735"/>
    <s v="ATEGO 1725"/>
    <s v="3MC"/>
    <s v="3MC"/>
    <n v="0.5"/>
    <s v="Cambio De Filtro Gas Oíl Y Trampa De Agua"/>
    <d v="2025-08-29T00:00:00"/>
    <n v="279340"/>
    <n v="299340"/>
    <n v="2584.1999999999998"/>
    <n v="17415.8"/>
    <n v="281924.2"/>
    <n v="49"/>
    <n v="86.131808118081167"/>
    <n v="330.22761396176759"/>
    <d v="2025-10-17T00:00:00"/>
    <n v="20000"/>
    <d v="2026-09-12T05:27:46"/>
    <d v="2026-09-12T00:00:00"/>
    <s v="septiembre"/>
    <s v="Activo"/>
    <m/>
    <m/>
    <s v="C003103"/>
    <s v="FILTRO TRAMPA DE AGUA - WIX (WF 10288)"/>
    <n v="1"/>
    <n v="19410.240000000002"/>
    <n v="19410.240000000002"/>
    <x v="2"/>
    <m/>
    <m/>
    <m/>
  </r>
  <r>
    <s v="AF338VO"/>
    <s v="ATEGO 1419"/>
    <s v="3MC"/>
    <s v="3MC"/>
    <n v="0.5"/>
    <s v="Cambio De Filtro Gas Oíl Y Trampa De Agua"/>
    <s v="-"/>
    <m/>
    <m/>
    <m/>
    <m/>
    <m/>
    <m/>
    <n v="51.09303703703705"/>
    <m/>
    <d v="2025-10-17T00:00:00"/>
    <n v="20000"/>
    <d v="2026-11-12T10:37:35"/>
    <d v="2026-11-12T00:00:00"/>
    <s v="noviembre"/>
    <s v="Activo"/>
    <m/>
    <m/>
    <s v="C001031"/>
    <s v="FILTRO DE COMBUSTIBLE MANN PU1046/1X"/>
    <n v="1"/>
    <n v="10535.04"/>
    <n v="10535.04"/>
    <x v="1"/>
    <m/>
    <m/>
    <m/>
  </r>
  <r>
    <s v="AF338VO"/>
    <s v="ATEGO 1419"/>
    <s v="3MC"/>
    <s v="3MC"/>
    <n v="0.5"/>
    <s v="Cambio De Filtro Gas Oíl Y Trampa De Agua"/>
    <s v="-"/>
    <m/>
    <m/>
    <m/>
    <m/>
    <m/>
    <m/>
    <n v="51.09303703703705"/>
    <m/>
    <d v="2025-10-17T00:00:00"/>
    <n v="20000"/>
    <d v="2026-11-12T10:37:35"/>
    <d v="2026-11-12T00:00:00"/>
    <s v="noviembre"/>
    <s v="Activo"/>
    <m/>
    <m/>
    <s v="C003103"/>
    <s v="FILTRO TRAMPA DE AGUA - WIX (WF 10288)"/>
    <n v="1"/>
    <n v="19410.240000000002"/>
    <n v="19410.240000000002"/>
    <x v="1"/>
    <m/>
    <m/>
    <m/>
  </r>
  <r>
    <s v="AF364MN"/>
    <s v="ATEGO 1419"/>
    <s v="3MC"/>
    <s v="3MC"/>
    <n v="0.5"/>
    <s v="Cambio De Filtro Gas Oíl Y Trampa De Agua"/>
    <d v="2024-06-18T00:00:00"/>
    <n v="38855.1"/>
    <n v="58855.1"/>
    <n v="22989.899999999991"/>
    <n v="-2989.899999999991"/>
    <n v="61844.999999999993"/>
    <n v="486"/>
    <n v="45.422519083969469"/>
    <n v="-63.205642477783549"/>
    <d v="2025-10-17T00:00:00"/>
    <n v="20000"/>
    <d v="2026-12-31T07:26:44"/>
    <d v="2026-12-31T00:00:00"/>
    <s v="diciembre"/>
    <s v="Activo"/>
    <m/>
    <m/>
    <s v="C001031"/>
    <s v="FILTRO DE COMBUSTIBLE MANN PU1046/1X"/>
    <n v="1"/>
    <n v="10535.04"/>
    <n v="10535.04"/>
    <x v="1"/>
    <m/>
    <m/>
    <m/>
  </r>
  <r>
    <s v="AF364MN"/>
    <s v="ATEGO 1419"/>
    <s v="3MC"/>
    <s v="3MC"/>
    <n v="0.5"/>
    <s v="Cambio De Filtro Gas Oíl Y Trampa De Agua"/>
    <d v="2024-06-18T00:00:00"/>
    <n v="38855.1"/>
    <n v="58855.1"/>
    <n v="22989.899999999991"/>
    <n v="-2989.899999999991"/>
    <n v="61844.999999999993"/>
    <n v="486"/>
    <n v="45.422519083969469"/>
    <n v="-63.205642477783549"/>
    <d v="2025-10-17T00:00:00"/>
    <n v="20000"/>
    <d v="2026-12-31T07:26:44"/>
    <d v="2026-12-31T00:00:00"/>
    <s v="diciembre"/>
    <s v="Activo"/>
    <m/>
    <m/>
    <s v="C003103"/>
    <s v="FILTRO TRAMPA DE AGUA - WIX (WF 10288)"/>
    <n v="1"/>
    <n v="19410.240000000002"/>
    <n v="19410.240000000002"/>
    <x v="1"/>
    <m/>
    <m/>
    <m/>
  </r>
  <r>
    <s v="GDR526"/>
    <n v="1620"/>
    <s v="3MC"/>
    <s v="3MC"/>
    <n v="0.5"/>
    <s v="Cambio De Filtro Gas Oíl Y Trampa De Agua"/>
    <d v="2025-08-13T00:00:00"/>
    <n v="289935"/>
    <n v="309935"/>
    <n v="2579.900000000001"/>
    <n v="17420.099999999999"/>
    <n v="292514.90000000002"/>
    <n v="65"/>
    <n v="56.324626865671632"/>
    <n v="438.89549982557452"/>
    <d v="2025-10-17T00:00:00"/>
    <n v="20000"/>
    <d v="2026-08-13T00:00:00"/>
    <d v="2026-08-13T00:00:00"/>
    <s v="agosto"/>
    <s v="Activo"/>
    <m/>
    <m/>
    <s v="C001031"/>
    <s v="FILTRO DE COMBUSTIBLE MANN PU1046/1X"/>
    <n v="1"/>
    <n v="10535.04"/>
    <n v="10535.04"/>
    <x v="12"/>
    <m/>
    <m/>
    <m/>
  </r>
  <r>
    <s v="GDR526"/>
    <n v="1620"/>
    <s v="3MC"/>
    <s v="3MC"/>
    <n v="0.5"/>
    <s v="Cambio De Filtro Gas Oíl Y Trampa De Agua"/>
    <d v="2025-08-13T00:00:00"/>
    <n v="289935"/>
    <n v="309935"/>
    <n v="2579.900000000001"/>
    <n v="17420.099999999999"/>
    <n v="292514.90000000002"/>
    <n v="65"/>
    <n v="56.324626865671632"/>
    <n v="438.89549982557452"/>
    <d v="2025-10-17T00:00:00"/>
    <n v="20000"/>
    <d v="2026-08-13T00:00:00"/>
    <d v="2026-08-13T00:00:00"/>
    <s v="agosto"/>
    <s v="Activo"/>
    <m/>
    <m/>
    <s v="C003103"/>
    <s v="FILTRO TRAMPA DE AGUA - WIX (WF 10288)"/>
    <n v="1"/>
    <n v="19410.240000000002"/>
    <n v="19410.240000000002"/>
    <x v="12"/>
    <m/>
    <m/>
    <m/>
  </r>
  <r>
    <s v="AF518DM"/>
    <s v="ATEGO 1721-48"/>
    <s v="3MC"/>
    <s v="3MC"/>
    <n v="0.5"/>
    <s v="Cambio De Filtro Gas Oíl Y Trampa De Agua"/>
    <d v="2024-09-10T00:00:00"/>
    <n v="42714.2"/>
    <n v="62714.2"/>
    <n v="21856.560000000001"/>
    <n v="-1856.5599999999979"/>
    <n v="64570.759999999987"/>
    <n v="402"/>
    <n v="53.502481203007598"/>
    <n v="-34.147053333186882"/>
    <d v="2025-10-17T00:00:00"/>
    <n v="20000"/>
    <d v="2026-10-25T19:32:48"/>
    <d v="2026-10-25T00:00:00"/>
    <s v="octubre"/>
    <s v="Activo"/>
    <m/>
    <m/>
    <s v="C001031"/>
    <s v="FILTRO DE COMBUSTIBLE MANN PU1046/1X"/>
    <n v="1"/>
    <n v="10535.04"/>
    <n v="10535.04"/>
    <x v="1"/>
    <m/>
    <m/>
    <m/>
  </r>
  <r>
    <s v="AF518DM"/>
    <s v="ATEGO 1721-48"/>
    <s v="3MC"/>
    <s v="3MC"/>
    <n v="0.5"/>
    <s v="Cambio De Filtro Gas Oíl Y Trampa De Agua"/>
    <d v="2024-09-10T00:00:00"/>
    <n v="42714.2"/>
    <n v="62714.2"/>
    <n v="21856.560000000001"/>
    <n v="-1856.5599999999979"/>
    <n v="64570.759999999987"/>
    <n v="402"/>
    <n v="53.502481203007598"/>
    <n v="-34.147053333186882"/>
    <d v="2025-10-17T00:00:00"/>
    <n v="20000"/>
    <d v="2026-10-25T19:32:48"/>
    <d v="2026-10-25T00:00:00"/>
    <s v="octubre"/>
    <s v="Activo"/>
    <m/>
    <m/>
    <s v="C003103"/>
    <s v="FILTRO TRAMPA DE AGUA - WIX (WF 10288)"/>
    <n v="1"/>
    <n v="19410.240000000002"/>
    <n v="19410.240000000002"/>
    <x v="1"/>
    <m/>
    <m/>
    <m/>
  </r>
  <r>
    <s v="GEB769"/>
    <n v="1620"/>
    <s v="3MC"/>
    <s v="3MC"/>
    <n v="0.5"/>
    <s v="Cambio De Filtro Gas Oíl Y Trampa De Agua"/>
    <d v="2024-09-11T00:00:00"/>
    <n v="235609"/>
    <n v="255609"/>
    <n v="21825.48"/>
    <n v="-1825.4799999999959"/>
    <n v="257434.48"/>
    <n v="401"/>
    <n v="61.857388059701528"/>
    <n v="-33.539582176428581"/>
    <d v="2025-10-17T00:00:00"/>
    <n v="20000"/>
    <d v="2026-09-05T07:47:04"/>
    <d v="2026-09-05T00:00:00"/>
    <s v="septiembre"/>
    <s v="Activo"/>
    <m/>
    <m/>
    <s v="C001031"/>
    <s v="FILTRO DE COMBUSTIBLE MANN PU1046/1X"/>
    <n v="1"/>
    <n v="10535.04"/>
    <n v="10535.04"/>
    <x v="4"/>
    <m/>
    <m/>
    <m/>
  </r>
  <r>
    <s v="GEB769"/>
    <n v="1620"/>
    <s v="3MC"/>
    <s v="3MC"/>
    <n v="0.5"/>
    <s v="Cambio De Filtro Gas Oíl Y Trampa De Agua"/>
    <d v="2024-09-11T00:00:00"/>
    <n v="235609"/>
    <n v="255609"/>
    <n v="21825.48"/>
    <n v="-1825.4799999999959"/>
    <n v="257434.48"/>
    <n v="401"/>
    <n v="61.857388059701528"/>
    <n v="-33.539582176428581"/>
    <d v="2025-10-17T00:00:00"/>
    <n v="20000"/>
    <d v="2026-09-05T07:47:04"/>
    <d v="2026-09-05T00:00:00"/>
    <s v="septiembre"/>
    <s v="Activo"/>
    <m/>
    <m/>
    <s v="C003103"/>
    <s v="FILTRO TRAMPA DE AGUA - WIX (WF 10288)"/>
    <n v="1"/>
    <n v="19410.240000000002"/>
    <n v="19410.240000000002"/>
    <x v="4"/>
    <m/>
    <m/>
    <m/>
  </r>
  <r>
    <s v="GKK500"/>
    <n v="1624"/>
    <s v="3MC"/>
    <s v="3MC"/>
    <n v="0.5"/>
    <s v="Cambio De Filtro Gas Oíl Y Trampa De Agua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3-29T00:44:30"/>
    <d v="2026-03-29T00:00:00"/>
    <s v="marzo"/>
    <s v="Activo"/>
    <m/>
    <m/>
    <s v="C001031"/>
    <s v="FILTRO DE COMBUSTIBLE MANN PU1046/1X"/>
    <n v="1"/>
    <n v="10535.04"/>
    <n v="10535.04"/>
    <x v="6"/>
    <m/>
    <m/>
    <m/>
  </r>
  <r>
    <s v="GKK500"/>
    <n v="1624"/>
    <s v="3MC"/>
    <s v="3MC"/>
    <n v="0.5"/>
    <s v="Cambio De Filtro Gas Oíl Y Trampa De Agua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3-29T00:44:30"/>
    <d v="2026-03-29T00:00:00"/>
    <s v="marzo"/>
    <s v="Activo"/>
    <m/>
    <m/>
    <s v="C003103"/>
    <s v="FILTRO TRAMPA DE AGUA - WIX (WF 10288)"/>
    <n v="1"/>
    <n v="19410.240000000002"/>
    <n v="19410.240000000002"/>
    <x v="6"/>
    <m/>
    <m/>
    <m/>
  </r>
  <r>
    <s v="GLT551"/>
    <n v="1624"/>
    <s v="3MC"/>
    <s v="3MC"/>
    <n v="0.5"/>
    <s v="Cambio De Filtro Gas Oíl Y Trampa De Agua"/>
    <d v="2025-03-29T00:00:00"/>
    <n v="484970"/>
    <n v="504970"/>
    <n v="6360.1999999999944"/>
    <n v="13639.80000000001"/>
    <n v="491330.2"/>
    <n v="202"/>
    <n v="30.7326948051948"/>
    <n v="433.20015093865032"/>
    <d v="2025-10-17T00:00:00"/>
    <n v="20000"/>
    <d v="2026-12-24T04:48:13"/>
    <d v="2026-12-24T00:00:00"/>
    <s v="diciembre"/>
    <s v="Activo"/>
    <m/>
    <m/>
    <s v="C001031"/>
    <s v="FILTRO DE COMBUSTIBLE MANN PU1046/1X"/>
    <n v="1"/>
    <n v="10535.04"/>
    <n v="10535.04"/>
    <x v="0"/>
    <m/>
    <m/>
    <m/>
  </r>
  <r>
    <s v="GLT551"/>
    <n v="1624"/>
    <s v="3MC"/>
    <s v="3MC"/>
    <n v="0.5"/>
    <s v="Cambio De Filtro Gas Oíl Y Trampa De Agua"/>
    <d v="2025-03-29T00:00:00"/>
    <n v="484970"/>
    <n v="504970"/>
    <n v="6360.1999999999944"/>
    <n v="13639.80000000001"/>
    <n v="491330.2"/>
    <n v="202"/>
    <n v="30.7326948051948"/>
    <n v="433.20015093865032"/>
    <d v="2025-10-17T00:00:00"/>
    <n v="20000"/>
    <d v="2026-12-24T04:48:13"/>
    <d v="2026-12-24T00:00:00"/>
    <s v="diciembre"/>
    <s v="Activo"/>
    <m/>
    <m/>
    <s v="C003103"/>
    <s v="FILTRO TRAMPA DE AGUA - WIX (WF 10288)"/>
    <n v="1"/>
    <n v="19410.240000000002"/>
    <n v="19410.240000000002"/>
    <x v="0"/>
    <m/>
    <m/>
    <m/>
  </r>
  <r>
    <s v="GRE073"/>
    <n v="1624"/>
    <s v="3MC"/>
    <s v="3MC"/>
    <n v="0.5"/>
    <s v="Cambio De Filtro Gas Oíl Y Trampa De Agua"/>
    <d v="2025-07-08T00:00:00"/>
    <n v="10340"/>
    <n v="30340"/>
    <n v="5338.3999999999987"/>
    <n v="14661.6"/>
    <n v="15678.4"/>
    <n v="101"/>
    <n v="29.350544871794892"/>
    <n v="277.39052899745252"/>
    <d v="2025-10-17T00:00:00"/>
    <n v="20000"/>
    <d v="2026-07-21T09:22:22"/>
    <d v="2026-07-21T00:00:00"/>
    <s v="julio"/>
    <s v="Activo"/>
    <m/>
    <m/>
    <s v="C001031"/>
    <s v="FILTRO DE COMBUSTIBLE MANN PU1046/1X"/>
    <n v="1"/>
    <n v="10535.04"/>
    <n v="10535.04"/>
    <x v="6"/>
    <m/>
    <m/>
    <m/>
  </r>
  <r>
    <s v="GRE073"/>
    <n v="1624"/>
    <s v="3MC"/>
    <s v="3MC"/>
    <n v="0.5"/>
    <s v="Cambio De Filtro Gas Oíl Y Trampa De Agua"/>
    <d v="2025-07-08T00:00:00"/>
    <n v="10340"/>
    <n v="30340"/>
    <n v="5338.3999999999987"/>
    <n v="14661.6"/>
    <n v="15678.4"/>
    <n v="101"/>
    <n v="29.350544871794892"/>
    <n v="277.39052899745252"/>
    <d v="2025-10-17T00:00:00"/>
    <n v="20000"/>
    <d v="2026-07-21T09:22:22"/>
    <d v="2026-07-21T00:00:00"/>
    <s v="julio"/>
    <s v="Activo"/>
    <m/>
    <m/>
    <s v="C003103"/>
    <s v="FILTRO TRAMPA DE AGUA - WIX (WF 10288)"/>
    <n v="1"/>
    <n v="19410.240000000002"/>
    <n v="19410.240000000002"/>
    <x v="6"/>
    <m/>
    <m/>
    <m/>
  </r>
  <r>
    <s v="FGV321"/>
    <n v="1218"/>
    <s v="3MC"/>
    <s v="3MC"/>
    <n v="0.5"/>
    <s v="Cambio De Filtro Gas Oíl Y Trampa De Agua"/>
    <d v="2025-04-22T00:00:00"/>
    <n v="302541"/>
    <n v="322541"/>
    <n v="8078.8000000000029"/>
    <n v="11921.2"/>
    <n v="310619.8"/>
    <n v="178"/>
    <n v="40.451193548387103"/>
    <n v="262.6595038867157"/>
    <d v="2025-10-17T00:00:00"/>
    <n v="20000"/>
    <d v="2026-07-06T15:49:41"/>
    <d v="2026-07-06T00:00:00"/>
    <s v="julio"/>
    <s v="Activo"/>
    <m/>
    <m/>
    <s v="C001031"/>
    <s v="FILTRO DE COMBUSTIBLE MANN PU1046/1X"/>
    <n v="1"/>
    <n v="10535.04"/>
    <n v="10535.04"/>
    <x v="7"/>
    <m/>
    <m/>
    <m/>
  </r>
  <r>
    <s v="FGV321"/>
    <n v="1218"/>
    <s v="3MC"/>
    <s v="3MC"/>
    <n v="0.5"/>
    <s v="Cambio De Filtro Gas Oíl Y Trampa De Agua"/>
    <d v="2025-04-22T00:00:00"/>
    <n v="302541"/>
    <n v="322541"/>
    <n v="8078.8000000000029"/>
    <n v="11921.2"/>
    <n v="310619.8"/>
    <n v="178"/>
    <n v="40.451193548387103"/>
    <n v="262.6595038867157"/>
    <d v="2025-10-17T00:00:00"/>
    <n v="20000"/>
    <d v="2026-07-06T15:49:41"/>
    <d v="2026-07-06T00:00:00"/>
    <s v="julio"/>
    <s v="Activo"/>
    <m/>
    <m/>
    <s v="C003103"/>
    <s v="FILTRO TRAMPA DE AGUA - WIX (WF 10288)"/>
    <n v="1"/>
    <n v="19410.240000000002"/>
    <n v="19410.240000000002"/>
    <x v="7"/>
    <m/>
    <m/>
    <m/>
  </r>
  <r>
    <s v="FHK364"/>
    <n v="1620"/>
    <s v="3MC"/>
    <s v="3MC"/>
    <n v="0.5"/>
    <s v="Cambio De Filtro Gas Oíl Y Trampa De Agua"/>
    <d v="2025-06-23T00:00:00"/>
    <n v="358562"/>
    <n v="378562"/>
    <n v="10154.9"/>
    <n v="9845.1"/>
    <n v="368716.9"/>
    <n v="116"/>
    <n v="95.559666666666672"/>
    <n v="112.461136988055"/>
    <d v="2025-10-17T00:00:00"/>
    <n v="20000"/>
    <d v="2026-02-06T11:04:02"/>
    <d v="2026-02-06T00:00:00"/>
    <s v="febrero"/>
    <s v="Activo"/>
    <m/>
    <m/>
    <s v="C001031"/>
    <s v="FILTRO DE COMBUSTIBLE MANN PU1046/1X"/>
    <n v="1"/>
    <n v="10535.04"/>
    <n v="10535.04"/>
    <x v="13"/>
    <m/>
    <m/>
    <m/>
  </r>
  <r>
    <s v="FHK364"/>
    <n v="1620"/>
    <s v="3MC"/>
    <s v="3MC"/>
    <n v="0.5"/>
    <s v="Cambio De Filtro Gas Oíl Y Trampa De Agua"/>
    <d v="2025-06-23T00:00:00"/>
    <n v="358562"/>
    <n v="378562"/>
    <n v="10154.9"/>
    <n v="9845.1"/>
    <n v="368716.9"/>
    <n v="116"/>
    <n v="95.559666666666672"/>
    <n v="112.461136988055"/>
    <d v="2025-10-17T00:00:00"/>
    <n v="20000"/>
    <d v="2026-02-06T11:04:02"/>
    <d v="2026-02-06T00:00:00"/>
    <s v="febrero"/>
    <s v="Activo"/>
    <m/>
    <m/>
    <s v="C003103"/>
    <s v="FILTRO TRAMPA DE AGUA - WIX (WF 10288)"/>
    <n v="1"/>
    <n v="19410.240000000002"/>
    <n v="19410.240000000002"/>
    <x v="13"/>
    <m/>
    <m/>
    <m/>
  </r>
  <r>
    <s v="FQT894"/>
    <n v="1620"/>
    <s v="3MC"/>
    <s v="3MC"/>
    <n v="0.5"/>
    <s v="Cambio De Filtro Gas Oíl Y Trampa De Agua"/>
    <d v="2024-03-13T00:00:00"/>
    <n v="289070"/>
    <n v="309070"/>
    <n v="33400.049999999952"/>
    <n v="-13400.04999999995"/>
    <n v="322470.04999999987"/>
    <n v="583"/>
    <n v="96.824519230769212"/>
    <n v="-233.8987261995112"/>
    <d v="2025-10-17T00:00:00"/>
    <n v="20000"/>
    <d v="2026-05-11T13:25:19"/>
    <d v="2026-05-11T00:00:00"/>
    <s v="mayo"/>
    <s v="Activo"/>
    <m/>
    <m/>
    <s v="C001031"/>
    <s v="FILTRO DE COMBUSTIBLE MANN PU1046/1X"/>
    <n v="1"/>
    <n v="10535.04"/>
    <n v="10535.04"/>
    <x v="14"/>
    <m/>
    <m/>
    <m/>
  </r>
  <r>
    <s v="FQT894"/>
    <n v="1620"/>
    <s v="3MC"/>
    <s v="3MC"/>
    <n v="0.5"/>
    <s v="Cambio De Filtro Gas Oíl Y Trampa De Agua"/>
    <d v="2024-03-13T00:00:00"/>
    <n v="289070"/>
    <n v="309070"/>
    <n v="33400.049999999952"/>
    <n v="-13400.04999999995"/>
    <n v="322470.04999999987"/>
    <n v="583"/>
    <n v="96.824519230769212"/>
    <n v="-233.8987261995112"/>
    <d v="2025-10-17T00:00:00"/>
    <n v="20000"/>
    <d v="2026-05-11T13:25:19"/>
    <d v="2026-05-11T00:00:00"/>
    <s v="mayo"/>
    <s v="Activo"/>
    <m/>
    <m/>
    <s v="C003103"/>
    <s v="FILTRO TRAMPA DE AGUA - WIX (WF 10288)"/>
    <n v="1"/>
    <n v="19410.240000000002"/>
    <n v="19410.240000000002"/>
    <x v="14"/>
    <m/>
    <m/>
    <m/>
  </r>
  <r>
    <s v="FCD324"/>
    <n v="710"/>
    <s v="3MC"/>
    <s v="3MC"/>
    <n v="0.5"/>
    <s v="Cambio De Filtro Gas Oíl Y Trampa De Agua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04-26T10:27:25"/>
    <d v="2026-04-26T00:00:00"/>
    <s v="abril"/>
    <s v="Activo"/>
    <m/>
    <m/>
    <s v="C001031"/>
    <s v="FILTRO DE COMBUSTIBLE MANN PU1046/1X"/>
    <n v="1"/>
    <n v="10535.04"/>
    <n v="10535.04"/>
    <x v="6"/>
    <m/>
    <m/>
    <m/>
  </r>
  <r>
    <s v="FCD324"/>
    <n v="710"/>
    <s v="3MC"/>
    <s v="3MC"/>
    <n v="0.5"/>
    <s v="Cambio De Filtro Gas Oíl Y Trampa De Agua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04-26T10:27:25"/>
    <d v="2026-04-26T00:00:00"/>
    <s v="abril"/>
    <s v="Activo"/>
    <m/>
    <m/>
    <s v="C003103"/>
    <s v="FILTRO TRAMPA DE AGUA - WIX (WF 10288)"/>
    <n v="1"/>
    <n v="19410.240000000002"/>
    <n v="19410.240000000002"/>
    <x v="6"/>
    <m/>
    <m/>
    <m/>
  </r>
  <r>
    <s v="GJC631"/>
    <n v="1624"/>
    <s v="3MC"/>
    <s v="3MC"/>
    <n v="0.5"/>
    <s v="Cambio De Filtro Gas Oíl Y Trampa De Agua"/>
    <d v="2025-06-04T00:00:00"/>
    <n v="176121"/>
    <n v="196121"/>
    <n v="5745.4000000000005"/>
    <n v="14254.6"/>
    <n v="181866.4"/>
    <n v="135"/>
    <n v="35.012605863192178"/>
    <n v="334.94117032756628"/>
    <d v="2025-10-17T00:00:00"/>
    <n v="20000"/>
    <d v="2026-09-16T22:35:17"/>
    <d v="2026-09-16T00:00:00"/>
    <s v="septiembre"/>
    <s v="Activo"/>
    <m/>
    <m/>
    <s v="C001031"/>
    <s v="FILTRO DE COMBUSTIBLE MANN PU1046/1X"/>
    <n v="1"/>
    <n v="10535.04"/>
    <n v="10535.04"/>
    <x v="7"/>
    <m/>
    <m/>
    <m/>
  </r>
  <r>
    <s v="GJC631"/>
    <n v="1624"/>
    <s v="3MC"/>
    <s v="3MC"/>
    <n v="0.5"/>
    <s v="Cambio De Filtro Gas Oíl Y Trampa De Agua"/>
    <d v="2025-06-04T00:00:00"/>
    <n v="176121"/>
    <n v="196121"/>
    <n v="5745.4000000000005"/>
    <n v="14254.6"/>
    <n v="181866.4"/>
    <n v="135"/>
    <n v="35.012605863192178"/>
    <n v="334.94117032756628"/>
    <d v="2025-10-17T00:00:00"/>
    <n v="20000"/>
    <d v="2026-09-16T22:35:17"/>
    <d v="2026-09-16T00:00:00"/>
    <s v="septiembre"/>
    <s v="Activo"/>
    <m/>
    <m/>
    <s v="C003103"/>
    <s v="FILTRO TRAMPA DE AGUA - WIX (WF 10288)"/>
    <n v="1"/>
    <n v="19410.240000000002"/>
    <n v="19410.240000000002"/>
    <x v="7"/>
    <m/>
    <m/>
    <m/>
  </r>
  <r>
    <s v="JCF735"/>
    <s v="L-1318"/>
    <s v="3MC"/>
    <s v="3MC"/>
    <n v="0.5"/>
    <s v="Cambio De Filtro Gas Oíl Y Trampa De Agua"/>
    <d v="2025-04-01T00:00:00"/>
    <n v="11411.6"/>
    <n v="31411.599999999999"/>
    <n v="6802.9000000000024"/>
    <n v="13197.1"/>
    <n v="18214.5"/>
    <n v="199"/>
    <n v="28.6028387096774"/>
    <n v="386.04461332666932"/>
    <d v="2025-10-17T00:00:00"/>
    <n v="20000"/>
    <d v="2026-11-07T01:04:15"/>
    <d v="2026-11-07T00:00:00"/>
    <s v="noviembre"/>
    <s v="Activo"/>
    <m/>
    <m/>
    <s v="C001031"/>
    <s v="FILTRO DE COMBUSTIBLE MANN PU1046/1X"/>
    <n v="1"/>
    <n v="10535.04"/>
    <n v="10535.04"/>
    <x v="8"/>
    <m/>
    <m/>
    <m/>
  </r>
  <r>
    <s v="JCF735"/>
    <s v="L-1318"/>
    <s v="3MC"/>
    <s v="3MC"/>
    <n v="0.5"/>
    <s v="Cambio De Filtro Gas Oíl Y Trampa De Agua"/>
    <d v="2025-04-01T00:00:00"/>
    <n v="11411.6"/>
    <n v="31411.599999999999"/>
    <n v="6802.9000000000024"/>
    <n v="13197.1"/>
    <n v="18214.5"/>
    <n v="199"/>
    <n v="28.6028387096774"/>
    <n v="386.04461332666932"/>
    <d v="2025-10-17T00:00:00"/>
    <n v="20000"/>
    <d v="2026-11-07T01:04:15"/>
    <d v="2026-11-07T00:00:00"/>
    <s v="noviembre"/>
    <s v="Activo"/>
    <m/>
    <m/>
    <s v="C003103"/>
    <s v="FILTRO TRAMPA DE AGUA - WIX (WF 10288)"/>
    <n v="1"/>
    <n v="19410.240000000002"/>
    <n v="19410.240000000002"/>
    <x v="8"/>
    <m/>
    <m/>
    <m/>
  </r>
  <r>
    <s v="GJQ699"/>
    <n v="1624"/>
    <s v="3MC"/>
    <s v="3MC"/>
    <n v="0.5"/>
    <s v="Cambio De Filtro Gas Oíl Y Trampa De Agua"/>
    <d v="2025-06-05T00:00:00"/>
    <n v="230027"/>
    <n v="250027"/>
    <n v="5321.3000000000011"/>
    <n v="14678.7"/>
    <n v="235348.3"/>
    <n v="134"/>
    <n v="37.879290322580637"/>
    <n v="369.63632946836287"/>
    <d v="2025-10-17T00:00:00"/>
    <n v="20000"/>
    <d v="2026-10-21T15:16:19"/>
    <d v="2026-10-21T00:00:00"/>
    <s v="octubre"/>
    <s v="Activo"/>
    <m/>
    <m/>
    <s v="C001031"/>
    <s v="FILTRO DE COMBUSTIBLE MANN PU1046/1X"/>
    <n v="1"/>
    <n v="10535.04"/>
    <n v="10535.04"/>
    <x v="8"/>
    <m/>
    <m/>
    <m/>
  </r>
  <r>
    <s v="GJQ699"/>
    <n v="1624"/>
    <s v="3MC"/>
    <s v="3MC"/>
    <n v="0.5"/>
    <s v="Cambio De Filtro Gas Oíl Y Trampa De Agua"/>
    <d v="2025-06-05T00:00:00"/>
    <n v="230027"/>
    <n v="250027"/>
    <n v="5321.3000000000011"/>
    <n v="14678.7"/>
    <n v="235348.3"/>
    <n v="134"/>
    <n v="37.879290322580637"/>
    <n v="369.63632946836287"/>
    <d v="2025-10-17T00:00:00"/>
    <n v="20000"/>
    <d v="2026-10-21T15:16:19"/>
    <d v="2026-10-21T00:00:00"/>
    <s v="octubre"/>
    <s v="Activo"/>
    <m/>
    <m/>
    <s v="C003103"/>
    <s v="FILTRO TRAMPA DE AGUA - WIX (WF 10288)"/>
    <n v="1"/>
    <n v="19410.240000000002"/>
    <n v="19410.240000000002"/>
    <x v="8"/>
    <m/>
    <m/>
    <m/>
  </r>
  <r>
    <s v="GLT550"/>
    <n v="1624"/>
    <s v="3MC"/>
    <s v="3MC"/>
    <n v="0.5"/>
    <s v="Cambio De Filtro Gas Oíl Y Trampa De Agua"/>
    <d v="2025-03-28T00:00:00"/>
    <n v="298685"/>
    <n v="318685"/>
    <n v="8864.1"/>
    <n v="11135.9"/>
    <n v="307549.09999999998"/>
    <n v="203"/>
    <n v="39.137363344051472"/>
    <n v="255.02732369896549"/>
    <d v="2025-10-17T00:00:00"/>
    <n v="20000"/>
    <d v="2026-06-29T00:39:21"/>
    <d v="2026-06-29T00:00:00"/>
    <s v="junio"/>
    <s v="Activo"/>
    <m/>
    <m/>
    <s v="C001031"/>
    <s v="FILTRO DE COMBUSTIBLE MANN PU1046/1X"/>
    <n v="1"/>
    <n v="10535.04"/>
    <n v="10535.04"/>
    <x v="3"/>
    <m/>
    <m/>
    <m/>
  </r>
  <r>
    <s v="GLT550"/>
    <n v="1624"/>
    <s v="3MC"/>
    <s v="3MC"/>
    <n v="0.5"/>
    <s v="Cambio De Filtro Gas Oíl Y Trampa De Agua"/>
    <d v="2025-03-28T00:00:00"/>
    <n v="298685"/>
    <n v="318685"/>
    <n v="8864.1"/>
    <n v="11135.9"/>
    <n v="307549.09999999998"/>
    <n v="203"/>
    <n v="39.137363344051472"/>
    <n v="255.02732369896549"/>
    <d v="2025-10-17T00:00:00"/>
    <n v="20000"/>
    <d v="2026-06-29T00:39:21"/>
    <d v="2026-06-29T00:00:00"/>
    <s v="junio"/>
    <s v="Activo"/>
    <m/>
    <m/>
    <s v="C003103"/>
    <s v="FILTRO TRAMPA DE AGUA - WIX (WF 10288)"/>
    <n v="1"/>
    <n v="19410.240000000002"/>
    <n v="19410.240000000002"/>
    <x v="3"/>
    <m/>
    <m/>
    <m/>
  </r>
  <r>
    <s v="KHS012"/>
    <s v="ATEGO 1418/48 FRONTAL"/>
    <s v="3MC"/>
    <s v="3MC"/>
    <n v="0.5"/>
    <s v="Cambio De Filtro Gas Oíl Y Trampa De Agua"/>
    <d v="2024-11-07T00:00:00"/>
    <n v="342438"/>
    <n v="362438"/>
    <n v="22886.28"/>
    <n v="-2886.280000000002"/>
    <n v="365324.28"/>
    <n v="344"/>
    <n v="66.651970260223024"/>
    <n v="-43.383211251457233"/>
    <d v="2025-10-17T00:00:00"/>
    <n v="20000"/>
    <d v="2026-08-13T01:35:15"/>
    <d v="2026-08-13T00:00:00"/>
    <s v="agosto"/>
    <s v="Activo"/>
    <m/>
    <m/>
    <s v="C001031"/>
    <s v="FILTRO DE COMBUSTIBLE MANN PU1046/1X"/>
    <n v="1"/>
    <n v="10535.04"/>
    <n v="10535.04"/>
    <x v="9"/>
    <m/>
    <m/>
    <m/>
  </r>
  <r>
    <s v="KHS012"/>
    <s v="ATEGO 1418/48 FRONTAL"/>
    <s v="3MC"/>
    <s v="3MC"/>
    <n v="0.5"/>
    <s v="Cambio De Filtro Gas Oíl Y Trampa De Agua"/>
    <d v="2024-11-07T00:00:00"/>
    <n v="342438"/>
    <n v="362438"/>
    <n v="22886.28"/>
    <n v="-2886.280000000002"/>
    <n v="365324.28"/>
    <n v="344"/>
    <n v="66.651970260223024"/>
    <n v="-43.383211251457233"/>
    <d v="2025-10-17T00:00:00"/>
    <n v="20000"/>
    <d v="2026-08-13T01:35:15"/>
    <d v="2026-08-13T00:00:00"/>
    <s v="agosto"/>
    <s v="Activo"/>
    <m/>
    <m/>
    <s v="C003103"/>
    <s v="FILTRO TRAMPA DE AGUA - WIX (WF 10288)"/>
    <n v="1"/>
    <n v="19410.240000000002"/>
    <n v="19410.240000000002"/>
    <x v="9"/>
    <m/>
    <m/>
    <m/>
  </r>
  <r>
    <s v="GMJ025"/>
    <n v="1624"/>
    <s v="3MC"/>
    <s v="3MC"/>
    <n v="0.5"/>
    <s v="Cambio De Filtro Gas Oíl Y Trampa De Agua"/>
    <d v="2025-09-12T00:00:00"/>
    <n v="723287"/>
    <n v="743287"/>
    <n v="0"/>
    <n v="20000"/>
    <n v="723287"/>
    <n v="35"/>
    <n v="1.7600651465798041"/>
    <n v="200"/>
    <d v="2025-10-17T00:00:00"/>
    <n v="20000"/>
    <d v="2026-05-05T00:00:00"/>
    <d v="2026-05-05T00:00:00"/>
    <s v="mayo"/>
    <s v="Activo"/>
    <m/>
    <m/>
    <s v="C001031"/>
    <s v="FILTRO DE COMBUSTIBLE MANN PU1046/1X"/>
    <n v="1"/>
    <n v="10535.04"/>
    <n v="10535.04"/>
    <x v="2"/>
    <m/>
    <m/>
    <m/>
  </r>
  <r>
    <s v="GMJ025"/>
    <n v="1624"/>
    <s v="3MC"/>
    <s v="3MC"/>
    <n v="0.5"/>
    <s v="Cambio De Filtro Gas Oíl Y Trampa De Agua"/>
    <d v="2025-09-12T00:00:00"/>
    <n v="723287"/>
    <n v="743287"/>
    <n v="0"/>
    <n v="20000"/>
    <n v="723287"/>
    <n v="35"/>
    <n v="1.7600651465798041"/>
    <n v="200"/>
    <d v="2025-10-17T00:00:00"/>
    <n v="20000"/>
    <d v="2026-05-05T00:00:00"/>
    <d v="2026-05-05T00:00:00"/>
    <s v="mayo"/>
    <s v="Activo"/>
    <m/>
    <m/>
    <s v="C003103"/>
    <s v="FILTRO TRAMPA DE AGUA - WIX (WF 10288)"/>
    <n v="1"/>
    <n v="19410.240000000002"/>
    <n v="19410.240000000002"/>
    <x v="2"/>
    <m/>
    <m/>
    <m/>
  </r>
  <r>
    <s v="GQN688"/>
    <n v="1624"/>
    <s v="3MC"/>
    <s v="3MC"/>
    <n v="0.5"/>
    <s v="Cambio De Filtro Gas Oíl Y Trampa De Agua"/>
    <d v="2025-09-08T00:00:00"/>
    <n v="82173.399999999994"/>
    <n v="102173.4"/>
    <n v="5556.5"/>
    <n v="14443.5"/>
    <n v="87729.9"/>
    <n v="39"/>
    <n v="215.45547231270371"/>
    <n v="101.37613605687029"/>
    <d v="2025-10-17T00:00:00"/>
    <n v="20000"/>
    <d v="2026-01-26T09:01:38"/>
    <d v="2026-01-26T00:00:00"/>
    <s v="enero"/>
    <s v="Activo"/>
    <m/>
    <m/>
    <s v="C001031"/>
    <s v="FILTRO DE COMBUSTIBLE MANN PU1046/1X"/>
    <n v="1"/>
    <n v="10535.04"/>
    <n v="10535.04"/>
    <x v="15"/>
    <m/>
    <m/>
    <m/>
  </r>
  <r>
    <s v="GQN688"/>
    <n v="1624"/>
    <s v="3MC"/>
    <s v="3MC"/>
    <n v="0.5"/>
    <s v="Cambio De Filtro Gas Oíl Y Trampa De Agua"/>
    <d v="2025-09-08T00:00:00"/>
    <n v="82173.399999999994"/>
    <n v="102173.4"/>
    <n v="5556.5"/>
    <n v="14443.5"/>
    <n v="87729.9"/>
    <n v="39"/>
    <n v="215.45547231270371"/>
    <n v="101.37613605687029"/>
    <d v="2025-10-17T00:00:00"/>
    <n v="20000"/>
    <d v="2026-01-26T09:01:38"/>
    <d v="2026-01-26T00:00:00"/>
    <s v="enero"/>
    <s v="Activo"/>
    <m/>
    <m/>
    <s v="C003103"/>
    <s v="FILTRO TRAMPA DE AGUA - WIX (WF 10288)"/>
    <n v="1"/>
    <n v="19410.240000000002"/>
    <n v="19410.240000000002"/>
    <x v="15"/>
    <m/>
    <m/>
    <m/>
  </r>
  <r>
    <s v="GNY198"/>
    <n v="1624"/>
    <s v="3MC"/>
    <s v="3MC"/>
    <n v="0.5"/>
    <s v="Cambio De Filtro Gas Oíl Y Trampa De Agua"/>
    <d v="2025-07-10T00:00:00"/>
    <n v="234133"/>
    <n v="254133"/>
    <n v="4079.8"/>
    <n v="15920.2"/>
    <n v="238212.8"/>
    <n v="99"/>
    <n v="38.995387096774238"/>
    <n v="386.31790774057549"/>
    <d v="2025-10-17T00:00:00"/>
    <n v="20000"/>
    <d v="2026-11-07T07:37:47"/>
    <d v="2026-11-07T00:00:00"/>
    <s v="noviembre"/>
    <s v="Activo"/>
    <m/>
    <m/>
    <s v="C001031"/>
    <s v="FILTRO DE COMBUSTIBLE MANN PU1046/1X"/>
    <n v="1"/>
    <n v="10535.04"/>
    <n v="10535.04"/>
    <x v="7"/>
    <m/>
    <m/>
    <m/>
  </r>
  <r>
    <s v="GNY198"/>
    <n v="1624"/>
    <s v="3MC"/>
    <s v="3MC"/>
    <n v="0.5"/>
    <s v="Cambio De Filtro Gas Oíl Y Trampa De Agua"/>
    <d v="2025-07-10T00:00:00"/>
    <n v="234133"/>
    <n v="254133"/>
    <n v="4079.8"/>
    <n v="15920.2"/>
    <n v="238212.8"/>
    <n v="99"/>
    <n v="38.995387096774238"/>
    <n v="386.31790774057549"/>
    <d v="2025-10-17T00:00:00"/>
    <n v="20000"/>
    <d v="2026-11-07T07:37:47"/>
    <d v="2026-11-07T00:00:00"/>
    <s v="noviembre"/>
    <s v="Activo"/>
    <m/>
    <m/>
    <s v="C003103"/>
    <s v="FILTRO TRAMPA DE AGUA - WIX (WF 10288)"/>
    <n v="1"/>
    <n v="19410.240000000002"/>
    <n v="19410.240000000002"/>
    <x v="7"/>
    <m/>
    <m/>
    <m/>
  </r>
  <r>
    <s v="GFZ651"/>
    <n v="1624"/>
    <s v="3MC"/>
    <s v="3MC"/>
    <n v="0.5"/>
    <s v="Cambio De Filtro Gas Oíl Y Trampa De Agua"/>
    <d v="2025-08-14T00:00:00"/>
    <n v="377434"/>
    <n v="397434"/>
    <n v="3731.5"/>
    <n v="16268.5"/>
    <n v="381165.5"/>
    <n v="64"/>
    <n v="73.269176029962509"/>
    <n v="279.0255929250971"/>
    <d v="2025-10-17T00:00:00"/>
    <n v="20000"/>
    <d v="2026-07-23T00:36:51"/>
    <d v="2026-07-23T00:00:00"/>
    <s v="julio"/>
    <s v="Activo"/>
    <m/>
    <m/>
    <s v="C001031"/>
    <s v="FILTRO DE COMBUSTIBLE MANN PU1046/1X"/>
    <n v="1"/>
    <n v="10535.04"/>
    <n v="10535.04"/>
    <x v="13"/>
    <m/>
    <m/>
    <m/>
  </r>
  <r>
    <s v="GFZ651"/>
    <n v="1624"/>
    <s v="3MC"/>
    <s v="3MC"/>
    <n v="0.5"/>
    <s v="Cambio De Filtro Gas Oíl Y Trampa De Agua"/>
    <d v="2025-08-14T00:00:00"/>
    <n v="377434"/>
    <n v="397434"/>
    <n v="3731.5"/>
    <n v="16268.5"/>
    <n v="381165.5"/>
    <n v="64"/>
    <n v="73.269176029962509"/>
    <n v="279.0255929250971"/>
    <d v="2025-10-17T00:00:00"/>
    <n v="20000"/>
    <d v="2026-07-23T00:36:51"/>
    <d v="2026-07-23T00:00:00"/>
    <s v="julio"/>
    <s v="Activo"/>
    <m/>
    <m/>
    <s v="C003103"/>
    <s v="FILTRO TRAMPA DE AGUA - WIX (WF 10288)"/>
    <n v="1"/>
    <n v="19410.240000000002"/>
    <n v="19410.240000000002"/>
    <x v="13"/>
    <m/>
    <m/>
    <m/>
  </r>
  <r>
    <s v="FJT707"/>
    <n v="1218"/>
    <s v="3MC"/>
    <s v="3MC"/>
    <n v="0.5"/>
    <s v="Cambio De Filtro Gas Oíl Y Trampa De Agua"/>
    <d v="2024-11-21T00:00:00"/>
    <n v="17571.7"/>
    <n v="37571.699999999997"/>
    <n v="31178.54"/>
    <n v="-11178.54"/>
    <n v="48750.239999999998"/>
    <n v="330"/>
    <n v="86.918456591639867"/>
    <n v="-118.3159378213348"/>
    <d v="2025-10-17T00:00:00"/>
    <n v="20000"/>
    <d v="2026-06-04T02:25:03"/>
    <d v="2026-06-04T00:00:00"/>
    <s v="junio"/>
    <s v="Activo"/>
    <m/>
    <m/>
    <s v="C001031"/>
    <s v="FILTRO DE COMBUSTIBLE MANN PU1046/1X"/>
    <n v="1"/>
    <n v="10535.04"/>
    <n v="10535.04"/>
    <x v="6"/>
    <m/>
    <m/>
    <m/>
  </r>
  <r>
    <s v="FJT707"/>
    <n v="1218"/>
    <s v="3MC"/>
    <s v="3MC"/>
    <n v="0.5"/>
    <s v="Cambio De Filtro Gas Oíl Y Trampa De Agua"/>
    <d v="2024-11-21T00:00:00"/>
    <n v="17571.7"/>
    <n v="37571.699999999997"/>
    <n v="31178.54"/>
    <n v="-11178.54"/>
    <n v="48750.239999999998"/>
    <n v="330"/>
    <n v="86.918456591639867"/>
    <n v="-118.3159378213348"/>
    <d v="2025-10-17T00:00:00"/>
    <n v="20000"/>
    <d v="2026-06-04T02:25:03"/>
    <d v="2026-06-04T00:00:00"/>
    <s v="junio"/>
    <s v="Activo"/>
    <m/>
    <m/>
    <s v="C003103"/>
    <s v="FILTRO TRAMPA DE AGUA - WIX (WF 10288)"/>
    <n v="1"/>
    <n v="19410.240000000002"/>
    <n v="19410.240000000002"/>
    <x v="6"/>
    <m/>
    <m/>
    <m/>
  </r>
  <r>
    <s v="GLT552"/>
    <n v="1624"/>
    <s v="3MC"/>
    <s v="3MC"/>
    <n v="0.5"/>
    <s v="Cambio De Filtro Gas Oíl Y Trampa De Agua"/>
    <d v="2025-07-24T00:00:00"/>
    <n v="484180"/>
    <n v="504180"/>
    <n v="6154.3000000000011"/>
    <n v="13845.7"/>
    <n v="490334.3"/>
    <n v="85"/>
    <n v="131.1199356913184"/>
    <n v="191.22962806493021"/>
    <d v="2025-10-17T00:00:00"/>
    <n v="20000"/>
    <d v="2026-04-26T05:30:40"/>
    <d v="2026-04-26T00:00:00"/>
    <s v="abril"/>
    <s v="Activo"/>
    <m/>
    <m/>
    <s v="C001031"/>
    <s v="FILTRO DE COMBUSTIBLE MANN PU1046/1X"/>
    <n v="1"/>
    <n v="10535.04"/>
    <n v="10535.04"/>
    <x v="4"/>
    <m/>
    <m/>
    <m/>
  </r>
  <r>
    <s v="GLT552"/>
    <n v="1624"/>
    <s v="3MC"/>
    <s v="3MC"/>
    <n v="0.5"/>
    <s v="Cambio De Filtro Gas Oíl Y Trampa De Agua"/>
    <d v="2025-07-24T00:00:00"/>
    <n v="484180"/>
    <n v="504180"/>
    <n v="6154.3000000000011"/>
    <n v="13845.7"/>
    <n v="490334.3"/>
    <n v="85"/>
    <n v="131.1199356913184"/>
    <n v="191.22962806493021"/>
    <d v="2025-10-17T00:00:00"/>
    <n v="20000"/>
    <d v="2026-04-26T05:30:40"/>
    <d v="2026-04-26T00:00:00"/>
    <s v="abril"/>
    <s v="Activo"/>
    <m/>
    <m/>
    <s v="C003103"/>
    <s v="FILTRO TRAMPA DE AGUA - WIX (WF 10288)"/>
    <n v="1"/>
    <n v="19410.240000000002"/>
    <n v="19410.240000000002"/>
    <x v="4"/>
    <m/>
    <m/>
    <m/>
  </r>
  <r>
    <s v="GOX958"/>
    <s v="L-1318"/>
    <s v="3MC"/>
    <s v="3MC"/>
    <n v="0.5"/>
    <s v="Cambio De Filtro Gas Oíl Y Trampa De Agua"/>
    <d v="2025-09-05T00:00:00"/>
    <n v="733433"/>
    <n v="753433"/>
    <n v="2805.7"/>
    <n v="17194.3"/>
    <n v="736238.7"/>
    <n v="42"/>
    <n v="143.50707395498381"/>
    <n v="257.39052642834241"/>
    <d v="2025-10-17T00:00:00"/>
    <n v="20000"/>
    <d v="2026-07-01T09:22:21"/>
    <d v="2026-07-01T00:00:00"/>
    <s v="julio"/>
    <s v="Activo"/>
    <m/>
    <m/>
    <s v="C001031"/>
    <s v="FILTRO DE COMBUSTIBLE MANN PU1046/1X"/>
    <n v="1"/>
    <n v="10535.04"/>
    <n v="10535.04"/>
    <x v="10"/>
    <m/>
    <m/>
    <m/>
  </r>
  <r>
    <s v="GOX958"/>
    <s v="L-1318"/>
    <s v="3MC"/>
    <s v="3MC"/>
    <n v="0.5"/>
    <s v="Cambio De Filtro Gas Oíl Y Trampa De Agua"/>
    <d v="2025-09-05T00:00:00"/>
    <n v="733433"/>
    <n v="753433"/>
    <n v="2805.7"/>
    <n v="17194.3"/>
    <n v="736238.7"/>
    <n v="42"/>
    <n v="143.50707395498381"/>
    <n v="257.39052642834241"/>
    <d v="2025-10-17T00:00:00"/>
    <n v="20000"/>
    <d v="2026-07-01T09:22:21"/>
    <d v="2026-07-01T00:00:00"/>
    <s v="julio"/>
    <s v="Activo"/>
    <m/>
    <m/>
    <s v="C003103"/>
    <s v="FILTRO TRAMPA DE AGUA - WIX (WF 10288)"/>
    <n v="1"/>
    <n v="19410.240000000002"/>
    <n v="19410.240000000002"/>
    <x v="10"/>
    <m/>
    <m/>
    <m/>
  </r>
  <r>
    <s v="GTE288"/>
    <n v="1624"/>
    <s v="3MC"/>
    <s v="3MC"/>
    <n v="0.5"/>
    <s v="Cambio De Filtro Gas Oíl Y Trampa De Agua"/>
    <d v="2025-04-15T00:00:00"/>
    <n v="779819"/>
    <n v="799819"/>
    <n v="16921.500000000011"/>
    <n v="3078.4999999999932"/>
    <n v="796740.5"/>
    <n v="185"/>
    <n v="75.425496688741674"/>
    <n v="33.656738468811767"/>
    <d v="2025-10-17T00:00:00"/>
    <n v="20000"/>
    <d v="2026-08-11T19:39:27"/>
    <d v="2026-08-11T00:00:00"/>
    <s v="agosto"/>
    <s v="Activo"/>
    <m/>
    <m/>
    <s v="C001031"/>
    <s v="FILTRO DE COMBUSTIBLE MANN PU1046/1X"/>
    <n v="1"/>
    <n v="10535.04"/>
    <n v="10535.04"/>
    <x v="5"/>
    <m/>
    <m/>
    <m/>
  </r>
  <r>
    <s v="GTE288"/>
    <n v="1624"/>
    <s v="3MC"/>
    <s v="3MC"/>
    <n v="0.5"/>
    <s v="Cambio De Filtro Gas Oíl Y Trampa De Agua"/>
    <d v="2025-04-15T00:00:00"/>
    <n v="779819"/>
    <n v="799819"/>
    <n v="16921.500000000011"/>
    <n v="3078.4999999999932"/>
    <n v="796740.5"/>
    <n v="185"/>
    <n v="75.425496688741674"/>
    <n v="33.656738468811767"/>
    <d v="2025-10-17T00:00:00"/>
    <n v="20000"/>
    <d v="2026-08-11T19:39:27"/>
    <d v="2026-08-11T00:00:00"/>
    <s v="agosto"/>
    <s v="Activo"/>
    <m/>
    <m/>
    <s v="C003103"/>
    <s v="FILTRO TRAMPA DE AGUA - WIX (WF 10288)"/>
    <n v="1"/>
    <n v="19410.240000000002"/>
    <n v="19410.240000000002"/>
    <x v="5"/>
    <m/>
    <m/>
    <m/>
  </r>
  <r>
    <s v="GOR397"/>
    <n v="1624"/>
    <s v="3MC"/>
    <s v="3MC"/>
    <n v="0.5"/>
    <s v="Cambio De Filtro Gas Oíl Y Trampa De Agua"/>
    <d v="2025-03-07T00:00:00"/>
    <n v="27910.9"/>
    <n v="47910.9"/>
    <n v="19185.899999999991"/>
    <n v="814.10000000000582"/>
    <n v="47096.800000000003"/>
    <n v="224"/>
    <n v="76.974301470588202"/>
    <n v="9.5048134306965721"/>
    <d v="2025-10-17T00:00:00"/>
    <n v="20000"/>
    <d v="2026-07-13T07:57:47"/>
    <d v="2026-07-13T00:00:00"/>
    <s v="julio"/>
    <s v="Activo"/>
    <m/>
    <m/>
    <s v="C001031"/>
    <s v="FILTRO DE COMBUSTIBLE MANN PU1046/1X"/>
    <n v="1"/>
    <n v="10535.04"/>
    <n v="10535.04"/>
    <x v="16"/>
    <m/>
    <m/>
    <m/>
  </r>
  <r>
    <s v="GOR397"/>
    <n v="1624"/>
    <s v="3MC"/>
    <s v="3MC"/>
    <n v="0.5"/>
    <s v="Cambio De Filtro Gas Oíl Y Trampa De Agua"/>
    <d v="2025-03-07T00:00:00"/>
    <n v="27910.9"/>
    <n v="47910.9"/>
    <n v="19185.899999999991"/>
    <n v="814.10000000000582"/>
    <n v="47096.800000000003"/>
    <n v="224"/>
    <n v="76.974301470588202"/>
    <n v="9.5048134306965721"/>
    <d v="2025-10-17T00:00:00"/>
    <n v="20000"/>
    <d v="2026-07-13T07:57:47"/>
    <d v="2026-07-13T00:00:00"/>
    <s v="julio"/>
    <s v="Activo"/>
    <m/>
    <m/>
    <s v="C003103"/>
    <s v="FILTRO TRAMPA DE AGUA - WIX (WF 10288)"/>
    <n v="1"/>
    <n v="19410.240000000002"/>
    <n v="19410.240000000002"/>
    <x v="16"/>
    <m/>
    <m/>
    <m/>
  </r>
  <r>
    <s v="GRC311"/>
    <n v="1624"/>
    <s v="3MC"/>
    <s v="3MC"/>
    <n v="0.5"/>
    <s v="Cambio De Filtro Gas Oíl Y Trampa De Agua"/>
    <d v="2025-04-25T00:00:00"/>
    <n v="264479"/>
    <n v="284479"/>
    <n v="6327.5000000000045"/>
    <n v="13672.499999999991"/>
    <n v="270806.5"/>
    <n v="175"/>
    <n v="34.372709677419373"/>
    <n v="378.14105096799642"/>
    <d v="2025-10-17T00:00:00"/>
    <n v="20000"/>
    <d v="2026-10-30T03:23:07"/>
    <d v="2026-10-30T00:00:00"/>
    <s v="octubre"/>
    <s v="Activo"/>
    <m/>
    <m/>
    <s v="C001031"/>
    <s v="FILTRO DE COMBUSTIBLE MANN PU1046/1X"/>
    <n v="1"/>
    <n v="10535.04"/>
    <n v="10535.04"/>
    <x v="7"/>
    <m/>
    <m/>
    <m/>
  </r>
  <r>
    <s v="GRC311"/>
    <n v="1624"/>
    <s v="3MC"/>
    <s v="3MC"/>
    <n v="0.5"/>
    <s v="Cambio De Filtro Gas Oíl Y Trampa De Agua"/>
    <d v="2025-04-25T00:00:00"/>
    <n v="264479"/>
    <n v="284479"/>
    <n v="6327.5000000000045"/>
    <n v="13672.499999999991"/>
    <n v="270806.5"/>
    <n v="175"/>
    <n v="34.372709677419373"/>
    <n v="378.14105096799642"/>
    <d v="2025-10-17T00:00:00"/>
    <n v="20000"/>
    <d v="2026-10-30T03:23:07"/>
    <d v="2026-10-30T00:00:00"/>
    <s v="octubre"/>
    <s v="Activo"/>
    <m/>
    <m/>
    <s v="C003103"/>
    <s v="FILTRO TRAMPA DE AGUA - WIX (WF 10288)"/>
    <n v="1"/>
    <n v="19410.240000000002"/>
    <n v="19410.240000000002"/>
    <x v="7"/>
    <m/>
    <m/>
    <m/>
  </r>
  <r>
    <s v="DLW395"/>
    <n v="1215"/>
    <s v="3MC"/>
    <s v="3MC"/>
    <n v="0.5"/>
    <s v="Cambio De Filtro Gas Oíl Y Trampa De Agua"/>
    <d v="2025-07-03T00:00:00"/>
    <n v="16065.4"/>
    <n v="36065.4"/>
    <n v="5233.4000000000005"/>
    <n v="14766.6"/>
    <n v="21298.799999999999"/>
    <n v="106"/>
    <n v="61.480495049504917"/>
    <n v="299.09038101425449"/>
    <d v="2025-10-17T00:00:00"/>
    <n v="20000"/>
    <d v="2026-08-12T02:10:09"/>
    <d v="2026-08-12T00:00:00"/>
    <s v="agosto"/>
    <s v="Activo"/>
    <m/>
    <m/>
    <s v="C001031"/>
    <s v="FILTRO DE COMBUSTIBLE MANN PU1046/1X"/>
    <n v="1"/>
    <n v="10535.04"/>
    <n v="10535.04"/>
    <x v="5"/>
    <m/>
    <m/>
    <m/>
  </r>
  <r>
    <s v="DLW395"/>
    <n v="1215"/>
    <s v="3MC"/>
    <s v="3MC"/>
    <n v="0.5"/>
    <s v="Cambio De Filtro Gas Oíl Y Trampa De Agua"/>
    <d v="2025-07-03T00:00:00"/>
    <n v="16065.4"/>
    <n v="36065.4"/>
    <n v="5233.4000000000005"/>
    <n v="14766.6"/>
    <n v="21298.799999999999"/>
    <n v="106"/>
    <n v="61.480495049504917"/>
    <n v="299.09038101425449"/>
    <d v="2025-10-17T00:00:00"/>
    <n v="20000"/>
    <d v="2026-08-12T02:10:09"/>
    <d v="2026-08-12T00:00:00"/>
    <s v="agosto"/>
    <s v="Activo"/>
    <m/>
    <m/>
    <s v="C003103"/>
    <s v="FILTRO TRAMPA DE AGUA - WIX (WF 10288)"/>
    <n v="1"/>
    <n v="19410.240000000002"/>
    <n v="19410.240000000002"/>
    <x v="5"/>
    <m/>
    <m/>
    <m/>
  </r>
  <r>
    <s v="AB320YQ"/>
    <s v="B66 - ATEGO 2426"/>
    <s v="3MC"/>
    <s v="3MC"/>
    <n v="0.5"/>
    <s v="Cambio De Filtro Gas Oíl Y Trampa De Agua"/>
    <d v="2025-03-29T00:00:00"/>
    <n v="24484.400000000001"/>
    <n v="44484.4"/>
    <n v="12540.1"/>
    <n v="7459.8999999999978"/>
    <n v="37024.5"/>
    <n v="202"/>
    <n v="67.727480916030515"/>
    <n v="120.1664899003995"/>
    <d v="2025-10-17T00:00:00"/>
    <n v="20000"/>
    <d v="2026-02-14T03:59:45"/>
    <d v="2026-02-14T00:00:00"/>
    <s v="febrero"/>
    <s v="Activo"/>
    <m/>
    <m/>
    <s v="C001031"/>
    <s v="FILTRO DE COMBUSTIBLE MANN PU1046/1X"/>
    <n v="1"/>
    <n v="10535.04"/>
    <n v="10535.04"/>
    <x v="0"/>
    <m/>
    <m/>
    <m/>
  </r>
  <r>
    <s v="AB320YQ"/>
    <s v="B66 - ATEGO 2426"/>
    <s v="3MC"/>
    <s v="3MC"/>
    <n v="0.5"/>
    <s v="Cambio De Filtro Gas Oíl Y Trampa De Agua"/>
    <d v="2025-03-29T00:00:00"/>
    <n v="24484.400000000001"/>
    <n v="44484.4"/>
    <n v="12540.1"/>
    <n v="7459.8999999999978"/>
    <n v="37024.5"/>
    <n v="202"/>
    <n v="67.727480916030515"/>
    <n v="120.1664899003995"/>
    <d v="2025-10-17T00:00:00"/>
    <n v="20000"/>
    <d v="2026-02-14T03:59:45"/>
    <d v="2026-02-14T00:00:00"/>
    <s v="febrero"/>
    <s v="Activo"/>
    <m/>
    <m/>
    <s v="C003103"/>
    <s v="FILTRO TRAMPA DE AGUA - WIX (WF 10288)"/>
    <n v="1"/>
    <n v="19410.240000000002"/>
    <n v="19410.240000000002"/>
    <x v="0"/>
    <m/>
    <m/>
    <m/>
  </r>
  <r>
    <s v="AF804RB"/>
    <s v="ATEGO 1721 48"/>
    <s v="3MC"/>
    <s v="3MC"/>
    <n v="0.5"/>
    <s v="Cambio De Filtro Gas Oíl Y Trampa De Agua"/>
    <d v="2025-08-26T00:00:00"/>
    <n v="60189.5"/>
    <n v="80189.5"/>
    <n v="4748.0999999999995"/>
    <n v="15251.9"/>
    <n v="64937.599999999999"/>
    <n v="52"/>
    <n v="83.847709677419346"/>
    <n v="167.03498241401829"/>
    <d v="2025-10-17T00:00:00"/>
    <n v="20000"/>
    <d v="2026-04-02T00:50:22"/>
    <d v="2026-04-02T00:00:00"/>
    <s v="abril"/>
    <s v="Activo"/>
    <m/>
    <m/>
    <s v="C001031"/>
    <s v="FILTRO DE COMBUSTIBLE MANN PU1046/1X"/>
    <n v="1"/>
    <n v="10535.04"/>
    <n v="10535.04"/>
    <x v="0"/>
    <m/>
    <m/>
    <m/>
  </r>
  <r>
    <s v="AF804RB"/>
    <s v="ATEGO 1721 48"/>
    <s v="3MC"/>
    <s v="3MC"/>
    <n v="0.5"/>
    <s v="Cambio De Filtro Gas Oíl Y Trampa De Agua"/>
    <d v="2025-08-26T00:00:00"/>
    <n v="60189.5"/>
    <n v="80189.5"/>
    <n v="4748.0999999999995"/>
    <n v="15251.9"/>
    <n v="64937.599999999999"/>
    <n v="52"/>
    <n v="83.847709677419346"/>
    <n v="167.03498241401829"/>
    <d v="2025-10-17T00:00:00"/>
    <n v="20000"/>
    <d v="2026-04-02T00:50:22"/>
    <d v="2026-04-02T00:00:00"/>
    <s v="abril"/>
    <s v="Activo"/>
    <m/>
    <m/>
    <s v="C003103"/>
    <s v="FILTRO TRAMPA DE AGUA - WIX (WF 10288)"/>
    <n v="1"/>
    <n v="19410.240000000002"/>
    <n v="19410.240000000002"/>
    <x v="0"/>
    <m/>
    <m/>
    <m/>
  </r>
  <r>
    <s v="GOX957"/>
    <n v="1624"/>
    <s v="3MC"/>
    <s v="3MC"/>
    <n v="0.5"/>
    <s v="Cambio De Filtro Gas Oíl Y Trampa De Agua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04-10T22:56:52"/>
    <d v="2026-04-10T00:00:00"/>
    <s v="abril"/>
    <s v="Activo"/>
    <m/>
    <m/>
    <s v="C001031"/>
    <s v="FILTRO DE COMBUSTIBLE MANN PU1046/1X"/>
    <n v="1"/>
    <n v="10535.04"/>
    <n v="10535.04"/>
    <x v="10"/>
    <m/>
    <m/>
    <m/>
  </r>
  <r>
    <s v="GOX957"/>
    <n v="1624"/>
    <s v="3MC"/>
    <s v="3MC"/>
    <n v="0.5"/>
    <s v="Cambio De Filtro Gas Oíl Y Trampa De Agua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04-10T22:56:52"/>
    <d v="2026-04-10T00:00:00"/>
    <s v="abril"/>
    <s v="Activo"/>
    <m/>
    <m/>
    <s v="C003103"/>
    <s v="FILTRO TRAMPA DE AGUA - WIX (WF 10288)"/>
    <n v="1"/>
    <n v="19410.240000000002"/>
    <n v="19410.240000000002"/>
    <x v="10"/>
    <m/>
    <m/>
    <m/>
  </r>
  <r>
    <s v="HNE430"/>
    <s v="L-1318"/>
    <s v="3MC"/>
    <s v="3MC"/>
    <n v="0.5"/>
    <s v="Cambio De Filtro Gas Oíl Y Trampa De Agua"/>
    <d v="2025-03-21T00:00:00"/>
    <n v="457869"/>
    <n v="477869"/>
    <n v="9177.2000000000044"/>
    <n v="10822.8"/>
    <n v="467046.2"/>
    <n v="210"/>
    <n v="39.232829581993563"/>
    <n v="247.65592991326309"/>
    <d v="2025-10-17T00:00:00"/>
    <n v="20000"/>
    <d v="2026-06-21T15:44:32"/>
    <d v="2026-06-21T00:00:00"/>
    <s v="junio"/>
    <s v="Activo"/>
    <m/>
    <m/>
    <s v="C001031"/>
    <s v="FILTRO DE COMBUSTIBLE MANN PU1046/1X"/>
    <n v="1"/>
    <n v="10535.04"/>
    <n v="10535.04"/>
    <x v="7"/>
    <m/>
    <m/>
    <m/>
  </r>
  <r>
    <s v="HNE430"/>
    <s v="L-1318"/>
    <s v="3MC"/>
    <s v="3MC"/>
    <n v="0.5"/>
    <s v="Cambio De Filtro Gas Oíl Y Trampa De Agua"/>
    <d v="2025-03-21T00:00:00"/>
    <n v="457869"/>
    <n v="477869"/>
    <n v="9177.2000000000044"/>
    <n v="10822.8"/>
    <n v="467046.2"/>
    <n v="210"/>
    <n v="39.232829581993563"/>
    <n v="247.65592991326309"/>
    <d v="2025-10-17T00:00:00"/>
    <n v="20000"/>
    <d v="2026-06-21T15:44:32"/>
    <d v="2026-06-21T00:00:00"/>
    <s v="junio"/>
    <s v="Activo"/>
    <m/>
    <m/>
    <s v="C003103"/>
    <s v="FILTRO TRAMPA DE AGUA - WIX (WF 10288)"/>
    <n v="1"/>
    <n v="19410.240000000002"/>
    <n v="19410.240000000002"/>
    <x v="7"/>
    <m/>
    <m/>
    <m/>
  </r>
  <r>
    <s v="GTE289"/>
    <n v="1624"/>
    <s v="3MC"/>
    <s v="3MC"/>
    <n v="0.5"/>
    <s v="Cambio De Filtro Gas Oíl Y Trampa De Agua"/>
    <d v="2025-06-17T00:00:00"/>
    <n v="809565"/>
    <n v="829565"/>
    <n v="8970.2999999999993"/>
    <n v="11029.7"/>
    <n v="818535.3"/>
    <n v="122"/>
    <n v="63.369638157894727"/>
    <n v="150.00873995295589"/>
    <d v="2025-10-17T00:00:00"/>
    <n v="20000"/>
    <d v="2026-03-16T00:12:35"/>
    <d v="2026-03-16T00:00:00"/>
    <s v="marzo"/>
    <s v="Activo"/>
    <m/>
    <m/>
    <s v="C001031"/>
    <s v="FILTRO DE COMBUSTIBLE MANN PU1046/1X"/>
    <n v="1"/>
    <n v="10535.04"/>
    <n v="10535.04"/>
    <x v="10"/>
    <m/>
    <m/>
    <m/>
  </r>
  <r>
    <s v="GTE289"/>
    <n v="1624"/>
    <s v="3MC"/>
    <s v="3MC"/>
    <n v="0.5"/>
    <s v="Cambio De Filtro Gas Oíl Y Trampa De Agua"/>
    <d v="2025-06-17T00:00:00"/>
    <n v="809565"/>
    <n v="829565"/>
    <n v="8970.2999999999993"/>
    <n v="11029.7"/>
    <n v="818535.3"/>
    <n v="122"/>
    <n v="63.369638157894727"/>
    <n v="150.00873995295589"/>
    <d v="2025-10-17T00:00:00"/>
    <n v="20000"/>
    <d v="2026-03-16T00:12:35"/>
    <d v="2026-03-16T00:00:00"/>
    <s v="marzo"/>
    <s v="Activo"/>
    <m/>
    <m/>
    <s v="C003103"/>
    <s v="FILTRO TRAMPA DE AGUA - WIX (WF 10288)"/>
    <n v="1"/>
    <n v="19410.240000000002"/>
    <n v="19410.240000000002"/>
    <x v="10"/>
    <m/>
    <m/>
    <m/>
  </r>
  <r>
    <s v="GUW658"/>
    <n v="1624"/>
    <s v="3MC"/>
    <s v="3MC"/>
    <n v="0.5"/>
    <s v="Cambio De Filtro Gas Oíl Y Trampa De Agua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06-27T07:17:57"/>
    <d v="2026-06-27T00:00:00"/>
    <s v="junio"/>
    <s v="Activo"/>
    <m/>
    <m/>
    <s v="C001031"/>
    <s v="FILTRO DE COMBUSTIBLE MANN PU1046/1X"/>
    <n v="1"/>
    <n v="10535.04"/>
    <n v="10535.04"/>
    <x v="4"/>
    <m/>
    <m/>
    <m/>
  </r>
  <r>
    <s v="GUW658"/>
    <n v="1624"/>
    <s v="3MC"/>
    <s v="3MC"/>
    <n v="0.5"/>
    <s v="Cambio De Filtro Gas Oíl Y Trampa De Agua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06-27T07:17:57"/>
    <d v="2026-06-27T00:00:00"/>
    <s v="junio"/>
    <s v="Activo"/>
    <m/>
    <m/>
    <s v="C003103"/>
    <s v="FILTRO TRAMPA DE AGUA - WIX (WF 10288)"/>
    <n v="1"/>
    <n v="19410.240000000002"/>
    <n v="19410.240000000002"/>
    <x v="4"/>
    <m/>
    <m/>
    <m/>
  </r>
  <r>
    <s v="GPL520"/>
    <s v="L-1318"/>
    <s v="3MC"/>
    <s v="3MC"/>
    <n v="0.5"/>
    <s v="Cambio De Filtro Gas Oíl Y Trampa De Agua"/>
    <d v="2025-07-07T00:00:00"/>
    <n v="958885"/>
    <n v="978885"/>
    <n v="14167.3"/>
    <n v="5832.7000000000044"/>
    <n v="973052.3"/>
    <n v="102"/>
    <n v="132.10963696369629"/>
    <n v="41.993562640729053"/>
    <d v="2025-10-17T00:00:00"/>
    <n v="20000"/>
    <d v="2026-04-28T09:11:29"/>
    <d v="2026-04-28T00:00:00"/>
    <s v="abril"/>
    <s v="Activo"/>
    <m/>
    <m/>
    <s v="C001031"/>
    <s v="FILTRO DE COMBUSTIBLE MANN PU1046/1X"/>
    <n v="1"/>
    <n v="10535.04"/>
    <n v="10535.04"/>
    <x v="17"/>
    <m/>
    <m/>
    <m/>
  </r>
  <r>
    <s v="GPL520"/>
    <s v="L-1318"/>
    <s v="3MC"/>
    <s v="3MC"/>
    <n v="0.5"/>
    <s v="Cambio De Filtro Gas Oíl Y Trampa De Agua"/>
    <d v="2025-07-07T00:00:00"/>
    <n v="958885"/>
    <n v="978885"/>
    <n v="14167.3"/>
    <n v="5832.7000000000044"/>
    <n v="973052.3"/>
    <n v="102"/>
    <n v="132.10963696369629"/>
    <n v="41.993562640729053"/>
    <d v="2025-10-17T00:00:00"/>
    <n v="20000"/>
    <d v="2026-04-28T09:11:29"/>
    <d v="2026-04-28T00:00:00"/>
    <s v="abril"/>
    <s v="Activo"/>
    <m/>
    <m/>
    <s v="C003103"/>
    <s v="FILTRO TRAMPA DE AGUA - WIX (WF 10288)"/>
    <n v="1"/>
    <n v="19410.240000000002"/>
    <n v="19410.240000000002"/>
    <x v="17"/>
    <m/>
    <m/>
    <m/>
  </r>
  <r>
    <s v="AF642OT"/>
    <s v="ATEGO 1721 48"/>
    <s v="3MC"/>
    <s v="3MC"/>
    <n v="0.5"/>
    <s v="Cambio De Filtro Gas Oíl Y Trampa De Agua"/>
    <d v="2025-02-14T00:00:00"/>
    <n v="44127.9"/>
    <n v="64127.9"/>
    <n v="9317.4000000000033"/>
    <n v="10682.6"/>
    <n v="53445.3"/>
    <n v="245"/>
    <n v="40.395367647058812"/>
    <n v="280.89778264322638"/>
    <d v="2025-10-17T00:00:00"/>
    <n v="20000"/>
    <d v="2026-07-24T21:32:48"/>
    <d v="2026-07-24T00:00:00"/>
    <s v="julio"/>
    <s v="Activo"/>
    <m/>
    <m/>
    <s v="C001031"/>
    <s v="FILTRO DE COMBUSTIBLE MANN PU1046/1X"/>
    <n v="1"/>
    <n v="10535.04"/>
    <n v="10535.04"/>
    <x v="0"/>
    <m/>
    <m/>
    <m/>
  </r>
  <r>
    <s v="AF642OT"/>
    <s v="ATEGO 1721 48"/>
    <s v="3MC"/>
    <s v="3MC"/>
    <n v="0.5"/>
    <s v="Cambio De Filtro Gas Oíl Y Trampa De Agua"/>
    <d v="2025-02-14T00:00:00"/>
    <n v="44127.9"/>
    <n v="64127.9"/>
    <n v="9317.4000000000033"/>
    <n v="10682.6"/>
    <n v="53445.3"/>
    <n v="245"/>
    <n v="40.395367647058812"/>
    <n v="280.89778264322638"/>
    <d v="2025-10-17T00:00:00"/>
    <n v="20000"/>
    <d v="2026-07-24T21:32:48"/>
    <d v="2026-07-24T00:00:00"/>
    <s v="julio"/>
    <s v="Activo"/>
    <m/>
    <m/>
    <s v="C003103"/>
    <s v="FILTRO TRAMPA DE AGUA - WIX (WF 10288)"/>
    <n v="1"/>
    <n v="19410.240000000002"/>
    <n v="19410.240000000002"/>
    <x v="0"/>
    <m/>
    <m/>
    <m/>
  </r>
  <r>
    <s v="AE243WV"/>
    <s v="Atego 2426"/>
    <s v="3MC"/>
    <s v="3MC"/>
    <n v="0.5"/>
    <s v="Cambio De Filtro Gas Oíl Y Trampa De Agua"/>
    <d v="2025-07-10T00:00:00"/>
    <n v="697850"/>
    <n v="717850"/>
    <n v="28772.999999999989"/>
    <n v="-8772.9999999999891"/>
    <n v="726623"/>
    <n v="99"/>
    <n v="365"/>
    <n v="-30.185486393493871"/>
    <d v="2025-10-17T00:00:00"/>
    <n v="20000"/>
    <d v="2026-02-03T14:08:13"/>
    <d v="2026-02-03T00:00:00"/>
    <s v="febrero"/>
    <s v="Activo"/>
    <d v="2026-02-03T14:08:13"/>
    <d v="2026-03-30T09:12:20"/>
    <s v="C001031"/>
    <s v="FILTRO DE COMBUSTIBLE MANN PU1046/1X"/>
    <n v="1"/>
    <n v="10535.04"/>
    <n v="10535.04"/>
    <x v="18"/>
    <m/>
    <m/>
    <m/>
  </r>
  <r>
    <s v="AE243WV"/>
    <s v="Atego 2426"/>
    <s v="3MC"/>
    <s v="3MC"/>
    <n v="0.5"/>
    <s v="Cambio De Filtro Gas Oíl Y Trampa De Agua"/>
    <d v="2025-07-10T00:00:00"/>
    <n v="697850"/>
    <n v="717850"/>
    <n v="28772.999999999989"/>
    <n v="-8772.9999999999891"/>
    <n v="726623"/>
    <n v="99"/>
    <n v="365"/>
    <n v="-30.185486393493871"/>
    <d v="2025-10-17T00:00:00"/>
    <n v="20000"/>
    <d v="2026-02-03T14:08:13"/>
    <d v="2026-02-03T00:00:00"/>
    <s v="febrero"/>
    <s v="Activo"/>
    <d v="2026-02-03T14:08:13"/>
    <d v="2026-03-30T09:12:20"/>
    <s v="C003103"/>
    <s v="FILTRO TRAMPA DE AGUA - WIX (WF 10288)"/>
    <n v="1"/>
    <n v="19410.240000000002"/>
    <n v="19410.240000000002"/>
    <x v="18"/>
    <m/>
    <m/>
    <m/>
  </r>
  <r>
    <s v="NIE150"/>
    <s v="ATRON 1720/48  FRONTAL"/>
    <s v="3MC"/>
    <s v="3MC"/>
    <n v="0.5"/>
    <s v="Cambio De Filtro Gas Oíl Y Trampa De Agua"/>
    <d v="2025-04-16T00:00:00"/>
    <n v="435565"/>
    <n v="455565"/>
    <n v="16726.900000000001"/>
    <n v="3273.099999999999"/>
    <n v="452291.9"/>
    <n v="184"/>
    <n v="76.02181229773467"/>
    <n v="36.004902283148681"/>
    <d v="2025-10-17T00:00:00"/>
    <n v="20000"/>
    <d v="2026-08-12T02:05:42"/>
    <d v="2026-08-12T00:00:00"/>
    <s v="agosto"/>
    <s v="Activo"/>
    <m/>
    <m/>
    <s v="C001031"/>
    <s v="FILTRO DE COMBUSTIBLE MANN PU1046/1X"/>
    <n v="1"/>
    <n v="10535.04"/>
    <n v="10535.04"/>
    <x v="10"/>
    <m/>
    <m/>
    <m/>
  </r>
  <r>
    <s v="NIE150"/>
    <s v="ATRON 1720/48  FRONTAL"/>
    <s v="3MC"/>
    <s v="3MC"/>
    <n v="0.5"/>
    <s v="Cambio De Filtro Gas Oíl Y Trampa De Agua"/>
    <d v="2025-04-16T00:00:00"/>
    <n v="435565"/>
    <n v="455565"/>
    <n v="16726.900000000001"/>
    <n v="3273.099999999999"/>
    <n v="452291.9"/>
    <n v="184"/>
    <n v="76.02181229773467"/>
    <n v="36.004902283148681"/>
    <d v="2025-10-17T00:00:00"/>
    <n v="20000"/>
    <d v="2026-08-12T02:05:42"/>
    <d v="2026-08-12T00:00:00"/>
    <s v="agosto"/>
    <s v="Activo"/>
    <m/>
    <m/>
    <s v="C003103"/>
    <s v="FILTRO TRAMPA DE AGUA - WIX (WF 10288)"/>
    <n v="1"/>
    <n v="19410.240000000002"/>
    <n v="19410.240000000002"/>
    <x v="10"/>
    <m/>
    <m/>
    <m/>
  </r>
  <r>
    <s v="GJC632"/>
    <n v="1624"/>
    <s v="3MC"/>
    <s v="3MC"/>
    <n v="0.5"/>
    <s v="Cambio De Filtro Gas Oíl Y Trampa De Agua"/>
    <d v="2025-04-16T00:00:00"/>
    <n v="255203"/>
    <n v="275203"/>
    <n v="12233.500000000009"/>
    <n v="7766.4999999999927"/>
    <n v="267436.5"/>
    <n v="184"/>
    <n v="57.024096774193573"/>
    <n v="116.81334041770531"/>
    <d v="2025-10-17T00:00:00"/>
    <n v="20000"/>
    <d v="2026-02-10T19:31:13"/>
    <d v="2026-02-10T00:00:00"/>
    <s v="febrero"/>
    <s v="Activo"/>
    <m/>
    <m/>
    <s v="C001031"/>
    <s v="FILTRO DE COMBUSTIBLE MANN PU1046/1X"/>
    <n v="1"/>
    <n v="10535.04"/>
    <n v="10535.04"/>
    <x v="9"/>
    <m/>
    <m/>
    <m/>
  </r>
  <r>
    <s v="GJC632"/>
    <n v="1624"/>
    <s v="3MC"/>
    <s v="3MC"/>
    <n v="0.5"/>
    <s v="Cambio De Filtro Gas Oíl Y Trampa De Agua"/>
    <d v="2025-04-16T00:00:00"/>
    <n v="255203"/>
    <n v="275203"/>
    <n v="12233.500000000009"/>
    <n v="7766.4999999999927"/>
    <n v="267436.5"/>
    <n v="184"/>
    <n v="57.024096774193573"/>
    <n v="116.81334041770531"/>
    <d v="2025-10-17T00:00:00"/>
    <n v="20000"/>
    <d v="2026-02-10T19:31:13"/>
    <d v="2026-02-10T00:00:00"/>
    <s v="febrero"/>
    <s v="Activo"/>
    <m/>
    <m/>
    <s v="C003103"/>
    <s v="FILTRO TRAMPA DE AGUA - WIX (WF 10288)"/>
    <n v="1"/>
    <n v="19410.240000000002"/>
    <n v="19410.240000000002"/>
    <x v="9"/>
    <m/>
    <m/>
    <m/>
  </r>
  <r>
    <s v="HRJ002"/>
    <s v="L-1318"/>
    <s v="2MC"/>
    <s v="2MC"/>
    <n v="0.75"/>
    <s v="Cambio De Aceite Y Filtro De Motor"/>
    <d v="2025-08-20T00:00:00"/>
    <n v="62545.1"/>
    <n v="82545.100000000006"/>
    <n v="3570.8999999999992"/>
    <n v="16429.099999999999"/>
    <n v="66116"/>
    <n v="58"/>
    <n v="124.4065073529412"/>
    <n v="266.84807751547243"/>
    <d v="2025-10-17T00:00:00"/>
    <n v="20000"/>
    <d v="2026-07-10T20:21:14"/>
    <d v="2026-07-10T00:00:00"/>
    <s v="julio"/>
    <s v="Activo"/>
    <m/>
    <m/>
    <s v="C000313"/>
    <s v="ACEITE 15W40 XV300 X 205LT (TAMBOR)"/>
    <n v="16"/>
    <n v="3389.9"/>
    <n v="54238.400000000001"/>
    <x v="17"/>
    <m/>
    <m/>
    <m/>
  </r>
  <r>
    <s v="HRJ002"/>
    <s v="L-1318"/>
    <s v="2MC"/>
    <s v="2MC"/>
    <n v="0.75"/>
    <s v="Cambio De Aceite Y Filtro De Motor"/>
    <d v="2025-08-20T00:00:00"/>
    <n v="62545.1"/>
    <n v="82545.100000000006"/>
    <n v="3570.8999999999992"/>
    <n v="16429.099999999999"/>
    <n v="66116"/>
    <n v="58"/>
    <n v="124.4065073529412"/>
    <n v="266.84807751547243"/>
    <d v="2025-10-17T00:00:00"/>
    <n v="20000"/>
    <d v="2026-07-10T20:21:14"/>
    <d v="2026-07-10T00:00:00"/>
    <s v="julio"/>
    <s v="Activo"/>
    <m/>
    <m/>
    <s v="C002301"/>
    <s v="FILTRO DE ACEITE 6 CILINDROS MB 1318/1218/1215/914/712/1418/915/815 - MANN HU931/5X"/>
    <n v="1"/>
    <n v="8513.2800000000007"/>
    <n v="8513.2800000000007"/>
    <x v="17"/>
    <m/>
    <m/>
    <m/>
  </r>
  <r>
    <s v="IVD940"/>
    <s v="ATEGO 1418/48 FRONTAL"/>
    <s v="3MC"/>
    <s v="3MC"/>
    <n v="0.5"/>
    <s v="Cambio De Filtro Gas Oíl Y Trampa De Agua"/>
    <d v="2025-03-26T00:00:00"/>
    <n v="283696"/>
    <n v="303696"/>
    <n v="7346.0000000000036"/>
    <n v="12654"/>
    <n v="291042"/>
    <n v="205"/>
    <n v="34.247774193548388"/>
    <n v="353.12687176694772"/>
    <d v="2025-10-17T00:00:00"/>
    <n v="20000"/>
    <d v="2026-10-05T03:02:42"/>
    <d v="2026-10-05T00:00:00"/>
    <s v="octubre"/>
    <s v="Activo"/>
    <m/>
    <m/>
    <s v="C001031"/>
    <s v="FILTRO DE COMBUSTIBLE MANN PU1046/1X"/>
    <n v="1"/>
    <n v="10535.04"/>
    <n v="10535.04"/>
    <x v="7"/>
    <m/>
    <m/>
    <m/>
  </r>
  <r>
    <s v="IVD940"/>
    <s v="ATEGO 1418/48 FRONTAL"/>
    <s v="3MC"/>
    <s v="3MC"/>
    <n v="0.5"/>
    <s v="Cambio De Filtro Gas Oíl Y Trampa De Agua"/>
    <d v="2025-03-26T00:00:00"/>
    <n v="283696"/>
    <n v="303696"/>
    <n v="7346.0000000000036"/>
    <n v="12654"/>
    <n v="291042"/>
    <n v="205"/>
    <n v="34.247774193548388"/>
    <n v="353.12687176694772"/>
    <d v="2025-10-17T00:00:00"/>
    <n v="20000"/>
    <d v="2026-10-05T03:02:42"/>
    <d v="2026-10-05T00:00:00"/>
    <s v="octubre"/>
    <s v="Activo"/>
    <m/>
    <m/>
    <s v="C003103"/>
    <s v="FILTRO TRAMPA DE AGUA - WIX (WF 10288)"/>
    <n v="1"/>
    <n v="19410.240000000002"/>
    <n v="19410.240000000002"/>
    <x v="7"/>
    <m/>
    <m/>
    <m/>
  </r>
  <r>
    <s v="IVD941"/>
    <s v="ATEGO 1418/48 FRONTAL"/>
    <s v="3MC"/>
    <s v="3MC"/>
    <n v="0.5"/>
    <s v="Cambio De Filtro Gas Oíl Y Trampa De Agua"/>
    <d v="2025-07-04T00:00:00"/>
    <n v="227732"/>
    <n v="247732"/>
    <n v="5333.9000000000024"/>
    <n v="14666.1"/>
    <n v="233065.9"/>
    <n v="105"/>
    <n v="40.479774193548408"/>
    <n v="288.70816850709599"/>
    <d v="2025-10-17T00:00:00"/>
    <n v="20000"/>
    <d v="2026-08-01T16:59:46"/>
    <d v="2026-08-01T00:00:00"/>
    <s v="agosto"/>
    <s v="Activo"/>
    <m/>
    <m/>
    <s v="C001031"/>
    <s v="FILTRO DE COMBUSTIBLE MANN PU1046/1X"/>
    <n v="1"/>
    <n v="10535.04"/>
    <n v="10535.04"/>
    <x v="7"/>
    <m/>
    <m/>
    <m/>
  </r>
  <r>
    <s v="IVD941"/>
    <s v="ATEGO 1418/48 FRONTAL"/>
    <s v="3MC"/>
    <s v="3MC"/>
    <n v="0.5"/>
    <s v="Cambio De Filtro Gas Oíl Y Trampa De Agua"/>
    <d v="2025-07-04T00:00:00"/>
    <n v="227732"/>
    <n v="247732"/>
    <n v="5333.9000000000024"/>
    <n v="14666.1"/>
    <n v="233065.9"/>
    <n v="105"/>
    <n v="40.479774193548408"/>
    <n v="288.70816850709599"/>
    <d v="2025-10-17T00:00:00"/>
    <n v="20000"/>
    <d v="2026-08-01T16:59:46"/>
    <d v="2026-08-01T00:00:00"/>
    <s v="agosto"/>
    <s v="Activo"/>
    <m/>
    <m/>
    <s v="C003103"/>
    <s v="FILTRO TRAMPA DE AGUA - WIX (WF 10288)"/>
    <n v="1"/>
    <n v="19410.240000000002"/>
    <n v="19410.240000000002"/>
    <x v="7"/>
    <m/>
    <m/>
    <m/>
  </r>
  <r>
    <s v="GYB034"/>
    <n v="710"/>
    <s v="3MC"/>
    <s v="3MC"/>
    <n v="0.5"/>
    <s v="Cambio De Filtro Gas Oíl Y Trampa De Agua"/>
    <d v="2024-03-27T00:00:00"/>
    <n v="202420"/>
    <n v="222420"/>
    <n v="36588.559999999939"/>
    <n v="-16588.559999999939"/>
    <n v="239008.55999999991"/>
    <n v="569"/>
    <n v="69.022379421221856"/>
    <n v="-257.97382132557232"/>
    <d v="2025-10-17T00:00:00"/>
    <n v="20000"/>
    <d v="2026-08-02T18:15:58"/>
    <d v="2026-08-02T00:00:00"/>
    <s v="agosto"/>
    <s v="Activo"/>
    <m/>
    <m/>
    <s v="C001031"/>
    <s v="FILTRO DE COMBUSTIBLE MANN PU1046/1X"/>
    <n v="1"/>
    <n v="10535.04"/>
    <n v="10535.04"/>
    <x v="6"/>
    <m/>
    <m/>
    <m/>
  </r>
  <r>
    <s v="GYB034"/>
    <n v="710"/>
    <s v="3MC"/>
    <s v="3MC"/>
    <n v="0.5"/>
    <s v="Cambio De Filtro Gas Oíl Y Trampa De Agua"/>
    <d v="2024-03-27T00:00:00"/>
    <n v="202420"/>
    <n v="222420"/>
    <n v="36588.559999999939"/>
    <n v="-16588.559999999939"/>
    <n v="239008.55999999991"/>
    <n v="569"/>
    <n v="69.022379421221856"/>
    <n v="-257.97382132557232"/>
    <d v="2025-10-17T00:00:00"/>
    <n v="20000"/>
    <d v="2026-08-02T18:15:58"/>
    <d v="2026-08-02T00:00:00"/>
    <s v="agosto"/>
    <s v="Activo"/>
    <m/>
    <m/>
    <s v="C003103"/>
    <s v="FILTRO TRAMPA DE AGUA - WIX (WF 10288)"/>
    <n v="1"/>
    <n v="19410.240000000002"/>
    <n v="19410.240000000002"/>
    <x v="6"/>
    <m/>
    <m/>
    <m/>
  </r>
  <r>
    <s v="GMJ024"/>
    <n v="1624"/>
    <s v="3MC"/>
    <s v="3MC"/>
    <n v="0.5"/>
    <s v="Cambio De Filtro Gas Oíl Y Trampa De Agua"/>
    <d v="2025-06-26T00:00:00"/>
    <n v="831926"/>
    <n v="851926"/>
    <n v="9266.100000000004"/>
    <n v="10733.9"/>
    <n v="841192.1"/>
    <n v="113"/>
    <n v="68.472829581993537"/>
    <n v="130.89980682271931"/>
    <d v="2025-10-17T00:00:00"/>
    <n v="20000"/>
    <d v="2026-02-24T21:35:43"/>
    <d v="2026-02-24T00:00:00"/>
    <s v="febrero"/>
    <s v="Activo"/>
    <m/>
    <m/>
    <s v="C001031"/>
    <s v="FILTRO DE COMBUSTIBLE MANN PU1046/1X"/>
    <n v="1"/>
    <n v="10535.04"/>
    <n v="10535.04"/>
    <x v="10"/>
    <m/>
    <m/>
    <m/>
  </r>
  <r>
    <s v="GMJ024"/>
    <n v="1624"/>
    <s v="3MC"/>
    <s v="3MC"/>
    <n v="0.5"/>
    <s v="Cambio De Filtro Gas Oíl Y Trampa De Agua"/>
    <d v="2025-06-26T00:00:00"/>
    <n v="831926"/>
    <n v="851926"/>
    <n v="9266.100000000004"/>
    <n v="10733.9"/>
    <n v="841192.1"/>
    <n v="113"/>
    <n v="68.472829581993537"/>
    <n v="130.89980682271931"/>
    <d v="2025-10-17T00:00:00"/>
    <n v="20000"/>
    <d v="2026-02-24T21:35:43"/>
    <d v="2026-02-24T00:00:00"/>
    <s v="febrero"/>
    <s v="Activo"/>
    <m/>
    <m/>
    <s v="C003103"/>
    <s v="FILTRO TRAMPA DE AGUA - WIX (WF 10288)"/>
    <n v="1"/>
    <n v="19410.240000000002"/>
    <n v="19410.240000000002"/>
    <x v="10"/>
    <m/>
    <m/>
    <m/>
  </r>
  <r>
    <s v="GFZ650"/>
    <n v="1624"/>
    <s v="3MC"/>
    <s v="3MC"/>
    <n v="0.5"/>
    <s v="Cambio De Filtro Gas Oíl Y Trampa De Agua"/>
    <d v="2025-07-08T00:00:00"/>
    <n v="843221"/>
    <n v="863221"/>
    <n v="0"/>
    <n v="20000"/>
    <n v="843221"/>
    <n v="101"/>
    <n v="846.93875000000003"/>
    <n v="200"/>
    <d v="2025-10-17T00:00:00"/>
    <n v="20000"/>
    <d v="2026-05-05T00:00:00"/>
    <d v="2026-05-05T00:00:00"/>
    <s v="mayo"/>
    <s v="Activo"/>
    <m/>
    <m/>
    <s v="C001031"/>
    <s v="FILTRO DE COMBUSTIBLE MANN PU1046/1X"/>
    <n v="1"/>
    <n v="10535.04"/>
    <n v="10535.04"/>
    <x v="2"/>
    <m/>
    <m/>
    <m/>
  </r>
  <r>
    <s v="GFZ650"/>
    <n v="1624"/>
    <s v="3MC"/>
    <s v="3MC"/>
    <n v="0.5"/>
    <s v="Cambio De Filtro Gas Oíl Y Trampa De Agua"/>
    <d v="2025-07-08T00:00:00"/>
    <n v="843221"/>
    <n v="863221"/>
    <n v="0"/>
    <n v="20000"/>
    <n v="843221"/>
    <n v="101"/>
    <n v="846.93875000000003"/>
    <n v="200"/>
    <d v="2025-10-17T00:00:00"/>
    <n v="20000"/>
    <d v="2026-05-05T00:00:00"/>
    <d v="2026-05-05T00:00:00"/>
    <s v="mayo"/>
    <s v="Activo"/>
    <m/>
    <m/>
    <s v="C003103"/>
    <s v="FILTRO TRAMPA DE AGUA - WIX (WF 10288)"/>
    <n v="1"/>
    <n v="19410.240000000002"/>
    <n v="19410.240000000002"/>
    <x v="2"/>
    <m/>
    <m/>
    <m/>
  </r>
  <r>
    <s v="GVU096"/>
    <n v="1624"/>
    <s v="3MC"/>
    <s v="3MC"/>
    <n v="0.5"/>
    <s v="Cambio De Filtro Gas Oíl Y Trampa De Agua"/>
    <d v="2024-11-27T00:00:00"/>
    <n v="6340"/>
    <n v="26340"/>
    <n v="9804.4500000000044"/>
    <n v="10195.549999999999"/>
    <n v="16144.45"/>
    <n v="324"/>
    <n v="31.374080882352938"/>
    <n v="336.92437617612381"/>
    <d v="2025-10-17T00:00:00"/>
    <n v="20000"/>
    <d v="2026-09-18T22:11:06"/>
    <d v="2026-09-18T00:00:00"/>
    <s v="septiembre"/>
    <s v="Activo"/>
    <m/>
    <m/>
    <s v="C001031"/>
    <s v="FILTRO DE COMBUSTIBLE MANN PU1046/1X"/>
    <n v="1"/>
    <n v="10535.04"/>
    <n v="10535.04"/>
    <x v="14"/>
    <m/>
    <m/>
    <m/>
  </r>
  <r>
    <s v="GVU096"/>
    <n v="1624"/>
    <s v="3MC"/>
    <s v="3MC"/>
    <n v="0.5"/>
    <s v="Cambio De Filtro Gas Oíl Y Trampa De Agua"/>
    <d v="2024-11-27T00:00:00"/>
    <n v="6340"/>
    <n v="26340"/>
    <n v="9804.4500000000044"/>
    <n v="10195.549999999999"/>
    <n v="16144.45"/>
    <n v="324"/>
    <n v="31.374080882352938"/>
    <n v="336.92437617612381"/>
    <d v="2025-10-17T00:00:00"/>
    <n v="20000"/>
    <d v="2026-09-18T22:11:06"/>
    <d v="2026-09-18T00:00:00"/>
    <s v="septiembre"/>
    <s v="Activo"/>
    <m/>
    <m/>
    <s v="C003103"/>
    <s v="FILTRO TRAMPA DE AGUA - WIX (WF 10288)"/>
    <n v="1"/>
    <n v="19410.240000000002"/>
    <n v="19410.240000000002"/>
    <x v="14"/>
    <m/>
    <m/>
    <m/>
  </r>
  <r>
    <s v="GNY197"/>
    <n v="1624"/>
    <s v="3MC"/>
    <s v="3MC"/>
    <n v="0.5"/>
    <s v="Cambio De Filtro Gas Oíl Y Trampa De Agua"/>
    <d v="2025-07-02T00:00:00"/>
    <n v="619280"/>
    <n v="639280"/>
    <n v="8001.9999999999982"/>
    <n v="11998"/>
    <n v="627282"/>
    <n v="107"/>
    <n v="80.140288461538475"/>
    <n v="160.43314171457141"/>
    <d v="2025-10-17T00:00:00"/>
    <n v="20000"/>
    <d v="2026-03-26T10:23:43"/>
    <d v="2026-03-26T00:00:00"/>
    <s v="marzo"/>
    <s v="Activo"/>
    <m/>
    <m/>
    <s v="C001031"/>
    <s v="FILTRO DE COMBUSTIBLE MANN PU1046/1X"/>
    <n v="1"/>
    <n v="10535.04"/>
    <n v="10535.04"/>
    <x v="10"/>
    <m/>
    <m/>
    <m/>
  </r>
  <r>
    <s v="GNY197"/>
    <n v="1624"/>
    <s v="3MC"/>
    <s v="3MC"/>
    <n v="0.5"/>
    <s v="Cambio De Filtro Gas Oíl Y Trampa De Agua"/>
    <d v="2025-07-02T00:00:00"/>
    <n v="619280"/>
    <n v="639280"/>
    <n v="8001.9999999999982"/>
    <n v="11998"/>
    <n v="627282"/>
    <n v="107"/>
    <n v="80.140288461538475"/>
    <n v="160.43314171457141"/>
    <d v="2025-10-17T00:00:00"/>
    <n v="20000"/>
    <d v="2026-03-26T10:23:43"/>
    <d v="2026-03-26T00:00:00"/>
    <s v="marzo"/>
    <s v="Activo"/>
    <m/>
    <m/>
    <s v="C003103"/>
    <s v="FILTRO TRAMPA DE AGUA - WIX (WF 10288)"/>
    <n v="1"/>
    <n v="19410.240000000002"/>
    <n v="19410.240000000002"/>
    <x v="10"/>
    <m/>
    <m/>
    <m/>
  </r>
  <r>
    <s v="JKQ773"/>
    <s v="ATEGO 1418/48 FRONTAL"/>
    <s v="3MC"/>
    <s v="3MC"/>
    <n v="0.5"/>
    <s v="Cambio De Filtro Gas Oíl Y Trampa De Agua"/>
    <d v="2025-05-13T00:00:00"/>
    <n v="237476"/>
    <n v="257476"/>
    <n v="6287.2000000000007"/>
    <n v="13712.8"/>
    <n v="243763.20000000001"/>
    <n v="157"/>
    <n v="36.85391585760523"/>
    <n v="342.42740806718399"/>
    <d v="2025-10-17T00:00:00"/>
    <n v="20000"/>
    <d v="2026-09-24T10:15:28"/>
    <d v="2026-09-24T00:00:00"/>
    <s v="septiembre"/>
    <s v="Activo"/>
    <m/>
    <m/>
    <s v="C001031"/>
    <s v="FILTRO DE COMBUSTIBLE MANN PU1046/1X"/>
    <n v="1"/>
    <n v="10535.04"/>
    <n v="10535.04"/>
    <x v="8"/>
    <m/>
    <m/>
    <m/>
  </r>
  <r>
    <s v="JKQ773"/>
    <s v="ATEGO 1418/48 FRONTAL"/>
    <s v="3MC"/>
    <s v="3MC"/>
    <n v="0.5"/>
    <s v="Cambio De Filtro Gas Oíl Y Trampa De Agua"/>
    <d v="2025-05-13T00:00:00"/>
    <n v="237476"/>
    <n v="257476"/>
    <n v="6287.2000000000007"/>
    <n v="13712.8"/>
    <n v="243763.20000000001"/>
    <n v="157"/>
    <n v="36.85391585760523"/>
    <n v="342.42740806718399"/>
    <d v="2025-10-17T00:00:00"/>
    <n v="20000"/>
    <d v="2026-09-24T10:15:28"/>
    <d v="2026-09-24T00:00:00"/>
    <s v="septiembre"/>
    <s v="Activo"/>
    <m/>
    <m/>
    <s v="C003103"/>
    <s v="FILTRO TRAMPA DE AGUA - WIX (WF 10288)"/>
    <n v="1"/>
    <n v="19410.240000000002"/>
    <n v="19410.240000000002"/>
    <x v="8"/>
    <m/>
    <m/>
    <m/>
  </r>
  <r>
    <s v="JKQ774"/>
    <s v="ATEGO 1418/48 FRONTAL"/>
    <s v="3MC"/>
    <s v="3MC"/>
    <n v="0.5"/>
    <s v="Cambio De Filtro Gas Oíl Y Trampa De Agua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08-02T21:02:13"/>
    <d v="2026-08-02T00:00:00"/>
    <s v="agosto"/>
    <s v="Activo"/>
    <m/>
    <m/>
    <s v="C001031"/>
    <s v="FILTRO DE COMBUSTIBLE MANN PU1046/1X"/>
    <n v="1"/>
    <n v="10535.04"/>
    <n v="10535.04"/>
    <x v="7"/>
    <m/>
    <m/>
    <m/>
  </r>
  <r>
    <s v="JKQ774"/>
    <s v="ATEGO 1418/48 FRONTAL"/>
    <s v="3MC"/>
    <s v="3MC"/>
    <n v="0.5"/>
    <s v="Cambio De Filtro Gas Oíl Y Trampa De Agua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08-02T21:02:13"/>
    <d v="2026-08-02T00:00:00"/>
    <s v="agosto"/>
    <s v="Activo"/>
    <m/>
    <m/>
    <s v="C003103"/>
    <s v="FILTRO TRAMPA DE AGUA - WIX (WF 10288)"/>
    <n v="1"/>
    <n v="19410.240000000002"/>
    <n v="19410.240000000002"/>
    <x v="7"/>
    <m/>
    <m/>
    <m/>
  </r>
  <r>
    <s v="JXZ992"/>
    <s v="ATEGO 1418/48 FRONTAL"/>
    <s v="3MC"/>
    <s v="3MC"/>
    <n v="0.5"/>
    <s v="Cambio De Filtro Gas Oíl Y Trampa De Agua"/>
    <d v="2024-12-30T00:00:00"/>
    <n v="216285"/>
    <n v="236285"/>
    <n v="9057.0900000000038"/>
    <n v="10942.91"/>
    <n v="225342.09"/>
    <n v="291"/>
    <n v="33.420996309963101"/>
    <n v="351.59050092248151"/>
    <d v="2025-10-17T00:00:00"/>
    <n v="20000"/>
    <d v="2026-10-03T14:10:19"/>
    <d v="2026-10-03T00:00:00"/>
    <s v="octubre"/>
    <s v="Activo"/>
    <m/>
    <m/>
    <s v="C001031"/>
    <s v="FILTRO DE COMBUSTIBLE MANN PU1046/1X"/>
    <n v="1"/>
    <n v="10535.04"/>
    <n v="10535.04"/>
    <x v="7"/>
    <m/>
    <m/>
    <m/>
  </r>
  <r>
    <s v="JXZ992"/>
    <s v="ATEGO 1418/48 FRONTAL"/>
    <s v="3MC"/>
    <s v="3MC"/>
    <n v="0.5"/>
    <s v="Cambio De Filtro Gas Oíl Y Trampa De Agua"/>
    <d v="2024-12-30T00:00:00"/>
    <n v="216285"/>
    <n v="236285"/>
    <n v="9057.0900000000038"/>
    <n v="10942.91"/>
    <n v="225342.09"/>
    <n v="291"/>
    <n v="33.420996309963101"/>
    <n v="351.59050092248151"/>
    <d v="2025-10-17T00:00:00"/>
    <n v="20000"/>
    <d v="2026-10-03T14:10:19"/>
    <d v="2026-10-03T00:00:00"/>
    <s v="octubre"/>
    <s v="Activo"/>
    <m/>
    <m/>
    <s v="C003103"/>
    <s v="FILTRO TRAMPA DE AGUA - WIX (WF 10288)"/>
    <n v="1"/>
    <n v="19410.240000000002"/>
    <n v="19410.240000000002"/>
    <x v="7"/>
    <m/>
    <m/>
    <m/>
  </r>
  <r>
    <s v="KBV611"/>
    <s v="L-1318"/>
    <s v="3MC"/>
    <s v="3MC"/>
    <n v="0.5"/>
    <s v="Cambio De Filtro Gas Oíl Y Trampa De Agua"/>
    <d v="2024-11-12T00:00:00"/>
    <n v="702674"/>
    <n v="722674"/>
    <n v="10099.13000000001"/>
    <n v="9900.8699999999881"/>
    <n v="712773.13"/>
    <n v="339"/>
    <n v="30.666407407407419"/>
    <n v="332.34495743692702"/>
    <d v="2025-10-17T00:00:00"/>
    <n v="20000"/>
    <d v="2026-09-14T08:16:44"/>
    <d v="2026-09-14T00:00:00"/>
    <s v="septiembre"/>
    <s v="Activo"/>
    <m/>
    <m/>
    <s v="C001031"/>
    <s v="FILTRO DE COMBUSTIBLE MANN PU1046/1X"/>
    <n v="1"/>
    <n v="10535.04"/>
    <n v="10535.04"/>
    <x v="3"/>
    <m/>
    <m/>
    <m/>
  </r>
  <r>
    <s v="KBV611"/>
    <s v="L-1318"/>
    <s v="3MC"/>
    <s v="3MC"/>
    <n v="0.5"/>
    <s v="Cambio De Filtro Gas Oíl Y Trampa De Agua"/>
    <d v="2024-11-12T00:00:00"/>
    <n v="702674"/>
    <n v="722674"/>
    <n v="10099.13000000001"/>
    <n v="9900.8699999999881"/>
    <n v="712773.13"/>
    <n v="339"/>
    <n v="30.666407407407419"/>
    <n v="332.34495743692702"/>
    <d v="2025-10-17T00:00:00"/>
    <n v="20000"/>
    <d v="2026-09-14T08:16:44"/>
    <d v="2026-09-14T00:00:00"/>
    <s v="septiembre"/>
    <s v="Activo"/>
    <m/>
    <m/>
    <s v="C003103"/>
    <s v="FILTRO TRAMPA DE AGUA - WIX (WF 10288)"/>
    <n v="1"/>
    <n v="19410.240000000002"/>
    <n v="19410.240000000002"/>
    <x v="3"/>
    <m/>
    <m/>
    <m/>
  </r>
  <r>
    <s v="KBV620"/>
    <s v="L-1318"/>
    <s v="3MC"/>
    <s v="3MC"/>
    <n v="0.5"/>
    <s v="Cambio De Filtro Gas Oíl Y Trampa De Agua"/>
    <d v="2025-03-27T00:00:00"/>
    <n v="322879"/>
    <n v="342879"/>
    <n v="7068.2"/>
    <n v="12931.8"/>
    <n v="329947.2"/>
    <n v="204"/>
    <n v="44.066703703703709"/>
    <n v="373.23324184375087"/>
    <d v="2025-10-17T00:00:00"/>
    <n v="20000"/>
    <d v="2026-10-25T05:35:52"/>
    <d v="2026-10-25T00:00:00"/>
    <s v="octubre"/>
    <s v="Activo"/>
    <m/>
    <m/>
    <s v="C001031"/>
    <s v="FILTRO DE COMBUSTIBLE MANN PU1046/1X"/>
    <n v="1"/>
    <n v="10535.04"/>
    <n v="10535.04"/>
    <x v="7"/>
    <m/>
    <m/>
    <m/>
  </r>
  <r>
    <s v="KBV620"/>
    <s v="L-1318"/>
    <s v="3MC"/>
    <s v="3MC"/>
    <n v="0.5"/>
    <s v="Cambio De Filtro Gas Oíl Y Trampa De Agua"/>
    <d v="2025-03-27T00:00:00"/>
    <n v="322879"/>
    <n v="342879"/>
    <n v="7068.2"/>
    <n v="12931.8"/>
    <n v="329947.2"/>
    <n v="204"/>
    <n v="44.066703703703709"/>
    <n v="373.23324184375087"/>
    <d v="2025-10-17T00:00:00"/>
    <n v="20000"/>
    <d v="2026-10-25T05:35:52"/>
    <d v="2026-10-25T00:00:00"/>
    <s v="octubre"/>
    <s v="Activo"/>
    <m/>
    <m/>
    <s v="C003103"/>
    <s v="FILTRO TRAMPA DE AGUA - WIX (WF 10288)"/>
    <n v="1"/>
    <n v="19410.240000000002"/>
    <n v="19410.240000000002"/>
    <x v="7"/>
    <m/>
    <m/>
    <m/>
  </r>
  <r>
    <s v="KDG188"/>
    <s v="L-1318"/>
    <s v="3MC"/>
    <s v="3MC"/>
    <n v="0.5"/>
    <s v="Cambio De Filtro Gas Oíl Y Trampa De Agua"/>
    <d v="2025-03-19T00:00:00"/>
    <n v="180294"/>
    <n v="200294"/>
    <n v="8568.0000000000055"/>
    <n v="11431.999999999991"/>
    <n v="188862"/>
    <n v="212"/>
    <n v="45.429777777777801"/>
    <n v="282.864612511671"/>
    <d v="2025-10-17T00:00:00"/>
    <n v="20000"/>
    <d v="2026-07-26T20:45:03"/>
    <d v="2026-07-26T00:00:00"/>
    <s v="julio"/>
    <s v="Activo"/>
    <m/>
    <m/>
    <s v="C001031"/>
    <s v="FILTRO DE COMBUSTIBLE MANN PU1046/1X"/>
    <n v="1"/>
    <n v="10535.04"/>
    <n v="10535.04"/>
    <x v="7"/>
    <m/>
    <m/>
    <m/>
  </r>
  <r>
    <s v="KDG188"/>
    <s v="L-1318"/>
    <s v="3MC"/>
    <s v="3MC"/>
    <n v="0.5"/>
    <s v="Cambio De Filtro Gas Oíl Y Trampa De Agua"/>
    <d v="2025-03-19T00:00:00"/>
    <n v="180294"/>
    <n v="200294"/>
    <n v="8568.0000000000055"/>
    <n v="11431.999999999991"/>
    <n v="188862"/>
    <n v="212"/>
    <n v="45.429777777777801"/>
    <n v="282.864612511671"/>
    <d v="2025-10-17T00:00:00"/>
    <n v="20000"/>
    <d v="2026-07-26T20:45:03"/>
    <d v="2026-07-26T00:00:00"/>
    <s v="julio"/>
    <s v="Activo"/>
    <m/>
    <m/>
    <s v="C003103"/>
    <s v="FILTRO TRAMPA DE AGUA - WIX (WF 10288)"/>
    <n v="1"/>
    <n v="19410.240000000002"/>
    <n v="19410.240000000002"/>
    <x v="7"/>
    <m/>
    <m/>
    <m/>
  </r>
  <r>
    <s v="HRJ003"/>
    <s v="L-1318"/>
    <s v="3MC"/>
    <s v="3MC"/>
    <n v="0.5"/>
    <s v="Cambio De Filtro Gas Oíl Y Trampa De Agua"/>
    <d v="2025-06-27T00:00:00"/>
    <n v="34917.800000000003"/>
    <n v="54917.8"/>
    <n v="14084.2"/>
    <n v="5915.7999999999975"/>
    <n v="49002.000000000007"/>
    <n v="112"/>
    <n v="130.96596721311471"/>
    <n v="47.04346714758379"/>
    <d v="2025-10-17T00:00:00"/>
    <n v="20000"/>
    <d v="2026-05-04T18:07:03"/>
    <d v="2026-05-04T00:00:00"/>
    <s v="mayo"/>
    <s v="Activo"/>
    <m/>
    <m/>
    <s v="C001031"/>
    <s v="FILTRO DE COMBUSTIBLE MANN PU1046/1X"/>
    <n v="1"/>
    <n v="10535.04"/>
    <n v="10535.04"/>
    <x v="2"/>
    <m/>
    <m/>
    <m/>
  </r>
  <r>
    <s v="HRJ003"/>
    <s v="L-1318"/>
    <s v="3MC"/>
    <s v="3MC"/>
    <n v="0.5"/>
    <s v="Cambio De Filtro Gas Oíl Y Trampa De Agua"/>
    <d v="2025-06-27T00:00:00"/>
    <n v="34917.800000000003"/>
    <n v="54917.8"/>
    <n v="14084.2"/>
    <n v="5915.7999999999975"/>
    <n v="49002.000000000007"/>
    <n v="112"/>
    <n v="130.96596721311471"/>
    <n v="47.04346714758379"/>
    <d v="2025-10-17T00:00:00"/>
    <n v="20000"/>
    <d v="2026-05-04T18:07:03"/>
    <d v="2026-05-04T00:00:00"/>
    <s v="mayo"/>
    <s v="Activo"/>
    <m/>
    <m/>
    <s v="C003103"/>
    <s v="FILTRO TRAMPA DE AGUA - WIX (WF 10288)"/>
    <n v="1"/>
    <n v="19410.240000000002"/>
    <n v="19410.240000000002"/>
    <x v="2"/>
    <m/>
    <m/>
    <m/>
  </r>
  <r>
    <s v="HRJ004"/>
    <s v="L-1318"/>
    <s v="3MC"/>
    <s v="3MC"/>
    <n v="0.5"/>
    <s v="Cambio De Filtro Gas Oíl Y Trampa De Agua"/>
    <d v="2025-01-31T00:00:00"/>
    <n v="11346.4"/>
    <n v="31346.400000000001"/>
    <n v="9575.0499999999993"/>
    <n v="10424.950000000001"/>
    <n v="20921.45"/>
    <n v="259"/>
    <n v="35.996428571428567"/>
    <n v="281.9893420922084"/>
    <d v="2025-10-17T00:00:00"/>
    <n v="20000"/>
    <d v="2026-07-25T23:44:39"/>
    <d v="2026-07-25T00:00:00"/>
    <s v="julio"/>
    <s v="Activo"/>
    <m/>
    <m/>
    <s v="C001031"/>
    <s v="FILTRO DE COMBUSTIBLE MANN PU1046/1X"/>
    <n v="1"/>
    <n v="10535.04"/>
    <n v="10535.04"/>
    <x v="2"/>
    <m/>
    <m/>
    <m/>
  </r>
  <r>
    <s v="HRJ004"/>
    <s v="L-1318"/>
    <s v="3MC"/>
    <s v="3MC"/>
    <n v="0.5"/>
    <s v="Cambio De Filtro Gas Oíl Y Trampa De Agua"/>
    <d v="2025-01-31T00:00:00"/>
    <n v="11346.4"/>
    <n v="31346.400000000001"/>
    <n v="9575.0499999999993"/>
    <n v="10424.950000000001"/>
    <n v="20921.45"/>
    <n v="259"/>
    <n v="35.996428571428567"/>
    <n v="281.9893420922084"/>
    <d v="2025-10-17T00:00:00"/>
    <n v="20000"/>
    <d v="2026-07-25T23:44:39"/>
    <d v="2026-07-25T00:00:00"/>
    <s v="julio"/>
    <s v="Activo"/>
    <m/>
    <m/>
    <s v="C003103"/>
    <s v="FILTRO TRAMPA DE AGUA - WIX (WF 10288)"/>
    <n v="1"/>
    <n v="19410.240000000002"/>
    <n v="19410.240000000002"/>
    <x v="2"/>
    <m/>
    <m/>
    <m/>
  </r>
  <r>
    <s v="KHS009"/>
    <s v="ATRON 1720/48  FRONTAL"/>
    <s v="3MC"/>
    <s v="3MC"/>
    <n v="0.5"/>
    <s v="Cambio De Filtro Gas Oíl Y Trampa De Agua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1-05T01:54:37"/>
    <d v="2026-01-05T00:00:00"/>
    <s v="enero"/>
    <s v="Activo"/>
    <m/>
    <m/>
    <s v="C001031"/>
    <s v="FILTRO DE COMBUSTIBLE MANN PU1046/1X"/>
    <n v="1"/>
    <n v="10535.04"/>
    <n v="10535.04"/>
    <x v="2"/>
    <m/>
    <m/>
    <m/>
  </r>
  <r>
    <s v="KHS009"/>
    <s v="ATRON 1720/48  FRONTAL"/>
    <s v="3MC"/>
    <s v="3MC"/>
    <n v="0.5"/>
    <s v="Cambio De Filtro Gas Oíl Y Trampa De Agua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1-05T01:54:37"/>
    <d v="2026-01-05T00:00:00"/>
    <s v="enero"/>
    <s v="Activo"/>
    <m/>
    <m/>
    <s v="C003103"/>
    <s v="FILTRO TRAMPA DE AGUA - WIX (WF 10288)"/>
    <n v="1"/>
    <n v="19410.240000000002"/>
    <n v="19410.240000000002"/>
    <x v="2"/>
    <m/>
    <m/>
    <m/>
  </r>
  <r>
    <s v="OHH586"/>
    <s v="ATRON 1720/48  FRONTAL"/>
    <s v="3MC"/>
    <s v="3MC"/>
    <n v="0.5"/>
    <s v="Cambio De Filtro Gas Oíl Y Trampa De Agua"/>
    <d v="2025-03-27T00:00:00"/>
    <n v="123548"/>
    <n v="143548"/>
    <n v="7382.7000000000016"/>
    <n v="12617.3"/>
    <n v="130930.7"/>
    <n v="204"/>
    <n v="33.855032679738592"/>
    <n v="348.64334186679662"/>
    <d v="2025-10-17T00:00:00"/>
    <n v="20000"/>
    <d v="2026-09-30T15:26:25"/>
    <d v="2026-09-30T00:00:00"/>
    <s v="septiembre"/>
    <s v="Activo"/>
    <m/>
    <m/>
    <s v="C001031"/>
    <s v="FILTRO DE COMBUSTIBLE MANN PU1046/1X"/>
    <n v="1"/>
    <n v="10535.04"/>
    <n v="10535.04"/>
    <x v="3"/>
    <m/>
    <m/>
    <m/>
  </r>
  <r>
    <s v="OHH586"/>
    <s v="ATRON 1720/48  FRONTAL"/>
    <s v="3MC"/>
    <s v="3MC"/>
    <n v="0.5"/>
    <s v="Cambio De Filtro Gas Oíl Y Trampa De Agua"/>
    <d v="2025-03-27T00:00:00"/>
    <n v="123548"/>
    <n v="143548"/>
    <n v="7382.7000000000016"/>
    <n v="12617.3"/>
    <n v="130930.7"/>
    <n v="204"/>
    <n v="33.855032679738592"/>
    <n v="348.64334186679662"/>
    <d v="2025-10-17T00:00:00"/>
    <n v="20000"/>
    <d v="2026-09-30T15:26:25"/>
    <d v="2026-09-30T00:00:00"/>
    <s v="septiembre"/>
    <s v="Activo"/>
    <m/>
    <m/>
    <s v="C003103"/>
    <s v="FILTRO TRAMPA DE AGUA - WIX (WF 10288)"/>
    <n v="1"/>
    <n v="19410.240000000002"/>
    <n v="19410.240000000002"/>
    <x v="3"/>
    <m/>
    <m/>
    <m/>
  </r>
  <r>
    <s v="OHH588"/>
    <s v="ATRON 1720/48  FRONTAL"/>
    <s v="3MC"/>
    <s v="3MC"/>
    <n v="0.5"/>
    <s v="Cambio De Filtro Gas Oíl Y Trampa De Agua"/>
    <d v="2025-04-03T00:00:00"/>
    <n v="172612"/>
    <n v="192612"/>
    <n v="9021.2999999999956"/>
    <n v="10978.7"/>
    <n v="181633.3"/>
    <n v="197"/>
    <n v="39.791067961165048"/>
    <n v="239.74414995621501"/>
    <d v="2025-10-17T00:00:00"/>
    <n v="20000"/>
    <d v="2026-06-13T17:51:35"/>
    <d v="2026-06-13T00:00:00"/>
    <s v="junio"/>
    <s v="Activo"/>
    <m/>
    <m/>
    <s v="C001031"/>
    <s v="FILTRO DE COMBUSTIBLE MANN PU1046/1X"/>
    <n v="1"/>
    <n v="10535.04"/>
    <n v="10535.04"/>
    <x v="3"/>
    <m/>
    <m/>
    <m/>
  </r>
  <r>
    <s v="OHH588"/>
    <s v="ATRON 1720/48  FRONTAL"/>
    <s v="3MC"/>
    <s v="3MC"/>
    <n v="0.5"/>
    <s v="Cambio De Filtro Gas Oíl Y Trampa De Agua"/>
    <d v="2025-04-03T00:00:00"/>
    <n v="172612"/>
    <n v="192612"/>
    <n v="9021.2999999999956"/>
    <n v="10978.7"/>
    <n v="181633.3"/>
    <n v="197"/>
    <n v="39.791067961165048"/>
    <n v="239.74414995621501"/>
    <d v="2025-10-17T00:00:00"/>
    <n v="20000"/>
    <d v="2026-06-13T17:51:35"/>
    <d v="2026-06-13T00:00:00"/>
    <s v="junio"/>
    <s v="Activo"/>
    <m/>
    <m/>
    <s v="C003103"/>
    <s v="FILTRO TRAMPA DE AGUA - WIX (WF 10288)"/>
    <n v="1"/>
    <n v="19410.240000000002"/>
    <n v="19410.240000000002"/>
    <x v="3"/>
    <m/>
    <m/>
    <m/>
  </r>
  <r>
    <s v="OHH590"/>
    <s v="ATRON 1720/48  FRONTAL"/>
    <s v="3MC"/>
    <s v="3MC"/>
    <n v="0.5"/>
    <s v="Cambio De Filtro Gas Oíl Y Trampa De Agua"/>
    <d v="2025-05-26T00:00:00"/>
    <n v="134238"/>
    <n v="154238"/>
    <n v="6883.1999999999953"/>
    <n v="13116.8"/>
    <n v="141121.20000000001"/>
    <n v="144"/>
    <n v="38.754967741935467"/>
    <n v="274.41004184100439"/>
    <d v="2025-10-17T00:00:00"/>
    <n v="20000"/>
    <d v="2026-07-18T09:50:28"/>
    <d v="2026-07-18T00:00:00"/>
    <s v="julio"/>
    <s v="Activo"/>
    <m/>
    <m/>
    <s v="C001031"/>
    <s v="FILTRO DE COMBUSTIBLE MANN PU1046/1X"/>
    <n v="1"/>
    <n v="10535.04"/>
    <n v="10535.04"/>
    <x v="3"/>
    <m/>
    <m/>
    <m/>
  </r>
  <r>
    <s v="OHH590"/>
    <s v="ATRON 1720/48  FRONTAL"/>
    <s v="3MC"/>
    <s v="3MC"/>
    <n v="0.5"/>
    <s v="Cambio De Filtro Gas Oíl Y Trampa De Agua"/>
    <d v="2025-05-26T00:00:00"/>
    <n v="134238"/>
    <n v="154238"/>
    <n v="6883.1999999999953"/>
    <n v="13116.8"/>
    <n v="141121.20000000001"/>
    <n v="144"/>
    <n v="38.754967741935467"/>
    <n v="274.41004184100439"/>
    <d v="2025-10-17T00:00:00"/>
    <n v="20000"/>
    <d v="2026-07-18T09:50:28"/>
    <d v="2026-07-18T00:00:00"/>
    <s v="julio"/>
    <s v="Activo"/>
    <m/>
    <m/>
    <s v="C003103"/>
    <s v="FILTRO TRAMPA DE AGUA - WIX (WF 10288)"/>
    <n v="1"/>
    <n v="19410.240000000002"/>
    <n v="19410.240000000002"/>
    <x v="3"/>
    <m/>
    <m/>
    <m/>
  </r>
  <r>
    <s v="OHH591"/>
    <s v="ATRON 1720/48  FRONTAL"/>
    <s v="3MC"/>
    <s v="3MC"/>
    <n v="0.5"/>
    <s v="Cambio De Filtro Gas Oíl Y Trampa De Agua"/>
    <d v="2025-03-12T00:00:00"/>
    <n v="136279"/>
    <n v="156279"/>
    <n v="9392.9000000000033"/>
    <n v="10607.1"/>
    <n v="145671.9"/>
    <n v="219"/>
    <n v="39.350485436893209"/>
    <n v="247.309659423607"/>
    <d v="2025-10-17T00:00:00"/>
    <n v="20000"/>
    <d v="2026-06-21T07:25:55"/>
    <d v="2026-06-21T00:00:00"/>
    <s v="junio"/>
    <s v="Activo"/>
    <m/>
    <m/>
    <s v="C001031"/>
    <s v="FILTRO DE COMBUSTIBLE MANN PU1046/1X"/>
    <n v="1"/>
    <n v="10535.04"/>
    <n v="10535.04"/>
    <x v="3"/>
    <m/>
    <m/>
    <m/>
  </r>
  <r>
    <s v="OHH591"/>
    <s v="ATRON 1720/48  FRONTAL"/>
    <s v="3MC"/>
    <s v="3MC"/>
    <n v="0.5"/>
    <s v="Cambio De Filtro Gas Oíl Y Trampa De Agua"/>
    <d v="2025-03-12T00:00:00"/>
    <n v="136279"/>
    <n v="156279"/>
    <n v="9392.9000000000033"/>
    <n v="10607.1"/>
    <n v="145671.9"/>
    <n v="219"/>
    <n v="39.350485436893209"/>
    <n v="247.309659423607"/>
    <d v="2025-10-17T00:00:00"/>
    <n v="20000"/>
    <d v="2026-06-21T07:25:55"/>
    <d v="2026-06-21T00:00:00"/>
    <s v="junio"/>
    <s v="Activo"/>
    <m/>
    <m/>
    <s v="C003103"/>
    <s v="FILTRO TRAMPA DE AGUA - WIX (WF 10288)"/>
    <n v="1"/>
    <n v="19410.240000000002"/>
    <n v="19410.240000000002"/>
    <x v="3"/>
    <m/>
    <m/>
    <m/>
  </r>
  <r>
    <s v="OHH593"/>
    <s v="ATRON 1720/48  FRONTAL"/>
    <s v="3MC"/>
    <s v="3MC"/>
    <n v="0.5"/>
    <s v="Cambio De Filtro Gas Oíl Y Trampa De Agua"/>
    <d v="2025-03-11T00:00:00"/>
    <n v="135133"/>
    <n v="155133"/>
    <n v="15205.600000000009"/>
    <n v="4794.3999999999915"/>
    <n v="150338.6"/>
    <n v="220"/>
    <n v="62.077961165048592"/>
    <n v="69.367075288051595"/>
    <d v="2025-10-17T00:00:00"/>
    <n v="20000"/>
    <d v="2026-11-12T13:01:21"/>
    <d v="2026-11-12T00:00:00"/>
    <s v="noviembre"/>
    <s v="Activo"/>
    <m/>
    <m/>
    <s v="C001031"/>
    <s v="FILTRO DE COMBUSTIBLE MANN PU1046/1X"/>
    <n v="1"/>
    <n v="10535.04"/>
    <n v="10535.04"/>
    <x v="7"/>
    <m/>
    <m/>
    <m/>
  </r>
  <r>
    <s v="OHH593"/>
    <s v="ATRON 1720/48  FRONTAL"/>
    <s v="3MC"/>
    <s v="3MC"/>
    <n v="0.5"/>
    <s v="Cambio De Filtro Gas Oíl Y Trampa De Agua"/>
    <d v="2025-03-11T00:00:00"/>
    <n v="135133"/>
    <n v="155133"/>
    <n v="15205.600000000009"/>
    <n v="4794.3999999999915"/>
    <n v="150338.6"/>
    <n v="220"/>
    <n v="62.077961165048592"/>
    <n v="69.367075288051595"/>
    <d v="2025-10-17T00:00:00"/>
    <n v="20000"/>
    <d v="2026-11-12T13:01:21"/>
    <d v="2026-11-12T00:00:00"/>
    <s v="noviembre"/>
    <s v="Activo"/>
    <m/>
    <m/>
    <s v="C003103"/>
    <s v="FILTRO TRAMPA DE AGUA - WIX (WF 10288)"/>
    <n v="1"/>
    <n v="19410.240000000002"/>
    <n v="19410.240000000002"/>
    <x v="7"/>
    <m/>
    <m/>
    <m/>
  </r>
  <r>
    <s v="OHH595"/>
    <s v="ATRON 1720/48  FRONTAL"/>
    <s v="3MC"/>
    <s v="3MC"/>
    <n v="0.5"/>
    <s v="Cambio De Filtro Gas Oíl Y Trampa De Agua"/>
    <d v="2025-05-09T00:00:00"/>
    <n v="140250"/>
    <n v="160250"/>
    <n v="6502.5999999999949"/>
    <n v="13497.400000000011"/>
    <n v="146752.6"/>
    <n v="161"/>
    <n v="36.457612903225787"/>
    <n v="334.18654076830848"/>
    <d v="2025-10-17T00:00:00"/>
    <n v="20000"/>
    <d v="2026-09-16T04:28:37"/>
    <d v="2026-09-16T00:00:00"/>
    <s v="septiembre"/>
    <s v="Activo"/>
    <m/>
    <m/>
    <s v="C001031"/>
    <s v="FILTRO DE COMBUSTIBLE MANN PU1046/1X"/>
    <n v="1"/>
    <n v="10535.04"/>
    <n v="10535.04"/>
    <x v="3"/>
    <m/>
    <m/>
    <m/>
  </r>
  <r>
    <s v="OHH595"/>
    <s v="ATRON 1720/48  FRONTAL"/>
    <s v="3MC"/>
    <s v="3MC"/>
    <n v="0.5"/>
    <s v="Cambio De Filtro Gas Oíl Y Trampa De Agua"/>
    <d v="2025-05-09T00:00:00"/>
    <n v="140250"/>
    <n v="160250"/>
    <n v="6502.5999999999949"/>
    <n v="13497.400000000011"/>
    <n v="146752.6"/>
    <n v="161"/>
    <n v="36.457612903225787"/>
    <n v="334.18654076830848"/>
    <d v="2025-10-17T00:00:00"/>
    <n v="20000"/>
    <d v="2026-09-16T04:28:37"/>
    <d v="2026-09-16T00:00:00"/>
    <s v="septiembre"/>
    <s v="Activo"/>
    <m/>
    <m/>
    <s v="C003103"/>
    <s v="FILTRO TRAMPA DE AGUA - WIX (WF 10288)"/>
    <n v="1"/>
    <n v="19410.240000000002"/>
    <n v="19410.240000000002"/>
    <x v="3"/>
    <m/>
    <m/>
    <m/>
  </r>
  <r>
    <s v="OHH596"/>
    <s v="ATRON 1720/48  FRONTAL"/>
    <s v="3MC"/>
    <s v="3MC"/>
    <n v="0.5"/>
    <s v="Cambio De Filtro Gas Oíl Y Trampa De Agua"/>
    <d v="2025-03-17T00:00:00"/>
    <n v="175136"/>
    <n v="195136"/>
    <n v="10902.7"/>
    <n v="9097.2999999999993"/>
    <n v="186038.7"/>
    <n v="214"/>
    <n v="47.387909967845658"/>
    <n v="178.56331000577839"/>
    <d v="2025-10-17T00:00:00"/>
    <n v="20000"/>
    <d v="2026-04-13T13:31:10"/>
    <d v="2026-04-13T00:00:00"/>
    <s v="abril"/>
    <s v="Activo"/>
    <m/>
    <m/>
    <s v="C001031"/>
    <s v="FILTRO DE COMBUSTIBLE MANN PU1046/1X"/>
    <n v="1"/>
    <n v="10535.04"/>
    <n v="10535.04"/>
    <x v="7"/>
    <m/>
    <m/>
    <m/>
  </r>
  <r>
    <s v="OHH596"/>
    <s v="ATRON 1720/48  FRONTAL"/>
    <s v="3MC"/>
    <s v="3MC"/>
    <n v="0.5"/>
    <s v="Cambio De Filtro Gas Oíl Y Trampa De Agua"/>
    <d v="2025-03-17T00:00:00"/>
    <n v="175136"/>
    <n v="195136"/>
    <n v="10902.7"/>
    <n v="9097.2999999999993"/>
    <n v="186038.7"/>
    <n v="214"/>
    <n v="47.387909967845658"/>
    <n v="178.56331000577839"/>
    <d v="2025-10-17T00:00:00"/>
    <n v="20000"/>
    <d v="2026-04-13T13:31:10"/>
    <d v="2026-04-13T00:00:00"/>
    <s v="abril"/>
    <s v="Activo"/>
    <m/>
    <m/>
    <s v="C003103"/>
    <s v="FILTRO TRAMPA DE AGUA - WIX (WF 10288)"/>
    <n v="1"/>
    <n v="19410.240000000002"/>
    <n v="19410.240000000002"/>
    <x v="7"/>
    <m/>
    <m/>
    <m/>
  </r>
  <r>
    <s v="OJG060"/>
    <s v="ATRON 1720/48  FRONTAL"/>
    <s v="3MC"/>
    <s v="3MC"/>
    <n v="0.5"/>
    <s v="Cambio De Filtro Gas Oíl Y Trampa De Agua"/>
    <d v="2024-11-12T00:00:00"/>
    <n v="135670"/>
    <n v="155670"/>
    <n v="13146.66"/>
    <n v="6853.3399999999983"/>
    <n v="148816.66"/>
    <n v="339"/>
    <n v="35.350675241157553"/>
    <n v="176.72034265737449"/>
    <d v="2025-10-17T00:00:00"/>
    <n v="20000"/>
    <d v="2026-04-11T17:17:18"/>
    <d v="2026-04-11T00:00:00"/>
    <s v="abril"/>
    <s v="Activo"/>
    <m/>
    <m/>
    <s v="C001031"/>
    <s v="FILTRO DE COMBUSTIBLE MANN PU1046/1X"/>
    <n v="1"/>
    <n v="10535.04"/>
    <n v="10535.04"/>
    <x v="3"/>
    <m/>
    <m/>
    <m/>
  </r>
  <r>
    <s v="OJG060"/>
    <s v="ATRON 1720/48  FRONTAL"/>
    <s v="3MC"/>
    <s v="3MC"/>
    <n v="0.5"/>
    <s v="Cambio De Filtro Gas Oíl Y Trampa De Agua"/>
    <d v="2024-11-12T00:00:00"/>
    <n v="135670"/>
    <n v="155670"/>
    <n v="13146.66"/>
    <n v="6853.3399999999983"/>
    <n v="148816.66"/>
    <n v="339"/>
    <n v="35.350675241157553"/>
    <n v="176.72034265737449"/>
    <d v="2025-10-17T00:00:00"/>
    <n v="20000"/>
    <d v="2026-04-11T17:17:18"/>
    <d v="2026-04-11T00:00:00"/>
    <s v="abril"/>
    <s v="Activo"/>
    <m/>
    <m/>
    <s v="C003103"/>
    <s v="FILTRO TRAMPA DE AGUA - WIX (WF 10288)"/>
    <n v="1"/>
    <n v="19410.240000000002"/>
    <n v="19410.240000000002"/>
    <x v="3"/>
    <m/>
    <m/>
    <m/>
  </r>
  <r>
    <s v="OJG061"/>
    <s v="ATRON 1720/48  FRONTAL"/>
    <s v="3MC"/>
    <s v="3MC"/>
    <n v="0.5"/>
    <s v="Cambio De Filtro Gas Oíl Y Trampa De Agua"/>
    <d v="2025-03-25T00:00:00"/>
    <n v="138994"/>
    <n v="158994"/>
    <n v="7813.9000000000042"/>
    <n v="12186.099999999989"/>
    <n v="146807.9"/>
    <n v="206"/>
    <n v="32.740519480519481"/>
    <n v="321.26551401988729"/>
    <d v="2025-10-17T00:00:00"/>
    <n v="20000"/>
    <d v="2026-09-03T06:22:20"/>
    <d v="2026-09-03T00:00:00"/>
    <s v="septiembre"/>
    <s v="Activo"/>
    <m/>
    <m/>
    <s v="C001031"/>
    <s v="FILTRO DE COMBUSTIBLE MANN PU1046/1X"/>
    <n v="1"/>
    <n v="10535.04"/>
    <n v="10535.04"/>
    <x v="3"/>
    <m/>
    <m/>
    <m/>
  </r>
  <r>
    <s v="OJG061"/>
    <s v="ATRON 1720/48  FRONTAL"/>
    <s v="3MC"/>
    <s v="3MC"/>
    <n v="0.5"/>
    <s v="Cambio De Filtro Gas Oíl Y Trampa De Agua"/>
    <d v="2025-03-25T00:00:00"/>
    <n v="138994"/>
    <n v="158994"/>
    <n v="7813.9000000000042"/>
    <n v="12186.099999999989"/>
    <n v="146807.9"/>
    <n v="206"/>
    <n v="32.740519480519481"/>
    <n v="321.26551401988729"/>
    <d v="2025-10-17T00:00:00"/>
    <n v="20000"/>
    <d v="2026-09-03T06:22:20"/>
    <d v="2026-09-03T00:00:00"/>
    <s v="septiembre"/>
    <s v="Activo"/>
    <m/>
    <m/>
    <s v="C003103"/>
    <s v="FILTRO TRAMPA DE AGUA - WIX (WF 10288)"/>
    <n v="1"/>
    <n v="19410.240000000002"/>
    <n v="19410.240000000002"/>
    <x v="3"/>
    <m/>
    <m/>
    <m/>
  </r>
  <r>
    <s v="OJG062"/>
    <s v="ATRON 1720/48  FRONTAL"/>
    <s v="3MC"/>
    <s v="3MC"/>
    <n v="0.5"/>
    <s v="Cambio De Filtro Gas Oíl Y Trampa De Agua"/>
    <d v="2025-04-03T00:00:00"/>
    <n v="135586"/>
    <n v="155586"/>
    <n v="6212.800000000002"/>
    <n v="13787.2"/>
    <n v="141798.79999999999"/>
    <n v="197"/>
    <n v="29.337411003236291"/>
    <n v="437.17460726242581"/>
    <d v="2025-10-17T00:00:00"/>
    <n v="20000"/>
    <d v="2026-12-28T04:11:26"/>
    <d v="2026-12-28T00:00:00"/>
    <s v="diciembre"/>
    <s v="Activo"/>
    <m/>
    <m/>
    <s v="C001031"/>
    <s v="FILTRO DE COMBUSTIBLE MANN PU1046/1X"/>
    <n v="1"/>
    <n v="10535.04"/>
    <n v="10535.04"/>
    <x v="3"/>
    <m/>
    <m/>
    <m/>
  </r>
  <r>
    <s v="OJG062"/>
    <s v="ATRON 1720/48  FRONTAL"/>
    <s v="3MC"/>
    <s v="3MC"/>
    <n v="0.5"/>
    <s v="Cambio De Filtro Gas Oíl Y Trampa De Agua"/>
    <d v="2025-04-03T00:00:00"/>
    <n v="135586"/>
    <n v="155586"/>
    <n v="6212.800000000002"/>
    <n v="13787.2"/>
    <n v="141798.79999999999"/>
    <n v="197"/>
    <n v="29.337411003236291"/>
    <n v="437.17460726242581"/>
    <d v="2025-10-17T00:00:00"/>
    <n v="20000"/>
    <d v="2026-12-28T04:11:26"/>
    <d v="2026-12-28T00:00:00"/>
    <s v="diciembre"/>
    <s v="Activo"/>
    <m/>
    <m/>
    <s v="C003103"/>
    <s v="FILTRO TRAMPA DE AGUA - WIX (WF 10288)"/>
    <n v="1"/>
    <n v="19410.240000000002"/>
    <n v="19410.240000000002"/>
    <x v="3"/>
    <m/>
    <m/>
    <m/>
  </r>
  <r>
    <s v="OJG063"/>
    <s v="ATRON 1720/48  FRONTAL"/>
    <s v="3MC"/>
    <s v="3MC"/>
    <n v="0.5"/>
    <s v="Cambio De Filtro Gas Oíl Y Trampa De Agua"/>
    <d v="2025-05-15T00:00:00"/>
    <n v="139668"/>
    <n v="159668"/>
    <n v="6276.5"/>
    <n v="13723.5"/>
    <n v="145944.5"/>
    <n v="155"/>
    <n v="39.350129032258081"/>
    <n v="338.90583924161558"/>
    <d v="2025-10-17T00:00:00"/>
    <n v="20000"/>
    <d v="2026-09-20T21:44:25"/>
    <d v="2026-09-20T00:00:00"/>
    <s v="septiembre"/>
    <s v="Activo"/>
    <m/>
    <m/>
    <s v="C001031"/>
    <s v="FILTRO DE COMBUSTIBLE MANN PU1046/1X"/>
    <n v="1"/>
    <n v="10535.04"/>
    <n v="10535.04"/>
    <x v="7"/>
    <m/>
    <m/>
    <m/>
  </r>
  <r>
    <s v="OJG063"/>
    <s v="ATRON 1720/48  FRONTAL"/>
    <s v="3MC"/>
    <s v="3MC"/>
    <n v="0.5"/>
    <s v="Cambio De Filtro Gas Oíl Y Trampa De Agua"/>
    <d v="2025-05-15T00:00:00"/>
    <n v="139668"/>
    <n v="159668"/>
    <n v="6276.5"/>
    <n v="13723.5"/>
    <n v="145944.5"/>
    <n v="155"/>
    <n v="39.350129032258081"/>
    <n v="338.90583924161558"/>
    <d v="2025-10-17T00:00:00"/>
    <n v="20000"/>
    <d v="2026-09-20T21:44:25"/>
    <d v="2026-09-20T00:00:00"/>
    <s v="septiembre"/>
    <s v="Activo"/>
    <m/>
    <m/>
    <s v="C003103"/>
    <s v="FILTRO TRAMPA DE AGUA - WIX (WF 10288)"/>
    <n v="1"/>
    <n v="19410.240000000002"/>
    <n v="19410.240000000002"/>
    <x v="7"/>
    <m/>
    <m/>
    <m/>
  </r>
  <r>
    <s v="OJG065"/>
    <s v="ATRON 1720/48  FRONTAL"/>
    <s v="3MC"/>
    <s v="3MC"/>
    <n v="0.5"/>
    <s v="Cambio De Filtro Gas Oíl Y Trampa De Agua"/>
    <d v="2025-07-21T00:00:00"/>
    <n v="117765"/>
    <n v="137765"/>
    <n v="3374.6999999999989"/>
    <n v="16625.3"/>
    <n v="121139.7"/>
    <n v="88"/>
    <n v="35.038354838709672"/>
    <n v="433.52783951166032"/>
    <d v="2025-10-17T00:00:00"/>
    <n v="20000"/>
    <d v="2026-12-24T12:40:05"/>
    <d v="2026-12-24T00:00:00"/>
    <s v="diciembre"/>
    <s v="Activo"/>
    <m/>
    <m/>
    <s v="C001031"/>
    <s v="FILTRO DE COMBUSTIBLE MANN PU1046/1X"/>
    <n v="1"/>
    <n v="10535.04"/>
    <n v="10535.04"/>
    <x v="3"/>
    <m/>
    <m/>
    <m/>
  </r>
  <r>
    <s v="OJG065"/>
    <s v="ATRON 1720/48  FRONTAL"/>
    <s v="3MC"/>
    <s v="3MC"/>
    <n v="0.5"/>
    <s v="Cambio De Filtro Gas Oíl Y Trampa De Agua"/>
    <d v="2025-07-21T00:00:00"/>
    <n v="117765"/>
    <n v="137765"/>
    <n v="3374.6999999999989"/>
    <n v="16625.3"/>
    <n v="121139.7"/>
    <n v="88"/>
    <n v="35.038354838709672"/>
    <n v="433.52783951166032"/>
    <d v="2025-10-17T00:00:00"/>
    <n v="20000"/>
    <d v="2026-12-24T12:40:05"/>
    <d v="2026-12-24T00:00:00"/>
    <s v="diciembre"/>
    <s v="Activo"/>
    <m/>
    <m/>
    <s v="C003103"/>
    <s v="FILTRO TRAMPA DE AGUA - WIX (WF 10288)"/>
    <n v="1"/>
    <n v="19410.240000000002"/>
    <n v="19410.240000000002"/>
    <x v="3"/>
    <m/>
    <m/>
    <m/>
  </r>
  <r>
    <s v="OJG098"/>
    <s v="ATEGO 1725"/>
    <s v="3MC"/>
    <s v="3MC"/>
    <n v="0.5"/>
    <s v="Cambio De Filtro Gas Oíl Y Trampa De Agua"/>
    <s v="-"/>
    <n v="292381"/>
    <n v="312381"/>
    <n v="7939.1000000000049"/>
    <n v="12060.899999999991"/>
    <n v="300320.09999999998"/>
    <n v="222"/>
    <n v="30.400741935483872"/>
    <n v="337.25734655061621"/>
    <d v="2025-10-17T00:00:00"/>
    <n v="20000"/>
    <d v="2026-09-19T06:10:35"/>
    <d v="2026-09-19T00:00:00"/>
    <s v="septiembre"/>
    <s v="Activo"/>
    <m/>
    <m/>
    <s v="C001031"/>
    <s v="FILTRO DE COMBUSTIBLE MANN PU1046/1X"/>
    <n v="1"/>
    <n v="10535.04"/>
    <n v="10535.04"/>
    <x v="3"/>
    <m/>
    <m/>
    <m/>
  </r>
  <r>
    <s v="OJG098"/>
    <s v="ATEGO 1725"/>
    <s v="3MC"/>
    <s v="3MC"/>
    <n v="0.5"/>
    <s v="Cambio De Filtro Gas Oíl Y Trampa De Agua"/>
    <s v="-"/>
    <n v="292381"/>
    <n v="312381"/>
    <n v="7939.1000000000049"/>
    <n v="12060.899999999991"/>
    <n v="300320.09999999998"/>
    <n v="222"/>
    <n v="30.400741935483872"/>
    <n v="337.25734655061621"/>
    <d v="2025-10-17T00:00:00"/>
    <n v="20000"/>
    <d v="2026-09-19T06:10:35"/>
    <d v="2026-09-19T00:00:00"/>
    <s v="septiembre"/>
    <s v="Activo"/>
    <m/>
    <m/>
    <s v="C003103"/>
    <s v="FILTRO TRAMPA DE AGUA - WIX (WF 10288)"/>
    <n v="1"/>
    <n v="19410.240000000002"/>
    <n v="19410.240000000002"/>
    <x v="3"/>
    <m/>
    <m/>
    <m/>
  </r>
  <r>
    <s v="PLU468"/>
    <s v="ACCELO 915C"/>
    <s v="3MC"/>
    <s v="3MC"/>
    <n v="0.5"/>
    <s v="Cambio De Filtro Gas Oíl Y Trampa De Agua"/>
    <d v="2025-03-07T00:00:00"/>
    <n v="11627.1"/>
    <n v="31627.1"/>
    <n v="18411.3"/>
    <n v="1588.700000000001"/>
    <n v="30038.400000000001"/>
    <n v="224"/>
    <n v="66.921503267973904"/>
    <n v="19.32882523233015"/>
    <d v="2025-10-17T00:00:00"/>
    <n v="20000"/>
    <d v="2026-08-31T04:28:27"/>
    <d v="2026-08-31T00:00:00"/>
    <s v="agosto"/>
    <s v="Activo"/>
    <m/>
    <m/>
    <s v="C001031"/>
    <s v="FILTRO DE COMBUSTIBLE MANN PU1046/1X"/>
    <n v="1"/>
    <n v="10535.04"/>
    <n v="10535.04"/>
    <x v="5"/>
    <m/>
    <m/>
    <m/>
  </r>
  <r>
    <s v="PLU468"/>
    <s v="ACCELO 915C"/>
    <s v="3MC"/>
    <s v="3MC"/>
    <n v="0.5"/>
    <s v="Cambio De Filtro Gas Oíl Y Trampa De Agua"/>
    <d v="2025-03-07T00:00:00"/>
    <n v="11627.1"/>
    <n v="31627.1"/>
    <n v="18411.3"/>
    <n v="1588.700000000001"/>
    <n v="30038.400000000001"/>
    <n v="224"/>
    <n v="66.921503267973904"/>
    <n v="19.32882523233015"/>
    <d v="2025-10-17T00:00:00"/>
    <n v="20000"/>
    <d v="2026-08-31T04:28:27"/>
    <d v="2026-08-31T00:00:00"/>
    <s v="agosto"/>
    <s v="Activo"/>
    <m/>
    <m/>
    <s v="C003103"/>
    <s v="FILTRO TRAMPA DE AGUA - WIX (WF 10288)"/>
    <n v="1"/>
    <n v="19410.240000000002"/>
    <n v="19410.240000000002"/>
    <x v="5"/>
    <m/>
    <m/>
    <m/>
  </r>
  <r>
    <s v="PLU469"/>
    <s v="ACCELO 915C"/>
    <s v="3MC"/>
    <s v="3MC"/>
    <n v="0.5"/>
    <s v="Cambio De Filtro Gas Oíl Y Trampa De Agua"/>
    <d v="2025-03-20T00:00:00"/>
    <n v="126999"/>
    <n v="146999"/>
    <n v="6493.4000000000005"/>
    <n v="13506.6"/>
    <n v="133492.4"/>
    <n v="211"/>
    <n v="29.333408360128612"/>
    <n v="438.89065820679451"/>
    <d v="2025-10-17T00:00:00"/>
    <n v="20000"/>
    <d v="2026-12-29T21:22:33"/>
    <d v="2026-12-29T00:00:00"/>
    <s v="diciembre"/>
    <s v="Activo"/>
    <m/>
    <m/>
    <s v="C001031"/>
    <s v="FILTRO DE COMBUSTIBLE MANN PU1046/1X"/>
    <n v="1"/>
    <n v="10535.04"/>
    <n v="10535.04"/>
    <x v="3"/>
    <m/>
    <m/>
    <m/>
  </r>
  <r>
    <s v="PLU469"/>
    <s v="ACCELO 915C"/>
    <s v="3MC"/>
    <s v="3MC"/>
    <n v="0.5"/>
    <s v="Cambio De Filtro Gas Oíl Y Trampa De Agua"/>
    <d v="2025-03-20T00:00:00"/>
    <n v="126999"/>
    <n v="146999"/>
    <n v="6493.4000000000005"/>
    <n v="13506.6"/>
    <n v="133492.4"/>
    <n v="211"/>
    <n v="29.333408360128612"/>
    <n v="438.89065820679451"/>
    <d v="2025-10-17T00:00:00"/>
    <n v="20000"/>
    <d v="2026-12-29T21:22:33"/>
    <d v="2026-12-29T00:00:00"/>
    <s v="diciembre"/>
    <s v="Activo"/>
    <m/>
    <m/>
    <s v="C003103"/>
    <s v="FILTRO TRAMPA DE AGUA - WIX (WF 10288)"/>
    <n v="1"/>
    <n v="19410.240000000002"/>
    <n v="19410.240000000002"/>
    <x v="3"/>
    <m/>
    <m/>
    <m/>
  </r>
  <r>
    <s v="BVH267"/>
    <n v="914"/>
    <s v="3MC"/>
    <s v="3MC"/>
    <n v="0.5"/>
    <s v="Cambio De Filtro Gas Oíl Y Trampa De Agua"/>
    <d v="2024-08-27T00:00:00"/>
    <n v="297633"/>
    <n v="317633"/>
    <n v="22900.17"/>
    <n v="-2900.1699999999978"/>
    <n v="320533.17"/>
    <n v="416"/>
    <n v="48.157370129870131"/>
    <n v="-52.683919813695681"/>
    <d v="2025-10-17T00:00:00"/>
    <n v="20000"/>
    <d v="2026-12-06T07:19:18"/>
    <d v="2026-12-06T00:00:00"/>
    <s v="diciembre"/>
    <s v="Activo"/>
    <m/>
    <m/>
    <s v="C001031"/>
    <s v="FILTRO DE COMBUSTIBLE MANN PU1046/1X"/>
    <n v="1"/>
    <n v="10535.04"/>
    <n v="10535.04"/>
    <x v="4"/>
    <m/>
    <m/>
    <m/>
  </r>
  <r>
    <s v="BVH267"/>
    <n v="914"/>
    <s v="3MC"/>
    <s v="3MC"/>
    <n v="0.5"/>
    <s v="Cambio De Filtro Gas Oíl Y Trampa De Agua"/>
    <d v="2024-08-27T00:00:00"/>
    <n v="297633"/>
    <n v="317633"/>
    <n v="22900.17"/>
    <n v="-2900.1699999999978"/>
    <n v="320533.17"/>
    <n v="416"/>
    <n v="48.157370129870131"/>
    <n v="-52.683919813695681"/>
    <d v="2025-10-17T00:00:00"/>
    <n v="20000"/>
    <d v="2026-12-06T07:19:18"/>
    <d v="2026-12-06T00:00:00"/>
    <s v="diciembre"/>
    <s v="Activo"/>
    <m/>
    <m/>
    <s v="C003103"/>
    <s v="FILTRO TRAMPA DE AGUA - WIX (WF 10288)"/>
    <n v="1"/>
    <n v="19410.240000000002"/>
    <n v="19410.240000000002"/>
    <x v="4"/>
    <m/>
    <m/>
    <m/>
  </r>
  <r>
    <s v="GOR390"/>
    <n v="1624"/>
    <s v="3MC"/>
    <s v="3MC"/>
    <n v="0.5"/>
    <s v="Cambio De Filtro Gas Oíl Y Trampa De Agua"/>
    <d v="2025-06-23T00:00:00"/>
    <n v="511084"/>
    <n v="531084"/>
    <n v="8073.1000000000013"/>
    <n v="11926.9"/>
    <n v="519157.1"/>
    <n v="116"/>
    <n v="57.283729903536972"/>
    <n v="171.3741189877494"/>
    <d v="2025-10-17T00:00:00"/>
    <n v="20000"/>
    <d v="2026-04-06T08:58:44"/>
    <d v="2026-04-06T00:00:00"/>
    <s v="abril"/>
    <s v="Activo"/>
    <m/>
    <m/>
    <s v="C001031"/>
    <s v="FILTRO DE COMBUSTIBLE MANN PU1046/1X"/>
    <n v="1"/>
    <n v="10535.04"/>
    <n v="10535.04"/>
    <x v="4"/>
    <m/>
    <m/>
    <m/>
  </r>
  <r>
    <s v="GOR390"/>
    <n v="1624"/>
    <s v="3MC"/>
    <s v="3MC"/>
    <n v="0.5"/>
    <s v="Cambio De Filtro Gas Oíl Y Trampa De Agua"/>
    <d v="2025-06-23T00:00:00"/>
    <n v="511084"/>
    <n v="531084"/>
    <n v="8073.1000000000013"/>
    <n v="11926.9"/>
    <n v="519157.1"/>
    <n v="116"/>
    <n v="57.283729903536972"/>
    <n v="171.3741189877494"/>
    <d v="2025-10-17T00:00:00"/>
    <n v="20000"/>
    <d v="2026-04-06T08:58:44"/>
    <d v="2026-04-06T00:00:00"/>
    <s v="abril"/>
    <s v="Activo"/>
    <m/>
    <m/>
    <s v="C003103"/>
    <s v="FILTRO TRAMPA DE AGUA - WIX (WF 10288)"/>
    <n v="1"/>
    <n v="19410.240000000002"/>
    <n v="19410.240000000002"/>
    <x v="4"/>
    <m/>
    <m/>
    <m/>
  </r>
  <r>
    <s v="LTS288"/>
    <s v="ATEGO 1725"/>
    <s v="3MC"/>
    <s v="3MC"/>
    <n v="0.5"/>
    <s v="Cambio De Filtro Gas Oíl Y Trampa De Agua"/>
    <d v="2025-06-09T00:00:00"/>
    <n v="1015308"/>
    <n v="1035308"/>
    <n v="35709.500000000007"/>
    <n v="-15709.500000000009"/>
    <n v="1051017.5"/>
    <n v="130"/>
    <n v="455.32846441947561"/>
    <n v="-57.190243492628028"/>
    <d v="2025-10-17T00:00:00"/>
    <n v="20000"/>
    <d v="2026-01-12T20:22:05"/>
    <d v="2026-01-12T00:00:00"/>
    <s v="enero"/>
    <s v="Activo"/>
    <m/>
    <m/>
    <s v="C001031"/>
    <s v="FILTRO DE COMBUSTIBLE MANN PU1046/1X"/>
    <n v="1"/>
    <n v="10535.04"/>
    <n v="10535.04"/>
    <x v="18"/>
    <m/>
    <m/>
    <m/>
  </r>
  <r>
    <s v="LTS288"/>
    <s v="ATEGO 1725"/>
    <s v="3MC"/>
    <s v="3MC"/>
    <n v="0.5"/>
    <s v="Cambio De Filtro Gas Oíl Y Trampa De Agua"/>
    <d v="2025-06-09T00:00:00"/>
    <n v="1015308"/>
    <n v="1035308"/>
    <n v="35709.500000000007"/>
    <n v="-15709.500000000009"/>
    <n v="1051017.5"/>
    <n v="130"/>
    <n v="455.32846441947561"/>
    <n v="-57.190243492628028"/>
    <d v="2025-10-17T00:00:00"/>
    <n v="20000"/>
    <d v="2026-01-12T20:22:05"/>
    <d v="2026-01-12T00:00:00"/>
    <s v="enero"/>
    <s v="Activo"/>
    <m/>
    <m/>
    <s v="C003103"/>
    <s v="FILTRO TRAMPA DE AGUA - WIX (WF 10288)"/>
    <n v="1"/>
    <n v="19410.240000000002"/>
    <n v="19410.240000000002"/>
    <x v="18"/>
    <m/>
    <m/>
    <m/>
  </r>
  <r>
    <s v="LRN157"/>
    <s v="ATEGO 1725"/>
    <s v="3MC"/>
    <s v="3MC"/>
    <n v="0.5"/>
    <s v="Cambio De Filtro Gas Oíl Y Trampa De Agua"/>
    <d v="2025-05-20T00:00:00"/>
    <n v="991392"/>
    <n v="1011392"/>
    <n v="42888.2"/>
    <n v="-22888.2"/>
    <n v="1034280.2"/>
    <n v="150"/>
    <n v="263.69237037037038"/>
    <n v="-80.05068993336161"/>
    <d v="2025-10-17T00:00:00"/>
    <n v="20000"/>
    <d v="2026-03-17T16:36:21"/>
    <d v="2026-03-17T00:00:00"/>
    <s v="marzo"/>
    <s v="Activo"/>
    <m/>
    <m/>
    <s v="C001031"/>
    <s v="FILTRO DE COMBUSTIBLE MANN PU1046/1X"/>
    <n v="1"/>
    <n v="10535.04"/>
    <n v="10535.04"/>
    <x v="18"/>
    <m/>
    <m/>
    <m/>
  </r>
  <r>
    <s v="LRN157"/>
    <s v="ATEGO 1725"/>
    <s v="3MC"/>
    <s v="3MC"/>
    <n v="0.5"/>
    <s v="Cambio De Filtro Gas Oíl Y Trampa De Agua"/>
    <d v="2025-05-20T00:00:00"/>
    <n v="991392"/>
    <n v="1011392"/>
    <n v="42888.2"/>
    <n v="-22888.2"/>
    <n v="1034280.2"/>
    <n v="150"/>
    <n v="263.69237037037038"/>
    <n v="-80.05068993336161"/>
    <d v="2025-10-17T00:00:00"/>
    <n v="20000"/>
    <d v="2026-03-17T16:36:21"/>
    <d v="2026-03-17T00:00:00"/>
    <s v="marzo"/>
    <s v="Activo"/>
    <m/>
    <m/>
    <s v="C003103"/>
    <s v="FILTRO TRAMPA DE AGUA - WIX (WF 10288)"/>
    <n v="1"/>
    <n v="19410.240000000002"/>
    <n v="19410.240000000002"/>
    <x v="18"/>
    <m/>
    <m/>
    <m/>
  </r>
  <r>
    <s v="OZH811"/>
    <s v="ATEGO 1725"/>
    <s v="3MC"/>
    <s v="3MC"/>
    <n v="0.5"/>
    <s v="Cambio De Filtro Gas Oíl Y Trampa De Agua"/>
    <s v="-"/>
    <m/>
    <m/>
    <m/>
    <m/>
    <m/>
    <m/>
    <n v="169.51837638376381"/>
    <m/>
    <d v="2025-10-17T00:00:00"/>
    <n v="20000"/>
    <d v="2026-02-11T23:33:05"/>
    <d v="2026-02-11T00:00:00"/>
    <s v="febrero"/>
    <s v="Activo"/>
    <m/>
    <m/>
    <s v="C001031"/>
    <s v="FILTRO DE COMBUSTIBLE MANN PU1046/1X"/>
    <n v="1"/>
    <n v="10535.04"/>
    <n v="10535.04"/>
    <x v="18"/>
    <m/>
    <m/>
    <m/>
  </r>
  <r>
    <s v="OZH811"/>
    <s v="ATEGO 1725"/>
    <s v="3MC"/>
    <s v="3MC"/>
    <n v="0.5"/>
    <s v="Cambio De Filtro Gas Oíl Y Trampa De Agua"/>
    <s v="-"/>
    <m/>
    <m/>
    <m/>
    <m/>
    <m/>
    <m/>
    <n v="169.51837638376381"/>
    <m/>
    <d v="2025-10-17T00:00:00"/>
    <n v="20000"/>
    <d v="2026-02-11T23:33:05"/>
    <d v="2026-02-11T00:00:00"/>
    <s v="febrero"/>
    <s v="Activo"/>
    <m/>
    <m/>
    <s v="C003103"/>
    <s v="FILTRO TRAMPA DE AGUA - WIX (WF 10288)"/>
    <n v="1"/>
    <n v="19410.240000000002"/>
    <n v="19410.240000000002"/>
    <x v="18"/>
    <m/>
    <m/>
    <m/>
  </r>
  <r>
    <s v="MYR537"/>
    <s v="ATEGO 1725"/>
    <s v="3MC"/>
    <s v="3MC"/>
    <n v="0.5"/>
    <s v="Cambio De Filtro Gas Oíl Y Trampa De Agua"/>
    <d v="2025-05-13T00:00:00"/>
    <n v="804435"/>
    <n v="824435"/>
    <n v="23771.1"/>
    <n v="-3771.1000000000022"/>
    <n v="828206.1"/>
    <n v="157"/>
    <n v="518.64529411764704"/>
    <n v="-24.90682803908949"/>
    <d v="2025-10-17T00:00:00"/>
    <n v="20000"/>
    <d v="2026-01-02T02:58:34"/>
    <d v="2026-01-02T00:00:00"/>
    <s v="enero"/>
    <s v="Activo"/>
    <m/>
    <m/>
    <s v="C001031"/>
    <s v="FILTRO DE COMBUSTIBLE MANN PU1046/1X"/>
    <n v="1"/>
    <n v="10535.04"/>
    <n v="10535.04"/>
    <x v="18"/>
    <m/>
    <m/>
    <m/>
  </r>
  <r>
    <s v="MYR537"/>
    <s v="ATEGO 1725"/>
    <s v="3MC"/>
    <s v="3MC"/>
    <n v="0.5"/>
    <s v="Cambio De Filtro Gas Oíl Y Trampa De Agua"/>
    <d v="2025-05-13T00:00:00"/>
    <n v="804435"/>
    <n v="824435"/>
    <n v="23771.1"/>
    <n v="-3771.1000000000022"/>
    <n v="828206.1"/>
    <n v="157"/>
    <n v="518.64529411764704"/>
    <n v="-24.90682803908949"/>
    <d v="2025-10-17T00:00:00"/>
    <n v="20000"/>
    <d v="2026-01-02T02:58:34"/>
    <d v="2026-01-02T00:00:00"/>
    <s v="enero"/>
    <s v="Activo"/>
    <m/>
    <m/>
    <s v="C003103"/>
    <s v="FILTRO TRAMPA DE AGUA - WIX (WF 10288)"/>
    <n v="1"/>
    <n v="19410.240000000002"/>
    <n v="19410.240000000002"/>
    <x v="18"/>
    <m/>
    <m/>
    <m/>
  </r>
  <r>
    <s v="GUW657"/>
    <n v="1624"/>
    <s v="3MC"/>
    <s v="3MC"/>
    <n v="0.5"/>
    <s v="Cambio De Filtro Gas Oíl Y Trampa De Agua"/>
    <d v="2025-04-01T00:00:00"/>
    <n v="10362"/>
    <n v="30362"/>
    <n v="12667.1"/>
    <n v="7332.9000000000005"/>
    <n v="23029.1"/>
    <n v="199"/>
    <n v="53.990801282051272"/>
    <n v="115.1997773760372"/>
    <d v="2025-10-17T00:00:00"/>
    <n v="20000"/>
    <d v="2026-02-09T04:47:41"/>
    <d v="2026-02-09T00:00:00"/>
    <s v="febrero"/>
    <s v="Activo"/>
    <m/>
    <m/>
    <s v="C001031"/>
    <s v="FILTRO DE COMBUSTIBLE MANN PU1046/1X"/>
    <n v="1"/>
    <n v="10535.04"/>
    <n v="10535.04"/>
    <x v="19"/>
    <m/>
    <m/>
    <m/>
  </r>
  <r>
    <s v="GUW657"/>
    <n v="1624"/>
    <s v="3MC"/>
    <s v="3MC"/>
    <n v="0.5"/>
    <s v="Cambio De Filtro Gas Oíl Y Trampa De Agua"/>
    <d v="2025-04-01T00:00:00"/>
    <n v="10362"/>
    <n v="30362"/>
    <n v="12667.1"/>
    <n v="7332.9000000000005"/>
    <n v="23029.1"/>
    <n v="199"/>
    <n v="53.990801282051272"/>
    <n v="115.1997773760372"/>
    <d v="2025-10-17T00:00:00"/>
    <n v="20000"/>
    <d v="2026-02-09T04:47:41"/>
    <d v="2026-02-09T00:00:00"/>
    <s v="febrero"/>
    <s v="Activo"/>
    <m/>
    <m/>
    <s v="C003103"/>
    <s v="FILTRO TRAMPA DE AGUA - WIX (WF 10288)"/>
    <n v="1"/>
    <n v="19410.240000000002"/>
    <n v="19410.240000000002"/>
    <x v="19"/>
    <m/>
    <m/>
    <m/>
  </r>
  <r>
    <s v="NIE146"/>
    <s v="ATRON 1720/48  FRONTAL"/>
    <s v="3MC"/>
    <s v="3MC"/>
    <n v="0.5"/>
    <s v="Cambio De Filtro Gas Oíl Y Trampa De Agua"/>
    <d v="2024-10-22T00:00:00"/>
    <n v="502203"/>
    <n v="522203"/>
    <n v="14467.7"/>
    <n v="5532.3000000000047"/>
    <n v="516670.7"/>
    <n v="360"/>
    <n v="33.863782051282037"/>
    <n v="137.66030536989311"/>
    <d v="2025-10-17T00:00:00"/>
    <n v="20000"/>
    <d v="2026-03-03T15:50:50"/>
    <d v="2026-03-03T00:00:00"/>
    <s v="marzo"/>
    <s v="Activo"/>
    <m/>
    <m/>
    <s v="C001031"/>
    <s v="FILTRO DE COMBUSTIBLE MANN PU1046/1X"/>
    <n v="1"/>
    <n v="10535.04"/>
    <n v="10535.04"/>
    <x v="1"/>
    <m/>
    <m/>
    <m/>
  </r>
  <r>
    <s v="NIE146"/>
    <s v="ATRON 1720/48  FRONTAL"/>
    <s v="3MC"/>
    <s v="3MC"/>
    <n v="0.5"/>
    <s v="Cambio De Filtro Gas Oíl Y Trampa De Agua"/>
    <d v="2024-10-22T00:00:00"/>
    <n v="502203"/>
    <n v="522203"/>
    <n v="14467.7"/>
    <n v="5532.3000000000047"/>
    <n v="516670.7"/>
    <n v="360"/>
    <n v="33.863782051282037"/>
    <n v="137.66030536989311"/>
    <d v="2025-10-17T00:00:00"/>
    <n v="20000"/>
    <d v="2026-03-03T15:50:50"/>
    <d v="2026-03-03T00:00:00"/>
    <s v="marzo"/>
    <s v="Activo"/>
    <m/>
    <m/>
    <s v="C003103"/>
    <s v="FILTRO TRAMPA DE AGUA - WIX (WF 10288)"/>
    <n v="1"/>
    <n v="19410.240000000002"/>
    <n v="19410.240000000002"/>
    <x v="1"/>
    <m/>
    <m/>
    <m/>
  </r>
  <r>
    <s v="GOX956"/>
    <n v="1624"/>
    <s v="3MC"/>
    <s v="3MC"/>
    <n v="0.5"/>
    <s v="Cambio De Filtro Gas Oíl Y Trampa De Agua"/>
    <d v="2025-07-24T00:00:00"/>
    <n v="808028"/>
    <n v="828028"/>
    <n v="7209.7999999999984"/>
    <n v="12790.2"/>
    <n v="815237.8"/>
    <n v="85"/>
    <n v="100.27773026315791"/>
    <n v="150.79017448472919"/>
    <d v="2025-10-17T00:00:00"/>
    <n v="20000"/>
    <d v="2026-03-16T18:57:51"/>
    <d v="2026-03-16T00:00:00"/>
    <s v="marzo"/>
    <s v="Activo"/>
    <m/>
    <m/>
    <s v="C001031"/>
    <s v="FILTRO DE COMBUSTIBLE MANN PU1046/1X"/>
    <n v="1"/>
    <n v="10535.04"/>
    <n v="10535.04"/>
    <x v="5"/>
    <m/>
    <m/>
    <m/>
  </r>
  <r>
    <s v="GOX956"/>
    <n v="1624"/>
    <s v="3MC"/>
    <s v="3MC"/>
    <n v="0.5"/>
    <s v="Cambio De Filtro Gas Oíl Y Trampa De Agua"/>
    <d v="2025-07-24T00:00:00"/>
    <n v="808028"/>
    <n v="828028"/>
    <n v="7209.7999999999984"/>
    <n v="12790.2"/>
    <n v="815237.8"/>
    <n v="85"/>
    <n v="100.27773026315791"/>
    <n v="150.79017448472919"/>
    <d v="2025-10-17T00:00:00"/>
    <n v="20000"/>
    <d v="2026-03-16T18:57:51"/>
    <d v="2026-03-16T00:00:00"/>
    <s v="marzo"/>
    <s v="Activo"/>
    <m/>
    <m/>
    <s v="C003103"/>
    <s v="FILTRO TRAMPA DE AGUA - WIX (WF 10288)"/>
    <n v="1"/>
    <n v="19410.240000000002"/>
    <n v="19410.240000000002"/>
    <x v="5"/>
    <m/>
    <m/>
    <m/>
  </r>
  <r>
    <s v="NIE147"/>
    <s v="ATRON 1720/48  FRONTAL"/>
    <s v="3MC"/>
    <s v="3MC"/>
    <n v="0.5"/>
    <s v="Cambio De Filtro Gas Oíl Y Trampa De Agua"/>
    <d v="2025-06-03T00:00:00"/>
    <n v="309592"/>
    <n v="329592"/>
    <n v="5644.7999999999975"/>
    <n v="14355.2"/>
    <n v="315236.8"/>
    <n v="136"/>
    <n v="34.71594771241827"/>
    <n v="345.8594104308392"/>
    <d v="2025-10-17T00:00:00"/>
    <n v="20000"/>
    <d v="2026-09-27T20:37:33"/>
    <d v="2026-09-27T00:00:00"/>
    <s v="septiembre"/>
    <s v="Activo"/>
    <m/>
    <m/>
    <s v="C001031"/>
    <s v="FILTRO DE COMBUSTIBLE MANN PU1046/1X"/>
    <n v="1"/>
    <n v="10535.04"/>
    <n v="10535.04"/>
    <x v="1"/>
    <m/>
    <m/>
    <m/>
  </r>
  <r>
    <s v="NIE147"/>
    <s v="ATRON 1720/48  FRONTAL"/>
    <s v="3MC"/>
    <s v="3MC"/>
    <n v="0.5"/>
    <s v="Cambio De Filtro Gas Oíl Y Trampa De Agua"/>
    <d v="2025-06-03T00:00:00"/>
    <n v="309592"/>
    <n v="329592"/>
    <n v="5644.7999999999975"/>
    <n v="14355.2"/>
    <n v="315236.8"/>
    <n v="136"/>
    <n v="34.71594771241827"/>
    <n v="345.8594104308392"/>
    <d v="2025-10-17T00:00:00"/>
    <n v="20000"/>
    <d v="2026-09-27T20:37:33"/>
    <d v="2026-09-27T00:00:00"/>
    <s v="septiembre"/>
    <s v="Activo"/>
    <m/>
    <m/>
    <s v="C003103"/>
    <s v="FILTRO TRAMPA DE AGUA - WIX (WF 10288)"/>
    <n v="1"/>
    <n v="19410.240000000002"/>
    <n v="19410.240000000002"/>
    <x v="1"/>
    <m/>
    <m/>
    <m/>
  </r>
  <r>
    <s v="GTE287"/>
    <n v="1624"/>
    <s v="3MC"/>
    <s v="3MC"/>
    <n v="0.5"/>
    <s v="Cambio De Filtro Gas Oíl Y Trampa De Agua"/>
    <d v="2025-08-01T00:00:00"/>
    <n v="24799.1"/>
    <n v="44799.1"/>
    <n v="3627.4"/>
    <n v="16372.6"/>
    <n v="28426.5"/>
    <n v="77"/>
    <n v="131.93916129032249"/>
    <n v="347.5465071401004"/>
    <d v="2025-10-17T00:00:00"/>
    <n v="20000"/>
    <d v="2026-09-29T13:06:58"/>
    <d v="2026-09-29T00:00:00"/>
    <s v="septiembre"/>
    <s v="Activo"/>
    <m/>
    <m/>
    <s v="C001031"/>
    <s v="FILTRO DE COMBUSTIBLE MANN PU1046/1X"/>
    <n v="1"/>
    <n v="10535.04"/>
    <n v="10535.04"/>
    <x v="10"/>
    <m/>
    <m/>
    <m/>
  </r>
  <r>
    <s v="GTE287"/>
    <n v="1624"/>
    <s v="3MC"/>
    <s v="3MC"/>
    <n v="0.5"/>
    <s v="Cambio De Filtro Gas Oíl Y Trampa De Agua"/>
    <d v="2025-08-01T00:00:00"/>
    <n v="24799.1"/>
    <n v="44799.1"/>
    <n v="3627.4"/>
    <n v="16372.6"/>
    <n v="28426.5"/>
    <n v="77"/>
    <n v="131.93916129032249"/>
    <n v="347.5465071401004"/>
    <d v="2025-10-17T00:00:00"/>
    <n v="20000"/>
    <d v="2026-09-29T13:06:58"/>
    <d v="2026-09-29T00:00:00"/>
    <s v="septiembre"/>
    <s v="Activo"/>
    <m/>
    <m/>
    <s v="C003103"/>
    <s v="FILTRO TRAMPA DE AGUA - WIX (WF 10288)"/>
    <n v="1"/>
    <n v="19410.240000000002"/>
    <n v="19410.240000000002"/>
    <x v="10"/>
    <m/>
    <m/>
    <m/>
  </r>
  <r>
    <s v="GVU097"/>
    <n v="1624"/>
    <s v="3MC"/>
    <s v="3MC"/>
    <n v="0.5"/>
    <s v="Cambio De Filtro Gas Oíl Y Trampa De Agua"/>
    <d v="2025-07-07T00:00:00"/>
    <n v="656303"/>
    <n v="676303"/>
    <n v="6490.9999999999991"/>
    <n v="13509"/>
    <n v="662794"/>
    <n v="102"/>
    <n v="93.110293159609114"/>
    <n v="212.28131258665849"/>
    <d v="2025-10-17T00:00:00"/>
    <n v="20000"/>
    <d v="2026-05-17T06:45:05"/>
    <d v="2026-05-17T00:00:00"/>
    <s v="mayo"/>
    <s v="Activo"/>
    <m/>
    <m/>
    <s v="C001031"/>
    <s v="FILTRO DE COMBUSTIBLE MANN PU1046/1X"/>
    <n v="1"/>
    <n v="10535.04"/>
    <n v="10535.04"/>
    <x v="10"/>
    <m/>
    <m/>
    <m/>
  </r>
  <r>
    <s v="GVU097"/>
    <n v="1624"/>
    <s v="3MC"/>
    <s v="3MC"/>
    <n v="0.5"/>
    <s v="Cambio De Filtro Gas Oíl Y Trampa De Agua"/>
    <d v="2025-07-07T00:00:00"/>
    <n v="656303"/>
    <n v="676303"/>
    <n v="6490.9999999999991"/>
    <n v="13509"/>
    <n v="662794"/>
    <n v="102"/>
    <n v="93.110293159609114"/>
    <n v="212.28131258665849"/>
    <d v="2025-10-17T00:00:00"/>
    <n v="20000"/>
    <d v="2026-05-17T06:45:05"/>
    <d v="2026-05-17T00:00:00"/>
    <s v="mayo"/>
    <s v="Activo"/>
    <m/>
    <m/>
    <s v="C003103"/>
    <s v="FILTRO TRAMPA DE AGUA - WIX (WF 10288)"/>
    <n v="1"/>
    <n v="19410.240000000002"/>
    <n v="19410.240000000002"/>
    <x v="10"/>
    <m/>
    <m/>
    <m/>
  </r>
  <r>
    <s v="JIL525"/>
    <s v="L-1318"/>
    <s v="3MC"/>
    <s v="3MC"/>
    <n v="0.5"/>
    <s v="Cambio De Filtro Gas Oíl Y Trampa De Agua"/>
    <d v="2025-04-01T00:00:00"/>
    <n v="14041.5"/>
    <n v="34041.5"/>
    <n v="7825.0999999999995"/>
    <n v="12174.9"/>
    <n v="21866.6"/>
    <n v="199"/>
    <n v="45.164889705882352"/>
    <n v="309.61969815082239"/>
    <d v="2025-10-17T00:00:00"/>
    <n v="20000"/>
    <d v="2026-08-22T14:52:22"/>
    <d v="2026-08-22T00:00:00"/>
    <s v="agosto"/>
    <s v="Activo"/>
    <m/>
    <m/>
    <s v="C001031"/>
    <s v="FILTRO DE COMBUSTIBLE MANN PU1046/1X"/>
    <n v="1"/>
    <n v="10535.04"/>
    <n v="10535.04"/>
    <x v="19"/>
    <m/>
    <m/>
    <m/>
  </r>
  <r>
    <s v="JIL525"/>
    <s v="L-1318"/>
    <s v="3MC"/>
    <s v="3MC"/>
    <n v="0.5"/>
    <s v="Cambio De Filtro Gas Oíl Y Trampa De Agua"/>
    <d v="2025-04-01T00:00:00"/>
    <n v="14041.5"/>
    <n v="34041.5"/>
    <n v="7825.0999999999995"/>
    <n v="12174.9"/>
    <n v="21866.6"/>
    <n v="199"/>
    <n v="45.164889705882352"/>
    <n v="309.61969815082239"/>
    <d v="2025-10-17T00:00:00"/>
    <n v="20000"/>
    <d v="2026-08-22T14:52:22"/>
    <d v="2026-08-22T00:00:00"/>
    <s v="agosto"/>
    <s v="Activo"/>
    <m/>
    <m/>
    <s v="C003103"/>
    <s v="FILTRO TRAMPA DE AGUA - WIX (WF 10288)"/>
    <n v="1"/>
    <n v="19410.240000000002"/>
    <n v="19410.240000000002"/>
    <x v="19"/>
    <m/>
    <m/>
    <m/>
  </r>
  <r>
    <s v="AF642OU"/>
    <s v="ATEGO 1721 48"/>
    <s v="3MC"/>
    <s v="3MC"/>
    <n v="0.5"/>
    <s v="Cambio De Filtro Gas Oíl Y Trampa De Agua"/>
    <d v="2025-03-25T00:00:00"/>
    <n v="33326.199999999997"/>
    <n v="53326.2"/>
    <n v="7126.5000000000036"/>
    <n v="12873.5"/>
    <n v="40452.699999999997"/>
    <n v="206"/>
    <n v="38.89159259259263"/>
    <n v="372.12390373956327"/>
    <d v="2025-10-17T00:00:00"/>
    <n v="20000"/>
    <d v="2026-10-24T02:58:25"/>
    <d v="2026-10-24T00:00:00"/>
    <s v="octubre"/>
    <s v="Activo"/>
    <m/>
    <m/>
    <s v="C001031"/>
    <s v="FILTRO DE COMBUSTIBLE MANN PU1046/1X"/>
    <n v="1"/>
    <n v="10535.04"/>
    <n v="10535.04"/>
    <x v="3"/>
    <m/>
    <m/>
    <m/>
  </r>
  <r>
    <s v="AF642OU"/>
    <s v="ATEGO 1721 48"/>
    <s v="3MC"/>
    <s v="3MC"/>
    <n v="0.5"/>
    <s v="Cambio De Filtro Gas Oíl Y Trampa De Agua"/>
    <d v="2025-03-25T00:00:00"/>
    <n v="33326.199999999997"/>
    <n v="53326.2"/>
    <n v="7126.5000000000036"/>
    <n v="12873.5"/>
    <n v="40452.699999999997"/>
    <n v="206"/>
    <n v="38.89159259259263"/>
    <n v="372.12390373956327"/>
    <d v="2025-10-17T00:00:00"/>
    <n v="20000"/>
    <d v="2026-10-24T02:58:25"/>
    <d v="2026-10-24T00:00:00"/>
    <s v="octubre"/>
    <s v="Activo"/>
    <m/>
    <m/>
    <s v="C003103"/>
    <s v="FILTRO TRAMPA DE AGUA - WIX (WF 10288)"/>
    <n v="1"/>
    <n v="19410.240000000002"/>
    <n v="19410.240000000002"/>
    <x v="3"/>
    <m/>
    <m/>
    <m/>
  </r>
  <r>
    <s v="AF642OS"/>
    <s v="ATEGO 1721 48"/>
    <s v="3MC"/>
    <s v="3MC"/>
    <n v="0.5"/>
    <s v="Cambio De Filtro Gas Oíl Y Trampa De Agua"/>
    <d v="2024-11-15T00:00:00"/>
    <n v="29476"/>
    <n v="49476"/>
    <n v="12799.580000000011"/>
    <n v="7200.4199999999892"/>
    <n v="42275.580000000009"/>
    <n v="336"/>
    <n v="40.312058823529441"/>
    <n v="189.0172271277647"/>
    <d v="2025-10-17T00:00:00"/>
    <n v="20000"/>
    <d v="2026-04-24T00:24:48"/>
    <d v="2026-04-24T00:00:00"/>
    <s v="abril"/>
    <s v="Activo"/>
    <m/>
    <m/>
    <s v="C001031"/>
    <s v="FILTRO DE COMBUSTIBLE MANN PU1046/1X"/>
    <n v="1"/>
    <n v="10535.04"/>
    <n v="10535.04"/>
    <x v="3"/>
    <m/>
    <m/>
    <m/>
  </r>
  <r>
    <s v="AF642OS"/>
    <s v="ATEGO 1721 48"/>
    <s v="3MC"/>
    <s v="3MC"/>
    <n v="0.5"/>
    <s v="Cambio De Filtro Gas Oíl Y Trampa De Agua"/>
    <d v="2024-11-15T00:00:00"/>
    <n v="29476"/>
    <n v="49476"/>
    <n v="12799.580000000011"/>
    <n v="7200.4199999999892"/>
    <n v="42275.580000000009"/>
    <n v="336"/>
    <n v="40.312058823529441"/>
    <n v="189.0172271277647"/>
    <d v="2025-10-17T00:00:00"/>
    <n v="20000"/>
    <d v="2026-04-24T00:24:48"/>
    <d v="2026-04-24T00:00:00"/>
    <s v="abril"/>
    <s v="Activo"/>
    <m/>
    <m/>
    <s v="C003103"/>
    <s v="FILTRO TRAMPA DE AGUA - WIX (WF 10288)"/>
    <n v="1"/>
    <n v="19410.240000000002"/>
    <n v="19410.240000000002"/>
    <x v="3"/>
    <m/>
    <m/>
    <m/>
  </r>
  <r>
    <s v="HKW894"/>
    <s v="L-1318"/>
    <s v="3MC"/>
    <s v="3MC"/>
    <n v="0.5"/>
    <s v="Cambio De Filtro Gas Oíl Y Trampa De Agua"/>
    <d v="2025-06-17T00:00:00"/>
    <n v="860822"/>
    <n v="880822"/>
    <n v="4797.9999999999991"/>
    <n v="15202"/>
    <n v="865620"/>
    <n v="122"/>
    <n v="70.738193548387088"/>
    <n v="386.54522717799091"/>
    <d v="2025-10-17T00:00:00"/>
    <n v="20000"/>
    <d v="2026-11-07T13:05:08"/>
    <d v="2026-11-07T00:00:00"/>
    <s v="noviembre"/>
    <s v="Activo"/>
    <m/>
    <m/>
    <s v="C001031"/>
    <s v="FILTRO DE COMBUSTIBLE MANN PU1046/1X"/>
    <n v="1"/>
    <n v="10535.04"/>
    <n v="10535.04"/>
    <x v="10"/>
    <m/>
    <m/>
    <m/>
  </r>
  <r>
    <s v="HKW894"/>
    <s v="L-1318"/>
    <s v="3MC"/>
    <s v="3MC"/>
    <n v="0.5"/>
    <s v="Cambio De Filtro Gas Oíl Y Trampa De Agua"/>
    <d v="2025-06-17T00:00:00"/>
    <n v="860822"/>
    <n v="880822"/>
    <n v="4797.9999999999991"/>
    <n v="15202"/>
    <n v="865620"/>
    <n v="122"/>
    <n v="70.738193548387088"/>
    <n v="386.54522717799091"/>
    <d v="2025-10-17T00:00:00"/>
    <n v="20000"/>
    <d v="2026-11-07T13:05:08"/>
    <d v="2026-11-07T00:00:00"/>
    <s v="noviembre"/>
    <s v="Activo"/>
    <m/>
    <m/>
    <s v="C003103"/>
    <s v="FILTRO TRAMPA DE AGUA - WIX (WF 10288)"/>
    <n v="1"/>
    <n v="19410.240000000002"/>
    <n v="19410.240000000002"/>
    <x v="10"/>
    <m/>
    <m/>
    <m/>
  </r>
  <r>
    <s v="HNL373"/>
    <s v="L-1318"/>
    <s v="3MC"/>
    <s v="3MC"/>
    <n v="0.5"/>
    <s v="Cambio De Filtro Gas Oíl Y Trampa De Agua"/>
    <d v="2025-06-25T00:00:00"/>
    <n v="693855"/>
    <n v="713855"/>
    <n v="5947.7000000000025"/>
    <n v="14052.3"/>
    <n v="699802.7"/>
    <n v="114"/>
    <n v="54.087953795379541"/>
    <n v="269.34145972392668"/>
    <d v="2025-10-17T00:00:00"/>
    <n v="20000"/>
    <d v="2026-07-13T08:11:42"/>
    <d v="2026-07-13T00:00:00"/>
    <s v="julio"/>
    <s v="Activo"/>
    <m/>
    <m/>
    <s v="C001031"/>
    <s v="FILTRO DE COMBUSTIBLE MANN PU1046/1X"/>
    <n v="1"/>
    <n v="10535.04"/>
    <n v="10535.04"/>
    <x v="10"/>
    <m/>
    <m/>
    <m/>
  </r>
  <r>
    <s v="HNL373"/>
    <s v="L-1318"/>
    <s v="3MC"/>
    <s v="3MC"/>
    <n v="0.5"/>
    <s v="Cambio De Filtro Gas Oíl Y Trampa De Agua"/>
    <d v="2025-06-25T00:00:00"/>
    <n v="693855"/>
    <n v="713855"/>
    <n v="5947.7000000000025"/>
    <n v="14052.3"/>
    <n v="699802.7"/>
    <n v="114"/>
    <n v="54.087953795379541"/>
    <n v="269.34145972392668"/>
    <d v="2025-10-17T00:00:00"/>
    <n v="20000"/>
    <d v="2026-07-13T08:11:42"/>
    <d v="2026-07-13T00:00:00"/>
    <s v="julio"/>
    <s v="Activo"/>
    <m/>
    <m/>
    <s v="C003103"/>
    <s v="FILTRO TRAMPA DE AGUA - WIX (WF 10288)"/>
    <n v="1"/>
    <n v="19410.240000000002"/>
    <n v="19410.240000000002"/>
    <x v="10"/>
    <m/>
    <m/>
    <m/>
  </r>
  <r>
    <s v="HPR687"/>
    <s v="L-1318"/>
    <s v="3MC"/>
    <s v="3MC"/>
    <n v="0.5"/>
    <s v="Cambio De Filtro Gas Oíl Y Trampa De Agua"/>
    <d v="2025-06-23T00:00:00"/>
    <n v="561820"/>
    <n v="581820"/>
    <n v="11303.6"/>
    <n v="8696.4"/>
    <n v="573123.6"/>
    <n v="116"/>
    <n v="80.547755775577556"/>
    <n v="89.244346933720223"/>
    <d v="2025-10-17T00:00:00"/>
    <n v="20000"/>
    <d v="2026-01-14T05:51:52"/>
    <d v="2026-01-14T00:00:00"/>
    <s v="enero"/>
    <s v="Activo"/>
    <m/>
    <m/>
    <s v="C001031"/>
    <s v="FILTRO DE COMBUSTIBLE MANN PU1046/1X"/>
    <n v="1"/>
    <n v="10535.04"/>
    <n v="10535.04"/>
    <x v="4"/>
    <m/>
    <m/>
    <m/>
  </r>
  <r>
    <s v="HPR687"/>
    <s v="L-1318"/>
    <s v="3MC"/>
    <s v="3MC"/>
    <n v="0.5"/>
    <s v="Cambio De Filtro Gas Oíl Y Trampa De Agua"/>
    <d v="2025-06-23T00:00:00"/>
    <n v="561820"/>
    <n v="581820"/>
    <n v="11303.6"/>
    <n v="8696.4"/>
    <n v="573123.6"/>
    <n v="116"/>
    <n v="80.547755775577556"/>
    <n v="89.244346933720223"/>
    <d v="2025-10-17T00:00:00"/>
    <n v="20000"/>
    <d v="2026-01-14T05:51:52"/>
    <d v="2026-01-14T00:00:00"/>
    <s v="enero"/>
    <s v="Activo"/>
    <m/>
    <m/>
    <s v="C003103"/>
    <s v="FILTRO TRAMPA DE AGUA - WIX (WF 10288)"/>
    <n v="1"/>
    <n v="19410.240000000002"/>
    <n v="19410.240000000002"/>
    <x v="4"/>
    <m/>
    <m/>
    <m/>
  </r>
  <r>
    <s v="HUY047"/>
    <s v="L-1318"/>
    <s v="3MC"/>
    <s v="3MC"/>
    <n v="0.5"/>
    <s v="Cambio De Filtro Gas Oíl Y Trampa De Agua"/>
    <d v="2025-06-26T00:00:00"/>
    <n v="23886.799999999999"/>
    <n v="43886.8"/>
    <n v="11552.1"/>
    <n v="8447.9000000000033"/>
    <n v="35438.899999999987"/>
    <n v="113"/>
    <n v="71.271935483870948"/>
    <n v="82.635425593615068"/>
    <d v="2025-10-17T00:00:00"/>
    <n v="20000"/>
    <d v="2026-01-07T15:15:01"/>
    <d v="2026-01-07T00:00:00"/>
    <s v="enero"/>
    <s v="Activo"/>
    <m/>
    <m/>
    <s v="C001031"/>
    <s v="FILTRO DE COMBUSTIBLE MANN PU1046/1X"/>
    <n v="1"/>
    <n v="10535.04"/>
    <n v="10535.04"/>
    <x v="4"/>
    <m/>
    <m/>
    <m/>
  </r>
  <r>
    <s v="HUY047"/>
    <s v="L-1318"/>
    <s v="3MC"/>
    <s v="3MC"/>
    <n v="0.5"/>
    <s v="Cambio De Filtro Gas Oíl Y Trampa De Agua"/>
    <d v="2025-06-26T00:00:00"/>
    <n v="23886.799999999999"/>
    <n v="43886.8"/>
    <n v="11552.1"/>
    <n v="8447.9000000000033"/>
    <n v="35438.899999999987"/>
    <n v="113"/>
    <n v="71.271935483870948"/>
    <n v="82.635425593615068"/>
    <d v="2025-10-17T00:00:00"/>
    <n v="20000"/>
    <d v="2026-01-07T15:15:01"/>
    <d v="2026-01-07T00:00:00"/>
    <s v="enero"/>
    <s v="Activo"/>
    <m/>
    <m/>
    <s v="C003103"/>
    <s v="FILTRO TRAMPA DE AGUA - WIX (WF 10288)"/>
    <n v="1"/>
    <n v="19410.240000000002"/>
    <n v="19410.240000000002"/>
    <x v="4"/>
    <m/>
    <m/>
    <m/>
  </r>
  <r>
    <s v="CVF923"/>
    <n v="712"/>
    <s v="3MC"/>
    <s v="3MC"/>
    <n v="0.5"/>
    <s v="Cambio De Filtro Gas Oíl Y Trampa De Agua"/>
    <d v="2025-05-21T00:00:00"/>
    <n v="32992.1"/>
    <n v="52992.1"/>
    <n v="9749.2999999999993"/>
    <n v="10250.700000000001"/>
    <n v="42741.399999999987"/>
    <n v="149"/>
    <n v="52.850396039603943"/>
    <n v="156.6629706748177"/>
    <d v="2025-10-17T00:00:00"/>
    <n v="20000"/>
    <d v="2026-03-22T15:54:41"/>
    <d v="2026-03-22T00:00:00"/>
    <s v="marzo"/>
    <s v="Activo"/>
    <m/>
    <m/>
    <s v="C001031"/>
    <s v="FILTRO DE COMBUSTIBLE MANN PU1046/1X"/>
    <n v="1"/>
    <n v="10535.04"/>
    <n v="10535.04"/>
    <x v="5"/>
    <m/>
    <m/>
    <m/>
  </r>
  <r>
    <s v="CVF923"/>
    <n v="712"/>
    <s v="3MC"/>
    <s v="3MC"/>
    <n v="0.5"/>
    <s v="Cambio De Filtro Gas Oíl Y Trampa De Agua"/>
    <d v="2025-05-21T00:00:00"/>
    <n v="32992.1"/>
    <n v="52992.1"/>
    <n v="9749.2999999999993"/>
    <n v="10250.700000000001"/>
    <n v="42741.399999999987"/>
    <n v="149"/>
    <n v="52.850396039603943"/>
    <n v="156.6629706748177"/>
    <d v="2025-10-17T00:00:00"/>
    <n v="20000"/>
    <d v="2026-03-22T15:54:41"/>
    <d v="2026-03-22T00:00:00"/>
    <s v="marzo"/>
    <s v="Activo"/>
    <m/>
    <m/>
    <s v="C003103"/>
    <s v="FILTRO TRAMPA DE AGUA - WIX (WF 10288)"/>
    <n v="1"/>
    <n v="19410.240000000002"/>
    <n v="19410.240000000002"/>
    <x v="5"/>
    <m/>
    <m/>
    <m/>
  </r>
  <r>
    <s v="OHH597"/>
    <s v="ATRON 1720/48  FRONTAL"/>
    <s v="3MC"/>
    <s v="3MC"/>
    <n v="0.5"/>
    <s v="Cambio De Filtro Gas Oíl Y Trampa De Agua"/>
    <d v="2025-09-29T00:00:00"/>
    <n v="241798"/>
    <n v="261798"/>
    <n v="0"/>
    <n v="20000"/>
    <n v="241798"/>
    <n v="18"/>
    <n v="32.336013071895437"/>
    <n v="200"/>
    <d v="2025-10-17T00:00:00"/>
    <n v="20000"/>
    <d v="2026-05-05T00:00:00"/>
    <d v="2026-05-05T00:00:00"/>
    <s v="mayo"/>
    <s v="Activo"/>
    <m/>
    <m/>
    <s v="C001031"/>
    <s v="FILTRO DE COMBUSTIBLE MANN PU1046/1X"/>
    <n v="1"/>
    <n v="10535.04"/>
    <n v="10535.04"/>
    <x v="1"/>
    <m/>
    <m/>
    <m/>
  </r>
  <r>
    <s v="OHH597"/>
    <s v="ATRON 1720/48  FRONTAL"/>
    <s v="3MC"/>
    <s v="3MC"/>
    <n v="0.5"/>
    <s v="Cambio De Filtro Gas Oíl Y Trampa De Agua"/>
    <d v="2025-09-29T00:00:00"/>
    <n v="241798"/>
    <n v="261798"/>
    <n v="0"/>
    <n v="20000"/>
    <n v="241798"/>
    <n v="18"/>
    <n v="32.336013071895437"/>
    <n v="200"/>
    <d v="2025-10-17T00:00:00"/>
    <n v="20000"/>
    <d v="2026-05-05T00:00:00"/>
    <d v="2026-05-05T00:00:00"/>
    <s v="mayo"/>
    <s v="Activo"/>
    <m/>
    <m/>
    <s v="C003103"/>
    <s v="FILTRO TRAMPA DE AGUA - WIX (WF 10288)"/>
    <n v="1"/>
    <n v="19410.240000000002"/>
    <n v="19410.240000000002"/>
    <x v="1"/>
    <m/>
    <m/>
    <m/>
  </r>
  <r>
    <s v="OJG064"/>
    <s v="ATRON 1720/48  FRONTAL"/>
    <s v="3MC"/>
    <s v="3MC"/>
    <n v="0.5"/>
    <s v="Cambio De Filtro Gas Oíl Y Trampa De Agua"/>
    <d v="2024-11-13T00:00:00"/>
    <n v="129732"/>
    <n v="149732"/>
    <n v="10886.77"/>
    <n v="9113.23"/>
    <n v="140618.76999999999"/>
    <n v="338"/>
    <n v="28.6525"/>
    <n v="282.93715583226242"/>
    <d v="2025-10-17T00:00:00"/>
    <n v="20000"/>
    <d v="2026-07-26T22:29:30"/>
    <d v="2026-07-26T00:00:00"/>
    <s v="julio"/>
    <s v="Activo"/>
    <m/>
    <m/>
    <s v="C001031"/>
    <s v="FILTRO DE COMBUSTIBLE MANN PU1046/1X"/>
    <n v="1"/>
    <n v="10535.04"/>
    <n v="10535.04"/>
    <x v="1"/>
    <m/>
    <m/>
    <m/>
  </r>
  <r>
    <s v="OJG064"/>
    <s v="ATRON 1720/48  FRONTAL"/>
    <s v="3MC"/>
    <s v="3MC"/>
    <n v="0.5"/>
    <s v="Cambio De Filtro Gas Oíl Y Trampa De Agua"/>
    <d v="2024-11-13T00:00:00"/>
    <n v="129732"/>
    <n v="149732"/>
    <n v="10886.77"/>
    <n v="9113.23"/>
    <n v="140618.76999999999"/>
    <n v="338"/>
    <n v="28.6525"/>
    <n v="282.93715583226242"/>
    <d v="2025-10-17T00:00:00"/>
    <n v="20000"/>
    <d v="2026-07-26T22:29:30"/>
    <d v="2026-07-26T00:00:00"/>
    <s v="julio"/>
    <s v="Activo"/>
    <m/>
    <m/>
    <s v="C003103"/>
    <s v="FILTRO TRAMPA DE AGUA - WIX (WF 10288)"/>
    <n v="1"/>
    <n v="19410.240000000002"/>
    <n v="19410.240000000002"/>
    <x v="1"/>
    <m/>
    <m/>
    <m/>
  </r>
  <r>
    <s v="KKI233"/>
    <s v="ATRON 1720/48  FRONTAL"/>
    <s v="3MC"/>
    <s v="3MC"/>
    <n v="0.5"/>
    <s v="Cambio De Filtro Gas Oíl Y Trampa De Agua"/>
    <d v="2025-07-25T00:00:00"/>
    <n v="474074"/>
    <n v="494074"/>
    <n v="5983.7999999999993"/>
    <n v="14016.2"/>
    <n v="480057.8"/>
    <n v="84"/>
    <n v="63.859032258064524"/>
    <n v="196.7580467261607"/>
    <d v="2025-10-17T00:00:00"/>
    <n v="20000"/>
    <d v="2026-05-01T18:11:35"/>
    <d v="2026-05-01T00:00:00"/>
    <s v="mayo"/>
    <s v="Activo"/>
    <m/>
    <m/>
    <s v="C001031"/>
    <s v="FILTRO DE COMBUSTIBLE MANN PU1046/1X"/>
    <n v="1"/>
    <n v="10535.04"/>
    <n v="10535.04"/>
    <x v="10"/>
    <m/>
    <m/>
    <m/>
  </r>
  <r>
    <s v="KKI233"/>
    <s v="ATRON 1720/48  FRONTAL"/>
    <s v="3MC"/>
    <s v="3MC"/>
    <n v="0.5"/>
    <s v="Cambio De Filtro Gas Oíl Y Trampa De Agua"/>
    <d v="2025-07-25T00:00:00"/>
    <n v="474074"/>
    <n v="494074"/>
    <n v="5983.7999999999993"/>
    <n v="14016.2"/>
    <n v="480057.8"/>
    <n v="84"/>
    <n v="63.859032258064524"/>
    <n v="196.7580467261607"/>
    <d v="2025-10-17T00:00:00"/>
    <n v="20000"/>
    <d v="2026-05-01T18:11:35"/>
    <d v="2026-05-01T00:00:00"/>
    <s v="mayo"/>
    <s v="Activo"/>
    <m/>
    <m/>
    <s v="C003103"/>
    <s v="FILTRO TRAMPA DE AGUA - WIX (WF 10288)"/>
    <n v="1"/>
    <n v="19410.240000000002"/>
    <n v="19410.240000000002"/>
    <x v="10"/>
    <m/>
    <m/>
    <m/>
  </r>
  <r>
    <s v="AF804RE"/>
    <s v="ATEGO 1721 48"/>
    <s v="3MC"/>
    <s v="3MC"/>
    <n v="0.5"/>
    <s v="Cambio De Filtro Gas Oíl Y Trampa De Agua"/>
    <d v="2025-07-16T00:00:00"/>
    <n v="41395.599999999999"/>
    <n v="61395.6"/>
    <n v="3758.2999999999979"/>
    <n v="16241.7"/>
    <n v="45153.899999999987"/>
    <n v="93"/>
    <n v="36.164383116883137"/>
    <n v="401.90461112737171"/>
    <d v="2025-10-17T00:00:00"/>
    <n v="20000"/>
    <d v="2026-11-22T21:42:38"/>
    <d v="2026-11-22T00:00:00"/>
    <s v="noviembre"/>
    <s v="Activo"/>
    <m/>
    <m/>
    <s v="C001031"/>
    <s v="FILTRO DE COMBUSTIBLE MANN PU1046/1X"/>
    <n v="1"/>
    <n v="10535.04"/>
    <n v="10535.04"/>
    <x v="0"/>
    <m/>
    <m/>
    <m/>
  </r>
  <r>
    <s v="AF804RE"/>
    <s v="ATEGO 1721 48"/>
    <s v="3MC"/>
    <s v="3MC"/>
    <n v="0.5"/>
    <s v="Cambio De Filtro Gas Oíl Y Trampa De Agua"/>
    <d v="2025-07-16T00:00:00"/>
    <n v="41395.599999999999"/>
    <n v="61395.6"/>
    <n v="3758.2999999999979"/>
    <n v="16241.7"/>
    <n v="45153.899999999987"/>
    <n v="93"/>
    <n v="36.164383116883137"/>
    <n v="401.90461112737171"/>
    <d v="2025-10-17T00:00:00"/>
    <n v="20000"/>
    <d v="2026-11-22T21:42:38"/>
    <d v="2026-11-22T00:00:00"/>
    <s v="noviembre"/>
    <s v="Activo"/>
    <m/>
    <m/>
    <s v="C003103"/>
    <s v="FILTRO TRAMPA DE AGUA - WIX (WF 10288)"/>
    <n v="1"/>
    <n v="19410.240000000002"/>
    <n v="19410.240000000002"/>
    <x v="0"/>
    <m/>
    <m/>
    <m/>
  </r>
  <r>
    <s v="AF877NC"/>
    <s v="ATEGO 1419 48"/>
    <s v="3MC"/>
    <s v="3MC"/>
    <n v="0.5"/>
    <s v="Cambio De Filtro Gas Oíl Y Trampa De Agua"/>
    <d v="2025-06-14T00:00:00"/>
    <n v="71797"/>
    <n v="91797"/>
    <n v="0"/>
    <n v="20000"/>
    <n v="71797"/>
    <n v="125"/>
    <n v="4.7505769230769239"/>
    <n v="200"/>
    <d v="2025-10-17T00:00:00"/>
    <n v="20000"/>
    <d v="2026-05-05T00:00:00"/>
    <d v="2026-05-05T00:00:00"/>
    <s v="mayo"/>
    <s v="Activo"/>
    <m/>
    <m/>
    <s v="C001031"/>
    <s v="FILTRO DE COMBUSTIBLE MANN PU1046/1X"/>
    <n v="1"/>
    <n v="10535.04"/>
    <n v="10535.04"/>
    <x v="2"/>
    <m/>
    <m/>
    <m/>
  </r>
  <r>
    <s v="AF877NC"/>
    <s v="ATEGO 1419 48"/>
    <s v="3MC"/>
    <s v="3MC"/>
    <n v="0.5"/>
    <s v="Cambio De Filtro Gas Oíl Y Trampa De Agua"/>
    <d v="2025-06-14T00:00:00"/>
    <n v="71797"/>
    <n v="91797"/>
    <n v="0"/>
    <n v="20000"/>
    <n v="71797"/>
    <n v="125"/>
    <n v="4.7505769230769239"/>
    <n v="200"/>
    <d v="2025-10-17T00:00:00"/>
    <n v="20000"/>
    <d v="2026-05-05T00:00:00"/>
    <d v="2026-05-05T00:00:00"/>
    <s v="mayo"/>
    <s v="Activo"/>
    <m/>
    <m/>
    <s v="C003103"/>
    <s v="FILTRO TRAMPA DE AGUA - WIX (WF 10288)"/>
    <n v="1"/>
    <n v="19410.240000000002"/>
    <n v="19410.240000000002"/>
    <x v="2"/>
    <m/>
    <m/>
    <m/>
  </r>
  <r>
    <s v="FVO108"/>
    <n v="1620"/>
    <s v="3MC"/>
    <s v="3MC"/>
    <n v="0.5"/>
    <s v="Cambio De Filtro Gas Oíl Y Trampa De Agua"/>
    <d v="2024-06-06T00:00:00"/>
    <n v="384179.04200000002"/>
    <n v="404179.04200000002"/>
    <n v="14668.800000000019"/>
    <n v="5331.1999999999834"/>
    <n v="398847.84200000012"/>
    <n v="498"/>
    <n v="60"/>
    <n v="180.99214659685779"/>
    <d v="2025-10-17T00:00:00"/>
    <n v="20000"/>
    <d v="2026-09-15T08:00:00"/>
    <d v="2026-09-15T00:00:00"/>
    <s v="septiembre"/>
    <s v="Activo"/>
    <m/>
    <m/>
    <s v="C001031"/>
    <s v="FILTRO DE COMBUSTIBLE MANN PU1046/1X"/>
    <n v="1"/>
    <n v="10535.04"/>
    <n v="10535.04"/>
    <x v="8"/>
    <m/>
    <m/>
    <m/>
  </r>
  <r>
    <s v="FVO108"/>
    <n v="1620"/>
    <s v="3MC"/>
    <s v="3MC"/>
    <n v="0.5"/>
    <s v="Cambio De Filtro Gas Oíl Y Trampa De Agua"/>
    <d v="2024-06-06T00:00:00"/>
    <n v="384179.04200000002"/>
    <n v="404179.04200000002"/>
    <n v="14668.800000000019"/>
    <n v="5331.1999999999834"/>
    <n v="398847.84200000012"/>
    <n v="498"/>
    <n v="60"/>
    <n v="180.99214659685779"/>
    <d v="2025-10-17T00:00:00"/>
    <n v="20000"/>
    <d v="2026-09-15T08:00:00"/>
    <d v="2026-09-15T00:00:00"/>
    <s v="septiembre"/>
    <s v="Activo"/>
    <m/>
    <m/>
    <s v="C003103"/>
    <s v="FILTRO TRAMPA DE AGUA - WIX (WF 10288)"/>
    <n v="1"/>
    <n v="19410.240000000002"/>
    <n v="19410.240000000002"/>
    <x v="8"/>
    <m/>
    <m/>
    <m/>
  </r>
  <r>
    <s v="AE794VC"/>
    <s v="PARTNER CONFORT 1,6 HDI 92"/>
    <s v="2MU"/>
    <s v="2MU"/>
    <n v="0.75"/>
    <s v="Cambio De Aceite Y Filtro De Motor"/>
    <d v="2025-09-23T00:00:00"/>
    <n v="139096"/>
    <n v="149096"/>
    <n v="601.90000000000009"/>
    <n v="9398.1"/>
    <n v="139697.9"/>
    <n v="24"/>
    <n v="99.244569288389528"/>
    <n v="374.7373317826881"/>
    <d v="2025-10-17T00:00:00"/>
    <n v="10000"/>
    <d v="2026-10-26T17:41:45"/>
    <d v="2026-10-26T00:00:00"/>
    <s v="octubre"/>
    <s v="Activo"/>
    <m/>
    <m/>
    <s v="C004114"/>
    <s v="ACEITE 5W 30 YPF X 20LTS"/>
    <n v="1"/>
    <n v="11782.62"/>
    <n v="11782.62"/>
    <x v="6"/>
    <m/>
    <m/>
    <m/>
  </r>
  <r>
    <s v="AE794VC"/>
    <s v="PARTNER CONFORT 1,6 HDI 92"/>
    <s v="3MU"/>
    <s v="3MU"/>
    <n v="0.5"/>
    <s v="Cambiar Filtro De Combustible"/>
    <d v="2025-09-23T00:00:00"/>
    <n v="139096"/>
    <n v="149096"/>
    <n v="601.90000000000009"/>
    <n v="9398.1"/>
    <n v="139697.9"/>
    <n v="24"/>
    <n v="99.244569288389528"/>
    <n v="374.7373317826881"/>
    <d v="2025-10-17T00:00:00"/>
    <n v="10000"/>
    <d v="2026-10-26T17:41:45"/>
    <d v="2026-10-26T00:00:00"/>
    <s v="octubre"/>
    <s v="Activo"/>
    <m/>
    <m/>
    <s v="C002699"/>
    <s v="FILTRO DE COMBUSTIBLE PARTNER - (WK9034 Z)"/>
    <n v="1"/>
    <n v="20353.939999999999"/>
    <n v="20353.939999999999"/>
    <x v="6"/>
    <m/>
    <m/>
    <m/>
  </r>
  <r>
    <s v="AF156NK"/>
    <s v="SPRINTER 316 CDI FURGON 3665"/>
    <s v="2MU"/>
    <s v="2MU"/>
    <n v="0.75"/>
    <s v="Cambio De Aceite Y Filtro De Motor"/>
    <d v="2025-07-21T00:00:00"/>
    <n v="24642.400000000001"/>
    <n v="34642.400000000001"/>
    <n v="5862.9999999999991"/>
    <n v="4137.0000000000009"/>
    <n v="30505.4"/>
    <n v="88"/>
    <n v="74.610410447761154"/>
    <n v="62.093808630394022"/>
    <d v="2025-10-17T00:00:00"/>
    <n v="10000"/>
    <d v="2026-05-01T02:57:38"/>
    <d v="2026-05-01T00:00:00"/>
    <s v="mayo"/>
    <s v="Activo"/>
    <m/>
    <m/>
    <s v="C003082"/>
    <s v="ACEITE 5W 40 YPF x 20LTS"/>
    <n v="1"/>
    <n v="12001.14"/>
    <n v="12001.14"/>
    <x v="20"/>
    <m/>
    <m/>
    <m/>
  </r>
  <r>
    <s v="AF156NL"/>
    <s v="SPRINTER 316 CDI FURGON 3665"/>
    <s v="2MU"/>
    <s v="2MU"/>
    <n v="0.75"/>
    <s v="Cambio De Aceite Y Filtro De Motor"/>
    <s v="-"/>
    <n v="19099.3"/>
    <n v="29099.3"/>
    <n v="4604.5000000000009"/>
    <n v="5395.4999999999991"/>
    <n v="23703.8"/>
    <n v="67"/>
    <n v="63.391962962962928"/>
    <n v="78.509827342816777"/>
    <d v="2025-10-17T00:00:00"/>
    <n v="10000"/>
    <d v="2026-01-03T12:14:09"/>
    <d v="2026-01-03T00:00:00"/>
    <s v="enero"/>
    <s v="Activo"/>
    <m/>
    <m/>
    <s v="C003082"/>
    <s v="ACEITE 5W 40 YPF x 20LTS"/>
    <n v="1"/>
    <n v="12001.14"/>
    <n v="12001.14"/>
    <x v="14"/>
    <m/>
    <m/>
    <m/>
  </r>
  <r>
    <s v="AE794VC"/>
    <s v="PARTNER CONFORT 1,6 HDI 92"/>
    <s v="4MU"/>
    <s v="4MU"/>
    <n v="0.25"/>
    <s v="Cambio Filtro Aire"/>
    <d v="2025-09-23T00:00:00"/>
    <n v="139096"/>
    <n v="149096"/>
    <n v="601.90000000000009"/>
    <n v="9398.1"/>
    <n v="139697.9"/>
    <n v="24"/>
    <n v="99.244569288389528"/>
    <n v="374.7373317826881"/>
    <d v="2025-10-17T00:00:00"/>
    <n v="10000"/>
    <d v="2026-10-26T17:41:45"/>
    <d v="2026-10-26T00:00:00"/>
    <s v="octubre"/>
    <s v="Activo"/>
    <m/>
    <m/>
    <s v="C002696"/>
    <s v="FILTRO DE AIRE PARTNER - MANN C 3585"/>
    <n v="1"/>
    <n v="11957.23"/>
    <n v="11957.23"/>
    <x v="6"/>
    <m/>
    <m/>
    <m/>
  </r>
  <r>
    <s v="AF338VQ"/>
    <s v="KANGOO II EXPRESS CONFORT 5A 1,6 SCE-FURGON-"/>
    <s v="2MU"/>
    <s v="2MU"/>
    <n v="0.75"/>
    <s v="Cambio De Aceite Y Filtro De Motor"/>
    <s v="-"/>
    <m/>
    <m/>
    <m/>
    <m/>
    <m/>
    <m/>
    <n v="30.82394833948339"/>
    <m/>
    <d v="2025-10-17T00:00:00"/>
    <n v="10000"/>
    <d v="2026-09-06T10:09:13"/>
    <d v="2026-09-06T00:00:00"/>
    <s v="septiembre"/>
    <s v="Activo"/>
    <m/>
    <m/>
    <s v="C004114"/>
    <s v="ACEITE 5W 30 YPF X 20LTS"/>
    <n v="1"/>
    <n v="11782.62"/>
    <n v="11782.62"/>
    <x v="1"/>
    <m/>
    <m/>
    <m/>
  </r>
  <r>
    <s v="AF461DQ"/>
    <s v="SPRINTER 316 CDI FURGON 3665"/>
    <s v="2MU"/>
    <s v="2MU"/>
    <n v="0.75"/>
    <s v="Cambio De Aceite Y Filtro De Motor"/>
    <s v="-"/>
    <m/>
    <m/>
    <m/>
    <m/>
    <m/>
    <m/>
    <n v="75.146865671641763"/>
    <m/>
    <d v="2025-10-17T00:00:00"/>
    <n v="10000"/>
    <d v="2026-02-27T01:44:46"/>
    <d v="2026-02-27T00:00:00"/>
    <s v="febrero"/>
    <s v="Activo"/>
    <m/>
    <m/>
    <s v="C003082"/>
    <s v="ACEITE 5W 40 YPF x 20LTS"/>
    <n v="1"/>
    <n v="12001.14"/>
    <n v="12001.14"/>
    <x v="6"/>
    <m/>
    <m/>
    <m/>
  </r>
  <r>
    <s v="AF461DV"/>
    <s v="SPRINTER 316 CDI FURGON 3665"/>
    <s v="2MU"/>
    <s v="2MU"/>
    <n v="0.75"/>
    <s v="Cambio De Aceite Y Filtro De Motor"/>
    <d v="2025-08-15T00:00:00"/>
    <n v="20538.5"/>
    <n v="30538.5"/>
    <n v="1841.3"/>
    <n v="8158.7"/>
    <n v="22379.8"/>
    <n v="63"/>
    <n v="55.441375464683993"/>
    <n v="279.14956823983061"/>
    <d v="2025-10-17T00:00:00"/>
    <n v="10000"/>
    <d v="2026-07-23T03:35:23"/>
    <d v="2026-07-23T00:00:00"/>
    <s v="julio"/>
    <s v="Activo"/>
    <m/>
    <m/>
    <s v="C003082"/>
    <s v="ACEITE 5W 40 YPF x 20LTS"/>
    <n v="1"/>
    <n v="12001.14"/>
    <n v="12001.14"/>
    <x v="4"/>
    <m/>
    <m/>
    <m/>
  </r>
  <r>
    <s v="AF491HL"/>
    <s v="SPRINTER 316 CDI FURGON 3665"/>
    <s v="2MU"/>
    <s v="2MU"/>
    <n v="0.75"/>
    <s v="Cambio De Aceite Y Filtro De Motor"/>
    <d v="2025-07-07T00:00:00"/>
    <n v="81918.100000000006"/>
    <n v="91918.1"/>
    <n v="7752.4"/>
    <n v="2247.6"/>
    <n v="89670.5"/>
    <n v="102"/>
    <n v="82.189312977099249"/>
    <n v="29.572158299365359"/>
    <d v="2025-10-17T00:00:00"/>
    <n v="10000"/>
    <d v="2026-03-17T05:49:10"/>
    <d v="2026-03-17T00:00:00"/>
    <s v="marzo"/>
    <s v="Activo"/>
    <m/>
    <m/>
    <s v="C003082"/>
    <s v="ACEITE 5W 40 YPF x 20LTS"/>
    <n v="1"/>
    <n v="12001.14"/>
    <n v="12001.14"/>
    <x v="13"/>
    <m/>
    <m/>
    <m/>
  </r>
  <r>
    <s v="AF542LX"/>
    <s v="KANGOO II EXPRESS CONFORT 1,5 DCI-FURGON-"/>
    <s v="2MU"/>
    <s v="2MU"/>
    <n v="0.75"/>
    <s v="Cambio De Aceite Y Filtro De Motor"/>
    <d v="2025-06-12T00:00:00"/>
    <n v="22721"/>
    <n v="32721"/>
    <n v="6755.9999999999982"/>
    <n v="3244.0000000000018"/>
    <n v="29477"/>
    <n v="127"/>
    <n v="49.806715867158687"/>
    <n v="60.981053878034388"/>
    <d v="2025-10-17T00:00:00"/>
    <n v="10000"/>
    <d v="2026-07-05T18:10:21"/>
    <d v="2026-07-05T00:00:00"/>
    <s v="julio"/>
    <s v="Activo"/>
    <m/>
    <m/>
    <s v="C004114"/>
    <s v="ACEITE 5W 30 YPF X 20LTS"/>
    <n v="1"/>
    <n v="11782.62"/>
    <n v="11782.62"/>
    <x v="21"/>
    <m/>
    <m/>
    <m/>
  </r>
  <r>
    <s v="AE794VC"/>
    <s v="PARTNER CONFORT 1,6 HDI 92"/>
    <s v="5MU"/>
    <s v="5MU"/>
    <n v="0.25"/>
    <s v="Cambiar Filtro Habitaculo"/>
    <d v="2025-09-23T00:00:00"/>
    <n v="139096"/>
    <n v="149096"/>
    <n v="601.90000000000009"/>
    <n v="9398.1"/>
    <n v="139697.9"/>
    <n v="24"/>
    <n v="99.244569288389528"/>
    <n v="374.7373317826881"/>
    <d v="2025-10-17T00:00:00"/>
    <n v="10000"/>
    <d v="2026-10-26T17:41:45"/>
    <d v="2026-10-26T00:00:00"/>
    <s v="octubre"/>
    <s v="Activo"/>
    <m/>
    <m/>
    <s v="C002697"/>
    <s v="FILTRO DE HABITACULO PARTNER (CU 2545/1)"/>
    <n v="1"/>
    <n v="9054.85"/>
    <n v="9054.85"/>
    <x v="6"/>
    <m/>
    <m/>
    <m/>
  </r>
  <r>
    <s v="AF156NJ"/>
    <s v="SPRINTER 316 CDI FURGON 3665"/>
    <s v="2MU"/>
    <s v="2MU"/>
    <n v="0.75"/>
    <s v="Cambio De Aceite Y Filtro De Motor"/>
    <d v="2025-06-26T00:00:00"/>
    <n v="121977"/>
    <n v="131977"/>
    <n v="5913.8999999999987"/>
    <n v="4086.1000000000008"/>
    <n v="127890.9"/>
    <n v="113"/>
    <n v="219.53927573529421"/>
    <n v="78.075263362586483"/>
    <d v="2025-10-17T00:00:00"/>
    <n v="10000"/>
    <d v="2026-01-03T01:48:23"/>
    <d v="2026-01-03T00:00:00"/>
    <s v="enero"/>
    <s v="Activo"/>
    <m/>
    <m/>
    <s v="C003082"/>
    <s v="ACEITE 5W 40 YPF x 20LTS"/>
    <n v="1"/>
    <n v="12001.14"/>
    <n v="12001.14"/>
    <x v="16"/>
    <m/>
    <m/>
    <m/>
  </r>
  <r>
    <s v="AF865RV"/>
    <s v="KANGOO II EXPRESS CONFORT 1,5 CDI FURGON"/>
    <s v="2MU"/>
    <s v="2MU"/>
    <n v="0.75"/>
    <s v="Cambio De Aceite Y Filtro De Motor"/>
    <s v="-"/>
    <m/>
    <m/>
    <m/>
    <m/>
    <m/>
    <m/>
    <n v="25.830369003690031"/>
    <m/>
    <d v="2025-10-17T00:00:00"/>
    <n v="10000"/>
    <d v="2026-11-08T03:23:20"/>
    <d v="2026-11-08T00:00:00"/>
    <s v="noviembre"/>
    <s v="Activo"/>
    <m/>
    <m/>
    <s v="C004114"/>
    <s v="ACEITE 5W 30 YPF X 20LTS"/>
    <n v="1"/>
    <n v="11782.62"/>
    <n v="11782.62"/>
    <x v="22"/>
    <m/>
    <m/>
    <m/>
  </r>
  <r>
    <s v="AF156NJ"/>
    <s v="SPRINTER 316 CDI FURGON 3665"/>
    <s v="3MU"/>
    <s v="3MU"/>
    <n v="0.5"/>
    <s v="Cambiar Filtro De Combustible"/>
    <d v="2025-06-26T00:00:00"/>
    <n v="121977"/>
    <n v="131977"/>
    <n v="5913.8999999999987"/>
    <n v="4086.1000000000008"/>
    <n v="127890.9"/>
    <n v="113"/>
    <n v="219.53927573529421"/>
    <n v="78.075263362586483"/>
    <d v="2025-10-17T00:00:00"/>
    <n v="10000"/>
    <d v="2026-01-03T01:48:23"/>
    <d v="2026-01-03T00:00:00"/>
    <s v="enero"/>
    <s v="Activo"/>
    <m/>
    <m/>
    <s v="C003078"/>
    <s v="FILTRO DE COMBUSTIBLE SPRINTER 316 (A 651 090 36 00) - BOSCH (0986BFO366)"/>
    <n v="1"/>
    <n v="77979.94"/>
    <n v="77979.94"/>
    <x v="16"/>
    <m/>
    <m/>
    <m/>
  </r>
  <r>
    <s v="AF156NJ"/>
    <s v="SPRINTER 316 CDI FURGON 3665"/>
    <s v="4MU"/>
    <s v="4MU"/>
    <n v="0.25"/>
    <s v="Cambio Filtro Aire"/>
    <d v="2025-06-26T00:00:00"/>
    <n v="121977"/>
    <n v="131977"/>
    <n v="5913.8999999999987"/>
    <n v="4086.1000000000008"/>
    <n v="127890.9"/>
    <n v="113"/>
    <n v="219.53927573529421"/>
    <n v="78.075263362586483"/>
    <d v="2025-10-17T00:00:00"/>
    <n v="10000"/>
    <d v="2026-01-03T01:48:23"/>
    <d v="2026-01-03T00:00:00"/>
    <s v="enero"/>
    <s v="Activo"/>
    <m/>
    <m/>
    <s v="C003080"/>
    <s v="FILTRO DE AIRE SPRINTER 316 - MANN C 4312/1"/>
    <n v="1"/>
    <n v="13876.18"/>
    <n v="13876.18"/>
    <x v="16"/>
    <m/>
    <m/>
    <m/>
  </r>
  <r>
    <s v="AF156NJ"/>
    <s v="SPRINTER 316 CDI FURGON 3665"/>
    <s v="5MU"/>
    <s v="5MU"/>
    <n v="0.25"/>
    <s v="Cambiar Filtro Habitaculo"/>
    <d v="2025-03-17T00:00:00"/>
    <n v="38432.199999999997"/>
    <n v="48432.2"/>
    <n v="20272.19999999999"/>
    <n v="-10272.19999999999"/>
    <n v="58704.399999999987"/>
    <n v="214"/>
    <n v="219.53927573529421"/>
    <n v="-108.4367162912757"/>
    <d v="2025-10-17T00:00:00"/>
    <n v="10000"/>
    <d v="2026-01-16T02:23:49"/>
    <d v="2026-01-16T00:00:00"/>
    <s v="enero"/>
    <s v="Activo"/>
    <m/>
    <m/>
    <s v="C003079"/>
    <s v="FILTRO DE HABITACULO SPRINTER 316 - MANN CU 30012"/>
    <n v="1"/>
    <n v="18045.55"/>
    <n v="18045.55"/>
    <x v="16"/>
    <m/>
    <m/>
    <m/>
  </r>
  <r>
    <s v="AF156NK"/>
    <s v="SPRINTER 316 CDI FURGON 3665"/>
    <s v="3MU"/>
    <s v="3MU"/>
    <n v="0.5"/>
    <s v="Cambiar Filtro De Combustible"/>
    <d v="2025-07-21T00:00:00"/>
    <n v="24642.400000000001"/>
    <n v="34642.400000000001"/>
    <n v="5862.9999999999991"/>
    <n v="4137.0000000000009"/>
    <n v="30505.4"/>
    <n v="88"/>
    <n v="74.610410447761154"/>
    <n v="62.093808630394022"/>
    <d v="2025-10-17T00:00:00"/>
    <n v="10000"/>
    <d v="2026-05-01T02:57:38"/>
    <d v="2026-05-01T00:00:00"/>
    <s v="mayo"/>
    <s v="Activo"/>
    <m/>
    <m/>
    <s v="C003078"/>
    <s v="FILTRO DE COMBUSTIBLE SPRINTER 316 (A 651 090 36 00) - BOSCH (0986BFO366)"/>
    <n v="1"/>
    <n v="77979.94"/>
    <n v="77979.94"/>
    <x v="20"/>
    <m/>
    <m/>
    <m/>
  </r>
  <r>
    <s v="AF156NL"/>
    <s v="SPRINTER 316 CDI FURGON 3665"/>
    <s v="3MU"/>
    <s v="3MU"/>
    <n v="0.5"/>
    <s v="Cambiar Filtro De Combustible"/>
    <s v="-"/>
    <n v="19099.3"/>
    <n v="29099.3"/>
    <n v="4604.5000000000009"/>
    <n v="5395.4999999999991"/>
    <n v="23703.8"/>
    <n v="67"/>
    <n v="63.391962962962928"/>
    <n v="78.509827342816777"/>
    <d v="2025-10-17T00:00:00"/>
    <n v="10000"/>
    <d v="2026-01-03T12:14:09"/>
    <d v="2026-01-03T00:00:00"/>
    <s v="enero"/>
    <s v="Activo"/>
    <m/>
    <m/>
    <s v="C003078"/>
    <s v="FILTRO DE COMBUSTIBLE SPRINTER 316 (A 651 090 36 00) - BOSCH (0986BFO366)"/>
    <n v="1"/>
    <n v="77979.94"/>
    <n v="77979.94"/>
    <x v="14"/>
    <m/>
    <m/>
    <m/>
  </r>
  <r>
    <s v="AF156NM"/>
    <s v="SPRINTER 316 CDI FURGON 3665"/>
    <s v="2MU"/>
    <s v="2MU"/>
    <n v="0.75"/>
    <s v="Cambio De Aceite Y Filtro De Motor"/>
    <d v="2025-06-24T00:00:00"/>
    <n v="137406"/>
    <n v="147406"/>
    <n v="8671.7000000000007"/>
    <n v="1328.299999999999"/>
    <n v="146077.70000000001"/>
    <n v="115"/>
    <n v="93.793905109489017"/>
    <n v="17.615288813035491"/>
    <d v="2025-10-17T00:00:00"/>
    <n v="10000"/>
    <d v="2026-02-18T05:34:07"/>
    <d v="2026-02-18T00:00:00"/>
    <s v="febrero"/>
    <s v="Activo"/>
    <m/>
    <m/>
    <s v="C003082"/>
    <s v="ACEITE 5W 40 YPF x 20LTS"/>
    <n v="1"/>
    <n v="12001.14"/>
    <n v="12001.14"/>
    <x v="6"/>
    <m/>
    <m/>
    <m/>
  </r>
  <r>
    <s v="AF338VQ"/>
    <s v="KANGOO II EXPRESS CONFORT 5A 1,6 SCE-FURGON-"/>
    <s v="3MU"/>
    <s v="3MU"/>
    <n v="0.5"/>
    <s v="Cambiar Filtro De Combustible"/>
    <s v="-"/>
    <m/>
    <m/>
    <m/>
    <m/>
    <m/>
    <m/>
    <n v="30.82394833948339"/>
    <m/>
    <d v="2025-10-17T00:00:00"/>
    <n v="10000"/>
    <d v="2026-09-06T10:09:13"/>
    <d v="2026-09-06T00:00:00"/>
    <s v="septiembre"/>
    <s v="Activo"/>
    <m/>
    <m/>
    <s v="C003345"/>
    <s v="FILTRO DE COMBUSTIBLE KANGOO 1.6 - MANN PU 822X"/>
    <n v="1"/>
    <n v="5676.69"/>
    <n v="5676.69"/>
    <x v="1"/>
    <m/>
    <m/>
    <m/>
  </r>
  <r>
    <s v="AF461DQ"/>
    <s v="SPRINTER 316 CDI FURGON 3665"/>
    <s v="3MU"/>
    <s v="3MU"/>
    <n v="0.5"/>
    <s v="Cambiar Filtro De Combustible"/>
    <s v="-"/>
    <m/>
    <m/>
    <m/>
    <m/>
    <m/>
    <m/>
    <n v="75.146865671641763"/>
    <m/>
    <d v="2025-10-17T00:00:00"/>
    <n v="10000"/>
    <d v="2026-02-27T01:44:46"/>
    <d v="2026-02-27T00:00:00"/>
    <s v="febrero"/>
    <s v="Activo"/>
    <m/>
    <m/>
    <s v="C003078"/>
    <s v="FILTRO DE COMBUSTIBLE SPRINTER 316 (A 651 090 36 00) - BOSCH (0986BFO366)"/>
    <n v="1"/>
    <n v="77979.94"/>
    <n v="77979.94"/>
    <x v="6"/>
    <m/>
    <m/>
    <m/>
  </r>
  <r>
    <s v="AF461DV"/>
    <s v="SPRINTER 316 CDI FURGON 3665"/>
    <s v="3MU"/>
    <s v="3MU"/>
    <n v="0.5"/>
    <s v="Cambiar Filtro De Combustible"/>
    <d v="2025-08-15T00:00:00"/>
    <n v="20538.5"/>
    <n v="30538.5"/>
    <n v="1841.3"/>
    <n v="8158.7"/>
    <n v="22379.8"/>
    <n v="63"/>
    <n v="55.441375464683993"/>
    <n v="279.14956823983061"/>
    <d v="2025-10-17T00:00:00"/>
    <n v="10000"/>
    <d v="2026-07-23T03:35:23"/>
    <d v="2026-07-23T00:00:00"/>
    <s v="julio"/>
    <s v="Activo"/>
    <m/>
    <m/>
    <s v="C003078"/>
    <s v="FILTRO DE COMBUSTIBLE SPRINTER 316 (A 651 090 36 00) - BOSCH (0986BFO366)"/>
    <n v="1"/>
    <n v="77979.94"/>
    <n v="77979.94"/>
    <x v="4"/>
    <m/>
    <m/>
    <m/>
  </r>
  <r>
    <s v="AF491HL"/>
    <s v="SPRINTER 316 CDI FURGON 3665"/>
    <s v="3MU"/>
    <s v="3MU"/>
    <n v="0.5"/>
    <s v="Cambiar Filtro De Combustible"/>
    <d v="2025-07-07T00:00:00"/>
    <n v="81918.100000000006"/>
    <n v="91918.1"/>
    <n v="7752.4"/>
    <n v="2247.6"/>
    <n v="89670.5"/>
    <n v="102"/>
    <n v="82.189312977099249"/>
    <n v="29.572158299365359"/>
    <d v="2025-10-17T00:00:00"/>
    <n v="10000"/>
    <d v="2026-03-17T05:49:10"/>
    <d v="2026-03-17T00:00:00"/>
    <s v="marzo"/>
    <s v="Activo"/>
    <m/>
    <m/>
    <s v="C003078"/>
    <s v="FILTRO DE COMBUSTIBLE SPRINTER 316 (A 651 090 36 00) - BOSCH (0986BFO366)"/>
    <n v="1"/>
    <n v="77979.94"/>
    <n v="77979.94"/>
    <x v="13"/>
    <m/>
    <m/>
    <m/>
  </r>
  <r>
    <s v="AF542LX"/>
    <s v="KANGOO II EXPRESS CONFORT 1,5 DCI-FURGON-"/>
    <s v="3MU"/>
    <s v="3MU"/>
    <n v="0.5"/>
    <s v="Cambiar Filtro De Combustible"/>
    <d v="2025-06-12T00:00:00"/>
    <n v="22721"/>
    <n v="32721"/>
    <n v="6755.9999999999982"/>
    <n v="3244.0000000000018"/>
    <n v="29477"/>
    <n v="127"/>
    <n v="49.806715867158687"/>
    <n v="60.981053878034388"/>
    <d v="2025-10-17T00:00:00"/>
    <n v="10000"/>
    <d v="2026-07-05T18:10:21"/>
    <d v="2026-07-05T00:00:00"/>
    <s v="julio"/>
    <s v="Activo"/>
    <m/>
    <m/>
    <s v="C003349"/>
    <s v="FILTRO DE COMBUSTIBLE KANGOO 1.5 - MANN PU 9011 z KIT"/>
    <n v="1"/>
    <n v="17040.349999999999"/>
    <n v="17040.349999999999"/>
    <x v="21"/>
    <m/>
    <m/>
    <m/>
  </r>
  <r>
    <s v="AF156NM"/>
    <s v="SPRINTER 316 CDI FURGON 3665"/>
    <s v="3MU"/>
    <s v="3MU"/>
    <n v="0.5"/>
    <s v="Cambiar Filtro De Combustible"/>
    <d v="2025-06-24T00:00:00"/>
    <n v="137406"/>
    <n v="147406"/>
    <n v="8671.7000000000007"/>
    <n v="1328.299999999999"/>
    <n v="146077.70000000001"/>
    <n v="115"/>
    <n v="93.793905109489017"/>
    <n v="17.615288813035491"/>
    <d v="2025-10-17T00:00:00"/>
    <n v="10000"/>
    <d v="2026-02-18T05:34:07"/>
    <d v="2026-02-18T00:00:00"/>
    <s v="febrero"/>
    <s v="Activo"/>
    <m/>
    <m/>
    <s v="C003078"/>
    <s v="FILTRO DE COMBUSTIBLE SPRINTER 316 (A 651 090 36 00) - BOSCH (0986BFO366)"/>
    <n v="1"/>
    <n v="77979.94"/>
    <n v="77979.94"/>
    <x v="6"/>
    <m/>
    <m/>
    <m/>
  </r>
  <r>
    <s v="AF156NM"/>
    <s v="SPRINTER 316 CDI FURGON 3665"/>
    <s v="4MU"/>
    <s v="4MU"/>
    <n v="0.25"/>
    <s v="Cambio Filtro Aire"/>
    <d v="2025-06-24T00:00:00"/>
    <n v="137406"/>
    <n v="147406"/>
    <n v="8671.7000000000007"/>
    <n v="1328.299999999999"/>
    <n v="146077.70000000001"/>
    <n v="115"/>
    <n v="93.793905109489017"/>
    <n v="17.615288813035491"/>
    <d v="2025-10-17T00:00:00"/>
    <n v="10000"/>
    <d v="2026-02-18T05:34:07"/>
    <d v="2026-02-18T00:00:00"/>
    <s v="febrero"/>
    <s v="Activo"/>
    <m/>
    <m/>
    <s v="C003080"/>
    <s v="FILTRO DE AIRE SPRINTER 316 - MANN C 4312/1"/>
    <n v="1"/>
    <n v="13876.18"/>
    <n v="13876.18"/>
    <x v="6"/>
    <m/>
    <m/>
    <m/>
  </r>
  <r>
    <s v="AF865RV"/>
    <s v="KANGOO II EXPRESS CONFORT 1,5 CDI FURGON"/>
    <s v="3MU"/>
    <s v="3MU"/>
    <n v="0.5"/>
    <s v="Cambiar Filtro De Combustible"/>
    <s v="-"/>
    <m/>
    <m/>
    <m/>
    <m/>
    <m/>
    <m/>
    <n v="25.830369003690031"/>
    <m/>
    <d v="2025-10-17T00:00:00"/>
    <n v="10000"/>
    <d v="2026-11-08T03:23:20"/>
    <d v="2026-11-08T00:00:00"/>
    <s v="noviembre"/>
    <s v="Activo"/>
    <m/>
    <m/>
    <s v="C003349"/>
    <s v="FILTRO DE COMBUSTIBLE KANGOO 1.5 - MANN PU 9011 z KIT"/>
    <n v="1"/>
    <n v="17040.349999999999"/>
    <n v="17040.349999999999"/>
    <x v="22"/>
    <m/>
    <m/>
    <m/>
  </r>
  <r>
    <s v="AF156NM"/>
    <s v="SPRINTER 316 CDI FURGON 3665"/>
    <s v="5MU"/>
    <s v="5MU"/>
    <n v="0.25"/>
    <s v="Cambiar Filtro Habitaculo"/>
    <d v="2025-03-17T00:00:00"/>
    <n v="129724"/>
    <n v="139724"/>
    <n v="18618.900000000001"/>
    <n v="-8618.9000000000015"/>
    <n v="148342.9"/>
    <n v="214"/>
    <n v="93.793905109489017"/>
    <n v="-99.063027353925307"/>
    <d v="2025-10-17T00:00:00"/>
    <n v="10000"/>
    <d v="2026-01-31T14:48:06"/>
    <d v="2026-01-31T00:00:00"/>
    <s v="enero"/>
    <s v="Activo"/>
    <m/>
    <m/>
    <s v="C003079"/>
    <s v="FILTRO DE HABITACULO SPRINTER 316 - MANN CU 30012"/>
    <n v="1"/>
    <n v="18045.55"/>
    <n v="18045.55"/>
    <x v="6"/>
    <m/>
    <m/>
    <m/>
  </r>
  <r>
    <s v="AF619YO"/>
    <s v="PARTNER CONFORT 1.6 HDI 92 AM22 -FURGON-"/>
    <s v="2MU"/>
    <s v="2MU"/>
    <n v="0.75"/>
    <s v="Cambio De Aceite Y Filtro De Motor"/>
    <d v="2025-04-04T00:00:00"/>
    <n v="39540"/>
    <n v="49540"/>
    <n v="3261.9"/>
    <n v="6738.1"/>
    <n v="42801.9"/>
    <n v="196"/>
    <n v="19.356900369003689"/>
    <n v="404.87678960115272"/>
    <d v="2025-10-17T00:00:00"/>
    <n v="10000"/>
    <d v="2026-11-25T21:02:35"/>
    <d v="2026-11-25T00:00:00"/>
    <s v="noviembre"/>
    <s v="Activo"/>
    <m/>
    <m/>
    <s v="C004114"/>
    <s v="ACEITE 5W 30 YPF X 20LTS"/>
    <n v="1"/>
    <n v="11782.62"/>
    <n v="11782.62"/>
    <x v="13"/>
    <m/>
    <m/>
    <m/>
  </r>
  <r>
    <s v="AF619YO"/>
    <s v="PARTNER CONFORT 1.6 HDI 92 AM22 -FURGON-"/>
    <s v="3MU"/>
    <s v="3MU"/>
    <n v="0.5"/>
    <s v="Cambiar Filtro De Combustible"/>
    <d v="2025-04-04T00:00:00"/>
    <n v="39540"/>
    <n v="49540"/>
    <n v="3261.9"/>
    <n v="6738.1"/>
    <n v="42801.9"/>
    <n v="196"/>
    <n v="19.356900369003689"/>
    <n v="404.87678960115272"/>
    <d v="2025-10-17T00:00:00"/>
    <n v="10000"/>
    <d v="2026-11-25T21:02:35"/>
    <d v="2026-11-25T00:00:00"/>
    <s v="noviembre"/>
    <s v="Activo"/>
    <m/>
    <m/>
    <s v="C002699"/>
    <s v="FILTRO DE COMBUSTIBLE PARTNER - (WK9034 Z)"/>
    <n v="1"/>
    <n v="20353.939999999999"/>
    <n v="20353.939999999999"/>
    <x v="13"/>
    <m/>
    <m/>
    <m/>
  </r>
  <r>
    <s v="AF156NK"/>
    <s v="SPRINTER 316 CDI FURGON 3665"/>
    <s v="4MU"/>
    <s v="4MU"/>
    <n v="0.25"/>
    <s v="Cambio Filtro Aire"/>
    <d v="2025-07-21T00:00:00"/>
    <n v="24642.400000000001"/>
    <n v="34642.400000000001"/>
    <n v="5862.9999999999991"/>
    <n v="4137.0000000000009"/>
    <n v="30505.4"/>
    <n v="88"/>
    <n v="74.610410447761154"/>
    <n v="62.093808630394022"/>
    <d v="2025-10-17T00:00:00"/>
    <n v="10000"/>
    <d v="2026-05-01T02:57:38"/>
    <d v="2026-05-01T00:00:00"/>
    <s v="mayo"/>
    <s v="Activo"/>
    <m/>
    <m/>
    <s v="C003080"/>
    <s v="FILTRO DE AIRE SPRINTER 316 - MANN C 4312/1"/>
    <n v="1"/>
    <n v="13876.18"/>
    <n v="13876.18"/>
    <x v="20"/>
    <m/>
    <m/>
    <m/>
  </r>
  <r>
    <s v="AF156NL"/>
    <s v="SPRINTER 316 CDI FURGON 3665"/>
    <s v="4MU"/>
    <s v="4MU"/>
    <n v="0.25"/>
    <s v="Cambio Filtro Aire"/>
    <s v="-"/>
    <n v="19099.3"/>
    <n v="29099.3"/>
    <n v="4604.5000000000009"/>
    <n v="5395.4999999999991"/>
    <n v="23703.8"/>
    <n v="67"/>
    <n v="63.391962962962928"/>
    <n v="78.509827342816777"/>
    <d v="2025-10-17T00:00:00"/>
    <n v="10000"/>
    <d v="2026-01-03T12:14:09"/>
    <d v="2026-01-03T00:00:00"/>
    <s v="enero"/>
    <s v="Activo"/>
    <m/>
    <m/>
    <s v="C003080"/>
    <s v="FILTRO DE AIRE SPRINTER 316 - MANN C 4312/1"/>
    <n v="1"/>
    <n v="13876.18"/>
    <n v="13876.18"/>
    <x v="14"/>
    <m/>
    <m/>
    <m/>
  </r>
  <r>
    <s v="AF619YO"/>
    <s v="PARTNER CONFORT 1.6 HDI 92 AM22 -FURGON-"/>
    <s v="5MU"/>
    <s v="5MU"/>
    <n v="0.25"/>
    <s v="Cambiar Filtro Habitaculo"/>
    <d v="2025-04-04T00:00:00"/>
    <n v="39540"/>
    <n v="49540"/>
    <n v="3261.9"/>
    <n v="6738.1"/>
    <n v="42801.9"/>
    <n v="196"/>
    <n v="19.356900369003689"/>
    <n v="404.87678960115272"/>
    <d v="2025-10-17T00:00:00"/>
    <n v="10000"/>
    <d v="2026-11-25T21:02:35"/>
    <d v="2026-11-25T00:00:00"/>
    <s v="noviembre"/>
    <s v="Activo"/>
    <m/>
    <m/>
    <s v="C002697"/>
    <s v="FILTRO DE HABITACULO PARTNER (CU 2545/1)"/>
    <n v="1"/>
    <n v="9054.85"/>
    <n v="9054.85"/>
    <x v="13"/>
    <m/>
    <m/>
    <m/>
  </r>
  <r>
    <s v="AF338VQ"/>
    <s v="KANGOO II EXPRESS CONFORT 5A 1,6 SCE-FURGON-"/>
    <s v="4MU"/>
    <s v="4MU"/>
    <n v="0.25"/>
    <s v="Cambio Filtro Aire"/>
    <s v="-"/>
    <m/>
    <m/>
    <m/>
    <m/>
    <m/>
    <m/>
    <n v="30.82394833948339"/>
    <m/>
    <d v="2025-10-17T00:00:00"/>
    <n v="10000"/>
    <d v="2026-09-06T10:09:13"/>
    <d v="2026-09-06T00:00:00"/>
    <s v="septiembre"/>
    <s v="Activo"/>
    <m/>
    <m/>
    <s v="C003346"/>
    <s v="FILTRO DE AIRE KANGOO 1.6/1.5 - MANN C 27 030"/>
    <n v="1"/>
    <n v="8857.74"/>
    <n v="8857.74"/>
    <x v="1"/>
    <m/>
    <m/>
    <m/>
  </r>
  <r>
    <s v="AF461DQ"/>
    <s v="SPRINTER 316 CDI FURGON 3665"/>
    <s v="4MU"/>
    <s v="4MU"/>
    <n v="0.25"/>
    <s v="Cambio Filtro Aire"/>
    <s v="-"/>
    <m/>
    <m/>
    <m/>
    <m/>
    <m/>
    <m/>
    <n v="75.146865671641763"/>
    <m/>
    <d v="2025-10-17T00:00:00"/>
    <n v="10000"/>
    <d v="2026-02-27T01:44:46"/>
    <d v="2026-02-27T00:00:00"/>
    <s v="febrero"/>
    <s v="Activo"/>
    <m/>
    <m/>
    <s v="C003080"/>
    <s v="FILTRO DE AIRE SPRINTER 316 - MANN C 4312/1"/>
    <n v="1"/>
    <n v="13876.18"/>
    <n v="13876.18"/>
    <x v="6"/>
    <m/>
    <m/>
    <m/>
  </r>
  <r>
    <s v="AF461DV"/>
    <s v="SPRINTER 316 CDI FURGON 3665"/>
    <s v="4MU"/>
    <s v="4MU"/>
    <n v="0.25"/>
    <s v="Cambio Filtro Aire"/>
    <d v="2025-08-15T00:00:00"/>
    <n v="20538.5"/>
    <n v="30538.5"/>
    <n v="1841.3"/>
    <n v="8158.7"/>
    <n v="22379.8"/>
    <n v="63"/>
    <n v="55.441375464683993"/>
    <n v="279.14956823983061"/>
    <d v="2025-10-17T00:00:00"/>
    <n v="10000"/>
    <d v="2026-07-23T03:35:23"/>
    <d v="2026-07-23T00:00:00"/>
    <s v="julio"/>
    <s v="Activo"/>
    <m/>
    <m/>
    <s v="C003080"/>
    <s v="FILTRO DE AIRE SPRINTER 316 - MANN C 4312/1"/>
    <n v="1"/>
    <n v="13876.18"/>
    <n v="13876.18"/>
    <x v="4"/>
    <m/>
    <m/>
    <m/>
  </r>
  <r>
    <s v="AF491HL"/>
    <s v="SPRINTER 316 CDI FURGON 3665"/>
    <s v="4MU"/>
    <s v="4MU"/>
    <n v="0.25"/>
    <s v="Cambio Filtro Aire"/>
    <d v="2025-07-07T00:00:00"/>
    <n v="81918.100000000006"/>
    <n v="91918.1"/>
    <n v="7752.4"/>
    <n v="2247.6"/>
    <n v="89670.5"/>
    <n v="102"/>
    <n v="82.189312977099249"/>
    <n v="29.572158299365359"/>
    <d v="2025-10-17T00:00:00"/>
    <n v="10000"/>
    <d v="2026-03-17T05:49:10"/>
    <d v="2026-03-17T00:00:00"/>
    <s v="marzo"/>
    <s v="Activo"/>
    <m/>
    <m/>
    <s v="C003080"/>
    <s v="FILTRO DE AIRE SPRINTER 316 - MANN C 4312/1"/>
    <n v="1"/>
    <n v="13876.18"/>
    <n v="13876.18"/>
    <x v="13"/>
    <m/>
    <m/>
    <m/>
  </r>
  <r>
    <s v="AF542LX"/>
    <s v="KANGOO II EXPRESS CONFORT 1,5 DCI-FURGON-"/>
    <s v="4MU"/>
    <s v="4MU"/>
    <n v="0.25"/>
    <s v="Cambio Filtro Aire"/>
    <s v="-"/>
    <n v="22721"/>
    <n v="32721"/>
    <n v="6755.9999999999982"/>
    <n v="3244.0000000000018"/>
    <n v="29477"/>
    <n v="111"/>
    <n v="49.806715867158687"/>
    <n v="53.298401420959188"/>
    <d v="2025-10-17T00:00:00"/>
    <n v="10000"/>
    <d v="2026-06-28T01:47:20"/>
    <d v="2026-06-28T00:00:00"/>
    <s v="junio"/>
    <s v="Activo"/>
    <m/>
    <m/>
    <s v="C003346"/>
    <s v="FILTRO DE AIRE KANGOO 1.6/1.5 - MANN C 27 030"/>
    <n v="1"/>
    <n v="8857.74"/>
    <n v="8857.74"/>
    <x v="21"/>
    <m/>
    <m/>
    <m/>
  </r>
  <r>
    <s v="AF619YO"/>
    <s v="PARTNER CONFORT 1.6 HDI 92 AM22 -FURGON-"/>
    <s v="4MU"/>
    <s v="4MU"/>
    <n v="0.25"/>
    <s v="Cambio Filtro Aire"/>
    <s v="-"/>
    <n v="39540"/>
    <n v="49540"/>
    <n v="3261.9"/>
    <n v="6738.1"/>
    <n v="42801.9"/>
    <n v="180"/>
    <n v="19.356900369003689"/>
    <n v="371.82562310309947"/>
    <d v="2025-10-17T00:00:00"/>
    <n v="10000"/>
    <d v="2026-10-23T19:48:54"/>
    <d v="2026-10-23T00:00:00"/>
    <s v="octubre"/>
    <s v="Activo"/>
    <m/>
    <m/>
    <s v="C002696"/>
    <s v="FILTRO DE AIRE PARTNER - MANN C 3585"/>
    <n v="1"/>
    <n v="11957.23"/>
    <n v="11957.23"/>
    <x v="13"/>
    <m/>
    <m/>
    <m/>
  </r>
  <r>
    <s v="AF619YP"/>
    <s v="PARTNER CONFORT 1.6 HDI 92 AM22 -FURGON-"/>
    <s v="2MU"/>
    <s v="2MU"/>
    <n v="0.75"/>
    <s v="Cambio De Aceite Y Filtro De Motor"/>
    <d v="2025-06-09T00:00:00"/>
    <n v="27690"/>
    <n v="37690"/>
    <n v="4680.9999999999991"/>
    <n v="5319.0000000000009"/>
    <n v="32371"/>
    <n v="130"/>
    <n v="63.689854014598552"/>
    <n v="147.71843623157449"/>
    <d v="2025-10-17T00:00:00"/>
    <n v="10000"/>
    <d v="2026-03-13T17:14:33"/>
    <d v="2026-03-13T00:00:00"/>
    <s v="marzo"/>
    <s v="Activo"/>
    <m/>
    <m/>
    <s v="C004114"/>
    <s v="ACEITE 5W 30 YPF X 20LTS"/>
    <n v="1"/>
    <n v="11782.62"/>
    <n v="11782.62"/>
    <x v="1"/>
    <m/>
    <m/>
    <m/>
  </r>
  <r>
    <s v="AF865RV"/>
    <s v="KANGOO II EXPRESS CONFORT 1,5 CDI FURGON"/>
    <s v="4MU"/>
    <s v="4MU"/>
    <n v="0.25"/>
    <s v="Cambio Filtro Aire"/>
    <s v="-"/>
    <m/>
    <m/>
    <m/>
    <m/>
    <m/>
    <m/>
    <n v="25.830369003690031"/>
    <m/>
    <d v="2025-10-17T00:00:00"/>
    <n v="10000"/>
    <d v="2026-11-08T03:23:20"/>
    <d v="2026-11-08T00:00:00"/>
    <s v="noviembre"/>
    <s v="Activo"/>
    <m/>
    <m/>
    <s v="C003346"/>
    <s v="FILTRO DE AIRE KANGOO 1.6/1.5 - MANN C 27 030"/>
    <n v="1"/>
    <n v="8857.74"/>
    <n v="8857.74"/>
    <x v="22"/>
    <m/>
    <m/>
    <m/>
  </r>
  <r>
    <s v="IRC117"/>
    <s v="Sprinter 413 SDI/F"/>
    <s v="4MU"/>
    <s v="4MU"/>
    <n v="0.25"/>
    <s v="Cambio Filtro Aire"/>
    <d v="2025-09-15T00:00:00"/>
    <n v="317907"/>
    <n v="327907"/>
    <n v="0"/>
    <n v="10000"/>
    <n v="317907"/>
    <n v="32"/>
    <n v="182.42433333333329"/>
    <n v="100"/>
    <d v="2025-10-17T00:00:00"/>
    <n v="10000"/>
    <d v="2026-01-25T00:00:00"/>
    <d v="2026-01-25T00:00:00"/>
    <s v="enero"/>
    <s v="Activo"/>
    <m/>
    <m/>
    <s v="C004177"/>
    <s v="FILTRO DE AIRE SPRINTER 413 - MANN C 32 338/1"/>
    <n v="1"/>
    <n v="16936.61"/>
    <n v="16936.61"/>
    <x v="13"/>
    <m/>
    <m/>
    <m/>
  </r>
  <r>
    <s v="AF619YP"/>
    <s v="PARTNER CONFORT 1.6 HDI 92 AM22 -FURGON-"/>
    <s v="3MU"/>
    <s v="3MU"/>
    <n v="0.5"/>
    <s v="Cambiar Filtro De Combustible"/>
    <d v="2025-01-07T00:00:00"/>
    <n v="15788"/>
    <n v="25788"/>
    <n v="17010.12"/>
    <n v="-7010.1199999999953"/>
    <n v="32798.120000000003"/>
    <n v="283"/>
    <n v="63.689854014598552"/>
    <n v="-116.6284517687118"/>
    <d v="2025-10-17T00:00:00"/>
    <n v="10000"/>
    <d v="2026-03-23T00:15:40"/>
    <d v="2026-03-23T00:00:00"/>
    <s v="marzo"/>
    <s v="Activo"/>
    <m/>
    <m/>
    <s v="C002699"/>
    <s v="FILTRO DE COMBUSTIBLE PARTNER - (WK9034 Z)"/>
    <n v="1"/>
    <n v="20353.939999999999"/>
    <n v="20353.939999999999"/>
    <x v="1"/>
    <m/>
    <m/>
    <m/>
  </r>
  <r>
    <s v="AF148ME"/>
    <s v="SPRINTER 316 CDI FURGON 3665"/>
    <s v="5MU"/>
    <s v="5MU"/>
    <n v="0.25"/>
    <s v="Cambiar Filtro Habitaculo"/>
    <s v="-"/>
    <m/>
    <m/>
    <m/>
    <m/>
    <m/>
    <m/>
    <n v="42.663308823529412"/>
    <m/>
    <d v="2025-10-17T00:00:00"/>
    <n v="10000"/>
    <d v="2026-06-08T09:26:34"/>
    <d v="2026-06-08T00:00:00"/>
    <s v="junio"/>
    <s v="Activo"/>
    <m/>
    <m/>
    <s v="C003079"/>
    <s v="FILTRO DE HABITACULO SPRINTER 316 - MANN CU 30012"/>
    <n v="1"/>
    <n v="18045.55"/>
    <n v="18045.55"/>
    <x v="1"/>
    <m/>
    <m/>
    <m/>
  </r>
  <r>
    <s v="AF619YP"/>
    <s v="PARTNER CONFORT 1.6 HDI 92 AM22 -FURGON-"/>
    <s v="4MU"/>
    <s v="4MU"/>
    <n v="0.25"/>
    <s v="Cambio Filtro Aire"/>
    <d v="2025-06-09T00:00:00"/>
    <n v="27690"/>
    <n v="37690"/>
    <n v="4680.9999999999991"/>
    <n v="5319.0000000000009"/>
    <n v="32371"/>
    <n v="130"/>
    <n v="63.689854014598552"/>
    <n v="147.71843623157449"/>
    <d v="2025-10-17T00:00:00"/>
    <n v="10000"/>
    <d v="2026-03-13T17:14:33"/>
    <d v="2026-03-13T00:00:00"/>
    <s v="marzo"/>
    <s v="Activo"/>
    <m/>
    <m/>
    <s v="C002696"/>
    <s v="FILTRO DE AIRE PARTNER - MANN C 3585"/>
    <n v="1"/>
    <n v="11957.23"/>
    <n v="11957.23"/>
    <x v="1"/>
    <m/>
    <m/>
    <m/>
  </r>
  <r>
    <s v="AF156NK"/>
    <s v="SPRINTER 316 CDI FURGON 3665"/>
    <s v="5MU"/>
    <s v="5MU"/>
    <n v="0.25"/>
    <s v="Cambiar Filtro Habitaculo"/>
    <s v="-"/>
    <n v="24642.400000000001"/>
    <n v="34642.400000000001"/>
    <n v="5862.9999999999991"/>
    <n v="4137.0000000000009"/>
    <n v="30505.4"/>
    <n v="72"/>
    <n v="74.610410447761154"/>
    <n v="50.804025243049651"/>
    <d v="2025-10-17T00:00:00"/>
    <n v="10000"/>
    <d v="2026-04-19T20:00:21"/>
    <d v="2026-04-19T00:00:00"/>
    <s v="abril"/>
    <s v="Activo"/>
    <m/>
    <m/>
    <s v="C003079"/>
    <s v="FILTRO DE HABITACULO SPRINTER 316 - MANN CU 30012"/>
    <n v="1"/>
    <n v="18045.55"/>
    <n v="18045.55"/>
    <x v="20"/>
    <m/>
    <m/>
    <m/>
  </r>
  <r>
    <s v="AF156NL"/>
    <s v="SPRINTER 316 CDI FURGON 3665"/>
    <s v="5MU"/>
    <s v="5MU"/>
    <n v="0.25"/>
    <s v="Cambiar Filtro Habitaculo"/>
    <s v="-"/>
    <n v="19099.3"/>
    <n v="29099.3"/>
    <n v="4604.5000000000009"/>
    <n v="5395.4999999999991"/>
    <n v="23703.8"/>
    <n v="67"/>
    <n v="63.391962962962928"/>
    <n v="78.509827342816777"/>
    <d v="2025-10-17T00:00:00"/>
    <n v="10000"/>
    <d v="2026-01-03T12:14:09"/>
    <d v="2026-01-03T00:00:00"/>
    <s v="enero"/>
    <s v="Activo"/>
    <m/>
    <m/>
    <m/>
    <m/>
    <m/>
    <m/>
    <n v="0"/>
    <x v="14"/>
    <m/>
    <m/>
    <m/>
  </r>
  <r>
    <s v="IRC117"/>
    <s v="Sprinter 413 SDI/F"/>
    <s v="2MU"/>
    <s v="2MU"/>
    <n v="0.75"/>
    <s v="Cambio De Aceite Y Filtro De Motor"/>
    <d v="2025-09-15T00:00:00"/>
    <n v="317907"/>
    <n v="327907"/>
    <n v="0"/>
    <n v="10000"/>
    <n v="317907"/>
    <n v="32"/>
    <n v="182.42433333333329"/>
    <n v="100"/>
    <d v="2025-10-17T00:00:00"/>
    <n v="10000"/>
    <d v="2026-01-25T00:00:00"/>
    <d v="2026-01-25T00:00:00"/>
    <s v="enero"/>
    <s v="Activo"/>
    <m/>
    <m/>
    <s v="C003082"/>
    <s v="ACEITE 5W 40 YPF x 20LTS"/>
    <n v="1"/>
    <n v="12001.14"/>
    <n v="12001.14"/>
    <x v="13"/>
    <m/>
    <m/>
    <m/>
  </r>
  <r>
    <s v="AF338VQ"/>
    <s v="KANGOO II EXPRESS CONFORT 5A 1,6 SCE-FURGON-"/>
    <s v="5MU"/>
    <s v="5MU"/>
    <n v="0.25"/>
    <s v="Cambiar Filtro Habitaculo"/>
    <s v="-"/>
    <m/>
    <m/>
    <m/>
    <m/>
    <m/>
    <m/>
    <n v="30.82394833948339"/>
    <m/>
    <d v="2025-10-17T00:00:00"/>
    <n v="10000"/>
    <d v="2026-09-06T10:09:13"/>
    <d v="2026-09-06T00:00:00"/>
    <s v="septiembre"/>
    <s v="Activo"/>
    <m/>
    <m/>
    <s v="C003348"/>
    <s v="FILTRO DE HABITACULO KANGOO 1.6/1.5 - MANN CU 25 012"/>
    <n v="1"/>
    <n v="7060.88"/>
    <n v="7060.88"/>
    <x v="1"/>
    <m/>
    <m/>
    <m/>
  </r>
  <r>
    <s v="AF461DQ"/>
    <s v="SPRINTER 316 CDI FURGON 3665"/>
    <s v="5MU"/>
    <s v="5MU"/>
    <n v="0.25"/>
    <s v="Cambiar Filtro Habitaculo"/>
    <s v="-"/>
    <m/>
    <m/>
    <m/>
    <m/>
    <m/>
    <m/>
    <n v="75.146865671641763"/>
    <m/>
    <d v="2025-10-17T00:00:00"/>
    <n v="10000"/>
    <d v="2026-02-27T01:44:46"/>
    <d v="2026-02-27T00:00:00"/>
    <s v="febrero"/>
    <s v="Activo"/>
    <m/>
    <m/>
    <s v="C003079"/>
    <s v="FILTRO DE HABITACULO SPRINTER 316 - MANN CU 30012"/>
    <n v="1"/>
    <n v="18045.55"/>
    <n v="18045.55"/>
    <x v="6"/>
    <m/>
    <m/>
    <m/>
  </r>
  <r>
    <s v="AF461DV"/>
    <s v="SPRINTER 316 CDI FURGON 3665"/>
    <s v="5MU"/>
    <s v="5MU"/>
    <n v="0.25"/>
    <s v="Cambiar Filtro Habitaculo"/>
    <d v="2025-08-15T00:00:00"/>
    <n v="20538.5"/>
    <n v="30538.5"/>
    <n v="1841.3"/>
    <n v="8158.7"/>
    <n v="22379.8"/>
    <n v="63"/>
    <n v="55.441375464683993"/>
    <n v="279.14956823983061"/>
    <d v="2025-10-17T00:00:00"/>
    <n v="10000"/>
    <d v="2026-07-23T03:35:23"/>
    <d v="2026-07-23T00:00:00"/>
    <s v="julio"/>
    <s v="Activo"/>
    <m/>
    <m/>
    <s v="C003079"/>
    <s v="FILTRO DE HABITACULO SPRINTER 316 - MANN CU 30012"/>
    <n v="1"/>
    <n v="18045.55"/>
    <n v="18045.55"/>
    <x v="4"/>
    <m/>
    <m/>
    <m/>
  </r>
  <r>
    <s v="AF491HL"/>
    <s v="SPRINTER 316 CDI FURGON 3665"/>
    <s v="5MU"/>
    <s v="5MU"/>
    <n v="0.25"/>
    <s v="Cambiar Filtro Habitaculo"/>
    <d v="2025-07-07T00:00:00"/>
    <n v="81918.100000000006"/>
    <n v="91918.1"/>
    <n v="7752.4"/>
    <n v="2247.6"/>
    <n v="89670.5"/>
    <n v="102"/>
    <n v="82.189312977099249"/>
    <n v="29.572158299365359"/>
    <d v="2025-10-17T00:00:00"/>
    <n v="10000"/>
    <d v="2026-03-17T05:49:10"/>
    <d v="2026-03-17T00:00:00"/>
    <s v="marzo"/>
    <s v="Activo"/>
    <m/>
    <m/>
    <s v="C003079"/>
    <s v="FILTRO DE HABITACULO SPRINTER 316 - MANN CU 30012"/>
    <n v="1"/>
    <n v="18045.55"/>
    <n v="18045.55"/>
    <x v="13"/>
    <m/>
    <m/>
    <m/>
  </r>
  <r>
    <s v="AF542LX"/>
    <s v="KANGOO II EXPRESS CONFORT 1,5 DCI-FURGON-"/>
    <s v="5MU"/>
    <s v="5MU"/>
    <n v="0.25"/>
    <s v="Cambiar Filtro Habitaculo"/>
    <s v="-"/>
    <n v="22721"/>
    <n v="32721"/>
    <n v="6755.9999999999982"/>
    <n v="3244.0000000000018"/>
    <n v="29477"/>
    <n v="111"/>
    <n v="49.806715867158687"/>
    <n v="53.298401420959188"/>
    <d v="2025-10-17T00:00:00"/>
    <n v="10000"/>
    <d v="2026-06-28T01:47:20"/>
    <d v="2026-06-28T00:00:00"/>
    <s v="junio"/>
    <s v="Activo"/>
    <m/>
    <m/>
    <s v="C003348"/>
    <s v="FILTRO DE HABITACULO KANGOO 1.6/1.5 - MANN CU 25 012"/>
    <n v="1"/>
    <n v="7060.88"/>
    <n v="7060.88"/>
    <x v="21"/>
    <m/>
    <m/>
    <m/>
  </r>
  <r>
    <s v="IRC117"/>
    <s v="Sprinter 413 SDI/F"/>
    <s v="3MU"/>
    <s v="3MU"/>
    <n v="0.5"/>
    <s v="Cambiar Filtro De Combustible"/>
    <d v="2025-09-15T00:00:00"/>
    <n v="317907"/>
    <n v="327907"/>
    <n v="0"/>
    <n v="10000"/>
    <n v="317907"/>
    <n v="32"/>
    <n v="182.42433333333329"/>
    <n v="100"/>
    <d v="2025-10-17T00:00:00"/>
    <n v="10000"/>
    <d v="2026-01-25T00:00:00"/>
    <d v="2026-01-25T00:00:00"/>
    <s v="enero"/>
    <s v="Activo"/>
    <m/>
    <m/>
    <s v="C004178"/>
    <s v="FILTRO DE COMBUSTIBLE SPRINTER 413 - MANN WK 842/13"/>
    <n v="1"/>
    <n v="20014.55"/>
    <n v="20014.55"/>
    <x v="13"/>
    <m/>
    <m/>
    <m/>
  </r>
  <r>
    <s v="AF619YP"/>
    <s v="PARTNER CONFORT 1.6 HDI 92 AM22 -FURGON-"/>
    <s v="5MU"/>
    <s v="5MU"/>
    <n v="0.25"/>
    <s v="Cambiar Filtro Habitaculo"/>
    <s v="-"/>
    <n v="27690"/>
    <n v="37690"/>
    <n v="4680.9999999999991"/>
    <n v="5319.0000000000009"/>
    <n v="32371"/>
    <n v="114"/>
    <n v="63.689854014598552"/>
    <n v="129.53770561845761"/>
    <d v="2025-10-17T00:00:00"/>
    <n v="10000"/>
    <d v="2026-02-23T12:54:18"/>
    <d v="2026-02-23T00:00:00"/>
    <s v="febrero"/>
    <s v="Activo"/>
    <m/>
    <m/>
    <s v="C002697"/>
    <s v="FILTRO DE HABITACULO PARTNER (CU 2545/1)"/>
    <n v="1"/>
    <n v="9054.85"/>
    <n v="9054.85"/>
    <x v="1"/>
    <m/>
    <m/>
    <m/>
  </r>
  <r>
    <s v="AF865RV"/>
    <s v="KANGOO II EXPRESS CONFORT 1,5 CDI FURGON"/>
    <s v="5MU"/>
    <s v="5MU"/>
    <n v="0.25"/>
    <s v="Cambiar Filtro Habitaculo"/>
    <s v="-"/>
    <m/>
    <m/>
    <m/>
    <m/>
    <m/>
    <m/>
    <n v="25.830369003690031"/>
    <m/>
    <d v="2025-10-17T00:00:00"/>
    <n v="10000"/>
    <d v="2026-11-08T03:23:20"/>
    <d v="2026-11-08T00:00:00"/>
    <s v="noviembre"/>
    <s v="Activo"/>
    <m/>
    <m/>
    <s v="C003348"/>
    <s v="FILTRO DE HABITACULO KANGOO 1.6/1.5 - MANN CU 25 012"/>
    <n v="1"/>
    <n v="7060.88"/>
    <n v="7060.88"/>
    <x v="22"/>
    <m/>
    <m/>
    <m/>
  </r>
  <r>
    <s v="IRC117"/>
    <s v="Sprinter 413 SDI/F"/>
    <s v="5MU"/>
    <s v="5MU"/>
    <n v="0.25"/>
    <s v="Cambiar Filtro Habitaculo"/>
    <d v="2025-04-25T00:00:00"/>
    <n v="315468"/>
    <n v="325468"/>
    <n v="0"/>
    <n v="10000"/>
    <n v="315468"/>
    <n v="175"/>
    <n v="182.42433333333329"/>
    <n v="100"/>
    <d v="2025-10-17T00:00:00"/>
    <n v="10000"/>
    <d v="2026-01-25T00:00:00"/>
    <d v="2026-01-25T00:00:00"/>
    <s v="enero"/>
    <s v="Activo"/>
    <m/>
    <m/>
    <s v="C003079"/>
    <s v="FILTRO DE HABITACULO SPRINTER 316 - MANN CU 30012"/>
    <n v="1"/>
    <n v="18045.55"/>
    <n v="18045.55"/>
    <x v="13"/>
    <m/>
    <m/>
    <m/>
  </r>
  <r>
    <s v="GVU097"/>
    <n v="1624"/>
    <s v="2MC 1"/>
    <s v="2MC"/>
    <n v="0.75"/>
    <s v="Cambio De Aceite Y Filtro De Motor"/>
    <d v="2025-07-07T00:00:00"/>
    <n v="656303"/>
    <n v="676303"/>
    <n v="6490.9999999999991"/>
    <n v="13509"/>
    <n v="662794"/>
    <n v="102"/>
    <n v="93.110293159609114"/>
    <n v="212.28131258665849"/>
    <d v="2025-10-17T00:00:00"/>
    <n v="20000"/>
    <d v="2026-05-17T06:45:05"/>
    <d v="2026-05-17T00:00:00"/>
    <s v="mayo"/>
    <s v="Activo"/>
    <m/>
    <m/>
    <s v="C000313"/>
    <s v="ACEITE 15W40 XV300 X 205LT (TAMBOR)"/>
    <n v="16"/>
    <n v="3389.9"/>
    <n v="54238.400000000001"/>
    <x v="10"/>
    <m/>
    <m/>
    <m/>
  </r>
  <r>
    <s v="GVU097"/>
    <n v="1624"/>
    <s v="2MC 1"/>
    <s v="2MC"/>
    <n v="0.75"/>
    <s v="Cambio De Aceite Y Filtro De Motor"/>
    <d v="2025-07-07T00:00:00"/>
    <n v="656303"/>
    <n v="676303"/>
    <n v="6490.9999999999991"/>
    <n v="13509"/>
    <n v="662794"/>
    <n v="102"/>
    <n v="93.110293159609114"/>
    <n v="212.28131258665849"/>
    <d v="2025-10-17T00:00:00"/>
    <n v="20000"/>
    <d v="2026-05-17T06:45:05"/>
    <d v="2026-05-17T00:00:00"/>
    <s v="mayo"/>
    <s v="Activo"/>
    <m/>
    <m/>
    <s v="C002300"/>
    <s v="FILTRO DE ACEITE 6 CILINDROS MB 1725/1726/1933/1624L/1721 OF ELECTRONICO - MANN HU 945/2x"/>
    <n v="1"/>
    <n v="9737.2800000000007"/>
    <n v="9737.2800000000007"/>
    <x v="10"/>
    <m/>
    <m/>
    <m/>
  </r>
  <r>
    <s v="GVU096"/>
    <n v="1624"/>
    <s v="2MC 1"/>
    <s v="2MC"/>
    <n v="0.75"/>
    <s v="Cambio De Aceite Y Filtro De Motor"/>
    <d v="2024-11-27T00:00:00"/>
    <n v="6340"/>
    <n v="26340"/>
    <n v="9804.4500000000044"/>
    <n v="10195.549999999999"/>
    <n v="16144.45"/>
    <n v="324"/>
    <n v="31.374080882352938"/>
    <n v="336.92437617612381"/>
    <d v="2025-10-17T00:00:00"/>
    <n v="20000"/>
    <d v="2026-09-18T22:11:06"/>
    <d v="2026-09-18T00:00:00"/>
    <s v="septiembre"/>
    <s v="Activo"/>
    <m/>
    <m/>
    <s v="C000313"/>
    <s v="ACEITE 15W40 XV300 X 205LT (TAMBOR)"/>
    <n v="16"/>
    <n v="3389.9"/>
    <n v="54238.400000000001"/>
    <x v="14"/>
    <m/>
    <m/>
    <m/>
  </r>
  <r>
    <s v="GVU096"/>
    <n v="1624"/>
    <s v="2MC 1"/>
    <s v="2MC"/>
    <n v="0.75"/>
    <s v="Cambio De Aceite Y Filtro De Motor"/>
    <d v="2024-11-27T00:00:00"/>
    <n v="6340"/>
    <n v="26340"/>
    <n v="9804.4500000000044"/>
    <n v="10195.549999999999"/>
    <n v="16144.45"/>
    <n v="324"/>
    <n v="31.374080882352938"/>
    <n v="336.92437617612381"/>
    <d v="2025-10-17T00:00:00"/>
    <n v="20000"/>
    <d v="2026-09-18T22:11:06"/>
    <d v="2026-09-18T00:00:00"/>
    <s v="septiembre"/>
    <s v="Activo"/>
    <m/>
    <m/>
    <s v="C002300"/>
    <s v="FILTRO DE ACEITE 6 CILINDROS MB 1725/1726/1933/1624L/1721 OF ELECTRONICO - MANN HU 945/2x"/>
    <n v="1"/>
    <n v="9737.2800000000007"/>
    <n v="9737.2800000000007"/>
    <x v="14"/>
    <m/>
    <m/>
    <m/>
  </r>
  <r>
    <s v="GUW658"/>
    <n v="1624"/>
    <s v="2MC 1"/>
    <s v="2MC"/>
    <n v="0.75"/>
    <s v="Cambio De Aceite Y Filtro De Motor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06-27T07:17:57"/>
    <d v="2026-06-27T00:00:00"/>
    <s v="junio"/>
    <s v="Activo"/>
    <m/>
    <m/>
    <s v="C000313"/>
    <s v="ACEITE 15W40 XV300 X 205LT (TAMBOR)"/>
    <n v="16"/>
    <n v="3389.9"/>
    <n v="54238.400000000001"/>
    <x v="4"/>
    <m/>
    <m/>
    <m/>
  </r>
  <r>
    <s v="GUW658"/>
    <n v="1624"/>
    <s v="2MC 1"/>
    <s v="2MC"/>
    <n v="0.75"/>
    <s v="Cambio De Aceite Y Filtro De Motor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06-27T07:17:57"/>
    <d v="2026-06-27T00:00:00"/>
    <s v="junio"/>
    <s v="Activo"/>
    <m/>
    <m/>
    <s v="C002300"/>
    <s v="FILTRO DE ACEITE 6 CILINDROS MB 1725/1726/1933/1624L/1721 OF ELECTRONICO - MANN HU 945/2x"/>
    <n v="1"/>
    <n v="9737.2800000000007"/>
    <n v="9737.2800000000007"/>
    <x v="4"/>
    <m/>
    <m/>
    <m/>
  </r>
  <r>
    <s v="GUW657"/>
    <n v="1624"/>
    <s v="2MC 1"/>
    <s v="2MC"/>
    <n v="0.75"/>
    <s v="Cambio De Aceite Y Filtro De Motor"/>
    <d v="2025-04-01T00:00:00"/>
    <n v="10362"/>
    <n v="30362"/>
    <n v="12667.1"/>
    <n v="7332.9000000000005"/>
    <n v="23029.1"/>
    <n v="199"/>
    <n v="53.990801282051272"/>
    <n v="115.1997773760372"/>
    <d v="2025-10-17T00:00:00"/>
    <n v="20000"/>
    <d v="2026-02-09T04:47:41"/>
    <d v="2026-02-09T00:00:00"/>
    <s v="febrero"/>
    <s v="Activo"/>
    <m/>
    <m/>
    <s v="C000313"/>
    <s v="ACEITE 15W40 XV300 X 205LT (TAMBOR)"/>
    <n v="16"/>
    <n v="3389.9"/>
    <n v="54238.400000000001"/>
    <x v="19"/>
    <m/>
    <m/>
    <m/>
  </r>
  <r>
    <s v="GUW657"/>
    <n v="1624"/>
    <s v="2MC 1"/>
    <s v="2MC"/>
    <n v="0.75"/>
    <s v="Cambio De Aceite Y Filtro De Motor"/>
    <d v="2025-04-01T00:00:00"/>
    <n v="10362"/>
    <n v="30362"/>
    <n v="12667.1"/>
    <n v="7332.9000000000005"/>
    <n v="23029.1"/>
    <n v="199"/>
    <n v="53.990801282051272"/>
    <n v="115.1997773760372"/>
    <d v="2025-10-17T00:00:00"/>
    <n v="20000"/>
    <d v="2026-02-09T04:47:41"/>
    <d v="2026-02-09T00:00:00"/>
    <s v="febrero"/>
    <s v="Activo"/>
    <m/>
    <m/>
    <s v="C002300"/>
    <s v="FILTRO DE ACEITE 6 CILINDROS MB 1725/1726/1933/1624L/1721 OF ELECTRONICO - MANN HU 945/2x"/>
    <n v="1"/>
    <n v="9737.2800000000007"/>
    <n v="9737.2800000000007"/>
    <x v="19"/>
    <m/>
    <m/>
    <m/>
  </r>
  <r>
    <s v="GTE289"/>
    <n v="1624"/>
    <s v="2MC 1"/>
    <s v="2MC"/>
    <n v="0.75"/>
    <s v="Cambio De Aceite Y Filtro De Motor"/>
    <d v="2025-06-17T00:00:00"/>
    <n v="809565"/>
    <n v="829565"/>
    <n v="8970.2999999999993"/>
    <n v="11029.7"/>
    <n v="818535.3"/>
    <n v="122"/>
    <n v="63.369638157894727"/>
    <n v="150.00873995295589"/>
    <d v="2025-10-17T00:00:00"/>
    <n v="20000"/>
    <d v="2026-03-16T00:12:35"/>
    <d v="2026-03-16T00:00:00"/>
    <s v="marzo"/>
    <s v="Activo"/>
    <m/>
    <m/>
    <s v="C000313"/>
    <s v="ACEITE 15W40 XV300 X 205LT (TAMBOR)"/>
    <n v="16"/>
    <n v="3389.9"/>
    <n v="54238.400000000001"/>
    <x v="10"/>
    <m/>
    <m/>
    <m/>
  </r>
  <r>
    <s v="GTE289"/>
    <n v="1624"/>
    <s v="2MC 1"/>
    <s v="2MC"/>
    <n v="0.75"/>
    <s v="Cambio De Aceite Y Filtro De Motor"/>
    <d v="2025-06-17T00:00:00"/>
    <n v="809565"/>
    <n v="829565"/>
    <n v="8970.2999999999993"/>
    <n v="11029.7"/>
    <n v="818535.3"/>
    <n v="122"/>
    <n v="63.369638157894727"/>
    <n v="150.00873995295589"/>
    <d v="2025-10-17T00:00:00"/>
    <n v="20000"/>
    <d v="2026-03-16T00:12:35"/>
    <d v="2026-03-16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10"/>
    <m/>
    <m/>
    <m/>
  </r>
  <r>
    <s v="GTE288"/>
    <n v="1624"/>
    <s v="2MC 1"/>
    <s v="2MC"/>
    <n v="0.75"/>
    <s v="Cambio De Aceite Y Filtro De Motor"/>
    <d v="2025-04-15T00:00:00"/>
    <n v="779819"/>
    <n v="799819"/>
    <n v="16921.500000000011"/>
    <n v="3078.4999999999932"/>
    <n v="796740.5"/>
    <n v="185"/>
    <n v="75.425496688741674"/>
    <n v="33.656738468811767"/>
    <d v="2025-10-17T00:00:00"/>
    <n v="20000"/>
    <d v="2026-08-11T19:39:27"/>
    <d v="2026-08-11T00:00:00"/>
    <s v="agosto"/>
    <s v="Activo"/>
    <m/>
    <m/>
    <s v="C000313"/>
    <s v="ACEITE 15W40 XV300 X 205LT (TAMBOR)"/>
    <n v="16"/>
    <n v="3389.9"/>
    <n v="54238.400000000001"/>
    <x v="5"/>
    <m/>
    <m/>
    <m/>
  </r>
  <r>
    <s v="GTE288"/>
    <n v="1624"/>
    <s v="2MC 1"/>
    <s v="2MC"/>
    <n v="0.75"/>
    <s v="Cambio De Aceite Y Filtro De Motor"/>
    <d v="2025-04-15T00:00:00"/>
    <n v="779819"/>
    <n v="799819"/>
    <n v="16921.500000000011"/>
    <n v="3078.4999999999932"/>
    <n v="796740.5"/>
    <n v="185"/>
    <n v="75.425496688741674"/>
    <n v="33.656738468811767"/>
    <d v="2025-10-17T00:00:00"/>
    <n v="20000"/>
    <d v="2026-08-11T19:39:27"/>
    <d v="2026-08-11T00:00:00"/>
    <s v="agosto"/>
    <s v="Activo"/>
    <m/>
    <m/>
    <s v="C002300"/>
    <s v="FILTRO DE ACEITE 6 CILINDROS MB 1725/1726/1933/1624L/1721 OF ELECTRONICO - MANN HU 945/2x"/>
    <n v="1"/>
    <n v="9737.2800000000007"/>
    <n v="9737.2800000000007"/>
    <x v="5"/>
    <m/>
    <m/>
    <m/>
  </r>
  <r>
    <s v="GTE287"/>
    <n v="1624"/>
    <s v="2MC 1"/>
    <s v="2MC"/>
    <n v="0.75"/>
    <s v="Cambio De Aceite Y Filtro De Motor"/>
    <d v="2025-08-01T00:00:00"/>
    <n v="24799.1"/>
    <n v="44799.1"/>
    <n v="3627.4"/>
    <n v="16372.6"/>
    <n v="28426.5"/>
    <n v="77"/>
    <n v="131.93916129032249"/>
    <n v="347.5465071401004"/>
    <d v="2025-10-17T00:00:00"/>
    <n v="20000"/>
    <d v="2026-09-29T13:06:58"/>
    <d v="2026-09-29T00:00:00"/>
    <s v="septiembre"/>
    <s v="Activo"/>
    <m/>
    <m/>
    <s v="C000313"/>
    <s v="ACEITE 15W40 XV300 X 205LT (TAMBOR)"/>
    <n v="16"/>
    <n v="3389.9"/>
    <n v="54238.400000000001"/>
    <x v="10"/>
    <m/>
    <m/>
    <m/>
  </r>
  <r>
    <s v="GTE287"/>
    <n v="1624"/>
    <s v="2MC 1"/>
    <s v="2MC"/>
    <n v="0.75"/>
    <s v="Cambio De Aceite Y Filtro De Motor"/>
    <d v="2025-08-01T00:00:00"/>
    <n v="24799.1"/>
    <n v="44799.1"/>
    <n v="3627.4"/>
    <n v="16372.6"/>
    <n v="28426.5"/>
    <n v="77"/>
    <n v="131.93916129032249"/>
    <n v="347.5465071401004"/>
    <d v="2025-10-17T00:00:00"/>
    <n v="20000"/>
    <d v="2026-09-29T13:06:58"/>
    <d v="2026-09-29T00:00:00"/>
    <s v="septiembre"/>
    <s v="Activo"/>
    <m/>
    <m/>
    <s v="C002300"/>
    <s v="FILTRO DE ACEITE 6 CILINDROS MB 1725/1726/1933/1624L/1721 OF ELECTRONICO - MANN HU 945/2x"/>
    <n v="1"/>
    <n v="9737.2800000000007"/>
    <n v="9737.2800000000007"/>
    <x v="10"/>
    <m/>
    <m/>
    <m/>
  </r>
  <r>
    <s v="GRE073"/>
    <n v="1624"/>
    <s v="2MC 1"/>
    <s v="2MC"/>
    <n v="0.75"/>
    <s v="Cambio De Aceite Y Filtro De Motor"/>
    <d v="2025-07-08T00:00:00"/>
    <n v="10340"/>
    <n v="30340"/>
    <n v="5338.3999999999987"/>
    <n v="14661.6"/>
    <n v="15678.4"/>
    <n v="101"/>
    <n v="29.350544871794892"/>
    <n v="277.39052899745252"/>
    <d v="2025-10-17T00:00:00"/>
    <n v="20000"/>
    <d v="2026-07-21T09:22:22"/>
    <d v="2026-07-21T00:00:00"/>
    <s v="julio"/>
    <s v="Activo"/>
    <m/>
    <m/>
    <s v="C000313"/>
    <s v="ACEITE 15W40 XV300 X 205LT (TAMBOR)"/>
    <n v="16"/>
    <n v="3389.9"/>
    <n v="54238.400000000001"/>
    <x v="6"/>
    <m/>
    <m/>
    <m/>
  </r>
  <r>
    <s v="GRE073"/>
    <n v="1624"/>
    <s v="2MC 1"/>
    <s v="2MC"/>
    <n v="0.75"/>
    <s v="Cambio De Aceite Y Filtro De Motor"/>
    <d v="2025-07-08T00:00:00"/>
    <n v="10340"/>
    <n v="30340"/>
    <n v="5338.3999999999987"/>
    <n v="14661.6"/>
    <n v="15678.4"/>
    <n v="101"/>
    <n v="29.350544871794892"/>
    <n v="277.39052899745252"/>
    <d v="2025-10-17T00:00:00"/>
    <n v="20000"/>
    <d v="2026-07-21T09:22:22"/>
    <d v="2026-07-21T00:00:00"/>
    <s v="julio"/>
    <s v="Activo"/>
    <m/>
    <m/>
    <s v="C002300"/>
    <s v="FILTRO DE ACEITE 6 CILINDROS MB 1725/1726/1933/1624L/1721 OF ELECTRONICO - MANN HU 945/2x"/>
    <n v="1"/>
    <n v="9737.2800000000007"/>
    <n v="9737.2800000000007"/>
    <x v="6"/>
    <m/>
    <m/>
    <m/>
  </r>
  <r>
    <s v="GRC311"/>
    <n v="1624"/>
    <s v="2MC 1"/>
    <s v="2MC"/>
    <n v="0.75"/>
    <s v="Cambio De Aceite Y Filtro De Motor"/>
    <d v="2025-04-25T00:00:00"/>
    <n v="264479"/>
    <n v="284479"/>
    <n v="6327.5000000000045"/>
    <n v="13672.499999999991"/>
    <n v="270806.5"/>
    <n v="175"/>
    <n v="34.372709677419373"/>
    <n v="378.14105096799642"/>
    <d v="2025-10-17T00:00:00"/>
    <n v="20000"/>
    <d v="2026-10-30T03:23:07"/>
    <d v="2026-10-30T00:00:00"/>
    <s v="octubre"/>
    <s v="Activo"/>
    <m/>
    <m/>
    <s v="C000313"/>
    <s v="ACEITE 15W40 XV300 X 205LT (TAMBOR)"/>
    <n v="16"/>
    <n v="3389.9"/>
    <n v="54238.400000000001"/>
    <x v="7"/>
    <m/>
    <m/>
    <m/>
  </r>
  <r>
    <s v="GRC311"/>
    <n v="1624"/>
    <s v="2MC 1"/>
    <s v="2MC"/>
    <n v="0.75"/>
    <s v="Cambio De Aceite Y Filtro De Motor"/>
    <d v="2025-04-25T00:00:00"/>
    <n v="264479"/>
    <n v="284479"/>
    <n v="6327.5000000000045"/>
    <n v="13672.499999999991"/>
    <n v="270806.5"/>
    <n v="175"/>
    <n v="34.372709677419373"/>
    <n v="378.14105096799642"/>
    <d v="2025-10-17T00:00:00"/>
    <n v="20000"/>
    <d v="2026-10-30T03:23:07"/>
    <d v="2026-10-30T00:00:00"/>
    <s v="octubre"/>
    <s v="Activo"/>
    <m/>
    <m/>
    <s v="C002300"/>
    <s v="FILTRO DE ACEITE 6 CILINDROS MB 1725/1726/1933/1624L/1721 OF ELECTRONICO - MANN HU 945/2x"/>
    <n v="1"/>
    <n v="9737.2800000000007"/>
    <n v="9737.2800000000007"/>
    <x v="7"/>
    <m/>
    <m/>
    <m/>
  </r>
  <r>
    <s v="GQN688"/>
    <n v="1624"/>
    <s v="2MC 1"/>
    <s v="2MC"/>
    <n v="0.75"/>
    <s v="Cambio De Aceite Y Filtro De Motor"/>
    <d v="2025-09-08T00:00:00"/>
    <n v="82173.399999999994"/>
    <n v="102173.4"/>
    <n v="5556.5"/>
    <n v="14443.5"/>
    <n v="87729.9"/>
    <n v="39"/>
    <n v="215.45547231270371"/>
    <n v="101.37613605687029"/>
    <d v="2025-10-17T00:00:00"/>
    <n v="20000"/>
    <d v="2026-01-26T09:01:38"/>
    <d v="2026-01-26T00:00:00"/>
    <s v="enero"/>
    <s v="Activo"/>
    <m/>
    <m/>
    <s v="C000313"/>
    <s v="ACEITE 15W40 XV300 X 205LT (TAMBOR)"/>
    <n v="16"/>
    <n v="3389.9"/>
    <n v="54238.400000000001"/>
    <x v="15"/>
    <m/>
    <m/>
    <m/>
  </r>
  <r>
    <s v="GQN688"/>
    <n v="1624"/>
    <s v="2MC 1"/>
    <s v="2MC"/>
    <n v="0.75"/>
    <s v="Cambio De Aceite Y Filtro De Motor"/>
    <d v="2025-09-08T00:00:00"/>
    <n v="82173.399999999994"/>
    <n v="102173.4"/>
    <n v="5556.5"/>
    <n v="14443.5"/>
    <n v="87729.9"/>
    <n v="39"/>
    <n v="215.45547231270371"/>
    <n v="101.37613605687029"/>
    <d v="2025-10-17T00:00:00"/>
    <n v="20000"/>
    <d v="2026-01-26T09:01:38"/>
    <d v="2026-01-26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GOX957"/>
    <n v="1624"/>
    <s v="2MC 1"/>
    <s v="2MC"/>
    <n v="0.75"/>
    <s v="Cambio De Aceite Y Filtro De Motor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04-10T22:56:52"/>
    <d v="2026-04-10T00:00:00"/>
    <s v="abril"/>
    <s v="Activo"/>
    <m/>
    <m/>
    <s v="C000313"/>
    <s v="ACEITE 15W40 XV300 X 205LT (TAMBOR)"/>
    <n v="16"/>
    <n v="3389.9"/>
    <n v="54238.400000000001"/>
    <x v="10"/>
    <m/>
    <m/>
    <m/>
  </r>
  <r>
    <s v="GOX957"/>
    <n v="1624"/>
    <s v="2MC 1"/>
    <s v="2MC"/>
    <n v="0.75"/>
    <s v="Cambio De Aceite Y Filtro De Motor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04-10T22:56:52"/>
    <d v="2026-04-10T00:00:00"/>
    <s v="abril"/>
    <s v="Activo"/>
    <m/>
    <m/>
    <s v="C002300"/>
    <s v="FILTRO DE ACEITE 6 CILINDROS MB 1725/1726/1933/1624L/1721 OF ELECTRONICO - MANN HU 945/2x"/>
    <n v="1"/>
    <n v="9737.2800000000007"/>
    <n v="9737.2800000000007"/>
    <x v="10"/>
    <m/>
    <m/>
    <m/>
  </r>
  <r>
    <s v="GOX956"/>
    <n v="1624"/>
    <s v="2MC 1"/>
    <s v="2MC"/>
    <n v="0.75"/>
    <s v="Cambio De Aceite Y Filtro De Motor"/>
    <d v="2025-07-24T00:00:00"/>
    <n v="808028"/>
    <n v="828028"/>
    <n v="7209.7999999999984"/>
    <n v="12790.2"/>
    <n v="815237.8"/>
    <n v="85"/>
    <n v="100.27773026315791"/>
    <n v="150.79017448472919"/>
    <d v="2025-10-17T00:00:00"/>
    <n v="20000"/>
    <d v="2026-03-16T18:57:51"/>
    <d v="2026-03-16T00:00:00"/>
    <s v="marzo"/>
    <s v="Activo"/>
    <m/>
    <m/>
    <s v="C000313"/>
    <s v="ACEITE 15W40 XV300 X 205LT (TAMBOR)"/>
    <n v="16"/>
    <n v="3389.9"/>
    <n v="54238.400000000001"/>
    <x v="5"/>
    <m/>
    <m/>
    <m/>
  </r>
  <r>
    <s v="GOX956"/>
    <n v="1624"/>
    <s v="2MC 1"/>
    <s v="2MC"/>
    <n v="0.75"/>
    <s v="Cambio De Aceite Y Filtro De Motor"/>
    <d v="2025-07-24T00:00:00"/>
    <n v="808028"/>
    <n v="828028"/>
    <n v="7209.7999999999984"/>
    <n v="12790.2"/>
    <n v="815237.8"/>
    <n v="85"/>
    <n v="100.27773026315791"/>
    <n v="150.79017448472919"/>
    <d v="2025-10-17T00:00:00"/>
    <n v="20000"/>
    <d v="2026-03-16T18:57:51"/>
    <d v="2026-03-16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5"/>
    <m/>
    <m/>
    <m/>
  </r>
  <r>
    <s v="GOR397"/>
    <n v="1624"/>
    <s v="2MC 1"/>
    <s v="2MC"/>
    <n v="0.75"/>
    <s v="Cambio De Aceite Y Filtro De Motor"/>
    <d v="2025-03-07T00:00:00"/>
    <n v="27910.9"/>
    <n v="47910.9"/>
    <n v="19185.899999999991"/>
    <n v="814.10000000000582"/>
    <n v="47096.800000000003"/>
    <n v="224"/>
    <n v="76.974301470588202"/>
    <n v="9.5048134306965721"/>
    <d v="2025-10-17T00:00:00"/>
    <n v="20000"/>
    <d v="2026-07-13T07:57:47"/>
    <d v="2026-07-13T00:00:00"/>
    <s v="julio"/>
    <s v="Activo"/>
    <m/>
    <m/>
    <s v="C000313"/>
    <s v="ACEITE 15W40 XV300 X 205LT (TAMBOR)"/>
    <n v="16"/>
    <n v="3389.9"/>
    <n v="54238.400000000001"/>
    <x v="16"/>
    <m/>
    <m/>
    <m/>
  </r>
  <r>
    <s v="GOR397"/>
    <n v="1624"/>
    <s v="2MC 1"/>
    <s v="2MC"/>
    <n v="0.75"/>
    <s v="Cambio De Aceite Y Filtro De Motor"/>
    <d v="2025-03-07T00:00:00"/>
    <n v="27910.9"/>
    <n v="47910.9"/>
    <n v="19185.899999999991"/>
    <n v="814.10000000000582"/>
    <n v="47096.800000000003"/>
    <n v="224"/>
    <n v="76.974301470588202"/>
    <n v="9.5048134306965721"/>
    <d v="2025-10-17T00:00:00"/>
    <n v="20000"/>
    <d v="2026-07-13T07:57:47"/>
    <d v="2026-07-13T00:00:00"/>
    <s v="julio"/>
    <s v="Activo"/>
    <m/>
    <m/>
    <s v="C002300"/>
    <s v="FILTRO DE ACEITE 6 CILINDROS MB 1725/1726/1933/1624L/1721 OF ELECTRONICO - MANN HU 945/2x"/>
    <n v="1"/>
    <n v="9737.2800000000007"/>
    <n v="9737.2800000000007"/>
    <x v="16"/>
    <m/>
    <m/>
    <m/>
  </r>
  <r>
    <s v="GOR390"/>
    <n v="1624"/>
    <s v="2MC 1"/>
    <s v="2MC"/>
    <n v="0.75"/>
    <s v="Cambio De Aceite Y Filtro De Motor"/>
    <d v="2025-06-23T00:00:00"/>
    <n v="511084"/>
    <n v="531084"/>
    <n v="8073.1000000000013"/>
    <n v="11926.9"/>
    <n v="519157.1"/>
    <n v="116"/>
    <n v="57.283729903536972"/>
    <n v="171.3741189877494"/>
    <d v="2025-10-17T00:00:00"/>
    <n v="20000"/>
    <d v="2026-04-06T08:58:44"/>
    <d v="2026-04-06T00:00:00"/>
    <s v="abril"/>
    <s v="Activo"/>
    <m/>
    <m/>
    <s v="C000313"/>
    <s v="ACEITE 15W40 XV300 X 205LT (TAMBOR)"/>
    <n v="16"/>
    <n v="3389.9"/>
    <n v="54238.400000000001"/>
    <x v="4"/>
    <m/>
    <m/>
    <m/>
  </r>
  <r>
    <s v="GOR390"/>
    <n v="1624"/>
    <s v="2MC 1"/>
    <s v="2MC"/>
    <n v="0.75"/>
    <s v="Cambio De Aceite Y Filtro De Motor"/>
    <d v="2025-06-23T00:00:00"/>
    <n v="511084"/>
    <n v="531084"/>
    <n v="8073.1000000000013"/>
    <n v="11926.9"/>
    <n v="519157.1"/>
    <n v="116"/>
    <n v="57.283729903536972"/>
    <n v="171.3741189877494"/>
    <d v="2025-10-17T00:00:00"/>
    <n v="20000"/>
    <d v="2026-04-06T08:58:44"/>
    <d v="2026-04-06T00:00:00"/>
    <s v="abril"/>
    <s v="Activo"/>
    <m/>
    <m/>
    <s v="C002300"/>
    <s v="FILTRO DE ACEITE 6 CILINDROS MB 1725/1726/1933/1624L/1721 OF ELECTRONICO - MANN HU 945/2x"/>
    <n v="1"/>
    <n v="9737.2800000000007"/>
    <n v="9737.2800000000007"/>
    <x v="4"/>
    <m/>
    <m/>
    <m/>
  </r>
  <r>
    <s v="GNY198"/>
    <n v="1624"/>
    <s v="2MC 1"/>
    <s v="2MC"/>
    <n v="0.75"/>
    <s v="Cambio De Aceite Y Filtro De Motor"/>
    <d v="2025-07-10T00:00:00"/>
    <n v="234133"/>
    <n v="254133"/>
    <n v="4079.8"/>
    <n v="15920.2"/>
    <n v="238212.8"/>
    <n v="99"/>
    <n v="38.995387096774238"/>
    <n v="386.31790774057549"/>
    <d v="2025-10-17T00:00:00"/>
    <n v="20000"/>
    <d v="2026-11-07T07:37:47"/>
    <d v="2026-11-07T00:00:00"/>
    <s v="noviembre"/>
    <s v="Activo"/>
    <m/>
    <m/>
    <s v="C000313"/>
    <s v="ACEITE 15W40 XV300 X 205LT (TAMBOR)"/>
    <n v="16"/>
    <n v="3389.9"/>
    <n v="54238.400000000001"/>
    <x v="7"/>
    <m/>
    <m/>
    <m/>
  </r>
  <r>
    <s v="GNY198"/>
    <n v="1624"/>
    <s v="2MC 1"/>
    <s v="2MC"/>
    <n v="0.75"/>
    <s v="Cambio De Aceite Y Filtro De Motor"/>
    <d v="2025-07-10T00:00:00"/>
    <n v="234133"/>
    <n v="254133"/>
    <n v="4079.8"/>
    <n v="15920.2"/>
    <n v="238212.8"/>
    <n v="99"/>
    <n v="38.995387096774238"/>
    <n v="386.31790774057549"/>
    <d v="2025-10-17T00:00:00"/>
    <n v="20000"/>
    <d v="2026-11-07T07:37:47"/>
    <d v="2026-11-07T00:00:00"/>
    <s v="noviembre"/>
    <s v="Activo"/>
    <m/>
    <m/>
    <s v="C002300"/>
    <s v="FILTRO DE ACEITE 6 CILINDROS MB 1725/1726/1933/1624L/1721 OF ELECTRONICO - MANN HU 945/2x"/>
    <n v="1"/>
    <n v="9737.2800000000007"/>
    <n v="9737.2800000000007"/>
    <x v="7"/>
    <m/>
    <m/>
    <m/>
  </r>
  <r>
    <s v="GNY197"/>
    <n v="1624"/>
    <s v="2MC 1"/>
    <s v="2MC"/>
    <n v="0.75"/>
    <s v="Cambio De Aceite Y Filtro De Motor"/>
    <d v="2025-07-02T00:00:00"/>
    <n v="619280"/>
    <n v="639280"/>
    <n v="8001.9999999999982"/>
    <n v="11998"/>
    <n v="627282"/>
    <n v="107"/>
    <n v="80.140288461538475"/>
    <n v="160.43314171457141"/>
    <d v="2025-10-17T00:00:00"/>
    <n v="20000"/>
    <d v="2026-03-26T10:23:43"/>
    <d v="2026-03-26T00:00:00"/>
    <s v="marzo"/>
    <s v="Activo"/>
    <m/>
    <m/>
    <s v="C000313"/>
    <s v="ACEITE 15W40 XV300 X 205LT (TAMBOR)"/>
    <n v="16"/>
    <n v="3389.9"/>
    <n v="54238.400000000001"/>
    <x v="10"/>
    <m/>
    <m/>
    <m/>
  </r>
  <r>
    <s v="GNY197"/>
    <n v="1624"/>
    <s v="2MC 1"/>
    <s v="2MC"/>
    <n v="0.75"/>
    <s v="Cambio De Aceite Y Filtro De Motor"/>
    <d v="2025-07-02T00:00:00"/>
    <n v="619280"/>
    <n v="639280"/>
    <n v="8001.9999999999982"/>
    <n v="11998"/>
    <n v="627282"/>
    <n v="107"/>
    <n v="80.140288461538475"/>
    <n v="160.43314171457141"/>
    <d v="2025-10-17T00:00:00"/>
    <n v="20000"/>
    <d v="2026-03-26T10:23:43"/>
    <d v="2026-03-26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10"/>
    <m/>
    <m/>
    <m/>
  </r>
  <r>
    <s v="GMJ025"/>
    <n v="1624"/>
    <s v="2MC 1"/>
    <s v="2MC"/>
    <n v="0.75"/>
    <s v="Cambio De Aceite Y Filtro De Motor"/>
    <d v="2025-09-12T00:00:00"/>
    <n v="723287"/>
    <n v="743287"/>
    <n v="0"/>
    <n v="20000"/>
    <n v="723287"/>
    <n v="35"/>
    <n v="1.7600651465798041"/>
    <n v="200"/>
    <d v="2025-10-17T00:00:00"/>
    <n v="20000"/>
    <d v="2026-05-05T00:00:00"/>
    <d v="2026-05-05T00:00:00"/>
    <s v="mayo"/>
    <s v="Activo"/>
    <m/>
    <m/>
    <s v="C000313"/>
    <s v="ACEITE 15W40 XV300 X 205LT (TAMBOR)"/>
    <n v="16"/>
    <n v="3389.9"/>
    <n v="54238.400000000001"/>
    <x v="2"/>
    <m/>
    <m/>
    <m/>
  </r>
  <r>
    <s v="GMJ025"/>
    <n v="1624"/>
    <s v="2MC 1"/>
    <s v="2MC"/>
    <n v="0.75"/>
    <s v="Cambio De Aceite Y Filtro De Motor"/>
    <d v="2025-09-12T00:00:00"/>
    <n v="723287"/>
    <n v="743287"/>
    <n v="0"/>
    <n v="20000"/>
    <n v="723287"/>
    <n v="35"/>
    <n v="1.7600651465798041"/>
    <n v="200"/>
    <d v="2025-10-17T00:00:00"/>
    <n v="20000"/>
    <d v="2026-05-05T00:00:00"/>
    <d v="2026-05-05T00:00:00"/>
    <s v="mayo"/>
    <s v="Activo"/>
    <m/>
    <m/>
    <s v="C002300"/>
    <s v="FILTRO DE ACEITE 6 CILINDROS MB 1725/1726/1933/1624L/1721 OF ELECTRONICO - MANN HU 945/2x"/>
    <n v="1"/>
    <n v="9737.2800000000007"/>
    <n v="9737.2800000000007"/>
    <x v="2"/>
    <m/>
    <m/>
    <m/>
  </r>
  <r>
    <s v="GMJ024"/>
    <n v="1624"/>
    <s v="2MC 1"/>
    <s v="2MC"/>
    <n v="0.75"/>
    <s v="Cambio De Aceite Y Filtro De Motor"/>
    <d v="2025-06-26T00:00:00"/>
    <n v="831926"/>
    <n v="851926"/>
    <n v="9266.100000000004"/>
    <n v="10733.9"/>
    <n v="841192.1"/>
    <n v="113"/>
    <n v="68.472829581993537"/>
    <n v="130.89980682271931"/>
    <d v="2025-10-17T00:00:00"/>
    <n v="20000"/>
    <d v="2026-02-24T21:35:43"/>
    <d v="2026-02-24T00:00:00"/>
    <s v="febrero"/>
    <s v="Activo"/>
    <m/>
    <m/>
    <s v="C000313"/>
    <s v="ACEITE 15W40 XV300 X 205LT (TAMBOR)"/>
    <n v="16"/>
    <n v="3389.9"/>
    <n v="54238.400000000001"/>
    <x v="10"/>
    <m/>
    <m/>
    <m/>
  </r>
  <r>
    <s v="GMJ024"/>
    <n v="1624"/>
    <s v="2MC 1"/>
    <s v="2MC"/>
    <n v="0.75"/>
    <s v="Cambio De Aceite Y Filtro De Motor"/>
    <d v="2025-06-26T00:00:00"/>
    <n v="831926"/>
    <n v="851926"/>
    <n v="9266.100000000004"/>
    <n v="10733.9"/>
    <n v="841192.1"/>
    <n v="113"/>
    <n v="68.472829581993537"/>
    <n v="130.89980682271931"/>
    <d v="2025-10-17T00:00:00"/>
    <n v="20000"/>
    <d v="2026-02-24T21:35:43"/>
    <d v="2026-02-24T00:00:00"/>
    <s v="febrero"/>
    <s v="Activo"/>
    <m/>
    <m/>
    <s v="C002300"/>
    <s v="FILTRO DE ACEITE 6 CILINDROS MB 1725/1726/1933/1624L/1721 OF ELECTRONICO - MANN HU 945/2x"/>
    <n v="1"/>
    <n v="9737.2800000000007"/>
    <n v="9737.2800000000007"/>
    <x v="10"/>
    <m/>
    <m/>
    <m/>
  </r>
  <r>
    <s v="GLT552"/>
    <n v="1624"/>
    <s v="2MC 1"/>
    <s v="2MC"/>
    <n v="0.75"/>
    <s v="Cambio De Aceite Y Filtro De Motor"/>
    <d v="2025-07-24T00:00:00"/>
    <n v="484180"/>
    <n v="504180"/>
    <n v="6154.3000000000011"/>
    <n v="13845.7"/>
    <n v="490334.3"/>
    <n v="85"/>
    <n v="131.1199356913184"/>
    <n v="191.22962806493021"/>
    <d v="2025-10-17T00:00:00"/>
    <n v="20000"/>
    <d v="2026-04-26T05:30:40"/>
    <d v="2026-04-26T00:00:00"/>
    <s v="abril"/>
    <s v="Activo"/>
    <m/>
    <m/>
    <s v="C000313"/>
    <s v="ACEITE 15W40 XV300 X 205LT (TAMBOR)"/>
    <n v="16"/>
    <n v="3389.9"/>
    <n v="54238.400000000001"/>
    <x v="4"/>
    <m/>
    <m/>
    <m/>
  </r>
  <r>
    <s v="GLT552"/>
    <n v="1624"/>
    <s v="2MC 1"/>
    <s v="2MC"/>
    <n v="0.75"/>
    <s v="Cambio De Aceite Y Filtro De Motor"/>
    <d v="2025-07-24T00:00:00"/>
    <n v="484180"/>
    <n v="504180"/>
    <n v="6154.3000000000011"/>
    <n v="13845.7"/>
    <n v="490334.3"/>
    <n v="85"/>
    <n v="131.1199356913184"/>
    <n v="191.22962806493021"/>
    <d v="2025-10-17T00:00:00"/>
    <n v="20000"/>
    <d v="2026-04-26T05:30:40"/>
    <d v="2026-04-26T00:00:00"/>
    <s v="abril"/>
    <s v="Activo"/>
    <m/>
    <m/>
    <s v="C002300"/>
    <s v="FILTRO DE ACEITE 6 CILINDROS MB 1725/1726/1933/1624L/1721 OF ELECTRONICO - MANN HU 945/2x"/>
    <n v="1"/>
    <n v="9737.2800000000007"/>
    <n v="9737.2800000000007"/>
    <x v="4"/>
    <m/>
    <m/>
    <m/>
  </r>
  <r>
    <s v="GLT551"/>
    <n v="1624"/>
    <s v="2MC 1"/>
    <s v="2MC"/>
    <n v="0.75"/>
    <s v="Cambio De Aceite Y Filtro De Motor"/>
    <d v="2025-03-29T00:00:00"/>
    <n v="484970"/>
    <n v="504970"/>
    <n v="6360.1999999999944"/>
    <n v="13639.80000000001"/>
    <n v="491330.2"/>
    <n v="202"/>
    <n v="30.7326948051948"/>
    <n v="433.20015093865032"/>
    <d v="2025-10-17T00:00:00"/>
    <n v="20000"/>
    <d v="2026-12-24T04:48:13"/>
    <d v="2026-12-24T00:00:00"/>
    <s v="diciembre"/>
    <s v="Activo"/>
    <m/>
    <m/>
    <s v="C000313"/>
    <s v="ACEITE 15W40 XV300 X 205LT (TAMBOR)"/>
    <n v="16"/>
    <n v="3389.9"/>
    <n v="54238.400000000001"/>
    <x v="0"/>
    <m/>
    <m/>
    <m/>
  </r>
  <r>
    <s v="GLT551"/>
    <n v="1624"/>
    <s v="2MC 1"/>
    <s v="2MC"/>
    <n v="0.75"/>
    <s v="Cambio De Aceite Y Filtro De Motor"/>
    <d v="2025-03-29T00:00:00"/>
    <n v="484970"/>
    <n v="504970"/>
    <n v="6360.1999999999944"/>
    <n v="13639.80000000001"/>
    <n v="491330.2"/>
    <n v="202"/>
    <n v="30.7326948051948"/>
    <n v="433.20015093865032"/>
    <d v="2025-10-17T00:00:00"/>
    <n v="20000"/>
    <d v="2026-12-24T04:48:13"/>
    <d v="2026-12-24T00:00:00"/>
    <s v="diciembre"/>
    <s v="Activo"/>
    <m/>
    <m/>
    <s v="C002300"/>
    <s v="FILTRO DE ACEITE 6 CILINDROS MB 1725/1726/1933/1624L/1721 OF ELECTRONICO - MANN HU 945/2x"/>
    <n v="1"/>
    <n v="9737.2800000000007"/>
    <n v="9737.2800000000007"/>
    <x v="0"/>
    <m/>
    <m/>
    <m/>
  </r>
  <r>
    <s v="GLT550"/>
    <n v="1624"/>
    <s v="2MC 1"/>
    <s v="2MC"/>
    <n v="0.75"/>
    <s v="Cambio De Aceite Y Filtro De Motor"/>
    <d v="2025-03-28T00:00:00"/>
    <n v="298685"/>
    <n v="318685"/>
    <n v="8864.1"/>
    <n v="11135.9"/>
    <n v="307549.09999999998"/>
    <n v="203"/>
    <n v="39.137363344051472"/>
    <n v="255.02732369896549"/>
    <d v="2025-10-17T00:00:00"/>
    <n v="20000"/>
    <d v="2026-06-29T00:39:21"/>
    <d v="2026-06-29T00:00:00"/>
    <s v="junio"/>
    <s v="Activo"/>
    <m/>
    <m/>
    <s v="C000313"/>
    <s v="ACEITE 15W40 XV300 X 205LT (TAMBOR)"/>
    <n v="16"/>
    <n v="3389.9"/>
    <n v="54238.400000000001"/>
    <x v="3"/>
    <m/>
    <m/>
    <m/>
  </r>
  <r>
    <s v="GLT550"/>
    <n v="1624"/>
    <s v="2MC 1"/>
    <s v="2MC"/>
    <n v="0.75"/>
    <s v="Cambio De Aceite Y Filtro De Motor"/>
    <d v="2025-03-28T00:00:00"/>
    <n v="298685"/>
    <n v="318685"/>
    <n v="8864.1"/>
    <n v="11135.9"/>
    <n v="307549.09999999998"/>
    <n v="203"/>
    <n v="39.137363344051472"/>
    <n v="255.02732369896549"/>
    <d v="2025-10-17T00:00:00"/>
    <n v="20000"/>
    <d v="2026-06-29T00:39:21"/>
    <d v="2026-06-29T00:00:00"/>
    <s v="junio"/>
    <s v="Activo"/>
    <m/>
    <m/>
    <s v="C002300"/>
    <s v="FILTRO DE ACEITE 6 CILINDROS MB 1725/1726/1933/1624L/1721 OF ELECTRONICO - MANN HU 945/2x"/>
    <n v="1"/>
    <n v="9737.2800000000007"/>
    <n v="9737.2800000000007"/>
    <x v="3"/>
    <m/>
    <m/>
    <m/>
  </r>
  <r>
    <s v="GKK500"/>
    <n v="1624"/>
    <s v="2MC 1"/>
    <s v="2MC"/>
    <n v="0.75"/>
    <s v="Cambio De Aceite Y Filtro De Motor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3-29T00:44:30"/>
    <d v="2026-03-29T00:00:00"/>
    <s v="marzo"/>
    <s v="Activo"/>
    <m/>
    <m/>
    <s v="C000313"/>
    <s v="ACEITE 15W40 XV300 X 205LT (TAMBOR)"/>
    <n v="16"/>
    <n v="3389.9"/>
    <n v="54238.400000000001"/>
    <x v="6"/>
    <m/>
    <m/>
    <m/>
  </r>
  <r>
    <s v="GKK500"/>
    <n v="1624"/>
    <s v="2MC 1"/>
    <s v="2MC"/>
    <n v="0.75"/>
    <s v="Cambio De Aceite Y Filtro De Motor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3-29T00:44:30"/>
    <d v="2026-03-29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6"/>
    <m/>
    <m/>
    <m/>
  </r>
  <r>
    <s v="GJQ699"/>
    <n v="1624"/>
    <s v="2MC 1"/>
    <s v="2MC"/>
    <n v="0.75"/>
    <s v="Cambio De Aceite Y Filtro De Motor"/>
    <d v="2025-06-05T00:00:00"/>
    <n v="230027"/>
    <n v="250027"/>
    <n v="5321.3000000000011"/>
    <n v="14678.7"/>
    <n v="235348.3"/>
    <n v="134"/>
    <n v="37.879290322580637"/>
    <n v="369.63632946836287"/>
    <d v="2025-10-17T00:00:00"/>
    <n v="20000"/>
    <d v="2026-10-21T15:16:19"/>
    <d v="2026-10-21T00:00:00"/>
    <s v="octubre"/>
    <s v="Activo"/>
    <m/>
    <m/>
    <s v="C000313"/>
    <s v="ACEITE 15W40 XV300 X 205LT (TAMBOR)"/>
    <n v="15"/>
    <n v="3389.9"/>
    <n v="50848.5"/>
    <x v="8"/>
    <m/>
    <m/>
    <m/>
  </r>
  <r>
    <s v="GJQ699"/>
    <n v="1624"/>
    <s v="2MC 1"/>
    <s v="2MC"/>
    <n v="0.75"/>
    <s v="Cambio De Aceite Y Filtro De Motor"/>
    <d v="2025-06-05T00:00:00"/>
    <n v="230027"/>
    <n v="250027"/>
    <n v="5321.3000000000011"/>
    <n v="14678.7"/>
    <n v="235348.3"/>
    <n v="134"/>
    <n v="37.879290322580637"/>
    <n v="369.63632946836287"/>
    <d v="2025-10-17T00:00:00"/>
    <n v="20000"/>
    <d v="2026-10-21T15:16:19"/>
    <d v="2026-10-21T00:00:00"/>
    <s v="octubre"/>
    <s v="Activo"/>
    <m/>
    <m/>
    <s v="C002300"/>
    <s v="FILTRO DE ACEITE 6 CILINDROS MB 1725/1726/1933/1624L/1721 OF ELECTRONICO - MANN HU 945/2x"/>
    <n v="1"/>
    <n v="9737.2800000000007"/>
    <n v="9737.2800000000007"/>
    <x v="8"/>
    <m/>
    <m/>
    <m/>
  </r>
  <r>
    <s v="GJC632"/>
    <n v="1624"/>
    <s v="2MC 1"/>
    <s v="2MC"/>
    <n v="0.75"/>
    <s v="Cambio De Aceite Y Filtro De Motor"/>
    <d v="2025-04-16T00:00:00"/>
    <n v="255203"/>
    <n v="275203"/>
    <n v="12233.500000000009"/>
    <n v="7766.4999999999927"/>
    <n v="267436.5"/>
    <n v="184"/>
    <n v="57.024096774193573"/>
    <n v="116.81334041770531"/>
    <d v="2025-10-17T00:00:00"/>
    <n v="20000"/>
    <d v="2026-02-10T19:31:13"/>
    <d v="2026-02-10T00:00:00"/>
    <s v="febrero"/>
    <s v="Activo"/>
    <m/>
    <m/>
    <s v="C000313"/>
    <s v="ACEITE 15W40 XV300 X 205LT (TAMBOR)"/>
    <n v="16"/>
    <n v="3389.9"/>
    <n v="54238.400000000001"/>
    <x v="9"/>
    <m/>
    <m/>
    <m/>
  </r>
  <r>
    <s v="GJC632"/>
    <n v="1624"/>
    <s v="2MC 1"/>
    <s v="2MC"/>
    <n v="0.75"/>
    <s v="Cambio De Aceite Y Filtro De Motor"/>
    <d v="2025-04-16T00:00:00"/>
    <n v="255203"/>
    <n v="275203"/>
    <n v="12233.500000000009"/>
    <n v="7766.4999999999927"/>
    <n v="267436.5"/>
    <n v="184"/>
    <n v="57.024096774193573"/>
    <n v="116.81334041770531"/>
    <d v="2025-10-17T00:00:00"/>
    <n v="20000"/>
    <d v="2026-02-10T19:31:13"/>
    <d v="2026-02-10T00:00:00"/>
    <s v="febrero"/>
    <s v="Activo"/>
    <m/>
    <m/>
    <s v="C002300"/>
    <s v="FILTRO DE ACEITE 6 CILINDROS MB 1725/1726/1933/1624L/1721 OF ELECTRONICO - MANN HU 945/2x"/>
    <n v="1"/>
    <n v="9737.2800000000007"/>
    <n v="9737.2800000000007"/>
    <x v="9"/>
    <m/>
    <m/>
    <m/>
  </r>
  <r>
    <s v="GJC631"/>
    <n v="1624"/>
    <s v="2MC"/>
    <s v="2MC"/>
    <n v="0.75"/>
    <s v="Cambio De Aceite Y Filtro De Motor"/>
    <d v="2025-06-04T00:00:00"/>
    <n v="176121"/>
    <n v="196121"/>
    <n v="5745.4000000000005"/>
    <n v="14254.6"/>
    <n v="181866.4"/>
    <n v="135"/>
    <n v="35.012605863192178"/>
    <n v="334.94117032756628"/>
    <d v="2025-10-17T00:00:00"/>
    <n v="20000"/>
    <d v="2026-09-16T22:35:17"/>
    <d v="2026-09-16T00:00:00"/>
    <s v="septiembre"/>
    <s v="Activo"/>
    <m/>
    <m/>
    <s v="C000313"/>
    <s v="ACEITE 15W40 XV300 X 205LT (TAMBOR)"/>
    <n v="16"/>
    <n v="3389.9"/>
    <n v="54238.400000000001"/>
    <x v="7"/>
    <m/>
    <m/>
    <m/>
  </r>
  <r>
    <s v="GJC631"/>
    <n v="1624"/>
    <s v="2MC"/>
    <s v="2MC"/>
    <n v="0.75"/>
    <s v="Cambio De Aceite Y Filtro De Motor"/>
    <d v="2025-06-04T00:00:00"/>
    <n v="176121"/>
    <n v="196121"/>
    <n v="5745.4000000000005"/>
    <n v="14254.6"/>
    <n v="181866.4"/>
    <n v="135"/>
    <n v="35.012605863192178"/>
    <n v="334.94117032756628"/>
    <d v="2025-10-17T00:00:00"/>
    <n v="20000"/>
    <d v="2026-09-16T22:35:17"/>
    <d v="2026-09-16T00:00:00"/>
    <s v="septiembre"/>
    <s v="Activo"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GFZ651"/>
    <n v="1624"/>
    <s v="2MC 1"/>
    <s v="2MC"/>
    <n v="0.75"/>
    <s v="Cambio De Aceite Y Filtro De Motor"/>
    <d v="2025-08-14T00:00:00"/>
    <n v="377434"/>
    <n v="397434"/>
    <n v="3731.5"/>
    <n v="16268.5"/>
    <n v="381165.5"/>
    <n v="64"/>
    <n v="73.269176029962509"/>
    <n v="279.0255929250971"/>
    <d v="2025-10-17T00:00:00"/>
    <n v="20000"/>
    <d v="2026-07-23T00:36:51"/>
    <d v="2026-07-23T00:00:00"/>
    <s v="julio"/>
    <s v="Activo"/>
    <m/>
    <m/>
    <s v="C000313"/>
    <s v="ACEITE 15W40 XV300 X 205LT (TAMBOR)"/>
    <n v="16"/>
    <n v="3389.9"/>
    <n v="54238.400000000001"/>
    <x v="13"/>
    <m/>
    <m/>
    <m/>
  </r>
  <r>
    <s v="GFZ651"/>
    <n v="1624"/>
    <s v="2MC 1"/>
    <s v="2MC"/>
    <n v="0.75"/>
    <s v="Cambio De Aceite Y Filtro De Motor"/>
    <d v="2025-08-14T00:00:00"/>
    <n v="377434"/>
    <n v="397434"/>
    <n v="3731.5"/>
    <n v="16268.5"/>
    <n v="381165.5"/>
    <n v="64"/>
    <n v="73.269176029962509"/>
    <n v="279.0255929250971"/>
    <d v="2025-10-17T00:00:00"/>
    <n v="20000"/>
    <d v="2026-07-23T00:36:51"/>
    <d v="2026-07-23T00:00:00"/>
    <s v="julio"/>
    <s v="Activo"/>
    <m/>
    <m/>
    <s v="C002300"/>
    <s v="FILTRO DE ACEITE 6 CILINDROS MB 1725/1726/1933/1624L/1721 OF ELECTRONICO - MANN HU 945/2x"/>
    <n v="1"/>
    <n v="9737.2800000000007"/>
    <n v="9737.2800000000007"/>
    <x v="13"/>
    <m/>
    <m/>
    <m/>
  </r>
  <r>
    <s v="AG404LU"/>
    <s v="ATEGO 1721 48"/>
    <s v="2MC 1"/>
    <s v="2MC"/>
    <n v="0.75"/>
    <s v="Cambio De Aceite Y Filtro De Motor"/>
    <d v="2025-04-21T00:00:00"/>
    <n v="13510"/>
    <n v="33510"/>
    <n v="6171.1999999999971"/>
    <n v="13828.8"/>
    <n v="19681.2"/>
    <n v="179"/>
    <n v="36.364885496183213"/>
    <n v="401.11407829919648"/>
    <d v="2025-10-17T00:00:00"/>
    <n v="20000"/>
    <d v="2026-11-22T02:44:16"/>
    <d v="2026-11-22T00:00:00"/>
    <s v="noviembre"/>
    <s v="Activo"/>
    <m/>
    <m/>
    <s v="C000313"/>
    <s v="ACEITE 15W40 XV300 X 205LT (TAMBOR)"/>
    <n v="16"/>
    <n v="3389.9"/>
    <n v="54238.400000000001"/>
    <x v="1"/>
    <m/>
    <m/>
    <m/>
  </r>
  <r>
    <s v="AG404LU"/>
    <s v="ATEGO 1721 48"/>
    <s v="2MC 1"/>
    <s v="2MC"/>
    <n v="0.75"/>
    <s v="Cambio De Aceite Y Filtro De Motor"/>
    <d v="2025-04-21T00:00:00"/>
    <n v="13510"/>
    <n v="33510"/>
    <n v="6171.1999999999971"/>
    <n v="13828.8"/>
    <n v="19681.2"/>
    <n v="179"/>
    <n v="36.364885496183213"/>
    <n v="401.11407829919648"/>
    <d v="2025-10-17T00:00:00"/>
    <n v="20000"/>
    <d v="2026-11-22T02:44:16"/>
    <d v="2026-11-22T00:00:00"/>
    <s v="noviembre"/>
    <s v="Activo"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F804RE"/>
    <s v="ATEGO 1721 48"/>
    <s v="2MC 1"/>
    <s v="2MC"/>
    <n v="0.75"/>
    <s v="Cambio De Aceite Y Filtro De Motor"/>
    <d v="2025-07-16T00:00:00"/>
    <n v="41395.599999999999"/>
    <n v="61395.6"/>
    <n v="3758.2999999999979"/>
    <n v="16241.7"/>
    <n v="45153.899999999987"/>
    <n v="93"/>
    <n v="36.164383116883137"/>
    <n v="401.90461112737171"/>
    <d v="2025-10-17T00:00:00"/>
    <n v="20000"/>
    <d v="2026-11-22T21:42:38"/>
    <d v="2026-11-22T00:00:00"/>
    <s v="noviembre"/>
    <s v="Activo"/>
    <m/>
    <m/>
    <s v="C000313"/>
    <s v="ACEITE 15W40 XV300 X 205LT (TAMBOR)"/>
    <n v="16"/>
    <n v="3389.9"/>
    <n v="54238.400000000001"/>
    <x v="0"/>
    <m/>
    <m/>
    <m/>
  </r>
  <r>
    <s v="AF804RE"/>
    <s v="ATEGO 1721 48"/>
    <s v="2MC 1"/>
    <s v="2MC"/>
    <n v="0.75"/>
    <s v="Cambio De Aceite Y Filtro De Motor"/>
    <d v="2025-07-16T00:00:00"/>
    <n v="41395.599999999999"/>
    <n v="61395.6"/>
    <n v="3758.2999999999979"/>
    <n v="16241.7"/>
    <n v="45153.899999999987"/>
    <n v="93"/>
    <n v="36.164383116883137"/>
    <n v="401.90461112737171"/>
    <d v="2025-10-17T00:00:00"/>
    <n v="20000"/>
    <d v="2026-11-22T21:42:38"/>
    <d v="2026-11-22T00:00:00"/>
    <s v="noviembre"/>
    <s v="Activo"/>
    <m/>
    <m/>
    <s v="C002300"/>
    <s v="FILTRO DE ACEITE 6 CILINDROS MB 1725/1726/1933/1624L/1721 OF ELECTRONICO - MANN HU 945/2x"/>
    <n v="1"/>
    <n v="9737.2800000000007"/>
    <n v="9737.2800000000007"/>
    <x v="0"/>
    <m/>
    <m/>
    <m/>
  </r>
  <r>
    <s v="AF804RB"/>
    <s v="ATEGO 1721 48"/>
    <s v="2MC 1"/>
    <s v="2MC"/>
    <n v="0.75"/>
    <s v="Cambio De Aceite Y Filtro De Motor"/>
    <d v="2025-08-26T00:00:00"/>
    <n v="60189.5"/>
    <n v="80189.5"/>
    <n v="4748.0999999999995"/>
    <n v="15251.9"/>
    <n v="64937.599999999999"/>
    <n v="52"/>
    <n v="83.847709677419346"/>
    <n v="167.03498241401829"/>
    <d v="2025-10-17T00:00:00"/>
    <n v="20000"/>
    <d v="2026-04-02T00:50:22"/>
    <d v="2026-04-02T00:00:00"/>
    <s v="abril"/>
    <s v="Activo"/>
    <m/>
    <m/>
    <s v="C000313"/>
    <s v="ACEITE 15W40 XV300 X 205LT (TAMBOR)"/>
    <n v="16"/>
    <n v="3389.9"/>
    <n v="54238.400000000001"/>
    <x v="0"/>
    <m/>
    <m/>
    <m/>
  </r>
  <r>
    <s v="AF804RB"/>
    <s v="ATEGO 1721 48"/>
    <s v="2MC 1"/>
    <s v="2MC"/>
    <n v="0.75"/>
    <s v="Cambio De Aceite Y Filtro De Motor"/>
    <d v="2025-08-26T00:00:00"/>
    <n v="60189.5"/>
    <n v="80189.5"/>
    <n v="4748.0999999999995"/>
    <n v="15251.9"/>
    <n v="64937.599999999999"/>
    <n v="52"/>
    <n v="83.847709677419346"/>
    <n v="167.03498241401829"/>
    <d v="2025-10-17T00:00:00"/>
    <n v="20000"/>
    <d v="2026-04-02T00:50:22"/>
    <d v="2026-04-02T00:00:00"/>
    <s v="abril"/>
    <s v="Activo"/>
    <m/>
    <m/>
    <s v="C002300"/>
    <s v="FILTRO DE ACEITE 6 CILINDROS MB 1725/1726/1933/1624L/1721 OF ELECTRONICO - MANN HU 945/2x"/>
    <n v="1"/>
    <n v="9737.2800000000007"/>
    <n v="9737.2800000000007"/>
    <x v="0"/>
    <m/>
    <m/>
    <m/>
  </r>
  <r>
    <s v="AF642OU"/>
    <s v="ATEGO 1721 48"/>
    <s v="2MC 1"/>
    <s v="2MC"/>
    <n v="0.75"/>
    <s v="Cambio De Aceite Y Filtro De Motor"/>
    <d v="2025-03-25T00:00:00"/>
    <n v="33326.199999999997"/>
    <n v="53326.2"/>
    <n v="7126.5000000000036"/>
    <n v="12873.5"/>
    <n v="40452.699999999997"/>
    <n v="206"/>
    <n v="38.89159259259263"/>
    <n v="372.12390373956327"/>
    <d v="2025-10-17T00:00:00"/>
    <n v="20000"/>
    <d v="2026-10-24T02:58:25"/>
    <d v="2026-10-24T00:00:00"/>
    <s v="octubre"/>
    <s v="Activo"/>
    <m/>
    <m/>
    <s v="C000313"/>
    <s v="ACEITE 15W40 XV300 X 205LT (TAMBOR)"/>
    <n v="16"/>
    <n v="3389.9"/>
    <n v="54238.400000000001"/>
    <x v="3"/>
    <m/>
    <m/>
    <m/>
  </r>
  <r>
    <s v="AF642OU"/>
    <s v="ATEGO 1721 48"/>
    <s v="2MC 1"/>
    <s v="2MC"/>
    <n v="0.75"/>
    <s v="Cambio De Aceite Y Filtro De Motor"/>
    <d v="2025-03-25T00:00:00"/>
    <n v="33326.199999999997"/>
    <n v="53326.2"/>
    <n v="7126.5000000000036"/>
    <n v="12873.5"/>
    <n v="40452.699999999997"/>
    <n v="206"/>
    <n v="38.89159259259263"/>
    <n v="372.12390373956327"/>
    <d v="2025-10-17T00:00:00"/>
    <n v="20000"/>
    <d v="2026-10-24T02:58:25"/>
    <d v="2026-10-24T00:00:00"/>
    <s v="octubre"/>
    <s v="Activo"/>
    <m/>
    <m/>
    <s v="C002300"/>
    <s v="FILTRO DE ACEITE 6 CILINDROS MB 1725/1726/1933/1624L/1721 OF ELECTRONICO - MANN HU 945/2x"/>
    <n v="1"/>
    <n v="9737.2800000000007"/>
    <n v="9737.2800000000007"/>
    <x v="3"/>
    <m/>
    <m/>
    <m/>
  </r>
  <r>
    <s v="AF642OT"/>
    <s v="ATEGO 1721 48"/>
    <s v="2MC 1"/>
    <s v="2MC"/>
    <n v="0.75"/>
    <s v="Cambio De Aceite Y Filtro De Motor"/>
    <d v="2025-02-14T00:00:00"/>
    <n v="44127.9"/>
    <n v="64127.9"/>
    <n v="9317.4000000000033"/>
    <n v="10682.6"/>
    <n v="53445.3"/>
    <n v="245"/>
    <n v="40.395367647058812"/>
    <n v="280.89778264322638"/>
    <d v="2025-10-17T00:00:00"/>
    <n v="20000"/>
    <d v="2026-07-24T21:32:48"/>
    <d v="2026-07-24T00:00:00"/>
    <s v="julio"/>
    <s v="Activo"/>
    <m/>
    <m/>
    <s v="C000313"/>
    <s v="ACEITE 15W40 XV300 X 205LT (TAMBOR)"/>
    <n v="16"/>
    <n v="3389.9"/>
    <n v="54238.400000000001"/>
    <x v="0"/>
    <m/>
    <m/>
    <m/>
  </r>
  <r>
    <s v="AF642OT"/>
    <s v="ATEGO 1721 48"/>
    <s v="2MC 1"/>
    <s v="2MC"/>
    <n v="0.75"/>
    <s v="Cambio De Aceite Y Filtro De Motor"/>
    <d v="2025-02-14T00:00:00"/>
    <n v="44127.9"/>
    <n v="64127.9"/>
    <n v="9317.4000000000033"/>
    <n v="10682.6"/>
    <n v="53445.3"/>
    <n v="245"/>
    <n v="40.395367647058812"/>
    <n v="280.89778264322638"/>
    <d v="2025-10-17T00:00:00"/>
    <n v="20000"/>
    <d v="2026-07-24T21:32:48"/>
    <d v="2026-07-24T00:00:00"/>
    <s v="julio"/>
    <s v="Activo"/>
    <m/>
    <m/>
    <s v="C002300"/>
    <s v="FILTRO DE ACEITE 6 CILINDROS MB 1725/1726/1933/1624L/1721 OF ELECTRONICO - MANN HU 945/2x"/>
    <n v="1"/>
    <n v="9737.2800000000007"/>
    <n v="9737.2800000000007"/>
    <x v="0"/>
    <m/>
    <m/>
    <m/>
  </r>
  <r>
    <s v="AF642OS"/>
    <s v="ATEGO 1721 48"/>
    <s v="2MC 1"/>
    <s v="2MC"/>
    <n v="0.75"/>
    <s v="Cambio De Aceite Y Filtro De Motor"/>
    <d v="2024-11-15T00:00:00"/>
    <n v="29476"/>
    <n v="49476"/>
    <n v="12799.580000000011"/>
    <n v="7200.4199999999892"/>
    <n v="42275.580000000009"/>
    <n v="336"/>
    <n v="40.312058823529441"/>
    <n v="189.0172271277647"/>
    <d v="2025-10-17T00:00:00"/>
    <n v="20000"/>
    <d v="2026-04-24T00:24:48"/>
    <d v="2026-04-24T00:00:00"/>
    <s v="abril"/>
    <s v="Activo"/>
    <m/>
    <m/>
    <s v="C000313"/>
    <s v="ACEITE 15W40 XV300 X 205LT (TAMBOR)"/>
    <n v="16"/>
    <n v="3389.9"/>
    <n v="54238.400000000001"/>
    <x v="3"/>
    <m/>
    <m/>
    <m/>
  </r>
  <r>
    <s v="AF642OS"/>
    <s v="ATEGO 1721 48"/>
    <s v="2MC 1"/>
    <s v="2MC"/>
    <n v="0.75"/>
    <s v="Cambio De Aceite Y Filtro De Motor"/>
    <d v="2024-11-15T00:00:00"/>
    <n v="29476"/>
    <n v="49476"/>
    <n v="12799.580000000011"/>
    <n v="7200.4199999999892"/>
    <n v="42275.580000000009"/>
    <n v="336"/>
    <n v="40.312058823529441"/>
    <n v="189.0172271277647"/>
    <d v="2025-10-17T00:00:00"/>
    <n v="20000"/>
    <d v="2026-04-24T00:24:48"/>
    <d v="2026-04-24T00:00:00"/>
    <s v="abril"/>
    <s v="Activo"/>
    <m/>
    <m/>
    <s v="C002300"/>
    <s v="FILTRO DE ACEITE 6 CILINDROS MB 1725/1726/1933/1624L/1721 OF ELECTRONICO - MANN HU 945/2x"/>
    <n v="1"/>
    <n v="9737.2800000000007"/>
    <n v="9737.2800000000007"/>
    <x v="3"/>
    <m/>
    <m/>
    <m/>
  </r>
  <r>
    <s v="AF518DM"/>
    <s v="ATEGO 1721-48"/>
    <s v="2MC 1"/>
    <s v="2MC"/>
    <n v="0.75"/>
    <s v="Cambio De Aceite Y Filtro De Motor"/>
    <d v="2024-09-10T00:00:00"/>
    <n v="42714.2"/>
    <n v="62714.2"/>
    <n v="21856.560000000001"/>
    <n v="-1856.5599999999979"/>
    <n v="64570.759999999987"/>
    <n v="402"/>
    <n v="53.502481203007598"/>
    <n v="-34.147053333186882"/>
    <d v="2025-10-17T00:00:00"/>
    <n v="20000"/>
    <d v="2026-10-25T19:32:48"/>
    <d v="2026-10-25T00:00:00"/>
    <s v="octubre"/>
    <s v="Activo"/>
    <m/>
    <m/>
    <s v="C000313"/>
    <s v="ACEITE 15W40 XV300 X 205LT (TAMBOR)"/>
    <n v="16"/>
    <n v="3389.9"/>
    <n v="54238.400000000001"/>
    <x v="1"/>
    <m/>
    <m/>
    <m/>
  </r>
  <r>
    <s v="AF518DM"/>
    <s v="ATEGO 1721-48"/>
    <s v="2MC 1"/>
    <s v="2MC"/>
    <n v="0.75"/>
    <s v="Cambio De Aceite Y Filtro De Motor"/>
    <d v="2024-09-10T00:00:00"/>
    <n v="42714.2"/>
    <n v="62714.2"/>
    <n v="21856.560000000001"/>
    <n v="-1856.5599999999979"/>
    <n v="64570.759999999987"/>
    <n v="402"/>
    <n v="53.502481203007598"/>
    <n v="-34.147053333186882"/>
    <d v="2025-10-17T00:00:00"/>
    <n v="20000"/>
    <d v="2026-10-25T19:32:48"/>
    <d v="2026-10-25T00:00:00"/>
    <s v="octubre"/>
    <s v="Activo"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OZH811"/>
    <s v="ATEGO 1725"/>
    <s v="2MC 1"/>
    <s v="2MC"/>
    <n v="0.75"/>
    <s v="Cambio De Aceite Y Filtro De Motor"/>
    <s v="-"/>
    <m/>
    <m/>
    <m/>
    <m/>
    <m/>
    <m/>
    <n v="169.51837638376381"/>
    <m/>
    <d v="2025-10-17T00:00:00"/>
    <n v="20000"/>
    <d v="2026-02-11T23:33:05"/>
    <d v="2026-02-11T00:00:00"/>
    <s v="febrero"/>
    <s v="Activo"/>
    <m/>
    <m/>
    <s v="C000313"/>
    <s v="ACEITE 15W40 XV300 X 205LT (TAMBOR)"/>
    <n v="16"/>
    <n v="3389.9"/>
    <n v="54238.400000000001"/>
    <x v="18"/>
    <m/>
    <m/>
    <m/>
  </r>
  <r>
    <s v="OZH811"/>
    <s v="ATEGO 1725"/>
    <s v="2MC 1"/>
    <s v="2MC"/>
    <n v="0.75"/>
    <s v="Cambio De Aceite Y Filtro De Motor"/>
    <s v="-"/>
    <m/>
    <m/>
    <m/>
    <m/>
    <m/>
    <m/>
    <n v="169.51837638376381"/>
    <m/>
    <d v="2025-10-17T00:00:00"/>
    <n v="20000"/>
    <d v="2026-02-11T23:33:05"/>
    <d v="2026-02-11T00:00:00"/>
    <s v="febrero"/>
    <s v="Activo"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OJG098"/>
    <s v="ATEGO 1725"/>
    <s v="2MC 1"/>
    <s v="2MC"/>
    <n v="0.75"/>
    <s v="Cambio De Aceite Y Filtro De Motor"/>
    <s v="-"/>
    <n v="292381"/>
    <n v="312381"/>
    <n v="7939.1000000000049"/>
    <n v="12060.899999999991"/>
    <n v="300320.09999999998"/>
    <n v="222"/>
    <n v="30.400741935483872"/>
    <n v="337.25734655061621"/>
    <d v="2025-10-17T00:00:00"/>
    <n v="20000"/>
    <d v="2026-09-19T06:10:35"/>
    <d v="2026-09-19T00:00:00"/>
    <s v="septiembre"/>
    <s v="Activo"/>
    <m/>
    <m/>
    <s v="C000313"/>
    <s v="ACEITE 15W40 XV300 X 205LT (TAMBOR)"/>
    <n v="16"/>
    <n v="3389.9"/>
    <n v="54238.400000000001"/>
    <x v="3"/>
    <m/>
    <m/>
    <m/>
  </r>
  <r>
    <s v="OJG098"/>
    <s v="ATEGO 1725"/>
    <s v="2MC 1"/>
    <s v="2MC"/>
    <n v="0.75"/>
    <s v="Cambio De Aceite Y Filtro De Motor"/>
    <s v="-"/>
    <n v="292381"/>
    <n v="312381"/>
    <n v="7939.1000000000049"/>
    <n v="12060.899999999991"/>
    <n v="300320.09999999998"/>
    <n v="222"/>
    <n v="30.400741935483872"/>
    <n v="337.25734655061621"/>
    <d v="2025-10-17T00:00:00"/>
    <n v="20000"/>
    <d v="2026-09-19T06:10:35"/>
    <d v="2026-09-19T00:00:00"/>
    <s v="septiembre"/>
    <s v="Activo"/>
    <m/>
    <m/>
    <s v="C002300"/>
    <s v="FILTRO DE ACEITE 6 CILINDROS MB 1725/1726/1933/1624L/1721 OF ELECTRONICO - MANN HU 945/2x"/>
    <n v="1"/>
    <n v="9737.2800000000007"/>
    <n v="9737.2800000000007"/>
    <x v="3"/>
    <m/>
    <m/>
    <m/>
  </r>
  <r>
    <s v="KGM735"/>
    <s v="ATEGO 1725"/>
    <s v="2MC 1"/>
    <s v="2MC"/>
    <n v="0.75"/>
    <s v="Cambio De Aceite Y Filtro De Motor"/>
    <d v="2025-08-29T00:00:00"/>
    <n v="279340"/>
    <n v="299340"/>
    <n v="2584.1999999999998"/>
    <n v="17415.8"/>
    <n v="281924.2"/>
    <n v="49"/>
    <n v="86.131808118081167"/>
    <n v="330.22761396176759"/>
    <d v="2025-10-17T00:00:00"/>
    <n v="20000"/>
    <d v="2026-09-12T05:27:46"/>
    <d v="2026-09-12T00:00:00"/>
    <s v="septiembre"/>
    <s v="Activo"/>
    <m/>
    <m/>
    <s v="C000313"/>
    <s v="ACEITE 15W40 XV300 X 205LT (TAMBOR)"/>
    <n v="16"/>
    <n v="3389.9"/>
    <n v="54238.400000000001"/>
    <x v="2"/>
    <m/>
    <m/>
    <m/>
  </r>
  <r>
    <s v="KGM735"/>
    <s v="ATEGO 1725"/>
    <s v="2MC 1"/>
    <s v="2MC"/>
    <n v="0.75"/>
    <s v="Cambio De Aceite Y Filtro De Motor"/>
    <d v="2025-08-29T00:00:00"/>
    <n v="279340"/>
    <n v="299340"/>
    <n v="2584.1999999999998"/>
    <n v="17415.8"/>
    <n v="281924.2"/>
    <n v="49"/>
    <n v="86.131808118081167"/>
    <n v="330.22761396176759"/>
    <d v="2025-10-17T00:00:00"/>
    <n v="20000"/>
    <d v="2026-09-12T05:27:46"/>
    <d v="2026-09-12T00:00:00"/>
    <s v="septiembre"/>
    <s v="Activo"/>
    <m/>
    <m/>
    <s v="C002300"/>
    <s v="FILTRO DE ACEITE 6 CILINDROS MB 1725/1726/1933/1624L/1721 OF ELECTRONICO - MANN HU 945/2x"/>
    <n v="1"/>
    <n v="9737.2800000000007"/>
    <n v="9737.2800000000007"/>
    <x v="2"/>
    <m/>
    <m/>
    <m/>
  </r>
  <r>
    <s v="KER728"/>
    <s v="ATEGO 1725"/>
    <s v="2MC 1"/>
    <s v="2MC"/>
    <n v="0.75"/>
    <s v="Cambio De Aceite Y Filtro De Motor"/>
    <d v="2025-05-09T00:00:00"/>
    <n v="331282"/>
    <n v="351282"/>
    <n v="13312.400000000011"/>
    <n v="6687.5999999999931"/>
    <n v="344594.4"/>
    <n v="161"/>
    <n v="86.162316176470569"/>
    <n v="80.879751209398634"/>
    <d v="2025-10-17T00:00:00"/>
    <n v="20000"/>
    <d v="2026-01-05T21:06:51"/>
    <d v="2026-01-05T00:00:00"/>
    <s v="enero"/>
    <s v="Activo"/>
    <m/>
    <m/>
    <s v="C000313"/>
    <s v="ACEITE 15W40 XV300 X 205LT (TAMBOR)"/>
    <n v="16"/>
    <n v="3389.9"/>
    <n v="54238.400000000001"/>
    <x v="2"/>
    <m/>
    <m/>
    <m/>
  </r>
  <r>
    <s v="KER728"/>
    <s v="ATEGO 1725"/>
    <s v="2MC 1"/>
    <s v="2MC"/>
    <n v="0.75"/>
    <s v="Cambio De Aceite Y Filtro De Motor"/>
    <d v="2025-05-09T00:00:00"/>
    <n v="331282"/>
    <n v="351282"/>
    <n v="13312.400000000011"/>
    <n v="6687.5999999999931"/>
    <n v="344594.4"/>
    <n v="161"/>
    <n v="86.162316176470569"/>
    <n v="80.879751209398634"/>
    <d v="2025-10-17T00:00:00"/>
    <n v="20000"/>
    <d v="2026-01-05T21:06:51"/>
    <d v="2026-01-05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2"/>
    <m/>
    <m/>
    <m/>
  </r>
  <r>
    <s v="AG079GB"/>
    <s v="TECTOR EVO 170E28N 4815 MLC EBS 170E28NCM51"/>
    <s v="2MC 2"/>
    <s v="2MC"/>
    <n v="0.75"/>
    <s v="Cambio De Aceite Y Filtro De Motor"/>
    <d v="2024-11-07T00:00:00"/>
    <n v="18877"/>
    <n v="38877"/>
    <n v="13183.70000000001"/>
    <n v="6816.299999999992"/>
    <n v="32060.700000000012"/>
    <n v="344"/>
    <n v="37.875645756457558"/>
    <n v="177.856534963629"/>
    <d v="2025-10-17T00:00:00"/>
    <n v="20000"/>
    <d v="2026-04-12T20:33:25"/>
    <d v="2026-04-12T00:00:00"/>
    <s v="abril"/>
    <s v="Activo"/>
    <m/>
    <m/>
    <s v="C000313"/>
    <s v="ACEITE 15W40 XV300 X 205LT (TAMBOR)"/>
    <n v="16"/>
    <n v="3389.9"/>
    <n v="54238.400000000001"/>
    <x v="1"/>
    <m/>
    <m/>
    <m/>
  </r>
  <r>
    <s v="AG079GB"/>
    <s v="TECTOR EVO 170E28N 4815 MLC EBS 170E28NCM51"/>
    <s v="2MC 2"/>
    <s v="2MC"/>
    <n v="0.75"/>
    <s v="Cambio De Aceite Y Filtro De Motor"/>
    <d v="2024-11-07T00:00:00"/>
    <n v="18877"/>
    <n v="38877"/>
    <n v="13183.70000000001"/>
    <n v="6816.299999999992"/>
    <n v="32060.700000000012"/>
    <n v="344"/>
    <n v="37.875645756457558"/>
    <n v="177.856534963629"/>
    <d v="2025-10-17T00:00:00"/>
    <n v="20000"/>
    <d v="2026-04-12T20:33:25"/>
    <d v="2026-04-12T00:00:00"/>
    <s v="abril"/>
    <s v="Activo"/>
    <m/>
    <m/>
    <s v="C002889"/>
    <s v="FILTRO DE ACEITE IVECO TECTOR (2992242)"/>
    <n v="1"/>
    <n v="21189.599999999999"/>
    <n v="21189.599999999999"/>
    <x v="1"/>
    <m/>
    <m/>
    <m/>
  </r>
  <r>
    <s v="AG079GA"/>
    <s v="TECTOR EVO 170E28N 4815 MLC EBS 170E28NCM51"/>
    <s v="2MC 2"/>
    <s v="2MC"/>
    <n v="0.75"/>
    <s v="Cambio De Aceite Y Filtro De Motor"/>
    <d v="2025-09-05T00:00:00"/>
    <n v="52971.7"/>
    <n v="72971.7"/>
    <n v="0"/>
    <n v="20000"/>
    <n v="52971.7"/>
    <n v="42"/>
    <n v="3.001660516605166"/>
    <n v="200"/>
    <d v="2025-10-17T00:00:00"/>
    <n v="20000"/>
    <d v="2026-05-05T00:00:00"/>
    <d v="2026-05-05T00:00:00"/>
    <s v="mayo"/>
    <s v="Activo"/>
    <m/>
    <m/>
    <s v="C000313"/>
    <s v="ACEITE 15W40 XV300 X 205LT (TAMBOR)"/>
    <n v="16"/>
    <n v="3389.9"/>
    <n v="54238.400000000001"/>
    <x v="2"/>
    <m/>
    <m/>
    <m/>
  </r>
  <r>
    <s v="AG079GA"/>
    <s v="TECTOR EVO 170E28N 4815 MLC EBS 170E28NCM51"/>
    <s v="2MC 2"/>
    <s v="2MC"/>
    <n v="0.75"/>
    <s v="Cambio De Aceite Y Filtro De Motor"/>
    <d v="2025-09-05T00:00:00"/>
    <n v="52971.7"/>
    <n v="72971.7"/>
    <n v="0"/>
    <n v="20000"/>
    <n v="52971.7"/>
    <n v="42"/>
    <n v="3.001660516605166"/>
    <n v="200"/>
    <d v="2025-10-17T00:00:00"/>
    <n v="20000"/>
    <d v="2026-05-05T00:00:00"/>
    <d v="2026-05-05T00:00:00"/>
    <s v="mayo"/>
    <s v="Activo"/>
    <m/>
    <m/>
    <s v="C002889"/>
    <s v="FILTRO DE ACEITE IVECO TECTOR (2992242)"/>
    <n v="1"/>
    <n v="21189.599999999999"/>
    <n v="21189.599999999999"/>
    <x v="2"/>
    <m/>
    <m/>
    <m/>
  </r>
  <r>
    <s v="AF746ED"/>
    <s v="170E28NCM22 SIN EBS"/>
    <s v="2MC 2"/>
    <s v="2MC"/>
    <n v="0.75"/>
    <s v="Cambio De Aceite Y Filtro De Motor"/>
    <d v="2025-06-30T00:00:00"/>
    <n v="37932"/>
    <n v="57932"/>
    <n v="4460.9999999999991"/>
    <n v="15539"/>
    <n v="42393"/>
    <n v="109"/>
    <n v="38.195276752767562"/>
    <n v="379.67966823582162"/>
    <d v="2025-10-17T00:00:00"/>
    <n v="20000"/>
    <d v="2026-10-31T16:18:43"/>
    <d v="2026-10-31T00:00:00"/>
    <s v="octubre"/>
    <s v="Activo"/>
    <m/>
    <m/>
    <s v="C000313"/>
    <s v="ACEITE 15W40 XV300 X 205LT (TAMBOR)"/>
    <n v="16"/>
    <n v="3389.9"/>
    <n v="54238.400000000001"/>
    <x v="1"/>
    <m/>
    <m/>
    <m/>
  </r>
  <r>
    <s v="AF746ED"/>
    <s v="170E28NCM22 SIN EBS"/>
    <s v="2MC 2"/>
    <s v="2MC"/>
    <n v="0.75"/>
    <s v="Cambio De Aceite Y Filtro De Motor"/>
    <d v="2025-06-30T00:00:00"/>
    <n v="37932"/>
    <n v="57932"/>
    <n v="4460.9999999999991"/>
    <n v="15539"/>
    <n v="42393"/>
    <n v="109"/>
    <n v="38.195276752767562"/>
    <n v="379.67966823582162"/>
    <d v="2025-10-17T00:00:00"/>
    <n v="20000"/>
    <d v="2026-10-31T16:18:43"/>
    <d v="2026-10-31T00:00:00"/>
    <s v="octubre"/>
    <s v="Activo"/>
    <m/>
    <m/>
    <s v="C002889"/>
    <s v="FILTRO DE ACEITE IVECO TECTOR (2992242)"/>
    <n v="1"/>
    <n v="21189.599999999999"/>
    <n v="21189.599999999999"/>
    <x v="1"/>
    <m/>
    <m/>
    <m/>
  </r>
  <r>
    <s v="AF722DM"/>
    <s v="170E28 MLC EBS"/>
    <s v="2MC 2"/>
    <s v="2MC"/>
    <n v="0.75"/>
    <s v="Cambio De Aceite Y Filtro De Motor"/>
    <d v="2024-10-21T00:00:00"/>
    <n v="14436"/>
    <n v="34436"/>
    <n v="9131.8000000000029"/>
    <n v="10868.2"/>
    <n v="23567.8"/>
    <n v="361"/>
    <n v="25.02444444444442"/>
    <n v="429.64368470619132"/>
    <d v="2025-10-17T00:00:00"/>
    <n v="20000"/>
    <d v="2026-12-20T15:26:54"/>
    <d v="2026-12-20T00:00:00"/>
    <s v="diciembre"/>
    <s v="Activo"/>
    <m/>
    <m/>
    <s v="C000313"/>
    <s v="ACEITE 15W40 XV300 X 205LT (TAMBOR)"/>
    <n v="16"/>
    <n v="3389.9"/>
    <n v="54238.400000000001"/>
    <x v="1"/>
    <m/>
    <m/>
    <m/>
  </r>
  <r>
    <s v="AF722DM"/>
    <s v="170E28 MLC EBS"/>
    <s v="2MC 2"/>
    <s v="2MC"/>
    <n v="0.75"/>
    <s v="Cambio De Aceite Y Filtro De Motor"/>
    <d v="2024-10-21T00:00:00"/>
    <n v="14436"/>
    <n v="34436"/>
    <n v="9131.8000000000029"/>
    <n v="10868.2"/>
    <n v="23567.8"/>
    <n v="361"/>
    <n v="25.02444444444442"/>
    <n v="429.64368470619132"/>
    <d v="2025-10-17T00:00:00"/>
    <n v="20000"/>
    <d v="2026-12-20T15:26:54"/>
    <d v="2026-12-20T00:00:00"/>
    <s v="diciembre"/>
    <s v="Activo"/>
    <m/>
    <m/>
    <s v="C002889"/>
    <s v="FILTRO DE ACEITE IVECO TECTOR (2992242)"/>
    <n v="1"/>
    <n v="21189.599999999999"/>
    <n v="21189.599999999999"/>
    <x v="1"/>
    <m/>
    <m/>
    <m/>
  </r>
  <r>
    <s v="AF444TX"/>
    <s v="DL-170E28NCM51"/>
    <s v="2MC 2"/>
    <s v="2MC"/>
    <n v="0.75"/>
    <s v="Cambio De Aceite Y Filtro De Motor"/>
    <d v="2024-05-21T00:00:00"/>
    <n v="42190.455000000002"/>
    <n v="62190.455000000002"/>
    <n v="27560.459999999988"/>
    <n v="-7560.4599999999882"/>
    <n v="69750.914999999994"/>
    <n v="514"/>
    <n v="50.965294117647097"/>
    <n v="-141.00187152173791"/>
    <d v="2025-10-17T00:00:00"/>
    <n v="20000"/>
    <d v="2026-11-13T10:10:26"/>
    <d v="2026-11-13T00:00:00"/>
    <s v="noviembre"/>
    <s v="Activo"/>
    <m/>
    <m/>
    <s v="C000313"/>
    <s v="ACEITE 15W40 XV300 X 205LT (TAMBOR)"/>
    <n v="16"/>
    <n v="3389.9"/>
    <n v="54238.400000000001"/>
    <x v="1"/>
    <m/>
    <m/>
    <m/>
  </r>
  <r>
    <s v="AF444TX"/>
    <s v="DL-170E28NCM51"/>
    <s v="2MC 2"/>
    <s v="2MC"/>
    <n v="0.75"/>
    <s v="Cambio De Aceite Y Filtro De Motor"/>
    <d v="2024-05-21T00:00:00"/>
    <n v="42190.455000000002"/>
    <n v="62190.455000000002"/>
    <n v="27560.459999999988"/>
    <n v="-7560.4599999999882"/>
    <n v="69750.914999999994"/>
    <n v="514"/>
    <n v="50.965294117647097"/>
    <n v="-141.00187152173791"/>
    <d v="2025-10-17T00:00:00"/>
    <n v="20000"/>
    <d v="2026-11-13T10:10:26"/>
    <d v="2026-11-13T00:00:00"/>
    <s v="noviembre"/>
    <s v="Activo"/>
    <m/>
    <m/>
    <s v="C002889"/>
    <s v="FILTRO DE ACEITE IVECO TECTOR (2992242)"/>
    <n v="1"/>
    <n v="21189.599999999999"/>
    <n v="21189.599999999999"/>
    <x v="1"/>
    <m/>
    <m/>
    <m/>
  </r>
  <r>
    <s v="AF444TV"/>
    <s v="BX-170E28 MLC"/>
    <s v="2MC 2"/>
    <s v="2MC"/>
    <n v="0.75"/>
    <s v="Cambio De Aceite Y Filtro De Motor"/>
    <d v="2025-07-11T00:00:00"/>
    <n v="54917"/>
    <n v="74917"/>
    <n v="4571.7000000000007"/>
    <n v="15428.3"/>
    <n v="59488.7"/>
    <n v="98"/>
    <n v="49.3882592592593"/>
    <n v="330.72454448017152"/>
    <d v="2025-10-17T00:00:00"/>
    <n v="20000"/>
    <d v="2026-09-12T17:23:21"/>
    <d v="2026-09-12T00:00:00"/>
    <s v="septiembre"/>
    <s v="Activo"/>
    <m/>
    <m/>
    <s v="C000313"/>
    <s v="ACEITE 15W40 XV300 X 205LT (TAMBOR)"/>
    <n v="16"/>
    <n v="3389.9"/>
    <n v="54238.400000000001"/>
    <x v="1"/>
    <m/>
    <m/>
    <m/>
  </r>
  <r>
    <s v="AF444TV"/>
    <s v="BX-170E28 MLC"/>
    <s v="2MC 2"/>
    <s v="2MC"/>
    <n v="0.75"/>
    <s v="Cambio De Aceite Y Filtro De Motor"/>
    <d v="2025-07-11T00:00:00"/>
    <n v="54917"/>
    <n v="74917"/>
    <n v="4571.7000000000007"/>
    <n v="15428.3"/>
    <n v="59488.7"/>
    <n v="98"/>
    <n v="49.3882592592593"/>
    <n v="330.72454448017152"/>
    <d v="2025-10-17T00:00:00"/>
    <n v="20000"/>
    <d v="2026-09-12T17:23:21"/>
    <d v="2026-09-12T00:00:00"/>
    <s v="septiembre"/>
    <s v="Activo"/>
    <m/>
    <m/>
    <s v="C002889"/>
    <s v="FILTRO DE ACEITE IVECO TECTOR (2992242)"/>
    <n v="1"/>
    <n v="21189.599999999999"/>
    <n v="21189.599999999999"/>
    <x v="1"/>
    <m/>
    <m/>
    <m/>
  </r>
  <r>
    <s v="AF444TU"/>
    <s v="BX-170E28 MLC"/>
    <s v="2MC 2"/>
    <s v="2MC"/>
    <n v="0.75"/>
    <s v="Cambio De Aceite Y Filtro De Motor"/>
    <d v="2024-03-01T00:00:00"/>
    <n v="43619"/>
    <n v="63619"/>
    <n v="32217.59"/>
    <n v="-12217.59"/>
    <n v="75836.59"/>
    <n v="595"/>
    <n v="51.939962962962959"/>
    <n v="-225.63655599317011"/>
    <d v="2025-10-17T00:00:00"/>
    <n v="20000"/>
    <d v="2026-11-06T01:26:20"/>
    <d v="2026-11-06T00:00:00"/>
    <s v="noviembre"/>
    <s v="Activo"/>
    <m/>
    <m/>
    <s v="C000313"/>
    <s v="ACEITE 15W40 XV300 X 205LT (TAMBOR)"/>
    <n v="16"/>
    <n v="3389.9"/>
    <n v="54238.400000000001"/>
    <x v="1"/>
    <m/>
    <m/>
    <m/>
  </r>
  <r>
    <s v="AF444TU"/>
    <s v="BX-170E28 MLC"/>
    <s v="2MC 2"/>
    <s v="2MC"/>
    <n v="0.75"/>
    <s v="Cambio De Aceite Y Filtro De Motor"/>
    <d v="2024-03-01T00:00:00"/>
    <n v="43619"/>
    <n v="63619"/>
    <n v="32217.59"/>
    <n v="-12217.59"/>
    <n v="75836.59"/>
    <n v="595"/>
    <n v="51.939962962962959"/>
    <n v="-225.63655599317011"/>
    <d v="2025-10-17T00:00:00"/>
    <n v="20000"/>
    <d v="2026-11-06T01:26:20"/>
    <d v="2026-11-06T00:00:00"/>
    <s v="noviembre"/>
    <s v="Activo"/>
    <m/>
    <m/>
    <s v="C002889"/>
    <s v="FILTRO DE ACEITE IVECO TECTOR (2992242)"/>
    <n v="1"/>
    <n v="21189.599999999999"/>
    <n v="21189.599999999999"/>
    <x v="1"/>
    <m/>
    <m/>
    <m/>
  </r>
  <r>
    <s v="AF066NX"/>
    <s v="BX-170E28 MLC SIN EBS"/>
    <s v="2MC 2"/>
    <s v="2MC"/>
    <n v="0.75"/>
    <s v="Cambio De Aceite Y Filtro De Motor"/>
    <d v="2025-06-19T00:00:00"/>
    <n v="70636"/>
    <n v="90636"/>
    <n v="4770.7000000000007"/>
    <n v="15229.3"/>
    <n v="75406.7"/>
    <n v="120"/>
    <n v="48.072185185185191"/>
    <n v="383.07082818035082"/>
    <d v="2025-10-17T00:00:00"/>
    <n v="20000"/>
    <d v="2026-11-04T01:42:00"/>
    <d v="2026-11-04T00:00:00"/>
    <s v="noviembre"/>
    <s v="Activo"/>
    <m/>
    <m/>
    <s v="C000313"/>
    <s v="ACEITE 15W40 XV300 X 205LT (TAMBOR)"/>
    <n v="16"/>
    <n v="3389.9"/>
    <n v="54238.400000000001"/>
    <x v="1"/>
    <m/>
    <m/>
    <m/>
  </r>
  <r>
    <s v="AF066NX"/>
    <s v="BX-170E28 MLC SIN EBS"/>
    <s v="2MC 2"/>
    <s v="2MC"/>
    <n v="0.75"/>
    <s v="Cambio De Aceite Y Filtro De Motor"/>
    <d v="2025-06-19T00:00:00"/>
    <n v="70636"/>
    <n v="90636"/>
    <n v="4770.7000000000007"/>
    <n v="15229.3"/>
    <n v="75406.7"/>
    <n v="120"/>
    <n v="48.072185185185191"/>
    <n v="383.07082818035082"/>
    <d v="2025-10-17T00:00:00"/>
    <n v="20000"/>
    <d v="2026-11-04T01:42:00"/>
    <d v="2026-11-04T00:00:00"/>
    <s v="noviembre"/>
    <s v="Activo"/>
    <m/>
    <m/>
    <s v="C002889"/>
    <s v="FILTRO DE ACEITE IVECO TECTOR (2992242)"/>
    <n v="1"/>
    <n v="21189.599999999999"/>
    <n v="21189.599999999999"/>
    <x v="1"/>
    <m/>
    <m/>
    <m/>
  </r>
  <r>
    <s v="AF066NT"/>
    <s v="BX-170E28 MLC SIN EBS"/>
    <s v="2MC 2"/>
    <s v="2MC"/>
    <n v="0.75"/>
    <s v="Cambio De Aceite Y Filtro De Motor"/>
    <d v="2025-03-28T00:00:00"/>
    <n v="61556.800000000003"/>
    <n v="81556.800000000003"/>
    <n v="8960.2999999999975"/>
    <n v="11039.7"/>
    <n v="70517.100000000006"/>
    <n v="203"/>
    <n v="48.161180811808123"/>
    <n v="250.1098289119785"/>
    <d v="2025-10-17T00:00:00"/>
    <n v="20000"/>
    <d v="2026-06-24T02:38:09"/>
    <d v="2026-06-24T00:00:00"/>
    <s v="junio"/>
    <s v="Activo"/>
    <m/>
    <m/>
    <s v="C000313"/>
    <s v="ACEITE 15W40 XV300 X 205LT (TAMBOR)"/>
    <n v="16"/>
    <n v="3389.9"/>
    <n v="54238.400000000001"/>
    <x v="1"/>
    <m/>
    <m/>
    <m/>
  </r>
  <r>
    <s v="AF066NT"/>
    <s v="BX-170E28 MLC SIN EBS"/>
    <s v="2MC 2"/>
    <s v="2MC"/>
    <n v="0.75"/>
    <s v="Cambio De Aceite Y Filtro De Motor"/>
    <d v="2025-03-28T00:00:00"/>
    <n v="61556.800000000003"/>
    <n v="81556.800000000003"/>
    <n v="8960.2999999999975"/>
    <n v="11039.7"/>
    <n v="70517.100000000006"/>
    <n v="203"/>
    <n v="48.161180811808123"/>
    <n v="250.1098289119785"/>
    <d v="2025-10-17T00:00:00"/>
    <n v="20000"/>
    <d v="2026-06-24T02:38:09"/>
    <d v="2026-06-24T00:00:00"/>
    <s v="junio"/>
    <s v="Activo"/>
    <m/>
    <m/>
    <s v="C002889"/>
    <s v="FILTRO DE ACEITE IVECO TECTOR (2992242)"/>
    <n v="1"/>
    <n v="21189.599999999999"/>
    <n v="21189.599999999999"/>
    <x v="1"/>
    <m/>
    <m/>
    <m/>
  </r>
  <r>
    <s v="AF066NS"/>
    <s v="DL-170E28NCM51 SIN EBS"/>
    <s v="2MC 2"/>
    <s v="2MC"/>
    <n v="0.75"/>
    <s v="Cambio De Aceite Y Filtro De Motor"/>
    <d v="2024-12-26T00:00:00"/>
    <n v="59747.1"/>
    <n v="79747.100000000006"/>
    <n v="13173.82"/>
    <n v="6826.1800000000039"/>
    <n v="72920.92"/>
    <n v="295"/>
    <n v="47.570444444444483"/>
    <n v="152.8579485676897"/>
    <d v="2025-10-17T00:00:00"/>
    <n v="20000"/>
    <d v="2026-03-18T20:35:27"/>
    <d v="2026-03-18T00:00:00"/>
    <s v="marzo"/>
    <s v="Activo"/>
    <m/>
    <m/>
    <s v="C000313"/>
    <s v="ACEITE 15W40 XV300 X 205LT (TAMBOR)"/>
    <n v="16"/>
    <n v="3389.9"/>
    <n v="54238.400000000001"/>
    <x v="1"/>
    <m/>
    <m/>
    <m/>
  </r>
  <r>
    <s v="AF066NS"/>
    <s v="DL-170E28NCM51 SIN EBS"/>
    <s v="2MC 2"/>
    <s v="2MC"/>
    <n v="0.75"/>
    <s v="Cambio De Aceite Y Filtro De Motor"/>
    <d v="2024-12-26T00:00:00"/>
    <n v="59747.1"/>
    <n v="79747.100000000006"/>
    <n v="13173.82"/>
    <n v="6826.1800000000039"/>
    <n v="72920.92"/>
    <n v="295"/>
    <n v="47.570444444444483"/>
    <n v="152.8579485676897"/>
    <d v="2025-10-17T00:00:00"/>
    <n v="20000"/>
    <d v="2026-03-18T20:35:27"/>
    <d v="2026-03-18T00:00:00"/>
    <s v="marzo"/>
    <s v="Activo"/>
    <m/>
    <m/>
    <s v="C002889"/>
    <s v="FILTRO DE ACEITE IVECO TECTOR (2992242)"/>
    <n v="1"/>
    <n v="21189.599999999999"/>
    <n v="21189.599999999999"/>
    <x v="1"/>
    <m/>
    <m/>
    <m/>
  </r>
  <r>
    <s v="AG176NB"/>
    <s v="160E21CCM32"/>
    <s v="3MC 1"/>
    <s v="3MC"/>
    <n v="0.5"/>
    <s v="Cambio De Filtro Gas Oíl Y Trampa De Agua"/>
    <s v="-"/>
    <m/>
    <m/>
    <m/>
    <m/>
    <m/>
    <m/>
    <n v="65.871929260450116"/>
    <m/>
    <d v="2025-10-17T00:00:00"/>
    <n v="20000"/>
    <d v="2026-08-16T14:52:02"/>
    <d v="2026-08-16T00:00:00"/>
    <s v="agosto"/>
    <s v="Activo"/>
    <m/>
    <m/>
    <s v="C002627"/>
    <s v="FILTRO DE COMBUSTIBLE IVECO BX-170E28 MLC COD: 2992241"/>
    <n v="1"/>
    <n v="20099.439999999999"/>
    <n v="20099.439999999999"/>
    <x v="4"/>
    <m/>
    <m/>
    <m/>
  </r>
  <r>
    <s v="AG176NB"/>
    <s v="160E21CCM32"/>
    <s v="3MC 1"/>
    <s v="3MC"/>
    <n v="0.5"/>
    <s v="Cambio De Filtro Gas Oíl Y Trampa De Agua"/>
    <s v="-"/>
    <m/>
    <m/>
    <m/>
    <m/>
    <m/>
    <m/>
    <n v="65.871929260450116"/>
    <m/>
    <d v="2025-10-17T00:00:00"/>
    <n v="20000"/>
    <d v="2026-08-16T14:52:02"/>
    <d v="2026-08-16T00:00:00"/>
    <s v="agosto"/>
    <s v="Activo"/>
    <m/>
    <m/>
    <s v="C002892"/>
    <s v="FILTRO DE COMBUSTIBLE (CARTUCHO PREFILTRO) IVECO TECTOR (5801403243)"/>
    <n v="1"/>
    <n v="170000"/>
    <n v="170000"/>
    <x v="4"/>
    <m/>
    <m/>
    <m/>
  </r>
  <r>
    <s v="AG176NA"/>
    <s v="160E21CCM32"/>
    <s v="3MC 1"/>
    <s v="3MC"/>
    <n v="0.5"/>
    <s v="Cambio De Filtro Gas Oíl Y Trampa De Agua"/>
    <s v="-"/>
    <m/>
    <m/>
    <m/>
    <m/>
    <m/>
    <m/>
    <n v="61.470550161812312"/>
    <m/>
    <d v="2025-10-17T00:00:00"/>
    <n v="20000"/>
    <d v="2026-09-07T08:37:02"/>
    <d v="2026-09-07T00:00:00"/>
    <s v="septiembre"/>
    <s v="Activo"/>
    <m/>
    <m/>
    <s v="C002627"/>
    <s v="FILTRO DE COMBUSTIBLE IVECO BX-170E28 MLC COD: 2992241"/>
    <n v="1"/>
    <n v="20099.439999999999"/>
    <n v="20099.439999999999"/>
    <x v="4"/>
    <m/>
    <m/>
    <m/>
  </r>
  <r>
    <s v="AG176NA"/>
    <s v="160E21CCM32"/>
    <s v="3MC 1"/>
    <s v="3MC"/>
    <n v="0.5"/>
    <s v="Cambio De Filtro Gas Oíl Y Trampa De Agua"/>
    <s v="-"/>
    <m/>
    <m/>
    <m/>
    <m/>
    <m/>
    <m/>
    <n v="61.470550161812312"/>
    <m/>
    <d v="2025-10-17T00:00:00"/>
    <n v="20000"/>
    <d v="2026-09-07T08:37:02"/>
    <d v="2026-09-07T00:00:00"/>
    <s v="septiembre"/>
    <s v="Activo"/>
    <m/>
    <m/>
    <s v="C002892"/>
    <s v="FILTRO DE COMBUSTIBLE (CARTUCHO PREFILTRO) IVECO TECTOR (5801403243)"/>
    <n v="1"/>
    <n v="170000"/>
    <n v="170000"/>
    <x v="4"/>
    <m/>
    <m/>
    <m/>
  </r>
  <r>
    <s v="AG079GB"/>
    <s v="TECTOR EVO 170E28N 4815 MLC EBS 170E28NCM51"/>
    <s v="3MC 1"/>
    <s v="3MC"/>
    <n v="0.5"/>
    <s v="Cambio De Filtro Gas Oíl Y Trampa De Agua"/>
    <d v="2024-11-07T00:00:00"/>
    <n v="18877"/>
    <n v="38877"/>
    <n v="13183.70000000001"/>
    <n v="6816.299999999992"/>
    <n v="32060.700000000012"/>
    <n v="344"/>
    <n v="37.875645756457558"/>
    <n v="177.856534963629"/>
    <d v="2025-10-17T00:00:00"/>
    <n v="20000"/>
    <d v="2026-04-12T20:33:25"/>
    <d v="2026-04-12T00:00:00"/>
    <s v="abril"/>
    <s v="Activo"/>
    <m/>
    <m/>
    <s v="C002627"/>
    <s v="FILTRO DE COMBUSTIBLE IVECO BX-170E28 MLC COD: 2992241"/>
    <n v="1"/>
    <n v="20099.439999999999"/>
    <n v="20099.439999999999"/>
    <x v="1"/>
    <m/>
    <m/>
    <m/>
  </r>
  <r>
    <s v="AG079GB"/>
    <s v="TECTOR EVO 170E28N 4815 MLC EBS 170E28NCM51"/>
    <s v="3MC 1"/>
    <s v="3MC"/>
    <n v="0.5"/>
    <s v="Cambio De Filtro Gas Oíl Y Trampa De Agua"/>
    <d v="2024-11-07T00:00:00"/>
    <n v="18877"/>
    <n v="38877"/>
    <n v="13183.70000000001"/>
    <n v="6816.299999999992"/>
    <n v="32060.700000000012"/>
    <n v="344"/>
    <n v="37.875645756457558"/>
    <n v="177.856534963629"/>
    <d v="2025-10-17T00:00:00"/>
    <n v="20000"/>
    <d v="2026-04-12T20:33:25"/>
    <d v="2026-04-12T00:00:00"/>
    <s v="abril"/>
    <s v="Activo"/>
    <m/>
    <m/>
    <s v="C002892"/>
    <s v="FILTRO DE COMBUSTIBLE (CARTUCHO PREFILTRO) IVECO TECTOR (5801403243)"/>
    <n v="1"/>
    <n v="170000"/>
    <n v="170000"/>
    <x v="1"/>
    <m/>
    <m/>
    <m/>
  </r>
  <r>
    <s v="AG079GA"/>
    <s v="TECTOR EVO 170E28N 4815 MLC EBS 170E28NCM51"/>
    <s v="3MC 1"/>
    <s v="3MC"/>
    <n v="0.5"/>
    <s v="Cambio De Filtro Gas Oíl Y Trampa De Agua"/>
    <d v="2025-09-05T00:00:00"/>
    <n v="52971.7"/>
    <n v="72971.7"/>
    <n v="0"/>
    <n v="20000"/>
    <n v="52971.7"/>
    <n v="42"/>
    <n v="3.001660516605166"/>
    <n v="200"/>
    <d v="2025-10-17T00:00:00"/>
    <n v="20000"/>
    <d v="2026-05-05T00:00:00"/>
    <d v="2026-05-05T00:00:00"/>
    <s v="mayo"/>
    <s v="Activo"/>
    <m/>
    <m/>
    <s v="C002627"/>
    <s v="FILTRO DE COMBUSTIBLE IVECO BX-170E28 MLC COD: 2992241"/>
    <n v="1"/>
    <n v="20099.439999999999"/>
    <n v="20099.439999999999"/>
    <x v="2"/>
    <m/>
    <m/>
    <m/>
  </r>
  <r>
    <s v="AG079GA"/>
    <s v="TECTOR EVO 170E28N 4815 MLC EBS 170E28NCM51"/>
    <s v="3MC 1"/>
    <s v="3MC"/>
    <n v="0.5"/>
    <s v="Cambio De Filtro Gas Oíl Y Trampa De Agua"/>
    <d v="2025-09-05T00:00:00"/>
    <n v="52971.7"/>
    <n v="72971.7"/>
    <n v="0"/>
    <n v="20000"/>
    <n v="52971.7"/>
    <n v="42"/>
    <n v="3.001660516605166"/>
    <n v="200"/>
    <d v="2025-10-17T00:00:00"/>
    <n v="20000"/>
    <d v="2026-05-05T00:00:00"/>
    <d v="2026-05-05T00:00:00"/>
    <s v="mayo"/>
    <s v="Activo"/>
    <m/>
    <m/>
    <s v="C002892"/>
    <s v="FILTRO DE COMBUSTIBLE (CARTUCHO PREFILTRO) IVECO TECTOR (5801403243)"/>
    <n v="1"/>
    <n v="170000"/>
    <n v="170000"/>
    <x v="2"/>
    <m/>
    <m/>
    <m/>
  </r>
  <r>
    <s v="AF746ED"/>
    <s v="170E28NCM22 SIN EBS"/>
    <s v="3MC 1"/>
    <s v="3MC"/>
    <n v="0.5"/>
    <s v="Cambio De Filtro Gas Oíl Y Trampa De Agua"/>
    <d v="2025-06-30T00:00:00"/>
    <n v="37932"/>
    <n v="57932"/>
    <n v="4460.9999999999991"/>
    <n v="15539"/>
    <n v="42393"/>
    <n v="109"/>
    <n v="38.195276752767562"/>
    <n v="379.67966823582162"/>
    <d v="2025-10-17T00:00:00"/>
    <n v="20000"/>
    <d v="2026-10-31T16:18:43"/>
    <d v="2026-10-31T00:00:00"/>
    <s v="octubre"/>
    <s v="Activo"/>
    <m/>
    <m/>
    <s v="C002627"/>
    <s v="FILTRO DE COMBUSTIBLE IVECO BX-170E28 MLC COD: 2992241"/>
    <n v="1"/>
    <n v="20099.439999999999"/>
    <n v="20099.439999999999"/>
    <x v="1"/>
    <m/>
    <m/>
    <m/>
  </r>
  <r>
    <s v="AF746ED"/>
    <s v="170E28NCM22 SIN EBS"/>
    <s v="3MC 1"/>
    <s v="3MC"/>
    <n v="0.5"/>
    <s v="Cambio De Filtro Gas Oíl Y Trampa De Agua"/>
    <d v="2025-06-30T00:00:00"/>
    <n v="37932"/>
    <n v="57932"/>
    <n v="4460.9999999999991"/>
    <n v="15539"/>
    <n v="42393"/>
    <n v="109"/>
    <n v="38.195276752767562"/>
    <n v="379.67966823582162"/>
    <d v="2025-10-17T00:00:00"/>
    <n v="20000"/>
    <d v="2026-10-31T16:18:43"/>
    <d v="2026-10-31T00:00:00"/>
    <s v="octubre"/>
    <s v="Activo"/>
    <m/>
    <m/>
    <s v="C002892"/>
    <s v="FILTRO DE COMBUSTIBLE (CARTUCHO PREFILTRO) IVECO TECTOR (5801403243)"/>
    <n v="1"/>
    <n v="170000"/>
    <n v="170000"/>
    <x v="1"/>
    <m/>
    <m/>
    <m/>
  </r>
  <r>
    <s v="AF722DM"/>
    <s v="170E28 MLC EBS"/>
    <s v="3MC 1"/>
    <s v="3MC"/>
    <n v="0.5"/>
    <s v="Cambio De Filtro Gas Oíl Y Trampa De Agua"/>
    <d v="2024-10-21T00:00:00"/>
    <n v="14436"/>
    <n v="34436"/>
    <n v="9131.8000000000029"/>
    <n v="10868.2"/>
    <n v="23567.8"/>
    <n v="361"/>
    <n v="25.02444444444442"/>
    <n v="429.64368470619132"/>
    <d v="2025-10-17T00:00:00"/>
    <n v="20000"/>
    <d v="2026-12-20T15:26:54"/>
    <d v="2026-12-20T00:00:00"/>
    <s v="diciembre"/>
    <s v="Activo"/>
    <m/>
    <m/>
    <s v="C002627"/>
    <s v="FILTRO DE COMBUSTIBLE IVECO BX-170E28 MLC COD: 2992241"/>
    <n v="1"/>
    <n v="20099.439999999999"/>
    <n v="20099.439999999999"/>
    <x v="1"/>
    <m/>
    <m/>
    <m/>
  </r>
  <r>
    <s v="AF722DM"/>
    <s v="170E28 MLC EBS"/>
    <s v="3MC 1"/>
    <s v="3MC"/>
    <n v="0.5"/>
    <s v="Cambio De Filtro Gas Oíl Y Trampa De Agua"/>
    <d v="2024-10-21T00:00:00"/>
    <n v="14436"/>
    <n v="34436"/>
    <n v="9131.8000000000029"/>
    <n v="10868.2"/>
    <n v="23567.8"/>
    <n v="361"/>
    <n v="25.02444444444442"/>
    <n v="429.64368470619132"/>
    <d v="2025-10-17T00:00:00"/>
    <n v="20000"/>
    <d v="2026-12-20T15:26:54"/>
    <d v="2026-12-20T00:00:00"/>
    <s v="diciembre"/>
    <s v="Activo"/>
    <m/>
    <m/>
    <s v="C002892"/>
    <s v="FILTRO DE COMBUSTIBLE (CARTUCHO PREFILTRO) IVECO TECTOR (5801403243)"/>
    <n v="1"/>
    <n v="170000"/>
    <n v="170000"/>
    <x v="1"/>
    <m/>
    <m/>
    <m/>
  </r>
  <r>
    <s v="AF444TX"/>
    <s v="DL-170E28NCM51"/>
    <s v="3MC 1"/>
    <s v="3MC"/>
    <n v="0.5"/>
    <s v="Cambio De Filtro Gas Oíl Y Trampa De Agua"/>
    <d v="2024-05-21T00:00:00"/>
    <n v="42190.455000000002"/>
    <n v="62190.455000000002"/>
    <n v="27560.459999999988"/>
    <n v="-7560.4599999999882"/>
    <n v="69750.914999999994"/>
    <n v="514"/>
    <n v="50.965294117647097"/>
    <n v="-141.00187152173791"/>
    <d v="2025-10-17T00:00:00"/>
    <n v="20000"/>
    <d v="2026-11-13T10:10:26"/>
    <d v="2026-11-13T00:00:00"/>
    <s v="noviembre"/>
    <s v="Activo"/>
    <m/>
    <m/>
    <s v="C002627"/>
    <s v="FILTRO DE COMBUSTIBLE IVECO BX-170E28 MLC COD: 2992241"/>
    <n v="1"/>
    <n v="20099.439999999999"/>
    <n v="20099.439999999999"/>
    <x v="1"/>
    <m/>
    <m/>
    <m/>
  </r>
  <r>
    <s v="AF444TX"/>
    <s v="DL-170E28NCM51"/>
    <s v="3MC 1"/>
    <s v="3MC"/>
    <n v="0.5"/>
    <s v="Cambio De Filtro Gas Oíl Y Trampa De Agua"/>
    <d v="2024-05-21T00:00:00"/>
    <n v="42190.455000000002"/>
    <n v="62190.455000000002"/>
    <n v="27560.459999999988"/>
    <n v="-7560.4599999999882"/>
    <n v="69750.914999999994"/>
    <n v="514"/>
    <n v="50.965294117647097"/>
    <n v="-141.00187152173791"/>
    <d v="2025-10-17T00:00:00"/>
    <n v="20000"/>
    <d v="2026-11-13T10:10:26"/>
    <d v="2026-11-13T00:00:00"/>
    <s v="noviembre"/>
    <s v="Activo"/>
    <m/>
    <m/>
    <s v="C002892"/>
    <s v="FILTRO DE COMBUSTIBLE (CARTUCHO PREFILTRO) IVECO TECTOR (5801403243)"/>
    <n v="1"/>
    <n v="170000"/>
    <n v="170000"/>
    <x v="1"/>
    <m/>
    <m/>
    <m/>
  </r>
  <r>
    <s v="AF444TV"/>
    <s v="BX-170E28 MLC"/>
    <s v="3MC 1"/>
    <s v="3MC"/>
    <n v="0.5"/>
    <s v="Cambio De Filtro Gas Oíl Y Trampa De Agua"/>
    <d v="2025-07-11T00:00:00"/>
    <n v="54917"/>
    <n v="74917"/>
    <n v="4571.7000000000007"/>
    <n v="15428.3"/>
    <n v="59488.7"/>
    <n v="98"/>
    <n v="49.3882592592593"/>
    <n v="330.72454448017152"/>
    <d v="2025-10-17T00:00:00"/>
    <n v="20000"/>
    <d v="2026-09-12T17:23:21"/>
    <d v="2026-09-12T00:00:00"/>
    <s v="septiembre"/>
    <s v="Activo"/>
    <m/>
    <m/>
    <s v="C002627"/>
    <s v="FILTRO DE COMBUSTIBLE IVECO BX-170E28 MLC COD: 2992241"/>
    <n v="1"/>
    <n v="20099.439999999999"/>
    <n v="20099.439999999999"/>
    <x v="1"/>
    <m/>
    <m/>
    <m/>
  </r>
  <r>
    <s v="AF444TV"/>
    <s v="BX-170E28 MLC"/>
    <s v="3MC 1"/>
    <s v="3MC"/>
    <n v="0.5"/>
    <s v="Cambio De Filtro Gas Oíl Y Trampa De Agua"/>
    <d v="2025-07-11T00:00:00"/>
    <n v="54917"/>
    <n v="74917"/>
    <n v="4571.7000000000007"/>
    <n v="15428.3"/>
    <n v="59488.7"/>
    <n v="98"/>
    <n v="49.3882592592593"/>
    <n v="330.72454448017152"/>
    <d v="2025-10-17T00:00:00"/>
    <n v="20000"/>
    <d v="2026-09-12T17:23:21"/>
    <d v="2026-09-12T00:00:00"/>
    <s v="septiembre"/>
    <s v="Activo"/>
    <m/>
    <m/>
    <s v="C002892"/>
    <s v="FILTRO DE COMBUSTIBLE (CARTUCHO PREFILTRO) IVECO TECTOR (5801403243)"/>
    <n v="1"/>
    <n v="170000"/>
    <n v="170000"/>
    <x v="1"/>
    <m/>
    <m/>
    <m/>
  </r>
  <r>
    <s v="AF444TU"/>
    <s v="BX-170E28 MLC"/>
    <s v="3MC 1"/>
    <s v="3MC"/>
    <n v="0.5"/>
    <s v="Cambio De Filtro Gas Oíl Y Trampa De Agua"/>
    <d v="2024-03-01T00:00:00"/>
    <n v="43619"/>
    <n v="63619"/>
    <n v="32217.59"/>
    <n v="-12217.59"/>
    <n v="75836.59"/>
    <n v="595"/>
    <n v="51.939962962962959"/>
    <n v="-225.63655599317011"/>
    <d v="2025-10-17T00:00:00"/>
    <n v="20000"/>
    <d v="2026-11-06T01:26:20"/>
    <d v="2026-11-06T00:00:00"/>
    <s v="noviembre"/>
    <s v="Activo"/>
    <m/>
    <m/>
    <s v="C002627"/>
    <s v="FILTRO DE COMBUSTIBLE IVECO BX-170E28 MLC COD: 2992241"/>
    <n v="1"/>
    <n v="20099.439999999999"/>
    <n v="20099.439999999999"/>
    <x v="1"/>
    <m/>
    <m/>
    <m/>
  </r>
  <r>
    <s v="AF444TU"/>
    <s v="BX-170E28 MLC"/>
    <s v="3MC 1"/>
    <s v="3MC"/>
    <n v="0.5"/>
    <s v="Cambio De Filtro Gas Oíl Y Trampa De Agua"/>
    <d v="2024-03-01T00:00:00"/>
    <n v="43619"/>
    <n v="63619"/>
    <n v="32217.59"/>
    <n v="-12217.59"/>
    <n v="75836.59"/>
    <n v="595"/>
    <n v="51.939962962962959"/>
    <n v="-225.63655599317011"/>
    <d v="2025-10-17T00:00:00"/>
    <n v="20000"/>
    <d v="2026-11-06T01:26:20"/>
    <d v="2026-11-06T00:00:00"/>
    <s v="noviembre"/>
    <s v="Activo"/>
    <m/>
    <m/>
    <s v="C002892"/>
    <s v="FILTRO DE COMBUSTIBLE (CARTUCHO PREFILTRO) IVECO TECTOR (5801403243)"/>
    <n v="1"/>
    <n v="170000"/>
    <n v="170000"/>
    <x v="1"/>
    <m/>
    <m/>
    <m/>
  </r>
  <r>
    <s v="AF066NX"/>
    <s v="BX-170E28 MLC SIN EBS"/>
    <s v="3MC 1"/>
    <s v="3MC"/>
    <n v="0.5"/>
    <s v="Cambio De Filtro Gas Oíl Y Trampa De Agua"/>
    <d v="2025-06-19T00:00:00"/>
    <n v="70636"/>
    <n v="90636"/>
    <n v="4770.7000000000007"/>
    <n v="15229.3"/>
    <n v="75406.7"/>
    <n v="120"/>
    <n v="48.072185185185191"/>
    <n v="383.07082818035082"/>
    <d v="2025-10-17T00:00:00"/>
    <n v="20000"/>
    <d v="2026-11-04T01:42:00"/>
    <d v="2026-11-04T00:00:00"/>
    <s v="noviembre"/>
    <s v="Activo"/>
    <m/>
    <m/>
    <s v="C002627"/>
    <s v="FILTRO DE COMBUSTIBLE IVECO BX-170E28 MLC COD: 2992241"/>
    <n v="1"/>
    <n v="20099.439999999999"/>
    <n v="20099.439999999999"/>
    <x v="1"/>
    <m/>
    <m/>
    <m/>
  </r>
  <r>
    <s v="AF066NX"/>
    <s v="BX-170E28 MLC SIN EBS"/>
    <s v="3MC 1"/>
    <s v="3MC"/>
    <n v="0.5"/>
    <s v="Cambio De Filtro Gas Oíl Y Trampa De Agua"/>
    <d v="2025-06-19T00:00:00"/>
    <n v="70636"/>
    <n v="90636"/>
    <n v="4770.7000000000007"/>
    <n v="15229.3"/>
    <n v="75406.7"/>
    <n v="120"/>
    <n v="48.072185185185191"/>
    <n v="383.07082818035082"/>
    <d v="2025-10-17T00:00:00"/>
    <n v="20000"/>
    <d v="2026-11-04T01:42:00"/>
    <d v="2026-11-04T00:00:00"/>
    <s v="noviembre"/>
    <s v="Activo"/>
    <m/>
    <m/>
    <s v="C002892"/>
    <s v="FILTRO DE COMBUSTIBLE (CARTUCHO PREFILTRO) IVECO TECTOR (5801403243)"/>
    <n v="1"/>
    <n v="170000"/>
    <n v="170000"/>
    <x v="1"/>
    <m/>
    <m/>
    <m/>
  </r>
  <r>
    <s v="AF066NT"/>
    <s v="BX-170E28 MLC SIN EBS"/>
    <s v="3MC 1"/>
    <s v="3MC"/>
    <n v="0.5"/>
    <s v="Cambio De Filtro Gas Oíl Y Trampa De Agua"/>
    <d v="2025-04-28T00:00:00"/>
    <n v="62968.800000000003"/>
    <n v="82968.800000000003"/>
    <n v="7493.2"/>
    <n v="12506.8"/>
    <n v="70462"/>
    <n v="172"/>
    <n v="48.161180811808123"/>
    <n v="287.08290183099342"/>
    <d v="2025-10-17T00:00:00"/>
    <n v="20000"/>
    <d v="2026-07-31T01:59:23"/>
    <d v="2026-07-31T00:00:00"/>
    <s v="julio"/>
    <s v="Activo"/>
    <m/>
    <m/>
    <s v="C002627"/>
    <s v="FILTRO DE COMBUSTIBLE IVECO BX-170E28 MLC COD: 2992241"/>
    <n v="1"/>
    <n v="20099.439999999999"/>
    <n v="20099.439999999999"/>
    <x v="1"/>
    <m/>
    <m/>
    <m/>
  </r>
  <r>
    <s v="AF066NT"/>
    <s v="BX-170E28 MLC SIN EBS"/>
    <s v="3MC 1"/>
    <s v="3MC"/>
    <n v="0.5"/>
    <s v="Cambio De Filtro Gas Oíl Y Trampa De Agua"/>
    <d v="2025-04-28T00:00:00"/>
    <n v="62968.800000000003"/>
    <n v="82968.800000000003"/>
    <n v="7493.2"/>
    <n v="12506.8"/>
    <n v="70462"/>
    <n v="172"/>
    <n v="48.161180811808123"/>
    <n v="287.08290183099342"/>
    <d v="2025-10-17T00:00:00"/>
    <n v="20000"/>
    <d v="2026-07-31T01:59:23"/>
    <d v="2026-07-31T00:00:00"/>
    <s v="julio"/>
    <s v="Activo"/>
    <m/>
    <m/>
    <s v="C002892"/>
    <s v="FILTRO DE COMBUSTIBLE (CARTUCHO PREFILTRO) IVECO TECTOR (5801403243)"/>
    <n v="1"/>
    <n v="170000"/>
    <n v="170000"/>
    <x v="1"/>
    <m/>
    <m/>
    <m/>
  </r>
  <r>
    <s v="AF066NS"/>
    <s v="DL-170E28NCM51 SIN EBS"/>
    <s v="3MC 1"/>
    <s v="3MC"/>
    <n v="0.5"/>
    <s v="Cambio De Filtro Gas Oíl Y Trampa De Agua"/>
    <d v="2024-12-26T00:00:00"/>
    <n v="59747.1"/>
    <n v="79747.100000000006"/>
    <n v="13173.82"/>
    <n v="6826.1800000000039"/>
    <n v="72920.92"/>
    <n v="295"/>
    <n v="47.570444444444483"/>
    <n v="152.8579485676897"/>
    <d v="2025-10-17T00:00:00"/>
    <n v="20000"/>
    <d v="2026-03-18T20:35:27"/>
    <d v="2026-03-18T00:00:00"/>
    <s v="marzo"/>
    <s v="Activo"/>
    <m/>
    <m/>
    <s v="C002627"/>
    <s v="FILTRO DE COMBUSTIBLE IVECO BX-170E28 MLC COD: 2992241"/>
    <n v="1"/>
    <n v="20099.439999999999"/>
    <n v="20099.439999999999"/>
    <x v="1"/>
    <m/>
    <m/>
    <m/>
  </r>
  <r>
    <s v="AF066NS"/>
    <s v="DL-170E28NCM51 SIN EBS"/>
    <s v="3MC 1"/>
    <s v="3MC"/>
    <n v="0.5"/>
    <s v="Cambio De Filtro Gas Oíl Y Trampa De Agua"/>
    <d v="2024-12-26T00:00:00"/>
    <n v="59747.1"/>
    <n v="79747.100000000006"/>
    <n v="13173.82"/>
    <n v="6826.1800000000039"/>
    <n v="72920.92"/>
    <n v="295"/>
    <n v="47.570444444444483"/>
    <n v="152.8579485676897"/>
    <d v="2025-10-17T00:00:00"/>
    <n v="20000"/>
    <d v="2026-03-18T20:35:27"/>
    <d v="2026-03-18T00:00:00"/>
    <s v="marzo"/>
    <s v="Activo"/>
    <m/>
    <m/>
    <s v="C002892"/>
    <s v="FILTRO DE COMBUSTIBLE (CARTUCHO PREFILTRO) IVECO TECTOR (5801403243)"/>
    <n v="1"/>
    <n v="170000"/>
    <n v="170000"/>
    <x v="1"/>
    <m/>
    <m/>
    <m/>
  </r>
  <r>
    <s v="GYB034"/>
    <n v="710"/>
    <s v="6MC"/>
    <s v="6MC"/>
    <n v="0.25"/>
    <s v="Cambio Filtro Aire"/>
    <d v="2024-03-27T00:00:00"/>
    <n v="202420"/>
    <n v="222420"/>
    <n v="36588.559999999939"/>
    <n v="-16588.559999999939"/>
    <n v="239008.55999999991"/>
    <n v="569"/>
    <n v="69.022379421221856"/>
    <n v="-257.97382132557232"/>
    <d v="2025-10-17T00:00:00"/>
    <n v="20000"/>
    <d v="2026-08-02T18:15:58"/>
    <d v="2026-08-02T00:00:00"/>
    <s v="agosto"/>
    <s v="Activo"/>
    <m/>
    <m/>
    <s v="C000988"/>
    <s v="FILTRO DE AIRE - MANN C27844"/>
    <n v="1"/>
    <n v="37165.919999999998"/>
    <n v="37165.919999999998"/>
    <x v="6"/>
    <m/>
    <m/>
    <m/>
  </r>
  <r>
    <s v="FCD324"/>
    <n v="710"/>
    <s v="6MC"/>
    <s v="6MC"/>
    <n v="0.25"/>
    <s v="Cambio Filtro Aire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04-26T10:27:25"/>
    <d v="2026-04-26T00:00:00"/>
    <s v="abril"/>
    <s v="Activo"/>
    <m/>
    <m/>
    <s v="C000988"/>
    <s v="FILTRO DE AIRE - MANN C27844"/>
    <n v="1"/>
    <n v="37165.919999999998"/>
    <n v="37165.919999999998"/>
    <x v="6"/>
    <m/>
    <m/>
    <m/>
  </r>
  <r>
    <s v="CVF923"/>
    <n v="712"/>
    <s v="6MC"/>
    <s v="6MC"/>
    <n v="0.25"/>
    <s v="Cambio Filtro Aire"/>
    <d v="2025-05-21T00:00:00"/>
    <n v="32992.1"/>
    <n v="52992.1"/>
    <n v="9749.2999999999993"/>
    <n v="10250.700000000001"/>
    <n v="42741.399999999987"/>
    <n v="149"/>
    <n v="52.850396039603943"/>
    <n v="156.6629706748177"/>
    <d v="2025-10-17T00:00:00"/>
    <n v="20000"/>
    <d v="2026-03-22T15:54:41"/>
    <d v="2026-03-22T00:00:00"/>
    <s v="marzo"/>
    <s v="Activo"/>
    <m/>
    <m/>
    <s v="C000988"/>
    <s v="FILTRO DE AIRE - MANN C27844"/>
    <n v="1"/>
    <n v="37165.919999999998"/>
    <n v="37165.919999999998"/>
    <x v="5"/>
    <m/>
    <m/>
    <m/>
  </r>
  <r>
    <s v="BVH267"/>
    <n v="914"/>
    <s v="6MC"/>
    <s v="6MC"/>
    <n v="0.25"/>
    <s v="Cambio Filtro Aire"/>
    <d v="2024-08-26T00:00:00"/>
    <n v="297464"/>
    <n v="317464"/>
    <n v="23030.169999999991"/>
    <n v="-3030.1699999999951"/>
    <n v="320494.17"/>
    <n v="417"/>
    <n v="48.157370129870131"/>
    <n v="-54.866329254191257"/>
    <d v="2025-10-17T00:00:00"/>
    <n v="20000"/>
    <d v="2026-12-06T07:19:18"/>
    <d v="2026-12-06T00:00:00"/>
    <s v="diciembre"/>
    <s v="Activo"/>
    <m/>
    <m/>
    <s v="C000988"/>
    <s v="FILTRO DE AIRE - MANN C27844"/>
    <n v="1"/>
    <n v="37165.919999999998"/>
    <n v="37165.919999999998"/>
    <x v="4"/>
    <m/>
    <m/>
    <m/>
  </r>
  <r>
    <s v="DLW395"/>
    <n v="1215"/>
    <s v="6MC"/>
    <s v="6MC"/>
    <n v="0.25"/>
    <s v="Cambio Filtro Aire"/>
    <d v="2025-07-03T00:00:00"/>
    <n v="16065.4"/>
    <n v="36065.4"/>
    <n v="5233.4000000000005"/>
    <n v="14766.6"/>
    <n v="21298.799999999999"/>
    <n v="106"/>
    <n v="61.480495049504917"/>
    <n v="299.09038101425449"/>
    <d v="2025-10-17T00:00:00"/>
    <n v="20000"/>
    <d v="2026-08-12T02:10:09"/>
    <d v="2026-08-12T00:00:00"/>
    <s v="agosto"/>
    <s v="Activo"/>
    <m/>
    <m/>
    <s v="C000988"/>
    <s v="FILTRO DE AIRE - MANN C27844"/>
    <n v="1"/>
    <n v="37165.919999999998"/>
    <n v="37165.919999999998"/>
    <x v="5"/>
    <m/>
    <m/>
    <m/>
  </r>
  <r>
    <s v="FJT707"/>
    <n v="1218"/>
    <s v="6MC"/>
    <s v="6MC"/>
    <n v="0.25"/>
    <s v="Cambio Filtro Aire"/>
    <d v="2024-11-21T00:00:00"/>
    <n v="17571.7"/>
    <n v="37571.699999999997"/>
    <n v="31178.54"/>
    <n v="-11178.54"/>
    <n v="48750.239999999998"/>
    <n v="330"/>
    <n v="86.918456591639867"/>
    <n v="-118.3159378213348"/>
    <d v="2025-10-17T00:00:00"/>
    <n v="20000"/>
    <d v="2026-06-04T02:25:03"/>
    <d v="2026-06-04T00:00:00"/>
    <s v="junio"/>
    <s v="Activo"/>
    <m/>
    <m/>
    <s v="C000988"/>
    <s v="FILTRO DE AIRE - MANN C27844"/>
    <n v="1"/>
    <n v="37165.919999999998"/>
    <n v="37165.919999999998"/>
    <x v="6"/>
    <m/>
    <m/>
    <m/>
  </r>
  <r>
    <s v="FGV321"/>
    <n v="1218"/>
    <s v="6MC"/>
    <s v="6MC"/>
    <n v="0.25"/>
    <s v="Cambio Filtro Aire"/>
    <d v="2025-04-22T00:00:00"/>
    <n v="302541"/>
    <n v="322541"/>
    <n v="8078.8000000000029"/>
    <n v="11921.2"/>
    <n v="310619.8"/>
    <n v="178"/>
    <n v="40.451193548387103"/>
    <n v="262.6595038867157"/>
    <d v="2025-10-17T00:00:00"/>
    <n v="20000"/>
    <d v="2026-07-06T15:49:41"/>
    <d v="2026-07-06T00:00:00"/>
    <s v="julio"/>
    <s v="Activo"/>
    <m/>
    <m/>
    <s v="C000988"/>
    <s v="FILTRO DE AIRE - MANN C27844"/>
    <n v="1"/>
    <n v="37165.919999999998"/>
    <n v="37165.919999999998"/>
    <x v="7"/>
    <m/>
    <m/>
    <m/>
  </r>
  <r>
    <s v="AG404LX"/>
    <s v="ACCELO 1016 39"/>
    <s v="6MC"/>
    <s v="6MC"/>
    <n v="0.25"/>
    <s v="Cambio Filtro Aire"/>
    <d v="2025-03-12T00:00:00"/>
    <n v="16579.5"/>
    <n v="36579.5"/>
    <n v="8515.1999999999989"/>
    <n v="11484.8"/>
    <n v="25094.7"/>
    <n v="219"/>
    <n v="35.248013245033107"/>
    <n v="295.37429537767758"/>
    <d v="2025-10-17T00:00:00"/>
    <n v="20000"/>
    <d v="2026-08-08T08:58:59"/>
    <d v="2026-08-08T00:00:00"/>
    <s v="agosto"/>
    <s v="Activo"/>
    <m/>
    <m/>
    <s v="C000988"/>
    <s v="FILTRO DE AIRE - MANN C27844"/>
    <n v="1"/>
    <n v="37165.919999999998"/>
    <n v="37165.919999999998"/>
    <x v="3"/>
    <m/>
    <m/>
    <m/>
  </r>
  <r>
    <s v="AG390QD"/>
    <s v="ACCELO 1016 39"/>
    <s v="6MC"/>
    <s v="6MC"/>
    <n v="0.25"/>
    <s v="Cambio Filtro Aire"/>
    <d v="2025-03-11T00:00:00"/>
    <n v="15836.3"/>
    <n v="35836.300000000003"/>
    <n v="8775.7000000000007"/>
    <n v="11224.3"/>
    <n v="24612"/>
    <n v="220"/>
    <n v="36.572847682119232"/>
    <n v="281.38450493977678"/>
    <d v="2025-10-17T00:00:00"/>
    <n v="20000"/>
    <d v="2026-07-25T09:13:41"/>
    <d v="2026-07-25T00:00:00"/>
    <s v="julio"/>
    <s v="Activo"/>
    <m/>
    <m/>
    <s v="C000988"/>
    <s v="FILTRO DE AIRE - MANN C27844"/>
    <n v="1"/>
    <n v="37165.919999999998"/>
    <n v="37165.919999999998"/>
    <x v="3"/>
    <m/>
    <m/>
    <m/>
  </r>
  <r>
    <s v="PLU469"/>
    <s v="ACCELO 915C"/>
    <s v="6MC"/>
    <s v="6MC"/>
    <n v="0.25"/>
    <s v="Cambio Filtro Aire"/>
    <d v="2025-03-20T00:00:00"/>
    <n v="126999"/>
    <n v="146999"/>
    <n v="6493.4000000000005"/>
    <n v="13506.6"/>
    <n v="133492.4"/>
    <n v="211"/>
    <n v="29.333408360128612"/>
    <n v="438.89065820679451"/>
    <d v="2025-10-17T00:00:00"/>
    <n v="20000"/>
    <d v="2026-12-29T21:22:33"/>
    <d v="2026-12-29T00:00:00"/>
    <s v="diciembre"/>
    <s v="Activo"/>
    <m/>
    <m/>
    <s v="C000988"/>
    <s v="FILTRO DE AIRE - MANN C27844"/>
    <n v="1"/>
    <n v="37165.919999999998"/>
    <n v="37165.919999999998"/>
    <x v="3"/>
    <m/>
    <m/>
    <m/>
  </r>
  <r>
    <s v="PLU468"/>
    <s v="ACCELO 915C"/>
    <s v="6MC"/>
    <s v="6MC"/>
    <n v="0.25"/>
    <s v="Cambio Filtro Aire"/>
    <d v="2025-03-07T00:00:00"/>
    <n v="11627.1"/>
    <n v="31627.1"/>
    <n v="18411.3"/>
    <n v="1588.700000000001"/>
    <n v="30038.400000000001"/>
    <n v="224"/>
    <n v="66.921503267973904"/>
    <n v="19.32882523233015"/>
    <d v="2025-10-17T00:00:00"/>
    <n v="20000"/>
    <d v="2026-08-31T04:28:27"/>
    <d v="2026-08-31T00:00:00"/>
    <s v="agosto"/>
    <s v="Activo"/>
    <m/>
    <m/>
    <s v="C000988"/>
    <s v="FILTRO DE AIRE - MANN C27844"/>
    <n v="1"/>
    <n v="37165.919999999998"/>
    <n v="37165.919999999998"/>
    <x v="5"/>
    <m/>
    <m/>
    <m/>
  </r>
  <r>
    <s v="OJG065"/>
    <s v="ATRON 1720/48  FRONTAL"/>
    <s v="6MC"/>
    <s v="6MC"/>
    <n v="0.25"/>
    <s v="Cambio Filtro Aire"/>
    <d v="2025-07-21T00:00:00"/>
    <n v="117765"/>
    <n v="137765"/>
    <n v="3374.6999999999989"/>
    <n v="16625.3"/>
    <n v="121139.7"/>
    <n v="88"/>
    <n v="35.038354838709672"/>
    <n v="433.52783951166032"/>
    <d v="2025-10-17T00:00:00"/>
    <n v="20000"/>
    <d v="2026-12-24T12:40:05"/>
    <d v="2026-12-24T00:00:00"/>
    <s v="diciembre"/>
    <s v="Activo"/>
    <m/>
    <m/>
    <s v="C000988"/>
    <s v="FILTRO DE AIRE - MANN C27844"/>
    <n v="1"/>
    <n v="37165.919999999998"/>
    <n v="37165.919999999998"/>
    <x v="3"/>
    <m/>
    <m/>
    <m/>
  </r>
  <r>
    <s v="OJG064"/>
    <s v="ATRON 1720/48  FRONTAL"/>
    <s v="6MC"/>
    <s v="6MC"/>
    <n v="0.25"/>
    <s v="Cambio Filtro Aire"/>
    <d v="2024-11-13T00:00:00"/>
    <n v="129732"/>
    <n v="149732"/>
    <n v="10886.77"/>
    <n v="9113.23"/>
    <n v="140618.76999999999"/>
    <n v="338"/>
    <n v="28.6525"/>
    <n v="282.93715583226242"/>
    <d v="2025-10-17T00:00:00"/>
    <n v="20000"/>
    <d v="2026-07-26T22:29:30"/>
    <d v="2026-07-26T00:00:00"/>
    <s v="julio"/>
    <s v="Activo"/>
    <m/>
    <m/>
    <s v="C000988"/>
    <s v="FILTRO DE AIRE - MANN C27844"/>
    <n v="1"/>
    <n v="37165.919999999998"/>
    <n v="37165.919999999998"/>
    <x v="1"/>
    <m/>
    <m/>
    <m/>
  </r>
  <r>
    <s v="OJG063"/>
    <s v="ATRON 1720/48  FRONTAL"/>
    <s v="6MC"/>
    <s v="6MC"/>
    <n v="0.25"/>
    <s v="Cambio Filtro Aire"/>
    <d v="2025-05-15T00:00:00"/>
    <n v="139668"/>
    <n v="159668"/>
    <n v="6276.5"/>
    <n v="13723.5"/>
    <n v="145944.5"/>
    <n v="155"/>
    <n v="39.350129032258081"/>
    <n v="338.90583924161558"/>
    <d v="2025-10-17T00:00:00"/>
    <n v="20000"/>
    <d v="2026-09-20T21:44:25"/>
    <d v="2026-09-20T00:00:00"/>
    <s v="septiembre"/>
    <s v="Activo"/>
    <m/>
    <m/>
    <s v="C000988"/>
    <s v="FILTRO DE AIRE - MANN C27844"/>
    <n v="1"/>
    <n v="37165.919999999998"/>
    <n v="37165.919999999998"/>
    <x v="7"/>
    <m/>
    <m/>
    <m/>
  </r>
  <r>
    <s v="OJG062"/>
    <s v="ATRON 1720/48  FRONTAL"/>
    <s v="6MC"/>
    <s v="6MC"/>
    <n v="0.25"/>
    <s v="Cambio Filtro Aire"/>
    <d v="2025-04-03T00:00:00"/>
    <n v="135586"/>
    <n v="155586"/>
    <n v="6212.800000000002"/>
    <n v="13787.2"/>
    <n v="141798.79999999999"/>
    <n v="197"/>
    <n v="29.337411003236291"/>
    <n v="437.17460726242581"/>
    <d v="2025-10-17T00:00:00"/>
    <n v="20000"/>
    <d v="2026-12-28T04:11:26"/>
    <d v="2026-12-28T00:00:00"/>
    <s v="diciembre"/>
    <s v="Activo"/>
    <m/>
    <m/>
    <s v="C000988"/>
    <s v="FILTRO DE AIRE - MANN C27844"/>
    <n v="1"/>
    <n v="37165.919999999998"/>
    <n v="37165.919999999998"/>
    <x v="3"/>
    <m/>
    <m/>
    <m/>
  </r>
  <r>
    <s v="OJG061"/>
    <s v="ATRON 1720/48  FRONTAL"/>
    <s v="6MC"/>
    <s v="6MC"/>
    <n v="0.25"/>
    <s v="Cambio Filtro Aire"/>
    <d v="2025-03-25T00:00:00"/>
    <n v="138994"/>
    <n v="158994"/>
    <n v="7813.9000000000042"/>
    <n v="12186.099999999989"/>
    <n v="146807.9"/>
    <n v="206"/>
    <n v="32.740519480519481"/>
    <n v="321.26551401988729"/>
    <d v="2025-10-17T00:00:00"/>
    <n v="20000"/>
    <d v="2026-09-03T06:22:20"/>
    <d v="2026-09-03T00:00:00"/>
    <s v="septiembre"/>
    <s v="Activo"/>
    <m/>
    <m/>
    <s v="C000988"/>
    <s v="FILTRO DE AIRE - MANN C27844"/>
    <n v="1"/>
    <n v="37165.919999999998"/>
    <n v="37165.919999999998"/>
    <x v="3"/>
    <m/>
    <m/>
    <m/>
  </r>
  <r>
    <s v="OJG060"/>
    <s v="ATRON 1720/48  FRONTAL"/>
    <s v="6MC"/>
    <s v="6MC"/>
    <n v="0.25"/>
    <s v="Cambio Filtro Aire"/>
    <d v="2024-11-12T00:00:00"/>
    <n v="135670"/>
    <n v="155670"/>
    <n v="13146.66"/>
    <n v="6853.3399999999983"/>
    <n v="148816.66"/>
    <n v="339"/>
    <n v="35.350675241157553"/>
    <n v="176.72034265737449"/>
    <d v="2025-10-17T00:00:00"/>
    <n v="20000"/>
    <d v="2026-04-11T17:17:18"/>
    <d v="2026-04-11T00:00:00"/>
    <s v="abril"/>
    <s v="Activo"/>
    <m/>
    <m/>
    <s v="C000988"/>
    <s v="FILTRO DE AIRE - MANN C27844"/>
    <n v="1"/>
    <n v="37165.919999999998"/>
    <n v="37165.919999999998"/>
    <x v="3"/>
    <m/>
    <m/>
    <m/>
  </r>
  <r>
    <s v="OHH597"/>
    <s v="ATRON 1720/48  FRONTAL"/>
    <s v="6MC"/>
    <s v="6MC"/>
    <n v="0.25"/>
    <s v="Cambio Filtro Aire"/>
    <d v="2025-09-29T00:00:00"/>
    <n v="241798"/>
    <n v="261798"/>
    <n v="0"/>
    <n v="20000"/>
    <n v="241798"/>
    <n v="18"/>
    <n v="32.336013071895437"/>
    <n v="200"/>
    <d v="2025-10-17T00:00:00"/>
    <n v="20000"/>
    <d v="2026-05-05T00:00:00"/>
    <d v="2026-05-05T00:00:00"/>
    <s v="mayo"/>
    <s v="Activo"/>
    <m/>
    <m/>
    <s v="C000988"/>
    <s v="FILTRO DE AIRE - MANN C27844"/>
    <n v="1"/>
    <n v="37165.919999999998"/>
    <n v="37165.919999999998"/>
    <x v="1"/>
    <m/>
    <m/>
    <m/>
  </r>
  <r>
    <s v="OHH596"/>
    <s v="ATRON 1720/48  FRONTAL"/>
    <s v="6MC"/>
    <s v="6MC"/>
    <n v="0.25"/>
    <s v="Cambio Filtro Aire"/>
    <d v="2025-03-17T00:00:00"/>
    <n v="175136"/>
    <n v="195136"/>
    <n v="10902.7"/>
    <n v="9097.2999999999993"/>
    <n v="186038.7"/>
    <n v="214"/>
    <n v="47.387909967845658"/>
    <n v="178.56331000577839"/>
    <d v="2025-10-17T00:00:00"/>
    <n v="20000"/>
    <d v="2026-04-13T13:31:10"/>
    <d v="2026-04-13T00:00:00"/>
    <s v="abril"/>
    <s v="Activo"/>
    <m/>
    <m/>
    <s v="C000988"/>
    <s v="FILTRO DE AIRE - MANN C27844"/>
    <n v="1"/>
    <n v="37165.919999999998"/>
    <n v="37165.919999999998"/>
    <x v="7"/>
    <m/>
    <m/>
    <m/>
  </r>
  <r>
    <s v="OHH595"/>
    <s v="ATRON 1720/48  FRONTAL"/>
    <s v="6MC"/>
    <s v="6MC"/>
    <n v="0.25"/>
    <s v="Cambio Filtro Aire"/>
    <d v="2025-05-09T00:00:00"/>
    <n v="140250"/>
    <n v="160250"/>
    <n v="6502.5999999999949"/>
    <n v="13497.400000000011"/>
    <n v="146752.6"/>
    <n v="161"/>
    <n v="36.457612903225787"/>
    <n v="334.18654076830848"/>
    <d v="2025-10-17T00:00:00"/>
    <n v="20000"/>
    <d v="2026-09-16T04:28:37"/>
    <d v="2026-09-16T00:00:00"/>
    <s v="septiembre"/>
    <s v="Activo"/>
    <m/>
    <m/>
    <s v="C000988"/>
    <s v="FILTRO DE AIRE - MANN C27844"/>
    <n v="1"/>
    <n v="37165.919999999998"/>
    <n v="37165.919999999998"/>
    <x v="3"/>
    <m/>
    <m/>
    <m/>
  </r>
  <r>
    <s v="OHH593"/>
    <s v="ATRON 1720/48  FRONTAL"/>
    <s v="6MC"/>
    <s v="6MC"/>
    <n v="0.25"/>
    <s v="Cambio Filtro Aire"/>
    <d v="2025-03-11T00:00:00"/>
    <n v="135133"/>
    <n v="155133"/>
    <n v="15205.600000000009"/>
    <n v="4794.3999999999915"/>
    <n v="150338.6"/>
    <n v="220"/>
    <n v="62.077961165048592"/>
    <n v="69.367075288051595"/>
    <d v="2025-10-17T00:00:00"/>
    <n v="20000"/>
    <d v="2026-11-12T13:01:21"/>
    <d v="2026-11-12T00:00:00"/>
    <s v="noviembre"/>
    <s v="Activo"/>
    <m/>
    <m/>
    <s v="C000988"/>
    <s v="FILTRO DE AIRE - MANN C27844"/>
    <n v="1"/>
    <n v="37165.919999999998"/>
    <n v="37165.919999999998"/>
    <x v="7"/>
    <m/>
    <m/>
    <m/>
  </r>
  <r>
    <s v="OHH591"/>
    <s v="ATRON 1720/48  FRONTAL"/>
    <s v="6MC"/>
    <s v="6MC"/>
    <n v="0.25"/>
    <s v="Cambio Filtro Aire"/>
    <d v="2025-03-12T00:00:00"/>
    <n v="136279"/>
    <n v="156279"/>
    <n v="9392.9000000000033"/>
    <n v="10607.1"/>
    <n v="145671.9"/>
    <n v="219"/>
    <n v="39.350485436893209"/>
    <n v="247.309659423607"/>
    <d v="2025-10-17T00:00:00"/>
    <n v="20000"/>
    <d v="2026-06-21T07:25:55"/>
    <d v="2026-06-21T00:00:00"/>
    <s v="junio"/>
    <s v="Activo"/>
    <m/>
    <m/>
    <s v="C000988"/>
    <s v="FILTRO DE AIRE - MANN C27844"/>
    <n v="1"/>
    <n v="37165.919999999998"/>
    <n v="37165.919999999998"/>
    <x v="3"/>
    <m/>
    <m/>
    <m/>
  </r>
  <r>
    <s v="OHH590"/>
    <s v="ATRON 1720/48  FRONTAL"/>
    <s v="6MC"/>
    <s v="6MC"/>
    <n v="0.25"/>
    <s v="Cambio Filtro Aire"/>
    <d v="2025-05-26T00:00:00"/>
    <n v="134238"/>
    <n v="154238"/>
    <n v="6883.1999999999953"/>
    <n v="13116.8"/>
    <n v="141121.20000000001"/>
    <n v="144"/>
    <n v="38.754967741935467"/>
    <n v="274.41004184100439"/>
    <d v="2025-10-17T00:00:00"/>
    <n v="20000"/>
    <d v="2026-07-18T09:50:28"/>
    <d v="2026-07-18T00:00:00"/>
    <s v="julio"/>
    <s v="Activo"/>
    <m/>
    <m/>
    <s v="C000988"/>
    <s v="FILTRO DE AIRE - MANN C27844"/>
    <n v="1"/>
    <n v="37165.919999999998"/>
    <n v="37165.919999999998"/>
    <x v="3"/>
    <m/>
    <m/>
    <m/>
  </r>
  <r>
    <s v="OHH586"/>
    <s v="ATRON 1720/48  FRONTAL"/>
    <s v="6MC"/>
    <s v="6MC"/>
    <n v="0.25"/>
    <s v="Cambio Filtro Aire"/>
    <d v="2025-03-27T00:00:00"/>
    <n v="123548"/>
    <n v="143548"/>
    <n v="7382.7000000000016"/>
    <n v="12617.3"/>
    <n v="130930.7"/>
    <n v="204"/>
    <n v="33.855032679738592"/>
    <n v="348.64334186679662"/>
    <d v="2025-10-17T00:00:00"/>
    <n v="20000"/>
    <d v="2026-09-30T15:26:25"/>
    <d v="2026-09-30T00:00:00"/>
    <s v="septiembre"/>
    <s v="Activo"/>
    <m/>
    <m/>
    <s v="C000988"/>
    <s v="FILTRO DE AIRE - MANN C27844"/>
    <n v="1"/>
    <n v="37165.919999999998"/>
    <n v="37165.919999999998"/>
    <x v="3"/>
    <m/>
    <m/>
    <m/>
  </r>
  <r>
    <s v="NIE150"/>
    <s v="ATRON 1720/48  FRONTAL"/>
    <s v="6MC"/>
    <s v="6MC"/>
    <n v="0.25"/>
    <s v="Cambio Filtro Aire"/>
    <d v="2025-04-16T00:00:00"/>
    <n v="435565"/>
    <n v="455565"/>
    <n v="16726.900000000001"/>
    <n v="3273.099999999999"/>
    <n v="452291.9"/>
    <n v="184"/>
    <n v="76.02181229773467"/>
    <n v="36.004902283148681"/>
    <d v="2025-10-17T00:00:00"/>
    <n v="20000"/>
    <d v="2026-08-12T02:05:42"/>
    <d v="2026-08-12T00:00:00"/>
    <s v="agosto"/>
    <s v="Activo"/>
    <m/>
    <m/>
    <s v="C000988"/>
    <s v="FILTRO DE AIRE - MANN C27844"/>
    <n v="1"/>
    <n v="37165.919999999998"/>
    <n v="37165.919999999998"/>
    <x v="10"/>
    <m/>
    <m/>
    <m/>
  </r>
  <r>
    <s v="NIE147"/>
    <s v="ATRON 1720/48  FRONTAL"/>
    <s v="6MC"/>
    <s v="6MC"/>
    <n v="0.25"/>
    <s v="Cambio Filtro Aire"/>
    <d v="2025-06-03T00:00:00"/>
    <n v="309592"/>
    <n v="329592"/>
    <n v="5644.7999999999975"/>
    <n v="14355.2"/>
    <n v="315236.8"/>
    <n v="136"/>
    <n v="34.71594771241827"/>
    <n v="345.8594104308392"/>
    <d v="2025-10-17T00:00:00"/>
    <n v="20000"/>
    <d v="2026-09-27T20:37:33"/>
    <d v="2026-09-27T00:00:00"/>
    <s v="septiembre"/>
    <s v="Activo"/>
    <m/>
    <m/>
    <s v="C000988"/>
    <s v="FILTRO DE AIRE - MANN C27844"/>
    <n v="1"/>
    <n v="37165.919999999998"/>
    <n v="37165.919999999998"/>
    <x v="1"/>
    <m/>
    <m/>
    <m/>
  </r>
  <r>
    <s v="NIE146"/>
    <s v="ATRON 1720/48  FRONTAL"/>
    <s v="6MC"/>
    <s v="6MC"/>
    <n v="0.25"/>
    <s v="Cambio Filtro Aire"/>
    <d v="2024-10-22T00:00:00"/>
    <n v="502203"/>
    <n v="522203"/>
    <n v="14467.7"/>
    <n v="5532.3000000000047"/>
    <n v="516670.7"/>
    <n v="360"/>
    <n v="33.863782051282037"/>
    <n v="137.66030536989311"/>
    <d v="2025-10-17T00:00:00"/>
    <n v="20000"/>
    <d v="2026-03-03T15:50:50"/>
    <d v="2026-03-03T00:00:00"/>
    <s v="marzo"/>
    <s v="Activo"/>
    <m/>
    <m/>
    <s v="C000988"/>
    <s v="FILTRO DE AIRE - MANN C27844"/>
    <n v="1"/>
    <n v="37165.919999999998"/>
    <n v="37165.919999999998"/>
    <x v="1"/>
    <m/>
    <m/>
    <m/>
  </r>
  <r>
    <s v="KKI233"/>
    <s v="ATRON 1720/48  FRONTAL"/>
    <s v="6MC"/>
    <s v="6MC"/>
    <n v="0.25"/>
    <s v="Cambio Filtro Aire"/>
    <s v="-"/>
    <n v="474074"/>
    <n v="494074"/>
    <n v="5983.7999999999993"/>
    <n v="14016.2"/>
    <n v="480057.8"/>
    <n v="68"/>
    <n v="63.859032258064524"/>
    <n v="159.28032354022531"/>
    <d v="2025-10-17T00:00:00"/>
    <n v="20000"/>
    <d v="2026-03-25T06:43:40"/>
    <d v="2026-03-25T00:00:00"/>
    <s v="marzo"/>
    <s v="Activo"/>
    <m/>
    <m/>
    <s v="C000988"/>
    <s v="FILTRO DE AIRE - MANN C27844"/>
    <n v="1"/>
    <n v="37165.919999999998"/>
    <n v="37165.919999999998"/>
    <x v="10"/>
    <m/>
    <m/>
    <m/>
  </r>
  <r>
    <s v="KHS009"/>
    <s v="ATRON 1720/48  FRONTAL"/>
    <s v="6MC"/>
    <s v="6MC"/>
    <n v="0.25"/>
    <s v="Cambio Filtro Aire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1-05T01:54:37"/>
    <d v="2026-01-05T00:00:00"/>
    <s v="enero"/>
    <s v="Activo"/>
    <m/>
    <m/>
    <s v="C000988"/>
    <s v="FILTRO DE AIRE - MANN C27844"/>
    <n v="1"/>
    <n v="37165.919999999998"/>
    <n v="37165.919999999998"/>
    <x v="2"/>
    <m/>
    <m/>
    <m/>
  </r>
  <r>
    <s v="KDG188"/>
    <s v="L-1318"/>
    <s v="6MC"/>
    <s v="6MC"/>
    <n v="0.25"/>
    <s v="Cambio Filtro Aire"/>
    <d v="2025-03-19T00:00:00"/>
    <n v="180294"/>
    <n v="200294"/>
    <n v="8568.0000000000055"/>
    <n v="11431.999999999991"/>
    <n v="188862"/>
    <n v="212"/>
    <n v="45.429777777777801"/>
    <n v="282.864612511671"/>
    <d v="2025-10-17T00:00:00"/>
    <n v="20000"/>
    <d v="2026-07-26T20:45:03"/>
    <d v="2026-07-26T00:00:00"/>
    <s v="julio"/>
    <s v="Activo"/>
    <m/>
    <m/>
    <s v="C000988"/>
    <s v="FILTRO DE AIRE - MANN C27844"/>
    <n v="1"/>
    <n v="37165.919999999998"/>
    <n v="37165.919999999998"/>
    <x v="7"/>
    <m/>
    <m/>
    <m/>
  </r>
  <r>
    <s v="KBV620"/>
    <s v="L-1318"/>
    <s v="6MC"/>
    <s v="6MC"/>
    <n v="0.25"/>
    <s v="Cambio Filtro Aire"/>
    <d v="2025-03-27T00:00:00"/>
    <n v="322879"/>
    <n v="342879"/>
    <n v="7068.2"/>
    <n v="12931.8"/>
    <n v="329947.2"/>
    <n v="204"/>
    <n v="44.066703703703709"/>
    <n v="373.23324184375087"/>
    <d v="2025-10-17T00:00:00"/>
    <n v="20000"/>
    <d v="2026-10-25T05:35:52"/>
    <d v="2026-10-25T00:00:00"/>
    <s v="octubre"/>
    <s v="Activo"/>
    <m/>
    <m/>
    <s v="C000988"/>
    <s v="FILTRO DE AIRE - MANN C27844"/>
    <n v="1"/>
    <n v="37165.919999999998"/>
    <n v="37165.919999999998"/>
    <x v="7"/>
    <m/>
    <m/>
    <m/>
  </r>
  <r>
    <s v="KBV611"/>
    <s v="L-1318"/>
    <s v="6MC"/>
    <s v="6MC"/>
    <n v="0.25"/>
    <s v="Cambio Filtro Aire"/>
    <d v="2024-11-12T00:00:00"/>
    <n v="702674"/>
    <n v="722674"/>
    <n v="10099.13000000001"/>
    <n v="9900.8699999999881"/>
    <n v="712773.13"/>
    <n v="339"/>
    <n v="30.666407407407419"/>
    <n v="332.34495743692702"/>
    <d v="2025-10-17T00:00:00"/>
    <n v="20000"/>
    <d v="2026-09-14T08:16:44"/>
    <d v="2026-09-14T00:00:00"/>
    <s v="septiembre"/>
    <s v="Activo"/>
    <m/>
    <m/>
    <s v="C000988"/>
    <s v="FILTRO DE AIRE - MANN C27844"/>
    <n v="1"/>
    <n v="37165.919999999998"/>
    <n v="37165.919999999998"/>
    <x v="3"/>
    <m/>
    <m/>
    <m/>
  </r>
  <r>
    <s v="JIL525"/>
    <s v="L-1318"/>
    <s v="6MC"/>
    <s v="6MC"/>
    <n v="0.25"/>
    <s v="Cambio Filtro Aire"/>
    <d v="2025-04-01T00:00:00"/>
    <n v="14041.5"/>
    <n v="34041.5"/>
    <n v="7825.0999999999995"/>
    <n v="12174.9"/>
    <n v="21866.6"/>
    <n v="199"/>
    <n v="45.164889705882352"/>
    <n v="309.61969815082239"/>
    <d v="2025-10-17T00:00:00"/>
    <n v="20000"/>
    <d v="2026-08-22T14:52:22"/>
    <d v="2026-08-22T00:00:00"/>
    <s v="agosto"/>
    <s v="Activo"/>
    <m/>
    <m/>
    <s v="C000988"/>
    <s v="FILTRO DE AIRE - MANN C27844"/>
    <n v="1"/>
    <n v="37165.919999999998"/>
    <n v="37165.919999999998"/>
    <x v="19"/>
    <m/>
    <m/>
    <m/>
  </r>
  <r>
    <s v="HUY047"/>
    <s v="L-1318"/>
    <s v="6MC"/>
    <s v="6MC"/>
    <n v="0.25"/>
    <s v="Cambio Filtro Aire"/>
    <d v="2025-06-26T00:00:00"/>
    <n v="23886.799999999999"/>
    <n v="43886.8"/>
    <n v="11552.1"/>
    <n v="8447.9000000000033"/>
    <n v="35438.899999999987"/>
    <n v="113"/>
    <n v="71.271935483870948"/>
    <n v="82.635425593615068"/>
    <d v="2025-10-17T00:00:00"/>
    <n v="20000"/>
    <d v="2026-01-07T15:15:01"/>
    <d v="2026-01-07T00:00:00"/>
    <s v="enero"/>
    <s v="Activo"/>
    <m/>
    <m/>
    <s v="C000988"/>
    <s v="FILTRO DE AIRE - MANN C27844"/>
    <n v="1"/>
    <n v="37165.919999999998"/>
    <n v="37165.919999999998"/>
    <x v="4"/>
    <m/>
    <m/>
    <m/>
  </r>
  <r>
    <s v="HRJ004"/>
    <s v="L-1318"/>
    <s v="6MC"/>
    <s v="6MC"/>
    <n v="0.25"/>
    <s v="Cambio Filtro Aire"/>
    <s v="-"/>
    <n v="11346.4"/>
    <n v="31346.400000000001"/>
    <n v="9575.0499999999993"/>
    <n v="10424.950000000001"/>
    <n v="20921.45"/>
    <n v="243"/>
    <n v="35.996428571428567"/>
    <n v="264.56915107492921"/>
    <d v="2025-10-17T00:00:00"/>
    <n v="20000"/>
    <d v="2026-07-08T13:39:35"/>
    <d v="2026-07-08T00:00:00"/>
    <s v="julio"/>
    <s v="Activo"/>
    <m/>
    <m/>
    <s v="C000988"/>
    <s v="FILTRO DE AIRE - MANN C27844"/>
    <n v="1"/>
    <n v="37165.919999999998"/>
    <n v="37165.919999999998"/>
    <x v="2"/>
    <m/>
    <m/>
    <m/>
  </r>
  <r>
    <s v="HRJ003"/>
    <s v="L-1318"/>
    <s v="6MC"/>
    <s v="6MC"/>
    <n v="0.25"/>
    <s v="Cambio Filtro Aire"/>
    <d v="2025-06-27T00:00:00"/>
    <n v="34917.800000000003"/>
    <n v="54917.8"/>
    <n v="14084.2"/>
    <n v="5915.7999999999975"/>
    <n v="49002.000000000007"/>
    <n v="112"/>
    <n v="130.96596721311471"/>
    <n v="47.04346714758379"/>
    <d v="2025-10-17T00:00:00"/>
    <n v="20000"/>
    <d v="2026-05-04T18:07:03"/>
    <d v="2026-05-04T00:00:00"/>
    <s v="mayo"/>
    <s v="Activo"/>
    <m/>
    <m/>
    <s v="C000988"/>
    <s v="FILTRO DE AIRE - MANN C27844"/>
    <n v="1"/>
    <n v="37165.919999999998"/>
    <n v="37165.919999999998"/>
    <x v="2"/>
    <m/>
    <m/>
    <m/>
  </r>
  <r>
    <s v="HRJ002"/>
    <s v="L-1318"/>
    <s v="6MC"/>
    <s v="6MC"/>
    <n v="0.25"/>
    <s v="Cambio Filtro Aire"/>
    <d v="2025-03-10T00:00:00"/>
    <n v="41546.1"/>
    <n v="61546.1"/>
    <n v="24274.80000000001"/>
    <n v="-4274.8000000000102"/>
    <n v="65820.900000000009"/>
    <n v="221"/>
    <n v="124.4065073529412"/>
    <n v="-38.918170283586349"/>
    <d v="2025-10-17T00:00:00"/>
    <n v="20000"/>
    <d v="2026-03-26T18:19:09"/>
    <d v="2026-03-26T00:00:00"/>
    <s v="marzo"/>
    <s v="Activo"/>
    <m/>
    <m/>
    <s v="C000988"/>
    <s v="FILTRO DE AIRE - MANN C27844"/>
    <n v="1"/>
    <n v="37165.919999999998"/>
    <n v="37165.919999999998"/>
    <x v="17"/>
    <m/>
    <m/>
    <m/>
  </r>
  <r>
    <s v="HQM968"/>
    <s v="L-1318"/>
    <s v="6MC"/>
    <s v="6MC"/>
    <n v="0.25"/>
    <s v="Cambio Filtro Aire"/>
    <d v="2025-04-04T00:00:00"/>
    <n v="477469"/>
    <n v="497469"/>
    <n v="8637.3999999999978"/>
    <n v="11362.6"/>
    <n v="486106.4"/>
    <n v="196"/>
    <n v="40.704758842443738"/>
    <n v="257.84027600898429"/>
    <d v="2025-10-17T00:00:00"/>
    <n v="20000"/>
    <d v="2026-07-01T20:10:00"/>
    <d v="2026-07-01T00:00:00"/>
    <s v="julio"/>
    <s v="Activo"/>
    <m/>
    <m/>
    <s v="C000988"/>
    <s v="FILTRO DE AIRE - MANN C27844"/>
    <n v="1"/>
    <n v="37165.919999999998"/>
    <n v="37165.919999999998"/>
    <x v="7"/>
    <m/>
    <m/>
    <m/>
  </r>
  <r>
    <s v="HPR687"/>
    <s v="L-1318"/>
    <s v="6MC"/>
    <s v="6MC"/>
    <n v="0.25"/>
    <s v="Cambio Filtro Aire"/>
    <d v="2024-05-06T00:00:00"/>
    <n v="537972"/>
    <n v="557972"/>
    <n v="40674.07"/>
    <n v="-20674.07"/>
    <n v="578646.06999999995"/>
    <n v="529"/>
    <n v="80.547755775577556"/>
    <n v="-268.88341958402492"/>
    <d v="2025-10-17T00:00:00"/>
    <n v="20000"/>
    <d v="2026-06-22T07:11:52"/>
    <d v="2026-06-22T00:00:00"/>
    <s v="junio"/>
    <s v="Activo"/>
    <m/>
    <m/>
    <s v="C000988"/>
    <s v="FILTRO DE AIRE - MANN C27844"/>
    <n v="1"/>
    <n v="37165.919999999998"/>
    <n v="37165.919999999998"/>
    <x v="4"/>
    <m/>
    <m/>
    <m/>
  </r>
  <r>
    <s v="HNL373"/>
    <s v="L-1318"/>
    <s v="6MC"/>
    <s v="6MC"/>
    <n v="0.25"/>
    <s v="Cambio Filtro Aire"/>
    <d v="2025-06-25T00:00:00"/>
    <n v="693855"/>
    <n v="713855"/>
    <n v="5947.7000000000025"/>
    <n v="14052.3"/>
    <n v="699802.7"/>
    <n v="114"/>
    <n v="54.087953795379541"/>
    <n v="269.34145972392668"/>
    <d v="2025-10-17T00:00:00"/>
    <n v="20000"/>
    <d v="2026-07-13T08:11:42"/>
    <d v="2026-07-13T00:00:00"/>
    <s v="julio"/>
    <s v="Activo"/>
    <m/>
    <m/>
    <s v="C000988"/>
    <s v="FILTRO DE AIRE - MANN C27844"/>
    <n v="1"/>
    <n v="37165.919999999998"/>
    <n v="37165.919999999998"/>
    <x v="10"/>
    <m/>
    <m/>
    <m/>
  </r>
  <r>
    <s v="HNE430"/>
    <s v="L-1318"/>
    <s v="6MC"/>
    <s v="6MC"/>
    <n v="0.25"/>
    <s v="Cambio Filtro Aire"/>
    <d v="2025-03-21T00:00:00"/>
    <n v="457869"/>
    <n v="477869"/>
    <n v="9177.2000000000044"/>
    <n v="10822.8"/>
    <n v="467046.2"/>
    <n v="210"/>
    <n v="39.232829581993563"/>
    <n v="247.65592991326309"/>
    <d v="2025-10-17T00:00:00"/>
    <n v="20000"/>
    <d v="2026-06-21T15:44:32"/>
    <d v="2026-06-21T00:00:00"/>
    <s v="junio"/>
    <s v="Activo"/>
    <m/>
    <m/>
    <s v="C000988"/>
    <s v="FILTRO DE AIRE - MANN C27844"/>
    <n v="1"/>
    <n v="37165.919999999998"/>
    <n v="37165.919999999998"/>
    <x v="7"/>
    <m/>
    <m/>
    <m/>
  </r>
  <r>
    <s v="HKW894"/>
    <s v="L-1318"/>
    <s v="6MC"/>
    <s v="6MC"/>
    <n v="0.25"/>
    <s v="Cambio Filtro Aire"/>
    <d v="2025-06-17T00:00:00"/>
    <n v="860822"/>
    <n v="880822"/>
    <n v="4797.9999999999991"/>
    <n v="15202"/>
    <n v="865620"/>
    <n v="122"/>
    <n v="70.738193548387088"/>
    <n v="386.54522717799091"/>
    <d v="2025-10-17T00:00:00"/>
    <n v="20000"/>
    <d v="2026-11-07T13:05:08"/>
    <d v="2026-11-07T00:00:00"/>
    <s v="noviembre"/>
    <s v="Activo"/>
    <m/>
    <m/>
    <s v="C000988"/>
    <s v="FILTRO DE AIRE - MANN C27844"/>
    <n v="1"/>
    <n v="37165.919999999998"/>
    <n v="37165.919999999998"/>
    <x v="10"/>
    <m/>
    <m/>
    <m/>
  </r>
  <r>
    <s v="GPL520"/>
    <s v="L-1318"/>
    <s v="6MC"/>
    <s v="6MC"/>
    <n v="0.25"/>
    <s v="Cambio Filtro Aire"/>
    <d v="2025-07-07T00:00:00"/>
    <n v="958885"/>
    <n v="978885"/>
    <n v="14167.3"/>
    <n v="5832.7000000000044"/>
    <n v="973052.3"/>
    <n v="102"/>
    <n v="132.10963696369629"/>
    <n v="41.993562640729053"/>
    <d v="2025-10-17T00:00:00"/>
    <n v="20000"/>
    <d v="2026-04-28T09:11:29"/>
    <d v="2026-04-28T00:00:00"/>
    <s v="abril"/>
    <s v="Activo"/>
    <m/>
    <m/>
    <s v="C000988"/>
    <s v="FILTRO DE AIRE - MANN C27844"/>
    <n v="1"/>
    <n v="37165.919999999998"/>
    <n v="37165.919999999998"/>
    <x v="17"/>
    <m/>
    <m/>
    <m/>
  </r>
  <r>
    <s v="GOX958"/>
    <s v="L-1318"/>
    <s v="6MC"/>
    <s v="6MC"/>
    <n v="0.25"/>
    <s v="Cambio Filtro Aire"/>
    <d v="2025-09-05T00:00:00"/>
    <n v="733433"/>
    <n v="753433"/>
    <n v="2805.7"/>
    <n v="17194.3"/>
    <n v="736238.7"/>
    <n v="42"/>
    <n v="143.50707395498381"/>
    <n v="257.39052642834241"/>
    <d v="2025-10-17T00:00:00"/>
    <n v="20000"/>
    <d v="2026-07-01T09:22:21"/>
    <d v="2026-07-01T00:00:00"/>
    <s v="julio"/>
    <s v="Activo"/>
    <m/>
    <m/>
    <s v="C000988"/>
    <s v="FILTRO DE AIRE - MANN C27844"/>
    <n v="1"/>
    <n v="37165.919999999998"/>
    <n v="37165.919999999998"/>
    <x v="10"/>
    <m/>
    <m/>
    <m/>
  </r>
  <r>
    <s v="GEB769"/>
    <n v="1620"/>
    <s v="6MC 1"/>
    <s v="6MC"/>
    <n v="0.25"/>
    <s v="Cambio Filtro Aire"/>
    <d v="2024-09-11T00:00:00"/>
    <n v="235609"/>
    <n v="255609"/>
    <n v="21825.48"/>
    <n v="-1825.4799999999959"/>
    <n v="257434.48"/>
    <n v="401"/>
    <n v="61.857388059701528"/>
    <n v="-33.539582176428581"/>
    <d v="2025-10-17T00:00:00"/>
    <n v="20000"/>
    <d v="2026-09-05T07:47:04"/>
    <d v="2026-09-05T00:00:00"/>
    <s v="septiembre"/>
    <s v="Activo"/>
    <m/>
    <m/>
    <s v="C000982"/>
    <s v="FILTRO DE AIRE - MANN C27902"/>
    <n v="1"/>
    <n v="42474.239999999998"/>
    <n v="42474.239999999998"/>
    <x v="4"/>
    <m/>
    <m/>
    <m/>
  </r>
  <r>
    <s v="GDR526"/>
    <n v="1620"/>
    <s v="6MC 1"/>
    <s v="6MC"/>
    <n v="0.25"/>
    <s v="Cambio Filtro Aire"/>
    <d v="2025-08-13T00:00:00"/>
    <n v="289935"/>
    <n v="309935"/>
    <n v="2579.900000000001"/>
    <n v="17420.099999999999"/>
    <n v="292514.90000000002"/>
    <n v="65"/>
    <n v="56.324626865671632"/>
    <n v="438.89549982557452"/>
    <d v="2025-10-17T00:00:00"/>
    <n v="20000"/>
    <d v="2026-08-13T00:00:00"/>
    <d v="2026-08-13T00:00:00"/>
    <s v="agosto"/>
    <s v="Activo"/>
    <m/>
    <m/>
    <s v="C000982"/>
    <s v="FILTRO DE AIRE - MANN C27902"/>
    <n v="1"/>
    <n v="42474.239999999998"/>
    <n v="42474.239999999998"/>
    <x v="12"/>
    <m/>
    <m/>
    <m/>
  </r>
  <r>
    <s v="GDR525"/>
    <n v="1620"/>
    <s v="6MC 1"/>
    <s v="6MC"/>
    <n v="0.25"/>
    <s v="Cambio Filtro Aire"/>
    <d v="2025-03-27T00:00:00"/>
    <n v="315257"/>
    <n v="335257"/>
    <n v="0"/>
    <n v="20000"/>
    <n v="315257"/>
    <n v="204"/>
    <n v="4.0251111111111113"/>
    <n v="200"/>
    <d v="2025-10-17T00:00:00"/>
    <n v="20000"/>
    <d v="2026-05-05T00:00:00"/>
    <d v="2026-05-05T00:00:00"/>
    <s v="mayo"/>
    <s v="Activo"/>
    <m/>
    <m/>
    <s v="C000982"/>
    <s v="FILTRO DE AIRE - MANN C27902"/>
    <n v="1"/>
    <n v="42474.239999999998"/>
    <n v="42474.239999999998"/>
    <x v="11"/>
    <m/>
    <m/>
    <m/>
  </r>
  <r>
    <s v="FVO108"/>
    <n v="1620"/>
    <s v="6MC 1"/>
    <s v="6MC"/>
    <n v="0.25"/>
    <s v="Cambio Filtro Aire"/>
    <d v="2024-06-06T00:00:00"/>
    <n v="384179.04200000002"/>
    <n v="404179.04200000002"/>
    <n v="14668.800000000019"/>
    <n v="5331.1999999999834"/>
    <n v="398847.84200000012"/>
    <n v="498"/>
    <n v="60"/>
    <n v="180.99214659685779"/>
    <d v="2025-10-17T00:00:00"/>
    <n v="20000"/>
    <d v="2026-09-15T08:00:00"/>
    <d v="2026-09-15T00:00:00"/>
    <s v="septiembre"/>
    <s v="Activo"/>
    <m/>
    <m/>
    <s v="C000982"/>
    <s v="FILTRO DE AIRE - MANN C27902"/>
    <n v="1"/>
    <n v="42474.239999999998"/>
    <n v="42474.239999999998"/>
    <x v="8"/>
    <m/>
    <m/>
    <m/>
  </r>
  <r>
    <s v="FQT894"/>
    <n v="1620"/>
    <s v="6MC 1"/>
    <s v="6MC"/>
    <n v="0.25"/>
    <s v="Cambio Filtro Aire"/>
    <s v="-"/>
    <m/>
    <m/>
    <m/>
    <m/>
    <m/>
    <m/>
    <n v="96.824519230769212"/>
    <m/>
    <d v="2025-10-17T00:00:00"/>
    <n v="20000"/>
    <d v="2026-05-11T13:25:19"/>
    <d v="2026-05-11T00:00:00"/>
    <s v="mayo"/>
    <s v="Activo"/>
    <m/>
    <m/>
    <s v="C000982"/>
    <s v="FILTRO DE AIRE - MANN C27902"/>
    <n v="1"/>
    <n v="42474.239999999998"/>
    <n v="42474.239999999998"/>
    <x v="14"/>
    <m/>
    <m/>
    <m/>
  </r>
  <r>
    <s v="FHK364"/>
    <n v="1620"/>
    <s v="6MC 1"/>
    <s v="6MC"/>
    <n v="0.25"/>
    <s v="Cambio Filtro Aire"/>
    <d v="2025-06-23T00:00:00"/>
    <n v="358562"/>
    <n v="378562"/>
    <n v="10154.9"/>
    <n v="9845.1"/>
    <n v="368716.9"/>
    <n v="116"/>
    <n v="95.559666666666672"/>
    <n v="112.461136988055"/>
    <d v="2025-10-17T00:00:00"/>
    <n v="20000"/>
    <d v="2026-02-06T11:04:02"/>
    <d v="2026-02-06T00:00:00"/>
    <s v="febrero"/>
    <s v="Activo"/>
    <m/>
    <m/>
    <s v="C000982"/>
    <s v="FILTRO DE AIRE - MANN C27902"/>
    <n v="1"/>
    <n v="42474.239999999998"/>
    <n v="42474.239999999998"/>
    <x v="13"/>
    <m/>
    <m/>
    <m/>
  </r>
  <r>
    <s v="GVU097"/>
    <n v="1624"/>
    <s v="6MC 1"/>
    <s v="6MC"/>
    <n v="0.25"/>
    <s v="Cambio Filtro Aire"/>
    <d v="2025-07-07T00:00:00"/>
    <n v="656303"/>
    <n v="676303"/>
    <n v="6490.9999999999991"/>
    <n v="13509"/>
    <n v="662794"/>
    <n v="102"/>
    <n v="93.110293159609114"/>
    <n v="212.28131258665849"/>
    <d v="2025-10-17T00:00:00"/>
    <n v="20000"/>
    <d v="2026-05-17T06:45:05"/>
    <d v="2026-05-17T00:00:00"/>
    <s v="mayo"/>
    <s v="Activo"/>
    <m/>
    <m/>
    <s v="C000982"/>
    <s v="FILTRO DE AIRE - MANN C27902"/>
    <n v="1"/>
    <n v="42474.239999999998"/>
    <n v="42474.239999999998"/>
    <x v="10"/>
    <m/>
    <m/>
    <m/>
  </r>
  <r>
    <s v="GVU096"/>
    <n v="1624"/>
    <s v="6MC 1"/>
    <s v="6MC"/>
    <n v="0.25"/>
    <s v="Cambio Filtro Aire"/>
    <d v="2024-11-27T00:00:00"/>
    <n v="6340"/>
    <n v="26340"/>
    <n v="9804.4500000000044"/>
    <n v="10195.549999999999"/>
    <n v="16144.45"/>
    <n v="324"/>
    <n v="31.374080882352938"/>
    <n v="336.92437617612381"/>
    <d v="2025-10-17T00:00:00"/>
    <n v="20000"/>
    <d v="2026-09-18T22:11:06"/>
    <d v="2026-09-18T00:00:00"/>
    <s v="septiembre"/>
    <s v="Activo"/>
    <m/>
    <m/>
    <s v="C000982"/>
    <s v="FILTRO DE AIRE - MANN C27902"/>
    <n v="1"/>
    <n v="42474.239999999998"/>
    <n v="42474.239999999998"/>
    <x v="14"/>
    <m/>
    <m/>
    <m/>
  </r>
  <r>
    <s v="GUW658"/>
    <n v="1624"/>
    <s v="6MC 1"/>
    <s v="6MC"/>
    <n v="0.25"/>
    <s v="Cambio Filtro Aire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06-27T07:17:57"/>
    <d v="2026-06-27T00:00:00"/>
    <s v="junio"/>
    <s v="Activo"/>
    <m/>
    <m/>
    <s v="C000982"/>
    <s v="FILTRO DE AIRE - MANN C27902"/>
    <n v="1"/>
    <n v="42474.239999999998"/>
    <n v="42474.239999999998"/>
    <x v="4"/>
    <m/>
    <m/>
    <m/>
  </r>
  <r>
    <s v="GUW657"/>
    <n v="1624"/>
    <s v="6MC 1"/>
    <s v="6MC"/>
    <n v="0.25"/>
    <s v="Cambio Filtro Aire"/>
    <d v="2025-04-01T00:00:00"/>
    <n v="10362"/>
    <n v="30362"/>
    <n v="12667.1"/>
    <n v="7332.9000000000005"/>
    <n v="23029.1"/>
    <n v="199"/>
    <n v="53.990801282051272"/>
    <n v="115.1997773760372"/>
    <d v="2025-10-17T00:00:00"/>
    <n v="20000"/>
    <d v="2026-02-09T04:47:41"/>
    <d v="2026-02-09T00:00:00"/>
    <s v="febrero"/>
    <s v="Activo"/>
    <m/>
    <m/>
    <s v="C000982"/>
    <s v="FILTRO DE AIRE - MANN C27902"/>
    <n v="1"/>
    <n v="42474.239999999998"/>
    <n v="42474.239999999998"/>
    <x v="19"/>
    <m/>
    <m/>
    <m/>
  </r>
  <r>
    <s v="GTE289"/>
    <n v="1624"/>
    <s v="6MC 1"/>
    <s v="6MC"/>
    <n v="0.25"/>
    <s v="Cambio Filtro Aire"/>
    <d v="2025-06-17T00:00:00"/>
    <n v="809565"/>
    <n v="829565"/>
    <n v="8970.2999999999993"/>
    <n v="11029.7"/>
    <n v="818535.3"/>
    <n v="122"/>
    <n v="63.369638157894727"/>
    <n v="150.00873995295589"/>
    <d v="2025-10-17T00:00:00"/>
    <n v="20000"/>
    <d v="2026-03-16T00:12:35"/>
    <d v="2026-03-16T00:00:00"/>
    <s v="marzo"/>
    <s v="Activo"/>
    <m/>
    <m/>
    <s v="C000982"/>
    <s v="FILTRO DE AIRE - MANN C27902"/>
    <n v="1"/>
    <n v="42474.239999999998"/>
    <n v="42474.239999999998"/>
    <x v="10"/>
    <m/>
    <m/>
    <m/>
  </r>
  <r>
    <s v="GTE288"/>
    <n v="1624"/>
    <s v="6MC 1"/>
    <s v="6MC"/>
    <n v="0.25"/>
    <s v="Cambio Filtro Aire"/>
    <d v="2025-04-15T00:00:00"/>
    <n v="779819"/>
    <n v="799819"/>
    <n v="16921.500000000011"/>
    <n v="3078.4999999999932"/>
    <n v="796740.5"/>
    <n v="185"/>
    <n v="75.425496688741674"/>
    <n v="33.656738468811767"/>
    <d v="2025-10-17T00:00:00"/>
    <n v="20000"/>
    <d v="2026-08-11T19:39:27"/>
    <d v="2026-08-11T00:00:00"/>
    <s v="agosto"/>
    <s v="Activo"/>
    <m/>
    <m/>
    <s v="C000982"/>
    <s v="FILTRO DE AIRE - MANN C27902"/>
    <n v="1"/>
    <n v="42474.239999999998"/>
    <n v="42474.239999999998"/>
    <x v="5"/>
    <m/>
    <m/>
    <m/>
  </r>
  <r>
    <s v="GTE287"/>
    <n v="1624"/>
    <s v="6MC 1"/>
    <s v="6MC"/>
    <n v="0.25"/>
    <s v="Cambio Filtro Aire"/>
    <d v="2025-08-01T00:00:00"/>
    <n v="24799.1"/>
    <n v="44799.1"/>
    <n v="3627.4"/>
    <n v="16372.6"/>
    <n v="28426.5"/>
    <n v="77"/>
    <n v="131.93916129032249"/>
    <n v="347.5465071401004"/>
    <d v="2025-10-17T00:00:00"/>
    <n v="20000"/>
    <d v="2026-09-29T13:06:58"/>
    <d v="2026-09-29T00:00:00"/>
    <s v="septiembre"/>
    <s v="Activo"/>
    <m/>
    <m/>
    <s v="C000982"/>
    <s v="FILTRO DE AIRE - MANN C27902"/>
    <n v="1"/>
    <n v="42474.239999999998"/>
    <n v="42474.239999999998"/>
    <x v="10"/>
    <m/>
    <m/>
    <m/>
  </r>
  <r>
    <s v="GRE073"/>
    <n v="1624"/>
    <s v="6MC 1"/>
    <s v="6MC"/>
    <n v="0.25"/>
    <s v="Cambio Filtro Aire"/>
    <d v="2025-07-08T00:00:00"/>
    <n v="10340"/>
    <n v="30340"/>
    <n v="5338.3999999999987"/>
    <n v="14661.6"/>
    <n v="15678.4"/>
    <n v="101"/>
    <n v="29.350544871794892"/>
    <n v="277.39052899745252"/>
    <d v="2025-10-17T00:00:00"/>
    <n v="20000"/>
    <d v="2026-07-21T09:22:22"/>
    <d v="2026-07-21T00:00:00"/>
    <s v="julio"/>
    <s v="Activo"/>
    <m/>
    <m/>
    <s v="C000982"/>
    <s v="FILTRO DE AIRE - MANN C27902"/>
    <n v="1"/>
    <n v="42474.239999999998"/>
    <n v="42474.239999999998"/>
    <x v="6"/>
    <m/>
    <m/>
    <m/>
  </r>
  <r>
    <s v="GRC311"/>
    <n v="1624"/>
    <s v="6MC 1"/>
    <s v="6MC"/>
    <n v="0.25"/>
    <s v="Cambio Filtro Aire"/>
    <d v="2025-04-25T00:00:00"/>
    <n v="264479"/>
    <n v="284479"/>
    <n v="6327.5000000000045"/>
    <n v="13672.499999999991"/>
    <n v="270806.5"/>
    <n v="175"/>
    <n v="34.372709677419373"/>
    <n v="378.14105096799642"/>
    <d v="2025-10-17T00:00:00"/>
    <n v="20000"/>
    <d v="2026-10-30T03:23:07"/>
    <d v="2026-10-30T00:00:00"/>
    <s v="octubre"/>
    <s v="Activo"/>
    <m/>
    <m/>
    <s v="C000982"/>
    <s v="FILTRO DE AIRE - MANN C27902"/>
    <n v="1"/>
    <n v="42474.239999999998"/>
    <n v="42474.239999999998"/>
    <x v="7"/>
    <m/>
    <m/>
    <m/>
  </r>
  <r>
    <s v="GQN688"/>
    <n v="1624"/>
    <s v="6MC 1"/>
    <s v="6MC"/>
    <n v="0.25"/>
    <s v="Cambio Filtro Aire"/>
    <d v="2025-09-08T00:00:00"/>
    <n v="82173.399999999994"/>
    <n v="102173.4"/>
    <n v="5556.5"/>
    <n v="14443.5"/>
    <n v="87729.9"/>
    <n v="39"/>
    <n v="215.45547231270371"/>
    <n v="101.37613605687029"/>
    <d v="2025-10-17T00:00:00"/>
    <n v="20000"/>
    <d v="2026-01-26T09:01:38"/>
    <d v="2026-01-26T00:00:00"/>
    <s v="enero"/>
    <s v="Activo"/>
    <m/>
    <m/>
    <s v="C000982"/>
    <s v="FILTRO DE AIRE - MANN C27902"/>
    <n v="1"/>
    <n v="42474.239999999998"/>
    <n v="42474.239999999998"/>
    <x v="15"/>
    <m/>
    <m/>
    <m/>
  </r>
  <r>
    <s v="GOX957"/>
    <n v="1624"/>
    <s v="6MC 1"/>
    <s v="6MC"/>
    <n v="0.25"/>
    <s v="Cambio Filtro Aire"/>
    <s v="-"/>
    <n v="662460"/>
    <n v="682460"/>
    <n v="20447.600000000009"/>
    <n v="-447.60000000000582"/>
    <n v="682907.6"/>
    <n v="197"/>
    <n v="113.6646794871796"/>
    <n v="-4.312349615602864"/>
    <d v="2025-10-17T00:00:00"/>
    <n v="20000"/>
    <d v="2026-04-10T22:56:52"/>
    <d v="2026-04-10T00:00:00"/>
    <s v="abril"/>
    <s v="Activo"/>
    <m/>
    <m/>
    <s v="C000982"/>
    <s v="FILTRO DE AIRE - MANN C27902"/>
    <n v="1"/>
    <n v="42474.239999999998"/>
    <n v="42474.239999999998"/>
    <x v="10"/>
    <m/>
    <m/>
    <m/>
  </r>
  <r>
    <s v="GOX956"/>
    <n v="1624"/>
    <s v="6MC 1"/>
    <s v="6MC"/>
    <n v="0.25"/>
    <s v="Cambio Filtro Aire"/>
    <d v="2025-07-24T00:00:00"/>
    <n v="808028"/>
    <n v="828028"/>
    <n v="7209.7999999999984"/>
    <n v="12790.2"/>
    <n v="815237.8"/>
    <n v="85"/>
    <n v="100.27773026315791"/>
    <n v="150.79017448472919"/>
    <d v="2025-10-17T00:00:00"/>
    <n v="20000"/>
    <d v="2026-03-16T18:57:51"/>
    <d v="2026-03-16T00:00:00"/>
    <s v="marzo"/>
    <s v="Activo"/>
    <m/>
    <m/>
    <s v="C000982"/>
    <s v="FILTRO DE AIRE - MANN C27902"/>
    <n v="1"/>
    <n v="42474.239999999998"/>
    <n v="42474.239999999998"/>
    <x v="5"/>
    <m/>
    <m/>
    <m/>
  </r>
  <r>
    <s v="GOR397"/>
    <n v="1624"/>
    <s v="6MC 1"/>
    <s v="6MC"/>
    <n v="0.25"/>
    <s v="Cambio Filtro Aire"/>
    <d v="2025-03-07T00:00:00"/>
    <n v="27910.9"/>
    <n v="47910.9"/>
    <n v="19185.899999999991"/>
    <n v="814.10000000000582"/>
    <n v="47096.800000000003"/>
    <n v="224"/>
    <n v="76.974301470588202"/>
    <n v="9.5048134306965721"/>
    <d v="2025-10-17T00:00:00"/>
    <n v="20000"/>
    <d v="2026-07-13T07:57:47"/>
    <d v="2026-07-13T00:00:00"/>
    <s v="julio"/>
    <s v="Activo"/>
    <m/>
    <m/>
    <s v="C000982"/>
    <s v="FILTRO DE AIRE - MANN C27902"/>
    <n v="1"/>
    <n v="42474.239999999998"/>
    <n v="42474.239999999998"/>
    <x v="16"/>
    <m/>
    <m/>
    <m/>
  </r>
  <r>
    <s v="GOR390"/>
    <n v="1624"/>
    <s v="6MC 1"/>
    <s v="6MC"/>
    <n v="0.25"/>
    <s v="Cambio Filtro Aire"/>
    <d v="2025-06-23T00:00:00"/>
    <n v="511084"/>
    <n v="531084"/>
    <n v="8073.1000000000013"/>
    <n v="11926.9"/>
    <n v="519157.1"/>
    <n v="116"/>
    <n v="57.283729903536972"/>
    <n v="171.3741189877494"/>
    <d v="2025-10-17T00:00:00"/>
    <n v="20000"/>
    <d v="2026-04-06T08:58:44"/>
    <d v="2026-04-06T00:00:00"/>
    <s v="abril"/>
    <s v="Activo"/>
    <m/>
    <m/>
    <s v="C000982"/>
    <s v="FILTRO DE AIRE - MANN C27902"/>
    <n v="1"/>
    <n v="42474.239999999998"/>
    <n v="42474.239999999998"/>
    <x v="4"/>
    <m/>
    <m/>
    <m/>
  </r>
  <r>
    <s v="GNY198"/>
    <n v="1624"/>
    <s v="6MC 1"/>
    <s v="6MC"/>
    <n v="0.25"/>
    <s v="Cambio Filtro Aire"/>
    <d v="2025-07-10T00:00:00"/>
    <n v="234133"/>
    <n v="254133"/>
    <n v="4079.8"/>
    <n v="15920.2"/>
    <n v="238212.8"/>
    <n v="99"/>
    <n v="38.995387096774238"/>
    <n v="386.31790774057549"/>
    <d v="2025-10-17T00:00:00"/>
    <n v="20000"/>
    <d v="2026-11-07T07:37:47"/>
    <d v="2026-11-07T00:00:00"/>
    <s v="noviembre"/>
    <s v="Activo"/>
    <m/>
    <m/>
    <s v="C000982"/>
    <s v="FILTRO DE AIRE - MANN C27902"/>
    <n v="1"/>
    <n v="42474.239999999998"/>
    <n v="42474.239999999998"/>
    <x v="7"/>
    <m/>
    <m/>
    <m/>
  </r>
  <r>
    <s v="GNY197"/>
    <n v="1624"/>
    <s v="6MC 1"/>
    <s v="6MC"/>
    <n v="0.25"/>
    <s v="Cambio Filtro Aire"/>
    <d v="2025-07-02T00:00:00"/>
    <n v="619280"/>
    <n v="639280"/>
    <n v="8001.9999999999982"/>
    <n v="11998"/>
    <n v="627282"/>
    <n v="107"/>
    <n v="80.140288461538475"/>
    <n v="160.43314171457141"/>
    <d v="2025-10-17T00:00:00"/>
    <n v="20000"/>
    <d v="2026-03-26T10:23:43"/>
    <d v="2026-03-26T00:00:00"/>
    <s v="marzo"/>
    <s v="Activo"/>
    <m/>
    <m/>
    <s v="C000982"/>
    <s v="FILTRO DE AIRE - MANN C27902"/>
    <n v="1"/>
    <n v="42474.239999999998"/>
    <n v="42474.239999999998"/>
    <x v="10"/>
    <m/>
    <m/>
    <m/>
  </r>
  <r>
    <s v="GMJ025"/>
    <n v="1624"/>
    <s v="6MC 1"/>
    <s v="6MC"/>
    <n v="0.25"/>
    <s v="Cambio Filtro Aire"/>
    <d v="2025-09-12T00:00:00"/>
    <n v="723287"/>
    <n v="743287"/>
    <n v="0"/>
    <n v="20000"/>
    <n v="723287"/>
    <n v="35"/>
    <n v="1.7600651465798041"/>
    <n v="200"/>
    <d v="2025-10-17T00:00:00"/>
    <n v="20000"/>
    <d v="2026-05-05T00:00:00"/>
    <d v="2026-05-05T00:00:00"/>
    <s v="mayo"/>
    <s v="Activo"/>
    <m/>
    <m/>
    <s v="C000982"/>
    <s v="FILTRO DE AIRE - MANN C27902"/>
    <n v="1"/>
    <n v="42474.239999999998"/>
    <n v="42474.239999999998"/>
    <x v="2"/>
    <m/>
    <m/>
    <m/>
  </r>
  <r>
    <s v="GMJ024"/>
    <n v="1624"/>
    <s v="6MC 1"/>
    <s v="6MC"/>
    <n v="0.25"/>
    <s v="Cambio Filtro Aire"/>
    <d v="2025-06-26T00:00:00"/>
    <n v="831926"/>
    <n v="851926"/>
    <n v="9266.100000000004"/>
    <n v="10733.9"/>
    <n v="841192.1"/>
    <n v="113"/>
    <n v="68.472829581993537"/>
    <n v="130.89980682271931"/>
    <d v="2025-10-17T00:00:00"/>
    <n v="20000"/>
    <d v="2026-02-24T21:35:43"/>
    <d v="2026-02-24T00:00:00"/>
    <s v="febrero"/>
    <s v="Activo"/>
    <m/>
    <m/>
    <s v="C000982"/>
    <s v="FILTRO DE AIRE - MANN C27902"/>
    <n v="1"/>
    <n v="42474.239999999998"/>
    <n v="42474.239999999998"/>
    <x v="10"/>
    <m/>
    <m/>
    <m/>
  </r>
  <r>
    <s v="GLT552"/>
    <n v="1624"/>
    <s v="6MC 1"/>
    <s v="6MC"/>
    <n v="0.25"/>
    <s v="Cambio Filtro Aire"/>
    <d v="2025-07-24T00:00:00"/>
    <n v="484180"/>
    <n v="504180"/>
    <n v="6154.3000000000011"/>
    <n v="13845.7"/>
    <n v="490334.3"/>
    <n v="85"/>
    <n v="131.1199356913184"/>
    <n v="191.22962806493021"/>
    <d v="2025-10-17T00:00:00"/>
    <n v="20000"/>
    <d v="2026-04-26T05:30:40"/>
    <d v="2026-04-26T00:00:00"/>
    <s v="abril"/>
    <s v="Activo"/>
    <m/>
    <m/>
    <s v="C000982"/>
    <s v="FILTRO DE AIRE - MANN C27902"/>
    <n v="1"/>
    <n v="42474.239999999998"/>
    <n v="42474.239999999998"/>
    <x v="4"/>
    <m/>
    <m/>
    <m/>
  </r>
  <r>
    <s v="GLT551"/>
    <n v="1624"/>
    <s v="6MC 1"/>
    <s v="6MC"/>
    <n v="0.25"/>
    <s v="Cambio Filtro Aire"/>
    <d v="2025-03-29T00:00:00"/>
    <n v="484970"/>
    <n v="504970"/>
    <n v="6360.1999999999944"/>
    <n v="13639.80000000001"/>
    <n v="491330.2"/>
    <n v="202"/>
    <n v="30.7326948051948"/>
    <n v="433.20015093865032"/>
    <d v="2025-10-17T00:00:00"/>
    <n v="20000"/>
    <d v="2026-12-24T04:48:13"/>
    <d v="2026-12-24T00:00:00"/>
    <s v="diciembre"/>
    <s v="Activo"/>
    <m/>
    <m/>
    <s v="C000982"/>
    <s v="FILTRO DE AIRE - MANN C27902"/>
    <n v="1"/>
    <n v="42474.239999999998"/>
    <n v="42474.239999999998"/>
    <x v="0"/>
    <m/>
    <m/>
    <m/>
  </r>
  <r>
    <s v="GLT550"/>
    <n v="1624"/>
    <s v="6MC 1"/>
    <s v="6MC"/>
    <n v="0.25"/>
    <s v="Cambio Filtro Aire"/>
    <d v="2025-03-28T00:00:00"/>
    <n v="298685"/>
    <n v="318685"/>
    <n v="8864.1"/>
    <n v="11135.9"/>
    <n v="307549.09999999998"/>
    <n v="203"/>
    <n v="39.137363344051472"/>
    <n v="255.02732369896549"/>
    <d v="2025-10-17T00:00:00"/>
    <n v="20000"/>
    <d v="2026-06-29T00:39:21"/>
    <d v="2026-06-29T00:00:00"/>
    <s v="junio"/>
    <s v="Activo"/>
    <m/>
    <m/>
    <s v="C000982"/>
    <s v="FILTRO DE AIRE - MANN C27902"/>
    <n v="1"/>
    <n v="42474.239999999998"/>
    <n v="42474.239999999998"/>
    <x v="3"/>
    <m/>
    <m/>
    <m/>
  </r>
  <r>
    <s v="GKK500"/>
    <n v="1624"/>
    <s v="6MC 1"/>
    <s v="6MC"/>
    <n v="0.25"/>
    <s v="Cambio Filtro Aire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3-29T00:44:30"/>
    <d v="2026-03-29T00:00:00"/>
    <s v="marzo"/>
    <s v="Activo"/>
    <m/>
    <m/>
    <s v="C000982"/>
    <s v="FILTRO DE AIRE - MANN C27902"/>
    <n v="1"/>
    <n v="42474.239999999998"/>
    <n v="42474.239999999998"/>
    <x v="6"/>
    <m/>
    <m/>
    <m/>
  </r>
  <r>
    <s v="GJQ699"/>
    <n v="1624"/>
    <s v="6MC 1"/>
    <s v="6MC"/>
    <n v="0.25"/>
    <s v="Cambio Filtro Aire"/>
    <d v="2025-06-05T00:00:00"/>
    <n v="230027"/>
    <n v="250027"/>
    <n v="5321.3000000000011"/>
    <n v="14678.7"/>
    <n v="235348.3"/>
    <n v="134"/>
    <n v="37.879290322580637"/>
    <n v="369.63632946836287"/>
    <d v="2025-10-17T00:00:00"/>
    <n v="20000"/>
    <d v="2026-10-21T15:16:19"/>
    <d v="2026-10-21T00:00:00"/>
    <s v="octubre"/>
    <s v="Activo"/>
    <m/>
    <m/>
    <s v="C000982"/>
    <s v="FILTRO DE AIRE - MANN C27902"/>
    <n v="1"/>
    <n v="42474.239999999998"/>
    <n v="42474.239999999998"/>
    <x v="8"/>
    <m/>
    <m/>
    <m/>
  </r>
  <r>
    <s v="GJC632"/>
    <n v="1624"/>
    <s v="6MC 1"/>
    <s v="6MC"/>
    <n v="0.25"/>
    <s v="Cambio Filtro Aire"/>
    <d v="2025-04-16T00:00:00"/>
    <n v="255203"/>
    <n v="275203"/>
    <n v="12233.500000000009"/>
    <n v="7766.4999999999927"/>
    <n v="267436.5"/>
    <n v="184"/>
    <n v="57.024096774193573"/>
    <n v="116.81334041770531"/>
    <d v="2025-10-17T00:00:00"/>
    <n v="20000"/>
    <d v="2026-02-10T19:31:13"/>
    <d v="2026-02-10T00:00:00"/>
    <s v="febrero"/>
    <s v="Activo"/>
    <m/>
    <m/>
    <s v="C000982"/>
    <s v="FILTRO DE AIRE - MANN C27902"/>
    <n v="1"/>
    <n v="42474.239999999998"/>
    <n v="42474.239999999998"/>
    <x v="9"/>
    <m/>
    <m/>
    <m/>
  </r>
  <r>
    <s v="GJC631"/>
    <n v="1624"/>
    <s v="6MC 1"/>
    <s v="6MC"/>
    <n v="0.25"/>
    <s v="Cambio Filtro Aire"/>
    <d v="2025-06-04T00:00:00"/>
    <n v="176121"/>
    <n v="196121"/>
    <n v="5745.4000000000005"/>
    <n v="14254.6"/>
    <n v="181866.4"/>
    <n v="135"/>
    <n v="35.012605863192178"/>
    <n v="334.94117032756628"/>
    <d v="2025-10-17T00:00:00"/>
    <n v="20000"/>
    <d v="2026-09-16T22:35:17"/>
    <d v="2026-09-16T00:00:00"/>
    <s v="septiembre"/>
    <s v="Activo"/>
    <m/>
    <m/>
    <s v="C000982"/>
    <s v="FILTRO DE AIRE - MANN C27902"/>
    <n v="1"/>
    <n v="42474.239999999998"/>
    <n v="42474.239999999998"/>
    <x v="7"/>
    <m/>
    <m/>
    <m/>
  </r>
  <r>
    <s v="GFZ651"/>
    <n v="1624"/>
    <s v="6MC 1"/>
    <s v="6MC"/>
    <n v="0.25"/>
    <s v="Cambio Filtro Aire"/>
    <d v="2025-08-14T00:00:00"/>
    <n v="377434"/>
    <n v="397434"/>
    <n v="3731.5"/>
    <n v="16268.5"/>
    <n v="381165.5"/>
    <n v="64"/>
    <n v="73.269176029962509"/>
    <n v="279.0255929250971"/>
    <d v="2025-10-17T00:00:00"/>
    <n v="20000"/>
    <d v="2026-07-23T00:36:51"/>
    <d v="2026-07-23T00:00:00"/>
    <s v="julio"/>
    <s v="Activo"/>
    <m/>
    <m/>
    <s v="C000982"/>
    <s v="FILTRO DE AIRE - MANN C27902"/>
    <n v="1"/>
    <n v="42474.239999999998"/>
    <n v="42474.239999999998"/>
    <x v="13"/>
    <m/>
    <m/>
    <m/>
  </r>
  <r>
    <s v="AG404LU"/>
    <s v="ATEGO 1721 48"/>
    <s v="6MC 1"/>
    <s v="6MC"/>
    <n v="0.25"/>
    <s v="Cambio Filtro Aire"/>
    <d v="2025-04-21T00:00:00"/>
    <n v="13510"/>
    <n v="33510"/>
    <n v="6171.1999999999971"/>
    <n v="13828.8"/>
    <n v="19681.2"/>
    <n v="179"/>
    <n v="36.364885496183213"/>
    <n v="401.11407829919648"/>
    <d v="2025-10-17T00:00:00"/>
    <n v="20000"/>
    <d v="2026-11-22T02:44:16"/>
    <d v="2026-11-22T00:00:00"/>
    <s v="noviembre"/>
    <s v="Activo"/>
    <m/>
    <m/>
    <s v="C000982"/>
    <s v="FILTRO DE AIRE - MANN C27902"/>
    <n v="1"/>
    <n v="42474.239999999998"/>
    <n v="42474.239999999998"/>
    <x v="1"/>
    <m/>
    <m/>
    <m/>
  </r>
  <r>
    <s v="AF804RE"/>
    <s v="ATEGO 1721 48"/>
    <s v="6MC 1"/>
    <s v="6MC"/>
    <n v="0.25"/>
    <s v="Cambio Filtro Aire"/>
    <d v="2025-07-16T00:00:00"/>
    <n v="41395.599999999999"/>
    <n v="61395.6"/>
    <n v="3758.2999999999979"/>
    <n v="16241.7"/>
    <n v="45153.899999999987"/>
    <n v="93"/>
    <n v="36.164383116883137"/>
    <n v="401.90461112737171"/>
    <d v="2025-10-17T00:00:00"/>
    <n v="20000"/>
    <d v="2026-11-22T21:42:38"/>
    <d v="2026-11-22T00:00:00"/>
    <s v="noviembre"/>
    <s v="Activo"/>
    <m/>
    <m/>
    <s v="C000982"/>
    <s v="FILTRO DE AIRE - MANN C27902"/>
    <n v="1"/>
    <n v="42474.239999999998"/>
    <n v="42474.239999999998"/>
    <x v="0"/>
    <m/>
    <m/>
    <m/>
  </r>
  <r>
    <s v="AF804RB"/>
    <s v="ATEGO 1721 48"/>
    <s v="6MC 1"/>
    <s v="6MC"/>
    <n v="0.25"/>
    <s v="Cambio Filtro Aire"/>
    <d v="2025-08-26T00:00:00"/>
    <n v="60189.5"/>
    <n v="80189.5"/>
    <n v="4748.0999999999995"/>
    <n v="15251.9"/>
    <n v="64937.599999999999"/>
    <n v="52"/>
    <n v="83.847709677419346"/>
    <n v="167.03498241401829"/>
    <d v="2025-10-17T00:00:00"/>
    <n v="20000"/>
    <d v="2026-04-02T00:50:22"/>
    <d v="2026-04-02T00:00:00"/>
    <s v="abril"/>
    <s v="Activo"/>
    <m/>
    <m/>
    <s v="C000982"/>
    <s v="FILTRO DE AIRE - MANN C27902"/>
    <n v="1"/>
    <n v="42474.239999999998"/>
    <n v="42474.239999999998"/>
    <x v="0"/>
    <m/>
    <m/>
    <m/>
  </r>
  <r>
    <s v="AF642OU"/>
    <s v="ATEGO 1721 48"/>
    <s v="6MC 1"/>
    <s v="6MC"/>
    <n v="0.25"/>
    <s v="Cambio Filtro Aire"/>
    <d v="2025-03-25T00:00:00"/>
    <n v="33326.199999999997"/>
    <n v="53326.2"/>
    <n v="7126.5000000000036"/>
    <n v="12873.5"/>
    <n v="40452.699999999997"/>
    <n v="206"/>
    <n v="38.89159259259263"/>
    <n v="372.12390373956327"/>
    <d v="2025-10-17T00:00:00"/>
    <n v="20000"/>
    <d v="2026-10-24T02:58:25"/>
    <d v="2026-10-24T00:00:00"/>
    <s v="octubre"/>
    <s v="Activo"/>
    <m/>
    <m/>
    <s v="C000982"/>
    <s v="FILTRO DE AIRE - MANN C27902"/>
    <n v="1"/>
    <n v="42474.239999999998"/>
    <n v="42474.239999999998"/>
    <x v="3"/>
    <m/>
    <m/>
    <m/>
  </r>
  <r>
    <s v="AF642OT"/>
    <s v="ATEGO 1721 48"/>
    <s v="6MC 1"/>
    <s v="6MC"/>
    <n v="0.25"/>
    <s v="Cambio Filtro Aire"/>
    <d v="2025-02-14T00:00:00"/>
    <n v="44127.9"/>
    <n v="64127.9"/>
    <n v="9317.4000000000033"/>
    <n v="10682.6"/>
    <n v="53445.3"/>
    <n v="245"/>
    <n v="40.395367647058812"/>
    <n v="280.89778264322638"/>
    <d v="2025-10-17T00:00:00"/>
    <n v="20000"/>
    <d v="2026-07-24T21:32:48"/>
    <d v="2026-07-24T00:00:00"/>
    <s v="julio"/>
    <s v="Activo"/>
    <m/>
    <m/>
    <s v="C000982"/>
    <s v="FILTRO DE AIRE - MANN C27902"/>
    <n v="1"/>
    <n v="42474.239999999998"/>
    <n v="42474.239999999998"/>
    <x v="0"/>
    <m/>
    <m/>
    <m/>
  </r>
  <r>
    <s v="AF642OS"/>
    <s v="ATEGO 1721 48"/>
    <s v="6MC 1"/>
    <s v="6MC"/>
    <n v="0.25"/>
    <s v="Cambio Filtro Aire"/>
    <d v="2024-11-15T00:00:00"/>
    <n v="29476"/>
    <n v="49476"/>
    <n v="12799.580000000011"/>
    <n v="7200.4199999999892"/>
    <n v="42275.580000000009"/>
    <n v="336"/>
    <n v="40.312058823529441"/>
    <n v="189.0172271277647"/>
    <d v="2025-10-17T00:00:00"/>
    <n v="20000"/>
    <d v="2026-04-24T00:24:48"/>
    <d v="2026-04-24T00:00:00"/>
    <s v="abril"/>
    <s v="Activo"/>
    <m/>
    <m/>
    <s v="C000982"/>
    <s v="FILTRO DE AIRE - MANN C27902"/>
    <n v="1"/>
    <n v="42474.239999999998"/>
    <n v="42474.239999999998"/>
    <x v="3"/>
    <m/>
    <m/>
    <m/>
  </r>
  <r>
    <s v="AF518DM"/>
    <s v="ATEGO 1721-48"/>
    <s v="6MC 1"/>
    <s v="6MC"/>
    <n v="0.25"/>
    <s v="Cambio Filtro Aire"/>
    <d v="2024-09-10T00:00:00"/>
    <n v="42714.2"/>
    <n v="62714.2"/>
    <n v="21856.560000000001"/>
    <n v="-1856.5599999999979"/>
    <n v="64570.759999999987"/>
    <n v="402"/>
    <n v="53.502481203007598"/>
    <n v="-34.147053333186882"/>
    <d v="2025-10-17T00:00:00"/>
    <n v="20000"/>
    <d v="2026-10-25T19:32:48"/>
    <d v="2026-10-25T00:00:00"/>
    <s v="octubre"/>
    <s v="Activo"/>
    <m/>
    <m/>
    <s v="C000982"/>
    <s v="FILTRO DE AIRE - MANN C27902"/>
    <n v="1"/>
    <n v="42474.239999999998"/>
    <n v="42474.239999999998"/>
    <x v="1"/>
    <m/>
    <m/>
    <m/>
  </r>
  <r>
    <s v="AF088ED"/>
    <s v="958 ATEGO 1726-42 CE"/>
    <s v="6MC 2"/>
    <s v="6MC"/>
    <n v="0.25"/>
    <s v="Cambio Filtro Aire"/>
    <d v="2025-06-19T00:00:00"/>
    <n v="68428.5"/>
    <n v="88428.5"/>
    <n v="5182.2"/>
    <n v="14817.8"/>
    <n v="73610.7"/>
    <n v="120"/>
    <n v="48.244391143911422"/>
    <n v="343.1237698274864"/>
    <d v="2025-10-17T00:00:00"/>
    <n v="20000"/>
    <d v="2026-09-25T02:58:14"/>
    <d v="2026-09-25T00:00:00"/>
    <s v="septiembre"/>
    <s v="Activo"/>
    <m/>
    <m/>
    <s v="C002482"/>
    <s v="FILTRO DE AIRE MB 2426/AXOR 1933 - MANN C28 1012"/>
    <n v="1"/>
    <n v="49777.919999999998"/>
    <n v="49777.919999999998"/>
    <x v="1"/>
    <m/>
    <m/>
    <m/>
  </r>
  <r>
    <s v="KHS012"/>
    <s v="ATEGO 1418/48 FRONTAL"/>
    <s v="6MC 2"/>
    <s v="6MC"/>
    <n v="0.25"/>
    <s v="Cambio Filtro Aire"/>
    <d v="2024-11-07T00:00:00"/>
    <n v="342438"/>
    <n v="362438"/>
    <n v="22886.28"/>
    <n v="-2886.280000000002"/>
    <n v="365324.28"/>
    <n v="344"/>
    <n v="66.651970260223024"/>
    <n v="-43.383211251457233"/>
    <d v="2025-10-17T00:00:00"/>
    <n v="20000"/>
    <d v="2026-08-13T01:35:15"/>
    <d v="2026-08-13T00:00:00"/>
    <s v="agosto"/>
    <s v="Activo"/>
    <m/>
    <m/>
    <s v="C002482"/>
    <s v="FILTRO DE AIRE MB 2426/AXOR 1933 - MANN C28 1012"/>
    <n v="1"/>
    <n v="49777.919999999998"/>
    <n v="49777.919999999998"/>
    <x v="9"/>
    <m/>
    <m/>
    <m/>
  </r>
  <r>
    <s v="JXZ992"/>
    <s v="ATEGO 1418/48 FRONTAL"/>
    <s v="6MC 2"/>
    <s v="6MC"/>
    <n v="0.25"/>
    <s v="Cambio Filtro Aire"/>
    <d v="2024-12-30T00:00:00"/>
    <n v="216285"/>
    <n v="236285"/>
    <n v="9057.0900000000038"/>
    <n v="10942.91"/>
    <n v="225342.09"/>
    <n v="291"/>
    <n v="33.420996309963101"/>
    <n v="351.59050092248151"/>
    <d v="2025-10-17T00:00:00"/>
    <n v="20000"/>
    <d v="2026-10-03T14:10:19"/>
    <d v="2026-10-03T00:00:00"/>
    <s v="octubre"/>
    <s v="Activo"/>
    <m/>
    <m/>
    <s v="C002482"/>
    <s v="FILTRO DE AIRE MB 2426/AXOR 1933 - MANN C28 1012"/>
    <n v="1"/>
    <n v="49777.919999999998"/>
    <n v="49777.919999999998"/>
    <x v="7"/>
    <m/>
    <m/>
    <m/>
  </r>
  <r>
    <s v="JKQ774"/>
    <s v="ATEGO 1418/48 FRONTAL"/>
    <s v="6MC 2"/>
    <s v="6MC"/>
    <n v="0.25"/>
    <s v="Cambio Filtro Aire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08-02T21:02:13"/>
    <d v="2026-08-02T00:00:00"/>
    <s v="agosto"/>
    <s v="Activo"/>
    <m/>
    <m/>
    <s v="C002482"/>
    <s v="FILTRO DE AIRE MB 2426/AXOR 1933 - MANN C28 1012"/>
    <n v="1"/>
    <n v="49777.919999999998"/>
    <n v="49777.919999999998"/>
    <x v="7"/>
    <m/>
    <m/>
    <m/>
  </r>
  <r>
    <s v="JKQ773"/>
    <s v="ATEGO 1418/48 FRONTAL"/>
    <s v="6MC 2"/>
    <s v="6MC"/>
    <n v="0.25"/>
    <s v="Cambio Filtro Aire"/>
    <d v="2025-05-13T00:00:00"/>
    <n v="237476"/>
    <n v="257476"/>
    <n v="6287.2000000000007"/>
    <n v="13712.8"/>
    <n v="243763.20000000001"/>
    <n v="157"/>
    <n v="36.85391585760523"/>
    <n v="342.42740806718399"/>
    <d v="2025-10-17T00:00:00"/>
    <n v="20000"/>
    <d v="2026-09-24T10:15:28"/>
    <d v="2026-09-24T00:00:00"/>
    <s v="septiembre"/>
    <s v="Activo"/>
    <m/>
    <m/>
    <s v="C002482"/>
    <s v="FILTRO DE AIRE MB 2426/AXOR 1933 - MANN C28 1012"/>
    <n v="1"/>
    <n v="49777.919999999998"/>
    <n v="49777.919999999998"/>
    <x v="8"/>
    <m/>
    <m/>
    <m/>
  </r>
  <r>
    <s v="IVD941"/>
    <s v="ATEGO 1418/48 FRONTAL"/>
    <s v="6MC 2"/>
    <s v="6MC"/>
    <n v="0.25"/>
    <s v="Cambio Filtro Aire"/>
    <d v="2025-07-04T00:00:00"/>
    <n v="227732"/>
    <n v="247732"/>
    <n v="5333.9000000000024"/>
    <n v="14666.1"/>
    <n v="233065.9"/>
    <n v="105"/>
    <n v="40.479774193548408"/>
    <n v="288.70816850709599"/>
    <d v="2025-10-17T00:00:00"/>
    <n v="20000"/>
    <d v="2026-08-01T16:59:46"/>
    <d v="2026-08-01T00:00:00"/>
    <s v="agosto"/>
    <s v="Activo"/>
    <m/>
    <m/>
    <s v="C002482"/>
    <s v="FILTRO DE AIRE MB 2426/AXOR 1933 - MANN C28 1012"/>
    <n v="1"/>
    <n v="49777.919999999998"/>
    <n v="49777.919999999998"/>
    <x v="7"/>
    <m/>
    <m/>
    <m/>
  </r>
  <r>
    <s v="IVD940"/>
    <s v="ATEGO 1418/48 FRONTAL"/>
    <s v="6MC 2"/>
    <s v="6MC"/>
    <n v="0.25"/>
    <s v="Cambio Filtro Aire"/>
    <d v="2025-03-26T00:00:00"/>
    <n v="283696"/>
    <n v="303696"/>
    <n v="7346.0000000000036"/>
    <n v="12654"/>
    <n v="291042"/>
    <n v="205"/>
    <n v="34.247774193548388"/>
    <n v="353.12687176694772"/>
    <d v="2025-10-17T00:00:00"/>
    <n v="20000"/>
    <d v="2026-10-05T03:02:42"/>
    <d v="2026-10-05T00:00:00"/>
    <s v="octubre"/>
    <s v="Activo"/>
    <m/>
    <m/>
    <s v="C002482"/>
    <s v="FILTRO DE AIRE MB 2426/AXOR 1933 - MANN C28 1012"/>
    <n v="1"/>
    <n v="49777.919999999998"/>
    <n v="49777.919999999998"/>
    <x v="7"/>
    <m/>
    <m/>
    <m/>
  </r>
  <r>
    <s v="AF877NC"/>
    <s v="ATEGO 1419 48"/>
    <s v="6MC 2"/>
    <s v="6MC"/>
    <n v="0.25"/>
    <s v="Cambio Filtro Aire"/>
    <d v="2025-06-14T00:00:00"/>
    <n v="71797"/>
    <n v="91797"/>
    <n v="0"/>
    <n v="20000"/>
    <n v="71797"/>
    <n v="125"/>
    <n v="4.7505769230769239"/>
    <n v="200"/>
    <d v="2025-10-17T00:00:00"/>
    <n v="20000"/>
    <d v="2026-05-05T00:00:00"/>
    <d v="2026-05-05T00:00:00"/>
    <s v="mayo"/>
    <s v="Activo"/>
    <m/>
    <m/>
    <s v="C002482"/>
    <s v="FILTRO DE AIRE MB 2426/AXOR 1933 - MANN C28 1012"/>
    <n v="1"/>
    <n v="49777.919999999998"/>
    <n v="49777.919999999998"/>
    <x v="2"/>
    <m/>
    <m/>
    <m/>
  </r>
  <r>
    <s v="AF364MN"/>
    <s v="ATEGO 1419"/>
    <s v="6MC 2"/>
    <s v="6MC"/>
    <n v="0.25"/>
    <s v="Cambio Filtro Aire"/>
    <d v="2024-06-18T00:00:00"/>
    <n v="38855.1"/>
    <n v="58855.1"/>
    <n v="22989.899999999991"/>
    <n v="-2989.899999999991"/>
    <n v="61844.999999999993"/>
    <n v="486"/>
    <n v="45.422519083969469"/>
    <n v="-63.205642477783549"/>
    <d v="2025-10-17T00:00:00"/>
    <n v="20000"/>
    <d v="2026-12-31T07:26:44"/>
    <d v="2026-12-31T00:00:00"/>
    <s v="diciembre"/>
    <s v="Activo"/>
    <m/>
    <m/>
    <s v="C002482"/>
    <s v="FILTRO DE AIRE MB 2426/AXOR 1933 - MANN C28 1012"/>
    <n v="1"/>
    <n v="49777.919999999998"/>
    <n v="49777.919999999998"/>
    <x v="1"/>
    <m/>
    <m/>
    <m/>
  </r>
  <r>
    <s v="AF338VO"/>
    <s v="ATEGO 1419"/>
    <s v="6MC 2"/>
    <s v="6MC"/>
    <n v="0.25"/>
    <s v="Cambio Filtro Aire"/>
    <d v="2023-12-29T00:00:00"/>
    <n v="39135"/>
    <n v="59135"/>
    <n v="34703.519999999939"/>
    <n v="-14703.51999999994"/>
    <n v="73838.519999999931"/>
    <n v="658"/>
    <n v="51.09303703703705"/>
    <n v="-278.78774717953621"/>
    <d v="2025-10-17T00:00:00"/>
    <n v="20000"/>
    <d v="2026-11-12T10:37:35"/>
    <d v="2026-11-12T00:00:00"/>
    <s v="noviembre"/>
    <s v="Activo"/>
    <m/>
    <m/>
    <s v="C002482"/>
    <s v="FILTRO DE AIRE MB 2426/AXOR 1933 - MANN C28 1012"/>
    <n v="1"/>
    <n v="49777.919999999998"/>
    <n v="49777.919999999998"/>
    <x v="1"/>
    <m/>
    <m/>
    <m/>
  </r>
  <r>
    <s v="OZH811"/>
    <s v="ATEGO 1725"/>
    <s v="6MC 2"/>
    <s v="6MC"/>
    <n v="0.25"/>
    <s v="Cambio Filtro Aire"/>
    <s v="-"/>
    <m/>
    <m/>
    <m/>
    <m/>
    <m/>
    <m/>
    <n v="169.51837638376381"/>
    <m/>
    <d v="2025-10-17T00:00:00"/>
    <n v="20000"/>
    <d v="2026-02-11T23:33:05"/>
    <d v="2026-02-11T00:00:00"/>
    <s v="febrero"/>
    <s v="Activo"/>
    <m/>
    <m/>
    <s v="C002482"/>
    <s v="FILTRO DE AIRE MB 2426/AXOR 1933 - MANN C28 1012"/>
    <n v="1"/>
    <n v="49777.919999999998"/>
    <n v="49777.919999999998"/>
    <x v="18"/>
    <m/>
    <m/>
    <m/>
  </r>
  <r>
    <s v="OJG098"/>
    <s v="ATEGO 1725"/>
    <s v="6MC 2"/>
    <s v="6MC"/>
    <n v="0.25"/>
    <s v="Cambio Filtro Aire"/>
    <s v="-"/>
    <n v="292381"/>
    <n v="312381"/>
    <n v="7939.1000000000049"/>
    <n v="12060.899999999991"/>
    <n v="300320.09999999998"/>
    <n v="222"/>
    <n v="30.400741935483872"/>
    <n v="337.25734655061621"/>
    <d v="2025-10-17T00:00:00"/>
    <n v="20000"/>
    <d v="2026-09-19T06:10:35"/>
    <d v="2026-09-19T00:00:00"/>
    <s v="septiembre"/>
    <s v="Activo"/>
    <m/>
    <m/>
    <s v="C002482"/>
    <s v="FILTRO DE AIRE MB 2426/AXOR 1933 - MANN C28 1012"/>
    <n v="1"/>
    <n v="49777.919999999998"/>
    <n v="49777.919999999998"/>
    <x v="3"/>
    <m/>
    <m/>
    <m/>
  </r>
  <r>
    <s v="KGM735"/>
    <s v="ATEGO 1725"/>
    <s v="6MC 2"/>
    <s v="6MC"/>
    <n v="0.25"/>
    <s v="Cambio Filtro Aire"/>
    <d v="2025-08-29T00:00:00"/>
    <n v="279340"/>
    <n v="299340"/>
    <n v="2584.1999999999998"/>
    <n v="17415.8"/>
    <n v="281924.2"/>
    <n v="49"/>
    <n v="86.131808118081167"/>
    <n v="330.22761396176759"/>
    <d v="2025-10-17T00:00:00"/>
    <n v="20000"/>
    <d v="2026-09-12T05:27:46"/>
    <d v="2026-09-12T00:00:00"/>
    <s v="septiembre"/>
    <s v="Activo"/>
    <m/>
    <m/>
    <s v="C002482"/>
    <s v="FILTRO DE AIRE MB 2426/AXOR 1933 - MANN C28 1012"/>
    <n v="1"/>
    <n v="49777.919999999998"/>
    <n v="49777.919999999998"/>
    <x v="2"/>
    <m/>
    <m/>
    <m/>
  </r>
  <r>
    <s v="KER728"/>
    <s v="ATEGO 1725"/>
    <s v="6MC 2"/>
    <s v="6MC"/>
    <n v="0.25"/>
    <s v="Cambio Filtro Aire"/>
    <d v="2025-05-09T00:00:00"/>
    <n v="331282"/>
    <n v="351282"/>
    <n v="13312.400000000011"/>
    <n v="6687.5999999999931"/>
    <n v="344594.4"/>
    <n v="161"/>
    <n v="86.162316176470569"/>
    <n v="80.879751209398634"/>
    <d v="2025-10-17T00:00:00"/>
    <n v="20000"/>
    <d v="2026-01-05T21:06:51"/>
    <d v="2026-01-05T00:00:00"/>
    <s v="enero"/>
    <s v="Activo"/>
    <m/>
    <m/>
    <s v="C002482"/>
    <s v="FILTRO DE AIRE MB 2426/AXOR 1933 - MANN C28 1012"/>
    <n v="1"/>
    <n v="49777.919999999998"/>
    <n v="49777.919999999998"/>
    <x v="2"/>
    <m/>
    <m/>
    <m/>
  </r>
  <r>
    <s v="AB320YQ"/>
    <s v="B66 - ATEGO 2426"/>
    <s v="6MC 2"/>
    <s v="6MC"/>
    <n v="0.25"/>
    <s v="Cambio Filtro Aire"/>
    <d v="2025-03-26T00:00:00"/>
    <n v="24483.4"/>
    <n v="44483.4"/>
    <n v="12540.3"/>
    <n v="7459.6999999999971"/>
    <n v="37023.699999999997"/>
    <n v="205"/>
    <n v="67.727480916030515"/>
    <n v="121.94592633350069"/>
    <d v="2025-10-17T00:00:00"/>
    <n v="20000"/>
    <d v="2026-02-15T22:42:08"/>
    <d v="2026-02-15T00:00:00"/>
    <s v="febrero"/>
    <s v="Activo"/>
    <m/>
    <m/>
    <s v="C002482"/>
    <s v="FILTRO DE AIRE MB 2426/AXOR 1933 - MANN C28 1012"/>
    <n v="1"/>
    <n v="49777.919999999998"/>
    <n v="49777.919999999998"/>
    <x v="0"/>
    <m/>
    <m/>
    <m/>
  </r>
  <r>
    <s v="AG079GB"/>
    <s v="TECTOR EVO 170E28N 4815 MLC EBS 170E28NCM51"/>
    <s v="6MC 3"/>
    <s v="6MC"/>
    <n v="0.25"/>
    <s v="Cambio Filtro Aire"/>
    <d v="2024-11-07T00:00:00"/>
    <n v="18877"/>
    <n v="38877"/>
    <n v="13183.70000000001"/>
    <n v="6816.299999999992"/>
    <n v="32060.700000000012"/>
    <n v="344"/>
    <n v="37.875645756457558"/>
    <n v="177.856534963629"/>
    <d v="2025-10-17T00:00:00"/>
    <n v="20000"/>
    <d v="2026-04-12T20:33:25"/>
    <d v="2026-04-12T00:00:00"/>
    <s v="abril"/>
    <s v="Activo"/>
    <m/>
    <m/>
    <s v="C002891"/>
    <s v="FILTRO DE AIRE (CARTUCHO) IVECO TECTOR (5801640991)"/>
    <n v="1"/>
    <n v="126126.58"/>
    <n v="126126.58"/>
    <x v="1"/>
    <m/>
    <m/>
    <m/>
  </r>
  <r>
    <s v="AG079GA"/>
    <s v="TECTOR EVO 170E28N 4815 MLC EBS 170E28NCM51"/>
    <s v="6MC 3"/>
    <s v="6MC"/>
    <n v="0.25"/>
    <s v="Cambio Filtro Aire"/>
    <d v="2025-09-05T00:00:00"/>
    <n v="52971.7"/>
    <n v="72971.7"/>
    <n v="0"/>
    <n v="20000"/>
    <n v="52971.7"/>
    <n v="42"/>
    <n v="3.001660516605166"/>
    <n v="200"/>
    <d v="2025-10-17T00:00:00"/>
    <n v="20000"/>
    <d v="2026-05-05T00:00:00"/>
    <d v="2026-05-05T00:00:00"/>
    <s v="mayo"/>
    <s v="Activo"/>
    <m/>
    <m/>
    <s v="C002891"/>
    <s v="FILTRO DE AIRE (CARTUCHO) IVECO TECTOR (5801640991)"/>
    <n v="1"/>
    <n v="126126.58"/>
    <n v="126126.58"/>
    <x v="2"/>
    <m/>
    <m/>
    <m/>
  </r>
  <r>
    <s v="AF746ED"/>
    <s v="170E28NCM22 SIN EBS"/>
    <s v="6MC 3"/>
    <s v="6MC"/>
    <n v="0.25"/>
    <s v="Cambio Filtro Aire"/>
    <d v="2025-06-30T00:00:00"/>
    <n v="37932"/>
    <n v="57932"/>
    <n v="4460.9999999999991"/>
    <n v="15539"/>
    <n v="42393"/>
    <n v="109"/>
    <n v="38.195276752767562"/>
    <n v="379.67966823582162"/>
    <d v="2025-10-17T00:00:00"/>
    <n v="20000"/>
    <d v="2026-10-31T16:18:43"/>
    <d v="2026-10-31T00:00:00"/>
    <s v="octubre"/>
    <s v="Activo"/>
    <m/>
    <m/>
    <s v="C002891"/>
    <s v="FILTRO DE AIRE (CARTUCHO) IVECO TECTOR (5801640991)"/>
    <n v="1"/>
    <n v="126126.58"/>
    <n v="126126.58"/>
    <x v="1"/>
    <m/>
    <m/>
    <m/>
  </r>
  <r>
    <s v="AF722DM"/>
    <s v="170E28 MLC EBS"/>
    <s v="6MC 3"/>
    <s v="6MC"/>
    <n v="0.25"/>
    <s v="Cambio Filtro Aire"/>
    <d v="2024-10-21T00:00:00"/>
    <n v="14436"/>
    <n v="34436"/>
    <n v="9131.8000000000029"/>
    <n v="10868.2"/>
    <n v="23567.8"/>
    <n v="361"/>
    <n v="25.02444444444442"/>
    <n v="429.64368470619132"/>
    <d v="2025-10-17T00:00:00"/>
    <n v="20000"/>
    <d v="2026-12-20T15:26:54"/>
    <d v="2026-12-20T00:00:00"/>
    <s v="diciembre"/>
    <s v="Activo"/>
    <m/>
    <m/>
    <s v="C002891"/>
    <s v="FILTRO DE AIRE (CARTUCHO) IVECO TECTOR (5801640991)"/>
    <n v="1"/>
    <n v="126126.58"/>
    <n v="126126.58"/>
    <x v="1"/>
    <m/>
    <m/>
    <m/>
  </r>
  <r>
    <s v="AF444TX"/>
    <s v="DL-170E28NCM51"/>
    <s v="6MC 3"/>
    <s v="6MC"/>
    <n v="0.25"/>
    <s v="Cambio Filtro Aire"/>
    <d v="2024-05-21T00:00:00"/>
    <n v="42190.455000000002"/>
    <n v="62190.455000000002"/>
    <n v="27560.459999999988"/>
    <n v="-7560.4599999999882"/>
    <n v="69750.914999999994"/>
    <n v="514"/>
    <n v="50.965294117647097"/>
    <n v="-141.00187152173791"/>
    <d v="2025-10-17T00:00:00"/>
    <n v="20000"/>
    <d v="2026-11-13T10:10:26"/>
    <d v="2026-11-13T00:00:00"/>
    <s v="noviembre"/>
    <s v="Activo"/>
    <m/>
    <m/>
    <s v="C002891"/>
    <s v="FILTRO DE AIRE (CARTUCHO) IVECO TECTOR (5801640991)"/>
    <n v="1"/>
    <n v="126126.58"/>
    <n v="126126.58"/>
    <x v="1"/>
    <m/>
    <m/>
    <m/>
  </r>
  <r>
    <s v="AF444TV"/>
    <s v="BX-170E28 MLC"/>
    <s v="6MC 3"/>
    <s v="6MC"/>
    <n v="0.25"/>
    <s v="Cambio Filtro Aire"/>
    <d v="2025-07-11T00:00:00"/>
    <n v="54917"/>
    <n v="74917"/>
    <n v="4571.7000000000007"/>
    <n v="15428.3"/>
    <n v="59488.7"/>
    <n v="98"/>
    <n v="49.3882592592593"/>
    <n v="330.72454448017152"/>
    <d v="2025-10-17T00:00:00"/>
    <n v="20000"/>
    <d v="2026-09-12T17:23:21"/>
    <d v="2026-09-12T00:00:00"/>
    <s v="septiembre"/>
    <s v="Activo"/>
    <m/>
    <m/>
    <s v="C002891"/>
    <s v="FILTRO DE AIRE (CARTUCHO) IVECO TECTOR (5801640991)"/>
    <n v="1"/>
    <n v="126126.58"/>
    <n v="126126.58"/>
    <x v="1"/>
    <m/>
    <m/>
    <m/>
  </r>
  <r>
    <s v="AF444TU"/>
    <s v="BX-170E28 MLC"/>
    <s v="6MC 3"/>
    <s v="6MC"/>
    <n v="0.25"/>
    <s v="Cambio Filtro Aire"/>
    <d v="2024-03-01T00:00:00"/>
    <n v="43619"/>
    <n v="63619"/>
    <n v="32217.59"/>
    <n v="-12217.59"/>
    <n v="75836.59"/>
    <n v="595"/>
    <n v="51.939962962962959"/>
    <n v="-225.63655599317011"/>
    <d v="2025-10-17T00:00:00"/>
    <n v="20000"/>
    <d v="2026-11-06T01:26:20"/>
    <d v="2026-11-06T00:00:00"/>
    <s v="noviembre"/>
    <s v="Activo"/>
    <m/>
    <m/>
    <s v="C002891"/>
    <s v="FILTRO DE AIRE (CARTUCHO) IVECO TECTOR (5801640991)"/>
    <n v="1"/>
    <n v="126126.58"/>
    <n v="126126.58"/>
    <x v="1"/>
    <m/>
    <m/>
    <m/>
  </r>
  <r>
    <s v="AF066NX"/>
    <s v="BX-170E28 MLC SIN EBS"/>
    <s v="6MC 3"/>
    <s v="6MC"/>
    <n v="0.25"/>
    <s v="Cambio Filtro Aire"/>
    <d v="2025-06-19T00:00:00"/>
    <n v="70636"/>
    <n v="90636"/>
    <n v="4770.7000000000007"/>
    <n v="15229.3"/>
    <n v="75406.7"/>
    <n v="120"/>
    <n v="48.072185185185191"/>
    <n v="383.07082818035082"/>
    <d v="2025-10-17T00:00:00"/>
    <n v="20000"/>
    <d v="2026-11-04T01:42:00"/>
    <d v="2026-11-04T00:00:00"/>
    <s v="noviembre"/>
    <s v="Activo"/>
    <m/>
    <m/>
    <s v="C002891"/>
    <s v="FILTRO DE AIRE (CARTUCHO) IVECO TECTOR (5801640991)"/>
    <n v="1"/>
    <n v="126126.58"/>
    <n v="126126.58"/>
    <x v="1"/>
    <m/>
    <m/>
    <m/>
  </r>
  <r>
    <s v="AF066NT"/>
    <s v="BX-170E28 MLC SIN EBS"/>
    <s v="6MC 3"/>
    <s v="6MC"/>
    <n v="0.25"/>
    <s v="Cambio Filtro Aire"/>
    <d v="2025-03-28T00:00:00"/>
    <n v="61556.800000000003"/>
    <n v="81556.800000000003"/>
    <n v="8960.2999999999975"/>
    <n v="11039.7"/>
    <n v="70517.100000000006"/>
    <n v="203"/>
    <n v="48.161180811808123"/>
    <n v="250.1098289119785"/>
    <d v="2025-10-17T00:00:00"/>
    <n v="20000"/>
    <d v="2026-06-24T02:38:09"/>
    <d v="2026-06-24T00:00:00"/>
    <s v="junio"/>
    <s v="Activo"/>
    <m/>
    <m/>
    <s v="C002891"/>
    <s v="FILTRO DE AIRE (CARTUCHO) IVECO TECTOR (5801640991)"/>
    <n v="1"/>
    <n v="126126.58"/>
    <n v="126126.58"/>
    <x v="1"/>
    <m/>
    <m/>
    <m/>
  </r>
  <r>
    <s v="AF066NS"/>
    <s v="DL-170E28NCM51 SIN EBS"/>
    <s v="6MC 3"/>
    <s v="6MC"/>
    <n v="0.25"/>
    <s v="Cambio Filtro Aire"/>
    <d v="2024-12-26T00:00:00"/>
    <n v="59747.1"/>
    <n v="79747.100000000006"/>
    <n v="13173.82"/>
    <n v="6826.1800000000039"/>
    <n v="72920.92"/>
    <n v="295"/>
    <n v="47.570444444444483"/>
    <n v="152.8579485676897"/>
    <d v="2025-10-17T00:00:00"/>
    <n v="20000"/>
    <d v="2026-03-18T20:35:27"/>
    <d v="2026-03-18T00:00:00"/>
    <s v="marzo"/>
    <s v="Activo"/>
    <m/>
    <m/>
    <s v="C002891"/>
    <s v="FILTRO DE AIRE (CARTUCHO) IVECO TECTOR (5801640991)"/>
    <n v="1"/>
    <n v="126126.58"/>
    <n v="126126.58"/>
    <x v="1"/>
    <m/>
    <m/>
    <m/>
  </r>
  <r>
    <s v="KNE956"/>
    <s v="AXOR 1933 S"/>
    <s v="2ML"/>
    <s v="2ML"/>
    <n v="0.75"/>
    <s v="Cambio De Aceite Y Filtro De Motor"/>
    <d v="2025-06-10T00:00:00"/>
    <n v="1516521"/>
    <n v="1546521"/>
    <n v="14102"/>
    <n v="15898"/>
    <n v="1530623"/>
    <n v="129"/>
    <n v="150.71646840148699"/>
    <n v="145.4291589845412"/>
    <d v="2025-10-17T00:00:00"/>
    <n v="30000"/>
    <d v="2026-03-11T10:17:59"/>
    <d v="2026-03-11T00:00:00"/>
    <s v="marzo"/>
    <s v="Activo"/>
    <m/>
    <m/>
    <s v="C000313"/>
    <s v="ACEITE 15W40 XV300 X 205LT (TAMBOR)"/>
    <n v="30"/>
    <n v="3389.9"/>
    <n v="101697"/>
    <x v="23"/>
    <m/>
    <m/>
    <m/>
  </r>
  <r>
    <s v="KNE956"/>
    <s v="AXOR 1933 S"/>
    <s v="2ML"/>
    <s v="2ML"/>
    <n v="0.75"/>
    <s v="Cambio De Aceite Y Filtro De Motor"/>
    <d v="2025-06-10T00:00:00"/>
    <n v="1516521"/>
    <n v="1546521"/>
    <n v="14102"/>
    <n v="15898"/>
    <n v="1530623"/>
    <n v="129"/>
    <n v="150.71646840148699"/>
    <n v="145.4291589845412"/>
    <d v="2025-10-17T00:00:00"/>
    <n v="30000"/>
    <d v="2026-03-11T10:17:59"/>
    <d v="2026-03-11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23"/>
    <m/>
    <m/>
    <m/>
  </r>
  <r>
    <s v="AF114FZ"/>
    <s v="ATEGO 1729-S36 CD TE"/>
    <s v="2ML"/>
    <s v="2ML"/>
    <n v="0.75"/>
    <s v="Cambio De Aceite Y Filtro De Motor"/>
    <d v="2025-09-23T00:00:00"/>
    <n v="452616"/>
    <n v="482616"/>
    <n v="2109"/>
    <n v="27891"/>
    <n v="454725"/>
    <n v="24"/>
    <n v="273.98136531365333"/>
    <n v="317.39402560455193"/>
    <d v="2025-10-17T00:00:00"/>
    <n v="30000"/>
    <d v="2026-08-30T09:27:24"/>
    <d v="2026-08-30T00:00:00"/>
    <s v="agosto"/>
    <s v="Activo"/>
    <m/>
    <m/>
    <s v="C000313"/>
    <s v="ACEITE 15W40 XV300 X 205LT (TAMBOR)"/>
    <n v="30"/>
    <n v="3389.9"/>
    <n v="101697"/>
    <x v="23"/>
    <m/>
    <m/>
    <m/>
  </r>
  <r>
    <s v="AF114FZ"/>
    <s v="ATEGO 1729-S36 CD TE"/>
    <s v="2ML"/>
    <s v="2ML"/>
    <n v="0.75"/>
    <s v="Cambio De Aceite Y Filtro De Motor"/>
    <d v="2025-09-23T00:00:00"/>
    <n v="452616"/>
    <n v="482616"/>
    <n v="2109"/>
    <n v="27891"/>
    <n v="454725"/>
    <n v="24"/>
    <n v="273.98136531365333"/>
    <n v="317.39402560455193"/>
    <d v="2025-10-17T00:00:00"/>
    <n v="30000"/>
    <d v="2026-08-30T09:27:24"/>
    <d v="2026-08-30T00:00:00"/>
    <s v="agosto"/>
    <s v="Activo"/>
    <m/>
    <m/>
    <s v="C002300"/>
    <s v="FILTRO DE ACEITE 6 CILINDROS MB 1725/1726/1933/1624L/1721 OF ELECTRONICO - MANN HU 945/2x"/>
    <n v="1"/>
    <n v="9737.2800000000007"/>
    <n v="9737.2800000000007"/>
    <x v="23"/>
    <m/>
    <m/>
    <m/>
  </r>
  <r>
    <s v="AF118QB"/>
    <s v="ATEGO 1729-S36 CD TE"/>
    <s v="2ML"/>
    <s v="2ML"/>
    <n v="0.75"/>
    <s v="Cambio De Aceite Y Filtro De Motor"/>
    <d v="2025-05-15T00:00:00"/>
    <n v="308369"/>
    <n v="338369"/>
    <n v="18849.799999999988"/>
    <n v="11150.20000000001"/>
    <n v="327218.8"/>
    <n v="155"/>
    <n v="189.65078066914509"/>
    <n v="91.686967500981538"/>
    <d v="2025-10-17T00:00:00"/>
    <n v="30000"/>
    <d v="2026-01-16T16:29:14"/>
    <d v="2026-01-16T00:00:00"/>
    <s v="enero"/>
    <s v="Activo"/>
    <m/>
    <m/>
    <s v="C000313"/>
    <s v="ACEITE 15W40 XV300 X 205LT (TAMBOR)"/>
    <n v="30"/>
    <n v="3389.9"/>
    <n v="101697"/>
    <x v="23"/>
    <m/>
    <m/>
    <m/>
  </r>
  <r>
    <s v="AF118QB"/>
    <s v="ATEGO 1729-S36 CD TE"/>
    <s v="2ML"/>
    <s v="2ML"/>
    <n v="0.75"/>
    <s v="Cambio De Aceite Y Filtro De Motor"/>
    <d v="2025-05-15T00:00:00"/>
    <n v="308369"/>
    <n v="338369"/>
    <n v="18849.799999999988"/>
    <n v="11150.20000000001"/>
    <n v="327218.8"/>
    <n v="155"/>
    <n v="189.65078066914509"/>
    <n v="91.686967500981538"/>
    <d v="2025-10-17T00:00:00"/>
    <n v="30000"/>
    <d v="2026-01-16T16:29:14"/>
    <d v="2026-01-16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23"/>
    <m/>
    <m/>
    <m/>
  </r>
  <r>
    <s v="AF743LB"/>
    <s v="ATEGO 1729 S36 CD TE"/>
    <s v="2ML"/>
    <s v="2ML"/>
    <n v="0.75"/>
    <s v="Cambio De Aceite Y Filtro De Motor"/>
    <d v="2025-09-12T00:00:00"/>
    <n v="350551"/>
    <n v="380551"/>
    <n v="5928.8000000000011"/>
    <n v="24071.200000000001"/>
    <n v="356479.8"/>
    <n v="35"/>
    <n v="252.63896296296281"/>
    <n v="142.10160572122521"/>
    <d v="2025-10-17T00:00:00"/>
    <n v="30000"/>
    <d v="2026-03-08T02:26:19"/>
    <d v="2026-03-08T00:00:00"/>
    <s v="marzo"/>
    <s v="Activo"/>
    <m/>
    <m/>
    <s v="C000313"/>
    <s v="ACEITE 15W40 XV300 X 205LT (TAMBOR)"/>
    <n v="30"/>
    <n v="3389.9"/>
    <n v="101697"/>
    <x v="23"/>
    <m/>
    <m/>
    <m/>
  </r>
  <r>
    <s v="AF743LB"/>
    <s v="ATEGO 1729 S36 CD TE"/>
    <s v="2ML"/>
    <s v="2ML"/>
    <n v="0.75"/>
    <s v="Cambio De Aceite Y Filtro De Motor"/>
    <d v="2025-09-12T00:00:00"/>
    <n v="350551"/>
    <n v="380551"/>
    <n v="5928.8000000000011"/>
    <n v="24071.200000000001"/>
    <n v="356479.8"/>
    <n v="35"/>
    <n v="252.63896296296281"/>
    <n v="142.10160572122521"/>
    <d v="2025-10-17T00:00:00"/>
    <n v="30000"/>
    <d v="2026-03-08T02:26:19"/>
    <d v="2026-03-08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23"/>
    <m/>
    <m/>
    <m/>
  </r>
  <r>
    <s v="AF804RD"/>
    <s v="ATEGO 1729 S36 CD TE"/>
    <s v="2ML"/>
    <s v="2ML"/>
    <n v="0.75"/>
    <s v="Cambio De Aceite Y Filtro De Motor"/>
    <d v="2025-05-06T00:00:00"/>
    <n v="54070.5"/>
    <n v="84070.5"/>
    <n v="14641.70000000001"/>
    <n v="15358.29999999999"/>
    <n v="68712.200000000012"/>
    <n v="164"/>
    <n v="78.920809061488711"/>
    <n v="172.02655429355869"/>
    <d v="2025-10-17T00:00:00"/>
    <n v="30000"/>
    <d v="2026-04-07T00:38:14"/>
    <d v="2026-04-07T00:00:00"/>
    <s v="abril"/>
    <s v="Activo"/>
    <m/>
    <m/>
    <s v="C000313"/>
    <s v="ACEITE 15W40 XV300 X 205LT (TAMBOR)"/>
    <n v="30"/>
    <n v="3389.9"/>
    <n v="101697"/>
    <x v="11"/>
    <m/>
    <m/>
    <m/>
  </r>
  <r>
    <s v="AF804RD"/>
    <s v="ATEGO 1729 S36 CD TE"/>
    <s v="2ML"/>
    <s v="2ML"/>
    <n v="0.75"/>
    <s v="Cambio De Aceite Y Filtro De Motor"/>
    <d v="2025-05-06T00:00:00"/>
    <n v="54070.5"/>
    <n v="84070.5"/>
    <n v="14641.70000000001"/>
    <n v="15358.29999999999"/>
    <n v="68712.200000000012"/>
    <n v="164"/>
    <n v="78.920809061488711"/>
    <n v="172.02655429355869"/>
    <d v="2025-10-17T00:00:00"/>
    <n v="30000"/>
    <d v="2026-04-07T00:38:14"/>
    <d v="2026-04-07T00:00:00"/>
    <s v="abril"/>
    <s v="Activo"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AG043HA"/>
    <s v="ATEGO 1729 S 36 CD TE"/>
    <s v="2ML"/>
    <s v="2ML"/>
    <n v="0.75"/>
    <s v="Cambio De Aceite Y Filtro De Motor"/>
    <d v="2025-04-17T00:00:00"/>
    <n v="52929.7"/>
    <n v="82929.7"/>
    <n v="13599.899999999991"/>
    <n v="16400.100000000009"/>
    <n v="66529.599999999991"/>
    <n v="183"/>
    <n v="74.356479400749095"/>
    <n v="220.6794388194032"/>
    <d v="2025-10-17T00:00:00"/>
    <n v="30000"/>
    <d v="2026-05-25T16:18:24"/>
    <d v="2026-05-25T00:00:00"/>
    <s v="mayo"/>
    <s v="Activo"/>
    <m/>
    <m/>
    <s v="C000313"/>
    <s v="ACEITE 15W40 XV300 X 205LT (TAMBOR)"/>
    <n v="30"/>
    <n v="3389.9"/>
    <n v="101697"/>
    <x v="11"/>
    <m/>
    <m/>
    <m/>
  </r>
  <r>
    <s v="AG043HA"/>
    <s v="ATEGO 1729 S 36 CD TE"/>
    <s v="2ML"/>
    <s v="2ML"/>
    <n v="0.75"/>
    <s v="Cambio De Aceite Y Filtro De Motor"/>
    <d v="2025-04-17T00:00:00"/>
    <n v="52929.7"/>
    <n v="82929.7"/>
    <n v="13599.899999999991"/>
    <n v="16400.100000000009"/>
    <n v="66529.599999999991"/>
    <n v="183"/>
    <n v="74.356479400749095"/>
    <n v="220.6794388194032"/>
    <d v="2025-10-17T00:00:00"/>
    <n v="30000"/>
    <d v="2026-05-25T16:18:24"/>
    <d v="2026-05-25T00:00:00"/>
    <s v="mayo"/>
    <s v="Activo"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AG017HW"/>
    <s v="ATEGO 1729 S 36 CD TE"/>
    <s v="2ML"/>
    <s v="2ML"/>
    <n v="0.75"/>
    <s v="Cambio De Aceite Y Filtro De Motor"/>
    <d v="2024-11-13T00:00:00"/>
    <n v="55539.8"/>
    <n v="85539.8"/>
    <n v="23943.03000000001"/>
    <n v="6056.9699999999939"/>
    <n v="79482.830000000016"/>
    <n v="338"/>
    <n v="78.134555555555551"/>
    <n v="85.505295695657452"/>
    <d v="2025-10-17T00:00:00"/>
    <n v="30000"/>
    <d v="2026-01-10T12:07:38"/>
    <d v="2026-01-10T00:00:00"/>
    <s v="enero"/>
    <s v="Activo"/>
    <m/>
    <m/>
    <s v="C000313"/>
    <s v="ACEITE 15W40 XV300 X 205LT (TAMBOR)"/>
    <n v="30"/>
    <n v="3389.9"/>
    <n v="101697"/>
    <x v="11"/>
    <m/>
    <m/>
    <m/>
  </r>
  <r>
    <s v="AG017HW"/>
    <s v="ATEGO 1729 S 36 CD TE"/>
    <s v="2ML"/>
    <s v="2ML"/>
    <n v="0.75"/>
    <s v="Cambio De Aceite Y Filtro De Motor"/>
    <d v="2024-11-13T00:00:00"/>
    <n v="55539.8"/>
    <n v="85539.8"/>
    <n v="23943.03000000001"/>
    <n v="6056.9699999999939"/>
    <n v="79482.830000000016"/>
    <n v="338"/>
    <n v="78.134555555555551"/>
    <n v="85.505295695657452"/>
    <d v="2025-10-17T00:00:00"/>
    <n v="30000"/>
    <d v="2026-01-10T12:07:38"/>
    <d v="2026-01-10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AG204ZQ"/>
    <s v="ATEGO 1729-S36 CD TE"/>
    <s v="2ML"/>
    <s v="2ML"/>
    <n v="0.75"/>
    <s v="Cambio De Aceite Y Filtro De Motor"/>
    <s v="-"/>
    <m/>
    <m/>
    <m/>
    <m/>
    <m/>
    <m/>
    <n v="112.049667896679"/>
    <m/>
    <d v="2025-10-17T00:00:00"/>
    <n v="30000"/>
    <d v="2026-07-11T17:43:19"/>
    <d v="2026-07-11T00:00:00"/>
    <s v="julio"/>
    <s v="Activo"/>
    <m/>
    <m/>
    <s v="C000313"/>
    <s v="ACEITE 15W40 XV300 X 205LT (TAMBOR)"/>
    <n v="30"/>
    <n v="3389.9"/>
    <n v="101697"/>
    <x v="11"/>
    <m/>
    <m/>
    <m/>
  </r>
  <r>
    <s v="AG204ZQ"/>
    <s v="ATEGO 1729-S36 CD TE"/>
    <s v="2ML"/>
    <s v="2ML"/>
    <n v="0.75"/>
    <s v="Cambio De Aceite Y Filtro De Motor"/>
    <s v="-"/>
    <m/>
    <m/>
    <m/>
    <m/>
    <m/>
    <m/>
    <n v="112.049667896679"/>
    <m/>
    <d v="2025-10-17T00:00:00"/>
    <n v="30000"/>
    <d v="2026-07-11T17:43:19"/>
    <d v="2026-07-11T00:00:00"/>
    <s v="julio"/>
    <s v="Activo"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AE787OQ"/>
    <s v="Atego 1729 S"/>
    <s v="2ML"/>
    <s v="2ML"/>
    <n v="0.75"/>
    <s v="Cambio De Aceite Y Filtro De Motor"/>
    <d v="2025-09-02T00:00:00"/>
    <n v="542619"/>
    <n v="572619"/>
    <n v="9864.5000000000018"/>
    <n v="20135.5"/>
    <n v="552483.5"/>
    <n v="45"/>
    <n v="844.57346863468638"/>
    <n v="91.85437680571745"/>
    <d v="2025-10-17T00:00:00"/>
    <n v="30000"/>
    <d v="2026-01-16T20:30:18"/>
    <d v="2026-01-16T00:00:00"/>
    <s v="enero"/>
    <s v="Activo"/>
    <m/>
    <m/>
    <s v="C000313"/>
    <s v="ACEITE 15W40 XV300 X 205LT (TAMBOR)"/>
    <n v="30"/>
    <n v="3389.9"/>
    <n v="101697"/>
    <x v="18"/>
    <m/>
    <m/>
    <m/>
  </r>
  <r>
    <s v="AE787OQ"/>
    <s v="Atego 1729 S"/>
    <s v="2ML"/>
    <s v="2ML"/>
    <n v="0.75"/>
    <s v="Cambio De Aceite Y Filtro De Motor"/>
    <d v="2025-09-02T00:00:00"/>
    <n v="542619"/>
    <n v="572619"/>
    <n v="9864.5000000000018"/>
    <n v="20135.5"/>
    <n v="552483.5"/>
    <n v="45"/>
    <n v="844.57346863468638"/>
    <n v="91.85437680571745"/>
    <d v="2025-10-17T00:00:00"/>
    <n v="30000"/>
    <d v="2026-01-16T20:30:18"/>
    <d v="2026-01-16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AF118QA"/>
    <s v="ATEGO 1729-S36 CD TE"/>
    <s v="2ML"/>
    <s v="2ML"/>
    <n v="0.75"/>
    <s v="Cambio De Aceite Y Filtro De Motor"/>
    <d v="2025-01-13T00:00:00"/>
    <n v="26955.5"/>
    <n v="56955.5"/>
    <n v="25182.46000000001"/>
    <n v="4817.53999999999"/>
    <n v="52137.960000000006"/>
    <n v="277"/>
    <n v="102.90352941176479"/>
    <n v="52.991589384039401"/>
    <d v="2025-10-17T00:00:00"/>
    <n v="30000"/>
    <d v="2026-09-26T12:38:34"/>
    <d v="2026-09-26T00:00:00"/>
    <s v="septiembre"/>
    <s v="Activo"/>
    <m/>
    <m/>
    <s v="C000313"/>
    <s v="ACEITE 15W40 XV300 X 205LT (TAMBOR)"/>
    <n v="30"/>
    <n v="3389.9"/>
    <n v="101697"/>
    <x v="18"/>
    <m/>
    <m/>
    <m/>
  </r>
  <r>
    <s v="AF118QA"/>
    <s v="ATEGO 1729-S36 CD TE"/>
    <s v="2ML"/>
    <s v="2ML"/>
    <n v="0.75"/>
    <s v="Cambio De Aceite Y Filtro De Motor"/>
    <d v="2025-01-13T00:00:00"/>
    <n v="26955.5"/>
    <n v="56955.5"/>
    <n v="25182.46000000001"/>
    <n v="4817.53999999999"/>
    <n v="52137.960000000006"/>
    <n v="277"/>
    <n v="102.90352941176479"/>
    <n v="52.991589384039401"/>
    <d v="2025-10-17T00:00:00"/>
    <n v="30000"/>
    <d v="2026-09-26T12:38:34"/>
    <d v="2026-09-26T00:00:00"/>
    <s v="septiembre"/>
    <s v="Activo"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AF148MS"/>
    <s v="AXOR 1933 S"/>
    <s v="2ML"/>
    <s v="2ML"/>
    <n v="0.75"/>
    <s v="Cambio De Aceite Y Filtro De Motor"/>
    <d v="2025-08-20T00:00:00"/>
    <n v="401776"/>
    <n v="431776"/>
    <n v="11957.5"/>
    <n v="18042.5"/>
    <n v="413733.5"/>
    <n v="58"/>
    <n v="328.18794117647042"/>
    <n v="87.515366924524358"/>
    <d v="2025-10-17T00:00:00"/>
    <n v="30000"/>
    <d v="2026-01-12T12:22:08"/>
    <d v="2026-01-12T00:00:00"/>
    <s v="enero"/>
    <s v="Activo"/>
    <m/>
    <m/>
    <s v="C000313"/>
    <s v="ACEITE 15W40 XV300 X 205LT (TAMBOR)"/>
    <n v="30"/>
    <n v="3389.9"/>
    <n v="101697"/>
    <x v="18"/>
    <m/>
    <m/>
    <m/>
  </r>
  <r>
    <s v="AF148MS"/>
    <s v="AXOR 1933 S"/>
    <s v="2ML"/>
    <s v="2ML"/>
    <n v="0.75"/>
    <s v="Cambio De Aceite Y Filtro De Motor"/>
    <d v="2025-08-20T00:00:00"/>
    <n v="401776"/>
    <n v="431776"/>
    <n v="11957.5"/>
    <n v="18042.5"/>
    <n v="413733.5"/>
    <n v="58"/>
    <n v="328.18794117647042"/>
    <n v="87.515366924524358"/>
    <d v="2025-10-17T00:00:00"/>
    <n v="30000"/>
    <d v="2026-01-12T12:22:08"/>
    <d v="2026-01-12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AG238NS"/>
    <s v="ATEGO 1729-S36 CD TE"/>
    <s v="2ML"/>
    <s v="2ML"/>
    <n v="0.75"/>
    <s v="Cambio De Aceite Y Filtro De Motor"/>
    <d v="2025-07-31T00:00:00"/>
    <n v="165086"/>
    <n v="195086"/>
    <n v="12624.7"/>
    <n v="17375.3"/>
    <n v="177710.7"/>
    <n v="78"/>
    <n v="266.23473282442751"/>
    <n v="107.3509390322146"/>
    <d v="2025-10-17T00:00:00"/>
    <n v="30000"/>
    <d v="2026-02-01T08:25:21"/>
    <d v="2026-02-01T00:00:00"/>
    <s v="febrero"/>
    <s v="Activo"/>
    <m/>
    <m/>
    <s v="C000313"/>
    <s v="ACEITE 15W40 XV300 X 205LT (TAMBOR)"/>
    <n v="30"/>
    <n v="3389.9"/>
    <n v="101697"/>
    <x v="18"/>
    <m/>
    <m/>
    <m/>
  </r>
  <r>
    <s v="AG238NS"/>
    <s v="ATEGO 1729-S36 CD TE"/>
    <s v="2ML"/>
    <s v="2ML"/>
    <n v="0.75"/>
    <s v="Cambio De Aceite Y Filtro De Motor"/>
    <d v="2025-07-31T00:00:00"/>
    <n v="165086"/>
    <n v="195086"/>
    <n v="12624.7"/>
    <n v="17375.3"/>
    <n v="177710.7"/>
    <n v="78"/>
    <n v="266.23473282442751"/>
    <n v="107.3509390322146"/>
    <d v="2025-10-17T00:00:00"/>
    <n v="30000"/>
    <d v="2026-02-01T08:25:21"/>
    <d v="2026-02-01T00:00:00"/>
    <s v="febrero"/>
    <s v="Activo"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AG269WH"/>
    <s v="ATEGO 1729-S36 CD TE"/>
    <s v="2ML"/>
    <s v="2ML"/>
    <n v="0.75"/>
    <s v="Cambio De Aceite Y Filtro De Motor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3-02T16:28:33"/>
    <d v="2026-03-02T00:00:00"/>
    <s v="marzo"/>
    <s v="Activo"/>
    <m/>
    <m/>
    <s v="C000313"/>
    <s v="ACEITE 15W40 XV300 X 205LT (TAMBOR)"/>
    <n v="30"/>
    <n v="3389.9"/>
    <n v="101697"/>
    <x v="18"/>
    <m/>
    <m/>
    <m/>
  </r>
  <r>
    <s v="AG269WH"/>
    <s v="ATEGO 1729-S36 CD TE"/>
    <s v="2ML"/>
    <s v="2ML"/>
    <n v="0.75"/>
    <s v="Cambio De Aceite Y Filtro De Motor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3-02T16:28:33"/>
    <d v="2026-03-02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KJH882"/>
    <s v="AXOR 1933 S"/>
    <s v="2ML"/>
    <s v="2ML"/>
    <n v="0.75"/>
    <s v="Cambio De Aceite Y Filtro De Motor"/>
    <d v="2025-06-02T00:00:00"/>
    <n v="367233"/>
    <n v="397233"/>
    <n v="10569.3"/>
    <n v="19430.7"/>
    <n v="377802.3"/>
    <n v="137"/>
    <n v="68.452272727272742"/>
    <n v="251.8620816894213"/>
    <d v="2025-10-17T00:00:00"/>
    <n v="30000"/>
    <d v="2026-06-25T20:41:24"/>
    <d v="2026-06-25T00:00:00"/>
    <s v="junio"/>
    <s v="Activo"/>
    <m/>
    <m/>
    <s v="C000313"/>
    <s v="ACEITE 15W40 XV300 X 205LT (TAMBOR)"/>
    <n v="30"/>
    <n v="3389.9"/>
    <n v="101697"/>
    <x v="11"/>
    <m/>
    <m/>
    <m/>
  </r>
  <r>
    <s v="KJH882"/>
    <s v="AXOR 1933 S"/>
    <s v="2ML"/>
    <s v="2ML"/>
    <n v="0.75"/>
    <s v="Cambio De Aceite Y Filtro De Motor"/>
    <d v="2025-06-02T00:00:00"/>
    <n v="367233"/>
    <n v="397233"/>
    <n v="10569.3"/>
    <n v="19430.7"/>
    <n v="377802.3"/>
    <n v="137"/>
    <n v="68.452272727272742"/>
    <n v="251.8620816894213"/>
    <d v="2025-10-17T00:00:00"/>
    <n v="30000"/>
    <d v="2026-06-25T20:41:24"/>
    <d v="2026-06-25T00:00:00"/>
    <s v="junio"/>
    <s v="Activo"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KIP032"/>
    <s v="ATEGO 1725-S36"/>
    <s v="2ML"/>
    <s v="2ML"/>
    <n v="0.75"/>
    <s v="Cambio De Aceite Y Filtro De Motor"/>
    <d v="2025-09-18T00:00:00"/>
    <n v="41172.300000000003"/>
    <n v="71172.3"/>
    <n v="0"/>
    <n v="30000"/>
    <n v="41172.300000000003"/>
    <n v="29"/>
    <n v="24.119335793357951"/>
    <n v="300"/>
    <d v="2025-10-17T00:00:00"/>
    <n v="30000"/>
    <d v="2026-08-13T00:00:00"/>
    <d v="2026-08-13T00:00:00"/>
    <s v="agosto"/>
    <s v="Activo"/>
    <m/>
    <m/>
    <s v="C000313"/>
    <s v="ACEITE 15W40 XV300 X 205LT (TAMBOR)"/>
    <n v="30"/>
    <n v="3389.9"/>
    <n v="101697"/>
    <x v="15"/>
    <m/>
    <m/>
    <m/>
  </r>
  <r>
    <s v="KIP032"/>
    <s v="ATEGO 1725-S36"/>
    <s v="2ML"/>
    <s v="2ML"/>
    <n v="0.75"/>
    <s v="Cambio De Aceite Y Filtro De Motor"/>
    <d v="2025-09-18T00:00:00"/>
    <n v="41172.300000000003"/>
    <n v="71172.3"/>
    <n v="0"/>
    <n v="30000"/>
    <n v="41172.300000000003"/>
    <n v="29"/>
    <n v="24.119335793357951"/>
    <n v="300"/>
    <d v="2025-10-17T00:00:00"/>
    <n v="30000"/>
    <d v="2026-08-13T00:00:00"/>
    <d v="2026-08-13T00:00:00"/>
    <s v="agosto"/>
    <s v="Activo"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IDX164"/>
    <s v="AXOR 1933 S"/>
    <s v="2ML"/>
    <s v="2ML"/>
    <n v="0.75"/>
    <s v="Cambio De Aceite Y Filtro De Motor"/>
    <d v="2025-08-28T00:00:00"/>
    <n v="1944647"/>
    <n v="1974647"/>
    <n v="11028.1"/>
    <n v="18971.900000000001"/>
    <n v="1955675.1"/>
    <n v="50"/>
    <n v="1849.550539936103"/>
    <n v="86.016176857300891"/>
    <d v="2025-10-17T00:00:00"/>
    <n v="30000"/>
    <d v="2026-01-11T00:23:18"/>
    <d v="2026-01-11T00:00:00"/>
    <s v="enero"/>
    <s v="Activo"/>
    <m/>
    <m/>
    <s v="C000313"/>
    <s v="ACEITE 15W40 XV300 X 205LT (TAMBOR)"/>
    <n v="30"/>
    <n v="3389.9"/>
    <n v="101697"/>
    <x v="15"/>
    <m/>
    <m/>
    <m/>
  </r>
  <r>
    <s v="IDX164"/>
    <s v="AXOR 1933 S"/>
    <s v="2ML"/>
    <s v="2ML"/>
    <n v="0.75"/>
    <s v="Cambio De Aceite Y Filtro De Motor"/>
    <d v="2025-08-28T00:00:00"/>
    <n v="1944647"/>
    <n v="1974647"/>
    <n v="11028.1"/>
    <n v="18971.900000000001"/>
    <n v="1955675.1"/>
    <n v="50"/>
    <n v="1849.550539936103"/>
    <n v="86.016176857300891"/>
    <d v="2025-10-17T00:00:00"/>
    <n v="30000"/>
    <d v="2026-01-11T00:23:18"/>
    <d v="2026-01-11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IDX165"/>
    <s v="AXOR 1933 S"/>
    <s v="2ML"/>
    <s v="2ML"/>
    <n v="0.75"/>
    <s v="Cambio De Aceite Y Filtro De Motor"/>
    <d v="2024-07-05T00:00:00"/>
    <n v="901266"/>
    <n v="931266"/>
    <n v="56774.349999999977"/>
    <n v="-26774.34999999998"/>
    <n v="958040.35"/>
    <n v="469"/>
    <n v="126.37693548387099"/>
    <n v="-221.17681928546949"/>
    <d v="2025-10-17T00:00:00"/>
    <n v="30000"/>
    <d v="2026-06-11T09:14:32"/>
    <d v="2026-06-11T00:00:00"/>
    <s v="junio"/>
    <s v="Activo"/>
    <m/>
    <m/>
    <s v="C000313"/>
    <s v="ACEITE 15W40 XV300 X 205LT (TAMBOR)"/>
    <n v="30"/>
    <n v="3389.9"/>
    <n v="101697"/>
    <x v="4"/>
    <m/>
    <m/>
    <m/>
  </r>
  <r>
    <s v="IDX165"/>
    <s v="AXOR 1933 S"/>
    <s v="2ML"/>
    <s v="2ML"/>
    <n v="0.75"/>
    <s v="Cambio De Aceite Y Filtro De Motor"/>
    <d v="2024-07-05T00:00:00"/>
    <n v="901266"/>
    <n v="931266"/>
    <n v="56774.349999999977"/>
    <n v="-26774.34999999998"/>
    <n v="958040.35"/>
    <n v="469"/>
    <n v="126.37693548387099"/>
    <n v="-221.17681928546949"/>
    <d v="2025-10-17T00:00:00"/>
    <n v="30000"/>
    <d v="2026-06-11T09:14:32"/>
    <d v="2026-06-11T00:00:00"/>
    <s v="junio"/>
    <s v="Activo"/>
    <m/>
    <m/>
    <s v="C002300"/>
    <s v="FILTRO DE ACEITE 6 CILINDROS MB 1725/1726/1933/1624L/1721 OF ELECTRONICO - MANN HU 945/2x"/>
    <n v="1"/>
    <n v="9737.2800000000007"/>
    <n v="9737.2800000000007"/>
    <x v="4"/>
    <m/>
    <m/>
    <m/>
  </r>
  <r>
    <s v="JIU311"/>
    <s v="AXOR 1933 S"/>
    <s v="2ML"/>
    <s v="2ML"/>
    <n v="0.75"/>
    <s v="Cambio De Aceite Y Filtro De Motor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1-23T23:37:48"/>
    <d v="2026-01-23T00:00:00"/>
    <s v="enero"/>
    <s v="Activo"/>
    <m/>
    <m/>
    <s v="C000313"/>
    <s v="ACEITE 15W40 XV300 X 205LT (TAMBOR)"/>
    <n v="30"/>
    <n v="3389.9"/>
    <n v="101697"/>
    <x v="15"/>
    <m/>
    <m/>
    <m/>
  </r>
  <r>
    <s v="JIU311"/>
    <s v="AXOR 1933 S"/>
    <s v="2ML"/>
    <s v="2ML"/>
    <n v="0.75"/>
    <s v="Cambio De Aceite Y Filtro De Motor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1-23T23:37:48"/>
    <d v="2026-01-23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KBO542"/>
    <s v="AXOR 1933 S"/>
    <s v="2ML"/>
    <s v="2ML"/>
    <n v="0.75"/>
    <s v="Cambio De Aceite Y Filtro De Motor"/>
    <d v="2025-08-11T00:00:00"/>
    <n v="1839556"/>
    <n v="1869556"/>
    <n v="11612.7"/>
    <n v="18387.3"/>
    <n v="1851168.7"/>
    <n v="67"/>
    <n v="155.41622516556279"/>
    <n v="106.0863623446744"/>
    <d v="2025-10-17T00:00:00"/>
    <n v="30000"/>
    <d v="2026-01-31T02:04:22"/>
    <d v="2026-01-31T00:00:00"/>
    <s v="enero"/>
    <s v="Activo"/>
    <m/>
    <m/>
    <s v="C000313"/>
    <s v="ACEITE 15W40 XV300 X 205LT (TAMBOR)"/>
    <n v="30"/>
    <n v="3389.9"/>
    <n v="101697"/>
    <x v="15"/>
    <m/>
    <m/>
    <m/>
  </r>
  <r>
    <s v="KBO542"/>
    <s v="AXOR 1933 S"/>
    <s v="2ML"/>
    <s v="2ML"/>
    <n v="0.75"/>
    <s v="Cambio De Aceite Y Filtro De Motor"/>
    <d v="2025-08-11T00:00:00"/>
    <n v="1839556"/>
    <n v="1869556"/>
    <n v="11612.7"/>
    <n v="18387.3"/>
    <n v="1851168.7"/>
    <n v="67"/>
    <n v="155.41622516556279"/>
    <n v="106.0863623446744"/>
    <d v="2025-10-17T00:00:00"/>
    <n v="30000"/>
    <d v="2026-01-31T02:04:22"/>
    <d v="2026-01-31T00:00:00"/>
    <s v="enero"/>
    <s v="Activo"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KUF609"/>
    <s v="AXOR 1933-36 S"/>
    <s v="2ML"/>
    <s v="2ML"/>
    <n v="0.75"/>
    <s v="Cambio De Aceite Y Filtro De Motor"/>
    <d v="2025-09-22T00:00:00"/>
    <n v="1817011"/>
    <n v="1847011"/>
    <n v="3227.7"/>
    <n v="26772.3"/>
    <n v="1820238.7"/>
    <n v="25"/>
    <n v="289.98935849056602"/>
    <n v="207.3636025652942"/>
    <d v="2025-10-17T00:00:00"/>
    <n v="30000"/>
    <d v="2026-05-12T08:43:35"/>
    <d v="2026-05-12T00:00:00"/>
    <s v="mayo"/>
    <s v="Activo"/>
    <m/>
    <m/>
    <s v="C000313"/>
    <s v="ACEITE 15W40 XV300 X 205LT (TAMBOR)"/>
    <n v="30"/>
    <n v="3389.9"/>
    <n v="101697"/>
    <x v="15"/>
    <m/>
    <m/>
    <m/>
  </r>
  <r>
    <s v="KUF609"/>
    <s v="AXOR 1933-36 S"/>
    <s v="2ML"/>
    <s v="2ML"/>
    <n v="0.75"/>
    <s v="Cambio De Aceite Y Filtro De Motor"/>
    <d v="2025-09-22T00:00:00"/>
    <n v="1817011"/>
    <n v="1847011"/>
    <n v="3227.7"/>
    <n v="26772.3"/>
    <n v="1820238.7"/>
    <n v="25"/>
    <n v="289.98935849056602"/>
    <n v="207.3636025652942"/>
    <d v="2025-10-17T00:00:00"/>
    <n v="30000"/>
    <d v="2026-05-12T08:43:35"/>
    <d v="2026-05-12T00:00:00"/>
    <s v="mayo"/>
    <s v="Activo"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IDX163"/>
    <s v="AXOR 1933 S"/>
    <s v="2ML"/>
    <s v="2ML"/>
    <n v="0.75"/>
    <s v="Cambio De Aceite Y Filtro De Motor"/>
    <d v="2025-04-16T00:00:00"/>
    <n v="1556403"/>
    <n v="1586403"/>
    <n v="17285.8"/>
    <n v="12714.2"/>
    <n v="1573688.8"/>
    <n v="184"/>
    <n v="81.249174917491729"/>
    <n v="135.33725948466369"/>
    <d v="2025-10-17T00:00:00"/>
    <n v="30000"/>
    <d v="2026-03-01T08:05:39"/>
    <d v="2026-03-01T00:00:00"/>
    <s v="marzo"/>
    <s v="Activo"/>
    <m/>
    <m/>
    <s v="C000313"/>
    <s v="ACEITE 15W40 XV300 X 205LT (TAMBOR)"/>
    <n v="30"/>
    <n v="3389.9"/>
    <n v="101697"/>
    <x v="5"/>
    <m/>
    <m/>
    <m/>
  </r>
  <r>
    <s v="IDX163"/>
    <s v="AXOR 1933 S"/>
    <s v="2ML"/>
    <s v="2ML"/>
    <n v="0.75"/>
    <s v="Cambio De Aceite Y Filtro De Motor"/>
    <d v="2025-04-16T00:00:00"/>
    <n v="1556403"/>
    <n v="1586403"/>
    <n v="17285.8"/>
    <n v="12714.2"/>
    <n v="1573688.8"/>
    <n v="184"/>
    <n v="81.249174917491729"/>
    <n v="135.33725948466369"/>
    <d v="2025-10-17T00:00:00"/>
    <n v="30000"/>
    <d v="2026-03-01T08:05:39"/>
    <d v="2026-03-01T00:00:00"/>
    <s v="marzo"/>
    <s v="Activo"/>
    <m/>
    <m/>
    <s v="C002300"/>
    <s v="FILTRO DE ACEITE 6 CILINDROS MB 1725/1726/1933/1624L/1721 OF ELECTRONICO - MANN HU 945/2x"/>
    <n v="1"/>
    <n v="9737.2800000000007"/>
    <n v="9737.2800000000007"/>
    <x v="5"/>
    <m/>
    <m/>
    <m/>
  </r>
  <r>
    <s v="KJH885"/>
    <s v="AXOR 1933 S"/>
    <s v="2ML"/>
    <s v="2ML"/>
    <n v="0.75"/>
    <s v="Cambio De Aceite Y Filtro De Motor"/>
    <d v="2025-07-21T00:00:00"/>
    <n v="1612281"/>
    <n v="1642281"/>
    <n v="5237.8999999999996"/>
    <n v="24762.1"/>
    <n v="1617518.9"/>
    <n v="88"/>
    <n v="69.384019292604506"/>
    <n v="416.0187861547567"/>
    <d v="2025-10-17T00:00:00"/>
    <n v="30000"/>
    <d v="2026-12-07T00:27:03"/>
    <d v="2026-12-07T00:00:00"/>
    <s v="diciembre"/>
    <s v="Activo"/>
    <m/>
    <m/>
    <s v="C000313"/>
    <s v="ACEITE 15W40 XV300 X 205LT (TAMBOR)"/>
    <n v="30"/>
    <n v="3389.9"/>
    <n v="101697"/>
    <x v="11"/>
    <m/>
    <m/>
    <m/>
  </r>
  <r>
    <s v="KJH885"/>
    <s v="AXOR 1933 S"/>
    <s v="2ML"/>
    <s v="2ML"/>
    <n v="0.75"/>
    <s v="Cambio De Aceite Y Filtro De Motor"/>
    <d v="2025-07-21T00:00:00"/>
    <n v="1612281"/>
    <n v="1642281"/>
    <n v="5237.8999999999996"/>
    <n v="24762.1"/>
    <n v="1617518.9"/>
    <n v="88"/>
    <n v="69.384019292604506"/>
    <n v="416.0187861547567"/>
    <d v="2025-10-17T00:00:00"/>
    <n v="30000"/>
    <d v="2026-12-07T00:27:03"/>
    <d v="2026-12-07T00:00:00"/>
    <s v="diciembre"/>
    <s v="Activo"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AG300AR"/>
    <s v="ATEGO 1729-S36 CD TE"/>
    <s v="2ML"/>
    <s v="2ML"/>
    <n v="0.75"/>
    <s v="Cambio De Aceite Y Filtro De Motor"/>
    <d v="2025-05-22T00:00:00"/>
    <n v="34072.6"/>
    <n v="64072.6"/>
    <n v="9725.4000000000015"/>
    <n v="20274.599999999999"/>
    <n v="43798"/>
    <n v="148"/>
    <n v="61.669847328244273"/>
    <n v="308.53649207230552"/>
    <d v="2025-10-17T00:00:00"/>
    <n v="30000"/>
    <d v="2026-08-21T12:52:33"/>
    <d v="2026-08-21T00:00:00"/>
    <s v="agosto"/>
    <s v="Activo"/>
    <m/>
    <m/>
    <s v="C000313"/>
    <s v="ACEITE 15W40 XV300 X 205LT (TAMBOR)"/>
    <n v="30"/>
    <n v="3389.9"/>
    <n v="101697"/>
    <x v="11"/>
    <m/>
    <m/>
    <m/>
  </r>
  <r>
    <s v="AG300AR"/>
    <s v="ATEGO 1729-S36 CD TE"/>
    <s v="2ML"/>
    <s v="2ML"/>
    <n v="0.75"/>
    <s v="Cambio De Aceite Y Filtro De Motor"/>
    <d v="2025-05-22T00:00:00"/>
    <n v="34072.6"/>
    <n v="64072.6"/>
    <n v="9725.4000000000015"/>
    <n v="20274.599999999999"/>
    <n v="43798"/>
    <n v="148"/>
    <n v="61.669847328244273"/>
    <n v="308.53649207230552"/>
    <d v="2025-10-17T00:00:00"/>
    <n v="30000"/>
    <d v="2026-08-21T12:52:33"/>
    <d v="2026-08-21T00:00:00"/>
    <s v="agosto"/>
    <s v="Activo"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AD426HT"/>
    <s v="AXOR 2541 LS"/>
    <s v="2ML 1"/>
    <s v="2ML"/>
    <n v="0.75"/>
    <s v="Cambio De Aceite Y Filtro De Motor"/>
    <d v="2025-09-10T00:00:00"/>
    <n v="710185"/>
    <n v="740185"/>
    <n v="5358.4999999999991"/>
    <n v="24641.5"/>
    <n v="715543.5"/>
    <n v="37"/>
    <n v="276.33435114503811"/>
    <n v="170.14752262760101"/>
    <d v="2025-10-17T00:00:00"/>
    <n v="30000"/>
    <d v="2026-04-05T03:32:26"/>
    <d v="2026-04-05T00:00:00"/>
    <s v="abril"/>
    <s v="Activo"/>
    <m/>
    <m/>
    <s v="C000313"/>
    <s v="ACEITE 15W40 XV300 X 205LT (TAMBOR)"/>
    <n v="39"/>
    <n v="3389.9"/>
    <n v="132206.1"/>
    <x v="23"/>
    <m/>
    <m/>
    <m/>
  </r>
  <r>
    <s v="AD426HT"/>
    <s v="AXOR 2541 LS"/>
    <s v="2ML 1"/>
    <s v="2ML"/>
    <n v="0.75"/>
    <s v="Cambio De Aceite Y Filtro De Motor"/>
    <d v="2025-09-10T00:00:00"/>
    <n v="710185"/>
    <n v="740185"/>
    <n v="5358.4999999999991"/>
    <n v="24641.5"/>
    <n v="715543.5"/>
    <n v="37"/>
    <n v="276.33435114503811"/>
    <n v="170.14752262760101"/>
    <d v="2025-10-17T00:00:00"/>
    <n v="30000"/>
    <d v="2026-04-05T03:32:26"/>
    <d v="2026-04-05T00:00:00"/>
    <s v="abril"/>
    <s v="Activo"/>
    <m/>
    <m/>
    <s v="C002303"/>
    <s v="FILTRO DE ACEITE MB AXOR 2036/2035 - MANN HU 12 110X"/>
    <n v="1"/>
    <n v="22064.98"/>
    <n v="22064.98"/>
    <x v="23"/>
    <m/>
    <m/>
    <m/>
  </r>
  <r>
    <s v="AD426HW"/>
    <s v="AXOR 2541 LS"/>
    <s v="2ML 1"/>
    <s v="2ML"/>
    <n v="0.75"/>
    <s v="Cambio De Aceite Y Filtro De Motor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4-03T22:18:45"/>
    <d v="2026-04-03T00:00:00"/>
    <s v="abril"/>
    <s v="Activo"/>
    <m/>
    <m/>
    <s v="C000313"/>
    <s v="ACEITE 15W40 XV300 X 205LT (TAMBOR)"/>
    <n v="39"/>
    <n v="3389.9"/>
    <n v="132206.1"/>
    <x v="23"/>
    <m/>
    <m/>
    <m/>
  </r>
  <r>
    <s v="AD426HW"/>
    <s v="AXOR 2541 LS"/>
    <s v="2ML 1"/>
    <s v="2ML"/>
    <n v="0.75"/>
    <s v="Cambio De Aceite Y Filtro De Motor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4-03T22:18:45"/>
    <d v="2026-04-03T00:00:00"/>
    <s v="abril"/>
    <s v="Activo"/>
    <m/>
    <m/>
    <s v="C002303"/>
    <s v="FILTRO DE ACEITE MB AXOR 2036/2035 - MANN HU 12 110X"/>
    <n v="1"/>
    <n v="22064.98"/>
    <n v="22064.98"/>
    <x v="23"/>
    <m/>
    <m/>
    <m/>
  </r>
  <r>
    <s v="AD426HZ"/>
    <s v="AXOR 2541 LS"/>
    <s v="2ML 1"/>
    <s v="2ML"/>
    <n v="0.75"/>
    <s v="Cambio De Aceite Y Filtro De Motor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2-08T02:46:06"/>
    <d v="2026-02-08T00:00:00"/>
    <s v="febrero"/>
    <s v="Activo"/>
    <m/>
    <m/>
    <s v="C000313"/>
    <s v="ACEITE 15W40 XV300 X 205LT (TAMBOR)"/>
    <n v="39"/>
    <n v="3389.9"/>
    <n v="132206.1"/>
    <x v="23"/>
    <m/>
    <m/>
    <m/>
  </r>
  <r>
    <s v="AD426HZ"/>
    <s v="AXOR 2541 LS"/>
    <s v="2ML 1"/>
    <s v="2ML"/>
    <n v="0.75"/>
    <s v="Cambio De Aceite Y Filtro De Motor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2-08T02:46:06"/>
    <d v="2026-02-08T00:00:00"/>
    <s v="febrero"/>
    <s v="Activo"/>
    <m/>
    <m/>
    <s v="C002303"/>
    <s v="FILTRO DE ACEITE MB AXOR 2036/2035 - MANN HU 12 110X"/>
    <n v="1"/>
    <n v="22064.98"/>
    <n v="22064.98"/>
    <x v="23"/>
    <m/>
    <m/>
    <m/>
  </r>
  <r>
    <s v="AD426HY"/>
    <s v="AXOR 2541 LS"/>
    <s v="2ML 1"/>
    <s v="2ML"/>
    <n v="0.75"/>
    <s v="Cambio De Aceite Y Filtro De Motor"/>
    <d v="2025-07-28T00:00:00"/>
    <n v="685467"/>
    <n v="715467"/>
    <n v="14311.7"/>
    <n v="15688.3"/>
    <n v="699778.7"/>
    <n v="81"/>
    <n v="266.81618518518519"/>
    <n v="88.79114989833495"/>
    <d v="2025-10-17T00:00:00"/>
    <n v="30000"/>
    <d v="2026-01-13T18:59:15"/>
    <d v="2026-01-13T00:00:00"/>
    <s v="enero"/>
    <s v="Activo"/>
    <m/>
    <m/>
    <s v="C000313"/>
    <s v="ACEITE 15W40 XV300 X 205LT (TAMBOR)"/>
    <n v="39"/>
    <n v="3389.9"/>
    <n v="132206.1"/>
    <x v="23"/>
    <m/>
    <m/>
    <m/>
  </r>
  <r>
    <s v="AD426HY"/>
    <s v="AXOR 2541 LS"/>
    <s v="2ML 1"/>
    <s v="2ML"/>
    <n v="0.75"/>
    <s v="Cambio De Aceite Y Filtro De Motor"/>
    <d v="2025-07-28T00:00:00"/>
    <n v="685467"/>
    <n v="715467"/>
    <n v="14311.7"/>
    <n v="15688.3"/>
    <n v="699778.7"/>
    <n v="81"/>
    <n v="266.81618518518519"/>
    <n v="88.79114989833495"/>
    <d v="2025-10-17T00:00:00"/>
    <n v="30000"/>
    <d v="2026-01-13T18:59:15"/>
    <d v="2026-01-13T00:00:00"/>
    <s v="enero"/>
    <s v="Activo"/>
    <m/>
    <m/>
    <s v="C002303"/>
    <s v="FILTRO DE ACEITE MB AXOR 2036/2035 - MANN HU 12 110X"/>
    <n v="1"/>
    <n v="22064.98"/>
    <n v="22064.98"/>
    <x v="23"/>
    <m/>
    <m/>
    <m/>
  </r>
  <r>
    <s v="AD426IJ"/>
    <s v="AXOR 2541 LS"/>
    <s v="2ML 1"/>
    <s v="2ML"/>
    <n v="0.75"/>
    <s v="Cambio De Aceite Y Filtro De Motor"/>
    <d v="2025-08-08T00:00:00"/>
    <n v="770332"/>
    <n v="800332"/>
    <n v="13259.4"/>
    <n v="16740.599999999999"/>
    <n v="783591.4"/>
    <n v="70"/>
    <n v="276.97442748091589"/>
    <n v="88.378207158694963"/>
    <d v="2025-10-17T00:00:00"/>
    <n v="30000"/>
    <d v="2026-01-13T09:04:37"/>
    <d v="2026-01-13T00:00:00"/>
    <s v="enero"/>
    <s v="Activo"/>
    <m/>
    <m/>
    <s v="C000313"/>
    <s v="ACEITE 15W40 XV300 X 205LT (TAMBOR)"/>
    <n v="39"/>
    <n v="3389.9"/>
    <n v="132206.1"/>
    <x v="23"/>
    <m/>
    <m/>
    <m/>
  </r>
  <r>
    <s v="AD426IJ"/>
    <s v="AXOR 2541 LS"/>
    <s v="2ML 1"/>
    <s v="2ML"/>
    <n v="0.75"/>
    <s v="Cambio De Aceite Y Filtro De Motor"/>
    <d v="2025-08-08T00:00:00"/>
    <n v="770332"/>
    <n v="800332"/>
    <n v="13259.4"/>
    <n v="16740.599999999999"/>
    <n v="783591.4"/>
    <n v="70"/>
    <n v="276.97442748091589"/>
    <n v="88.378207158694963"/>
    <d v="2025-10-17T00:00:00"/>
    <n v="30000"/>
    <d v="2026-01-13T09:04:37"/>
    <d v="2026-01-13T00:00:00"/>
    <s v="enero"/>
    <s v="Activo"/>
    <m/>
    <m/>
    <s v="C002303"/>
    <s v="FILTRO DE ACEITE MB AXOR 2036/2035 - MANN HU 12 110X"/>
    <n v="1"/>
    <n v="22064.98"/>
    <n v="22064.98"/>
    <x v="23"/>
    <m/>
    <m/>
    <m/>
  </r>
  <r>
    <s v="AD426IF"/>
    <s v="AXOR 2541 LS"/>
    <s v="2ML 1"/>
    <s v="2ML"/>
    <n v="0.75"/>
    <s v="Cambio De Aceite Y Filtro De Motor"/>
    <d v="2025-09-30T00:00:00"/>
    <n v="845528"/>
    <n v="875528"/>
    <n v="0"/>
    <n v="30000"/>
    <n v="845528"/>
    <n v="17"/>
    <n v="323.35572519083951"/>
    <n v="300"/>
    <d v="2025-10-17T00:00:00"/>
    <n v="30000"/>
    <d v="2026-08-13T00:00:00"/>
    <d v="2026-08-13T00:00:00"/>
    <s v="agosto"/>
    <s v="Activo"/>
    <m/>
    <m/>
    <s v="C000313"/>
    <s v="ACEITE 15W40 XV300 X 205LT (TAMBOR)"/>
    <n v="39"/>
    <n v="3389.9"/>
    <n v="132206.1"/>
    <x v="23"/>
    <m/>
    <m/>
    <m/>
  </r>
  <r>
    <s v="AD426IF"/>
    <s v="AXOR 2541 LS"/>
    <s v="2ML 1"/>
    <s v="2ML"/>
    <n v="0.75"/>
    <s v="Cambio De Aceite Y Filtro De Motor"/>
    <d v="2025-09-30T00:00:00"/>
    <n v="845528"/>
    <n v="875528"/>
    <n v="0"/>
    <n v="30000"/>
    <n v="845528"/>
    <n v="17"/>
    <n v="323.35572519083951"/>
    <n v="300"/>
    <d v="2025-10-17T00:00:00"/>
    <n v="30000"/>
    <d v="2026-08-13T00:00:00"/>
    <d v="2026-08-13T00:00:00"/>
    <s v="agosto"/>
    <s v="Activo"/>
    <m/>
    <m/>
    <s v="C002303"/>
    <s v="FILTRO DE ACEITE MB AXOR 2036/2035 - MANN HU 12 110X"/>
    <n v="1"/>
    <n v="22064.98"/>
    <n v="22064.98"/>
    <x v="23"/>
    <m/>
    <m/>
    <m/>
  </r>
  <r>
    <s v="AD426IH"/>
    <s v="AXOR 2541 LS"/>
    <s v="2ML 1"/>
    <s v="2ML"/>
    <n v="0.75"/>
    <s v="Cambio De Aceite Y Filtro De Motor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1-23T21:30:50"/>
    <d v="2026-01-23T00:00:00"/>
    <s v="enero"/>
    <s v="Activo"/>
    <m/>
    <m/>
    <s v="C000313"/>
    <s v="ACEITE 15W40 XV300 X 205LT (TAMBOR)"/>
    <n v="39"/>
    <n v="3389.9"/>
    <n v="132206.1"/>
    <x v="23"/>
    <m/>
    <m/>
    <m/>
  </r>
  <r>
    <s v="AD426IH"/>
    <s v="AXOR 2541 LS"/>
    <s v="2ML 1"/>
    <s v="2ML"/>
    <n v="0.75"/>
    <s v="Cambio De Aceite Y Filtro De Motor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1-23T21:30:50"/>
    <d v="2026-01-23T00:00:00"/>
    <s v="enero"/>
    <s v="Activo"/>
    <m/>
    <m/>
    <s v="C002303"/>
    <s v="FILTRO DE ACEITE MB AXOR 2036/2035 - MANN HU 12 110X"/>
    <n v="1"/>
    <n v="22064.98"/>
    <n v="22064.98"/>
    <x v="23"/>
    <m/>
    <m/>
    <m/>
  </r>
  <r>
    <s v="AD426HU"/>
    <s v="AXOR 2541 LS"/>
    <s v="2ML 1"/>
    <s v="2ML"/>
    <n v="0.75"/>
    <s v="Cambio De Aceite Y Filtro De Motor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2-14T03:28:37"/>
    <d v="2026-02-14T00:00:00"/>
    <s v="febrero"/>
    <s v="Activo"/>
    <m/>
    <m/>
    <s v="C000313"/>
    <s v="ACEITE 15W40 XV300 X 205LT (TAMBOR)"/>
    <n v="39"/>
    <n v="3389.9"/>
    <n v="132206.1"/>
    <x v="23"/>
    <m/>
    <m/>
    <m/>
  </r>
  <r>
    <s v="AD426HU"/>
    <s v="AXOR 2541 LS"/>
    <s v="2ML 1"/>
    <s v="2ML"/>
    <n v="0.75"/>
    <s v="Cambio De Aceite Y Filtro De Motor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2-14T03:28:37"/>
    <d v="2026-02-14T00:00:00"/>
    <s v="febrero"/>
    <s v="Activo"/>
    <m/>
    <m/>
    <s v="C002303"/>
    <s v="FILTRO DE ACEITE MB AXOR 2036/2035 - MANN HU 12 110X"/>
    <n v="1"/>
    <n v="22064.98"/>
    <n v="22064.98"/>
    <x v="23"/>
    <m/>
    <m/>
    <m/>
  </r>
  <r>
    <s v="AD426HV"/>
    <s v="AXOR 2541 LS"/>
    <s v="2ML 1"/>
    <s v="2ML"/>
    <n v="0.75"/>
    <s v="Cambio De Aceite Y Filtro De Motor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1-31T03:36:08"/>
    <d v="2026-01-31T00:00:00"/>
    <s v="enero"/>
    <s v="Activo"/>
    <m/>
    <m/>
    <s v="C000313"/>
    <s v="ACEITE 15W40 XV300 X 205LT (TAMBOR)"/>
    <n v="39"/>
    <n v="3389.9"/>
    <n v="132206.1"/>
    <x v="23"/>
    <m/>
    <m/>
    <m/>
  </r>
  <r>
    <s v="AD426HV"/>
    <s v="AXOR 2541 LS"/>
    <s v="2ML 1"/>
    <s v="2ML"/>
    <n v="0.75"/>
    <s v="Cambio De Aceite Y Filtro De Motor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1-31T03:36:08"/>
    <d v="2026-01-31T00:00:00"/>
    <s v="enero"/>
    <s v="Activo"/>
    <m/>
    <m/>
    <s v="C002303"/>
    <s v="FILTRO DE ACEITE MB AXOR 2036/2035 - MANN HU 12 110X"/>
    <n v="1"/>
    <n v="22064.98"/>
    <n v="22064.98"/>
    <x v="23"/>
    <m/>
    <m/>
    <m/>
  </r>
  <r>
    <s v="AD426HX"/>
    <s v="AXOR 2541 LS"/>
    <s v="2ML 1"/>
    <s v="2ML"/>
    <n v="0.75"/>
    <s v="Cambio De Aceite Y Filtro De Motor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1-10T02:29:40"/>
    <d v="2026-01-10T00:00:00"/>
    <s v="enero"/>
    <s v="Activo"/>
    <m/>
    <m/>
    <s v="C000313"/>
    <s v="ACEITE 15W40 XV300 X 205LT (TAMBOR)"/>
    <n v="39"/>
    <n v="3389.9"/>
    <n v="132206.1"/>
    <x v="23"/>
    <m/>
    <m/>
    <m/>
  </r>
  <r>
    <s v="AD426HX"/>
    <s v="AXOR 2541 LS"/>
    <s v="2ML 1"/>
    <s v="2ML"/>
    <n v="0.75"/>
    <s v="Cambio De Aceite Y Filtro De Motor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1-10T02:29:40"/>
    <d v="2026-01-10T00:00:00"/>
    <s v="enero"/>
    <s v="Activo"/>
    <m/>
    <m/>
    <s v="C002303"/>
    <s v="FILTRO DE ACEITE MB AXOR 2036/2035 - MANN HU 12 110X"/>
    <n v="1"/>
    <n v="22064.98"/>
    <n v="22064.98"/>
    <x v="23"/>
    <m/>
    <m/>
    <m/>
  </r>
  <r>
    <s v="AE700VN"/>
    <s v="AXOR 2036 S ROBUST"/>
    <s v="2ML 1"/>
    <s v="2ML"/>
    <n v="0.75"/>
    <s v="Cambio De Aceite Y Filtro De Motor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1-03T12:40:33"/>
    <d v="2026-01-03T00:00:00"/>
    <s v="enero"/>
    <s v="Activo"/>
    <m/>
    <m/>
    <s v="C000313"/>
    <s v="ACEITE 15W40 XV300 X 205LT (TAMBOR)"/>
    <n v="39"/>
    <n v="3389.9"/>
    <n v="132206.1"/>
    <x v="15"/>
    <m/>
    <m/>
    <m/>
  </r>
  <r>
    <s v="AE700VN"/>
    <s v="AXOR 2036 S ROBUST"/>
    <s v="2ML 1"/>
    <s v="2ML"/>
    <n v="0.75"/>
    <s v="Cambio De Aceite Y Filtro De Motor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1-03T12:40:33"/>
    <d v="2026-01-03T00:00:00"/>
    <s v="enero"/>
    <s v="Activo"/>
    <m/>
    <m/>
    <s v="C002303"/>
    <s v="FILTRO DE ACEITE MB AXOR 2036/2035 - MANN HU 12 110X"/>
    <n v="1"/>
    <n v="22064.98"/>
    <n v="22064.98"/>
    <x v="15"/>
    <m/>
    <m/>
    <m/>
  </r>
  <r>
    <s v="AE700VS"/>
    <s v="AXOR 2036 S ROBUST"/>
    <s v="2ML 1"/>
    <s v="2ML"/>
    <n v="0.75"/>
    <s v="Cambio De Aceite Y Filtro De Motor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1-16T18:05:05"/>
    <d v="2026-01-16T00:00:00"/>
    <s v="enero"/>
    <s v="Activo"/>
    <m/>
    <m/>
    <s v="C000313"/>
    <s v="ACEITE 15W40 XV300 X 205LT (TAMBOR)"/>
    <n v="39"/>
    <n v="3389.9"/>
    <n v="132206.1"/>
    <x v="15"/>
    <m/>
    <m/>
    <m/>
  </r>
  <r>
    <s v="AE700VS"/>
    <s v="AXOR 2036 S ROBUST"/>
    <s v="2ML 1"/>
    <s v="2ML"/>
    <n v="0.75"/>
    <s v="Cambio De Aceite Y Filtro De Motor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1-16T18:05:05"/>
    <d v="2026-01-16T00:00:00"/>
    <s v="enero"/>
    <s v="Activo"/>
    <m/>
    <m/>
    <s v="C002303"/>
    <s v="FILTRO DE ACEITE MB AXOR 2036/2035 - MANN HU 12 110X"/>
    <n v="1"/>
    <n v="22064.98"/>
    <n v="22064.98"/>
    <x v="15"/>
    <m/>
    <m/>
    <m/>
  </r>
  <r>
    <s v="LFK336"/>
    <s v="AXOR 2035-36 S TE"/>
    <s v="2ML 1"/>
    <s v="2ML"/>
    <n v="0.75"/>
    <s v="Cambio De Aceite Y Filtro De Motor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3-21T11:18:03"/>
    <d v="2026-03-21T00:00:00"/>
    <s v="marzo"/>
    <s v="Activo"/>
    <m/>
    <m/>
    <s v="C000313"/>
    <s v="ACEITE 15W40 XV300 X 205LT (TAMBOR)"/>
    <n v="39"/>
    <n v="3389.9"/>
    <n v="132206.1"/>
    <x v="15"/>
    <m/>
    <m/>
    <m/>
  </r>
  <r>
    <s v="LFK336"/>
    <s v="AXOR 2035-36 S TE"/>
    <s v="2ML 1"/>
    <s v="2ML"/>
    <n v="0.75"/>
    <s v="Cambio De Aceite Y Filtro De Motor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3-21T11:18:03"/>
    <d v="2026-03-21T00:00:00"/>
    <s v="marzo"/>
    <s v="Activo"/>
    <m/>
    <m/>
    <s v="C002303"/>
    <s v="FILTRO DE ACEITE MB AXOR 2036/2035 - MANN HU 12 110X"/>
    <n v="1"/>
    <n v="22064.98"/>
    <n v="22064.98"/>
    <x v="15"/>
    <m/>
    <m/>
    <m/>
  </r>
  <r>
    <s v="LFK337"/>
    <s v="AXOR 2035-36 S TE"/>
    <s v="2ML 1"/>
    <s v="2ML"/>
    <n v="0.75"/>
    <s v="Cambio De Aceite Y Filtro De Motor"/>
    <d v="2025-09-19T00:00:00"/>
    <n v="1973725"/>
    <n v="2003725"/>
    <n v="3275.4"/>
    <n v="26724.6"/>
    <n v="1977000.4"/>
    <n v="28"/>
    <n v="2668.176102941175"/>
    <n v="228.45722659827811"/>
    <d v="2025-10-17T00:00:00"/>
    <n v="30000"/>
    <d v="2026-06-02T10:58:24"/>
    <d v="2026-06-02T00:00:00"/>
    <s v="junio"/>
    <s v="Activo"/>
    <m/>
    <m/>
    <s v="C000313"/>
    <s v="ACEITE 15W40 XV300 X 205LT (TAMBOR)"/>
    <n v="39"/>
    <n v="3389.9"/>
    <n v="132206.1"/>
    <x v="15"/>
    <m/>
    <m/>
    <m/>
  </r>
  <r>
    <s v="LFK337"/>
    <s v="AXOR 2035-36 S TE"/>
    <s v="2ML 1"/>
    <s v="2ML"/>
    <n v="0.75"/>
    <s v="Cambio De Aceite Y Filtro De Motor"/>
    <d v="2025-09-19T00:00:00"/>
    <n v="1973725"/>
    <n v="2003725"/>
    <n v="3275.4"/>
    <n v="26724.6"/>
    <n v="1977000.4"/>
    <n v="28"/>
    <n v="2668.176102941175"/>
    <n v="228.45722659827811"/>
    <d v="2025-10-17T00:00:00"/>
    <n v="30000"/>
    <d v="2026-06-02T10:58:24"/>
    <d v="2026-06-02T00:00:00"/>
    <s v="junio"/>
    <s v="Activo"/>
    <m/>
    <m/>
    <s v="C002303"/>
    <s v="FILTRO DE ACEITE MB AXOR 2036/2035 - MANN HU 12 110X"/>
    <n v="1"/>
    <n v="22064.98"/>
    <n v="22064.98"/>
    <x v="15"/>
    <m/>
    <m/>
    <m/>
  </r>
  <r>
    <s v="LFK338"/>
    <s v="AXOR 2035-36 S TE"/>
    <s v="2ML 1"/>
    <s v="2ML"/>
    <n v="0.75"/>
    <s v="Cambio De Aceite Y Filtro De Motor"/>
    <d v="2025-07-14T00:00:00"/>
    <n v="1942302"/>
    <n v="1972302"/>
    <n v="28066.80000000001"/>
    <n v="1933.1999999999859"/>
    <n v="1970368.8"/>
    <n v="95"/>
    <n v="373"/>
    <n v="6.5434606011372356"/>
    <d v="2025-10-17T00:00:00"/>
    <n v="30000"/>
    <d v="2026-02-03T14:08:13"/>
    <d v="2026-02-03T00:00:00"/>
    <s v="febrero"/>
    <s v="Activo"/>
    <d v="2026-04-25T00:25:55"/>
    <m/>
    <s v="C000313"/>
    <s v="ACEITE 15W40 XV300 X 205LT (TAMBOR)"/>
    <n v="39"/>
    <n v="3389.9"/>
    <n v="132206.1"/>
    <x v="15"/>
    <m/>
    <m/>
    <m/>
  </r>
  <r>
    <s v="LFK338"/>
    <s v="AXOR 2035-36 S TE"/>
    <s v="2ML 1"/>
    <s v="2ML"/>
    <n v="0.75"/>
    <s v="Cambio De Aceite Y Filtro De Motor"/>
    <d v="2025-07-14T00:00:00"/>
    <n v="1942302"/>
    <n v="1972302"/>
    <n v="28066.80000000001"/>
    <n v="1933.1999999999859"/>
    <n v="1970368.8"/>
    <n v="95"/>
    <n v="373"/>
    <n v="6.5434606011372356"/>
    <d v="2025-10-17T00:00:00"/>
    <n v="30000"/>
    <d v="2026-02-03T14:08:13"/>
    <d v="2026-02-03T00:00:00"/>
    <s v="febrero"/>
    <s v="Activo"/>
    <d v="2026-04-25T00:25:55"/>
    <m/>
    <s v="C002303"/>
    <s v="FILTRO DE ACEITE MB AXOR 2036/2035 - MANN HU 12 110X"/>
    <n v="1"/>
    <n v="22064.98"/>
    <n v="22064.98"/>
    <x v="15"/>
    <m/>
    <m/>
    <m/>
  </r>
  <r>
    <s v="LFK339"/>
    <s v="AXOR 2035-36 S TE"/>
    <s v="2ML 1"/>
    <s v="2ML"/>
    <n v="0.75"/>
    <s v="Cambio De Aceite Y Filtro De Motor"/>
    <d v="2025-07-07T00:00:00"/>
    <n v="1934926"/>
    <n v="1964926"/>
    <n v="35672.900000000009"/>
    <n v="-5672.9000000000087"/>
    <n v="1970598.9"/>
    <n v="102"/>
    <n v="120"/>
    <n v="-16.220598829924139"/>
    <d v="2025-10-17T00:00:00"/>
    <n v="30000"/>
    <d v="2026-02-03T14:08:13"/>
    <d v="2026-02-03T00:00:00"/>
    <s v="febrero"/>
    <s v="Activo"/>
    <d v="2026-10-11T14:08:13"/>
    <m/>
    <s v="C000313"/>
    <s v="ACEITE 15W40 XV300 X 205LT (TAMBOR)"/>
    <n v="39"/>
    <n v="3389.9"/>
    <n v="132206.1"/>
    <x v="15"/>
    <m/>
    <m/>
    <m/>
  </r>
  <r>
    <s v="LFK339"/>
    <s v="AXOR 2035-36 S TE"/>
    <s v="2ML 1"/>
    <s v="2ML"/>
    <n v="0.75"/>
    <s v="Cambio De Aceite Y Filtro De Motor"/>
    <d v="2025-07-07T00:00:00"/>
    <n v="1934926"/>
    <n v="1964926"/>
    <n v="35672.900000000009"/>
    <n v="-5672.9000000000087"/>
    <n v="1970598.9"/>
    <n v="102"/>
    <n v="120"/>
    <n v="-16.220598829924139"/>
    <d v="2025-10-17T00:00:00"/>
    <n v="30000"/>
    <d v="2026-02-03T14:08:13"/>
    <d v="2026-02-03T00:00:00"/>
    <s v="febrero"/>
    <s v="Activo"/>
    <d v="2026-10-11T14:08:13"/>
    <m/>
    <s v="C002303"/>
    <s v="FILTRO DE ACEITE MB AXOR 2036/2035 - MANN HU 12 110X"/>
    <n v="1"/>
    <n v="22064.98"/>
    <n v="22064.98"/>
    <x v="15"/>
    <m/>
    <m/>
    <m/>
  </r>
  <r>
    <s v="AG300AQ"/>
    <s v="ACTROS 2045 LS/36"/>
    <s v="2ML 1"/>
    <s v="2ML"/>
    <n v="0.75"/>
    <s v="Cambio De Aceite Y Filtro De Motor"/>
    <d v="2025-09-18T00:00:00"/>
    <n v="227028"/>
    <n v="257028"/>
    <n v="3811.8"/>
    <n v="26188.2"/>
    <n v="230839.8"/>
    <n v="29"/>
    <n v="310.79992700729929"/>
    <n v="199.2386274201165"/>
    <d v="2025-10-17T00:00:00"/>
    <n v="30000"/>
    <d v="2026-05-04T05:43:37"/>
    <d v="2026-05-04T00:00:00"/>
    <s v="mayo"/>
    <s v="Activo"/>
    <m/>
    <m/>
    <s v="C000313"/>
    <s v="ACEITE 15W40 XV300 X 205LT (TAMBOR)"/>
    <n v="39"/>
    <n v="3389.9"/>
    <n v="132206.1"/>
    <x v="15"/>
    <m/>
    <m/>
    <m/>
  </r>
  <r>
    <s v="AG300AQ"/>
    <s v="ACTROS 2045 LS/36"/>
    <s v="2ML 1"/>
    <s v="2ML"/>
    <n v="0.75"/>
    <s v="Cambio De Aceite Y Filtro De Motor"/>
    <d v="2025-09-18T00:00:00"/>
    <n v="227028"/>
    <n v="257028"/>
    <n v="3811.8"/>
    <n v="26188.2"/>
    <n v="230839.8"/>
    <n v="29"/>
    <n v="310.79992700729929"/>
    <n v="199.2386274201165"/>
    <d v="2025-10-17T00:00:00"/>
    <n v="30000"/>
    <d v="2026-05-04T05:43:37"/>
    <d v="2026-05-04T00:00:00"/>
    <s v="mayo"/>
    <s v="Activo"/>
    <m/>
    <m/>
    <s v="C002303"/>
    <s v="FILTRO DE ACEITE MB AXOR 2036/2035 - MANN HU 12 110X"/>
    <n v="1"/>
    <n v="22064.98"/>
    <n v="22064.98"/>
    <x v="15"/>
    <m/>
    <m/>
    <m/>
  </r>
  <r>
    <s v="SYG971"/>
    <s v="1633"/>
    <s v="2ML 2"/>
    <s v="2ML"/>
    <n v="0.75"/>
    <s v="Cambio De Aceite Y Filtro De Motor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3-17T12:26:27"/>
    <d v="2026-03-17T00:00:00"/>
    <s v="marzo"/>
    <s v="Activo"/>
    <m/>
    <m/>
    <s v="C000313"/>
    <s v="ACEITE 15W40 XV300 X 205LT (TAMBOR)"/>
    <n v="29"/>
    <n v="3389.9"/>
    <n v="98307.1"/>
    <x v="15"/>
    <m/>
    <m/>
    <m/>
  </r>
  <r>
    <s v="SYG971"/>
    <s v="1633"/>
    <s v="2ML 2"/>
    <s v="2ML"/>
    <n v="0.75"/>
    <s v="Cambio De Aceite Y Filtro De Motor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3-17T12:26:27"/>
    <d v="2026-03-17T00:00:00"/>
    <s v="marzo"/>
    <s v="Activo"/>
    <m/>
    <m/>
    <s v="C003701"/>
    <s v="FILTRO DE ACEITE MB 1625/1628/1630/1632/1633/2325 - MANN H1275X"/>
    <n v="1"/>
    <n v="42100"/>
    <n v="42100"/>
    <x v="15"/>
    <m/>
    <m/>
    <m/>
  </r>
  <r>
    <s v="KUF605"/>
    <s v="1634"/>
    <s v="2ML 2"/>
    <s v="2ML"/>
    <n v="0.75"/>
    <s v="Cambio De Aceite Y Filtro De Motor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2-22T22:20:38"/>
    <d v="2026-02-22T00:00:00"/>
    <s v="febrero"/>
    <s v="Activo"/>
    <m/>
    <m/>
    <s v="C000313"/>
    <s v="ACEITE 15W40 XV300 X 205LT (TAMBOR)"/>
    <n v="29"/>
    <n v="3389.9"/>
    <n v="98307.1"/>
    <x v="15"/>
    <m/>
    <m/>
    <m/>
  </r>
  <r>
    <s v="KUF605"/>
    <s v="1634"/>
    <s v="2ML 2"/>
    <s v="2ML"/>
    <n v="0.75"/>
    <s v="Cambio De Aceite Y Filtro De Motor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2-22T22:20:38"/>
    <d v="2026-02-22T00:00:00"/>
    <s v="febrero"/>
    <s v="Activo"/>
    <m/>
    <m/>
    <s v="C003701"/>
    <s v="FILTRO DE ACEITE MB 1625/1628/1630/1632/1633/2325 - MANN H1275X"/>
    <n v="1"/>
    <n v="42100"/>
    <n v="42100"/>
    <x v="15"/>
    <m/>
    <m/>
    <m/>
  </r>
  <r>
    <s v="OJG103"/>
    <s v="G310 A4X2"/>
    <s v="2ML 4"/>
    <s v="2ML"/>
    <n v="0.75"/>
    <s v="Cambio De Aceite Y Filtro De Motor"/>
    <d v="2025-08-22T00:00:00"/>
    <n v="1737584"/>
    <n v="1767584"/>
    <n v="15736.9"/>
    <n v="14263.1"/>
    <n v="1753320.9"/>
    <n v="56"/>
    <n v="1736.2685719557189"/>
    <n v="50.755460096969557"/>
    <d v="2025-10-17T00:00:00"/>
    <n v="30000"/>
    <d v="2026-01-10T07:29:45"/>
    <d v="2026-01-10T00:00:00"/>
    <s v="enero"/>
    <s v="Activo"/>
    <m/>
    <m/>
    <s v="C000313"/>
    <s v="ACEITE 15W40 XV300 X 205LT (TAMBOR)"/>
    <n v="39"/>
    <n v="3389.9"/>
    <n v="132206.1"/>
    <x v="15"/>
    <m/>
    <m/>
    <m/>
  </r>
  <r>
    <s v="OJG103"/>
    <s v="G310 A4X2"/>
    <s v="2ML 4"/>
    <s v="2ML"/>
    <n v="0.75"/>
    <s v="Cambio De Aceite Y Filtro De Motor"/>
    <d v="2025-08-22T00:00:00"/>
    <n v="1737584"/>
    <n v="1767584"/>
    <n v="15736.9"/>
    <n v="14263.1"/>
    <n v="1753320.9"/>
    <n v="56"/>
    <n v="1736.2685719557189"/>
    <n v="50.755460096969557"/>
    <d v="2025-10-17T00:00:00"/>
    <n v="30000"/>
    <d v="2026-01-10T07:29:45"/>
    <d v="2026-01-10T00:00:00"/>
    <s v="enero"/>
    <s v="Activo"/>
    <m/>
    <m/>
    <s v="C003700"/>
    <s v="FILTRO DE ACEITE SCANIA G310 - MANN HU1077/2Z"/>
    <n v="1"/>
    <n v="17623.68"/>
    <n v="17623.68"/>
    <x v="15"/>
    <m/>
    <m/>
    <m/>
  </r>
  <r>
    <s v="KNE956"/>
    <s v="AXOR 1933 S"/>
    <s v="3ML"/>
    <s v="3ML"/>
    <n v="0.5"/>
    <s v="Cambio De Filtro Gas Oíl Y Trampa De Agua"/>
    <d v="2025-06-10T00:00:00"/>
    <n v="1516521"/>
    <n v="1546521"/>
    <n v="14102"/>
    <n v="15898"/>
    <n v="1530623"/>
    <n v="129"/>
    <n v="150.71646840148699"/>
    <n v="145.4291589845412"/>
    <d v="2025-10-17T00:00:00"/>
    <n v="30000"/>
    <d v="2026-03-11T10:17:59"/>
    <d v="2026-03-11T00:00:00"/>
    <s v="marzo"/>
    <s v="Activo"/>
    <m/>
    <m/>
    <s v="C001031"/>
    <s v="FILTRO DE COMBUSTIBLE MANN PU1046/1X"/>
    <n v="1"/>
    <n v="10535.04"/>
    <n v="10535.04"/>
    <x v="23"/>
    <m/>
    <m/>
    <m/>
  </r>
  <r>
    <s v="KNE956"/>
    <s v="AXOR 1933 S"/>
    <s v="3ML"/>
    <s v="3ML"/>
    <n v="0.5"/>
    <s v="Cambio De Filtro Gas Oíl Y Trampa De Agua"/>
    <d v="2025-06-10T00:00:00"/>
    <n v="1516521"/>
    <n v="1546521"/>
    <n v="14102"/>
    <n v="15898"/>
    <n v="1530623"/>
    <n v="129"/>
    <n v="150.71646840148699"/>
    <n v="145.4291589845412"/>
    <d v="2025-10-17T00:00:00"/>
    <n v="30000"/>
    <d v="2026-03-11T10:17:59"/>
    <d v="2026-03-11T00:00:00"/>
    <s v="marzo"/>
    <s v="Activo"/>
    <m/>
    <m/>
    <s v="C001614"/>
    <s v="FILTRO TRAMPA DE AGUA MB 1933S (A 000 470 24 90) - RE160JQII - MARCA RAMA"/>
    <n v="1"/>
    <n v="13118.81"/>
    <n v="13118.81"/>
    <x v="23"/>
    <m/>
    <m/>
    <m/>
  </r>
  <r>
    <s v="AF114FZ"/>
    <s v="ATEGO 1729-S36 CD TE"/>
    <s v="3ML"/>
    <s v="3ML"/>
    <n v="0.5"/>
    <s v="Cambio De Filtro Gas Oíl Y Trampa De Agua"/>
    <d v="2025-09-23T00:00:00"/>
    <n v="452616"/>
    <n v="482616"/>
    <n v="2109"/>
    <n v="27891"/>
    <n v="454725"/>
    <n v="24"/>
    <n v="273.98136531365333"/>
    <n v="317.39402560455193"/>
    <d v="2025-10-17T00:00:00"/>
    <n v="30000"/>
    <d v="2026-08-30T09:27:24"/>
    <d v="2026-08-30T00:00:00"/>
    <s v="agosto"/>
    <s v="Activo"/>
    <m/>
    <m/>
    <s v="C001031"/>
    <s v="FILTRO DE COMBUSTIBLE MANN PU1046/1X"/>
    <n v="1"/>
    <n v="10535.04"/>
    <n v="10535.04"/>
    <x v="23"/>
    <m/>
    <m/>
    <m/>
  </r>
  <r>
    <s v="AF114FZ"/>
    <s v="ATEGO 1729-S36 CD TE"/>
    <s v="3ML"/>
    <s v="3ML"/>
    <n v="0.5"/>
    <s v="Cambio De Filtro Gas Oíl Y Trampa De Agua"/>
    <d v="2025-09-23T00:00:00"/>
    <n v="452616"/>
    <n v="482616"/>
    <n v="2109"/>
    <n v="27891"/>
    <n v="454725"/>
    <n v="24"/>
    <n v="273.98136531365333"/>
    <n v="317.39402560455193"/>
    <d v="2025-10-17T00:00:00"/>
    <n v="30000"/>
    <d v="2026-08-30T09:27:24"/>
    <d v="2026-08-30T00:00:00"/>
    <s v="agosto"/>
    <s v="Activo"/>
    <m/>
    <m/>
    <s v="C001614"/>
    <s v="FILTRO TRAMPA DE AGUA MB 1933S (A 000 470 24 90) - RE160JQII - MARCA RAMA"/>
    <n v="1"/>
    <n v="13118.81"/>
    <n v="13118.81"/>
    <x v="23"/>
    <m/>
    <m/>
    <m/>
  </r>
  <r>
    <s v="AF118QB"/>
    <s v="ATEGO 1729-S36 CD TE"/>
    <s v="3ML"/>
    <s v="3ML"/>
    <n v="0.5"/>
    <s v="Cambio De Filtro Gas Oíl Y Trampa De Agua"/>
    <d v="2025-05-15T00:00:00"/>
    <n v="308369"/>
    <n v="338369"/>
    <n v="18849.799999999988"/>
    <n v="11150.20000000001"/>
    <n v="327218.8"/>
    <n v="155"/>
    <n v="189.65078066914509"/>
    <n v="91.686967500981538"/>
    <d v="2025-10-17T00:00:00"/>
    <n v="30000"/>
    <d v="2026-01-16T16:29:14"/>
    <d v="2026-01-16T00:00:00"/>
    <s v="enero"/>
    <s v="Activo"/>
    <m/>
    <m/>
    <s v="C001031"/>
    <s v="FILTRO DE COMBUSTIBLE MANN PU1046/1X"/>
    <n v="1"/>
    <n v="10535.04"/>
    <n v="10535.04"/>
    <x v="23"/>
    <m/>
    <m/>
    <m/>
  </r>
  <r>
    <s v="AF118QB"/>
    <s v="ATEGO 1729-S36 CD TE"/>
    <s v="3ML"/>
    <s v="3ML"/>
    <n v="0.5"/>
    <s v="Cambio De Filtro Gas Oíl Y Trampa De Agua"/>
    <d v="2025-05-15T00:00:00"/>
    <n v="308369"/>
    <n v="338369"/>
    <n v="18849.799999999988"/>
    <n v="11150.20000000001"/>
    <n v="327218.8"/>
    <n v="155"/>
    <n v="189.65078066914509"/>
    <n v="91.686967500981538"/>
    <d v="2025-10-17T00:00:00"/>
    <n v="30000"/>
    <d v="2026-01-16T16:29:14"/>
    <d v="2026-01-16T00:00:00"/>
    <s v="enero"/>
    <s v="Activo"/>
    <m/>
    <m/>
    <s v="C001614"/>
    <s v="FILTRO TRAMPA DE AGUA MB 1933S (A 000 470 24 90) - RE160JQII - MARCA RAMA"/>
    <n v="1"/>
    <n v="13118.81"/>
    <n v="13118.81"/>
    <x v="23"/>
    <m/>
    <m/>
    <m/>
  </r>
  <r>
    <s v="AF743LB"/>
    <s v="ATEGO 1729 S36 CD TE"/>
    <s v="3ML"/>
    <s v="3ML"/>
    <n v="0.5"/>
    <s v="Cambio De Filtro Gas Oíl Y Trampa De Agua"/>
    <d v="2025-09-12T00:00:00"/>
    <n v="350551"/>
    <n v="380551"/>
    <n v="5928.8000000000011"/>
    <n v="24071.200000000001"/>
    <n v="356479.8"/>
    <n v="35"/>
    <n v="252.63896296296281"/>
    <n v="142.10160572122521"/>
    <d v="2025-10-17T00:00:00"/>
    <n v="30000"/>
    <d v="2026-03-08T02:26:19"/>
    <d v="2026-03-08T00:00:00"/>
    <s v="marzo"/>
    <s v="Activo"/>
    <m/>
    <m/>
    <s v="C001031"/>
    <s v="FILTRO DE COMBUSTIBLE MANN PU1046/1X"/>
    <n v="1"/>
    <n v="10535.04"/>
    <n v="10535.04"/>
    <x v="23"/>
    <m/>
    <m/>
    <m/>
  </r>
  <r>
    <s v="AF743LB"/>
    <s v="ATEGO 1729 S36 CD TE"/>
    <s v="3ML"/>
    <s v="3ML"/>
    <n v="0.5"/>
    <s v="Cambio De Filtro Gas Oíl Y Trampa De Agua"/>
    <d v="2025-09-12T00:00:00"/>
    <n v="350551"/>
    <n v="380551"/>
    <n v="5928.8000000000011"/>
    <n v="24071.200000000001"/>
    <n v="356479.8"/>
    <n v="35"/>
    <n v="252.63896296296281"/>
    <n v="142.10160572122521"/>
    <d v="2025-10-17T00:00:00"/>
    <n v="30000"/>
    <d v="2026-03-08T02:26:19"/>
    <d v="2026-03-08T00:00:00"/>
    <s v="marzo"/>
    <s v="Activo"/>
    <m/>
    <m/>
    <s v="C001614"/>
    <s v="FILTRO TRAMPA DE AGUA MB 1933S (A 000 470 24 90) - RE160JQII - MARCA RAMA"/>
    <n v="1"/>
    <n v="13118.81"/>
    <n v="13118.81"/>
    <x v="23"/>
    <m/>
    <m/>
    <m/>
  </r>
  <r>
    <s v="AF804RD"/>
    <s v="ATEGO 1729 S36 CD TE"/>
    <s v="3ML"/>
    <s v="3ML"/>
    <n v="0.5"/>
    <s v="Cambio De Filtro Gas Oíl Y Trampa De Agua"/>
    <d v="2025-05-06T00:00:00"/>
    <n v="54070.5"/>
    <n v="84070.5"/>
    <n v="14641.70000000001"/>
    <n v="15358.29999999999"/>
    <n v="68712.200000000012"/>
    <n v="164"/>
    <n v="78.920809061488711"/>
    <n v="172.02655429355869"/>
    <d v="2025-10-17T00:00:00"/>
    <n v="30000"/>
    <d v="2026-04-07T00:38:14"/>
    <d v="2026-04-07T00:00:00"/>
    <s v="abril"/>
    <s v="Activo"/>
    <m/>
    <m/>
    <s v="C001031"/>
    <s v="FILTRO DE COMBUSTIBLE MANN PU1046/1X"/>
    <n v="1"/>
    <n v="10535.04"/>
    <n v="10535.04"/>
    <x v="11"/>
    <m/>
    <m/>
    <m/>
  </r>
  <r>
    <s v="AF804RD"/>
    <s v="ATEGO 1729 S36 CD TE"/>
    <s v="3ML"/>
    <s v="3ML"/>
    <n v="0.5"/>
    <s v="Cambio De Filtro Gas Oíl Y Trampa De Agua"/>
    <d v="2025-05-06T00:00:00"/>
    <n v="54070.5"/>
    <n v="84070.5"/>
    <n v="14641.70000000001"/>
    <n v="15358.29999999999"/>
    <n v="68712.200000000012"/>
    <n v="164"/>
    <n v="78.920809061488711"/>
    <n v="172.02655429355869"/>
    <d v="2025-10-17T00:00:00"/>
    <n v="30000"/>
    <d v="2026-04-07T00:38:14"/>
    <d v="2026-04-07T00:00:00"/>
    <s v="abril"/>
    <s v="Activo"/>
    <m/>
    <m/>
    <s v="C001614"/>
    <s v="FILTRO TRAMPA DE AGUA MB 1933S (A 000 470 24 90) - RE160JQII - MARCA RAMA"/>
    <n v="1"/>
    <n v="13118.81"/>
    <n v="13118.81"/>
    <x v="11"/>
    <m/>
    <m/>
    <m/>
  </r>
  <r>
    <s v="AG043HA"/>
    <s v="ATEGO 1729 S 36 CD TE"/>
    <s v="3ML"/>
    <s v="3ML"/>
    <n v="0.5"/>
    <s v="Cambio De Filtro Gas Oíl Y Trampa De Agua"/>
    <d v="2025-04-17T00:00:00"/>
    <n v="52929.7"/>
    <n v="82929.7"/>
    <n v="13599.899999999991"/>
    <n v="16400.100000000009"/>
    <n v="66529.599999999991"/>
    <n v="183"/>
    <n v="74.356479400749095"/>
    <n v="220.6794388194032"/>
    <d v="2025-10-17T00:00:00"/>
    <n v="30000"/>
    <d v="2026-05-25T16:18:24"/>
    <d v="2026-05-25T00:00:00"/>
    <s v="mayo"/>
    <s v="Activo"/>
    <m/>
    <m/>
    <s v="C001031"/>
    <s v="FILTRO DE COMBUSTIBLE MANN PU1046/1X"/>
    <n v="1"/>
    <n v="10535.04"/>
    <n v="10535.04"/>
    <x v="11"/>
    <m/>
    <m/>
    <m/>
  </r>
  <r>
    <s v="AG043HA"/>
    <s v="ATEGO 1729 S 36 CD TE"/>
    <s v="3ML"/>
    <s v="3ML"/>
    <n v="0.5"/>
    <s v="Cambio De Filtro Gas Oíl Y Trampa De Agua"/>
    <d v="2025-04-17T00:00:00"/>
    <n v="52929.7"/>
    <n v="82929.7"/>
    <n v="13599.899999999991"/>
    <n v="16400.100000000009"/>
    <n v="66529.599999999991"/>
    <n v="183"/>
    <n v="74.356479400749095"/>
    <n v="220.6794388194032"/>
    <d v="2025-10-17T00:00:00"/>
    <n v="30000"/>
    <d v="2026-05-25T16:18:24"/>
    <d v="2026-05-25T00:00:00"/>
    <s v="mayo"/>
    <s v="Activo"/>
    <m/>
    <m/>
    <s v="C001614"/>
    <s v="FILTRO TRAMPA DE AGUA MB 1933S (A 000 470 24 90) - RE160JQII - MARCA RAMA"/>
    <n v="1"/>
    <n v="13118.81"/>
    <n v="13118.81"/>
    <x v="11"/>
    <m/>
    <m/>
    <m/>
  </r>
  <r>
    <s v="AG017HW"/>
    <s v="ATEGO 1729 S 36 CD TE"/>
    <s v="3ML"/>
    <s v="3ML"/>
    <n v="0.5"/>
    <s v="Cambio De Filtro Gas Oíl Y Trampa De Agua"/>
    <d v="2024-11-13T00:00:00"/>
    <n v="55539.8"/>
    <n v="85539.8"/>
    <n v="23943.03000000001"/>
    <n v="6056.9699999999939"/>
    <n v="79482.830000000016"/>
    <n v="338"/>
    <n v="78.134555555555551"/>
    <n v="85.505295695657452"/>
    <d v="2025-10-17T00:00:00"/>
    <n v="30000"/>
    <d v="2026-01-10T12:07:38"/>
    <d v="2026-01-10T00:00:00"/>
    <s v="enero"/>
    <s v="Activo"/>
    <m/>
    <m/>
    <s v="C001031"/>
    <s v="FILTRO DE COMBUSTIBLE MANN PU1046/1X"/>
    <n v="1"/>
    <n v="10535.04"/>
    <n v="10535.04"/>
    <x v="11"/>
    <m/>
    <m/>
    <m/>
  </r>
  <r>
    <s v="AG017HW"/>
    <s v="ATEGO 1729 S 36 CD TE"/>
    <s v="3ML"/>
    <s v="3ML"/>
    <n v="0.5"/>
    <s v="Cambio De Filtro Gas Oíl Y Trampa De Agua"/>
    <d v="2024-11-13T00:00:00"/>
    <n v="55539.8"/>
    <n v="85539.8"/>
    <n v="23943.03000000001"/>
    <n v="6056.9699999999939"/>
    <n v="79482.830000000016"/>
    <n v="338"/>
    <n v="78.134555555555551"/>
    <n v="85.505295695657452"/>
    <d v="2025-10-17T00:00:00"/>
    <n v="30000"/>
    <d v="2026-01-10T12:07:38"/>
    <d v="2026-01-10T00:00:00"/>
    <s v="enero"/>
    <s v="Activo"/>
    <m/>
    <m/>
    <s v="C001614"/>
    <s v="FILTRO TRAMPA DE AGUA MB 1933S (A 000 470 24 90) - RE160JQII - MARCA RAMA"/>
    <n v="1"/>
    <n v="13118.81"/>
    <n v="13118.81"/>
    <x v="11"/>
    <m/>
    <m/>
    <m/>
  </r>
  <r>
    <s v="AG204ZQ"/>
    <s v="ATEGO 1729-S36 CD TE"/>
    <s v="3ML"/>
    <s v="3ML"/>
    <n v="0.5"/>
    <s v="Cambio De Filtro Gas Oíl Y Trampa De Agua"/>
    <s v="-"/>
    <m/>
    <m/>
    <m/>
    <m/>
    <m/>
    <m/>
    <n v="112.049667896679"/>
    <m/>
    <d v="2025-10-17T00:00:00"/>
    <n v="30000"/>
    <d v="2026-07-11T17:43:19"/>
    <d v="2026-07-11T00:00:00"/>
    <s v="julio"/>
    <s v="Activo"/>
    <m/>
    <m/>
    <s v="C001031"/>
    <s v="FILTRO DE COMBUSTIBLE MANN PU1046/1X"/>
    <n v="1"/>
    <n v="10535.04"/>
    <n v="10535.04"/>
    <x v="11"/>
    <m/>
    <m/>
    <m/>
  </r>
  <r>
    <s v="AG204ZQ"/>
    <s v="ATEGO 1729-S36 CD TE"/>
    <s v="3ML"/>
    <s v="3ML"/>
    <n v="0.5"/>
    <s v="Cambio De Filtro Gas Oíl Y Trampa De Agua"/>
    <s v="-"/>
    <m/>
    <m/>
    <m/>
    <m/>
    <m/>
    <m/>
    <n v="112.049667896679"/>
    <m/>
    <d v="2025-10-17T00:00:00"/>
    <n v="30000"/>
    <d v="2026-07-11T17:43:19"/>
    <d v="2026-07-11T00:00:00"/>
    <s v="julio"/>
    <s v="Activo"/>
    <m/>
    <m/>
    <s v="C001614"/>
    <s v="FILTRO TRAMPA DE AGUA MB 1933S (A 000 470 24 90) - RE160JQII - MARCA RAMA"/>
    <n v="1"/>
    <n v="13118.81"/>
    <n v="13118.81"/>
    <x v="11"/>
    <m/>
    <m/>
    <m/>
  </r>
  <r>
    <s v="AE787OQ"/>
    <s v="Atego 1729 S"/>
    <s v="3ML"/>
    <s v="3ML"/>
    <n v="0.5"/>
    <s v="Cambio De Filtro Gas Oíl Y Trampa De Agua"/>
    <d v="2025-09-02T00:00:00"/>
    <n v="542619"/>
    <n v="572619"/>
    <n v="9864.5000000000018"/>
    <n v="20135.5"/>
    <n v="552483.5"/>
    <n v="45"/>
    <n v="844.57346863468638"/>
    <n v="91.85437680571745"/>
    <d v="2025-10-17T00:00:00"/>
    <n v="30000"/>
    <d v="2026-01-16T20:30:18"/>
    <d v="2026-01-16T00:00:00"/>
    <s v="enero"/>
    <s v="Activo"/>
    <m/>
    <m/>
    <s v="C001031"/>
    <s v="FILTRO DE COMBUSTIBLE MANN PU1046/1X"/>
    <n v="1"/>
    <n v="10535.04"/>
    <n v="10535.04"/>
    <x v="18"/>
    <m/>
    <m/>
    <m/>
  </r>
  <r>
    <s v="AE787OQ"/>
    <s v="Atego 1729 S"/>
    <s v="3ML"/>
    <s v="3ML"/>
    <n v="0.5"/>
    <s v="Cambio De Filtro Gas Oíl Y Trampa De Agua"/>
    <d v="2025-09-02T00:00:00"/>
    <n v="542619"/>
    <n v="572619"/>
    <n v="9864.5000000000018"/>
    <n v="20135.5"/>
    <n v="552483.5"/>
    <n v="45"/>
    <n v="844.57346863468638"/>
    <n v="91.85437680571745"/>
    <d v="2025-10-17T00:00:00"/>
    <n v="30000"/>
    <d v="2026-01-16T20:30:18"/>
    <d v="2026-01-16T00:00:00"/>
    <s v="enero"/>
    <s v="Activo"/>
    <m/>
    <m/>
    <s v="C001614"/>
    <s v="FILTRO TRAMPA DE AGUA MB 1933S (A 000 470 24 90) - RE160JQII - MARCA RAMA"/>
    <n v="1"/>
    <n v="13118.81"/>
    <n v="13118.81"/>
    <x v="18"/>
    <m/>
    <m/>
    <m/>
  </r>
  <r>
    <s v="AF118QA"/>
    <s v="ATEGO 1729-S36 CD TE"/>
    <s v="3ML"/>
    <s v="3ML"/>
    <n v="0.5"/>
    <s v="Cambio De Filtro Gas Oíl Y Trampa De Agua"/>
    <d v="2025-01-13T00:00:00"/>
    <n v="26955.5"/>
    <n v="56955.5"/>
    <n v="25182.46000000001"/>
    <n v="4817.53999999999"/>
    <n v="52137.960000000006"/>
    <n v="277"/>
    <n v="102.90352941176479"/>
    <n v="52.991589384039401"/>
    <d v="2025-10-17T00:00:00"/>
    <n v="30000"/>
    <d v="2026-09-26T12:38:34"/>
    <d v="2026-09-26T00:00:00"/>
    <s v="septiembre"/>
    <s v="Activo"/>
    <m/>
    <m/>
    <s v="C001031"/>
    <s v="FILTRO DE COMBUSTIBLE MANN PU1046/1X"/>
    <n v="1"/>
    <n v="10535.04"/>
    <n v="10535.04"/>
    <x v="18"/>
    <m/>
    <m/>
    <m/>
  </r>
  <r>
    <s v="AF118QA"/>
    <s v="ATEGO 1729-S36 CD TE"/>
    <s v="3ML"/>
    <s v="3ML"/>
    <n v="0.5"/>
    <s v="Cambio De Filtro Gas Oíl Y Trampa De Agua"/>
    <d v="2025-01-13T00:00:00"/>
    <n v="26955.5"/>
    <n v="56955.5"/>
    <n v="25182.46000000001"/>
    <n v="4817.53999999999"/>
    <n v="52137.960000000006"/>
    <n v="277"/>
    <n v="102.90352941176479"/>
    <n v="52.991589384039401"/>
    <d v="2025-10-17T00:00:00"/>
    <n v="30000"/>
    <d v="2026-09-26T12:38:34"/>
    <d v="2026-09-26T00:00:00"/>
    <s v="septiembre"/>
    <s v="Activo"/>
    <m/>
    <m/>
    <s v="C001614"/>
    <s v="FILTRO TRAMPA DE AGUA MB 1933S (A 000 470 24 90) - RE160JQII - MARCA RAMA"/>
    <n v="1"/>
    <n v="13118.81"/>
    <n v="13118.81"/>
    <x v="18"/>
    <m/>
    <m/>
    <m/>
  </r>
  <r>
    <s v="AF148MS"/>
    <s v="AXOR 1933 S"/>
    <s v="3ML"/>
    <s v="3ML"/>
    <n v="0.5"/>
    <s v="Cambio De Filtro Gas Oíl Y Trampa De Agua"/>
    <d v="2025-08-20T00:00:00"/>
    <n v="401776"/>
    <n v="431776"/>
    <n v="11957.5"/>
    <n v="18042.5"/>
    <n v="413733.5"/>
    <n v="58"/>
    <n v="328.18794117647042"/>
    <n v="87.515366924524358"/>
    <d v="2025-10-17T00:00:00"/>
    <n v="30000"/>
    <d v="2026-01-12T12:22:08"/>
    <d v="2026-01-12T00:00:00"/>
    <s v="enero"/>
    <s v="Activo"/>
    <m/>
    <m/>
    <s v="C001031"/>
    <s v="FILTRO DE COMBUSTIBLE MANN PU1046/1X"/>
    <n v="1"/>
    <n v="10535.04"/>
    <n v="10535.04"/>
    <x v="18"/>
    <m/>
    <m/>
    <m/>
  </r>
  <r>
    <s v="AF148MS"/>
    <s v="AXOR 1933 S"/>
    <s v="3ML"/>
    <s v="3ML"/>
    <n v="0.5"/>
    <s v="Cambio De Filtro Gas Oíl Y Trampa De Agua"/>
    <d v="2025-08-20T00:00:00"/>
    <n v="401776"/>
    <n v="431776"/>
    <n v="11957.5"/>
    <n v="18042.5"/>
    <n v="413733.5"/>
    <n v="58"/>
    <n v="328.18794117647042"/>
    <n v="87.515366924524358"/>
    <d v="2025-10-17T00:00:00"/>
    <n v="30000"/>
    <d v="2026-01-12T12:22:08"/>
    <d v="2026-01-12T00:00:00"/>
    <s v="enero"/>
    <s v="Activo"/>
    <m/>
    <m/>
    <s v="C001614"/>
    <s v="FILTRO TRAMPA DE AGUA MB 1933S (A 000 470 24 90) - RE160JQII - MARCA RAMA"/>
    <n v="1"/>
    <n v="13118.81"/>
    <n v="13118.81"/>
    <x v="18"/>
    <m/>
    <m/>
    <m/>
  </r>
  <r>
    <s v="AG238NS"/>
    <s v="ATEGO 1729-S36 CD TE"/>
    <s v="3ML"/>
    <s v="3ML"/>
    <n v="0.5"/>
    <s v="Cambio De Filtro Gas Oíl Y Trampa De Agua"/>
    <d v="2025-07-31T00:00:00"/>
    <n v="165086"/>
    <n v="195086"/>
    <n v="12624.7"/>
    <n v="17375.3"/>
    <n v="177710.7"/>
    <n v="78"/>
    <n v="266.23473282442751"/>
    <n v="107.3509390322146"/>
    <d v="2025-10-17T00:00:00"/>
    <n v="30000"/>
    <d v="2026-02-01T08:25:21"/>
    <d v="2026-02-01T00:00:00"/>
    <s v="febrero"/>
    <s v="Activo"/>
    <m/>
    <m/>
    <s v="C001031"/>
    <s v="FILTRO DE COMBUSTIBLE MANN PU1046/1X"/>
    <n v="1"/>
    <n v="10535.04"/>
    <n v="10535.04"/>
    <x v="18"/>
    <m/>
    <m/>
    <m/>
  </r>
  <r>
    <s v="AG238NS"/>
    <s v="ATEGO 1729-S36 CD TE"/>
    <s v="3ML"/>
    <s v="3ML"/>
    <n v="0.5"/>
    <s v="Cambio De Filtro Gas Oíl Y Trampa De Agua"/>
    <d v="2025-07-31T00:00:00"/>
    <n v="165086"/>
    <n v="195086"/>
    <n v="12624.7"/>
    <n v="17375.3"/>
    <n v="177710.7"/>
    <n v="78"/>
    <n v="266.23473282442751"/>
    <n v="107.3509390322146"/>
    <d v="2025-10-17T00:00:00"/>
    <n v="30000"/>
    <d v="2026-02-01T08:25:21"/>
    <d v="2026-02-01T00:00:00"/>
    <s v="febrero"/>
    <s v="Activo"/>
    <m/>
    <m/>
    <s v="C001614"/>
    <s v="FILTRO TRAMPA DE AGUA MB 1933S (A 000 470 24 90) - RE160JQII - MARCA RAMA"/>
    <n v="1"/>
    <n v="13118.81"/>
    <n v="13118.81"/>
    <x v="18"/>
    <m/>
    <m/>
    <m/>
  </r>
  <r>
    <s v="AG269WH"/>
    <s v="ATEGO 1729-S36 CD TE"/>
    <s v="3ML"/>
    <s v="3ML"/>
    <n v="0.5"/>
    <s v="Cambio De Filtro Gas Oíl Y Trampa De Agua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3-02T16:28:33"/>
    <d v="2026-03-02T00:00:00"/>
    <s v="marzo"/>
    <s v="Activo"/>
    <m/>
    <m/>
    <s v="C001031"/>
    <s v="FILTRO DE COMBUSTIBLE MANN PU1046/1X"/>
    <n v="1"/>
    <n v="10535.04"/>
    <n v="10535.04"/>
    <x v="18"/>
    <m/>
    <m/>
    <m/>
  </r>
  <r>
    <s v="AG269WH"/>
    <s v="ATEGO 1729-S36 CD TE"/>
    <s v="3ML"/>
    <s v="3ML"/>
    <n v="0.5"/>
    <s v="Cambio De Filtro Gas Oíl Y Trampa De Agua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3-02T16:28:33"/>
    <d v="2026-03-02T00:00:00"/>
    <s v="marzo"/>
    <s v="Activo"/>
    <m/>
    <m/>
    <s v="C001614"/>
    <s v="FILTRO TRAMPA DE AGUA MB 1933S (A 000 470 24 90) - RE160JQII - MARCA RAMA"/>
    <n v="1"/>
    <n v="13118.81"/>
    <n v="13118.81"/>
    <x v="18"/>
    <m/>
    <m/>
    <m/>
  </r>
  <r>
    <s v="KJH882"/>
    <s v="AXOR 1933 S"/>
    <s v="3ML"/>
    <s v="3ML"/>
    <n v="0.5"/>
    <s v="Cambio De Filtro Gas Oíl Y Trampa De Agua"/>
    <d v="2025-06-02T00:00:00"/>
    <n v="367233"/>
    <n v="397233"/>
    <n v="10569.3"/>
    <n v="19430.7"/>
    <n v="377802.3"/>
    <n v="137"/>
    <n v="68.452272727272742"/>
    <n v="251.8620816894213"/>
    <d v="2025-10-17T00:00:00"/>
    <n v="30000"/>
    <d v="2026-06-25T20:41:24"/>
    <d v="2026-06-25T00:00:00"/>
    <s v="junio"/>
    <s v="Activo"/>
    <m/>
    <m/>
    <s v="C001031"/>
    <s v="FILTRO DE COMBUSTIBLE MANN PU1046/1X"/>
    <n v="1"/>
    <n v="10535.04"/>
    <n v="10535.04"/>
    <x v="11"/>
    <m/>
    <m/>
    <m/>
  </r>
  <r>
    <s v="KJH882"/>
    <s v="AXOR 1933 S"/>
    <s v="3ML"/>
    <s v="3ML"/>
    <n v="0.5"/>
    <s v="Cambio De Filtro Gas Oíl Y Trampa De Agua"/>
    <d v="2025-06-02T00:00:00"/>
    <n v="367233"/>
    <n v="397233"/>
    <n v="10569.3"/>
    <n v="19430.7"/>
    <n v="377802.3"/>
    <n v="137"/>
    <n v="68.452272727272742"/>
    <n v="251.8620816894213"/>
    <d v="2025-10-17T00:00:00"/>
    <n v="30000"/>
    <d v="2026-06-25T20:41:24"/>
    <d v="2026-06-25T00:00:00"/>
    <s v="junio"/>
    <s v="Activo"/>
    <m/>
    <m/>
    <s v="C001614"/>
    <s v="FILTRO TRAMPA DE AGUA MB 1933S (A 000 470 24 90) - RE160JQII - MARCA RAMA"/>
    <n v="1"/>
    <n v="13118.81"/>
    <n v="13118.81"/>
    <x v="11"/>
    <m/>
    <m/>
    <m/>
  </r>
  <r>
    <s v="KIP032"/>
    <s v="ATEGO 1725-S36"/>
    <s v="3ML"/>
    <s v="3ML"/>
    <n v="0.5"/>
    <s v="Cambio De Filtro Gas Oíl Y Trampa De Agua"/>
    <d v="2025-09-18T00:00:00"/>
    <n v="41172.300000000003"/>
    <n v="71172.3"/>
    <n v="0"/>
    <n v="30000"/>
    <n v="41172.300000000003"/>
    <n v="29"/>
    <n v="24.119335793357951"/>
    <n v="300"/>
    <d v="2025-10-17T00:00:00"/>
    <n v="30000"/>
    <d v="2026-08-13T00:00:00"/>
    <d v="2026-08-13T00:00:00"/>
    <s v="agosto"/>
    <s v="Activo"/>
    <m/>
    <m/>
    <s v="C001031"/>
    <s v="FILTRO DE COMBUSTIBLE MANN PU1046/1X"/>
    <n v="1"/>
    <n v="10535.04"/>
    <n v="10535.04"/>
    <x v="15"/>
    <m/>
    <m/>
    <m/>
  </r>
  <r>
    <s v="KIP032"/>
    <s v="ATEGO 1725-S36"/>
    <s v="3ML"/>
    <s v="3ML"/>
    <n v="0.5"/>
    <s v="Cambio De Filtro Gas Oíl Y Trampa De Agua"/>
    <d v="2025-09-18T00:00:00"/>
    <n v="41172.300000000003"/>
    <n v="71172.3"/>
    <n v="0"/>
    <n v="30000"/>
    <n v="41172.300000000003"/>
    <n v="29"/>
    <n v="24.119335793357951"/>
    <n v="300"/>
    <d v="2025-10-17T00:00:00"/>
    <n v="30000"/>
    <d v="2026-08-13T00:00:00"/>
    <d v="2026-08-13T00:00:00"/>
    <s v="agosto"/>
    <s v="Activo"/>
    <m/>
    <m/>
    <s v="C001614"/>
    <s v="FILTRO TRAMPA DE AGUA MB 1933S (A 000 470 24 90) - RE160JQII - MARCA RAMA"/>
    <n v="1"/>
    <n v="13118.81"/>
    <n v="13118.81"/>
    <x v="15"/>
    <m/>
    <m/>
    <m/>
  </r>
  <r>
    <s v="IDX164"/>
    <s v="AXOR 1933 S"/>
    <s v="3ML"/>
    <s v="3ML"/>
    <n v="0.5"/>
    <s v="Cambio De Filtro Gas Oíl Y Trampa De Agua"/>
    <d v="2025-08-28T00:00:00"/>
    <n v="1944647"/>
    <n v="1974647"/>
    <n v="11028.1"/>
    <n v="18971.900000000001"/>
    <n v="1955675.1"/>
    <n v="50"/>
    <n v="1849.550539936103"/>
    <n v="86.016176857300891"/>
    <d v="2025-10-17T00:00:00"/>
    <n v="30000"/>
    <d v="2026-01-11T00:23:18"/>
    <d v="2026-01-11T00:00:00"/>
    <s v="enero"/>
    <s v="Activo"/>
    <m/>
    <m/>
    <s v="C001031"/>
    <s v="FILTRO DE COMBUSTIBLE MANN PU1046/1X"/>
    <n v="1"/>
    <n v="10535.04"/>
    <n v="10535.04"/>
    <x v="15"/>
    <m/>
    <m/>
    <m/>
  </r>
  <r>
    <s v="IDX164"/>
    <s v="AXOR 1933 S"/>
    <s v="3ML"/>
    <s v="3ML"/>
    <n v="0.5"/>
    <s v="Cambio De Filtro Gas Oíl Y Trampa De Agua"/>
    <d v="2025-08-28T00:00:00"/>
    <n v="1944647"/>
    <n v="1974647"/>
    <n v="11028.1"/>
    <n v="18971.900000000001"/>
    <n v="1955675.1"/>
    <n v="50"/>
    <n v="1849.550539936103"/>
    <n v="86.016176857300891"/>
    <d v="2025-10-17T00:00:00"/>
    <n v="30000"/>
    <d v="2026-01-11T00:23:18"/>
    <d v="2026-01-11T00:00:00"/>
    <s v="enero"/>
    <s v="Activo"/>
    <m/>
    <m/>
    <s v="C001614"/>
    <s v="FILTRO TRAMPA DE AGUA MB 1933S (A 000 470 24 90) - RE160JQII - MARCA RAMA"/>
    <n v="1"/>
    <n v="13118.81"/>
    <n v="13118.81"/>
    <x v="15"/>
    <m/>
    <m/>
    <m/>
  </r>
  <r>
    <s v="IDX165"/>
    <s v="AXOR 1933 S"/>
    <s v="3ML"/>
    <s v="3ML"/>
    <n v="0.5"/>
    <s v="Cambio De Filtro Gas Oíl Y Trampa De Agua"/>
    <d v="2024-07-05T00:00:00"/>
    <n v="901266"/>
    <n v="931266"/>
    <n v="56774.349999999977"/>
    <n v="-26774.34999999998"/>
    <n v="958040.35"/>
    <n v="469"/>
    <n v="126.37693548387099"/>
    <n v="-221.17681928546949"/>
    <d v="2025-10-17T00:00:00"/>
    <n v="30000"/>
    <d v="2026-06-11T09:14:32"/>
    <d v="2026-06-11T00:00:00"/>
    <s v="junio"/>
    <s v="Activo"/>
    <m/>
    <m/>
    <s v="C001031"/>
    <s v="FILTRO DE COMBUSTIBLE MANN PU1046/1X"/>
    <n v="1"/>
    <n v="10535.04"/>
    <n v="10535.04"/>
    <x v="4"/>
    <m/>
    <m/>
    <m/>
  </r>
  <r>
    <s v="IDX165"/>
    <s v="AXOR 1933 S"/>
    <s v="3ML"/>
    <s v="3ML"/>
    <n v="0.5"/>
    <s v="Cambio De Filtro Gas Oíl Y Trampa De Agua"/>
    <d v="2024-07-05T00:00:00"/>
    <n v="901266"/>
    <n v="931266"/>
    <n v="56774.349999999977"/>
    <n v="-26774.34999999998"/>
    <n v="958040.35"/>
    <n v="469"/>
    <n v="126.37693548387099"/>
    <n v="-221.17681928546949"/>
    <d v="2025-10-17T00:00:00"/>
    <n v="30000"/>
    <d v="2026-06-11T09:14:32"/>
    <d v="2026-06-11T00:00:00"/>
    <s v="junio"/>
    <s v="Activo"/>
    <m/>
    <m/>
    <s v="C001614"/>
    <s v="FILTRO TRAMPA DE AGUA MB 1933S (A 000 470 24 90) - RE160JQII - MARCA RAMA"/>
    <n v="1"/>
    <n v="13118.81"/>
    <n v="13118.81"/>
    <x v="4"/>
    <m/>
    <m/>
    <m/>
  </r>
  <r>
    <s v="JIU311"/>
    <s v="AXOR 1933 S"/>
    <s v="3ML"/>
    <s v="3ML"/>
    <n v="0.5"/>
    <s v="Cambio De Filtro Gas Oíl Y Trampa De Agua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1-23T23:37:48"/>
    <d v="2026-01-23T00:00:00"/>
    <s v="enero"/>
    <s v="Activo"/>
    <m/>
    <m/>
    <s v="C001031"/>
    <s v="FILTRO DE COMBUSTIBLE MANN PU1046/1X"/>
    <n v="1"/>
    <n v="10535.04"/>
    <n v="10535.04"/>
    <x v="15"/>
    <m/>
    <m/>
    <m/>
  </r>
  <r>
    <s v="JIU311"/>
    <s v="AXOR 1933 S"/>
    <s v="3ML"/>
    <s v="3ML"/>
    <n v="0.5"/>
    <s v="Cambio De Filtro Gas Oíl Y Trampa De Agua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1-23T23:37:48"/>
    <d v="2026-01-23T00:00:00"/>
    <s v="enero"/>
    <s v="Activo"/>
    <m/>
    <m/>
    <s v="C001614"/>
    <s v="FILTRO TRAMPA DE AGUA MB 1933S (A 000 470 24 90) - RE160JQII - MARCA RAMA"/>
    <n v="1"/>
    <n v="13118.81"/>
    <n v="13118.81"/>
    <x v="15"/>
    <m/>
    <m/>
    <m/>
  </r>
  <r>
    <s v="KBO542"/>
    <s v="AXOR 1933 S"/>
    <s v="3ML"/>
    <s v="3ML"/>
    <n v="0.5"/>
    <s v="Cambio De Filtro Gas Oíl Y Trampa De Agua"/>
    <d v="2025-08-11T00:00:00"/>
    <n v="1839556"/>
    <n v="1869556"/>
    <n v="11612.7"/>
    <n v="18387.3"/>
    <n v="1851168.7"/>
    <n v="67"/>
    <n v="155.41622516556279"/>
    <n v="106.0863623446744"/>
    <d v="2025-10-17T00:00:00"/>
    <n v="30000"/>
    <d v="2026-01-31T02:04:22"/>
    <d v="2026-01-31T00:00:00"/>
    <s v="enero"/>
    <s v="Activo"/>
    <m/>
    <m/>
    <s v="C001031"/>
    <s v="FILTRO DE COMBUSTIBLE MANN PU1046/1X"/>
    <n v="1"/>
    <n v="10535.04"/>
    <n v="10535.04"/>
    <x v="15"/>
    <m/>
    <m/>
    <m/>
  </r>
  <r>
    <s v="KBO542"/>
    <s v="AXOR 1933 S"/>
    <s v="3ML"/>
    <s v="3ML"/>
    <n v="0.5"/>
    <s v="Cambio De Filtro Gas Oíl Y Trampa De Agua"/>
    <d v="2025-08-11T00:00:00"/>
    <n v="1839556"/>
    <n v="1869556"/>
    <n v="11612.7"/>
    <n v="18387.3"/>
    <n v="1851168.7"/>
    <n v="67"/>
    <n v="155.41622516556279"/>
    <n v="106.0863623446744"/>
    <d v="2025-10-17T00:00:00"/>
    <n v="30000"/>
    <d v="2026-01-31T02:04:22"/>
    <d v="2026-01-31T00:00:00"/>
    <s v="enero"/>
    <s v="Activo"/>
    <m/>
    <m/>
    <s v="C001614"/>
    <s v="FILTRO TRAMPA DE AGUA MB 1933S (A 000 470 24 90) - RE160JQII - MARCA RAMA"/>
    <n v="1"/>
    <n v="13118.81"/>
    <n v="13118.81"/>
    <x v="15"/>
    <m/>
    <m/>
    <m/>
  </r>
  <r>
    <s v="KUF609"/>
    <s v="AXOR 1933-36 S"/>
    <s v="3ML"/>
    <s v="3ML"/>
    <n v="0.5"/>
    <s v="Cambio De Filtro Gas Oíl Y Trampa De Agua"/>
    <d v="2025-09-22T00:00:00"/>
    <n v="1817011"/>
    <n v="1847011"/>
    <n v="3227.7"/>
    <n v="26772.3"/>
    <n v="1820238.7"/>
    <n v="25"/>
    <n v="289.98935849056602"/>
    <n v="207.3636025652942"/>
    <d v="2025-10-17T00:00:00"/>
    <n v="30000"/>
    <d v="2026-05-12T08:43:35"/>
    <d v="2026-05-12T00:00:00"/>
    <s v="mayo"/>
    <s v="Activo"/>
    <m/>
    <m/>
    <s v="C001031"/>
    <s v="FILTRO DE COMBUSTIBLE MANN PU1046/1X"/>
    <n v="1"/>
    <n v="10535.04"/>
    <n v="10535.04"/>
    <x v="15"/>
    <m/>
    <m/>
    <m/>
  </r>
  <r>
    <s v="KUF609"/>
    <s v="AXOR 1933-36 S"/>
    <s v="3ML"/>
    <s v="3ML"/>
    <n v="0.5"/>
    <s v="Cambio De Filtro Gas Oíl Y Trampa De Agua"/>
    <d v="2025-09-22T00:00:00"/>
    <n v="1817011"/>
    <n v="1847011"/>
    <n v="3227.7"/>
    <n v="26772.3"/>
    <n v="1820238.7"/>
    <n v="25"/>
    <n v="289.98935849056602"/>
    <n v="207.3636025652942"/>
    <d v="2025-10-17T00:00:00"/>
    <n v="30000"/>
    <d v="2026-05-12T08:43:35"/>
    <d v="2026-05-12T00:00:00"/>
    <s v="mayo"/>
    <s v="Activo"/>
    <m/>
    <m/>
    <s v="C001614"/>
    <s v="FILTRO TRAMPA DE AGUA MB 1933S (A 000 470 24 90) - RE160JQII - MARCA RAMA"/>
    <n v="1"/>
    <n v="13118.81"/>
    <n v="13118.81"/>
    <x v="15"/>
    <m/>
    <m/>
    <m/>
  </r>
  <r>
    <s v="IDX163"/>
    <s v="AXOR 1933 S"/>
    <s v="3ML"/>
    <s v="3ML"/>
    <n v="0.5"/>
    <s v="Cambio De Filtro Gas Oíl Y Trampa De Agua"/>
    <d v="2025-04-16T00:00:00"/>
    <n v="1556403"/>
    <n v="1586403"/>
    <n v="17285.8"/>
    <n v="12714.2"/>
    <n v="1573688.8"/>
    <n v="184"/>
    <n v="81.249174917491729"/>
    <n v="135.33725948466369"/>
    <d v="2025-10-17T00:00:00"/>
    <n v="30000"/>
    <d v="2026-03-01T08:05:39"/>
    <d v="2026-03-01T00:00:00"/>
    <s v="marzo"/>
    <s v="Activo"/>
    <m/>
    <m/>
    <s v="C001031"/>
    <s v="FILTRO DE COMBUSTIBLE MANN PU1046/1X"/>
    <n v="1"/>
    <n v="10535.04"/>
    <n v="10535.04"/>
    <x v="5"/>
    <m/>
    <m/>
    <m/>
  </r>
  <r>
    <s v="IDX163"/>
    <s v="AXOR 1933 S"/>
    <s v="3ML"/>
    <s v="3ML"/>
    <n v="0.5"/>
    <s v="Cambio De Filtro Gas Oíl Y Trampa De Agua"/>
    <d v="2025-04-16T00:00:00"/>
    <n v="1556403"/>
    <n v="1586403"/>
    <n v="17285.8"/>
    <n v="12714.2"/>
    <n v="1573688.8"/>
    <n v="184"/>
    <n v="81.249174917491729"/>
    <n v="135.33725948466369"/>
    <d v="2025-10-17T00:00:00"/>
    <n v="30000"/>
    <d v="2026-03-01T08:05:39"/>
    <d v="2026-03-01T00:00:00"/>
    <s v="marzo"/>
    <s v="Activo"/>
    <m/>
    <m/>
    <s v="C001614"/>
    <s v="FILTRO TRAMPA DE AGUA MB 1933S (A 000 470 24 90) - RE160JQII - MARCA RAMA"/>
    <n v="1"/>
    <n v="13118.81"/>
    <n v="13118.81"/>
    <x v="5"/>
    <m/>
    <m/>
    <m/>
  </r>
  <r>
    <s v="KJH885"/>
    <s v="AXOR 1933 S"/>
    <s v="3ML"/>
    <s v="3ML"/>
    <n v="0.5"/>
    <s v="Cambio De Filtro Gas Oíl Y Trampa De Agua"/>
    <d v="2025-07-21T00:00:00"/>
    <n v="1612281"/>
    <n v="1642281"/>
    <n v="5237.8999999999996"/>
    <n v="24762.1"/>
    <n v="1617518.9"/>
    <n v="88"/>
    <n v="69.384019292604506"/>
    <n v="416.0187861547567"/>
    <d v="2025-10-17T00:00:00"/>
    <n v="30000"/>
    <d v="2026-12-07T00:27:03"/>
    <d v="2026-12-07T00:00:00"/>
    <s v="diciembre"/>
    <s v="Activo"/>
    <m/>
    <m/>
    <s v="C001031"/>
    <s v="FILTRO DE COMBUSTIBLE MANN PU1046/1X"/>
    <n v="1"/>
    <n v="10535.04"/>
    <n v="10535.04"/>
    <x v="11"/>
    <m/>
    <m/>
    <m/>
  </r>
  <r>
    <s v="KJH885"/>
    <s v="AXOR 1933 S"/>
    <s v="3ML"/>
    <s v="3ML"/>
    <n v="0.5"/>
    <s v="Cambio De Filtro Gas Oíl Y Trampa De Agua"/>
    <d v="2025-07-21T00:00:00"/>
    <n v="1612281"/>
    <n v="1642281"/>
    <n v="5237.8999999999996"/>
    <n v="24762.1"/>
    <n v="1617518.9"/>
    <n v="88"/>
    <n v="69.384019292604506"/>
    <n v="416.0187861547567"/>
    <d v="2025-10-17T00:00:00"/>
    <n v="30000"/>
    <d v="2026-12-07T00:27:03"/>
    <d v="2026-12-07T00:00:00"/>
    <s v="diciembre"/>
    <s v="Activo"/>
    <m/>
    <m/>
    <s v="C001614"/>
    <s v="FILTRO TRAMPA DE AGUA MB 1933S (A 000 470 24 90) - RE160JQII - MARCA RAMA"/>
    <n v="1"/>
    <n v="13118.81"/>
    <n v="13118.81"/>
    <x v="11"/>
    <m/>
    <m/>
    <m/>
  </r>
  <r>
    <s v="AG300AR"/>
    <s v="ATEGO 1729-S36 CD TE"/>
    <s v="3ML"/>
    <s v="3ML"/>
    <n v="0.5"/>
    <s v="Cambio De Filtro Gas Oíl Y Trampa De Agua"/>
    <d v="2025-05-22T00:00:00"/>
    <n v="34072.6"/>
    <n v="64072.6"/>
    <n v="9725.4000000000015"/>
    <n v="20274.599999999999"/>
    <n v="43798"/>
    <n v="148"/>
    <n v="61.669847328244273"/>
    <n v="308.53649207230552"/>
    <d v="2025-10-17T00:00:00"/>
    <n v="30000"/>
    <d v="2026-08-21T12:52:33"/>
    <d v="2026-08-21T00:00:00"/>
    <s v="agosto"/>
    <s v="Activo"/>
    <m/>
    <m/>
    <s v="C001031"/>
    <s v="FILTRO DE COMBUSTIBLE MANN PU1046/1X"/>
    <n v="1"/>
    <n v="10535.04"/>
    <n v="10535.04"/>
    <x v="11"/>
    <m/>
    <m/>
    <m/>
  </r>
  <r>
    <s v="AG300AR"/>
    <s v="ATEGO 1729-S36 CD TE"/>
    <s v="3ML"/>
    <s v="3ML"/>
    <n v="0.5"/>
    <s v="Cambio De Filtro Gas Oíl Y Trampa De Agua"/>
    <d v="2025-05-22T00:00:00"/>
    <n v="34072.6"/>
    <n v="64072.6"/>
    <n v="9725.4000000000015"/>
    <n v="20274.599999999999"/>
    <n v="43798"/>
    <n v="148"/>
    <n v="61.669847328244273"/>
    <n v="308.53649207230552"/>
    <d v="2025-10-17T00:00:00"/>
    <n v="30000"/>
    <d v="2026-08-21T12:52:33"/>
    <d v="2026-08-21T00:00:00"/>
    <s v="agosto"/>
    <s v="Activo"/>
    <m/>
    <m/>
    <s v="C001614"/>
    <s v="FILTRO TRAMPA DE AGUA MB 1933S (A 000 470 24 90) - RE160JQII - MARCA RAMA"/>
    <n v="1"/>
    <n v="13118.81"/>
    <n v="13118.81"/>
    <x v="11"/>
    <m/>
    <m/>
    <m/>
  </r>
  <r>
    <s v="AD426HT"/>
    <s v="AXOR 2541 LS"/>
    <s v="3ML 1"/>
    <s v="3ML"/>
    <n v="0.5"/>
    <s v="Cambio De Filtro Gas Oíl Y Trampa De Agua"/>
    <d v="2025-09-10T00:00:00"/>
    <n v="710185"/>
    <n v="740185"/>
    <n v="5358.4999999999991"/>
    <n v="24641.5"/>
    <n v="715543.5"/>
    <n v="37"/>
    <n v="276.33435114503811"/>
    <n v="170.14752262760101"/>
    <d v="2025-10-17T00:00:00"/>
    <n v="30000"/>
    <d v="2026-04-05T03:32:26"/>
    <d v="2026-04-05T00:00:00"/>
    <s v="abril"/>
    <s v="Activo"/>
    <m/>
    <m/>
    <s v="C001032"/>
    <s v="FILTRO DE COMBUSTIBLE MANN PU999/1X"/>
    <n v="1"/>
    <n v="19823.39"/>
    <n v="19823.39"/>
    <x v="23"/>
    <m/>
    <m/>
    <m/>
  </r>
  <r>
    <s v="AD426HT"/>
    <s v="AXOR 2541 LS"/>
    <s v="3ML 1"/>
    <s v="3ML"/>
    <n v="0.5"/>
    <s v="Cambio De Filtro Gas Oíl Y Trampa De Agua"/>
    <d v="2025-09-10T00:00:00"/>
    <n v="710185"/>
    <n v="740185"/>
    <n v="5358.4999999999991"/>
    <n v="24641.5"/>
    <n v="715543.5"/>
    <n v="37"/>
    <n v="276.33435114503811"/>
    <n v="170.14752262760101"/>
    <d v="2025-10-17T00:00:00"/>
    <n v="30000"/>
    <d v="2026-04-05T03:32:26"/>
    <d v="2026-04-05T00:00:00"/>
    <s v="abril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HW"/>
    <s v="AXOR 2541 LS"/>
    <s v="3ML 1"/>
    <s v="3ML"/>
    <n v="0.5"/>
    <s v="Cambio De Filtro Gas Oíl Y Trampa De Agua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4-03T22:18:45"/>
    <d v="2026-04-03T00:00:00"/>
    <s v="abril"/>
    <s v="Activo"/>
    <m/>
    <m/>
    <s v="C001032"/>
    <s v="FILTRO DE COMBUSTIBLE MANN PU999/1X"/>
    <n v="1"/>
    <n v="19823.39"/>
    <n v="19823.39"/>
    <x v="23"/>
    <m/>
    <m/>
    <m/>
  </r>
  <r>
    <s v="AD426HW"/>
    <s v="AXOR 2541 LS"/>
    <s v="3ML 1"/>
    <s v="3ML"/>
    <n v="0.5"/>
    <s v="Cambio De Filtro Gas Oíl Y Trampa De Agua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4-03T22:18:45"/>
    <d v="2026-04-03T00:00:00"/>
    <s v="abril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HZ"/>
    <s v="AXOR 2541 LS"/>
    <s v="3ML 1"/>
    <s v="3ML"/>
    <n v="0.5"/>
    <s v="Cambio De Filtro Gas Oíl Y Trampa De Agua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2-08T02:46:06"/>
    <d v="2026-02-08T00:00:00"/>
    <s v="febrero"/>
    <s v="Activo"/>
    <m/>
    <m/>
    <s v="C001032"/>
    <s v="FILTRO DE COMBUSTIBLE MANN PU999/1X"/>
    <n v="1"/>
    <n v="19823.39"/>
    <n v="19823.39"/>
    <x v="23"/>
    <m/>
    <m/>
    <m/>
  </r>
  <r>
    <s v="AD426HZ"/>
    <s v="AXOR 2541 LS"/>
    <s v="3ML 1"/>
    <s v="3ML"/>
    <n v="0.5"/>
    <s v="Cambio De Filtro Gas Oíl Y Trampa De Agua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2-08T02:46:06"/>
    <d v="2026-02-08T00:00:00"/>
    <s v="febrero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HY"/>
    <s v="AXOR 2541 LS"/>
    <s v="3ML 1"/>
    <s v="3ML"/>
    <n v="0.5"/>
    <s v="Cambio De Filtro Gas Oíl Y Trampa De Agua"/>
    <d v="2025-07-26T00:00:00"/>
    <n v="699069"/>
    <n v="729069"/>
    <n v="14311.7"/>
    <n v="15688.3"/>
    <n v="713380.7"/>
    <n v="83"/>
    <n v="266.81618518518519"/>
    <n v="90.983523969898769"/>
    <d v="2025-10-17T00:00:00"/>
    <n v="30000"/>
    <d v="2026-01-15T23:36:16"/>
    <d v="2026-01-15T00:00:00"/>
    <s v="enero"/>
    <s v="Activo"/>
    <m/>
    <m/>
    <s v="C001032"/>
    <s v="FILTRO DE COMBUSTIBLE MANN PU999/1X"/>
    <n v="1"/>
    <n v="19823.39"/>
    <n v="19823.39"/>
    <x v="23"/>
    <m/>
    <m/>
    <m/>
  </r>
  <r>
    <s v="AD426HY"/>
    <s v="AXOR 2541 LS"/>
    <s v="3ML 1"/>
    <s v="3ML"/>
    <n v="0.5"/>
    <s v="Cambio De Filtro Gas Oíl Y Trampa De Agua"/>
    <d v="2025-07-26T00:00:00"/>
    <n v="699069"/>
    <n v="729069"/>
    <n v="14311.7"/>
    <n v="15688.3"/>
    <n v="713380.7"/>
    <n v="83"/>
    <n v="266.81618518518519"/>
    <n v="90.983523969898769"/>
    <d v="2025-10-17T00:00:00"/>
    <n v="30000"/>
    <d v="2026-01-15T23:36:16"/>
    <d v="2026-01-15T00:00:00"/>
    <s v="enero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IJ"/>
    <s v="AXOR 2541 LS"/>
    <s v="3ML 1"/>
    <s v="3ML"/>
    <n v="0.5"/>
    <s v="Cambio De Filtro Gas Oíl Y Trampa De Agua"/>
    <d v="2025-08-08T00:00:00"/>
    <n v="770332"/>
    <n v="800332"/>
    <n v="13259.4"/>
    <n v="16740.599999999999"/>
    <n v="783591.4"/>
    <n v="70"/>
    <n v="276.97442748091589"/>
    <n v="88.378207158694963"/>
    <d v="2025-10-17T00:00:00"/>
    <n v="30000"/>
    <d v="2026-01-13T09:04:37"/>
    <d v="2026-01-13T00:00:00"/>
    <s v="enero"/>
    <s v="Activo"/>
    <m/>
    <m/>
    <s v="C001032"/>
    <s v="FILTRO DE COMBUSTIBLE MANN PU999/1X"/>
    <n v="1"/>
    <n v="19823.39"/>
    <n v="19823.39"/>
    <x v="23"/>
    <m/>
    <m/>
    <m/>
  </r>
  <r>
    <s v="AD426IJ"/>
    <s v="AXOR 2541 LS"/>
    <s v="3ML 1"/>
    <s v="3ML"/>
    <n v="0.5"/>
    <s v="Cambio De Filtro Gas Oíl Y Trampa De Agua"/>
    <d v="2025-08-08T00:00:00"/>
    <n v="770332"/>
    <n v="800332"/>
    <n v="13259.4"/>
    <n v="16740.599999999999"/>
    <n v="783591.4"/>
    <n v="70"/>
    <n v="276.97442748091589"/>
    <n v="88.378207158694963"/>
    <d v="2025-10-17T00:00:00"/>
    <n v="30000"/>
    <d v="2026-01-13T09:04:37"/>
    <d v="2026-01-13T00:00:00"/>
    <s v="enero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IF"/>
    <s v="AXOR 2541 LS"/>
    <s v="3ML 1"/>
    <s v="3ML"/>
    <n v="0.5"/>
    <s v="Cambio De Filtro Gas Oíl Y Trampa De Agua"/>
    <d v="2025-09-30T00:00:00"/>
    <n v="845528"/>
    <n v="875528"/>
    <n v="0"/>
    <n v="30000"/>
    <n v="845528"/>
    <n v="17"/>
    <n v="323.35572519083951"/>
    <n v="300"/>
    <d v="2025-10-17T00:00:00"/>
    <n v="30000"/>
    <d v="2026-08-13T00:00:00"/>
    <d v="2026-08-13T00:00:00"/>
    <s v="agosto"/>
    <s v="Activo"/>
    <m/>
    <m/>
    <s v="C001032"/>
    <s v="FILTRO DE COMBUSTIBLE MANN PU999/1X"/>
    <n v="1"/>
    <n v="19823.39"/>
    <n v="19823.39"/>
    <x v="23"/>
    <m/>
    <m/>
    <m/>
  </r>
  <r>
    <s v="AD426IF"/>
    <s v="AXOR 2541 LS"/>
    <s v="3ML 1"/>
    <s v="3ML"/>
    <n v="0.5"/>
    <s v="Cambio De Filtro Gas Oíl Y Trampa De Agua"/>
    <d v="2025-09-30T00:00:00"/>
    <n v="845528"/>
    <n v="875528"/>
    <n v="0"/>
    <n v="30000"/>
    <n v="845528"/>
    <n v="17"/>
    <n v="323.35572519083951"/>
    <n v="300"/>
    <d v="2025-10-17T00:00:00"/>
    <n v="30000"/>
    <d v="2026-08-13T00:00:00"/>
    <d v="2026-08-13T00:00:00"/>
    <s v="agosto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IH"/>
    <s v="AXOR 2541 LS"/>
    <s v="3ML 1"/>
    <s v="3ML"/>
    <n v="0.5"/>
    <s v="Cambio De Filtro Gas Oíl Y Trampa De Agua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1-23T21:30:50"/>
    <d v="2026-01-23T00:00:00"/>
    <s v="enero"/>
    <s v="Activo"/>
    <m/>
    <m/>
    <s v="C001032"/>
    <s v="FILTRO DE COMBUSTIBLE MANN PU999/1X"/>
    <n v="1"/>
    <n v="19823.39"/>
    <n v="19823.39"/>
    <x v="23"/>
    <m/>
    <m/>
    <m/>
  </r>
  <r>
    <s v="AD426IH"/>
    <s v="AXOR 2541 LS"/>
    <s v="3ML 1"/>
    <s v="3ML"/>
    <n v="0.5"/>
    <s v="Cambio De Filtro Gas Oíl Y Trampa De Agua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1-23T21:30:50"/>
    <d v="2026-01-23T00:00:00"/>
    <s v="enero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HU"/>
    <s v="AXOR 2541 LS"/>
    <s v="3ML 1"/>
    <s v="3ML"/>
    <n v="0.5"/>
    <s v="Cambio De Filtro Gas Oíl Y Trampa De Agua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2-14T03:28:37"/>
    <d v="2026-02-14T00:00:00"/>
    <s v="febrero"/>
    <s v="Activo"/>
    <m/>
    <m/>
    <s v="C001032"/>
    <s v="FILTRO DE COMBUSTIBLE MANN PU999/1X"/>
    <n v="1"/>
    <n v="19823.39"/>
    <n v="19823.39"/>
    <x v="23"/>
    <m/>
    <m/>
    <m/>
  </r>
  <r>
    <s v="AD426HU"/>
    <s v="AXOR 2541 LS"/>
    <s v="3ML 1"/>
    <s v="3ML"/>
    <n v="0.5"/>
    <s v="Cambio De Filtro Gas Oíl Y Trampa De Agua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2-14T03:28:37"/>
    <d v="2026-02-14T00:00:00"/>
    <s v="febrero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HV"/>
    <s v="AXOR 2541 LS"/>
    <s v="3ML 1"/>
    <s v="3ML"/>
    <n v="0.5"/>
    <s v="Cambio De Filtro Gas Oíl Y Trampa De Agua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1-31T03:36:08"/>
    <d v="2026-01-31T00:00:00"/>
    <s v="enero"/>
    <s v="Activo"/>
    <m/>
    <m/>
    <s v="C001032"/>
    <s v="FILTRO DE COMBUSTIBLE MANN PU999/1X"/>
    <n v="1"/>
    <n v="19823.39"/>
    <n v="19823.39"/>
    <x v="23"/>
    <m/>
    <m/>
    <m/>
  </r>
  <r>
    <s v="AD426HV"/>
    <s v="AXOR 2541 LS"/>
    <s v="3ML 1"/>
    <s v="3ML"/>
    <n v="0.5"/>
    <s v="Cambio De Filtro Gas Oíl Y Trampa De Agua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1-31T03:36:08"/>
    <d v="2026-01-31T00:00:00"/>
    <s v="enero"/>
    <s v="Activo"/>
    <m/>
    <m/>
    <s v="C001614"/>
    <s v="FILTRO TRAMPA DE AGUA MB 1933S (A 000 470 24 90) - RE160JQII - MARCA RAMA"/>
    <n v="1"/>
    <n v="13118.81"/>
    <n v="13118.81"/>
    <x v="23"/>
    <m/>
    <m/>
    <m/>
  </r>
  <r>
    <s v="AD426HX"/>
    <s v="AXOR 2541 LS"/>
    <s v="3ML 1"/>
    <s v="3ML"/>
    <n v="0.5"/>
    <s v="Cambio De Filtro Gas Oíl Y Trampa De Agua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1-10T02:29:40"/>
    <d v="2026-01-10T00:00:00"/>
    <s v="enero"/>
    <s v="Activo"/>
    <m/>
    <m/>
    <s v="C001032"/>
    <s v="FILTRO DE COMBUSTIBLE MANN PU999/1X"/>
    <n v="1"/>
    <n v="19823.39"/>
    <n v="19823.39"/>
    <x v="23"/>
    <m/>
    <m/>
    <m/>
  </r>
  <r>
    <s v="AD426HX"/>
    <s v="AXOR 2541 LS"/>
    <s v="3ML 1"/>
    <s v="3ML"/>
    <n v="0.5"/>
    <s v="Cambio De Filtro Gas Oíl Y Trampa De Agua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1-10T02:29:40"/>
    <d v="2026-01-10T00:00:00"/>
    <s v="enero"/>
    <s v="Activo"/>
    <m/>
    <m/>
    <s v="C001614"/>
    <s v="FILTRO TRAMPA DE AGUA MB 1933S (A 000 470 24 90) - RE160JQII - MARCA RAMA"/>
    <n v="1"/>
    <n v="13118.81"/>
    <n v="13118.81"/>
    <x v="23"/>
    <m/>
    <m/>
    <m/>
  </r>
  <r>
    <s v="AE700VN"/>
    <s v="AXOR 2036 S ROBUST"/>
    <s v="3ML 1"/>
    <s v="3ML"/>
    <n v="0.5"/>
    <s v="Cambio De Filtro Gas Oíl Y Trampa De Agua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1-03T12:40:33"/>
    <d v="2026-01-03T00:00:00"/>
    <s v="enero"/>
    <s v="Activo"/>
    <m/>
    <m/>
    <s v="C001032"/>
    <s v="FILTRO DE COMBUSTIBLE MANN PU999/1X"/>
    <n v="1"/>
    <n v="19823.39"/>
    <n v="19823.39"/>
    <x v="15"/>
    <m/>
    <m/>
    <m/>
  </r>
  <r>
    <s v="AE700VN"/>
    <s v="AXOR 2036 S ROBUST"/>
    <s v="3ML 1"/>
    <s v="3ML"/>
    <n v="0.5"/>
    <s v="Cambio De Filtro Gas Oíl Y Trampa De Agua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1-03T12:40:33"/>
    <d v="2026-01-03T00:00:00"/>
    <s v="enero"/>
    <s v="Activo"/>
    <m/>
    <m/>
    <s v="C001614"/>
    <s v="FILTRO TRAMPA DE AGUA MB 1933S (A 000 470 24 90) - RE160JQII - MARCA RAMA"/>
    <n v="1"/>
    <n v="13118.81"/>
    <n v="13118.81"/>
    <x v="15"/>
    <m/>
    <m/>
    <m/>
  </r>
  <r>
    <s v="AE700VS"/>
    <s v="AXOR 2036 S ROBUST"/>
    <s v="3ML 1"/>
    <s v="3ML"/>
    <n v="0.5"/>
    <s v="Cambio De Filtro Gas Oíl Y Trampa De Agua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1-16T18:05:05"/>
    <d v="2026-01-16T00:00:00"/>
    <s v="enero"/>
    <s v="Activo"/>
    <m/>
    <m/>
    <s v="C001032"/>
    <s v="FILTRO DE COMBUSTIBLE MANN PU999/1X"/>
    <n v="1"/>
    <n v="19823.39"/>
    <n v="19823.39"/>
    <x v="15"/>
    <m/>
    <m/>
    <m/>
  </r>
  <r>
    <s v="AE700VS"/>
    <s v="AXOR 2036 S ROBUST"/>
    <s v="3ML 1"/>
    <s v="3ML"/>
    <n v="0.5"/>
    <s v="Cambio De Filtro Gas Oíl Y Trampa De Agua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1-16T18:05:05"/>
    <d v="2026-01-16T00:00:00"/>
    <s v="enero"/>
    <s v="Activo"/>
    <m/>
    <m/>
    <s v="C001614"/>
    <s v="FILTRO TRAMPA DE AGUA MB 1933S (A 000 470 24 90) - RE160JQII - MARCA RAMA"/>
    <n v="1"/>
    <n v="13118.81"/>
    <n v="13118.81"/>
    <x v="15"/>
    <m/>
    <m/>
    <m/>
  </r>
  <r>
    <s v="LFK336"/>
    <s v="AXOR 2035-36 S TE"/>
    <s v="3ML 1"/>
    <s v="3ML"/>
    <n v="0.5"/>
    <s v="Cambio De Filtro Gas Oíl Y Trampa De Agua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3-21T11:18:03"/>
    <d v="2026-03-21T00:00:00"/>
    <s v="marzo"/>
    <s v="Activo"/>
    <m/>
    <m/>
    <s v="C001032"/>
    <s v="FILTRO DE COMBUSTIBLE MANN PU999/1X"/>
    <n v="1"/>
    <n v="19823.39"/>
    <n v="19823.39"/>
    <x v="15"/>
    <m/>
    <m/>
    <m/>
  </r>
  <r>
    <s v="LFK336"/>
    <s v="AXOR 2035-36 S TE"/>
    <s v="3ML 1"/>
    <s v="3ML"/>
    <n v="0.5"/>
    <s v="Cambio De Filtro Gas Oíl Y Trampa De Agua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3-21T11:18:03"/>
    <d v="2026-03-21T00:00:00"/>
    <s v="marzo"/>
    <s v="Activo"/>
    <m/>
    <m/>
    <s v="C001614"/>
    <s v="FILTRO TRAMPA DE AGUA MB 1933S (A 000 470 24 90) - RE160JQII - MARCA RAMA"/>
    <n v="1"/>
    <n v="13118.81"/>
    <n v="13118.81"/>
    <x v="15"/>
    <m/>
    <m/>
    <m/>
  </r>
  <r>
    <s v="LFK337"/>
    <s v="AXOR 2035-36 S TE"/>
    <s v="3ML 1"/>
    <s v="3ML"/>
    <n v="0.5"/>
    <s v="Cambio De Filtro Gas Oíl Y Trampa De Agua"/>
    <d v="2025-09-19T00:00:00"/>
    <n v="1973725"/>
    <n v="2003725"/>
    <n v="3275.4"/>
    <n v="26724.6"/>
    <n v="1977000.4"/>
    <n v="28"/>
    <n v="2668.176102941175"/>
    <n v="228.45722659827811"/>
    <d v="2025-10-17T00:00:00"/>
    <n v="30000"/>
    <d v="2026-06-02T10:58:24"/>
    <d v="2026-06-02T00:00:00"/>
    <s v="junio"/>
    <s v="Activo"/>
    <m/>
    <m/>
    <s v="C001032"/>
    <s v="FILTRO DE COMBUSTIBLE MANN PU999/1X"/>
    <n v="1"/>
    <n v="19823.39"/>
    <n v="19823.39"/>
    <x v="15"/>
    <m/>
    <m/>
    <m/>
  </r>
  <r>
    <s v="LFK337"/>
    <s v="AXOR 2035-36 S TE"/>
    <s v="3ML 1"/>
    <s v="3ML"/>
    <n v="0.5"/>
    <s v="Cambio De Filtro Gas Oíl Y Trampa De Agua"/>
    <d v="2025-09-19T00:00:00"/>
    <n v="1973725"/>
    <n v="2003725"/>
    <n v="3275.4"/>
    <n v="26724.6"/>
    <n v="1977000.4"/>
    <n v="28"/>
    <n v="2668.176102941175"/>
    <n v="228.45722659827811"/>
    <d v="2025-10-17T00:00:00"/>
    <n v="30000"/>
    <d v="2026-06-02T10:58:24"/>
    <d v="2026-06-02T00:00:00"/>
    <s v="junio"/>
    <s v="Activo"/>
    <m/>
    <m/>
    <s v="C001614"/>
    <s v="FILTRO TRAMPA DE AGUA MB 1933S (A 000 470 24 90) - RE160JQII - MARCA RAMA"/>
    <n v="1"/>
    <n v="13118.81"/>
    <n v="13118.81"/>
    <x v="15"/>
    <m/>
    <m/>
    <m/>
  </r>
  <r>
    <s v="LFK338"/>
    <s v="AXOR 2035-36 S TE"/>
    <s v="3ML 1"/>
    <s v="3ML"/>
    <n v="0.5"/>
    <s v="Cambio De Filtro Gas Oíl Y Trampa De Agua"/>
    <d v="2025-07-14T00:00:00"/>
    <n v="1942302"/>
    <n v="1972302"/>
    <n v="28066.80000000001"/>
    <n v="1933.1999999999859"/>
    <n v="1970368.8"/>
    <n v="95"/>
    <n v="372"/>
    <n v="6.5434606011372356"/>
    <d v="2025-10-17T00:00:00"/>
    <n v="30000"/>
    <d v="2026-02-03T14:08:13"/>
    <d v="2026-02-03T00:00:00"/>
    <s v="febrero"/>
    <s v="Activo"/>
    <d v="2026-04-25T05:37:15"/>
    <m/>
    <s v="C001032"/>
    <s v="FILTRO DE COMBUSTIBLE MANN PU999/1X"/>
    <n v="1"/>
    <n v="19823.39"/>
    <n v="19823.39"/>
    <x v="15"/>
    <m/>
    <m/>
    <m/>
  </r>
  <r>
    <s v="LFK338"/>
    <s v="AXOR 2035-36 S TE"/>
    <s v="3ML 1"/>
    <s v="3ML"/>
    <n v="0.5"/>
    <s v="Cambio De Filtro Gas Oíl Y Trampa De Agua"/>
    <d v="2025-07-14T00:00:00"/>
    <n v="1942302"/>
    <n v="1972302"/>
    <n v="28066.80000000001"/>
    <n v="1933.1999999999859"/>
    <n v="1970368.8"/>
    <n v="95"/>
    <n v="372"/>
    <n v="6.5434606011372356"/>
    <d v="2025-10-17T00:00:00"/>
    <n v="30000"/>
    <d v="2026-02-03T14:08:13"/>
    <d v="2026-02-03T00:00:00"/>
    <s v="febrero"/>
    <s v="Activo"/>
    <d v="2026-04-25T05:37:15"/>
    <m/>
    <s v="C001614"/>
    <s v="FILTRO TRAMPA DE AGUA MB 1933S (A 000 470 24 90) - RE160JQII - MARCA RAMA"/>
    <n v="1"/>
    <n v="13118.81"/>
    <n v="13118.81"/>
    <x v="15"/>
    <m/>
    <m/>
    <m/>
  </r>
  <r>
    <s v="LFK339"/>
    <s v="AXOR 2035-36 S TE"/>
    <s v="3ML 1"/>
    <s v="3ML"/>
    <n v="0.5"/>
    <s v="Cambio De Filtro Gas Oíl Y Trampa De Agua"/>
    <d v="2025-07-07T00:00:00"/>
    <n v="1934926"/>
    <n v="1964926"/>
    <n v="35672.900000000009"/>
    <n v="-5672.9000000000087"/>
    <n v="1970598.9"/>
    <n v="102"/>
    <n v="93"/>
    <n v="-16.220598829924139"/>
    <d v="2025-10-17T00:00:00"/>
    <n v="30000"/>
    <d v="2026-02-03T14:08:13"/>
    <d v="2026-02-03T00:00:00"/>
    <s v="febrero"/>
    <s v="Activo"/>
    <d v="2026-12-23T04:04:21"/>
    <m/>
    <s v="C001032"/>
    <s v="FILTRO DE COMBUSTIBLE MANN PU999/1X"/>
    <n v="1"/>
    <n v="19823.39"/>
    <n v="19823.39"/>
    <x v="15"/>
    <m/>
    <m/>
    <m/>
  </r>
  <r>
    <s v="LFK339"/>
    <s v="AXOR 2035-36 S TE"/>
    <s v="3ML 1"/>
    <s v="3ML"/>
    <n v="0.5"/>
    <s v="Cambio De Filtro Gas Oíl Y Trampa De Agua"/>
    <d v="2025-07-07T00:00:00"/>
    <n v="1934926"/>
    <n v="1964926"/>
    <n v="35672.900000000009"/>
    <n v="-5672.9000000000087"/>
    <n v="1970598.9"/>
    <n v="102"/>
    <n v="93"/>
    <n v="-16.220598829924139"/>
    <d v="2025-10-17T00:00:00"/>
    <n v="30000"/>
    <d v="2026-02-03T14:08:13"/>
    <d v="2026-02-03T00:00:00"/>
    <s v="febrero"/>
    <s v="Activo"/>
    <d v="2026-12-23T04:04:21"/>
    <m/>
    <s v="C001614"/>
    <s v="FILTRO TRAMPA DE AGUA MB 1933S (A 000 470 24 90) - RE160JQII - MARCA RAMA"/>
    <n v="1"/>
    <n v="13118.81"/>
    <n v="13118.81"/>
    <x v="15"/>
    <m/>
    <m/>
    <m/>
  </r>
  <r>
    <s v="AG300AQ"/>
    <s v="ACTROS 2045 LS/36"/>
    <s v="3ML 1"/>
    <s v="3ML"/>
    <n v="0.5"/>
    <s v="Cambio De Filtro Gas Oíl Y Trampa De Agua"/>
    <d v="2025-09-18T00:00:00"/>
    <n v="227028"/>
    <n v="257028"/>
    <n v="3811.8"/>
    <n v="26188.2"/>
    <n v="230839.8"/>
    <n v="29"/>
    <n v="310.79992700729929"/>
    <n v="199.2386274201165"/>
    <d v="2025-10-17T00:00:00"/>
    <n v="30000"/>
    <d v="2026-05-04T05:43:37"/>
    <d v="2026-05-04T00:00:00"/>
    <s v="mayo"/>
    <s v="Activo"/>
    <m/>
    <m/>
    <s v="C001032"/>
    <s v="FILTRO DE COMBUSTIBLE MANN PU999/1X"/>
    <n v="1"/>
    <n v="19823.39"/>
    <n v="19823.39"/>
    <x v="15"/>
    <m/>
    <m/>
    <m/>
  </r>
  <r>
    <s v="AG300AQ"/>
    <s v="ACTROS 2045 LS/36"/>
    <s v="3ML 1"/>
    <s v="3ML"/>
    <n v="0.5"/>
    <s v="Cambio De Filtro Gas Oíl Y Trampa De Agua"/>
    <d v="2025-09-18T00:00:00"/>
    <n v="227028"/>
    <n v="257028"/>
    <n v="3811.8"/>
    <n v="26188.2"/>
    <n v="230839.8"/>
    <n v="29"/>
    <n v="310.79992700729929"/>
    <n v="199.2386274201165"/>
    <d v="2025-10-17T00:00:00"/>
    <n v="30000"/>
    <d v="2026-05-04T05:43:37"/>
    <d v="2026-05-04T00:00:00"/>
    <s v="mayo"/>
    <s v="Activo"/>
    <m/>
    <m/>
    <s v="C001614"/>
    <s v="FILTRO TRAMPA DE AGUA MB 1933S (A 000 470 24 90) - RE160JQII - MARCA RAMA"/>
    <n v="1"/>
    <n v="13118.81"/>
    <n v="13118.81"/>
    <x v="15"/>
    <m/>
    <m/>
    <m/>
  </r>
  <r>
    <s v="SYG971"/>
    <s v="1633"/>
    <s v="3ML 3"/>
    <s v="3ML"/>
    <n v="0.5"/>
    <s v="Cambio De Filtro Gas Oíl Y Trampa De Agua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3-17T12:26:27"/>
    <d v="2026-03-17T00:00:00"/>
    <s v="marzo"/>
    <s v="Activo"/>
    <m/>
    <m/>
    <s v="C000995"/>
    <s v="FILTRO DE COMBUSTIBLE MANN WK1156"/>
    <n v="1"/>
    <n v="23207.05"/>
    <n v="23207.05"/>
    <x v="15"/>
    <m/>
    <m/>
    <m/>
  </r>
  <r>
    <s v="SYG971"/>
    <s v="1633"/>
    <s v="3ML 3"/>
    <s v="3ML"/>
    <n v="0.5"/>
    <s v="Cambio De Filtro Gas Oíl Y Trampa De Agua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3-17T12:26:27"/>
    <d v="2026-03-17T00:00:00"/>
    <s v="marzo"/>
    <s v="Activo"/>
    <m/>
    <m/>
    <s v="C002153"/>
    <s v="FILTRO DE COMBUSTIBLE MB 1633"/>
    <n v="1"/>
    <n v="53100"/>
    <n v="53100"/>
    <x v="15"/>
    <m/>
    <m/>
    <m/>
  </r>
  <r>
    <s v="KUF605"/>
    <s v="1634"/>
    <s v="3ML 3"/>
    <s v="3ML"/>
    <n v="0.5"/>
    <s v="Cambio De Filtro Gas Oíl Y Trampa De Agua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2-22T22:20:38"/>
    <d v="2026-02-22T00:00:00"/>
    <s v="febrero"/>
    <s v="Activo"/>
    <m/>
    <m/>
    <s v="C000995"/>
    <s v="FILTRO DE COMBUSTIBLE MANN WK1156"/>
    <n v="1"/>
    <n v="23207.05"/>
    <n v="23207.05"/>
    <x v="15"/>
    <m/>
    <m/>
    <m/>
  </r>
  <r>
    <s v="KUF605"/>
    <s v="1634"/>
    <s v="3ML 3"/>
    <s v="3ML"/>
    <n v="0.5"/>
    <s v="Cambio De Filtro Gas Oíl Y Trampa De Agua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2-22T22:20:38"/>
    <d v="2026-02-22T00:00:00"/>
    <s v="febrero"/>
    <s v="Activo"/>
    <m/>
    <m/>
    <s v="C002153"/>
    <s v="FILTRO DE COMBUSTIBLE MB 1633"/>
    <n v="1"/>
    <n v="53100"/>
    <n v="53100"/>
    <x v="15"/>
    <m/>
    <m/>
    <m/>
  </r>
  <r>
    <s v="OJG103"/>
    <s v="G310 A4X2"/>
    <s v="3ML 4"/>
    <s v="3ML"/>
    <n v="0.5"/>
    <s v="Cambio De Filtro Gas Oíl Y Trampa De Agua"/>
    <d v="2025-08-22T00:00:00"/>
    <n v="1737584"/>
    <n v="1767584"/>
    <n v="15736.9"/>
    <n v="14263.1"/>
    <n v="1753320.9"/>
    <n v="56"/>
    <n v="1736.2685719557189"/>
    <n v="50.755460096969557"/>
    <d v="2025-10-17T00:00:00"/>
    <n v="30000"/>
    <d v="2026-01-10T07:29:45"/>
    <d v="2026-01-10T00:00:00"/>
    <s v="enero"/>
    <s v="Activo"/>
    <m/>
    <m/>
    <s v="C002492"/>
    <s v="FILTRO TRAMPA DE AGUA SCANIA G410/G310/P340/R410 - MANN WK 1060/6"/>
    <n v="1"/>
    <n v="28215.439999999999"/>
    <n v="28215.439999999999"/>
    <x v="15"/>
    <m/>
    <m/>
    <m/>
  </r>
  <r>
    <s v="OJG103"/>
    <s v="G310 A4X2"/>
    <s v="3ML 4"/>
    <s v="3ML"/>
    <n v="0.5"/>
    <s v="Cambio De Filtro Gas Oíl Y Trampa De Agua"/>
    <d v="2025-08-22T00:00:00"/>
    <n v="1737584"/>
    <n v="1767584"/>
    <n v="15736.9"/>
    <n v="14263.1"/>
    <n v="1753320.9"/>
    <n v="56"/>
    <n v="1736.2685719557189"/>
    <n v="50.755460096969557"/>
    <d v="2025-10-17T00:00:00"/>
    <n v="30000"/>
    <d v="2026-01-10T07:29:45"/>
    <d v="2026-01-10T00:00:00"/>
    <s v="enero"/>
    <s v="Activo"/>
    <m/>
    <m/>
    <s v="C002494"/>
    <s v="FILTRO DE COMBUSTIBLE SCANIA G310/G410/P340/R410 - MANN PU 941 X"/>
    <n v="1"/>
    <n v="15875.81"/>
    <n v="15875.81"/>
    <x v="15"/>
    <m/>
    <m/>
    <m/>
  </r>
  <r>
    <s v="KNE956"/>
    <s v="AXOR 1933 S"/>
    <s v="6ML"/>
    <s v="6ML"/>
    <n v="0.25"/>
    <s v="Cambio Filtro Aire"/>
    <d v="2025-06-10T00:00:00"/>
    <n v="1516521"/>
    <n v="1546521"/>
    <n v="14102"/>
    <n v="15898"/>
    <n v="1530623"/>
    <n v="129"/>
    <n v="150.71646840148699"/>
    <n v="145.4291589845412"/>
    <d v="2025-10-17T00:00:00"/>
    <n v="30000"/>
    <d v="2026-03-11T10:17:59"/>
    <d v="2026-03-11T00:00:00"/>
    <s v="marzo"/>
    <s v="Activo"/>
    <m/>
    <m/>
    <s v="C002482"/>
    <s v="FILTRO DE AIRE MB 2426/AXOR 1933 - MANN C28 1012"/>
    <n v="1"/>
    <n v="49777.919999999998"/>
    <n v="49777.919999999998"/>
    <x v="23"/>
    <m/>
    <m/>
    <m/>
  </r>
  <r>
    <s v="AF114FZ"/>
    <s v="ATEGO 1729-S36 CD TE"/>
    <s v="6ML"/>
    <s v="6ML"/>
    <n v="0.25"/>
    <s v="Cambio Filtro Aire"/>
    <d v="2025-09-23T00:00:00"/>
    <n v="452616"/>
    <n v="482616"/>
    <n v="2109"/>
    <n v="27891"/>
    <n v="454725"/>
    <n v="24"/>
    <n v="273.98136531365333"/>
    <n v="317.39402560455193"/>
    <d v="2025-10-17T00:00:00"/>
    <n v="30000"/>
    <d v="2026-08-30T09:27:24"/>
    <d v="2026-08-30T00:00:00"/>
    <s v="agosto"/>
    <s v="Activo"/>
    <m/>
    <m/>
    <s v="C002482"/>
    <s v="FILTRO DE AIRE MB 2426/AXOR 1933 - MANN C28 1012"/>
    <n v="1"/>
    <n v="49777.919999999998"/>
    <n v="49777.919999999998"/>
    <x v="23"/>
    <m/>
    <m/>
    <m/>
  </r>
  <r>
    <s v="AF118QB"/>
    <s v="ATEGO 1729-S36 CD TE"/>
    <s v="6ML"/>
    <s v="6ML"/>
    <n v="0.25"/>
    <s v="Cambio Filtro Aire"/>
    <d v="2025-05-15T00:00:00"/>
    <n v="308369"/>
    <n v="338369"/>
    <n v="18849.799999999988"/>
    <n v="11150.20000000001"/>
    <n v="327218.8"/>
    <n v="155"/>
    <n v="189.65078066914509"/>
    <n v="91.686967500981538"/>
    <d v="2025-10-17T00:00:00"/>
    <n v="30000"/>
    <d v="2026-01-16T16:29:14"/>
    <d v="2026-01-16T00:00:00"/>
    <s v="enero"/>
    <s v="Activo"/>
    <m/>
    <m/>
    <s v="C002482"/>
    <s v="FILTRO DE AIRE MB 2426/AXOR 1933 - MANN C28 1012"/>
    <n v="1"/>
    <n v="49777.919999999998"/>
    <n v="49777.919999999998"/>
    <x v="23"/>
    <m/>
    <m/>
    <m/>
  </r>
  <r>
    <s v="AF743LB"/>
    <s v="ATEGO 1729 S36 CD TE"/>
    <s v="6ML"/>
    <s v="6ML"/>
    <n v="0.25"/>
    <s v="Cambio Filtro Aire"/>
    <d v="2025-09-12T00:00:00"/>
    <n v="350551"/>
    <n v="380551"/>
    <n v="5928.8000000000011"/>
    <n v="24071.200000000001"/>
    <n v="356479.8"/>
    <n v="35"/>
    <n v="252.63896296296281"/>
    <n v="142.10160572122521"/>
    <d v="2025-10-17T00:00:00"/>
    <n v="30000"/>
    <d v="2026-03-08T02:26:19"/>
    <d v="2026-03-08T00:00:00"/>
    <s v="marzo"/>
    <s v="Activo"/>
    <m/>
    <m/>
    <s v="C002482"/>
    <s v="FILTRO DE AIRE MB 2426/AXOR 1933 - MANN C28 1012"/>
    <n v="1"/>
    <n v="49777.919999999998"/>
    <n v="49777.919999999998"/>
    <x v="23"/>
    <m/>
    <m/>
    <m/>
  </r>
  <r>
    <s v="AF804RD"/>
    <s v="ATEGO 1729 S36 CD TE"/>
    <s v="6ML"/>
    <s v="6ML"/>
    <n v="0.25"/>
    <s v="Cambio Filtro Aire"/>
    <d v="2025-05-06T00:00:00"/>
    <n v="54070.5"/>
    <n v="84070.5"/>
    <n v="14641.70000000001"/>
    <n v="15358.29999999999"/>
    <n v="68712.200000000012"/>
    <n v="164"/>
    <n v="78.920809061488711"/>
    <n v="172.02655429355869"/>
    <d v="2025-10-17T00:00:00"/>
    <n v="30000"/>
    <d v="2026-04-07T00:38:14"/>
    <d v="2026-04-07T00:00:00"/>
    <s v="abril"/>
    <s v="Activo"/>
    <m/>
    <m/>
    <s v="C002482"/>
    <s v="FILTRO DE AIRE MB 2426/AXOR 1933 - MANN C28 1012"/>
    <n v="1"/>
    <n v="49777.919999999998"/>
    <n v="49777.919999999998"/>
    <x v="11"/>
    <m/>
    <m/>
    <m/>
  </r>
  <r>
    <s v="AG043HA"/>
    <s v="ATEGO 1729 S 36 CD TE"/>
    <s v="6ML"/>
    <s v="6ML"/>
    <n v="0.25"/>
    <s v="Cambio Filtro Aire"/>
    <d v="2025-04-17T00:00:00"/>
    <n v="52929.7"/>
    <n v="82929.7"/>
    <n v="13599.899999999991"/>
    <n v="16400.100000000009"/>
    <n v="66529.599999999991"/>
    <n v="183"/>
    <n v="74.356479400749095"/>
    <n v="220.6794388194032"/>
    <d v="2025-10-17T00:00:00"/>
    <n v="30000"/>
    <d v="2026-05-25T16:18:24"/>
    <d v="2026-05-25T00:00:00"/>
    <s v="mayo"/>
    <s v="Activo"/>
    <m/>
    <m/>
    <s v="C002482"/>
    <s v="FILTRO DE AIRE MB 2426/AXOR 1933 - MANN C28 1012"/>
    <n v="1"/>
    <n v="49777.919999999998"/>
    <n v="49777.919999999998"/>
    <x v="11"/>
    <m/>
    <m/>
    <m/>
  </r>
  <r>
    <s v="AG017HW"/>
    <s v="ATEGO 1729 S 36 CD TE"/>
    <s v="6ML"/>
    <s v="6ML"/>
    <n v="0.25"/>
    <s v="Cambio Filtro Aire"/>
    <d v="2024-11-13T00:00:00"/>
    <n v="55539.8"/>
    <n v="85539.8"/>
    <n v="23943.03000000001"/>
    <n v="6056.9699999999939"/>
    <n v="79482.830000000016"/>
    <n v="338"/>
    <n v="78.134555555555551"/>
    <n v="85.505295695657452"/>
    <d v="2025-10-17T00:00:00"/>
    <n v="30000"/>
    <d v="2026-01-10T12:07:38"/>
    <d v="2026-01-10T00:00:00"/>
    <s v="enero"/>
    <s v="Activo"/>
    <m/>
    <m/>
    <s v="C002482"/>
    <s v="FILTRO DE AIRE MB 2426/AXOR 1933 - MANN C28 1012"/>
    <n v="1"/>
    <n v="49777.919999999998"/>
    <n v="49777.919999999998"/>
    <x v="11"/>
    <m/>
    <m/>
    <m/>
  </r>
  <r>
    <s v="AG204ZQ"/>
    <s v="ATEGO 1729-S36 CD TE"/>
    <s v="6ML"/>
    <s v="6ML"/>
    <n v="0.25"/>
    <s v="Cambio Filtro Aire"/>
    <s v="-"/>
    <m/>
    <m/>
    <m/>
    <m/>
    <m/>
    <m/>
    <n v="112.049667896679"/>
    <m/>
    <d v="2025-10-17T00:00:00"/>
    <n v="30000"/>
    <d v="2026-07-11T17:43:19"/>
    <d v="2026-07-11T00:00:00"/>
    <s v="julio"/>
    <s v="Activo"/>
    <m/>
    <m/>
    <s v="C002482"/>
    <s v="FILTRO DE AIRE MB 2426/AXOR 1933 - MANN C28 1012"/>
    <n v="1"/>
    <n v="49777.919999999998"/>
    <n v="49777.919999999998"/>
    <x v="11"/>
    <m/>
    <m/>
    <m/>
  </r>
  <r>
    <s v="AE787OQ"/>
    <s v="Atego 1729 S"/>
    <s v="6ML"/>
    <s v="6ML"/>
    <n v="0.25"/>
    <s v="Cambio Filtro Aire"/>
    <d v="2025-09-02T00:00:00"/>
    <n v="542619"/>
    <n v="572619"/>
    <n v="9864.5000000000018"/>
    <n v="20135.5"/>
    <n v="552483.5"/>
    <n v="45"/>
    <n v="844.57346863468638"/>
    <n v="91.85437680571745"/>
    <d v="2025-10-17T00:00:00"/>
    <n v="30000"/>
    <d v="2026-01-16T20:30:18"/>
    <d v="2026-01-16T00:00:00"/>
    <s v="enero"/>
    <s v="Activo"/>
    <m/>
    <m/>
    <s v="C002482"/>
    <s v="FILTRO DE AIRE MB 2426/AXOR 1933 - MANN C28 1012"/>
    <n v="1"/>
    <n v="49777.919999999998"/>
    <n v="49777.919999999998"/>
    <x v="18"/>
    <m/>
    <m/>
    <m/>
  </r>
  <r>
    <s v="AF118QA"/>
    <s v="ATEGO 1729-S36 CD TE"/>
    <s v="6ML"/>
    <s v="6ML"/>
    <n v="0.25"/>
    <s v="Cambio Filtro Aire"/>
    <d v="2025-01-13T00:00:00"/>
    <n v="26955.5"/>
    <n v="56955.5"/>
    <n v="25182.46000000001"/>
    <n v="4817.53999999999"/>
    <n v="52137.960000000006"/>
    <n v="277"/>
    <n v="102.90352941176479"/>
    <n v="52.991589384039401"/>
    <d v="2025-10-17T00:00:00"/>
    <n v="30000"/>
    <d v="2026-09-26T12:38:34"/>
    <d v="2026-09-26T00:00:00"/>
    <s v="septiembre"/>
    <s v="Activo"/>
    <m/>
    <m/>
    <s v="C002482"/>
    <s v="FILTRO DE AIRE MB 2426/AXOR 1933 - MANN C28 1012"/>
    <n v="1"/>
    <n v="49777.919999999998"/>
    <n v="49777.919999999998"/>
    <x v="18"/>
    <m/>
    <m/>
    <m/>
  </r>
  <r>
    <s v="AF148MS"/>
    <s v="AXOR 1933 S"/>
    <s v="6ML"/>
    <s v="6ML"/>
    <n v="0.25"/>
    <s v="Cambio Filtro Aire"/>
    <d v="2025-08-20T00:00:00"/>
    <n v="401776"/>
    <n v="431776"/>
    <n v="11957.5"/>
    <n v="18042.5"/>
    <n v="413733.5"/>
    <n v="58"/>
    <n v="328.18794117647042"/>
    <n v="87.515366924524358"/>
    <d v="2025-10-17T00:00:00"/>
    <n v="30000"/>
    <d v="2026-01-12T12:22:08"/>
    <d v="2026-01-12T00:00:00"/>
    <s v="enero"/>
    <s v="Activo"/>
    <m/>
    <m/>
    <s v="C002482"/>
    <s v="FILTRO DE AIRE MB 2426/AXOR 1933 - MANN C28 1012"/>
    <n v="1"/>
    <n v="49777.919999999998"/>
    <n v="49777.919999999998"/>
    <x v="18"/>
    <m/>
    <m/>
    <m/>
  </r>
  <r>
    <s v="AG238NS"/>
    <s v="ATEGO 1729-S36 CD TE"/>
    <s v="6ML"/>
    <s v="6ML"/>
    <n v="0.25"/>
    <s v="Cambio Filtro Aire"/>
    <d v="2025-07-31T00:00:00"/>
    <n v="165086"/>
    <n v="195086"/>
    <n v="12624.7"/>
    <n v="17375.3"/>
    <n v="177710.7"/>
    <n v="78"/>
    <n v="266.23473282442751"/>
    <n v="107.3509390322146"/>
    <d v="2025-10-17T00:00:00"/>
    <n v="30000"/>
    <d v="2026-02-01T08:25:21"/>
    <d v="2026-02-01T00:00:00"/>
    <s v="febrero"/>
    <s v="Activo"/>
    <m/>
    <m/>
    <s v="C002482"/>
    <s v="FILTRO DE AIRE MB 2426/AXOR 1933 - MANN C28 1012"/>
    <n v="1"/>
    <n v="49777.919999999998"/>
    <n v="49777.919999999998"/>
    <x v="18"/>
    <m/>
    <m/>
    <m/>
  </r>
  <r>
    <s v="AG269WH"/>
    <s v="ATEGO 1729-S36 CD TE"/>
    <s v="6ML"/>
    <s v="6ML"/>
    <n v="0.25"/>
    <s v="Cambio Filtro Aire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3-02T16:28:33"/>
    <d v="2026-03-02T00:00:00"/>
    <s v="marzo"/>
    <s v="Activo"/>
    <m/>
    <m/>
    <s v="C002482"/>
    <s v="FILTRO DE AIRE MB 2426/AXOR 1933 - MANN C28 1012"/>
    <n v="1"/>
    <n v="49777.919999999998"/>
    <n v="49777.919999999998"/>
    <x v="18"/>
    <m/>
    <m/>
    <m/>
  </r>
  <r>
    <s v="KJH882"/>
    <s v="AXOR 1933 S"/>
    <s v="6ML"/>
    <s v="6ML"/>
    <n v="0.25"/>
    <s v="Cambio Filtro Aire"/>
    <d v="2025-06-02T00:00:00"/>
    <n v="367233"/>
    <n v="397233"/>
    <n v="10569.3"/>
    <n v="19430.7"/>
    <n v="377802.3"/>
    <n v="137"/>
    <n v="68.452272727272742"/>
    <n v="251.8620816894213"/>
    <d v="2025-10-17T00:00:00"/>
    <n v="30000"/>
    <d v="2026-06-25T20:41:24"/>
    <d v="2026-06-25T00:00:00"/>
    <s v="junio"/>
    <s v="Activo"/>
    <m/>
    <m/>
    <s v="C002482"/>
    <s v="FILTRO DE AIRE MB 2426/AXOR 1933 - MANN C28 1012"/>
    <n v="1"/>
    <n v="49777.919999999998"/>
    <n v="49777.919999999998"/>
    <x v="11"/>
    <m/>
    <m/>
    <m/>
  </r>
  <r>
    <s v="KIP032"/>
    <s v="ATEGO 1725-S36"/>
    <s v="6ML"/>
    <s v="6ML"/>
    <n v="0.25"/>
    <s v="Cambio Filtro Aire"/>
    <d v="2025-09-18T00:00:00"/>
    <n v="41172.300000000003"/>
    <n v="71172.3"/>
    <n v="0"/>
    <n v="30000"/>
    <n v="41172.300000000003"/>
    <n v="29"/>
    <n v="24.119335793357951"/>
    <n v="300"/>
    <d v="2025-10-17T00:00:00"/>
    <n v="30000"/>
    <d v="2026-08-13T00:00:00"/>
    <d v="2026-08-13T00:00:00"/>
    <s v="agosto"/>
    <s v="Activo"/>
    <m/>
    <m/>
    <s v="C002482"/>
    <s v="FILTRO DE AIRE MB 2426/AXOR 1933 - MANN C28 1012"/>
    <n v="1"/>
    <n v="49777.919999999998"/>
    <n v="49777.919999999998"/>
    <x v="15"/>
    <m/>
    <m/>
    <m/>
  </r>
  <r>
    <s v="IDX164"/>
    <s v="AXOR 1933 S"/>
    <s v="6ML"/>
    <s v="6ML"/>
    <n v="0.25"/>
    <s v="Cambio Filtro Aire"/>
    <d v="2025-08-28T00:00:00"/>
    <n v="1944647"/>
    <n v="1974647"/>
    <n v="11028.1"/>
    <n v="18971.900000000001"/>
    <n v="1955675.1"/>
    <n v="50"/>
    <n v="1849.550539936103"/>
    <n v="86.016176857300891"/>
    <d v="2025-10-17T00:00:00"/>
    <n v="30000"/>
    <d v="2026-01-11T00:23:18"/>
    <d v="2026-01-11T00:00:00"/>
    <s v="enero"/>
    <s v="Activo"/>
    <m/>
    <m/>
    <s v="C002482"/>
    <s v="FILTRO DE AIRE MB 2426/AXOR 1933 - MANN C28 1012"/>
    <n v="1"/>
    <n v="49777.919999999998"/>
    <n v="49777.919999999998"/>
    <x v="15"/>
    <m/>
    <m/>
    <m/>
  </r>
  <r>
    <s v="IDX165"/>
    <s v="AXOR 1933 S"/>
    <s v="6ML"/>
    <s v="6ML"/>
    <n v="0.25"/>
    <s v="Cambio Filtro Aire"/>
    <s v="-"/>
    <m/>
    <m/>
    <m/>
    <m/>
    <m/>
    <m/>
    <n v="126.37693548387099"/>
    <m/>
    <d v="2025-10-17T00:00:00"/>
    <n v="30000"/>
    <d v="2026-06-11T09:14:32"/>
    <d v="2026-06-11T00:00:00"/>
    <s v="junio"/>
    <s v="Activo"/>
    <m/>
    <m/>
    <s v="C002482"/>
    <s v="FILTRO DE AIRE MB 2426/AXOR 1933 - MANN C28 1012"/>
    <n v="1"/>
    <n v="49777.919999999998"/>
    <n v="49777.919999999998"/>
    <x v="4"/>
    <m/>
    <m/>
    <m/>
  </r>
  <r>
    <s v="JIU311"/>
    <s v="AXOR 1933 S"/>
    <s v="6ML"/>
    <s v="6ML"/>
    <n v="0.25"/>
    <s v="Cambio Filtro Aire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1-23T23:37:48"/>
    <d v="2026-01-23T00:00:00"/>
    <s v="enero"/>
    <s v="Activo"/>
    <m/>
    <m/>
    <s v="C002482"/>
    <s v="FILTRO DE AIRE MB 2426/AXOR 1933 - MANN C28 1012"/>
    <n v="1"/>
    <n v="49777.919999999998"/>
    <n v="49777.919999999998"/>
    <x v="15"/>
    <m/>
    <m/>
    <m/>
  </r>
  <r>
    <s v="KBO542"/>
    <s v="AXOR 1933 S"/>
    <s v="6ML"/>
    <s v="6ML"/>
    <n v="0.25"/>
    <s v="Cambio Filtro Aire"/>
    <d v="2025-08-11T00:00:00"/>
    <n v="1839556"/>
    <n v="1869556"/>
    <n v="11612.7"/>
    <n v="18387.3"/>
    <n v="1851168.7"/>
    <n v="67"/>
    <n v="155.41622516556279"/>
    <n v="106.0863623446744"/>
    <d v="2025-10-17T00:00:00"/>
    <n v="30000"/>
    <d v="2026-01-31T02:04:22"/>
    <d v="2026-01-31T00:00:00"/>
    <s v="enero"/>
    <s v="Activo"/>
    <m/>
    <m/>
    <s v="C002482"/>
    <s v="FILTRO DE AIRE MB 2426/AXOR 1933 - MANN C28 1012"/>
    <n v="1"/>
    <n v="49777.919999999998"/>
    <n v="49777.919999999998"/>
    <x v="15"/>
    <m/>
    <m/>
    <m/>
  </r>
  <r>
    <s v="KUF609"/>
    <s v="AXOR 1933-36 S"/>
    <s v="6ML"/>
    <s v="6ML"/>
    <n v="0.25"/>
    <s v="Cambio Filtro Aire"/>
    <d v="2025-09-22T00:00:00"/>
    <n v="1817011"/>
    <n v="1847011"/>
    <n v="3227.7"/>
    <n v="26772.3"/>
    <n v="1820238.7"/>
    <n v="25"/>
    <n v="289.98935849056602"/>
    <n v="207.3636025652942"/>
    <d v="2025-10-17T00:00:00"/>
    <n v="30000"/>
    <d v="2026-05-12T08:43:35"/>
    <d v="2026-05-12T00:00:00"/>
    <s v="mayo"/>
    <s v="Activo"/>
    <m/>
    <m/>
    <s v="C002482"/>
    <s v="FILTRO DE AIRE MB 2426/AXOR 1933 - MANN C28 1012"/>
    <n v="1"/>
    <n v="49777.919999999998"/>
    <n v="49777.919999999998"/>
    <x v="15"/>
    <m/>
    <m/>
    <m/>
  </r>
  <r>
    <s v="IDX163"/>
    <s v="AXOR 1933 S"/>
    <s v="6ML"/>
    <s v="6ML"/>
    <n v="0.25"/>
    <s v="Cambio Filtro Aire"/>
    <d v="2025-04-16T00:00:00"/>
    <n v="1556403"/>
    <n v="1586403"/>
    <n v="17285.8"/>
    <n v="12714.2"/>
    <n v="1573688.8"/>
    <n v="184"/>
    <n v="81.249174917491729"/>
    <n v="135.33725948466369"/>
    <d v="2025-10-17T00:00:00"/>
    <n v="30000"/>
    <d v="2026-03-01T08:05:39"/>
    <d v="2026-03-01T00:00:00"/>
    <s v="marzo"/>
    <s v="Activo"/>
    <m/>
    <m/>
    <s v="C002482"/>
    <s v="FILTRO DE AIRE MB 2426/AXOR 1933 - MANN C28 1012"/>
    <n v="1"/>
    <n v="49777.919999999998"/>
    <n v="49777.919999999998"/>
    <x v="5"/>
    <m/>
    <m/>
    <m/>
  </r>
  <r>
    <s v="KJH885"/>
    <s v="AXOR 1933 S"/>
    <s v="6ML"/>
    <s v="6ML"/>
    <n v="0.25"/>
    <s v="Cambio Filtro Aire"/>
    <d v="2025-07-21T00:00:00"/>
    <n v="1612281"/>
    <n v="1642281"/>
    <n v="5237.8999999999996"/>
    <n v="24762.1"/>
    <n v="1617518.9"/>
    <n v="88"/>
    <n v="69.384019292604506"/>
    <n v="416.0187861547567"/>
    <d v="2025-10-17T00:00:00"/>
    <n v="30000"/>
    <d v="2026-12-07T00:27:03"/>
    <d v="2026-12-07T00:00:00"/>
    <s v="diciembre"/>
    <s v="Activo"/>
    <m/>
    <m/>
    <s v="C002482"/>
    <s v="FILTRO DE AIRE MB 2426/AXOR 1933 - MANN C28 1012"/>
    <n v="1"/>
    <n v="49777.919999999998"/>
    <n v="49777.919999999998"/>
    <x v="11"/>
    <m/>
    <m/>
    <m/>
  </r>
  <r>
    <s v="AG300AR"/>
    <s v="ATEGO 1729-S36 CD TE"/>
    <s v="6ML"/>
    <s v="6ML"/>
    <n v="0.25"/>
    <s v="Cambio Filtro Aire"/>
    <d v="2025-05-22T00:00:00"/>
    <n v="34072.6"/>
    <n v="64072.6"/>
    <n v="9725.4000000000015"/>
    <n v="20274.599999999999"/>
    <n v="43798"/>
    <n v="148"/>
    <n v="61.669847328244273"/>
    <n v="308.53649207230552"/>
    <d v="2025-10-17T00:00:00"/>
    <n v="30000"/>
    <d v="2026-08-21T12:52:33"/>
    <d v="2026-08-21T00:00:00"/>
    <s v="agosto"/>
    <s v="Activo"/>
    <m/>
    <m/>
    <s v="C002482"/>
    <s v="FILTRO DE AIRE MB 2426/AXOR 1933 - MANN C28 1012"/>
    <n v="1"/>
    <n v="49777.919999999998"/>
    <n v="49777.919999999998"/>
    <x v="11"/>
    <m/>
    <m/>
    <m/>
  </r>
  <r>
    <s v="AD426HT"/>
    <s v="AXOR 2541 LS"/>
    <s v="6ML 1"/>
    <s v="6ML"/>
    <n v="0.25"/>
    <s v="Cambio Filtro Aire"/>
    <d v="2025-09-10T00:00:00"/>
    <n v="710185"/>
    <n v="740185"/>
    <n v="5358.4999999999991"/>
    <n v="24641.5"/>
    <n v="715543.5"/>
    <n v="37"/>
    <n v="276.33435114503811"/>
    <n v="170.14752262760101"/>
    <d v="2025-10-17T00:00:00"/>
    <n v="30000"/>
    <d v="2026-04-05T03:32:26"/>
    <d v="2026-04-05T00:00:00"/>
    <s v="abril"/>
    <s v="Activo"/>
    <m/>
    <m/>
    <s v="C000980"/>
    <s v="FILTRO DE AIRE - MANN C 271320/1"/>
    <n v="1"/>
    <n v="58063"/>
    <n v="58063"/>
    <x v="23"/>
    <m/>
    <m/>
    <m/>
  </r>
  <r>
    <s v="AD426HW"/>
    <s v="AXOR 2541 LS"/>
    <s v="6ML 1"/>
    <s v="6ML"/>
    <n v="0.25"/>
    <s v="Cambio Filtro Aire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4-03T22:18:45"/>
    <d v="2026-04-03T00:00:00"/>
    <s v="abril"/>
    <s v="Activo"/>
    <m/>
    <m/>
    <s v="C000980"/>
    <s v="FILTRO DE AIRE - MANN C 271320/1"/>
    <n v="1"/>
    <n v="58063"/>
    <n v="58063"/>
    <x v="23"/>
    <m/>
    <m/>
    <m/>
  </r>
  <r>
    <s v="AD426HZ"/>
    <s v="AXOR 2541 LS"/>
    <s v="6ML 1"/>
    <s v="6ML"/>
    <n v="0.25"/>
    <s v="Cambio Filtro Aire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2-08T02:46:06"/>
    <d v="2026-02-08T00:00:00"/>
    <s v="febrero"/>
    <s v="Activo"/>
    <m/>
    <m/>
    <s v="C000980"/>
    <s v="FILTRO DE AIRE - MANN C 271320/1"/>
    <n v="1"/>
    <n v="58063"/>
    <n v="58063"/>
    <x v="23"/>
    <m/>
    <m/>
    <m/>
  </r>
  <r>
    <s v="AD426HY"/>
    <s v="AXOR 2541 LS"/>
    <s v="6ML 1"/>
    <s v="6ML"/>
    <n v="0.25"/>
    <s v="Cambio Filtro Aire"/>
    <d v="2025-07-26T00:00:00"/>
    <n v="699069"/>
    <n v="729069"/>
    <n v="14311.7"/>
    <n v="15688.3"/>
    <n v="713380.7"/>
    <n v="83"/>
    <n v="266.81618518518519"/>
    <n v="90.983523969898769"/>
    <d v="2025-10-17T00:00:00"/>
    <n v="30000"/>
    <d v="2026-01-15T23:36:16"/>
    <d v="2026-01-15T00:00:00"/>
    <s v="enero"/>
    <s v="Activo"/>
    <m/>
    <m/>
    <s v="C000980"/>
    <s v="FILTRO DE AIRE - MANN C 271320/1"/>
    <n v="1"/>
    <n v="58063"/>
    <n v="58063"/>
    <x v="23"/>
    <m/>
    <m/>
    <m/>
  </r>
  <r>
    <s v="AD426IJ"/>
    <s v="AXOR 2541 LS"/>
    <s v="6ML 1"/>
    <s v="6ML"/>
    <n v="0.25"/>
    <s v="Cambio Filtro Aire"/>
    <d v="2025-08-08T00:00:00"/>
    <n v="770332"/>
    <n v="800332"/>
    <n v="13259.4"/>
    <n v="16740.599999999999"/>
    <n v="783591.4"/>
    <n v="70"/>
    <n v="276.97442748091589"/>
    <n v="88.378207158694963"/>
    <d v="2025-10-17T00:00:00"/>
    <n v="30000"/>
    <d v="2026-01-13T09:04:37"/>
    <d v="2026-01-13T00:00:00"/>
    <s v="enero"/>
    <s v="Activo"/>
    <m/>
    <m/>
    <s v="C000980"/>
    <s v="FILTRO DE AIRE - MANN C 271320/1"/>
    <n v="1"/>
    <n v="58063"/>
    <n v="58063"/>
    <x v="23"/>
    <m/>
    <m/>
    <m/>
  </r>
  <r>
    <s v="AD426IF"/>
    <s v="AXOR 2541 LS"/>
    <s v="6ML 1"/>
    <s v="6ML"/>
    <n v="0.25"/>
    <s v="Cambio Filtro Aire"/>
    <d v="2025-09-30T00:00:00"/>
    <n v="845528"/>
    <n v="875528"/>
    <n v="0"/>
    <n v="30000"/>
    <n v="845528"/>
    <n v="17"/>
    <n v="323.35572519083951"/>
    <n v="300"/>
    <d v="2025-10-17T00:00:00"/>
    <n v="30000"/>
    <d v="2026-08-13T00:00:00"/>
    <d v="2026-08-13T00:00:00"/>
    <s v="agosto"/>
    <s v="Activo"/>
    <m/>
    <m/>
    <s v="C000980"/>
    <s v="FILTRO DE AIRE - MANN C 271320/1"/>
    <n v="1"/>
    <n v="58063"/>
    <n v="58063"/>
    <x v="23"/>
    <m/>
    <m/>
    <m/>
  </r>
  <r>
    <s v="AD426IH"/>
    <s v="AXOR 2541 LS"/>
    <s v="6ML 1"/>
    <s v="6ML"/>
    <n v="0.25"/>
    <s v="Cambio Filtro Aire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1-23T21:30:50"/>
    <d v="2026-01-23T00:00:00"/>
    <s v="enero"/>
    <s v="Activo"/>
    <m/>
    <m/>
    <s v="C000980"/>
    <s v="FILTRO DE AIRE - MANN C 271320/1"/>
    <n v="1"/>
    <n v="58063"/>
    <n v="58063"/>
    <x v="23"/>
    <m/>
    <m/>
    <m/>
  </r>
  <r>
    <s v="AD426HU"/>
    <s v="AXOR 2541 LS"/>
    <s v="6ML 1"/>
    <s v="6ML"/>
    <n v="0.25"/>
    <s v="Cambio Filtro Aire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2-14T03:28:37"/>
    <d v="2026-02-14T00:00:00"/>
    <s v="febrero"/>
    <s v="Activo"/>
    <m/>
    <m/>
    <s v="C000980"/>
    <s v="FILTRO DE AIRE - MANN C 271320/1"/>
    <n v="1"/>
    <n v="58063"/>
    <n v="58063"/>
    <x v="23"/>
    <m/>
    <m/>
    <m/>
  </r>
  <r>
    <s v="AD426HV"/>
    <s v="AXOR 2541 LS"/>
    <s v="6ML 1"/>
    <s v="6ML"/>
    <n v="0.25"/>
    <s v="Cambio Filtro Aire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1-31T03:36:08"/>
    <d v="2026-01-31T00:00:00"/>
    <s v="enero"/>
    <s v="Activo"/>
    <m/>
    <m/>
    <s v="C000980"/>
    <s v="FILTRO DE AIRE - MANN C 271320/1"/>
    <n v="1"/>
    <n v="58063"/>
    <n v="58063"/>
    <x v="23"/>
    <m/>
    <m/>
    <m/>
  </r>
  <r>
    <s v="AD426HX"/>
    <s v="AXOR 2541 LS"/>
    <s v="6ML 1"/>
    <s v="6ML"/>
    <n v="0.25"/>
    <s v="Cambio Filtro Aire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1-10T02:29:40"/>
    <d v="2026-01-10T00:00:00"/>
    <s v="enero"/>
    <s v="Activo"/>
    <m/>
    <m/>
    <s v="C000980"/>
    <s v="FILTRO DE AIRE - MANN C 271320/1"/>
    <n v="1"/>
    <n v="58063"/>
    <n v="58063"/>
    <x v="23"/>
    <m/>
    <m/>
    <m/>
  </r>
  <r>
    <s v="AE700VN"/>
    <s v="AXOR 2036 S ROBUST"/>
    <s v="6ML 1"/>
    <s v="6ML"/>
    <n v="0.25"/>
    <s v="Cambio Filtro Aire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1-03T12:40:33"/>
    <d v="2026-01-03T00:00:00"/>
    <s v="enero"/>
    <s v="Activo"/>
    <m/>
    <m/>
    <s v="C000980"/>
    <s v="FILTRO DE AIRE - MANN C 271320/1"/>
    <n v="1"/>
    <n v="58063"/>
    <n v="58063"/>
    <x v="15"/>
    <m/>
    <m/>
    <m/>
  </r>
  <r>
    <s v="AE700VS"/>
    <s v="AXOR 2036 S ROBUST"/>
    <s v="6ML 1"/>
    <s v="6ML"/>
    <n v="0.25"/>
    <s v="Cambio Filtro Aire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1-16T18:05:05"/>
    <d v="2026-01-16T00:00:00"/>
    <s v="enero"/>
    <s v="Activo"/>
    <m/>
    <m/>
    <s v="C000980"/>
    <s v="FILTRO DE AIRE - MANN C 271320/1"/>
    <n v="1"/>
    <n v="58063"/>
    <n v="58063"/>
    <x v="15"/>
    <m/>
    <m/>
    <m/>
  </r>
  <r>
    <s v="LFK336"/>
    <s v="AXOR 2035-36 S TE"/>
    <s v="6ML 1"/>
    <s v="6ML"/>
    <n v="0.25"/>
    <s v="Cambio Filtro Aire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3-21T11:18:03"/>
    <d v="2026-03-21T00:00:00"/>
    <s v="marzo"/>
    <s v="Activo"/>
    <m/>
    <m/>
    <s v="C000980"/>
    <s v="FILTRO DE AIRE - MANN C 271320/1"/>
    <n v="1"/>
    <n v="58063"/>
    <n v="58063"/>
    <x v="15"/>
    <m/>
    <m/>
    <m/>
  </r>
  <r>
    <s v="LFK337"/>
    <s v="AXOR 2035-36 S TE"/>
    <s v="6ML 1"/>
    <s v="6ML"/>
    <n v="0.25"/>
    <s v="Cambio Filtro Aire"/>
    <d v="2025-09-19T00:00:00"/>
    <n v="1973725"/>
    <n v="2003725"/>
    <n v="3275.4"/>
    <n v="26724.6"/>
    <n v="1977000.4"/>
    <n v="28"/>
    <n v="2668.176102941175"/>
    <n v="228.45722659827811"/>
    <d v="2025-10-17T00:00:00"/>
    <n v="30000"/>
    <d v="2026-06-02T10:58:24"/>
    <d v="2026-06-02T00:00:00"/>
    <s v="junio"/>
    <s v="Activo"/>
    <m/>
    <m/>
    <s v="C000980"/>
    <s v="FILTRO DE AIRE - MANN C 271320/1"/>
    <n v="1"/>
    <n v="58063"/>
    <n v="58063"/>
    <x v="15"/>
    <m/>
    <m/>
    <m/>
  </r>
  <r>
    <s v="LFK338"/>
    <s v="AXOR 2035-36 S TE"/>
    <s v="6ML 1"/>
    <s v="6ML"/>
    <n v="0.25"/>
    <s v="Cambio Filtro Aire"/>
    <d v="2025-07-14T00:00:00"/>
    <n v="1942302"/>
    <n v="1972302"/>
    <n v="28066.80000000001"/>
    <n v="1933.1999999999859"/>
    <n v="1970368.8"/>
    <n v="95"/>
    <n v="373"/>
    <n v="6.5434606011372356"/>
    <d v="2025-10-17T00:00:00"/>
    <n v="30000"/>
    <d v="2026-02-03T14:08:13"/>
    <d v="2026-02-03T00:00:00"/>
    <s v="febrero"/>
    <s v="Activo"/>
    <d v="2026-04-25T00:25:55"/>
    <m/>
    <s v="C000980"/>
    <s v="FILTRO DE AIRE - MANN C 271320/1"/>
    <n v="1"/>
    <n v="58063"/>
    <n v="58063"/>
    <x v="15"/>
    <m/>
    <m/>
    <m/>
  </r>
  <r>
    <s v="LFK339"/>
    <s v="AXOR 2035-36 S TE"/>
    <s v="6ML 1"/>
    <s v="6ML"/>
    <n v="0.25"/>
    <s v="Cambio Filtro Aire"/>
    <d v="2025-07-07T00:00:00"/>
    <n v="1934926"/>
    <n v="1964926"/>
    <n v="35672.900000000009"/>
    <n v="-5672.9000000000087"/>
    <n v="1970598.9"/>
    <n v="102"/>
    <n v="120"/>
    <n v="-16.220598829924139"/>
    <d v="2025-10-17T00:00:00"/>
    <n v="30000"/>
    <d v="2026-02-03T14:08:13"/>
    <d v="2026-02-03T00:00:00"/>
    <s v="febrero"/>
    <s v="Activo"/>
    <d v="2026-10-11T14:08:13"/>
    <m/>
    <s v="C000980"/>
    <s v="FILTRO DE AIRE - MANN C 271320/1"/>
    <n v="1"/>
    <n v="58063"/>
    <n v="58063"/>
    <x v="15"/>
    <m/>
    <m/>
    <m/>
  </r>
  <r>
    <s v="AG300AQ"/>
    <s v="ACTROS 2045 LS/36"/>
    <s v="6ML 1"/>
    <s v="6ML"/>
    <n v="0.25"/>
    <s v="Cambio Filtro Aire"/>
    <d v="2025-09-18T00:00:00"/>
    <n v="227028"/>
    <n v="257028"/>
    <n v="3811.8"/>
    <n v="26188.2"/>
    <n v="230839.8"/>
    <n v="29"/>
    <n v="310.79992700729929"/>
    <n v="199.2386274201165"/>
    <d v="2025-10-17T00:00:00"/>
    <n v="30000"/>
    <d v="2026-05-04T05:43:37"/>
    <d v="2026-05-04T00:00:00"/>
    <s v="mayo"/>
    <s v="Activo"/>
    <m/>
    <m/>
    <s v="C000980"/>
    <s v="FILTRO DE AIRE - MANN C 271320/1"/>
    <n v="1"/>
    <n v="58063"/>
    <n v="58063"/>
    <x v="15"/>
    <m/>
    <m/>
    <m/>
  </r>
  <r>
    <s v="SYG971"/>
    <s v="1633"/>
    <s v="6ML 2"/>
    <s v="6ML"/>
    <n v="0.25"/>
    <s v="Cambio Filtro Aire"/>
    <s v="-"/>
    <n v="35081.599999999999"/>
    <n v="65081.599999999999"/>
    <n v="51895.159999999982"/>
    <n v="-21895.159999999982"/>
    <n v="86976.75999999998"/>
    <n v="243"/>
    <n v="197.99579335793359"/>
    <n v="-102.5244720316885"/>
    <d v="2025-10-17T00:00:00"/>
    <n v="30000"/>
    <d v="2026-03-17T12:26:27"/>
    <d v="2026-03-17T00:00:00"/>
    <s v="marzo"/>
    <s v="Activo"/>
    <m/>
    <m/>
    <s v="C004089"/>
    <s v="FILTRO DE AIRE PRIMARIO MB 1633 - MANN C 24 650/1"/>
    <n v="1"/>
    <n v="35911.769999999997"/>
    <n v="35911.769999999997"/>
    <x v="15"/>
    <m/>
    <m/>
    <m/>
  </r>
  <r>
    <s v="KUF605"/>
    <s v="1634"/>
    <s v="6ML 2"/>
    <s v="6ML"/>
    <n v="0.25"/>
    <s v="Cambio Filtro Aire"/>
    <s v="-"/>
    <n v="799717"/>
    <n v="829717"/>
    <n v="57283.27"/>
    <n v="-27283.27"/>
    <n v="857000.27"/>
    <n v="253"/>
    <n v="232.68261029411761"/>
    <n v="-120.5005808851345"/>
    <d v="2025-10-17T00:00:00"/>
    <n v="30000"/>
    <d v="2026-02-22T22:20:38"/>
    <d v="2026-02-22T00:00:00"/>
    <s v="febrero"/>
    <s v="Activo"/>
    <m/>
    <m/>
    <s v="C004089"/>
    <s v="FILTRO DE AIRE PRIMARIO MB 1633 - MANN C 24 650/1"/>
    <n v="1"/>
    <n v="35911.769999999997"/>
    <n v="35911.769999999997"/>
    <x v="15"/>
    <m/>
    <m/>
    <m/>
  </r>
  <r>
    <s v="OJG103"/>
    <s v="G310 A4X2"/>
    <s v="6ML 3"/>
    <s v="6ML"/>
    <n v="0.25"/>
    <s v="Cambio Filtro Aire"/>
    <d v="2025-08-22T00:00:00"/>
    <n v="1737584"/>
    <n v="1767584"/>
    <n v="15736.9"/>
    <n v="14263.1"/>
    <n v="1753320.9"/>
    <n v="56"/>
    <n v="1736.2685719557189"/>
    <n v="50.755460096969557"/>
    <d v="2025-10-17T00:00:00"/>
    <n v="30000"/>
    <d v="2026-01-10T07:29:45"/>
    <d v="2026-01-10T00:00:00"/>
    <s v="enero"/>
    <s v="Activo"/>
    <m/>
    <m/>
    <s v="C003704"/>
    <s v="FILTRO DE AIRE SCANIA G310 - MANN C 31 017"/>
    <n v="1"/>
    <n v="48687.99"/>
    <n v="48687.99"/>
    <x v="15"/>
    <m/>
    <m/>
    <m/>
  </r>
  <r>
    <s v="LTS288"/>
    <s v="ATEGO 1725"/>
    <s v="2MC"/>
    <s v="2MC"/>
    <n v="0.75"/>
    <s v="Cambio De Aceite Y Filtro De Motor"/>
    <d v="2025-06-09T00:00:00"/>
    <n v="1015308"/>
    <n v="1035308"/>
    <n v="35709.500000000007"/>
    <n v="-15709.500000000009"/>
    <n v="1051017.5"/>
    <n v="130"/>
    <n v="455.32846441947561"/>
    <n v="-57.190243492628028"/>
    <d v="2025-10-17T00:00:00"/>
    <n v="20000"/>
    <d v="2026-01-12T20:22:05"/>
    <d v="2026-01-12T00:00:00"/>
    <s v="enero"/>
    <s v="Activo"/>
    <m/>
    <m/>
    <s v="C000313"/>
    <s v="ACEITE 15W40 XV300 X 205LT (TAMBOR)"/>
    <n v="16"/>
    <n v="3389.9"/>
    <n v="54238.400000000001"/>
    <x v="18"/>
    <m/>
    <m/>
    <m/>
  </r>
  <r>
    <s v="LTS288"/>
    <s v="ATEGO 1725"/>
    <s v="2MC"/>
    <s v="2MC"/>
    <n v="0.75"/>
    <s v="Cambio De Aceite Y Filtro De Motor"/>
    <d v="2025-06-09T00:00:00"/>
    <n v="1015308"/>
    <n v="1035308"/>
    <n v="35709.500000000007"/>
    <n v="-15709.500000000009"/>
    <n v="1051017.5"/>
    <n v="130"/>
    <n v="455.32846441947561"/>
    <n v="-57.190243492628028"/>
    <d v="2025-10-17T00:00:00"/>
    <n v="20000"/>
    <d v="2026-01-12T20:22:05"/>
    <d v="2026-01-12T00:00:00"/>
    <s v="enero"/>
    <s v="Activo"/>
    <m/>
    <m/>
    <s v="C002301"/>
    <s v="FILTRO DE ACEITE 6 CILINDROS MB 1318/1218/1215/914/712/1418/915/815 - MANN HU931/5X"/>
    <n v="1"/>
    <n v="8513.2800000000007"/>
    <n v="8513.2800000000007"/>
    <x v="18"/>
    <m/>
    <m/>
    <m/>
  </r>
  <r>
    <s v="LTS288"/>
    <s v="ATEGO 1725"/>
    <s v="6MC 2"/>
    <s v="6MC"/>
    <n v="0.25"/>
    <s v="Cambio Filtro Aire"/>
    <d v="2025-06-09T00:00:00"/>
    <n v="1015308"/>
    <n v="1035308"/>
    <n v="35709.500000000007"/>
    <n v="-15709.500000000009"/>
    <n v="1051017.5"/>
    <n v="130"/>
    <n v="455.32846441947561"/>
    <n v="-57.190243492628028"/>
    <d v="2025-10-17T00:00:00"/>
    <n v="20000"/>
    <d v="2026-01-12T20:22:05"/>
    <d v="2026-01-12T00:00:00"/>
    <s v="enero"/>
    <s v="Activo"/>
    <m/>
    <m/>
    <s v="C002482"/>
    <s v="FILTRO DE AIRE MB 2426/AXOR 1933 - MANN C28 1012"/>
    <n v="1"/>
    <n v="49777.919999999998"/>
    <n v="49777.919999999998"/>
    <x v="18"/>
    <m/>
    <m/>
    <m/>
  </r>
  <r>
    <s v="FCD324"/>
    <n v="710"/>
    <s v="2MC"/>
    <s v="2MC"/>
    <n v="0.75"/>
    <s v="Cambio De Aceite Y Filtro De Motor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11-03T20:54:50"/>
    <d v="2026-11-03T00:00:00"/>
    <s v="noviembre"/>
    <m/>
    <m/>
    <m/>
    <s v="C000313"/>
    <s v="ACEITE 15W40 XV300 X 205LT (TAMBOR)"/>
    <n v="16"/>
    <n v="3389.9"/>
    <n v="54238.400000000001"/>
    <x v="6"/>
    <m/>
    <m/>
    <m/>
  </r>
  <r>
    <s v="FCD324"/>
    <n v="710"/>
    <s v="2MC"/>
    <s v="2MC"/>
    <n v="0.75"/>
    <s v="Cambio De Aceite Y Filtro De Motor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11-03T20:54:50"/>
    <d v="2026-11-03T00:00:00"/>
    <s v="noviembre"/>
    <m/>
    <m/>
    <m/>
    <s v="C002301"/>
    <s v="FILTRO DE ACEITE 6 CILINDROS MB 1318/1218/1215/914/712/1418/915/815 - MANN HU931/5X"/>
    <n v="1"/>
    <n v="8513.2800000000007"/>
    <n v="8513.2800000000007"/>
    <x v="6"/>
    <m/>
    <m/>
    <m/>
  </r>
  <r>
    <s v="KHS009"/>
    <s v="ATRON 1720/48  FRONTAL"/>
    <s v="2MC"/>
    <s v="2MC"/>
    <n v="0.75"/>
    <s v="Cambio De Aceite Y Filtro De Motor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3-26T03:49:14"/>
    <d v="2026-03-26T00:00:00"/>
    <s v="marzo"/>
    <m/>
    <m/>
    <m/>
    <s v="C000313"/>
    <s v="ACEITE 15W40 XV300 X 205LT (TAMBOR)"/>
    <n v="16"/>
    <n v="3389.9"/>
    <n v="54238.400000000001"/>
    <x v="2"/>
    <m/>
    <m/>
    <m/>
  </r>
  <r>
    <s v="KHS009"/>
    <s v="ATRON 1720/48  FRONTAL"/>
    <s v="2MC"/>
    <s v="2MC"/>
    <n v="0.75"/>
    <s v="Cambio De Aceite Y Filtro De Motor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3-26T03:49:14"/>
    <d v="2026-03-26T00:00:00"/>
    <s v="marzo"/>
    <m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GKK500"/>
    <n v="1624"/>
    <s v="3MC"/>
    <s v="3MC"/>
    <n v="0.5"/>
    <s v="Cambio De Filtro Gas Oíl Y Trampa De Agua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8-30T18:13:37"/>
    <d v="2026-08-30T00:00:00"/>
    <s v="agosto"/>
    <m/>
    <m/>
    <m/>
    <s v="C001031"/>
    <s v="FILTRO DE COMBUSTIBLE MANN PU1046/1X"/>
    <n v="1"/>
    <n v="10535.04"/>
    <n v="10535.04"/>
    <x v="6"/>
    <m/>
    <m/>
    <m/>
  </r>
  <r>
    <s v="GKK500"/>
    <n v="1624"/>
    <s v="3MC"/>
    <s v="3MC"/>
    <n v="0.5"/>
    <s v="Cambio De Filtro Gas Oíl Y Trampa De Agua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8-30T18:13:37"/>
    <d v="2026-08-30T00:00:00"/>
    <s v="agosto"/>
    <m/>
    <m/>
    <m/>
    <s v="C003103"/>
    <s v="FILTRO TRAMPA DE AGUA - WIX (WF 10288)"/>
    <n v="1"/>
    <n v="19410.240000000002"/>
    <n v="19410.240000000002"/>
    <x v="6"/>
    <m/>
    <m/>
    <m/>
  </r>
  <r>
    <s v="FQT894"/>
    <n v="1620"/>
    <s v="3MC"/>
    <s v="3MC"/>
    <n v="0.5"/>
    <s v="Cambio De Filtro Gas Oíl Y Trampa De Agua"/>
    <d v="2024-03-13T00:00:00"/>
    <n v="289070"/>
    <n v="309070"/>
    <n v="33400.049999999952"/>
    <n v="-13400.04999999995"/>
    <n v="322470.04999999987"/>
    <n v="583"/>
    <n v="96.824519230769212"/>
    <n v="-233.8987261995112"/>
    <d v="2025-10-17T00:00:00"/>
    <n v="20000"/>
    <d v="2026-12-04T02:50:38"/>
    <d v="2026-12-04T00:00:00"/>
    <s v="diciembre"/>
    <m/>
    <m/>
    <m/>
    <s v="C001031"/>
    <s v="FILTRO DE COMBUSTIBLE MANN PU1046/1X"/>
    <n v="1"/>
    <n v="10535.04"/>
    <n v="10535.04"/>
    <x v="14"/>
    <m/>
    <m/>
    <m/>
  </r>
  <r>
    <s v="FQT894"/>
    <n v="1620"/>
    <s v="3MC"/>
    <s v="3MC"/>
    <n v="0.5"/>
    <s v="Cambio De Filtro Gas Oíl Y Trampa De Agua"/>
    <d v="2024-03-13T00:00:00"/>
    <n v="289070"/>
    <n v="309070"/>
    <n v="33400.049999999952"/>
    <n v="-13400.04999999995"/>
    <n v="322470.04999999987"/>
    <n v="583"/>
    <n v="96.824519230769212"/>
    <n v="-233.8987261995112"/>
    <d v="2025-10-17T00:00:00"/>
    <n v="20000"/>
    <d v="2026-12-04T02:50:38"/>
    <d v="2026-12-04T00:00:00"/>
    <s v="diciembre"/>
    <m/>
    <m/>
    <m/>
    <s v="C003103"/>
    <s v="FILTRO TRAMPA DE AGUA - WIX (WF 10288)"/>
    <n v="1"/>
    <n v="19410.240000000002"/>
    <n v="19410.240000000002"/>
    <x v="14"/>
    <m/>
    <m/>
    <m/>
  </r>
  <r>
    <s v="FCD324"/>
    <n v="710"/>
    <s v="3MC"/>
    <s v="3MC"/>
    <n v="0.5"/>
    <s v="Cambio De Filtro Gas Oíl Y Trampa De Agua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11-03T20:54:50"/>
    <d v="2026-11-03T00:00:00"/>
    <s v="noviembre"/>
    <m/>
    <m/>
    <m/>
    <s v="C001031"/>
    <s v="FILTRO DE COMBUSTIBLE MANN PU1046/1X"/>
    <n v="1"/>
    <n v="10535.04"/>
    <n v="10535.04"/>
    <x v="6"/>
    <m/>
    <m/>
    <m/>
  </r>
  <r>
    <s v="FCD324"/>
    <n v="710"/>
    <s v="3MC"/>
    <s v="3MC"/>
    <n v="0.5"/>
    <s v="Cambio De Filtro Gas Oíl Y Trampa De Agua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11-03T20:54:50"/>
    <d v="2026-11-03T00:00:00"/>
    <s v="noviembre"/>
    <m/>
    <m/>
    <m/>
    <s v="C003103"/>
    <s v="FILTRO TRAMPA DE AGUA - WIX (WF 10288)"/>
    <n v="1"/>
    <n v="19410.240000000002"/>
    <n v="19410.240000000002"/>
    <x v="6"/>
    <m/>
    <m/>
    <m/>
  </r>
  <r>
    <s v="GOX957"/>
    <n v="1624"/>
    <s v="3MC"/>
    <s v="3MC"/>
    <n v="0.5"/>
    <s v="Cambio De Filtro Gas Oíl Y Trampa De Agua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10-03T21:53:44"/>
    <d v="2026-10-03T00:00:00"/>
    <s v="octubre"/>
    <m/>
    <m/>
    <m/>
    <s v="C001031"/>
    <s v="FILTRO DE COMBUSTIBLE MANN PU1046/1X"/>
    <n v="1"/>
    <n v="10535.04"/>
    <n v="10535.04"/>
    <x v="10"/>
    <m/>
    <m/>
    <m/>
  </r>
  <r>
    <s v="GOX957"/>
    <n v="1624"/>
    <s v="3MC"/>
    <s v="3MC"/>
    <n v="0.5"/>
    <s v="Cambio De Filtro Gas Oíl Y Trampa De Agua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10-03T21:53:44"/>
    <d v="2026-10-03T00:00:00"/>
    <s v="octubre"/>
    <m/>
    <m/>
    <m/>
    <s v="C003103"/>
    <s v="FILTRO TRAMPA DE AGUA - WIX (WF 10288)"/>
    <n v="1"/>
    <n v="19410.240000000002"/>
    <n v="19410.240000000002"/>
    <x v="10"/>
    <m/>
    <m/>
    <m/>
  </r>
  <r>
    <s v="GUW658"/>
    <n v="1624"/>
    <s v="3MC"/>
    <s v="3MC"/>
    <n v="0.5"/>
    <s v="Cambio De Filtro Gas Oíl Y Trampa De Agua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12-22T02:40:18"/>
    <d v="2026-12-22T00:00:00"/>
    <s v="diciembre"/>
    <m/>
    <m/>
    <m/>
    <s v="C001031"/>
    <s v="FILTRO DE COMBUSTIBLE MANN PU1046/1X"/>
    <n v="1"/>
    <n v="10535.04"/>
    <n v="10535.04"/>
    <x v="4"/>
    <m/>
    <m/>
    <m/>
  </r>
  <r>
    <s v="GUW658"/>
    <n v="1624"/>
    <s v="3MC"/>
    <s v="3MC"/>
    <n v="0.5"/>
    <s v="Cambio De Filtro Gas Oíl Y Trampa De Agua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12-22T02:40:18"/>
    <d v="2026-12-22T00:00:00"/>
    <s v="diciembre"/>
    <m/>
    <m/>
    <m/>
    <s v="C003103"/>
    <s v="FILTRO TRAMPA DE AGUA - WIX (WF 10288)"/>
    <n v="1"/>
    <n v="19410.240000000002"/>
    <n v="19410.240000000002"/>
    <x v="4"/>
    <m/>
    <m/>
    <m/>
  </r>
  <r>
    <s v="GPL520"/>
    <s v="L-1318"/>
    <s v="3MC"/>
    <s v="3MC"/>
    <n v="0.5"/>
    <s v="Cambio De Filtro Gas Oíl Y Trampa De Agua"/>
    <d v="2025-07-07T00:00:00"/>
    <n v="958885"/>
    <n v="978885"/>
    <n v="14167.3"/>
    <n v="5832.7000000000044"/>
    <n v="973052.3"/>
    <n v="102"/>
    <n v="132.10963696369629"/>
    <n v="41.993562640729053"/>
    <d v="2025-10-17T00:00:00"/>
    <n v="20000"/>
    <d v="2026-09-26T18:32:14"/>
    <d v="2026-09-26T00:00:00"/>
    <s v="septiembre"/>
    <m/>
    <m/>
    <m/>
    <s v="C001031"/>
    <s v="FILTRO DE COMBUSTIBLE MANN PU1046/1X"/>
    <n v="1"/>
    <n v="10535.04"/>
    <n v="10535.04"/>
    <x v="17"/>
    <m/>
    <m/>
    <m/>
  </r>
  <r>
    <s v="GPL520"/>
    <s v="L-1318"/>
    <s v="3MC"/>
    <s v="3MC"/>
    <n v="0.5"/>
    <s v="Cambio De Filtro Gas Oíl Y Trampa De Agua"/>
    <d v="2025-07-07T00:00:00"/>
    <n v="958885"/>
    <n v="978885"/>
    <n v="14167.3"/>
    <n v="5832.7000000000044"/>
    <n v="973052.3"/>
    <n v="102"/>
    <n v="132.10963696369629"/>
    <n v="41.993562640729053"/>
    <d v="2025-10-17T00:00:00"/>
    <n v="20000"/>
    <d v="2026-09-26T18:32:14"/>
    <d v="2026-09-26T00:00:00"/>
    <s v="septiembre"/>
    <m/>
    <m/>
    <m/>
    <s v="C003103"/>
    <s v="FILTRO TRAMPA DE AGUA - WIX (WF 10288)"/>
    <n v="1"/>
    <n v="19410.240000000002"/>
    <n v="19410.240000000002"/>
    <x v="17"/>
    <m/>
    <m/>
    <m/>
  </r>
  <r>
    <s v="AE243WV"/>
    <s v="Atego 2426"/>
    <s v="3MC"/>
    <s v="3MC"/>
    <n v="0.5"/>
    <s v="Cambio De Filtro Gas Oíl Y Trampa De Agua"/>
    <d v="2025-07-10T00:00:00"/>
    <n v="697850"/>
    <n v="717850"/>
    <n v="28772.999999999989"/>
    <n v="-8772.9999999999891"/>
    <n v="726623"/>
    <n v="99"/>
    <n v="365"/>
    <n v="-30.185486393493871"/>
    <d v="2025-10-17T00:00:00"/>
    <n v="20000"/>
    <d v="2026-02-03T14:08:13"/>
    <d v="2026-02-03T00:00:00"/>
    <s v="febrero"/>
    <m/>
    <m/>
    <m/>
    <s v="C001031"/>
    <s v="FILTRO DE COMBUSTIBLE MANN PU1046/1X"/>
    <n v="1"/>
    <n v="10535.04"/>
    <n v="10535.04"/>
    <x v="18"/>
    <m/>
    <m/>
    <m/>
  </r>
  <r>
    <s v="AE243WV"/>
    <s v="Atego 2426"/>
    <s v="3MC"/>
    <s v="3MC"/>
    <n v="0.5"/>
    <s v="Cambio De Filtro Gas Oíl Y Trampa De Agua"/>
    <d v="2025-07-10T00:00:00"/>
    <n v="697850"/>
    <n v="717850"/>
    <n v="28772.999999999989"/>
    <n v="-8772.9999999999891"/>
    <n v="726623"/>
    <n v="99"/>
    <n v="365"/>
    <n v="-30.185486393493871"/>
    <d v="2025-10-17T00:00:00"/>
    <n v="20000"/>
    <d v="2026-02-03T14:08:13"/>
    <d v="2026-02-03T00:00:00"/>
    <s v="febrero"/>
    <m/>
    <m/>
    <m/>
    <s v="C003103"/>
    <s v="FILTRO TRAMPA DE AGUA - WIX (WF 10288)"/>
    <n v="1"/>
    <n v="19410.240000000002"/>
    <n v="19410.240000000002"/>
    <x v="18"/>
    <m/>
    <m/>
    <m/>
  </r>
  <r>
    <s v="HRJ003"/>
    <s v="L-1318"/>
    <s v="3MC"/>
    <s v="3MC"/>
    <n v="0.5"/>
    <s v="Cambio De Filtro Gas Oíl Y Trampa De Agua"/>
    <d v="2025-06-27T00:00:00"/>
    <n v="34917.800000000003"/>
    <n v="54917.8"/>
    <n v="14084.2"/>
    <n v="5915.7999999999975"/>
    <n v="49002.000000000007"/>
    <n v="112"/>
    <n v="130.96596721311471"/>
    <n v="47.04346714758379"/>
    <d v="2025-10-17T00:00:00"/>
    <n v="20000"/>
    <d v="2026-10-04T11:11:30"/>
    <d v="2026-10-04T00:00:00"/>
    <s v="octubre"/>
    <m/>
    <m/>
    <m/>
    <s v="C001031"/>
    <s v="FILTRO DE COMBUSTIBLE MANN PU1046/1X"/>
    <n v="1"/>
    <n v="10535.04"/>
    <n v="10535.04"/>
    <x v="2"/>
    <m/>
    <m/>
    <m/>
  </r>
  <r>
    <s v="HRJ003"/>
    <s v="L-1318"/>
    <s v="3MC"/>
    <s v="3MC"/>
    <n v="0.5"/>
    <s v="Cambio De Filtro Gas Oíl Y Trampa De Agua"/>
    <d v="2025-06-27T00:00:00"/>
    <n v="34917.800000000003"/>
    <n v="54917.8"/>
    <n v="14084.2"/>
    <n v="5915.7999999999975"/>
    <n v="49002.000000000007"/>
    <n v="112"/>
    <n v="130.96596721311471"/>
    <n v="47.04346714758379"/>
    <d v="2025-10-17T00:00:00"/>
    <n v="20000"/>
    <d v="2026-10-04T11:11:30"/>
    <d v="2026-10-04T00:00:00"/>
    <s v="octubre"/>
    <m/>
    <m/>
    <m/>
    <s v="C003103"/>
    <s v="FILTRO TRAMPA DE AGUA - WIX (WF 10288)"/>
    <n v="1"/>
    <n v="19410.240000000002"/>
    <n v="19410.240000000002"/>
    <x v="2"/>
    <m/>
    <m/>
    <m/>
  </r>
  <r>
    <s v="KHS009"/>
    <s v="ATRON 1720/48  FRONTAL"/>
    <s v="3MC"/>
    <s v="3MC"/>
    <n v="0.5"/>
    <s v="Cambio De Filtro Gas Oíl Y Trampa De Agua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3-26T03:49:14"/>
    <d v="2026-03-26T00:00:00"/>
    <s v="marzo"/>
    <m/>
    <m/>
    <m/>
    <s v="C001031"/>
    <s v="FILTRO DE COMBUSTIBLE MANN PU1046/1X"/>
    <n v="1"/>
    <n v="10535.04"/>
    <n v="10535.04"/>
    <x v="2"/>
    <m/>
    <m/>
    <m/>
  </r>
  <r>
    <s v="KHS009"/>
    <s v="ATRON 1720/48  FRONTAL"/>
    <s v="3MC"/>
    <s v="3MC"/>
    <n v="0.5"/>
    <s v="Cambio De Filtro Gas Oíl Y Trampa De Agua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3-26T03:49:14"/>
    <d v="2026-03-26T00:00:00"/>
    <s v="marzo"/>
    <m/>
    <m/>
    <m/>
    <s v="C003103"/>
    <s v="FILTRO TRAMPA DE AGUA - WIX (WF 10288)"/>
    <n v="1"/>
    <n v="19410.240000000002"/>
    <n v="19410.240000000002"/>
    <x v="2"/>
    <m/>
    <m/>
    <m/>
  </r>
  <r>
    <s v="OZH811"/>
    <s v="ATEGO 1725"/>
    <s v="3MC"/>
    <s v="3MC"/>
    <n v="0.5"/>
    <s v="Cambio De Filtro Gas Oíl Y Trampa De Agua"/>
    <s v="-"/>
    <m/>
    <m/>
    <m/>
    <m/>
    <m/>
    <m/>
    <n v="169.51837638376381"/>
    <m/>
    <d v="2025-10-17T00:00:00"/>
    <n v="20000"/>
    <d v="2026-06-09T23:06:10"/>
    <d v="2026-06-09T00:00:00"/>
    <s v="junio"/>
    <m/>
    <m/>
    <m/>
    <s v="C001031"/>
    <s v="FILTRO DE COMBUSTIBLE MANN PU1046/1X"/>
    <n v="1"/>
    <n v="10535.04"/>
    <n v="10535.04"/>
    <x v="18"/>
    <m/>
    <m/>
    <m/>
  </r>
  <r>
    <s v="OZH811"/>
    <s v="ATEGO 1725"/>
    <s v="3MC"/>
    <s v="3MC"/>
    <n v="0.5"/>
    <s v="Cambio De Filtro Gas Oíl Y Trampa De Agua"/>
    <s v="-"/>
    <m/>
    <m/>
    <m/>
    <m/>
    <m/>
    <m/>
    <n v="169.51837638376381"/>
    <m/>
    <d v="2025-10-17T00:00:00"/>
    <n v="20000"/>
    <d v="2026-06-09T23:06:10"/>
    <d v="2026-06-09T00:00:00"/>
    <s v="junio"/>
    <m/>
    <m/>
    <m/>
    <s v="C003103"/>
    <s v="FILTRO TRAMPA DE AGUA - WIX (WF 10288)"/>
    <n v="1"/>
    <n v="19410.240000000002"/>
    <n v="19410.240000000002"/>
    <x v="18"/>
    <m/>
    <m/>
    <m/>
  </r>
  <r>
    <s v="AF156NK"/>
    <s v="SPRINTER 316 CDI FURGON 3665"/>
    <s v="2MU"/>
    <s v="2MU"/>
    <n v="0.75"/>
    <s v="Cambio De Aceite Y Filtro De Motor"/>
    <d v="2025-07-21T00:00:00"/>
    <n v="24642.400000000001"/>
    <n v="34642.400000000001"/>
    <n v="5862.9999999999991"/>
    <n v="4137.0000000000009"/>
    <n v="30505.4"/>
    <n v="88"/>
    <n v="74.610410447761154"/>
    <n v="62.093808630394022"/>
    <d v="2025-10-17T00:00:00"/>
    <n v="10000"/>
    <d v="2026-09-12T03:40:12"/>
    <d v="2026-09-12T00:00:00"/>
    <s v="septiembre"/>
    <m/>
    <m/>
    <m/>
    <s v="C003082"/>
    <s v="ACEITE 5W 40 YPF x 20LTS"/>
    <n v="1"/>
    <n v="12001.14"/>
    <n v="12001.14"/>
    <x v="20"/>
    <m/>
    <m/>
    <m/>
  </r>
  <r>
    <s v="AF461DQ"/>
    <s v="SPRINTER 316 CDI FURGON 3665"/>
    <s v="2MU"/>
    <s v="2MU"/>
    <n v="0.75"/>
    <s v="Cambio De Aceite Y Filtro De Motor"/>
    <s v="-"/>
    <m/>
    <m/>
    <m/>
    <m/>
    <m/>
    <m/>
    <n v="75.146865671641763"/>
    <m/>
    <d v="2025-10-17T00:00:00"/>
    <n v="10000"/>
    <d v="2026-07-10T03:29:31"/>
    <d v="2026-07-10T00:00:00"/>
    <s v="julio"/>
    <m/>
    <m/>
    <m/>
    <s v="C003082"/>
    <s v="ACEITE 5W 40 YPF x 20LTS"/>
    <n v="1"/>
    <n v="12001.14"/>
    <n v="12001.14"/>
    <x v="6"/>
    <m/>
    <m/>
    <m/>
  </r>
  <r>
    <s v="AF491HL"/>
    <s v="SPRINTER 316 CDI FURGON 3665"/>
    <s v="2MU"/>
    <s v="2MU"/>
    <n v="0.75"/>
    <s v="Cambio De Aceite Y Filtro De Motor"/>
    <d v="2025-07-07T00:00:00"/>
    <n v="81918.100000000006"/>
    <n v="91918.1"/>
    <n v="7752.4"/>
    <n v="2247.6"/>
    <n v="89670.5"/>
    <n v="102"/>
    <n v="82.189312977099249"/>
    <n v="29.572158299365359"/>
    <d v="2025-10-17T00:00:00"/>
    <n v="10000"/>
    <d v="2026-07-16T21:54:26"/>
    <d v="2026-07-16T00:00:00"/>
    <s v="julio"/>
    <m/>
    <m/>
    <m/>
    <s v="C003082"/>
    <s v="ACEITE 5W 40 YPF x 20LTS"/>
    <n v="1"/>
    <n v="12001.14"/>
    <n v="12001.14"/>
    <x v="13"/>
    <m/>
    <m/>
    <m/>
  </r>
  <r>
    <s v="AF156NK"/>
    <s v="SPRINTER 316 CDI FURGON 3665"/>
    <s v="3MU"/>
    <s v="3MU"/>
    <n v="0.5"/>
    <s v="Cambiar Filtro De Combustible"/>
    <d v="2025-07-21T00:00:00"/>
    <n v="24642.400000000001"/>
    <n v="34642.400000000001"/>
    <n v="5862.9999999999991"/>
    <n v="4137.0000000000009"/>
    <n v="30505.4"/>
    <n v="88"/>
    <n v="74.610410447761154"/>
    <n v="62.093808630394022"/>
    <d v="2025-10-17T00:00:00"/>
    <n v="10000"/>
    <d v="2026-09-12T03:40:12"/>
    <d v="2026-09-12T00:00:00"/>
    <s v="septiembre"/>
    <m/>
    <m/>
    <m/>
    <s v="C003078"/>
    <s v="FILTRO DE COMBUSTIBLE SPRINTER 316 (A 651 090 36 00) - BOSCH (0986BFO366)"/>
    <n v="1"/>
    <n v="77979.94"/>
    <n v="77979.94"/>
    <x v="20"/>
    <m/>
    <m/>
    <m/>
  </r>
  <r>
    <s v="AF156NM"/>
    <s v="SPRINTER 316 CDI FURGON 3665"/>
    <s v="2MU"/>
    <s v="2MU"/>
    <n v="0.75"/>
    <s v="Cambio De Aceite Y Filtro De Motor"/>
    <d v="2025-06-24T00:00:00"/>
    <n v="137406"/>
    <n v="147406"/>
    <n v="8671.7000000000007"/>
    <n v="1328.299999999999"/>
    <n v="146077.70000000001"/>
    <n v="115"/>
    <n v="93.793905109489017"/>
    <n v="17.615288813035491"/>
    <d v="2025-10-17T00:00:00"/>
    <n v="10000"/>
    <d v="2026-06-04T20:22:13"/>
    <d v="2026-06-04T00:00:00"/>
    <s v="junio"/>
    <m/>
    <m/>
    <m/>
    <s v="C003082"/>
    <s v="ACEITE 5W 40 YPF x 20LTS"/>
    <n v="1"/>
    <n v="12001.14"/>
    <n v="12001.14"/>
    <x v="6"/>
    <m/>
    <m/>
    <m/>
  </r>
  <r>
    <s v="AF461DQ"/>
    <s v="SPRINTER 316 CDI FURGON 3665"/>
    <s v="3MU"/>
    <s v="3MU"/>
    <n v="0.5"/>
    <s v="Cambiar Filtro De Combustible"/>
    <s v="-"/>
    <m/>
    <m/>
    <m/>
    <m/>
    <m/>
    <m/>
    <n v="75.146865671641763"/>
    <m/>
    <d v="2025-10-17T00:00:00"/>
    <n v="10000"/>
    <d v="2026-07-10T03:29:31"/>
    <d v="2026-07-10T00:00:00"/>
    <s v="julio"/>
    <m/>
    <m/>
    <m/>
    <s v="C003078"/>
    <s v="FILTRO DE COMBUSTIBLE SPRINTER 316 (A 651 090 36 00) - BOSCH (0986BFO366)"/>
    <n v="1"/>
    <n v="77979.94"/>
    <n v="77979.94"/>
    <x v="6"/>
    <m/>
    <m/>
    <m/>
  </r>
  <r>
    <s v="AF491HL"/>
    <s v="SPRINTER 316 CDI FURGON 3665"/>
    <s v="3MU"/>
    <s v="3MU"/>
    <n v="0.5"/>
    <s v="Cambiar Filtro De Combustible"/>
    <d v="2025-07-07T00:00:00"/>
    <n v="81918.100000000006"/>
    <n v="91918.1"/>
    <n v="7752.4"/>
    <n v="2247.6"/>
    <n v="89670.5"/>
    <n v="102"/>
    <n v="82.189312977099249"/>
    <n v="29.572158299365359"/>
    <d v="2025-10-17T00:00:00"/>
    <n v="10000"/>
    <d v="2026-07-16T21:54:26"/>
    <d v="2026-07-16T00:00:00"/>
    <s v="julio"/>
    <m/>
    <m/>
    <m/>
    <s v="C003078"/>
    <s v="FILTRO DE COMBUSTIBLE SPRINTER 316 (A 651 090 36 00) - BOSCH (0986BFO366)"/>
    <n v="1"/>
    <n v="77979.94"/>
    <n v="77979.94"/>
    <x v="13"/>
    <m/>
    <m/>
    <m/>
  </r>
  <r>
    <s v="AF156NM"/>
    <s v="SPRINTER 316 CDI FURGON 3665"/>
    <s v="3MU"/>
    <s v="3MU"/>
    <n v="0.5"/>
    <s v="Cambiar Filtro De Combustible"/>
    <d v="2025-06-24T00:00:00"/>
    <n v="137406"/>
    <n v="147406"/>
    <n v="8671.7000000000007"/>
    <n v="1328.299999999999"/>
    <n v="146077.70000000001"/>
    <n v="115"/>
    <n v="93.793905109489017"/>
    <n v="17.615288813035491"/>
    <d v="2025-10-17T00:00:00"/>
    <n v="10000"/>
    <d v="2026-06-04T20:22:13"/>
    <d v="2026-06-04T00:00:00"/>
    <s v="junio"/>
    <m/>
    <m/>
    <m/>
    <s v="C003078"/>
    <s v="FILTRO DE COMBUSTIBLE SPRINTER 316 (A 651 090 36 00) - BOSCH (0986BFO366)"/>
    <n v="1"/>
    <n v="77979.94"/>
    <n v="77979.94"/>
    <x v="6"/>
    <m/>
    <m/>
    <m/>
  </r>
  <r>
    <s v="AF156NM"/>
    <s v="SPRINTER 316 CDI FURGON 3665"/>
    <s v="5MU"/>
    <s v="5MU"/>
    <n v="0.25"/>
    <s v="Cambiar Filtro Habitaculo"/>
    <d v="2025-03-17T00:00:00"/>
    <n v="129724"/>
    <n v="139724"/>
    <n v="18618.900000000001"/>
    <n v="-8618.9000000000015"/>
    <n v="148342.9"/>
    <n v="214"/>
    <n v="93.793905109489017"/>
    <n v="-99.063027353925307"/>
    <d v="2025-10-17T00:00:00"/>
    <n v="10000"/>
    <d v="2026-05-18T05:36:12"/>
    <d v="2026-05-18T00:00:00"/>
    <s v="mayo"/>
    <m/>
    <m/>
    <m/>
    <s v="C003079"/>
    <s v="FILTRO DE HABITACULO SPRINTER 316 - MANN CU 30012"/>
    <n v="1"/>
    <n v="18045.55"/>
    <n v="18045.55"/>
    <x v="6"/>
    <m/>
    <m/>
    <m/>
  </r>
  <r>
    <s v="AF619YP"/>
    <s v="PARTNER CONFORT 1.6 HDI 92 AM22 -FURGON-"/>
    <s v="3MU"/>
    <s v="3MU"/>
    <n v="0.5"/>
    <s v="Cambiar Filtro De Combustible"/>
    <d v="2025-01-07T00:00:00"/>
    <n v="15788"/>
    <n v="25788"/>
    <n v="17010.12"/>
    <n v="-7010.1199999999953"/>
    <n v="32798.120000000003"/>
    <n v="283"/>
    <n v="63.689854014598552"/>
    <n v="-116.6284517687118"/>
    <d v="2025-10-17T00:00:00"/>
    <n v="10000"/>
    <d v="2026-08-27T00:31:20"/>
    <d v="2026-08-27T00:00:00"/>
    <s v="agosto"/>
    <m/>
    <m/>
    <m/>
    <s v="C002699"/>
    <s v="FILTRO DE COMBUSTIBLE PARTNER - (WK9034 Z)"/>
    <n v="1"/>
    <n v="20353.939999999999"/>
    <n v="20353.939999999999"/>
    <x v="1"/>
    <m/>
    <m/>
    <m/>
  </r>
  <r>
    <s v="AF156NK"/>
    <s v="SPRINTER 316 CDI FURGON 3665"/>
    <s v="5MU"/>
    <s v="5MU"/>
    <n v="0.25"/>
    <s v="Cambiar Filtro Habitaculo"/>
    <s v="-"/>
    <n v="24642.400000000001"/>
    <n v="34642.400000000001"/>
    <n v="5862.9999999999991"/>
    <n v="4137.0000000000009"/>
    <n v="30505.4"/>
    <n v="72"/>
    <n v="74.610410447761154"/>
    <n v="50.804025243049651"/>
    <d v="2025-10-17T00:00:00"/>
    <n v="10000"/>
    <d v="2026-08-31T20:42:55"/>
    <d v="2026-08-31T00:00:00"/>
    <s v="agosto"/>
    <m/>
    <m/>
    <m/>
    <s v="C003079"/>
    <s v="FILTRO DE HABITACULO SPRINTER 316 - MANN CU 30012"/>
    <n v="1"/>
    <n v="18045.55"/>
    <n v="18045.55"/>
    <x v="20"/>
    <m/>
    <m/>
    <m/>
  </r>
  <r>
    <s v="AF461DQ"/>
    <s v="SPRINTER 316 CDI FURGON 3665"/>
    <s v="5MU"/>
    <s v="5MU"/>
    <n v="0.25"/>
    <s v="Cambiar Filtro Habitaculo"/>
    <s v="-"/>
    <m/>
    <m/>
    <m/>
    <m/>
    <m/>
    <m/>
    <n v="75.146865671641763"/>
    <m/>
    <d v="2025-10-17T00:00:00"/>
    <n v="10000"/>
    <d v="2026-07-10T03:29:31"/>
    <d v="2026-07-10T00:00:00"/>
    <s v="julio"/>
    <m/>
    <m/>
    <m/>
    <s v="C003079"/>
    <s v="FILTRO DE HABITACULO SPRINTER 316 - MANN CU 30012"/>
    <n v="1"/>
    <n v="18045.55"/>
    <n v="18045.55"/>
    <x v="6"/>
    <m/>
    <m/>
    <m/>
  </r>
  <r>
    <s v="AF491HL"/>
    <s v="SPRINTER 316 CDI FURGON 3665"/>
    <s v="5MU"/>
    <s v="5MU"/>
    <n v="0.25"/>
    <s v="Cambiar Filtro Habitaculo"/>
    <d v="2025-07-07T00:00:00"/>
    <n v="81918.100000000006"/>
    <n v="91918.1"/>
    <n v="7752.4"/>
    <n v="2247.6"/>
    <n v="89670.5"/>
    <n v="102"/>
    <n v="82.189312977099249"/>
    <n v="29.572158299365359"/>
    <d v="2025-10-17T00:00:00"/>
    <n v="10000"/>
    <d v="2026-07-16T21:54:26"/>
    <d v="2026-07-16T00:00:00"/>
    <s v="julio"/>
    <m/>
    <m/>
    <m/>
    <s v="C003079"/>
    <s v="FILTRO DE HABITACULO SPRINTER 316 - MANN CU 30012"/>
    <n v="1"/>
    <n v="18045.55"/>
    <n v="18045.55"/>
    <x v="13"/>
    <m/>
    <m/>
    <m/>
  </r>
  <r>
    <s v="GUW658"/>
    <n v="1624"/>
    <s v="2MC 1"/>
    <s v="2MC"/>
    <n v="0.75"/>
    <s v="Cambio De Aceite Y Filtro De Motor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12-22T02:40:18"/>
    <d v="2026-12-22T00:00:00"/>
    <s v="diciembre"/>
    <m/>
    <m/>
    <m/>
    <s v="C000313"/>
    <s v="ACEITE 15W40 XV300 X 205LT (TAMBOR)"/>
    <n v="16"/>
    <n v="3389.9"/>
    <n v="54238.400000000001"/>
    <x v="4"/>
    <m/>
    <m/>
    <m/>
  </r>
  <r>
    <s v="GUW658"/>
    <n v="1624"/>
    <s v="2MC 1"/>
    <s v="2MC"/>
    <n v="0.75"/>
    <s v="Cambio De Aceite Y Filtro De Motor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12-22T02:40:18"/>
    <d v="2026-12-22T00:00:00"/>
    <s v="diciembre"/>
    <m/>
    <m/>
    <m/>
    <s v="C002300"/>
    <s v="FILTRO DE ACEITE 6 CILINDROS MB 1725/1726/1933/1624L/1721 OF ELECTRONICO - MANN HU 945/2x"/>
    <n v="1"/>
    <n v="9737.2800000000007"/>
    <n v="9737.2800000000007"/>
    <x v="4"/>
    <m/>
    <m/>
    <m/>
  </r>
  <r>
    <s v="GOX957"/>
    <n v="1624"/>
    <s v="2MC 1"/>
    <s v="2MC"/>
    <n v="0.75"/>
    <s v="Cambio De Aceite Y Filtro De Motor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10-03T21:53:44"/>
    <d v="2026-10-03T00:00:00"/>
    <s v="octubre"/>
    <m/>
    <m/>
    <m/>
    <s v="C000313"/>
    <s v="ACEITE 15W40 XV300 X 205LT (TAMBOR)"/>
    <n v="16"/>
    <n v="3389.9"/>
    <n v="54238.400000000001"/>
    <x v="10"/>
    <m/>
    <m/>
    <m/>
  </r>
  <r>
    <s v="GOX957"/>
    <n v="1624"/>
    <s v="2MC 1"/>
    <s v="2MC"/>
    <n v="0.75"/>
    <s v="Cambio De Aceite Y Filtro De Motor"/>
    <d v="2025-03-18T00:00:00"/>
    <n v="662460"/>
    <n v="682460"/>
    <n v="20447.600000000009"/>
    <n v="-447.60000000000582"/>
    <n v="682907.6"/>
    <n v="213"/>
    <n v="113.6646794871796"/>
    <n v="-4.6625912087482746"/>
    <d v="2025-10-17T00:00:00"/>
    <n v="20000"/>
    <d v="2026-10-03T21:53:44"/>
    <d v="2026-10-03T00:00:00"/>
    <s v="octubre"/>
    <m/>
    <m/>
    <m/>
    <s v="C002300"/>
    <s v="FILTRO DE ACEITE 6 CILINDROS MB 1725/1726/1933/1624L/1721 OF ELECTRONICO - MANN HU 945/2x"/>
    <n v="1"/>
    <n v="9737.2800000000007"/>
    <n v="9737.2800000000007"/>
    <x v="10"/>
    <m/>
    <m/>
    <m/>
  </r>
  <r>
    <s v="GKK500"/>
    <n v="1624"/>
    <s v="2MC 1"/>
    <s v="2MC"/>
    <n v="0.75"/>
    <s v="Cambio De Aceite Y Filtro De Motor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8-30T18:13:37"/>
    <d v="2026-08-30T00:00:00"/>
    <s v="agosto"/>
    <m/>
    <m/>
    <m/>
    <s v="C000313"/>
    <s v="ACEITE 15W40 XV300 X 205LT (TAMBOR)"/>
    <n v="16"/>
    <n v="3389.9"/>
    <n v="54238.400000000001"/>
    <x v="6"/>
    <m/>
    <m/>
    <m/>
  </r>
  <r>
    <s v="GKK500"/>
    <n v="1624"/>
    <s v="2MC 1"/>
    <s v="2MC"/>
    <n v="0.75"/>
    <s v="Cambio De Aceite Y Filtro De Motor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8-30T18:13:37"/>
    <d v="2026-08-30T00:00:00"/>
    <s v="agosto"/>
    <m/>
    <m/>
    <m/>
    <s v="C002300"/>
    <s v="FILTRO DE ACEITE 6 CILINDROS MB 1725/1726/1933/1624L/1721 OF ELECTRONICO - MANN HU 945/2x"/>
    <n v="1"/>
    <n v="9737.2800000000007"/>
    <n v="9737.2800000000007"/>
    <x v="6"/>
    <m/>
    <m/>
    <m/>
  </r>
  <r>
    <s v="OZH811"/>
    <s v="ATEGO 1725"/>
    <s v="2MC 1"/>
    <s v="2MC"/>
    <n v="0.75"/>
    <s v="Cambio De Aceite Y Filtro De Motor"/>
    <s v="-"/>
    <m/>
    <m/>
    <m/>
    <m/>
    <m/>
    <m/>
    <n v="169.51837638376381"/>
    <m/>
    <d v="2025-10-17T00:00:00"/>
    <n v="20000"/>
    <d v="2026-06-09T23:06:10"/>
    <d v="2026-06-09T00:00:00"/>
    <s v="junio"/>
    <m/>
    <m/>
    <m/>
    <s v="C000313"/>
    <s v="ACEITE 15W40 XV300 X 205LT (TAMBOR)"/>
    <n v="16"/>
    <n v="3389.9"/>
    <n v="54238.400000000001"/>
    <x v="18"/>
    <m/>
    <m/>
    <m/>
  </r>
  <r>
    <s v="OZH811"/>
    <s v="ATEGO 1725"/>
    <s v="2MC 1"/>
    <s v="2MC"/>
    <n v="0.75"/>
    <s v="Cambio De Aceite Y Filtro De Motor"/>
    <s v="-"/>
    <m/>
    <m/>
    <m/>
    <m/>
    <m/>
    <m/>
    <n v="169.51837638376381"/>
    <m/>
    <d v="2025-10-17T00:00:00"/>
    <n v="20000"/>
    <d v="2026-06-09T23:06:10"/>
    <d v="2026-06-09T00:00:00"/>
    <s v="junio"/>
    <m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FCD324"/>
    <n v="710"/>
    <s v="6MC"/>
    <s v="6MC"/>
    <n v="0.25"/>
    <s v="Cambio Filtro Aire"/>
    <d v="2024-12-06T00:00:00"/>
    <n v="16040"/>
    <n v="36040"/>
    <n v="34694.100000000013"/>
    <n v="-14694.100000000009"/>
    <n v="50734.100000000013"/>
    <n v="315"/>
    <n v="104.473717948718"/>
    <n v="-133.41292899945529"/>
    <d v="2025-10-17T00:00:00"/>
    <n v="20000"/>
    <d v="2026-11-03T20:54:50"/>
    <d v="2026-11-03T00:00:00"/>
    <s v="noviembre"/>
    <m/>
    <m/>
    <m/>
    <s v="C000988"/>
    <s v="FILTRO DE AIRE - MANN C27844"/>
    <n v="1"/>
    <n v="37165.919999999998"/>
    <n v="37165.919999999998"/>
    <x v="6"/>
    <m/>
    <m/>
    <m/>
  </r>
  <r>
    <s v="KHS009"/>
    <s v="ATRON 1720/48  FRONTAL"/>
    <s v="6MC"/>
    <s v="6MC"/>
    <n v="0.25"/>
    <s v="Cambio Filtro Aire"/>
    <d v="2024-08-21T00:00:00"/>
    <n v="880145"/>
    <n v="900145"/>
    <n v="79750.570000000065"/>
    <n v="-59750.570000000072"/>
    <n v="959895.57000000007"/>
    <n v="422"/>
    <n v="249.7515064102565"/>
    <n v="-316.17003539912008"/>
    <d v="2025-10-17T00:00:00"/>
    <n v="20000"/>
    <d v="2026-03-26T03:49:14"/>
    <d v="2026-03-26T00:00:00"/>
    <s v="marzo"/>
    <m/>
    <m/>
    <m/>
    <s v="C000988"/>
    <s v="FILTRO DE AIRE - MANN C27844"/>
    <n v="1"/>
    <n v="37165.919999999998"/>
    <n v="37165.919999999998"/>
    <x v="2"/>
    <m/>
    <m/>
    <m/>
  </r>
  <r>
    <s v="HRJ003"/>
    <s v="L-1318"/>
    <s v="6MC"/>
    <s v="6MC"/>
    <n v="0.25"/>
    <s v="Cambio Filtro Aire"/>
    <d v="2025-06-27T00:00:00"/>
    <n v="34917.800000000003"/>
    <n v="54917.8"/>
    <n v="14084.2"/>
    <n v="5915.7999999999975"/>
    <n v="49002.000000000007"/>
    <n v="112"/>
    <n v="130.96596721311471"/>
    <n v="47.04346714758379"/>
    <d v="2025-10-17T00:00:00"/>
    <n v="20000"/>
    <d v="2026-10-04T11:11:30"/>
    <d v="2026-10-04T00:00:00"/>
    <s v="octubre"/>
    <m/>
    <m/>
    <m/>
    <s v="C000988"/>
    <s v="FILTRO DE AIRE - MANN C27844"/>
    <n v="1"/>
    <n v="37165.919999999998"/>
    <n v="37165.919999999998"/>
    <x v="2"/>
    <m/>
    <m/>
    <m/>
  </r>
  <r>
    <s v="HRJ002"/>
    <s v="L-1318"/>
    <s v="6MC"/>
    <s v="6MC"/>
    <n v="0.25"/>
    <s v="Cambio Filtro Aire"/>
    <d v="2025-03-10T00:00:00"/>
    <n v="41546.1"/>
    <n v="61546.1"/>
    <n v="24274.80000000001"/>
    <n v="-4274.8000000000102"/>
    <n v="65820.900000000009"/>
    <n v="221"/>
    <n v="124.4065073529412"/>
    <n v="-38.918170283586349"/>
    <d v="2025-10-17T00:00:00"/>
    <n v="20000"/>
    <d v="2026-09-03T12:38:17"/>
    <d v="2026-09-03T00:00:00"/>
    <s v="septiembre"/>
    <m/>
    <m/>
    <m/>
    <s v="C000988"/>
    <s v="FILTRO DE AIRE - MANN C27844"/>
    <n v="1"/>
    <n v="37165.919999999998"/>
    <n v="37165.919999999998"/>
    <x v="17"/>
    <m/>
    <m/>
    <m/>
  </r>
  <r>
    <s v="GPL520"/>
    <s v="L-1318"/>
    <s v="6MC"/>
    <s v="6MC"/>
    <n v="0.25"/>
    <s v="Cambio Filtro Aire"/>
    <d v="2025-07-07T00:00:00"/>
    <n v="958885"/>
    <n v="978885"/>
    <n v="14167.3"/>
    <n v="5832.7000000000044"/>
    <n v="973052.3"/>
    <n v="102"/>
    <n v="132.10963696369629"/>
    <n v="41.993562640729053"/>
    <d v="2025-10-17T00:00:00"/>
    <n v="20000"/>
    <d v="2026-09-26T18:32:14"/>
    <d v="2026-09-26T00:00:00"/>
    <s v="septiembre"/>
    <m/>
    <m/>
    <m/>
    <s v="C000988"/>
    <s v="FILTRO DE AIRE - MANN C27844"/>
    <n v="1"/>
    <n v="37165.919999999998"/>
    <n v="37165.919999999998"/>
    <x v="17"/>
    <m/>
    <m/>
    <m/>
  </r>
  <r>
    <s v="FQT894"/>
    <n v="1620"/>
    <s v="6MC 1"/>
    <s v="6MC"/>
    <n v="0.25"/>
    <s v="Cambio Filtro Aire"/>
    <s v="-"/>
    <m/>
    <m/>
    <m/>
    <m/>
    <m/>
    <m/>
    <n v="96.824519230769212"/>
    <m/>
    <d v="2025-10-17T00:00:00"/>
    <n v="20000"/>
    <d v="2026-12-04T02:50:38"/>
    <d v="2026-12-04T00:00:00"/>
    <s v="diciembre"/>
    <m/>
    <m/>
    <m/>
    <s v="C000982"/>
    <s v="FILTRO DE AIRE - MANN C27902"/>
    <n v="1"/>
    <n v="42474.239999999998"/>
    <n v="42474.239999999998"/>
    <x v="14"/>
    <m/>
    <m/>
    <m/>
  </r>
  <r>
    <s v="GUW658"/>
    <n v="1624"/>
    <s v="6MC 1"/>
    <s v="6MC"/>
    <n v="0.25"/>
    <s v="Cambio Filtro Aire"/>
    <d v="2025-06-12T00:00:00"/>
    <n v="657691"/>
    <n v="677691"/>
    <n v="12543.4"/>
    <n v="7456.6000000000022"/>
    <n v="670234.4"/>
    <n v="127"/>
    <n v="112.4813870967742"/>
    <n v="75.496930656759758"/>
    <d v="2025-10-17T00:00:00"/>
    <n v="20000"/>
    <d v="2026-12-22T02:40:18"/>
    <d v="2026-12-22T00:00:00"/>
    <s v="diciembre"/>
    <m/>
    <m/>
    <m/>
    <s v="C000982"/>
    <s v="FILTRO DE AIRE - MANN C27902"/>
    <n v="1"/>
    <n v="42474.239999999998"/>
    <n v="42474.239999999998"/>
    <x v="4"/>
    <m/>
    <m/>
    <m/>
  </r>
  <r>
    <s v="GOX957"/>
    <n v="1624"/>
    <s v="6MC 1"/>
    <s v="6MC"/>
    <n v="0.25"/>
    <s v="Cambio Filtro Aire"/>
    <s v="-"/>
    <n v="662460"/>
    <n v="682460"/>
    <n v="20447.600000000009"/>
    <n v="-447.60000000000582"/>
    <n v="682907.6"/>
    <n v="197"/>
    <n v="113.6646794871796"/>
    <n v="-4.312349615602864"/>
    <d v="2025-10-17T00:00:00"/>
    <n v="20000"/>
    <d v="2026-10-03T21:53:44"/>
    <d v="2026-10-03T00:00:00"/>
    <s v="octubre"/>
    <m/>
    <m/>
    <m/>
    <s v="C000982"/>
    <s v="FILTRO DE AIRE - MANN C27902"/>
    <n v="1"/>
    <n v="42474.239999999998"/>
    <n v="42474.239999999998"/>
    <x v="10"/>
    <m/>
    <m/>
    <m/>
  </r>
  <r>
    <s v="GKK500"/>
    <n v="1624"/>
    <s v="6MC 1"/>
    <s v="6MC"/>
    <n v="0.25"/>
    <s v="Cambio Filtro Aire"/>
    <d v="2025-07-02T00:00:00"/>
    <n v="40688"/>
    <n v="60688"/>
    <n v="18559.899999999991"/>
    <n v="1440.100000000006"/>
    <n v="59247.899999999987"/>
    <n v="107"/>
    <n v="129.25862179487169"/>
    <n v="8.3023453790160868"/>
    <d v="2025-10-17T00:00:00"/>
    <n v="20000"/>
    <d v="2026-08-30T18:13:37"/>
    <d v="2026-08-30T00:00:00"/>
    <s v="agosto"/>
    <m/>
    <m/>
    <m/>
    <s v="C000982"/>
    <s v="FILTRO DE AIRE - MANN C27902"/>
    <n v="1"/>
    <n v="42474.239999999998"/>
    <n v="42474.239999999998"/>
    <x v="6"/>
    <m/>
    <m/>
    <m/>
  </r>
  <r>
    <s v="OZH811"/>
    <s v="ATEGO 1725"/>
    <s v="6MC 2"/>
    <s v="6MC"/>
    <n v="0.25"/>
    <s v="Cambio Filtro Aire"/>
    <s v="-"/>
    <m/>
    <m/>
    <m/>
    <m/>
    <m/>
    <m/>
    <n v="169.51837638376381"/>
    <m/>
    <d v="2025-10-17T00:00:00"/>
    <n v="20000"/>
    <d v="2026-06-09T23:06:10"/>
    <d v="2026-06-09T00:00:00"/>
    <s v="junio"/>
    <m/>
    <m/>
    <m/>
    <s v="C002482"/>
    <s v="FILTRO DE AIRE MB 2426/AXOR 1933 - MANN C28 1012"/>
    <n v="1"/>
    <n v="49777.919999999998"/>
    <n v="49777.919999999998"/>
    <x v="18"/>
    <m/>
    <m/>
    <m/>
  </r>
  <r>
    <s v="AG269WH"/>
    <s v="ATEGO 1729-S36 CD TE"/>
    <s v="2ML"/>
    <s v="2ML"/>
    <n v="0.75"/>
    <s v="Cambio De Aceite Y Filtro De Motor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6-17T01:49:35"/>
    <d v="2026-06-17T00:00:00"/>
    <s v="junio"/>
    <m/>
    <m/>
    <m/>
    <s v="C000313"/>
    <s v="ACEITE 15W40 XV300 X 205LT (TAMBOR)"/>
    <n v="30"/>
    <n v="3389.9"/>
    <n v="101697"/>
    <x v="18"/>
    <m/>
    <m/>
    <m/>
  </r>
  <r>
    <s v="AG269WH"/>
    <s v="ATEGO 1729-S36 CD TE"/>
    <s v="2ML"/>
    <s v="2ML"/>
    <n v="0.75"/>
    <s v="Cambio De Aceite Y Filtro De Motor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6-17T01:49:35"/>
    <d v="2026-06-17T00:00:00"/>
    <s v="junio"/>
    <m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JIU311"/>
    <s v="AXOR 1933 S"/>
    <s v="2ML"/>
    <s v="2ML"/>
    <n v="0.75"/>
    <s v="Cambio De Aceite Y Filtro De Motor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5-02T23:15:37"/>
    <d v="2026-05-02T00:00:00"/>
    <s v="mayo"/>
    <m/>
    <m/>
    <m/>
    <s v="C000313"/>
    <s v="ACEITE 15W40 XV300 X 205LT (TAMBOR)"/>
    <n v="30"/>
    <n v="3389.9"/>
    <n v="101697"/>
    <x v="15"/>
    <m/>
    <m/>
    <m/>
  </r>
  <r>
    <s v="JIU311"/>
    <s v="AXOR 1933 S"/>
    <s v="2ML"/>
    <s v="2ML"/>
    <n v="0.75"/>
    <s v="Cambio De Aceite Y Filtro De Motor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5-02T23:15:37"/>
    <d v="2026-05-02T00:00:00"/>
    <s v="mayo"/>
    <m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AD426HW"/>
    <s v="AXOR 2541 LS"/>
    <s v="2ML 1"/>
    <s v="2ML"/>
    <n v="0.75"/>
    <s v="Cambio De Aceite Y Filtro De Motor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7-17T15:19:37"/>
    <d v="2026-07-17T00:00:00"/>
    <s v="julio"/>
    <m/>
    <m/>
    <m/>
    <s v="C000313"/>
    <s v="ACEITE 15W40 XV300 X 205LT (TAMBOR)"/>
    <n v="39"/>
    <n v="3389.9"/>
    <n v="132206.1"/>
    <x v="23"/>
    <m/>
    <m/>
    <m/>
  </r>
  <r>
    <s v="AD426HW"/>
    <s v="AXOR 2541 LS"/>
    <s v="2ML 1"/>
    <s v="2ML"/>
    <n v="0.75"/>
    <s v="Cambio De Aceite Y Filtro De Motor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7-17T15:19:37"/>
    <d v="2026-07-17T00:00:00"/>
    <s v="julio"/>
    <m/>
    <m/>
    <m/>
    <s v="C002303"/>
    <s v="FILTRO DE ACEITE MB AXOR 2036/2035 - MANN HU 12 110X"/>
    <n v="1"/>
    <n v="22064.98"/>
    <n v="22064.98"/>
    <x v="23"/>
    <m/>
    <m/>
    <m/>
  </r>
  <r>
    <s v="AD426HZ"/>
    <s v="AXOR 2541 LS"/>
    <s v="2ML 1"/>
    <s v="2ML"/>
    <n v="0.75"/>
    <s v="Cambio De Aceite Y Filtro De Motor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5-11T23:13:35"/>
    <d v="2026-05-11T00:00:00"/>
    <s v="mayo"/>
    <m/>
    <m/>
    <m/>
    <s v="C000313"/>
    <s v="ACEITE 15W40 XV300 X 205LT (TAMBOR)"/>
    <n v="39"/>
    <n v="3389.9"/>
    <n v="132206.1"/>
    <x v="23"/>
    <m/>
    <m/>
    <m/>
  </r>
  <r>
    <s v="AD426HZ"/>
    <s v="AXOR 2541 LS"/>
    <s v="2ML 1"/>
    <s v="2ML"/>
    <n v="0.75"/>
    <s v="Cambio De Aceite Y Filtro De Motor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5-11T23:13:35"/>
    <d v="2026-05-11T00:00:00"/>
    <s v="mayo"/>
    <m/>
    <m/>
    <m/>
    <s v="C002303"/>
    <s v="FILTRO DE ACEITE MB AXOR 2036/2035 - MANN HU 12 110X"/>
    <n v="1"/>
    <n v="22064.98"/>
    <n v="22064.98"/>
    <x v="23"/>
    <m/>
    <m/>
    <m/>
  </r>
  <r>
    <s v="AD426IH"/>
    <s v="AXOR 2541 LS"/>
    <s v="2ML 1"/>
    <s v="2ML"/>
    <n v="0.75"/>
    <s v="Cambio De Aceite Y Filtro De Motor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5-02T19:01:39"/>
    <d v="2026-05-02T00:00:00"/>
    <s v="mayo"/>
    <m/>
    <m/>
    <m/>
    <s v="C000313"/>
    <s v="ACEITE 15W40 XV300 X 205LT (TAMBOR)"/>
    <n v="39"/>
    <n v="3389.9"/>
    <n v="132206.1"/>
    <x v="23"/>
    <m/>
    <m/>
    <m/>
  </r>
  <r>
    <s v="AD426IH"/>
    <s v="AXOR 2541 LS"/>
    <s v="2ML 1"/>
    <s v="2ML"/>
    <n v="0.75"/>
    <s v="Cambio De Aceite Y Filtro De Motor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5-02T19:01:39"/>
    <d v="2026-05-02T00:00:00"/>
    <s v="mayo"/>
    <m/>
    <m/>
    <m/>
    <s v="C002303"/>
    <s v="FILTRO DE ACEITE MB AXOR 2036/2035 - MANN HU 12 110X"/>
    <n v="1"/>
    <n v="22064.98"/>
    <n v="22064.98"/>
    <x v="23"/>
    <m/>
    <m/>
    <m/>
  </r>
  <r>
    <s v="AD426HU"/>
    <s v="AXOR 2541 LS"/>
    <s v="2ML 1"/>
    <s v="2ML"/>
    <n v="0.75"/>
    <s v="Cambio De Aceite Y Filtro De Motor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5-22T21:51:18"/>
    <d v="2026-05-22T00:00:00"/>
    <s v="mayo"/>
    <m/>
    <m/>
    <m/>
    <s v="C000313"/>
    <s v="ACEITE 15W40 XV300 X 205LT (TAMBOR)"/>
    <n v="39"/>
    <n v="3389.9"/>
    <n v="132206.1"/>
    <x v="23"/>
    <m/>
    <m/>
    <m/>
  </r>
  <r>
    <s v="AD426HU"/>
    <s v="AXOR 2541 LS"/>
    <s v="2ML 1"/>
    <s v="2ML"/>
    <n v="0.75"/>
    <s v="Cambio De Aceite Y Filtro De Motor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5-22T21:51:18"/>
    <d v="2026-05-22T00:00:00"/>
    <s v="mayo"/>
    <m/>
    <m/>
    <m/>
    <s v="C002303"/>
    <s v="FILTRO DE ACEITE MB AXOR 2036/2035 - MANN HU 12 110X"/>
    <n v="1"/>
    <n v="22064.98"/>
    <n v="22064.98"/>
    <x v="23"/>
    <m/>
    <m/>
    <m/>
  </r>
  <r>
    <s v="AD426HV"/>
    <s v="AXOR 2541 LS"/>
    <s v="2ML 1"/>
    <s v="2ML"/>
    <n v="0.75"/>
    <s v="Cambio De Aceite Y Filtro De Motor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5-17T07:12:15"/>
    <d v="2026-05-17T00:00:00"/>
    <s v="mayo"/>
    <m/>
    <m/>
    <m/>
    <s v="C000313"/>
    <s v="ACEITE 15W40 XV300 X 205LT (TAMBOR)"/>
    <n v="39"/>
    <n v="3389.9"/>
    <n v="132206.1"/>
    <x v="23"/>
    <m/>
    <m/>
    <m/>
  </r>
  <r>
    <s v="AD426HV"/>
    <s v="AXOR 2541 LS"/>
    <s v="2ML 1"/>
    <s v="2ML"/>
    <n v="0.75"/>
    <s v="Cambio De Aceite Y Filtro De Motor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5-17T07:12:15"/>
    <d v="2026-05-17T00:00:00"/>
    <s v="mayo"/>
    <m/>
    <m/>
    <m/>
    <s v="C002303"/>
    <s v="FILTRO DE ACEITE MB AXOR 2036/2035 - MANN HU 12 110X"/>
    <n v="1"/>
    <n v="22064.98"/>
    <n v="22064.98"/>
    <x v="23"/>
    <m/>
    <m/>
    <m/>
  </r>
  <r>
    <s v="AD426HX"/>
    <s v="AXOR 2541 LS"/>
    <s v="2ML 1"/>
    <s v="2ML"/>
    <n v="0.75"/>
    <s v="Cambio De Aceite Y Filtro De Motor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4-05T04:59:20"/>
    <d v="2026-04-05T00:00:00"/>
    <s v="abril"/>
    <m/>
    <m/>
    <m/>
    <s v="C000313"/>
    <s v="ACEITE 15W40 XV300 X 205LT (TAMBOR)"/>
    <n v="39"/>
    <n v="3389.9"/>
    <n v="132206.1"/>
    <x v="23"/>
    <m/>
    <m/>
    <m/>
  </r>
  <r>
    <s v="AD426HX"/>
    <s v="AXOR 2541 LS"/>
    <s v="2ML 1"/>
    <s v="2ML"/>
    <n v="0.75"/>
    <s v="Cambio De Aceite Y Filtro De Motor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4-05T04:59:20"/>
    <d v="2026-04-05T00:00:00"/>
    <s v="abril"/>
    <m/>
    <m/>
    <m/>
    <s v="C002303"/>
    <s v="FILTRO DE ACEITE MB AXOR 2036/2035 - MANN HU 12 110X"/>
    <n v="1"/>
    <n v="22064.98"/>
    <n v="22064.98"/>
    <x v="23"/>
    <m/>
    <m/>
    <m/>
  </r>
  <r>
    <s v="AE700VN"/>
    <s v="AXOR 2036 S ROBUST"/>
    <s v="2ML 1"/>
    <s v="2ML"/>
    <n v="0.75"/>
    <s v="Cambio De Aceite Y Filtro De Motor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3-23T01:21:06"/>
    <d v="2026-03-23T00:00:00"/>
    <s v="marzo"/>
    <m/>
    <m/>
    <m/>
    <s v="C000313"/>
    <s v="ACEITE 15W40 XV300 X 205LT (TAMBOR)"/>
    <n v="39"/>
    <n v="3389.9"/>
    <n v="132206.1"/>
    <x v="15"/>
    <m/>
    <m/>
    <m/>
  </r>
  <r>
    <s v="AE700VN"/>
    <s v="AXOR 2036 S ROBUST"/>
    <s v="2ML 1"/>
    <s v="2ML"/>
    <n v="0.75"/>
    <s v="Cambio De Aceite Y Filtro De Motor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3-23T01:21:06"/>
    <d v="2026-03-23T00:00:00"/>
    <s v="marzo"/>
    <m/>
    <m/>
    <m/>
    <s v="C002303"/>
    <s v="FILTRO DE ACEITE MB AXOR 2036/2035 - MANN HU 12 110X"/>
    <n v="1"/>
    <n v="22064.98"/>
    <n v="22064.98"/>
    <x v="15"/>
    <m/>
    <m/>
    <m/>
  </r>
  <r>
    <s v="AE700VS"/>
    <s v="AXOR 2036 S ROBUST"/>
    <s v="2ML 1"/>
    <s v="2ML"/>
    <n v="0.75"/>
    <s v="Cambio De Aceite Y Filtro De Motor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4-05T11:38:25"/>
    <d v="2026-04-05T00:00:00"/>
    <s v="abril"/>
    <m/>
    <m/>
    <m/>
    <s v="C000313"/>
    <s v="ACEITE 15W40 XV300 X 205LT (TAMBOR)"/>
    <n v="39"/>
    <n v="3389.9"/>
    <n v="132206.1"/>
    <x v="15"/>
    <m/>
    <m/>
    <m/>
  </r>
  <r>
    <s v="AE700VS"/>
    <s v="AXOR 2036 S ROBUST"/>
    <s v="2ML 1"/>
    <s v="2ML"/>
    <n v="0.75"/>
    <s v="Cambio De Aceite Y Filtro De Motor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4-05T11:38:25"/>
    <d v="2026-04-05T00:00:00"/>
    <s v="abril"/>
    <m/>
    <m/>
    <m/>
    <s v="C002303"/>
    <s v="FILTRO DE ACEITE MB AXOR 2036/2035 - MANN HU 12 110X"/>
    <n v="1"/>
    <n v="22064.98"/>
    <n v="22064.98"/>
    <x v="15"/>
    <m/>
    <m/>
    <m/>
  </r>
  <r>
    <s v="LFK336"/>
    <s v="AXOR 2035-36 S TE"/>
    <s v="2ML 1"/>
    <s v="2ML"/>
    <n v="0.75"/>
    <s v="Cambio De Aceite Y Filtro De Motor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6-19T16:20:26"/>
    <d v="2026-06-19T00:00:00"/>
    <s v="junio"/>
    <m/>
    <m/>
    <m/>
    <s v="C000313"/>
    <s v="ACEITE 15W40 XV300 X 205LT (TAMBOR)"/>
    <n v="39"/>
    <n v="3389.9"/>
    <n v="132206.1"/>
    <x v="15"/>
    <m/>
    <m/>
    <m/>
  </r>
  <r>
    <s v="LFK336"/>
    <s v="AXOR 2035-36 S TE"/>
    <s v="2ML 1"/>
    <s v="2ML"/>
    <n v="0.75"/>
    <s v="Cambio De Aceite Y Filtro De Motor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6-19T16:20:26"/>
    <d v="2026-06-19T00:00:00"/>
    <s v="junio"/>
    <m/>
    <m/>
    <m/>
    <s v="C002303"/>
    <s v="FILTRO DE ACEITE MB AXOR 2036/2035 - MANN HU 12 110X"/>
    <n v="1"/>
    <n v="22064.98"/>
    <n v="22064.98"/>
    <x v="15"/>
    <m/>
    <m/>
    <m/>
  </r>
  <r>
    <s v="SYG971"/>
    <s v="1633"/>
    <s v="2ML 2"/>
    <s v="2ML"/>
    <n v="0.75"/>
    <s v="Cambio De Aceite Y Filtro De Motor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8-16T00:52:54"/>
    <d v="2026-08-16T00:00:00"/>
    <s v="agosto"/>
    <m/>
    <m/>
    <m/>
    <s v="C000313"/>
    <s v="ACEITE 15W40 XV300 X 205LT (TAMBOR)"/>
    <n v="29"/>
    <n v="3389.9"/>
    <n v="98307.1"/>
    <x v="15"/>
    <m/>
    <m/>
    <m/>
  </r>
  <r>
    <s v="SYG971"/>
    <s v="1633"/>
    <s v="2ML 2"/>
    <s v="2ML"/>
    <n v="0.75"/>
    <s v="Cambio De Aceite Y Filtro De Motor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8-16T00:52:54"/>
    <d v="2026-08-16T00:00:00"/>
    <s v="agosto"/>
    <m/>
    <m/>
    <m/>
    <s v="C003701"/>
    <s v="FILTRO DE ACEITE MB 1625/1628/1630/1632/1633/2325 - MANN H1275X"/>
    <n v="1"/>
    <n v="42100"/>
    <n v="42100"/>
    <x v="15"/>
    <m/>
    <m/>
    <m/>
  </r>
  <r>
    <s v="KUF605"/>
    <s v="1634"/>
    <s v="2ML 2"/>
    <s v="2ML"/>
    <n v="0.75"/>
    <s v="Cambio De Aceite Y Filtro De Motor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7-01T20:41:16"/>
    <d v="2026-07-01T00:00:00"/>
    <s v="julio"/>
    <m/>
    <m/>
    <m/>
    <s v="C000313"/>
    <s v="ACEITE 15W40 XV300 X 205LT (TAMBOR)"/>
    <n v="29"/>
    <n v="3389.9"/>
    <n v="98307.1"/>
    <x v="15"/>
    <m/>
    <m/>
    <m/>
  </r>
  <r>
    <s v="KUF605"/>
    <s v="1634"/>
    <s v="2ML 2"/>
    <s v="2ML"/>
    <n v="0.75"/>
    <s v="Cambio De Aceite Y Filtro De Motor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7-01T20:41:16"/>
    <d v="2026-07-01T00:00:00"/>
    <s v="julio"/>
    <m/>
    <m/>
    <m/>
    <s v="C003701"/>
    <s v="FILTRO DE ACEITE MB 1625/1628/1630/1632/1633/2325 - MANN H1275X"/>
    <n v="1"/>
    <n v="42100"/>
    <n v="42100"/>
    <x v="15"/>
    <m/>
    <m/>
    <m/>
  </r>
  <r>
    <s v="AG269WH"/>
    <s v="ATEGO 1729-S36 CD TE"/>
    <s v="3ML"/>
    <s v="3ML"/>
    <n v="0.5"/>
    <s v="Cambio De Filtro Gas Oíl Y Trampa De Agua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6-17T01:49:35"/>
    <d v="2026-06-17T00:00:00"/>
    <s v="junio"/>
    <m/>
    <m/>
    <m/>
    <s v="C001031"/>
    <s v="FILTRO DE COMBUSTIBLE MANN PU1046/1X"/>
    <n v="1"/>
    <n v="10535.04"/>
    <n v="10535.04"/>
    <x v="18"/>
    <m/>
    <m/>
    <m/>
  </r>
  <r>
    <s v="AG269WH"/>
    <s v="ATEGO 1729-S36 CD TE"/>
    <s v="3ML"/>
    <s v="3ML"/>
    <n v="0.5"/>
    <s v="Cambio De Filtro Gas Oíl Y Trampa De Agua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6-17T01:49:35"/>
    <d v="2026-06-17T00:00:00"/>
    <s v="junio"/>
    <m/>
    <m/>
    <m/>
    <s v="C001614"/>
    <s v="FILTRO TRAMPA DE AGUA MB 1933S (A 000 470 24 90) - RE160JQII - MARCA RAMA"/>
    <n v="1"/>
    <n v="13118.81"/>
    <n v="13118.81"/>
    <x v="18"/>
    <m/>
    <m/>
    <m/>
  </r>
  <r>
    <s v="JIU311"/>
    <s v="AXOR 1933 S"/>
    <s v="3ML"/>
    <s v="3ML"/>
    <n v="0.5"/>
    <s v="Cambio De Filtro Gas Oíl Y Trampa De Agua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5-02T23:15:37"/>
    <d v="2026-05-02T00:00:00"/>
    <s v="mayo"/>
    <m/>
    <m/>
    <m/>
    <s v="C001031"/>
    <s v="FILTRO DE COMBUSTIBLE MANN PU1046/1X"/>
    <n v="1"/>
    <n v="10535.04"/>
    <n v="10535.04"/>
    <x v="15"/>
    <m/>
    <m/>
    <m/>
  </r>
  <r>
    <s v="JIU311"/>
    <s v="AXOR 1933 S"/>
    <s v="3ML"/>
    <s v="3ML"/>
    <n v="0.5"/>
    <s v="Cambio De Filtro Gas Oíl Y Trampa De Agua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5-02T23:15:37"/>
    <d v="2026-05-02T00:00:00"/>
    <s v="mayo"/>
    <m/>
    <m/>
    <m/>
    <s v="C001614"/>
    <s v="FILTRO TRAMPA DE AGUA MB 1933S (A 000 470 24 90) - RE160JQII - MARCA RAMA"/>
    <n v="1"/>
    <n v="13118.81"/>
    <n v="13118.81"/>
    <x v="15"/>
    <m/>
    <m/>
    <m/>
  </r>
  <r>
    <s v="AD426HW"/>
    <s v="AXOR 2541 LS"/>
    <s v="3ML 1"/>
    <s v="3ML"/>
    <n v="0.5"/>
    <s v="Cambio De Filtro Gas Oíl Y Trampa De Agua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7-17T15:19:37"/>
    <d v="2026-07-17T00:00:00"/>
    <s v="julio"/>
    <m/>
    <m/>
    <m/>
    <s v="C001032"/>
    <s v="FILTRO DE COMBUSTIBLE MANN PU999/1X"/>
    <n v="1"/>
    <n v="19823.39"/>
    <n v="19823.39"/>
    <x v="23"/>
    <m/>
    <m/>
    <m/>
  </r>
  <r>
    <s v="AD426HW"/>
    <s v="AXOR 2541 LS"/>
    <s v="3ML 1"/>
    <s v="3ML"/>
    <n v="0.5"/>
    <s v="Cambio De Filtro Gas Oíl Y Trampa De Agua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7-17T15:19:37"/>
    <d v="2026-07-17T00:00:00"/>
    <s v="julio"/>
    <m/>
    <m/>
    <m/>
    <s v="C001614"/>
    <s v="FILTRO TRAMPA DE AGUA MB 1933S (A 000 470 24 90) - RE160JQII - MARCA RAMA"/>
    <n v="1"/>
    <n v="13118.81"/>
    <n v="13118.81"/>
    <x v="23"/>
    <m/>
    <m/>
    <m/>
  </r>
  <r>
    <s v="AD426HZ"/>
    <s v="AXOR 2541 LS"/>
    <s v="3ML 1"/>
    <s v="3ML"/>
    <n v="0.5"/>
    <s v="Cambio De Filtro Gas Oíl Y Trampa De Agua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5-11T23:13:35"/>
    <d v="2026-05-11T00:00:00"/>
    <s v="mayo"/>
    <m/>
    <m/>
    <m/>
    <s v="C001032"/>
    <s v="FILTRO DE COMBUSTIBLE MANN PU999/1X"/>
    <n v="1"/>
    <n v="19823.39"/>
    <n v="19823.39"/>
    <x v="23"/>
    <m/>
    <m/>
    <m/>
  </r>
  <r>
    <s v="AD426HZ"/>
    <s v="AXOR 2541 LS"/>
    <s v="3ML 1"/>
    <s v="3ML"/>
    <n v="0.5"/>
    <s v="Cambio De Filtro Gas Oíl Y Trampa De Agua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5-11T23:13:35"/>
    <d v="2026-05-11T00:00:00"/>
    <s v="mayo"/>
    <m/>
    <m/>
    <m/>
    <s v="C001614"/>
    <s v="FILTRO TRAMPA DE AGUA MB 1933S (A 000 470 24 90) - RE160JQII - MARCA RAMA"/>
    <n v="1"/>
    <n v="13118.81"/>
    <n v="13118.81"/>
    <x v="23"/>
    <m/>
    <m/>
    <m/>
  </r>
  <r>
    <s v="AD426IH"/>
    <s v="AXOR 2541 LS"/>
    <s v="3ML 1"/>
    <s v="3ML"/>
    <n v="0.5"/>
    <s v="Cambio De Filtro Gas Oíl Y Trampa De Agua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5-02T19:01:39"/>
    <d v="2026-05-02T00:00:00"/>
    <s v="mayo"/>
    <m/>
    <m/>
    <m/>
    <s v="C001032"/>
    <s v="FILTRO DE COMBUSTIBLE MANN PU999/1X"/>
    <n v="1"/>
    <n v="19823.39"/>
    <n v="19823.39"/>
    <x v="23"/>
    <m/>
    <m/>
    <m/>
  </r>
  <r>
    <s v="AD426IH"/>
    <s v="AXOR 2541 LS"/>
    <s v="3ML 1"/>
    <s v="3ML"/>
    <n v="0.5"/>
    <s v="Cambio De Filtro Gas Oíl Y Trampa De Agua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5-02T19:01:39"/>
    <d v="2026-05-02T00:00:00"/>
    <s v="mayo"/>
    <m/>
    <m/>
    <m/>
    <s v="C001614"/>
    <s v="FILTRO TRAMPA DE AGUA MB 1933S (A 000 470 24 90) - RE160JQII - MARCA RAMA"/>
    <n v="1"/>
    <n v="13118.81"/>
    <n v="13118.81"/>
    <x v="23"/>
    <m/>
    <m/>
    <m/>
  </r>
  <r>
    <s v="AD426HU"/>
    <s v="AXOR 2541 LS"/>
    <s v="3ML 1"/>
    <s v="3ML"/>
    <n v="0.5"/>
    <s v="Cambio De Filtro Gas Oíl Y Trampa De Agua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5-22T21:51:18"/>
    <d v="2026-05-22T00:00:00"/>
    <s v="mayo"/>
    <m/>
    <m/>
    <m/>
    <s v="C001032"/>
    <s v="FILTRO DE COMBUSTIBLE MANN PU999/1X"/>
    <n v="1"/>
    <n v="19823.39"/>
    <n v="19823.39"/>
    <x v="23"/>
    <m/>
    <m/>
    <m/>
  </r>
  <r>
    <s v="AD426HU"/>
    <s v="AXOR 2541 LS"/>
    <s v="3ML 1"/>
    <s v="3ML"/>
    <n v="0.5"/>
    <s v="Cambio De Filtro Gas Oíl Y Trampa De Agua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5-22T21:51:18"/>
    <d v="2026-05-22T00:00:00"/>
    <s v="mayo"/>
    <m/>
    <m/>
    <m/>
    <s v="C001614"/>
    <s v="FILTRO TRAMPA DE AGUA MB 1933S (A 000 470 24 90) - RE160JQII - MARCA RAMA"/>
    <n v="1"/>
    <n v="13118.81"/>
    <n v="13118.81"/>
    <x v="23"/>
    <m/>
    <m/>
    <m/>
  </r>
  <r>
    <s v="AD426HV"/>
    <s v="AXOR 2541 LS"/>
    <s v="3ML 1"/>
    <s v="3ML"/>
    <n v="0.5"/>
    <s v="Cambio De Filtro Gas Oíl Y Trampa De Agua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5-17T07:12:15"/>
    <d v="2026-05-17T00:00:00"/>
    <s v="mayo"/>
    <m/>
    <m/>
    <m/>
    <s v="C001032"/>
    <s v="FILTRO DE COMBUSTIBLE MANN PU999/1X"/>
    <n v="1"/>
    <n v="19823.39"/>
    <n v="19823.39"/>
    <x v="23"/>
    <m/>
    <m/>
    <m/>
  </r>
  <r>
    <s v="AD426HV"/>
    <s v="AXOR 2541 LS"/>
    <s v="3ML 1"/>
    <s v="3ML"/>
    <n v="0.5"/>
    <s v="Cambio De Filtro Gas Oíl Y Trampa De Agua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5-17T07:12:15"/>
    <d v="2026-05-17T00:00:00"/>
    <s v="mayo"/>
    <m/>
    <m/>
    <m/>
    <s v="C001614"/>
    <s v="FILTRO TRAMPA DE AGUA MB 1933S (A 000 470 24 90) - RE160JQII - MARCA RAMA"/>
    <n v="1"/>
    <n v="13118.81"/>
    <n v="13118.81"/>
    <x v="23"/>
    <m/>
    <m/>
    <m/>
  </r>
  <r>
    <s v="AD426HX"/>
    <s v="AXOR 2541 LS"/>
    <s v="3ML 1"/>
    <s v="3ML"/>
    <n v="0.5"/>
    <s v="Cambio De Filtro Gas Oíl Y Trampa De Agua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4-05T04:59:20"/>
    <d v="2026-04-05T00:00:00"/>
    <s v="abril"/>
    <m/>
    <m/>
    <m/>
    <s v="C001032"/>
    <s v="FILTRO DE COMBUSTIBLE MANN PU999/1X"/>
    <n v="1"/>
    <n v="19823.39"/>
    <n v="19823.39"/>
    <x v="23"/>
    <m/>
    <m/>
    <m/>
  </r>
  <r>
    <s v="AD426HX"/>
    <s v="AXOR 2541 LS"/>
    <s v="3ML 1"/>
    <s v="3ML"/>
    <n v="0.5"/>
    <s v="Cambio De Filtro Gas Oíl Y Trampa De Agua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4-05T04:59:20"/>
    <d v="2026-04-05T00:00:00"/>
    <s v="abril"/>
    <m/>
    <m/>
    <m/>
    <s v="C001614"/>
    <s v="FILTRO TRAMPA DE AGUA MB 1933S (A 000 470 24 90) - RE160JQII - MARCA RAMA"/>
    <n v="1"/>
    <n v="13118.81"/>
    <n v="13118.81"/>
    <x v="23"/>
    <m/>
    <m/>
    <m/>
  </r>
  <r>
    <s v="AE700VN"/>
    <s v="AXOR 2036 S ROBUST"/>
    <s v="3ML 1"/>
    <s v="3ML"/>
    <n v="0.5"/>
    <s v="Cambio De Filtro Gas Oíl Y Trampa De Agua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3-23T01:21:06"/>
    <d v="2026-03-23T00:00:00"/>
    <s v="marzo"/>
    <m/>
    <m/>
    <m/>
    <s v="C001032"/>
    <s v="FILTRO DE COMBUSTIBLE MANN PU999/1X"/>
    <n v="1"/>
    <n v="19823.39"/>
    <n v="19823.39"/>
    <x v="15"/>
    <m/>
    <m/>
    <m/>
  </r>
  <r>
    <s v="AE700VN"/>
    <s v="AXOR 2036 S ROBUST"/>
    <s v="3ML 1"/>
    <s v="3ML"/>
    <n v="0.5"/>
    <s v="Cambio De Filtro Gas Oíl Y Trampa De Agua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3-23T01:21:06"/>
    <d v="2026-03-23T00:00:00"/>
    <s v="marzo"/>
    <m/>
    <m/>
    <m/>
    <s v="C001614"/>
    <s v="FILTRO TRAMPA DE AGUA MB 1933S (A 000 470 24 90) - RE160JQII - MARCA RAMA"/>
    <n v="1"/>
    <n v="13118.81"/>
    <n v="13118.81"/>
    <x v="15"/>
    <m/>
    <m/>
    <m/>
  </r>
  <r>
    <s v="AE700VS"/>
    <s v="AXOR 2036 S ROBUST"/>
    <s v="3ML 1"/>
    <s v="3ML"/>
    <n v="0.5"/>
    <s v="Cambio De Filtro Gas Oíl Y Trampa De Agua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4-05T11:38:25"/>
    <d v="2026-04-05T00:00:00"/>
    <s v="abril"/>
    <m/>
    <m/>
    <m/>
    <s v="C001032"/>
    <s v="FILTRO DE COMBUSTIBLE MANN PU999/1X"/>
    <n v="1"/>
    <n v="19823.39"/>
    <n v="19823.39"/>
    <x v="15"/>
    <m/>
    <m/>
    <m/>
  </r>
  <r>
    <s v="AE700VS"/>
    <s v="AXOR 2036 S ROBUST"/>
    <s v="3ML 1"/>
    <s v="3ML"/>
    <n v="0.5"/>
    <s v="Cambio De Filtro Gas Oíl Y Trampa De Agua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4-05T11:38:25"/>
    <d v="2026-04-05T00:00:00"/>
    <s v="abril"/>
    <m/>
    <m/>
    <m/>
    <s v="C001614"/>
    <s v="FILTRO TRAMPA DE AGUA MB 1933S (A 000 470 24 90) - RE160JQII - MARCA RAMA"/>
    <n v="1"/>
    <n v="13118.81"/>
    <n v="13118.81"/>
    <x v="15"/>
    <m/>
    <m/>
    <m/>
  </r>
  <r>
    <s v="LFK336"/>
    <s v="AXOR 2035-36 S TE"/>
    <s v="3ML 1"/>
    <s v="3ML"/>
    <n v="0.5"/>
    <s v="Cambio De Filtro Gas Oíl Y Trampa De Agua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6-19T16:20:26"/>
    <d v="2026-06-19T00:00:00"/>
    <s v="junio"/>
    <m/>
    <m/>
    <m/>
    <s v="C001032"/>
    <s v="FILTRO DE COMBUSTIBLE MANN PU999/1X"/>
    <n v="1"/>
    <n v="19823.39"/>
    <n v="19823.39"/>
    <x v="15"/>
    <m/>
    <m/>
    <m/>
  </r>
  <r>
    <s v="LFK336"/>
    <s v="AXOR 2035-36 S TE"/>
    <s v="3ML 1"/>
    <s v="3ML"/>
    <n v="0.5"/>
    <s v="Cambio De Filtro Gas Oíl Y Trampa De Agua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6-19T16:20:26"/>
    <d v="2026-06-19T00:00:00"/>
    <s v="junio"/>
    <m/>
    <m/>
    <m/>
    <s v="C001614"/>
    <s v="FILTRO TRAMPA DE AGUA MB 1933S (A 000 470 24 90) - RE160JQII - MARCA RAMA"/>
    <n v="1"/>
    <n v="13118.81"/>
    <n v="13118.81"/>
    <x v="15"/>
    <m/>
    <m/>
    <m/>
  </r>
  <r>
    <s v="SYG971"/>
    <s v="1633"/>
    <s v="3ML 3"/>
    <s v="3ML"/>
    <n v="0.5"/>
    <s v="Cambio De Filtro Gas Oíl Y Trampa De Agua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8-16T00:52:54"/>
    <d v="2026-08-16T00:00:00"/>
    <s v="agosto"/>
    <m/>
    <m/>
    <m/>
    <s v="C000995"/>
    <s v="FILTRO DE COMBUSTIBLE MANN WK1156"/>
    <n v="1"/>
    <n v="23207.05"/>
    <n v="23207.05"/>
    <x v="15"/>
    <m/>
    <m/>
    <m/>
  </r>
  <r>
    <s v="SYG971"/>
    <s v="1633"/>
    <s v="3ML 3"/>
    <s v="3ML"/>
    <n v="0.5"/>
    <s v="Cambio De Filtro Gas Oíl Y Trampa De Agua"/>
    <d v="2025-01-31T00:00:00"/>
    <n v="35081.599999999999"/>
    <n v="65081.599999999999"/>
    <n v="51895.159999999982"/>
    <n v="-21895.159999999982"/>
    <n v="86976.75999999998"/>
    <n v="259"/>
    <n v="197.99579335793359"/>
    <n v="-109.2750545522935"/>
    <d v="2025-10-17T00:00:00"/>
    <n v="30000"/>
    <d v="2026-08-16T00:52:54"/>
    <d v="2026-08-16T00:00:00"/>
    <s v="agosto"/>
    <m/>
    <m/>
    <m/>
    <s v="C002153"/>
    <s v="FILTRO DE COMBUSTIBLE MB 1633"/>
    <n v="1"/>
    <n v="53100"/>
    <n v="53165.78000000678"/>
    <x v="15"/>
    <m/>
    <m/>
    <m/>
  </r>
  <r>
    <s v="KUF605"/>
    <s v="1634"/>
    <s v="3ML 3"/>
    <s v="3ML"/>
    <n v="0.5"/>
    <s v="Cambio De Filtro Gas Oíl Y Trampa De Agua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7-01T20:41:16"/>
    <d v="2026-07-01T00:00:00"/>
    <s v="julio"/>
    <m/>
    <m/>
    <m/>
    <s v="C000995"/>
    <s v="FILTRO DE COMBUSTIBLE MANN WK1156"/>
    <n v="1"/>
    <n v="23207.05"/>
    <n v="23207.05"/>
    <x v="15"/>
    <m/>
    <m/>
    <m/>
  </r>
  <r>
    <s v="KUF605"/>
    <s v="1634"/>
    <s v="3ML 3"/>
    <s v="3ML"/>
    <n v="0.5"/>
    <s v="Cambio De Filtro Gas Oíl Y Trampa De Agua"/>
    <d v="2025-01-21T00:00:00"/>
    <n v="799717"/>
    <n v="829717"/>
    <n v="57283.27"/>
    <n v="-27283.27"/>
    <n v="857000.27"/>
    <n v="269"/>
    <n v="232.68261029411761"/>
    <n v="-128.12117098063709"/>
    <d v="2025-10-17T00:00:00"/>
    <n v="30000"/>
    <d v="2026-07-01T20:41:16"/>
    <d v="2026-07-01T00:00:00"/>
    <s v="julio"/>
    <m/>
    <m/>
    <m/>
    <s v="C002153"/>
    <s v="FILTRO DE COMBUSTIBLE MB 1633"/>
    <n v="1"/>
    <n v="53100"/>
    <n v="53100"/>
    <x v="15"/>
    <m/>
    <m/>
    <m/>
  </r>
  <r>
    <s v="AG269WH"/>
    <s v="ATEGO 1729-S36 CD TE"/>
    <s v="6ML"/>
    <s v="6ML"/>
    <n v="0.25"/>
    <s v="Cambio Filtro Aire"/>
    <d v="2025-07-23T00:00:00"/>
    <n v="163295"/>
    <n v="193295"/>
    <n v="22184.6"/>
    <n v="7815.3999999999978"/>
    <n v="185479.6"/>
    <n v="86"/>
    <n v="281.98244274809178"/>
    <n v="30.296890635846481"/>
    <d v="2025-10-17T00:00:00"/>
    <n v="30000"/>
    <d v="2026-06-17T01:49:35"/>
    <d v="2026-06-17T00:00:00"/>
    <s v="junio"/>
    <m/>
    <m/>
    <m/>
    <s v="C002482"/>
    <s v="FILTRO DE AIRE MB 2426/AXOR 1933 - MANN C28 1012"/>
    <n v="1"/>
    <n v="49777.919999999998"/>
    <n v="49777.919999999998"/>
    <x v="18"/>
    <m/>
    <m/>
    <m/>
  </r>
  <r>
    <s v="JIU311"/>
    <s v="AXOR 1933 S"/>
    <s v="6ML"/>
    <s v="6ML"/>
    <n v="0.25"/>
    <s v="Cambio Filtro Aire"/>
    <d v="2025-05-23T00:00:00"/>
    <n v="459582"/>
    <n v="489582"/>
    <n v="48012.699999999968"/>
    <n v="-18012.699999999972"/>
    <n v="507594.7"/>
    <n v="147"/>
    <n v="303.0774834437085"/>
    <n v="-55.149302163802432"/>
    <d v="2025-10-17T00:00:00"/>
    <n v="30000"/>
    <d v="2026-05-02T23:15:37"/>
    <d v="2026-05-02T00:00:00"/>
    <s v="mayo"/>
    <m/>
    <m/>
    <m/>
    <s v="C002482"/>
    <s v="FILTRO DE AIRE MB 2426/AXOR 1933 - MANN C28 1012"/>
    <n v="1"/>
    <n v="49777.919999999998"/>
    <n v="49777.919999999998"/>
    <x v="15"/>
    <m/>
    <m/>
    <m/>
  </r>
  <r>
    <s v="AD426HW"/>
    <s v="AXOR 2541 LS"/>
    <s v="6ML 1"/>
    <s v="6ML"/>
    <n v="0.25"/>
    <s v="Cambio Filtro Aire"/>
    <d v="2025-08-11T00:00:00"/>
    <n v="722255"/>
    <n v="752255"/>
    <n v="15317.7"/>
    <n v="14682.3"/>
    <n v="737572.7"/>
    <n v="67"/>
    <n v="286.50848708487092"/>
    <n v="64.220744628762787"/>
    <d v="2025-10-17T00:00:00"/>
    <n v="30000"/>
    <d v="2026-07-17T15:19:37"/>
    <d v="2026-07-17T00:00:00"/>
    <s v="julio"/>
    <m/>
    <m/>
    <m/>
    <s v="C000980"/>
    <s v="FILTRO DE AIRE - MANN C 271320/1"/>
    <n v="1"/>
    <n v="58063"/>
    <n v="58063"/>
    <x v="23"/>
    <m/>
    <m/>
    <m/>
  </r>
  <r>
    <s v="AD426HZ"/>
    <s v="AXOR 2541 LS"/>
    <s v="6ML 1"/>
    <s v="6ML"/>
    <n v="0.25"/>
    <s v="Cambio Filtro Aire"/>
    <d v="2025-07-15T00:00:00"/>
    <n v="769430"/>
    <n v="799430"/>
    <n v="24465.80000000001"/>
    <n v="5534.1999999999935"/>
    <n v="793895.8"/>
    <n v="94"/>
    <n v="323.09338235294098"/>
    <n v="21.262938469210049"/>
    <d v="2025-10-17T00:00:00"/>
    <n v="30000"/>
    <d v="2026-05-11T23:13:35"/>
    <d v="2026-05-11T00:00:00"/>
    <s v="mayo"/>
    <m/>
    <m/>
    <m/>
    <s v="C000980"/>
    <s v="FILTRO DE AIRE - MANN C 271320/1"/>
    <n v="1"/>
    <n v="58063"/>
    <n v="58063"/>
    <x v="23"/>
    <m/>
    <m/>
    <m/>
  </r>
  <r>
    <s v="AD426IH"/>
    <s v="AXOR 2541 LS"/>
    <s v="6ML 1"/>
    <s v="6ML"/>
    <n v="0.25"/>
    <s v="Cambio Filtro Aire"/>
    <d v="2025-06-23T00:00:00"/>
    <n v="751112"/>
    <n v="781112"/>
    <n v="30284.500000000011"/>
    <n v="-284.50000000000728"/>
    <n v="781396.5"/>
    <n v="116"/>
    <n v="303.34772058823529"/>
    <n v="-1.089732371345105"/>
    <d v="2025-10-17T00:00:00"/>
    <n v="30000"/>
    <d v="2026-05-02T19:01:39"/>
    <d v="2026-05-02T00:00:00"/>
    <s v="mayo"/>
    <m/>
    <m/>
    <m/>
    <s v="C000980"/>
    <s v="FILTRO DE AIRE - MANN C 271320/1"/>
    <n v="1"/>
    <n v="58063"/>
    <n v="58063"/>
    <x v="23"/>
    <m/>
    <m/>
    <m/>
  </r>
  <r>
    <s v="AD426HU"/>
    <s v="AXOR 2541 LS"/>
    <s v="6ML 1"/>
    <s v="6ML"/>
    <n v="0.25"/>
    <s v="Cambio Filtro Aire"/>
    <d v="2025-07-07T00:00:00"/>
    <n v="726661"/>
    <n v="756661"/>
    <n v="24602.2"/>
    <n v="5397.7999999999956"/>
    <n v="751263.2"/>
    <n v="102"/>
    <n v="306.8559191176472"/>
    <n v="22.379120566453381"/>
    <d v="2025-10-17T00:00:00"/>
    <n v="30000"/>
    <d v="2026-05-22T21:51:18"/>
    <d v="2026-05-22T00:00:00"/>
    <s v="mayo"/>
    <m/>
    <m/>
    <m/>
    <s v="C000980"/>
    <s v="FILTRO DE AIRE - MANN C 271320/1"/>
    <n v="1"/>
    <n v="58063"/>
    <n v="58063"/>
    <x v="23"/>
    <m/>
    <m/>
    <m/>
  </r>
  <r>
    <s v="AD426HV"/>
    <s v="AXOR 2541 LS"/>
    <s v="6ML 1"/>
    <s v="6ML"/>
    <n v="0.25"/>
    <s v="Cambio Filtro Aire"/>
    <d v="2025-06-27T00:00:00"/>
    <n v="743648"/>
    <n v="773648"/>
    <n v="30763.099999999991"/>
    <n v="-763.09999999998763"/>
    <n v="774411.1"/>
    <n v="112"/>
    <n v="282.61870229007633"/>
    <n v="-2.77823756383455"/>
    <d v="2025-10-17T00:00:00"/>
    <n v="30000"/>
    <d v="2026-05-17T07:12:15"/>
    <d v="2026-05-17T00:00:00"/>
    <s v="mayo"/>
    <m/>
    <m/>
    <m/>
    <s v="C000980"/>
    <s v="FILTRO DE AIRE - MANN C 271320/1"/>
    <n v="1"/>
    <n v="58063"/>
    <n v="58063"/>
    <x v="23"/>
    <m/>
    <m/>
    <m/>
  </r>
  <r>
    <s v="AD426HX"/>
    <s v="AXOR 2541 LS"/>
    <s v="6ML 1"/>
    <s v="6ML"/>
    <n v="0.25"/>
    <s v="Cambio Filtro Aire"/>
    <d v="2025-05-12T00:00:00"/>
    <n v="828813"/>
    <n v="858813"/>
    <n v="52575.80000000001"/>
    <n v="-22575.80000000001"/>
    <n v="881388.8"/>
    <n v="158"/>
    <n v="352.51014814814829"/>
    <n v="-67.844453151449926"/>
    <d v="2025-10-17T00:00:00"/>
    <n v="30000"/>
    <d v="2026-04-05T04:59:20"/>
    <d v="2026-04-05T00:00:00"/>
    <s v="abril"/>
    <m/>
    <m/>
    <m/>
    <s v="C000980"/>
    <s v="FILTRO DE AIRE - MANN C 271320/1"/>
    <n v="1"/>
    <n v="58063"/>
    <n v="58063"/>
    <x v="23"/>
    <m/>
    <m/>
    <m/>
  </r>
  <r>
    <s v="AE700VN"/>
    <s v="AXOR 2036 S ROBUST"/>
    <s v="6ML 1"/>
    <s v="6ML"/>
    <n v="0.25"/>
    <s v="Cambio Filtro Aire"/>
    <d v="2025-04-29T00:00:00"/>
    <n v="664392"/>
    <n v="694392"/>
    <n v="62703.799999999981"/>
    <n v="-32703.799999999981"/>
    <n v="727095.79999999993"/>
    <n v="171"/>
    <n v="382.02855555555578"/>
    <n v="-89.186776558996399"/>
    <d v="2025-10-17T00:00:00"/>
    <n v="30000"/>
    <d v="2026-03-23T01:21:06"/>
    <d v="2026-03-23T00:00:00"/>
    <s v="marzo"/>
    <m/>
    <m/>
    <m/>
    <s v="C000980"/>
    <s v="FILTRO DE AIRE - MANN C 271320/1"/>
    <n v="1"/>
    <n v="58063"/>
    <n v="58063"/>
    <x v="15"/>
    <m/>
    <m/>
    <m/>
  </r>
  <r>
    <s v="AE700VS"/>
    <s v="AXOR 2036 S ROBUST"/>
    <s v="6ML 1"/>
    <s v="6ML"/>
    <n v="0.25"/>
    <s v="Cambio Filtro Aire"/>
    <d v="2025-07-14T00:00:00"/>
    <n v="654972"/>
    <n v="684972"/>
    <n v="26383.500000000011"/>
    <n v="3616.4999999999932"/>
    <n v="681355.5"/>
    <n v="95"/>
    <n v="381.04202205882348"/>
    <n v="13.02205924157141"/>
    <d v="2025-10-17T00:00:00"/>
    <n v="30000"/>
    <d v="2026-04-05T11:38:25"/>
    <d v="2026-04-05T00:00:00"/>
    <s v="abril"/>
    <m/>
    <m/>
    <m/>
    <s v="C000980"/>
    <s v="FILTRO DE AIRE - MANN C 271320/1"/>
    <n v="1"/>
    <n v="58063"/>
    <n v="58063"/>
    <x v="15"/>
    <m/>
    <m/>
    <m/>
  </r>
  <r>
    <s v="LFK336"/>
    <s v="AXOR 2035-36 S TE"/>
    <s v="6ML 1"/>
    <s v="6ML"/>
    <n v="0.25"/>
    <s v="Cambio Filtro Aire"/>
    <d v="2025-08-20T00:00:00"/>
    <n v="1836513"/>
    <n v="1866513"/>
    <n v="14116.4"/>
    <n v="15883.6"/>
    <n v="1850629.4"/>
    <n v="58"/>
    <n v="332.5574264705881"/>
    <n v="65.260888045110633"/>
    <d v="2025-10-17T00:00:00"/>
    <n v="30000"/>
    <d v="2026-06-19T16:20:26"/>
    <d v="2026-06-19T00:00:00"/>
    <s v="junio"/>
    <m/>
    <m/>
    <m/>
    <s v="C000980"/>
    <s v="FILTRO DE AIRE - MANN C 271320/1"/>
    <n v="1"/>
    <n v="58063"/>
    <n v="58063"/>
    <x v="15"/>
    <m/>
    <m/>
    <m/>
  </r>
  <r>
    <s v="SYG971"/>
    <s v="1633"/>
    <s v="6ML 2"/>
    <s v="6ML"/>
    <n v="0.25"/>
    <s v="Cambio Filtro Aire"/>
    <s v="-"/>
    <n v="35081.599999999999"/>
    <n v="65081.599999999999"/>
    <n v="51895.159999999982"/>
    <n v="-21895.159999999982"/>
    <n v="86976.75999999998"/>
    <n v="243"/>
    <n v="197.99579335793359"/>
    <n v="-102.5244720316885"/>
    <d v="2025-10-17T00:00:00"/>
    <n v="30000"/>
    <d v="2026-08-16T00:52:54"/>
    <d v="2026-08-16T00:00:00"/>
    <s v="agosto"/>
    <m/>
    <m/>
    <m/>
    <s v="C004089"/>
    <s v="FILTRO DE AIRE PRIMARIO MB 1633 - MANN C 24 650/1"/>
    <n v="1"/>
    <n v="35911.769999999997"/>
    <n v="35911.769999999997"/>
    <x v="15"/>
    <m/>
    <m/>
    <m/>
  </r>
  <r>
    <s v="KUF605"/>
    <s v="1634"/>
    <s v="6ML 2"/>
    <s v="6ML"/>
    <n v="0.25"/>
    <s v="Cambio Filtro Aire"/>
    <s v="-"/>
    <n v="799717"/>
    <n v="829717"/>
    <n v="57283.27"/>
    <n v="-27283.27"/>
    <n v="857000.27"/>
    <n v="253"/>
    <n v="232.68261029411761"/>
    <n v="-120.5005808851345"/>
    <d v="2025-10-17T00:00:00"/>
    <n v="30000"/>
    <d v="2026-07-01T20:41:16"/>
    <d v="2026-07-01T00:00:00"/>
    <s v="julio"/>
    <m/>
    <m/>
    <m/>
    <s v="C004089"/>
    <s v="FILTRO DE AIRE PRIMARIO MB 1633 - MANN C 24 650/1"/>
    <n v="1"/>
    <n v="35911.769999999997"/>
    <n v="35911.769999999997"/>
    <x v="15"/>
    <m/>
    <m/>
    <m/>
  </r>
  <r>
    <s v="BRJ211"/>
    <n v="71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20T00:00:00"/>
    <m/>
    <d v="2026-01-20T00:00:00"/>
    <d v="2026-01-20T00:00:00"/>
    <s v="enero"/>
    <m/>
    <m/>
    <m/>
    <s v="C002301"/>
    <s v="FILTRO DE ACEITE 6 CILINDROS MB 1318/1218/1215/914/712/1418/915/815 - MANN HU931/5X"/>
    <n v="1"/>
    <n v="8513.2800000000007"/>
    <n v="8513.2800000000007"/>
    <x v="24"/>
    <m/>
    <m/>
    <m/>
  </r>
  <r>
    <s v="AF156NL"/>
    <s v="SPRINTER 316 CDI FURGON 366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22T00:00:00"/>
    <m/>
    <d v="2026-01-22T00:00:00"/>
    <d v="2026-01-22T00:00:00"/>
    <s v="enero"/>
    <m/>
    <m/>
    <m/>
    <s v="C002301"/>
    <s v="FILTRO DE ACEITE 6 CILINDROS MB 1318/1218/1215/914/712/1418/915/815 - MANN HU931/5X"/>
    <n v="1"/>
    <n v="8513.2800000000007"/>
    <n v="8513.2800000000007"/>
    <x v="14"/>
    <m/>
    <m/>
    <m/>
  </r>
  <r>
    <s v="AF804RA"/>
    <s v="ATEGO 1419 4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24T00:00:00"/>
    <m/>
    <d v="2026-01-24T00:00:00"/>
    <d v="2026-01-24T00:00:00"/>
    <s v="enero"/>
    <m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HRJ004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31T00:00:00"/>
    <m/>
    <d v="2026-01-31T00:00:00"/>
    <d v="2026-01-31T00:00:00"/>
    <s v="enero"/>
    <m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GPL52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05T00:00:00"/>
    <m/>
    <d v="2026-02-05T00:00:00"/>
    <d v="2026-02-05T00:00:00"/>
    <s v="febrero"/>
    <m/>
    <m/>
    <m/>
    <s v="C002301"/>
    <s v="FILTRO DE ACEITE 6 CILINDROS MB 1318/1218/1215/914/712/1418/915/815 - MANN HU931/5X"/>
    <n v="1"/>
    <n v="8513.2800000000007"/>
    <n v="8513.2800000000007"/>
    <x v="17"/>
    <m/>
    <m/>
    <m/>
  </r>
  <r>
    <s v="NIE152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11T00:00:00"/>
    <m/>
    <d v="2026-02-11T00:00:00"/>
    <d v="2026-02-11T00:00:00"/>
    <s v="febrer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OIC418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06T00:00:00"/>
    <m/>
    <d v="2026-03-06T00:00:00"/>
    <d v="2026-03-06T00:00:00"/>
    <s v="marz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SYP554"/>
    <s v="T 112H 4X2 42 DS 310 HP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19T00:00:00"/>
    <m/>
    <d v="2026-03-19T00:00:00"/>
    <d v="2026-03-19T00:00:00"/>
    <s v="marz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KDG188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19T00:00:00"/>
    <m/>
    <d v="2026-03-19T00:00:00"/>
    <d v="2026-03-19T00:00:00"/>
    <s v="marz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OMQ199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18T00:00:00"/>
    <m/>
    <d v="2026-03-18T00:00:00"/>
    <d v="2026-03-18T00:00:00"/>
    <s v="marz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FFJ868"/>
    <n v="12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5T00:00:00"/>
    <m/>
    <d v="2026-03-25T00:00:00"/>
    <d v="2026-03-25T00:00:00"/>
    <s v="marz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HNE43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1T00:00:00"/>
    <m/>
    <d v="2026-03-21T00:00:00"/>
    <d v="2026-03-21T00:00:00"/>
    <s v="marz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OIC418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8T00:00:00"/>
    <m/>
    <d v="2026-03-28T00:00:00"/>
    <d v="2026-03-28T00:00:00"/>
    <s v="marz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KBV62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OMQ198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GDR525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2301"/>
    <s v="FILTRO DE ACEITE 6 CILINDROS MB 1318/1218/1215/914/712/1418/915/815 - MANN HU931/5X"/>
    <n v="1"/>
    <n v="8513.2800000000007"/>
    <n v="8513.2800000000007"/>
    <x v="11"/>
    <m/>
    <m/>
    <m/>
  </r>
  <r>
    <s v="JCF735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01T00:00:00"/>
    <m/>
    <d v="2026-04-01T00:00:00"/>
    <d v="2026-04-01T00:00:00"/>
    <s v="abril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JIL525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01T00:00:00"/>
    <m/>
    <d v="2026-04-01T00:00:00"/>
    <d v="2026-04-01T00:00:00"/>
    <s v="abril"/>
    <m/>
    <m/>
    <m/>
    <s v="C002301"/>
    <s v="FILTRO DE ACEITE 6 CILINDROS MB 1318/1218/1215/914/712/1418/915/815 - MANN HU931/5X"/>
    <n v="1"/>
    <n v="8513.2800000000007"/>
    <n v="8513.2800000000007"/>
    <x v="19"/>
    <m/>
    <m/>
    <m/>
  </r>
  <r>
    <s v="OMQ199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03T00:00:00"/>
    <m/>
    <d v="2026-04-03T00:00:00"/>
    <d v="2026-04-03T00:00:00"/>
    <s v="abril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AF613YX"/>
    <s v="170E28 MLC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22T00:00:00"/>
    <m/>
    <d v="2026-04-22T00:00:00"/>
    <d v="2026-04-22T00:00:00"/>
    <s v="abril"/>
    <m/>
    <m/>
    <m/>
    <s v="C002889"/>
    <s v="FILTRO DE ACEITE IVECO TECTOR (2992242)"/>
    <n v="1"/>
    <n v="21189.599999999999"/>
    <n v="21189.599999999999"/>
    <x v="1"/>
    <m/>
    <m/>
    <m/>
  </r>
  <r>
    <s v="JWV371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24T00:00:00"/>
    <m/>
    <d v="2026-04-24T00:00:00"/>
    <d v="2026-04-24T00:00:00"/>
    <s v="abril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AF804RC"/>
    <s v="ATEGO 1721 4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08T00:00:00"/>
    <m/>
    <d v="2026-05-08T00:00:00"/>
    <d v="2026-05-08T00:00:00"/>
    <s v="mayo"/>
    <m/>
    <m/>
    <m/>
    <s v="C002301"/>
    <s v="FILTRO DE ACEITE 6 CILINDROS MB 1318/1218/1215/914/712/1418/915/815 - MANN HU931/5X"/>
    <n v="1"/>
    <n v="8513.2800000000007"/>
    <n v="8513.2800000000007"/>
    <x v="0"/>
    <m/>
    <m/>
    <m/>
  </r>
  <r>
    <s v="OJG099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08T00:00:00"/>
    <m/>
    <d v="2026-05-08T00:00:00"/>
    <d v="2026-05-08T00:00:00"/>
    <s v="may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OJG097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09T00:00:00"/>
    <m/>
    <d v="2026-05-09T00:00:00"/>
    <d v="2026-05-09T00:00:00"/>
    <s v="may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AE243WV"/>
    <s v="Atego 2426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2T00:00:00"/>
    <m/>
    <d v="2026-05-12T00:00:00"/>
    <d v="2026-05-12T00:00:00"/>
    <s v="mayo"/>
    <m/>
    <m/>
    <m/>
    <s v="C002301"/>
    <s v="FILTRO DE ACEITE 6 CILINDROS MB 1318/1218/1215/914/712/1418/915/815 - MANN HU931/5X"/>
    <n v="1"/>
    <n v="8513.2800000000007"/>
    <n v="8513.2800000000007"/>
    <x v="18"/>
    <m/>
    <m/>
    <m/>
  </r>
  <r>
    <s v="MYR537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3T00:00:00"/>
    <m/>
    <d v="2026-05-13T00:00:00"/>
    <d v="2026-05-13T00:00:00"/>
    <s v="mayo"/>
    <m/>
    <m/>
    <m/>
    <s v="C002301"/>
    <s v="FILTRO DE ACEITE 6 CILINDROS MB 1318/1218/1215/914/712/1418/915/815 - MANN HU931/5X"/>
    <n v="1"/>
    <n v="8513.2800000000007"/>
    <n v="8513.2800000000007"/>
    <x v="18"/>
    <m/>
    <m/>
    <m/>
  </r>
  <r>
    <s v="LRN157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0T00:00:00"/>
    <m/>
    <d v="2026-05-20T00:00:00"/>
    <d v="2026-05-20T00:00:00"/>
    <s v="mayo"/>
    <m/>
    <m/>
    <m/>
    <s v="C002301"/>
    <s v="FILTRO DE ACEITE 6 CILINDROS MB 1318/1218/1215/914/712/1418/915/815 - MANN HU931/5X"/>
    <n v="1"/>
    <n v="8513.2800000000007"/>
    <n v="8513.2800000000007"/>
    <x v="18"/>
    <m/>
    <m/>
    <m/>
  </r>
  <r>
    <s v="KTC854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6T00:00:00"/>
    <m/>
    <d v="2026-05-16T00:00:00"/>
    <d v="2026-05-16T00:00:00"/>
    <s v="may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OJG101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2T00:00:00"/>
    <m/>
    <d v="2026-05-22T00:00:00"/>
    <d v="2026-05-22T00:00:00"/>
    <s v="may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KBV618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2T00:00:00"/>
    <m/>
    <d v="2026-05-22T00:00:00"/>
    <d v="2026-05-22T00:00:00"/>
    <s v="may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GDR527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3T00:00:00"/>
    <m/>
    <d v="2026-05-23T00:00:00"/>
    <d v="2026-05-23T00:00:00"/>
    <s v="may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AF613YZ"/>
    <s v="170E28NCM51 EBS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3T00:00:00"/>
    <m/>
    <d v="2026-05-23T00:00:00"/>
    <d v="2026-05-23T00:00:00"/>
    <s v="may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JYQ969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4T00:00:00"/>
    <m/>
    <d v="2026-05-24T00:00:00"/>
    <d v="2026-05-24T00:00:00"/>
    <s v="may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KHS025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6T00:00:00"/>
    <m/>
    <d v="2026-05-26T00:00:00"/>
    <d v="2026-05-26T00:00:00"/>
    <s v="may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AD426IJ"/>
    <s v="AXOR 2541 LS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6T00:00:00"/>
    <m/>
    <d v="2026-05-26T00:00:00"/>
    <d v="2026-05-26T00:00:00"/>
    <s v="mayo"/>
    <m/>
    <m/>
    <m/>
    <s v="C002301"/>
    <s v="FILTRO DE ACEITE 6 CILINDROS MB 1318/1218/1215/914/712/1418/915/815 - MANN HU931/5X"/>
    <n v="1"/>
    <n v="8513.2800000000007"/>
    <n v="8513.2800000000007"/>
    <x v="23"/>
    <m/>
    <m/>
    <m/>
  </r>
  <r>
    <s v="OIC419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4T00:00:00"/>
    <m/>
    <d v="2026-06-04T00:00:00"/>
    <d v="2026-06-04T00:00:00"/>
    <s v="junio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AF746EN"/>
    <s v="170E28 MLC (4185) EBS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6T00:00:00"/>
    <m/>
    <d v="2026-06-06T00:00:00"/>
    <d v="2026-06-06T00:00:00"/>
    <s v="juni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NIE154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9T00:00:00"/>
    <m/>
    <d v="2026-06-09T00:00:00"/>
    <d v="2026-06-09T00:00:00"/>
    <s v="juni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KPQ389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2T00:00:00"/>
    <m/>
    <d v="2026-06-12T00:00:00"/>
    <d v="2026-06-12T00:00:00"/>
    <s v="juni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HSC655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3T00:00:00"/>
    <m/>
    <d v="2026-06-13T00:00:00"/>
    <d v="2026-06-13T00:00:00"/>
    <s v="junio"/>
    <m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HKW894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7T00:00:00"/>
    <m/>
    <d v="2026-06-17T00:00:00"/>
    <d v="2026-06-17T00:00:00"/>
    <s v="junio"/>
    <m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KPQ391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7T00:00:00"/>
    <m/>
    <d v="2026-06-17T00:00:00"/>
    <d v="2026-06-17T00:00:00"/>
    <s v="juni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AF804RF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8T00:00:00"/>
    <m/>
    <d v="2026-06-18T00:00:00"/>
    <d v="2026-06-18T00:00:00"/>
    <s v="junio"/>
    <m/>
    <m/>
    <m/>
    <s v="C002300"/>
    <s v="FILTRO DE ACEITE 6 CILINDROS MB 1725/1726/1933/1624L/1721 OF ELECTRONICO - MANN HU 945/2x"/>
    <n v="1"/>
    <n v="9737.2800000000007"/>
    <n v="9737.2800000000007"/>
    <x v="0"/>
    <m/>
    <m/>
    <m/>
  </r>
  <r>
    <s v="FHK364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3T00:00:00"/>
    <m/>
    <d v="2026-06-23T00:00:00"/>
    <d v="2026-06-23T00:00:00"/>
    <s v="junio"/>
    <m/>
    <m/>
    <m/>
    <s v="C002301"/>
    <s v="FILTRO DE ACEITE 6 CILINDROS MB 1318/1218/1215/914/712/1418/915/815 - MANN HU931/5X"/>
    <n v="1"/>
    <n v="8513.2800000000007"/>
    <n v="8513.2800000000007"/>
    <x v="13"/>
    <m/>
    <m/>
    <m/>
  </r>
  <r>
    <s v="HPR687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3T00:00:00"/>
    <m/>
    <d v="2026-06-23T00:00:00"/>
    <d v="2026-06-23T00:00:00"/>
    <s v="junio"/>
    <m/>
    <m/>
    <m/>
    <s v="C002301"/>
    <s v="FILTRO DE ACEITE 6 CILINDROS MB 1318/1218/1215/914/712/1418/915/815 - MANN HU931/5X"/>
    <n v="1"/>
    <n v="8513.2800000000007"/>
    <n v="8513.2800000000007"/>
    <x v="4"/>
    <m/>
    <m/>
    <m/>
  </r>
  <r>
    <s v="KPQ390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3T00:00:00"/>
    <m/>
    <d v="2026-06-23T00:00:00"/>
    <d v="2026-06-23T00:00:00"/>
    <s v="juni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NIE153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4T00:00:00"/>
    <m/>
    <d v="2026-06-24T00:00:00"/>
    <d v="2026-06-24T00:00:00"/>
    <s v="juni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HNL373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5T00:00:00"/>
    <m/>
    <d v="2026-06-25T00:00:00"/>
    <d v="2026-06-25T00:00:00"/>
    <s v="junio"/>
    <m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BNW644"/>
    <n v="71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5T00:00:00"/>
    <m/>
    <d v="2026-06-25T00:00:00"/>
    <d v="2026-06-25T00:00:00"/>
    <s v="junio"/>
    <m/>
    <m/>
    <m/>
    <s v="C002301"/>
    <s v="FILTRO DE ACEITE 6 CILINDROS MB 1318/1218/1215/914/712/1418/915/815 - MANN HU931/5X"/>
    <n v="1"/>
    <n v="8513.2800000000007"/>
    <n v="8513.2800000000007"/>
    <x v="25"/>
    <m/>
    <m/>
    <m/>
  </r>
  <r>
    <s v="HUY047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6T00:00:00"/>
    <m/>
    <d v="2026-06-26T00:00:00"/>
    <d v="2026-06-26T00:00:00"/>
    <s v="junio"/>
    <m/>
    <m/>
    <m/>
    <s v="C002301"/>
    <s v="FILTRO DE ACEITE 6 CILINDROS MB 1318/1218/1215/914/712/1418/915/815 - MANN HU931/5X"/>
    <n v="1"/>
    <n v="8513.2800000000007"/>
    <n v="8513.2800000000007"/>
    <x v="4"/>
    <m/>
    <m/>
    <m/>
  </r>
  <r>
    <s v="KHS013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6T00:00:00"/>
    <m/>
    <d v="2026-06-26T00:00:00"/>
    <d v="2026-06-26T00:00:00"/>
    <s v="junio"/>
    <m/>
    <m/>
    <m/>
    <s v="C002301"/>
    <s v="FILTRO DE ACEITE 6 CILINDROS MB 1318/1218/1215/914/712/1418/915/815 - MANN HU931/5X"/>
    <n v="1"/>
    <n v="8513.2800000000007"/>
    <n v="8513.2800000000007"/>
    <x v="25"/>
    <m/>
    <m/>
    <m/>
  </r>
  <r>
    <s v="HRJ003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7T00:00:00"/>
    <m/>
    <d v="2026-06-27T00:00:00"/>
    <d v="2026-06-27T00:00:00"/>
    <s v="junio"/>
    <m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GPL52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07T00:00:00"/>
    <m/>
    <d v="2026-07-07T00:00:00"/>
    <d v="2026-07-07T00:00:00"/>
    <s v="julio"/>
    <m/>
    <m/>
    <m/>
    <s v="C002301"/>
    <s v="FILTRO DE ACEITE 6 CILINDROS MB 1318/1218/1215/914/712/1418/915/815 - MANN HU931/5X"/>
    <n v="1"/>
    <n v="8513.2800000000007"/>
    <n v="8513.2800000000007"/>
    <x v="17"/>
    <m/>
    <m/>
    <m/>
  </r>
  <r>
    <s v="GFZ650"/>
    <n v="1624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08T00:00:00"/>
    <m/>
    <d v="2026-07-08T00:00:00"/>
    <d v="2026-07-08T00:00:00"/>
    <s v="julio"/>
    <m/>
    <m/>
    <m/>
    <s v="C002301"/>
    <s v="FILTRO DE ACEITE 6 CILINDROS MB 1318/1218/1215/914/712/1418/915/815 - MANN HU931/5X"/>
    <n v="1"/>
    <n v="8513.2800000000007"/>
    <n v="8513.2800000000007"/>
    <x v="2"/>
    <m/>
    <m/>
    <m/>
  </r>
  <r>
    <s v="AE243WV"/>
    <s v="Atego 2426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0T00:00:00"/>
    <m/>
    <d v="2026-07-10T00:00:00"/>
    <d v="2026-07-10T00:00:00"/>
    <s v="julio"/>
    <m/>
    <m/>
    <m/>
    <s v="C002301"/>
    <s v="FILTRO DE ACEITE 6 CILINDROS MB 1318/1218/1215/914/712/1418/915/815 - MANN HU931/5X"/>
    <n v="1"/>
    <n v="8513.2800000000007"/>
    <n v="8513.2800000000007"/>
    <x v="18"/>
    <m/>
    <m/>
    <m/>
  </r>
  <r>
    <s v="KMM903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5T00:00:00"/>
    <m/>
    <d v="2026-07-15T00:00:00"/>
    <d v="2026-07-15T00:00:00"/>
    <s v="juli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AF653AB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7T00:00:00"/>
    <m/>
    <d v="2026-07-17T00:00:00"/>
    <d v="2026-07-17T00:00:00"/>
    <s v="julio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F504DR"/>
    <s v="ATEGO 1721-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7T00:00:00"/>
    <m/>
    <d v="2026-07-17T00:00:00"/>
    <d v="2026-07-17T00:00:00"/>
    <s v="julio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F114FN"/>
    <s v="BX-170E28 MLC SIN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22T00:00:00"/>
    <m/>
    <d v="2026-07-22T00:00:00"/>
    <d v="2026-07-22T00:00:00"/>
    <s v="julio"/>
    <m/>
    <m/>
    <m/>
    <s v="C002889"/>
    <s v="FILTRO DE ACEITE IVECO TECTOR (2992242)"/>
    <n v="1"/>
    <n v="21189.599999999999"/>
    <n v="21189.599999999999"/>
    <x v="1"/>
    <m/>
    <m/>
    <m/>
  </r>
  <r>
    <s v="AF156NL"/>
    <s v="SPRINTER 316 CDI FURGON 366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26T00:00:00"/>
    <m/>
    <d v="2026-07-26T00:00:00"/>
    <d v="2026-07-26T00:00:00"/>
    <s v="julio"/>
    <m/>
    <m/>
    <m/>
    <s v="C002301"/>
    <s v="FILTRO DE ACEITE 6 CILINDROS MB 1318/1218/1215/914/712/1418/915/815 - MANN HU931/5X"/>
    <n v="1"/>
    <n v="8513.2800000000007"/>
    <n v="8513.2800000000007"/>
    <x v="14"/>
    <m/>
    <m/>
    <m/>
  </r>
  <r>
    <s v="JJH871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25T00:00:00"/>
    <m/>
    <d v="2026-07-25T00:00:00"/>
    <d v="2026-07-25T00:00:00"/>
    <s v="juli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KMM904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01T00:00:00"/>
    <m/>
    <d v="2026-08-01T00:00:00"/>
    <d v="2026-08-01T00:00:00"/>
    <s v="agost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JWV379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1T00:00:00"/>
    <m/>
    <d v="2026-08-11T00:00:00"/>
    <d v="2026-08-11T00:00:00"/>
    <s v="agost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GRE072"/>
    <n v="1624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2T00:00:00"/>
    <m/>
    <d v="2026-08-12T00:00:00"/>
    <d v="2026-08-12T00:00:00"/>
    <s v="agost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AB029TN"/>
    <s v="B39 - ACCELO 815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2300"/>
    <s v="FILTRO DE ACEITE 6 CILINDROS MB 1725/1726/1933/1624L/1721 OF ELECTRONICO - MANN HU 945/2x"/>
    <n v="1"/>
    <n v="9737.2800000000007"/>
    <n v="9737.2800000000007"/>
    <x v="4"/>
    <m/>
    <m/>
    <m/>
  </r>
  <r>
    <s v="GDR526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2301"/>
    <s v="FILTRO DE ACEITE 6 CILINDROS MB 1318/1218/1215/914/712/1418/915/815 - MANN HU931/5X"/>
    <n v="1"/>
    <n v="8513.2800000000007"/>
    <n v="8513.2800000000007"/>
    <x v="12"/>
    <m/>
    <m/>
    <m/>
  </r>
  <r>
    <s v="GOX959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JXJ303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5T00:00:00"/>
    <m/>
    <d v="2026-08-15T00:00:00"/>
    <d v="2026-08-15T00:00:00"/>
    <s v="agosto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AF653AA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8T00:00:00"/>
    <m/>
    <d v="2026-08-18T00:00:00"/>
    <d v="2026-08-18T00:00:00"/>
    <s v="agosto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F737MP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8T00:00:00"/>
    <m/>
    <d v="2026-08-18T00:00:00"/>
    <d v="2026-08-18T00:00:00"/>
    <s v="agosto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F066NU"/>
    <s v="DL-170E28NCM51 SIN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21T00:00:00"/>
    <m/>
    <d v="2026-08-21T00:00:00"/>
    <d v="2026-08-21T00:00:00"/>
    <s v="agosto"/>
    <m/>
    <m/>
    <m/>
    <s v="C002889"/>
    <s v="FILTRO DE ACEITE IVECO TECTOR (2992242)"/>
    <n v="1"/>
    <n v="21189.599999999999"/>
    <n v="21189.599999999999"/>
    <x v="1"/>
    <m/>
    <m/>
    <m/>
  </r>
  <r>
    <s v="AF722DN"/>
    <s v="170E28 MLC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22T00:00:00"/>
    <m/>
    <d v="2026-08-22T00:00:00"/>
    <d v="2026-08-22T00:00:00"/>
    <s v="agosto"/>
    <m/>
    <m/>
    <m/>
    <s v="C002889"/>
    <s v="FILTRO DE ACEITE IVECO TECTOR (2992242)"/>
    <n v="1"/>
    <n v="21189.599999999999"/>
    <n v="21189.599999999999"/>
    <x v="1"/>
    <m/>
    <m/>
    <m/>
  </r>
  <r>
    <s v="AF639HB"/>
    <s v="170E28NCM51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26T00:00:00"/>
    <m/>
    <d v="2026-08-26T00:00:00"/>
    <d v="2026-08-26T00:00:00"/>
    <s v="agosto"/>
    <m/>
    <m/>
    <m/>
    <s v="C002889"/>
    <s v="FILTRO DE ACEITE IVECO TECTOR (2992242)"/>
    <n v="1"/>
    <n v="21189.599999999999"/>
    <n v="21189.599999999999"/>
    <x v="1"/>
    <m/>
    <m/>
    <m/>
  </r>
  <r>
    <s v="GOX958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05T00:00:00"/>
    <m/>
    <d v="2026-09-05T00:00:00"/>
    <d v="2026-09-05T00:00:00"/>
    <s v="septiembre"/>
    <m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AE297QN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2T00:00:00"/>
    <m/>
    <d v="2026-09-12T00:00:00"/>
    <d v="2026-09-12T00:00:00"/>
    <s v="septiembre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F948NA"/>
    <s v="170E28 MLC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7T00:00:00"/>
    <m/>
    <d v="2026-09-17T00:00:00"/>
    <d v="2026-09-17T00:00:00"/>
    <s v="septiembre"/>
    <m/>
    <m/>
    <m/>
    <s v="C002889"/>
    <s v="FILTRO DE ACEITE IVECO TECTOR (2992242)"/>
    <n v="1"/>
    <n v="21189.599999999999"/>
    <n v="21189.599999999999"/>
    <x v="1"/>
    <m/>
    <m/>
    <m/>
  </r>
  <r>
    <s v="AG176NB"/>
    <s v="160E21CCM32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8T00:00:00"/>
    <m/>
    <d v="2026-09-18T00:00:00"/>
    <d v="2026-09-18T00:00:00"/>
    <s v="septiembre"/>
    <m/>
    <m/>
    <m/>
    <s v="C002889"/>
    <s v="FILTRO DE ACEITE IVECO TECTOR (2992242)"/>
    <n v="1"/>
    <n v="21189.599999999999"/>
    <n v="21189.599999999999"/>
    <x v="4"/>
    <m/>
    <m/>
    <m/>
  </r>
  <r>
    <s v="AG176NA"/>
    <s v="160E21CCM32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2T00:00:00"/>
    <m/>
    <d v="2026-09-22T00:00:00"/>
    <d v="2026-09-22T00:00:00"/>
    <s v="septiembre"/>
    <m/>
    <m/>
    <m/>
    <s v="C002889"/>
    <s v="FILTRO DE ACEITE IVECO TECTOR (2992242)"/>
    <n v="1"/>
    <n v="21189.599999999999"/>
    <n v="21189.599999999999"/>
    <x v="4"/>
    <m/>
    <m/>
    <m/>
  </r>
  <r>
    <s v="AF804RF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2T00:00:00"/>
    <m/>
    <d v="2026-09-22T00:00:00"/>
    <d v="2026-09-22T00:00:00"/>
    <s v="septiembre"/>
    <m/>
    <m/>
    <m/>
    <s v="C002300"/>
    <s v="FILTRO DE ACEITE 6 CILINDROS MB 1725/1726/1933/1624L/1721 OF ELECTRONICO - MANN HU 945/2x"/>
    <n v="1"/>
    <n v="9737.2800000000007"/>
    <n v="9737.2800000000007"/>
    <x v="0"/>
    <m/>
    <m/>
    <m/>
  </r>
  <r>
    <s v="NIE148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3T00:00:00"/>
    <m/>
    <d v="2026-09-23T00:00:00"/>
    <d v="2026-09-23T00:00:00"/>
    <s v="septiembre"/>
    <m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AF918RI"/>
    <s v="170E28NCM51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3T00:00:00"/>
    <m/>
    <d v="2026-09-23T00:00:00"/>
    <d v="2026-09-23T00:00:00"/>
    <s v="septiembre"/>
    <m/>
    <m/>
    <m/>
    <s v="C002889"/>
    <s v="FILTRO DE ACEITE IVECO TECTOR (2992242)"/>
    <n v="1"/>
    <n v="21189.599999999999"/>
    <n v="21189.599999999999"/>
    <x v="1"/>
    <m/>
    <m/>
    <m/>
  </r>
  <r>
    <s v="NIE155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4T00:00:00"/>
    <m/>
    <d v="2026-09-24T00:00:00"/>
    <d v="2026-09-24T00:00:00"/>
    <s v="septiembre"/>
    <m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AF737MQ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01T00:00:00"/>
    <m/>
    <d v="2026-10-01T00:00:00"/>
    <d v="2026-10-01T00:00:00"/>
    <s v="octubre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KAV644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02T00:00:00"/>
    <m/>
    <d v="2026-10-02T00:00:00"/>
    <d v="2026-10-02T00:00:00"/>
    <s v="octubre"/>
    <m/>
    <m/>
    <m/>
    <s v="C002301"/>
    <s v="FILTRO DE ACEITE 6 CILINDROS MB 1318/1218/1215/914/712/1418/915/815 - MANN HU931/5X"/>
    <n v="1"/>
    <n v="8513.2800000000007"/>
    <n v="8513.2800000000007"/>
    <x v="7"/>
    <m/>
    <m/>
    <m/>
  </r>
  <r>
    <s v="AF639HA"/>
    <s v="170E28NCM51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03T00:00:00"/>
    <m/>
    <d v="2026-10-03T00:00:00"/>
    <d v="2026-10-03T00:00:00"/>
    <s v="octubre"/>
    <m/>
    <m/>
    <m/>
    <s v="C002889"/>
    <s v="FILTRO DE ACEITE IVECO TECTOR (2992242)"/>
    <n v="1"/>
    <n v="21189.599999999999"/>
    <n v="21189.599999999999"/>
    <x v="1"/>
    <m/>
    <m/>
    <m/>
  </r>
  <r>
    <s v="FQT894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11T00:00:00"/>
    <m/>
    <d v="2026-10-11T00:00:00"/>
    <d v="2026-10-11T00:00:00"/>
    <s v="octubre"/>
    <m/>
    <m/>
    <m/>
    <s v="C002301"/>
    <s v="FILTRO DE ACEITE 6 CILINDROS MB 1318/1218/1215/914/712/1418/915/815 - MANN HU931/5X"/>
    <n v="1"/>
    <n v="8513.2800000000007"/>
    <n v="8513.2800000000007"/>
    <x v="14"/>
    <m/>
    <m/>
    <m/>
  </r>
  <r>
    <s v="AF156NL"/>
    <s v="SPRINTER 316 CDI FURGON 366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14T00:00:00"/>
    <m/>
    <d v="2026-10-14T00:00:00"/>
    <d v="2026-10-14T00:00:00"/>
    <s v="octubre"/>
    <m/>
    <m/>
    <m/>
    <s v="C002301"/>
    <s v="FILTRO DE ACEITE 6 CILINDROS MB 1318/1218/1215/914/712/1418/915/815 - MANN HU931/5X"/>
    <n v="1"/>
    <n v="8513.2800000000007"/>
    <n v="8513.2800000000007"/>
    <x v="14"/>
    <m/>
    <m/>
    <m/>
  </r>
  <r>
    <s v="JWV380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17T00:00:00"/>
    <m/>
    <d v="2026-10-17T00:00:00"/>
    <d v="2026-10-17T00:00:00"/>
    <s v="octubre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GEB769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20T00:00:00"/>
    <m/>
    <d v="2026-10-20T00:00:00"/>
    <d v="2026-10-20T00:00:00"/>
    <s v="octubre"/>
    <m/>
    <m/>
    <m/>
    <s v="C002301"/>
    <s v="FILTRO DE ACEITE 6 CILINDROS MB 1318/1218/1215/914/712/1418/915/815 - MANN HU931/5X"/>
    <n v="1"/>
    <n v="8513.2800000000007"/>
    <n v="8513.2800000000007"/>
    <x v="4"/>
    <m/>
    <m/>
    <m/>
  </r>
  <r>
    <s v="RCS097"/>
    <n v="71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20T00:00:00"/>
    <m/>
    <d v="2026-10-20T00:00:00"/>
    <d v="2026-10-20T00:00:00"/>
    <s v="octubre"/>
    <m/>
    <m/>
    <m/>
    <s v="C002301"/>
    <s v="FILTRO DE ACEITE 6 CILINDROS MB 1318/1218/1215/914/712/1418/915/815 - MANN HU931/5X"/>
    <n v="1"/>
    <n v="8513.2800000000007"/>
    <n v="8513.2800000000007"/>
    <x v="14"/>
    <m/>
    <m/>
    <m/>
  </r>
  <r>
    <s v="AF118QC"/>
    <s v="ATEGO 1729-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06T00:00:00"/>
    <m/>
    <d v="2026-01-06T00:00:00"/>
    <d v="2026-01-06T00:00:00"/>
    <s v="enero"/>
    <m/>
    <m/>
    <m/>
    <s v="C000313"/>
    <s v="ACEITE 15W40 XV300 X 205LT (TAMBOR)"/>
    <n v="30"/>
    <n v="3389.9"/>
    <n v="101697"/>
    <x v="18"/>
    <m/>
    <m/>
    <m/>
  </r>
  <r>
    <s v="MYR537"/>
    <s v="ATEGO 1725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05T00:00:00"/>
    <m/>
    <d v="2026-02-05T00:00:00"/>
    <d v="2026-02-05T00:00:00"/>
    <s v="febrero"/>
    <m/>
    <m/>
    <m/>
    <s v="C000313"/>
    <s v="ACEITE 15W40 XV300 X 205LT (TAMBOR)"/>
    <n v="30"/>
    <n v="3389.9"/>
    <n v="101697"/>
    <x v="18"/>
    <m/>
    <m/>
    <m/>
  </r>
  <r>
    <s v="JAD357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17T00:00:00"/>
    <m/>
    <d v="2026-02-17T00:00:00"/>
    <d v="2026-02-17T00:00:00"/>
    <s v="febrero"/>
    <m/>
    <m/>
    <m/>
    <s v="C000313"/>
    <s v="ACEITE 15W40 XV300 X 205LT (TAMBOR)"/>
    <n v="30"/>
    <n v="3389.9"/>
    <n v="101697"/>
    <x v="1"/>
    <m/>
    <m/>
    <m/>
  </r>
  <r>
    <s v="OJG098"/>
    <s v="ATEGO 1725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21T00:00:00"/>
    <m/>
    <d v="2026-02-21T00:00:00"/>
    <d v="2026-02-21T00:00:00"/>
    <s v="febrero"/>
    <m/>
    <m/>
    <m/>
    <s v="C000313"/>
    <s v="ACEITE 15W40 XV300 X 205LT (TAMBOR)"/>
    <n v="30"/>
    <n v="3389.9"/>
    <n v="101697"/>
    <x v="3"/>
    <m/>
    <m/>
    <m/>
  </r>
  <r>
    <s v="KUF606"/>
    <s v="AXOR 1933-36 S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0313"/>
    <s v="ACEITE 15W40 XV300 X 205LT (TAMBOR)"/>
    <n v="30"/>
    <n v="3389.9"/>
    <n v="101697"/>
    <x v="15"/>
    <m/>
    <m/>
    <m/>
  </r>
  <r>
    <s v="AF118QC"/>
    <s v="ATEGO 1729-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4T00:00:00"/>
    <m/>
    <d v="2026-05-14T00:00:00"/>
    <d v="2026-05-14T00:00:00"/>
    <s v="mayo"/>
    <m/>
    <m/>
    <m/>
    <s v="C000313"/>
    <s v="ACEITE 15W40 XV300 X 205LT (TAMBOR)"/>
    <n v="30"/>
    <n v="3389.9"/>
    <n v="101697"/>
    <x v="18"/>
    <m/>
    <m/>
    <m/>
  </r>
  <r>
    <s v="JEB635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5T00:00:00"/>
    <m/>
    <d v="2026-06-05T00:00:00"/>
    <d v="2026-06-05T00:00:00"/>
    <s v="junio"/>
    <m/>
    <m/>
    <m/>
    <s v="C000313"/>
    <s v="ACEITE 15W40 XV300 X 205LT (TAMBOR)"/>
    <n v="30"/>
    <n v="3389.9"/>
    <n v="101697"/>
    <x v="1"/>
    <m/>
    <m/>
    <m/>
  </r>
  <r>
    <s v="KUF606"/>
    <s v="AXOR 1933-36 S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6T00:00:00"/>
    <m/>
    <d v="2026-06-26T00:00:00"/>
    <d v="2026-06-26T00:00:00"/>
    <s v="junio"/>
    <m/>
    <m/>
    <m/>
    <s v="C000313"/>
    <s v="ACEITE 15W40 XV300 X 205LT (TAMBOR)"/>
    <n v="30"/>
    <n v="3389.9"/>
    <n v="101697"/>
    <x v="15"/>
    <m/>
    <m/>
    <m/>
  </r>
  <r>
    <s v="JKG664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0313"/>
    <s v="ACEITE 15W40 XV300 X 205LT (TAMBOR)"/>
    <n v="30"/>
    <n v="3389.9"/>
    <n v="101697"/>
    <x v="11"/>
    <m/>
    <m/>
    <m/>
  </r>
  <r>
    <s v="JEB636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9T00:00:00"/>
    <m/>
    <d v="2026-08-19T00:00:00"/>
    <d v="2026-08-19T00:00:00"/>
    <s v="agosto"/>
    <m/>
    <m/>
    <m/>
    <s v="C000313"/>
    <s v="ACEITE 15W40 XV300 X 205LT (TAMBOR)"/>
    <n v="30"/>
    <n v="3389.9"/>
    <n v="101697"/>
    <x v="11"/>
    <m/>
    <m/>
    <m/>
  </r>
  <r>
    <s v="KUF606"/>
    <s v="AXOR 1933-36 S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5T00:00:00"/>
    <m/>
    <d v="2026-09-15T00:00:00"/>
    <d v="2026-09-15T00:00:00"/>
    <s v="septiembre"/>
    <m/>
    <m/>
    <m/>
    <s v="C000313"/>
    <s v="ACEITE 15W40 XV300 X 205LT (TAMBOR)"/>
    <n v="30"/>
    <n v="3389.9"/>
    <n v="101697"/>
    <x v="15"/>
    <m/>
    <m/>
    <m/>
  </r>
  <r>
    <s v="AF118QC"/>
    <s v="ATEGO 1729-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4T00:00:00"/>
    <m/>
    <d v="2026-09-24T00:00:00"/>
    <d v="2026-09-24T00:00:00"/>
    <s v="septiembre"/>
    <m/>
    <m/>
    <m/>
    <s v="C000313"/>
    <s v="ACEITE 15W40 XV300 X 205LT (TAMBOR)"/>
    <n v="30"/>
    <n v="3389.9"/>
    <n v="101697"/>
    <x v="18"/>
    <m/>
    <m/>
    <m/>
  </r>
  <r>
    <s v="AF672EU"/>
    <s v="ATEGO 1729 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5T00:00:00"/>
    <m/>
    <d v="2026-09-25T00:00:00"/>
    <d v="2026-09-25T00:00:00"/>
    <s v="septiembre"/>
    <m/>
    <m/>
    <m/>
    <s v="C000313"/>
    <s v="ACEITE 15W40 XV300 X 205LT (TAMBOR)"/>
    <n v="30"/>
    <n v="3389.9"/>
    <n v="101697"/>
    <x v="11"/>
    <m/>
    <m/>
    <m/>
  </r>
  <r>
    <s v="LRN157"/>
    <s v="ATEGO 1725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9T00:00:00"/>
    <m/>
    <d v="2026-09-29T00:00:00"/>
    <d v="2026-09-29T00:00:00"/>
    <s v="septiembre"/>
    <m/>
    <m/>
    <m/>
    <s v="C000313"/>
    <s v="ACEITE 15W40 XV300 X 205LT (TAMBOR)"/>
    <n v="30"/>
    <n v="3389.9"/>
    <n v="101697"/>
    <x v="18"/>
    <m/>
    <m/>
    <m/>
  </r>
  <r>
    <s v="AF118QC"/>
    <s v="ATEGO 1729-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06T00:00:00"/>
    <m/>
    <d v="2026-01-06T00:00:00"/>
    <d v="2026-01-06T00:00:00"/>
    <s v="enero"/>
    <m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MYR537"/>
    <s v="ATEGO 1725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05T00:00:00"/>
    <m/>
    <d v="2026-02-05T00:00:00"/>
    <d v="2026-02-05T00:00:00"/>
    <s v="febrero"/>
    <m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JAD357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17T00:00:00"/>
    <m/>
    <d v="2026-02-17T00:00:00"/>
    <d v="2026-02-17T00:00:00"/>
    <s v="febrero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OJG098"/>
    <s v="ATEGO 1725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21T00:00:00"/>
    <m/>
    <d v="2026-02-21T00:00:00"/>
    <d v="2026-02-21T00:00:00"/>
    <s v="febrero"/>
    <m/>
    <m/>
    <m/>
    <s v="C002300"/>
    <s v="FILTRO DE ACEITE 6 CILINDROS MB 1725/1726/1933/1624L/1721 OF ELECTRONICO - MANN HU 945/2x"/>
    <n v="1"/>
    <n v="9737.2800000000007"/>
    <n v="9737.2800000000007"/>
    <x v="3"/>
    <m/>
    <m/>
    <m/>
  </r>
  <r>
    <s v="KUF606"/>
    <s v="AXOR 1933-36 S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AF118QC"/>
    <s v="ATEGO 1729-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4T00:00:00"/>
    <m/>
    <d v="2026-05-14T00:00:00"/>
    <d v="2026-05-14T00:00:00"/>
    <s v="mayo"/>
    <m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JEB635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5T00:00:00"/>
    <m/>
    <d v="2026-06-05T00:00:00"/>
    <d v="2026-06-05T00:00:00"/>
    <s v="junio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KUF606"/>
    <s v="AXOR 1933-36 S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6T00:00:00"/>
    <m/>
    <d v="2026-06-26T00:00:00"/>
    <d v="2026-06-26T00:00:00"/>
    <s v="junio"/>
    <m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JKG664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JEB636"/>
    <s v="ATEGO 1725-S36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9T00:00:00"/>
    <m/>
    <d v="2026-08-19T00:00:00"/>
    <d v="2026-08-19T00:00:00"/>
    <s v="agosto"/>
    <m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KUF606"/>
    <s v="AXOR 1933-36 S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5T00:00:00"/>
    <m/>
    <d v="2026-09-15T00:00:00"/>
    <d v="2026-09-15T00:00:00"/>
    <s v="septiembre"/>
    <m/>
    <m/>
    <m/>
    <s v="C002300"/>
    <s v="FILTRO DE ACEITE 6 CILINDROS MB 1725/1726/1933/1624L/1721 OF ELECTRONICO - MANN HU 945/2x"/>
    <n v="1"/>
    <n v="9737.2800000000007"/>
    <n v="9737.2800000000007"/>
    <x v="15"/>
    <m/>
    <m/>
    <m/>
  </r>
  <r>
    <s v="AF118QC"/>
    <s v="ATEGO 1729-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4T00:00:00"/>
    <m/>
    <d v="2026-09-24T00:00:00"/>
    <d v="2026-09-24T00:00:00"/>
    <s v="septiembre"/>
    <m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AF672EU"/>
    <s v="ATEGO 1729 S36 CD TE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5T00:00:00"/>
    <m/>
    <d v="2026-09-25T00:00:00"/>
    <d v="2026-09-25T00:00:00"/>
    <s v="septiembre"/>
    <m/>
    <m/>
    <m/>
    <s v="C002300"/>
    <s v="FILTRO DE ACEITE 6 CILINDROS MB 1725/1726/1933/1624L/1721 OF ELECTRONICO - MANN HU 945/2x"/>
    <n v="1"/>
    <n v="9737.2800000000007"/>
    <n v="9737.2800000000007"/>
    <x v="11"/>
    <m/>
    <m/>
    <m/>
  </r>
  <r>
    <s v="LRN157"/>
    <s v="ATEGO 1725"/>
    <s v="2ML"/>
    <s v="2ML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9T00:00:00"/>
    <m/>
    <d v="2026-09-29T00:00:00"/>
    <d v="2026-09-29T00:00:00"/>
    <s v="septiembre"/>
    <m/>
    <m/>
    <m/>
    <s v="C002300"/>
    <s v="FILTRO DE ACEITE 6 CILINDROS MB 1725/1726/1933/1624L/1721 OF ELECTRONICO - MANN HU 945/2x"/>
    <n v="1"/>
    <n v="9737.2800000000007"/>
    <n v="9737.2800000000007"/>
    <x v="18"/>
    <m/>
    <m/>
    <m/>
  </r>
  <r>
    <s v="BRJ211"/>
    <n v="71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20T00:00:00"/>
    <m/>
    <d v="2026-01-20T00:00:00"/>
    <d v="2026-01-20T00:00:00"/>
    <s v="enero"/>
    <m/>
    <m/>
    <m/>
    <s v="C000313"/>
    <s v="ACEITE 15W40 XV300 X 205LT (TAMBOR)"/>
    <n v="16"/>
    <n v="3389.9"/>
    <n v="54238.400000000001"/>
    <x v="24"/>
    <m/>
    <m/>
    <m/>
  </r>
  <r>
    <s v="AF156NL"/>
    <s v="SPRINTER 316 CDI FURGON 366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22T00:00:00"/>
    <m/>
    <d v="2026-01-22T00:00:00"/>
    <d v="2026-01-22T00:00:00"/>
    <s v="enero"/>
    <m/>
    <m/>
    <m/>
    <s v="C000313"/>
    <s v="ACEITE 15W40 XV300 X 205LT (TAMBOR)"/>
    <n v="16"/>
    <n v="3389.9"/>
    <n v="54238.400000000001"/>
    <x v="14"/>
    <m/>
    <m/>
    <m/>
  </r>
  <r>
    <s v="AF804RA"/>
    <s v="ATEGO 1419 4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24T00:00:00"/>
    <m/>
    <d v="2026-01-24T00:00:00"/>
    <d v="2026-01-24T00:00:00"/>
    <s v="enero"/>
    <m/>
    <m/>
    <m/>
    <s v="C000313"/>
    <s v="ACEITE 15W40 XV300 X 205LT (TAMBOR)"/>
    <n v="16"/>
    <n v="3389.9"/>
    <n v="54238.400000000001"/>
    <x v="2"/>
    <m/>
    <m/>
    <m/>
  </r>
  <r>
    <s v="HRJ004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1-31T00:00:00"/>
    <m/>
    <d v="2026-01-31T00:00:00"/>
    <d v="2026-01-31T00:00:00"/>
    <s v="enero"/>
    <m/>
    <m/>
    <m/>
    <s v="C000313"/>
    <s v="ACEITE 15W40 XV300 X 205LT (TAMBOR)"/>
    <n v="16"/>
    <n v="3389.9"/>
    <n v="54238.400000000001"/>
    <x v="2"/>
    <m/>
    <m/>
    <m/>
  </r>
  <r>
    <s v="GPL52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05T00:00:00"/>
    <m/>
    <d v="2026-02-05T00:00:00"/>
    <d v="2026-02-05T00:00:00"/>
    <s v="febrero"/>
    <m/>
    <m/>
    <m/>
    <s v="C000313"/>
    <s v="ACEITE 15W40 XV300 X 205LT (TAMBOR)"/>
    <n v="16"/>
    <n v="3389.9"/>
    <n v="54238.400000000001"/>
    <x v="17"/>
    <m/>
    <m/>
    <m/>
  </r>
  <r>
    <s v="NIE152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2-11T00:00:00"/>
    <m/>
    <d v="2026-02-11T00:00:00"/>
    <d v="2026-02-11T00:00:00"/>
    <s v="febrero"/>
    <m/>
    <m/>
    <m/>
    <s v="C000313"/>
    <s v="ACEITE 15W40 XV300 X 205LT (TAMBOR)"/>
    <n v="16"/>
    <n v="3389.9"/>
    <n v="54238.400000000001"/>
    <x v="1"/>
    <m/>
    <m/>
    <m/>
  </r>
  <r>
    <s v="OIC418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06T00:00:00"/>
    <m/>
    <d v="2026-03-06T00:00:00"/>
    <d v="2026-03-06T00:00:00"/>
    <s v="marzo"/>
    <m/>
    <m/>
    <m/>
    <s v="C000313"/>
    <s v="ACEITE 15W40 XV300 X 205LT (TAMBOR)"/>
    <n v="16"/>
    <n v="3389.9"/>
    <n v="54238.400000000001"/>
    <x v="3"/>
    <m/>
    <m/>
    <m/>
  </r>
  <r>
    <s v="SYP554"/>
    <s v="T 112H 4X2 42 DS 310 HP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19T00:00:00"/>
    <m/>
    <d v="2026-03-19T00:00:00"/>
    <d v="2026-03-19T00:00:00"/>
    <s v="marzo"/>
    <m/>
    <m/>
    <m/>
    <s v="C000313"/>
    <s v="ACEITE 15W40 XV300 X 205LT (TAMBOR)"/>
    <n v="15"/>
    <n v="3389.9"/>
    <n v="50848.5"/>
    <x v="8"/>
    <m/>
    <m/>
    <m/>
  </r>
  <r>
    <s v="KDG188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19T00:00:00"/>
    <m/>
    <d v="2026-03-19T00:00:00"/>
    <d v="2026-03-19T00:00:00"/>
    <s v="marzo"/>
    <m/>
    <m/>
    <m/>
    <s v="C000313"/>
    <s v="ACEITE 15W40 XV300 X 205LT (TAMBOR)"/>
    <n v="16"/>
    <n v="3389.9"/>
    <n v="54238.400000000001"/>
    <x v="7"/>
    <m/>
    <m/>
    <m/>
  </r>
  <r>
    <s v="OMQ199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18T00:00:00"/>
    <m/>
    <d v="2026-03-18T00:00:00"/>
    <d v="2026-03-18T00:00:00"/>
    <s v="marzo"/>
    <m/>
    <m/>
    <m/>
    <s v="C000313"/>
    <s v="ACEITE 15W40 XV300 X 205LT (TAMBOR)"/>
    <n v="16"/>
    <n v="3389.9"/>
    <n v="54238.400000000001"/>
    <x v="3"/>
    <m/>
    <m/>
    <m/>
  </r>
  <r>
    <s v="FFJ868"/>
    <n v="12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5T00:00:00"/>
    <m/>
    <d v="2026-03-25T00:00:00"/>
    <d v="2026-03-25T00:00:00"/>
    <s v="marzo"/>
    <m/>
    <m/>
    <m/>
    <s v="C000313"/>
    <s v="ACEITE 15W40 XV300 X 205LT (TAMBOR)"/>
    <n v="15"/>
    <n v="3389.9"/>
    <n v="50848.5"/>
    <x v="8"/>
    <m/>
    <m/>
    <m/>
  </r>
  <r>
    <s v="HNE43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1T00:00:00"/>
    <m/>
    <d v="2026-03-21T00:00:00"/>
    <d v="2026-03-21T00:00:00"/>
    <s v="marzo"/>
    <m/>
    <m/>
    <m/>
    <s v="C000313"/>
    <s v="ACEITE 15W40 XV300 X 205LT (TAMBOR)"/>
    <n v="16"/>
    <n v="3389.9"/>
    <n v="54238.400000000001"/>
    <x v="7"/>
    <m/>
    <m/>
    <m/>
  </r>
  <r>
    <s v="OIC418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8T00:00:00"/>
    <m/>
    <d v="2026-03-28T00:00:00"/>
    <d v="2026-03-28T00:00:00"/>
    <s v="marzo"/>
    <m/>
    <m/>
    <m/>
    <s v="C000313"/>
    <s v="ACEITE 15W40 XV300 X 205LT (TAMBOR)"/>
    <n v="16"/>
    <n v="3389.9"/>
    <n v="54238.400000000001"/>
    <x v="3"/>
    <m/>
    <m/>
    <m/>
  </r>
  <r>
    <s v="KBV62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0313"/>
    <s v="ACEITE 15W40 XV300 X 205LT (TAMBOR)"/>
    <n v="16"/>
    <n v="3389.9"/>
    <n v="54238.400000000001"/>
    <x v="7"/>
    <m/>
    <m/>
    <m/>
  </r>
  <r>
    <s v="OMQ198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0313"/>
    <s v="ACEITE 15W40 XV300 X 205LT (TAMBOR)"/>
    <n v="16"/>
    <n v="3389.9"/>
    <n v="54238.400000000001"/>
    <x v="3"/>
    <m/>
    <m/>
    <m/>
  </r>
  <r>
    <s v="GDR525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3-27T00:00:00"/>
    <m/>
    <d v="2026-03-27T00:00:00"/>
    <d v="2026-03-27T00:00:00"/>
    <s v="marzo"/>
    <m/>
    <m/>
    <m/>
    <s v="C000313"/>
    <s v="ACEITE 15W40 XV300 X 205LT (TAMBOR)"/>
    <n v="16"/>
    <n v="3389.9"/>
    <n v="54238.400000000001"/>
    <x v="11"/>
    <m/>
    <m/>
    <m/>
  </r>
  <r>
    <s v="JCF735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01T00:00:00"/>
    <m/>
    <d v="2026-04-01T00:00:00"/>
    <d v="2026-04-01T00:00:00"/>
    <s v="abril"/>
    <m/>
    <m/>
    <m/>
    <s v="C000313"/>
    <s v="ACEITE 15W40 XV300 X 205LT (TAMBOR)"/>
    <n v="28"/>
    <n v="3389.9"/>
    <n v="94917.2"/>
    <x v="8"/>
    <m/>
    <m/>
    <m/>
  </r>
  <r>
    <s v="JIL525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01T00:00:00"/>
    <m/>
    <d v="2026-04-01T00:00:00"/>
    <d v="2026-04-01T00:00:00"/>
    <s v="abril"/>
    <m/>
    <m/>
    <m/>
    <s v="C000313"/>
    <s v="ACEITE 15W40 XV300 X 205LT (TAMBOR)"/>
    <n v="16"/>
    <n v="3389.9"/>
    <n v="54238.400000000001"/>
    <x v="19"/>
    <m/>
    <m/>
    <m/>
  </r>
  <r>
    <s v="OMQ199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03T00:00:00"/>
    <m/>
    <d v="2026-04-03T00:00:00"/>
    <d v="2026-04-03T00:00:00"/>
    <s v="abril"/>
    <m/>
    <m/>
    <m/>
    <s v="C000313"/>
    <s v="ACEITE 15W40 XV300 X 205LT (TAMBOR)"/>
    <n v="16"/>
    <n v="3389.9"/>
    <n v="54238.400000000001"/>
    <x v="3"/>
    <m/>
    <m/>
    <m/>
  </r>
  <r>
    <s v="JWV371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24T00:00:00"/>
    <m/>
    <d v="2026-04-24T00:00:00"/>
    <d v="2026-04-24T00:00:00"/>
    <s v="abril"/>
    <m/>
    <m/>
    <m/>
    <s v="C000313"/>
    <s v="ACEITE 15W40 XV300 X 205LT (TAMBOR)"/>
    <n v="28"/>
    <n v="3389.9"/>
    <n v="94917.2"/>
    <x v="8"/>
    <m/>
    <m/>
    <m/>
  </r>
  <r>
    <s v="AF804RC"/>
    <s v="ATEGO 1721 4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08T00:00:00"/>
    <m/>
    <d v="2026-05-08T00:00:00"/>
    <d v="2026-05-08T00:00:00"/>
    <s v="mayo"/>
    <m/>
    <m/>
    <m/>
    <s v="C000313"/>
    <s v="ACEITE 15W40 XV300 X 205LT (TAMBOR)"/>
    <n v="16"/>
    <n v="3389.9"/>
    <n v="54238.400000000001"/>
    <x v="0"/>
    <m/>
    <m/>
    <m/>
  </r>
  <r>
    <s v="OJG099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08T00:00:00"/>
    <m/>
    <d v="2026-05-08T00:00:00"/>
    <d v="2026-05-08T00:00:00"/>
    <s v="mayo"/>
    <m/>
    <m/>
    <m/>
    <s v="C000313"/>
    <s v="ACEITE 15W40 XV300 X 205LT (TAMBOR)"/>
    <n v="16"/>
    <n v="3389.9"/>
    <n v="54238.400000000001"/>
    <x v="3"/>
    <m/>
    <m/>
    <m/>
  </r>
  <r>
    <s v="OJG097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09T00:00:00"/>
    <m/>
    <d v="2026-05-09T00:00:00"/>
    <d v="2026-05-09T00:00:00"/>
    <s v="mayo"/>
    <m/>
    <m/>
    <m/>
    <s v="C000313"/>
    <s v="ACEITE 15W40 XV300 X 205LT (TAMBOR)"/>
    <n v="16"/>
    <n v="3389.9"/>
    <n v="54238.400000000001"/>
    <x v="3"/>
    <m/>
    <m/>
    <m/>
  </r>
  <r>
    <s v="AE243WV"/>
    <s v="Atego 2426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2T00:00:00"/>
    <m/>
    <d v="2026-05-12T00:00:00"/>
    <d v="2026-05-12T00:00:00"/>
    <s v="mayo"/>
    <m/>
    <m/>
    <m/>
    <s v="C000313"/>
    <s v="ACEITE 15W40 XV300 X 205LT (TAMBOR)"/>
    <n v="16"/>
    <n v="3389.9"/>
    <n v="54238.400000000001"/>
    <x v="18"/>
    <m/>
    <m/>
    <m/>
  </r>
  <r>
    <s v="MYR537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3T00:00:00"/>
    <m/>
    <d v="2026-05-13T00:00:00"/>
    <d v="2026-05-13T00:00:00"/>
    <s v="mayo"/>
    <m/>
    <m/>
    <m/>
    <s v="C000313"/>
    <s v="ACEITE 15W40 XV300 X 205LT (TAMBOR)"/>
    <n v="16"/>
    <n v="3389.9"/>
    <n v="54238.400000000001"/>
    <x v="18"/>
    <m/>
    <m/>
    <m/>
  </r>
  <r>
    <s v="LRN157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0T00:00:00"/>
    <m/>
    <d v="2026-05-20T00:00:00"/>
    <d v="2026-05-20T00:00:00"/>
    <s v="mayo"/>
    <m/>
    <m/>
    <m/>
    <s v="C000313"/>
    <s v="ACEITE 15W40 XV300 X 205LT (TAMBOR)"/>
    <n v="16"/>
    <n v="3389.9"/>
    <n v="54238.400000000001"/>
    <x v="18"/>
    <m/>
    <m/>
    <m/>
  </r>
  <r>
    <s v="KTC854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16T00:00:00"/>
    <m/>
    <d v="2026-05-16T00:00:00"/>
    <d v="2026-05-16T00:00:00"/>
    <s v="mayo"/>
    <m/>
    <m/>
    <m/>
    <s v="C000313"/>
    <s v="ACEITE 15W40 XV300 X 205LT (TAMBOR)"/>
    <n v="16"/>
    <n v="3389.9"/>
    <n v="54238.400000000001"/>
    <x v="7"/>
    <m/>
    <m/>
    <m/>
  </r>
  <r>
    <s v="OJG101"/>
    <s v="ATEGO 172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2T00:00:00"/>
    <m/>
    <d v="2026-05-22T00:00:00"/>
    <d v="2026-05-22T00:00:00"/>
    <s v="mayo"/>
    <m/>
    <m/>
    <m/>
    <s v="C000313"/>
    <s v="ACEITE 15W40 XV300 X 205LT (TAMBOR)"/>
    <n v="16"/>
    <n v="3389.9"/>
    <n v="54238.400000000001"/>
    <x v="3"/>
    <m/>
    <m/>
    <m/>
  </r>
  <r>
    <s v="KBV618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2T00:00:00"/>
    <m/>
    <d v="2026-05-22T00:00:00"/>
    <d v="2026-05-22T00:00:00"/>
    <s v="mayo"/>
    <m/>
    <m/>
    <m/>
    <s v="C000313"/>
    <s v="ACEITE 15W40 XV300 X 205LT (TAMBOR)"/>
    <n v="16"/>
    <n v="3389.9"/>
    <n v="54238.400000000001"/>
    <x v="3"/>
    <m/>
    <m/>
    <m/>
  </r>
  <r>
    <s v="GDR527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3T00:00:00"/>
    <m/>
    <d v="2026-05-23T00:00:00"/>
    <d v="2026-05-23T00:00:00"/>
    <s v="mayo"/>
    <m/>
    <m/>
    <m/>
    <s v="C000313"/>
    <s v="ACEITE 15W40 XV300 X 205LT (TAMBOR)"/>
    <n v="16"/>
    <n v="3389.9"/>
    <n v="54238.400000000001"/>
    <x v="1"/>
    <m/>
    <m/>
    <m/>
  </r>
  <r>
    <s v="AF613YZ"/>
    <s v="170E28NCM51 EBS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3T00:00:00"/>
    <m/>
    <d v="2026-05-23T00:00:00"/>
    <d v="2026-05-23T00:00:00"/>
    <s v="mayo"/>
    <m/>
    <m/>
    <m/>
    <s v="C000313"/>
    <s v="ACEITE 15W40 XV300 X 205LT (TAMBOR)"/>
    <n v="16"/>
    <n v="3389.9"/>
    <n v="54238.400000000001"/>
    <x v="1"/>
    <m/>
    <m/>
    <m/>
  </r>
  <r>
    <s v="JYQ969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4T00:00:00"/>
    <m/>
    <d v="2026-05-24T00:00:00"/>
    <d v="2026-05-24T00:00:00"/>
    <s v="mayo"/>
    <m/>
    <m/>
    <m/>
    <s v="C000313"/>
    <s v="ACEITE 15W40 XV300 X 205LT (TAMBOR)"/>
    <n v="16"/>
    <n v="3389.9"/>
    <n v="54238.400000000001"/>
    <x v="7"/>
    <m/>
    <m/>
    <m/>
  </r>
  <r>
    <s v="KHS025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6T00:00:00"/>
    <m/>
    <d v="2026-05-26T00:00:00"/>
    <d v="2026-05-26T00:00:00"/>
    <s v="mayo"/>
    <m/>
    <m/>
    <m/>
    <s v="C000313"/>
    <s v="ACEITE 15W40 XV300 X 205LT (TAMBOR)"/>
    <n v="16"/>
    <n v="3389.9"/>
    <n v="54238.400000000001"/>
    <x v="8"/>
    <m/>
    <m/>
    <m/>
  </r>
  <r>
    <s v="AD426IJ"/>
    <s v="AXOR 2541 LS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5-26T00:00:00"/>
    <m/>
    <d v="2026-05-26T00:00:00"/>
    <d v="2026-05-26T00:00:00"/>
    <s v="mayo"/>
    <m/>
    <m/>
    <m/>
    <s v="C000313"/>
    <s v="ACEITE 15W40 XV300 X 205LT (TAMBOR)"/>
    <n v="16"/>
    <n v="3389.9"/>
    <n v="54238.400000000001"/>
    <x v="23"/>
    <m/>
    <m/>
    <m/>
  </r>
  <r>
    <s v="OIC419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4T00:00:00"/>
    <m/>
    <d v="2026-06-04T00:00:00"/>
    <d v="2026-06-04T00:00:00"/>
    <s v="junio"/>
    <m/>
    <m/>
    <m/>
    <s v="C000313"/>
    <s v="ACEITE 15W40 XV300 X 205LT (TAMBOR)"/>
    <n v="16"/>
    <n v="3389.9"/>
    <n v="54238.400000000001"/>
    <x v="3"/>
    <m/>
    <m/>
    <m/>
  </r>
  <r>
    <s v="AF746EN"/>
    <s v="170E28 MLC (4185) EBS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6T00:00:00"/>
    <m/>
    <d v="2026-06-06T00:00:00"/>
    <d v="2026-06-06T00:00:00"/>
    <s v="junio"/>
    <m/>
    <m/>
    <m/>
    <s v="C000313"/>
    <s v="ACEITE 15W40 XV300 X 205LT (TAMBOR)"/>
    <n v="16"/>
    <n v="3389.9"/>
    <n v="54238.400000000001"/>
    <x v="1"/>
    <m/>
    <m/>
    <m/>
  </r>
  <r>
    <s v="NIE154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09T00:00:00"/>
    <m/>
    <d v="2026-06-09T00:00:00"/>
    <d v="2026-06-09T00:00:00"/>
    <s v="junio"/>
    <m/>
    <m/>
    <m/>
    <s v="C000313"/>
    <s v="ACEITE 15W40 XV300 X 205LT (TAMBOR)"/>
    <n v="16"/>
    <n v="3389.9"/>
    <n v="54238.400000000001"/>
    <x v="1"/>
    <m/>
    <m/>
    <m/>
  </r>
  <r>
    <s v="KPQ389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2T00:00:00"/>
    <m/>
    <d v="2026-06-12T00:00:00"/>
    <d v="2026-06-12T00:00:00"/>
    <s v="junio"/>
    <m/>
    <m/>
    <m/>
    <s v="C000313"/>
    <s v="ACEITE 15W40 XV300 X 205LT (TAMBOR)"/>
    <n v="16"/>
    <n v="3389.9"/>
    <n v="54238.400000000001"/>
    <x v="8"/>
    <m/>
    <m/>
    <m/>
  </r>
  <r>
    <s v="HSC655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3T00:00:00"/>
    <m/>
    <d v="2026-06-13T00:00:00"/>
    <d v="2026-06-13T00:00:00"/>
    <s v="junio"/>
    <m/>
    <m/>
    <m/>
    <s v="C000313"/>
    <s v="ACEITE 15W40 XV300 X 205LT (TAMBOR)"/>
    <n v="16"/>
    <n v="3389.9"/>
    <n v="54238.400000000001"/>
    <x v="2"/>
    <m/>
    <m/>
    <m/>
  </r>
  <r>
    <s v="HKW894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7T00:00:00"/>
    <m/>
    <d v="2026-06-17T00:00:00"/>
    <d v="2026-06-17T00:00:00"/>
    <s v="junio"/>
    <m/>
    <m/>
    <m/>
    <s v="C000313"/>
    <s v="ACEITE 15W40 XV300 X 205LT (TAMBOR)"/>
    <n v="16"/>
    <n v="3389.9"/>
    <n v="54238.400000000001"/>
    <x v="10"/>
    <m/>
    <m/>
    <m/>
  </r>
  <r>
    <s v="KPQ391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7T00:00:00"/>
    <m/>
    <d v="2026-06-17T00:00:00"/>
    <d v="2026-06-17T00:00:00"/>
    <s v="junio"/>
    <m/>
    <m/>
    <m/>
    <s v="C000313"/>
    <s v="ACEITE 15W40 XV300 X 205LT (TAMBOR)"/>
    <n v="28"/>
    <n v="3389.9"/>
    <n v="94917.2"/>
    <x v="8"/>
    <m/>
    <m/>
    <m/>
  </r>
  <r>
    <s v="FHK364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3T00:00:00"/>
    <m/>
    <d v="2026-06-23T00:00:00"/>
    <d v="2026-06-23T00:00:00"/>
    <s v="junio"/>
    <m/>
    <m/>
    <m/>
    <s v="C000313"/>
    <s v="ACEITE 15W40 XV300 X 205LT (TAMBOR)"/>
    <n v="16"/>
    <n v="3389.9"/>
    <n v="54238.400000000001"/>
    <x v="13"/>
    <m/>
    <m/>
    <m/>
  </r>
  <r>
    <s v="HPR687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3T00:00:00"/>
    <m/>
    <d v="2026-06-23T00:00:00"/>
    <d v="2026-06-23T00:00:00"/>
    <s v="junio"/>
    <m/>
    <m/>
    <m/>
    <s v="C000313"/>
    <s v="ACEITE 15W40 XV300 X 205LT (TAMBOR)"/>
    <n v="16"/>
    <n v="3389.9"/>
    <n v="54238.400000000001"/>
    <x v="4"/>
    <m/>
    <m/>
    <m/>
  </r>
  <r>
    <s v="KPQ390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3T00:00:00"/>
    <m/>
    <d v="2026-06-23T00:00:00"/>
    <d v="2026-06-23T00:00:00"/>
    <s v="junio"/>
    <m/>
    <m/>
    <m/>
    <s v="C000313"/>
    <s v="ACEITE 15W40 XV300 X 205LT (TAMBOR)"/>
    <n v="15"/>
    <n v="3389.9"/>
    <n v="50848.5"/>
    <x v="8"/>
    <m/>
    <m/>
    <m/>
  </r>
  <r>
    <s v="NIE153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4T00:00:00"/>
    <m/>
    <d v="2026-06-24T00:00:00"/>
    <d v="2026-06-24T00:00:00"/>
    <s v="junio"/>
    <m/>
    <m/>
    <m/>
    <s v="C000313"/>
    <s v="ACEITE 15W40 XV300 X 205LT (TAMBOR)"/>
    <n v="16"/>
    <n v="3389.9"/>
    <n v="54238.400000000001"/>
    <x v="1"/>
    <m/>
    <m/>
    <m/>
  </r>
  <r>
    <s v="HNL373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5T00:00:00"/>
    <m/>
    <d v="2026-06-25T00:00:00"/>
    <d v="2026-06-25T00:00:00"/>
    <s v="junio"/>
    <m/>
    <m/>
    <m/>
    <s v="C000313"/>
    <s v="ACEITE 15W40 XV300 X 205LT (TAMBOR)"/>
    <n v="16"/>
    <n v="3389.9"/>
    <n v="54238.400000000001"/>
    <x v="10"/>
    <m/>
    <m/>
    <m/>
  </r>
  <r>
    <s v="BNW644"/>
    <n v="71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5T00:00:00"/>
    <m/>
    <d v="2026-06-25T00:00:00"/>
    <d v="2026-06-25T00:00:00"/>
    <s v="junio"/>
    <m/>
    <m/>
    <m/>
    <s v="C000313"/>
    <s v="ACEITE 15W40 XV300 X 205LT (TAMBOR)"/>
    <n v="16"/>
    <n v="3389.9"/>
    <n v="54238.400000000001"/>
    <x v="25"/>
    <m/>
    <m/>
    <m/>
  </r>
  <r>
    <s v="HUY047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6T00:00:00"/>
    <m/>
    <d v="2026-06-26T00:00:00"/>
    <d v="2026-06-26T00:00:00"/>
    <s v="junio"/>
    <m/>
    <m/>
    <m/>
    <s v="C000313"/>
    <s v="ACEITE 15W40 XV300 X 205LT (TAMBOR)"/>
    <n v="16"/>
    <n v="3389.9"/>
    <n v="54238.400000000001"/>
    <x v="4"/>
    <m/>
    <m/>
    <m/>
  </r>
  <r>
    <s v="KHS013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6T00:00:00"/>
    <m/>
    <d v="2026-06-26T00:00:00"/>
    <d v="2026-06-26T00:00:00"/>
    <s v="junio"/>
    <m/>
    <m/>
    <m/>
    <s v="C000313"/>
    <s v="ACEITE 15W40 XV300 X 205LT (TAMBOR)"/>
    <n v="16"/>
    <n v="3389.9"/>
    <n v="54238.400000000001"/>
    <x v="25"/>
    <m/>
    <m/>
    <m/>
  </r>
  <r>
    <s v="HRJ003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27T00:00:00"/>
    <m/>
    <d v="2026-06-27T00:00:00"/>
    <d v="2026-06-27T00:00:00"/>
    <s v="junio"/>
    <m/>
    <m/>
    <m/>
    <s v="C000313"/>
    <s v="ACEITE 15W40 XV300 X 205LT (TAMBOR)"/>
    <n v="16"/>
    <n v="3389.9"/>
    <n v="54238.400000000001"/>
    <x v="2"/>
    <m/>
    <m/>
    <m/>
  </r>
  <r>
    <s v="GPL520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07T00:00:00"/>
    <m/>
    <d v="2026-07-07T00:00:00"/>
    <d v="2026-07-07T00:00:00"/>
    <s v="julio"/>
    <m/>
    <m/>
    <m/>
    <s v="C000313"/>
    <s v="ACEITE 15W40 XV300 X 205LT (TAMBOR)"/>
    <n v="16"/>
    <n v="3389.9"/>
    <n v="54238.400000000001"/>
    <x v="17"/>
    <m/>
    <m/>
    <m/>
  </r>
  <r>
    <s v="GFZ650"/>
    <n v="1624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08T00:00:00"/>
    <m/>
    <d v="2026-07-08T00:00:00"/>
    <d v="2026-07-08T00:00:00"/>
    <s v="julio"/>
    <m/>
    <m/>
    <m/>
    <s v="C000313"/>
    <s v="ACEITE 15W40 XV300 X 205LT (TAMBOR)"/>
    <n v="16"/>
    <n v="3389.9"/>
    <n v="54238.400000000001"/>
    <x v="2"/>
    <m/>
    <m/>
    <m/>
  </r>
  <r>
    <s v="AE243WV"/>
    <s v="Atego 2426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0T00:00:00"/>
    <m/>
    <d v="2026-07-10T00:00:00"/>
    <d v="2026-07-10T00:00:00"/>
    <s v="julio"/>
    <m/>
    <m/>
    <m/>
    <s v="C000313"/>
    <s v="ACEITE 15W40 XV300 X 205LT (TAMBOR)"/>
    <n v="16"/>
    <n v="3389.9"/>
    <n v="54238.400000000001"/>
    <x v="18"/>
    <m/>
    <m/>
    <m/>
  </r>
  <r>
    <s v="KMM903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5T00:00:00"/>
    <m/>
    <d v="2026-07-15T00:00:00"/>
    <d v="2026-07-15T00:00:00"/>
    <s v="julio"/>
    <m/>
    <m/>
    <m/>
    <s v="C000313"/>
    <s v="ACEITE 15W40 XV300 X 205LT (TAMBOR)"/>
    <n v="15"/>
    <n v="3389.9"/>
    <n v="50848.5"/>
    <x v="8"/>
    <m/>
    <m/>
    <m/>
  </r>
  <r>
    <s v="AF156NL"/>
    <s v="SPRINTER 316 CDI FURGON 366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26T00:00:00"/>
    <m/>
    <d v="2026-07-26T00:00:00"/>
    <d v="2026-07-26T00:00:00"/>
    <s v="julio"/>
    <m/>
    <m/>
    <m/>
    <s v="C000313"/>
    <s v="ACEITE 15W40 XV300 X 205LT (TAMBOR)"/>
    <n v="16"/>
    <n v="3389.9"/>
    <n v="54238.400000000001"/>
    <x v="14"/>
    <m/>
    <m/>
    <m/>
  </r>
  <r>
    <s v="JJH871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25T00:00:00"/>
    <m/>
    <d v="2026-07-25T00:00:00"/>
    <d v="2026-07-25T00:00:00"/>
    <s v="julio"/>
    <m/>
    <m/>
    <m/>
    <s v="C000313"/>
    <s v="ACEITE 15W40 XV300 X 205LT (TAMBOR)"/>
    <n v="16"/>
    <n v="3389.9"/>
    <n v="54238.400000000001"/>
    <x v="7"/>
    <m/>
    <m/>
    <m/>
  </r>
  <r>
    <s v="KMM904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01T00:00:00"/>
    <m/>
    <d v="2026-08-01T00:00:00"/>
    <d v="2026-08-01T00:00:00"/>
    <s v="agosto"/>
    <m/>
    <m/>
    <m/>
    <s v="C000313"/>
    <s v="ACEITE 15W40 XV300 X 205LT (TAMBOR)"/>
    <n v="15"/>
    <n v="3389.9"/>
    <n v="50848.5"/>
    <x v="8"/>
    <m/>
    <m/>
    <m/>
  </r>
  <r>
    <s v="JWV379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1T00:00:00"/>
    <m/>
    <d v="2026-08-11T00:00:00"/>
    <d v="2026-08-11T00:00:00"/>
    <s v="agosto"/>
    <m/>
    <m/>
    <m/>
    <s v="C000313"/>
    <s v="ACEITE 15W40 XV300 X 205LT (TAMBOR)"/>
    <n v="16"/>
    <n v="3389.9"/>
    <n v="54238.400000000001"/>
    <x v="7"/>
    <m/>
    <m/>
    <m/>
  </r>
  <r>
    <s v="GRE072"/>
    <n v="1624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2T00:00:00"/>
    <m/>
    <d v="2026-08-12T00:00:00"/>
    <d v="2026-08-12T00:00:00"/>
    <s v="agosto"/>
    <m/>
    <m/>
    <m/>
    <s v="C000313"/>
    <s v="ACEITE 15W40 XV300 X 205LT (TAMBOR)"/>
    <n v="16"/>
    <n v="3389.9"/>
    <n v="54238.400000000001"/>
    <x v="7"/>
    <m/>
    <m/>
    <m/>
  </r>
  <r>
    <s v="GDR526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0313"/>
    <s v="ACEITE 15W40 XV300 X 205LT (TAMBOR)"/>
    <n v="16"/>
    <n v="3389.9"/>
    <n v="54238.400000000001"/>
    <x v="12"/>
    <m/>
    <m/>
    <m/>
  </r>
  <r>
    <s v="GOX959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0313"/>
    <s v="ACEITE 15W40 XV300 X 205LT (TAMBOR)"/>
    <n v="16"/>
    <n v="3389.9"/>
    <n v="54238.400000000001"/>
    <x v="7"/>
    <m/>
    <m/>
    <m/>
  </r>
  <r>
    <s v="JXJ303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5T00:00:00"/>
    <m/>
    <d v="2026-08-15T00:00:00"/>
    <d v="2026-08-15T00:00:00"/>
    <s v="agosto"/>
    <m/>
    <m/>
    <m/>
    <s v="C000313"/>
    <s v="ACEITE 15W40 XV300 X 205LT (TAMBOR)"/>
    <n v="16"/>
    <n v="3389.9"/>
    <n v="54238.400000000001"/>
    <x v="7"/>
    <m/>
    <m/>
    <m/>
  </r>
  <r>
    <s v="GOX958"/>
    <s v="L-1318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05T00:00:00"/>
    <m/>
    <d v="2026-09-05T00:00:00"/>
    <d v="2026-09-05T00:00:00"/>
    <s v="septiembre"/>
    <m/>
    <m/>
    <m/>
    <s v="C000313"/>
    <s v="ACEITE 15W40 XV300 X 205LT (TAMBOR)"/>
    <n v="16"/>
    <n v="3389.9"/>
    <n v="54238.400000000001"/>
    <x v="10"/>
    <m/>
    <m/>
    <m/>
  </r>
  <r>
    <s v="NIE148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3T00:00:00"/>
    <m/>
    <d v="2026-09-23T00:00:00"/>
    <d v="2026-09-23T00:00:00"/>
    <s v="septiembre"/>
    <m/>
    <m/>
    <m/>
    <s v="C000313"/>
    <s v="ACEITE 15W40 XV300 X 205LT (TAMBOR)"/>
    <n v="16"/>
    <n v="3389.9"/>
    <n v="54238.400000000001"/>
    <x v="10"/>
    <m/>
    <m/>
    <m/>
  </r>
  <r>
    <s v="NIE155"/>
    <s v="ATRON 1720/48 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4T00:00:00"/>
    <m/>
    <d v="2026-09-24T00:00:00"/>
    <d v="2026-09-24T00:00:00"/>
    <s v="septiembre"/>
    <m/>
    <m/>
    <m/>
    <s v="C000313"/>
    <s v="ACEITE 15W40 XV300 X 205LT (TAMBOR)"/>
    <n v="16"/>
    <n v="3389.9"/>
    <n v="54238.400000000001"/>
    <x v="10"/>
    <m/>
    <m/>
    <m/>
  </r>
  <r>
    <s v="KAV644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02T00:00:00"/>
    <m/>
    <d v="2026-10-02T00:00:00"/>
    <d v="2026-10-02T00:00:00"/>
    <s v="octubre"/>
    <m/>
    <m/>
    <m/>
    <s v="C000313"/>
    <s v="ACEITE 15W40 XV300 X 205LT (TAMBOR)"/>
    <n v="16"/>
    <n v="3389.9"/>
    <n v="54238.400000000001"/>
    <x v="7"/>
    <m/>
    <m/>
    <m/>
  </r>
  <r>
    <s v="FQT894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11T00:00:00"/>
    <m/>
    <d v="2026-10-11T00:00:00"/>
    <d v="2026-10-11T00:00:00"/>
    <s v="octubre"/>
    <m/>
    <m/>
    <m/>
    <s v="C000313"/>
    <s v="ACEITE 15W40 XV300 X 205LT (TAMBOR)"/>
    <n v="16"/>
    <n v="3389.9"/>
    <n v="54238.400000000001"/>
    <x v="14"/>
    <m/>
    <m/>
    <m/>
  </r>
  <r>
    <s v="AF156NL"/>
    <s v="SPRINTER 316 CDI FURGON 3665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14T00:00:00"/>
    <m/>
    <d v="2026-10-14T00:00:00"/>
    <d v="2026-10-14T00:00:00"/>
    <s v="octubre"/>
    <m/>
    <m/>
    <m/>
    <s v="C000313"/>
    <s v="ACEITE 15W40 XV300 X 205LT (TAMBOR)"/>
    <n v="16"/>
    <n v="3389.9"/>
    <n v="54238.400000000001"/>
    <x v="14"/>
    <m/>
    <m/>
    <m/>
  </r>
  <r>
    <s v="JWV380"/>
    <s v="ATEGO 1418/48 FRONTAL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17T00:00:00"/>
    <m/>
    <d v="2026-10-17T00:00:00"/>
    <d v="2026-10-17T00:00:00"/>
    <s v="octubre"/>
    <m/>
    <m/>
    <m/>
    <s v="C000313"/>
    <s v="ACEITE 15W40 XV300 X 205LT (TAMBOR)"/>
    <n v="16"/>
    <n v="3389.9"/>
    <n v="54238.400000000001"/>
    <x v="1"/>
    <m/>
    <m/>
    <m/>
  </r>
  <r>
    <s v="GEB769"/>
    <n v="162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20T00:00:00"/>
    <m/>
    <d v="2026-10-20T00:00:00"/>
    <d v="2026-10-20T00:00:00"/>
    <s v="octubre"/>
    <m/>
    <m/>
    <m/>
    <s v="C000313"/>
    <s v="ACEITE 15W40 XV300 X 205LT (TAMBOR)"/>
    <n v="16"/>
    <n v="3389.9"/>
    <n v="54238.400000000001"/>
    <x v="4"/>
    <m/>
    <m/>
    <m/>
  </r>
  <r>
    <s v="RCS097"/>
    <n v="710"/>
    <s v="2MC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20T00:00:00"/>
    <m/>
    <d v="2026-10-20T00:00:00"/>
    <d v="2026-10-20T00:00:00"/>
    <s v="octubre"/>
    <m/>
    <m/>
    <m/>
    <s v="C000313"/>
    <s v="ACEITE 15W40 XV300 X 205LT (TAMBOR)"/>
    <n v="16"/>
    <n v="3389.9"/>
    <n v="54238.400000000001"/>
    <x v="14"/>
    <m/>
    <m/>
    <m/>
  </r>
  <r>
    <s v="AF804RF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6-18T00:00:00"/>
    <m/>
    <d v="2026-06-18T00:00:00"/>
    <d v="2026-06-18T00:00:00"/>
    <s v="junio"/>
    <m/>
    <m/>
    <m/>
    <s v="C000313"/>
    <s v="ACEITE 15W40 XV300 X 205LT (TAMBOR)"/>
    <n v="16"/>
    <n v="3389.9"/>
    <n v="54238.400000000001"/>
    <x v="0"/>
    <m/>
    <m/>
    <m/>
  </r>
  <r>
    <s v="AF653AB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7T00:00:00"/>
    <m/>
    <d v="2026-07-17T00:00:00"/>
    <d v="2026-07-17T00:00:00"/>
    <s v="julio"/>
    <m/>
    <m/>
    <m/>
    <s v="C000313"/>
    <s v="ACEITE 15W40 XV300 X 205LT (TAMBOR)"/>
    <n v="16"/>
    <n v="3389.9"/>
    <n v="54238.400000000001"/>
    <x v="1"/>
    <m/>
    <m/>
    <m/>
  </r>
  <r>
    <s v="AF504DR"/>
    <s v="ATEGO 1721-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17T00:00:00"/>
    <m/>
    <d v="2026-07-17T00:00:00"/>
    <d v="2026-07-17T00:00:00"/>
    <s v="julio"/>
    <m/>
    <m/>
    <m/>
    <s v="C000313"/>
    <s v="ACEITE 15W40 XV300 X 205LT (TAMBOR)"/>
    <n v="16"/>
    <n v="3389.9"/>
    <n v="54238.400000000001"/>
    <x v="1"/>
    <m/>
    <m/>
    <m/>
  </r>
  <r>
    <s v="AB029TN"/>
    <s v="B39 - ACCELO 815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3T00:00:00"/>
    <m/>
    <d v="2026-08-13T00:00:00"/>
    <d v="2026-08-13T00:00:00"/>
    <s v="agosto"/>
    <m/>
    <m/>
    <m/>
    <s v="C000313"/>
    <s v="ACEITE 15W40 XV300 X 205LT (TAMBOR)"/>
    <n v="16"/>
    <n v="3389.9"/>
    <n v="54238.400000000001"/>
    <x v="4"/>
    <m/>
    <m/>
    <m/>
  </r>
  <r>
    <s v="AF653AA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8T00:00:00"/>
    <m/>
    <d v="2026-08-18T00:00:00"/>
    <d v="2026-08-18T00:00:00"/>
    <s v="agosto"/>
    <m/>
    <m/>
    <m/>
    <s v="C000313"/>
    <s v="ACEITE 15W40 XV300 X 205LT (TAMBOR)"/>
    <n v="16"/>
    <n v="3389.9"/>
    <n v="54238.400000000001"/>
    <x v="1"/>
    <m/>
    <m/>
    <m/>
  </r>
  <r>
    <s v="AF737MP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18T00:00:00"/>
    <m/>
    <d v="2026-08-18T00:00:00"/>
    <d v="2026-08-18T00:00:00"/>
    <s v="agosto"/>
    <m/>
    <m/>
    <m/>
    <s v="C000313"/>
    <s v="ACEITE 15W40 XV300 X 205LT (TAMBOR)"/>
    <n v="16"/>
    <n v="3389.9"/>
    <n v="54238.400000000001"/>
    <x v="1"/>
    <m/>
    <m/>
    <m/>
  </r>
  <r>
    <s v="AE297QN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2T00:00:00"/>
    <m/>
    <d v="2026-09-12T00:00:00"/>
    <d v="2026-09-12T00:00:00"/>
    <s v="septiembre"/>
    <m/>
    <m/>
    <m/>
    <s v="C000313"/>
    <s v="ACEITE 15W40 XV300 X 205LT (TAMBOR)"/>
    <n v="16"/>
    <n v="3389.9"/>
    <n v="54238.400000000001"/>
    <x v="1"/>
    <m/>
    <m/>
    <m/>
  </r>
  <r>
    <s v="AF804RF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2T00:00:00"/>
    <m/>
    <d v="2026-09-22T00:00:00"/>
    <d v="2026-09-22T00:00:00"/>
    <s v="septiembre"/>
    <m/>
    <m/>
    <m/>
    <s v="C000313"/>
    <s v="ACEITE 15W40 XV300 X 205LT (TAMBOR)"/>
    <n v="16"/>
    <n v="3389.9"/>
    <n v="54238.400000000001"/>
    <x v="0"/>
    <m/>
    <m/>
    <m/>
  </r>
  <r>
    <s v="AF737MQ"/>
    <s v="ATEGO 1721 48"/>
    <s v="2MC 1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01T00:00:00"/>
    <m/>
    <d v="2026-10-01T00:00:00"/>
    <d v="2026-10-01T00:00:00"/>
    <s v="octubre"/>
    <m/>
    <m/>
    <m/>
    <s v="C000313"/>
    <s v="ACEITE 15W40 XV300 X 205LT (TAMBOR)"/>
    <n v="16"/>
    <n v="3389.9"/>
    <n v="54238.400000000001"/>
    <x v="1"/>
    <m/>
    <m/>
    <m/>
  </r>
  <r>
    <s v="AF613YX"/>
    <s v="170E28 MLC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4-22T00:00:00"/>
    <m/>
    <d v="2026-04-22T00:00:00"/>
    <d v="2026-04-22T00:00:00"/>
    <s v="abril"/>
    <m/>
    <m/>
    <m/>
    <s v="C000313"/>
    <s v="ACEITE 15W40 XV300 X 205LT (TAMBOR)"/>
    <n v="16"/>
    <n v="3389.9"/>
    <n v="54238.400000000001"/>
    <x v="1"/>
    <m/>
    <m/>
    <m/>
  </r>
  <r>
    <s v="AF114FN"/>
    <s v="BX-170E28 MLC SIN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7-22T00:00:00"/>
    <m/>
    <d v="2026-07-22T00:00:00"/>
    <d v="2026-07-22T00:00:00"/>
    <s v="julio"/>
    <m/>
    <m/>
    <m/>
    <s v="C000313"/>
    <s v="ACEITE 15W40 XV300 X 205LT (TAMBOR)"/>
    <n v="16"/>
    <n v="3389.9"/>
    <n v="54238.400000000001"/>
    <x v="1"/>
    <m/>
    <m/>
    <m/>
  </r>
  <r>
    <s v="AF066NU"/>
    <s v="DL-170E28NCM51 SIN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21T00:00:00"/>
    <m/>
    <d v="2026-08-21T00:00:00"/>
    <d v="2026-08-21T00:00:00"/>
    <s v="agosto"/>
    <m/>
    <m/>
    <m/>
    <s v="C000313"/>
    <s v="ACEITE 15W40 XV300 X 205LT (TAMBOR)"/>
    <n v="16"/>
    <n v="3389.9"/>
    <n v="54238.400000000001"/>
    <x v="1"/>
    <m/>
    <m/>
    <m/>
  </r>
  <r>
    <s v="AF722DN"/>
    <s v="170E28 MLC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22T00:00:00"/>
    <m/>
    <d v="2026-08-22T00:00:00"/>
    <d v="2026-08-22T00:00:00"/>
    <s v="agosto"/>
    <m/>
    <m/>
    <m/>
    <s v="C000313"/>
    <s v="ACEITE 15W40 XV300 X 205LT (TAMBOR)"/>
    <n v="16"/>
    <n v="3389.9"/>
    <n v="54238.400000000001"/>
    <x v="1"/>
    <m/>
    <m/>
    <m/>
  </r>
  <r>
    <s v="AF639HB"/>
    <s v="170E28NCM51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8-26T00:00:00"/>
    <m/>
    <d v="2026-08-26T00:00:00"/>
    <d v="2026-08-26T00:00:00"/>
    <s v="agosto"/>
    <m/>
    <m/>
    <m/>
    <s v="C000313"/>
    <s v="ACEITE 15W40 XV300 X 205LT (TAMBOR)"/>
    <n v="16"/>
    <n v="3389.9"/>
    <n v="54238.400000000001"/>
    <x v="1"/>
    <m/>
    <m/>
    <m/>
  </r>
  <r>
    <s v="AF948NA"/>
    <s v="170E28 MLC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7T00:00:00"/>
    <m/>
    <d v="2026-09-17T00:00:00"/>
    <d v="2026-09-17T00:00:00"/>
    <s v="septiembre"/>
    <m/>
    <m/>
    <m/>
    <s v="C000313"/>
    <s v="ACEITE 15W40 XV300 X 205LT (TAMBOR)"/>
    <n v="16"/>
    <n v="3389.9"/>
    <n v="54238.400000000001"/>
    <x v="1"/>
    <m/>
    <m/>
    <m/>
  </r>
  <r>
    <s v="AG176NB"/>
    <s v="160E21CCM32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18T00:00:00"/>
    <m/>
    <d v="2026-09-18T00:00:00"/>
    <d v="2026-09-18T00:00:00"/>
    <s v="septiembre"/>
    <m/>
    <m/>
    <m/>
    <s v="C000313"/>
    <s v="ACEITE 15W40 XV300 X 205LT (TAMBOR)"/>
    <n v="16"/>
    <n v="3389.9"/>
    <n v="54238.400000000001"/>
    <x v="4"/>
    <m/>
    <m/>
    <m/>
  </r>
  <r>
    <s v="AG176NA"/>
    <s v="160E21CCM32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2T00:00:00"/>
    <m/>
    <d v="2026-09-22T00:00:00"/>
    <d v="2026-09-22T00:00:00"/>
    <s v="septiembre"/>
    <m/>
    <m/>
    <m/>
    <s v="C000313"/>
    <s v="ACEITE 15W40 XV300 X 205LT (TAMBOR)"/>
    <n v="16"/>
    <n v="3389.9"/>
    <n v="54238.400000000001"/>
    <x v="4"/>
    <m/>
    <m/>
    <m/>
  </r>
  <r>
    <s v="AF918RI"/>
    <s v="170E28NCM51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09-23T00:00:00"/>
    <m/>
    <d v="2026-09-23T00:00:00"/>
    <d v="2026-09-23T00:00:00"/>
    <s v="septiembre"/>
    <m/>
    <m/>
    <m/>
    <s v="C000313"/>
    <s v="ACEITE 15W40 XV300 X 205LT (TAMBOR)"/>
    <n v="16"/>
    <n v="3389.9"/>
    <n v="54238.400000000001"/>
    <x v="1"/>
    <m/>
    <m/>
    <m/>
  </r>
  <r>
    <s v="AF639HA"/>
    <s v="170E28NCM51 EBS"/>
    <s v="2MC 2"/>
    <s v="2MC"/>
    <n v="0.75"/>
    <s v="Cambio De Aceite Y Filtro De Motor"/>
    <n v="40688"/>
    <n v="60688"/>
    <n v="18559.899999999991"/>
    <n v="1440.100000000006"/>
    <n v="59247.899999999987"/>
    <n v="107"/>
    <n v="129.25862179487169"/>
    <n v="8.3023453790160868"/>
    <m/>
    <d v="2025-10-03T00:00:00"/>
    <m/>
    <d v="2026-10-03T00:00:00"/>
    <d v="2026-10-03T00:00:00"/>
    <s v="octubre"/>
    <m/>
    <m/>
    <m/>
    <s v="C000313"/>
    <s v="ACEITE 15W40 XV300 X 205LT (TAMBOR)"/>
    <n v="16"/>
    <n v="3389.9"/>
    <n v="54238.400000000001"/>
    <x v="1"/>
    <m/>
    <m/>
    <m/>
  </r>
  <r>
    <s v="KLY952"/>
    <s v="ATEGO 1418/48 FRONTAL"/>
    <s v="2MC"/>
    <s v="2MC"/>
    <n v="0.75"/>
    <s v="Cambio De Aceite Y Filtro De Motor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11-02T21:02:13"/>
    <d v="2026-11-02T00:00:00"/>
    <s v="noviembre"/>
    <s v="Activo"/>
    <m/>
    <m/>
    <s v="C000313"/>
    <s v="ACEITE 15W40 XV300 X 205LT (TAMBOR)"/>
    <n v="16"/>
    <n v="3389.9"/>
    <n v="54238.400000000001"/>
    <x v="26"/>
    <m/>
    <m/>
    <m/>
  </r>
  <r>
    <s v="KLY952"/>
    <s v="ATEGO 1418/48 FRONTAL"/>
    <s v="2MC"/>
    <s v="2MC"/>
    <n v="0.75"/>
    <s v="Cambio De Aceite Y Filtro De Motor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11-02T21:02:13"/>
    <d v="2026-11-02T00:00:00"/>
    <s v="noviembre"/>
    <s v="Activo"/>
    <m/>
    <m/>
    <s v="C002301"/>
    <s v="FILTRO DE ACEITE 6 CILINDROS MB 1318/1218/1215/914/712/1418/915/815 - MANN HU931/5X"/>
    <n v="1"/>
    <n v="8513.2800000000007"/>
    <n v="8513.2800000000007"/>
    <x v="26"/>
    <m/>
    <m/>
    <m/>
  </r>
  <r>
    <s v="KLY952"/>
    <s v="ATEGO 1418/48 FRONTAL"/>
    <s v="3MC"/>
    <s v="3MC"/>
    <n v="0.5"/>
    <s v="Cambio De Filtro Gas Oíl Y Trampa De Agua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11-02T21:02:13"/>
    <d v="2026-11-02T00:00:00"/>
    <s v="noviembre"/>
    <s v="Activo"/>
    <m/>
    <m/>
    <s v="C001031"/>
    <s v="FILTRO DE COMBUSTIBLE MANN PU1046/1X"/>
    <n v="1"/>
    <n v="10535.04"/>
    <n v="10535.04"/>
    <x v="26"/>
    <m/>
    <m/>
    <m/>
  </r>
  <r>
    <s v="KLY952"/>
    <s v="ATEGO 1418/48 FRONTAL"/>
    <s v="3MC"/>
    <s v="3MC"/>
    <n v="0.5"/>
    <s v="Cambio De Filtro Gas Oíl Y Trampa De Agua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11-02T21:02:13"/>
    <d v="2026-11-02T00:00:00"/>
    <s v="noviembre"/>
    <s v="Activo"/>
    <m/>
    <m/>
    <s v="C003103"/>
    <s v="FILTRO TRAMPA DE AGUA - WIX (WF 10288)"/>
    <n v="1"/>
    <n v="19410.240000000002"/>
    <n v="19410.240000000002"/>
    <x v="26"/>
    <m/>
    <m/>
    <m/>
  </r>
  <r>
    <s v="KLY952"/>
    <s v="ATEGO 1418/48 FRONTAL"/>
    <s v="6MC 2"/>
    <s v="6MC"/>
    <n v="0.25"/>
    <s v="Cambio Filtro Aire"/>
    <d v="2025-05-08T00:00:00"/>
    <n v="249976"/>
    <n v="269976"/>
    <n v="7170.0999999999995"/>
    <n v="12829.9"/>
    <n v="257146.1"/>
    <n v="162"/>
    <n v="37.516848874598068"/>
    <n v="289.876542865511"/>
    <d v="2025-10-17T00:00:00"/>
    <n v="20000"/>
    <d v="2026-11-02T21:02:13"/>
    <d v="2026-11-02T00:00:00"/>
    <s v="noviembre"/>
    <s v="Activo"/>
    <m/>
    <m/>
    <s v="C002482"/>
    <s v="FILTRO DE AIRE MB 2426/AXOR 1933 - MANN C28 1012"/>
    <n v="1"/>
    <n v="49777.919999999998"/>
    <n v="49777.919999999998"/>
    <x v="26"/>
    <m/>
    <m/>
    <m/>
  </r>
  <r>
    <s v="AB320YW"/>
    <s v="B66 - ATEGO 2426"/>
    <s v="2MC"/>
    <s v="2MC"/>
    <n v="0.75"/>
    <n v="0.75"/>
    <m/>
    <m/>
    <m/>
    <m/>
    <m/>
    <m/>
    <m/>
    <m/>
    <m/>
    <d v="2025-11-12T00:00:00"/>
    <m/>
    <d v="2026-11-12T00:00:00"/>
    <d v="2026-11-12T00:00:00"/>
    <s v="noviembre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AB320YW"/>
    <s v="B66 - ATEGO 2426"/>
    <s v="3MC"/>
    <s v="3MC"/>
    <n v="0.5"/>
    <n v="0.5"/>
    <m/>
    <m/>
    <m/>
    <m/>
    <m/>
    <m/>
    <m/>
    <m/>
    <m/>
    <d v="2025-11-12T00:00:00"/>
    <m/>
    <d v="2026-11-12T00:00:00"/>
    <d v="2026-11-12T00:00:00"/>
    <s v="noviembre"/>
    <m/>
    <m/>
    <m/>
    <s v="C001031"/>
    <s v="FILTRO DE COMBUSTIBLE MANN PU1046/1X"/>
    <n v="1"/>
    <n v="10535.04"/>
    <n v="10535.04"/>
    <x v="3"/>
    <m/>
    <m/>
    <m/>
  </r>
  <r>
    <s v="AB320YW"/>
    <s v="B66 - ATEGO 2426"/>
    <s v="6MC"/>
    <s v="6MC"/>
    <n v="0.25"/>
    <n v="0.25"/>
    <m/>
    <m/>
    <m/>
    <m/>
    <m/>
    <m/>
    <m/>
    <m/>
    <m/>
    <d v="2025-11-12T00:00:00"/>
    <m/>
    <d v="2026-11-12T00:00:00"/>
    <d v="2026-11-12T00:00:00"/>
    <s v="noviembre"/>
    <m/>
    <m/>
    <m/>
    <s v="C002482"/>
    <s v="FILTRO DE AIRE MB 2426/AXOR 1933 - MANN C28 1012"/>
    <n v="1"/>
    <n v="49777.919999999998"/>
    <n v="49777.919999999998"/>
    <x v="3"/>
    <m/>
    <m/>
    <m/>
  </r>
  <r>
    <s v="AF066NZ"/>
    <s v="BX-170E28 MLC SIN EBS"/>
    <s v="2MC"/>
    <s v="2MC"/>
    <n v="0.75"/>
    <n v="0.75"/>
    <m/>
    <m/>
    <m/>
    <m/>
    <m/>
    <m/>
    <m/>
    <m/>
    <m/>
    <d v="2024-10-17T00:00:00"/>
    <m/>
    <d v="2026-10-17T00:00:00"/>
    <d v="2026-10-17T00:00:00"/>
    <s v="octubre"/>
    <m/>
    <m/>
    <m/>
    <s v="C002889"/>
    <s v="FILTRO DE ACEITE IVECO TECTOR (2992242)"/>
    <n v="1"/>
    <n v="21189.599999999999"/>
    <n v="21189.599999999999"/>
    <x v="1"/>
    <m/>
    <m/>
    <m/>
  </r>
  <r>
    <s v="AF066NZ"/>
    <s v="BX-170E28 MLC SIN EBS"/>
    <s v="3MC"/>
    <s v="3MC"/>
    <n v="0.5"/>
    <n v="0.5"/>
    <m/>
    <m/>
    <m/>
    <m/>
    <m/>
    <m/>
    <m/>
    <m/>
    <m/>
    <d v="2024-10-17T00:00:00"/>
    <m/>
    <d v="2026-10-17T00:00:00"/>
    <d v="2026-10-17T00:00:00"/>
    <s v="octubre"/>
    <m/>
    <m/>
    <m/>
    <s v="C002627"/>
    <s v="FILTRO DE COMBUSTIBLE IVECO BX-170E28 MLC COD: 2992241"/>
    <n v="1"/>
    <n v="20099.439999999999"/>
    <n v="20099.439999999999"/>
    <x v="1"/>
    <m/>
    <m/>
    <m/>
  </r>
  <r>
    <s v="AF066NZ"/>
    <s v="BX-170E28 MLC SIN EBS"/>
    <s v="6MC"/>
    <s v="6MC"/>
    <n v="0.25"/>
    <n v="0.25"/>
    <m/>
    <m/>
    <m/>
    <m/>
    <m/>
    <m/>
    <m/>
    <m/>
    <m/>
    <d v="2024-10-17T00:00:00"/>
    <m/>
    <d v="2026-10-17T00:00:00"/>
    <d v="2026-10-17T00:00:00"/>
    <s v="octubre"/>
    <m/>
    <m/>
    <m/>
    <s v="C002891"/>
    <s v="FILTRO DE AIRE (CARTUCHO) IVECO TECTOR (5801640991)"/>
    <n v="1"/>
    <n v="126126.58"/>
    <n v="126126.58"/>
    <x v="1"/>
    <m/>
    <m/>
    <m/>
  </r>
  <r>
    <s v="AF088EA"/>
    <s v="DL-170E28NCM51 SIN EBS"/>
    <s v="2MC"/>
    <s v="2MC"/>
    <n v="0.75"/>
    <n v="0.75"/>
    <m/>
    <m/>
    <m/>
    <m/>
    <m/>
    <m/>
    <m/>
    <m/>
    <m/>
    <d v="2024-11-12T00:00:00"/>
    <m/>
    <d v="2026-11-12T00:00:00"/>
    <d v="2026-11-12T00:00:00"/>
    <s v="noviembre"/>
    <m/>
    <m/>
    <m/>
    <s v="C002889"/>
    <s v="FILTRO DE ACEITE IVECO TECTOR (2992242)"/>
    <n v="1"/>
    <n v="21189.599999999999"/>
    <n v="21189.599999999999"/>
    <x v="1"/>
    <m/>
    <m/>
    <m/>
  </r>
  <r>
    <s v="AF088EA"/>
    <s v="DL-170E28NCM51 SIN EBS"/>
    <s v="3MC"/>
    <s v="3MC"/>
    <n v="0.5"/>
    <n v="0.5"/>
    <m/>
    <m/>
    <m/>
    <m/>
    <m/>
    <m/>
    <m/>
    <m/>
    <m/>
    <d v="2024-11-12T00:00:00"/>
    <m/>
    <d v="2026-11-12T00:00:00"/>
    <d v="2026-11-12T00:00:00"/>
    <s v="noviembre"/>
    <m/>
    <m/>
    <m/>
    <s v="C002627"/>
    <s v="FILTRO DE COMBUSTIBLE IVECO BX-170E28 MLC COD: 2992241"/>
    <n v="1"/>
    <n v="20099.439999999999"/>
    <n v="20099.439999999999"/>
    <x v="1"/>
    <m/>
    <m/>
    <m/>
  </r>
  <r>
    <s v="AF088EA"/>
    <s v="DL-170E28NCM51 SIN EBS"/>
    <s v="6MC"/>
    <s v="6MC"/>
    <n v="0.25"/>
    <n v="0.25"/>
    <m/>
    <m/>
    <m/>
    <m/>
    <m/>
    <m/>
    <m/>
    <m/>
    <m/>
    <d v="2024-11-12T00:00:00"/>
    <m/>
    <d v="2026-11-12T00:00:00"/>
    <d v="2026-11-12T00:00:00"/>
    <s v="noviembre"/>
    <m/>
    <m/>
    <m/>
    <s v="C002891"/>
    <s v="FILTRO DE AIRE (CARTUCHO) IVECO TECTOR (5801640991)"/>
    <n v="1"/>
    <n v="126126.58"/>
    <n v="126126.58"/>
    <x v="1"/>
    <m/>
    <m/>
    <m/>
  </r>
  <r>
    <s v="AF114FP"/>
    <s v="BX-170E28 MLC SIN EBS"/>
    <s v="2MC"/>
    <s v="2MC"/>
    <n v="0.75"/>
    <n v="0.75"/>
    <m/>
    <m/>
    <m/>
    <m/>
    <m/>
    <m/>
    <m/>
    <m/>
    <m/>
    <d v="2024-09-17T00:00:00"/>
    <m/>
    <d v="2026-09-17T00:00:00"/>
    <d v="2026-09-17T00:00:00"/>
    <s v="septiembre"/>
    <m/>
    <m/>
    <m/>
    <s v="C002889"/>
    <s v="FILTRO DE ACEITE IVECO TECTOR (2992242)"/>
    <n v="1"/>
    <n v="21189.599999999999"/>
    <n v="21189.599999999999"/>
    <x v="1"/>
    <m/>
    <m/>
    <m/>
  </r>
  <r>
    <s v="AF114FP"/>
    <s v="BX-170E28 MLC SIN EBS"/>
    <s v="3MC"/>
    <s v="3MC"/>
    <n v="0.5"/>
    <n v="0.5"/>
    <m/>
    <m/>
    <m/>
    <m/>
    <m/>
    <m/>
    <m/>
    <m/>
    <m/>
    <d v="2024-09-17T00:00:00"/>
    <m/>
    <d v="2026-09-17T00:00:00"/>
    <d v="2026-09-17T00:00:00"/>
    <s v="septiembre"/>
    <m/>
    <m/>
    <m/>
    <s v="C002627"/>
    <s v="FILTRO DE COMBUSTIBLE IVECO BX-170E28 MLC COD: 2992241"/>
    <n v="1"/>
    <n v="20099.439999999999"/>
    <n v="20099.439999999999"/>
    <x v="1"/>
    <m/>
    <m/>
    <m/>
  </r>
  <r>
    <s v="AF114FP"/>
    <s v="BX-170E28 MLC SIN EBS"/>
    <s v="6MC"/>
    <s v="6MC"/>
    <n v="0.25"/>
    <n v="0.25"/>
    <m/>
    <m/>
    <m/>
    <m/>
    <m/>
    <m/>
    <m/>
    <m/>
    <m/>
    <d v="2024-09-17T00:00:00"/>
    <m/>
    <d v="2026-09-17T00:00:00"/>
    <d v="2026-09-17T00:00:00"/>
    <s v="septiembre"/>
    <m/>
    <m/>
    <m/>
    <s v="C002891"/>
    <s v="FILTRO DE AIRE (CARTUCHO) IVECO TECTOR (5801640991)"/>
    <n v="1"/>
    <n v="126126.58"/>
    <n v="126126.58"/>
    <x v="1"/>
    <m/>
    <m/>
    <m/>
  </r>
  <r>
    <s v="AF444TW"/>
    <s v="BX-170E28 MLC"/>
    <s v="2MC"/>
    <s v="2MC"/>
    <n v="0.75"/>
    <n v="0.75"/>
    <m/>
    <m/>
    <m/>
    <m/>
    <m/>
    <m/>
    <m/>
    <m/>
    <m/>
    <d v="2025-01-22T00:00:00"/>
    <m/>
    <d v="2026-11-15T00:00:00"/>
    <d v="2026-11-15T00:00:00"/>
    <s v="noviembre"/>
    <m/>
    <m/>
    <m/>
    <s v="C002889"/>
    <s v="FILTRO DE ACEITE IVECO TECTOR (2992242)"/>
    <n v="1"/>
    <n v="21189.599999999999"/>
    <n v="21189.599999999999"/>
    <x v="1"/>
    <m/>
    <m/>
    <m/>
  </r>
  <r>
    <s v="AF444TW"/>
    <s v="BX-170E28 MLC"/>
    <s v="3MC"/>
    <s v="3MC"/>
    <n v="0.5"/>
    <n v="0.5"/>
    <m/>
    <m/>
    <m/>
    <m/>
    <m/>
    <m/>
    <m/>
    <m/>
    <m/>
    <d v="2025-01-22T00:00:00"/>
    <m/>
    <d v="2026-11-15T00:00:00"/>
    <d v="2026-11-15T00:00:00"/>
    <s v="noviembre"/>
    <m/>
    <m/>
    <m/>
    <s v="C002627"/>
    <s v="FILTRO DE COMBUSTIBLE IVECO BX-170E28 MLC COD: 2992241"/>
    <n v="1"/>
    <n v="20099.439999999999"/>
    <n v="20099.439999999999"/>
    <x v="1"/>
    <m/>
    <m/>
    <m/>
  </r>
  <r>
    <s v="AF444TW"/>
    <s v="BX-170E28 MLC"/>
    <s v="6MC"/>
    <s v="6MC"/>
    <n v="0.25"/>
    <n v="0.25"/>
    <m/>
    <m/>
    <m/>
    <m/>
    <m/>
    <m/>
    <m/>
    <m/>
    <m/>
    <d v="2025-01-22T00:00:00"/>
    <m/>
    <d v="2026-11-15T00:00:00"/>
    <d v="2026-11-15T00:00:00"/>
    <s v="noviembre"/>
    <m/>
    <m/>
    <m/>
    <s v="C002891"/>
    <s v="FILTRO DE AIRE (CARTUCHO) IVECO TECTOR (5801640991)"/>
    <n v="1"/>
    <n v="126126.58"/>
    <n v="126126.58"/>
    <x v="1"/>
    <m/>
    <m/>
    <m/>
  </r>
  <r>
    <s v="AF491HM"/>
    <s v="SPRINTER 516 CDI FURGON 4325"/>
    <s v="2MC"/>
    <s v="2MU"/>
    <n v="0.75"/>
    <n v="0.75"/>
    <m/>
    <m/>
    <m/>
    <m/>
    <m/>
    <m/>
    <m/>
    <m/>
    <m/>
    <d v="2025-08-13T00:00:00"/>
    <m/>
    <d v="2026-08-13T00:00:00"/>
    <d v="2026-08-13T00:00:00"/>
    <s v="agosto"/>
    <m/>
    <m/>
    <m/>
    <s v="C003082"/>
    <s v="ACEITE 5W 40 YPF x 20LTS"/>
    <n v="1"/>
    <n v="12001.14"/>
    <n v="12001.14"/>
    <x v="22"/>
    <m/>
    <m/>
    <m/>
  </r>
  <r>
    <s v="AF491HM"/>
    <s v="SPRINTER 516 CDI FURGON 4325"/>
    <s v="3MC"/>
    <s v="3MU"/>
    <n v="0.5"/>
    <n v="0.5"/>
    <m/>
    <m/>
    <m/>
    <m/>
    <m/>
    <m/>
    <m/>
    <m/>
    <m/>
    <d v="2025-08-13T00:00:00"/>
    <m/>
    <d v="2026-08-13T00:00:00"/>
    <d v="2026-08-13T00:00:00"/>
    <s v="agosto"/>
    <m/>
    <m/>
    <m/>
    <s v="C003078"/>
    <s v="FILTRO DE COMBUSTIBLE SPRINTER 316 (A 651 090 36 00) - BOSCH (0986BFO366)"/>
    <n v="1"/>
    <n v="77979.94"/>
    <n v="77979.94"/>
    <x v="22"/>
    <m/>
    <m/>
    <m/>
  </r>
  <r>
    <s v="AF491HM"/>
    <s v="SPRINTER 516 CDI FURGON 4325"/>
    <s v="6MC"/>
    <s v="4MU"/>
    <n v="0.25"/>
    <n v="0.25"/>
    <m/>
    <m/>
    <m/>
    <m/>
    <m/>
    <m/>
    <m/>
    <m/>
    <m/>
    <d v="2025-08-13T00:00:00"/>
    <m/>
    <d v="2026-08-13T00:00:00"/>
    <d v="2026-08-13T00:00:00"/>
    <s v="agosto"/>
    <m/>
    <m/>
    <m/>
    <s v="C003080"/>
    <s v="FILTRO DE AIRE SPRINTER 316 - MANN C 4312/1"/>
    <n v="1"/>
    <n v="13876.18"/>
    <n v="13876.18"/>
    <x v="22"/>
    <m/>
    <m/>
    <m/>
  </r>
  <r>
    <s v="AF746EM"/>
    <s v="170E30TLA22 EBS"/>
    <s v="2MC"/>
    <s v="2ML"/>
    <n v="0.75"/>
    <n v="0.75"/>
    <m/>
    <m/>
    <m/>
    <m/>
    <m/>
    <m/>
    <m/>
    <m/>
    <m/>
    <d v="2024-02-21T00:00:00"/>
    <m/>
    <d v="2026-12-20T00:00:00"/>
    <d v="2026-12-20T00:00:00"/>
    <s v="diciembre"/>
    <m/>
    <m/>
    <m/>
    <s v="C002889"/>
    <s v="FILTRO DE ACEITE IVECO TECTOR (2992242)"/>
    <n v="1"/>
    <n v="21189.599999999999"/>
    <n v="21189.599999999999"/>
    <x v="1"/>
    <m/>
    <m/>
    <m/>
  </r>
  <r>
    <s v="AF746EM"/>
    <s v="170E30TLA22 EBS"/>
    <s v="3MC"/>
    <s v="3ML"/>
    <n v="0.5"/>
    <n v="0.5"/>
    <m/>
    <m/>
    <m/>
    <m/>
    <m/>
    <m/>
    <m/>
    <m/>
    <m/>
    <d v="2024-02-21T00:00:00"/>
    <m/>
    <d v="2026-12-20T00:00:00"/>
    <d v="2026-12-20T00:00:00"/>
    <s v="diciembre"/>
    <m/>
    <m/>
    <m/>
    <s v="C002892"/>
    <s v="FILTRO DE COMBUSTIBLE (CARTUCHO PREFILTRO) IVECO TECTOR (5801403243)"/>
    <n v="1"/>
    <n v="170000"/>
    <n v="170000"/>
    <x v="1"/>
    <m/>
    <m/>
    <m/>
  </r>
  <r>
    <s v="AF746EM"/>
    <s v="170E30TLA22 EBS"/>
    <s v="6MC"/>
    <s v="6ML"/>
    <n v="0.25"/>
    <n v="0.25"/>
    <m/>
    <m/>
    <m/>
    <m/>
    <m/>
    <m/>
    <m/>
    <m/>
    <m/>
    <d v="2024-02-21T00:00:00"/>
    <m/>
    <d v="2026-12-20T00:00:00"/>
    <d v="2026-12-20T00:00:00"/>
    <s v="diciembre"/>
    <m/>
    <m/>
    <m/>
    <s v="C002891"/>
    <s v="FILTRO DE AIRE (CARTUCHO) IVECO TECTOR (5801640991)"/>
    <n v="1"/>
    <n v="126126.58"/>
    <n v="126126.58"/>
    <x v="1"/>
    <m/>
    <m/>
    <m/>
  </r>
  <r>
    <s v="AF831AF"/>
    <s v="KANGOO II EXPRESS CONFORT 1,5 CDI FURGON"/>
    <s v="2MC"/>
    <s v="2MU"/>
    <n v="0.75"/>
    <n v="0.75"/>
    <m/>
    <m/>
    <m/>
    <m/>
    <m/>
    <m/>
    <m/>
    <m/>
    <m/>
    <d v="2026-02-15T00:00:00"/>
    <m/>
    <d v="2026-02-15T00:00:00"/>
    <d v="2026-02-15T00:00:00"/>
    <s v="febrero"/>
    <m/>
    <m/>
    <m/>
    <s v="C004114"/>
    <s v="ACEITE 5W 30 YPF X 20LTS"/>
    <n v="1"/>
    <n v="11782.62"/>
    <n v="11782.62"/>
    <x v="22"/>
    <m/>
    <m/>
    <m/>
  </r>
  <r>
    <s v="AF831AF"/>
    <s v="KANGOO II EXPRESS CONFORT 1,5 CDI FURGON"/>
    <s v="3MC"/>
    <s v="3MU"/>
    <n v="0.5"/>
    <n v="0.5"/>
    <m/>
    <m/>
    <m/>
    <m/>
    <m/>
    <m/>
    <m/>
    <m/>
    <m/>
    <d v="2026-02-15T00:00:00"/>
    <m/>
    <d v="2026-02-15T00:00:00"/>
    <d v="2026-02-15T00:00:00"/>
    <s v="febrero"/>
    <m/>
    <m/>
    <m/>
    <s v="C003349"/>
    <s v="FILTRO DE COMBUSTIBLE KANGOO 1.5 - MANN PU 9011 z KIT"/>
    <n v="1"/>
    <n v="17040.349999999999"/>
    <n v="17040.349999999999"/>
    <x v="22"/>
    <m/>
    <m/>
    <m/>
  </r>
  <r>
    <s v="AF831AF"/>
    <s v="KANGOO II EXPRESS CONFORT 1,5 CDI FURGON"/>
    <s v="6MC"/>
    <s v="4MU"/>
    <n v="0.25"/>
    <n v="0.25"/>
    <m/>
    <m/>
    <m/>
    <m/>
    <m/>
    <m/>
    <m/>
    <m/>
    <m/>
    <d v="2026-02-15T00:00:00"/>
    <m/>
    <d v="2026-02-15T00:00:00"/>
    <d v="2026-02-15T00:00:00"/>
    <s v="febrero"/>
    <m/>
    <m/>
    <m/>
    <s v="C003346"/>
    <s v="FILTRO DE AIRE KANGOO 1.6/1.5 - MANN C 27 030"/>
    <n v="1"/>
    <n v="8857.74"/>
    <n v="8857.74"/>
    <x v="22"/>
    <m/>
    <m/>
    <m/>
  </r>
  <r>
    <s v="AG095MQ"/>
    <s v="ATEGO 1721 -48"/>
    <s v="2MC"/>
    <s v="2MC"/>
    <n v="0.75"/>
    <n v="0.75"/>
    <m/>
    <m/>
    <m/>
    <m/>
    <m/>
    <m/>
    <m/>
    <m/>
    <m/>
    <d v="2024-10-17T00:00:00"/>
    <m/>
    <d v="2026-10-17T00:00:00"/>
    <d v="2026-10-17T00:00:00"/>
    <s v="octubre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G095MQ"/>
    <s v="ATEGO 1721 -48"/>
    <s v="3MC"/>
    <s v="3MC"/>
    <n v="0.5"/>
    <n v="0.5"/>
    <m/>
    <m/>
    <m/>
    <m/>
    <m/>
    <m/>
    <m/>
    <m/>
    <m/>
    <d v="2024-10-17T00:00:00"/>
    <m/>
    <d v="2026-10-17T00:00:00"/>
    <d v="2026-10-17T00:00:00"/>
    <s v="octubre"/>
    <m/>
    <m/>
    <m/>
    <s v="C001031"/>
    <s v="FILTRO DE COMBUSTIBLE MANN PU1046/1X"/>
    <n v="1"/>
    <n v="10535.04"/>
    <n v="10535.04"/>
    <x v="1"/>
    <m/>
    <m/>
    <m/>
  </r>
  <r>
    <s v="AG095MQ"/>
    <s v="ATEGO 1721 -48"/>
    <s v="6MC"/>
    <s v="6MC"/>
    <n v="0.25"/>
    <n v="0.25"/>
    <m/>
    <m/>
    <m/>
    <m/>
    <m/>
    <m/>
    <m/>
    <m/>
    <m/>
    <d v="2024-10-17T00:00:00"/>
    <m/>
    <d v="2026-10-17T00:00:00"/>
    <d v="2026-10-17T00:00:00"/>
    <s v="octubre"/>
    <m/>
    <m/>
    <m/>
    <s v="C000982"/>
    <s v="FILTRO DE AIRE - MANN C27902"/>
    <n v="1"/>
    <n v="42474.239999999998"/>
    <n v="42474.239999999998"/>
    <x v="1"/>
    <m/>
    <m/>
    <m/>
  </r>
  <r>
    <s v="AG095MR"/>
    <s v="ATEGO 1721 -48"/>
    <s v="2MC"/>
    <s v="2MC"/>
    <n v="0.75"/>
    <n v="0.75"/>
    <m/>
    <m/>
    <m/>
    <m/>
    <m/>
    <m/>
    <m/>
    <m/>
    <m/>
    <d v="2026-12-12T00:00:00"/>
    <m/>
    <d v="2026-12-12T00:00:00"/>
    <d v="2026-12-12T00:00:00"/>
    <s v="diciembre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G095MR"/>
    <s v="ATEGO 1721 -48"/>
    <s v="3MC"/>
    <s v="3MC"/>
    <n v="0.5"/>
    <n v="0.5"/>
    <m/>
    <m/>
    <m/>
    <m/>
    <m/>
    <m/>
    <m/>
    <m/>
    <m/>
    <d v="2026-12-12T00:00:00"/>
    <m/>
    <d v="2026-12-12T00:00:00"/>
    <d v="2026-12-12T00:00:00"/>
    <s v="diciembre"/>
    <m/>
    <m/>
    <m/>
    <s v="C001031"/>
    <s v="FILTRO DE COMBUSTIBLE MANN PU1046/1X"/>
    <n v="1"/>
    <n v="10535.04"/>
    <n v="10535.04"/>
    <x v="1"/>
    <m/>
    <m/>
    <m/>
  </r>
  <r>
    <s v="AG095MR"/>
    <s v="ATEGO 1721 -48"/>
    <s v="6MC"/>
    <s v="6MC"/>
    <n v="0.25"/>
    <n v="0.25"/>
    <m/>
    <m/>
    <m/>
    <m/>
    <m/>
    <m/>
    <m/>
    <m/>
    <m/>
    <d v="2026-12-12T00:00:00"/>
    <m/>
    <d v="2026-12-12T00:00:00"/>
    <d v="2026-12-12T00:00:00"/>
    <s v="diciembre"/>
    <m/>
    <m/>
    <m/>
    <s v="C000982"/>
    <s v="FILTRO DE AIRE - MANN C27902"/>
    <n v="1"/>
    <n v="42474.239999999998"/>
    <n v="42474.239999999998"/>
    <x v="1"/>
    <m/>
    <m/>
    <m/>
  </r>
  <r>
    <s v="AG204ZX"/>
    <s v="ATEGO 1721-48"/>
    <s v="2MC"/>
    <s v="2MC"/>
    <n v="0.75"/>
    <n v="0.75"/>
    <m/>
    <m/>
    <m/>
    <m/>
    <m/>
    <m/>
    <m/>
    <m/>
    <m/>
    <d v="2025-11-04T00:00:00"/>
    <m/>
    <d v="2026-11-04T00:00:00"/>
    <d v="2026-11-04T00:00:00"/>
    <s v="noviembre"/>
    <m/>
    <m/>
    <m/>
    <s v="C002300"/>
    <s v="FILTRO DE ACEITE 6 CILINDROS MB 1725/1726/1933/1624L/1721 OF ELECTRONICO - MANN HU 945/2x"/>
    <n v="1"/>
    <n v="9737.2800000000007"/>
    <n v="9737.2800000000007"/>
    <x v="1"/>
    <m/>
    <m/>
    <m/>
  </r>
  <r>
    <s v="AG204ZX"/>
    <s v="ATEGO 1721-48"/>
    <s v="3MC"/>
    <s v="3MC"/>
    <n v="0.5"/>
    <n v="0.5"/>
    <m/>
    <m/>
    <m/>
    <m/>
    <m/>
    <m/>
    <m/>
    <m/>
    <m/>
    <d v="2025-11-04T00:00:00"/>
    <m/>
    <d v="2026-11-04T00:00:00"/>
    <d v="2026-11-04T00:00:00"/>
    <s v="noviembre"/>
    <m/>
    <m/>
    <m/>
    <s v="C001031"/>
    <s v="FILTRO DE COMBUSTIBLE MANN PU1046/1X"/>
    <n v="1"/>
    <n v="10535.04"/>
    <n v="10535.04"/>
    <x v="1"/>
    <m/>
    <m/>
    <m/>
  </r>
  <r>
    <s v="AG204ZX"/>
    <s v="ATEGO 1721-48"/>
    <s v="6MC"/>
    <s v="6MC"/>
    <n v="0.25"/>
    <n v="0.25"/>
    <m/>
    <m/>
    <m/>
    <m/>
    <m/>
    <m/>
    <m/>
    <m/>
    <m/>
    <d v="2025-11-04T00:00:00"/>
    <m/>
    <d v="2026-11-04T00:00:00"/>
    <d v="2026-11-04T00:00:00"/>
    <s v="noviembre"/>
    <m/>
    <m/>
    <m/>
    <s v="C000982"/>
    <s v="FILTRO DE AIRE - MANN C27902"/>
    <n v="1"/>
    <n v="42474.239999999998"/>
    <n v="42474.239999999998"/>
    <x v="1"/>
    <m/>
    <m/>
    <m/>
  </r>
  <r>
    <s v="BJG486"/>
    <n v="710"/>
    <s v="2MC"/>
    <s v="2MC"/>
    <n v="0.75"/>
    <n v="0.75"/>
    <m/>
    <m/>
    <m/>
    <m/>
    <m/>
    <m/>
    <m/>
    <m/>
    <m/>
    <d v="2026-12-12T00:00:00"/>
    <m/>
    <d v="2026-12-12T00:00:00"/>
    <d v="2026-12-12T00:00:00"/>
    <s v="diciembre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BJG486"/>
    <n v="710"/>
    <s v="3MC"/>
    <s v="3MC"/>
    <n v="0.5"/>
    <n v="0.5"/>
    <m/>
    <m/>
    <m/>
    <m/>
    <m/>
    <m/>
    <m/>
    <m/>
    <m/>
    <d v="2026-12-12T00:00:00"/>
    <m/>
    <d v="2026-12-12T00:00:00"/>
    <d v="2026-12-12T00:00:00"/>
    <s v="diciembre"/>
    <m/>
    <m/>
    <m/>
    <s v="C001031"/>
    <s v="FILTRO DE COMBUSTIBLE MANN PU1046/1X"/>
    <n v="1"/>
    <n v="10535.04"/>
    <n v="10535.04"/>
    <x v="8"/>
    <m/>
    <m/>
    <m/>
  </r>
  <r>
    <s v="BJG486"/>
    <n v="710"/>
    <s v="6MC"/>
    <s v="6MC"/>
    <n v="0.25"/>
    <n v="0.25"/>
    <m/>
    <m/>
    <m/>
    <m/>
    <m/>
    <m/>
    <m/>
    <m/>
    <m/>
    <d v="2026-12-12T00:00:00"/>
    <m/>
    <d v="2026-12-12T00:00:00"/>
    <d v="2026-12-12T00:00:00"/>
    <s v="diciembre"/>
    <m/>
    <m/>
    <m/>
    <s v="C000988"/>
    <s v="FILTRO DE AIRE - MANN C27844"/>
    <n v="1"/>
    <n v="37598.393333332999"/>
    <n v="37598.393333332999"/>
    <x v="8"/>
    <m/>
    <m/>
    <m/>
  </r>
  <r>
    <s v="BJH275"/>
    <n v="1218"/>
    <s v="2MC"/>
    <s v="2MC"/>
    <n v="0.75"/>
    <n v="0.75"/>
    <m/>
    <m/>
    <m/>
    <m/>
    <m/>
    <m/>
    <m/>
    <m/>
    <m/>
    <d v="2024-01-03T00:00:00"/>
    <m/>
    <d v="2026-01-02T00:00:00"/>
    <d v="2026-01-02T00:00:00"/>
    <s v="ener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BJH275"/>
    <n v="1218"/>
    <s v="3MC"/>
    <s v="3MC"/>
    <n v="0.5"/>
    <n v="0.5"/>
    <m/>
    <m/>
    <m/>
    <m/>
    <m/>
    <m/>
    <m/>
    <m/>
    <m/>
    <d v="2024-01-03T00:00:00"/>
    <m/>
    <d v="2026-01-02T00:00:00"/>
    <d v="2026-01-02T00:00:00"/>
    <s v="enero"/>
    <m/>
    <m/>
    <m/>
    <s v="C001031"/>
    <s v="FILTRO DE COMBUSTIBLE MANN PU1046/1X"/>
    <n v="1"/>
    <n v="10535.04"/>
    <n v="10535.04"/>
    <x v="8"/>
    <m/>
    <m/>
    <m/>
  </r>
  <r>
    <s v="BJH275"/>
    <n v="1218"/>
    <s v="6MC"/>
    <s v="6MC"/>
    <n v="0.25"/>
    <n v="0.25"/>
    <m/>
    <m/>
    <m/>
    <m/>
    <m/>
    <m/>
    <m/>
    <m/>
    <m/>
    <d v="2024-01-03T00:00:00"/>
    <m/>
    <d v="2026-01-02T00:00:00"/>
    <d v="2026-01-02T00:00:00"/>
    <s v="enero"/>
    <m/>
    <m/>
    <m/>
    <s v="C000988"/>
    <s v="FILTRO DE AIRE - MANN C27844"/>
    <n v="1"/>
    <n v="37598.393333332999"/>
    <n v="37598.393333332999"/>
    <x v="8"/>
    <m/>
    <m/>
    <m/>
  </r>
  <r>
    <s v="CVF922"/>
    <n v="712"/>
    <s v="2MC"/>
    <s v="2MC"/>
    <n v="0.75"/>
    <n v="0.75"/>
    <m/>
    <m/>
    <m/>
    <m/>
    <m/>
    <m/>
    <m/>
    <m/>
    <m/>
    <d v="2026-12-12T00:00:00"/>
    <m/>
    <d v="2026-12-12T00:00:00"/>
    <d v="2026-12-12T00:00:00"/>
    <s v="diciembre"/>
    <m/>
    <m/>
    <m/>
    <s v="C002301"/>
    <s v="FILTRO DE ACEITE 6 CILINDROS MB 1318/1218/1215/914/712/1418/915/815 - MANN HU931/5X"/>
    <n v="1"/>
    <n v="8513.2800000000007"/>
    <n v="8513.2800000000007"/>
    <x v="17"/>
    <m/>
    <m/>
    <m/>
  </r>
  <r>
    <s v="CVF922"/>
    <n v="712"/>
    <s v="3MC"/>
    <s v="3MC"/>
    <n v="0.5"/>
    <n v="0.5"/>
    <m/>
    <m/>
    <m/>
    <m/>
    <m/>
    <m/>
    <m/>
    <m/>
    <m/>
    <d v="2026-12-12T00:00:00"/>
    <m/>
    <d v="2026-12-12T00:00:00"/>
    <d v="2026-12-12T00:00:00"/>
    <s v="diciembre"/>
    <m/>
    <m/>
    <m/>
    <s v="C001031"/>
    <s v="FILTRO DE COMBUSTIBLE MANN PU1046/1X"/>
    <n v="1"/>
    <n v="10535.04"/>
    <n v="10535.04"/>
    <x v="17"/>
    <m/>
    <m/>
    <m/>
  </r>
  <r>
    <s v="CVF922"/>
    <n v="712"/>
    <s v="6MC"/>
    <s v="6MC"/>
    <n v="0.25"/>
    <n v="0.25"/>
    <m/>
    <m/>
    <m/>
    <m/>
    <m/>
    <m/>
    <m/>
    <m/>
    <m/>
    <d v="2026-12-12T00:00:00"/>
    <m/>
    <d v="2026-12-12T00:00:00"/>
    <d v="2026-12-12T00:00:00"/>
    <s v="diciembre"/>
    <m/>
    <m/>
    <m/>
    <s v="C000988"/>
    <s v="FILTRO DE AIRE - MANN C27844"/>
    <n v="1"/>
    <n v="37165.919999999998"/>
    <n v="37165.919999999998"/>
    <x v="17"/>
    <m/>
    <m/>
    <m/>
  </r>
  <r>
    <s v="DTU738"/>
    <s v="HILUX"/>
    <s v="2MC"/>
    <s v="2MU"/>
    <n v="0.75"/>
    <n v="0.75"/>
    <m/>
    <m/>
    <m/>
    <m/>
    <m/>
    <m/>
    <m/>
    <m/>
    <m/>
    <d v="2025-05-05T00:00:00"/>
    <m/>
    <d v="2026-02-05T00:00:00"/>
    <d v="2026-02-05T00:00:00"/>
    <s v="febrero"/>
    <m/>
    <m/>
    <m/>
    <s v="C002845"/>
    <s v="FILTRO DE ACEITE TOYOTA HILUX - MANN W 940/81"/>
    <n v="1"/>
    <n v="8662.4"/>
    <n v="8662.4"/>
    <x v="22"/>
    <m/>
    <m/>
    <m/>
  </r>
  <r>
    <s v="DTU738"/>
    <s v="HILUX"/>
    <s v="3MC"/>
    <s v="3MU"/>
    <n v="0.5"/>
    <n v="0.5"/>
    <m/>
    <m/>
    <m/>
    <m/>
    <m/>
    <m/>
    <m/>
    <m/>
    <m/>
    <d v="2025-05-05T00:00:00"/>
    <m/>
    <d v="2026-02-05T00:00:00"/>
    <d v="2026-02-05T00:00:00"/>
    <s v="febrero"/>
    <m/>
    <m/>
    <m/>
    <s v="C002847"/>
    <s v="FILTRO DE COMBUSTIBLE TOYOTA HILUX - MANN WK (940/6x)"/>
    <n v="1"/>
    <n v="12579.26"/>
    <n v="12579.26"/>
    <x v="22"/>
    <m/>
    <m/>
    <m/>
  </r>
  <r>
    <s v="DTU738"/>
    <s v="HILUX"/>
    <s v="6MC"/>
    <s v="4MU"/>
    <n v="0.25"/>
    <n v="0.25"/>
    <m/>
    <m/>
    <m/>
    <m/>
    <m/>
    <m/>
    <m/>
    <m/>
    <m/>
    <d v="2025-05-05T00:00:00"/>
    <m/>
    <d v="2026-02-05T00:00:00"/>
    <d v="2026-02-05T00:00:00"/>
    <s v="febrero"/>
    <m/>
    <m/>
    <m/>
    <s v="C002846"/>
    <s v="FILTRO DE AIRE TOYOTA HILUX - MANN (C24 203)"/>
    <n v="1"/>
    <n v="26896.99"/>
    <n v="26896.99"/>
    <x v="22"/>
    <m/>
    <m/>
    <m/>
  </r>
  <r>
    <s v="FEQ601"/>
    <n v="1620"/>
    <s v="2MC"/>
    <s v="2MC"/>
    <n v="0.75"/>
    <n v="0.75"/>
    <m/>
    <m/>
    <m/>
    <m/>
    <m/>
    <m/>
    <m/>
    <m/>
    <m/>
    <d v="2026-02-02T00:00:00"/>
    <m/>
    <d v="2026-02-02T00:00:00"/>
    <d v="2026-02-02T00:00:00"/>
    <s v="febrer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EQ601"/>
    <n v="1620"/>
    <s v="3MC"/>
    <s v="3MC"/>
    <n v="0.5"/>
    <n v="0.5"/>
    <m/>
    <m/>
    <m/>
    <m/>
    <m/>
    <m/>
    <m/>
    <m/>
    <m/>
    <d v="2026-02-02T00:00:00"/>
    <m/>
    <d v="2026-02-02T00:00:00"/>
    <d v="2026-02-02T00:00:00"/>
    <s v="febrero"/>
    <m/>
    <m/>
    <m/>
    <s v="C001031"/>
    <s v="FILTRO DE COMBUSTIBLE MANN PU1046/1X"/>
    <n v="1"/>
    <n v="10535.04"/>
    <n v="10535.04"/>
    <x v="8"/>
    <m/>
    <m/>
    <m/>
  </r>
  <r>
    <s v="FEQ601"/>
    <n v="1620"/>
    <s v="6MC"/>
    <s v="6MC"/>
    <n v="0.25"/>
    <n v="0.25"/>
    <m/>
    <m/>
    <m/>
    <m/>
    <m/>
    <m/>
    <m/>
    <m/>
    <m/>
    <d v="2026-02-02T00:00:00"/>
    <m/>
    <d v="2026-02-02T00:00:00"/>
    <d v="2026-02-02T00:00:00"/>
    <s v="febrero"/>
    <m/>
    <m/>
    <m/>
    <s v="C000982"/>
    <s v="FILTRO DE AIRE - MANN C27902"/>
    <n v="1"/>
    <n v="42474.239999999998"/>
    <n v="42474.239999999998"/>
    <x v="8"/>
    <m/>
    <m/>
    <m/>
  </r>
  <r>
    <s v="FEQ602"/>
    <n v="1620"/>
    <s v="2MC"/>
    <s v="2MC"/>
    <n v="0.75"/>
    <n v="0.75"/>
    <m/>
    <m/>
    <m/>
    <m/>
    <m/>
    <m/>
    <m/>
    <m/>
    <m/>
    <d v="2026-02-02T00:00:00"/>
    <m/>
    <d v="2026-02-02T00:00:00"/>
    <d v="2026-02-02T00:00:00"/>
    <s v="febrer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EQ602"/>
    <n v="1620"/>
    <s v="3MC"/>
    <s v="3MC"/>
    <n v="0.5"/>
    <n v="0.5"/>
    <m/>
    <m/>
    <m/>
    <m/>
    <m/>
    <m/>
    <m/>
    <m/>
    <m/>
    <d v="2026-02-02T00:00:00"/>
    <m/>
    <d v="2026-02-02T00:00:00"/>
    <d v="2026-02-02T00:00:00"/>
    <s v="febrero"/>
    <m/>
    <m/>
    <m/>
    <s v="C001031"/>
    <s v="FILTRO DE COMBUSTIBLE MANN PU1046/1X"/>
    <n v="1"/>
    <n v="10535.04"/>
    <n v="10535.04"/>
    <x v="8"/>
    <m/>
    <m/>
    <m/>
  </r>
  <r>
    <s v="FEQ602"/>
    <n v="1620"/>
    <s v="6MC"/>
    <s v="6MC"/>
    <n v="0.25"/>
    <n v="0.25"/>
    <m/>
    <m/>
    <m/>
    <m/>
    <m/>
    <m/>
    <m/>
    <m/>
    <m/>
    <d v="2026-02-02T00:00:00"/>
    <m/>
    <d v="2026-02-02T00:00:00"/>
    <d v="2026-02-02T00:00:00"/>
    <s v="febrero"/>
    <m/>
    <m/>
    <m/>
    <s v="C000982"/>
    <s v="FILTRO DE AIRE - MANN C27902"/>
    <n v="1"/>
    <n v="42474.239999999998"/>
    <n v="42474.239999999998"/>
    <x v="8"/>
    <m/>
    <m/>
    <m/>
  </r>
  <r>
    <s v="FFO440"/>
    <n v="1620"/>
    <s v="2MC"/>
    <s v="2MC"/>
    <n v="0.75"/>
    <n v="0.75"/>
    <m/>
    <m/>
    <m/>
    <m/>
    <m/>
    <m/>
    <m/>
    <m/>
    <m/>
    <d v="2024-09-12T00:00:00"/>
    <m/>
    <d v="2026-09-12T00:00:00"/>
    <d v="2026-09-12T00:00:00"/>
    <s v="septiembre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FO440"/>
    <n v="1620"/>
    <s v="3MC"/>
    <s v="3MC"/>
    <n v="0.5"/>
    <n v="0.5"/>
    <m/>
    <m/>
    <m/>
    <m/>
    <m/>
    <m/>
    <m/>
    <m/>
    <m/>
    <d v="2024-09-12T00:00:00"/>
    <m/>
    <d v="2026-09-12T00:00:00"/>
    <d v="2026-09-12T00:00:00"/>
    <s v="septiembre"/>
    <m/>
    <m/>
    <m/>
    <s v="C001031"/>
    <s v="FILTRO DE COMBUSTIBLE MANN PU1046/1X"/>
    <n v="1"/>
    <n v="10535.04"/>
    <n v="10535.04"/>
    <x v="8"/>
    <m/>
    <m/>
    <m/>
  </r>
  <r>
    <s v="FFO440"/>
    <n v="1620"/>
    <s v="6MC"/>
    <s v="6MC"/>
    <n v="0.25"/>
    <n v="0.25"/>
    <m/>
    <m/>
    <m/>
    <m/>
    <m/>
    <m/>
    <m/>
    <m/>
    <m/>
    <d v="2024-09-12T00:00:00"/>
    <m/>
    <d v="2026-09-12T00:00:00"/>
    <d v="2026-09-12T00:00:00"/>
    <s v="septiembre"/>
    <m/>
    <m/>
    <m/>
    <s v="C000982"/>
    <s v="FILTRO DE AIRE - MANN C27902"/>
    <n v="1"/>
    <n v="42474.239999999998"/>
    <n v="42474.239999999998"/>
    <x v="8"/>
    <m/>
    <m/>
    <m/>
  </r>
  <r>
    <s v="FFV165"/>
    <n v="1620"/>
    <s v="2MC"/>
    <s v="2MC"/>
    <n v="0.75"/>
    <n v="0.75"/>
    <m/>
    <m/>
    <m/>
    <m/>
    <m/>
    <m/>
    <m/>
    <m/>
    <m/>
    <d v="2024-03-04T00:00:00"/>
    <m/>
    <d v="2026-03-04T00:00:00"/>
    <d v="2026-03-04T00:00:00"/>
    <s v="marz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FV165"/>
    <n v="1620"/>
    <s v="3MC"/>
    <s v="3MC"/>
    <n v="0.5"/>
    <n v="0.5"/>
    <m/>
    <m/>
    <m/>
    <m/>
    <m/>
    <m/>
    <m/>
    <m/>
    <m/>
    <d v="2024-03-04T00:00:00"/>
    <m/>
    <d v="2026-03-04T00:00:00"/>
    <d v="2026-03-04T00:00:00"/>
    <s v="marzo"/>
    <m/>
    <m/>
    <m/>
    <s v="C001031"/>
    <s v="FILTRO DE COMBUSTIBLE MANN PU1046/1X"/>
    <n v="1"/>
    <n v="10535.04"/>
    <n v="10535.04"/>
    <x v="8"/>
    <m/>
    <m/>
    <m/>
  </r>
  <r>
    <s v="FFV165"/>
    <n v="1620"/>
    <s v="6MC"/>
    <s v="6MC"/>
    <n v="0.25"/>
    <n v="0.25"/>
    <m/>
    <m/>
    <m/>
    <m/>
    <m/>
    <m/>
    <m/>
    <m/>
    <m/>
    <d v="2024-03-04T00:00:00"/>
    <m/>
    <d v="2026-03-04T00:00:00"/>
    <d v="2026-03-04T00:00:00"/>
    <s v="marzo"/>
    <m/>
    <m/>
    <m/>
    <s v="C000982"/>
    <s v="FILTRO DE AIRE - MANN C27902"/>
    <n v="1"/>
    <n v="42474.239999999998"/>
    <n v="42474.239999999998"/>
    <x v="8"/>
    <m/>
    <m/>
    <m/>
  </r>
  <r>
    <s v="FFV166"/>
    <n v="1620"/>
    <s v="2MC"/>
    <s v="2MC"/>
    <n v="0.75"/>
    <n v="0.75"/>
    <m/>
    <m/>
    <m/>
    <m/>
    <m/>
    <m/>
    <m/>
    <m/>
    <m/>
    <d v="2024-01-17T00:00:00"/>
    <m/>
    <d v="2026-01-16T00:00:00"/>
    <d v="2026-01-16T00:00:00"/>
    <s v="ener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FV166"/>
    <n v="1620"/>
    <s v="3MC"/>
    <s v="3MC"/>
    <n v="0.5"/>
    <n v="0.5"/>
    <m/>
    <m/>
    <m/>
    <m/>
    <m/>
    <m/>
    <m/>
    <m/>
    <m/>
    <d v="2024-01-17T00:00:00"/>
    <m/>
    <d v="2026-01-16T00:00:00"/>
    <d v="2026-01-16T00:00:00"/>
    <s v="enero"/>
    <m/>
    <m/>
    <m/>
    <s v="C001031"/>
    <s v="FILTRO DE COMBUSTIBLE MANN PU1046/1X"/>
    <n v="1"/>
    <n v="10535.04"/>
    <n v="10535.04"/>
    <x v="8"/>
    <m/>
    <m/>
    <m/>
  </r>
  <r>
    <s v="FFV166"/>
    <n v="1620"/>
    <s v="6MC"/>
    <s v="6MC"/>
    <n v="0.25"/>
    <n v="0.25"/>
    <m/>
    <m/>
    <m/>
    <m/>
    <m/>
    <m/>
    <m/>
    <m/>
    <m/>
    <d v="2024-01-17T00:00:00"/>
    <m/>
    <d v="2026-01-16T00:00:00"/>
    <d v="2026-01-16T00:00:00"/>
    <s v="enero"/>
    <m/>
    <m/>
    <m/>
    <s v="C000982"/>
    <s v="FILTRO DE AIRE - MANN C27902"/>
    <n v="1"/>
    <n v="42474.239999999998"/>
    <n v="42474.239999999998"/>
    <x v="8"/>
    <m/>
    <m/>
    <m/>
  </r>
  <r>
    <s v="FQT892"/>
    <n v="1620"/>
    <s v="2MC"/>
    <s v="2MC"/>
    <n v="0.75"/>
    <n v="0.75"/>
    <m/>
    <m/>
    <m/>
    <m/>
    <m/>
    <m/>
    <m/>
    <m/>
    <m/>
    <d v="2026-02-02T00:00:00"/>
    <m/>
    <d v="2026-02-02T00:00:00"/>
    <d v="2026-02-02T00:00:00"/>
    <s v="febrer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QT892"/>
    <n v="1620"/>
    <s v="3MC"/>
    <s v="3MC"/>
    <n v="0.5"/>
    <n v="0.5"/>
    <m/>
    <m/>
    <m/>
    <m/>
    <m/>
    <m/>
    <m/>
    <m/>
    <m/>
    <d v="2026-02-02T00:00:00"/>
    <m/>
    <d v="2026-02-02T00:00:00"/>
    <d v="2026-02-02T00:00:00"/>
    <s v="febrero"/>
    <m/>
    <m/>
    <m/>
    <s v="C001031"/>
    <s v="FILTRO DE COMBUSTIBLE MANN PU1046/1X"/>
    <n v="1"/>
    <n v="10535.04"/>
    <n v="10535.04"/>
    <x v="8"/>
    <m/>
    <m/>
    <m/>
  </r>
  <r>
    <s v="FQT892"/>
    <n v="1620"/>
    <s v="6MC"/>
    <s v="6MC"/>
    <n v="0.25"/>
    <n v="0.25"/>
    <m/>
    <m/>
    <m/>
    <m/>
    <m/>
    <m/>
    <m/>
    <m/>
    <m/>
    <d v="2026-02-02T00:00:00"/>
    <m/>
    <d v="2026-02-02T00:00:00"/>
    <d v="2026-02-02T00:00:00"/>
    <s v="febrero"/>
    <m/>
    <m/>
    <m/>
    <s v="C000982"/>
    <s v="FILTRO DE AIRE - MANN C27902"/>
    <n v="1"/>
    <n v="42474.239999999998"/>
    <n v="42474.239999999998"/>
    <x v="8"/>
    <m/>
    <m/>
    <m/>
  </r>
  <r>
    <s v="FQT893"/>
    <n v="1620"/>
    <s v="2MC"/>
    <s v="2MC"/>
    <n v="0.75"/>
    <n v="0.75"/>
    <m/>
    <m/>
    <m/>
    <m/>
    <m/>
    <m/>
    <m/>
    <m/>
    <m/>
    <d v="2026-02-02T00:00:00"/>
    <m/>
    <d v="2026-02-02T00:00:00"/>
    <d v="2026-02-02T00:00:00"/>
    <s v="febrer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QT893"/>
    <n v="1620"/>
    <s v="3MC"/>
    <s v="3MC"/>
    <n v="0.5"/>
    <n v="0.5"/>
    <m/>
    <m/>
    <m/>
    <m/>
    <m/>
    <m/>
    <m/>
    <m/>
    <m/>
    <d v="2026-02-02T00:00:00"/>
    <m/>
    <d v="2026-02-02T00:00:00"/>
    <d v="2026-02-02T00:00:00"/>
    <s v="febrero"/>
    <m/>
    <m/>
    <m/>
    <s v="C001031"/>
    <s v="FILTRO DE COMBUSTIBLE MANN PU1046/1X"/>
    <n v="1"/>
    <n v="10535.04"/>
    <n v="10535.04"/>
    <x v="8"/>
    <m/>
    <m/>
    <m/>
  </r>
  <r>
    <s v="FQT893"/>
    <n v="1620"/>
    <s v="6MC"/>
    <s v="6MC"/>
    <n v="0.25"/>
    <n v="0.25"/>
    <m/>
    <m/>
    <m/>
    <m/>
    <m/>
    <m/>
    <m/>
    <m/>
    <m/>
    <d v="2026-02-02T00:00:00"/>
    <m/>
    <d v="2026-02-02T00:00:00"/>
    <d v="2026-02-02T00:00:00"/>
    <s v="febrero"/>
    <m/>
    <m/>
    <m/>
    <s v="C000982"/>
    <s v="FILTRO DE AIRE - MANN C27902"/>
    <n v="1"/>
    <n v="42474.239999999998"/>
    <n v="42474.239999999998"/>
    <x v="8"/>
    <m/>
    <m/>
    <m/>
  </r>
  <r>
    <s v="FVH034"/>
    <n v="710"/>
    <s v="2MC"/>
    <s v="2MC"/>
    <n v="0.75"/>
    <n v="0.75"/>
    <m/>
    <m/>
    <m/>
    <m/>
    <m/>
    <m/>
    <m/>
    <m/>
    <m/>
    <d v="2026-01-25T00:00:00"/>
    <m/>
    <d v="2026-01-25T00:00:00"/>
    <d v="2026-01-25T00:00:00"/>
    <s v="enero"/>
    <m/>
    <m/>
    <m/>
    <s v="C002301"/>
    <s v="FILTRO DE ACEITE 6 CILINDROS MB 1318/1218/1215/914/712/1418/915/815 - MANN HU931/5X"/>
    <n v="1"/>
    <n v="8513.2800000000007"/>
    <n v="8513.2800000000007"/>
    <x v="14"/>
    <m/>
    <m/>
    <m/>
  </r>
  <r>
    <s v="FVH034"/>
    <n v="710"/>
    <s v="3MC"/>
    <s v="3MC"/>
    <n v="0.5"/>
    <n v="0.5"/>
    <m/>
    <m/>
    <m/>
    <m/>
    <m/>
    <m/>
    <m/>
    <m/>
    <m/>
    <d v="2026-01-25T00:00:00"/>
    <m/>
    <d v="2026-01-25T00:00:00"/>
    <d v="2026-01-25T00:00:00"/>
    <s v="enero"/>
    <m/>
    <m/>
    <m/>
    <s v="C001031"/>
    <s v="FILTRO DE COMBUSTIBLE MANN PU1046/1X"/>
    <n v="1"/>
    <n v="10535.04"/>
    <n v="10535.04"/>
    <x v="14"/>
    <m/>
    <m/>
    <m/>
  </r>
  <r>
    <s v="FVH034"/>
    <n v="710"/>
    <s v="6MC"/>
    <s v="6MC"/>
    <n v="0.25"/>
    <n v="0.25"/>
    <m/>
    <m/>
    <m/>
    <m/>
    <m/>
    <m/>
    <m/>
    <m/>
    <m/>
    <d v="2026-01-25T00:00:00"/>
    <m/>
    <d v="2026-01-25T00:00:00"/>
    <d v="2026-01-25T00:00:00"/>
    <s v="enero"/>
    <m/>
    <m/>
    <m/>
    <s v="C000988"/>
    <s v="FILTRO DE AIRE - MANN C27844"/>
    <n v="1"/>
    <n v="37165.919999999998"/>
    <n v="37165.919999999998"/>
    <x v="14"/>
    <m/>
    <m/>
    <m/>
  </r>
  <r>
    <s v="FVK506"/>
    <n v="1620"/>
    <s v="2MC"/>
    <s v="2MC"/>
    <n v="0.75"/>
    <n v="0.75"/>
    <m/>
    <m/>
    <m/>
    <m/>
    <m/>
    <m/>
    <m/>
    <m/>
    <m/>
    <d v="2024-05-28T00:00:00"/>
    <m/>
    <d v="2026-05-28T00:00:00"/>
    <d v="2026-05-28T00:00:00"/>
    <s v="may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VK506"/>
    <n v="1620"/>
    <s v="3MC"/>
    <s v="3MC"/>
    <n v="0.5"/>
    <n v="0.5"/>
    <m/>
    <m/>
    <m/>
    <m/>
    <m/>
    <m/>
    <m/>
    <m/>
    <m/>
    <d v="2024-05-28T00:00:00"/>
    <m/>
    <d v="2026-05-28T00:00:00"/>
    <d v="2026-05-28T00:00:00"/>
    <s v="mayo"/>
    <m/>
    <m/>
    <m/>
    <s v="C001031"/>
    <s v="FILTRO DE COMBUSTIBLE MANN PU1046/1X"/>
    <n v="1"/>
    <n v="10535.04"/>
    <n v="10535.04"/>
    <x v="8"/>
    <m/>
    <m/>
    <m/>
  </r>
  <r>
    <s v="FVK506"/>
    <n v="1620"/>
    <s v="6MC"/>
    <s v="6MC"/>
    <n v="0.25"/>
    <n v="0.25"/>
    <m/>
    <m/>
    <m/>
    <m/>
    <m/>
    <m/>
    <m/>
    <m/>
    <m/>
    <d v="2024-05-28T00:00:00"/>
    <m/>
    <d v="2026-05-28T00:00:00"/>
    <d v="2026-05-28T00:00:00"/>
    <s v="mayo"/>
    <m/>
    <m/>
    <m/>
    <s v="C000982"/>
    <s v="FILTRO DE AIRE - MANN C27902"/>
    <n v="1"/>
    <n v="42474.239999999998"/>
    <n v="42474.239999999998"/>
    <x v="8"/>
    <m/>
    <m/>
    <m/>
  </r>
  <r>
    <s v="FVO107"/>
    <n v="1620"/>
    <s v="2MC"/>
    <s v="2MC"/>
    <n v="0.75"/>
    <n v="0.75"/>
    <m/>
    <m/>
    <m/>
    <m/>
    <m/>
    <m/>
    <m/>
    <m/>
    <m/>
    <d v="2024-07-17T00:00:00"/>
    <m/>
    <d v="2026-07-17T00:00:00"/>
    <d v="2026-07-17T00:00:00"/>
    <s v="juli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FVO107"/>
    <n v="1620"/>
    <s v="3MC"/>
    <s v="3MC"/>
    <n v="0.5"/>
    <n v="0.5"/>
    <m/>
    <m/>
    <m/>
    <m/>
    <m/>
    <m/>
    <m/>
    <m/>
    <m/>
    <d v="2024-07-17T00:00:00"/>
    <m/>
    <d v="2026-07-17T00:00:00"/>
    <d v="2026-07-17T00:00:00"/>
    <s v="julio"/>
    <m/>
    <m/>
    <m/>
    <s v="C001031"/>
    <s v="FILTRO DE COMBUSTIBLE MANN PU1046/1X"/>
    <n v="1"/>
    <n v="10535.04"/>
    <n v="10535.04"/>
    <x v="8"/>
    <m/>
    <m/>
    <m/>
  </r>
  <r>
    <s v="FVO107"/>
    <n v="1620"/>
    <s v="6MC"/>
    <s v="6MC"/>
    <n v="0.25"/>
    <n v="0.25"/>
    <m/>
    <m/>
    <m/>
    <m/>
    <m/>
    <m/>
    <m/>
    <m/>
    <m/>
    <d v="2024-07-17T00:00:00"/>
    <m/>
    <d v="2026-07-17T00:00:00"/>
    <d v="2026-07-17T00:00:00"/>
    <s v="julio"/>
    <m/>
    <m/>
    <m/>
    <s v="C000982"/>
    <s v="FILTRO DE AIRE - MANN C27902"/>
    <n v="1"/>
    <n v="42474.239999999998"/>
    <n v="42474.239999999998"/>
    <x v="8"/>
    <m/>
    <m/>
    <m/>
  </r>
  <r>
    <s v="GEB768"/>
    <n v="1620"/>
    <s v="2MC"/>
    <s v="2MC"/>
    <n v="0.75"/>
    <n v="0.75"/>
    <m/>
    <m/>
    <m/>
    <m/>
    <m/>
    <m/>
    <m/>
    <m/>
    <m/>
    <d v="2024-09-09T00:00:00"/>
    <m/>
    <d v="2026-09-09T00:00:00"/>
    <d v="2026-09-09T00:00:00"/>
    <s v="septiembre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GEB768"/>
    <n v="1620"/>
    <s v="3MC"/>
    <s v="3MC"/>
    <n v="0.5"/>
    <n v="0.5"/>
    <m/>
    <m/>
    <m/>
    <m/>
    <m/>
    <m/>
    <m/>
    <m/>
    <m/>
    <d v="2024-09-09T00:00:00"/>
    <m/>
    <d v="2026-09-09T00:00:00"/>
    <d v="2026-09-09T00:00:00"/>
    <s v="septiembre"/>
    <m/>
    <m/>
    <m/>
    <s v="C001031"/>
    <s v="FILTRO DE COMBUSTIBLE MANN PU1046/1X"/>
    <n v="1"/>
    <n v="10535.04"/>
    <n v="10535.04"/>
    <x v="1"/>
    <m/>
    <m/>
    <m/>
  </r>
  <r>
    <s v="GEB768"/>
    <n v="1620"/>
    <s v="6MC"/>
    <s v="6MC"/>
    <n v="0.25"/>
    <n v="0.25"/>
    <m/>
    <m/>
    <m/>
    <m/>
    <m/>
    <m/>
    <m/>
    <m/>
    <m/>
    <d v="2024-09-09T00:00:00"/>
    <m/>
    <d v="2026-09-09T00:00:00"/>
    <d v="2026-09-09T00:00:00"/>
    <s v="septiembre"/>
    <m/>
    <m/>
    <m/>
    <s v="C000982"/>
    <s v="FILTRO DE AIRE - MANN C27902"/>
    <n v="1"/>
    <n v="42474.239999999998"/>
    <n v="42474.239999999998"/>
    <x v="1"/>
    <m/>
    <m/>
    <m/>
  </r>
  <r>
    <s v="JWV370"/>
    <s v="ATEGO 1418/48 FRONTAL"/>
    <s v="2MC"/>
    <s v="2MC"/>
    <n v="0.75"/>
    <n v="0.75"/>
    <m/>
    <m/>
    <m/>
    <m/>
    <m/>
    <m/>
    <m/>
    <m/>
    <m/>
    <d v="2024-09-16T00:00:00"/>
    <m/>
    <d v="2026-09-16T00:00:00"/>
    <d v="2026-09-16T00:00:00"/>
    <s v="septiembre"/>
    <m/>
    <m/>
    <m/>
    <s v="C002301"/>
    <s v="FILTRO DE ACEITE 6 CILINDROS MB 1318/1218/1215/914/712/1418/915/815 - MANN HU931/5X"/>
    <n v="1"/>
    <n v="8513.2800000000007"/>
    <n v="8513.2800000000007"/>
    <x v="3"/>
    <m/>
    <m/>
    <m/>
  </r>
  <r>
    <s v="JWV370"/>
    <s v="ATEGO 1418/48 FRONTAL"/>
    <s v="3MC"/>
    <s v="3MC"/>
    <n v="0.5"/>
    <n v="0.5"/>
    <m/>
    <m/>
    <m/>
    <m/>
    <m/>
    <m/>
    <m/>
    <m/>
    <m/>
    <d v="2024-09-16T00:00:00"/>
    <m/>
    <d v="2026-09-16T00:00:00"/>
    <d v="2026-09-16T00:00:00"/>
    <s v="septiembre"/>
    <m/>
    <m/>
    <m/>
    <s v="C001031"/>
    <s v="FILTRO DE COMBUSTIBLE MANN PU1046/1X"/>
    <n v="1"/>
    <n v="10535.04"/>
    <n v="10535.04"/>
    <x v="3"/>
    <m/>
    <m/>
    <m/>
  </r>
  <r>
    <s v="JWV370"/>
    <s v="ATEGO 1418/48 FRONTAL"/>
    <s v="6MC"/>
    <s v="6MC"/>
    <n v="0.25"/>
    <n v="0.25"/>
    <m/>
    <m/>
    <m/>
    <m/>
    <m/>
    <m/>
    <m/>
    <m/>
    <m/>
    <d v="2024-09-16T00:00:00"/>
    <m/>
    <d v="2026-09-16T00:00:00"/>
    <d v="2026-09-16T00:00:00"/>
    <s v="septiembre"/>
    <m/>
    <m/>
    <m/>
    <s v="C002482"/>
    <s v="FILTRO DE AIRE MB 2426/AXOR 1933 - MANN C28 1012"/>
    <n v="1"/>
    <n v="49777.919999999998"/>
    <n v="49777.919999999998"/>
    <x v="3"/>
    <m/>
    <m/>
    <m/>
  </r>
  <r>
    <s v="JXZ993"/>
    <s v="ATEGO 1418/48 FRONTAL"/>
    <s v="2MC"/>
    <s v="2MC"/>
    <n v="0.75"/>
    <n v="0.75"/>
    <m/>
    <m/>
    <m/>
    <m/>
    <m/>
    <m/>
    <m/>
    <m/>
    <m/>
    <d v="2024-03-13T00:00:00"/>
    <m/>
    <d v="2026-03-13T00:00:00"/>
    <d v="2026-03-13T00:00:00"/>
    <s v="marz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JXZ993"/>
    <s v="ATEGO 1418/48 FRONTAL"/>
    <s v="3MC"/>
    <s v="3MC"/>
    <n v="0.5"/>
    <n v="0.5"/>
    <m/>
    <m/>
    <m/>
    <m/>
    <m/>
    <m/>
    <m/>
    <m/>
    <m/>
    <d v="2024-03-13T00:00:00"/>
    <m/>
    <d v="2026-03-13T00:00:00"/>
    <d v="2026-03-13T00:00:00"/>
    <s v="marzo"/>
    <m/>
    <m/>
    <m/>
    <s v="C001031"/>
    <s v="FILTRO DE COMBUSTIBLE MANN PU1046/1X"/>
    <n v="1"/>
    <n v="10535.04"/>
    <n v="10535.04"/>
    <x v="8"/>
    <m/>
    <m/>
    <m/>
  </r>
  <r>
    <s v="JXZ993"/>
    <s v="ATEGO 1418/48 FRONTAL"/>
    <s v="6MC"/>
    <s v="6MC"/>
    <n v="0.25"/>
    <n v="0.25"/>
    <m/>
    <m/>
    <m/>
    <m/>
    <m/>
    <m/>
    <m/>
    <m/>
    <m/>
    <d v="2024-03-13T00:00:00"/>
    <m/>
    <d v="2026-03-13T00:00:00"/>
    <d v="2026-03-13T00:00:00"/>
    <s v="marzo"/>
    <m/>
    <m/>
    <m/>
    <s v="C002482"/>
    <s v="FILTRO DE AIRE MB 2426/AXOR 1933 - MANN C28 1012"/>
    <n v="1"/>
    <n v="49777.919999999998"/>
    <n v="49777.919999999998"/>
    <x v="8"/>
    <m/>
    <m/>
    <m/>
  </r>
  <r>
    <s v="KBO540"/>
    <s v="L-1318"/>
    <s v="2MC"/>
    <s v="2MC"/>
    <n v="0.75"/>
    <n v="0.75"/>
    <m/>
    <m/>
    <m/>
    <m/>
    <m/>
    <m/>
    <m/>
    <m/>
    <m/>
    <d v="2024-04-04T00:00:00"/>
    <m/>
    <d v="2026-04-04T00:00:00"/>
    <d v="2026-04-04T00:00:00"/>
    <s v="abril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KBO540"/>
    <s v="L-1318"/>
    <s v="3MC"/>
    <s v="3MC"/>
    <n v="0.5"/>
    <n v="0.5"/>
    <m/>
    <m/>
    <m/>
    <m/>
    <m/>
    <m/>
    <m/>
    <m/>
    <m/>
    <d v="2024-04-04T00:00:00"/>
    <m/>
    <d v="2026-04-04T00:00:00"/>
    <d v="2026-04-04T00:00:00"/>
    <s v="abril"/>
    <m/>
    <m/>
    <m/>
    <s v="C001031"/>
    <s v="FILTRO DE COMBUSTIBLE MANN PU1046/1X"/>
    <n v="1"/>
    <n v="10535.04"/>
    <n v="10535.04"/>
    <x v="8"/>
    <m/>
    <m/>
    <m/>
  </r>
  <r>
    <s v="KBO540"/>
    <s v="L-1318"/>
    <s v="6MC"/>
    <s v="6MC"/>
    <n v="0.25"/>
    <n v="0.25"/>
    <m/>
    <m/>
    <m/>
    <m/>
    <m/>
    <m/>
    <m/>
    <m/>
    <m/>
    <d v="2024-04-04T00:00:00"/>
    <m/>
    <d v="2026-04-04T00:00:00"/>
    <d v="2026-04-04T00:00:00"/>
    <s v="abril"/>
    <m/>
    <m/>
    <m/>
    <s v="C000988"/>
    <s v="FILTRO DE AIRE - MANN C27844"/>
    <n v="1"/>
    <n v="37598.393333332999"/>
    <n v="37598.393333332999"/>
    <x v="8"/>
    <m/>
    <m/>
    <m/>
  </r>
  <r>
    <s v="KER727"/>
    <s v="ATEGO 1418/48 FRONTAL"/>
    <s v="2MC"/>
    <s v="2MC"/>
    <n v="0.75"/>
    <n v="0.75"/>
    <m/>
    <m/>
    <m/>
    <m/>
    <m/>
    <m/>
    <m/>
    <m/>
    <m/>
    <d v="2024-10-24T00:00:00"/>
    <m/>
    <d v="2026-10-24T00:00:00"/>
    <d v="2026-10-24T00:00:00"/>
    <s v="octubre"/>
    <m/>
    <m/>
    <m/>
    <s v="C002301"/>
    <s v="FILTRO DE ACEITE 6 CILINDROS MB 1318/1218/1215/914/712/1418/915/815 - MANN HU931/5X"/>
    <n v="1"/>
    <n v="8513.2800000000007"/>
    <n v="8513.2800000000007"/>
    <x v="10"/>
    <m/>
    <m/>
    <m/>
  </r>
  <r>
    <s v="KER727"/>
    <s v="ATEGO 1418/48 FRONTAL"/>
    <s v="3MC"/>
    <s v="3MC"/>
    <n v="0.5"/>
    <n v="0.5"/>
    <m/>
    <m/>
    <m/>
    <m/>
    <m/>
    <m/>
    <m/>
    <m/>
    <m/>
    <d v="2024-10-24T00:00:00"/>
    <m/>
    <d v="2026-10-24T00:00:00"/>
    <d v="2026-10-24T00:00:00"/>
    <s v="octubre"/>
    <m/>
    <m/>
    <m/>
    <s v="C001031"/>
    <s v="FILTRO DE COMBUSTIBLE MANN PU1046/1X"/>
    <n v="1"/>
    <n v="10535.04"/>
    <n v="10535.04"/>
    <x v="10"/>
    <m/>
    <m/>
    <m/>
  </r>
  <r>
    <s v="KER727"/>
    <s v="ATEGO 1418/48 FRONTAL"/>
    <s v="6MC"/>
    <s v="6MC"/>
    <n v="0.25"/>
    <n v="0.25"/>
    <m/>
    <m/>
    <m/>
    <m/>
    <m/>
    <m/>
    <m/>
    <m/>
    <m/>
    <d v="2024-10-24T00:00:00"/>
    <m/>
    <d v="2026-10-24T00:00:00"/>
    <d v="2026-10-24T00:00:00"/>
    <s v="octubre"/>
    <m/>
    <m/>
    <m/>
    <s v="C002482"/>
    <s v="FILTRO DE AIRE MB 2426/AXOR 1933 - MANN C28 1012"/>
    <n v="1"/>
    <n v="49777.919999999998"/>
    <n v="49777.919999999998"/>
    <x v="10"/>
    <m/>
    <m/>
    <m/>
  </r>
  <r>
    <s v="KHS026"/>
    <s v="ATRON 1720/48  FRONTAL"/>
    <s v="2MC"/>
    <s v="2MC"/>
    <n v="0.75"/>
    <n v="0.75"/>
    <m/>
    <m/>
    <m/>
    <m/>
    <m/>
    <m/>
    <m/>
    <m/>
    <m/>
    <d v="2024-02-27T00:00:00"/>
    <m/>
    <d v="2026-02-26T00:00:00"/>
    <d v="2026-02-26T00:00:00"/>
    <s v="febrer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KHS026"/>
    <s v="ATRON 1720/48  FRONTAL"/>
    <s v="3MC"/>
    <s v="3MC"/>
    <n v="0.5"/>
    <n v="0.5"/>
    <m/>
    <m/>
    <m/>
    <m/>
    <m/>
    <m/>
    <m/>
    <m/>
    <m/>
    <d v="2024-02-27T00:00:00"/>
    <m/>
    <d v="2026-02-26T00:00:00"/>
    <d v="2026-02-26T00:00:00"/>
    <s v="febrero"/>
    <m/>
    <m/>
    <m/>
    <s v="C001031"/>
    <s v="FILTRO DE COMBUSTIBLE MANN PU1046/1X"/>
    <n v="1"/>
    <n v="10535.04"/>
    <n v="10535.04"/>
    <x v="1"/>
    <m/>
    <m/>
    <m/>
  </r>
  <r>
    <s v="KHS026"/>
    <s v="ATRON 1720/48  FRONTAL"/>
    <s v="6MC"/>
    <s v="6MC"/>
    <n v="0.25"/>
    <n v="0.25"/>
    <m/>
    <m/>
    <m/>
    <m/>
    <m/>
    <m/>
    <m/>
    <m/>
    <m/>
    <d v="2024-02-27T00:00:00"/>
    <m/>
    <d v="2026-02-26T00:00:00"/>
    <d v="2026-02-26T00:00:00"/>
    <s v="febrero"/>
    <m/>
    <m/>
    <m/>
    <s v="C000988"/>
    <s v="FILTRO DE AIRE - MANN C27844"/>
    <n v="1"/>
    <n v="37165.919999999998"/>
    <n v="37165.919999999998"/>
    <x v="1"/>
    <m/>
    <m/>
    <m/>
  </r>
  <r>
    <s v="KPQ392"/>
    <s v="ATEGO 1418/48 FRONTAL"/>
    <s v="2MC"/>
    <s v="2MC"/>
    <n v="0.75"/>
    <n v="0.75"/>
    <m/>
    <m/>
    <m/>
    <m/>
    <m/>
    <m/>
    <m/>
    <m/>
    <m/>
    <d v="2024-02-28T00:00:00"/>
    <m/>
    <d v="2026-02-27T00:00:00"/>
    <d v="2026-02-27T00:00:00"/>
    <s v="febrero"/>
    <m/>
    <m/>
    <m/>
    <s v="C002301"/>
    <s v="FILTRO DE ACEITE 6 CILINDROS MB 1318/1218/1215/914/712/1418/915/815 - MANN HU931/5X"/>
    <n v="1"/>
    <n v="8513.2800000000007"/>
    <n v="8513.2800000000007"/>
    <x v="8"/>
    <m/>
    <m/>
    <m/>
  </r>
  <r>
    <s v="KPQ392"/>
    <s v="ATEGO 1418/48 FRONTAL"/>
    <s v="3MC"/>
    <s v="3MC"/>
    <n v="0.5"/>
    <n v="0.5"/>
    <m/>
    <m/>
    <m/>
    <m/>
    <m/>
    <m/>
    <m/>
    <m/>
    <m/>
    <d v="2024-02-28T00:00:00"/>
    <m/>
    <d v="2026-02-27T00:00:00"/>
    <d v="2026-02-27T00:00:00"/>
    <s v="febrero"/>
    <m/>
    <m/>
    <m/>
    <s v="C001031"/>
    <s v="FILTRO DE COMBUSTIBLE MANN PU1046/1X"/>
    <n v="1"/>
    <n v="10535.04"/>
    <n v="10535.04"/>
    <x v="8"/>
    <m/>
    <m/>
    <m/>
  </r>
  <r>
    <s v="KPQ392"/>
    <s v="ATEGO 1418/48 FRONTAL"/>
    <s v="6MC"/>
    <s v="6MC"/>
    <n v="0.25"/>
    <n v="0.25"/>
    <m/>
    <m/>
    <m/>
    <m/>
    <m/>
    <m/>
    <m/>
    <m/>
    <m/>
    <d v="2024-02-28T00:00:00"/>
    <m/>
    <d v="2026-02-27T00:00:00"/>
    <d v="2026-02-27T00:00:00"/>
    <s v="febrero"/>
    <m/>
    <m/>
    <m/>
    <s v="C002482"/>
    <s v="FILTRO DE AIRE MB 2426/AXOR 1933 - MANN C28 1012"/>
    <n v="1"/>
    <n v="49777.919999999998"/>
    <n v="49777.919999999998"/>
    <x v="8"/>
    <m/>
    <m/>
    <m/>
  </r>
  <r>
    <s v="KPQ393"/>
    <s v="ATRON 1720/48  FRONTAL"/>
    <s v="2MC"/>
    <s v="2MC"/>
    <n v="0.75"/>
    <n v="0.75"/>
    <m/>
    <m/>
    <m/>
    <m/>
    <m/>
    <m/>
    <m/>
    <m/>
    <m/>
    <d v="2024-07-10T00:00:00"/>
    <m/>
    <d v="2026-07-10T00:00:00"/>
    <d v="2026-07-10T00:00:00"/>
    <s v="juli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KPQ393"/>
    <s v="ATRON 1720/48  FRONTAL"/>
    <s v="3MC"/>
    <s v="3MC"/>
    <n v="0.5"/>
    <n v="0.5"/>
    <m/>
    <m/>
    <m/>
    <m/>
    <m/>
    <m/>
    <m/>
    <m/>
    <m/>
    <d v="2024-07-10T00:00:00"/>
    <m/>
    <d v="2026-07-10T00:00:00"/>
    <d v="2026-07-10T00:00:00"/>
    <s v="julio"/>
    <m/>
    <m/>
    <m/>
    <s v="C001031"/>
    <s v="FILTRO DE COMBUSTIBLE MANN PU1046/1X"/>
    <n v="1"/>
    <n v="10535.04"/>
    <n v="10535.04"/>
    <x v="1"/>
    <m/>
    <m/>
    <m/>
  </r>
  <r>
    <s v="KPQ393"/>
    <s v="ATRON 1720/48  FRONTAL"/>
    <s v="6MC"/>
    <s v="6MC"/>
    <n v="0.25"/>
    <n v="0.25"/>
    <m/>
    <m/>
    <m/>
    <m/>
    <m/>
    <m/>
    <m/>
    <m/>
    <m/>
    <d v="2024-07-10T00:00:00"/>
    <m/>
    <d v="2026-07-10T00:00:00"/>
    <d v="2026-07-10T00:00:00"/>
    <s v="julio"/>
    <m/>
    <m/>
    <m/>
    <s v="C000988"/>
    <s v="FILTRO DE AIRE - MANN C27844"/>
    <n v="1"/>
    <n v="37165.919999999998"/>
    <n v="37165.919999999998"/>
    <x v="1"/>
    <m/>
    <m/>
    <m/>
  </r>
  <r>
    <s v="NIE149"/>
    <s v="ATRON 1720/48  FRONTAL"/>
    <s v="2MC"/>
    <s v="2MC"/>
    <n v="0.75"/>
    <n v="0.75"/>
    <m/>
    <m/>
    <m/>
    <m/>
    <m/>
    <m/>
    <m/>
    <m/>
    <m/>
    <d v="2025-11-06T00:00:00"/>
    <m/>
    <d v="2026-11-06T00:00:00"/>
    <d v="2026-11-06T00:00:00"/>
    <s v="noviembre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NIE149"/>
    <s v="ATRON 1720/48  FRONTAL"/>
    <s v="3MC"/>
    <s v="3MC"/>
    <n v="0.5"/>
    <n v="0.5"/>
    <m/>
    <m/>
    <m/>
    <m/>
    <m/>
    <m/>
    <m/>
    <m/>
    <m/>
    <d v="2025-11-06T00:00:00"/>
    <m/>
    <d v="2026-11-06T00:00:00"/>
    <d v="2026-11-06T00:00:00"/>
    <s v="noviembre"/>
    <m/>
    <m/>
    <m/>
    <s v="C001031"/>
    <s v="FILTRO DE COMBUSTIBLE MANN PU1046/1X"/>
    <n v="1"/>
    <n v="10535.04"/>
    <n v="10535.04"/>
    <x v="1"/>
    <m/>
    <m/>
    <m/>
  </r>
  <r>
    <s v="NIE149"/>
    <s v="ATRON 1720/48  FRONTAL"/>
    <s v="6MC"/>
    <s v="6MC"/>
    <n v="0.25"/>
    <n v="0.25"/>
    <m/>
    <m/>
    <m/>
    <m/>
    <m/>
    <m/>
    <m/>
    <m/>
    <m/>
    <d v="2025-11-06T00:00:00"/>
    <m/>
    <d v="2026-11-06T00:00:00"/>
    <d v="2026-11-06T00:00:00"/>
    <s v="noviembre"/>
    <m/>
    <m/>
    <m/>
    <s v="C000988"/>
    <s v="FILTRO DE AIRE - MANN C27844"/>
    <n v="1"/>
    <n v="37165.919999999998"/>
    <n v="37165.919999999998"/>
    <x v="1"/>
    <m/>
    <m/>
    <m/>
  </r>
  <r>
    <s v="NVX394"/>
    <s v="RANGER2"/>
    <s v="2MC"/>
    <s v="2MU"/>
    <n v="0.75"/>
    <n v="0.75"/>
    <m/>
    <m/>
    <m/>
    <m/>
    <m/>
    <m/>
    <m/>
    <m/>
    <m/>
    <d v="2024-12-05T00:00:00"/>
    <m/>
    <d v="2026-12-05T00:00:00"/>
    <d v="2026-12-05T00:00:00"/>
    <s v="diciembre"/>
    <m/>
    <m/>
    <m/>
    <s v="C005109"/>
    <s v="FILTRO DE ACEITE FORD RANGER 2,2L (1720612) - MANN HU 7002Z"/>
    <n v="1"/>
    <n v="4196.8599999999997"/>
    <n v="4196.8599999999997"/>
    <x v="27"/>
    <m/>
    <m/>
    <m/>
  </r>
  <r>
    <s v="NVX394"/>
    <s v="RANGER2"/>
    <s v="3MC"/>
    <s v="3MU"/>
    <n v="0.5"/>
    <n v="0.5"/>
    <m/>
    <m/>
    <m/>
    <m/>
    <m/>
    <m/>
    <m/>
    <m/>
    <m/>
    <d v="2024-12-05T00:00:00"/>
    <m/>
    <d v="2026-12-05T00:00:00"/>
    <d v="2026-12-05T00:00:00"/>
    <s v="diciembre"/>
    <m/>
    <m/>
    <m/>
    <s v="C005112"/>
    <s v="FILTRO DE COMBUSTIBLE FORD RANGER 2.2L (39/9155/DD) - MANN PU 9008Z"/>
    <n v="1"/>
    <n v="9020.77"/>
    <n v="9020.77"/>
    <x v="27"/>
    <m/>
    <m/>
    <m/>
  </r>
  <r>
    <s v="NVX394"/>
    <s v="RANGER2"/>
    <s v="6MC"/>
    <s v="4MU"/>
    <n v="0.25"/>
    <n v="0.25"/>
    <m/>
    <m/>
    <m/>
    <m/>
    <m/>
    <m/>
    <m/>
    <m/>
    <m/>
    <d v="2024-12-05T00:00:00"/>
    <m/>
    <d v="2026-12-05T00:00:00"/>
    <d v="2026-12-05T00:00:00"/>
    <s v="diciembre"/>
    <m/>
    <m/>
    <m/>
    <s v="C005110"/>
    <s v="FILTRO DE AIRE FORD RANGER 2.2L (AB39/9601/AB) - MANN C 22 024"/>
    <n v="1"/>
    <n v="13755.87"/>
    <n v="13755.87"/>
    <x v="27"/>
    <m/>
    <m/>
    <m/>
  </r>
  <r>
    <s v="OHH589"/>
    <s v="ATRON 1720/48  FRONTAL"/>
    <s v="2MC"/>
    <s v="2MC"/>
    <n v="0.75"/>
    <n v="0.75"/>
    <m/>
    <m/>
    <m/>
    <m/>
    <m/>
    <m/>
    <m/>
    <m/>
    <m/>
    <d v="2024-05-10T00:00:00"/>
    <m/>
    <d v="2026-05-10T00:00:00"/>
    <d v="2026-05-10T00:00:00"/>
    <s v="may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OHH589"/>
    <s v="ATRON 1720/48  FRONTAL"/>
    <s v="3MC"/>
    <s v="3MC"/>
    <n v="0.5"/>
    <n v="0.5"/>
    <m/>
    <m/>
    <m/>
    <m/>
    <m/>
    <m/>
    <m/>
    <m/>
    <m/>
    <d v="2024-05-10T00:00:00"/>
    <m/>
    <d v="2026-05-10T00:00:00"/>
    <d v="2026-05-10T00:00:00"/>
    <s v="mayo"/>
    <m/>
    <m/>
    <m/>
    <s v="C001031"/>
    <s v="FILTRO DE COMBUSTIBLE MANN PU1046/1X"/>
    <n v="1"/>
    <n v="10535.04"/>
    <n v="10535.04"/>
    <x v="1"/>
    <m/>
    <m/>
    <m/>
  </r>
  <r>
    <s v="OHH589"/>
    <s v="ATRON 1720/48  FRONTAL"/>
    <s v="6MC"/>
    <s v="6MC"/>
    <n v="0.25"/>
    <n v="0.25"/>
    <m/>
    <m/>
    <m/>
    <m/>
    <m/>
    <m/>
    <m/>
    <m/>
    <m/>
    <d v="2024-05-10T00:00:00"/>
    <m/>
    <d v="2026-05-10T00:00:00"/>
    <d v="2026-05-10T00:00:00"/>
    <s v="mayo"/>
    <m/>
    <m/>
    <m/>
    <s v="C000988"/>
    <s v="FILTRO DE AIRE - MANN C27844"/>
    <n v="1"/>
    <n v="37165.919999999998"/>
    <n v="37165.919999999998"/>
    <x v="1"/>
    <m/>
    <m/>
    <m/>
  </r>
  <r>
    <s v="OHH592"/>
    <s v="ATRON 1720/48  FRONTAL"/>
    <s v="2MC"/>
    <s v="2MC"/>
    <n v="0.75"/>
    <n v="0.75"/>
    <m/>
    <m/>
    <m/>
    <m/>
    <m/>
    <m/>
    <m/>
    <m/>
    <m/>
    <d v="2024-05-20T00:00:00"/>
    <m/>
    <d v="2026-05-20T00:00:00"/>
    <d v="2026-05-20T00:00:00"/>
    <s v="mayo"/>
    <m/>
    <m/>
    <m/>
    <s v="C002301"/>
    <s v="FILTRO DE ACEITE 6 CILINDROS MB 1318/1218/1215/914/712/1418/915/815 - MANN HU931/5X"/>
    <n v="1"/>
    <n v="8513.2800000000007"/>
    <n v="8513.2800000000007"/>
    <x v="1"/>
    <m/>
    <m/>
    <m/>
  </r>
  <r>
    <s v="OHH592"/>
    <s v="ATRON 1720/48  FRONTAL"/>
    <s v="3MC"/>
    <s v="3MC"/>
    <n v="0.5"/>
    <n v="0.5"/>
    <m/>
    <m/>
    <m/>
    <m/>
    <m/>
    <m/>
    <m/>
    <m/>
    <m/>
    <d v="2024-05-20T00:00:00"/>
    <m/>
    <d v="2026-05-20T00:00:00"/>
    <d v="2026-05-20T00:00:00"/>
    <s v="mayo"/>
    <m/>
    <m/>
    <m/>
    <s v="C001031"/>
    <s v="FILTRO DE COMBUSTIBLE MANN PU1046/1X"/>
    <n v="1"/>
    <n v="10535.04"/>
    <n v="10535.04"/>
    <x v="1"/>
    <m/>
    <m/>
    <m/>
  </r>
  <r>
    <s v="OHH592"/>
    <s v="ATRON 1720/48  FRONTAL"/>
    <s v="6MC"/>
    <s v="6MC"/>
    <n v="0.25"/>
    <n v="0.25"/>
    <m/>
    <m/>
    <m/>
    <m/>
    <m/>
    <m/>
    <m/>
    <m/>
    <m/>
    <d v="2024-05-20T00:00:00"/>
    <m/>
    <d v="2026-05-20T00:00:00"/>
    <d v="2026-05-20T00:00:00"/>
    <s v="mayo"/>
    <m/>
    <m/>
    <m/>
    <s v="C000988"/>
    <s v="FILTRO DE AIRE - MANN C27844"/>
    <n v="1"/>
    <n v="37165.919999999998"/>
    <n v="37165.919999999998"/>
    <x v="1"/>
    <m/>
    <m/>
    <m/>
  </r>
  <r>
    <s v="RNX412"/>
    <s v="1633"/>
    <s v="2MC"/>
    <s v="2ML"/>
    <n v="0.75"/>
    <n v="0.75"/>
    <m/>
    <m/>
    <m/>
    <m/>
    <m/>
    <m/>
    <m/>
    <m/>
    <m/>
    <d v="2024-04-22T00:00:00"/>
    <m/>
    <d v="2026-04-22T00:00:00"/>
    <d v="2026-04-22T00:00:00"/>
    <s v="abril"/>
    <m/>
    <m/>
    <m/>
    <s v="C003701"/>
    <s v="FILTRO DE ACEITE MB 1625/1628/1630/1632/1633/2325 - MANN H1275X"/>
    <n v="1"/>
    <n v="42100"/>
    <n v="42100"/>
    <x v="15"/>
    <m/>
    <m/>
    <m/>
  </r>
  <r>
    <s v="RNX412"/>
    <s v="1633"/>
    <s v="3MC"/>
    <s v="3ML"/>
    <n v="0.5"/>
    <n v="0.5"/>
    <m/>
    <m/>
    <m/>
    <m/>
    <m/>
    <m/>
    <m/>
    <m/>
    <m/>
    <d v="2024-04-22T00:00:00"/>
    <m/>
    <d v="2026-04-22T00:00:00"/>
    <d v="2026-04-22T00:00:00"/>
    <s v="abril"/>
    <m/>
    <m/>
    <m/>
    <s v="C000995"/>
    <s v="FILTRO DE COMBUSTIBLE MANN WK1156"/>
    <n v="1"/>
    <n v="23207.05"/>
    <n v="23207.05"/>
    <x v="15"/>
    <m/>
    <m/>
    <m/>
  </r>
  <r>
    <s v="RNX412"/>
    <s v="1633"/>
    <s v="6MC"/>
    <s v="6ML"/>
    <n v="0.25"/>
    <n v="0.25"/>
    <m/>
    <m/>
    <m/>
    <m/>
    <m/>
    <m/>
    <m/>
    <m/>
    <m/>
    <d v="2024-04-22T00:00:00"/>
    <m/>
    <d v="2026-04-22T00:00:00"/>
    <d v="2026-04-22T00:00:00"/>
    <s v="abril"/>
    <m/>
    <m/>
    <m/>
    <s v="C004089"/>
    <s v="FILTRO DE AIRE PRIMARIO MB 1633 - MANN C 24 650/1"/>
    <n v="1"/>
    <n v="35911.769999999997"/>
    <n v="35911.769999999997"/>
    <x v="15"/>
    <m/>
    <m/>
    <m/>
  </r>
  <r>
    <s v="SOC883"/>
    <s v="LS 1632-45/51"/>
    <s v="2MC"/>
    <s v="2ML"/>
    <n v="0.75"/>
    <n v="0.75"/>
    <m/>
    <m/>
    <m/>
    <m/>
    <m/>
    <m/>
    <m/>
    <m/>
    <m/>
    <d v="2026-01-25T00:00:00"/>
    <m/>
    <d v="2026-01-25T00:00:00"/>
    <d v="2026-01-25T00:00:00"/>
    <s v="enero"/>
    <m/>
    <m/>
    <m/>
    <s v="C003701"/>
    <s v="FILTRO DE ACEITE MB 1625/1628/1630/1632/1633/2325 - MANN H1275X"/>
    <n v="1"/>
    <n v="42100"/>
    <n v="42100"/>
    <x v="15"/>
    <m/>
    <m/>
    <m/>
  </r>
  <r>
    <s v="SOC883"/>
    <s v="LS 1632-45/51"/>
    <s v="3MC"/>
    <s v="3ML"/>
    <n v="0.5"/>
    <n v="0.5"/>
    <m/>
    <m/>
    <m/>
    <m/>
    <m/>
    <m/>
    <m/>
    <m/>
    <m/>
    <d v="2026-01-25T00:00:00"/>
    <m/>
    <d v="2026-01-25T00:00:00"/>
    <d v="2026-01-25T00:00:00"/>
    <s v="enero"/>
    <m/>
    <m/>
    <m/>
    <s v="C002153"/>
    <s v="FILTRO DE COMBUSTIBLE MB 1633"/>
    <n v="1"/>
    <n v="53100"/>
    <n v="53100"/>
    <x v="15"/>
    <m/>
    <m/>
    <m/>
  </r>
  <r>
    <s v="SOC883"/>
    <s v="LS 1632-45/51"/>
    <s v="6MC"/>
    <s v="6ML"/>
    <n v="0.25"/>
    <n v="0.25"/>
    <m/>
    <m/>
    <m/>
    <m/>
    <m/>
    <m/>
    <m/>
    <m/>
    <m/>
    <d v="2026-01-25T00:00:00"/>
    <m/>
    <d v="2026-01-25T00:00:00"/>
    <d v="2026-01-25T00:00:00"/>
    <s v="enero"/>
    <m/>
    <m/>
    <m/>
    <s v="C004089"/>
    <s v="FILTRO DE AIRE PRIMARIO MB 1633 - MANN C 24 650/1"/>
    <n v="1"/>
    <n v="35911.769999999997"/>
    <n v="35911.769999999997"/>
    <x v="15"/>
    <m/>
    <m/>
    <m/>
  </r>
  <r>
    <s v="TLH736"/>
    <n v="710"/>
    <s v="2MC"/>
    <s v="2MC"/>
    <n v="0.75"/>
    <n v="0.75"/>
    <m/>
    <m/>
    <m/>
    <m/>
    <m/>
    <m/>
    <m/>
    <m/>
    <m/>
    <d v="2026-01-25T00:00:00"/>
    <m/>
    <d v="2026-01-25T00:00:00"/>
    <d v="2026-01-25T00:00:00"/>
    <s v="enero"/>
    <m/>
    <m/>
    <m/>
    <s v="C002301"/>
    <s v="FILTRO DE ACEITE 6 CILINDROS MB 1318/1218/1215/914/712/1418/915/815 - MANN HU931/5X"/>
    <n v="1"/>
    <n v="8513.2800000000007"/>
    <n v="8513.2800000000007"/>
    <x v="14"/>
    <m/>
    <m/>
    <m/>
  </r>
  <r>
    <s v="TLH736"/>
    <n v="710"/>
    <s v="3MC"/>
    <s v="3MC"/>
    <n v="0.5"/>
    <n v="0.5"/>
    <m/>
    <m/>
    <m/>
    <m/>
    <m/>
    <m/>
    <m/>
    <m/>
    <m/>
    <d v="2026-01-25T00:00:00"/>
    <m/>
    <d v="2026-01-25T00:00:00"/>
    <d v="2026-01-25T00:00:00"/>
    <s v="enero"/>
    <m/>
    <m/>
    <m/>
    <s v="C001031"/>
    <s v="FILTRO DE COMBUSTIBLE MANN PU1046/1X"/>
    <n v="1"/>
    <n v="10535.04"/>
    <n v="10535.04"/>
    <x v="14"/>
    <m/>
    <m/>
    <m/>
  </r>
  <r>
    <s v="TLH736"/>
    <n v="710"/>
    <s v="6MC"/>
    <s v="6MC"/>
    <n v="0.25"/>
    <n v="0.25"/>
    <m/>
    <m/>
    <m/>
    <m/>
    <m/>
    <m/>
    <m/>
    <m/>
    <m/>
    <d v="2026-01-25T00:00:00"/>
    <m/>
    <d v="2026-01-25T00:00:00"/>
    <d v="2026-01-25T00:00:00"/>
    <s v="enero"/>
    <m/>
    <m/>
    <m/>
    <s v="C000988"/>
    <s v="FILTRO DE AIRE - MANN C27844"/>
    <n v="1"/>
    <n v="37165.919999999998"/>
    <n v="37165.919999999998"/>
    <x v="14"/>
    <m/>
    <m/>
    <m/>
  </r>
  <r>
    <s v="TTV899"/>
    <s v="1114"/>
    <s v="2MC"/>
    <s v="2MC"/>
    <n v="0.75"/>
    <n v="0.75"/>
    <m/>
    <m/>
    <m/>
    <m/>
    <m/>
    <m/>
    <m/>
    <m/>
    <m/>
    <d v="2026-01-25T00:00:00"/>
    <m/>
    <d v="2026-01-25T00:00:00"/>
    <d v="2026-01-25T00:00:00"/>
    <s v="enero"/>
    <m/>
    <m/>
    <m/>
    <s v="C001511"/>
    <s v="FILTRO DE ACEITE MB 1114 (A 000 184 86 25) ORIGINAL"/>
    <n v="1"/>
    <n v="4196.8599999999997"/>
    <n v="4196.8599999999997"/>
    <x v="8"/>
    <m/>
    <m/>
    <m/>
  </r>
  <r>
    <s v="TTV899"/>
    <s v="1114"/>
    <s v="3MC"/>
    <s v="3MC"/>
    <n v="0.5"/>
    <n v="0.5"/>
    <m/>
    <m/>
    <m/>
    <m/>
    <m/>
    <m/>
    <m/>
    <m/>
    <m/>
    <d v="2026-01-25T00:00:00"/>
    <m/>
    <d v="2026-01-25T00:00:00"/>
    <d v="2026-01-25T00:00:00"/>
    <s v="enero"/>
    <m/>
    <m/>
    <m/>
    <s v="C003969"/>
    <s v="FILTRO DE COMBUSTIBLE MB 1114/1218/1318/1418/1517 - WIX WF10261"/>
    <n v="1"/>
    <n v="2756"/>
    <n v="2756"/>
    <x v="8"/>
    <m/>
    <m/>
    <m/>
  </r>
  <r>
    <s v="TTV899"/>
    <s v="1114"/>
    <s v="6MC"/>
    <s v="6MC"/>
    <n v="0.25"/>
    <n v="0.25"/>
    <m/>
    <m/>
    <m/>
    <m/>
    <m/>
    <m/>
    <m/>
    <m/>
    <m/>
    <d v="2026-01-25T00:00:00"/>
    <m/>
    <d v="2026-01-25T00:00:00"/>
    <d v="2026-01-25T00:00:00"/>
    <s v="enero"/>
    <m/>
    <m/>
    <m/>
    <s v="C003169"/>
    <s v="FILTRO DE AIRE MB 1114/1620/710 - MANN C20 325/2"/>
    <n v="1"/>
    <n v="13755.87"/>
    <n v="13755.87"/>
    <x v="8"/>
    <m/>
    <m/>
    <m/>
  </r>
  <r>
    <s v="AF491HM"/>
    <s v="SPRINTER 516 CDI FURGON 4325"/>
    <s v="6MC"/>
    <s v="5MU"/>
    <n v="0.25"/>
    <n v="0.25"/>
    <m/>
    <m/>
    <m/>
    <m/>
    <m/>
    <m/>
    <m/>
    <m/>
    <m/>
    <d v="2025-08-13T00:00:00"/>
    <m/>
    <d v="2026-08-13T00:00:00"/>
    <d v="2026-08-13T00:00:00"/>
    <s v="agosto"/>
    <m/>
    <m/>
    <m/>
    <s v="C003079"/>
    <s v="FILTRO DE HABITACULO SPRINTER 316 - MANN CU 30012"/>
    <n v="1"/>
    <n v="18045.55"/>
    <n v="18045.55"/>
    <x v="22"/>
    <m/>
    <m/>
    <m/>
  </r>
  <r>
    <s v="AF831AF"/>
    <s v="KANGOO II EXPRESS CONFORT 1,5 CDI FURGON"/>
    <s v="6MC"/>
    <s v="5MU"/>
    <n v="0.25"/>
    <n v="0.25"/>
    <m/>
    <m/>
    <m/>
    <m/>
    <m/>
    <m/>
    <m/>
    <m/>
    <m/>
    <d v="2026-02-15T00:00:00"/>
    <m/>
    <d v="2026-02-15T00:00:00"/>
    <d v="2026-02-15T00:00:00"/>
    <s v="febrero"/>
    <m/>
    <m/>
    <m/>
    <s v="C003348"/>
    <s v="FILTRO DE HABITACULO KANGOO 1.6/1.5 - MANN CU 25 012"/>
    <n v="1"/>
    <n v="7060.88"/>
    <n v="7060.88"/>
    <x v="22"/>
    <m/>
    <m/>
    <m/>
  </r>
  <r>
    <s v="NVX394"/>
    <s v="RANGER2"/>
    <s v="6MC"/>
    <s v="5MU"/>
    <n v="0.25"/>
    <n v="0.25"/>
    <m/>
    <m/>
    <m/>
    <m/>
    <m/>
    <m/>
    <m/>
    <m/>
    <m/>
    <d v="2024-12-05T00:00:00"/>
    <m/>
    <d v="2026-12-05T00:00:00"/>
    <d v="2026-12-05T00:00:00"/>
    <s v="diciembre"/>
    <m/>
    <m/>
    <m/>
    <s v="C005113"/>
    <s v="FILTRO DE HABITACULO FORD RANGER 2.2L (AB39/19N619/AA) - MANN CU 24 006"/>
    <n v="1"/>
    <n v="6633.35"/>
    <n v="6633.35"/>
    <x v="27"/>
    <m/>
    <m/>
    <m/>
  </r>
  <r>
    <s v="AB320YW"/>
    <s v="B66 - ATEGO 2426"/>
    <s v="2MC"/>
    <s v="2MC"/>
    <n v="0.75"/>
    <s v="Cambio De Aceite Y Filtro De Motor"/>
    <m/>
    <m/>
    <m/>
    <m/>
    <m/>
    <m/>
    <m/>
    <m/>
    <m/>
    <d v="2025-11-12T00:00:00"/>
    <m/>
    <d v="2026-11-12T00:00:00"/>
    <d v="2026-11-12T00:00:00"/>
    <s v="noviembre"/>
    <m/>
    <m/>
    <m/>
    <s v="C000313"/>
    <s v="ACEITE 15W40 XV300 X 205LT (TAMBOR)"/>
    <n v="16"/>
    <n v="3389.9"/>
    <n v="54238.400000000001"/>
    <x v="3"/>
    <m/>
    <m/>
    <m/>
  </r>
  <r>
    <s v="AF066NZ"/>
    <s v="BX-170E28 MLC SIN EBS"/>
    <s v="2MC"/>
    <s v="2MC"/>
    <n v="0.75"/>
    <s v="Cambio De Aceite Y Filtro De Motor"/>
    <m/>
    <m/>
    <m/>
    <m/>
    <m/>
    <m/>
    <m/>
    <m/>
    <m/>
    <d v="2024-10-17T00:00:00"/>
    <m/>
    <d v="2026-10-17T00:00:00"/>
    <d v="2026-10-17T00:00:00"/>
    <s v="octubre"/>
    <m/>
    <m/>
    <m/>
    <s v="C000313"/>
    <s v="ACEITE 15W40 XV300 X 205LT (TAMBOR)"/>
    <n v="16"/>
    <n v="3389.9"/>
    <n v="54238.400000000001"/>
    <x v="1"/>
    <m/>
    <m/>
    <m/>
  </r>
  <r>
    <s v="AF088EA"/>
    <s v="DL-170E28NCM51 SIN EBS"/>
    <s v="2MC"/>
    <s v="2MC"/>
    <n v="0.75"/>
    <s v="Cambio De Aceite Y Filtro De Motor"/>
    <m/>
    <m/>
    <m/>
    <m/>
    <m/>
    <m/>
    <m/>
    <m/>
    <m/>
    <d v="2024-11-12T00:00:00"/>
    <m/>
    <d v="2026-11-12T00:00:00"/>
    <d v="2026-11-12T00:00:00"/>
    <s v="noviembre"/>
    <m/>
    <m/>
    <m/>
    <s v="C000313"/>
    <s v="ACEITE 15W40 XV300 X 205LT (TAMBOR)"/>
    <n v="16"/>
    <n v="3389.9"/>
    <n v="54238.400000000001"/>
    <x v="1"/>
    <m/>
    <m/>
    <m/>
  </r>
  <r>
    <s v="AF114FP"/>
    <s v="BX-170E28 MLC SIN EBS"/>
    <s v="2MC"/>
    <s v="2MC"/>
    <n v="0.75"/>
    <s v="Cambio De Aceite Y Filtro De Motor"/>
    <m/>
    <m/>
    <m/>
    <m/>
    <m/>
    <m/>
    <m/>
    <m/>
    <m/>
    <d v="2024-09-17T00:00:00"/>
    <m/>
    <d v="2026-09-17T00:00:00"/>
    <d v="2026-09-17T00:00:00"/>
    <s v="septiembre"/>
    <m/>
    <m/>
    <m/>
    <s v="C000313"/>
    <s v="ACEITE 15W40 XV300 X 205LT (TAMBOR)"/>
    <n v="16"/>
    <n v="3389.9"/>
    <n v="54238.400000000001"/>
    <x v="1"/>
    <m/>
    <m/>
    <m/>
  </r>
  <r>
    <s v="AF444TW"/>
    <s v="BX-170E28 MLC"/>
    <s v="2MC"/>
    <s v="2MC"/>
    <n v="0.75"/>
    <s v="Cambio De Aceite Y Filtro De Motor"/>
    <m/>
    <m/>
    <m/>
    <m/>
    <m/>
    <m/>
    <m/>
    <m/>
    <m/>
    <d v="2025-01-22T00:00:00"/>
    <m/>
    <d v="2026-11-15T00:00:00"/>
    <d v="2026-11-15T00:00:00"/>
    <s v="noviembre"/>
    <m/>
    <m/>
    <m/>
    <s v="C000313"/>
    <s v="ACEITE 15W40 XV300 X 205LT (TAMBOR)"/>
    <n v="16"/>
    <n v="3389.9"/>
    <n v="54238.400000000001"/>
    <x v="1"/>
    <m/>
    <m/>
    <m/>
  </r>
  <r>
    <s v="AF491HM"/>
    <s v="SPRINTER 516 CDI FURGON 4325"/>
    <s v="2MC"/>
    <s v="2MU"/>
    <n v="0.75"/>
    <s v="Cambio De Aceite Y Filtro De Motor"/>
    <m/>
    <m/>
    <m/>
    <m/>
    <m/>
    <m/>
    <m/>
    <m/>
    <m/>
    <d v="2025-08-13T00:00:00"/>
    <m/>
    <d v="2026-08-13T00:00:00"/>
    <d v="2026-08-13T00:00:00"/>
    <s v="agosto"/>
    <m/>
    <m/>
    <m/>
    <s v="C003082"/>
    <s v="ACEITE 5W 40 YPF x 20LTS"/>
    <n v="1"/>
    <n v="12001.14"/>
    <n v="12001.14"/>
    <x v="22"/>
    <m/>
    <m/>
    <m/>
  </r>
  <r>
    <s v="AF746EM"/>
    <s v="170E30TLA22 EBS"/>
    <s v="2MC"/>
    <s v="2ML"/>
    <n v="0.75"/>
    <s v="Cambio De Aceite Y Filtro De Motor"/>
    <m/>
    <m/>
    <m/>
    <m/>
    <m/>
    <m/>
    <m/>
    <m/>
    <m/>
    <d v="2024-02-21T00:00:00"/>
    <m/>
    <d v="2026-12-20T00:00:00"/>
    <d v="2026-12-20T00:00:00"/>
    <s v="diciembre"/>
    <m/>
    <m/>
    <m/>
    <s v="C000313"/>
    <s v="ACEITE 15W40 XV300 X 205LT (TAMBOR)"/>
    <n v="30"/>
    <n v="3389.9"/>
    <n v="54238.400000000001"/>
    <x v="1"/>
    <m/>
    <m/>
    <m/>
  </r>
  <r>
    <s v="AF831AF"/>
    <s v="KANGOO II EXPRESS CONFORT 1,5 CDI FURGON"/>
    <s v="2MC"/>
    <s v="2MU"/>
    <n v="0.75"/>
    <s v="Cambio De Aceite Y Filtro De Motor"/>
    <m/>
    <m/>
    <m/>
    <m/>
    <m/>
    <m/>
    <m/>
    <m/>
    <m/>
    <d v="2026-02-15T00:00:00"/>
    <m/>
    <d v="2026-02-15T00:00:00"/>
    <d v="2026-02-15T00:00:00"/>
    <s v="febrero"/>
    <m/>
    <m/>
    <m/>
    <s v="C004114"/>
    <s v="ACEITE 5W 30 YPF X 20LTS"/>
    <n v="1"/>
    <n v="11782.62"/>
    <n v="11782.62"/>
    <x v="22"/>
    <m/>
    <m/>
    <m/>
  </r>
  <r>
    <s v="AG095MQ"/>
    <s v="ATEGO 1721 -48"/>
    <s v="2MC"/>
    <s v="2MC"/>
    <n v="0.75"/>
    <s v="Cambio De Aceite Y Filtro De Motor"/>
    <m/>
    <m/>
    <m/>
    <m/>
    <m/>
    <m/>
    <m/>
    <m/>
    <m/>
    <d v="2024-10-17T00:00:00"/>
    <m/>
    <d v="2026-10-17T00:00:00"/>
    <d v="2026-10-17T00:00:00"/>
    <s v="octubre"/>
    <m/>
    <m/>
    <m/>
    <s v="C000313"/>
    <s v="ACEITE 15W40 XV300 X 205LT (TAMBOR)"/>
    <n v="16"/>
    <n v="3389.9"/>
    <n v="54238.400000000001"/>
    <x v="1"/>
    <m/>
    <m/>
    <m/>
  </r>
  <r>
    <s v="AG095MR"/>
    <s v="ATEGO 1721 -48"/>
    <s v="2MC"/>
    <s v="2MC"/>
    <n v="0.75"/>
    <s v="Cambio De Aceite Y Filtro De Motor"/>
    <m/>
    <m/>
    <m/>
    <m/>
    <m/>
    <m/>
    <m/>
    <m/>
    <m/>
    <d v="2026-12-12T00:00:00"/>
    <m/>
    <d v="2026-12-12T00:00:00"/>
    <d v="2026-12-12T00:00:00"/>
    <s v="diciembre"/>
    <m/>
    <m/>
    <m/>
    <s v="C000313"/>
    <s v="ACEITE 15W40 XV300 X 205LT (TAMBOR)"/>
    <n v="16"/>
    <n v="3389.9"/>
    <n v="54238.400000000001"/>
    <x v="1"/>
    <m/>
    <m/>
    <m/>
  </r>
  <r>
    <s v="AG204ZX"/>
    <s v="ATEGO 1721-48"/>
    <s v="2MC"/>
    <s v="2MC"/>
    <n v="0.75"/>
    <s v="Cambio De Aceite Y Filtro De Motor"/>
    <m/>
    <m/>
    <m/>
    <m/>
    <m/>
    <m/>
    <m/>
    <m/>
    <m/>
    <d v="2025-11-04T00:00:00"/>
    <m/>
    <d v="2026-11-04T00:00:00"/>
    <d v="2026-11-04T00:00:00"/>
    <s v="noviembre"/>
    <m/>
    <m/>
    <m/>
    <s v="C000313"/>
    <s v="ACEITE 15W40 XV300 X 205LT (TAMBOR)"/>
    <n v="16"/>
    <n v="3389.9"/>
    <n v="54238.400000000001"/>
    <x v="1"/>
    <m/>
    <m/>
    <m/>
  </r>
  <r>
    <s v="BJG486"/>
    <n v="710"/>
    <s v="2MC"/>
    <s v="2MC"/>
    <n v="0.75"/>
    <s v="Cambio De Aceite Y Filtro De Motor"/>
    <m/>
    <m/>
    <m/>
    <m/>
    <m/>
    <m/>
    <m/>
    <m/>
    <m/>
    <d v="2026-12-12T00:00:00"/>
    <m/>
    <d v="2026-12-12T00:00:00"/>
    <d v="2026-12-12T00:00:00"/>
    <s v="diciembre"/>
    <m/>
    <m/>
    <m/>
    <s v="C000313"/>
    <s v="ACEITE 15W40 XV300 X 205LT (TAMBOR)"/>
    <n v="15"/>
    <n v="3389.9"/>
    <n v="50848.5"/>
    <x v="8"/>
    <m/>
    <m/>
    <m/>
  </r>
  <r>
    <s v="BJH275"/>
    <n v="1218"/>
    <s v="2MC"/>
    <s v="2MC"/>
    <n v="0.75"/>
    <s v="Cambio De Aceite Y Filtro De Motor"/>
    <m/>
    <m/>
    <m/>
    <m/>
    <m/>
    <m/>
    <m/>
    <m/>
    <m/>
    <d v="2024-01-03T00:00:00"/>
    <m/>
    <d v="2026-01-02T00:00:00"/>
    <d v="2026-01-02T00:00:00"/>
    <s v="enero"/>
    <m/>
    <m/>
    <m/>
    <s v="C000313"/>
    <s v="ACEITE 15W40 XV300 X 205LT (TAMBOR)"/>
    <n v="15"/>
    <n v="3389.9"/>
    <n v="50848.5"/>
    <x v="8"/>
    <m/>
    <m/>
    <m/>
  </r>
  <r>
    <s v="CVF922"/>
    <n v="712"/>
    <s v="2MC"/>
    <s v="2MC"/>
    <n v="0.75"/>
    <s v="Cambio De Aceite Y Filtro De Motor"/>
    <m/>
    <m/>
    <m/>
    <m/>
    <m/>
    <m/>
    <m/>
    <m/>
    <m/>
    <d v="2026-12-12T00:00:00"/>
    <m/>
    <d v="2026-12-12T00:00:00"/>
    <d v="2026-12-12T00:00:00"/>
    <s v="diciembre"/>
    <m/>
    <m/>
    <m/>
    <s v="C000313"/>
    <s v="ACEITE 15W40 XV300 X 205LT (TAMBOR)"/>
    <n v="16"/>
    <n v="3389.9"/>
    <n v="54238.400000000001"/>
    <x v="17"/>
    <m/>
    <m/>
    <m/>
  </r>
  <r>
    <s v="DTU738"/>
    <s v="HILUX"/>
    <s v="2MC"/>
    <s v="2MU"/>
    <n v="0.75"/>
    <s v="Cambio De Aceite Y Filtro De Motor"/>
    <m/>
    <m/>
    <m/>
    <m/>
    <m/>
    <m/>
    <m/>
    <m/>
    <m/>
    <d v="2025-05-05T00:00:00"/>
    <m/>
    <d v="2026-02-05T00:00:00"/>
    <d v="2026-02-05T00:00:00"/>
    <s v="febrero"/>
    <m/>
    <m/>
    <m/>
    <s v="C000313"/>
    <s v="ACEITE 15W40 XV300 X 205LT (TAMBOR)"/>
    <n v="6"/>
    <n v="3392.18"/>
    <n v="20353.079999999998"/>
    <x v="22"/>
    <m/>
    <m/>
    <m/>
  </r>
  <r>
    <s v="FEQ601"/>
    <n v="1620"/>
    <s v="2MC"/>
    <s v="2MC"/>
    <n v="0.75"/>
    <s v="Cambio De Aceite Y Filtro De Motor"/>
    <m/>
    <m/>
    <m/>
    <m/>
    <m/>
    <m/>
    <m/>
    <m/>
    <m/>
    <d v="2026-02-02T00:00:00"/>
    <m/>
    <d v="2026-02-02T00:00:00"/>
    <d v="2026-02-02T00:00:00"/>
    <s v="febrero"/>
    <m/>
    <m/>
    <m/>
    <s v="C000313"/>
    <s v="ACEITE 15W40 XV300 X 205LT (TAMBOR)"/>
    <n v="20"/>
    <n v="3389.9"/>
    <n v="67798"/>
    <x v="8"/>
    <m/>
    <m/>
    <m/>
  </r>
  <r>
    <s v="FEQ602"/>
    <n v="1620"/>
    <s v="2MC"/>
    <s v="2MC"/>
    <n v="0.75"/>
    <s v="Cambio De Aceite Y Filtro De Motor"/>
    <m/>
    <m/>
    <m/>
    <m/>
    <m/>
    <m/>
    <m/>
    <m/>
    <m/>
    <d v="2026-02-02T00:00:00"/>
    <m/>
    <d v="2026-02-02T00:00:00"/>
    <d v="2026-02-02T00:00:00"/>
    <s v="febrero"/>
    <m/>
    <m/>
    <m/>
    <s v="C000313"/>
    <s v="ACEITE 15W40 XV300 X 205LT (TAMBOR)"/>
    <n v="20"/>
    <n v="3389.9"/>
    <n v="67798"/>
    <x v="8"/>
    <m/>
    <m/>
    <m/>
  </r>
  <r>
    <s v="FFO440"/>
    <n v="1620"/>
    <s v="2MC"/>
    <s v="2MC"/>
    <n v="0.75"/>
    <s v="Cambio De Aceite Y Filtro De Motor"/>
    <m/>
    <m/>
    <m/>
    <m/>
    <m/>
    <m/>
    <m/>
    <m/>
    <m/>
    <d v="2024-09-12T00:00:00"/>
    <m/>
    <d v="2026-09-12T00:00:00"/>
    <d v="2026-09-12T00:00:00"/>
    <s v="septiembre"/>
    <m/>
    <m/>
    <m/>
    <s v="C000313"/>
    <s v="ACEITE 15W40 XV300 X 205LT (TAMBOR)"/>
    <n v="20"/>
    <n v="3389.9"/>
    <n v="67798"/>
    <x v="8"/>
    <m/>
    <m/>
    <m/>
  </r>
  <r>
    <s v="FFV165"/>
    <n v="1620"/>
    <s v="2MC"/>
    <s v="2MC"/>
    <n v="0.75"/>
    <s v="Cambio De Aceite Y Filtro De Motor"/>
    <m/>
    <m/>
    <m/>
    <m/>
    <m/>
    <m/>
    <m/>
    <m/>
    <m/>
    <d v="2024-03-04T00:00:00"/>
    <m/>
    <d v="2026-03-04T00:00:00"/>
    <d v="2026-03-04T00:00:00"/>
    <s v="marzo"/>
    <m/>
    <m/>
    <m/>
    <s v="C000313"/>
    <s v="ACEITE 15W40 XV300 X 205LT (TAMBOR)"/>
    <n v="20"/>
    <n v="3389.9"/>
    <n v="67798"/>
    <x v="8"/>
    <m/>
    <m/>
    <m/>
  </r>
  <r>
    <s v="FFV166"/>
    <n v="1620"/>
    <s v="2MC"/>
    <s v="2MC"/>
    <n v="0.75"/>
    <s v="Cambio De Aceite Y Filtro De Motor"/>
    <m/>
    <m/>
    <m/>
    <m/>
    <m/>
    <m/>
    <m/>
    <m/>
    <m/>
    <d v="2024-01-17T00:00:00"/>
    <m/>
    <d v="2026-01-16T00:00:00"/>
    <d v="2026-01-16T00:00:00"/>
    <s v="enero"/>
    <m/>
    <m/>
    <m/>
    <s v="C000313"/>
    <s v="ACEITE 15W40 XV300 X 205LT (TAMBOR)"/>
    <n v="20"/>
    <n v="3389.9"/>
    <n v="67798"/>
    <x v="8"/>
    <m/>
    <m/>
    <m/>
  </r>
  <r>
    <s v="FQT892"/>
    <n v="1620"/>
    <s v="2MC"/>
    <s v="2MC"/>
    <n v="0.75"/>
    <s v="Cambio De Aceite Y Filtro De Motor"/>
    <m/>
    <m/>
    <m/>
    <m/>
    <m/>
    <m/>
    <m/>
    <m/>
    <m/>
    <d v="2026-02-02T00:00:00"/>
    <m/>
    <d v="2026-02-02T00:00:00"/>
    <d v="2026-02-02T00:00:00"/>
    <s v="febrero"/>
    <m/>
    <m/>
    <m/>
    <s v="C000313"/>
    <s v="ACEITE 15W40 XV300 X 205LT (TAMBOR)"/>
    <n v="20"/>
    <n v="3389.9"/>
    <n v="67798"/>
    <x v="8"/>
    <m/>
    <m/>
    <m/>
  </r>
  <r>
    <s v="FQT893"/>
    <n v="1620"/>
    <s v="2MC"/>
    <s v="2MC"/>
    <n v="0.75"/>
    <s v="Cambio De Aceite Y Filtro De Motor"/>
    <m/>
    <m/>
    <m/>
    <m/>
    <m/>
    <m/>
    <m/>
    <m/>
    <m/>
    <d v="2026-02-02T00:00:00"/>
    <m/>
    <d v="2026-02-02T00:00:00"/>
    <d v="2026-02-02T00:00:00"/>
    <s v="febrero"/>
    <m/>
    <m/>
    <m/>
    <s v="C000313"/>
    <s v="ACEITE 15W40 XV300 X 205LT (TAMBOR)"/>
    <n v="20"/>
    <n v="3389.9"/>
    <n v="67798"/>
    <x v="8"/>
    <m/>
    <m/>
    <m/>
  </r>
  <r>
    <s v="FVH034"/>
    <n v="710"/>
    <s v="2MC"/>
    <s v="2MC"/>
    <n v="0.75"/>
    <s v="Cambio De Aceite Y Filtro De Motor"/>
    <m/>
    <m/>
    <m/>
    <m/>
    <m/>
    <m/>
    <m/>
    <m/>
    <m/>
    <d v="2026-01-25T00:00:00"/>
    <m/>
    <d v="2026-01-25T00:00:00"/>
    <d v="2026-01-25T00:00:00"/>
    <s v="enero"/>
    <m/>
    <m/>
    <m/>
    <s v="C000313"/>
    <s v="ACEITE 15W40 XV300 X 205LT (TAMBOR)"/>
    <n v="16"/>
    <n v="3389.9"/>
    <n v="54238.400000000001"/>
    <x v="14"/>
    <m/>
    <m/>
    <m/>
  </r>
  <r>
    <s v="FVK506"/>
    <n v="1620"/>
    <s v="2MC"/>
    <s v="2MC"/>
    <n v="0.75"/>
    <s v="Cambio De Aceite Y Filtro De Motor"/>
    <m/>
    <m/>
    <m/>
    <m/>
    <m/>
    <m/>
    <m/>
    <m/>
    <m/>
    <d v="2024-05-28T00:00:00"/>
    <m/>
    <d v="2026-05-28T00:00:00"/>
    <d v="2026-05-28T00:00:00"/>
    <s v="mayo"/>
    <m/>
    <m/>
    <m/>
    <s v="C000313"/>
    <s v="ACEITE 15W40 XV300 X 205LT (TAMBOR)"/>
    <n v="20"/>
    <n v="3389.9"/>
    <n v="67798"/>
    <x v="8"/>
    <m/>
    <m/>
    <m/>
  </r>
  <r>
    <s v="FVO107"/>
    <n v="1620"/>
    <s v="2MC"/>
    <s v="2MC"/>
    <n v="0.75"/>
    <s v="Cambio De Aceite Y Filtro De Motor"/>
    <m/>
    <m/>
    <m/>
    <m/>
    <m/>
    <m/>
    <m/>
    <m/>
    <m/>
    <d v="2024-07-17T00:00:00"/>
    <m/>
    <d v="2026-07-17T00:00:00"/>
    <d v="2026-07-17T00:00:00"/>
    <s v="julio"/>
    <m/>
    <m/>
    <m/>
    <s v="C000313"/>
    <s v="ACEITE 15W40 XV300 X 205LT (TAMBOR)"/>
    <n v="20"/>
    <n v="3389.9"/>
    <n v="67798"/>
    <x v="8"/>
    <m/>
    <m/>
    <m/>
  </r>
  <r>
    <s v="GEB768"/>
    <n v="1620"/>
    <s v="2MC"/>
    <s v="2MC"/>
    <n v="0.75"/>
    <s v="Cambio De Aceite Y Filtro De Motor"/>
    <m/>
    <m/>
    <m/>
    <m/>
    <m/>
    <m/>
    <m/>
    <m/>
    <m/>
    <d v="2024-09-09T00:00:00"/>
    <m/>
    <d v="2026-09-09T00:00:00"/>
    <d v="2026-09-09T00:00:00"/>
    <s v="septiembre"/>
    <m/>
    <m/>
    <m/>
    <s v="C000313"/>
    <s v="ACEITE 15W40 XV300 X 205LT (TAMBOR)"/>
    <n v="16"/>
    <n v="3389.9"/>
    <n v="54238.400000000001"/>
    <x v="1"/>
    <m/>
    <m/>
    <m/>
  </r>
  <r>
    <s v="JWV370"/>
    <s v="ATEGO 1418/48 FRONTAL"/>
    <s v="2MC"/>
    <s v="2MC"/>
    <n v="0.75"/>
    <s v="Cambio De Aceite Y Filtro De Motor"/>
    <m/>
    <m/>
    <m/>
    <m/>
    <m/>
    <m/>
    <m/>
    <m/>
    <m/>
    <d v="2024-09-16T00:00:00"/>
    <m/>
    <d v="2026-09-16T00:00:00"/>
    <d v="2026-09-16T00:00:00"/>
    <s v="septiembre"/>
    <m/>
    <m/>
    <m/>
    <s v="C000313"/>
    <s v="ACEITE 15W40 XV300 X 205LT (TAMBOR)"/>
    <n v="16"/>
    <n v="3389.9"/>
    <n v="54238.400000000001"/>
    <x v="3"/>
    <m/>
    <m/>
    <m/>
  </r>
  <r>
    <s v="JXZ993"/>
    <s v="ATEGO 1418/48 FRONTAL"/>
    <s v="2MC"/>
    <s v="2MC"/>
    <n v="0.75"/>
    <s v="Cambio De Aceite Y Filtro De Motor"/>
    <m/>
    <m/>
    <m/>
    <m/>
    <m/>
    <m/>
    <m/>
    <m/>
    <m/>
    <d v="2024-03-13T00:00:00"/>
    <m/>
    <d v="2026-03-13T00:00:00"/>
    <d v="2026-03-13T00:00:00"/>
    <s v="marzo"/>
    <m/>
    <m/>
    <m/>
    <s v="C000313"/>
    <s v="ACEITE 15W40 XV300 X 205LT (TAMBOR)"/>
    <n v="30"/>
    <n v="3389.9"/>
    <n v="101697"/>
    <x v="8"/>
    <m/>
    <m/>
    <m/>
  </r>
  <r>
    <s v="KBO540"/>
    <s v="L-1318"/>
    <s v="2MC"/>
    <s v="2MC"/>
    <n v="0.75"/>
    <s v="Cambio De Aceite Y Filtro De Motor"/>
    <m/>
    <m/>
    <m/>
    <m/>
    <m/>
    <m/>
    <m/>
    <m/>
    <m/>
    <d v="2024-04-04T00:00:00"/>
    <m/>
    <d v="2026-04-04T00:00:00"/>
    <d v="2026-04-04T00:00:00"/>
    <s v="abril"/>
    <m/>
    <m/>
    <m/>
    <s v="C000313"/>
    <s v="ACEITE 15W40 XV300 X 205LT (TAMBOR)"/>
    <n v="30"/>
    <n v="3389.9"/>
    <n v="101697"/>
    <x v="8"/>
    <m/>
    <m/>
    <m/>
  </r>
  <r>
    <s v="KER727"/>
    <s v="ATEGO 1418/48 FRONTAL"/>
    <s v="2MC"/>
    <s v="2MC"/>
    <n v="0.75"/>
    <s v="Cambio De Aceite Y Filtro De Motor"/>
    <m/>
    <m/>
    <m/>
    <m/>
    <m/>
    <m/>
    <m/>
    <m/>
    <m/>
    <d v="2024-10-24T00:00:00"/>
    <m/>
    <d v="2026-10-24T00:00:00"/>
    <d v="2026-10-24T00:00:00"/>
    <s v="octubre"/>
    <m/>
    <m/>
    <m/>
    <s v="C000313"/>
    <s v="ACEITE 15W40 XV300 X 205LT (TAMBOR)"/>
    <n v="16"/>
    <n v="3389.9"/>
    <n v="54238.400000000001"/>
    <x v="10"/>
    <m/>
    <m/>
    <m/>
  </r>
  <r>
    <s v="KHS026"/>
    <s v="ATRON 1720/48  FRONTAL"/>
    <s v="2MC"/>
    <s v="2MC"/>
    <n v="0.75"/>
    <s v="Cambio De Aceite Y Filtro De Motor"/>
    <m/>
    <m/>
    <m/>
    <m/>
    <m/>
    <m/>
    <m/>
    <m/>
    <m/>
    <d v="2024-02-27T00:00:00"/>
    <m/>
    <d v="2026-02-26T00:00:00"/>
    <d v="2026-02-26T00:00:00"/>
    <s v="febrero"/>
    <m/>
    <m/>
    <m/>
    <s v="C000313"/>
    <s v="ACEITE 15W40 XV300 X 205LT (TAMBOR)"/>
    <n v="16"/>
    <n v="3389.9"/>
    <n v="54238.400000000001"/>
    <x v="1"/>
    <m/>
    <m/>
    <m/>
  </r>
  <r>
    <s v="KPQ392"/>
    <s v="ATEGO 1418/48 FRONTAL"/>
    <s v="2MC"/>
    <s v="2MC"/>
    <n v="0.75"/>
    <s v="Cambio De Aceite Y Filtro De Motor"/>
    <m/>
    <m/>
    <m/>
    <m/>
    <m/>
    <m/>
    <m/>
    <m/>
    <m/>
    <d v="2024-02-28T00:00:00"/>
    <m/>
    <d v="2026-02-27T00:00:00"/>
    <d v="2026-02-27T00:00:00"/>
    <s v="febrero"/>
    <m/>
    <m/>
    <m/>
    <s v="C000313"/>
    <s v="ACEITE 15W40 XV300 X 205LT (TAMBOR)"/>
    <n v="30"/>
    <n v="3389.9"/>
    <n v="101697"/>
    <x v="8"/>
    <m/>
    <m/>
    <m/>
  </r>
  <r>
    <s v="KPQ393"/>
    <s v="ATRON 1720/48  FRONTAL"/>
    <s v="2MC"/>
    <s v="2MC"/>
    <n v="0.75"/>
    <s v="Cambio De Aceite Y Filtro De Motor"/>
    <m/>
    <m/>
    <m/>
    <m/>
    <m/>
    <m/>
    <m/>
    <m/>
    <m/>
    <d v="2024-07-10T00:00:00"/>
    <m/>
    <d v="2026-07-10T00:00:00"/>
    <d v="2026-07-10T00:00:00"/>
    <s v="julio"/>
    <m/>
    <m/>
    <m/>
    <s v="C000313"/>
    <s v="ACEITE 15W40 XV300 X 205LT (TAMBOR)"/>
    <n v="16"/>
    <n v="3389.9"/>
    <n v="54238.400000000001"/>
    <x v="1"/>
    <m/>
    <m/>
    <m/>
  </r>
  <r>
    <s v="NIE149"/>
    <s v="ATRON 1720/48  FRONTAL"/>
    <s v="2MC"/>
    <s v="2MC"/>
    <n v="0.75"/>
    <s v="Cambio De Aceite Y Filtro De Motor"/>
    <m/>
    <m/>
    <m/>
    <m/>
    <m/>
    <m/>
    <m/>
    <m/>
    <m/>
    <d v="2025-11-06T00:00:00"/>
    <m/>
    <d v="2026-11-06T00:00:00"/>
    <d v="2026-11-06T00:00:00"/>
    <s v="noviembre"/>
    <m/>
    <m/>
    <m/>
    <s v="C000313"/>
    <s v="ACEITE 15W40 XV300 X 205LT (TAMBOR)"/>
    <n v="16"/>
    <n v="3389.9"/>
    <n v="54238.400000000001"/>
    <x v="1"/>
    <m/>
    <m/>
    <m/>
  </r>
  <r>
    <s v="NVX394"/>
    <s v="RANGER2"/>
    <s v="2MC"/>
    <s v="2MU"/>
    <n v="0.75"/>
    <s v="Cambio De Aceite Y Filtro De Motor"/>
    <m/>
    <m/>
    <m/>
    <m/>
    <m/>
    <m/>
    <m/>
    <m/>
    <m/>
    <d v="2024-12-05T00:00:00"/>
    <m/>
    <d v="2026-12-05T00:00:00"/>
    <d v="2026-12-05T00:00:00"/>
    <s v="diciembre"/>
    <m/>
    <m/>
    <m/>
    <s v="C004114"/>
    <s v="ACEITE 5W 30 YPF X 20LTS"/>
    <n v="8.5"/>
    <n v="11782.62"/>
    <n v="100152.27"/>
    <x v="27"/>
    <m/>
    <m/>
    <m/>
  </r>
  <r>
    <s v="OHH589"/>
    <s v="ATRON 1720/48  FRONTAL"/>
    <s v="2MC"/>
    <s v="2MC"/>
    <n v="0.75"/>
    <s v="Cambio De Aceite Y Filtro De Motor"/>
    <m/>
    <m/>
    <m/>
    <m/>
    <m/>
    <m/>
    <m/>
    <m/>
    <m/>
    <d v="2024-05-10T00:00:00"/>
    <m/>
    <d v="2026-05-10T00:00:00"/>
    <d v="2026-05-10T00:00:00"/>
    <s v="mayo"/>
    <m/>
    <m/>
    <m/>
    <s v="C000313"/>
    <s v="ACEITE 15W40 XV300 X 205LT (TAMBOR)"/>
    <n v="16"/>
    <n v="3389.9"/>
    <n v="54238.400000000001"/>
    <x v="1"/>
    <m/>
    <m/>
    <m/>
  </r>
  <r>
    <s v="OHH592"/>
    <s v="ATRON 1720/48  FRONTAL"/>
    <s v="2MC"/>
    <s v="2MC"/>
    <n v="0.75"/>
    <s v="Cambio De Aceite Y Filtro De Motor"/>
    <m/>
    <m/>
    <m/>
    <m/>
    <m/>
    <m/>
    <m/>
    <m/>
    <m/>
    <d v="2024-05-20T00:00:00"/>
    <m/>
    <d v="2026-05-20T00:00:00"/>
    <d v="2026-05-20T00:00:00"/>
    <s v="mayo"/>
    <m/>
    <m/>
    <m/>
    <s v="C000313"/>
    <s v="ACEITE 15W40 XV300 X 205LT (TAMBOR)"/>
    <n v="16"/>
    <n v="3389.9"/>
    <n v="54238.400000000001"/>
    <x v="1"/>
    <m/>
    <m/>
    <m/>
  </r>
  <r>
    <s v="RNX412"/>
    <s v="1633"/>
    <s v="2MC"/>
    <s v="2ML"/>
    <n v="0.75"/>
    <s v="Cambio De Aceite Y Filtro De Motor"/>
    <m/>
    <m/>
    <m/>
    <m/>
    <m/>
    <m/>
    <m/>
    <m/>
    <m/>
    <d v="2024-04-22T00:00:00"/>
    <m/>
    <d v="2026-04-22T00:00:00"/>
    <d v="2026-04-22T00:00:00"/>
    <s v="abril"/>
    <m/>
    <m/>
    <m/>
    <s v="C000313"/>
    <s v="ACEITE 15W40 XV300 X 205LT (TAMBOR)"/>
    <n v="29"/>
    <n v="3389.9"/>
    <n v="98307.1"/>
    <x v="15"/>
    <m/>
    <m/>
    <m/>
  </r>
  <r>
    <s v="SOC883"/>
    <s v="LS 1632-45/51"/>
    <s v="2MC"/>
    <s v="2ML"/>
    <n v="0.75"/>
    <s v="Cambio De Aceite Y Filtro De Motor"/>
    <m/>
    <m/>
    <m/>
    <m/>
    <m/>
    <m/>
    <m/>
    <m/>
    <m/>
    <d v="2026-01-25T00:00:00"/>
    <m/>
    <d v="2026-01-25T00:00:00"/>
    <d v="2026-01-25T00:00:00"/>
    <s v="enero"/>
    <m/>
    <m/>
    <m/>
    <s v="C000313"/>
    <s v="ACEITE 15W40 XV300 X 205LT (TAMBOR)"/>
    <n v="30"/>
    <n v="3392.18"/>
    <n v="101765.4"/>
    <x v="15"/>
    <m/>
    <m/>
    <m/>
  </r>
  <r>
    <s v="TLH736"/>
    <n v="710"/>
    <s v="2MC"/>
    <s v="2MC"/>
    <n v="0.75"/>
    <s v="Cambio De Aceite Y Filtro De Motor"/>
    <m/>
    <m/>
    <m/>
    <m/>
    <m/>
    <m/>
    <m/>
    <m/>
    <m/>
    <d v="2026-01-25T00:00:00"/>
    <m/>
    <d v="2026-01-25T00:00:00"/>
    <d v="2026-01-25T00:00:00"/>
    <s v="enero"/>
    <m/>
    <m/>
    <m/>
    <s v="C000313"/>
    <s v="ACEITE 15W40 XV300 X 205LT (TAMBOR)"/>
    <n v="16"/>
    <n v="3389.9"/>
    <n v="54238.400000000001"/>
    <x v="14"/>
    <m/>
    <m/>
    <m/>
  </r>
  <r>
    <s v="TTV899"/>
    <s v="1114"/>
    <s v="2MC"/>
    <s v="2MC"/>
    <n v="0.75"/>
    <s v="Cambio De Aceite Y Filtro De Motor"/>
    <m/>
    <m/>
    <m/>
    <m/>
    <m/>
    <m/>
    <m/>
    <m/>
    <m/>
    <d v="2026-01-25T00:00:00"/>
    <m/>
    <d v="2026-01-25T00:00:00"/>
    <d v="2026-01-25T00:00:00"/>
    <s v="enero"/>
    <m/>
    <m/>
    <m/>
    <s v="C000313"/>
    <s v="ACEITE 15W40 XV300 X 205LT (TAMBOR)"/>
    <n v="15"/>
    <n v="3392.18"/>
    <n v="50882.7"/>
    <x v="8"/>
    <m/>
    <m/>
    <m/>
  </r>
  <r>
    <s v="OAF641"/>
    <s v="G310 A4X2"/>
    <s v="2ML 4"/>
    <s v="2ML"/>
    <n v="0.75"/>
    <s v="Cambio De Aceite Y Filtro De Motor"/>
    <d v="2025-09-01T00:00:00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01-17T00:00:00"/>
    <s v="enero"/>
    <s v="Activo"/>
    <m/>
    <m/>
    <s v="C000313"/>
    <s v="ACEITE 15W40 XV300 X 205LT (TAMBOR)"/>
    <n v="39"/>
    <n v="3389.9"/>
    <n v="132206.1"/>
    <x v="15"/>
    <n v="155645.55952380961"/>
    <d v="2026-01-17T00:00:00"/>
    <n v="1"/>
  </r>
  <r>
    <s v="OAF641"/>
    <s v="G310 A4X2"/>
    <s v="2ML 4"/>
    <s v="2ML"/>
    <n v="0.75"/>
    <s v="Cambio De Aceite Y Filtro De Motor"/>
    <d v="2026-01-17T00:00:00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03-28T08:27:06"/>
    <s v="marzo"/>
    <s v="Activo"/>
    <m/>
    <m/>
    <s v="C000313"/>
    <s v="ACEITE 15W40 XV300 X 205LT (TAMBOR)"/>
    <n v="39"/>
    <n v="3389.9"/>
    <n v="132206.1"/>
    <x v="15"/>
    <n v="155645.55952380961"/>
    <d v="2026-03-28T08:27:06"/>
    <n v="2"/>
  </r>
  <r>
    <s v="OAF641"/>
    <s v="G310 A4X2"/>
    <s v="2ML 4"/>
    <s v="2ML"/>
    <n v="0.75"/>
    <s v="Cambio De Aceite Y Filtro De Motor"/>
    <d v="2026-03-28T08:27:06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06-06T16:54:12"/>
    <s v="junio"/>
    <s v="Activo"/>
    <m/>
    <m/>
    <s v="C000313"/>
    <s v="ACEITE 15W40 XV300 X 205LT (TAMBOR)"/>
    <n v="39"/>
    <n v="3389.9"/>
    <n v="132206.1"/>
    <x v="15"/>
    <n v="155645.55952380961"/>
    <d v="2026-06-06T16:54:12"/>
    <n v="3"/>
  </r>
  <r>
    <s v="OAF641"/>
    <s v="G310 A4X2"/>
    <s v="2ML 4"/>
    <s v="2ML"/>
    <n v="0.75"/>
    <s v="Cambio De Aceite Y Filtro De Motor"/>
    <d v="2026-06-06T16:54:12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08-16T01:21:18"/>
    <s v="agosto"/>
    <s v="Activo"/>
    <m/>
    <m/>
    <s v="C000313"/>
    <s v="ACEITE 15W40 XV300 X 205LT (TAMBOR)"/>
    <n v="39"/>
    <n v="3389.9"/>
    <n v="132206.1"/>
    <x v="15"/>
    <n v="155645.55952380961"/>
    <d v="2026-08-16T01:21:18"/>
    <n v="4"/>
  </r>
  <r>
    <s v="OAF641"/>
    <s v="G310 A4X2"/>
    <s v="2ML 4"/>
    <s v="2ML"/>
    <n v="0.75"/>
    <s v="Cambio De Aceite Y Filtro De Motor"/>
    <d v="2026-08-16T01:21:18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10-25T09:48:24"/>
    <s v="octubre"/>
    <s v="Activo"/>
    <m/>
    <m/>
    <s v="C000313"/>
    <s v="ACEITE 15W40 XV300 X 205LT (TAMBOR)"/>
    <n v="39"/>
    <n v="3389.9"/>
    <n v="132206.1"/>
    <x v="15"/>
    <n v="155645.55952380961"/>
    <d v="2026-10-25T09:48:24"/>
    <n v="5"/>
  </r>
  <r>
    <s v="OAF641"/>
    <s v="G310 A4X2"/>
    <s v="2ML 4"/>
    <s v="2ML"/>
    <n v="0.75"/>
    <s v="Cambio De Aceite Y Filtro De Motor"/>
    <d v="2025-09-01T00:00:00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01-17T00:00:00"/>
    <s v="enero"/>
    <s v="Activo"/>
    <m/>
    <m/>
    <s v="C003700"/>
    <s v="FILTRO DE ACEITE SCANIA G310 - MANN HU1077/2Z"/>
    <n v="1"/>
    <n v="17623.68"/>
    <n v="17623.68"/>
    <x v="15"/>
    <n v="155645.55952380961"/>
    <d v="2026-01-17T00:00:00"/>
    <n v="1"/>
  </r>
  <r>
    <s v="OAF641"/>
    <s v="G310 A4X2"/>
    <s v="2ML 4"/>
    <s v="2ML"/>
    <n v="0.75"/>
    <s v="Cambio De Aceite Y Filtro De Motor"/>
    <d v="2026-01-17T00:00:00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03-28T08:27:06"/>
    <s v="marzo"/>
    <s v="Activo"/>
    <m/>
    <m/>
    <s v="C003700"/>
    <s v="FILTRO DE ACEITE SCANIA G310 - MANN HU1077/2Z"/>
    <n v="1"/>
    <n v="17623.68"/>
    <n v="17623.68"/>
    <x v="15"/>
    <n v="155645.55952380961"/>
    <d v="2026-03-28T08:27:06"/>
    <n v="2"/>
  </r>
  <r>
    <s v="OAF641"/>
    <s v="G310 A4X2"/>
    <s v="2ML 4"/>
    <s v="2ML"/>
    <n v="0.75"/>
    <s v="Cambio De Aceite Y Filtro De Motor"/>
    <d v="2026-03-28T08:27:06"/>
    <n v="1811240"/>
    <n v="1841240"/>
    <n v="9997.7999999999975"/>
    <n v="20002.2"/>
    <n v="1821237.8"/>
    <n v="46"/>
    <n v="426.42619047619053"/>
    <n v="92.030366680669786"/>
    <d v="2025-10-17T00:00:00"/>
    <n v="30000"/>
    <d v="2026-01-17T00:43:44"/>
    <d v="2026-06-06T16:54:12"/>
    <s v="junio"/>
    <s v="Activo"/>
    <m/>
    <m/>
    <s v="C003700"/>
    <s v="FILTRO DE ACEITE SCANIA G310 - MANN HU1077/2Z"/>
    <n v="1"/>
    <n v="17623.68"/>
    <n v="17623.68"/>
    <x v="15"/>
    <n v="155645.55952380961"/>
    <d v="2026-06-06T16:54:1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2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31">
        <item x="23"/>
        <item x="26"/>
        <item x="12"/>
        <item m="1" x="28"/>
        <item x="11"/>
        <item x="0"/>
        <item x="7"/>
        <item x="3"/>
        <item x="2"/>
        <item x="19"/>
        <item x="18"/>
        <item x="22"/>
        <item x="27"/>
        <item x="21"/>
        <item x="1"/>
        <item x="15"/>
        <item x="5"/>
        <item m="1" x="29"/>
        <item x="10"/>
        <item x="8"/>
        <item x="13"/>
        <item x="25"/>
        <item x="24"/>
        <item x="6"/>
        <item x="17"/>
        <item x="20"/>
        <item x="16"/>
        <item x="14"/>
        <item x="9"/>
        <item x="4"/>
        <item t="default"/>
      </items>
    </pivotField>
    <pivotField showAll="0"/>
    <pivotField showAll="0"/>
    <pivotField showAll="0"/>
  </pivotFields>
  <rowFields count="1">
    <field x="28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a de Valor Total" fld="27" baseField="28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9"/>
  <sheetViews>
    <sheetView tabSelected="1" workbookViewId="0">
      <selection activeCell="C9" sqref="C9"/>
    </sheetView>
  </sheetViews>
  <sheetFormatPr baseColWidth="10" defaultColWidth="14.44140625" defaultRowHeight="15" customHeight="1" x14ac:dyDescent="0.3"/>
  <cols>
    <col min="1" max="1" width="12" style="41" bestFit="1" customWidth="1"/>
    <col min="2" max="2" width="17.21875" style="41" bestFit="1" customWidth="1"/>
    <col min="3" max="3" width="38.77734375" style="44" bestFit="1" customWidth="1"/>
    <col min="4" max="4" width="14.21875" style="41" bestFit="1" customWidth="1"/>
    <col min="5" max="5" width="19.109375" bestFit="1" customWidth="1"/>
  </cols>
  <sheetData>
    <row r="1" spans="1:5" s="45" customFormat="1" ht="14.25" customHeight="1" x14ac:dyDescent="0.3">
      <c r="A1" s="46" t="s">
        <v>1</v>
      </c>
      <c r="B1" s="46" t="s">
        <v>299</v>
      </c>
      <c r="C1" s="47" t="s">
        <v>295</v>
      </c>
      <c r="D1" s="46" t="s">
        <v>315</v>
      </c>
      <c r="E1" s="48" t="s">
        <v>746</v>
      </c>
    </row>
    <row r="2" spans="1:5" ht="14.25" customHeight="1" x14ac:dyDescent="0.3">
      <c r="A2" s="39" t="s">
        <v>3</v>
      </c>
      <c r="B2" s="39" t="s">
        <v>328</v>
      </c>
      <c r="C2" s="42" t="str">
        <f>VLOOKUP(A2,[1]Detalle!$D$2:$CW$484,98,FALSE)</f>
        <v>CCU_MZA - Comp. Cerv. Unidas - MZA</v>
      </c>
      <c r="D2" s="13">
        <v>46067</v>
      </c>
    </row>
    <row r="3" spans="1:5" ht="14.25" customHeight="1" x14ac:dyDescent="0.3">
      <c r="A3" s="39" t="s">
        <v>3</v>
      </c>
      <c r="B3" s="39" t="s">
        <v>328</v>
      </c>
      <c r="C3" s="42" t="str">
        <f>VLOOKUP(A3,[1]Detalle!$D$2:$CW$484,98,FALSE)</f>
        <v>CCU_MZA - Comp. Cerv. Unidas - MZA</v>
      </c>
      <c r="D3" s="13">
        <v>46067</v>
      </c>
    </row>
    <row r="4" spans="1:5" ht="14.25" customHeight="1" x14ac:dyDescent="0.3">
      <c r="A4" s="39" t="s">
        <v>27</v>
      </c>
      <c r="B4" s="39" t="s">
        <v>328</v>
      </c>
      <c r="C4" s="42" t="str">
        <f>VLOOKUP(A4,[1]Detalle!$D$2:$CW$484,98,FALSE)</f>
        <v>CMQ_TTE - QUILMES TTE</v>
      </c>
      <c r="D4" s="13">
        <v>46290</v>
      </c>
    </row>
    <row r="5" spans="1:5" ht="14.25" customHeight="1" x14ac:dyDescent="0.3">
      <c r="A5" s="39" t="s">
        <v>27</v>
      </c>
      <c r="B5" s="39" t="s">
        <v>328</v>
      </c>
      <c r="C5" s="42" t="str">
        <f>VLOOKUP(A5,[1]Detalle!$D$2:$CW$484,98,FALSE)</f>
        <v>CMQ_TTE - QUILMES TTE</v>
      </c>
      <c r="D5" s="13">
        <v>46290</v>
      </c>
    </row>
    <row r="6" spans="1:5" ht="14.25" customHeight="1" x14ac:dyDescent="0.3">
      <c r="A6" s="39" t="s">
        <v>40</v>
      </c>
      <c r="B6" s="39" t="s">
        <v>328</v>
      </c>
      <c r="C6" s="42" t="str">
        <f>VLOOKUP(A6,[1]Detalle!$D$2:$CW$484,98,FALSE)</f>
        <v>CMQ_TTE - QUILMES TTE</v>
      </c>
      <c r="D6" s="13">
        <v>46338</v>
      </c>
    </row>
    <row r="7" spans="1:5" ht="14.25" customHeight="1" x14ac:dyDescent="0.3">
      <c r="A7" s="39" t="s">
        <v>40</v>
      </c>
      <c r="B7" s="39" t="s">
        <v>328</v>
      </c>
      <c r="C7" s="42" t="str">
        <f>VLOOKUP(A7,[1]Detalle!$D$2:$CW$484,98,FALSE)</f>
        <v>CMQ_TTE - QUILMES TTE</v>
      </c>
      <c r="D7" s="13">
        <v>46338</v>
      </c>
    </row>
    <row r="8" spans="1:5" ht="14.25" customHeight="1" x14ac:dyDescent="0.3">
      <c r="A8" s="39" t="s">
        <v>42</v>
      </c>
      <c r="B8" s="39" t="s">
        <v>328</v>
      </c>
      <c r="C8" s="42" t="str">
        <f>VLOOKUP(A8,[1]Detalle!$D$2:$CW$484,98,FALSE)</f>
        <v>CMQ_TTE - QUILMES TTE</v>
      </c>
      <c r="D8" s="13">
        <v>46387</v>
      </c>
    </row>
    <row r="9" spans="1:5" ht="14.25" customHeight="1" x14ac:dyDescent="0.3">
      <c r="A9" s="39" t="s">
        <v>42</v>
      </c>
      <c r="B9" s="39" t="s">
        <v>328</v>
      </c>
      <c r="C9" s="42" t="str">
        <f>VLOOKUP(A9,[1]Detalle!$D$2:$CW$484,98,FALSE)</f>
        <v>CMQ_TTE - QUILMES TTE</v>
      </c>
      <c r="D9" s="13">
        <v>46387</v>
      </c>
    </row>
    <row r="10" spans="1:5" ht="14.25" customHeight="1" x14ac:dyDescent="0.3">
      <c r="A10" s="39" t="s">
        <v>82</v>
      </c>
      <c r="B10" s="39" t="s">
        <v>328</v>
      </c>
      <c r="C10" s="42" t="str">
        <f>VLOOKUP(A10,[1]Detalle!$D$2:$CW$484,98,FALSE)</f>
        <v>CENCO_MZ - Cencosud SA - Mendoza</v>
      </c>
      <c r="D10" s="13">
        <v>46147</v>
      </c>
    </row>
    <row r="11" spans="1:5" ht="14.25" customHeight="1" x14ac:dyDescent="0.3">
      <c r="A11" s="39" t="s">
        <v>82</v>
      </c>
      <c r="B11" s="39" t="s">
        <v>328</v>
      </c>
      <c r="C11" s="42" t="str">
        <f>VLOOKUP(A11,[1]Detalle!$D$2:$CW$484,98,FALSE)</f>
        <v>CENCO_MZ - Cencosud SA - Mendoza</v>
      </c>
      <c r="D11" s="13">
        <v>46147</v>
      </c>
    </row>
    <row r="12" spans="1:5" ht="14.25" customHeight="1" x14ac:dyDescent="0.3">
      <c r="A12" s="39" t="s">
        <v>99</v>
      </c>
      <c r="B12" s="39" t="s">
        <v>328</v>
      </c>
      <c r="C12" s="42" t="str">
        <f>VLOOKUP(A12,[1]Detalle!$D$2:$CW$484,98,FALSE)</f>
        <v>CCUDyAZA</v>
      </c>
      <c r="D12" s="13">
        <v>46228</v>
      </c>
    </row>
    <row r="13" spans="1:5" ht="14.25" customHeight="1" x14ac:dyDescent="0.3">
      <c r="A13" s="39" t="s">
        <v>99</v>
      </c>
      <c r="B13" s="39" t="s">
        <v>328</v>
      </c>
      <c r="C13" s="42" t="str">
        <f>VLOOKUP(A13,[1]Detalle!$D$2:$CW$484,98,FALSE)</f>
        <v>CCUDyAZA</v>
      </c>
      <c r="D13" s="13">
        <v>46228</v>
      </c>
    </row>
    <row r="14" spans="1:5" ht="14.25" customHeight="1" x14ac:dyDescent="0.3">
      <c r="A14" s="39" t="s">
        <v>101</v>
      </c>
      <c r="B14" s="39" t="s">
        <v>328</v>
      </c>
      <c r="C14" s="42" t="str">
        <f>VLOOKUP(A14,[1]Detalle!$D$2:$CW$484,98,FALSE)</f>
        <v>CCUDyAZA</v>
      </c>
      <c r="D14" s="13">
        <v>46242</v>
      </c>
    </row>
    <row r="15" spans="1:5" ht="14.25" customHeight="1" x14ac:dyDescent="0.3">
      <c r="A15" s="39" t="s">
        <v>101</v>
      </c>
      <c r="B15" s="39" t="s">
        <v>328</v>
      </c>
      <c r="C15" s="42" t="str">
        <f>VLOOKUP(A15,[1]Detalle!$D$2:$CW$484,98,FALSE)</f>
        <v>CCUDyAZA</v>
      </c>
      <c r="D15" s="13">
        <v>46242</v>
      </c>
    </row>
    <row r="16" spans="1:5" ht="14.25" customHeight="1" x14ac:dyDescent="0.3">
      <c r="A16" s="39" t="s">
        <v>106</v>
      </c>
      <c r="B16" s="39" t="s">
        <v>328</v>
      </c>
      <c r="C16" s="42" t="str">
        <f>VLOOKUP(A16,[1]Detalle!$D$2:$CW$484,98,FALSE)</f>
        <v>Unilever - Unilever de Arg. S.A.</v>
      </c>
      <c r="D16" s="13">
        <v>46362</v>
      </c>
    </row>
    <row r="17" spans="1:4" ht="14.25" customHeight="1" x14ac:dyDescent="0.3">
      <c r="A17" s="39" t="s">
        <v>106</v>
      </c>
      <c r="B17" s="39" t="s">
        <v>328</v>
      </c>
      <c r="C17" s="42" t="str">
        <f>VLOOKUP(A17,[1]Detalle!$D$2:$CW$484,98,FALSE)</f>
        <v>Unilever - Unilever de Arg. S.A.</v>
      </c>
      <c r="D17" s="13">
        <v>46362</v>
      </c>
    </row>
    <row r="18" spans="1:4" ht="14.25" customHeight="1" x14ac:dyDescent="0.3">
      <c r="A18" s="39" t="s">
        <v>108</v>
      </c>
      <c r="B18" s="39" t="s">
        <v>328</v>
      </c>
      <c r="C18" s="42" t="str">
        <f>VLOOKUP(A18,[1]Detalle!$D$2:$CW$484,98,FALSE)</f>
        <v>JOHNSON - SC JOHNSON DE ARGENTINA SAIC</v>
      </c>
      <c r="D18" s="13">
        <v>46103</v>
      </c>
    </row>
    <row r="19" spans="1:4" ht="14.25" customHeight="1" x14ac:dyDescent="0.3">
      <c r="A19" s="39" t="s">
        <v>108</v>
      </c>
      <c r="B19" s="39" t="s">
        <v>328</v>
      </c>
      <c r="C19" s="42" t="str">
        <f>VLOOKUP(A19,[1]Detalle!$D$2:$CW$484,98,FALSE)</f>
        <v>JOHNSON - SC JOHNSON DE ARGENTINA SAIC</v>
      </c>
      <c r="D19" s="13">
        <v>46103</v>
      </c>
    </row>
    <row r="20" spans="1:4" ht="14.25" customHeight="1" x14ac:dyDescent="0.3">
      <c r="A20" s="39" t="s">
        <v>109</v>
      </c>
      <c r="B20" s="39" t="s">
        <v>328</v>
      </c>
      <c r="C20" s="42" t="str">
        <f>VLOOKUP(A20,[1]Detalle!$D$2:$CW$484,98,FALSE)</f>
        <v>JOHNSON - SC JOHNSON DE ARGENTINA SAIC</v>
      </c>
      <c r="D20" s="13">
        <v>46246</v>
      </c>
    </row>
    <row r="21" spans="1:4" ht="14.25" customHeight="1" x14ac:dyDescent="0.3">
      <c r="A21" s="39" t="s">
        <v>109</v>
      </c>
      <c r="B21" s="39" t="s">
        <v>328</v>
      </c>
      <c r="C21" s="42" t="str">
        <f>VLOOKUP(A21,[1]Detalle!$D$2:$CW$484,98,FALSE)</f>
        <v>JOHNSON - SC JOHNSON DE ARGENTINA SAIC</v>
      </c>
      <c r="D21" s="13">
        <v>46246</v>
      </c>
    </row>
    <row r="22" spans="1:4" ht="14.25" customHeight="1" x14ac:dyDescent="0.3">
      <c r="A22" s="39" t="s">
        <v>111</v>
      </c>
      <c r="B22" s="39" t="s">
        <v>328</v>
      </c>
      <c r="C22" s="42" t="str">
        <f>VLOOKUP(A22,[1]Detalle!$D$2:$CW$484,98,FALSE)</f>
        <v>SUC_MEN - Sucursal Mendoza</v>
      </c>
      <c r="D22" s="13">
        <v>46138</v>
      </c>
    </row>
    <row r="23" spans="1:4" ht="14.25" customHeight="1" x14ac:dyDescent="0.3">
      <c r="A23" s="39" t="s">
        <v>111</v>
      </c>
      <c r="B23" s="39" t="s">
        <v>328</v>
      </c>
      <c r="C23" s="42" t="str">
        <f>VLOOKUP(A23,[1]Detalle!$D$2:$CW$484,98,FALSE)</f>
        <v>SUC_MEN - Sucursal Mendoza</v>
      </c>
      <c r="D23" s="13">
        <v>46138</v>
      </c>
    </row>
    <row r="24" spans="1:4" ht="14.25" customHeight="1" x14ac:dyDescent="0.3">
      <c r="A24" s="39" t="s">
        <v>118</v>
      </c>
      <c r="B24" s="39" t="s">
        <v>328</v>
      </c>
      <c r="C24" s="42" t="str">
        <f>VLOOKUP(A24,[1]Detalle!$D$2:$CW$484,98,FALSE)</f>
        <v>CCUCoAZA</v>
      </c>
      <c r="D24" s="13">
        <v>46209</v>
      </c>
    </row>
    <row r="25" spans="1:4" ht="14.25" customHeight="1" x14ac:dyDescent="0.3">
      <c r="A25" s="39" t="s">
        <v>118</v>
      </c>
      <c r="B25" s="39" t="s">
        <v>328</v>
      </c>
      <c r="C25" s="42" t="str">
        <f>VLOOKUP(A25,[1]Detalle!$D$2:$CW$484,98,FALSE)</f>
        <v>CCUCoAZA</v>
      </c>
      <c r="D25" s="13">
        <v>46209</v>
      </c>
    </row>
    <row r="26" spans="1:4" ht="14.25" customHeight="1" x14ac:dyDescent="0.3">
      <c r="A26" s="39" t="s">
        <v>120</v>
      </c>
      <c r="B26" s="39" t="s">
        <v>328</v>
      </c>
      <c r="C26" s="42" t="str">
        <f>VLOOKUP(A26,[1]Detalle!$D$2:$CW$484,98,FALSE)</f>
        <v>SUC_MEN - Sucursal Mendoza</v>
      </c>
      <c r="D26" s="13">
        <v>46177</v>
      </c>
    </row>
    <row r="27" spans="1:4" ht="14.25" customHeight="1" x14ac:dyDescent="0.3">
      <c r="A27" s="39" t="s">
        <v>120</v>
      </c>
      <c r="B27" s="39" t="s">
        <v>328</v>
      </c>
      <c r="C27" s="42" t="str">
        <f>VLOOKUP(A27,[1]Detalle!$D$2:$CW$484,98,FALSE)</f>
        <v>SUC_MEN - Sucursal Mendoza</v>
      </c>
      <c r="D27" s="13">
        <v>46177</v>
      </c>
    </row>
    <row r="28" spans="1:4" ht="14.25" customHeight="1" x14ac:dyDescent="0.3">
      <c r="A28" s="39" t="s">
        <v>164</v>
      </c>
      <c r="B28" s="39" t="s">
        <v>328</v>
      </c>
      <c r="C28" s="42" t="str">
        <f>VLOOKUP(A28,[1]Detalle!$D$2:$CW$484,98,FALSE)</f>
        <v>SUC_MEN - Sucursal Mendoza</v>
      </c>
      <c r="D28" s="13">
        <v>46236</v>
      </c>
    </row>
    <row r="29" spans="1:4" ht="14.25" customHeight="1" x14ac:dyDescent="0.3">
      <c r="A29" s="39" t="s">
        <v>164</v>
      </c>
      <c r="B29" s="39" t="s">
        <v>328</v>
      </c>
      <c r="C29" s="42" t="str">
        <f>VLOOKUP(A29,[1]Detalle!$D$2:$CW$484,98,FALSE)</f>
        <v>SUC_MEN - Sucursal Mendoza</v>
      </c>
      <c r="D29" s="13">
        <v>46236</v>
      </c>
    </row>
    <row r="30" spans="1:4" ht="14.25" customHeight="1" x14ac:dyDescent="0.3">
      <c r="A30" s="39" t="s">
        <v>179</v>
      </c>
      <c r="B30" s="39" t="s">
        <v>328</v>
      </c>
      <c r="C30" s="42" t="str">
        <f>VLOOKUP(A30,[1]Detalle!$D$2:$CW$484,98,FALSE)</f>
        <v>CCUCoAZA</v>
      </c>
      <c r="D30" s="13">
        <v>46300</v>
      </c>
    </row>
    <row r="31" spans="1:4" ht="14.25" customHeight="1" x14ac:dyDescent="0.3">
      <c r="A31" s="39" t="s">
        <v>179</v>
      </c>
      <c r="B31" s="39" t="s">
        <v>328</v>
      </c>
      <c r="C31" s="42" t="str">
        <f>VLOOKUP(A31,[1]Detalle!$D$2:$CW$484,98,FALSE)</f>
        <v>CCUCoAZA</v>
      </c>
      <c r="D31" s="13">
        <v>46300</v>
      </c>
    </row>
    <row r="32" spans="1:4" ht="14.25" customHeight="1" x14ac:dyDescent="0.3">
      <c r="A32" s="39" t="s">
        <v>180</v>
      </c>
      <c r="B32" s="39" t="s">
        <v>328</v>
      </c>
      <c r="C32" s="42" t="str">
        <f>VLOOKUP(A32,[1]Detalle!$D$2:$CW$484,98,FALSE)</f>
        <v>CCUCoAZA</v>
      </c>
      <c r="D32" s="13">
        <v>46235</v>
      </c>
    </row>
    <row r="33" spans="1:4" ht="14.25" customHeight="1" x14ac:dyDescent="0.3">
      <c r="A33" s="39" t="s">
        <v>180</v>
      </c>
      <c r="B33" s="39" t="s">
        <v>328</v>
      </c>
      <c r="C33" s="42" t="str">
        <f>VLOOKUP(A33,[1]Detalle!$D$2:$CW$484,98,FALSE)</f>
        <v>CCUCoAZA</v>
      </c>
      <c r="D33" s="13">
        <v>46235</v>
      </c>
    </row>
    <row r="34" spans="1:4" ht="14.25" customHeight="1" x14ac:dyDescent="0.3">
      <c r="A34" s="39" t="s">
        <v>189</v>
      </c>
      <c r="B34" s="39" t="s">
        <v>328</v>
      </c>
      <c r="C34" s="42" t="str">
        <f>VLOOKUP(A34,[1]Detalle!$D$2:$CW$484,98,FALSE)</f>
        <v>CCUDyAZA</v>
      </c>
      <c r="D34" s="13">
        <v>46289</v>
      </c>
    </row>
    <row r="35" spans="1:4" ht="14.25" customHeight="1" x14ac:dyDescent="0.3">
      <c r="A35" s="39" t="s">
        <v>189</v>
      </c>
      <c r="B35" s="39" t="s">
        <v>328</v>
      </c>
      <c r="C35" s="42" t="str">
        <f>VLOOKUP(A35,[1]Detalle!$D$2:$CW$484,98,FALSE)</f>
        <v>CCUDyAZA</v>
      </c>
      <c r="D35" s="13">
        <v>46289</v>
      </c>
    </row>
    <row r="36" spans="1:4" ht="14.25" customHeight="1" x14ac:dyDescent="0.3">
      <c r="A36" s="39" t="s">
        <v>190</v>
      </c>
      <c r="B36" s="39" t="s">
        <v>328</v>
      </c>
      <c r="C36" s="42" t="str">
        <f>VLOOKUP(A36,[1]Detalle!$D$2:$CW$484,98,FALSE)</f>
        <v>CCUCoAZA</v>
      </c>
      <c r="D36" s="13">
        <v>46236</v>
      </c>
    </row>
    <row r="37" spans="1:4" ht="14.25" customHeight="1" x14ac:dyDescent="0.3">
      <c r="A37" s="39" t="s">
        <v>190</v>
      </c>
      <c r="B37" s="39" t="s">
        <v>328</v>
      </c>
      <c r="C37" s="42" t="str">
        <f>VLOOKUP(A37,[1]Detalle!$D$2:$CW$484,98,FALSE)</f>
        <v>CCUCoAZA</v>
      </c>
      <c r="D37" s="13">
        <v>46236</v>
      </c>
    </row>
    <row r="38" spans="1:4" ht="14.25" customHeight="1" x14ac:dyDescent="0.3">
      <c r="A38" s="39" t="s">
        <v>196</v>
      </c>
      <c r="B38" s="39" t="s">
        <v>328</v>
      </c>
      <c r="C38" s="42" t="str">
        <f>VLOOKUP(A38,[1]Detalle!$D$2:$CW$484,98,FALSE)</f>
        <v>CCUCoAZA</v>
      </c>
      <c r="D38" s="13">
        <v>46298</v>
      </c>
    </row>
    <row r="39" spans="1:4" ht="14.25" customHeight="1" x14ac:dyDescent="0.3">
      <c r="A39" s="39" t="s">
        <v>196</v>
      </c>
      <c r="B39" s="39" t="s">
        <v>328</v>
      </c>
      <c r="C39" s="42" t="str">
        <f>VLOOKUP(A39,[1]Detalle!$D$2:$CW$484,98,FALSE)</f>
        <v>CCUCoAZA</v>
      </c>
      <c r="D39" s="13">
        <v>46298</v>
      </c>
    </row>
    <row r="40" spans="1:4" ht="14.25" customHeight="1" x14ac:dyDescent="0.3">
      <c r="A40" s="39" t="s">
        <v>209</v>
      </c>
      <c r="B40" s="39" t="s">
        <v>328</v>
      </c>
      <c r="C40" s="42" t="str">
        <f>VLOOKUP(A40,[1]Detalle!$D$2:$CW$484,98,FALSE)</f>
        <v>CENCO_MZ - Cencosud SA - Mendoza</v>
      </c>
      <c r="D40" s="13">
        <v>46027</v>
      </c>
    </row>
    <row r="41" spans="1:4" ht="14.25" customHeight="1" x14ac:dyDescent="0.3">
      <c r="A41" s="39" t="s">
        <v>209</v>
      </c>
      <c r="B41" s="39" t="s">
        <v>328</v>
      </c>
      <c r="C41" s="42" t="str">
        <f>VLOOKUP(A41,[1]Detalle!$D$2:$CW$484,98,FALSE)</f>
        <v>CENCO_MZ - Cencosud SA - Mendoza</v>
      </c>
      <c r="D41" s="13">
        <v>46027</v>
      </c>
    </row>
    <row r="42" spans="1:4" ht="14.25" customHeight="1" x14ac:dyDescent="0.3">
      <c r="A42" s="39" t="s">
        <v>210</v>
      </c>
      <c r="B42" s="39" t="s">
        <v>328</v>
      </c>
      <c r="C42" s="42" t="str">
        <f>VLOOKUP(A42,[1]Detalle!$D$2:$CW$484,98,FALSE)</f>
        <v>Topacio</v>
      </c>
      <c r="D42" s="13">
        <v>46247</v>
      </c>
    </row>
    <row r="43" spans="1:4" ht="14.25" customHeight="1" x14ac:dyDescent="0.3">
      <c r="A43" s="39" t="s">
        <v>210</v>
      </c>
      <c r="B43" s="39" t="s">
        <v>328</v>
      </c>
      <c r="C43" s="42" t="str">
        <f>VLOOKUP(A43,[1]Detalle!$D$2:$CW$484,98,FALSE)</f>
        <v>Topacio</v>
      </c>
      <c r="D43" s="13">
        <v>46247</v>
      </c>
    </row>
    <row r="44" spans="1:4" ht="14.25" customHeight="1" x14ac:dyDescent="0.3">
      <c r="A44" s="39" t="s">
        <v>217</v>
      </c>
      <c r="B44" s="39" t="s">
        <v>328</v>
      </c>
      <c r="C44" s="42" t="str">
        <f>VLOOKUP(A44,[1]Detalle!$D$2:$CW$484,98,FALSE)</f>
        <v>Papelera - Papelera del Plata S.A.</v>
      </c>
      <c r="D44" s="13">
        <v>46143</v>
      </c>
    </row>
    <row r="45" spans="1:4" ht="14.25" customHeight="1" x14ac:dyDescent="0.3">
      <c r="A45" s="39" t="s">
        <v>217</v>
      </c>
      <c r="B45" s="39" t="s">
        <v>328</v>
      </c>
      <c r="C45" s="42" t="str">
        <f>VLOOKUP(A45,[1]Detalle!$D$2:$CW$484,98,FALSE)</f>
        <v>Papelera - Papelera del Plata S.A.</v>
      </c>
      <c r="D45" s="13">
        <v>46143</v>
      </c>
    </row>
    <row r="46" spans="1:4" ht="14.25" customHeight="1" x14ac:dyDescent="0.3">
      <c r="A46" s="39" t="s">
        <v>238</v>
      </c>
      <c r="B46" s="39" t="s">
        <v>328</v>
      </c>
      <c r="C46" s="42" t="str">
        <f>VLOOKUP(A46,[1]Detalle!$D$2:$CW$484,98,FALSE)</f>
        <v>CMQ_TTE - QUILMES TTE</v>
      </c>
      <c r="D46" s="13">
        <v>46084</v>
      </c>
    </row>
    <row r="47" spans="1:4" ht="14.25" customHeight="1" x14ac:dyDescent="0.3">
      <c r="A47" s="39" t="s">
        <v>238</v>
      </c>
      <c r="B47" s="39" t="s">
        <v>328</v>
      </c>
      <c r="C47" s="42" t="str">
        <f>VLOOKUP(A47,[1]Detalle!$D$2:$CW$484,98,FALSE)</f>
        <v>CMQ_TTE - QUILMES TTE</v>
      </c>
      <c r="D47" s="13">
        <v>46084</v>
      </c>
    </row>
    <row r="48" spans="1:4" ht="14.25" customHeight="1" x14ac:dyDescent="0.3">
      <c r="A48" s="39" t="s">
        <v>239</v>
      </c>
      <c r="B48" s="39" t="s">
        <v>328</v>
      </c>
      <c r="C48" s="42" t="str">
        <f>VLOOKUP(A48,[1]Detalle!$D$2:$CW$484,98,FALSE)</f>
        <v>CMQ_TTE - QUILMES TTE</v>
      </c>
      <c r="D48" s="13">
        <v>46292</v>
      </c>
    </row>
    <row r="49" spans="1:4" ht="14.25" customHeight="1" x14ac:dyDescent="0.3">
      <c r="A49" s="39" t="s">
        <v>239</v>
      </c>
      <c r="B49" s="39" t="s">
        <v>328</v>
      </c>
      <c r="C49" s="42" t="str">
        <f>VLOOKUP(A49,[1]Detalle!$D$2:$CW$484,98,FALSE)</f>
        <v>CMQ_TTE - QUILMES TTE</v>
      </c>
      <c r="D49" s="13">
        <v>46292</v>
      </c>
    </row>
    <row r="50" spans="1:4" ht="14.25" customHeight="1" x14ac:dyDescent="0.3">
      <c r="A50" s="39" t="s">
        <v>242</v>
      </c>
      <c r="B50" s="39" t="s">
        <v>328</v>
      </c>
      <c r="C50" s="42" t="str">
        <f>VLOOKUP(A50,[1]Detalle!$D$2:$CW$484,98,FALSE)</f>
        <v>Papelera - Papelera del Plata S.A.</v>
      </c>
      <c r="D50" s="13">
        <v>46246</v>
      </c>
    </row>
    <row r="51" spans="1:4" ht="14.25" customHeight="1" x14ac:dyDescent="0.3">
      <c r="A51" s="39" t="s">
        <v>242</v>
      </c>
      <c r="B51" s="39" t="s">
        <v>328</v>
      </c>
      <c r="C51" s="42" t="str">
        <f>VLOOKUP(A51,[1]Detalle!$D$2:$CW$484,98,FALSE)</f>
        <v>Papelera - Papelera del Plata S.A.</v>
      </c>
      <c r="D51" s="13">
        <v>46246</v>
      </c>
    </row>
    <row r="52" spans="1:4" ht="14.25" customHeight="1" x14ac:dyDescent="0.3">
      <c r="A52" s="39" t="s">
        <v>248</v>
      </c>
      <c r="B52" s="39" t="s">
        <v>328</v>
      </c>
      <c r="C52" s="42" t="str">
        <f>VLOOKUP(A52,[1]Detalle!$D$2:$CW$484,98,FALSE)</f>
        <v>CCUDyAZA</v>
      </c>
      <c r="D52" s="13">
        <v>46295</v>
      </c>
    </row>
    <row r="53" spans="1:4" ht="14.25" customHeight="1" x14ac:dyDescent="0.3">
      <c r="A53" s="39" t="s">
        <v>248</v>
      </c>
      <c r="B53" s="39" t="s">
        <v>328</v>
      </c>
      <c r="C53" s="42" t="str">
        <f>VLOOKUP(A53,[1]Detalle!$D$2:$CW$484,98,FALSE)</f>
        <v>CCUDyAZA</v>
      </c>
      <c r="D53" s="13">
        <v>46295</v>
      </c>
    </row>
    <row r="54" spans="1:4" ht="14.25" customHeight="1" x14ac:dyDescent="0.3">
      <c r="A54" s="39" t="s">
        <v>249</v>
      </c>
      <c r="B54" s="39" t="s">
        <v>328</v>
      </c>
      <c r="C54" s="42" t="str">
        <f>VLOOKUP(A54,[1]Detalle!$D$2:$CW$484,98,FALSE)</f>
        <v>CCUDyAZA</v>
      </c>
      <c r="D54" s="13">
        <v>46186</v>
      </c>
    </row>
    <row r="55" spans="1:4" ht="14.25" customHeight="1" x14ac:dyDescent="0.3">
      <c r="A55" s="39" t="s">
        <v>249</v>
      </c>
      <c r="B55" s="39" t="s">
        <v>328</v>
      </c>
      <c r="C55" s="42" t="str">
        <f>VLOOKUP(A55,[1]Detalle!$D$2:$CW$484,98,FALSE)</f>
        <v>CCUDyAZA</v>
      </c>
      <c r="D55" s="13">
        <v>46186</v>
      </c>
    </row>
    <row r="56" spans="1:4" ht="14.25" customHeight="1" x14ac:dyDescent="0.3">
      <c r="A56" s="39" t="s">
        <v>251</v>
      </c>
      <c r="B56" s="39" t="s">
        <v>328</v>
      </c>
      <c r="C56" s="42" t="str">
        <f>VLOOKUP(A56,[1]Detalle!$D$2:$CW$484,98,FALSE)</f>
        <v>CCUDyAZA</v>
      </c>
      <c r="D56" s="13">
        <v>46221</v>
      </c>
    </row>
    <row r="57" spans="1:4" ht="14.25" customHeight="1" x14ac:dyDescent="0.3">
      <c r="A57" s="39" t="s">
        <v>251</v>
      </c>
      <c r="B57" s="39" t="s">
        <v>328</v>
      </c>
      <c r="C57" s="42" t="str">
        <f>VLOOKUP(A57,[1]Detalle!$D$2:$CW$484,98,FALSE)</f>
        <v>CCUDyAZA</v>
      </c>
      <c r="D57" s="13">
        <v>46221</v>
      </c>
    </row>
    <row r="58" spans="1:4" ht="14.25" customHeight="1" x14ac:dyDescent="0.3">
      <c r="A58" s="39" t="s">
        <v>252</v>
      </c>
      <c r="B58" s="39" t="s">
        <v>328</v>
      </c>
      <c r="C58" s="42" t="str">
        <f>VLOOKUP(A58,[1]Detalle!$D$2:$CW$484,98,FALSE)</f>
        <v>CCUDyAZA</v>
      </c>
      <c r="D58" s="13">
        <v>46194</v>
      </c>
    </row>
    <row r="59" spans="1:4" ht="14.25" customHeight="1" x14ac:dyDescent="0.3">
      <c r="A59" s="39" t="s">
        <v>252</v>
      </c>
      <c r="B59" s="39" t="s">
        <v>328</v>
      </c>
      <c r="C59" s="42" t="str">
        <f>VLOOKUP(A59,[1]Detalle!$D$2:$CW$484,98,FALSE)</f>
        <v>CCUDyAZA</v>
      </c>
      <c r="D59" s="13">
        <v>46194</v>
      </c>
    </row>
    <row r="60" spans="1:4" ht="14.25" customHeight="1" x14ac:dyDescent="0.3">
      <c r="A60" s="39" t="s">
        <v>254</v>
      </c>
      <c r="B60" s="39" t="s">
        <v>328</v>
      </c>
      <c r="C60" s="42" t="str">
        <f>VLOOKUP(A60,[1]Detalle!$D$2:$CW$484,98,FALSE)</f>
        <v>CCUCoAZA</v>
      </c>
      <c r="D60" s="13">
        <v>46338</v>
      </c>
    </row>
    <row r="61" spans="1:4" ht="14.25" customHeight="1" x14ac:dyDescent="0.3">
      <c r="A61" s="39" t="s">
        <v>254</v>
      </c>
      <c r="B61" s="39" t="s">
        <v>328</v>
      </c>
      <c r="C61" s="42" t="str">
        <f>VLOOKUP(A61,[1]Detalle!$D$2:$CW$484,98,FALSE)</f>
        <v>CCUCoAZA</v>
      </c>
      <c r="D61" s="13">
        <v>46338</v>
      </c>
    </row>
    <row r="62" spans="1:4" ht="14.25" customHeight="1" x14ac:dyDescent="0.3">
      <c r="A62" s="39" t="s">
        <v>255</v>
      </c>
      <c r="B62" s="39" t="s">
        <v>328</v>
      </c>
      <c r="C62" s="42" t="str">
        <f>VLOOKUP(A62,[1]Detalle!$D$2:$CW$484,98,FALSE)</f>
        <v>CCUDyAZA</v>
      </c>
      <c r="D62" s="13">
        <v>46281</v>
      </c>
    </row>
    <row r="63" spans="1:4" ht="14.25" customHeight="1" x14ac:dyDescent="0.3">
      <c r="A63" s="39" t="s">
        <v>255</v>
      </c>
      <c r="B63" s="39" t="s">
        <v>328</v>
      </c>
      <c r="C63" s="42" t="str">
        <f>VLOOKUP(A63,[1]Detalle!$D$2:$CW$484,98,FALSE)</f>
        <v>CCUDyAZA</v>
      </c>
      <c r="D63" s="13">
        <v>46281</v>
      </c>
    </row>
    <row r="64" spans="1:4" ht="14.25" customHeight="1" x14ac:dyDescent="0.3">
      <c r="A64" s="39" t="s">
        <v>256</v>
      </c>
      <c r="B64" s="39" t="s">
        <v>328</v>
      </c>
      <c r="C64" s="42" t="str">
        <f>VLOOKUP(A64,[1]Detalle!$D$2:$CW$484,98,FALSE)</f>
        <v>CCUCoAZA</v>
      </c>
      <c r="D64" s="13">
        <v>46125</v>
      </c>
    </row>
    <row r="65" spans="1:4" ht="14.25" customHeight="1" x14ac:dyDescent="0.3">
      <c r="A65" s="39" t="s">
        <v>256</v>
      </c>
      <c r="B65" s="39" t="s">
        <v>328</v>
      </c>
      <c r="C65" s="42" t="str">
        <f>VLOOKUP(A65,[1]Detalle!$D$2:$CW$484,98,FALSE)</f>
        <v>CCUCoAZA</v>
      </c>
      <c r="D65" s="13">
        <v>46125</v>
      </c>
    </row>
    <row r="66" spans="1:4" ht="14.25" customHeight="1" x14ac:dyDescent="0.3">
      <c r="A66" s="39" t="s">
        <v>257</v>
      </c>
      <c r="B66" s="39" t="s">
        <v>328</v>
      </c>
      <c r="C66" s="42" t="str">
        <f>VLOOKUP(A66,[1]Detalle!$D$2:$CW$484,98,FALSE)</f>
        <v>CMQ_TTE - QUILMES TTE</v>
      </c>
      <c r="D66" s="13">
        <v>46147</v>
      </c>
    </row>
    <row r="67" spans="1:4" ht="14.25" customHeight="1" x14ac:dyDescent="0.3">
      <c r="A67" s="39" t="s">
        <v>257</v>
      </c>
      <c r="B67" s="39" t="s">
        <v>328</v>
      </c>
      <c r="C67" s="42" t="str">
        <f>VLOOKUP(A67,[1]Detalle!$D$2:$CW$484,98,FALSE)</f>
        <v>CMQ_TTE - QUILMES TTE</v>
      </c>
      <c r="D67" s="13">
        <v>46147</v>
      </c>
    </row>
    <row r="68" spans="1:4" ht="14.25" customHeight="1" x14ac:dyDescent="0.3">
      <c r="A68" s="39" t="s">
        <v>260</v>
      </c>
      <c r="B68" s="39" t="s">
        <v>328</v>
      </c>
      <c r="C68" s="42" t="str">
        <f>VLOOKUP(A68,[1]Detalle!$D$2:$CW$484,98,FALSE)</f>
        <v>CCUDyAZA</v>
      </c>
      <c r="D68" s="13">
        <v>46123</v>
      </c>
    </row>
    <row r="69" spans="1:4" ht="14.25" customHeight="1" x14ac:dyDescent="0.3">
      <c r="A69" s="39" t="s">
        <v>260</v>
      </c>
      <c r="B69" s="39" t="s">
        <v>328</v>
      </c>
      <c r="C69" s="42" t="str">
        <f>VLOOKUP(A69,[1]Detalle!$D$2:$CW$484,98,FALSE)</f>
        <v>CCUDyAZA</v>
      </c>
      <c r="D69" s="13">
        <v>46123</v>
      </c>
    </row>
    <row r="70" spans="1:4" ht="14.25" customHeight="1" x14ac:dyDescent="0.3">
      <c r="A70" s="39" t="s">
        <v>261</v>
      </c>
      <c r="B70" s="39" t="s">
        <v>328</v>
      </c>
      <c r="C70" s="42" t="str">
        <f>VLOOKUP(A70,[1]Detalle!$D$2:$CW$484,98,FALSE)</f>
        <v>CCUDyAZA</v>
      </c>
      <c r="D70" s="13">
        <v>46268</v>
      </c>
    </row>
    <row r="71" spans="1:4" ht="14.25" customHeight="1" x14ac:dyDescent="0.3">
      <c r="A71" s="39" t="s">
        <v>261</v>
      </c>
      <c r="B71" s="39" t="s">
        <v>328</v>
      </c>
      <c r="C71" s="42" t="str">
        <f>VLOOKUP(A71,[1]Detalle!$D$2:$CW$484,98,FALSE)</f>
        <v>CCUDyAZA</v>
      </c>
      <c r="D71" s="13">
        <v>46268</v>
      </c>
    </row>
    <row r="72" spans="1:4" ht="14.25" customHeight="1" x14ac:dyDescent="0.3">
      <c r="A72" s="39" t="s">
        <v>262</v>
      </c>
      <c r="B72" s="39" t="s">
        <v>328</v>
      </c>
      <c r="C72" s="42" t="str">
        <f>VLOOKUP(A72,[1]Detalle!$D$2:$CW$484,98,FALSE)</f>
        <v>CCUDyAZA</v>
      </c>
      <c r="D72" s="13">
        <v>46384</v>
      </c>
    </row>
    <row r="73" spans="1:4" ht="14.25" customHeight="1" x14ac:dyDescent="0.3">
      <c r="A73" s="39" t="s">
        <v>262</v>
      </c>
      <c r="B73" s="39" t="s">
        <v>328</v>
      </c>
      <c r="C73" s="42" t="str">
        <f>VLOOKUP(A73,[1]Detalle!$D$2:$CW$484,98,FALSE)</f>
        <v>CCUDyAZA</v>
      </c>
      <c r="D73" s="13">
        <v>46384</v>
      </c>
    </row>
    <row r="74" spans="1:4" ht="14.25" customHeight="1" x14ac:dyDescent="0.3">
      <c r="A74" s="39" t="s">
        <v>263</v>
      </c>
      <c r="B74" s="39" t="s">
        <v>328</v>
      </c>
      <c r="C74" s="42" t="str">
        <f>VLOOKUP(A74,[1]Detalle!$D$2:$CW$484,98,FALSE)</f>
        <v>CCUCoAZA</v>
      </c>
      <c r="D74" s="13">
        <v>46285</v>
      </c>
    </row>
    <row r="75" spans="1:4" ht="14.25" customHeight="1" x14ac:dyDescent="0.3">
      <c r="A75" s="39" t="s">
        <v>263</v>
      </c>
      <c r="B75" s="39" t="s">
        <v>328</v>
      </c>
      <c r="C75" s="42" t="str">
        <f>VLOOKUP(A75,[1]Detalle!$D$2:$CW$484,98,FALSE)</f>
        <v>CCUCoAZA</v>
      </c>
      <c r="D75" s="13">
        <v>46285</v>
      </c>
    </row>
    <row r="76" spans="1:4" ht="14.25" customHeight="1" x14ac:dyDescent="0.3">
      <c r="A76" s="39" t="s">
        <v>264</v>
      </c>
      <c r="B76" s="39" t="s">
        <v>328</v>
      </c>
      <c r="C76" s="42" t="str">
        <f>VLOOKUP(A76,[1]Detalle!$D$2:$CW$484,98,FALSE)</f>
        <v>CMQ_TTE - QUILMES TTE</v>
      </c>
      <c r="D76" s="13">
        <v>46229</v>
      </c>
    </row>
    <row r="77" spans="1:4" ht="14.25" customHeight="1" x14ac:dyDescent="0.3">
      <c r="A77" s="39" t="s">
        <v>264</v>
      </c>
      <c r="B77" s="39" t="s">
        <v>328</v>
      </c>
      <c r="C77" s="42" t="str">
        <f>VLOOKUP(A77,[1]Detalle!$D$2:$CW$484,98,FALSE)</f>
        <v>CMQ_TTE - QUILMES TTE</v>
      </c>
      <c r="D77" s="13">
        <v>46229</v>
      </c>
    </row>
    <row r="78" spans="1:4" ht="14.25" customHeight="1" x14ac:dyDescent="0.3">
      <c r="A78" s="39" t="s">
        <v>265</v>
      </c>
      <c r="B78" s="39" t="s">
        <v>328</v>
      </c>
      <c r="C78" s="42" t="str">
        <f>VLOOKUP(A78,[1]Detalle!$D$2:$CW$484,98,FALSE)</f>
        <v>CCUDyAZA</v>
      </c>
      <c r="D78" s="13">
        <v>46380</v>
      </c>
    </row>
    <row r="79" spans="1:4" ht="14.25" customHeight="1" x14ac:dyDescent="0.3">
      <c r="A79" s="39" t="s">
        <v>265</v>
      </c>
      <c r="B79" s="39" t="s">
        <v>328</v>
      </c>
      <c r="C79" s="42" t="str">
        <f>VLOOKUP(A79,[1]Detalle!$D$2:$CW$484,98,FALSE)</f>
        <v>CCUDyAZA</v>
      </c>
      <c r="D79" s="13">
        <v>46380</v>
      </c>
    </row>
    <row r="80" spans="1:4" ht="14.25" customHeight="1" x14ac:dyDescent="0.3">
      <c r="A80" s="39" t="s">
        <v>274</v>
      </c>
      <c r="B80" s="39" t="s">
        <v>328</v>
      </c>
      <c r="C80" s="42" t="str">
        <f>VLOOKUP(A80,[1]Detalle!$D$2:$CW$484,98,FALSE)</f>
        <v>JOHNSON - SC JOHNSON DE ARGENTINA SAIC</v>
      </c>
      <c r="D80" s="13">
        <v>46265</v>
      </c>
    </row>
    <row r="81" spans="1:4" ht="14.25" customHeight="1" x14ac:dyDescent="0.3">
      <c r="A81" s="39" t="s">
        <v>274</v>
      </c>
      <c r="B81" s="39" t="s">
        <v>328</v>
      </c>
      <c r="C81" s="42" t="str">
        <f>VLOOKUP(A81,[1]Detalle!$D$2:$CW$484,98,FALSE)</f>
        <v>JOHNSON - SC JOHNSON DE ARGENTINA SAIC</v>
      </c>
      <c r="D81" s="13">
        <v>46265</v>
      </c>
    </row>
    <row r="82" spans="1:4" ht="14.25" customHeight="1" x14ac:dyDescent="0.3">
      <c r="A82" s="39" t="s">
        <v>275</v>
      </c>
      <c r="B82" s="39" t="s">
        <v>328</v>
      </c>
      <c r="C82" s="42" t="str">
        <f>VLOOKUP(A82,[1]Detalle!$D$2:$CW$484,98,FALSE)</f>
        <v>CCUDyAZA</v>
      </c>
      <c r="D82" s="13">
        <v>46385</v>
      </c>
    </row>
    <row r="83" spans="1:4" ht="14.25" customHeight="1" x14ac:dyDescent="0.3">
      <c r="A83" s="39" t="s">
        <v>275</v>
      </c>
      <c r="B83" s="39" t="s">
        <v>328</v>
      </c>
      <c r="C83" s="42" t="str">
        <f>VLOOKUP(A83,[1]Detalle!$D$2:$CW$484,98,FALSE)</f>
        <v>CCUDyAZA</v>
      </c>
      <c r="D83" s="13">
        <v>46385</v>
      </c>
    </row>
    <row r="84" spans="1:4" ht="14.25" customHeight="1" x14ac:dyDescent="0.3">
      <c r="A84" s="39" t="s">
        <v>128</v>
      </c>
      <c r="B84" s="39" t="s">
        <v>343</v>
      </c>
      <c r="C84" s="42" t="str">
        <f>VLOOKUP(A84,[1]Detalle!$D$2:$CW$484,98,FALSE)</f>
        <v>Arcor S.A.I.C.</v>
      </c>
      <c r="D84" s="13">
        <v>46147</v>
      </c>
    </row>
    <row r="85" spans="1:4" ht="14.25" customHeight="1" x14ac:dyDescent="0.3">
      <c r="A85" s="39" t="s">
        <v>128</v>
      </c>
      <c r="B85" s="39" t="s">
        <v>343</v>
      </c>
      <c r="C85" s="42" t="str">
        <f>VLOOKUP(A85,[1]Detalle!$D$2:$CW$484,98,FALSE)</f>
        <v>Arcor S.A.I.C.</v>
      </c>
      <c r="D85" s="13">
        <v>46147</v>
      </c>
    </row>
    <row r="86" spans="1:4" ht="14.25" customHeight="1" x14ac:dyDescent="0.3">
      <c r="A86" s="39" t="s">
        <v>207</v>
      </c>
      <c r="B86" s="39" t="s">
        <v>343</v>
      </c>
      <c r="C86" s="42" t="str">
        <f>VLOOKUP(A86,[1]Detalle!$D$2:$CW$484,98,FALSE)</f>
        <v>CENCO_MZ - Cencosud SA - Mendoza</v>
      </c>
      <c r="D86" s="13">
        <v>46027</v>
      </c>
    </row>
    <row r="87" spans="1:4" ht="14.25" customHeight="1" x14ac:dyDescent="0.3">
      <c r="A87" s="39" t="s">
        <v>207</v>
      </c>
      <c r="B87" s="39" t="s">
        <v>343</v>
      </c>
      <c r="C87" s="42" t="str">
        <f>VLOOKUP(A87,[1]Detalle!$D$2:$CW$484,98,FALSE)</f>
        <v>CENCO_MZ - Cencosud SA - Mendoza</v>
      </c>
      <c r="D87" s="13">
        <v>46027</v>
      </c>
    </row>
    <row r="88" spans="1:4" ht="14.25" customHeight="1" x14ac:dyDescent="0.3">
      <c r="A88" s="39" t="s">
        <v>27</v>
      </c>
      <c r="B88" s="39" t="s">
        <v>343</v>
      </c>
      <c r="C88" s="42" t="str">
        <f>VLOOKUP(A88,[1]Detalle!$D$2:$CW$484,98,FALSE)</f>
        <v>CMQ_TTE - QUILMES TTE</v>
      </c>
      <c r="D88" s="13">
        <v>46290</v>
      </c>
    </row>
    <row r="89" spans="1:4" ht="14.25" customHeight="1" x14ac:dyDescent="0.3">
      <c r="A89" s="39" t="s">
        <v>27</v>
      </c>
      <c r="B89" s="39" t="s">
        <v>343</v>
      </c>
      <c r="C89" s="42" t="str">
        <f>VLOOKUP(A89,[1]Detalle!$D$2:$CW$484,98,FALSE)</f>
        <v>CMQ_TTE - QUILMES TTE</v>
      </c>
      <c r="D89" s="13">
        <v>46290</v>
      </c>
    </row>
    <row r="90" spans="1:4" ht="14.25" customHeight="1" x14ac:dyDescent="0.3">
      <c r="A90" s="39" t="s">
        <v>208</v>
      </c>
      <c r="B90" s="39" t="s">
        <v>343</v>
      </c>
      <c r="C90" s="42" t="str">
        <f>VLOOKUP(A90,[1]Detalle!$D$2:$CW$484,98,FALSE)</f>
        <v>CENCO_MZ - Cencosud SA - Mendoza</v>
      </c>
      <c r="D90" s="13">
        <v>46277</v>
      </c>
    </row>
    <row r="91" spans="1:4" ht="14.25" customHeight="1" x14ac:dyDescent="0.3">
      <c r="A91" s="39" t="s">
        <v>208</v>
      </c>
      <c r="B91" s="39" t="s">
        <v>343</v>
      </c>
      <c r="C91" s="42" t="str">
        <f>VLOOKUP(A91,[1]Detalle!$D$2:$CW$484,98,FALSE)</f>
        <v>CENCO_MZ - Cencosud SA - Mendoza</v>
      </c>
      <c r="D91" s="13">
        <v>46277</v>
      </c>
    </row>
    <row r="92" spans="1:4" ht="14.25" customHeight="1" x14ac:dyDescent="0.3">
      <c r="A92" s="39" t="s">
        <v>40</v>
      </c>
      <c r="B92" s="39" t="s">
        <v>343</v>
      </c>
      <c r="C92" s="42" t="str">
        <f>VLOOKUP(A92,[1]Detalle!$D$2:$CW$484,98,FALSE)</f>
        <v>CMQ_TTE - QUILMES TTE</v>
      </c>
      <c r="D92" s="13">
        <v>46338</v>
      </c>
    </row>
    <row r="93" spans="1:4" ht="14.25" customHeight="1" x14ac:dyDescent="0.3">
      <c r="A93" s="39" t="s">
        <v>40</v>
      </c>
      <c r="B93" s="39" t="s">
        <v>343</v>
      </c>
      <c r="C93" s="42" t="str">
        <f>VLOOKUP(A93,[1]Detalle!$D$2:$CW$484,98,FALSE)</f>
        <v>CMQ_TTE - QUILMES TTE</v>
      </c>
      <c r="D93" s="13">
        <v>46338</v>
      </c>
    </row>
    <row r="94" spans="1:4" ht="14.25" customHeight="1" x14ac:dyDescent="0.3">
      <c r="A94" s="39" t="s">
        <v>42</v>
      </c>
      <c r="B94" s="39" t="s">
        <v>343</v>
      </c>
      <c r="C94" s="42" t="str">
        <f>VLOOKUP(A94,[1]Detalle!$D$2:$CW$484,98,FALSE)</f>
        <v>CMQ_TTE - QUILMES TTE</v>
      </c>
      <c r="D94" s="13">
        <v>46387</v>
      </c>
    </row>
    <row r="95" spans="1:4" ht="14.25" customHeight="1" x14ac:dyDescent="0.3">
      <c r="A95" s="39" t="s">
        <v>42</v>
      </c>
      <c r="B95" s="39" t="s">
        <v>343</v>
      </c>
      <c r="C95" s="42" t="str">
        <f>VLOOKUP(A95,[1]Detalle!$D$2:$CW$484,98,FALSE)</f>
        <v>CMQ_TTE - QUILMES TTE</v>
      </c>
      <c r="D95" s="13">
        <v>46387</v>
      </c>
    </row>
    <row r="96" spans="1:4" ht="14.25" customHeight="1" x14ac:dyDescent="0.3">
      <c r="A96" s="39" t="s">
        <v>129</v>
      </c>
      <c r="B96" s="39" t="s">
        <v>343</v>
      </c>
      <c r="C96" s="42" t="str">
        <f>VLOOKUP(A96,[1]Detalle!$D$2:$CW$484,98,FALSE)</f>
        <v>Alfavinil SA</v>
      </c>
      <c r="D96" s="13">
        <v>46247</v>
      </c>
    </row>
    <row r="97" spans="1:4" ht="14.25" customHeight="1" x14ac:dyDescent="0.3">
      <c r="A97" s="39" t="s">
        <v>129</v>
      </c>
      <c r="B97" s="39" t="s">
        <v>343</v>
      </c>
      <c r="C97" s="42" t="str">
        <f>VLOOKUP(A97,[1]Detalle!$D$2:$CW$484,98,FALSE)</f>
        <v>Alfavinil SA</v>
      </c>
      <c r="D97" s="13">
        <v>46247</v>
      </c>
    </row>
    <row r="98" spans="1:4" ht="14.25" customHeight="1" x14ac:dyDescent="0.3">
      <c r="A98" s="39" t="s">
        <v>52</v>
      </c>
      <c r="B98" s="39" t="s">
        <v>343</v>
      </c>
      <c r="C98" s="42" t="str">
        <f>VLOOKUP(A98,[1]Detalle!$D$2:$CW$484,98,FALSE)</f>
        <v>CMQ_TTE - QUILMES TTE</v>
      </c>
      <c r="D98" s="13">
        <v>46320</v>
      </c>
    </row>
    <row r="99" spans="1:4" ht="14.25" customHeight="1" x14ac:dyDescent="0.3">
      <c r="A99" s="39" t="s">
        <v>52</v>
      </c>
      <c r="B99" s="39" t="s">
        <v>343</v>
      </c>
      <c r="C99" s="42" t="str">
        <f>VLOOKUP(A99,[1]Detalle!$D$2:$CW$484,98,FALSE)</f>
        <v>CMQ_TTE - QUILMES TTE</v>
      </c>
      <c r="D99" s="13">
        <v>46320</v>
      </c>
    </row>
    <row r="100" spans="1:4" ht="14.25" customHeight="1" x14ac:dyDescent="0.3">
      <c r="A100" s="39" t="s">
        <v>132</v>
      </c>
      <c r="B100" s="39" t="s">
        <v>343</v>
      </c>
      <c r="C100" s="42" t="str">
        <f>VLOOKUP(A100,[1]Detalle!$D$2:$CW$484,98,FALSE)</f>
        <v>Unilever - Unilever de Arg. S.A.</v>
      </c>
      <c r="D100" s="13">
        <v>46270</v>
      </c>
    </row>
    <row r="101" spans="1:4" ht="14.25" customHeight="1" x14ac:dyDescent="0.3">
      <c r="A101" s="39" t="s">
        <v>132</v>
      </c>
      <c r="B101" s="39" t="s">
        <v>343</v>
      </c>
      <c r="C101" s="42" t="str">
        <f>VLOOKUP(A101,[1]Detalle!$D$2:$CW$484,98,FALSE)</f>
        <v>Unilever - Unilever de Arg. S.A.</v>
      </c>
      <c r="D101" s="13">
        <v>46270</v>
      </c>
    </row>
    <row r="102" spans="1:4" ht="14.25" customHeight="1" x14ac:dyDescent="0.3">
      <c r="A102" s="39" t="s">
        <v>138</v>
      </c>
      <c r="B102" s="39" t="s">
        <v>343</v>
      </c>
      <c r="C102" s="42" t="str">
        <f>VLOOKUP(A102,[1]Detalle!$D$2:$CW$484,98,FALSE)</f>
        <v>SUC_MEN - Sucursal Mendoza</v>
      </c>
      <c r="D102" s="13">
        <v>46110</v>
      </c>
    </row>
    <row r="103" spans="1:4" ht="14.25" customHeight="1" x14ac:dyDescent="0.3">
      <c r="A103" s="39" t="s">
        <v>138</v>
      </c>
      <c r="B103" s="39" t="s">
        <v>343</v>
      </c>
      <c r="C103" s="42" t="str">
        <f>VLOOKUP(A103,[1]Detalle!$D$2:$CW$484,98,FALSE)</f>
        <v>SUC_MEN - Sucursal Mendoza</v>
      </c>
      <c r="D103" s="13">
        <v>46110</v>
      </c>
    </row>
    <row r="104" spans="1:4" ht="14.25" customHeight="1" x14ac:dyDescent="0.3">
      <c r="A104" s="39" t="s">
        <v>140</v>
      </c>
      <c r="B104" s="39" t="s">
        <v>343</v>
      </c>
      <c r="C104" s="42" t="str">
        <f>VLOOKUP(A104,[1]Detalle!$D$2:$CW$484,98,FALSE)</f>
        <v>CCU_MZA - Comp. Cerv. Unidas - MZA</v>
      </c>
      <c r="D104" s="13">
        <v>46380</v>
      </c>
    </row>
    <row r="105" spans="1:4" ht="14.25" customHeight="1" x14ac:dyDescent="0.3">
      <c r="A105" s="39" t="s">
        <v>140</v>
      </c>
      <c r="B105" s="39" t="s">
        <v>343</v>
      </c>
      <c r="C105" s="42" t="str">
        <f>VLOOKUP(A105,[1]Detalle!$D$2:$CW$484,98,FALSE)</f>
        <v>CCU_MZA - Comp. Cerv. Unidas - MZA</v>
      </c>
      <c r="D105" s="13">
        <v>46380</v>
      </c>
    </row>
    <row r="106" spans="1:4" ht="14.25" customHeight="1" x14ac:dyDescent="0.3">
      <c r="A106" s="39" t="s">
        <v>156</v>
      </c>
      <c r="B106" s="39" t="s">
        <v>343</v>
      </c>
      <c r="C106" s="42" t="str">
        <f>VLOOKUP(A106,[1]Detalle!$D$2:$CW$484,98,FALSE)</f>
        <v>SUC_MEN - Sucursal Mendoza</v>
      </c>
      <c r="D106" s="13">
        <v>46224</v>
      </c>
    </row>
    <row r="107" spans="1:4" ht="14.25" customHeight="1" x14ac:dyDescent="0.3">
      <c r="A107" s="39" t="s">
        <v>156</v>
      </c>
      <c r="B107" s="39" t="s">
        <v>343</v>
      </c>
      <c r="C107" s="42" t="str">
        <f>VLOOKUP(A107,[1]Detalle!$D$2:$CW$484,98,FALSE)</f>
        <v>SUC_MEN - Sucursal Mendoza</v>
      </c>
      <c r="D107" s="13">
        <v>46224</v>
      </c>
    </row>
    <row r="108" spans="1:4" ht="14.25" customHeight="1" x14ac:dyDescent="0.3">
      <c r="A108" s="39" t="s">
        <v>118</v>
      </c>
      <c r="B108" s="39" t="s">
        <v>343</v>
      </c>
      <c r="C108" s="42" t="str">
        <f>VLOOKUP(A108,[1]Detalle!$D$2:$CW$484,98,FALSE)</f>
        <v>CCUCoAZA</v>
      </c>
      <c r="D108" s="13">
        <v>46209</v>
      </c>
    </row>
    <row r="109" spans="1:4" ht="14.25" customHeight="1" x14ac:dyDescent="0.3">
      <c r="A109" s="39" t="s">
        <v>118</v>
      </c>
      <c r="B109" s="39" t="s">
        <v>343</v>
      </c>
      <c r="C109" s="42" t="str">
        <f>VLOOKUP(A109,[1]Detalle!$D$2:$CW$484,98,FALSE)</f>
        <v>CCUCoAZA</v>
      </c>
      <c r="D109" s="13">
        <v>46209</v>
      </c>
    </row>
    <row r="110" spans="1:4" ht="14.25" customHeight="1" x14ac:dyDescent="0.3">
      <c r="A110" s="39" t="s">
        <v>119</v>
      </c>
      <c r="B110" s="39" t="s">
        <v>343</v>
      </c>
      <c r="C110" s="42" t="str">
        <f>VLOOKUP(A110,[1]Detalle!$D$2:$CW$484,98,FALSE)</f>
        <v>SUC_CTC - Sucursal Buenos Aires</v>
      </c>
      <c r="D110" s="13">
        <v>46059</v>
      </c>
    </row>
    <row r="111" spans="1:4" ht="14.25" customHeight="1" x14ac:dyDescent="0.3">
      <c r="A111" s="39" t="s">
        <v>119</v>
      </c>
      <c r="B111" s="39" t="s">
        <v>343</v>
      </c>
      <c r="C111" s="42" t="str">
        <f>VLOOKUP(A111,[1]Detalle!$D$2:$CW$484,98,FALSE)</f>
        <v>SUC_CTC - Sucursal Buenos Aires</v>
      </c>
      <c r="D111" s="13">
        <v>46059</v>
      </c>
    </row>
    <row r="112" spans="1:4" ht="14.25" customHeight="1" x14ac:dyDescent="0.3">
      <c r="A112" s="39" t="s">
        <v>123</v>
      </c>
      <c r="B112" s="39" t="s">
        <v>343</v>
      </c>
      <c r="C112" s="42" t="str">
        <f>VLOOKUP(A112,[1]Detalle!$D$2:$CW$484,98,FALSE)</f>
        <v>SUC_SRA - Sucursal San Rafael</v>
      </c>
      <c r="D112" s="13">
        <v>46153</v>
      </c>
    </row>
    <row r="113" spans="1:4" ht="14.25" customHeight="1" x14ac:dyDescent="0.3">
      <c r="A113" s="39" t="s">
        <v>123</v>
      </c>
      <c r="B113" s="39" t="s">
        <v>343</v>
      </c>
      <c r="C113" s="42" t="str">
        <f>VLOOKUP(A113,[1]Detalle!$D$2:$CW$484,98,FALSE)</f>
        <v>SUC_SRA - Sucursal San Rafael</v>
      </c>
      <c r="D113" s="13">
        <v>46153</v>
      </c>
    </row>
    <row r="114" spans="1:4" ht="14.25" customHeight="1" x14ac:dyDescent="0.3">
      <c r="A114" s="39" t="s">
        <v>111</v>
      </c>
      <c r="B114" s="39" t="s">
        <v>343</v>
      </c>
      <c r="C114" s="42" t="str">
        <f>VLOOKUP(A114,[1]Detalle!$D$2:$CW$484,98,FALSE)</f>
        <v>SUC_MEN - Sucursal Mendoza</v>
      </c>
      <c r="D114" s="13">
        <v>46138</v>
      </c>
    </row>
    <row r="115" spans="1:4" ht="14.25" customHeight="1" x14ac:dyDescent="0.3">
      <c r="A115" s="39" t="s">
        <v>111</v>
      </c>
      <c r="B115" s="39" t="s">
        <v>343</v>
      </c>
      <c r="C115" s="42" t="str">
        <f>VLOOKUP(A115,[1]Detalle!$D$2:$CW$484,98,FALSE)</f>
        <v>SUC_MEN - Sucursal Mendoza</v>
      </c>
      <c r="D115" s="13">
        <v>46138</v>
      </c>
    </row>
    <row r="116" spans="1:4" ht="14.25" customHeight="1" x14ac:dyDescent="0.3">
      <c r="A116" s="39" t="s">
        <v>135</v>
      </c>
      <c r="B116" s="39" t="s">
        <v>343</v>
      </c>
      <c r="C116" s="42" t="str">
        <f>VLOOKUP(A116,[1]Detalle!$D$2:$CW$484,98,FALSE)</f>
        <v>CCUCoAZA</v>
      </c>
      <c r="D116" s="13">
        <v>46281</v>
      </c>
    </row>
    <row r="117" spans="1:4" ht="14.25" customHeight="1" x14ac:dyDescent="0.3">
      <c r="A117" s="39" t="s">
        <v>135</v>
      </c>
      <c r="B117" s="39" t="s">
        <v>343</v>
      </c>
      <c r="C117" s="42" t="str">
        <f>VLOOKUP(A117,[1]Detalle!$D$2:$CW$484,98,FALSE)</f>
        <v>CCUCoAZA</v>
      </c>
      <c r="D117" s="13">
        <v>46281</v>
      </c>
    </row>
    <row r="118" spans="1:4" ht="14.25" customHeight="1" x14ac:dyDescent="0.3">
      <c r="A118" s="39" t="s">
        <v>182</v>
      </c>
      <c r="B118" s="39" t="s">
        <v>343</v>
      </c>
      <c r="C118" s="42" t="str">
        <f>VLOOKUP(A118,[1]Detalle!$D$2:$CW$484,98,FALSE)</f>
        <v>CCU_MZA - Comp. Cerv. Unidas - MZA</v>
      </c>
      <c r="D118" s="13">
        <v>46333</v>
      </c>
    </row>
    <row r="119" spans="1:4" ht="14.25" customHeight="1" x14ac:dyDescent="0.3">
      <c r="A119" s="39" t="s">
        <v>182</v>
      </c>
      <c r="B119" s="39" t="s">
        <v>343</v>
      </c>
      <c r="C119" s="42" t="str">
        <f>VLOOKUP(A119,[1]Detalle!$D$2:$CW$484,98,FALSE)</f>
        <v>CCU_MZA - Comp. Cerv. Unidas - MZA</v>
      </c>
      <c r="D119" s="13">
        <v>46333</v>
      </c>
    </row>
    <row r="120" spans="1:4" ht="14.25" customHeight="1" x14ac:dyDescent="0.3">
      <c r="A120" s="39" t="s">
        <v>137</v>
      </c>
      <c r="B120" s="39" t="s">
        <v>343</v>
      </c>
      <c r="C120" s="42" t="str">
        <f>VLOOKUP(A120,[1]Detalle!$D$2:$CW$484,98,FALSE)</f>
        <v>CCUDyAZA</v>
      </c>
      <c r="D120" s="13">
        <v>46316</v>
      </c>
    </row>
    <row r="121" spans="1:4" ht="14.25" customHeight="1" x14ac:dyDescent="0.3">
      <c r="A121" s="39" t="s">
        <v>137</v>
      </c>
      <c r="B121" s="39" t="s">
        <v>343</v>
      </c>
      <c r="C121" s="42" t="str">
        <f>VLOOKUP(A121,[1]Detalle!$D$2:$CW$484,98,FALSE)</f>
        <v>CCUDyAZA</v>
      </c>
      <c r="D121" s="13">
        <v>46316</v>
      </c>
    </row>
    <row r="122" spans="1:4" ht="14.25" customHeight="1" x14ac:dyDescent="0.3">
      <c r="A122" s="39" t="s">
        <v>139</v>
      </c>
      <c r="B122" s="39" t="s">
        <v>343</v>
      </c>
      <c r="C122" s="42" t="str">
        <f>VLOOKUP(A122,[1]Detalle!$D$2:$CW$484,98,FALSE)</f>
        <v>CCUDyAZA</v>
      </c>
      <c r="D122" s="13">
        <v>46202</v>
      </c>
    </row>
    <row r="123" spans="1:4" ht="14.25" customHeight="1" x14ac:dyDescent="0.3">
      <c r="A123" s="39" t="s">
        <v>139</v>
      </c>
      <c r="B123" s="39" t="s">
        <v>343</v>
      </c>
      <c r="C123" s="42" t="str">
        <f>VLOOKUP(A123,[1]Detalle!$D$2:$CW$484,98,FALSE)</f>
        <v>CCUDyAZA</v>
      </c>
      <c r="D123" s="13">
        <v>46202</v>
      </c>
    </row>
    <row r="124" spans="1:4" ht="14.25" customHeight="1" x14ac:dyDescent="0.3">
      <c r="A124" s="39" t="s">
        <v>210</v>
      </c>
      <c r="B124" s="39" t="s">
        <v>343</v>
      </c>
      <c r="C124" s="42" t="str">
        <f>VLOOKUP(A124,[1]Detalle!$D$2:$CW$484,98,FALSE)</f>
        <v>Topacio</v>
      </c>
      <c r="D124" s="13">
        <v>46247</v>
      </c>
    </row>
    <row r="125" spans="1:4" ht="14.25" customHeight="1" x14ac:dyDescent="0.3">
      <c r="A125" s="39" t="s">
        <v>210</v>
      </c>
      <c r="B125" s="39" t="s">
        <v>343</v>
      </c>
      <c r="C125" s="42" t="str">
        <f>VLOOKUP(A125,[1]Detalle!$D$2:$CW$484,98,FALSE)</f>
        <v>Topacio</v>
      </c>
      <c r="D125" s="13">
        <v>46247</v>
      </c>
    </row>
    <row r="126" spans="1:4" ht="14.25" customHeight="1" x14ac:dyDescent="0.3">
      <c r="A126" s="39" t="s">
        <v>143</v>
      </c>
      <c r="B126" s="39" t="s">
        <v>343</v>
      </c>
      <c r="C126" s="42" t="str">
        <f>VLOOKUP(A126,[1]Detalle!$D$2:$CW$484,98,FALSE)</f>
        <v>CENCO_MZ - Cencosud SA - Mendoza</v>
      </c>
      <c r="D126" s="13">
        <v>46147</v>
      </c>
    </row>
    <row r="127" spans="1:4" ht="14.25" customHeight="1" x14ac:dyDescent="0.3">
      <c r="A127" s="39" t="s">
        <v>143</v>
      </c>
      <c r="B127" s="39" t="s">
        <v>343</v>
      </c>
      <c r="C127" s="42" t="str">
        <f>VLOOKUP(A127,[1]Detalle!$D$2:$CW$484,98,FALSE)</f>
        <v>CENCO_MZ - Cencosud SA - Mendoza</v>
      </c>
      <c r="D127" s="13">
        <v>46147</v>
      </c>
    </row>
    <row r="128" spans="1:4" ht="14.25" customHeight="1" x14ac:dyDescent="0.3">
      <c r="A128" s="39" t="s">
        <v>153</v>
      </c>
      <c r="B128" s="39" t="s">
        <v>343</v>
      </c>
      <c r="C128" s="42" t="str">
        <f>VLOOKUP(A128,[1]Detalle!$D$2:$CW$484,98,FALSE)</f>
        <v>Expreso - Servicios Troncales</v>
      </c>
      <c r="D128" s="13">
        <v>46048</v>
      </c>
    </row>
    <row r="129" spans="1:4" ht="14.25" customHeight="1" x14ac:dyDescent="0.3">
      <c r="A129" s="39" t="s">
        <v>153</v>
      </c>
      <c r="B129" s="39" t="s">
        <v>343</v>
      </c>
      <c r="C129" s="42" t="str">
        <f>VLOOKUP(A129,[1]Detalle!$D$2:$CW$484,98,FALSE)</f>
        <v>Expreso - Servicios Troncales</v>
      </c>
      <c r="D129" s="13">
        <v>46048</v>
      </c>
    </row>
    <row r="130" spans="1:4" ht="14.25" customHeight="1" x14ac:dyDescent="0.3">
      <c r="A130" s="39" t="s">
        <v>145</v>
      </c>
      <c r="B130" s="39" t="s">
        <v>343</v>
      </c>
      <c r="C130" s="42" t="str">
        <f>VLOOKUP(A130,[1]Detalle!$D$2:$CW$484,98,FALSE)</f>
        <v>CCUCoAZA</v>
      </c>
      <c r="D130" s="13">
        <v>46333</v>
      </c>
    </row>
    <row r="131" spans="1:4" ht="14.25" customHeight="1" x14ac:dyDescent="0.3">
      <c r="A131" s="39" t="s">
        <v>145</v>
      </c>
      <c r="B131" s="39" t="s">
        <v>343</v>
      </c>
      <c r="C131" s="42" t="str">
        <f>VLOOKUP(A131,[1]Detalle!$D$2:$CW$484,98,FALSE)</f>
        <v>CCUCoAZA</v>
      </c>
      <c r="D131" s="13">
        <v>46333</v>
      </c>
    </row>
    <row r="132" spans="1:4" ht="14.25" customHeight="1" x14ac:dyDescent="0.3">
      <c r="A132" s="39" t="s">
        <v>134</v>
      </c>
      <c r="B132" s="39" t="s">
        <v>343</v>
      </c>
      <c r="C132" s="42" t="str">
        <f>VLOOKUP(A132,[1]Detalle!$D$2:$CW$484,98,FALSE)</f>
        <v>SUC_CTC - Sucursal Buenos Aires</v>
      </c>
      <c r="D132" s="13">
        <v>46226</v>
      </c>
    </row>
    <row r="133" spans="1:4" ht="14.25" customHeight="1" x14ac:dyDescent="0.3">
      <c r="A133" s="39" t="s">
        <v>134</v>
      </c>
      <c r="B133" s="39" t="s">
        <v>343</v>
      </c>
      <c r="C133" s="42" t="str">
        <f>VLOOKUP(A133,[1]Detalle!$D$2:$CW$484,98,FALSE)</f>
        <v>SUC_CTC - Sucursal Buenos Aires</v>
      </c>
      <c r="D133" s="13">
        <v>46226</v>
      </c>
    </row>
    <row r="134" spans="1:4" ht="14.25" customHeight="1" x14ac:dyDescent="0.3">
      <c r="A134" s="39" t="s">
        <v>120</v>
      </c>
      <c r="B134" s="39" t="s">
        <v>343</v>
      </c>
      <c r="C134" s="42" t="str">
        <f>VLOOKUP(A134,[1]Detalle!$D$2:$CW$484,98,FALSE)</f>
        <v>SUC_MEN - Sucursal Mendoza</v>
      </c>
      <c r="D134" s="13">
        <v>46177</v>
      </c>
    </row>
    <row r="135" spans="1:4" ht="14.25" customHeight="1" x14ac:dyDescent="0.3">
      <c r="A135" s="39" t="s">
        <v>120</v>
      </c>
      <c r="B135" s="39" t="s">
        <v>343</v>
      </c>
      <c r="C135" s="42" t="str">
        <f>VLOOKUP(A135,[1]Detalle!$D$2:$CW$484,98,FALSE)</f>
        <v>SUC_MEN - Sucursal Mendoza</v>
      </c>
      <c r="D135" s="13">
        <v>46177</v>
      </c>
    </row>
    <row r="136" spans="1:4" ht="14.25" customHeight="1" x14ac:dyDescent="0.3">
      <c r="A136" s="39" t="s">
        <v>141</v>
      </c>
      <c r="B136" s="39" t="s">
        <v>343</v>
      </c>
      <c r="C136" s="42" t="str">
        <f>VLOOKUP(A136,[1]Detalle!$D$2:$CW$484,98,FALSE)</f>
        <v>Unilever - Unilever de Arg. S.A.</v>
      </c>
      <c r="D136" s="13">
        <v>46138</v>
      </c>
    </row>
    <row r="137" spans="1:4" ht="14.25" customHeight="1" x14ac:dyDescent="0.3">
      <c r="A137" s="39" t="s">
        <v>141</v>
      </c>
      <c r="B137" s="39" t="s">
        <v>343</v>
      </c>
      <c r="C137" s="42" t="str">
        <f>VLOOKUP(A137,[1]Detalle!$D$2:$CW$484,98,FALSE)</f>
        <v>Unilever - Unilever de Arg. S.A.</v>
      </c>
      <c r="D137" s="13">
        <v>46138</v>
      </c>
    </row>
    <row r="138" spans="1:4" ht="14.25" customHeight="1" x14ac:dyDescent="0.3">
      <c r="A138" s="39" t="s">
        <v>150</v>
      </c>
      <c r="B138" s="39" t="s">
        <v>343</v>
      </c>
      <c r="C138" s="42" t="str">
        <f>VLOOKUP(A138,[1]Detalle!$D$2:$CW$484,98,FALSE)</f>
        <v>Papelera - Papelera del Plata S.A.</v>
      </c>
      <c r="D138" s="13">
        <v>46204</v>
      </c>
    </row>
    <row r="139" spans="1:4" ht="14.25" customHeight="1" x14ac:dyDescent="0.3">
      <c r="A139" s="39" t="s">
        <v>150</v>
      </c>
      <c r="B139" s="39" t="s">
        <v>343</v>
      </c>
      <c r="C139" s="42" t="str">
        <f>VLOOKUP(A139,[1]Detalle!$D$2:$CW$484,98,FALSE)</f>
        <v>Papelera - Papelera del Plata S.A.</v>
      </c>
      <c r="D139" s="13">
        <v>46204</v>
      </c>
    </row>
    <row r="140" spans="1:4" ht="14.25" customHeight="1" x14ac:dyDescent="0.3">
      <c r="A140" s="39" t="s">
        <v>158</v>
      </c>
      <c r="B140" s="39" t="s">
        <v>343</v>
      </c>
      <c r="C140" s="42" t="str">
        <f>VLOOKUP(A140,[1]Detalle!$D$2:$CW$484,98,FALSE)</f>
        <v>JOHNSON - SC JOHNSON DE ARGENTINA SAIC</v>
      </c>
      <c r="D140" s="13">
        <v>46245</v>
      </c>
    </row>
    <row r="141" spans="1:4" ht="14.25" customHeight="1" x14ac:dyDescent="0.3">
      <c r="A141" s="39" t="s">
        <v>158</v>
      </c>
      <c r="B141" s="39" t="s">
        <v>343</v>
      </c>
      <c r="C141" s="42" t="str">
        <f>VLOOKUP(A141,[1]Detalle!$D$2:$CW$484,98,FALSE)</f>
        <v>JOHNSON - SC JOHNSON DE ARGENTINA SAIC</v>
      </c>
      <c r="D141" s="13">
        <v>46245</v>
      </c>
    </row>
    <row r="142" spans="1:4" ht="14.25" customHeight="1" x14ac:dyDescent="0.3">
      <c r="A142" s="39" t="s">
        <v>147</v>
      </c>
      <c r="B142" s="39" t="s">
        <v>343</v>
      </c>
      <c r="C142" s="42" t="str">
        <f>VLOOKUP(A142,[1]Detalle!$D$2:$CW$484,98,FALSE)</f>
        <v>SUC_SLU - Sucursal San Luis</v>
      </c>
      <c r="D142" s="13">
        <v>46216</v>
      </c>
    </row>
    <row r="143" spans="1:4" ht="14.25" customHeight="1" x14ac:dyDescent="0.3">
      <c r="A143" s="39" t="s">
        <v>147</v>
      </c>
      <c r="B143" s="39" t="s">
        <v>343</v>
      </c>
      <c r="C143" s="42" t="str">
        <f>VLOOKUP(A143,[1]Detalle!$D$2:$CW$484,98,FALSE)</f>
        <v>SUC_SLU - Sucursal San Luis</v>
      </c>
      <c r="D143" s="13">
        <v>46216</v>
      </c>
    </row>
    <row r="144" spans="1:4" ht="14.25" customHeight="1" x14ac:dyDescent="0.3">
      <c r="A144" s="39" t="s">
        <v>154</v>
      </c>
      <c r="B144" s="39" t="s">
        <v>343</v>
      </c>
      <c r="C144" s="42" t="str">
        <f>VLOOKUP(A144,[1]Detalle!$D$2:$CW$484,98,FALSE)</f>
        <v>CCUCoAZA</v>
      </c>
      <c r="D144" s="13">
        <v>46325</v>
      </c>
    </row>
    <row r="145" spans="1:4" ht="14.25" customHeight="1" x14ac:dyDescent="0.3">
      <c r="A145" s="39" t="s">
        <v>154</v>
      </c>
      <c r="B145" s="39" t="s">
        <v>343</v>
      </c>
      <c r="C145" s="42" t="str">
        <f>VLOOKUP(A145,[1]Detalle!$D$2:$CW$484,98,FALSE)</f>
        <v>CCUCoAZA</v>
      </c>
      <c r="D145" s="13">
        <v>46325</v>
      </c>
    </row>
    <row r="146" spans="1:4" ht="14.25" customHeight="1" x14ac:dyDescent="0.3">
      <c r="A146" s="39" t="s">
        <v>109</v>
      </c>
      <c r="B146" s="39" t="s">
        <v>343</v>
      </c>
      <c r="C146" s="42" t="str">
        <f>VLOOKUP(A146,[1]Detalle!$D$2:$CW$484,98,FALSE)</f>
        <v>JOHNSON - SC JOHNSON DE ARGENTINA SAIC</v>
      </c>
      <c r="D146" s="13">
        <v>46246</v>
      </c>
    </row>
    <row r="147" spans="1:4" ht="14.25" customHeight="1" x14ac:dyDescent="0.3">
      <c r="A147" s="39" t="s">
        <v>109</v>
      </c>
      <c r="B147" s="39" t="s">
        <v>343</v>
      </c>
      <c r="C147" s="42" t="str">
        <f>VLOOKUP(A147,[1]Detalle!$D$2:$CW$484,98,FALSE)</f>
        <v>JOHNSON - SC JOHNSON DE ARGENTINA SAIC</v>
      </c>
      <c r="D147" s="13">
        <v>46246</v>
      </c>
    </row>
    <row r="148" spans="1:4" ht="14.25" customHeight="1" x14ac:dyDescent="0.3">
      <c r="A148" s="39" t="s">
        <v>3</v>
      </c>
      <c r="B148" s="39" t="s">
        <v>343</v>
      </c>
      <c r="C148" s="42" t="str">
        <f>VLOOKUP(A148,[1]Detalle!$D$2:$CW$484,98,FALSE)</f>
        <v>CCU_MZA - Comp. Cerv. Unidas - MZA</v>
      </c>
      <c r="D148" s="13">
        <v>46067</v>
      </c>
    </row>
    <row r="149" spans="1:4" ht="14.25" customHeight="1" x14ac:dyDescent="0.3">
      <c r="A149" s="39" t="s">
        <v>3</v>
      </c>
      <c r="B149" s="39" t="s">
        <v>343</v>
      </c>
      <c r="C149" s="42" t="str">
        <f>VLOOKUP(A149,[1]Detalle!$D$2:$CW$484,98,FALSE)</f>
        <v>CCU_MZA - Comp. Cerv. Unidas - MZA</v>
      </c>
      <c r="D149" s="13">
        <v>46067</v>
      </c>
    </row>
    <row r="150" spans="1:4" ht="14.25" customHeight="1" x14ac:dyDescent="0.3">
      <c r="A150" s="39" t="s">
        <v>75</v>
      </c>
      <c r="B150" s="39" t="s">
        <v>343</v>
      </c>
      <c r="C150" s="42" t="str">
        <f>VLOOKUP(A150,[1]Detalle!$D$2:$CW$484,98,FALSE)</f>
        <v>CCU_MZA - Comp. Cerv. Unidas - MZA</v>
      </c>
      <c r="D150" s="13">
        <v>46114</v>
      </c>
    </row>
    <row r="151" spans="1:4" ht="14.25" customHeight="1" x14ac:dyDescent="0.3">
      <c r="A151" s="39" t="s">
        <v>75</v>
      </c>
      <c r="B151" s="39" t="s">
        <v>343</v>
      </c>
      <c r="C151" s="42" t="str">
        <f>VLOOKUP(A151,[1]Detalle!$D$2:$CW$484,98,FALSE)</f>
        <v>CCU_MZA - Comp. Cerv. Unidas - MZA</v>
      </c>
      <c r="D151" s="13">
        <v>46114</v>
      </c>
    </row>
    <row r="152" spans="1:4" ht="14.25" customHeight="1" x14ac:dyDescent="0.3">
      <c r="A152" s="39" t="s">
        <v>149</v>
      </c>
      <c r="B152" s="39" t="s">
        <v>343</v>
      </c>
      <c r="C152" s="42" t="str">
        <f>VLOOKUP(A152,[1]Detalle!$D$2:$CW$484,98,FALSE)</f>
        <v>Papelera - Papelera del Plata S.A.</v>
      </c>
      <c r="D152" s="13">
        <v>46122</v>
      </c>
    </row>
    <row r="153" spans="1:4" ht="14.25" customHeight="1" x14ac:dyDescent="0.3">
      <c r="A153" s="39" t="s">
        <v>149</v>
      </c>
      <c r="B153" s="39" t="s">
        <v>343</v>
      </c>
      <c r="C153" s="42" t="str">
        <f>VLOOKUP(A153,[1]Detalle!$D$2:$CW$484,98,FALSE)</f>
        <v>Papelera - Papelera del Plata S.A.</v>
      </c>
      <c r="D153" s="13">
        <v>46122</v>
      </c>
    </row>
    <row r="154" spans="1:4" ht="14.25" customHeight="1" x14ac:dyDescent="0.3">
      <c r="A154" s="39" t="s">
        <v>166</v>
      </c>
      <c r="B154" s="39" t="s">
        <v>343</v>
      </c>
      <c r="C154" s="42" t="str">
        <f>VLOOKUP(A154,[1]Detalle!$D$2:$CW$484,98,FALSE)</f>
        <v>CCUCoAZA</v>
      </c>
      <c r="D154" s="13">
        <v>46194</v>
      </c>
    </row>
    <row r="155" spans="1:4" ht="14.25" customHeight="1" x14ac:dyDescent="0.3">
      <c r="A155" s="39" t="s">
        <v>166</v>
      </c>
      <c r="B155" s="39" t="s">
        <v>343</v>
      </c>
      <c r="C155" s="42" t="str">
        <f>VLOOKUP(A155,[1]Detalle!$D$2:$CW$484,98,FALSE)</f>
        <v>CCUCoAZA</v>
      </c>
      <c r="D155" s="13">
        <v>46194</v>
      </c>
    </row>
    <row r="156" spans="1:4" ht="14.25" customHeight="1" x14ac:dyDescent="0.3">
      <c r="A156" s="39" t="s">
        <v>159</v>
      </c>
      <c r="B156" s="39" t="s">
        <v>343</v>
      </c>
      <c r="C156" s="42" t="str">
        <f>VLOOKUP(A156,[1]Detalle!$D$2:$CW$484,98,FALSE)</f>
        <v>Papelera - Papelera del Plata S.A.</v>
      </c>
      <c r="D156" s="13">
        <v>46097</v>
      </c>
    </row>
    <row r="157" spans="1:4" ht="14.25" customHeight="1" x14ac:dyDescent="0.3">
      <c r="A157" s="39" t="s">
        <v>159</v>
      </c>
      <c r="B157" s="39" t="s">
        <v>343</v>
      </c>
      <c r="C157" s="42" t="str">
        <f>VLOOKUP(A157,[1]Detalle!$D$2:$CW$484,98,FALSE)</f>
        <v>Papelera - Papelera del Plata S.A.</v>
      </c>
      <c r="D157" s="13">
        <v>46097</v>
      </c>
    </row>
    <row r="158" spans="1:4" ht="14.25" customHeight="1" x14ac:dyDescent="0.3">
      <c r="A158" s="39" t="s">
        <v>161</v>
      </c>
      <c r="B158" s="39" t="s">
        <v>343</v>
      </c>
      <c r="C158" s="42" t="str">
        <f>VLOOKUP(A158,[1]Detalle!$D$2:$CW$484,98,FALSE)</f>
        <v>Unilever - Unilever de Arg. S.A.</v>
      </c>
      <c r="D158" s="13">
        <v>46200</v>
      </c>
    </row>
    <row r="159" spans="1:4" ht="14.25" customHeight="1" x14ac:dyDescent="0.3">
      <c r="A159" s="39" t="s">
        <v>161</v>
      </c>
      <c r="B159" s="39" t="s">
        <v>343</v>
      </c>
      <c r="C159" s="42" t="str">
        <f>VLOOKUP(A159,[1]Detalle!$D$2:$CW$484,98,FALSE)</f>
        <v>Unilever - Unilever de Arg. S.A.</v>
      </c>
      <c r="D159" s="13">
        <v>46200</v>
      </c>
    </row>
    <row r="160" spans="1:4" ht="14.25" customHeight="1" x14ac:dyDescent="0.3">
      <c r="A160" s="39" t="s">
        <v>152</v>
      </c>
      <c r="B160" s="39" t="s">
        <v>343</v>
      </c>
      <c r="C160" s="42" t="str">
        <f>VLOOKUP(A160,[1]Detalle!$D$2:$CW$484,98,FALSE)</f>
        <v>SUC_REA - Sucursal Realicó</v>
      </c>
      <c r="D160" s="13">
        <v>46140</v>
      </c>
    </row>
    <row r="161" spans="1:4" ht="14.25" customHeight="1" x14ac:dyDescent="0.3">
      <c r="A161" s="39" t="s">
        <v>152</v>
      </c>
      <c r="B161" s="39" t="s">
        <v>343</v>
      </c>
      <c r="C161" s="42" t="str">
        <f>VLOOKUP(A161,[1]Detalle!$D$2:$CW$484,98,FALSE)</f>
        <v>SUC_REA - Sucursal Realicó</v>
      </c>
      <c r="D161" s="13">
        <v>46140</v>
      </c>
    </row>
    <row r="162" spans="1:4" ht="14.25" customHeight="1" x14ac:dyDescent="0.3">
      <c r="A162" s="39" t="s">
        <v>61</v>
      </c>
      <c r="B162" s="39" t="s">
        <v>343</v>
      </c>
      <c r="C162" s="42" t="str">
        <f>VLOOKUP(A162,[1]Detalle!$D$2:$CW$484,98,FALSE)</f>
        <v>CCU_MZA - Comp. Cerv. Unidas - MZA</v>
      </c>
      <c r="D162" s="13">
        <v>46227</v>
      </c>
    </row>
    <row r="163" spans="1:4" ht="14.25" customHeight="1" x14ac:dyDescent="0.3">
      <c r="A163" s="39" t="s">
        <v>61</v>
      </c>
      <c r="B163" s="39" t="s">
        <v>343</v>
      </c>
      <c r="C163" s="42" t="str">
        <f>VLOOKUP(A163,[1]Detalle!$D$2:$CW$484,98,FALSE)</f>
        <v>CCU_MZA - Comp. Cerv. Unidas - MZA</v>
      </c>
      <c r="D163" s="13">
        <v>46227</v>
      </c>
    </row>
    <row r="164" spans="1:4" ht="14.25" customHeight="1" x14ac:dyDescent="0.3">
      <c r="A164" s="39" t="s">
        <v>15</v>
      </c>
      <c r="B164" s="39" t="s">
        <v>343</v>
      </c>
      <c r="C164" s="42" t="str">
        <f>VLOOKUP(A164,[1]Detalle!$D$2:$CW$484,98,FALSE)</f>
        <v>CENCOMLD - Cencosud SA - Mendoza</v>
      </c>
      <c r="D164" s="13">
        <v>46056</v>
      </c>
    </row>
    <row r="165" spans="1:4" ht="14.25" customHeight="1" x14ac:dyDescent="0.3">
      <c r="A165" s="39" t="s">
        <v>15</v>
      </c>
      <c r="B165" s="39" t="s">
        <v>343</v>
      </c>
      <c r="C165" s="42" t="str">
        <f>VLOOKUP(A165,[1]Detalle!$D$2:$CW$484,98,FALSE)</f>
        <v>CENCOMLD - Cencosud SA - Mendoza</v>
      </c>
      <c r="D165" s="13">
        <v>46056</v>
      </c>
    </row>
    <row r="166" spans="1:4" ht="14.25" customHeight="1" x14ac:dyDescent="0.3">
      <c r="A166" s="39" t="s">
        <v>242</v>
      </c>
      <c r="B166" s="39" t="s">
        <v>343</v>
      </c>
      <c r="C166" s="42" t="str">
        <f>VLOOKUP(A166,[1]Detalle!$D$2:$CW$484,98,FALSE)</f>
        <v>Papelera - Papelera del Plata S.A.</v>
      </c>
      <c r="D166" s="13">
        <v>46246</v>
      </c>
    </row>
    <row r="167" spans="1:4" ht="14.25" customHeight="1" x14ac:dyDescent="0.3">
      <c r="A167" s="39" t="s">
        <v>242</v>
      </c>
      <c r="B167" s="39" t="s">
        <v>343</v>
      </c>
      <c r="C167" s="42" t="str">
        <f>VLOOKUP(A167,[1]Detalle!$D$2:$CW$484,98,FALSE)</f>
        <v>Papelera - Papelera del Plata S.A.</v>
      </c>
      <c r="D167" s="13">
        <v>46246</v>
      </c>
    </row>
    <row r="168" spans="1:4" ht="14.25" customHeight="1" x14ac:dyDescent="0.3">
      <c r="A168" s="39" t="s">
        <v>136</v>
      </c>
      <c r="B168" s="39" t="s">
        <v>343</v>
      </c>
      <c r="C168" s="42" t="str">
        <f>VLOOKUP(A168,[1]Detalle!$D$2:$CW$484,98,FALSE)</f>
        <v>Topacio</v>
      </c>
      <c r="D168" s="13">
        <v>46063</v>
      </c>
    </row>
    <row r="169" spans="1:4" ht="14.25" customHeight="1" x14ac:dyDescent="0.3">
      <c r="A169" s="39" t="s">
        <v>136</v>
      </c>
      <c r="B169" s="39" t="s">
        <v>343</v>
      </c>
      <c r="C169" s="42" t="str">
        <f>VLOOKUP(A169,[1]Detalle!$D$2:$CW$484,98,FALSE)</f>
        <v>Topacio</v>
      </c>
      <c r="D169" s="13">
        <v>46063</v>
      </c>
    </row>
    <row r="170" spans="1:4" ht="14.25" customHeight="1" x14ac:dyDescent="0.3">
      <c r="A170" s="39" t="s">
        <v>170</v>
      </c>
      <c r="B170" s="39" t="s">
        <v>328</v>
      </c>
      <c r="C170" s="42" t="str">
        <f>VLOOKUP(A170,[1]Detalle!$D$2:$CW$484,98,FALSE)</f>
        <v>SUC_REA - Sucursal Realicó</v>
      </c>
      <c r="D170" s="13">
        <v>46213</v>
      </c>
    </row>
    <row r="171" spans="1:4" ht="14.25" customHeight="1" x14ac:dyDescent="0.3">
      <c r="A171" s="39" t="s">
        <v>170</v>
      </c>
      <c r="B171" s="39" t="s">
        <v>328</v>
      </c>
      <c r="C171" s="42" t="str">
        <f>VLOOKUP(A171,[1]Detalle!$D$2:$CW$484,98,FALSE)</f>
        <v>SUC_REA - Sucursal Realicó</v>
      </c>
      <c r="D171" s="13">
        <v>46213</v>
      </c>
    </row>
    <row r="172" spans="1:4" ht="14.25" customHeight="1" x14ac:dyDescent="0.3">
      <c r="A172" s="39" t="s">
        <v>179</v>
      </c>
      <c r="B172" s="39" t="s">
        <v>343</v>
      </c>
      <c r="C172" s="42" t="str">
        <f>VLOOKUP(A172,[1]Detalle!$D$2:$CW$484,98,FALSE)</f>
        <v>CCUCoAZA</v>
      </c>
      <c r="D172" s="13">
        <v>46300</v>
      </c>
    </row>
    <row r="173" spans="1:4" ht="14.25" customHeight="1" x14ac:dyDescent="0.3">
      <c r="A173" s="39" t="s">
        <v>179</v>
      </c>
      <c r="B173" s="39" t="s">
        <v>343</v>
      </c>
      <c r="C173" s="42" t="str">
        <f>VLOOKUP(A173,[1]Detalle!$D$2:$CW$484,98,FALSE)</f>
        <v>CCUCoAZA</v>
      </c>
      <c r="D173" s="13">
        <v>46300</v>
      </c>
    </row>
    <row r="174" spans="1:4" ht="14.25" customHeight="1" x14ac:dyDescent="0.3">
      <c r="A174" s="39" t="s">
        <v>180</v>
      </c>
      <c r="B174" s="39" t="s">
        <v>343</v>
      </c>
      <c r="C174" s="42" t="str">
        <f>VLOOKUP(A174,[1]Detalle!$D$2:$CW$484,98,FALSE)</f>
        <v>CCUCoAZA</v>
      </c>
      <c r="D174" s="13">
        <v>46235</v>
      </c>
    </row>
    <row r="175" spans="1:4" ht="14.25" customHeight="1" x14ac:dyDescent="0.3">
      <c r="A175" s="39" t="s">
        <v>180</v>
      </c>
      <c r="B175" s="39" t="s">
        <v>343</v>
      </c>
      <c r="C175" s="42" t="str">
        <f>VLOOKUP(A175,[1]Detalle!$D$2:$CW$484,98,FALSE)</f>
        <v>CCUCoAZA</v>
      </c>
      <c r="D175" s="13">
        <v>46235</v>
      </c>
    </row>
    <row r="176" spans="1:4" ht="14.25" customHeight="1" x14ac:dyDescent="0.3">
      <c r="A176" s="39" t="s">
        <v>164</v>
      </c>
      <c r="B176" s="39" t="s">
        <v>343</v>
      </c>
      <c r="C176" s="42" t="str">
        <f>VLOOKUP(A176,[1]Detalle!$D$2:$CW$484,98,FALSE)</f>
        <v>SUC_MEN - Sucursal Mendoza</v>
      </c>
      <c r="D176" s="13">
        <v>46236</v>
      </c>
    </row>
    <row r="177" spans="1:4" ht="14.25" customHeight="1" x14ac:dyDescent="0.3">
      <c r="A177" s="39" t="s">
        <v>164</v>
      </c>
      <c r="B177" s="39" t="s">
        <v>343</v>
      </c>
      <c r="C177" s="42" t="str">
        <f>VLOOKUP(A177,[1]Detalle!$D$2:$CW$484,98,FALSE)</f>
        <v>SUC_MEN - Sucursal Mendoza</v>
      </c>
      <c r="D177" s="13">
        <v>46236</v>
      </c>
    </row>
    <row r="178" spans="1:4" ht="14.25" customHeight="1" x14ac:dyDescent="0.3">
      <c r="A178" s="39" t="s">
        <v>142</v>
      </c>
      <c r="B178" s="39" t="s">
        <v>343</v>
      </c>
      <c r="C178" s="42" t="str">
        <f>VLOOKUP(A178,[1]Detalle!$D$2:$CW$484,98,FALSE)</f>
        <v>Papelera - Papelera del Plata S.A.</v>
      </c>
      <c r="D178" s="13">
        <v>46077</v>
      </c>
    </row>
    <row r="179" spans="1:4" ht="14.25" customHeight="1" x14ac:dyDescent="0.3">
      <c r="A179" s="39" t="s">
        <v>142</v>
      </c>
      <c r="B179" s="39" t="s">
        <v>343</v>
      </c>
      <c r="C179" s="42" t="str">
        <f>VLOOKUP(A179,[1]Detalle!$D$2:$CW$484,98,FALSE)</f>
        <v>Papelera - Papelera del Plata S.A.</v>
      </c>
      <c r="D179" s="13">
        <v>46077</v>
      </c>
    </row>
    <row r="180" spans="1:4" ht="14.25" customHeight="1" x14ac:dyDescent="0.3">
      <c r="A180" s="39" t="s">
        <v>133</v>
      </c>
      <c r="B180" s="39" t="s">
        <v>343</v>
      </c>
      <c r="C180" s="42" t="str">
        <f>VLOOKUP(A180,[1]Detalle!$D$2:$CW$484,98,FALSE)</f>
        <v>CENCO_MZ - Cencosud SA - Mendoza</v>
      </c>
      <c r="D180" s="13">
        <v>46147</v>
      </c>
    </row>
    <row r="181" spans="1:4" ht="14.25" customHeight="1" x14ac:dyDescent="0.3">
      <c r="A181" s="39" t="s">
        <v>133</v>
      </c>
      <c r="B181" s="39" t="s">
        <v>343</v>
      </c>
      <c r="C181" s="42" t="str">
        <f>VLOOKUP(A181,[1]Detalle!$D$2:$CW$484,98,FALSE)</f>
        <v>CENCO_MZ - Cencosud SA - Mendoza</v>
      </c>
      <c r="D181" s="13">
        <v>46147</v>
      </c>
    </row>
    <row r="182" spans="1:4" ht="14.25" customHeight="1" x14ac:dyDescent="0.3">
      <c r="A182" s="39" t="s">
        <v>162</v>
      </c>
      <c r="B182" s="39" t="s">
        <v>343</v>
      </c>
      <c r="C182" s="42" t="str">
        <f>VLOOKUP(A182,[1]Detalle!$D$2:$CW$484,98,FALSE)</f>
        <v>SUC_SRA - Sucursal San Rafael</v>
      </c>
      <c r="D182" s="13">
        <v>46283</v>
      </c>
    </row>
    <row r="183" spans="1:4" ht="14.25" customHeight="1" x14ac:dyDescent="0.3">
      <c r="A183" s="39" t="s">
        <v>162</v>
      </c>
      <c r="B183" s="39" t="s">
        <v>343</v>
      </c>
      <c r="C183" s="42" t="str">
        <f>VLOOKUP(A183,[1]Detalle!$D$2:$CW$484,98,FALSE)</f>
        <v>SUC_SRA - Sucursal San Rafael</v>
      </c>
      <c r="D183" s="13">
        <v>46283</v>
      </c>
    </row>
    <row r="184" spans="1:4" ht="14.25" customHeight="1" x14ac:dyDescent="0.3">
      <c r="A184" s="39" t="s">
        <v>144</v>
      </c>
      <c r="B184" s="39" t="s">
        <v>343</v>
      </c>
      <c r="C184" s="42" t="str">
        <f>VLOOKUP(A184,[1]Detalle!$D$2:$CW$484,98,FALSE)</f>
        <v>Papelera - Papelera del Plata S.A.</v>
      </c>
      <c r="D184" s="13">
        <v>46107</v>
      </c>
    </row>
    <row r="185" spans="1:4" ht="14.25" customHeight="1" x14ac:dyDescent="0.3">
      <c r="A185" s="39" t="s">
        <v>144</v>
      </c>
      <c r="B185" s="39" t="s">
        <v>343</v>
      </c>
      <c r="C185" s="42" t="str">
        <f>VLOOKUP(A185,[1]Detalle!$D$2:$CW$484,98,FALSE)</f>
        <v>Papelera - Papelera del Plata S.A.</v>
      </c>
      <c r="D185" s="13">
        <v>46107</v>
      </c>
    </row>
    <row r="186" spans="1:4" ht="14.25" customHeight="1" x14ac:dyDescent="0.3">
      <c r="A186" s="39" t="s">
        <v>189</v>
      </c>
      <c r="B186" s="39" t="s">
        <v>343</v>
      </c>
      <c r="C186" s="42" t="str">
        <f>VLOOKUP(A186,[1]Detalle!$D$2:$CW$484,98,FALSE)</f>
        <v>CCUDyAZA</v>
      </c>
      <c r="D186" s="13">
        <v>46289</v>
      </c>
    </row>
    <row r="187" spans="1:4" ht="14.25" customHeight="1" x14ac:dyDescent="0.3">
      <c r="A187" s="39" t="s">
        <v>189</v>
      </c>
      <c r="B187" s="39" t="s">
        <v>343</v>
      </c>
      <c r="C187" s="42" t="str">
        <f>VLOOKUP(A187,[1]Detalle!$D$2:$CW$484,98,FALSE)</f>
        <v>CCUDyAZA</v>
      </c>
      <c r="D187" s="13">
        <v>46289</v>
      </c>
    </row>
    <row r="188" spans="1:4" ht="14.25" customHeight="1" x14ac:dyDescent="0.3">
      <c r="A188" s="39" t="s">
        <v>190</v>
      </c>
      <c r="B188" s="39" t="s">
        <v>343</v>
      </c>
      <c r="C188" s="42" t="str">
        <f>VLOOKUP(A188,[1]Detalle!$D$2:$CW$484,98,FALSE)</f>
        <v>CCUCoAZA</v>
      </c>
      <c r="D188" s="13">
        <v>46236</v>
      </c>
    </row>
    <row r="189" spans="1:4" ht="14.25" customHeight="1" x14ac:dyDescent="0.3">
      <c r="A189" s="39" t="s">
        <v>190</v>
      </c>
      <c r="B189" s="39" t="s">
        <v>343</v>
      </c>
      <c r="C189" s="42" t="str">
        <f>VLOOKUP(A189,[1]Detalle!$D$2:$CW$484,98,FALSE)</f>
        <v>CCUCoAZA</v>
      </c>
      <c r="D189" s="13">
        <v>46236</v>
      </c>
    </row>
    <row r="190" spans="1:4" ht="14.25" customHeight="1" x14ac:dyDescent="0.3">
      <c r="A190" s="39" t="s">
        <v>196</v>
      </c>
      <c r="B190" s="39" t="s">
        <v>343</v>
      </c>
      <c r="C190" s="42" t="str">
        <f>VLOOKUP(A190,[1]Detalle!$D$2:$CW$484,98,FALSE)</f>
        <v>CCUCoAZA</v>
      </c>
      <c r="D190" s="13">
        <v>46298</v>
      </c>
    </row>
    <row r="191" spans="1:4" ht="14.25" customHeight="1" x14ac:dyDescent="0.3">
      <c r="A191" s="39" t="s">
        <v>196</v>
      </c>
      <c r="B191" s="39" t="s">
        <v>343</v>
      </c>
      <c r="C191" s="42" t="str">
        <f>VLOOKUP(A191,[1]Detalle!$D$2:$CW$484,98,FALSE)</f>
        <v>CCUCoAZA</v>
      </c>
      <c r="D191" s="13">
        <v>46298</v>
      </c>
    </row>
    <row r="192" spans="1:4" ht="14.25" customHeight="1" x14ac:dyDescent="0.3">
      <c r="A192" s="39" t="s">
        <v>202</v>
      </c>
      <c r="B192" s="39" t="s">
        <v>343</v>
      </c>
      <c r="C192" s="42" t="str">
        <f>VLOOKUP(A192,[1]Detalle!$D$2:$CW$484,98,FALSE)</f>
        <v>CCUDyAZA</v>
      </c>
      <c r="D192" s="13">
        <v>46279</v>
      </c>
    </row>
    <row r="193" spans="1:4" ht="14.25" customHeight="1" x14ac:dyDescent="0.3">
      <c r="A193" s="39" t="s">
        <v>202</v>
      </c>
      <c r="B193" s="39" t="s">
        <v>343</v>
      </c>
      <c r="C193" s="42" t="str">
        <f>VLOOKUP(A193,[1]Detalle!$D$2:$CW$484,98,FALSE)</f>
        <v>CCUDyAZA</v>
      </c>
      <c r="D193" s="13">
        <v>46279</v>
      </c>
    </row>
    <row r="194" spans="1:4" ht="14.25" customHeight="1" x14ac:dyDescent="0.3">
      <c r="A194" s="39" t="s">
        <v>204</v>
      </c>
      <c r="B194" s="39" t="s">
        <v>343</v>
      </c>
      <c r="C194" s="42" t="str">
        <f>VLOOKUP(A194,[1]Detalle!$D$2:$CW$484,98,FALSE)</f>
        <v>CCUCoAZA</v>
      </c>
      <c r="D194" s="13">
        <v>46320</v>
      </c>
    </row>
    <row r="195" spans="1:4" ht="14.25" customHeight="1" x14ac:dyDescent="0.3">
      <c r="A195" s="39" t="s">
        <v>204</v>
      </c>
      <c r="B195" s="39" t="s">
        <v>343</v>
      </c>
      <c r="C195" s="42" t="str">
        <f>VLOOKUP(A195,[1]Detalle!$D$2:$CW$484,98,FALSE)</f>
        <v>CCUCoAZA</v>
      </c>
      <c r="D195" s="13">
        <v>46320</v>
      </c>
    </row>
    <row r="196" spans="1:4" ht="14.25" customHeight="1" x14ac:dyDescent="0.3">
      <c r="A196" s="39" t="s">
        <v>205</v>
      </c>
      <c r="B196" s="39" t="s">
        <v>343</v>
      </c>
      <c r="C196" s="42" t="str">
        <f>VLOOKUP(A196,[1]Detalle!$D$2:$CW$484,98,FALSE)</f>
        <v>CCUCoAZA</v>
      </c>
      <c r="D196" s="13">
        <v>46229</v>
      </c>
    </row>
    <row r="197" spans="1:4" ht="14.25" customHeight="1" x14ac:dyDescent="0.3">
      <c r="A197" s="39" t="s">
        <v>205</v>
      </c>
      <c r="B197" s="39" t="s">
        <v>343</v>
      </c>
      <c r="C197" s="42" t="str">
        <f>VLOOKUP(A197,[1]Detalle!$D$2:$CW$484,98,FALSE)</f>
        <v>CCUCoAZA</v>
      </c>
      <c r="D197" s="13">
        <v>46229</v>
      </c>
    </row>
    <row r="198" spans="1:4" ht="14.25" customHeight="1" x14ac:dyDescent="0.3">
      <c r="A198" s="39" t="s">
        <v>171</v>
      </c>
      <c r="B198" s="39" t="s">
        <v>343</v>
      </c>
      <c r="C198" s="42" t="str">
        <f>VLOOKUP(A198,[1]Detalle!$D$2:$CW$484,98,FALSE)</f>
        <v>CENCO_MZ - Cencosud SA - Mendoza</v>
      </c>
      <c r="D198" s="13">
        <v>46146</v>
      </c>
    </row>
    <row r="199" spans="1:4" ht="14.25" customHeight="1" x14ac:dyDescent="0.3">
      <c r="A199" s="39" t="s">
        <v>171</v>
      </c>
      <c r="B199" s="39" t="s">
        <v>343</v>
      </c>
      <c r="C199" s="42" t="str">
        <f>VLOOKUP(A199,[1]Detalle!$D$2:$CW$484,98,FALSE)</f>
        <v>CENCO_MZ - Cencosud SA - Mendoza</v>
      </c>
      <c r="D199" s="13">
        <v>46146</v>
      </c>
    </row>
    <row r="200" spans="1:4" ht="14.25" customHeight="1" x14ac:dyDescent="0.3">
      <c r="A200" s="39" t="s">
        <v>172</v>
      </c>
      <c r="B200" s="39" t="s">
        <v>343</v>
      </c>
      <c r="C200" s="42" t="str">
        <f>VLOOKUP(A200,[1]Detalle!$D$2:$CW$484,98,FALSE)</f>
        <v>CENCO_MZ - Cencosud SA - Mendoza</v>
      </c>
      <c r="D200" s="13">
        <v>46228</v>
      </c>
    </row>
    <row r="201" spans="1:4" ht="14.25" customHeight="1" x14ac:dyDescent="0.3">
      <c r="A201" s="39" t="s">
        <v>172</v>
      </c>
      <c r="B201" s="39" t="s">
        <v>343</v>
      </c>
      <c r="C201" s="42" t="str">
        <f>VLOOKUP(A201,[1]Detalle!$D$2:$CW$484,98,FALSE)</f>
        <v>CENCO_MZ - Cencosud SA - Mendoza</v>
      </c>
      <c r="D201" s="13">
        <v>46228</v>
      </c>
    </row>
    <row r="202" spans="1:4" ht="14.25" customHeight="1" x14ac:dyDescent="0.3">
      <c r="A202" s="39" t="s">
        <v>209</v>
      </c>
      <c r="B202" s="39" t="s">
        <v>343</v>
      </c>
      <c r="C202" s="42" t="str">
        <f>VLOOKUP(A202,[1]Detalle!$D$2:$CW$484,98,FALSE)</f>
        <v>CENCO_MZ - Cencosud SA - Mendoza</v>
      </c>
      <c r="D202" s="13">
        <v>46027</v>
      </c>
    </row>
    <row r="203" spans="1:4" ht="14.25" customHeight="1" x14ac:dyDescent="0.3">
      <c r="A203" s="39" t="s">
        <v>209</v>
      </c>
      <c r="B203" s="39" t="s">
        <v>343</v>
      </c>
      <c r="C203" s="42" t="str">
        <f>VLOOKUP(A203,[1]Detalle!$D$2:$CW$484,98,FALSE)</f>
        <v>CENCO_MZ - Cencosud SA - Mendoza</v>
      </c>
      <c r="D203" s="13">
        <v>46027</v>
      </c>
    </row>
    <row r="204" spans="1:4" ht="14.25" customHeight="1" x14ac:dyDescent="0.3">
      <c r="A204" s="39" t="s">
        <v>248</v>
      </c>
      <c r="B204" s="39" t="s">
        <v>343</v>
      </c>
      <c r="C204" s="42" t="str">
        <f>VLOOKUP(A204,[1]Detalle!$D$2:$CW$484,98,FALSE)</f>
        <v>CCUDyAZA</v>
      </c>
      <c r="D204" s="13">
        <v>46295</v>
      </c>
    </row>
    <row r="205" spans="1:4" ht="14.25" customHeight="1" x14ac:dyDescent="0.3">
      <c r="A205" s="39" t="s">
        <v>248</v>
      </c>
      <c r="B205" s="39" t="s">
        <v>343</v>
      </c>
      <c r="C205" s="42" t="str">
        <f>VLOOKUP(A205,[1]Detalle!$D$2:$CW$484,98,FALSE)</f>
        <v>CCUDyAZA</v>
      </c>
      <c r="D205" s="13">
        <v>46295</v>
      </c>
    </row>
    <row r="206" spans="1:4" ht="14.25" customHeight="1" x14ac:dyDescent="0.3">
      <c r="A206" s="39" t="s">
        <v>249</v>
      </c>
      <c r="B206" s="39" t="s">
        <v>343</v>
      </c>
      <c r="C206" s="42" t="str">
        <f>VLOOKUP(A206,[1]Detalle!$D$2:$CW$484,98,FALSE)</f>
        <v>CCUDyAZA</v>
      </c>
      <c r="D206" s="13">
        <v>46186</v>
      </c>
    </row>
    <row r="207" spans="1:4" ht="14.25" customHeight="1" x14ac:dyDescent="0.3">
      <c r="A207" s="39" t="s">
        <v>249</v>
      </c>
      <c r="B207" s="39" t="s">
        <v>343</v>
      </c>
      <c r="C207" s="42" t="str">
        <f>VLOOKUP(A207,[1]Detalle!$D$2:$CW$484,98,FALSE)</f>
        <v>CCUDyAZA</v>
      </c>
      <c r="D207" s="13">
        <v>46186</v>
      </c>
    </row>
    <row r="208" spans="1:4" ht="14.25" customHeight="1" x14ac:dyDescent="0.3">
      <c r="A208" s="39" t="s">
        <v>251</v>
      </c>
      <c r="B208" s="39" t="s">
        <v>343</v>
      </c>
      <c r="C208" s="42" t="str">
        <f>VLOOKUP(A208,[1]Detalle!$D$2:$CW$484,98,FALSE)</f>
        <v>CCUDyAZA</v>
      </c>
      <c r="D208" s="13">
        <v>46221</v>
      </c>
    </row>
    <row r="209" spans="1:4" ht="14.25" customHeight="1" x14ac:dyDescent="0.3">
      <c r="A209" s="39" t="s">
        <v>251</v>
      </c>
      <c r="B209" s="39" t="s">
        <v>343</v>
      </c>
      <c r="C209" s="42" t="str">
        <f>VLOOKUP(A209,[1]Detalle!$D$2:$CW$484,98,FALSE)</f>
        <v>CCUDyAZA</v>
      </c>
      <c r="D209" s="13">
        <v>46221</v>
      </c>
    </row>
    <row r="210" spans="1:4" ht="14.25" customHeight="1" x14ac:dyDescent="0.3">
      <c r="A210" s="39" t="s">
        <v>252</v>
      </c>
      <c r="B210" s="39" t="s">
        <v>343</v>
      </c>
      <c r="C210" s="42" t="str">
        <f>VLOOKUP(A210,[1]Detalle!$D$2:$CW$484,98,FALSE)</f>
        <v>CCUDyAZA</v>
      </c>
      <c r="D210" s="13">
        <v>46194</v>
      </c>
    </row>
    <row r="211" spans="1:4" ht="14.25" customHeight="1" x14ac:dyDescent="0.3">
      <c r="A211" s="39" t="s">
        <v>252</v>
      </c>
      <c r="B211" s="39" t="s">
        <v>343</v>
      </c>
      <c r="C211" s="42" t="str">
        <f>VLOOKUP(A211,[1]Detalle!$D$2:$CW$484,98,FALSE)</f>
        <v>CCUDyAZA</v>
      </c>
      <c r="D211" s="13">
        <v>46194</v>
      </c>
    </row>
    <row r="212" spans="1:4" ht="14.25" customHeight="1" x14ac:dyDescent="0.3">
      <c r="A212" s="39" t="s">
        <v>254</v>
      </c>
      <c r="B212" s="39" t="s">
        <v>343</v>
      </c>
      <c r="C212" s="42" t="str">
        <f>VLOOKUP(A212,[1]Detalle!$D$2:$CW$484,98,FALSE)</f>
        <v>CCUCoAZA</v>
      </c>
      <c r="D212" s="13">
        <v>46338</v>
      </c>
    </row>
    <row r="213" spans="1:4" ht="14.25" customHeight="1" x14ac:dyDescent="0.3">
      <c r="A213" s="39" t="s">
        <v>254</v>
      </c>
      <c r="B213" s="39" t="s">
        <v>343</v>
      </c>
      <c r="C213" s="42" t="str">
        <f>VLOOKUP(A213,[1]Detalle!$D$2:$CW$484,98,FALSE)</f>
        <v>CCUCoAZA</v>
      </c>
      <c r="D213" s="13">
        <v>46338</v>
      </c>
    </row>
    <row r="214" spans="1:4" ht="14.25" customHeight="1" x14ac:dyDescent="0.3">
      <c r="A214" s="39" t="s">
        <v>255</v>
      </c>
      <c r="B214" s="39" t="s">
        <v>343</v>
      </c>
      <c r="C214" s="42" t="str">
        <f>VLOOKUP(A214,[1]Detalle!$D$2:$CW$484,98,FALSE)</f>
        <v>CCUDyAZA</v>
      </c>
      <c r="D214" s="13">
        <v>46281</v>
      </c>
    </row>
    <row r="215" spans="1:4" ht="14.25" customHeight="1" x14ac:dyDescent="0.3">
      <c r="A215" s="39" t="s">
        <v>255</v>
      </c>
      <c r="B215" s="39" t="s">
        <v>343</v>
      </c>
      <c r="C215" s="42" t="str">
        <f>VLOOKUP(A215,[1]Detalle!$D$2:$CW$484,98,FALSE)</f>
        <v>CCUDyAZA</v>
      </c>
      <c r="D215" s="13">
        <v>46281</v>
      </c>
    </row>
    <row r="216" spans="1:4" ht="14.25" customHeight="1" x14ac:dyDescent="0.3">
      <c r="A216" s="39" t="s">
        <v>256</v>
      </c>
      <c r="B216" s="39" t="s">
        <v>343</v>
      </c>
      <c r="C216" s="42" t="str">
        <f>VLOOKUP(A216,[1]Detalle!$D$2:$CW$484,98,FALSE)</f>
        <v>CCUCoAZA</v>
      </c>
      <c r="D216" s="13">
        <v>46125</v>
      </c>
    </row>
    <row r="217" spans="1:4" ht="14.25" customHeight="1" x14ac:dyDescent="0.3">
      <c r="A217" s="39" t="s">
        <v>256</v>
      </c>
      <c r="B217" s="39" t="s">
        <v>343</v>
      </c>
      <c r="C217" s="42" t="str">
        <f>VLOOKUP(A217,[1]Detalle!$D$2:$CW$484,98,FALSE)</f>
        <v>CCUCoAZA</v>
      </c>
      <c r="D217" s="13">
        <v>46125</v>
      </c>
    </row>
    <row r="218" spans="1:4" ht="14.25" customHeight="1" x14ac:dyDescent="0.3">
      <c r="A218" s="39" t="s">
        <v>260</v>
      </c>
      <c r="B218" s="39" t="s">
        <v>343</v>
      </c>
      <c r="C218" s="42" t="str">
        <f>VLOOKUP(A218,[1]Detalle!$D$2:$CW$484,98,FALSE)</f>
        <v>CCUDyAZA</v>
      </c>
      <c r="D218" s="13">
        <v>46123</v>
      </c>
    </row>
    <row r="219" spans="1:4" ht="14.25" customHeight="1" x14ac:dyDescent="0.3">
      <c r="A219" s="39" t="s">
        <v>260</v>
      </c>
      <c r="B219" s="39" t="s">
        <v>343</v>
      </c>
      <c r="C219" s="42" t="str">
        <f>VLOOKUP(A219,[1]Detalle!$D$2:$CW$484,98,FALSE)</f>
        <v>CCUDyAZA</v>
      </c>
      <c r="D219" s="13">
        <v>46123</v>
      </c>
    </row>
    <row r="220" spans="1:4" ht="14.25" customHeight="1" x14ac:dyDescent="0.3">
      <c r="A220" s="39" t="s">
        <v>261</v>
      </c>
      <c r="B220" s="39" t="s">
        <v>343</v>
      </c>
      <c r="C220" s="42" t="str">
        <f>VLOOKUP(A220,[1]Detalle!$D$2:$CW$484,98,FALSE)</f>
        <v>CCUDyAZA</v>
      </c>
      <c r="D220" s="13">
        <v>46268</v>
      </c>
    </row>
    <row r="221" spans="1:4" ht="14.25" customHeight="1" x14ac:dyDescent="0.3">
      <c r="A221" s="39" t="s">
        <v>261</v>
      </c>
      <c r="B221" s="39" t="s">
        <v>343</v>
      </c>
      <c r="C221" s="42" t="str">
        <f>VLOOKUP(A221,[1]Detalle!$D$2:$CW$484,98,FALSE)</f>
        <v>CCUDyAZA</v>
      </c>
      <c r="D221" s="13">
        <v>46268</v>
      </c>
    </row>
    <row r="222" spans="1:4" ht="14.25" customHeight="1" x14ac:dyDescent="0.3">
      <c r="A222" s="39" t="s">
        <v>262</v>
      </c>
      <c r="B222" s="39" t="s">
        <v>343</v>
      </c>
      <c r="C222" s="42" t="str">
        <f>VLOOKUP(A222,[1]Detalle!$D$2:$CW$484,98,FALSE)</f>
        <v>CCUDyAZA</v>
      </c>
      <c r="D222" s="13">
        <v>46384</v>
      </c>
    </row>
    <row r="223" spans="1:4" ht="14.25" customHeight="1" x14ac:dyDescent="0.3">
      <c r="A223" s="39" t="s">
        <v>262</v>
      </c>
      <c r="B223" s="39" t="s">
        <v>343</v>
      </c>
      <c r="C223" s="42" t="str">
        <f>VLOOKUP(A223,[1]Detalle!$D$2:$CW$484,98,FALSE)</f>
        <v>CCUDyAZA</v>
      </c>
      <c r="D223" s="13">
        <v>46384</v>
      </c>
    </row>
    <row r="224" spans="1:4" ht="14.25" customHeight="1" x14ac:dyDescent="0.3">
      <c r="A224" s="39" t="s">
        <v>263</v>
      </c>
      <c r="B224" s="39" t="s">
        <v>343</v>
      </c>
      <c r="C224" s="42" t="str">
        <f>VLOOKUP(A224,[1]Detalle!$D$2:$CW$484,98,FALSE)</f>
        <v>CCUCoAZA</v>
      </c>
      <c r="D224" s="13">
        <v>46285</v>
      </c>
    </row>
    <row r="225" spans="1:4" ht="14.25" customHeight="1" x14ac:dyDescent="0.3">
      <c r="A225" s="39" t="s">
        <v>263</v>
      </c>
      <c r="B225" s="39" t="s">
        <v>343</v>
      </c>
      <c r="C225" s="42" t="str">
        <f>VLOOKUP(A225,[1]Detalle!$D$2:$CW$484,98,FALSE)</f>
        <v>CCUCoAZA</v>
      </c>
      <c r="D225" s="13">
        <v>46285</v>
      </c>
    </row>
    <row r="226" spans="1:4" ht="14.25" customHeight="1" x14ac:dyDescent="0.3">
      <c r="A226" s="39" t="s">
        <v>265</v>
      </c>
      <c r="B226" s="39" t="s">
        <v>343</v>
      </c>
      <c r="C226" s="42" t="str">
        <f>VLOOKUP(A226,[1]Detalle!$D$2:$CW$484,98,FALSE)</f>
        <v>CCUDyAZA</v>
      </c>
      <c r="D226" s="13">
        <v>46380</v>
      </c>
    </row>
    <row r="227" spans="1:4" ht="14.25" customHeight="1" x14ac:dyDescent="0.3">
      <c r="A227" s="39" t="s">
        <v>265</v>
      </c>
      <c r="B227" s="39" t="s">
        <v>343</v>
      </c>
      <c r="C227" s="42" t="str">
        <f>VLOOKUP(A227,[1]Detalle!$D$2:$CW$484,98,FALSE)</f>
        <v>CCUDyAZA</v>
      </c>
      <c r="D227" s="13">
        <v>46380</v>
      </c>
    </row>
    <row r="228" spans="1:4" ht="14.25" customHeight="1" x14ac:dyDescent="0.3">
      <c r="A228" s="39" t="s">
        <v>267</v>
      </c>
      <c r="B228" s="39" t="s">
        <v>343</v>
      </c>
      <c r="C228" s="42" t="str">
        <f>VLOOKUP(A228,[1]Detalle!$D$2:$CW$484,98,FALSE)</f>
        <v>CCUDyAZA</v>
      </c>
      <c r="D228" s="13">
        <v>46284</v>
      </c>
    </row>
    <row r="229" spans="1:4" ht="14.25" customHeight="1" x14ac:dyDescent="0.3">
      <c r="A229" s="39" t="s">
        <v>267</v>
      </c>
      <c r="B229" s="39" t="s">
        <v>343</v>
      </c>
      <c r="C229" s="42" t="str">
        <f>VLOOKUP(A229,[1]Detalle!$D$2:$CW$484,98,FALSE)</f>
        <v>CCUDyAZA</v>
      </c>
      <c r="D229" s="13">
        <v>46284</v>
      </c>
    </row>
    <row r="230" spans="1:4" ht="14.25" customHeight="1" x14ac:dyDescent="0.3">
      <c r="A230" s="39" t="s">
        <v>274</v>
      </c>
      <c r="B230" s="39" t="s">
        <v>343</v>
      </c>
      <c r="C230" s="42" t="str">
        <f>VLOOKUP(A230,[1]Detalle!$D$2:$CW$484,98,FALSE)</f>
        <v>JOHNSON - SC JOHNSON DE ARGENTINA SAIC</v>
      </c>
      <c r="D230" s="13">
        <v>46265</v>
      </c>
    </row>
    <row r="231" spans="1:4" ht="14.25" customHeight="1" x14ac:dyDescent="0.3">
      <c r="A231" s="39" t="s">
        <v>274</v>
      </c>
      <c r="B231" s="39" t="s">
        <v>343</v>
      </c>
      <c r="C231" s="42" t="str">
        <f>VLOOKUP(A231,[1]Detalle!$D$2:$CW$484,98,FALSE)</f>
        <v>JOHNSON - SC JOHNSON DE ARGENTINA SAIC</v>
      </c>
      <c r="D231" s="13">
        <v>46265</v>
      </c>
    </row>
    <row r="232" spans="1:4" ht="14.25" customHeight="1" x14ac:dyDescent="0.3">
      <c r="A232" s="39" t="s">
        <v>275</v>
      </c>
      <c r="B232" s="39" t="s">
        <v>343</v>
      </c>
      <c r="C232" s="42" t="str">
        <f>VLOOKUP(A232,[1]Detalle!$D$2:$CW$484,98,FALSE)</f>
        <v>CCUDyAZA</v>
      </c>
      <c r="D232" s="13">
        <v>46385</v>
      </c>
    </row>
    <row r="233" spans="1:4" ht="14.25" customHeight="1" x14ac:dyDescent="0.3">
      <c r="A233" s="39" t="s">
        <v>275</v>
      </c>
      <c r="B233" s="39" t="s">
        <v>343</v>
      </c>
      <c r="C233" s="42" t="str">
        <f>VLOOKUP(A233,[1]Detalle!$D$2:$CW$484,98,FALSE)</f>
        <v>CCUDyAZA</v>
      </c>
      <c r="D233" s="13">
        <v>46385</v>
      </c>
    </row>
    <row r="234" spans="1:4" ht="14.25" customHeight="1" x14ac:dyDescent="0.3">
      <c r="A234" s="39" t="s">
        <v>106</v>
      </c>
      <c r="B234" s="39" t="s">
        <v>343</v>
      </c>
      <c r="C234" s="42" t="str">
        <f>VLOOKUP(A234,[1]Detalle!$D$2:$CW$484,98,FALSE)</f>
        <v>Unilever - Unilever de Arg. S.A.</v>
      </c>
      <c r="D234" s="13">
        <v>46362</v>
      </c>
    </row>
    <row r="235" spans="1:4" ht="14.25" customHeight="1" x14ac:dyDescent="0.3">
      <c r="A235" s="39" t="s">
        <v>106</v>
      </c>
      <c r="B235" s="39" t="s">
        <v>343</v>
      </c>
      <c r="C235" s="42" t="str">
        <f>VLOOKUP(A235,[1]Detalle!$D$2:$CW$484,98,FALSE)</f>
        <v>Unilever - Unilever de Arg. S.A.</v>
      </c>
      <c r="D235" s="13">
        <v>46362</v>
      </c>
    </row>
    <row r="236" spans="1:4" ht="14.25" customHeight="1" x14ac:dyDescent="0.3">
      <c r="A236" s="39" t="s">
        <v>146</v>
      </c>
      <c r="B236" s="39" t="s">
        <v>343</v>
      </c>
      <c r="C236" s="42" t="str">
        <f>VLOOKUP(A236,[1]Detalle!$D$2:$CW$484,98,FALSE)</f>
        <v>Unilever - Unilever de Arg. S.A.</v>
      </c>
      <c r="D236" s="13">
        <v>46118</v>
      </c>
    </row>
    <row r="237" spans="1:4" ht="14.25" customHeight="1" x14ac:dyDescent="0.3">
      <c r="A237" s="39" t="s">
        <v>146</v>
      </c>
      <c r="B237" s="39" t="s">
        <v>343</v>
      </c>
      <c r="C237" s="42" t="str">
        <f>VLOOKUP(A237,[1]Detalle!$D$2:$CW$484,98,FALSE)</f>
        <v>Unilever - Unilever de Arg. S.A.</v>
      </c>
      <c r="D237" s="13">
        <v>46118</v>
      </c>
    </row>
    <row r="238" spans="1:4" ht="14.25" customHeight="1" x14ac:dyDescent="0.3">
      <c r="A238" s="39" t="s">
        <v>236</v>
      </c>
      <c r="B238" s="39" t="s">
        <v>343</v>
      </c>
      <c r="C238" s="42" t="str">
        <f>VLOOKUP(A238,[1]Detalle!$D$2:$CW$484,98,FALSE)</f>
        <v>CENCOMLD - Cencosud SA - Mendoza</v>
      </c>
      <c r="D238" s="13">
        <v>46034</v>
      </c>
    </row>
    <row r="239" spans="1:4" ht="14.25" customHeight="1" x14ac:dyDescent="0.3">
      <c r="A239" s="39" t="s">
        <v>236</v>
      </c>
      <c r="B239" s="39" t="s">
        <v>343</v>
      </c>
      <c r="C239" s="42" t="str">
        <f>VLOOKUP(A239,[1]Detalle!$D$2:$CW$484,98,FALSE)</f>
        <v>CENCOMLD - Cencosud SA - Mendoza</v>
      </c>
      <c r="D239" s="13">
        <v>46034</v>
      </c>
    </row>
    <row r="240" spans="1:4" ht="14.25" customHeight="1" x14ac:dyDescent="0.3">
      <c r="A240" s="39" t="s">
        <v>235</v>
      </c>
      <c r="B240" s="39" t="s">
        <v>343</v>
      </c>
      <c r="C240" s="42" t="str">
        <f>VLOOKUP(A240,[1]Detalle!$D$2:$CW$484,98,FALSE)</f>
        <v>CENCOMLD - Cencosud SA - Mendoza</v>
      </c>
      <c r="D240" s="13">
        <v>46098</v>
      </c>
    </row>
    <row r="241" spans="1:4" ht="14.25" customHeight="1" x14ac:dyDescent="0.3">
      <c r="A241" s="39" t="s">
        <v>235</v>
      </c>
      <c r="B241" s="39" t="s">
        <v>343</v>
      </c>
      <c r="C241" s="42" t="str">
        <f>VLOOKUP(A241,[1]Detalle!$D$2:$CW$484,98,FALSE)</f>
        <v>CENCOMLD - Cencosud SA - Mendoza</v>
      </c>
      <c r="D241" s="13">
        <v>46098</v>
      </c>
    </row>
    <row r="242" spans="1:4" ht="14.25" customHeight="1" x14ac:dyDescent="0.3">
      <c r="A242" s="39" t="s">
        <v>273</v>
      </c>
      <c r="B242" s="39" t="s">
        <v>343</v>
      </c>
      <c r="C242" s="42" t="str">
        <f>VLOOKUP(A242,[1]Detalle!$D$2:$CW$484,98,FALSE)</f>
        <v>CENCOMLD - Cencosud SA - Mendoza</v>
      </c>
      <c r="D242" s="13">
        <v>46064</v>
      </c>
    </row>
    <row r="243" spans="1:4" ht="14.25" customHeight="1" x14ac:dyDescent="0.3">
      <c r="A243" s="39" t="s">
        <v>273</v>
      </c>
      <c r="B243" s="39" t="s">
        <v>343</v>
      </c>
      <c r="C243" s="42" t="str">
        <f>VLOOKUP(A243,[1]Detalle!$D$2:$CW$484,98,FALSE)</f>
        <v>CENCOMLD - Cencosud SA - Mendoza</v>
      </c>
      <c r="D243" s="13">
        <v>46064</v>
      </c>
    </row>
    <row r="244" spans="1:4" ht="14.25" customHeight="1" x14ac:dyDescent="0.3">
      <c r="A244" s="39" t="s">
        <v>237</v>
      </c>
      <c r="B244" s="39" t="s">
        <v>343</v>
      </c>
      <c r="C244" s="42" t="str">
        <f>VLOOKUP(A244,[1]Detalle!$D$2:$CW$484,98,FALSE)</f>
        <v>CENCOMLD - Cencosud SA - Mendoza</v>
      </c>
      <c r="D244" s="13">
        <v>46024</v>
      </c>
    </row>
    <row r="245" spans="1:4" ht="14.25" customHeight="1" x14ac:dyDescent="0.3">
      <c r="A245" s="39" t="s">
        <v>237</v>
      </c>
      <c r="B245" s="39" t="s">
        <v>343</v>
      </c>
      <c r="C245" s="42" t="str">
        <f>VLOOKUP(A245,[1]Detalle!$D$2:$CW$484,98,FALSE)</f>
        <v>CENCOMLD - Cencosud SA - Mendoza</v>
      </c>
      <c r="D245" s="13">
        <v>46024</v>
      </c>
    </row>
    <row r="246" spans="1:4" ht="14.25" customHeight="1" x14ac:dyDescent="0.3">
      <c r="A246" s="39" t="s">
        <v>160</v>
      </c>
      <c r="B246" s="39" t="s">
        <v>343</v>
      </c>
      <c r="C246" s="42" t="str">
        <f>VLOOKUP(A246,[1]Detalle!$D$2:$CW$484,98,FALSE)</f>
        <v>CENCO_SJ - Cencosud SA - San Juan</v>
      </c>
      <c r="D246" s="13">
        <v>46062</v>
      </c>
    </row>
    <row r="247" spans="1:4" ht="14.25" customHeight="1" x14ac:dyDescent="0.3">
      <c r="A247" s="39" t="s">
        <v>160</v>
      </c>
      <c r="B247" s="39" t="s">
        <v>343</v>
      </c>
      <c r="C247" s="42" t="str">
        <f>VLOOKUP(A247,[1]Detalle!$D$2:$CW$484,98,FALSE)</f>
        <v>CENCO_SJ - Cencosud SA - San Juan</v>
      </c>
      <c r="D247" s="13">
        <v>46062</v>
      </c>
    </row>
    <row r="248" spans="1:4" ht="14.25" customHeight="1" x14ac:dyDescent="0.3">
      <c r="A248" s="39" t="s">
        <v>238</v>
      </c>
      <c r="B248" s="39" t="s">
        <v>343</v>
      </c>
      <c r="C248" s="42" t="str">
        <f>VLOOKUP(A248,[1]Detalle!$D$2:$CW$484,98,FALSE)</f>
        <v>CMQ_TTE - QUILMES TTE</v>
      </c>
      <c r="D248" s="13">
        <v>46084</v>
      </c>
    </row>
    <row r="249" spans="1:4" ht="14.25" customHeight="1" x14ac:dyDescent="0.3">
      <c r="A249" s="39" t="s">
        <v>238</v>
      </c>
      <c r="B249" s="39" t="s">
        <v>343</v>
      </c>
      <c r="C249" s="42" t="str">
        <f>VLOOKUP(A249,[1]Detalle!$D$2:$CW$484,98,FALSE)</f>
        <v>CMQ_TTE - QUILMES TTE</v>
      </c>
      <c r="D249" s="13">
        <v>46084</v>
      </c>
    </row>
    <row r="250" spans="1:4" ht="14.25" customHeight="1" x14ac:dyDescent="0.3">
      <c r="A250" s="39" t="s">
        <v>148</v>
      </c>
      <c r="B250" s="39" t="s">
        <v>343</v>
      </c>
      <c r="C250" s="42" t="str">
        <f>VLOOKUP(A250,[1]Detalle!$D$2:$CW$484,98,FALSE)</f>
        <v>JOHNSON - SC JOHNSON DE ARGENTINA SAIC</v>
      </c>
      <c r="D250" s="13">
        <v>46097</v>
      </c>
    </row>
    <row r="251" spans="1:4" ht="14.25" customHeight="1" x14ac:dyDescent="0.3">
      <c r="A251" s="39" t="s">
        <v>148</v>
      </c>
      <c r="B251" s="39" t="s">
        <v>343</v>
      </c>
      <c r="C251" s="42" t="str">
        <f>VLOOKUP(A251,[1]Detalle!$D$2:$CW$484,98,FALSE)</f>
        <v>JOHNSON - SC JOHNSON DE ARGENTINA SAIC</v>
      </c>
      <c r="D251" s="13">
        <v>46097</v>
      </c>
    </row>
    <row r="252" spans="1:4" ht="14.25" customHeight="1" x14ac:dyDescent="0.3">
      <c r="A252" s="39" t="s">
        <v>239</v>
      </c>
      <c r="B252" s="39" t="s">
        <v>343</v>
      </c>
      <c r="C252" s="42" t="str">
        <f>VLOOKUP(A252,[1]Detalle!$D$2:$CW$484,98,FALSE)</f>
        <v>CMQ_TTE - QUILMES TTE</v>
      </c>
      <c r="D252" s="13">
        <v>46292</v>
      </c>
    </row>
    <row r="253" spans="1:4" ht="14.25" customHeight="1" x14ac:dyDescent="0.3">
      <c r="A253" s="39" t="s">
        <v>239</v>
      </c>
      <c r="B253" s="39" t="s">
        <v>343</v>
      </c>
      <c r="C253" s="42" t="str">
        <f>VLOOKUP(A253,[1]Detalle!$D$2:$CW$484,98,FALSE)</f>
        <v>CMQ_TTE - QUILMES TTE</v>
      </c>
      <c r="D253" s="13">
        <v>46292</v>
      </c>
    </row>
    <row r="254" spans="1:4" ht="14.25" customHeight="1" x14ac:dyDescent="0.3">
      <c r="A254" s="39" t="s">
        <v>157</v>
      </c>
      <c r="B254" s="39" t="s">
        <v>343</v>
      </c>
      <c r="C254" s="42" t="str">
        <f>VLOOKUP(A254,[1]Detalle!$D$2:$CW$484,98,FALSE)</f>
        <v>Papelera - Papelera del Plata S.A.</v>
      </c>
      <c r="D254" s="13">
        <v>46294</v>
      </c>
    </row>
    <row r="255" spans="1:4" ht="14.25" customHeight="1" x14ac:dyDescent="0.3">
      <c r="A255" s="39" t="s">
        <v>157</v>
      </c>
      <c r="B255" s="39" t="s">
        <v>343</v>
      </c>
      <c r="C255" s="42" t="str">
        <f>VLOOKUP(A255,[1]Detalle!$D$2:$CW$484,98,FALSE)</f>
        <v>Papelera - Papelera del Plata S.A.</v>
      </c>
      <c r="D255" s="13">
        <v>46294</v>
      </c>
    </row>
    <row r="256" spans="1:4" ht="14.25" customHeight="1" x14ac:dyDescent="0.3">
      <c r="A256" s="39" t="s">
        <v>163</v>
      </c>
      <c r="B256" s="39" t="s">
        <v>343</v>
      </c>
      <c r="C256" s="42" t="str">
        <f>VLOOKUP(A256,[1]Detalle!$D$2:$CW$484,98,FALSE)</f>
        <v>Unilever - Unilever de Arg. S.A.</v>
      </c>
      <c r="D256" s="13">
        <v>46159</v>
      </c>
    </row>
    <row r="257" spans="1:4" ht="14.25" customHeight="1" x14ac:dyDescent="0.3">
      <c r="A257" s="39" t="s">
        <v>163</v>
      </c>
      <c r="B257" s="39" t="s">
        <v>343</v>
      </c>
      <c r="C257" s="42" t="str">
        <f>VLOOKUP(A257,[1]Detalle!$D$2:$CW$484,98,FALSE)</f>
        <v>Unilever - Unilever de Arg. S.A.</v>
      </c>
      <c r="D257" s="13">
        <v>46159</v>
      </c>
    </row>
    <row r="258" spans="1:4" ht="14.25" customHeight="1" x14ac:dyDescent="0.3">
      <c r="A258" s="39" t="s">
        <v>185</v>
      </c>
      <c r="B258" s="39" t="s">
        <v>343</v>
      </c>
      <c r="C258" s="42" t="str">
        <f>VLOOKUP(A258,[1]Detalle!$D$2:$CW$484,98,FALSE)</f>
        <v>CENCO_SJ - Cencosud SA - San Juan</v>
      </c>
      <c r="D258" s="13">
        <v>46256</v>
      </c>
    </row>
    <row r="259" spans="1:4" ht="14.25" customHeight="1" x14ac:dyDescent="0.3">
      <c r="A259" s="39" t="s">
        <v>185</v>
      </c>
      <c r="B259" s="39" t="s">
        <v>343</v>
      </c>
      <c r="C259" s="42" t="str">
        <f>VLOOKUP(A259,[1]Detalle!$D$2:$CW$484,98,FALSE)</f>
        <v>CENCO_SJ - Cencosud SA - San Juan</v>
      </c>
      <c r="D259" s="13">
        <v>46256</v>
      </c>
    </row>
    <row r="260" spans="1:4" ht="14.25" customHeight="1" x14ac:dyDescent="0.3">
      <c r="A260" s="39" t="s">
        <v>62</v>
      </c>
      <c r="B260" s="39" t="s">
        <v>343</v>
      </c>
      <c r="C260" s="42" t="str">
        <f>VLOOKUP(A260,[1]Detalle!$D$2:$CW$484,98,FALSE)</f>
        <v>CCUDyAZA</v>
      </c>
      <c r="D260" s="13">
        <v>46319</v>
      </c>
    </row>
    <row r="261" spans="1:4" ht="14.25" customHeight="1" x14ac:dyDescent="0.3">
      <c r="A261" s="39" t="s">
        <v>62</v>
      </c>
      <c r="B261" s="39" t="s">
        <v>343</v>
      </c>
      <c r="C261" s="42" t="str">
        <f>VLOOKUP(A261,[1]Detalle!$D$2:$CW$484,98,FALSE)</f>
        <v>CCUDyAZA</v>
      </c>
      <c r="D261" s="13">
        <v>46319</v>
      </c>
    </row>
    <row r="262" spans="1:4" ht="14.25" customHeight="1" x14ac:dyDescent="0.3">
      <c r="A262" s="39" t="s">
        <v>60</v>
      </c>
      <c r="B262" s="39" t="s">
        <v>343</v>
      </c>
      <c r="C262" s="42" t="str">
        <f>VLOOKUP(A262,[1]Detalle!$D$2:$CW$484,98,FALSE)</f>
        <v>CCUDyAZA</v>
      </c>
      <c r="D262" s="13">
        <v>46136</v>
      </c>
    </row>
    <row r="263" spans="1:4" ht="14.25" customHeight="1" x14ac:dyDescent="0.3">
      <c r="A263" s="39" t="s">
        <v>60</v>
      </c>
      <c r="B263" s="39" t="s">
        <v>343</v>
      </c>
      <c r="C263" s="42" t="str">
        <f>VLOOKUP(A263,[1]Detalle!$D$2:$CW$484,98,FALSE)</f>
        <v>CCUDyAZA</v>
      </c>
      <c r="D263" s="13">
        <v>46136</v>
      </c>
    </row>
    <row r="264" spans="1:4" ht="14.25" customHeight="1" x14ac:dyDescent="0.3">
      <c r="A264" s="39" t="s">
        <v>165</v>
      </c>
      <c r="B264" s="39" t="s">
        <v>343</v>
      </c>
      <c r="C264" s="42" t="str">
        <f>VLOOKUP(A264,[1]Detalle!$D$2:$CW$484,98,FALSE)</f>
        <v>Papelera - Papelera del Plata S.A.</v>
      </c>
      <c r="D264" s="13">
        <v>46333</v>
      </c>
    </row>
    <row r="265" spans="1:4" ht="14.25" customHeight="1" x14ac:dyDescent="0.3">
      <c r="A265" s="39" t="s">
        <v>165</v>
      </c>
      <c r="B265" s="39" t="s">
        <v>343</v>
      </c>
      <c r="C265" s="42" t="str">
        <f>VLOOKUP(A265,[1]Detalle!$D$2:$CW$484,98,FALSE)</f>
        <v>Papelera - Papelera del Plata S.A.</v>
      </c>
      <c r="D265" s="13">
        <v>46333</v>
      </c>
    </row>
    <row r="266" spans="1:4" ht="14.25" customHeight="1" x14ac:dyDescent="0.3">
      <c r="A266" s="39" t="s">
        <v>167</v>
      </c>
      <c r="B266" s="39" t="s">
        <v>343</v>
      </c>
      <c r="C266" s="42" t="str">
        <f>VLOOKUP(A266,[1]Detalle!$D$2:$CW$484,98,FALSE)</f>
        <v>Papelera - Papelera del Plata S.A.</v>
      </c>
      <c r="D266" s="13">
        <v>46216</v>
      </c>
    </row>
    <row r="267" spans="1:4" ht="14.25" customHeight="1" x14ac:dyDescent="0.3">
      <c r="A267" s="39" t="s">
        <v>167</v>
      </c>
      <c r="B267" s="39" t="s">
        <v>343</v>
      </c>
      <c r="C267" s="42" t="str">
        <f>VLOOKUP(A267,[1]Detalle!$D$2:$CW$484,98,FALSE)</f>
        <v>Papelera - Papelera del Plata S.A.</v>
      </c>
      <c r="D267" s="13">
        <v>46216</v>
      </c>
    </row>
    <row r="268" spans="1:4" ht="14.25" customHeight="1" x14ac:dyDescent="0.3">
      <c r="A268" s="39" t="s">
        <v>168</v>
      </c>
      <c r="B268" s="39" t="s">
        <v>343</v>
      </c>
      <c r="C268" s="42" t="str">
        <f>VLOOKUP(A268,[1]Detalle!$D$2:$CW$484,98,FALSE)</f>
        <v>Unilever - Unilever de Arg. S.A.</v>
      </c>
      <c r="D268" s="13">
        <v>46036</v>
      </c>
    </row>
    <row r="269" spans="1:4" ht="14.25" customHeight="1" x14ac:dyDescent="0.3">
      <c r="A269" s="39" t="s">
        <v>168</v>
      </c>
      <c r="B269" s="39" t="s">
        <v>343</v>
      </c>
      <c r="C269" s="42" t="str">
        <f>VLOOKUP(A269,[1]Detalle!$D$2:$CW$484,98,FALSE)</f>
        <v>Unilever - Unilever de Arg. S.A.</v>
      </c>
      <c r="D269" s="13">
        <v>46036</v>
      </c>
    </row>
    <row r="270" spans="1:4" ht="14.25" customHeight="1" x14ac:dyDescent="0.3">
      <c r="A270" s="39" t="s">
        <v>174</v>
      </c>
      <c r="B270" s="39" t="s">
        <v>343</v>
      </c>
      <c r="C270" s="42" t="str">
        <f>VLOOKUP(A270,[1]Detalle!$D$2:$CW$484,98,FALSE)</f>
        <v>Unilever - Unilever de Arg. S.A.</v>
      </c>
      <c r="D270" s="13">
        <v>46029</v>
      </c>
    </row>
    <row r="271" spans="1:4" ht="14.25" customHeight="1" x14ac:dyDescent="0.3">
      <c r="A271" s="39" t="s">
        <v>174</v>
      </c>
      <c r="B271" s="39" t="s">
        <v>343</v>
      </c>
      <c r="C271" s="42" t="str">
        <f>VLOOKUP(A271,[1]Detalle!$D$2:$CW$484,98,FALSE)</f>
        <v>Unilever - Unilever de Arg. S.A.</v>
      </c>
      <c r="D271" s="13">
        <v>46029</v>
      </c>
    </row>
    <row r="272" spans="1:4" ht="14.25" customHeight="1" x14ac:dyDescent="0.3">
      <c r="A272" s="39" t="s">
        <v>108</v>
      </c>
      <c r="B272" s="39" t="s">
        <v>343</v>
      </c>
      <c r="C272" s="42" t="str">
        <f>VLOOKUP(A272,[1]Detalle!$D$2:$CW$484,98,FALSE)</f>
        <v>JOHNSON - SC JOHNSON DE ARGENTINA SAIC</v>
      </c>
      <c r="D272" s="13">
        <v>46103</v>
      </c>
    </row>
    <row r="273" spans="1:4" ht="14.25" customHeight="1" x14ac:dyDescent="0.3">
      <c r="A273" s="39" t="s">
        <v>108</v>
      </c>
      <c r="B273" s="39" t="s">
        <v>343</v>
      </c>
      <c r="C273" s="42" t="str">
        <f>VLOOKUP(A273,[1]Detalle!$D$2:$CW$484,98,FALSE)</f>
        <v>JOHNSON - SC JOHNSON DE ARGENTINA SAIC</v>
      </c>
      <c r="D273" s="13">
        <v>46103</v>
      </c>
    </row>
    <row r="274" spans="1:4" ht="14.25" customHeight="1" x14ac:dyDescent="0.3">
      <c r="A274" s="39" t="s">
        <v>257</v>
      </c>
      <c r="B274" s="39" t="s">
        <v>343</v>
      </c>
      <c r="C274" s="42" t="str">
        <f>VLOOKUP(A274,[1]Detalle!$D$2:$CW$484,98,FALSE)</f>
        <v>CMQ_TTE - QUILMES TTE</v>
      </c>
      <c r="D274" s="13">
        <v>46147</v>
      </c>
    </row>
    <row r="275" spans="1:4" ht="14.25" customHeight="1" x14ac:dyDescent="0.3">
      <c r="A275" s="39" t="s">
        <v>257</v>
      </c>
      <c r="B275" s="39" t="s">
        <v>343</v>
      </c>
      <c r="C275" s="42" t="str">
        <f>VLOOKUP(A275,[1]Detalle!$D$2:$CW$484,98,FALSE)</f>
        <v>CMQ_TTE - QUILMES TTE</v>
      </c>
      <c r="D275" s="13">
        <v>46147</v>
      </c>
    </row>
    <row r="276" spans="1:4" ht="14.25" customHeight="1" x14ac:dyDescent="0.3">
      <c r="A276" s="39" t="s">
        <v>264</v>
      </c>
      <c r="B276" s="39" t="s">
        <v>343</v>
      </c>
      <c r="C276" s="42" t="str">
        <f>VLOOKUP(A276,[1]Detalle!$D$2:$CW$484,98,FALSE)</f>
        <v>CMQ_TTE - QUILMES TTE</v>
      </c>
      <c r="D276" s="13">
        <v>46229</v>
      </c>
    </row>
    <row r="277" spans="1:4" ht="14.25" customHeight="1" x14ac:dyDescent="0.3">
      <c r="A277" s="39" t="s">
        <v>264</v>
      </c>
      <c r="B277" s="39" t="s">
        <v>343</v>
      </c>
      <c r="C277" s="42" t="str">
        <f>VLOOKUP(A277,[1]Detalle!$D$2:$CW$484,98,FALSE)</f>
        <v>CMQ_TTE - QUILMES TTE</v>
      </c>
      <c r="D277" s="13">
        <v>46229</v>
      </c>
    </row>
    <row r="278" spans="1:4" ht="14.25" customHeight="1" x14ac:dyDescent="0.3">
      <c r="A278" s="39" t="s">
        <v>217</v>
      </c>
      <c r="B278" s="39" t="s">
        <v>343</v>
      </c>
      <c r="C278" s="42" t="str">
        <f>VLOOKUP(A278,[1]Detalle!$D$2:$CW$484,98,FALSE)</f>
        <v>Papelera - Papelera del Plata S.A.</v>
      </c>
      <c r="D278" s="13">
        <v>46143</v>
      </c>
    </row>
    <row r="279" spans="1:4" ht="14.25" customHeight="1" x14ac:dyDescent="0.3">
      <c r="A279" s="39" t="s">
        <v>217</v>
      </c>
      <c r="B279" s="39" t="s">
        <v>343</v>
      </c>
      <c r="C279" s="42" t="str">
        <f>VLOOKUP(A279,[1]Detalle!$D$2:$CW$484,98,FALSE)</f>
        <v>Papelera - Papelera del Plata S.A.</v>
      </c>
      <c r="D279" s="13">
        <v>46143</v>
      </c>
    </row>
    <row r="280" spans="1:4" ht="14.25" customHeight="1" x14ac:dyDescent="0.3">
      <c r="A280" s="39" t="s">
        <v>78</v>
      </c>
      <c r="B280" s="39" t="s">
        <v>343</v>
      </c>
      <c r="C280" s="42" t="str">
        <f>VLOOKUP(A280,[1]Detalle!$D$2:$CW$484,98,FALSE)</f>
        <v>CCU_MZA - Comp. Cerv. Unidas - MZA</v>
      </c>
      <c r="D280" s="13">
        <v>46348</v>
      </c>
    </row>
    <row r="281" spans="1:4" ht="14.25" customHeight="1" x14ac:dyDescent="0.3">
      <c r="A281" s="39" t="s">
        <v>78</v>
      </c>
      <c r="B281" s="39" t="s">
        <v>343</v>
      </c>
      <c r="C281" s="42" t="str">
        <f>VLOOKUP(A281,[1]Detalle!$D$2:$CW$484,98,FALSE)</f>
        <v>CCU_MZA - Comp. Cerv. Unidas - MZA</v>
      </c>
      <c r="D281" s="13">
        <v>46348</v>
      </c>
    </row>
    <row r="282" spans="1:4" ht="14.25" customHeight="1" x14ac:dyDescent="0.3">
      <c r="A282" s="39" t="s">
        <v>82</v>
      </c>
      <c r="B282" s="39" t="s">
        <v>343</v>
      </c>
      <c r="C282" s="42" t="str">
        <f>VLOOKUP(A282,[1]Detalle!$D$2:$CW$484,98,FALSE)</f>
        <v>CENCO_MZ - Cencosud SA - Mendoza</v>
      </c>
      <c r="D282" s="13">
        <v>46147</v>
      </c>
    </row>
    <row r="283" spans="1:4" ht="14.25" customHeight="1" x14ac:dyDescent="0.3">
      <c r="A283" s="39" t="s">
        <v>82</v>
      </c>
      <c r="B283" s="39" t="s">
        <v>343</v>
      </c>
      <c r="C283" s="42" t="str">
        <f>VLOOKUP(A283,[1]Detalle!$D$2:$CW$484,98,FALSE)</f>
        <v>CENCO_MZ - Cencosud SA - Mendoza</v>
      </c>
      <c r="D283" s="13">
        <v>46147</v>
      </c>
    </row>
    <row r="284" spans="1:4" ht="14.25" customHeight="1" x14ac:dyDescent="0.3">
      <c r="A284" s="39" t="s">
        <v>127</v>
      </c>
      <c r="B284" s="39" t="s">
        <v>343</v>
      </c>
      <c r="C284" s="42" t="str">
        <f>VLOOKUP(A284,[1]Detalle!$D$2:$CW$484,98,FALSE)</f>
        <v>Sin Operación</v>
      </c>
      <c r="D284" s="13">
        <v>46280</v>
      </c>
    </row>
    <row r="285" spans="1:4" ht="14.25" customHeight="1" x14ac:dyDescent="0.3">
      <c r="A285" s="39" t="s">
        <v>127</v>
      </c>
      <c r="B285" s="39" t="s">
        <v>343</v>
      </c>
      <c r="C285" s="42" t="str">
        <f>VLOOKUP(A285,[1]Detalle!$D$2:$CW$484,98,FALSE)</f>
        <v>Sin Operación</v>
      </c>
      <c r="D285" s="13">
        <v>46280</v>
      </c>
    </row>
    <row r="286" spans="1:4" ht="14.25" customHeight="1" x14ac:dyDescent="0.3">
      <c r="A286" s="39" t="s">
        <v>20</v>
      </c>
      <c r="B286" s="39" t="s">
        <v>355</v>
      </c>
      <c r="C286" s="42" t="str">
        <f>VLOOKUP(A286,[1]Detalle!$D$2:$CW$484,98,FALSE)</f>
        <v>SUC_MEN - Sucursal Mendoza</v>
      </c>
      <c r="D286" s="13">
        <v>46321</v>
      </c>
    </row>
    <row r="287" spans="1:4" ht="14.25" customHeight="1" x14ac:dyDescent="0.3">
      <c r="A287" s="39" t="s">
        <v>20</v>
      </c>
      <c r="B287" s="39" t="s">
        <v>358</v>
      </c>
      <c r="C287" s="42" t="str">
        <f>VLOOKUP(A287,[1]Detalle!$D$2:$CW$484,98,FALSE)</f>
        <v>SUC_MEN - Sucursal Mendoza</v>
      </c>
      <c r="D287" s="13">
        <v>46321</v>
      </c>
    </row>
    <row r="288" spans="1:4" ht="14.25" customHeight="1" x14ac:dyDescent="0.3">
      <c r="A288" s="39" t="s">
        <v>37</v>
      </c>
      <c r="B288" s="39" t="s">
        <v>355</v>
      </c>
      <c r="C288" s="42" t="str">
        <f>VLOOKUP(A288,[1]Detalle!$D$2:$CW$484,98,FALSE)</f>
        <v>SUC_ROS - Sucursal Rosario</v>
      </c>
      <c r="D288" s="13">
        <v>46143</v>
      </c>
    </row>
    <row r="289" spans="1:4" ht="14.25" customHeight="1" x14ac:dyDescent="0.3">
      <c r="A289" s="39" t="s">
        <v>38</v>
      </c>
      <c r="B289" s="39" t="s">
        <v>355</v>
      </c>
      <c r="C289" s="42" t="str">
        <f>VLOOKUP(A289,[1]Detalle!$D$2:$CW$484,98,FALSE)</f>
        <v>SUC_SRA - Sucursal San Rafael</v>
      </c>
      <c r="D289" s="13">
        <v>46025</v>
      </c>
    </row>
    <row r="290" spans="1:4" ht="14.25" customHeight="1" x14ac:dyDescent="0.3">
      <c r="A290" s="39" t="s">
        <v>20</v>
      </c>
      <c r="B290" s="39" t="s">
        <v>365</v>
      </c>
      <c r="C290" s="42" t="str">
        <f>VLOOKUP(A290,[1]Detalle!$D$2:$CW$484,98,FALSE)</f>
        <v>SUC_MEN - Sucursal Mendoza</v>
      </c>
      <c r="D290" s="13">
        <v>46321</v>
      </c>
    </row>
    <row r="291" spans="1:4" ht="14.25" customHeight="1" x14ac:dyDescent="0.3">
      <c r="A291" s="39" t="s">
        <v>41</v>
      </c>
      <c r="B291" s="39" t="s">
        <v>355</v>
      </c>
      <c r="C291" s="42" t="str">
        <f>VLOOKUP(A291,[1]Detalle!$D$2:$CW$484,98,FALSE)</f>
        <v>CMQ_TTE - QUILMES TTE</v>
      </c>
      <c r="D291" s="13">
        <v>46271</v>
      </c>
    </row>
    <row r="292" spans="1:4" ht="14.25" customHeight="1" x14ac:dyDescent="0.3">
      <c r="A292" s="39" t="s">
        <v>47</v>
      </c>
      <c r="B292" s="39" t="s">
        <v>355</v>
      </c>
      <c r="C292" s="42" t="str">
        <f>VLOOKUP(A292,[1]Detalle!$D$2:$CW$484,98,FALSE)</f>
        <v>SUC_MEN - Sucursal Mendoza</v>
      </c>
      <c r="D292" s="13">
        <v>46080</v>
      </c>
    </row>
    <row r="293" spans="1:4" ht="14.25" customHeight="1" x14ac:dyDescent="0.3">
      <c r="A293" s="39" t="s">
        <v>48</v>
      </c>
      <c r="B293" s="39" t="s">
        <v>355</v>
      </c>
      <c r="C293" s="42" t="str">
        <f>VLOOKUP(A293,[1]Detalle!$D$2:$CW$484,98,FALSE)</f>
        <v>Unilever - Unilever de Arg. S.A.</v>
      </c>
      <c r="D293" s="13">
        <v>46226</v>
      </c>
    </row>
    <row r="294" spans="1:4" ht="14.25" customHeight="1" x14ac:dyDescent="0.3">
      <c r="A294" s="39" t="s">
        <v>49</v>
      </c>
      <c r="B294" s="39" t="s">
        <v>355</v>
      </c>
      <c r="C294" s="42" t="str">
        <f>VLOOKUP(A294,[1]Detalle!$D$2:$CW$484,98,FALSE)</f>
        <v>SUC_CTC - Sucursal Buenos Aires</v>
      </c>
      <c r="D294" s="13">
        <v>46098</v>
      </c>
    </row>
    <row r="295" spans="1:4" ht="14.25" customHeight="1" x14ac:dyDescent="0.3">
      <c r="A295" s="39" t="s">
        <v>53</v>
      </c>
      <c r="B295" s="39" t="s">
        <v>355</v>
      </c>
      <c r="C295" s="42" t="str">
        <f>VLOOKUP(A295,[1]Detalle!$D$2:$CW$484,98,FALSE)</f>
        <v>CIMSA_SRA</v>
      </c>
      <c r="D295" s="13">
        <v>46208</v>
      </c>
    </row>
    <row r="296" spans="1:4" ht="14.25" customHeight="1" x14ac:dyDescent="0.3">
      <c r="A296" s="39" t="s">
        <v>20</v>
      </c>
      <c r="B296" s="39" t="s">
        <v>371</v>
      </c>
      <c r="C296" s="42" t="str">
        <f>VLOOKUP(A296,[1]Detalle!$D$2:$CW$484,98,FALSE)</f>
        <v>SUC_MEN - Sucursal Mendoza</v>
      </c>
      <c r="D296" s="13">
        <v>46321</v>
      </c>
    </row>
    <row r="297" spans="1:4" ht="14.25" customHeight="1" x14ac:dyDescent="0.3">
      <c r="A297" s="39" t="s">
        <v>36</v>
      </c>
      <c r="B297" s="39" t="s">
        <v>355</v>
      </c>
      <c r="C297" s="42" t="str">
        <f>VLOOKUP(A297,[1]Detalle!$D$2:$CW$484,98,FALSE)</f>
        <v>SUC_SLU - Sucursal San Luis</v>
      </c>
      <c r="D297" s="13">
        <v>46025</v>
      </c>
    </row>
    <row r="298" spans="1:4" ht="14.25" customHeight="1" x14ac:dyDescent="0.3">
      <c r="A298" s="39" t="s">
        <v>81</v>
      </c>
      <c r="B298" s="39" t="s">
        <v>355</v>
      </c>
      <c r="C298" s="42" t="str">
        <f>VLOOKUP(A298,[1]Detalle!$D$2:$CW$484,98,FALSE)</f>
        <v>CIMSA_BS AS</v>
      </c>
      <c r="D298" s="13">
        <v>46334</v>
      </c>
    </row>
    <row r="299" spans="1:4" ht="14.25" customHeight="1" x14ac:dyDescent="0.3">
      <c r="A299" s="39" t="s">
        <v>36</v>
      </c>
      <c r="B299" s="39" t="s">
        <v>358</v>
      </c>
      <c r="C299" s="42" t="str">
        <f>VLOOKUP(A299,[1]Detalle!$D$2:$CW$484,98,FALSE)</f>
        <v>SUC_SLU - Sucursal San Luis</v>
      </c>
      <c r="D299" s="13">
        <v>46025</v>
      </c>
    </row>
    <row r="300" spans="1:4" ht="14.25" customHeight="1" x14ac:dyDescent="0.3">
      <c r="A300" s="39" t="s">
        <v>36</v>
      </c>
      <c r="B300" s="39" t="s">
        <v>365</v>
      </c>
      <c r="C300" s="42" t="str">
        <f>VLOOKUP(A300,[1]Detalle!$D$2:$CW$484,98,FALSE)</f>
        <v>SUC_SLU - Sucursal San Luis</v>
      </c>
      <c r="D300" s="13">
        <v>46025</v>
      </c>
    </row>
    <row r="301" spans="1:4" ht="14.25" customHeight="1" x14ac:dyDescent="0.3">
      <c r="A301" s="39" t="s">
        <v>36</v>
      </c>
      <c r="B301" s="39" t="s">
        <v>371</v>
      </c>
      <c r="C301" s="42" t="str">
        <f>VLOOKUP(A301,[1]Detalle!$D$2:$CW$484,98,FALSE)</f>
        <v>SUC_SLU - Sucursal San Luis</v>
      </c>
      <c r="D301" s="13">
        <v>46038</v>
      </c>
    </row>
    <row r="302" spans="1:4" ht="14.25" customHeight="1" x14ac:dyDescent="0.3">
      <c r="A302" s="39" t="s">
        <v>37</v>
      </c>
      <c r="B302" s="39" t="s">
        <v>358</v>
      </c>
      <c r="C302" s="42" t="str">
        <f>VLOOKUP(A302,[1]Detalle!$D$2:$CW$484,98,FALSE)</f>
        <v>SUC_ROS - Sucursal Rosario</v>
      </c>
      <c r="D302" s="13">
        <v>46143</v>
      </c>
    </row>
    <row r="303" spans="1:4" ht="14.25" customHeight="1" x14ac:dyDescent="0.3">
      <c r="A303" s="39" t="s">
        <v>38</v>
      </c>
      <c r="B303" s="39" t="s">
        <v>358</v>
      </c>
      <c r="C303" s="42" t="str">
        <f>VLOOKUP(A303,[1]Detalle!$D$2:$CW$484,98,FALSE)</f>
        <v>SUC_SRA - Sucursal San Rafael</v>
      </c>
      <c r="D303" s="13">
        <v>46025</v>
      </c>
    </row>
    <row r="304" spans="1:4" ht="14.25" customHeight="1" x14ac:dyDescent="0.3">
      <c r="A304" s="39" t="s">
        <v>39</v>
      </c>
      <c r="B304" s="39" t="s">
        <v>355</v>
      </c>
      <c r="C304" s="42" t="str">
        <f>VLOOKUP(A304,[1]Detalle!$D$2:$CW$484,98,FALSE)</f>
        <v>SUC_MEN - Sucursal Mendoza</v>
      </c>
      <c r="D304" s="13">
        <v>46071</v>
      </c>
    </row>
    <row r="305" spans="1:4" ht="14.25" customHeight="1" x14ac:dyDescent="0.3">
      <c r="A305" s="39" t="s">
        <v>41</v>
      </c>
      <c r="B305" s="39" t="s">
        <v>358</v>
      </c>
      <c r="C305" s="42" t="str">
        <f>VLOOKUP(A305,[1]Detalle!$D$2:$CW$484,98,FALSE)</f>
        <v>CMQ_TTE - QUILMES TTE</v>
      </c>
      <c r="D305" s="13">
        <v>46271</v>
      </c>
    </row>
    <row r="306" spans="1:4" ht="14.25" customHeight="1" x14ac:dyDescent="0.3">
      <c r="A306" s="39" t="s">
        <v>47</v>
      </c>
      <c r="B306" s="39" t="s">
        <v>358</v>
      </c>
      <c r="C306" s="42" t="str">
        <f>VLOOKUP(A306,[1]Detalle!$D$2:$CW$484,98,FALSE)</f>
        <v>SUC_MEN - Sucursal Mendoza</v>
      </c>
      <c r="D306" s="13">
        <v>46080</v>
      </c>
    </row>
    <row r="307" spans="1:4" ht="14.25" customHeight="1" x14ac:dyDescent="0.3">
      <c r="A307" s="39" t="s">
        <v>48</v>
      </c>
      <c r="B307" s="39" t="s">
        <v>358</v>
      </c>
      <c r="C307" s="42" t="str">
        <f>VLOOKUP(A307,[1]Detalle!$D$2:$CW$484,98,FALSE)</f>
        <v>Unilever - Unilever de Arg. S.A.</v>
      </c>
      <c r="D307" s="13">
        <v>46226</v>
      </c>
    </row>
    <row r="308" spans="1:4" ht="14.25" customHeight="1" x14ac:dyDescent="0.3">
      <c r="A308" s="39" t="s">
        <v>49</v>
      </c>
      <c r="B308" s="39" t="s">
        <v>358</v>
      </c>
      <c r="C308" s="42" t="str">
        <f>VLOOKUP(A308,[1]Detalle!$D$2:$CW$484,98,FALSE)</f>
        <v>SUC_CTC - Sucursal Buenos Aires</v>
      </c>
      <c r="D308" s="13">
        <v>46098</v>
      </c>
    </row>
    <row r="309" spans="1:4" ht="14.25" customHeight="1" x14ac:dyDescent="0.3">
      <c r="A309" s="39" t="s">
        <v>53</v>
      </c>
      <c r="B309" s="39" t="s">
        <v>358</v>
      </c>
      <c r="C309" s="42" t="str">
        <f>VLOOKUP(A309,[1]Detalle!$D$2:$CW$484,98,FALSE)</f>
        <v>CIMSA_SRA</v>
      </c>
      <c r="D309" s="13">
        <v>46208</v>
      </c>
    </row>
    <row r="310" spans="1:4" ht="14.25" customHeight="1" x14ac:dyDescent="0.3">
      <c r="A310" s="39" t="s">
        <v>39</v>
      </c>
      <c r="B310" s="39" t="s">
        <v>358</v>
      </c>
      <c r="C310" s="42" t="str">
        <f>VLOOKUP(A310,[1]Detalle!$D$2:$CW$484,98,FALSE)</f>
        <v>SUC_MEN - Sucursal Mendoza</v>
      </c>
      <c r="D310" s="13">
        <v>46071</v>
      </c>
    </row>
    <row r="311" spans="1:4" ht="14.25" customHeight="1" x14ac:dyDescent="0.3">
      <c r="A311" s="39" t="s">
        <v>39</v>
      </c>
      <c r="B311" s="39" t="s">
        <v>365</v>
      </c>
      <c r="C311" s="42" t="str">
        <f>VLOOKUP(A311,[1]Detalle!$D$2:$CW$484,98,FALSE)</f>
        <v>SUC_MEN - Sucursal Mendoza</v>
      </c>
      <c r="D311" s="13">
        <v>46071</v>
      </c>
    </row>
    <row r="312" spans="1:4" ht="14.25" customHeight="1" x14ac:dyDescent="0.3">
      <c r="A312" s="39" t="s">
        <v>81</v>
      </c>
      <c r="B312" s="39" t="s">
        <v>358</v>
      </c>
      <c r="C312" s="42" t="str">
        <f>VLOOKUP(A312,[1]Detalle!$D$2:$CW$484,98,FALSE)</f>
        <v>CIMSA_BS AS</v>
      </c>
      <c r="D312" s="13">
        <v>46334</v>
      </c>
    </row>
    <row r="313" spans="1:4" ht="14.25" customHeight="1" x14ac:dyDescent="0.3">
      <c r="A313" s="39" t="s">
        <v>39</v>
      </c>
      <c r="B313" s="39" t="s">
        <v>371</v>
      </c>
      <c r="C313" s="42" t="str">
        <f>VLOOKUP(A313,[1]Detalle!$D$2:$CW$484,98,FALSE)</f>
        <v>SUC_MEN - Sucursal Mendoza</v>
      </c>
      <c r="D313" s="13">
        <v>46053</v>
      </c>
    </row>
    <row r="314" spans="1:4" ht="14.25" customHeight="1" x14ac:dyDescent="0.3">
      <c r="A314" s="39" t="s">
        <v>56</v>
      </c>
      <c r="B314" s="39" t="s">
        <v>355</v>
      </c>
      <c r="C314" s="42" t="str">
        <f>VLOOKUP(A314,[1]Detalle!$D$2:$CW$484,98,FALSE)</f>
        <v>SUC_CTC - Sucursal Buenos Aires</v>
      </c>
      <c r="D314" s="13">
        <v>46351</v>
      </c>
    </row>
    <row r="315" spans="1:4" ht="14.25" customHeight="1" x14ac:dyDescent="0.3">
      <c r="A315" s="39" t="s">
        <v>56</v>
      </c>
      <c r="B315" s="39" t="s">
        <v>358</v>
      </c>
      <c r="C315" s="42" t="str">
        <f>VLOOKUP(A315,[1]Detalle!$D$2:$CW$484,98,FALSE)</f>
        <v>SUC_CTC - Sucursal Buenos Aires</v>
      </c>
      <c r="D315" s="13">
        <v>46351</v>
      </c>
    </row>
    <row r="316" spans="1:4" ht="14.25" customHeight="1" x14ac:dyDescent="0.3">
      <c r="A316" s="39" t="s">
        <v>37</v>
      </c>
      <c r="B316" s="39" t="s">
        <v>365</v>
      </c>
      <c r="C316" s="42" t="str">
        <f>VLOOKUP(A316,[1]Detalle!$D$2:$CW$484,98,FALSE)</f>
        <v>SUC_ROS - Sucursal Rosario</v>
      </c>
      <c r="D316" s="13">
        <v>46143</v>
      </c>
    </row>
    <row r="317" spans="1:4" ht="14.25" customHeight="1" x14ac:dyDescent="0.3">
      <c r="A317" s="39" t="s">
        <v>38</v>
      </c>
      <c r="B317" s="39" t="s">
        <v>365</v>
      </c>
      <c r="C317" s="42" t="str">
        <f>VLOOKUP(A317,[1]Detalle!$D$2:$CW$484,98,FALSE)</f>
        <v>SUC_SRA - Sucursal San Rafael</v>
      </c>
      <c r="D317" s="13">
        <v>46025</v>
      </c>
    </row>
    <row r="318" spans="1:4" ht="14.25" customHeight="1" x14ac:dyDescent="0.3">
      <c r="A318" s="39" t="s">
        <v>56</v>
      </c>
      <c r="B318" s="39" t="s">
        <v>371</v>
      </c>
      <c r="C318" s="42" t="str">
        <f>VLOOKUP(A318,[1]Detalle!$D$2:$CW$484,98,FALSE)</f>
        <v>SUC_CTC - Sucursal Buenos Aires</v>
      </c>
      <c r="D318" s="13">
        <v>46351</v>
      </c>
    </row>
    <row r="319" spans="1:4" ht="14.25" customHeight="1" x14ac:dyDescent="0.3">
      <c r="A319" s="39" t="s">
        <v>41</v>
      </c>
      <c r="B319" s="39" t="s">
        <v>365</v>
      </c>
      <c r="C319" s="42" t="str">
        <f>VLOOKUP(A319,[1]Detalle!$D$2:$CW$484,98,FALSE)</f>
        <v>CMQ_TTE - QUILMES TTE</v>
      </c>
      <c r="D319" s="13">
        <v>46271</v>
      </c>
    </row>
    <row r="320" spans="1:4" ht="14.25" customHeight="1" x14ac:dyDescent="0.3">
      <c r="A320" s="39" t="s">
        <v>47</v>
      </c>
      <c r="B320" s="39" t="s">
        <v>365</v>
      </c>
      <c r="C320" s="42" t="str">
        <f>VLOOKUP(A320,[1]Detalle!$D$2:$CW$484,98,FALSE)</f>
        <v>SUC_MEN - Sucursal Mendoza</v>
      </c>
      <c r="D320" s="13">
        <v>46080</v>
      </c>
    </row>
    <row r="321" spans="1:4" ht="14.25" customHeight="1" x14ac:dyDescent="0.3">
      <c r="A321" s="39" t="s">
        <v>48</v>
      </c>
      <c r="B321" s="39" t="s">
        <v>365</v>
      </c>
      <c r="C321" s="42" t="str">
        <f>VLOOKUP(A321,[1]Detalle!$D$2:$CW$484,98,FALSE)</f>
        <v>Unilever - Unilever de Arg. S.A.</v>
      </c>
      <c r="D321" s="13">
        <v>46226</v>
      </c>
    </row>
    <row r="322" spans="1:4" ht="14.25" customHeight="1" x14ac:dyDescent="0.3">
      <c r="A322" s="39" t="s">
        <v>49</v>
      </c>
      <c r="B322" s="39" t="s">
        <v>365</v>
      </c>
      <c r="C322" s="42" t="str">
        <f>VLOOKUP(A322,[1]Detalle!$D$2:$CW$484,98,FALSE)</f>
        <v>SUC_CTC - Sucursal Buenos Aires</v>
      </c>
      <c r="D322" s="13">
        <v>46098</v>
      </c>
    </row>
    <row r="323" spans="1:4" ht="14.25" customHeight="1" x14ac:dyDescent="0.3">
      <c r="A323" s="39" t="s">
        <v>53</v>
      </c>
      <c r="B323" s="39" t="s">
        <v>365</v>
      </c>
      <c r="C323" s="42" t="str">
        <f>VLOOKUP(A323,[1]Detalle!$D$2:$CW$484,98,FALSE)</f>
        <v>CIMSA_SRA</v>
      </c>
      <c r="D323" s="13">
        <v>46201</v>
      </c>
    </row>
    <row r="324" spans="1:4" ht="14.25" customHeight="1" x14ac:dyDescent="0.3">
      <c r="A324" s="39" t="s">
        <v>56</v>
      </c>
      <c r="B324" s="39" t="s">
        <v>365</v>
      </c>
      <c r="C324" s="42" t="str">
        <f>VLOOKUP(A324,[1]Detalle!$D$2:$CW$484,98,FALSE)</f>
        <v>SUC_CTC - Sucursal Buenos Aires</v>
      </c>
      <c r="D324" s="13">
        <v>46318</v>
      </c>
    </row>
    <row r="325" spans="1:4" ht="14.25" customHeight="1" x14ac:dyDescent="0.3">
      <c r="A325" s="39" t="s">
        <v>57</v>
      </c>
      <c r="B325" s="39" t="s">
        <v>355</v>
      </c>
      <c r="C325" s="42" t="str">
        <f>VLOOKUP(A325,[1]Detalle!$D$2:$CW$484,98,FALSE)</f>
        <v>LlaveLay</v>
      </c>
      <c r="D325" s="13">
        <v>46094</v>
      </c>
    </row>
    <row r="326" spans="1:4" ht="14.25" customHeight="1" x14ac:dyDescent="0.3">
      <c r="A326" s="39" t="s">
        <v>81</v>
      </c>
      <c r="B326" s="39" t="s">
        <v>365</v>
      </c>
      <c r="C326" s="42" t="str">
        <f>VLOOKUP(A326,[1]Detalle!$D$2:$CW$484,98,FALSE)</f>
        <v>CIMSA_BS AS</v>
      </c>
      <c r="D326" s="13">
        <v>46334</v>
      </c>
    </row>
    <row r="327" spans="1:4" ht="14.25" customHeight="1" x14ac:dyDescent="0.3">
      <c r="A327" s="39" t="s">
        <v>178</v>
      </c>
      <c r="B327" s="39" t="s">
        <v>365</v>
      </c>
      <c r="C327" s="42" t="str">
        <f>VLOOKUP(A327,[1]Detalle!$D$2:$CW$484,98,FALSE)</f>
        <v>SUC_CTC - Sucursal Buenos Aires</v>
      </c>
      <c r="D327" s="13">
        <v>46047</v>
      </c>
    </row>
    <row r="328" spans="1:4" ht="14.25" customHeight="1" x14ac:dyDescent="0.3">
      <c r="A328" s="39" t="s">
        <v>57</v>
      </c>
      <c r="B328" s="39" t="s">
        <v>358</v>
      </c>
      <c r="C328" s="42" t="str">
        <f>VLOOKUP(A328,[1]Detalle!$D$2:$CW$484,98,FALSE)</f>
        <v>LlaveLay</v>
      </c>
      <c r="D328" s="13">
        <v>46104</v>
      </c>
    </row>
    <row r="329" spans="1:4" ht="14.25" customHeight="1" x14ac:dyDescent="0.3">
      <c r="A329" s="39" t="s">
        <v>34</v>
      </c>
      <c r="B329" s="39" t="s">
        <v>371</v>
      </c>
      <c r="C329" s="42" t="str">
        <f>VLOOKUP(A329,[1]Detalle!$D$2:$CW$484,98,FALSE)</f>
        <v>CMQ_TTE - QUILMES TTE</v>
      </c>
      <c r="D329" s="13">
        <v>46181</v>
      </c>
    </row>
    <row r="330" spans="1:4" ht="14.25" customHeight="1" x14ac:dyDescent="0.3">
      <c r="A330" s="39" t="s">
        <v>57</v>
      </c>
      <c r="B330" s="39" t="s">
        <v>365</v>
      </c>
      <c r="C330" s="42" t="str">
        <f>VLOOKUP(A330,[1]Detalle!$D$2:$CW$484,98,FALSE)</f>
        <v>LlaveLay</v>
      </c>
      <c r="D330" s="13">
        <v>46094</v>
      </c>
    </row>
    <row r="331" spans="1:4" ht="14.25" customHeight="1" x14ac:dyDescent="0.3">
      <c r="A331" s="39" t="s">
        <v>37</v>
      </c>
      <c r="B331" s="39" t="s">
        <v>371</v>
      </c>
      <c r="C331" s="42" t="str">
        <f>VLOOKUP(A331,[1]Detalle!$D$2:$CW$484,98,FALSE)</f>
        <v>SUC_ROS - Sucursal Rosario</v>
      </c>
      <c r="D331" s="13">
        <v>46131</v>
      </c>
    </row>
    <row r="332" spans="1:4" ht="14.25" customHeight="1" x14ac:dyDescent="0.3">
      <c r="A332" s="39" t="s">
        <v>38</v>
      </c>
      <c r="B332" s="39" t="s">
        <v>371</v>
      </c>
      <c r="C332" s="42" t="str">
        <f>VLOOKUP(A332,[1]Detalle!$D$2:$CW$484,98,FALSE)</f>
        <v>SUC_SRA - Sucursal San Rafael</v>
      </c>
      <c r="D332" s="13">
        <v>46025</v>
      </c>
    </row>
    <row r="333" spans="1:4" ht="14.25" customHeight="1" x14ac:dyDescent="0.3">
      <c r="A333" s="39" t="s">
        <v>178</v>
      </c>
      <c r="B333" s="39" t="s">
        <v>355</v>
      </c>
      <c r="C333" s="42" t="str">
        <f>VLOOKUP(A333,[1]Detalle!$D$2:$CW$484,98,FALSE)</f>
        <v>SUC_CTC - Sucursal Buenos Aires</v>
      </c>
      <c r="D333" s="13">
        <v>46047</v>
      </c>
    </row>
    <row r="334" spans="1:4" ht="14.25" customHeight="1" x14ac:dyDescent="0.3">
      <c r="A334" s="39" t="s">
        <v>41</v>
      </c>
      <c r="B334" s="39" t="s">
        <v>371</v>
      </c>
      <c r="C334" s="42" t="str">
        <f>VLOOKUP(A334,[1]Detalle!$D$2:$CW$484,98,FALSE)</f>
        <v>CMQ_TTE - QUILMES TTE</v>
      </c>
      <c r="D334" s="13">
        <v>46271</v>
      </c>
    </row>
    <row r="335" spans="1:4" ht="14.25" customHeight="1" x14ac:dyDescent="0.3">
      <c r="A335" s="39" t="s">
        <v>47</v>
      </c>
      <c r="B335" s="39" t="s">
        <v>371</v>
      </c>
      <c r="C335" s="42" t="str">
        <f>VLOOKUP(A335,[1]Detalle!$D$2:$CW$484,98,FALSE)</f>
        <v>SUC_MEN - Sucursal Mendoza</v>
      </c>
      <c r="D335" s="13">
        <v>46080</v>
      </c>
    </row>
    <row r="336" spans="1:4" ht="14.25" customHeight="1" x14ac:dyDescent="0.3">
      <c r="A336" s="39" t="s">
        <v>48</v>
      </c>
      <c r="B336" s="39" t="s">
        <v>371</v>
      </c>
      <c r="C336" s="42" t="str">
        <f>VLOOKUP(A336,[1]Detalle!$D$2:$CW$484,98,FALSE)</f>
        <v>Unilever - Unilever de Arg. S.A.</v>
      </c>
      <c r="D336" s="13">
        <v>46226</v>
      </c>
    </row>
    <row r="337" spans="1:4" ht="14.25" customHeight="1" x14ac:dyDescent="0.3">
      <c r="A337" s="39" t="s">
        <v>49</v>
      </c>
      <c r="B337" s="39" t="s">
        <v>371</v>
      </c>
      <c r="C337" s="42" t="str">
        <f>VLOOKUP(A337,[1]Detalle!$D$2:$CW$484,98,FALSE)</f>
        <v>SUC_CTC - Sucursal Buenos Aires</v>
      </c>
      <c r="D337" s="13">
        <v>46098</v>
      </c>
    </row>
    <row r="338" spans="1:4" ht="14.25" customHeight="1" x14ac:dyDescent="0.3">
      <c r="A338" s="39" t="s">
        <v>53</v>
      </c>
      <c r="B338" s="39" t="s">
        <v>371</v>
      </c>
      <c r="C338" s="42" t="str">
        <f>VLOOKUP(A338,[1]Detalle!$D$2:$CW$484,98,FALSE)</f>
        <v>CIMSA_SRA</v>
      </c>
      <c r="D338" s="13">
        <v>46201</v>
      </c>
    </row>
    <row r="339" spans="1:4" ht="14.25" customHeight="1" x14ac:dyDescent="0.3">
      <c r="A339" s="39" t="s">
        <v>178</v>
      </c>
      <c r="B339" s="39" t="s">
        <v>358</v>
      </c>
      <c r="C339" s="42" t="str">
        <f>VLOOKUP(A339,[1]Detalle!$D$2:$CW$484,98,FALSE)</f>
        <v>SUC_CTC - Sucursal Buenos Aires</v>
      </c>
      <c r="D339" s="13">
        <v>46047</v>
      </c>
    </row>
    <row r="340" spans="1:4" ht="14.25" customHeight="1" x14ac:dyDescent="0.3">
      <c r="A340" s="39" t="s">
        <v>57</v>
      </c>
      <c r="B340" s="39" t="s">
        <v>371</v>
      </c>
      <c r="C340" s="42" t="str">
        <f>VLOOKUP(A340,[1]Detalle!$D$2:$CW$484,98,FALSE)</f>
        <v>LlaveLay</v>
      </c>
      <c r="D340" s="13">
        <v>46076</v>
      </c>
    </row>
    <row r="341" spans="1:4" ht="14.25" customHeight="1" x14ac:dyDescent="0.3">
      <c r="A341" s="39" t="s">
        <v>81</v>
      </c>
      <c r="B341" s="39" t="s">
        <v>371</v>
      </c>
      <c r="C341" s="42" t="str">
        <f>VLOOKUP(A341,[1]Detalle!$D$2:$CW$484,98,FALSE)</f>
        <v>CIMSA_BS AS</v>
      </c>
      <c r="D341" s="13">
        <v>46334</v>
      </c>
    </row>
    <row r="342" spans="1:4" ht="14.25" customHeight="1" x14ac:dyDescent="0.3">
      <c r="A342" s="39" t="s">
        <v>178</v>
      </c>
      <c r="B342" s="39" t="s">
        <v>371</v>
      </c>
      <c r="C342" s="42" t="str">
        <f>VLOOKUP(A342,[1]Detalle!$D$2:$CW$484,98,FALSE)</f>
        <v>SUC_CTC - Sucursal Buenos Aires</v>
      </c>
      <c r="D342" s="13">
        <v>46047</v>
      </c>
    </row>
    <row r="343" spans="1:4" ht="14.25" customHeight="1" x14ac:dyDescent="0.3">
      <c r="A343" s="39" t="s">
        <v>163</v>
      </c>
      <c r="B343" s="39" t="s">
        <v>396</v>
      </c>
      <c r="C343" s="42" t="str">
        <f>VLOOKUP(A343,[1]Detalle!$D$2:$CW$484,98,FALSE)</f>
        <v>Unilever - Unilever de Arg. S.A.</v>
      </c>
      <c r="D343" s="13">
        <v>46159</v>
      </c>
    </row>
    <row r="344" spans="1:4" ht="14.25" customHeight="1" x14ac:dyDescent="0.3">
      <c r="A344" s="39" t="s">
        <v>163</v>
      </c>
      <c r="B344" s="39" t="s">
        <v>396</v>
      </c>
      <c r="C344" s="42" t="str">
        <f>VLOOKUP(A344,[1]Detalle!$D$2:$CW$484,98,FALSE)</f>
        <v>Unilever - Unilever de Arg. S.A.</v>
      </c>
      <c r="D344" s="13">
        <v>46159</v>
      </c>
    </row>
    <row r="345" spans="1:4" ht="14.25" customHeight="1" x14ac:dyDescent="0.3">
      <c r="A345" s="39" t="s">
        <v>162</v>
      </c>
      <c r="B345" s="39" t="s">
        <v>396</v>
      </c>
      <c r="C345" s="42" t="str">
        <f>VLOOKUP(A345,[1]Detalle!$D$2:$CW$484,98,FALSE)</f>
        <v>SUC_SRA - Sucursal San Rafael</v>
      </c>
      <c r="D345" s="13">
        <v>46283</v>
      </c>
    </row>
    <row r="346" spans="1:4" ht="14.25" customHeight="1" x14ac:dyDescent="0.3">
      <c r="A346" s="39" t="s">
        <v>162</v>
      </c>
      <c r="B346" s="39" t="s">
        <v>396</v>
      </c>
      <c r="C346" s="42" t="str">
        <f>VLOOKUP(A346,[1]Detalle!$D$2:$CW$484,98,FALSE)</f>
        <v>SUC_SRA - Sucursal San Rafael</v>
      </c>
      <c r="D346" s="13">
        <v>46283</v>
      </c>
    </row>
    <row r="347" spans="1:4" ht="14.25" customHeight="1" x14ac:dyDescent="0.3">
      <c r="A347" s="39" t="s">
        <v>161</v>
      </c>
      <c r="B347" s="39" t="s">
        <v>396</v>
      </c>
      <c r="C347" s="42" t="str">
        <f>VLOOKUP(A347,[1]Detalle!$D$2:$CW$484,98,FALSE)</f>
        <v>Unilever - Unilever de Arg. S.A.</v>
      </c>
      <c r="D347" s="13">
        <v>46200</v>
      </c>
    </row>
    <row r="348" spans="1:4" ht="14.25" customHeight="1" x14ac:dyDescent="0.3">
      <c r="A348" s="39" t="s">
        <v>161</v>
      </c>
      <c r="B348" s="39" t="s">
        <v>396</v>
      </c>
      <c r="C348" s="42" t="str">
        <f>VLOOKUP(A348,[1]Detalle!$D$2:$CW$484,98,FALSE)</f>
        <v>Unilever - Unilever de Arg. S.A.</v>
      </c>
      <c r="D348" s="13">
        <v>46200</v>
      </c>
    </row>
    <row r="349" spans="1:4" ht="14.25" customHeight="1" x14ac:dyDescent="0.3">
      <c r="A349" s="39" t="s">
        <v>160</v>
      </c>
      <c r="B349" s="39" t="s">
        <v>396</v>
      </c>
      <c r="C349" s="42" t="str">
        <f>VLOOKUP(A349,[1]Detalle!$D$2:$CW$484,98,FALSE)</f>
        <v>CENCO_SJ - Cencosud SA - San Juan</v>
      </c>
      <c r="D349" s="13">
        <v>46062</v>
      </c>
    </row>
    <row r="350" spans="1:4" ht="14.25" customHeight="1" x14ac:dyDescent="0.3">
      <c r="A350" s="39" t="s">
        <v>160</v>
      </c>
      <c r="B350" s="39" t="s">
        <v>396</v>
      </c>
      <c r="C350" s="42" t="str">
        <f>VLOOKUP(A350,[1]Detalle!$D$2:$CW$484,98,FALSE)</f>
        <v>CENCO_SJ - Cencosud SA - San Juan</v>
      </c>
      <c r="D350" s="13">
        <v>46062</v>
      </c>
    </row>
    <row r="351" spans="1:4" ht="14.25" customHeight="1" x14ac:dyDescent="0.3">
      <c r="A351" s="39" t="s">
        <v>159</v>
      </c>
      <c r="B351" s="39" t="s">
        <v>396</v>
      </c>
      <c r="C351" s="42" t="str">
        <f>VLOOKUP(A351,[1]Detalle!$D$2:$CW$484,98,FALSE)</f>
        <v>Papelera - Papelera del Plata S.A.</v>
      </c>
      <c r="D351" s="13">
        <v>46097</v>
      </c>
    </row>
    <row r="352" spans="1:4" ht="14.25" customHeight="1" x14ac:dyDescent="0.3">
      <c r="A352" s="39" t="s">
        <v>159</v>
      </c>
      <c r="B352" s="39" t="s">
        <v>396</v>
      </c>
      <c r="C352" s="42" t="str">
        <f>VLOOKUP(A352,[1]Detalle!$D$2:$CW$484,98,FALSE)</f>
        <v>Papelera - Papelera del Plata S.A.</v>
      </c>
      <c r="D352" s="13">
        <v>46097</v>
      </c>
    </row>
    <row r="353" spans="1:4" ht="14.25" customHeight="1" x14ac:dyDescent="0.3">
      <c r="A353" s="39" t="s">
        <v>158</v>
      </c>
      <c r="B353" s="39" t="s">
        <v>396</v>
      </c>
      <c r="C353" s="42" t="str">
        <f>VLOOKUP(A353,[1]Detalle!$D$2:$CW$484,98,FALSE)</f>
        <v>JOHNSON - SC JOHNSON DE ARGENTINA SAIC</v>
      </c>
      <c r="D353" s="13">
        <v>46245</v>
      </c>
    </row>
    <row r="354" spans="1:4" ht="14.25" customHeight="1" x14ac:dyDescent="0.3">
      <c r="A354" s="39" t="s">
        <v>158</v>
      </c>
      <c r="B354" s="39" t="s">
        <v>396</v>
      </c>
      <c r="C354" s="42" t="str">
        <f>VLOOKUP(A354,[1]Detalle!$D$2:$CW$484,98,FALSE)</f>
        <v>JOHNSON - SC JOHNSON DE ARGENTINA SAIC</v>
      </c>
      <c r="D354" s="13">
        <v>46245</v>
      </c>
    </row>
    <row r="355" spans="1:4" ht="14.25" customHeight="1" x14ac:dyDescent="0.3">
      <c r="A355" s="39" t="s">
        <v>157</v>
      </c>
      <c r="B355" s="39" t="s">
        <v>396</v>
      </c>
      <c r="C355" s="42" t="str">
        <f>VLOOKUP(A355,[1]Detalle!$D$2:$CW$484,98,FALSE)</f>
        <v>Papelera - Papelera del Plata S.A.</v>
      </c>
      <c r="D355" s="13">
        <v>46294</v>
      </c>
    </row>
    <row r="356" spans="1:4" ht="14.25" customHeight="1" x14ac:dyDescent="0.3">
      <c r="A356" s="39" t="s">
        <v>157</v>
      </c>
      <c r="B356" s="39" t="s">
        <v>396</v>
      </c>
      <c r="C356" s="42" t="str">
        <f>VLOOKUP(A356,[1]Detalle!$D$2:$CW$484,98,FALSE)</f>
        <v>Papelera - Papelera del Plata S.A.</v>
      </c>
      <c r="D356" s="13">
        <v>46294</v>
      </c>
    </row>
    <row r="357" spans="1:4" ht="14.25" customHeight="1" x14ac:dyDescent="0.3">
      <c r="A357" s="39" t="s">
        <v>156</v>
      </c>
      <c r="B357" s="39" t="s">
        <v>396</v>
      </c>
      <c r="C357" s="42" t="str">
        <f>VLOOKUP(A357,[1]Detalle!$D$2:$CW$484,98,FALSE)</f>
        <v>SUC_MEN - Sucursal Mendoza</v>
      </c>
      <c r="D357" s="13">
        <v>46224</v>
      </c>
    </row>
    <row r="358" spans="1:4" ht="14.25" customHeight="1" x14ac:dyDescent="0.3">
      <c r="A358" s="39" t="s">
        <v>156</v>
      </c>
      <c r="B358" s="39" t="s">
        <v>396</v>
      </c>
      <c r="C358" s="42" t="str">
        <f>VLOOKUP(A358,[1]Detalle!$D$2:$CW$484,98,FALSE)</f>
        <v>SUC_MEN - Sucursal Mendoza</v>
      </c>
      <c r="D358" s="13">
        <v>46224</v>
      </c>
    </row>
    <row r="359" spans="1:4" ht="14.25" customHeight="1" x14ac:dyDescent="0.3">
      <c r="A359" s="39" t="s">
        <v>154</v>
      </c>
      <c r="B359" s="39" t="s">
        <v>396</v>
      </c>
      <c r="C359" s="42" t="str">
        <f>VLOOKUP(A359,[1]Detalle!$D$2:$CW$484,98,FALSE)</f>
        <v>CCUCoAZA</v>
      </c>
      <c r="D359" s="13">
        <v>46325</v>
      </c>
    </row>
    <row r="360" spans="1:4" ht="14.25" customHeight="1" x14ac:dyDescent="0.3">
      <c r="A360" s="39" t="s">
        <v>154</v>
      </c>
      <c r="B360" s="39" t="s">
        <v>396</v>
      </c>
      <c r="C360" s="42" t="str">
        <f>VLOOKUP(A360,[1]Detalle!$D$2:$CW$484,98,FALSE)</f>
        <v>CCUCoAZA</v>
      </c>
      <c r="D360" s="13">
        <v>46325</v>
      </c>
    </row>
    <row r="361" spans="1:4" ht="14.25" customHeight="1" x14ac:dyDescent="0.3">
      <c r="A361" s="39" t="s">
        <v>153</v>
      </c>
      <c r="B361" s="39" t="s">
        <v>396</v>
      </c>
      <c r="C361" s="42" t="str">
        <f>VLOOKUP(A361,[1]Detalle!$D$2:$CW$484,98,FALSE)</f>
        <v>Expreso - Servicios Troncales</v>
      </c>
      <c r="D361" s="13">
        <v>46048</v>
      </c>
    </row>
    <row r="362" spans="1:4" ht="14.25" customHeight="1" x14ac:dyDescent="0.3">
      <c r="A362" s="39" t="s">
        <v>153</v>
      </c>
      <c r="B362" s="39" t="s">
        <v>396</v>
      </c>
      <c r="C362" s="42" t="str">
        <f>VLOOKUP(A362,[1]Detalle!$D$2:$CW$484,98,FALSE)</f>
        <v>Expreso - Servicios Troncales</v>
      </c>
      <c r="D362" s="13">
        <v>46048</v>
      </c>
    </row>
    <row r="363" spans="1:4" ht="14.25" customHeight="1" x14ac:dyDescent="0.3">
      <c r="A363" s="39" t="s">
        <v>149</v>
      </c>
      <c r="B363" s="39" t="s">
        <v>396</v>
      </c>
      <c r="C363" s="42" t="str">
        <f>VLOOKUP(A363,[1]Detalle!$D$2:$CW$484,98,FALSE)</f>
        <v>Papelera - Papelera del Plata S.A.</v>
      </c>
      <c r="D363" s="13">
        <v>46122</v>
      </c>
    </row>
    <row r="364" spans="1:4" ht="14.25" customHeight="1" x14ac:dyDescent="0.3">
      <c r="A364" s="39" t="s">
        <v>149</v>
      </c>
      <c r="B364" s="39" t="s">
        <v>396</v>
      </c>
      <c r="C364" s="42" t="str">
        <f>VLOOKUP(A364,[1]Detalle!$D$2:$CW$484,98,FALSE)</f>
        <v>Papelera - Papelera del Plata S.A.</v>
      </c>
      <c r="D364" s="13">
        <v>46122</v>
      </c>
    </row>
    <row r="365" spans="1:4" ht="14.25" customHeight="1" x14ac:dyDescent="0.3">
      <c r="A365" s="39" t="s">
        <v>148</v>
      </c>
      <c r="B365" s="39" t="s">
        <v>396</v>
      </c>
      <c r="C365" s="42" t="str">
        <f>VLOOKUP(A365,[1]Detalle!$D$2:$CW$484,98,FALSE)</f>
        <v>JOHNSON - SC JOHNSON DE ARGENTINA SAIC</v>
      </c>
      <c r="D365" s="13">
        <v>46097</v>
      </c>
    </row>
    <row r="366" spans="1:4" ht="14.25" customHeight="1" x14ac:dyDescent="0.3">
      <c r="A366" s="39" t="s">
        <v>148</v>
      </c>
      <c r="B366" s="39" t="s">
        <v>396</v>
      </c>
      <c r="C366" s="42" t="str">
        <f>VLOOKUP(A366,[1]Detalle!$D$2:$CW$484,98,FALSE)</f>
        <v>JOHNSON - SC JOHNSON DE ARGENTINA SAIC</v>
      </c>
      <c r="D366" s="13">
        <v>46097</v>
      </c>
    </row>
    <row r="367" spans="1:4" ht="14.25" customHeight="1" x14ac:dyDescent="0.3">
      <c r="A367" s="39" t="s">
        <v>147</v>
      </c>
      <c r="B367" s="39" t="s">
        <v>396</v>
      </c>
      <c r="C367" s="42" t="str">
        <f>VLOOKUP(A367,[1]Detalle!$D$2:$CW$484,98,FALSE)</f>
        <v>SUC_SLU - Sucursal San Luis</v>
      </c>
      <c r="D367" s="13">
        <v>46216</v>
      </c>
    </row>
    <row r="368" spans="1:4" ht="14.25" customHeight="1" x14ac:dyDescent="0.3">
      <c r="A368" s="39" t="s">
        <v>147</v>
      </c>
      <c r="B368" s="39" t="s">
        <v>396</v>
      </c>
      <c r="C368" s="42" t="str">
        <f>VLOOKUP(A368,[1]Detalle!$D$2:$CW$484,98,FALSE)</f>
        <v>SUC_SLU - Sucursal San Luis</v>
      </c>
      <c r="D368" s="13">
        <v>46216</v>
      </c>
    </row>
    <row r="369" spans="1:4" ht="14.25" customHeight="1" x14ac:dyDescent="0.3">
      <c r="A369" s="39" t="s">
        <v>146</v>
      </c>
      <c r="B369" s="39" t="s">
        <v>396</v>
      </c>
      <c r="C369" s="42" t="str">
        <f>VLOOKUP(A369,[1]Detalle!$D$2:$CW$484,98,FALSE)</f>
        <v>Unilever - Unilever de Arg. S.A.</v>
      </c>
      <c r="D369" s="13">
        <v>46118</v>
      </c>
    </row>
    <row r="370" spans="1:4" ht="14.25" customHeight="1" x14ac:dyDescent="0.3">
      <c r="A370" s="39" t="s">
        <v>146</v>
      </c>
      <c r="B370" s="39" t="s">
        <v>396</v>
      </c>
      <c r="C370" s="42" t="str">
        <f>VLOOKUP(A370,[1]Detalle!$D$2:$CW$484,98,FALSE)</f>
        <v>Unilever - Unilever de Arg. S.A.</v>
      </c>
      <c r="D370" s="13">
        <v>46118</v>
      </c>
    </row>
    <row r="371" spans="1:4" ht="14.25" customHeight="1" x14ac:dyDescent="0.3">
      <c r="A371" s="39" t="s">
        <v>145</v>
      </c>
      <c r="B371" s="39" t="s">
        <v>396</v>
      </c>
      <c r="C371" s="42" t="str">
        <f>VLOOKUP(A371,[1]Detalle!$D$2:$CW$484,98,FALSE)</f>
        <v>CCUCoAZA</v>
      </c>
      <c r="D371" s="13">
        <v>46333</v>
      </c>
    </row>
    <row r="372" spans="1:4" ht="14.25" customHeight="1" x14ac:dyDescent="0.3">
      <c r="A372" s="39" t="s">
        <v>145</v>
      </c>
      <c r="B372" s="39" t="s">
        <v>396</v>
      </c>
      <c r="C372" s="42" t="str">
        <f>VLOOKUP(A372,[1]Detalle!$D$2:$CW$484,98,FALSE)</f>
        <v>CCUCoAZA</v>
      </c>
      <c r="D372" s="13">
        <v>46333</v>
      </c>
    </row>
    <row r="373" spans="1:4" ht="14.25" customHeight="1" x14ac:dyDescent="0.3">
      <c r="A373" s="39" t="s">
        <v>144</v>
      </c>
      <c r="B373" s="39" t="s">
        <v>396</v>
      </c>
      <c r="C373" s="42" t="str">
        <f>VLOOKUP(A373,[1]Detalle!$D$2:$CW$484,98,FALSE)</f>
        <v>Papelera - Papelera del Plata S.A.</v>
      </c>
      <c r="D373" s="13">
        <v>46107</v>
      </c>
    </row>
    <row r="374" spans="1:4" ht="14.25" customHeight="1" x14ac:dyDescent="0.3">
      <c r="A374" s="39" t="s">
        <v>144</v>
      </c>
      <c r="B374" s="39" t="s">
        <v>396</v>
      </c>
      <c r="C374" s="42" t="str">
        <f>VLOOKUP(A374,[1]Detalle!$D$2:$CW$484,98,FALSE)</f>
        <v>Papelera - Papelera del Plata S.A.</v>
      </c>
      <c r="D374" s="13">
        <v>46107</v>
      </c>
    </row>
    <row r="375" spans="1:4" ht="14.25" customHeight="1" x14ac:dyDescent="0.3">
      <c r="A375" s="39" t="s">
        <v>143</v>
      </c>
      <c r="B375" s="39" t="s">
        <v>396</v>
      </c>
      <c r="C375" s="42" t="str">
        <f>VLOOKUP(A375,[1]Detalle!$D$2:$CW$484,98,FALSE)</f>
        <v>CENCO_MZ - Cencosud SA - Mendoza</v>
      </c>
      <c r="D375" s="13">
        <v>46147</v>
      </c>
    </row>
    <row r="376" spans="1:4" ht="14.25" customHeight="1" x14ac:dyDescent="0.3">
      <c r="A376" s="39" t="s">
        <v>143</v>
      </c>
      <c r="B376" s="39" t="s">
        <v>396</v>
      </c>
      <c r="C376" s="42" t="str">
        <f>VLOOKUP(A376,[1]Detalle!$D$2:$CW$484,98,FALSE)</f>
        <v>CENCO_MZ - Cencosud SA - Mendoza</v>
      </c>
      <c r="D376" s="13">
        <v>46147</v>
      </c>
    </row>
    <row r="377" spans="1:4" ht="14.25" customHeight="1" x14ac:dyDescent="0.3">
      <c r="A377" s="39" t="s">
        <v>142</v>
      </c>
      <c r="B377" s="39" t="s">
        <v>396</v>
      </c>
      <c r="C377" s="42" t="str">
        <f>VLOOKUP(A377,[1]Detalle!$D$2:$CW$484,98,FALSE)</f>
        <v>Papelera - Papelera del Plata S.A.</v>
      </c>
      <c r="D377" s="13">
        <v>46077</v>
      </c>
    </row>
    <row r="378" spans="1:4" ht="14.25" customHeight="1" x14ac:dyDescent="0.3">
      <c r="A378" s="39" t="s">
        <v>142</v>
      </c>
      <c r="B378" s="39" t="s">
        <v>396</v>
      </c>
      <c r="C378" s="42" t="str">
        <f>VLOOKUP(A378,[1]Detalle!$D$2:$CW$484,98,FALSE)</f>
        <v>Papelera - Papelera del Plata S.A.</v>
      </c>
      <c r="D378" s="13">
        <v>46077</v>
      </c>
    </row>
    <row r="379" spans="1:4" ht="14.25" customHeight="1" x14ac:dyDescent="0.3">
      <c r="A379" s="39" t="s">
        <v>141</v>
      </c>
      <c r="B379" s="39" t="s">
        <v>396</v>
      </c>
      <c r="C379" s="42" t="str">
        <f>VLOOKUP(A379,[1]Detalle!$D$2:$CW$484,98,FALSE)</f>
        <v>Unilever - Unilever de Arg. S.A.</v>
      </c>
      <c r="D379" s="13">
        <v>46138</v>
      </c>
    </row>
    <row r="380" spans="1:4" ht="14.25" customHeight="1" x14ac:dyDescent="0.3">
      <c r="A380" s="39" t="s">
        <v>141</v>
      </c>
      <c r="B380" s="39" t="s">
        <v>396</v>
      </c>
      <c r="C380" s="42" t="str">
        <f>VLOOKUP(A380,[1]Detalle!$D$2:$CW$484,98,FALSE)</f>
        <v>Unilever - Unilever de Arg. S.A.</v>
      </c>
      <c r="D380" s="13">
        <v>46138</v>
      </c>
    </row>
    <row r="381" spans="1:4" ht="14.25" customHeight="1" x14ac:dyDescent="0.3">
      <c r="A381" s="39" t="s">
        <v>140</v>
      </c>
      <c r="B381" s="39" t="s">
        <v>396</v>
      </c>
      <c r="C381" s="42" t="str">
        <f>VLOOKUP(A381,[1]Detalle!$D$2:$CW$484,98,FALSE)</f>
        <v>CCU_MZA - Comp. Cerv. Unidas - MZA</v>
      </c>
      <c r="D381" s="13">
        <v>46380</v>
      </c>
    </row>
    <row r="382" spans="1:4" ht="14.25" customHeight="1" x14ac:dyDescent="0.3">
      <c r="A382" s="39" t="s">
        <v>140</v>
      </c>
      <c r="B382" s="39" t="s">
        <v>396</v>
      </c>
      <c r="C382" s="42" t="str">
        <f>VLOOKUP(A382,[1]Detalle!$D$2:$CW$484,98,FALSE)</f>
        <v>CCU_MZA - Comp. Cerv. Unidas - MZA</v>
      </c>
      <c r="D382" s="13">
        <v>46380</v>
      </c>
    </row>
    <row r="383" spans="1:4" ht="14.25" customHeight="1" x14ac:dyDescent="0.3">
      <c r="A383" s="39" t="s">
        <v>139</v>
      </c>
      <c r="B383" s="39" t="s">
        <v>396</v>
      </c>
      <c r="C383" s="42" t="str">
        <f>VLOOKUP(A383,[1]Detalle!$D$2:$CW$484,98,FALSE)</f>
        <v>CCUDyAZA</v>
      </c>
      <c r="D383" s="13">
        <v>46202</v>
      </c>
    </row>
    <row r="384" spans="1:4" ht="14.25" customHeight="1" x14ac:dyDescent="0.3">
      <c r="A384" s="39" t="s">
        <v>139</v>
      </c>
      <c r="B384" s="39" t="s">
        <v>396</v>
      </c>
      <c r="C384" s="42" t="str">
        <f>VLOOKUP(A384,[1]Detalle!$D$2:$CW$484,98,FALSE)</f>
        <v>CCUDyAZA</v>
      </c>
      <c r="D384" s="13">
        <v>46202</v>
      </c>
    </row>
    <row r="385" spans="1:4" ht="14.25" customHeight="1" x14ac:dyDescent="0.3">
      <c r="A385" s="39" t="s">
        <v>138</v>
      </c>
      <c r="B385" s="39" t="s">
        <v>396</v>
      </c>
      <c r="C385" s="42" t="str">
        <f>VLOOKUP(A385,[1]Detalle!$D$2:$CW$484,98,FALSE)</f>
        <v>SUC_MEN - Sucursal Mendoza</v>
      </c>
      <c r="D385" s="13">
        <v>46110</v>
      </c>
    </row>
    <row r="386" spans="1:4" ht="14.25" customHeight="1" x14ac:dyDescent="0.3">
      <c r="A386" s="39" t="s">
        <v>138</v>
      </c>
      <c r="B386" s="39" t="s">
        <v>396</v>
      </c>
      <c r="C386" s="42" t="str">
        <f>VLOOKUP(A386,[1]Detalle!$D$2:$CW$484,98,FALSE)</f>
        <v>SUC_MEN - Sucursal Mendoza</v>
      </c>
      <c r="D386" s="13">
        <v>46110</v>
      </c>
    </row>
    <row r="387" spans="1:4" ht="14.25" customHeight="1" x14ac:dyDescent="0.3">
      <c r="A387" s="39" t="s">
        <v>137</v>
      </c>
      <c r="B387" s="39" t="s">
        <v>396</v>
      </c>
      <c r="C387" s="42" t="str">
        <f>VLOOKUP(A387,[1]Detalle!$D$2:$CW$484,98,FALSE)</f>
        <v>CCUDyAZA</v>
      </c>
      <c r="D387" s="13">
        <v>46316</v>
      </c>
    </row>
    <row r="388" spans="1:4" ht="14.25" customHeight="1" x14ac:dyDescent="0.3">
      <c r="A388" s="39" t="s">
        <v>137</v>
      </c>
      <c r="B388" s="39" t="s">
        <v>396</v>
      </c>
      <c r="C388" s="42" t="str">
        <f>VLOOKUP(A388,[1]Detalle!$D$2:$CW$484,98,FALSE)</f>
        <v>CCUDyAZA</v>
      </c>
      <c r="D388" s="13">
        <v>46316</v>
      </c>
    </row>
    <row r="389" spans="1:4" ht="14.25" customHeight="1" x14ac:dyDescent="0.3">
      <c r="A389" s="39" t="s">
        <v>136</v>
      </c>
      <c r="B389" s="39" t="s">
        <v>396</v>
      </c>
      <c r="C389" s="42" t="str">
        <f>VLOOKUP(A389,[1]Detalle!$D$2:$CW$484,98,FALSE)</f>
        <v>Topacio</v>
      </c>
      <c r="D389" s="13">
        <v>46063</v>
      </c>
    </row>
    <row r="390" spans="1:4" ht="14.25" customHeight="1" x14ac:dyDescent="0.3">
      <c r="A390" s="39" t="s">
        <v>136</v>
      </c>
      <c r="B390" s="39" t="s">
        <v>396</v>
      </c>
      <c r="C390" s="42" t="str">
        <f>VLOOKUP(A390,[1]Detalle!$D$2:$CW$484,98,FALSE)</f>
        <v>Topacio</v>
      </c>
      <c r="D390" s="13">
        <v>46063</v>
      </c>
    </row>
    <row r="391" spans="1:4" ht="14.25" customHeight="1" x14ac:dyDescent="0.3">
      <c r="A391" s="39" t="s">
        <v>135</v>
      </c>
      <c r="B391" s="39" t="s">
        <v>328</v>
      </c>
      <c r="C391" s="42" t="str">
        <f>VLOOKUP(A391,[1]Detalle!$D$2:$CW$484,98,FALSE)</f>
        <v>CCUCoAZA</v>
      </c>
      <c r="D391" s="13">
        <v>46281</v>
      </c>
    </row>
    <row r="392" spans="1:4" ht="14.25" customHeight="1" x14ac:dyDescent="0.3">
      <c r="A392" s="39" t="s">
        <v>135</v>
      </c>
      <c r="B392" s="39" t="s">
        <v>328</v>
      </c>
      <c r="C392" s="42" t="str">
        <f>VLOOKUP(A392,[1]Detalle!$D$2:$CW$484,98,FALSE)</f>
        <v>CCUCoAZA</v>
      </c>
      <c r="D392" s="13">
        <v>46281</v>
      </c>
    </row>
    <row r="393" spans="1:4" ht="14.25" customHeight="1" x14ac:dyDescent="0.3">
      <c r="A393" s="39" t="s">
        <v>134</v>
      </c>
      <c r="B393" s="39" t="s">
        <v>396</v>
      </c>
      <c r="C393" s="42" t="str">
        <f>VLOOKUP(A393,[1]Detalle!$D$2:$CW$484,98,FALSE)</f>
        <v>SUC_CTC - Sucursal Buenos Aires</v>
      </c>
      <c r="D393" s="13">
        <v>46226</v>
      </c>
    </row>
    <row r="394" spans="1:4" ht="14.25" customHeight="1" x14ac:dyDescent="0.3">
      <c r="A394" s="39" t="s">
        <v>134</v>
      </c>
      <c r="B394" s="39" t="s">
        <v>396</v>
      </c>
      <c r="C394" s="42" t="str">
        <f>VLOOKUP(A394,[1]Detalle!$D$2:$CW$484,98,FALSE)</f>
        <v>SUC_CTC - Sucursal Buenos Aires</v>
      </c>
      <c r="D394" s="13">
        <v>46226</v>
      </c>
    </row>
    <row r="395" spans="1:4" ht="14.25" customHeight="1" x14ac:dyDescent="0.3">
      <c r="A395" s="39" t="s">
        <v>100</v>
      </c>
      <c r="B395" s="39" t="s">
        <v>396</v>
      </c>
      <c r="C395" s="42" t="str">
        <f>VLOOKUP(A395,[1]Detalle!$D$2:$CW$484,98,FALSE)</f>
        <v>CMQ_TTE - QUILMES TTE</v>
      </c>
      <c r="D395" s="13">
        <v>46348</v>
      </c>
    </row>
    <row r="396" spans="1:4" ht="14.25" customHeight="1" x14ac:dyDescent="0.3">
      <c r="A396" s="39" t="s">
        <v>100</v>
      </c>
      <c r="B396" s="39" t="s">
        <v>396</v>
      </c>
      <c r="C396" s="42" t="str">
        <f>VLOOKUP(A396,[1]Detalle!$D$2:$CW$484,98,FALSE)</f>
        <v>CMQ_TTE - QUILMES TTE</v>
      </c>
      <c r="D396" s="13">
        <v>46348</v>
      </c>
    </row>
    <row r="397" spans="1:4" ht="14.25" customHeight="1" x14ac:dyDescent="0.3">
      <c r="A397" s="39" t="s">
        <v>78</v>
      </c>
      <c r="B397" s="39" t="s">
        <v>396</v>
      </c>
      <c r="C397" s="42" t="str">
        <f>VLOOKUP(A397,[1]Detalle!$D$2:$CW$484,98,FALSE)</f>
        <v>CCU_MZA - Comp. Cerv. Unidas - MZA</v>
      </c>
      <c r="D397" s="13">
        <v>46348</v>
      </c>
    </row>
    <row r="398" spans="1:4" ht="14.25" customHeight="1" x14ac:dyDescent="0.3">
      <c r="A398" s="39" t="s">
        <v>78</v>
      </c>
      <c r="B398" s="39" t="s">
        <v>396</v>
      </c>
      <c r="C398" s="42" t="str">
        <f>VLOOKUP(A398,[1]Detalle!$D$2:$CW$484,98,FALSE)</f>
        <v>CCU_MZA - Comp. Cerv. Unidas - MZA</v>
      </c>
      <c r="D398" s="13">
        <v>46348</v>
      </c>
    </row>
    <row r="399" spans="1:4" ht="14.25" customHeight="1" x14ac:dyDescent="0.3">
      <c r="A399" s="39" t="s">
        <v>75</v>
      </c>
      <c r="B399" s="39" t="s">
        <v>396</v>
      </c>
      <c r="C399" s="42" t="str">
        <f>VLOOKUP(A399,[1]Detalle!$D$2:$CW$484,98,FALSE)</f>
        <v>CCU_MZA - Comp. Cerv. Unidas - MZA</v>
      </c>
      <c r="D399" s="13">
        <v>46114</v>
      </c>
    </row>
    <row r="400" spans="1:4" ht="14.25" customHeight="1" x14ac:dyDescent="0.3">
      <c r="A400" s="39" t="s">
        <v>75</v>
      </c>
      <c r="B400" s="39" t="s">
        <v>396</v>
      </c>
      <c r="C400" s="42" t="str">
        <f>VLOOKUP(A400,[1]Detalle!$D$2:$CW$484,98,FALSE)</f>
        <v>CCU_MZA - Comp. Cerv. Unidas - MZA</v>
      </c>
      <c r="D400" s="13">
        <v>46114</v>
      </c>
    </row>
    <row r="401" spans="1:4" ht="14.25" customHeight="1" x14ac:dyDescent="0.3">
      <c r="A401" s="39" t="s">
        <v>62</v>
      </c>
      <c r="B401" s="39" t="s">
        <v>396</v>
      </c>
      <c r="C401" s="42" t="str">
        <f>VLOOKUP(A401,[1]Detalle!$D$2:$CW$484,98,FALSE)</f>
        <v>CCUDyAZA</v>
      </c>
      <c r="D401" s="13">
        <v>46319</v>
      </c>
    </row>
    <row r="402" spans="1:4" ht="14.25" customHeight="1" x14ac:dyDescent="0.3">
      <c r="A402" s="39" t="s">
        <v>62</v>
      </c>
      <c r="B402" s="39" t="s">
        <v>396</v>
      </c>
      <c r="C402" s="42" t="str">
        <f>VLOOKUP(A402,[1]Detalle!$D$2:$CW$484,98,FALSE)</f>
        <v>CCUDyAZA</v>
      </c>
      <c r="D402" s="13">
        <v>46319</v>
      </c>
    </row>
    <row r="403" spans="1:4" ht="14.25" customHeight="1" x14ac:dyDescent="0.3">
      <c r="A403" s="39" t="s">
        <v>61</v>
      </c>
      <c r="B403" s="39" t="s">
        <v>396</v>
      </c>
      <c r="C403" s="42" t="str">
        <f>VLOOKUP(A403,[1]Detalle!$D$2:$CW$484,98,FALSE)</f>
        <v>CCU_MZA - Comp. Cerv. Unidas - MZA</v>
      </c>
      <c r="D403" s="13">
        <v>46227</v>
      </c>
    </row>
    <row r="404" spans="1:4" ht="14.25" customHeight="1" x14ac:dyDescent="0.3">
      <c r="A404" s="39" t="s">
        <v>61</v>
      </c>
      <c r="B404" s="39" t="s">
        <v>396</v>
      </c>
      <c r="C404" s="42" t="str">
        <f>VLOOKUP(A404,[1]Detalle!$D$2:$CW$484,98,FALSE)</f>
        <v>CCU_MZA - Comp. Cerv. Unidas - MZA</v>
      </c>
      <c r="D404" s="13">
        <v>46227</v>
      </c>
    </row>
    <row r="405" spans="1:4" ht="14.25" customHeight="1" x14ac:dyDescent="0.3">
      <c r="A405" s="39" t="s">
        <v>60</v>
      </c>
      <c r="B405" s="39" t="s">
        <v>396</v>
      </c>
      <c r="C405" s="42" t="str">
        <f>VLOOKUP(A405,[1]Detalle!$D$2:$CW$484,98,FALSE)</f>
        <v>CCUDyAZA</v>
      </c>
      <c r="D405" s="13">
        <v>46136</v>
      </c>
    </row>
    <row r="406" spans="1:4" ht="14.25" customHeight="1" x14ac:dyDescent="0.3">
      <c r="A406" s="39" t="s">
        <v>60</v>
      </c>
      <c r="B406" s="39" t="s">
        <v>396</v>
      </c>
      <c r="C406" s="42" t="str">
        <f>VLOOKUP(A406,[1]Detalle!$D$2:$CW$484,98,FALSE)</f>
        <v>CCUDyAZA</v>
      </c>
      <c r="D406" s="13">
        <v>46136</v>
      </c>
    </row>
    <row r="407" spans="1:4" ht="14.25" customHeight="1" x14ac:dyDescent="0.3">
      <c r="A407" s="39" t="s">
        <v>52</v>
      </c>
      <c r="B407" s="39" t="s">
        <v>396</v>
      </c>
      <c r="C407" s="42" t="str">
        <f>VLOOKUP(A407,[1]Detalle!$D$2:$CW$484,98,FALSE)</f>
        <v>CMQ_TTE - QUILMES TTE</v>
      </c>
      <c r="D407" s="13">
        <v>46320</v>
      </c>
    </row>
    <row r="408" spans="1:4" ht="14.25" customHeight="1" x14ac:dyDescent="0.3">
      <c r="A408" s="39" t="s">
        <v>52</v>
      </c>
      <c r="B408" s="39" t="s">
        <v>396</v>
      </c>
      <c r="C408" s="42" t="str">
        <f>VLOOKUP(A408,[1]Detalle!$D$2:$CW$484,98,FALSE)</f>
        <v>CMQ_TTE - QUILMES TTE</v>
      </c>
      <c r="D408" s="13">
        <v>46320</v>
      </c>
    </row>
    <row r="409" spans="1:4" ht="14.25" customHeight="1" x14ac:dyDescent="0.3">
      <c r="A409" s="39" t="s">
        <v>273</v>
      </c>
      <c r="B409" s="39" t="s">
        <v>396</v>
      </c>
      <c r="C409" s="42" t="str">
        <f>VLOOKUP(A409,[1]Detalle!$D$2:$CW$484,98,FALSE)</f>
        <v>CENCOMLD - Cencosud SA - Mendoza</v>
      </c>
      <c r="D409" s="13">
        <v>46064</v>
      </c>
    </row>
    <row r="410" spans="1:4" ht="14.25" customHeight="1" x14ac:dyDescent="0.3">
      <c r="A410" s="39" t="s">
        <v>273</v>
      </c>
      <c r="B410" s="39" t="s">
        <v>396</v>
      </c>
      <c r="C410" s="42" t="str">
        <f>VLOOKUP(A410,[1]Detalle!$D$2:$CW$484,98,FALSE)</f>
        <v>CENCOMLD - Cencosud SA - Mendoza</v>
      </c>
      <c r="D410" s="13">
        <v>46064</v>
      </c>
    </row>
    <row r="411" spans="1:4" ht="14.25" customHeight="1" x14ac:dyDescent="0.3">
      <c r="A411" s="39" t="s">
        <v>267</v>
      </c>
      <c r="B411" s="39" t="s">
        <v>396</v>
      </c>
      <c r="C411" s="42" t="str">
        <f>VLOOKUP(A411,[1]Detalle!$D$2:$CW$484,98,FALSE)</f>
        <v>CCUDyAZA</v>
      </c>
      <c r="D411" s="13">
        <v>46284</v>
      </c>
    </row>
    <row r="412" spans="1:4" ht="14.25" customHeight="1" x14ac:dyDescent="0.3">
      <c r="A412" s="39" t="s">
        <v>267</v>
      </c>
      <c r="B412" s="39" t="s">
        <v>396</v>
      </c>
      <c r="C412" s="42" t="str">
        <f>VLOOKUP(A412,[1]Detalle!$D$2:$CW$484,98,FALSE)</f>
        <v>CCUDyAZA</v>
      </c>
      <c r="D412" s="13">
        <v>46284</v>
      </c>
    </row>
    <row r="413" spans="1:4" ht="14.25" customHeight="1" x14ac:dyDescent="0.3">
      <c r="A413" s="39" t="s">
        <v>208</v>
      </c>
      <c r="B413" s="39" t="s">
        <v>396</v>
      </c>
      <c r="C413" s="42" t="str">
        <f>VLOOKUP(A413,[1]Detalle!$D$2:$CW$484,98,FALSE)</f>
        <v>CENCO_MZ - Cencosud SA - Mendoza</v>
      </c>
      <c r="D413" s="13">
        <v>46277</v>
      </c>
    </row>
    <row r="414" spans="1:4" ht="14.25" customHeight="1" x14ac:dyDescent="0.3">
      <c r="A414" s="39" t="s">
        <v>208</v>
      </c>
      <c r="B414" s="39" t="s">
        <v>396</v>
      </c>
      <c r="C414" s="42" t="str">
        <f>VLOOKUP(A414,[1]Detalle!$D$2:$CW$484,98,FALSE)</f>
        <v>CENCO_MZ - Cencosud SA - Mendoza</v>
      </c>
      <c r="D414" s="13">
        <v>46277</v>
      </c>
    </row>
    <row r="415" spans="1:4" ht="14.25" customHeight="1" x14ac:dyDescent="0.3">
      <c r="A415" s="39" t="s">
        <v>207</v>
      </c>
      <c r="B415" s="39" t="s">
        <v>396</v>
      </c>
      <c r="C415" s="42" t="str">
        <f>VLOOKUP(A415,[1]Detalle!$D$2:$CW$484,98,FALSE)</f>
        <v>CENCO_MZ - Cencosud SA - Mendoza</v>
      </c>
      <c r="D415" s="13">
        <v>46027</v>
      </c>
    </row>
    <row r="416" spans="1:4" ht="14.25" customHeight="1" x14ac:dyDescent="0.3">
      <c r="A416" s="39" t="s">
        <v>207</v>
      </c>
      <c r="B416" s="39" t="s">
        <v>396</v>
      </c>
      <c r="C416" s="42" t="str">
        <f>VLOOKUP(A416,[1]Detalle!$D$2:$CW$484,98,FALSE)</f>
        <v>CENCO_MZ - Cencosud SA - Mendoza</v>
      </c>
      <c r="D416" s="13">
        <v>46027</v>
      </c>
    </row>
    <row r="417" spans="1:4" ht="14.25" customHeight="1" x14ac:dyDescent="0.3">
      <c r="A417" s="39" t="s">
        <v>88</v>
      </c>
      <c r="B417" s="39" t="s">
        <v>400</v>
      </c>
      <c r="C417" s="42" t="str">
        <f>VLOOKUP(A417,[1]Detalle!$D$2:$CW$484,98,FALSE)</f>
        <v>CMQ_TTE - QUILMES TTE</v>
      </c>
      <c r="D417" s="13">
        <v>46124</v>
      </c>
    </row>
    <row r="418" spans="1:4" ht="14.25" customHeight="1" x14ac:dyDescent="0.3">
      <c r="A418" s="39" t="s">
        <v>88</v>
      </c>
      <c r="B418" s="39" t="s">
        <v>400</v>
      </c>
      <c r="C418" s="42" t="str">
        <f>VLOOKUP(A418,[1]Detalle!$D$2:$CW$484,98,FALSE)</f>
        <v>CMQ_TTE - QUILMES TTE</v>
      </c>
      <c r="D418" s="13">
        <v>46124</v>
      </c>
    </row>
    <row r="419" spans="1:4" ht="14.25" customHeight="1" x14ac:dyDescent="0.3">
      <c r="A419" s="39" t="s">
        <v>87</v>
      </c>
      <c r="B419" s="39" t="s">
        <v>400</v>
      </c>
      <c r="C419" s="42" t="str">
        <f>VLOOKUP(A419,[1]Detalle!$D$2:$CW$484,98,FALSE)</f>
        <v>CENCO_MZ - Cencosud SA - Mendoza</v>
      </c>
      <c r="D419" s="13">
        <v>46147</v>
      </c>
    </row>
    <row r="420" spans="1:4" ht="14.25" customHeight="1" x14ac:dyDescent="0.3">
      <c r="A420" s="39" t="s">
        <v>87</v>
      </c>
      <c r="B420" s="39" t="s">
        <v>400</v>
      </c>
      <c r="C420" s="42" t="str">
        <f>VLOOKUP(A420,[1]Detalle!$D$2:$CW$484,98,FALSE)</f>
        <v>CENCO_MZ - Cencosud SA - Mendoza</v>
      </c>
      <c r="D420" s="13">
        <v>46147</v>
      </c>
    </row>
    <row r="421" spans="1:4" ht="14.25" customHeight="1" x14ac:dyDescent="0.3">
      <c r="A421" s="39" t="s">
        <v>71</v>
      </c>
      <c r="B421" s="39" t="s">
        <v>400</v>
      </c>
      <c r="C421" s="42" t="str">
        <f>VLOOKUP(A421,[1]Detalle!$D$2:$CW$484,98,FALSE)</f>
        <v>CMQ_TTE - QUILMES TTE</v>
      </c>
      <c r="D421" s="13">
        <v>46326</v>
      </c>
    </row>
    <row r="422" spans="1:4" ht="14.25" customHeight="1" x14ac:dyDescent="0.3">
      <c r="A422" s="39" t="s">
        <v>71</v>
      </c>
      <c r="B422" s="39" t="s">
        <v>400</v>
      </c>
      <c r="C422" s="42" t="str">
        <f>VLOOKUP(A422,[1]Detalle!$D$2:$CW$484,98,FALSE)</f>
        <v>CMQ_TTE - QUILMES TTE</v>
      </c>
      <c r="D422" s="13">
        <v>46326</v>
      </c>
    </row>
    <row r="423" spans="1:4" ht="14.25" customHeight="1" x14ac:dyDescent="0.3">
      <c r="A423" s="39" t="s">
        <v>66</v>
      </c>
      <c r="B423" s="39" t="s">
        <v>400</v>
      </c>
      <c r="C423" s="42" t="str">
        <f>VLOOKUP(A423,[1]Detalle!$D$2:$CW$484,98,FALSE)</f>
        <v>CMQ_TTE - QUILMES TTE</v>
      </c>
      <c r="D423" s="13">
        <v>46376</v>
      </c>
    </row>
    <row r="424" spans="1:4" ht="14.25" customHeight="1" x14ac:dyDescent="0.3">
      <c r="A424" s="39" t="s">
        <v>66</v>
      </c>
      <c r="B424" s="39" t="s">
        <v>400</v>
      </c>
      <c r="C424" s="42" t="str">
        <f>VLOOKUP(A424,[1]Detalle!$D$2:$CW$484,98,FALSE)</f>
        <v>CMQ_TTE - QUILMES TTE</v>
      </c>
      <c r="D424" s="13">
        <v>46376</v>
      </c>
    </row>
    <row r="425" spans="1:4" ht="14.25" customHeight="1" x14ac:dyDescent="0.3">
      <c r="A425" s="39" t="s">
        <v>46</v>
      </c>
      <c r="B425" s="39" t="s">
        <v>400</v>
      </c>
      <c r="C425" s="42" t="str">
        <f>VLOOKUP(A425,[1]Detalle!$D$2:$CW$484,98,FALSE)</f>
        <v>CMQ_TTE - QUILMES TTE</v>
      </c>
      <c r="D425" s="13">
        <v>46339</v>
      </c>
    </row>
    <row r="426" spans="1:4" ht="14.25" customHeight="1" x14ac:dyDescent="0.3">
      <c r="A426" s="39" t="s">
        <v>46</v>
      </c>
      <c r="B426" s="39" t="s">
        <v>400</v>
      </c>
      <c r="C426" s="42" t="str">
        <f>VLOOKUP(A426,[1]Detalle!$D$2:$CW$484,98,FALSE)</f>
        <v>CMQ_TTE - QUILMES TTE</v>
      </c>
      <c r="D426" s="13">
        <v>46339</v>
      </c>
    </row>
    <row r="427" spans="1:4" ht="14.25" customHeight="1" x14ac:dyDescent="0.3">
      <c r="A427" s="39" t="s">
        <v>44</v>
      </c>
      <c r="B427" s="39" t="s">
        <v>400</v>
      </c>
      <c r="C427" s="42" t="str">
        <f>VLOOKUP(A427,[1]Detalle!$D$2:$CW$484,98,FALSE)</f>
        <v>CMQ_TTE - QUILMES TTE</v>
      </c>
      <c r="D427" s="13">
        <v>46277</v>
      </c>
    </row>
    <row r="428" spans="1:4" ht="14.25" customHeight="1" x14ac:dyDescent="0.3">
      <c r="A428" s="39" t="s">
        <v>44</v>
      </c>
      <c r="B428" s="39" t="s">
        <v>400</v>
      </c>
      <c r="C428" s="42" t="str">
        <f>VLOOKUP(A428,[1]Detalle!$D$2:$CW$484,98,FALSE)</f>
        <v>CMQ_TTE - QUILMES TTE</v>
      </c>
      <c r="D428" s="13">
        <v>46277</v>
      </c>
    </row>
    <row r="429" spans="1:4" ht="14.25" customHeight="1" x14ac:dyDescent="0.3">
      <c r="A429" s="39" t="s">
        <v>43</v>
      </c>
      <c r="B429" s="39" t="s">
        <v>400</v>
      </c>
      <c r="C429" s="42" t="str">
        <f>VLOOKUP(A429,[1]Detalle!$D$2:$CW$484,98,FALSE)</f>
        <v>CMQ_TTE - QUILMES TTE</v>
      </c>
      <c r="D429" s="13">
        <v>46332</v>
      </c>
    </row>
    <row r="430" spans="1:4" ht="14.25" customHeight="1" x14ac:dyDescent="0.3">
      <c r="A430" s="39" t="s">
        <v>43</v>
      </c>
      <c r="B430" s="39" t="s">
        <v>400</v>
      </c>
      <c r="C430" s="42" t="str">
        <f>VLOOKUP(A430,[1]Detalle!$D$2:$CW$484,98,FALSE)</f>
        <v>CMQ_TTE - QUILMES TTE</v>
      </c>
      <c r="D430" s="13">
        <v>46332</v>
      </c>
    </row>
    <row r="431" spans="1:4" ht="14.25" customHeight="1" x14ac:dyDescent="0.3">
      <c r="A431" s="39" t="s">
        <v>24</v>
      </c>
      <c r="B431" s="39" t="s">
        <v>400</v>
      </c>
      <c r="C431" s="42" t="str">
        <f>VLOOKUP(A431,[1]Detalle!$D$2:$CW$484,98,FALSE)</f>
        <v>CMQ_TTE - QUILMES TTE</v>
      </c>
      <c r="D431" s="13">
        <v>46330</v>
      </c>
    </row>
    <row r="432" spans="1:4" ht="14.25" customHeight="1" x14ac:dyDescent="0.3">
      <c r="A432" s="39" t="s">
        <v>24</v>
      </c>
      <c r="B432" s="39" t="s">
        <v>400</v>
      </c>
      <c r="C432" s="42" t="str">
        <f>VLOOKUP(A432,[1]Detalle!$D$2:$CW$484,98,FALSE)</f>
        <v>CMQ_TTE - QUILMES TTE</v>
      </c>
      <c r="D432" s="13">
        <v>46330</v>
      </c>
    </row>
    <row r="433" spans="1:4" ht="14.25" customHeight="1" x14ac:dyDescent="0.3">
      <c r="A433" s="39" t="s">
        <v>22</v>
      </c>
      <c r="B433" s="39" t="s">
        <v>400</v>
      </c>
      <c r="C433" s="42" t="str">
        <f>VLOOKUP(A433,[1]Detalle!$D$2:$CW$484,98,FALSE)</f>
        <v>CMQ_TTE - QUILMES TTE</v>
      </c>
      <c r="D433" s="13">
        <v>46197</v>
      </c>
    </row>
    <row r="434" spans="1:4" ht="14.25" customHeight="1" x14ac:dyDescent="0.3">
      <c r="A434" s="39" t="s">
        <v>22</v>
      </c>
      <c r="B434" s="39" t="s">
        <v>400</v>
      </c>
      <c r="C434" s="42" t="str">
        <f>VLOOKUP(A434,[1]Detalle!$D$2:$CW$484,98,FALSE)</f>
        <v>CMQ_TTE - QUILMES TTE</v>
      </c>
      <c r="D434" s="13">
        <v>46197</v>
      </c>
    </row>
    <row r="435" spans="1:4" ht="14.25" customHeight="1" x14ac:dyDescent="0.3">
      <c r="A435" s="39" t="s">
        <v>21</v>
      </c>
      <c r="B435" s="39" t="s">
        <v>400</v>
      </c>
      <c r="C435" s="42" t="str">
        <f>VLOOKUP(A435,[1]Detalle!$D$2:$CW$484,98,FALSE)</f>
        <v>CMQ_TTE - QUILMES TTE</v>
      </c>
      <c r="D435" s="13">
        <v>46099</v>
      </c>
    </row>
    <row r="436" spans="1:4" ht="14.25" customHeight="1" x14ac:dyDescent="0.3">
      <c r="A436" s="39" t="s">
        <v>21</v>
      </c>
      <c r="B436" s="39" t="s">
        <v>400</v>
      </c>
      <c r="C436" s="42" t="str">
        <f>VLOOKUP(A436,[1]Detalle!$D$2:$CW$484,98,FALSE)</f>
        <v>CMQ_TTE - QUILMES TTE</v>
      </c>
      <c r="D436" s="13">
        <v>46099</v>
      </c>
    </row>
    <row r="437" spans="1:4" ht="14.25" customHeight="1" x14ac:dyDescent="0.3">
      <c r="A437" s="39" t="s">
        <v>92</v>
      </c>
      <c r="B437" s="39" t="s">
        <v>410</v>
      </c>
      <c r="C437" s="42" t="str">
        <f>VLOOKUP(A437,[1]Detalle!$D$2:$CW$484,98,FALSE)</f>
        <v>Unilever - Unilever de Arg. S.A.</v>
      </c>
      <c r="D437" s="13">
        <v>46250</v>
      </c>
    </row>
    <row r="438" spans="1:4" ht="14.25" customHeight="1" x14ac:dyDescent="0.3">
      <c r="A438" s="39" t="s">
        <v>92</v>
      </c>
      <c r="B438" s="39" t="s">
        <v>410</v>
      </c>
      <c r="C438" s="42" t="str">
        <f>VLOOKUP(A438,[1]Detalle!$D$2:$CW$484,98,FALSE)</f>
        <v>Unilever - Unilever de Arg. S.A.</v>
      </c>
      <c r="D438" s="13">
        <v>46250</v>
      </c>
    </row>
    <row r="439" spans="1:4" ht="14.25" customHeight="1" x14ac:dyDescent="0.3">
      <c r="A439" s="39" t="s">
        <v>91</v>
      </c>
      <c r="B439" s="39" t="s">
        <v>410</v>
      </c>
      <c r="C439" s="42" t="str">
        <f>VLOOKUP(A439,[1]Detalle!$D$2:$CW$484,98,FALSE)</f>
        <v>Unilever - Unilever de Arg. S.A.</v>
      </c>
      <c r="D439" s="13">
        <v>46272</v>
      </c>
    </row>
    <row r="440" spans="1:4" ht="14.25" customHeight="1" x14ac:dyDescent="0.3">
      <c r="A440" s="39" t="s">
        <v>91</v>
      </c>
      <c r="B440" s="39" t="s">
        <v>410</v>
      </c>
      <c r="C440" s="42" t="str">
        <f>VLOOKUP(A440,[1]Detalle!$D$2:$CW$484,98,FALSE)</f>
        <v>Unilever - Unilever de Arg. S.A.</v>
      </c>
      <c r="D440" s="13">
        <v>46272</v>
      </c>
    </row>
    <row r="441" spans="1:4" ht="14.25" customHeight="1" x14ac:dyDescent="0.3">
      <c r="A441" s="39" t="s">
        <v>88</v>
      </c>
      <c r="B441" s="39" t="s">
        <v>410</v>
      </c>
      <c r="C441" s="42" t="str">
        <f>VLOOKUP(A441,[1]Detalle!$D$2:$CW$484,98,FALSE)</f>
        <v>CMQ_TTE - QUILMES TTE</v>
      </c>
      <c r="D441" s="13">
        <v>46124</v>
      </c>
    </row>
    <row r="442" spans="1:4" ht="14.25" customHeight="1" x14ac:dyDescent="0.3">
      <c r="A442" s="39" t="s">
        <v>88</v>
      </c>
      <c r="B442" s="39" t="s">
        <v>410</v>
      </c>
      <c r="C442" s="42" t="str">
        <f>VLOOKUP(A442,[1]Detalle!$D$2:$CW$484,98,FALSE)</f>
        <v>CMQ_TTE - QUILMES TTE</v>
      </c>
      <c r="D442" s="13">
        <v>46124</v>
      </c>
    </row>
    <row r="443" spans="1:4" ht="14.25" customHeight="1" x14ac:dyDescent="0.3">
      <c r="A443" s="39" t="s">
        <v>87</v>
      </c>
      <c r="B443" s="39" t="s">
        <v>410</v>
      </c>
      <c r="C443" s="42" t="str">
        <f>VLOOKUP(A443,[1]Detalle!$D$2:$CW$484,98,FALSE)</f>
        <v>CENCO_MZ - Cencosud SA - Mendoza</v>
      </c>
      <c r="D443" s="13">
        <v>46147</v>
      </c>
    </row>
    <row r="444" spans="1:4" ht="14.25" customHeight="1" x14ac:dyDescent="0.3">
      <c r="A444" s="39" t="s">
        <v>87</v>
      </c>
      <c r="B444" s="39" t="s">
        <v>410</v>
      </c>
      <c r="C444" s="42" t="str">
        <f>VLOOKUP(A444,[1]Detalle!$D$2:$CW$484,98,FALSE)</f>
        <v>CENCO_MZ - Cencosud SA - Mendoza</v>
      </c>
      <c r="D444" s="13">
        <v>46147</v>
      </c>
    </row>
    <row r="445" spans="1:4" ht="14.25" customHeight="1" x14ac:dyDescent="0.3">
      <c r="A445" s="39" t="s">
        <v>71</v>
      </c>
      <c r="B445" s="39" t="s">
        <v>410</v>
      </c>
      <c r="C445" s="42" t="str">
        <f>VLOOKUP(A445,[1]Detalle!$D$2:$CW$484,98,FALSE)</f>
        <v>CMQ_TTE - QUILMES TTE</v>
      </c>
      <c r="D445" s="13">
        <v>46326</v>
      </c>
    </row>
    <row r="446" spans="1:4" ht="14.25" customHeight="1" x14ac:dyDescent="0.3">
      <c r="A446" s="39" t="s">
        <v>71</v>
      </c>
      <c r="B446" s="39" t="s">
        <v>410</v>
      </c>
      <c r="C446" s="42" t="str">
        <f>VLOOKUP(A446,[1]Detalle!$D$2:$CW$484,98,FALSE)</f>
        <v>CMQ_TTE - QUILMES TTE</v>
      </c>
      <c r="D446" s="13">
        <v>46326</v>
      </c>
    </row>
    <row r="447" spans="1:4" ht="14.25" customHeight="1" x14ac:dyDescent="0.3">
      <c r="A447" s="39" t="s">
        <v>66</v>
      </c>
      <c r="B447" s="39" t="s">
        <v>410</v>
      </c>
      <c r="C447" s="42" t="str">
        <f>VLOOKUP(A447,[1]Detalle!$D$2:$CW$484,98,FALSE)</f>
        <v>CMQ_TTE - QUILMES TTE</v>
      </c>
      <c r="D447" s="13">
        <v>46376</v>
      </c>
    </row>
    <row r="448" spans="1:4" ht="14.25" customHeight="1" x14ac:dyDescent="0.3">
      <c r="A448" s="39" t="s">
        <v>66</v>
      </c>
      <c r="B448" s="39" t="s">
        <v>410</v>
      </c>
      <c r="C448" s="42" t="str">
        <f>VLOOKUP(A448,[1]Detalle!$D$2:$CW$484,98,FALSE)</f>
        <v>CMQ_TTE - QUILMES TTE</v>
      </c>
      <c r="D448" s="13">
        <v>46376</v>
      </c>
    </row>
    <row r="449" spans="1:4" ht="14.25" customHeight="1" x14ac:dyDescent="0.3">
      <c r="A449" s="39" t="s">
        <v>46</v>
      </c>
      <c r="B449" s="39" t="s">
        <v>410</v>
      </c>
      <c r="C449" s="42" t="str">
        <f>VLOOKUP(A449,[1]Detalle!$D$2:$CW$484,98,FALSE)</f>
        <v>CMQ_TTE - QUILMES TTE</v>
      </c>
      <c r="D449" s="13">
        <v>46339</v>
      </c>
    </row>
    <row r="450" spans="1:4" ht="14.25" customHeight="1" x14ac:dyDescent="0.3">
      <c r="A450" s="39" t="s">
        <v>46</v>
      </c>
      <c r="B450" s="39" t="s">
        <v>410</v>
      </c>
      <c r="C450" s="42" t="str">
        <f>VLOOKUP(A450,[1]Detalle!$D$2:$CW$484,98,FALSE)</f>
        <v>CMQ_TTE - QUILMES TTE</v>
      </c>
      <c r="D450" s="13">
        <v>46339</v>
      </c>
    </row>
    <row r="451" spans="1:4" ht="14.25" customHeight="1" x14ac:dyDescent="0.3">
      <c r="A451" s="39" t="s">
        <v>44</v>
      </c>
      <c r="B451" s="39" t="s">
        <v>410</v>
      </c>
      <c r="C451" s="42" t="str">
        <f>VLOOKUP(A451,[1]Detalle!$D$2:$CW$484,98,FALSE)</f>
        <v>CMQ_TTE - QUILMES TTE</v>
      </c>
      <c r="D451" s="13">
        <v>46277</v>
      </c>
    </row>
    <row r="452" spans="1:4" ht="14.25" customHeight="1" x14ac:dyDescent="0.3">
      <c r="A452" s="39" t="s">
        <v>44</v>
      </c>
      <c r="B452" s="39" t="s">
        <v>410</v>
      </c>
      <c r="C452" s="42" t="str">
        <f>VLOOKUP(A452,[1]Detalle!$D$2:$CW$484,98,FALSE)</f>
        <v>CMQ_TTE - QUILMES TTE</v>
      </c>
      <c r="D452" s="13">
        <v>46277</v>
      </c>
    </row>
    <row r="453" spans="1:4" ht="14.25" customHeight="1" x14ac:dyDescent="0.3">
      <c r="A453" s="39" t="s">
        <v>43</v>
      </c>
      <c r="B453" s="39" t="s">
        <v>410</v>
      </c>
      <c r="C453" s="42" t="str">
        <f>VLOOKUP(A453,[1]Detalle!$D$2:$CW$484,98,FALSE)</f>
        <v>CMQ_TTE - QUILMES TTE</v>
      </c>
      <c r="D453" s="13">
        <v>46332</v>
      </c>
    </row>
    <row r="454" spans="1:4" ht="14.25" customHeight="1" x14ac:dyDescent="0.3">
      <c r="A454" s="39" t="s">
        <v>43</v>
      </c>
      <c r="B454" s="39" t="s">
        <v>410</v>
      </c>
      <c r="C454" s="42" t="str">
        <f>VLOOKUP(A454,[1]Detalle!$D$2:$CW$484,98,FALSE)</f>
        <v>CMQ_TTE - QUILMES TTE</v>
      </c>
      <c r="D454" s="13">
        <v>46332</v>
      </c>
    </row>
    <row r="455" spans="1:4" ht="14.25" customHeight="1" x14ac:dyDescent="0.3">
      <c r="A455" s="39" t="s">
        <v>24</v>
      </c>
      <c r="B455" s="39" t="s">
        <v>410</v>
      </c>
      <c r="C455" s="42" t="str">
        <f>VLOOKUP(A455,[1]Detalle!$D$2:$CW$484,98,FALSE)</f>
        <v>CMQ_TTE - QUILMES TTE</v>
      </c>
      <c r="D455" s="13">
        <v>46330</v>
      </c>
    </row>
    <row r="456" spans="1:4" ht="14.25" customHeight="1" x14ac:dyDescent="0.3">
      <c r="A456" s="39" t="s">
        <v>24</v>
      </c>
      <c r="B456" s="39" t="s">
        <v>410</v>
      </c>
      <c r="C456" s="42" t="str">
        <f>VLOOKUP(A456,[1]Detalle!$D$2:$CW$484,98,FALSE)</f>
        <v>CMQ_TTE - QUILMES TTE</v>
      </c>
      <c r="D456" s="13">
        <v>46330</v>
      </c>
    </row>
    <row r="457" spans="1:4" ht="14.25" customHeight="1" x14ac:dyDescent="0.3">
      <c r="A457" s="39" t="s">
        <v>22</v>
      </c>
      <c r="B457" s="39" t="s">
        <v>410</v>
      </c>
      <c r="C457" s="42" t="str">
        <f>VLOOKUP(A457,[1]Detalle!$D$2:$CW$484,98,FALSE)</f>
        <v>CMQ_TTE - QUILMES TTE</v>
      </c>
      <c r="D457" s="13">
        <v>46234</v>
      </c>
    </row>
    <row r="458" spans="1:4" ht="14.25" customHeight="1" x14ac:dyDescent="0.3">
      <c r="A458" s="39" t="s">
        <v>22</v>
      </c>
      <c r="B458" s="39" t="s">
        <v>410</v>
      </c>
      <c r="C458" s="42" t="str">
        <f>VLOOKUP(A458,[1]Detalle!$D$2:$CW$484,98,FALSE)</f>
        <v>CMQ_TTE - QUILMES TTE</v>
      </c>
      <c r="D458" s="13">
        <v>46234</v>
      </c>
    </row>
    <row r="459" spans="1:4" ht="14.25" customHeight="1" x14ac:dyDescent="0.3">
      <c r="A459" s="39" t="s">
        <v>21</v>
      </c>
      <c r="B459" s="39" t="s">
        <v>410</v>
      </c>
      <c r="C459" s="42" t="str">
        <f>VLOOKUP(A459,[1]Detalle!$D$2:$CW$484,98,FALSE)</f>
        <v>CMQ_TTE - QUILMES TTE</v>
      </c>
      <c r="D459" s="13">
        <v>46099</v>
      </c>
    </row>
    <row r="460" spans="1:4" ht="14.25" customHeight="1" x14ac:dyDescent="0.3">
      <c r="A460" s="39" t="s">
        <v>21</v>
      </c>
      <c r="B460" s="39" t="s">
        <v>410</v>
      </c>
      <c r="C460" s="42" t="str">
        <f>VLOOKUP(A460,[1]Detalle!$D$2:$CW$484,98,FALSE)</f>
        <v>CMQ_TTE - QUILMES TTE</v>
      </c>
      <c r="D460" s="13">
        <v>46099</v>
      </c>
    </row>
    <row r="461" spans="1:4" ht="14.25" customHeight="1" x14ac:dyDescent="0.3">
      <c r="A461" s="39" t="s">
        <v>164</v>
      </c>
      <c r="B461" s="39" t="s">
        <v>415</v>
      </c>
      <c r="C461" s="42" t="str">
        <f>VLOOKUP(A461,[1]Detalle!$D$2:$CW$484,98,FALSE)</f>
        <v>SUC_MEN - Sucursal Mendoza</v>
      </c>
      <c r="D461" s="13">
        <v>46236</v>
      </c>
    </row>
    <row r="462" spans="1:4" ht="14.25" customHeight="1" x14ac:dyDescent="0.3">
      <c r="A462" s="39" t="s">
        <v>111</v>
      </c>
      <c r="B462" s="39" t="s">
        <v>415</v>
      </c>
      <c r="C462" s="42" t="str">
        <f>VLOOKUP(A462,[1]Detalle!$D$2:$CW$484,98,FALSE)</f>
        <v>SUC_MEN - Sucursal Mendoza</v>
      </c>
      <c r="D462" s="13">
        <v>46138</v>
      </c>
    </row>
    <row r="463" spans="1:4" ht="14.25" customHeight="1" x14ac:dyDescent="0.3">
      <c r="A463" s="39" t="s">
        <v>108</v>
      </c>
      <c r="B463" s="39" t="s">
        <v>415</v>
      </c>
      <c r="C463" s="42" t="str">
        <f>VLOOKUP(A463,[1]Detalle!$D$2:$CW$484,98,FALSE)</f>
        <v>JOHNSON - SC JOHNSON DE ARGENTINA SAIC</v>
      </c>
      <c r="D463" s="13">
        <v>46103</v>
      </c>
    </row>
    <row r="464" spans="1:4" ht="14.25" customHeight="1" x14ac:dyDescent="0.3">
      <c r="A464" s="39" t="s">
        <v>106</v>
      </c>
      <c r="B464" s="39" t="s">
        <v>415</v>
      </c>
      <c r="C464" s="42" t="str">
        <f>VLOOKUP(A464,[1]Detalle!$D$2:$CW$484,98,FALSE)</f>
        <v>Unilever - Unilever de Arg. S.A.</v>
      </c>
      <c r="D464" s="13">
        <v>46362</v>
      </c>
    </row>
    <row r="465" spans="1:4" ht="14.25" customHeight="1" x14ac:dyDescent="0.3">
      <c r="A465" s="39" t="s">
        <v>109</v>
      </c>
      <c r="B465" s="39" t="s">
        <v>415</v>
      </c>
      <c r="C465" s="42" t="str">
        <f>VLOOKUP(A465,[1]Detalle!$D$2:$CW$484,98,FALSE)</f>
        <v>JOHNSON - SC JOHNSON DE ARGENTINA SAIC</v>
      </c>
      <c r="D465" s="13">
        <v>46246</v>
      </c>
    </row>
    <row r="466" spans="1:4" ht="14.25" customHeight="1" x14ac:dyDescent="0.3">
      <c r="A466" s="39" t="s">
        <v>120</v>
      </c>
      <c r="B466" s="39" t="s">
        <v>415</v>
      </c>
      <c r="C466" s="42" t="str">
        <f>VLOOKUP(A466,[1]Detalle!$D$2:$CW$484,98,FALSE)</f>
        <v>SUC_MEN - Sucursal Mendoza</v>
      </c>
      <c r="D466" s="13">
        <v>46177</v>
      </c>
    </row>
    <row r="467" spans="1:4" ht="14.25" customHeight="1" x14ac:dyDescent="0.3">
      <c r="A467" s="39" t="s">
        <v>118</v>
      </c>
      <c r="B467" s="39" t="s">
        <v>415</v>
      </c>
      <c r="C467" s="42" t="str">
        <f>VLOOKUP(A467,[1]Detalle!$D$2:$CW$484,98,FALSE)</f>
        <v>CCUCoAZA</v>
      </c>
      <c r="D467" s="13">
        <v>46209</v>
      </c>
    </row>
    <row r="468" spans="1:4" ht="14.25" customHeight="1" x14ac:dyDescent="0.3">
      <c r="A468" s="39" t="s">
        <v>101</v>
      </c>
      <c r="B468" s="39" t="s">
        <v>415</v>
      </c>
      <c r="C468" s="42" t="str">
        <f>VLOOKUP(A468,[1]Detalle!$D$2:$CW$484,98,FALSE)</f>
        <v>CCUDyAZA</v>
      </c>
      <c r="D468" s="13">
        <v>46242</v>
      </c>
    </row>
    <row r="469" spans="1:4" ht="14.25" customHeight="1" x14ac:dyDescent="0.3">
      <c r="A469" s="39" t="s">
        <v>99</v>
      </c>
      <c r="B469" s="39" t="s">
        <v>415</v>
      </c>
      <c r="C469" s="42" t="str">
        <f>VLOOKUP(A469,[1]Detalle!$D$2:$CW$484,98,FALSE)</f>
        <v>CCUDyAZA</v>
      </c>
      <c r="D469" s="13">
        <v>46228</v>
      </c>
    </row>
    <row r="470" spans="1:4" ht="14.25" customHeight="1" x14ac:dyDescent="0.3">
      <c r="A470" s="39" t="s">
        <v>275</v>
      </c>
      <c r="B470" s="39" t="s">
        <v>415</v>
      </c>
      <c r="C470" s="42" t="str">
        <f>VLOOKUP(A470,[1]Detalle!$D$2:$CW$484,98,FALSE)</f>
        <v>CCUDyAZA</v>
      </c>
      <c r="D470" s="13">
        <v>46385</v>
      </c>
    </row>
    <row r="471" spans="1:4" ht="14.25" customHeight="1" x14ac:dyDescent="0.3">
      <c r="A471" s="39" t="s">
        <v>274</v>
      </c>
      <c r="B471" s="39" t="s">
        <v>415</v>
      </c>
      <c r="C471" s="42" t="str">
        <f>VLOOKUP(A471,[1]Detalle!$D$2:$CW$484,98,FALSE)</f>
        <v>JOHNSON - SC JOHNSON DE ARGENTINA SAIC</v>
      </c>
      <c r="D471" s="13">
        <v>46265</v>
      </c>
    </row>
    <row r="472" spans="1:4" ht="14.25" customHeight="1" x14ac:dyDescent="0.3">
      <c r="A472" s="39" t="s">
        <v>265</v>
      </c>
      <c r="B472" s="39" t="s">
        <v>415</v>
      </c>
      <c r="C472" s="42" t="str">
        <f>VLOOKUP(A472,[1]Detalle!$D$2:$CW$484,98,FALSE)</f>
        <v>CCUDyAZA</v>
      </c>
      <c r="D472" s="13">
        <v>46380</v>
      </c>
    </row>
    <row r="473" spans="1:4" ht="14.25" customHeight="1" x14ac:dyDescent="0.3">
      <c r="A473" s="39" t="s">
        <v>264</v>
      </c>
      <c r="B473" s="39" t="s">
        <v>415</v>
      </c>
      <c r="C473" s="42" t="str">
        <f>VLOOKUP(A473,[1]Detalle!$D$2:$CW$484,98,FALSE)</f>
        <v>CMQ_TTE - QUILMES TTE</v>
      </c>
      <c r="D473" s="13">
        <v>46229</v>
      </c>
    </row>
    <row r="474" spans="1:4" ht="14.25" customHeight="1" x14ac:dyDescent="0.3">
      <c r="A474" s="39" t="s">
        <v>263</v>
      </c>
      <c r="B474" s="39" t="s">
        <v>415</v>
      </c>
      <c r="C474" s="42" t="str">
        <f>VLOOKUP(A474,[1]Detalle!$D$2:$CW$484,98,FALSE)</f>
        <v>CCUCoAZA</v>
      </c>
      <c r="D474" s="13">
        <v>46285</v>
      </c>
    </row>
    <row r="475" spans="1:4" ht="14.25" customHeight="1" x14ac:dyDescent="0.3">
      <c r="A475" s="39" t="s">
        <v>262</v>
      </c>
      <c r="B475" s="39" t="s">
        <v>415</v>
      </c>
      <c r="C475" s="42" t="str">
        <f>VLOOKUP(A475,[1]Detalle!$D$2:$CW$484,98,FALSE)</f>
        <v>CCUDyAZA</v>
      </c>
      <c r="D475" s="13">
        <v>46384</v>
      </c>
    </row>
    <row r="476" spans="1:4" ht="14.25" customHeight="1" x14ac:dyDescent="0.3">
      <c r="A476" s="39" t="s">
        <v>261</v>
      </c>
      <c r="B476" s="39" t="s">
        <v>415</v>
      </c>
      <c r="C476" s="42" t="str">
        <f>VLOOKUP(A476,[1]Detalle!$D$2:$CW$484,98,FALSE)</f>
        <v>CCUDyAZA</v>
      </c>
      <c r="D476" s="13">
        <v>46268</v>
      </c>
    </row>
    <row r="477" spans="1:4" ht="14.25" customHeight="1" x14ac:dyDescent="0.3">
      <c r="A477" s="39" t="s">
        <v>260</v>
      </c>
      <c r="B477" s="39" t="s">
        <v>415</v>
      </c>
      <c r="C477" s="42" t="str">
        <f>VLOOKUP(A477,[1]Detalle!$D$2:$CW$484,98,FALSE)</f>
        <v>CCUDyAZA</v>
      </c>
      <c r="D477" s="13">
        <v>46123</v>
      </c>
    </row>
    <row r="478" spans="1:4" ht="14.25" customHeight="1" x14ac:dyDescent="0.3">
      <c r="A478" s="39" t="s">
        <v>257</v>
      </c>
      <c r="B478" s="39" t="s">
        <v>415</v>
      </c>
      <c r="C478" s="42" t="str">
        <f>VLOOKUP(A478,[1]Detalle!$D$2:$CW$484,98,FALSE)</f>
        <v>CMQ_TTE - QUILMES TTE</v>
      </c>
      <c r="D478" s="13">
        <v>46147</v>
      </c>
    </row>
    <row r="479" spans="1:4" ht="14.25" customHeight="1" x14ac:dyDescent="0.3">
      <c r="A479" s="39" t="s">
        <v>256</v>
      </c>
      <c r="B479" s="39" t="s">
        <v>415</v>
      </c>
      <c r="C479" s="42" t="str">
        <f>VLOOKUP(A479,[1]Detalle!$D$2:$CW$484,98,FALSE)</f>
        <v>CCUCoAZA</v>
      </c>
      <c r="D479" s="13">
        <v>46125</v>
      </c>
    </row>
    <row r="480" spans="1:4" ht="14.25" customHeight="1" x14ac:dyDescent="0.3">
      <c r="A480" s="39" t="s">
        <v>255</v>
      </c>
      <c r="B480" s="39" t="s">
        <v>415</v>
      </c>
      <c r="C480" s="42" t="str">
        <f>VLOOKUP(A480,[1]Detalle!$D$2:$CW$484,98,FALSE)</f>
        <v>CCUDyAZA</v>
      </c>
      <c r="D480" s="13">
        <v>46281</v>
      </c>
    </row>
    <row r="481" spans="1:4" ht="14.25" customHeight="1" x14ac:dyDescent="0.3">
      <c r="A481" s="39" t="s">
        <v>254</v>
      </c>
      <c r="B481" s="39" t="s">
        <v>415</v>
      </c>
      <c r="C481" s="42" t="str">
        <f>VLOOKUP(A481,[1]Detalle!$D$2:$CW$484,98,FALSE)</f>
        <v>CCUCoAZA</v>
      </c>
      <c r="D481" s="13">
        <v>46338</v>
      </c>
    </row>
    <row r="482" spans="1:4" ht="14.25" customHeight="1" x14ac:dyDescent="0.3">
      <c r="A482" s="39" t="s">
        <v>252</v>
      </c>
      <c r="B482" s="39" t="s">
        <v>415</v>
      </c>
      <c r="C482" s="42" t="str">
        <f>VLOOKUP(A482,[1]Detalle!$D$2:$CW$484,98,FALSE)</f>
        <v>CCUDyAZA</v>
      </c>
      <c r="D482" s="13">
        <v>46194</v>
      </c>
    </row>
    <row r="483" spans="1:4" ht="14.25" customHeight="1" x14ac:dyDescent="0.3">
      <c r="A483" s="39" t="s">
        <v>251</v>
      </c>
      <c r="B483" s="39" t="s">
        <v>415</v>
      </c>
      <c r="C483" s="42" t="str">
        <f>VLOOKUP(A483,[1]Detalle!$D$2:$CW$484,98,FALSE)</f>
        <v>CCUDyAZA</v>
      </c>
      <c r="D483" s="13">
        <v>46221</v>
      </c>
    </row>
    <row r="484" spans="1:4" ht="14.25" customHeight="1" x14ac:dyDescent="0.3">
      <c r="A484" s="39" t="s">
        <v>248</v>
      </c>
      <c r="B484" s="39" t="s">
        <v>415</v>
      </c>
      <c r="C484" s="42" t="str">
        <f>VLOOKUP(A484,[1]Detalle!$D$2:$CW$484,98,FALSE)</f>
        <v>CCUDyAZA</v>
      </c>
      <c r="D484" s="13">
        <v>46295</v>
      </c>
    </row>
    <row r="485" spans="1:4" ht="14.25" customHeight="1" x14ac:dyDescent="0.3">
      <c r="A485" s="39" t="s">
        <v>242</v>
      </c>
      <c r="B485" s="39" t="s">
        <v>415</v>
      </c>
      <c r="C485" s="42" t="str">
        <f>VLOOKUP(A485,[1]Detalle!$D$2:$CW$484,98,FALSE)</f>
        <v>Papelera - Papelera del Plata S.A.</v>
      </c>
      <c r="D485" s="13">
        <v>46246</v>
      </c>
    </row>
    <row r="486" spans="1:4" ht="14.25" customHeight="1" x14ac:dyDescent="0.3">
      <c r="A486" s="39" t="s">
        <v>239</v>
      </c>
      <c r="B486" s="39" t="s">
        <v>415</v>
      </c>
      <c r="C486" s="42" t="str">
        <f>VLOOKUP(A486,[1]Detalle!$D$2:$CW$484,98,FALSE)</f>
        <v>CMQ_TTE - QUILMES TTE</v>
      </c>
      <c r="D486" s="13">
        <v>46292</v>
      </c>
    </row>
    <row r="487" spans="1:4" ht="14.25" customHeight="1" x14ac:dyDescent="0.3">
      <c r="A487" s="39" t="s">
        <v>238</v>
      </c>
      <c r="B487" s="39" t="s">
        <v>415</v>
      </c>
      <c r="C487" s="42" t="str">
        <f>VLOOKUP(A487,[1]Detalle!$D$2:$CW$484,98,FALSE)</f>
        <v>CMQ_TTE - QUILMES TTE</v>
      </c>
      <c r="D487" s="13">
        <v>46084</v>
      </c>
    </row>
    <row r="488" spans="1:4" ht="14.25" customHeight="1" x14ac:dyDescent="0.3">
      <c r="A488" s="39" t="s">
        <v>217</v>
      </c>
      <c r="B488" s="39" t="s">
        <v>415</v>
      </c>
      <c r="C488" s="42" t="str">
        <f>VLOOKUP(A488,[1]Detalle!$D$2:$CW$484,98,FALSE)</f>
        <v>Papelera - Papelera del Plata S.A.</v>
      </c>
      <c r="D488" s="13">
        <v>46106</v>
      </c>
    </row>
    <row r="489" spans="1:4" ht="14.25" customHeight="1" x14ac:dyDescent="0.3">
      <c r="A489" s="39" t="s">
        <v>209</v>
      </c>
      <c r="B489" s="39" t="s">
        <v>415</v>
      </c>
      <c r="C489" s="42" t="str">
        <f>VLOOKUP(A489,[1]Detalle!$D$2:$CW$484,98,FALSE)</f>
        <v>CENCO_MZ - Cencosud SA - Mendoza</v>
      </c>
      <c r="D489" s="13">
        <v>46027</v>
      </c>
    </row>
    <row r="490" spans="1:4" ht="14.25" customHeight="1" x14ac:dyDescent="0.3">
      <c r="A490" s="39" t="s">
        <v>205</v>
      </c>
      <c r="B490" s="39" t="s">
        <v>415</v>
      </c>
      <c r="C490" s="42" t="str">
        <f>VLOOKUP(A490,[1]Detalle!$D$2:$CW$484,98,FALSE)</f>
        <v>CCUCoAZA</v>
      </c>
      <c r="D490" s="13">
        <v>46229</v>
      </c>
    </row>
    <row r="491" spans="1:4" ht="14.25" customHeight="1" x14ac:dyDescent="0.3">
      <c r="A491" s="39" t="s">
        <v>204</v>
      </c>
      <c r="B491" s="39" t="s">
        <v>415</v>
      </c>
      <c r="C491" s="42" t="str">
        <f>VLOOKUP(A491,[1]Detalle!$D$2:$CW$484,98,FALSE)</f>
        <v>CCUCoAZA</v>
      </c>
      <c r="D491" s="13">
        <v>46320</v>
      </c>
    </row>
    <row r="492" spans="1:4" ht="14.25" customHeight="1" x14ac:dyDescent="0.3">
      <c r="A492" s="39" t="s">
        <v>202</v>
      </c>
      <c r="B492" s="39" t="s">
        <v>415</v>
      </c>
      <c r="C492" s="42" t="str">
        <f>VLOOKUP(A492,[1]Detalle!$D$2:$CW$484,98,FALSE)</f>
        <v>CCUDyAZA</v>
      </c>
      <c r="D492" s="13">
        <v>46279</v>
      </c>
    </row>
    <row r="493" spans="1:4" ht="14.25" customHeight="1" x14ac:dyDescent="0.3">
      <c r="A493" s="39" t="s">
        <v>185</v>
      </c>
      <c r="B493" s="39" t="s">
        <v>415</v>
      </c>
      <c r="C493" s="42" t="str">
        <f>VLOOKUP(A493,[1]Detalle!$D$2:$CW$484,98,FALSE)</f>
        <v>CENCO_SJ - Cencosud SA - San Juan</v>
      </c>
      <c r="D493" s="13">
        <v>46256</v>
      </c>
    </row>
    <row r="494" spans="1:4" ht="14.25" customHeight="1" x14ac:dyDescent="0.3">
      <c r="A494" s="39" t="s">
        <v>174</v>
      </c>
      <c r="B494" s="39" t="s">
        <v>415</v>
      </c>
      <c r="C494" s="42" t="str">
        <f>VLOOKUP(A494,[1]Detalle!$D$2:$CW$484,98,FALSE)</f>
        <v>Unilever - Unilever de Arg. S.A.</v>
      </c>
      <c r="D494" s="13">
        <v>46029</v>
      </c>
    </row>
    <row r="495" spans="1:4" ht="14.25" customHeight="1" x14ac:dyDescent="0.3">
      <c r="A495" s="39" t="s">
        <v>172</v>
      </c>
      <c r="B495" s="39" t="s">
        <v>415</v>
      </c>
      <c r="C495" s="42" t="str">
        <f>VLOOKUP(A495,[1]Detalle!$D$2:$CW$484,98,FALSE)</f>
        <v>CENCO_MZ - Cencosud SA - Mendoza</v>
      </c>
      <c r="D495" s="13">
        <v>46211</v>
      </c>
    </row>
    <row r="496" spans="1:4" ht="14.25" customHeight="1" x14ac:dyDescent="0.3">
      <c r="A496" s="39" t="s">
        <v>171</v>
      </c>
      <c r="B496" s="39" t="s">
        <v>415</v>
      </c>
      <c r="C496" s="42" t="str">
        <f>VLOOKUP(A496,[1]Detalle!$D$2:$CW$484,98,FALSE)</f>
        <v>CENCO_MZ - Cencosud SA - Mendoza</v>
      </c>
      <c r="D496" s="13">
        <v>46146</v>
      </c>
    </row>
    <row r="497" spans="1:4" ht="14.25" customHeight="1" x14ac:dyDescent="0.3">
      <c r="A497" s="39" t="s">
        <v>170</v>
      </c>
      <c r="B497" s="39" t="s">
        <v>415</v>
      </c>
      <c r="C497" s="42" t="str">
        <f>VLOOKUP(A497,[1]Detalle!$D$2:$CW$484,98,FALSE)</f>
        <v>SUC_REA - Sucursal Realicó</v>
      </c>
      <c r="D497" s="13">
        <v>46107</v>
      </c>
    </row>
    <row r="498" spans="1:4" ht="14.25" customHeight="1" x14ac:dyDescent="0.3">
      <c r="A498" s="39" t="s">
        <v>169</v>
      </c>
      <c r="B498" s="39" t="s">
        <v>415</v>
      </c>
      <c r="C498" s="42" t="str">
        <f>VLOOKUP(A498,[1]Detalle!$D$2:$CW$484,98,FALSE)</f>
        <v>CCUCoAZA</v>
      </c>
      <c r="D498" s="13">
        <v>46204</v>
      </c>
    </row>
    <row r="499" spans="1:4" ht="14.25" customHeight="1" x14ac:dyDescent="0.3">
      <c r="A499" s="39" t="s">
        <v>168</v>
      </c>
      <c r="B499" s="39" t="s">
        <v>415</v>
      </c>
      <c r="C499" s="42" t="str">
        <f>VLOOKUP(A499,[1]Detalle!$D$2:$CW$484,98,FALSE)</f>
        <v>Unilever - Unilever de Arg. S.A.</v>
      </c>
      <c r="D499" s="13">
        <v>46195</v>
      </c>
    </row>
    <row r="500" spans="1:4" ht="14.25" customHeight="1" x14ac:dyDescent="0.3">
      <c r="A500" s="39" t="s">
        <v>167</v>
      </c>
      <c r="B500" s="39" t="s">
        <v>415</v>
      </c>
      <c r="C500" s="42" t="str">
        <f>VLOOKUP(A500,[1]Detalle!$D$2:$CW$484,98,FALSE)</f>
        <v>Papelera - Papelera del Plata S.A.</v>
      </c>
      <c r="D500" s="13">
        <v>46216</v>
      </c>
    </row>
    <row r="501" spans="1:4" ht="14.25" customHeight="1" x14ac:dyDescent="0.3">
      <c r="A501" s="39" t="s">
        <v>166</v>
      </c>
      <c r="B501" s="39" t="s">
        <v>415</v>
      </c>
      <c r="C501" s="42" t="str">
        <f>VLOOKUP(A501,[1]Detalle!$D$2:$CW$484,98,FALSE)</f>
        <v>CCUCoAZA</v>
      </c>
      <c r="D501" s="13">
        <v>46194</v>
      </c>
    </row>
    <row r="502" spans="1:4" ht="14.25" customHeight="1" x14ac:dyDescent="0.3">
      <c r="A502" s="39" t="s">
        <v>165</v>
      </c>
      <c r="B502" s="39" t="s">
        <v>415</v>
      </c>
      <c r="C502" s="42" t="str">
        <f>VLOOKUP(A502,[1]Detalle!$D$2:$CW$484,98,FALSE)</f>
        <v>Papelera - Papelera del Plata S.A.</v>
      </c>
      <c r="D502" s="13">
        <v>46333</v>
      </c>
    </row>
    <row r="503" spans="1:4" ht="14.25" customHeight="1" x14ac:dyDescent="0.3">
      <c r="A503" s="39" t="s">
        <v>152</v>
      </c>
      <c r="B503" s="39" t="s">
        <v>415</v>
      </c>
      <c r="C503" s="42" t="str">
        <f>VLOOKUP(A503,[1]Detalle!$D$2:$CW$484,98,FALSE)</f>
        <v>SUC_REA - Sucursal Realicó</v>
      </c>
      <c r="D503" s="13">
        <v>46140</v>
      </c>
    </row>
    <row r="504" spans="1:4" ht="14.25" customHeight="1" x14ac:dyDescent="0.3">
      <c r="A504" s="39" t="s">
        <v>150</v>
      </c>
      <c r="B504" s="39" t="s">
        <v>415</v>
      </c>
      <c r="C504" s="42" t="str">
        <f>VLOOKUP(A504,[1]Detalle!$D$2:$CW$484,98,FALSE)</f>
        <v>Papelera - Papelera del Plata S.A.</v>
      </c>
      <c r="D504" s="13">
        <v>46204</v>
      </c>
    </row>
    <row r="505" spans="1:4" ht="14.25" customHeight="1" x14ac:dyDescent="0.3">
      <c r="A505" s="39" t="s">
        <v>132</v>
      </c>
      <c r="B505" s="39" t="s">
        <v>418</v>
      </c>
      <c r="C505" s="42" t="str">
        <f>VLOOKUP(A505,[1]Detalle!$D$2:$CW$484,98,FALSE)</f>
        <v>Unilever - Unilever de Arg. S.A.</v>
      </c>
      <c r="D505" s="13">
        <v>46270</v>
      </c>
    </row>
    <row r="506" spans="1:4" ht="14.25" customHeight="1" x14ac:dyDescent="0.3">
      <c r="A506" s="39" t="s">
        <v>129</v>
      </c>
      <c r="B506" s="39" t="s">
        <v>418</v>
      </c>
      <c r="C506" s="42" t="str">
        <f>VLOOKUP(A506,[1]Detalle!$D$2:$CW$484,98,FALSE)</f>
        <v>Alfavinil SA</v>
      </c>
      <c r="D506" s="13">
        <v>46247</v>
      </c>
    </row>
    <row r="507" spans="1:4" ht="14.25" customHeight="1" x14ac:dyDescent="0.3">
      <c r="A507" s="39" t="s">
        <v>128</v>
      </c>
      <c r="B507" s="39" t="s">
        <v>418</v>
      </c>
      <c r="C507" s="42" t="str">
        <f>VLOOKUP(A507,[1]Detalle!$D$2:$CW$484,98,FALSE)</f>
        <v>Arcor S.A.I.C.</v>
      </c>
      <c r="D507" s="13">
        <v>46147</v>
      </c>
    </row>
    <row r="508" spans="1:4" ht="14.25" customHeight="1" x14ac:dyDescent="0.3">
      <c r="A508" s="39" t="s">
        <v>127</v>
      </c>
      <c r="B508" s="39" t="s">
        <v>418</v>
      </c>
      <c r="C508" s="42" t="str">
        <f>VLOOKUP(A508,[1]Detalle!$D$2:$CW$484,98,FALSE)</f>
        <v>Sin Operación</v>
      </c>
      <c r="D508" s="13">
        <v>46280</v>
      </c>
    </row>
    <row r="509" spans="1:4" ht="14.25" customHeight="1" x14ac:dyDescent="0.3">
      <c r="A509" s="39" t="s">
        <v>123</v>
      </c>
      <c r="B509" s="39" t="s">
        <v>418</v>
      </c>
      <c r="C509" s="42" t="str">
        <f>VLOOKUP(A509,[1]Detalle!$D$2:$CW$484,98,FALSE)</f>
        <v>SUC_SRA - Sucursal San Rafael</v>
      </c>
      <c r="D509" s="13">
        <v>46153</v>
      </c>
    </row>
    <row r="510" spans="1:4" ht="14.25" customHeight="1" x14ac:dyDescent="0.3">
      <c r="A510" s="39" t="s">
        <v>119</v>
      </c>
      <c r="B510" s="39" t="s">
        <v>418</v>
      </c>
      <c r="C510" s="42" t="str">
        <f>VLOOKUP(A510,[1]Detalle!$D$2:$CW$484,98,FALSE)</f>
        <v>SUC_CTC - Sucursal Buenos Aires</v>
      </c>
      <c r="D510" s="13">
        <v>46059</v>
      </c>
    </row>
    <row r="511" spans="1:4" ht="14.25" customHeight="1" x14ac:dyDescent="0.3">
      <c r="A511" s="39" t="s">
        <v>163</v>
      </c>
      <c r="B511" s="39" t="s">
        <v>418</v>
      </c>
      <c r="C511" s="42" t="str">
        <f>VLOOKUP(A511,[1]Detalle!$D$2:$CW$484,98,FALSE)</f>
        <v>Unilever - Unilever de Arg. S.A.</v>
      </c>
      <c r="D511" s="13">
        <v>46159</v>
      </c>
    </row>
    <row r="512" spans="1:4" ht="14.25" customHeight="1" x14ac:dyDescent="0.3">
      <c r="A512" s="39" t="s">
        <v>162</v>
      </c>
      <c r="B512" s="39" t="s">
        <v>418</v>
      </c>
      <c r="C512" s="42" t="str">
        <f>VLOOKUP(A512,[1]Detalle!$D$2:$CW$484,98,FALSE)</f>
        <v>SUC_SRA - Sucursal San Rafael</v>
      </c>
      <c r="D512" s="13">
        <v>46283</v>
      </c>
    </row>
    <row r="513" spans="1:4" ht="14.25" customHeight="1" x14ac:dyDescent="0.3">
      <c r="A513" s="39" t="s">
        <v>161</v>
      </c>
      <c r="B513" s="39" t="s">
        <v>418</v>
      </c>
      <c r="C513" s="42" t="str">
        <f>VLOOKUP(A513,[1]Detalle!$D$2:$CW$484,98,FALSE)</f>
        <v>Unilever - Unilever de Arg. S.A.</v>
      </c>
      <c r="D513" s="13">
        <v>46200</v>
      </c>
    </row>
    <row r="514" spans="1:4" ht="14.25" customHeight="1" x14ac:dyDescent="0.3">
      <c r="A514" s="39" t="s">
        <v>160</v>
      </c>
      <c r="B514" s="39" t="s">
        <v>418</v>
      </c>
      <c r="C514" s="42" t="str">
        <f>VLOOKUP(A514,[1]Detalle!$D$2:$CW$484,98,FALSE)</f>
        <v>CENCO_SJ - Cencosud SA - San Juan</v>
      </c>
      <c r="D514" s="13">
        <v>46062</v>
      </c>
    </row>
    <row r="515" spans="1:4" ht="14.25" customHeight="1" x14ac:dyDescent="0.3">
      <c r="A515" s="39" t="s">
        <v>159</v>
      </c>
      <c r="B515" s="39" t="s">
        <v>418</v>
      </c>
      <c r="C515" s="42" t="str">
        <f>VLOOKUP(A515,[1]Detalle!$D$2:$CW$484,98,FALSE)</f>
        <v>Papelera - Papelera del Plata S.A.</v>
      </c>
      <c r="D515" s="13">
        <v>46097</v>
      </c>
    </row>
    <row r="516" spans="1:4" ht="14.25" customHeight="1" x14ac:dyDescent="0.3">
      <c r="A516" s="39" t="s">
        <v>158</v>
      </c>
      <c r="B516" s="39" t="s">
        <v>418</v>
      </c>
      <c r="C516" s="42" t="str">
        <f>VLOOKUP(A516,[1]Detalle!$D$2:$CW$484,98,FALSE)</f>
        <v>JOHNSON - SC JOHNSON DE ARGENTINA SAIC</v>
      </c>
      <c r="D516" s="13">
        <v>46245</v>
      </c>
    </row>
    <row r="517" spans="1:4" ht="14.25" customHeight="1" x14ac:dyDescent="0.3">
      <c r="A517" s="39" t="s">
        <v>157</v>
      </c>
      <c r="B517" s="39" t="s">
        <v>418</v>
      </c>
      <c r="C517" s="42" t="str">
        <f>VLOOKUP(A517,[1]Detalle!$D$2:$CW$484,98,FALSE)</f>
        <v>Papelera - Papelera del Plata S.A.</v>
      </c>
      <c r="D517" s="13">
        <v>46294</v>
      </c>
    </row>
    <row r="518" spans="1:4" ht="14.25" customHeight="1" x14ac:dyDescent="0.3">
      <c r="A518" s="39" t="s">
        <v>156</v>
      </c>
      <c r="B518" s="39" t="s">
        <v>418</v>
      </c>
      <c r="C518" s="42" t="str">
        <f>VLOOKUP(A518,[1]Detalle!$D$2:$CW$484,98,FALSE)</f>
        <v>SUC_MEN - Sucursal Mendoza</v>
      </c>
      <c r="D518" s="13">
        <v>46224</v>
      </c>
    </row>
    <row r="519" spans="1:4" ht="14.25" customHeight="1" x14ac:dyDescent="0.3">
      <c r="A519" s="39" t="s">
        <v>154</v>
      </c>
      <c r="B519" s="39" t="s">
        <v>418</v>
      </c>
      <c r="C519" s="42" t="str">
        <f>VLOOKUP(A519,[1]Detalle!$D$2:$CW$484,98,FALSE)</f>
        <v>CCUCoAZA</v>
      </c>
      <c r="D519" s="13">
        <v>46325</v>
      </c>
    </row>
    <row r="520" spans="1:4" ht="14.25" customHeight="1" x14ac:dyDescent="0.3">
      <c r="A520" s="39" t="s">
        <v>153</v>
      </c>
      <c r="B520" s="39" t="s">
        <v>418</v>
      </c>
      <c r="C520" s="42" t="str">
        <f>VLOOKUP(A520,[1]Detalle!$D$2:$CW$484,98,FALSE)</f>
        <v>Expreso - Servicios Troncales</v>
      </c>
      <c r="D520" s="13">
        <v>46048</v>
      </c>
    </row>
    <row r="521" spans="1:4" ht="14.25" customHeight="1" x14ac:dyDescent="0.3">
      <c r="A521" s="39" t="s">
        <v>149</v>
      </c>
      <c r="B521" s="39" t="s">
        <v>418</v>
      </c>
      <c r="C521" s="42" t="str">
        <f>VLOOKUP(A521,[1]Detalle!$D$2:$CW$484,98,FALSE)</f>
        <v>Papelera - Papelera del Plata S.A.</v>
      </c>
      <c r="D521" s="13">
        <v>46122</v>
      </c>
    </row>
    <row r="522" spans="1:4" ht="14.25" customHeight="1" x14ac:dyDescent="0.3">
      <c r="A522" s="39" t="s">
        <v>148</v>
      </c>
      <c r="B522" s="39" t="s">
        <v>418</v>
      </c>
      <c r="C522" s="42" t="str">
        <f>VLOOKUP(A522,[1]Detalle!$D$2:$CW$484,98,FALSE)</f>
        <v>JOHNSON - SC JOHNSON DE ARGENTINA SAIC</v>
      </c>
      <c r="D522" s="13">
        <v>46097</v>
      </c>
    </row>
    <row r="523" spans="1:4" ht="14.25" customHeight="1" x14ac:dyDescent="0.3">
      <c r="A523" s="39" t="s">
        <v>147</v>
      </c>
      <c r="B523" s="39" t="s">
        <v>418</v>
      </c>
      <c r="C523" s="42" t="str">
        <f>VLOOKUP(A523,[1]Detalle!$D$2:$CW$484,98,FALSE)</f>
        <v>SUC_SLU - Sucursal San Luis</v>
      </c>
      <c r="D523" s="13">
        <v>46216</v>
      </c>
    </row>
    <row r="524" spans="1:4" ht="14.25" customHeight="1" x14ac:dyDescent="0.3">
      <c r="A524" s="39" t="s">
        <v>146</v>
      </c>
      <c r="B524" s="39" t="s">
        <v>418</v>
      </c>
      <c r="C524" s="42" t="str">
        <f>VLOOKUP(A524,[1]Detalle!$D$2:$CW$484,98,FALSE)</f>
        <v>Unilever - Unilever de Arg. S.A.</v>
      </c>
      <c r="D524" s="13">
        <v>46118</v>
      </c>
    </row>
    <row r="525" spans="1:4" ht="14.25" customHeight="1" x14ac:dyDescent="0.3">
      <c r="A525" s="39" t="s">
        <v>145</v>
      </c>
      <c r="B525" s="39" t="s">
        <v>418</v>
      </c>
      <c r="C525" s="42" t="str">
        <f>VLOOKUP(A525,[1]Detalle!$D$2:$CW$484,98,FALSE)</f>
        <v>CCUCoAZA</v>
      </c>
      <c r="D525" s="13">
        <v>46333</v>
      </c>
    </row>
    <row r="526" spans="1:4" ht="14.25" customHeight="1" x14ac:dyDescent="0.3">
      <c r="A526" s="39" t="s">
        <v>144</v>
      </c>
      <c r="B526" s="39" t="s">
        <v>418</v>
      </c>
      <c r="C526" s="42" t="str">
        <f>VLOOKUP(A526,[1]Detalle!$D$2:$CW$484,98,FALSE)</f>
        <v>Papelera - Papelera del Plata S.A.</v>
      </c>
      <c r="D526" s="13">
        <v>46107</v>
      </c>
    </row>
    <row r="527" spans="1:4" ht="14.25" customHeight="1" x14ac:dyDescent="0.3">
      <c r="A527" s="39" t="s">
        <v>143</v>
      </c>
      <c r="B527" s="39" t="s">
        <v>418</v>
      </c>
      <c r="C527" s="42" t="str">
        <f>VLOOKUP(A527,[1]Detalle!$D$2:$CW$484,98,FALSE)</f>
        <v>CENCO_MZ - Cencosud SA - Mendoza</v>
      </c>
      <c r="D527" s="13">
        <v>46147</v>
      </c>
    </row>
    <row r="528" spans="1:4" ht="14.25" customHeight="1" x14ac:dyDescent="0.3">
      <c r="A528" s="39" t="s">
        <v>142</v>
      </c>
      <c r="B528" s="39" t="s">
        <v>418</v>
      </c>
      <c r="C528" s="42" t="str">
        <f>VLOOKUP(A528,[1]Detalle!$D$2:$CW$484,98,FALSE)</f>
        <v>Papelera - Papelera del Plata S.A.</v>
      </c>
      <c r="D528" s="13">
        <v>46077</v>
      </c>
    </row>
    <row r="529" spans="1:4" ht="14.25" customHeight="1" x14ac:dyDescent="0.3">
      <c r="A529" s="39" t="s">
        <v>141</v>
      </c>
      <c r="B529" s="39" t="s">
        <v>418</v>
      </c>
      <c r="C529" s="42" t="str">
        <f>VLOOKUP(A529,[1]Detalle!$D$2:$CW$484,98,FALSE)</f>
        <v>Unilever - Unilever de Arg. S.A.</v>
      </c>
      <c r="D529" s="13">
        <v>46138</v>
      </c>
    </row>
    <row r="530" spans="1:4" ht="14.25" customHeight="1" x14ac:dyDescent="0.3">
      <c r="A530" s="39" t="s">
        <v>140</v>
      </c>
      <c r="B530" s="39" t="s">
        <v>418</v>
      </c>
      <c r="C530" s="42" t="str">
        <f>VLOOKUP(A530,[1]Detalle!$D$2:$CW$484,98,FALSE)</f>
        <v>CCU_MZA - Comp. Cerv. Unidas - MZA</v>
      </c>
      <c r="D530" s="13">
        <v>46380</v>
      </c>
    </row>
    <row r="531" spans="1:4" ht="14.25" customHeight="1" x14ac:dyDescent="0.3">
      <c r="A531" s="39" t="s">
        <v>139</v>
      </c>
      <c r="B531" s="39" t="s">
        <v>418</v>
      </c>
      <c r="C531" s="42" t="str">
        <f>VLOOKUP(A531,[1]Detalle!$D$2:$CW$484,98,FALSE)</f>
        <v>CCUDyAZA</v>
      </c>
      <c r="D531" s="13">
        <v>46202</v>
      </c>
    </row>
    <row r="532" spans="1:4" ht="14.25" customHeight="1" x14ac:dyDescent="0.3">
      <c r="A532" s="39" t="s">
        <v>138</v>
      </c>
      <c r="B532" s="39" t="s">
        <v>418</v>
      </c>
      <c r="C532" s="42" t="str">
        <f>VLOOKUP(A532,[1]Detalle!$D$2:$CW$484,98,FALSE)</f>
        <v>SUC_MEN - Sucursal Mendoza</v>
      </c>
      <c r="D532" s="13">
        <v>46110</v>
      </c>
    </row>
    <row r="533" spans="1:4" ht="14.25" customHeight="1" x14ac:dyDescent="0.3">
      <c r="A533" s="39" t="s">
        <v>137</v>
      </c>
      <c r="B533" s="39" t="s">
        <v>418</v>
      </c>
      <c r="C533" s="42" t="str">
        <f>VLOOKUP(A533,[1]Detalle!$D$2:$CW$484,98,FALSE)</f>
        <v>CCUDyAZA</v>
      </c>
      <c r="D533" s="13">
        <v>46316</v>
      </c>
    </row>
    <row r="534" spans="1:4" ht="14.25" customHeight="1" x14ac:dyDescent="0.3">
      <c r="A534" s="39" t="s">
        <v>136</v>
      </c>
      <c r="B534" s="39" t="s">
        <v>418</v>
      </c>
      <c r="C534" s="42" t="str">
        <f>VLOOKUP(A534,[1]Detalle!$D$2:$CW$484,98,FALSE)</f>
        <v>Topacio</v>
      </c>
      <c r="D534" s="13">
        <v>46063</v>
      </c>
    </row>
    <row r="535" spans="1:4" ht="14.25" customHeight="1" x14ac:dyDescent="0.3">
      <c r="A535" s="39" t="s">
        <v>135</v>
      </c>
      <c r="B535" s="39" t="s">
        <v>418</v>
      </c>
      <c r="C535" s="42" t="str">
        <f>VLOOKUP(A535,[1]Detalle!$D$2:$CW$484,98,FALSE)</f>
        <v>CCUCoAZA</v>
      </c>
      <c r="D535" s="13">
        <v>46281</v>
      </c>
    </row>
    <row r="536" spans="1:4" ht="14.25" customHeight="1" x14ac:dyDescent="0.3">
      <c r="A536" s="39" t="s">
        <v>134</v>
      </c>
      <c r="B536" s="39" t="s">
        <v>418</v>
      </c>
      <c r="C536" s="42" t="str">
        <f>VLOOKUP(A536,[1]Detalle!$D$2:$CW$484,98,FALSE)</f>
        <v>SUC_CTC - Sucursal Buenos Aires</v>
      </c>
      <c r="D536" s="13">
        <v>46226</v>
      </c>
    </row>
    <row r="537" spans="1:4" ht="14.25" customHeight="1" x14ac:dyDescent="0.3">
      <c r="A537" s="39" t="s">
        <v>100</v>
      </c>
      <c r="B537" s="39" t="s">
        <v>418</v>
      </c>
      <c r="C537" s="42" t="str">
        <f>VLOOKUP(A537,[1]Detalle!$D$2:$CW$484,98,FALSE)</f>
        <v>CMQ_TTE - QUILMES TTE</v>
      </c>
      <c r="D537" s="13">
        <v>46348</v>
      </c>
    </row>
    <row r="538" spans="1:4" ht="14.25" customHeight="1" x14ac:dyDescent="0.3">
      <c r="A538" s="39" t="s">
        <v>78</v>
      </c>
      <c r="B538" s="39" t="s">
        <v>418</v>
      </c>
      <c r="C538" s="42" t="str">
        <f>VLOOKUP(A538,[1]Detalle!$D$2:$CW$484,98,FALSE)</f>
        <v>CCU_MZA - Comp. Cerv. Unidas - MZA</v>
      </c>
      <c r="D538" s="13">
        <v>46348</v>
      </c>
    </row>
    <row r="539" spans="1:4" ht="14.25" customHeight="1" x14ac:dyDescent="0.3">
      <c r="A539" s="39" t="s">
        <v>75</v>
      </c>
      <c r="B539" s="39" t="s">
        <v>418</v>
      </c>
      <c r="C539" s="42" t="str">
        <f>VLOOKUP(A539,[1]Detalle!$D$2:$CW$484,98,FALSE)</f>
        <v>CCU_MZA - Comp. Cerv. Unidas - MZA</v>
      </c>
      <c r="D539" s="13">
        <v>46114</v>
      </c>
    </row>
    <row r="540" spans="1:4" ht="14.25" customHeight="1" x14ac:dyDescent="0.3">
      <c r="A540" s="39" t="s">
        <v>62</v>
      </c>
      <c r="B540" s="39" t="s">
        <v>418</v>
      </c>
      <c r="C540" s="42" t="str">
        <f>VLOOKUP(A540,[1]Detalle!$D$2:$CW$484,98,FALSE)</f>
        <v>CCUDyAZA</v>
      </c>
      <c r="D540" s="13">
        <v>46319</v>
      </c>
    </row>
    <row r="541" spans="1:4" ht="14.25" customHeight="1" x14ac:dyDescent="0.3">
      <c r="A541" s="39" t="s">
        <v>61</v>
      </c>
      <c r="B541" s="39" t="s">
        <v>418</v>
      </c>
      <c r="C541" s="42" t="str">
        <f>VLOOKUP(A541,[1]Detalle!$D$2:$CW$484,98,FALSE)</f>
        <v>CCU_MZA - Comp. Cerv. Unidas - MZA</v>
      </c>
      <c r="D541" s="13">
        <v>46227</v>
      </c>
    </row>
    <row r="542" spans="1:4" ht="14.25" customHeight="1" x14ac:dyDescent="0.3">
      <c r="A542" s="39" t="s">
        <v>60</v>
      </c>
      <c r="B542" s="39" t="s">
        <v>418</v>
      </c>
      <c r="C542" s="42" t="str">
        <f>VLOOKUP(A542,[1]Detalle!$D$2:$CW$484,98,FALSE)</f>
        <v>CCUDyAZA</v>
      </c>
      <c r="D542" s="13">
        <v>46136</v>
      </c>
    </row>
    <row r="543" spans="1:4" ht="14.25" customHeight="1" x14ac:dyDescent="0.3">
      <c r="A543" s="39" t="s">
        <v>52</v>
      </c>
      <c r="B543" s="39" t="s">
        <v>418</v>
      </c>
      <c r="C543" s="42" t="str">
        <f>VLOOKUP(A543,[1]Detalle!$D$2:$CW$484,98,FALSE)</f>
        <v>CMQ_TTE - QUILMES TTE</v>
      </c>
      <c r="D543" s="13">
        <v>46320</v>
      </c>
    </row>
    <row r="544" spans="1:4" ht="14.25" customHeight="1" x14ac:dyDescent="0.3">
      <c r="A544" s="39" t="s">
        <v>27</v>
      </c>
      <c r="B544" s="39" t="s">
        <v>421</v>
      </c>
      <c r="C544" s="42" t="str">
        <f>VLOOKUP(A544,[1]Detalle!$D$2:$CW$484,98,FALSE)</f>
        <v>CMQ_TTE - QUILMES TTE</v>
      </c>
      <c r="D544" s="13">
        <v>46290</v>
      </c>
    </row>
    <row r="545" spans="1:4" ht="14.25" customHeight="1" x14ac:dyDescent="0.3">
      <c r="A545" s="39" t="s">
        <v>210</v>
      </c>
      <c r="B545" s="39" t="s">
        <v>421</v>
      </c>
      <c r="C545" s="42" t="str">
        <f>VLOOKUP(A545,[1]Detalle!$D$2:$CW$484,98,FALSE)</f>
        <v>Topacio</v>
      </c>
      <c r="D545" s="13">
        <v>46247</v>
      </c>
    </row>
    <row r="546" spans="1:4" ht="14.25" customHeight="1" x14ac:dyDescent="0.3">
      <c r="A546" s="39" t="s">
        <v>196</v>
      </c>
      <c r="B546" s="39" t="s">
        <v>421</v>
      </c>
      <c r="C546" s="42" t="str">
        <f>VLOOKUP(A546,[1]Detalle!$D$2:$CW$484,98,FALSE)</f>
        <v>CCUCoAZA</v>
      </c>
      <c r="D546" s="13">
        <v>46298</v>
      </c>
    </row>
    <row r="547" spans="1:4" ht="14.25" customHeight="1" x14ac:dyDescent="0.3">
      <c r="A547" s="39" t="s">
        <v>190</v>
      </c>
      <c r="B547" s="39" t="s">
        <v>421</v>
      </c>
      <c r="C547" s="42" t="str">
        <f>VLOOKUP(A547,[1]Detalle!$D$2:$CW$484,98,FALSE)</f>
        <v>CCUCoAZA</v>
      </c>
      <c r="D547" s="13">
        <v>46236</v>
      </c>
    </row>
    <row r="548" spans="1:4" ht="14.25" customHeight="1" x14ac:dyDescent="0.3">
      <c r="A548" s="39" t="s">
        <v>189</v>
      </c>
      <c r="B548" s="39" t="s">
        <v>421</v>
      </c>
      <c r="C548" s="42" t="str">
        <f>VLOOKUP(A548,[1]Detalle!$D$2:$CW$484,98,FALSE)</f>
        <v>CCUDyAZA</v>
      </c>
      <c r="D548" s="13">
        <v>46289</v>
      </c>
    </row>
    <row r="549" spans="1:4" ht="14.25" customHeight="1" x14ac:dyDescent="0.3">
      <c r="A549" s="39" t="s">
        <v>180</v>
      </c>
      <c r="B549" s="39" t="s">
        <v>421</v>
      </c>
      <c r="C549" s="42" t="str">
        <f>VLOOKUP(A549,[1]Detalle!$D$2:$CW$484,98,FALSE)</f>
        <v>CCUCoAZA</v>
      </c>
      <c r="D549" s="13">
        <v>46235</v>
      </c>
    </row>
    <row r="550" spans="1:4" ht="14.25" customHeight="1" x14ac:dyDescent="0.3">
      <c r="A550" s="39" t="s">
        <v>179</v>
      </c>
      <c r="B550" s="39" t="s">
        <v>421</v>
      </c>
      <c r="C550" s="42" t="str">
        <f>VLOOKUP(A550,[1]Detalle!$D$2:$CW$484,98,FALSE)</f>
        <v>CCUCoAZA</v>
      </c>
      <c r="D550" s="13">
        <v>46300</v>
      </c>
    </row>
    <row r="551" spans="1:4" ht="14.25" customHeight="1" x14ac:dyDescent="0.3">
      <c r="A551" s="39" t="s">
        <v>82</v>
      </c>
      <c r="B551" s="39" t="s">
        <v>421</v>
      </c>
      <c r="C551" s="42" t="str">
        <f>VLOOKUP(A551,[1]Detalle!$D$2:$CW$484,98,FALSE)</f>
        <v>CENCO_MZ - Cencosud SA - Mendoza</v>
      </c>
      <c r="D551" s="13">
        <v>46147</v>
      </c>
    </row>
    <row r="552" spans="1:4" ht="14.25" customHeight="1" x14ac:dyDescent="0.3">
      <c r="A552" s="39" t="s">
        <v>42</v>
      </c>
      <c r="B552" s="39" t="s">
        <v>421</v>
      </c>
      <c r="C552" s="42" t="str">
        <f>VLOOKUP(A552,[1]Detalle!$D$2:$CW$484,98,FALSE)</f>
        <v>CMQ_TTE - QUILMES TTE</v>
      </c>
      <c r="D552" s="13">
        <v>46387</v>
      </c>
    </row>
    <row r="553" spans="1:4" ht="14.25" customHeight="1" x14ac:dyDescent="0.3">
      <c r="A553" s="39" t="s">
        <v>40</v>
      </c>
      <c r="B553" s="39" t="s">
        <v>421</v>
      </c>
      <c r="C553" s="42" t="str">
        <f>VLOOKUP(A553,[1]Detalle!$D$2:$CW$484,98,FALSE)</f>
        <v>CMQ_TTE - QUILMES TTE</v>
      </c>
      <c r="D553" s="13">
        <v>46338</v>
      </c>
    </row>
    <row r="554" spans="1:4" ht="14.25" customHeight="1" x14ac:dyDescent="0.3">
      <c r="A554" s="39" t="s">
        <v>273</v>
      </c>
      <c r="B554" s="39" t="s">
        <v>421</v>
      </c>
      <c r="C554" s="42" t="str">
        <f>VLOOKUP(A554,[1]Detalle!$D$2:$CW$484,98,FALSE)</f>
        <v>CENCOMLD - Cencosud SA - Mendoza</v>
      </c>
      <c r="D554" s="13">
        <v>46064</v>
      </c>
    </row>
    <row r="555" spans="1:4" ht="14.25" customHeight="1" x14ac:dyDescent="0.3">
      <c r="A555" s="39" t="s">
        <v>267</v>
      </c>
      <c r="B555" s="39" t="s">
        <v>421</v>
      </c>
      <c r="C555" s="42" t="str">
        <f>VLOOKUP(A555,[1]Detalle!$D$2:$CW$484,98,FALSE)</f>
        <v>CCUDyAZA</v>
      </c>
      <c r="D555" s="13">
        <v>46284</v>
      </c>
    </row>
    <row r="556" spans="1:4" ht="14.25" customHeight="1" x14ac:dyDescent="0.3">
      <c r="A556" s="39" t="s">
        <v>208</v>
      </c>
      <c r="B556" s="39" t="s">
        <v>421</v>
      </c>
      <c r="C556" s="42" t="str">
        <f>VLOOKUP(A556,[1]Detalle!$D$2:$CW$484,98,FALSE)</f>
        <v>CENCO_MZ - Cencosud SA - Mendoza</v>
      </c>
      <c r="D556" s="13">
        <v>46277</v>
      </c>
    </row>
    <row r="557" spans="1:4" ht="14.25" customHeight="1" x14ac:dyDescent="0.3">
      <c r="A557" s="39" t="s">
        <v>207</v>
      </c>
      <c r="B557" s="39" t="s">
        <v>421</v>
      </c>
      <c r="C557" s="42" t="str">
        <f>VLOOKUP(A557,[1]Detalle!$D$2:$CW$484,98,FALSE)</f>
        <v>CENCO_MZ - Cencosud SA - Mendoza</v>
      </c>
      <c r="D557" s="13">
        <v>46027</v>
      </c>
    </row>
    <row r="558" spans="1:4" ht="14.25" customHeight="1" x14ac:dyDescent="0.3">
      <c r="A558" s="39" t="s">
        <v>3</v>
      </c>
      <c r="B558" s="39" t="s">
        <v>421</v>
      </c>
      <c r="C558" s="42" t="str">
        <f>VLOOKUP(A558,[1]Detalle!$D$2:$CW$484,98,FALSE)</f>
        <v>CCU_MZA - Comp. Cerv. Unidas - MZA</v>
      </c>
      <c r="D558" s="13">
        <v>46068</v>
      </c>
    </row>
    <row r="559" spans="1:4" ht="14.25" customHeight="1" x14ac:dyDescent="0.3">
      <c r="A559" s="39" t="s">
        <v>88</v>
      </c>
      <c r="B559" s="39" t="s">
        <v>424</v>
      </c>
      <c r="C559" s="42" t="str">
        <f>VLOOKUP(A559,[1]Detalle!$D$2:$CW$484,98,FALSE)</f>
        <v>CMQ_TTE - QUILMES TTE</v>
      </c>
      <c r="D559" s="13">
        <v>46124</v>
      </c>
    </row>
    <row r="560" spans="1:4" ht="14.25" customHeight="1" x14ac:dyDescent="0.3">
      <c r="A560" s="39" t="s">
        <v>87</v>
      </c>
      <c r="B560" s="39" t="s">
        <v>424</v>
      </c>
      <c r="C560" s="42" t="str">
        <f>VLOOKUP(A560,[1]Detalle!$D$2:$CW$484,98,FALSE)</f>
        <v>CENCO_MZ - Cencosud SA - Mendoza</v>
      </c>
      <c r="D560" s="13">
        <v>46147</v>
      </c>
    </row>
    <row r="561" spans="1:4" ht="14.25" customHeight="1" x14ac:dyDescent="0.3">
      <c r="A561" s="39" t="s">
        <v>71</v>
      </c>
      <c r="B561" s="39" t="s">
        <v>424</v>
      </c>
      <c r="C561" s="42" t="str">
        <f>VLOOKUP(A561,[1]Detalle!$D$2:$CW$484,98,FALSE)</f>
        <v>CMQ_TTE - QUILMES TTE</v>
      </c>
      <c r="D561" s="13">
        <v>46326</v>
      </c>
    </row>
    <row r="562" spans="1:4" ht="14.25" customHeight="1" x14ac:dyDescent="0.3">
      <c r="A562" s="39" t="s">
        <v>66</v>
      </c>
      <c r="B562" s="39" t="s">
        <v>424</v>
      </c>
      <c r="C562" s="42" t="str">
        <f>VLOOKUP(A562,[1]Detalle!$D$2:$CW$484,98,FALSE)</f>
        <v>CMQ_TTE - QUILMES TTE</v>
      </c>
      <c r="D562" s="13">
        <v>46376</v>
      </c>
    </row>
    <row r="563" spans="1:4" ht="14.25" customHeight="1" x14ac:dyDescent="0.3">
      <c r="A563" s="39" t="s">
        <v>46</v>
      </c>
      <c r="B563" s="39" t="s">
        <v>424</v>
      </c>
      <c r="C563" s="42" t="str">
        <f>VLOOKUP(A563,[1]Detalle!$D$2:$CW$484,98,FALSE)</f>
        <v>CMQ_TTE - QUILMES TTE</v>
      </c>
      <c r="D563" s="13">
        <v>46339</v>
      </c>
    </row>
    <row r="564" spans="1:4" ht="14.25" customHeight="1" x14ac:dyDescent="0.3">
      <c r="A564" s="39" t="s">
        <v>44</v>
      </c>
      <c r="B564" s="39" t="s">
        <v>424</v>
      </c>
      <c r="C564" s="42" t="str">
        <f>VLOOKUP(A564,[1]Detalle!$D$2:$CW$484,98,FALSE)</f>
        <v>CMQ_TTE - QUILMES TTE</v>
      </c>
      <c r="D564" s="13">
        <v>46277</v>
      </c>
    </row>
    <row r="565" spans="1:4" ht="14.25" customHeight="1" x14ac:dyDescent="0.3">
      <c r="A565" s="39" t="s">
        <v>43</v>
      </c>
      <c r="B565" s="39" t="s">
        <v>424</v>
      </c>
      <c r="C565" s="42" t="str">
        <f>VLOOKUP(A565,[1]Detalle!$D$2:$CW$484,98,FALSE)</f>
        <v>CMQ_TTE - QUILMES TTE</v>
      </c>
      <c r="D565" s="13">
        <v>46332</v>
      </c>
    </row>
    <row r="566" spans="1:4" ht="14.25" customHeight="1" x14ac:dyDescent="0.3">
      <c r="A566" s="39" t="s">
        <v>24</v>
      </c>
      <c r="B566" s="39" t="s">
        <v>424</v>
      </c>
      <c r="C566" s="42" t="str">
        <f>VLOOKUP(A566,[1]Detalle!$D$2:$CW$484,98,FALSE)</f>
        <v>CMQ_TTE - QUILMES TTE</v>
      </c>
      <c r="D566" s="13">
        <v>46330</v>
      </c>
    </row>
    <row r="567" spans="1:4" ht="14.25" customHeight="1" x14ac:dyDescent="0.3">
      <c r="A567" s="39" t="s">
        <v>22</v>
      </c>
      <c r="B567" s="39" t="s">
        <v>424</v>
      </c>
      <c r="C567" s="42" t="str">
        <f>VLOOKUP(A567,[1]Detalle!$D$2:$CW$484,98,FALSE)</f>
        <v>CMQ_TTE - QUILMES TTE</v>
      </c>
      <c r="D567" s="13">
        <v>46197</v>
      </c>
    </row>
    <row r="568" spans="1:4" ht="14.25" customHeight="1" x14ac:dyDescent="0.3">
      <c r="A568" s="39" t="s">
        <v>21</v>
      </c>
      <c r="B568" s="39" t="s">
        <v>424</v>
      </c>
      <c r="C568" s="42" t="str">
        <f>VLOOKUP(A568,[1]Detalle!$D$2:$CW$484,98,FALSE)</f>
        <v>CMQ_TTE - QUILMES TTE</v>
      </c>
      <c r="D568" s="13">
        <v>46099</v>
      </c>
    </row>
    <row r="569" spans="1:4" ht="14.25" customHeight="1" x14ac:dyDescent="0.3">
      <c r="A569" s="39" t="s">
        <v>221</v>
      </c>
      <c r="B569" s="39" t="s">
        <v>428</v>
      </c>
      <c r="C569" s="42" t="str">
        <f>VLOOKUP(A569,[1]Detalle!$D$2:$CW$484,98,FALSE)</f>
        <v>ADA_CH - Danone Arg. S.A. - Chascomus</v>
      </c>
      <c r="D569" s="13">
        <v>46092</v>
      </c>
    </row>
    <row r="570" spans="1:4" ht="14.25" customHeight="1" x14ac:dyDescent="0.3">
      <c r="A570" s="39" t="s">
        <v>221</v>
      </c>
      <c r="B570" s="39" t="s">
        <v>428</v>
      </c>
      <c r="C570" s="42" t="str">
        <f>VLOOKUP(A570,[1]Detalle!$D$2:$CW$484,98,FALSE)</f>
        <v>ADA_CH - Danone Arg. S.A. - Chascomus</v>
      </c>
      <c r="D570" s="13">
        <v>46092</v>
      </c>
    </row>
    <row r="571" spans="1:4" ht="14.25" customHeight="1" x14ac:dyDescent="0.3">
      <c r="A571" s="39" t="s">
        <v>30</v>
      </c>
      <c r="B571" s="39" t="s">
        <v>428</v>
      </c>
      <c r="C571" s="42" t="str">
        <f>VLOOKUP(A571,[1]Detalle!$D$2:$CW$484,98,FALSE)</f>
        <v>ADA_CH - Danone Arg. S.A. - Chascomus</v>
      </c>
      <c r="D571" s="13">
        <v>46264</v>
      </c>
    </row>
    <row r="572" spans="1:4" ht="14.25" customHeight="1" x14ac:dyDescent="0.3">
      <c r="A572" s="39" t="s">
        <v>30</v>
      </c>
      <c r="B572" s="39" t="s">
        <v>428</v>
      </c>
      <c r="C572" s="42" t="str">
        <f>VLOOKUP(A572,[1]Detalle!$D$2:$CW$484,98,FALSE)</f>
        <v>ADA_CH - Danone Arg. S.A. - Chascomus</v>
      </c>
      <c r="D572" s="13">
        <v>46264</v>
      </c>
    </row>
    <row r="573" spans="1:4" ht="14.25" customHeight="1" x14ac:dyDescent="0.3">
      <c r="A573" s="39" t="s">
        <v>32</v>
      </c>
      <c r="B573" s="39" t="s">
        <v>428</v>
      </c>
      <c r="C573" s="42" t="str">
        <f>VLOOKUP(A573,[1]Detalle!$D$2:$CW$484,98,FALSE)</f>
        <v>ADA_CH - Danone Arg. S.A. - Chascomus</v>
      </c>
      <c r="D573" s="13">
        <v>46038</v>
      </c>
    </row>
    <row r="574" spans="1:4" ht="14.25" customHeight="1" x14ac:dyDescent="0.3">
      <c r="A574" s="39" t="s">
        <v>32</v>
      </c>
      <c r="B574" s="39" t="s">
        <v>428</v>
      </c>
      <c r="C574" s="42" t="str">
        <f>VLOOKUP(A574,[1]Detalle!$D$2:$CW$484,98,FALSE)</f>
        <v>ADA_CH - Danone Arg. S.A. - Chascomus</v>
      </c>
      <c r="D574" s="13">
        <v>46038</v>
      </c>
    </row>
    <row r="575" spans="1:4" ht="14.25" customHeight="1" x14ac:dyDescent="0.3">
      <c r="A575" s="39" t="s">
        <v>70</v>
      </c>
      <c r="B575" s="39" t="s">
        <v>428</v>
      </c>
      <c r="C575" s="42" t="str">
        <f>VLOOKUP(A575,[1]Detalle!$D$2:$CW$484,98,FALSE)</f>
        <v>ADA_CH - Danone Arg. S.A. - Chascomus</v>
      </c>
      <c r="D575" s="13">
        <v>46089</v>
      </c>
    </row>
    <row r="576" spans="1:4" ht="14.25" customHeight="1" x14ac:dyDescent="0.3">
      <c r="A576" s="39" t="s">
        <v>70</v>
      </c>
      <c r="B576" s="39" t="s">
        <v>428</v>
      </c>
      <c r="C576" s="42" t="str">
        <f>VLOOKUP(A576,[1]Detalle!$D$2:$CW$484,98,FALSE)</f>
        <v>ADA_CH - Danone Arg. S.A. - Chascomus</v>
      </c>
      <c r="D576" s="13">
        <v>46089</v>
      </c>
    </row>
    <row r="577" spans="1:4" ht="14.25" customHeight="1" x14ac:dyDescent="0.3">
      <c r="A577" s="39" t="s">
        <v>77</v>
      </c>
      <c r="B577" s="39" t="s">
        <v>428</v>
      </c>
      <c r="C577" s="42" t="str">
        <f>VLOOKUP(A577,[1]Detalle!$D$2:$CW$484,98,FALSE)</f>
        <v>Arcor S.A.I.C.</v>
      </c>
      <c r="D577" s="13">
        <v>46119</v>
      </c>
    </row>
    <row r="578" spans="1:4" ht="14.25" customHeight="1" x14ac:dyDescent="0.3">
      <c r="A578" s="39" t="s">
        <v>77</v>
      </c>
      <c r="B578" s="39" t="s">
        <v>428</v>
      </c>
      <c r="C578" s="42" t="str">
        <f>VLOOKUP(A578,[1]Detalle!$D$2:$CW$484,98,FALSE)</f>
        <v>Arcor S.A.I.C.</v>
      </c>
      <c r="D578" s="13">
        <v>46119</v>
      </c>
    </row>
    <row r="579" spans="1:4" ht="14.25" customHeight="1" x14ac:dyDescent="0.3">
      <c r="A579" s="39" t="s">
        <v>86</v>
      </c>
      <c r="B579" s="39" t="s">
        <v>428</v>
      </c>
      <c r="C579" s="42" t="str">
        <f>VLOOKUP(A579,[1]Detalle!$D$2:$CW$484,98,FALSE)</f>
        <v>Arcor S.A.I.C.</v>
      </c>
      <c r="D579" s="13">
        <v>46167</v>
      </c>
    </row>
    <row r="580" spans="1:4" ht="14.25" customHeight="1" x14ac:dyDescent="0.3">
      <c r="A580" s="39" t="s">
        <v>86</v>
      </c>
      <c r="B580" s="39" t="s">
        <v>428</v>
      </c>
      <c r="C580" s="42" t="str">
        <f>VLOOKUP(A580,[1]Detalle!$D$2:$CW$484,98,FALSE)</f>
        <v>Arcor S.A.I.C.</v>
      </c>
      <c r="D580" s="13">
        <v>46167</v>
      </c>
    </row>
    <row r="581" spans="1:4" ht="14.25" customHeight="1" x14ac:dyDescent="0.3">
      <c r="A581" s="39" t="s">
        <v>85</v>
      </c>
      <c r="B581" s="39" t="s">
        <v>428</v>
      </c>
      <c r="C581" s="42" t="str">
        <f>VLOOKUP(A581,[1]Detalle!$D$2:$CW$484,98,FALSE)</f>
        <v>Arcor S.A.I.C.</v>
      </c>
      <c r="D581" s="13">
        <v>46032</v>
      </c>
    </row>
    <row r="582" spans="1:4" ht="14.25" customHeight="1" x14ac:dyDescent="0.3">
      <c r="A582" s="39" t="s">
        <v>85</v>
      </c>
      <c r="B582" s="39" t="s">
        <v>428</v>
      </c>
      <c r="C582" s="42" t="str">
        <f>VLOOKUP(A582,[1]Detalle!$D$2:$CW$484,98,FALSE)</f>
        <v>Arcor S.A.I.C.</v>
      </c>
      <c r="D582" s="13">
        <v>46032</v>
      </c>
    </row>
    <row r="583" spans="1:4" ht="14.25" customHeight="1" x14ac:dyDescent="0.3">
      <c r="A583" s="39" t="s">
        <v>93</v>
      </c>
      <c r="B583" s="39" t="s">
        <v>428</v>
      </c>
      <c r="C583" s="42" t="str">
        <f>VLOOKUP(A583,[1]Detalle!$D$2:$CW$484,98,FALSE)</f>
        <v>Arcor S.A.I.C.</v>
      </c>
      <c r="D583" s="13">
        <v>46214</v>
      </c>
    </row>
    <row r="584" spans="1:4" ht="14.25" customHeight="1" x14ac:dyDescent="0.3">
      <c r="A584" s="39" t="s">
        <v>93</v>
      </c>
      <c r="B584" s="39" t="s">
        <v>428</v>
      </c>
      <c r="C584" s="42" t="str">
        <f>VLOOKUP(A584,[1]Detalle!$D$2:$CW$484,98,FALSE)</f>
        <v>Arcor S.A.I.C.</v>
      </c>
      <c r="D584" s="13">
        <v>46214</v>
      </c>
    </row>
    <row r="585" spans="1:4" ht="14.25" customHeight="1" x14ac:dyDescent="0.3">
      <c r="A585" s="39" t="s">
        <v>19</v>
      </c>
      <c r="B585" s="39" t="s">
        <v>428</v>
      </c>
      <c r="C585" s="42" t="str">
        <f>VLOOKUP(A585,[1]Detalle!$D$2:$CW$484,98,FALSE)</f>
        <v>CENCOMLD - Cencosud SA - Mendoza</v>
      </c>
      <c r="D585" s="13">
        <v>46038</v>
      </c>
    </row>
    <row r="586" spans="1:4" ht="14.25" customHeight="1" x14ac:dyDescent="0.3">
      <c r="A586" s="39" t="s">
        <v>19</v>
      </c>
      <c r="B586" s="39" t="s">
        <v>428</v>
      </c>
      <c r="C586" s="42" t="str">
        <f>VLOOKUP(A586,[1]Detalle!$D$2:$CW$484,98,FALSE)</f>
        <v>CENCOMLD - Cencosud SA - Mendoza</v>
      </c>
      <c r="D586" s="13">
        <v>46038</v>
      </c>
    </row>
    <row r="587" spans="1:4" ht="14.25" customHeight="1" x14ac:dyDescent="0.3">
      <c r="A587" s="39" t="s">
        <v>31</v>
      </c>
      <c r="B587" s="39" t="s">
        <v>428</v>
      </c>
      <c r="C587" s="42" t="str">
        <f>VLOOKUP(A587,[1]Detalle!$D$2:$CW$484,98,FALSE)</f>
        <v>CENCOMLD - Cencosud SA - Mendoza</v>
      </c>
      <c r="D587" s="13">
        <v>46291</v>
      </c>
    </row>
    <row r="588" spans="1:4" ht="14.25" customHeight="1" x14ac:dyDescent="0.3">
      <c r="A588" s="39" t="s">
        <v>31</v>
      </c>
      <c r="B588" s="39" t="s">
        <v>428</v>
      </c>
      <c r="C588" s="42" t="str">
        <f>VLOOKUP(A588,[1]Detalle!$D$2:$CW$484,98,FALSE)</f>
        <v>CENCOMLD - Cencosud SA - Mendoza</v>
      </c>
      <c r="D588" s="13">
        <v>46291</v>
      </c>
    </row>
    <row r="589" spans="1:4" ht="14.25" customHeight="1" x14ac:dyDescent="0.3">
      <c r="A589" s="39" t="s">
        <v>35</v>
      </c>
      <c r="B589" s="39" t="s">
        <v>428</v>
      </c>
      <c r="C589" s="42" t="str">
        <f>VLOOKUP(A589,[1]Detalle!$D$2:$CW$484,98,FALSE)</f>
        <v>CENCOMLD - Cencosud SA - Mendoza</v>
      </c>
      <c r="D589" s="13">
        <v>46034</v>
      </c>
    </row>
    <row r="590" spans="1:4" ht="14.25" customHeight="1" x14ac:dyDescent="0.3">
      <c r="A590" s="39" t="s">
        <v>35</v>
      </c>
      <c r="B590" s="39" t="s">
        <v>428</v>
      </c>
      <c r="C590" s="42" t="str">
        <f>VLOOKUP(A590,[1]Detalle!$D$2:$CW$484,98,FALSE)</f>
        <v>CENCOMLD - Cencosud SA - Mendoza</v>
      </c>
      <c r="D590" s="13">
        <v>46034</v>
      </c>
    </row>
    <row r="591" spans="1:4" ht="14.25" customHeight="1" x14ac:dyDescent="0.3">
      <c r="A591" s="39" t="s">
        <v>95</v>
      </c>
      <c r="B591" s="39" t="s">
        <v>428</v>
      </c>
      <c r="C591" s="42" t="str">
        <f>VLOOKUP(A591,[1]Detalle!$D$2:$CW$484,98,FALSE)</f>
        <v>CENCOMLD - Cencosud SA - Mendoza</v>
      </c>
      <c r="D591" s="13">
        <v>46054</v>
      </c>
    </row>
    <row r="592" spans="1:4" ht="14.25" customHeight="1" x14ac:dyDescent="0.3">
      <c r="A592" s="39" t="s">
        <v>95</v>
      </c>
      <c r="B592" s="39" t="s">
        <v>428</v>
      </c>
      <c r="C592" s="42" t="str">
        <f>VLOOKUP(A592,[1]Detalle!$D$2:$CW$484,98,FALSE)</f>
        <v>CENCOMLD - Cencosud SA - Mendoza</v>
      </c>
      <c r="D592" s="13">
        <v>46054</v>
      </c>
    </row>
    <row r="593" spans="1:4" ht="14.25" customHeight="1" x14ac:dyDescent="0.3">
      <c r="A593" s="39" t="s">
        <v>96</v>
      </c>
      <c r="B593" s="39" t="s">
        <v>428</v>
      </c>
      <c r="C593" s="42" t="str">
        <f>VLOOKUP(A593,[1]Detalle!$D$2:$CW$484,98,FALSE)</f>
        <v>CENCOMLD - Cencosud SA - Mendoza</v>
      </c>
      <c r="D593" s="13">
        <v>46083</v>
      </c>
    </row>
    <row r="594" spans="1:4" ht="14.25" customHeight="1" x14ac:dyDescent="0.3">
      <c r="A594" s="39" t="s">
        <v>96</v>
      </c>
      <c r="B594" s="39" t="s">
        <v>428</v>
      </c>
      <c r="C594" s="42" t="str">
        <f>VLOOKUP(A594,[1]Detalle!$D$2:$CW$484,98,FALSE)</f>
        <v>CENCOMLD - Cencosud SA - Mendoza</v>
      </c>
      <c r="D594" s="13">
        <v>46083</v>
      </c>
    </row>
    <row r="595" spans="1:4" ht="14.25" customHeight="1" x14ac:dyDescent="0.3">
      <c r="A595" s="39" t="s">
        <v>215</v>
      </c>
      <c r="B595" s="39" t="s">
        <v>428</v>
      </c>
      <c r="C595" s="42" t="str">
        <f>VLOOKUP(A595,[1]Detalle!$D$2:$CW$484,98,FALSE)</f>
        <v>Arcor S.A.I.C.</v>
      </c>
      <c r="D595" s="13">
        <v>46198</v>
      </c>
    </row>
    <row r="596" spans="1:4" ht="14.25" customHeight="1" x14ac:dyDescent="0.3">
      <c r="A596" s="39" t="s">
        <v>215</v>
      </c>
      <c r="B596" s="39" t="s">
        <v>428</v>
      </c>
      <c r="C596" s="42" t="str">
        <f>VLOOKUP(A596,[1]Detalle!$D$2:$CW$484,98,FALSE)</f>
        <v>Arcor S.A.I.C.</v>
      </c>
      <c r="D596" s="13">
        <v>46198</v>
      </c>
    </row>
    <row r="597" spans="1:4" ht="14.25" customHeight="1" x14ac:dyDescent="0.3">
      <c r="A597" s="39" t="s">
        <v>214</v>
      </c>
      <c r="B597" s="39" t="s">
        <v>428</v>
      </c>
      <c r="C597" s="42" t="str">
        <f>VLOOKUP(A597,[1]Detalle!$D$2:$CW$484,98,FALSE)</f>
        <v>Expreso - Servicios Troncales</v>
      </c>
      <c r="D597" s="13">
        <v>46247</v>
      </c>
    </row>
    <row r="598" spans="1:4" ht="14.25" customHeight="1" x14ac:dyDescent="0.3">
      <c r="A598" s="39" t="s">
        <v>214</v>
      </c>
      <c r="B598" s="39" t="s">
        <v>428</v>
      </c>
      <c r="C598" s="42" t="str">
        <f>VLOOKUP(A598,[1]Detalle!$D$2:$CW$484,98,FALSE)</f>
        <v>Expreso - Servicios Troncales</v>
      </c>
      <c r="D598" s="13">
        <v>46247</v>
      </c>
    </row>
    <row r="599" spans="1:4" ht="14.25" customHeight="1" x14ac:dyDescent="0.3">
      <c r="A599" s="39" t="s">
        <v>176</v>
      </c>
      <c r="B599" s="39" t="s">
        <v>428</v>
      </c>
      <c r="C599" s="42" t="str">
        <f>VLOOKUP(A599,[1]Detalle!$D$2:$CW$484,98,FALSE)</f>
        <v>Expreso - Servicios Troncales</v>
      </c>
      <c r="D599" s="13">
        <v>46033</v>
      </c>
    </row>
    <row r="600" spans="1:4" ht="14.25" customHeight="1" x14ac:dyDescent="0.3">
      <c r="A600" s="39" t="s">
        <v>176</v>
      </c>
      <c r="B600" s="39" t="s">
        <v>428</v>
      </c>
      <c r="C600" s="42" t="str">
        <f>VLOOKUP(A600,[1]Detalle!$D$2:$CW$484,98,FALSE)</f>
        <v>Expreso - Servicios Troncales</v>
      </c>
      <c r="D600" s="13">
        <v>46033</v>
      </c>
    </row>
    <row r="601" spans="1:4" ht="14.25" customHeight="1" x14ac:dyDescent="0.3">
      <c r="A601" s="39" t="s">
        <v>177</v>
      </c>
      <c r="B601" s="39" t="s">
        <v>428</v>
      </c>
      <c r="C601" s="42" t="str">
        <f>VLOOKUP(A601,[1]Detalle!$D$2:$CW$484,98,FALSE)</f>
        <v>Unilever - Unilever de Arg. S.A.</v>
      </c>
      <c r="D601" s="13">
        <v>46184</v>
      </c>
    </row>
    <row r="602" spans="1:4" ht="14.25" customHeight="1" x14ac:dyDescent="0.3">
      <c r="A602" s="39" t="s">
        <v>177</v>
      </c>
      <c r="B602" s="39" t="s">
        <v>428</v>
      </c>
      <c r="C602" s="42" t="str">
        <f>VLOOKUP(A602,[1]Detalle!$D$2:$CW$484,98,FALSE)</f>
        <v>Unilever - Unilever de Arg. S.A.</v>
      </c>
      <c r="D602" s="13">
        <v>46184</v>
      </c>
    </row>
    <row r="603" spans="1:4" ht="14.25" customHeight="1" x14ac:dyDescent="0.3">
      <c r="A603" s="39" t="s">
        <v>186</v>
      </c>
      <c r="B603" s="39" t="s">
        <v>428</v>
      </c>
      <c r="C603" s="42" t="str">
        <f>VLOOKUP(A603,[1]Detalle!$D$2:$CW$484,98,FALSE)</f>
        <v>Expreso - Servicios Troncales</v>
      </c>
      <c r="D603" s="13">
        <v>46045</v>
      </c>
    </row>
    <row r="604" spans="1:4" ht="14.25" customHeight="1" x14ac:dyDescent="0.3">
      <c r="A604" s="39" t="s">
        <v>186</v>
      </c>
      <c r="B604" s="39" t="s">
        <v>428</v>
      </c>
      <c r="C604" s="42" t="str">
        <f>VLOOKUP(A604,[1]Detalle!$D$2:$CW$484,98,FALSE)</f>
        <v>Expreso - Servicios Troncales</v>
      </c>
      <c r="D604" s="13">
        <v>46045</v>
      </c>
    </row>
    <row r="605" spans="1:4" ht="14.25" customHeight="1" x14ac:dyDescent="0.3">
      <c r="A605" s="39" t="s">
        <v>201</v>
      </c>
      <c r="B605" s="39" t="s">
        <v>428</v>
      </c>
      <c r="C605" s="42" t="str">
        <f>VLOOKUP(A605,[1]Detalle!$D$2:$CW$484,98,FALSE)</f>
        <v>Expreso - Servicios Troncales</v>
      </c>
      <c r="D605" s="13">
        <v>46053</v>
      </c>
    </row>
    <row r="606" spans="1:4" ht="14.25" customHeight="1" x14ac:dyDescent="0.3">
      <c r="A606" s="39" t="s">
        <v>201</v>
      </c>
      <c r="B606" s="39" t="s">
        <v>428</v>
      </c>
      <c r="C606" s="42" t="str">
        <f>VLOOKUP(A606,[1]Detalle!$D$2:$CW$484,98,FALSE)</f>
        <v>Expreso - Servicios Troncales</v>
      </c>
      <c r="D606" s="13">
        <v>46053</v>
      </c>
    </row>
    <row r="607" spans="1:4" ht="14.25" customHeight="1" x14ac:dyDescent="0.3">
      <c r="A607" s="39" t="s">
        <v>230</v>
      </c>
      <c r="B607" s="39" t="s">
        <v>428</v>
      </c>
      <c r="C607" s="42" t="str">
        <f>VLOOKUP(A607,[1]Detalle!$D$2:$CW$484,98,FALSE)</f>
        <v>Expreso - Servicios Troncales</v>
      </c>
      <c r="D607" s="13">
        <v>46154</v>
      </c>
    </row>
    <row r="608" spans="1:4" ht="14.25" customHeight="1" x14ac:dyDescent="0.3">
      <c r="A608" s="39" t="s">
        <v>230</v>
      </c>
      <c r="B608" s="39" t="s">
        <v>428</v>
      </c>
      <c r="C608" s="42" t="str">
        <f>VLOOKUP(A608,[1]Detalle!$D$2:$CW$484,98,FALSE)</f>
        <v>Expreso - Servicios Troncales</v>
      </c>
      <c r="D608" s="13">
        <v>46154</v>
      </c>
    </row>
    <row r="609" spans="1:4" ht="14.25" customHeight="1" x14ac:dyDescent="0.3">
      <c r="A609" s="39" t="s">
        <v>175</v>
      </c>
      <c r="B609" s="39" t="s">
        <v>428</v>
      </c>
      <c r="C609" s="42" t="str">
        <f>VLOOKUP(A609,[1]Detalle!$D$2:$CW$484,98,FALSE)</f>
        <v>JOHNSON - SC JOHNSON DE ARGENTINA SAIC</v>
      </c>
      <c r="D609" s="13">
        <v>46082</v>
      </c>
    </row>
    <row r="610" spans="1:4" ht="14.25" customHeight="1" x14ac:dyDescent="0.3">
      <c r="A610" s="39" t="s">
        <v>175</v>
      </c>
      <c r="B610" s="39" t="s">
        <v>428</v>
      </c>
      <c r="C610" s="42" t="str">
        <f>VLOOKUP(A610,[1]Detalle!$D$2:$CW$484,98,FALSE)</f>
        <v>JOHNSON - SC JOHNSON DE ARGENTINA SAIC</v>
      </c>
      <c r="D610" s="13">
        <v>46082</v>
      </c>
    </row>
    <row r="611" spans="1:4" ht="14.25" customHeight="1" x14ac:dyDescent="0.3">
      <c r="A611" s="39" t="s">
        <v>216</v>
      </c>
      <c r="B611" s="39" t="s">
        <v>428</v>
      </c>
      <c r="C611" s="42" t="str">
        <f>VLOOKUP(A611,[1]Detalle!$D$2:$CW$484,98,FALSE)</f>
        <v>Arcor S.A.I.C.</v>
      </c>
      <c r="D611" s="13">
        <v>46363</v>
      </c>
    </row>
    <row r="612" spans="1:4" ht="14.25" customHeight="1" x14ac:dyDescent="0.3">
      <c r="A612" s="39" t="s">
        <v>216</v>
      </c>
      <c r="B612" s="39" t="s">
        <v>428</v>
      </c>
      <c r="C612" s="42" t="str">
        <f>VLOOKUP(A612,[1]Detalle!$D$2:$CW$484,98,FALSE)</f>
        <v>Arcor S.A.I.C.</v>
      </c>
      <c r="D612" s="13">
        <v>46363</v>
      </c>
    </row>
    <row r="613" spans="1:4" ht="14.25" customHeight="1" x14ac:dyDescent="0.3">
      <c r="A613" s="39" t="s">
        <v>98</v>
      </c>
      <c r="B613" s="39" t="s">
        <v>428</v>
      </c>
      <c r="C613" s="42" t="str">
        <f>VLOOKUP(A613,[1]Detalle!$D$2:$CW$484,98,FALSE)</f>
        <v>Arcor S.A.I.C.</v>
      </c>
      <c r="D613" s="13">
        <v>46255</v>
      </c>
    </row>
    <row r="614" spans="1:4" ht="14.25" customHeight="1" x14ac:dyDescent="0.3">
      <c r="A614" s="39" t="s">
        <v>98</v>
      </c>
      <c r="B614" s="39" t="s">
        <v>428</v>
      </c>
      <c r="C614" s="42" t="str">
        <f>VLOOKUP(A614,[1]Detalle!$D$2:$CW$484,98,FALSE)</f>
        <v>Arcor S.A.I.C.</v>
      </c>
      <c r="D614" s="13">
        <v>46255</v>
      </c>
    </row>
    <row r="615" spans="1:4" ht="14.25" customHeight="1" x14ac:dyDescent="0.3">
      <c r="A615" s="39" t="s">
        <v>5</v>
      </c>
      <c r="B615" s="39" t="s">
        <v>436</v>
      </c>
      <c r="C615" s="42" t="str">
        <f>VLOOKUP(A615,[1]Detalle!$D$2:$CW$484,98,FALSE)</f>
        <v>ADA_CH - Danone Arg. S.A. - Chascomus</v>
      </c>
      <c r="D615" s="13">
        <v>46117</v>
      </c>
    </row>
    <row r="616" spans="1:4" ht="14.25" customHeight="1" x14ac:dyDescent="0.3">
      <c r="A616" s="39" t="s">
        <v>5</v>
      </c>
      <c r="B616" s="39" t="s">
        <v>436</v>
      </c>
      <c r="C616" s="42" t="str">
        <f>VLOOKUP(A616,[1]Detalle!$D$2:$CW$484,98,FALSE)</f>
        <v>ADA_CH - Danone Arg. S.A. - Chascomus</v>
      </c>
      <c r="D616" s="13">
        <v>46117</v>
      </c>
    </row>
    <row r="617" spans="1:4" ht="14.25" customHeight="1" x14ac:dyDescent="0.3">
      <c r="A617" s="39" t="s">
        <v>8</v>
      </c>
      <c r="B617" s="39" t="s">
        <v>436</v>
      </c>
      <c r="C617" s="42" t="str">
        <f>VLOOKUP(A617,[1]Detalle!$D$2:$CW$484,98,FALSE)</f>
        <v>ADA_CH - Danone Arg. S.A. - Chascomus</v>
      </c>
      <c r="D617" s="13">
        <v>46115</v>
      </c>
    </row>
    <row r="618" spans="1:4" ht="14.25" customHeight="1" x14ac:dyDescent="0.3">
      <c r="A618" s="39" t="s">
        <v>8</v>
      </c>
      <c r="B618" s="39" t="s">
        <v>436</v>
      </c>
      <c r="C618" s="42" t="str">
        <f>VLOOKUP(A618,[1]Detalle!$D$2:$CW$484,98,FALSE)</f>
        <v>ADA_CH - Danone Arg. S.A. - Chascomus</v>
      </c>
      <c r="D618" s="13">
        <v>46115</v>
      </c>
    </row>
    <row r="619" spans="1:4" ht="14.25" customHeight="1" x14ac:dyDescent="0.3">
      <c r="A619" s="39" t="s">
        <v>11</v>
      </c>
      <c r="B619" s="39" t="s">
        <v>436</v>
      </c>
      <c r="C619" s="42" t="str">
        <f>VLOOKUP(A619,[1]Detalle!$D$2:$CW$484,98,FALSE)</f>
        <v>ADA_CH - Danone Arg. S.A. - Chascomus</v>
      </c>
      <c r="D619" s="13">
        <v>46061</v>
      </c>
    </row>
    <row r="620" spans="1:4" ht="14.25" customHeight="1" x14ac:dyDescent="0.3">
      <c r="A620" s="39" t="s">
        <v>11</v>
      </c>
      <c r="B620" s="39" t="s">
        <v>436</v>
      </c>
      <c r="C620" s="42" t="str">
        <f>VLOOKUP(A620,[1]Detalle!$D$2:$CW$484,98,FALSE)</f>
        <v>ADA_CH - Danone Arg. S.A. - Chascomus</v>
      </c>
      <c r="D620" s="13">
        <v>46061</v>
      </c>
    </row>
    <row r="621" spans="1:4" ht="14.25" customHeight="1" x14ac:dyDescent="0.3">
      <c r="A621" s="39" t="s">
        <v>10</v>
      </c>
      <c r="B621" s="39" t="s">
        <v>436</v>
      </c>
      <c r="C621" s="42" t="str">
        <f>VLOOKUP(A621,[1]Detalle!$D$2:$CW$484,98,FALSE)</f>
        <v>ADA_CH - Danone Arg. S.A. - Chascomus</v>
      </c>
      <c r="D621" s="13">
        <v>46035</v>
      </c>
    </row>
    <row r="622" spans="1:4" ht="14.25" customHeight="1" x14ac:dyDescent="0.3">
      <c r="A622" s="39" t="s">
        <v>10</v>
      </c>
      <c r="B622" s="39" t="s">
        <v>436</v>
      </c>
      <c r="C622" s="42" t="str">
        <f>VLOOKUP(A622,[1]Detalle!$D$2:$CW$484,98,FALSE)</f>
        <v>ADA_CH - Danone Arg. S.A. - Chascomus</v>
      </c>
      <c r="D622" s="13">
        <v>46035</v>
      </c>
    </row>
    <row r="623" spans="1:4" ht="14.25" customHeight="1" x14ac:dyDescent="0.3">
      <c r="A623" s="39" t="s">
        <v>14</v>
      </c>
      <c r="B623" s="39" t="s">
        <v>436</v>
      </c>
      <c r="C623" s="42" t="str">
        <f>VLOOKUP(A623,[1]Detalle!$D$2:$CW$484,98,FALSE)</f>
        <v>ADA_CH - Danone Arg. S.A. - Chascomus</v>
      </c>
      <c r="D623" s="13">
        <v>46035</v>
      </c>
    </row>
    <row r="624" spans="1:4" ht="14.25" customHeight="1" x14ac:dyDescent="0.3">
      <c r="A624" s="39" t="s">
        <v>14</v>
      </c>
      <c r="B624" s="39" t="s">
        <v>436</v>
      </c>
      <c r="C624" s="42" t="str">
        <f>VLOOKUP(A624,[1]Detalle!$D$2:$CW$484,98,FALSE)</f>
        <v>ADA_CH - Danone Arg. S.A. - Chascomus</v>
      </c>
      <c r="D624" s="13">
        <v>46035</v>
      </c>
    </row>
    <row r="625" spans="1:4" ht="14.25" customHeight="1" x14ac:dyDescent="0.3">
      <c r="A625" s="39" t="s">
        <v>12</v>
      </c>
      <c r="B625" s="39" t="s">
        <v>436</v>
      </c>
      <c r="C625" s="42" t="str">
        <f>VLOOKUP(A625,[1]Detalle!$D$2:$CW$484,98,FALSE)</f>
        <v>ADA_CH - Danone Arg. S.A. - Chascomus</v>
      </c>
      <c r="D625" s="13">
        <v>46247</v>
      </c>
    </row>
    <row r="626" spans="1:4" ht="14.25" customHeight="1" x14ac:dyDescent="0.3">
      <c r="A626" s="39" t="s">
        <v>12</v>
      </c>
      <c r="B626" s="39" t="s">
        <v>436</v>
      </c>
      <c r="C626" s="42" t="str">
        <f>VLOOKUP(A626,[1]Detalle!$D$2:$CW$484,98,FALSE)</f>
        <v>ADA_CH - Danone Arg. S.A. - Chascomus</v>
      </c>
      <c r="D626" s="13">
        <v>46247</v>
      </c>
    </row>
    <row r="627" spans="1:4" ht="14.25" customHeight="1" x14ac:dyDescent="0.3">
      <c r="A627" s="39" t="s">
        <v>13</v>
      </c>
      <c r="B627" s="39" t="s">
        <v>436</v>
      </c>
      <c r="C627" s="42" t="str">
        <f>VLOOKUP(A627,[1]Detalle!$D$2:$CW$484,98,FALSE)</f>
        <v>ADA_CH - Danone Arg. S.A. - Chascomus</v>
      </c>
      <c r="D627" s="13">
        <v>46045</v>
      </c>
    </row>
    <row r="628" spans="1:4" ht="14.25" customHeight="1" x14ac:dyDescent="0.3">
      <c r="A628" s="39" t="s">
        <v>13</v>
      </c>
      <c r="B628" s="39" t="s">
        <v>436</v>
      </c>
      <c r="C628" s="42" t="str">
        <f>VLOOKUP(A628,[1]Detalle!$D$2:$CW$484,98,FALSE)</f>
        <v>ADA_CH - Danone Arg. S.A. - Chascomus</v>
      </c>
      <c r="D628" s="13">
        <v>46045</v>
      </c>
    </row>
    <row r="629" spans="1:4" ht="14.25" customHeight="1" x14ac:dyDescent="0.3">
      <c r="A629" s="39" t="s">
        <v>6</v>
      </c>
      <c r="B629" s="39" t="s">
        <v>436</v>
      </c>
      <c r="C629" s="42" t="str">
        <f>VLOOKUP(A629,[1]Detalle!$D$2:$CW$484,98,FALSE)</f>
        <v>ADA_CH - Danone Arg. S.A. - Chascomus</v>
      </c>
      <c r="D629" s="13">
        <v>46067</v>
      </c>
    </row>
    <row r="630" spans="1:4" ht="14.25" customHeight="1" x14ac:dyDescent="0.3">
      <c r="A630" s="39" t="s">
        <v>6</v>
      </c>
      <c r="B630" s="39" t="s">
        <v>436</v>
      </c>
      <c r="C630" s="42" t="str">
        <f>VLOOKUP(A630,[1]Detalle!$D$2:$CW$484,98,FALSE)</f>
        <v>ADA_CH - Danone Arg. S.A. - Chascomus</v>
      </c>
      <c r="D630" s="13">
        <v>46067</v>
      </c>
    </row>
    <row r="631" spans="1:4" ht="14.25" customHeight="1" x14ac:dyDescent="0.3">
      <c r="A631" s="39" t="s">
        <v>7</v>
      </c>
      <c r="B631" s="39" t="s">
        <v>436</v>
      </c>
      <c r="C631" s="42" t="str">
        <f>VLOOKUP(A631,[1]Detalle!$D$2:$CW$484,98,FALSE)</f>
        <v>ADA_CH - Danone Arg. S.A. - Chascomus</v>
      </c>
      <c r="D631" s="13">
        <v>46053</v>
      </c>
    </row>
    <row r="632" spans="1:4" ht="14.25" customHeight="1" x14ac:dyDescent="0.3">
      <c r="A632" s="39" t="s">
        <v>7</v>
      </c>
      <c r="B632" s="39" t="s">
        <v>436</v>
      </c>
      <c r="C632" s="42" t="str">
        <f>VLOOKUP(A632,[1]Detalle!$D$2:$CW$484,98,FALSE)</f>
        <v>ADA_CH - Danone Arg. S.A. - Chascomus</v>
      </c>
      <c r="D632" s="13">
        <v>46053</v>
      </c>
    </row>
    <row r="633" spans="1:4" ht="14.25" customHeight="1" x14ac:dyDescent="0.3">
      <c r="A633" s="39" t="s">
        <v>9</v>
      </c>
      <c r="B633" s="39" t="s">
        <v>436</v>
      </c>
      <c r="C633" s="42" t="str">
        <f>VLOOKUP(A633,[1]Detalle!$D$2:$CW$484,98,FALSE)</f>
        <v>ADA_CH - Danone Arg. S.A. - Chascomus</v>
      </c>
      <c r="D633" s="13">
        <v>46032</v>
      </c>
    </row>
    <row r="634" spans="1:4" ht="14.25" customHeight="1" x14ac:dyDescent="0.3">
      <c r="A634" s="39" t="s">
        <v>9</v>
      </c>
      <c r="B634" s="39" t="s">
        <v>436</v>
      </c>
      <c r="C634" s="42" t="str">
        <f>VLOOKUP(A634,[1]Detalle!$D$2:$CW$484,98,FALSE)</f>
        <v>ADA_CH - Danone Arg. S.A. - Chascomus</v>
      </c>
      <c r="D634" s="13">
        <v>46032</v>
      </c>
    </row>
    <row r="635" spans="1:4" ht="14.25" customHeight="1" x14ac:dyDescent="0.3">
      <c r="A635" s="39" t="s">
        <v>17</v>
      </c>
      <c r="B635" s="39" t="s">
        <v>436</v>
      </c>
      <c r="C635" s="42" t="str">
        <f>VLOOKUP(A635,[1]Detalle!$D$2:$CW$484,98,FALSE)</f>
        <v>Expreso - Servicios Troncales</v>
      </c>
      <c r="D635" s="13">
        <v>46025</v>
      </c>
    </row>
    <row r="636" spans="1:4" ht="14.25" customHeight="1" x14ac:dyDescent="0.3">
      <c r="A636" s="39" t="s">
        <v>17</v>
      </c>
      <c r="B636" s="39" t="s">
        <v>436</v>
      </c>
      <c r="C636" s="42" t="str">
        <f>VLOOKUP(A636,[1]Detalle!$D$2:$CW$484,98,FALSE)</f>
        <v>Expreso - Servicios Troncales</v>
      </c>
      <c r="D636" s="13">
        <v>46025</v>
      </c>
    </row>
    <row r="637" spans="1:4" ht="14.25" customHeight="1" x14ac:dyDescent="0.3">
      <c r="A637" s="39" t="s">
        <v>18</v>
      </c>
      <c r="B637" s="39" t="s">
        <v>436</v>
      </c>
      <c r="C637" s="42" t="str">
        <f>VLOOKUP(A637,[1]Detalle!$D$2:$CW$484,98,FALSE)</f>
        <v>Expreso - Servicios Troncales</v>
      </c>
      <c r="D637" s="13">
        <v>46038</v>
      </c>
    </row>
    <row r="638" spans="1:4" ht="14.25" customHeight="1" x14ac:dyDescent="0.3">
      <c r="A638" s="39" t="s">
        <v>18</v>
      </c>
      <c r="B638" s="39" t="s">
        <v>436</v>
      </c>
      <c r="C638" s="42" t="str">
        <f>VLOOKUP(A638,[1]Detalle!$D$2:$CW$484,98,FALSE)</f>
        <v>Expreso - Servicios Troncales</v>
      </c>
      <c r="D638" s="13">
        <v>46038</v>
      </c>
    </row>
    <row r="639" spans="1:4" ht="14.25" customHeight="1" x14ac:dyDescent="0.3">
      <c r="A639" s="39" t="s">
        <v>231</v>
      </c>
      <c r="B639" s="39" t="s">
        <v>436</v>
      </c>
      <c r="C639" s="42" t="str">
        <f>VLOOKUP(A639,[1]Detalle!$D$2:$CW$484,98,FALSE)</f>
        <v>Expreso - Servicios Troncales</v>
      </c>
      <c r="D639" s="13">
        <v>46102</v>
      </c>
    </row>
    <row r="640" spans="1:4" ht="14.25" customHeight="1" x14ac:dyDescent="0.3">
      <c r="A640" s="39" t="s">
        <v>231</v>
      </c>
      <c r="B640" s="39" t="s">
        <v>436</v>
      </c>
      <c r="C640" s="42" t="str">
        <f>VLOOKUP(A640,[1]Detalle!$D$2:$CW$484,98,FALSE)</f>
        <v>Expreso - Servicios Troncales</v>
      </c>
      <c r="D640" s="13">
        <v>46102</v>
      </c>
    </row>
    <row r="641" spans="1:4" ht="14.25" customHeight="1" x14ac:dyDescent="0.3">
      <c r="A641" s="39" t="s">
        <v>232</v>
      </c>
      <c r="B641" s="39" t="s">
        <v>436</v>
      </c>
      <c r="C641" s="42" t="str">
        <f>VLOOKUP(A641,[1]Detalle!$D$2:$CW$484,98,FALSE)</f>
        <v>Expreso - Servicios Troncales</v>
      </c>
      <c r="D641" s="13">
        <v>46175</v>
      </c>
    </row>
    <row r="642" spans="1:4" ht="14.25" customHeight="1" x14ac:dyDescent="0.3">
      <c r="A642" s="39" t="s">
        <v>232</v>
      </c>
      <c r="B642" s="39" t="s">
        <v>436</v>
      </c>
      <c r="C642" s="42" t="str">
        <f>VLOOKUP(A642,[1]Detalle!$D$2:$CW$484,98,FALSE)</f>
        <v>Expreso - Servicios Troncales</v>
      </c>
      <c r="D642" s="13">
        <v>46175</v>
      </c>
    </row>
    <row r="643" spans="1:4" ht="14.25" customHeight="1" x14ac:dyDescent="0.3">
      <c r="A643" s="39" t="s">
        <v>233</v>
      </c>
      <c r="B643" s="39" t="s">
        <v>436</v>
      </c>
      <c r="C643" s="42" t="str">
        <f>VLOOKUP(A643,[1]Detalle!$D$2:$CW$484,98,FALSE)</f>
        <v>Expreso - Servicios Troncales</v>
      </c>
      <c r="D643" s="13">
        <v>46056</v>
      </c>
    </row>
    <row r="644" spans="1:4" ht="14.25" customHeight="1" x14ac:dyDescent="0.3">
      <c r="A644" s="39" t="s">
        <v>233</v>
      </c>
      <c r="B644" s="39" t="s">
        <v>436</v>
      </c>
      <c r="C644" s="42" t="str">
        <f>VLOOKUP(A644,[1]Detalle!$D$2:$CW$484,98,FALSE)</f>
        <v>Expreso - Servicios Troncales</v>
      </c>
      <c r="D644" s="13">
        <v>46056</v>
      </c>
    </row>
    <row r="645" spans="1:4" ht="14.25" customHeight="1" x14ac:dyDescent="0.3">
      <c r="A645" s="39" t="s">
        <v>234</v>
      </c>
      <c r="B645" s="39" t="s">
        <v>436</v>
      </c>
      <c r="C645" s="42" t="str">
        <f>VLOOKUP(A645,[1]Detalle!$D$2:$CW$484,98,FALSE)</f>
        <v>Expreso - Servicios Troncales</v>
      </c>
      <c r="D645" s="13">
        <v>46056</v>
      </c>
    </row>
    <row r="646" spans="1:4" ht="14.25" customHeight="1" x14ac:dyDescent="0.3">
      <c r="A646" s="39" t="s">
        <v>234</v>
      </c>
      <c r="B646" s="39" t="s">
        <v>436</v>
      </c>
      <c r="C646" s="42" t="str">
        <f>VLOOKUP(A646,[1]Detalle!$D$2:$CW$484,98,FALSE)</f>
        <v>Expreso - Servicios Troncales</v>
      </c>
      <c r="D646" s="13">
        <v>46056</v>
      </c>
    </row>
    <row r="647" spans="1:4" ht="14.25" customHeight="1" x14ac:dyDescent="0.3">
      <c r="A647" s="39" t="s">
        <v>97</v>
      </c>
      <c r="B647" s="39" t="s">
        <v>436</v>
      </c>
      <c r="C647" s="42" t="str">
        <f>VLOOKUP(A647,[1]Detalle!$D$2:$CW$484,98,FALSE)</f>
        <v>Expreso - Servicios Troncales</v>
      </c>
      <c r="D647" s="13">
        <v>46146</v>
      </c>
    </row>
    <row r="648" spans="1:4" ht="14.25" customHeight="1" x14ac:dyDescent="0.3">
      <c r="A648" s="39" t="s">
        <v>97</v>
      </c>
      <c r="B648" s="39" t="s">
        <v>436</v>
      </c>
      <c r="C648" s="42" t="str">
        <f>VLOOKUP(A648,[1]Detalle!$D$2:$CW$484,98,FALSE)</f>
        <v>Expreso - Servicios Troncales</v>
      </c>
      <c r="D648" s="13">
        <v>46146</v>
      </c>
    </row>
    <row r="649" spans="1:4" ht="14.25" customHeight="1" x14ac:dyDescent="0.3">
      <c r="A649" s="39" t="s">
        <v>279</v>
      </c>
      <c r="B649" s="39" t="s">
        <v>443</v>
      </c>
      <c r="C649" s="42" t="str">
        <f>VLOOKUP(A649,[1]Detalle!$D$2:$CW$484,98,FALSE)</f>
        <v>Expreso - Servicios Troncales</v>
      </c>
      <c r="D649" s="13">
        <v>46098</v>
      </c>
    </row>
    <row r="650" spans="1:4" ht="14.25" customHeight="1" x14ac:dyDescent="0.3">
      <c r="A650" s="39" t="s">
        <v>279</v>
      </c>
      <c r="B650" s="39" t="s">
        <v>443</v>
      </c>
      <c r="C650" s="42" t="str">
        <f>VLOOKUP(A650,[1]Detalle!$D$2:$CW$484,98,FALSE)</f>
        <v>Expreso - Servicios Troncales</v>
      </c>
      <c r="D650" s="13">
        <v>46098</v>
      </c>
    </row>
    <row r="651" spans="1:4" ht="14.25" customHeight="1" x14ac:dyDescent="0.3">
      <c r="A651" s="39" t="s">
        <v>228</v>
      </c>
      <c r="B651" s="39" t="s">
        <v>443</v>
      </c>
      <c r="C651" s="42" t="str">
        <f>VLOOKUP(A651,[1]Detalle!$D$2:$CW$484,98,FALSE)</f>
        <v>Expreso - Servicios Troncales</v>
      </c>
      <c r="D651" s="13">
        <v>46075</v>
      </c>
    </row>
    <row r="652" spans="1:4" ht="14.25" customHeight="1" x14ac:dyDescent="0.3">
      <c r="A652" s="39" t="s">
        <v>228</v>
      </c>
      <c r="B652" s="39" t="s">
        <v>443</v>
      </c>
      <c r="C652" s="42" t="str">
        <f>VLOOKUP(A652,[1]Detalle!$D$2:$CW$484,98,FALSE)</f>
        <v>Expreso - Servicios Troncales</v>
      </c>
      <c r="D652" s="13">
        <v>46075</v>
      </c>
    </row>
    <row r="653" spans="1:4" ht="14.25" customHeight="1" x14ac:dyDescent="0.3">
      <c r="A653" s="39" t="s">
        <v>270</v>
      </c>
      <c r="B653" s="39" t="s">
        <v>448</v>
      </c>
      <c r="C653" s="42" t="str">
        <f>VLOOKUP(A653,[1]Detalle!$D$2:$CW$484,98,FALSE)</f>
        <v>Expreso - Servicios Troncales</v>
      </c>
      <c r="D653" s="13">
        <v>46032</v>
      </c>
    </row>
    <row r="654" spans="1:4" ht="14.25" customHeight="1" x14ac:dyDescent="0.3">
      <c r="A654" s="39" t="s">
        <v>270</v>
      </c>
      <c r="B654" s="39" t="s">
        <v>448</v>
      </c>
      <c r="C654" s="42" t="str">
        <f>VLOOKUP(A654,[1]Detalle!$D$2:$CW$484,98,FALSE)</f>
        <v>Expreso - Servicios Troncales</v>
      </c>
      <c r="D654" s="13">
        <v>46032</v>
      </c>
    </row>
    <row r="655" spans="1:4" ht="14.25" customHeight="1" x14ac:dyDescent="0.3">
      <c r="A655" s="39" t="s">
        <v>221</v>
      </c>
      <c r="B655" s="39" t="s">
        <v>451</v>
      </c>
      <c r="C655" s="42" t="str">
        <f>VLOOKUP(A655,[1]Detalle!$D$2:$CW$484,98,FALSE)</f>
        <v>ADA_CH - Danone Arg. S.A. - Chascomus</v>
      </c>
      <c r="D655" s="13">
        <v>46092</v>
      </c>
    </row>
    <row r="656" spans="1:4" ht="14.25" customHeight="1" x14ac:dyDescent="0.3">
      <c r="A656" s="39" t="s">
        <v>221</v>
      </c>
      <c r="B656" s="39" t="s">
        <v>451</v>
      </c>
      <c r="C656" s="42" t="str">
        <f>VLOOKUP(A656,[1]Detalle!$D$2:$CW$484,98,FALSE)</f>
        <v>ADA_CH - Danone Arg. S.A. - Chascomus</v>
      </c>
      <c r="D656" s="13">
        <v>46092</v>
      </c>
    </row>
    <row r="657" spans="1:4" ht="14.25" customHeight="1" x14ac:dyDescent="0.3">
      <c r="A657" s="39" t="s">
        <v>30</v>
      </c>
      <c r="B657" s="39" t="s">
        <v>451</v>
      </c>
      <c r="C657" s="42" t="str">
        <f>VLOOKUP(A657,[1]Detalle!$D$2:$CW$484,98,FALSE)</f>
        <v>ADA_CH - Danone Arg. S.A. - Chascomus</v>
      </c>
      <c r="D657" s="13">
        <v>46264</v>
      </c>
    </row>
    <row r="658" spans="1:4" ht="14.25" customHeight="1" x14ac:dyDescent="0.3">
      <c r="A658" s="39" t="s">
        <v>30</v>
      </c>
      <c r="B658" s="39" t="s">
        <v>451</v>
      </c>
      <c r="C658" s="42" t="str">
        <f>VLOOKUP(A658,[1]Detalle!$D$2:$CW$484,98,FALSE)</f>
        <v>ADA_CH - Danone Arg. S.A. - Chascomus</v>
      </c>
      <c r="D658" s="13">
        <v>46264</v>
      </c>
    </row>
    <row r="659" spans="1:4" ht="14.25" customHeight="1" x14ac:dyDescent="0.3">
      <c r="A659" s="39" t="s">
        <v>32</v>
      </c>
      <c r="B659" s="39" t="s">
        <v>451</v>
      </c>
      <c r="C659" s="42" t="str">
        <f>VLOOKUP(A659,[1]Detalle!$D$2:$CW$484,98,FALSE)</f>
        <v>ADA_CH - Danone Arg. S.A. - Chascomus</v>
      </c>
      <c r="D659" s="13">
        <v>46038</v>
      </c>
    </row>
    <row r="660" spans="1:4" ht="14.25" customHeight="1" x14ac:dyDescent="0.3">
      <c r="A660" s="39" t="s">
        <v>32</v>
      </c>
      <c r="B660" s="39" t="s">
        <v>451</v>
      </c>
      <c r="C660" s="42" t="str">
        <f>VLOOKUP(A660,[1]Detalle!$D$2:$CW$484,98,FALSE)</f>
        <v>ADA_CH - Danone Arg. S.A. - Chascomus</v>
      </c>
      <c r="D660" s="13">
        <v>46038</v>
      </c>
    </row>
    <row r="661" spans="1:4" ht="14.25" customHeight="1" x14ac:dyDescent="0.3">
      <c r="A661" s="39" t="s">
        <v>70</v>
      </c>
      <c r="B661" s="39" t="s">
        <v>451</v>
      </c>
      <c r="C661" s="42" t="str">
        <f>VLOOKUP(A661,[1]Detalle!$D$2:$CW$484,98,FALSE)</f>
        <v>ADA_CH - Danone Arg. S.A. - Chascomus</v>
      </c>
      <c r="D661" s="13">
        <v>46089</v>
      </c>
    </row>
    <row r="662" spans="1:4" ht="14.25" customHeight="1" x14ac:dyDescent="0.3">
      <c r="A662" s="39" t="s">
        <v>70</v>
      </c>
      <c r="B662" s="39" t="s">
        <v>451</v>
      </c>
      <c r="C662" s="42" t="str">
        <f>VLOOKUP(A662,[1]Detalle!$D$2:$CW$484,98,FALSE)</f>
        <v>ADA_CH - Danone Arg. S.A. - Chascomus</v>
      </c>
      <c r="D662" s="13">
        <v>46089</v>
      </c>
    </row>
    <row r="663" spans="1:4" ht="14.25" customHeight="1" x14ac:dyDescent="0.3">
      <c r="A663" s="39" t="s">
        <v>77</v>
      </c>
      <c r="B663" s="39" t="s">
        <v>451</v>
      </c>
      <c r="C663" s="42" t="str">
        <f>VLOOKUP(A663,[1]Detalle!$D$2:$CW$484,98,FALSE)</f>
        <v>Arcor S.A.I.C.</v>
      </c>
      <c r="D663" s="13">
        <v>46119</v>
      </c>
    </row>
    <row r="664" spans="1:4" ht="14.25" customHeight="1" x14ac:dyDescent="0.3">
      <c r="A664" s="39" t="s">
        <v>77</v>
      </c>
      <c r="B664" s="39" t="s">
        <v>451</v>
      </c>
      <c r="C664" s="42" t="str">
        <f>VLOOKUP(A664,[1]Detalle!$D$2:$CW$484,98,FALSE)</f>
        <v>Arcor S.A.I.C.</v>
      </c>
      <c r="D664" s="13">
        <v>46119</v>
      </c>
    </row>
    <row r="665" spans="1:4" ht="14.25" customHeight="1" x14ac:dyDescent="0.3">
      <c r="A665" s="39" t="s">
        <v>86</v>
      </c>
      <c r="B665" s="39" t="s">
        <v>451</v>
      </c>
      <c r="C665" s="42" t="str">
        <f>VLOOKUP(A665,[1]Detalle!$D$2:$CW$484,98,FALSE)</f>
        <v>Arcor S.A.I.C.</v>
      </c>
      <c r="D665" s="13">
        <v>46167</v>
      </c>
    </row>
    <row r="666" spans="1:4" ht="14.25" customHeight="1" x14ac:dyDescent="0.3">
      <c r="A666" s="39" t="s">
        <v>86</v>
      </c>
      <c r="B666" s="39" t="s">
        <v>451</v>
      </c>
      <c r="C666" s="42" t="str">
        <f>VLOOKUP(A666,[1]Detalle!$D$2:$CW$484,98,FALSE)</f>
        <v>Arcor S.A.I.C.</v>
      </c>
      <c r="D666" s="13">
        <v>46167</v>
      </c>
    </row>
    <row r="667" spans="1:4" ht="14.25" customHeight="1" x14ac:dyDescent="0.3">
      <c r="A667" s="39" t="s">
        <v>85</v>
      </c>
      <c r="B667" s="39" t="s">
        <v>451</v>
      </c>
      <c r="C667" s="42" t="str">
        <f>VLOOKUP(A667,[1]Detalle!$D$2:$CW$484,98,FALSE)</f>
        <v>Arcor S.A.I.C.</v>
      </c>
      <c r="D667" s="13">
        <v>46032</v>
      </c>
    </row>
    <row r="668" spans="1:4" ht="14.25" customHeight="1" x14ac:dyDescent="0.3">
      <c r="A668" s="39" t="s">
        <v>85</v>
      </c>
      <c r="B668" s="39" t="s">
        <v>451</v>
      </c>
      <c r="C668" s="42" t="str">
        <f>VLOOKUP(A668,[1]Detalle!$D$2:$CW$484,98,FALSE)</f>
        <v>Arcor S.A.I.C.</v>
      </c>
      <c r="D668" s="13">
        <v>46032</v>
      </c>
    </row>
    <row r="669" spans="1:4" ht="14.25" customHeight="1" x14ac:dyDescent="0.3">
      <c r="A669" s="39" t="s">
        <v>93</v>
      </c>
      <c r="B669" s="39" t="s">
        <v>451</v>
      </c>
      <c r="C669" s="42" t="str">
        <f>VLOOKUP(A669,[1]Detalle!$D$2:$CW$484,98,FALSE)</f>
        <v>Arcor S.A.I.C.</v>
      </c>
      <c r="D669" s="13">
        <v>46214</v>
      </c>
    </row>
    <row r="670" spans="1:4" ht="14.25" customHeight="1" x14ac:dyDescent="0.3">
      <c r="A670" s="39" t="s">
        <v>93</v>
      </c>
      <c r="B670" s="39" t="s">
        <v>451</v>
      </c>
      <c r="C670" s="42" t="str">
        <f>VLOOKUP(A670,[1]Detalle!$D$2:$CW$484,98,FALSE)</f>
        <v>Arcor S.A.I.C.</v>
      </c>
      <c r="D670" s="13">
        <v>46214</v>
      </c>
    </row>
    <row r="671" spans="1:4" ht="14.25" customHeight="1" x14ac:dyDescent="0.3">
      <c r="A671" s="39" t="s">
        <v>19</v>
      </c>
      <c r="B671" s="39" t="s">
        <v>451</v>
      </c>
      <c r="C671" s="42" t="str">
        <f>VLOOKUP(A671,[1]Detalle!$D$2:$CW$484,98,FALSE)</f>
        <v>CENCOMLD - Cencosud SA - Mendoza</v>
      </c>
      <c r="D671" s="13">
        <v>46038</v>
      </c>
    </row>
    <row r="672" spans="1:4" ht="14.25" customHeight="1" x14ac:dyDescent="0.3">
      <c r="A672" s="39" t="s">
        <v>19</v>
      </c>
      <c r="B672" s="39" t="s">
        <v>451</v>
      </c>
      <c r="C672" s="42" t="str">
        <f>VLOOKUP(A672,[1]Detalle!$D$2:$CW$484,98,FALSE)</f>
        <v>CENCOMLD - Cencosud SA - Mendoza</v>
      </c>
      <c r="D672" s="13">
        <v>46038</v>
      </c>
    </row>
    <row r="673" spans="1:4" ht="14.25" customHeight="1" x14ac:dyDescent="0.3">
      <c r="A673" s="39" t="s">
        <v>31</v>
      </c>
      <c r="B673" s="39" t="s">
        <v>451</v>
      </c>
      <c r="C673" s="42" t="str">
        <f>VLOOKUP(A673,[1]Detalle!$D$2:$CW$484,98,FALSE)</f>
        <v>CENCOMLD - Cencosud SA - Mendoza</v>
      </c>
      <c r="D673" s="13">
        <v>46291</v>
      </c>
    </row>
    <row r="674" spans="1:4" ht="14.25" customHeight="1" x14ac:dyDescent="0.3">
      <c r="A674" s="39" t="s">
        <v>31</v>
      </c>
      <c r="B674" s="39" t="s">
        <v>451</v>
      </c>
      <c r="C674" s="42" t="str">
        <f>VLOOKUP(A674,[1]Detalle!$D$2:$CW$484,98,FALSE)</f>
        <v>CENCOMLD - Cencosud SA - Mendoza</v>
      </c>
      <c r="D674" s="13">
        <v>46291</v>
      </c>
    </row>
    <row r="675" spans="1:4" ht="14.25" customHeight="1" x14ac:dyDescent="0.3">
      <c r="A675" s="39" t="s">
        <v>35</v>
      </c>
      <c r="B675" s="39" t="s">
        <v>451</v>
      </c>
      <c r="C675" s="42" t="str">
        <f>VLOOKUP(A675,[1]Detalle!$D$2:$CW$484,98,FALSE)</f>
        <v>CENCOMLD - Cencosud SA - Mendoza</v>
      </c>
      <c r="D675" s="13">
        <v>46034</v>
      </c>
    </row>
    <row r="676" spans="1:4" ht="14.25" customHeight="1" x14ac:dyDescent="0.3">
      <c r="A676" s="39" t="s">
        <v>35</v>
      </c>
      <c r="B676" s="39" t="s">
        <v>451</v>
      </c>
      <c r="C676" s="42" t="str">
        <f>VLOOKUP(A676,[1]Detalle!$D$2:$CW$484,98,FALSE)</f>
        <v>CENCOMLD - Cencosud SA - Mendoza</v>
      </c>
      <c r="D676" s="13">
        <v>46034</v>
      </c>
    </row>
    <row r="677" spans="1:4" ht="14.25" customHeight="1" x14ac:dyDescent="0.3">
      <c r="A677" s="39" t="s">
        <v>95</v>
      </c>
      <c r="B677" s="39" t="s">
        <v>451</v>
      </c>
      <c r="C677" s="42" t="str">
        <f>VLOOKUP(A677,[1]Detalle!$D$2:$CW$484,98,FALSE)</f>
        <v>CENCOMLD - Cencosud SA - Mendoza</v>
      </c>
      <c r="D677" s="13">
        <v>46054</v>
      </c>
    </row>
    <row r="678" spans="1:4" ht="14.25" customHeight="1" x14ac:dyDescent="0.3">
      <c r="A678" s="39" t="s">
        <v>95</v>
      </c>
      <c r="B678" s="39" t="s">
        <v>451</v>
      </c>
      <c r="C678" s="42" t="str">
        <f>VLOOKUP(A678,[1]Detalle!$D$2:$CW$484,98,FALSE)</f>
        <v>CENCOMLD - Cencosud SA - Mendoza</v>
      </c>
      <c r="D678" s="13">
        <v>46054</v>
      </c>
    </row>
    <row r="679" spans="1:4" ht="14.25" customHeight="1" x14ac:dyDescent="0.3">
      <c r="A679" s="39" t="s">
        <v>96</v>
      </c>
      <c r="B679" s="39" t="s">
        <v>451</v>
      </c>
      <c r="C679" s="42" t="str">
        <f>VLOOKUP(A679,[1]Detalle!$D$2:$CW$484,98,FALSE)</f>
        <v>CENCOMLD - Cencosud SA - Mendoza</v>
      </c>
      <c r="D679" s="13">
        <v>46083</v>
      </c>
    </row>
    <row r="680" spans="1:4" ht="14.25" customHeight="1" x14ac:dyDescent="0.3">
      <c r="A680" s="39" t="s">
        <v>96</v>
      </c>
      <c r="B680" s="39" t="s">
        <v>451</v>
      </c>
      <c r="C680" s="42" t="str">
        <f>VLOOKUP(A680,[1]Detalle!$D$2:$CW$484,98,FALSE)</f>
        <v>CENCOMLD - Cencosud SA - Mendoza</v>
      </c>
      <c r="D680" s="13">
        <v>46083</v>
      </c>
    </row>
    <row r="681" spans="1:4" ht="14.25" customHeight="1" x14ac:dyDescent="0.3">
      <c r="A681" s="39" t="s">
        <v>215</v>
      </c>
      <c r="B681" s="39" t="s">
        <v>451</v>
      </c>
      <c r="C681" s="42" t="str">
        <f>VLOOKUP(A681,[1]Detalle!$D$2:$CW$484,98,FALSE)</f>
        <v>Arcor S.A.I.C.</v>
      </c>
      <c r="D681" s="13">
        <v>46198</v>
      </c>
    </row>
    <row r="682" spans="1:4" ht="14.25" customHeight="1" x14ac:dyDescent="0.3">
      <c r="A682" s="39" t="s">
        <v>215</v>
      </c>
      <c r="B682" s="39" t="s">
        <v>451</v>
      </c>
      <c r="C682" s="42" t="str">
        <f>VLOOKUP(A682,[1]Detalle!$D$2:$CW$484,98,FALSE)</f>
        <v>Arcor S.A.I.C.</v>
      </c>
      <c r="D682" s="13">
        <v>46198</v>
      </c>
    </row>
    <row r="683" spans="1:4" ht="14.25" customHeight="1" x14ac:dyDescent="0.3">
      <c r="A683" s="39" t="s">
        <v>214</v>
      </c>
      <c r="B683" s="39" t="s">
        <v>451</v>
      </c>
      <c r="C683" s="42" t="str">
        <f>VLOOKUP(A683,[1]Detalle!$D$2:$CW$484,98,FALSE)</f>
        <v>Expreso - Servicios Troncales</v>
      </c>
      <c r="D683" s="13">
        <v>46247</v>
      </c>
    </row>
    <row r="684" spans="1:4" ht="14.25" customHeight="1" x14ac:dyDescent="0.3">
      <c r="A684" s="39" t="s">
        <v>214</v>
      </c>
      <c r="B684" s="39" t="s">
        <v>451</v>
      </c>
      <c r="C684" s="42" t="str">
        <f>VLOOKUP(A684,[1]Detalle!$D$2:$CW$484,98,FALSE)</f>
        <v>Expreso - Servicios Troncales</v>
      </c>
      <c r="D684" s="13">
        <v>46247</v>
      </c>
    </row>
    <row r="685" spans="1:4" ht="14.25" customHeight="1" x14ac:dyDescent="0.3">
      <c r="A685" s="39" t="s">
        <v>176</v>
      </c>
      <c r="B685" s="39" t="s">
        <v>451</v>
      </c>
      <c r="C685" s="42" t="str">
        <f>VLOOKUP(A685,[1]Detalle!$D$2:$CW$484,98,FALSE)</f>
        <v>Expreso - Servicios Troncales</v>
      </c>
      <c r="D685" s="13">
        <v>46033</v>
      </c>
    </row>
    <row r="686" spans="1:4" ht="14.25" customHeight="1" x14ac:dyDescent="0.3">
      <c r="A686" s="39" t="s">
        <v>176</v>
      </c>
      <c r="B686" s="39" t="s">
        <v>451</v>
      </c>
      <c r="C686" s="42" t="str">
        <f>VLOOKUP(A686,[1]Detalle!$D$2:$CW$484,98,FALSE)</f>
        <v>Expreso - Servicios Troncales</v>
      </c>
      <c r="D686" s="13">
        <v>46033</v>
      </c>
    </row>
    <row r="687" spans="1:4" ht="14.25" customHeight="1" x14ac:dyDescent="0.3">
      <c r="A687" s="39" t="s">
        <v>177</v>
      </c>
      <c r="B687" s="39" t="s">
        <v>451</v>
      </c>
      <c r="C687" s="42" t="str">
        <f>VLOOKUP(A687,[1]Detalle!$D$2:$CW$484,98,FALSE)</f>
        <v>Unilever - Unilever de Arg. S.A.</v>
      </c>
      <c r="D687" s="13">
        <v>46184</v>
      </c>
    </row>
    <row r="688" spans="1:4" ht="14.25" customHeight="1" x14ac:dyDescent="0.3">
      <c r="A688" s="39" t="s">
        <v>177</v>
      </c>
      <c r="B688" s="39" t="s">
        <v>451</v>
      </c>
      <c r="C688" s="42" t="str">
        <f>VLOOKUP(A688,[1]Detalle!$D$2:$CW$484,98,FALSE)</f>
        <v>Unilever - Unilever de Arg. S.A.</v>
      </c>
      <c r="D688" s="13">
        <v>46184</v>
      </c>
    </row>
    <row r="689" spans="1:4" ht="14.25" customHeight="1" x14ac:dyDescent="0.3">
      <c r="A689" s="39" t="s">
        <v>186</v>
      </c>
      <c r="B689" s="39" t="s">
        <v>451</v>
      </c>
      <c r="C689" s="42" t="str">
        <f>VLOOKUP(A689,[1]Detalle!$D$2:$CW$484,98,FALSE)</f>
        <v>Expreso - Servicios Troncales</v>
      </c>
      <c r="D689" s="13">
        <v>46045</v>
      </c>
    </row>
    <row r="690" spans="1:4" ht="14.25" customHeight="1" x14ac:dyDescent="0.3">
      <c r="A690" s="39" t="s">
        <v>186</v>
      </c>
      <c r="B690" s="39" t="s">
        <v>451</v>
      </c>
      <c r="C690" s="42" t="str">
        <f>VLOOKUP(A690,[1]Detalle!$D$2:$CW$484,98,FALSE)</f>
        <v>Expreso - Servicios Troncales</v>
      </c>
      <c r="D690" s="13">
        <v>46045</v>
      </c>
    </row>
    <row r="691" spans="1:4" ht="14.25" customHeight="1" x14ac:dyDescent="0.3">
      <c r="A691" s="39" t="s">
        <v>201</v>
      </c>
      <c r="B691" s="39" t="s">
        <v>451</v>
      </c>
      <c r="C691" s="42" t="str">
        <f>VLOOKUP(A691,[1]Detalle!$D$2:$CW$484,98,FALSE)</f>
        <v>Expreso - Servicios Troncales</v>
      </c>
      <c r="D691" s="13">
        <v>46053</v>
      </c>
    </row>
    <row r="692" spans="1:4" ht="14.25" customHeight="1" x14ac:dyDescent="0.3">
      <c r="A692" s="39" t="s">
        <v>201</v>
      </c>
      <c r="B692" s="39" t="s">
        <v>451</v>
      </c>
      <c r="C692" s="42" t="str">
        <f>VLOOKUP(A692,[1]Detalle!$D$2:$CW$484,98,FALSE)</f>
        <v>Expreso - Servicios Troncales</v>
      </c>
      <c r="D692" s="13">
        <v>46053</v>
      </c>
    </row>
    <row r="693" spans="1:4" ht="14.25" customHeight="1" x14ac:dyDescent="0.3">
      <c r="A693" s="39" t="s">
        <v>230</v>
      </c>
      <c r="B693" s="39" t="s">
        <v>451</v>
      </c>
      <c r="C693" s="42" t="str">
        <f>VLOOKUP(A693,[1]Detalle!$D$2:$CW$484,98,FALSE)</f>
        <v>Expreso - Servicios Troncales</v>
      </c>
      <c r="D693" s="13">
        <v>46154</v>
      </c>
    </row>
    <row r="694" spans="1:4" ht="14.25" customHeight="1" x14ac:dyDescent="0.3">
      <c r="A694" s="39" t="s">
        <v>230</v>
      </c>
      <c r="B694" s="39" t="s">
        <v>451</v>
      </c>
      <c r="C694" s="42" t="str">
        <f>VLOOKUP(A694,[1]Detalle!$D$2:$CW$484,98,FALSE)</f>
        <v>Expreso - Servicios Troncales</v>
      </c>
      <c r="D694" s="13">
        <v>46154</v>
      </c>
    </row>
    <row r="695" spans="1:4" ht="14.25" customHeight="1" x14ac:dyDescent="0.3">
      <c r="A695" s="39" t="s">
        <v>175</v>
      </c>
      <c r="B695" s="39" t="s">
        <v>451</v>
      </c>
      <c r="C695" s="42" t="str">
        <f>VLOOKUP(A695,[1]Detalle!$D$2:$CW$484,98,FALSE)</f>
        <v>JOHNSON - SC JOHNSON DE ARGENTINA SAIC</v>
      </c>
      <c r="D695" s="13">
        <v>46082</v>
      </c>
    </row>
    <row r="696" spans="1:4" ht="14.25" customHeight="1" x14ac:dyDescent="0.3">
      <c r="A696" s="39" t="s">
        <v>175</v>
      </c>
      <c r="B696" s="39" t="s">
        <v>451</v>
      </c>
      <c r="C696" s="42" t="str">
        <f>VLOOKUP(A696,[1]Detalle!$D$2:$CW$484,98,FALSE)</f>
        <v>JOHNSON - SC JOHNSON DE ARGENTINA SAIC</v>
      </c>
      <c r="D696" s="13">
        <v>46082</v>
      </c>
    </row>
    <row r="697" spans="1:4" ht="14.25" customHeight="1" x14ac:dyDescent="0.3">
      <c r="A697" s="39" t="s">
        <v>216</v>
      </c>
      <c r="B697" s="39" t="s">
        <v>451</v>
      </c>
      <c r="C697" s="42" t="str">
        <f>VLOOKUP(A697,[1]Detalle!$D$2:$CW$484,98,FALSE)</f>
        <v>Arcor S.A.I.C.</v>
      </c>
      <c r="D697" s="13">
        <v>46363</v>
      </c>
    </row>
    <row r="698" spans="1:4" ht="14.25" customHeight="1" x14ac:dyDescent="0.3">
      <c r="A698" s="39" t="s">
        <v>216</v>
      </c>
      <c r="B698" s="39" t="s">
        <v>451</v>
      </c>
      <c r="C698" s="42" t="str">
        <f>VLOOKUP(A698,[1]Detalle!$D$2:$CW$484,98,FALSE)</f>
        <v>Arcor S.A.I.C.</v>
      </c>
      <c r="D698" s="13">
        <v>46363</v>
      </c>
    </row>
    <row r="699" spans="1:4" ht="14.25" customHeight="1" x14ac:dyDescent="0.3">
      <c r="A699" s="39" t="s">
        <v>98</v>
      </c>
      <c r="B699" s="39" t="s">
        <v>451</v>
      </c>
      <c r="C699" s="42" t="str">
        <f>VLOOKUP(A699,[1]Detalle!$D$2:$CW$484,98,FALSE)</f>
        <v>Arcor S.A.I.C.</v>
      </c>
      <c r="D699" s="13">
        <v>46255</v>
      </c>
    </row>
    <row r="700" spans="1:4" ht="14.25" customHeight="1" x14ac:dyDescent="0.3">
      <c r="A700" s="39" t="s">
        <v>98</v>
      </c>
      <c r="B700" s="39" t="s">
        <v>451</v>
      </c>
      <c r="C700" s="42" t="str">
        <f>VLOOKUP(A700,[1]Detalle!$D$2:$CW$484,98,FALSE)</f>
        <v>Arcor S.A.I.C.</v>
      </c>
      <c r="D700" s="13">
        <v>46255</v>
      </c>
    </row>
    <row r="701" spans="1:4" ht="14.25" customHeight="1" x14ac:dyDescent="0.3">
      <c r="A701" s="39" t="s">
        <v>5</v>
      </c>
      <c r="B701" s="39" t="s">
        <v>454</v>
      </c>
      <c r="C701" s="42" t="str">
        <f>VLOOKUP(A701,[1]Detalle!$D$2:$CW$484,98,FALSE)</f>
        <v>ADA_CH - Danone Arg. S.A. - Chascomus</v>
      </c>
      <c r="D701" s="13">
        <v>46117</v>
      </c>
    </row>
    <row r="702" spans="1:4" ht="14.25" customHeight="1" x14ac:dyDescent="0.3">
      <c r="A702" s="39" t="s">
        <v>5</v>
      </c>
      <c r="B702" s="39" t="s">
        <v>454</v>
      </c>
      <c r="C702" s="42" t="str">
        <f>VLOOKUP(A702,[1]Detalle!$D$2:$CW$484,98,FALSE)</f>
        <v>ADA_CH - Danone Arg. S.A. - Chascomus</v>
      </c>
      <c r="D702" s="13">
        <v>46117</v>
      </c>
    </row>
    <row r="703" spans="1:4" ht="14.25" customHeight="1" x14ac:dyDescent="0.3">
      <c r="A703" s="39" t="s">
        <v>8</v>
      </c>
      <c r="B703" s="39" t="s">
        <v>454</v>
      </c>
      <c r="C703" s="42" t="str">
        <f>VLOOKUP(A703,[1]Detalle!$D$2:$CW$484,98,FALSE)</f>
        <v>ADA_CH - Danone Arg. S.A. - Chascomus</v>
      </c>
      <c r="D703" s="13">
        <v>46115</v>
      </c>
    </row>
    <row r="704" spans="1:4" ht="14.25" customHeight="1" x14ac:dyDescent="0.3">
      <c r="A704" s="39" t="s">
        <v>8</v>
      </c>
      <c r="B704" s="39" t="s">
        <v>454</v>
      </c>
      <c r="C704" s="42" t="str">
        <f>VLOOKUP(A704,[1]Detalle!$D$2:$CW$484,98,FALSE)</f>
        <v>ADA_CH - Danone Arg. S.A. - Chascomus</v>
      </c>
      <c r="D704" s="13">
        <v>46115</v>
      </c>
    </row>
    <row r="705" spans="1:4" ht="14.25" customHeight="1" x14ac:dyDescent="0.3">
      <c r="A705" s="39" t="s">
        <v>11</v>
      </c>
      <c r="B705" s="39" t="s">
        <v>454</v>
      </c>
      <c r="C705" s="42" t="str">
        <f>VLOOKUP(A705,[1]Detalle!$D$2:$CW$484,98,FALSE)</f>
        <v>ADA_CH - Danone Arg. S.A. - Chascomus</v>
      </c>
      <c r="D705" s="13">
        <v>46061</v>
      </c>
    </row>
    <row r="706" spans="1:4" ht="14.25" customHeight="1" x14ac:dyDescent="0.3">
      <c r="A706" s="39" t="s">
        <v>11</v>
      </c>
      <c r="B706" s="39" t="s">
        <v>454</v>
      </c>
      <c r="C706" s="42" t="str">
        <f>VLOOKUP(A706,[1]Detalle!$D$2:$CW$484,98,FALSE)</f>
        <v>ADA_CH - Danone Arg. S.A. - Chascomus</v>
      </c>
      <c r="D706" s="13">
        <v>46061</v>
      </c>
    </row>
    <row r="707" spans="1:4" ht="14.25" customHeight="1" x14ac:dyDescent="0.3">
      <c r="A707" s="39" t="s">
        <v>10</v>
      </c>
      <c r="B707" s="39" t="s">
        <v>454</v>
      </c>
      <c r="C707" s="42" t="str">
        <f>VLOOKUP(A707,[1]Detalle!$D$2:$CW$484,98,FALSE)</f>
        <v>ADA_CH - Danone Arg. S.A. - Chascomus</v>
      </c>
      <c r="D707" s="13">
        <v>46037</v>
      </c>
    </row>
    <row r="708" spans="1:4" ht="14.25" customHeight="1" x14ac:dyDescent="0.3">
      <c r="A708" s="39" t="s">
        <v>10</v>
      </c>
      <c r="B708" s="39" t="s">
        <v>454</v>
      </c>
      <c r="C708" s="42" t="str">
        <f>VLOOKUP(A708,[1]Detalle!$D$2:$CW$484,98,FALSE)</f>
        <v>ADA_CH - Danone Arg. S.A. - Chascomus</v>
      </c>
      <c r="D708" s="13">
        <v>46037</v>
      </c>
    </row>
    <row r="709" spans="1:4" ht="14.25" customHeight="1" x14ac:dyDescent="0.3">
      <c r="A709" s="39" t="s">
        <v>14</v>
      </c>
      <c r="B709" s="39" t="s">
        <v>454</v>
      </c>
      <c r="C709" s="42" t="str">
        <f>VLOOKUP(A709,[1]Detalle!$D$2:$CW$484,98,FALSE)</f>
        <v>ADA_CH - Danone Arg. S.A. - Chascomus</v>
      </c>
      <c r="D709" s="13">
        <v>46035</v>
      </c>
    </row>
    <row r="710" spans="1:4" ht="14.25" customHeight="1" x14ac:dyDescent="0.3">
      <c r="A710" s="39" t="s">
        <v>14</v>
      </c>
      <c r="B710" s="39" t="s">
        <v>454</v>
      </c>
      <c r="C710" s="42" t="str">
        <f>VLOOKUP(A710,[1]Detalle!$D$2:$CW$484,98,FALSE)</f>
        <v>ADA_CH - Danone Arg. S.A. - Chascomus</v>
      </c>
      <c r="D710" s="13">
        <v>46035</v>
      </c>
    </row>
    <row r="711" spans="1:4" ht="14.25" customHeight="1" x14ac:dyDescent="0.3">
      <c r="A711" s="39" t="s">
        <v>12</v>
      </c>
      <c r="B711" s="39" t="s">
        <v>454</v>
      </c>
      <c r="C711" s="42" t="str">
        <f>VLOOKUP(A711,[1]Detalle!$D$2:$CW$484,98,FALSE)</f>
        <v>ADA_CH - Danone Arg. S.A. - Chascomus</v>
      </c>
      <c r="D711" s="13">
        <v>46247</v>
      </c>
    </row>
    <row r="712" spans="1:4" ht="14.25" customHeight="1" x14ac:dyDescent="0.3">
      <c r="A712" s="39" t="s">
        <v>12</v>
      </c>
      <c r="B712" s="39" t="s">
        <v>454</v>
      </c>
      <c r="C712" s="42" t="str">
        <f>VLOOKUP(A712,[1]Detalle!$D$2:$CW$484,98,FALSE)</f>
        <v>ADA_CH - Danone Arg. S.A. - Chascomus</v>
      </c>
      <c r="D712" s="13">
        <v>46247</v>
      </c>
    </row>
    <row r="713" spans="1:4" ht="14.25" customHeight="1" x14ac:dyDescent="0.3">
      <c r="A713" s="39" t="s">
        <v>13</v>
      </c>
      <c r="B713" s="39" t="s">
        <v>454</v>
      </c>
      <c r="C713" s="42" t="str">
        <f>VLOOKUP(A713,[1]Detalle!$D$2:$CW$484,98,FALSE)</f>
        <v>ADA_CH - Danone Arg. S.A. - Chascomus</v>
      </c>
      <c r="D713" s="13">
        <v>46045</v>
      </c>
    </row>
    <row r="714" spans="1:4" ht="14.25" customHeight="1" x14ac:dyDescent="0.3">
      <c r="A714" s="39" t="s">
        <v>13</v>
      </c>
      <c r="B714" s="39" t="s">
        <v>454</v>
      </c>
      <c r="C714" s="42" t="str">
        <f>VLOOKUP(A714,[1]Detalle!$D$2:$CW$484,98,FALSE)</f>
        <v>ADA_CH - Danone Arg. S.A. - Chascomus</v>
      </c>
      <c r="D714" s="13">
        <v>46045</v>
      </c>
    </row>
    <row r="715" spans="1:4" ht="14.25" customHeight="1" x14ac:dyDescent="0.3">
      <c r="A715" s="39" t="s">
        <v>6</v>
      </c>
      <c r="B715" s="39" t="s">
        <v>454</v>
      </c>
      <c r="C715" s="42" t="str">
        <f>VLOOKUP(A715,[1]Detalle!$D$2:$CW$484,98,FALSE)</f>
        <v>ADA_CH - Danone Arg. S.A. - Chascomus</v>
      </c>
      <c r="D715" s="13">
        <v>46067</v>
      </c>
    </row>
    <row r="716" spans="1:4" ht="14.25" customHeight="1" x14ac:dyDescent="0.3">
      <c r="A716" s="39" t="s">
        <v>6</v>
      </c>
      <c r="B716" s="39" t="s">
        <v>454</v>
      </c>
      <c r="C716" s="42" t="str">
        <f>VLOOKUP(A716,[1]Detalle!$D$2:$CW$484,98,FALSE)</f>
        <v>ADA_CH - Danone Arg. S.A. - Chascomus</v>
      </c>
      <c r="D716" s="13">
        <v>46067</v>
      </c>
    </row>
    <row r="717" spans="1:4" ht="14.25" customHeight="1" x14ac:dyDescent="0.3">
      <c r="A717" s="39" t="s">
        <v>7</v>
      </c>
      <c r="B717" s="39" t="s">
        <v>454</v>
      </c>
      <c r="C717" s="42" t="str">
        <f>VLOOKUP(A717,[1]Detalle!$D$2:$CW$484,98,FALSE)</f>
        <v>ADA_CH - Danone Arg. S.A. - Chascomus</v>
      </c>
      <c r="D717" s="13">
        <v>46053</v>
      </c>
    </row>
    <row r="718" spans="1:4" ht="14.25" customHeight="1" x14ac:dyDescent="0.3">
      <c r="A718" s="39" t="s">
        <v>7</v>
      </c>
      <c r="B718" s="39" t="s">
        <v>454</v>
      </c>
      <c r="C718" s="42" t="str">
        <f>VLOOKUP(A718,[1]Detalle!$D$2:$CW$484,98,FALSE)</f>
        <v>ADA_CH - Danone Arg. S.A. - Chascomus</v>
      </c>
      <c r="D718" s="13">
        <v>46053</v>
      </c>
    </row>
    <row r="719" spans="1:4" ht="14.25" customHeight="1" x14ac:dyDescent="0.3">
      <c r="A719" s="39" t="s">
        <v>9</v>
      </c>
      <c r="B719" s="39" t="s">
        <v>454</v>
      </c>
      <c r="C719" s="42" t="str">
        <f>VLOOKUP(A719,[1]Detalle!$D$2:$CW$484,98,FALSE)</f>
        <v>ADA_CH - Danone Arg. S.A. - Chascomus</v>
      </c>
      <c r="D719" s="13">
        <v>46032</v>
      </c>
    </row>
    <row r="720" spans="1:4" ht="14.25" customHeight="1" x14ac:dyDescent="0.3">
      <c r="A720" s="39" t="s">
        <v>9</v>
      </c>
      <c r="B720" s="39" t="s">
        <v>454</v>
      </c>
      <c r="C720" s="42" t="str">
        <f>VLOOKUP(A720,[1]Detalle!$D$2:$CW$484,98,FALSE)</f>
        <v>ADA_CH - Danone Arg. S.A. - Chascomus</v>
      </c>
      <c r="D720" s="13">
        <v>46032</v>
      </c>
    </row>
    <row r="721" spans="1:4" ht="14.25" customHeight="1" x14ac:dyDescent="0.3">
      <c r="A721" s="39" t="s">
        <v>17</v>
      </c>
      <c r="B721" s="39" t="s">
        <v>454</v>
      </c>
      <c r="C721" s="42" t="str">
        <f>VLOOKUP(A721,[1]Detalle!$D$2:$CW$484,98,FALSE)</f>
        <v>Expreso - Servicios Troncales</v>
      </c>
      <c r="D721" s="13">
        <v>46025</v>
      </c>
    </row>
    <row r="722" spans="1:4" ht="14.25" customHeight="1" x14ac:dyDescent="0.3">
      <c r="A722" s="39" t="s">
        <v>17</v>
      </c>
      <c r="B722" s="39" t="s">
        <v>454</v>
      </c>
      <c r="C722" s="42" t="str">
        <f>VLOOKUP(A722,[1]Detalle!$D$2:$CW$484,98,FALSE)</f>
        <v>Expreso - Servicios Troncales</v>
      </c>
      <c r="D722" s="13">
        <v>46025</v>
      </c>
    </row>
    <row r="723" spans="1:4" ht="14.25" customHeight="1" x14ac:dyDescent="0.3">
      <c r="A723" s="39" t="s">
        <v>18</v>
      </c>
      <c r="B723" s="39" t="s">
        <v>454</v>
      </c>
      <c r="C723" s="42" t="str">
        <f>VLOOKUP(A723,[1]Detalle!$D$2:$CW$484,98,FALSE)</f>
        <v>Expreso - Servicios Troncales</v>
      </c>
      <c r="D723" s="13">
        <v>46038</v>
      </c>
    </row>
    <row r="724" spans="1:4" ht="14.25" customHeight="1" x14ac:dyDescent="0.3">
      <c r="A724" s="39" t="s">
        <v>18</v>
      </c>
      <c r="B724" s="39" t="s">
        <v>454</v>
      </c>
      <c r="C724" s="42" t="str">
        <f>VLOOKUP(A724,[1]Detalle!$D$2:$CW$484,98,FALSE)</f>
        <v>Expreso - Servicios Troncales</v>
      </c>
      <c r="D724" s="13">
        <v>46038</v>
      </c>
    </row>
    <row r="725" spans="1:4" ht="14.25" customHeight="1" x14ac:dyDescent="0.3">
      <c r="A725" s="39" t="s">
        <v>231</v>
      </c>
      <c r="B725" s="39" t="s">
        <v>454</v>
      </c>
      <c r="C725" s="42" t="str">
        <f>VLOOKUP(A725,[1]Detalle!$D$2:$CW$484,98,FALSE)</f>
        <v>Expreso - Servicios Troncales</v>
      </c>
      <c r="D725" s="13">
        <v>46102</v>
      </c>
    </row>
    <row r="726" spans="1:4" ht="14.25" customHeight="1" x14ac:dyDescent="0.3">
      <c r="A726" s="39" t="s">
        <v>231</v>
      </c>
      <c r="B726" s="39" t="s">
        <v>454</v>
      </c>
      <c r="C726" s="42" t="str">
        <f>VLOOKUP(A726,[1]Detalle!$D$2:$CW$484,98,FALSE)</f>
        <v>Expreso - Servicios Troncales</v>
      </c>
      <c r="D726" s="13">
        <v>46102</v>
      </c>
    </row>
    <row r="727" spans="1:4" ht="14.25" customHeight="1" x14ac:dyDescent="0.3">
      <c r="A727" s="39" t="s">
        <v>232</v>
      </c>
      <c r="B727" s="39" t="s">
        <v>454</v>
      </c>
      <c r="C727" s="42" t="str">
        <f>VLOOKUP(A727,[1]Detalle!$D$2:$CW$484,98,FALSE)</f>
        <v>Expreso - Servicios Troncales</v>
      </c>
      <c r="D727" s="13">
        <v>46175</v>
      </c>
    </row>
    <row r="728" spans="1:4" ht="14.25" customHeight="1" x14ac:dyDescent="0.3">
      <c r="A728" s="39" t="s">
        <v>232</v>
      </c>
      <c r="B728" s="39" t="s">
        <v>454</v>
      </c>
      <c r="C728" s="42" t="str">
        <f>VLOOKUP(A728,[1]Detalle!$D$2:$CW$484,98,FALSE)</f>
        <v>Expreso - Servicios Troncales</v>
      </c>
      <c r="D728" s="13">
        <v>46175</v>
      </c>
    </row>
    <row r="729" spans="1:4" ht="14.25" customHeight="1" x14ac:dyDescent="0.3">
      <c r="A729" s="39" t="s">
        <v>233</v>
      </c>
      <c r="B729" s="39" t="s">
        <v>454</v>
      </c>
      <c r="C729" s="42" t="str">
        <f>VLOOKUP(A729,[1]Detalle!$D$2:$CW$484,98,FALSE)</f>
        <v>Expreso - Servicios Troncales</v>
      </c>
      <c r="D729" s="13">
        <v>46056</v>
      </c>
    </row>
    <row r="730" spans="1:4" ht="14.25" customHeight="1" x14ac:dyDescent="0.3">
      <c r="A730" s="39" t="s">
        <v>233</v>
      </c>
      <c r="B730" s="39" t="s">
        <v>454</v>
      </c>
      <c r="C730" s="42" t="str">
        <f>VLOOKUP(A730,[1]Detalle!$D$2:$CW$484,98,FALSE)</f>
        <v>Expreso - Servicios Troncales</v>
      </c>
      <c r="D730" s="13">
        <v>46056</v>
      </c>
    </row>
    <row r="731" spans="1:4" ht="14.25" customHeight="1" x14ac:dyDescent="0.3">
      <c r="A731" s="39" t="s">
        <v>234</v>
      </c>
      <c r="B731" s="39" t="s">
        <v>454</v>
      </c>
      <c r="C731" s="42" t="str">
        <f>VLOOKUP(A731,[1]Detalle!$D$2:$CW$484,98,FALSE)</f>
        <v>Expreso - Servicios Troncales</v>
      </c>
      <c r="D731" s="13">
        <v>46056</v>
      </c>
    </row>
    <row r="732" spans="1:4" ht="14.25" customHeight="1" x14ac:dyDescent="0.3">
      <c r="A732" s="39" t="s">
        <v>234</v>
      </c>
      <c r="B732" s="39" t="s">
        <v>454</v>
      </c>
      <c r="C732" s="42" t="str">
        <f>VLOOKUP(A732,[1]Detalle!$D$2:$CW$484,98,FALSE)</f>
        <v>Expreso - Servicios Troncales</v>
      </c>
      <c r="D732" s="13">
        <v>46056</v>
      </c>
    </row>
    <row r="733" spans="1:4" ht="14.25" customHeight="1" x14ac:dyDescent="0.3">
      <c r="A733" s="39" t="s">
        <v>97</v>
      </c>
      <c r="B733" s="39" t="s">
        <v>454</v>
      </c>
      <c r="C733" s="42" t="str">
        <f>VLOOKUP(A733,[1]Detalle!$D$2:$CW$484,98,FALSE)</f>
        <v>Expreso - Servicios Troncales</v>
      </c>
      <c r="D733" s="13">
        <v>46146</v>
      </c>
    </row>
    <row r="734" spans="1:4" ht="14.25" customHeight="1" x14ac:dyDescent="0.3">
      <c r="A734" s="39" t="s">
        <v>97</v>
      </c>
      <c r="B734" s="39" t="s">
        <v>454</v>
      </c>
      <c r="C734" s="42" t="str">
        <f>VLOOKUP(A734,[1]Detalle!$D$2:$CW$484,98,FALSE)</f>
        <v>Expreso - Servicios Troncales</v>
      </c>
      <c r="D734" s="13">
        <v>46146</v>
      </c>
    </row>
    <row r="735" spans="1:4" ht="14.25" customHeight="1" x14ac:dyDescent="0.3">
      <c r="A735" s="39" t="s">
        <v>279</v>
      </c>
      <c r="B735" s="39" t="s">
        <v>457</v>
      </c>
      <c r="C735" s="42" t="str">
        <f>VLOOKUP(A735,[1]Detalle!$D$2:$CW$484,98,FALSE)</f>
        <v>Expreso - Servicios Troncales</v>
      </c>
      <c r="D735" s="13">
        <v>46098</v>
      </c>
    </row>
    <row r="736" spans="1:4" ht="14.25" customHeight="1" x14ac:dyDescent="0.3">
      <c r="A736" s="39" t="s">
        <v>279</v>
      </c>
      <c r="B736" s="39" t="s">
        <v>457</v>
      </c>
      <c r="C736" s="42" t="str">
        <f>VLOOKUP(A736,[1]Detalle!$D$2:$CW$484,98,FALSE)</f>
        <v>Expreso - Servicios Troncales</v>
      </c>
      <c r="D736" s="13">
        <v>46098</v>
      </c>
    </row>
    <row r="737" spans="1:4" ht="14.25" customHeight="1" x14ac:dyDescent="0.3">
      <c r="A737" s="39" t="s">
        <v>228</v>
      </c>
      <c r="B737" s="39" t="s">
        <v>457</v>
      </c>
      <c r="C737" s="42" t="str">
        <f>VLOOKUP(A737,[1]Detalle!$D$2:$CW$484,98,FALSE)</f>
        <v>Expreso - Servicios Troncales</v>
      </c>
      <c r="D737" s="13">
        <v>46075</v>
      </c>
    </row>
    <row r="738" spans="1:4" ht="14.25" customHeight="1" x14ac:dyDescent="0.3">
      <c r="A738" s="39" t="s">
        <v>228</v>
      </c>
      <c r="B738" s="39" t="s">
        <v>457</v>
      </c>
      <c r="C738" s="42" t="str">
        <f>VLOOKUP(A738,[1]Detalle!$D$2:$CW$484,98,FALSE)</f>
        <v>Expreso - Servicios Troncales</v>
      </c>
      <c r="D738" s="13">
        <v>46075</v>
      </c>
    </row>
    <row r="739" spans="1:4" ht="14.25" customHeight="1" x14ac:dyDescent="0.3">
      <c r="A739" s="39" t="s">
        <v>270</v>
      </c>
      <c r="B739" s="39" t="s">
        <v>462</v>
      </c>
      <c r="C739" s="42" t="str">
        <f>VLOOKUP(A739,[1]Detalle!$D$2:$CW$484,98,FALSE)</f>
        <v>Expreso - Servicios Troncales</v>
      </c>
      <c r="D739" s="13">
        <v>46032</v>
      </c>
    </row>
    <row r="740" spans="1:4" ht="14.25" customHeight="1" x14ac:dyDescent="0.3">
      <c r="A740" s="39" t="s">
        <v>270</v>
      </c>
      <c r="B740" s="39" t="s">
        <v>462</v>
      </c>
      <c r="C740" s="42" t="str">
        <f>VLOOKUP(A740,[1]Detalle!$D$2:$CW$484,98,FALSE)</f>
        <v>Expreso - Servicios Troncales</v>
      </c>
      <c r="D740" s="13">
        <v>46032</v>
      </c>
    </row>
    <row r="741" spans="1:4" ht="14.25" customHeight="1" x14ac:dyDescent="0.3">
      <c r="A741" s="39" t="s">
        <v>221</v>
      </c>
      <c r="B741" s="39" t="s">
        <v>467</v>
      </c>
      <c r="C741" s="42" t="str">
        <f>VLOOKUP(A741,[1]Detalle!$D$2:$CW$484,98,FALSE)</f>
        <v>ADA_CH - Danone Arg. S.A. - Chascomus</v>
      </c>
      <c r="D741" s="13">
        <v>46092</v>
      </c>
    </row>
    <row r="742" spans="1:4" ht="14.25" customHeight="1" x14ac:dyDescent="0.3">
      <c r="A742" s="39" t="s">
        <v>30</v>
      </c>
      <c r="B742" s="39" t="s">
        <v>467</v>
      </c>
      <c r="C742" s="42" t="str">
        <f>VLOOKUP(A742,[1]Detalle!$D$2:$CW$484,98,FALSE)</f>
        <v>ADA_CH - Danone Arg. S.A. - Chascomus</v>
      </c>
      <c r="D742" s="13">
        <v>46264</v>
      </c>
    </row>
    <row r="743" spans="1:4" ht="14.25" customHeight="1" x14ac:dyDescent="0.3">
      <c r="A743" s="39" t="s">
        <v>32</v>
      </c>
      <c r="B743" s="39" t="s">
        <v>467</v>
      </c>
      <c r="C743" s="42" t="str">
        <f>VLOOKUP(A743,[1]Detalle!$D$2:$CW$484,98,FALSE)</f>
        <v>ADA_CH - Danone Arg. S.A. - Chascomus</v>
      </c>
      <c r="D743" s="13">
        <v>46038</v>
      </c>
    </row>
    <row r="744" spans="1:4" ht="14.25" customHeight="1" x14ac:dyDescent="0.3">
      <c r="A744" s="39" t="s">
        <v>70</v>
      </c>
      <c r="B744" s="39" t="s">
        <v>467</v>
      </c>
      <c r="C744" s="42" t="str">
        <f>VLOOKUP(A744,[1]Detalle!$D$2:$CW$484,98,FALSE)</f>
        <v>ADA_CH - Danone Arg. S.A. - Chascomus</v>
      </c>
      <c r="D744" s="13">
        <v>46089</v>
      </c>
    </row>
    <row r="745" spans="1:4" ht="14.25" customHeight="1" x14ac:dyDescent="0.3">
      <c r="A745" s="39" t="s">
        <v>77</v>
      </c>
      <c r="B745" s="39" t="s">
        <v>467</v>
      </c>
      <c r="C745" s="42" t="str">
        <f>VLOOKUP(A745,[1]Detalle!$D$2:$CW$484,98,FALSE)</f>
        <v>Arcor S.A.I.C.</v>
      </c>
      <c r="D745" s="13">
        <v>46119</v>
      </c>
    </row>
    <row r="746" spans="1:4" ht="14.25" customHeight="1" x14ac:dyDescent="0.3">
      <c r="A746" s="39" t="s">
        <v>86</v>
      </c>
      <c r="B746" s="39" t="s">
        <v>467</v>
      </c>
      <c r="C746" s="42" t="str">
        <f>VLOOKUP(A746,[1]Detalle!$D$2:$CW$484,98,FALSE)</f>
        <v>Arcor S.A.I.C.</v>
      </c>
      <c r="D746" s="13">
        <v>46167</v>
      </c>
    </row>
    <row r="747" spans="1:4" ht="14.25" customHeight="1" x14ac:dyDescent="0.3">
      <c r="A747" s="39" t="s">
        <v>85</v>
      </c>
      <c r="B747" s="39" t="s">
        <v>467</v>
      </c>
      <c r="C747" s="42" t="str">
        <f>VLOOKUP(A747,[1]Detalle!$D$2:$CW$484,98,FALSE)</f>
        <v>Arcor S.A.I.C.</v>
      </c>
      <c r="D747" s="13">
        <v>46032</v>
      </c>
    </row>
    <row r="748" spans="1:4" ht="14.25" customHeight="1" x14ac:dyDescent="0.3">
      <c r="A748" s="39" t="s">
        <v>93</v>
      </c>
      <c r="B748" s="39" t="s">
        <v>467</v>
      </c>
      <c r="C748" s="42" t="str">
        <f>VLOOKUP(A748,[1]Detalle!$D$2:$CW$484,98,FALSE)</f>
        <v>Arcor S.A.I.C.</v>
      </c>
      <c r="D748" s="13">
        <v>46214</v>
      </c>
    </row>
    <row r="749" spans="1:4" ht="14.25" customHeight="1" x14ac:dyDescent="0.3">
      <c r="A749" s="39" t="s">
        <v>19</v>
      </c>
      <c r="B749" s="39" t="s">
        <v>467</v>
      </c>
      <c r="C749" s="42" t="str">
        <f>VLOOKUP(A749,[1]Detalle!$D$2:$CW$484,98,FALSE)</f>
        <v>CENCOMLD - Cencosud SA - Mendoza</v>
      </c>
      <c r="D749" s="13">
        <v>46038</v>
      </c>
    </row>
    <row r="750" spans="1:4" ht="14.25" customHeight="1" x14ac:dyDescent="0.3">
      <c r="A750" s="39" t="s">
        <v>31</v>
      </c>
      <c r="B750" s="39" t="s">
        <v>467</v>
      </c>
      <c r="C750" s="42" t="str">
        <f>VLOOKUP(A750,[1]Detalle!$D$2:$CW$484,98,FALSE)</f>
        <v>CENCOMLD - Cencosud SA - Mendoza</v>
      </c>
      <c r="D750" s="13">
        <v>46291</v>
      </c>
    </row>
    <row r="751" spans="1:4" ht="14.25" customHeight="1" x14ac:dyDescent="0.3">
      <c r="A751" s="39" t="s">
        <v>35</v>
      </c>
      <c r="B751" s="39" t="s">
        <v>467</v>
      </c>
      <c r="C751" s="42" t="str">
        <f>VLOOKUP(A751,[1]Detalle!$D$2:$CW$484,98,FALSE)</f>
        <v>CENCOMLD - Cencosud SA - Mendoza</v>
      </c>
      <c r="D751" s="13">
        <v>46034</v>
      </c>
    </row>
    <row r="752" spans="1:4" ht="14.25" customHeight="1" x14ac:dyDescent="0.3">
      <c r="A752" s="39" t="s">
        <v>95</v>
      </c>
      <c r="B752" s="39" t="s">
        <v>467</v>
      </c>
      <c r="C752" s="42" t="str">
        <f>VLOOKUP(A752,[1]Detalle!$D$2:$CW$484,98,FALSE)</f>
        <v>CENCOMLD - Cencosud SA - Mendoza</v>
      </c>
      <c r="D752" s="13">
        <v>46054</v>
      </c>
    </row>
    <row r="753" spans="1:4" ht="14.25" customHeight="1" x14ac:dyDescent="0.3">
      <c r="A753" s="39" t="s">
        <v>96</v>
      </c>
      <c r="B753" s="39" t="s">
        <v>467</v>
      </c>
      <c r="C753" s="42" t="str">
        <f>VLOOKUP(A753,[1]Detalle!$D$2:$CW$484,98,FALSE)</f>
        <v>CENCOMLD - Cencosud SA - Mendoza</v>
      </c>
      <c r="D753" s="13">
        <v>46083</v>
      </c>
    </row>
    <row r="754" spans="1:4" ht="14.25" customHeight="1" x14ac:dyDescent="0.3">
      <c r="A754" s="39" t="s">
        <v>215</v>
      </c>
      <c r="B754" s="39" t="s">
        <v>467</v>
      </c>
      <c r="C754" s="42" t="str">
        <f>VLOOKUP(A754,[1]Detalle!$D$2:$CW$484,98,FALSE)</f>
        <v>Arcor S.A.I.C.</v>
      </c>
      <c r="D754" s="13">
        <v>46198</v>
      </c>
    </row>
    <row r="755" spans="1:4" ht="14.25" customHeight="1" x14ac:dyDescent="0.3">
      <c r="A755" s="39" t="s">
        <v>214</v>
      </c>
      <c r="B755" s="39" t="s">
        <v>467</v>
      </c>
      <c r="C755" s="42" t="str">
        <f>VLOOKUP(A755,[1]Detalle!$D$2:$CW$484,98,FALSE)</f>
        <v>Expreso - Servicios Troncales</v>
      </c>
      <c r="D755" s="13">
        <v>46247</v>
      </c>
    </row>
    <row r="756" spans="1:4" ht="14.25" customHeight="1" x14ac:dyDescent="0.3">
      <c r="A756" s="39" t="s">
        <v>176</v>
      </c>
      <c r="B756" s="39" t="s">
        <v>467</v>
      </c>
      <c r="C756" s="42" t="str">
        <f>VLOOKUP(A756,[1]Detalle!$D$2:$CW$484,98,FALSE)</f>
        <v>Expreso - Servicios Troncales</v>
      </c>
      <c r="D756" s="13">
        <v>46033</v>
      </c>
    </row>
    <row r="757" spans="1:4" ht="14.25" customHeight="1" x14ac:dyDescent="0.3">
      <c r="A757" s="39" t="s">
        <v>177</v>
      </c>
      <c r="B757" s="39" t="s">
        <v>467</v>
      </c>
      <c r="C757" s="42" t="str">
        <f>VLOOKUP(A757,[1]Detalle!$D$2:$CW$484,98,FALSE)</f>
        <v>Unilever - Unilever de Arg. S.A.</v>
      </c>
      <c r="D757" s="13">
        <v>46184</v>
      </c>
    </row>
    <row r="758" spans="1:4" ht="14.25" customHeight="1" x14ac:dyDescent="0.3">
      <c r="A758" s="39" t="s">
        <v>186</v>
      </c>
      <c r="B758" s="39" t="s">
        <v>467</v>
      </c>
      <c r="C758" s="42" t="str">
        <f>VLOOKUP(A758,[1]Detalle!$D$2:$CW$484,98,FALSE)</f>
        <v>Expreso - Servicios Troncales</v>
      </c>
      <c r="D758" s="13">
        <v>46045</v>
      </c>
    </row>
    <row r="759" spans="1:4" ht="14.25" customHeight="1" x14ac:dyDescent="0.3">
      <c r="A759" s="39" t="s">
        <v>201</v>
      </c>
      <c r="B759" s="39" t="s">
        <v>467</v>
      </c>
      <c r="C759" s="42" t="str">
        <f>VLOOKUP(A759,[1]Detalle!$D$2:$CW$484,98,FALSE)</f>
        <v>Expreso - Servicios Troncales</v>
      </c>
      <c r="D759" s="13">
        <v>46053</v>
      </c>
    </row>
    <row r="760" spans="1:4" ht="14.25" customHeight="1" x14ac:dyDescent="0.3">
      <c r="A760" s="39" t="s">
        <v>230</v>
      </c>
      <c r="B760" s="39" t="s">
        <v>467</v>
      </c>
      <c r="C760" s="42" t="str">
        <f>VLOOKUP(A760,[1]Detalle!$D$2:$CW$484,98,FALSE)</f>
        <v>Expreso - Servicios Troncales</v>
      </c>
      <c r="D760" s="13">
        <v>46154</v>
      </c>
    </row>
    <row r="761" spans="1:4" ht="14.25" customHeight="1" x14ac:dyDescent="0.3">
      <c r="A761" s="39" t="s">
        <v>175</v>
      </c>
      <c r="B761" s="39" t="s">
        <v>467</v>
      </c>
      <c r="C761" s="42" t="str">
        <f>VLOOKUP(A761,[1]Detalle!$D$2:$CW$484,98,FALSE)</f>
        <v>JOHNSON - SC JOHNSON DE ARGENTINA SAIC</v>
      </c>
      <c r="D761" s="13">
        <v>46082</v>
      </c>
    </row>
    <row r="762" spans="1:4" ht="14.25" customHeight="1" x14ac:dyDescent="0.3">
      <c r="A762" s="39" t="s">
        <v>216</v>
      </c>
      <c r="B762" s="39" t="s">
        <v>467</v>
      </c>
      <c r="C762" s="42" t="str">
        <f>VLOOKUP(A762,[1]Detalle!$D$2:$CW$484,98,FALSE)</f>
        <v>Arcor S.A.I.C.</v>
      </c>
      <c r="D762" s="13">
        <v>46363</v>
      </c>
    </row>
    <row r="763" spans="1:4" ht="14.25" customHeight="1" x14ac:dyDescent="0.3">
      <c r="A763" s="39" t="s">
        <v>98</v>
      </c>
      <c r="B763" s="39" t="s">
        <v>467</v>
      </c>
      <c r="C763" s="42" t="str">
        <f>VLOOKUP(A763,[1]Detalle!$D$2:$CW$484,98,FALSE)</f>
        <v>Arcor S.A.I.C.</v>
      </c>
      <c r="D763" s="13">
        <v>46255</v>
      </c>
    </row>
    <row r="764" spans="1:4" ht="14.25" customHeight="1" x14ac:dyDescent="0.3">
      <c r="A764" s="39" t="s">
        <v>5</v>
      </c>
      <c r="B764" s="39" t="s">
        <v>468</v>
      </c>
      <c r="C764" s="42" t="str">
        <f>VLOOKUP(A764,[1]Detalle!$D$2:$CW$484,98,FALSE)</f>
        <v>ADA_CH - Danone Arg. S.A. - Chascomus</v>
      </c>
      <c r="D764" s="13">
        <v>46117</v>
      </c>
    </row>
    <row r="765" spans="1:4" ht="14.25" customHeight="1" x14ac:dyDescent="0.3">
      <c r="A765" s="39" t="s">
        <v>8</v>
      </c>
      <c r="B765" s="39" t="s">
        <v>468</v>
      </c>
      <c r="C765" s="42" t="str">
        <f>VLOOKUP(A765,[1]Detalle!$D$2:$CW$484,98,FALSE)</f>
        <v>ADA_CH - Danone Arg. S.A. - Chascomus</v>
      </c>
      <c r="D765" s="13">
        <v>46115</v>
      </c>
    </row>
    <row r="766" spans="1:4" ht="14.25" customHeight="1" x14ac:dyDescent="0.3">
      <c r="A766" s="39" t="s">
        <v>11</v>
      </c>
      <c r="B766" s="39" t="s">
        <v>468</v>
      </c>
      <c r="C766" s="42" t="str">
        <f>VLOOKUP(A766,[1]Detalle!$D$2:$CW$484,98,FALSE)</f>
        <v>ADA_CH - Danone Arg. S.A. - Chascomus</v>
      </c>
      <c r="D766" s="13">
        <v>46061</v>
      </c>
    </row>
    <row r="767" spans="1:4" ht="14.25" customHeight="1" x14ac:dyDescent="0.3">
      <c r="A767" s="39" t="s">
        <v>10</v>
      </c>
      <c r="B767" s="39" t="s">
        <v>468</v>
      </c>
      <c r="C767" s="42" t="str">
        <f>VLOOKUP(A767,[1]Detalle!$D$2:$CW$484,98,FALSE)</f>
        <v>ADA_CH - Danone Arg. S.A. - Chascomus</v>
      </c>
      <c r="D767" s="13">
        <v>46037</v>
      </c>
    </row>
    <row r="768" spans="1:4" ht="14.25" customHeight="1" x14ac:dyDescent="0.3">
      <c r="A768" s="39" t="s">
        <v>14</v>
      </c>
      <c r="B768" s="39" t="s">
        <v>468</v>
      </c>
      <c r="C768" s="42" t="str">
        <f>VLOOKUP(A768,[1]Detalle!$D$2:$CW$484,98,FALSE)</f>
        <v>ADA_CH - Danone Arg. S.A. - Chascomus</v>
      </c>
      <c r="D768" s="13">
        <v>46035</v>
      </c>
    </row>
    <row r="769" spans="1:4" ht="14.25" customHeight="1" x14ac:dyDescent="0.3">
      <c r="A769" s="39" t="s">
        <v>12</v>
      </c>
      <c r="B769" s="39" t="s">
        <v>468</v>
      </c>
      <c r="C769" s="42" t="str">
        <f>VLOOKUP(A769,[1]Detalle!$D$2:$CW$484,98,FALSE)</f>
        <v>ADA_CH - Danone Arg. S.A. - Chascomus</v>
      </c>
      <c r="D769" s="13">
        <v>46247</v>
      </c>
    </row>
    <row r="770" spans="1:4" ht="14.25" customHeight="1" x14ac:dyDescent="0.3">
      <c r="A770" s="39" t="s">
        <v>13</v>
      </c>
      <c r="B770" s="39" t="s">
        <v>468</v>
      </c>
      <c r="C770" s="42" t="str">
        <f>VLOOKUP(A770,[1]Detalle!$D$2:$CW$484,98,FALSE)</f>
        <v>ADA_CH - Danone Arg. S.A. - Chascomus</v>
      </c>
      <c r="D770" s="13">
        <v>46045</v>
      </c>
    </row>
    <row r="771" spans="1:4" ht="14.25" customHeight="1" x14ac:dyDescent="0.3">
      <c r="A771" s="39" t="s">
        <v>6</v>
      </c>
      <c r="B771" s="39" t="s">
        <v>468</v>
      </c>
      <c r="C771" s="42" t="str">
        <f>VLOOKUP(A771,[1]Detalle!$D$2:$CW$484,98,FALSE)</f>
        <v>ADA_CH - Danone Arg. S.A. - Chascomus</v>
      </c>
      <c r="D771" s="13">
        <v>46067</v>
      </c>
    </row>
    <row r="772" spans="1:4" ht="14.25" customHeight="1" x14ac:dyDescent="0.3">
      <c r="A772" s="39" t="s">
        <v>7</v>
      </c>
      <c r="B772" s="39" t="s">
        <v>468</v>
      </c>
      <c r="C772" s="42" t="str">
        <f>VLOOKUP(A772,[1]Detalle!$D$2:$CW$484,98,FALSE)</f>
        <v>ADA_CH - Danone Arg. S.A. - Chascomus</v>
      </c>
      <c r="D772" s="13">
        <v>46053</v>
      </c>
    </row>
    <row r="773" spans="1:4" ht="14.25" customHeight="1" x14ac:dyDescent="0.3">
      <c r="A773" s="39" t="s">
        <v>9</v>
      </c>
      <c r="B773" s="39" t="s">
        <v>468</v>
      </c>
      <c r="C773" s="42" t="str">
        <f>VLOOKUP(A773,[1]Detalle!$D$2:$CW$484,98,FALSE)</f>
        <v>ADA_CH - Danone Arg. S.A. - Chascomus</v>
      </c>
      <c r="D773" s="13">
        <v>46032</v>
      </c>
    </row>
    <row r="774" spans="1:4" ht="14.25" customHeight="1" x14ac:dyDescent="0.3">
      <c r="A774" s="39" t="s">
        <v>17</v>
      </c>
      <c r="B774" s="39" t="s">
        <v>468</v>
      </c>
      <c r="C774" s="42" t="str">
        <f>VLOOKUP(A774,[1]Detalle!$D$2:$CW$484,98,FALSE)</f>
        <v>Expreso - Servicios Troncales</v>
      </c>
      <c r="D774" s="13">
        <v>46025</v>
      </c>
    </row>
    <row r="775" spans="1:4" ht="14.25" customHeight="1" x14ac:dyDescent="0.3">
      <c r="A775" s="39" t="s">
        <v>18</v>
      </c>
      <c r="B775" s="39" t="s">
        <v>468</v>
      </c>
      <c r="C775" s="42" t="str">
        <f>VLOOKUP(A775,[1]Detalle!$D$2:$CW$484,98,FALSE)</f>
        <v>Expreso - Servicios Troncales</v>
      </c>
      <c r="D775" s="13">
        <v>46038</v>
      </c>
    </row>
    <row r="776" spans="1:4" ht="14.25" customHeight="1" x14ac:dyDescent="0.3">
      <c r="A776" s="39" t="s">
        <v>231</v>
      </c>
      <c r="B776" s="39" t="s">
        <v>468</v>
      </c>
      <c r="C776" s="42" t="str">
        <f>VLOOKUP(A776,[1]Detalle!$D$2:$CW$484,98,FALSE)</f>
        <v>Expreso - Servicios Troncales</v>
      </c>
      <c r="D776" s="13">
        <v>46102</v>
      </c>
    </row>
    <row r="777" spans="1:4" ht="14.25" customHeight="1" x14ac:dyDescent="0.3">
      <c r="A777" s="39" t="s">
        <v>232</v>
      </c>
      <c r="B777" s="39" t="s">
        <v>468</v>
      </c>
      <c r="C777" s="42" t="str">
        <f>VLOOKUP(A777,[1]Detalle!$D$2:$CW$484,98,FALSE)</f>
        <v>Expreso - Servicios Troncales</v>
      </c>
      <c r="D777" s="13">
        <v>46175</v>
      </c>
    </row>
    <row r="778" spans="1:4" ht="14.25" customHeight="1" x14ac:dyDescent="0.3">
      <c r="A778" s="39" t="s">
        <v>233</v>
      </c>
      <c r="B778" s="39" t="s">
        <v>468</v>
      </c>
      <c r="C778" s="42" t="str">
        <f>VLOOKUP(A778,[1]Detalle!$D$2:$CW$484,98,FALSE)</f>
        <v>Expreso - Servicios Troncales</v>
      </c>
      <c r="D778" s="13">
        <v>46056</v>
      </c>
    </row>
    <row r="779" spans="1:4" ht="14.25" customHeight="1" x14ac:dyDescent="0.3">
      <c r="A779" s="39" t="s">
        <v>234</v>
      </c>
      <c r="B779" s="39" t="s">
        <v>468</v>
      </c>
      <c r="C779" s="42" t="str">
        <f>VLOOKUP(A779,[1]Detalle!$D$2:$CW$484,98,FALSE)</f>
        <v>Expreso - Servicios Troncales</v>
      </c>
      <c r="D779" s="13">
        <v>46056</v>
      </c>
    </row>
    <row r="780" spans="1:4" ht="14.25" customHeight="1" x14ac:dyDescent="0.3">
      <c r="A780" s="39" t="s">
        <v>97</v>
      </c>
      <c r="B780" s="39" t="s">
        <v>468</v>
      </c>
      <c r="C780" s="42" t="str">
        <f>VLOOKUP(A780,[1]Detalle!$D$2:$CW$484,98,FALSE)</f>
        <v>Expreso - Servicios Troncales</v>
      </c>
      <c r="D780" s="13">
        <v>46146</v>
      </c>
    </row>
    <row r="781" spans="1:4" ht="14.25" customHeight="1" x14ac:dyDescent="0.3">
      <c r="A781" s="39" t="s">
        <v>279</v>
      </c>
      <c r="B781" s="39" t="s">
        <v>471</v>
      </c>
      <c r="C781" s="42" t="str">
        <f>VLOOKUP(A781,[1]Detalle!$D$2:$CW$484,98,FALSE)</f>
        <v>Expreso - Servicios Troncales</v>
      </c>
      <c r="D781" s="13">
        <v>46098</v>
      </c>
    </row>
    <row r="782" spans="1:4" ht="14.25" customHeight="1" x14ac:dyDescent="0.3">
      <c r="A782" s="39" t="s">
        <v>228</v>
      </c>
      <c r="B782" s="39" t="s">
        <v>471</v>
      </c>
      <c r="C782" s="42" t="str">
        <f>VLOOKUP(A782,[1]Detalle!$D$2:$CW$484,98,FALSE)</f>
        <v>Expreso - Servicios Troncales</v>
      </c>
      <c r="D782" s="13">
        <v>46075</v>
      </c>
    </row>
    <row r="783" spans="1:4" ht="14.25" customHeight="1" x14ac:dyDescent="0.3">
      <c r="A783" s="39" t="s">
        <v>270</v>
      </c>
      <c r="B783" s="39" t="s">
        <v>474</v>
      </c>
      <c r="C783" s="42" t="str">
        <f>VLOOKUP(A783,[1]Detalle!$D$2:$CW$484,98,FALSE)</f>
        <v>Expreso - Servicios Troncales</v>
      </c>
      <c r="D783" s="13">
        <v>46032</v>
      </c>
    </row>
    <row r="784" spans="1:4" ht="14.25" customHeight="1" x14ac:dyDescent="0.3">
      <c r="A784" s="39" t="s">
        <v>236</v>
      </c>
      <c r="B784" s="39" t="s">
        <v>328</v>
      </c>
      <c r="C784" s="42" t="str">
        <f>VLOOKUP(A784,[1]Detalle!$D$2:$CW$484,98,FALSE)</f>
        <v>CENCOMLD - Cencosud SA - Mendoza</v>
      </c>
      <c r="D784" s="13">
        <v>46034</v>
      </c>
    </row>
    <row r="785" spans="1:4" ht="14.25" customHeight="1" x14ac:dyDescent="0.3">
      <c r="A785" s="39" t="s">
        <v>236</v>
      </c>
      <c r="B785" s="39" t="s">
        <v>328</v>
      </c>
      <c r="C785" s="42" t="str">
        <f>VLOOKUP(A785,[1]Detalle!$D$2:$CW$484,98,FALSE)</f>
        <v>CENCOMLD - Cencosud SA - Mendoza</v>
      </c>
      <c r="D785" s="13">
        <v>46034</v>
      </c>
    </row>
    <row r="786" spans="1:4" ht="14.25" customHeight="1" x14ac:dyDescent="0.3">
      <c r="A786" s="39" t="s">
        <v>236</v>
      </c>
      <c r="B786" s="39" t="s">
        <v>421</v>
      </c>
      <c r="C786" s="42" t="str">
        <f>VLOOKUP(A786,[1]Detalle!$D$2:$CW$484,98,FALSE)</f>
        <v>CENCOMLD - Cencosud SA - Mendoza</v>
      </c>
      <c r="D786" s="13">
        <v>46034</v>
      </c>
    </row>
    <row r="787" spans="1:4" ht="14.25" customHeight="1" x14ac:dyDescent="0.3">
      <c r="A787" s="39" t="s">
        <v>111</v>
      </c>
      <c r="B787" s="39" t="s">
        <v>328</v>
      </c>
      <c r="C787" s="42" t="str">
        <f>VLOOKUP(A787,[1]Detalle!$D$2:$CW$484,98,FALSE)</f>
        <v>SUC_MEN - Sucursal Mendoza</v>
      </c>
      <c r="D787" s="13">
        <v>46329</v>
      </c>
    </row>
    <row r="788" spans="1:4" ht="14.25" customHeight="1" x14ac:dyDescent="0.3">
      <c r="A788" s="39" t="s">
        <v>111</v>
      </c>
      <c r="B788" s="39" t="s">
        <v>328</v>
      </c>
      <c r="C788" s="42" t="str">
        <f>VLOOKUP(A788,[1]Detalle!$D$2:$CW$484,98,FALSE)</f>
        <v>SUC_MEN - Sucursal Mendoza</v>
      </c>
      <c r="D788" s="13">
        <v>46329</v>
      </c>
    </row>
    <row r="789" spans="1:4" ht="14.25" customHeight="1" x14ac:dyDescent="0.3">
      <c r="A789" s="39" t="s">
        <v>209</v>
      </c>
      <c r="B789" s="39" t="s">
        <v>328</v>
      </c>
      <c r="C789" s="42" t="str">
        <f>VLOOKUP(A789,[1]Detalle!$D$2:$CW$484,98,FALSE)</f>
        <v>CENCO_MZ - Cencosud SA - Mendoza</v>
      </c>
      <c r="D789" s="13">
        <v>46107</v>
      </c>
    </row>
    <row r="790" spans="1:4" ht="14.25" customHeight="1" x14ac:dyDescent="0.3">
      <c r="A790" s="39" t="s">
        <v>209</v>
      </c>
      <c r="B790" s="39" t="s">
        <v>328</v>
      </c>
      <c r="C790" s="42" t="str">
        <f>VLOOKUP(A790,[1]Detalle!$D$2:$CW$484,98,FALSE)</f>
        <v>CENCO_MZ - Cencosud SA - Mendoza</v>
      </c>
      <c r="D790" s="13">
        <v>46107</v>
      </c>
    </row>
    <row r="791" spans="1:4" ht="14.25" customHeight="1" x14ac:dyDescent="0.3">
      <c r="A791" s="39" t="s">
        <v>138</v>
      </c>
      <c r="B791" s="39" t="s">
        <v>343</v>
      </c>
      <c r="C791" s="42" t="str">
        <f>VLOOKUP(A791,[1]Detalle!$D$2:$CW$484,98,FALSE)</f>
        <v>SUC_MEN - Sucursal Mendoza</v>
      </c>
      <c r="D791" s="13">
        <v>46264</v>
      </c>
    </row>
    <row r="792" spans="1:4" ht="14.25" customHeight="1" x14ac:dyDescent="0.3">
      <c r="A792" s="39" t="s">
        <v>138</v>
      </c>
      <c r="B792" s="39" t="s">
        <v>343</v>
      </c>
      <c r="C792" s="42" t="str">
        <f>VLOOKUP(A792,[1]Detalle!$D$2:$CW$484,98,FALSE)</f>
        <v>SUC_MEN - Sucursal Mendoza</v>
      </c>
      <c r="D792" s="13">
        <v>46264</v>
      </c>
    </row>
    <row r="793" spans="1:4" ht="14.25" customHeight="1" x14ac:dyDescent="0.3">
      <c r="A793" s="39" t="s">
        <v>123</v>
      </c>
      <c r="B793" s="39" t="s">
        <v>343</v>
      </c>
      <c r="C793" s="42" t="str">
        <f>VLOOKUP(A793,[1]Detalle!$D$2:$CW$484,98,FALSE)</f>
        <v>SUC_SRA - Sucursal San Rafael</v>
      </c>
      <c r="D793" s="13">
        <v>46360</v>
      </c>
    </row>
    <row r="794" spans="1:4" ht="14.25" customHeight="1" x14ac:dyDescent="0.3">
      <c r="A794" s="39" t="s">
        <v>123</v>
      </c>
      <c r="B794" s="39" t="s">
        <v>343</v>
      </c>
      <c r="C794" s="42" t="str">
        <f>VLOOKUP(A794,[1]Detalle!$D$2:$CW$484,98,FALSE)</f>
        <v>SUC_SRA - Sucursal San Rafael</v>
      </c>
      <c r="D794" s="13">
        <v>46360</v>
      </c>
    </row>
    <row r="795" spans="1:4" ht="14.25" customHeight="1" x14ac:dyDescent="0.3">
      <c r="A795" s="39" t="s">
        <v>111</v>
      </c>
      <c r="B795" s="39" t="s">
        <v>343</v>
      </c>
      <c r="C795" s="42" t="str">
        <f>VLOOKUP(A795,[1]Detalle!$D$2:$CW$484,98,FALSE)</f>
        <v>SUC_MEN - Sucursal Mendoza</v>
      </c>
      <c r="D795" s="13">
        <v>46329</v>
      </c>
    </row>
    <row r="796" spans="1:4" ht="14.25" customHeight="1" x14ac:dyDescent="0.3">
      <c r="A796" s="39" t="s">
        <v>111</v>
      </c>
      <c r="B796" s="39" t="s">
        <v>343</v>
      </c>
      <c r="C796" s="42" t="str">
        <f>VLOOKUP(A796,[1]Detalle!$D$2:$CW$484,98,FALSE)</f>
        <v>SUC_MEN - Sucursal Mendoza</v>
      </c>
      <c r="D796" s="13">
        <v>46329</v>
      </c>
    </row>
    <row r="797" spans="1:4" ht="14.25" customHeight="1" x14ac:dyDescent="0.3">
      <c r="A797" s="39" t="s">
        <v>149</v>
      </c>
      <c r="B797" s="39" t="s">
        <v>343</v>
      </c>
      <c r="C797" s="42" t="str">
        <f>VLOOKUP(A797,[1]Detalle!$D$2:$CW$484,98,FALSE)</f>
        <v>Papelera - Papelera del Plata S.A.</v>
      </c>
      <c r="D797" s="13">
        <v>46298</v>
      </c>
    </row>
    <row r="798" spans="1:4" ht="14.25" customHeight="1" x14ac:dyDescent="0.3">
      <c r="A798" s="39" t="s">
        <v>149</v>
      </c>
      <c r="B798" s="39" t="s">
        <v>343</v>
      </c>
      <c r="C798" s="42" t="str">
        <f>VLOOKUP(A798,[1]Detalle!$D$2:$CW$484,98,FALSE)</f>
        <v>Papelera - Papelera del Plata S.A.</v>
      </c>
      <c r="D798" s="13">
        <v>46298</v>
      </c>
    </row>
    <row r="799" spans="1:4" ht="14.25" customHeight="1" x14ac:dyDescent="0.3">
      <c r="A799" s="39" t="s">
        <v>161</v>
      </c>
      <c r="B799" s="39" t="s">
        <v>343</v>
      </c>
      <c r="C799" s="42" t="str">
        <f>VLOOKUP(A799,[1]Detalle!$D$2:$CW$484,98,FALSE)</f>
        <v>Unilever - Unilever de Arg. S.A.</v>
      </c>
      <c r="D799" s="13">
        <v>46378</v>
      </c>
    </row>
    <row r="800" spans="1:4" ht="14.25" customHeight="1" x14ac:dyDescent="0.3">
      <c r="A800" s="39" t="s">
        <v>161</v>
      </c>
      <c r="B800" s="39" t="s">
        <v>343</v>
      </c>
      <c r="C800" s="42" t="str">
        <f>VLOOKUP(A800,[1]Detalle!$D$2:$CW$484,98,FALSE)</f>
        <v>Unilever - Unilever de Arg. S.A.</v>
      </c>
      <c r="D800" s="13">
        <v>46378</v>
      </c>
    </row>
    <row r="801" spans="1:4" ht="14.25" customHeight="1" x14ac:dyDescent="0.3">
      <c r="A801" s="39" t="s">
        <v>152</v>
      </c>
      <c r="B801" s="39" t="s">
        <v>343</v>
      </c>
      <c r="C801" s="42" t="str">
        <f>VLOOKUP(A801,[1]Detalle!$D$2:$CW$484,98,FALSE)</f>
        <v>SUC_REA - Sucursal Realicó</v>
      </c>
      <c r="D801" s="13">
        <v>46291</v>
      </c>
    </row>
    <row r="802" spans="1:4" ht="14.25" customHeight="1" x14ac:dyDescent="0.3">
      <c r="A802" s="39" t="s">
        <v>152</v>
      </c>
      <c r="B802" s="39" t="s">
        <v>343</v>
      </c>
      <c r="C802" s="42" t="str">
        <f>VLOOKUP(A802,[1]Detalle!$D$2:$CW$484,98,FALSE)</f>
        <v>SUC_REA - Sucursal Realicó</v>
      </c>
      <c r="D802" s="13">
        <v>46291</v>
      </c>
    </row>
    <row r="803" spans="1:4" ht="14.25" customHeight="1" x14ac:dyDescent="0.3">
      <c r="A803" s="39" t="s">
        <v>15</v>
      </c>
      <c r="B803" s="39" t="s">
        <v>343</v>
      </c>
      <c r="C803" s="42" t="str">
        <f>VLOOKUP(A803,[1]Detalle!$D$2:$CW$484,98,FALSE)</f>
        <v>CENCOMLD - Cencosud SA - Mendoza</v>
      </c>
      <c r="D803" s="13">
        <v>46056</v>
      </c>
    </row>
    <row r="804" spans="1:4" ht="14.25" customHeight="1" x14ac:dyDescent="0.3">
      <c r="A804" s="39" t="s">
        <v>15</v>
      </c>
      <c r="B804" s="39" t="s">
        <v>343</v>
      </c>
      <c r="C804" s="42" t="str">
        <f>VLOOKUP(A804,[1]Detalle!$D$2:$CW$484,98,FALSE)</f>
        <v>CENCOMLD - Cencosud SA - Mendoza</v>
      </c>
      <c r="D804" s="13">
        <v>46056</v>
      </c>
    </row>
    <row r="805" spans="1:4" ht="14.25" customHeight="1" x14ac:dyDescent="0.3">
      <c r="A805" s="39" t="s">
        <v>171</v>
      </c>
      <c r="B805" s="39" t="s">
        <v>343</v>
      </c>
      <c r="C805" s="42" t="str">
        <f>VLOOKUP(A805,[1]Detalle!$D$2:$CW$484,98,FALSE)</f>
        <v>CENCO_MZ - Cencosud SA - Mendoza</v>
      </c>
      <c r="D805" s="13">
        <v>46299</v>
      </c>
    </row>
    <row r="806" spans="1:4" ht="14.25" customHeight="1" x14ac:dyDescent="0.3">
      <c r="A806" s="39" t="s">
        <v>171</v>
      </c>
      <c r="B806" s="39" t="s">
        <v>343</v>
      </c>
      <c r="C806" s="42" t="str">
        <f>VLOOKUP(A806,[1]Detalle!$D$2:$CW$484,98,FALSE)</f>
        <v>CENCO_MZ - Cencosud SA - Mendoza</v>
      </c>
      <c r="D806" s="13">
        <v>46299</v>
      </c>
    </row>
    <row r="807" spans="1:4" ht="14.25" customHeight="1" x14ac:dyDescent="0.3">
      <c r="A807" s="39" t="s">
        <v>209</v>
      </c>
      <c r="B807" s="39" t="s">
        <v>343</v>
      </c>
      <c r="C807" s="42" t="str">
        <f>VLOOKUP(A807,[1]Detalle!$D$2:$CW$484,98,FALSE)</f>
        <v>CENCO_MZ - Cencosud SA - Mendoza</v>
      </c>
      <c r="D807" s="13">
        <v>46107</v>
      </c>
    </row>
    <row r="808" spans="1:4" ht="14.25" customHeight="1" x14ac:dyDescent="0.3">
      <c r="A808" s="39" t="s">
        <v>209</v>
      </c>
      <c r="B808" s="39" t="s">
        <v>343</v>
      </c>
      <c r="C808" s="42" t="str">
        <f>VLOOKUP(A808,[1]Detalle!$D$2:$CW$484,98,FALSE)</f>
        <v>CENCO_MZ - Cencosud SA - Mendoza</v>
      </c>
      <c r="D808" s="13">
        <v>46107</v>
      </c>
    </row>
    <row r="809" spans="1:4" ht="14.25" customHeight="1" x14ac:dyDescent="0.3">
      <c r="A809" s="39" t="s">
        <v>273</v>
      </c>
      <c r="B809" s="39" t="s">
        <v>343</v>
      </c>
      <c r="C809" s="42" t="str">
        <f>VLOOKUP(A809,[1]Detalle!$D$2:$CW$484,98,FALSE)</f>
        <v>CENCOMLD - Cencosud SA - Mendoza</v>
      </c>
      <c r="D809" s="13">
        <v>46182</v>
      </c>
    </row>
    <row r="810" spans="1:4" ht="14.25" customHeight="1" x14ac:dyDescent="0.3">
      <c r="A810" s="39" t="s">
        <v>273</v>
      </c>
      <c r="B810" s="39" t="s">
        <v>343</v>
      </c>
      <c r="C810" s="42" t="str">
        <f>VLOOKUP(A810,[1]Detalle!$D$2:$CW$484,98,FALSE)</f>
        <v>CENCOMLD - Cencosud SA - Mendoza</v>
      </c>
      <c r="D810" s="13">
        <v>46182</v>
      </c>
    </row>
    <row r="811" spans="1:4" ht="14.25" customHeight="1" x14ac:dyDescent="0.3">
      <c r="A811" s="39" t="s">
        <v>37</v>
      </c>
      <c r="B811" s="39" t="s">
        <v>355</v>
      </c>
      <c r="C811" s="42" t="str">
        <f>VLOOKUP(A811,[1]Detalle!$D$2:$CW$484,98,FALSE)</f>
        <v>SUC_ROS - Sucursal Rosario</v>
      </c>
      <c r="D811" s="13">
        <v>46277</v>
      </c>
    </row>
    <row r="812" spans="1:4" ht="14.25" customHeight="1" x14ac:dyDescent="0.3">
      <c r="A812" s="39" t="s">
        <v>47</v>
      </c>
      <c r="B812" s="39" t="s">
        <v>355</v>
      </c>
      <c r="C812" s="42" t="str">
        <f>VLOOKUP(A812,[1]Detalle!$D$2:$CW$484,98,FALSE)</f>
        <v>SUC_MEN - Sucursal Mendoza</v>
      </c>
      <c r="D812" s="13">
        <v>46213</v>
      </c>
    </row>
    <row r="813" spans="1:4" ht="14.25" customHeight="1" x14ac:dyDescent="0.3">
      <c r="A813" s="39" t="s">
        <v>49</v>
      </c>
      <c r="B813" s="39" t="s">
        <v>355</v>
      </c>
      <c r="C813" s="42" t="str">
        <f>VLOOKUP(A813,[1]Detalle!$D$2:$CW$484,98,FALSE)</f>
        <v>SUC_CTC - Sucursal Buenos Aires</v>
      </c>
      <c r="D813" s="13">
        <v>46219</v>
      </c>
    </row>
    <row r="814" spans="1:4" ht="14.25" customHeight="1" x14ac:dyDescent="0.3">
      <c r="A814" s="39" t="s">
        <v>37</v>
      </c>
      <c r="B814" s="39" t="s">
        <v>358</v>
      </c>
      <c r="C814" s="42" t="str">
        <f>VLOOKUP(A814,[1]Detalle!$D$2:$CW$484,98,FALSE)</f>
        <v>SUC_ROS - Sucursal Rosario</v>
      </c>
      <c r="D814" s="13">
        <v>46277</v>
      </c>
    </row>
    <row r="815" spans="1:4" ht="14.25" customHeight="1" x14ac:dyDescent="0.3">
      <c r="A815" s="39" t="s">
        <v>39</v>
      </c>
      <c r="B815" s="39" t="s">
        <v>355</v>
      </c>
      <c r="C815" s="42" t="str">
        <f>VLOOKUP(A815,[1]Detalle!$D$2:$CW$484,98,FALSE)</f>
        <v>SUC_MEN - Sucursal Mendoza</v>
      </c>
      <c r="D815" s="13">
        <v>46177</v>
      </c>
    </row>
    <row r="816" spans="1:4" ht="14.25" customHeight="1" x14ac:dyDescent="0.3">
      <c r="A816" s="39" t="s">
        <v>47</v>
      </c>
      <c r="B816" s="39" t="s">
        <v>358</v>
      </c>
      <c r="C816" s="42" t="str">
        <f>VLOOKUP(A816,[1]Detalle!$D$2:$CW$484,98,FALSE)</f>
        <v>SUC_MEN - Sucursal Mendoza</v>
      </c>
      <c r="D816" s="13">
        <v>46213</v>
      </c>
    </row>
    <row r="817" spans="1:4" ht="14.25" customHeight="1" x14ac:dyDescent="0.3">
      <c r="A817" s="39" t="s">
        <v>49</v>
      </c>
      <c r="B817" s="39" t="s">
        <v>358</v>
      </c>
      <c r="C817" s="42" t="str">
        <f>VLOOKUP(A817,[1]Detalle!$D$2:$CW$484,98,FALSE)</f>
        <v>SUC_CTC - Sucursal Buenos Aires</v>
      </c>
      <c r="D817" s="13">
        <v>46219</v>
      </c>
    </row>
    <row r="818" spans="1:4" ht="14.25" customHeight="1" x14ac:dyDescent="0.3">
      <c r="A818" s="39" t="s">
        <v>39</v>
      </c>
      <c r="B818" s="39" t="s">
        <v>358</v>
      </c>
      <c r="C818" s="42" t="str">
        <f>VLOOKUP(A818,[1]Detalle!$D$2:$CW$484,98,FALSE)</f>
        <v>SUC_MEN - Sucursal Mendoza</v>
      </c>
      <c r="D818" s="13">
        <v>46177</v>
      </c>
    </row>
    <row r="819" spans="1:4" ht="14.25" customHeight="1" x14ac:dyDescent="0.3">
      <c r="A819" s="39" t="s">
        <v>39</v>
      </c>
      <c r="B819" s="39" t="s">
        <v>371</v>
      </c>
      <c r="C819" s="42" t="str">
        <f>VLOOKUP(A819,[1]Detalle!$D$2:$CW$484,98,FALSE)</f>
        <v>SUC_MEN - Sucursal Mendoza</v>
      </c>
      <c r="D819" s="13">
        <v>46160</v>
      </c>
    </row>
    <row r="820" spans="1:4" ht="14.25" customHeight="1" x14ac:dyDescent="0.3">
      <c r="A820" s="39" t="s">
        <v>57</v>
      </c>
      <c r="B820" s="39" t="s">
        <v>358</v>
      </c>
      <c r="C820" s="42" t="str">
        <f>VLOOKUP(A820,[1]Detalle!$D$2:$CW$484,98,FALSE)</f>
        <v>LlaveLay</v>
      </c>
      <c r="D820" s="13">
        <v>46261</v>
      </c>
    </row>
    <row r="821" spans="1:4" ht="14.25" customHeight="1" x14ac:dyDescent="0.3">
      <c r="A821" s="39" t="s">
        <v>37</v>
      </c>
      <c r="B821" s="39" t="s">
        <v>371</v>
      </c>
      <c r="C821" s="42" t="str">
        <f>VLOOKUP(A821,[1]Detalle!$D$2:$CW$484,98,FALSE)</f>
        <v>SUC_ROS - Sucursal Rosario</v>
      </c>
      <c r="D821" s="13">
        <v>46265</v>
      </c>
    </row>
    <row r="822" spans="1:4" ht="14.25" customHeight="1" x14ac:dyDescent="0.3">
      <c r="A822" s="39" t="s">
        <v>47</v>
      </c>
      <c r="B822" s="39" t="s">
        <v>371</v>
      </c>
      <c r="C822" s="42" t="str">
        <f>VLOOKUP(A822,[1]Detalle!$D$2:$CW$484,98,FALSE)</f>
        <v>SUC_MEN - Sucursal Mendoza</v>
      </c>
      <c r="D822" s="13">
        <v>46213</v>
      </c>
    </row>
    <row r="823" spans="1:4" ht="14.25" customHeight="1" x14ac:dyDescent="0.3">
      <c r="A823" s="39" t="s">
        <v>49</v>
      </c>
      <c r="B823" s="39" t="s">
        <v>371</v>
      </c>
      <c r="C823" s="42" t="str">
        <f>VLOOKUP(A823,[1]Detalle!$D$2:$CW$484,98,FALSE)</f>
        <v>SUC_CTC - Sucursal Buenos Aires</v>
      </c>
      <c r="D823" s="13">
        <v>46219</v>
      </c>
    </row>
    <row r="824" spans="1:4" ht="14.25" customHeight="1" x14ac:dyDescent="0.3">
      <c r="A824" s="39" t="s">
        <v>161</v>
      </c>
      <c r="B824" s="39" t="s">
        <v>396</v>
      </c>
      <c r="C824" s="42" t="str">
        <f>VLOOKUP(A824,[1]Detalle!$D$2:$CW$484,98,FALSE)</f>
        <v>Unilever - Unilever de Arg. S.A.</v>
      </c>
      <c r="D824" s="13">
        <v>46378</v>
      </c>
    </row>
    <row r="825" spans="1:4" ht="14.25" customHeight="1" x14ac:dyDescent="0.3">
      <c r="A825" s="39" t="s">
        <v>161</v>
      </c>
      <c r="B825" s="39" t="s">
        <v>396</v>
      </c>
      <c r="C825" s="42" t="str">
        <f>VLOOKUP(A825,[1]Detalle!$D$2:$CW$484,98,FALSE)</f>
        <v>Unilever - Unilever de Arg. S.A.</v>
      </c>
      <c r="D825" s="13">
        <v>46378</v>
      </c>
    </row>
    <row r="826" spans="1:4" ht="14.25" customHeight="1" x14ac:dyDescent="0.3">
      <c r="A826" s="39" t="s">
        <v>149</v>
      </c>
      <c r="B826" s="39" t="s">
        <v>396</v>
      </c>
      <c r="C826" s="42" t="str">
        <f>VLOOKUP(A826,[1]Detalle!$D$2:$CW$484,98,FALSE)</f>
        <v>Papelera - Papelera del Plata S.A.</v>
      </c>
      <c r="D826" s="13">
        <v>46298</v>
      </c>
    </row>
    <row r="827" spans="1:4" ht="14.25" customHeight="1" x14ac:dyDescent="0.3">
      <c r="A827" s="39" t="s">
        <v>149</v>
      </c>
      <c r="B827" s="39" t="s">
        <v>396</v>
      </c>
      <c r="C827" s="42" t="str">
        <f>VLOOKUP(A827,[1]Detalle!$D$2:$CW$484,98,FALSE)</f>
        <v>Papelera - Papelera del Plata S.A.</v>
      </c>
      <c r="D827" s="13">
        <v>46298</v>
      </c>
    </row>
    <row r="828" spans="1:4" ht="14.25" customHeight="1" x14ac:dyDescent="0.3">
      <c r="A828" s="39" t="s">
        <v>138</v>
      </c>
      <c r="B828" s="39" t="s">
        <v>396</v>
      </c>
      <c r="C828" s="42" t="str">
        <f>VLOOKUP(A828,[1]Detalle!$D$2:$CW$484,98,FALSE)</f>
        <v>SUC_MEN - Sucursal Mendoza</v>
      </c>
      <c r="D828" s="13">
        <v>46264</v>
      </c>
    </row>
    <row r="829" spans="1:4" ht="14.25" customHeight="1" x14ac:dyDescent="0.3">
      <c r="A829" s="39" t="s">
        <v>138</v>
      </c>
      <c r="B829" s="39" t="s">
        <v>396</v>
      </c>
      <c r="C829" s="42" t="str">
        <f>VLOOKUP(A829,[1]Detalle!$D$2:$CW$484,98,FALSE)</f>
        <v>SUC_MEN - Sucursal Mendoza</v>
      </c>
      <c r="D829" s="13">
        <v>46264</v>
      </c>
    </row>
    <row r="830" spans="1:4" ht="14.25" customHeight="1" x14ac:dyDescent="0.3">
      <c r="A830" s="39" t="s">
        <v>273</v>
      </c>
      <c r="B830" s="39" t="s">
        <v>396</v>
      </c>
      <c r="C830" s="42" t="str">
        <f>VLOOKUP(A830,[1]Detalle!$D$2:$CW$484,98,FALSE)</f>
        <v>CENCOMLD - Cencosud SA - Mendoza</v>
      </c>
      <c r="D830" s="13">
        <v>46182</v>
      </c>
    </row>
    <row r="831" spans="1:4" ht="14.25" customHeight="1" x14ac:dyDescent="0.3">
      <c r="A831" s="39" t="s">
        <v>273</v>
      </c>
      <c r="B831" s="39" t="s">
        <v>396</v>
      </c>
      <c r="C831" s="42" t="str">
        <f>VLOOKUP(A831,[1]Detalle!$D$2:$CW$484,98,FALSE)</f>
        <v>CENCOMLD - Cencosud SA - Mendoza</v>
      </c>
      <c r="D831" s="13">
        <v>46182</v>
      </c>
    </row>
    <row r="832" spans="1:4" ht="14.25" customHeight="1" x14ac:dyDescent="0.3">
      <c r="A832" s="39" t="s">
        <v>111</v>
      </c>
      <c r="B832" s="39" t="s">
        <v>415</v>
      </c>
      <c r="C832" s="42" t="str">
        <f>VLOOKUP(A832,[1]Detalle!$D$2:$CW$484,98,FALSE)</f>
        <v>SUC_MEN - Sucursal Mendoza</v>
      </c>
      <c r="D832" s="13">
        <v>46329</v>
      </c>
    </row>
    <row r="833" spans="1:4" ht="14.25" customHeight="1" x14ac:dyDescent="0.3">
      <c r="A833" s="39" t="s">
        <v>209</v>
      </c>
      <c r="B833" s="39" t="s">
        <v>415</v>
      </c>
      <c r="C833" s="42" t="str">
        <f>VLOOKUP(A833,[1]Detalle!$D$2:$CW$484,98,FALSE)</f>
        <v>CENCO_MZ - Cencosud SA - Mendoza</v>
      </c>
      <c r="D833" s="13">
        <v>46107</v>
      </c>
    </row>
    <row r="834" spans="1:4" ht="14.25" customHeight="1" x14ac:dyDescent="0.3">
      <c r="A834" s="39" t="s">
        <v>171</v>
      </c>
      <c r="B834" s="39" t="s">
        <v>415</v>
      </c>
      <c r="C834" s="42" t="str">
        <f>VLOOKUP(A834,[1]Detalle!$D$2:$CW$484,98,FALSE)</f>
        <v>CENCO_MZ - Cencosud SA - Mendoza</v>
      </c>
      <c r="D834" s="13">
        <v>46299</v>
      </c>
    </row>
    <row r="835" spans="1:4" ht="14.25" customHeight="1" x14ac:dyDescent="0.3">
      <c r="A835" s="39" t="s">
        <v>170</v>
      </c>
      <c r="B835" s="39" t="s">
        <v>415</v>
      </c>
      <c r="C835" s="42" t="str">
        <f>VLOOKUP(A835,[1]Detalle!$D$2:$CW$484,98,FALSE)</f>
        <v>SUC_REA - Sucursal Realicó</v>
      </c>
      <c r="D835" s="13">
        <v>46268</v>
      </c>
    </row>
    <row r="836" spans="1:4" ht="14.25" customHeight="1" x14ac:dyDescent="0.3">
      <c r="A836" s="39" t="s">
        <v>152</v>
      </c>
      <c r="B836" s="39" t="s">
        <v>415</v>
      </c>
      <c r="C836" s="42" t="str">
        <f>VLOOKUP(A836,[1]Detalle!$D$2:$CW$484,98,FALSE)</f>
        <v>SUC_REA - Sucursal Realicó</v>
      </c>
      <c r="D836" s="13">
        <v>46291</v>
      </c>
    </row>
    <row r="837" spans="1:4" ht="14.25" customHeight="1" x14ac:dyDescent="0.3">
      <c r="A837" s="39" t="s">
        <v>123</v>
      </c>
      <c r="B837" s="39" t="s">
        <v>418</v>
      </c>
      <c r="C837" s="42" t="str">
        <f>VLOOKUP(A837,[1]Detalle!$D$2:$CW$484,98,FALSE)</f>
        <v>SUC_SRA - Sucursal San Rafael</v>
      </c>
      <c r="D837" s="13">
        <v>46360</v>
      </c>
    </row>
    <row r="838" spans="1:4" ht="14.25" customHeight="1" x14ac:dyDescent="0.3">
      <c r="A838" s="39" t="s">
        <v>161</v>
      </c>
      <c r="B838" s="39" t="s">
        <v>418</v>
      </c>
      <c r="C838" s="42" t="str">
        <f>VLOOKUP(A838,[1]Detalle!$D$2:$CW$484,98,FALSE)</f>
        <v>Unilever - Unilever de Arg. S.A.</v>
      </c>
      <c r="D838" s="13">
        <v>46378</v>
      </c>
    </row>
    <row r="839" spans="1:4" ht="14.25" customHeight="1" x14ac:dyDescent="0.3">
      <c r="A839" s="39" t="s">
        <v>149</v>
      </c>
      <c r="B839" s="39" t="s">
        <v>418</v>
      </c>
      <c r="C839" s="42" t="str">
        <f>VLOOKUP(A839,[1]Detalle!$D$2:$CW$484,98,FALSE)</f>
        <v>Papelera - Papelera del Plata S.A.</v>
      </c>
      <c r="D839" s="13">
        <v>46298</v>
      </c>
    </row>
    <row r="840" spans="1:4" ht="14.25" customHeight="1" x14ac:dyDescent="0.3">
      <c r="A840" s="39" t="s">
        <v>138</v>
      </c>
      <c r="B840" s="39" t="s">
        <v>418</v>
      </c>
      <c r="C840" s="42" t="str">
        <f>VLOOKUP(A840,[1]Detalle!$D$2:$CW$484,98,FALSE)</f>
        <v>SUC_MEN - Sucursal Mendoza</v>
      </c>
      <c r="D840" s="13">
        <v>46264</v>
      </c>
    </row>
    <row r="841" spans="1:4" ht="14.25" customHeight="1" x14ac:dyDescent="0.3">
      <c r="A841" s="39" t="s">
        <v>273</v>
      </c>
      <c r="B841" s="39" t="s">
        <v>421</v>
      </c>
      <c r="C841" s="42" t="str">
        <f>VLOOKUP(A841,[1]Detalle!$D$2:$CW$484,98,FALSE)</f>
        <v>CENCOMLD - Cencosud SA - Mendoza</v>
      </c>
      <c r="D841" s="13">
        <v>46182</v>
      </c>
    </row>
    <row r="842" spans="1:4" ht="14.25" customHeight="1" x14ac:dyDescent="0.3">
      <c r="A842" s="39" t="s">
        <v>96</v>
      </c>
      <c r="B842" s="39" t="s">
        <v>428</v>
      </c>
      <c r="C842" s="42" t="str">
        <f>VLOOKUP(A842,[1]Detalle!$D$2:$CW$484,98,FALSE)</f>
        <v>CENCOMLD - Cencosud SA - Mendoza</v>
      </c>
      <c r="D842" s="13">
        <v>46190</v>
      </c>
    </row>
    <row r="843" spans="1:4" ht="14.25" customHeight="1" x14ac:dyDescent="0.3">
      <c r="A843" s="39" t="s">
        <v>96</v>
      </c>
      <c r="B843" s="39" t="s">
        <v>428</v>
      </c>
      <c r="C843" s="42" t="str">
        <f>VLOOKUP(A843,[1]Detalle!$D$2:$CW$484,98,FALSE)</f>
        <v>CENCOMLD - Cencosud SA - Mendoza</v>
      </c>
      <c r="D843" s="13">
        <v>46190</v>
      </c>
    </row>
    <row r="844" spans="1:4" ht="14.25" customHeight="1" x14ac:dyDescent="0.3">
      <c r="A844" s="39" t="s">
        <v>186</v>
      </c>
      <c r="B844" s="39" t="s">
        <v>428</v>
      </c>
      <c r="C844" s="42" t="str">
        <f>VLOOKUP(A844,[1]Detalle!$D$2:$CW$484,98,FALSE)</f>
        <v>Expreso - Servicios Troncales</v>
      </c>
      <c r="D844" s="13">
        <v>46144</v>
      </c>
    </row>
    <row r="845" spans="1:4" ht="14.25" customHeight="1" x14ac:dyDescent="0.3">
      <c r="A845" s="39" t="s">
        <v>186</v>
      </c>
      <c r="B845" s="39" t="s">
        <v>428</v>
      </c>
      <c r="C845" s="42" t="str">
        <f>VLOOKUP(A845,[1]Detalle!$D$2:$CW$484,98,FALSE)</f>
        <v>Expreso - Servicios Troncales</v>
      </c>
      <c r="D845" s="13">
        <v>46144</v>
      </c>
    </row>
    <row r="846" spans="1:4" ht="14.25" customHeight="1" x14ac:dyDescent="0.3">
      <c r="A846" s="39" t="s">
        <v>8</v>
      </c>
      <c r="B846" s="39" t="s">
        <v>436</v>
      </c>
      <c r="C846" s="42" t="str">
        <f>VLOOKUP(A846,[1]Detalle!$D$2:$CW$484,98,FALSE)</f>
        <v>ADA_CH - Danone Arg. S.A. - Chascomus</v>
      </c>
      <c r="D846" s="13">
        <v>46220</v>
      </c>
    </row>
    <row r="847" spans="1:4" ht="14.25" customHeight="1" x14ac:dyDescent="0.3">
      <c r="A847" s="39" t="s">
        <v>8</v>
      </c>
      <c r="B847" s="39" t="s">
        <v>436</v>
      </c>
      <c r="C847" s="42" t="str">
        <f>VLOOKUP(A847,[1]Detalle!$D$2:$CW$484,98,FALSE)</f>
        <v>ADA_CH - Danone Arg. S.A. - Chascomus</v>
      </c>
      <c r="D847" s="13">
        <v>46220</v>
      </c>
    </row>
    <row r="848" spans="1:4" ht="14.25" customHeight="1" x14ac:dyDescent="0.3">
      <c r="A848" s="39" t="s">
        <v>11</v>
      </c>
      <c r="B848" s="39" t="s">
        <v>436</v>
      </c>
      <c r="C848" s="42" t="str">
        <f>VLOOKUP(A848,[1]Detalle!$D$2:$CW$484,98,FALSE)</f>
        <v>ADA_CH - Danone Arg. S.A. - Chascomus</v>
      </c>
      <c r="D848" s="13">
        <v>46153</v>
      </c>
    </row>
    <row r="849" spans="1:4" ht="14.25" customHeight="1" x14ac:dyDescent="0.3">
      <c r="A849" s="39" t="s">
        <v>11</v>
      </c>
      <c r="B849" s="39" t="s">
        <v>436</v>
      </c>
      <c r="C849" s="42" t="str">
        <f>VLOOKUP(A849,[1]Detalle!$D$2:$CW$484,98,FALSE)</f>
        <v>ADA_CH - Danone Arg. S.A. - Chascomus</v>
      </c>
      <c r="D849" s="13">
        <v>46153</v>
      </c>
    </row>
    <row r="850" spans="1:4" ht="14.25" customHeight="1" x14ac:dyDescent="0.3">
      <c r="A850" s="39" t="s">
        <v>13</v>
      </c>
      <c r="B850" s="39" t="s">
        <v>436</v>
      </c>
      <c r="C850" s="42" t="str">
        <f>VLOOKUP(A850,[1]Detalle!$D$2:$CW$484,98,FALSE)</f>
        <v>ADA_CH - Danone Arg. S.A. - Chascomus</v>
      </c>
      <c r="D850" s="13">
        <v>46144</v>
      </c>
    </row>
    <row r="851" spans="1:4" ht="14.25" customHeight="1" x14ac:dyDescent="0.3">
      <c r="A851" s="39" t="s">
        <v>13</v>
      </c>
      <c r="B851" s="39" t="s">
        <v>436</v>
      </c>
      <c r="C851" s="42" t="str">
        <f>VLOOKUP(A851,[1]Detalle!$D$2:$CW$484,98,FALSE)</f>
        <v>ADA_CH - Danone Arg. S.A. - Chascomus</v>
      </c>
      <c r="D851" s="13">
        <v>46144</v>
      </c>
    </row>
    <row r="852" spans="1:4" ht="14.25" customHeight="1" x14ac:dyDescent="0.3">
      <c r="A852" s="39" t="s">
        <v>6</v>
      </c>
      <c r="B852" s="39" t="s">
        <v>436</v>
      </c>
      <c r="C852" s="42" t="str">
        <f>VLOOKUP(A852,[1]Detalle!$D$2:$CW$484,98,FALSE)</f>
        <v>ADA_CH - Danone Arg. S.A. - Chascomus</v>
      </c>
      <c r="D852" s="13">
        <v>46164</v>
      </c>
    </row>
    <row r="853" spans="1:4" ht="14.25" customHeight="1" x14ac:dyDescent="0.3">
      <c r="A853" s="39" t="s">
        <v>6</v>
      </c>
      <c r="B853" s="39" t="s">
        <v>436</v>
      </c>
      <c r="C853" s="42" t="str">
        <f>VLOOKUP(A853,[1]Detalle!$D$2:$CW$484,98,FALSE)</f>
        <v>ADA_CH - Danone Arg. S.A. - Chascomus</v>
      </c>
      <c r="D853" s="13">
        <v>46164</v>
      </c>
    </row>
    <row r="854" spans="1:4" ht="14.25" customHeight="1" x14ac:dyDescent="0.3">
      <c r="A854" s="39" t="s">
        <v>7</v>
      </c>
      <c r="B854" s="39" t="s">
        <v>436</v>
      </c>
      <c r="C854" s="42" t="str">
        <f>VLOOKUP(A854,[1]Detalle!$D$2:$CW$484,98,FALSE)</f>
        <v>ADA_CH - Danone Arg. S.A. - Chascomus</v>
      </c>
      <c r="D854" s="13">
        <v>46159</v>
      </c>
    </row>
    <row r="855" spans="1:4" ht="14.25" customHeight="1" x14ac:dyDescent="0.3">
      <c r="A855" s="39" t="s">
        <v>7</v>
      </c>
      <c r="B855" s="39" t="s">
        <v>436</v>
      </c>
      <c r="C855" s="42" t="str">
        <f>VLOOKUP(A855,[1]Detalle!$D$2:$CW$484,98,FALSE)</f>
        <v>ADA_CH - Danone Arg. S.A. - Chascomus</v>
      </c>
      <c r="D855" s="13">
        <v>46159</v>
      </c>
    </row>
    <row r="856" spans="1:4" ht="14.25" customHeight="1" x14ac:dyDescent="0.3">
      <c r="A856" s="39" t="s">
        <v>9</v>
      </c>
      <c r="B856" s="39" t="s">
        <v>436</v>
      </c>
      <c r="C856" s="42" t="str">
        <f>VLOOKUP(A856,[1]Detalle!$D$2:$CW$484,98,FALSE)</f>
        <v>ADA_CH - Danone Arg. S.A. - Chascomus</v>
      </c>
      <c r="D856" s="13">
        <v>46117</v>
      </c>
    </row>
    <row r="857" spans="1:4" ht="14.25" customHeight="1" x14ac:dyDescent="0.3">
      <c r="A857" s="39" t="s">
        <v>9</v>
      </c>
      <c r="B857" s="39" t="s">
        <v>436</v>
      </c>
      <c r="C857" s="42" t="str">
        <f>VLOOKUP(A857,[1]Detalle!$D$2:$CW$484,98,FALSE)</f>
        <v>ADA_CH - Danone Arg. S.A. - Chascomus</v>
      </c>
      <c r="D857" s="13">
        <v>46117</v>
      </c>
    </row>
    <row r="858" spans="1:4" ht="14.25" customHeight="1" x14ac:dyDescent="0.3">
      <c r="A858" s="39" t="s">
        <v>17</v>
      </c>
      <c r="B858" s="39" t="s">
        <v>436</v>
      </c>
      <c r="C858" s="42" t="str">
        <f>VLOOKUP(A858,[1]Detalle!$D$2:$CW$484,98,FALSE)</f>
        <v>Expreso - Servicios Troncales</v>
      </c>
      <c r="D858" s="13">
        <v>46104</v>
      </c>
    </row>
    <row r="859" spans="1:4" ht="14.25" customHeight="1" x14ac:dyDescent="0.3">
      <c r="A859" s="39" t="s">
        <v>17</v>
      </c>
      <c r="B859" s="39" t="s">
        <v>436</v>
      </c>
      <c r="C859" s="42" t="str">
        <f>VLOOKUP(A859,[1]Detalle!$D$2:$CW$484,98,FALSE)</f>
        <v>Expreso - Servicios Troncales</v>
      </c>
      <c r="D859" s="13">
        <v>46104</v>
      </c>
    </row>
    <row r="860" spans="1:4" ht="14.25" customHeight="1" x14ac:dyDescent="0.3">
      <c r="A860" s="39" t="s">
        <v>18</v>
      </c>
      <c r="B860" s="39" t="s">
        <v>436</v>
      </c>
      <c r="C860" s="42" t="str">
        <f>VLOOKUP(A860,[1]Detalle!$D$2:$CW$484,98,FALSE)</f>
        <v>Expreso - Servicios Troncales</v>
      </c>
      <c r="D860" s="13">
        <v>46117</v>
      </c>
    </row>
    <row r="861" spans="1:4" ht="14.25" customHeight="1" x14ac:dyDescent="0.3">
      <c r="A861" s="39" t="s">
        <v>18</v>
      </c>
      <c r="B861" s="39" t="s">
        <v>436</v>
      </c>
      <c r="C861" s="42" t="str">
        <f>VLOOKUP(A861,[1]Detalle!$D$2:$CW$484,98,FALSE)</f>
        <v>Expreso - Servicios Troncales</v>
      </c>
      <c r="D861" s="13">
        <v>46117</v>
      </c>
    </row>
    <row r="862" spans="1:4" ht="14.25" customHeight="1" x14ac:dyDescent="0.3">
      <c r="A862" s="39" t="s">
        <v>231</v>
      </c>
      <c r="B862" s="39" t="s">
        <v>436</v>
      </c>
      <c r="C862" s="42" t="str">
        <f>VLOOKUP(A862,[1]Detalle!$D$2:$CW$484,98,FALSE)</f>
        <v>Expreso - Servicios Troncales</v>
      </c>
      <c r="D862" s="13">
        <v>46192</v>
      </c>
    </row>
    <row r="863" spans="1:4" ht="14.25" customHeight="1" x14ac:dyDescent="0.3">
      <c r="A863" s="39" t="s">
        <v>231</v>
      </c>
      <c r="B863" s="39" t="s">
        <v>436</v>
      </c>
      <c r="C863" s="42" t="str">
        <f>VLOOKUP(A863,[1]Detalle!$D$2:$CW$484,98,FALSE)</f>
        <v>Expreso - Servicios Troncales</v>
      </c>
      <c r="D863" s="13">
        <v>46192</v>
      </c>
    </row>
    <row r="864" spans="1:4" ht="14.25" customHeight="1" x14ac:dyDescent="0.3">
      <c r="A864" s="40" t="s">
        <v>279</v>
      </c>
      <c r="B864" s="40" t="s">
        <v>443</v>
      </c>
      <c r="C864" s="42" t="str">
        <f>VLOOKUP(A864,[1]Detalle!$D$2:$CW$484,98,FALSE)</f>
        <v>Expreso - Servicios Troncales</v>
      </c>
      <c r="D864" s="13">
        <v>46250</v>
      </c>
    </row>
    <row r="865" spans="1:4" ht="14.25" customHeight="1" x14ac:dyDescent="0.3">
      <c r="A865" s="40" t="s">
        <v>279</v>
      </c>
      <c r="B865" s="40" t="s">
        <v>443</v>
      </c>
      <c r="C865" s="42" t="str">
        <f>VLOOKUP(A865,[1]Detalle!$D$2:$CW$484,98,FALSE)</f>
        <v>Expreso - Servicios Troncales</v>
      </c>
      <c r="D865" s="13">
        <v>46250</v>
      </c>
    </row>
    <row r="866" spans="1:4" ht="14.25" customHeight="1" x14ac:dyDescent="0.3">
      <c r="A866" s="39" t="s">
        <v>228</v>
      </c>
      <c r="B866" s="39" t="s">
        <v>443</v>
      </c>
      <c r="C866" s="42" t="str">
        <f>VLOOKUP(A866,[1]Detalle!$D$2:$CW$484,98,FALSE)</f>
        <v>Expreso - Servicios Troncales</v>
      </c>
      <c r="D866" s="13">
        <v>46204</v>
      </c>
    </row>
    <row r="867" spans="1:4" ht="14.25" customHeight="1" x14ac:dyDescent="0.3">
      <c r="A867" s="39" t="s">
        <v>228</v>
      </c>
      <c r="B867" s="39" t="s">
        <v>443</v>
      </c>
      <c r="C867" s="42" t="str">
        <f>VLOOKUP(A867,[1]Detalle!$D$2:$CW$484,98,FALSE)</f>
        <v>Expreso - Servicios Troncales</v>
      </c>
      <c r="D867" s="13">
        <v>46204</v>
      </c>
    </row>
    <row r="868" spans="1:4" ht="14.25" customHeight="1" x14ac:dyDescent="0.3">
      <c r="A868" s="39" t="s">
        <v>96</v>
      </c>
      <c r="B868" s="39" t="s">
        <v>451</v>
      </c>
      <c r="C868" s="42" t="str">
        <f>VLOOKUP(A868,[1]Detalle!$D$2:$CW$484,98,FALSE)</f>
        <v>CENCOMLD - Cencosud SA - Mendoza</v>
      </c>
      <c r="D868" s="13">
        <v>46190</v>
      </c>
    </row>
    <row r="869" spans="1:4" ht="14.25" customHeight="1" x14ac:dyDescent="0.3">
      <c r="A869" s="39" t="s">
        <v>96</v>
      </c>
      <c r="B869" s="39" t="s">
        <v>451</v>
      </c>
      <c r="C869" s="42" t="str">
        <f>VLOOKUP(A869,[1]Detalle!$D$2:$CW$484,98,FALSE)</f>
        <v>CENCOMLD - Cencosud SA - Mendoza</v>
      </c>
      <c r="D869" s="13">
        <v>46190</v>
      </c>
    </row>
    <row r="870" spans="1:4" ht="14.25" customHeight="1" x14ac:dyDescent="0.3">
      <c r="A870" s="39" t="s">
        <v>186</v>
      </c>
      <c r="B870" s="39" t="s">
        <v>451</v>
      </c>
      <c r="C870" s="42" t="str">
        <f>VLOOKUP(A870,[1]Detalle!$D$2:$CW$484,98,FALSE)</f>
        <v>Expreso - Servicios Troncales</v>
      </c>
      <c r="D870" s="13">
        <v>46144</v>
      </c>
    </row>
    <row r="871" spans="1:4" ht="14.25" customHeight="1" x14ac:dyDescent="0.3">
      <c r="A871" s="39" t="s">
        <v>186</v>
      </c>
      <c r="B871" s="39" t="s">
        <v>451</v>
      </c>
      <c r="C871" s="42" t="str">
        <f>VLOOKUP(A871,[1]Detalle!$D$2:$CW$484,98,FALSE)</f>
        <v>Expreso - Servicios Troncales</v>
      </c>
      <c r="D871" s="13">
        <v>46144</v>
      </c>
    </row>
    <row r="872" spans="1:4" ht="14.25" customHeight="1" x14ac:dyDescent="0.3">
      <c r="A872" s="39" t="s">
        <v>8</v>
      </c>
      <c r="B872" s="39" t="s">
        <v>454</v>
      </c>
      <c r="C872" s="42" t="str">
        <f>VLOOKUP(A872,[1]Detalle!$D$2:$CW$484,98,FALSE)</f>
        <v>ADA_CH - Danone Arg. S.A. - Chascomus</v>
      </c>
      <c r="D872" s="13">
        <v>46220</v>
      </c>
    </row>
    <row r="873" spans="1:4" ht="14.25" customHeight="1" x14ac:dyDescent="0.3">
      <c r="A873" s="39" t="s">
        <v>8</v>
      </c>
      <c r="B873" s="39" t="s">
        <v>454</v>
      </c>
      <c r="C873" s="42" t="str">
        <f>VLOOKUP(A873,[1]Detalle!$D$2:$CW$484,98,FALSE)</f>
        <v>ADA_CH - Danone Arg. S.A. - Chascomus</v>
      </c>
      <c r="D873" s="13">
        <v>46220</v>
      </c>
    </row>
    <row r="874" spans="1:4" ht="14.25" customHeight="1" x14ac:dyDescent="0.3">
      <c r="A874" s="39" t="s">
        <v>11</v>
      </c>
      <c r="B874" s="39" t="s">
        <v>454</v>
      </c>
      <c r="C874" s="42" t="str">
        <f>VLOOKUP(A874,[1]Detalle!$D$2:$CW$484,98,FALSE)</f>
        <v>ADA_CH - Danone Arg. S.A. - Chascomus</v>
      </c>
      <c r="D874" s="13">
        <v>46153</v>
      </c>
    </row>
    <row r="875" spans="1:4" ht="14.25" customHeight="1" x14ac:dyDescent="0.3">
      <c r="A875" s="39" t="s">
        <v>11</v>
      </c>
      <c r="B875" s="39" t="s">
        <v>454</v>
      </c>
      <c r="C875" s="42" t="str">
        <f>VLOOKUP(A875,[1]Detalle!$D$2:$CW$484,98,FALSE)</f>
        <v>ADA_CH - Danone Arg. S.A. - Chascomus</v>
      </c>
      <c r="D875" s="13">
        <v>46153</v>
      </c>
    </row>
    <row r="876" spans="1:4" ht="14.25" customHeight="1" x14ac:dyDescent="0.3">
      <c r="A876" s="39" t="s">
        <v>13</v>
      </c>
      <c r="B876" s="39" t="s">
        <v>454</v>
      </c>
      <c r="C876" s="42" t="str">
        <f>VLOOKUP(A876,[1]Detalle!$D$2:$CW$484,98,FALSE)</f>
        <v>ADA_CH - Danone Arg. S.A. - Chascomus</v>
      </c>
      <c r="D876" s="13">
        <v>46144</v>
      </c>
    </row>
    <row r="877" spans="1:4" ht="14.25" customHeight="1" x14ac:dyDescent="0.3">
      <c r="A877" s="39" t="s">
        <v>13</v>
      </c>
      <c r="B877" s="39" t="s">
        <v>454</v>
      </c>
      <c r="C877" s="42" t="str">
        <f>VLOOKUP(A877,[1]Detalle!$D$2:$CW$484,98,FALSE)</f>
        <v>ADA_CH - Danone Arg. S.A. - Chascomus</v>
      </c>
      <c r="D877" s="13">
        <v>46144</v>
      </c>
    </row>
    <row r="878" spans="1:4" ht="14.25" customHeight="1" x14ac:dyDescent="0.3">
      <c r="A878" s="39" t="s">
        <v>6</v>
      </c>
      <c r="B878" s="39" t="s">
        <v>454</v>
      </c>
      <c r="C878" s="42" t="str">
        <f>VLOOKUP(A878,[1]Detalle!$D$2:$CW$484,98,FALSE)</f>
        <v>ADA_CH - Danone Arg. S.A. - Chascomus</v>
      </c>
      <c r="D878" s="13">
        <v>46164</v>
      </c>
    </row>
    <row r="879" spans="1:4" ht="14.25" customHeight="1" x14ac:dyDescent="0.3">
      <c r="A879" s="39" t="s">
        <v>6</v>
      </c>
      <c r="B879" s="39" t="s">
        <v>454</v>
      </c>
      <c r="C879" s="42" t="str">
        <f>VLOOKUP(A879,[1]Detalle!$D$2:$CW$484,98,FALSE)</f>
        <v>ADA_CH - Danone Arg. S.A. - Chascomus</v>
      </c>
      <c r="D879" s="13">
        <v>46164</v>
      </c>
    </row>
    <row r="880" spans="1:4" ht="14.25" customHeight="1" x14ac:dyDescent="0.3">
      <c r="A880" s="39" t="s">
        <v>7</v>
      </c>
      <c r="B880" s="39" t="s">
        <v>454</v>
      </c>
      <c r="C880" s="42" t="str">
        <f>VLOOKUP(A880,[1]Detalle!$D$2:$CW$484,98,FALSE)</f>
        <v>ADA_CH - Danone Arg. S.A. - Chascomus</v>
      </c>
      <c r="D880" s="13">
        <v>46159</v>
      </c>
    </row>
    <row r="881" spans="1:4" ht="14.25" customHeight="1" x14ac:dyDescent="0.3">
      <c r="A881" s="39" t="s">
        <v>7</v>
      </c>
      <c r="B881" s="39" t="s">
        <v>454</v>
      </c>
      <c r="C881" s="42" t="str">
        <f>VLOOKUP(A881,[1]Detalle!$D$2:$CW$484,98,FALSE)</f>
        <v>ADA_CH - Danone Arg. S.A. - Chascomus</v>
      </c>
      <c r="D881" s="13">
        <v>46159</v>
      </c>
    </row>
    <row r="882" spans="1:4" ht="14.25" customHeight="1" x14ac:dyDescent="0.3">
      <c r="A882" s="39" t="s">
        <v>9</v>
      </c>
      <c r="B882" s="39" t="s">
        <v>454</v>
      </c>
      <c r="C882" s="42" t="str">
        <f>VLOOKUP(A882,[1]Detalle!$D$2:$CW$484,98,FALSE)</f>
        <v>ADA_CH - Danone Arg. S.A. - Chascomus</v>
      </c>
      <c r="D882" s="13">
        <v>46117</v>
      </c>
    </row>
    <row r="883" spans="1:4" ht="14.25" customHeight="1" x14ac:dyDescent="0.3">
      <c r="A883" s="39" t="s">
        <v>9</v>
      </c>
      <c r="B883" s="39" t="s">
        <v>454</v>
      </c>
      <c r="C883" s="42" t="str">
        <f>VLOOKUP(A883,[1]Detalle!$D$2:$CW$484,98,FALSE)</f>
        <v>ADA_CH - Danone Arg. S.A. - Chascomus</v>
      </c>
      <c r="D883" s="13">
        <v>46117</v>
      </c>
    </row>
    <row r="884" spans="1:4" ht="14.25" customHeight="1" x14ac:dyDescent="0.3">
      <c r="A884" s="39" t="s">
        <v>17</v>
      </c>
      <c r="B884" s="39" t="s">
        <v>454</v>
      </c>
      <c r="C884" s="42" t="str">
        <f>VLOOKUP(A884,[1]Detalle!$D$2:$CW$484,98,FALSE)</f>
        <v>Expreso - Servicios Troncales</v>
      </c>
      <c r="D884" s="13">
        <v>46104</v>
      </c>
    </row>
    <row r="885" spans="1:4" ht="14.25" customHeight="1" x14ac:dyDescent="0.3">
      <c r="A885" s="39" t="s">
        <v>17</v>
      </c>
      <c r="B885" s="39" t="s">
        <v>454</v>
      </c>
      <c r="C885" s="42" t="str">
        <f>VLOOKUP(A885,[1]Detalle!$D$2:$CW$484,98,FALSE)</f>
        <v>Expreso - Servicios Troncales</v>
      </c>
      <c r="D885" s="13">
        <v>46104</v>
      </c>
    </row>
    <row r="886" spans="1:4" ht="14.25" customHeight="1" x14ac:dyDescent="0.3">
      <c r="A886" s="39" t="s">
        <v>18</v>
      </c>
      <c r="B886" s="39" t="s">
        <v>454</v>
      </c>
      <c r="C886" s="42" t="str">
        <f>VLOOKUP(A886,[1]Detalle!$D$2:$CW$484,98,FALSE)</f>
        <v>Expreso - Servicios Troncales</v>
      </c>
      <c r="D886" s="13">
        <v>46117</v>
      </c>
    </row>
    <row r="887" spans="1:4" ht="14.25" customHeight="1" x14ac:dyDescent="0.3">
      <c r="A887" s="39" t="s">
        <v>18</v>
      </c>
      <c r="B887" s="39" t="s">
        <v>454</v>
      </c>
      <c r="C887" s="42" t="str">
        <f>VLOOKUP(A887,[1]Detalle!$D$2:$CW$484,98,FALSE)</f>
        <v>Expreso - Servicios Troncales</v>
      </c>
      <c r="D887" s="13">
        <v>46117</v>
      </c>
    </row>
    <row r="888" spans="1:4" ht="14.25" customHeight="1" x14ac:dyDescent="0.3">
      <c r="A888" s="39" t="s">
        <v>231</v>
      </c>
      <c r="B888" s="39" t="s">
        <v>454</v>
      </c>
      <c r="C888" s="42" t="str">
        <f>VLOOKUP(A888,[1]Detalle!$D$2:$CW$484,98,FALSE)</f>
        <v>Expreso - Servicios Troncales</v>
      </c>
      <c r="D888" s="13">
        <v>46192</v>
      </c>
    </row>
    <row r="889" spans="1:4" ht="14.25" customHeight="1" x14ac:dyDescent="0.3">
      <c r="A889" s="39" t="s">
        <v>231</v>
      </c>
      <c r="B889" s="39" t="s">
        <v>454</v>
      </c>
      <c r="C889" s="42" t="str">
        <f>VLOOKUP(A889,[1]Detalle!$D$2:$CW$484,98,FALSE)</f>
        <v>Expreso - Servicios Troncales</v>
      </c>
      <c r="D889" s="13">
        <v>46192</v>
      </c>
    </row>
    <row r="890" spans="1:4" ht="14.25" customHeight="1" x14ac:dyDescent="0.3">
      <c r="A890" s="40" t="s">
        <v>279</v>
      </c>
      <c r="B890" s="40" t="s">
        <v>457</v>
      </c>
      <c r="C890" s="42" t="str">
        <f>VLOOKUP(A890,[1]Detalle!$D$2:$CW$484,98,FALSE)</f>
        <v>Expreso - Servicios Troncales</v>
      </c>
      <c r="D890" s="13">
        <v>46250</v>
      </c>
    </row>
    <row r="891" spans="1:4" ht="14.25" customHeight="1" x14ac:dyDescent="0.3">
      <c r="A891" s="40" t="s">
        <v>279</v>
      </c>
      <c r="B891" s="40" t="s">
        <v>457</v>
      </c>
      <c r="C891" s="42" t="str">
        <f>VLOOKUP(A891,[1]Detalle!$D$2:$CW$484,98,FALSE)</f>
        <v>Expreso - Servicios Troncales</v>
      </c>
      <c r="D891" s="13">
        <v>46250</v>
      </c>
    </row>
    <row r="892" spans="1:4" ht="14.25" customHeight="1" x14ac:dyDescent="0.3">
      <c r="A892" s="39" t="s">
        <v>228</v>
      </c>
      <c r="B892" s="39" t="s">
        <v>457</v>
      </c>
      <c r="C892" s="42" t="str">
        <f>VLOOKUP(A892,[1]Detalle!$D$2:$CW$484,98,FALSE)</f>
        <v>Expreso - Servicios Troncales</v>
      </c>
      <c r="D892" s="13">
        <v>46204</v>
      </c>
    </row>
    <row r="893" spans="1:4" ht="14.25" customHeight="1" x14ac:dyDescent="0.3">
      <c r="A893" s="39" t="s">
        <v>228</v>
      </c>
      <c r="B893" s="39" t="s">
        <v>457</v>
      </c>
      <c r="C893" s="42" t="str">
        <f>VLOOKUP(A893,[1]Detalle!$D$2:$CW$484,98,FALSE)</f>
        <v>Expreso - Servicios Troncales</v>
      </c>
      <c r="D893" s="13">
        <v>46204</v>
      </c>
    </row>
    <row r="894" spans="1:4" ht="14.25" customHeight="1" x14ac:dyDescent="0.3">
      <c r="A894" s="39" t="s">
        <v>96</v>
      </c>
      <c r="B894" s="39" t="s">
        <v>467</v>
      </c>
      <c r="C894" s="42" t="str">
        <f>VLOOKUP(A894,[1]Detalle!$D$2:$CW$484,98,FALSE)</f>
        <v>CENCOMLD - Cencosud SA - Mendoza</v>
      </c>
      <c r="D894" s="13">
        <v>46190</v>
      </c>
    </row>
    <row r="895" spans="1:4" ht="14.25" customHeight="1" x14ac:dyDescent="0.3">
      <c r="A895" s="39" t="s">
        <v>186</v>
      </c>
      <c r="B895" s="39" t="s">
        <v>467</v>
      </c>
      <c r="C895" s="42" t="str">
        <f>VLOOKUP(A895,[1]Detalle!$D$2:$CW$484,98,FALSE)</f>
        <v>Expreso - Servicios Troncales</v>
      </c>
      <c r="D895" s="13">
        <v>46144</v>
      </c>
    </row>
    <row r="896" spans="1:4" ht="14.25" customHeight="1" x14ac:dyDescent="0.3">
      <c r="A896" s="39" t="s">
        <v>8</v>
      </c>
      <c r="B896" s="39" t="s">
        <v>468</v>
      </c>
      <c r="C896" s="42" t="str">
        <f>VLOOKUP(A896,[1]Detalle!$D$2:$CW$484,98,FALSE)</f>
        <v>ADA_CH - Danone Arg. S.A. - Chascomus</v>
      </c>
      <c r="D896" s="13">
        <v>46220</v>
      </c>
    </row>
    <row r="897" spans="1:4" ht="14.25" customHeight="1" x14ac:dyDescent="0.3">
      <c r="A897" s="39" t="s">
        <v>11</v>
      </c>
      <c r="B897" s="39" t="s">
        <v>468</v>
      </c>
      <c r="C897" s="42" t="str">
        <f>VLOOKUP(A897,[1]Detalle!$D$2:$CW$484,98,FALSE)</f>
        <v>ADA_CH - Danone Arg. S.A. - Chascomus</v>
      </c>
      <c r="D897" s="13">
        <v>46153</v>
      </c>
    </row>
    <row r="898" spans="1:4" ht="14.25" customHeight="1" x14ac:dyDescent="0.3">
      <c r="A898" s="39" t="s">
        <v>13</v>
      </c>
      <c r="B898" s="39" t="s">
        <v>468</v>
      </c>
      <c r="C898" s="42" t="str">
        <f>VLOOKUP(A898,[1]Detalle!$D$2:$CW$484,98,FALSE)</f>
        <v>ADA_CH - Danone Arg. S.A. - Chascomus</v>
      </c>
      <c r="D898" s="13">
        <v>46144</v>
      </c>
    </row>
    <row r="899" spans="1:4" ht="14.25" customHeight="1" x14ac:dyDescent="0.3">
      <c r="A899" s="39" t="s">
        <v>6</v>
      </c>
      <c r="B899" s="39" t="s">
        <v>468</v>
      </c>
      <c r="C899" s="42" t="str">
        <f>VLOOKUP(A899,[1]Detalle!$D$2:$CW$484,98,FALSE)</f>
        <v>ADA_CH - Danone Arg. S.A. - Chascomus</v>
      </c>
      <c r="D899" s="13">
        <v>46164</v>
      </c>
    </row>
    <row r="900" spans="1:4" ht="14.25" customHeight="1" x14ac:dyDescent="0.3">
      <c r="A900" s="39" t="s">
        <v>7</v>
      </c>
      <c r="B900" s="39" t="s">
        <v>468</v>
      </c>
      <c r="C900" s="42" t="str">
        <f>VLOOKUP(A900,[1]Detalle!$D$2:$CW$484,98,FALSE)</f>
        <v>ADA_CH - Danone Arg. S.A. - Chascomus</v>
      </c>
      <c r="D900" s="13">
        <v>46159</v>
      </c>
    </row>
    <row r="901" spans="1:4" ht="14.25" customHeight="1" x14ac:dyDescent="0.3">
      <c r="A901" s="39" t="s">
        <v>9</v>
      </c>
      <c r="B901" s="39" t="s">
        <v>468</v>
      </c>
      <c r="C901" s="42" t="str">
        <f>VLOOKUP(A901,[1]Detalle!$D$2:$CW$484,98,FALSE)</f>
        <v>ADA_CH - Danone Arg. S.A. - Chascomus</v>
      </c>
      <c r="D901" s="13">
        <v>46117</v>
      </c>
    </row>
    <row r="902" spans="1:4" ht="14.25" customHeight="1" x14ac:dyDescent="0.3">
      <c r="A902" s="39" t="s">
        <v>17</v>
      </c>
      <c r="B902" s="39" t="s">
        <v>468</v>
      </c>
      <c r="C902" s="42" t="str">
        <f>VLOOKUP(A902,[1]Detalle!$D$2:$CW$484,98,FALSE)</f>
        <v>Expreso - Servicios Troncales</v>
      </c>
      <c r="D902" s="13">
        <v>46104</v>
      </c>
    </row>
    <row r="903" spans="1:4" ht="14.25" customHeight="1" x14ac:dyDescent="0.3">
      <c r="A903" s="39" t="s">
        <v>18</v>
      </c>
      <c r="B903" s="39" t="s">
        <v>468</v>
      </c>
      <c r="C903" s="42" t="str">
        <f>VLOOKUP(A903,[1]Detalle!$D$2:$CW$484,98,FALSE)</f>
        <v>Expreso - Servicios Troncales</v>
      </c>
      <c r="D903" s="13">
        <v>46117</v>
      </c>
    </row>
    <row r="904" spans="1:4" ht="14.25" customHeight="1" x14ac:dyDescent="0.3">
      <c r="A904" s="39" t="s">
        <v>231</v>
      </c>
      <c r="B904" s="39" t="s">
        <v>468</v>
      </c>
      <c r="C904" s="42" t="str">
        <f>VLOOKUP(A904,[1]Detalle!$D$2:$CW$484,98,FALSE)</f>
        <v>Expreso - Servicios Troncales</v>
      </c>
      <c r="D904" s="13">
        <v>46192</v>
      </c>
    </row>
    <row r="905" spans="1:4" ht="14.25" customHeight="1" x14ac:dyDescent="0.3">
      <c r="A905" s="40" t="s">
        <v>279</v>
      </c>
      <c r="B905" s="40" t="s">
        <v>471</v>
      </c>
      <c r="C905" s="42" t="str">
        <f>VLOOKUP(A905,[1]Detalle!$D$2:$CW$484,98,FALSE)</f>
        <v>Expreso - Servicios Troncales</v>
      </c>
      <c r="D905" s="13">
        <v>46250</v>
      </c>
    </row>
    <row r="906" spans="1:4" ht="14.25" customHeight="1" x14ac:dyDescent="0.3">
      <c r="A906" s="39" t="s">
        <v>228</v>
      </c>
      <c r="B906" s="39" t="s">
        <v>471</v>
      </c>
      <c r="C906" s="42" t="str">
        <f>VLOOKUP(A906,[1]Detalle!$D$2:$CW$484,98,FALSE)</f>
        <v>Expreso - Servicios Troncales</v>
      </c>
      <c r="D906" s="13">
        <v>46204</v>
      </c>
    </row>
    <row r="907" spans="1:4" ht="14.25" customHeight="1" x14ac:dyDescent="0.3">
      <c r="A907" s="39" t="s">
        <v>105</v>
      </c>
      <c r="B907" s="39" t="s">
        <v>328</v>
      </c>
      <c r="C907" s="42" t="str">
        <f>VLOOKUP(A907,[1]Detalle!$D$2:$CW$484,98,FALSE)</f>
        <v>SUC_MAL - Sucursal Malargüe</v>
      </c>
      <c r="D907" s="13">
        <v>46042</v>
      </c>
    </row>
    <row r="908" spans="1:4" ht="14.25" customHeight="1" x14ac:dyDescent="0.3">
      <c r="A908" s="39" t="s">
        <v>38</v>
      </c>
      <c r="B908" s="39" t="s">
        <v>328</v>
      </c>
      <c r="C908" s="42" t="str">
        <f>VLOOKUP(A908,[1]Detalle!$D$2:$CW$484,98,FALSE)</f>
        <v>SUC_SRA - Sucursal San Rafael</v>
      </c>
      <c r="D908" s="13">
        <v>46044</v>
      </c>
    </row>
    <row r="909" spans="1:4" ht="14.25" customHeight="1" x14ac:dyDescent="0.3">
      <c r="A909" s="39" t="s">
        <v>74</v>
      </c>
      <c r="B909" s="39" t="s">
        <v>328</v>
      </c>
      <c r="C909" s="42" t="str">
        <f>VLOOKUP(A909,[1]Detalle!$D$2:$CW$484,98,FALSE)</f>
        <v>CENCO_MZ - Cencosud SA - Mendoza</v>
      </c>
      <c r="D909" s="13">
        <v>46046</v>
      </c>
    </row>
    <row r="910" spans="1:4" ht="14.25" customHeight="1" x14ac:dyDescent="0.3">
      <c r="A910" s="39" t="s">
        <v>172</v>
      </c>
      <c r="B910" s="39" t="s">
        <v>328</v>
      </c>
      <c r="C910" s="42" t="str">
        <f>VLOOKUP(A910,[1]Detalle!$D$2:$CW$484,98,FALSE)</f>
        <v>CENCO_MZ - Cencosud SA - Mendoza</v>
      </c>
      <c r="D910" s="13">
        <v>46053</v>
      </c>
    </row>
    <row r="911" spans="1:4" ht="14.25" customHeight="1" x14ac:dyDescent="0.3">
      <c r="A911" s="39" t="s">
        <v>152</v>
      </c>
      <c r="B911" s="39" t="s">
        <v>328</v>
      </c>
      <c r="C911" s="42" t="str">
        <f>VLOOKUP(A911,[1]Detalle!$D$2:$CW$484,98,FALSE)</f>
        <v>SUC_REA - Sucursal Realicó</v>
      </c>
      <c r="D911" s="13">
        <v>46058</v>
      </c>
    </row>
    <row r="912" spans="1:4" ht="14.25" customHeight="1" x14ac:dyDescent="0.3">
      <c r="A912" s="39" t="s">
        <v>243</v>
      </c>
      <c r="B912" s="39" t="s">
        <v>328</v>
      </c>
      <c r="C912" s="42" t="str">
        <f>VLOOKUP(A912,[1]Detalle!$D$2:$CW$484,98,FALSE)</f>
        <v>CMQ_TTE - QUILMES TTE</v>
      </c>
      <c r="D912" s="13">
        <v>46064</v>
      </c>
    </row>
    <row r="913" spans="1:4" ht="14.25" customHeight="1" x14ac:dyDescent="0.3">
      <c r="A913" s="39" t="s">
        <v>258</v>
      </c>
      <c r="B913" s="39" t="s">
        <v>328</v>
      </c>
      <c r="C913" s="42" t="str">
        <f>VLOOKUP(A913,[1]Detalle!$D$2:$CW$484,98,FALSE)</f>
        <v>CCUDyAZA</v>
      </c>
      <c r="D913" s="13">
        <v>46087</v>
      </c>
    </row>
    <row r="914" spans="1:4" ht="14.25" customHeight="1" x14ac:dyDescent="0.3">
      <c r="A914" s="39" t="s">
        <v>280</v>
      </c>
      <c r="B914" s="39" t="s">
        <v>328</v>
      </c>
      <c r="C914" s="42" t="str">
        <f>VLOOKUP(A914,[1]Detalle!$D$2:$CW$484,98,FALSE)</f>
        <v>Expreso - Servicios Troncales</v>
      </c>
      <c r="D914" s="13">
        <v>46100</v>
      </c>
    </row>
    <row r="915" spans="1:4" ht="14.25" customHeight="1" x14ac:dyDescent="0.3">
      <c r="A915" s="39" t="s">
        <v>205</v>
      </c>
      <c r="B915" s="39" t="s">
        <v>328</v>
      </c>
      <c r="C915" s="42" t="str">
        <f>VLOOKUP(A915,[1]Detalle!$D$2:$CW$484,98,FALSE)</f>
        <v>CCUCoAZA</v>
      </c>
      <c r="D915" s="13">
        <v>46100</v>
      </c>
    </row>
    <row r="916" spans="1:4" ht="14.25" customHeight="1" x14ac:dyDescent="0.3">
      <c r="A916" s="39" t="s">
        <v>272</v>
      </c>
      <c r="B916" s="39" t="s">
        <v>328</v>
      </c>
      <c r="C916" s="42" t="str">
        <f>VLOOKUP(A916,[1]Detalle!$D$2:$CW$484,98,FALSE)</f>
        <v>CCUDyAZA</v>
      </c>
      <c r="D916" s="13">
        <v>46099</v>
      </c>
    </row>
    <row r="917" spans="1:4" ht="14.25" customHeight="1" x14ac:dyDescent="0.3">
      <c r="A917" s="39" t="s">
        <v>114</v>
      </c>
      <c r="B917" s="39" t="s">
        <v>328</v>
      </c>
      <c r="C917" s="42" t="str">
        <f>VLOOKUP(A917,[1]Detalle!$D$2:$CW$484,98,FALSE)</f>
        <v>Sin Operación</v>
      </c>
      <c r="D917" s="13">
        <v>46106</v>
      </c>
    </row>
    <row r="918" spans="1:4" ht="14.25" customHeight="1" x14ac:dyDescent="0.3">
      <c r="A918" s="39" t="s">
        <v>166</v>
      </c>
      <c r="B918" s="39" t="s">
        <v>328</v>
      </c>
      <c r="C918" s="42" t="str">
        <f>VLOOKUP(A918,[1]Detalle!$D$2:$CW$484,98,FALSE)</f>
        <v>CCUCoAZA</v>
      </c>
      <c r="D918" s="13">
        <v>46102</v>
      </c>
    </row>
    <row r="919" spans="1:4" ht="14.25" customHeight="1" x14ac:dyDescent="0.3">
      <c r="A919" s="39" t="s">
        <v>258</v>
      </c>
      <c r="B919" s="39" t="s">
        <v>328</v>
      </c>
      <c r="C919" s="42" t="str">
        <f>VLOOKUP(A919,[1]Detalle!$D$2:$CW$484,98,FALSE)</f>
        <v>CCUDyAZA</v>
      </c>
      <c r="D919" s="13">
        <v>46109</v>
      </c>
    </row>
    <row r="920" spans="1:4" ht="14.25" customHeight="1" x14ac:dyDescent="0.3">
      <c r="A920" s="39" t="s">
        <v>204</v>
      </c>
      <c r="B920" s="39" t="s">
        <v>328</v>
      </c>
      <c r="C920" s="42" t="str">
        <f>VLOOKUP(A920,[1]Detalle!$D$2:$CW$484,98,FALSE)</f>
        <v>CCUCoAZA</v>
      </c>
      <c r="D920" s="13">
        <v>46108</v>
      </c>
    </row>
    <row r="921" spans="1:4" ht="14.25" customHeight="1" x14ac:dyDescent="0.3">
      <c r="A921" s="39" t="s">
        <v>271</v>
      </c>
      <c r="B921" s="39" t="s">
        <v>328</v>
      </c>
      <c r="C921" s="42" t="str">
        <f>VLOOKUP(A921,[1]Detalle!$D$2:$CW$484,98,FALSE)</f>
        <v>CCUDyAZA</v>
      </c>
      <c r="D921" s="13">
        <v>46108</v>
      </c>
    </row>
    <row r="922" spans="1:4" ht="14.25" customHeight="1" x14ac:dyDescent="0.3">
      <c r="A922" s="39" t="s">
        <v>128</v>
      </c>
      <c r="B922" s="39" t="s">
        <v>328</v>
      </c>
      <c r="C922" s="42" t="str">
        <f>VLOOKUP(A922,[1]Detalle!$D$2:$CW$484,98,FALSE)</f>
        <v>Arcor S.A.I.C.</v>
      </c>
      <c r="D922" s="13">
        <v>46108</v>
      </c>
    </row>
    <row r="923" spans="1:4" ht="14.25" customHeight="1" x14ac:dyDescent="0.3">
      <c r="A923" s="39" t="s">
        <v>182</v>
      </c>
      <c r="B923" s="39" t="s">
        <v>328</v>
      </c>
      <c r="C923" s="42" t="str">
        <f>VLOOKUP(A923,[1]Detalle!$D$2:$CW$484,98,FALSE)</f>
        <v>CCU_MZA - Comp. Cerv. Unidas - MZA</v>
      </c>
      <c r="D923" s="13">
        <v>46113</v>
      </c>
    </row>
    <row r="924" spans="1:4" ht="14.25" customHeight="1" x14ac:dyDescent="0.3">
      <c r="A924" s="39" t="s">
        <v>185</v>
      </c>
      <c r="B924" s="39" t="s">
        <v>328</v>
      </c>
      <c r="C924" s="42" t="str">
        <f>VLOOKUP(A924,[1]Detalle!$D$2:$CW$484,98,FALSE)</f>
        <v>CENCO_SJ - Cencosud SA - San Juan</v>
      </c>
      <c r="D924" s="13">
        <v>46113</v>
      </c>
    </row>
    <row r="925" spans="1:4" ht="14.25" customHeight="1" x14ac:dyDescent="0.3">
      <c r="A925" s="39" t="s">
        <v>272</v>
      </c>
      <c r="B925" s="39" t="s">
        <v>328</v>
      </c>
      <c r="C925" s="42" t="str">
        <f>VLOOKUP(A925,[1]Detalle!$D$2:$CW$484,98,FALSE)</f>
        <v>CCUDyAZA</v>
      </c>
      <c r="D925" s="13">
        <v>46115</v>
      </c>
    </row>
    <row r="926" spans="1:4" ht="14.25" customHeight="1" x14ac:dyDescent="0.3">
      <c r="A926" s="39" t="s">
        <v>54</v>
      </c>
      <c r="B926" s="39" t="s">
        <v>400</v>
      </c>
      <c r="C926" s="42" t="str">
        <f>VLOOKUP(A926,[1]Detalle!$D$2:$CW$484,98,FALSE)</f>
        <v>CMQ_TTE - QUILMES TTE</v>
      </c>
      <c r="D926" s="13">
        <v>46134</v>
      </c>
    </row>
    <row r="927" spans="1:4" ht="14.25" customHeight="1" x14ac:dyDescent="0.3">
      <c r="A927" s="39" t="s">
        <v>192</v>
      </c>
      <c r="B927" s="39" t="s">
        <v>328</v>
      </c>
      <c r="C927" s="42" t="str">
        <f>VLOOKUP(A927,[1]Detalle!$D$2:$CW$484,98,FALSE)</f>
        <v>Sin Operación</v>
      </c>
      <c r="D927" s="13">
        <v>46136</v>
      </c>
    </row>
    <row r="928" spans="1:4" ht="14.25" customHeight="1" x14ac:dyDescent="0.3">
      <c r="A928" s="39" t="s">
        <v>76</v>
      </c>
      <c r="B928" s="39" t="s">
        <v>328</v>
      </c>
      <c r="C928" s="42" t="str">
        <f>VLOOKUP(A928,[1]Detalle!$D$2:$CW$484,98,FALSE)</f>
        <v>CCU_MZA - Comp. Cerv. Unidas - MZA</v>
      </c>
      <c r="D928" s="13">
        <v>46150</v>
      </c>
    </row>
    <row r="929" spans="1:4" ht="14.25" customHeight="1" x14ac:dyDescent="0.3">
      <c r="A929" s="39" t="s">
        <v>268</v>
      </c>
      <c r="B929" s="39" t="s">
        <v>328</v>
      </c>
      <c r="C929" s="42" t="str">
        <f>VLOOKUP(A929,[1]Detalle!$D$2:$CW$484,98,FALSE)</f>
        <v>CCUDyAZA</v>
      </c>
      <c r="D929" s="13">
        <v>46150</v>
      </c>
    </row>
    <row r="930" spans="1:4" ht="14.25" customHeight="1" x14ac:dyDescent="0.3">
      <c r="A930" s="39" t="s">
        <v>266</v>
      </c>
      <c r="B930" s="39" t="s">
        <v>328</v>
      </c>
      <c r="C930" s="42" t="str">
        <f>VLOOKUP(A930,[1]Detalle!$D$2:$CW$484,98,FALSE)</f>
        <v>CCUDyAZA</v>
      </c>
      <c r="D930" s="13">
        <v>46151</v>
      </c>
    </row>
    <row r="931" spans="1:4" ht="14.25" customHeight="1" x14ac:dyDescent="0.3">
      <c r="A931" s="39" t="s">
        <v>15</v>
      </c>
      <c r="B931" s="39" t="s">
        <v>328</v>
      </c>
      <c r="C931" s="42" t="str">
        <f>VLOOKUP(A931,[1]Detalle!$D$2:$CW$484,98,FALSE)</f>
        <v>CENCOMLD - Cencosud SA - Mendoza</v>
      </c>
      <c r="D931" s="13">
        <v>46154</v>
      </c>
    </row>
    <row r="932" spans="1:4" ht="14.25" customHeight="1" x14ac:dyDescent="0.3">
      <c r="A932" s="39" t="s">
        <v>237</v>
      </c>
      <c r="B932" s="39" t="s">
        <v>328</v>
      </c>
      <c r="C932" s="42" t="str">
        <f>VLOOKUP(A932,[1]Detalle!$D$2:$CW$484,98,FALSE)</f>
        <v>CENCOMLD - Cencosud SA - Mendoza</v>
      </c>
      <c r="D932" s="13">
        <v>46155</v>
      </c>
    </row>
    <row r="933" spans="1:4" ht="14.25" customHeight="1" x14ac:dyDescent="0.3">
      <c r="A933" s="39" t="s">
        <v>235</v>
      </c>
      <c r="B933" s="39" t="s">
        <v>328</v>
      </c>
      <c r="C933" s="42" t="str">
        <f>VLOOKUP(A933,[1]Detalle!$D$2:$CW$484,98,FALSE)</f>
        <v>CENCOMLD - Cencosud SA - Mendoza</v>
      </c>
      <c r="D933" s="13">
        <v>46162</v>
      </c>
    </row>
    <row r="934" spans="1:4" ht="14.25" customHeight="1" x14ac:dyDescent="0.3">
      <c r="A934" s="39" t="s">
        <v>227</v>
      </c>
      <c r="B934" s="39" t="s">
        <v>328</v>
      </c>
      <c r="C934" s="42" t="str">
        <f>VLOOKUP(A934,[1]Detalle!$D$2:$CW$484,98,FALSE)</f>
        <v>CCUCoAZA</v>
      </c>
      <c r="D934" s="13">
        <v>46158</v>
      </c>
    </row>
    <row r="935" spans="1:4" ht="14.25" customHeight="1" x14ac:dyDescent="0.3">
      <c r="A935" s="39" t="s">
        <v>269</v>
      </c>
      <c r="B935" s="39" t="s">
        <v>328</v>
      </c>
      <c r="C935" s="42" t="str">
        <f>VLOOKUP(A935,[1]Detalle!$D$2:$CW$484,98,FALSE)</f>
        <v>CCUDyAZA</v>
      </c>
      <c r="D935" s="13">
        <v>46164</v>
      </c>
    </row>
    <row r="936" spans="1:4" ht="14.25" customHeight="1" x14ac:dyDescent="0.3">
      <c r="A936" s="39" t="s">
        <v>203</v>
      </c>
      <c r="B936" s="39" t="s">
        <v>328</v>
      </c>
      <c r="C936" s="42" t="str">
        <f>VLOOKUP(A936,[1]Detalle!$D$2:$CW$484,98,FALSE)</f>
        <v>CCUDyAZA</v>
      </c>
      <c r="D936" s="13">
        <v>46164</v>
      </c>
    </row>
    <row r="937" spans="1:4" ht="14.25" customHeight="1" x14ac:dyDescent="0.3">
      <c r="A937" s="39" t="s">
        <v>130</v>
      </c>
      <c r="B937" s="39" t="s">
        <v>328</v>
      </c>
      <c r="C937" s="42" t="str">
        <f>VLOOKUP(A937,[1]Detalle!$D$2:$CW$484,98,FALSE)</f>
        <v>CMQ_TTE - QUILMES TTE</v>
      </c>
      <c r="D937" s="13">
        <v>46165</v>
      </c>
    </row>
    <row r="938" spans="1:4" ht="14.25" customHeight="1" x14ac:dyDescent="0.3">
      <c r="A938" s="39" t="s">
        <v>55</v>
      </c>
      <c r="B938" s="39" t="s">
        <v>328</v>
      </c>
      <c r="C938" s="42" t="str">
        <f>VLOOKUP(A938,[1]Detalle!$D$2:$CW$484,98,FALSE)</f>
        <v>CMQ_TTE - QUILMES TTE</v>
      </c>
      <c r="D938" s="13">
        <v>46165</v>
      </c>
    </row>
    <row r="939" spans="1:4" ht="14.25" customHeight="1" x14ac:dyDescent="0.3">
      <c r="A939" s="39" t="s">
        <v>198</v>
      </c>
      <c r="B939" s="39" t="s">
        <v>328</v>
      </c>
      <c r="C939" s="42" t="str">
        <f>VLOOKUP(A939,[1]Detalle!$D$2:$CW$484,98,FALSE)</f>
        <v>CCUCoAZA</v>
      </c>
      <c r="D939" s="13">
        <v>46166</v>
      </c>
    </row>
    <row r="940" spans="1:4" ht="14.25" customHeight="1" x14ac:dyDescent="0.3">
      <c r="A940" s="39" t="s">
        <v>212</v>
      </c>
      <c r="B940" s="39" t="s">
        <v>328</v>
      </c>
      <c r="C940" s="42" t="str">
        <f>VLOOKUP(A940,[1]Detalle!$D$2:$CW$484,98,FALSE)</f>
        <v>Sin Operación</v>
      </c>
      <c r="D940" s="13">
        <v>46168</v>
      </c>
    </row>
    <row r="941" spans="1:4" ht="14.25" customHeight="1" x14ac:dyDescent="0.3">
      <c r="A941" s="39" t="s">
        <v>14</v>
      </c>
      <c r="B941" s="39" t="s">
        <v>328</v>
      </c>
      <c r="C941" s="42" t="str">
        <f>VLOOKUP(A941,[1]Detalle!$D$2:$CW$484,98,FALSE)</f>
        <v>ADA_CH - Danone Arg. S.A. - Chascomus</v>
      </c>
      <c r="D941" s="13">
        <v>46168</v>
      </c>
    </row>
    <row r="942" spans="1:4" ht="14.25" customHeight="1" x14ac:dyDescent="0.3">
      <c r="A942" s="39" t="s">
        <v>259</v>
      </c>
      <c r="B942" s="39" t="s">
        <v>328</v>
      </c>
      <c r="C942" s="42" t="str">
        <f>VLOOKUP(A942,[1]Detalle!$D$2:$CW$484,98,FALSE)</f>
        <v>CCUDyAZA</v>
      </c>
      <c r="D942" s="13">
        <v>46177</v>
      </c>
    </row>
    <row r="943" spans="1:4" ht="14.25" customHeight="1" x14ac:dyDescent="0.3">
      <c r="A943" s="39" t="s">
        <v>73</v>
      </c>
      <c r="B943" s="39" t="s">
        <v>328</v>
      </c>
      <c r="C943" s="42" t="str">
        <f>VLOOKUP(A943,[1]Detalle!$D$2:$CW$484,98,FALSE)</f>
        <v>CMQ_TTE - QUILMES TTE</v>
      </c>
      <c r="D943" s="13">
        <v>46179</v>
      </c>
    </row>
    <row r="944" spans="1:4" ht="14.25" customHeight="1" x14ac:dyDescent="0.3">
      <c r="A944" s="39" t="s">
        <v>245</v>
      </c>
      <c r="B944" s="39" t="s">
        <v>328</v>
      </c>
      <c r="C944" s="42" t="str">
        <f>VLOOKUP(A944,[1]Detalle!$D$2:$CW$484,98,FALSE)</f>
        <v>CMQ_TTE - QUILMES TTE</v>
      </c>
      <c r="D944" s="13">
        <v>46182</v>
      </c>
    </row>
    <row r="945" spans="1:4" ht="14.25" customHeight="1" x14ac:dyDescent="0.3">
      <c r="A945" s="39" t="s">
        <v>222</v>
      </c>
      <c r="B945" s="39" t="s">
        <v>328</v>
      </c>
      <c r="C945" s="42" t="str">
        <f>VLOOKUP(A945,[1]Detalle!$D$2:$CW$484,98,FALSE)</f>
        <v>Sin Operación</v>
      </c>
      <c r="D945" s="13">
        <v>46185</v>
      </c>
    </row>
    <row r="946" spans="1:4" ht="14.25" customHeight="1" x14ac:dyDescent="0.3">
      <c r="A946" s="39" t="s">
        <v>173</v>
      </c>
      <c r="B946" s="39" t="s">
        <v>328</v>
      </c>
      <c r="C946" s="42" t="str">
        <f>VLOOKUP(A946,[1]Detalle!$D$2:$CW$484,98,FALSE)</f>
        <v>CENCO_MZ - Cencosud SA - Mendoza</v>
      </c>
      <c r="D946" s="13">
        <v>46186</v>
      </c>
    </row>
    <row r="947" spans="1:4" ht="14.25" customHeight="1" x14ac:dyDescent="0.3">
      <c r="A947" s="39" t="s">
        <v>165</v>
      </c>
      <c r="B947" s="39" t="s">
        <v>328</v>
      </c>
      <c r="C947" s="42" t="str">
        <f>VLOOKUP(A947,[1]Detalle!$D$2:$CW$484,98,FALSE)</f>
        <v>Papelera - Papelera del Plata S.A.</v>
      </c>
      <c r="D947" s="13">
        <v>46190</v>
      </c>
    </row>
    <row r="948" spans="1:4" ht="14.25" customHeight="1" x14ac:dyDescent="0.3">
      <c r="A948" s="39" t="s">
        <v>224</v>
      </c>
      <c r="B948" s="39" t="s">
        <v>328</v>
      </c>
      <c r="C948" s="42" t="str">
        <f>VLOOKUP(A948,[1]Detalle!$D$2:$CW$484,98,FALSE)</f>
        <v>Sin Operación</v>
      </c>
      <c r="D948" s="13">
        <v>46190</v>
      </c>
    </row>
    <row r="949" spans="1:4" ht="14.25" customHeight="1" x14ac:dyDescent="0.3">
      <c r="A949" s="39" t="s">
        <v>79</v>
      </c>
      <c r="B949" s="39" t="s">
        <v>396</v>
      </c>
      <c r="C949" s="42" t="str">
        <f>VLOOKUP(A949,[1]Detalle!$D$2:$CW$484,98,FALSE)</f>
        <v>Papelera - Papelera del Plata S.A.</v>
      </c>
      <c r="D949" s="13">
        <v>46191</v>
      </c>
    </row>
    <row r="950" spans="1:4" ht="14.25" customHeight="1" x14ac:dyDescent="0.3">
      <c r="A950" s="39" t="s">
        <v>119</v>
      </c>
      <c r="B950" s="39" t="s">
        <v>328</v>
      </c>
      <c r="C950" s="42" t="str">
        <f>VLOOKUP(A950,[1]Detalle!$D$2:$CW$484,98,FALSE)</f>
        <v>SUC_CTC - Sucursal Buenos Aires</v>
      </c>
      <c r="D950" s="13">
        <v>46196</v>
      </c>
    </row>
    <row r="951" spans="1:4" ht="14.25" customHeight="1" x14ac:dyDescent="0.3">
      <c r="A951" s="39" t="s">
        <v>168</v>
      </c>
      <c r="B951" s="39" t="s">
        <v>328</v>
      </c>
      <c r="C951" s="42" t="str">
        <f>VLOOKUP(A951,[1]Detalle!$D$2:$CW$484,98,FALSE)</f>
        <v>Unilever - Unilever de Arg. S.A.</v>
      </c>
      <c r="D951" s="13">
        <v>46196</v>
      </c>
    </row>
    <row r="952" spans="1:4" ht="14.25" customHeight="1" x14ac:dyDescent="0.3">
      <c r="A952" s="39" t="s">
        <v>223</v>
      </c>
      <c r="B952" s="39" t="s">
        <v>328</v>
      </c>
      <c r="C952" s="42" t="str">
        <f>VLOOKUP(A952,[1]Detalle!$D$2:$CW$484,98,FALSE)</f>
        <v>CMQ_TTE - QUILMES TTE</v>
      </c>
      <c r="D952" s="13">
        <v>46196</v>
      </c>
    </row>
    <row r="953" spans="1:4" ht="14.25" customHeight="1" x14ac:dyDescent="0.3">
      <c r="A953" s="39" t="s">
        <v>244</v>
      </c>
      <c r="B953" s="39" t="s">
        <v>328</v>
      </c>
      <c r="C953" s="42" t="str">
        <f>VLOOKUP(A953,[1]Detalle!$D$2:$CW$484,98,FALSE)</f>
        <v>CMQ_TTE - QUILMES TTE</v>
      </c>
      <c r="D953" s="13">
        <v>46197</v>
      </c>
    </row>
    <row r="954" spans="1:4" ht="14.25" customHeight="1" x14ac:dyDescent="0.3">
      <c r="A954" s="39" t="s">
        <v>167</v>
      </c>
      <c r="B954" s="39" t="s">
        <v>328</v>
      </c>
      <c r="C954" s="42" t="str">
        <f>VLOOKUP(A954,[1]Detalle!$D$2:$CW$484,98,FALSE)</f>
        <v>Papelera - Papelera del Plata S.A.</v>
      </c>
      <c r="D954" s="13">
        <v>46198</v>
      </c>
    </row>
    <row r="955" spans="1:4" ht="14.25" customHeight="1" x14ac:dyDescent="0.3">
      <c r="A955" s="39" t="s">
        <v>104</v>
      </c>
      <c r="B955" s="39" t="s">
        <v>328</v>
      </c>
      <c r="C955" s="42" t="str">
        <f>VLOOKUP(A955,[1]Detalle!$D$2:$CW$484,98,FALSE)</f>
        <v>SUC_GAL - Sucursal General Alvear</v>
      </c>
      <c r="D955" s="13">
        <v>46198</v>
      </c>
    </row>
    <row r="956" spans="1:4" ht="14.25" customHeight="1" x14ac:dyDescent="0.3">
      <c r="A956" s="39" t="s">
        <v>174</v>
      </c>
      <c r="B956" s="39" t="s">
        <v>328</v>
      </c>
      <c r="C956" s="42" t="str">
        <f>VLOOKUP(A956,[1]Detalle!$D$2:$CW$484,98,FALSE)</f>
        <v>Unilever - Unilever de Arg. S.A.</v>
      </c>
      <c r="D956" s="13">
        <v>46199</v>
      </c>
    </row>
    <row r="957" spans="1:4" ht="14.25" customHeight="1" x14ac:dyDescent="0.3">
      <c r="A957" s="39" t="s">
        <v>211</v>
      </c>
      <c r="B957" s="39" t="s">
        <v>328</v>
      </c>
      <c r="C957" s="42" t="str">
        <f>VLOOKUP(A957,[1]Detalle!$D$2:$CW$484,98,FALSE)</f>
        <v>SUC_GAL - Sucursal General Alvear</v>
      </c>
      <c r="D957" s="13">
        <v>46199</v>
      </c>
    </row>
    <row r="958" spans="1:4" ht="14.25" customHeight="1" x14ac:dyDescent="0.3">
      <c r="A958" s="39" t="s">
        <v>171</v>
      </c>
      <c r="B958" s="39" t="s">
        <v>328</v>
      </c>
      <c r="C958" s="42" t="str">
        <f>VLOOKUP(A958,[1]Detalle!$D$2:$CW$484,98,FALSE)</f>
        <v>CENCO_MZ - Cencosud SA - Mendoza</v>
      </c>
      <c r="D958" s="13">
        <v>46200</v>
      </c>
    </row>
    <row r="959" spans="1:4" ht="14.25" customHeight="1" x14ac:dyDescent="0.3">
      <c r="A959" s="39" t="s">
        <v>152</v>
      </c>
      <c r="B959" s="39" t="s">
        <v>328</v>
      </c>
      <c r="C959" s="42" t="str">
        <f>VLOOKUP(A959,[1]Detalle!$D$2:$CW$484,98,FALSE)</f>
        <v>SUC_REA - Sucursal Realicó</v>
      </c>
      <c r="D959" s="13">
        <v>46210</v>
      </c>
    </row>
    <row r="960" spans="1:4" ht="14.25" customHeight="1" x14ac:dyDescent="0.3">
      <c r="A960" s="39" t="s">
        <v>133</v>
      </c>
      <c r="B960" s="39" t="s">
        <v>328</v>
      </c>
      <c r="C960" s="42" t="str">
        <f>VLOOKUP(A960,[1]Detalle!$D$2:$CW$484,98,FALSE)</f>
        <v>CENCO_MZ - Cencosud SA - Mendoza</v>
      </c>
      <c r="D960" s="13">
        <v>46211</v>
      </c>
    </row>
    <row r="961" spans="1:4" ht="14.25" customHeight="1" x14ac:dyDescent="0.3">
      <c r="A961" s="39" t="s">
        <v>15</v>
      </c>
      <c r="B961" s="39" t="s">
        <v>328</v>
      </c>
      <c r="C961" s="42" t="str">
        <f>VLOOKUP(A961,[1]Detalle!$D$2:$CW$484,98,FALSE)</f>
        <v>CENCOMLD - Cencosud SA - Mendoza</v>
      </c>
      <c r="D961" s="13">
        <v>46213</v>
      </c>
    </row>
    <row r="962" spans="1:4" ht="14.25" customHeight="1" x14ac:dyDescent="0.3">
      <c r="A962" s="39" t="s">
        <v>219</v>
      </c>
      <c r="B962" s="39" t="s">
        <v>328</v>
      </c>
      <c r="C962" s="42" t="str">
        <f>VLOOKUP(A962,[1]Detalle!$D$2:$CW$484,98,FALSE)</f>
        <v>CMQ_TTE - QUILMES TTE</v>
      </c>
      <c r="D962" s="13">
        <v>46218</v>
      </c>
    </row>
    <row r="963" spans="1:4" ht="14.25" customHeight="1" x14ac:dyDescent="0.3">
      <c r="A963" s="39" t="s">
        <v>64</v>
      </c>
      <c r="B963" s="39" t="s">
        <v>396</v>
      </c>
      <c r="C963" s="42" t="str">
        <f>VLOOKUP(A963,[1]Detalle!$D$2:$CW$484,98,FALSE)</f>
        <v>CMQ_TTE - QUILMES TTE</v>
      </c>
      <c r="D963" s="13">
        <v>46220</v>
      </c>
    </row>
    <row r="964" spans="1:4" ht="14.25" customHeight="1" x14ac:dyDescent="0.3">
      <c r="A964" s="39" t="s">
        <v>51</v>
      </c>
      <c r="B964" s="39" t="s">
        <v>396</v>
      </c>
      <c r="C964" s="42" t="str">
        <f>VLOOKUP(A964,[1]Detalle!$D$2:$CW$484,98,FALSE)</f>
        <v>CMQ_TTE - QUILMES TTE</v>
      </c>
      <c r="D964" s="13">
        <v>46220</v>
      </c>
    </row>
    <row r="965" spans="1:4" ht="14.25" customHeight="1" x14ac:dyDescent="0.3">
      <c r="A965" s="39" t="s">
        <v>28</v>
      </c>
      <c r="B965" s="39" t="s">
        <v>400</v>
      </c>
      <c r="C965" s="42" t="str">
        <f>VLOOKUP(A965,[1]Detalle!$D$2:$CW$484,98,FALSE)</f>
        <v>CMQ_TTE - QUILMES TTE</v>
      </c>
      <c r="D965" s="13">
        <v>46225</v>
      </c>
    </row>
    <row r="966" spans="1:4" ht="14.25" customHeight="1" x14ac:dyDescent="0.3">
      <c r="A966" s="39" t="s">
        <v>38</v>
      </c>
      <c r="B966" s="39" t="s">
        <v>328</v>
      </c>
      <c r="C966" s="42" t="str">
        <f>VLOOKUP(A966,[1]Detalle!$D$2:$CW$484,98,FALSE)</f>
        <v>SUC_SRA - Sucursal San Rafael</v>
      </c>
      <c r="D966" s="13">
        <v>46229</v>
      </c>
    </row>
    <row r="967" spans="1:4" ht="14.25" customHeight="1" x14ac:dyDescent="0.3">
      <c r="A967" s="39" t="s">
        <v>187</v>
      </c>
      <c r="B967" s="39" t="s">
        <v>328</v>
      </c>
      <c r="C967" s="42" t="str">
        <f>VLOOKUP(A967,[1]Detalle!$D$2:$CW$484,98,FALSE)</f>
        <v>CCUCoAZA</v>
      </c>
      <c r="D967" s="13">
        <v>46228</v>
      </c>
    </row>
    <row r="968" spans="1:4" ht="14.25" customHeight="1" x14ac:dyDescent="0.3">
      <c r="A968" s="39" t="s">
        <v>220</v>
      </c>
      <c r="B968" s="39" t="s">
        <v>328</v>
      </c>
      <c r="C968" s="42" t="str">
        <f>VLOOKUP(A968,[1]Detalle!$D$2:$CW$484,98,FALSE)</f>
        <v>CMQ_TTE - QUILMES TTE</v>
      </c>
      <c r="D968" s="13">
        <v>46235</v>
      </c>
    </row>
    <row r="969" spans="1:4" ht="14.25" customHeight="1" x14ac:dyDescent="0.3">
      <c r="A969" s="39" t="s">
        <v>193</v>
      </c>
      <c r="B969" s="39" t="s">
        <v>328</v>
      </c>
      <c r="C969" s="42" t="str">
        <f>VLOOKUP(A969,[1]Detalle!$D$2:$CW$484,98,FALSE)</f>
        <v>CCUCoAZA</v>
      </c>
      <c r="D969" s="13">
        <v>46245</v>
      </c>
    </row>
    <row r="970" spans="1:4" ht="14.25" customHeight="1" x14ac:dyDescent="0.3">
      <c r="A970" s="39" t="s">
        <v>155</v>
      </c>
      <c r="B970" s="39" t="s">
        <v>328</v>
      </c>
      <c r="C970" s="42" t="str">
        <f>VLOOKUP(A970,[1]Detalle!$D$2:$CW$484,98,FALSE)</f>
        <v>CCUCoAZA</v>
      </c>
      <c r="D970" s="13">
        <v>46246</v>
      </c>
    </row>
    <row r="971" spans="1:4" ht="14.25" customHeight="1" x14ac:dyDescent="0.3">
      <c r="A971" s="39" t="s">
        <v>2</v>
      </c>
      <c r="B971" s="39" t="s">
        <v>396</v>
      </c>
      <c r="C971" s="42" t="str">
        <f>VLOOKUP(A971,[1]Detalle!$D$2:$CW$484,98,FALSE)</f>
        <v>Unilever - Unilever de Arg. S.A.</v>
      </c>
      <c r="D971" s="13">
        <v>46247</v>
      </c>
    </row>
    <row r="972" spans="1:4" ht="14.25" customHeight="1" x14ac:dyDescent="0.3">
      <c r="A972" s="39" t="s">
        <v>129</v>
      </c>
      <c r="B972" s="39" t="s">
        <v>328</v>
      </c>
      <c r="C972" s="42" t="str">
        <f>VLOOKUP(A972,[1]Detalle!$D$2:$CW$484,98,FALSE)</f>
        <v>Alfavinil SA</v>
      </c>
      <c r="D972" s="13">
        <v>46247</v>
      </c>
    </row>
    <row r="973" spans="1:4" ht="14.25" customHeight="1" x14ac:dyDescent="0.3">
      <c r="A973" s="39" t="s">
        <v>151</v>
      </c>
      <c r="B973" s="39" t="s">
        <v>328</v>
      </c>
      <c r="C973" s="42" t="str">
        <f>VLOOKUP(A973,[1]Detalle!$D$2:$CW$484,98,FALSE)</f>
        <v>CCUCoAZA</v>
      </c>
      <c r="D973" s="13">
        <v>46247</v>
      </c>
    </row>
    <row r="974" spans="1:4" ht="14.25" customHeight="1" x14ac:dyDescent="0.3">
      <c r="A974" s="39" t="s">
        <v>195</v>
      </c>
      <c r="B974" s="39" t="s">
        <v>328</v>
      </c>
      <c r="C974" s="42" t="str">
        <f>VLOOKUP(A974,[1]Detalle!$D$2:$CW$484,98,FALSE)</f>
        <v>CCUCoAZA</v>
      </c>
      <c r="D974" s="13">
        <v>46249</v>
      </c>
    </row>
    <row r="975" spans="1:4" ht="14.25" customHeight="1" x14ac:dyDescent="0.3">
      <c r="A975" s="39" t="s">
        <v>63</v>
      </c>
      <c r="B975" s="39" t="s">
        <v>396</v>
      </c>
      <c r="C975" s="42" t="str">
        <f>VLOOKUP(A975,[1]Detalle!$D$2:$CW$484,98,FALSE)</f>
        <v>CMQ_TTE - QUILMES TTE</v>
      </c>
      <c r="D975" s="13">
        <v>46252</v>
      </c>
    </row>
    <row r="976" spans="1:4" ht="14.25" customHeight="1" x14ac:dyDescent="0.3">
      <c r="A976" s="39" t="s">
        <v>68</v>
      </c>
      <c r="B976" s="39" t="s">
        <v>396</v>
      </c>
      <c r="C976" s="42" t="str">
        <f>VLOOKUP(A976,[1]Detalle!$D$2:$CW$484,98,FALSE)</f>
        <v>CMQ_TTE - QUILMES TTE</v>
      </c>
      <c r="D976" s="13">
        <v>46252</v>
      </c>
    </row>
    <row r="977" spans="1:4" ht="14.25" customHeight="1" x14ac:dyDescent="0.3">
      <c r="A977" s="39" t="s">
        <v>23</v>
      </c>
      <c r="B977" s="39" t="s">
        <v>400</v>
      </c>
      <c r="C977" s="42" t="str">
        <f>VLOOKUP(A977,[1]Detalle!$D$2:$CW$484,98,FALSE)</f>
        <v>CMQ_TTE - QUILMES TTE</v>
      </c>
      <c r="D977" s="13">
        <v>46255</v>
      </c>
    </row>
    <row r="978" spans="1:4" ht="14.25" customHeight="1" x14ac:dyDescent="0.3">
      <c r="A978" s="39" t="s">
        <v>67</v>
      </c>
      <c r="B978" s="39" t="s">
        <v>400</v>
      </c>
      <c r="C978" s="42" t="str">
        <f>VLOOKUP(A978,[1]Detalle!$D$2:$CW$484,98,FALSE)</f>
        <v>CMQ_TTE - QUILMES TTE</v>
      </c>
      <c r="D978" s="13">
        <v>46256</v>
      </c>
    </row>
    <row r="979" spans="1:4" ht="14.25" customHeight="1" x14ac:dyDescent="0.3">
      <c r="A979" s="39" t="s">
        <v>59</v>
      </c>
      <c r="B979" s="39" t="s">
        <v>400</v>
      </c>
      <c r="C979" s="42" t="str">
        <f>VLOOKUP(A979,[1]Detalle!$D$2:$CW$484,98,FALSE)</f>
        <v>CMQ_TTE - QUILMES TTE</v>
      </c>
      <c r="D979" s="13">
        <v>46260</v>
      </c>
    </row>
    <row r="980" spans="1:4" ht="14.25" customHeight="1" x14ac:dyDescent="0.3">
      <c r="A980" s="39" t="s">
        <v>150</v>
      </c>
      <c r="B980" s="39" t="s">
        <v>328</v>
      </c>
      <c r="C980" s="42" t="str">
        <f>VLOOKUP(A980,[1]Detalle!$D$2:$CW$484,98,FALSE)</f>
        <v>Papelera - Papelera del Plata S.A.</v>
      </c>
      <c r="D980" s="13">
        <v>46270</v>
      </c>
    </row>
    <row r="981" spans="1:4" ht="14.25" customHeight="1" x14ac:dyDescent="0.3">
      <c r="A981" s="39" t="s">
        <v>16</v>
      </c>
      <c r="B981" s="39" t="s">
        <v>396</v>
      </c>
      <c r="C981" s="42" t="str">
        <f>VLOOKUP(A981,[1]Detalle!$D$2:$CW$484,98,FALSE)</f>
        <v>CMQ_TTE - QUILMES TTE</v>
      </c>
      <c r="D981" s="13">
        <v>46277</v>
      </c>
    </row>
    <row r="982" spans="1:4" ht="14.25" customHeight="1" x14ac:dyDescent="0.3">
      <c r="A982" s="39" t="s">
        <v>84</v>
      </c>
      <c r="B982" s="39" t="s">
        <v>400</v>
      </c>
      <c r="C982" s="42" t="str">
        <f>VLOOKUP(A982,[1]Detalle!$D$2:$CW$484,98,FALSE)</f>
        <v>CMQ_TTE - QUILMES TTE</v>
      </c>
      <c r="D982" s="13">
        <v>46282</v>
      </c>
    </row>
    <row r="983" spans="1:4" ht="14.25" customHeight="1" x14ac:dyDescent="0.3">
      <c r="A983" s="39" t="s">
        <v>92</v>
      </c>
      <c r="B983" s="39" t="s">
        <v>400</v>
      </c>
      <c r="C983" s="42" t="str">
        <f>VLOOKUP(A983,[1]Detalle!$D$2:$CW$484,98,FALSE)</f>
        <v>Unilever - Unilever de Arg. S.A.</v>
      </c>
      <c r="D983" s="13">
        <v>46283</v>
      </c>
    </row>
    <row r="984" spans="1:4" ht="14.25" customHeight="1" x14ac:dyDescent="0.3">
      <c r="A984" s="39" t="s">
        <v>91</v>
      </c>
      <c r="B984" s="39" t="s">
        <v>400</v>
      </c>
      <c r="C984" s="42" t="str">
        <f>VLOOKUP(A984,[1]Detalle!$D$2:$CW$484,98,FALSE)</f>
        <v>Unilever - Unilever de Arg. S.A.</v>
      </c>
      <c r="D984" s="13">
        <v>46287</v>
      </c>
    </row>
    <row r="985" spans="1:4" ht="14.25" customHeight="1" x14ac:dyDescent="0.3">
      <c r="A985" s="39" t="s">
        <v>79</v>
      </c>
      <c r="B985" s="39" t="s">
        <v>396</v>
      </c>
      <c r="C985" s="42" t="str">
        <f>VLOOKUP(A985,[1]Detalle!$D$2:$CW$484,98,FALSE)</f>
        <v>Papelera - Papelera del Plata S.A.</v>
      </c>
      <c r="D985" s="13">
        <v>46287</v>
      </c>
    </row>
    <row r="986" spans="1:4" ht="14.25" customHeight="1" x14ac:dyDescent="0.3">
      <c r="A986" s="39" t="s">
        <v>240</v>
      </c>
      <c r="B986" s="39" t="s">
        <v>328</v>
      </c>
      <c r="C986" s="42" t="str">
        <f>VLOOKUP(A986,[1]Detalle!$D$2:$CW$484,98,FALSE)</f>
        <v>Papelera - Papelera del Plata S.A.</v>
      </c>
      <c r="D986" s="13">
        <v>46288</v>
      </c>
    </row>
    <row r="987" spans="1:4" ht="14.25" customHeight="1" x14ac:dyDescent="0.3">
      <c r="A987" s="39" t="s">
        <v>83</v>
      </c>
      <c r="B987" s="39" t="s">
        <v>400</v>
      </c>
      <c r="C987" s="42" t="str">
        <f>VLOOKUP(A987,[1]Detalle!$D$2:$CW$484,98,FALSE)</f>
        <v>CMQ_TTE - QUILMES TTE</v>
      </c>
      <c r="D987" s="13">
        <v>46288</v>
      </c>
    </row>
    <row r="988" spans="1:4" ht="14.25" customHeight="1" x14ac:dyDescent="0.3">
      <c r="A988" s="39" t="s">
        <v>246</v>
      </c>
      <c r="B988" s="39" t="s">
        <v>328</v>
      </c>
      <c r="C988" s="42" t="str">
        <f>VLOOKUP(A988,[1]Detalle!$D$2:$CW$484,98,FALSE)</f>
        <v>Papelera - Papelera del Plata S.A.</v>
      </c>
      <c r="D988" s="13">
        <v>46289</v>
      </c>
    </row>
    <row r="989" spans="1:4" ht="14.25" customHeight="1" x14ac:dyDescent="0.3">
      <c r="A989" s="39" t="s">
        <v>69</v>
      </c>
      <c r="B989" s="39" t="s">
        <v>396</v>
      </c>
      <c r="C989" s="42" t="str">
        <f>VLOOKUP(A989,[1]Detalle!$D$2:$CW$484,98,FALSE)</f>
        <v>CMQ_TTE - QUILMES TTE</v>
      </c>
      <c r="D989" s="13">
        <v>46296</v>
      </c>
    </row>
    <row r="990" spans="1:4" ht="14.25" customHeight="1" x14ac:dyDescent="0.3">
      <c r="A990" s="39" t="s">
        <v>199</v>
      </c>
      <c r="B990" s="39" t="s">
        <v>328</v>
      </c>
      <c r="C990" s="42" t="str">
        <f>VLOOKUP(A990,[1]Detalle!$D$2:$CW$484,98,FALSE)</f>
        <v>CCUCoAZA</v>
      </c>
      <c r="D990" s="13">
        <v>46297</v>
      </c>
    </row>
    <row r="991" spans="1:4" ht="14.25" customHeight="1" x14ac:dyDescent="0.3">
      <c r="A991" s="39" t="s">
        <v>58</v>
      </c>
      <c r="B991" s="39" t="s">
        <v>400</v>
      </c>
      <c r="C991" s="42" t="str">
        <f>VLOOKUP(A991,[1]Detalle!$D$2:$CW$484,98,FALSE)</f>
        <v>CMQ_TTE - QUILMES TTE</v>
      </c>
      <c r="D991" s="13">
        <v>46298</v>
      </c>
    </row>
    <row r="992" spans="1:4" ht="14.25" customHeight="1" x14ac:dyDescent="0.3">
      <c r="A992" s="39" t="s">
        <v>123</v>
      </c>
      <c r="B992" s="39" t="s">
        <v>328</v>
      </c>
      <c r="C992" s="42" t="str">
        <f>VLOOKUP(A992,[1]Detalle!$D$2:$CW$484,98,FALSE)</f>
        <v>SUC_SRA - Sucursal San Rafael</v>
      </c>
      <c r="D992" s="13">
        <v>46306</v>
      </c>
    </row>
    <row r="993" spans="1:4" ht="14.25" customHeight="1" x14ac:dyDescent="0.3">
      <c r="A993" s="39" t="s">
        <v>38</v>
      </c>
      <c r="B993" s="39" t="s">
        <v>328</v>
      </c>
      <c r="C993" s="42" t="str">
        <f>VLOOKUP(A993,[1]Detalle!$D$2:$CW$484,98,FALSE)</f>
        <v>SUC_SRA - Sucursal San Rafael</v>
      </c>
      <c r="D993" s="13">
        <v>46309</v>
      </c>
    </row>
    <row r="994" spans="1:4" ht="14.25" customHeight="1" x14ac:dyDescent="0.3">
      <c r="A994" s="39" t="s">
        <v>194</v>
      </c>
      <c r="B994" s="39" t="s">
        <v>328</v>
      </c>
      <c r="C994" s="42" t="str">
        <f>VLOOKUP(A994,[1]Detalle!$D$2:$CW$484,98,FALSE)</f>
        <v>CMQ_TTE - QUILMES TTE</v>
      </c>
      <c r="D994" s="13">
        <v>46312</v>
      </c>
    </row>
    <row r="995" spans="1:4" ht="14.25" customHeight="1" x14ac:dyDescent="0.3">
      <c r="A995" s="39" t="s">
        <v>132</v>
      </c>
      <c r="B995" s="39" t="s">
        <v>328</v>
      </c>
      <c r="C995" s="42" t="str">
        <f>VLOOKUP(A995,[1]Detalle!$D$2:$CW$484,98,FALSE)</f>
        <v>Unilever - Unilever de Arg. S.A.</v>
      </c>
      <c r="D995" s="13">
        <v>46315</v>
      </c>
    </row>
    <row r="996" spans="1:4" ht="14.25" customHeight="1" x14ac:dyDescent="0.3">
      <c r="A996" s="39" t="s">
        <v>276</v>
      </c>
      <c r="B996" s="39" t="s">
        <v>328</v>
      </c>
      <c r="C996" s="42" t="str">
        <f>VLOOKUP(A996,[1]Detalle!$D$2:$CW$484,98,FALSE)</f>
        <v>SUC_SRA - Sucursal San Rafael</v>
      </c>
      <c r="D996" s="13">
        <v>46315</v>
      </c>
    </row>
    <row r="997" spans="1:4" ht="14.25" customHeight="1" x14ac:dyDescent="0.3">
      <c r="A997" s="39" t="s">
        <v>33</v>
      </c>
      <c r="B997" s="39" t="s">
        <v>428</v>
      </c>
      <c r="C997" s="42" t="str">
        <f>VLOOKUP(A997,[1]Detalle!$D$2:$CW$484,98,FALSE)</f>
        <v>CENCOMLD - Cencosud SA - Mendoza</v>
      </c>
      <c r="D997" s="13">
        <v>46028</v>
      </c>
    </row>
    <row r="998" spans="1:4" ht="14.25" customHeight="1" x14ac:dyDescent="0.3">
      <c r="A998" s="39" t="s">
        <v>237</v>
      </c>
      <c r="B998" s="39" t="s">
        <v>428</v>
      </c>
      <c r="C998" s="42" t="str">
        <f>VLOOKUP(A998,[1]Detalle!$D$2:$CW$484,98,FALSE)</f>
        <v>CENCOMLD - Cencosud SA - Mendoza</v>
      </c>
      <c r="D998" s="13">
        <v>46058</v>
      </c>
    </row>
    <row r="999" spans="1:4" ht="14.25" customHeight="1" x14ac:dyDescent="0.3">
      <c r="A999" s="39" t="s">
        <v>181</v>
      </c>
      <c r="B999" s="39" t="s">
        <v>428</v>
      </c>
      <c r="C999" s="42" t="str">
        <f>VLOOKUP(A999,[1]Detalle!$D$2:$CW$484,98,FALSE)</f>
        <v>CMQ_TTE - QUILMES TTE</v>
      </c>
      <c r="D999" s="13">
        <v>46070</v>
      </c>
    </row>
    <row r="1000" spans="1:4" ht="14.25" customHeight="1" x14ac:dyDescent="0.3">
      <c r="A1000" s="39" t="s">
        <v>267</v>
      </c>
      <c r="B1000" s="39" t="s">
        <v>428</v>
      </c>
      <c r="C1000" s="42" t="str">
        <f>VLOOKUP(A1000,[1]Detalle!$D$2:$CW$484,98,FALSE)</f>
        <v>CCUDyAZA</v>
      </c>
      <c r="D1000" s="13">
        <v>46074</v>
      </c>
    </row>
    <row r="1001" spans="1:4" ht="14.25" customHeight="1" x14ac:dyDescent="0.3">
      <c r="A1001" s="39" t="s">
        <v>229</v>
      </c>
      <c r="B1001" s="39" t="s">
        <v>428</v>
      </c>
      <c r="C1001" s="42" t="str">
        <f>VLOOKUP(A1001,[1]Detalle!$D$2:$CW$484,98,FALSE)</f>
        <v>Expreso - Servicios Troncales</v>
      </c>
      <c r="D1001" s="13">
        <v>46108</v>
      </c>
    </row>
    <row r="1002" spans="1:4" ht="14.25" customHeight="1" x14ac:dyDescent="0.3">
      <c r="A1002" s="39" t="s">
        <v>33</v>
      </c>
      <c r="B1002" s="39" t="s">
        <v>428</v>
      </c>
      <c r="C1002" s="42" t="str">
        <f>VLOOKUP(A1002,[1]Detalle!$D$2:$CW$484,98,FALSE)</f>
        <v>CENCOMLD - Cencosud SA - Mendoza</v>
      </c>
      <c r="D1002" s="13">
        <v>46156</v>
      </c>
    </row>
    <row r="1003" spans="1:4" ht="14.25" customHeight="1" x14ac:dyDescent="0.3">
      <c r="A1003" s="39" t="s">
        <v>183</v>
      </c>
      <c r="B1003" s="39" t="s">
        <v>428</v>
      </c>
      <c r="C1003" s="42" t="str">
        <f>VLOOKUP(A1003,[1]Detalle!$D$2:$CW$484,98,FALSE)</f>
        <v>CMQ_TTE - QUILMES TTE</v>
      </c>
      <c r="D1003" s="13">
        <v>46178</v>
      </c>
    </row>
    <row r="1004" spans="1:4" ht="14.25" customHeight="1" x14ac:dyDescent="0.3">
      <c r="A1004" s="39" t="s">
        <v>229</v>
      </c>
      <c r="B1004" s="39" t="s">
        <v>428</v>
      </c>
      <c r="C1004" s="42" t="str">
        <f>VLOOKUP(A1004,[1]Detalle!$D$2:$CW$484,98,FALSE)</f>
        <v>Expreso - Servicios Troncales</v>
      </c>
      <c r="D1004" s="13">
        <v>46199</v>
      </c>
    </row>
    <row r="1005" spans="1:4" ht="14.25" customHeight="1" x14ac:dyDescent="0.3">
      <c r="A1005" s="39" t="s">
        <v>188</v>
      </c>
      <c r="B1005" s="39" t="s">
        <v>428</v>
      </c>
      <c r="C1005" s="42" t="str">
        <f>VLOOKUP(A1005,[1]Detalle!$D$2:$CW$484,98,FALSE)</f>
        <v>Arcor S.A.I.C.</v>
      </c>
      <c r="D1005" s="13">
        <v>46247</v>
      </c>
    </row>
    <row r="1006" spans="1:4" ht="14.25" customHeight="1" x14ac:dyDescent="0.3">
      <c r="A1006" s="39" t="s">
        <v>184</v>
      </c>
      <c r="B1006" s="39" t="s">
        <v>428</v>
      </c>
      <c r="C1006" s="42" t="str">
        <f>VLOOKUP(A1006,[1]Detalle!$D$2:$CW$484,98,FALSE)</f>
        <v>Arcor S.A.I.C.</v>
      </c>
      <c r="D1006" s="13">
        <v>46253</v>
      </c>
    </row>
    <row r="1007" spans="1:4" ht="14.25" customHeight="1" x14ac:dyDescent="0.3">
      <c r="A1007" s="39" t="s">
        <v>229</v>
      </c>
      <c r="B1007" s="39" t="s">
        <v>428</v>
      </c>
      <c r="C1007" s="42" t="str">
        <f>VLOOKUP(A1007,[1]Detalle!$D$2:$CW$484,98,FALSE)</f>
        <v>Expreso - Servicios Troncales</v>
      </c>
      <c r="D1007" s="13">
        <v>46280</v>
      </c>
    </row>
    <row r="1008" spans="1:4" ht="14.25" customHeight="1" x14ac:dyDescent="0.3">
      <c r="A1008" s="39" t="s">
        <v>33</v>
      </c>
      <c r="B1008" s="39" t="s">
        <v>428</v>
      </c>
      <c r="C1008" s="42" t="str">
        <f>VLOOKUP(A1008,[1]Detalle!$D$2:$CW$484,98,FALSE)</f>
        <v>CENCOMLD - Cencosud SA - Mendoza</v>
      </c>
      <c r="D1008" s="13">
        <v>46289</v>
      </c>
    </row>
    <row r="1009" spans="1:4" ht="14.25" customHeight="1" x14ac:dyDescent="0.3">
      <c r="A1009" s="39" t="s">
        <v>65</v>
      </c>
      <c r="B1009" s="39" t="s">
        <v>428</v>
      </c>
      <c r="C1009" s="42" t="str">
        <f>VLOOKUP(A1009,[1]Detalle!$D$2:$CW$484,98,FALSE)</f>
        <v>Arcor S.A.I.C.</v>
      </c>
      <c r="D1009" s="13">
        <v>46290</v>
      </c>
    </row>
    <row r="1010" spans="1:4" ht="14.25" customHeight="1" x14ac:dyDescent="0.3">
      <c r="A1010" s="39" t="s">
        <v>235</v>
      </c>
      <c r="B1010" s="39" t="s">
        <v>428</v>
      </c>
      <c r="C1010" s="42" t="str">
        <f>VLOOKUP(A1010,[1]Detalle!$D$2:$CW$484,98,FALSE)</f>
        <v>CENCOMLD - Cencosud SA - Mendoza</v>
      </c>
      <c r="D1010" s="13">
        <v>46294</v>
      </c>
    </row>
    <row r="1011" spans="1:4" ht="14.25" customHeight="1" x14ac:dyDescent="0.3">
      <c r="A1011" s="39" t="s">
        <v>33</v>
      </c>
      <c r="B1011" s="39" t="s">
        <v>428</v>
      </c>
      <c r="C1011" s="42" t="str">
        <f>VLOOKUP(A1011,[1]Detalle!$D$2:$CW$484,98,FALSE)</f>
        <v>CENCOMLD - Cencosud SA - Mendoza</v>
      </c>
      <c r="D1011" s="13">
        <v>46028</v>
      </c>
    </row>
    <row r="1012" spans="1:4" ht="14.25" customHeight="1" x14ac:dyDescent="0.3">
      <c r="A1012" s="39" t="s">
        <v>237</v>
      </c>
      <c r="B1012" s="39" t="s">
        <v>428</v>
      </c>
      <c r="C1012" s="42" t="str">
        <f>VLOOKUP(A1012,[1]Detalle!$D$2:$CW$484,98,FALSE)</f>
        <v>CENCOMLD - Cencosud SA - Mendoza</v>
      </c>
      <c r="D1012" s="13">
        <v>46058</v>
      </c>
    </row>
    <row r="1013" spans="1:4" ht="14.25" customHeight="1" x14ac:dyDescent="0.3">
      <c r="A1013" s="39" t="s">
        <v>181</v>
      </c>
      <c r="B1013" s="39" t="s">
        <v>428</v>
      </c>
      <c r="C1013" s="42" t="str">
        <f>VLOOKUP(A1013,[1]Detalle!$D$2:$CW$484,98,FALSE)</f>
        <v>CMQ_TTE - QUILMES TTE</v>
      </c>
      <c r="D1013" s="13">
        <v>46070</v>
      </c>
    </row>
    <row r="1014" spans="1:4" ht="14.25" customHeight="1" x14ac:dyDescent="0.3">
      <c r="A1014" s="39" t="s">
        <v>267</v>
      </c>
      <c r="B1014" s="39" t="s">
        <v>428</v>
      </c>
      <c r="C1014" s="42" t="str">
        <f>VLOOKUP(A1014,[1]Detalle!$D$2:$CW$484,98,FALSE)</f>
        <v>CCUDyAZA</v>
      </c>
      <c r="D1014" s="13">
        <v>46074</v>
      </c>
    </row>
    <row r="1015" spans="1:4" ht="14.25" customHeight="1" x14ac:dyDescent="0.3">
      <c r="A1015" s="39" t="s">
        <v>229</v>
      </c>
      <c r="B1015" s="39" t="s">
        <v>428</v>
      </c>
      <c r="C1015" s="42" t="str">
        <f>VLOOKUP(A1015,[1]Detalle!$D$2:$CW$484,98,FALSE)</f>
        <v>Expreso - Servicios Troncales</v>
      </c>
      <c r="D1015" s="13">
        <v>46108</v>
      </c>
    </row>
    <row r="1016" spans="1:4" ht="14.25" customHeight="1" x14ac:dyDescent="0.3">
      <c r="A1016" s="39" t="s">
        <v>33</v>
      </c>
      <c r="B1016" s="39" t="s">
        <v>428</v>
      </c>
      <c r="C1016" s="42" t="str">
        <f>VLOOKUP(A1016,[1]Detalle!$D$2:$CW$484,98,FALSE)</f>
        <v>CENCOMLD - Cencosud SA - Mendoza</v>
      </c>
      <c r="D1016" s="13">
        <v>46156</v>
      </c>
    </row>
    <row r="1017" spans="1:4" ht="14.25" customHeight="1" x14ac:dyDescent="0.3">
      <c r="A1017" s="39" t="s">
        <v>183</v>
      </c>
      <c r="B1017" s="39" t="s">
        <v>428</v>
      </c>
      <c r="C1017" s="42" t="str">
        <f>VLOOKUP(A1017,[1]Detalle!$D$2:$CW$484,98,FALSE)</f>
        <v>CMQ_TTE - QUILMES TTE</v>
      </c>
      <c r="D1017" s="13">
        <v>46178</v>
      </c>
    </row>
    <row r="1018" spans="1:4" ht="14.25" customHeight="1" x14ac:dyDescent="0.3">
      <c r="A1018" s="39" t="s">
        <v>229</v>
      </c>
      <c r="B1018" s="39" t="s">
        <v>428</v>
      </c>
      <c r="C1018" s="42" t="str">
        <f>VLOOKUP(A1018,[1]Detalle!$D$2:$CW$484,98,FALSE)</f>
        <v>Expreso - Servicios Troncales</v>
      </c>
      <c r="D1018" s="13">
        <v>46199</v>
      </c>
    </row>
    <row r="1019" spans="1:4" ht="14.25" customHeight="1" x14ac:dyDescent="0.3">
      <c r="A1019" s="39" t="s">
        <v>188</v>
      </c>
      <c r="B1019" s="39" t="s">
        <v>428</v>
      </c>
      <c r="C1019" s="42" t="str">
        <f>VLOOKUP(A1019,[1]Detalle!$D$2:$CW$484,98,FALSE)</f>
        <v>Arcor S.A.I.C.</v>
      </c>
      <c r="D1019" s="13">
        <v>46247</v>
      </c>
    </row>
    <row r="1020" spans="1:4" ht="14.25" customHeight="1" x14ac:dyDescent="0.3">
      <c r="A1020" s="39" t="s">
        <v>184</v>
      </c>
      <c r="B1020" s="39" t="s">
        <v>428</v>
      </c>
      <c r="C1020" s="42" t="str">
        <f>VLOOKUP(A1020,[1]Detalle!$D$2:$CW$484,98,FALSE)</f>
        <v>Arcor S.A.I.C.</v>
      </c>
      <c r="D1020" s="13">
        <v>46253</v>
      </c>
    </row>
    <row r="1021" spans="1:4" ht="14.25" customHeight="1" x14ac:dyDescent="0.3">
      <c r="A1021" s="39" t="s">
        <v>229</v>
      </c>
      <c r="B1021" s="39" t="s">
        <v>428</v>
      </c>
      <c r="C1021" s="42" t="str">
        <f>VLOOKUP(A1021,[1]Detalle!$D$2:$CW$484,98,FALSE)</f>
        <v>Expreso - Servicios Troncales</v>
      </c>
      <c r="D1021" s="13">
        <v>46280</v>
      </c>
    </row>
    <row r="1022" spans="1:4" ht="14.25" customHeight="1" x14ac:dyDescent="0.3">
      <c r="A1022" s="39" t="s">
        <v>33</v>
      </c>
      <c r="B1022" s="39" t="s">
        <v>428</v>
      </c>
      <c r="C1022" s="42" t="str">
        <f>VLOOKUP(A1022,[1]Detalle!$D$2:$CW$484,98,FALSE)</f>
        <v>CENCOMLD - Cencosud SA - Mendoza</v>
      </c>
      <c r="D1022" s="13">
        <v>46289</v>
      </c>
    </row>
    <row r="1023" spans="1:4" ht="14.25" customHeight="1" x14ac:dyDescent="0.3">
      <c r="A1023" s="39" t="s">
        <v>65</v>
      </c>
      <c r="B1023" s="39" t="s">
        <v>428</v>
      </c>
      <c r="C1023" s="42" t="str">
        <f>VLOOKUP(A1023,[1]Detalle!$D$2:$CW$484,98,FALSE)</f>
        <v>Arcor S.A.I.C.</v>
      </c>
      <c r="D1023" s="13">
        <v>46290</v>
      </c>
    </row>
    <row r="1024" spans="1:4" ht="14.25" customHeight="1" x14ac:dyDescent="0.3">
      <c r="A1024" s="39" t="s">
        <v>235</v>
      </c>
      <c r="B1024" s="39" t="s">
        <v>428</v>
      </c>
      <c r="C1024" s="42" t="str">
        <f>VLOOKUP(A1024,[1]Detalle!$D$2:$CW$484,98,FALSE)</f>
        <v>CENCOMLD - Cencosud SA - Mendoza</v>
      </c>
      <c r="D1024" s="13">
        <v>46294</v>
      </c>
    </row>
    <row r="1025" spans="1:4" ht="14.25" customHeight="1" x14ac:dyDescent="0.3">
      <c r="A1025" s="39" t="s">
        <v>105</v>
      </c>
      <c r="B1025" s="39" t="s">
        <v>328</v>
      </c>
      <c r="C1025" s="42" t="str">
        <f>VLOOKUP(A1025,[1]Detalle!$D$2:$CW$484,98,FALSE)</f>
        <v>SUC_MAL - Sucursal Malargüe</v>
      </c>
      <c r="D1025" s="13">
        <v>46042</v>
      </c>
    </row>
    <row r="1026" spans="1:4" ht="14.25" customHeight="1" x14ac:dyDescent="0.3">
      <c r="A1026" s="39" t="s">
        <v>38</v>
      </c>
      <c r="B1026" s="39" t="s">
        <v>328</v>
      </c>
      <c r="C1026" s="42" t="str">
        <f>VLOOKUP(A1026,[1]Detalle!$D$2:$CW$484,98,FALSE)</f>
        <v>SUC_SRA - Sucursal San Rafael</v>
      </c>
      <c r="D1026" s="13">
        <v>46044</v>
      </c>
    </row>
    <row r="1027" spans="1:4" ht="14.25" customHeight="1" x14ac:dyDescent="0.3">
      <c r="A1027" s="39" t="s">
        <v>74</v>
      </c>
      <c r="B1027" s="39" t="s">
        <v>328</v>
      </c>
      <c r="C1027" s="42" t="str">
        <f>VLOOKUP(A1027,[1]Detalle!$D$2:$CW$484,98,FALSE)</f>
        <v>CENCO_MZ - Cencosud SA - Mendoza</v>
      </c>
      <c r="D1027" s="13">
        <v>46046</v>
      </c>
    </row>
    <row r="1028" spans="1:4" ht="14.25" customHeight="1" x14ac:dyDescent="0.3">
      <c r="A1028" s="39" t="s">
        <v>172</v>
      </c>
      <c r="B1028" s="39" t="s">
        <v>328</v>
      </c>
      <c r="C1028" s="42" t="str">
        <f>VLOOKUP(A1028,[1]Detalle!$D$2:$CW$484,98,FALSE)</f>
        <v>CENCO_MZ - Cencosud SA - Mendoza</v>
      </c>
      <c r="D1028" s="13">
        <v>46053</v>
      </c>
    </row>
    <row r="1029" spans="1:4" ht="14.25" customHeight="1" x14ac:dyDescent="0.3">
      <c r="A1029" s="39" t="s">
        <v>152</v>
      </c>
      <c r="B1029" s="39" t="s">
        <v>328</v>
      </c>
      <c r="C1029" s="42" t="str">
        <f>VLOOKUP(A1029,[1]Detalle!$D$2:$CW$484,98,FALSE)</f>
        <v>SUC_REA - Sucursal Realicó</v>
      </c>
      <c r="D1029" s="13">
        <v>46058</v>
      </c>
    </row>
    <row r="1030" spans="1:4" ht="14.25" customHeight="1" x14ac:dyDescent="0.3">
      <c r="A1030" s="39" t="s">
        <v>243</v>
      </c>
      <c r="B1030" s="39" t="s">
        <v>328</v>
      </c>
      <c r="C1030" s="42" t="str">
        <f>VLOOKUP(A1030,[1]Detalle!$D$2:$CW$484,98,FALSE)</f>
        <v>CMQ_TTE - QUILMES TTE</v>
      </c>
      <c r="D1030" s="13">
        <v>46064</v>
      </c>
    </row>
    <row r="1031" spans="1:4" ht="14.25" customHeight="1" x14ac:dyDescent="0.3">
      <c r="A1031" s="39" t="s">
        <v>258</v>
      </c>
      <c r="B1031" s="39" t="s">
        <v>328</v>
      </c>
      <c r="C1031" s="42" t="str">
        <f>VLOOKUP(A1031,[1]Detalle!$D$2:$CW$484,98,FALSE)</f>
        <v>CCUDyAZA</v>
      </c>
      <c r="D1031" s="13">
        <v>46087</v>
      </c>
    </row>
    <row r="1032" spans="1:4" ht="14.25" customHeight="1" x14ac:dyDescent="0.3">
      <c r="A1032" s="39" t="s">
        <v>280</v>
      </c>
      <c r="B1032" s="39" t="s">
        <v>328</v>
      </c>
      <c r="C1032" s="42" t="str">
        <f>VLOOKUP(A1032,[1]Detalle!$D$2:$CW$484,98,FALSE)</f>
        <v>Expreso - Servicios Troncales</v>
      </c>
      <c r="D1032" s="13">
        <v>46100</v>
      </c>
    </row>
    <row r="1033" spans="1:4" ht="14.25" customHeight="1" x14ac:dyDescent="0.3">
      <c r="A1033" s="39" t="s">
        <v>205</v>
      </c>
      <c r="B1033" s="39" t="s">
        <v>328</v>
      </c>
      <c r="C1033" s="42" t="str">
        <f>VLOOKUP(A1033,[1]Detalle!$D$2:$CW$484,98,FALSE)</f>
        <v>CCUCoAZA</v>
      </c>
      <c r="D1033" s="13">
        <v>46100</v>
      </c>
    </row>
    <row r="1034" spans="1:4" ht="14.25" customHeight="1" x14ac:dyDescent="0.3">
      <c r="A1034" s="39" t="s">
        <v>272</v>
      </c>
      <c r="B1034" s="39" t="s">
        <v>328</v>
      </c>
      <c r="C1034" s="42" t="str">
        <f>VLOOKUP(A1034,[1]Detalle!$D$2:$CW$484,98,FALSE)</f>
        <v>CCUDyAZA</v>
      </c>
      <c r="D1034" s="13">
        <v>46099</v>
      </c>
    </row>
    <row r="1035" spans="1:4" ht="14.25" customHeight="1" x14ac:dyDescent="0.3">
      <c r="A1035" s="39" t="s">
        <v>114</v>
      </c>
      <c r="B1035" s="39" t="s">
        <v>328</v>
      </c>
      <c r="C1035" s="42" t="str">
        <f>VLOOKUP(A1035,[1]Detalle!$D$2:$CW$484,98,FALSE)</f>
        <v>Sin Operación</v>
      </c>
      <c r="D1035" s="13">
        <v>46106</v>
      </c>
    </row>
    <row r="1036" spans="1:4" ht="14.25" customHeight="1" x14ac:dyDescent="0.3">
      <c r="A1036" s="39" t="s">
        <v>166</v>
      </c>
      <c r="B1036" s="39" t="s">
        <v>328</v>
      </c>
      <c r="C1036" s="42" t="str">
        <f>VLOOKUP(A1036,[1]Detalle!$D$2:$CW$484,98,FALSE)</f>
        <v>CCUCoAZA</v>
      </c>
      <c r="D1036" s="13">
        <v>46102</v>
      </c>
    </row>
    <row r="1037" spans="1:4" ht="14.25" customHeight="1" x14ac:dyDescent="0.3">
      <c r="A1037" s="39" t="s">
        <v>258</v>
      </c>
      <c r="B1037" s="39" t="s">
        <v>328</v>
      </c>
      <c r="C1037" s="42" t="str">
        <f>VLOOKUP(A1037,[1]Detalle!$D$2:$CW$484,98,FALSE)</f>
        <v>CCUDyAZA</v>
      </c>
      <c r="D1037" s="13">
        <v>46109</v>
      </c>
    </row>
    <row r="1038" spans="1:4" ht="14.25" customHeight="1" x14ac:dyDescent="0.3">
      <c r="A1038" s="39" t="s">
        <v>204</v>
      </c>
      <c r="B1038" s="39" t="s">
        <v>328</v>
      </c>
      <c r="C1038" s="42" t="str">
        <f>VLOOKUP(A1038,[1]Detalle!$D$2:$CW$484,98,FALSE)</f>
        <v>CCUCoAZA</v>
      </c>
      <c r="D1038" s="13">
        <v>46108</v>
      </c>
    </row>
    <row r="1039" spans="1:4" ht="14.25" customHeight="1" x14ac:dyDescent="0.3">
      <c r="A1039" s="39" t="s">
        <v>271</v>
      </c>
      <c r="B1039" s="39" t="s">
        <v>328</v>
      </c>
      <c r="C1039" s="42" t="str">
        <f>VLOOKUP(A1039,[1]Detalle!$D$2:$CW$484,98,FALSE)</f>
        <v>CCUDyAZA</v>
      </c>
      <c r="D1039" s="13">
        <v>46108</v>
      </c>
    </row>
    <row r="1040" spans="1:4" ht="14.25" customHeight="1" x14ac:dyDescent="0.3">
      <c r="A1040" s="39" t="s">
        <v>128</v>
      </c>
      <c r="B1040" s="39" t="s">
        <v>328</v>
      </c>
      <c r="C1040" s="42" t="str">
        <f>VLOOKUP(A1040,[1]Detalle!$D$2:$CW$484,98,FALSE)</f>
        <v>Arcor S.A.I.C.</v>
      </c>
      <c r="D1040" s="13">
        <v>46108</v>
      </c>
    </row>
    <row r="1041" spans="1:4" ht="14.25" customHeight="1" x14ac:dyDescent="0.3">
      <c r="A1041" s="39" t="s">
        <v>182</v>
      </c>
      <c r="B1041" s="39" t="s">
        <v>328</v>
      </c>
      <c r="C1041" s="42" t="str">
        <f>VLOOKUP(A1041,[1]Detalle!$D$2:$CW$484,98,FALSE)</f>
        <v>CCU_MZA - Comp. Cerv. Unidas - MZA</v>
      </c>
      <c r="D1041" s="13">
        <v>46113</v>
      </c>
    </row>
    <row r="1042" spans="1:4" ht="14.25" customHeight="1" x14ac:dyDescent="0.3">
      <c r="A1042" s="39" t="s">
        <v>185</v>
      </c>
      <c r="B1042" s="39" t="s">
        <v>328</v>
      </c>
      <c r="C1042" s="42" t="str">
        <f>VLOOKUP(A1042,[1]Detalle!$D$2:$CW$484,98,FALSE)</f>
        <v>CENCO_SJ - Cencosud SA - San Juan</v>
      </c>
      <c r="D1042" s="13">
        <v>46113</v>
      </c>
    </row>
    <row r="1043" spans="1:4" ht="14.25" customHeight="1" x14ac:dyDescent="0.3">
      <c r="A1043" s="39" t="s">
        <v>272</v>
      </c>
      <c r="B1043" s="39" t="s">
        <v>328</v>
      </c>
      <c r="C1043" s="42" t="str">
        <f>VLOOKUP(A1043,[1]Detalle!$D$2:$CW$484,98,FALSE)</f>
        <v>CCUDyAZA</v>
      </c>
      <c r="D1043" s="13">
        <v>46115</v>
      </c>
    </row>
    <row r="1044" spans="1:4" ht="14.25" customHeight="1" x14ac:dyDescent="0.3">
      <c r="A1044" s="39" t="s">
        <v>192</v>
      </c>
      <c r="B1044" s="39" t="s">
        <v>328</v>
      </c>
      <c r="C1044" s="42" t="str">
        <f>VLOOKUP(A1044,[1]Detalle!$D$2:$CW$484,98,FALSE)</f>
        <v>Sin Operación</v>
      </c>
      <c r="D1044" s="13">
        <v>46136</v>
      </c>
    </row>
    <row r="1045" spans="1:4" ht="14.25" customHeight="1" x14ac:dyDescent="0.3">
      <c r="A1045" s="39" t="s">
        <v>76</v>
      </c>
      <c r="B1045" s="39" t="s">
        <v>328</v>
      </c>
      <c r="C1045" s="42" t="str">
        <f>VLOOKUP(A1045,[1]Detalle!$D$2:$CW$484,98,FALSE)</f>
        <v>CCU_MZA - Comp. Cerv. Unidas - MZA</v>
      </c>
      <c r="D1045" s="13">
        <v>46150</v>
      </c>
    </row>
    <row r="1046" spans="1:4" ht="14.25" customHeight="1" x14ac:dyDescent="0.3">
      <c r="A1046" s="39" t="s">
        <v>268</v>
      </c>
      <c r="B1046" s="39" t="s">
        <v>328</v>
      </c>
      <c r="C1046" s="42" t="str">
        <f>VLOOKUP(A1046,[1]Detalle!$D$2:$CW$484,98,FALSE)</f>
        <v>CCUDyAZA</v>
      </c>
      <c r="D1046" s="13">
        <v>46150</v>
      </c>
    </row>
    <row r="1047" spans="1:4" ht="14.25" customHeight="1" x14ac:dyDescent="0.3">
      <c r="A1047" s="39" t="s">
        <v>266</v>
      </c>
      <c r="B1047" s="39" t="s">
        <v>328</v>
      </c>
      <c r="C1047" s="42" t="str">
        <f>VLOOKUP(A1047,[1]Detalle!$D$2:$CW$484,98,FALSE)</f>
        <v>CCUDyAZA</v>
      </c>
      <c r="D1047" s="13">
        <v>46151</v>
      </c>
    </row>
    <row r="1048" spans="1:4" ht="14.25" customHeight="1" x14ac:dyDescent="0.3">
      <c r="A1048" s="39" t="s">
        <v>15</v>
      </c>
      <c r="B1048" s="39" t="s">
        <v>328</v>
      </c>
      <c r="C1048" s="42" t="str">
        <f>VLOOKUP(A1048,[1]Detalle!$D$2:$CW$484,98,FALSE)</f>
        <v>CENCOMLD - Cencosud SA - Mendoza</v>
      </c>
      <c r="D1048" s="13">
        <v>46154</v>
      </c>
    </row>
    <row r="1049" spans="1:4" ht="14.25" customHeight="1" x14ac:dyDescent="0.3">
      <c r="A1049" s="39" t="s">
        <v>237</v>
      </c>
      <c r="B1049" s="39" t="s">
        <v>328</v>
      </c>
      <c r="C1049" s="42" t="str">
        <f>VLOOKUP(A1049,[1]Detalle!$D$2:$CW$484,98,FALSE)</f>
        <v>CENCOMLD - Cencosud SA - Mendoza</v>
      </c>
      <c r="D1049" s="13">
        <v>46155</v>
      </c>
    </row>
    <row r="1050" spans="1:4" ht="14.25" customHeight="1" x14ac:dyDescent="0.3">
      <c r="A1050" s="39" t="s">
        <v>235</v>
      </c>
      <c r="B1050" s="39" t="s">
        <v>328</v>
      </c>
      <c r="C1050" s="42" t="str">
        <f>VLOOKUP(A1050,[1]Detalle!$D$2:$CW$484,98,FALSE)</f>
        <v>CENCOMLD - Cencosud SA - Mendoza</v>
      </c>
      <c r="D1050" s="13">
        <v>46162</v>
      </c>
    </row>
    <row r="1051" spans="1:4" ht="14.25" customHeight="1" x14ac:dyDescent="0.3">
      <c r="A1051" s="39" t="s">
        <v>227</v>
      </c>
      <c r="B1051" s="39" t="s">
        <v>328</v>
      </c>
      <c r="C1051" s="42" t="str">
        <f>VLOOKUP(A1051,[1]Detalle!$D$2:$CW$484,98,FALSE)</f>
        <v>CCUCoAZA</v>
      </c>
      <c r="D1051" s="13">
        <v>46158</v>
      </c>
    </row>
    <row r="1052" spans="1:4" ht="14.25" customHeight="1" x14ac:dyDescent="0.3">
      <c r="A1052" s="39" t="s">
        <v>269</v>
      </c>
      <c r="B1052" s="39" t="s">
        <v>328</v>
      </c>
      <c r="C1052" s="42" t="str">
        <f>VLOOKUP(A1052,[1]Detalle!$D$2:$CW$484,98,FALSE)</f>
        <v>CCUDyAZA</v>
      </c>
      <c r="D1052" s="13">
        <v>46164</v>
      </c>
    </row>
    <row r="1053" spans="1:4" ht="14.25" customHeight="1" x14ac:dyDescent="0.3">
      <c r="A1053" s="39" t="s">
        <v>203</v>
      </c>
      <c r="B1053" s="39" t="s">
        <v>328</v>
      </c>
      <c r="C1053" s="42" t="str">
        <f>VLOOKUP(A1053,[1]Detalle!$D$2:$CW$484,98,FALSE)</f>
        <v>CCUDyAZA</v>
      </c>
      <c r="D1053" s="13">
        <v>46164</v>
      </c>
    </row>
    <row r="1054" spans="1:4" ht="14.25" customHeight="1" x14ac:dyDescent="0.3">
      <c r="A1054" s="39" t="s">
        <v>130</v>
      </c>
      <c r="B1054" s="39" t="s">
        <v>328</v>
      </c>
      <c r="C1054" s="42" t="str">
        <f>VLOOKUP(A1054,[1]Detalle!$D$2:$CW$484,98,FALSE)</f>
        <v>CMQ_TTE - QUILMES TTE</v>
      </c>
      <c r="D1054" s="13">
        <v>46165</v>
      </c>
    </row>
    <row r="1055" spans="1:4" ht="14.25" customHeight="1" x14ac:dyDescent="0.3">
      <c r="A1055" s="39" t="s">
        <v>55</v>
      </c>
      <c r="B1055" s="39" t="s">
        <v>328</v>
      </c>
      <c r="C1055" s="42" t="str">
        <f>VLOOKUP(A1055,[1]Detalle!$D$2:$CW$484,98,FALSE)</f>
        <v>CMQ_TTE - QUILMES TTE</v>
      </c>
      <c r="D1055" s="13">
        <v>46165</v>
      </c>
    </row>
    <row r="1056" spans="1:4" ht="14.25" customHeight="1" x14ac:dyDescent="0.3">
      <c r="A1056" s="39" t="s">
        <v>198</v>
      </c>
      <c r="B1056" s="39" t="s">
        <v>328</v>
      </c>
      <c r="C1056" s="42" t="str">
        <f>VLOOKUP(A1056,[1]Detalle!$D$2:$CW$484,98,FALSE)</f>
        <v>CCUCoAZA</v>
      </c>
      <c r="D1056" s="13">
        <v>46166</v>
      </c>
    </row>
    <row r="1057" spans="1:4" ht="14.25" customHeight="1" x14ac:dyDescent="0.3">
      <c r="A1057" s="39" t="s">
        <v>212</v>
      </c>
      <c r="B1057" s="39" t="s">
        <v>328</v>
      </c>
      <c r="C1057" s="42" t="str">
        <f>VLOOKUP(A1057,[1]Detalle!$D$2:$CW$484,98,FALSE)</f>
        <v>Sin Operación</v>
      </c>
      <c r="D1057" s="13">
        <v>46168</v>
      </c>
    </row>
    <row r="1058" spans="1:4" ht="14.25" customHeight="1" x14ac:dyDescent="0.3">
      <c r="A1058" s="39" t="s">
        <v>14</v>
      </c>
      <c r="B1058" s="39" t="s">
        <v>328</v>
      </c>
      <c r="C1058" s="42" t="str">
        <f>VLOOKUP(A1058,[1]Detalle!$D$2:$CW$484,98,FALSE)</f>
        <v>ADA_CH - Danone Arg. S.A. - Chascomus</v>
      </c>
      <c r="D1058" s="13">
        <v>46168</v>
      </c>
    </row>
    <row r="1059" spans="1:4" ht="14.25" customHeight="1" x14ac:dyDescent="0.3">
      <c r="A1059" s="39" t="s">
        <v>259</v>
      </c>
      <c r="B1059" s="39" t="s">
        <v>328</v>
      </c>
      <c r="C1059" s="42" t="str">
        <f>VLOOKUP(A1059,[1]Detalle!$D$2:$CW$484,98,FALSE)</f>
        <v>CCUDyAZA</v>
      </c>
      <c r="D1059" s="13">
        <v>46177</v>
      </c>
    </row>
    <row r="1060" spans="1:4" ht="14.25" customHeight="1" x14ac:dyDescent="0.3">
      <c r="A1060" s="39" t="s">
        <v>73</v>
      </c>
      <c r="B1060" s="39" t="s">
        <v>328</v>
      </c>
      <c r="C1060" s="42" t="str">
        <f>VLOOKUP(A1060,[1]Detalle!$D$2:$CW$484,98,FALSE)</f>
        <v>CMQ_TTE - QUILMES TTE</v>
      </c>
      <c r="D1060" s="13">
        <v>46179</v>
      </c>
    </row>
    <row r="1061" spans="1:4" ht="14.25" customHeight="1" x14ac:dyDescent="0.3">
      <c r="A1061" s="39" t="s">
        <v>245</v>
      </c>
      <c r="B1061" s="39" t="s">
        <v>328</v>
      </c>
      <c r="C1061" s="42" t="str">
        <f>VLOOKUP(A1061,[1]Detalle!$D$2:$CW$484,98,FALSE)</f>
        <v>CMQ_TTE - QUILMES TTE</v>
      </c>
      <c r="D1061" s="13">
        <v>46182</v>
      </c>
    </row>
    <row r="1062" spans="1:4" ht="14.25" customHeight="1" x14ac:dyDescent="0.3">
      <c r="A1062" s="39" t="s">
        <v>222</v>
      </c>
      <c r="B1062" s="39" t="s">
        <v>328</v>
      </c>
      <c r="C1062" s="42" t="str">
        <f>VLOOKUP(A1062,[1]Detalle!$D$2:$CW$484,98,FALSE)</f>
        <v>Sin Operación</v>
      </c>
      <c r="D1062" s="13">
        <v>46185</v>
      </c>
    </row>
    <row r="1063" spans="1:4" ht="14.25" customHeight="1" x14ac:dyDescent="0.3">
      <c r="A1063" s="39" t="s">
        <v>173</v>
      </c>
      <c r="B1063" s="39" t="s">
        <v>328</v>
      </c>
      <c r="C1063" s="42" t="str">
        <f>VLOOKUP(A1063,[1]Detalle!$D$2:$CW$484,98,FALSE)</f>
        <v>CENCO_MZ - Cencosud SA - Mendoza</v>
      </c>
      <c r="D1063" s="13">
        <v>46186</v>
      </c>
    </row>
    <row r="1064" spans="1:4" ht="14.25" customHeight="1" x14ac:dyDescent="0.3">
      <c r="A1064" s="39" t="s">
        <v>165</v>
      </c>
      <c r="B1064" s="39" t="s">
        <v>328</v>
      </c>
      <c r="C1064" s="42" t="str">
        <f>VLOOKUP(A1064,[1]Detalle!$D$2:$CW$484,98,FALSE)</f>
        <v>Papelera - Papelera del Plata S.A.</v>
      </c>
      <c r="D1064" s="13">
        <v>46190</v>
      </c>
    </row>
    <row r="1065" spans="1:4" ht="14.25" customHeight="1" x14ac:dyDescent="0.3">
      <c r="A1065" s="39" t="s">
        <v>224</v>
      </c>
      <c r="B1065" s="39" t="s">
        <v>328</v>
      </c>
      <c r="C1065" s="42" t="str">
        <f>VLOOKUP(A1065,[1]Detalle!$D$2:$CW$484,98,FALSE)</f>
        <v>Sin Operación</v>
      </c>
      <c r="D1065" s="13">
        <v>46190</v>
      </c>
    </row>
    <row r="1066" spans="1:4" ht="14.25" customHeight="1" x14ac:dyDescent="0.3">
      <c r="A1066" s="39" t="s">
        <v>119</v>
      </c>
      <c r="B1066" s="39" t="s">
        <v>328</v>
      </c>
      <c r="C1066" s="42" t="str">
        <f>VLOOKUP(A1066,[1]Detalle!$D$2:$CW$484,98,FALSE)</f>
        <v>SUC_CTC - Sucursal Buenos Aires</v>
      </c>
      <c r="D1066" s="13">
        <v>46196</v>
      </c>
    </row>
    <row r="1067" spans="1:4" ht="14.25" customHeight="1" x14ac:dyDescent="0.3">
      <c r="A1067" s="39" t="s">
        <v>168</v>
      </c>
      <c r="B1067" s="39" t="s">
        <v>328</v>
      </c>
      <c r="C1067" s="42" t="str">
        <f>VLOOKUP(A1067,[1]Detalle!$D$2:$CW$484,98,FALSE)</f>
        <v>Unilever - Unilever de Arg. S.A.</v>
      </c>
      <c r="D1067" s="13">
        <v>46196</v>
      </c>
    </row>
    <row r="1068" spans="1:4" ht="14.25" customHeight="1" x14ac:dyDescent="0.3">
      <c r="A1068" s="39" t="s">
        <v>223</v>
      </c>
      <c r="B1068" s="39" t="s">
        <v>328</v>
      </c>
      <c r="C1068" s="42" t="str">
        <f>VLOOKUP(A1068,[1]Detalle!$D$2:$CW$484,98,FALSE)</f>
        <v>CMQ_TTE - QUILMES TTE</v>
      </c>
      <c r="D1068" s="13">
        <v>46196</v>
      </c>
    </row>
    <row r="1069" spans="1:4" ht="14.25" customHeight="1" x14ac:dyDescent="0.3">
      <c r="A1069" s="39" t="s">
        <v>244</v>
      </c>
      <c r="B1069" s="39" t="s">
        <v>328</v>
      </c>
      <c r="C1069" s="42" t="str">
        <f>VLOOKUP(A1069,[1]Detalle!$D$2:$CW$484,98,FALSE)</f>
        <v>CMQ_TTE - QUILMES TTE</v>
      </c>
      <c r="D1069" s="13">
        <v>46197</v>
      </c>
    </row>
    <row r="1070" spans="1:4" ht="14.25" customHeight="1" x14ac:dyDescent="0.3">
      <c r="A1070" s="39" t="s">
        <v>167</v>
      </c>
      <c r="B1070" s="39" t="s">
        <v>328</v>
      </c>
      <c r="C1070" s="42" t="str">
        <f>VLOOKUP(A1070,[1]Detalle!$D$2:$CW$484,98,FALSE)</f>
        <v>Papelera - Papelera del Plata S.A.</v>
      </c>
      <c r="D1070" s="13">
        <v>46198</v>
      </c>
    </row>
    <row r="1071" spans="1:4" ht="14.25" customHeight="1" x14ac:dyDescent="0.3">
      <c r="A1071" s="39" t="s">
        <v>104</v>
      </c>
      <c r="B1071" s="39" t="s">
        <v>328</v>
      </c>
      <c r="C1071" s="42" t="str">
        <f>VLOOKUP(A1071,[1]Detalle!$D$2:$CW$484,98,FALSE)</f>
        <v>SUC_GAL - Sucursal General Alvear</v>
      </c>
      <c r="D1071" s="13">
        <v>46198</v>
      </c>
    </row>
    <row r="1072" spans="1:4" ht="14.25" customHeight="1" x14ac:dyDescent="0.3">
      <c r="A1072" s="39" t="s">
        <v>174</v>
      </c>
      <c r="B1072" s="39" t="s">
        <v>328</v>
      </c>
      <c r="C1072" s="42" t="str">
        <f>VLOOKUP(A1072,[1]Detalle!$D$2:$CW$484,98,FALSE)</f>
        <v>Unilever - Unilever de Arg. S.A.</v>
      </c>
      <c r="D1072" s="13">
        <v>46199</v>
      </c>
    </row>
    <row r="1073" spans="1:4" ht="14.25" customHeight="1" x14ac:dyDescent="0.3">
      <c r="A1073" s="39" t="s">
        <v>211</v>
      </c>
      <c r="B1073" s="39" t="s">
        <v>328</v>
      </c>
      <c r="C1073" s="42" t="str">
        <f>VLOOKUP(A1073,[1]Detalle!$D$2:$CW$484,98,FALSE)</f>
        <v>SUC_GAL - Sucursal General Alvear</v>
      </c>
      <c r="D1073" s="13">
        <v>46199</v>
      </c>
    </row>
    <row r="1074" spans="1:4" ht="14.25" customHeight="1" x14ac:dyDescent="0.3">
      <c r="A1074" s="39" t="s">
        <v>171</v>
      </c>
      <c r="B1074" s="39" t="s">
        <v>328</v>
      </c>
      <c r="C1074" s="42" t="str">
        <f>VLOOKUP(A1074,[1]Detalle!$D$2:$CW$484,98,FALSE)</f>
        <v>CENCO_MZ - Cencosud SA - Mendoza</v>
      </c>
      <c r="D1074" s="13">
        <v>46200</v>
      </c>
    </row>
    <row r="1075" spans="1:4" ht="14.25" customHeight="1" x14ac:dyDescent="0.3">
      <c r="A1075" s="39" t="s">
        <v>152</v>
      </c>
      <c r="B1075" s="39" t="s">
        <v>328</v>
      </c>
      <c r="C1075" s="42" t="str">
        <f>VLOOKUP(A1075,[1]Detalle!$D$2:$CW$484,98,FALSE)</f>
        <v>SUC_REA - Sucursal Realicó</v>
      </c>
      <c r="D1075" s="13">
        <v>46210</v>
      </c>
    </row>
    <row r="1076" spans="1:4" ht="14.25" customHeight="1" x14ac:dyDescent="0.3">
      <c r="A1076" s="39" t="s">
        <v>133</v>
      </c>
      <c r="B1076" s="39" t="s">
        <v>328</v>
      </c>
      <c r="C1076" s="42" t="str">
        <f>VLOOKUP(A1076,[1]Detalle!$D$2:$CW$484,98,FALSE)</f>
        <v>CENCO_MZ - Cencosud SA - Mendoza</v>
      </c>
      <c r="D1076" s="13">
        <v>46211</v>
      </c>
    </row>
    <row r="1077" spans="1:4" ht="14.25" customHeight="1" x14ac:dyDescent="0.3">
      <c r="A1077" s="39" t="s">
        <v>15</v>
      </c>
      <c r="B1077" s="39" t="s">
        <v>328</v>
      </c>
      <c r="C1077" s="42" t="str">
        <f>VLOOKUP(A1077,[1]Detalle!$D$2:$CW$484,98,FALSE)</f>
        <v>CENCOMLD - Cencosud SA - Mendoza</v>
      </c>
      <c r="D1077" s="13">
        <v>46213</v>
      </c>
    </row>
    <row r="1078" spans="1:4" ht="14.25" customHeight="1" x14ac:dyDescent="0.3">
      <c r="A1078" s="39" t="s">
        <v>219</v>
      </c>
      <c r="B1078" s="39" t="s">
        <v>328</v>
      </c>
      <c r="C1078" s="42" t="str">
        <f>VLOOKUP(A1078,[1]Detalle!$D$2:$CW$484,98,FALSE)</f>
        <v>CMQ_TTE - QUILMES TTE</v>
      </c>
      <c r="D1078" s="13">
        <v>46218</v>
      </c>
    </row>
    <row r="1079" spans="1:4" ht="14.25" customHeight="1" x14ac:dyDescent="0.3">
      <c r="A1079" s="39" t="s">
        <v>38</v>
      </c>
      <c r="B1079" s="39" t="s">
        <v>328</v>
      </c>
      <c r="C1079" s="42" t="str">
        <f>VLOOKUP(A1079,[1]Detalle!$D$2:$CW$484,98,FALSE)</f>
        <v>SUC_SRA - Sucursal San Rafael</v>
      </c>
      <c r="D1079" s="13">
        <v>46229</v>
      </c>
    </row>
    <row r="1080" spans="1:4" ht="14.25" customHeight="1" x14ac:dyDescent="0.3">
      <c r="A1080" s="39" t="s">
        <v>187</v>
      </c>
      <c r="B1080" s="39" t="s">
        <v>328</v>
      </c>
      <c r="C1080" s="42" t="str">
        <f>VLOOKUP(A1080,[1]Detalle!$D$2:$CW$484,98,FALSE)</f>
        <v>CCUCoAZA</v>
      </c>
      <c r="D1080" s="13">
        <v>46228</v>
      </c>
    </row>
    <row r="1081" spans="1:4" ht="14.25" customHeight="1" x14ac:dyDescent="0.3">
      <c r="A1081" s="39" t="s">
        <v>220</v>
      </c>
      <c r="B1081" s="39" t="s">
        <v>328</v>
      </c>
      <c r="C1081" s="42" t="str">
        <f>VLOOKUP(A1081,[1]Detalle!$D$2:$CW$484,98,FALSE)</f>
        <v>CMQ_TTE - QUILMES TTE</v>
      </c>
      <c r="D1081" s="13">
        <v>46235</v>
      </c>
    </row>
    <row r="1082" spans="1:4" ht="14.25" customHeight="1" x14ac:dyDescent="0.3">
      <c r="A1082" s="39" t="s">
        <v>193</v>
      </c>
      <c r="B1082" s="39" t="s">
        <v>328</v>
      </c>
      <c r="C1082" s="42" t="str">
        <f>VLOOKUP(A1082,[1]Detalle!$D$2:$CW$484,98,FALSE)</f>
        <v>CCUCoAZA</v>
      </c>
      <c r="D1082" s="13">
        <v>46245</v>
      </c>
    </row>
    <row r="1083" spans="1:4" ht="14.25" customHeight="1" x14ac:dyDescent="0.3">
      <c r="A1083" s="39" t="s">
        <v>155</v>
      </c>
      <c r="B1083" s="39" t="s">
        <v>328</v>
      </c>
      <c r="C1083" s="42" t="str">
        <f>VLOOKUP(A1083,[1]Detalle!$D$2:$CW$484,98,FALSE)</f>
        <v>CCUCoAZA</v>
      </c>
      <c r="D1083" s="13">
        <v>46246</v>
      </c>
    </row>
    <row r="1084" spans="1:4" ht="14.25" customHeight="1" x14ac:dyDescent="0.3">
      <c r="A1084" s="39" t="s">
        <v>129</v>
      </c>
      <c r="B1084" s="39" t="s">
        <v>328</v>
      </c>
      <c r="C1084" s="42" t="str">
        <f>VLOOKUP(A1084,[1]Detalle!$D$2:$CW$484,98,FALSE)</f>
        <v>Alfavinil SA</v>
      </c>
      <c r="D1084" s="13">
        <v>46247</v>
      </c>
    </row>
    <row r="1085" spans="1:4" ht="14.25" customHeight="1" x14ac:dyDescent="0.3">
      <c r="A1085" s="39" t="s">
        <v>151</v>
      </c>
      <c r="B1085" s="39" t="s">
        <v>328</v>
      </c>
      <c r="C1085" s="42" t="str">
        <f>VLOOKUP(A1085,[1]Detalle!$D$2:$CW$484,98,FALSE)</f>
        <v>CCUCoAZA</v>
      </c>
      <c r="D1085" s="13">
        <v>46247</v>
      </c>
    </row>
    <row r="1086" spans="1:4" ht="14.25" customHeight="1" x14ac:dyDescent="0.3">
      <c r="A1086" s="39" t="s">
        <v>195</v>
      </c>
      <c r="B1086" s="39" t="s">
        <v>328</v>
      </c>
      <c r="C1086" s="42" t="str">
        <f>VLOOKUP(A1086,[1]Detalle!$D$2:$CW$484,98,FALSE)</f>
        <v>CCUCoAZA</v>
      </c>
      <c r="D1086" s="13">
        <v>46249</v>
      </c>
    </row>
    <row r="1087" spans="1:4" ht="14.25" customHeight="1" x14ac:dyDescent="0.3">
      <c r="A1087" s="39" t="s">
        <v>150</v>
      </c>
      <c r="B1087" s="39" t="s">
        <v>328</v>
      </c>
      <c r="C1087" s="42" t="str">
        <f>VLOOKUP(A1087,[1]Detalle!$D$2:$CW$484,98,FALSE)</f>
        <v>Papelera - Papelera del Plata S.A.</v>
      </c>
      <c r="D1087" s="13">
        <v>46270</v>
      </c>
    </row>
    <row r="1088" spans="1:4" ht="14.25" customHeight="1" x14ac:dyDescent="0.3">
      <c r="A1088" s="39" t="s">
        <v>240</v>
      </c>
      <c r="B1088" s="39" t="s">
        <v>328</v>
      </c>
      <c r="C1088" s="42" t="str">
        <f>VLOOKUP(A1088,[1]Detalle!$D$2:$CW$484,98,FALSE)</f>
        <v>Papelera - Papelera del Plata S.A.</v>
      </c>
      <c r="D1088" s="13">
        <v>46288</v>
      </c>
    </row>
    <row r="1089" spans="1:4" ht="14.25" customHeight="1" x14ac:dyDescent="0.3">
      <c r="A1089" s="39" t="s">
        <v>246</v>
      </c>
      <c r="B1089" s="39" t="s">
        <v>328</v>
      </c>
      <c r="C1089" s="42" t="str">
        <f>VLOOKUP(A1089,[1]Detalle!$D$2:$CW$484,98,FALSE)</f>
        <v>Papelera - Papelera del Plata S.A.</v>
      </c>
      <c r="D1089" s="13">
        <v>46289</v>
      </c>
    </row>
    <row r="1090" spans="1:4" ht="14.25" customHeight="1" x14ac:dyDescent="0.3">
      <c r="A1090" s="39" t="s">
        <v>199</v>
      </c>
      <c r="B1090" s="39" t="s">
        <v>328</v>
      </c>
      <c r="C1090" s="42" t="str">
        <f>VLOOKUP(A1090,[1]Detalle!$D$2:$CW$484,98,FALSE)</f>
        <v>CCUCoAZA</v>
      </c>
      <c r="D1090" s="13">
        <v>46297</v>
      </c>
    </row>
    <row r="1091" spans="1:4" ht="14.25" customHeight="1" x14ac:dyDescent="0.3">
      <c r="A1091" s="39" t="s">
        <v>123</v>
      </c>
      <c r="B1091" s="39" t="s">
        <v>328</v>
      </c>
      <c r="C1091" s="42" t="str">
        <f>VLOOKUP(A1091,[1]Detalle!$D$2:$CW$484,98,FALSE)</f>
        <v>SUC_SRA - Sucursal San Rafael</v>
      </c>
      <c r="D1091" s="13">
        <v>46306</v>
      </c>
    </row>
    <row r="1092" spans="1:4" ht="14.25" customHeight="1" x14ac:dyDescent="0.3">
      <c r="A1092" s="39" t="s">
        <v>38</v>
      </c>
      <c r="B1092" s="39" t="s">
        <v>328</v>
      </c>
      <c r="C1092" s="42" t="str">
        <f>VLOOKUP(A1092,[1]Detalle!$D$2:$CW$484,98,FALSE)</f>
        <v>SUC_SRA - Sucursal San Rafael</v>
      </c>
      <c r="D1092" s="13">
        <v>46309</v>
      </c>
    </row>
    <row r="1093" spans="1:4" ht="14.25" customHeight="1" x14ac:dyDescent="0.3">
      <c r="A1093" s="39" t="s">
        <v>194</v>
      </c>
      <c r="B1093" s="39" t="s">
        <v>328</v>
      </c>
      <c r="C1093" s="42" t="str">
        <f>VLOOKUP(A1093,[1]Detalle!$D$2:$CW$484,98,FALSE)</f>
        <v>CMQ_TTE - QUILMES TTE</v>
      </c>
      <c r="D1093" s="13">
        <v>46312</v>
      </c>
    </row>
    <row r="1094" spans="1:4" ht="14.25" customHeight="1" x14ac:dyDescent="0.3">
      <c r="A1094" s="39" t="s">
        <v>132</v>
      </c>
      <c r="B1094" s="39" t="s">
        <v>328</v>
      </c>
      <c r="C1094" s="42" t="str">
        <f>VLOOKUP(A1094,[1]Detalle!$D$2:$CW$484,98,FALSE)</f>
        <v>Unilever - Unilever de Arg. S.A.</v>
      </c>
      <c r="D1094" s="13">
        <v>46315</v>
      </c>
    </row>
    <row r="1095" spans="1:4" ht="14.25" customHeight="1" x14ac:dyDescent="0.3">
      <c r="A1095" s="39" t="s">
        <v>276</v>
      </c>
      <c r="B1095" s="39" t="s">
        <v>328</v>
      </c>
      <c r="C1095" s="42" t="str">
        <f>VLOOKUP(A1095,[1]Detalle!$D$2:$CW$484,98,FALSE)</f>
        <v>SUC_SRA - Sucursal San Rafael</v>
      </c>
      <c r="D1095" s="13">
        <v>46315</v>
      </c>
    </row>
    <row r="1096" spans="1:4" ht="14.25" customHeight="1" x14ac:dyDescent="0.3">
      <c r="A1096" s="39" t="s">
        <v>79</v>
      </c>
      <c r="B1096" s="39" t="s">
        <v>396</v>
      </c>
      <c r="C1096" s="42" t="str">
        <f>VLOOKUP(A1096,[1]Detalle!$D$2:$CW$484,98,FALSE)</f>
        <v>Papelera - Papelera del Plata S.A.</v>
      </c>
      <c r="D1096" s="13">
        <v>46191</v>
      </c>
    </row>
    <row r="1097" spans="1:4" ht="14.25" customHeight="1" x14ac:dyDescent="0.3">
      <c r="A1097" s="39" t="s">
        <v>64</v>
      </c>
      <c r="B1097" s="39" t="s">
        <v>396</v>
      </c>
      <c r="C1097" s="42" t="str">
        <f>VLOOKUP(A1097,[1]Detalle!$D$2:$CW$484,98,FALSE)</f>
        <v>CMQ_TTE - QUILMES TTE</v>
      </c>
      <c r="D1097" s="13">
        <v>46220</v>
      </c>
    </row>
    <row r="1098" spans="1:4" ht="14.25" customHeight="1" x14ac:dyDescent="0.3">
      <c r="A1098" s="39" t="s">
        <v>51</v>
      </c>
      <c r="B1098" s="39" t="s">
        <v>396</v>
      </c>
      <c r="C1098" s="42" t="str">
        <f>VLOOKUP(A1098,[1]Detalle!$D$2:$CW$484,98,FALSE)</f>
        <v>CMQ_TTE - QUILMES TTE</v>
      </c>
      <c r="D1098" s="13">
        <v>46220</v>
      </c>
    </row>
    <row r="1099" spans="1:4" ht="14.25" customHeight="1" x14ac:dyDescent="0.3">
      <c r="A1099" s="39" t="s">
        <v>2</v>
      </c>
      <c r="B1099" s="39" t="s">
        <v>396</v>
      </c>
      <c r="C1099" s="42" t="str">
        <f>VLOOKUP(A1099,[1]Detalle!$D$2:$CW$484,98,FALSE)</f>
        <v>Unilever - Unilever de Arg. S.A.</v>
      </c>
      <c r="D1099" s="13">
        <v>46247</v>
      </c>
    </row>
    <row r="1100" spans="1:4" ht="14.25" customHeight="1" x14ac:dyDescent="0.3">
      <c r="A1100" s="39" t="s">
        <v>63</v>
      </c>
      <c r="B1100" s="39" t="s">
        <v>396</v>
      </c>
      <c r="C1100" s="42" t="str">
        <f>VLOOKUP(A1100,[1]Detalle!$D$2:$CW$484,98,FALSE)</f>
        <v>CMQ_TTE - QUILMES TTE</v>
      </c>
      <c r="D1100" s="13">
        <v>46252</v>
      </c>
    </row>
    <row r="1101" spans="1:4" ht="14.25" customHeight="1" x14ac:dyDescent="0.3">
      <c r="A1101" s="39" t="s">
        <v>68</v>
      </c>
      <c r="B1101" s="39" t="s">
        <v>396</v>
      </c>
      <c r="C1101" s="42" t="str">
        <f>VLOOKUP(A1101,[1]Detalle!$D$2:$CW$484,98,FALSE)</f>
        <v>CMQ_TTE - QUILMES TTE</v>
      </c>
      <c r="D1101" s="13">
        <v>46252</v>
      </c>
    </row>
    <row r="1102" spans="1:4" ht="14.25" customHeight="1" x14ac:dyDescent="0.3">
      <c r="A1102" s="39" t="s">
        <v>16</v>
      </c>
      <c r="B1102" s="39" t="s">
        <v>396</v>
      </c>
      <c r="C1102" s="42" t="str">
        <f>VLOOKUP(A1102,[1]Detalle!$D$2:$CW$484,98,FALSE)</f>
        <v>CMQ_TTE - QUILMES TTE</v>
      </c>
      <c r="D1102" s="13">
        <v>46277</v>
      </c>
    </row>
    <row r="1103" spans="1:4" ht="14.25" customHeight="1" x14ac:dyDescent="0.3">
      <c r="A1103" s="39" t="s">
        <v>79</v>
      </c>
      <c r="B1103" s="39" t="s">
        <v>396</v>
      </c>
      <c r="C1103" s="42" t="str">
        <f>VLOOKUP(A1103,[1]Detalle!$D$2:$CW$484,98,FALSE)</f>
        <v>Papelera - Papelera del Plata S.A.</v>
      </c>
      <c r="D1103" s="13">
        <v>46287</v>
      </c>
    </row>
    <row r="1104" spans="1:4" ht="14.25" customHeight="1" x14ac:dyDescent="0.3">
      <c r="A1104" s="39" t="s">
        <v>69</v>
      </c>
      <c r="B1104" s="39" t="s">
        <v>396</v>
      </c>
      <c r="C1104" s="42" t="str">
        <f>VLOOKUP(A1104,[1]Detalle!$D$2:$CW$484,98,FALSE)</f>
        <v>CMQ_TTE - QUILMES TTE</v>
      </c>
      <c r="D1104" s="13">
        <v>46296</v>
      </c>
    </row>
    <row r="1105" spans="1:4" ht="14.25" customHeight="1" x14ac:dyDescent="0.3">
      <c r="A1105" s="39" t="s">
        <v>54</v>
      </c>
      <c r="B1105" s="39" t="s">
        <v>400</v>
      </c>
      <c r="C1105" s="42" t="str">
        <f>VLOOKUP(A1105,[1]Detalle!$D$2:$CW$484,98,FALSE)</f>
        <v>CMQ_TTE - QUILMES TTE</v>
      </c>
      <c r="D1105" s="13">
        <v>46134</v>
      </c>
    </row>
    <row r="1106" spans="1:4" ht="14.25" customHeight="1" x14ac:dyDescent="0.3">
      <c r="A1106" s="39" t="s">
        <v>28</v>
      </c>
      <c r="B1106" s="39" t="s">
        <v>400</v>
      </c>
      <c r="C1106" s="42" t="str">
        <f>VLOOKUP(A1106,[1]Detalle!$D$2:$CW$484,98,FALSE)</f>
        <v>CMQ_TTE - QUILMES TTE</v>
      </c>
      <c r="D1106" s="13">
        <v>46225</v>
      </c>
    </row>
    <row r="1107" spans="1:4" ht="14.25" customHeight="1" x14ac:dyDescent="0.3">
      <c r="A1107" s="39" t="s">
        <v>23</v>
      </c>
      <c r="B1107" s="39" t="s">
        <v>400</v>
      </c>
      <c r="C1107" s="42" t="str">
        <f>VLOOKUP(A1107,[1]Detalle!$D$2:$CW$484,98,FALSE)</f>
        <v>CMQ_TTE - QUILMES TTE</v>
      </c>
      <c r="D1107" s="13">
        <v>46255</v>
      </c>
    </row>
    <row r="1108" spans="1:4" ht="14.25" customHeight="1" x14ac:dyDescent="0.3">
      <c r="A1108" s="39" t="s">
        <v>67</v>
      </c>
      <c r="B1108" s="39" t="s">
        <v>400</v>
      </c>
      <c r="C1108" s="42" t="str">
        <f>VLOOKUP(A1108,[1]Detalle!$D$2:$CW$484,98,FALSE)</f>
        <v>CMQ_TTE - QUILMES TTE</v>
      </c>
      <c r="D1108" s="13">
        <v>46256</v>
      </c>
    </row>
    <row r="1109" spans="1:4" ht="14.25" customHeight="1" x14ac:dyDescent="0.3">
      <c r="A1109" s="39" t="s">
        <v>59</v>
      </c>
      <c r="B1109" s="39" t="s">
        <v>400</v>
      </c>
      <c r="C1109" s="42" t="str">
        <f>VLOOKUP(A1109,[1]Detalle!$D$2:$CW$484,98,FALSE)</f>
        <v>CMQ_TTE - QUILMES TTE</v>
      </c>
      <c r="D1109" s="13">
        <v>46260</v>
      </c>
    </row>
    <row r="1110" spans="1:4" ht="14.25" customHeight="1" x14ac:dyDescent="0.3">
      <c r="A1110" s="39" t="s">
        <v>84</v>
      </c>
      <c r="B1110" s="39" t="s">
        <v>400</v>
      </c>
      <c r="C1110" s="42" t="str">
        <f>VLOOKUP(A1110,[1]Detalle!$D$2:$CW$484,98,FALSE)</f>
        <v>CMQ_TTE - QUILMES TTE</v>
      </c>
      <c r="D1110" s="13">
        <v>46282</v>
      </c>
    </row>
    <row r="1111" spans="1:4" ht="14.25" customHeight="1" x14ac:dyDescent="0.3">
      <c r="A1111" s="39" t="s">
        <v>92</v>
      </c>
      <c r="B1111" s="39" t="s">
        <v>400</v>
      </c>
      <c r="C1111" s="42" t="str">
        <f>VLOOKUP(A1111,[1]Detalle!$D$2:$CW$484,98,FALSE)</f>
        <v>Unilever - Unilever de Arg. S.A.</v>
      </c>
      <c r="D1111" s="13">
        <v>46283</v>
      </c>
    </row>
    <row r="1112" spans="1:4" ht="14.25" customHeight="1" x14ac:dyDescent="0.3">
      <c r="A1112" s="39" t="s">
        <v>91</v>
      </c>
      <c r="B1112" s="39" t="s">
        <v>400</v>
      </c>
      <c r="C1112" s="42" t="str">
        <f>VLOOKUP(A1112,[1]Detalle!$D$2:$CW$484,98,FALSE)</f>
        <v>Unilever - Unilever de Arg. S.A.</v>
      </c>
      <c r="D1112" s="13">
        <v>46287</v>
      </c>
    </row>
    <row r="1113" spans="1:4" ht="14.25" customHeight="1" x14ac:dyDescent="0.3">
      <c r="A1113" s="39" t="s">
        <v>83</v>
      </c>
      <c r="B1113" s="39" t="s">
        <v>400</v>
      </c>
      <c r="C1113" s="42" t="str">
        <f>VLOOKUP(A1113,[1]Detalle!$D$2:$CW$484,98,FALSE)</f>
        <v>CMQ_TTE - QUILMES TTE</v>
      </c>
      <c r="D1113" s="13">
        <v>46288</v>
      </c>
    </row>
    <row r="1114" spans="1:4" ht="14.25" customHeight="1" x14ac:dyDescent="0.3">
      <c r="A1114" s="39" t="s">
        <v>58</v>
      </c>
      <c r="B1114" s="39" t="s">
        <v>400</v>
      </c>
      <c r="C1114" s="42" t="str">
        <f>VLOOKUP(A1114,[1]Detalle!$D$2:$CW$484,98,FALSE)</f>
        <v>CMQ_TTE - QUILMES TTE</v>
      </c>
      <c r="D1114" s="13">
        <v>46298</v>
      </c>
    </row>
    <row r="1115" spans="1:4" ht="14.25" customHeight="1" x14ac:dyDescent="0.3">
      <c r="A1115" s="39" t="s">
        <v>218</v>
      </c>
      <c r="B1115" s="39" t="s">
        <v>328</v>
      </c>
      <c r="C1115" s="42" t="str">
        <f>VLOOKUP(A1115,[1]Detalle!$D$2:$CW$484,98,FALSE)</f>
        <v>AGN_TTE - AGUANORT - Transporte</v>
      </c>
      <c r="D1115" s="13">
        <v>46328</v>
      </c>
    </row>
    <row r="1116" spans="1:4" ht="14.25" customHeight="1" x14ac:dyDescent="0.3">
      <c r="A1116" s="39" t="s">
        <v>218</v>
      </c>
      <c r="B1116" s="39" t="s">
        <v>328</v>
      </c>
      <c r="C1116" s="42" t="str">
        <f>VLOOKUP(A1116,[1]Detalle!$D$2:$CW$484,98,FALSE)</f>
        <v>AGN_TTE - AGUANORT - Transporte</v>
      </c>
      <c r="D1116" s="13">
        <v>46328</v>
      </c>
    </row>
    <row r="1117" spans="1:4" ht="14.25" customHeight="1" x14ac:dyDescent="0.3">
      <c r="A1117" s="39" t="s">
        <v>218</v>
      </c>
      <c r="B1117" s="39" t="s">
        <v>343</v>
      </c>
      <c r="C1117" s="42" t="str">
        <f>VLOOKUP(A1117,[1]Detalle!$D$2:$CW$484,98,FALSE)</f>
        <v>AGN_TTE - AGUANORT - Transporte</v>
      </c>
      <c r="D1117" s="13">
        <v>46328</v>
      </c>
    </row>
    <row r="1118" spans="1:4" ht="14.25" customHeight="1" x14ac:dyDescent="0.3">
      <c r="A1118" s="39" t="s">
        <v>218</v>
      </c>
      <c r="B1118" s="39" t="s">
        <v>343</v>
      </c>
      <c r="C1118" s="42" t="str">
        <f>VLOOKUP(A1118,[1]Detalle!$D$2:$CW$484,98,FALSE)</f>
        <v>AGN_TTE - AGUANORT - Transporte</v>
      </c>
      <c r="D1118" s="13">
        <v>46328</v>
      </c>
    </row>
    <row r="1119" spans="1:4" ht="14.25" customHeight="1" x14ac:dyDescent="0.3">
      <c r="A1119" s="39" t="s">
        <v>218</v>
      </c>
      <c r="B1119" s="39" t="s">
        <v>421</v>
      </c>
      <c r="C1119" s="42" t="str">
        <f>VLOOKUP(A1119,[1]Detalle!$D$2:$CW$484,98,FALSE)</f>
        <v>AGN_TTE - AGUANORT - Transporte</v>
      </c>
      <c r="D1119" s="13">
        <v>46328</v>
      </c>
    </row>
    <row r="1120" spans="1:4" ht="14.25" customHeight="1" x14ac:dyDescent="0.3">
      <c r="A1120" s="12" t="s">
        <v>4</v>
      </c>
      <c r="B1120" s="39" t="s">
        <v>328</v>
      </c>
      <c r="C1120" s="42" t="str">
        <f>VLOOKUP(A1120,[1]Detalle!$D$2:$CW$484,98,FALSE)</f>
        <v>CCUDyAZA</v>
      </c>
      <c r="D1120" s="13">
        <v>46338</v>
      </c>
    </row>
    <row r="1121" spans="1:4" ht="14.25" customHeight="1" x14ac:dyDescent="0.3">
      <c r="A1121" s="15" t="s">
        <v>4</v>
      </c>
      <c r="B1121" s="39" t="s">
        <v>343</v>
      </c>
      <c r="C1121" s="42" t="str">
        <f>VLOOKUP(A1121,[1]Detalle!$D$2:$CW$484,98,FALSE)</f>
        <v>CCUDyAZA</v>
      </c>
      <c r="D1121" s="13">
        <v>46338</v>
      </c>
    </row>
    <row r="1122" spans="1:4" ht="14.25" customHeight="1" x14ac:dyDescent="0.3">
      <c r="A1122" s="15" t="s">
        <v>4</v>
      </c>
      <c r="B1122" s="39" t="s">
        <v>415</v>
      </c>
      <c r="C1122" s="42" t="str">
        <f>VLOOKUP(A1122,[1]Detalle!$D$2:$CW$484,98,FALSE)</f>
        <v>CCUDyAZA</v>
      </c>
      <c r="D1122" s="13">
        <v>46338</v>
      </c>
    </row>
    <row r="1123" spans="1:4" ht="14.25" customHeight="1" x14ac:dyDescent="0.3">
      <c r="A1123" s="12" t="s">
        <v>25</v>
      </c>
      <c r="B1123" s="39" t="s">
        <v>328</v>
      </c>
      <c r="C1123" s="42" t="str">
        <f>VLOOKUP(A1123,[1]Detalle!$D$2:$CW$484,98,FALSE)</f>
        <v>CMQ_TTE - QUILMES TTE</v>
      </c>
      <c r="D1123" s="13">
        <v>46312</v>
      </c>
    </row>
    <row r="1124" spans="1:4" ht="14.25" customHeight="1" x14ac:dyDescent="0.3">
      <c r="A1124" s="12" t="s">
        <v>25</v>
      </c>
      <c r="B1124" s="39" t="s">
        <v>343</v>
      </c>
      <c r="C1124" s="42" t="str">
        <f>VLOOKUP(A1124,[1]Detalle!$D$2:$CW$484,98,FALSE)</f>
        <v>CMQ_TTE - QUILMES TTE</v>
      </c>
      <c r="D1124" s="13">
        <v>46312</v>
      </c>
    </row>
    <row r="1125" spans="1:4" ht="14.25" customHeight="1" x14ac:dyDescent="0.3">
      <c r="A1125" s="12" t="s">
        <v>25</v>
      </c>
      <c r="B1125" s="39" t="s">
        <v>415</v>
      </c>
      <c r="C1125" s="42" t="str">
        <f>VLOOKUP(A1125,[1]Detalle!$D$2:$CW$484,98,FALSE)</f>
        <v>CMQ_TTE - QUILMES TTE</v>
      </c>
      <c r="D1125" s="13">
        <v>46312</v>
      </c>
    </row>
    <row r="1126" spans="1:4" ht="14.25" customHeight="1" x14ac:dyDescent="0.3">
      <c r="A1126" s="12" t="s">
        <v>26</v>
      </c>
      <c r="B1126" s="39" t="s">
        <v>328</v>
      </c>
      <c r="C1126" s="42" t="str">
        <f>VLOOKUP(A1126,[1]Detalle!$D$2:$CW$484,98,FALSE)</f>
        <v>CMQ_TTE - QUILMES TTE</v>
      </c>
      <c r="D1126" s="13">
        <v>46338</v>
      </c>
    </row>
    <row r="1127" spans="1:4" ht="14.25" customHeight="1" x14ac:dyDescent="0.3">
      <c r="A1127" s="12" t="s">
        <v>26</v>
      </c>
      <c r="B1127" s="39" t="s">
        <v>343</v>
      </c>
      <c r="C1127" s="42" t="str">
        <f>VLOOKUP(A1127,[1]Detalle!$D$2:$CW$484,98,FALSE)</f>
        <v>CMQ_TTE - QUILMES TTE</v>
      </c>
      <c r="D1127" s="13">
        <v>46338</v>
      </c>
    </row>
    <row r="1128" spans="1:4" ht="14.25" customHeight="1" x14ac:dyDescent="0.3">
      <c r="A1128" s="12" t="s">
        <v>26</v>
      </c>
      <c r="B1128" s="39" t="s">
        <v>415</v>
      </c>
      <c r="C1128" s="42" t="str">
        <f>VLOOKUP(A1128,[1]Detalle!$D$2:$CW$484,98,FALSE)</f>
        <v>CMQ_TTE - QUILMES TTE</v>
      </c>
      <c r="D1128" s="13">
        <v>46338</v>
      </c>
    </row>
    <row r="1129" spans="1:4" ht="14.25" customHeight="1" x14ac:dyDescent="0.3">
      <c r="A1129" s="12" t="s">
        <v>29</v>
      </c>
      <c r="B1129" s="39" t="s">
        <v>328</v>
      </c>
      <c r="C1129" s="42" t="str">
        <f>VLOOKUP(A1129,[1]Detalle!$D$2:$CW$484,98,FALSE)</f>
        <v>CMQ_TTE - QUILMES TTE</v>
      </c>
      <c r="D1129" s="13">
        <v>46282</v>
      </c>
    </row>
    <row r="1130" spans="1:4" ht="14.25" customHeight="1" x14ac:dyDescent="0.3">
      <c r="A1130" s="15" t="s">
        <v>29</v>
      </c>
      <c r="B1130" s="39" t="s">
        <v>343</v>
      </c>
      <c r="C1130" s="42" t="str">
        <f>VLOOKUP(A1130,[1]Detalle!$D$2:$CW$484,98,FALSE)</f>
        <v>CMQ_TTE - QUILMES TTE</v>
      </c>
      <c r="D1130" s="13">
        <v>46282</v>
      </c>
    </row>
    <row r="1131" spans="1:4" ht="14.25" customHeight="1" x14ac:dyDescent="0.3">
      <c r="A1131" s="12" t="s">
        <v>29</v>
      </c>
      <c r="B1131" s="39" t="s">
        <v>415</v>
      </c>
      <c r="C1131" s="42" t="str">
        <f>VLOOKUP(A1131,[1]Detalle!$D$2:$CW$484,98,FALSE)</f>
        <v>CMQ_TTE - QUILMES TTE</v>
      </c>
      <c r="D1131" s="13">
        <v>46282</v>
      </c>
    </row>
    <row r="1132" spans="1:4" ht="14.25" customHeight="1" x14ac:dyDescent="0.3">
      <c r="A1132" s="12" t="s">
        <v>45</v>
      </c>
      <c r="B1132" s="39" t="s">
        <v>328</v>
      </c>
      <c r="C1132" s="42" t="str">
        <f>VLOOKUP(A1132,[1]Detalle!$D$2:$CW$484,98,FALSE)</f>
        <v>CMQ_TTE - QUILMES TTE</v>
      </c>
      <c r="D1132" s="13">
        <v>46341</v>
      </c>
    </row>
    <row r="1133" spans="1:4" ht="14.25" customHeight="1" x14ac:dyDescent="0.3">
      <c r="A1133" s="12" t="s">
        <v>45</v>
      </c>
      <c r="B1133" s="39" t="s">
        <v>343</v>
      </c>
      <c r="C1133" s="42" t="str">
        <f>VLOOKUP(A1133,[1]Detalle!$D$2:$CW$484,98,FALSE)</f>
        <v>CMQ_TTE - QUILMES TTE</v>
      </c>
      <c r="D1133" s="13">
        <v>46341</v>
      </c>
    </row>
    <row r="1134" spans="1:4" ht="14.25" customHeight="1" x14ac:dyDescent="0.3">
      <c r="A1134" s="12" t="s">
        <v>45</v>
      </c>
      <c r="B1134" s="39" t="s">
        <v>415</v>
      </c>
      <c r="C1134" s="42" t="str">
        <f>VLOOKUP(A1134,[1]Detalle!$D$2:$CW$484,98,FALSE)</f>
        <v>CMQ_TTE - QUILMES TTE</v>
      </c>
      <c r="D1134" s="13">
        <v>46341</v>
      </c>
    </row>
    <row r="1135" spans="1:4" ht="14.25" customHeight="1" x14ac:dyDescent="0.3">
      <c r="A1135" s="12" t="s">
        <v>50</v>
      </c>
      <c r="B1135" s="39" t="s">
        <v>328</v>
      </c>
      <c r="C1135" s="42" t="str">
        <f>VLOOKUP(A1135,[1]Detalle!$D$2:$CW$484,98,FALSE)</f>
        <v>CIMSA_BS AS</v>
      </c>
      <c r="D1135" s="13">
        <v>46247</v>
      </c>
    </row>
    <row r="1136" spans="1:4" ht="14.25" customHeight="1" x14ac:dyDescent="0.3">
      <c r="A1136" s="12" t="s">
        <v>50</v>
      </c>
      <c r="B1136" s="39" t="s">
        <v>343</v>
      </c>
      <c r="C1136" s="42" t="str">
        <f>VLOOKUP(A1136,[1]Detalle!$D$2:$CW$484,98,FALSE)</f>
        <v>CIMSA_BS AS</v>
      </c>
      <c r="D1136" s="13">
        <v>46247</v>
      </c>
    </row>
    <row r="1137" spans="1:4" ht="14.25" customHeight="1" x14ac:dyDescent="0.3">
      <c r="A1137" s="12" t="s">
        <v>50</v>
      </c>
      <c r="B1137" s="39" t="s">
        <v>415</v>
      </c>
      <c r="C1137" s="42" t="str">
        <f>VLOOKUP(A1137,[1]Detalle!$D$2:$CW$484,98,FALSE)</f>
        <v>CIMSA_BS AS</v>
      </c>
      <c r="D1137" s="13">
        <v>46247</v>
      </c>
    </row>
    <row r="1138" spans="1:4" ht="14.25" customHeight="1" x14ac:dyDescent="0.3">
      <c r="A1138" s="12" t="s">
        <v>72</v>
      </c>
      <c r="B1138" s="39" t="s">
        <v>328</v>
      </c>
      <c r="C1138" s="42" t="str">
        <f>VLOOKUP(A1138,[1]Detalle!$D$2:$CW$484,98,FALSE)</f>
        <v>CMQ_TTE - QUILMES TTE</v>
      </c>
      <c r="D1138" s="13">
        <v>46376</v>
      </c>
    </row>
    <row r="1139" spans="1:4" ht="14.25" customHeight="1" x14ac:dyDescent="0.3">
      <c r="A1139" s="12" t="s">
        <v>72</v>
      </c>
      <c r="B1139" s="39" t="s">
        <v>343</v>
      </c>
      <c r="C1139" s="42" t="str">
        <f>VLOOKUP(A1139,[1]Detalle!$D$2:$CW$484,98,FALSE)</f>
        <v>CMQ_TTE - QUILMES TTE</v>
      </c>
      <c r="D1139" s="13">
        <v>46376</v>
      </c>
    </row>
    <row r="1140" spans="1:4" ht="14.25" customHeight="1" x14ac:dyDescent="0.3">
      <c r="A1140" s="12" t="s">
        <v>72</v>
      </c>
      <c r="B1140" s="39" t="s">
        <v>415</v>
      </c>
      <c r="C1140" s="42" t="str">
        <f>VLOOKUP(A1140,[1]Detalle!$D$2:$CW$484,98,FALSE)</f>
        <v>CMQ_TTE - QUILMES TTE</v>
      </c>
      <c r="D1140" s="13">
        <v>46376</v>
      </c>
    </row>
    <row r="1141" spans="1:4" ht="14.25" customHeight="1" x14ac:dyDescent="0.3">
      <c r="A1141" s="12" t="s">
        <v>80</v>
      </c>
      <c r="B1141" s="39" t="s">
        <v>328</v>
      </c>
      <c r="C1141" s="42" t="str">
        <f>VLOOKUP(A1141,[1]Detalle!$D$2:$CW$484,98,FALSE)</f>
        <v>CIMSA_BS AS</v>
      </c>
      <c r="D1141" s="13">
        <v>46068</v>
      </c>
    </row>
    <row r="1142" spans="1:4" ht="14.25" customHeight="1" x14ac:dyDescent="0.3">
      <c r="A1142" s="12" t="s">
        <v>80</v>
      </c>
      <c r="B1142" s="39" t="s">
        <v>343</v>
      </c>
      <c r="C1142" s="42" t="str">
        <f>VLOOKUP(A1142,[1]Detalle!$D$2:$CW$484,98,FALSE)</f>
        <v>CIMSA_BS AS</v>
      </c>
      <c r="D1142" s="13">
        <v>46068</v>
      </c>
    </row>
    <row r="1143" spans="1:4" ht="14.25" customHeight="1" x14ac:dyDescent="0.3">
      <c r="A1143" s="12" t="s">
        <v>80</v>
      </c>
      <c r="B1143" s="39" t="s">
        <v>415</v>
      </c>
      <c r="C1143" s="42" t="str">
        <f>VLOOKUP(A1143,[1]Detalle!$D$2:$CW$484,98,FALSE)</f>
        <v>CIMSA_BS AS</v>
      </c>
      <c r="D1143" s="13">
        <v>46068</v>
      </c>
    </row>
    <row r="1144" spans="1:4" ht="14.25" customHeight="1" x14ac:dyDescent="0.3">
      <c r="A1144" s="12" t="s">
        <v>89</v>
      </c>
      <c r="B1144" s="39" t="s">
        <v>328</v>
      </c>
      <c r="C1144" s="42" t="str">
        <f>VLOOKUP(A1144,[1]Detalle!$D$2:$CW$484,98,FALSE)</f>
        <v>CMQ_TTE - QUILMES TTE</v>
      </c>
      <c r="D1144" s="13">
        <v>46312</v>
      </c>
    </row>
    <row r="1145" spans="1:4" ht="14.25" customHeight="1" x14ac:dyDescent="0.3">
      <c r="A1145" s="12" t="s">
        <v>89</v>
      </c>
      <c r="B1145" s="39" t="s">
        <v>343</v>
      </c>
      <c r="C1145" s="42" t="str">
        <f>VLOOKUP(A1145,[1]Detalle!$D$2:$CW$484,98,FALSE)</f>
        <v>CMQ_TTE - QUILMES TTE</v>
      </c>
      <c r="D1145" s="13">
        <v>46312</v>
      </c>
    </row>
    <row r="1146" spans="1:4" ht="14.25" customHeight="1" x14ac:dyDescent="0.3">
      <c r="A1146" s="12" t="s">
        <v>89</v>
      </c>
      <c r="B1146" s="39" t="s">
        <v>415</v>
      </c>
      <c r="C1146" s="42" t="str">
        <f>VLOOKUP(A1146,[1]Detalle!$D$2:$CW$484,98,FALSE)</f>
        <v>CMQ_TTE - QUILMES TTE</v>
      </c>
      <c r="D1146" s="13">
        <v>46312</v>
      </c>
    </row>
    <row r="1147" spans="1:4" ht="14.25" customHeight="1" x14ac:dyDescent="0.3">
      <c r="A1147" s="12" t="s">
        <v>90</v>
      </c>
      <c r="B1147" s="39" t="s">
        <v>328</v>
      </c>
      <c r="C1147" s="42" t="str">
        <f>VLOOKUP(A1147,[1]Detalle!$D$2:$CW$484,98,FALSE)</f>
        <v>CMQ_TTE - QUILMES TTE</v>
      </c>
      <c r="D1147" s="13">
        <v>46368</v>
      </c>
    </row>
    <row r="1148" spans="1:4" ht="14.25" customHeight="1" x14ac:dyDescent="0.3">
      <c r="A1148" s="12" t="s">
        <v>90</v>
      </c>
      <c r="B1148" s="39" t="s">
        <v>343</v>
      </c>
      <c r="C1148" s="42" t="str">
        <f>VLOOKUP(A1148,[1]Detalle!$D$2:$CW$484,98,FALSE)</f>
        <v>CMQ_TTE - QUILMES TTE</v>
      </c>
      <c r="D1148" s="13">
        <v>46368</v>
      </c>
    </row>
    <row r="1149" spans="1:4" ht="14.25" customHeight="1" x14ac:dyDescent="0.3">
      <c r="A1149" s="15" t="s">
        <v>90</v>
      </c>
      <c r="B1149" s="39" t="s">
        <v>415</v>
      </c>
      <c r="C1149" s="42" t="str">
        <f>VLOOKUP(A1149,[1]Detalle!$D$2:$CW$484,98,FALSE)</f>
        <v>CMQ_TTE - QUILMES TTE</v>
      </c>
      <c r="D1149" s="13">
        <v>46368</v>
      </c>
    </row>
    <row r="1150" spans="1:4" ht="14.25" customHeight="1" x14ac:dyDescent="0.3">
      <c r="A1150" s="15" t="s">
        <v>94</v>
      </c>
      <c r="B1150" s="39" t="s">
        <v>328</v>
      </c>
      <c r="C1150" s="42" t="str">
        <f>VLOOKUP(A1150,[1]Detalle!$D$2:$CW$484,98,FALSE)</f>
        <v>CMQ_TTE - QUILMES TTE</v>
      </c>
      <c r="D1150" s="13">
        <v>46330</v>
      </c>
    </row>
    <row r="1151" spans="1:4" ht="14.25" customHeight="1" x14ac:dyDescent="0.3">
      <c r="A1151" s="15" t="s">
        <v>94</v>
      </c>
      <c r="B1151" s="39" t="s">
        <v>343</v>
      </c>
      <c r="C1151" s="42" t="str">
        <f>VLOOKUP(A1151,[1]Detalle!$D$2:$CW$484,98,FALSE)</f>
        <v>CMQ_TTE - QUILMES TTE</v>
      </c>
      <c r="D1151" s="13">
        <v>46330</v>
      </c>
    </row>
    <row r="1152" spans="1:4" ht="14.25" customHeight="1" x14ac:dyDescent="0.3">
      <c r="A1152" s="15" t="s">
        <v>94</v>
      </c>
      <c r="B1152" s="39" t="s">
        <v>415</v>
      </c>
      <c r="C1152" s="42" t="str">
        <f>VLOOKUP(A1152,[1]Detalle!$D$2:$CW$484,98,FALSE)</f>
        <v>CMQ_TTE - QUILMES TTE</v>
      </c>
      <c r="D1152" s="13">
        <v>46330</v>
      </c>
    </row>
    <row r="1153" spans="1:4" ht="14.25" customHeight="1" x14ac:dyDescent="0.3">
      <c r="A1153" s="17" t="s">
        <v>102</v>
      </c>
      <c r="B1153" s="39" t="s">
        <v>328</v>
      </c>
      <c r="C1153" s="42" t="str">
        <f>VLOOKUP(A1153,[1]Detalle!$D$2:$CW$484,98,FALSE)</f>
        <v>Sin Operación</v>
      </c>
      <c r="D1153" s="13">
        <v>46368</v>
      </c>
    </row>
    <row r="1154" spans="1:4" ht="14.25" customHeight="1" x14ac:dyDescent="0.3">
      <c r="A1154" s="18" t="s">
        <v>102</v>
      </c>
      <c r="B1154" s="39" t="s">
        <v>343</v>
      </c>
      <c r="C1154" s="42" t="str">
        <f>VLOOKUP(A1154,[1]Detalle!$D$2:$CW$484,98,FALSE)</f>
        <v>Sin Operación</v>
      </c>
      <c r="D1154" s="13">
        <v>46368</v>
      </c>
    </row>
    <row r="1155" spans="1:4" ht="14.25" customHeight="1" x14ac:dyDescent="0.3">
      <c r="A1155" s="19" t="s">
        <v>102</v>
      </c>
      <c r="B1155" s="39" t="s">
        <v>415</v>
      </c>
      <c r="C1155" s="42" t="str">
        <f>VLOOKUP(A1155,[1]Detalle!$D$2:$CW$484,98,FALSE)</f>
        <v>Sin Operación</v>
      </c>
      <c r="D1155" s="13">
        <v>46368</v>
      </c>
    </row>
    <row r="1156" spans="1:4" ht="14.25" customHeight="1" x14ac:dyDescent="0.3">
      <c r="A1156" s="19" t="s">
        <v>103</v>
      </c>
      <c r="B1156" s="39" t="s">
        <v>328</v>
      </c>
      <c r="C1156" s="42" t="str">
        <f>VLOOKUP(A1156,[1]Detalle!$D$2:$CW$484,98,FALSE)</f>
        <v>Sin Operación</v>
      </c>
      <c r="D1156" s="13">
        <v>46024</v>
      </c>
    </row>
    <row r="1157" spans="1:4" ht="14.25" customHeight="1" x14ac:dyDescent="0.3">
      <c r="A1157" s="19" t="s">
        <v>103</v>
      </c>
      <c r="B1157" s="39" t="s">
        <v>343</v>
      </c>
      <c r="C1157" s="42" t="str">
        <f>VLOOKUP(A1157,[1]Detalle!$D$2:$CW$484,98,FALSE)</f>
        <v>Sin Operación</v>
      </c>
      <c r="D1157" s="13">
        <v>46024</v>
      </c>
    </row>
    <row r="1158" spans="1:4" ht="14.25" customHeight="1" x14ac:dyDescent="0.3">
      <c r="A1158" s="17" t="s">
        <v>103</v>
      </c>
      <c r="B1158" s="39" t="s">
        <v>415</v>
      </c>
      <c r="C1158" s="42" t="str">
        <f>VLOOKUP(A1158,[1]Detalle!$D$2:$CW$484,98,FALSE)</f>
        <v>Sin Operación</v>
      </c>
      <c r="D1158" s="13">
        <v>46024</v>
      </c>
    </row>
    <row r="1159" spans="1:4" ht="14.25" customHeight="1" x14ac:dyDescent="0.3">
      <c r="A1159" s="20" t="s">
        <v>107</v>
      </c>
      <c r="B1159" s="39" t="s">
        <v>328</v>
      </c>
      <c r="C1159" s="42" t="str">
        <f>VLOOKUP(A1159,[1]Detalle!$D$2:$CW$484,98,FALSE)</f>
        <v>SUC_REA - Sucursal Realicó</v>
      </c>
      <c r="D1159" s="13">
        <v>46368</v>
      </c>
    </row>
    <row r="1160" spans="1:4" ht="14.25" customHeight="1" x14ac:dyDescent="0.3">
      <c r="A1160" s="21" t="s">
        <v>107</v>
      </c>
      <c r="B1160" s="39" t="s">
        <v>343</v>
      </c>
      <c r="C1160" s="42" t="str">
        <f>VLOOKUP(A1160,[1]Detalle!$D$2:$CW$484,98,FALSE)</f>
        <v>SUC_REA - Sucursal Realicó</v>
      </c>
      <c r="D1160" s="13">
        <v>46368</v>
      </c>
    </row>
    <row r="1161" spans="1:4" ht="14.25" customHeight="1" x14ac:dyDescent="0.3">
      <c r="A1161" s="12" t="s">
        <v>107</v>
      </c>
      <c r="B1161" s="39" t="s">
        <v>415</v>
      </c>
      <c r="C1161" s="42" t="str">
        <f>VLOOKUP(A1161,[1]Detalle!$D$2:$CW$484,98,FALSE)</f>
        <v>SUC_REA - Sucursal Realicó</v>
      </c>
      <c r="D1161" s="13">
        <v>46368</v>
      </c>
    </row>
    <row r="1162" spans="1:4" ht="14.25" customHeight="1" x14ac:dyDescent="0.3">
      <c r="A1162" s="15" t="s">
        <v>110</v>
      </c>
      <c r="B1162" s="39" t="s">
        <v>328</v>
      </c>
      <c r="C1162" s="42" t="str">
        <f>VLOOKUP(A1162,[1]Detalle!$D$2:$CW$484,98,FALSE)</f>
        <v>CIMSA_BS AS</v>
      </c>
      <c r="D1162" s="13">
        <v>46058</v>
      </c>
    </row>
    <row r="1163" spans="1:4" ht="14.25" customHeight="1" x14ac:dyDescent="0.3">
      <c r="A1163" s="15" t="s">
        <v>110</v>
      </c>
      <c r="B1163" s="39" t="s">
        <v>343</v>
      </c>
      <c r="C1163" s="42" t="str">
        <f>VLOOKUP(A1163,[1]Detalle!$D$2:$CW$484,98,FALSE)</f>
        <v>CIMSA_BS AS</v>
      </c>
      <c r="D1163" s="13">
        <v>46058</v>
      </c>
    </row>
    <row r="1164" spans="1:4" ht="14.25" customHeight="1" x14ac:dyDescent="0.3">
      <c r="A1164" s="12" t="s">
        <v>110</v>
      </c>
      <c r="B1164" s="39" t="s">
        <v>415</v>
      </c>
      <c r="C1164" s="42" t="str">
        <f>VLOOKUP(A1164,[1]Detalle!$D$2:$CW$484,98,FALSE)</f>
        <v>CIMSA_BS AS</v>
      </c>
      <c r="D1164" s="13">
        <v>46058</v>
      </c>
    </row>
    <row r="1165" spans="1:4" ht="14.25" customHeight="1" x14ac:dyDescent="0.3">
      <c r="A1165" s="12" t="s">
        <v>112</v>
      </c>
      <c r="B1165" s="39" t="s">
        <v>328</v>
      </c>
      <c r="C1165" s="42" t="str">
        <f>VLOOKUP(A1165,[1]Detalle!$D$2:$CW$484,98,FALSE)</f>
        <v>Sin Operación</v>
      </c>
      <c r="D1165" s="13">
        <v>46055</v>
      </c>
    </row>
    <row r="1166" spans="1:4" ht="14.25" customHeight="1" x14ac:dyDescent="0.3">
      <c r="A1166" s="12" t="s">
        <v>112</v>
      </c>
      <c r="B1166" s="39" t="s">
        <v>343</v>
      </c>
      <c r="C1166" s="42" t="str">
        <f>VLOOKUP(A1166,[1]Detalle!$D$2:$CW$484,98,FALSE)</f>
        <v>Sin Operación</v>
      </c>
      <c r="D1166" s="13">
        <v>46055</v>
      </c>
    </row>
    <row r="1167" spans="1:4" ht="14.25" customHeight="1" x14ac:dyDescent="0.3">
      <c r="A1167" s="12" t="s">
        <v>112</v>
      </c>
      <c r="B1167" s="39" t="s">
        <v>415</v>
      </c>
      <c r="C1167" s="42" t="str">
        <f>VLOOKUP(A1167,[1]Detalle!$D$2:$CW$484,98,FALSE)</f>
        <v>Sin Operación</v>
      </c>
      <c r="D1167" s="13">
        <v>46055</v>
      </c>
    </row>
    <row r="1168" spans="1:4" ht="14.25" customHeight="1" x14ac:dyDescent="0.3">
      <c r="A1168" s="12" t="s">
        <v>113</v>
      </c>
      <c r="B1168" s="39" t="s">
        <v>328</v>
      </c>
      <c r="C1168" s="42" t="str">
        <f>VLOOKUP(A1168,[1]Detalle!$D$2:$CW$484,98,FALSE)</f>
        <v>Sin Operación</v>
      </c>
      <c r="D1168" s="13">
        <v>46055</v>
      </c>
    </row>
    <row r="1169" spans="1:4" ht="14.25" customHeight="1" x14ac:dyDescent="0.3">
      <c r="A1169" s="12" t="s">
        <v>113</v>
      </c>
      <c r="B1169" s="39" t="s">
        <v>343</v>
      </c>
      <c r="C1169" s="42" t="str">
        <f>VLOOKUP(A1169,[1]Detalle!$D$2:$CW$484,98,FALSE)</f>
        <v>Sin Operación</v>
      </c>
      <c r="D1169" s="13">
        <v>46055</v>
      </c>
    </row>
    <row r="1170" spans="1:4" ht="14.25" customHeight="1" x14ac:dyDescent="0.3">
      <c r="A1170" s="12" t="s">
        <v>113</v>
      </c>
      <c r="B1170" s="39" t="s">
        <v>415</v>
      </c>
      <c r="C1170" s="42" t="str">
        <f>VLOOKUP(A1170,[1]Detalle!$D$2:$CW$484,98,FALSE)</f>
        <v>Sin Operación</v>
      </c>
      <c r="D1170" s="13">
        <v>46055</v>
      </c>
    </row>
    <row r="1171" spans="1:4" ht="14.25" customHeight="1" x14ac:dyDescent="0.3">
      <c r="A1171" s="15" t="s">
        <v>115</v>
      </c>
      <c r="B1171" s="39" t="s">
        <v>328</v>
      </c>
      <c r="C1171" s="42" t="str">
        <f>VLOOKUP(A1171,[1]Detalle!$D$2:$CW$484,98,FALSE)</f>
        <v>Sin Operación</v>
      </c>
      <c r="D1171" s="13">
        <v>46277</v>
      </c>
    </row>
    <row r="1172" spans="1:4" ht="14.25" customHeight="1" x14ac:dyDescent="0.3">
      <c r="A1172" s="12" t="s">
        <v>115</v>
      </c>
      <c r="B1172" s="39" t="s">
        <v>343</v>
      </c>
      <c r="C1172" s="42" t="str">
        <f>VLOOKUP(A1172,[1]Detalle!$D$2:$CW$484,98,FALSE)</f>
        <v>Sin Operación</v>
      </c>
      <c r="D1172" s="13">
        <v>46277</v>
      </c>
    </row>
    <row r="1173" spans="1:4" ht="14.25" customHeight="1" x14ac:dyDescent="0.3">
      <c r="A1173" s="12" t="s">
        <v>115</v>
      </c>
      <c r="B1173" s="39" t="s">
        <v>415</v>
      </c>
      <c r="C1173" s="42" t="str">
        <f>VLOOKUP(A1173,[1]Detalle!$D$2:$CW$484,98,FALSE)</f>
        <v>Sin Operación</v>
      </c>
      <c r="D1173" s="13">
        <v>46277</v>
      </c>
    </row>
    <row r="1174" spans="1:4" ht="14.25" customHeight="1" x14ac:dyDescent="0.3">
      <c r="A1174" s="12" t="s">
        <v>116</v>
      </c>
      <c r="B1174" s="39" t="s">
        <v>328</v>
      </c>
      <c r="C1174" s="42" t="str">
        <f>VLOOKUP(A1174,[1]Detalle!$D$2:$CW$484,98,FALSE)</f>
        <v>Sin Operación</v>
      </c>
      <c r="D1174" s="13">
        <v>46085</v>
      </c>
    </row>
    <row r="1175" spans="1:4" ht="14.25" customHeight="1" x14ac:dyDescent="0.3">
      <c r="A1175" s="12" t="s">
        <v>116</v>
      </c>
      <c r="B1175" s="39" t="s">
        <v>343</v>
      </c>
      <c r="C1175" s="42" t="str">
        <f>VLOOKUP(A1175,[1]Detalle!$D$2:$CW$484,98,FALSE)</f>
        <v>Sin Operación</v>
      </c>
      <c r="D1175" s="13">
        <v>46085</v>
      </c>
    </row>
    <row r="1176" spans="1:4" ht="14.25" customHeight="1" x14ac:dyDescent="0.3">
      <c r="A1176" s="12" t="s">
        <v>116</v>
      </c>
      <c r="B1176" s="39" t="s">
        <v>415</v>
      </c>
      <c r="C1176" s="42" t="str">
        <f>VLOOKUP(A1176,[1]Detalle!$D$2:$CW$484,98,FALSE)</f>
        <v>Sin Operación</v>
      </c>
      <c r="D1176" s="13">
        <v>46085</v>
      </c>
    </row>
    <row r="1177" spans="1:4" ht="14.25" customHeight="1" x14ac:dyDescent="0.3">
      <c r="A1177" s="12" t="s">
        <v>117</v>
      </c>
      <c r="B1177" s="39" t="s">
        <v>328</v>
      </c>
      <c r="C1177" s="42" t="str">
        <f>VLOOKUP(A1177,[1]Detalle!$D$2:$CW$484,98,FALSE)</f>
        <v>Sin Operación</v>
      </c>
      <c r="D1177" s="13">
        <v>46038</v>
      </c>
    </row>
    <row r="1178" spans="1:4" ht="14.25" customHeight="1" x14ac:dyDescent="0.3">
      <c r="A1178" s="12" t="s">
        <v>117</v>
      </c>
      <c r="B1178" s="39" t="s">
        <v>343</v>
      </c>
      <c r="C1178" s="42" t="str">
        <f>VLOOKUP(A1178,[1]Detalle!$D$2:$CW$484,98,FALSE)</f>
        <v>Sin Operación</v>
      </c>
      <c r="D1178" s="13">
        <v>46038</v>
      </c>
    </row>
    <row r="1179" spans="1:4" ht="14.25" customHeight="1" x14ac:dyDescent="0.3">
      <c r="A1179" s="12" t="s">
        <v>117</v>
      </c>
      <c r="B1179" s="39" t="s">
        <v>415</v>
      </c>
      <c r="C1179" s="42" t="str">
        <f>VLOOKUP(A1179,[1]Detalle!$D$2:$CW$484,98,FALSE)</f>
        <v>Sin Operación</v>
      </c>
      <c r="D1179" s="13">
        <v>46038</v>
      </c>
    </row>
    <row r="1180" spans="1:4" ht="14.25" customHeight="1" x14ac:dyDescent="0.3">
      <c r="A1180" s="12" t="s">
        <v>121</v>
      </c>
      <c r="B1180" s="39" t="s">
        <v>328</v>
      </c>
      <c r="C1180" s="42" t="str">
        <f>VLOOKUP(A1180,[1]Detalle!$D$2:$CW$484,98,FALSE)</f>
        <v>Sin Operación</v>
      </c>
      <c r="D1180" s="13">
        <v>46055</v>
      </c>
    </row>
    <row r="1181" spans="1:4" ht="14.25" customHeight="1" x14ac:dyDescent="0.3">
      <c r="A1181" s="12" t="s">
        <v>121</v>
      </c>
      <c r="B1181" s="39" t="s">
        <v>343</v>
      </c>
      <c r="C1181" s="42" t="str">
        <f>VLOOKUP(A1181,[1]Detalle!$D$2:$CW$484,98,FALSE)</f>
        <v>Sin Operación</v>
      </c>
      <c r="D1181" s="13">
        <v>46055</v>
      </c>
    </row>
    <row r="1182" spans="1:4" ht="14.25" customHeight="1" x14ac:dyDescent="0.3">
      <c r="A1182" s="12" t="s">
        <v>121</v>
      </c>
      <c r="B1182" s="39" t="s">
        <v>415</v>
      </c>
      <c r="C1182" s="42" t="str">
        <f>VLOOKUP(A1182,[1]Detalle!$D$2:$CW$484,98,FALSE)</f>
        <v>Sin Operación</v>
      </c>
      <c r="D1182" s="13">
        <v>46055</v>
      </c>
    </row>
    <row r="1183" spans="1:4" ht="14.25" customHeight="1" x14ac:dyDescent="0.3">
      <c r="A1183" s="12" t="s">
        <v>122</v>
      </c>
      <c r="B1183" s="39" t="s">
        <v>328</v>
      </c>
      <c r="C1183" s="42" t="str">
        <f>VLOOKUP(A1183,[1]Detalle!$D$2:$CW$484,98,FALSE)</f>
        <v>Sin Operación</v>
      </c>
      <c r="D1183" s="13">
        <v>46055</v>
      </c>
    </row>
    <row r="1184" spans="1:4" ht="14.25" customHeight="1" x14ac:dyDescent="0.3">
      <c r="A1184" s="12" t="s">
        <v>122</v>
      </c>
      <c r="B1184" s="39" t="s">
        <v>343</v>
      </c>
      <c r="C1184" s="42" t="str">
        <f>VLOOKUP(A1184,[1]Detalle!$D$2:$CW$484,98,FALSE)</f>
        <v>Sin Operación</v>
      </c>
      <c r="D1184" s="13">
        <v>46055</v>
      </c>
    </row>
    <row r="1185" spans="1:4" ht="14.25" customHeight="1" x14ac:dyDescent="0.3">
      <c r="A1185" s="12" t="s">
        <v>122</v>
      </c>
      <c r="B1185" s="39" t="s">
        <v>415</v>
      </c>
      <c r="C1185" s="42" t="str">
        <f>VLOOKUP(A1185,[1]Detalle!$D$2:$CW$484,98,FALSE)</f>
        <v>Sin Operación</v>
      </c>
      <c r="D1185" s="13">
        <v>46055</v>
      </c>
    </row>
    <row r="1186" spans="1:4" ht="14.25" customHeight="1" x14ac:dyDescent="0.3">
      <c r="A1186" s="12" t="s">
        <v>124</v>
      </c>
      <c r="B1186" s="39" t="s">
        <v>328</v>
      </c>
      <c r="C1186" s="42" t="str">
        <f>VLOOKUP(A1186,[1]Detalle!$D$2:$CW$484,98,FALSE)</f>
        <v>SUC_SRA - Sucursal San Rafael</v>
      </c>
      <c r="D1186" s="13">
        <v>46047</v>
      </c>
    </row>
    <row r="1187" spans="1:4" ht="14.25" customHeight="1" x14ac:dyDescent="0.3">
      <c r="A1187" s="12" t="s">
        <v>124</v>
      </c>
      <c r="B1187" s="39" t="s">
        <v>343</v>
      </c>
      <c r="C1187" s="42" t="str">
        <f>VLOOKUP(A1187,[1]Detalle!$D$2:$CW$484,98,FALSE)</f>
        <v>SUC_SRA - Sucursal San Rafael</v>
      </c>
      <c r="D1187" s="13">
        <v>46047</v>
      </c>
    </row>
    <row r="1188" spans="1:4" ht="14.25" customHeight="1" x14ac:dyDescent="0.3">
      <c r="A1188" s="12" t="s">
        <v>124</v>
      </c>
      <c r="B1188" s="39" t="s">
        <v>415</v>
      </c>
      <c r="C1188" s="42" t="str">
        <f>VLOOKUP(A1188,[1]Detalle!$D$2:$CW$484,98,FALSE)</f>
        <v>SUC_SRA - Sucursal San Rafael</v>
      </c>
      <c r="D1188" s="13">
        <v>46047</v>
      </c>
    </row>
    <row r="1189" spans="1:4" ht="14.25" customHeight="1" x14ac:dyDescent="0.3">
      <c r="A1189" s="12" t="s">
        <v>125</v>
      </c>
      <c r="B1189" s="39" t="s">
        <v>328</v>
      </c>
      <c r="C1189" s="42" t="str">
        <f>VLOOKUP(A1189,[1]Detalle!$D$2:$CW$484,98,FALSE)</f>
        <v>Sin Operación</v>
      </c>
      <c r="D1189" s="13">
        <v>46170</v>
      </c>
    </row>
    <row r="1190" spans="1:4" ht="14.25" customHeight="1" x14ac:dyDescent="0.3">
      <c r="A1190" s="15" t="s">
        <v>125</v>
      </c>
      <c r="B1190" s="39" t="s">
        <v>343</v>
      </c>
      <c r="C1190" s="42" t="str">
        <f>VLOOKUP(A1190,[1]Detalle!$D$2:$CW$484,98,FALSE)</f>
        <v>Sin Operación</v>
      </c>
      <c r="D1190" s="13">
        <v>46170</v>
      </c>
    </row>
    <row r="1191" spans="1:4" ht="14.25" customHeight="1" x14ac:dyDescent="0.3">
      <c r="A1191" s="15" t="s">
        <v>125</v>
      </c>
      <c r="B1191" s="39" t="s">
        <v>415</v>
      </c>
      <c r="C1191" s="42" t="str">
        <f>VLOOKUP(A1191,[1]Detalle!$D$2:$CW$484,98,FALSE)</f>
        <v>Sin Operación</v>
      </c>
      <c r="D1191" s="13">
        <v>46170</v>
      </c>
    </row>
    <row r="1192" spans="1:4" ht="14.25" customHeight="1" x14ac:dyDescent="0.3">
      <c r="A1192" s="15" t="s">
        <v>126</v>
      </c>
      <c r="B1192" s="39" t="s">
        <v>328</v>
      </c>
      <c r="C1192" s="42" t="str">
        <f>VLOOKUP(A1192,[1]Detalle!$D$2:$CW$484,98,FALSE)</f>
        <v>Sin Operación</v>
      </c>
      <c r="D1192" s="13">
        <v>46220</v>
      </c>
    </row>
    <row r="1193" spans="1:4" ht="14.25" customHeight="1" x14ac:dyDescent="0.3">
      <c r="A1193" s="15" t="s">
        <v>126</v>
      </c>
      <c r="B1193" s="39" t="s">
        <v>343</v>
      </c>
      <c r="C1193" s="42" t="str">
        <f>VLOOKUP(A1193,[1]Detalle!$D$2:$CW$484,98,FALSE)</f>
        <v>Sin Operación</v>
      </c>
      <c r="D1193" s="13">
        <v>46220</v>
      </c>
    </row>
    <row r="1194" spans="1:4" ht="14.25" customHeight="1" x14ac:dyDescent="0.3">
      <c r="A1194" s="22" t="s">
        <v>126</v>
      </c>
      <c r="B1194" s="39" t="s">
        <v>415</v>
      </c>
      <c r="C1194" s="42" t="str">
        <f>VLOOKUP(A1194,[1]Detalle!$D$2:$CW$484,98,FALSE)</f>
        <v>Sin Operación</v>
      </c>
      <c r="D1194" s="13">
        <v>46220</v>
      </c>
    </row>
    <row r="1195" spans="1:4" ht="14.25" customHeight="1" x14ac:dyDescent="0.3">
      <c r="A1195" s="23" t="s">
        <v>131</v>
      </c>
      <c r="B1195" s="39" t="s">
        <v>328</v>
      </c>
      <c r="C1195" s="42" t="str">
        <f>VLOOKUP(A1195,[1]Detalle!$D$2:$CW$484,98,FALSE)</f>
        <v>CMQ_TTE - QUILMES TTE</v>
      </c>
      <c r="D1195" s="13">
        <v>46274</v>
      </c>
    </row>
    <row r="1196" spans="1:4" ht="14.25" customHeight="1" x14ac:dyDescent="0.3">
      <c r="A1196" s="21" t="s">
        <v>131</v>
      </c>
      <c r="B1196" s="39" t="s">
        <v>343</v>
      </c>
      <c r="C1196" s="42" t="str">
        <f>VLOOKUP(A1196,[1]Detalle!$D$2:$CW$484,98,FALSE)</f>
        <v>CMQ_TTE - QUILMES TTE</v>
      </c>
      <c r="D1196" s="13">
        <v>46274</v>
      </c>
    </row>
    <row r="1197" spans="1:4" ht="14.25" customHeight="1" x14ac:dyDescent="0.3">
      <c r="A1197" s="21" t="s">
        <v>131</v>
      </c>
      <c r="B1197" s="39" t="s">
        <v>415</v>
      </c>
      <c r="C1197" s="42" t="str">
        <f>VLOOKUP(A1197,[1]Detalle!$D$2:$CW$484,98,FALSE)</f>
        <v>CMQ_TTE - QUILMES TTE</v>
      </c>
      <c r="D1197" s="13">
        <v>46274</v>
      </c>
    </row>
    <row r="1198" spans="1:4" ht="14.25" customHeight="1" x14ac:dyDescent="0.3">
      <c r="A1198" s="21" t="s">
        <v>191</v>
      </c>
      <c r="B1198" s="39" t="s">
        <v>328</v>
      </c>
      <c r="C1198" s="42" t="str">
        <f>VLOOKUP(A1198,[1]Detalle!$D$2:$CW$484,98,FALSE)</f>
        <v>CCUDyAZA</v>
      </c>
      <c r="D1198" s="13">
        <v>46281</v>
      </c>
    </row>
    <row r="1199" spans="1:4" ht="14.25" customHeight="1" x14ac:dyDescent="0.3">
      <c r="A1199" s="22" t="s">
        <v>191</v>
      </c>
      <c r="B1199" s="39" t="s">
        <v>343</v>
      </c>
      <c r="C1199" s="42" t="str">
        <f>VLOOKUP(A1199,[1]Detalle!$D$2:$CW$484,98,FALSE)</f>
        <v>CCUDyAZA</v>
      </c>
      <c r="D1199" s="13">
        <v>46281</v>
      </c>
    </row>
    <row r="1200" spans="1:4" ht="14.25" customHeight="1" x14ac:dyDescent="0.3">
      <c r="A1200" s="20" t="s">
        <v>191</v>
      </c>
      <c r="B1200" s="39" t="s">
        <v>415</v>
      </c>
      <c r="C1200" s="42" t="str">
        <f>VLOOKUP(A1200,[1]Detalle!$D$2:$CW$484,98,FALSE)</f>
        <v>CCUDyAZA</v>
      </c>
      <c r="D1200" s="13">
        <v>46281</v>
      </c>
    </row>
    <row r="1201" spans="1:4" ht="14.25" customHeight="1" x14ac:dyDescent="0.3">
      <c r="A1201" s="21" t="s">
        <v>197</v>
      </c>
      <c r="B1201" s="39" t="s">
        <v>328</v>
      </c>
      <c r="C1201" s="42" t="str">
        <f>VLOOKUP(A1201,[1]Detalle!$D$2:$CW$484,98,FALSE)</f>
        <v>Sin Operación</v>
      </c>
      <c r="D1201" s="13">
        <v>46094</v>
      </c>
    </row>
    <row r="1202" spans="1:4" ht="14.25" customHeight="1" x14ac:dyDescent="0.3">
      <c r="A1202" s="12" t="s">
        <v>197</v>
      </c>
      <c r="B1202" s="39" t="s">
        <v>343</v>
      </c>
      <c r="C1202" s="42" t="str">
        <f>VLOOKUP(A1202,[1]Detalle!$D$2:$CW$484,98,FALSE)</f>
        <v>Sin Operación</v>
      </c>
      <c r="D1202" s="13">
        <v>46094</v>
      </c>
    </row>
    <row r="1203" spans="1:4" ht="14.25" customHeight="1" x14ac:dyDescent="0.3">
      <c r="A1203" s="15" t="s">
        <v>197</v>
      </c>
      <c r="B1203" s="39" t="s">
        <v>415</v>
      </c>
      <c r="C1203" s="42" t="str">
        <f>VLOOKUP(A1203,[1]Detalle!$D$2:$CW$484,98,FALSE)</f>
        <v>Sin Operación</v>
      </c>
      <c r="D1203" s="13">
        <v>46094</v>
      </c>
    </row>
    <row r="1204" spans="1:4" ht="14.25" customHeight="1" x14ac:dyDescent="0.3">
      <c r="A1204" s="15" t="s">
        <v>200</v>
      </c>
      <c r="B1204" s="39" t="s">
        <v>328</v>
      </c>
      <c r="C1204" s="42" t="str">
        <f>VLOOKUP(A1204,[1]Detalle!$D$2:$CW$484,98,FALSE)</f>
        <v>Sin Operación</v>
      </c>
      <c r="D1204" s="13">
        <v>46116</v>
      </c>
    </row>
    <row r="1205" spans="1:4" ht="14.25" customHeight="1" x14ac:dyDescent="0.3">
      <c r="A1205" s="12" t="s">
        <v>200</v>
      </c>
      <c r="B1205" s="39" t="s">
        <v>343</v>
      </c>
      <c r="C1205" s="42" t="str">
        <f>VLOOKUP(A1205,[1]Detalle!$D$2:$CW$484,98,FALSE)</f>
        <v>Sin Operación</v>
      </c>
      <c r="D1205" s="13">
        <v>46116</v>
      </c>
    </row>
    <row r="1206" spans="1:4" ht="14.25" customHeight="1" x14ac:dyDescent="0.3">
      <c r="A1206" s="12" t="s">
        <v>200</v>
      </c>
      <c r="B1206" s="39" t="s">
        <v>415</v>
      </c>
      <c r="C1206" s="42" t="str">
        <f>VLOOKUP(A1206,[1]Detalle!$D$2:$CW$484,98,FALSE)</f>
        <v>Sin Operación</v>
      </c>
      <c r="D1206" s="13">
        <v>46116</v>
      </c>
    </row>
    <row r="1207" spans="1:4" ht="14.25" customHeight="1" x14ac:dyDescent="0.3">
      <c r="A1207" s="12" t="s">
        <v>206</v>
      </c>
      <c r="B1207" s="39" t="s">
        <v>328</v>
      </c>
      <c r="C1207" s="42" t="str">
        <f>VLOOKUP(A1207,[1]Detalle!$D$2:$CW$484,98,FALSE)</f>
        <v>Papelera - Papelera del Plata S.A.</v>
      </c>
      <c r="D1207" s="13">
        <v>46319</v>
      </c>
    </row>
    <row r="1208" spans="1:4" ht="14.25" customHeight="1" x14ac:dyDescent="0.3">
      <c r="A1208" s="12" t="s">
        <v>206</v>
      </c>
      <c r="B1208" s="39" t="s">
        <v>343</v>
      </c>
      <c r="C1208" s="42" t="str">
        <f>VLOOKUP(A1208,[1]Detalle!$D$2:$CW$484,98,FALSE)</f>
        <v>Papelera - Papelera del Plata S.A.</v>
      </c>
      <c r="D1208" s="13">
        <v>46319</v>
      </c>
    </row>
    <row r="1209" spans="1:4" ht="14.25" customHeight="1" x14ac:dyDescent="0.3">
      <c r="A1209" s="12" t="s">
        <v>206</v>
      </c>
      <c r="B1209" s="39" t="s">
        <v>415</v>
      </c>
      <c r="C1209" s="42" t="str">
        <f>VLOOKUP(A1209,[1]Detalle!$D$2:$CW$484,98,FALSE)</f>
        <v>Papelera - Papelera del Plata S.A.</v>
      </c>
      <c r="D1209" s="13">
        <v>46319</v>
      </c>
    </row>
    <row r="1210" spans="1:4" ht="14.25" customHeight="1" x14ac:dyDescent="0.3">
      <c r="A1210" s="12" t="s">
        <v>213</v>
      </c>
      <c r="B1210" s="39" t="s">
        <v>328</v>
      </c>
      <c r="C1210" s="42" t="str">
        <f>VLOOKUP(A1210,[1]Detalle!$D$2:$CW$484,98,FALSE)</f>
        <v>CMQ_TTE - QUILMES TTE</v>
      </c>
      <c r="D1210" s="13">
        <v>46079</v>
      </c>
    </row>
    <row r="1211" spans="1:4" ht="14.25" customHeight="1" x14ac:dyDescent="0.3">
      <c r="A1211" s="12" t="s">
        <v>213</v>
      </c>
      <c r="B1211" s="39" t="s">
        <v>343</v>
      </c>
      <c r="C1211" s="42" t="str">
        <f>VLOOKUP(A1211,[1]Detalle!$D$2:$CW$484,98,FALSE)</f>
        <v>CMQ_TTE - QUILMES TTE</v>
      </c>
      <c r="D1211" s="13">
        <v>46079</v>
      </c>
    </row>
    <row r="1212" spans="1:4" ht="14.25" customHeight="1" x14ac:dyDescent="0.3">
      <c r="A1212" s="15" t="s">
        <v>213</v>
      </c>
      <c r="B1212" s="39" t="s">
        <v>415</v>
      </c>
      <c r="C1212" s="42" t="str">
        <f>VLOOKUP(A1212,[1]Detalle!$D$2:$CW$484,98,FALSE)</f>
        <v>CMQ_TTE - QUILMES TTE</v>
      </c>
      <c r="D1212" s="13">
        <v>46079</v>
      </c>
    </row>
    <row r="1213" spans="1:4" ht="14.25" customHeight="1" x14ac:dyDescent="0.3">
      <c r="A1213" s="12" t="s">
        <v>225</v>
      </c>
      <c r="B1213" s="39" t="s">
        <v>328</v>
      </c>
      <c r="C1213" s="42" t="str">
        <f>VLOOKUP(A1213,[1]Detalle!$D$2:$CW$484,98,FALSE)</f>
        <v>AGN_TTE - AGUANORT - Transporte</v>
      </c>
      <c r="D1213" s="13">
        <v>46080</v>
      </c>
    </row>
    <row r="1214" spans="1:4" ht="14.25" customHeight="1" x14ac:dyDescent="0.3">
      <c r="A1214" s="12" t="s">
        <v>225</v>
      </c>
      <c r="B1214" s="39" t="s">
        <v>343</v>
      </c>
      <c r="C1214" s="42" t="str">
        <f>VLOOKUP(A1214,[1]Detalle!$D$2:$CW$484,98,FALSE)</f>
        <v>AGN_TTE - AGUANORT - Transporte</v>
      </c>
      <c r="D1214" s="13">
        <v>46080</v>
      </c>
    </row>
    <row r="1215" spans="1:4" ht="14.25" customHeight="1" x14ac:dyDescent="0.3">
      <c r="A1215" s="12" t="s">
        <v>225</v>
      </c>
      <c r="B1215" s="39" t="s">
        <v>415</v>
      </c>
      <c r="C1215" s="42" t="str">
        <f>VLOOKUP(A1215,[1]Detalle!$D$2:$CW$484,98,FALSE)</f>
        <v>AGN_TTE - AGUANORT - Transporte</v>
      </c>
      <c r="D1215" s="13">
        <v>46080</v>
      </c>
    </row>
    <row r="1216" spans="1:4" ht="14.25" customHeight="1" x14ac:dyDescent="0.3">
      <c r="A1216" s="12" t="s">
        <v>226</v>
      </c>
      <c r="B1216" s="39" t="s">
        <v>328</v>
      </c>
      <c r="C1216" s="42" t="str">
        <f>VLOOKUP(A1216,[1]Detalle!$D$2:$CW$484,98,FALSE)</f>
        <v>CMQ_TTE - QUILMES TTE</v>
      </c>
      <c r="D1216" s="13">
        <v>46213</v>
      </c>
    </row>
    <row r="1217" spans="1:4" ht="14.25" customHeight="1" x14ac:dyDescent="0.3">
      <c r="A1217" s="12" t="s">
        <v>226</v>
      </c>
      <c r="B1217" s="39" t="s">
        <v>343</v>
      </c>
      <c r="C1217" s="42" t="str">
        <f>VLOOKUP(A1217,[1]Detalle!$D$2:$CW$484,98,FALSE)</f>
        <v>CMQ_TTE - QUILMES TTE</v>
      </c>
      <c r="D1217" s="13">
        <v>46213</v>
      </c>
    </row>
    <row r="1218" spans="1:4" ht="14.25" customHeight="1" x14ac:dyDescent="0.3">
      <c r="A1218" s="12" t="s">
        <v>226</v>
      </c>
      <c r="B1218" s="39" t="s">
        <v>415</v>
      </c>
      <c r="C1218" s="42" t="str">
        <f>VLOOKUP(A1218,[1]Detalle!$D$2:$CW$484,98,FALSE)</f>
        <v>CMQ_TTE - QUILMES TTE</v>
      </c>
      <c r="D1218" s="13">
        <v>46213</v>
      </c>
    </row>
    <row r="1219" spans="1:4" ht="14.25" customHeight="1" x14ac:dyDescent="0.3">
      <c r="A1219" s="12" t="s">
        <v>241</v>
      </c>
      <c r="B1219" s="39" t="s">
        <v>328</v>
      </c>
      <c r="C1219" s="42" t="str">
        <f>VLOOKUP(A1219,[1]Detalle!$D$2:$CW$484,98,FALSE)</f>
        <v>CMQ_TTE - QUILMES TTE</v>
      </c>
      <c r="D1219" s="13">
        <v>46332</v>
      </c>
    </row>
    <row r="1220" spans="1:4" ht="14.25" customHeight="1" x14ac:dyDescent="0.3">
      <c r="A1220" s="12" t="s">
        <v>241</v>
      </c>
      <c r="B1220" s="39" t="s">
        <v>343</v>
      </c>
      <c r="C1220" s="42" t="str">
        <f>VLOOKUP(A1220,[1]Detalle!$D$2:$CW$484,98,FALSE)</f>
        <v>CMQ_TTE - QUILMES TTE</v>
      </c>
      <c r="D1220" s="13">
        <v>46332</v>
      </c>
    </row>
    <row r="1221" spans="1:4" ht="14.25" customHeight="1" x14ac:dyDescent="0.3">
      <c r="A1221" s="12" t="s">
        <v>241</v>
      </c>
      <c r="B1221" s="39" t="s">
        <v>415</v>
      </c>
      <c r="C1221" s="42" t="str">
        <f>VLOOKUP(A1221,[1]Detalle!$D$2:$CW$484,98,FALSE)</f>
        <v>CMQ_TTE - QUILMES TTE</v>
      </c>
      <c r="D1221" s="13">
        <v>46332</v>
      </c>
    </row>
    <row r="1222" spans="1:4" ht="14.25" customHeight="1" x14ac:dyDescent="0.3">
      <c r="A1222" s="12" t="s">
        <v>247</v>
      </c>
      <c r="B1222" s="39" t="s">
        <v>328</v>
      </c>
      <c r="C1222" s="42" t="str">
        <f>VLOOKUP(A1222,[1]Detalle!$D$2:$CW$484,98,FALSE)</f>
        <v>CIMSA_MZA</v>
      </c>
      <c r="D1222" s="13">
        <v>46361</v>
      </c>
    </row>
    <row r="1223" spans="1:4" ht="14.25" customHeight="1" x14ac:dyDescent="0.3">
      <c r="A1223" s="12" t="s">
        <v>247</v>
      </c>
      <c r="B1223" s="39" t="s">
        <v>343</v>
      </c>
      <c r="C1223" s="42" t="str">
        <f>VLOOKUP(A1223,[1]Detalle!$D$2:$CW$484,98,FALSE)</f>
        <v>CIMSA_MZA</v>
      </c>
      <c r="D1223" s="13">
        <v>46361</v>
      </c>
    </row>
    <row r="1224" spans="1:4" ht="14.25" customHeight="1" x14ac:dyDescent="0.3">
      <c r="A1224" s="12" t="s">
        <v>247</v>
      </c>
      <c r="B1224" s="39" t="s">
        <v>415</v>
      </c>
      <c r="C1224" s="42" t="str">
        <f>VLOOKUP(A1224,[1]Detalle!$D$2:$CW$484,98,FALSE)</f>
        <v>CIMSA_MZA</v>
      </c>
      <c r="D1224" s="13">
        <v>46361</v>
      </c>
    </row>
    <row r="1225" spans="1:4" ht="14.25" customHeight="1" x14ac:dyDescent="0.3">
      <c r="A1225" s="12" t="s">
        <v>250</v>
      </c>
      <c r="B1225" s="39" t="s">
        <v>328</v>
      </c>
      <c r="C1225" s="42" t="str">
        <f>VLOOKUP(A1225,[1]Detalle!$D$2:$CW$484,98,FALSE)</f>
        <v>CMQ_TTE - QUILMES TTE</v>
      </c>
      <c r="D1225" s="13">
        <v>46152</v>
      </c>
    </row>
    <row r="1226" spans="1:4" ht="14.25" customHeight="1" x14ac:dyDescent="0.3">
      <c r="A1226" s="12" t="s">
        <v>250</v>
      </c>
      <c r="B1226" s="39" t="s">
        <v>343</v>
      </c>
      <c r="C1226" s="42" t="str">
        <f>VLOOKUP(A1226,[1]Detalle!$D$2:$CW$484,98,FALSE)</f>
        <v>CMQ_TTE - QUILMES TTE</v>
      </c>
      <c r="D1226" s="13">
        <v>46152</v>
      </c>
    </row>
    <row r="1227" spans="1:4" ht="14.25" customHeight="1" x14ac:dyDescent="0.3">
      <c r="A1227" s="12" t="s">
        <v>250</v>
      </c>
      <c r="B1227" s="39" t="s">
        <v>415</v>
      </c>
      <c r="C1227" s="42" t="str">
        <f>VLOOKUP(A1227,[1]Detalle!$D$2:$CW$484,98,FALSE)</f>
        <v>CMQ_TTE - QUILMES TTE</v>
      </c>
      <c r="D1227" s="13">
        <v>46152</v>
      </c>
    </row>
    <row r="1228" spans="1:4" ht="14.25" customHeight="1" x14ac:dyDescent="0.3">
      <c r="A1228" s="12" t="s">
        <v>253</v>
      </c>
      <c r="B1228" s="39" t="s">
        <v>328</v>
      </c>
      <c r="C1228" s="42" t="str">
        <f>VLOOKUP(A1228,[1]Detalle!$D$2:$CW$484,98,FALSE)</f>
        <v>CMQ_TTE - QUILMES TTE</v>
      </c>
      <c r="D1228" s="13">
        <v>46162</v>
      </c>
    </row>
    <row r="1229" spans="1:4" ht="14.25" customHeight="1" x14ac:dyDescent="0.3">
      <c r="A1229" s="12" t="s">
        <v>253</v>
      </c>
      <c r="B1229" s="39" t="s">
        <v>343</v>
      </c>
      <c r="C1229" s="42" t="str">
        <f>VLOOKUP(A1229,[1]Detalle!$D$2:$CW$484,98,FALSE)</f>
        <v>CMQ_TTE - QUILMES TTE</v>
      </c>
      <c r="D1229" s="13">
        <v>46162</v>
      </c>
    </row>
    <row r="1230" spans="1:4" ht="14.25" customHeight="1" x14ac:dyDescent="0.3">
      <c r="A1230" s="12" t="s">
        <v>253</v>
      </c>
      <c r="B1230" s="39" t="s">
        <v>415</v>
      </c>
      <c r="C1230" s="42" t="str">
        <f>VLOOKUP(A1230,[1]Detalle!$D$2:$CW$484,98,FALSE)</f>
        <v>CMQ_TTE - QUILMES TTE</v>
      </c>
      <c r="D1230" s="13">
        <v>46162</v>
      </c>
    </row>
    <row r="1231" spans="1:4" ht="14.25" customHeight="1" x14ac:dyDescent="0.3">
      <c r="A1231" s="24" t="s">
        <v>277</v>
      </c>
      <c r="B1231" s="40" t="s">
        <v>328</v>
      </c>
      <c r="C1231" s="42" t="str">
        <f>VLOOKUP(A1231,[1]Detalle!$D$2:$CW$484,98,FALSE)</f>
        <v>Expreso - Servicios Troncales</v>
      </c>
      <c r="D1231" s="13">
        <v>46134</v>
      </c>
    </row>
    <row r="1232" spans="1:4" ht="14.25" customHeight="1" x14ac:dyDescent="0.3">
      <c r="A1232" s="24" t="s">
        <v>277</v>
      </c>
      <c r="B1232" s="40" t="s">
        <v>343</v>
      </c>
      <c r="C1232" s="42" t="str">
        <f>VLOOKUP(A1232,[1]Detalle!$D$2:$CW$484,98,FALSE)</f>
        <v>Expreso - Servicios Troncales</v>
      </c>
      <c r="D1232" s="13">
        <v>46134</v>
      </c>
    </row>
    <row r="1233" spans="1:4" ht="14.25" customHeight="1" x14ac:dyDescent="0.3">
      <c r="A1233" s="24" t="s">
        <v>277</v>
      </c>
      <c r="B1233" s="40" t="s">
        <v>415</v>
      </c>
      <c r="C1233" s="42" t="str">
        <f>VLOOKUP(A1233,[1]Detalle!$D$2:$CW$484,98,FALSE)</f>
        <v>Expreso - Servicios Troncales</v>
      </c>
      <c r="D1233" s="13">
        <v>46134</v>
      </c>
    </row>
    <row r="1234" spans="1:4" ht="14.25" customHeight="1" x14ac:dyDescent="0.3">
      <c r="A1234" s="15" t="s">
        <v>278</v>
      </c>
      <c r="B1234" s="39" t="s">
        <v>328</v>
      </c>
      <c r="C1234" s="42" t="str">
        <f>VLOOKUP(A1234,[1]Detalle!$D$2:$CW$484,98,FALSE)</f>
        <v>Expreso - Servicios Troncales</v>
      </c>
      <c r="D1234" s="13">
        <v>46047</v>
      </c>
    </row>
    <row r="1235" spans="1:4" ht="14.25" customHeight="1" x14ac:dyDescent="0.3">
      <c r="A1235" s="22" t="s">
        <v>278</v>
      </c>
      <c r="B1235" s="39" t="s">
        <v>343</v>
      </c>
      <c r="C1235" s="42" t="str">
        <f>VLOOKUP(A1235,[1]Detalle!$D$2:$CW$484,98,FALSE)</f>
        <v>Expreso - Servicios Troncales</v>
      </c>
      <c r="D1235" s="13">
        <v>46047</v>
      </c>
    </row>
    <row r="1236" spans="1:4" ht="14.25" customHeight="1" x14ac:dyDescent="0.3">
      <c r="A1236" s="23" t="s">
        <v>278</v>
      </c>
      <c r="B1236" s="39" t="s">
        <v>415</v>
      </c>
      <c r="C1236" s="42" t="str">
        <f>VLOOKUP(A1236,[1]Detalle!$D$2:$CW$484,98,FALSE)</f>
        <v>Expreso - Servicios Troncales</v>
      </c>
      <c r="D1236" s="13">
        <v>46047</v>
      </c>
    </row>
    <row r="1237" spans="1:4" ht="14.25" customHeight="1" x14ac:dyDescent="0.3">
      <c r="A1237" s="21" t="s">
        <v>281</v>
      </c>
      <c r="B1237" s="39" t="s">
        <v>328</v>
      </c>
      <c r="C1237" s="42" t="str">
        <f>VLOOKUP(A1237,[1]Detalle!$D$2:$CW$484,98,FALSE)</f>
        <v>SUC_SRA - Sucursal San Rafael</v>
      </c>
      <c r="D1237" s="13">
        <v>46047</v>
      </c>
    </row>
    <row r="1238" spans="1:4" ht="14.25" customHeight="1" x14ac:dyDescent="0.3">
      <c r="A1238" s="21" t="s">
        <v>281</v>
      </c>
      <c r="B1238" s="39" t="s">
        <v>343</v>
      </c>
      <c r="C1238" s="42" t="str">
        <f>VLOOKUP(A1238,[1]Detalle!$D$2:$CW$484,98,FALSE)</f>
        <v>SUC_SRA - Sucursal San Rafael</v>
      </c>
      <c r="D1238" s="13">
        <v>46047</v>
      </c>
    </row>
    <row r="1239" spans="1:4" ht="14.25" customHeight="1" x14ac:dyDescent="0.3">
      <c r="A1239" s="21" t="s">
        <v>281</v>
      </c>
      <c r="B1239" s="39" t="s">
        <v>415</v>
      </c>
      <c r="C1239" s="42" t="str">
        <f>VLOOKUP(A1239,[1]Detalle!$D$2:$CW$484,98,FALSE)</f>
        <v>SUC_SRA - Sucursal San Rafael</v>
      </c>
      <c r="D1239" s="13">
        <v>46047</v>
      </c>
    </row>
    <row r="1240" spans="1:4" ht="14.25" customHeight="1" x14ac:dyDescent="0.3">
      <c r="A1240" s="22" t="s">
        <v>282</v>
      </c>
      <c r="B1240" s="39" t="s">
        <v>328</v>
      </c>
      <c r="C1240" s="42" t="str">
        <f>VLOOKUP(A1240,[1]Detalle!$D$2:$CW$484,98,FALSE)</f>
        <v>Sin Operación</v>
      </c>
      <c r="D1240" s="13">
        <v>46047</v>
      </c>
    </row>
    <row r="1241" spans="1:4" ht="14.25" customHeight="1" x14ac:dyDescent="0.3">
      <c r="A1241" s="20" t="s">
        <v>282</v>
      </c>
      <c r="B1241" s="39" t="s">
        <v>343</v>
      </c>
      <c r="C1241" s="42" t="str">
        <f>VLOOKUP(A1241,[1]Detalle!$D$2:$CW$484,98,FALSE)</f>
        <v>Sin Operación</v>
      </c>
      <c r="D1241" s="13">
        <v>46047</v>
      </c>
    </row>
    <row r="1242" spans="1:4" ht="14.25" customHeight="1" x14ac:dyDescent="0.3">
      <c r="A1242" s="21" t="s">
        <v>282</v>
      </c>
      <c r="B1242" s="39" t="s">
        <v>415</v>
      </c>
      <c r="C1242" s="42" t="str">
        <f>VLOOKUP(A1242,[1]Detalle!$D$2:$CW$484,98,FALSE)</f>
        <v>Sin Operación</v>
      </c>
      <c r="D1242" s="13">
        <v>46047</v>
      </c>
    </row>
    <row r="1243" spans="1:4" ht="14.25" customHeight="1" x14ac:dyDescent="0.3">
      <c r="A1243" s="12" t="s">
        <v>50</v>
      </c>
      <c r="B1243" s="39" t="s">
        <v>415</v>
      </c>
      <c r="C1243" s="42" t="str">
        <f>VLOOKUP(A1243,[1]Detalle!$D$2:$CW$484,98,FALSE)</f>
        <v>CIMSA_BS AS</v>
      </c>
      <c r="D1243" s="13">
        <v>46247</v>
      </c>
    </row>
    <row r="1244" spans="1:4" ht="14.25" customHeight="1" x14ac:dyDescent="0.3">
      <c r="A1244" s="12" t="s">
        <v>80</v>
      </c>
      <c r="B1244" s="39" t="s">
        <v>415</v>
      </c>
      <c r="C1244" s="42" t="str">
        <f>VLOOKUP(A1244,[1]Detalle!$D$2:$CW$484,98,FALSE)</f>
        <v>CIMSA_BS AS</v>
      </c>
      <c r="D1244" s="13">
        <v>46068</v>
      </c>
    </row>
    <row r="1245" spans="1:4" ht="14.25" customHeight="1" x14ac:dyDescent="0.3">
      <c r="A1245" s="12" t="s">
        <v>247</v>
      </c>
      <c r="B1245" s="39" t="s">
        <v>415</v>
      </c>
      <c r="C1245" s="42" t="str">
        <f>VLOOKUP(A1245,[1]Detalle!$D$2:$CW$484,98,FALSE)</f>
        <v>CIMSA_MZA</v>
      </c>
      <c r="D1245" s="13">
        <v>46361</v>
      </c>
    </row>
    <row r="1246" spans="1:4" ht="14.25" customHeight="1" x14ac:dyDescent="0.3">
      <c r="A1246" s="12" t="s">
        <v>4</v>
      </c>
      <c r="B1246" s="39" t="s">
        <v>328</v>
      </c>
      <c r="C1246" s="42" t="str">
        <f>VLOOKUP(A1246,[1]Detalle!$D$2:$CW$484,98,FALSE)</f>
        <v>CCUDyAZA</v>
      </c>
      <c r="D1246" s="13">
        <v>46338</v>
      </c>
    </row>
    <row r="1247" spans="1:4" ht="14.25" customHeight="1" x14ac:dyDescent="0.3">
      <c r="A1247" s="12" t="s">
        <v>25</v>
      </c>
      <c r="B1247" s="39" t="s">
        <v>328</v>
      </c>
      <c r="C1247" s="42" t="str">
        <f>VLOOKUP(A1247,[1]Detalle!$D$2:$CW$484,98,FALSE)</f>
        <v>CMQ_TTE - QUILMES TTE</v>
      </c>
      <c r="D1247" s="13">
        <v>46312</v>
      </c>
    </row>
    <row r="1248" spans="1:4" ht="14.25" customHeight="1" x14ac:dyDescent="0.3">
      <c r="A1248" s="12" t="s">
        <v>26</v>
      </c>
      <c r="B1248" s="39" t="s">
        <v>328</v>
      </c>
      <c r="C1248" s="42" t="str">
        <f>VLOOKUP(A1248,[1]Detalle!$D$2:$CW$484,98,FALSE)</f>
        <v>CMQ_TTE - QUILMES TTE</v>
      </c>
      <c r="D1248" s="13">
        <v>46338</v>
      </c>
    </row>
    <row r="1249" spans="1:4" ht="14.25" customHeight="1" x14ac:dyDescent="0.3">
      <c r="A1249" s="12" t="s">
        <v>29</v>
      </c>
      <c r="B1249" s="39" t="s">
        <v>328</v>
      </c>
      <c r="C1249" s="42" t="str">
        <f>VLOOKUP(A1249,[1]Detalle!$D$2:$CW$484,98,FALSE)</f>
        <v>CMQ_TTE - QUILMES TTE</v>
      </c>
      <c r="D1249" s="13">
        <v>46282</v>
      </c>
    </row>
    <row r="1250" spans="1:4" ht="14.25" customHeight="1" x14ac:dyDescent="0.3">
      <c r="A1250" s="12" t="s">
        <v>45</v>
      </c>
      <c r="B1250" s="39" t="s">
        <v>328</v>
      </c>
      <c r="C1250" s="42" t="str">
        <f>VLOOKUP(A1250,[1]Detalle!$D$2:$CW$484,98,FALSE)</f>
        <v>CMQ_TTE - QUILMES TTE</v>
      </c>
      <c r="D1250" s="13">
        <v>46341</v>
      </c>
    </row>
    <row r="1251" spans="1:4" ht="14.25" customHeight="1" x14ac:dyDescent="0.3">
      <c r="A1251" s="12" t="s">
        <v>50</v>
      </c>
      <c r="B1251" s="39" t="s">
        <v>328</v>
      </c>
      <c r="C1251" s="42" t="str">
        <f>VLOOKUP(A1251,[1]Detalle!$D$2:$CW$484,98,FALSE)</f>
        <v>CIMSA_BS AS</v>
      </c>
      <c r="D1251" s="13">
        <v>46247</v>
      </c>
    </row>
    <row r="1252" spans="1:4" ht="14.25" customHeight="1" x14ac:dyDescent="0.3">
      <c r="A1252" s="12" t="s">
        <v>72</v>
      </c>
      <c r="B1252" s="39" t="s">
        <v>328</v>
      </c>
      <c r="C1252" s="42" t="str">
        <f>VLOOKUP(A1252,[1]Detalle!$D$2:$CW$484,98,FALSE)</f>
        <v>CMQ_TTE - QUILMES TTE</v>
      </c>
      <c r="D1252" s="13">
        <v>46376</v>
      </c>
    </row>
    <row r="1253" spans="1:4" ht="14.25" customHeight="1" x14ac:dyDescent="0.3">
      <c r="A1253" s="12" t="s">
        <v>80</v>
      </c>
      <c r="B1253" s="39" t="s">
        <v>328</v>
      </c>
      <c r="C1253" s="42" t="str">
        <f>VLOOKUP(A1253,[1]Detalle!$D$2:$CW$484,98,FALSE)</f>
        <v>CIMSA_BS AS</v>
      </c>
      <c r="D1253" s="13">
        <v>46068</v>
      </c>
    </row>
    <row r="1254" spans="1:4" ht="14.25" customHeight="1" x14ac:dyDescent="0.3">
      <c r="A1254" s="12" t="s">
        <v>89</v>
      </c>
      <c r="B1254" s="39" t="s">
        <v>328</v>
      </c>
      <c r="C1254" s="42" t="str">
        <f>VLOOKUP(A1254,[1]Detalle!$D$2:$CW$484,98,FALSE)</f>
        <v>CMQ_TTE - QUILMES TTE</v>
      </c>
      <c r="D1254" s="13">
        <v>46312</v>
      </c>
    </row>
    <row r="1255" spans="1:4" ht="14.25" customHeight="1" x14ac:dyDescent="0.3">
      <c r="A1255" s="12" t="s">
        <v>90</v>
      </c>
      <c r="B1255" s="39" t="s">
        <v>328</v>
      </c>
      <c r="C1255" s="42" t="str">
        <f>VLOOKUP(A1255,[1]Detalle!$D$2:$CW$484,98,FALSE)</f>
        <v>CMQ_TTE - QUILMES TTE</v>
      </c>
      <c r="D1255" s="13">
        <v>46368</v>
      </c>
    </row>
    <row r="1256" spans="1:4" ht="14.25" customHeight="1" x14ac:dyDescent="0.3">
      <c r="A1256" s="15" t="s">
        <v>94</v>
      </c>
      <c r="B1256" s="39" t="s">
        <v>328</v>
      </c>
      <c r="C1256" s="42" t="str">
        <f>VLOOKUP(A1256,[1]Detalle!$D$2:$CW$484,98,FALSE)</f>
        <v>CMQ_TTE - QUILMES TTE</v>
      </c>
      <c r="D1256" s="13">
        <v>46330</v>
      </c>
    </row>
    <row r="1257" spans="1:4" ht="14.25" customHeight="1" x14ac:dyDescent="0.3">
      <c r="A1257" s="17" t="s">
        <v>102</v>
      </c>
      <c r="B1257" s="39" t="s">
        <v>328</v>
      </c>
      <c r="C1257" s="42" t="str">
        <f>VLOOKUP(A1257,[1]Detalle!$D$2:$CW$484,98,FALSE)</f>
        <v>Sin Operación</v>
      </c>
      <c r="D1257" s="13">
        <v>46368</v>
      </c>
    </row>
    <row r="1258" spans="1:4" ht="14.25" customHeight="1" x14ac:dyDescent="0.3">
      <c r="A1258" s="19" t="s">
        <v>103</v>
      </c>
      <c r="B1258" s="39" t="s">
        <v>328</v>
      </c>
      <c r="C1258" s="42" t="str">
        <f>VLOOKUP(A1258,[1]Detalle!$D$2:$CW$484,98,FALSE)</f>
        <v>Sin Operación</v>
      </c>
      <c r="D1258" s="13">
        <v>46024</v>
      </c>
    </row>
    <row r="1259" spans="1:4" ht="14.25" customHeight="1" x14ac:dyDescent="0.3">
      <c r="A1259" s="20" t="s">
        <v>107</v>
      </c>
      <c r="B1259" s="39" t="s">
        <v>328</v>
      </c>
      <c r="C1259" s="42" t="str">
        <f>VLOOKUP(A1259,[1]Detalle!$D$2:$CW$484,98,FALSE)</f>
        <v>SUC_REA - Sucursal Realicó</v>
      </c>
      <c r="D1259" s="13">
        <v>46368</v>
      </c>
    </row>
    <row r="1260" spans="1:4" ht="14.25" customHeight="1" x14ac:dyDescent="0.3">
      <c r="A1260" s="15" t="s">
        <v>110</v>
      </c>
      <c r="B1260" s="39" t="s">
        <v>328</v>
      </c>
      <c r="C1260" s="42" t="str">
        <f>VLOOKUP(A1260,[1]Detalle!$D$2:$CW$484,98,FALSE)</f>
        <v>CIMSA_BS AS</v>
      </c>
      <c r="D1260" s="13">
        <v>46058</v>
      </c>
    </row>
    <row r="1261" spans="1:4" ht="14.25" customHeight="1" x14ac:dyDescent="0.3">
      <c r="A1261" s="12" t="s">
        <v>112</v>
      </c>
      <c r="B1261" s="39" t="s">
        <v>328</v>
      </c>
      <c r="C1261" s="42" t="str">
        <f>VLOOKUP(A1261,[1]Detalle!$D$2:$CW$484,98,FALSE)</f>
        <v>Sin Operación</v>
      </c>
      <c r="D1261" s="13">
        <v>46055</v>
      </c>
    </row>
    <row r="1262" spans="1:4" ht="14.25" customHeight="1" x14ac:dyDescent="0.3">
      <c r="A1262" s="12" t="s">
        <v>113</v>
      </c>
      <c r="B1262" s="39" t="s">
        <v>328</v>
      </c>
      <c r="C1262" s="42" t="str">
        <f>VLOOKUP(A1262,[1]Detalle!$D$2:$CW$484,98,FALSE)</f>
        <v>Sin Operación</v>
      </c>
      <c r="D1262" s="13">
        <v>46055</v>
      </c>
    </row>
    <row r="1263" spans="1:4" ht="14.25" customHeight="1" x14ac:dyDescent="0.3">
      <c r="A1263" s="15" t="s">
        <v>115</v>
      </c>
      <c r="B1263" s="39" t="s">
        <v>328</v>
      </c>
      <c r="C1263" s="42" t="str">
        <f>VLOOKUP(A1263,[1]Detalle!$D$2:$CW$484,98,FALSE)</f>
        <v>Sin Operación</v>
      </c>
      <c r="D1263" s="13">
        <v>46277</v>
      </c>
    </row>
    <row r="1264" spans="1:4" ht="14.25" customHeight="1" x14ac:dyDescent="0.3">
      <c r="A1264" s="12" t="s">
        <v>116</v>
      </c>
      <c r="B1264" s="39" t="s">
        <v>328</v>
      </c>
      <c r="C1264" s="42" t="str">
        <f>VLOOKUP(A1264,[1]Detalle!$D$2:$CW$484,98,FALSE)</f>
        <v>Sin Operación</v>
      </c>
      <c r="D1264" s="13">
        <v>46085</v>
      </c>
    </row>
    <row r="1265" spans="1:4" ht="14.25" customHeight="1" x14ac:dyDescent="0.3">
      <c r="A1265" s="12" t="s">
        <v>117</v>
      </c>
      <c r="B1265" s="39" t="s">
        <v>328</v>
      </c>
      <c r="C1265" s="42" t="str">
        <f>VLOOKUP(A1265,[1]Detalle!$D$2:$CW$484,98,FALSE)</f>
        <v>Sin Operación</v>
      </c>
      <c r="D1265" s="13">
        <v>46038</v>
      </c>
    </row>
    <row r="1266" spans="1:4" ht="14.25" customHeight="1" x14ac:dyDescent="0.3">
      <c r="A1266" s="12" t="s">
        <v>121</v>
      </c>
      <c r="B1266" s="39" t="s">
        <v>328</v>
      </c>
      <c r="C1266" s="42" t="str">
        <f>VLOOKUP(A1266,[1]Detalle!$D$2:$CW$484,98,FALSE)</f>
        <v>Sin Operación</v>
      </c>
      <c r="D1266" s="13">
        <v>46055</v>
      </c>
    </row>
    <row r="1267" spans="1:4" ht="14.25" customHeight="1" x14ac:dyDescent="0.3">
      <c r="A1267" s="12" t="s">
        <v>122</v>
      </c>
      <c r="B1267" s="39" t="s">
        <v>328</v>
      </c>
      <c r="C1267" s="42" t="str">
        <f>VLOOKUP(A1267,[1]Detalle!$D$2:$CW$484,98,FALSE)</f>
        <v>Sin Operación</v>
      </c>
      <c r="D1267" s="13">
        <v>46055</v>
      </c>
    </row>
    <row r="1268" spans="1:4" ht="14.25" customHeight="1" x14ac:dyDescent="0.3">
      <c r="A1268" s="12" t="s">
        <v>124</v>
      </c>
      <c r="B1268" s="39" t="s">
        <v>328</v>
      </c>
      <c r="C1268" s="42" t="str">
        <f>VLOOKUP(A1268,[1]Detalle!$D$2:$CW$484,98,FALSE)</f>
        <v>SUC_SRA - Sucursal San Rafael</v>
      </c>
      <c r="D1268" s="13">
        <v>46047</v>
      </c>
    </row>
    <row r="1269" spans="1:4" ht="14.25" customHeight="1" x14ac:dyDescent="0.3">
      <c r="A1269" s="12" t="s">
        <v>125</v>
      </c>
      <c r="B1269" s="39" t="s">
        <v>328</v>
      </c>
      <c r="C1269" s="42" t="str">
        <f>VLOOKUP(A1269,[1]Detalle!$D$2:$CW$484,98,FALSE)</f>
        <v>Sin Operación</v>
      </c>
      <c r="D1269" s="13">
        <v>46170</v>
      </c>
    </row>
    <row r="1270" spans="1:4" ht="14.25" customHeight="1" x14ac:dyDescent="0.3">
      <c r="A1270" s="15" t="s">
        <v>126</v>
      </c>
      <c r="B1270" s="39" t="s">
        <v>328</v>
      </c>
      <c r="C1270" s="42" t="str">
        <f>VLOOKUP(A1270,[1]Detalle!$D$2:$CW$484,98,FALSE)</f>
        <v>Sin Operación</v>
      </c>
      <c r="D1270" s="13">
        <v>46220</v>
      </c>
    </row>
    <row r="1271" spans="1:4" ht="14.25" customHeight="1" x14ac:dyDescent="0.3">
      <c r="A1271" s="23" t="s">
        <v>131</v>
      </c>
      <c r="B1271" s="39" t="s">
        <v>328</v>
      </c>
      <c r="C1271" s="42" t="str">
        <f>VLOOKUP(A1271,[1]Detalle!$D$2:$CW$484,98,FALSE)</f>
        <v>CMQ_TTE - QUILMES TTE</v>
      </c>
      <c r="D1271" s="13">
        <v>46274</v>
      </c>
    </row>
    <row r="1272" spans="1:4" ht="14.25" customHeight="1" x14ac:dyDescent="0.3">
      <c r="A1272" s="21" t="s">
        <v>191</v>
      </c>
      <c r="B1272" s="39" t="s">
        <v>328</v>
      </c>
      <c r="C1272" s="42" t="str">
        <f>VLOOKUP(A1272,[1]Detalle!$D$2:$CW$484,98,FALSE)</f>
        <v>CCUDyAZA</v>
      </c>
      <c r="D1272" s="13">
        <v>46281</v>
      </c>
    </row>
    <row r="1273" spans="1:4" ht="14.25" customHeight="1" x14ac:dyDescent="0.3">
      <c r="A1273" s="21" t="s">
        <v>197</v>
      </c>
      <c r="B1273" s="39" t="s">
        <v>328</v>
      </c>
      <c r="C1273" s="42" t="str">
        <f>VLOOKUP(A1273,[1]Detalle!$D$2:$CW$484,98,FALSE)</f>
        <v>Sin Operación</v>
      </c>
      <c r="D1273" s="13">
        <v>46094</v>
      </c>
    </row>
    <row r="1274" spans="1:4" ht="14.25" customHeight="1" x14ac:dyDescent="0.3">
      <c r="A1274" s="15" t="s">
        <v>200</v>
      </c>
      <c r="B1274" s="39" t="s">
        <v>328</v>
      </c>
      <c r="C1274" s="42" t="str">
        <f>VLOOKUP(A1274,[1]Detalle!$D$2:$CW$484,98,FALSE)</f>
        <v>Sin Operación</v>
      </c>
      <c r="D1274" s="13">
        <v>46116</v>
      </c>
    </row>
    <row r="1275" spans="1:4" ht="14.25" customHeight="1" x14ac:dyDescent="0.3">
      <c r="A1275" s="12" t="s">
        <v>206</v>
      </c>
      <c r="B1275" s="39" t="s">
        <v>328</v>
      </c>
      <c r="C1275" s="42" t="str">
        <f>VLOOKUP(A1275,[1]Detalle!$D$2:$CW$484,98,FALSE)</f>
        <v>Papelera - Papelera del Plata S.A.</v>
      </c>
      <c r="D1275" s="13">
        <v>46319</v>
      </c>
    </row>
    <row r="1276" spans="1:4" ht="14.25" customHeight="1" x14ac:dyDescent="0.3">
      <c r="A1276" s="12" t="s">
        <v>213</v>
      </c>
      <c r="B1276" s="39" t="s">
        <v>328</v>
      </c>
      <c r="C1276" s="42" t="str">
        <f>VLOOKUP(A1276,[1]Detalle!$D$2:$CW$484,98,FALSE)</f>
        <v>CMQ_TTE - QUILMES TTE</v>
      </c>
      <c r="D1276" s="13">
        <v>46079</v>
      </c>
    </row>
    <row r="1277" spans="1:4" ht="14.25" customHeight="1" x14ac:dyDescent="0.3">
      <c r="A1277" s="12" t="s">
        <v>225</v>
      </c>
      <c r="B1277" s="39" t="s">
        <v>328</v>
      </c>
      <c r="C1277" s="42" t="str">
        <f>VLOOKUP(A1277,[1]Detalle!$D$2:$CW$484,98,FALSE)</f>
        <v>AGN_TTE - AGUANORT - Transporte</v>
      </c>
      <c r="D1277" s="13">
        <v>46080</v>
      </c>
    </row>
    <row r="1278" spans="1:4" ht="14.25" customHeight="1" x14ac:dyDescent="0.3">
      <c r="A1278" s="12" t="s">
        <v>226</v>
      </c>
      <c r="B1278" s="39" t="s">
        <v>328</v>
      </c>
      <c r="C1278" s="42" t="str">
        <f>VLOOKUP(A1278,[1]Detalle!$D$2:$CW$484,98,FALSE)</f>
        <v>CMQ_TTE - QUILMES TTE</v>
      </c>
      <c r="D1278" s="13">
        <v>46213</v>
      </c>
    </row>
    <row r="1279" spans="1:4" ht="14.25" customHeight="1" x14ac:dyDescent="0.3">
      <c r="A1279" s="12" t="s">
        <v>241</v>
      </c>
      <c r="B1279" s="39" t="s">
        <v>328</v>
      </c>
      <c r="C1279" s="42" t="str">
        <f>VLOOKUP(A1279,[1]Detalle!$D$2:$CW$484,98,FALSE)</f>
        <v>CMQ_TTE - QUILMES TTE</v>
      </c>
      <c r="D1279" s="13">
        <v>46332</v>
      </c>
    </row>
    <row r="1280" spans="1:4" ht="14.25" customHeight="1" x14ac:dyDescent="0.3">
      <c r="A1280" s="12" t="s">
        <v>247</v>
      </c>
      <c r="B1280" s="39" t="s">
        <v>328</v>
      </c>
      <c r="C1280" s="42" t="str">
        <f>VLOOKUP(A1280,[1]Detalle!$D$2:$CW$484,98,FALSE)</f>
        <v>CIMSA_MZA</v>
      </c>
      <c r="D1280" s="13">
        <v>46361</v>
      </c>
    </row>
    <row r="1281" spans="1:4" ht="14.25" customHeight="1" x14ac:dyDescent="0.3">
      <c r="A1281" s="12" t="s">
        <v>250</v>
      </c>
      <c r="B1281" s="39" t="s">
        <v>328</v>
      </c>
      <c r="C1281" s="42" t="str">
        <f>VLOOKUP(A1281,[1]Detalle!$D$2:$CW$484,98,FALSE)</f>
        <v>CMQ_TTE - QUILMES TTE</v>
      </c>
      <c r="D1281" s="13">
        <v>46152</v>
      </c>
    </row>
    <row r="1282" spans="1:4" ht="14.25" customHeight="1" x14ac:dyDescent="0.3">
      <c r="A1282" s="12" t="s">
        <v>253</v>
      </c>
      <c r="B1282" s="39" t="s">
        <v>328</v>
      </c>
      <c r="C1282" s="42" t="str">
        <f>VLOOKUP(A1282,[1]Detalle!$D$2:$CW$484,98,FALSE)</f>
        <v>CMQ_TTE - QUILMES TTE</v>
      </c>
      <c r="D1282" s="13">
        <v>46162</v>
      </c>
    </row>
    <row r="1283" spans="1:4" ht="14.25" customHeight="1" x14ac:dyDescent="0.3">
      <c r="A1283" s="15" t="s">
        <v>277</v>
      </c>
      <c r="B1283" s="39" t="s">
        <v>328</v>
      </c>
      <c r="C1283" s="42" t="str">
        <f>VLOOKUP(A1283,[1]Detalle!$D$2:$CW$484,98,FALSE)</f>
        <v>Expreso - Servicios Troncales</v>
      </c>
      <c r="D1283" s="13">
        <v>46134</v>
      </c>
    </row>
    <row r="1284" spans="1:4" ht="14.25" customHeight="1" x14ac:dyDescent="0.3">
      <c r="A1284" s="15" t="s">
        <v>278</v>
      </c>
      <c r="B1284" s="39" t="s">
        <v>328</v>
      </c>
      <c r="C1284" s="42" t="str">
        <f>VLOOKUP(A1284,[1]Detalle!$D$2:$CW$484,98,FALSE)</f>
        <v>Expreso - Servicios Troncales</v>
      </c>
      <c r="D1284" s="13">
        <v>46047</v>
      </c>
    </row>
    <row r="1285" spans="1:4" ht="14.25" customHeight="1" x14ac:dyDescent="0.3">
      <c r="A1285" s="21" t="s">
        <v>281</v>
      </c>
      <c r="B1285" s="39" t="s">
        <v>328</v>
      </c>
      <c r="C1285" s="42" t="str">
        <f>VLOOKUP(A1285,[1]Detalle!$D$2:$CW$484,98,FALSE)</f>
        <v>SUC_SRA - Sucursal San Rafael</v>
      </c>
      <c r="D1285" s="13">
        <v>46047</v>
      </c>
    </row>
    <row r="1286" spans="1:4" ht="14.25" customHeight="1" x14ac:dyDescent="0.3">
      <c r="A1286" s="22" t="s">
        <v>282</v>
      </c>
      <c r="B1286" s="39" t="s">
        <v>328</v>
      </c>
      <c r="C1286" s="42" t="str">
        <f>VLOOKUP(A1286,[1]Detalle!$D$2:$CW$484,98,FALSE)</f>
        <v>Sin Operación</v>
      </c>
      <c r="D1286" s="13">
        <v>46047</v>
      </c>
    </row>
    <row r="1287" spans="1:4" ht="15" customHeight="1" x14ac:dyDescent="0.3">
      <c r="A1287" s="39" t="s">
        <v>510</v>
      </c>
      <c r="B1287" s="39" t="s">
        <v>448</v>
      </c>
      <c r="C1287" s="42" t="str">
        <f>VLOOKUP(A1287,[1]Detalle!$D$2:$CW$484,98,FALSE)</f>
        <v>Expreso - Servicios Troncales</v>
      </c>
      <c r="D1287" s="13">
        <v>46039</v>
      </c>
    </row>
    <row r="1288" spans="1:4" ht="15" customHeight="1" x14ac:dyDescent="0.3">
      <c r="A1288" s="39" t="s">
        <v>510</v>
      </c>
      <c r="B1288" s="39" t="s">
        <v>448</v>
      </c>
      <c r="C1288" s="42" t="str">
        <f>VLOOKUP(A1288,[1]Detalle!$D$2:$CW$484,98,FALSE)</f>
        <v>Expreso - Servicios Troncales</v>
      </c>
      <c r="D1288" s="13">
        <v>46109.3521516033</v>
      </c>
    </row>
    <row r="1289" spans="1:4" ht="15" customHeight="1" x14ac:dyDescent="0.3">
      <c r="A1289" s="39" t="s">
        <v>510</v>
      </c>
      <c r="B1289" s="39" t="s">
        <v>448</v>
      </c>
      <c r="C1289" s="42" t="str">
        <f>VLOOKUP(A1289,[1]Detalle!$D$2:$CW$484,98,FALSE)</f>
        <v>Expreso - Servicios Troncales</v>
      </c>
      <c r="D1289" s="13">
        <v>46179.704303206599</v>
      </c>
    </row>
    <row r="1290" spans="1:4" ht="15" customHeight="1" x14ac:dyDescent="0.3">
      <c r="A1290" s="39" t="s">
        <v>510</v>
      </c>
      <c r="B1290" s="39" t="s">
        <v>448</v>
      </c>
      <c r="C1290" s="42" t="str">
        <f>VLOOKUP(A1290,[1]Detalle!$D$2:$CW$484,98,FALSE)</f>
        <v>Expreso - Servicios Troncales</v>
      </c>
      <c r="D1290" s="13">
        <v>46250.056454809906</v>
      </c>
    </row>
    <row r="1291" spans="1:4" ht="15" customHeight="1" x14ac:dyDescent="0.3">
      <c r="A1291" s="39" t="s">
        <v>510</v>
      </c>
      <c r="B1291" s="39" t="s">
        <v>448</v>
      </c>
      <c r="C1291" s="42" t="str">
        <f>VLOOKUP(A1291,[1]Detalle!$D$2:$CW$484,98,FALSE)</f>
        <v>Expreso - Servicios Troncales</v>
      </c>
      <c r="D1291" s="13">
        <v>46320.408606413213</v>
      </c>
    </row>
    <row r="1292" spans="1:4" ht="15" customHeight="1" x14ac:dyDescent="0.3">
      <c r="A1292" s="39" t="s">
        <v>510</v>
      </c>
      <c r="B1292" s="39" t="s">
        <v>448</v>
      </c>
      <c r="C1292" s="42" t="str">
        <f>VLOOKUP(A1292,[1]Detalle!$D$2:$CW$484,98,FALSE)</f>
        <v>Expreso - Servicios Troncales</v>
      </c>
      <c r="D1292" s="13">
        <v>46039</v>
      </c>
    </row>
    <row r="1293" spans="1:4" ht="15" customHeight="1" x14ac:dyDescent="0.3">
      <c r="A1293" s="39" t="s">
        <v>510</v>
      </c>
      <c r="B1293" s="39" t="s">
        <v>448</v>
      </c>
      <c r="C1293" s="42" t="str">
        <f>VLOOKUP(A1293,[1]Detalle!$D$2:$CW$484,98,FALSE)</f>
        <v>Expreso - Servicios Troncales</v>
      </c>
      <c r="D1293" s="13">
        <v>46109.3521516033</v>
      </c>
    </row>
    <row r="1294" spans="1:4" ht="15" customHeight="1" x14ac:dyDescent="0.3">
      <c r="A1294" s="39" t="s">
        <v>510</v>
      </c>
      <c r="B1294" s="39" t="s">
        <v>448</v>
      </c>
      <c r="C1294" s="42" t="str">
        <f>VLOOKUP(A1294,[1]Detalle!$D$2:$CW$484,98,FALSE)</f>
        <v>Expreso - Servicios Troncales</v>
      </c>
      <c r="D1294" s="13">
        <v>46179.704303206599</v>
      </c>
    </row>
    <row r="1298" spans="3:3" ht="15" customHeight="1" x14ac:dyDescent="0.3">
      <c r="C1298" s="43"/>
    </row>
    <row r="1299" spans="3:3" ht="15" customHeight="1" x14ac:dyDescent="0.3">
      <c r="C1299" s="43"/>
    </row>
  </sheetData>
  <autoFilter ref="A1:E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"/>
  <sheetViews>
    <sheetView topLeftCell="A4" workbookViewId="0">
      <selection activeCell="A4" sqref="A4:B31"/>
    </sheetView>
  </sheetViews>
  <sheetFormatPr baseColWidth="10" defaultRowHeight="14.4" x14ac:dyDescent="0.3"/>
  <cols>
    <col min="1" max="1" width="38.77734375" bestFit="1" customWidth="1"/>
    <col min="2" max="2" width="18" bestFit="1" customWidth="1"/>
  </cols>
  <sheetData>
    <row r="3" spans="1:2" x14ac:dyDescent="0.3">
      <c r="A3" s="34" t="s">
        <v>542</v>
      </c>
      <c r="B3" t="s">
        <v>744</v>
      </c>
    </row>
    <row r="4" spans="1:2" x14ac:dyDescent="0.3">
      <c r="A4" s="35" t="s">
        <v>515</v>
      </c>
      <c r="B4" s="36">
        <v>4726636.3600000013</v>
      </c>
    </row>
    <row r="5" spans="1:2" x14ac:dyDescent="0.3">
      <c r="A5" s="35" t="s">
        <v>516</v>
      </c>
      <c r="B5" s="36">
        <v>142474.88</v>
      </c>
    </row>
    <row r="6" spans="1:2" x14ac:dyDescent="0.3">
      <c r="A6" s="35" t="s">
        <v>745</v>
      </c>
      <c r="B6" s="36">
        <v>135171.20000000001</v>
      </c>
    </row>
    <row r="7" spans="1:2" x14ac:dyDescent="0.3">
      <c r="A7" s="35" t="s">
        <v>738</v>
      </c>
      <c r="B7" s="36">
        <v>1763536.3900000004</v>
      </c>
    </row>
    <row r="8" spans="1:2" x14ac:dyDescent="0.3">
      <c r="A8" s="35" t="s">
        <v>739</v>
      </c>
      <c r="B8" s="36">
        <v>878758.72000000032</v>
      </c>
    </row>
    <row r="9" spans="1:2" x14ac:dyDescent="0.3">
      <c r="A9" s="35" t="s">
        <v>740</v>
      </c>
      <c r="B9" s="36">
        <v>2426080.6399999992</v>
      </c>
    </row>
    <row r="10" spans="1:2" x14ac:dyDescent="0.3">
      <c r="A10" s="35" t="s">
        <v>741</v>
      </c>
      <c r="B10" s="36">
        <v>3066374.1199999959</v>
      </c>
    </row>
    <row r="11" spans="1:2" x14ac:dyDescent="0.3">
      <c r="A11" s="35" t="s">
        <v>522</v>
      </c>
      <c r="B11" s="36">
        <v>1762684.8999999997</v>
      </c>
    </row>
    <row r="12" spans="1:2" x14ac:dyDescent="0.3">
      <c r="A12" s="35" t="s">
        <v>523</v>
      </c>
      <c r="B12" s="36">
        <v>266258.08</v>
      </c>
    </row>
    <row r="13" spans="1:2" x14ac:dyDescent="0.3">
      <c r="A13" s="35" t="s">
        <v>742</v>
      </c>
      <c r="B13" s="36">
        <v>2467028.1799999992</v>
      </c>
    </row>
    <row r="14" spans="1:2" x14ac:dyDescent="0.3">
      <c r="A14" s="35" t="s">
        <v>525</v>
      </c>
      <c r="B14" s="36">
        <v>303661.48</v>
      </c>
    </row>
    <row r="15" spans="1:2" x14ac:dyDescent="0.3">
      <c r="A15" s="35" t="s">
        <v>543</v>
      </c>
      <c r="B15" s="36">
        <v>133759.12</v>
      </c>
    </row>
    <row r="16" spans="1:2" x14ac:dyDescent="0.3">
      <c r="A16" s="35" t="s">
        <v>526</v>
      </c>
      <c r="B16" s="36">
        <v>44741.59</v>
      </c>
    </row>
    <row r="17" spans="1:2" x14ac:dyDescent="0.3">
      <c r="A17" s="35" t="s">
        <v>527</v>
      </c>
      <c r="B17" s="36">
        <v>8766091.6200000178</v>
      </c>
    </row>
    <row r="18" spans="1:2" x14ac:dyDescent="0.3">
      <c r="A18" s="35" t="s">
        <v>296</v>
      </c>
      <c r="B18" s="36">
        <v>6432140.2500000009</v>
      </c>
    </row>
    <row r="19" spans="1:2" x14ac:dyDescent="0.3">
      <c r="A19" s="35" t="s">
        <v>528</v>
      </c>
      <c r="B19" s="36">
        <v>847245.0900000002</v>
      </c>
    </row>
    <row r="20" spans="1:2" x14ac:dyDescent="0.3">
      <c r="A20" s="35" t="s">
        <v>529</v>
      </c>
      <c r="B20" s="36">
        <v>1852648.7999999998</v>
      </c>
    </row>
    <row r="21" spans="1:2" x14ac:dyDescent="0.3">
      <c r="A21" s="35" t="s">
        <v>297</v>
      </c>
      <c r="B21" s="36">
        <v>3056915.8700000006</v>
      </c>
    </row>
    <row r="22" spans="1:2" x14ac:dyDescent="0.3">
      <c r="A22" s="35" t="s">
        <v>531</v>
      </c>
      <c r="B22" s="36">
        <v>621642.33000000019</v>
      </c>
    </row>
    <row r="23" spans="1:2" x14ac:dyDescent="0.3">
      <c r="A23" s="35" t="s">
        <v>532</v>
      </c>
      <c r="B23" s="36">
        <v>125503.36000000002</v>
      </c>
    </row>
    <row r="24" spans="1:2" x14ac:dyDescent="0.3">
      <c r="A24" s="35" t="s">
        <v>533</v>
      </c>
      <c r="B24" s="36">
        <v>62751.68</v>
      </c>
    </row>
    <row r="25" spans="1:2" x14ac:dyDescent="0.3">
      <c r="A25" s="35" t="s">
        <v>534</v>
      </c>
      <c r="B25" s="36">
        <v>1441644.6400000001</v>
      </c>
    </row>
    <row r="26" spans="1:2" x14ac:dyDescent="0.3">
      <c r="A26" s="35" t="s">
        <v>535</v>
      </c>
      <c r="B26" s="36">
        <v>507261.9200000001</v>
      </c>
    </row>
    <row r="27" spans="1:2" x14ac:dyDescent="0.3">
      <c r="A27" s="35" t="s">
        <v>536</v>
      </c>
      <c r="B27" s="36">
        <v>229929.44</v>
      </c>
    </row>
    <row r="28" spans="1:2" x14ac:dyDescent="0.3">
      <c r="A28" s="35" t="s">
        <v>537</v>
      </c>
      <c r="B28" s="36">
        <v>258298.00999999998</v>
      </c>
    </row>
    <row r="29" spans="1:2" x14ac:dyDescent="0.3">
      <c r="A29" s="35" t="s">
        <v>538</v>
      </c>
      <c r="B29" s="36">
        <v>919755.1800000004</v>
      </c>
    </row>
    <row r="30" spans="1:2" x14ac:dyDescent="0.3">
      <c r="A30" s="35" t="s">
        <v>743</v>
      </c>
      <c r="B30" s="36">
        <v>278870.08</v>
      </c>
    </row>
    <row r="31" spans="1:2" x14ac:dyDescent="0.3">
      <c r="A31" s="35" t="s">
        <v>540</v>
      </c>
      <c r="B31" s="36">
        <v>1972140.0599999998</v>
      </c>
    </row>
    <row r="32" spans="1:2" x14ac:dyDescent="0.3">
      <c r="A32" s="35" t="s">
        <v>541</v>
      </c>
      <c r="B32" s="36">
        <v>45490003.99000001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04"/>
  <sheetViews>
    <sheetView workbookViewId="0">
      <selection activeCell="F4" sqref="F4"/>
    </sheetView>
  </sheetViews>
  <sheetFormatPr baseColWidth="10" defaultColWidth="14.44140625" defaultRowHeight="15" customHeight="1" x14ac:dyDescent="0.3"/>
  <cols>
    <col min="1" max="1" width="8.88671875" customWidth="1"/>
    <col min="2" max="2" width="26.6640625" customWidth="1"/>
    <col min="3" max="4" width="8.88671875" customWidth="1"/>
    <col min="5" max="5" width="13.33203125" customWidth="1"/>
    <col min="6" max="6" width="32.5546875" customWidth="1"/>
    <col min="7" max="7" width="23.33203125" customWidth="1"/>
    <col min="8" max="8" width="14.88671875" customWidth="1"/>
    <col min="9" max="9" width="15.6640625" customWidth="1"/>
    <col min="10" max="10" width="13.5546875" customWidth="1"/>
    <col min="11" max="11" width="16" customWidth="1"/>
    <col min="12" max="12" width="14" customWidth="1"/>
    <col min="13" max="13" width="20.33203125" customWidth="1"/>
    <col min="14" max="14" width="22.109375" customWidth="1"/>
    <col min="15" max="15" width="25.6640625" customWidth="1"/>
    <col min="16" max="16" width="23" customWidth="1"/>
    <col min="18" max="20" width="18.6640625" customWidth="1"/>
    <col min="21" max="21" width="11.109375" customWidth="1"/>
    <col min="22" max="23" width="18" customWidth="1"/>
    <col min="24" max="24" width="11.33203125" customWidth="1"/>
    <col min="25" max="25" width="86.6640625" customWidth="1"/>
    <col min="26" max="26" width="8.88671875" customWidth="1"/>
    <col min="27" max="27" width="12.88671875" customWidth="1"/>
    <col min="28" max="28" width="14.5546875" customWidth="1"/>
    <col min="29" max="29" width="38.6640625" customWidth="1"/>
    <col min="30" max="30" width="8.88671875" customWidth="1"/>
    <col min="31" max="31" width="28.109375" customWidth="1"/>
  </cols>
  <sheetData>
    <row r="1" spans="1:32" ht="14.25" customHeight="1" x14ac:dyDescent="0.3">
      <c r="A1" s="4" t="s">
        <v>1</v>
      </c>
      <c r="B1" s="4" t="s">
        <v>298</v>
      </c>
      <c r="C1" s="4" t="s">
        <v>299</v>
      </c>
      <c r="D1" s="4" t="s">
        <v>300</v>
      </c>
      <c r="E1" s="4" t="s">
        <v>301</v>
      </c>
      <c r="F1" s="4" t="s">
        <v>302</v>
      </c>
      <c r="G1" s="4" t="s">
        <v>303</v>
      </c>
      <c r="H1" s="4" t="s">
        <v>304</v>
      </c>
      <c r="I1" s="4" t="s">
        <v>305</v>
      </c>
      <c r="J1" s="4" t="s">
        <v>306</v>
      </c>
      <c r="K1" s="4" t="s">
        <v>307</v>
      </c>
      <c r="L1" s="4" t="s">
        <v>308</v>
      </c>
      <c r="M1" s="4" t="s">
        <v>309</v>
      </c>
      <c r="N1" s="4" t="s">
        <v>310</v>
      </c>
      <c r="O1" s="4" t="s">
        <v>311</v>
      </c>
      <c r="P1" s="4" t="s">
        <v>312</v>
      </c>
      <c r="Q1" s="4" t="s">
        <v>313</v>
      </c>
      <c r="R1" s="4" t="s">
        <v>314</v>
      </c>
      <c r="S1" s="4" t="s">
        <v>315</v>
      </c>
      <c r="T1" s="4" t="s">
        <v>0</v>
      </c>
      <c r="U1" s="4" t="s">
        <v>316</v>
      </c>
      <c r="V1" s="4" t="s">
        <v>317</v>
      </c>
      <c r="W1" s="4" t="s">
        <v>318</v>
      </c>
      <c r="X1" s="4" t="s">
        <v>319</v>
      </c>
      <c r="Y1" s="4" t="s">
        <v>320</v>
      </c>
      <c r="Z1" s="4" t="s">
        <v>321</v>
      </c>
      <c r="AA1" s="5" t="s">
        <v>322</v>
      </c>
      <c r="AB1" s="5" t="s">
        <v>323</v>
      </c>
      <c r="AC1" s="5" t="s">
        <v>295</v>
      </c>
      <c r="AD1" s="4" t="s">
        <v>324</v>
      </c>
      <c r="AE1" s="4" t="s">
        <v>325</v>
      </c>
      <c r="AF1" s="4" t="s">
        <v>326</v>
      </c>
    </row>
    <row r="2" spans="1:32" ht="14.25" customHeight="1" x14ac:dyDescent="0.3">
      <c r="A2" s="1" t="s">
        <v>3</v>
      </c>
      <c r="B2" s="1" t="s">
        <v>327</v>
      </c>
      <c r="C2" s="1" t="s">
        <v>328</v>
      </c>
      <c r="D2" s="1" t="s">
        <v>328</v>
      </c>
      <c r="E2" s="1">
        <v>0.75</v>
      </c>
      <c r="F2" s="1" t="s">
        <v>329</v>
      </c>
      <c r="G2" s="6">
        <v>45745</v>
      </c>
      <c r="H2" s="1">
        <v>24484.400000000001</v>
      </c>
      <c r="I2" s="1">
        <v>44484.4</v>
      </c>
      <c r="J2" s="1">
        <v>12540.1</v>
      </c>
      <c r="K2" s="1">
        <v>7459.8999999999978</v>
      </c>
      <c r="L2" s="1">
        <v>37024.5</v>
      </c>
      <c r="M2" s="1">
        <v>202</v>
      </c>
      <c r="N2" s="1">
        <v>67.727480916030515</v>
      </c>
      <c r="O2" s="1">
        <v>120.1664899003995</v>
      </c>
      <c r="P2" s="7">
        <v>45947</v>
      </c>
      <c r="Q2" s="1">
        <v>20000</v>
      </c>
      <c r="R2" s="7">
        <v>46067.166489895833</v>
      </c>
      <c r="S2" s="7">
        <v>46067</v>
      </c>
      <c r="T2" s="7" t="str">
        <f t="shared" ref="T2:T1286" si="0">TEXT(R2, "mmmm")</f>
        <v>febrero</v>
      </c>
      <c r="U2" s="1" t="s">
        <v>330</v>
      </c>
      <c r="X2" s="1" t="s">
        <v>331</v>
      </c>
      <c r="Y2" s="1" t="s">
        <v>332</v>
      </c>
      <c r="Z2" s="1">
        <v>16</v>
      </c>
      <c r="AA2" s="3">
        <v>3389.9</v>
      </c>
      <c r="AB2" s="3">
        <v>54238.400000000001</v>
      </c>
      <c r="AC2" s="1" t="str">
        <f>VLOOKUP(A2,[1]Detalle!$D$2:$CW$484,98,FALSE)</f>
        <v>CCU_MZA - Comp. Cerv. Unidas - MZA</v>
      </c>
    </row>
    <row r="3" spans="1:32" ht="14.25" customHeight="1" x14ac:dyDescent="0.3">
      <c r="A3" s="1" t="s">
        <v>3</v>
      </c>
      <c r="B3" s="1" t="s">
        <v>327</v>
      </c>
      <c r="C3" s="1" t="s">
        <v>328</v>
      </c>
      <c r="D3" s="1" t="s">
        <v>328</v>
      </c>
      <c r="E3" s="1">
        <v>0.75</v>
      </c>
      <c r="F3" s="1" t="s">
        <v>329</v>
      </c>
      <c r="G3" s="6">
        <v>45745</v>
      </c>
      <c r="H3" s="1">
        <v>24484.400000000001</v>
      </c>
      <c r="I3" s="1">
        <v>44484.4</v>
      </c>
      <c r="J3" s="1">
        <v>12540.1</v>
      </c>
      <c r="K3" s="1">
        <v>7459.8999999999978</v>
      </c>
      <c r="L3" s="1">
        <v>37024.5</v>
      </c>
      <c r="M3" s="1">
        <v>202</v>
      </c>
      <c r="N3" s="1">
        <v>67.727480916030515</v>
      </c>
      <c r="O3" s="1">
        <v>120.1664899003995</v>
      </c>
      <c r="P3" s="7">
        <v>45947</v>
      </c>
      <c r="Q3" s="1">
        <v>20000</v>
      </c>
      <c r="R3" s="7">
        <v>46067.166489895833</v>
      </c>
      <c r="S3" s="7">
        <v>46067</v>
      </c>
      <c r="T3" s="7" t="str">
        <f t="shared" si="0"/>
        <v>febrero</v>
      </c>
      <c r="U3" s="1" t="s">
        <v>330</v>
      </c>
      <c r="X3" s="1" t="s">
        <v>333</v>
      </c>
      <c r="Y3" s="1" t="s">
        <v>334</v>
      </c>
      <c r="Z3" s="1">
        <v>1</v>
      </c>
      <c r="AA3" s="3">
        <v>8513.2800000000007</v>
      </c>
      <c r="AB3" s="3">
        <v>8513.2800000000007</v>
      </c>
      <c r="AC3" s="1" t="str">
        <f>VLOOKUP(A3,[1]Detalle!$D$2:$CW$484,98,FALSE)</f>
        <v>CCU_MZA - Comp. Cerv. Unidas - MZA</v>
      </c>
    </row>
    <row r="4" spans="1:32" ht="14.25" customHeight="1" x14ac:dyDescent="0.3">
      <c r="A4" s="1" t="s">
        <v>27</v>
      </c>
      <c r="B4" s="1" t="s">
        <v>335</v>
      </c>
      <c r="C4" s="1" t="s">
        <v>328</v>
      </c>
      <c r="D4" s="1" t="s">
        <v>328</v>
      </c>
      <c r="E4" s="1">
        <v>0.75</v>
      </c>
      <c r="F4" s="1" t="s">
        <v>329</v>
      </c>
      <c r="G4" s="6">
        <v>45827</v>
      </c>
      <c r="H4" s="1">
        <v>68428.5</v>
      </c>
      <c r="I4" s="1">
        <v>88428.5</v>
      </c>
      <c r="J4" s="1">
        <v>5182.2</v>
      </c>
      <c r="K4" s="1">
        <v>14817.8</v>
      </c>
      <c r="L4" s="1">
        <v>73610.7</v>
      </c>
      <c r="M4" s="1">
        <v>120</v>
      </c>
      <c r="N4" s="1">
        <v>48.244391143911422</v>
      </c>
      <c r="O4" s="1">
        <v>343.1237698274864</v>
      </c>
      <c r="P4" s="7">
        <v>45947</v>
      </c>
      <c r="Q4" s="1">
        <v>20000</v>
      </c>
      <c r="R4" s="7">
        <v>46290.123769826387</v>
      </c>
      <c r="S4" s="7">
        <v>46290</v>
      </c>
      <c r="T4" s="7" t="str">
        <f t="shared" si="0"/>
        <v>septiembre</v>
      </c>
      <c r="U4" s="1" t="s">
        <v>330</v>
      </c>
      <c r="X4" s="1" t="s">
        <v>331</v>
      </c>
      <c r="Y4" s="1" t="s">
        <v>332</v>
      </c>
      <c r="Z4" s="1">
        <v>16</v>
      </c>
      <c r="AA4" s="3">
        <v>3389.9</v>
      </c>
      <c r="AB4" s="3">
        <v>54238.400000000001</v>
      </c>
      <c r="AC4" s="1" t="str">
        <f>VLOOKUP(A4,[1]Detalle!$D$2:$CW$484,98,FALSE)</f>
        <v>CMQ_TTE - QUILMES TTE</v>
      </c>
    </row>
    <row r="5" spans="1:32" ht="14.25" customHeight="1" x14ac:dyDescent="0.3">
      <c r="A5" s="1" t="s">
        <v>27</v>
      </c>
      <c r="B5" s="1" t="s">
        <v>335</v>
      </c>
      <c r="C5" s="1" t="s">
        <v>328</v>
      </c>
      <c r="D5" s="1" t="s">
        <v>328</v>
      </c>
      <c r="E5" s="1">
        <v>0.75</v>
      </c>
      <c r="F5" s="1" t="s">
        <v>329</v>
      </c>
      <c r="G5" s="6">
        <v>45827</v>
      </c>
      <c r="H5" s="1">
        <v>68428.5</v>
      </c>
      <c r="I5" s="1">
        <v>88428.5</v>
      </c>
      <c r="J5" s="1">
        <v>5182.2</v>
      </c>
      <c r="K5" s="1">
        <v>14817.8</v>
      </c>
      <c r="L5" s="1">
        <v>73610.7</v>
      </c>
      <c r="M5" s="1">
        <v>120</v>
      </c>
      <c r="N5" s="1">
        <v>48.244391143911422</v>
      </c>
      <c r="O5" s="1">
        <v>343.1237698274864</v>
      </c>
      <c r="P5" s="7">
        <v>45947</v>
      </c>
      <c r="Q5" s="1">
        <v>20000</v>
      </c>
      <c r="R5" s="7">
        <v>46290.123769826387</v>
      </c>
      <c r="S5" s="7">
        <v>46290</v>
      </c>
      <c r="T5" s="7" t="str">
        <f t="shared" si="0"/>
        <v>septiembre</v>
      </c>
      <c r="U5" s="1" t="s">
        <v>330</v>
      </c>
      <c r="X5" s="1" t="s">
        <v>333</v>
      </c>
      <c r="Y5" s="1" t="s">
        <v>334</v>
      </c>
      <c r="Z5" s="1">
        <v>1</v>
      </c>
      <c r="AA5" s="3">
        <v>8513.2800000000007</v>
      </c>
      <c r="AB5" s="3">
        <v>8513.2800000000007</v>
      </c>
      <c r="AC5" s="1" t="str">
        <f>VLOOKUP(A5,[1]Detalle!$D$2:$CW$484,98,FALSE)</f>
        <v>CMQ_TTE - QUILMES TTE</v>
      </c>
    </row>
    <row r="6" spans="1:32" ht="14.25" customHeight="1" x14ac:dyDescent="0.3">
      <c r="A6" s="1" t="s">
        <v>40</v>
      </c>
      <c r="B6" s="1" t="s">
        <v>336</v>
      </c>
      <c r="C6" s="1" t="s">
        <v>328</v>
      </c>
      <c r="D6" s="1" t="s">
        <v>328</v>
      </c>
      <c r="E6" s="1">
        <v>0.75</v>
      </c>
      <c r="F6" s="1" t="s">
        <v>329</v>
      </c>
      <c r="G6" s="1" t="s">
        <v>337</v>
      </c>
      <c r="N6" s="1">
        <v>51.09303703703705</v>
      </c>
      <c r="P6" s="7">
        <v>45947</v>
      </c>
      <c r="Q6" s="1">
        <v>20000</v>
      </c>
      <c r="R6" s="7">
        <v>46338.442771064823</v>
      </c>
      <c r="S6" s="7">
        <v>46338</v>
      </c>
      <c r="T6" s="7" t="str">
        <f t="shared" si="0"/>
        <v>noviembre</v>
      </c>
      <c r="U6" s="1" t="s">
        <v>330</v>
      </c>
      <c r="X6" s="1" t="s">
        <v>331</v>
      </c>
      <c r="Y6" s="1" t="s">
        <v>332</v>
      </c>
      <c r="Z6" s="1">
        <v>16</v>
      </c>
      <c r="AA6" s="3">
        <v>3389.9</v>
      </c>
      <c r="AB6" s="3">
        <v>54238.400000000001</v>
      </c>
      <c r="AC6" s="1" t="str">
        <f>VLOOKUP(A6,[1]Detalle!$D$2:$CW$484,98,FALSE)</f>
        <v>CMQ_TTE - QUILMES TTE</v>
      </c>
    </row>
    <row r="7" spans="1:32" ht="14.25" customHeight="1" x14ac:dyDescent="0.3">
      <c r="A7" s="1" t="s">
        <v>40</v>
      </c>
      <c r="B7" s="1" t="s">
        <v>336</v>
      </c>
      <c r="C7" s="1" t="s">
        <v>328</v>
      </c>
      <c r="D7" s="1" t="s">
        <v>328</v>
      </c>
      <c r="E7" s="1">
        <v>0.75</v>
      </c>
      <c r="F7" s="1" t="s">
        <v>329</v>
      </c>
      <c r="G7" s="1" t="s">
        <v>337</v>
      </c>
      <c r="N7" s="1">
        <v>51.09303703703705</v>
      </c>
      <c r="P7" s="7">
        <v>45947</v>
      </c>
      <c r="Q7" s="1">
        <v>20000</v>
      </c>
      <c r="R7" s="7">
        <v>46338.442771064823</v>
      </c>
      <c r="S7" s="7">
        <v>46338</v>
      </c>
      <c r="T7" s="7" t="str">
        <f t="shared" si="0"/>
        <v>noviembre</v>
      </c>
      <c r="U7" s="1" t="s">
        <v>330</v>
      </c>
      <c r="X7" s="1" t="s">
        <v>333</v>
      </c>
      <c r="Y7" s="1" t="s">
        <v>334</v>
      </c>
      <c r="Z7" s="1">
        <v>1</v>
      </c>
      <c r="AA7" s="3">
        <v>8513.2800000000007</v>
      </c>
      <c r="AB7" s="3">
        <v>8513.2800000000007</v>
      </c>
      <c r="AC7" s="1" t="str">
        <f>VLOOKUP(A7,[1]Detalle!$D$2:$CW$484,98,FALSE)</f>
        <v>CMQ_TTE - QUILMES TTE</v>
      </c>
    </row>
    <row r="8" spans="1:32" ht="14.25" customHeight="1" x14ac:dyDescent="0.3">
      <c r="A8" s="1" t="s">
        <v>42</v>
      </c>
      <c r="B8" s="1" t="s">
        <v>336</v>
      </c>
      <c r="C8" s="1" t="s">
        <v>328</v>
      </c>
      <c r="D8" s="1" t="s">
        <v>328</v>
      </c>
      <c r="E8" s="1">
        <v>0.75</v>
      </c>
      <c r="F8" s="1" t="s">
        <v>329</v>
      </c>
      <c r="G8" s="6">
        <v>45461</v>
      </c>
      <c r="H8" s="1">
        <v>38855.1</v>
      </c>
      <c r="I8" s="1">
        <v>58855.1</v>
      </c>
      <c r="J8" s="1">
        <v>22989.899999999991</v>
      </c>
      <c r="K8" s="1">
        <v>-2989.899999999991</v>
      </c>
      <c r="L8" s="1">
        <v>61844.999999999993</v>
      </c>
      <c r="M8" s="1">
        <v>486</v>
      </c>
      <c r="N8" s="1">
        <v>45.422519083969469</v>
      </c>
      <c r="O8" s="1">
        <v>-63.205642477783549</v>
      </c>
      <c r="P8" s="7">
        <v>45947</v>
      </c>
      <c r="Q8" s="1">
        <v>20000</v>
      </c>
      <c r="R8" s="7">
        <v>46387.310233854158</v>
      </c>
      <c r="S8" s="7">
        <v>46387</v>
      </c>
      <c r="T8" s="7" t="str">
        <f t="shared" si="0"/>
        <v>diciembre</v>
      </c>
      <c r="U8" s="1" t="s">
        <v>330</v>
      </c>
      <c r="X8" s="1" t="s">
        <v>331</v>
      </c>
      <c r="Y8" s="1" t="s">
        <v>332</v>
      </c>
      <c r="Z8" s="1">
        <v>16</v>
      </c>
      <c r="AA8" s="3">
        <v>3389.9</v>
      </c>
      <c r="AB8" s="3">
        <v>54238.400000000001</v>
      </c>
      <c r="AC8" s="1" t="str">
        <f>VLOOKUP(A8,[1]Detalle!$D$2:$CW$484,98,FALSE)</f>
        <v>CMQ_TTE - QUILMES TTE</v>
      </c>
    </row>
    <row r="9" spans="1:32" ht="14.25" customHeight="1" x14ac:dyDescent="0.3">
      <c r="A9" s="1" t="s">
        <v>42</v>
      </c>
      <c r="B9" s="1" t="s">
        <v>336</v>
      </c>
      <c r="C9" s="1" t="s">
        <v>328</v>
      </c>
      <c r="D9" s="1" t="s">
        <v>328</v>
      </c>
      <c r="E9" s="1">
        <v>0.75</v>
      </c>
      <c r="F9" s="1" t="s">
        <v>329</v>
      </c>
      <c r="G9" s="6">
        <v>45461</v>
      </c>
      <c r="H9" s="1">
        <v>38855.1</v>
      </c>
      <c r="I9" s="1">
        <v>58855.1</v>
      </c>
      <c r="J9" s="1">
        <v>22989.899999999991</v>
      </c>
      <c r="K9" s="1">
        <v>-2989.899999999991</v>
      </c>
      <c r="L9" s="1">
        <v>61844.999999999993</v>
      </c>
      <c r="M9" s="1">
        <v>486</v>
      </c>
      <c r="N9" s="1">
        <v>45.422519083969469</v>
      </c>
      <c r="O9" s="1">
        <v>-63.205642477783549</v>
      </c>
      <c r="P9" s="7">
        <v>45947</v>
      </c>
      <c r="Q9" s="1">
        <v>20000</v>
      </c>
      <c r="R9" s="7">
        <v>46387.310233854158</v>
      </c>
      <c r="S9" s="7">
        <v>46387</v>
      </c>
      <c r="T9" s="7" t="str">
        <f t="shared" si="0"/>
        <v>diciembre</v>
      </c>
      <c r="U9" s="1" t="s">
        <v>330</v>
      </c>
      <c r="X9" s="1" t="s">
        <v>333</v>
      </c>
      <c r="Y9" s="1" t="s">
        <v>334</v>
      </c>
      <c r="Z9" s="1">
        <v>1</v>
      </c>
      <c r="AA9" s="3">
        <v>8513.2800000000007</v>
      </c>
      <c r="AB9" s="3">
        <v>8513.2800000000007</v>
      </c>
      <c r="AC9" s="1" t="str">
        <f>VLOOKUP(A9,[1]Detalle!$D$2:$CW$484,98,FALSE)</f>
        <v>CMQ_TTE - QUILMES TTE</v>
      </c>
    </row>
    <row r="10" spans="1:32" ht="14.25" customHeight="1" x14ac:dyDescent="0.3">
      <c r="A10" s="1" t="s">
        <v>82</v>
      </c>
      <c r="B10" s="1" t="s">
        <v>338</v>
      </c>
      <c r="C10" s="1" t="s">
        <v>328</v>
      </c>
      <c r="D10" s="1" t="s">
        <v>328</v>
      </c>
      <c r="E10" s="1">
        <v>0.75</v>
      </c>
      <c r="F10" s="1" t="s">
        <v>329</v>
      </c>
      <c r="G10" s="6">
        <v>45822</v>
      </c>
      <c r="H10" s="1">
        <v>71797</v>
      </c>
      <c r="I10" s="1">
        <v>91797</v>
      </c>
      <c r="J10" s="1">
        <v>0</v>
      </c>
      <c r="K10" s="1">
        <v>20000</v>
      </c>
      <c r="L10" s="1">
        <v>71797</v>
      </c>
      <c r="M10" s="1">
        <v>125</v>
      </c>
      <c r="N10" s="1">
        <v>4.7505769230769239</v>
      </c>
      <c r="O10" s="1">
        <v>200</v>
      </c>
      <c r="P10" s="7">
        <v>45947</v>
      </c>
      <c r="Q10" s="1">
        <v>20000</v>
      </c>
      <c r="R10" s="7">
        <v>46147</v>
      </c>
      <c r="S10" s="7">
        <v>46147</v>
      </c>
      <c r="T10" s="7" t="str">
        <f t="shared" si="0"/>
        <v>mayo</v>
      </c>
      <c r="U10" s="1" t="s">
        <v>330</v>
      </c>
      <c r="X10" s="1" t="s">
        <v>331</v>
      </c>
      <c r="Y10" s="1" t="s">
        <v>332</v>
      </c>
      <c r="Z10" s="1">
        <v>16</v>
      </c>
      <c r="AA10" s="3">
        <v>3389.9</v>
      </c>
      <c r="AB10" s="3">
        <v>54238.400000000001</v>
      </c>
      <c r="AC10" s="1" t="str">
        <f>VLOOKUP(A10,[1]Detalle!$D$2:$CW$484,98,FALSE)</f>
        <v>CENCO_MZ - Cencosud SA - Mendoza</v>
      </c>
    </row>
    <row r="11" spans="1:32" ht="14.25" customHeight="1" x14ac:dyDescent="0.3">
      <c r="A11" s="1" t="s">
        <v>82</v>
      </c>
      <c r="B11" s="1" t="s">
        <v>338</v>
      </c>
      <c r="C11" s="1" t="s">
        <v>328</v>
      </c>
      <c r="D11" s="1" t="s">
        <v>328</v>
      </c>
      <c r="E11" s="1">
        <v>0.75</v>
      </c>
      <c r="F11" s="1" t="s">
        <v>329</v>
      </c>
      <c r="G11" s="6">
        <v>45822</v>
      </c>
      <c r="H11" s="1">
        <v>71797</v>
      </c>
      <c r="I11" s="1">
        <v>91797</v>
      </c>
      <c r="J11" s="1">
        <v>0</v>
      </c>
      <c r="K11" s="1">
        <v>20000</v>
      </c>
      <c r="L11" s="1">
        <v>71797</v>
      </c>
      <c r="M11" s="1">
        <v>125</v>
      </c>
      <c r="N11" s="1">
        <v>4.7505769230769239</v>
      </c>
      <c r="O11" s="1">
        <v>200</v>
      </c>
      <c r="P11" s="7">
        <v>45947</v>
      </c>
      <c r="Q11" s="1">
        <v>20000</v>
      </c>
      <c r="R11" s="7">
        <v>46147</v>
      </c>
      <c r="S11" s="7">
        <v>46147</v>
      </c>
      <c r="T11" s="7" t="str">
        <f t="shared" si="0"/>
        <v>mayo</v>
      </c>
      <c r="U11" s="1" t="s">
        <v>330</v>
      </c>
      <c r="X11" s="1" t="s">
        <v>333</v>
      </c>
      <c r="Y11" s="1" t="s">
        <v>334</v>
      </c>
      <c r="Z11" s="1">
        <v>1</v>
      </c>
      <c r="AA11" s="3">
        <v>8513.2800000000007</v>
      </c>
      <c r="AB11" s="3">
        <v>8513.2800000000007</v>
      </c>
      <c r="AC11" s="1" t="str">
        <f>VLOOKUP(A11,[1]Detalle!$D$2:$CW$484,98,FALSE)</f>
        <v>CENCO_MZ - Cencosud SA - Mendoza</v>
      </c>
    </row>
    <row r="12" spans="1:32" ht="14.25" customHeight="1" x14ac:dyDescent="0.3">
      <c r="A12" s="1" t="s">
        <v>99</v>
      </c>
      <c r="B12" s="1" t="s">
        <v>339</v>
      </c>
      <c r="C12" s="1" t="s">
        <v>328</v>
      </c>
      <c r="D12" s="1" t="s">
        <v>328</v>
      </c>
      <c r="E12" s="1">
        <v>0.75</v>
      </c>
      <c r="F12" s="1" t="s">
        <v>329</v>
      </c>
      <c r="G12" s="6">
        <v>45727</v>
      </c>
      <c r="H12" s="1">
        <v>15836.3</v>
      </c>
      <c r="I12" s="1">
        <v>35836.300000000003</v>
      </c>
      <c r="J12" s="1">
        <v>8775.7000000000007</v>
      </c>
      <c r="K12" s="1">
        <v>11224.3</v>
      </c>
      <c r="L12" s="1">
        <v>24612</v>
      </c>
      <c r="M12" s="1">
        <v>220</v>
      </c>
      <c r="N12" s="1">
        <v>36.572847682119232</v>
      </c>
      <c r="O12" s="1">
        <v>281.38450493977678</v>
      </c>
      <c r="P12" s="7">
        <v>45947</v>
      </c>
      <c r="Q12" s="1">
        <v>20000</v>
      </c>
      <c r="R12" s="7">
        <v>46228.384504942129</v>
      </c>
      <c r="S12" s="7">
        <v>46228</v>
      </c>
      <c r="T12" s="7" t="str">
        <f t="shared" si="0"/>
        <v>julio</v>
      </c>
      <c r="U12" s="1" t="s">
        <v>330</v>
      </c>
      <c r="X12" s="1" t="s">
        <v>331</v>
      </c>
      <c r="Y12" s="1" t="s">
        <v>332</v>
      </c>
      <c r="Z12" s="1">
        <v>16</v>
      </c>
      <c r="AA12" s="3">
        <v>3389.9</v>
      </c>
      <c r="AB12" s="3">
        <v>54238.400000000001</v>
      </c>
      <c r="AC12" s="1" t="str">
        <f>VLOOKUP(A12,[1]Detalle!$D$2:$CW$484,98,FALSE)</f>
        <v>CCUDyAZA</v>
      </c>
    </row>
    <row r="13" spans="1:32" ht="14.25" customHeight="1" x14ac:dyDescent="0.3">
      <c r="A13" s="1" t="s">
        <v>99</v>
      </c>
      <c r="B13" s="1" t="s">
        <v>339</v>
      </c>
      <c r="C13" s="1" t="s">
        <v>328</v>
      </c>
      <c r="D13" s="1" t="s">
        <v>328</v>
      </c>
      <c r="E13" s="1">
        <v>0.75</v>
      </c>
      <c r="F13" s="1" t="s">
        <v>329</v>
      </c>
      <c r="G13" s="6">
        <v>45727</v>
      </c>
      <c r="H13" s="1">
        <v>15836.3</v>
      </c>
      <c r="I13" s="1">
        <v>35836.300000000003</v>
      </c>
      <c r="J13" s="1">
        <v>8775.7000000000007</v>
      </c>
      <c r="K13" s="1">
        <v>11224.3</v>
      </c>
      <c r="L13" s="1">
        <v>24612</v>
      </c>
      <c r="M13" s="1">
        <v>220</v>
      </c>
      <c r="N13" s="1">
        <v>36.572847682119232</v>
      </c>
      <c r="O13" s="1">
        <v>281.38450493977678</v>
      </c>
      <c r="P13" s="7">
        <v>45947</v>
      </c>
      <c r="Q13" s="1">
        <v>20000</v>
      </c>
      <c r="R13" s="7">
        <v>46228.384504942129</v>
      </c>
      <c r="S13" s="7">
        <v>46228</v>
      </c>
      <c r="T13" s="7" t="str">
        <f t="shared" si="0"/>
        <v>julio</v>
      </c>
      <c r="U13" s="1" t="s">
        <v>330</v>
      </c>
      <c r="X13" s="1" t="s">
        <v>333</v>
      </c>
      <c r="Y13" s="1" t="s">
        <v>334</v>
      </c>
      <c r="Z13" s="1">
        <v>1</v>
      </c>
      <c r="AA13" s="3">
        <v>8513.2800000000007</v>
      </c>
      <c r="AB13" s="3">
        <v>8513.2800000000007</v>
      </c>
      <c r="AC13" s="1" t="str">
        <f>VLOOKUP(A13,[1]Detalle!$D$2:$CW$484,98,FALSE)</f>
        <v>CCUDyAZA</v>
      </c>
    </row>
    <row r="14" spans="1:32" ht="14.25" customHeight="1" x14ac:dyDescent="0.3">
      <c r="A14" s="1" t="s">
        <v>101</v>
      </c>
      <c r="B14" s="1" t="s">
        <v>339</v>
      </c>
      <c r="C14" s="1" t="s">
        <v>328</v>
      </c>
      <c r="D14" s="1" t="s">
        <v>328</v>
      </c>
      <c r="E14" s="1">
        <v>0.75</v>
      </c>
      <c r="F14" s="1" t="s">
        <v>329</v>
      </c>
      <c r="G14" s="6">
        <v>45728</v>
      </c>
      <c r="H14" s="1">
        <v>16579.5</v>
      </c>
      <c r="I14" s="1">
        <v>36579.5</v>
      </c>
      <c r="J14" s="1">
        <v>8515.1999999999989</v>
      </c>
      <c r="K14" s="1">
        <v>11484.8</v>
      </c>
      <c r="L14" s="1">
        <v>25094.7</v>
      </c>
      <c r="M14" s="1">
        <v>219</v>
      </c>
      <c r="N14" s="1">
        <v>35.248013245033107</v>
      </c>
      <c r="O14" s="1">
        <v>295.37429537767758</v>
      </c>
      <c r="P14" s="7">
        <v>45947</v>
      </c>
      <c r="Q14" s="1">
        <v>20000</v>
      </c>
      <c r="R14" s="7">
        <v>46242.374295381953</v>
      </c>
      <c r="S14" s="7">
        <v>46242</v>
      </c>
      <c r="T14" s="7" t="str">
        <f t="shared" si="0"/>
        <v>agosto</v>
      </c>
      <c r="U14" s="1" t="s">
        <v>330</v>
      </c>
      <c r="X14" s="1" t="s">
        <v>331</v>
      </c>
      <c r="Y14" s="1" t="s">
        <v>332</v>
      </c>
      <c r="Z14" s="1">
        <v>16</v>
      </c>
      <c r="AA14" s="3">
        <v>3389.9</v>
      </c>
      <c r="AB14" s="3">
        <v>54238.400000000001</v>
      </c>
      <c r="AC14" s="1" t="str">
        <f>VLOOKUP(A14,[1]Detalle!$D$2:$CW$484,98,FALSE)</f>
        <v>CCUDyAZA</v>
      </c>
    </row>
    <row r="15" spans="1:32" ht="14.25" customHeight="1" x14ac:dyDescent="0.3">
      <c r="A15" s="1" t="s">
        <v>101</v>
      </c>
      <c r="B15" s="1" t="s">
        <v>339</v>
      </c>
      <c r="C15" s="1" t="s">
        <v>328</v>
      </c>
      <c r="D15" s="1" t="s">
        <v>328</v>
      </c>
      <c r="E15" s="1">
        <v>0.75</v>
      </c>
      <c r="F15" s="1" t="s">
        <v>329</v>
      </c>
      <c r="G15" s="6">
        <v>45728</v>
      </c>
      <c r="H15" s="1">
        <v>16579.5</v>
      </c>
      <c r="I15" s="1">
        <v>36579.5</v>
      </c>
      <c r="J15" s="1">
        <v>8515.1999999999989</v>
      </c>
      <c r="K15" s="1">
        <v>11484.8</v>
      </c>
      <c r="L15" s="1">
        <v>25094.7</v>
      </c>
      <c r="M15" s="1">
        <v>219</v>
      </c>
      <c r="N15" s="1">
        <v>35.248013245033107</v>
      </c>
      <c r="O15" s="1">
        <v>295.37429537767758</v>
      </c>
      <c r="P15" s="7">
        <v>45947</v>
      </c>
      <c r="Q15" s="1">
        <v>20000</v>
      </c>
      <c r="R15" s="7">
        <v>46242.374295381953</v>
      </c>
      <c r="S15" s="7">
        <v>46242</v>
      </c>
      <c r="T15" s="7" t="str">
        <f t="shared" si="0"/>
        <v>agosto</v>
      </c>
      <c r="U15" s="1" t="s">
        <v>330</v>
      </c>
      <c r="X15" s="1" t="s">
        <v>333</v>
      </c>
      <c r="Y15" s="1" t="s">
        <v>334</v>
      </c>
      <c r="Z15" s="1">
        <v>1</v>
      </c>
      <c r="AA15" s="3">
        <v>8513.2800000000007</v>
      </c>
      <c r="AB15" s="3">
        <v>8513.2800000000007</v>
      </c>
      <c r="AC15" s="1" t="str">
        <f>VLOOKUP(A15,[1]Detalle!$D$2:$CW$484,98,FALSE)</f>
        <v>CCUDyAZA</v>
      </c>
    </row>
    <row r="16" spans="1:32" ht="14.25" customHeight="1" x14ac:dyDescent="0.3">
      <c r="A16" s="1" t="s">
        <v>106</v>
      </c>
      <c r="B16" s="1">
        <v>914</v>
      </c>
      <c r="C16" s="1" t="s">
        <v>328</v>
      </c>
      <c r="D16" s="1" t="s">
        <v>328</v>
      </c>
      <c r="E16" s="1">
        <v>0.75</v>
      </c>
      <c r="F16" s="1" t="s">
        <v>329</v>
      </c>
      <c r="G16" s="6">
        <v>45530</v>
      </c>
      <c r="H16" s="1">
        <v>297464</v>
      </c>
      <c r="I16" s="1">
        <v>317464</v>
      </c>
      <c r="J16" s="1">
        <v>23030.169999999991</v>
      </c>
      <c r="K16" s="1">
        <v>-3030.1699999999951</v>
      </c>
      <c r="L16" s="1">
        <v>320494.17</v>
      </c>
      <c r="M16" s="1">
        <v>417</v>
      </c>
      <c r="N16" s="1">
        <v>48.157370129870131</v>
      </c>
      <c r="O16" s="1">
        <v>-54.866329254191257</v>
      </c>
      <c r="P16" s="7">
        <v>45947</v>
      </c>
      <c r="Q16" s="1">
        <v>20000</v>
      </c>
      <c r="R16" s="7">
        <v>46362.305070567127</v>
      </c>
      <c r="S16" s="7">
        <v>46362</v>
      </c>
      <c r="T16" s="7" t="str">
        <f t="shared" si="0"/>
        <v>diciembre</v>
      </c>
      <c r="U16" s="1" t="s">
        <v>330</v>
      </c>
      <c r="X16" s="1" t="s">
        <v>331</v>
      </c>
      <c r="Y16" s="1" t="s">
        <v>332</v>
      </c>
      <c r="Z16" s="1">
        <v>16</v>
      </c>
      <c r="AA16" s="3">
        <v>3389.9</v>
      </c>
      <c r="AB16" s="3">
        <v>54238.400000000001</v>
      </c>
      <c r="AC16" s="1" t="str">
        <f>VLOOKUP(A16,[1]Detalle!$D$2:$CW$484,98,FALSE)</f>
        <v>Unilever - Unilever de Arg. S.A.</v>
      </c>
    </row>
    <row r="17" spans="1:29" ht="14.25" customHeight="1" x14ac:dyDescent="0.3">
      <c r="A17" s="1" t="s">
        <v>106</v>
      </c>
      <c r="B17" s="1">
        <v>914</v>
      </c>
      <c r="C17" s="1" t="s">
        <v>328</v>
      </c>
      <c r="D17" s="1" t="s">
        <v>328</v>
      </c>
      <c r="E17" s="1">
        <v>0.75</v>
      </c>
      <c r="F17" s="1" t="s">
        <v>329</v>
      </c>
      <c r="G17" s="6">
        <v>45530</v>
      </c>
      <c r="H17" s="1">
        <v>297464</v>
      </c>
      <c r="I17" s="1">
        <v>317464</v>
      </c>
      <c r="J17" s="1">
        <v>23030.169999999991</v>
      </c>
      <c r="K17" s="1">
        <v>-3030.1699999999951</v>
      </c>
      <c r="L17" s="1">
        <v>320494.17</v>
      </c>
      <c r="M17" s="1">
        <v>417</v>
      </c>
      <c r="N17" s="1">
        <v>48.157370129870131</v>
      </c>
      <c r="O17" s="1">
        <v>-54.866329254191257</v>
      </c>
      <c r="P17" s="7">
        <v>45947</v>
      </c>
      <c r="Q17" s="1">
        <v>20000</v>
      </c>
      <c r="R17" s="7">
        <v>46362.305070567127</v>
      </c>
      <c r="S17" s="7">
        <v>46362</v>
      </c>
      <c r="T17" s="7" t="str">
        <f t="shared" si="0"/>
        <v>diciembre</v>
      </c>
      <c r="U17" s="1" t="s">
        <v>330</v>
      </c>
      <c r="X17" s="1" t="s">
        <v>333</v>
      </c>
      <c r="Y17" s="1" t="s">
        <v>334</v>
      </c>
      <c r="Z17" s="1">
        <v>1</v>
      </c>
      <c r="AA17" s="3">
        <v>8513.2800000000007</v>
      </c>
      <c r="AB17" s="3">
        <v>8513.2800000000007</v>
      </c>
      <c r="AC17" s="1" t="str">
        <f>VLOOKUP(A17,[1]Detalle!$D$2:$CW$484,98,FALSE)</f>
        <v>Unilever - Unilever de Arg. S.A.</v>
      </c>
    </row>
    <row r="18" spans="1:29" ht="14.25" customHeight="1" x14ac:dyDescent="0.3">
      <c r="A18" s="1" t="s">
        <v>108</v>
      </c>
      <c r="B18" s="1">
        <v>712</v>
      </c>
      <c r="C18" s="1" t="s">
        <v>328</v>
      </c>
      <c r="D18" s="1" t="s">
        <v>328</v>
      </c>
      <c r="E18" s="1">
        <v>0.75</v>
      </c>
      <c r="F18" s="1" t="s">
        <v>329</v>
      </c>
      <c r="G18" s="6">
        <v>45798</v>
      </c>
      <c r="H18" s="1">
        <v>32992.1</v>
      </c>
      <c r="I18" s="1">
        <v>52992.1</v>
      </c>
      <c r="J18" s="1">
        <v>9749.2999999999993</v>
      </c>
      <c r="K18" s="1">
        <v>10250.700000000001</v>
      </c>
      <c r="L18" s="1">
        <v>42741.399999999987</v>
      </c>
      <c r="M18" s="1">
        <v>149</v>
      </c>
      <c r="N18" s="1">
        <v>52.850396039603943</v>
      </c>
      <c r="O18" s="1">
        <v>156.6629706748177</v>
      </c>
      <c r="P18" s="7">
        <v>45947</v>
      </c>
      <c r="Q18" s="1">
        <v>20000</v>
      </c>
      <c r="R18" s="7">
        <v>46103.662970671299</v>
      </c>
      <c r="S18" s="7">
        <v>46103</v>
      </c>
      <c r="T18" s="7" t="str">
        <f t="shared" si="0"/>
        <v>marzo</v>
      </c>
      <c r="U18" s="1" t="s">
        <v>330</v>
      </c>
      <c r="X18" s="1" t="s">
        <v>331</v>
      </c>
      <c r="Y18" s="1" t="s">
        <v>332</v>
      </c>
      <c r="Z18" s="1">
        <v>16</v>
      </c>
      <c r="AA18" s="3">
        <v>3389.9</v>
      </c>
      <c r="AB18" s="3">
        <v>54238.400000000001</v>
      </c>
      <c r="AC18" s="1" t="str">
        <f>VLOOKUP(A18,[1]Detalle!$D$2:$CW$484,98,FALSE)</f>
        <v>JOHNSON - SC JOHNSON DE ARGENTINA SAIC</v>
      </c>
    </row>
    <row r="19" spans="1:29" ht="14.25" customHeight="1" x14ac:dyDescent="0.3">
      <c r="A19" s="1" t="s">
        <v>108</v>
      </c>
      <c r="B19" s="1">
        <v>712</v>
      </c>
      <c r="C19" s="1" t="s">
        <v>328</v>
      </c>
      <c r="D19" s="1" t="s">
        <v>328</v>
      </c>
      <c r="E19" s="1">
        <v>0.75</v>
      </c>
      <c r="F19" s="1" t="s">
        <v>329</v>
      </c>
      <c r="G19" s="6">
        <v>45798</v>
      </c>
      <c r="H19" s="1">
        <v>32992.1</v>
      </c>
      <c r="I19" s="1">
        <v>52992.1</v>
      </c>
      <c r="J19" s="1">
        <v>9749.2999999999993</v>
      </c>
      <c r="K19" s="1">
        <v>10250.700000000001</v>
      </c>
      <c r="L19" s="1">
        <v>42741.399999999987</v>
      </c>
      <c r="M19" s="1">
        <v>149</v>
      </c>
      <c r="N19" s="1">
        <v>52.850396039603943</v>
      </c>
      <c r="O19" s="1">
        <v>156.6629706748177</v>
      </c>
      <c r="P19" s="7">
        <v>45947</v>
      </c>
      <c r="Q19" s="1">
        <v>20000</v>
      </c>
      <c r="R19" s="7">
        <v>46103.662970671299</v>
      </c>
      <c r="S19" s="7">
        <v>46103</v>
      </c>
      <c r="T19" s="7" t="str">
        <f t="shared" si="0"/>
        <v>marzo</v>
      </c>
      <c r="U19" s="1" t="s">
        <v>330</v>
      </c>
      <c r="X19" s="1" t="s">
        <v>333</v>
      </c>
      <c r="Y19" s="1" t="s">
        <v>334</v>
      </c>
      <c r="Z19" s="1">
        <v>1</v>
      </c>
      <c r="AA19" s="3">
        <v>8513.2800000000007</v>
      </c>
      <c r="AB19" s="3">
        <v>8513.2800000000007</v>
      </c>
      <c r="AC19" s="1" t="str">
        <f>VLOOKUP(A19,[1]Detalle!$D$2:$CW$484,98,FALSE)</f>
        <v>JOHNSON - SC JOHNSON DE ARGENTINA SAIC</v>
      </c>
    </row>
    <row r="20" spans="1:29" ht="14.25" customHeight="1" x14ac:dyDescent="0.3">
      <c r="A20" s="1" t="s">
        <v>109</v>
      </c>
      <c r="B20" s="1">
        <v>1215</v>
      </c>
      <c r="C20" s="1" t="s">
        <v>328</v>
      </c>
      <c r="D20" s="1" t="s">
        <v>328</v>
      </c>
      <c r="E20" s="1">
        <v>0.75</v>
      </c>
      <c r="F20" s="1" t="s">
        <v>329</v>
      </c>
      <c r="G20" s="6">
        <v>45841</v>
      </c>
      <c r="H20" s="1">
        <v>16065.4</v>
      </c>
      <c r="I20" s="1">
        <v>36065.4</v>
      </c>
      <c r="J20" s="1">
        <v>5233.4000000000005</v>
      </c>
      <c r="K20" s="1">
        <v>14766.6</v>
      </c>
      <c r="L20" s="1">
        <v>21298.799999999999</v>
      </c>
      <c r="M20" s="1">
        <v>106</v>
      </c>
      <c r="N20" s="1">
        <v>61.480495049504917</v>
      </c>
      <c r="O20" s="1">
        <v>299.09038101425449</v>
      </c>
      <c r="P20" s="7">
        <v>45947</v>
      </c>
      <c r="Q20" s="1">
        <v>20000</v>
      </c>
      <c r="R20" s="7">
        <v>46246.090381018519</v>
      </c>
      <c r="S20" s="7">
        <v>46246</v>
      </c>
      <c r="T20" s="7" t="str">
        <f t="shared" si="0"/>
        <v>agosto</v>
      </c>
      <c r="U20" s="1" t="s">
        <v>330</v>
      </c>
      <c r="X20" s="1" t="s">
        <v>331</v>
      </c>
      <c r="Y20" s="1" t="s">
        <v>332</v>
      </c>
      <c r="Z20" s="1">
        <v>16</v>
      </c>
      <c r="AA20" s="3">
        <v>3389.9</v>
      </c>
      <c r="AB20" s="3">
        <v>54238.400000000001</v>
      </c>
      <c r="AC20" s="1" t="str">
        <f>VLOOKUP(A20,[1]Detalle!$D$2:$CW$484,98,FALSE)</f>
        <v>JOHNSON - SC JOHNSON DE ARGENTINA SAIC</v>
      </c>
    </row>
    <row r="21" spans="1:29" ht="14.25" customHeight="1" x14ac:dyDescent="0.3">
      <c r="A21" s="1" t="s">
        <v>109</v>
      </c>
      <c r="B21" s="1">
        <v>1215</v>
      </c>
      <c r="C21" s="1" t="s">
        <v>328</v>
      </c>
      <c r="D21" s="1" t="s">
        <v>328</v>
      </c>
      <c r="E21" s="1">
        <v>0.75</v>
      </c>
      <c r="F21" s="1" t="s">
        <v>329</v>
      </c>
      <c r="G21" s="6">
        <v>45841</v>
      </c>
      <c r="H21" s="1">
        <v>16065.4</v>
      </c>
      <c r="I21" s="1">
        <v>36065.4</v>
      </c>
      <c r="J21" s="1">
        <v>5233.4000000000005</v>
      </c>
      <c r="K21" s="1">
        <v>14766.6</v>
      </c>
      <c r="L21" s="1">
        <v>21298.799999999999</v>
      </c>
      <c r="M21" s="1">
        <v>106</v>
      </c>
      <c r="N21" s="1">
        <v>61.480495049504917</v>
      </c>
      <c r="O21" s="1">
        <v>299.09038101425449</v>
      </c>
      <c r="P21" s="7">
        <v>45947</v>
      </c>
      <c r="Q21" s="1">
        <v>20000</v>
      </c>
      <c r="R21" s="7">
        <v>46246.090381018519</v>
      </c>
      <c r="S21" s="7">
        <v>46246</v>
      </c>
      <c r="T21" s="7" t="str">
        <f t="shared" si="0"/>
        <v>agosto</v>
      </c>
      <c r="U21" s="1" t="s">
        <v>330</v>
      </c>
      <c r="X21" s="1" t="s">
        <v>333</v>
      </c>
      <c r="Y21" s="1" t="s">
        <v>334</v>
      </c>
      <c r="Z21" s="1">
        <v>1</v>
      </c>
      <c r="AA21" s="3">
        <v>8513.2800000000007</v>
      </c>
      <c r="AB21" s="3">
        <v>8513.2800000000007</v>
      </c>
      <c r="AC21" s="1" t="str">
        <f>VLOOKUP(A21,[1]Detalle!$D$2:$CW$484,98,FALSE)</f>
        <v>JOHNSON - SC JOHNSON DE ARGENTINA SAIC</v>
      </c>
    </row>
    <row r="22" spans="1:29" ht="14.25" customHeight="1" x14ac:dyDescent="0.3">
      <c r="A22" s="1" t="s">
        <v>111</v>
      </c>
      <c r="B22" s="1">
        <v>710</v>
      </c>
      <c r="C22" s="1" t="s">
        <v>328</v>
      </c>
      <c r="D22" s="1" t="s">
        <v>328</v>
      </c>
      <c r="E22" s="1">
        <v>0.75</v>
      </c>
      <c r="F22" s="1" t="s">
        <v>329</v>
      </c>
      <c r="G22" s="6">
        <v>45632</v>
      </c>
      <c r="H22" s="1">
        <v>16040</v>
      </c>
      <c r="I22" s="1">
        <v>36040</v>
      </c>
      <c r="J22" s="1">
        <v>34694.100000000013</v>
      </c>
      <c r="K22" s="1">
        <v>-14694.100000000009</v>
      </c>
      <c r="L22" s="1">
        <v>50734.100000000013</v>
      </c>
      <c r="M22" s="1">
        <v>315</v>
      </c>
      <c r="N22" s="1">
        <v>104.473717948718</v>
      </c>
      <c r="O22" s="1">
        <v>-133.41292899945529</v>
      </c>
      <c r="P22" s="7">
        <v>45947</v>
      </c>
      <c r="Q22" s="1">
        <v>20000</v>
      </c>
      <c r="R22" s="7">
        <v>46138.435706435193</v>
      </c>
      <c r="S22" s="7">
        <v>46138</v>
      </c>
      <c r="T22" s="7" t="str">
        <f t="shared" si="0"/>
        <v>abril</v>
      </c>
      <c r="U22" s="1" t="s">
        <v>330</v>
      </c>
      <c r="X22" s="1" t="s">
        <v>331</v>
      </c>
      <c r="Y22" s="1" t="s">
        <v>332</v>
      </c>
      <c r="Z22" s="1">
        <v>16</v>
      </c>
      <c r="AA22" s="3">
        <v>3389.9</v>
      </c>
      <c r="AB22" s="3">
        <v>54238.400000000001</v>
      </c>
      <c r="AC22" s="1" t="str">
        <f>VLOOKUP(A22,[1]Detalle!$D$2:$CW$484,98,FALSE)</f>
        <v>SUC_MEN - Sucursal Mendoza</v>
      </c>
    </row>
    <row r="23" spans="1:29" ht="14.25" customHeight="1" x14ac:dyDescent="0.3">
      <c r="A23" s="1" t="s">
        <v>111</v>
      </c>
      <c r="B23" s="1">
        <v>710</v>
      </c>
      <c r="C23" s="1" t="s">
        <v>328</v>
      </c>
      <c r="D23" s="1" t="s">
        <v>328</v>
      </c>
      <c r="E23" s="1">
        <v>0.75</v>
      </c>
      <c r="F23" s="1" t="s">
        <v>329</v>
      </c>
      <c r="G23" s="6">
        <v>45632</v>
      </c>
      <c r="H23" s="1">
        <v>16040</v>
      </c>
      <c r="I23" s="1">
        <v>36040</v>
      </c>
      <c r="J23" s="1">
        <v>34694.100000000013</v>
      </c>
      <c r="K23" s="1">
        <v>-14694.100000000009</v>
      </c>
      <c r="L23" s="1">
        <v>50734.100000000013</v>
      </c>
      <c r="M23" s="1">
        <v>315</v>
      </c>
      <c r="N23" s="1">
        <v>104.473717948718</v>
      </c>
      <c r="O23" s="1">
        <v>-133.41292899945529</v>
      </c>
      <c r="P23" s="7">
        <v>45947</v>
      </c>
      <c r="Q23" s="1">
        <v>20000</v>
      </c>
      <c r="R23" s="7">
        <v>46138.435706435193</v>
      </c>
      <c r="S23" s="7">
        <v>46138</v>
      </c>
      <c r="T23" s="7" t="str">
        <f t="shared" si="0"/>
        <v>abril</v>
      </c>
      <c r="U23" s="1" t="s">
        <v>330</v>
      </c>
      <c r="X23" s="1" t="s">
        <v>333</v>
      </c>
      <c r="Y23" s="1" t="s">
        <v>334</v>
      </c>
      <c r="Z23" s="1">
        <v>1</v>
      </c>
      <c r="AA23" s="3">
        <v>8513.2800000000007</v>
      </c>
      <c r="AB23" s="3">
        <v>8513.2800000000007</v>
      </c>
      <c r="AC23" s="1" t="str">
        <f>VLOOKUP(A23,[1]Detalle!$D$2:$CW$484,98,FALSE)</f>
        <v>SUC_MEN - Sucursal Mendoza</v>
      </c>
    </row>
    <row r="24" spans="1:29" ht="14.25" customHeight="1" x14ac:dyDescent="0.3">
      <c r="A24" s="1" t="s">
        <v>118</v>
      </c>
      <c r="B24" s="1">
        <v>1218</v>
      </c>
      <c r="C24" s="1" t="s">
        <v>328</v>
      </c>
      <c r="D24" s="1" t="s">
        <v>328</v>
      </c>
      <c r="E24" s="1">
        <v>0.75</v>
      </c>
      <c r="F24" s="1" t="s">
        <v>329</v>
      </c>
      <c r="G24" s="6">
        <v>45769</v>
      </c>
      <c r="H24" s="1">
        <v>302541</v>
      </c>
      <c r="I24" s="1">
        <v>322541</v>
      </c>
      <c r="J24" s="1">
        <v>8078.8000000000029</v>
      </c>
      <c r="K24" s="1">
        <v>11921.2</v>
      </c>
      <c r="L24" s="1">
        <v>310619.8</v>
      </c>
      <c r="M24" s="1">
        <v>178</v>
      </c>
      <c r="N24" s="1">
        <v>40.451193548387103</v>
      </c>
      <c r="O24" s="1">
        <v>262.6595038867157</v>
      </c>
      <c r="P24" s="7">
        <v>45947</v>
      </c>
      <c r="Q24" s="1">
        <v>20000</v>
      </c>
      <c r="R24" s="7">
        <v>46209.659503888892</v>
      </c>
      <c r="S24" s="7">
        <v>46209</v>
      </c>
      <c r="T24" s="7" t="str">
        <f t="shared" si="0"/>
        <v>julio</v>
      </c>
      <c r="U24" s="1" t="s">
        <v>330</v>
      </c>
      <c r="X24" s="1" t="s">
        <v>331</v>
      </c>
      <c r="Y24" s="1" t="s">
        <v>332</v>
      </c>
      <c r="Z24" s="1">
        <v>16</v>
      </c>
      <c r="AA24" s="3">
        <v>3389.9</v>
      </c>
      <c r="AB24" s="3">
        <v>54238.400000000001</v>
      </c>
      <c r="AC24" s="1" t="str">
        <f>VLOOKUP(A24,[1]Detalle!$D$2:$CW$484,98,FALSE)</f>
        <v>CCUCoAZA</v>
      </c>
    </row>
    <row r="25" spans="1:29" ht="14.25" customHeight="1" x14ac:dyDescent="0.3">
      <c r="A25" s="1" t="s">
        <v>118</v>
      </c>
      <c r="B25" s="1">
        <v>1218</v>
      </c>
      <c r="C25" s="1" t="s">
        <v>328</v>
      </c>
      <c r="D25" s="1" t="s">
        <v>328</v>
      </c>
      <c r="E25" s="1">
        <v>0.75</v>
      </c>
      <c r="F25" s="1" t="s">
        <v>329</v>
      </c>
      <c r="G25" s="6">
        <v>45769</v>
      </c>
      <c r="H25" s="1">
        <v>302541</v>
      </c>
      <c r="I25" s="1">
        <v>322541</v>
      </c>
      <c r="J25" s="1">
        <v>8078.8000000000029</v>
      </c>
      <c r="K25" s="1">
        <v>11921.2</v>
      </c>
      <c r="L25" s="1">
        <v>310619.8</v>
      </c>
      <c r="M25" s="1">
        <v>178</v>
      </c>
      <c r="N25" s="1">
        <v>40.451193548387103</v>
      </c>
      <c r="O25" s="1">
        <v>262.6595038867157</v>
      </c>
      <c r="P25" s="7">
        <v>45947</v>
      </c>
      <c r="Q25" s="1">
        <v>20000</v>
      </c>
      <c r="R25" s="7">
        <v>46209.659503888892</v>
      </c>
      <c r="S25" s="7">
        <v>46209</v>
      </c>
      <c r="T25" s="7" t="str">
        <f t="shared" si="0"/>
        <v>julio</v>
      </c>
      <c r="U25" s="1" t="s">
        <v>330</v>
      </c>
      <c r="X25" s="1" t="s">
        <v>333</v>
      </c>
      <c r="Y25" s="1" t="s">
        <v>334</v>
      </c>
      <c r="Z25" s="1">
        <v>1</v>
      </c>
      <c r="AA25" s="3">
        <v>8513.2800000000007</v>
      </c>
      <c r="AB25" s="3">
        <v>8513.2800000000007</v>
      </c>
      <c r="AC25" s="1" t="str">
        <f>VLOOKUP(A25,[1]Detalle!$D$2:$CW$484,98,FALSE)</f>
        <v>CCUCoAZA</v>
      </c>
    </row>
    <row r="26" spans="1:29" ht="14.25" customHeight="1" x14ac:dyDescent="0.3">
      <c r="A26" s="1" t="s">
        <v>120</v>
      </c>
      <c r="B26" s="1">
        <v>1218</v>
      </c>
      <c r="C26" s="1" t="s">
        <v>328</v>
      </c>
      <c r="D26" s="1" t="s">
        <v>328</v>
      </c>
      <c r="E26" s="1">
        <v>0.75</v>
      </c>
      <c r="F26" s="1" t="s">
        <v>329</v>
      </c>
      <c r="G26" s="6">
        <v>45617</v>
      </c>
      <c r="H26" s="1">
        <v>17571.7</v>
      </c>
      <c r="I26" s="1">
        <v>37571.699999999997</v>
      </c>
      <c r="J26" s="1">
        <v>31178.54</v>
      </c>
      <c r="K26" s="1">
        <v>-11178.54</v>
      </c>
      <c r="L26" s="1">
        <v>48750.239999999998</v>
      </c>
      <c r="M26" s="1">
        <v>330</v>
      </c>
      <c r="N26" s="1">
        <v>86.918456591639867</v>
      </c>
      <c r="O26" s="1">
        <v>-118.3159378213348</v>
      </c>
      <c r="P26" s="7">
        <v>45947</v>
      </c>
      <c r="Q26" s="1">
        <v>20000</v>
      </c>
      <c r="R26" s="7">
        <v>46177.100726412027</v>
      </c>
      <c r="S26" s="7">
        <v>46177</v>
      </c>
      <c r="T26" s="7" t="str">
        <f t="shared" si="0"/>
        <v>junio</v>
      </c>
      <c r="U26" s="1" t="s">
        <v>330</v>
      </c>
      <c r="X26" s="1" t="s">
        <v>331</v>
      </c>
      <c r="Y26" s="1" t="s">
        <v>332</v>
      </c>
      <c r="Z26" s="1">
        <v>16</v>
      </c>
      <c r="AA26" s="3">
        <v>3389.9</v>
      </c>
      <c r="AB26" s="3">
        <v>54238.400000000001</v>
      </c>
      <c r="AC26" s="1" t="str">
        <f>VLOOKUP(A26,[1]Detalle!$D$2:$CW$484,98,FALSE)</f>
        <v>SUC_MEN - Sucursal Mendoza</v>
      </c>
    </row>
    <row r="27" spans="1:29" ht="14.25" customHeight="1" x14ac:dyDescent="0.3">
      <c r="A27" s="1" t="s">
        <v>120</v>
      </c>
      <c r="B27" s="1">
        <v>1218</v>
      </c>
      <c r="C27" s="1" t="s">
        <v>328</v>
      </c>
      <c r="D27" s="1" t="s">
        <v>328</v>
      </c>
      <c r="E27" s="1">
        <v>0.75</v>
      </c>
      <c r="F27" s="1" t="s">
        <v>329</v>
      </c>
      <c r="G27" s="6">
        <v>45617</v>
      </c>
      <c r="H27" s="1">
        <v>17571.7</v>
      </c>
      <c r="I27" s="1">
        <v>37571.699999999997</v>
      </c>
      <c r="J27" s="1">
        <v>31178.54</v>
      </c>
      <c r="K27" s="1">
        <v>-11178.54</v>
      </c>
      <c r="L27" s="1">
        <v>48750.239999999998</v>
      </c>
      <c r="M27" s="1">
        <v>330</v>
      </c>
      <c r="N27" s="1">
        <v>86.918456591639867</v>
      </c>
      <c r="O27" s="1">
        <v>-118.3159378213348</v>
      </c>
      <c r="P27" s="7">
        <v>45947</v>
      </c>
      <c r="Q27" s="1">
        <v>20000</v>
      </c>
      <c r="R27" s="7">
        <v>46177.100726412027</v>
      </c>
      <c r="S27" s="7">
        <v>46177</v>
      </c>
      <c r="T27" s="7" t="str">
        <f t="shared" si="0"/>
        <v>junio</v>
      </c>
      <c r="U27" s="1" t="s">
        <v>330</v>
      </c>
      <c r="X27" s="1" t="s">
        <v>333</v>
      </c>
      <c r="Y27" s="1" t="s">
        <v>334</v>
      </c>
      <c r="Z27" s="1">
        <v>1</v>
      </c>
      <c r="AA27" s="3">
        <v>8513.2800000000007</v>
      </c>
      <c r="AB27" s="3">
        <v>8513.2800000000007</v>
      </c>
      <c r="AC27" s="1" t="str">
        <f>VLOOKUP(A27,[1]Detalle!$D$2:$CW$484,98,FALSE)</f>
        <v>SUC_MEN - Sucursal Mendoza</v>
      </c>
    </row>
    <row r="28" spans="1:29" ht="14.25" customHeight="1" x14ac:dyDescent="0.3">
      <c r="A28" s="1" t="s">
        <v>164</v>
      </c>
      <c r="B28" s="1">
        <v>710</v>
      </c>
      <c r="C28" s="1" t="s">
        <v>328</v>
      </c>
      <c r="D28" s="1" t="s">
        <v>328</v>
      </c>
      <c r="E28" s="1">
        <v>0.75</v>
      </c>
      <c r="F28" s="1" t="s">
        <v>329</v>
      </c>
      <c r="G28" s="6">
        <v>45378</v>
      </c>
      <c r="H28" s="1">
        <v>202420</v>
      </c>
      <c r="I28" s="1">
        <v>222420</v>
      </c>
      <c r="J28" s="1">
        <v>36588.559999999939</v>
      </c>
      <c r="K28" s="1">
        <v>-16588.559999999939</v>
      </c>
      <c r="L28" s="1">
        <v>239008.55999999991</v>
      </c>
      <c r="M28" s="1">
        <v>569</v>
      </c>
      <c r="N28" s="1">
        <v>69.022379421221856</v>
      </c>
      <c r="O28" s="1">
        <v>-257.97382132557232</v>
      </c>
      <c r="P28" s="7">
        <v>45947</v>
      </c>
      <c r="Q28" s="1">
        <v>20000</v>
      </c>
      <c r="R28" s="7">
        <v>46236.7610915162</v>
      </c>
      <c r="S28" s="7">
        <v>46236</v>
      </c>
      <c r="T28" s="7" t="str">
        <f t="shared" si="0"/>
        <v>agosto</v>
      </c>
      <c r="U28" s="1" t="s">
        <v>330</v>
      </c>
      <c r="X28" s="1" t="s">
        <v>331</v>
      </c>
      <c r="Y28" s="1" t="s">
        <v>332</v>
      </c>
      <c r="Z28" s="1">
        <v>16</v>
      </c>
      <c r="AA28" s="3">
        <v>3389.9</v>
      </c>
      <c r="AB28" s="3">
        <v>54238.400000000001</v>
      </c>
      <c r="AC28" s="1" t="str">
        <f>VLOOKUP(A28,[1]Detalle!$D$2:$CW$484,98,FALSE)</f>
        <v>SUC_MEN - Sucursal Mendoza</v>
      </c>
    </row>
    <row r="29" spans="1:29" ht="14.25" customHeight="1" x14ac:dyDescent="0.3">
      <c r="A29" s="1" t="s">
        <v>164</v>
      </c>
      <c r="B29" s="1">
        <v>710</v>
      </c>
      <c r="C29" s="1" t="s">
        <v>328</v>
      </c>
      <c r="D29" s="1" t="s">
        <v>328</v>
      </c>
      <c r="E29" s="1">
        <v>0.75</v>
      </c>
      <c r="F29" s="1" t="s">
        <v>329</v>
      </c>
      <c r="G29" s="6">
        <v>45378</v>
      </c>
      <c r="H29" s="1">
        <v>202420</v>
      </c>
      <c r="I29" s="1">
        <v>222420</v>
      </c>
      <c r="J29" s="1">
        <v>36588.559999999939</v>
      </c>
      <c r="K29" s="1">
        <v>-16588.559999999939</v>
      </c>
      <c r="L29" s="1">
        <v>239008.55999999991</v>
      </c>
      <c r="M29" s="1">
        <v>569</v>
      </c>
      <c r="N29" s="1">
        <v>69.022379421221856</v>
      </c>
      <c r="O29" s="1">
        <v>-257.97382132557232</v>
      </c>
      <c r="P29" s="7">
        <v>45947</v>
      </c>
      <c r="Q29" s="1">
        <v>20000</v>
      </c>
      <c r="R29" s="7">
        <v>46236.7610915162</v>
      </c>
      <c r="S29" s="7">
        <v>46236</v>
      </c>
      <c r="T29" s="7" t="str">
        <f t="shared" si="0"/>
        <v>agosto</v>
      </c>
      <c r="U29" s="1" t="s">
        <v>330</v>
      </c>
      <c r="X29" s="1" t="s">
        <v>333</v>
      </c>
      <c r="Y29" s="1" t="s">
        <v>334</v>
      </c>
      <c r="Z29" s="1">
        <v>1</v>
      </c>
      <c r="AA29" s="3">
        <v>8513.2800000000007</v>
      </c>
      <c r="AB29" s="3">
        <v>8513.2800000000007</v>
      </c>
      <c r="AC29" s="1" t="str">
        <f>VLOOKUP(A29,[1]Detalle!$D$2:$CW$484,98,FALSE)</f>
        <v>SUC_MEN - Sucursal Mendoza</v>
      </c>
    </row>
    <row r="30" spans="1:29" ht="14.25" customHeight="1" x14ac:dyDescent="0.3">
      <c r="A30" s="1" t="s">
        <v>179</v>
      </c>
      <c r="B30" s="1" t="s">
        <v>340</v>
      </c>
      <c r="C30" s="1" t="s">
        <v>328</v>
      </c>
      <c r="D30" s="1" t="s">
        <v>328</v>
      </c>
      <c r="E30" s="1">
        <v>0.75</v>
      </c>
      <c r="F30" s="1" t="s">
        <v>329</v>
      </c>
      <c r="G30" s="6">
        <v>45742</v>
      </c>
      <c r="H30" s="1">
        <v>283696</v>
      </c>
      <c r="I30" s="1">
        <v>303696</v>
      </c>
      <c r="J30" s="1">
        <v>7346.0000000000036</v>
      </c>
      <c r="K30" s="1">
        <v>12654</v>
      </c>
      <c r="L30" s="1">
        <v>291042</v>
      </c>
      <c r="M30" s="1">
        <v>205</v>
      </c>
      <c r="N30" s="1">
        <v>34.247774193548388</v>
      </c>
      <c r="O30" s="1">
        <v>353.12687176694772</v>
      </c>
      <c r="P30" s="7">
        <v>45947</v>
      </c>
      <c r="Q30" s="1">
        <v>20000</v>
      </c>
      <c r="R30" s="7">
        <v>46300.12687177083</v>
      </c>
      <c r="S30" s="7">
        <v>46300</v>
      </c>
      <c r="T30" s="7" t="str">
        <f t="shared" si="0"/>
        <v>octubre</v>
      </c>
      <c r="U30" s="1" t="s">
        <v>330</v>
      </c>
      <c r="X30" s="1" t="s">
        <v>331</v>
      </c>
      <c r="Y30" s="1" t="s">
        <v>332</v>
      </c>
      <c r="Z30" s="1">
        <v>16</v>
      </c>
      <c r="AA30" s="3">
        <v>3389.9</v>
      </c>
      <c r="AB30" s="3">
        <v>54238.400000000001</v>
      </c>
      <c r="AC30" s="1" t="str">
        <f>VLOOKUP(A30,[1]Detalle!$D$2:$CW$484,98,FALSE)</f>
        <v>CCUCoAZA</v>
      </c>
    </row>
    <row r="31" spans="1:29" ht="14.25" customHeight="1" x14ac:dyDescent="0.3">
      <c r="A31" s="1" t="s">
        <v>179</v>
      </c>
      <c r="B31" s="1" t="s">
        <v>340</v>
      </c>
      <c r="C31" s="1" t="s">
        <v>328</v>
      </c>
      <c r="D31" s="1" t="s">
        <v>328</v>
      </c>
      <c r="E31" s="1">
        <v>0.75</v>
      </c>
      <c r="F31" s="1" t="s">
        <v>329</v>
      </c>
      <c r="G31" s="6">
        <v>45742</v>
      </c>
      <c r="H31" s="1">
        <v>283696</v>
      </c>
      <c r="I31" s="1">
        <v>303696</v>
      </c>
      <c r="J31" s="1">
        <v>7346.0000000000036</v>
      </c>
      <c r="K31" s="1">
        <v>12654</v>
      </c>
      <c r="L31" s="1">
        <v>291042</v>
      </c>
      <c r="M31" s="1">
        <v>205</v>
      </c>
      <c r="N31" s="1">
        <v>34.247774193548388</v>
      </c>
      <c r="O31" s="1">
        <v>353.12687176694772</v>
      </c>
      <c r="P31" s="7">
        <v>45947</v>
      </c>
      <c r="Q31" s="1">
        <v>20000</v>
      </c>
      <c r="R31" s="7">
        <v>46300.12687177083</v>
      </c>
      <c r="S31" s="7">
        <v>46300</v>
      </c>
      <c r="T31" s="7" t="str">
        <f t="shared" si="0"/>
        <v>octubre</v>
      </c>
      <c r="U31" s="1" t="s">
        <v>330</v>
      </c>
      <c r="X31" s="1" t="s">
        <v>333</v>
      </c>
      <c r="Y31" s="1" t="s">
        <v>334</v>
      </c>
      <c r="Z31" s="1">
        <v>1</v>
      </c>
      <c r="AA31" s="3">
        <v>8513.2800000000007</v>
      </c>
      <c r="AB31" s="3">
        <v>8513.2800000000007</v>
      </c>
      <c r="AC31" s="1" t="str">
        <f>VLOOKUP(A31,[1]Detalle!$D$2:$CW$484,98,FALSE)</f>
        <v>CCUCoAZA</v>
      </c>
    </row>
    <row r="32" spans="1:29" ht="14.25" customHeight="1" x14ac:dyDescent="0.3">
      <c r="A32" s="1" t="s">
        <v>180</v>
      </c>
      <c r="B32" s="1" t="s">
        <v>340</v>
      </c>
      <c r="C32" s="1" t="s">
        <v>328</v>
      </c>
      <c r="D32" s="1" t="s">
        <v>328</v>
      </c>
      <c r="E32" s="1">
        <v>0.75</v>
      </c>
      <c r="F32" s="1" t="s">
        <v>329</v>
      </c>
      <c r="G32" s="6">
        <v>45842</v>
      </c>
      <c r="H32" s="1">
        <v>227732</v>
      </c>
      <c r="I32" s="1">
        <v>247732</v>
      </c>
      <c r="J32" s="1">
        <v>5333.9000000000024</v>
      </c>
      <c r="K32" s="1">
        <v>14666.1</v>
      </c>
      <c r="L32" s="1">
        <v>233065.9</v>
      </c>
      <c r="M32" s="1">
        <v>105</v>
      </c>
      <c r="N32" s="1">
        <v>40.479774193548408</v>
      </c>
      <c r="O32" s="1">
        <v>288.70816850709599</v>
      </c>
      <c r="P32" s="7">
        <v>45947</v>
      </c>
      <c r="Q32" s="1">
        <v>20000</v>
      </c>
      <c r="R32" s="7">
        <v>46235.708168506942</v>
      </c>
      <c r="S32" s="7">
        <v>46235</v>
      </c>
      <c r="T32" s="7" t="str">
        <f t="shared" si="0"/>
        <v>agosto</v>
      </c>
      <c r="U32" s="1" t="s">
        <v>330</v>
      </c>
      <c r="X32" s="1" t="s">
        <v>331</v>
      </c>
      <c r="Y32" s="1" t="s">
        <v>332</v>
      </c>
      <c r="Z32" s="1">
        <v>16</v>
      </c>
      <c r="AA32" s="3">
        <v>3389.9</v>
      </c>
      <c r="AB32" s="3">
        <v>54238.400000000001</v>
      </c>
      <c r="AC32" s="1" t="str">
        <f>VLOOKUP(A32,[1]Detalle!$D$2:$CW$484,98,FALSE)</f>
        <v>CCUCoAZA</v>
      </c>
    </row>
    <row r="33" spans="1:29" ht="14.25" customHeight="1" x14ac:dyDescent="0.3">
      <c r="A33" s="1" t="s">
        <v>180</v>
      </c>
      <c r="B33" s="1" t="s">
        <v>340</v>
      </c>
      <c r="C33" s="1" t="s">
        <v>328</v>
      </c>
      <c r="D33" s="1" t="s">
        <v>328</v>
      </c>
      <c r="E33" s="1">
        <v>0.75</v>
      </c>
      <c r="F33" s="1" t="s">
        <v>329</v>
      </c>
      <c r="G33" s="6">
        <v>45842</v>
      </c>
      <c r="H33" s="1">
        <v>227732</v>
      </c>
      <c r="I33" s="1">
        <v>247732</v>
      </c>
      <c r="J33" s="1">
        <v>5333.9000000000024</v>
      </c>
      <c r="K33" s="1">
        <v>14666.1</v>
      </c>
      <c r="L33" s="1">
        <v>233065.9</v>
      </c>
      <c r="M33" s="1">
        <v>105</v>
      </c>
      <c r="N33" s="1">
        <v>40.479774193548408</v>
      </c>
      <c r="O33" s="1">
        <v>288.70816850709599</v>
      </c>
      <c r="P33" s="7">
        <v>45947</v>
      </c>
      <c r="Q33" s="1">
        <v>20000</v>
      </c>
      <c r="R33" s="7">
        <v>46235.708168506942</v>
      </c>
      <c r="S33" s="7">
        <v>46235</v>
      </c>
      <c r="T33" s="7" t="str">
        <f t="shared" si="0"/>
        <v>agosto</v>
      </c>
      <c r="U33" s="1" t="s">
        <v>330</v>
      </c>
      <c r="X33" s="1" t="s">
        <v>333</v>
      </c>
      <c r="Y33" s="1" t="s">
        <v>334</v>
      </c>
      <c r="Z33" s="1">
        <v>1</v>
      </c>
      <c r="AA33" s="3">
        <v>8513.2800000000007</v>
      </c>
      <c r="AB33" s="3">
        <v>8513.2800000000007</v>
      </c>
      <c r="AC33" s="1" t="str">
        <f>VLOOKUP(A33,[1]Detalle!$D$2:$CW$484,98,FALSE)</f>
        <v>CCUCoAZA</v>
      </c>
    </row>
    <row r="34" spans="1:29" ht="14.25" customHeight="1" x14ac:dyDescent="0.3">
      <c r="A34" s="1" t="s">
        <v>189</v>
      </c>
      <c r="B34" s="1" t="s">
        <v>340</v>
      </c>
      <c r="C34" s="1" t="s">
        <v>328</v>
      </c>
      <c r="D34" s="1" t="s">
        <v>328</v>
      </c>
      <c r="E34" s="1">
        <v>0.75</v>
      </c>
      <c r="F34" s="1" t="s">
        <v>329</v>
      </c>
      <c r="G34" s="6">
        <v>45790</v>
      </c>
      <c r="H34" s="1">
        <v>237476</v>
      </c>
      <c r="I34" s="1">
        <v>257476</v>
      </c>
      <c r="J34" s="1">
        <v>6287.2000000000007</v>
      </c>
      <c r="K34" s="1">
        <v>13712.8</v>
      </c>
      <c r="L34" s="1">
        <v>243763.20000000001</v>
      </c>
      <c r="M34" s="1">
        <v>157</v>
      </c>
      <c r="N34" s="1">
        <v>36.85391585760523</v>
      </c>
      <c r="O34" s="1">
        <v>342.42740806718399</v>
      </c>
      <c r="P34" s="7">
        <v>45947</v>
      </c>
      <c r="Q34" s="1">
        <v>20000</v>
      </c>
      <c r="R34" s="7">
        <v>46289.427408067131</v>
      </c>
      <c r="S34" s="7">
        <v>46289</v>
      </c>
      <c r="T34" s="7" t="str">
        <f t="shared" si="0"/>
        <v>septiembre</v>
      </c>
      <c r="U34" s="1" t="s">
        <v>330</v>
      </c>
      <c r="X34" s="1" t="s">
        <v>331</v>
      </c>
      <c r="Y34" s="1" t="s">
        <v>332</v>
      </c>
      <c r="Z34" s="1">
        <v>15</v>
      </c>
      <c r="AA34" s="3">
        <v>3389.9</v>
      </c>
      <c r="AB34" s="3">
        <f>AA34*Z34</f>
        <v>50848.5</v>
      </c>
      <c r="AC34" s="1" t="str">
        <f>VLOOKUP(A34,[1]Detalle!$D$2:$CW$484,98,FALSE)</f>
        <v>CCUDyAZA</v>
      </c>
    </row>
    <row r="35" spans="1:29" ht="14.25" customHeight="1" x14ac:dyDescent="0.3">
      <c r="A35" s="1" t="s">
        <v>189</v>
      </c>
      <c r="B35" s="1" t="s">
        <v>340</v>
      </c>
      <c r="C35" s="1" t="s">
        <v>328</v>
      </c>
      <c r="D35" s="1" t="s">
        <v>328</v>
      </c>
      <c r="E35" s="1">
        <v>0.75</v>
      </c>
      <c r="F35" s="1" t="s">
        <v>329</v>
      </c>
      <c r="G35" s="6">
        <v>45790</v>
      </c>
      <c r="H35" s="1">
        <v>237476</v>
      </c>
      <c r="I35" s="1">
        <v>257476</v>
      </c>
      <c r="J35" s="1">
        <v>6287.2000000000007</v>
      </c>
      <c r="K35" s="1">
        <v>13712.8</v>
      </c>
      <c r="L35" s="1">
        <v>243763.20000000001</v>
      </c>
      <c r="M35" s="1">
        <v>157</v>
      </c>
      <c r="N35" s="1">
        <v>36.85391585760523</v>
      </c>
      <c r="O35" s="1">
        <v>342.42740806718399</v>
      </c>
      <c r="P35" s="7">
        <v>45947</v>
      </c>
      <c r="Q35" s="1">
        <v>20000</v>
      </c>
      <c r="R35" s="7">
        <v>46289.427408067131</v>
      </c>
      <c r="S35" s="7">
        <v>46289</v>
      </c>
      <c r="T35" s="7" t="str">
        <f t="shared" si="0"/>
        <v>septiembre</v>
      </c>
      <c r="U35" s="1" t="s">
        <v>330</v>
      </c>
      <c r="X35" s="1" t="s">
        <v>333</v>
      </c>
      <c r="Y35" s="1" t="s">
        <v>334</v>
      </c>
      <c r="Z35" s="1">
        <v>1</v>
      </c>
      <c r="AA35" s="3">
        <v>8513.2800000000007</v>
      </c>
      <c r="AB35" s="3">
        <v>8513.2800000000007</v>
      </c>
      <c r="AC35" s="1" t="str">
        <f>VLOOKUP(A35,[1]Detalle!$D$2:$CW$484,98,FALSE)</f>
        <v>CCUDyAZA</v>
      </c>
    </row>
    <row r="36" spans="1:29" ht="14.25" customHeight="1" x14ac:dyDescent="0.3">
      <c r="A36" s="1" t="s">
        <v>190</v>
      </c>
      <c r="B36" s="1" t="s">
        <v>340</v>
      </c>
      <c r="C36" s="1" t="s">
        <v>328</v>
      </c>
      <c r="D36" s="1" t="s">
        <v>328</v>
      </c>
      <c r="E36" s="1">
        <v>0.75</v>
      </c>
      <c r="F36" s="1" t="s">
        <v>329</v>
      </c>
      <c r="G36" s="6">
        <v>45785</v>
      </c>
      <c r="H36" s="1">
        <v>249976</v>
      </c>
      <c r="I36" s="1">
        <v>269976</v>
      </c>
      <c r="J36" s="1">
        <v>7170.0999999999995</v>
      </c>
      <c r="K36" s="1">
        <v>12829.9</v>
      </c>
      <c r="L36" s="1">
        <v>257146.1</v>
      </c>
      <c r="M36" s="1">
        <v>162</v>
      </c>
      <c r="N36" s="1">
        <v>37.516848874598068</v>
      </c>
      <c r="O36" s="1">
        <v>289.876542865511</v>
      </c>
      <c r="P36" s="7">
        <v>45947</v>
      </c>
      <c r="Q36" s="1">
        <v>20000</v>
      </c>
      <c r="R36" s="7">
        <v>46236.87654287037</v>
      </c>
      <c r="S36" s="7">
        <v>46236</v>
      </c>
      <c r="T36" s="7" t="str">
        <f t="shared" si="0"/>
        <v>agosto</v>
      </c>
      <c r="U36" s="1" t="s">
        <v>330</v>
      </c>
      <c r="X36" s="1" t="s">
        <v>331</v>
      </c>
      <c r="Y36" s="1" t="s">
        <v>332</v>
      </c>
      <c r="Z36" s="1">
        <v>16</v>
      </c>
      <c r="AA36" s="3">
        <v>3389.9</v>
      </c>
      <c r="AB36" s="3">
        <v>54238.400000000001</v>
      </c>
      <c r="AC36" s="1" t="str">
        <f>VLOOKUP(A36,[1]Detalle!$D$2:$CW$484,98,FALSE)</f>
        <v>CCUCoAZA</v>
      </c>
    </row>
    <row r="37" spans="1:29" ht="14.25" customHeight="1" x14ac:dyDescent="0.3">
      <c r="A37" s="1" t="s">
        <v>190</v>
      </c>
      <c r="B37" s="1" t="s">
        <v>340</v>
      </c>
      <c r="C37" s="1" t="s">
        <v>328</v>
      </c>
      <c r="D37" s="1" t="s">
        <v>328</v>
      </c>
      <c r="E37" s="1">
        <v>0.75</v>
      </c>
      <c r="F37" s="1" t="s">
        <v>329</v>
      </c>
      <c r="G37" s="6">
        <v>45785</v>
      </c>
      <c r="H37" s="1">
        <v>249976</v>
      </c>
      <c r="I37" s="1">
        <v>269976</v>
      </c>
      <c r="J37" s="1">
        <v>7170.0999999999995</v>
      </c>
      <c r="K37" s="1">
        <v>12829.9</v>
      </c>
      <c r="L37" s="1">
        <v>257146.1</v>
      </c>
      <c r="M37" s="1">
        <v>162</v>
      </c>
      <c r="N37" s="1">
        <v>37.516848874598068</v>
      </c>
      <c r="O37" s="1">
        <v>289.876542865511</v>
      </c>
      <c r="P37" s="7">
        <v>45947</v>
      </c>
      <c r="Q37" s="1">
        <v>20000</v>
      </c>
      <c r="R37" s="7">
        <v>46236.87654287037</v>
      </c>
      <c r="S37" s="7">
        <v>46236</v>
      </c>
      <c r="T37" s="7" t="str">
        <f t="shared" si="0"/>
        <v>agosto</v>
      </c>
      <c r="U37" s="1" t="s">
        <v>330</v>
      </c>
      <c r="X37" s="1" t="s">
        <v>333</v>
      </c>
      <c r="Y37" s="1" t="s">
        <v>334</v>
      </c>
      <c r="Z37" s="1">
        <v>1</v>
      </c>
      <c r="AA37" s="3">
        <v>8513.2800000000007</v>
      </c>
      <c r="AB37" s="3">
        <v>8513.2800000000007</v>
      </c>
      <c r="AC37" s="1" t="str">
        <f>VLOOKUP(A37,[1]Detalle!$D$2:$CW$484,98,FALSE)</f>
        <v>CCUCoAZA</v>
      </c>
    </row>
    <row r="38" spans="1:29" ht="14.25" customHeight="1" x14ac:dyDescent="0.3">
      <c r="A38" s="1" t="s">
        <v>196</v>
      </c>
      <c r="B38" s="1" t="s">
        <v>340</v>
      </c>
      <c r="C38" s="1" t="s">
        <v>328</v>
      </c>
      <c r="D38" s="1" t="s">
        <v>328</v>
      </c>
      <c r="E38" s="1">
        <v>0.75</v>
      </c>
      <c r="F38" s="1" t="s">
        <v>329</v>
      </c>
      <c r="G38" s="6">
        <v>45656</v>
      </c>
      <c r="H38" s="1">
        <v>216285</v>
      </c>
      <c r="I38" s="1">
        <v>236285</v>
      </c>
      <c r="J38" s="1">
        <v>9057.0900000000038</v>
      </c>
      <c r="K38" s="1">
        <v>10942.91</v>
      </c>
      <c r="L38" s="1">
        <v>225342.09</v>
      </c>
      <c r="M38" s="1">
        <v>291</v>
      </c>
      <c r="N38" s="1">
        <v>33.420996309963101</v>
      </c>
      <c r="O38" s="1">
        <v>351.59050092248151</v>
      </c>
      <c r="P38" s="7">
        <v>45947</v>
      </c>
      <c r="Q38" s="1">
        <v>20000</v>
      </c>
      <c r="R38" s="7">
        <v>46298.59050092593</v>
      </c>
      <c r="S38" s="7">
        <v>46298</v>
      </c>
      <c r="T38" s="7" t="str">
        <f t="shared" si="0"/>
        <v>octubre</v>
      </c>
      <c r="U38" s="1" t="s">
        <v>330</v>
      </c>
      <c r="X38" s="1" t="s">
        <v>331</v>
      </c>
      <c r="Y38" s="1" t="s">
        <v>332</v>
      </c>
      <c r="Z38" s="1">
        <v>16</v>
      </c>
      <c r="AA38" s="3">
        <v>3389.9</v>
      </c>
      <c r="AB38" s="3">
        <v>54238.400000000001</v>
      </c>
      <c r="AC38" s="1" t="str">
        <f>VLOOKUP(A38,[1]Detalle!$D$2:$CW$484,98,FALSE)</f>
        <v>CCUCoAZA</v>
      </c>
    </row>
    <row r="39" spans="1:29" ht="14.25" customHeight="1" x14ac:dyDescent="0.3">
      <c r="A39" s="1" t="s">
        <v>196</v>
      </c>
      <c r="B39" s="1" t="s">
        <v>340</v>
      </c>
      <c r="C39" s="1" t="s">
        <v>328</v>
      </c>
      <c r="D39" s="1" t="s">
        <v>328</v>
      </c>
      <c r="E39" s="1">
        <v>0.75</v>
      </c>
      <c r="F39" s="1" t="s">
        <v>329</v>
      </c>
      <c r="G39" s="6">
        <v>45656</v>
      </c>
      <c r="H39" s="1">
        <v>216285</v>
      </c>
      <c r="I39" s="1">
        <v>236285</v>
      </c>
      <c r="J39" s="1">
        <v>9057.0900000000038</v>
      </c>
      <c r="K39" s="1">
        <v>10942.91</v>
      </c>
      <c r="L39" s="1">
        <v>225342.09</v>
      </c>
      <c r="M39" s="1">
        <v>291</v>
      </c>
      <c r="N39" s="1">
        <v>33.420996309963101</v>
      </c>
      <c r="O39" s="1">
        <v>351.59050092248151</v>
      </c>
      <c r="P39" s="7">
        <v>45947</v>
      </c>
      <c r="Q39" s="1">
        <v>20000</v>
      </c>
      <c r="R39" s="7">
        <v>46298.59050092593</v>
      </c>
      <c r="S39" s="7">
        <v>46298</v>
      </c>
      <c r="T39" s="7" t="str">
        <f t="shared" si="0"/>
        <v>octubre</v>
      </c>
      <c r="U39" s="1" t="s">
        <v>330</v>
      </c>
      <c r="X39" s="1" t="s">
        <v>333</v>
      </c>
      <c r="Y39" s="1" t="s">
        <v>334</v>
      </c>
      <c r="Z39" s="1">
        <v>1</v>
      </c>
      <c r="AA39" s="3">
        <v>8513.2800000000007</v>
      </c>
      <c r="AB39" s="3">
        <v>8513.2800000000007</v>
      </c>
      <c r="AC39" s="1" t="str">
        <f>VLOOKUP(A39,[1]Detalle!$D$2:$CW$484,98,FALSE)</f>
        <v>CCUCoAZA</v>
      </c>
    </row>
    <row r="40" spans="1:29" ht="14.25" customHeight="1" x14ac:dyDescent="0.3">
      <c r="A40" s="1" t="s">
        <v>209</v>
      </c>
      <c r="B40" s="1" t="s">
        <v>341</v>
      </c>
      <c r="C40" s="1" t="s">
        <v>328</v>
      </c>
      <c r="D40" s="1" t="s">
        <v>328</v>
      </c>
      <c r="E40" s="1">
        <v>0.75</v>
      </c>
      <c r="F40" s="1" t="s">
        <v>329</v>
      </c>
      <c r="G40" s="6">
        <v>45525</v>
      </c>
      <c r="H40" s="1">
        <v>880145</v>
      </c>
      <c r="I40" s="1">
        <v>900145</v>
      </c>
      <c r="J40" s="1">
        <v>79750.570000000065</v>
      </c>
      <c r="K40" s="1">
        <v>-59750.570000000072</v>
      </c>
      <c r="L40" s="1">
        <v>959895.57000000007</v>
      </c>
      <c r="M40" s="1">
        <v>422</v>
      </c>
      <c r="N40" s="1">
        <v>249.7515064102565</v>
      </c>
      <c r="O40" s="1">
        <v>-316.17003539912008</v>
      </c>
      <c r="P40" s="7">
        <v>45947</v>
      </c>
      <c r="Q40" s="1">
        <v>20000</v>
      </c>
      <c r="R40" s="7">
        <v>46027.079597071759</v>
      </c>
      <c r="S40" s="7">
        <v>46027</v>
      </c>
      <c r="T40" s="7" t="str">
        <f t="shared" si="0"/>
        <v>enero</v>
      </c>
      <c r="U40" s="1" t="s">
        <v>330</v>
      </c>
      <c r="X40" s="1" t="s">
        <v>331</v>
      </c>
      <c r="Y40" s="1" t="s">
        <v>332</v>
      </c>
      <c r="Z40" s="1">
        <v>16</v>
      </c>
      <c r="AA40" s="3">
        <v>3389.9</v>
      </c>
      <c r="AB40" s="3">
        <v>54238.400000000001</v>
      </c>
      <c r="AC40" s="1" t="str">
        <f>VLOOKUP(A40,[1]Detalle!$D$2:$CW$484,98,FALSE)</f>
        <v>CENCO_MZ - Cencosud SA - Mendoza</v>
      </c>
    </row>
    <row r="41" spans="1:29" ht="14.25" customHeight="1" x14ac:dyDescent="0.3">
      <c r="A41" s="1" t="s">
        <v>209</v>
      </c>
      <c r="B41" s="1" t="s">
        <v>341</v>
      </c>
      <c r="C41" s="1" t="s">
        <v>328</v>
      </c>
      <c r="D41" s="1" t="s">
        <v>328</v>
      </c>
      <c r="E41" s="1">
        <v>0.75</v>
      </c>
      <c r="F41" s="1" t="s">
        <v>329</v>
      </c>
      <c r="G41" s="6">
        <v>45525</v>
      </c>
      <c r="H41" s="1">
        <v>880145</v>
      </c>
      <c r="I41" s="1">
        <v>900145</v>
      </c>
      <c r="J41" s="1">
        <v>79750.570000000065</v>
      </c>
      <c r="K41" s="1">
        <v>-59750.570000000072</v>
      </c>
      <c r="L41" s="1">
        <v>959895.57000000007</v>
      </c>
      <c r="M41" s="1">
        <v>422</v>
      </c>
      <c r="N41" s="1">
        <v>249.7515064102565</v>
      </c>
      <c r="O41" s="1">
        <v>-316.17003539912008</v>
      </c>
      <c r="P41" s="7">
        <v>45947</v>
      </c>
      <c r="Q41" s="1">
        <v>20000</v>
      </c>
      <c r="R41" s="7">
        <v>46027.079597071759</v>
      </c>
      <c r="S41" s="7">
        <v>46027</v>
      </c>
      <c r="T41" s="7" t="str">
        <f t="shared" si="0"/>
        <v>enero</v>
      </c>
      <c r="U41" s="1" t="s">
        <v>330</v>
      </c>
      <c r="X41" s="1" t="s">
        <v>333</v>
      </c>
      <c r="Y41" s="1" t="s">
        <v>334</v>
      </c>
      <c r="Z41" s="1">
        <v>1</v>
      </c>
      <c r="AA41" s="3">
        <v>8513.2800000000007</v>
      </c>
      <c r="AB41" s="3">
        <v>8513.2800000000007</v>
      </c>
      <c r="AC41" s="1" t="str">
        <f>VLOOKUP(A41,[1]Detalle!$D$2:$CW$484,98,FALSE)</f>
        <v>CENCO_MZ - Cencosud SA - Mendoza</v>
      </c>
    </row>
    <row r="42" spans="1:29" ht="14.25" customHeight="1" x14ac:dyDescent="0.3">
      <c r="A42" s="1" t="s">
        <v>210</v>
      </c>
      <c r="B42" s="1" t="s">
        <v>340</v>
      </c>
      <c r="C42" s="1" t="s">
        <v>328</v>
      </c>
      <c r="D42" s="1" t="s">
        <v>328</v>
      </c>
      <c r="E42" s="1">
        <v>0.75</v>
      </c>
      <c r="F42" s="1" t="s">
        <v>329</v>
      </c>
      <c r="G42" s="6">
        <v>45603</v>
      </c>
      <c r="H42" s="1">
        <v>342438</v>
      </c>
      <c r="I42" s="1">
        <v>362438</v>
      </c>
      <c r="J42" s="1">
        <v>22886.28</v>
      </c>
      <c r="K42" s="1">
        <v>-2886.280000000002</v>
      </c>
      <c r="L42" s="1">
        <v>365324.28</v>
      </c>
      <c r="M42" s="1">
        <v>344</v>
      </c>
      <c r="N42" s="1">
        <v>66.651970260223024</v>
      </c>
      <c r="O42" s="1">
        <v>-43.383211251457233</v>
      </c>
      <c r="P42" s="7">
        <v>45947</v>
      </c>
      <c r="Q42" s="1">
        <v>20000</v>
      </c>
      <c r="R42" s="7">
        <v>46247.066148414349</v>
      </c>
      <c r="S42" s="7">
        <v>46247</v>
      </c>
      <c r="T42" s="7" t="str">
        <f t="shared" si="0"/>
        <v>agosto</v>
      </c>
      <c r="U42" s="1" t="s">
        <v>330</v>
      </c>
      <c r="X42" s="1" t="s">
        <v>331</v>
      </c>
      <c r="Y42" s="1" t="s">
        <v>332</v>
      </c>
      <c r="Z42" s="1">
        <v>16</v>
      </c>
      <c r="AA42" s="3">
        <v>3389.9</v>
      </c>
      <c r="AB42" s="3">
        <v>54238.400000000001</v>
      </c>
      <c r="AC42" s="1" t="str">
        <f>VLOOKUP(A42,[1]Detalle!$D$2:$CW$484,98,FALSE)</f>
        <v>Topacio</v>
      </c>
    </row>
    <row r="43" spans="1:29" ht="14.25" customHeight="1" x14ac:dyDescent="0.3">
      <c r="A43" s="1" t="s">
        <v>210</v>
      </c>
      <c r="B43" s="1" t="s">
        <v>340</v>
      </c>
      <c r="C43" s="1" t="s">
        <v>328</v>
      </c>
      <c r="D43" s="1" t="s">
        <v>328</v>
      </c>
      <c r="E43" s="1">
        <v>0.75</v>
      </c>
      <c r="F43" s="1" t="s">
        <v>329</v>
      </c>
      <c r="G43" s="6">
        <v>45603</v>
      </c>
      <c r="H43" s="1">
        <v>342438</v>
      </c>
      <c r="I43" s="1">
        <v>362438</v>
      </c>
      <c r="J43" s="1">
        <v>22886.28</v>
      </c>
      <c r="K43" s="1">
        <v>-2886.280000000002</v>
      </c>
      <c r="L43" s="1">
        <v>365324.28</v>
      </c>
      <c r="M43" s="1">
        <v>344</v>
      </c>
      <c r="N43" s="1">
        <v>66.651970260223024</v>
      </c>
      <c r="O43" s="1">
        <v>-43.383211251457233</v>
      </c>
      <c r="P43" s="7">
        <v>45947</v>
      </c>
      <c r="Q43" s="1">
        <v>20000</v>
      </c>
      <c r="R43" s="7">
        <v>46247.066148414349</v>
      </c>
      <c r="S43" s="7">
        <v>46247</v>
      </c>
      <c r="T43" s="7" t="str">
        <f t="shared" si="0"/>
        <v>agosto</v>
      </c>
      <c r="U43" s="1" t="s">
        <v>330</v>
      </c>
      <c r="X43" s="1" t="s">
        <v>333</v>
      </c>
      <c r="Y43" s="1" t="s">
        <v>334</v>
      </c>
      <c r="Z43" s="1">
        <v>1</v>
      </c>
      <c r="AA43" s="3">
        <v>8513.2800000000007</v>
      </c>
      <c r="AB43" s="3">
        <v>8513.2800000000007</v>
      </c>
      <c r="AC43" s="1" t="str">
        <f>VLOOKUP(A43,[1]Detalle!$D$2:$CW$484,98,FALSE)</f>
        <v>Topacio</v>
      </c>
    </row>
    <row r="44" spans="1:29" ht="14.25" customHeight="1" x14ac:dyDescent="0.3">
      <c r="A44" s="1" t="s">
        <v>217</v>
      </c>
      <c r="B44" s="1" t="s">
        <v>341</v>
      </c>
      <c r="C44" s="1" t="s">
        <v>328</v>
      </c>
      <c r="D44" s="1" t="s">
        <v>328</v>
      </c>
      <c r="E44" s="1">
        <v>0.75</v>
      </c>
      <c r="F44" s="1" t="s">
        <v>329</v>
      </c>
      <c r="G44" s="6">
        <v>45863</v>
      </c>
      <c r="H44" s="1">
        <v>474074</v>
      </c>
      <c r="I44" s="1">
        <v>494074</v>
      </c>
      <c r="J44" s="1">
        <v>5983.7999999999993</v>
      </c>
      <c r="K44" s="1">
        <v>14016.2</v>
      </c>
      <c r="L44" s="1">
        <v>480057.8</v>
      </c>
      <c r="M44" s="1">
        <v>84</v>
      </c>
      <c r="N44" s="1">
        <v>63.859032258064524</v>
      </c>
      <c r="O44" s="1">
        <v>196.7580467261607</v>
      </c>
      <c r="P44" s="7">
        <v>45947</v>
      </c>
      <c r="Q44" s="1">
        <v>20000</v>
      </c>
      <c r="R44" s="7">
        <v>46143.758046724543</v>
      </c>
      <c r="S44" s="7">
        <v>46143</v>
      </c>
      <c r="T44" s="7" t="str">
        <f t="shared" si="0"/>
        <v>mayo</v>
      </c>
      <c r="U44" s="1" t="s">
        <v>330</v>
      </c>
      <c r="X44" s="1" t="s">
        <v>331</v>
      </c>
      <c r="Y44" s="1" t="s">
        <v>332</v>
      </c>
      <c r="Z44" s="1">
        <v>16</v>
      </c>
      <c r="AA44" s="3">
        <v>3389.9</v>
      </c>
      <c r="AB44" s="3">
        <v>54238.400000000001</v>
      </c>
      <c r="AC44" s="1" t="str">
        <f>VLOOKUP(A44,[1]Detalle!$D$2:$CW$484,98,FALSE)</f>
        <v>Papelera - Papelera del Plata S.A.</v>
      </c>
    </row>
    <row r="45" spans="1:29" ht="14.25" customHeight="1" x14ac:dyDescent="0.3">
      <c r="A45" s="1" t="s">
        <v>217</v>
      </c>
      <c r="B45" s="1" t="s">
        <v>341</v>
      </c>
      <c r="C45" s="1" t="s">
        <v>328</v>
      </c>
      <c r="D45" s="1" t="s">
        <v>328</v>
      </c>
      <c r="E45" s="1">
        <v>0.75</v>
      </c>
      <c r="F45" s="1" t="s">
        <v>329</v>
      </c>
      <c r="G45" s="6">
        <v>45863</v>
      </c>
      <c r="H45" s="1">
        <v>474074</v>
      </c>
      <c r="I45" s="1">
        <v>494074</v>
      </c>
      <c r="J45" s="1">
        <v>5983.7999999999993</v>
      </c>
      <c r="K45" s="1">
        <v>14016.2</v>
      </c>
      <c r="L45" s="1">
        <v>480057.8</v>
      </c>
      <c r="M45" s="1">
        <v>84</v>
      </c>
      <c r="N45" s="1">
        <v>63.859032258064524</v>
      </c>
      <c r="O45" s="1">
        <v>196.7580467261607</v>
      </c>
      <c r="P45" s="7">
        <v>45947</v>
      </c>
      <c r="Q45" s="1">
        <v>20000</v>
      </c>
      <c r="R45" s="7">
        <v>46143.758046724543</v>
      </c>
      <c r="S45" s="7">
        <v>46143</v>
      </c>
      <c r="T45" s="7" t="str">
        <f t="shared" si="0"/>
        <v>mayo</v>
      </c>
      <c r="U45" s="1" t="s">
        <v>330</v>
      </c>
      <c r="X45" s="1" t="s">
        <v>333</v>
      </c>
      <c r="Y45" s="1" t="s">
        <v>334</v>
      </c>
      <c r="Z45" s="1">
        <v>1</v>
      </c>
      <c r="AA45" s="3">
        <v>8513.2800000000007</v>
      </c>
      <c r="AB45" s="3">
        <v>8513.2800000000007</v>
      </c>
      <c r="AC45" s="1" t="str">
        <f>VLOOKUP(A45,[1]Detalle!$D$2:$CW$484,98,FALSE)</f>
        <v>Papelera - Papelera del Plata S.A.</v>
      </c>
    </row>
    <row r="46" spans="1:29" ht="14.25" customHeight="1" x14ac:dyDescent="0.3">
      <c r="A46" s="1" t="s">
        <v>238</v>
      </c>
      <c r="B46" s="1" t="s">
        <v>341</v>
      </c>
      <c r="C46" s="1" t="s">
        <v>328</v>
      </c>
      <c r="D46" s="1" t="s">
        <v>328</v>
      </c>
      <c r="E46" s="1">
        <v>0.75</v>
      </c>
      <c r="F46" s="1" t="s">
        <v>329</v>
      </c>
      <c r="G46" s="6">
        <v>45587</v>
      </c>
      <c r="H46" s="1">
        <v>502203</v>
      </c>
      <c r="I46" s="1">
        <v>522203</v>
      </c>
      <c r="J46" s="1">
        <v>14467.7</v>
      </c>
      <c r="K46" s="1">
        <v>5532.3000000000047</v>
      </c>
      <c r="L46" s="1">
        <v>516670.7</v>
      </c>
      <c r="M46" s="1">
        <v>360</v>
      </c>
      <c r="N46" s="1">
        <v>33.863782051282037</v>
      </c>
      <c r="O46" s="1">
        <v>137.66030536989311</v>
      </c>
      <c r="P46" s="7">
        <v>45947</v>
      </c>
      <c r="Q46" s="1">
        <v>20000</v>
      </c>
      <c r="R46" s="7">
        <v>46084.660305370373</v>
      </c>
      <c r="S46" s="7">
        <v>46084</v>
      </c>
      <c r="T46" s="7" t="str">
        <f t="shared" si="0"/>
        <v>marzo</v>
      </c>
      <c r="U46" s="1" t="s">
        <v>330</v>
      </c>
      <c r="X46" s="1" t="s">
        <v>331</v>
      </c>
      <c r="Y46" s="1" t="s">
        <v>332</v>
      </c>
      <c r="Z46" s="1">
        <v>16</v>
      </c>
      <c r="AA46" s="3">
        <v>3389.9</v>
      </c>
      <c r="AB46" s="3">
        <v>54238.400000000001</v>
      </c>
      <c r="AC46" s="1" t="str">
        <f>VLOOKUP(A46,[1]Detalle!$D$2:$CW$484,98,FALSE)</f>
        <v>CMQ_TTE - QUILMES TTE</v>
      </c>
    </row>
    <row r="47" spans="1:29" ht="14.25" customHeight="1" x14ac:dyDescent="0.3">
      <c r="A47" s="1" t="s">
        <v>238</v>
      </c>
      <c r="B47" s="1" t="s">
        <v>341</v>
      </c>
      <c r="C47" s="1" t="s">
        <v>328</v>
      </c>
      <c r="D47" s="1" t="s">
        <v>328</v>
      </c>
      <c r="E47" s="1">
        <v>0.75</v>
      </c>
      <c r="F47" s="1" t="s">
        <v>329</v>
      </c>
      <c r="G47" s="6">
        <v>45587</v>
      </c>
      <c r="H47" s="1">
        <v>502203</v>
      </c>
      <c r="I47" s="1">
        <v>522203</v>
      </c>
      <c r="J47" s="1">
        <v>14467.7</v>
      </c>
      <c r="K47" s="1">
        <v>5532.3000000000047</v>
      </c>
      <c r="L47" s="1">
        <v>516670.7</v>
      </c>
      <c r="M47" s="1">
        <v>360</v>
      </c>
      <c r="N47" s="1">
        <v>33.863782051282037</v>
      </c>
      <c r="O47" s="1">
        <v>137.66030536989311</v>
      </c>
      <c r="P47" s="7">
        <v>45947</v>
      </c>
      <c r="Q47" s="1">
        <v>20000</v>
      </c>
      <c r="R47" s="7">
        <v>46084.660305370373</v>
      </c>
      <c r="S47" s="7">
        <v>46084</v>
      </c>
      <c r="T47" s="7" t="str">
        <f t="shared" si="0"/>
        <v>marzo</v>
      </c>
      <c r="U47" s="1" t="s">
        <v>330</v>
      </c>
      <c r="X47" s="1" t="s">
        <v>333</v>
      </c>
      <c r="Y47" s="1" t="s">
        <v>334</v>
      </c>
      <c r="Z47" s="1">
        <v>1</v>
      </c>
      <c r="AA47" s="3">
        <v>8513.2800000000007</v>
      </c>
      <c r="AB47" s="3">
        <v>8513.2800000000007</v>
      </c>
      <c r="AC47" s="1" t="str">
        <f>VLOOKUP(A47,[1]Detalle!$D$2:$CW$484,98,FALSE)</f>
        <v>CMQ_TTE - QUILMES TTE</v>
      </c>
    </row>
    <row r="48" spans="1:29" ht="14.25" customHeight="1" x14ac:dyDescent="0.3">
      <c r="A48" s="1" t="s">
        <v>239</v>
      </c>
      <c r="B48" s="1" t="s">
        <v>341</v>
      </c>
      <c r="C48" s="1" t="s">
        <v>328</v>
      </c>
      <c r="D48" s="1" t="s">
        <v>328</v>
      </c>
      <c r="E48" s="1">
        <v>0.75</v>
      </c>
      <c r="F48" s="1" t="s">
        <v>329</v>
      </c>
      <c r="G48" s="6">
        <v>45811</v>
      </c>
      <c r="H48" s="1">
        <v>309592</v>
      </c>
      <c r="I48" s="1">
        <v>329592</v>
      </c>
      <c r="J48" s="1">
        <v>5644.7999999999975</v>
      </c>
      <c r="K48" s="1">
        <v>14355.2</v>
      </c>
      <c r="L48" s="1">
        <v>315236.8</v>
      </c>
      <c r="M48" s="1">
        <v>136</v>
      </c>
      <c r="N48" s="1">
        <v>34.71594771241827</v>
      </c>
      <c r="O48" s="1">
        <v>345.8594104308392</v>
      </c>
      <c r="P48" s="7">
        <v>45947</v>
      </c>
      <c r="Q48" s="1">
        <v>20000</v>
      </c>
      <c r="R48" s="7">
        <v>46292.859410428238</v>
      </c>
      <c r="S48" s="7">
        <v>46292</v>
      </c>
      <c r="T48" s="7" t="str">
        <f t="shared" si="0"/>
        <v>septiembre</v>
      </c>
      <c r="U48" s="1" t="s">
        <v>330</v>
      </c>
      <c r="X48" s="1" t="s">
        <v>331</v>
      </c>
      <c r="Y48" s="1" t="s">
        <v>332</v>
      </c>
      <c r="Z48" s="1">
        <v>16</v>
      </c>
      <c r="AA48" s="3">
        <v>3389.9</v>
      </c>
      <c r="AB48" s="3">
        <v>54238.400000000001</v>
      </c>
      <c r="AC48" s="1" t="str">
        <f>VLOOKUP(A48,[1]Detalle!$D$2:$CW$484,98,FALSE)</f>
        <v>CMQ_TTE - QUILMES TTE</v>
      </c>
    </row>
    <row r="49" spans="1:29" ht="14.25" customHeight="1" x14ac:dyDescent="0.3">
      <c r="A49" s="1" t="s">
        <v>239</v>
      </c>
      <c r="B49" s="1" t="s">
        <v>341</v>
      </c>
      <c r="C49" s="1" t="s">
        <v>328</v>
      </c>
      <c r="D49" s="1" t="s">
        <v>328</v>
      </c>
      <c r="E49" s="1">
        <v>0.75</v>
      </c>
      <c r="F49" s="1" t="s">
        <v>329</v>
      </c>
      <c r="G49" s="6">
        <v>45811</v>
      </c>
      <c r="H49" s="1">
        <v>309592</v>
      </c>
      <c r="I49" s="1">
        <v>329592</v>
      </c>
      <c r="J49" s="1">
        <v>5644.7999999999975</v>
      </c>
      <c r="K49" s="1">
        <v>14355.2</v>
      </c>
      <c r="L49" s="1">
        <v>315236.8</v>
      </c>
      <c r="M49" s="1">
        <v>136</v>
      </c>
      <c r="N49" s="1">
        <v>34.71594771241827</v>
      </c>
      <c r="O49" s="1">
        <v>345.8594104308392</v>
      </c>
      <c r="P49" s="7">
        <v>45947</v>
      </c>
      <c r="Q49" s="1">
        <v>20000</v>
      </c>
      <c r="R49" s="7">
        <v>46292.859410428238</v>
      </c>
      <c r="S49" s="7">
        <v>46292</v>
      </c>
      <c r="T49" s="7" t="str">
        <f t="shared" si="0"/>
        <v>septiembre</v>
      </c>
      <c r="U49" s="1" t="s">
        <v>330</v>
      </c>
      <c r="X49" s="1" t="s">
        <v>333</v>
      </c>
      <c r="Y49" s="1" t="s">
        <v>334</v>
      </c>
      <c r="Z49" s="1">
        <v>1</v>
      </c>
      <c r="AA49" s="3">
        <v>8513.2800000000007</v>
      </c>
      <c r="AB49" s="3">
        <v>8513.2800000000007</v>
      </c>
      <c r="AC49" s="1" t="str">
        <f>VLOOKUP(A49,[1]Detalle!$D$2:$CW$484,98,FALSE)</f>
        <v>CMQ_TTE - QUILMES TTE</v>
      </c>
    </row>
    <row r="50" spans="1:29" ht="14.25" customHeight="1" x14ac:dyDescent="0.3">
      <c r="A50" s="1" t="s">
        <v>242</v>
      </c>
      <c r="B50" s="1" t="s">
        <v>341</v>
      </c>
      <c r="C50" s="1" t="s">
        <v>328</v>
      </c>
      <c r="D50" s="1" t="s">
        <v>328</v>
      </c>
      <c r="E50" s="1">
        <v>0.75</v>
      </c>
      <c r="F50" s="1" t="s">
        <v>329</v>
      </c>
      <c r="G50" s="6">
        <v>45763</v>
      </c>
      <c r="H50" s="1">
        <v>435565</v>
      </c>
      <c r="I50" s="1">
        <v>455565</v>
      </c>
      <c r="J50" s="1">
        <v>16726.900000000001</v>
      </c>
      <c r="K50" s="1">
        <v>3273.099999999999</v>
      </c>
      <c r="L50" s="1">
        <v>452291.9</v>
      </c>
      <c r="M50" s="1">
        <v>184</v>
      </c>
      <c r="N50" s="1">
        <v>76.02181229773467</v>
      </c>
      <c r="O50" s="1">
        <v>36.004902283148681</v>
      </c>
      <c r="P50" s="7">
        <v>45947</v>
      </c>
      <c r="Q50" s="1">
        <v>20000</v>
      </c>
      <c r="R50" s="7">
        <v>46246.087291342592</v>
      </c>
      <c r="S50" s="7">
        <v>46246</v>
      </c>
      <c r="T50" s="7" t="str">
        <f t="shared" si="0"/>
        <v>agosto</v>
      </c>
      <c r="U50" s="1" t="s">
        <v>330</v>
      </c>
      <c r="X50" s="1" t="s">
        <v>331</v>
      </c>
      <c r="Y50" s="1" t="s">
        <v>332</v>
      </c>
      <c r="Z50" s="1">
        <v>16</v>
      </c>
      <c r="AA50" s="3">
        <v>3389.9</v>
      </c>
      <c r="AB50" s="3">
        <v>54238.400000000001</v>
      </c>
      <c r="AC50" s="1" t="str">
        <f>VLOOKUP(A50,[1]Detalle!$D$2:$CW$484,98,FALSE)</f>
        <v>Papelera - Papelera del Plata S.A.</v>
      </c>
    </row>
    <row r="51" spans="1:29" ht="14.25" customHeight="1" x14ac:dyDescent="0.3">
      <c r="A51" s="1" t="s">
        <v>242</v>
      </c>
      <c r="B51" s="1" t="s">
        <v>341</v>
      </c>
      <c r="C51" s="1" t="s">
        <v>328</v>
      </c>
      <c r="D51" s="1" t="s">
        <v>328</v>
      </c>
      <c r="E51" s="1">
        <v>0.75</v>
      </c>
      <c r="F51" s="1" t="s">
        <v>329</v>
      </c>
      <c r="G51" s="6">
        <v>45763</v>
      </c>
      <c r="H51" s="1">
        <v>435565</v>
      </c>
      <c r="I51" s="1">
        <v>455565</v>
      </c>
      <c r="J51" s="1">
        <v>16726.900000000001</v>
      </c>
      <c r="K51" s="1">
        <v>3273.099999999999</v>
      </c>
      <c r="L51" s="1">
        <v>452291.9</v>
      </c>
      <c r="M51" s="1">
        <v>184</v>
      </c>
      <c r="N51" s="1">
        <v>76.02181229773467</v>
      </c>
      <c r="O51" s="1">
        <v>36.004902283148681</v>
      </c>
      <c r="P51" s="7">
        <v>45947</v>
      </c>
      <c r="Q51" s="1">
        <v>20000</v>
      </c>
      <c r="R51" s="7">
        <v>46246.087291342592</v>
      </c>
      <c r="S51" s="7">
        <v>46246</v>
      </c>
      <c r="T51" s="7" t="str">
        <f t="shared" si="0"/>
        <v>agosto</v>
      </c>
      <c r="U51" s="1" t="s">
        <v>330</v>
      </c>
      <c r="X51" s="1" t="s">
        <v>333</v>
      </c>
      <c r="Y51" s="1" t="s">
        <v>334</v>
      </c>
      <c r="Z51" s="1">
        <v>1</v>
      </c>
      <c r="AA51" s="3">
        <v>8513.2800000000007</v>
      </c>
      <c r="AB51" s="3">
        <v>8513.2800000000007</v>
      </c>
      <c r="AC51" s="1" t="str">
        <f>VLOOKUP(A51,[1]Detalle!$D$2:$CW$484,98,FALSE)</f>
        <v>Papelera - Papelera del Plata S.A.</v>
      </c>
    </row>
    <row r="52" spans="1:29" ht="14.25" customHeight="1" x14ac:dyDescent="0.3">
      <c r="A52" s="1" t="s">
        <v>248</v>
      </c>
      <c r="B52" s="1" t="s">
        <v>341</v>
      </c>
      <c r="C52" s="1" t="s">
        <v>328</v>
      </c>
      <c r="D52" s="1" t="s">
        <v>328</v>
      </c>
      <c r="E52" s="1">
        <v>0.75</v>
      </c>
      <c r="F52" s="1" t="s">
        <v>329</v>
      </c>
      <c r="G52" s="6">
        <v>45743</v>
      </c>
      <c r="H52" s="1">
        <v>123548</v>
      </c>
      <c r="I52" s="1">
        <v>143548</v>
      </c>
      <c r="J52" s="1">
        <v>7382.7000000000016</v>
      </c>
      <c r="K52" s="1">
        <v>12617.3</v>
      </c>
      <c r="L52" s="1">
        <v>130930.7</v>
      </c>
      <c r="M52" s="1">
        <v>204</v>
      </c>
      <c r="N52" s="1">
        <v>33.855032679738592</v>
      </c>
      <c r="O52" s="1">
        <v>348.64334186679662</v>
      </c>
      <c r="P52" s="7">
        <v>45947</v>
      </c>
      <c r="Q52" s="1">
        <v>20000</v>
      </c>
      <c r="R52" s="7">
        <v>46295.643341863433</v>
      </c>
      <c r="S52" s="7">
        <v>46295</v>
      </c>
      <c r="T52" s="7" t="str">
        <f t="shared" si="0"/>
        <v>septiembre</v>
      </c>
      <c r="U52" s="1" t="s">
        <v>330</v>
      </c>
      <c r="X52" s="1" t="s">
        <v>331</v>
      </c>
      <c r="Y52" s="1" t="s">
        <v>332</v>
      </c>
      <c r="Z52" s="1">
        <v>16</v>
      </c>
      <c r="AA52" s="3">
        <v>3389.9</v>
      </c>
      <c r="AB52" s="3">
        <v>54238.400000000001</v>
      </c>
      <c r="AC52" s="1" t="str">
        <f>VLOOKUP(A52,[1]Detalle!$D$2:$CW$484,98,FALSE)</f>
        <v>CCUDyAZA</v>
      </c>
    </row>
    <row r="53" spans="1:29" ht="14.25" customHeight="1" x14ac:dyDescent="0.3">
      <c r="A53" s="1" t="s">
        <v>248</v>
      </c>
      <c r="B53" s="1" t="s">
        <v>341</v>
      </c>
      <c r="C53" s="1" t="s">
        <v>328</v>
      </c>
      <c r="D53" s="1" t="s">
        <v>328</v>
      </c>
      <c r="E53" s="1">
        <v>0.75</v>
      </c>
      <c r="F53" s="1" t="s">
        <v>329</v>
      </c>
      <c r="G53" s="6">
        <v>45743</v>
      </c>
      <c r="H53" s="1">
        <v>123548</v>
      </c>
      <c r="I53" s="1">
        <v>143548</v>
      </c>
      <c r="J53" s="1">
        <v>7382.7000000000016</v>
      </c>
      <c r="K53" s="1">
        <v>12617.3</v>
      </c>
      <c r="L53" s="1">
        <v>130930.7</v>
      </c>
      <c r="M53" s="1">
        <v>204</v>
      </c>
      <c r="N53" s="1">
        <v>33.855032679738592</v>
      </c>
      <c r="O53" s="1">
        <v>348.64334186679662</v>
      </c>
      <c r="P53" s="7">
        <v>45947</v>
      </c>
      <c r="Q53" s="1">
        <v>20000</v>
      </c>
      <c r="R53" s="7">
        <v>46295.643341863433</v>
      </c>
      <c r="S53" s="7">
        <v>46295</v>
      </c>
      <c r="T53" s="7" t="str">
        <f t="shared" si="0"/>
        <v>septiembre</v>
      </c>
      <c r="U53" s="1" t="s">
        <v>330</v>
      </c>
      <c r="X53" s="1" t="s">
        <v>333</v>
      </c>
      <c r="Y53" s="1" t="s">
        <v>334</v>
      </c>
      <c r="Z53" s="1">
        <v>1</v>
      </c>
      <c r="AA53" s="3">
        <v>8513.2800000000007</v>
      </c>
      <c r="AB53" s="3">
        <v>8513.2800000000007</v>
      </c>
      <c r="AC53" s="1" t="str">
        <f>VLOOKUP(A53,[1]Detalle!$D$2:$CW$484,98,FALSE)</f>
        <v>CCUDyAZA</v>
      </c>
    </row>
    <row r="54" spans="1:29" ht="14.25" customHeight="1" x14ac:dyDescent="0.3">
      <c r="A54" s="1" t="s">
        <v>249</v>
      </c>
      <c r="B54" s="1" t="s">
        <v>341</v>
      </c>
      <c r="C54" s="1" t="s">
        <v>328</v>
      </c>
      <c r="D54" s="1" t="s">
        <v>328</v>
      </c>
      <c r="E54" s="1">
        <v>0.75</v>
      </c>
      <c r="F54" s="1" t="s">
        <v>329</v>
      </c>
      <c r="G54" s="6">
        <v>45750</v>
      </c>
      <c r="H54" s="1">
        <v>172612</v>
      </c>
      <c r="I54" s="1">
        <v>192612</v>
      </c>
      <c r="J54" s="1">
        <v>9021.2999999999956</v>
      </c>
      <c r="K54" s="1">
        <v>10978.7</v>
      </c>
      <c r="L54" s="1">
        <v>181633.3</v>
      </c>
      <c r="M54" s="1">
        <v>197</v>
      </c>
      <c r="N54" s="1">
        <v>39.791067961165048</v>
      </c>
      <c r="O54" s="1">
        <v>239.74414995621501</v>
      </c>
      <c r="P54" s="7">
        <v>45947</v>
      </c>
      <c r="Q54" s="1">
        <v>20000</v>
      </c>
      <c r="R54" s="7">
        <v>46186.744149953702</v>
      </c>
      <c r="S54" s="7">
        <v>46186</v>
      </c>
      <c r="T54" s="7" t="str">
        <f t="shared" si="0"/>
        <v>junio</v>
      </c>
      <c r="U54" s="1" t="s">
        <v>330</v>
      </c>
      <c r="X54" s="1" t="s">
        <v>331</v>
      </c>
      <c r="Y54" s="1" t="s">
        <v>332</v>
      </c>
      <c r="Z54" s="1">
        <v>16</v>
      </c>
      <c r="AA54" s="3">
        <v>3389.9</v>
      </c>
      <c r="AB54" s="3">
        <v>54238.400000000001</v>
      </c>
      <c r="AC54" s="1" t="str">
        <f>VLOOKUP(A54,[1]Detalle!$D$2:$CW$484,98,FALSE)</f>
        <v>CCUDyAZA</v>
      </c>
    </row>
    <row r="55" spans="1:29" ht="14.25" customHeight="1" x14ac:dyDescent="0.3">
      <c r="A55" s="1" t="s">
        <v>249</v>
      </c>
      <c r="B55" s="1" t="s">
        <v>341</v>
      </c>
      <c r="C55" s="1" t="s">
        <v>328</v>
      </c>
      <c r="D55" s="1" t="s">
        <v>328</v>
      </c>
      <c r="E55" s="1">
        <v>0.75</v>
      </c>
      <c r="F55" s="1" t="s">
        <v>329</v>
      </c>
      <c r="G55" s="6">
        <v>45750</v>
      </c>
      <c r="H55" s="1">
        <v>172612</v>
      </c>
      <c r="I55" s="1">
        <v>192612</v>
      </c>
      <c r="J55" s="1">
        <v>9021.2999999999956</v>
      </c>
      <c r="K55" s="1">
        <v>10978.7</v>
      </c>
      <c r="L55" s="1">
        <v>181633.3</v>
      </c>
      <c r="M55" s="1">
        <v>197</v>
      </c>
      <c r="N55" s="1">
        <v>39.791067961165048</v>
      </c>
      <c r="O55" s="1">
        <v>239.74414995621501</v>
      </c>
      <c r="P55" s="7">
        <v>45947</v>
      </c>
      <c r="Q55" s="1">
        <v>20000</v>
      </c>
      <c r="R55" s="7">
        <v>46186.744149953702</v>
      </c>
      <c r="S55" s="7">
        <v>46186</v>
      </c>
      <c r="T55" s="7" t="str">
        <f t="shared" si="0"/>
        <v>junio</v>
      </c>
      <c r="U55" s="1" t="s">
        <v>330</v>
      </c>
      <c r="X55" s="1" t="s">
        <v>333</v>
      </c>
      <c r="Y55" s="1" t="s">
        <v>334</v>
      </c>
      <c r="Z55" s="1">
        <v>1</v>
      </c>
      <c r="AA55" s="3">
        <v>8513.2800000000007</v>
      </c>
      <c r="AB55" s="3">
        <v>8513.2800000000007</v>
      </c>
      <c r="AC55" s="1" t="str">
        <f>VLOOKUP(A55,[1]Detalle!$D$2:$CW$484,98,FALSE)</f>
        <v>CCUDyAZA</v>
      </c>
    </row>
    <row r="56" spans="1:29" ht="14.25" customHeight="1" x14ac:dyDescent="0.3">
      <c r="A56" s="1" t="s">
        <v>251</v>
      </c>
      <c r="B56" s="1" t="s">
        <v>341</v>
      </c>
      <c r="C56" s="1" t="s">
        <v>328</v>
      </c>
      <c r="D56" s="1" t="s">
        <v>328</v>
      </c>
      <c r="E56" s="1">
        <v>0.75</v>
      </c>
      <c r="F56" s="1" t="s">
        <v>329</v>
      </c>
      <c r="G56" s="6">
        <v>45803</v>
      </c>
      <c r="H56" s="1">
        <v>134238</v>
      </c>
      <c r="I56" s="1">
        <v>154238</v>
      </c>
      <c r="J56" s="1">
        <v>6883.1999999999953</v>
      </c>
      <c r="K56" s="1">
        <v>13116.8</v>
      </c>
      <c r="L56" s="1">
        <v>141121.20000000001</v>
      </c>
      <c r="M56" s="1">
        <v>144</v>
      </c>
      <c r="N56" s="1">
        <v>38.754967741935467</v>
      </c>
      <c r="O56" s="1">
        <v>274.41004184100439</v>
      </c>
      <c r="P56" s="7">
        <v>45947</v>
      </c>
      <c r="Q56" s="1">
        <v>20000</v>
      </c>
      <c r="R56" s="7">
        <v>46221.410041840281</v>
      </c>
      <c r="S56" s="7">
        <v>46221</v>
      </c>
      <c r="T56" s="7" t="str">
        <f t="shared" si="0"/>
        <v>julio</v>
      </c>
      <c r="U56" s="1" t="s">
        <v>330</v>
      </c>
      <c r="X56" s="1" t="s">
        <v>331</v>
      </c>
      <c r="Y56" s="1" t="s">
        <v>332</v>
      </c>
      <c r="Z56" s="1">
        <v>16</v>
      </c>
      <c r="AA56" s="3">
        <v>3389.9</v>
      </c>
      <c r="AB56" s="3">
        <v>54238.400000000001</v>
      </c>
      <c r="AC56" s="1" t="str">
        <f>VLOOKUP(A56,[1]Detalle!$D$2:$CW$484,98,FALSE)</f>
        <v>CCUDyAZA</v>
      </c>
    </row>
    <row r="57" spans="1:29" ht="14.25" customHeight="1" x14ac:dyDescent="0.3">
      <c r="A57" s="1" t="s">
        <v>251</v>
      </c>
      <c r="B57" s="1" t="s">
        <v>341</v>
      </c>
      <c r="C57" s="1" t="s">
        <v>328</v>
      </c>
      <c r="D57" s="1" t="s">
        <v>328</v>
      </c>
      <c r="E57" s="1">
        <v>0.75</v>
      </c>
      <c r="F57" s="1" t="s">
        <v>329</v>
      </c>
      <c r="G57" s="6">
        <v>45803</v>
      </c>
      <c r="H57" s="1">
        <v>134238</v>
      </c>
      <c r="I57" s="1">
        <v>154238</v>
      </c>
      <c r="J57" s="1">
        <v>6883.1999999999953</v>
      </c>
      <c r="K57" s="1">
        <v>13116.8</v>
      </c>
      <c r="L57" s="1">
        <v>141121.20000000001</v>
      </c>
      <c r="M57" s="1">
        <v>144</v>
      </c>
      <c r="N57" s="1">
        <v>38.754967741935467</v>
      </c>
      <c r="O57" s="1">
        <v>274.41004184100439</v>
      </c>
      <c r="P57" s="7">
        <v>45947</v>
      </c>
      <c r="Q57" s="1">
        <v>20000</v>
      </c>
      <c r="R57" s="7">
        <v>46221.410041840281</v>
      </c>
      <c r="S57" s="7">
        <v>46221</v>
      </c>
      <c r="T57" s="7" t="str">
        <f t="shared" si="0"/>
        <v>julio</v>
      </c>
      <c r="U57" s="1" t="s">
        <v>330</v>
      </c>
      <c r="X57" s="1" t="s">
        <v>333</v>
      </c>
      <c r="Y57" s="1" t="s">
        <v>334</v>
      </c>
      <c r="Z57" s="1">
        <v>1</v>
      </c>
      <c r="AA57" s="3">
        <v>8513.2800000000007</v>
      </c>
      <c r="AB57" s="3">
        <v>8513.2800000000007</v>
      </c>
      <c r="AC57" s="1" t="str">
        <f>VLOOKUP(A57,[1]Detalle!$D$2:$CW$484,98,FALSE)</f>
        <v>CCUDyAZA</v>
      </c>
    </row>
    <row r="58" spans="1:29" ht="14.25" customHeight="1" x14ac:dyDescent="0.3">
      <c r="A58" s="1" t="s">
        <v>252</v>
      </c>
      <c r="B58" s="1" t="s">
        <v>341</v>
      </c>
      <c r="C58" s="1" t="s">
        <v>328</v>
      </c>
      <c r="D58" s="1" t="s">
        <v>328</v>
      </c>
      <c r="E58" s="1">
        <v>0.75</v>
      </c>
      <c r="F58" s="1" t="s">
        <v>329</v>
      </c>
      <c r="G58" s="6">
        <v>45728</v>
      </c>
      <c r="H58" s="1">
        <v>136279</v>
      </c>
      <c r="I58" s="1">
        <v>156279</v>
      </c>
      <c r="J58" s="1">
        <v>9392.9000000000033</v>
      </c>
      <c r="K58" s="1">
        <v>10607.1</v>
      </c>
      <c r="L58" s="1">
        <v>145671.9</v>
      </c>
      <c r="M58" s="1">
        <v>219</v>
      </c>
      <c r="N58" s="1">
        <v>39.350485436893209</v>
      </c>
      <c r="O58" s="1">
        <v>247.309659423607</v>
      </c>
      <c r="P58" s="7">
        <v>45947</v>
      </c>
      <c r="Q58" s="1">
        <v>20000</v>
      </c>
      <c r="R58" s="7">
        <v>46194.309659421298</v>
      </c>
      <c r="S58" s="7">
        <v>46194</v>
      </c>
      <c r="T58" s="7" t="str">
        <f t="shared" si="0"/>
        <v>junio</v>
      </c>
      <c r="U58" s="1" t="s">
        <v>330</v>
      </c>
      <c r="X58" s="1" t="s">
        <v>331</v>
      </c>
      <c r="Y58" s="1" t="s">
        <v>332</v>
      </c>
      <c r="Z58" s="1">
        <v>16</v>
      </c>
      <c r="AA58" s="3">
        <v>3389.9</v>
      </c>
      <c r="AB58" s="3">
        <v>54238.400000000001</v>
      </c>
      <c r="AC58" s="1" t="str">
        <f>VLOOKUP(A58,[1]Detalle!$D$2:$CW$484,98,FALSE)</f>
        <v>CCUDyAZA</v>
      </c>
    </row>
    <row r="59" spans="1:29" ht="14.25" customHeight="1" x14ac:dyDescent="0.3">
      <c r="A59" s="1" t="s">
        <v>252</v>
      </c>
      <c r="B59" s="1" t="s">
        <v>341</v>
      </c>
      <c r="C59" s="1" t="s">
        <v>328</v>
      </c>
      <c r="D59" s="1" t="s">
        <v>328</v>
      </c>
      <c r="E59" s="1">
        <v>0.75</v>
      </c>
      <c r="F59" s="1" t="s">
        <v>329</v>
      </c>
      <c r="G59" s="6">
        <v>45728</v>
      </c>
      <c r="H59" s="1">
        <v>136279</v>
      </c>
      <c r="I59" s="1">
        <v>156279</v>
      </c>
      <c r="J59" s="1">
        <v>9392.9000000000033</v>
      </c>
      <c r="K59" s="1">
        <v>10607.1</v>
      </c>
      <c r="L59" s="1">
        <v>145671.9</v>
      </c>
      <c r="M59" s="1">
        <v>219</v>
      </c>
      <c r="N59" s="1">
        <v>39.350485436893209</v>
      </c>
      <c r="O59" s="1">
        <v>247.309659423607</v>
      </c>
      <c r="P59" s="7">
        <v>45947</v>
      </c>
      <c r="Q59" s="1">
        <v>20000</v>
      </c>
      <c r="R59" s="7">
        <v>46194.309659421298</v>
      </c>
      <c r="S59" s="7">
        <v>46194</v>
      </c>
      <c r="T59" s="7" t="str">
        <f t="shared" si="0"/>
        <v>junio</v>
      </c>
      <c r="U59" s="1" t="s">
        <v>330</v>
      </c>
      <c r="X59" s="1" t="s">
        <v>333</v>
      </c>
      <c r="Y59" s="1" t="s">
        <v>334</v>
      </c>
      <c r="Z59" s="1">
        <v>1</v>
      </c>
      <c r="AA59" s="3">
        <v>8513.2800000000007</v>
      </c>
      <c r="AB59" s="3">
        <v>8513.2800000000007</v>
      </c>
      <c r="AC59" s="1" t="str">
        <f>VLOOKUP(A59,[1]Detalle!$D$2:$CW$484,98,FALSE)</f>
        <v>CCUDyAZA</v>
      </c>
    </row>
    <row r="60" spans="1:29" ht="14.25" customHeight="1" x14ac:dyDescent="0.3">
      <c r="A60" s="1" t="s">
        <v>254</v>
      </c>
      <c r="B60" s="1" t="s">
        <v>341</v>
      </c>
      <c r="C60" s="1" t="s">
        <v>328</v>
      </c>
      <c r="D60" s="1" t="s">
        <v>328</v>
      </c>
      <c r="E60" s="1">
        <v>0.75</v>
      </c>
      <c r="F60" s="1" t="s">
        <v>329</v>
      </c>
      <c r="G60" s="6">
        <v>45727</v>
      </c>
      <c r="H60" s="1">
        <v>135133</v>
      </c>
      <c r="I60" s="1">
        <v>155133</v>
      </c>
      <c r="J60" s="1">
        <v>15205.600000000009</v>
      </c>
      <c r="K60" s="1">
        <v>4794.3999999999915</v>
      </c>
      <c r="L60" s="1">
        <v>150338.6</v>
      </c>
      <c r="M60" s="1">
        <v>220</v>
      </c>
      <c r="N60" s="1">
        <v>62.077961165048592</v>
      </c>
      <c r="O60" s="1">
        <v>69.367075288051595</v>
      </c>
      <c r="P60" s="7">
        <v>45947</v>
      </c>
      <c r="Q60" s="1">
        <v>20000</v>
      </c>
      <c r="R60" s="7">
        <v>46338.542604652779</v>
      </c>
      <c r="S60" s="7">
        <v>46338</v>
      </c>
      <c r="T60" s="7" t="str">
        <f t="shared" si="0"/>
        <v>noviembre</v>
      </c>
      <c r="U60" s="1" t="s">
        <v>330</v>
      </c>
      <c r="X60" s="1" t="s">
        <v>331</v>
      </c>
      <c r="Y60" s="1" t="s">
        <v>332</v>
      </c>
      <c r="Z60" s="1">
        <v>16</v>
      </c>
      <c r="AA60" s="3">
        <v>3389.9</v>
      </c>
      <c r="AB60" s="3">
        <v>54238.400000000001</v>
      </c>
      <c r="AC60" s="1" t="str">
        <f>VLOOKUP(A60,[1]Detalle!$D$2:$CW$484,98,FALSE)</f>
        <v>CCUCoAZA</v>
      </c>
    </row>
    <row r="61" spans="1:29" ht="14.25" customHeight="1" x14ac:dyDescent="0.3">
      <c r="A61" s="1" t="s">
        <v>254</v>
      </c>
      <c r="B61" s="1" t="s">
        <v>341</v>
      </c>
      <c r="C61" s="1" t="s">
        <v>328</v>
      </c>
      <c r="D61" s="1" t="s">
        <v>328</v>
      </c>
      <c r="E61" s="1">
        <v>0.75</v>
      </c>
      <c r="F61" s="1" t="s">
        <v>329</v>
      </c>
      <c r="G61" s="6">
        <v>45727</v>
      </c>
      <c r="H61" s="1">
        <v>135133</v>
      </c>
      <c r="I61" s="1">
        <v>155133</v>
      </c>
      <c r="J61" s="1">
        <v>15205.600000000009</v>
      </c>
      <c r="K61" s="1">
        <v>4794.3999999999915</v>
      </c>
      <c r="L61" s="1">
        <v>150338.6</v>
      </c>
      <c r="M61" s="1">
        <v>220</v>
      </c>
      <c r="N61" s="1">
        <v>62.077961165048592</v>
      </c>
      <c r="O61" s="1">
        <v>69.367075288051595</v>
      </c>
      <c r="P61" s="7">
        <v>45947</v>
      </c>
      <c r="Q61" s="1">
        <v>20000</v>
      </c>
      <c r="R61" s="7">
        <v>46338.542604652779</v>
      </c>
      <c r="S61" s="7">
        <v>46338</v>
      </c>
      <c r="T61" s="7" t="str">
        <f t="shared" si="0"/>
        <v>noviembre</v>
      </c>
      <c r="U61" s="1" t="s">
        <v>330</v>
      </c>
      <c r="X61" s="1" t="s">
        <v>333</v>
      </c>
      <c r="Y61" s="1" t="s">
        <v>334</v>
      </c>
      <c r="Z61" s="1">
        <v>1</v>
      </c>
      <c r="AA61" s="3">
        <v>8513.2800000000007</v>
      </c>
      <c r="AB61" s="3">
        <v>8513.2800000000007</v>
      </c>
      <c r="AC61" s="1" t="str">
        <f>VLOOKUP(A61,[1]Detalle!$D$2:$CW$484,98,FALSE)</f>
        <v>CCUCoAZA</v>
      </c>
    </row>
    <row r="62" spans="1:29" ht="14.25" customHeight="1" x14ac:dyDescent="0.3">
      <c r="A62" s="1" t="s">
        <v>255</v>
      </c>
      <c r="B62" s="1" t="s">
        <v>341</v>
      </c>
      <c r="C62" s="1" t="s">
        <v>328</v>
      </c>
      <c r="D62" s="1" t="s">
        <v>328</v>
      </c>
      <c r="E62" s="1">
        <v>0.75</v>
      </c>
      <c r="F62" s="1" t="s">
        <v>329</v>
      </c>
      <c r="G62" s="6">
        <v>45786</v>
      </c>
      <c r="H62" s="1">
        <v>140250</v>
      </c>
      <c r="I62" s="1">
        <v>160250</v>
      </c>
      <c r="J62" s="1">
        <v>6502.5999999999949</v>
      </c>
      <c r="K62" s="1">
        <v>13497.400000000011</v>
      </c>
      <c r="L62" s="1">
        <v>146752.6</v>
      </c>
      <c r="M62" s="1">
        <v>161</v>
      </c>
      <c r="N62" s="1">
        <v>36.457612903225787</v>
      </c>
      <c r="O62" s="1">
        <v>334.18654076830848</v>
      </c>
      <c r="P62" s="7">
        <v>45947</v>
      </c>
      <c r="Q62" s="1">
        <v>20000</v>
      </c>
      <c r="R62" s="7">
        <v>46281.186540763891</v>
      </c>
      <c r="S62" s="7">
        <v>46281</v>
      </c>
      <c r="T62" s="7" t="str">
        <f t="shared" si="0"/>
        <v>septiembre</v>
      </c>
      <c r="U62" s="1" t="s">
        <v>330</v>
      </c>
      <c r="X62" s="1" t="s">
        <v>331</v>
      </c>
      <c r="Y62" s="1" t="s">
        <v>332</v>
      </c>
      <c r="Z62" s="1">
        <v>16</v>
      </c>
      <c r="AA62" s="3">
        <v>3389.9</v>
      </c>
      <c r="AB62" s="3">
        <v>54238.400000000001</v>
      </c>
      <c r="AC62" s="1" t="str">
        <f>VLOOKUP(A62,[1]Detalle!$D$2:$CW$484,98,FALSE)</f>
        <v>CCUDyAZA</v>
      </c>
    </row>
    <row r="63" spans="1:29" ht="14.25" customHeight="1" x14ac:dyDescent="0.3">
      <c r="A63" s="1" t="s">
        <v>255</v>
      </c>
      <c r="B63" s="1" t="s">
        <v>341</v>
      </c>
      <c r="C63" s="1" t="s">
        <v>328</v>
      </c>
      <c r="D63" s="1" t="s">
        <v>328</v>
      </c>
      <c r="E63" s="1">
        <v>0.75</v>
      </c>
      <c r="F63" s="1" t="s">
        <v>329</v>
      </c>
      <c r="G63" s="6">
        <v>45786</v>
      </c>
      <c r="H63" s="1">
        <v>140250</v>
      </c>
      <c r="I63" s="1">
        <v>160250</v>
      </c>
      <c r="J63" s="1">
        <v>6502.5999999999949</v>
      </c>
      <c r="K63" s="1">
        <v>13497.400000000011</v>
      </c>
      <c r="L63" s="1">
        <v>146752.6</v>
      </c>
      <c r="M63" s="1">
        <v>161</v>
      </c>
      <c r="N63" s="1">
        <v>36.457612903225787</v>
      </c>
      <c r="O63" s="1">
        <v>334.18654076830848</v>
      </c>
      <c r="P63" s="7">
        <v>45947</v>
      </c>
      <c r="Q63" s="1">
        <v>20000</v>
      </c>
      <c r="R63" s="7">
        <v>46281.186540763891</v>
      </c>
      <c r="S63" s="7">
        <v>46281</v>
      </c>
      <c r="T63" s="7" t="str">
        <f t="shared" si="0"/>
        <v>septiembre</v>
      </c>
      <c r="U63" s="1" t="s">
        <v>330</v>
      </c>
      <c r="X63" s="1" t="s">
        <v>333</v>
      </c>
      <c r="Y63" s="1" t="s">
        <v>334</v>
      </c>
      <c r="Z63" s="1">
        <v>1</v>
      </c>
      <c r="AA63" s="3">
        <v>8513.2800000000007</v>
      </c>
      <c r="AB63" s="3">
        <v>8513.2800000000007</v>
      </c>
      <c r="AC63" s="1" t="str">
        <f>VLOOKUP(A63,[1]Detalle!$D$2:$CW$484,98,FALSE)</f>
        <v>CCUDyAZA</v>
      </c>
    </row>
    <row r="64" spans="1:29" ht="14.25" customHeight="1" x14ac:dyDescent="0.3">
      <c r="A64" s="1" t="s">
        <v>256</v>
      </c>
      <c r="B64" s="1" t="s">
        <v>341</v>
      </c>
      <c r="C64" s="1" t="s">
        <v>328</v>
      </c>
      <c r="D64" s="1" t="s">
        <v>328</v>
      </c>
      <c r="E64" s="1">
        <v>0.75</v>
      </c>
      <c r="F64" s="1" t="s">
        <v>329</v>
      </c>
      <c r="G64" s="6">
        <v>45733</v>
      </c>
      <c r="H64" s="1">
        <v>175136</v>
      </c>
      <c r="I64" s="1">
        <v>195136</v>
      </c>
      <c r="J64" s="1">
        <v>10902.7</v>
      </c>
      <c r="K64" s="1">
        <v>9097.2999999999993</v>
      </c>
      <c r="L64" s="1">
        <v>186038.7</v>
      </c>
      <c r="M64" s="1">
        <v>214</v>
      </c>
      <c r="N64" s="1">
        <v>47.387909967845658</v>
      </c>
      <c r="O64" s="1">
        <v>178.56331000577839</v>
      </c>
      <c r="P64" s="7">
        <v>45947</v>
      </c>
      <c r="Q64" s="1">
        <v>20000</v>
      </c>
      <c r="R64" s="7">
        <v>46125.563309999998</v>
      </c>
      <c r="S64" s="7">
        <v>46125</v>
      </c>
      <c r="T64" s="7" t="str">
        <f t="shared" si="0"/>
        <v>abril</v>
      </c>
      <c r="U64" s="1" t="s">
        <v>330</v>
      </c>
      <c r="X64" s="1" t="s">
        <v>331</v>
      </c>
      <c r="Y64" s="1" t="s">
        <v>332</v>
      </c>
      <c r="Z64" s="1">
        <v>16</v>
      </c>
      <c r="AA64" s="3">
        <v>3389.9</v>
      </c>
      <c r="AB64" s="3">
        <v>54238.400000000001</v>
      </c>
      <c r="AC64" s="1" t="str">
        <f>VLOOKUP(A64,[1]Detalle!$D$2:$CW$484,98,FALSE)</f>
        <v>CCUCoAZA</v>
      </c>
    </row>
    <row r="65" spans="1:29" ht="14.25" customHeight="1" x14ac:dyDescent="0.3">
      <c r="A65" s="1" t="s">
        <v>256</v>
      </c>
      <c r="B65" s="1" t="s">
        <v>341</v>
      </c>
      <c r="C65" s="1" t="s">
        <v>328</v>
      </c>
      <c r="D65" s="1" t="s">
        <v>328</v>
      </c>
      <c r="E65" s="1">
        <v>0.75</v>
      </c>
      <c r="F65" s="1" t="s">
        <v>329</v>
      </c>
      <c r="G65" s="6">
        <v>45733</v>
      </c>
      <c r="H65" s="1">
        <v>175136</v>
      </c>
      <c r="I65" s="1">
        <v>195136</v>
      </c>
      <c r="J65" s="1">
        <v>10902.7</v>
      </c>
      <c r="K65" s="1">
        <v>9097.2999999999993</v>
      </c>
      <c r="L65" s="1">
        <v>186038.7</v>
      </c>
      <c r="M65" s="1">
        <v>214</v>
      </c>
      <c r="N65" s="1">
        <v>47.387909967845658</v>
      </c>
      <c r="O65" s="1">
        <v>178.56331000577839</v>
      </c>
      <c r="P65" s="7">
        <v>45947</v>
      </c>
      <c r="Q65" s="1">
        <v>20000</v>
      </c>
      <c r="R65" s="7">
        <v>46125.563309999998</v>
      </c>
      <c r="S65" s="7">
        <v>46125</v>
      </c>
      <c r="T65" s="7" t="str">
        <f t="shared" si="0"/>
        <v>abril</v>
      </c>
      <c r="U65" s="1" t="s">
        <v>330</v>
      </c>
      <c r="X65" s="1" t="s">
        <v>333</v>
      </c>
      <c r="Y65" s="1" t="s">
        <v>334</v>
      </c>
      <c r="Z65" s="1">
        <v>1</v>
      </c>
      <c r="AA65" s="3">
        <v>8513.2800000000007</v>
      </c>
      <c r="AB65" s="3">
        <v>8513.2800000000007</v>
      </c>
      <c r="AC65" s="1" t="str">
        <f>VLOOKUP(A65,[1]Detalle!$D$2:$CW$484,98,FALSE)</f>
        <v>CCUCoAZA</v>
      </c>
    </row>
    <row r="66" spans="1:29" ht="14.25" customHeight="1" x14ac:dyDescent="0.3">
      <c r="A66" s="1" t="s">
        <v>257</v>
      </c>
      <c r="B66" s="1" t="s">
        <v>341</v>
      </c>
      <c r="C66" s="1" t="s">
        <v>328</v>
      </c>
      <c r="D66" s="1" t="s">
        <v>328</v>
      </c>
      <c r="E66" s="1">
        <v>0.75</v>
      </c>
      <c r="F66" s="1" t="s">
        <v>329</v>
      </c>
      <c r="G66" s="6">
        <v>45929</v>
      </c>
      <c r="H66" s="1">
        <v>241798</v>
      </c>
      <c r="I66" s="1">
        <v>261798</v>
      </c>
      <c r="J66" s="1">
        <v>0</v>
      </c>
      <c r="K66" s="1">
        <v>20000</v>
      </c>
      <c r="L66" s="1">
        <v>241798</v>
      </c>
      <c r="M66" s="1">
        <v>18</v>
      </c>
      <c r="N66" s="1">
        <v>32.336013071895437</v>
      </c>
      <c r="O66" s="1">
        <v>200</v>
      </c>
      <c r="P66" s="7">
        <v>45947</v>
      </c>
      <c r="Q66" s="1">
        <v>20000</v>
      </c>
      <c r="R66" s="7">
        <v>46147</v>
      </c>
      <c r="S66" s="7">
        <v>46147</v>
      </c>
      <c r="T66" s="7" t="str">
        <f t="shared" si="0"/>
        <v>mayo</v>
      </c>
      <c r="U66" s="1" t="s">
        <v>330</v>
      </c>
      <c r="X66" s="1" t="s">
        <v>331</v>
      </c>
      <c r="Y66" s="1" t="s">
        <v>332</v>
      </c>
      <c r="Z66" s="1">
        <v>16</v>
      </c>
      <c r="AA66" s="3">
        <v>3389.9</v>
      </c>
      <c r="AB66" s="3">
        <v>54238.400000000001</v>
      </c>
      <c r="AC66" s="1" t="str">
        <f>VLOOKUP(A66,[1]Detalle!$D$2:$CW$484,98,FALSE)</f>
        <v>CMQ_TTE - QUILMES TTE</v>
      </c>
    </row>
    <row r="67" spans="1:29" ht="14.25" customHeight="1" x14ac:dyDescent="0.3">
      <c r="A67" s="1" t="s">
        <v>257</v>
      </c>
      <c r="B67" s="1" t="s">
        <v>341</v>
      </c>
      <c r="C67" s="1" t="s">
        <v>328</v>
      </c>
      <c r="D67" s="1" t="s">
        <v>328</v>
      </c>
      <c r="E67" s="1">
        <v>0.75</v>
      </c>
      <c r="F67" s="1" t="s">
        <v>329</v>
      </c>
      <c r="G67" s="6">
        <v>45929</v>
      </c>
      <c r="H67" s="1">
        <v>241798</v>
      </c>
      <c r="I67" s="1">
        <v>261798</v>
      </c>
      <c r="J67" s="1">
        <v>0</v>
      </c>
      <c r="K67" s="1">
        <v>20000</v>
      </c>
      <c r="L67" s="1">
        <v>241798</v>
      </c>
      <c r="M67" s="1">
        <v>18</v>
      </c>
      <c r="N67" s="1">
        <v>32.336013071895437</v>
      </c>
      <c r="O67" s="1">
        <v>200</v>
      </c>
      <c r="P67" s="7">
        <v>45947</v>
      </c>
      <c r="Q67" s="1">
        <v>20000</v>
      </c>
      <c r="R67" s="7">
        <v>46147</v>
      </c>
      <c r="S67" s="7">
        <v>46147</v>
      </c>
      <c r="T67" s="7" t="str">
        <f t="shared" si="0"/>
        <v>mayo</v>
      </c>
      <c r="U67" s="1" t="s">
        <v>330</v>
      </c>
      <c r="X67" s="1" t="s">
        <v>333</v>
      </c>
      <c r="Y67" s="1" t="s">
        <v>334</v>
      </c>
      <c r="Z67" s="1">
        <v>1</v>
      </c>
      <c r="AA67" s="3">
        <v>8513.2800000000007</v>
      </c>
      <c r="AB67" s="3">
        <v>8513.2800000000007</v>
      </c>
      <c r="AC67" s="1" t="str">
        <f>VLOOKUP(A67,[1]Detalle!$D$2:$CW$484,98,FALSE)</f>
        <v>CMQ_TTE - QUILMES TTE</v>
      </c>
    </row>
    <row r="68" spans="1:29" ht="14.25" customHeight="1" x14ac:dyDescent="0.3">
      <c r="A68" s="1" t="s">
        <v>260</v>
      </c>
      <c r="B68" s="1" t="s">
        <v>341</v>
      </c>
      <c r="C68" s="1" t="s">
        <v>328</v>
      </c>
      <c r="D68" s="1" t="s">
        <v>328</v>
      </c>
      <c r="E68" s="1">
        <v>0.75</v>
      </c>
      <c r="F68" s="1" t="s">
        <v>329</v>
      </c>
      <c r="G68" s="6">
        <v>45608</v>
      </c>
      <c r="H68" s="1">
        <v>135670</v>
      </c>
      <c r="I68" s="1">
        <v>155670</v>
      </c>
      <c r="J68" s="1">
        <v>13146.66</v>
      </c>
      <c r="K68" s="1">
        <v>6853.3399999999983</v>
      </c>
      <c r="L68" s="1">
        <v>148816.66</v>
      </c>
      <c r="M68" s="1">
        <v>339</v>
      </c>
      <c r="N68" s="1">
        <v>35.350675241157553</v>
      </c>
      <c r="O68" s="1">
        <v>176.72034265737449</v>
      </c>
      <c r="P68" s="7">
        <v>45947</v>
      </c>
      <c r="Q68" s="1">
        <v>20000</v>
      </c>
      <c r="R68" s="7">
        <v>46123.72034266204</v>
      </c>
      <c r="S68" s="7">
        <v>46123</v>
      </c>
      <c r="T68" s="7" t="str">
        <f t="shared" si="0"/>
        <v>abril</v>
      </c>
      <c r="U68" s="1" t="s">
        <v>330</v>
      </c>
      <c r="X68" s="1" t="s">
        <v>331</v>
      </c>
      <c r="Y68" s="1" t="s">
        <v>332</v>
      </c>
      <c r="Z68" s="1">
        <v>16</v>
      </c>
      <c r="AA68" s="3">
        <v>3389.9</v>
      </c>
      <c r="AB68" s="3">
        <v>54238.400000000001</v>
      </c>
      <c r="AC68" s="1" t="str">
        <f>VLOOKUP(A68,[1]Detalle!$D$2:$CW$484,98,FALSE)</f>
        <v>CCUDyAZA</v>
      </c>
    </row>
    <row r="69" spans="1:29" ht="14.25" customHeight="1" x14ac:dyDescent="0.3">
      <c r="A69" s="1" t="s">
        <v>260</v>
      </c>
      <c r="B69" s="1" t="s">
        <v>341</v>
      </c>
      <c r="C69" s="1" t="s">
        <v>328</v>
      </c>
      <c r="D69" s="1" t="s">
        <v>328</v>
      </c>
      <c r="E69" s="1">
        <v>0.75</v>
      </c>
      <c r="F69" s="1" t="s">
        <v>329</v>
      </c>
      <c r="G69" s="6">
        <v>45608</v>
      </c>
      <c r="H69" s="1">
        <v>135670</v>
      </c>
      <c r="I69" s="1">
        <v>155670</v>
      </c>
      <c r="J69" s="1">
        <v>13146.66</v>
      </c>
      <c r="K69" s="1">
        <v>6853.3399999999983</v>
      </c>
      <c r="L69" s="1">
        <v>148816.66</v>
      </c>
      <c r="M69" s="1">
        <v>339</v>
      </c>
      <c r="N69" s="1">
        <v>35.350675241157553</v>
      </c>
      <c r="O69" s="1">
        <v>176.72034265737449</v>
      </c>
      <c r="P69" s="7">
        <v>45947</v>
      </c>
      <c r="Q69" s="1">
        <v>20000</v>
      </c>
      <c r="R69" s="7">
        <v>46123.72034266204</v>
      </c>
      <c r="S69" s="7">
        <v>46123</v>
      </c>
      <c r="T69" s="7" t="str">
        <f t="shared" si="0"/>
        <v>abril</v>
      </c>
      <c r="U69" s="1" t="s">
        <v>330</v>
      </c>
      <c r="X69" s="1" t="s">
        <v>333</v>
      </c>
      <c r="Y69" s="1" t="s">
        <v>334</v>
      </c>
      <c r="Z69" s="1">
        <v>1</v>
      </c>
      <c r="AA69" s="3">
        <v>8513.2800000000007</v>
      </c>
      <c r="AB69" s="3">
        <v>8513.2800000000007</v>
      </c>
      <c r="AC69" s="1" t="str">
        <f>VLOOKUP(A69,[1]Detalle!$D$2:$CW$484,98,FALSE)</f>
        <v>CCUDyAZA</v>
      </c>
    </row>
    <row r="70" spans="1:29" ht="14.25" customHeight="1" x14ac:dyDescent="0.3">
      <c r="A70" s="1" t="s">
        <v>261</v>
      </c>
      <c r="B70" s="1" t="s">
        <v>341</v>
      </c>
      <c r="C70" s="1" t="s">
        <v>328</v>
      </c>
      <c r="D70" s="1" t="s">
        <v>328</v>
      </c>
      <c r="E70" s="1">
        <v>0.75</v>
      </c>
      <c r="F70" s="1" t="s">
        <v>329</v>
      </c>
      <c r="G70" s="6">
        <v>45741</v>
      </c>
      <c r="H70" s="1">
        <v>138994</v>
      </c>
      <c r="I70" s="1">
        <v>158994</v>
      </c>
      <c r="J70" s="1">
        <v>7813.9000000000042</v>
      </c>
      <c r="K70" s="1">
        <v>12186.099999999989</v>
      </c>
      <c r="L70" s="1">
        <v>146807.9</v>
      </c>
      <c r="M70" s="1">
        <v>206</v>
      </c>
      <c r="N70" s="1">
        <v>32.740519480519481</v>
      </c>
      <c r="O70" s="1">
        <v>321.26551401988729</v>
      </c>
      <c r="P70" s="7">
        <v>45947</v>
      </c>
      <c r="Q70" s="1">
        <v>20000</v>
      </c>
      <c r="R70" s="7">
        <v>46268.265514016202</v>
      </c>
      <c r="S70" s="7">
        <v>46268</v>
      </c>
      <c r="T70" s="7" t="str">
        <f t="shared" si="0"/>
        <v>septiembre</v>
      </c>
      <c r="U70" s="1" t="s">
        <v>330</v>
      </c>
      <c r="X70" s="1" t="s">
        <v>331</v>
      </c>
      <c r="Y70" s="1" t="s">
        <v>332</v>
      </c>
      <c r="Z70" s="1">
        <v>16</v>
      </c>
      <c r="AA70" s="3">
        <v>3389.9</v>
      </c>
      <c r="AB70" s="3">
        <v>54238.400000000001</v>
      </c>
      <c r="AC70" s="1" t="str">
        <f>VLOOKUP(A70,[1]Detalle!$D$2:$CW$484,98,FALSE)</f>
        <v>CCUDyAZA</v>
      </c>
    </row>
    <row r="71" spans="1:29" ht="14.25" customHeight="1" x14ac:dyDescent="0.3">
      <c r="A71" s="1" t="s">
        <v>261</v>
      </c>
      <c r="B71" s="1" t="s">
        <v>341</v>
      </c>
      <c r="C71" s="1" t="s">
        <v>328</v>
      </c>
      <c r="D71" s="1" t="s">
        <v>328</v>
      </c>
      <c r="E71" s="1">
        <v>0.75</v>
      </c>
      <c r="F71" s="1" t="s">
        <v>329</v>
      </c>
      <c r="G71" s="6">
        <v>45741</v>
      </c>
      <c r="H71" s="1">
        <v>138994</v>
      </c>
      <c r="I71" s="1">
        <v>158994</v>
      </c>
      <c r="J71" s="1">
        <v>7813.9000000000042</v>
      </c>
      <c r="K71" s="1">
        <v>12186.099999999989</v>
      </c>
      <c r="L71" s="1">
        <v>146807.9</v>
      </c>
      <c r="M71" s="1">
        <v>206</v>
      </c>
      <c r="N71" s="1">
        <v>32.740519480519481</v>
      </c>
      <c r="O71" s="1">
        <v>321.26551401988729</v>
      </c>
      <c r="P71" s="7">
        <v>45947</v>
      </c>
      <c r="Q71" s="1">
        <v>20000</v>
      </c>
      <c r="R71" s="7">
        <v>46268.265514016202</v>
      </c>
      <c r="S71" s="7">
        <v>46268</v>
      </c>
      <c r="T71" s="7" t="str">
        <f t="shared" si="0"/>
        <v>septiembre</v>
      </c>
      <c r="U71" s="1" t="s">
        <v>330</v>
      </c>
      <c r="X71" s="1" t="s">
        <v>333</v>
      </c>
      <c r="Y71" s="1" t="s">
        <v>334</v>
      </c>
      <c r="Z71" s="1">
        <v>1</v>
      </c>
      <c r="AA71" s="3">
        <v>8513.2800000000007</v>
      </c>
      <c r="AB71" s="3">
        <v>8513.2800000000007</v>
      </c>
      <c r="AC71" s="1" t="str">
        <f>VLOOKUP(A71,[1]Detalle!$D$2:$CW$484,98,FALSE)</f>
        <v>CCUDyAZA</v>
      </c>
    </row>
    <row r="72" spans="1:29" ht="14.25" customHeight="1" x14ac:dyDescent="0.3">
      <c r="A72" s="1" t="s">
        <v>262</v>
      </c>
      <c r="B72" s="1" t="s">
        <v>341</v>
      </c>
      <c r="C72" s="1" t="s">
        <v>328</v>
      </c>
      <c r="D72" s="1" t="s">
        <v>328</v>
      </c>
      <c r="E72" s="1">
        <v>0.75</v>
      </c>
      <c r="F72" s="1" t="s">
        <v>329</v>
      </c>
      <c r="G72" s="6">
        <v>45750</v>
      </c>
      <c r="H72" s="1">
        <v>135586</v>
      </c>
      <c r="I72" s="1">
        <v>155586</v>
      </c>
      <c r="J72" s="1">
        <v>6212.800000000002</v>
      </c>
      <c r="K72" s="1">
        <v>13787.2</v>
      </c>
      <c r="L72" s="1">
        <v>141798.79999999999</v>
      </c>
      <c r="M72" s="1">
        <v>197</v>
      </c>
      <c r="N72" s="1">
        <v>29.337411003236291</v>
      </c>
      <c r="O72" s="1">
        <v>437.17460726242581</v>
      </c>
      <c r="P72" s="7">
        <v>45947</v>
      </c>
      <c r="Q72" s="1">
        <v>20000</v>
      </c>
      <c r="R72" s="7">
        <v>46384.174607256937</v>
      </c>
      <c r="S72" s="7">
        <v>46384</v>
      </c>
      <c r="T72" s="7" t="str">
        <f t="shared" si="0"/>
        <v>diciembre</v>
      </c>
      <c r="U72" s="1" t="s">
        <v>330</v>
      </c>
      <c r="X72" s="1" t="s">
        <v>331</v>
      </c>
      <c r="Y72" s="1" t="s">
        <v>332</v>
      </c>
      <c r="Z72" s="1">
        <v>16</v>
      </c>
      <c r="AA72" s="3">
        <v>3389.9</v>
      </c>
      <c r="AB72" s="3">
        <v>54238.400000000001</v>
      </c>
      <c r="AC72" s="1" t="str">
        <f>VLOOKUP(A72,[1]Detalle!$D$2:$CW$484,98,FALSE)</f>
        <v>CCUDyAZA</v>
      </c>
    </row>
    <row r="73" spans="1:29" ht="14.25" customHeight="1" x14ac:dyDescent="0.3">
      <c r="A73" s="1" t="s">
        <v>262</v>
      </c>
      <c r="B73" s="1" t="s">
        <v>341</v>
      </c>
      <c r="C73" s="1" t="s">
        <v>328</v>
      </c>
      <c r="D73" s="1" t="s">
        <v>328</v>
      </c>
      <c r="E73" s="1">
        <v>0.75</v>
      </c>
      <c r="F73" s="1" t="s">
        <v>329</v>
      </c>
      <c r="G73" s="6">
        <v>45750</v>
      </c>
      <c r="H73" s="1">
        <v>135586</v>
      </c>
      <c r="I73" s="1">
        <v>155586</v>
      </c>
      <c r="J73" s="1">
        <v>6212.800000000002</v>
      </c>
      <c r="K73" s="1">
        <v>13787.2</v>
      </c>
      <c r="L73" s="1">
        <v>141798.79999999999</v>
      </c>
      <c r="M73" s="1">
        <v>197</v>
      </c>
      <c r="N73" s="1">
        <v>29.337411003236291</v>
      </c>
      <c r="O73" s="1">
        <v>437.17460726242581</v>
      </c>
      <c r="P73" s="7">
        <v>45947</v>
      </c>
      <c r="Q73" s="1">
        <v>20000</v>
      </c>
      <c r="R73" s="7">
        <v>46384.174607256937</v>
      </c>
      <c r="S73" s="7">
        <v>46384</v>
      </c>
      <c r="T73" s="7" t="str">
        <f t="shared" si="0"/>
        <v>diciembre</v>
      </c>
      <c r="U73" s="1" t="s">
        <v>330</v>
      </c>
      <c r="X73" s="1" t="s">
        <v>333</v>
      </c>
      <c r="Y73" s="1" t="s">
        <v>334</v>
      </c>
      <c r="Z73" s="1">
        <v>1</v>
      </c>
      <c r="AA73" s="3">
        <v>8513.2800000000007</v>
      </c>
      <c r="AB73" s="3">
        <v>8513.2800000000007</v>
      </c>
      <c r="AC73" s="1" t="str">
        <f>VLOOKUP(A73,[1]Detalle!$D$2:$CW$484,98,FALSE)</f>
        <v>CCUDyAZA</v>
      </c>
    </row>
    <row r="74" spans="1:29" ht="14.25" customHeight="1" x14ac:dyDescent="0.3">
      <c r="A74" s="1" t="s">
        <v>263</v>
      </c>
      <c r="B74" s="1" t="s">
        <v>341</v>
      </c>
      <c r="C74" s="1" t="s">
        <v>328</v>
      </c>
      <c r="D74" s="1" t="s">
        <v>328</v>
      </c>
      <c r="E74" s="1">
        <v>0.75</v>
      </c>
      <c r="F74" s="1" t="s">
        <v>329</v>
      </c>
      <c r="G74" s="6">
        <v>45792</v>
      </c>
      <c r="H74" s="1">
        <v>139668</v>
      </c>
      <c r="I74" s="1">
        <v>159668</v>
      </c>
      <c r="J74" s="1">
        <v>6276.5</v>
      </c>
      <c r="K74" s="1">
        <v>13723.5</v>
      </c>
      <c r="L74" s="1">
        <v>145944.5</v>
      </c>
      <c r="M74" s="1">
        <v>155</v>
      </c>
      <c r="N74" s="1">
        <v>39.350129032258081</v>
      </c>
      <c r="O74" s="1">
        <v>338.90583924161558</v>
      </c>
      <c r="P74" s="7">
        <v>45947</v>
      </c>
      <c r="Q74" s="1">
        <v>20000</v>
      </c>
      <c r="R74" s="7">
        <v>46285.905839236111</v>
      </c>
      <c r="S74" s="7">
        <v>46285</v>
      </c>
      <c r="T74" s="7" t="str">
        <f t="shared" si="0"/>
        <v>septiembre</v>
      </c>
      <c r="U74" s="1" t="s">
        <v>330</v>
      </c>
      <c r="X74" s="1" t="s">
        <v>331</v>
      </c>
      <c r="Y74" s="1" t="s">
        <v>332</v>
      </c>
      <c r="Z74" s="1">
        <v>16</v>
      </c>
      <c r="AA74" s="3">
        <v>3389.9</v>
      </c>
      <c r="AB74" s="3">
        <v>54238.400000000001</v>
      </c>
      <c r="AC74" s="1" t="str">
        <f>VLOOKUP(A74,[1]Detalle!$D$2:$CW$484,98,FALSE)</f>
        <v>CCUCoAZA</v>
      </c>
    </row>
    <row r="75" spans="1:29" ht="14.25" customHeight="1" x14ac:dyDescent="0.3">
      <c r="A75" s="1" t="s">
        <v>263</v>
      </c>
      <c r="B75" s="1" t="s">
        <v>341</v>
      </c>
      <c r="C75" s="1" t="s">
        <v>328</v>
      </c>
      <c r="D75" s="1" t="s">
        <v>328</v>
      </c>
      <c r="E75" s="1">
        <v>0.75</v>
      </c>
      <c r="F75" s="1" t="s">
        <v>329</v>
      </c>
      <c r="G75" s="6">
        <v>45792</v>
      </c>
      <c r="H75" s="1">
        <v>139668</v>
      </c>
      <c r="I75" s="1">
        <v>159668</v>
      </c>
      <c r="J75" s="1">
        <v>6276.5</v>
      </c>
      <c r="K75" s="1">
        <v>13723.5</v>
      </c>
      <c r="L75" s="1">
        <v>145944.5</v>
      </c>
      <c r="M75" s="1">
        <v>155</v>
      </c>
      <c r="N75" s="1">
        <v>39.350129032258081</v>
      </c>
      <c r="O75" s="1">
        <v>338.90583924161558</v>
      </c>
      <c r="P75" s="7">
        <v>45947</v>
      </c>
      <c r="Q75" s="1">
        <v>20000</v>
      </c>
      <c r="R75" s="7">
        <v>46285.905839236111</v>
      </c>
      <c r="S75" s="7">
        <v>46285</v>
      </c>
      <c r="T75" s="7" t="str">
        <f t="shared" si="0"/>
        <v>septiembre</v>
      </c>
      <c r="U75" s="1" t="s">
        <v>330</v>
      </c>
      <c r="X75" s="1" t="s">
        <v>333</v>
      </c>
      <c r="Y75" s="1" t="s">
        <v>334</v>
      </c>
      <c r="Z75" s="1">
        <v>1</v>
      </c>
      <c r="AA75" s="3">
        <v>8513.2800000000007</v>
      </c>
      <c r="AB75" s="3">
        <v>8513.2800000000007</v>
      </c>
      <c r="AC75" s="1" t="str">
        <f>VLOOKUP(A75,[1]Detalle!$D$2:$CW$484,98,FALSE)</f>
        <v>CCUCoAZA</v>
      </c>
    </row>
    <row r="76" spans="1:29" ht="14.25" customHeight="1" x14ac:dyDescent="0.3">
      <c r="A76" s="1" t="s">
        <v>264</v>
      </c>
      <c r="B76" s="1" t="s">
        <v>341</v>
      </c>
      <c r="C76" s="1" t="s">
        <v>328</v>
      </c>
      <c r="D76" s="1" t="s">
        <v>328</v>
      </c>
      <c r="E76" s="1">
        <v>0.75</v>
      </c>
      <c r="F76" s="1" t="s">
        <v>329</v>
      </c>
      <c r="G76" s="6">
        <v>45609</v>
      </c>
      <c r="H76" s="1">
        <v>129732</v>
      </c>
      <c r="I76" s="1">
        <v>149732</v>
      </c>
      <c r="J76" s="1">
        <v>10886.77</v>
      </c>
      <c r="K76" s="1">
        <v>9113.23</v>
      </c>
      <c r="L76" s="1">
        <v>140618.76999999999</v>
      </c>
      <c r="M76" s="1">
        <v>338</v>
      </c>
      <c r="N76" s="1">
        <v>28.6525</v>
      </c>
      <c r="O76" s="1">
        <v>282.93715583226242</v>
      </c>
      <c r="P76" s="7">
        <v>45947</v>
      </c>
      <c r="Q76" s="1">
        <v>20000</v>
      </c>
      <c r="R76" s="7">
        <v>46229.937155833337</v>
      </c>
      <c r="S76" s="7">
        <v>46229</v>
      </c>
      <c r="T76" s="7" t="str">
        <f t="shared" si="0"/>
        <v>julio</v>
      </c>
      <c r="U76" s="1" t="s">
        <v>330</v>
      </c>
      <c r="X76" s="1" t="s">
        <v>331</v>
      </c>
      <c r="Y76" s="1" t="s">
        <v>332</v>
      </c>
      <c r="Z76" s="1">
        <v>16</v>
      </c>
      <c r="AA76" s="3">
        <v>3389.9</v>
      </c>
      <c r="AB76" s="3">
        <v>54238.400000000001</v>
      </c>
      <c r="AC76" s="1" t="str">
        <f>VLOOKUP(A76,[1]Detalle!$D$2:$CW$484,98,FALSE)</f>
        <v>CMQ_TTE - QUILMES TTE</v>
      </c>
    </row>
    <row r="77" spans="1:29" ht="14.25" customHeight="1" x14ac:dyDescent="0.3">
      <c r="A77" s="1" t="s">
        <v>264</v>
      </c>
      <c r="B77" s="1" t="s">
        <v>341</v>
      </c>
      <c r="C77" s="1" t="s">
        <v>328</v>
      </c>
      <c r="D77" s="1" t="s">
        <v>328</v>
      </c>
      <c r="E77" s="1">
        <v>0.75</v>
      </c>
      <c r="F77" s="1" t="s">
        <v>329</v>
      </c>
      <c r="G77" s="6">
        <v>45609</v>
      </c>
      <c r="H77" s="1">
        <v>129732</v>
      </c>
      <c r="I77" s="1">
        <v>149732</v>
      </c>
      <c r="J77" s="1">
        <v>10886.77</v>
      </c>
      <c r="K77" s="1">
        <v>9113.23</v>
      </c>
      <c r="L77" s="1">
        <v>140618.76999999999</v>
      </c>
      <c r="M77" s="1">
        <v>338</v>
      </c>
      <c r="N77" s="1">
        <v>28.6525</v>
      </c>
      <c r="O77" s="1">
        <v>282.93715583226242</v>
      </c>
      <c r="P77" s="7">
        <v>45947</v>
      </c>
      <c r="Q77" s="1">
        <v>20000</v>
      </c>
      <c r="R77" s="7">
        <v>46229.937155833337</v>
      </c>
      <c r="S77" s="7">
        <v>46229</v>
      </c>
      <c r="T77" s="7" t="str">
        <f t="shared" si="0"/>
        <v>julio</v>
      </c>
      <c r="U77" s="1" t="s">
        <v>330</v>
      </c>
      <c r="X77" s="1" t="s">
        <v>333</v>
      </c>
      <c r="Y77" s="1" t="s">
        <v>334</v>
      </c>
      <c r="Z77" s="1">
        <v>1</v>
      </c>
      <c r="AA77" s="3">
        <v>8513.2800000000007</v>
      </c>
      <c r="AB77" s="3">
        <v>8513.2800000000007</v>
      </c>
      <c r="AC77" s="1" t="str">
        <f>VLOOKUP(A77,[1]Detalle!$D$2:$CW$484,98,FALSE)</f>
        <v>CMQ_TTE - QUILMES TTE</v>
      </c>
    </row>
    <row r="78" spans="1:29" ht="14.25" customHeight="1" x14ac:dyDescent="0.3">
      <c r="A78" s="1" t="s">
        <v>265</v>
      </c>
      <c r="B78" s="1" t="s">
        <v>341</v>
      </c>
      <c r="C78" s="1" t="s">
        <v>328</v>
      </c>
      <c r="D78" s="1" t="s">
        <v>328</v>
      </c>
      <c r="E78" s="1">
        <v>0.75</v>
      </c>
      <c r="F78" s="1" t="s">
        <v>329</v>
      </c>
      <c r="G78" s="6">
        <v>45859</v>
      </c>
      <c r="H78" s="1">
        <v>117765</v>
      </c>
      <c r="I78" s="1">
        <v>137765</v>
      </c>
      <c r="J78" s="1">
        <v>3374.6999999999989</v>
      </c>
      <c r="K78" s="1">
        <v>16625.3</v>
      </c>
      <c r="L78" s="1">
        <v>121139.7</v>
      </c>
      <c r="M78" s="1">
        <v>88</v>
      </c>
      <c r="N78" s="1">
        <v>35.038354838709672</v>
      </c>
      <c r="O78" s="1">
        <v>433.52783951166032</v>
      </c>
      <c r="P78" s="7">
        <v>45947</v>
      </c>
      <c r="Q78" s="1">
        <v>20000</v>
      </c>
      <c r="R78" s="7">
        <v>46380.527839513888</v>
      </c>
      <c r="S78" s="7">
        <v>46380</v>
      </c>
      <c r="T78" s="7" t="str">
        <f t="shared" si="0"/>
        <v>diciembre</v>
      </c>
      <c r="U78" s="1" t="s">
        <v>330</v>
      </c>
      <c r="X78" s="1" t="s">
        <v>331</v>
      </c>
      <c r="Y78" s="1" t="s">
        <v>332</v>
      </c>
      <c r="Z78" s="1">
        <v>16</v>
      </c>
      <c r="AA78" s="3">
        <v>3389.9</v>
      </c>
      <c r="AB78" s="3">
        <v>54238.400000000001</v>
      </c>
      <c r="AC78" s="1" t="str">
        <f>VLOOKUP(A78,[1]Detalle!$D$2:$CW$484,98,FALSE)</f>
        <v>CCUDyAZA</v>
      </c>
    </row>
    <row r="79" spans="1:29" ht="14.25" customHeight="1" x14ac:dyDescent="0.3">
      <c r="A79" s="1" t="s">
        <v>265</v>
      </c>
      <c r="B79" s="1" t="s">
        <v>341</v>
      </c>
      <c r="C79" s="1" t="s">
        <v>328</v>
      </c>
      <c r="D79" s="1" t="s">
        <v>328</v>
      </c>
      <c r="E79" s="1">
        <v>0.75</v>
      </c>
      <c r="F79" s="1" t="s">
        <v>329</v>
      </c>
      <c r="G79" s="6">
        <v>45859</v>
      </c>
      <c r="H79" s="1">
        <v>117765</v>
      </c>
      <c r="I79" s="1">
        <v>137765</v>
      </c>
      <c r="J79" s="1">
        <v>3374.6999999999989</v>
      </c>
      <c r="K79" s="1">
        <v>16625.3</v>
      </c>
      <c r="L79" s="1">
        <v>121139.7</v>
      </c>
      <c r="M79" s="1">
        <v>88</v>
      </c>
      <c r="N79" s="1">
        <v>35.038354838709672</v>
      </c>
      <c r="O79" s="1">
        <v>433.52783951166032</v>
      </c>
      <c r="P79" s="7">
        <v>45947</v>
      </c>
      <c r="Q79" s="1">
        <v>20000</v>
      </c>
      <c r="R79" s="7">
        <v>46380.527839513888</v>
      </c>
      <c r="S79" s="7">
        <v>46380</v>
      </c>
      <c r="T79" s="7" t="str">
        <f t="shared" si="0"/>
        <v>diciembre</v>
      </c>
      <c r="U79" s="1" t="s">
        <v>330</v>
      </c>
      <c r="X79" s="1" t="s">
        <v>333</v>
      </c>
      <c r="Y79" s="1" t="s">
        <v>334</v>
      </c>
      <c r="Z79" s="1">
        <v>1</v>
      </c>
      <c r="AA79" s="3">
        <v>8513.2800000000007</v>
      </c>
      <c r="AB79" s="3">
        <v>8513.2800000000007</v>
      </c>
      <c r="AC79" s="1" t="str">
        <f>VLOOKUP(A79,[1]Detalle!$D$2:$CW$484,98,FALSE)</f>
        <v>CCUDyAZA</v>
      </c>
    </row>
    <row r="80" spans="1:29" ht="14.25" customHeight="1" x14ac:dyDescent="0.3">
      <c r="A80" s="1" t="s">
        <v>274</v>
      </c>
      <c r="B80" s="1" t="s">
        <v>342</v>
      </c>
      <c r="C80" s="1" t="s">
        <v>328</v>
      </c>
      <c r="D80" s="1" t="s">
        <v>328</v>
      </c>
      <c r="E80" s="1">
        <v>0.75</v>
      </c>
      <c r="F80" s="1" t="s">
        <v>329</v>
      </c>
      <c r="G80" s="6">
        <v>45723</v>
      </c>
      <c r="H80" s="1">
        <v>11627.1</v>
      </c>
      <c r="I80" s="1">
        <v>31627.1</v>
      </c>
      <c r="J80" s="1">
        <v>18411.3</v>
      </c>
      <c r="K80" s="1">
        <v>1588.700000000001</v>
      </c>
      <c r="L80" s="1">
        <v>30038.400000000001</v>
      </c>
      <c r="M80" s="1">
        <v>224</v>
      </c>
      <c r="N80" s="1">
        <v>66.921503267973904</v>
      </c>
      <c r="O80" s="1">
        <v>19.32882523233015</v>
      </c>
      <c r="P80" s="7">
        <v>45947</v>
      </c>
      <c r="Q80" s="1">
        <v>20000</v>
      </c>
      <c r="R80" s="7">
        <v>46265.186427395827</v>
      </c>
      <c r="S80" s="7">
        <v>46265</v>
      </c>
      <c r="T80" s="7" t="str">
        <f t="shared" si="0"/>
        <v>agosto</v>
      </c>
      <c r="U80" s="1" t="s">
        <v>330</v>
      </c>
      <c r="X80" s="1" t="s">
        <v>331</v>
      </c>
      <c r="Y80" s="1" t="s">
        <v>332</v>
      </c>
      <c r="Z80" s="1">
        <v>16</v>
      </c>
      <c r="AA80" s="3">
        <v>3389.9</v>
      </c>
      <c r="AB80" s="3">
        <v>54238.400000000001</v>
      </c>
      <c r="AC80" s="1" t="str">
        <f>VLOOKUP(A80,[1]Detalle!$D$2:$CW$484,98,FALSE)</f>
        <v>JOHNSON - SC JOHNSON DE ARGENTINA SAIC</v>
      </c>
    </row>
    <row r="81" spans="1:29" ht="14.25" customHeight="1" x14ac:dyDescent="0.3">
      <c r="A81" s="1" t="s">
        <v>274</v>
      </c>
      <c r="B81" s="1" t="s">
        <v>342</v>
      </c>
      <c r="C81" s="1" t="s">
        <v>328</v>
      </c>
      <c r="D81" s="1" t="s">
        <v>328</v>
      </c>
      <c r="E81" s="1">
        <v>0.75</v>
      </c>
      <c r="F81" s="1" t="s">
        <v>329</v>
      </c>
      <c r="G81" s="6">
        <v>45723</v>
      </c>
      <c r="H81" s="1">
        <v>11627.1</v>
      </c>
      <c r="I81" s="1">
        <v>31627.1</v>
      </c>
      <c r="J81" s="1">
        <v>18411.3</v>
      </c>
      <c r="K81" s="1">
        <v>1588.700000000001</v>
      </c>
      <c r="L81" s="1">
        <v>30038.400000000001</v>
      </c>
      <c r="M81" s="1">
        <v>224</v>
      </c>
      <c r="N81" s="1">
        <v>66.921503267973904</v>
      </c>
      <c r="O81" s="1">
        <v>19.32882523233015</v>
      </c>
      <c r="P81" s="7">
        <v>45947</v>
      </c>
      <c r="Q81" s="1">
        <v>20000</v>
      </c>
      <c r="R81" s="7">
        <v>46265.186427395827</v>
      </c>
      <c r="S81" s="7">
        <v>46265</v>
      </c>
      <c r="T81" s="7" t="str">
        <f t="shared" si="0"/>
        <v>agosto</v>
      </c>
      <c r="U81" s="1" t="s">
        <v>330</v>
      </c>
      <c r="X81" s="1" t="s">
        <v>333</v>
      </c>
      <c r="Y81" s="1" t="s">
        <v>334</v>
      </c>
      <c r="Z81" s="1">
        <v>1</v>
      </c>
      <c r="AA81" s="3">
        <v>8513.2800000000007</v>
      </c>
      <c r="AB81" s="3">
        <v>8513.2800000000007</v>
      </c>
      <c r="AC81" s="1" t="str">
        <f>VLOOKUP(A81,[1]Detalle!$D$2:$CW$484,98,FALSE)</f>
        <v>JOHNSON - SC JOHNSON DE ARGENTINA SAIC</v>
      </c>
    </row>
    <row r="82" spans="1:29" ht="14.25" customHeight="1" x14ac:dyDescent="0.3">
      <c r="A82" s="1" t="s">
        <v>275</v>
      </c>
      <c r="B82" s="1" t="s">
        <v>342</v>
      </c>
      <c r="C82" s="1" t="s">
        <v>328</v>
      </c>
      <c r="D82" s="1" t="s">
        <v>328</v>
      </c>
      <c r="E82" s="1">
        <v>0.75</v>
      </c>
      <c r="F82" s="1" t="s">
        <v>329</v>
      </c>
      <c r="G82" s="6">
        <v>45736</v>
      </c>
      <c r="H82" s="1">
        <v>126999</v>
      </c>
      <c r="I82" s="1">
        <v>146999</v>
      </c>
      <c r="J82" s="1">
        <v>6493.4000000000005</v>
      </c>
      <c r="K82" s="1">
        <v>13506.6</v>
      </c>
      <c r="L82" s="1">
        <v>133492.4</v>
      </c>
      <c r="M82" s="1">
        <v>211</v>
      </c>
      <c r="N82" s="1">
        <v>29.333408360128612</v>
      </c>
      <c r="O82" s="1">
        <v>438.89065820679451</v>
      </c>
      <c r="P82" s="7">
        <v>45947</v>
      </c>
      <c r="Q82" s="1">
        <v>20000</v>
      </c>
      <c r="R82" s="7">
        <v>46385.890658206023</v>
      </c>
      <c r="S82" s="7">
        <v>46385</v>
      </c>
      <c r="T82" s="7" t="str">
        <f t="shared" si="0"/>
        <v>diciembre</v>
      </c>
      <c r="U82" s="1" t="s">
        <v>330</v>
      </c>
      <c r="X82" s="1" t="s">
        <v>331</v>
      </c>
      <c r="Y82" s="1" t="s">
        <v>332</v>
      </c>
      <c r="Z82" s="1">
        <v>16</v>
      </c>
      <c r="AA82" s="3">
        <v>3389.9</v>
      </c>
      <c r="AB82" s="3">
        <v>54238.400000000001</v>
      </c>
      <c r="AC82" s="1" t="str">
        <f>VLOOKUP(A82,[1]Detalle!$D$2:$CW$484,98,FALSE)</f>
        <v>CCUDyAZA</v>
      </c>
    </row>
    <row r="83" spans="1:29" ht="14.25" customHeight="1" x14ac:dyDescent="0.3">
      <c r="A83" s="1" t="s">
        <v>275</v>
      </c>
      <c r="B83" s="1" t="s">
        <v>342</v>
      </c>
      <c r="C83" s="1" t="s">
        <v>328</v>
      </c>
      <c r="D83" s="1" t="s">
        <v>328</v>
      </c>
      <c r="E83" s="1">
        <v>0.75</v>
      </c>
      <c r="F83" s="1" t="s">
        <v>329</v>
      </c>
      <c r="G83" s="6">
        <v>45736</v>
      </c>
      <c r="H83" s="1">
        <v>126999</v>
      </c>
      <c r="I83" s="1">
        <v>146999</v>
      </c>
      <c r="J83" s="1">
        <v>6493.4000000000005</v>
      </c>
      <c r="K83" s="1">
        <v>13506.6</v>
      </c>
      <c r="L83" s="1">
        <v>133492.4</v>
      </c>
      <c r="M83" s="1">
        <v>211</v>
      </c>
      <c r="N83" s="1">
        <v>29.333408360128612</v>
      </c>
      <c r="O83" s="1">
        <v>438.89065820679451</v>
      </c>
      <c r="P83" s="7">
        <v>45947</v>
      </c>
      <c r="Q83" s="1">
        <v>20000</v>
      </c>
      <c r="R83" s="7">
        <v>46385.890658206023</v>
      </c>
      <c r="S83" s="7">
        <v>46385</v>
      </c>
      <c r="T83" s="7" t="str">
        <f t="shared" si="0"/>
        <v>diciembre</v>
      </c>
      <c r="U83" s="1" t="s">
        <v>330</v>
      </c>
      <c r="X83" s="1" t="s">
        <v>333</v>
      </c>
      <c r="Y83" s="1" t="s">
        <v>334</v>
      </c>
      <c r="Z83" s="1">
        <v>1</v>
      </c>
      <c r="AA83" s="3">
        <v>8513.2800000000007</v>
      </c>
      <c r="AB83" s="3">
        <v>8513.2800000000007</v>
      </c>
      <c r="AC83" s="1" t="str">
        <f>VLOOKUP(A83,[1]Detalle!$D$2:$CW$484,98,FALSE)</f>
        <v>CCUDyAZA</v>
      </c>
    </row>
    <row r="84" spans="1:29" ht="14.25" customHeight="1" x14ac:dyDescent="0.3">
      <c r="A84" s="1" t="s">
        <v>128</v>
      </c>
      <c r="B84" s="1">
        <v>1620</v>
      </c>
      <c r="C84" s="1" t="s">
        <v>343</v>
      </c>
      <c r="D84" s="1" t="s">
        <v>343</v>
      </c>
      <c r="E84" s="1">
        <v>0.5</v>
      </c>
      <c r="F84" s="1" t="s">
        <v>344</v>
      </c>
      <c r="G84" s="6">
        <v>45743</v>
      </c>
      <c r="H84" s="1">
        <v>315257</v>
      </c>
      <c r="I84" s="1">
        <v>335257</v>
      </c>
      <c r="J84" s="1">
        <v>0</v>
      </c>
      <c r="K84" s="1">
        <v>20000</v>
      </c>
      <c r="L84" s="1">
        <v>315257</v>
      </c>
      <c r="M84" s="1">
        <v>204</v>
      </c>
      <c r="N84" s="1">
        <v>4.0251111111111113</v>
      </c>
      <c r="O84" s="1">
        <v>200</v>
      </c>
      <c r="P84" s="7">
        <v>45947</v>
      </c>
      <c r="Q84" s="1">
        <v>20000</v>
      </c>
      <c r="R84" s="7">
        <v>46147</v>
      </c>
      <c r="S84" s="7">
        <v>46147</v>
      </c>
      <c r="T84" s="7" t="str">
        <f t="shared" si="0"/>
        <v>mayo</v>
      </c>
      <c r="U84" s="1" t="s">
        <v>330</v>
      </c>
      <c r="X84" s="1" t="s">
        <v>345</v>
      </c>
      <c r="Y84" s="1" t="s">
        <v>346</v>
      </c>
      <c r="Z84" s="1">
        <v>1</v>
      </c>
      <c r="AA84" s="3">
        <v>10535.04</v>
      </c>
      <c r="AB84" s="3">
        <v>10535.04</v>
      </c>
      <c r="AC84" s="1" t="str">
        <f>VLOOKUP(A84,[1]Detalle!$D$2:$CW$484,98,FALSE)</f>
        <v>Arcor S.A.I.C.</v>
      </c>
    </row>
    <row r="85" spans="1:29" ht="14.25" customHeight="1" x14ac:dyDescent="0.3">
      <c r="A85" s="1" t="s">
        <v>128</v>
      </c>
      <c r="B85" s="1">
        <v>1620</v>
      </c>
      <c r="C85" s="1" t="s">
        <v>343</v>
      </c>
      <c r="D85" s="1" t="s">
        <v>343</v>
      </c>
      <c r="E85" s="1">
        <v>0.5</v>
      </c>
      <c r="F85" s="1" t="s">
        <v>344</v>
      </c>
      <c r="G85" s="6">
        <v>45743</v>
      </c>
      <c r="H85" s="1">
        <v>315257</v>
      </c>
      <c r="I85" s="1">
        <v>335257</v>
      </c>
      <c r="J85" s="1">
        <v>0</v>
      </c>
      <c r="K85" s="1">
        <v>20000</v>
      </c>
      <c r="L85" s="1">
        <v>315257</v>
      </c>
      <c r="M85" s="1">
        <v>204</v>
      </c>
      <c r="N85" s="1">
        <v>4.0251111111111113</v>
      </c>
      <c r="O85" s="1">
        <v>200</v>
      </c>
      <c r="P85" s="7">
        <v>45947</v>
      </c>
      <c r="Q85" s="1">
        <v>20000</v>
      </c>
      <c r="R85" s="7">
        <v>46147</v>
      </c>
      <c r="S85" s="7">
        <v>46147</v>
      </c>
      <c r="T85" s="7" t="str">
        <f t="shared" si="0"/>
        <v>mayo</v>
      </c>
      <c r="U85" s="1" t="s">
        <v>330</v>
      </c>
      <c r="X85" s="1" t="s">
        <v>347</v>
      </c>
      <c r="Y85" s="1" t="s">
        <v>348</v>
      </c>
      <c r="Z85" s="1">
        <v>1</v>
      </c>
      <c r="AA85" s="3">
        <v>19410.240000000002</v>
      </c>
      <c r="AB85" s="3">
        <v>19410.240000000002</v>
      </c>
      <c r="AC85" s="1" t="str">
        <f>VLOOKUP(A85,[1]Detalle!$D$2:$CW$484,98,FALSE)</f>
        <v>Arcor S.A.I.C.</v>
      </c>
    </row>
    <row r="86" spans="1:29" ht="14.25" customHeight="1" x14ac:dyDescent="0.3">
      <c r="A86" s="1" t="s">
        <v>207</v>
      </c>
      <c r="B86" s="1" t="s">
        <v>349</v>
      </c>
      <c r="C86" s="1" t="s">
        <v>343</v>
      </c>
      <c r="D86" s="1" t="s">
        <v>343</v>
      </c>
      <c r="E86" s="1">
        <v>0.5</v>
      </c>
      <c r="F86" s="1" t="s">
        <v>344</v>
      </c>
      <c r="G86" s="6">
        <v>45786</v>
      </c>
      <c r="H86" s="1">
        <v>331282</v>
      </c>
      <c r="I86" s="1">
        <v>351282</v>
      </c>
      <c r="J86" s="1">
        <v>13312.400000000011</v>
      </c>
      <c r="K86" s="1">
        <v>6687.5999999999931</v>
      </c>
      <c r="L86" s="1">
        <v>344594.4</v>
      </c>
      <c r="M86" s="1">
        <v>161</v>
      </c>
      <c r="N86" s="1">
        <v>86.162316176470569</v>
      </c>
      <c r="O86" s="1">
        <v>80.879751209398634</v>
      </c>
      <c r="P86" s="7">
        <v>45947</v>
      </c>
      <c r="Q86" s="1">
        <v>20000</v>
      </c>
      <c r="R86" s="7">
        <v>46027.879751203713</v>
      </c>
      <c r="S86" s="7">
        <v>46027</v>
      </c>
      <c r="T86" s="7" t="str">
        <f t="shared" si="0"/>
        <v>enero</v>
      </c>
      <c r="U86" s="1" t="s">
        <v>330</v>
      </c>
      <c r="X86" s="1" t="s">
        <v>345</v>
      </c>
      <c r="Y86" s="1" t="s">
        <v>346</v>
      </c>
      <c r="Z86" s="1">
        <v>1</v>
      </c>
      <c r="AA86" s="3">
        <v>10535.04</v>
      </c>
      <c r="AB86" s="3">
        <v>10535.04</v>
      </c>
      <c r="AC86" s="1" t="str">
        <f>VLOOKUP(A86,[1]Detalle!$D$2:$CW$484,98,FALSE)</f>
        <v>CENCO_MZ - Cencosud SA - Mendoza</v>
      </c>
    </row>
    <row r="87" spans="1:29" ht="14.25" customHeight="1" x14ac:dyDescent="0.3">
      <c r="A87" s="1" t="s">
        <v>207</v>
      </c>
      <c r="B87" s="1" t="s">
        <v>349</v>
      </c>
      <c r="C87" s="1" t="s">
        <v>343</v>
      </c>
      <c r="D87" s="1" t="s">
        <v>343</v>
      </c>
      <c r="E87" s="1">
        <v>0.5</v>
      </c>
      <c r="F87" s="1" t="s">
        <v>344</v>
      </c>
      <c r="G87" s="6">
        <v>45786</v>
      </c>
      <c r="H87" s="1">
        <v>331282</v>
      </c>
      <c r="I87" s="1">
        <v>351282</v>
      </c>
      <c r="J87" s="1">
        <v>13312.400000000011</v>
      </c>
      <c r="K87" s="1">
        <v>6687.5999999999931</v>
      </c>
      <c r="L87" s="1">
        <v>344594.4</v>
      </c>
      <c r="M87" s="1">
        <v>161</v>
      </c>
      <c r="N87" s="1">
        <v>86.162316176470569</v>
      </c>
      <c r="O87" s="1">
        <v>80.879751209398634</v>
      </c>
      <c r="P87" s="7">
        <v>45947</v>
      </c>
      <c r="Q87" s="1">
        <v>20000</v>
      </c>
      <c r="R87" s="7">
        <v>46027.879751203713</v>
      </c>
      <c r="S87" s="7">
        <v>46027</v>
      </c>
      <c r="T87" s="7" t="str">
        <f t="shared" si="0"/>
        <v>enero</v>
      </c>
      <c r="U87" s="1" t="s">
        <v>330</v>
      </c>
      <c r="X87" s="1" t="s">
        <v>347</v>
      </c>
      <c r="Y87" s="1" t="s">
        <v>348</v>
      </c>
      <c r="Z87" s="1">
        <v>1</v>
      </c>
      <c r="AA87" s="3">
        <v>19410.240000000002</v>
      </c>
      <c r="AB87" s="3">
        <v>19410.240000000002</v>
      </c>
      <c r="AC87" s="1" t="str">
        <f>VLOOKUP(A87,[1]Detalle!$D$2:$CW$484,98,FALSE)</f>
        <v>CENCO_MZ - Cencosud SA - Mendoza</v>
      </c>
    </row>
    <row r="88" spans="1:29" ht="14.25" customHeight="1" x14ac:dyDescent="0.3">
      <c r="A88" s="1" t="s">
        <v>27</v>
      </c>
      <c r="B88" s="1" t="s">
        <v>335</v>
      </c>
      <c r="C88" s="1" t="s">
        <v>343</v>
      </c>
      <c r="D88" s="1" t="s">
        <v>343</v>
      </c>
      <c r="E88" s="1">
        <v>0.5</v>
      </c>
      <c r="F88" s="1" t="s">
        <v>344</v>
      </c>
      <c r="G88" s="6">
        <v>45827</v>
      </c>
      <c r="H88" s="1">
        <v>68428.5</v>
      </c>
      <c r="I88" s="1">
        <v>88428.5</v>
      </c>
      <c r="J88" s="1">
        <v>5182.2</v>
      </c>
      <c r="K88" s="1">
        <v>14817.8</v>
      </c>
      <c r="L88" s="1">
        <v>73610.7</v>
      </c>
      <c r="M88" s="1">
        <v>120</v>
      </c>
      <c r="N88" s="1">
        <v>48.244391143911422</v>
      </c>
      <c r="O88" s="1">
        <v>343.1237698274864</v>
      </c>
      <c r="P88" s="7">
        <v>45947</v>
      </c>
      <c r="Q88" s="1">
        <v>20000</v>
      </c>
      <c r="R88" s="7">
        <v>46290.123769826387</v>
      </c>
      <c r="S88" s="7">
        <v>46290</v>
      </c>
      <c r="T88" s="7" t="str">
        <f t="shared" si="0"/>
        <v>septiembre</v>
      </c>
      <c r="U88" s="1" t="s">
        <v>330</v>
      </c>
      <c r="X88" s="1" t="s">
        <v>345</v>
      </c>
      <c r="Y88" s="1" t="s">
        <v>346</v>
      </c>
      <c r="Z88" s="1">
        <v>1</v>
      </c>
      <c r="AA88" s="3">
        <v>10535.04</v>
      </c>
      <c r="AB88" s="3">
        <v>10535.04</v>
      </c>
      <c r="AC88" s="1" t="str">
        <f>VLOOKUP(A88,[1]Detalle!$D$2:$CW$484,98,FALSE)</f>
        <v>CMQ_TTE - QUILMES TTE</v>
      </c>
    </row>
    <row r="89" spans="1:29" ht="14.25" customHeight="1" x14ac:dyDescent="0.3">
      <c r="A89" s="1" t="s">
        <v>27</v>
      </c>
      <c r="B89" s="1" t="s">
        <v>335</v>
      </c>
      <c r="C89" s="1" t="s">
        <v>343</v>
      </c>
      <c r="D89" s="1" t="s">
        <v>343</v>
      </c>
      <c r="E89" s="1">
        <v>0.5</v>
      </c>
      <c r="F89" s="1" t="s">
        <v>344</v>
      </c>
      <c r="G89" s="6">
        <v>45827</v>
      </c>
      <c r="H89" s="1">
        <v>68428.5</v>
      </c>
      <c r="I89" s="1">
        <v>88428.5</v>
      </c>
      <c r="J89" s="1">
        <v>5182.2</v>
      </c>
      <c r="K89" s="1">
        <v>14817.8</v>
      </c>
      <c r="L89" s="1">
        <v>73610.7</v>
      </c>
      <c r="M89" s="1">
        <v>120</v>
      </c>
      <c r="N89" s="1">
        <v>48.244391143911422</v>
      </c>
      <c r="O89" s="1">
        <v>343.1237698274864</v>
      </c>
      <c r="P89" s="7">
        <v>45947</v>
      </c>
      <c r="Q89" s="1">
        <v>20000</v>
      </c>
      <c r="R89" s="7">
        <v>46290.123769826387</v>
      </c>
      <c r="S89" s="7">
        <v>46290</v>
      </c>
      <c r="T89" s="7" t="str">
        <f t="shared" si="0"/>
        <v>septiembre</v>
      </c>
      <c r="U89" s="1" t="s">
        <v>330</v>
      </c>
      <c r="X89" s="1" t="s">
        <v>347</v>
      </c>
      <c r="Y89" s="1" t="s">
        <v>348</v>
      </c>
      <c r="Z89" s="1">
        <v>1</v>
      </c>
      <c r="AA89" s="3">
        <v>19410.240000000002</v>
      </c>
      <c r="AB89" s="3">
        <v>19410.240000000002</v>
      </c>
      <c r="AC89" s="1" t="str">
        <f>VLOOKUP(A89,[1]Detalle!$D$2:$CW$484,98,FALSE)</f>
        <v>CMQ_TTE - QUILMES TTE</v>
      </c>
    </row>
    <row r="90" spans="1:29" ht="14.25" customHeight="1" x14ac:dyDescent="0.3">
      <c r="A90" s="1" t="s">
        <v>208</v>
      </c>
      <c r="B90" s="1" t="s">
        <v>349</v>
      </c>
      <c r="C90" s="1" t="s">
        <v>343</v>
      </c>
      <c r="D90" s="1" t="s">
        <v>343</v>
      </c>
      <c r="E90" s="1">
        <v>0.5</v>
      </c>
      <c r="F90" s="1" t="s">
        <v>344</v>
      </c>
      <c r="G90" s="6">
        <v>45898</v>
      </c>
      <c r="H90" s="1">
        <v>279340</v>
      </c>
      <c r="I90" s="1">
        <v>299340</v>
      </c>
      <c r="J90" s="1">
        <v>2584.1999999999998</v>
      </c>
      <c r="K90" s="1">
        <v>17415.8</v>
      </c>
      <c r="L90" s="1">
        <v>281924.2</v>
      </c>
      <c r="M90" s="1">
        <v>49</v>
      </c>
      <c r="N90" s="1">
        <v>86.131808118081167</v>
      </c>
      <c r="O90" s="1">
        <v>330.22761396176759</v>
      </c>
      <c r="P90" s="7">
        <v>45947</v>
      </c>
      <c r="Q90" s="1">
        <v>20000</v>
      </c>
      <c r="R90" s="7">
        <v>46277.227613958326</v>
      </c>
      <c r="S90" s="7">
        <v>46277</v>
      </c>
      <c r="T90" s="7" t="str">
        <f t="shared" si="0"/>
        <v>septiembre</v>
      </c>
      <c r="U90" s="1" t="s">
        <v>330</v>
      </c>
      <c r="X90" s="1" t="s">
        <v>345</v>
      </c>
      <c r="Y90" s="1" t="s">
        <v>346</v>
      </c>
      <c r="Z90" s="1">
        <v>1</v>
      </c>
      <c r="AA90" s="3">
        <v>10535.04</v>
      </c>
      <c r="AB90" s="3">
        <v>10535.04</v>
      </c>
      <c r="AC90" s="1" t="str">
        <f>VLOOKUP(A90,[1]Detalle!$D$2:$CW$484,98,FALSE)</f>
        <v>CENCO_MZ - Cencosud SA - Mendoza</v>
      </c>
    </row>
    <row r="91" spans="1:29" ht="14.25" customHeight="1" x14ac:dyDescent="0.3">
      <c r="A91" s="1" t="s">
        <v>208</v>
      </c>
      <c r="B91" s="1" t="s">
        <v>349</v>
      </c>
      <c r="C91" s="1" t="s">
        <v>343</v>
      </c>
      <c r="D91" s="1" t="s">
        <v>343</v>
      </c>
      <c r="E91" s="1">
        <v>0.5</v>
      </c>
      <c r="F91" s="1" t="s">
        <v>344</v>
      </c>
      <c r="G91" s="6">
        <v>45898</v>
      </c>
      <c r="H91" s="1">
        <v>279340</v>
      </c>
      <c r="I91" s="1">
        <v>299340</v>
      </c>
      <c r="J91" s="1">
        <v>2584.1999999999998</v>
      </c>
      <c r="K91" s="1">
        <v>17415.8</v>
      </c>
      <c r="L91" s="1">
        <v>281924.2</v>
      </c>
      <c r="M91" s="1">
        <v>49</v>
      </c>
      <c r="N91" s="1">
        <v>86.131808118081167</v>
      </c>
      <c r="O91" s="1">
        <v>330.22761396176759</v>
      </c>
      <c r="P91" s="7">
        <v>45947</v>
      </c>
      <c r="Q91" s="1">
        <v>20000</v>
      </c>
      <c r="R91" s="7">
        <v>46277.227613958326</v>
      </c>
      <c r="S91" s="7">
        <v>46277</v>
      </c>
      <c r="T91" s="7" t="str">
        <f t="shared" si="0"/>
        <v>septiembre</v>
      </c>
      <c r="U91" s="1" t="s">
        <v>330</v>
      </c>
      <c r="X91" s="1" t="s">
        <v>347</v>
      </c>
      <c r="Y91" s="1" t="s">
        <v>348</v>
      </c>
      <c r="Z91" s="1">
        <v>1</v>
      </c>
      <c r="AA91" s="3">
        <v>19410.240000000002</v>
      </c>
      <c r="AB91" s="3">
        <v>19410.240000000002</v>
      </c>
      <c r="AC91" s="1" t="str">
        <f>VLOOKUP(A91,[1]Detalle!$D$2:$CW$484,98,FALSE)</f>
        <v>CENCO_MZ - Cencosud SA - Mendoza</v>
      </c>
    </row>
    <row r="92" spans="1:29" ht="14.25" customHeight="1" x14ac:dyDescent="0.3">
      <c r="A92" s="1" t="s">
        <v>40</v>
      </c>
      <c r="B92" s="1" t="s">
        <v>336</v>
      </c>
      <c r="C92" s="1" t="s">
        <v>343</v>
      </c>
      <c r="D92" s="1" t="s">
        <v>343</v>
      </c>
      <c r="E92" s="1">
        <v>0.5</v>
      </c>
      <c r="F92" s="1" t="s">
        <v>344</v>
      </c>
      <c r="G92" s="1" t="s">
        <v>337</v>
      </c>
      <c r="N92" s="1">
        <v>51.09303703703705</v>
      </c>
      <c r="P92" s="7">
        <v>45947</v>
      </c>
      <c r="Q92" s="1">
        <v>20000</v>
      </c>
      <c r="R92" s="7">
        <v>46338.442771064823</v>
      </c>
      <c r="S92" s="7">
        <v>46338</v>
      </c>
      <c r="T92" s="7" t="str">
        <f t="shared" si="0"/>
        <v>noviembre</v>
      </c>
      <c r="U92" s="1" t="s">
        <v>330</v>
      </c>
      <c r="X92" s="1" t="s">
        <v>345</v>
      </c>
      <c r="Y92" s="1" t="s">
        <v>346</v>
      </c>
      <c r="Z92" s="1">
        <v>1</v>
      </c>
      <c r="AA92" s="3">
        <v>10535.04</v>
      </c>
      <c r="AB92" s="3">
        <v>10535.04</v>
      </c>
      <c r="AC92" s="1" t="str">
        <f>VLOOKUP(A92,[1]Detalle!$D$2:$CW$484,98,FALSE)</f>
        <v>CMQ_TTE - QUILMES TTE</v>
      </c>
    </row>
    <row r="93" spans="1:29" ht="14.25" customHeight="1" x14ac:dyDescent="0.3">
      <c r="A93" s="1" t="s">
        <v>40</v>
      </c>
      <c r="B93" s="1" t="s">
        <v>336</v>
      </c>
      <c r="C93" s="1" t="s">
        <v>343</v>
      </c>
      <c r="D93" s="1" t="s">
        <v>343</v>
      </c>
      <c r="E93" s="1">
        <v>0.5</v>
      </c>
      <c r="F93" s="1" t="s">
        <v>344</v>
      </c>
      <c r="G93" s="1" t="s">
        <v>337</v>
      </c>
      <c r="N93" s="1">
        <v>51.09303703703705</v>
      </c>
      <c r="P93" s="7">
        <v>45947</v>
      </c>
      <c r="Q93" s="1">
        <v>20000</v>
      </c>
      <c r="R93" s="7">
        <v>46338.442771064823</v>
      </c>
      <c r="S93" s="7">
        <v>46338</v>
      </c>
      <c r="T93" s="7" t="str">
        <f t="shared" si="0"/>
        <v>noviembre</v>
      </c>
      <c r="U93" s="1" t="s">
        <v>330</v>
      </c>
      <c r="X93" s="1" t="s">
        <v>347</v>
      </c>
      <c r="Y93" s="1" t="s">
        <v>348</v>
      </c>
      <c r="Z93" s="1">
        <v>1</v>
      </c>
      <c r="AA93" s="3">
        <v>19410.240000000002</v>
      </c>
      <c r="AB93" s="3">
        <v>19410.240000000002</v>
      </c>
      <c r="AC93" s="1" t="str">
        <f>VLOOKUP(A93,[1]Detalle!$D$2:$CW$484,98,FALSE)</f>
        <v>CMQ_TTE - QUILMES TTE</v>
      </c>
    </row>
    <row r="94" spans="1:29" ht="14.25" customHeight="1" x14ac:dyDescent="0.3">
      <c r="A94" s="1" t="s">
        <v>42</v>
      </c>
      <c r="B94" s="1" t="s">
        <v>336</v>
      </c>
      <c r="C94" s="1" t="s">
        <v>343</v>
      </c>
      <c r="D94" s="1" t="s">
        <v>343</v>
      </c>
      <c r="E94" s="1">
        <v>0.5</v>
      </c>
      <c r="F94" s="1" t="s">
        <v>344</v>
      </c>
      <c r="G94" s="6">
        <v>45461</v>
      </c>
      <c r="H94" s="1">
        <v>38855.1</v>
      </c>
      <c r="I94" s="1">
        <v>58855.1</v>
      </c>
      <c r="J94" s="1">
        <v>22989.899999999991</v>
      </c>
      <c r="K94" s="1">
        <v>-2989.899999999991</v>
      </c>
      <c r="L94" s="1">
        <v>61844.999999999993</v>
      </c>
      <c r="M94" s="1">
        <v>486</v>
      </c>
      <c r="N94" s="1">
        <v>45.422519083969469</v>
      </c>
      <c r="O94" s="1">
        <v>-63.205642477783549</v>
      </c>
      <c r="P94" s="7">
        <v>45947</v>
      </c>
      <c r="Q94" s="1">
        <v>20000</v>
      </c>
      <c r="R94" s="7">
        <v>46387.310233854158</v>
      </c>
      <c r="S94" s="7">
        <v>46387</v>
      </c>
      <c r="T94" s="7" t="str">
        <f t="shared" si="0"/>
        <v>diciembre</v>
      </c>
      <c r="U94" s="1" t="s">
        <v>330</v>
      </c>
      <c r="X94" s="1" t="s">
        <v>345</v>
      </c>
      <c r="Y94" s="1" t="s">
        <v>346</v>
      </c>
      <c r="Z94" s="1">
        <v>1</v>
      </c>
      <c r="AA94" s="3">
        <v>10535.04</v>
      </c>
      <c r="AB94" s="3">
        <v>10535.04</v>
      </c>
      <c r="AC94" s="1" t="str">
        <f>VLOOKUP(A94,[1]Detalle!$D$2:$CW$484,98,FALSE)</f>
        <v>CMQ_TTE - QUILMES TTE</v>
      </c>
    </row>
    <row r="95" spans="1:29" ht="14.25" customHeight="1" x14ac:dyDescent="0.3">
      <c r="A95" s="1" t="s">
        <v>42</v>
      </c>
      <c r="B95" s="1" t="s">
        <v>336</v>
      </c>
      <c r="C95" s="1" t="s">
        <v>343</v>
      </c>
      <c r="D95" s="1" t="s">
        <v>343</v>
      </c>
      <c r="E95" s="1">
        <v>0.5</v>
      </c>
      <c r="F95" s="1" t="s">
        <v>344</v>
      </c>
      <c r="G95" s="6">
        <v>45461</v>
      </c>
      <c r="H95" s="1">
        <v>38855.1</v>
      </c>
      <c r="I95" s="1">
        <v>58855.1</v>
      </c>
      <c r="J95" s="1">
        <v>22989.899999999991</v>
      </c>
      <c r="K95" s="1">
        <v>-2989.899999999991</v>
      </c>
      <c r="L95" s="1">
        <v>61844.999999999993</v>
      </c>
      <c r="M95" s="1">
        <v>486</v>
      </c>
      <c r="N95" s="1">
        <v>45.422519083969469</v>
      </c>
      <c r="O95" s="1">
        <v>-63.205642477783549</v>
      </c>
      <c r="P95" s="7">
        <v>45947</v>
      </c>
      <c r="Q95" s="1">
        <v>20000</v>
      </c>
      <c r="R95" s="7">
        <v>46387.310233854158</v>
      </c>
      <c r="S95" s="7">
        <v>46387</v>
      </c>
      <c r="T95" s="7" t="str">
        <f t="shared" si="0"/>
        <v>diciembre</v>
      </c>
      <c r="U95" s="1" t="s">
        <v>330</v>
      </c>
      <c r="X95" s="1" t="s">
        <v>347</v>
      </c>
      <c r="Y95" s="1" t="s">
        <v>348</v>
      </c>
      <c r="Z95" s="1">
        <v>1</v>
      </c>
      <c r="AA95" s="3">
        <v>19410.240000000002</v>
      </c>
      <c r="AB95" s="3">
        <v>19410.240000000002</v>
      </c>
      <c r="AC95" s="1" t="str">
        <f>VLOOKUP(A95,[1]Detalle!$D$2:$CW$484,98,FALSE)</f>
        <v>CMQ_TTE - QUILMES TTE</v>
      </c>
    </row>
    <row r="96" spans="1:29" ht="14.25" customHeight="1" x14ac:dyDescent="0.3">
      <c r="A96" s="1" t="s">
        <v>129</v>
      </c>
      <c r="B96" s="1">
        <v>1620</v>
      </c>
      <c r="C96" s="1" t="s">
        <v>343</v>
      </c>
      <c r="D96" s="1" t="s">
        <v>343</v>
      </c>
      <c r="E96" s="1">
        <v>0.5</v>
      </c>
      <c r="F96" s="1" t="s">
        <v>344</v>
      </c>
      <c r="G96" s="6">
        <v>45882</v>
      </c>
      <c r="H96" s="1">
        <v>289935</v>
      </c>
      <c r="I96" s="1">
        <v>309935</v>
      </c>
      <c r="J96" s="1">
        <v>2579.900000000001</v>
      </c>
      <c r="K96" s="1">
        <v>17420.099999999999</v>
      </c>
      <c r="L96" s="1">
        <v>292514.90000000002</v>
      </c>
      <c r="M96" s="1">
        <v>65</v>
      </c>
      <c r="N96" s="1">
        <v>56.324626865671632</v>
      </c>
      <c r="O96" s="1">
        <v>438.89549982557452</v>
      </c>
      <c r="P96" s="7">
        <v>45947</v>
      </c>
      <c r="Q96" s="1">
        <v>20000</v>
      </c>
      <c r="R96" s="7">
        <v>46247</v>
      </c>
      <c r="S96" s="7">
        <v>46247</v>
      </c>
      <c r="T96" s="7" t="str">
        <f t="shared" si="0"/>
        <v>agosto</v>
      </c>
      <c r="U96" s="1" t="s">
        <v>330</v>
      </c>
      <c r="X96" s="1" t="s">
        <v>345</v>
      </c>
      <c r="Y96" s="1" t="s">
        <v>346</v>
      </c>
      <c r="Z96" s="1">
        <v>1</v>
      </c>
      <c r="AA96" s="3">
        <v>10535.04</v>
      </c>
      <c r="AB96" s="3">
        <v>10535.04</v>
      </c>
      <c r="AC96" s="1" t="str">
        <f>VLOOKUP(A96,[1]Detalle!$D$2:$CW$484,98,FALSE)</f>
        <v>Alfavinil SA</v>
      </c>
    </row>
    <row r="97" spans="1:29" ht="14.25" customHeight="1" x14ac:dyDescent="0.3">
      <c r="A97" s="1" t="s">
        <v>129</v>
      </c>
      <c r="B97" s="1">
        <v>1620</v>
      </c>
      <c r="C97" s="1" t="s">
        <v>343</v>
      </c>
      <c r="D97" s="1" t="s">
        <v>343</v>
      </c>
      <c r="E97" s="1">
        <v>0.5</v>
      </c>
      <c r="F97" s="1" t="s">
        <v>344</v>
      </c>
      <c r="G97" s="6">
        <v>45882</v>
      </c>
      <c r="H97" s="1">
        <v>289935</v>
      </c>
      <c r="I97" s="1">
        <v>309935</v>
      </c>
      <c r="J97" s="1">
        <v>2579.900000000001</v>
      </c>
      <c r="K97" s="1">
        <v>17420.099999999999</v>
      </c>
      <c r="L97" s="1">
        <v>292514.90000000002</v>
      </c>
      <c r="M97" s="1">
        <v>65</v>
      </c>
      <c r="N97" s="1">
        <v>56.324626865671632</v>
      </c>
      <c r="O97" s="1">
        <v>438.89549982557452</v>
      </c>
      <c r="P97" s="7">
        <v>45947</v>
      </c>
      <c r="Q97" s="1">
        <v>20000</v>
      </c>
      <c r="R97" s="7">
        <v>46247</v>
      </c>
      <c r="S97" s="7">
        <v>46247</v>
      </c>
      <c r="T97" s="7" t="str">
        <f t="shared" si="0"/>
        <v>agosto</v>
      </c>
      <c r="U97" s="1" t="s">
        <v>330</v>
      </c>
      <c r="X97" s="1" t="s">
        <v>347</v>
      </c>
      <c r="Y97" s="1" t="s">
        <v>348</v>
      </c>
      <c r="Z97" s="1">
        <v>1</v>
      </c>
      <c r="AA97" s="3">
        <v>19410.240000000002</v>
      </c>
      <c r="AB97" s="3">
        <v>19410.240000000002</v>
      </c>
      <c r="AC97" s="1" t="str">
        <f>VLOOKUP(A97,[1]Detalle!$D$2:$CW$484,98,FALSE)</f>
        <v>Alfavinil SA</v>
      </c>
    </row>
    <row r="98" spans="1:29" ht="14.25" customHeight="1" x14ac:dyDescent="0.3">
      <c r="A98" s="1" t="s">
        <v>52</v>
      </c>
      <c r="B98" s="1" t="s">
        <v>350</v>
      </c>
      <c r="C98" s="1" t="s">
        <v>343</v>
      </c>
      <c r="D98" s="1" t="s">
        <v>343</v>
      </c>
      <c r="E98" s="1">
        <v>0.5</v>
      </c>
      <c r="F98" s="1" t="s">
        <v>344</v>
      </c>
      <c r="G98" s="6">
        <v>45545</v>
      </c>
      <c r="H98" s="1">
        <v>42714.2</v>
      </c>
      <c r="I98" s="1">
        <v>62714.2</v>
      </c>
      <c r="J98" s="1">
        <v>21856.560000000001</v>
      </c>
      <c r="K98" s="1">
        <v>-1856.5599999999979</v>
      </c>
      <c r="L98" s="1">
        <v>64570.759999999987</v>
      </c>
      <c r="M98" s="1">
        <v>402</v>
      </c>
      <c r="N98" s="1">
        <v>53.502481203007598</v>
      </c>
      <c r="O98" s="1">
        <v>-34.147053333186882</v>
      </c>
      <c r="P98" s="7">
        <v>45947</v>
      </c>
      <c r="Q98" s="1">
        <v>20000</v>
      </c>
      <c r="R98" s="7">
        <v>46320.814439074071</v>
      </c>
      <c r="S98" s="7">
        <v>46320</v>
      </c>
      <c r="T98" s="7" t="str">
        <f t="shared" si="0"/>
        <v>octubre</v>
      </c>
      <c r="U98" s="1" t="s">
        <v>330</v>
      </c>
      <c r="X98" s="1" t="s">
        <v>345</v>
      </c>
      <c r="Y98" s="1" t="s">
        <v>346</v>
      </c>
      <c r="Z98" s="1">
        <v>1</v>
      </c>
      <c r="AA98" s="3">
        <v>10535.04</v>
      </c>
      <c r="AB98" s="3">
        <v>10535.04</v>
      </c>
      <c r="AC98" s="1" t="str">
        <f>VLOOKUP(A98,[1]Detalle!$D$2:$CW$484,98,FALSE)</f>
        <v>CMQ_TTE - QUILMES TTE</v>
      </c>
    </row>
    <row r="99" spans="1:29" ht="14.25" customHeight="1" x14ac:dyDescent="0.3">
      <c r="A99" s="1" t="s">
        <v>52</v>
      </c>
      <c r="B99" s="1" t="s">
        <v>350</v>
      </c>
      <c r="C99" s="1" t="s">
        <v>343</v>
      </c>
      <c r="D99" s="1" t="s">
        <v>343</v>
      </c>
      <c r="E99" s="1">
        <v>0.5</v>
      </c>
      <c r="F99" s="1" t="s">
        <v>344</v>
      </c>
      <c r="G99" s="6">
        <v>45545</v>
      </c>
      <c r="H99" s="1">
        <v>42714.2</v>
      </c>
      <c r="I99" s="1">
        <v>62714.2</v>
      </c>
      <c r="J99" s="1">
        <v>21856.560000000001</v>
      </c>
      <c r="K99" s="1">
        <v>-1856.5599999999979</v>
      </c>
      <c r="L99" s="1">
        <v>64570.759999999987</v>
      </c>
      <c r="M99" s="1">
        <v>402</v>
      </c>
      <c r="N99" s="1">
        <v>53.502481203007598</v>
      </c>
      <c r="O99" s="1">
        <v>-34.147053333186882</v>
      </c>
      <c r="P99" s="7">
        <v>45947</v>
      </c>
      <c r="Q99" s="1">
        <v>20000</v>
      </c>
      <c r="R99" s="7">
        <v>46320.814439074071</v>
      </c>
      <c r="S99" s="7">
        <v>46320</v>
      </c>
      <c r="T99" s="7" t="str">
        <f t="shared" si="0"/>
        <v>octubre</v>
      </c>
      <c r="U99" s="1" t="s">
        <v>330</v>
      </c>
      <c r="X99" s="1" t="s">
        <v>347</v>
      </c>
      <c r="Y99" s="1" t="s">
        <v>348</v>
      </c>
      <c r="Z99" s="1">
        <v>1</v>
      </c>
      <c r="AA99" s="3">
        <v>19410.240000000002</v>
      </c>
      <c r="AB99" s="3">
        <v>19410.240000000002</v>
      </c>
      <c r="AC99" s="1" t="str">
        <f>VLOOKUP(A99,[1]Detalle!$D$2:$CW$484,98,FALSE)</f>
        <v>CMQ_TTE - QUILMES TTE</v>
      </c>
    </row>
    <row r="100" spans="1:29" ht="14.25" customHeight="1" x14ac:dyDescent="0.3">
      <c r="A100" s="1" t="s">
        <v>132</v>
      </c>
      <c r="B100" s="1">
        <v>1620</v>
      </c>
      <c r="C100" s="1" t="s">
        <v>343</v>
      </c>
      <c r="D100" s="1" t="s">
        <v>343</v>
      </c>
      <c r="E100" s="1">
        <v>0.5</v>
      </c>
      <c r="F100" s="1" t="s">
        <v>344</v>
      </c>
      <c r="G100" s="6">
        <v>45546</v>
      </c>
      <c r="H100" s="1">
        <v>235609</v>
      </c>
      <c r="I100" s="1">
        <v>255609</v>
      </c>
      <c r="J100" s="1">
        <v>21825.48</v>
      </c>
      <c r="K100" s="1">
        <v>-1825.4799999999959</v>
      </c>
      <c r="L100" s="1">
        <v>257434.48</v>
      </c>
      <c r="M100" s="1">
        <v>401</v>
      </c>
      <c r="N100" s="1">
        <v>61.857388059701528</v>
      </c>
      <c r="O100" s="1">
        <v>-33.539582176428581</v>
      </c>
      <c r="P100" s="7">
        <v>45947</v>
      </c>
      <c r="Q100" s="1">
        <v>20000</v>
      </c>
      <c r="R100" s="7">
        <v>46270.3243534375</v>
      </c>
      <c r="S100" s="7">
        <v>46270</v>
      </c>
      <c r="T100" s="7" t="str">
        <f t="shared" si="0"/>
        <v>septiembre</v>
      </c>
      <c r="U100" s="1" t="s">
        <v>330</v>
      </c>
      <c r="X100" s="1" t="s">
        <v>345</v>
      </c>
      <c r="Y100" s="1" t="s">
        <v>346</v>
      </c>
      <c r="Z100" s="1">
        <v>1</v>
      </c>
      <c r="AA100" s="3">
        <v>10535.04</v>
      </c>
      <c r="AB100" s="3">
        <v>10535.04</v>
      </c>
      <c r="AC100" s="1" t="str">
        <f>VLOOKUP(A100,[1]Detalle!$D$2:$CW$484,98,FALSE)</f>
        <v>Unilever - Unilever de Arg. S.A.</v>
      </c>
    </row>
    <row r="101" spans="1:29" ht="14.25" customHeight="1" x14ac:dyDescent="0.3">
      <c r="A101" s="1" t="s">
        <v>132</v>
      </c>
      <c r="B101" s="1">
        <v>1620</v>
      </c>
      <c r="C101" s="1" t="s">
        <v>343</v>
      </c>
      <c r="D101" s="1" t="s">
        <v>343</v>
      </c>
      <c r="E101" s="1">
        <v>0.5</v>
      </c>
      <c r="F101" s="1" t="s">
        <v>344</v>
      </c>
      <c r="G101" s="6">
        <v>45546</v>
      </c>
      <c r="H101" s="1">
        <v>235609</v>
      </c>
      <c r="I101" s="1">
        <v>255609</v>
      </c>
      <c r="J101" s="1">
        <v>21825.48</v>
      </c>
      <c r="K101" s="1">
        <v>-1825.4799999999959</v>
      </c>
      <c r="L101" s="1">
        <v>257434.48</v>
      </c>
      <c r="M101" s="1">
        <v>401</v>
      </c>
      <c r="N101" s="1">
        <v>61.857388059701528</v>
      </c>
      <c r="O101" s="1">
        <v>-33.539582176428581</v>
      </c>
      <c r="P101" s="7">
        <v>45947</v>
      </c>
      <c r="Q101" s="1">
        <v>20000</v>
      </c>
      <c r="R101" s="7">
        <v>46270.3243534375</v>
      </c>
      <c r="S101" s="7">
        <v>46270</v>
      </c>
      <c r="T101" s="7" t="str">
        <f t="shared" si="0"/>
        <v>septiembre</v>
      </c>
      <c r="U101" s="1" t="s">
        <v>330</v>
      </c>
      <c r="X101" s="1" t="s">
        <v>347</v>
      </c>
      <c r="Y101" s="1" t="s">
        <v>348</v>
      </c>
      <c r="Z101" s="1">
        <v>1</v>
      </c>
      <c r="AA101" s="3">
        <v>19410.240000000002</v>
      </c>
      <c r="AB101" s="3">
        <v>19410.240000000002</v>
      </c>
      <c r="AC101" s="1" t="str">
        <f>VLOOKUP(A101,[1]Detalle!$D$2:$CW$484,98,FALSE)</f>
        <v>Unilever - Unilever de Arg. S.A.</v>
      </c>
    </row>
    <row r="102" spans="1:29" ht="14.25" customHeight="1" x14ac:dyDescent="0.3">
      <c r="A102" s="1" t="s">
        <v>138</v>
      </c>
      <c r="B102" s="1">
        <v>1624</v>
      </c>
      <c r="C102" s="1" t="s">
        <v>343</v>
      </c>
      <c r="D102" s="1" t="s">
        <v>343</v>
      </c>
      <c r="E102" s="1">
        <v>0.5</v>
      </c>
      <c r="F102" s="1" t="s">
        <v>344</v>
      </c>
      <c r="G102" s="6">
        <v>45840</v>
      </c>
      <c r="H102" s="1">
        <v>40688</v>
      </c>
      <c r="I102" s="1">
        <v>60688</v>
      </c>
      <c r="J102" s="1">
        <v>18559.899999999991</v>
      </c>
      <c r="K102" s="1">
        <v>1440.100000000006</v>
      </c>
      <c r="L102" s="1">
        <v>59247.899999999987</v>
      </c>
      <c r="M102" s="1">
        <v>107</v>
      </c>
      <c r="N102" s="1">
        <v>129.25862179487169</v>
      </c>
      <c r="O102" s="1">
        <v>8.3023453790160868</v>
      </c>
      <c r="P102" s="7">
        <v>45947</v>
      </c>
      <c r="Q102" s="1">
        <v>20000</v>
      </c>
      <c r="R102" s="7">
        <v>46110.030902141203</v>
      </c>
      <c r="S102" s="7">
        <v>46110</v>
      </c>
      <c r="T102" s="7" t="str">
        <f t="shared" si="0"/>
        <v>marzo</v>
      </c>
      <c r="U102" s="1" t="s">
        <v>330</v>
      </c>
      <c r="X102" s="1" t="s">
        <v>345</v>
      </c>
      <c r="Y102" s="1" t="s">
        <v>346</v>
      </c>
      <c r="Z102" s="1">
        <v>1</v>
      </c>
      <c r="AA102" s="3">
        <v>10535.04</v>
      </c>
      <c r="AB102" s="3">
        <v>10535.04</v>
      </c>
      <c r="AC102" s="1" t="str">
        <f>VLOOKUP(A102,[1]Detalle!$D$2:$CW$484,98,FALSE)</f>
        <v>SUC_MEN - Sucursal Mendoza</v>
      </c>
    </row>
    <row r="103" spans="1:29" ht="14.25" customHeight="1" x14ac:dyDescent="0.3">
      <c r="A103" s="1" t="s">
        <v>138</v>
      </c>
      <c r="B103" s="1">
        <v>1624</v>
      </c>
      <c r="C103" s="1" t="s">
        <v>343</v>
      </c>
      <c r="D103" s="1" t="s">
        <v>343</v>
      </c>
      <c r="E103" s="1">
        <v>0.5</v>
      </c>
      <c r="F103" s="1" t="s">
        <v>344</v>
      </c>
      <c r="G103" s="6">
        <v>45840</v>
      </c>
      <c r="H103" s="1">
        <v>40688</v>
      </c>
      <c r="I103" s="1">
        <v>60688</v>
      </c>
      <c r="J103" s="1">
        <v>18559.899999999991</v>
      </c>
      <c r="K103" s="1">
        <v>1440.100000000006</v>
      </c>
      <c r="L103" s="1">
        <v>59247.899999999987</v>
      </c>
      <c r="M103" s="1">
        <v>107</v>
      </c>
      <c r="N103" s="1">
        <v>129.25862179487169</v>
      </c>
      <c r="O103" s="1">
        <v>8.3023453790160868</v>
      </c>
      <c r="P103" s="7">
        <v>45947</v>
      </c>
      <c r="Q103" s="1">
        <v>20000</v>
      </c>
      <c r="R103" s="7">
        <v>46110.030902141203</v>
      </c>
      <c r="S103" s="7">
        <v>46110</v>
      </c>
      <c r="T103" s="7" t="str">
        <f t="shared" si="0"/>
        <v>marzo</v>
      </c>
      <c r="U103" s="1" t="s">
        <v>330</v>
      </c>
      <c r="X103" s="1" t="s">
        <v>347</v>
      </c>
      <c r="Y103" s="1" t="s">
        <v>348</v>
      </c>
      <c r="Z103" s="1">
        <v>1</v>
      </c>
      <c r="AA103" s="3">
        <v>19410.240000000002</v>
      </c>
      <c r="AB103" s="3">
        <v>19410.240000000002</v>
      </c>
      <c r="AC103" s="1" t="str">
        <f>VLOOKUP(A103,[1]Detalle!$D$2:$CW$484,98,FALSE)</f>
        <v>SUC_MEN - Sucursal Mendoza</v>
      </c>
    </row>
    <row r="104" spans="1:29" ht="14.25" customHeight="1" x14ac:dyDescent="0.3">
      <c r="A104" s="1" t="s">
        <v>140</v>
      </c>
      <c r="B104" s="1">
        <v>1624</v>
      </c>
      <c r="C104" s="1" t="s">
        <v>343</v>
      </c>
      <c r="D104" s="1" t="s">
        <v>343</v>
      </c>
      <c r="E104" s="1">
        <v>0.5</v>
      </c>
      <c r="F104" s="1" t="s">
        <v>344</v>
      </c>
      <c r="G104" s="6">
        <v>45745</v>
      </c>
      <c r="H104" s="1">
        <v>484970</v>
      </c>
      <c r="I104" s="1">
        <v>504970</v>
      </c>
      <c r="J104" s="1">
        <v>6360.1999999999944</v>
      </c>
      <c r="K104" s="1">
        <v>13639.80000000001</v>
      </c>
      <c r="L104" s="1">
        <v>491330.2</v>
      </c>
      <c r="M104" s="1">
        <v>202</v>
      </c>
      <c r="N104" s="1">
        <v>30.7326948051948</v>
      </c>
      <c r="O104" s="1">
        <v>433.20015093865032</v>
      </c>
      <c r="P104" s="7">
        <v>45947</v>
      </c>
      <c r="Q104" s="1">
        <v>20000</v>
      </c>
      <c r="R104" s="7">
        <v>46380.200150937497</v>
      </c>
      <c r="S104" s="7">
        <v>46380</v>
      </c>
      <c r="T104" s="7" t="str">
        <f t="shared" si="0"/>
        <v>diciembre</v>
      </c>
      <c r="U104" s="1" t="s">
        <v>330</v>
      </c>
      <c r="X104" s="1" t="s">
        <v>345</v>
      </c>
      <c r="Y104" s="1" t="s">
        <v>346</v>
      </c>
      <c r="Z104" s="1">
        <v>1</v>
      </c>
      <c r="AA104" s="3">
        <v>10535.04</v>
      </c>
      <c r="AB104" s="3">
        <v>10535.04</v>
      </c>
      <c r="AC104" s="1" t="str">
        <f>VLOOKUP(A104,[1]Detalle!$D$2:$CW$484,98,FALSE)</f>
        <v>CCU_MZA - Comp. Cerv. Unidas - MZA</v>
      </c>
    </row>
    <row r="105" spans="1:29" ht="14.25" customHeight="1" x14ac:dyDescent="0.3">
      <c r="A105" s="1" t="s">
        <v>140</v>
      </c>
      <c r="B105" s="1">
        <v>1624</v>
      </c>
      <c r="C105" s="1" t="s">
        <v>343</v>
      </c>
      <c r="D105" s="1" t="s">
        <v>343</v>
      </c>
      <c r="E105" s="1">
        <v>0.5</v>
      </c>
      <c r="F105" s="1" t="s">
        <v>344</v>
      </c>
      <c r="G105" s="6">
        <v>45745</v>
      </c>
      <c r="H105" s="1">
        <v>484970</v>
      </c>
      <c r="I105" s="1">
        <v>504970</v>
      </c>
      <c r="J105" s="1">
        <v>6360.1999999999944</v>
      </c>
      <c r="K105" s="1">
        <v>13639.80000000001</v>
      </c>
      <c r="L105" s="1">
        <v>491330.2</v>
      </c>
      <c r="M105" s="1">
        <v>202</v>
      </c>
      <c r="N105" s="1">
        <v>30.7326948051948</v>
      </c>
      <c r="O105" s="1">
        <v>433.20015093865032</v>
      </c>
      <c r="P105" s="7">
        <v>45947</v>
      </c>
      <c r="Q105" s="1">
        <v>20000</v>
      </c>
      <c r="R105" s="7">
        <v>46380.200150937497</v>
      </c>
      <c r="S105" s="7">
        <v>46380</v>
      </c>
      <c r="T105" s="7" t="str">
        <f t="shared" si="0"/>
        <v>diciembre</v>
      </c>
      <c r="U105" s="1" t="s">
        <v>330</v>
      </c>
      <c r="X105" s="1" t="s">
        <v>347</v>
      </c>
      <c r="Y105" s="1" t="s">
        <v>348</v>
      </c>
      <c r="Z105" s="1">
        <v>1</v>
      </c>
      <c r="AA105" s="3">
        <v>19410.240000000002</v>
      </c>
      <c r="AB105" s="3">
        <v>19410.240000000002</v>
      </c>
      <c r="AC105" s="1" t="str">
        <f>VLOOKUP(A105,[1]Detalle!$D$2:$CW$484,98,FALSE)</f>
        <v>CCU_MZA - Comp. Cerv. Unidas - MZA</v>
      </c>
    </row>
    <row r="106" spans="1:29" ht="14.25" customHeight="1" x14ac:dyDescent="0.3">
      <c r="A106" s="1" t="s">
        <v>156</v>
      </c>
      <c r="B106" s="1">
        <v>1624</v>
      </c>
      <c r="C106" s="1" t="s">
        <v>343</v>
      </c>
      <c r="D106" s="1" t="s">
        <v>343</v>
      </c>
      <c r="E106" s="1">
        <v>0.5</v>
      </c>
      <c r="F106" s="1" t="s">
        <v>344</v>
      </c>
      <c r="G106" s="6">
        <v>45846</v>
      </c>
      <c r="H106" s="1">
        <v>10340</v>
      </c>
      <c r="I106" s="1">
        <v>30340</v>
      </c>
      <c r="J106" s="1">
        <v>5338.3999999999987</v>
      </c>
      <c r="K106" s="1">
        <v>14661.6</v>
      </c>
      <c r="L106" s="1">
        <v>15678.4</v>
      </c>
      <c r="M106" s="1">
        <v>101</v>
      </c>
      <c r="N106" s="1">
        <v>29.350544871794892</v>
      </c>
      <c r="O106" s="1">
        <v>277.39052899745252</v>
      </c>
      <c r="P106" s="7">
        <v>45947</v>
      </c>
      <c r="Q106" s="1">
        <v>20000</v>
      </c>
      <c r="R106" s="7">
        <v>46224.390528993063</v>
      </c>
      <c r="S106" s="7">
        <v>46224</v>
      </c>
      <c r="T106" s="7" t="str">
        <f t="shared" si="0"/>
        <v>julio</v>
      </c>
      <c r="U106" s="1" t="s">
        <v>330</v>
      </c>
      <c r="X106" s="1" t="s">
        <v>345</v>
      </c>
      <c r="Y106" s="1" t="s">
        <v>346</v>
      </c>
      <c r="Z106" s="1">
        <v>1</v>
      </c>
      <c r="AA106" s="3">
        <v>10535.04</v>
      </c>
      <c r="AB106" s="3">
        <v>10535.04</v>
      </c>
      <c r="AC106" s="1" t="str">
        <f>VLOOKUP(A106,[1]Detalle!$D$2:$CW$484,98,FALSE)</f>
        <v>SUC_MEN - Sucursal Mendoza</v>
      </c>
    </row>
    <row r="107" spans="1:29" ht="14.25" customHeight="1" x14ac:dyDescent="0.3">
      <c r="A107" s="1" t="s">
        <v>156</v>
      </c>
      <c r="B107" s="1">
        <v>1624</v>
      </c>
      <c r="C107" s="1" t="s">
        <v>343</v>
      </c>
      <c r="D107" s="1" t="s">
        <v>343</v>
      </c>
      <c r="E107" s="1">
        <v>0.5</v>
      </c>
      <c r="F107" s="1" t="s">
        <v>344</v>
      </c>
      <c r="G107" s="6">
        <v>45846</v>
      </c>
      <c r="H107" s="1">
        <v>10340</v>
      </c>
      <c r="I107" s="1">
        <v>30340</v>
      </c>
      <c r="J107" s="1">
        <v>5338.3999999999987</v>
      </c>
      <c r="K107" s="1">
        <v>14661.6</v>
      </c>
      <c r="L107" s="1">
        <v>15678.4</v>
      </c>
      <c r="M107" s="1">
        <v>101</v>
      </c>
      <c r="N107" s="1">
        <v>29.350544871794892</v>
      </c>
      <c r="O107" s="1">
        <v>277.39052899745252</v>
      </c>
      <c r="P107" s="7">
        <v>45947</v>
      </c>
      <c r="Q107" s="1">
        <v>20000</v>
      </c>
      <c r="R107" s="7">
        <v>46224.390528993063</v>
      </c>
      <c r="S107" s="7">
        <v>46224</v>
      </c>
      <c r="T107" s="7" t="str">
        <f t="shared" si="0"/>
        <v>julio</v>
      </c>
      <c r="U107" s="1" t="s">
        <v>330</v>
      </c>
      <c r="X107" s="1" t="s">
        <v>347</v>
      </c>
      <c r="Y107" s="1" t="s">
        <v>348</v>
      </c>
      <c r="Z107" s="1">
        <v>1</v>
      </c>
      <c r="AA107" s="3">
        <v>19410.240000000002</v>
      </c>
      <c r="AB107" s="3">
        <v>19410.240000000002</v>
      </c>
      <c r="AC107" s="1" t="str">
        <f>VLOOKUP(A107,[1]Detalle!$D$2:$CW$484,98,FALSE)</f>
        <v>SUC_MEN - Sucursal Mendoza</v>
      </c>
    </row>
    <row r="108" spans="1:29" ht="14.25" customHeight="1" x14ac:dyDescent="0.3">
      <c r="A108" s="1" t="s">
        <v>118</v>
      </c>
      <c r="B108" s="1">
        <v>1218</v>
      </c>
      <c r="C108" s="1" t="s">
        <v>343</v>
      </c>
      <c r="D108" s="1" t="s">
        <v>343</v>
      </c>
      <c r="E108" s="1">
        <v>0.5</v>
      </c>
      <c r="F108" s="1" t="s">
        <v>344</v>
      </c>
      <c r="G108" s="6">
        <v>45769</v>
      </c>
      <c r="H108" s="1">
        <v>302541</v>
      </c>
      <c r="I108" s="1">
        <v>322541</v>
      </c>
      <c r="J108" s="1">
        <v>8078.8000000000029</v>
      </c>
      <c r="K108" s="1">
        <v>11921.2</v>
      </c>
      <c r="L108" s="1">
        <v>310619.8</v>
      </c>
      <c r="M108" s="1">
        <v>178</v>
      </c>
      <c r="N108" s="1">
        <v>40.451193548387103</v>
      </c>
      <c r="O108" s="1">
        <v>262.6595038867157</v>
      </c>
      <c r="P108" s="7">
        <v>45947</v>
      </c>
      <c r="Q108" s="1">
        <v>20000</v>
      </c>
      <c r="R108" s="7">
        <v>46209.659503888892</v>
      </c>
      <c r="S108" s="7">
        <v>46209</v>
      </c>
      <c r="T108" s="7" t="str">
        <f t="shared" si="0"/>
        <v>julio</v>
      </c>
      <c r="U108" s="1" t="s">
        <v>330</v>
      </c>
      <c r="X108" s="1" t="s">
        <v>345</v>
      </c>
      <c r="Y108" s="1" t="s">
        <v>346</v>
      </c>
      <c r="Z108" s="1">
        <v>1</v>
      </c>
      <c r="AA108" s="3">
        <v>10535.04</v>
      </c>
      <c r="AB108" s="3">
        <v>10535.04</v>
      </c>
      <c r="AC108" s="1" t="str">
        <f>VLOOKUP(A108,[1]Detalle!$D$2:$CW$484,98,FALSE)</f>
        <v>CCUCoAZA</v>
      </c>
    </row>
    <row r="109" spans="1:29" ht="14.25" customHeight="1" x14ac:dyDescent="0.3">
      <c r="A109" s="1" t="s">
        <v>118</v>
      </c>
      <c r="B109" s="1">
        <v>1218</v>
      </c>
      <c r="C109" s="1" t="s">
        <v>343</v>
      </c>
      <c r="D109" s="1" t="s">
        <v>343</v>
      </c>
      <c r="E109" s="1">
        <v>0.5</v>
      </c>
      <c r="F109" s="1" t="s">
        <v>344</v>
      </c>
      <c r="G109" s="6">
        <v>45769</v>
      </c>
      <c r="H109" s="1">
        <v>302541</v>
      </c>
      <c r="I109" s="1">
        <v>322541</v>
      </c>
      <c r="J109" s="1">
        <v>8078.8000000000029</v>
      </c>
      <c r="K109" s="1">
        <v>11921.2</v>
      </c>
      <c r="L109" s="1">
        <v>310619.8</v>
      </c>
      <c r="M109" s="1">
        <v>178</v>
      </c>
      <c r="N109" s="1">
        <v>40.451193548387103</v>
      </c>
      <c r="O109" s="1">
        <v>262.6595038867157</v>
      </c>
      <c r="P109" s="7">
        <v>45947</v>
      </c>
      <c r="Q109" s="1">
        <v>20000</v>
      </c>
      <c r="R109" s="7">
        <v>46209.659503888892</v>
      </c>
      <c r="S109" s="7">
        <v>46209</v>
      </c>
      <c r="T109" s="7" t="str">
        <f t="shared" si="0"/>
        <v>julio</v>
      </c>
      <c r="U109" s="1" t="s">
        <v>330</v>
      </c>
      <c r="X109" s="1" t="s">
        <v>347</v>
      </c>
      <c r="Y109" s="1" t="s">
        <v>348</v>
      </c>
      <c r="Z109" s="1">
        <v>1</v>
      </c>
      <c r="AA109" s="3">
        <v>19410.240000000002</v>
      </c>
      <c r="AB109" s="3">
        <v>19410.240000000002</v>
      </c>
      <c r="AC109" s="1" t="str">
        <f>VLOOKUP(A109,[1]Detalle!$D$2:$CW$484,98,FALSE)</f>
        <v>CCUCoAZA</v>
      </c>
    </row>
    <row r="110" spans="1:29" ht="14.25" customHeight="1" x14ac:dyDescent="0.3">
      <c r="A110" s="1" t="s">
        <v>119</v>
      </c>
      <c r="B110" s="1">
        <v>1620</v>
      </c>
      <c r="C110" s="1" t="s">
        <v>343</v>
      </c>
      <c r="D110" s="1" t="s">
        <v>343</v>
      </c>
      <c r="E110" s="1">
        <v>0.5</v>
      </c>
      <c r="F110" s="1" t="s">
        <v>344</v>
      </c>
      <c r="G110" s="6">
        <v>45831</v>
      </c>
      <c r="H110" s="1">
        <v>358562</v>
      </c>
      <c r="I110" s="1">
        <v>378562</v>
      </c>
      <c r="J110" s="1">
        <v>10154.9</v>
      </c>
      <c r="K110" s="1">
        <v>9845.1</v>
      </c>
      <c r="L110" s="1">
        <v>368716.9</v>
      </c>
      <c r="M110" s="1">
        <v>116</v>
      </c>
      <c r="N110" s="1">
        <v>95.559666666666672</v>
      </c>
      <c r="O110" s="1">
        <v>112.461136988055</v>
      </c>
      <c r="P110" s="7">
        <v>45947</v>
      </c>
      <c r="Q110" s="1">
        <v>20000</v>
      </c>
      <c r="R110" s="7">
        <v>46059.461136990743</v>
      </c>
      <c r="S110" s="7">
        <v>46059</v>
      </c>
      <c r="T110" s="7" t="str">
        <f t="shared" si="0"/>
        <v>febrero</v>
      </c>
      <c r="U110" s="1" t="s">
        <v>330</v>
      </c>
      <c r="X110" s="1" t="s">
        <v>345</v>
      </c>
      <c r="Y110" s="1" t="s">
        <v>346</v>
      </c>
      <c r="Z110" s="1">
        <v>1</v>
      </c>
      <c r="AA110" s="3">
        <v>10535.04</v>
      </c>
      <c r="AB110" s="3">
        <v>10535.04</v>
      </c>
      <c r="AC110" s="1" t="str">
        <f>VLOOKUP(A110,[1]Detalle!$D$2:$CW$484,98,FALSE)</f>
        <v>SUC_CTC - Sucursal Buenos Aires</v>
      </c>
    </row>
    <row r="111" spans="1:29" ht="14.25" customHeight="1" x14ac:dyDescent="0.3">
      <c r="A111" s="1" t="s">
        <v>119</v>
      </c>
      <c r="B111" s="1">
        <v>1620</v>
      </c>
      <c r="C111" s="1" t="s">
        <v>343</v>
      </c>
      <c r="D111" s="1" t="s">
        <v>343</v>
      </c>
      <c r="E111" s="1">
        <v>0.5</v>
      </c>
      <c r="F111" s="1" t="s">
        <v>344</v>
      </c>
      <c r="G111" s="6">
        <v>45831</v>
      </c>
      <c r="H111" s="1">
        <v>358562</v>
      </c>
      <c r="I111" s="1">
        <v>378562</v>
      </c>
      <c r="J111" s="1">
        <v>10154.9</v>
      </c>
      <c r="K111" s="1">
        <v>9845.1</v>
      </c>
      <c r="L111" s="1">
        <v>368716.9</v>
      </c>
      <c r="M111" s="1">
        <v>116</v>
      </c>
      <c r="N111" s="1">
        <v>95.559666666666672</v>
      </c>
      <c r="O111" s="1">
        <v>112.461136988055</v>
      </c>
      <c r="P111" s="7">
        <v>45947</v>
      </c>
      <c r="Q111" s="1">
        <v>20000</v>
      </c>
      <c r="R111" s="7">
        <v>46059.461136990743</v>
      </c>
      <c r="S111" s="7">
        <v>46059</v>
      </c>
      <c r="T111" s="7" t="str">
        <f t="shared" si="0"/>
        <v>febrero</v>
      </c>
      <c r="U111" s="1" t="s">
        <v>330</v>
      </c>
      <c r="X111" s="1" t="s">
        <v>347</v>
      </c>
      <c r="Y111" s="1" t="s">
        <v>348</v>
      </c>
      <c r="Z111" s="1">
        <v>1</v>
      </c>
      <c r="AA111" s="3">
        <v>19410.240000000002</v>
      </c>
      <c r="AB111" s="3">
        <v>19410.240000000002</v>
      </c>
      <c r="AC111" s="1" t="str">
        <f>VLOOKUP(A111,[1]Detalle!$D$2:$CW$484,98,FALSE)</f>
        <v>SUC_CTC - Sucursal Buenos Aires</v>
      </c>
    </row>
    <row r="112" spans="1:29" ht="14.25" customHeight="1" x14ac:dyDescent="0.3">
      <c r="A112" s="1" t="s">
        <v>123</v>
      </c>
      <c r="B112" s="1">
        <v>1620</v>
      </c>
      <c r="C112" s="1" t="s">
        <v>343</v>
      </c>
      <c r="D112" s="1" t="s">
        <v>343</v>
      </c>
      <c r="E112" s="1">
        <v>0.5</v>
      </c>
      <c r="F112" s="1" t="s">
        <v>344</v>
      </c>
      <c r="G112" s="6">
        <v>45364</v>
      </c>
      <c r="H112" s="1">
        <v>289070</v>
      </c>
      <c r="I112" s="1">
        <v>309070</v>
      </c>
      <c r="J112" s="1">
        <v>33400.049999999952</v>
      </c>
      <c r="K112" s="1">
        <v>-13400.04999999995</v>
      </c>
      <c r="L112" s="1">
        <v>322470.04999999987</v>
      </c>
      <c r="M112" s="1">
        <v>583</v>
      </c>
      <c r="N112" s="1">
        <v>96.824519230769212</v>
      </c>
      <c r="O112" s="1">
        <v>-233.8987261995112</v>
      </c>
      <c r="P112" s="7">
        <v>45947</v>
      </c>
      <c r="Q112" s="1">
        <v>20000</v>
      </c>
      <c r="R112" s="7">
        <v>46153.55924923611</v>
      </c>
      <c r="S112" s="7">
        <v>46153</v>
      </c>
      <c r="T112" s="7" t="str">
        <f t="shared" si="0"/>
        <v>mayo</v>
      </c>
      <c r="U112" s="1" t="s">
        <v>330</v>
      </c>
      <c r="X112" s="1" t="s">
        <v>345</v>
      </c>
      <c r="Y112" s="1" t="s">
        <v>346</v>
      </c>
      <c r="Z112" s="1">
        <v>1</v>
      </c>
      <c r="AA112" s="3">
        <v>10535.04</v>
      </c>
      <c r="AB112" s="3">
        <v>10535.04</v>
      </c>
      <c r="AC112" s="1" t="str">
        <f>VLOOKUP(A112,[1]Detalle!$D$2:$CW$484,98,FALSE)</f>
        <v>SUC_SRA - Sucursal San Rafael</v>
      </c>
    </row>
    <row r="113" spans="1:29" ht="14.25" customHeight="1" x14ac:dyDescent="0.3">
      <c r="A113" s="1" t="s">
        <v>123</v>
      </c>
      <c r="B113" s="1">
        <v>1620</v>
      </c>
      <c r="C113" s="1" t="s">
        <v>343</v>
      </c>
      <c r="D113" s="1" t="s">
        <v>343</v>
      </c>
      <c r="E113" s="1">
        <v>0.5</v>
      </c>
      <c r="F113" s="1" t="s">
        <v>344</v>
      </c>
      <c r="G113" s="6">
        <v>45364</v>
      </c>
      <c r="H113" s="1">
        <v>289070</v>
      </c>
      <c r="I113" s="1">
        <v>309070</v>
      </c>
      <c r="J113" s="1">
        <v>33400.049999999952</v>
      </c>
      <c r="K113" s="1">
        <v>-13400.04999999995</v>
      </c>
      <c r="L113" s="1">
        <v>322470.04999999987</v>
      </c>
      <c r="M113" s="1">
        <v>583</v>
      </c>
      <c r="N113" s="1">
        <v>96.824519230769212</v>
      </c>
      <c r="O113" s="1">
        <v>-233.8987261995112</v>
      </c>
      <c r="P113" s="7">
        <v>45947</v>
      </c>
      <c r="Q113" s="1">
        <v>20000</v>
      </c>
      <c r="R113" s="7">
        <v>46153.55924923611</v>
      </c>
      <c r="S113" s="7">
        <v>46153</v>
      </c>
      <c r="T113" s="7" t="str">
        <f t="shared" si="0"/>
        <v>mayo</v>
      </c>
      <c r="U113" s="1" t="s">
        <v>330</v>
      </c>
      <c r="X113" s="1" t="s">
        <v>347</v>
      </c>
      <c r="Y113" s="1" t="s">
        <v>348</v>
      </c>
      <c r="Z113" s="1">
        <v>1</v>
      </c>
      <c r="AA113" s="3">
        <v>19410.240000000002</v>
      </c>
      <c r="AB113" s="3">
        <v>19410.240000000002</v>
      </c>
      <c r="AC113" s="1" t="str">
        <f>VLOOKUP(A113,[1]Detalle!$D$2:$CW$484,98,FALSE)</f>
        <v>SUC_SRA - Sucursal San Rafael</v>
      </c>
    </row>
    <row r="114" spans="1:29" ht="14.25" customHeight="1" x14ac:dyDescent="0.3">
      <c r="A114" s="1" t="s">
        <v>111</v>
      </c>
      <c r="B114" s="1">
        <v>710</v>
      </c>
      <c r="C114" s="1" t="s">
        <v>343</v>
      </c>
      <c r="D114" s="1" t="s">
        <v>343</v>
      </c>
      <c r="E114" s="1">
        <v>0.5</v>
      </c>
      <c r="F114" s="1" t="s">
        <v>344</v>
      </c>
      <c r="G114" s="6">
        <v>45632</v>
      </c>
      <c r="H114" s="1">
        <v>16040</v>
      </c>
      <c r="I114" s="1">
        <v>36040</v>
      </c>
      <c r="J114" s="1">
        <v>34694.100000000013</v>
      </c>
      <c r="K114" s="1">
        <v>-14694.100000000009</v>
      </c>
      <c r="L114" s="1">
        <v>50734.100000000013</v>
      </c>
      <c r="M114" s="1">
        <v>315</v>
      </c>
      <c r="N114" s="1">
        <v>104.473717948718</v>
      </c>
      <c r="O114" s="1">
        <v>-133.41292899945529</v>
      </c>
      <c r="P114" s="7">
        <v>45947</v>
      </c>
      <c r="Q114" s="1">
        <v>20000</v>
      </c>
      <c r="R114" s="7">
        <v>46138.435706435193</v>
      </c>
      <c r="S114" s="7">
        <v>46138</v>
      </c>
      <c r="T114" s="7" t="str">
        <f t="shared" si="0"/>
        <v>abril</v>
      </c>
      <c r="U114" s="1" t="s">
        <v>330</v>
      </c>
      <c r="X114" s="1" t="s">
        <v>345</v>
      </c>
      <c r="Y114" s="1" t="s">
        <v>346</v>
      </c>
      <c r="Z114" s="1">
        <v>1</v>
      </c>
      <c r="AA114" s="3">
        <v>10535.04</v>
      </c>
      <c r="AB114" s="3">
        <v>10535.04</v>
      </c>
      <c r="AC114" s="1" t="str">
        <f>VLOOKUP(A114,[1]Detalle!$D$2:$CW$484,98,FALSE)</f>
        <v>SUC_MEN - Sucursal Mendoza</v>
      </c>
    </row>
    <row r="115" spans="1:29" ht="14.25" customHeight="1" x14ac:dyDescent="0.3">
      <c r="A115" s="1" t="s">
        <v>111</v>
      </c>
      <c r="B115" s="1">
        <v>710</v>
      </c>
      <c r="C115" s="1" t="s">
        <v>343</v>
      </c>
      <c r="D115" s="1" t="s">
        <v>343</v>
      </c>
      <c r="E115" s="1">
        <v>0.5</v>
      </c>
      <c r="F115" s="1" t="s">
        <v>344</v>
      </c>
      <c r="G115" s="6">
        <v>45632</v>
      </c>
      <c r="H115" s="1">
        <v>16040</v>
      </c>
      <c r="I115" s="1">
        <v>36040</v>
      </c>
      <c r="J115" s="1">
        <v>34694.100000000013</v>
      </c>
      <c r="K115" s="1">
        <v>-14694.100000000009</v>
      </c>
      <c r="L115" s="1">
        <v>50734.100000000013</v>
      </c>
      <c r="M115" s="1">
        <v>315</v>
      </c>
      <c r="N115" s="1">
        <v>104.473717948718</v>
      </c>
      <c r="O115" s="1">
        <v>-133.41292899945529</v>
      </c>
      <c r="P115" s="7">
        <v>45947</v>
      </c>
      <c r="Q115" s="1">
        <v>20000</v>
      </c>
      <c r="R115" s="7">
        <v>46138.435706435193</v>
      </c>
      <c r="S115" s="7">
        <v>46138</v>
      </c>
      <c r="T115" s="7" t="str">
        <f t="shared" si="0"/>
        <v>abril</v>
      </c>
      <c r="U115" s="1" t="s">
        <v>330</v>
      </c>
      <c r="X115" s="1" t="s">
        <v>347</v>
      </c>
      <c r="Y115" s="1" t="s">
        <v>348</v>
      </c>
      <c r="Z115" s="1">
        <v>1</v>
      </c>
      <c r="AA115" s="3">
        <v>19410.240000000002</v>
      </c>
      <c r="AB115" s="3">
        <v>19410.240000000002</v>
      </c>
      <c r="AC115" s="1" t="str">
        <f>VLOOKUP(A115,[1]Detalle!$D$2:$CW$484,98,FALSE)</f>
        <v>SUC_MEN - Sucursal Mendoza</v>
      </c>
    </row>
    <row r="116" spans="1:29" ht="14.25" customHeight="1" x14ac:dyDescent="0.3">
      <c r="A116" s="1" t="s">
        <v>135</v>
      </c>
      <c r="B116" s="1">
        <v>1624</v>
      </c>
      <c r="C116" s="1" t="s">
        <v>343</v>
      </c>
      <c r="D116" s="1" t="s">
        <v>343</v>
      </c>
      <c r="E116" s="1">
        <v>0.5</v>
      </c>
      <c r="F116" s="1" t="s">
        <v>344</v>
      </c>
      <c r="G116" s="6">
        <v>45812</v>
      </c>
      <c r="H116" s="1">
        <v>176121</v>
      </c>
      <c r="I116" s="1">
        <v>196121</v>
      </c>
      <c r="J116" s="1">
        <v>5745.4000000000005</v>
      </c>
      <c r="K116" s="1">
        <v>14254.6</v>
      </c>
      <c r="L116" s="1">
        <v>181866.4</v>
      </c>
      <c r="M116" s="1">
        <v>135</v>
      </c>
      <c r="N116" s="1">
        <v>35.012605863192178</v>
      </c>
      <c r="O116" s="1">
        <v>334.94117032756628</v>
      </c>
      <c r="P116" s="7">
        <v>45947</v>
      </c>
      <c r="Q116" s="1">
        <v>20000</v>
      </c>
      <c r="R116" s="7">
        <v>46281.941170324077</v>
      </c>
      <c r="S116" s="7">
        <v>46281</v>
      </c>
      <c r="T116" s="7" t="str">
        <f t="shared" si="0"/>
        <v>septiembre</v>
      </c>
      <c r="U116" s="1" t="s">
        <v>330</v>
      </c>
      <c r="X116" s="1" t="s">
        <v>345</v>
      </c>
      <c r="Y116" s="1" t="s">
        <v>346</v>
      </c>
      <c r="Z116" s="1">
        <v>1</v>
      </c>
      <c r="AA116" s="3">
        <v>10535.04</v>
      </c>
      <c r="AB116" s="3">
        <v>10535.04</v>
      </c>
      <c r="AC116" s="1" t="str">
        <f>VLOOKUP(A116,[1]Detalle!$D$2:$CW$484,98,FALSE)</f>
        <v>CCUCoAZA</v>
      </c>
    </row>
    <row r="117" spans="1:29" ht="14.25" customHeight="1" x14ac:dyDescent="0.3">
      <c r="A117" s="1" t="s">
        <v>135</v>
      </c>
      <c r="B117" s="1">
        <v>1624</v>
      </c>
      <c r="C117" s="1" t="s">
        <v>343</v>
      </c>
      <c r="D117" s="1" t="s">
        <v>343</v>
      </c>
      <c r="E117" s="1">
        <v>0.5</v>
      </c>
      <c r="F117" s="1" t="s">
        <v>344</v>
      </c>
      <c r="G117" s="6">
        <v>45812</v>
      </c>
      <c r="H117" s="1">
        <v>176121</v>
      </c>
      <c r="I117" s="1">
        <v>196121</v>
      </c>
      <c r="J117" s="1">
        <v>5745.4000000000005</v>
      </c>
      <c r="K117" s="1">
        <v>14254.6</v>
      </c>
      <c r="L117" s="1">
        <v>181866.4</v>
      </c>
      <c r="M117" s="1">
        <v>135</v>
      </c>
      <c r="N117" s="1">
        <v>35.012605863192178</v>
      </c>
      <c r="O117" s="1">
        <v>334.94117032756628</v>
      </c>
      <c r="P117" s="7">
        <v>45947</v>
      </c>
      <c r="Q117" s="1">
        <v>20000</v>
      </c>
      <c r="R117" s="7">
        <v>46281.941170324077</v>
      </c>
      <c r="S117" s="7">
        <v>46281</v>
      </c>
      <c r="T117" s="7" t="str">
        <f t="shared" si="0"/>
        <v>septiembre</v>
      </c>
      <c r="U117" s="1" t="s">
        <v>330</v>
      </c>
      <c r="X117" s="1" t="s">
        <v>347</v>
      </c>
      <c r="Y117" s="1" t="s">
        <v>348</v>
      </c>
      <c r="Z117" s="1">
        <v>1</v>
      </c>
      <c r="AA117" s="3">
        <v>19410.240000000002</v>
      </c>
      <c r="AB117" s="3">
        <v>19410.240000000002</v>
      </c>
      <c r="AC117" s="1" t="str">
        <f>VLOOKUP(A117,[1]Detalle!$D$2:$CW$484,98,FALSE)</f>
        <v>CCUCoAZA</v>
      </c>
    </row>
    <row r="118" spans="1:29" ht="14.25" customHeight="1" x14ac:dyDescent="0.3">
      <c r="A118" s="1" t="s">
        <v>182</v>
      </c>
      <c r="B118" s="1" t="s">
        <v>351</v>
      </c>
      <c r="C118" s="1" t="s">
        <v>343</v>
      </c>
      <c r="D118" s="1" t="s">
        <v>343</v>
      </c>
      <c r="E118" s="1">
        <v>0.5</v>
      </c>
      <c r="F118" s="1" t="s">
        <v>344</v>
      </c>
      <c r="G118" s="6">
        <v>45748</v>
      </c>
      <c r="H118" s="1">
        <v>11411.6</v>
      </c>
      <c r="I118" s="1">
        <v>31411.599999999999</v>
      </c>
      <c r="J118" s="1">
        <v>6802.9000000000024</v>
      </c>
      <c r="K118" s="1">
        <v>13197.1</v>
      </c>
      <c r="L118" s="1">
        <v>18214.5</v>
      </c>
      <c r="M118" s="1">
        <v>199</v>
      </c>
      <c r="N118" s="1">
        <v>28.6028387096774</v>
      </c>
      <c r="O118" s="1">
        <v>386.04461332666932</v>
      </c>
      <c r="P118" s="7">
        <v>45947</v>
      </c>
      <c r="Q118" s="1">
        <v>20000</v>
      </c>
      <c r="R118" s="7">
        <v>46333.044613321763</v>
      </c>
      <c r="S118" s="7">
        <v>46333</v>
      </c>
      <c r="T118" s="7" t="str">
        <f t="shared" si="0"/>
        <v>noviembre</v>
      </c>
      <c r="U118" s="1" t="s">
        <v>330</v>
      </c>
      <c r="X118" s="1" t="s">
        <v>345</v>
      </c>
      <c r="Y118" s="1" t="s">
        <v>346</v>
      </c>
      <c r="Z118" s="1">
        <v>1</v>
      </c>
      <c r="AA118" s="3">
        <v>10535.04</v>
      </c>
      <c r="AB118" s="3">
        <v>10535.04</v>
      </c>
      <c r="AC118" s="1" t="str">
        <f>VLOOKUP(A118,[1]Detalle!$D$2:$CW$484,98,FALSE)</f>
        <v>CCU_MZA - Comp. Cerv. Unidas - MZA</v>
      </c>
    </row>
    <row r="119" spans="1:29" ht="14.25" customHeight="1" x14ac:dyDescent="0.3">
      <c r="A119" s="1" t="s">
        <v>182</v>
      </c>
      <c r="B119" s="1" t="s">
        <v>351</v>
      </c>
      <c r="C119" s="1" t="s">
        <v>343</v>
      </c>
      <c r="D119" s="1" t="s">
        <v>343</v>
      </c>
      <c r="E119" s="1">
        <v>0.5</v>
      </c>
      <c r="F119" s="1" t="s">
        <v>344</v>
      </c>
      <c r="G119" s="6">
        <v>45748</v>
      </c>
      <c r="H119" s="1">
        <v>11411.6</v>
      </c>
      <c r="I119" s="1">
        <v>31411.599999999999</v>
      </c>
      <c r="J119" s="1">
        <v>6802.9000000000024</v>
      </c>
      <c r="K119" s="1">
        <v>13197.1</v>
      </c>
      <c r="L119" s="1">
        <v>18214.5</v>
      </c>
      <c r="M119" s="1">
        <v>199</v>
      </c>
      <c r="N119" s="1">
        <v>28.6028387096774</v>
      </c>
      <c r="O119" s="1">
        <v>386.04461332666932</v>
      </c>
      <c r="P119" s="7">
        <v>45947</v>
      </c>
      <c r="Q119" s="1">
        <v>20000</v>
      </c>
      <c r="R119" s="7">
        <v>46333.044613321763</v>
      </c>
      <c r="S119" s="7">
        <v>46333</v>
      </c>
      <c r="T119" s="7" t="str">
        <f t="shared" si="0"/>
        <v>noviembre</v>
      </c>
      <c r="U119" s="1" t="s">
        <v>330</v>
      </c>
      <c r="X119" s="1" t="s">
        <v>347</v>
      </c>
      <c r="Y119" s="1" t="s">
        <v>348</v>
      </c>
      <c r="Z119" s="1">
        <v>1</v>
      </c>
      <c r="AA119" s="3">
        <v>19410.240000000002</v>
      </c>
      <c r="AB119" s="3">
        <v>19410.240000000002</v>
      </c>
      <c r="AC119" s="1" t="str">
        <f>VLOOKUP(A119,[1]Detalle!$D$2:$CW$484,98,FALSE)</f>
        <v>CCU_MZA - Comp. Cerv. Unidas - MZA</v>
      </c>
    </row>
    <row r="120" spans="1:29" ht="14.25" customHeight="1" x14ac:dyDescent="0.3">
      <c r="A120" s="1" t="s">
        <v>137</v>
      </c>
      <c r="B120" s="1">
        <v>1624</v>
      </c>
      <c r="C120" s="1" t="s">
        <v>343</v>
      </c>
      <c r="D120" s="1" t="s">
        <v>343</v>
      </c>
      <c r="E120" s="1">
        <v>0.5</v>
      </c>
      <c r="F120" s="1" t="s">
        <v>344</v>
      </c>
      <c r="G120" s="6">
        <v>45813</v>
      </c>
      <c r="H120" s="1">
        <v>230027</v>
      </c>
      <c r="I120" s="1">
        <v>250027</v>
      </c>
      <c r="J120" s="1">
        <v>5321.3000000000011</v>
      </c>
      <c r="K120" s="1">
        <v>14678.7</v>
      </c>
      <c r="L120" s="1">
        <v>235348.3</v>
      </c>
      <c r="M120" s="1">
        <v>134</v>
      </c>
      <c r="N120" s="1">
        <v>37.879290322580637</v>
      </c>
      <c r="O120" s="1">
        <v>369.63632946836287</v>
      </c>
      <c r="P120" s="7">
        <v>45947</v>
      </c>
      <c r="Q120" s="1">
        <v>20000</v>
      </c>
      <c r="R120" s="7">
        <v>46316.63632946759</v>
      </c>
      <c r="S120" s="7">
        <v>46316</v>
      </c>
      <c r="T120" s="7" t="str">
        <f t="shared" si="0"/>
        <v>octubre</v>
      </c>
      <c r="U120" s="1" t="s">
        <v>330</v>
      </c>
      <c r="X120" s="1" t="s">
        <v>345</v>
      </c>
      <c r="Y120" s="1" t="s">
        <v>346</v>
      </c>
      <c r="Z120" s="1">
        <v>1</v>
      </c>
      <c r="AA120" s="3">
        <v>10535.04</v>
      </c>
      <c r="AB120" s="3">
        <v>10535.04</v>
      </c>
      <c r="AC120" s="1" t="str">
        <f>VLOOKUP(A120,[1]Detalle!$D$2:$CW$484,98,FALSE)</f>
        <v>CCUDyAZA</v>
      </c>
    </row>
    <row r="121" spans="1:29" ht="14.25" customHeight="1" x14ac:dyDescent="0.3">
      <c r="A121" s="1" t="s">
        <v>137</v>
      </c>
      <c r="B121" s="1">
        <v>1624</v>
      </c>
      <c r="C121" s="1" t="s">
        <v>343</v>
      </c>
      <c r="D121" s="1" t="s">
        <v>343</v>
      </c>
      <c r="E121" s="1">
        <v>0.5</v>
      </c>
      <c r="F121" s="1" t="s">
        <v>344</v>
      </c>
      <c r="G121" s="6">
        <v>45813</v>
      </c>
      <c r="H121" s="1">
        <v>230027</v>
      </c>
      <c r="I121" s="1">
        <v>250027</v>
      </c>
      <c r="J121" s="1">
        <v>5321.3000000000011</v>
      </c>
      <c r="K121" s="1">
        <v>14678.7</v>
      </c>
      <c r="L121" s="1">
        <v>235348.3</v>
      </c>
      <c r="M121" s="1">
        <v>134</v>
      </c>
      <c r="N121" s="1">
        <v>37.879290322580637</v>
      </c>
      <c r="O121" s="1">
        <v>369.63632946836287</v>
      </c>
      <c r="P121" s="7">
        <v>45947</v>
      </c>
      <c r="Q121" s="1">
        <v>20000</v>
      </c>
      <c r="R121" s="7">
        <v>46316.63632946759</v>
      </c>
      <c r="S121" s="7">
        <v>46316</v>
      </c>
      <c r="T121" s="7" t="str">
        <f t="shared" si="0"/>
        <v>octubre</v>
      </c>
      <c r="U121" s="1" t="s">
        <v>330</v>
      </c>
      <c r="X121" s="1" t="s">
        <v>347</v>
      </c>
      <c r="Y121" s="1" t="s">
        <v>348</v>
      </c>
      <c r="Z121" s="1">
        <v>1</v>
      </c>
      <c r="AA121" s="3">
        <v>19410.240000000002</v>
      </c>
      <c r="AB121" s="3">
        <v>19410.240000000002</v>
      </c>
      <c r="AC121" s="1" t="str">
        <f>VLOOKUP(A121,[1]Detalle!$D$2:$CW$484,98,FALSE)</f>
        <v>CCUDyAZA</v>
      </c>
    </row>
    <row r="122" spans="1:29" ht="14.25" customHeight="1" x14ac:dyDescent="0.3">
      <c r="A122" s="1" t="s">
        <v>139</v>
      </c>
      <c r="B122" s="1">
        <v>1624</v>
      </c>
      <c r="C122" s="1" t="s">
        <v>343</v>
      </c>
      <c r="D122" s="1" t="s">
        <v>343</v>
      </c>
      <c r="E122" s="1">
        <v>0.5</v>
      </c>
      <c r="F122" s="1" t="s">
        <v>344</v>
      </c>
      <c r="G122" s="6">
        <v>45744</v>
      </c>
      <c r="H122" s="1">
        <v>298685</v>
      </c>
      <c r="I122" s="1">
        <v>318685</v>
      </c>
      <c r="J122" s="1">
        <v>8864.1</v>
      </c>
      <c r="K122" s="1">
        <v>11135.9</v>
      </c>
      <c r="L122" s="1">
        <v>307549.09999999998</v>
      </c>
      <c r="M122" s="1">
        <v>203</v>
      </c>
      <c r="N122" s="1">
        <v>39.137363344051472</v>
      </c>
      <c r="O122" s="1">
        <v>255.02732369896549</v>
      </c>
      <c r="P122" s="7">
        <v>45947</v>
      </c>
      <c r="Q122" s="1">
        <v>20000</v>
      </c>
      <c r="R122" s="7">
        <v>46202.027323703704</v>
      </c>
      <c r="S122" s="7">
        <v>46202</v>
      </c>
      <c r="T122" s="7" t="str">
        <f t="shared" si="0"/>
        <v>junio</v>
      </c>
      <c r="U122" s="1" t="s">
        <v>330</v>
      </c>
      <c r="X122" s="1" t="s">
        <v>345</v>
      </c>
      <c r="Y122" s="1" t="s">
        <v>346</v>
      </c>
      <c r="Z122" s="1">
        <v>1</v>
      </c>
      <c r="AA122" s="3">
        <v>10535.04</v>
      </c>
      <c r="AB122" s="3">
        <v>10535.04</v>
      </c>
      <c r="AC122" s="1" t="str">
        <f>VLOOKUP(A122,[1]Detalle!$D$2:$CW$484,98,FALSE)</f>
        <v>CCUDyAZA</v>
      </c>
    </row>
    <row r="123" spans="1:29" ht="14.25" customHeight="1" x14ac:dyDescent="0.3">
      <c r="A123" s="1" t="s">
        <v>139</v>
      </c>
      <c r="B123" s="1">
        <v>1624</v>
      </c>
      <c r="C123" s="1" t="s">
        <v>343</v>
      </c>
      <c r="D123" s="1" t="s">
        <v>343</v>
      </c>
      <c r="E123" s="1">
        <v>0.5</v>
      </c>
      <c r="F123" s="1" t="s">
        <v>344</v>
      </c>
      <c r="G123" s="6">
        <v>45744</v>
      </c>
      <c r="H123" s="1">
        <v>298685</v>
      </c>
      <c r="I123" s="1">
        <v>318685</v>
      </c>
      <c r="J123" s="1">
        <v>8864.1</v>
      </c>
      <c r="K123" s="1">
        <v>11135.9</v>
      </c>
      <c r="L123" s="1">
        <v>307549.09999999998</v>
      </c>
      <c r="M123" s="1">
        <v>203</v>
      </c>
      <c r="N123" s="1">
        <v>39.137363344051472</v>
      </c>
      <c r="O123" s="1">
        <v>255.02732369896549</v>
      </c>
      <c r="P123" s="7">
        <v>45947</v>
      </c>
      <c r="Q123" s="1">
        <v>20000</v>
      </c>
      <c r="R123" s="7">
        <v>46202.027323703704</v>
      </c>
      <c r="S123" s="7">
        <v>46202</v>
      </c>
      <c r="T123" s="7" t="str">
        <f t="shared" si="0"/>
        <v>junio</v>
      </c>
      <c r="U123" s="1" t="s">
        <v>330</v>
      </c>
      <c r="X123" s="1" t="s">
        <v>347</v>
      </c>
      <c r="Y123" s="1" t="s">
        <v>348</v>
      </c>
      <c r="Z123" s="1">
        <v>1</v>
      </c>
      <c r="AA123" s="3">
        <v>19410.240000000002</v>
      </c>
      <c r="AB123" s="3">
        <v>19410.240000000002</v>
      </c>
      <c r="AC123" s="1" t="str">
        <f>VLOOKUP(A123,[1]Detalle!$D$2:$CW$484,98,FALSE)</f>
        <v>CCUDyAZA</v>
      </c>
    </row>
    <row r="124" spans="1:29" ht="14.25" customHeight="1" x14ac:dyDescent="0.3">
      <c r="A124" s="1" t="s">
        <v>210</v>
      </c>
      <c r="B124" s="1" t="s">
        <v>340</v>
      </c>
      <c r="C124" s="1" t="s">
        <v>343</v>
      </c>
      <c r="D124" s="1" t="s">
        <v>343</v>
      </c>
      <c r="E124" s="1">
        <v>0.5</v>
      </c>
      <c r="F124" s="1" t="s">
        <v>344</v>
      </c>
      <c r="G124" s="6">
        <v>45603</v>
      </c>
      <c r="H124" s="1">
        <v>342438</v>
      </c>
      <c r="I124" s="1">
        <v>362438</v>
      </c>
      <c r="J124" s="1">
        <v>22886.28</v>
      </c>
      <c r="K124" s="1">
        <v>-2886.280000000002</v>
      </c>
      <c r="L124" s="1">
        <v>365324.28</v>
      </c>
      <c r="M124" s="1">
        <v>344</v>
      </c>
      <c r="N124" s="1">
        <v>66.651970260223024</v>
      </c>
      <c r="O124" s="1">
        <v>-43.383211251457233</v>
      </c>
      <c r="P124" s="7">
        <v>45947</v>
      </c>
      <c r="Q124" s="1">
        <v>20000</v>
      </c>
      <c r="R124" s="7">
        <v>46247.066148414349</v>
      </c>
      <c r="S124" s="7">
        <v>46247</v>
      </c>
      <c r="T124" s="7" t="str">
        <f t="shared" si="0"/>
        <v>agosto</v>
      </c>
      <c r="U124" s="1" t="s">
        <v>330</v>
      </c>
      <c r="X124" s="1" t="s">
        <v>345</v>
      </c>
      <c r="Y124" s="1" t="s">
        <v>346</v>
      </c>
      <c r="Z124" s="1">
        <v>1</v>
      </c>
      <c r="AA124" s="3">
        <v>10535.04</v>
      </c>
      <c r="AB124" s="3">
        <v>10535.04</v>
      </c>
      <c r="AC124" s="1" t="str">
        <f>VLOOKUP(A124,[1]Detalle!$D$2:$CW$484,98,FALSE)</f>
        <v>Topacio</v>
      </c>
    </row>
    <row r="125" spans="1:29" ht="14.25" customHeight="1" x14ac:dyDescent="0.3">
      <c r="A125" s="1" t="s">
        <v>210</v>
      </c>
      <c r="B125" s="1" t="s">
        <v>340</v>
      </c>
      <c r="C125" s="1" t="s">
        <v>343</v>
      </c>
      <c r="D125" s="1" t="s">
        <v>343</v>
      </c>
      <c r="E125" s="1">
        <v>0.5</v>
      </c>
      <c r="F125" s="1" t="s">
        <v>344</v>
      </c>
      <c r="G125" s="6">
        <v>45603</v>
      </c>
      <c r="H125" s="1">
        <v>342438</v>
      </c>
      <c r="I125" s="1">
        <v>362438</v>
      </c>
      <c r="J125" s="1">
        <v>22886.28</v>
      </c>
      <c r="K125" s="1">
        <v>-2886.280000000002</v>
      </c>
      <c r="L125" s="1">
        <v>365324.28</v>
      </c>
      <c r="M125" s="1">
        <v>344</v>
      </c>
      <c r="N125" s="1">
        <v>66.651970260223024</v>
      </c>
      <c r="O125" s="1">
        <v>-43.383211251457233</v>
      </c>
      <c r="P125" s="7">
        <v>45947</v>
      </c>
      <c r="Q125" s="1">
        <v>20000</v>
      </c>
      <c r="R125" s="7">
        <v>46247.066148414349</v>
      </c>
      <c r="S125" s="7">
        <v>46247</v>
      </c>
      <c r="T125" s="7" t="str">
        <f t="shared" si="0"/>
        <v>agosto</v>
      </c>
      <c r="U125" s="1" t="s">
        <v>330</v>
      </c>
      <c r="X125" s="1" t="s">
        <v>347</v>
      </c>
      <c r="Y125" s="1" t="s">
        <v>348</v>
      </c>
      <c r="Z125" s="1">
        <v>1</v>
      </c>
      <c r="AA125" s="3">
        <v>19410.240000000002</v>
      </c>
      <c r="AB125" s="3">
        <v>19410.240000000002</v>
      </c>
      <c r="AC125" s="1" t="str">
        <f>VLOOKUP(A125,[1]Detalle!$D$2:$CW$484,98,FALSE)</f>
        <v>Topacio</v>
      </c>
    </row>
    <row r="126" spans="1:29" ht="14.25" customHeight="1" x14ac:dyDescent="0.3">
      <c r="A126" s="1" t="s">
        <v>143</v>
      </c>
      <c r="B126" s="1">
        <v>1624</v>
      </c>
      <c r="C126" s="1" t="s">
        <v>343</v>
      </c>
      <c r="D126" s="1" t="s">
        <v>343</v>
      </c>
      <c r="E126" s="1">
        <v>0.5</v>
      </c>
      <c r="F126" s="1" t="s">
        <v>344</v>
      </c>
      <c r="G126" s="6">
        <v>45912</v>
      </c>
      <c r="H126" s="1">
        <v>723287</v>
      </c>
      <c r="I126" s="1">
        <v>743287</v>
      </c>
      <c r="J126" s="1">
        <v>0</v>
      </c>
      <c r="K126" s="1">
        <v>20000</v>
      </c>
      <c r="L126" s="1">
        <v>723287</v>
      </c>
      <c r="M126" s="1">
        <v>35</v>
      </c>
      <c r="N126" s="1">
        <v>1.7600651465798041</v>
      </c>
      <c r="O126" s="1">
        <v>200</v>
      </c>
      <c r="P126" s="7">
        <v>45947</v>
      </c>
      <c r="Q126" s="1">
        <v>20000</v>
      </c>
      <c r="R126" s="7">
        <v>46147</v>
      </c>
      <c r="S126" s="7">
        <v>46147</v>
      </c>
      <c r="T126" s="7" t="str">
        <f t="shared" si="0"/>
        <v>mayo</v>
      </c>
      <c r="U126" s="1" t="s">
        <v>330</v>
      </c>
      <c r="X126" s="1" t="s">
        <v>345</v>
      </c>
      <c r="Y126" s="1" t="s">
        <v>346</v>
      </c>
      <c r="Z126" s="1">
        <v>1</v>
      </c>
      <c r="AA126" s="3">
        <v>10535.04</v>
      </c>
      <c r="AB126" s="3">
        <v>10535.04</v>
      </c>
      <c r="AC126" s="1" t="str">
        <f>VLOOKUP(A126,[1]Detalle!$D$2:$CW$484,98,FALSE)</f>
        <v>CENCO_MZ - Cencosud SA - Mendoza</v>
      </c>
    </row>
    <row r="127" spans="1:29" ht="14.25" customHeight="1" x14ac:dyDescent="0.3">
      <c r="A127" s="1" t="s">
        <v>143</v>
      </c>
      <c r="B127" s="1">
        <v>1624</v>
      </c>
      <c r="C127" s="1" t="s">
        <v>343</v>
      </c>
      <c r="D127" s="1" t="s">
        <v>343</v>
      </c>
      <c r="E127" s="1">
        <v>0.5</v>
      </c>
      <c r="F127" s="1" t="s">
        <v>344</v>
      </c>
      <c r="G127" s="6">
        <v>45912</v>
      </c>
      <c r="H127" s="1">
        <v>723287</v>
      </c>
      <c r="I127" s="1">
        <v>743287</v>
      </c>
      <c r="J127" s="1">
        <v>0</v>
      </c>
      <c r="K127" s="1">
        <v>20000</v>
      </c>
      <c r="L127" s="1">
        <v>723287</v>
      </c>
      <c r="M127" s="1">
        <v>35</v>
      </c>
      <c r="N127" s="1">
        <v>1.7600651465798041</v>
      </c>
      <c r="O127" s="1">
        <v>200</v>
      </c>
      <c r="P127" s="7">
        <v>45947</v>
      </c>
      <c r="Q127" s="1">
        <v>20000</v>
      </c>
      <c r="R127" s="7">
        <v>46147</v>
      </c>
      <c r="S127" s="7">
        <v>46147</v>
      </c>
      <c r="T127" s="7" t="str">
        <f t="shared" si="0"/>
        <v>mayo</v>
      </c>
      <c r="U127" s="1" t="s">
        <v>330</v>
      </c>
      <c r="X127" s="1" t="s">
        <v>347</v>
      </c>
      <c r="Y127" s="1" t="s">
        <v>348</v>
      </c>
      <c r="Z127" s="1">
        <v>1</v>
      </c>
      <c r="AA127" s="3">
        <v>19410.240000000002</v>
      </c>
      <c r="AB127" s="3">
        <v>19410.240000000002</v>
      </c>
      <c r="AC127" s="1" t="str">
        <f>VLOOKUP(A127,[1]Detalle!$D$2:$CW$484,98,FALSE)</f>
        <v>CENCO_MZ - Cencosud SA - Mendoza</v>
      </c>
    </row>
    <row r="128" spans="1:29" ht="14.25" customHeight="1" x14ac:dyDescent="0.3">
      <c r="A128" s="1" t="s">
        <v>153</v>
      </c>
      <c r="B128" s="1">
        <v>1624</v>
      </c>
      <c r="C128" s="1" t="s">
        <v>343</v>
      </c>
      <c r="D128" s="1" t="s">
        <v>343</v>
      </c>
      <c r="E128" s="1">
        <v>0.5</v>
      </c>
      <c r="F128" s="1" t="s">
        <v>344</v>
      </c>
      <c r="G128" s="6">
        <v>45908</v>
      </c>
      <c r="H128" s="1">
        <v>82173.399999999994</v>
      </c>
      <c r="I128" s="1">
        <v>102173.4</v>
      </c>
      <c r="J128" s="1">
        <v>5556.5</v>
      </c>
      <c r="K128" s="1">
        <v>14443.5</v>
      </c>
      <c r="L128" s="1">
        <v>87729.9</v>
      </c>
      <c r="M128" s="1">
        <v>39</v>
      </c>
      <c r="N128" s="1">
        <v>215.45547231270371</v>
      </c>
      <c r="O128" s="1">
        <v>101.37613605687029</v>
      </c>
      <c r="P128" s="7">
        <v>45947</v>
      </c>
      <c r="Q128" s="1">
        <v>20000</v>
      </c>
      <c r="R128" s="7">
        <v>46048.376136053237</v>
      </c>
      <c r="S128" s="7">
        <v>46048</v>
      </c>
      <c r="T128" s="7" t="str">
        <f t="shared" si="0"/>
        <v>enero</v>
      </c>
      <c r="U128" s="1" t="s">
        <v>330</v>
      </c>
      <c r="X128" s="1" t="s">
        <v>345</v>
      </c>
      <c r="Y128" s="1" t="s">
        <v>346</v>
      </c>
      <c r="Z128" s="1">
        <v>1</v>
      </c>
      <c r="AA128" s="3">
        <v>10535.04</v>
      </c>
      <c r="AB128" s="3">
        <v>10535.04</v>
      </c>
      <c r="AC128" s="1" t="str">
        <f>VLOOKUP(A128,[1]Detalle!$D$2:$CW$484,98,FALSE)</f>
        <v>Expreso - Servicios Troncales</v>
      </c>
    </row>
    <row r="129" spans="1:29" ht="14.25" customHeight="1" x14ac:dyDescent="0.3">
      <c r="A129" s="1" t="s">
        <v>153</v>
      </c>
      <c r="B129" s="1">
        <v>1624</v>
      </c>
      <c r="C129" s="1" t="s">
        <v>343</v>
      </c>
      <c r="D129" s="1" t="s">
        <v>343</v>
      </c>
      <c r="E129" s="1">
        <v>0.5</v>
      </c>
      <c r="F129" s="1" t="s">
        <v>344</v>
      </c>
      <c r="G129" s="6">
        <v>45908</v>
      </c>
      <c r="H129" s="1">
        <v>82173.399999999994</v>
      </c>
      <c r="I129" s="1">
        <v>102173.4</v>
      </c>
      <c r="J129" s="1">
        <v>5556.5</v>
      </c>
      <c r="K129" s="1">
        <v>14443.5</v>
      </c>
      <c r="L129" s="1">
        <v>87729.9</v>
      </c>
      <c r="M129" s="1">
        <v>39</v>
      </c>
      <c r="N129" s="1">
        <v>215.45547231270371</v>
      </c>
      <c r="O129" s="1">
        <v>101.37613605687029</v>
      </c>
      <c r="P129" s="7">
        <v>45947</v>
      </c>
      <c r="Q129" s="1">
        <v>20000</v>
      </c>
      <c r="R129" s="7">
        <v>46048.376136053237</v>
      </c>
      <c r="S129" s="7">
        <v>46048</v>
      </c>
      <c r="T129" s="7" t="str">
        <f t="shared" si="0"/>
        <v>enero</v>
      </c>
      <c r="U129" s="1" t="s">
        <v>330</v>
      </c>
      <c r="X129" s="1" t="s">
        <v>347</v>
      </c>
      <c r="Y129" s="1" t="s">
        <v>348</v>
      </c>
      <c r="Z129" s="1">
        <v>1</v>
      </c>
      <c r="AA129" s="3">
        <v>19410.240000000002</v>
      </c>
      <c r="AB129" s="3">
        <v>19410.240000000002</v>
      </c>
      <c r="AC129" s="1" t="str">
        <f>VLOOKUP(A129,[1]Detalle!$D$2:$CW$484,98,FALSE)</f>
        <v>Expreso - Servicios Troncales</v>
      </c>
    </row>
    <row r="130" spans="1:29" ht="14.25" customHeight="1" x14ac:dyDescent="0.3">
      <c r="A130" s="1" t="s">
        <v>145</v>
      </c>
      <c r="B130" s="1">
        <v>1624</v>
      </c>
      <c r="C130" s="1" t="s">
        <v>343</v>
      </c>
      <c r="D130" s="1" t="s">
        <v>343</v>
      </c>
      <c r="E130" s="1">
        <v>0.5</v>
      </c>
      <c r="F130" s="1" t="s">
        <v>344</v>
      </c>
      <c r="G130" s="6">
        <v>45848</v>
      </c>
      <c r="H130" s="1">
        <v>234133</v>
      </c>
      <c r="I130" s="1">
        <v>254133</v>
      </c>
      <c r="J130" s="1">
        <v>4079.8</v>
      </c>
      <c r="K130" s="1">
        <v>15920.2</v>
      </c>
      <c r="L130" s="1">
        <v>238212.8</v>
      </c>
      <c r="M130" s="1">
        <v>99</v>
      </c>
      <c r="N130" s="1">
        <v>38.995387096774238</v>
      </c>
      <c r="O130" s="1">
        <v>386.31790774057549</v>
      </c>
      <c r="P130" s="7">
        <v>45947</v>
      </c>
      <c r="Q130" s="1">
        <v>20000</v>
      </c>
      <c r="R130" s="7">
        <v>46333.317907743047</v>
      </c>
      <c r="S130" s="7">
        <v>46333</v>
      </c>
      <c r="T130" s="7" t="str">
        <f t="shared" si="0"/>
        <v>noviembre</v>
      </c>
      <c r="U130" s="1" t="s">
        <v>330</v>
      </c>
      <c r="X130" s="1" t="s">
        <v>345</v>
      </c>
      <c r="Y130" s="1" t="s">
        <v>346</v>
      </c>
      <c r="Z130" s="1">
        <v>1</v>
      </c>
      <c r="AA130" s="3">
        <v>10535.04</v>
      </c>
      <c r="AB130" s="3">
        <v>10535.04</v>
      </c>
      <c r="AC130" s="1" t="str">
        <f>VLOOKUP(A130,[1]Detalle!$D$2:$CW$484,98,FALSE)</f>
        <v>CCUCoAZA</v>
      </c>
    </row>
    <row r="131" spans="1:29" ht="14.25" customHeight="1" x14ac:dyDescent="0.3">
      <c r="A131" s="1" t="s">
        <v>145</v>
      </c>
      <c r="B131" s="1">
        <v>1624</v>
      </c>
      <c r="C131" s="1" t="s">
        <v>343</v>
      </c>
      <c r="D131" s="1" t="s">
        <v>343</v>
      </c>
      <c r="E131" s="1">
        <v>0.5</v>
      </c>
      <c r="F131" s="1" t="s">
        <v>344</v>
      </c>
      <c r="G131" s="6">
        <v>45848</v>
      </c>
      <c r="H131" s="1">
        <v>234133</v>
      </c>
      <c r="I131" s="1">
        <v>254133</v>
      </c>
      <c r="J131" s="1">
        <v>4079.8</v>
      </c>
      <c r="K131" s="1">
        <v>15920.2</v>
      </c>
      <c r="L131" s="1">
        <v>238212.8</v>
      </c>
      <c r="M131" s="1">
        <v>99</v>
      </c>
      <c r="N131" s="1">
        <v>38.995387096774238</v>
      </c>
      <c r="O131" s="1">
        <v>386.31790774057549</v>
      </c>
      <c r="P131" s="7">
        <v>45947</v>
      </c>
      <c r="Q131" s="1">
        <v>20000</v>
      </c>
      <c r="R131" s="7">
        <v>46333.317907743047</v>
      </c>
      <c r="S131" s="7">
        <v>46333</v>
      </c>
      <c r="T131" s="7" t="str">
        <f t="shared" si="0"/>
        <v>noviembre</v>
      </c>
      <c r="U131" s="1" t="s">
        <v>330</v>
      </c>
      <c r="X131" s="1" t="s">
        <v>347</v>
      </c>
      <c r="Y131" s="1" t="s">
        <v>348</v>
      </c>
      <c r="Z131" s="1">
        <v>1</v>
      </c>
      <c r="AA131" s="3">
        <v>19410.240000000002</v>
      </c>
      <c r="AB131" s="3">
        <v>19410.240000000002</v>
      </c>
      <c r="AC131" s="1" t="str">
        <f>VLOOKUP(A131,[1]Detalle!$D$2:$CW$484,98,FALSE)</f>
        <v>CCUCoAZA</v>
      </c>
    </row>
    <row r="132" spans="1:29" ht="14.25" customHeight="1" x14ac:dyDescent="0.3">
      <c r="A132" s="1" t="s">
        <v>134</v>
      </c>
      <c r="B132" s="1">
        <v>1624</v>
      </c>
      <c r="C132" s="1" t="s">
        <v>343</v>
      </c>
      <c r="D132" s="1" t="s">
        <v>343</v>
      </c>
      <c r="E132" s="1">
        <v>0.5</v>
      </c>
      <c r="F132" s="1" t="s">
        <v>344</v>
      </c>
      <c r="G132" s="6">
        <v>45883</v>
      </c>
      <c r="H132" s="1">
        <v>377434</v>
      </c>
      <c r="I132" s="1">
        <v>397434</v>
      </c>
      <c r="J132" s="1">
        <v>3731.5</v>
      </c>
      <c r="K132" s="1">
        <v>16268.5</v>
      </c>
      <c r="L132" s="1">
        <v>381165.5</v>
      </c>
      <c r="M132" s="1">
        <v>64</v>
      </c>
      <c r="N132" s="1">
        <v>73.269176029962509</v>
      </c>
      <c r="O132" s="1">
        <v>279.0255929250971</v>
      </c>
      <c r="P132" s="7">
        <v>45947</v>
      </c>
      <c r="Q132" s="1">
        <v>20000</v>
      </c>
      <c r="R132" s="7">
        <v>46226.025592928243</v>
      </c>
      <c r="S132" s="7">
        <v>46226</v>
      </c>
      <c r="T132" s="7" t="str">
        <f t="shared" si="0"/>
        <v>julio</v>
      </c>
      <c r="U132" s="1" t="s">
        <v>330</v>
      </c>
      <c r="X132" s="1" t="s">
        <v>345</v>
      </c>
      <c r="Y132" s="1" t="s">
        <v>346</v>
      </c>
      <c r="Z132" s="1">
        <v>1</v>
      </c>
      <c r="AA132" s="3">
        <v>10535.04</v>
      </c>
      <c r="AB132" s="3">
        <v>10535.04</v>
      </c>
      <c r="AC132" s="1" t="str">
        <f>VLOOKUP(A132,[1]Detalle!$D$2:$CW$484,98,FALSE)</f>
        <v>SUC_CTC - Sucursal Buenos Aires</v>
      </c>
    </row>
    <row r="133" spans="1:29" ht="14.25" customHeight="1" x14ac:dyDescent="0.3">
      <c r="A133" s="1" t="s">
        <v>134</v>
      </c>
      <c r="B133" s="1">
        <v>1624</v>
      </c>
      <c r="C133" s="1" t="s">
        <v>343</v>
      </c>
      <c r="D133" s="1" t="s">
        <v>343</v>
      </c>
      <c r="E133" s="1">
        <v>0.5</v>
      </c>
      <c r="F133" s="1" t="s">
        <v>344</v>
      </c>
      <c r="G133" s="6">
        <v>45883</v>
      </c>
      <c r="H133" s="1">
        <v>377434</v>
      </c>
      <c r="I133" s="1">
        <v>397434</v>
      </c>
      <c r="J133" s="1">
        <v>3731.5</v>
      </c>
      <c r="K133" s="1">
        <v>16268.5</v>
      </c>
      <c r="L133" s="1">
        <v>381165.5</v>
      </c>
      <c r="M133" s="1">
        <v>64</v>
      </c>
      <c r="N133" s="1">
        <v>73.269176029962509</v>
      </c>
      <c r="O133" s="1">
        <v>279.0255929250971</v>
      </c>
      <c r="P133" s="7">
        <v>45947</v>
      </c>
      <c r="Q133" s="1">
        <v>20000</v>
      </c>
      <c r="R133" s="7">
        <v>46226.025592928243</v>
      </c>
      <c r="S133" s="7">
        <v>46226</v>
      </c>
      <c r="T133" s="7" t="str">
        <f t="shared" si="0"/>
        <v>julio</v>
      </c>
      <c r="U133" s="1" t="s">
        <v>330</v>
      </c>
      <c r="X133" s="1" t="s">
        <v>347</v>
      </c>
      <c r="Y133" s="1" t="s">
        <v>348</v>
      </c>
      <c r="Z133" s="1">
        <v>1</v>
      </c>
      <c r="AA133" s="3">
        <v>19410.240000000002</v>
      </c>
      <c r="AB133" s="3">
        <v>19410.240000000002</v>
      </c>
      <c r="AC133" s="1" t="str">
        <f>VLOOKUP(A133,[1]Detalle!$D$2:$CW$484,98,FALSE)</f>
        <v>SUC_CTC - Sucursal Buenos Aires</v>
      </c>
    </row>
    <row r="134" spans="1:29" ht="14.25" customHeight="1" x14ac:dyDescent="0.3">
      <c r="A134" s="1" t="s">
        <v>120</v>
      </c>
      <c r="B134" s="1">
        <v>1218</v>
      </c>
      <c r="C134" s="1" t="s">
        <v>343</v>
      </c>
      <c r="D134" s="1" t="s">
        <v>343</v>
      </c>
      <c r="E134" s="1">
        <v>0.5</v>
      </c>
      <c r="F134" s="1" t="s">
        <v>344</v>
      </c>
      <c r="G134" s="6">
        <v>45617</v>
      </c>
      <c r="H134" s="1">
        <v>17571.7</v>
      </c>
      <c r="I134" s="1">
        <v>37571.699999999997</v>
      </c>
      <c r="J134" s="1">
        <v>31178.54</v>
      </c>
      <c r="K134" s="1">
        <v>-11178.54</v>
      </c>
      <c r="L134" s="1">
        <v>48750.239999999998</v>
      </c>
      <c r="M134" s="1">
        <v>330</v>
      </c>
      <c r="N134" s="1">
        <v>86.918456591639867</v>
      </c>
      <c r="O134" s="1">
        <v>-118.3159378213348</v>
      </c>
      <c r="P134" s="7">
        <v>45947</v>
      </c>
      <c r="Q134" s="1">
        <v>20000</v>
      </c>
      <c r="R134" s="7">
        <v>46177.100726412027</v>
      </c>
      <c r="S134" s="7">
        <v>46177</v>
      </c>
      <c r="T134" s="7" t="str">
        <f t="shared" si="0"/>
        <v>junio</v>
      </c>
      <c r="U134" s="1" t="s">
        <v>330</v>
      </c>
      <c r="X134" s="1" t="s">
        <v>345</v>
      </c>
      <c r="Y134" s="1" t="s">
        <v>346</v>
      </c>
      <c r="Z134" s="1">
        <v>1</v>
      </c>
      <c r="AA134" s="3">
        <v>10535.04</v>
      </c>
      <c r="AB134" s="3">
        <v>10535.04</v>
      </c>
      <c r="AC134" s="1" t="str">
        <f>VLOOKUP(A134,[1]Detalle!$D$2:$CW$484,98,FALSE)</f>
        <v>SUC_MEN - Sucursal Mendoza</v>
      </c>
    </row>
    <row r="135" spans="1:29" ht="14.25" customHeight="1" x14ac:dyDescent="0.3">
      <c r="A135" s="1" t="s">
        <v>120</v>
      </c>
      <c r="B135" s="1">
        <v>1218</v>
      </c>
      <c r="C135" s="1" t="s">
        <v>343</v>
      </c>
      <c r="D135" s="1" t="s">
        <v>343</v>
      </c>
      <c r="E135" s="1">
        <v>0.5</v>
      </c>
      <c r="F135" s="1" t="s">
        <v>344</v>
      </c>
      <c r="G135" s="6">
        <v>45617</v>
      </c>
      <c r="H135" s="1">
        <v>17571.7</v>
      </c>
      <c r="I135" s="1">
        <v>37571.699999999997</v>
      </c>
      <c r="J135" s="1">
        <v>31178.54</v>
      </c>
      <c r="K135" s="1">
        <v>-11178.54</v>
      </c>
      <c r="L135" s="1">
        <v>48750.239999999998</v>
      </c>
      <c r="M135" s="1">
        <v>330</v>
      </c>
      <c r="N135" s="1">
        <v>86.918456591639867</v>
      </c>
      <c r="O135" s="1">
        <v>-118.3159378213348</v>
      </c>
      <c r="P135" s="7">
        <v>45947</v>
      </c>
      <c r="Q135" s="1">
        <v>20000</v>
      </c>
      <c r="R135" s="7">
        <v>46177.100726412027</v>
      </c>
      <c r="S135" s="7">
        <v>46177</v>
      </c>
      <c r="T135" s="7" t="str">
        <f t="shared" si="0"/>
        <v>junio</v>
      </c>
      <c r="U135" s="1" t="s">
        <v>330</v>
      </c>
      <c r="X135" s="1" t="s">
        <v>347</v>
      </c>
      <c r="Y135" s="1" t="s">
        <v>348</v>
      </c>
      <c r="Z135" s="1">
        <v>1</v>
      </c>
      <c r="AA135" s="3">
        <v>19410.240000000002</v>
      </c>
      <c r="AB135" s="3">
        <v>19410.240000000002</v>
      </c>
      <c r="AC135" s="1" t="str">
        <f>VLOOKUP(A135,[1]Detalle!$D$2:$CW$484,98,FALSE)</f>
        <v>SUC_MEN - Sucursal Mendoza</v>
      </c>
    </row>
    <row r="136" spans="1:29" ht="14.25" customHeight="1" x14ac:dyDescent="0.3">
      <c r="A136" s="1" t="s">
        <v>141</v>
      </c>
      <c r="B136" s="1">
        <v>1624</v>
      </c>
      <c r="C136" s="1" t="s">
        <v>343</v>
      </c>
      <c r="D136" s="1" t="s">
        <v>343</v>
      </c>
      <c r="E136" s="1">
        <v>0.5</v>
      </c>
      <c r="F136" s="1" t="s">
        <v>344</v>
      </c>
      <c r="G136" s="6">
        <v>45862</v>
      </c>
      <c r="H136" s="1">
        <v>484180</v>
      </c>
      <c r="I136" s="1">
        <v>504180</v>
      </c>
      <c r="J136" s="1">
        <v>6154.3000000000011</v>
      </c>
      <c r="K136" s="1">
        <v>13845.7</v>
      </c>
      <c r="L136" s="1">
        <v>490334.3</v>
      </c>
      <c r="M136" s="1">
        <v>85</v>
      </c>
      <c r="N136" s="1">
        <v>131.1199356913184</v>
      </c>
      <c r="O136" s="1">
        <v>191.22962806493021</v>
      </c>
      <c r="P136" s="7">
        <v>45947</v>
      </c>
      <c r="Q136" s="1">
        <v>20000</v>
      </c>
      <c r="R136" s="7">
        <v>46138.229628067129</v>
      </c>
      <c r="S136" s="7">
        <v>46138</v>
      </c>
      <c r="T136" s="7" t="str">
        <f t="shared" si="0"/>
        <v>abril</v>
      </c>
      <c r="U136" s="1" t="s">
        <v>330</v>
      </c>
      <c r="X136" s="1" t="s">
        <v>345</v>
      </c>
      <c r="Y136" s="1" t="s">
        <v>346</v>
      </c>
      <c r="Z136" s="1">
        <v>1</v>
      </c>
      <c r="AA136" s="3">
        <v>10535.04</v>
      </c>
      <c r="AB136" s="3">
        <v>10535.04</v>
      </c>
      <c r="AC136" s="1" t="str">
        <f>VLOOKUP(A136,[1]Detalle!$D$2:$CW$484,98,FALSE)</f>
        <v>Unilever - Unilever de Arg. S.A.</v>
      </c>
    </row>
    <row r="137" spans="1:29" ht="14.25" customHeight="1" x14ac:dyDescent="0.3">
      <c r="A137" s="1" t="s">
        <v>141</v>
      </c>
      <c r="B137" s="1">
        <v>1624</v>
      </c>
      <c r="C137" s="1" t="s">
        <v>343</v>
      </c>
      <c r="D137" s="1" t="s">
        <v>343</v>
      </c>
      <c r="E137" s="1">
        <v>0.5</v>
      </c>
      <c r="F137" s="1" t="s">
        <v>344</v>
      </c>
      <c r="G137" s="6">
        <v>45862</v>
      </c>
      <c r="H137" s="1">
        <v>484180</v>
      </c>
      <c r="I137" s="1">
        <v>504180</v>
      </c>
      <c r="J137" s="1">
        <v>6154.3000000000011</v>
      </c>
      <c r="K137" s="1">
        <v>13845.7</v>
      </c>
      <c r="L137" s="1">
        <v>490334.3</v>
      </c>
      <c r="M137" s="1">
        <v>85</v>
      </c>
      <c r="N137" s="1">
        <v>131.1199356913184</v>
      </c>
      <c r="O137" s="1">
        <v>191.22962806493021</v>
      </c>
      <c r="P137" s="7">
        <v>45947</v>
      </c>
      <c r="Q137" s="1">
        <v>20000</v>
      </c>
      <c r="R137" s="7">
        <v>46138.229628067129</v>
      </c>
      <c r="S137" s="7">
        <v>46138</v>
      </c>
      <c r="T137" s="7" t="str">
        <f t="shared" si="0"/>
        <v>abril</v>
      </c>
      <c r="U137" s="1" t="s">
        <v>330</v>
      </c>
      <c r="X137" s="1" t="s">
        <v>347</v>
      </c>
      <c r="Y137" s="1" t="s">
        <v>348</v>
      </c>
      <c r="Z137" s="1">
        <v>1</v>
      </c>
      <c r="AA137" s="3">
        <v>19410.240000000002</v>
      </c>
      <c r="AB137" s="3">
        <v>19410.240000000002</v>
      </c>
      <c r="AC137" s="1" t="str">
        <f>VLOOKUP(A137,[1]Detalle!$D$2:$CW$484,98,FALSE)</f>
        <v>Unilever - Unilever de Arg. S.A.</v>
      </c>
    </row>
    <row r="138" spans="1:29" ht="14.25" customHeight="1" x14ac:dyDescent="0.3">
      <c r="A138" s="1" t="s">
        <v>150</v>
      </c>
      <c r="B138" s="1" t="s">
        <v>351</v>
      </c>
      <c r="C138" s="1" t="s">
        <v>343</v>
      </c>
      <c r="D138" s="1" t="s">
        <v>343</v>
      </c>
      <c r="E138" s="1">
        <v>0.5</v>
      </c>
      <c r="F138" s="1" t="s">
        <v>344</v>
      </c>
      <c r="G138" s="6">
        <v>45905</v>
      </c>
      <c r="H138" s="1">
        <v>733433</v>
      </c>
      <c r="I138" s="1">
        <v>753433</v>
      </c>
      <c r="J138" s="1">
        <v>2805.7</v>
      </c>
      <c r="K138" s="1">
        <v>17194.3</v>
      </c>
      <c r="L138" s="1">
        <v>736238.7</v>
      </c>
      <c r="M138" s="1">
        <v>42</v>
      </c>
      <c r="N138" s="1">
        <v>143.50707395498381</v>
      </c>
      <c r="O138" s="1">
        <v>257.39052642834241</v>
      </c>
      <c r="P138" s="7">
        <v>45947</v>
      </c>
      <c r="Q138" s="1">
        <v>20000</v>
      </c>
      <c r="R138" s="7">
        <v>46204.390526423609</v>
      </c>
      <c r="S138" s="7">
        <v>46204</v>
      </c>
      <c r="T138" s="7" t="str">
        <f t="shared" si="0"/>
        <v>julio</v>
      </c>
      <c r="U138" s="1" t="s">
        <v>330</v>
      </c>
      <c r="X138" s="1" t="s">
        <v>345</v>
      </c>
      <c r="Y138" s="1" t="s">
        <v>346</v>
      </c>
      <c r="Z138" s="1">
        <v>1</v>
      </c>
      <c r="AA138" s="3">
        <v>10535.04</v>
      </c>
      <c r="AB138" s="3">
        <v>10535.04</v>
      </c>
      <c r="AC138" s="1" t="str">
        <f>VLOOKUP(A138,[1]Detalle!$D$2:$CW$484,98,FALSE)</f>
        <v>Papelera - Papelera del Plata S.A.</v>
      </c>
    </row>
    <row r="139" spans="1:29" ht="14.25" customHeight="1" x14ac:dyDescent="0.3">
      <c r="A139" s="1" t="s">
        <v>150</v>
      </c>
      <c r="B139" s="1" t="s">
        <v>351</v>
      </c>
      <c r="C139" s="1" t="s">
        <v>343</v>
      </c>
      <c r="D139" s="1" t="s">
        <v>343</v>
      </c>
      <c r="E139" s="1">
        <v>0.5</v>
      </c>
      <c r="F139" s="1" t="s">
        <v>344</v>
      </c>
      <c r="G139" s="6">
        <v>45905</v>
      </c>
      <c r="H139" s="1">
        <v>733433</v>
      </c>
      <c r="I139" s="1">
        <v>753433</v>
      </c>
      <c r="J139" s="1">
        <v>2805.7</v>
      </c>
      <c r="K139" s="1">
        <v>17194.3</v>
      </c>
      <c r="L139" s="1">
        <v>736238.7</v>
      </c>
      <c r="M139" s="1">
        <v>42</v>
      </c>
      <c r="N139" s="1">
        <v>143.50707395498381</v>
      </c>
      <c r="O139" s="1">
        <v>257.39052642834241</v>
      </c>
      <c r="P139" s="7">
        <v>45947</v>
      </c>
      <c r="Q139" s="1">
        <v>20000</v>
      </c>
      <c r="R139" s="7">
        <v>46204.390526423609</v>
      </c>
      <c r="S139" s="7">
        <v>46204</v>
      </c>
      <c r="T139" s="7" t="str">
        <f t="shared" si="0"/>
        <v>julio</v>
      </c>
      <c r="U139" s="1" t="s">
        <v>330</v>
      </c>
      <c r="X139" s="1" t="s">
        <v>347</v>
      </c>
      <c r="Y139" s="1" t="s">
        <v>348</v>
      </c>
      <c r="Z139" s="1">
        <v>1</v>
      </c>
      <c r="AA139" s="3">
        <v>19410.240000000002</v>
      </c>
      <c r="AB139" s="3">
        <v>19410.240000000002</v>
      </c>
      <c r="AC139" s="1" t="str">
        <f>VLOOKUP(A139,[1]Detalle!$D$2:$CW$484,98,FALSE)</f>
        <v>Papelera - Papelera del Plata S.A.</v>
      </c>
    </row>
    <row r="140" spans="1:29" ht="14.25" customHeight="1" x14ac:dyDescent="0.3">
      <c r="A140" s="1" t="s">
        <v>158</v>
      </c>
      <c r="B140" s="1">
        <v>1624</v>
      </c>
      <c r="C140" s="1" t="s">
        <v>343</v>
      </c>
      <c r="D140" s="1" t="s">
        <v>343</v>
      </c>
      <c r="E140" s="1">
        <v>0.5</v>
      </c>
      <c r="F140" s="1" t="s">
        <v>344</v>
      </c>
      <c r="G140" s="6">
        <v>45762</v>
      </c>
      <c r="H140" s="1">
        <v>779819</v>
      </c>
      <c r="I140" s="1">
        <v>799819</v>
      </c>
      <c r="J140" s="1">
        <v>16921.500000000011</v>
      </c>
      <c r="K140" s="1">
        <v>3078.4999999999932</v>
      </c>
      <c r="L140" s="1">
        <v>796740.5</v>
      </c>
      <c r="M140" s="1">
        <v>185</v>
      </c>
      <c r="N140" s="1">
        <v>75.425496688741674</v>
      </c>
      <c r="O140" s="1">
        <v>33.656738468811767</v>
      </c>
      <c r="P140" s="7">
        <v>45947</v>
      </c>
      <c r="Q140" s="1">
        <v>20000</v>
      </c>
      <c r="R140" s="7">
        <v>46245.819062592593</v>
      </c>
      <c r="S140" s="7">
        <v>46245</v>
      </c>
      <c r="T140" s="7" t="str">
        <f t="shared" si="0"/>
        <v>agosto</v>
      </c>
      <c r="U140" s="1" t="s">
        <v>330</v>
      </c>
      <c r="X140" s="1" t="s">
        <v>345</v>
      </c>
      <c r="Y140" s="1" t="s">
        <v>346</v>
      </c>
      <c r="Z140" s="1">
        <v>1</v>
      </c>
      <c r="AA140" s="3">
        <v>10535.04</v>
      </c>
      <c r="AB140" s="3">
        <v>10535.04</v>
      </c>
      <c r="AC140" s="1" t="str">
        <f>VLOOKUP(A140,[1]Detalle!$D$2:$CW$484,98,FALSE)</f>
        <v>JOHNSON - SC JOHNSON DE ARGENTINA SAIC</v>
      </c>
    </row>
    <row r="141" spans="1:29" ht="14.25" customHeight="1" x14ac:dyDescent="0.3">
      <c r="A141" s="1" t="s">
        <v>158</v>
      </c>
      <c r="B141" s="1">
        <v>1624</v>
      </c>
      <c r="C141" s="1" t="s">
        <v>343</v>
      </c>
      <c r="D141" s="1" t="s">
        <v>343</v>
      </c>
      <c r="E141" s="1">
        <v>0.5</v>
      </c>
      <c r="F141" s="1" t="s">
        <v>344</v>
      </c>
      <c r="G141" s="6">
        <v>45762</v>
      </c>
      <c r="H141" s="1">
        <v>779819</v>
      </c>
      <c r="I141" s="1">
        <v>799819</v>
      </c>
      <c r="J141" s="1">
        <v>16921.500000000011</v>
      </c>
      <c r="K141" s="1">
        <v>3078.4999999999932</v>
      </c>
      <c r="L141" s="1">
        <v>796740.5</v>
      </c>
      <c r="M141" s="1">
        <v>185</v>
      </c>
      <c r="N141" s="1">
        <v>75.425496688741674</v>
      </c>
      <c r="O141" s="1">
        <v>33.656738468811767</v>
      </c>
      <c r="P141" s="7">
        <v>45947</v>
      </c>
      <c r="Q141" s="1">
        <v>20000</v>
      </c>
      <c r="R141" s="7">
        <v>46245.819062592593</v>
      </c>
      <c r="S141" s="7">
        <v>46245</v>
      </c>
      <c r="T141" s="7" t="str">
        <f t="shared" si="0"/>
        <v>agosto</v>
      </c>
      <c r="U141" s="1" t="s">
        <v>330</v>
      </c>
      <c r="X141" s="1" t="s">
        <v>347</v>
      </c>
      <c r="Y141" s="1" t="s">
        <v>348</v>
      </c>
      <c r="Z141" s="1">
        <v>1</v>
      </c>
      <c r="AA141" s="3">
        <v>19410.240000000002</v>
      </c>
      <c r="AB141" s="3">
        <v>19410.240000000002</v>
      </c>
      <c r="AC141" s="1" t="str">
        <f>VLOOKUP(A141,[1]Detalle!$D$2:$CW$484,98,FALSE)</f>
        <v>JOHNSON - SC JOHNSON DE ARGENTINA SAIC</v>
      </c>
    </row>
    <row r="142" spans="1:29" ht="14.25" customHeight="1" x14ac:dyDescent="0.3">
      <c r="A142" s="1" t="s">
        <v>147</v>
      </c>
      <c r="B142" s="1">
        <v>1624</v>
      </c>
      <c r="C142" s="1" t="s">
        <v>343</v>
      </c>
      <c r="D142" s="1" t="s">
        <v>343</v>
      </c>
      <c r="E142" s="1">
        <v>0.5</v>
      </c>
      <c r="F142" s="1" t="s">
        <v>344</v>
      </c>
      <c r="G142" s="6">
        <v>45723</v>
      </c>
      <c r="H142" s="1">
        <v>27910.9</v>
      </c>
      <c r="I142" s="1">
        <v>47910.9</v>
      </c>
      <c r="J142" s="1">
        <v>19185.899999999991</v>
      </c>
      <c r="K142" s="1">
        <v>814.10000000000582</v>
      </c>
      <c r="L142" s="1">
        <v>47096.800000000003</v>
      </c>
      <c r="M142" s="1">
        <v>224</v>
      </c>
      <c r="N142" s="1">
        <v>76.974301470588202</v>
      </c>
      <c r="O142" s="1">
        <v>9.5048134306965721</v>
      </c>
      <c r="P142" s="7">
        <v>45947</v>
      </c>
      <c r="Q142" s="1">
        <v>20000</v>
      </c>
      <c r="R142" s="7">
        <v>46216.331789675933</v>
      </c>
      <c r="S142" s="7">
        <v>46216</v>
      </c>
      <c r="T142" s="7" t="str">
        <f t="shared" si="0"/>
        <v>julio</v>
      </c>
      <c r="U142" s="1" t="s">
        <v>330</v>
      </c>
      <c r="X142" s="1" t="s">
        <v>345</v>
      </c>
      <c r="Y142" s="1" t="s">
        <v>346</v>
      </c>
      <c r="Z142" s="1">
        <v>1</v>
      </c>
      <c r="AA142" s="3">
        <v>10535.04</v>
      </c>
      <c r="AB142" s="3">
        <v>10535.04</v>
      </c>
      <c r="AC142" s="1" t="str">
        <f>VLOOKUP(A142,[1]Detalle!$D$2:$CW$484,98,FALSE)</f>
        <v>SUC_SLU - Sucursal San Luis</v>
      </c>
    </row>
    <row r="143" spans="1:29" ht="14.25" customHeight="1" x14ac:dyDescent="0.3">
      <c r="A143" s="1" t="s">
        <v>147</v>
      </c>
      <c r="B143" s="1">
        <v>1624</v>
      </c>
      <c r="C143" s="1" t="s">
        <v>343</v>
      </c>
      <c r="D143" s="1" t="s">
        <v>343</v>
      </c>
      <c r="E143" s="1">
        <v>0.5</v>
      </c>
      <c r="F143" s="1" t="s">
        <v>344</v>
      </c>
      <c r="G143" s="6">
        <v>45723</v>
      </c>
      <c r="H143" s="1">
        <v>27910.9</v>
      </c>
      <c r="I143" s="1">
        <v>47910.9</v>
      </c>
      <c r="J143" s="1">
        <v>19185.899999999991</v>
      </c>
      <c r="K143" s="1">
        <v>814.10000000000582</v>
      </c>
      <c r="L143" s="1">
        <v>47096.800000000003</v>
      </c>
      <c r="M143" s="1">
        <v>224</v>
      </c>
      <c r="N143" s="1">
        <v>76.974301470588202</v>
      </c>
      <c r="O143" s="1">
        <v>9.5048134306965721</v>
      </c>
      <c r="P143" s="7">
        <v>45947</v>
      </c>
      <c r="Q143" s="1">
        <v>20000</v>
      </c>
      <c r="R143" s="7">
        <v>46216.331789675933</v>
      </c>
      <c r="S143" s="7">
        <v>46216</v>
      </c>
      <c r="T143" s="7" t="str">
        <f t="shared" si="0"/>
        <v>julio</v>
      </c>
      <c r="U143" s="1" t="s">
        <v>330</v>
      </c>
      <c r="X143" s="1" t="s">
        <v>347</v>
      </c>
      <c r="Y143" s="1" t="s">
        <v>348</v>
      </c>
      <c r="Z143" s="1">
        <v>1</v>
      </c>
      <c r="AA143" s="3">
        <v>19410.240000000002</v>
      </c>
      <c r="AB143" s="3">
        <v>19410.240000000002</v>
      </c>
      <c r="AC143" s="1" t="str">
        <f>VLOOKUP(A143,[1]Detalle!$D$2:$CW$484,98,FALSE)</f>
        <v>SUC_SLU - Sucursal San Luis</v>
      </c>
    </row>
    <row r="144" spans="1:29" ht="14.25" customHeight="1" x14ac:dyDescent="0.3">
      <c r="A144" s="1" t="s">
        <v>154</v>
      </c>
      <c r="B144" s="1">
        <v>1624</v>
      </c>
      <c r="C144" s="1" t="s">
        <v>343</v>
      </c>
      <c r="D144" s="1" t="s">
        <v>343</v>
      </c>
      <c r="E144" s="1">
        <v>0.5</v>
      </c>
      <c r="F144" s="1" t="s">
        <v>344</v>
      </c>
      <c r="G144" s="6">
        <v>45772</v>
      </c>
      <c r="H144" s="1">
        <v>264479</v>
      </c>
      <c r="I144" s="1">
        <v>284479</v>
      </c>
      <c r="J144" s="1">
        <v>6327.5000000000045</v>
      </c>
      <c r="K144" s="1">
        <v>13672.499999999991</v>
      </c>
      <c r="L144" s="1">
        <v>270806.5</v>
      </c>
      <c r="M144" s="1">
        <v>175</v>
      </c>
      <c r="N144" s="1">
        <v>34.372709677419373</v>
      </c>
      <c r="O144" s="1">
        <v>378.14105096799642</v>
      </c>
      <c r="P144" s="7">
        <v>45947</v>
      </c>
      <c r="Q144" s="1">
        <v>20000</v>
      </c>
      <c r="R144" s="7">
        <v>46325.141050972219</v>
      </c>
      <c r="S144" s="7">
        <v>46325</v>
      </c>
      <c r="T144" s="7" t="str">
        <f t="shared" si="0"/>
        <v>octubre</v>
      </c>
      <c r="U144" s="1" t="s">
        <v>330</v>
      </c>
      <c r="X144" s="1" t="s">
        <v>345</v>
      </c>
      <c r="Y144" s="1" t="s">
        <v>346</v>
      </c>
      <c r="Z144" s="1">
        <v>1</v>
      </c>
      <c r="AA144" s="3">
        <v>10535.04</v>
      </c>
      <c r="AB144" s="3">
        <v>10535.04</v>
      </c>
      <c r="AC144" s="1" t="str">
        <f>VLOOKUP(A144,[1]Detalle!$D$2:$CW$484,98,FALSE)</f>
        <v>CCUCoAZA</v>
      </c>
    </row>
    <row r="145" spans="1:29" ht="14.25" customHeight="1" x14ac:dyDescent="0.3">
      <c r="A145" s="1" t="s">
        <v>154</v>
      </c>
      <c r="B145" s="1">
        <v>1624</v>
      </c>
      <c r="C145" s="1" t="s">
        <v>343</v>
      </c>
      <c r="D145" s="1" t="s">
        <v>343</v>
      </c>
      <c r="E145" s="1">
        <v>0.5</v>
      </c>
      <c r="F145" s="1" t="s">
        <v>344</v>
      </c>
      <c r="G145" s="6">
        <v>45772</v>
      </c>
      <c r="H145" s="1">
        <v>264479</v>
      </c>
      <c r="I145" s="1">
        <v>284479</v>
      </c>
      <c r="J145" s="1">
        <v>6327.5000000000045</v>
      </c>
      <c r="K145" s="1">
        <v>13672.499999999991</v>
      </c>
      <c r="L145" s="1">
        <v>270806.5</v>
      </c>
      <c r="M145" s="1">
        <v>175</v>
      </c>
      <c r="N145" s="1">
        <v>34.372709677419373</v>
      </c>
      <c r="O145" s="1">
        <v>378.14105096799642</v>
      </c>
      <c r="P145" s="7">
        <v>45947</v>
      </c>
      <c r="Q145" s="1">
        <v>20000</v>
      </c>
      <c r="R145" s="7">
        <v>46325.141050972219</v>
      </c>
      <c r="S145" s="7">
        <v>46325</v>
      </c>
      <c r="T145" s="7" t="str">
        <f t="shared" si="0"/>
        <v>octubre</v>
      </c>
      <c r="U145" s="1" t="s">
        <v>330</v>
      </c>
      <c r="X145" s="1" t="s">
        <v>347</v>
      </c>
      <c r="Y145" s="1" t="s">
        <v>348</v>
      </c>
      <c r="Z145" s="1">
        <v>1</v>
      </c>
      <c r="AA145" s="3">
        <v>19410.240000000002</v>
      </c>
      <c r="AB145" s="3">
        <v>19410.240000000002</v>
      </c>
      <c r="AC145" s="1" t="str">
        <f>VLOOKUP(A145,[1]Detalle!$D$2:$CW$484,98,FALSE)</f>
        <v>CCUCoAZA</v>
      </c>
    </row>
    <row r="146" spans="1:29" ht="14.25" customHeight="1" x14ac:dyDescent="0.3">
      <c r="A146" s="1" t="s">
        <v>109</v>
      </c>
      <c r="B146" s="1">
        <v>1215</v>
      </c>
      <c r="C146" s="1" t="s">
        <v>343</v>
      </c>
      <c r="D146" s="1" t="s">
        <v>343</v>
      </c>
      <c r="E146" s="1">
        <v>0.5</v>
      </c>
      <c r="F146" s="1" t="s">
        <v>344</v>
      </c>
      <c r="G146" s="6">
        <v>45841</v>
      </c>
      <c r="H146" s="1">
        <v>16065.4</v>
      </c>
      <c r="I146" s="1">
        <v>36065.4</v>
      </c>
      <c r="J146" s="1">
        <v>5233.4000000000005</v>
      </c>
      <c r="K146" s="1">
        <v>14766.6</v>
      </c>
      <c r="L146" s="1">
        <v>21298.799999999999</v>
      </c>
      <c r="M146" s="1">
        <v>106</v>
      </c>
      <c r="N146" s="1">
        <v>61.480495049504917</v>
      </c>
      <c r="O146" s="1">
        <v>299.09038101425449</v>
      </c>
      <c r="P146" s="7">
        <v>45947</v>
      </c>
      <c r="Q146" s="1">
        <v>20000</v>
      </c>
      <c r="R146" s="7">
        <v>46246.090381018519</v>
      </c>
      <c r="S146" s="7">
        <v>46246</v>
      </c>
      <c r="T146" s="7" t="str">
        <f t="shared" si="0"/>
        <v>agosto</v>
      </c>
      <c r="U146" s="1" t="s">
        <v>330</v>
      </c>
      <c r="X146" s="1" t="s">
        <v>345</v>
      </c>
      <c r="Y146" s="1" t="s">
        <v>346</v>
      </c>
      <c r="Z146" s="1">
        <v>1</v>
      </c>
      <c r="AA146" s="3">
        <v>10535.04</v>
      </c>
      <c r="AB146" s="3">
        <v>10535.04</v>
      </c>
      <c r="AC146" s="1" t="str">
        <f>VLOOKUP(A146,[1]Detalle!$D$2:$CW$484,98,FALSE)</f>
        <v>JOHNSON - SC JOHNSON DE ARGENTINA SAIC</v>
      </c>
    </row>
    <row r="147" spans="1:29" ht="14.25" customHeight="1" x14ac:dyDescent="0.3">
      <c r="A147" s="1" t="s">
        <v>109</v>
      </c>
      <c r="B147" s="1">
        <v>1215</v>
      </c>
      <c r="C147" s="1" t="s">
        <v>343</v>
      </c>
      <c r="D147" s="1" t="s">
        <v>343</v>
      </c>
      <c r="E147" s="1">
        <v>0.5</v>
      </c>
      <c r="F147" s="1" t="s">
        <v>344</v>
      </c>
      <c r="G147" s="6">
        <v>45841</v>
      </c>
      <c r="H147" s="1">
        <v>16065.4</v>
      </c>
      <c r="I147" s="1">
        <v>36065.4</v>
      </c>
      <c r="J147" s="1">
        <v>5233.4000000000005</v>
      </c>
      <c r="K147" s="1">
        <v>14766.6</v>
      </c>
      <c r="L147" s="1">
        <v>21298.799999999999</v>
      </c>
      <c r="M147" s="1">
        <v>106</v>
      </c>
      <c r="N147" s="1">
        <v>61.480495049504917</v>
      </c>
      <c r="O147" s="1">
        <v>299.09038101425449</v>
      </c>
      <c r="P147" s="7">
        <v>45947</v>
      </c>
      <c r="Q147" s="1">
        <v>20000</v>
      </c>
      <c r="R147" s="7">
        <v>46246.090381018519</v>
      </c>
      <c r="S147" s="7">
        <v>46246</v>
      </c>
      <c r="T147" s="7" t="str">
        <f t="shared" si="0"/>
        <v>agosto</v>
      </c>
      <c r="U147" s="1" t="s">
        <v>330</v>
      </c>
      <c r="X147" s="1" t="s">
        <v>347</v>
      </c>
      <c r="Y147" s="1" t="s">
        <v>348</v>
      </c>
      <c r="Z147" s="1">
        <v>1</v>
      </c>
      <c r="AA147" s="3">
        <v>19410.240000000002</v>
      </c>
      <c r="AB147" s="3">
        <v>19410.240000000002</v>
      </c>
      <c r="AC147" s="1" t="str">
        <f>VLOOKUP(A147,[1]Detalle!$D$2:$CW$484,98,FALSE)</f>
        <v>JOHNSON - SC JOHNSON DE ARGENTINA SAIC</v>
      </c>
    </row>
    <row r="148" spans="1:29" ht="14.25" customHeight="1" x14ac:dyDescent="0.3">
      <c r="A148" s="1" t="s">
        <v>3</v>
      </c>
      <c r="B148" s="1" t="s">
        <v>327</v>
      </c>
      <c r="C148" s="1" t="s">
        <v>343</v>
      </c>
      <c r="D148" s="1" t="s">
        <v>343</v>
      </c>
      <c r="E148" s="1">
        <v>0.5</v>
      </c>
      <c r="F148" s="1" t="s">
        <v>344</v>
      </c>
      <c r="G148" s="6">
        <v>45745</v>
      </c>
      <c r="H148" s="1">
        <v>24484.400000000001</v>
      </c>
      <c r="I148" s="1">
        <v>44484.4</v>
      </c>
      <c r="J148" s="1">
        <v>12540.1</v>
      </c>
      <c r="K148" s="1">
        <v>7459.8999999999978</v>
      </c>
      <c r="L148" s="1">
        <v>37024.5</v>
      </c>
      <c r="M148" s="1">
        <v>202</v>
      </c>
      <c r="N148" s="1">
        <v>67.727480916030515</v>
      </c>
      <c r="O148" s="1">
        <v>120.1664899003995</v>
      </c>
      <c r="P148" s="7">
        <v>45947</v>
      </c>
      <c r="Q148" s="1">
        <v>20000</v>
      </c>
      <c r="R148" s="7">
        <v>46067.166489895833</v>
      </c>
      <c r="S148" s="7">
        <v>46067</v>
      </c>
      <c r="T148" s="7" t="str">
        <f t="shared" si="0"/>
        <v>febrero</v>
      </c>
      <c r="U148" s="1" t="s">
        <v>330</v>
      </c>
      <c r="X148" s="1" t="s">
        <v>345</v>
      </c>
      <c r="Y148" s="1" t="s">
        <v>346</v>
      </c>
      <c r="Z148" s="1">
        <v>1</v>
      </c>
      <c r="AA148" s="3">
        <v>10535.04</v>
      </c>
      <c r="AB148" s="3">
        <v>10535.04</v>
      </c>
      <c r="AC148" s="1" t="str">
        <f>VLOOKUP(A148,[1]Detalle!$D$2:$CW$484,98,FALSE)</f>
        <v>CCU_MZA - Comp. Cerv. Unidas - MZA</v>
      </c>
    </row>
    <row r="149" spans="1:29" ht="14.25" customHeight="1" x14ac:dyDescent="0.3">
      <c r="A149" s="1" t="s">
        <v>3</v>
      </c>
      <c r="B149" s="1" t="s">
        <v>327</v>
      </c>
      <c r="C149" s="1" t="s">
        <v>343</v>
      </c>
      <c r="D149" s="1" t="s">
        <v>343</v>
      </c>
      <c r="E149" s="1">
        <v>0.5</v>
      </c>
      <c r="F149" s="1" t="s">
        <v>344</v>
      </c>
      <c r="G149" s="6">
        <v>45745</v>
      </c>
      <c r="H149" s="1">
        <v>24484.400000000001</v>
      </c>
      <c r="I149" s="1">
        <v>44484.4</v>
      </c>
      <c r="J149" s="1">
        <v>12540.1</v>
      </c>
      <c r="K149" s="1">
        <v>7459.8999999999978</v>
      </c>
      <c r="L149" s="1">
        <v>37024.5</v>
      </c>
      <c r="M149" s="1">
        <v>202</v>
      </c>
      <c r="N149" s="1">
        <v>67.727480916030515</v>
      </c>
      <c r="O149" s="1">
        <v>120.1664899003995</v>
      </c>
      <c r="P149" s="7">
        <v>45947</v>
      </c>
      <c r="Q149" s="1">
        <v>20000</v>
      </c>
      <c r="R149" s="7">
        <v>46067.166489895833</v>
      </c>
      <c r="S149" s="7">
        <v>46067</v>
      </c>
      <c r="T149" s="7" t="str">
        <f t="shared" si="0"/>
        <v>febrero</v>
      </c>
      <c r="U149" s="1" t="s">
        <v>330</v>
      </c>
      <c r="X149" s="1" t="s">
        <v>347</v>
      </c>
      <c r="Y149" s="1" t="s">
        <v>348</v>
      </c>
      <c r="Z149" s="1">
        <v>1</v>
      </c>
      <c r="AA149" s="3">
        <v>19410.240000000002</v>
      </c>
      <c r="AB149" s="3">
        <v>19410.240000000002</v>
      </c>
      <c r="AC149" s="1" t="str">
        <f>VLOOKUP(A149,[1]Detalle!$D$2:$CW$484,98,FALSE)</f>
        <v>CCU_MZA - Comp. Cerv. Unidas - MZA</v>
      </c>
    </row>
    <row r="150" spans="1:29" ht="14.25" customHeight="1" x14ac:dyDescent="0.3">
      <c r="A150" s="1" t="s">
        <v>75</v>
      </c>
      <c r="B150" s="1" t="s">
        <v>352</v>
      </c>
      <c r="C150" s="1" t="s">
        <v>343</v>
      </c>
      <c r="D150" s="1" t="s">
        <v>343</v>
      </c>
      <c r="E150" s="1">
        <v>0.5</v>
      </c>
      <c r="F150" s="1" t="s">
        <v>344</v>
      </c>
      <c r="G150" s="6">
        <v>45895</v>
      </c>
      <c r="H150" s="1">
        <v>60189.5</v>
      </c>
      <c r="I150" s="1">
        <v>80189.5</v>
      </c>
      <c r="J150" s="1">
        <v>4748.0999999999995</v>
      </c>
      <c r="K150" s="1">
        <v>15251.9</v>
      </c>
      <c r="L150" s="1">
        <v>64937.599999999999</v>
      </c>
      <c r="M150" s="1">
        <v>52</v>
      </c>
      <c r="N150" s="1">
        <v>83.847709677419346</v>
      </c>
      <c r="O150" s="1">
        <v>167.03498241401829</v>
      </c>
      <c r="P150" s="7">
        <v>45947</v>
      </c>
      <c r="Q150" s="1">
        <v>20000</v>
      </c>
      <c r="R150" s="7">
        <v>46114.034982418983</v>
      </c>
      <c r="S150" s="7">
        <v>46114</v>
      </c>
      <c r="T150" s="7" t="str">
        <f t="shared" si="0"/>
        <v>abril</v>
      </c>
      <c r="U150" s="1" t="s">
        <v>330</v>
      </c>
      <c r="X150" s="1" t="s">
        <v>345</v>
      </c>
      <c r="Y150" s="1" t="s">
        <v>346</v>
      </c>
      <c r="Z150" s="1">
        <v>1</v>
      </c>
      <c r="AA150" s="3">
        <v>10535.04</v>
      </c>
      <c r="AB150" s="3">
        <v>10535.04</v>
      </c>
      <c r="AC150" s="1" t="str">
        <f>VLOOKUP(A150,[1]Detalle!$D$2:$CW$484,98,FALSE)</f>
        <v>CCU_MZA - Comp. Cerv. Unidas - MZA</v>
      </c>
    </row>
    <row r="151" spans="1:29" ht="14.25" customHeight="1" x14ac:dyDescent="0.3">
      <c r="A151" s="1" t="s">
        <v>75</v>
      </c>
      <c r="B151" s="1" t="s">
        <v>352</v>
      </c>
      <c r="C151" s="1" t="s">
        <v>343</v>
      </c>
      <c r="D151" s="1" t="s">
        <v>343</v>
      </c>
      <c r="E151" s="1">
        <v>0.5</v>
      </c>
      <c r="F151" s="1" t="s">
        <v>344</v>
      </c>
      <c r="G151" s="6">
        <v>45895</v>
      </c>
      <c r="H151" s="1">
        <v>60189.5</v>
      </c>
      <c r="I151" s="1">
        <v>80189.5</v>
      </c>
      <c r="J151" s="1">
        <v>4748.0999999999995</v>
      </c>
      <c r="K151" s="1">
        <v>15251.9</v>
      </c>
      <c r="L151" s="1">
        <v>64937.599999999999</v>
      </c>
      <c r="M151" s="1">
        <v>52</v>
      </c>
      <c r="N151" s="1">
        <v>83.847709677419346</v>
      </c>
      <c r="O151" s="1">
        <v>167.03498241401829</v>
      </c>
      <c r="P151" s="7">
        <v>45947</v>
      </c>
      <c r="Q151" s="1">
        <v>20000</v>
      </c>
      <c r="R151" s="7">
        <v>46114.034982418983</v>
      </c>
      <c r="S151" s="7">
        <v>46114</v>
      </c>
      <c r="T151" s="7" t="str">
        <f t="shared" si="0"/>
        <v>abril</v>
      </c>
      <c r="U151" s="1" t="s">
        <v>330</v>
      </c>
      <c r="X151" s="1" t="s">
        <v>347</v>
      </c>
      <c r="Y151" s="1" t="s">
        <v>348</v>
      </c>
      <c r="Z151" s="1">
        <v>1</v>
      </c>
      <c r="AA151" s="3">
        <v>19410.240000000002</v>
      </c>
      <c r="AB151" s="3">
        <v>19410.240000000002</v>
      </c>
      <c r="AC151" s="1" t="str">
        <f>VLOOKUP(A151,[1]Detalle!$D$2:$CW$484,98,FALSE)</f>
        <v>CCU_MZA - Comp. Cerv. Unidas - MZA</v>
      </c>
    </row>
    <row r="152" spans="1:29" ht="14.25" customHeight="1" x14ac:dyDescent="0.3">
      <c r="A152" s="1" t="s">
        <v>149</v>
      </c>
      <c r="B152" s="1">
        <v>1624</v>
      </c>
      <c r="C152" s="1" t="s">
        <v>343</v>
      </c>
      <c r="D152" s="1" t="s">
        <v>343</v>
      </c>
      <c r="E152" s="1">
        <v>0.5</v>
      </c>
      <c r="F152" s="1" t="s">
        <v>344</v>
      </c>
      <c r="G152" s="6">
        <v>45734</v>
      </c>
      <c r="H152" s="1">
        <v>662460</v>
      </c>
      <c r="I152" s="1">
        <v>682460</v>
      </c>
      <c r="J152" s="1">
        <v>20447.600000000009</v>
      </c>
      <c r="K152" s="1">
        <v>-447.60000000000582</v>
      </c>
      <c r="L152" s="1">
        <v>682907.6</v>
      </c>
      <c r="M152" s="1">
        <v>213</v>
      </c>
      <c r="N152" s="1">
        <v>113.6646794871796</v>
      </c>
      <c r="O152" s="1">
        <v>-4.6625912087482746</v>
      </c>
      <c r="P152" s="7">
        <v>45947</v>
      </c>
      <c r="Q152" s="1">
        <v>20000</v>
      </c>
      <c r="R152" s="7">
        <v>46122.956155335647</v>
      </c>
      <c r="S152" s="7">
        <v>46122</v>
      </c>
      <c r="T152" s="7" t="str">
        <f t="shared" si="0"/>
        <v>abril</v>
      </c>
      <c r="U152" s="1" t="s">
        <v>330</v>
      </c>
      <c r="X152" s="1" t="s">
        <v>345</v>
      </c>
      <c r="Y152" s="1" t="s">
        <v>346</v>
      </c>
      <c r="Z152" s="1">
        <v>1</v>
      </c>
      <c r="AA152" s="3">
        <v>10535.04</v>
      </c>
      <c r="AB152" s="3">
        <v>10535.04</v>
      </c>
      <c r="AC152" s="1" t="str">
        <f>VLOOKUP(A152,[1]Detalle!$D$2:$CW$484,98,FALSE)</f>
        <v>Papelera - Papelera del Plata S.A.</v>
      </c>
    </row>
    <row r="153" spans="1:29" ht="14.25" customHeight="1" x14ac:dyDescent="0.3">
      <c r="A153" s="1" t="s">
        <v>149</v>
      </c>
      <c r="B153" s="1">
        <v>1624</v>
      </c>
      <c r="C153" s="1" t="s">
        <v>343</v>
      </c>
      <c r="D153" s="1" t="s">
        <v>343</v>
      </c>
      <c r="E153" s="1">
        <v>0.5</v>
      </c>
      <c r="F153" s="1" t="s">
        <v>344</v>
      </c>
      <c r="G153" s="6">
        <v>45734</v>
      </c>
      <c r="H153" s="1">
        <v>662460</v>
      </c>
      <c r="I153" s="1">
        <v>682460</v>
      </c>
      <c r="J153" s="1">
        <v>20447.600000000009</v>
      </c>
      <c r="K153" s="1">
        <v>-447.60000000000582</v>
      </c>
      <c r="L153" s="1">
        <v>682907.6</v>
      </c>
      <c r="M153" s="1">
        <v>213</v>
      </c>
      <c r="N153" s="1">
        <v>113.6646794871796</v>
      </c>
      <c r="O153" s="1">
        <v>-4.6625912087482746</v>
      </c>
      <c r="P153" s="7">
        <v>45947</v>
      </c>
      <c r="Q153" s="1">
        <v>20000</v>
      </c>
      <c r="R153" s="7">
        <v>46122.956155335647</v>
      </c>
      <c r="S153" s="7">
        <v>46122</v>
      </c>
      <c r="T153" s="7" t="str">
        <f t="shared" si="0"/>
        <v>abril</v>
      </c>
      <c r="U153" s="1" t="s">
        <v>330</v>
      </c>
      <c r="X153" s="1" t="s">
        <v>347</v>
      </c>
      <c r="Y153" s="1" t="s">
        <v>348</v>
      </c>
      <c r="Z153" s="1">
        <v>1</v>
      </c>
      <c r="AA153" s="3">
        <v>19410.240000000002</v>
      </c>
      <c r="AB153" s="3">
        <v>19410.240000000002</v>
      </c>
      <c r="AC153" s="1" t="str">
        <f>VLOOKUP(A153,[1]Detalle!$D$2:$CW$484,98,FALSE)</f>
        <v>Papelera - Papelera del Plata S.A.</v>
      </c>
    </row>
    <row r="154" spans="1:29" ht="14.25" customHeight="1" x14ac:dyDescent="0.3">
      <c r="A154" s="1" t="s">
        <v>166</v>
      </c>
      <c r="B154" s="1" t="s">
        <v>351</v>
      </c>
      <c r="C154" s="1" t="s">
        <v>343</v>
      </c>
      <c r="D154" s="1" t="s">
        <v>343</v>
      </c>
      <c r="E154" s="1">
        <v>0.5</v>
      </c>
      <c r="F154" s="1" t="s">
        <v>344</v>
      </c>
      <c r="G154" s="6">
        <v>45737</v>
      </c>
      <c r="H154" s="1">
        <v>457869</v>
      </c>
      <c r="I154" s="1">
        <v>477869</v>
      </c>
      <c r="J154" s="1">
        <v>9177.2000000000044</v>
      </c>
      <c r="K154" s="1">
        <v>10822.8</v>
      </c>
      <c r="L154" s="1">
        <v>467046.2</v>
      </c>
      <c r="M154" s="1">
        <v>210</v>
      </c>
      <c r="N154" s="1">
        <v>39.232829581993563</v>
      </c>
      <c r="O154" s="1">
        <v>247.65592991326309</v>
      </c>
      <c r="P154" s="7">
        <v>45947</v>
      </c>
      <c r="Q154" s="1">
        <v>20000</v>
      </c>
      <c r="R154" s="7">
        <v>46194.655929918983</v>
      </c>
      <c r="S154" s="7">
        <v>46194</v>
      </c>
      <c r="T154" s="7" t="str">
        <f t="shared" si="0"/>
        <v>junio</v>
      </c>
      <c r="U154" s="1" t="s">
        <v>330</v>
      </c>
      <c r="X154" s="1" t="s">
        <v>345</v>
      </c>
      <c r="Y154" s="1" t="s">
        <v>346</v>
      </c>
      <c r="Z154" s="1">
        <v>1</v>
      </c>
      <c r="AA154" s="3">
        <v>10535.04</v>
      </c>
      <c r="AB154" s="3">
        <v>10535.04</v>
      </c>
      <c r="AC154" s="1" t="str">
        <f>VLOOKUP(A154,[1]Detalle!$D$2:$CW$484,98,FALSE)</f>
        <v>CCUCoAZA</v>
      </c>
    </row>
    <row r="155" spans="1:29" ht="14.25" customHeight="1" x14ac:dyDescent="0.3">
      <c r="A155" s="1" t="s">
        <v>166</v>
      </c>
      <c r="B155" s="1" t="s">
        <v>351</v>
      </c>
      <c r="C155" s="1" t="s">
        <v>343</v>
      </c>
      <c r="D155" s="1" t="s">
        <v>343</v>
      </c>
      <c r="E155" s="1">
        <v>0.5</v>
      </c>
      <c r="F155" s="1" t="s">
        <v>344</v>
      </c>
      <c r="G155" s="6">
        <v>45737</v>
      </c>
      <c r="H155" s="1">
        <v>457869</v>
      </c>
      <c r="I155" s="1">
        <v>477869</v>
      </c>
      <c r="J155" s="1">
        <v>9177.2000000000044</v>
      </c>
      <c r="K155" s="1">
        <v>10822.8</v>
      </c>
      <c r="L155" s="1">
        <v>467046.2</v>
      </c>
      <c r="M155" s="1">
        <v>210</v>
      </c>
      <c r="N155" s="1">
        <v>39.232829581993563</v>
      </c>
      <c r="O155" s="1">
        <v>247.65592991326309</v>
      </c>
      <c r="P155" s="7">
        <v>45947</v>
      </c>
      <c r="Q155" s="1">
        <v>20000</v>
      </c>
      <c r="R155" s="7">
        <v>46194.655929918983</v>
      </c>
      <c r="S155" s="7">
        <v>46194</v>
      </c>
      <c r="T155" s="7" t="str">
        <f t="shared" si="0"/>
        <v>junio</v>
      </c>
      <c r="U155" s="1" t="s">
        <v>330</v>
      </c>
      <c r="X155" s="1" t="s">
        <v>347</v>
      </c>
      <c r="Y155" s="1" t="s">
        <v>348</v>
      </c>
      <c r="Z155" s="1">
        <v>1</v>
      </c>
      <c r="AA155" s="3">
        <v>19410.240000000002</v>
      </c>
      <c r="AB155" s="3">
        <v>19410.240000000002</v>
      </c>
      <c r="AC155" s="1" t="str">
        <f>VLOOKUP(A155,[1]Detalle!$D$2:$CW$484,98,FALSE)</f>
        <v>CCUCoAZA</v>
      </c>
    </row>
    <row r="156" spans="1:29" ht="14.25" customHeight="1" x14ac:dyDescent="0.3">
      <c r="A156" s="1" t="s">
        <v>159</v>
      </c>
      <c r="B156" s="1">
        <v>1624</v>
      </c>
      <c r="C156" s="1" t="s">
        <v>343</v>
      </c>
      <c r="D156" s="1" t="s">
        <v>343</v>
      </c>
      <c r="E156" s="1">
        <v>0.5</v>
      </c>
      <c r="F156" s="1" t="s">
        <v>344</v>
      </c>
      <c r="G156" s="6">
        <v>45825</v>
      </c>
      <c r="H156" s="1">
        <v>809565</v>
      </c>
      <c r="I156" s="1">
        <v>829565</v>
      </c>
      <c r="J156" s="1">
        <v>8970.2999999999993</v>
      </c>
      <c r="K156" s="1">
        <v>11029.7</v>
      </c>
      <c r="L156" s="1">
        <v>818535.3</v>
      </c>
      <c r="M156" s="1">
        <v>122</v>
      </c>
      <c r="N156" s="1">
        <v>63.369638157894727</v>
      </c>
      <c r="O156" s="1">
        <v>150.00873995295589</v>
      </c>
      <c r="P156" s="7">
        <v>45947</v>
      </c>
      <c r="Q156" s="1">
        <v>20000</v>
      </c>
      <c r="R156" s="7">
        <v>46097.008739953701</v>
      </c>
      <c r="S156" s="7">
        <v>46097</v>
      </c>
      <c r="T156" s="7" t="str">
        <f t="shared" si="0"/>
        <v>marzo</v>
      </c>
      <c r="U156" s="1" t="s">
        <v>330</v>
      </c>
      <c r="X156" s="1" t="s">
        <v>345</v>
      </c>
      <c r="Y156" s="1" t="s">
        <v>346</v>
      </c>
      <c r="Z156" s="1">
        <v>1</v>
      </c>
      <c r="AA156" s="3">
        <v>10535.04</v>
      </c>
      <c r="AB156" s="3">
        <v>10535.04</v>
      </c>
      <c r="AC156" s="1" t="str">
        <f>VLOOKUP(A156,[1]Detalle!$D$2:$CW$484,98,FALSE)</f>
        <v>Papelera - Papelera del Plata S.A.</v>
      </c>
    </row>
    <row r="157" spans="1:29" ht="14.25" customHeight="1" x14ac:dyDescent="0.3">
      <c r="A157" s="1" t="s">
        <v>159</v>
      </c>
      <c r="B157" s="1">
        <v>1624</v>
      </c>
      <c r="C157" s="1" t="s">
        <v>343</v>
      </c>
      <c r="D157" s="1" t="s">
        <v>343</v>
      </c>
      <c r="E157" s="1">
        <v>0.5</v>
      </c>
      <c r="F157" s="1" t="s">
        <v>344</v>
      </c>
      <c r="G157" s="6">
        <v>45825</v>
      </c>
      <c r="H157" s="1">
        <v>809565</v>
      </c>
      <c r="I157" s="1">
        <v>829565</v>
      </c>
      <c r="J157" s="1">
        <v>8970.2999999999993</v>
      </c>
      <c r="K157" s="1">
        <v>11029.7</v>
      </c>
      <c r="L157" s="1">
        <v>818535.3</v>
      </c>
      <c r="M157" s="1">
        <v>122</v>
      </c>
      <c r="N157" s="1">
        <v>63.369638157894727</v>
      </c>
      <c r="O157" s="1">
        <v>150.00873995295589</v>
      </c>
      <c r="P157" s="7">
        <v>45947</v>
      </c>
      <c r="Q157" s="1">
        <v>20000</v>
      </c>
      <c r="R157" s="7">
        <v>46097.008739953701</v>
      </c>
      <c r="S157" s="7">
        <v>46097</v>
      </c>
      <c r="T157" s="7" t="str">
        <f t="shared" si="0"/>
        <v>marzo</v>
      </c>
      <c r="U157" s="1" t="s">
        <v>330</v>
      </c>
      <c r="X157" s="1" t="s">
        <v>347</v>
      </c>
      <c r="Y157" s="1" t="s">
        <v>348</v>
      </c>
      <c r="Z157" s="1">
        <v>1</v>
      </c>
      <c r="AA157" s="3">
        <v>19410.240000000002</v>
      </c>
      <c r="AB157" s="3">
        <v>19410.240000000002</v>
      </c>
      <c r="AC157" s="1" t="str">
        <f>VLOOKUP(A157,[1]Detalle!$D$2:$CW$484,98,FALSE)</f>
        <v>Papelera - Papelera del Plata S.A.</v>
      </c>
    </row>
    <row r="158" spans="1:29" ht="14.25" customHeight="1" x14ac:dyDescent="0.3">
      <c r="A158" s="1" t="s">
        <v>161</v>
      </c>
      <c r="B158" s="1">
        <v>1624</v>
      </c>
      <c r="C158" s="1" t="s">
        <v>343</v>
      </c>
      <c r="D158" s="1" t="s">
        <v>343</v>
      </c>
      <c r="E158" s="1">
        <v>0.5</v>
      </c>
      <c r="F158" s="1" t="s">
        <v>344</v>
      </c>
      <c r="G158" s="6">
        <v>45820</v>
      </c>
      <c r="H158" s="1">
        <v>657691</v>
      </c>
      <c r="I158" s="1">
        <v>677691</v>
      </c>
      <c r="J158" s="1">
        <v>12543.4</v>
      </c>
      <c r="K158" s="1">
        <v>7456.6000000000022</v>
      </c>
      <c r="L158" s="1">
        <v>670234.4</v>
      </c>
      <c r="M158" s="1">
        <v>127</v>
      </c>
      <c r="N158" s="1">
        <v>112.4813870967742</v>
      </c>
      <c r="O158" s="1">
        <v>75.496930656759758</v>
      </c>
      <c r="P158" s="7">
        <v>45947</v>
      </c>
      <c r="Q158" s="1">
        <v>20000</v>
      </c>
      <c r="R158" s="7">
        <v>46200.304126284733</v>
      </c>
      <c r="S158" s="7">
        <v>46200</v>
      </c>
      <c r="T158" s="7" t="str">
        <f t="shared" si="0"/>
        <v>junio</v>
      </c>
      <c r="U158" s="1" t="s">
        <v>330</v>
      </c>
      <c r="X158" s="1" t="s">
        <v>345</v>
      </c>
      <c r="Y158" s="1" t="s">
        <v>346</v>
      </c>
      <c r="Z158" s="1">
        <v>1</v>
      </c>
      <c r="AA158" s="3">
        <v>10535.04</v>
      </c>
      <c r="AB158" s="3">
        <v>10535.04</v>
      </c>
      <c r="AC158" s="1" t="str">
        <f>VLOOKUP(A158,[1]Detalle!$D$2:$CW$484,98,FALSE)</f>
        <v>Unilever - Unilever de Arg. S.A.</v>
      </c>
    </row>
    <row r="159" spans="1:29" ht="14.25" customHeight="1" x14ac:dyDescent="0.3">
      <c r="A159" s="1" t="s">
        <v>161</v>
      </c>
      <c r="B159" s="1">
        <v>1624</v>
      </c>
      <c r="C159" s="1" t="s">
        <v>343</v>
      </c>
      <c r="D159" s="1" t="s">
        <v>343</v>
      </c>
      <c r="E159" s="1">
        <v>0.5</v>
      </c>
      <c r="F159" s="1" t="s">
        <v>344</v>
      </c>
      <c r="G159" s="6">
        <v>45820</v>
      </c>
      <c r="H159" s="1">
        <v>657691</v>
      </c>
      <c r="I159" s="1">
        <v>677691</v>
      </c>
      <c r="J159" s="1">
        <v>12543.4</v>
      </c>
      <c r="K159" s="1">
        <v>7456.6000000000022</v>
      </c>
      <c r="L159" s="1">
        <v>670234.4</v>
      </c>
      <c r="M159" s="1">
        <v>127</v>
      </c>
      <c r="N159" s="1">
        <v>112.4813870967742</v>
      </c>
      <c r="O159" s="1">
        <v>75.496930656759758</v>
      </c>
      <c r="P159" s="7">
        <v>45947</v>
      </c>
      <c r="Q159" s="1">
        <v>20000</v>
      </c>
      <c r="R159" s="7">
        <v>46200.304126284733</v>
      </c>
      <c r="S159" s="7">
        <v>46200</v>
      </c>
      <c r="T159" s="7" t="str">
        <f t="shared" si="0"/>
        <v>junio</v>
      </c>
      <c r="U159" s="1" t="s">
        <v>330</v>
      </c>
      <c r="X159" s="1" t="s">
        <v>347</v>
      </c>
      <c r="Y159" s="1" t="s">
        <v>348</v>
      </c>
      <c r="Z159" s="1">
        <v>1</v>
      </c>
      <c r="AA159" s="3">
        <v>19410.240000000002</v>
      </c>
      <c r="AB159" s="3">
        <v>19410.240000000002</v>
      </c>
      <c r="AC159" s="1" t="str">
        <f>VLOOKUP(A159,[1]Detalle!$D$2:$CW$484,98,FALSE)</f>
        <v>Unilever - Unilever de Arg. S.A.</v>
      </c>
    </row>
    <row r="160" spans="1:29" ht="14.25" customHeight="1" x14ac:dyDescent="0.3">
      <c r="A160" s="1" t="s">
        <v>152</v>
      </c>
      <c r="B160" s="1" t="s">
        <v>351</v>
      </c>
      <c r="C160" s="1" t="s">
        <v>343</v>
      </c>
      <c r="D160" s="1" t="s">
        <v>343</v>
      </c>
      <c r="E160" s="1">
        <v>0.5</v>
      </c>
      <c r="F160" s="1" t="s">
        <v>344</v>
      </c>
      <c r="G160" s="6">
        <v>45845</v>
      </c>
      <c r="H160" s="1">
        <v>958885</v>
      </c>
      <c r="I160" s="1">
        <v>978885</v>
      </c>
      <c r="J160" s="1">
        <v>14167.3</v>
      </c>
      <c r="K160" s="1">
        <v>5832.7000000000044</v>
      </c>
      <c r="L160" s="1">
        <v>973052.3</v>
      </c>
      <c r="M160" s="1">
        <v>102</v>
      </c>
      <c r="N160" s="1">
        <v>132.10963696369629</v>
      </c>
      <c r="O160" s="1">
        <v>41.993562640729053</v>
      </c>
      <c r="P160" s="7">
        <v>45947</v>
      </c>
      <c r="Q160" s="1">
        <v>20000</v>
      </c>
      <c r="R160" s="7">
        <v>46140.382972673608</v>
      </c>
      <c r="S160" s="7">
        <v>46140</v>
      </c>
      <c r="T160" s="7" t="str">
        <f t="shared" si="0"/>
        <v>abril</v>
      </c>
      <c r="U160" s="1" t="s">
        <v>330</v>
      </c>
      <c r="X160" s="1" t="s">
        <v>345</v>
      </c>
      <c r="Y160" s="1" t="s">
        <v>346</v>
      </c>
      <c r="Z160" s="1">
        <v>1</v>
      </c>
      <c r="AA160" s="3">
        <v>10535.04</v>
      </c>
      <c r="AB160" s="3">
        <v>10535.04</v>
      </c>
      <c r="AC160" s="1" t="str">
        <f>VLOOKUP(A160,[1]Detalle!$D$2:$CW$484,98,FALSE)</f>
        <v>SUC_REA - Sucursal Realicó</v>
      </c>
    </row>
    <row r="161" spans="1:29" ht="14.25" customHeight="1" x14ac:dyDescent="0.3">
      <c r="A161" s="1" t="s">
        <v>152</v>
      </c>
      <c r="B161" s="1" t="s">
        <v>351</v>
      </c>
      <c r="C161" s="1" t="s">
        <v>343</v>
      </c>
      <c r="D161" s="1" t="s">
        <v>343</v>
      </c>
      <c r="E161" s="1">
        <v>0.5</v>
      </c>
      <c r="F161" s="1" t="s">
        <v>344</v>
      </c>
      <c r="G161" s="6">
        <v>45845</v>
      </c>
      <c r="H161" s="1">
        <v>958885</v>
      </c>
      <c r="I161" s="1">
        <v>978885</v>
      </c>
      <c r="J161" s="1">
        <v>14167.3</v>
      </c>
      <c r="K161" s="1">
        <v>5832.7000000000044</v>
      </c>
      <c r="L161" s="1">
        <v>973052.3</v>
      </c>
      <c r="M161" s="1">
        <v>102</v>
      </c>
      <c r="N161" s="1">
        <v>132.10963696369629</v>
      </c>
      <c r="O161" s="1">
        <v>41.993562640729053</v>
      </c>
      <c r="P161" s="7">
        <v>45947</v>
      </c>
      <c r="Q161" s="1">
        <v>20000</v>
      </c>
      <c r="R161" s="7">
        <v>46140.382972673608</v>
      </c>
      <c r="S161" s="7">
        <v>46140</v>
      </c>
      <c r="T161" s="7" t="str">
        <f t="shared" si="0"/>
        <v>abril</v>
      </c>
      <c r="U161" s="1" t="s">
        <v>330</v>
      </c>
      <c r="X161" s="1" t="s">
        <v>347</v>
      </c>
      <c r="Y161" s="1" t="s">
        <v>348</v>
      </c>
      <c r="Z161" s="1">
        <v>1</v>
      </c>
      <c r="AA161" s="3">
        <v>19410.240000000002</v>
      </c>
      <c r="AB161" s="3">
        <v>19410.240000000002</v>
      </c>
      <c r="AC161" s="1" t="str">
        <f>VLOOKUP(A161,[1]Detalle!$D$2:$CW$484,98,FALSE)</f>
        <v>SUC_REA - Sucursal Realicó</v>
      </c>
    </row>
    <row r="162" spans="1:29" ht="14.25" customHeight="1" x14ac:dyDescent="0.3">
      <c r="A162" s="1" t="s">
        <v>61</v>
      </c>
      <c r="B162" s="1" t="s">
        <v>352</v>
      </c>
      <c r="C162" s="1" t="s">
        <v>343</v>
      </c>
      <c r="D162" s="1" t="s">
        <v>343</v>
      </c>
      <c r="E162" s="1">
        <v>0.5</v>
      </c>
      <c r="F162" s="1" t="s">
        <v>344</v>
      </c>
      <c r="G162" s="6">
        <v>45702</v>
      </c>
      <c r="H162" s="1">
        <v>44127.9</v>
      </c>
      <c r="I162" s="1">
        <v>64127.9</v>
      </c>
      <c r="J162" s="1">
        <v>9317.4000000000033</v>
      </c>
      <c r="K162" s="1">
        <v>10682.6</v>
      </c>
      <c r="L162" s="1">
        <v>53445.3</v>
      </c>
      <c r="M162" s="1">
        <v>245</v>
      </c>
      <c r="N162" s="1">
        <v>40.395367647058812</v>
      </c>
      <c r="O162" s="1">
        <v>280.89778264322638</v>
      </c>
      <c r="P162" s="7">
        <v>45947</v>
      </c>
      <c r="Q162" s="1">
        <v>20000</v>
      </c>
      <c r="R162" s="7">
        <v>46227.897782638887</v>
      </c>
      <c r="S162" s="7">
        <v>46227</v>
      </c>
      <c r="T162" s="7" t="str">
        <f t="shared" si="0"/>
        <v>julio</v>
      </c>
      <c r="U162" s="1" t="s">
        <v>330</v>
      </c>
      <c r="X162" s="1" t="s">
        <v>345</v>
      </c>
      <c r="Y162" s="1" t="s">
        <v>346</v>
      </c>
      <c r="Z162" s="1">
        <v>1</v>
      </c>
      <c r="AA162" s="3">
        <v>10535.04</v>
      </c>
      <c r="AB162" s="3">
        <v>10535.04</v>
      </c>
      <c r="AC162" s="1" t="str">
        <f>VLOOKUP(A162,[1]Detalle!$D$2:$CW$484,98,FALSE)</f>
        <v>CCU_MZA - Comp. Cerv. Unidas - MZA</v>
      </c>
    </row>
    <row r="163" spans="1:29" ht="14.25" customHeight="1" x14ac:dyDescent="0.3">
      <c r="A163" s="1" t="s">
        <v>61</v>
      </c>
      <c r="B163" s="1" t="s">
        <v>352</v>
      </c>
      <c r="C163" s="1" t="s">
        <v>343</v>
      </c>
      <c r="D163" s="1" t="s">
        <v>343</v>
      </c>
      <c r="E163" s="1">
        <v>0.5</v>
      </c>
      <c r="F163" s="1" t="s">
        <v>344</v>
      </c>
      <c r="G163" s="6">
        <v>45702</v>
      </c>
      <c r="H163" s="1">
        <v>44127.9</v>
      </c>
      <c r="I163" s="1">
        <v>64127.9</v>
      </c>
      <c r="J163" s="1">
        <v>9317.4000000000033</v>
      </c>
      <c r="K163" s="1">
        <v>10682.6</v>
      </c>
      <c r="L163" s="1">
        <v>53445.3</v>
      </c>
      <c r="M163" s="1">
        <v>245</v>
      </c>
      <c r="N163" s="1">
        <v>40.395367647058812</v>
      </c>
      <c r="O163" s="1">
        <v>280.89778264322638</v>
      </c>
      <c r="P163" s="7">
        <v>45947</v>
      </c>
      <c r="Q163" s="1">
        <v>20000</v>
      </c>
      <c r="R163" s="7">
        <v>46227.897782638887</v>
      </c>
      <c r="S163" s="7">
        <v>46227</v>
      </c>
      <c r="T163" s="7" t="str">
        <f t="shared" si="0"/>
        <v>julio</v>
      </c>
      <c r="U163" s="1" t="s">
        <v>330</v>
      </c>
      <c r="X163" s="1" t="s">
        <v>347</v>
      </c>
      <c r="Y163" s="1" t="s">
        <v>348</v>
      </c>
      <c r="Z163" s="1">
        <v>1</v>
      </c>
      <c r="AA163" s="3">
        <v>19410.240000000002</v>
      </c>
      <c r="AB163" s="3">
        <v>19410.240000000002</v>
      </c>
      <c r="AC163" s="1" t="str">
        <f>VLOOKUP(A163,[1]Detalle!$D$2:$CW$484,98,FALSE)</f>
        <v>CCU_MZA - Comp. Cerv. Unidas - MZA</v>
      </c>
    </row>
    <row r="164" spans="1:29" ht="14.25" customHeight="1" x14ac:dyDescent="0.3">
      <c r="A164" s="1" t="s">
        <v>15</v>
      </c>
      <c r="B164" s="1" t="s">
        <v>353</v>
      </c>
      <c r="C164" s="1" t="s">
        <v>343</v>
      </c>
      <c r="D164" s="1" t="s">
        <v>343</v>
      </c>
      <c r="E164" s="1">
        <v>0.5</v>
      </c>
      <c r="F164" s="1" t="s">
        <v>344</v>
      </c>
      <c r="G164" s="6">
        <v>45848</v>
      </c>
      <c r="H164" s="1">
        <v>697850</v>
      </c>
      <c r="I164" s="1">
        <v>717850</v>
      </c>
      <c r="J164" s="1">
        <v>28772.999999999989</v>
      </c>
      <c r="K164" s="1">
        <v>-8772.9999999999891</v>
      </c>
      <c r="L164" s="1">
        <v>726623</v>
      </c>
      <c r="M164" s="1">
        <v>99</v>
      </c>
      <c r="N164" s="1">
        <v>365</v>
      </c>
      <c r="O164" s="1">
        <v>-30.185486393493871</v>
      </c>
      <c r="P164" s="7">
        <v>45947</v>
      </c>
      <c r="Q164" s="1">
        <v>20000</v>
      </c>
      <c r="R164" s="7">
        <v>46056.589041099527</v>
      </c>
      <c r="S164" s="7">
        <v>46056</v>
      </c>
      <c r="T164" s="7" t="str">
        <f t="shared" si="0"/>
        <v>febrero</v>
      </c>
      <c r="U164" s="1" t="s">
        <v>330</v>
      </c>
      <c r="V164" s="6">
        <v>46056.589041099527</v>
      </c>
      <c r="W164" s="6">
        <v>46111.383561643517</v>
      </c>
      <c r="X164" s="1" t="s">
        <v>345</v>
      </c>
      <c r="Y164" s="1" t="s">
        <v>346</v>
      </c>
      <c r="Z164" s="1">
        <v>1</v>
      </c>
      <c r="AA164" s="3">
        <v>10535.04</v>
      </c>
      <c r="AB164" s="3">
        <v>10535.04</v>
      </c>
      <c r="AC164" s="1" t="str">
        <f>VLOOKUP(A164,[1]Detalle!$D$2:$CW$484,98,FALSE)</f>
        <v>CENCOMLD - Cencosud SA - Mendoza</v>
      </c>
    </row>
    <row r="165" spans="1:29" ht="14.25" customHeight="1" x14ac:dyDescent="0.3">
      <c r="A165" s="1" t="s">
        <v>15</v>
      </c>
      <c r="B165" s="1" t="s">
        <v>353</v>
      </c>
      <c r="C165" s="1" t="s">
        <v>343</v>
      </c>
      <c r="D165" s="1" t="s">
        <v>343</v>
      </c>
      <c r="E165" s="1">
        <v>0.5</v>
      </c>
      <c r="F165" s="1" t="s">
        <v>344</v>
      </c>
      <c r="G165" s="6">
        <v>45848</v>
      </c>
      <c r="H165" s="1">
        <v>697850</v>
      </c>
      <c r="I165" s="1">
        <v>717850</v>
      </c>
      <c r="J165" s="1">
        <v>28772.999999999989</v>
      </c>
      <c r="K165" s="1">
        <v>-8772.9999999999891</v>
      </c>
      <c r="L165" s="1">
        <v>726623</v>
      </c>
      <c r="M165" s="1">
        <v>99</v>
      </c>
      <c r="N165" s="1">
        <v>365</v>
      </c>
      <c r="O165" s="1">
        <v>-30.185486393493871</v>
      </c>
      <c r="P165" s="7">
        <v>45947</v>
      </c>
      <c r="Q165" s="1">
        <v>20000</v>
      </c>
      <c r="R165" s="7">
        <v>46056.589041099527</v>
      </c>
      <c r="S165" s="7">
        <v>46056</v>
      </c>
      <c r="T165" s="7" t="str">
        <f t="shared" si="0"/>
        <v>febrero</v>
      </c>
      <c r="U165" s="1" t="s">
        <v>330</v>
      </c>
      <c r="V165" s="6">
        <v>46056.589041099527</v>
      </c>
      <c r="W165" s="6">
        <v>46111.383561643517</v>
      </c>
      <c r="X165" s="1" t="s">
        <v>347</v>
      </c>
      <c r="Y165" s="1" t="s">
        <v>348</v>
      </c>
      <c r="Z165" s="1">
        <v>1</v>
      </c>
      <c r="AA165" s="3">
        <v>19410.240000000002</v>
      </c>
      <c r="AB165" s="3">
        <v>19410.240000000002</v>
      </c>
      <c r="AC165" s="1" t="str">
        <f>VLOOKUP(A165,[1]Detalle!$D$2:$CW$484,98,FALSE)</f>
        <v>CENCOMLD - Cencosud SA - Mendoza</v>
      </c>
    </row>
    <row r="166" spans="1:29" ht="14.25" customHeight="1" x14ac:dyDescent="0.3">
      <c r="A166" s="1" t="s">
        <v>242</v>
      </c>
      <c r="B166" s="1" t="s">
        <v>341</v>
      </c>
      <c r="C166" s="1" t="s">
        <v>343</v>
      </c>
      <c r="D166" s="1" t="s">
        <v>343</v>
      </c>
      <c r="E166" s="1">
        <v>0.5</v>
      </c>
      <c r="F166" s="1" t="s">
        <v>344</v>
      </c>
      <c r="G166" s="6">
        <v>45763</v>
      </c>
      <c r="H166" s="1">
        <v>435565</v>
      </c>
      <c r="I166" s="1">
        <v>455565</v>
      </c>
      <c r="J166" s="1">
        <v>16726.900000000001</v>
      </c>
      <c r="K166" s="1">
        <v>3273.099999999999</v>
      </c>
      <c r="L166" s="1">
        <v>452291.9</v>
      </c>
      <c r="M166" s="1">
        <v>184</v>
      </c>
      <c r="N166" s="1">
        <v>76.02181229773467</v>
      </c>
      <c r="O166" s="1">
        <v>36.004902283148681</v>
      </c>
      <c r="P166" s="7">
        <v>45947</v>
      </c>
      <c r="Q166" s="1">
        <v>20000</v>
      </c>
      <c r="R166" s="7">
        <v>46246.087291342592</v>
      </c>
      <c r="S166" s="7">
        <v>46246</v>
      </c>
      <c r="T166" s="7" t="str">
        <f t="shared" si="0"/>
        <v>agosto</v>
      </c>
      <c r="U166" s="1" t="s">
        <v>330</v>
      </c>
      <c r="X166" s="1" t="s">
        <v>345</v>
      </c>
      <c r="Y166" s="1" t="s">
        <v>346</v>
      </c>
      <c r="Z166" s="1">
        <v>1</v>
      </c>
      <c r="AA166" s="3">
        <v>10535.04</v>
      </c>
      <c r="AB166" s="3">
        <v>10535.04</v>
      </c>
      <c r="AC166" s="1" t="str">
        <f>VLOOKUP(A166,[1]Detalle!$D$2:$CW$484,98,FALSE)</f>
        <v>Papelera - Papelera del Plata S.A.</v>
      </c>
    </row>
    <row r="167" spans="1:29" ht="14.25" customHeight="1" x14ac:dyDescent="0.3">
      <c r="A167" s="1" t="s">
        <v>242</v>
      </c>
      <c r="B167" s="1" t="s">
        <v>341</v>
      </c>
      <c r="C167" s="1" t="s">
        <v>343</v>
      </c>
      <c r="D167" s="1" t="s">
        <v>343</v>
      </c>
      <c r="E167" s="1">
        <v>0.5</v>
      </c>
      <c r="F167" s="1" t="s">
        <v>344</v>
      </c>
      <c r="G167" s="6">
        <v>45763</v>
      </c>
      <c r="H167" s="1">
        <v>435565</v>
      </c>
      <c r="I167" s="1">
        <v>455565</v>
      </c>
      <c r="J167" s="1">
        <v>16726.900000000001</v>
      </c>
      <c r="K167" s="1">
        <v>3273.099999999999</v>
      </c>
      <c r="L167" s="1">
        <v>452291.9</v>
      </c>
      <c r="M167" s="1">
        <v>184</v>
      </c>
      <c r="N167" s="1">
        <v>76.02181229773467</v>
      </c>
      <c r="O167" s="1">
        <v>36.004902283148681</v>
      </c>
      <c r="P167" s="7">
        <v>45947</v>
      </c>
      <c r="Q167" s="1">
        <v>20000</v>
      </c>
      <c r="R167" s="7">
        <v>46246.087291342592</v>
      </c>
      <c r="S167" s="7">
        <v>46246</v>
      </c>
      <c r="T167" s="7" t="str">
        <f t="shared" si="0"/>
        <v>agosto</v>
      </c>
      <c r="U167" s="1" t="s">
        <v>330</v>
      </c>
      <c r="X167" s="1" t="s">
        <v>347</v>
      </c>
      <c r="Y167" s="1" t="s">
        <v>348</v>
      </c>
      <c r="Z167" s="1">
        <v>1</v>
      </c>
      <c r="AA167" s="3">
        <v>19410.240000000002</v>
      </c>
      <c r="AB167" s="3">
        <v>19410.240000000002</v>
      </c>
      <c r="AC167" s="1" t="str">
        <f>VLOOKUP(A167,[1]Detalle!$D$2:$CW$484,98,FALSE)</f>
        <v>Papelera - Papelera del Plata S.A.</v>
      </c>
    </row>
    <row r="168" spans="1:29" ht="14.25" customHeight="1" x14ac:dyDescent="0.3">
      <c r="A168" s="1" t="s">
        <v>136</v>
      </c>
      <c r="B168" s="1">
        <v>1624</v>
      </c>
      <c r="C168" s="1" t="s">
        <v>343</v>
      </c>
      <c r="D168" s="1" t="s">
        <v>343</v>
      </c>
      <c r="E168" s="1">
        <v>0.5</v>
      </c>
      <c r="F168" s="1" t="s">
        <v>344</v>
      </c>
      <c r="G168" s="6">
        <v>45763</v>
      </c>
      <c r="H168" s="1">
        <v>255203</v>
      </c>
      <c r="I168" s="1">
        <v>275203</v>
      </c>
      <c r="J168" s="1">
        <v>12233.500000000009</v>
      </c>
      <c r="K168" s="1">
        <v>7766.4999999999927</v>
      </c>
      <c r="L168" s="1">
        <v>267436.5</v>
      </c>
      <c r="M168" s="1">
        <v>184</v>
      </c>
      <c r="N168" s="1">
        <v>57.024096774193573</v>
      </c>
      <c r="O168" s="1">
        <v>116.81334041770531</v>
      </c>
      <c r="P168" s="7">
        <v>45947</v>
      </c>
      <c r="Q168" s="1">
        <v>20000</v>
      </c>
      <c r="R168" s="7">
        <v>46063.813340416673</v>
      </c>
      <c r="S168" s="7">
        <v>46063</v>
      </c>
      <c r="T168" s="7" t="str">
        <f t="shared" si="0"/>
        <v>febrero</v>
      </c>
      <c r="U168" s="1" t="s">
        <v>330</v>
      </c>
      <c r="X168" s="1" t="s">
        <v>345</v>
      </c>
      <c r="Y168" s="1" t="s">
        <v>346</v>
      </c>
      <c r="Z168" s="1">
        <v>1</v>
      </c>
      <c r="AA168" s="3">
        <v>10535.04</v>
      </c>
      <c r="AB168" s="3">
        <v>10535.04</v>
      </c>
      <c r="AC168" s="1" t="str">
        <f>VLOOKUP(A168,[1]Detalle!$D$2:$CW$484,98,FALSE)</f>
        <v>Topacio</v>
      </c>
    </row>
    <row r="169" spans="1:29" ht="14.25" customHeight="1" x14ac:dyDescent="0.3">
      <c r="A169" s="1" t="s">
        <v>136</v>
      </c>
      <c r="B169" s="1">
        <v>1624</v>
      </c>
      <c r="C169" s="1" t="s">
        <v>343</v>
      </c>
      <c r="D169" s="1" t="s">
        <v>343</v>
      </c>
      <c r="E169" s="1">
        <v>0.5</v>
      </c>
      <c r="F169" s="1" t="s">
        <v>344</v>
      </c>
      <c r="G169" s="6">
        <v>45763</v>
      </c>
      <c r="H169" s="1">
        <v>255203</v>
      </c>
      <c r="I169" s="1">
        <v>275203</v>
      </c>
      <c r="J169" s="1">
        <v>12233.500000000009</v>
      </c>
      <c r="K169" s="1">
        <v>7766.4999999999927</v>
      </c>
      <c r="L169" s="1">
        <v>267436.5</v>
      </c>
      <c r="M169" s="1">
        <v>184</v>
      </c>
      <c r="N169" s="1">
        <v>57.024096774193573</v>
      </c>
      <c r="O169" s="1">
        <v>116.81334041770531</v>
      </c>
      <c r="P169" s="7">
        <v>45947</v>
      </c>
      <c r="Q169" s="1">
        <v>20000</v>
      </c>
      <c r="R169" s="7">
        <v>46063.813340416673</v>
      </c>
      <c r="S169" s="7">
        <v>46063</v>
      </c>
      <c r="T169" s="7" t="str">
        <f t="shared" si="0"/>
        <v>febrero</v>
      </c>
      <c r="U169" s="1" t="s">
        <v>330</v>
      </c>
      <c r="X169" s="1" t="s">
        <v>347</v>
      </c>
      <c r="Y169" s="1" t="s">
        <v>348</v>
      </c>
      <c r="Z169" s="1">
        <v>1</v>
      </c>
      <c r="AA169" s="3">
        <v>19410.240000000002</v>
      </c>
      <c r="AB169" s="3">
        <v>19410.240000000002</v>
      </c>
      <c r="AC169" s="1" t="str">
        <f>VLOOKUP(A169,[1]Detalle!$D$2:$CW$484,98,FALSE)</f>
        <v>Topacio</v>
      </c>
    </row>
    <row r="170" spans="1:29" ht="14.25" customHeight="1" x14ac:dyDescent="0.3">
      <c r="A170" s="1" t="s">
        <v>170</v>
      </c>
      <c r="B170" s="1" t="s">
        <v>351</v>
      </c>
      <c r="C170" s="1" t="s">
        <v>328</v>
      </c>
      <c r="D170" s="1" t="s">
        <v>328</v>
      </c>
      <c r="E170" s="1">
        <v>0.75</v>
      </c>
      <c r="F170" s="1" t="s">
        <v>329</v>
      </c>
      <c r="G170" s="6">
        <v>45889</v>
      </c>
      <c r="H170" s="1">
        <v>62545.1</v>
      </c>
      <c r="I170" s="1">
        <v>82545.100000000006</v>
      </c>
      <c r="J170" s="1">
        <v>3570.8999999999992</v>
      </c>
      <c r="K170" s="1">
        <v>16429.099999999999</v>
      </c>
      <c r="L170" s="1">
        <v>66116</v>
      </c>
      <c r="M170" s="1">
        <v>58</v>
      </c>
      <c r="N170" s="1">
        <v>124.4065073529412</v>
      </c>
      <c r="O170" s="1">
        <v>266.84807751547243</v>
      </c>
      <c r="P170" s="7">
        <v>45947</v>
      </c>
      <c r="Q170" s="1">
        <v>20000</v>
      </c>
      <c r="R170" s="7">
        <v>46213.848077511568</v>
      </c>
      <c r="S170" s="7">
        <v>46213</v>
      </c>
      <c r="T170" s="7" t="str">
        <f t="shared" si="0"/>
        <v>julio</v>
      </c>
      <c r="U170" s="1" t="s">
        <v>330</v>
      </c>
      <c r="X170" s="1" t="s">
        <v>331</v>
      </c>
      <c r="Y170" s="1" t="s">
        <v>332</v>
      </c>
      <c r="Z170" s="1">
        <v>16</v>
      </c>
      <c r="AA170" s="3">
        <v>3389.9</v>
      </c>
      <c r="AB170" s="3">
        <v>54238.400000000001</v>
      </c>
      <c r="AC170" s="1" t="str">
        <f>VLOOKUP(A170,[1]Detalle!$D$2:$CW$484,98,FALSE)</f>
        <v>SUC_REA - Sucursal Realicó</v>
      </c>
    </row>
    <row r="171" spans="1:29" ht="14.25" customHeight="1" x14ac:dyDescent="0.3">
      <c r="A171" s="1" t="s">
        <v>170</v>
      </c>
      <c r="B171" s="1" t="s">
        <v>351</v>
      </c>
      <c r="C171" s="1" t="s">
        <v>328</v>
      </c>
      <c r="D171" s="1" t="s">
        <v>328</v>
      </c>
      <c r="E171" s="1">
        <v>0.75</v>
      </c>
      <c r="F171" s="1" t="s">
        <v>329</v>
      </c>
      <c r="G171" s="6">
        <v>45889</v>
      </c>
      <c r="H171" s="1">
        <v>62545.1</v>
      </c>
      <c r="I171" s="1">
        <v>82545.100000000006</v>
      </c>
      <c r="J171" s="1">
        <v>3570.8999999999992</v>
      </c>
      <c r="K171" s="1">
        <v>16429.099999999999</v>
      </c>
      <c r="L171" s="1">
        <v>66116</v>
      </c>
      <c r="M171" s="1">
        <v>58</v>
      </c>
      <c r="N171" s="1">
        <v>124.4065073529412</v>
      </c>
      <c r="O171" s="1">
        <v>266.84807751547243</v>
      </c>
      <c r="P171" s="7">
        <v>45947</v>
      </c>
      <c r="Q171" s="1">
        <v>20000</v>
      </c>
      <c r="R171" s="7">
        <v>46213.848077511568</v>
      </c>
      <c r="S171" s="7">
        <v>46213</v>
      </c>
      <c r="T171" s="7" t="str">
        <f t="shared" si="0"/>
        <v>julio</v>
      </c>
      <c r="U171" s="1" t="s">
        <v>330</v>
      </c>
      <c r="X171" s="1" t="s">
        <v>333</v>
      </c>
      <c r="Y171" s="1" t="s">
        <v>334</v>
      </c>
      <c r="Z171" s="1">
        <v>1</v>
      </c>
      <c r="AA171" s="3">
        <v>8513.2800000000007</v>
      </c>
      <c r="AB171" s="3">
        <v>8513.2800000000007</v>
      </c>
      <c r="AC171" s="1" t="str">
        <f>VLOOKUP(A171,[1]Detalle!$D$2:$CW$484,98,FALSE)</f>
        <v>SUC_REA - Sucursal Realicó</v>
      </c>
    </row>
    <row r="172" spans="1:29" ht="14.25" customHeight="1" x14ac:dyDescent="0.3">
      <c r="A172" s="1" t="s">
        <v>179</v>
      </c>
      <c r="B172" s="1" t="s">
        <v>340</v>
      </c>
      <c r="C172" s="1" t="s">
        <v>343</v>
      </c>
      <c r="D172" s="1" t="s">
        <v>343</v>
      </c>
      <c r="E172" s="1">
        <v>0.5</v>
      </c>
      <c r="F172" s="1" t="s">
        <v>344</v>
      </c>
      <c r="G172" s="6">
        <v>45742</v>
      </c>
      <c r="H172" s="1">
        <v>283696</v>
      </c>
      <c r="I172" s="1">
        <v>303696</v>
      </c>
      <c r="J172" s="1">
        <v>7346.0000000000036</v>
      </c>
      <c r="K172" s="1">
        <v>12654</v>
      </c>
      <c r="L172" s="1">
        <v>291042</v>
      </c>
      <c r="M172" s="1">
        <v>205</v>
      </c>
      <c r="N172" s="1">
        <v>34.247774193548388</v>
      </c>
      <c r="O172" s="1">
        <v>353.12687176694772</v>
      </c>
      <c r="P172" s="7">
        <v>45947</v>
      </c>
      <c r="Q172" s="1">
        <v>20000</v>
      </c>
      <c r="R172" s="7">
        <v>46300.12687177083</v>
      </c>
      <c r="S172" s="7">
        <v>46300</v>
      </c>
      <c r="T172" s="7" t="str">
        <f t="shared" si="0"/>
        <v>octubre</v>
      </c>
      <c r="U172" s="1" t="s">
        <v>330</v>
      </c>
      <c r="X172" s="1" t="s">
        <v>345</v>
      </c>
      <c r="Y172" s="1" t="s">
        <v>346</v>
      </c>
      <c r="Z172" s="1">
        <v>1</v>
      </c>
      <c r="AA172" s="3">
        <v>10535.04</v>
      </c>
      <c r="AB172" s="3">
        <v>10535.04</v>
      </c>
      <c r="AC172" s="1" t="str">
        <f>VLOOKUP(A172,[1]Detalle!$D$2:$CW$484,98,FALSE)</f>
        <v>CCUCoAZA</v>
      </c>
    </row>
    <row r="173" spans="1:29" ht="14.25" customHeight="1" x14ac:dyDescent="0.3">
      <c r="A173" s="1" t="s">
        <v>179</v>
      </c>
      <c r="B173" s="1" t="s">
        <v>340</v>
      </c>
      <c r="C173" s="1" t="s">
        <v>343</v>
      </c>
      <c r="D173" s="1" t="s">
        <v>343</v>
      </c>
      <c r="E173" s="1">
        <v>0.5</v>
      </c>
      <c r="F173" s="1" t="s">
        <v>344</v>
      </c>
      <c r="G173" s="6">
        <v>45742</v>
      </c>
      <c r="H173" s="1">
        <v>283696</v>
      </c>
      <c r="I173" s="1">
        <v>303696</v>
      </c>
      <c r="J173" s="1">
        <v>7346.0000000000036</v>
      </c>
      <c r="K173" s="1">
        <v>12654</v>
      </c>
      <c r="L173" s="1">
        <v>291042</v>
      </c>
      <c r="M173" s="1">
        <v>205</v>
      </c>
      <c r="N173" s="1">
        <v>34.247774193548388</v>
      </c>
      <c r="O173" s="1">
        <v>353.12687176694772</v>
      </c>
      <c r="P173" s="7">
        <v>45947</v>
      </c>
      <c r="Q173" s="1">
        <v>20000</v>
      </c>
      <c r="R173" s="7">
        <v>46300.12687177083</v>
      </c>
      <c r="S173" s="7">
        <v>46300</v>
      </c>
      <c r="T173" s="7" t="str">
        <f t="shared" si="0"/>
        <v>octubre</v>
      </c>
      <c r="U173" s="1" t="s">
        <v>330</v>
      </c>
      <c r="X173" s="1" t="s">
        <v>347</v>
      </c>
      <c r="Y173" s="1" t="s">
        <v>348</v>
      </c>
      <c r="Z173" s="1">
        <v>1</v>
      </c>
      <c r="AA173" s="3">
        <v>19410.240000000002</v>
      </c>
      <c r="AB173" s="3">
        <v>19410.240000000002</v>
      </c>
      <c r="AC173" s="1" t="str">
        <f>VLOOKUP(A173,[1]Detalle!$D$2:$CW$484,98,FALSE)</f>
        <v>CCUCoAZA</v>
      </c>
    </row>
    <row r="174" spans="1:29" ht="14.25" customHeight="1" x14ac:dyDescent="0.3">
      <c r="A174" s="1" t="s">
        <v>180</v>
      </c>
      <c r="B174" s="1" t="s">
        <v>340</v>
      </c>
      <c r="C174" s="1" t="s">
        <v>343</v>
      </c>
      <c r="D174" s="1" t="s">
        <v>343</v>
      </c>
      <c r="E174" s="1">
        <v>0.5</v>
      </c>
      <c r="F174" s="1" t="s">
        <v>344</v>
      </c>
      <c r="G174" s="6">
        <v>45842</v>
      </c>
      <c r="H174" s="1">
        <v>227732</v>
      </c>
      <c r="I174" s="1">
        <v>247732</v>
      </c>
      <c r="J174" s="1">
        <v>5333.9000000000024</v>
      </c>
      <c r="K174" s="1">
        <v>14666.1</v>
      </c>
      <c r="L174" s="1">
        <v>233065.9</v>
      </c>
      <c r="M174" s="1">
        <v>105</v>
      </c>
      <c r="N174" s="1">
        <v>40.479774193548408</v>
      </c>
      <c r="O174" s="1">
        <v>288.70816850709599</v>
      </c>
      <c r="P174" s="7">
        <v>45947</v>
      </c>
      <c r="Q174" s="1">
        <v>20000</v>
      </c>
      <c r="R174" s="7">
        <v>46235.708168506942</v>
      </c>
      <c r="S174" s="7">
        <v>46235</v>
      </c>
      <c r="T174" s="7" t="str">
        <f t="shared" si="0"/>
        <v>agosto</v>
      </c>
      <c r="U174" s="1" t="s">
        <v>330</v>
      </c>
      <c r="X174" s="1" t="s">
        <v>345</v>
      </c>
      <c r="Y174" s="1" t="s">
        <v>346</v>
      </c>
      <c r="Z174" s="1">
        <v>1</v>
      </c>
      <c r="AA174" s="3">
        <v>10535.04</v>
      </c>
      <c r="AB174" s="3">
        <v>10535.04</v>
      </c>
      <c r="AC174" s="1" t="str">
        <f>VLOOKUP(A174,[1]Detalle!$D$2:$CW$484,98,FALSE)</f>
        <v>CCUCoAZA</v>
      </c>
    </row>
    <row r="175" spans="1:29" ht="14.25" customHeight="1" x14ac:dyDescent="0.3">
      <c r="A175" s="1" t="s">
        <v>180</v>
      </c>
      <c r="B175" s="1" t="s">
        <v>340</v>
      </c>
      <c r="C175" s="1" t="s">
        <v>343</v>
      </c>
      <c r="D175" s="1" t="s">
        <v>343</v>
      </c>
      <c r="E175" s="1">
        <v>0.5</v>
      </c>
      <c r="F175" s="1" t="s">
        <v>344</v>
      </c>
      <c r="G175" s="6">
        <v>45842</v>
      </c>
      <c r="H175" s="1">
        <v>227732</v>
      </c>
      <c r="I175" s="1">
        <v>247732</v>
      </c>
      <c r="J175" s="1">
        <v>5333.9000000000024</v>
      </c>
      <c r="K175" s="1">
        <v>14666.1</v>
      </c>
      <c r="L175" s="1">
        <v>233065.9</v>
      </c>
      <c r="M175" s="1">
        <v>105</v>
      </c>
      <c r="N175" s="1">
        <v>40.479774193548408</v>
      </c>
      <c r="O175" s="1">
        <v>288.70816850709599</v>
      </c>
      <c r="P175" s="7">
        <v>45947</v>
      </c>
      <c r="Q175" s="1">
        <v>20000</v>
      </c>
      <c r="R175" s="7">
        <v>46235.708168506942</v>
      </c>
      <c r="S175" s="7">
        <v>46235</v>
      </c>
      <c r="T175" s="7" t="str">
        <f t="shared" si="0"/>
        <v>agosto</v>
      </c>
      <c r="U175" s="1" t="s">
        <v>330</v>
      </c>
      <c r="X175" s="1" t="s">
        <v>347</v>
      </c>
      <c r="Y175" s="1" t="s">
        <v>348</v>
      </c>
      <c r="Z175" s="1">
        <v>1</v>
      </c>
      <c r="AA175" s="3">
        <v>19410.240000000002</v>
      </c>
      <c r="AB175" s="3">
        <v>19410.240000000002</v>
      </c>
      <c r="AC175" s="1" t="str">
        <f>VLOOKUP(A175,[1]Detalle!$D$2:$CW$484,98,FALSE)</f>
        <v>CCUCoAZA</v>
      </c>
    </row>
    <row r="176" spans="1:29" ht="14.25" customHeight="1" x14ac:dyDescent="0.3">
      <c r="A176" s="1" t="s">
        <v>164</v>
      </c>
      <c r="B176" s="1">
        <v>710</v>
      </c>
      <c r="C176" s="1" t="s">
        <v>343</v>
      </c>
      <c r="D176" s="1" t="s">
        <v>343</v>
      </c>
      <c r="E176" s="1">
        <v>0.5</v>
      </c>
      <c r="F176" s="1" t="s">
        <v>344</v>
      </c>
      <c r="G176" s="6">
        <v>45378</v>
      </c>
      <c r="H176" s="1">
        <v>202420</v>
      </c>
      <c r="I176" s="1">
        <v>222420</v>
      </c>
      <c r="J176" s="1">
        <v>36588.559999999939</v>
      </c>
      <c r="K176" s="1">
        <v>-16588.559999999939</v>
      </c>
      <c r="L176" s="1">
        <v>239008.55999999991</v>
      </c>
      <c r="M176" s="1">
        <v>569</v>
      </c>
      <c r="N176" s="1">
        <v>69.022379421221856</v>
      </c>
      <c r="O176" s="1">
        <v>-257.97382132557232</v>
      </c>
      <c r="P176" s="7">
        <v>45947</v>
      </c>
      <c r="Q176" s="1">
        <v>20000</v>
      </c>
      <c r="R176" s="7">
        <v>46236.7610915162</v>
      </c>
      <c r="S176" s="7">
        <v>46236</v>
      </c>
      <c r="T176" s="7" t="str">
        <f t="shared" si="0"/>
        <v>agosto</v>
      </c>
      <c r="U176" s="1" t="s">
        <v>330</v>
      </c>
      <c r="X176" s="1" t="s">
        <v>345</v>
      </c>
      <c r="Y176" s="1" t="s">
        <v>346</v>
      </c>
      <c r="Z176" s="1">
        <v>1</v>
      </c>
      <c r="AA176" s="3">
        <v>10535.04</v>
      </c>
      <c r="AB176" s="3">
        <v>10535.04</v>
      </c>
      <c r="AC176" s="1" t="str">
        <f>VLOOKUP(A176,[1]Detalle!$D$2:$CW$484,98,FALSE)</f>
        <v>SUC_MEN - Sucursal Mendoza</v>
      </c>
    </row>
    <row r="177" spans="1:29" ht="14.25" customHeight="1" x14ac:dyDescent="0.3">
      <c r="A177" s="1" t="s">
        <v>164</v>
      </c>
      <c r="B177" s="1">
        <v>710</v>
      </c>
      <c r="C177" s="1" t="s">
        <v>343</v>
      </c>
      <c r="D177" s="1" t="s">
        <v>343</v>
      </c>
      <c r="E177" s="1">
        <v>0.5</v>
      </c>
      <c r="F177" s="1" t="s">
        <v>344</v>
      </c>
      <c r="G177" s="6">
        <v>45378</v>
      </c>
      <c r="H177" s="1">
        <v>202420</v>
      </c>
      <c r="I177" s="1">
        <v>222420</v>
      </c>
      <c r="J177" s="1">
        <v>36588.559999999939</v>
      </c>
      <c r="K177" s="1">
        <v>-16588.559999999939</v>
      </c>
      <c r="L177" s="1">
        <v>239008.55999999991</v>
      </c>
      <c r="M177" s="1">
        <v>569</v>
      </c>
      <c r="N177" s="1">
        <v>69.022379421221856</v>
      </c>
      <c r="O177" s="1">
        <v>-257.97382132557232</v>
      </c>
      <c r="P177" s="7">
        <v>45947</v>
      </c>
      <c r="Q177" s="1">
        <v>20000</v>
      </c>
      <c r="R177" s="7">
        <v>46236.7610915162</v>
      </c>
      <c r="S177" s="7">
        <v>46236</v>
      </c>
      <c r="T177" s="7" t="str">
        <f t="shared" si="0"/>
        <v>agosto</v>
      </c>
      <c r="U177" s="1" t="s">
        <v>330</v>
      </c>
      <c r="X177" s="1" t="s">
        <v>347</v>
      </c>
      <c r="Y177" s="1" t="s">
        <v>348</v>
      </c>
      <c r="Z177" s="1">
        <v>1</v>
      </c>
      <c r="AA177" s="3">
        <v>19410.240000000002</v>
      </c>
      <c r="AB177" s="3">
        <v>19410.240000000002</v>
      </c>
      <c r="AC177" s="1" t="str">
        <f>VLOOKUP(A177,[1]Detalle!$D$2:$CW$484,98,FALSE)</f>
        <v>SUC_MEN - Sucursal Mendoza</v>
      </c>
    </row>
    <row r="178" spans="1:29" ht="14.25" customHeight="1" x14ac:dyDescent="0.3">
      <c r="A178" s="1" t="s">
        <v>142</v>
      </c>
      <c r="B178" s="1">
        <v>1624</v>
      </c>
      <c r="C178" s="1" t="s">
        <v>343</v>
      </c>
      <c r="D178" s="1" t="s">
        <v>343</v>
      </c>
      <c r="E178" s="1">
        <v>0.5</v>
      </c>
      <c r="F178" s="1" t="s">
        <v>344</v>
      </c>
      <c r="G178" s="6">
        <v>45834</v>
      </c>
      <c r="H178" s="1">
        <v>831926</v>
      </c>
      <c r="I178" s="1">
        <v>851926</v>
      </c>
      <c r="J178" s="1">
        <v>9266.100000000004</v>
      </c>
      <c r="K178" s="1">
        <v>10733.9</v>
      </c>
      <c r="L178" s="1">
        <v>841192.1</v>
      </c>
      <c r="M178" s="1">
        <v>113</v>
      </c>
      <c r="N178" s="1">
        <v>68.472829581993537</v>
      </c>
      <c r="O178" s="1">
        <v>130.89980682271931</v>
      </c>
      <c r="P178" s="7">
        <v>45947</v>
      </c>
      <c r="Q178" s="1">
        <v>20000</v>
      </c>
      <c r="R178" s="7">
        <v>46077.899806817128</v>
      </c>
      <c r="S178" s="7">
        <v>46077</v>
      </c>
      <c r="T178" s="7" t="str">
        <f t="shared" si="0"/>
        <v>febrero</v>
      </c>
      <c r="U178" s="1" t="s">
        <v>330</v>
      </c>
      <c r="X178" s="1" t="s">
        <v>345</v>
      </c>
      <c r="Y178" s="1" t="s">
        <v>346</v>
      </c>
      <c r="Z178" s="1">
        <v>1</v>
      </c>
      <c r="AA178" s="3">
        <v>10535.04</v>
      </c>
      <c r="AB178" s="3">
        <v>10535.04</v>
      </c>
      <c r="AC178" s="1" t="str">
        <f>VLOOKUP(A178,[1]Detalle!$D$2:$CW$484,98,FALSE)</f>
        <v>Papelera - Papelera del Plata S.A.</v>
      </c>
    </row>
    <row r="179" spans="1:29" ht="14.25" customHeight="1" x14ac:dyDescent="0.3">
      <c r="A179" s="1" t="s">
        <v>142</v>
      </c>
      <c r="B179" s="1">
        <v>1624</v>
      </c>
      <c r="C179" s="1" t="s">
        <v>343</v>
      </c>
      <c r="D179" s="1" t="s">
        <v>343</v>
      </c>
      <c r="E179" s="1">
        <v>0.5</v>
      </c>
      <c r="F179" s="1" t="s">
        <v>344</v>
      </c>
      <c r="G179" s="6">
        <v>45834</v>
      </c>
      <c r="H179" s="1">
        <v>831926</v>
      </c>
      <c r="I179" s="1">
        <v>851926</v>
      </c>
      <c r="J179" s="1">
        <v>9266.100000000004</v>
      </c>
      <c r="K179" s="1">
        <v>10733.9</v>
      </c>
      <c r="L179" s="1">
        <v>841192.1</v>
      </c>
      <c r="M179" s="1">
        <v>113</v>
      </c>
      <c r="N179" s="1">
        <v>68.472829581993537</v>
      </c>
      <c r="O179" s="1">
        <v>130.89980682271931</v>
      </c>
      <c r="P179" s="7">
        <v>45947</v>
      </c>
      <c r="Q179" s="1">
        <v>20000</v>
      </c>
      <c r="R179" s="7">
        <v>46077.899806817128</v>
      </c>
      <c r="S179" s="7">
        <v>46077</v>
      </c>
      <c r="T179" s="7" t="str">
        <f t="shared" si="0"/>
        <v>febrero</v>
      </c>
      <c r="U179" s="1" t="s">
        <v>330</v>
      </c>
      <c r="X179" s="1" t="s">
        <v>347</v>
      </c>
      <c r="Y179" s="1" t="s">
        <v>348</v>
      </c>
      <c r="Z179" s="1">
        <v>1</v>
      </c>
      <c r="AA179" s="3">
        <v>19410.240000000002</v>
      </c>
      <c r="AB179" s="3">
        <v>19410.240000000002</v>
      </c>
      <c r="AC179" s="1" t="str">
        <f>VLOOKUP(A179,[1]Detalle!$D$2:$CW$484,98,FALSE)</f>
        <v>Papelera - Papelera del Plata S.A.</v>
      </c>
    </row>
    <row r="180" spans="1:29" ht="14.25" customHeight="1" x14ac:dyDescent="0.3">
      <c r="A180" s="1" t="s">
        <v>133</v>
      </c>
      <c r="B180" s="1">
        <v>1624</v>
      </c>
      <c r="C180" s="1" t="s">
        <v>343</v>
      </c>
      <c r="D180" s="1" t="s">
        <v>343</v>
      </c>
      <c r="E180" s="1">
        <v>0.5</v>
      </c>
      <c r="F180" s="1" t="s">
        <v>344</v>
      </c>
      <c r="G180" s="6">
        <v>45846</v>
      </c>
      <c r="H180" s="1">
        <v>843221</v>
      </c>
      <c r="I180" s="1">
        <v>863221</v>
      </c>
      <c r="J180" s="1">
        <v>0</v>
      </c>
      <c r="K180" s="1">
        <v>20000</v>
      </c>
      <c r="L180" s="1">
        <v>843221</v>
      </c>
      <c r="M180" s="1">
        <v>101</v>
      </c>
      <c r="N180" s="1">
        <v>846.93875000000003</v>
      </c>
      <c r="O180" s="1">
        <v>200</v>
      </c>
      <c r="P180" s="7">
        <v>45947</v>
      </c>
      <c r="Q180" s="1">
        <v>20000</v>
      </c>
      <c r="R180" s="7">
        <v>46147</v>
      </c>
      <c r="S180" s="7">
        <v>46147</v>
      </c>
      <c r="T180" s="7" t="str">
        <f t="shared" si="0"/>
        <v>mayo</v>
      </c>
      <c r="U180" s="1" t="s">
        <v>330</v>
      </c>
      <c r="X180" s="1" t="s">
        <v>345</v>
      </c>
      <c r="Y180" s="1" t="s">
        <v>346</v>
      </c>
      <c r="Z180" s="1">
        <v>1</v>
      </c>
      <c r="AA180" s="3">
        <v>10535.04</v>
      </c>
      <c r="AB180" s="3">
        <v>10535.04</v>
      </c>
      <c r="AC180" s="1" t="str">
        <f>VLOOKUP(A180,[1]Detalle!$D$2:$CW$484,98,FALSE)</f>
        <v>CENCO_MZ - Cencosud SA - Mendoza</v>
      </c>
    </row>
    <row r="181" spans="1:29" ht="14.25" customHeight="1" x14ac:dyDescent="0.3">
      <c r="A181" s="1" t="s">
        <v>133</v>
      </c>
      <c r="B181" s="1">
        <v>1624</v>
      </c>
      <c r="C181" s="1" t="s">
        <v>343</v>
      </c>
      <c r="D181" s="1" t="s">
        <v>343</v>
      </c>
      <c r="E181" s="1">
        <v>0.5</v>
      </c>
      <c r="F181" s="1" t="s">
        <v>344</v>
      </c>
      <c r="G181" s="6">
        <v>45846</v>
      </c>
      <c r="H181" s="1">
        <v>843221</v>
      </c>
      <c r="I181" s="1">
        <v>863221</v>
      </c>
      <c r="J181" s="1">
        <v>0</v>
      </c>
      <c r="K181" s="1">
        <v>20000</v>
      </c>
      <c r="L181" s="1">
        <v>843221</v>
      </c>
      <c r="M181" s="1">
        <v>101</v>
      </c>
      <c r="N181" s="1">
        <v>846.93875000000003</v>
      </c>
      <c r="O181" s="1">
        <v>200</v>
      </c>
      <c r="P181" s="7">
        <v>45947</v>
      </c>
      <c r="Q181" s="1">
        <v>20000</v>
      </c>
      <c r="R181" s="7">
        <v>46147</v>
      </c>
      <c r="S181" s="7">
        <v>46147</v>
      </c>
      <c r="T181" s="7" t="str">
        <f t="shared" si="0"/>
        <v>mayo</v>
      </c>
      <c r="U181" s="1" t="s">
        <v>330</v>
      </c>
      <c r="X181" s="1" t="s">
        <v>347</v>
      </c>
      <c r="Y181" s="1" t="s">
        <v>348</v>
      </c>
      <c r="Z181" s="1">
        <v>1</v>
      </c>
      <c r="AA181" s="3">
        <v>19410.240000000002</v>
      </c>
      <c r="AB181" s="3">
        <v>19410.240000000002</v>
      </c>
      <c r="AC181" s="1" t="str">
        <f>VLOOKUP(A181,[1]Detalle!$D$2:$CW$484,98,FALSE)</f>
        <v>CENCO_MZ - Cencosud SA - Mendoza</v>
      </c>
    </row>
    <row r="182" spans="1:29" ht="14.25" customHeight="1" x14ac:dyDescent="0.3">
      <c r="A182" s="1" t="s">
        <v>162</v>
      </c>
      <c r="B182" s="1">
        <v>1624</v>
      </c>
      <c r="C182" s="1" t="s">
        <v>343</v>
      </c>
      <c r="D182" s="1" t="s">
        <v>343</v>
      </c>
      <c r="E182" s="1">
        <v>0.5</v>
      </c>
      <c r="F182" s="1" t="s">
        <v>344</v>
      </c>
      <c r="G182" s="6">
        <v>45623</v>
      </c>
      <c r="H182" s="1">
        <v>6340</v>
      </c>
      <c r="I182" s="1">
        <v>26340</v>
      </c>
      <c r="J182" s="1">
        <v>9804.4500000000044</v>
      </c>
      <c r="K182" s="1">
        <v>10195.549999999999</v>
      </c>
      <c r="L182" s="1">
        <v>16144.45</v>
      </c>
      <c r="M182" s="1">
        <v>324</v>
      </c>
      <c r="N182" s="1">
        <v>31.374080882352938</v>
      </c>
      <c r="O182" s="1">
        <v>336.92437617612381</v>
      </c>
      <c r="P182" s="7">
        <v>45947</v>
      </c>
      <c r="Q182" s="1">
        <v>20000</v>
      </c>
      <c r="R182" s="7">
        <v>46283.924376180563</v>
      </c>
      <c r="S182" s="7">
        <v>46283</v>
      </c>
      <c r="T182" s="7" t="str">
        <f t="shared" si="0"/>
        <v>septiembre</v>
      </c>
      <c r="U182" s="1" t="s">
        <v>330</v>
      </c>
      <c r="X182" s="1" t="s">
        <v>345</v>
      </c>
      <c r="Y182" s="1" t="s">
        <v>346</v>
      </c>
      <c r="Z182" s="1">
        <v>1</v>
      </c>
      <c r="AA182" s="3">
        <v>10535.04</v>
      </c>
      <c r="AB182" s="3">
        <v>10535.04</v>
      </c>
      <c r="AC182" s="1" t="str">
        <f>VLOOKUP(A182,[1]Detalle!$D$2:$CW$484,98,FALSE)</f>
        <v>SUC_SRA - Sucursal San Rafael</v>
      </c>
    </row>
    <row r="183" spans="1:29" ht="14.25" customHeight="1" x14ac:dyDescent="0.3">
      <c r="A183" s="1" t="s">
        <v>162</v>
      </c>
      <c r="B183" s="1">
        <v>1624</v>
      </c>
      <c r="C183" s="1" t="s">
        <v>343</v>
      </c>
      <c r="D183" s="1" t="s">
        <v>343</v>
      </c>
      <c r="E183" s="1">
        <v>0.5</v>
      </c>
      <c r="F183" s="1" t="s">
        <v>344</v>
      </c>
      <c r="G183" s="6">
        <v>45623</v>
      </c>
      <c r="H183" s="1">
        <v>6340</v>
      </c>
      <c r="I183" s="1">
        <v>26340</v>
      </c>
      <c r="J183" s="1">
        <v>9804.4500000000044</v>
      </c>
      <c r="K183" s="1">
        <v>10195.549999999999</v>
      </c>
      <c r="L183" s="1">
        <v>16144.45</v>
      </c>
      <c r="M183" s="1">
        <v>324</v>
      </c>
      <c r="N183" s="1">
        <v>31.374080882352938</v>
      </c>
      <c r="O183" s="1">
        <v>336.92437617612381</v>
      </c>
      <c r="P183" s="7">
        <v>45947</v>
      </c>
      <c r="Q183" s="1">
        <v>20000</v>
      </c>
      <c r="R183" s="7">
        <v>46283.924376180563</v>
      </c>
      <c r="S183" s="7">
        <v>46283</v>
      </c>
      <c r="T183" s="7" t="str">
        <f t="shared" si="0"/>
        <v>septiembre</v>
      </c>
      <c r="U183" s="1" t="s">
        <v>330</v>
      </c>
      <c r="X183" s="1" t="s">
        <v>347</v>
      </c>
      <c r="Y183" s="1" t="s">
        <v>348</v>
      </c>
      <c r="Z183" s="1">
        <v>1</v>
      </c>
      <c r="AA183" s="3">
        <v>19410.240000000002</v>
      </c>
      <c r="AB183" s="3">
        <v>19410.240000000002</v>
      </c>
      <c r="AC183" s="1" t="str">
        <f>VLOOKUP(A183,[1]Detalle!$D$2:$CW$484,98,FALSE)</f>
        <v>SUC_SRA - Sucursal San Rafael</v>
      </c>
    </row>
    <row r="184" spans="1:29" ht="14.25" customHeight="1" x14ac:dyDescent="0.3">
      <c r="A184" s="1" t="s">
        <v>144</v>
      </c>
      <c r="B184" s="1">
        <v>1624</v>
      </c>
      <c r="C184" s="1" t="s">
        <v>343</v>
      </c>
      <c r="D184" s="1" t="s">
        <v>343</v>
      </c>
      <c r="E184" s="1">
        <v>0.5</v>
      </c>
      <c r="F184" s="1" t="s">
        <v>344</v>
      </c>
      <c r="G184" s="6">
        <v>45840</v>
      </c>
      <c r="H184" s="1">
        <v>619280</v>
      </c>
      <c r="I184" s="1">
        <v>639280</v>
      </c>
      <c r="J184" s="1">
        <v>8001.9999999999982</v>
      </c>
      <c r="K184" s="1">
        <v>11998</v>
      </c>
      <c r="L184" s="1">
        <v>627282</v>
      </c>
      <c r="M184" s="1">
        <v>107</v>
      </c>
      <c r="N184" s="1">
        <v>80.140288461538475</v>
      </c>
      <c r="O184" s="1">
        <v>160.43314171457141</v>
      </c>
      <c r="P184" s="7">
        <v>45947</v>
      </c>
      <c r="Q184" s="1">
        <v>20000</v>
      </c>
      <c r="R184" s="7">
        <v>46107.433141712972</v>
      </c>
      <c r="S184" s="7">
        <v>46107</v>
      </c>
      <c r="T184" s="7" t="str">
        <f t="shared" si="0"/>
        <v>marzo</v>
      </c>
      <c r="U184" s="1" t="s">
        <v>330</v>
      </c>
      <c r="X184" s="1" t="s">
        <v>345</v>
      </c>
      <c r="Y184" s="1" t="s">
        <v>346</v>
      </c>
      <c r="Z184" s="1">
        <v>1</v>
      </c>
      <c r="AA184" s="3">
        <v>10535.04</v>
      </c>
      <c r="AB184" s="3">
        <v>10535.04</v>
      </c>
      <c r="AC184" s="1" t="str">
        <f>VLOOKUP(A184,[1]Detalle!$D$2:$CW$484,98,FALSE)</f>
        <v>Papelera - Papelera del Plata S.A.</v>
      </c>
    </row>
    <row r="185" spans="1:29" ht="14.25" customHeight="1" x14ac:dyDescent="0.3">
      <c r="A185" s="1" t="s">
        <v>144</v>
      </c>
      <c r="B185" s="1">
        <v>1624</v>
      </c>
      <c r="C185" s="1" t="s">
        <v>343</v>
      </c>
      <c r="D185" s="1" t="s">
        <v>343</v>
      </c>
      <c r="E185" s="1">
        <v>0.5</v>
      </c>
      <c r="F185" s="1" t="s">
        <v>344</v>
      </c>
      <c r="G185" s="6">
        <v>45840</v>
      </c>
      <c r="H185" s="1">
        <v>619280</v>
      </c>
      <c r="I185" s="1">
        <v>639280</v>
      </c>
      <c r="J185" s="1">
        <v>8001.9999999999982</v>
      </c>
      <c r="K185" s="1">
        <v>11998</v>
      </c>
      <c r="L185" s="1">
        <v>627282</v>
      </c>
      <c r="M185" s="1">
        <v>107</v>
      </c>
      <c r="N185" s="1">
        <v>80.140288461538475</v>
      </c>
      <c r="O185" s="1">
        <v>160.43314171457141</v>
      </c>
      <c r="P185" s="7">
        <v>45947</v>
      </c>
      <c r="Q185" s="1">
        <v>20000</v>
      </c>
      <c r="R185" s="7">
        <v>46107.433141712972</v>
      </c>
      <c r="S185" s="7">
        <v>46107</v>
      </c>
      <c r="T185" s="7" t="str">
        <f t="shared" si="0"/>
        <v>marzo</v>
      </c>
      <c r="U185" s="1" t="s">
        <v>330</v>
      </c>
      <c r="X185" s="1" t="s">
        <v>347</v>
      </c>
      <c r="Y185" s="1" t="s">
        <v>348</v>
      </c>
      <c r="Z185" s="1">
        <v>1</v>
      </c>
      <c r="AA185" s="3">
        <v>19410.240000000002</v>
      </c>
      <c r="AB185" s="3">
        <v>19410.240000000002</v>
      </c>
      <c r="AC185" s="1" t="str">
        <f>VLOOKUP(A185,[1]Detalle!$D$2:$CW$484,98,FALSE)</f>
        <v>Papelera - Papelera del Plata S.A.</v>
      </c>
    </row>
    <row r="186" spans="1:29" ht="14.25" customHeight="1" x14ac:dyDescent="0.3">
      <c r="A186" s="1" t="s">
        <v>189</v>
      </c>
      <c r="B186" s="1" t="s">
        <v>340</v>
      </c>
      <c r="C186" s="1" t="s">
        <v>343</v>
      </c>
      <c r="D186" s="1" t="s">
        <v>343</v>
      </c>
      <c r="E186" s="1">
        <v>0.5</v>
      </c>
      <c r="F186" s="1" t="s">
        <v>344</v>
      </c>
      <c r="G186" s="6">
        <v>45790</v>
      </c>
      <c r="H186" s="1">
        <v>237476</v>
      </c>
      <c r="I186" s="1">
        <v>257476</v>
      </c>
      <c r="J186" s="1">
        <v>6287.2000000000007</v>
      </c>
      <c r="K186" s="1">
        <v>13712.8</v>
      </c>
      <c r="L186" s="1">
        <v>243763.20000000001</v>
      </c>
      <c r="M186" s="1">
        <v>157</v>
      </c>
      <c r="N186" s="1">
        <v>36.85391585760523</v>
      </c>
      <c r="O186" s="1">
        <v>342.42740806718399</v>
      </c>
      <c r="P186" s="7">
        <v>45947</v>
      </c>
      <c r="Q186" s="1">
        <v>20000</v>
      </c>
      <c r="R186" s="7">
        <v>46289.427408067131</v>
      </c>
      <c r="S186" s="7">
        <v>46289</v>
      </c>
      <c r="T186" s="7" t="str">
        <f t="shared" si="0"/>
        <v>septiembre</v>
      </c>
      <c r="U186" s="1" t="s">
        <v>330</v>
      </c>
      <c r="X186" s="1" t="s">
        <v>345</v>
      </c>
      <c r="Y186" s="1" t="s">
        <v>346</v>
      </c>
      <c r="Z186" s="1">
        <v>1</v>
      </c>
      <c r="AA186" s="3">
        <v>10535.04</v>
      </c>
      <c r="AB186" s="3">
        <v>10535.04</v>
      </c>
      <c r="AC186" s="1" t="str">
        <f>VLOOKUP(A186,[1]Detalle!$D$2:$CW$484,98,FALSE)</f>
        <v>CCUDyAZA</v>
      </c>
    </row>
    <row r="187" spans="1:29" ht="14.25" customHeight="1" x14ac:dyDescent="0.3">
      <c r="A187" s="1" t="s">
        <v>189</v>
      </c>
      <c r="B187" s="1" t="s">
        <v>340</v>
      </c>
      <c r="C187" s="1" t="s">
        <v>343</v>
      </c>
      <c r="D187" s="1" t="s">
        <v>343</v>
      </c>
      <c r="E187" s="1">
        <v>0.5</v>
      </c>
      <c r="F187" s="1" t="s">
        <v>344</v>
      </c>
      <c r="G187" s="6">
        <v>45790</v>
      </c>
      <c r="H187" s="1">
        <v>237476</v>
      </c>
      <c r="I187" s="1">
        <v>257476</v>
      </c>
      <c r="J187" s="1">
        <v>6287.2000000000007</v>
      </c>
      <c r="K187" s="1">
        <v>13712.8</v>
      </c>
      <c r="L187" s="1">
        <v>243763.20000000001</v>
      </c>
      <c r="M187" s="1">
        <v>157</v>
      </c>
      <c r="N187" s="1">
        <v>36.85391585760523</v>
      </c>
      <c r="O187" s="1">
        <v>342.42740806718399</v>
      </c>
      <c r="P187" s="7">
        <v>45947</v>
      </c>
      <c r="Q187" s="1">
        <v>20000</v>
      </c>
      <c r="R187" s="7">
        <v>46289.427408067131</v>
      </c>
      <c r="S187" s="7">
        <v>46289</v>
      </c>
      <c r="T187" s="7" t="str">
        <f t="shared" si="0"/>
        <v>septiembre</v>
      </c>
      <c r="U187" s="1" t="s">
        <v>330</v>
      </c>
      <c r="X187" s="1" t="s">
        <v>347</v>
      </c>
      <c r="Y187" s="1" t="s">
        <v>348</v>
      </c>
      <c r="Z187" s="1">
        <v>1</v>
      </c>
      <c r="AA187" s="3">
        <v>19410.240000000002</v>
      </c>
      <c r="AB187" s="3">
        <v>19410.240000000002</v>
      </c>
      <c r="AC187" s="1" t="str">
        <f>VLOOKUP(A187,[1]Detalle!$D$2:$CW$484,98,FALSE)</f>
        <v>CCUDyAZA</v>
      </c>
    </row>
    <row r="188" spans="1:29" ht="14.25" customHeight="1" x14ac:dyDescent="0.3">
      <c r="A188" s="1" t="s">
        <v>190</v>
      </c>
      <c r="B188" s="1" t="s">
        <v>340</v>
      </c>
      <c r="C188" s="1" t="s">
        <v>343</v>
      </c>
      <c r="D188" s="1" t="s">
        <v>343</v>
      </c>
      <c r="E188" s="1">
        <v>0.5</v>
      </c>
      <c r="F188" s="1" t="s">
        <v>344</v>
      </c>
      <c r="G188" s="6">
        <v>45785</v>
      </c>
      <c r="H188" s="1">
        <v>249976</v>
      </c>
      <c r="I188" s="1">
        <v>269976</v>
      </c>
      <c r="J188" s="1">
        <v>7170.0999999999995</v>
      </c>
      <c r="K188" s="1">
        <v>12829.9</v>
      </c>
      <c r="L188" s="1">
        <v>257146.1</v>
      </c>
      <c r="M188" s="1">
        <v>162</v>
      </c>
      <c r="N188" s="1">
        <v>37.516848874598068</v>
      </c>
      <c r="O188" s="1">
        <v>289.876542865511</v>
      </c>
      <c r="P188" s="7">
        <v>45947</v>
      </c>
      <c r="Q188" s="1">
        <v>20000</v>
      </c>
      <c r="R188" s="7">
        <v>46236.87654287037</v>
      </c>
      <c r="S188" s="7">
        <v>46236</v>
      </c>
      <c r="T188" s="7" t="str">
        <f t="shared" si="0"/>
        <v>agosto</v>
      </c>
      <c r="U188" s="1" t="s">
        <v>330</v>
      </c>
      <c r="X188" s="1" t="s">
        <v>345</v>
      </c>
      <c r="Y188" s="1" t="s">
        <v>346</v>
      </c>
      <c r="Z188" s="1">
        <v>1</v>
      </c>
      <c r="AA188" s="3">
        <v>10535.04</v>
      </c>
      <c r="AB188" s="3">
        <v>10535.04</v>
      </c>
      <c r="AC188" s="1" t="str">
        <f>VLOOKUP(A188,[1]Detalle!$D$2:$CW$484,98,FALSE)</f>
        <v>CCUCoAZA</v>
      </c>
    </row>
    <row r="189" spans="1:29" ht="14.25" customHeight="1" x14ac:dyDescent="0.3">
      <c r="A189" s="1" t="s">
        <v>190</v>
      </c>
      <c r="B189" s="1" t="s">
        <v>340</v>
      </c>
      <c r="C189" s="1" t="s">
        <v>343</v>
      </c>
      <c r="D189" s="1" t="s">
        <v>343</v>
      </c>
      <c r="E189" s="1">
        <v>0.5</v>
      </c>
      <c r="F189" s="1" t="s">
        <v>344</v>
      </c>
      <c r="G189" s="6">
        <v>45785</v>
      </c>
      <c r="H189" s="1">
        <v>249976</v>
      </c>
      <c r="I189" s="1">
        <v>269976</v>
      </c>
      <c r="J189" s="1">
        <v>7170.0999999999995</v>
      </c>
      <c r="K189" s="1">
        <v>12829.9</v>
      </c>
      <c r="L189" s="1">
        <v>257146.1</v>
      </c>
      <c r="M189" s="1">
        <v>162</v>
      </c>
      <c r="N189" s="1">
        <v>37.516848874598068</v>
      </c>
      <c r="O189" s="1">
        <v>289.876542865511</v>
      </c>
      <c r="P189" s="7">
        <v>45947</v>
      </c>
      <c r="Q189" s="1">
        <v>20000</v>
      </c>
      <c r="R189" s="7">
        <v>46236.87654287037</v>
      </c>
      <c r="S189" s="7">
        <v>46236</v>
      </c>
      <c r="T189" s="7" t="str">
        <f t="shared" si="0"/>
        <v>agosto</v>
      </c>
      <c r="U189" s="1" t="s">
        <v>330</v>
      </c>
      <c r="X189" s="1" t="s">
        <v>347</v>
      </c>
      <c r="Y189" s="1" t="s">
        <v>348</v>
      </c>
      <c r="Z189" s="1">
        <v>1</v>
      </c>
      <c r="AA189" s="3">
        <v>19410.240000000002</v>
      </c>
      <c r="AB189" s="3">
        <v>19410.240000000002</v>
      </c>
      <c r="AC189" s="1" t="str">
        <f>VLOOKUP(A189,[1]Detalle!$D$2:$CW$484,98,FALSE)</f>
        <v>CCUCoAZA</v>
      </c>
    </row>
    <row r="190" spans="1:29" ht="14.25" customHeight="1" x14ac:dyDescent="0.3">
      <c r="A190" s="1" t="s">
        <v>196</v>
      </c>
      <c r="B190" s="1" t="s">
        <v>340</v>
      </c>
      <c r="C190" s="1" t="s">
        <v>343</v>
      </c>
      <c r="D190" s="1" t="s">
        <v>343</v>
      </c>
      <c r="E190" s="1">
        <v>0.5</v>
      </c>
      <c r="F190" s="1" t="s">
        <v>344</v>
      </c>
      <c r="G190" s="6">
        <v>45656</v>
      </c>
      <c r="H190" s="1">
        <v>216285</v>
      </c>
      <c r="I190" s="1">
        <v>236285</v>
      </c>
      <c r="J190" s="1">
        <v>9057.0900000000038</v>
      </c>
      <c r="K190" s="1">
        <v>10942.91</v>
      </c>
      <c r="L190" s="1">
        <v>225342.09</v>
      </c>
      <c r="M190" s="1">
        <v>291</v>
      </c>
      <c r="N190" s="1">
        <v>33.420996309963101</v>
      </c>
      <c r="O190" s="1">
        <v>351.59050092248151</v>
      </c>
      <c r="P190" s="7">
        <v>45947</v>
      </c>
      <c r="Q190" s="1">
        <v>20000</v>
      </c>
      <c r="R190" s="7">
        <v>46298.59050092593</v>
      </c>
      <c r="S190" s="7">
        <v>46298</v>
      </c>
      <c r="T190" s="7" t="str">
        <f t="shared" si="0"/>
        <v>octubre</v>
      </c>
      <c r="U190" s="1" t="s">
        <v>330</v>
      </c>
      <c r="X190" s="1" t="s">
        <v>345</v>
      </c>
      <c r="Y190" s="1" t="s">
        <v>346</v>
      </c>
      <c r="Z190" s="1">
        <v>1</v>
      </c>
      <c r="AA190" s="3">
        <v>10535.04</v>
      </c>
      <c r="AB190" s="3">
        <v>10535.04</v>
      </c>
      <c r="AC190" s="1" t="str">
        <f>VLOOKUP(A190,[1]Detalle!$D$2:$CW$484,98,FALSE)</f>
        <v>CCUCoAZA</v>
      </c>
    </row>
    <row r="191" spans="1:29" ht="14.25" customHeight="1" x14ac:dyDescent="0.3">
      <c r="A191" s="1" t="s">
        <v>196</v>
      </c>
      <c r="B191" s="1" t="s">
        <v>340</v>
      </c>
      <c r="C191" s="1" t="s">
        <v>343</v>
      </c>
      <c r="D191" s="1" t="s">
        <v>343</v>
      </c>
      <c r="E191" s="1">
        <v>0.5</v>
      </c>
      <c r="F191" s="1" t="s">
        <v>344</v>
      </c>
      <c r="G191" s="6">
        <v>45656</v>
      </c>
      <c r="H191" s="1">
        <v>216285</v>
      </c>
      <c r="I191" s="1">
        <v>236285</v>
      </c>
      <c r="J191" s="1">
        <v>9057.0900000000038</v>
      </c>
      <c r="K191" s="1">
        <v>10942.91</v>
      </c>
      <c r="L191" s="1">
        <v>225342.09</v>
      </c>
      <c r="M191" s="1">
        <v>291</v>
      </c>
      <c r="N191" s="1">
        <v>33.420996309963101</v>
      </c>
      <c r="O191" s="1">
        <v>351.59050092248151</v>
      </c>
      <c r="P191" s="7">
        <v>45947</v>
      </c>
      <c r="Q191" s="1">
        <v>20000</v>
      </c>
      <c r="R191" s="7">
        <v>46298.59050092593</v>
      </c>
      <c r="S191" s="7">
        <v>46298</v>
      </c>
      <c r="T191" s="7" t="str">
        <f t="shared" si="0"/>
        <v>octubre</v>
      </c>
      <c r="U191" s="1" t="s">
        <v>330</v>
      </c>
      <c r="X191" s="1" t="s">
        <v>347</v>
      </c>
      <c r="Y191" s="1" t="s">
        <v>348</v>
      </c>
      <c r="Z191" s="1">
        <v>1</v>
      </c>
      <c r="AA191" s="3">
        <v>19410.240000000002</v>
      </c>
      <c r="AB191" s="3">
        <v>19410.240000000002</v>
      </c>
      <c r="AC191" s="1" t="str">
        <f>VLOOKUP(A191,[1]Detalle!$D$2:$CW$484,98,FALSE)</f>
        <v>CCUCoAZA</v>
      </c>
    </row>
    <row r="192" spans="1:29" ht="14.25" customHeight="1" x14ac:dyDescent="0.3">
      <c r="A192" s="1" t="s">
        <v>202</v>
      </c>
      <c r="B192" s="1" t="s">
        <v>351</v>
      </c>
      <c r="C192" s="1" t="s">
        <v>343</v>
      </c>
      <c r="D192" s="1" t="s">
        <v>343</v>
      </c>
      <c r="E192" s="1">
        <v>0.5</v>
      </c>
      <c r="F192" s="1" t="s">
        <v>344</v>
      </c>
      <c r="G192" s="6">
        <v>45608</v>
      </c>
      <c r="H192" s="1">
        <v>702674</v>
      </c>
      <c r="I192" s="1">
        <v>722674</v>
      </c>
      <c r="J192" s="1">
        <v>10099.13000000001</v>
      </c>
      <c r="K192" s="1">
        <v>9900.8699999999881</v>
      </c>
      <c r="L192" s="1">
        <v>712773.13</v>
      </c>
      <c r="M192" s="1">
        <v>339</v>
      </c>
      <c r="N192" s="1">
        <v>30.666407407407419</v>
      </c>
      <c r="O192" s="1">
        <v>332.34495743692702</v>
      </c>
      <c r="P192" s="7">
        <v>45947</v>
      </c>
      <c r="Q192" s="1">
        <v>20000</v>
      </c>
      <c r="R192" s="7">
        <v>46279.344957442132</v>
      </c>
      <c r="S192" s="7">
        <v>46279</v>
      </c>
      <c r="T192" s="7" t="str">
        <f t="shared" si="0"/>
        <v>septiembre</v>
      </c>
      <c r="U192" s="1" t="s">
        <v>330</v>
      </c>
      <c r="X192" s="1" t="s">
        <v>345</v>
      </c>
      <c r="Y192" s="1" t="s">
        <v>346</v>
      </c>
      <c r="Z192" s="1">
        <v>1</v>
      </c>
      <c r="AA192" s="3">
        <v>10535.04</v>
      </c>
      <c r="AB192" s="3">
        <v>10535.04</v>
      </c>
      <c r="AC192" s="1" t="str">
        <f>VLOOKUP(A192,[1]Detalle!$D$2:$CW$484,98,FALSE)</f>
        <v>CCUDyAZA</v>
      </c>
    </row>
    <row r="193" spans="1:29" ht="14.25" customHeight="1" x14ac:dyDescent="0.3">
      <c r="A193" s="1" t="s">
        <v>202</v>
      </c>
      <c r="B193" s="1" t="s">
        <v>351</v>
      </c>
      <c r="C193" s="1" t="s">
        <v>343</v>
      </c>
      <c r="D193" s="1" t="s">
        <v>343</v>
      </c>
      <c r="E193" s="1">
        <v>0.5</v>
      </c>
      <c r="F193" s="1" t="s">
        <v>344</v>
      </c>
      <c r="G193" s="6">
        <v>45608</v>
      </c>
      <c r="H193" s="1">
        <v>702674</v>
      </c>
      <c r="I193" s="1">
        <v>722674</v>
      </c>
      <c r="J193" s="1">
        <v>10099.13000000001</v>
      </c>
      <c r="K193" s="1">
        <v>9900.8699999999881</v>
      </c>
      <c r="L193" s="1">
        <v>712773.13</v>
      </c>
      <c r="M193" s="1">
        <v>339</v>
      </c>
      <c r="N193" s="1">
        <v>30.666407407407419</v>
      </c>
      <c r="O193" s="1">
        <v>332.34495743692702</v>
      </c>
      <c r="P193" s="7">
        <v>45947</v>
      </c>
      <c r="Q193" s="1">
        <v>20000</v>
      </c>
      <c r="R193" s="7">
        <v>46279.344957442132</v>
      </c>
      <c r="S193" s="7">
        <v>46279</v>
      </c>
      <c r="T193" s="7" t="str">
        <f t="shared" si="0"/>
        <v>septiembre</v>
      </c>
      <c r="U193" s="1" t="s">
        <v>330</v>
      </c>
      <c r="X193" s="1" t="s">
        <v>347</v>
      </c>
      <c r="Y193" s="1" t="s">
        <v>348</v>
      </c>
      <c r="Z193" s="1">
        <v>1</v>
      </c>
      <c r="AA193" s="3">
        <v>19410.240000000002</v>
      </c>
      <c r="AB193" s="3">
        <v>19410.240000000002</v>
      </c>
      <c r="AC193" s="1" t="str">
        <f>VLOOKUP(A193,[1]Detalle!$D$2:$CW$484,98,FALSE)</f>
        <v>CCUDyAZA</v>
      </c>
    </row>
    <row r="194" spans="1:29" ht="14.25" customHeight="1" x14ac:dyDescent="0.3">
      <c r="A194" s="1" t="s">
        <v>204</v>
      </c>
      <c r="B194" s="1" t="s">
        <v>351</v>
      </c>
      <c r="C194" s="1" t="s">
        <v>343</v>
      </c>
      <c r="D194" s="1" t="s">
        <v>343</v>
      </c>
      <c r="E194" s="1">
        <v>0.5</v>
      </c>
      <c r="F194" s="1" t="s">
        <v>344</v>
      </c>
      <c r="G194" s="6">
        <v>45743</v>
      </c>
      <c r="H194" s="1">
        <v>322879</v>
      </c>
      <c r="I194" s="1">
        <v>342879</v>
      </c>
      <c r="J194" s="1">
        <v>7068.2</v>
      </c>
      <c r="K194" s="1">
        <v>12931.8</v>
      </c>
      <c r="L194" s="1">
        <v>329947.2</v>
      </c>
      <c r="M194" s="1">
        <v>204</v>
      </c>
      <c r="N194" s="1">
        <v>44.066703703703709</v>
      </c>
      <c r="O194" s="1">
        <v>373.23324184375087</v>
      </c>
      <c r="P194" s="7">
        <v>45947</v>
      </c>
      <c r="Q194" s="1">
        <v>20000</v>
      </c>
      <c r="R194" s="7">
        <v>46320.23324184028</v>
      </c>
      <c r="S194" s="7">
        <v>46320</v>
      </c>
      <c r="T194" s="7" t="str">
        <f t="shared" si="0"/>
        <v>octubre</v>
      </c>
      <c r="U194" s="1" t="s">
        <v>330</v>
      </c>
      <c r="X194" s="1" t="s">
        <v>345</v>
      </c>
      <c r="Y194" s="1" t="s">
        <v>346</v>
      </c>
      <c r="Z194" s="1">
        <v>1</v>
      </c>
      <c r="AA194" s="3">
        <v>10535.04</v>
      </c>
      <c r="AB194" s="3">
        <v>10535.04</v>
      </c>
      <c r="AC194" s="1" t="str">
        <f>VLOOKUP(A194,[1]Detalle!$D$2:$CW$484,98,FALSE)</f>
        <v>CCUCoAZA</v>
      </c>
    </row>
    <row r="195" spans="1:29" ht="14.25" customHeight="1" x14ac:dyDescent="0.3">
      <c r="A195" s="1" t="s">
        <v>204</v>
      </c>
      <c r="B195" s="1" t="s">
        <v>351</v>
      </c>
      <c r="C195" s="1" t="s">
        <v>343</v>
      </c>
      <c r="D195" s="1" t="s">
        <v>343</v>
      </c>
      <c r="E195" s="1">
        <v>0.5</v>
      </c>
      <c r="F195" s="1" t="s">
        <v>344</v>
      </c>
      <c r="G195" s="6">
        <v>45743</v>
      </c>
      <c r="H195" s="1">
        <v>322879</v>
      </c>
      <c r="I195" s="1">
        <v>342879</v>
      </c>
      <c r="J195" s="1">
        <v>7068.2</v>
      </c>
      <c r="K195" s="1">
        <v>12931.8</v>
      </c>
      <c r="L195" s="1">
        <v>329947.2</v>
      </c>
      <c r="M195" s="1">
        <v>204</v>
      </c>
      <c r="N195" s="1">
        <v>44.066703703703709</v>
      </c>
      <c r="O195" s="1">
        <v>373.23324184375087</v>
      </c>
      <c r="P195" s="7">
        <v>45947</v>
      </c>
      <c r="Q195" s="1">
        <v>20000</v>
      </c>
      <c r="R195" s="7">
        <v>46320.23324184028</v>
      </c>
      <c r="S195" s="7">
        <v>46320</v>
      </c>
      <c r="T195" s="7" t="str">
        <f t="shared" si="0"/>
        <v>octubre</v>
      </c>
      <c r="U195" s="1" t="s">
        <v>330</v>
      </c>
      <c r="X195" s="1" t="s">
        <v>347</v>
      </c>
      <c r="Y195" s="1" t="s">
        <v>348</v>
      </c>
      <c r="Z195" s="1">
        <v>1</v>
      </c>
      <c r="AA195" s="3">
        <v>19410.240000000002</v>
      </c>
      <c r="AB195" s="3">
        <v>19410.240000000002</v>
      </c>
      <c r="AC195" s="1" t="str">
        <f>VLOOKUP(A195,[1]Detalle!$D$2:$CW$484,98,FALSE)</f>
        <v>CCUCoAZA</v>
      </c>
    </row>
    <row r="196" spans="1:29" ht="14.25" customHeight="1" x14ac:dyDescent="0.3">
      <c r="A196" s="1" t="s">
        <v>205</v>
      </c>
      <c r="B196" s="1" t="s">
        <v>351</v>
      </c>
      <c r="C196" s="1" t="s">
        <v>343</v>
      </c>
      <c r="D196" s="1" t="s">
        <v>343</v>
      </c>
      <c r="E196" s="1">
        <v>0.5</v>
      </c>
      <c r="F196" s="1" t="s">
        <v>344</v>
      </c>
      <c r="G196" s="6">
        <v>45735</v>
      </c>
      <c r="H196" s="1">
        <v>180294</v>
      </c>
      <c r="I196" s="1">
        <v>200294</v>
      </c>
      <c r="J196" s="1">
        <v>8568.0000000000055</v>
      </c>
      <c r="K196" s="1">
        <v>11431.999999999991</v>
      </c>
      <c r="L196" s="1">
        <v>188862</v>
      </c>
      <c r="M196" s="1">
        <v>212</v>
      </c>
      <c r="N196" s="1">
        <v>45.429777777777801</v>
      </c>
      <c r="O196" s="1">
        <v>282.864612511671</v>
      </c>
      <c r="P196" s="7">
        <v>45947</v>
      </c>
      <c r="Q196" s="1">
        <v>20000</v>
      </c>
      <c r="R196" s="7">
        <v>46229.864612511577</v>
      </c>
      <c r="S196" s="7">
        <v>46229</v>
      </c>
      <c r="T196" s="7" t="str">
        <f t="shared" si="0"/>
        <v>julio</v>
      </c>
      <c r="U196" s="1" t="s">
        <v>330</v>
      </c>
      <c r="X196" s="1" t="s">
        <v>345</v>
      </c>
      <c r="Y196" s="1" t="s">
        <v>346</v>
      </c>
      <c r="Z196" s="1">
        <v>1</v>
      </c>
      <c r="AA196" s="3">
        <v>10535.04</v>
      </c>
      <c r="AB196" s="3">
        <v>10535.04</v>
      </c>
      <c r="AC196" s="1" t="str">
        <f>VLOOKUP(A196,[1]Detalle!$D$2:$CW$484,98,FALSE)</f>
        <v>CCUCoAZA</v>
      </c>
    </row>
    <row r="197" spans="1:29" ht="14.25" customHeight="1" x14ac:dyDescent="0.3">
      <c r="A197" s="1" t="s">
        <v>205</v>
      </c>
      <c r="B197" s="1" t="s">
        <v>351</v>
      </c>
      <c r="C197" s="1" t="s">
        <v>343</v>
      </c>
      <c r="D197" s="1" t="s">
        <v>343</v>
      </c>
      <c r="E197" s="1">
        <v>0.5</v>
      </c>
      <c r="F197" s="1" t="s">
        <v>344</v>
      </c>
      <c r="G197" s="6">
        <v>45735</v>
      </c>
      <c r="H197" s="1">
        <v>180294</v>
      </c>
      <c r="I197" s="1">
        <v>200294</v>
      </c>
      <c r="J197" s="1">
        <v>8568.0000000000055</v>
      </c>
      <c r="K197" s="1">
        <v>11431.999999999991</v>
      </c>
      <c r="L197" s="1">
        <v>188862</v>
      </c>
      <c r="M197" s="1">
        <v>212</v>
      </c>
      <c r="N197" s="1">
        <v>45.429777777777801</v>
      </c>
      <c r="O197" s="1">
        <v>282.864612511671</v>
      </c>
      <c r="P197" s="7">
        <v>45947</v>
      </c>
      <c r="Q197" s="1">
        <v>20000</v>
      </c>
      <c r="R197" s="7">
        <v>46229.864612511577</v>
      </c>
      <c r="S197" s="7">
        <v>46229</v>
      </c>
      <c r="T197" s="7" t="str">
        <f t="shared" si="0"/>
        <v>julio</v>
      </c>
      <c r="U197" s="1" t="s">
        <v>330</v>
      </c>
      <c r="X197" s="1" t="s">
        <v>347</v>
      </c>
      <c r="Y197" s="1" t="s">
        <v>348</v>
      </c>
      <c r="Z197" s="1">
        <v>1</v>
      </c>
      <c r="AA197" s="3">
        <v>19410.240000000002</v>
      </c>
      <c r="AB197" s="3">
        <v>19410.240000000002</v>
      </c>
      <c r="AC197" s="1" t="str">
        <f>VLOOKUP(A197,[1]Detalle!$D$2:$CW$484,98,FALSE)</f>
        <v>CCUCoAZA</v>
      </c>
    </row>
    <row r="198" spans="1:29" ht="14.25" customHeight="1" x14ac:dyDescent="0.3">
      <c r="A198" s="1" t="s">
        <v>171</v>
      </c>
      <c r="B198" s="1" t="s">
        <v>351</v>
      </c>
      <c r="C198" s="1" t="s">
        <v>343</v>
      </c>
      <c r="D198" s="1" t="s">
        <v>343</v>
      </c>
      <c r="E198" s="1">
        <v>0.5</v>
      </c>
      <c r="F198" s="1" t="s">
        <v>344</v>
      </c>
      <c r="G198" s="6">
        <v>45835</v>
      </c>
      <c r="H198" s="1">
        <v>34917.800000000003</v>
      </c>
      <c r="I198" s="1">
        <v>54917.8</v>
      </c>
      <c r="J198" s="1">
        <v>14084.2</v>
      </c>
      <c r="K198" s="1">
        <v>5915.7999999999975</v>
      </c>
      <c r="L198" s="1">
        <v>49002.000000000007</v>
      </c>
      <c r="M198" s="1">
        <v>112</v>
      </c>
      <c r="N198" s="1">
        <v>130.96596721311471</v>
      </c>
      <c r="O198" s="1">
        <v>47.04346714758379</v>
      </c>
      <c r="P198" s="7">
        <v>45947</v>
      </c>
      <c r="Q198" s="1">
        <v>20000</v>
      </c>
      <c r="R198" s="7">
        <v>46146.754896122693</v>
      </c>
      <c r="S198" s="7">
        <v>46146</v>
      </c>
      <c r="T198" s="7" t="str">
        <f t="shared" si="0"/>
        <v>mayo</v>
      </c>
      <c r="U198" s="1" t="s">
        <v>330</v>
      </c>
      <c r="X198" s="1" t="s">
        <v>345</v>
      </c>
      <c r="Y198" s="1" t="s">
        <v>346</v>
      </c>
      <c r="Z198" s="1">
        <v>1</v>
      </c>
      <c r="AA198" s="3">
        <v>10535.04</v>
      </c>
      <c r="AB198" s="3">
        <v>10535.04</v>
      </c>
      <c r="AC198" s="1" t="str">
        <f>VLOOKUP(A198,[1]Detalle!$D$2:$CW$484,98,FALSE)</f>
        <v>CENCO_MZ - Cencosud SA - Mendoza</v>
      </c>
    </row>
    <row r="199" spans="1:29" ht="14.25" customHeight="1" x14ac:dyDescent="0.3">
      <c r="A199" s="1" t="s">
        <v>171</v>
      </c>
      <c r="B199" s="1" t="s">
        <v>351</v>
      </c>
      <c r="C199" s="1" t="s">
        <v>343</v>
      </c>
      <c r="D199" s="1" t="s">
        <v>343</v>
      </c>
      <c r="E199" s="1">
        <v>0.5</v>
      </c>
      <c r="F199" s="1" t="s">
        <v>344</v>
      </c>
      <c r="G199" s="6">
        <v>45835</v>
      </c>
      <c r="H199" s="1">
        <v>34917.800000000003</v>
      </c>
      <c r="I199" s="1">
        <v>54917.8</v>
      </c>
      <c r="J199" s="1">
        <v>14084.2</v>
      </c>
      <c r="K199" s="1">
        <v>5915.7999999999975</v>
      </c>
      <c r="L199" s="1">
        <v>49002.000000000007</v>
      </c>
      <c r="M199" s="1">
        <v>112</v>
      </c>
      <c r="N199" s="1">
        <v>130.96596721311471</v>
      </c>
      <c r="O199" s="1">
        <v>47.04346714758379</v>
      </c>
      <c r="P199" s="7">
        <v>45947</v>
      </c>
      <c r="Q199" s="1">
        <v>20000</v>
      </c>
      <c r="R199" s="7">
        <v>46146.754896122693</v>
      </c>
      <c r="S199" s="7">
        <v>46146</v>
      </c>
      <c r="T199" s="7" t="str">
        <f t="shared" si="0"/>
        <v>mayo</v>
      </c>
      <c r="U199" s="1" t="s">
        <v>330</v>
      </c>
      <c r="X199" s="1" t="s">
        <v>347</v>
      </c>
      <c r="Y199" s="1" t="s">
        <v>348</v>
      </c>
      <c r="Z199" s="1">
        <v>1</v>
      </c>
      <c r="AA199" s="3">
        <v>19410.240000000002</v>
      </c>
      <c r="AB199" s="3">
        <v>19410.240000000002</v>
      </c>
      <c r="AC199" s="1" t="str">
        <f>VLOOKUP(A199,[1]Detalle!$D$2:$CW$484,98,FALSE)</f>
        <v>CENCO_MZ - Cencosud SA - Mendoza</v>
      </c>
    </row>
    <row r="200" spans="1:29" ht="14.25" customHeight="1" x14ac:dyDescent="0.3">
      <c r="A200" s="1" t="s">
        <v>172</v>
      </c>
      <c r="B200" s="1" t="s">
        <v>351</v>
      </c>
      <c r="C200" s="1" t="s">
        <v>343</v>
      </c>
      <c r="D200" s="1" t="s">
        <v>343</v>
      </c>
      <c r="E200" s="1">
        <v>0.5</v>
      </c>
      <c r="F200" s="1" t="s">
        <v>344</v>
      </c>
      <c r="G200" s="6">
        <v>45688</v>
      </c>
      <c r="H200" s="1">
        <v>11346.4</v>
      </c>
      <c r="I200" s="1">
        <v>31346.400000000001</v>
      </c>
      <c r="J200" s="1">
        <v>9575.0499999999993</v>
      </c>
      <c r="K200" s="1">
        <v>10424.950000000001</v>
      </c>
      <c r="L200" s="1">
        <v>20921.45</v>
      </c>
      <c r="M200" s="1">
        <v>259</v>
      </c>
      <c r="N200" s="1">
        <v>35.996428571428567</v>
      </c>
      <c r="O200" s="1">
        <v>281.9893420922084</v>
      </c>
      <c r="P200" s="7">
        <v>45947</v>
      </c>
      <c r="Q200" s="1">
        <v>20000</v>
      </c>
      <c r="R200" s="7">
        <v>46228.989342094908</v>
      </c>
      <c r="S200" s="7">
        <v>46228</v>
      </c>
      <c r="T200" s="7" t="str">
        <f t="shared" si="0"/>
        <v>julio</v>
      </c>
      <c r="U200" s="1" t="s">
        <v>330</v>
      </c>
      <c r="X200" s="1" t="s">
        <v>345</v>
      </c>
      <c r="Y200" s="1" t="s">
        <v>346</v>
      </c>
      <c r="Z200" s="1">
        <v>1</v>
      </c>
      <c r="AA200" s="3">
        <v>10535.04</v>
      </c>
      <c r="AB200" s="3">
        <v>10535.04</v>
      </c>
      <c r="AC200" s="1" t="str">
        <f>VLOOKUP(A200,[1]Detalle!$D$2:$CW$484,98,FALSE)</f>
        <v>CENCO_MZ - Cencosud SA - Mendoza</v>
      </c>
    </row>
    <row r="201" spans="1:29" ht="14.25" customHeight="1" x14ac:dyDescent="0.3">
      <c r="A201" s="1" t="s">
        <v>172</v>
      </c>
      <c r="B201" s="1" t="s">
        <v>351</v>
      </c>
      <c r="C201" s="1" t="s">
        <v>343</v>
      </c>
      <c r="D201" s="1" t="s">
        <v>343</v>
      </c>
      <c r="E201" s="1">
        <v>0.5</v>
      </c>
      <c r="F201" s="1" t="s">
        <v>344</v>
      </c>
      <c r="G201" s="6">
        <v>45688</v>
      </c>
      <c r="H201" s="1">
        <v>11346.4</v>
      </c>
      <c r="I201" s="1">
        <v>31346.400000000001</v>
      </c>
      <c r="J201" s="1">
        <v>9575.0499999999993</v>
      </c>
      <c r="K201" s="1">
        <v>10424.950000000001</v>
      </c>
      <c r="L201" s="1">
        <v>20921.45</v>
      </c>
      <c r="M201" s="1">
        <v>259</v>
      </c>
      <c r="N201" s="1">
        <v>35.996428571428567</v>
      </c>
      <c r="O201" s="1">
        <v>281.9893420922084</v>
      </c>
      <c r="P201" s="7">
        <v>45947</v>
      </c>
      <c r="Q201" s="1">
        <v>20000</v>
      </c>
      <c r="R201" s="7">
        <v>46228.989342094908</v>
      </c>
      <c r="S201" s="7">
        <v>46228</v>
      </c>
      <c r="T201" s="7" t="str">
        <f t="shared" si="0"/>
        <v>julio</v>
      </c>
      <c r="U201" s="1" t="s">
        <v>330</v>
      </c>
      <c r="X201" s="1" t="s">
        <v>347</v>
      </c>
      <c r="Y201" s="1" t="s">
        <v>348</v>
      </c>
      <c r="Z201" s="1">
        <v>1</v>
      </c>
      <c r="AA201" s="3">
        <v>19410.240000000002</v>
      </c>
      <c r="AB201" s="3">
        <v>19410.240000000002</v>
      </c>
      <c r="AC201" s="1" t="str">
        <f>VLOOKUP(A201,[1]Detalle!$D$2:$CW$484,98,FALSE)</f>
        <v>CENCO_MZ - Cencosud SA - Mendoza</v>
      </c>
    </row>
    <row r="202" spans="1:29" ht="14.25" customHeight="1" x14ac:dyDescent="0.3">
      <c r="A202" s="1" t="s">
        <v>209</v>
      </c>
      <c r="B202" s="1" t="s">
        <v>341</v>
      </c>
      <c r="C202" s="1" t="s">
        <v>343</v>
      </c>
      <c r="D202" s="1" t="s">
        <v>343</v>
      </c>
      <c r="E202" s="1">
        <v>0.5</v>
      </c>
      <c r="F202" s="1" t="s">
        <v>344</v>
      </c>
      <c r="G202" s="6">
        <v>45525</v>
      </c>
      <c r="H202" s="1">
        <v>880145</v>
      </c>
      <c r="I202" s="1">
        <v>900145</v>
      </c>
      <c r="J202" s="1">
        <v>79750.570000000065</v>
      </c>
      <c r="K202" s="1">
        <v>-59750.570000000072</v>
      </c>
      <c r="L202" s="1">
        <v>959895.57000000007</v>
      </c>
      <c r="M202" s="1">
        <v>422</v>
      </c>
      <c r="N202" s="1">
        <v>249.7515064102565</v>
      </c>
      <c r="O202" s="1">
        <v>-316.17003539912008</v>
      </c>
      <c r="P202" s="7">
        <v>45947</v>
      </c>
      <c r="Q202" s="1">
        <v>20000</v>
      </c>
      <c r="R202" s="7">
        <v>46027.079597071759</v>
      </c>
      <c r="S202" s="7">
        <v>46027</v>
      </c>
      <c r="T202" s="7" t="str">
        <f t="shared" si="0"/>
        <v>enero</v>
      </c>
      <c r="U202" s="1" t="s">
        <v>330</v>
      </c>
      <c r="X202" s="1" t="s">
        <v>345</v>
      </c>
      <c r="Y202" s="1" t="s">
        <v>346</v>
      </c>
      <c r="Z202" s="1">
        <v>1</v>
      </c>
      <c r="AA202" s="3">
        <v>10535.04</v>
      </c>
      <c r="AB202" s="3">
        <v>10535.04</v>
      </c>
      <c r="AC202" s="1" t="str">
        <f>VLOOKUP(A202,[1]Detalle!$D$2:$CW$484,98,FALSE)</f>
        <v>CENCO_MZ - Cencosud SA - Mendoza</v>
      </c>
    </row>
    <row r="203" spans="1:29" ht="14.25" customHeight="1" x14ac:dyDescent="0.3">
      <c r="A203" s="1" t="s">
        <v>209</v>
      </c>
      <c r="B203" s="1" t="s">
        <v>341</v>
      </c>
      <c r="C203" s="1" t="s">
        <v>343</v>
      </c>
      <c r="D203" s="1" t="s">
        <v>343</v>
      </c>
      <c r="E203" s="1">
        <v>0.5</v>
      </c>
      <c r="F203" s="1" t="s">
        <v>344</v>
      </c>
      <c r="G203" s="6">
        <v>45525</v>
      </c>
      <c r="H203" s="1">
        <v>880145</v>
      </c>
      <c r="I203" s="1">
        <v>900145</v>
      </c>
      <c r="J203" s="1">
        <v>79750.570000000065</v>
      </c>
      <c r="K203" s="1">
        <v>-59750.570000000072</v>
      </c>
      <c r="L203" s="1">
        <v>959895.57000000007</v>
      </c>
      <c r="M203" s="1">
        <v>422</v>
      </c>
      <c r="N203" s="1">
        <v>249.7515064102565</v>
      </c>
      <c r="O203" s="1">
        <v>-316.17003539912008</v>
      </c>
      <c r="P203" s="7">
        <v>45947</v>
      </c>
      <c r="Q203" s="1">
        <v>20000</v>
      </c>
      <c r="R203" s="7">
        <v>46027.079597071759</v>
      </c>
      <c r="S203" s="7">
        <v>46027</v>
      </c>
      <c r="T203" s="7" t="str">
        <f t="shared" si="0"/>
        <v>enero</v>
      </c>
      <c r="U203" s="1" t="s">
        <v>330</v>
      </c>
      <c r="X203" s="1" t="s">
        <v>347</v>
      </c>
      <c r="Y203" s="1" t="s">
        <v>348</v>
      </c>
      <c r="Z203" s="1">
        <v>1</v>
      </c>
      <c r="AA203" s="3">
        <v>19410.240000000002</v>
      </c>
      <c r="AB203" s="3">
        <v>19410.240000000002</v>
      </c>
      <c r="AC203" s="1" t="str">
        <f>VLOOKUP(A203,[1]Detalle!$D$2:$CW$484,98,FALSE)</f>
        <v>CENCO_MZ - Cencosud SA - Mendoza</v>
      </c>
    </row>
    <row r="204" spans="1:29" ht="14.25" customHeight="1" x14ac:dyDescent="0.3">
      <c r="A204" s="1" t="s">
        <v>248</v>
      </c>
      <c r="B204" s="1" t="s">
        <v>341</v>
      </c>
      <c r="C204" s="1" t="s">
        <v>343</v>
      </c>
      <c r="D204" s="1" t="s">
        <v>343</v>
      </c>
      <c r="E204" s="1">
        <v>0.5</v>
      </c>
      <c r="F204" s="1" t="s">
        <v>344</v>
      </c>
      <c r="G204" s="6">
        <v>45743</v>
      </c>
      <c r="H204" s="1">
        <v>123548</v>
      </c>
      <c r="I204" s="1">
        <v>143548</v>
      </c>
      <c r="J204" s="1">
        <v>7382.7000000000016</v>
      </c>
      <c r="K204" s="1">
        <v>12617.3</v>
      </c>
      <c r="L204" s="1">
        <v>130930.7</v>
      </c>
      <c r="M204" s="1">
        <v>204</v>
      </c>
      <c r="N204" s="1">
        <v>33.855032679738592</v>
      </c>
      <c r="O204" s="1">
        <v>348.64334186679662</v>
      </c>
      <c r="P204" s="7">
        <v>45947</v>
      </c>
      <c r="Q204" s="1">
        <v>20000</v>
      </c>
      <c r="R204" s="7">
        <v>46295.643341863433</v>
      </c>
      <c r="S204" s="7">
        <v>46295</v>
      </c>
      <c r="T204" s="7" t="str">
        <f t="shared" si="0"/>
        <v>septiembre</v>
      </c>
      <c r="U204" s="1" t="s">
        <v>330</v>
      </c>
      <c r="X204" s="1" t="s">
        <v>345</v>
      </c>
      <c r="Y204" s="1" t="s">
        <v>346</v>
      </c>
      <c r="Z204" s="1">
        <v>1</v>
      </c>
      <c r="AA204" s="3">
        <v>10535.04</v>
      </c>
      <c r="AB204" s="3">
        <v>10535.04</v>
      </c>
      <c r="AC204" s="1" t="str">
        <f>VLOOKUP(A204,[1]Detalle!$D$2:$CW$484,98,FALSE)</f>
        <v>CCUDyAZA</v>
      </c>
    </row>
    <row r="205" spans="1:29" ht="14.25" customHeight="1" x14ac:dyDescent="0.3">
      <c r="A205" s="1" t="s">
        <v>248</v>
      </c>
      <c r="B205" s="1" t="s">
        <v>341</v>
      </c>
      <c r="C205" s="1" t="s">
        <v>343</v>
      </c>
      <c r="D205" s="1" t="s">
        <v>343</v>
      </c>
      <c r="E205" s="1">
        <v>0.5</v>
      </c>
      <c r="F205" s="1" t="s">
        <v>344</v>
      </c>
      <c r="G205" s="6">
        <v>45743</v>
      </c>
      <c r="H205" s="1">
        <v>123548</v>
      </c>
      <c r="I205" s="1">
        <v>143548</v>
      </c>
      <c r="J205" s="1">
        <v>7382.7000000000016</v>
      </c>
      <c r="K205" s="1">
        <v>12617.3</v>
      </c>
      <c r="L205" s="1">
        <v>130930.7</v>
      </c>
      <c r="M205" s="1">
        <v>204</v>
      </c>
      <c r="N205" s="1">
        <v>33.855032679738592</v>
      </c>
      <c r="O205" s="1">
        <v>348.64334186679662</v>
      </c>
      <c r="P205" s="7">
        <v>45947</v>
      </c>
      <c r="Q205" s="1">
        <v>20000</v>
      </c>
      <c r="R205" s="7">
        <v>46295.643341863433</v>
      </c>
      <c r="S205" s="7">
        <v>46295</v>
      </c>
      <c r="T205" s="7" t="str">
        <f t="shared" si="0"/>
        <v>septiembre</v>
      </c>
      <c r="U205" s="1" t="s">
        <v>330</v>
      </c>
      <c r="X205" s="1" t="s">
        <v>347</v>
      </c>
      <c r="Y205" s="1" t="s">
        <v>348</v>
      </c>
      <c r="Z205" s="1">
        <v>1</v>
      </c>
      <c r="AA205" s="3">
        <v>19410.240000000002</v>
      </c>
      <c r="AB205" s="3">
        <v>19410.240000000002</v>
      </c>
      <c r="AC205" s="1" t="str">
        <f>VLOOKUP(A205,[1]Detalle!$D$2:$CW$484,98,FALSE)</f>
        <v>CCUDyAZA</v>
      </c>
    </row>
    <row r="206" spans="1:29" ht="14.25" customHeight="1" x14ac:dyDescent="0.3">
      <c r="A206" s="1" t="s">
        <v>249</v>
      </c>
      <c r="B206" s="1" t="s">
        <v>341</v>
      </c>
      <c r="C206" s="1" t="s">
        <v>343</v>
      </c>
      <c r="D206" s="1" t="s">
        <v>343</v>
      </c>
      <c r="E206" s="1">
        <v>0.5</v>
      </c>
      <c r="F206" s="1" t="s">
        <v>344</v>
      </c>
      <c r="G206" s="6">
        <v>45750</v>
      </c>
      <c r="H206" s="1">
        <v>172612</v>
      </c>
      <c r="I206" s="1">
        <v>192612</v>
      </c>
      <c r="J206" s="1">
        <v>9021.2999999999956</v>
      </c>
      <c r="K206" s="1">
        <v>10978.7</v>
      </c>
      <c r="L206" s="1">
        <v>181633.3</v>
      </c>
      <c r="M206" s="1">
        <v>197</v>
      </c>
      <c r="N206" s="1">
        <v>39.791067961165048</v>
      </c>
      <c r="O206" s="1">
        <v>239.74414995621501</v>
      </c>
      <c r="P206" s="7">
        <v>45947</v>
      </c>
      <c r="Q206" s="1">
        <v>20000</v>
      </c>
      <c r="R206" s="7">
        <v>46186.744149953702</v>
      </c>
      <c r="S206" s="7">
        <v>46186</v>
      </c>
      <c r="T206" s="7" t="str">
        <f t="shared" si="0"/>
        <v>junio</v>
      </c>
      <c r="U206" s="1" t="s">
        <v>330</v>
      </c>
      <c r="X206" s="1" t="s">
        <v>345</v>
      </c>
      <c r="Y206" s="1" t="s">
        <v>346</v>
      </c>
      <c r="Z206" s="1">
        <v>1</v>
      </c>
      <c r="AA206" s="3">
        <v>10535.04</v>
      </c>
      <c r="AB206" s="3">
        <v>10535.04</v>
      </c>
      <c r="AC206" s="1" t="str">
        <f>VLOOKUP(A206,[1]Detalle!$D$2:$CW$484,98,FALSE)</f>
        <v>CCUDyAZA</v>
      </c>
    </row>
    <row r="207" spans="1:29" ht="14.25" customHeight="1" x14ac:dyDescent="0.3">
      <c r="A207" s="1" t="s">
        <v>249</v>
      </c>
      <c r="B207" s="1" t="s">
        <v>341</v>
      </c>
      <c r="C207" s="1" t="s">
        <v>343</v>
      </c>
      <c r="D207" s="1" t="s">
        <v>343</v>
      </c>
      <c r="E207" s="1">
        <v>0.5</v>
      </c>
      <c r="F207" s="1" t="s">
        <v>344</v>
      </c>
      <c r="G207" s="6">
        <v>45750</v>
      </c>
      <c r="H207" s="1">
        <v>172612</v>
      </c>
      <c r="I207" s="1">
        <v>192612</v>
      </c>
      <c r="J207" s="1">
        <v>9021.2999999999956</v>
      </c>
      <c r="K207" s="1">
        <v>10978.7</v>
      </c>
      <c r="L207" s="1">
        <v>181633.3</v>
      </c>
      <c r="M207" s="1">
        <v>197</v>
      </c>
      <c r="N207" s="1">
        <v>39.791067961165048</v>
      </c>
      <c r="O207" s="1">
        <v>239.74414995621501</v>
      </c>
      <c r="P207" s="7">
        <v>45947</v>
      </c>
      <c r="Q207" s="1">
        <v>20000</v>
      </c>
      <c r="R207" s="7">
        <v>46186.744149953702</v>
      </c>
      <c r="S207" s="7">
        <v>46186</v>
      </c>
      <c r="T207" s="7" t="str">
        <f t="shared" si="0"/>
        <v>junio</v>
      </c>
      <c r="U207" s="1" t="s">
        <v>330</v>
      </c>
      <c r="X207" s="1" t="s">
        <v>347</v>
      </c>
      <c r="Y207" s="1" t="s">
        <v>348</v>
      </c>
      <c r="Z207" s="1">
        <v>1</v>
      </c>
      <c r="AA207" s="3">
        <v>19410.240000000002</v>
      </c>
      <c r="AB207" s="3">
        <v>19410.240000000002</v>
      </c>
      <c r="AC207" s="1" t="str">
        <f>VLOOKUP(A207,[1]Detalle!$D$2:$CW$484,98,FALSE)</f>
        <v>CCUDyAZA</v>
      </c>
    </row>
    <row r="208" spans="1:29" ht="14.25" customHeight="1" x14ac:dyDescent="0.3">
      <c r="A208" s="1" t="s">
        <v>251</v>
      </c>
      <c r="B208" s="1" t="s">
        <v>341</v>
      </c>
      <c r="C208" s="1" t="s">
        <v>343</v>
      </c>
      <c r="D208" s="1" t="s">
        <v>343</v>
      </c>
      <c r="E208" s="1">
        <v>0.5</v>
      </c>
      <c r="F208" s="1" t="s">
        <v>344</v>
      </c>
      <c r="G208" s="6">
        <v>45803</v>
      </c>
      <c r="H208" s="1">
        <v>134238</v>
      </c>
      <c r="I208" s="1">
        <v>154238</v>
      </c>
      <c r="J208" s="1">
        <v>6883.1999999999953</v>
      </c>
      <c r="K208" s="1">
        <v>13116.8</v>
      </c>
      <c r="L208" s="1">
        <v>141121.20000000001</v>
      </c>
      <c r="M208" s="1">
        <v>144</v>
      </c>
      <c r="N208" s="1">
        <v>38.754967741935467</v>
      </c>
      <c r="O208" s="1">
        <v>274.41004184100439</v>
      </c>
      <c r="P208" s="7">
        <v>45947</v>
      </c>
      <c r="Q208" s="1">
        <v>20000</v>
      </c>
      <c r="R208" s="7">
        <v>46221.410041840281</v>
      </c>
      <c r="S208" s="7">
        <v>46221</v>
      </c>
      <c r="T208" s="7" t="str">
        <f t="shared" si="0"/>
        <v>julio</v>
      </c>
      <c r="U208" s="1" t="s">
        <v>330</v>
      </c>
      <c r="X208" s="1" t="s">
        <v>345</v>
      </c>
      <c r="Y208" s="1" t="s">
        <v>346</v>
      </c>
      <c r="Z208" s="1">
        <v>1</v>
      </c>
      <c r="AA208" s="3">
        <v>10535.04</v>
      </c>
      <c r="AB208" s="3">
        <v>10535.04</v>
      </c>
      <c r="AC208" s="1" t="str">
        <f>VLOOKUP(A208,[1]Detalle!$D$2:$CW$484,98,FALSE)</f>
        <v>CCUDyAZA</v>
      </c>
    </row>
    <row r="209" spans="1:29" ht="14.25" customHeight="1" x14ac:dyDescent="0.3">
      <c r="A209" s="1" t="s">
        <v>251</v>
      </c>
      <c r="B209" s="1" t="s">
        <v>341</v>
      </c>
      <c r="C209" s="1" t="s">
        <v>343</v>
      </c>
      <c r="D209" s="1" t="s">
        <v>343</v>
      </c>
      <c r="E209" s="1">
        <v>0.5</v>
      </c>
      <c r="F209" s="1" t="s">
        <v>344</v>
      </c>
      <c r="G209" s="6">
        <v>45803</v>
      </c>
      <c r="H209" s="1">
        <v>134238</v>
      </c>
      <c r="I209" s="1">
        <v>154238</v>
      </c>
      <c r="J209" s="1">
        <v>6883.1999999999953</v>
      </c>
      <c r="K209" s="1">
        <v>13116.8</v>
      </c>
      <c r="L209" s="1">
        <v>141121.20000000001</v>
      </c>
      <c r="M209" s="1">
        <v>144</v>
      </c>
      <c r="N209" s="1">
        <v>38.754967741935467</v>
      </c>
      <c r="O209" s="1">
        <v>274.41004184100439</v>
      </c>
      <c r="P209" s="7">
        <v>45947</v>
      </c>
      <c r="Q209" s="1">
        <v>20000</v>
      </c>
      <c r="R209" s="7">
        <v>46221.410041840281</v>
      </c>
      <c r="S209" s="7">
        <v>46221</v>
      </c>
      <c r="T209" s="7" t="str">
        <f t="shared" si="0"/>
        <v>julio</v>
      </c>
      <c r="U209" s="1" t="s">
        <v>330</v>
      </c>
      <c r="X209" s="1" t="s">
        <v>347</v>
      </c>
      <c r="Y209" s="1" t="s">
        <v>348</v>
      </c>
      <c r="Z209" s="1">
        <v>1</v>
      </c>
      <c r="AA209" s="3">
        <v>19410.240000000002</v>
      </c>
      <c r="AB209" s="3">
        <v>19410.240000000002</v>
      </c>
      <c r="AC209" s="1" t="str">
        <f>VLOOKUP(A209,[1]Detalle!$D$2:$CW$484,98,FALSE)</f>
        <v>CCUDyAZA</v>
      </c>
    </row>
    <row r="210" spans="1:29" ht="14.25" customHeight="1" x14ac:dyDescent="0.3">
      <c r="A210" s="1" t="s">
        <v>252</v>
      </c>
      <c r="B210" s="1" t="s">
        <v>341</v>
      </c>
      <c r="C210" s="1" t="s">
        <v>343</v>
      </c>
      <c r="D210" s="1" t="s">
        <v>343</v>
      </c>
      <c r="E210" s="1">
        <v>0.5</v>
      </c>
      <c r="F210" s="1" t="s">
        <v>344</v>
      </c>
      <c r="G210" s="6">
        <v>45728</v>
      </c>
      <c r="H210" s="1">
        <v>136279</v>
      </c>
      <c r="I210" s="1">
        <v>156279</v>
      </c>
      <c r="J210" s="1">
        <v>9392.9000000000033</v>
      </c>
      <c r="K210" s="1">
        <v>10607.1</v>
      </c>
      <c r="L210" s="1">
        <v>145671.9</v>
      </c>
      <c r="M210" s="1">
        <v>219</v>
      </c>
      <c r="N210" s="1">
        <v>39.350485436893209</v>
      </c>
      <c r="O210" s="1">
        <v>247.309659423607</v>
      </c>
      <c r="P210" s="7">
        <v>45947</v>
      </c>
      <c r="Q210" s="1">
        <v>20000</v>
      </c>
      <c r="R210" s="7">
        <v>46194.309659421298</v>
      </c>
      <c r="S210" s="7">
        <v>46194</v>
      </c>
      <c r="T210" s="7" t="str">
        <f t="shared" si="0"/>
        <v>junio</v>
      </c>
      <c r="U210" s="1" t="s">
        <v>330</v>
      </c>
      <c r="X210" s="1" t="s">
        <v>345</v>
      </c>
      <c r="Y210" s="1" t="s">
        <v>346</v>
      </c>
      <c r="Z210" s="1">
        <v>1</v>
      </c>
      <c r="AA210" s="3">
        <v>10535.04</v>
      </c>
      <c r="AB210" s="3">
        <v>10535.04</v>
      </c>
      <c r="AC210" s="1" t="str">
        <f>VLOOKUP(A210,[1]Detalle!$D$2:$CW$484,98,FALSE)</f>
        <v>CCUDyAZA</v>
      </c>
    </row>
    <row r="211" spans="1:29" ht="14.25" customHeight="1" x14ac:dyDescent="0.3">
      <c r="A211" s="1" t="s">
        <v>252</v>
      </c>
      <c r="B211" s="1" t="s">
        <v>341</v>
      </c>
      <c r="C211" s="1" t="s">
        <v>343</v>
      </c>
      <c r="D211" s="1" t="s">
        <v>343</v>
      </c>
      <c r="E211" s="1">
        <v>0.5</v>
      </c>
      <c r="F211" s="1" t="s">
        <v>344</v>
      </c>
      <c r="G211" s="6">
        <v>45728</v>
      </c>
      <c r="H211" s="1">
        <v>136279</v>
      </c>
      <c r="I211" s="1">
        <v>156279</v>
      </c>
      <c r="J211" s="1">
        <v>9392.9000000000033</v>
      </c>
      <c r="K211" s="1">
        <v>10607.1</v>
      </c>
      <c r="L211" s="1">
        <v>145671.9</v>
      </c>
      <c r="M211" s="1">
        <v>219</v>
      </c>
      <c r="N211" s="1">
        <v>39.350485436893209</v>
      </c>
      <c r="O211" s="1">
        <v>247.309659423607</v>
      </c>
      <c r="P211" s="7">
        <v>45947</v>
      </c>
      <c r="Q211" s="1">
        <v>20000</v>
      </c>
      <c r="R211" s="7">
        <v>46194.309659421298</v>
      </c>
      <c r="S211" s="7">
        <v>46194</v>
      </c>
      <c r="T211" s="7" t="str">
        <f t="shared" si="0"/>
        <v>junio</v>
      </c>
      <c r="U211" s="1" t="s">
        <v>330</v>
      </c>
      <c r="X211" s="1" t="s">
        <v>347</v>
      </c>
      <c r="Y211" s="1" t="s">
        <v>348</v>
      </c>
      <c r="Z211" s="1">
        <v>1</v>
      </c>
      <c r="AA211" s="3">
        <v>19410.240000000002</v>
      </c>
      <c r="AB211" s="3">
        <v>19410.240000000002</v>
      </c>
      <c r="AC211" s="1" t="str">
        <f>VLOOKUP(A211,[1]Detalle!$D$2:$CW$484,98,FALSE)</f>
        <v>CCUDyAZA</v>
      </c>
    </row>
    <row r="212" spans="1:29" ht="14.25" customHeight="1" x14ac:dyDescent="0.3">
      <c r="A212" s="1" t="s">
        <v>254</v>
      </c>
      <c r="B212" s="1" t="s">
        <v>341</v>
      </c>
      <c r="C212" s="1" t="s">
        <v>343</v>
      </c>
      <c r="D212" s="1" t="s">
        <v>343</v>
      </c>
      <c r="E212" s="1">
        <v>0.5</v>
      </c>
      <c r="F212" s="1" t="s">
        <v>344</v>
      </c>
      <c r="G212" s="6">
        <v>45727</v>
      </c>
      <c r="H212" s="1">
        <v>135133</v>
      </c>
      <c r="I212" s="1">
        <v>155133</v>
      </c>
      <c r="J212" s="1">
        <v>15205.600000000009</v>
      </c>
      <c r="K212" s="1">
        <v>4794.3999999999915</v>
      </c>
      <c r="L212" s="1">
        <v>150338.6</v>
      </c>
      <c r="M212" s="1">
        <v>220</v>
      </c>
      <c r="N212" s="1">
        <v>62.077961165048592</v>
      </c>
      <c r="O212" s="1">
        <v>69.367075288051595</v>
      </c>
      <c r="P212" s="7">
        <v>45947</v>
      </c>
      <c r="Q212" s="1">
        <v>20000</v>
      </c>
      <c r="R212" s="7">
        <v>46338.542604652779</v>
      </c>
      <c r="S212" s="7">
        <v>46338</v>
      </c>
      <c r="T212" s="7" t="str">
        <f t="shared" si="0"/>
        <v>noviembre</v>
      </c>
      <c r="U212" s="1" t="s">
        <v>330</v>
      </c>
      <c r="X212" s="1" t="s">
        <v>345</v>
      </c>
      <c r="Y212" s="1" t="s">
        <v>346</v>
      </c>
      <c r="Z212" s="1">
        <v>1</v>
      </c>
      <c r="AA212" s="3">
        <v>10535.04</v>
      </c>
      <c r="AB212" s="3">
        <v>10535.04</v>
      </c>
      <c r="AC212" s="1" t="str">
        <f>VLOOKUP(A212,[1]Detalle!$D$2:$CW$484,98,FALSE)</f>
        <v>CCUCoAZA</v>
      </c>
    </row>
    <row r="213" spans="1:29" ht="14.25" customHeight="1" x14ac:dyDescent="0.3">
      <c r="A213" s="1" t="s">
        <v>254</v>
      </c>
      <c r="B213" s="1" t="s">
        <v>341</v>
      </c>
      <c r="C213" s="1" t="s">
        <v>343</v>
      </c>
      <c r="D213" s="1" t="s">
        <v>343</v>
      </c>
      <c r="E213" s="1">
        <v>0.5</v>
      </c>
      <c r="F213" s="1" t="s">
        <v>344</v>
      </c>
      <c r="G213" s="6">
        <v>45727</v>
      </c>
      <c r="H213" s="1">
        <v>135133</v>
      </c>
      <c r="I213" s="1">
        <v>155133</v>
      </c>
      <c r="J213" s="1">
        <v>15205.600000000009</v>
      </c>
      <c r="K213" s="1">
        <v>4794.3999999999915</v>
      </c>
      <c r="L213" s="1">
        <v>150338.6</v>
      </c>
      <c r="M213" s="1">
        <v>220</v>
      </c>
      <c r="N213" s="1">
        <v>62.077961165048592</v>
      </c>
      <c r="O213" s="1">
        <v>69.367075288051595</v>
      </c>
      <c r="P213" s="7">
        <v>45947</v>
      </c>
      <c r="Q213" s="1">
        <v>20000</v>
      </c>
      <c r="R213" s="7">
        <v>46338.542604652779</v>
      </c>
      <c r="S213" s="7">
        <v>46338</v>
      </c>
      <c r="T213" s="7" t="str">
        <f t="shared" si="0"/>
        <v>noviembre</v>
      </c>
      <c r="U213" s="1" t="s">
        <v>330</v>
      </c>
      <c r="X213" s="1" t="s">
        <v>347</v>
      </c>
      <c r="Y213" s="1" t="s">
        <v>348</v>
      </c>
      <c r="Z213" s="1">
        <v>1</v>
      </c>
      <c r="AA213" s="3">
        <v>19410.240000000002</v>
      </c>
      <c r="AB213" s="3">
        <v>19410.240000000002</v>
      </c>
      <c r="AC213" s="1" t="str">
        <f>VLOOKUP(A213,[1]Detalle!$D$2:$CW$484,98,FALSE)</f>
        <v>CCUCoAZA</v>
      </c>
    </row>
    <row r="214" spans="1:29" ht="14.25" customHeight="1" x14ac:dyDescent="0.3">
      <c r="A214" s="1" t="s">
        <v>255</v>
      </c>
      <c r="B214" s="1" t="s">
        <v>341</v>
      </c>
      <c r="C214" s="1" t="s">
        <v>343</v>
      </c>
      <c r="D214" s="1" t="s">
        <v>343</v>
      </c>
      <c r="E214" s="1">
        <v>0.5</v>
      </c>
      <c r="F214" s="1" t="s">
        <v>344</v>
      </c>
      <c r="G214" s="6">
        <v>45786</v>
      </c>
      <c r="H214" s="1">
        <v>140250</v>
      </c>
      <c r="I214" s="1">
        <v>160250</v>
      </c>
      <c r="J214" s="1">
        <v>6502.5999999999949</v>
      </c>
      <c r="K214" s="1">
        <v>13497.400000000011</v>
      </c>
      <c r="L214" s="1">
        <v>146752.6</v>
      </c>
      <c r="M214" s="1">
        <v>161</v>
      </c>
      <c r="N214" s="1">
        <v>36.457612903225787</v>
      </c>
      <c r="O214" s="1">
        <v>334.18654076830848</v>
      </c>
      <c r="P214" s="7">
        <v>45947</v>
      </c>
      <c r="Q214" s="1">
        <v>20000</v>
      </c>
      <c r="R214" s="7">
        <v>46281.186540763891</v>
      </c>
      <c r="S214" s="7">
        <v>46281</v>
      </c>
      <c r="T214" s="7" t="str">
        <f t="shared" si="0"/>
        <v>septiembre</v>
      </c>
      <c r="U214" s="1" t="s">
        <v>330</v>
      </c>
      <c r="X214" s="1" t="s">
        <v>345</v>
      </c>
      <c r="Y214" s="1" t="s">
        <v>346</v>
      </c>
      <c r="Z214" s="1">
        <v>1</v>
      </c>
      <c r="AA214" s="3">
        <v>10535.04</v>
      </c>
      <c r="AB214" s="3">
        <v>10535.04</v>
      </c>
      <c r="AC214" s="1" t="str">
        <f>VLOOKUP(A214,[1]Detalle!$D$2:$CW$484,98,FALSE)</f>
        <v>CCUDyAZA</v>
      </c>
    </row>
    <row r="215" spans="1:29" ht="14.25" customHeight="1" x14ac:dyDescent="0.3">
      <c r="A215" s="1" t="s">
        <v>255</v>
      </c>
      <c r="B215" s="1" t="s">
        <v>341</v>
      </c>
      <c r="C215" s="1" t="s">
        <v>343</v>
      </c>
      <c r="D215" s="1" t="s">
        <v>343</v>
      </c>
      <c r="E215" s="1">
        <v>0.5</v>
      </c>
      <c r="F215" s="1" t="s">
        <v>344</v>
      </c>
      <c r="G215" s="6">
        <v>45786</v>
      </c>
      <c r="H215" s="1">
        <v>140250</v>
      </c>
      <c r="I215" s="1">
        <v>160250</v>
      </c>
      <c r="J215" s="1">
        <v>6502.5999999999949</v>
      </c>
      <c r="K215" s="1">
        <v>13497.400000000011</v>
      </c>
      <c r="L215" s="1">
        <v>146752.6</v>
      </c>
      <c r="M215" s="1">
        <v>161</v>
      </c>
      <c r="N215" s="1">
        <v>36.457612903225787</v>
      </c>
      <c r="O215" s="1">
        <v>334.18654076830848</v>
      </c>
      <c r="P215" s="7">
        <v>45947</v>
      </c>
      <c r="Q215" s="1">
        <v>20000</v>
      </c>
      <c r="R215" s="7">
        <v>46281.186540763891</v>
      </c>
      <c r="S215" s="7">
        <v>46281</v>
      </c>
      <c r="T215" s="7" t="str">
        <f t="shared" si="0"/>
        <v>septiembre</v>
      </c>
      <c r="U215" s="1" t="s">
        <v>330</v>
      </c>
      <c r="X215" s="1" t="s">
        <v>347</v>
      </c>
      <c r="Y215" s="1" t="s">
        <v>348</v>
      </c>
      <c r="Z215" s="1">
        <v>1</v>
      </c>
      <c r="AA215" s="3">
        <v>19410.240000000002</v>
      </c>
      <c r="AB215" s="3">
        <v>19410.240000000002</v>
      </c>
      <c r="AC215" s="1" t="str">
        <f>VLOOKUP(A215,[1]Detalle!$D$2:$CW$484,98,FALSE)</f>
        <v>CCUDyAZA</v>
      </c>
    </row>
    <row r="216" spans="1:29" ht="14.25" customHeight="1" x14ac:dyDescent="0.3">
      <c r="A216" s="1" t="s">
        <v>256</v>
      </c>
      <c r="B216" s="1" t="s">
        <v>341</v>
      </c>
      <c r="C216" s="1" t="s">
        <v>343</v>
      </c>
      <c r="D216" s="1" t="s">
        <v>343</v>
      </c>
      <c r="E216" s="1">
        <v>0.5</v>
      </c>
      <c r="F216" s="1" t="s">
        <v>344</v>
      </c>
      <c r="G216" s="6">
        <v>45733</v>
      </c>
      <c r="H216" s="1">
        <v>175136</v>
      </c>
      <c r="I216" s="1">
        <v>195136</v>
      </c>
      <c r="J216" s="1">
        <v>10902.7</v>
      </c>
      <c r="K216" s="1">
        <v>9097.2999999999993</v>
      </c>
      <c r="L216" s="1">
        <v>186038.7</v>
      </c>
      <c r="M216" s="1">
        <v>214</v>
      </c>
      <c r="N216" s="1">
        <v>47.387909967845658</v>
      </c>
      <c r="O216" s="1">
        <v>178.56331000577839</v>
      </c>
      <c r="P216" s="7">
        <v>45947</v>
      </c>
      <c r="Q216" s="1">
        <v>20000</v>
      </c>
      <c r="R216" s="7">
        <v>46125.563309999998</v>
      </c>
      <c r="S216" s="7">
        <v>46125</v>
      </c>
      <c r="T216" s="7" t="str">
        <f t="shared" si="0"/>
        <v>abril</v>
      </c>
      <c r="U216" s="1" t="s">
        <v>330</v>
      </c>
      <c r="X216" s="1" t="s">
        <v>345</v>
      </c>
      <c r="Y216" s="1" t="s">
        <v>346</v>
      </c>
      <c r="Z216" s="1">
        <v>1</v>
      </c>
      <c r="AA216" s="3">
        <v>10535.04</v>
      </c>
      <c r="AB216" s="3">
        <v>10535.04</v>
      </c>
      <c r="AC216" s="1" t="str">
        <f>VLOOKUP(A216,[1]Detalle!$D$2:$CW$484,98,FALSE)</f>
        <v>CCUCoAZA</v>
      </c>
    </row>
    <row r="217" spans="1:29" ht="14.25" customHeight="1" x14ac:dyDescent="0.3">
      <c r="A217" s="1" t="s">
        <v>256</v>
      </c>
      <c r="B217" s="1" t="s">
        <v>341</v>
      </c>
      <c r="C217" s="1" t="s">
        <v>343</v>
      </c>
      <c r="D217" s="1" t="s">
        <v>343</v>
      </c>
      <c r="E217" s="1">
        <v>0.5</v>
      </c>
      <c r="F217" s="1" t="s">
        <v>344</v>
      </c>
      <c r="G217" s="6">
        <v>45733</v>
      </c>
      <c r="H217" s="1">
        <v>175136</v>
      </c>
      <c r="I217" s="1">
        <v>195136</v>
      </c>
      <c r="J217" s="1">
        <v>10902.7</v>
      </c>
      <c r="K217" s="1">
        <v>9097.2999999999993</v>
      </c>
      <c r="L217" s="1">
        <v>186038.7</v>
      </c>
      <c r="M217" s="1">
        <v>214</v>
      </c>
      <c r="N217" s="1">
        <v>47.387909967845658</v>
      </c>
      <c r="O217" s="1">
        <v>178.56331000577839</v>
      </c>
      <c r="P217" s="7">
        <v>45947</v>
      </c>
      <c r="Q217" s="1">
        <v>20000</v>
      </c>
      <c r="R217" s="7">
        <v>46125.563309999998</v>
      </c>
      <c r="S217" s="7">
        <v>46125</v>
      </c>
      <c r="T217" s="7" t="str">
        <f t="shared" si="0"/>
        <v>abril</v>
      </c>
      <c r="U217" s="1" t="s">
        <v>330</v>
      </c>
      <c r="X217" s="1" t="s">
        <v>347</v>
      </c>
      <c r="Y217" s="1" t="s">
        <v>348</v>
      </c>
      <c r="Z217" s="1">
        <v>1</v>
      </c>
      <c r="AA217" s="3">
        <v>19410.240000000002</v>
      </c>
      <c r="AB217" s="3">
        <v>19410.240000000002</v>
      </c>
      <c r="AC217" s="1" t="str">
        <f>VLOOKUP(A217,[1]Detalle!$D$2:$CW$484,98,FALSE)</f>
        <v>CCUCoAZA</v>
      </c>
    </row>
    <row r="218" spans="1:29" ht="14.25" customHeight="1" x14ac:dyDescent="0.3">
      <c r="A218" s="1" t="s">
        <v>260</v>
      </c>
      <c r="B218" s="1" t="s">
        <v>341</v>
      </c>
      <c r="C218" s="1" t="s">
        <v>343</v>
      </c>
      <c r="D218" s="1" t="s">
        <v>343</v>
      </c>
      <c r="E218" s="1">
        <v>0.5</v>
      </c>
      <c r="F218" s="1" t="s">
        <v>344</v>
      </c>
      <c r="G218" s="6">
        <v>45608</v>
      </c>
      <c r="H218" s="1">
        <v>135670</v>
      </c>
      <c r="I218" s="1">
        <v>155670</v>
      </c>
      <c r="J218" s="1">
        <v>13146.66</v>
      </c>
      <c r="K218" s="1">
        <v>6853.3399999999983</v>
      </c>
      <c r="L218" s="1">
        <v>148816.66</v>
      </c>
      <c r="M218" s="1">
        <v>339</v>
      </c>
      <c r="N218" s="1">
        <v>35.350675241157553</v>
      </c>
      <c r="O218" s="1">
        <v>176.72034265737449</v>
      </c>
      <c r="P218" s="7">
        <v>45947</v>
      </c>
      <c r="Q218" s="1">
        <v>20000</v>
      </c>
      <c r="R218" s="7">
        <v>46123.72034266204</v>
      </c>
      <c r="S218" s="7">
        <v>46123</v>
      </c>
      <c r="T218" s="7" t="str">
        <f t="shared" si="0"/>
        <v>abril</v>
      </c>
      <c r="U218" s="1" t="s">
        <v>330</v>
      </c>
      <c r="X218" s="1" t="s">
        <v>345</v>
      </c>
      <c r="Y218" s="1" t="s">
        <v>346</v>
      </c>
      <c r="Z218" s="1">
        <v>1</v>
      </c>
      <c r="AA218" s="3">
        <v>10535.04</v>
      </c>
      <c r="AB218" s="3">
        <v>10535.04</v>
      </c>
      <c r="AC218" s="1" t="str">
        <f>VLOOKUP(A218,[1]Detalle!$D$2:$CW$484,98,FALSE)</f>
        <v>CCUDyAZA</v>
      </c>
    </row>
    <row r="219" spans="1:29" ht="14.25" customHeight="1" x14ac:dyDescent="0.3">
      <c r="A219" s="1" t="s">
        <v>260</v>
      </c>
      <c r="B219" s="1" t="s">
        <v>341</v>
      </c>
      <c r="C219" s="1" t="s">
        <v>343</v>
      </c>
      <c r="D219" s="1" t="s">
        <v>343</v>
      </c>
      <c r="E219" s="1">
        <v>0.5</v>
      </c>
      <c r="F219" s="1" t="s">
        <v>344</v>
      </c>
      <c r="G219" s="6">
        <v>45608</v>
      </c>
      <c r="H219" s="1">
        <v>135670</v>
      </c>
      <c r="I219" s="1">
        <v>155670</v>
      </c>
      <c r="J219" s="1">
        <v>13146.66</v>
      </c>
      <c r="K219" s="1">
        <v>6853.3399999999983</v>
      </c>
      <c r="L219" s="1">
        <v>148816.66</v>
      </c>
      <c r="M219" s="1">
        <v>339</v>
      </c>
      <c r="N219" s="1">
        <v>35.350675241157553</v>
      </c>
      <c r="O219" s="1">
        <v>176.72034265737449</v>
      </c>
      <c r="P219" s="7">
        <v>45947</v>
      </c>
      <c r="Q219" s="1">
        <v>20000</v>
      </c>
      <c r="R219" s="7">
        <v>46123.72034266204</v>
      </c>
      <c r="S219" s="7">
        <v>46123</v>
      </c>
      <c r="T219" s="7" t="str">
        <f t="shared" si="0"/>
        <v>abril</v>
      </c>
      <c r="U219" s="1" t="s">
        <v>330</v>
      </c>
      <c r="X219" s="1" t="s">
        <v>347</v>
      </c>
      <c r="Y219" s="1" t="s">
        <v>348</v>
      </c>
      <c r="Z219" s="1">
        <v>1</v>
      </c>
      <c r="AA219" s="3">
        <v>19410.240000000002</v>
      </c>
      <c r="AB219" s="3">
        <v>19410.240000000002</v>
      </c>
      <c r="AC219" s="1" t="str">
        <f>VLOOKUP(A219,[1]Detalle!$D$2:$CW$484,98,FALSE)</f>
        <v>CCUDyAZA</v>
      </c>
    </row>
    <row r="220" spans="1:29" ht="14.25" customHeight="1" x14ac:dyDescent="0.3">
      <c r="A220" s="1" t="s">
        <v>261</v>
      </c>
      <c r="B220" s="1" t="s">
        <v>341</v>
      </c>
      <c r="C220" s="1" t="s">
        <v>343</v>
      </c>
      <c r="D220" s="1" t="s">
        <v>343</v>
      </c>
      <c r="E220" s="1">
        <v>0.5</v>
      </c>
      <c r="F220" s="1" t="s">
        <v>344</v>
      </c>
      <c r="G220" s="6">
        <v>45741</v>
      </c>
      <c r="H220" s="1">
        <v>138994</v>
      </c>
      <c r="I220" s="1">
        <v>158994</v>
      </c>
      <c r="J220" s="1">
        <v>7813.9000000000042</v>
      </c>
      <c r="K220" s="1">
        <v>12186.099999999989</v>
      </c>
      <c r="L220" s="1">
        <v>146807.9</v>
      </c>
      <c r="M220" s="1">
        <v>206</v>
      </c>
      <c r="N220" s="1">
        <v>32.740519480519481</v>
      </c>
      <c r="O220" s="1">
        <v>321.26551401988729</v>
      </c>
      <c r="P220" s="7">
        <v>45947</v>
      </c>
      <c r="Q220" s="1">
        <v>20000</v>
      </c>
      <c r="R220" s="7">
        <v>46268.265514016202</v>
      </c>
      <c r="S220" s="7">
        <v>46268</v>
      </c>
      <c r="T220" s="7" t="str">
        <f t="shared" si="0"/>
        <v>septiembre</v>
      </c>
      <c r="U220" s="1" t="s">
        <v>330</v>
      </c>
      <c r="X220" s="1" t="s">
        <v>345</v>
      </c>
      <c r="Y220" s="1" t="s">
        <v>346</v>
      </c>
      <c r="Z220" s="1">
        <v>1</v>
      </c>
      <c r="AA220" s="3">
        <v>10535.04</v>
      </c>
      <c r="AB220" s="3">
        <v>10535.04</v>
      </c>
      <c r="AC220" s="1" t="str">
        <f>VLOOKUP(A220,[1]Detalle!$D$2:$CW$484,98,FALSE)</f>
        <v>CCUDyAZA</v>
      </c>
    </row>
    <row r="221" spans="1:29" ht="14.25" customHeight="1" x14ac:dyDescent="0.3">
      <c r="A221" s="1" t="s">
        <v>261</v>
      </c>
      <c r="B221" s="1" t="s">
        <v>341</v>
      </c>
      <c r="C221" s="1" t="s">
        <v>343</v>
      </c>
      <c r="D221" s="1" t="s">
        <v>343</v>
      </c>
      <c r="E221" s="1">
        <v>0.5</v>
      </c>
      <c r="F221" s="1" t="s">
        <v>344</v>
      </c>
      <c r="G221" s="6">
        <v>45741</v>
      </c>
      <c r="H221" s="1">
        <v>138994</v>
      </c>
      <c r="I221" s="1">
        <v>158994</v>
      </c>
      <c r="J221" s="1">
        <v>7813.9000000000042</v>
      </c>
      <c r="K221" s="1">
        <v>12186.099999999989</v>
      </c>
      <c r="L221" s="1">
        <v>146807.9</v>
      </c>
      <c r="M221" s="1">
        <v>206</v>
      </c>
      <c r="N221" s="1">
        <v>32.740519480519481</v>
      </c>
      <c r="O221" s="1">
        <v>321.26551401988729</v>
      </c>
      <c r="P221" s="7">
        <v>45947</v>
      </c>
      <c r="Q221" s="1">
        <v>20000</v>
      </c>
      <c r="R221" s="7">
        <v>46268.265514016202</v>
      </c>
      <c r="S221" s="7">
        <v>46268</v>
      </c>
      <c r="T221" s="7" t="str">
        <f t="shared" si="0"/>
        <v>septiembre</v>
      </c>
      <c r="U221" s="1" t="s">
        <v>330</v>
      </c>
      <c r="X221" s="1" t="s">
        <v>347</v>
      </c>
      <c r="Y221" s="1" t="s">
        <v>348</v>
      </c>
      <c r="Z221" s="1">
        <v>1</v>
      </c>
      <c r="AA221" s="3">
        <v>19410.240000000002</v>
      </c>
      <c r="AB221" s="3">
        <v>19410.240000000002</v>
      </c>
      <c r="AC221" s="1" t="str">
        <f>VLOOKUP(A221,[1]Detalle!$D$2:$CW$484,98,FALSE)</f>
        <v>CCUDyAZA</v>
      </c>
    </row>
    <row r="222" spans="1:29" ht="14.25" customHeight="1" x14ac:dyDescent="0.3">
      <c r="A222" s="1" t="s">
        <v>262</v>
      </c>
      <c r="B222" s="1" t="s">
        <v>341</v>
      </c>
      <c r="C222" s="1" t="s">
        <v>343</v>
      </c>
      <c r="D222" s="1" t="s">
        <v>343</v>
      </c>
      <c r="E222" s="1">
        <v>0.5</v>
      </c>
      <c r="F222" s="1" t="s">
        <v>344</v>
      </c>
      <c r="G222" s="6">
        <v>45750</v>
      </c>
      <c r="H222" s="1">
        <v>135586</v>
      </c>
      <c r="I222" s="1">
        <v>155586</v>
      </c>
      <c r="J222" s="1">
        <v>6212.800000000002</v>
      </c>
      <c r="K222" s="1">
        <v>13787.2</v>
      </c>
      <c r="L222" s="1">
        <v>141798.79999999999</v>
      </c>
      <c r="M222" s="1">
        <v>197</v>
      </c>
      <c r="N222" s="1">
        <v>29.337411003236291</v>
      </c>
      <c r="O222" s="1">
        <v>437.17460726242581</v>
      </c>
      <c r="P222" s="7">
        <v>45947</v>
      </c>
      <c r="Q222" s="1">
        <v>20000</v>
      </c>
      <c r="R222" s="7">
        <v>46384.174607256937</v>
      </c>
      <c r="S222" s="7">
        <v>46384</v>
      </c>
      <c r="T222" s="7" t="str">
        <f t="shared" si="0"/>
        <v>diciembre</v>
      </c>
      <c r="U222" s="1" t="s">
        <v>330</v>
      </c>
      <c r="X222" s="1" t="s">
        <v>345</v>
      </c>
      <c r="Y222" s="1" t="s">
        <v>346</v>
      </c>
      <c r="Z222" s="1">
        <v>1</v>
      </c>
      <c r="AA222" s="3">
        <v>10535.04</v>
      </c>
      <c r="AB222" s="3">
        <v>10535.04</v>
      </c>
      <c r="AC222" s="1" t="str">
        <f>VLOOKUP(A222,[1]Detalle!$D$2:$CW$484,98,FALSE)</f>
        <v>CCUDyAZA</v>
      </c>
    </row>
    <row r="223" spans="1:29" ht="14.25" customHeight="1" x14ac:dyDescent="0.3">
      <c r="A223" s="1" t="s">
        <v>262</v>
      </c>
      <c r="B223" s="1" t="s">
        <v>341</v>
      </c>
      <c r="C223" s="1" t="s">
        <v>343</v>
      </c>
      <c r="D223" s="1" t="s">
        <v>343</v>
      </c>
      <c r="E223" s="1">
        <v>0.5</v>
      </c>
      <c r="F223" s="1" t="s">
        <v>344</v>
      </c>
      <c r="G223" s="6">
        <v>45750</v>
      </c>
      <c r="H223" s="1">
        <v>135586</v>
      </c>
      <c r="I223" s="1">
        <v>155586</v>
      </c>
      <c r="J223" s="1">
        <v>6212.800000000002</v>
      </c>
      <c r="K223" s="1">
        <v>13787.2</v>
      </c>
      <c r="L223" s="1">
        <v>141798.79999999999</v>
      </c>
      <c r="M223" s="1">
        <v>197</v>
      </c>
      <c r="N223" s="1">
        <v>29.337411003236291</v>
      </c>
      <c r="O223" s="1">
        <v>437.17460726242581</v>
      </c>
      <c r="P223" s="7">
        <v>45947</v>
      </c>
      <c r="Q223" s="1">
        <v>20000</v>
      </c>
      <c r="R223" s="7">
        <v>46384.174607256937</v>
      </c>
      <c r="S223" s="7">
        <v>46384</v>
      </c>
      <c r="T223" s="7" t="str">
        <f t="shared" si="0"/>
        <v>diciembre</v>
      </c>
      <c r="U223" s="1" t="s">
        <v>330</v>
      </c>
      <c r="X223" s="1" t="s">
        <v>347</v>
      </c>
      <c r="Y223" s="1" t="s">
        <v>348</v>
      </c>
      <c r="Z223" s="1">
        <v>1</v>
      </c>
      <c r="AA223" s="3">
        <v>19410.240000000002</v>
      </c>
      <c r="AB223" s="3">
        <v>19410.240000000002</v>
      </c>
      <c r="AC223" s="1" t="str">
        <f>VLOOKUP(A223,[1]Detalle!$D$2:$CW$484,98,FALSE)</f>
        <v>CCUDyAZA</v>
      </c>
    </row>
    <row r="224" spans="1:29" ht="14.25" customHeight="1" x14ac:dyDescent="0.3">
      <c r="A224" s="1" t="s">
        <v>263</v>
      </c>
      <c r="B224" s="1" t="s">
        <v>341</v>
      </c>
      <c r="C224" s="1" t="s">
        <v>343</v>
      </c>
      <c r="D224" s="1" t="s">
        <v>343</v>
      </c>
      <c r="E224" s="1">
        <v>0.5</v>
      </c>
      <c r="F224" s="1" t="s">
        <v>344</v>
      </c>
      <c r="G224" s="6">
        <v>45792</v>
      </c>
      <c r="H224" s="1">
        <v>139668</v>
      </c>
      <c r="I224" s="1">
        <v>159668</v>
      </c>
      <c r="J224" s="1">
        <v>6276.5</v>
      </c>
      <c r="K224" s="1">
        <v>13723.5</v>
      </c>
      <c r="L224" s="1">
        <v>145944.5</v>
      </c>
      <c r="M224" s="1">
        <v>155</v>
      </c>
      <c r="N224" s="1">
        <v>39.350129032258081</v>
      </c>
      <c r="O224" s="1">
        <v>338.90583924161558</v>
      </c>
      <c r="P224" s="7">
        <v>45947</v>
      </c>
      <c r="Q224" s="1">
        <v>20000</v>
      </c>
      <c r="R224" s="7">
        <v>46285.905839236111</v>
      </c>
      <c r="S224" s="7">
        <v>46285</v>
      </c>
      <c r="T224" s="7" t="str">
        <f t="shared" si="0"/>
        <v>septiembre</v>
      </c>
      <c r="U224" s="1" t="s">
        <v>330</v>
      </c>
      <c r="X224" s="1" t="s">
        <v>345</v>
      </c>
      <c r="Y224" s="1" t="s">
        <v>346</v>
      </c>
      <c r="Z224" s="1">
        <v>1</v>
      </c>
      <c r="AA224" s="3">
        <v>10535.04</v>
      </c>
      <c r="AB224" s="3">
        <v>10535.04</v>
      </c>
      <c r="AC224" s="1" t="str">
        <f>VLOOKUP(A224,[1]Detalle!$D$2:$CW$484,98,FALSE)</f>
        <v>CCUCoAZA</v>
      </c>
    </row>
    <row r="225" spans="1:29" ht="14.25" customHeight="1" x14ac:dyDescent="0.3">
      <c r="A225" s="1" t="s">
        <v>263</v>
      </c>
      <c r="B225" s="1" t="s">
        <v>341</v>
      </c>
      <c r="C225" s="1" t="s">
        <v>343</v>
      </c>
      <c r="D225" s="1" t="s">
        <v>343</v>
      </c>
      <c r="E225" s="1">
        <v>0.5</v>
      </c>
      <c r="F225" s="1" t="s">
        <v>344</v>
      </c>
      <c r="G225" s="6">
        <v>45792</v>
      </c>
      <c r="H225" s="1">
        <v>139668</v>
      </c>
      <c r="I225" s="1">
        <v>159668</v>
      </c>
      <c r="J225" s="1">
        <v>6276.5</v>
      </c>
      <c r="K225" s="1">
        <v>13723.5</v>
      </c>
      <c r="L225" s="1">
        <v>145944.5</v>
      </c>
      <c r="M225" s="1">
        <v>155</v>
      </c>
      <c r="N225" s="1">
        <v>39.350129032258081</v>
      </c>
      <c r="O225" s="1">
        <v>338.90583924161558</v>
      </c>
      <c r="P225" s="7">
        <v>45947</v>
      </c>
      <c r="Q225" s="1">
        <v>20000</v>
      </c>
      <c r="R225" s="7">
        <v>46285.905839236111</v>
      </c>
      <c r="S225" s="7">
        <v>46285</v>
      </c>
      <c r="T225" s="7" t="str">
        <f t="shared" si="0"/>
        <v>septiembre</v>
      </c>
      <c r="U225" s="1" t="s">
        <v>330</v>
      </c>
      <c r="X225" s="1" t="s">
        <v>347</v>
      </c>
      <c r="Y225" s="1" t="s">
        <v>348</v>
      </c>
      <c r="Z225" s="1">
        <v>1</v>
      </c>
      <c r="AA225" s="3">
        <v>19410.240000000002</v>
      </c>
      <c r="AB225" s="3">
        <v>19410.240000000002</v>
      </c>
      <c r="AC225" s="1" t="str">
        <f>VLOOKUP(A225,[1]Detalle!$D$2:$CW$484,98,FALSE)</f>
        <v>CCUCoAZA</v>
      </c>
    </row>
    <row r="226" spans="1:29" ht="14.25" customHeight="1" x14ac:dyDescent="0.3">
      <c r="A226" s="1" t="s">
        <v>265</v>
      </c>
      <c r="B226" s="1" t="s">
        <v>341</v>
      </c>
      <c r="C226" s="1" t="s">
        <v>343</v>
      </c>
      <c r="D226" s="1" t="s">
        <v>343</v>
      </c>
      <c r="E226" s="1">
        <v>0.5</v>
      </c>
      <c r="F226" s="1" t="s">
        <v>344</v>
      </c>
      <c r="G226" s="6">
        <v>45859</v>
      </c>
      <c r="H226" s="1">
        <v>117765</v>
      </c>
      <c r="I226" s="1">
        <v>137765</v>
      </c>
      <c r="J226" s="1">
        <v>3374.6999999999989</v>
      </c>
      <c r="K226" s="1">
        <v>16625.3</v>
      </c>
      <c r="L226" s="1">
        <v>121139.7</v>
      </c>
      <c r="M226" s="1">
        <v>88</v>
      </c>
      <c r="N226" s="1">
        <v>35.038354838709672</v>
      </c>
      <c r="O226" s="1">
        <v>433.52783951166032</v>
      </c>
      <c r="P226" s="7">
        <v>45947</v>
      </c>
      <c r="Q226" s="1">
        <v>20000</v>
      </c>
      <c r="R226" s="7">
        <v>46380.527839513888</v>
      </c>
      <c r="S226" s="7">
        <v>46380</v>
      </c>
      <c r="T226" s="7" t="str">
        <f t="shared" si="0"/>
        <v>diciembre</v>
      </c>
      <c r="U226" s="1" t="s">
        <v>330</v>
      </c>
      <c r="X226" s="1" t="s">
        <v>345</v>
      </c>
      <c r="Y226" s="1" t="s">
        <v>346</v>
      </c>
      <c r="Z226" s="1">
        <v>1</v>
      </c>
      <c r="AA226" s="3">
        <v>10535.04</v>
      </c>
      <c r="AB226" s="3">
        <v>10535.04</v>
      </c>
      <c r="AC226" s="1" t="str">
        <f>VLOOKUP(A226,[1]Detalle!$D$2:$CW$484,98,FALSE)</f>
        <v>CCUDyAZA</v>
      </c>
    </row>
    <row r="227" spans="1:29" ht="14.25" customHeight="1" x14ac:dyDescent="0.3">
      <c r="A227" s="1" t="s">
        <v>265</v>
      </c>
      <c r="B227" s="1" t="s">
        <v>341</v>
      </c>
      <c r="C227" s="1" t="s">
        <v>343</v>
      </c>
      <c r="D227" s="1" t="s">
        <v>343</v>
      </c>
      <c r="E227" s="1">
        <v>0.5</v>
      </c>
      <c r="F227" s="1" t="s">
        <v>344</v>
      </c>
      <c r="G227" s="6">
        <v>45859</v>
      </c>
      <c r="H227" s="1">
        <v>117765</v>
      </c>
      <c r="I227" s="1">
        <v>137765</v>
      </c>
      <c r="J227" s="1">
        <v>3374.6999999999989</v>
      </c>
      <c r="K227" s="1">
        <v>16625.3</v>
      </c>
      <c r="L227" s="1">
        <v>121139.7</v>
      </c>
      <c r="M227" s="1">
        <v>88</v>
      </c>
      <c r="N227" s="1">
        <v>35.038354838709672</v>
      </c>
      <c r="O227" s="1">
        <v>433.52783951166032</v>
      </c>
      <c r="P227" s="7">
        <v>45947</v>
      </c>
      <c r="Q227" s="1">
        <v>20000</v>
      </c>
      <c r="R227" s="7">
        <v>46380.527839513888</v>
      </c>
      <c r="S227" s="7">
        <v>46380</v>
      </c>
      <c r="T227" s="7" t="str">
        <f t="shared" si="0"/>
        <v>diciembre</v>
      </c>
      <c r="U227" s="1" t="s">
        <v>330</v>
      </c>
      <c r="X227" s="1" t="s">
        <v>347</v>
      </c>
      <c r="Y227" s="1" t="s">
        <v>348</v>
      </c>
      <c r="Z227" s="1">
        <v>1</v>
      </c>
      <c r="AA227" s="3">
        <v>19410.240000000002</v>
      </c>
      <c r="AB227" s="3">
        <v>19410.240000000002</v>
      </c>
      <c r="AC227" s="1" t="str">
        <f>VLOOKUP(A227,[1]Detalle!$D$2:$CW$484,98,FALSE)</f>
        <v>CCUDyAZA</v>
      </c>
    </row>
    <row r="228" spans="1:29" ht="14.25" customHeight="1" x14ac:dyDescent="0.3">
      <c r="A228" s="1" t="s">
        <v>267</v>
      </c>
      <c r="B228" s="1" t="s">
        <v>349</v>
      </c>
      <c r="C228" s="1" t="s">
        <v>343</v>
      </c>
      <c r="D228" s="1" t="s">
        <v>343</v>
      </c>
      <c r="E228" s="1">
        <v>0.5</v>
      </c>
      <c r="F228" s="1" t="s">
        <v>344</v>
      </c>
      <c r="G228" s="1" t="s">
        <v>337</v>
      </c>
      <c r="H228" s="1">
        <v>292381</v>
      </c>
      <c r="I228" s="1">
        <v>312381</v>
      </c>
      <c r="J228" s="1">
        <v>7939.1000000000049</v>
      </c>
      <c r="K228" s="1">
        <v>12060.899999999991</v>
      </c>
      <c r="L228" s="1">
        <v>300320.09999999998</v>
      </c>
      <c r="M228" s="1">
        <v>222</v>
      </c>
      <c r="N228" s="1">
        <v>30.400741935483872</v>
      </c>
      <c r="O228" s="1">
        <v>337.25734655061621</v>
      </c>
      <c r="P228" s="7">
        <v>45947</v>
      </c>
      <c r="Q228" s="1">
        <v>20000</v>
      </c>
      <c r="R228" s="7">
        <v>46284.257346550927</v>
      </c>
      <c r="S228" s="7">
        <v>46284</v>
      </c>
      <c r="T228" s="7" t="str">
        <f t="shared" si="0"/>
        <v>septiembre</v>
      </c>
      <c r="U228" s="1" t="s">
        <v>330</v>
      </c>
      <c r="X228" s="1" t="s">
        <v>345</v>
      </c>
      <c r="Y228" s="1" t="s">
        <v>346</v>
      </c>
      <c r="Z228" s="1">
        <v>1</v>
      </c>
      <c r="AA228" s="3">
        <v>10535.04</v>
      </c>
      <c r="AB228" s="3">
        <v>10535.04</v>
      </c>
      <c r="AC228" s="1" t="str">
        <f>VLOOKUP(A228,[1]Detalle!$D$2:$CW$484,98,FALSE)</f>
        <v>CCUDyAZA</v>
      </c>
    </row>
    <row r="229" spans="1:29" ht="14.25" customHeight="1" x14ac:dyDescent="0.3">
      <c r="A229" s="1" t="s">
        <v>267</v>
      </c>
      <c r="B229" s="1" t="s">
        <v>349</v>
      </c>
      <c r="C229" s="1" t="s">
        <v>343</v>
      </c>
      <c r="D229" s="1" t="s">
        <v>343</v>
      </c>
      <c r="E229" s="1">
        <v>0.5</v>
      </c>
      <c r="F229" s="1" t="s">
        <v>344</v>
      </c>
      <c r="G229" s="1" t="s">
        <v>337</v>
      </c>
      <c r="H229" s="1">
        <v>292381</v>
      </c>
      <c r="I229" s="1">
        <v>312381</v>
      </c>
      <c r="J229" s="1">
        <v>7939.1000000000049</v>
      </c>
      <c r="K229" s="1">
        <v>12060.899999999991</v>
      </c>
      <c r="L229" s="1">
        <v>300320.09999999998</v>
      </c>
      <c r="M229" s="1">
        <v>222</v>
      </c>
      <c r="N229" s="1">
        <v>30.400741935483872</v>
      </c>
      <c r="O229" s="1">
        <v>337.25734655061621</v>
      </c>
      <c r="P229" s="7">
        <v>45947</v>
      </c>
      <c r="Q229" s="1">
        <v>20000</v>
      </c>
      <c r="R229" s="7">
        <v>46284.257346550927</v>
      </c>
      <c r="S229" s="7">
        <v>46284</v>
      </c>
      <c r="T229" s="7" t="str">
        <f t="shared" si="0"/>
        <v>septiembre</v>
      </c>
      <c r="U229" s="1" t="s">
        <v>330</v>
      </c>
      <c r="X229" s="1" t="s">
        <v>347</v>
      </c>
      <c r="Y229" s="1" t="s">
        <v>348</v>
      </c>
      <c r="Z229" s="1">
        <v>1</v>
      </c>
      <c r="AA229" s="3">
        <v>19410.240000000002</v>
      </c>
      <c r="AB229" s="3">
        <v>19410.240000000002</v>
      </c>
      <c r="AC229" s="1" t="str">
        <f>VLOOKUP(A229,[1]Detalle!$D$2:$CW$484,98,FALSE)</f>
        <v>CCUDyAZA</v>
      </c>
    </row>
    <row r="230" spans="1:29" ht="14.25" customHeight="1" x14ac:dyDescent="0.3">
      <c r="A230" s="1" t="s">
        <v>274</v>
      </c>
      <c r="B230" s="1" t="s">
        <v>342</v>
      </c>
      <c r="C230" s="1" t="s">
        <v>343</v>
      </c>
      <c r="D230" s="1" t="s">
        <v>343</v>
      </c>
      <c r="E230" s="1">
        <v>0.5</v>
      </c>
      <c r="F230" s="1" t="s">
        <v>344</v>
      </c>
      <c r="G230" s="6">
        <v>45723</v>
      </c>
      <c r="H230" s="1">
        <v>11627.1</v>
      </c>
      <c r="I230" s="1">
        <v>31627.1</v>
      </c>
      <c r="J230" s="1">
        <v>18411.3</v>
      </c>
      <c r="K230" s="1">
        <v>1588.700000000001</v>
      </c>
      <c r="L230" s="1">
        <v>30038.400000000001</v>
      </c>
      <c r="M230" s="1">
        <v>224</v>
      </c>
      <c r="N230" s="1">
        <v>66.921503267973904</v>
      </c>
      <c r="O230" s="1">
        <v>19.32882523233015</v>
      </c>
      <c r="P230" s="7">
        <v>45947</v>
      </c>
      <c r="Q230" s="1">
        <v>20000</v>
      </c>
      <c r="R230" s="7">
        <v>46265.186427395827</v>
      </c>
      <c r="S230" s="7">
        <v>46265</v>
      </c>
      <c r="T230" s="7" t="str">
        <f t="shared" si="0"/>
        <v>agosto</v>
      </c>
      <c r="U230" s="1" t="s">
        <v>330</v>
      </c>
      <c r="X230" s="1" t="s">
        <v>345</v>
      </c>
      <c r="Y230" s="1" t="s">
        <v>346</v>
      </c>
      <c r="Z230" s="1">
        <v>1</v>
      </c>
      <c r="AA230" s="3">
        <v>10535.04</v>
      </c>
      <c r="AB230" s="3">
        <v>10535.04</v>
      </c>
      <c r="AC230" s="1" t="str">
        <f>VLOOKUP(A230,[1]Detalle!$D$2:$CW$484,98,FALSE)</f>
        <v>JOHNSON - SC JOHNSON DE ARGENTINA SAIC</v>
      </c>
    </row>
    <row r="231" spans="1:29" ht="14.25" customHeight="1" x14ac:dyDescent="0.3">
      <c r="A231" s="1" t="s">
        <v>274</v>
      </c>
      <c r="B231" s="1" t="s">
        <v>342</v>
      </c>
      <c r="C231" s="1" t="s">
        <v>343</v>
      </c>
      <c r="D231" s="1" t="s">
        <v>343</v>
      </c>
      <c r="E231" s="1">
        <v>0.5</v>
      </c>
      <c r="F231" s="1" t="s">
        <v>344</v>
      </c>
      <c r="G231" s="6">
        <v>45723</v>
      </c>
      <c r="H231" s="1">
        <v>11627.1</v>
      </c>
      <c r="I231" s="1">
        <v>31627.1</v>
      </c>
      <c r="J231" s="1">
        <v>18411.3</v>
      </c>
      <c r="K231" s="1">
        <v>1588.700000000001</v>
      </c>
      <c r="L231" s="1">
        <v>30038.400000000001</v>
      </c>
      <c r="M231" s="1">
        <v>224</v>
      </c>
      <c r="N231" s="1">
        <v>66.921503267973904</v>
      </c>
      <c r="O231" s="1">
        <v>19.32882523233015</v>
      </c>
      <c r="P231" s="7">
        <v>45947</v>
      </c>
      <c r="Q231" s="1">
        <v>20000</v>
      </c>
      <c r="R231" s="7">
        <v>46265.186427395827</v>
      </c>
      <c r="S231" s="7">
        <v>46265</v>
      </c>
      <c r="T231" s="7" t="str">
        <f t="shared" si="0"/>
        <v>agosto</v>
      </c>
      <c r="U231" s="1" t="s">
        <v>330</v>
      </c>
      <c r="X231" s="1" t="s">
        <v>347</v>
      </c>
      <c r="Y231" s="1" t="s">
        <v>348</v>
      </c>
      <c r="Z231" s="1">
        <v>1</v>
      </c>
      <c r="AA231" s="3">
        <v>19410.240000000002</v>
      </c>
      <c r="AB231" s="3">
        <v>19410.240000000002</v>
      </c>
      <c r="AC231" s="1" t="str">
        <f>VLOOKUP(A231,[1]Detalle!$D$2:$CW$484,98,FALSE)</f>
        <v>JOHNSON - SC JOHNSON DE ARGENTINA SAIC</v>
      </c>
    </row>
    <row r="232" spans="1:29" ht="14.25" customHeight="1" x14ac:dyDescent="0.3">
      <c r="A232" s="1" t="s">
        <v>275</v>
      </c>
      <c r="B232" s="1" t="s">
        <v>342</v>
      </c>
      <c r="C232" s="1" t="s">
        <v>343</v>
      </c>
      <c r="D232" s="1" t="s">
        <v>343</v>
      </c>
      <c r="E232" s="1">
        <v>0.5</v>
      </c>
      <c r="F232" s="1" t="s">
        <v>344</v>
      </c>
      <c r="G232" s="6">
        <v>45736</v>
      </c>
      <c r="H232" s="1">
        <v>126999</v>
      </c>
      <c r="I232" s="1">
        <v>146999</v>
      </c>
      <c r="J232" s="1">
        <v>6493.4000000000005</v>
      </c>
      <c r="K232" s="1">
        <v>13506.6</v>
      </c>
      <c r="L232" s="1">
        <v>133492.4</v>
      </c>
      <c r="M232" s="1">
        <v>211</v>
      </c>
      <c r="N232" s="1">
        <v>29.333408360128612</v>
      </c>
      <c r="O232" s="1">
        <v>438.89065820679451</v>
      </c>
      <c r="P232" s="7">
        <v>45947</v>
      </c>
      <c r="Q232" s="1">
        <v>20000</v>
      </c>
      <c r="R232" s="7">
        <v>46385.890658206023</v>
      </c>
      <c r="S232" s="7">
        <v>46385</v>
      </c>
      <c r="T232" s="7" t="str">
        <f t="shared" si="0"/>
        <v>diciembre</v>
      </c>
      <c r="U232" s="1" t="s">
        <v>330</v>
      </c>
      <c r="X232" s="1" t="s">
        <v>345</v>
      </c>
      <c r="Y232" s="1" t="s">
        <v>346</v>
      </c>
      <c r="Z232" s="1">
        <v>1</v>
      </c>
      <c r="AA232" s="3">
        <v>10535.04</v>
      </c>
      <c r="AB232" s="3">
        <v>10535.04</v>
      </c>
      <c r="AC232" s="1" t="str">
        <f>VLOOKUP(A232,[1]Detalle!$D$2:$CW$484,98,FALSE)</f>
        <v>CCUDyAZA</v>
      </c>
    </row>
    <row r="233" spans="1:29" ht="14.25" customHeight="1" x14ac:dyDescent="0.3">
      <c r="A233" s="1" t="s">
        <v>275</v>
      </c>
      <c r="B233" s="1" t="s">
        <v>342</v>
      </c>
      <c r="C233" s="1" t="s">
        <v>343</v>
      </c>
      <c r="D233" s="1" t="s">
        <v>343</v>
      </c>
      <c r="E233" s="1">
        <v>0.5</v>
      </c>
      <c r="F233" s="1" t="s">
        <v>344</v>
      </c>
      <c r="G233" s="6">
        <v>45736</v>
      </c>
      <c r="H233" s="1">
        <v>126999</v>
      </c>
      <c r="I233" s="1">
        <v>146999</v>
      </c>
      <c r="J233" s="1">
        <v>6493.4000000000005</v>
      </c>
      <c r="K233" s="1">
        <v>13506.6</v>
      </c>
      <c r="L233" s="1">
        <v>133492.4</v>
      </c>
      <c r="M233" s="1">
        <v>211</v>
      </c>
      <c r="N233" s="1">
        <v>29.333408360128612</v>
      </c>
      <c r="O233" s="1">
        <v>438.89065820679451</v>
      </c>
      <c r="P233" s="7">
        <v>45947</v>
      </c>
      <c r="Q233" s="1">
        <v>20000</v>
      </c>
      <c r="R233" s="7">
        <v>46385.890658206023</v>
      </c>
      <c r="S233" s="7">
        <v>46385</v>
      </c>
      <c r="T233" s="7" t="str">
        <f t="shared" si="0"/>
        <v>diciembre</v>
      </c>
      <c r="U233" s="1" t="s">
        <v>330</v>
      </c>
      <c r="X233" s="1" t="s">
        <v>347</v>
      </c>
      <c r="Y233" s="1" t="s">
        <v>348</v>
      </c>
      <c r="Z233" s="1">
        <v>1</v>
      </c>
      <c r="AA233" s="3">
        <v>19410.240000000002</v>
      </c>
      <c r="AB233" s="3">
        <v>19410.240000000002</v>
      </c>
      <c r="AC233" s="1" t="str">
        <f>VLOOKUP(A233,[1]Detalle!$D$2:$CW$484,98,FALSE)</f>
        <v>CCUDyAZA</v>
      </c>
    </row>
    <row r="234" spans="1:29" ht="14.25" customHeight="1" x14ac:dyDescent="0.3">
      <c r="A234" s="1" t="s">
        <v>106</v>
      </c>
      <c r="B234" s="1">
        <v>914</v>
      </c>
      <c r="C234" s="1" t="s">
        <v>343</v>
      </c>
      <c r="D234" s="1" t="s">
        <v>343</v>
      </c>
      <c r="E234" s="1">
        <v>0.5</v>
      </c>
      <c r="F234" s="1" t="s">
        <v>344</v>
      </c>
      <c r="G234" s="6">
        <v>45531</v>
      </c>
      <c r="H234" s="1">
        <v>297633</v>
      </c>
      <c r="I234" s="1">
        <v>317633</v>
      </c>
      <c r="J234" s="1">
        <v>22900.17</v>
      </c>
      <c r="K234" s="1">
        <v>-2900.1699999999978</v>
      </c>
      <c r="L234" s="1">
        <v>320533.17</v>
      </c>
      <c r="M234" s="1">
        <v>416</v>
      </c>
      <c r="N234" s="1">
        <v>48.157370129870131</v>
      </c>
      <c r="O234" s="1">
        <v>-52.683919813695681</v>
      </c>
      <c r="P234" s="7">
        <v>45947</v>
      </c>
      <c r="Q234" s="1">
        <v>20000</v>
      </c>
      <c r="R234" s="7">
        <v>46362.305070567127</v>
      </c>
      <c r="S234" s="7">
        <v>46362</v>
      </c>
      <c r="T234" s="7" t="str">
        <f t="shared" si="0"/>
        <v>diciembre</v>
      </c>
      <c r="U234" s="1" t="s">
        <v>330</v>
      </c>
      <c r="X234" s="1" t="s">
        <v>345</v>
      </c>
      <c r="Y234" s="1" t="s">
        <v>346</v>
      </c>
      <c r="Z234" s="1">
        <v>1</v>
      </c>
      <c r="AA234" s="3">
        <v>10535.04</v>
      </c>
      <c r="AB234" s="3">
        <v>10535.04</v>
      </c>
      <c r="AC234" s="1" t="str">
        <f>VLOOKUP(A234,[1]Detalle!$D$2:$CW$484,98,FALSE)</f>
        <v>Unilever - Unilever de Arg. S.A.</v>
      </c>
    </row>
    <row r="235" spans="1:29" ht="14.25" customHeight="1" x14ac:dyDescent="0.3">
      <c r="A235" s="1" t="s">
        <v>106</v>
      </c>
      <c r="B235" s="1">
        <v>914</v>
      </c>
      <c r="C235" s="1" t="s">
        <v>343</v>
      </c>
      <c r="D235" s="1" t="s">
        <v>343</v>
      </c>
      <c r="E235" s="1">
        <v>0.5</v>
      </c>
      <c r="F235" s="1" t="s">
        <v>344</v>
      </c>
      <c r="G235" s="6">
        <v>45531</v>
      </c>
      <c r="H235" s="1">
        <v>297633</v>
      </c>
      <c r="I235" s="1">
        <v>317633</v>
      </c>
      <c r="J235" s="1">
        <v>22900.17</v>
      </c>
      <c r="K235" s="1">
        <v>-2900.1699999999978</v>
      </c>
      <c r="L235" s="1">
        <v>320533.17</v>
      </c>
      <c r="M235" s="1">
        <v>416</v>
      </c>
      <c r="N235" s="1">
        <v>48.157370129870131</v>
      </c>
      <c r="O235" s="1">
        <v>-52.683919813695681</v>
      </c>
      <c r="P235" s="7">
        <v>45947</v>
      </c>
      <c r="Q235" s="1">
        <v>20000</v>
      </c>
      <c r="R235" s="7">
        <v>46362.305070567127</v>
      </c>
      <c r="S235" s="7">
        <v>46362</v>
      </c>
      <c r="T235" s="7" t="str">
        <f t="shared" si="0"/>
        <v>diciembre</v>
      </c>
      <c r="U235" s="1" t="s">
        <v>330</v>
      </c>
      <c r="X235" s="1" t="s">
        <v>347</v>
      </c>
      <c r="Y235" s="1" t="s">
        <v>348</v>
      </c>
      <c r="Z235" s="1">
        <v>1</v>
      </c>
      <c r="AA235" s="3">
        <v>19410.240000000002</v>
      </c>
      <c r="AB235" s="3">
        <v>19410.240000000002</v>
      </c>
      <c r="AC235" s="1" t="str">
        <f>VLOOKUP(A235,[1]Detalle!$D$2:$CW$484,98,FALSE)</f>
        <v>Unilever - Unilever de Arg. S.A.</v>
      </c>
    </row>
    <row r="236" spans="1:29" ht="14.25" customHeight="1" x14ac:dyDescent="0.3">
      <c r="A236" s="1" t="s">
        <v>146</v>
      </c>
      <c r="B236" s="1">
        <v>1624</v>
      </c>
      <c r="C236" s="1" t="s">
        <v>343</v>
      </c>
      <c r="D236" s="1" t="s">
        <v>343</v>
      </c>
      <c r="E236" s="1">
        <v>0.5</v>
      </c>
      <c r="F236" s="1" t="s">
        <v>344</v>
      </c>
      <c r="G236" s="6">
        <v>45831</v>
      </c>
      <c r="H236" s="1">
        <v>511084</v>
      </c>
      <c r="I236" s="1">
        <v>531084</v>
      </c>
      <c r="J236" s="1">
        <v>8073.1000000000013</v>
      </c>
      <c r="K236" s="1">
        <v>11926.9</v>
      </c>
      <c r="L236" s="1">
        <v>519157.1</v>
      </c>
      <c r="M236" s="1">
        <v>116</v>
      </c>
      <c r="N236" s="1">
        <v>57.283729903536972</v>
      </c>
      <c r="O236" s="1">
        <v>171.3741189877494</v>
      </c>
      <c r="P236" s="7">
        <v>45947</v>
      </c>
      <c r="Q236" s="1">
        <v>20000</v>
      </c>
      <c r="R236" s="7">
        <v>46118.374118993059</v>
      </c>
      <c r="S236" s="7">
        <v>46118</v>
      </c>
      <c r="T236" s="7" t="str">
        <f t="shared" si="0"/>
        <v>abril</v>
      </c>
      <c r="U236" s="1" t="s">
        <v>330</v>
      </c>
      <c r="X236" s="1" t="s">
        <v>345</v>
      </c>
      <c r="Y236" s="1" t="s">
        <v>346</v>
      </c>
      <c r="Z236" s="1">
        <v>1</v>
      </c>
      <c r="AA236" s="3">
        <v>10535.04</v>
      </c>
      <c r="AB236" s="3">
        <v>10535.04</v>
      </c>
      <c r="AC236" s="1" t="str">
        <f>VLOOKUP(A236,[1]Detalle!$D$2:$CW$484,98,FALSE)</f>
        <v>Unilever - Unilever de Arg. S.A.</v>
      </c>
    </row>
    <row r="237" spans="1:29" ht="14.25" customHeight="1" x14ac:dyDescent="0.3">
      <c r="A237" s="1" t="s">
        <v>146</v>
      </c>
      <c r="B237" s="1">
        <v>1624</v>
      </c>
      <c r="C237" s="1" t="s">
        <v>343</v>
      </c>
      <c r="D237" s="1" t="s">
        <v>343</v>
      </c>
      <c r="E237" s="1">
        <v>0.5</v>
      </c>
      <c r="F237" s="1" t="s">
        <v>344</v>
      </c>
      <c r="G237" s="6">
        <v>45831</v>
      </c>
      <c r="H237" s="1">
        <v>511084</v>
      </c>
      <c r="I237" s="1">
        <v>531084</v>
      </c>
      <c r="J237" s="1">
        <v>8073.1000000000013</v>
      </c>
      <c r="K237" s="1">
        <v>11926.9</v>
      </c>
      <c r="L237" s="1">
        <v>519157.1</v>
      </c>
      <c r="M237" s="1">
        <v>116</v>
      </c>
      <c r="N237" s="1">
        <v>57.283729903536972</v>
      </c>
      <c r="O237" s="1">
        <v>171.3741189877494</v>
      </c>
      <c r="P237" s="7">
        <v>45947</v>
      </c>
      <c r="Q237" s="1">
        <v>20000</v>
      </c>
      <c r="R237" s="7">
        <v>46118.374118993059</v>
      </c>
      <c r="S237" s="7">
        <v>46118</v>
      </c>
      <c r="T237" s="7" t="str">
        <f t="shared" si="0"/>
        <v>abril</v>
      </c>
      <c r="U237" s="1" t="s">
        <v>330</v>
      </c>
      <c r="X237" s="1" t="s">
        <v>347</v>
      </c>
      <c r="Y237" s="1" t="s">
        <v>348</v>
      </c>
      <c r="Z237" s="1">
        <v>1</v>
      </c>
      <c r="AA237" s="3">
        <v>19410.240000000002</v>
      </c>
      <c r="AB237" s="3">
        <v>19410.240000000002</v>
      </c>
      <c r="AC237" s="1" t="str">
        <f>VLOOKUP(A237,[1]Detalle!$D$2:$CW$484,98,FALSE)</f>
        <v>Unilever - Unilever de Arg. S.A.</v>
      </c>
    </row>
    <row r="238" spans="1:29" ht="14.25" customHeight="1" x14ac:dyDescent="0.3">
      <c r="A238" s="1" t="s">
        <v>236</v>
      </c>
      <c r="B238" s="1" t="s">
        <v>349</v>
      </c>
      <c r="C238" s="1" t="s">
        <v>343</v>
      </c>
      <c r="D238" s="1" t="s">
        <v>343</v>
      </c>
      <c r="E238" s="1">
        <v>0.5</v>
      </c>
      <c r="F238" s="1" t="s">
        <v>344</v>
      </c>
      <c r="G238" s="6">
        <v>45817</v>
      </c>
      <c r="H238" s="1">
        <v>1015308</v>
      </c>
      <c r="I238" s="1">
        <v>1035308</v>
      </c>
      <c r="J238" s="1">
        <v>35709.500000000007</v>
      </c>
      <c r="K238" s="1">
        <v>-15709.500000000009</v>
      </c>
      <c r="L238" s="1">
        <v>1051017.5</v>
      </c>
      <c r="M238" s="1">
        <v>130</v>
      </c>
      <c r="N238" s="1">
        <v>455.32846441947561</v>
      </c>
      <c r="O238" s="1">
        <v>-57.190243492628028</v>
      </c>
      <c r="P238" s="7">
        <v>45947</v>
      </c>
      <c r="Q238" s="1">
        <v>20000</v>
      </c>
      <c r="R238" s="7">
        <v>46034.848669976847</v>
      </c>
      <c r="S238" s="7">
        <v>46034</v>
      </c>
      <c r="T238" s="7" t="str">
        <f t="shared" si="0"/>
        <v>enero</v>
      </c>
      <c r="U238" s="1" t="s">
        <v>330</v>
      </c>
      <c r="X238" s="1" t="s">
        <v>345</v>
      </c>
      <c r="Y238" s="1" t="s">
        <v>346</v>
      </c>
      <c r="Z238" s="1">
        <v>1</v>
      </c>
      <c r="AA238" s="3">
        <v>10535.04</v>
      </c>
      <c r="AB238" s="3">
        <v>10535.04</v>
      </c>
      <c r="AC238" s="1" t="str">
        <f>VLOOKUP(A238,[1]Detalle!$D$2:$CW$484,98,FALSE)</f>
        <v>CENCOMLD - Cencosud SA - Mendoza</v>
      </c>
    </row>
    <row r="239" spans="1:29" ht="14.25" customHeight="1" x14ac:dyDescent="0.3">
      <c r="A239" s="1" t="s">
        <v>236</v>
      </c>
      <c r="B239" s="1" t="s">
        <v>349</v>
      </c>
      <c r="C239" s="1" t="s">
        <v>343</v>
      </c>
      <c r="D239" s="1" t="s">
        <v>343</v>
      </c>
      <c r="E239" s="1">
        <v>0.5</v>
      </c>
      <c r="F239" s="1" t="s">
        <v>344</v>
      </c>
      <c r="G239" s="6">
        <v>45817</v>
      </c>
      <c r="H239" s="1">
        <v>1015308</v>
      </c>
      <c r="I239" s="1">
        <v>1035308</v>
      </c>
      <c r="J239" s="1">
        <v>35709.500000000007</v>
      </c>
      <c r="K239" s="1">
        <v>-15709.500000000009</v>
      </c>
      <c r="L239" s="1">
        <v>1051017.5</v>
      </c>
      <c r="M239" s="1">
        <v>130</v>
      </c>
      <c r="N239" s="1">
        <v>455.32846441947561</v>
      </c>
      <c r="O239" s="1">
        <v>-57.190243492628028</v>
      </c>
      <c r="P239" s="7">
        <v>45947</v>
      </c>
      <c r="Q239" s="1">
        <v>20000</v>
      </c>
      <c r="R239" s="7">
        <v>46034.848669976847</v>
      </c>
      <c r="S239" s="7">
        <v>46034</v>
      </c>
      <c r="T239" s="7" t="str">
        <f t="shared" si="0"/>
        <v>enero</v>
      </c>
      <c r="U239" s="1" t="s">
        <v>330</v>
      </c>
      <c r="X239" s="1" t="s">
        <v>347</v>
      </c>
      <c r="Y239" s="1" t="s">
        <v>348</v>
      </c>
      <c r="Z239" s="1">
        <v>1</v>
      </c>
      <c r="AA239" s="3">
        <v>19410.240000000002</v>
      </c>
      <c r="AB239" s="3">
        <v>19410.240000000002</v>
      </c>
      <c r="AC239" s="1" t="str">
        <f>VLOOKUP(A239,[1]Detalle!$D$2:$CW$484,98,FALSE)</f>
        <v>CENCOMLD - Cencosud SA - Mendoza</v>
      </c>
    </row>
    <row r="240" spans="1:29" ht="14.25" customHeight="1" x14ac:dyDescent="0.3">
      <c r="A240" s="1" t="s">
        <v>235</v>
      </c>
      <c r="B240" s="1" t="s">
        <v>349</v>
      </c>
      <c r="C240" s="1" t="s">
        <v>343</v>
      </c>
      <c r="D240" s="1" t="s">
        <v>343</v>
      </c>
      <c r="E240" s="1">
        <v>0.5</v>
      </c>
      <c r="F240" s="1" t="s">
        <v>344</v>
      </c>
      <c r="G240" s="6">
        <v>45797</v>
      </c>
      <c r="H240" s="1">
        <v>991392</v>
      </c>
      <c r="I240" s="1">
        <v>1011392</v>
      </c>
      <c r="J240" s="1">
        <v>42888.2</v>
      </c>
      <c r="K240" s="1">
        <v>-22888.2</v>
      </c>
      <c r="L240" s="1">
        <v>1034280.2</v>
      </c>
      <c r="M240" s="1">
        <v>150</v>
      </c>
      <c r="N240" s="1">
        <v>263.69237037037038</v>
      </c>
      <c r="O240" s="1">
        <v>-80.05068993336161</v>
      </c>
      <c r="P240" s="7">
        <v>45947</v>
      </c>
      <c r="Q240" s="1">
        <v>20000</v>
      </c>
      <c r="R240" s="7">
        <v>46098.691912604168</v>
      </c>
      <c r="S240" s="7">
        <v>46098</v>
      </c>
      <c r="T240" s="7" t="str">
        <f t="shared" si="0"/>
        <v>marzo</v>
      </c>
      <c r="U240" s="1" t="s">
        <v>330</v>
      </c>
      <c r="X240" s="1" t="s">
        <v>345</v>
      </c>
      <c r="Y240" s="1" t="s">
        <v>346</v>
      </c>
      <c r="Z240" s="1">
        <v>1</v>
      </c>
      <c r="AA240" s="3">
        <v>10535.04</v>
      </c>
      <c r="AB240" s="3">
        <v>10535.04</v>
      </c>
      <c r="AC240" s="1" t="str">
        <f>VLOOKUP(A240,[1]Detalle!$D$2:$CW$484,98,FALSE)</f>
        <v>CENCOMLD - Cencosud SA - Mendoza</v>
      </c>
    </row>
    <row r="241" spans="1:29" ht="14.25" customHeight="1" x14ac:dyDescent="0.3">
      <c r="A241" s="1" t="s">
        <v>235</v>
      </c>
      <c r="B241" s="1" t="s">
        <v>349</v>
      </c>
      <c r="C241" s="1" t="s">
        <v>343</v>
      </c>
      <c r="D241" s="1" t="s">
        <v>343</v>
      </c>
      <c r="E241" s="1">
        <v>0.5</v>
      </c>
      <c r="F241" s="1" t="s">
        <v>344</v>
      </c>
      <c r="G241" s="6">
        <v>45797</v>
      </c>
      <c r="H241" s="1">
        <v>991392</v>
      </c>
      <c r="I241" s="1">
        <v>1011392</v>
      </c>
      <c r="J241" s="1">
        <v>42888.2</v>
      </c>
      <c r="K241" s="1">
        <v>-22888.2</v>
      </c>
      <c r="L241" s="1">
        <v>1034280.2</v>
      </c>
      <c r="M241" s="1">
        <v>150</v>
      </c>
      <c r="N241" s="1">
        <v>263.69237037037038</v>
      </c>
      <c r="O241" s="1">
        <v>-80.05068993336161</v>
      </c>
      <c r="P241" s="7">
        <v>45947</v>
      </c>
      <c r="Q241" s="1">
        <v>20000</v>
      </c>
      <c r="R241" s="7">
        <v>46098.691912604168</v>
      </c>
      <c r="S241" s="7">
        <v>46098</v>
      </c>
      <c r="T241" s="7" t="str">
        <f t="shared" si="0"/>
        <v>marzo</v>
      </c>
      <c r="U241" s="1" t="s">
        <v>330</v>
      </c>
      <c r="X241" s="1" t="s">
        <v>347</v>
      </c>
      <c r="Y241" s="1" t="s">
        <v>348</v>
      </c>
      <c r="Z241" s="1">
        <v>1</v>
      </c>
      <c r="AA241" s="3">
        <v>19410.240000000002</v>
      </c>
      <c r="AB241" s="3">
        <v>19410.240000000002</v>
      </c>
      <c r="AC241" s="1" t="str">
        <f>VLOOKUP(A241,[1]Detalle!$D$2:$CW$484,98,FALSE)</f>
        <v>CENCOMLD - Cencosud SA - Mendoza</v>
      </c>
    </row>
    <row r="242" spans="1:29" ht="14.25" customHeight="1" x14ac:dyDescent="0.3">
      <c r="A242" s="1" t="s">
        <v>273</v>
      </c>
      <c r="B242" s="1" t="s">
        <v>349</v>
      </c>
      <c r="C242" s="1" t="s">
        <v>343</v>
      </c>
      <c r="D242" s="1" t="s">
        <v>343</v>
      </c>
      <c r="E242" s="1">
        <v>0.5</v>
      </c>
      <c r="F242" s="1" t="s">
        <v>344</v>
      </c>
      <c r="G242" s="1" t="s">
        <v>337</v>
      </c>
      <c r="N242" s="1">
        <v>169.51837638376381</v>
      </c>
      <c r="P242" s="7">
        <v>45947</v>
      </c>
      <c r="Q242" s="1">
        <v>20000</v>
      </c>
      <c r="R242" s="7">
        <v>46064.981309317132</v>
      </c>
      <c r="S242" s="7">
        <v>46064</v>
      </c>
      <c r="T242" s="7" t="str">
        <f t="shared" si="0"/>
        <v>febrero</v>
      </c>
      <c r="U242" s="1" t="s">
        <v>330</v>
      </c>
      <c r="X242" s="1" t="s">
        <v>345</v>
      </c>
      <c r="Y242" s="1" t="s">
        <v>346</v>
      </c>
      <c r="Z242" s="1">
        <v>1</v>
      </c>
      <c r="AA242" s="3">
        <v>10535.04</v>
      </c>
      <c r="AB242" s="3">
        <v>10535.04</v>
      </c>
      <c r="AC242" s="1" t="str">
        <f>VLOOKUP(A242,[1]Detalle!$D$2:$CW$484,98,FALSE)</f>
        <v>CENCOMLD - Cencosud SA - Mendoza</v>
      </c>
    </row>
    <row r="243" spans="1:29" ht="14.25" customHeight="1" x14ac:dyDescent="0.3">
      <c r="A243" s="1" t="s">
        <v>273</v>
      </c>
      <c r="B243" s="1" t="s">
        <v>349</v>
      </c>
      <c r="C243" s="1" t="s">
        <v>343</v>
      </c>
      <c r="D243" s="1" t="s">
        <v>343</v>
      </c>
      <c r="E243" s="1">
        <v>0.5</v>
      </c>
      <c r="F243" s="1" t="s">
        <v>344</v>
      </c>
      <c r="G243" s="1" t="s">
        <v>337</v>
      </c>
      <c r="N243" s="1">
        <v>169.51837638376381</v>
      </c>
      <c r="P243" s="7">
        <v>45947</v>
      </c>
      <c r="Q243" s="1">
        <v>20000</v>
      </c>
      <c r="R243" s="7">
        <v>46064.981309317132</v>
      </c>
      <c r="S243" s="7">
        <v>46064</v>
      </c>
      <c r="T243" s="7" t="str">
        <f t="shared" si="0"/>
        <v>febrero</v>
      </c>
      <c r="U243" s="1" t="s">
        <v>330</v>
      </c>
      <c r="X243" s="1" t="s">
        <v>347</v>
      </c>
      <c r="Y243" s="1" t="s">
        <v>348</v>
      </c>
      <c r="Z243" s="1">
        <v>1</v>
      </c>
      <c r="AA243" s="3">
        <v>19410.240000000002</v>
      </c>
      <c r="AB243" s="3">
        <v>19410.240000000002</v>
      </c>
      <c r="AC243" s="1" t="str">
        <f>VLOOKUP(A243,[1]Detalle!$D$2:$CW$484,98,FALSE)</f>
        <v>CENCOMLD - Cencosud SA - Mendoza</v>
      </c>
    </row>
    <row r="244" spans="1:29" ht="14.25" customHeight="1" x14ac:dyDescent="0.3">
      <c r="A244" s="1" t="s">
        <v>237</v>
      </c>
      <c r="B244" s="1" t="s">
        <v>349</v>
      </c>
      <c r="C244" s="1" t="s">
        <v>343</v>
      </c>
      <c r="D244" s="1" t="s">
        <v>343</v>
      </c>
      <c r="E244" s="1">
        <v>0.5</v>
      </c>
      <c r="F244" s="1" t="s">
        <v>344</v>
      </c>
      <c r="G244" s="6">
        <v>45790</v>
      </c>
      <c r="H244" s="1">
        <v>804435</v>
      </c>
      <c r="I244" s="1">
        <v>824435</v>
      </c>
      <c r="J244" s="1">
        <v>23771.1</v>
      </c>
      <c r="K244" s="1">
        <v>-3771.1000000000022</v>
      </c>
      <c r="L244" s="1">
        <v>828206.1</v>
      </c>
      <c r="M244" s="1">
        <v>157</v>
      </c>
      <c r="N244" s="1">
        <v>518.64529411764704</v>
      </c>
      <c r="O244" s="1">
        <v>-24.90682803908949</v>
      </c>
      <c r="P244" s="7">
        <v>45947</v>
      </c>
      <c r="Q244" s="1">
        <v>20000</v>
      </c>
      <c r="R244" s="7">
        <v>46024.124000648153</v>
      </c>
      <c r="S244" s="7">
        <v>46024</v>
      </c>
      <c r="T244" s="7" t="str">
        <f t="shared" si="0"/>
        <v>enero</v>
      </c>
      <c r="U244" s="1" t="s">
        <v>330</v>
      </c>
      <c r="X244" s="1" t="s">
        <v>345</v>
      </c>
      <c r="Y244" s="1" t="s">
        <v>346</v>
      </c>
      <c r="Z244" s="1">
        <v>1</v>
      </c>
      <c r="AA244" s="3">
        <v>10535.04</v>
      </c>
      <c r="AB244" s="3">
        <v>10535.04</v>
      </c>
      <c r="AC244" s="1" t="str">
        <f>VLOOKUP(A244,[1]Detalle!$D$2:$CW$484,98,FALSE)</f>
        <v>CENCOMLD - Cencosud SA - Mendoza</v>
      </c>
    </row>
    <row r="245" spans="1:29" ht="14.25" customHeight="1" x14ac:dyDescent="0.3">
      <c r="A245" s="1" t="s">
        <v>237</v>
      </c>
      <c r="B245" s="1" t="s">
        <v>349</v>
      </c>
      <c r="C245" s="1" t="s">
        <v>343</v>
      </c>
      <c r="D245" s="1" t="s">
        <v>343</v>
      </c>
      <c r="E245" s="1">
        <v>0.5</v>
      </c>
      <c r="F245" s="1" t="s">
        <v>344</v>
      </c>
      <c r="G245" s="6">
        <v>45790</v>
      </c>
      <c r="H245" s="1">
        <v>804435</v>
      </c>
      <c r="I245" s="1">
        <v>824435</v>
      </c>
      <c r="J245" s="1">
        <v>23771.1</v>
      </c>
      <c r="K245" s="1">
        <v>-3771.1000000000022</v>
      </c>
      <c r="L245" s="1">
        <v>828206.1</v>
      </c>
      <c r="M245" s="1">
        <v>157</v>
      </c>
      <c r="N245" s="1">
        <v>518.64529411764704</v>
      </c>
      <c r="O245" s="1">
        <v>-24.90682803908949</v>
      </c>
      <c r="P245" s="7">
        <v>45947</v>
      </c>
      <c r="Q245" s="1">
        <v>20000</v>
      </c>
      <c r="R245" s="7">
        <v>46024.124000648153</v>
      </c>
      <c r="S245" s="7">
        <v>46024</v>
      </c>
      <c r="T245" s="7" t="str">
        <f t="shared" si="0"/>
        <v>enero</v>
      </c>
      <c r="U245" s="1" t="s">
        <v>330</v>
      </c>
      <c r="X245" s="1" t="s">
        <v>347</v>
      </c>
      <c r="Y245" s="1" t="s">
        <v>348</v>
      </c>
      <c r="Z245" s="1">
        <v>1</v>
      </c>
      <c r="AA245" s="3">
        <v>19410.240000000002</v>
      </c>
      <c r="AB245" s="3">
        <v>19410.240000000002</v>
      </c>
      <c r="AC245" s="1" t="str">
        <f>VLOOKUP(A245,[1]Detalle!$D$2:$CW$484,98,FALSE)</f>
        <v>CENCOMLD - Cencosud SA - Mendoza</v>
      </c>
    </row>
    <row r="246" spans="1:29" ht="14.25" customHeight="1" x14ac:dyDescent="0.3">
      <c r="A246" s="1" t="s">
        <v>160</v>
      </c>
      <c r="B246" s="1">
        <v>1624</v>
      </c>
      <c r="C246" s="1" t="s">
        <v>343</v>
      </c>
      <c r="D246" s="1" t="s">
        <v>343</v>
      </c>
      <c r="E246" s="1">
        <v>0.5</v>
      </c>
      <c r="F246" s="1" t="s">
        <v>344</v>
      </c>
      <c r="G246" s="6">
        <v>45748</v>
      </c>
      <c r="H246" s="1">
        <v>10362</v>
      </c>
      <c r="I246" s="1">
        <v>30362</v>
      </c>
      <c r="J246" s="1">
        <v>12667.1</v>
      </c>
      <c r="K246" s="1">
        <v>7332.9000000000005</v>
      </c>
      <c r="L246" s="1">
        <v>23029.1</v>
      </c>
      <c r="M246" s="1">
        <v>199</v>
      </c>
      <c r="N246" s="1">
        <v>53.990801282051272</v>
      </c>
      <c r="O246" s="1">
        <v>115.1997773760372</v>
      </c>
      <c r="P246" s="7">
        <v>45947</v>
      </c>
      <c r="Q246" s="1">
        <v>20000</v>
      </c>
      <c r="R246" s="7">
        <v>46062.199777372683</v>
      </c>
      <c r="S246" s="7">
        <v>46062</v>
      </c>
      <c r="T246" s="7" t="str">
        <f t="shared" si="0"/>
        <v>febrero</v>
      </c>
      <c r="U246" s="1" t="s">
        <v>330</v>
      </c>
      <c r="X246" s="1" t="s">
        <v>345</v>
      </c>
      <c r="Y246" s="1" t="s">
        <v>346</v>
      </c>
      <c r="Z246" s="1">
        <v>1</v>
      </c>
      <c r="AA246" s="3">
        <v>10535.04</v>
      </c>
      <c r="AB246" s="3">
        <v>10535.04</v>
      </c>
      <c r="AC246" s="1" t="str">
        <f>VLOOKUP(A246,[1]Detalle!$D$2:$CW$484,98,FALSE)</f>
        <v>CENCO_SJ - Cencosud SA - San Juan</v>
      </c>
    </row>
    <row r="247" spans="1:29" ht="14.25" customHeight="1" x14ac:dyDescent="0.3">
      <c r="A247" s="1" t="s">
        <v>160</v>
      </c>
      <c r="B247" s="1">
        <v>1624</v>
      </c>
      <c r="C247" s="1" t="s">
        <v>343</v>
      </c>
      <c r="D247" s="1" t="s">
        <v>343</v>
      </c>
      <c r="E247" s="1">
        <v>0.5</v>
      </c>
      <c r="F247" s="1" t="s">
        <v>344</v>
      </c>
      <c r="G247" s="6">
        <v>45748</v>
      </c>
      <c r="H247" s="1">
        <v>10362</v>
      </c>
      <c r="I247" s="1">
        <v>30362</v>
      </c>
      <c r="J247" s="1">
        <v>12667.1</v>
      </c>
      <c r="K247" s="1">
        <v>7332.9000000000005</v>
      </c>
      <c r="L247" s="1">
        <v>23029.1</v>
      </c>
      <c r="M247" s="1">
        <v>199</v>
      </c>
      <c r="N247" s="1">
        <v>53.990801282051272</v>
      </c>
      <c r="O247" s="1">
        <v>115.1997773760372</v>
      </c>
      <c r="P247" s="7">
        <v>45947</v>
      </c>
      <c r="Q247" s="1">
        <v>20000</v>
      </c>
      <c r="R247" s="7">
        <v>46062.199777372683</v>
      </c>
      <c r="S247" s="7">
        <v>46062</v>
      </c>
      <c r="T247" s="7" t="str">
        <f t="shared" si="0"/>
        <v>febrero</v>
      </c>
      <c r="U247" s="1" t="s">
        <v>330</v>
      </c>
      <c r="X247" s="1" t="s">
        <v>347</v>
      </c>
      <c r="Y247" s="1" t="s">
        <v>348</v>
      </c>
      <c r="Z247" s="1">
        <v>1</v>
      </c>
      <c r="AA247" s="3">
        <v>19410.240000000002</v>
      </c>
      <c r="AB247" s="3">
        <v>19410.240000000002</v>
      </c>
      <c r="AC247" s="1" t="str">
        <f>VLOOKUP(A247,[1]Detalle!$D$2:$CW$484,98,FALSE)</f>
        <v>CENCO_SJ - Cencosud SA - San Juan</v>
      </c>
    </row>
    <row r="248" spans="1:29" ht="14.25" customHeight="1" x14ac:dyDescent="0.3">
      <c r="A248" s="1" t="s">
        <v>238</v>
      </c>
      <c r="B248" s="1" t="s">
        <v>341</v>
      </c>
      <c r="C248" s="1" t="s">
        <v>343</v>
      </c>
      <c r="D248" s="1" t="s">
        <v>343</v>
      </c>
      <c r="E248" s="1">
        <v>0.5</v>
      </c>
      <c r="F248" s="1" t="s">
        <v>344</v>
      </c>
      <c r="G248" s="6">
        <v>45587</v>
      </c>
      <c r="H248" s="1">
        <v>502203</v>
      </c>
      <c r="I248" s="1">
        <v>522203</v>
      </c>
      <c r="J248" s="1">
        <v>14467.7</v>
      </c>
      <c r="K248" s="1">
        <v>5532.3000000000047</v>
      </c>
      <c r="L248" s="1">
        <v>516670.7</v>
      </c>
      <c r="M248" s="1">
        <v>360</v>
      </c>
      <c r="N248" s="1">
        <v>33.863782051282037</v>
      </c>
      <c r="O248" s="1">
        <v>137.66030536989311</v>
      </c>
      <c r="P248" s="7">
        <v>45947</v>
      </c>
      <c r="Q248" s="1">
        <v>20000</v>
      </c>
      <c r="R248" s="7">
        <v>46084.660305370373</v>
      </c>
      <c r="S248" s="7">
        <v>46084</v>
      </c>
      <c r="T248" s="7" t="str">
        <f t="shared" si="0"/>
        <v>marzo</v>
      </c>
      <c r="U248" s="1" t="s">
        <v>330</v>
      </c>
      <c r="X248" s="1" t="s">
        <v>345</v>
      </c>
      <c r="Y248" s="1" t="s">
        <v>346</v>
      </c>
      <c r="Z248" s="1">
        <v>1</v>
      </c>
      <c r="AA248" s="3">
        <v>10535.04</v>
      </c>
      <c r="AB248" s="3">
        <v>10535.04</v>
      </c>
      <c r="AC248" s="1" t="str">
        <f>VLOOKUP(A248,[1]Detalle!$D$2:$CW$484,98,FALSE)</f>
        <v>CMQ_TTE - QUILMES TTE</v>
      </c>
    </row>
    <row r="249" spans="1:29" ht="14.25" customHeight="1" x14ac:dyDescent="0.3">
      <c r="A249" s="1" t="s">
        <v>238</v>
      </c>
      <c r="B249" s="1" t="s">
        <v>341</v>
      </c>
      <c r="C249" s="1" t="s">
        <v>343</v>
      </c>
      <c r="D249" s="1" t="s">
        <v>343</v>
      </c>
      <c r="E249" s="1">
        <v>0.5</v>
      </c>
      <c r="F249" s="1" t="s">
        <v>344</v>
      </c>
      <c r="G249" s="6">
        <v>45587</v>
      </c>
      <c r="H249" s="1">
        <v>502203</v>
      </c>
      <c r="I249" s="1">
        <v>522203</v>
      </c>
      <c r="J249" s="1">
        <v>14467.7</v>
      </c>
      <c r="K249" s="1">
        <v>5532.3000000000047</v>
      </c>
      <c r="L249" s="1">
        <v>516670.7</v>
      </c>
      <c r="M249" s="1">
        <v>360</v>
      </c>
      <c r="N249" s="1">
        <v>33.863782051282037</v>
      </c>
      <c r="O249" s="1">
        <v>137.66030536989311</v>
      </c>
      <c r="P249" s="7">
        <v>45947</v>
      </c>
      <c r="Q249" s="1">
        <v>20000</v>
      </c>
      <c r="R249" s="7">
        <v>46084.660305370373</v>
      </c>
      <c r="S249" s="7">
        <v>46084</v>
      </c>
      <c r="T249" s="7" t="str">
        <f t="shared" si="0"/>
        <v>marzo</v>
      </c>
      <c r="U249" s="1" t="s">
        <v>330</v>
      </c>
      <c r="X249" s="1" t="s">
        <v>347</v>
      </c>
      <c r="Y249" s="1" t="s">
        <v>348</v>
      </c>
      <c r="Z249" s="1">
        <v>1</v>
      </c>
      <c r="AA249" s="3">
        <v>19410.240000000002</v>
      </c>
      <c r="AB249" s="3">
        <v>19410.240000000002</v>
      </c>
      <c r="AC249" s="1" t="str">
        <f>VLOOKUP(A249,[1]Detalle!$D$2:$CW$484,98,FALSE)</f>
        <v>CMQ_TTE - QUILMES TTE</v>
      </c>
    </row>
    <row r="250" spans="1:29" ht="14.25" customHeight="1" x14ac:dyDescent="0.3">
      <c r="A250" s="1" t="s">
        <v>148</v>
      </c>
      <c r="B250" s="1">
        <v>1624</v>
      </c>
      <c r="C250" s="1" t="s">
        <v>343</v>
      </c>
      <c r="D250" s="1" t="s">
        <v>343</v>
      </c>
      <c r="E250" s="1">
        <v>0.5</v>
      </c>
      <c r="F250" s="1" t="s">
        <v>344</v>
      </c>
      <c r="G250" s="6">
        <v>45862</v>
      </c>
      <c r="H250" s="1">
        <v>808028</v>
      </c>
      <c r="I250" s="1">
        <v>828028</v>
      </c>
      <c r="J250" s="1">
        <v>7209.7999999999984</v>
      </c>
      <c r="K250" s="1">
        <v>12790.2</v>
      </c>
      <c r="L250" s="1">
        <v>815237.8</v>
      </c>
      <c r="M250" s="1">
        <v>85</v>
      </c>
      <c r="N250" s="1">
        <v>100.27773026315791</v>
      </c>
      <c r="O250" s="1">
        <v>150.79017448472919</v>
      </c>
      <c r="P250" s="7">
        <v>45947</v>
      </c>
      <c r="Q250" s="1">
        <v>20000</v>
      </c>
      <c r="R250" s="7">
        <v>46097.790174479167</v>
      </c>
      <c r="S250" s="7">
        <v>46097</v>
      </c>
      <c r="T250" s="7" t="str">
        <f t="shared" si="0"/>
        <v>marzo</v>
      </c>
      <c r="U250" s="1" t="s">
        <v>330</v>
      </c>
      <c r="X250" s="1" t="s">
        <v>345</v>
      </c>
      <c r="Y250" s="1" t="s">
        <v>346</v>
      </c>
      <c r="Z250" s="1">
        <v>1</v>
      </c>
      <c r="AA250" s="3">
        <v>10535.04</v>
      </c>
      <c r="AB250" s="3">
        <v>10535.04</v>
      </c>
      <c r="AC250" s="1" t="str">
        <f>VLOOKUP(A250,[1]Detalle!$D$2:$CW$484,98,FALSE)</f>
        <v>JOHNSON - SC JOHNSON DE ARGENTINA SAIC</v>
      </c>
    </row>
    <row r="251" spans="1:29" ht="14.25" customHeight="1" x14ac:dyDescent="0.3">
      <c r="A251" s="1" t="s">
        <v>148</v>
      </c>
      <c r="B251" s="1">
        <v>1624</v>
      </c>
      <c r="C251" s="1" t="s">
        <v>343</v>
      </c>
      <c r="D251" s="1" t="s">
        <v>343</v>
      </c>
      <c r="E251" s="1">
        <v>0.5</v>
      </c>
      <c r="F251" s="1" t="s">
        <v>344</v>
      </c>
      <c r="G251" s="6">
        <v>45862</v>
      </c>
      <c r="H251" s="1">
        <v>808028</v>
      </c>
      <c r="I251" s="1">
        <v>828028</v>
      </c>
      <c r="J251" s="1">
        <v>7209.7999999999984</v>
      </c>
      <c r="K251" s="1">
        <v>12790.2</v>
      </c>
      <c r="L251" s="1">
        <v>815237.8</v>
      </c>
      <c r="M251" s="1">
        <v>85</v>
      </c>
      <c r="N251" s="1">
        <v>100.27773026315791</v>
      </c>
      <c r="O251" s="1">
        <v>150.79017448472919</v>
      </c>
      <c r="P251" s="7">
        <v>45947</v>
      </c>
      <c r="Q251" s="1">
        <v>20000</v>
      </c>
      <c r="R251" s="7">
        <v>46097.790174479167</v>
      </c>
      <c r="S251" s="7">
        <v>46097</v>
      </c>
      <c r="T251" s="7" t="str">
        <f t="shared" si="0"/>
        <v>marzo</v>
      </c>
      <c r="U251" s="1" t="s">
        <v>330</v>
      </c>
      <c r="X251" s="1" t="s">
        <v>347</v>
      </c>
      <c r="Y251" s="1" t="s">
        <v>348</v>
      </c>
      <c r="Z251" s="1">
        <v>1</v>
      </c>
      <c r="AA251" s="3">
        <v>19410.240000000002</v>
      </c>
      <c r="AB251" s="3">
        <v>19410.240000000002</v>
      </c>
      <c r="AC251" s="1" t="str">
        <f>VLOOKUP(A251,[1]Detalle!$D$2:$CW$484,98,FALSE)</f>
        <v>JOHNSON - SC JOHNSON DE ARGENTINA SAIC</v>
      </c>
    </row>
    <row r="252" spans="1:29" ht="14.25" customHeight="1" x14ac:dyDescent="0.3">
      <c r="A252" s="1" t="s">
        <v>239</v>
      </c>
      <c r="B252" s="1" t="s">
        <v>341</v>
      </c>
      <c r="C252" s="1" t="s">
        <v>343</v>
      </c>
      <c r="D252" s="1" t="s">
        <v>343</v>
      </c>
      <c r="E252" s="1">
        <v>0.5</v>
      </c>
      <c r="F252" s="1" t="s">
        <v>344</v>
      </c>
      <c r="G252" s="6">
        <v>45811</v>
      </c>
      <c r="H252" s="1">
        <v>309592</v>
      </c>
      <c r="I252" s="1">
        <v>329592</v>
      </c>
      <c r="J252" s="1">
        <v>5644.7999999999975</v>
      </c>
      <c r="K252" s="1">
        <v>14355.2</v>
      </c>
      <c r="L252" s="1">
        <v>315236.8</v>
      </c>
      <c r="M252" s="1">
        <v>136</v>
      </c>
      <c r="N252" s="1">
        <v>34.71594771241827</v>
      </c>
      <c r="O252" s="1">
        <v>345.8594104308392</v>
      </c>
      <c r="P252" s="7">
        <v>45947</v>
      </c>
      <c r="Q252" s="1">
        <v>20000</v>
      </c>
      <c r="R252" s="7">
        <v>46292.859410428238</v>
      </c>
      <c r="S252" s="7">
        <v>46292</v>
      </c>
      <c r="T252" s="7" t="str">
        <f t="shared" si="0"/>
        <v>septiembre</v>
      </c>
      <c r="U252" s="1" t="s">
        <v>330</v>
      </c>
      <c r="X252" s="1" t="s">
        <v>345</v>
      </c>
      <c r="Y252" s="1" t="s">
        <v>346</v>
      </c>
      <c r="Z252" s="1">
        <v>1</v>
      </c>
      <c r="AA252" s="3">
        <v>10535.04</v>
      </c>
      <c r="AB252" s="3">
        <v>10535.04</v>
      </c>
      <c r="AC252" s="1" t="str">
        <f>VLOOKUP(A252,[1]Detalle!$D$2:$CW$484,98,FALSE)</f>
        <v>CMQ_TTE - QUILMES TTE</v>
      </c>
    </row>
    <row r="253" spans="1:29" ht="14.25" customHeight="1" x14ac:dyDescent="0.3">
      <c r="A253" s="1" t="s">
        <v>239</v>
      </c>
      <c r="B253" s="1" t="s">
        <v>341</v>
      </c>
      <c r="C253" s="1" t="s">
        <v>343</v>
      </c>
      <c r="D253" s="1" t="s">
        <v>343</v>
      </c>
      <c r="E253" s="1">
        <v>0.5</v>
      </c>
      <c r="F253" s="1" t="s">
        <v>344</v>
      </c>
      <c r="G253" s="6">
        <v>45811</v>
      </c>
      <c r="H253" s="1">
        <v>309592</v>
      </c>
      <c r="I253" s="1">
        <v>329592</v>
      </c>
      <c r="J253" s="1">
        <v>5644.7999999999975</v>
      </c>
      <c r="K253" s="1">
        <v>14355.2</v>
      </c>
      <c r="L253" s="1">
        <v>315236.8</v>
      </c>
      <c r="M253" s="1">
        <v>136</v>
      </c>
      <c r="N253" s="1">
        <v>34.71594771241827</v>
      </c>
      <c r="O253" s="1">
        <v>345.8594104308392</v>
      </c>
      <c r="P253" s="7">
        <v>45947</v>
      </c>
      <c r="Q253" s="1">
        <v>20000</v>
      </c>
      <c r="R253" s="7">
        <v>46292.859410428238</v>
      </c>
      <c r="S253" s="7">
        <v>46292</v>
      </c>
      <c r="T253" s="7" t="str">
        <f t="shared" si="0"/>
        <v>septiembre</v>
      </c>
      <c r="U253" s="1" t="s">
        <v>330</v>
      </c>
      <c r="X253" s="1" t="s">
        <v>347</v>
      </c>
      <c r="Y253" s="1" t="s">
        <v>348</v>
      </c>
      <c r="Z253" s="1">
        <v>1</v>
      </c>
      <c r="AA253" s="3">
        <v>19410.240000000002</v>
      </c>
      <c r="AB253" s="3">
        <v>19410.240000000002</v>
      </c>
      <c r="AC253" s="1" t="str">
        <f>VLOOKUP(A253,[1]Detalle!$D$2:$CW$484,98,FALSE)</f>
        <v>CMQ_TTE - QUILMES TTE</v>
      </c>
    </row>
    <row r="254" spans="1:29" ht="14.25" customHeight="1" x14ac:dyDescent="0.3">
      <c r="A254" s="1" t="s">
        <v>157</v>
      </c>
      <c r="B254" s="1">
        <v>1624</v>
      </c>
      <c r="C254" s="1" t="s">
        <v>343</v>
      </c>
      <c r="D254" s="1" t="s">
        <v>343</v>
      </c>
      <c r="E254" s="1">
        <v>0.5</v>
      </c>
      <c r="F254" s="1" t="s">
        <v>344</v>
      </c>
      <c r="G254" s="6">
        <v>45870</v>
      </c>
      <c r="H254" s="1">
        <v>24799.1</v>
      </c>
      <c r="I254" s="1">
        <v>44799.1</v>
      </c>
      <c r="J254" s="1">
        <v>3627.4</v>
      </c>
      <c r="K254" s="1">
        <v>16372.6</v>
      </c>
      <c r="L254" s="1">
        <v>28426.5</v>
      </c>
      <c r="M254" s="1">
        <v>77</v>
      </c>
      <c r="N254" s="1">
        <v>131.93916129032249</v>
      </c>
      <c r="O254" s="1">
        <v>347.5465071401004</v>
      </c>
      <c r="P254" s="7">
        <v>45947</v>
      </c>
      <c r="Q254" s="1">
        <v>20000</v>
      </c>
      <c r="R254" s="7">
        <v>46294.546507141204</v>
      </c>
      <c r="S254" s="7">
        <v>46294</v>
      </c>
      <c r="T254" s="7" t="str">
        <f t="shared" si="0"/>
        <v>septiembre</v>
      </c>
      <c r="U254" s="1" t="s">
        <v>330</v>
      </c>
      <c r="X254" s="1" t="s">
        <v>345</v>
      </c>
      <c r="Y254" s="1" t="s">
        <v>346</v>
      </c>
      <c r="Z254" s="1">
        <v>1</v>
      </c>
      <c r="AA254" s="3">
        <v>10535.04</v>
      </c>
      <c r="AB254" s="3">
        <v>10535.04</v>
      </c>
      <c r="AC254" s="1" t="str">
        <f>VLOOKUP(A254,[1]Detalle!$D$2:$CW$484,98,FALSE)</f>
        <v>Papelera - Papelera del Plata S.A.</v>
      </c>
    </row>
    <row r="255" spans="1:29" ht="14.25" customHeight="1" x14ac:dyDescent="0.3">
      <c r="A255" s="1" t="s">
        <v>157</v>
      </c>
      <c r="B255" s="1">
        <v>1624</v>
      </c>
      <c r="C255" s="1" t="s">
        <v>343</v>
      </c>
      <c r="D255" s="1" t="s">
        <v>343</v>
      </c>
      <c r="E255" s="1">
        <v>0.5</v>
      </c>
      <c r="F255" s="1" t="s">
        <v>344</v>
      </c>
      <c r="G255" s="6">
        <v>45870</v>
      </c>
      <c r="H255" s="1">
        <v>24799.1</v>
      </c>
      <c r="I255" s="1">
        <v>44799.1</v>
      </c>
      <c r="J255" s="1">
        <v>3627.4</v>
      </c>
      <c r="K255" s="1">
        <v>16372.6</v>
      </c>
      <c r="L255" s="1">
        <v>28426.5</v>
      </c>
      <c r="M255" s="1">
        <v>77</v>
      </c>
      <c r="N255" s="1">
        <v>131.93916129032249</v>
      </c>
      <c r="O255" s="1">
        <v>347.5465071401004</v>
      </c>
      <c r="P255" s="7">
        <v>45947</v>
      </c>
      <c r="Q255" s="1">
        <v>20000</v>
      </c>
      <c r="R255" s="7">
        <v>46294.546507141204</v>
      </c>
      <c r="S255" s="7">
        <v>46294</v>
      </c>
      <c r="T255" s="7" t="str">
        <f t="shared" si="0"/>
        <v>septiembre</v>
      </c>
      <c r="U255" s="1" t="s">
        <v>330</v>
      </c>
      <c r="X255" s="1" t="s">
        <v>347</v>
      </c>
      <c r="Y255" s="1" t="s">
        <v>348</v>
      </c>
      <c r="Z255" s="1">
        <v>1</v>
      </c>
      <c r="AA255" s="3">
        <v>19410.240000000002</v>
      </c>
      <c r="AB255" s="3">
        <v>19410.240000000002</v>
      </c>
      <c r="AC255" s="1" t="str">
        <f>VLOOKUP(A255,[1]Detalle!$D$2:$CW$484,98,FALSE)</f>
        <v>Papelera - Papelera del Plata S.A.</v>
      </c>
    </row>
    <row r="256" spans="1:29" ht="14.25" customHeight="1" x14ac:dyDescent="0.3">
      <c r="A256" s="1" t="s">
        <v>163</v>
      </c>
      <c r="B256" s="1">
        <v>1624</v>
      </c>
      <c r="C256" s="1" t="s">
        <v>343</v>
      </c>
      <c r="D256" s="1" t="s">
        <v>343</v>
      </c>
      <c r="E256" s="1">
        <v>0.5</v>
      </c>
      <c r="F256" s="1" t="s">
        <v>344</v>
      </c>
      <c r="G256" s="6">
        <v>45845</v>
      </c>
      <c r="H256" s="1">
        <v>656303</v>
      </c>
      <c r="I256" s="1">
        <v>676303</v>
      </c>
      <c r="J256" s="1">
        <v>6490.9999999999991</v>
      </c>
      <c r="K256" s="1">
        <v>13509</v>
      </c>
      <c r="L256" s="1">
        <v>662794</v>
      </c>
      <c r="M256" s="1">
        <v>102</v>
      </c>
      <c r="N256" s="1">
        <v>93.110293159609114</v>
      </c>
      <c r="O256" s="1">
        <v>212.28131258665849</v>
      </c>
      <c r="P256" s="7">
        <v>45947</v>
      </c>
      <c r="Q256" s="1">
        <v>20000</v>
      </c>
      <c r="R256" s="7">
        <v>46159.281312581021</v>
      </c>
      <c r="S256" s="7">
        <v>46159</v>
      </c>
      <c r="T256" s="7" t="str">
        <f t="shared" si="0"/>
        <v>mayo</v>
      </c>
      <c r="U256" s="1" t="s">
        <v>330</v>
      </c>
      <c r="X256" s="1" t="s">
        <v>345</v>
      </c>
      <c r="Y256" s="1" t="s">
        <v>346</v>
      </c>
      <c r="Z256" s="1">
        <v>1</v>
      </c>
      <c r="AA256" s="3">
        <v>10535.04</v>
      </c>
      <c r="AB256" s="3">
        <v>10535.04</v>
      </c>
      <c r="AC256" s="1" t="str">
        <f>VLOOKUP(A256,[1]Detalle!$D$2:$CW$484,98,FALSE)</f>
        <v>Unilever - Unilever de Arg. S.A.</v>
      </c>
    </row>
    <row r="257" spans="1:29" ht="14.25" customHeight="1" x14ac:dyDescent="0.3">
      <c r="A257" s="1" t="s">
        <v>163</v>
      </c>
      <c r="B257" s="1">
        <v>1624</v>
      </c>
      <c r="C257" s="1" t="s">
        <v>343</v>
      </c>
      <c r="D257" s="1" t="s">
        <v>343</v>
      </c>
      <c r="E257" s="1">
        <v>0.5</v>
      </c>
      <c r="F257" s="1" t="s">
        <v>344</v>
      </c>
      <c r="G257" s="6">
        <v>45845</v>
      </c>
      <c r="H257" s="1">
        <v>656303</v>
      </c>
      <c r="I257" s="1">
        <v>676303</v>
      </c>
      <c r="J257" s="1">
        <v>6490.9999999999991</v>
      </c>
      <c r="K257" s="1">
        <v>13509</v>
      </c>
      <c r="L257" s="1">
        <v>662794</v>
      </c>
      <c r="M257" s="1">
        <v>102</v>
      </c>
      <c r="N257" s="1">
        <v>93.110293159609114</v>
      </c>
      <c r="O257" s="1">
        <v>212.28131258665849</v>
      </c>
      <c r="P257" s="7">
        <v>45947</v>
      </c>
      <c r="Q257" s="1">
        <v>20000</v>
      </c>
      <c r="R257" s="7">
        <v>46159.281312581021</v>
      </c>
      <c r="S257" s="7">
        <v>46159</v>
      </c>
      <c r="T257" s="7" t="str">
        <f t="shared" si="0"/>
        <v>mayo</v>
      </c>
      <c r="U257" s="1" t="s">
        <v>330</v>
      </c>
      <c r="X257" s="1" t="s">
        <v>347</v>
      </c>
      <c r="Y257" s="1" t="s">
        <v>348</v>
      </c>
      <c r="Z257" s="1">
        <v>1</v>
      </c>
      <c r="AA257" s="3">
        <v>19410.240000000002</v>
      </c>
      <c r="AB257" s="3">
        <v>19410.240000000002</v>
      </c>
      <c r="AC257" s="1" t="str">
        <f>VLOOKUP(A257,[1]Detalle!$D$2:$CW$484,98,FALSE)</f>
        <v>Unilever - Unilever de Arg. S.A.</v>
      </c>
    </row>
    <row r="258" spans="1:29" ht="14.25" customHeight="1" x14ac:dyDescent="0.3">
      <c r="A258" s="1" t="s">
        <v>185</v>
      </c>
      <c r="B258" s="1" t="s">
        <v>351</v>
      </c>
      <c r="C258" s="1" t="s">
        <v>343</v>
      </c>
      <c r="D258" s="1" t="s">
        <v>343</v>
      </c>
      <c r="E258" s="1">
        <v>0.5</v>
      </c>
      <c r="F258" s="1" t="s">
        <v>344</v>
      </c>
      <c r="G258" s="6">
        <v>45748</v>
      </c>
      <c r="H258" s="1">
        <v>14041.5</v>
      </c>
      <c r="I258" s="1">
        <v>34041.5</v>
      </c>
      <c r="J258" s="1">
        <v>7825.0999999999995</v>
      </c>
      <c r="K258" s="1">
        <v>12174.9</v>
      </c>
      <c r="L258" s="1">
        <v>21866.6</v>
      </c>
      <c r="M258" s="1">
        <v>199</v>
      </c>
      <c r="N258" s="1">
        <v>45.164889705882352</v>
      </c>
      <c r="O258" s="1">
        <v>309.61969815082239</v>
      </c>
      <c r="P258" s="7">
        <v>45947</v>
      </c>
      <c r="Q258" s="1">
        <v>20000</v>
      </c>
      <c r="R258" s="7">
        <v>46256.619698148148</v>
      </c>
      <c r="S258" s="7">
        <v>46256</v>
      </c>
      <c r="T258" s="7" t="str">
        <f t="shared" si="0"/>
        <v>agosto</v>
      </c>
      <c r="U258" s="1" t="s">
        <v>330</v>
      </c>
      <c r="X258" s="1" t="s">
        <v>345</v>
      </c>
      <c r="Y258" s="1" t="s">
        <v>346</v>
      </c>
      <c r="Z258" s="1">
        <v>1</v>
      </c>
      <c r="AA258" s="3">
        <v>10535.04</v>
      </c>
      <c r="AB258" s="3">
        <v>10535.04</v>
      </c>
      <c r="AC258" s="1" t="str">
        <f>VLOOKUP(A258,[1]Detalle!$D$2:$CW$484,98,FALSE)</f>
        <v>CENCO_SJ - Cencosud SA - San Juan</v>
      </c>
    </row>
    <row r="259" spans="1:29" ht="14.25" customHeight="1" x14ac:dyDescent="0.3">
      <c r="A259" s="1" t="s">
        <v>185</v>
      </c>
      <c r="B259" s="1" t="s">
        <v>351</v>
      </c>
      <c r="C259" s="1" t="s">
        <v>343</v>
      </c>
      <c r="D259" s="1" t="s">
        <v>343</v>
      </c>
      <c r="E259" s="1">
        <v>0.5</v>
      </c>
      <c r="F259" s="1" t="s">
        <v>344</v>
      </c>
      <c r="G259" s="6">
        <v>45748</v>
      </c>
      <c r="H259" s="1">
        <v>14041.5</v>
      </c>
      <c r="I259" s="1">
        <v>34041.5</v>
      </c>
      <c r="J259" s="1">
        <v>7825.0999999999995</v>
      </c>
      <c r="K259" s="1">
        <v>12174.9</v>
      </c>
      <c r="L259" s="1">
        <v>21866.6</v>
      </c>
      <c r="M259" s="1">
        <v>199</v>
      </c>
      <c r="N259" s="1">
        <v>45.164889705882352</v>
      </c>
      <c r="O259" s="1">
        <v>309.61969815082239</v>
      </c>
      <c r="P259" s="7">
        <v>45947</v>
      </c>
      <c r="Q259" s="1">
        <v>20000</v>
      </c>
      <c r="R259" s="7">
        <v>46256.619698148148</v>
      </c>
      <c r="S259" s="7">
        <v>46256</v>
      </c>
      <c r="T259" s="7" t="str">
        <f t="shared" si="0"/>
        <v>agosto</v>
      </c>
      <c r="U259" s="1" t="s">
        <v>330</v>
      </c>
      <c r="X259" s="1" t="s">
        <v>347</v>
      </c>
      <c r="Y259" s="1" t="s">
        <v>348</v>
      </c>
      <c r="Z259" s="1">
        <v>1</v>
      </c>
      <c r="AA259" s="3">
        <v>19410.240000000002</v>
      </c>
      <c r="AB259" s="3">
        <v>19410.240000000002</v>
      </c>
      <c r="AC259" s="1" t="str">
        <f>VLOOKUP(A259,[1]Detalle!$D$2:$CW$484,98,FALSE)</f>
        <v>CENCO_SJ - Cencosud SA - San Juan</v>
      </c>
    </row>
    <row r="260" spans="1:29" ht="14.25" customHeight="1" x14ac:dyDescent="0.3">
      <c r="A260" s="1" t="s">
        <v>62</v>
      </c>
      <c r="B260" s="1" t="s">
        <v>352</v>
      </c>
      <c r="C260" s="1" t="s">
        <v>343</v>
      </c>
      <c r="D260" s="1" t="s">
        <v>343</v>
      </c>
      <c r="E260" s="1">
        <v>0.5</v>
      </c>
      <c r="F260" s="1" t="s">
        <v>344</v>
      </c>
      <c r="G260" s="6">
        <v>45741</v>
      </c>
      <c r="H260" s="1">
        <v>33326.199999999997</v>
      </c>
      <c r="I260" s="1">
        <v>53326.2</v>
      </c>
      <c r="J260" s="1">
        <v>7126.5000000000036</v>
      </c>
      <c r="K260" s="1">
        <v>12873.5</v>
      </c>
      <c r="L260" s="1">
        <v>40452.699999999997</v>
      </c>
      <c r="M260" s="1">
        <v>206</v>
      </c>
      <c r="N260" s="1">
        <v>38.89159259259263</v>
      </c>
      <c r="O260" s="1">
        <v>372.12390373956327</v>
      </c>
      <c r="P260" s="7">
        <v>45947</v>
      </c>
      <c r="Q260" s="1">
        <v>20000</v>
      </c>
      <c r="R260" s="7">
        <v>46319.123903738429</v>
      </c>
      <c r="S260" s="7">
        <v>46319</v>
      </c>
      <c r="T260" s="7" t="str">
        <f t="shared" si="0"/>
        <v>octubre</v>
      </c>
      <c r="U260" s="1" t="s">
        <v>330</v>
      </c>
      <c r="X260" s="1" t="s">
        <v>345</v>
      </c>
      <c r="Y260" s="1" t="s">
        <v>346</v>
      </c>
      <c r="Z260" s="1">
        <v>1</v>
      </c>
      <c r="AA260" s="3">
        <v>10535.04</v>
      </c>
      <c r="AB260" s="3">
        <v>10535.04</v>
      </c>
      <c r="AC260" s="1" t="str">
        <f>VLOOKUP(A260,[1]Detalle!$D$2:$CW$484,98,FALSE)</f>
        <v>CCUDyAZA</v>
      </c>
    </row>
    <row r="261" spans="1:29" ht="14.25" customHeight="1" x14ac:dyDescent="0.3">
      <c r="A261" s="1" t="s">
        <v>62</v>
      </c>
      <c r="B261" s="1" t="s">
        <v>352</v>
      </c>
      <c r="C261" s="1" t="s">
        <v>343</v>
      </c>
      <c r="D261" s="1" t="s">
        <v>343</v>
      </c>
      <c r="E261" s="1">
        <v>0.5</v>
      </c>
      <c r="F261" s="1" t="s">
        <v>344</v>
      </c>
      <c r="G261" s="6">
        <v>45741</v>
      </c>
      <c r="H261" s="1">
        <v>33326.199999999997</v>
      </c>
      <c r="I261" s="1">
        <v>53326.2</v>
      </c>
      <c r="J261" s="1">
        <v>7126.5000000000036</v>
      </c>
      <c r="K261" s="1">
        <v>12873.5</v>
      </c>
      <c r="L261" s="1">
        <v>40452.699999999997</v>
      </c>
      <c r="M261" s="1">
        <v>206</v>
      </c>
      <c r="N261" s="1">
        <v>38.89159259259263</v>
      </c>
      <c r="O261" s="1">
        <v>372.12390373956327</v>
      </c>
      <c r="P261" s="7">
        <v>45947</v>
      </c>
      <c r="Q261" s="1">
        <v>20000</v>
      </c>
      <c r="R261" s="7">
        <v>46319.123903738429</v>
      </c>
      <c r="S261" s="7">
        <v>46319</v>
      </c>
      <c r="T261" s="7" t="str">
        <f t="shared" si="0"/>
        <v>octubre</v>
      </c>
      <c r="U261" s="1" t="s">
        <v>330</v>
      </c>
      <c r="X261" s="1" t="s">
        <v>347</v>
      </c>
      <c r="Y261" s="1" t="s">
        <v>348</v>
      </c>
      <c r="Z261" s="1">
        <v>1</v>
      </c>
      <c r="AA261" s="3">
        <v>19410.240000000002</v>
      </c>
      <c r="AB261" s="3">
        <v>19410.240000000002</v>
      </c>
      <c r="AC261" s="1" t="str">
        <f>VLOOKUP(A261,[1]Detalle!$D$2:$CW$484,98,FALSE)</f>
        <v>CCUDyAZA</v>
      </c>
    </row>
    <row r="262" spans="1:29" ht="14.25" customHeight="1" x14ac:dyDescent="0.3">
      <c r="A262" s="1" t="s">
        <v>60</v>
      </c>
      <c r="B262" s="1" t="s">
        <v>352</v>
      </c>
      <c r="C262" s="1" t="s">
        <v>343</v>
      </c>
      <c r="D262" s="1" t="s">
        <v>343</v>
      </c>
      <c r="E262" s="1">
        <v>0.5</v>
      </c>
      <c r="F262" s="1" t="s">
        <v>344</v>
      </c>
      <c r="G262" s="6">
        <v>45611</v>
      </c>
      <c r="H262" s="1">
        <v>29476</v>
      </c>
      <c r="I262" s="1">
        <v>49476</v>
      </c>
      <c r="J262" s="1">
        <v>12799.580000000011</v>
      </c>
      <c r="K262" s="1">
        <v>7200.4199999999892</v>
      </c>
      <c r="L262" s="1">
        <v>42275.580000000009</v>
      </c>
      <c r="M262" s="1">
        <v>336</v>
      </c>
      <c r="N262" s="1">
        <v>40.312058823529441</v>
      </c>
      <c r="O262" s="1">
        <v>189.0172271277647</v>
      </c>
      <c r="P262" s="7">
        <v>45947</v>
      </c>
      <c r="Q262" s="1">
        <v>20000</v>
      </c>
      <c r="R262" s="7">
        <v>46136.017227129632</v>
      </c>
      <c r="S262" s="7">
        <v>46136</v>
      </c>
      <c r="T262" s="7" t="str">
        <f t="shared" si="0"/>
        <v>abril</v>
      </c>
      <c r="U262" s="1" t="s">
        <v>330</v>
      </c>
      <c r="X262" s="1" t="s">
        <v>345</v>
      </c>
      <c r="Y262" s="1" t="s">
        <v>346</v>
      </c>
      <c r="Z262" s="1">
        <v>1</v>
      </c>
      <c r="AA262" s="3">
        <v>10535.04</v>
      </c>
      <c r="AB262" s="3">
        <v>10535.04</v>
      </c>
      <c r="AC262" s="1" t="str">
        <f>VLOOKUP(A262,[1]Detalle!$D$2:$CW$484,98,FALSE)</f>
        <v>CCUDyAZA</v>
      </c>
    </row>
    <row r="263" spans="1:29" ht="14.25" customHeight="1" x14ac:dyDescent="0.3">
      <c r="A263" s="1" t="s">
        <v>60</v>
      </c>
      <c r="B263" s="1" t="s">
        <v>352</v>
      </c>
      <c r="C263" s="1" t="s">
        <v>343</v>
      </c>
      <c r="D263" s="1" t="s">
        <v>343</v>
      </c>
      <c r="E263" s="1">
        <v>0.5</v>
      </c>
      <c r="F263" s="1" t="s">
        <v>344</v>
      </c>
      <c r="G263" s="6">
        <v>45611</v>
      </c>
      <c r="H263" s="1">
        <v>29476</v>
      </c>
      <c r="I263" s="1">
        <v>49476</v>
      </c>
      <c r="J263" s="1">
        <v>12799.580000000011</v>
      </c>
      <c r="K263" s="1">
        <v>7200.4199999999892</v>
      </c>
      <c r="L263" s="1">
        <v>42275.580000000009</v>
      </c>
      <c r="M263" s="1">
        <v>336</v>
      </c>
      <c r="N263" s="1">
        <v>40.312058823529441</v>
      </c>
      <c r="O263" s="1">
        <v>189.0172271277647</v>
      </c>
      <c r="P263" s="7">
        <v>45947</v>
      </c>
      <c r="Q263" s="1">
        <v>20000</v>
      </c>
      <c r="R263" s="7">
        <v>46136.017227129632</v>
      </c>
      <c r="S263" s="7">
        <v>46136</v>
      </c>
      <c r="T263" s="7" t="str">
        <f t="shared" si="0"/>
        <v>abril</v>
      </c>
      <c r="U263" s="1" t="s">
        <v>330</v>
      </c>
      <c r="X263" s="1" t="s">
        <v>347</v>
      </c>
      <c r="Y263" s="1" t="s">
        <v>348</v>
      </c>
      <c r="Z263" s="1">
        <v>1</v>
      </c>
      <c r="AA263" s="3">
        <v>19410.240000000002</v>
      </c>
      <c r="AB263" s="3">
        <v>19410.240000000002</v>
      </c>
      <c r="AC263" s="1" t="str">
        <f>VLOOKUP(A263,[1]Detalle!$D$2:$CW$484,98,FALSE)</f>
        <v>CCUDyAZA</v>
      </c>
    </row>
    <row r="264" spans="1:29" ht="14.25" customHeight="1" x14ac:dyDescent="0.3">
      <c r="A264" s="1" t="s">
        <v>165</v>
      </c>
      <c r="B264" s="1" t="s">
        <v>351</v>
      </c>
      <c r="C264" s="1" t="s">
        <v>343</v>
      </c>
      <c r="D264" s="1" t="s">
        <v>343</v>
      </c>
      <c r="E264" s="1">
        <v>0.5</v>
      </c>
      <c r="F264" s="1" t="s">
        <v>344</v>
      </c>
      <c r="G264" s="6">
        <v>45825</v>
      </c>
      <c r="H264" s="1">
        <v>860822</v>
      </c>
      <c r="I264" s="1">
        <v>880822</v>
      </c>
      <c r="J264" s="1">
        <v>4797.9999999999991</v>
      </c>
      <c r="K264" s="1">
        <v>15202</v>
      </c>
      <c r="L264" s="1">
        <v>865620</v>
      </c>
      <c r="M264" s="1">
        <v>122</v>
      </c>
      <c r="N264" s="1">
        <v>70.738193548387088</v>
      </c>
      <c r="O264" s="1">
        <v>386.54522717799091</v>
      </c>
      <c r="P264" s="7">
        <v>45947</v>
      </c>
      <c r="Q264" s="1">
        <v>20000</v>
      </c>
      <c r="R264" s="7">
        <v>46333.545227175928</v>
      </c>
      <c r="S264" s="7">
        <v>46333</v>
      </c>
      <c r="T264" s="7" t="str">
        <f t="shared" si="0"/>
        <v>noviembre</v>
      </c>
      <c r="U264" s="1" t="s">
        <v>330</v>
      </c>
      <c r="X264" s="1" t="s">
        <v>345</v>
      </c>
      <c r="Y264" s="1" t="s">
        <v>346</v>
      </c>
      <c r="Z264" s="1">
        <v>1</v>
      </c>
      <c r="AA264" s="3">
        <v>10535.04</v>
      </c>
      <c r="AB264" s="3">
        <v>10535.04</v>
      </c>
      <c r="AC264" s="1" t="str">
        <f>VLOOKUP(A264,[1]Detalle!$D$2:$CW$484,98,FALSE)</f>
        <v>Papelera - Papelera del Plata S.A.</v>
      </c>
    </row>
    <row r="265" spans="1:29" ht="14.25" customHeight="1" x14ac:dyDescent="0.3">
      <c r="A265" s="1" t="s">
        <v>165</v>
      </c>
      <c r="B265" s="1" t="s">
        <v>351</v>
      </c>
      <c r="C265" s="1" t="s">
        <v>343</v>
      </c>
      <c r="D265" s="1" t="s">
        <v>343</v>
      </c>
      <c r="E265" s="1">
        <v>0.5</v>
      </c>
      <c r="F265" s="1" t="s">
        <v>344</v>
      </c>
      <c r="G265" s="6">
        <v>45825</v>
      </c>
      <c r="H265" s="1">
        <v>860822</v>
      </c>
      <c r="I265" s="1">
        <v>880822</v>
      </c>
      <c r="J265" s="1">
        <v>4797.9999999999991</v>
      </c>
      <c r="K265" s="1">
        <v>15202</v>
      </c>
      <c r="L265" s="1">
        <v>865620</v>
      </c>
      <c r="M265" s="1">
        <v>122</v>
      </c>
      <c r="N265" s="1">
        <v>70.738193548387088</v>
      </c>
      <c r="O265" s="1">
        <v>386.54522717799091</v>
      </c>
      <c r="P265" s="7">
        <v>45947</v>
      </c>
      <c r="Q265" s="1">
        <v>20000</v>
      </c>
      <c r="R265" s="7">
        <v>46333.545227175928</v>
      </c>
      <c r="S265" s="7">
        <v>46333</v>
      </c>
      <c r="T265" s="7" t="str">
        <f t="shared" si="0"/>
        <v>noviembre</v>
      </c>
      <c r="U265" s="1" t="s">
        <v>330</v>
      </c>
      <c r="X265" s="1" t="s">
        <v>347</v>
      </c>
      <c r="Y265" s="1" t="s">
        <v>348</v>
      </c>
      <c r="Z265" s="1">
        <v>1</v>
      </c>
      <c r="AA265" s="3">
        <v>19410.240000000002</v>
      </c>
      <c r="AB265" s="3">
        <v>19410.240000000002</v>
      </c>
      <c r="AC265" s="1" t="str">
        <f>VLOOKUP(A265,[1]Detalle!$D$2:$CW$484,98,FALSE)</f>
        <v>Papelera - Papelera del Plata S.A.</v>
      </c>
    </row>
    <row r="266" spans="1:29" ht="14.25" customHeight="1" x14ac:dyDescent="0.3">
      <c r="A266" s="1" t="s">
        <v>167</v>
      </c>
      <c r="B266" s="1" t="s">
        <v>351</v>
      </c>
      <c r="C266" s="1" t="s">
        <v>343</v>
      </c>
      <c r="D266" s="1" t="s">
        <v>343</v>
      </c>
      <c r="E266" s="1">
        <v>0.5</v>
      </c>
      <c r="F266" s="1" t="s">
        <v>344</v>
      </c>
      <c r="G266" s="6">
        <v>45833</v>
      </c>
      <c r="H266" s="1">
        <v>693855</v>
      </c>
      <c r="I266" s="1">
        <v>713855</v>
      </c>
      <c r="J266" s="1">
        <v>5947.7000000000025</v>
      </c>
      <c r="K266" s="1">
        <v>14052.3</v>
      </c>
      <c r="L266" s="1">
        <v>699802.7</v>
      </c>
      <c r="M266" s="1">
        <v>114</v>
      </c>
      <c r="N266" s="1">
        <v>54.087953795379541</v>
      </c>
      <c r="O266" s="1">
        <v>269.34145972392668</v>
      </c>
      <c r="P266" s="7">
        <v>45947</v>
      </c>
      <c r="Q266" s="1">
        <v>20000</v>
      </c>
      <c r="R266" s="7">
        <v>46216.341459722222</v>
      </c>
      <c r="S266" s="7">
        <v>46216</v>
      </c>
      <c r="T266" s="7" t="str">
        <f t="shared" si="0"/>
        <v>julio</v>
      </c>
      <c r="U266" s="1" t="s">
        <v>330</v>
      </c>
      <c r="X266" s="1" t="s">
        <v>345</v>
      </c>
      <c r="Y266" s="1" t="s">
        <v>346</v>
      </c>
      <c r="Z266" s="1">
        <v>1</v>
      </c>
      <c r="AA266" s="3">
        <v>10535.04</v>
      </c>
      <c r="AB266" s="3">
        <v>10535.04</v>
      </c>
      <c r="AC266" s="1" t="str">
        <f>VLOOKUP(A266,[1]Detalle!$D$2:$CW$484,98,FALSE)</f>
        <v>Papelera - Papelera del Plata S.A.</v>
      </c>
    </row>
    <row r="267" spans="1:29" ht="14.25" customHeight="1" x14ac:dyDescent="0.3">
      <c r="A267" s="1" t="s">
        <v>167</v>
      </c>
      <c r="B267" s="1" t="s">
        <v>351</v>
      </c>
      <c r="C267" s="1" t="s">
        <v>343</v>
      </c>
      <c r="D267" s="1" t="s">
        <v>343</v>
      </c>
      <c r="E267" s="1">
        <v>0.5</v>
      </c>
      <c r="F267" s="1" t="s">
        <v>344</v>
      </c>
      <c r="G267" s="6">
        <v>45833</v>
      </c>
      <c r="H267" s="1">
        <v>693855</v>
      </c>
      <c r="I267" s="1">
        <v>713855</v>
      </c>
      <c r="J267" s="1">
        <v>5947.7000000000025</v>
      </c>
      <c r="K267" s="1">
        <v>14052.3</v>
      </c>
      <c r="L267" s="1">
        <v>699802.7</v>
      </c>
      <c r="M267" s="1">
        <v>114</v>
      </c>
      <c r="N267" s="1">
        <v>54.087953795379541</v>
      </c>
      <c r="O267" s="1">
        <v>269.34145972392668</v>
      </c>
      <c r="P267" s="7">
        <v>45947</v>
      </c>
      <c r="Q267" s="1">
        <v>20000</v>
      </c>
      <c r="R267" s="7">
        <v>46216.341459722222</v>
      </c>
      <c r="S267" s="7">
        <v>46216</v>
      </c>
      <c r="T267" s="7" t="str">
        <f t="shared" si="0"/>
        <v>julio</v>
      </c>
      <c r="U267" s="1" t="s">
        <v>330</v>
      </c>
      <c r="X267" s="1" t="s">
        <v>347</v>
      </c>
      <c r="Y267" s="1" t="s">
        <v>348</v>
      </c>
      <c r="Z267" s="1">
        <v>1</v>
      </c>
      <c r="AA267" s="3">
        <v>19410.240000000002</v>
      </c>
      <c r="AB267" s="3">
        <v>19410.240000000002</v>
      </c>
      <c r="AC267" s="1" t="str">
        <f>VLOOKUP(A267,[1]Detalle!$D$2:$CW$484,98,FALSE)</f>
        <v>Papelera - Papelera del Plata S.A.</v>
      </c>
    </row>
    <row r="268" spans="1:29" ht="14.25" customHeight="1" x14ac:dyDescent="0.3">
      <c r="A268" s="1" t="s">
        <v>168</v>
      </c>
      <c r="B268" s="1" t="s">
        <v>351</v>
      </c>
      <c r="C268" s="1" t="s">
        <v>343</v>
      </c>
      <c r="D268" s="1" t="s">
        <v>343</v>
      </c>
      <c r="E268" s="1">
        <v>0.5</v>
      </c>
      <c r="F268" s="1" t="s">
        <v>344</v>
      </c>
      <c r="G268" s="6">
        <v>45831</v>
      </c>
      <c r="H268" s="1">
        <v>561820</v>
      </c>
      <c r="I268" s="1">
        <v>581820</v>
      </c>
      <c r="J268" s="1">
        <v>11303.6</v>
      </c>
      <c r="K268" s="1">
        <v>8696.4</v>
      </c>
      <c r="L268" s="1">
        <v>573123.6</v>
      </c>
      <c r="M268" s="1">
        <v>116</v>
      </c>
      <c r="N268" s="1">
        <v>80.547755775577556</v>
      </c>
      <c r="O268" s="1">
        <v>89.244346933720223</v>
      </c>
      <c r="P268" s="7">
        <v>45947</v>
      </c>
      <c r="Q268" s="1">
        <v>20000</v>
      </c>
      <c r="R268" s="7">
        <v>46036.244346932872</v>
      </c>
      <c r="S268" s="7">
        <v>46036</v>
      </c>
      <c r="T268" s="7" t="str">
        <f t="shared" si="0"/>
        <v>enero</v>
      </c>
      <c r="U268" s="1" t="s">
        <v>330</v>
      </c>
      <c r="X268" s="1" t="s">
        <v>345</v>
      </c>
      <c r="Y268" s="1" t="s">
        <v>346</v>
      </c>
      <c r="Z268" s="1">
        <v>1</v>
      </c>
      <c r="AA268" s="3">
        <v>10535.04</v>
      </c>
      <c r="AB268" s="3">
        <v>10535.04</v>
      </c>
      <c r="AC268" s="1" t="str">
        <f>VLOOKUP(A268,[1]Detalle!$D$2:$CW$484,98,FALSE)</f>
        <v>Unilever - Unilever de Arg. S.A.</v>
      </c>
    </row>
    <row r="269" spans="1:29" ht="14.25" customHeight="1" x14ac:dyDescent="0.3">
      <c r="A269" s="1" t="s">
        <v>168</v>
      </c>
      <c r="B269" s="1" t="s">
        <v>351</v>
      </c>
      <c r="C269" s="1" t="s">
        <v>343</v>
      </c>
      <c r="D269" s="1" t="s">
        <v>343</v>
      </c>
      <c r="E269" s="1">
        <v>0.5</v>
      </c>
      <c r="F269" s="1" t="s">
        <v>344</v>
      </c>
      <c r="G269" s="6">
        <v>45831</v>
      </c>
      <c r="H269" s="1">
        <v>561820</v>
      </c>
      <c r="I269" s="1">
        <v>581820</v>
      </c>
      <c r="J269" s="1">
        <v>11303.6</v>
      </c>
      <c r="K269" s="1">
        <v>8696.4</v>
      </c>
      <c r="L269" s="1">
        <v>573123.6</v>
      </c>
      <c r="M269" s="1">
        <v>116</v>
      </c>
      <c r="N269" s="1">
        <v>80.547755775577556</v>
      </c>
      <c r="O269" s="1">
        <v>89.244346933720223</v>
      </c>
      <c r="P269" s="7">
        <v>45947</v>
      </c>
      <c r="Q269" s="1">
        <v>20000</v>
      </c>
      <c r="R269" s="7">
        <v>46036.244346932872</v>
      </c>
      <c r="S269" s="7">
        <v>46036</v>
      </c>
      <c r="T269" s="7" t="str">
        <f t="shared" si="0"/>
        <v>enero</v>
      </c>
      <c r="U269" s="1" t="s">
        <v>330</v>
      </c>
      <c r="X269" s="1" t="s">
        <v>347</v>
      </c>
      <c r="Y269" s="1" t="s">
        <v>348</v>
      </c>
      <c r="Z269" s="1">
        <v>1</v>
      </c>
      <c r="AA269" s="3">
        <v>19410.240000000002</v>
      </c>
      <c r="AB269" s="3">
        <v>19410.240000000002</v>
      </c>
      <c r="AC269" s="1" t="str">
        <f>VLOOKUP(A269,[1]Detalle!$D$2:$CW$484,98,FALSE)</f>
        <v>Unilever - Unilever de Arg. S.A.</v>
      </c>
    </row>
    <row r="270" spans="1:29" ht="14.25" customHeight="1" x14ac:dyDescent="0.3">
      <c r="A270" s="1" t="s">
        <v>174</v>
      </c>
      <c r="B270" s="1" t="s">
        <v>351</v>
      </c>
      <c r="C270" s="1" t="s">
        <v>343</v>
      </c>
      <c r="D270" s="1" t="s">
        <v>343</v>
      </c>
      <c r="E270" s="1">
        <v>0.5</v>
      </c>
      <c r="F270" s="1" t="s">
        <v>344</v>
      </c>
      <c r="G270" s="6">
        <v>45834</v>
      </c>
      <c r="H270" s="1">
        <v>23886.799999999999</v>
      </c>
      <c r="I270" s="1">
        <v>43886.8</v>
      </c>
      <c r="J270" s="1">
        <v>11552.1</v>
      </c>
      <c r="K270" s="1">
        <v>8447.9000000000033</v>
      </c>
      <c r="L270" s="1">
        <v>35438.899999999987</v>
      </c>
      <c r="M270" s="1">
        <v>113</v>
      </c>
      <c r="N270" s="1">
        <v>71.271935483870948</v>
      </c>
      <c r="O270" s="1">
        <v>82.635425593615068</v>
      </c>
      <c r="P270" s="7">
        <v>45947</v>
      </c>
      <c r="Q270" s="1">
        <v>20000</v>
      </c>
      <c r="R270" s="7">
        <v>46029.635425590277</v>
      </c>
      <c r="S270" s="7">
        <v>46029</v>
      </c>
      <c r="T270" s="7" t="str">
        <f t="shared" si="0"/>
        <v>enero</v>
      </c>
      <c r="U270" s="1" t="s">
        <v>330</v>
      </c>
      <c r="X270" s="1" t="s">
        <v>345</v>
      </c>
      <c r="Y270" s="1" t="s">
        <v>346</v>
      </c>
      <c r="Z270" s="1">
        <v>1</v>
      </c>
      <c r="AA270" s="3">
        <v>10535.04</v>
      </c>
      <c r="AB270" s="3">
        <v>10535.04</v>
      </c>
      <c r="AC270" s="1" t="str">
        <f>VLOOKUP(A270,[1]Detalle!$D$2:$CW$484,98,FALSE)</f>
        <v>Unilever - Unilever de Arg. S.A.</v>
      </c>
    </row>
    <row r="271" spans="1:29" ht="14.25" customHeight="1" x14ac:dyDescent="0.3">
      <c r="A271" s="1" t="s">
        <v>174</v>
      </c>
      <c r="B271" s="1" t="s">
        <v>351</v>
      </c>
      <c r="C271" s="1" t="s">
        <v>343</v>
      </c>
      <c r="D271" s="1" t="s">
        <v>343</v>
      </c>
      <c r="E271" s="1">
        <v>0.5</v>
      </c>
      <c r="F271" s="1" t="s">
        <v>344</v>
      </c>
      <c r="G271" s="6">
        <v>45834</v>
      </c>
      <c r="H271" s="1">
        <v>23886.799999999999</v>
      </c>
      <c r="I271" s="1">
        <v>43886.8</v>
      </c>
      <c r="J271" s="1">
        <v>11552.1</v>
      </c>
      <c r="K271" s="1">
        <v>8447.9000000000033</v>
      </c>
      <c r="L271" s="1">
        <v>35438.899999999987</v>
      </c>
      <c r="M271" s="1">
        <v>113</v>
      </c>
      <c r="N271" s="1">
        <v>71.271935483870948</v>
      </c>
      <c r="O271" s="1">
        <v>82.635425593615068</v>
      </c>
      <c r="P271" s="7">
        <v>45947</v>
      </c>
      <c r="Q271" s="1">
        <v>20000</v>
      </c>
      <c r="R271" s="7">
        <v>46029.635425590277</v>
      </c>
      <c r="S271" s="7">
        <v>46029</v>
      </c>
      <c r="T271" s="7" t="str">
        <f t="shared" si="0"/>
        <v>enero</v>
      </c>
      <c r="U271" s="1" t="s">
        <v>330</v>
      </c>
      <c r="X271" s="1" t="s">
        <v>347</v>
      </c>
      <c r="Y271" s="1" t="s">
        <v>348</v>
      </c>
      <c r="Z271" s="1">
        <v>1</v>
      </c>
      <c r="AA271" s="3">
        <v>19410.240000000002</v>
      </c>
      <c r="AB271" s="3">
        <v>19410.240000000002</v>
      </c>
      <c r="AC271" s="1" t="str">
        <f>VLOOKUP(A271,[1]Detalle!$D$2:$CW$484,98,FALSE)</f>
        <v>Unilever - Unilever de Arg. S.A.</v>
      </c>
    </row>
    <row r="272" spans="1:29" ht="14.25" customHeight="1" x14ac:dyDescent="0.3">
      <c r="A272" s="1" t="s">
        <v>108</v>
      </c>
      <c r="B272" s="1">
        <v>712</v>
      </c>
      <c r="C272" s="1" t="s">
        <v>343</v>
      </c>
      <c r="D272" s="1" t="s">
        <v>343</v>
      </c>
      <c r="E272" s="1">
        <v>0.5</v>
      </c>
      <c r="F272" s="1" t="s">
        <v>344</v>
      </c>
      <c r="G272" s="6">
        <v>45798</v>
      </c>
      <c r="H272" s="1">
        <v>32992.1</v>
      </c>
      <c r="I272" s="1">
        <v>52992.1</v>
      </c>
      <c r="J272" s="1">
        <v>9749.2999999999993</v>
      </c>
      <c r="K272" s="1">
        <v>10250.700000000001</v>
      </c>
      <c r="L272" s="1">
        <v>42741.399999999987</v>
      </c>
      <c r="M272" s="1">
        <v>149</v>
      </c>
      <c r="N272" s="1">
        <v>52.850396039603943</v>
      </c>
      <c r="O272" s="1">
        <v>156.6629706748177</v>
      </c>
      <c r="P272" s="7">
        <v>45947</v>
      </c>
      <c r="Q272" s="1">
        <v>20000</v>
      </c>
      <c r="R272" s="7">
        <v>46103.662970671299</v>
      </c>
      <c r="S272" s="7">
        <v>46103</v>
      </c>
      <c r="T272" s="7" t="str">
        <f t="shared" si="0"/>
        <v>marzo</v>
      </c>
      <c r="U272" s="1" t="s">
        <v>330</v>
      </c>
      <c r="X272" s="1" t="s">
        <v>345</v>
      </c>
      <c r="Y272" s="1" t="s">
        <v>346</v>
      </c>
      <c r="Z272" s="1">
        <v>1</v>
      </c>
      <c r="AA272" s="3">
        <v>10535.04</v>
      </c>
      <c r="AB272" s="3">
        <v>10535.04</v>
      </c>
      <c r="AC272" s="1" t="str">
        <f>VLOOKUP(A272,[1]Detalle!$D$2:$CW$484,98,FALSE)</f>
        <v>JOHNSON - SC JOHNSON DE ARGENTINA SAIC</v>
      </c>
    </row>
    <row r="273" spans="1:29" ht="14.25" customHeight="1" x14ac:dyDescent="0.3">
      <c r="A273" s="1" t="s">
        <v>108</v>
      </c>
      <c r="B273" s="1">
        <v>712</v>
      </c>
      <c r="C273" s="1" t="s">
        <v>343</v>
      </c>
      <c r="D273" s="1" t="s">
        <v>343</v>
      </c>
      <c r="E273" s="1">
        <v>0.5</v>
      </c>
      <c r="F273" s="1" t="s">
        <v>344</v>
      </c>
      <c r="G273" s="6">
        <v>45798</v>
      </c>
      <c r="H273" s="1">
        <v>32992.1</v>
      </c>
      <c r="I273" s="1">
        <v>52992.1</v>
      </c>
      <c r="J273" s="1">
        <v>9749.2999999999993</v>
      </c>
      <c r="K273" s="1">
        <v>10250.700000000001</v>
      </c>
      <c r="L273" s="1">
        <v>42741.399999999987</v>
      </c>
      <c r="M273" s="1">
        <v>149</v>
      </c>
      <c r="N273" s="1">
        <v>52.850396039603943</v>
      </c>
      <c r="O273" s="1">
        <v>156.6629706748177</v>
      </c>
      <c r="P273" s="7">
        <v>45947</v>
      </c>
      <c r="Q273" s="1">
        <v>20000</v>
      </c>
      <c r="R273" s="7">
        <v>46103.662970671299</v>
      </c>
      <c r="S273" s="7">
        <v>46103</v>
      </c>
      <c r="T273" s="7" t="str">
        <f t="shared" si="0"/>
        <v>marzo</v>
      </c>
      <c r="U273" s="1" t="s">
        <v>330</v>
      </c>
      <c r="X273" s="1" t="s">
        <v>347</v>
      </c>
      <c r="Y273" s="1" t="s">
        <v>348</v>
      </c>
      <c r="Z273" s="1">
        <v>1</v>
      </c>
      <c r="AA273" s="3">
        <v>19410.240000000002</v>
      </c>
      <c r="AB273" s="3">
        <v>19410.240000000002</v>
      </c>
      <c r="AC273" s="1" t="str">
        <f>VLOOKUP(A273,[1]Detalle!$D$2:$CW$484,98,FALSE)</f>
        <v>JOHNSON - SC JOHNSON DE ARGENTINA SAIC</v>
      </c>
    </row>
    <row r="274" spans="1:29" ht="14.25" customHeight="1" x14ac:dyDescent="0.3">
      <c r="A274" s="1" t="s">
        <v>257</v>
      </c>
      <c r="B274" s="1" t="s">
        <v>341</v>
      </c>
      <c r="C274" s="1" t="s">
        <v>343</v>
      </c>
      <c r="D274" s="1" t="s">
        <v>343</v>
      </c>
      <c r="E274" s="1">
        <v>0.5</v>
      </c>
      <c r="F274" s="1" t="s">
        <v>344</v>
      </c>
      <c r="G274" s="6">
        <v>45929</v>
      </c>
      <c r="H274" s="1">
        <v>241798</v>
      </c>
      <c r="I274" s="1">
        <v>261798</v>
      </c>
      <c r="J274" s="1">
        <v>0</v>
      </c>
      <c r="K274" s="1">
        <v>20000</v>
      </c>
      <c r="L274" s="1">
        <v>241798</v>
      </c>
      <c r="M274" s="1">
        <v>18</v>
      </c>
      <c r="N274" s="1">
        <v>32.336013071895437</v>
      </c>
      <c r="O274" s="1">
        <v>200</v>
      </c>
      <c r="P274" s="7">
        <v>45947</v>
      </c>
      <c r="Q274" s="1">
        <v>20000</v>
      </c>
      <c r="R274" s="7">
        <v>46147</v>
      </c>
      <c r="S274" s="7">
        <v>46147</v>
      </c>
      <c r="T274" s="7" t="str">
        <f t="shared" si="0"/>
        <v>mayo</v>
      </c>
      <c r="U274" s="1" t="s">
        <v>330</v>
      </c>
      <c r="X274" s="1" t="s">
        <v>345</v>
      </c>
      <c r="Y274" s="1" t="s">
        <v>346</v>
      </c>
      <c r="Z274" s="1">
        <v>1</v>
      </c>
      <c r="AA274" s="3">
        <v>10535.04</v>
      </c>
      <c r="AB274" s="3">
        <v>10535.04</v>
      </c>
      <c r="AC274" s="1" t="str">
        <f>VLOOKUP(A274,[1]Detalle!$D$2:$CW$484,98,FALSE)</f>
        <v>CMQ_TTE - QUILMES TTE</v>
      </c>
    </row>
    <row r="275" spans="1:29" ht="14.25" customHeight="1" x14ac:dyDescent="0.3">
      <c r="A275" s="1" t="s">
        <v>257</v>
      </c>
      <c r="B275" s="1" t="s">
        <v>341</v>
      </c>
      <c r="C275" s="1" t="s">
        <v>343</v>
      </c>
      <c r="D275" s="1" t="s">
        <v>343</v>
      </c>
      <c r="E275" s="1">
        <v>0.5</v>
      </c>
      <c r="F275" s="1" t="s">
        <v>344</v>
      </c>
      <c r="G275" s="6">
        <v>45929</v>
      </c>
      <c r="H275" s="1">
        <v>241798</v>
      </c>
      <c r="I275" s="1">
        <v>261798</v>
      </c>
      <c r="J275" s="1">
        <v>0</v>
      </c>
      <c r="K275" s="1">
        <v>20000</v>
      </c>
      <c r="L275" s="1">
        <v>241798</v>
      </c>
      <c r="M275" s="1">
        <v>18</v>
      </c>
      <c r="N275" s="1">
        <v>32.336013071895437</v>
      </c>
      <c r="O275" s="1">
        <v>200</v>
      </c>
      <c r="P275" s="7">
        <v>45947</v>
      </c>
      <c r="Q275" s="1">
        <v>20000</v>
      </c>
      <c r="R275" s="7">
        <v>46147</v>
      </c>
      <c r="S275" s="7">
        <v>46147</v>
      </c>
      <c r="T275" s="7" t="str">
        <f t="shared" si="0"/>
        <v>mayo</v>
      </c>
      <c r="U275" s="1" t="s">
        <v>330</v>
      </c>
      <c r="X275" s="1" t="s">
        <v>347</v>
      </c>
      <c r="Y275" s="1" t="s">
        <v>348</v>
      </c>
      <c r="Z275" s="1">
        <v>1</v>
      </c>
      <c r="AA275" s="3">
        <v>19410.240000000002</v>
      </c>
      <c r="AB275" s="3">
        <v>19410.240000000002</v>
      </c>
      <c r="AC275" s="1" t="str">
        <f>VLOOKUP(A275,[1]Detalle!$D$2:$CW$484,98,FALSE)</f>
        <v>CMQ_TTE - QUILMES TTE</v>
      </c>
    </row>
    <row r="276" spans="1:29" ht="14.25" customHeight="1" x14ac:dyDescent="0.3">
      <c r="A276" s="1" t="s">
        <v>264</v>
      </c>
      <c r="B276" s="1" t="s">
        <v>341</v>
      </c>
      <c r="C276" s="1" t="s">
        <v>343</v>
      </c>
      <c r="D276" s="1" t="s">
        <v>343</v>
      </c>
      <c r="E276" s="1">
        <v>0.5</v>
      </c>
      <c r="F276" s="1" t="s">
        <v>344</v>
      </c>
      <c r="G276" s="6">
        <v>45609</v>
      </c>
      <c r="H276" s="1">
        <v>129732</v>
      </c>
      <c r="I276" s="1">
        <v>149732</v>
      </c>
      <c r="J276" s="1">
        <v>10886.77</v>
      </c>
      <c r="K276" s="1">
        <v>9113.23</v>
      </c>
      <c r="L276" s="1">
        <v>140618.76999999999</v>
      </c>
      <c r="M276" s="1">
        <v>338</v>
      </c>
      <c r="N276" s="1">
        <v>28.6525</v>
      </c>
      <c r="O276" s="1">
        <v>282.93715583226242</v>
      </c>
      <c r="P276" s="7">
        <v>45947</v>
      </c>
      <c r="Q276" s="1">
        <v>20000</v>
      </c>
      <c r="R276" s="7">
        <v>46229.937155833337</v>
      </c>
      <c r="S276" s="7">
        <v>46229</v>
      </c>
      <c r="T276" s="7" t="str">
        <f t="shared" si="0"/>
        <v>julio</v>
      </c>
      <c r="U276" s="1" t="s">
        <v>330</v>
      </c>
      <c r="X276" s="1" t="s">
        <v>345</v>
      </c>
      <c r="Y276" s="1" t="s">
        <v>346</v>
      </c>
      <c r="Z276" s="1">
        <v>1</v>
      </c>
      <c r="AA276" s="3">
        <v>10535.04</v>
      </c>
      <c r="AB276" s="3">
        <v>10535.04</v>
      </c>
      <c r="AC276" s="1" t="str">
        <f>VLOOKUP(A276,[1]Detalle!$D$2:$CW$484,98,FALSE)</f>
        <v>CMQ_TTE - QUILMES TTE</v>
      </c>
    </row>
    <row r="277" spans="1:29" ht="14.25" customHeight="1" x14ac:dyDescent="0.3">
      <c r="A277" s="1" t="s">
        <v>264</v>
      </c>
      <c r="B277" s="1" t="s">
        <v>341</v>
      </c>
      <c r="C277" s="1" t="s">
        <v>343</v>
      </c>
      <c r="D277" s="1" t="s">
        <v>343</v>
      </c>
      <c r="E277" s="1">
        <v>0.5</v>
      </c>
      <c r="F277" s="1" t="s">
        <v>344</v>
      </c>
      <c r="G277" s="6">
        <v>45609</v>
      </c>
      <c r="H277" s="1">
        <v>129732</v>
      </c>
      <c r="I277" s="1">
        <v>149732</v>
      </c>
      <c r="J277" s="1">
        <v>10886.77</v>
      </c>
      <c r="K277" s="1">
        <v>9113.23</v>
      </c>
      <c r="L277" s="1">
        <v>140618.76999999999</v>
      </c>
      <c r="M277" s="1">
        <v>338</v>
      </c>
      <c r="N277" s="1">
        <v>28.6525</v>
      </c>
      <c r="O277" s="1">
        <v>282.93715583226242</v>
      </c>
      <c r="P277" s="7">
        <v>45947</v>
      </c>
      <c r="Q277" s="1">
        <v>20000</v>
      </c>
      <c r="R277" s="7">
        <v>46229.937155833337</v>
      </c>
      <c r="S277" s="7">
        <v>46229</v>
      </c>
      <c r="T277" s="7" t="str">
        <f t="shared" si="0"/>
        <v>julio</v>
      </c>
      <c r="U277" s="1" t="s">
        <v>330</v>
      </c>
      <c r="X277" s="1" t="s">
        <v>347</v>
      </c>
      <c r="Y277" s="1" t="s">
        <v>348</v>
      </c>
      <c r="Z277" s="1">
        <v>1</v>
      </c>
      <c r="AA277" s="3">
        <v>19410.240000000002</v>
      </c>
      <c r="AB277" s="3">
        <v>19410.240000000002</v>
      </c>
      <c r="AC277" s="1" t="str">
        <f>VLOOKUP(A277,[1]Detalle!$D$2:$CW$484,98,FALSE)</f>
        <v>CMQ_TTE - QUILMES TTE</v>
      </c>
    </row>
    <row r="278" spans="1:29" ht="14.25" customHeight="1" x14ac:dyDescent="0.3">
      <c r="A278" s="1" t="s">
        <v>217</v>
      </c>
      <c r="B278" s="1" t="s">
        <v>341</v>
      </c>
      <c r="C278" s="1" t="s">
        <v>343</v>
      </c>
      <c r="D278" s="1" t="s">
        <v>343</v>
      </c>
      <c r="E278" s="1">
        <v>0.5</v>
      </c>
      <c r="F278" s="1" t="s">
        <v>344</v>
      </c>
      <c r="G278" s="6">
        <v>45863</v>
      </c>
      <c r="H278" s="1">
        <v>474074</v>
      </c>
      <c r="I278" s="1">
        <v>494074</v>
      </c>
      <c r="J278" s="1">
        <v>5983.7999999999993</v>
      </c>
      <c r="K278" s="1">
        <v>14016.2</v>
      </c>
      <c r="L278" s="1">
        <v>480057.8</v>
      </c>
      <c r="M278" s="1">
        <v>84</v>
      </c>
      <c r="N278" s="1">
        <v>63.859032258064524</v>
      </c>
      <c r="O278" s="1">
        <v>196.7580467261607</v>
      </c>
      <c r="P278" s="7">
        <v>45947</v>
      </c>
      <c r="Q278" s="1">
        <v>20000</v>
      </c>
      <c r="R278" s="7">
        <v>46143.758046724543</v>
      </c>
      <c r="S278" s="7">
        <v>46143</v>
      </c>
      <c r="T278" s="7" t="str">
        <f t="shared" si="0"/>
        <v>mayo</v>
      </c>
      <c r="U278" s="1" t="s">
        <v>330</v>
      </c>
      <c r="X278" s="1" t="s">
        <v>345</v>
      </c>
      <c r="Y278" s="1" t="s">
        <v>346</v>
      </c>
      <c r="Z278" s="1">
        <v>1</v>
      </c>
      <c r="AA278" s="3">
        <v>10535.04</v>
      </c>
      <c r="AB278" s="3">
        <v>10535.04</v>
      </c>
      <c r="AC278" s="1" t="str">
        <f>VLOOKUP(A278,[1]Detalle!$D$2:$CW$484,98,FALSE)</f>
        <v>Papelera - Papelera del Plata S.A.</v>
      </c>
    </row>
    <row r="279" spans="1:29" ht="14.25" customHeight="1" x14ac:dyDescent="0.3">
      <c r="A279" s="1" t="s">
        <v>217</v>
      </c>
      <c r="B279" s="1" t="s">
        <v>341</v>
      </c>
      <c r="C279" s="1" t="s">
        <v>343</v>
      </c>
      <c r="D279" s="1" t="s">
        <v>343</v>
      </c>
      <c r="E279" s="1">
        <v>0.5</v>
      </c>
      <c r="F279" s="1" t="s">
        <v>344</v>
      </c>
      <c r="G279" s="6">
        <v>45863</v>
      </c>
      <c r="H279" s="1">
        <v>474074</v>
      </c>
      <c r="I279" s="1">
        <v>494074</v>
      </c>
      <c r="J279" s="1">
        <v>5983.7999999999993</v>
      </c>
      <c r="K279" s="1">
        <v>14016.2</v>
      </c>
      <c r="L279" s="1">
        <v>480057.8</v>
      </c>
      <c r="M279" s="1">
        <v>84</v>
      </c>
      <c r="N279" s="1">
        <v>63.859032258064524</v>
      </c>
      <c r="O279" s="1">
        <v>196.7580467261607</v>
      </c>
      <c r="P279" s="7">
        <v>45947</v>
      </c>
      <c r="Q279" s="1">
        <v>20000</v>
      </c>
      <c r="R279" s="7">
        <v>46143.758046724543</v>
      </c>
      <c r="S279" s="7">
        <v>46143</v>
      </c>
      <c r="T279" s="7" t="str">
        <f t="shared" si="0"/>
        <v>mayo</v>
      </c>
      <c r="U279" s="1" t="s">
        <v>330</v>
      </c>
      <c r="X279" s="1" t="s">
        <v>347</v>
      </c>
      <c r="Y279" s="1" t="s">
        <v>348</v>
      </c>
      <c r="Z279" s="1">
        <v>1</v>
      </c>
      <c r="AA279" s="3">
        <v>19410.240000000002</v>
      </c>
      <c r="AB279" s="3">
        <v>19410.240000000002</v>
      </c>
      <c r="AC279" s="1" t="str">
        <f>VLOOKUP(A279,[1]Detalle!$D$2:$CW$484,98,FALSE)</f>
        <v>Papelera - Papelera del Plata S.A.</v>
      </c>
    </row>
    <row r="280" spans="1:29" ht="14.25" customHeight="1" x14ac:dyDescent="0.3">
      <c r="A280" s="1" t="s">
        <v>78</v>
      </c>
      <c r="B280" s="1" t="s">
        <v>352</v>
      </c>
      <c r="C280" s="1" t="s">
        <v>343</v>
      </c>
      <c r="D280" s="1" t="s">
        <v>343</v>
      </c>
      <c r="E280" s="1">
        <v>0.5</v>
      </c>
      <c r="F280" s="1" t="s">
        <v>344</v>
      </c>
      <c r="G280" s="6">
        <v>45854</v>
      </c>
      <c r="H280" s="1">
        <v>41395.599999999999</v>
      </c>
      <c r="I280" s="1">
        <v>61395.6</v>
      </c>
      <c r="J280" s="1">
        <v>3758.2999999999979</v>
      </c>
      <c r="K280" s="1">
        <v>16241.7</v>
      </c>
      <c r="L280" s="1">
        <v>45153.899999999987</v>
      </c>
      <c r="M280" s="1">
        <v>93</v>
      </c>
      <c r="N280" s="1">
        <v>36.164383116883137</v>
      </c>
      <c r="O280" s="1">
        <v>401.90461112737171</v>
      </c>
      <c r="P280" s="7">
        <v>45947</v>
      </c>
      <c r="Q280" s="1">
        <v>20000</v>
      </c>
      <c r="R280" s="7">
        <v>46348.904611122693</v>
      </c>
      <c r="S280" s="7">
        <v>46348</v>
      </c>
      <c r="T280" s="7" t="str">
        <f t="shared" si="0"/>
        <v>noviembre</v>
      </c>
      <c r="U280" s="1" t="s">
        <v>330</v>
      </c>
      <c r="X280" s="1" t="s">
        <v>345</v>
      </c>
      <c r="Y280" s="1" t="s">
        <v>346</v>
      </c>
      <c r="Z280" s="1">
        <v>1</v>
      </c>
      <c r="AA280" s="3">
        <v>10535.04</v>
      </c>
      <c r="AB280" s="3">
        <v>10535.04</v>
      </c>
      <c r="AC280" s="1" t="str">
        <f>VLOOKUP(A280,[1]Detalle!$D$2:$CW$484,98,FALSE)</f>
        <v>CCU_MZA - Comp. Cerv. Unidas - MZA</v>
      </c>
    </row>
    <row r="281" spans="1:29" ht="14.25" customHeight="1" x14ac:dyDescent="0.3">
      <c r="A281" s="1" t="s">
        <v>78</v>
      </c>
      <c r="B281" s="1" t="s">
        <v>352</v>
      </c>
      <c r="C281" s="1" t="s">
        <v>343</v>
      </c>
      <c r="D281" s="1" t="s">
        <v>343</v>
      </c>
      <c r="E281" s="1">
        <v>0.5</v>
      </c>
      <c r="F281" s="1" t="s">
        <v>344</v>
      </c>
      <c r="G281" s="6">
        <v>45854</v>
      </c>
      <c r="H281" s="1">
        <v>41395.599999999999</v>
      </c>
      <c r="I281" s="1">
        <v>61395.6</v>
      </c>
      <c r="J281" s="1">
        <v>3758.2999999999979</v>
      </c>
      <c r="K281" s="1">
        <v>16241.7</v>
      </c>
      <c r="L281" s="1">
        <v>45153.899999999987</v>
      </c>
      <c r="M281" s="1">
        <v>93</v>
      </c>
      <c r="N281" s="1">
        <v>36.164383116883137</v>
      </c>
      <c r="O281" s="1">
        <v>401.90461112737171</v>
      </c>
      <c r="P281" s="7">
        <v>45947</v>
      </c>
      <c r="Q281" s="1">
        <v>20000</v>
      </c>
      <c r="R281" s="7">
        <v>46348.904611122693</v>
      </c>
      <c r="S281" s="7">
        <v>46348</v>
      </c>
      <c r="T281" s="7" t="str">
        <f t="shared" si="0"/>
        <v>noviembre</v>
      </c>
      <c r="U281" s="1" t="s">
        <v>330</v>
      </c>
      <c r="X281" s="1" t="s">
        <v>347</v>
      </c>
      <c r="Y281" s="1" t="s">
        <v>348</v>
      </c>
      <c r="Z281" s="1">
        <v>1</v>
      </c>
      <c r="AA281" s="3">
        <v>19410.240000000002</v>
      </c>
      <c r="AB281" s="3">
        <v>19410.240000000002</v>
      </c>
      <c r="AC281" s="1" t="str">
        <f>VLOOKUP(A281,[1]Detalle!$D$2:$CW$484,98,FALSE)</f>
        <v>CCU_MZA - Comp. Cerv. Unidas - MZA</v>
      </c>
    </row>
    <row r="282" spans="1:29" ht="14.25" customHeight="1" x14ac:dyDescent="0.3">
      <c r="A282" s="1" t="s">
        <v>82</v>
      </c>
      <c r="B282" s="1" t="s">
        <v>338</v>
      </c>
      <c r="C282" s="1" t="s">
        <v>343</v>
      </c>
      <c r="D282" s="1" t="s">
        <v>343</v>
      </c>
      <c r="E282" s="1">
        <v>0.5</v>
      </c>
      <c r="F282" s="1" t="s">
        <v>344</v>
      </c>
      <c r="G282" s="6">
        <v>45822</v>
      </c>
      <c r="H282" s="1">
        <v>71797</v>
      </c>
      <c r="I282" s="1">
        <v>91797</v>
      </c>
      <c r="J282" s="1">
        <v>0</v>
      </c>
      <c r="K282" s="1">
        <v>20000</v>
      </c>
      <c r="L282" s="1">
        <v>71797</v>
      </c>
      <c r="M282" s="1">
        <v>125</v>
      </c>
      <c r="N282" s="1">
        <v>4.7505769230769239</v>
      </c>
      <c r="O282" s="1">
        <v>200</v>
      </c>
      <c r="P282" s="7">
        <v>45947</v>
      </c>
      <c r="Q282" s="1">
        <v>20000</v>
      </c>
      <c r="R282" s="7">
        <v>46147</v>
      </c>
      <c r="S282" s="7">
        <v>46147</v>
      </c>
      <c r="T282" s="7" t="str">
        <f t="shared" si="0"/>
        <v>mayo</v>
      </c>
      <c r="U282" s="1" t="s">
        <v>330</v>
      </c>
      <c r="X282" s="1" t="s">
        <v>345</v>
      </c>
      <c r="Y282" s="1" t="s">
        <v>346</v>
      </c>
      <c r="Z282" s="1">
        <v>1</v>
      </c>
      <c r="AA282" s="3">
        <v>10535.04</v>
      </c>
      <c r="AB282" s="3">
        <v>10535.04</v>
      </c>
      <c r="AC282" s="1" t="str">
        <f>VLOOKUP(A282,[1]Detalle!$D$2:$CW$484,98,FALSE)</f>
        <v>CENCO_MZ - Cencosud SA - Mendoza</v>
      </c>
    </row>
    <row r="283" spans="1:29" ht="14.25" customHeight="1" x14ac:dyDescent="0.3">
      <c r="A283" s="1" t="s">
        <v>82</v>
      </c>
      <c r="B283" s="1" t="s">
        <v>338</v>
      </c>
      <c r="C283" s="1" t="s">
        <v>343</v>
      </c>
      <c r="D283" s="1" t="s">
        <v>343</v>
      </c>
      <c r="E283" s="1">
        <v>0.5</v>
      </c>
      <c r="F283" s="1" t="s">
        <v>344</v>
      </c>
      <c r="G283" s="6">
        <v>45822</v>
      </c>
      <c r="H283" s="1">
        <v>71797</v>
      </c>
      <c r="I283" s="1">
        <v>91797</v>
      </c>
      <c r="J283" s="1">
        <v>0</v>
      </c>
      <c r="K283" s="1">
        <v>20000</v>
      </c>
      <c r="L283" s="1">
        <v>71797</v>
      </c>
      <c r="M283" s="1">
        <v>125</v>
      </c>
      <c r="N283" s="1">
        <v>4.7505769230769239</v>
      </c>
      <c r="O283" s="1">
        <v>200</v>
      </c>
      <c r="P283" s="7">
        <v>45947</v>
      </c>
      <c r="Q283" s="1">
        <v>20000</v>
      </c>
      <c r="R283" s="7">
        <v>46147</v>
      </c>
      <c r="S283" s="7">
        <v>46147</v>
      </c>
      <c r="T283" s="7" t="str">
        <f t="shared" si="0"/>
        <v>mayo</v>
      </c>
      <c r="U283" s="1" t="s">
        <v>330</v>
      </c>
      <c r="X283" s="1" t="s">
        <v>347</v>
      </c>
      <c r="Y283" s="1" t="s">
        <v>348</v>
      </c>
      <c r="Z283" s="1">
        <v>1</v>
      </c>
      <c r="AA283" s="3">
        <v>19410.240000000002</v>
      </c>
      <c r="AB283" s="3">
        <v>19410.240000000002</v>
      </c>
      <c r="AC283" s="1" t="str">
        <f>VLOOKUP(A283,[1]Detalle!$D$2:$CW$484,98,FALSE)</f>
        <v>CENCO_MZ - Cencosud SA - Mendoza</v>
      </c>
    </row>
    <row r="284" spans="1:29" ht="14.25" customHeight="1" x14ac:dyDescent="0.3">
      <c r="A284" s="1" t="s">
        <v>127</v>
      </c>
      <c r="B284" s="1">
        <v>1620</v>
      </c>
      <c r="C284" s="1" t="s">
        <v>343</v>
      </c>
      <c r="D284" s="1" t="s">
        <v>343</v>
      </c>
      <c r="E284" s="1">
        <v>0.5</v>
      </c>
      <c r="F284" s="1" t="s">
        <v>344</v>
      </c>
      <c r="G284" s="6">
        <v>45449</v>
      </c>
      <c r="H284" s="1">
        <v>384179.04200000002</v>
      </c>
      <c r="I284" s="1">
        <v>404179.04200000002</v>
      </c>
      <c r="J284" s="1">
        <v>14668.800000000019</v>
      </c>
      <c r="K284" s="1">
        <v>5331.1999999999834</v>
      </c>
      <c r="L284" s="1">
        <v>398847.84200000012</v>
      </c>
      <c r="M284" s="1">
        <v>498</v>
      </c>
      <c r="N284" s="1">
        <v>60</v>
      </c>
      <c r="O284" s="1">
        <v>180.99214659685779</v>
      </c>
      <c r="P284" s="7">
        <v>45947</v>
      </c>
      <c r="Q284" s="1">
        <v>20000</v>
      </c>
      <c r="R284" s="7">
        <v>46280.333333333343</v>
      </c>
      <c r="S284" s="7">
        <v>46280</v>
      </c>
      <c r="T284" s="7" t="str">
        <f t="shared" si="0"/>
        <v>septiembre</v>
      </c>
      <c r="U284" s="1" t="s">
        <v>330</v>
      </c>
      <c r="X284" s="1" t="s">
        <v>345</v>
      </c>
      <c r="Y284" s="1" t="s">
        <v>346</v>
      </c>
      <c r="Z284" s="1">
        <v>1</v>
      </c>
      <c r="AA284" s="3">
        <v>10535.04</v>
      </c>
      <c r="AB284" s="3">
        <v>10535.04</v>
      </c>
      <c r="AC284" s="1" t="str">
        <f>VLOOKUP(A284,[1]Detalle!$D$2:$CW$484,98,FALSE)</f>
        <v>Sin Operación</v>
      </c>
    </row>
    <row r="285" spans="1:29" ht="14.25" customHeight="1" x14ac:dyDescent="0.3">
      <c r="A285" s="1" t="s">
        <v>127</v>
      </c>
      <c r="B285" s="1">
        <v>1620</v>
      </c>
      <c r="C285" s="1" t="s">
        <v>343</v>
      </c>
      <c r="D285" s="1" t="s">
        <v>343</v>
      </c>
      <c r="E285" s="1">
        <v>0.5</v>
      </c>
      <c r="F285" s="1" t="s">
        <v>344</v>
      </c>
      <c r="G285" s="6">
        <v>45449</v>
      </c>
      <c r="H285" s="1">
        <v>384179.04200000002</v>
      </c>
      <c r="I285" s="1">
        <v>404179.04200000002</v>
      </c>
      <c r="J285" s="1">
        <v>14668.800000000019</v>
      </c>
      <c r="K285" s="1">
        <v>5331.1999999999834</v>
      </c>
      <c r="L285" s="1">
        <v>398847.84200000012</v>
      </c>
      <c r="M285" s="1">
        <v>498</v>
      </c>
      <c r="N285" s="1">
        <v>60</v>
      </c>
      <c r="O285" s="1">
        <v>180.99214659685779</v>
      </c>
      <c r="P285" s="7">
        <v>45947</v>
      </c>
      <c r="Q285" s="1">
        <v>20000</v>
      </c>
      <c r="R285" s="7">
        <v>46280.333333333343</v>
      </c>
      <c r="S285" s="7">
        <v>46280</v>
      </c>
      <c r="T285" s="7" t="str">
        <f t="shared" si="0"/>
        <v>septiembre</v>
      </c>
      <c r="U285" s="1" t="s">
        <v>330</v>
      </c>
      <c r="X285" s="1" t="s">
        <v>347</v>
      </c>
      <c r="Y285" s="1" t="s">
        <v>348</v>
      </c>
      <c r="Z285" s="1">
        <v>1</v>
      </c>
      <c r="AA285" s="3">
        <v>19410.240000000002</v>
      </c>
      <c r="AB285" s="3">
        <v>19410.240000000002</v>
      </c>
      <c r="AC285" s="1" t="str">
        <f>VLOOKUP(A285,[1]Detalle!$D$2:$CW$484,98,FALSE)</f>
        <v>Sin Operación</v>
      </c>
    </row>
    <row r="286" spans="1:29" ht="14.25" customHeight="1" x14ac:dyDescent="0.3">
      <c r="A286" s="1" t="s">
        <v>20</v>
      </c>
      <c r="B286" s="1" t="s">
        <v>354</v>
      </c>
      <c r="C286" s="1" t="s">
        <v>355</v>
      </c>
      <c r="D286" s="1" t="s">
        <v>355</v>
      </c>
      <c r="E286" s="1">
        <v>0.75</v>
      </c>
      <c r="F286" s="1" t="s">
        <v>329</v>
      </c>
      <c r="G286" s="6">
        <v>45923</v>
      </c>
      <c r="H286" s="1">
        <v>139096</v>
      </c>
      <c r="I286" s="1">
        <v>149096</v>
      </c>
      <c r="J286" s="1">
        <v>601.90000000000009</v>
      </c>
      <c r="K286" s="1">
        <v>9398.1</v>
      </c>
      <c r="L286" s="1">
        <v>139697.9</v>
      </c>
      <c r="M286" s="1">
        <v>24</v>
      </c>
      <c r="N286" s="1">
        <v>99.244569288389528</v>
      </c>
      <c r="O286" s="1">
        <v>374.7373317826881</v>
      </c>
      <c r="P286" s="7">
        <v>45947</v>
      </c>
      <c r="Q286" s="1">
        <v>10000</v>
      </c>
      <c r="R286" s="7">
        <v>46321.737331782409</v>
      </c>
      <c r="S286" s="7">
        <v>46321</v>
      </c>
      <c r="T286" s="7" t="str">
        <f t="shared" si="0"/>
        <v>octubre</v>
      </c>
      <c r="U286" s="1" t="s">
        <v>330</v>
      </c>
      <c r="X286" s="1" t="s">
        <v>356</v>
      </c>
      <c r="Y286" s="1" t="s">
        <v>357</v>
      </c>
      <c r="Z286" s="1">
        <v>1</v>
      </c>
      <c r="AA286" s="3">
        <v>11782.62</v>
      </c>
      <c r="AB286" s="3">
        <v>11782.62</v>
      </c>
      <c r="AC286" s="1" t="str">
        <f>VLOOKUP(A286,[1]Detalle!$D$2:$CW$484,98,FALSE)</f>
        <v>SUC_MEN - Sucursal Mendoza</v>
      </c>
    </row>
    <row r="287" spans="1:29" ht="14.25" customHeight="1" x14ac:dyDescent="0.3">
      <c r="A287" s="1" t="s">
        <v>20</v>
      </c>
      <c r="B287" s="1" t="s">
        <v>354</v>
      </c>
      <c r="C287" s="1" t="s">
        <v>358</v>
      </c>
      <c r="D287" s="1" t="s">
        <v>358</v>
      </c>
      <c r="E287" s="1">
        <v>0.5</v>
      </c>
      <c r="F287" s="1" t="s">
        <v>359</v>
      </c>
      <c r="G287" s="6">
        <v>45923</v>
      </c>
      <c r="H287" s="1">
        <v>139096</v>
      </c>
      <c r="I287" s="1">
        <v>149096</v>
      </c>
      <c r="J287" s="1">
        <v>601.90000000000009</v>
      </c>
      <c r="K287" s="1">
        <v>9398.1</v>
      </c>
      <c r="L287" s="1">
        <v>139697.9</v>
      </c>
      <c r="M287" s="1">
        <v>24</v>
      </c>
      <c r="N287" s="1">
        <v>99.244569288389528</v>
      </c>
      <c r="O287" s="1">
        <v>374.7373317826881</v>
      </c>
      <c r="P287" s="7">
        <v>45947</v>
      </c>
      <c r="Q287" s="1">
        <v>10000</v>
      </c>
      <c r="R287" s="7">
        <v>46321.737331782409</v>
      </c>
      <c r="S287" s="7">
        <v>46321</v>
      </c>
      <c r="T287" s="7" t="str">
        <f t="shared" si="0"/>
        <v>octubre</v>
      </c>
      <c r="U287" s="1" t="s">
        <v>330</v>
      </c>
      <c r="X287" s="1" t="s">
        <v>360</v>
      </c>
      <c r="Y287" s="1" t="s">
        <v>361</v>
      </c>
      <c r="Z287" s="1">
        <v>1</v>
      </c>
      <c r="AA287" s="3">
        <v>20353.939999999999</v>
      </c>
      <c r="AB287" s="3">
        <v>20353.939999999999</v>
      </c>
      <c r="AC287" s="1" t="str">
        <f>VLOOKUP(A287,[1]Detalle!$D$2:$CW$484,98,FALSE)</f>
        <v>SUC_MEN - Sucursal Mendoza</v>
      </c>
    </row>
    <row r="288" spans="1:29" ht="14.25" customHeight="1" x14ac:dyDescent="0.3">
      <c r="A288" s="1" t="s">
        <v>37</v>
      </c>
      <c r="B288" s="1" t="s">
        <v>362</v>
      </c>
      <c r="C288" s="1" t="s">
        <v>355</v>
      </c>
      <c r="D288" s="1" t="s">
        <v>355</v>
      </c>
      <c r="E288" s="1">
        <v>0.75</v>
      </c>
      <c r="F288" s="1" t="s">
        <v>329</v>
      </c>
      <c r="G288" s="6">
        <v>45859</v>
      </c>
      <c r="H288" s="1">
        <v>24642.400000000001</v>
      </c>
      <c r="I288" s="1">
        <v>34642.400000000001</v>
      </c>
      <c r="J288" s="1">
        <v>5862.9999999999991</v>
      </c>
      <c r="K288" s="1">
        <v>4137.0000000000009</v>
      </c>
      <c r="L288" s="1">
        <v>30505.4</v>
      </c>
      <c r="M288" s="1">
        <v>88</v>
      </c>
      <c r="N288" s="1">
        <v>74.610410447761154</v>
      </c>
      <c r="O288" s="1">
        <v>62.093808630394022</v>
      </c>
      <c r="P288" s="7">
        <v>45947</v>
      </c>
      <c r="Q288" s="1">
        <v>10000</v>
      </c>
      <c r="R288" s="7">
        <v>46143.123362141203</v>
      </c>
      <c r="S288" s="7">
        <v>46143</v>
      </c>
      <c r="T288" s="7" t="str">
        <f t="shared" si="0"/>
        <v>mayo</v>
      </c>
      <c r="U288" s="1" t="s">
        <v>330</v>
      </c>
      <c r="X288" s="1" t="s">
        <v>363</v>
      </c>
      <c r="Y288" s="1" t="s">
        <v>364</v>
      </c>
      <c r="Z288" s="1">
        <v>1</v>
      </c>
      <c r="AA288" s="3">
        <v>12001.14</v>
      </c>
      <c r="AB288" s="3">
        <v>12001.14</v>
      </c>
      <c r="AC288" s="1" t="str">
        <f>VLOOKUP(A288,[1]Detalle!$D$2:$CW$484,98,FALSE)</f>
        <v>SUC_ROS - Sucursal Rosario</v>
      </c>
    </row>
    <row r="289" spans="1:29" ht="14.25" customHeight="1" x14ac:dyDescent="0.3">
      <c r="A289" s="1" t="s">
        <v>38</v>
      </c>
      <c r="B289" s="1" t="s">
        <v>362</v>
      </c>
      <c r="C289" s="1" t="s">
        <v>355</v>
      </c>
      <c r="D289" s="1" t="s">
        <v>355</v>
      </c>
      <c r="E289" s="1">
        <v>0.75</v>
      </c>
      <c r="F289" s="1" t="s">
        <v>329</v>
      </c>
      <c r="G289" s="1" t="s">
        <v>337</v>
      </c>
      <c r="H289" s="1">
        <v>19099.3</v>
      </c>
      <c r="I289" s="1">
        <v>29099.3</v>
      </c>
      <c r="J289" s="1">
        <v>4604.5000000000009</v>
      </c>
      <c r="K289" s="1">
        <v>5395.4999999999991</v>
      </c>
      <c r="L289" s="1">
        <v>23703.8</v>
      </c>
      <c r="M289" s="1">
        <v>67</v>
      </c>
      <c r="N289" s="1">
        <v>63.391962962962928</v>
      </c>
      <c r="O289" s="1">
        <v>78.509827342816777</v>
      </c>
      <c r="P289" s="7">
        <v>45947</v>
      </c>
      <c r="Q289" s="1">
        <v>10000</v>
      </c>
      <c r="R289" s="7">
        <v>46025.509827337963</v>
      </c>
      <c r="S289" s="7">
        <v>46025</v>
      </c>
      <c r="T289" s="7" t="str">
        <f t="shared" si="0"/>
        <v>enero</v>
      </c>
      <c r="U289" s="1" t="s">
        <v>330</v>
      </c>
      <c r="X289" s="1" t="s">
        <v>363</v>
      </c>
      <c r="Y289" s="1" t="s">
        <v>364</v>
      </c>
      <c r="Z289" s="1">
        <v>1</v>
      </c>
      <c r="AA289" s="3">
        <v>12001.14</v>
      </c>
      <c r="AB289" s="3">
        <v>12001.14</v>
      </c>
      <c r="AC289" s="1" t="str">
        <f>VLOOKUP(A289,[1]Detalle!$D$2:$CW$484,98,FALSE)</f>
        <v>SUC_SRA - Sucursal San Rafael</v>
      </c>
    </row>
    <row r="290" spans="1:29" ht="14.25" customHeight="1" x14ac:dyDescent="0.3">
      <c r="A290" s="1" t="s">
        <v>20</v>
      </c>
      <c r="B290" s="1" t="s">
        <v>354</v>
      </c>
      <c r="C290" s="1" t="s">
        <v>365</v>
      </c>
      <c r="D290" s="1" t="s">
        <v>365</v>
      </c>
      <c r="E290" s="1">
        <v>0.25</v>
      </c>
      <c r="F290" s="1" t="s">
        <v>366</v>
      </c>
      <c r="G290" s="6">
        <v>45923</v>
      </c>
      <c r="H290" s="1">
        <v>139096</v>
      </c>
      <c r="I290" s="1">
        <v>149096</v>
      </c>
      <c r="J290" s="1">
        <v>601.90000000000009</v>
      </c>
      <c r="K290" s="1">
        <v>9398.1</v>
      </c>
      <c r="L290" s="1">
        <v>139697.9</v>
      </c>
      <c r="M290" s="1">
        <v>24</v>
      </c>
      <c r="N290" s="1">
        <v>99.244569288389528</v>
      </c>
      <c r="O290" s="1">
        <v>374.7373317826881</v>
      </c>
      <c r="P290" s="7">
        <v>45947</v>
      </c>
      <c r="Q290" s="1">
        <v>10000</v>
      </c>
      <c r="R290" s="7">
        <v>46321.737331782409</v>
      </c>
      <c r="S290" s="7">
        <v>46321</v>
      </c>
      <c r="T290" s="7" t="str">
        <f t="shared" si="0"/>
        <v>octubre</v>
      </c>
      <c r="U290" s="1" t="s">
        <v>330</v>
      </c>
      <c r="X290" s="1" t="s">
        <v>367</v>
      </c>
      <c r="Y290" s="1" t="s">
        <v>368</v>
      </c>
      <c r="Z290" s="1">
        <v>1</v>
      </c>
      <c r="AA290" s="3">
        <v>11957.23</v>
      </c>
      <c r="AB290" s="3">
        <v>11957.23</v>
      </c>
      <c r="AC290" s="1" t="str">
        <f>VLOOKUP(A290,[1]Detalle!$D$2:$CW$484,98,FALSE)</f>
        <v>SUC_MEN - Sucursal Mendoza</v>
      </c>
    </row>
    <row r="291" spans="1:29" ht="14.25" customHeight="1" x14ac:dyDescent="0.3">
      <c r="A291" s="1" t="s">
        <v>41</v>
      </c>
      <c r="B291" s="1" t="s">
        <v>369</v>
      </c>
      <c r="C291" s="1" t="s">
        <v>355</v>
      </c>
      <c r="D291" s="1" t="s">
        <v>355</v>
      </c>
      <c r="E291" s="1">
        <v>0.75</v>
      </c>
      <c r="F291" s="1" t="s">
        <v>329</v>
      </c>
      <c r="G291" s="1" t="s">
        <v>337</v>
      </c>
      <c r="N291" s="1">
        <v>30.82394833948339</v>
      </c>
      <c r="P291" s="7">
        <v>45947</v>
      </c>
      <c r="Q291" s="1">
        <v>10000</v>
      </c>
      <c r="R291" s="7">
        <v>46271.423071631943</v>
      </c>
      <c r="S291" s="7">
        <v>46271</v>
      </c>
      <c r="T291" s="7" t="str">
        <f t="shared" si="0"/>
        <v>septiembre</v>
      </c>
      <c r="U291" s="1" t="s">
        <v>330</v>
      </c>
      <c r="X291" s="1" t="s">
        <v>356</v>
      </c>
      <c r="Y291" s="1" t="s">
        <v>357</v>
      </c>
      <c r="Z291" s="1">
        <v>1</v>
      </c>
      <c r="AA291" s="3">
        <v>11782.62</v>
      </c>
      <c r="AB291" s="3">
        <v>11782.62</v>
      </c>
      <c r="AC291" s="1" t="str">
        <f>VLOOKUP(A291,[1]Detalle!$D$2:$CW$484,98,FALSE)</f>
        <v>CMQ_TTE - QUILMES TTE</v>
      </c>
    </row>
    <row r="292" spans="1:29" ht="14.25" customHeight="1" x14ac:dyDescent="0.3">
      <c r="A292" s="1" t="s">
        <v>47</v>
      </c>
      <c r="B292" s="1" t="s">
        <v>362</v>
      </c>
      <c r="C292" s="1" t="s">
        <v>355</v>
      </c>
      <c r="D292" s="1" t="s">
        <v>355</v>
      </c>
      <c r="E292" s="1">
        <v>0.75</v>
      </c>
      <c r="F292" s="1" t="s">
        <v>329</v>
      </c>
      <c r="G292" s="1" t="s">
        <v>337</v>
      </c>
      <c r="N292" s="1">
        <v>75.146865671641763</v>
      </c>
      <c r="P292" s="7">
        <v>45947</v>
      </c>
      <c r="Q292" s="1">
        <v>10000</v>
      </c>
      <c r="R292" s="7">
        <v>46080.072749085652</v>
      </c>
      <c r="S292" s="7">
        <v>46080</v>
      </c>
      <c r="T292" s="7" t="str">
        <f t="shared" si="0"/>
        <v>febrero</v>
      </c>
      <c r="U292" s="1" t="s">
        <v>330</v>
      </c>
      <c r="X292" s="1" t="s">
        <v>363</v>
      </c>
      <c r="Y292" s="1" t="s">
        <v>364</v>
      </c>
      <c r="Z292" s="1">
        <v>1</v>
      </c>
      <c r="AA292" s="3">
        <v>12001.14</v>
      </c>
      <c r="AB292" s="3">
        <v>12001.14</v>
      </c>
      <c r="AC292" s="1" t="str">
        <f>VLOOKUP(A292,[1]Detalle!$D$2:$CW$484,98,FALSE)</f>
        <v>SUC_MEN - Sucursal Mendoza</v>
      </c>
    </row>
    <row r="293" spans="1:29" ht="14.25" customHeight="1" x14ac:dyDescent="0.3">
      <c r="A293" s="1" t="s">
        <v>48</v>
      </c>
      <c r="B293" s="1" t="s">
        <v>362</v>
      </c>
      <c r="C293" s="1" t="s">
        <v>355</v>
      </c>
      <c r="D293" s="1" t="s">
        <v>355</v>
      </c>
      <c r="E293" s="1">
        <v>0.75</v>
      </c>
      <c r="F293" s="1" t="s">
        <v>329</v>
      </c>
      <c r="G293" s="6">
        <v>45884</v>
      </c>
      <c r="H293" s="1">
        <v>20538.5</v>
      </c>
      <c r="I293" s="1">
        <v>30538.5</v>
      </c>
      <c r="J293" s="1">
        <v>1841.3</v>
      </c>
      <c r="K293" s="1">
        <v>8158.7</v>
      </c>
      <c r="L293" s="1">
        <v>22379.8</v>
      </c>
      <c r="M293" s="1">
        <v>63</v>
      </c>
      <c r="N293" s="1">
        <v>55.441375464683993</v>
      </c>
      <c r="O293" s="1">
        <v>279.14956823983061</v>
      </c>
      <c r="P293" s="7">
        <v>45947</v>
      </c>
      <c r="Q293" s="1">
        <v>10000</v>
      </c>
      <c r="R293" s="7">
        <v>46226.14956824074</v>
      </c>
      <c r="S293" s="7">
        <v>46226</v>
      </c>
      <c r="T293" s="7" t="str">
        <f t="shared" si="0"/>
        <v>julio</v>
      </c>
      <c r="U293" s="1" t="s">
        <v>330</v>
      </c>
      <c r="X293" s="1" t="s">
        <v>363</v>
      </c>
      <c r="Y293" s="1" t="s">
        <v>364</v>
      </c>
      <c r="Z293" s="1">
        <v>1</v>
      </c>
      <c r="AA293" s="3">
        <v>12001.14</v>
      </c>
      <c r="AB293" s="3">
        <v>12001.14</v>
      </c>
      <c r="AC293" s="1" t="str">
        <f>VLOOKUP(A293,[1]Detalle!$D$2:$CW$484,98,FALSE)</f>
        <v>Unilever - Unilever de Arg. S.A.</v>
      </c>
    </row>
    <row r="294" spans="1:29" ht="14.25" customHeight="1" x14ac:dyDescent="0.3">
      <c r="A294" s="1" t="s">
        <v>49</v>
      </c>
      <c r="B294" s="1" t="s">
        <v>362</v>
      </c>
      <c r="C294" s="1" t="s">
        <v>355</v>
      </c>
      <c r="D294" s="1" t="s">
        <v>355</v>
      </c>
      <c r="E294" s="1">
        <v>0.75</v>
      </c>
      <c r="F294" s="1" t="s">
        <v>329</v>
      </c>
      <c r="G294" s="6">
        <v>45845</v>
      </c>
      <c r="H294" s="1">
        <v>81918.100000000006</v>
      </c>
      <c r="I294" s="1">
        <v>91918.1</v>
      </c>
      <c r="J294" s="1">
        <v>7752.4</v>
      </c>
      <c r="K294" s="1">
        <v>2247.6</v>
      </c>
      <c r="L294" s="1">
        <v>89670.5</v>
      </c>
      <c r="M294" s="1">
        <v>102</v>
      </c>
      <c r="N294" s="1">
        <v>82.189312977099249</v>
      </c>
      <c r="O294" s="1">
        <v>29.572158299365359</v>
      </c>
      <c r="P294" s="7">
        <v>45947</v>
      </c>
      <c r="Q294" s="1">
        <v>10000</v>
      </c>
      <c r="R294" s="7">
        <v>46098.242478171298</v>
      </c>
      <c r="S294" s="7">
        <v>46098</v>
      </c>
      <c r="T294" s="7" t="str">
        <f t="shared" si="0"/>
        <v>marzo</v>
      </c>
      <c r="U294" s="1" t="s">
        <v>330</v>
      </c>
      <c r="X294" s="1" t="s">
        <v>363</v>
      </c>
      <c r="Y294" s="1" t="s">
        <v>364</v>
      </c>
      <c r="Z294" s="1">
        <v>1</v>
      </c>
      <c r="AA294" s="3">
        <v>12001.14</v>
      </c>
      <c r="AB294" s="3">
        <v>12001.14</v>
      </c>
      <c r="AC294" s="1" t="str">
        <f>VLOOKUP(A294,[1]Detalle!$D$2:$CW$484,98,FALSE)</f>
        <v>SUC_CTC - Sucursal Buenos Aires</v>
      </c>
    </row>
    <row r="295" spans="1:29" ht="14.25" customHeight="1" x14ac:dyDescent="0.3">
      <c r="A295" s="1" t="s">
        <v>53</v>
      </c>
      <c r="B295" s="1" t="s">
        <v>370</v>
      </c>
      <c r="C295" s="1" t="s">
        <v>355</v>
      </c>
      <c r="D295" s="1" t="s">
        <v>355</v>
      </c>
      <c r="E295" s="1">
        <v>0.75</v>
      </c>
      <c r="F295" s="1" t="s">
        <v>329</v>
      </c>
      <c r="G295" s="6">
        <v>45820</v>
      </c>
      <c r="H295" s="1">
        <v>22721</v>
      </c>
      <c r="I295" s="1">
        <v>32721</v>
      </c>
      <c r="J295" s="1">
        <v>6755.9999999999982</v>
      </c>
      <c r="K295" s="1">
        <v>3244.0000000000018</v>
      </c>
      <c r="L295" s="1">
        <v>29477</v>
      </c>
      <c r="M295" s="1">
        <v>127</v>
      </c>
      <c r="N295" s="1">
        <v>49.806715867158687</v>
      </c>
      <c r="O295" s="1">
        <v>60.981053878034388</v>
      </c>
      <c r="P295" s="7">
        <v>45947</v>
      </c>
      <c r="Q295" s="1">
        <v>10000</v>
      </c>
      <c r="R295" s="7">
        <v>46208.757190706019</v>
      </c>
      <c r="S295" s="7">
        <v>46208</v>
      </c>
      <c r="T295" s="7" t="str">
        <f t="shared" si="0"/>
        <v>julio</v>
      </c>
      <c r="U295" s="1" t="s">
        <v>330</v>
      </c>
      <c r="X295" s="1" t="s">
        <v>356</v>
      </c>
      <c r="Y295" s="1" t="s">
        <v>357</v>
      </c>
      <c r="Z295" s="1">
        <v>1</v>
      </c>
      <c r="AA295" s="3">
        <v>11782.62</v>
      </c>
      <c r="AB295" s="3">
        <v>11782.62</v>
      </c>
      <c r="AC295" s="1" t="str">
        <f>VLOOKUP(A295,[1]Detalle!$D$2:$CW$484,98,FALSE)</f>
        <v>CIMSA_SRA</v>
      </c>
    </row>
    <row r="296" spans="1:29" ht="14.25" customHeight="1" x14ac:dyDescent="0.3">
      <c r="A296" s="1" t="s">
        <v>20</v>
      </c>
      <c r="B296" s="1" t="s">
        <v>354</v>
      </c>
      <c r="C296" s="1" t="s">
        <v>371</v>
      </c>
      <c r="D296" s="1" t="s">
        <v>371</v>
      </c>
      <c r="E296" s="1">
        <v>0.25</v>
      </c>
      <c r="F296" s="1" t="s">
        <v>372</v>
      </c>
      <c r="G296" s="6">
        <v>45923</v>
      </c>
      <c r="H296" s="1">
        <v>139096</v>
      </c>
      <c r="I296" s="1">
        <v>149096</v>
      </c>
      <c r="J296" s="1">
        <v>601.90000000000009</v>
      </c>
      <c r="K296" s="1">
        <v>9398.1</v>
      </c>
      <c r="L296" s="1">
        <v>139697.9</v>
      </c>
      <c r="M296" s="1">
        <v>24</v>
      </c>
      <c r="N296" s="1">
        <v>99.244569288389528</v>
      </c>
      <c r="O296" s="1">
        <v>374.7373317826881</v>
      </c>
      <c r="P296" s="7">
        <v>45947</v>
      </c>
      <c r="Q296" s="1">
        <v>10000</v>
      </c>
      <c r="R296" s="7">
        <v>46321.737331782409</v>
      </c>
      <c r="S296" s="7">
        <v>46321</v>
      </c>
      <c r="T296" s="7" t="str">
        <f t="shared" si="0"/>
        <v>octubre</v>
      </c>
      <c r="U296" s="1" t="s">
        <v>330</v>
      </c>
      <c r="X296" s="1" t="s">
        <v>373</v>
      </c>
      <c r="Y296" s="1" t="s">
        <v>374</v>
      </c>
      <c r="Z296" s="1">
        <v>1</v>
      </c>
      <c r="AA296" s="3">
        <v>9054.85</v>
      </c>
      <c r="AB296" s="3">
        <v>9054.85</v>
      </c>
      <c r="AC296" s="1" t="str">
        <f>VLOOKUP(A296,[1]Detalle!$D$2:$CW$484,98,FALSE)</f>
        <v>SUC_MEN - Sucursal Mendoza</v>
      </c>
    </row>
    <row r="297" spans="1:29" ht="14.25" customHeight="1" x14ac:dyDescent="0.3">
      <c r="A297" s="1" t="s">
        <v>36</v>
      </c>
      <c r="B297" s="1" t="s">
        <v>362</v>
      </c>
      <c r="C297" s="1" t="s">
        <v>355</v>
      </c>
      <c r="D297" s="1" t="s">
        <v>355</v>
      </c>
      <c r="E297" s="1">
        <v>0.75</v>
      </c>
      <c r="F297" s="1" t="s">
        <v>329</v>
      </c>
      <c r="G297" s="6">
        <v>45834</v>
      </c>
      <c r="H297" s="1">
        <v>121977</v>
      </c>
      <c r="I297" s="1">
        <v>131977</v>
      </c>
      <c r="J297" s="1">
        <v>5913.8999999999987</v>
      </c>
      <c r="K297" s="1">
        <v>4086.1000000000008</v>
      </c>
      <c r="L297" s="1">
        <v>127890.9</v>
      </c>
      <c r="M297" s="1">
        <v>113</v>
      </c>
      <c r="N297" s="1">
        <v>219.53927573529421</v>
      </c>
      <c r="O297" s="1">
        <v>78.075263362586483</v>
      </c>
      <c r="P297" s="7">
        <v>45947</v>
      </c>
      <c r="Q297" s="1">
        <v>10000</v>
      </c>
      <c r="R297" s="7">
        <v>46025.075263368053</v>
      </c>
      <c r="S297" s="7">
        <v>46025</v>
      </c>
      <c r="T297" s="7" t="str">
        <f t="shared" si="0"/>
        <v>enero</v>
      </c>
      <c r="U297" s="1" t="s">
        <v>330</v>
      </c>
      <c r="X297" s="1" t="s">
        <v>363</v>
      </c>
      <c r="Y297" s="1" t="s">
        <v>364</v>
      </c>
      <c r="Z297" s="1">
        <v>1</v>
      </c>
      <c r="AA297" s="3">
        <v>12001.14</v>
      </c>
      <c r="AB297" s="3">
        <v>12001.14</v>
      </c>
      <c r="AC297" s="1" t="str">
        <f>VLOOKUP(A297,[1]Detalle!$D$2:$CW$484,98,FALSE)</f>
        <v>SUC_SLU - Sucursal San Luis</v>
      </c>
    </row>
    <row r="298" spans="1:29" ht="14.25" customHeight="1" x14ac:dyDescent="0.3">
      <c r="A298" s="1" t="s">
        <v>81</v>
      </c>
      <c r="B298" s="1" t="s">
        <v>375</v>
      </c>
      <c r="C298" s="1" t="s">
        <v>355</v>
      </c>
      <c r="D298" s="1" t="s">
        <v>355</v>
      </c>
      <c r="E298" s="1">
        <v>0.75</v>
      </c>
      <c r="F298" s="1" t="s">
        <v>329</v>
      </c>
      <c r="G298" s="1" t="s">
        <v>337</v>
      </c>
      <c r="N298" s="1">
        <v>25.830369003690031</v>
      </c>
      <c r="P298" s="7">
        <v>45947</v>
      </c>
      <c r="Q298" s="1">
        <v>10000</v>
      </c>
      <c r="R298" s="7">
        <v>46334.141197962963</v>
      </c>
      <c r="S298" s="7">
        <v>46334</v>
      </c>
      <c r="T298" s="7" t="str">
        <f t="shared" si="0"/>
        <v>noviembre</v>
      </c>
      <c r="U298" s="1" t="s">
        <v>330</v>
      </c>
      <c r="X298" s="1" t="s">
        <v>356</v>
      </c>
      <c r="Y298" s="1" t="s">
        <v>357</v>
      </c>
      <c r="Z298" s="1">
        <v>1</v>
      </c>
      <c r="AA298" s="3">
        <v>11782.62</v>
      </c>
      <c r="AB298" s="3">
        <v>11782.62</v>
      </c>
      <c r="AC298" s="1" t="str">
        <f>VLOOKUP(A298,[1]Detalle!$D$2:$CW$484,98,FALSE)</f>
        <v>CIMSA_BS AS</v>
      </c>
    </row>
    <row r="299" spans="1:29" ht="14.25" customHeight="1" x14ac:dyDescent="0.3">
      <c r="A299" s="1" t="s">
        <v>36</v>
      </c>
      <c r="B299" s="1" t="s">
        <v>362</v>
      </c>
      <c r="C299" s="1" t="s">
        <v>358</v>
      </c>
      <c r="D299" s="1" t="s">
        <v>358</v>
      </c>
      <c r="E299" s="1">
        <v>0.5</v>
      </c>
      <c r="F299" s="1" t="s">
        <v>359</v>
      </c>
      <c r="G299" s="6">
        <v>45834</v>
      </c>
      <c r="H299" s="1">
        <v>121977</v>
      </c>
      <c r="I299" s="1">
        <v>131977</v>
      </c>
      <c r="J299" s="1">
        <v>5913.8999999999987</v>
      </c>
      <c r="K299" s="1">
        <v>4086.1000000000008</v>
      </c>
      <c r="L299" s="1">
        <v>127890.9</v>
      </c>
      <c r="M299" s="1">
        <v>113</v>
      </c>
      <c r="N299" s="1">
        <v>219.53927573529421</v>
      </c>
      <c r="O299" s="1">
        <v>78.075263362586483</v>
      </c>
      <c r="P299" s="7">
        <v>45947</v>
      </c>
      <c r="Q299" s="1">
        <v>10000</v>
      </c>
      <c r="R299" s="7">
        <v>46025.075263368053</v>
      </c>
      <c r="S299" s="7">
        <v>46025</v>
      </c>
      <c r="T299" s="7" t="str">
        <f t="shared" si="0"/>
        <v>enero</v>
      </c>
      <c r="U299" s="1" t="s">
        <v>330</v>
      </c>
      <c r="X299" s="1" t="s">
        <v>376</v>
      </c>
      <c r="Y299" s="1" t="s">
        <v>377</v>
      </c>
      <c r="Z299" s="1">
        <v>1</v>
      </c>
      <c r="AA299" s="3">
        <v>77979.94</v>
      </c>
      <c r="AB299" s="3">
        <v>77979.94</v>
      </c>
      <c r="AC299" s="1" t="str">
        <f>VLOOKUP(A299,[1]Detalle!$D$2:$CW$484,98,FALSE)</f>
        <v>SUC_SLU - Sucursal San Luis</v>
      </c>
    </row>
    <row r="300" spans="1:29" ht="14.25" customHeight="1" x14ac:dyDescent="0.3">
      <c r="A300" s="1" t="s">
        <v>36</v>
      </c>
      <c r="B300" s="1" t="s">
        <v>362</v>
      </c>
      <c r="C300" s="1" t="s">
        <v>365</v>
      </c>
      <c r="D300" s="1" t="s">
        <v>365</v>
      </c>
      <c r="E300" s="1">
        <v>0.25</v>
      </c>
      <c r="F300" s="1" t="s">
        <v>366</v>
      </c>
      <c r="G300" s="6">
        <v>45834</v>
      </c>
      <c r="H300" s="1">
        <v>121977</v>
      </c>
      <c r="I300" s="1">
        <v>131977</v>
      </c>
      <c r="J300" s="1">
        <v>5913.8999999999987</v>
      </c>
      <c r="K300" s="1">
        <v>4086.1000000000008</v>
      </c>
      <c r="L300" s="1">
        <v>127890.9</v>
      </c>
      <c r="M300" s="1">
        <v>113</v>
      </c>
      <c r="N300" s="1">
        <v>219.53927573529421</v>
      </c>
      <c r="O300" s="1">
        <v>78.075263362586483</v>
      </c>
      <c r="P300" s="7">
        <v>45947</v>
      </c>
      <c r="Q300" s="1">
        <v>10000</v>
      </c>
      <c r="R300" s="7">
        <v>46025.075263368053</v>
      </c>
      <c r="S300" s="7">
        <v>46025</v>
      </c>
      <c r="T300" s="7" t="str">
        <f t="shared" si="0"/>
        <v>enero</v>
      </c>
      <c r="U300" s="1" t="s">
        <v>330</v>
      </c>
      <c r="X300" s="1" t="s">
        <v>378</v>
      </c>
      <c r="Y300" s="1" t="s">
        <v>379</v>
      </c>
      <c r="Z300" s="1">
        <v>1</v>
      </c>
      <c r="AA300" s="3">
        <v>13876.18</v>
      </c>
      <c r="AB300" s="3">
        <v>13876.18</v>
      </c>
      <c r="AC300" s="1" t="str">
        <f>VLOOKUP(A300,[1]Detalle!$D$2:$CW$484,98,FALSE)</f>
        <v>SUC_SLU - Sucursal San Luis</v>
      </c>
    </row>
    <row r="301" spans="1:29" ht="14.25" customHeight="1" x14ac:dyDescent="0.3">
      <c r="A301" s="1" t="s">
        <v>36</v>
      </c>
      <c r="B301" s="1" t="s">
        <v>362</v>
      </c>
      <c r="C301" s="1" t="s">
        <v>371</v>
      </c>
      <c r="D301" s="1" t="s">
        <v>371</v>
      </c>
      <c r="E301" s="1">
        <v>0.25</v>
      </c>
      <c r="F301" s="1" t="s">
        <v>372</v>
      </c>
      <c r="G301" s="6">
        <v>45733</v>
      </c>
      <c r="H301" s="1">
        <v>38432.199999999997</v>
      </c>
      <c r="I301" s="1">
        <v>48432.2</v>
      </c>
      <c r="J301" s="1">
        <v>20272.19999999999</v>
      </c>
      <c r="K301" s="1">
        <v>-10272.19999999999</v>
      </c>
      <c r="L301" s="1">
        <v>58704.399999999987</v>
      </c>
      <c r="M301" s="1">
        <v>214</v>
      </c>
      <c r="N301" s="1">
        <v>219.53927573529421</v>
      </c>
      <c r="O301" s="1">
        <v>-108.4367162912757</v>
      </c>
      <c r="P301" s="7">
        <v>45947</v>
      </c>
      <c r="Q301" s="1">
        <v>10000</v>
      </c>
      <c r="R301" s="7">
        <v>46038.099872372688</v>
      </c>
      <c r="S301" s="7">
        <v>46038</v>
      </c>
      <c r="T301" s="7" t="str">
        <f t="shared" si="0"/>
        <v>enero</v>
      </c>
      <c r="U301" s="1" t="s">
        <v>330</v>
      </c>
      <c r="X301" s="1" t="s">
        <v>380</v>
      </c>
      <c r="Y301" s="1" t="s">
        <v>381</v>
      </c>
      <c r="Z301" s="1">
        <v>1</v>
      </c>
      <c r="AA301" s="3">
        <v>18045.55</v>
      </c>
      <c r="AB301" s="3">
        <v>18045.55</v>
      </c>
      <c r="AC301" s="1" t="str">
        <f>VLOOKUP(A301,[1]Detalle!$D$2:$CW$484,98,FALSE)</f>
        <v>SUC_SLU - Sucursal San Luis</v>
      </c>
    </row>
    <row r="302" spans="1:29" ht="14.25" customHeight="1" x14ac:dyDescent="0.3">
      <c r="A302" s="1" t="s">
        <v>37</v>
      </c>
      <c r="B302" s="1" t="s">
        <v>362</v>
      </c>
      <c r="C302" s="1" t="s">
        <v>358</v>
      </c>
      <c r="D302" s="1" t="s">
        <v>358</v>
      </c>
      <c r="E302" s="1">
        <v>0.5</v>
      </c>
      <c r="F302" s="1" t="s">
        <v>359</v>
      </c>
      <c r="G302" s="6">
        <v>45859</v>
      </c>
      <c r="H302" s="1">
        <v>24642.400000000001</v>
      </c>
      <c r="I302" s="1">
        <v>34642.400000000001</v>
      </c>
      <c r="J302" s="1">
        <v>5862.9999999999991</v>
      </c>
      <c r="K302" s="1">
        <v>4137.0000000000009</v>
      </c>
      <c r="L302" s="1">
        <v>30505.4</v>
      </c>
      <c r="M302" s="1">
        <v>88</v>
      </c>
      <c r="N302" s="1">
        <v>74.610410447761154</v>
      </c>
      <c r="O302" s="1">
        <v>62.093808630394022</v>
      </c>
      <c r="P302" s="7">
        <v>45947</v>
      </c>
      <c r="Q302" s="1">
        <v>10000</v>
      </c>
      <c r="R302" s="7">
        <v>46143.123362141203</v>
      </c>
      <c r="S302" s="7">
        <v>46143</v>
      </c>
      <c r="T302" s="7" t="str">
        <f t="shared" si="0"/>
        <v>mayo</v>
      </c>
      <c r="U302" s="1" t="s">
        <v>330</v>
      </c>
      <c r="X302" s="1" t="s">
        <v>376</v>
      </c>
      <c r="Y302" s="1" t="s">
        <v>377</v>
      </c>
      <c r="Z302" s="1">
        <v>1</v>
      </c>
      <c r="AA302" s="3">
        <v>77979.94</v>
      </c>
      <c r="AB302" s="3">
        <v>77979.94</v>
      </c>
      <c r="AC302" s="1" t="str">
        <f>VLOOKUP(A302,[1]Detalle!$D$2:$CW$484,98,FALSE)</f>
        <v>SUC_ROS - Sucursal Rosario</v>
      </c>
    </row>
    <row r="303" spans="1:29" ht="14.25" customHeight="1" x14ac:dyDescent="0.3">
      <c r="A303" s="1" t="s">
        <v>38</v>
      </c>
      <c r="B303" s="1" t="s">
        <v>362</v>
      </c>
      <c r="C303" s="1" t="s">
        <v>358</v>
      </c>
      <c r="D303" s="1" t="s">
        <v>358</v>
      </c>
      <c r="E303" s="1">
        <v>0.5</v>
      </c>
      <c r="F303" s="1" t="s">
        <v>359</v>
      </c>
      <c r="G303" s="1" t="s">
        <v>337</v>
      </c>
      <c r="H303" s="1">
        <v>19099.3</v>
      </c>
      <c r="I303" s="1">
        <v>29099.3</v>
      </c>
      <c r="J303" s="1">
        <v>4604.5000000000009</v>
      </c>
      <c r="K303" s="1">
        <v>5395.4999999999991</v>
      </c>
      <c r="L303" s="1">
        <v>23703.8</v>
      </c>
      <c r="M303" s="1">
        <v>67</v>
      </c>
      <c r="N303" s="1">
        <v>63.391962962962928</v>
      </c>
      <c r="O303" s="1">
        <v>78.509827342816777</v>
      </c>
      <c r="P303" s="7">
        <v>45947</v>
      </c>
      <c r="Q303" s="1">
        <v>10000</v>
      </c>
      <c r="R303" s="7">
        <v>46025.509827337963</v>
      </c>
      <c r="S303" s="7">
        <v>46025</v>
      </c>
      <c r="T303" s="7" t="str">
        <f t="shared" si="0"/>
        <v>enero</v>
      </c>
      <c r="U303" s="1" t="s">
        <v>330</v>
      </c>
      <c r="X303" s="1" t="s">
        <v>376</v>
      </c>
      <c r="Y303" s="1" t="s">
        <v>377</v>
      </c>
      <c r="Z303" s="1">
        <v>1</v>
      </c>
      <c r="AA303" s="3">
        <v>77979.94</v>
      </c>
      <c r="AB303" s="3">
        <v>77979.94</v>
      </c>
      <c r="AC303" s="1" t="str">
        <f>VLOOKUP(A303,[1]Detalle!$D$2:$CW$484,98,FALSE)</f>
        <v>SUC_SRA - Sucursal San Rafael</v>
      </c>
    </row>
    <row r="304" spans="1:29" ht="14.25" customHeight="1" x14ac:dyDescent="0.3">
      <c r="A304" s="1" t="s">
        <v>39</v>
      </c>
      <c r="B304" s="1" t="s">
        <v>362</v>
      </c>
      <c r="C304" s="1" t="s">
        <v>355</v>
      </c>
      <c r="D304" s="1" t="s">
        <v>355</v>
      </c>
      <c r="E304" s="1">
        <v>0.75</v>
      </c>
      <c r="F304" s="1" t="s">
        <v>329</v>
      </c>
      <c r="G304" s="6">
        <v>45832</v>
      </c>
      <c r="H304" s="1">
        <v>137406</v>
      </c>
      <c r="I304" s="1">
        <v>147406</v>
      </c>
      <c r="J304" s="1">
        <v>8671.7000000000007</v>
      </c>
      <c r="K304" s="1">
        <v>1328.299999999999</v>
      </c>
      <c r="L304" s="1">
        <v>146077.70000000001</v>
      </c>
      <c r="M304" s="1">
        <v>115</v>
      </c>
      <c r="N304" s="1">
        <v>93.793905109489017</v>
      </c>
      <c r="O304" s="1">
        <v>17.615288813035491</v>
      </c>
      <c r="P304" s="7">
        <v>45947</v>
      </c>
      <c r="Q304" s="1">
        <v>10000</v>
      </c>
      <c r="R304" s="7">
        <v>46071.232024606477</v>
      </c>
      <c r="S304" s="7">
        <v>46071</v>
      </c>
      <c r="T304" s="7" t="str">
        <f t="shared" si="0"/>
        <v>febrero</v>
      </c>
      <c r="U304" s="1" t="s">
        <v>330</v>
      </c>
      <c r="X304" s="1" t="s">
        <v>363</v>
      </c>
      <c r="Y304" s="1" t="s">
        <v>364</v>
      </c>
      <c r="Z304" s="1">
        <v>1</v>
      </c>
      <c r="AA304" s="3">
        <v>12001.14</v>
      </c>
      <c r="AB304" s="3">
        <v>12001.14</v>
      </c>
      <c r="AC304" s="1" t="str">
        <f>VLOOKUP(A304,[1]Detalle!$D$2:$CW$484,98,FALSE)</f>
        <v>SUC_MEN - Sucursal Mendoza</v>
      </c>
    </row>
    <row r="305" spans="1:29" ht="14.25" customHeight="1" x14ac:dyDescent="0.3">
      <c r="A305" s="1" t="s">
        <v>41</v>
      </c>
      <c r="B305" s="1" t="s">
        <v>369</v>
      </c>
      <c r="C305" s="1" t="s">
        <v>358</v>
      </c>
      <c r="D305" s="1" t="s">
        <v>358</v>
      </c>
      <c r="E305" s="1">
        <v>0.5</v>
      </c>
      <c r="F305" s="1" t="s">
        <v>359</v>
      </c>
      <c r="G305" s="1" t="s">
        <v>337</v>
      </c>
      <c r="N305" s="1">
        <v>30.82394833948339</v>
      </c>
      <c r="P305" s="7">
        <v>45947</v>
      </c>
      <c r="Q305" s="1">
        <v>10000</v>
      </c>
      <c r="R305" s="7">
        <v>46271.423071631943</v>
      </c>
      <c r="S305" s="7">
        <v>46271</v>
      </c>
      <c r="T305" s="7" t="str">
        <f t="shared" si="0"/>
        <v>septiembre</v>
      </c>
      <c r="U305" s="1" t="s">
        <v>330</v>
      </c>
      <c r="X305" s="1" t="s">
        <v>382</v>
      </c>
      <c r="Y305" s="1" t="s">
        <v>383</v>
      </c>
      <c r="Z305" s="1">
        <v>1</v>
      </c>
      <c r="AA305" s="3">
        <v>5676.69</v>
      </c>
      <c r="AB305" s="3">
        <v>5676.69</v>
      </c>
      <c r="AC305" s="1" t="str">
        <f>VLOOKUP(A305,[1]Detalle!$D$2:$CW$484,98,FALSE)</f>
        <v>CMQ_TTE - QUILMES TTE</v>
      </c>
    </row>
    <row r="306" spans="1:29" ht="14.25" customHeight="1" x14ac:dyDescent="0.3">
      <c r="A306" s="1" t="s">
        <v>47</v>
      </c>
      <c r="B306" s="1" t="s">
        <v>362</v>
      </c>
      <c r="C306" s="1" t="s">
        <v>358</v>
      </c>
      <c r="D306" s="1" t="s">
        <v>358</v>
      </c>
      <c r="E306" s="1">
        <v>0.5</v>
      </c>
      <c r="F306" s="1" t="s">
        <v>359</v>
      </c>
      <c r="G306" s="1" t="s">
        <v>337</v>
      </c>
      <c r="N306" s="1">
        <v>75.146865671641763</v>
      </c>
      <c r="P306" s="7">
        <v>45947</v>
      </c>
      <c r="Q306" s="1">
        <v>10000</v>
      </c>
      <c r="R306" s="7">
        <v>46080.072749085652</v>
      </c>
      <c r="S306" s="7">
        <v>46080</v>
      </c>
      <c r="T306" s="7" t="str">
        <f t="shared" si="0"/>
        <v>febrero</v>
      </c>
      <c r="U306" s="1" t="s">
        <v>330</v>
      </c>
      <c r="X306" s="1" t="s">
        <v>376</v>
      </c>
      <c r="Y306" s="1" t="s">
        <v>377</v>
      </c>
      <c r="Z306" s="1">
        <v>1</v>
      </c>
      <c r="AA306" s="3">
        <v>77979.94</v>
      </c>
      <c r="AB306" s="3">
        <v>77979.94</v>
      </c>
      <c r="AC306" s="1" t="str">
        <f>VLOOKUP(A306,[1]Detalle!$D$2:$CW$484,98,FALSE)</f>
        <v>SUC_MEN - Sucursal Mendoza</v>
      </c>
    </row>
    <row r="307" spans="1:29" ht="14.25" customHeight="1" x14ac:dyDescent="0.3">
      <c r="A307" s="1" t="s">
        <v>48</v>
      </c>
      <c r="B307" s="1" t="s">
        <v>362</v>
      </c>
      <c r="C307" s="1" t="s">
        <v>358</v>
      </c>
      <c r="D307" s="1" t="s">
        <v>358</v>
      </c>
      <c r="E307" s="1">
        <v>0.5</v>
      </c>
      <c r="F307" s="1" t="s">
        <v>359</v>
      </c>
      <c r="G307" s="6">
        <v>45884</v>
      </c>
      <c r="H307" s="1">
        <v>20538.5</v>
      </c>
      <c r="I307" s="1">
        <v>30538.5</v>
      </c>
      <c r="J307" s="1">
        <v>1841.3</v>
      </c>
      <c r="K307" s="1">
        <v>8158.7</v>
      </c>
      <c r="L307" s="1">
        <v>22379.8</v>
      </c>
      <c r="M307" s="1">
        <v>63</v>
      </c>
      <c r="N307" s="1">
        <v>55.441375464683993</v>
      </c>
      <c r="O307" s="1">
        <v>279.14956823983061</v>
      </c>
      <c r="P307" s="7">
        <v>45947</v>
      </c>
      <c r="Q307" s="1">
        <v>10000</v>
      </c>
      <c r="R307" s="7">
        <v>46226.14956824074</v>
      </c>
      <c r="S307" s="7">
        <v>46226</v>
      </c>
      <c r="T307" s="7" t="str">
        <f t="shared" si="0"/>
        <v>julio</v>
      </c>
      <c r="U307" s="1" t="s">
        <v>330</v>
      </c>
      <c r="X307" s="1" t="s">
        <v>376</v>
      </c>
      <c r="Y307" s="1" t="s">
        <v>377</v>
      </c>
      <c r="Z307" s="1">
        <v>1</v>
      </c>
      <c r="AA307" s="3">
        <v>77979.94</v>
      </c>
      <c r="AB307" s="3">
        <v>77979.94</v>
      </c>
      <c r="AC307" s="1" t="str">
        <f>VLOOKUP(A307,[1]Detalle!$D$2:$CW$484,98,FALSE)</f>
        <v>Unilever - Unilever de Arg. S.A.</v>
      </c>
    </row>
    <row r="308" spans="1:29" ht="14.25" customHeight="1" x14ac:dyDescent="0.3">
      <c r="A308" s="1" t="s">
        <v>49</v>
      </c>
      <c r="B308" s="1" t="s">
        <v>362</v>
      </c>
      <c r="C308" s="1" t="s">
        <v>358</v>
      </c>
      <c r="D308" s="1" t="s">
        <v>358</v>
      </c>
      <c r="E308" s="1">
        <v>0.5</v>
      </c>
      <c r="F308" s="1" t="s">
        <v>359</v>
      </c>
      <c r="G308" s="6">
        <v>45845</v>
      </c>
      <c r="H308" s="1">
        <v>81918.100000000006</v>
      </c>
      <c r="I308" s="1">
        <v>91918.1</v>
      </c>
      <c r="J308" s="1">
        <v>7752.4</v>
      </c>
      <c r="K308" s="1">
        <v>2247.6</v>
      </c>
      <c r="L308" s="1">
        <v>89670.5</v>
      </c>
      <c r="M308" s="1">
        <v>102</v>
      </c>
      <c r="N308" s="1">
        <v>82.189312977099249</v>
      </c>
      <c r="O308" s="1">
        <v>29.572158299365359</v>
      </c>
      <c r="P308" s="7">
        <v>45947</v>
      </c>
      <c r="Q308" s="1">
        <v>10000</v>
      </c>
      <c r="R308" s="7">
        <v>46098.242478171298</v>
      </c>
      <c r="S308" s="7">
        <v>46098</v>
      </c>
      <c r="T308" s="7" t="str">
        <f t="shared" si="0"/>
        <v>marzo</v>
      </c>
      <c r="U308" s="1" t="s">
        <v>330</v>
      </c>
      <c r="X308" s="1" t="s">
        <v>376</v>
      </c>
      <c r="Y308" s="1" t="s">
        <v>377</v>
      </c>
      <c r="Z308" s="1">
        <v>1</v>
      </c>
      <c r="AA308" s="3">
        <v>77979.94</v>
      </c>
      <c r="AB308" s="3">
        <v>77979.94</v>
      </c>
      <c r="AC308" s="1" t="str">
        <f>VLOOKUP(A308,[1]Detalle!$D$2:$CW$484,98,FALSE)</f>
        <v>SUC_CTC - Sucursal Buenos Aires</v>
      </c>
    </row>
    <row r="309" spans="1:29" ht="14.25" customHeight="1" x14ac:dyDescent="0.3">
      <c r="A309" s="1" t="s">
        <v>53</v>
      </c>
      <c r="B309" s="1" t="s">
        <v>370</v>
      </c>
      <c r="C309" s="1" t="s">
        <v>358</v>
      </c>
      <c r="D309" s="1" t="s">
        <v>358</v>
      </c>
      <c r="E309" s="1">
        <v>0.5</v>
      </c>
      <c r="F309" s="1" t="s">
        <v>359</v>
      </c>
      <c r="G309" s="6">
        <v>45820</v>
      </c>
      <c r="H309" s="1">
        <v>22721</v>
      </c>
      <c r="I309" s="1">
        <v>32721</v>
      </c>
      <c r="J309" s="1">
        <v>6755.9999999999982</v>
      </c>
      <c r="K309" s="1">
        <v>3244.0000000000018</v>
      </c>
      <c r="L309" s="1">
        <v>29477</v>
      </c>
      <c r="M309" s="1">
        <v>127</v>
      </c>
      <c r="N309" s="1">
        <v>49.806715867158687</v>
      </c>
      <c r="O309" s="1">
        <v>60.981053878034388</v>
      </c>
      <c r="P309" s="7">
        <v>45947</v>
      </c>
      <c r="Q309" s="1">
        <v>10000</v>
      </c>
      <c r="R309" s="7">
        <v>46208.757190706019</v>
      </c>
      <c r="S309" s="7">
        <v>46208</v>
      </c>
      <c r="T309" s="7" t="str">
        <f t="shared" si="0"/>
        <v>julio</v>
      </c>
      <c r="U309" s="1" t="s">
        <v>330</v>
      </c>
      <c r="X309" s="1" t="s">
        <v>384</v>
      </c>
      <c r="Y309" s="1" t="s">
        <v>385</v>
      </c>
      <c r="Z309" s="1">
        <v>1</v>
      </c>
      <c r="AA309" s="3">
        <v>17040.349999999999</v>
      </c>
      <c r="AB309" s="3">
        <v>17040.349999999999</v>
      </c>
      <c r="AC309" s="1" t="str">
        <f>VLOOKUP(A309,[1]Detalle!$D$2:$CW$484,98,FALSE)</f>
        <v>CIMSA_SRA</v>
      </c>
    </row>
    <row r="310" spans="1:29" ht="14.25" customHeight="1" x14ac:dyDescent="0.3">
      <c r="A310" s="1" t="s">
        <v>39</v>
      </c>
      <c r="B310" s="1" t="s">
        <v>362</v>
      </c>
      <c r="C310" s="1" t="s">
        <v>358</v>
      </c>
      <c r="D310" s="1" t="s">
        <v>358</v>
      </c>
      <c r="E310" s="1">
        <v>0.5</v>
      </c>
      <c r="F310" s="1" t="s">
        <v>359</v>
      </c>
      <c r="G310" s="6">
        <v>45832</v>
      </c>
      <c r="H310" s="1">
        <v>137406</v>
      </c>
      <c r="I310" s="1">
        <v>147406</v>
      </c>
      <c r="J310" s="1">
        <v>8671.7000000000007</v>
      </c>
      <c r="K310" s="1">
        <v>1328.299999999999</v>
      </c>
      <c r="L310" s="1">
        <v>146077.70000000001</v>
      </c>
      <c r="M310" s="1">
        <v>115</v>
      </c>
      <c r="N310" s="1">
        <v>93.793905109489017</v>
      </c>
      <c r="O310" s="1">
        <v>17.615288813035491</v>
      </c>
      <c r="P310" s="7">
        <v>45947</v>
      </c>
      <c r="Q310" s="1">
        <v>10000</v>
      </c>
      <c r="R310" s="7">
        <v>46071.232024606477</v>
      </c>
      <c r="S310" s="7">
        <v>46071</v>
      </c>
      <c r="T310" s="7" t="str">
        <f t="shared" si="0"/>
        <v>febrero</v>
      </c>
      <c r="U310" s="1" t="s">
        <v>330</v>
      </c>
      <c r="X310" s="1" t="s">
        <v>376</v>
      </c>
      <c r="Y310" s="1" t="s">
        <v>377</v>
      </c>
      <c r="Z310" s="1">
        <v>1</v>
      </c>
      <c r="AA310" s="3">
        <v>77979.94</v>
      </c>
      <c r="AB310" s="3">
        <v>77979.94</v>
      </c>
      <c r="AC310" s="1" t="str">
        <f>VLOOKUP(A310,[1]Detalle!$D$2:$CW$484,98,FALSE)</f>
        <v>SUC_MEN - Sucursal Mendoza</v>
      </c>
    </row>
    <row r="311" spans="1:29" ht="14.25" customHeight="1" x14ac:dyDescent="0.3">
      <c r="A311" s="1" t="s">
        <v>39</v>
      </c>
      <c r="B311" s="1" t="s">
        <v>362</v>
      </c>
      <c r="C311" s="1" t="s">
        <v>365</v>
      </c>
      <c r="D311" s="1" t="s">
        <v>365</v>
      </c>
      <c r="E311" s="1">
        <v>0.25</v>
      </c>
      <c r="F311" s="1" t="s">
        <v>366</v>
      </c>
      <c r="G311" s="6">
        <v>45832</v>
      </c>
      <c r="H311" s="1">
        <v>137406</v>
      </c>
      <c r="I311" s="1">
        <v>147406</v>
      </c>
      <c r="J311" s="1">
        <v>8671.7000000000007</v>
      </c>
      <c r="K311" s="1">
        <v>1328.299999999999</v>
      </c>
      <c r="L311" s="1">
        <v>146077.70000000001</v>
      </c>
      <c r="M311" s="1">
        <v>115</v>
      </c>
      <c r="N311" s="1">
        <v>93.793905109489017</v>
      </c>
      <c r="O311" s="1">
        <v>17.615288813035491</v>
      </c>
      <c r="P311" s="7">
        <v>45947</v>
      </c>
      <c r="Q311" s="1">
        <v>10000</v>
      </c>
      <c r="R311" s="7">
        <v>46071.232024606477</v>
      </c>
      <c r="S311" s="7">
        <v>46071</v>
      </c>
      <c r="T311" s="7" t="str">
        <f t="shared" si="0"/>
        <v>febrero</v>
      </c>
      <c r="U311" s="1" t="s">
        <v>330</v>
      </c>
      <c r="X311" s="1" t="s">
        <v>378</v>
      </c>
      <c r="Y311" s="1" t="s">
        <v>379</v>
      </c>
      <c r="Z311" s="1">
        <v>1</v>
      </c>
      <c r="AA311" s="3">
        <v>13876.18</v>
      </c>
      <c r="AB311" s="3">
        <v>13876.18</v>
      </c>
      <c r="AC311" s="1" t="str">
        <f>VLOOKUP(A311,[1]Detalle!$D$2:$CW$484,98,FALSE)</f>
        <v>SUC_MEN - Sucursal Mendoza</v>
      </c>
    </row>
    <row r="312" spans="1:29" ht="14.25" customHeight="1" x14ac:dyDescent="0.3">
      <c r="A312" s="1" t="s">
        <v>81</v>
      </c>
      <c r="B312" s="1" t="s">
        <v>375</v>
      </c>
      <c r="C312" s="1" t="s">
        <v>358</v>
      </c>
      <c r="D312" s="1" t="s">
        <v>358</v>
      </c>
      <c r="E312" s="1">
        <v>0.5</v>
      </c>
      <c r="F312" s="1" t="s">
        <v>359</v>
      </c>
      <c r="G312" s="1" t="s">
        <v>337</v>
      </c>
      <c r="N312" s="1">
        <v>25.830369003690031</v>
      </c>
      <c r="P312" s="7">
        <v>45947</v>
      </c>
      <c r="Q312" s="1">
        <v>10000</v>
      </c>
      <c r="R312" s="7">
        <v>46334.141197962963</v>
      </c>
      <c r="S312" s="7">
        <v>46334</v>
      </c>
      <c r="T312" s="7" t="str">
        <f t="shared" si="0"/>
        <v>noviembre</v>
      </c>
      <c r="U312" s="1" t="s">
        <v>330</v>
      </c>
      <c r="X312" s="1" t="s">
        <v>384</v>
      </c>
      <c r="Y312" s="1" t="s">
        <v>385</v>
      </c>
      <c r="Z312" s="1">
        <v>1</v>
      </c>
      <c r="AA312" s="3">
        <v>17040.349999999999</v>
      </c>
      <c r="AB312" s="3">
        <v>17040.349999999999</v>
      </c>
      <c r="AC312" s="1" t="str">
        <f>VLOOKUP(A312,[1]Detalle!$D$2:$CW$484,98,FALSE)</f>
        <v>CIMSA_BS AS</v>
      </c>
    </row>
    <row r="313" spans="1:29" ht="14.25" customHeight="1" x14ac:dyDescent="0.3">
      <c r="A313" s="1" t="s">
        <v>39</v>
      </c>
      <c r="B313" s="1" t="s">
        <v>362</v>
      </c>
      <c r="C313" s="1" t="s">
        <v>371</v>
      </c>
      <c r="D313" s="1" t="s">
        <v>371</v>
      </c>
      <c r="E313" s="1">
        <v>0.25</v>
      </c>
      <c r="F313" s="1" t="s">
        <v>372</v>
      </c>
      <c r="G313" s="6">
        <v>45733</v>
      </c>
      <c r="H313" s="1">
        <v>129724</v>
      </c>
      <c r="I313" s="1">
        <v>139724</v>
      </c>
      <c r="J313" s="1">
        <v>18618.900000000001</v>
      </c>
      <c r="K313" s="1">
        <v>-8618.9000000000015</v>
      </c>
      <c r="L313" s="1">
        <v>148342.9</v>
      </c>
      <c r="M313" s="1">
        <v>214</v>
      </c>
      <c r="N313" s="1">
        <v>93.793905109489017</v>
      </c>
      <c r="O313" s="1">
        <v>-99.063027353925307</v>
      </c>
      <c r="P313" s="7">
        <v>45947</v>
      </c>
      <c r="Q313" s="1">
        <v>10000</v>
      </c>
      <c r="R313" s="7">
        <v>46053.616735787044</v>
      </c>
      <c r="S313" s="7">
        <v>46053</v>
      </c>
      <c r="T313" s="7" t="str">
        <f t="shared" si="0"/>
        <v>enero</v>
      </c>
      <c r="U313" s="1" t="s">
        <v>330</v>
      </c>
      <c r="X313" s="1" t="s">
        <v>380</v>
      </c>
      <c r="Y313" s="1" t="s">
        <v>381</v>
      </c>
      <c r="Z313" s="1">
        <v>1</v>
      </c>
      <c r="AA313" s="3">
        <v>18045.55</v>
      </c>
      <c r="AB313" s="3">
        <v>18045.55</v>
      </c>
      <c r="AC313" s="1" t="str">
        <f>VLOOKUP(A313,[1]Detalle!$D$2:$CW$484,98,FALSE)</f>
        <v>SUC_MEN - Sucursal Mendoza</v>
      </c>
    </row>
    <row r="314" spans="1:29" ht="14.25" customHeight="1" x14ac:dyDescent="0.3">
      <c r="A314" s="1" t="s">
        <v>56</v>
      </c>
      <c r="B314" s="1" t="s">
        <v>386</v>
      </c>
      <c r="C314" s="1" t="s">
        <v>355</v>
      </c>
      <c r="D314" s="1" t="s">
        <v>355</v>
      </c>
      <c r="E314" s="1">
        <v>0.75</v>
      </c>
      <c r="F314" s="1" t="s">
        <v>329</v>
      </c>
      <c r="G314" s="6">
        <v>45751</v>
      </c>
      <c r="H314" s="1">
        <v>39540</v>
      </c>
      <c r="I314" s="1">
        <v>49540</v>
      </c>
      <c r="J314" s="1">
        <v>3261.9</v>
      </c>
      <c r="K314" s="1">
        <v>6738.1</v>
      </c>
      <c r="L314" s="1">
        <v>42801.9</v>
      </c>
      <c r="M314" s="1">
        <v>196</v>
      </c>
      <c r="N314" s="1">
        <v>19.356900369003689</v>
      </c>
      <c r="O314" s="1">
        <v>404.87678960115272</v>
      </c>
      <c r="P314" s="7">
        <v>45947</v>
      </c>
      <c r="Q314" s="1">
        <v>10000</v>
      </c>
      <c r="R314" s="7">
        <v>46351.876789606482</v>
      </c>
      <c r="S314" s="7">
        <v>46351</v>
      </c>
      <c r="T314" s="7" t="str">
        <f t="shared" si="0"/>
        <v>noviembre</v>
      </c>
      <c r="U314" s="1" t="s">
        <v>330</v>
      </c>
      <c r="X314" s="1" t="s">
        <v>356</v>
      </c>
      <c r="Y314" s="1" t="s">
        <v>357</v>
      </c>
      <c r="Z314" s="1">
        <v>1</v>
      </c>
      <c r="AA314" s="3">
        <v>11782.62</v>
      </c>
      <c r="AB314" s="3">
        <v>11782.62</v>
      </c>
      <c r="AC314" s="1" t="str">
        <f>VLOOKUP(A314,[1]Detalle!$D$2:$CW$484,98,FALSE)</f>
        <v>SUC_CTC - Sucursal Buenos Aires</v>
      </c>
    </row>
    <row r="315" spans="1:29" ht="14.25" customHeight="1" x14ac:dyDescent="0.3">
      <c r="A315" s="1" t="s">
        <v>56</v>
      </c>
      <c r="B315" s="1" t="s">
        <v>386</v>
      </c>
      <c r="C315" s="1" t="s">
        <v>358</v>
      </c>
      <c r="D315" s="1" t="s">
        <v>358</v>
      </c>
      <c r="E315" s="1">
        <v>0.5</v>
      </c>
      <c r="F315" s="1" t="s">
        <v>359</v>
      </c>
      <c r="G315" s="6">
        <v>45751</v>
      </c>
      <c r="H315" s="1">
        <v>39540</v>
      </c>
      <c r="I315" s="1">
        <v>49540</v>
      </c>
      <c r="J315" s="1">
        <v>3261.9</v>
      </c>
      <c r="K315" s="1">
        <v>6738.1</v>
      </c>
      <c r="L315" s="1">
        <v>42801.9</v>
      </c>
      <c r="M315" s="1">
        <v>196</v>
      </c>
      <c r="N315" s="1">
        <v>19.356900369003689</v>
      </c>
      <c r="O315" s="1">
        <v>404.87678960115272</v>
      </c>
      <c r="P315" s="7">
        <v>45947</v>
      </c>
      <c r="Q315" s="1">
        <v>10000</v>
      </c>
      <c r="R315" s="7">
        <v>46351.876789606482</v>
      </c>
      <c r="S315" s="7">
        <v>46351</v>
      </c>
      <c r="T315" s="7" t="str">
        <f t="shared" si="0"/>
        <v>noviembre</v>
      </c>
      <c r="U315" s="1" t="s">
        <v>330</v>
      </c>
      <c r="X315" s="1" t="s">
        <v>360</v>
      </c>
      <c r="Y315" s="1" t="s">
        <v>361</v>
      </c>
      <c r="Z315" s="1">
        <v>1</v>
      </c>
      <c r="AA315" s="3">
        <v>20353.939999999999</v>
      </c>
      <c r="AB315" s="3">
        <v>20353.939999999999</v>
      </c>
      <c r="AC315" s="1" t="str">
        <f>VLOOKUP(A315,[1]Detalle!$D$2:$CW$484,98,FALSE)</f>
        <v>SUC_CTC - Sucursal Buenos Aires</v>
      </c>
    </row>
    <row r="316" spans="1:29" ht="14.25" customHeight="1" x14ac:dyDescent="0.3">
      <c r="A316" s="1" t="s">
        <v>37</v>
      </c>
      <c r="B316" s="1" t="s">
        <v>362</v>
      </c>
      <c r="C316" s="1" t="s">
        <v>365</v>
      </c>
      <c r="D316" s="1" t="s">
        <v>365</v>
      </c>
      <c r="E316" s="1">
        <v>0.25</v>
      </c>
      <c r="F316" s="1" t="s">
        <v>366</v>
      </c>
      <c r="G316" s="6">
        <v>45859</v>
      </c>
      <c r="H316" s="1">
        <v>24642.400000000001</v>
      </c>
      <c r="I316" s="1">
        <v>34642.400000000001</v>
      </c>
      <c r="J316" s="1">
        <v>5862.9999999999991</v>
      </c>
      <c r="K316" s="1">
        <v>4137.0000000000009</v>
      </c>
      <c r="L316" s="1">
        <v>30505.4</v>
      </c>
      <c r="M316" s="1">
        <v>88</v>
      </c>
      <c r="N316" s="1">
        <v>74.610410447761154</v>
      </c>
      <c r="O316" s="1">
        <v>62.093808630394022</v>
      </c>
      <c r="P316" s="7">
        <v>45947</v>
      </c>
      <c r="Q316" s="1">
        <v>10000</v>
      </c>
      <c r="R316" s="7">
        <v>46143.123362141203</v>
      </c>
      <c r="S316" s="7">
        <v>46143</v>
      </c>
      <c r="T316" s="7" t="str">
        <f t="shared" si="0"/>
        <v>mayo</v>
      </c>
      <c r="U316" s="1" t="s">
        <v>330</v>
      </c>
      <c r="X316" s="1" t="s">
        <v>378</v>
      </c>
      <c r="Y316" s="1" t="s">
        <v>379</v>
      </c>
      <c r="Z316" s="1">
        <v>1</v>
      </c>
      <c r="AA316" s="3">
        <v>13876.18</v>
      </c>
      <c r="AB316" s="3">
        <v>13876.18</v>
      </c>
      <c r="AC316" s="1" t="str">
        <f>VLOOKUP(A316,[1]Detalle!$D$2:$CW$484,98,FALSE)</f>
        <v>SUC_ROS - Sucursal Rosario</v>
      </c>
    </row>
    <row r="317" spans="1:29" ht="14.25" customHeight="1" x14ac:dyDescent="0.3">
      <c r="A317" s="1" t="s">
        <v>38</v>
      </c>
      <c r="B317" s="1" t="s">
        <v>362</v>
      </c>
      <c r="C317" s="1" t="s">
        <v>365</v>
      </c>
      <c r="D317" s="1" t="s">
        <v>365</v>
      </c>
      <c r="E317" s="1">
        <v>0.25</v>
      </c>
      <c r="F317" s="1" t="s">
        <v>366</v>
      </c>
      <c r="G317" s="1" t="s">
        <v>337</v>
      </c>
      <c r="H317" s="1">
        <v>19099.3</v>
      </c>
      <c r="I317" s="1">
        <v>29099.3</v>
      </c>
      <c r="J317" s="1">
        <v>4604.5000000000009</v>
      </c>
      <c r="K317" s="1">
        <v>5395.4999999999991</v>
      </c>
      <c r="L317" s="1">
        <v>23703.8</v>
      </c>
      <c r="M317" s="1">
        <v>67</v>
      </c>
      <c r="N317" s="1">
        <v>63.391962962962928</v>
      </c>
      <c r="O317" s="1">
        <v>78.509827342816777</v>
      </c>
      <c r="P317" s="7">
        <v>45947</v>
      </c>
      <c r="Q317" s="1">
        <v>10000</v>
      </c>
      <c r="R317" s="7">
        <v>46025.509827337963</v>
      </c>
      <c r="S317" s="7">
        <v>46025</v>
      </c>
      <c r="T317" s="7" t="str">
        <f t="shared" si="0"/>
        <v>enero</v>
      </c>
      <c r="U317" s="1" t="s">
        <v>330</v>
      </c>
      <c r="X317" s="1" t="s">
        <v>378</v>
      </c>
      <c r="Y317" s="1" t="s">
        <v>379</v>
      </c>
      <c r="Z317" s="1">
        <v>1</v>
      </c>
      <c r="AA317" s="3">
        <v>13876.18</v>
      </c>
      <c r="AB317" s="3">
        <v>13876.18</v>
      </c>
      <c r="AC317" s="1" t="str">
        <f>VLOOKUP(A317,[1]Detalle!$D$2:$CW$484,98,FALSE)</f>
        <v>SUC_SRA - Sucursal San Rafael</v>
      </c>
    </row>
    <row r="318" spans="1:29" ht="14.25" customHeight="1" x14ac:dyDescent="0.3">
      <c r="A318" s="1" t="s">
        <v>56</v>
      </c>
      <c r="B318" s="1" t="s">
        <v>386</v>
      </c>
      <c r="C318" s="1" t="s">
        <v>371</v>
      </c>
      <c r="D318" s="1" t="s">
        <v>371</v>
      </c>
      <c r="E318" s="1">
        <v>0.25</v>
      </c>
      <c r="F318" s="1" t="s">
        <v>372</v>
      </c>
      <c r="G318" s="6">
        <v>45751</v>
      </c>
      <c r="H318" s="1">
        <v>39540</v>
      </c>
      <c r="I318" s="1">
        <v>49540</v>
      </c>
      <c r="J318" s="1">
        <v>3261.9</v>
      </c>
      <c r="K318" s="1">
        <v>6738.1</v>
      </c>
      <c r="L318" s="1">
        <v>42801.9</v>
      </c>
      <c r="M318" s="1">
        <v>196</v>
      </c>
      <c r="N318" s="1">
        <v>19.356900369003689</v>
      </c>
      <c r="O318" s="1">
        <v>404.87678960115272</v>
      </c>
      <c r="P318" s="7">
        <v>45947</v>
      </c>
      <c r="Q318" s="1">
        <v>10000</v>
      </c>
      <c r="R318" s="7">
        <v>46351.876789606482</v>
      </c>
      <c r="S318" s="7">
        <v>46351</v>
      </c>
      <c r="T318" s="7" t="str">
        <f t="shared" si="0"/>
        <v>noviembre</v>
      </c>
      <c r="U318" s="1" t="s">
        <v>330</v>
      </c>
      <c r="X318" s="1" t="s">
        <v>373</v>
      </c>
      <c r="Y318" s="1" t="s">
        <v>374</v>
      </c>
      <c r="Z318" s="1">
        <v>1</v>
      </c>
      <c r="AA318" s="3">
        <v>9054.85</v>
      </c>
      <c r="AB318" s="3">
        <v>9054.85</v>
      </c>
      <c r="AC318" s="1" t="str">
        <f>VLOOKUP(A318,[1]Detalle!$D$2:$CW$484,98,FALSE)</f>
        <v>SUC_CTC - Sucursal Buenos Aires</v>
      </c>
    </row>
    <row r="319" spans="1:29" ht="14.25" customHeight="1" x14ac:dyDescent="0.3">
      <c r="A319" s="1" t="s">
        <v>41</v>
      </c>
      <c r="B319" s="1" t="s">
        <v>369</v>
      </c>
      <c r="C319" s="1" t="s">
        <v>365</v>
      </c>
      <c r="D319" s="1" t="s">
        <v>365</v>
      </c>
      <c r="E319" s="1">
        <v>0.25</v>
      </c>
      <c r="F319" s="1" t="s">
        <v>366</v>
      </c>
      <c r="G319" s="1" t="s">
        <v>337</v>
      </c>
      <c r="N319" s="1">
        <v>30.82394833948339</v>
      </c>
      <c r="P319" s="7">
        <v>45947</v>
      </c>
      <c r="Q319" s="1">
        <v>10000</v>
      </c>
      <c r="R319" s="7">
        <v>46271.423071631943</v>
      </c>
      <c r="S319" s="7">
        <v>46271</v>
      </c>
      <c r="T319" s="7" t="str">
        <f t="shared" si="0"/>
        <v>septiembre</v>
      </c>
      <c r="U319" s="1" t="s">
        <v>330</v>
      </c>
      <c r="X319" s="1" t="s">
        <v>387</v>
      </c>
      <c r="Y319" s="1" t="s">
        <v>388</v>
      </c>
      <c r="Z319" s="1">
        <v>1</v>
      </c>
      <c r="AA319" s="3">
        <v>8857.74</v>
      </c>
      <c r="AB319" s="3">
        <v>8857.74</v>
      </c>
      <c r="AC319" s="1" t="str">
        <f>VLOOKUP(A319,[1]Detalle!$D$2:$CW$484,98,FALSE)</f>
        <v>CMQ_TTE - QUILMES TTE</v>
      </c>
    </row>
    <row r="320" spans="1:29" ht="14.25" customHeight="1" x14ac:dyDescent="0.3">
      <c r="A320" s="1" t="s">
        <v>47</v>
      </c>
      <c r="B320" s="1" t="s">
        <v>362</v>
      </c>
      <c r="C320" s="1" t="s">
        <v>365</v>
      </c>
      <c r="D320" s="1" t="s">
        <v>365</v>
      </c>
      <c r="E320" s="1">
        <v>0.25</v>
      </c>
      <c r="F320" s="1" t="s">
        <v>366</v>
      </c>
      <c r="G320" s="1" t="s">
        <v>337</v>
      </c>
      <c r="N320" s="1">
        <v>75.146865671641763</v>
      </c>
      <c r="P320" s="7">
        <v>45947</v>
      </c>
      <c r="Q320" s="1">
        <v>10000</v>
      </c>
      <c r="R320" s="7">
        <v>46080.072749085652</v>
      </c>
      <c r="S320" s="7">
        <v>46080</v>
      </c>
      <c r="T320" s="7" t="str">
        <f t="shared" si="0"/>
        <v>febrero</v>
      </c>
      <c r="U320" s="1" t="s">
        <v>330</v>
      </c>
      <c r="X320" s="1" t="s">
        <v>378</v>
      </c>
      <c r="Y320" s="1" t="s">
        <v>379</v>
      </c>
      <c r="Z320" s="1">
        <v>1</v>
      </c>
      <c r="AA320" s="3">
        <v>13876.18</v>
      </c>
      <c r="AB320" s="3">
        <v>13876.18</v>
      </c>
      <c r="AC320" s="1" t="str">
        <f>VLOOKUP(A320,[1]Detalle!$D$2:$CW$484,98,FALSE)</f>
        <v>SUC_MEN - Sucursal Mendoza</v>
      </c>
    </row>
    <row r="321" spans="1:29" ht="14.25" customHeight="1" x14ac:dyDescent="0.3">
      <c r="A321" s="1" t="s">
        <v>48</v>
      </c>
      <c r="B321" s="1" t="s">
        <v>362</v>
      </c>
      <c r="C321" s="1" t="s">
        <v>365</v>
      </c>
      <c r="D321" s="1" t="s">
        <v>365</v>
      </c>
      <c r="E321" s="1">
        <v>0.25</v>
      </c>
      <c r="F321" s="1" t="s">
        <v>366</v>
      </c>
      <c r="G321" s="6">
        <v>45884</v>
      </c>
      <c r="H321" s="1">
        <v>20538.5</v>
      </c>
      <c r="I321" s="1">
        <v>30538.5</v>
      </c>
      <c r="J321" s="1">
        <v>1841.3</v>
      </c>
      <c r="K321" s="1">
        <v>8158.7</v>
      </c>
      <c r="L321" s="1">
        <v>22379.8</v>
      </c>
      <c r="M321" s="1">
        <v>63</v>
      </c>
      <c r="N321" s="1">
        <v>55.441375464683993</v>
      </c>
      <c r="O321" s="1">
        <v>279.14956823983061</v>
      </c>
      <c r="P321" s="7">
        <v>45947</v>
      </c>
      <c r="Q321" s="1">
        <v>10000</v>
      </c>
      <c r="R321" s="7">
        <v>46226.14956824074</v>
      </c>
      <c r="S321" s="7">
        <v>46226</v>
      </c>
      <c r="T321" s="7" t="str">
        <f t="shared" si="0"/>
        <v>julio</v>
      </c>
      <c r="U321" s="1" t="s">
        <v>330</v>
      </c>
      <c r="X321" s="1" t="s">
        <v>378</v>
      </c>
      <c r="Y321" s="1" t="s">
        <v>379</v>
      </c>
      <c r="Z321" s="1">
        <v>1</v>
      </c>
      <c r="AA321" s="3">
        <v>13876.18</v>
      </c>
      <c r="AB321" s="3">
        <v>13876.18</v>
      </c>
      <c r="AC321" s="1" t="str">
        <f>VLOOKUP(A321,[1]Detalle!$D$2:$CW$484,98,FALSE)</f>
        <v>Unilever - Unilever de Arg. S.A.</v>
      </c>
    </row>
    <row r="322" spans="1:29" ht="14.25" customHeight="1" x14ac:dyDescent="0.3">
      <c r="A322" s="1" t="s">
        <v>49</v>
      </c>
      <c r="B322" s="1" t="s">
        <v>362</v>
      </c>
      <c r="C322" s="1" t="s">
        <v>365</v>
      </c>
      <c r="D322" s="1" t="s">
        <v>365</v>
      </c>
      <c r="E322" s="1">
        <v>0.25</v>
      </c>
      <c r="F322" s="1" t="s">
        <v>366</v>
      </c>
      <c r="G322" s="6">
        <v>45845</v>
      </c>
      <c r="H322" s="1">
        <v>81918.100000000006</v>
      </c>
      <c r="I322" s="1">
        <v>91918.1</v>
      </c>
      <c r="J322" s="1">
        <v>7752.4</v>
      </c>
      <c r="K322" s="1">
        <v>2247.6</v>
      </c>
      <c r="L322" s="1">
        <v>89670.5</v>
      </c>
      <c r="M322" s="1">
        <v>102</v>
      </c>
      <c r="N322" s="1">
        <v>82.189312977099249</v>
      </c>
      <c r="O322" s="1">
        <v>29.572158299365359</v>
      </c>
      <c r="P322" s="7">
        <v>45947</v>
      </c>
      <c r="Q322" s="1">
        <v>10000</v>
      </c>
      <c r="R322" s="7">
        <v>46098.242478171298</v>
      </c>
      <c r="S322" s="7">
        <v>46098</v>
      </c>
      <c r="T322" s="7" t="str">
        <f t="shared" si="0"/>
        <v>marzo</v>
      </c>
      <c r="U322" s="1" t="s">
        <v>330</v>
      </c>
      <c r="X322" s="1" t="s">
        <v>378</v>
      </c>
      <c r="Y322" s="1" t="s">
        <v>379</v>
      </c>
      <c r="Z322" s="1">
        <v>1</v>
      </c>
      <c r="AA322" s="3">
        <v>13876.18</v>
      </c>
      <c r="AB322" s="3">
        <v>13876.18</v>
      </c>
      <c r="AC322" s="1" t="str">
        <f>VLOOKUP(A322,[1]Detalle!$D$2:$CW$484,98,FALSE)</f>
        <v>SUC_CTC - Sucursal Buenos Aires</v>
      </c>
    </row>
    <row r="323" spans="1:29" ht="14.25" customHeight="1" x14ac:dyDescent="0.3">
      <c r="A323" s="1" t="s">
        <v>53</v>
      </c>
      <c r="B323" s="1" t="s">
        <v>370</v>
      </c>
      <c r="C323" s="1" t="s">
        <v>365</v>
      </c>
      <c r="D323" s="1" t="s">
        <v>365</v>
      </c>
      <c r="E323" s="1">
        <v>0.25</v>
      </c>
      <c r="F323" s="1" t="s">
        <v>366</v>
      </c>
      <c r="G323" s="1" t="s">
        <v>337</v>
      </c>
      <c r="H323" s="1">
        <v>22721</v>
      </c>
      <c r="I323" s="1">
        <v>32721</v>
      </c>
      <c r="J323" s="1">
        <v>6755.9999999999982</v>
      </c>
      <c r="K323" s="1">
        <v>3244.0000000000018</v>
      </c>
      <c r="L323" s="1">
        <v>29477</v>
      </c>
      <c r="M323" s="1">
        <v>111</v>
      </c>
      <c r="N323" s="1">
        <v>49.806715867158687</v>
      </c>
      <c r="O323" s="1">
        <v>53.298401420959188</v>
      </c>
      <c r="P323" s="7">
        <v>45947</v>
      </c>
      <c r="Q323" s="1">
        <v>10000</v>
      </c>
      <c r="R323" s="7">
        <v>46201.074538252316</v>
      </c>
      <c r="S323" s="7">
        <v>46201</v>
      </c>
      <c r="T323" s="7" t="str">
        <f t="shared" si="0"/>
        <v>junio</v>
      </c>
      <c r="U323" s="1" t="s">
        <v>330</v>
      </c>
      <c r="X323" s="1" t="s">
        <v>387</v>
      </c>
      <c r="Y323" s="1" t="s">
        <v>388</v>
      </c>
      <c r="Z323" s="1">
        <v>1</v>
      </c>
      <c r="AA323" s="3">
        <v>8857.74</v>
      </c>
      <c r="AB323" s="3">
        <v>8857.74</v>
      </c>
      <c r="AC323" s="1" t="str">
        <f>VLOOKUP(A323,[1]Detalle!$D$2:$CW$484,98,FALSE)</f>
        <v>CIMSA_SRA</v>
      </c>
    </row>
    <row r="324" spans="1:29" ht="14.25" customHeight="1" x14ac:dyDescent="0.3">
      <c r="A324" s="1" t="s">
        <v>56</v>
      </c>
      <c r="B324" s="1" t="s">
        <v>386</v>
      </c>
      <c r="C324" s="1" t="s">
        <v>365</v>
      </c>
      <c r="D324" s="1" t="s">
        <v>365</v>
      </c>
      <c r="E324" s="1">
        <v>0.25</v>
      </c>
      <c r="F324" s="1" t="s">
        <v>366</v>
      </c>
      <c r="G324" s="1" t="s">
        <v>337</v>
      </c>
      <c r="H324" s="1">
        <v>39540</v>
      </c>
      <c r="I324" s="1">
        <v>49540</v>
      </c>
      <c r="J324" s="1">
        <v>3261.9</v>
      </c>
      <c r="K324" s="1">
        <v>6738.1</v>
      </c>
      <c r="L324" s="1">
        <v>42801.9</v>
      </c>
      <c r="M324" s="1">
        <v>180</v>
      </c>
      <c r="N324" s="1">
        <v>19.356900369003689</v>
      </c>
      <c r="O324" s="1">
        <v>371.82562310309947</v>
      </c>
      <c r="P324" s="7">
        <v>45947</v>
      </c>
      <c r="Q324" s="1">
        <v>10000</v>
      </c>
      <c r="R324" s="7">
        <v>46318.825623101853</v>
      </c>
      <c r="S324" s="7">
        <v>46318</v>
      </c>
      <c r="T324" s="7" t="str">
        <f t="shared" si="0"/>
        <v>octubre</v>
      </c>
      <c r="U324" s="1" t="s">
        <v>330</v>
      </c>
      <c r="X324" s="1" t="s">
        <v>367</v>
      </c>
      <c r="Y324" s="1" t="s">
        <v>368</v>
      </c>
      <c r="Z324" s="1">
        <v>1</v>
      </c>
      <c r="AA324" s="3">
        <v>11957.23</v>
      </c>
      <c r="AB324" s="3">
        <v>11957.23</v>
      </c>
      <c r="AC324" s="1" t="str">
        <f>VLOOKUP(A324,[1]Detalle!$D$2:$CW$484,98,FALSE)</f>
        <v>SUC_CTC - Sucursal Buenos Aires</v>
      </c>
    </row>
    <row r="325" spans="1:29" ht="14.25" customHeight="1" x14ac:dyDescent="0.3">
      <c r="A325" s="1" t="s">
        <v>57</v>
      </c>
      <c r="B325" s="1" t="s">
        <v>386</v>
      </c>
      <c r="C325" s="1" t="s">
        <v>355</v>
      </c>
      <c r="D325" s="1" t="s">
        <v>355</v>
      </c>
      <c r="E325" s="1">
        <v>0.75</v>
      </c>
      <c r="F325" s="1" t="s">
        <v>329</v>
      </c>
      <c r="G325" s="6">
        <v>45817</v>
      </c>
      <c r="H325" s="1">
        <v>27690</v>
      </c>
      <c r="I325" s="1">
        <v>37690</v>
      </c>
      <c r="J325" s="1">
        <v>4680.9999999999991</v>
      </c>
      <c r="K325" s="1">
        <v>5319.0000000000009</v>
      </c>
      <c r="L325" s="1">
        <v>32371</v>
      </c>
      <c r="M325" s="1">
        <v>130</v>
      </c>
      <c r="N325" s="1">
        <v>63.689854014598552</v>
      </c>
      <c r="O325" s="1">
        <v>147.71843623157449</v>
      </c>
      <c r="P325" s="7">
        <v>45947</v>
      </c>
      <c r="Q325" s="1">
        <v>10000</v>
      </c>
      <c r="R325" s="7">
        <v>46094.718436226853</v>
      </c>
      <c r="S325" s="7">
        <v>46094</v>
      </c>
      <c r="T325" s="7" t="str">
        <f t="shared" si="0"/>
        <v>marzo</v>
      </c>
      <c r="U325" s="1" t="s">
        <v>330</v>
      </c>
      <c r="X325" s="1" t="s">
        <v>356</v>
      </c>
      <c r="Y325" s="1" t="s">
        <v>357</v>
      </c>
      <c r="Z325" s="1">
        <v>1</v>
      </c>
      <c r="AA325" s="3">
        <v>11782.62</v>
      </c>
      <c r="AB325" s="3">
        <v>11782.62</v>
      </c>
      <c r="AC325" s="1" t="str">
        <f>VLOOKUP(A325,[1]Detalle!$D$2:$CW$484,98,FALSE)</f>
        <v>LlaveLay</v>
      </c>
    </row>
    <row r="326" spans="1:29" ht="14.25" customHeight="1" x14ac:dyDescent="0.3">
      <c r="A326" s="1" t="s">
        <v>81</v>
      </c>
      <c r="B326" s="1" t="s">
        <v>375</v>
      </c>
      <c r="C326" s="1" t="s">
        <v>365</v>
      </c>
      <c r="D326" s="1" t="s">
        <v>365</v>
      </c>
      <c r="E326" s="1">
        <v>0.25</v>
      </c>
      <c r="F326" s="1" t="s">
        <v>366</v>
      </c>
      <c r="G326" s="1" t="s">
        <v>337</v>
      </c>
      <c r="N326" s="1">
        <v>25.830369003690031</v>
      </c>
      <c r="P326" s="7">
        <v>45947</v>
      </c>
      <c r="Q326" s="1">
        <v>10000</v>
      </c>
      <c r="R326" s="7">
        <v>46334.141197962963</v>
      </c>
      <c r="S326" s="7">
        <v>46334</v>
      </c>
      <c r="T326" s="7" t="str">
        <f t="shared" si="0"/>
        <v>noviembre</v>
      </c>
      <c r="U326" s="1" t="s">
        <v>330</v>
      </c>
      <c r="X326" s="1" t="s">
        <v>387</v>
      </c>
      <c r="Y326" s="1" t="s">
        <v>388</v>
      </c>
      <c r="Z326" s="1">
        <v>1</v>
      </c>
      <c r="AA326" s="3">
        <v>8857.74</v>
      </c>
      <c r="AB326" s="3">
        <v>8857.74</v>
      </c>
      <c r="AC326" s="1" t="str">
        <f>VLOOKUP(A326,[1]Detalle!$D$2:$CW$484,98,FALSE)</f>
        <v>CIMSA_BS AS</v>
      </c>
    </row>
    <row r="327" spans="1:29" ht="14.25" customHeight="1" x14ac:dyDescent="0.3">
      <c r="A327" s="1" t="s">
        <v>178</v>
      </c>
      <c r="B327" s="1" t="s">
        <v>389</v>
      </c>
      <c r="C327" s="1" t="s">
        <v>365</v>
      </c>
      <c r="D327" s="1" t="s">
        <v>365</v>
      </c>
      <c r="E327" s="1">
        <v>0.25</v>
      </c>
      <c r="F327" s="1" t="s">
        <v>366</v>
      </c>
      <c r="G327" s="6">
        <v>45915</v>
      </c>
      <c r="H327" s="1">
        <v>317907</v>
      </c>
      <c r="I327" s="1">
        <v>327907</v>
      </c>
      <c r="J327" s="1">
        <v>0</v>
      </c>
      <c r="K327" s="1">
        <v>10000</v>
      </c>
      <c r="L327" s="1">
        <v>317907</v>
      </c>
      <c r="M327" s="1">
        <v>32</v>
      </c>
      <c r="N327" s="1">
        <v>182.42433333333329</v>
      </c>
      <c r="O327" s="1">
        <v>100</v>
      </c>
      <c r="P327" s="7">
        <v>45947</v>
      </c>
      <c r="Q327" s="1">
        <v>10000</v>
      </c>
      <c r="R327" s="7">
        <v>46047</v>
      </c>
      <c r="S327" s="7">
        <v>46047</v>
      </c>
      <c r="T327" s="7" t="str">
        <f t="shared" si="0"/>
        <v>enero</v>
      </c>
      <c r="U327" s="1" t="s">
        <v>330</v>
      </c>
      <c r="X327" s="1" t="s">
        <v>390</v>
      </c>
      <c r="Y327" s="1" t="s">
        <v>391</v>
      </c>
      <c r="Z327" s="1">
        <v>1</v>
      </c>
      <c r="AA327" s="3">
        <v>16936.61</v>
      </c>
      <c r="AB327" s="3">
        <v>16936.61</v>
      </c>
      <c r="AC327" s="1" t="str">
        <f>VLOOKUP(A327,[1]Detalle!$D$2:$CW$484,98,FALSE)</f>
        <v>SUC_CTC - Sucursal Buenos Aires</v>
      </c>
    </row>
    <row r="328" spans="1:29" ht="14.25" customHeight="1" x14ac:dyDescent="0.3">
      <c r="A328" s="1" t="s">
        <v>57</v>
      </c>
      <c r="B328" s="1" t="s">
        <v>386</v>
      </c>
      <c r="C328" s="1" t="s">
        <v>358</v>
      </c>
      <c r="D328" s="1" t="s">
        <v>358</v>
      </c>
      <c r="E328" s="1">
        <v>0.5</v>
      </c>
      <c r="F328" s="1" t="s">
        <v>359</v>
      </c>
      <c r="G328" s="6">
        <v>45664</v>
      </c>
      <c r="H328" s="1">
        <v>15788</v>
      </c>
      <c r="I328" s="1">
        <v>25788</v>
      </c>
      <c r="J328" s="1">
        <v>17010.12</v>
      </c>
      <c r="K328" s="1">
        <v>-7010.1199999999953</v>
      </c>
      <c r="L328" s="1">
        <v>32798.120000000003</v>
      </c>
      <c r="M328" s="1">
        <v>283</v>
      </c>
      <c r="N328" s="1">
        <v>63.689854014598552</v>
      </c>
      <c r="O328" s="1">
        <v>-116.6284517687118</v>
      </c>
      <c r="P328" s="7">
        <v>45947</v>
      </c>
      <c r="Q328" s="1">
        <v>10000</v>
      </c>
      <c r="R328" s="7">
        <v>46104.010879594913</v>
      </c>
      <c r="S328" s="7">
        <v>46104</v>
      </c>
      <c r="T328" s="7" t="str">
        <f t="shared" si="0"/>
        <v>marzo</v>
      </c>
      <c r="U328" s="1" t="s">
        <v>330</v>
      </c>
      <c r="X328" s="1" t="s">
        <v>360</v>
      </c>
      <c r="Y328" s="1" t="s">
        <v>361</v>
      </c>
      <c r="Z328" s="1">
        <v>1</v>
      </c>
      <c r="AA328" s="3">
        <v>20353.939999999999</v>
      </c>
      <c r="AB328" s="3">
        <v>20353.939999999999</v>
      </c>
      <c r="AC328" s="1" t="str">
        <f>VLOOKUP(A328,[1]Detalle!$D$2:$CW$484,98,FALSE)</f>
        <v>LlaveLay</v>
      </c>
    </row>
    <row r="329" spans="1:29" ht="14.25" customHeight="1" x14ac:dyDescent="0.3">
      <c r="A329" s="1" t="s">
        <v>34</v>
      </c>
      <c r="B329" s="1" t="s">
        <v>362</v>
      </c>
      <c r="C329" s="1" t="s">
        <v>371</v>
      </c>
      <c r="D329" s="1" t="s">
        <v>371</v>
      </c>
      <c r="E329" s="1">
        <v>0.25</v>
      </c>
      <c r="F329" s="1" t="s">
        <v>372</v>
      </c>
      <c r="G329" s="1" t="s">
        <v>337</v>
      </c>
      <c r="N329" s="1">
        <v>42.663308823529412</v>
      </c>
      <c r="P329" s="7">
        <v>45947</v>
      </c>
      <c r="Q329" s="1">
        <v>10000</v>
      </c>
      <c r="R329" s="7">
        <v>46181.393446631948</v>
      </c>
      <c r="S329" s="7">
        <v>46181</v>
      </c>
      <c r="T329" s="7" t="str">
        <f t="shared" si="0"/>
        <v>junio</v>
      </c>
      <c r="U329" s="1" t="s">
        <v>330</v>
      </c>
      <c r="X329" s="1" t="s">
        <v>380</v>
      </c>
      <c r="Y329" s="1" t="s">
        <v>381</v>
      </c>
      <c r="Z329" s="1">
        <v>1</v>
      </c>
      <c r="AA329" s="3">
        <v>18045.55</v>
      </c>
      <c r="AB329" s="3">
        <v>18045.55</v>
      </c>
      <c r="AC329" s="1" t="str">
        <f>VLOOKUP(A329,[1]Detalle!$D$2:$CW$484,98,FALSE)</f>
        <v>CMQ_TTE - QUILMES TTE</v>
      </c>
    </row>
    <row r="330" spans="1:29" ht="14.25" customHeight="1" x14ac:dyDescent="0.3">
      <c r="A330" s="1" t="s">
        <v>57</v>
      </c>
      <c r="B330" s="1" t="s">
        <v>386</v>
      </c>
      <c r="C330" s="1" t="s">
        <v>365</v>
      </c>
      <c r="D330" s="1" t="s">
        <v>365</v>
      </c>
      <c r="E330" s="1">
        <v>0.25</v>
      </c>
      <c r="F330" s="1" t="s">
        <v>366</v>
      </c>
      <c r="G330" s="6">
        <v>45817</v>
      </c>
      <c r="H330" s="1">
        <v>27690</v>
      </c>
      <c r="I330" s="1">
        <v>37690</v>
      </c>
      <c r="J330" s="1">
        <v>4680.9999999999991</v>
      </c>
      <c r="K330" s="1">
        <v>5319.0000000000009</v>
      </c>
      <c r="L330" s="1">
        <v>32371</v>
      </c>
      <c r="M330" s="1">
        <v>130</v>
      </c>
      <c r="N330" s="1">
        <v>63.689854014598552</v>
      </c>
      <c r="O330" s="1">
        <v>147.71843623157449</v>
      </c>
      <c r="P330" s="7">
        <v>45947</v>
      </c>
      <c r="Q330" s="1">
        <v>10000</v>
      </c>
      <c r="R330" s="7">
        <v>46094.718436226853</v>
      </c>
      <c r="S330" s="7">
        <v>46094</v>
      </c>
      <c r="T330" s="7" t="str">
        <f t="shared" si="0"/>
        <v>marzo</v>
      </c>
      <c r="U330" s="1" t="s">
        <v>330</v>
      </c>
      <c r="X330" s="1" t="s">
        <v>367</v>
      </c>
      <c r="Y330" s="1" t="s">
        <v>368</v>
      </c>
      <c r="Z330" s="1">
        <v>1</v>
      </c>
      <c r="AA330" s="3">
        <v>11957.23</v>
      </c>
      <c r="AB330" s="3">
        <v>11957.23</v>
      </c>
      <c r="AC330" s="1" t="str">
        <f>VLOOKUP(A330,[1]Detalle!$D$2:$CW$484,98,FALSE)</f>
        <v>LlaveLay</v>
      </c>
    </row>
    <row r="331" spans="1:29" ht="14.25" customHeight="1" x14ac:dyDescent="0.3">
      <c r="A331" s="1" t="s">
        <v>37</v>
      </c>
      <c r="B331" s="1" t="s">
        <v>362</v>
      </c>
      <c r="C331" s="1" t="s">
        <v>371</v>
      </c>
      <c r="D331" s="1" t="s">
        <v>371</v>
      </c>
      <c r="E331" s="1">
        <v>0.25</v>
      </c>
      <c r="F331" s="1" t="s">
        <v>372</v>
      </c>
      <c r="G331" s="1" t="s">
        <v>337</v>
      </c>
      <c r="H331" s="1">
        <v>24642.400000000001</v>
      </c>
      <c r="I331" s="1">
        <v>34642.400000000001</v>
      </c>
      <c r="J331" s="1">
        <v>5862.9999999999991</v>
      </c>
      <c r="K331" s="1">
        <v>4137.0000000000009</v>
      </c>
      <c r="L331" s="1">
        <v>30505.4</v>
      </c>
      <c r="M331" s="1">
        <v>72</v>
      </c>
      <c r="N331" s="1">
        <v>74.610410447761154</v>
      </c>
      <c r="O331" s="1">
        <v>50.804025243049651</v>
      </c>
      <c r="P331" s="7">
        <v>45947</v>
      </c>
      <c r="Q331" s="1">
        <v>10000</v>
      </c>
      <c r="R331" s="7">
        <v>46131.833578761572</v>
      </c>
      <c r="S331" s="7">
        <v>46131</v>
      </c>
      <c r="T331" s="7" t="str">
        <f t="shared" si="0"/>
        <v>abril</v>
      </c>
      <c r="U331" s="1" t="s">
        <v>330</v>
      </c>
      <c r="X331" s="1" t="s">
        <v>380</v>
      </c>
      <c r="Y331" s="1" t="s">
        <v>381</v>
      </c>
      <c r="Z331" s="1">
        <v>1</v>
      </c>
      <c r="AA331" s="3">
        <v>18045.55</v>
      </c>
      <c r="AB331" s="3">
        <v>18045.55</v>
      </c>
      <c r="AC331" s="1" t="str">
        <f>VLOOKUP(A331,[1]Detalle!$D$2:$CW$484,98,FALSE)</f>
        <v>SUC_ROS - Sucursal Rosario</v>
      </c>
    </row>
    <row r="332" spans="1:29" ht="14.25" customHeight="1" x14ac:dyDescent="0.3">
      <c r="A332" s="1" t="s">
        <v>38</v>
      </c>
      <c r="B332" s="1" t="s">
        <v>362</v>
      </c>
      <c r="C332" s="1" t="s">
        <v>371</v>
      </c>
      <c r="D332" s="1" t="s">
        <v>371</v>
      </c>
      <c r="E332" s="1">
        <v>0.25</v>
      </c>
      <c r="F332" s="1" t="s">
        <v>372</v>
      </c>
      <c r="G332" s="1" t="s">
        <v>337</v>
      </c>
      <c r="H332" s="1">
        <v>19099.3</v>
      </c>
      <c r="I332" s="1">
        <v>29099.3</v>
      </c>
      <c r="J332" s="1">
        <v>4604.5000000000009</v>
      </c>
      <c r="K332" s="1">
        <v>5395.4999999999991</v>
      </c>
      <c r="L332" s="1">
        <v>23703.8</v>
      </c>
      <c r="M332" s="1">
        <v>67</v>
      </c>
      <c r="N332" s="1">
        <v>63.391962962962928</v>
      </c>
      <c r="O332" s="1">
        <v>78.509827342816777</v>
      </c>
      <c r="P332" s="7">
        <v>45947</v>
      </c>
      <c r="Q332" s="1">
        <v>10000</v>
      </c>
      <c r="R332" s="7">
        <v>46025.509827337963</v>
      </c>
      <c r="S332" s="7">
        <v>46025</v>
      </c>
      <c r="T332" s="7" t="str">
        <f t="shared" si="0"/>
        <v>enero</v>
      </c>
      <c r="U332" s="1" t="s">
        <v>330</v>
      </c>
      <c r="AA332" s="3"/>
      <c r="AB332" s="3">
        <v>0</v>
      </c>
      <c r="AC332" s="1" t="str">
        <f>VLOOKUP(A332,[1]Detalle!$D$2:$CW$484,98,FALSE)</f>
        <v>SUC_SRA - Sucursal San Rafael</v>
      </c>
    </row>
    <row r="333" spans="1:29" ht="14.25" customHeight="1" x14ac:dyDescent="0.3">
      <c r="A333" s="1" t="s">
        <v>178</v>
      </c>
      <c r="B333" s="1" t="s">
        <v>389</v>
      </c>
      <c r="C333" s="1" t="s">
        <v>355</v>
      </c>
      <c r="D333" s="1" t="s">
        <v>355</v>
      </c>
      <c r="E333" s="1">
        <v>0.75</v>
      </c>
      <c r="F333" s="1" t="s">
        <v>329</v>
      </c>
      <c r="G333" s="6">
        <v>45915</v>
      </c>
      <c r="H333" s="1">
        <v>317907</v>
      </c>
      <c r="I333" s="1">
        <v>327907</v>
      </c>
      <c r="J333" s="1">
        <v>0</v>
      </c>
      <c r="K333" s="1">
        <v>10000</v>
      </c>
      <c r="L333" s="1">
        <v>317907</v>
      </c>
      <c r="M333" s="1">
        <v>32</v>
      </c>
      <c r="N333" s="1">
        <v>182.42433333333329</v>
      </c>
      <c r="O333" s="1">
        <v>100</v>
      </c>
      <c r="P333" s="7">
        <v>45947</v>
      </c>
      <c r="Q333" s="1">
        <v>10000</v>
      </c>
      <c r="R333" s="7">
        <v>46047</v>
      </c>
      <c r="S333" s="7">
        <v>46047</v>
      </c>
      <c r="T333" s="7" t="str">
        <f t="shared" si="0"/>
        <v>enero</v>
      </c>
      <c r="U333" s="1" t="s">
        <v>330</v>
      </c>
      <c r="X333" s="1" t="s">
        <v>363</v>
      </c>
      <c r="Y333" s="1" t="s">
        <v>364</v>
      </c>
      <c r="Z333" s="1">
        <v>1</v>
      </c>
      <c r="AA333" s="3">
        <v>12001.14</v>
      </c>
      <c r="AB333" s="3">
        <v>12001.14</v>
      </c>
      <c r="AC333" s="1" t="str">
        <f>VLOOKUP(A333,[1]Detalle!$D$2:$CW$484,98,FALSE)</f>
        <v>SUC_CTC - Sucursal Buenos Aires</v>
      </c>
    </row>
    <row r="334" spans="1:29" ht="14.25" customHeight="1" x14ac:dyDescent="0.3">
      <c r="A334" s="1" t="s">
        <v>41</v>
      </c>
      <c r="B334" s="1" t="s">
        <v>369</v>
      </c>
      <c r="C334" s="1" t="s">
        <v>371</v>
      </c>
      <c r="D334" s="1" t="s">
        <v>371</v>
      </c>
      <c r="E334" s="1">
        <v>0.25</v>
      </c>
      <c r="F334" s="1" t="s">
        <v>372</v>
      </c>
      <c r="G334" s="1" t="s">
        <v>337</v>
      </c>
      <c r="N334" s="1">
        <v>30.82394833948339</v>
      </c>
      <c r="P334" s="7">
        <v>45947</v>
      </c>
      <c r="Q334" s="1">
        <v>10000</v>
      </c>
      <c r="R334" s="7">
        <v>46271.423071631943</v>
      </c>
      <c r="S334" s="7">
        <v>46271</v>
      </c>
      <c r="T334" s="7" t="str">
        <f t="shared" si="0"/>
        <v>septiembre</v>
      </c>
      <c r="U334" s="1" t="s">
        <v>330</v>
      </c>
      <c r="X334" s="1" t="s">
        <v>392</v>
      </c>
      <c r="Y334" s="1" t="s">
        <v>393</v>
      </c>
      <c r="Z334" s="1">
        <v>1</v>
      </c>
      <c r="AA334" s="3">
        <v>7060.88</v>
      </c>
      <c r="AB334" s="3">
        <v>7060.88</v>
      </c>
      <c r="AC334" s="1" t="str">
        <f>VLOOKUP(A334,[1]Detalle!$D$2:$CW$484,98,FALSE)</f>
        <v>CMQ_TTE - QUILMES TTE</v>
      </c>
    </row>
    <row r="335" spans="1:29" ht="14.25" customHeight="1" x14ac:dyDescent="0.3">
      <c r="A335" s="1" t="s">
        <v>47</v>
      </c>
      <c r="B335" s="1" t="s">
        <v>362</v>
      </c>
      <c r="C335" s="1" t="s">
        <v>371</v>
      </c>
      <c r="D335" s="1" t="s">
        <v>371</v>
      </c>
      <c r="E335" s="1">
        <v>0.25</v>
      </c>
      <c r="F335" s="1" t="s">
        <v>372</v>
      </c>
      <c r="G335" s="1" t="s">
        <v>337</v>
      </c>
      <c r="N335" s="1">
        <v>75.146865671641763</v>
      </c>
      <c r="P335" s="7">
        <v>45947</v>
      </c>
      <c r="Q335" s="1">
        <v>10000</v>
      </c>
      <c r="R335" s="7">
        <v>46080.072749085652</v>
      </c>
      <c r="S335" s="7">
        <v>46080</v>
      </c>
      <c r="T335" s="7" t="str">
        <f t="shared" si="0"/>
        <v>febrero</v>
      </c>
      <c r="U335" s="1" t="s">
        <v>330</v>
      </c>
      <c r="X335" s="1" t="s">
        <v>380</v>
      </c>
      <c r="Y335" s="1" t="s">
        <v>381</v>
      </c>
      <c r="Z335" s="1">
        <v>1</v>
      </c>
      <c r="AA335" s="3">
        <v>18045.55</v>
      </c>
      <c r="AB335" s="3">
        <v>18045.55</v>
      </c>
      <c r="AC335" s="1" t="str">
        <f>VLOOKUP(A335,[1]Detalle!$D$2:$CW$484,98,FALSE)</f>
        <v>SUC_MEN - Sucursal Mendoza</v>
      </c>
    </row>
    <row r="336" spans="1:29" ht="14.25" customHeight="1" x14ac:dyDescent="0.3">
      <c r="A336" s="1" t="s">
        <v>48</v>
      </c>
      <c r="B336" s="1" t="s">
        <v>362</v>
      </c>
      <c r="C336" s="1" t="s">
        <v>371</v>
      </c>
      <c r="D336" s="1" t="s">
        <v>371</v>
      </c>
      <c r="E336" s="1">
        <v>0.25</v>
      </c>
      <c r="F336" s="1" t="s">
        <v>372</v>
      </c>
      <c r="G336" s="6">
        <v>45884</v>
      </c>
      <c r="H336" s="1">
        <v>20538.5</v>
      </c>
      <c r="I336" s="1">
        <v>30538.5</v>
      </c>
      <c r="J336" s="1">
        <v>1841.3</v>
      </c>
      <c r="K336" s="1">
        <v>8158.7</v>
      </c>
      <c r="L336" s="1">
        <v>22379.8</v>
      </c>
      <c r="M336" s="1">
        <v>63</v>
      </c>
      <c r="N336" s="1">
        <v>55.441375464683993</v>
      </c>
      <c r="O336" s="1">
        <v>279.14956823983061</v>
      </c>
      <c r="P336" s="7">
        <v>45947</v>
      </c>
      <c r="Q336" s="1">
        <v>10000</v>
      </c>
      <c r="R336" s="7">
        <v>46226.14956824074</v>
      </c>
      <c r="S336" s="7">
        <v>46226</v>
      </c>
      <c r="T336" s="7" t="str">
        <f t="shared" si="0"/>
        <v>julio</v>
      </c>
      <c r="U336" s="1" t="s">
        <v>330</v>
      </c>
      <c r="X336" s="1" t="s">
        <v>380</v>
      </c>
      <c r="Y336" s="1" t="s">
        <v>381</v>
      </c>
      <c r="Z336" s="1">
        <v>1</v>
      </c>
      <c r="AA336" s="3">
        <v>18045.55</v>
      </c>
      <c r="AB336" s="3">
        <v>18045.55</v>
      </c>
      <c r="AC336" s="1" t="str">
        <f>VLOOKUP(A336,[1]Detalle!$D$2:$CW$484,98,FALSE)</f>
        <v>Unilever - Unilever de Arg. S.A.</v>
      </c>
    </row>
    <row r="337" spans="1:29" ht="14.25" customHeight="1" x14ac:dyDescent="0.3">
      <c r="A337" s="1" t="s">
        <v>49</v>
      </c>
      <c r="B337" s="1" t="s">
        <v>362</v>
      </c>
      <c r="C337" s="1" t="s">
        <v>371</v>
      </c>
      <c r="D337" s="1" t="s">
        <v>371</v>
      </c>
      <c r="E337" s="1">
        <v>0.25</v>
      </c>
      <c r="F337" s="1" t="s">
        <v>372</v>
      </c>
      <c r="G337" s="6">
        <v>45845</v>
      </c>
      <c r="H337" s="1">
        <v>81918.100000000006</v>
      </c>
      <c r="I337" s="1">
        <v>91918.1</v>
      </c>
      <c r="J337" s="1">
        <v>7752.4</v>
      </c>
      <c r="K337" s="1">
        <v>2247.6</v>
      </c>
      <c r="L337" s="1">
        <v>89670.5</v>
      </c>
      <c r="M337" s="1">
        <v>102</v>
      </c>
      <c r="N337" s="1">
        <v>82.189312977099249</v>
      </c>
      <c r="O337" s="1">
        <v>29.572158299365359</v>
      </c>
      <c r="P337" s="7">
        <v>45947</v>
      </c>
      <c r="Q337" s="1">
        <v>10000</v>
      </c>
      <c r="R337" s="7">
        <v>46098.242478171298</v>
      </c>
      <c r="S337" s="7">
        <v>46098</v>
      </c>
      <c r="T337" s="7" t="str">
        <f t="shared" si="0"/>
        <v>marzo</v>
      </c>
      <c r="U337" s="1" t="s">
        <v>330</v>
      </c>
      <c r="X337" s="1" t="s">
        <v>380</v>
      </c>
      <c r="Y337" s="1" t="s">
        <v>381</v>
      </c>
      <c r="Z337" s="1">
        <v>1</v>
      </c>
      <c r="AA337" s="3">
        <v>18045.55</v>
      </c>
      <c r="AB337" s="3">
        <v>18045.55</v>
      </c>
      <c r="AC337" s="1" t="str">
        <f>VLOOKUP(A337,[1]Detalle!$D$2:$CW$484,98,FALSE)</f>
        <v>SUC_CTC - Sucursal Buenos Aires</v>
      </c>
    </row>
    <row r="338" spans="1:29" ht="14.25" customHeight="1" x14ac:dyDescent="0.3">
      <c r="A338" s="1" t="s">
        <v>53</v>
      </c>
      <c r="B338" s="1" t="s">
        <v>370</v>
      </c>
      <c r="C338" s="1" t="s">
        <v>371</v>
      </c>
      <c r="D338" s="1" t="s">
        <v>371</v>
      </c>
      <c r="E338" s="1">
        <v>0.25</v>
      </c>
      <c r="F338" s="1" t="s">
        <v>372</v>
      </c>
      <c r="G338" s="1" t="s">
        <v>337</v>
      </c>
      <c r="H338" s="1">
        <v>22721</v>
      </c>
      <c r="I338" s="1">
        <v>32721</v>
      </c>
      <c r="J338" s="1">
        <v>6755.9999999999982</v>
      </c>
      <c r="K338" s="1">
        <v>3244.0000000000018</v>
      </c>
      <c r="L338" s="1">
        <v>29477</v>
      </c>
      <c r="M338" s="1">
        <v>111</v>
      </c>
      <c r="N338" s="1">
        <v>49.806715867158687</v>
      </c>
      <c r="O338" s="1">
        <v>53.298401420959188</v>
      </c>
      <c r="P338" s="7">
        <v>45947</v>
      </c>
      <c r="Q338" s="1">
        <v>10000</v>
      </c>
      <c r="R338" s="7">
        <v>46201.074538252316</v>
      </c>
      <c r="S338" s="7">
        <v>46201</v>
      </c>
      <c r="T338" s="7" t="str">
        <f t="shared" si="0"/>
        <v>junio</v>
      </c>
      <c r="U338" s="1" t="s">
        <v>330</v>
      </c>
      <c r="X338" s="1" t="s">
        <v>392</v>
      </c>
      <c r="Y338" s="1" t="s">
        <v>393</v>
      </c>
      <c r="Z338" s="1">
        <v>1</v>
      </c>
      <c r="AA338" s="3">
        <v>7060.88</v>
      </c>
      <c r="AB338" s="3">
        <v>7060.88</v>
      </c>
      <c r="AC338" s="1" t="str">
        <f>VLOOKUP(A338,[1]Detalle!$D$2:$CW$484,98,FALSE)</f>
        <v>CIMSA_SRA</v>
      </c>
    </row>
    <row r="339" spans="1:29" ht="14.25" customHeight="1" x14ac:dyDescent="0.3">
      <c r="A339" s="1" t="s">
        <v>178</v>
      </c>
      <c r="B339" s="1" t="s">
        <v>389</v>
      </c>
      <c r="C339" s="1" t="s">
        <v>358</v>
      </c>
      <c r="D339" s="1" t="s">
        <v>358</v>
      </c>
      <c r="E339" s="1">
        <v>0.5</v>
      </c>
      <c r="F339" s="1" t="s">
        <v>359</v>
      </c>
      <c r="G339" s="6">
        <v>45915</v>
      </c>
      <c r="H339" s="1">
        <v>317907</v>
      </c>
      <c r="I339" s="1">
        <v>327907</v>
      </c>
      <c r="J339" s="1">
        <v>0</v>
      </c>
      <c r="K339" s="1">
        <v>10000</v>
      </c>
      <c r="L339" s="1">
        <v>317907</v>
      </c>
      <c r="M339" s="1">
        <v>32</v>
      </c>
      <c r="N339" s="1">
        <v>182.42433333333329</v>
      </c>
      <c r="O339" s="1">
        <v>100</v>
      </c>
      <c r="P339" s="7">
        <v>45947</v>
      </c>
      <c r="Q339" s="1">
        <v>10000</v>
      </c>
      <c r="R339" s="7">
        <v>46047</v>
      </c>
      <c r="S339" s="7">
        <v>46047</v>
      </c>
      <c r="T339" s="7" t="str">
        <f t="shared" si="0"/>
        <v>enero</v>
      </c>
      <c r="U339" s="1" t="s">
        <v>330</v>
      </c>
      <c r="X339" s="1" t="s">
        <v>394</v>
      </c>
      <c r="Y339" s="1" t="s">
        <v>395</v>
      </c>
      <c r="Z339" s="1">
        <v>1</v>
      </c>
      <c r="AA339" s="3">
        <v>20014.55</v>
      </c>
      <c r="AB339" s="3">
        <v>20014.55</v>
      </c>
      <c r="AC339" s="1" t="str">
        <f>VLOOKUP(A339,[1]Detalle!$D$2:$CW$484,98,FALSE)</f>
        <v>SUC_CTC - Sucursal Buenos Aires</v>
      </c>
    </row>
    <row r="340" spans="1:29" ht="14.25" customHeight="1" x14ac:dyDescent="0.3">
      <c r="A340" s="1" t="s">
        <v>57</v>
      </c>
      <c r="B340" s="1" t="s">
        <v>386</v>
      </c>
      <c r="C340" s="1" t="s">
        <v>371</v>
      </c>
      <c r="D340" s="1" t="s">
        <v>371</v>
      </c>
      <c r="E340" s="1">
        <v>0.25</v>
      </c>
      <c r="F340" s="1" t="s">
        <v>372</v>
      </c>
      <c r="G340" s="1" t="s">
        <v>337</v>
      </c>
      <c r="H340" s="1">
        <v>27690</v>
      </c>
      <c r="I340" s="1">
        <v>37690</v>
      </c>
      <c r="J340" s="1">
        <v>4680.9999999999991</v>
      </c>
      <c r="K340" s="1">
        <v>5319.0000000000009</v>
      </c>
      <c r="L340" s="1">
        <v>32371</v>
      </c>
      <c r="M340" s="1">
        <v>114</v>
      </c>
      <c r="N340" s="1">
        <v>63.689854014598552</v>
      </c>
      <c r="O340" s="1">
        <v>129.53770561845761</v>
      </c>
      <c r="P340" s="7">
        <v>45947</v>
      </c>
      <c r="Q340" s="1">
        <v>10000</v>
      </c>
      <c r="R340" s="7">
        <v>46076.537705613417</v>
      </c>
      <c r="S340" s="7">
        <v>46076</v>
      </c>
      <c r="T340" s="7" t="str">
        <f t="shared" si="0"/>
        <v>febrero</v>
      </c>
      <c r="U340" s="1" t="s">
        <v>330</v>
      </c>
      <c r="X340" s="1" t="s">
        <v>373</v>
      </c>
      <c r="Y340" s="1" t="s">
        <v>374</v>
      </c>
      <c r="Z340" s="1">
        <v>1</v>
      </c>
      <c r="AA340" s="3">
        <v>9054.85</v>
      </c>
      <c r="AB340" s="3">
        <v>9054.85</v>
      </c>
      <c r="AC340" s="1" t="str">
        <f>VLOOKUP(A340,[1]Detalle!$D$2:$CW$484,98,FALSE)</f>
        <v>LlaveLay</v>
      </c>
    </row>
    <row r="341" spans="1:29" ht="14.25" customHeight="1" x14ac:dyDescent="0.3">
      <c r="A341" s="1" t="s">
        <v>81</v>
      </c>
      <c r="B341" s="1" t="s">
        <v>375</v>
      </c>
      <c r="C341" s="1" t="s">
        <v>371</v>
      </c>
      <c r="D341" s="1" t="s">
        <v>371</v>
      </c>
      <c r="E341" s="1">
        <v>0.25</v>
      </c>
      <c r="F341" s="1" t="s">
        <v>372</v>
      </c>
      <c r="G341" s="1" t="s">
        <v>337</v>
      </c>
      <c r="N341" s="1">
        <v>25.830369003690031</v>
      </c>
      <c r="P341" s="7">
        <v>45947</v>
      </c>
      <c r="Q341" s="1">
        <v>10000</v>
      </c>
      <c r="R341" s="7">
        <v>46334.141197962963</v>
      </c>
      <c r="S341" s="7">
        <v>46334</v>
      </c>
      <c r="T341" s="7" t="str">
        <f t="shared" si="0"/>
        <v>noviembre</v>
      </c>
      <c r="U341" s="1" t="s">
        <v>330</v>
      </c>
      <c r="X341" s="1" t="s">
        <v>392</v>
      </c>
      <c r="Y341" s="1" t="s">
        <v>393</v>
      </c>
      <c r="Z341" s="1">
        <v>1</v>
      </c>
      <c r="AA341" s="3">
        <v>7060.88</v>
      </c>
      <c r="AB341" s="3">
        <v>7060.88</v>
      </c>
      <c r="AC341" s="1" t="str">
        <f>VLOOKUP(A341,[1]Detalle!$D$2:$CW$484,98,FALSE)</f>
        <v>CIMSA_BS AS</v>
      </c>
    </row>
    <row r="342" spans="1:29" ht="14.25" customHeight="1" x14ac:dyDescent="0.3">
      <c r="A342" s="1" t="s">
        <v>178</v>
      </c>
      <c r="B342" s="1" t="s">
        <v>389</v>
      </c>
      <c r="C342" s="1" t="s">
        <v>371</v>
      </c>
      <c r="D342" s="1" t="s">
        <v>371</v>
      </c>
      <c r="E342" s="1">
        <v>0.25</v>
      </c>
      <c r="F342" s="1" t="s">
        <v>372</v>
      </c>
      <c r="G342" s="6">
        <v>45772</v>
      </c>
      <c r="H342" s="1">
        <v>315468</v>
      </c>
      <c r="I342" s="1">
        <v>325468</v>
      </c>
      <c r="J342" s="1">
        <v>0</v>
      </c>
      <c r="K342" s="1">
        <v>10000</v>
      </c>
      <c r="L342" s="1">
        <v>315468</v>
      </c>
      <c r="M342" s="1">
        <v>175</v>
      </c>
      <c r="N342" s="1">
        <v>182.42433333333329</v>
      </c>
      <c r="O342" s="1">
        <v>100</v>
      </c>
      <c r="P342" s="7">
        <v>45947</v>
      </c>
      <c r="Q342" s="1">
        <v>10000</v>
      </c>
      <c r="R342" s="7">
        <v>46047</v>
      </c>
      <c r="S342" s="7">
        <v>46047</v>
      </c>
      <c r="T342" s="7" t="str">
        <f t="shared" si="0"/>
        <v>enero</v>
      </c>
      <c r="U342" s="1" t="s">
        <v>330</v>
      </c>
      <c r="X342" s="1" t="s">
        <v>380</v>
      </c>
      <c r="Y342" s="1" t="s">
        <v>381</v>
      </c>
      <c r="Z342" s="1">
        <v>1</v>
      </c>
      <c r="AA342" s="3">
        <v>18045.55</v>
      </c>
      <c r="AB342" s="3">
        <v>18045.55</v>
      </c>
      <c r="AC342" s="1" t="str">
        <f>VLOOKUP(A342,[1]Detalle!$D$2:$CW$484,98,FALSE)</f>
        <v>SUC_CTC - Sucursal Buenos Aires</v>
      </c>
    </row>
    <row r="343" spans="1:29" ht="14.25" customHeight="1" x14ac:dyDescent="0.3">
      <c r="A343" s="1" t="s">
        <v>163</v>
      </c>
      <c r="B343" s="1">
        <v>1624</v>
      </c>
      <c r="C343" s="1" t="s">
        <v>396</v>
      </c>
      <c r="D343" s="1" t="s">
        <v>328</v>
      </c>
      <c r="E343" s="1">
        <v>0.75</v>
      </c>
      <c r="F343" s="1" t="s">
        <v>329</v>
      </c>
      <c r="G343" s="6">
        <v>45845</v>
      </c>
      <c r="H343" s="1">
        <v>656303</v>
      </c>
      <c r="I343" s="1">
        <v>676303</v>
      </c>
      <c r="J343" s="1">
        <v>6490.9999999999991</v>
      </c>
      <c r="K343" s="1">
        <v>13509</v>
      </c>
      <c r="L343" s="1">
        <v>662794</v>
      </c>
      <c r="M343" s="1">
        <v>102</v>
      </c>
      <c r="N343" s="1">
        <v>93.110293159609114</v>
      </c>
      <c r="O343" s="1">
        <v>212.28131258665849</v>
      </c>
      <c r="P343" s="7">
        <v>45947</v>
      </c>
      <c r="Q343" s="1">
        <v>20000</v>
      </c>
      <c r="R343" s="7">
        <v>46159.281312581021</v>
      </c>
      <c r="S343" s="7">
        <v>46159</v>
      </c>
      <c r="T343" s="7" t="str">
        <f t="shared" si="0"/>
        <v>mayo</v>
      </c>
      <c r="U343" s="1" t="s">
        <v>330</v>
      </c>
      <c r="X343" s="1" t="s">
        <v>331</v>
      </c>
      <c r="Y343" s="1" t="s">
        <v>332</v>
      </c>
      <c r="Z343" s="1">
        <v>16</v>
      </c>
      <c r="AA343" s="3">
        <v>3389.9</v>
      </c>
      <c r="AB343" s="3">
        <v>54238.400000000001</v>
      </c>
      <c r="AC343" s="1" t="str">
        <f>VLOOKUP(A343,[1]Detalle!$D$2:$CW$484,98,FALSE)</f>
        <v>Unilever - Unilever de Arg. S.A.</v>
      </c>
    </row>
    <row r="344" spans="1:29" ht="14.25" customHeight="1" x14ac:dyDescent="0.3">
      <c r="A344" s="1" t="s">
        <v>163</v>
      </c>
      <c r="B344" s="1">
        <v>1624</v>
      </c>
      <c r="C344" s="1" t="s">
        <v>396</v>
      </c>
      <c r="D344" s="1" t="s">
        <v>328</v>
      </c>
      <c r="E344" s="1">
        <v>0.75</v>
      </c>
      <c r="F344" s="1" t="s">
        <v>329</v>
      </c>
      <c r="G344" s="6">
        <v>45845</v>
      </c>
      <c r="H344" s="1">
        <v>656303</v>
      </c>
      <c r="I344" s="1">
        <v>676303</v>
      </c>
      <c r="J344" s="1">
        <v>6490.9999999999991</v>
      </c>
      <c r="K344" s="1">
        <v>13509</v>
      </c>
      <c r="L344" s="1">
        <v>662794</v>
      </c>
      <c r="M344" s="1">
        <v>102</v>
      </c>
      <c r="N344" s="1">
        <v>93.110293159609114</v>
      </c>
      <c r="O344" s="1">
        <v>212.28131258665849</v>
      </c>
      <c r="P344" s="7">
        <v>45947</v>
      </c>
      <c r="Q344" s="1">
        <v>20000</v>
      </c>
      <c r="R344" s="7">
        <v>46159.281312581021</v>
      </c>
      <c r="S344" s="7">
        <v>46159</v>
      </c>
      <c r="T344" s="7" t="str">
        <f t="shared" si="0"/>
        <v>mayo</v>
      </c>
      <c r="U344" s="1" t="s">
        <v>330</v>
      </c>
      <c r="X344" s="1" t="s">
        <v>397</v>
      </c>
      <c r="Y344" s="1" t="s">
        <v>398</v>
      </c>
      <c r="Z344" s="1">
        <v>1</v>
      </c>
      <c r="AA344" s="3">
        <v>9737.2800000000007</v>
      </c>
      <c r="AB344" s="3">
        <v>9737.2800000000007</v>
      </c>
      <c r="AC344" s="1" t="str">
        <f>VLOOKUP(A344,[1]Detalle!$D$2:$CW$484,98,FALSE)</f>
        <v>Unilever - Unilever de Arg. S.A.</v>
      </c>
    </row>
    <row r="345" spans="1:29" ht="14.25" customHeight="1" x14ac:dyDescent="0.3">
      <c r="A345" s="1" t="s">
        <v>162</v>
      </c>
      <c r="B345" s="1">
        <v>1624</v>
      </c>
      <c r="C345" s="1" t="s">
        <v>396</v>
      </c>
      <c r="D345" s="1" t="s">
        <v>328</v>
      </c>
      <c r="E345" s="1">
        <v>0.75</v>
      </c>
      <c r="F345" s="1" t="s">
        <v>329</v>
      </c>
      <c r="G345" s="6">
        <v>45623</v>
      </c>
      <c r="H345" s="1">
        <v>6340</v>
      </c>
      <c r="I345" s="1">
        <v>26340</v>
      </c>
      <c r="J345" s="1">
        <v>9804.4500000000044</v>
      </c>
      <c r="K345" s="1">
        <v>10195.549999999999</v>
      </c>
      <c r="L345" s="1">
        <v>16144.45</v>
      </c>
      <c r="M345" s="1">
        <v>324</v>
      </c>
      <c r="N345" s="1">
        <v>31.374080882352938</v>
      </c>
      <c r="O345" s="1">
        <v>336.92437617612381</v>
      </c>
      <c r="P345" s="7">
        <v>45947</v>
      </c>
      <c r="Q345" s="1">
        <v>20000</v>
      </c>
      <c r="R345" s="7">
        <v>46283.924376180563</v>
      </c>
      <c r="S345" s="7">
        <v>46283</v>
      </c>
      <c r="T345" s="7" t="str">
        <f t="shared" si="0"/>
        <v>septiembre</v>
      </c>
      <c r="U345" s="1" t="s">
        <v>330</v>
      </c>
      <c r="X345" s="1" t="s">
        <v>331</v>
      </c>
      <c r="Y345" s="1" t="s">
        <v>332</v>
      </c>
      <c r="Z345" s="1">
        <v>16</v>
      </c>
      <c r="AA345" s="3">
        <v>3389.9</v>
      </c>
      <c r="AB345" s="3">
        <v>54238.400000000001</v>
      </c>
      <c r="AC345" s="1" t="str">
        <f>VLOOKUP(A345,[1]Detalle!$D$2:$CW$484,98,FALSE)</f>
        <v>SUC_SRA - Sucursal San Rafael</v>
      </c>
    </row>
    <row r="346" spans="1:29" ht="14.25" customHeight="1" x14ac:dyDescent="0.3">
      <c r="A346" s="1" t="s">
        <v>162</v>
      </c>
      <c r="B346" s="1">
        <v>1624</v>
      </c>
      <c r="C346" s="1" t="s">
        <v>396</v>
      </c>
      <c r="D346" s="1" t="s">
        <v>328</v>
      </c>
      <c r="E346" s="1">
        <v>0.75</v>
      </c>
      <c r="F346" s="1" t="s">
        <v>329</v>
      </c>
      <c r="G346" s="6">
        <v>45623</v>
      </c>
      <c r="H346" s="1">
        <v>6340</v>
      </c>
      <c r="I346" s="1">
        <v>26340</v>
      </c>
      <c r="J346" s="1">
        <v>9804.4500000000044</v>
      </c>
      <c r="K346" s="1">
        <v>10195.549999999999</v>
      </c>
      <c r="L346" s="1">
        <v>16144.45</v>
      </c>
      <c r="M346" s="1">
        <v>324</v>
      </c>
      <c r="N346" s="1">
        <v>31.374080882352938</v>
      </c>
      <c r="O346" s="1">
        <v>336.92437617612381</v>
      </c>
      <c r="P346" s="7">
        <v>45947</v>
      </c>
      <c r="Q346" s="1">
        <v>20000</v>
      </c>
      <c r="R346" s="7">
        <v>46283.924376180563</v>
      </c>
      <c r="S346" s="7">
        <v>46283</v>
      </c>
      <c r="T346" s="7" t="str">
        <f t="shared" si="0"/>
        <v>septiembre</v>
      </c>
      <c r="U346" s="1" t="s">
        <v>330</v>
      </c>
      <c r="X346" s="1" t="s">
        <v>397</v>
      </c>
      <c r="Y346" s="1" t="s">
        <v>398</v>
      </c>
      <c r="Z346" s="1">
        <v>1</v>
      </c>
      <c r="AA346" s="3">
        <v>9737.2800000000007</v>
      </c>
      <c r="AB346" s="3">
        <v>9737.2800000000007</v>
      </c>
      <c r="AC346" s="1" t="str">
        <f>VLOOKUP(A346,[1]Detalle!$D$2:$CW$484,98,FALSE)</f>
        <v>SUC_SRA - Sucursal San Rafael</v>
      </c>
    </row>
    <row r="347" spans="1:29" ht="14.25" customHeight="1" x14ac:dyDescent="0.3">
      <c r="A347" s="1" t="s">
        <v>161</v>
      </c>
      <c r="B347" s="1">
        <v>1624</v>
      </c>
      <c r="C347" s="1" t="s">
        <v>396</v>
      </c>
      <c r="D347" s="1" t="s">
        <v>328</v>
      </c>
      <c r="E347" s="1">
        <v>0.75</v>
      </c>
      <c r="F347" s="1" t="s">
        <v>329</v>
      </c>
      <c r="G347" s="6">
        <v>45820</v>
      </c>
      <c r="H347" s="1">
        <v>657691</v>
      </c>
      <c r="I347" s="1">
        <v>677691</v>
      </c>
      <c r="J347" s="1">
        <v>12543.4</v>
      </c>
      <c r="K347" s="1">
        <v>7456.6000000000022</v>
      </c>
      <c r="L347" s="1">
        <v>670234.4</v>
      </c>
      <c r="M347" s="1">
        <v>127</v>
      </c>
      <c r="N347" s="1">
        <v>112.4813870967742</v>
      </c>
      <c r="O347" s="1">
        <v>75.496930656759758</v>
      </c>
      <c r="P347" s="7">
        <v>45947</v>
      </c>
      <c r="Q347" s="1">
        <v>20000</v>
      </c>
      <c r="R347" s="7">
        <v>46200.304126284733</v>
      </c>
      <c r="S347" s="7">
        <v>46200</v>
      </c>
      <c r="T347" s="7" t="str">
        <f t="shared" si="0"/>
        <v>junio</v>
      </c>
      <c r="U347" s="1" t="s">
        <v>330</v>
      </c>
      <c r="X347" s="1" t="s">
        <v>331</v>
      </c>
      <c r="Y347" s="1" t="s">
        <v>332</v>
      </c>
      <c r="Z347" s="1">
        <v>16</v>
      </c>
      <c r="AA347" s="3">
        <v>3389.9</v>
      </c>
      <c r="AB347" s="3">
        <v>54238.400000000001</v>
      </c>
      <c r="AC347" s="1" t="str">
        <f>VLOOKUP(A347,[1]Detalle!$D$2:$CW$484,98,FALSE)</f>
        <v>Unilever - Unilever de Arg. S.A.</v>
      </c>
    </row>
    <row r="348" spans="1:29" ht="14.25" customHeight="1" x14ac:dyDescent="0.3">
      <c r="A348" s="1" t="s">
        <v>161</v>
      </c>
      <c r="B348" s="1">
        <v>1624</v>
      </c>
      <c r="C348" s="1" t="s">
        <v>396</v>
      </c>
      <c r="D348" s="1" t="s">
        <v>328</v>
      </c>
      <c r="E348" s="1">
        <v>0.75</v>
      </c>
      <c r="F348" s="1" t="s">
        <v>329</v>
      </c>
      <c r="G348" s="6">
        <v>45820</v>
      </c>
      <c r="H348" s="1">
        <v>657691</v>
      </c>
      <c r="I348" s="1">
        <v>677691</v>
      </c>
      <c r="J348" s="1">
        <v>12543.4</v>
      </c>
      <c r="K348" s="1">
        <v>7456.6000000000022</v>
      </c>
      <c r="L348" s="1">
        <v>670234.4</v>
      </c>
      <c r="M348" s="1">
        <v>127</v>
      </c>
      <c r="N348" s="1">
        <v>112.4813870967742</v>
      </c>
      <c r="O348" s="1">
        <v>75.496930656759758</v>
      </c>
      <c r="P348" s="7">
        <v>45947</v>
      </c>
      <c r="Q348" s="1">
        <v>20000</v>
      </c>
      <c r="R348" s="7">
        <v>46200.304126284733</v>
      </c>
      <c r="S348" s="7">
        <v>46200</v>
      </c>
      <c r="T348" s="7" t="str">
        <f t="shared" si="0"/>
        <v>junio</v>
      </c>
      <c r="U348" s="1" t="s">
        <v>330</v>
      </c>
      <c r="X348" s="1" t="s">
        <v>397</v>
      </c>
      <c r="Y348" s="1" t="s">
        <v>398</v>
      </c>
      <c r="Z348" s="1">
        <v>1</v>
      </c>
      <c r="AA348" s="3">
        <v>9737.2800000000007</v>
      </c>
      <c r="AB348" s="3">
        <v>9737.2800000000007</v>
      </c>
      <c r="AC348" s="1" t="str">
        <f>VLOOKUP(A348,[1]Detalle!$D$2:$CW$484,98,FALSE)</f>
        <v>Unilever - Unilever de Arg. S.A.</v>
      </c>
    </row>
    <row r="349" spans="1:29" ht="14.25" customHeight="1" x14ac:dyDescent="0.3">
      <c r="A349" s="1" t="s">
        <v>160</v>
      </c>
      <c r="B349" s="1">
        <v>1624</v>
      </c>
      <c r="C349" s="1" t="s">
        <v>396</v>
      </c>
      <c r="D349" s="1" t="s">
        <v>328</v>
      </c>
      <c r="E349" s="1">
        <v>0.75</v>
      </c>
      <c r="F349" s="1" t="s">
        <v>329</v>
      </c>
      <c r="G349" s="6">
        <v>45748</v>
      </c>
      <c r="H349" s="1">
        <v>10362</v>
      </c>
      <c r="I349" s="1">
        <v>30362</v>
      </c>
      <c r="J349" s="1">
        <v>12667.1</v>
      </c>
      <c r="K349" s="1">
        <v>7332.9000000000005</v>
      </c>
      <c r="L349" s="1">
        <v>23029.1</v>
      </c>
      <c r="M349" s="1">
        <v>199</v>
      </c>
      <c r="N349" s="1">
        <v>53.990801282051272</v>
      </c>
      <c r="O349" s="1">
        <v>115.1997773760372</v>
      </c>
      <c r="P349" s="7">
        <v>45947</v>
      </c>
      <c r="Q349" s="1">
        <v>20000</v>
      </c>
      <c r="R349" s="7">
        <v>46062.199777372683</v>
      </c>
      <c r="S349" s="7">
        <v>46062</v>
      </c>
      <c r="T349" s="7" t="str">
        <f t="shared" si="0"/>
        <v>febrero</v>
      </c>
      <c r="U349" s="1" t="s">
        <v>330</v>
      </c>
      <c r="X349" s="1" t="s">
        <v>331</v>
      </c>
      <c r="Y349" s="1" t="s">
        <v>332</v>
      </c>
      <c r="Z349" s="1">
        <v>16</v>
      </c>
      <c r="AA349" s="3">
        <v>3389.9</v>
      </c>
      <c r="AB349" s="3">
        <v>54238.400000000001</v>
      </c>
      <c r="AC349" s="1" t="str">
        <f>VLOOKUP(A349,[1]Detalle!$D$2:$CW$484,98,FALSE)</f>
        <v>CENCO_SJ - Cencosud SA - San Juan</v>
      </c>
    </row>
    <row r="350" spans="1:29" ht="14.25" customHeight="1" x14ac:dyDescent="0.3">
      <c r="A350" s="1" t="s">
        <v>160</v>
      </c>
      <c r="B350" s="1">
        <v>1624</v>
      </c>
      <c r="C350" s="1" t="s">
        <v>396</v>
      </c>
      <c r="D350" s="1" t="s">
        <v>328</v>
      </c>
      <c r="E350" s="1">
        <v>0.75</v>
      </c>
      <c r="F350" s="1" t="s">
        <v>329</v>
      </c>
      <c r="G350" s="6">
        <v>45748</v>
      </c>
      <c r="H350" s="1">
        <v>10362</v>
      </c>
      <c r="I350" s="1">
        <v>30362</v>
      </c>
      <c r="J350" s="1">
        <v>12667.1</v>
      </c>
      <c r="K350" s="1">
        <v>7332.9000000000005</v>
      </c>
      <c r="L350" s="1">
        <v>23029.1</v>
      </c>
      <c r="M350" s="1">
        <v>199</v>
      </c>
      <c r="N350" s="1">
        <v>53.990801282051272</v>
      </c>
      <c r="O350" s="1">
        <v>115.1997773760372</v>
      </c>
      <c r="P350" s="7">
        <v>45947</v>
      </c>
      <c r="Q350" s="1">
        <v>20000</v>
      </c>
      <c r="R350" s="7">
        <v>46062.199777372683</v>
      </c>
      <c r="S350" s="7">
        <v>46062</v>
      </c>
      <c r="T350" s="7" t="str">
        <f t="shared" si="0"/>
        <v>febrero</v>
      </c>
      <c r="U350" s="1" t="s">
        <v>330</v>
      </c>
      <c r="X350" s="1" t="s">
        <v>397</v>
      </c>
      <c r="Y350" s="1" t="s">
        <v>398</v>
      </c>
      <c r="Z350" s="1">
        <v>1</v>
      </c>
      <c r="AA350" s="3">
        <v>9737.2800000000007</v>
      </c>
      <c r="AB350" s="3">
        <v>9737.2800000000007</v>
      </c>
      <c r="AC350" s="1" t="str">
        <f>VLOOKUP(A350,[1]Detalle!$D$2:$CW$484,98,FALSE)</f>
        <v>CENCO_SJ - Cencosud SA - San Juan</v>
      </c>
    </row>
    <row r="351" spans="1:29" ht="14.25" customHeight="1" x14ac:dyDescent="0.3">
      <c r="A351" s="1" t="s">
        <v>159</v>
      </c>
      <c r="B351" s="1">
        <v>1624</v>
      </c>
      <c r="C351" s="1" t="s">
        <v>396</v>
      </c>
      <c r="D351" s="1" t="s">
        <v>328</v>
      </c>
      <c r="E351" s="1">
        <v>0.75</v>
      </c>
      <c r="F351" s="1" t="s">
        <v>329</v>
      </c>
      <c r="G351" s="6">
        <v>45825</v>
      </c>
      <c r="H351" s="1">
        <v>809565</v>
      </c>
      <c r="I351" s="1">
        <v>829565</v>
      </c>
      <c r="J351" s="1">
        <v>8970.2999999999993</v>
      </c>
      <c r="K351" s="1">
        <v>11029.7</v>
      </c>
      <c r="L351" s="1">
        <v>818535.3</v>
      </c>
      <c r="M351" s="1">
        <v>122</v>
      </c>
      <c r="N351" s="1">
        <v>63.369638157894727</v>
      </c>
      <c r="O351" s="1">
        <v>150.00873995295589</v>
      </c>
      <c r="P351" s="7">
        <v>45947</v>
      </c>
      <c r="Q351" s="1">
        <v>20000</v>
      </c>
      <c r="R351" s="7">
        <v>46097.008739953701</v>
      </c>
      <c r="S351" s="7">
        <v>46097</v>
      </c>
      <c r="T351" s="7" t="str">
        <f t="shared" si="0"/>
        <v>marzo</v>
      </c>
      <c r="U351" s="1" t="s">
        <v>330</v>
      </c>
      <c r="X351" s="1" t="s">
        <v>331</v>
      </c>
      <c r="Y351" s="1" t="s">
        <v>332</v>
      </c>
      <c r="Z351" s="1">
        <v>16</v>
      </c>
      <c r="AA351" s="3">
        <v>3389.9</v>
      </c>
      <c r="AB351" s="3">
        <v>54238.400000000001</v>
      </c>
      <c r="AC351" s="1" t="str">
        <f>VLOOKUP(A351,[1]Detalle!$D$2:$CW$484,98,FALSE)</f>
        <v>Papelera - Papelera del Plata S.A.</v>
      </c>
    </row>
    <row r="352" spans="1:29" ht="14.25" customHeight="1" x14ac:dyDescent="0.3">
      <c r="A352" s="1" t="s">
        <v>159</v>
      </c>
      <c r="B352" s="1">
        <v>1624</v>
      </c>
      <c r="C352" s="1" t="s">
        <v>396</v>
      </c>
      <c r="D352" s="1" t="s">
        <v>328</v>
      </c>
      <c r="E352" s="1">
        <v>0.75</v>
      </c>
      <c r="F352" s="1" t="s">
        <v>329</v>
      </c>
      <c r="G352" s="6">
        <v>45825</v>
      </c>
      <c r="H352" s="1">
        <v>809565</v>
      </c>
      <c r="I352" s="1">
        <v>829565</v>
      </c>
      <c r="J352" s="1">
        <v>8970.2999999999993</v>
      </c>
      <c r="K352" s="1">
        <v>11029.7</v>
      </c>
      <c r="L352" s="1">
        <v>818535.3</v>
      </c>
      <c r="M352" s="1">
        <v>122</v>
      </c>
      <c r="N352" s="1">
        <v>63.369638157894727</v>
      </c>
      <c r="O352" s="1">
        <v>150.00873995295589</v>
      </c>
      <c r="P352" s="7">
        <v>45947</v>
      </c>
      <c r="Q352" s="1">
        <v>20000</v>
      </c>
      <c r="R352" s="7">
        <v>46097.008739953701</v>
      </c>
      <c r="S352" s="7">
        <v>46097</v>
      </c>
      <c r="T352" s="7" t="str">
        <f t="shared" si="0"/>
        <v>marzo</v>
      </c>
      <c r="U352" s="1" t="s">
        <v>330</v>
      </c>
      <c r="X352" s="1" t="s">
        <v>397</v>
      </c>
      <c r="Y352" s="1" t="s">
        <v>398</v>
      </c>
      <c r="Z352" s="1">
        <v>1</v>
      </c>
      <c r="AA352" s="3">
        <v>9737.2800000000007</v>
      </c>
      <c r="AB352" s="3">
        <v>9737.2800000000007</v>
      </c>
      <c r="AC352" s="1" t="str">
        <f>VLOOKUP(A352,[1]Detalle!$D$2:$CW$484,98,FALSE)</f>
        <v>Papelera - Papelera del Plata S.A.</v>
      </c>
    </row>
    <row r="353" spans="1:29" ht="14.25" customHeight="1" x14ac:dyDescent="0.3">
      <c r="A353" s="1" t="s">
        <v>158</v>
      </c>
      <c r="B353" s="1">
        <v>1624</v>
      </c>
      <c r="C353" s="1" t="s">
        <v>396</v>
      </c>
      <c r="D353" s="1" t="s">
        <v>328</v>
      </c>
      <c r="E353" s="1">
        <v>0.75</v>
      </c>
      <c r="F353" s="1" t="s">
        <v>329</v>
      </c>
      <c r="G353" s="6">
        <v>45762</v>
      </c>
      <c r="H353" s="1">
        <v>779819</v>
      </c>
      <c r="I353" s="1">
        <v>799819</v>
      </c>
      <c r="J353" s="1">
        <v>16921.500000000011</v>
      </c>
      <c r="K353" s="1">
        <v>3078.4999999999932</v>
      </c>
      <c r="L353" s="1">
        <v>796740.5</v>
      </c>
      <c r="M353" s="1">
        <v>185</v>
      </c>
      <c r="N353" s="1">
        <v>75.425496688741674</v>
      </c>
      <c r="O353" s="1">
        <v>33.656738468811767</v>
      </c>
      <c r="P353" s="7">
        <v>45947</v>
      </c>
      <c r="Q353" s="1">
        <v>20000</v>
      </c>
      <c r="R353" s="7">
        <v>46245.819062592593</v>
      </c>
      <c r="S353" s="7">
        <v>46245</v>
      </c>
      <c r="T353" s="7" t="str">
        <f t="shared" si="0"/>
        <v>agosto</v>
      </c>
      <c r="U353" s="1" t="s">
        <v>330</v>
      </c>
      <c r="X353" s="1" t="s">
        <v>331</v>
      </c>
      <c r="Y353" s="1" t="s">
        <v>332</v>
      </c>
      <c r="Z353" s="1">
        <v>16</v>
      </c>
      <c r="AA353" s="3">
        <v>3389.9</v>
      </c>
      <c r="AB353" s="3">
        <v>54238.400000000001</v>
      </c>
      <c r="AC353" s="1" t="str">
        <f>VLOOKUP(A353,[1]Detalle!$D$2:$CW$484,98,FALSE)</f>
        <v>JOHNSON - SC JOHNSON DE ARGENTINA SAIC</v>
      </c>
    </row>
    <row r="354" spans="1:29" ht="14.25" customHeight="1" x14ac:dyDescent="0.3">
      <c r="A354" s="1" t="s">
        <v>158</v>
      </c>
      <c r="B354" s="1">
        <v>1624</v>
      </c>
      <c r="C354" s="1" t="s">
        <v>396</v>
      </c>
      <c r="D354" s="1" t="s">
        <v>328</v>
      </c>
      <c r="E354" s="1">
        <v>0.75</v>
      </c>
      <c r="F354" s="1" t="s">
        <v>329</v>
      </c>
      <c r="G354" s="6">
        <v>45762</v>
      </c>
      <c r="H354" s="1">
        <v>779819</v>
      </c>
      <c r="I354" s="1">
        <v>799819</v>
      </c>
      <c r="J354" s="1">
        <v>16921.500000000011</v>
      </c>
      <c r="K354" s="1">
        <v>3078.4999999999932</v>
      </c>
      <c r="L354" s="1">
        <v>796740.5</v>
      </c>
      <c r="M354" s="1">
        <v>185</v>
      </c>
      <c r="N354" s="1">
        <v>75.425496688741674</v>
      </c>
      <c r="O354" s="1">
        <v>33.656738468811767</v>
      </c>
      <c r="P354" s="7">
        <v>45947</v>
      </c>
      <c r="Q354" s="1">
        <v>20000</v>
      </c>
      <c r="R354" s="7">
        <v>46245.819062592593</v>
      </c>
      <c r="S354" s="7">
        <v>46245</v>
      </c>
      <c r="T354" s="7" t="str">
        <f t="shared" si="0"/>
        <v>agosto</v>
      </c>
      <c r="U354" s="1" t="s">
        <v>330</v>
      </c>
      <c r="X354" s="1" t="s">
        <v>397</v>
      </c>
      <c r="Y354" s="1" t="s">
        <v>398</v>
      </c>
      <c r="Z354" s="1">
        <v>1</v>
      </c>
      <c r="AA354" s="3">
        <v>9737.2800000000007</v>
      </c>
      <c r="AB354" s="3">
        <v>9737.2800000000007</v>
      </c>
      <c r="AC354" s="1" t="str">
        <f>VLOOKUP(A354,[1]Detalle!$D$2:$CW$484,98,FALSE)</f>
        <v>JOHNSON - SC JOHNSON DE ARGENTINA SAIC</v>
      </c>
    </row>
    <row r="355" spans="1:29" ht="14.25" customHeight="1" x14ac:dyDescent="0.3">
      <c r="A355" s="1" t="s">
        <v>157</v>
      </c>
      <c r="B355" s="1">
        <v>1624</v>
      </c>
      <c r="C355" s="1" t="s">
        <v>396</v>
      </c>
      <c r="D355" s="1" t="s">
        <v>328</v>
      </c>
      <c r="E355" s="1">
        <v>0.75</v>
      </c>
      <c r="F355" s="1" t="s">
        <v>329</v>
      </c>
      <c r="G355" s="6">
        <v>45870</v>
      </c>
      <c r="H355" s="1">
        <v>24799.1</v>
      </c>
      <c r="I355" s="1">
        <v>44799.1</v>
      </c>
      <c r="J355" s="1">
        <v>3627.4</v>
      </c>
      <c r="K355" s="1">
        <v>16372.6</v>
      </c>
      <c r="L355" s="1">
        <v>28426.5</v>
      </c>
      <c r="M355" s="1">
        <v>77</v>
      </c>
      <c r="N355" s="1">
        <v>131.93916129032249</v>
      </c>
      <c r="O355" s="1">
        <v>347.5465071401004</v>
      </c>
      <c r="P355" s="7">
        <v>45947</v>
      </c>
      <c r="Q355" s="1">
        <v>20000</v>
      </c>
      <c r="R355" s="7">
        <v>46294.546507141204</v>
      </c>
      <c r="S355" s="7">
        <v>46294</v>
      </c>
      <c r="T355" s="7" t="str">
        <f t="shared" si="0"/>
        <v>septiembre</v>
      </c>
      <c r="U355" s="1" t="s">
        <v>330</v>
      </c>
      <c r="X355" s="1" t="s">
        <v>331</v>
      </c>
      <c r="Y355" s="1" t="s">
        <v>332</v>
      </c>
      <c r="Z355" s="1">
        <v>16</v>
      </c>
      <c r="AA355" s="3">
        <v>3389.9</v>
      </c>
      <c r="AB355" s="3">
        <v>54238.400000000001</v>
      </c>
      <c r="AC355" s="1" t="str">
        <f>VLOOKUP(A355,[1]Detalle!$D$2:$CW$484,98,FALSE)</f>
        <v>Papelera - Papelera del Plata S.A.</v>
      </c>
    </row>
    <row r="356" spans="1:29" ht="14.25" customHeight="1" x14ac:dyDescent="0.3">
      <c r="A356" s="1" t="s">
        <v>157</v>
      </c>
      <c r="B356" s="1">
        <v>1624</v>
      </c>
      <c r="C356" s="1" t="s">
        <v>396</v>
      </c>
      <c r="D356" s="1" t="s">
        <v>328</v>
      </c>
      <c r="E356" s="1">
        <v>0.75</v>
      </c>
      <c r="F356" s="1" t="s">
        <v>329</v>
      </c>
      <c r="G356" s="6">
        <v>45870</v>
      </c>
      <c r="H356" s="1">
        <v>24799.1</v>
      </c>
      <c r="I356" s="1">
        <v>44799.1</v>
      </c>
      <c r="J356" s="1">
        <v>3627.4</v>
      </c>
      <c r="K356" s="1">
        <v>16372.6</v>
      </c>
      <c r="L356" s="1">
        <v>28426.5</v>
      </c>
      <c r="M356" s="1">
        <v>77</v>
      </c>
      <c r="N356" s="1">
        <v>131.93916129032249</v>
      </c>
      <c r="O356" s="1">
        <v>347.5465071401004</v>
      </c>
      <c r="P356" s="7">
        <v>45947</v>
      </c>
      <c r="Q356" s="1">
        <v>20000</v>
      </c>
      <c r="R356" s="7">
        <v>46294.546507141204</v>
      </c>
      <c r="S356" s="7">
        <v>46294</v>
      </c>
      <c r="T356" s="7" t="str">
        <f t="shared" si="0"/>
        <v>septiembre</v>
      </c>
      <c r="U356" s="1" t="s">
        <v>330</v>
      </c>
      <c r="X356" s="1" t="s">
        <v>397</v>
      </c>
      <c r="Y356" s="1" t="s">
        <v>398</v>
      </c>
      <c r="Z356" s="1">
        <v>1</v>
      </c>
      <c r="AA356" s="3">
        <v>9737.2800000000007</v>
      </c>
      <c r="AB356" s="3">
        <v>9737.2800000000007</v>
      </c>
      <c r="AC356" s="1" t="str">
        <f>VLOOKUP(A356,[1]Detalle!$D$2:$CW$484,98,FALSE)</f>
        <v>Papelera - Papelera del Plata S.A.</v>
      </c>
    </row>
    <row r="357" spans="1:29" ht="14.25" customHeight="1" x14ac:dyDescent="0.3">
      <c r="A357" s="1" t="s">
        <v>156</v>
      </c>
      <c r="B357" s="1">
        <v>1624</v>
      </c>
      <c r="C357" s="1" t="s">
        <v>396</v>
      </c>
      <c r="D357" s="1" t="s">
        <v>328</v>
      </c>
      <c r="E357" s="1">
        <v>0.75</v>
      </c>
      <c r="F357" s="1" t="s">
        <v>329</v>
      </c>
      <c r="G357" s="6">
        <v>45846</v>
      </c>
      <c r="H357" s="1">
        <v>10340</v>
      </c>
      <c r="I357" s="1">
        <v>30340</v>
      </c>
      <c r="J357" s="1">
        <v>5338.3999999999987</v>
      </c>
      <c r="K357" s="1">
        <v>14661.6</v>
      </c>
      <c r="L357" s="1">
        <v>15678.4</v>
      </c>
      <c r="M357" s="1">
        <v>101</v>
      </c>
      <c r="N357" s="1">
        <v>29.350544871794892</v>
      </c>
      <c r="O357" s="1">
        <v>277.39052899745252</v>
      </c>
      <c r="P357" s="7">
        <v>45947</v>
      </c>
      <c r="Q357" s="1">
        <v>20000</v>
      </c>
      <c r="R357" s="7">
        <v>46224.390528993063</v>
      </c>
      <c r="S357" s="7">
        <v>46224</v>
      </c>
      <c r="T357" s="7" t="str">
        <f t="shared" si="0"/>
        <v>julio</v>
      </c>
      <c r="U357" s="1" t="s">
        <v>330</v>
      </c>
      <c r="X357" s="1" t="s">
        <v>331</v>
      </c>
      <c r="Y357" s="1" t="s">
        <v>332</v>
      </c>
      <c r="Z357" s="1">
        <v>16</v>
      </c>
      <c r="AA357" s="3">
        <v>3389.9</v>
      </c>
      <c r="AB357" s="3">
        <v>54238.400000000001</v>
      </c>
      <c r="AC357" s="1" t="str">
        <f>VLOOKUP(A357,[1]Detalle!$D$2:$CW$484,98,FALSE)</f>
        <v>SUC_MEN - Sucursal Mendoza</v>
      </c>
    </row>
    <row r="358" spans="1:29" ht="14.25" customHeight="1" x14ac:dyDescent="0.3">
      <c r="A358" s="1" t="s">
        <v>156</v>
      </c>
      <c r="B358" s="1">
        <v>1624</v>
      </c>
      <c r="C358" s="1" t="s">
        <v>396</v>
      </c>
      <c r="D358" s="1" t="s">
        <v>328</v>
      </c>
      <c r="E358" s="1">
        <v>0.75</v>
      </c>
      <c r="F358" s="1" t="s">
        <v>329</v>
      </c>
      <c r="G358" s="6">
        <v>45846</v>
      </c>
      <c r="H358" s="1">
        <v>10340</v>
      </c>
      <c r="I358" s="1">
        <v>30340</v>
      </c>
      <c r="J358" s="1">
        <v>5338.3999999999987</v>
      </c>
      <c r="K358" s="1">
        <v>14661.6</v>
      </c>
      <c r="L358" s="1">
        <v>15678.4</v>
      </c>
      <c r="M358" s="1">
        <v>101</v>
      </c>
      <c r="N358" s="1">
        <v>29.350544871794892</v>
      </c>
      <c r="O358" s="1">
        <v>277.39052899745252</v>
      </c>
      <c r="P358" s="7">
        <v>45947</v>
      </c>
      <c r="Q358" s="1">
        <v>20000</v>
      </c>
      <c r="R358" s="7">
        <v>46224.390528993063</v>
      </c>
      <c r="S358" s="7">
        <v>46224</v>
      </c>
      <c r="T358" s="7" t="str">
        <f t="shared" si="0"/>
        <v>julio</v>
      </c>
      <c r="U358" s="1" t="s">
        <v>330</v>
      </c>
      <c r="X358" s="1" t="s">
        <v>397</v>
      </c>
      <c r="Y358" s="1" t="s">
        <v>398</v>
      </c>
      <c r="Z358" s="1">
        <v>1</v>
      </c>
      <c r="AA358" s="3">
        <v>9737.2800000000007</v>
      </c>
      <c r="AB358" s="3">
        <v>9737.2800000000007</v>
      </c>
      <c r="AC358" s="1" t="str">
        <f>VLOOKUP(A358,[1]Detalle!$D$2:$CW$484,98,FALSE)</f>
        <v>SUC_MEN - Sucursal Mendoza</v>
      </c>
    </row>
    <row r="359" spans="1:29" ht="14.25" customHeight="1" x14ac:dyDescent="0.3">
      <c r="A359" s="1" t="s">
        <v>154</v>
      </c>
      <c r="B359" s="1">
        <v>1624</v>
      </c>
      <c r="C359" s="1" t="s">
        <v>396</v>
      </c>
      <c r="D359" s="1" t="s">
        <v>328</v>
      </c>
      <c r="E359" s="1">
        <v>0.75</v>
      </c>
      <c r="F359" s="1" t="s">
        <v>329</v>
      </c>
      <c r="G359" s="6">
        <v>45772</v>
      </c>
      <c r="H359" s="1">
        <v>264479</v>
      </c>
      <c r="I359" s="1">
        <v>284479</v>
      </c>
      <c r="J359" s="1">
        <v>6327.5000000000045</v>
      </c>
      <c r="K359" s="1">
        <v>13672.499999999991</v>
      </c>
      <c r="L359" s="1">
        <v>270806.5</v>
      </c>
      <c r="M359" s="1">
        <v>175</v>
      </c>
      <c r="N359" s="1">
        <v>34.372709677419373</v>
      </c>
      <c r="O359" s="1">
        <v>378.14105096799642</v>
      </c>
      <c r="P359" s="7">
        <v>45947</v>
      </c>
      <c r="Q359" s="1">
        <v>20000</v>
      </c>
      <c r="R359" s="7">
        <v>46325.141050972219</v>
      </c>
      <c r="S359" s="7">
        <v>46325</v>
      </c>
      <c r="T359" s="7" t="str">
        <f t="shared" si="0"/>
        <v>octubre</v>
      </c>
      <c r="U359" s="1" t="s">
        <v>330</v>
      </c>
      <c r="X359" s="1" t="s">
        <v>331</v>
      </c>
      <c r="Y359" s="1" t="s">
        <v>332</v>
      </c>
      <c r="Z359" s="1">
        <v>16</v>
      </c>
      <c r="AA359" s="3">
        <v>3389.9</v>
      </c>
      <c r="AB359" s="3">
        <v>54238.400000000001</v>
      </c>
      <c r="AC359" s="1" t="str">
        <f>VLOOKUP(A359,[1]Detalle!$D$2:$CW$484,98,FALSE)</f>
        <v>CCUCoAZA</v>
      </c>
    </row>
    <row r="360" spans="1:29" ht="14.25" customHeight="1" x14ac:dyDescent="0.3">
      <c r="A360" s="1" t="s">
        <v>154</v>
      </c>
      <c r="B360" s="1">
        <v>1624</v>
      </c>
      <c r="C360" s="1" t="s">
        <v>396</v>
      </c>
      <c r="D360" s="1" t="s">
        <v>328</v>
      </c>
      <c r="E360" s="1">
        <v>0.75</v>
      </c>
      <c r="F360" s="1" t="s">
        <v>329</v>
      </c>
      <c r="G360" s="6">
        <v>45772</v>
      </c>
      <c r="H360" s="1">
        <v>264479</v>
      </c>
      <c r="I360" s="1">
        <v>284479</v>
      </c>
      <c r="J360" s="1">
        <v>6327.5000000000045</v>
      </c>
      <c r="K360" s="1">
        <v>13672.499999999991</v>
      </c>
      <c r="L360" s="1">
        <v>270806.5</v>
      </c>
      <c r="M360" s="1">
        <v>175</v>
      </c>
      <c r="N360" s="1">
        <v>34.372709677419373</v>
      </c>
      <c r="O360" s="1">
        <v>378.14105096799642</v>
      </c>
      <c r="P360" s="7">
        <v>45947</v>
      </c>
      <c r="Q360" s="1">
        <v>20000</v>
      </c>
      <c r="R360" s="7">
        <v>46325.141050972219</v>
      </c>
      <c r="S360" s="7">
        <v>46325</v>
      </c>
      <c r="T360" s="7" t="str">
        <f t="shared" si="0"/>
        <v>octubre</v>
      </c>
      <c r="U360" s="1" t="s">
        <v>330</v>
      </c>
      <c r="X360" s="1" t="s">
        <v>397</v>
      </c>
      <c r="Y360" s="1" t="s">
        <v>398</v>
      </c>
      <c r="Z360" s="1">
        <v>1</v>
      </c>
      <c r="AA360" s="3">
        <v>9737.2800000000007</v>
      </c>
      <c r="AB360" s="3">
        <v>9737.2800000000007</v>
      </c>
      <c r="AC360" s="1" t="str">
        <f>VLOOKUP(A360,[1]Detalle!$D$2:$CW$484,98,FALSE)</f>
        <v>CCUCoAZA</v>
      </c>
    </row>
    <row r="361" spans="1:29" ht="14.25" customHeight="1" x14ac:dyDescent="0.3">
      <c r="A361" s="1" t="s">
        <v>153</v>
      </c>
      <c r="B361" s="1">
        <v>1624</v>
      </c>
      <c r="C361" s="1" t="s">
        <v>396</v>
      </c>
      <c r="D361" s="1" t="s">
        <v>328</v>
      </c>
      <c r="E361" s="1">
        <v>0.75</v>
      </c>
      <c r="F361" s="1" t="s">
        <v>329</v>
      </c>
      <c r="G361" s="6">
        <v>45908</v>
      </c>
      <c r="H361" s="1">
        <v>82173.399999999994</v>
      </c>
      <c r="I361" s="1">
        <v>102173.4</v>
      </c>
      <c r="J361" s="1">
        <v>5556.5</v>
      </c>
      <c r="K361" s="1">
        <v>14443.5</v>
      </c>
      <c r="L361" s="1">
        <v>87729.9</v>
      </c>
      <c r="M361" s="1">
        <v>39</v>
      </c>
      <c r="N361" s="1">
        <v>215.45547231270371</v>
      </c>
      <c r="O361" s="1">
        <v>101.37613605687029</v>
      </c>
      <c r="P361" s="7">
        <v>45947</v>
      </c>
      <c r="Q361" s="1">
        <v>20000</v>
      </c>
      <c r="R361" s="7">
        <v>46048.376136053237</v>
      </c>
      <c r="S361" s="7">
        <v>46048</v>
      </c>
      <c r="T361" s="7" t="str">
        <f t="shared" si="0"/>
        <v>enero</v>
      </c>
      <c r="U361" s="1" t="s">
        <v>330</v>
      </c>
      <c r="X361" s="1" t="s">
        <v>331</v>
      </c>
      <c r="Y361" s="1" t="s">
        <v>332</v>
      </c>
      <c r="Z361" s="1">
        <v>16</v>
      </c>
      <c r="AA361" s="3">
        <v>3389.9</v>
      </c>
      <c r="AB361" s="3">
        <v>54238.400000000001</v>
      </c>
      <c r="AC361" s="1" t="str">
        <f>VLOOKUP(A361,[1]Detalle!$D$2:$CW$484,98,FALSE)</f>
        <v>Expreso - Servicios Troncales</v>
      </c>
    </row>
    <row r="362" spans="1:29" ht="14.25" customHeight="1" x14ac:dyDescent="0.3">
      <c r="A362" s="1" t="s">
        <v>153</v>
      </c>
      <c r="B362" s="1">
        <v>1624</v>
      </c>
      <c r="C362" s="1" t="s">
        <v>396</v>
      </c>
      <c r="D362" s="1" t="s">
        <v>328</v>
      </c>
      <c r="E362" s="1">
        <v>0.75</v>
      </c>
      <c r="F362" s="1" t="s">
        <v>329</v>
      </c>
      <c r="G362" s="6">
        <v>45908</v>
      </c>
      <c r="H362" s="1">
        <v>82173.399999999994</v>
      </c>
      <c r="I362" s="1">
        <v>102173.4</v>
      </c>
      <c r="J362" s="1">
        <v>5556.5</v>
      </c>
      <c r="K362" s="1">
        <v>14443.5</v>
      </c>
      <c r="L362" s="1">
        <v>87729.9</v>
      </c>
      <c r="M362" s="1">
        <v>39</v>
      </c>
      <c r="N362" s="1">
        <v>215.45547231270371</v>
      </c>
      <c r="O362" s="1">
        <v>101.37613605687029</v>
      </c>
      <c r="P362" s="7">
        <v>45947</v>
      </c>
      <c r="Q362" s="1">
        <v>20000</v>
      </c>
      <c r="R362" s="7">
        <v>46048.376136053237</v>
      </c>
      <c r="S362" s="7">
        <v>46048</v>
      </c>
      <c r="T362" s="7" t="str">
        <f t="shared" si="0"/>
        <v>enero</v>
      </c>
      <c r="U362" s="1" t="s">
        <v>330</v>
      </c>
      <c r="X362" s="1" t="s">
        <v>397</v>
      </c>
      <c r="Y362" s="1" t="s">
        <v>398</v>
      </c>
      <c r="Z362" s="1">
        <v>1</v>
      </c>
      <c r="AA362" s="3">
        <v>9737.2800000000007</v>
      </c>
      <c r="AB362" s="3">
        <v>9737.2800000000007</v>
      </c>
      <c r="AC362" s="1" t="str">
        <f>VLOOKUP(A362,[1]Detalle!$D$2:$CW$484,98,FALSE)</f>
        <v>Expreso - Servicios Troncales</v>
      </c>
    </row>
    <row r="363" spans="1:29" ht="14.25" customHeight="1" x14ac:dyDescent="0.3">
      <c r="A363" s="1" t="s">
        <v>149</v>
      </c>
      <c r="B363" s="1">
        <v>1624</v>
      </c>
      <c r="C363" s="1" t="s">
        <v>396</v>
      </c>
      <c r="D363" s="1" t="s">
        <v>328</v>
      </c>
      <c r="E363" s="1">
        <v>0.75</v>
      </c>
      <c r="F363" s="1" t="s">
        <v>329</v>
      </c>
      <c r="G363" s="6">
        <v>45734</v>
      </c>
      <c r="H363" s="1">
        <v>662460</v>
      </c>
      <c r="I363" s="1">
        <v>682460</v>
      </c>
      <c r="J363" s="1">
        <v>20447.600000000009</v>
      </c>
      <c r="K363" s="1">
        <v>-447.60000000000582</v>
      </c>
      <c r="L363" s="1">
        <v>682907.6</v>
      </c>
      <c r="M363" s="1">
        <v>213</v>
      </c>
      <c r="N363" s="1">
        <v>113.6646794871796</v>
      </c>
      <c r="O363" s="1">
        <v>-4.6625912087482746</v>
      </c>
      <c r="P363" s="7">
        <v>45947</v>
      </c>
      <c r="Q363" s="1">
        <v>20000</v>
      </c>
      <c r="R363" s="7">
        <v>46122.956155335647</v>
      </c>
      <c r="S363" s="7">
        <v>46122</v>
      </c>
      <c r="T363" s="7" t="str">
        <f t="shared" si="0"/>
        <v>abril</v>
      </c>
      <c r="U363" s="1" t="s">
        <v>330</v>
      </c>
      <c r="X363" s="1" t="s">
        <v>331</v>
      </c>
      <c r="Y363" s="1" t="s">
        <v>332</v>
      </c>
      <c r="Z363" s="1">
        <v>16</v>
      </c>
      <c r="AA363" s="3">
        <v>3389.9</v>
      </c>
      <c r="AB363" s="3">
        <v>54238.400000000001</v>
      </c>
      <c r="AC363" s="1" t="str">
        <f>VLOOKUP(A363,[1]Detalle!$D$2:$CW$484,98,FALSE)</f>
        <v>Papelera - Papelera del Plata S.A.</v>
      </c>
    </row>
    <row r="364" spans="1:29" ht="14.25" customHeight="1" x14ac:dyDescent="0.3">
      <c r="A364" s="1" t="s">
        <v>149</v>
      </c>
      <c r="B364" s="1">
        <v>1624</v>
      </c>
      <c r="C364" s="1" t="s">
        <v>396</v>
      </c>
      <c r="D364" s="1" t="s">
        <v>328</v>
      </c>
      <c r="E364" s="1">
        <v>0.75</v>
      </c>
      <c r="F364" s="1" t="s">
        <v>329</v>
      </c>
      <c r="G364" s="6">
        <v>45734</v>
      </c>
      <c r="H364" s="1">
        <v>662460</v>
      </c>
      <c r="I364" s="1">
        <v>682460</v>
      </c>
      <c r="J364" s="1">
        <v>20447.600000000009</v>
      </c>
      <c r="K364" s="1">
        <v>-447.60000000000582</v>
      </c>
      <c r="L364" s="1">
        <v>682907.6</v>
      </c>
      <c r="M364" s="1">
        <v>213</v>
      </c>
      <c r="N364" s="1">
        <v>113.6646794871796</v>
      </c>
      <c r="O364" s="1">
        <v>-4.6625912087482746</v>
      </c>
      <c r="P364" s="7">
        <v>45947</v>
      </c>
      <c r="Q364" s="1">
        <v>20000</v>
      </c>
      <c r="R364" s="7">
        <v>46122.956155335647</v>
      </c>
      <c r="S364" s="7">
        <v>46122</v>
      </c>
      <c r="T364" s="7" t="str">
        <f t="shared" si="0"/>
        <v>abril</v>
      </c>
      <c r="U364" s="1" t="s">
        <v>330</v>
      </c>
      <c r="X364" s="1" t="s">
        <v>397</v>
      </c>
      <c r="Y364" s="1" t="s">
        <v>398</v>
      </c>
      <c r="Z364" s="1">
        <v>1</v>
      </c>
      <c r="AA364" s="3">
        <v>9737.2800000000007</v>
      </c>
      <c r="AB364" s="3">
        <v>9737.2800000000007</v>
      </c>
      <c r="AC364" s="1" t="str">
        <f>VLOOKUP(A364,[1]Detalle!$D$2:$CW$484,98,FALSE)</f>
        <v>Papelera - Papelera del Plata S.A.</v>
      </c>
    </row>
    <row r="365" spans="1:29" ht="14.25" customHeight="1" x14ac:dyDescent="0.3">
      <c r="A365" s="1" t="s">
        <v>148</v>
      </c>
      <c r="B365" s="1">
        <v>1624</v>
      </c>
      <c r="C365" s="1" t="s">
        <v>396</v>
      </c>
      <c r="D365" s="1" t="s">
        <v>328</v>
      </c>
      <c r="E365" s="1">
        <v>0.75</v>
      </c>
      <c r="F365" s="1" t="s">
        <v>329</v>
      </c>
      <c r="G365" s="6">
        <v>45862</v>
      </c>
      <c r="H365" s="1">
        <v>808028</v>
      </c>
      <c r="I365" s="1">
        <v>828028</v>
      </c>
      <c r="J365" s="1">
        <v>7209.7999999999984</v>
      </c>
      <c r="K365" s="1">
        <v>12790.2</v>
      </c>
      <c r="L365" s="1">
        <v>815237.8</v>
      </c>
      <c r="M365" s="1">
        <v>85</v>
      </c>
      <c r="N365" s="1">
        <v>100.27773026315791</v>
      </c>
      <c r="O365" s="1">
        <v>150.79017448472919</v>
      </c>
      <c r="P365" s="7">
        <v>45947</v>
      </c>
      <c r="Q365" s="1">
        <v>20000</v>
      </c>
      <c r="R365" s="7">
        <v>46097.790174479167</v>
      </c>
      <c r="S365" s="7">
        <v>46097</v>
      </c>
      <c r="T365" s="7" t="str">
        <f t="shared" si="0"/>
        <v>marzo</v>
      </c>
      <c r="U365" s="1" t="s">
        <v>330</v>
      </c>
      <c r="X365" s="1" t="s">
        <v>331</v>
      </c>
      <c r="Y365" s="1" t="s">
        <v>332</v>
      </c>
      <c r="Z365" s="1">
        <v>16</v>
      </c>
      <c r="AA365" s="3">
        <v>3389.9</v>
      </c>
      <c r="AB365" s="3">
        <v>54238.400000000001</v>
      </c>
      <c r="AC365" s="1" t="str">
        <f>VLOOKUP(A365,[1]Detalle!$D$2:$CW$484,98,FALSE)</f>
        <v>JOHNSON - SC JOHNSON DE ARGENTINA SAIC</v>
      </c>
    </row>
    <row r="366" spans="1:29" ht="14.25" customHeight="1" x14ac:dyDescent="0.3">
      <c r="A366" s="1" t="s">
        <v>148</v>
      </c>
      <c r="B366" s="1">
        <v>1624</v>
      </c>
      <c r="C366" s="1" t="s">
        <v>396</v>
      </c>
      <c r="D366" s="1" t="s">
        <v>328</v>
      </c>
      <c r="E366" s="1">
        <v>0.75</v>
      </c>
      <c r="F366" s="1" t="s">
        <v>329</v>
      </c>
      <c r="G366" s="6">
        <v>45862</v>
      </c>
      <c r="H366" s="1">
        <v>808028</v>
      </c>
      <c r="I366" s="1">
        <v>828028</v>
      </c>
      <c r="J366" s="1">
        <v>7209.7999999999984</v>
      </c>
      <c r="K366" s="1">
        <v>12790.2</v>
      </c>
      <c r="L366" s="1">
        <v>815237.8</v>
      </c>
      <c r="M366" s="1">
        <v>85</v>
      </c>
      <c r="N366" s="1">
        <v>100.27773026315791</v>
      </c>
      <c r="O366" s="1">
        <v>150.79017448472919</v>
      </c>
      <c r="P366" s="7">
        <v>45947</v>
      </c>
      <c r="Q366" s="1">
        <v>20000</v>
      </c>
      <c r="R366" s="7">
        <v>46097.790174479167</v>
      </c>
      <c r="S366" s="7">
        <v>46097</v>
      </c>
      <c r="T366" s="7" t="str">
        <f t="shared" si="0"/>
        <v>marzo</v>
      </c>
      <c r="U366" s="1" t="s">
        <v>330</v>
      </c>
      <c r="X366" s="1" t="s">
        <v>397</v>
      </c>
      <c r="Y366" s="1" t="s">
        <v>398</v>
      </c>
      <c r="Z366" s="1">
        <v>1</v>
      </c>
      <c r="AA366" s="3">
        <v>9737.2800000000007</v>
      </c>
      <c r="AB366" s="3">
        <v>9737.2800000000007</v>
      </c>
      <c r="AC366" s="1" t="str">
        <f>VLOOKUP(A366,[1]Detalle!$D$2:$CW$484,98,FALSE)</f>
        <v>JOHNSON - SC JOHNSON DE ARGENTINA SAIC</v>
      </c>
    </row>
    <row r="367" spans="1:29" ht="14.25" customHeight="1" x14ac:dyDescent="0.3">
      <c r="A367" s="1" t="s">
        <v>147</v>
      </c>
      <c r="B367" s="1">
        <v>1624</v>
      </c>
      <c r="C367" s="1" t="s">
        <v>396</v>
      </c>
      <c r="D367" s="1" t="s">
        <v>328</v>
      </c>
      <c r="E367" s="1">
        <v>0.75</v>
      </c>
      <c r="F367" s="1" t="s">
        <v>329</v>
      </c>
      <c r="G367" s="6">
        <v>45723</v>
      </c>
      <c r="H367" s="1">
        <v>27910.9</v>
      </c>
      <c r="I367" s="1">
        <v>47910.9</v>
      </c>
      <c r="J367" s="1">
        <v>19185.899999999991</v>
      </c>
      <c r="K367" s="1">
        <v>814.10000000000582</v>
      </c>
      <c r="L367" s="1">
        <v>47096.800000000003</v>
      </c>
      <c r="M367" s="1">
        <v>224</v>
      </c>
      <c r="N367" s="1">
        <v>76.974301470588202</v>
      </c>
      <c r="O367" s="1">
        <v>9.5048134306965721</v>
      </c>
      <c r="P367" s="7">
        <v>45947</v>
      </c>
      <c r="Q367" s="1">
        <v>20000</v>
      </c>
      <c r="R367" s="7">
        <v>46216.331789675933</v>
      </c>
      <c r="S367" s="7">
        <v>46216</v>
      </c>
      <c r="T367" s="7" t="str">
        <f t="shared" si="0"/>
        <v>julio</v>
      </c>
      <c r="U367" s="1" t="s">
        <v>330</v>
      </c>
      <c r="X367" s="1" t="s">
        <v>331</v>
      </c>
      <c r="Y367" s="1" t="s">
        <v>332</v>
      </c>
      <c r="Z367" s="1">
        <v>16</v>
      </c>
      <c r="AA367" s="3">
        <v>3389.9</v>
      </c>
      <c r="AB367" s="3">
        <v>54238.400000000001</v>
      </c>
      <c r="AC367" s="1" t="str">
        <f>VLOOKUP(A367,[1]Detalle!$D$2:$CW$484,98,FALSE)</f>
        <v>SUC_SLU - Sucursal San Luis</v>
      </c>
    </row>
    <row r="368" spans="1:29" ht="14.25" customHeight="1" x14ac:dyDescent="0.3">
      <c r="A368" s="1" t="s">
        <v>147</v>
      </c>
      <c r="B368" s="1">
        <v>1624</v>
      </c>
      <c r="C368" s="1" t="s">
        <v>396</v>
      </c>
      <c r="D368" s="1" t="s">
        <v>328</v>
      </c>
      <c r="E368" s="1">
        <v>0.75</v>
      </c>
      <c r="F368" s="1" t="s">
        <v>329</v>
      </c>
      <c r="G368" s="6">
        <v>45723</v>
      </c>
      <c r="H368" s="1">
        <v>27910.9</v>
      </c>
      <c r="I368" s="1">
        <v>47910.9</v>
      </c>
      <c r="J368" s="1">
        <v>19185.899999999991</v>
      </c>
      <c r="K368" s="1">
        <v>814.10000000000582</v>
      </c>
      <c r="L368" s="1">
        <v>47096.800000000003</v>
      </c>
      <c r="M368" s="1">
        <v>224</v>
      </c>
      <c r="N368" s="1">
        <v>76.974301470588202</v>
      </c>
      <c r="O368" s="1">
        <v>9.5048134306965721</v>
      </c>
      <c r="P368" s="7">
        <v>45947</v>
      </c>
      <c r="Q368" s="1">
        <v>20000</v>
      </c>
      <c r="R368" s="7">
        <v>46216.331789675933</v>
      </c>
      <c r="S368" s="7">
        <v>46216</v>
      </c>
      <c r="T368" s="7" t="str">
        <f t="shared" si="0"/>
        <v>julio</v>
      </c>
      <c r="U368" s="1" t="s">
        <v>330</v>
      </c>
      <c r="X368" s="1" t="s">
        <v>397</v>
      </c>
      <c r="Y368" s="1" t="s">
        <v>398</v>
      </c>
      <c r="Z368" s="1">
        <v>1</v>
      </c>
      <c r="AA368" s="3">
        <v>9737.2800000000007</v>
      </c>
      <c r="AB368" s="3">
        <v>9737.2800000000007</v>
      </c>
      <c r="AC368" s="1" t="str">
        <f>VLOOKUP(A368,[1]Detalle!$D$2:$CW$484,98,FALSE)</f>
        <v>SUC_SLU - Sucursal San Luis</v>
      </c>
    </row>
    <row r="369" spans="1:29" ht="14.25" customHeight="1" x14ac:dyDescent="0.3">
      <c r="A369" s="1" t="s">
        <v>146</v>
      </c>
      <c r="B369" s="1">
        <v>1624</v>
      </c>
      <c r="C369" s="1" t="s">
        <v>396</v>
      </c>
      <c r="D369" s="1" t="s">
        <v>328</v>
      </c>
      <c r="E369" s="1">
        <v>0.75</v>
      </c>
      <c r="F369" s="1" t="s">
        <v>329</v>
      </c>
      <c r="G369" s="6">
        <v>45831</v>
      </c>
      <c r="H369" s="1">
        <v>511084</v>
      </c>
      <c r="I369" s="1">
        <v>531084</v>
      </c>
      <c r="J369" s="1">
        <v>8073.1000000000013</v>
      </c>
      <c r="K369" s="1">
        <v>11926.9</v>
      </c>
      <c r="L369" s="1">
        <v>519157.1</v>
      </c>
      <c r="M369" s="1">
        <v>116</v>
      </c>
      <c r="N369" s="1">
        <v>57.283729903536972</v>
      </c>
      <c r="O369" s="1">
        <v>171.3741189877494</v>
      </c>
      <c r="P369" s="7">
        <v>45947</v>
      </c>
      <c r="Q369" s="1">
        <v>20000</v>
      </c>
      <c r="R369" s="7">
        <v>46118.374118993059</v>
      </c>
      <c r="S369" s="7">
        <v>46118</v>
      </c>
      <c r="T369" s="7" t="str">
        <f t="shared" si="0"/>
        <v>abril</v>
      </c>
      <c r="U369" s="1" t="s">
        <v>330</v>
      </c>
      <c r="X369" s="1" t="s">
        <v>331</v>
      </c>
      <c r="Y369" s="1" t="s">
        <v>332</v>
      </c>
      <c r="Z369" s="1">
        <v>16</v>
      </c>
      <c r="AA369" s="3">
        <v>3389.9</v>
      </c>
      <c r="AB369" s="3">
        <v>54238.400000000001</v>
      </c>
      <c r="AC369" s="1" t="str">
        <f>VLOOKUP(A369,[1]Detalle!$D$2:$CW$484,98,FALSE)</f>
        <v>Unilever - Unilever de Arg. S.A.</v>
      </c>
    </row>
    <row r="370" spans="1:29" ht="14.25" customHeight="1" x14ac:dyDescent="0.3">
      <c r="A370" s="1" t="s">
        <v>146</v>
      </c>
      <c r="B370" s="1">
        <v>1624</v>
      </c>
      <c r="C370" s="1" t="s">
        <v>396</v>
      </c>
      <c r="D370" s="1" t="s">
        <v>328</v>
      </c>
      <c r="E370" s="1">
        <v>0.75</v>
      </c>
      <c r="F370" s="1" t="s">
        <v>329</v>
      </c>
      <c r="G370" s="6">
        <v>45831</v>
      </c>
      <c r="H370" s="1">
        <v>511084</v>
      </c>
      <c r="I370" s="1">
        <v>531084</v>
      </c>
      <c r="J370" s="1">
        <v>8073.1000000000013</v>
      </c>
      <c r="K370" s="1">
        <v>11926.9</v>
      </c>
      <c r="L370" s="1">
        <v>519157.1</v>
      </c>
      <c r="M370" s="1">
        <v>116</v>
      </c>
      <c r="N370" s="1">
        <v>57.283729903536972</v>
      </c>
      <c r="O370" s="1">
        <v>171.3741189877494</v>
      </c>
      <c r="P370" s="7">
        <v>45947</v>
      </c>
      <c r="Q370" s="1">
        <v>20000</v>
      </c>
      <c r="R370" s="7">
        <v>46118.374118993059</v>
      </c>
      <c r="S370" s="7">
        <v>46118</v>
      </c>
      <c r="T370" s="7" t="str">
        <f t="shared" si="0"/>
        <v>abril</v>
      </c>
      <c r="U370" s="1" t="s">
        <v>330</v>
      </c>
      <c r="X370" s="1" t="s">
        <v>397</v>
      </c>
      <c r="Y370" s="1" t="s">
        <v>398</v>
      </c>
      <c r="Z370" s="1">
        <v>1</v>
      </c>
      <c r="AA370" s="3">
        <v>9737.2800000000007</v>
      </c>
      <c r="AB370" s="3">
        <v>9737.2800000000007</v>
      </c>
      <c r="AC370" s="1" t="str">
        <f>VLOOKUP(A370,[1]Detalle!$D$2:$CW$484,98,FALSE)</f>
        <v>Unilever - Unilever de Arg. S.A.</v>
      </c>
    </row>
    <row r="371" spans="1:29" ht="14.25" customHeight="1" x14ac:dyDescent="0.3">
      <c r="A371" s="1" t="s">
        <v>145</v>
      </c>
      <c r="B371" s="1">
        <v>1624</v>
      </c>
      <c r="C371" s="1" t="s">
        <v>396</v>
      </c>
      <c r="D371" s="1" t="s">
        <v>328</v>
      </c>
      <c r="E371" s="1">
        <v>0.75</v>
      </c>
      <c r="F371" s="1" t="s">
        <v>329</v>
      </c>
      <c r="G371" s="6">
        <v>45848</v>
      </c>
      <c r="H371" s="1">
        <v>234133</v>
      </c>
      <c r="I371" s="1">
        <v>254133</v>
      </c>
      <c r="J371" s="1">
        <v>4079.8</v>
      </c>
      <c r="K371" s="1">
        <v>15920.2</v>
      </c>
      <c r="L371" s="1">
        <v>238212.8</v>
      </c>
      <c r="M371" s="1">
        <v>99</v>
      </c>
      <c r="N371" s="1">
        <v>38.995387096774238</v>
      </c>
      <c r="O371" s="1">
        <v>386.31790774057549</v>
      </c>
      <c r="P371" s="7">
        <v>45947</v>
      </c>
      <c r="Q371" s="1">
        <v>20000</v>
      </c>
      <c r="R371" s="7">
        <v>46333.317907743047</v>
      </c>
      <c r="S371" s="7">
        <v>46333</v>
      </c>
      <c r="T371" s="7" t="str">
        <f t="shared" si="0"/>
        <v>noviembre</v>
      </c>
      <c r="U371" s="1" t="s">
        <v>330</v>
      </c>
      <c r="X371" s="1" t="s">
        <v>331</v>
      </c>
      <c r="Y371" s="1" t="s">
        <v>332</v>
      </c>
      <c r="Z371" s="1">
        <v>16</v>
      </c>
      <c r="AA371" s="3">
        <v>3389.9</v>
      </c>
      <c r="AB371" s="3">
        <v>54238.400000000001</v>
      </c>
      <c r="AC371" s="1" t="str">
        <f>VLOOKUP(A371,[1]Detalle!$D$2:$CW$484,98,FALSE)</f>
        <v>CCUCoAZA</v>
      </c>
    </row>
    <row r="372" spans="1:29" ht="14.25" customHeight="1" x14ac:dyDescent="0.3">
      <c r="A372" s="1" t="s">
        <v>145</v>
      </c>
      <c r="B372" s="1">
        <v>1624</v>
      </c>
      <c r="C372" s="1" t="s">
        <v>396</v>
      </c>
      <c r="D372" s="1" t="s">
        <v>328</v>
      </c>
      <c r="E372" s="1">
        <v>0.75</v>
      </c>
      <c r="F372" s="1" t="s">
        <v>329</v>
      </c>
      <c r="G372" s="6">
        <v>45848</v>
      </c>
      <c r="H372" s="1">
        <v>234133</v>
      </c>
      <c r="I372" s="1">
        <v>254133</v>
      </c>
      <c r="J372" s="1">
        <v>4079.8</v>
      </c>
      <c r="K372" s="1">
        <v>15920.2</v>
      </c>
      <c r="L372" s="1">
        <v>238212.8</v>
      </c>
      <c r="M372" s="1">
        <v>99</v>
      </c>
      <c r="N372" s="1">
        <v>38.995387096774238</v>
      </c>
      <c r="O372" s="1">
        <v>386.31790774057549</v>
      </c>
      <c r="P372" s="7">
        <v>45947</v>
      </c>
      <c r="Q372" s="1">
        <v>20000</v>
      </c>
      <c r="R372" s="7">
        <v>46333.317907743047</v>
      </c>
      <c r="S372" s="7">
        <v>46333</v>
      </c>
      <c r="T372" s="7" t="str">
        <f t="shared" si="0"/>
        <v>noviembre</v>
      </c>
      <c r="U372" s="1" t="s">
        <v>330</v>
      </c>
      <c r="X372" s="1" t="s">
        <v>397</v>
      </c>
      <c r="Y372" s="1" t="s">
        <v>398</v>
      </c>
      <c r="Z372" s="1">
        <v>1</v>
      </c>
      <c r="AA372" s="3">
        <v>9737.2800000000007</v>
      </c>
      <c r="AB372" s="3">
        <v>9737.2800000000007</v>
      </c>
      <c r="AC372" s="1" t="str">
        <f>VLOOKUP(A372,[1]Detalle!$D$2:$CW$484,98,FALSE)</f>
        <v>CCUCoAZA</v>
      </c>
    </row>
    <row r="373" spans="1:29" ht="14.25" customHeight="1" x14ac:dyDescent="0.3">
      <c r="A373" s="1" t="s">
        <v>144</v>
      </c>
      <c r="B373" s="1">
        <v>1624</v>
      </c>
      <c r="C373" s="1" t="s">
        <v>396</v>
      </c>
      <c r="D373" s="1" t="s">
        <v>328</v>
      </c>
      <c r="E373" s="1">
        <v>0.75</v>
      </c>
      <c r="F373" s="1" t="s">
        <v>329</v>
      </c>
      <c r="G373" s="6">
        <v>45840</v>
      </c>
      <c r="H373" s="1">
        <v>619280</v>
      </c>
      <c r="I373" s="1">
        <v>639280</v>
      </c>
      <c r="J373" s="1">
        <v>8001.9999999999982</v>
      </c>
      <c r="K373" s="1">
        <v>11998</v>
      </c>
      <c r="L373" s="1">
        <v>627282</v>
      </c>
      <c r="M373" s="1">
        <v>107</v>
      </c>
      <c r="N373" s="1">
        <v>80.140288461538475</v>
      </c>
      <c r="O373" s="1">
        <v>160.43314171457141</v>
      </c>
      <c r="P373" s="7">
        <v>45947</v>
      </c>
      <c r="Q373" s="1">
        <v>20000</v>
      </c>
      <c r="R373" s="7">
        <v>46107.433141712972</v>
      </c>
      <c r="S373" s="7">
        <v>46107</v>
      </c>
      <c r="T373" s="7" t="str">
        <f t="shared" si="0"/>
        <v>marzo</v>
      </c>
      <c r="U373" s="1" t="s">
        <v>330</v>
      </c>
      <c r="X373" s="1" t="s">
        <v>331</v>
      </c>
      <c r="Y373" s="1" t="s">
        <v>332</v>
      </c>
      <c r="Z373" s="1">
        <v>16</v>
      </c>
      <c r="AA373" s="3">
        <v>3389.9</v>
      </c>
      <c r="AB373" s="3">
        <v>54238.400000000001</v>
      </c>
      <c r="AC373" s="1" t="str">
        <f>VLOOKUP(A373,[1]Detalle!$D$2:$CW$484,98,FALSE)</f>
        <v>Papelera - Papelera del Plata S.A.</v>
      </c>
    </row>
    <row r="374" spans="1:29" ht="14.25" customHeight="1" x14ac:dyDescent="0.3">
      <c r="A374" s="1" t="s">
        <v>144</v>
      </c>
      <c r="B374" s="1">
        <v>1624</v>
      </c>
      <c r="C374" s="1" t="s">
        <v>396</v>
      </c>
      <c r="D374" s="1" t="s">
        <v>328</v>
      </c>
      <c r="E374" s="1">
        <v>0.75</v>
      </c>
      <c r="F374" s="1" t="s">
        <v>329</v>
      </c>
      <c r="G374" s="6">
        <v>45840</v>
      </c>
      <c r="H374" s="1">
        <v>619280</v>
      </c>
      <c r="I374" s="1">
        <v>639280</v>
      </c>
      <c r="J374" s="1">
        <v>8001.9999999999982</v>
      </c>
      <c r="K374" s="1">
        <v>11998</v>
      </c>
      <c r="L374" s="1">
        <v>627282</v>
      </c>
      <c r="M374" s="1">
        <v>107</v>
      </c>
      <c r="N374" s="1">
        <v>80.140288461538475</v>
      </c>
      <c r="O374" s="1">
        <v>160.43314171457141</v>
      </c>
      <c r="P374" s="7">
        <v>45947</v>
      </c>
      <c r="Q374" s="1">
        <v>20000</v>
      </c>
      <c r="R374" s="7">
        <v>46107.433141712972</v>
      </c>
      <c r="S374" s="7">
        <v>46107</v>
      </c>
      <c r="T374" s="7" t="str">
        <f t="shared" si="0"/>
        <v>marzo</v>
      </c>
      <c r="U374" s="1" t="s">
        <v>330</v>
      </c>
      <c r="X374" s="1" t="s">
        <v>397</v>
      </c>
      <c r="Y374" s="1" t="s">
        <v>398</v>
      </c>
      <c r="Z374" s="1">
        <v>1</v>
      </c>
      <c r="AA374" s="3">
        <v>9737.2800000000007</v>
      </c>
      <c r="AB374" s="3">
        <v>9737.2800000000007</v>
      </c>
      <c r="AC374" s="1" t="str">
        <f>VLOOKUP(A374,[1]Detalle!$D$2:$CW$484,98,FALSE)</f>
        <v>Papelera - Papelera del Plata S.A.</v>
      </c>
    </row>
    <row r="375" spans="1:29" ht="14.25" customHeight="1" x14ac:dyDescent="0.3">
      <c r="A375" s="1" t="s">
        <v>143</v>
      </c>
      <c r="B375" s="1">
        <v>1624</v>
      </c>
      <c r="C375" s="1" t="s">
        <v>396</v>
      </c>
      <c r="D375" s="1" t="s">
        <v>328</v>
      </c>
      <c r="E375" s="1">
        <v>0.75</v>
      </c>
      <c r="F375" s="1" t="s">
        <v>329</v>
      </c>
      <c r="G375" s="6">
        <v>45912</v>
      </c>
      <c r="H375" s="1">
        <v>723287</v>
      </c>
      <c r="I375" s="1">
        <v>743287</v>
      </c>
      <c r="J375" s="1">
        <v>0</v>
      </c>
      <c r="K375" s="1">
        <v>20000</v>
      </c>
      <c r="L375" s="1">
        <v>723287</v>
      </c>
      <c r="M375" s="1">
        <v>35</v>
      </c>
      <c r="N375" s="1">
        <v>1.7600651465798041</v>
      </c>
      <c r="O375" s="1">
        <v>200</v>
      </c>
      <c r="P375" s="7">
        <v>45947</v>
      </c>
      <c r="Q375" s="1">
        <v>20000</v>
      </c>
      <c r="R375" s="7">
        <v>46147</v>
      </c>
      <c r="S375" s="7">
        <v>46147</v>
      </c>
      <c r="T375" s="7" t="str">
        <f t="shared" si="0"/>
        <v>mayo</v>
      </c>
      <c r="U375" s="1" t="s">
        <v>330</v>
      </c>
      <c r="X375" s="1" t="s">
        <v>331</v>
      </c>
      <c r="Y375" s="1" t="s">
        <v>332</v>
      </c>
      <c r="Z375" s="1">
        <v>16</v>
      </c>
      <c r="AA375" s="3">
        <v>3389.9</v>
      </c>
      <c r="AB375" s="3">
        <v>54238.400000000001</v>
      </c>
      <c r="AC375" s="1" t="str">
        <f>VLOOKUP(A375,[1]Detalle!$D$2:$CW$484,98,FALSE)</f>
        <v>CENCO_MZ - Cencosud SA - Mendoza</v>
      </c>
    </row>
    <row r="376" spans="1:29" ht="14.25" customHeight="1" x14ac:dyDescent="0.3">
      <c r="A376" s="1" t="s">
        <v>143</v>
      </c>
      <c r="B376" s="1">
        <v>1624</v>
      </c>
      <c r="C376" s="1" t="s">
        <v>396</v>
      </c>
      <c r="D376" s="1" t="s">
        <v>328</v>
      </c>
      <c r="E376" s="1">
        <v>0.75</v>
      </c>
      <c r="F376" s="1" t="s">
        <v>329</v>
      </c>
      <c r="G376" s="6">
        <v>45912</v>
      </c>
      <c r="H376" s="1">
        <v>723287</v>
      </c>
      <c r="I376" s="1">
        <v>743287</v>
      </c>
      <c r="J376" s="1">
        <v>0</v>
      </c>
      <c r="K376" s="1">
        <v>20000</v>
      </c>
      <c r="L376" s="1">
        <v>723287</v>
      </c>
      <c r="M376" s="1">
        <v>35</v>
      </c>
      <c r="N376" s="1">
        <v>1.7600651465798041</v>
      </c>
      <c r="O376" s="1">
        <v>200</v>
      </c>
      <c r="P376" s="7">
        <v>45947</v>
      </c>
      <c r="Q376" s="1">
        <v>20000</v>
      </c>
      <c r="R376" s="7">
        <v>46147</v>
      </c>
      <c r="S376" s="7">
        <v>46147</v>
      </c>
      <c r="T376" s="7" t="str">
        <f t="shared" si="0"/>
        <v>mayo</v>
      </c>
      <c r="U376" s="1" t="s">
        <v>330</v>
      </c>
      <c r="X376" s="1" t="s">
        <v>397</v>
      </c>
      <c r="Y376" s="1" t="s">
        <v>398</v>
      </c>
      <c r="Z376" s="1">
        <v>1</v>
      </c>
      <c r="AA376" s="3">
        <v>9737.2800000000007</v>
      </c>
      <c r="AB376" s="3">
        <v>9737.2800000000007</v>
      </c>
      <c r="AC376" s="1" t="str">
        <f>VLOOKUP(A376,[1]Detalle!$D$2:$CW$484,98,FALSE)</f>
        <v>CENCO_MZ - Cencosud SA - Mendoza</v>
      </c>
    </row>
    <row r="377" spans="1:29" ht="14.25" customHeight="1" x14ac:dyDescent="0.3">
      <c r="A377" s="1" t="s">
        <v>142</v>
      </c>
      <c r="B377" s="1">
        <v>1624</v>
      </c>
      <c r="C377" s="1" t="s">
        <v>396</v>
      </c>
      <c r="D377" s="1" t="s">
        <v>328</v>
      </c>
      <c r="E377" s="1">
        <v>0.75</v>
      </c>
      <c r="F377" s="1" t="s">
        <v>329</v>
      </c>
      <c r="G377" s="6">
        <v>45834</v>
      </c>
      <c r="H377" s="1">
        <v>831926</v>
      </c>
      <c r="I377" s="1">
        <v>851926</v>
      </c>
      <c r="J377" s="1">
        <v>9266.100000000004</v>
      </c>
      <c r="K377" s="1">
        <v>10733.9</v>
      </c>
      <c r="L377" s="1">
        <v>841192.1</v>
      </c>
      <c r="M377" s="1">
        <v>113</v>
      </c>
      <c r="N377" s="1">
        <v>68.472829581993537</v>
      </c>
      <c r="O377" s="1">
        <v>130.89980682271931</v>
      </c>
      <c r="P377" s="7">
        <v>45947</v>
      </c>
      <c r="Q377" s="1">
        <v>20000</v>
      </c>
      <c r="R377" s="7">
        <v>46077.899806817128</v>
      </c>
      <c r="S377" s="7">
        <v>46077</v>
      </c>
      <c r="T377" s="7" t="str">
        <f t="shared" si="0"/>
        <v>febrero</v>
      </c>
      <c r="U377" s="1" t="s">
        <v>330</v>
      </c>
      <c r="X377" s="1" t="s">
        <v>331</v>
      </c>
      <c r="Y377" s="1" t="s">
        <v>332</v>
      </c>
      <c r="Z377" s="1">
        <v>16</v>
      </c>
      <c r="AA377" s="3">
        <v>3389.9</v>
      </c>
      <c r="AB377" s="3">
        <v>54238.400000000001</v>
      </c>
      <c r="AC377" s="1" t="str">
        <f>VLOOKUP(A377,[1]Detalle!$D$2:$CW$484,98,FALSE)</f>
        <v>Papelera - Papelera del Plata S.A.</v>
      </c>
    </row>
    <row r="378" spans="1:29" ht="14.25" customHeight="1" x14ac:dyDescent="0.3">
      <c r="A378" s="1" t="s">
        <v>142</v>
      </c>
      <c r="B378" s="1">
        <v>1624</v>
      </c>
      <c r="C378" s="1" t="s">
        <v>396</v>
      </c>
      <c r="D378" s="1" t="s">
        <v>328</v>
      </c>
      <c r="E378" s="1">
        <v>0.75</v>
      </c>
      <c r="F378" s="1" t="s">
        <v>329</v>
      </c>
      <c r="G378" s="6">
        <v>45834</v>
      </c>
      <c r="H378" s="1">
        <v>831926</v>
      </c>
      <c r="I378" s="1">
        <v>851926</v>
      </c>
      <c r="J378" s="1">
        <v>9266.100000000004</v>
      </c>
      <c r="K378" s="1">
        <v>10733.9</v>
      </c>
      <c r="L378" s="1">
        <v>841192.1</v>
      </c>
      <c r="M378" s="1">
        <v>113</v>
      </c>
      <c r="N378" s="1">
        <v>68.472829581993537</v>
      </c>
      <c r="O378" s="1">
        <v>130.89980682271931</v>
      </c>
      <c r="P378" s="7">
        <v>45947</v>
      </c>
      <c r="Q378" s="1">
        <v>20000</v>
      </c>
      <c r="R378" s="7">
        <v>46077.899806817128</v>
      </c>
      <c r="S378" s="7">
        <v>46077</v>
      </c>
      <c r="T378" s="7" t="str">
        <f t="shared" si="0"/>
        <v>febrero</v>
      </c>
      <c r="U378" s="1" t="s">
        <v>330</v>
      </c>
      <c r="X378" s="1" t="s">
        <v>397</v>
      </c>
      <c r="Y378" s="1" t="s">
        <v>398</v>
      </c>
      <c r="Z378" s="1">
        <v>1</v>
      </c>
      <c r="AA378" s="3">
        <v>9737.2800000000007</v>
      </c>
      <c r="AB378" s="3">
        <v>9737.2800000000007</v>
      </c>
      <c r="AC378" s="1" t="str">
        <f>VLOOKUP(A378,[1]Detalle!$D$2:$CW$484,98,FALSE)</f>
        <v>Papelera - Papelera del Plata S.A.</v>
      </c>
    </row>
    <row r="379" spans="1:29" ht="14.25" customHeight="1" x14ac:dyDescent="0.3">
      <c r="A379" s="1" t="s">
        <v>141</v>
      </c>
      <c r="B379" s="1">
        <v>1624</v>
      </c>
      <c r="C379" s="1" t="s">
        <v>396</v>
      </c>
      <c r="D379" s="1" t="s">
        <v>328</v>
      </c>
      <c r="E379" s="1">
        <v>0.75</v>
      </c>
      <c r="F379" s="1" t="s">
        <v>329</v>
      </c>
      <c r="G379" s="6">
        <v>45862</v>
      </c>
      <c r="H379" s="1">
        <v>484180</v>
      </c>
      <c r="I379" s="1">
        <v>504180</v>
      </c>
      <c r="J379" s="1">
        <v>6154.3000000000011</v>
      </c>
      <c r="K379" s="1">
        <v>13845.7</v>
      </c>
      <c r="L379" s="1">
        <v>490334.3</v>
      </c>
      <c r="M379" s="1">
        <v>85</v>
      </c>
      <c r="N379" s="1">
        <v>131.1199356913184</v>
      </c>
      <c r="O379" s="1">
        <v>191.22962806493021</v>
      </c>
      <c r="P379" s="7">
        <v>45947</v>
      </c>
      <c r="Q379" s="1">
        <v>20000</v>
      </c>
      <c r="R379" s="7">
        <v>46138.229628067129</v>
      </c>
      <c r="S379" s="7">
        <v>46138</v>
      </c>
      <c r="T379" s="7" t="str">
        <f t="shared" si="0"/>
        <v>abril</v>
      </c>
      <c r="U379" s="1" t="s">
        <v>330</v>
      </c>
      <c r="X379" s="1" t="s">
        <v>331</v>
      </c>
      <c r="Y379" s="1" t="s">
        <v>332</v>
      </c>
      <c r="Z379" s="1">
        <v>16</v>
      </c>
      <c r="AA379" s="3">
        <v>3389.9</v>
      </c>
      <c r="AB379" s="3">
        <v>54238.400000000001</v>
      </c>
      <c r="AC379" s="1" t="str">
        <f>VLOOKUP(A379,[1]Detalle!$D$2:$CW$484,98,FALSE)</f>
        <v>Unilever - Unilever de Arg. S.A.</v>
      </c>
    </row>
    <row r="380" spans="1:29" ht="14.25" customHeight="1" x14ac:dyDescent="0.3">
      <c r="A380" s="1" t="s">
        <v>141</v>
      </c>
      <c r="B380" s="1">
        <v>1624</v>
      </c>
      <c r="C380" s="1" t="s">
        <v>396</v>
      </c>
      <c r="D380" s="1" t="s">
        <v>328</v>
      </c>
      <c r="E380" s="1">
        <v>0.75</v>
      </c>
      <c r="F380" s="1" t="s">
        <v>329</v>
      </c>
      <c r="G380" s="6">
        <v>45862</v>
      </c>
      <c r="H380" s="1">
        <v>484180</v>
      </c>
      <c r="I380" s="1">
        <v>504180</v>
      </c>
      <c r="J380" s="1">
        <v>6154.3000000000011</v>
      </c>
      <c r="K380" s="1">
        <v>13845.7</v>
      </c>
      <c r="L380" s="1">
        <v>490334.3</v>
      </c>
      <c r="M380" s="1">
        <v>85</v>
      </c>
      <c r="N380" s="1">
        <v>131.1199356913184</v>
      </c>
      <c r="O380" s="1">
        <v>191.22962806493021</v>
      </c>
      <c r="P380" s="7">
        <v>45947</v>
      </c>
      <c r="Q380" s="1">
        <v>20000</v>
      </c>
      <c r="R380" s="7">
        <v>46138.229628067129</v>
      </c>
      <c r="S380" s="7">
        <v>46138</v>
      </c>
      <c r="T380" s="7" t="str">
        <f t="shared" si="0"/>
        <v>abril</v>
      </c>
      <c r="U380" s="1" t="s">
        <v>330</v>
      </c>
      <c r="X380" s="1" t="s">
        <v>397</v>
      </c>
      <c r="Y380" s="1" t="s">
        <v>398</v>
      </c>
      <c r="Z380" s="1">
        <v>1</v>
      </c>
      <c r="AA380" s="3">
        <v>9737.2800000000007</v>
      </c>
      <c r="AB380" s="3">
        <v>9737.2800000000007</v>
      </c>
      <c r="AC380" s="1" t="str">
        <f>VLOOKUP(A380,[1]Detalle!$D$2:$CW$484,98,FALSE)</f>
        <v>Unilever - Unilever de Arg. S.A.</v>
      </c>
    </row>
    <row r="381" spans="1:29" ht="14.25" customHeight="1" x14ac:dyDescent="0.3">
      <c r="A381" s="1" t="s">
        <v>140</v>
      </c>
      <c r="B381" s="1">
        <v>1624</v>
      </c>
      <c r="C381" s="1" t="s">
        <v>396</v>
      </c>
      <c r="D381" s="1" t="s">
        <v>328</v>
      </c>
      <c r="E381" s="1">
        <v>0.75</v>
      </c>
      <c r="F381" s="1" t="s">
        <v>329</v>
      </c>
      <c r="G381" s="6">
        <v>45745</v>
      </c>
      <c r="H381" s="1">
        <v>484970</v>
      </c>
      <c r="I381" s="1">
        <v>504970</v>
      </c>
      <c r="J381" s="1">
        <v>6360.1999999999944</v>
      </c>
      <c r="K381" s="1">
        <v>13639.80000000001</v>
      </c>
      <c r="L381" s="1">
        <v>491330.2</v>
      </c>
      <c r="M381" s="1">
        <v>202</v>
      </c>
      <c r="N381" s="1">
        <v>30.7326948051948</v>
      </c>
      <c r="O381" s="1">
        <v>433.20015093865032</v>
      </c>
      <c r="P381" s="7">
        <v>45947</v>
      </c>
      <c r="Q381" s="1">
        <v>20000</v>
      </c>
      <c r="R381" s="7">
        <v>46380.200150937497</v>
      </c>
      <c r="S381" s="7">
        <v>46380</v>
      </c>
      <c r="T381" s="7" t="str">
        <f t="shared" si="0"/>
        <v>diciembre</v>
      </c>
      <c r="U381" s="1" t="s">
        <v>330</v>
      </c>
      <c r="X381" s="1" t="s">
        <v>331</v>
      </c>
      <c r="Y381" s="1" t="s">
        <v>332</v>
      </c>
      <c r="Z381" s="1">
        <v>16</v>
      </c>
      <c r="AA381" s="3">
        <v>3389.9</v>
      </c>
      <c r="AB381" s="3">
        <v>54238.400000000001</v>
      </c>
      <c r="AC381" s="1" t="str">
        <f>VLOOKUP(A381,[1]Detalle!$D$2:$CW$484,98,FALSE)</f>
        <v>CCU_MZA - Comp. Cerv. Unidas - MZA</v>
      </c>
    </row>
    <row r="382" spans="1:29" ht="14.25" customHeight="1" x14ac:dyDescent="0.3">
      <c r="A382" s="1" t="s">
        <v>140</v>
      </c>
      <c r="B382" s="1">
        <v>1624</v>
      </c>
      <c r="C382" s="1" t="s">
        <v>396</v>
      </c>
      <c r="D382" s="1" t="s">
        <v>328</v>
      </c>
      <c r="E382" s="1">
        <v>0.75</v>
      </c>
      <c r="F382" s="1" t="s">
        <v>329</v>
      </c>
      <c r="G382" s="6">
        <v>45745</v>
      </c>
      <c r="H382" s="1">
        <v>484970</v>
      </c>
      <c r="I382" s="1">
        <v>504970</v>
      </c>
      <c r="J382" s="1">
        <v>6360.1999999999944</v>
      </c>
      <c r="K382" s="1">
        <v>13639.80000000001</v>
      </c>
      <c r="L382" s="1">
        <v>491330.2</v>
      </c>
      <c r="M382" s="1">
        <v>202</v>
      </c>
      <c r="N382" s="1">
        <v>30.7326948051948</v>
      </c>
      <c r="O382" s="1">
        <v>433.20015093865032</v>
      </c>
      <c r="P382" s="7">
        <v>45947</v>
      </c>
      <c r="Q382" s="1">
        <v>20000</v>
      </c>
      <c r="R382" s="7">
        <v>46380.200150937497</v>
      </c>
      <c r="S382" s="7">
        <v>46380</v>
      </c>
      <c r="T382" s="7" t="str">
        <f t="shared" si="0"/>
        <v>diciembre</v>
      </c>
      <c r="U382" s="1" t="s">
        <v>330</v>
      </c>
      <c r="X382" s="1" t="s">
        <v>397</v>
      </c>
      <c r="Y382" s="1" t="s">
        <v>398</v>
      </c>
      <c r="Z382" s="1">
        <v>1</v>
      </c>
      <c r="AA382" s="3">
        <v>9737.2800000000007</v>
      </c>
      <c r="AB382" s="3">
        <v>9737.2800000000007</v>
      </c>
      <c r="AC382" s="1" t="str">
        <f>VLOOKUP(A382,[1]Detalle!$D$2:$CW$484,98,FALSE)</f>
        <v>CCU_MZA - Comp. Cerv. Unidas - MZA</v>
      </c>
    </row>
    <row r="383" spans="1:29" ht="14.25" customHeight="1" x14ac:dyDescent="0.3">
      <c r="A383" s="1" t="s">
        <v>139</v>
      </c>
      <c r="B383" s="1">
        <v>1624</v>
      </c>
      <c r="C383" s="1" t="s">
        <v>396</v>
      </c>
      <c r="D383" s="1" t="s">
        <v>328</v>
      </c>
      <c r="E383" s="1">
        <v>0.75</v>
      </c>
      <c r="F383" s="1" t="s">
        <v>329</v>
      </c>
      <c r="G383" s="6">
        <v>45744</v>
      </c>
      <c r="H383" s="1">
        <v>298685</v>
      </c>
      <c r="I383" s="1">
        <v>318685</v>
      </c>
      <c r="J383" s="1">
        <v>8864.1</v>
      </c>
      <c r="K383" s="1">
        <v>11135.9</v>
      </c>
      <c r="L383" s="1">
        <v>307549.09999999998</v>
      </c>
      <c r="M383" s="1">
        <v>203</v>
      </c>
      <c r="N383" s="1">
        <v>39.137363344051472</v>
      </c>
      <c r="O383" s="1">
        <v>255.02732369896549</v>
      </c>
      <c r="P383" s="7">
        <v>45947</v>
      </c>
      <c r="Q383" s="1">
        <v>20000</v>
      </c>
      <c r="R383" s="7">
        <v>46202.027323703704</v>
      </c>
      <c r="S383" s="7">
        <v>46202</v>
      </c>
      <c r="T383" s="7" t="str">
        <f t="shared" si="0"/>
        <v>junio</v>
      </c>
      <c r="U383" s="1" t="s">
        <v>330</v>
      </c>
      <c r="X383" s="1" t="s">
        <v>331</v>
      </c>
      <c r="Y383" s="1" t="s">
        <v>332</v>
      </c>
      <c r="Z383" s="1">
        <v>16</v>
      </c>
      <c r="AA383" s="3">
        <v>3389.9</v>
      </c>
      <c r="AB383" s="3">
        <v>54238.400000000001</v>
      </c>
      <c r="AC383" s="1" t="str">
        <f>VLOOKUP(A383,[1]Detalle!$D$2:$CW$484,98,FALSE)</f>
        <v>CCUDyAZA</v>
      </c>
    </row>
    <row r="384" spans="1:29" ht="14.25" customHeight="1" x14ac:dyDescent="0.3">
      <c r="A384" s="1" t="s">
        <v>139</v>
      </c>
      <c r="B384" s="1">
        <v>1624</v>
      </c>
      <c r="C384" s="1" t="s">
        <v>396</v>
      </c>
      <c r="D384" s="1" t="s">
        <v>328</v>
      </c>
      <c r="E384" s="1">
        <v>0.75</v>
      </c>
      <c r="F384" s="1" t="s">
        <v>329</v>
      </c>
      <c r="G384" s="6">
        <v>45744</v>
      </c>
      <c r="H384" s="1">
        <v>298685</v>
      </c>
      <c r="I384" s="1">
        <v>318685</v>
      </c>
      <c r="J384" s="1">
        <v>8864.1</v>
      </c>
      <c r="K384" s="1">
        <v>11135.9</v>
      </c>
      <c r="L384" s="1">
        <v>307549.09999999998</v>
      </c>
      <c r="M384" s="1">
        <v>203</v>
      </c>
      <c r="N384" s="1">
        <v>39.137363344051472</v>
      </c>
      <c r="O384" s="1">
        <v>255.02732369896549</v>
      </c>
      <c r="P384" s="7">
        <v>45947</v>
      </c>
      <c r="Q384" s="1">
        <v>20000</v>
      </c>
      <c r="R384" s="7">
        <v>46202.027323703704</v>
      </c>
      <c r="S384" s="7">
        <v>46202</v>
      </c>
      <c r="T384" s="7" t="str">
        <f t="shared" si="0"/>
        <v>junio</v>
      </c>
      <c r="U384" s="1" t="s">
        <v>330</v>
      </c>
      <c r="X384" s="1" t="s">
        <v>397</v>
      </c>
      <c r="Y384" s="1" t="s">
        <v>398</v>
      </c>
      <c r="Z384" s="1">
        <v>1</v>
      </c>
      <c r="AA384" s="3">
        <v>9737.2800000000007</v>
      </c>
      <c r="AB384" s="3">
        <v>9737.2800000000007</v>
      </c>
      <c r="AC384" s="1" t="str">
        <f>VLOOKUP(A384,[1]Detalle!$D$2:$CW$484,98,FALSE)</f>
        <v>CCUDyAZA</v>
      </c>
    </row>
    <row r="385" spans="1:29" ht="14.25" customHeight="1" x14ac:dyDescent="0.3">
      <c r="A385" s="1" t="s">
        <v>138</v>
      </c>
      <c r="B385" s="1">
        <v>1624</v>
      </c>
      <c r="C385" s="1" t="s">
        <v>396</v>
      </c>
      <c r="D385" s="1" t="s">
        <v>328</v>
      </c>
      <c r="E385" s="1">
        <v>0.75</v>
      </c>
      <c r="F385" s="1" t="s">
        <v>329</v>
      </c>
      <c r="G385" s="6">
        <v>45840</v>
      </c>
      <c r="H385" s="1">
        <v>40688</v>
      </c>
      <c r="I385" s="1">
        <v>60688</v>
      </c>
      <c r="J385" s="1">
        <v>18559.899999999991</v>
      </c>
      <c r="K385" s="1">
        <v>1440.100000000006</v>
      </c>
      <c r="L385" s="1">
        <v>59247.899999999987</v>
      </c>
      <c r="M385" s="1">
        <v>107</v>
      </c>
      <c r="N385" s="1">
        <v>129.25862179487169</v>
      </c>
      <c r="O385" s="1">
        <v>8.3023453790160868</v>
      </c>
      <c r="P385" s="7">
        <v>45947</v>
      </c>
      <c r="Q385" s="1">
        <v>20000</v>
      </c>
      <c r="R385" s="7">
        <v>46110.030902141203</v>
      </c>
      <c r="S385" s="7">
        <v>46110</v>
      </c>
      <c r="T385" s="7" t="str">
        <f t="shared" si="0"/>
        <v>marzo</v>
      </c>
      <c r="U385" s="1" t="s">
        <v>330</v>
      </c>
      <c r="X385" s="1" t="s">
        <v>331</v>
      </c>
      <c r="Y385" s="1" t="s">
        <v>332</v>
      </c>
      <c r="Z385" s="1">
        <v>16</v>
      </c>
      <c r="AA385" s="3">
        <v>3389.9</v>
      </c>
      <c r="AB385" s="3">
        <v>54238.400000000001</v>
      </c>
      <c r="AC385" s="1" t="str">
        <f>VLOOKUP(A385,[1]Detalle!$D$2:$CW$484,98,FALSE)</f>
        <v>SUC_MEN - Sucursal Mendoza</v>
      </c>
    </row>
    <row r="386" spans="1:29" ht="14.25" customHeight="1" x14ac:dyDescent="0.3">
      <c r="A386" s="1" t="s">
        <v>138</v>
      </c>
      <c r="B386" s="1">
        <v>1624</v>
      </c>
      <c r="C386" s="1" t="s">
        <v>396</v>
      </c>
      <c r="D386" s="1" t="s">
        <v>328</v>
      </c>
      <c r="E386" s="1">
        <v>0.75</v>
      </c>
      <c r="F386" s="1" t="s">
        <v>329</v>
      </c>
      <c r="G386" s="6">
        <v>45840</v>
      </c>
      <c r="H386" s="1">
        <v>40688</v>
      </c>
      <c r="I386" s="1">
        <v>60688</v>
      </c>
      <c r="J386" s="1">
        <v>18559.899999999991</v>
      </c>
      <c r="K386" s="1">
        <v>1440.100000000006</v>
      </c>
      <c r="L386" s="1">
        <v>59247.899999999987</v>
      </c>
      <c r="M386" s="1">
        <v>107</v>
      </c>
      <c r="N386" s="1">
        <v>129.25862179487169</v>
      </c>
      <c r="O386" s="1">
        <v>8.3023453790160868</v>
      </c>
      <c r="P386" s="7">
        <v>45947</v>
      </c>
      <c r="Q386" s="1">
        <v>20000</v>
      </c>
      <c r="R386" s="7">
        <v>46110.030902141203</v>
      </c>
      <c r="S386" s="7">
        <v>46110</v>
      </c>
      <c r="T386" s="7" t="str">
        <f t="shared" si="0"/>
        <v>marzo</v>
      </c>
      <c r="U386" s="1" t="s">
        <v>330</v>
      </c>
      <c r="X386" s="1" t="s">
        <v>397</v>
      </c>
      <c r="Y386" s="1" t="s">
        <v>398</v>
      </c>
      <c r="Z386" s="1">
        <v>1</v>
      </c>
      <c r="AA386" s="3">
        <v>9737.2800000000007</v>
      </c>
      <c r="AB386" s="3">
        <v>9737.2800000000007</v>
      </c>
      <c r="AC386" s="1" t="str">
        <f>VLOOKUP(A386,[1]Detalle!$D$2:$CW$484,98,FALSE)</f>
        <v>SUC_MEN - Sucursal Mendoza</v>
      </c>
    </row>
    <row r="387" spans="1:29" ht="14.25" customHeight="1" x14ac:dyDescent="0.3">
      <c r="A387" s="1" t="s">
        <v>137</v>
      </c>
      <c r="B387" s="1">
        <v>1624</v>
      </c>
      <c r="C387" s="1" t="s">
        <v>396</v>
      </c>
      <c r="D387" s="1" t="s">
        <v>328</v>
      </c>
      <c r="E387" s="1">
        <v>0.75</v>
      </c>
      <c r="F387" s="1" t="s">
        <v>329</v>
      </c>
      <c r="G387" s="6">
        <v>45813</v>
      </c>
      <c r="H387" s="1">
        <v>230027</v>
      </c>
      <c r="I387" s="1">
        <v>250027</v>
      </c>
      <c r="J387" s="1">
        <v>5321.3000000000011</v>
      </c>
      <c r="K387" s="1">
        <v>14678.7</v>
      </c>
      <c r="L387" s="1">
        <v>235348.3</v>
      </c>
      <c r="M387" s="1">
        <v>134</v>
      </c>
      <c r="N387" s="1">
        <v>37.879290322580637</v>
      </c>
      <c r="O387" s="1">
        <v>369.63632946836287</v>
      </c>
      <c r="P387" s="7">
        <v>45947</v>
      </c>
      <c r="Q387" s="1">
        <v>20000</v>
      </c>
      <c r="R387" s="7">
        <v>46316.63632946759</v>
      </c>
      <c r="S387" s="7">
        <v>46316</v>
      </c>
      <c r="T387" s="7" t="str">
        <f t="shared" si="0"/>
        <v>octubre</v>
      </c>
      <c r="U387" s="1" t="s">
        <v>330</v>
      </c>
      <c r="X387" s="1" t="s">
        <v>331</v>
      </c>
      <c r="Y387" s="1" t="s">
        <v>332</v>
      </c>
      <c r="Z387" s="1">
        <v>15</v>
      </c>
      <c r="AA387" s="3">
        <v>3389.9</v>
      </c>
      <c r="AB387" s="3">
        <f>AA387*Z387</f>
        <v>50848.5</v>
      </c>
      <c r="AC387" s="1" t="str">
        <f>VLOOKUP(A387,[1]Detalle!$D$2:$CW$484,98,FALSE)</f>
        <v>CCUDyAZA</v>
      </c>
    </row>
    <row r="388" spans="1:29" ht="14.25" customHeight="1" x14ac:dyDescent="0.3">
      <c r="A388" s="1" t="s">
        <v>137</v>
      </c>
      <c r="B388" s="1">
        <v>1624</v>
      </c>
      <c r="C388" s="1" t="s">
        <v>396</v>
      </c>
      <c r="D388" s="1" t="s">
        <v>328</v>
      </c>
      <c r="E388" s="1">
        <v>0.75</v>
      </c>
      <c r="F388" s="1" t="s">
        <v>329</v>
      </c>
      <c r="G388" s="6">
        <v>45813</v>
      </c>
      <c r="H388" s="1">
        <v>230027</v>
      </c>
      <c r="I388" s="1">
        <v>250027</v>
      </c>
      <c r="J388" s="1">
        <v>5321.3000000000011</v>
      </c>
      <c r="K388" s="1">
        <v>14678.7</v>
      </c>
      <c r="L388" s="1">
        <v>235348.3</v>
      </c>
      <c r="M388" s="1">
        <v>134</v>
      </c>
      <c r="N388" s="1">
        <v>37.879290322580637</v>
      </c>
      <c r="O388" s="1">
        <v>369.63632946836287</v>
      </c>
      <c r="P388" s="7">
        <v>45947</v>
      </c>
      <c r="Q388" s="1">
        <v>20000</v>
      </c>
      <c r="R388" s="7">
        <v>46316.63632946759</v>
      </c>
      <c r="S388" s="7">
        <v>46316</v>
      </c>
      <c r="T388" s="7" t="str">
        <f t="shared" si="0"/>
        <v>octubre</v>
      </c>
      <c r="U388" s="1" t="s">
        <v>330</v>
      </c>
      <c r="X388" s="1" t="s">
        <v>397</v>
      </c>
      <c r="Y388" s="1" t="s">
        <v>398</v>
      </c>
      <c r="Z388" s="1">
        <v>1</v>
      </c>
      <c r="AA388" s="3">
        <v>9737.2800000000007</v>
      </c>
      <c r="AB388" s="3">
        <v>9737.2800000000007</v>
      </c>
      <c r="AC388" s="1" t="str">
        <f>VLOOKUP(A388,[1]Detalle!$D$2:$CW$484,98,FALSE)</f>
        <v>CCUDyAZA</v>
      </c>
    </row>
    <row r="389" spans="1:29" ht="14.25" customHeight="1" x14ac:dyDescent="0.3">
      <c r="A389" s="1" t="s">
        <v>136</v>
      </c>
      <c r="B389" s="1">
        <v>1624</v>
      </c>
      <c r="C389" s="1" t="s">
        <v>396</v>
      </c>
      <c r="D389" s="1" t="s">
        <v>328</v>
      </c>
      <c r="E389" s="1">
        <v>0.75</v>
      </c>
      <c r="F389" s="1" t="s">
        <v>329</v>
      </c>
      <c r="G389" s="6">
        <v>45763</v>
      </c>
      <c r="H389" s="1">
        <v>255203</v>
      </c>
      <c r="I389" s="1">
        <v>275203</v>
      </c>
      <c r="J389" s="1">
        <v>12233.500000000009</v>
      </c>
      <c r="K389" s="1">
        <v>7766.4999999999927</v>
      </c>
      <c r="L389" s="1">
        <v>267436.5</v>
      </c>
      <c r="M389" s="1">
        <v>184</v>
      </c>
      <c r="N389" s="1">
        <v>57.024096774193573</v>
      </c>
      <c r="O389" s="1">
        <v>116.81334041770531</v>
      </c>
      <c r="P389" s="7">
        <v>45947</v>
      </c>
      <c r="Q389" s="1">
        <v>20000</v>
      </c>
      <c r="R389" s="7">
        <v>46063.813340416673</v>
      </c>
      <c r="S389" s="7">
        <v>46063</v>
      </c>
      <c r="T389" s="7" t="str">
        <f t="shared" si="0"/>
        <v>febrero</v>
      </c>
      <c r="U389" s="1" t="s">
        <v>330</v>
      </c>
      <c r="X389" s="1" t="s">
        <v>331</v>
      </c>
      <c r="Y389" s="1" t="s">
        <v>332</v>
      </c>
      <c r="Z389" s="1">
        <v>16</v>
      </c>
      <c r="AA389" s="3">
        <v>3389.9</v>
      </c>
      <c r="AB389" s="3">
        <v>54238.400000000001</v>
      </c>
      <c r="AC389" s="1" t="str">
        <f>VLOOKUP(A389,[1]Detalle!$D$2:$CW$484,98,FALSE)</f>
        <v>Topacio</v>
      </c>
    </row>
    <row r="390" spans="1:29" ht="14.25" customHeight="1" x14ac:dyDescent="0.3">
      <c r="A390" s="1" t="s">
        <v>136</v>
      </c>
      <c r="B390" s="1">
        <v>1624</v>
      </c>
      <c r="C390" s="1" t="s">
        <v>396</v>
      </c>
      <c r="D390" s="1" t="s">
        <v>328</v>
      </c>
      <c r="E390" s="1">
        <v>0.75</v>
      </c>
      <c r="F390" s="1" t="s">
        <v>329</v>
      </c>
      <c r="G390" s="6">
        <v>45763</v>
      </c>
      <c r="H390" s="1">
        <v>255203</v>
      </c>
      <c r="I390" s="1">
        <v>275203</v>
      </c>
      <c r="J390" s="1">
        <v>12233.500000000009</v>
      </c>
      <c r="K390" s="1">
        <v>7766.4999999999927</v>
      </c>
      <c r="L390" s="1">
        <v>267436.5</v>
      </c>
      <c r="M390" s="1">
        <v>184</v>
      </c>
      <c r="N390" s="1">
        <v>57.024096774193573</v>
      </c>
      <c r="O390" s="1">
        <v>116.81334041770531</v>
      </c>
      <c r="P390" s="7">
        <v>45947</v>
      </c>
      <c r="Q390" s="1">
        <v>20000</v>
      </c>
      <c r="R390" s="7">
        <v>46063.813340416673</v>
      </c>
      <c r="S390" s="7">
        <v>46063</v>
      </c>
      <c r="T390" s="7" t="str">
        <f t="shared" si="0"/>
        <v>febrero</v>
      </c>
      <c r="U390" s="1" t="s">
        <v>330</v>
      </c>
      <c r="X390" s="1" t="s">
        <v>397</v>
      </c>
      <c r="Y390" s="1" t="s">
        <v>398</v>
      </c>
      <c r="Z390" s="1">
        <v>1</v>
      </c>
      <c r="AA390" s="3">
        <v>9737.2800000000007</v>
      </c>
      <c r="AB390" s="3">
        <v>9737.2800000000007</v>
      </c>
      <c r="AC390" s="1" t="str">
        <f>VLOOKUP(A390,[1]Detalle!$D$2:$CW$484,98,FALSE)</f>
        <v>Topacio</v>
      </c>
    </row>
    <row r="391" spans="1:29" ht="14.25" customHeight="1" x14ac:dyDescent="0.3">
      <c r="A391" s="1" t="s">
        <v>135</v>
      </c>
      <c r="B391" s="1">
        <v>1624</v>
      </c>
      <c r="C391" s="1" t="s">
        <v>328</v>
      </c>
      <c r="D391" s="1" t="s">
        <v>328</v>
      </c>
      <c r="E391" s="1">
        <v>0.75</v>
      </c>
      <c r="F391" s="1" t="s">
        <v>329</v>
      </c>
      <c r="G391" s="6">
        <v>45812</v>
      </c>
      <c r="H391" s="1">
        <v>176121</v>
      </c>
      <c r="I391" s="1">
        <v>196121</v>
      </c>
      <c r="J391" s="1">
        <v>5745.4000000000005</v>
      </c>
      <c r="K391" s="1">
        <v>14254.6</v>
      </c>
      <c r="L391" s="1">
        <v>181866.4</v>
      </c>
      <c r="M391" s="1">
        <v>135</v>
      </c>
      <c r="N391" s="1">
        <v>35.012605863192178</v>
      </c>
      <c r="O391" s="1">
        <v>334.94117032756628</v>
      </c>
      <c r="P391" s="7">
        <v>45947</v>
      </c>
      <c r="Q391" s="1">
        <v>20000</v>
      </c>
      <c r="R391" s="7">
        <v>46281.941170324077</v>
      </c>
      <c r="S391" s="7">
        <v>46281</v>
      </c>
      <c r="T391" s="7" t="str">
        <f t="shared" si="0"/>
        <v>septiembre</v>
      </c>
      <c r="U391" s="1" t="s">
        <v>330</v>
      </c>
      <c r="X391" s="1" t="s">
        <v>331</v>
      </c>
      <c r="Y391" s="1" t="s">
        <v>332</v>
      </c>
      <c r="Z391" s="1">
        <v>16</v>
      </c>
      <c r="AA391" s="3">
        <v>3389.9</v>
      </c>
      <c r="AB391" s="3">
        <v>54238.400000000001</v>
      </c>
      <c r="AC391" s="1" t="str">
        <f>VLOOKUP(A391,[1]Detalle!$D$2:$CW$484,98,FALSE)</f>
        <v>CCUCoAZA</v>
      </c>
    </row>
    <row r="392" spans="1:29" ht="14.25" customHeight="1" x14ac:dyDescent="0.3">
      <c r="A392" s="1" t="s">
        <v>135</v>
      </c>
      <c r="B392" s="1">
        <v>1624</v>
      </c>
      <c r="C392" s="1" t="s">
        <v>328</v>
      </c>
      <c r="D392" s="1" t="s">
        <v>328</v>
      </c>
      <c r="E392" s="1">
        <v>0.75</v>
      </c>
      <c r="F392" s="1" t="s">
        <v>329</v>
      </c>
      <c r="G392" s="6">
        <v>45812</v>
      </c>
      <c r="H392" s="1">
        <v>176121</v>
      </c>
      <c r="I392" s="1">
        <v>196121</v>
      </c>
      <c r="J392" s="1">
        <v>5745.4000000000005</v>
      </c>
      <c r="K392" s="1">
        <v>14254.6</v>
      </c>
      <c r="L392" s="1">
        <v>181866.4</v>
      </c>
      <c r="M392" s="1">
        <v>135</v>
      </c>
      <c r="N392" s="1">
        <v>35.012605863192178</v>
      </c>
      <c r="O392" s="1">
        <v>334.94117032756628</v>
      </c>
      <c r="P392" s="7">
        <v>45947</v>
      </c>
      <c r="Q392" s="1">
        <v>20000</v>
      </c>
      <c r="R392" s="7">
        <v>46281.941170324077</v>
      </c>
      <c r="S392" s="7">
        <v>46281</v>
      </c>
      <c r="T392" s="7" t="str">
        <f t="shared" si="0"/>
        <v>septiembre</v>
      </c>
      <c r="U392" s="1" t="s">
        <v>330</v>
      </c>
      <c r="X392" s="1" t="s">
        <v>333</v>
      </c>
      <c r="Y392" s="1" t="s">
        <v>334</v>
      </c>
      <c r="Z392" s="1">
        <v>1</v>
      </c>
      <c r="AA392" s="3">
        <v>8513.2800000000007</v>
      </c>
      <c r="AB392" s="3">
        <v>8513.2800000000007</v>
      </c>
      <c r="AC392" s="1" t="str">
        <f>VLOOKUP(A392,[1]Detalle!$D$2:$CW$484,98,FALSE)</f>
        <v>CCUCoAZA</v>
      </c>
    </row>
    <row r="393" spans="1:29" ht="14.25" customHeight="1" x14ac:dyDescent="0.3">
      <c r="A393" s="1" t="s">
        <v>134</v>
      </c>
      <c r="B393" s="1">
        <v>1624</v>
      </c>
      <c r="C393" s="1" t="s">
        <v>396</v>
      </c>
      <c r="D393" s="1" t="s">
        <v>328</v>
      </c>
      <c r="E393" s="1">
        <v>0.75</v>
      </c>
      <c r="F393" s="1" t="s">
        <v>329</v>
      </c>
      <c r="G393" s="6">
        <v>45883</v>
      </c>
      <c r="H393" s="1">
        <v>377434</v>
      </c>
      <c r="I393" s="1">
        <v>397434</v>
      </c>
      <c r="J393" s="1">
        <v>3731.5</v>
      </c>
      <c r="K393" s="1">
        <v>16268.5</v>
      </c>
      <c r="L393" s="1">
        <v>381165.5</v>
      </c>
      <c r="M393" s="1">
        <v>64</v>
      </c>
      <c r="N393" s="1">
        <v>73.269176029962509</v>
      </c>
      <c r="O393" s="1">
        <v>279.0255929250971</v>
      </c>
      <c r="P393" s="7">
        <v>45947</v>
      </c>
      <c r="Q393" s="1">
        <v>20000</v>
      </c>
      <c r="R393" s="7">
        <v>46226.025592928243</v>
      </c>
      <c r="S393" s="7">
        <v>46226</v>
      </c>
      <c r="T393" s="7" t="str">
        <f t="shared" si="0"/>
        <v>julio</v>
      </c>
      <c r="U393" s="1" t="s">
        <v>330</v>
      </c>
      <c r="X393" s="1" t="s">
        <v>331</v>
      </c>
      <c r="Y393" s="1" t="s">
        <v>332</v>
      </c>
      <c r="Z393" s="1">
        <v>16</v>
      </c>
      <c r="AA393" s="3">
        <v>3389.9</v>
      </c>
      <c r="AB393" s="3">
        <v>54238.400000000001</v>
      </c>
      <c r="AC393" s="1" t="str">
        <f>VLOOKUP(A393,[1]Detalle!$D$2:$CW$484,98,FALSE)</f>
        <v>SUC_CTC - Sucursal Buenos Aires</v>
      </c>
    </row>
    <row r="394" spans="1:29" ht="14.25" customHeight="1" x14ac:dyDescent="0.3">
      <c r="A394" s="1" t="s">
        <v>134</v>
      </c>
      <c r="B394" s="1">
        <v>1624</v>
      </c>
      <c r="C394" s="1" t="s">
        <v>396</v>
      </c>
      <c r="D394" s="1" t="s">
        <v>328</v>
      </c>
      <c r="E394" s="1">
        <v>0.75</v>
      </c>
      <c r="F394" s="1" t="s">
        <v>329</v>
      </c>
      <c r="G394" s="6">
        <v>45883</v>
      </c>
      <c r="H394" s="1">
        <v>377434</v>
      </c>
      <c r="I394" s="1">
        <v>397434</v>
      </c>
      <c r="J394" s="1">
        <v>3731.5</v>
      </c>
      <c r="K394" s="1">
        <v>16268.5</v>
      </c>
      <c r="L394" s="1">
        <v>381165.5</v>
      </c>
      <c r="M394" s="1">
        <v>64</v>
      </c>
      <c r="N394" s="1">
        <v>73.269176029962509</v>
      </c>
      <c r="O394" s="1">
        <v>279.0255929250971</v>
      </c>
      <c r="P394" s="7">
        <v>45947</v>
      </c>
      <c r="Q394" s="1">
        <v>20000</v>
      </c>
      <c r="R394" s="7">
        <v>46226.025592928243</v>
      </c>
      <c r="S394" s="7">
        <v>46226</v>
      </c>
      <c r="T394" s="7" t="str">
        <f t="shared" si="0"/>
        <v>julio</v>
      </c>
      <c r="U394" s="1" t="s">
        <v>330</v>
      </c>
      <c r="X394" s="1" t="s">
        <v>397</v>
      </c>
      <c r="Y394" s="1" t="s">
        <v>398</v>
      </c>
      <c r="Z394" s="1">
        <v>1</v>
      </c>
      <c r="AA394" s="3">
        <v>9737.2800000000007</v>
      </c>
      <c r="AB394" s="3">
        <v>9737.2800000000007</v>
      </c>
      <c r="AC394" s="1" t="str">
        <f>VLOOKUP(A394,[1]Detalle!$D$2:$CW$484,98,FALSE)</f>
        <v>SUC_CTC - Sucursal Buenos Aires</v>
      </c>
    </row>
    <row r="395" spans="1:29" ht="14.25" customHeight="1" x14ac:dyDescent="0.3">
      <c r="A395" s="1" t="s">
        <v>100</v>
      </c>
      <c r="B395" s="1" t="s">
        <v>352</v>
      </c>
      <c r="C395" s="1" t="s">
        <v>396</v>
      </c>
      <c r="D395" s="1" t="s">
        <v>328</v>
      </c>
      <c r="E395" s="1">
        <v>0.75</v>
      </c>
      <c r="F395" s="1" t="s">
        <v>329</v>
      </c>
      <c r="G395" s="6">
        <v>45768</v>
      </c>
      <c r="H395" s="1">
        <v>13510</v>
      </c>
      <c r="I395" s="1">
        <v>33510</v>
      </c>
      <c r="J395" s="1">
        <v>6171.1999999999971</v>
      </c>
      <c r="K395" s="1">
        <v>13828.8</v>
      </c>
      <c r="L395" s="1">
        <v>19681.2</v>
      </c>
      <c r="M395" s="1">
        <v>179</v>
      </c>
      <c r="N395" s="1">
        <v>36.364885496183213</v>
      </c>
      <c r="O395" s="1">
        <v>401.11407829919648</v>
      </c>
      <c r="P395" s="7">
        <v>45947</v>
      </c>
      <c r="Q395" s="1">
        <v>20000</v>
      </c>
      <c r="R395" s="7">
        <v>46348.114078298611</v>
      </c>
      <c r="S395" s="7">
        <v>46348</v>
      </c>
      <c r="T395" s="7" t="str">
        <f t="shared" si="0"/>
        <v>noviembre</v>
      </c>
      <c r="U395" s="1" t="s">
        <v>330</v>
      </c>
      <c r="X395" s="1" t="s">
        <v>331</v>
      </c>
      <c r="Y395" s="1" t="s">
        <v>332</v>
      </c>
      <c r="Z395" s="1">
        <v>16</v>
      </c>
      <c r="AA395" s="3">
        <v>3389.9</v>
      </c>
      <c r="AB395" s="3">
        <v>54238.400000000001</v>
      </c>
      <c r="AC395" s="1" t="str">
        <f>VLOOKUP(A395,[1]Detalle!$D$2:$CW$484,98,FALSE)</f>
        <v>CMQ_TTE - QUILMES TTE</v>
      </c>
    </row>
    <row r="396" spans="1:29" ht="14.25" customHeight="1" x14ac:dyDescent="0.3">
      <c r="A396" s="1" t="s">
        <v>100</v>
      </c>
      <c r="B396" s="1" t="s">
        <v>352</v>
      </c>
      <c r="C396" s="1" t="s">
        <v>396</v>
      </c>
      <c r="D396" s="1" t="s">
        <v>328</v>
      </c>
      <c r="E396" s="1">
        <v>0.75</v>
      </c>
      <c r="F396" s="1" t="s">
        <v>329</v>
      </c>
      <c r="G396" s="6">
        <v>45768</v>
      </c>
      <c r="H396" s="1">
        <v>13510</v>
      </c>
      <c r="I396" s="1">
        <v>33510</v>
      </c>
      <c r="J396" s="1">
        <v>6171.1999999999971</v>
      </c>
      <c r="K396" s="1">
        <v>13828.8</v>
      </c>
      <c r="L396" s="1">
        <v>19681.2</v>
      </c>
      <c r="M396" s="1">
        <v>179</v>
      </c>
      <c r="N396" s="1">
        <v>36.364885496183213</v>
      </c>
      <c r="O396" s="1">
        <v>401.11407829919648</v>
      </c>
      <c r="P396" s="7">
        <v>45947</v>
      </c>
      <c r="Q396" s="1">
        <v>20000</v>
      </c>
      <c r="R396" s="7">
        <v>46348.114078298611</v>
      </c>
      <c r="S396" s="7">
        <v>46348</v>
      </c>
      <c r="T396" s="7" t="str">
        <f t="shared" si="0"/>
        <v>noviembre</v>
      </c>
      <c r="U396" s="1" t="s">
        <v>330</v>
      </c>
      <c r="X396" s="1" t="s">
        <v>397</v>
      </c>
      <c r="Y396" s="1" t="s">
        <v>398</v>
      </c>
      <c r="Z396" s="1">
        <v>1</v>
      </c>
      <c r="AA396" s="3">
        <v>9737.2800000000007</v>
      </c>
      <c r="AB396" s="3">
        <v>9737.2800000000007</v>
      </c>
      <c r="AC396" s="1" t="str">
        <f>VLOOKUP(A396,[1]Detalle!$D$2:$CW$484,98,FALSE)</f>
        <v>CMQ_TTE - QUILMES TTE</v>
      </c>
    </row>
    <row r="397" spans="1:29" ht="14.25" customHeight="1" x14ac:dyDescent="0.3">
      <c r="A397" s="1" t="s">
        <v>78</v>
      </c>
      <c r="B397" s="1" t="s">
        <v>352</v>
      </c>
      <c r="C397" s="1" t="s">
        <v>396</v>
      </c>
      <c r="D397" s="1" t="s">
        <v>328</v>
      </c>
      <c r="E397" s="1">
        <v>0.75</v>
      </c>
      <c r="F397" s="1" t="s">
        <v>329</v>
      </c>
      <c r="G397" s="6">
        <v>45854</v>
      </c>
      <c r="H397" s="1">
        <v>41395.599999999999</v>
      </c>
      <c r="I397" s="1">
        <v>61395.6</v>
      </c>
      <c r="J397" s="1">
        <v>3758.2999999999979</v>
      </c>
      <c r="K397" s="1">
        <v>16241.7</v>
      </c>
      <c r="L397" s="1">
        <v>45153.899999999987</v>
      </c>
      <c r="M397" s="1">
        <v>93</v>
      </c>
      <c r="N397" s="1">
        <v>36.164383116883137</v>
      </c>
      <c r="O397" s="1">
        <v>401.90461112737171</v>
      </c>
      <c r="P397" s="7">
        <v>45947</v>
      </c>
      <c r="Q397" s="1">
        <v>20000</v>
      </c>
      <c r="R397" s="7">
        <v>46348.904611122693</v>
      </c>
      <c r="S397" s="7">
        <v>46348</v>
      </c>
      <c r="T397" s="7" t="str">
        <f t="shared" si="0"/>
        <v>noviembre</v>
      </c>
      <c r="U397" s="1" t="s">
        <v>330</v>
      </c>
      <c r="X397" s="1" t="s">
        <v>331</v>
      </c>
      <c r="Y397" s="1" t="s">
        <v>332</v>
      </c>
      <c r="Z397" s="1">
        <v>16</v>
      </c>
      <c r="AA397" s="3">
        <v>3389.9</v>
      </c>
      <c r="AB397" s="3">
        <v>54238.400000000001</v>
      </c>
      <c r="AC397" s="1" t="str">
        <f>VLOOKUP(A397,[1]Detalle!$D$2:$CW$484,98,FALSE)</f>
        <v>CCU_MZA - Comp. Cerv. Unidas - MZA</v>
      </c>
    </row>
    <row r="398" spans="1:29" ht="14.25" customHeight="1" x14ac:dyDescent="0.3">
      <c r="A398" s="1" t="s">
        <v>78</v>
      </c>
      <c r="B398" s="1" t="s">
        <v>352</v>
      </c>
      <c r="C398" s="1" t="s">
        <v>396</v>
      </c>
      <c r="D398" s="1" t="s">
        <v>328</v>
      </c>
      <c r="E398" s="1">
        <v>0.75</v>
      </c>
      <c r="F398" s="1" t="s">
        <v>329</v>
      </c>
      <c r="G398" s="6">
        <v>45854</v>
      </c>
      <c r="H398" s="1">
        <v>41395.599999999999</v>
      </c>
      <c r="I398" s="1">
        <v>61395.6</v>
      </c>
      <c r="J398" s="1">
        <v>3758.2999999999979</v>
      </c>
      <c r="K398" s="1">
        <v>16241.7</v>
      </c>
      <c r="L398" s="1">
        <v>45153.899999999987</v>
      </c>
      <c r="M398" s="1">
        <v>93</v>
      </c>
      <c r="N398" s="1">
        <v>36.164383116883137</v>
      </c>
      <c r="O398" s="1">
        <v>401.90461112737171</v>
      </c>
      <c r="P398" s="7">
        <v>45947</v>
      </c>
      <c r="Q398" s="1">
        <v>20000</v>
      </c>
      <c r="R398" s="7">
        <v>46348.904611122693</v>
      </c>
      <c r="S398" s="7">
        <v>46348</v>
      </c>
      <c r="T398" s="7" t="str">
        <f t="shared" si="0"/>
        <v>noviembre</v>
      </c>
      <c r="U398" s="1" t="s">
        <v>330</v>
      </c>
      <c r="X398" s="1" t="s">
        <v>397</v>
      </c>
      <c r="Y398" s="1" t="s">
        <v>398</v>
      </c>
      <c r="Z398" s="1">
        <v>1</v>
      </c>
      <c r="AA398" s="3">
        <v>9737.2800000000007</v>
      </c>
      <c r="AB398" s="3">
        <v>9737.2800000000007</v>
      </c>
      <c r="AC398" s="1" t="str">
        <f>VLOOKUP(A398,[1]Detalle!$D$2:$CW$484,98,FALSE)</f>
        <v>CCU_MZA - Comp. Cerv. Unidas - MZA</v>
      </c>
    </row>
    <row r="399" spans="1:29" ht="14.25" customHeight="1" x14ac:dyDescent="0.3">
      <c r="A399" s="1" t="s">
        <v>75</v>
      </c>
      <c r="B399" s="1" t="s">
        <v>352</v>
      </c>
      <c r="C399" s="1" t="s">
        <v>396</v>
      </c>
      <c r="D399" s="1" t="s">
        <v>328</v>
      </c>
      <c r="E399" s="1">
        <v>0.75</v>
      </c>
      <c r="F399" s="1" t="s">
        <v>329</v>
      </c>
      <c r="G399" s="6">
        <v>45895</v>
      </c>
      <c r="H399" s="1">
        <v>60189.5</v>
      </c>
      <c r="I399" s="1">
        <v>80189.5</v>
      </c>
      <c r="J399" s="1">
        <v>4748.0999999999995</v>
      </c>
      <c r="K399" s="1">
        <v>15251.9</v>
      </c>
      <c r="L399" s="1">
        <v>64937.599999999999</v>
      </c>
      <c r="M399" s="1">
        <v>52</v>
      </c>
      <c r="N399" s="1">
        <v>83.847709677419346</v>
      </c>
      <c r="O399" s="1">
        <v>167.03498241401829</v>
      </c>
      <c r="P399" s="7">
        <v>45947</v>
      </c>
      <c r="Q399" s="1">
        <v>20000</v>
      </c>
      <c r="R399" s="7">
        <v>46114.034982418983</v>
      </c>
      <c r="S399" s="7">
        <v>46114</v>
      </c>
      <c r="T399" s="7" t="str">
        <f t="shared" si="0"/>
        <v>abril</v>
      </c>
      <c r="U399" s="1" t="s">
        <v>330</v>
      </c>
      <c r="X399" s="1" t="s">
        <v>331</v>
      </c>
      <c r="Y399" s="1" t="s">
        <v>332</v>
      </c>
      <c r="Z399" s="1">
        <v>16</v>
      </c>
      <c r="AA399" s="3">
        <v>3389.9</v>
      </c>
      <c r="AB399" s="3">
        <v>54238.400000000001</v>
      </c>
      <c r="AC399" s="1" t="str">
        <f>VLOOKUP(A399,[1]Detalle!$D$2:$CW$484,98,FALSE)</f>
        <v>CCU_MZA - Comp. Cerv. Unidas - MZA</v>
      </c>
    </row>
    <row r="400" spans="1:29" ht="14.25" customHeight="1" x14ac:dyDescent="0.3">
      <c r="A400" s="1" t="s">
        <v>75</v>
      </c>
      <c r="B400" s="1" t="s">
        <v>352</v>
      </c>
      <c r="C400" s="1" t="s">
        <v>396</v>
      </c>
      <c r="D400" s="1" t="s">
        <v>328</v>
      </c>
      <c r="E400" s="1">
        <v>0.75</v>
      </c>
      <c r="F400" s="1" t="s">
        <v>329</v>
      </c>
      <c r="G400" s="6">
        <v>45895</v>
      </c>
      <c r="H400" s="1">
        <v>60189.5</v>
      </c>
      <c r="I400" s="1">
        <v>80189.5</v>
      </c>
      <c r="J400" s="1">
        <v>4748.0999999999995</v>
      </c>
      <c r="K400" s="1">
        <v>15251.9</v>
      </c>
      <c r="L400" s="1">
        <v>64937.599999999999</v>
      </c>
      <c r="M400" s="1">
        <v>52</v>
      </c>
      <c r="N400" s="1">
        <v>83.847709677419346</v>
      </c>
      <c r="O400" s="1">
        <v>167.03498241401829</v>
      </c>
      <c r="P400" s="7">
        <v>45947</v>
      </c>
      <c r="Q400" s="1">
        <v>20000</v>
      </c>
      <c r="R400" s="7">
        <v>46114.034982418983</v>
      </c>
      <c r="S400" s="7">
        <v>46114</v>
      </c>
      <c r="T400" s="7" t="str">
        <f t="shared" si="0"/>
        <v>abril</v>
      </c>
      <c r="U400" s="1" t="s">
        <v>330</v>
      </c>
      <c r="X400" s="1" t="s">
        <v>397</v>
      </c>
      <c r="Y400" s="1" t="s">
        <v>398</v>
      </c>
      <c r="Z400" s="1">
        <v>1</v>
      </c>
      <c r="AA400" s="3">
        <v>9737.2800000000007</v>
      </c>
      <c r="AB400" s="3">
        <v>9737.2800000000007</v>
      </c>
      <c r="AC400" s="1" t="str">
        <f>VLOOKUP(A400,[1]Detalle!$D$2:$CW$484,98,FALSE)</f>
        <v>CCU_MZA - Comp. Cerv. Unidas - MZA</v>
      </c>
    </row>
    <row r="401" spans="1:29" ht="14.25" customHeight="1" x14ac:dyDescent="0.3">
      <c r="A401" s="1" t="s">
        <v>62</v>
      </c>
      <c r="B401" s="1" t="s">
        <v>352</v>
      </c>
      <c r="C401" s="1" t="s">
        <v>396</v>
      </c>
      <c r="D401" s="1" t="s">
        <v>328</v>
      </c>
      <c r="E401" s="1">
        <v>0.75</v>
      </c>
      <c r="F401" s="1" t="s">
        <v>329</v>
      </c>
      <c r="G401" s="6">
        <v>45741</v>
      </c>
      <c r="H401" s="1">
        <v>33326.199999999997</v>
      </c>
      <c r="I401" s="1">
        <v>53326.2</v>
      </c>
      <c r="J401" s="1">
        <v>7126.5000000000036</v>
      </c>
      <c r="K401" s="1">
        <v>12873.5</v>
      </c>
      <c r="L401" s="1">
        <v>40452.699999999997</v>
      </c>
      <c r="M401" s="1">
        <v>206</v>
      </c>
      <c r="N401" s="1">
        <v>38.89159259259263</v>
      </c>
      <c r="O401" s="1">
        <v>372.12390373956327</v>
      </c>
      <c r="P401" s="7">
        <v>45947</v>
      </c>
      <c r="Q401" s="1">
        <v>20000</v>
      </c>
      <c r="R401" s="7">
        <v>46319.123903738429</v>
      </c>
      <c r="S401" s="7">
        <v>46319</v>
      </c>
      <c r="T401" s="7" t="str">
        <f t="shared" si="0"/>
        <v>octubre</v>
      </c>
      <c r="U401" s="1" t="s">
        <v>330</v>
      </c>
      <c r="X401" s="1" t="s">
        <v>331</v>
      </c>
      <c r="Y401" s="1" t="s">
        <v>332</v>
      </c>
      <c r="Z401" s="1">
        <v>16</v>
      </c>
      <c r="AA401" s="3">
        <v>3389.9</v>
      </c>
      <c r="AB401" s="3">
        <v>54238.400000000001</v>
      </c>
      <c r="AC401" s="1" t="str">
        <f>VLOOKUP(A401,[1]Detalle!$D$2:$CW$484,98,FALSE)</f>
        <v>CCUDyAZA</v>
      </c>
    </row>
    <row r="402" spans="1:29" ht="14.25" customHeight="1" x14ac:dyDescent="0.3">
      <c r="A402" s="1" t="s">
        <v>62</v>
      </c>
      <c r="B402" s="1" t="s">
        <v>352</v>
      </c>
      <c r="C402" s="1" t="s">
        <v>396</v>
      </c>
      <c r="D402" s="1" t="s">
        <v>328</v>
      </c>
      <c r="E402" s="1">
        <v>0.75</v>
      </c>
      <c r="F402" s="1" t="s">
        <v>329</v>
      </c>
      <c r="G402" s="6">
        <v>45741</v>
      </c>
      <c r="H402" s="1">
        <v>33326.199999999997</v>
      </c>
      <c r="I402" s="1">
        <v>53326.2</v>
      </c>
      <c r="J402" s="1">
        <v>7126.5000000000036</v>
      </c>
      <c r="K402" s="1">
        <v>12873.5</v>
      </c>
      <c r="L402" s="1">
        <v>40452.699999999997</v>
      </c>
      <c r="M402" s="1">
        <v>206</v>
      </c>
      <c r="N402" s="1">
        <v>38.89159259259263</v>
      </c>
      <c r="O402" s="1">
        <v>372.12390373956327</v>
      </c>
      <c r="P402" s="7">
        <v>45947</v>
      </c>
      <c r="Q402" s="1">
        <v>20000</v>
      </c>
      <c r="R402" s="7">
        <v>46319.123903738429</v>
      </c>
      <c r="S402" s="7">
        <v>46319</v>
      </c>
      <c r="T402" s="7" t="str">
        <f t="shared" si="0"/>
        <v>octubre</v>
      </c>
      <c r="U402" s="1" t="s">
        <v>330</v>
      </c>
      <c r="X402" s="1" t="s">
        <v>397</v>
      </c>
      <c r="Y402" s="1" t="s">
        <v>398</v>
      </c>
      <c r="Z402" s="1">
        <v>1</v>
      </c>
      <c r="AA402" s="3">
        <v>9737.2800000000007</v>
      </c>
      <c r="AB402" s="3">
        <v>9737.2800000000007</v>
      </c>
      <c r="AC402" s="1" t="str">
        <f>VLOOKUP(A402,[1]Detalle!$D$2:$CW$484,98,FALSE)</f>
        <v>CCUDyAZA</v>
      </c>
    </row>
    <row r="403" spans="1:29" ht="14.25" customHeight="1" x14ac:dyDescent="0.3">
      <c r="A403" s="1" t="s">
        <v>61</v>
      </c>
      <c r="B403" s="1" t="s">
        <v>352</v>
      </c>
      <c r="C403" s="1" t="s">
        <v>396</v>
      </c>
      <c r="D403" s="1" t="s">
        <v>328</v>
      </c>
      <c r="E403" s="1">
        <v>0.75</v>
      </c>
      <c r="F403" s="1" t="s">
        <v>329</v>
      </c>
      <c r="G403" s="6">
        <v>45702</v>
      </c>
      <c r="H403" s="1">
        <v>44127.9</v>
      </c>
      <c r="I403" s="1">
        <v>64127.9</v>
      </c>
      <c r="J403" s="1">
        <v>9317.4000000000033</v>
      </c>
      <c r="K403" s="1">
        <v>10682.6</v>
      </c>
      <c r="L403" s="1">
        <v>53445.3</v>
      </c>
      <c r="M403" s="1">
        <v>245</v>
      </c>
      <c r="N403" s="1">
        <v>40.395367647058812</v>
      </c>
      <c r="O403" s="1">
        <v>280.89778264322638</v>
      </c>
      <c r="P403" s="7">
        <v>45947</v>
      </c>
      <c r="Q403" s="1">
        <v>20000</v>
      </c>
      <c r="R403" s="7">
        <v>46227.897782638887</v>
      </c>
      <c r="S403" s="7">
        <v>46227</v>
      </c>
      <c r="T403" s="7" t="str">
        <f t="shared" si="0"/>
        <v>julio</v>
      </c>
      <c r="U403" s="1" t="s">
        <v>330</v>
      </c>
      <c r="X403" s="1" t="s">
        <v>331</v>
      </c>
      <c r="Y403" s="1" t="s">
        <v>332</v>
      </c>
      <c r="Z403" s="1">
        <v>16</v>
      </c>
      <c r="AA403" s="3">
        <v>3389.9</v>
      </c>
      <c r="AB403" s="3">
        <v>54238.400000000001</v>
      </c>
      <c r="AC403" s="1" t="str">
        <f>VLOOKUP(A403,[1]Detalle!$D$2:$CW$484,98,FALSE)</f>
        <v>CCU_MZA - Comp. Cerv. Unidas - MZA</v>
      </c>
    </row>
    <row r="404" spans="1:29" ht="14.25" customHeight="1" x14ac:dyDescent="0.3">
      <c r="A404" s="1" t="s">
        <v>61</v>
      </c>
      <c r="B404" s="1" t="s">
        <v>352</v>
      </c>
      <c r="C404" s="1" t="s">
        <v>396</v>
      </c>
      <c r="D404" s="1" t="s">
        <v>328</v>
      </c>
      <c r="E404" s="1">
        <v>0.75</v>
      </c>
      <c r="F404" s="1" t="s">
        <v>329</v>
      </c>
      <c r="G404" s="6">
        <v>45702</v>
      </c>
      <c r="H404" s="1">
        <v>44127.9</v>
      </c>
      <c r="I404" s="1">
        <v>64127.9</v>
      </c>
      <c r="J404" s="1">
        <v>9317.4000000000033</v>
      </c>
      <c r="K404" s="1">
        <v>10682.6</v>
      </c>
      <c r="L404" s="1">
        <v>53445.3</v>
      </c>
      <c r="M404" s="1">
        <v>245</v>
      </c>
      <c r="N404" s="1">
        <v>40.395367647058812</v>
      </c>
      <c r="O404" s="1">
        <v>280.89778264322638</v>
      </c>
      <c r="P404" s="7">
        <v>45947</v>
      </c>
      <c r="Q404" s="1">
        <v>20000</v>
      </c>
      <c r="R404" s="7">
        <v>46227.897782638887</v>
      </c>
      <c r="S404" s="7">
        <v>46227</v>
      </c>
      <c r="T404" s="7" t="str">
        <f t="shared" si="0"/>
        <v>julio</v>
      </c>
      <c r="U404" s="1" t="s">
        <v>330</v>
      </c>
      <c r="X404" s="1" t="s">
        <v>397</v>
      </c>
      <c r="Y404" s="1" t="s">
        <v>398</v>
      </c>
      <c r="Z404" s="1">
        <v>1</v>
      </c>
      <c r="AA404" s="3">
        <v>9737.2800000000007</v>
      </c>
      <c r="AB404" s="3">
        <v>9737.2800000000007</v>
      </c>
      <c r="AC404" s="1" t="str">
        <f>VLOOKUP(A404,[1]Detalle!$D$2:$CW$484,98,FALSE)</f>
        <v>CCU_MZA - Comp. Cerv. Unidas - MZA</v>
      </c>
    </row>
    <row r="405" spans="1:29" ht="14.25" customHeight="1" x14ac:dyDescent="0.3">
      <c r="A405" s="1" t="s">
        <v>60</v>
      </c>
      <c r="B405" s="1" t="s">
        <v>352</v>
      </c>
      <c r="C405" s="1" t="s">
        <v>396</v>
      </c>
      <c r="D405" s="1" t="s">
        <v>328</v>
      </c>
      <c r="E405" s="1">
        <v>0.75</v>
      </c>
      <c r="F405" s="1" t="s">
        <v>329</v>
      </c>
      <c r="G405" s="6">
        <v>45611</v>
      </c>
      <c r="H405" s="1">
        <v>29476</v>
      </c>
      <c r="I405" s="1">
        <v>49476</v>
      </c>
      <c r="J405" s="1">
        <v>12799.580000000011</v>
      </c>
      <c r="K405" s="1">
        <v>7200.4199999999892</v>
      </c>
      <c r="L405" s="1">
        <v>42275.580000000009</v>
      </c>
      <c r="M405" s="1">
        <v>336</v>
      </c>
      <c r="N405" s="1">
        <v>40.312058823529441</v>
      </c>
      <c r="O405" s="1">
        <v>189.0172271277647</v>
      </c>
      <c r="P405" s="7">
        <v>45947</v>
      </c>
      <c r="Q405" s="1">
        <v>20000</v>
      </c>
      <c r="R405" s="7">
        <v>46136.017227129632</v>
      </c>
      <c r="S405" s="7">
        <v>46136</v>
      </c>
      <c r="T405" s="7" t="str">
        <f t="shared" si="0"/>
        <v>abril</v>
      </c>
      <c r="U405" s="1" t="s">
        <v>330</v>
      </c>
      <c r="X405" s="1" t="s">
        <v>331</v>
      </c>
      <c r="Y405" s="1" t="s">
        <v>332</v>
      </c>
      <c r="Z405" s="1">
        <v>16</v>
      </c>
      <c r="AA405" s="3">
        <v>3389.9</v>
      </c>
      <c r="AB405" s="3">
        <v>54238.400000000001</v>
      </c>
      <c r="AC405" s="1" t="str">
        <f>VLOOKUP(A405,[1]Detalle!$D$2:$CW$484,98,FALSE)</f>
        <v>CCUDyAZA</v>
      </c>
    </row>
    <row r="406" spans="1:29" ht="14.25" customHeight="1" x14ac:dyDescent="0.3">
      <c r="A406" s="1" t="s">
        <v>60</v>
      </c>
      <c r="B406" s="1" t="s">
        <v>352</v>
      </c>
      <c r="C406" s="1" t="s">
        <v>396</v>
      </c>
      <c r="D406" s="1" t="s">
        <v>328</v>
      </c>
      <c r="E406" s="1">
        <v>0.75</v>
      </c>
      <c r="F406" s="1" t="s">
        <v>329</v>
      </c>
      <c r="G406" s="6">
        <v>45611</v>
      </c>
      <c r="H406" s="1">
        <v>29476</v>
      </c>
      <c r="I406" s="1">
        <v>49476</v>
      </c>
      <c r="J406" s="1">
        <v>12799.580000000011</v>
      </c>
      <c r="K406" s="1">
        <v>7200.4199999999892</v>
      </c>
      <c r="L406" s="1">
        <v>42275.580000000009</v>
      </c>
      <c r="M406" s="1">
        <v>336</v>
      </c>
      <c r="N406" s="1">
        <v>40.312058823529441</v>
      </c>
      <c r="O406" s="1">
        <v>189.0172271277647</v>
      </c>
      <c r="P406" s="7">
        <v>45947</v>
      </c>
      <c r="Q406" s="1">
        <v>20000</v>
      </c>
      <c r="R406" s="7">
        <v>46136.017227129632</v>
      </c>
      <c r="S406" s="7">
        <v>46136</v>
      </c>
      <c r="T406" s="7" t="str">
        <f t="shared" si="0"/>
        <v>abril</v>
      </c>
      <c r="U406" s="1" t="s">
        <v>330</v>
      </c>
      <c r="X406" s="1" t="s">
        <v>397</v>
      </c>
      <c r="Y406" s="1" t="s">
        <v>398</v>
      </c>
      <c r="Z406" s="1">
        <v>1</v>
      </c>
      <c r="AA406" s="3">
        <v>9737.2800000000007</v>
      </c>
      <c r="AB406" s="3">
        <v>9737.2800000000007</v>
      </c>
      <c r="AC406" s="1" t="str">
        <f>VLOOKUP(A406,[1]Detalle!$D$2:$CW$484,98,FALSE)</f>
        <v>CCUDyAZA</v>
      </c>
    </row>
    <row r="407" spans="1:29" ht="14.25" customHeight="1" x14ac:dyDescent="0.3">
      <c r="A407" s="1" t="s">
        <v>52</v>
      </c>
      <c r="B407" s="1" t="s">
        <v>350</v>
      </c>
      <c r="C407" s="1" t="s">
        <v>396</v>
      </c>
      <c r="D407" s="1" t="s">
        <v>328</v>
      </c>
      <c r="E407" s="1">
        <v>0.75</v>
      </c>
      <c r="F407" s="1" t="s">
        <v>329</v>
      </c>
      <c r="G407" s="6">
        <v>45545</v>
      </c>
      <c r="H407" s="1">
        <v>42714.2</v>
      </c>
      <c r="I407" s="1">
        <v>62714.2</v>
      </c>
      <c r="J407" s="1">
        <v>21856.560000000001</v>
      </c>
      <c r="K407" s="1">
        <v>-1856.5599999999979</v>
      </c>
      <c r="L407" s="1">
        <v>64570.759999999987</v>
      </c>
      <c r="M407" s="1">
        <v>402</v>
      </c>
      <c r="N407" s="1">
        <v>53.502481203007598</v>
      </c>
      <c r="O407" s="1">
        <v>-34.147053333186882</v>
      </c>
      <c r="P407" s="7">
        <v>45947</v>
      </c>
      <c r="Q407" s="1">
        <v>20000</v>
      </c>
      <c r="R407" s="7">
        <v>46320.814439074071</v>
      </c>
      <c r="S407" s="7">
        <v>46320</v>
      </c>
      <c r="T407" s="7" t="str">
        <f t="shared" si="0"/>
        <v>octubre</v>
      </c>
      <c r="U407" s="1" t="s">
        <v>330</v>
      </c>
      <c r="X407" s="1" t="s">
        <v>331</v>
      </c>
      <c r="Y407" s="1" t="s">
        <v>332</v>
      </c>
      <c r="Z407" s="1">
        <v>16</v>
      </c>
      <c r="AA407" s="3">
        <v>3389.9</v>
      </c>
      <c r="AB407" s="3">
        <v>54238.400000000001</v>
      </c>
      <c r="AC407" s="1" t="str">
        <f>VLOOKUP(A407,[1]Detalle!$D$2:$CW$484,98,FALSE)</f>
        <v>CMQ_TTE - QUILMES TTE</v>
      </c>
    </row>
    <row r="408" spans="1:29" ht="14.25" customHeight="1" x14ac:dyDescent="0.3">
      <c r="A408" s="1" t="s">
        <v>52</v>
      </c>
      <c r="B408" s="1" t="s">
        <v>350</v>
      </c>
      <c r="C408" s="1" t="s">
        <v>396</v>
      </c>
      <c r="D408" s="1" t="s">
        <v>328</v>
      </c>
      <c r="E408" s="1">
        <v>0.75</v>
      </c>
      <c r="F408" s="1" t="s">
        <v>329</v>
      </c>
      <c r="G408" s="6">
        <v>45545</v>
      </c>
      <c r="H408" s="1">
        <v>42714.2</v>
      </c>
      <c r="I408" s="1">
        <v>62714.2</v>
      </c>
      <c r="J408" s="1">
        <v>21856.560000000001</v>
      </c>
      <c r="K408" s="1">
        <v>-1856.5599999999979</v>
      </c>
      <c r="L408" s="1">
        <v>64570.759999999987</v>
      </c>
      <c r="M408" s="1">
        <v>402</v>
      </c>
      <c r="N408" s="1">
        <v>53.502481203007598</v>
      </c>
      <c r="O408" s="1">
        <v>-34.147053333186882</v>
      </c>
      <c r="P408" s="7">
        <v>45947</v>
      </c>
      <c r="Q408" s="1">
        <v>20000</v>
      </c>
      <c r="R408" s="7">
        <v>46320.814439074071</v>
      </c>
      <c r="S408" s="7">
        <v>46320</v>
      </c>
      <c r="T408" s="7" t="str">
        <f t="shared" si="0"/>
        <v>octubre</v>
      </c>
      <c r="U408" s="1" t="s">
        <v>330</v>
      </c>
      <c r="X408" s="1" t="s">
        <v>397</v>
      </c>
      <c r="Y408" s="1" t="s">
        <v>398</v>
      </c>
      <c r="Z408" s="1">
        <v>1</v>
      </c>
      <c r="AA408" s="3">
        <v>9737.2800000000007</v>
      </c>
      <c r="AB408" s="3">
        <v>9737.2800000000007</v>
      </c>
      <c r="AC408" s="1" t="str">
        <f>VLOOKUP(A408,[1]Detalle!$D$2:$CW$484,98,FALSE)</f>
        <v>CMQ_TTE - QUILMES TTE</v>
      </c>
    </row>
    <row r="409" spans="1:29" ht="14.25" customHeight="1" x14ac:dyDescent="0.3">
      <c r="A409" s="1" t="s">
        <v>273</v>
      </c>
      <c r="B409" s="1" t="s">
        <v>349</v>
      </c>
      <c r="C409" s="1" t="s">
        <v>396</v>
      </c>
      <c r="D409" s="1" t="s">
        <v>328</v>
      </c>
      <c r="E409" s="1">
        <v>0.75</v>
      </c>
      <c r="F409" s="1" t="s">
        <v>329</v>
      </c>
      <c r="G409" s="1" t="s">
        <v>337</v>
      </c>
      <c r="N409" s="1">
        <v>169.51837638376381</v>
      </c>
      <c r="P409" s="7">
        <v>45947</v>
      </c>
      <c r="Q409" s="1">
        <v>20000</v>
      </c>
      <c r="R409" s="7">
        <v>46064.981309317132</v>
      </c>
      <c r="S409" s="7">
        <v>46064</v>
      </c>
      <c r="T409" s="7" t="str">
        <f t="shared" si="0"/>
        <v>febrero</v>
      </c>
      <c r="U409" s="1" t="s">
        <v>330</v>
      </c>
      <c r="X409" s="1" t="s">
        <v>331</v>
      </c>
      <c r="Y409" s="1" t="s">
        <v>332</v>
      </c>
      <c r="Z409" s="1">
        <v>16</v>
      </c>
      <c r="AA409" s="3">
        <v>3389.9</v>
      </c>
      <c r="AB409" s="3">
        <v>54238.400000000001</v>
      </c>
      <c r="AC409" s="1" t="str">
        <f>VLOOKUP(A409,[1]Detalle!$D$2:$CW$484,98,FALSE)</f>
        <v>CENCOMLD - Cencosud SA - Mendoza</v>
      </c>
    </row>
    <row r="410" spans="1:29" ht="14.25" customHeight="1" x14ac:dyDescent="0.3">
      <c r="A410" s="1" t="s">
        <v>273</v>
      </c>
      <c r="B410" s="1" t="s">
        <v>349</v>
      </c>
      <c r="C410" s="1" t="s">
        <v>396</v>
      </c>
      <c r="D410" s="1" t="s">
        <v>328</v>
      </c>
      <c r="E410" s="1">
        <v>0.75</v>
      </c>
      <c r="F410" s="1" t="s">
        <v>329</v>
      </c>
      <c r="G410" s="1" t="s">
        <v>337</v>
      </c>
      <c r="N410" s="1">
        <v>169.51837638376381</v>
      </c>
      <c r="P410" s="7">
        <v>45947</v>
      </c>
      <c r="Q410" s="1">
        <v>20000</v>
      </c>
      <c r="R410" s="7">
        <v>46064.981309317132</v>
      </c>
      <c r="S410" s="7">
        <v>46064</v>
      </c>
      <c r="T410" s="7" t="str">
        <f t="shared" si="0"/>
        <v>febrero</v>
      </c>
      <c r="U410" s="1" t="s">
        <v>330</v>
      </c>
      <c r="X410" s="1" t="s">
        <v>397</v>
      </c>
      <c r="Y410" s="1" t="s">
        <v>398</v>
      </c>
      <c r="Z410" s="1">
        <v>1</v>
      </c>
      <c r="AA410" s="3">
        <v>9737.2800000000007</v>
      </c>
      <c r="AB410" s="3">
        <v>9737.2800000000007</v>
      </c>
      <c r="AC410" s="1" t="str">
        <f>VLOOKUP(A410,[1]Detalle!$D$2:$CW$484,98,FALSE)</f>
        <v>CENCOMLD - Cencosud SA - Mendoza</v>
      </c>
    </row>
    <row r="411" spans="1:29" ht="14.25" customHeight="1" x14ac:dyDescent="0.3">
      <c r="A411" s="1" t="s">
        <v>267</v>
      </c>
      <c r="B411" s="1" t="s">
        <v>349</v>
      </c>
      <c r="C411" s="1" t="s">
        <v>396</v>
      </c>
      <c r="D411" s="1" t="s">
        <v>328</v>
      </c>
      <c r="E411" s="1">
        <v>0.75</v>
      </c>
      <c r="F411" s="1" t="s">
        <v>329</v>
      </c>
      <c r="G411" s="1" t="s">
        <v>337</v>
      </c>
      <c r="H411" s="1">
        <v>292381</v>
      </c>
      <c r="I411" s="1">
        <v>312381</v>
      </c>
      <c r="J411" s="1">
        <v>7939.1000000000049</v>
      </c>
      <c r="K411" s="1">
        <v>12060.899999999991</v>
      </c>
      <c r="L411" s="1">
        <v>300320.09999999998</v>
      </c>
      <c r="M411" s="1">
        <v>222</v>
      </c>
      <c r="N411" s="1">
        <v>30.400741935483872</v>
      </c>
      <c r="O411" s="1">
        <v>337.25734655061621</v>
      </c>
      <c r="P411" s="7">
        <v>45947</v>
      </c>
      <c r="Q411" s="1">
        <v>20000</v>
      </c>
      <c r="R411" s="7">
        <v>46284.257346550927</v>
      </c>
      <c r="S411" s="7">
        <v>46284</v>
      </c>
      <c r="T411" s="7" t="str">
        <f t="shared" si="0"/>
        <v>septiembre</v>
      </c>
      <c r="U411" s="1" t="s">
        <v>330</v>
      </c>
      <c r="X411" s="1" t="s">
        <v>331</v>
      </c>
      <c r="Y411" s="1" t="s">
        <v>332</v>
      </c>
      <c r="Z411" s="1">
        <v>16</v>
      </c>
      <c r="AA411" s="3">
        <v>3389.9</v>
      </c>
      <c r="AB411" s="3">
        <v>54238.400000000001</v>
      </c>
      <c r="AC411" s="1" t="str">
        <f>VLOOKUP(A411,[1]Detalle!$D$2:$CW$484,98,FALSE)</f>
        <v>CCUDyAZA</v>
      </c>
    </row>
    <row r="412" spans="1:29" ht="14.25" customHeight="1" x14ac:dyDescent="0.3">
      <c r="A412" s="1" t="s">
        <v>267</v>
      </c>
      <c r="B412" s="1" t="s">
        <v>349</v>
      </c>
      <c r="C412" s="1" t="s">
        <v>396</v>
      </c>
      <c r="D412" s="1" t="s">
        <v>328</v>
      </c>
      <c r="E412" s="1">
        <v>0.75</v>
      </c>
      <c r="F412" s="1" t="s">
        <v>329</v>
      </c>
      <c r="G412" s="1" t="s">
        <v>337</v>
      </c>
      <c r="H412" s="1">
        <v>292381</v>
      </c>
      <c r="I412" s="1">
        <v>312381</v>
      </c>
      <c r="J412" s="1">
        <v>7939.1000000000049</v>
      </c>
      <c r="K412" s="1">
        <v>12060.899999999991</v>
      </c>
      <c r="L412" s="1">
        <v>300320.09999999998</v>
      </c>
      <c r="M412" s="1">
        <v>222</v>
      </c>
      <c r="N412" s="1">
        <v>30.400741935483872</v>
      </c>
      <c r="O412" s="1">
        <v>337.25734655061621</v>
      </c>
      <c r="P412" s="7">
        <v>45947</v>
      </c>
      <c r="Q412" s="1">
        <v>20000</v>
      </c>
      <c r="R412" s="7">
        <v>46284.257346550927</v>
      </c>
      <c r="S412" s="7">
        <v>46284</v>
      </c>
      <c r="T412" s="7" t="str">
        <f t="shared" si="0"/>
        <v>septiembre</v>
      </c>
      <c r="U412" s="1" t="s">
        <v>330</v>
      </c>
      <c r="X412" s="1" t="s">
        <v>397</v>
      </c>
      <c r="Y412" s="1" t="s">
        <v>398</v>
      </c>
      <c r="Z412" s="1">
        <v>1</v>
      </c>
      <c r="AA412" s="3">
        <v>9737.2800000000007</v>
      </c>
      <c r="AB412" s="3">
        <v>9737.2800000000007</v>
      </c>
      <c r="AC412" s="1" t="str">
        <f>VLOOKUP(A412,[1]Detalle!$D$2:$CW$484,98,FALSE)</f>
        <v>CCUDyAZA</v>
      </c>
    </row>
    <row r="413" spans="1:29" ht="14.25" customHeight="1" x14ac:dyDescent="0.3">
      <c r="A413" s="1" t="s">
        <v>208</v>
      </c>
      <c r="B413" s="1" t="s">
        <v>349</v>
      </c>
      <c r="C413" s="1" t="s">
        <v>396</v>
      </c>
      <c r="D413" s="1" t="s">
        <v>328</v>
      </c>
      <c r="E413" s="1">
        <v>0.75</v>
      </c>
      <c r="F413" s="1" t="s">
        <v>329</v>
      </c>
      <c r="G413" s="6">
        <v>45898</v>
      </c>
      <c r="H413" s="1">
        <v>279340</v>
      </c>
      <c r="I413" s="1">
        <v>299340</v>
      </c>
      <c r="J413" s="1">
        <v>2584.1999999999998</v>
      </c>
      <c r="K413" s="1">
        <v>17415.8</v>
      </c>
      <c r="L413" s="1">
        <v>281924.2</v>
      </c>
      <c r="M413" s="1">
        <v>49</v>
      </c>
      <c r="N413" s="1">
        <v>86.131808118081167</v>
      </c>
      <c r="O413" s="1">
        <v>330.22761396176759</v>
      </c>
      <c r="P413" s="7">
        <v>45947</v>
      </c>
      <c r="Q413" s="1">
        <v>20000</v>
      </c>
      <c r="R413" s="7">
        <v>46277.227613958326</v>
      </c>
      <c r="S413" s="7">
        <v>46277</v>
      </c>
      <c r="T413" s="7" t="str">
        <f t="shared" si="0"/>
        <v>septiembre</v>
      </c>
      <c r="U413" s="1" t="s">
        <v>330</v>
      </c>
      <c r="X413" s="1" t="s">
        <v>331</v>
      </c>
      <c r="Y413" s="1" t="s">
        <v>332</v>
      </c>
      <c r="Z413" s="1">
        <v>16</v>
      </c>
      <c r="AA413" s="3">
        <v>3389.9</v>
      </c>
      <c r="AB413" s="3">
        <v>54238.400000000001</v>
      </c>
      <c r="AC413" s="1" t="str">
        <f>VLOOKUP(A413,[1]Detalle!$D$2:$CW$484,98,FALSE)</f>
        <v>CENCO_MZ - Cencosud SA - Mendoza</v>
      </c>
    </row>
    <row r="414" spans="1:29" ht="14.25" customHeight="1" x14ac:dyDescent="0.3">
      <c r="A414" s="1" t="s">
        <v>208</v>
      </c>
      <c r="B414" s="1" t="s">
        <v>349</v>
      </c>
      <c r="C414" s="1" t="s">
        <v>396</v>
      </c>
      <c r="D414" s="1" t="s">
        <v>328</v>
      </c>
      <c r="E414" s="1">
        <v>0.75</v>
      </c>
      <c r="F414" s="1" t="s">
        <v>329</v>
      </c>
      <c r="G414" s="6">
        <v>45898</v>
      </c>
      <c r="H414" s="1">
        <v>279340</v>
      </c>
      <c r="I414" s="1">
        <v>299340</v>
      </c>
      <c r="J414" s="1">
        <v>2584.1999999999998</v>
      </c>
      <c r="K414" s="1">
        <v>17415.8</v>
      </c>
      <c r="L414" s="1">
        <v>281924.2</v>
      </c>
      <c r="M414" s="1">
        <v>49</v>
      </c>
      <c r="N414" s="1">
        <v>86.131808118081167</v>
      </c>
      <c r="O414" s="1">
        <v>330.22761396176759</v>
      </c>
      <c r="P414" s="7">
        <v>45947</v>
      </c>
      <c r="Q414" s="1">
        <v>20000</v>
      </c>
      <c r="R414" s="7">
        <v>46277.227613958326</v>
      </c>
      <c r="S414" s="7">
        <v>46277</v>
      </c>
      <c r="T414" s="7" t="str">
        <f t="shared" si="0"/>
        <v>septiembre</v>
      </c>
      <c r="U414" s="1" t="s">
        <v>330</v>
      </c>
      <c r="X414" s="1" t="s">
        <v>397</v>
      </c>
      <c r="Y414" s="1" t="s">
        <v>398</v>
      </c>
      <c r="Z414" s="1">
        <v>1</v>
      </c>
      <c r="AA414" s="3">
        <v>9737.2800000000007</v>
      </c>
      <c r="AB414" s="3">
        <v>9737.2800000000007</v>
      </c>
      <c r="AC414" s="1" t="str">
        <f>VLOOKUP(A414,[1]Detalle!$D$2:$CW$484,98,FALSE)</f>
        <v>CENCO_MZ - Cencosud SA - Mendoza</v>
      </c>
    </row>
    <row r="415" spans="1:29" ht="14.25" customHeight="1" x14ac:dyDescent="0.3">
      <c r="A415" s="1" t="s">
        <v>207</v>
      </c>
      <c r="B415" s="1" t="s">
        <v>349</v>
      </c>
      <c r="C415" s="1" t="s">
        <v>396</v>
      </c>
      <c r="D415" s="1" t="s">
        <v>328</v>
      </c>
      <c r="E415" s="1">
        <v>0.75</v>
      </c>
      <c r="F415" s="1" t="s">
        <v>329</v>
      </c>
      <c r="G415" s="6">
        <v>45786</v>
      </c>
      <c r="H415" s="1">
        <v>331282</v>
      </c>
      <c r="I415" s="1">
        <v>351282</v>
      </c>
      <c r="J415" s="1">
        <v>13312.400000000011</v>
      </c>
      <c r="K415" s="1">
        <v>6687.5999999999931</v>
      </c>
      <c r="L415" s="1">
        <v>344594.4</v>
      </c>
      <c r="M415" s="1">
        <v>161</v>
      </c>
      <c r="N415" s="1">
        <v>86.162316176470569</v>
      </c>
      <c r="O415" s="1">
        <v>80.879751209398634</v>
      </c>
      <c r="P415" s="7">
        <v>45947</v>
      </c>
      <c r="Q415" s="1">
        <v>20000</v>
      </c>
      <c r="R415" s="7">
        <v>46027.879751203713</v>
      </c>
      <c r="S415" s="7">
        <v>46027</v>
      </c>
      <c r="T415" s="7" t="str">
        <f t="shared" si="0"/>
        <v>enero</v>
      </c>
      <c r="U415" s="1" t="s">
        <v>330</v>
      </c>
      <c r="X415" s="1" t="s">
        <v>331</v>
      </c>
      <c r="Y415" s="1" t="s">
        <v>332</v>
      </c>
      <c r="Z415" s="1">
        <v>16</v>
      </c>
      <c r="AA415" s="3">
        <v>3389.9</v>
      </c>
      <c r="AB415" s="3">
        <v>54238.400000000001</v>
      </c>
      <c r="AC415" s="1" t="str">
        <f>VLOOKUP(A415,[1]Detalle!$D$2:$CW$484,98,FALSE)</f>
        <v>CENCO_MZ - Cencosud SA - Mendoza</v>
      </c>
    </row>
    <row r="416" spans="1:29" ht="14.25" customHeight="1" x14ac:dyDescent="0.3">
      <c r="A416" s="1" t="s">
        <v>207</v>
      </c>
      <c r="B416" s="1" t="s">
        <v>349</v>
      </c>
      <c r="C416" s="1" t="s">
        <v>396</v>
      </c>
      <c r="D416" s="1" t="s">
        <v>328</v>
      </c>
      <c r="E416" s="1">
        <v>0.75</v>
      </c>
      <c r="F416" s="1" t="s">
        <v>329</v>
      </c>
      <c r="G416" s="6">
        <v>45786</v>
      </c>
      <c r="H416" s="1">
        <v>331282</v>
      </c>
      <c r="I416" s="1">
        <v>351282</v>
      </c>
      <c r="J416" s="1">
        <v>13312.400000000011</v>
      </c>
      <c r="K416" s="1">
        <v>6687.5999999999931</v>
      </c>
      <c r="L416" s="1">
        <v>344594.4</v>
      </c>
      <c r="M416" s="1">
        <v>161</v>
      </c>
      <c r="N416" s="1">
        <v>86.162316176470569</v>
      </c>
      <c r="O416" s="1">
        <v>80.879751209398634</v>
      </c>
      <c r="P416" s="7">
        <v>45947</v>
      </c>
      <c r="Q416" s="1">
        <v>20000</v>
      </c>
      <c r="R416" s="7">
        <v>46027.879751203713</v>
      </c>
      <c r="S416" s="7">
        <v>46027</v>
      </c>
      <c r="T416" s="7" t="str">
        <f t="shared" si="0"/>
        <v>enero</v>
      </c>
      <c r="U416" s="1" t="s">
        <v>330</v>
      </c>
      <c r="X416" s="1" t="s">
        <v>397</v>
      </c>
      <c r="Y416" s="1" t="s">
        <v>398</v>
      </c>
      <c r="Z416" s="1">
        <v>1</v>
      </c>
      <c r="AA416" s="3">
        <v>9737.2800000000007</v>
      </c>
      <c r="AB416" s="3">
        <v>9737.2800000000007</v>
      </c>
      <c r="AC416" s="1" t="str">
        <f>VLOOKUP(A416,[1]Detalle!$D$2:$CW$484,98,FALSE)</f>
        <v>CENCO_MZ - Cencosud SA - Mendoza</v>
      </c>
    </row>
    <row r="417" spans="1:29" ht="14.25" customHeight="1" x14ac:dyDescent="0.3">
      <c r="A417" s="1" t="s">
        <v>88</v>
      </c>
      <c r="B417" s="1" t="s">
        <v>399</v>
      </c>
      <c r="C417" s="1" t="s">
        <v>400</v>
      </c>
      <c r="D417" s="1" t="s">
        <v>328</v>
      </c>
      <c r="E417" s="1">
        <v>0.75</v>
      </c>
      <c r="F417" s="1" t="s">
        <v>329</v>
      </c>
      <c r="G417" s="6">
        <v>45603</v>
      </c>
      <c r="H417" s="1">
        <v>18877</v>
      </c>
      <c r="I417" s="1">
        <v>38877</v>
      </c>
      <c r="J417" s="1">
        <v>13183.70000000001</v>
      </c>
      <c r="K417" s="1">
        <v>6816.299999999992</v>
      </c>
      <c r="L417" s="1">
        <v>32060.700000000012</v>
      </c>
      <c r="M417" s="1">
        <v>344</v>
      </c>
      <c r="N417" s="1">
        <v>37.875645756457558</v>
      </c>
      <c r="O417" s="1">
        <v>177.856534963629</v>
      </c>
      <c r="P417" s="7">
        <v>45947</v>
      </c>
      <c r="Q417" s="1">
        <v>20000</v>
      </c>
      <c r="R417" s="7">
        <v>46124.856534965278</v>
      </c>
      <c r="S417" s="7">
        <v>46124</v>
      </c>
      <c r="T417" s="7" t="str">
        <f t="shared" si="0"/>
        <v>abril</v>
      </c>
      <c r="U417" s="1" t="s">
        <v>330</v>
      </c>
      <c r="X417" s="1" t="s">
        <v>331</v>
      </c>
      <c r="Y417" s="1" t="s">
        <v>332</v>
      </c>
      <c r="Z417" s="1">
        <v>16</v>
      </c>
      <c r="AA417" s="3">
        <v>3389.9</v>
      </c>
      <c r="AB417" s="3">
        <v>54238.400000000001</v>
      </c>
      <c r="AC417" s="1" t="str">
        <f>VLOOKUP(A417,[1]Detalle!$D$2:$CW$484,98,FALSE)</f>
        <v>CMQ_TTE - QUILMES TTE</v>
      </c>
    </row>
    <row r="418" spans="1:29" ht="14.25" customHeight="1" x14ac:dyDescent="0.3">
      <c r="A418" s="1" t="s">
        <v>88</v>
      </c>
      <c r="B418" s="1" t="s">
        <v>399</v>
      </c>
      <c r="C418" s="1" t="s">
        <v>400</v>
      </c>
      <c r="D418" s="1" t="s">
        <v>328</v>
      </c>
      <c r="E418" s="1">
        <v>0.75</v>
      </c>
      <c r="F418" s="1" t="s">
        <v>329</v>
      </c>
      <c r="G418" s="6">
        <v>45603</v>
      </c>
      <c r="H418" s="1">
        <v>18877</v>
      </c>
      <c r="I418" s="1">
        <v>38877</v>
      </c>
      <c r="J418" s="1">
        <v>13183.70000000001</v>
      </c>
      <c r="K418" s="1">
        <v>6816.299999999992</v>
      </c>
      <c r="L418" s="1">
        <v>32060.700000000012</v>
      </c>
      <c r="M418" s="1">
        <v>344</v>
      </c>
      <c r="N418" s="1">
        <v>37.875645756457558</v>
      </c>
      <c r="O418" s="1">
        <v>177.856534963629</v>
      </c>
      <c r="P418" s="7">
        <v>45947</v>
      </c>
      <c r="Q418" s="1">
        <v>20000</v>
      </c>
      <c r="R418" s="7">
        <v>46124.856534965278</v>
      </c>
      <c r="S418" s="7">
        <v>46124</v>
      </c>
      <c r="T418" s="7" t="str">
        <f t="shared" si="0"/>
        <v>abril</v>
      </c>
      <c r="U418" s="1" t="s">
        <v>330</v>
      </c>
      <c r="X418" s="1" t="s">
        <v>401</v>
      </c>
      <c r="Y418" s="1" t="s">
        <v>402</v>
      </c>
      <c r="Z418" s="1">
        <v>1</v>
      </c>
      <c r="AA418" s="3">
        <v>21189.599999999999</v>
      </c>
      <c r="AB418" s="3">
        <v>21189.599999999999</v>
      </c>
      <c r="AC418" s="1" t="str">
        <f>VLOOKUP(A418,[1]Detalle!$D$2:$CW$484,98,FALSE)</f>
        <v>CMQ_TTE - QUILMES TTE</v>
      </c>
    </row>
    <row r="419" spans="1:29" ht="14.25" customHeight="1" x14ac:dyDescent="0.3">
      <c r="A419" s="1" t="s">
        <v>87</v>
      </c>
      <c r="B419" s="1" t="s">
        <v>399</v>
      </c>
      <c r="C419" s="1" t="s">
        <v>400</v>
      </c>
      <c r="D419" s="1" t="s">
        <v>328</v>
      </c>
      <c r="E419" s="1">
        <v>0.75</v>
      </c>
      <c r="F419" s="1" t="s">
        <v>329</v>
      </c>
      <c r="G419" s="6">
        <v>45905</v>
      </c>
      <c r="H419" s="1">
        <v>52971.7</v>
      </c>
      <c r="I419" s="1">
        <v>72971.7</v>
      </c>
      <c r="J419" s="1">
        <v>0</v>
      </c>
      <c r="K419" s="1">
        <v>20000</v>
      </c>
      <c r="L419" s="1">
        <v>52971.7</v>
      </c>
      <c r="M419" s="1">
        <v>42</v>
      </c>
      <c r="N419" s="1">
        <v>3.001660516605166</v>
      </c>
      <c r="O419" s="1">
        <v>200</v>
      </c>
      <c r="P419" s="7">
        <v>45947</v>
      </c>
      <c r="Q419" s="1">
        <v>20000</v>
      </c>
      <c r="R419" s="7">
        <v>46147</v>
      </c>
      <c r="S419" s="7">
        <v>46147</v>
      </c>
      <c r="T419" s="7" t="str">
        <f t="shared" si="0"/>
        <v>mayo</v>
      </c>
      <c r="U419" s="1" t="s">
        <v>330</v>
      </c>
      <c r="X419" s="1" t="s">
        <v>331</v>
      </c>
      <c r="Y419" s="1" t="s">
        <v>332</v>
      </c>
      <c r="Z419" s="1">
        <v>16</v>
      </c>
      <c r="AA419" s="3">
        <v>3389.9</v>
      </c>
      <c r="AB419" s="3">
        <v>54238.400000000001</v>
      </c>
      <c r="AC419" s="1" t="str">
        <f>VLOOKUP(A419,[1]Detalle!$D$2:$CW$484,98,FALSE)</f>
        <v>CENCO_MZ - Cencosud SA - Mendoza</v>
      </c>
    </row>
    <row r="420" spans="1:29" ht="14.25" customHeight="1" x14ac:dyDescent="0.3">
      <c r="A420" s="1" t="s">
        <v>87</v>
      </c>
      <c r="B420" s="1" t="s">
        <v>399</v>
      </c>
      <c r="C420" s="1" t="s">
        <v>400</v>
      </c>
      <c r="D420" s="1" t="s">
        <v>328</v>
      </c>
      <c r="E420" s="1">
        <v>0.75</v>
      </c>
      <c r="F420" s="1" t="s">
        <v>329</v>
      </c>
      <c r="G420" s="6">
        <v>45905</v>
      </c>
      <c r="H420" s="1">
        <v>52971.7</v>
      </c>
      <c r="I420" s="1">
        <v>72971.7</v>
      </c>
      <c r="J420" s="1">
        <v>0</v>
      </c>
      <c r="K420" s="1">
        <v>20000</v>
      </c>
      <c r="L420" s="1">
        <v>52971.7</v>
      </c>
      <c r="M420" s="1">
        <v>42</v>
      </c>
      <c r="N420" s="1">
        <v>3.001660516605166</v>
      </c>
      <c r="O420" s="1">
        <v>200</v>
      </c>
      <c r="P420" s="7">
        <v>45947</v>
      </c>
      <c r="Q420" s="1">
        <v>20000</v>
      </c>
      <c r="R420" s="7">
        <v>46147</v>
      </c>
      <c r="S420" s="7">
        <v>46147</v>
      </c>
      <c r="T420" s="7" t="str">
        <f t="shared" si="0"/>
        <v>mayo</v>
      </c>
      <c r="U420" s="1" t="s">
        <v>330</v>
      </c>
      <c r="X420" s="1" t="s">
        <v>401</v>
      </c>
      <c r="Y420" s="1" t="s">
        <v>402</v>
      </c>
      <c r="Z420" s="1">
        <v>1</v>
      </c>
      <c r="AA420" s="3">
        <v>21189.599999999999</v>
      </c>
      <c r="AB420" s="3">
        <v>21189.599999999999</v>
      </c>
      <c r="AC420" s="1" t="str">
        <f>VLOOKUP(A420,[1]Detalle!$D$2:$CW$484,98,FALSE)</f>
        <v>CENCO_MZ - Cencosud SA - Mendoza</v>
      </c>
    </row>
    <row r="421" spans="1:29" ht="14.25" customHeight="1" x14ac:dyDescent="0.3">
      <c r="A421" s="1" t="s">
        <v>71</v>
      </c>
      <c r="B421" s="1" t="s">
        <v>403</v>
      </c>
      <c r="C421" s="1" t="s">
        <v>400</v>
      </c>
      <c r="D421" s="1" t="s">
        <v>328</v>
      </c>
      <c r="E421" s="1">
        <v>0.75</v>
      </c>
      <c r="F421" s="1" t="s">
        <v>329</v>
      </c>
      <c r="G421" s="6">
        <v>45838</v>
      </c>
      <c r="H421" s="1">
        <v>37932</v>
      </c>
      <c r="I421" s="1">
        <v>57932</v>
      </c>
      <c r="J421" s="1">
        <v>4460.9999999999991</v>
      </c>
      <c r="K421" s="1">
        <v>15539</v>
      </c>
      <c r="L421" s="1">
        <v>42393</v>
      </c>
      <c r="M421" s="1">
        <v>109</v>
      </c>
      <c r="N421" s="1">
        <v>38.195276752767562</v>
      </c>
      <c r="O421" s="1">
        <v>379.67966823582162</v>
      </c>
      <c r="P421" s="7">
        <v>45947</v>
      </c>
      <c r="Q421" s="1">
        <v>20000</v>
      </c>
      <c r="R421" s="7">
        <v>46326.679668240737</v>
      </c>
      <c r="S421" s="7">
        <v>46326</v>
      </c>
      <c r="T421" s="7" t="str">
        <f t="shared" si="0"/>
        <v>octubre</v>
      </c>
      <c r="U421" s="1" t="s">
        <v>330</v>
      </c>
      <c r="X421" s="1" t="s">
        <v>331</v>
      </c>
      <c r="Y421" s="1" t="s">
        <v>332</v>
      </c>
      <c r="Z421" s="1">
        <v>16</v>
      </c>
      <c r="AA421" s="3">
        <v>3389.9</v>
      </c>
      <c r="AB421" s="3">
        <v>54238.400000000001</v>
      </c>
      <c r="AC421" s="1" t="str">
        <f>VLOOKUP(A421,[1]Detalle!$D$2:$CW$484,98,FALSE)</f>
        <v>CMQ_TTE - QUILMES TTE</v>
      </c>
    </row>
    <row r="422" spans="1:29" ht="14.25" customHeight="1" x14ac:dyDescent="0.3">
      <c r="A422" s="1" t="s">
        <v>71</v>
      </c>
      <c r="B422" s="1" t="s">
        <v>403</v>
      </c>
      <c r="C422" s="1" t="s">
        <v>400</v>
      </c>
      <c r="D422" s="1" t="s">
        <v>328</v>
      </c>
      <c r="E422" s="1">
        <v>0.75</v>
      </c>
      <c r="F422" s="1" t="s">
        <v>329</v>
      </c>
      <c r="G422" s="6">
        <v>45838</v>
      </c>
      <c r="H422" s="1">
        <v>37932</v>
      </c>
      <c r="I422" s="1">
        <v>57932</v>
      </c>
      <c r="J422" s="1">
        <v>4460.9999999999991</v>
      </c>
      <c r="K422" s="1">
        <v>15539</v>
      </c>
      <c r="L422" s="1">
        <v>42393</v>
      </c>
      <c r="M422" s="1">
        <v>109</v>
      </c>
      <c r="N422" s="1">
        <v>38.195276752767562</v>
      </c>
      <c r="O422" s="1">
        <v>379.67966823582162</v>
      </c>
      <c r="P422" s="7">
        <v>45947</v>
      </c>
      <c r="Q422" s="1">
        <v>20000</v>
      </c>
      <c r="R422" s="7">
        <v>46326.679668240737</v>
      </c>
      <c r="S422" s="7">
        <v>46326</v>
      </c>
      <c r="T422" s="7" t="str">
        <f t="shared" si="0"/>
        <v>octubre</v>
      </c>
      <c r="U422" s="1" t="s">
        <v>330</v>
      </c>
      <c r="X422" s="1" t="s">
        <v>401</v>
      </c>
      <c r="Y422" s="1" t="s">
        <v>402</v>
      </c>
      <c r="Z422" s="1">
        <v>1</v>
      </c>
      <c r="AA422" s="3">
        <v>21189.599999999999</v>
      </c>
      <c r="AB422" s="3">
        <v>21189.599999999999</v>
      </c>
      <c r="AC422" s="1" t="str">
        <f>VLOOKUP(A422,[1]Detalle!$D$2:$CW$484,98,FALSE)</f>
        <v>CMQ_TTE - QUILMES TTE</v>
      </c>
    </row>
    <row r="423" spans="1:29" ht="14.25" customHeight="1" x14ac:dyDescent="0.3">
      <c r="A423" s="1" t="s">
        <v>66</v>
      </c>
      <c r="B423" s="1" t="s">
        <v>404</v>
      </c>
      <c r="C423" s="1" t="s">
        <v>400</v>
      </c>
      <c r="D423" s="1" t="s">
        <v>328</v>
      </c>
      <c r="E423" s="1">
        <v>0.75</v>
      </c>
      <c r="F423" s="1" t="s">
        <v>329</v>
      </c>
      <c r="G423" s="6">
        <v>45586</v>
      </c>
      <c r="H423" s="1">
        <v>14436</v>
      </c>
      <c r="I423" s="1">
        <v>34436</v>
      </c>
      <c r="J423" s="1">
        <v>9131.8000000000029</v>
      </c>
      <c r="K423" s="1">
        <v>10868.2</v>
      </c>
      <c r="L423" s="1">
        <v>23567.8</v>
      </c>
      <c r="M423" s="1">
        <v>361</v>
      </c>
      <c r="N423" s="1">
        <v>25.02444444444442</v>
      </c>
      <c r="O423" s="1">
        <v>429.64368470619132</v>
      </c>
      <c r="P423" s="7">
        <v>45947</v>
      </c>
      <c r="Q423" s="1">
        <v>20000</v>
      </c>
      <c r="R423" s="7">
        <v>46376.643684710652</v>
      </c>
      <c r="S423" s="7">
        <v>46376</v>
      </c>
      <c r="T423" s="7" t="str">
        <f t="shared" si="0"/>
        <v>diciembre</v>
      </c>
      <c r="U423" s="1" t="s">
        <v>330</v>
      </c>
      <c r="X423" s="1" t="s">
        <v>331</v>
      </c>
      <c r="Y423" s="1" t="s">
        <v>332</v>
      </c>
      <c r="Z423" s="1">
        <v>16</v>
      </c>
      <c r="AA423" s="3">
        <v>3389.9</v>
      </c>
      <c r="AB423" s="3">
        <v>54238.400000000001</v>
      </c>
      <c r="AC423" s="1" t="str">
        <f>VLOOKUP(A423,[1]Detalle!$D$2:$CW$484,98,FALSE)</f>
        <v>CMQ_TTE - QUILMES TTE</v>
      </c>
    </row>
    <row r="424" spans="1:29" ht="14.25" customHeight="1" x14ac:dyDescent="0.3">
      <c r="A424" s="1" t="s">
        <v>66</v>
      </c>
      <c r="B424" s="1" t="s">
        <v>404</v>
      </c>
      <c r="C424" s="1" t="s">
        <v>400</v>
      </c>
      <c r="D424" s="1" t="s">
        <v>328</v>
      </c>
      <c r="E424" s="1">
        <v>0.75</v>
      </c>
      <c r="F424" s="1" t="s">
        <v>329</v>
      </c>
      <c r="G424" s="6">
        <v>45586</v>
      </c>
      <c r="H424" s="1">
        <v>14436</v>
      </c>
      <c r="I424" s="1">
        <v>34436</v>
      </c>
      <c r="J424" s="1">
        <v>9131.8000000000029</v>
      </c>
      <c r="K424" s="1">
        <v>10868.2</v>
      </c>
      <c r="L424" s="1">
        <v>23567.8</v>
      </c>
      <c r="M424" s="1">
        <v>361</v>
      </c>
      <c r="N424" s="1">
        <v>25.02444444444442</v>
      </c>
      <c r="O424" s="1">
        <v>429.64368470619132</v>
      </c>
      <c r="P424" s="7">
        <v>45947</v>
      </c>
      <c r="Q424" s="1">
        <v>20000</v>
      </c>
      <c r="R424" s="7">
        <v>46376.643684710652</v>
      </c>
      <c r="S424" s="7">
        <v>46376</v>
      </c>
      <c r="T424" s="7" t="str">
        <f t="shared" si="0"/>
        <v>diciembre</v>
      </c>
      <c r="U424" s="1" t="s">
        <v>330</v>
      </c>
      <c r="X424" s="1" t="s">
        <v>401</v>
      </c>
      <c r="Y424" s="1" t="s">
        <v>402</v>
      </c>
      <c r="Z424" s="1">
        <v>1</v>
      </c>
      <c r="AA424" s="3">
        <v>21189.599999999999</v>
      </c>
      <c r="AB424" s="3">
        <v>21189.599999999999</v>
      </c>
      <c r="AC424" s="1" t="str">
        <f>VLOOKUP(A424,[1]Detalle!$D$2:$CW$484,98,FALSE)</f>
        <v>CMQ_TTE - QUILMES TTE</v>
      </c>
    </row>
    <row r="425" spans="1:29" ht="14.25" customHeight="1" x14ac:dyDescent="0.3">
      <c r="A425" s="1" t="s">
        <v>46</v>
      </c>
      <c r="B425" s="1" t="s">
        <v>405</v>
      </c>
      <c r="C425" s="1" t="s">
        <v>400</v>
      </c>
      <c r="D425" s="1" t="s">
        <v>328</v>
      </c>
      <c r="E425" s="1">
        <v>0.75</v>
      </c>
      <c r="F425" s="1" t="s">
        <v>329</v>
      </c>
      <c r="G425" s="6">
        <v>45433</v>
      </c>
      <c r="H425" s="1">
        <v>42190.455000000002</v>
      </c>
      <c r="I425" s="1">
        <v>62190.455000000002</v>
      </c>
      <c r="J425" s="1">
        <v>27560.459999999988</v>
      </c>
      <c r="K425" s="1">
        <v>-7560.4599999999882</v>
      </c>
      <c r="L425" s="1">
        <v>69750.914999999994</v>
      </c>
      <c r="M425" s="1">
        <v>514</v>
      </c>
      <c r="N425" s="1">
        <v>50.965294117647097</v>
      </c>
      <c r="O425" s="1">
        <v>-141.00187152173791</v>
      </c>
      <c r="P425" s="7">
        <v>45947</v>
      </c>
      <c r="Q425" s="1">
        <v>20000</v>
      </c>
      <c r="R425" s="7">
        <v>46339.423910162041</v>
      </c>
      <c r="S425" s="7">
        <v>46339</v>
      </c>
      <c r="T425" s="7" t="str">
        <f t="shared" si="0"/>
        <v>noviembre</v>
      </c>
      <c r="U425" s="1" t="s">
        <v>330</v>
      </c>
      <c r="X425" s="1" t="s">
        <v>331</v>
      </c>
      <c r="Y425" s="1" t="s">
        <v>332</v>
      </c>
      <c r="Z425" s="1">
        <v>16</v>
      </c>
      <c r="AA425" s="3">
        <v>3389.9</v>
      </c>
      <c r="AB425" s="3">
        <v>54238.400000000001</v>
      </c>
      <c r="AC425" s="1" t="str">
        <f>VLOOKUP(A425,[1]Detalle!$D$2:$CW$484,98,FALSE)</f>
        <v>CMQ_TTE - QUILMES TTE</v>
      </c>
    </row>
    <row r="426" spans="1:29" ht="14.25" customHeight="1" x14ac:dyDescent="0.3">
      <c r="A426" s="1" t="s">
        <v>46</v>
      </c>
      <c r="B426" s="1" t="s">
        <v>405</v>
      </c>
      <c r="C426" s="1" t="s">
        <v>400</v>
      </c>
      <c r="D426" s="1" t="s">
        <v>328</v>
      </c>
      <c r="E426" s="1">
        <v>0.75</v>
      </c>
      <c r="F426" s="1" t="s">
        <v>329</v>
      </c>
      <c r="G426" s="6">
        <v>45433</v>
      </c>
      <c r="H426" s="1">
        <v>42190.455000000002</v>
      </c>
      <c r="I426" s="1">
        <v>62190.455000000002</v>
      </c>
      <c r="J426" s="1">
        <v>27560.459999999988</v>
      </c>
      <c r="K426" s="1">
        <v>-7560.4599999999882</v>
      </c>
      <c r="L426" s="1">
        <v>69750.914999999994</v>
      </c>
      <c r="M426" s="1">
        <v>514</v>
      </c>
      <c r="N426" s="1">
        <v>50.965294117647097</v>
      </c>
      <c r="O426" s="1">
        <v>-141.00187152173791</v>
      </c>
      <c r="P426" s="7">
        <v>45947</v>
      </c>
      <c r="Q426" s="1">
        <v>20000</v>
      </c>
      <c r="R426" s="7">
        <v>46339.423910162041</v>
      </c>
      <c r="S426" s="7">
        <v>46339</v>
      </c>
      <c r="T426" s="7" t="str">
        <f t="shared" si="0"/>
        <v>noviembre</v>
      </c>
      <c r="U426" s="1" t="s">
        <v>330</v>
      </c>
      <c r="X426" s="1" t="s">
        <v>401</v>
      </c>
      <c r="Y426" s="1" t="s">
        <v>402</v>
      </c>
      <c r="Z426" s="1">
        <v>1</v>
      </c>
      <c r="AA426" s="3">
        <v>21189.599999999999</v>
      </c>
      <c r="AB426" s="3">
        <v>21189.599999999999</v>
      </c>
      <c r="AC426" s="1" t="str">
        <f>VLOOKUP(A426,[1]Detalle!$D$2:$CW$484,98,FALSE)</f>
        <v>CMQ_TTE - QUILMES TTE</v>
      </c>
    </row>
    <row r="427" spans="1:29" ht="14.25" customHeight="1" x14ac:dyDescent="0.3">
      <c r="A427" s="1" t="s">
        <v>44</v>
      </c>
      <c r="B427" s="1" t="s">
        <v>406</v>
      </c>
      <c r="C427" s="1" t="s">
        <v>400</v>
      </c>
      <c r="D427" s="1" t="s">
        <v>328</v>
      </c>
      <c r="E427" s="1">
        <v>0.75</v>
      </c>
      <c r="F427" s="1" t="s">
        <v>329</v>
      </c>
      <c r="G427" s="6">
        <v>45849</v>
      </c>
      <c r="H427" s="1">
        <v>54917</v>
      </c>
      <c r="I427" s="1">
        <v>74917</v>
      </c>
      <c r="J427" s="1">
        <v>4571.7000000000007</v>
      </c>
      <c r="K427" s="1">
        <v>15428.3</v>
      </c>
      <c r="L427" s="1">
        <v>59488.7</v>
      </c>
      <c r="M427" s="1">
        <v>98</v>
      </c>
      <c r="N427" s="1">
        <v>49.3882592592593</v>
      </c>
      <c r="O427" s="1">
        <v>330.72454448017152</v>
      </c>
      <c r="P427" s="7">
        <v>45947</v>
      </c>
      <c r="Q427" s="1">
        <v>20000</v>
      </c>
      <c r="R427" s="7">
        <v>46277.72454447917</v>
      </c>
      <c r="S427" s="7">
        <v>46277</v>
      </c>
      <c r="T427" s="7" t="str">
        <f t="shared" si="0"/>
        <v>septiembre</v>
      </c>
      <c r="U427" s="1" t="s">
        <v>330</v>
      </c>
      <c r="X427" s="1" t="s">
        <v>331</v>
      </c>
      <c r="Y427" s="1" t="s">
        <v>332</v>
      </c>
      <c r="Z427" s="1">
        <v>16</v>
      </c>
      <c r="AA427" s="3">
        <v>3389.9</v>
      </c>
      <c r="AB427" s="3">
        <v>54238.400000000001</v>
      </c>
      <c r="AC427" s="1" t="str">
        <f>VLOOKUP(A427,[1]Detalle!$D$2:$CW$484,98,FALSE)</f>
        <v>CMQ_TTE - QUILMES TTE</v>
      </c>
    </row>
    <row r="428" spans="1:29" ht="14.25" customHeight="1" x14ac:dyDescent="0.3">
      <c r="A428" s="1" t="s">
        <v>44</v>
      </c>
      <c r="B428" s="1" t="s">
        <v>406</v>
      </c>
      <c r="C428" s="1" t="s">
        <v>400</v>
      </c>
      <c r="D428" s="1" t="s">
        <v>328</v>
      </c>
      <c r="E428" s="1">
        <v>0.75</v>
      </c>
      <c r="F428" s="1" t="s">
        <v>329</v>
      </c>
      <c r="G428" s="6">
        <v>45849</v>
      </c>
      <c r="H428" s="1">
        <v>54917</v>
      </c>
      <c r="I428" s="1">
        <v>74917</v>
      </c>
      <c r="J428" s="1">
        <v>4571.7000000000007</v>
      </c>
      <c r="K428" s="1">
        <v>15428.3</v>
      </c>
      <c r="L428" s="1">
        <v>59488.7</v>
      </c>
      <c r="M428" s="1">
        <v>98</v>
      </c>
      <c r="N428" s="1">
        <v>49.3882592592593</v>
      </c>
      <c r="O428" s="1">
        <v>330.72454448017152</v>
      </c>
      <c r="P428" s="7">
        <v>45947</v>
      </c>
      <c r="Q428" s="1">
        <v>20000</v>
      </c>
      <c r="R428" s="7">
        <v>46277.72454447917</v>
      </c>
      <c r="S428" s="7">
        <v>46277</v>
      </c>
      <c r="T428" s="7" t="str">
        <f t="shared" si="0"/>
        <v>septiembre</v>
      </c>
      <c r="U428" s="1" t="s">
        <v>330</v>
      </c>
      <c r="X428" s="1" t="s">
        <v>401</v>
      </c>
      <c r="Y428" s="1" t="s">
        <v>402</v>
      </c>
      <c r="Z428" s="1">
        <v>1</v>
      </c>
      <c r="AA428" s="3">
        <v>21189.599999999999</v>
      </c>
      <c r="AB428" s="3">
        <v>21189.599999999999</v>
      </c>
      <c r="AC428" s="1" t="str">
        <f>VLOOKUP(A428,[1]Detalle!$D$2:$CW$484,98,FALSE)</f>
        <v>CMQ_TTE - QUILMES TTE</v>
      </c>
    </row>
    <row r="429" spans="1:29" ht="14.25" customHeight="1" x14ac:dyDescent="0.3">
      <c r="A429" s="1" t="s">
        <v>43</v>
      </c>
      <c r="B429" s="1" t="s">
        <v>406</v>
      </c>
      <c r="C429" s="1" t="s">
        <v>400</v>
      </c>
      <c r="D429" s="1" t="s">
        <v>328</v>
      </c>
      <c r="E429" s="1">
        <v>0.75</v>
      </c>
      <c r="F429" s="1" t="s">
        <v>329</v>
      </c>
      <c r="G429" s="6">
        <v>45352</v>
      </c>
      <c r="H429" s="1">
        <v>43619</v>
      </c>
      <c r="I429" s="1">
        <v>63619</v>
      </c>
      <c r="J429" s="1">
        <v>32217.59</v>
      </c>
      <c r="K429" s="1">
        <v>-12217.59</v>
      </c>
      <c r="L429" s="1">
        <v>75836.59</v>
      </c>
      <c r="M429" s="1">
        <v>595</v>
      </c>
      <c r="N429" s="1">
        <v>51.939962962962959</v>
      </c>
      <c r="O429" s="1">
        <v>-225.63655599317011</v>
      </c>
      <c r="P429" s="7">
        <v>45947</v>
      </c>
      <c r="Q429" s="1">
        <v>20000</v>
      </c>
      <c r="R429" s="7">
        <v>46332.059958831022</v>
      </c>
      <c r="S429" s="7">
        <v>46332</v>
      </c>
      <c r="T429" s="7" t="str">
        <f t="shared" si="0"/>
        <v>noviembre</v>
      </c>
      <c r="U429" s="1" t="s">
        <v>330</v>
      </c>
      <c r="X429" s="1" t="s">
        <v>331</v>
      </c>
      <c r="Y429" s="1" t="s">
        <v>332</v>
      </c>
      <c r="Z429" s="1">
        <v>16</v>
      </c>
      <c r="AA429" s="3">
        <v>3389.9</v>
      </c>
      <c r="AB429" s="3">
        <v>54238.400000000001</v>
      </c>
      <c r="AC429" s="1" t="str">
        <f>VLOOKUP(A429,[1]Detalle!$D$2:$CW$484,98,FALSE)</f>
        <v>CMQ_TTE - QUILMES TTE</v>
      </c>
    </row>
    <row r="430" spans="1:29" ht="14.25" customHeight="1" x14ac:dyDescent="0.3">
      <c r="A430" s="1" t="s">
        <v>43</v>
      </c>
      <c r="B430" s="1" t="s">
        <v>406</v>
      </c>
      <c r="C430" s="1" t="s">
        <v>400</v>
      </c>
      <c r="D430" s="1" t="s">
        <v>328</v>
      </c>
      <c r="E430" s="1">
        <v>0.75</v>
      </c>
      <c r="F430" s="1" t="s">
        <v>329</v>
      </c>
      <c r="G430" s="6">
        <v>45352</v>
      </c>
      <c r="H430" s="1">
        <v>43619</v>
      </c>
      <c r="I430" s="1">
        <v>63619</v>
      </c>
      <c r="J430" s="1">
        <v>32217.59</v>
      </c>
      <c r="K430" s="1">
        <v>-12217.59</v>
      </c>
      <c r="L430" s="1">
        <v>75836.59</v>
      </c>
      <c r="M430" s="1">
        <v>595</v>
      </c>
      <c r="N430" s="1">
        <v>51.939962962962959</v>
      </c>
      <c r="O430" s="1">
        <v>-225.63655599317011</v>
      </c>
      <c r="P430" s="7">
        <v>45947</v>
      </c>
      <c r="Q430" s="1">
        <v>20000</v>
      </c>
      <c r="R430" s="7">
        <v>46332.059958831022</v>
      </c>
      <c r="S430" s="7">
        <v>46332</v>
      </c>
      <c r="T430" s="7" t="str">
        <f t="shared" si="0"/>
        <v>noviembre</v>
      </c>
      <c r="U430" s="1" t="s">
        <v>330</v>
      </c>
      <c r="X430" s="1" t="s">
        <v>401</v>
      </c>
      <c r="Y430" s="1" t="s">
        <v>402</v>
      </c>
      <c r="Z430" s="1">
        <v>1</v>
      </c>
      <c r="AA430" s="3">
        <v>21189.599999999999</v>
      </c>
      <c r="AB430" s="3">
        <v>21189.599999999999</v>
      </c>
      <c r="AC430" s="1" t="str">
        <f>VLOOKUP(A430,[1]Detalle!$D$2:$CW$484,98,FALSE)</f>
        <v>CMQ_TTE - QUILMES TTE</v>
      </c>
    </row>
    <row r="431" spans="1:29" ht="14.25" customHeight="1" x14ac:dyDescent="0.3">
      <c r="A431" s="1" t="s">
        <v>24</v>
      </c>
      <c r="B431" s="1" t="s">
        <v>407</v>
      </c>
      <c r="C431" s="1" t="s">
        <v>400</v>
      </c>
      <c r="D431" s="1" t="s">
        <v>328</v>
      </c>
      <c r="E431" s="1">
        <v>0.75</v>
      </c>
      <c r="F431" s="1" t="s">
        <v>329</v>
      </c>
      <c r="G431" s="6">
        <v>45827</v>
      </c>
      <c r="H431" s="1">
        <v>70636</v>
      </c>
      <c r="I431" s="1">
        <v>90636</v>
      </c>
      <c r="J431" s="1">
        <v>4770.7000000000007</v>
      </c>
      <c r="K431" s="1">
        <v>15229.3</v>
      </c>
      <c r="L431" s="1">
        <v>75406.7</v>
      </c>
      <c r="M431" s="1">
        <v>120</v>
      </c>
      <c r="N431" s="1">
        <v>48.072185185185191</v>
      </c>
      <c r="O431" s="1">
        <v>383.07082818035082</v>
      </c>
      <c r="P431" s="7">
        <v>45947</v>
      </c>
      <c r="Q431" s="1">
        <v>20000</v>
      </c>
      <c r="R431" s="7">
        <v>46330.07082818287</v>
      </c>
      <c r="S431" s="7">
        <v>46330</v>
      </c>
      <c r="T431" s="7" t="str">
        <f t="shared" si="0"/>
        <v>noviembre</v>
      </c>
      <c r="U431" s="1" t="s">
        <v>330</v>
      </c>
      <c r="X431" s="1" t="s">
        <v>331</v>
      </c>
      <c r="Y431" s="1" t="s">
        <v>332</v>
      </c>
      <c r="Z431" s="1">
        <v>16</v>
      </c>
      <c r="AA431" s="3">
        <v>3389.9</v>
      </c>
      <c r="AB431" s="3">
        <v>54238.400000000001</v>
      </c>
      <c r="AC431" s="1" t="str">
        <f>VLOOKUP(A431,[1]Detalle!$D$2:$CW$484,98,FALSE)</f>
        <v>CMQ_TTE - QUILMES TTE</v>
      </c>
    </row>
    <row r="432" spans="1:29" ht="14.25" customHeight="1" x14ac:dyDescent="0.3">
      <c r="A432" s="1" t="s">
        <v>24</v>
      </c>
      <c r="B432" s="1" t="s">
        <v>407</v>
      </c>
      <c r="C432" s="1" t="s">
        <v>400</v>
      </c>
      <c r="D432" s="1" t="s">
        <v>328</v>
      </c>
      <c r="E432" s="1">
        <v>0.75</v>
      </c>
      <c r="F432" s="1" t="s">
        <v>329</v>
      </c>
      <c r="G432" s="6">
        <v>45827</v>
      </c>
      <c r="H432" s="1">
        <v>70636</v>
      </c>
      <c r="I432" s="1">
        <v>90636</v>
      </c>
      <c r="J432" s="1">
        <v>4770.7000000000007</v>
      </c>
      <c r="K432" s="1">
        <v>15229.3</v>
      </c>
      <c r="L432" s="1">
        <v>75406.7</v>
      </c>
      <c r="M432" s="1">
        <v>120</v>
      </c>
      <c r="N432" s="1">
        <v>48.072185185185191</v>
      </c>
      <c r="O432" s="1">
        <v>383.07082818035082</v>
      </c>
      <c r="P432" s="7">
        <v>45947</v>
      </c>
      <c r="Q432" s="1">
        <v>20000</v>
      </c>
      <c r="R432" s="7">
        <v>46330.07082818287</v>
      </c>
      <c r="S432" s="7">
        <v>46330</v>
      </c>
      <c r="T432" s="7" t="str">
        <f t="shared" si="0"/>
        <v>noviembre</v>
      </c>
      <c r="U432" s="1" t="s">
        <v>330</v>
      </c>
      <c r="X432" s="1" t="s">
        <v>401</v>
      </c>
      <c r="Y432" s="1" t="s">
        <v>402</v>
      </c>
      <c r="Z432" s="1">
        <v>1</v>
      </c>
      <c r="AA432" s="3">
        <v>21189.599999999999</v>
      </c>
      <c r="AB432" s="3">
        <v>21189.599999999999</v>
      </c>
      <c r="AC432" s="1" t="str">
        <f>VLOOKUP(A432,[1]Detalle!$D$2:$CW$484,98,FALSE)</f>
        <v>CMQ_TTE - QUILMES TTE</v>
      </c>
    </row>
    <row r="433" spans="1:29" ht="14.25" customHeight="1" x14ac:dyDescent="0.3">
      <c r="A433" s="1" t="s">
        <v>22</v>
      </c>
      <c r="B433" s="1" t="s">
        <v>407</v>
      </c>
      <c r="C433" s="1" t="s">
        <v>400</v>
      </c>
      <c r="D433" s="1" t="s">
        <v>328</v>
      </c>
      <c r="E433" s="1">
        <v>0.75</v>
      </c>
      <c r="F433" s="1" t="s">
        <v>329</v>
      </c>
      <c r="G433" s="6">
        <v>45744</v>
      </c>
      <c r="H433" s="1">
        <v>61556.800000000003</v>
      </c>
      <c r="I433" s="1">
        <v>81556.800000000003</v>
      </c>
      <c r="J433" s="1">
        <v>8960.2999999999975</v>
      </c>
      <c r="K433" s="1">
        <v>11039.7</v>
      </c>
      <c r="L433" s="1">
        <v>70517.100000000006</v>
      </c>
      <c r="M433" s="1">
        <v>203</v>
      </c>
      <c r="N433" s="1">
        <v>48.161180811808123</v>
      </c>
      <c r="O433" s="1">
        <v>250.1098289119785</v>
      </c>
      <c r="P433" s="7">
        <v>45947</v>
      </c>
      <c r="Q433" s="1">
        <v>20000</v>
      </c>
      <c r="R433" s="7">
        <v>46197.109828912027</v>
      </c>
      <c r="S433" s="7">
        <v>46197</v>
      </c>
      <c r="T433" s="7" t="str">
        <f t="shared" si="0"/>
        <v>junio</v>
      </c>
      <c r="U433" s="1" t="s">
        <v>330</v>
      </c>
      <c r="X433" s="1" t="s">
        <v>331</v>
      </c>
      <c r="Y433" s="1" t="s">
        <v>332</v>
      </c>
      <c r="Z433" s="1">
        <v>16</v>
      </c>
      <c r="AA433" s="3">
        <v>3389.9</v>
      </c>
      <c r="AB433" s="3">
        <v>54238.400000000001</v>
      </c>
      <c r="AC433" s="1" t="str">
        <f>VLOOKUP(A433,[1]Detalle!$D$2:$CW$484,98,FALSE)</f>
        <v>CMQ_TTE - QUILMES TTE</v>
      </c>
    </row>
    <row r="434" spans="1:29" ht="14.25" customHeight="1" x14ac:dyDescent="0.3">
      <c r="A434" s="1" t="s">
        <v>22</v>
      </c>
      <c r="B434" s="1" t="s">
        <v>407</v>
      </c>
      <c r="C434" s="1" t="s">
        <v>400</v>
      </c>
      <c r="D434" s="1" t="s">
        <v>328</v>
      </c>
      <c r="E434" s="1">
        <v>0.75</v>
      </c>
      <c r="F434" s="1" t="s">
        <v>329</v>
      </c>
      <c r="G434" s="6">
        <v>45744</v>
      </c>
      <c r="H434" s="1">
        <v>61556.800000000003</v>
      </c>
      <c r="I434" s="1">
        <v>81556.800000000003</v>
      </c>
      <c r="J434" s="1">
        <v>8960.2999999999975</v>
      </c>
      <c r="K434" s="1">
        <v>11039.7</v>
      </c>
      <c r="L434" s="1">
        <v>70517.100000000006</v>
      </c>
      <c r="M434" s="1">
        <v>203</v>
      </c>
      <c r="N434" s="1">
        <v>48.161180811808123</v>
      </c>
      <c r="O434" s="1">
        <v>250.1098289119785</v>
      </c>
      <c r="P434" s="7">
        <v>45947</v>
      </c>
      <c r="Q434" s="1">
        <v>20000</v>
      </c>
      <c r="R434" s="7">
        <v>46197.109828912027</v>
      </c>
      <c r="S434" s="7">
        <v>46197</v>
      </c>
      <c r="T434" s="7" t="str">
        <f t="shared" si="0"/>
        <v>junio</v>
      </c>
      <c r="U434" s="1" t="s">
        <v>330</v>
      </c>
      <c r="X434" s="1" t="s">
        <v>401</v>
      </c>
      <c r="Y434" s="1" t="s">
        <v>402</v>
      </c>
      <c r="Z434" s="1">
        <v>1</v>
      </c>
      <c r="AA434" s="3">
        <v>21189.599999999999</v>
      </c>
      <c r="AB434" s="3">
        <v>21189.599999999999</v>
      </c>
      <c r="AC434" s="1" t="str">
        <f>VLOOKUP(A434,[1]Detalle!$D$2:$CW$484,98,FALSE)</f>
        <v>CMQ_TTE - QUILMES TTE</v>
      </c>
    </row>
    <row r="435" spans="1:29" ht="14.25" customHeight="1" x14ac:dyDescent="0.3">
      <c r="A435" s="1" t="s">
        <v>21</v>
      </c>
      <c r="B435" s="1" t="s">
        <v>408</v>
      </c>
      <c r="C435" s="1" t="s">
        <v>400</v>
      </c>
      <c r="D435" s="1" t="s">
        <v>328</v>
      </c>
      <c r="E435" s="1">
        <v>0.75</v>
      </c>
      <c r="F435" s="1" t="s">
        <v>329</v>
      </c>
      <c r="G435" s="6">
        <v>45652</v>
      </c>
      <c r="H435" s="1">
        <v>59747.1</v>
      </c>
      <c r="I435" s="1">
        <v>79747.100000000006</v>
      </c>
      <c r="J435" s="1">
        <v>13173.82</v>
      </c>
      <c r="K435" s="1">
        <v>6826.1800000000039</v>
      </c>
      <c r="L435" s="1">
        <v>72920.92</v>
      </c>
      <c r="M435" s="1">
        <v>295</v>
      </c>
      <c r="N435" s="1">
        <v>47.570444444444483</v>
      </c>
      <c r="O435" s="1">
        <v>152.8579485676897</v>
      </c>
      <c r="P435" s="7">
        <v>45947</v>
      </c>
      <c r="Q435" s="1">
        <v>20000</v>
      </c>
      <c r="R435" s="7">
        <v>46099.857948564822</v>
      </c>
      <c r="S435" s="7">
        <v>46099</v>
      </c>
      <c r="T435" s="7" t="str">
        <f t="shared" si="0"/>
        <v>marzo</v>
      </c>
      <c r="U435" s="1" t="s">
        <v>330</v>
      </c>
      <c r="X435" s="1" t="s">
        <v>331</v>
      </c>
      <c r="Y435" s="1" t="s">
        <v>332</v>
      </c>
      <c r="Z435" s="1">
        <v>16</v>
      </c>
      <c r="AA435" s="3">
        <v>3389.9</v>
      </c>
      <c r="AB435" s="3">
        <v>54238.400000000001</v>
      </c>
      <c r="AC435" s="1" t="str">
        <f>VLOOKUP(A435,[1]Detalle!$D$2:$CW$484,98,FALSE)</f>
        <v>CMQ_TTE - QUILMES TTE</v>
      </c>
    </row>
    <row r="436" spans="1:29" ht="14.25" customHeight="1" x14ac:dyDescent="0.3">
      <c r="A436" s="1" t="s">
        <v>21</v>
      </c>
      <c r="B436" s="1" t="s">
        <v>408</v>
      </c>
      <c r="C436" s="1" t="s">
        <v>400</v>
      </c>
      <c r="D436" s="1" t="s">
        <v>328</v>
      </c>
      <c r="E436" s="1">
        <v>0.75</v>
      </c>
      <c r="F436" s="1" t="s">
        <v>329</v>
      </c>
      <c r="G436" s="6">
        <v>45652</v>
      </c>
      <c r="H436" s="1">
        <v>59747.1</v>
      </c>
      <c r="I436" s="1">
        <v>79747.100000000006</v>
      </c>
      <c r="J436" s="1">
        <v>13173.82</v>
      </c>
      <c r="K436" s="1">
        <v>6826.1800000000039</v>
      </c>
      <c r="L436" s="1">
        <v>72920.92</v>
      </c>
      <c r="M436" s="1">
        <v>295</v>
      </c>
      <c r="N436" s="1">
        <v>47.570444444444483</v>
      </c>
      <c r="O436" s="1">
        <v>152.8579485676897</v>
      </c>
      <c r="P436" s="7">
        <v>45947</v>
      </c>
      <c r="Q436" s="1">
        <v>20000</v>
      </c>
      <c r="R436" s="7">
        <v>46099.857948564822</v>
      </c>
      <c r="S436" s="7">
        <v>46099</v>
      </c>
      <c r="T436" s="7" t="str">
        <f t="shared" si="0"/>
        <v>marzo</v>
      </c>
      <c r="U436" s="1" t="s">
        <v>330</v>
      </c>
      <c r="X436" s="1" t="s">
        <v>401</v>
      </c>
      <c r="Y436" s="1" t="s">
        <v>402</v>
      </c>
      <c r="Z436" s="1">
        <v>1</v>
      </c>
      <c r="AA436" s="3">
        <v>21189.599999999999</v>
      </c>
      <c r="AB436" s="3">
        <v>21189.599999999999</v>
      </c>
      <c r="AC436" s="1" t="str">
        <f>VLOOKUP(A436,[1]Detalle!$D$2:$CW$484,98,FALSE)</f>
        <v>CMQ_TTE - QUILMES TTE</v>
      </c>
    </row>
    <row r="437" spans="1:29" ht="14.25" customHeight="1" x14ac:dyDescent="0.3">
      <c r="A437" s="1" t="s">
        <v>92</v>
      </c>
      <c r="B437" s="1" t="s">
        <v>409</v>
      </c>
      <c r="C437" s="1" t="s">
        <v>410</v>
      </c>
      <c r="D437" s="1" t="s">
        <v>343</v>
      </c>
      <c r="E437" s="1">
        <v>0.5</v>
      </c>
      <c r="F437" s="1" t="s">
        <v>344</v>
      </c>
      <c r="G437" s="1" t="s">
        <v>337</v>
      </c>
      <c r="N437" s="1">
        <v>65.871929260450116</v>
      </c>
      <c r="P437" s="7">
        <v>45947</v>
      </c>
      <c r="Q437" s="1">
        <v>20000</v>
      </c>
      <c r="R437" s="7">
        <v>46250.619466203701</v>
      </c>
      <c r="S437" s="7">
        <v>46250</v>
      </c>
      <c r="T437" s="7" t="str">
        <f t="shared" si="0"/>
        <v>agosto</v>
      </c>
      <c r="U437" s="1" t="s">
        <v>330</v>
      </c>
      <c r="X437" s="1" t="s">
        <v>411</v>
      </c>
      <c r="Y437" s="1" t="s">
        <v>412</v>
      </c>
      <c r="Z437" s="1">
        <v>1</v>
      </c>
      <c r="AA437" s="3">
        <v>20099.439999999999</v>
      </c>
      <c r="AB437" s="3">
        <v>20099.439999999999</v>
      </c>
      <c r="AC437" s="1" t="str">
        <f>VLOOKUP(A437,[1]Detalle!$D$2:$CW$484,98,FALSE)</f>
        <v>Unilever - Unilever de Arg. S.A.</v>
      </c>
    </row>
    <row r="438" spans="1:29" ht="14.25" customHeight="1" x14ac:dyDescent="0.3">
      <c r="A438" s="1" t="s">
        <v>92</v>
      </c>
      <c r="B438" s="1" t="s">
        <v>409</v>
      </c>
      <c r="C438" s="1" t="s">
        <v>410</v>
      </c>
      <c r="D438" s="1" t="s">
        <v>343</v>
      </c>
      <c r="E438" s="1">
        <v>0.5</v>
      </c>
      <c r="F438" s="1" t="s">
        <v>344</v>
      </c>
      <c r="G438" s="1" t="s">
        <v>337</v>
      </c>
      <c r="N438" s="1">
        <v>65.871929260450116</v>
      </c>
      <c r="P438" s="7">
        <v>45947</v>
      </c>
      <c r="Q438" s="1">
        <v>20000</v>
      </c>
      <c r="R438" s="7">
        <v>46250.619466203701</v>
      </c>
      <c r="S438" s="7">
        <v>46250</v>
      </c>
      <c r="T438" s="7" t="str">
        <f t="shared" si="0"/>
        <v>agosto</v>
      </c>
      <c r="U438" s="1" t="s">
        <v>330</v>
      </c>
      <c r="X438" s="1" t="s">
        <v>413</v>
      </c>
      <c r="Y438" s="1" t="s">
        <v>414</v>
      </c>
      <c r="Z438" s="1">
        <v>1</v>
      </c>
      <c r="AA438" s="3">
        <v>170000</v>
      </c>
      <c r="AB438" s="3">
        <v>170000</v>
      </c>
      <c r="AC438" s="1" t="str">
        <f>VLOOKUP(A438,[1]Detalle!$D$2:$CW$484,98,FALSE)</f>
        <v>Unilever - Unilever de Arg. S.A.</v>
      </c>
    </row>
    <row r="439" spans="1:29" ht="14.25" customHeight="1" x14ac:dyDescent="0.3">
      <c r="A439" s="1" t="s">
        <v>91</v>
      </c>
      <c r="B439" s="1" t="s">
        <v>409</v>
      </c>
      <c r="C439" s="1" t="s">
        <v>410</v>
      </c>
      <c r="D439" s="1" t="s">
        <v>343</v>
      </c>
      <c r="E439" s="1">
        <v>0.5</v>
      </c>
      <c r="F439" s="1" t="s">
        <v>344</v>
      </c>
      <c r="G439" s="1" t="s">
        <v>337</v>
      </c>
      <c r="N439" s="1">
        <v>61.470550161812312</v>
      </c>
      <c r="P439" s="7">
        <v>45947</v>
      </c>
      <c r="Q439" s="1">
        <v>20000</v>
      </c>
      <c r="R439" s="7">
        <v>46272.359053194443</v>
      </c>
      <c r="S439" s="7">
        <v>46272</v>
      </c>
      <c r="T439" s="7" t="str">
        <f t="shared" si="0"/>
        <v>septiembre</v>
      </c>
      <c r="U439" s="1" t="s">
        <v>330</v>
      </c>
      <c r="X439" s="1" t="s">
        <v>411</v>
      </c>
      <c r="Y439" s="1" t="s">
        <v>412</v>
      </c>
      <c r="Z439" s="1">
        <v>1</v>
      </c>
      <c r="AA439" s="3">
        <v>20099.439999999999</v>
      </c>
      <c r="AB439" s="3">
        <v>20099.439999999999</v>
      </c>
      <c r="AC439" s="1" t="str">
        <f>VLOOKUP(A439,[1]Detalle!$D$2:$CW$484,98,FALSE)</f>
        <v>Unilever - Unilever de Arg. S.A.</v>
      </c>
    </row>
    <row r="440" spans="1:29" ht="14.25" customHeight="1" x14ac:dyDescent="0.3">
      <c r="A440" s="1" t="s">
        <v>91</v>
      </c>
      <c r="B440" s="1" t="s">
        <v>409</v>
      </c>
      <c r="C440" s="1" t="s">
        <v>410</v>
      </c>
      <c r="D440" s="1" t="s">
        <v>343</v>
      </c>
      <c r="E440" s="1">
        <v>0.5</v>
      </c>
      <c r="F440" s="1" t="s">
        <v>344</v>
      </c>
      <c r="G440" s="1" t="s">
        <v>337</v>
      </c>
      <c r="N440" s="1">
        <v>61.470550161812312</v>
      </c>
      <c r="P440" s="7">
        <v>45947</v>
      </c>
      <c r="Q440" s="1">
        <v>20000</v>
      </c>
      <c r="R440" s="7">
        <v>46272.359053194443</v>
      </c>
      <c r="S440" s="7">
        <v>46272</v>
      </c>
      <c r="T440" s="7" t="str">
        <f t="shared" si="0"/>
        <v>septiembre</v>
      </c>
      <c r="U440" s="1" t="s">
        <v>330</v>
      </c>
      <c r="X440" s="1" t="s">
        <v>413</v>
      </c>
      <c r="Y440" s="1" t="s">
        <v>414</v>
      </c>
      <c r="Z440" s="1">
        <v>1</v>
      </c>
      <c r="AA440" s="3">
        <v>170000</v>
      </c>
      <c r="AB440" s="3">
        <v>170000</v>
      </c>
      <c r="AC440" s="1" t="str">
        <f>VLOOKUP(A440,[1]Detalle!$D$2:$CW$484,98,FALSE)</f>
        <v>Unilever - Unilever de Arg. S.A.</v>
      </c>
    </row>
    <row r="441" spans="1:29" ht="14.25" customHeight="1" x14ac:dyDescent="0.3">
      <c r="A441" s="1" t="s">
        <v>88</v>
      </c>
      <c r="B441" s="1" t="s">
        <v>399</v>
      </c>
      <c r="C441" s="1" t="s">
        <v>410</v>
      </c>
      <c r="D441" s="1" t="s">
        <v>343</v>
      </c>
      <c r="E441" s="1">
        <v>0.5</v>
      </c>
      <c r="F441" s="1" t="s">
        <v>344</v>
      </c>
      <c r="G441" s="6">
        <v>45603</v>
      </c>
      <c r="H441" s="1">
        <v>18877</v>
      </c>
      <c r="I441" s="1">
        <v>38877</v>
      </c>
      <c r="J441" s="1">
        <v>13183.70000000001</v>
      </c>
      <c r="K441" s="1">
        <v>6816.299999999992</v>
      </c>
      <c r="L441" s="1">
        <v>32060.700000000012</v>
      </c>
      <c r="M441" s="1">
        <v>344</v>
      </c>
      <c r="N441" s="1">
        <v>37.875645756457558</v>
      </c>
      <c r="O441" s="1">
        <v>177.856534963629</v>
      </c>
      <c r="P441" s="7">
        <v>45947</v>
      </c>
      <c r="Q441" s="1">
        <v>20000</v>
      </c>
      <c r="R441" s="7">
        <v>46124.856534965278</v>
      </c>
      <c r="S441" s="7">
        <v>46124</v>
      </c>
      <c r="T441" s="7" t="str">
        <f t="shared" si="0"/>
        <v>abril</v>
      </c>
      <c r="U441" s="1" t="s">
        <v>330</v>
      </c>
      <c r="X441" s="1" t="s">
        <v>411</v>
      </c>
      <c r="Y441" s="1" t="s">
        <v>412</v>
      </c>
      <c r="Z441" s="1">
        <v>1</v>
      </c>
      <c r="AA441" s="3">
        <v>20099.439999999999</v>
      </c>
      <c r="AB441" s="3">
        <v>20099.439999999999</v>
      </c>
      <c r="AC441" s="1" t="str">
        <f>VLOOKUP(A441,[1]Detalle!$D$2:$CW$484,98,FALSE)</f>
        <v>CMQ_TTE - QUILMES TTE</v>
      </c>
    </row>
    <row r="442" spans="1:29" ht="14.25" customHeight="1" x14ac:dyDescent="0.3">
      <c r="A442" s="1" t="s">
        <v>88</v>
      </c>
      <c r="B442" s="1" t="s">
        <v>399</v>
      </c>
      <c r="C442" s="1" t="s">
        <v>410</v>
      </c>
      <c r="D442" s="1" t="s">
        <v>343</v>
      </c>
      <c r="E442" s="1">
        <v>0.5</v>
      </c>
      <c r="F442" s="1" t="s">
        <v>344</v>
      </c>
      <c r="G442" s="6">
        <v>45603</v>
      </c>
      <c r="H442" s="1">
        <v>18877</v>
      </c>
      <c r="I442" s="1">
        <v>38877</v>
      </c>
      <c r="J442" s="1">
        <v>13183.70000000001</v>
      </c>
      <c r="K442" s="1">
        <v>6816.299999999992</v>
      </c>
      <c r="L442" s="1">
        <v>32060.700000000012</v>
      </c>
      <c r="M442" s="1">
        <v>344</v>
      </c>
      <c r="N442" s="1">
        <v>37.875645756457558</v>
      </c>
      <c r="O442" s="1">
        <v>177.856534963629</v>
      </c>
      <c r="P442" s="7">
        <v>45947</v>
      </c>
      <c r="Q442" s="1">
        <v>20000</v>
      </c>
      <c r="R442" s="7">
        <v>46124.856534965278</v>
      </c>
      <c r="S442" s="7">
        <v>46124</v>
      </c>
      <c r="T442" s="7" t="str">
        <f t="shared" si="0"/>
        <v>abril</v>
      </c>
      <c r="U442" s="1" t="s">
        <v>330</v>
      </c>
      <c r="X442" s="1" t="s">
        <v>413</v>
      </c>
      <c r="Y442" s="1" t="s">
        <v>414</v>
      </c>
      <c r="Z442" s="1">
        <v>1</v>
      </c>
      <c r="AA442" s="3">
        <v>170000</v>
      </c>
      <c r="AB442" s="3">
        <v>170000</v>
      </c>
      <c r="AC442" s="1" t="str">
        <f>VLOOKUP(A442,[1]Detalle!$D$2:$CW$484,98,FALSE)</f>
        <v>CMQ_TTE - QUILMES TTE</v>
      </c>
    </row>
    <row r="443" spans="1:29" ht="14.25" customHeight="1" x14ac:dyDescent="0.3">
      <c r="A443" s="1" t="s">
        <v>87</v>
      </c>
      <c r="B443" s="1" t="s">
        <v>399</v>
      </c>
      <c r="C443" s="1" t="s">
        <v>410</v>
      </c>
      <c r="D443" s="1" t="s">
        <v>343</v>
      </c>
      <c r="E443" s="1">
        <v>0.5</v>
      </c>
      <c r="F443" s="1" t="s">
        <v>344</v>
      </c>
      <c r="G443" s="6">
        <v>45905</v>
      </c>
      <c r="H443" s="1">
        <v>52971.7</v>
      </c>
      <c r="I443" s="1">
        <v>72971.7</v>
      </c>
      <c r="J443" s="1">
        <v>0</v>
      </c>
      <c r="K443" s="1">
        <v>20000</v>
      </c>
      <c r="L443" s="1">
        <v>52971.7</v>
      </c>
      <c r="M443" s="1">
        <v>42</v>
      </c>
      <c r="N443" s="1">
        <v>3.001660516605166</v>
      </c>
      <c r="O443" s="1">
        <v>200</v>
      </c>
      <c r="P443" s="7">
        <v>45947</v>
      </c>
      <c r="Q443" s="1">
        <v>20000</v>
      </c>
      <c r="R443" s="7">
        <v>46147</v>
      </c>
      <c r="S443" s="7">
        <v>46147</v>
      </c>
      <c r="T443" s="7" t="str">
        <f t="shared" si="0"/>
        <v>mayo</v>
      </c>
      <c r="U443" s="1" t="s">
        <v>330</v>
      </c>
      <c r="X443" s="1" t="s">
        <v>411</v>
      </c>
      <c r="Y443" s="1" t="s">
        <v>412</v>
      </c>
      <c r="Z443" s="1">
        <v>1</v>
      </c>
      <c r="AA443" s="3">
        <v>20099.439999999999</v>
      </c>
      <c r="AB443" s="3">
        <v>20099.439999999999</v>
      </c>
      <c r="AC443" s="1" t="str">
        <f>VLOOKUP(A443,[1]Detalle!$D$2:$CW$484,98,FALSE)</f>
        <v>CENCO_MZ - Cencosud SA - Mendoza</v>
      </c>
    </row>
    <row r="444" spans="1:29" ht="14.25" customHeight="1" x14ac:dyDescent="0.3">
      <c r="A444" s="1" t="s">
        <v>87</v>
      </c>
      <c r="B444" s="1" t="s">
        <v>399</v>
      </c>
      <c r="C444" s="1" t="s">
        <v>410</v>
      </c>
      <c r="D444" s="1" t="s">
        <v>343</v>
      </c>
      <c r="E444" s="1">
        <v>0.5</v>
      </c>
      <c r="F444" s="1" t="s">
        <v>344</v>
      </c>
      <c r="G444" s="6">
        <v>45905</v>
      </c>
      <c r="H444" s="1">
        <v>52971.7</v>
      </c>
      <c r="I444" s="1">
        <v>72971.7</v>
      </c>
      <c r="J444" s="1">
        <v>0</v>
      </c>
      <c r="K444" s="1">
        <v>20000</v>
      </c>
      <c r="L444" s="1">
        <v>52971.7</v>
      </c>
      <c r="M444" s="1">
        <v>42</v>
      </c>
      <c r="N444" s="1">
        <v>3.001660516605166</v>
      </c>
      <c r="O444" s="1">
        <v>200</v>
      </c>
      <c r="P444" s="7">
        <v>45947</v>
      </c>
      <c r="Q444" s="1">
        <v>20000</v>
      </c>
      <c r="R444" s="7">
        <v>46147</v>
      </c>
      <c r="S444" s="7">
        <v>46147</v>
      </c>
      <c r="T444" s="7" t="str">
        <f t="shared" si="0"/>
        <v>mayo</v>
      </c>
      <c r="U444" s="1" t="s">
        <v>330</v>
      </c>
      <c r="X444" s="1" t="s">
        <v>413</v>
      </c>
      <c r="Y444" s="1" t="s">
        <v>414</v>
      </c>
      <c r="Z444" s="1">
        <v>1</v>
      </c>
      <c r="AA444" s="3">
        <v>170000</v>
      </c>
      <c r="AB444" s="3">
        <v>170000</v>
      </c>
      <c r="AC444" s="1" t="str">
        <f>VLOOKUP(A444,[1]Detalle!$D$2:$CW$484,98,FALSE)</f>
        <v>CENCO_MZ - Cencosud SA - Mendoza</v>
      </c>
    </row>
    <row r="445" spans="1:29" ht="14.25" customHeight="1" x14ac:dyDescent="0.3">
      <c r="A445" s="1" t="s">
        <v>71</v>
      </c>
      <c r="B445" s="1" t="s">
        <v>403</v>
      </c>
      <c r="C445" s="1" t="s">
        <v>410</v>
      </c>
      <c r="D445" s="1" t="s">
        <v>343</v>
      </c>
      <c r="E445" s="1">
        <v>0.5</v>
      </c>
      <c r="F445" s="1" t="s">
        <v>344</v>
      </c>
      <c r="G445" s="6">
        <v>45838</v>
      </c>
      <c r="H445" s="1">
        <v>37932</v>
      </c>
      <c r="I445" s="1">
        <v>57932</v>
      </c>
      <c r="J445" s="1">
        <v>4460.9999999999991</v>
      </c>
      <c r="K445" s="1">
        <v>15539</v>
      </c>
      <c r="L445" s="1">
        <v>42393</v>
      </c>
      <c r="M445" s="1">
        <v>109</v>
      </c>
      <c r="N445" s="1">
        <v>38.195276752767562</v>
      </c>
      <c r="O445" s="1">
        <v>379.67966823582162</v>
      </c>
      <c r="P445" s="7">
        <v>45947</v>
      </c>
      <c r="Q445" s="1">
        <v>20000</v>
      </c>
      <c r="R445" s="7">
        <v>46326.679668240737</v>
      </c>
      <c r="S445" s="7">
        <v>46326</v>
      </c>
      <c r="T445" s="7" t="str">
        <f t="shared" si="0"/>
        <v>octubre</v>
      </c>
      <c r="U445" s="1" t="s">
        <v>330</v>
      </c>
      <c r="X445" s="1" t="s">
        <v>411</v>
      </c>
      <c r="Y445" s="1" t="s">
        <v>412</v>
      </c>
      <c r="Z445" s="1">
        <v>1</v>
      </c>
      <c r="AA445" s="3">
        <v>20099.439999999999</v>
      </c>
      <c r="AB445" s="3">
        <v>20099.439999999999</v>
      </c>
      <c r="AC445" s="1" t="str">
        <f>VLOOKUP(A445,[1]Detalle!$D$2:$CW$484,98,FALSE)</f>
        <v>CMQ_TTE - QUILMES TTE</v>
      </c>
    </row>
    <row r="446" spans="1:29" ht="14.25" customHeight="1" x14ac:dyDescent="0.3">
      <c r="A446" s="1" t="s">
        <v>71</v>
      </c>
      <c r="B446" s="1" t="s">
        <v>403</v>
      </c>
      <c r="C446" s="1" t="s">
        <v>410</v>
      </c>
      <c r="D446" s="1" t="s">
        <v>343</v>
      </c>
      <c r="E446" s="1">
        <v>0.5</v>
      </c>
      <c r="F446" s="1" t="s">
        <v>344</v>
      </c>
      <c r="G446" s="6">
        <v>45838</v>
      </c>
      <c r="H446" s="1">
        <v>37932</v>
      </c>
      <c r="I446" s="1">
        <v>57932</v>
      </c>
      <c r="J446" s="1">
        <v>4460.9999999999991</v>
      </c>
      <c r="K446" s="1">
        <v>15539</v>
      </c>
      <c r="L446" s="1">
        <v>42393</v>
      </c>
      <c r="M446" s="1">
        <v>109</v>
      </c>
      <c r="N446" s="1">
        <v>38.195276752767562</v>
      </c>
      <c r="O446" s="1">
        <v>379.67966823582162</v>
      </c>
      <c r="P446" s="7">
        <v>45947</v>
      </c>
      <c r="Q446" s="1">
        <v>20000</v>
      </c>
      <c r="R446" s="7">
        <v>46326.679668240737</v>
      </c>
      <c r="S446" s="7">
        <v>46326</v>
      </c>
      <c r="T446" s="7" t="str">
        <f t="shared" si="0"/>
        <v>octubre</v>
      </c>
      <c r="U446" s="1" t="s">
        <v>330</v>
      </c>
      <c r="X446" s="1" t="s">
        <v>413</v>
      </c>
      <c r="Y446" s="1" t="s">
        <v>414</v>
      </c>
      <c r="Z446" s="1">
        <v>1</v>
      </c>
      <c r="AA446" s="3">
        <v>170000</v>
      </c>
      <c r="AB446" s="3">
        <v>170000</v>
      </c>
      <c r="AC446" s="1" t="str">
        <f>VLOOKUP(A446,[1]Detalle!$D$2:$CW$484,98,FALSE)</f>
        <v>CMQ_TTE - QUILMES TTE</v>
      </c>
    </row>
    <row r="447" spans="1:29" ht="14.25" customHeight="1" x14ac:dyDescent="0.3">
      <c r="A447" s="1" t="s">
        <v>66</v>
      </c>
      <c r="B447" s="1" t="s">
        <v>404</v>
      </c>
      <c r="C447" s="1" t="s">
        <v>410</v>
      </c>
      <c r="D447" s="1" t="s">
        <v>343</v>
      </c>
      <c r="E447" s="1">
        <v>0.5</v>
      </c>
      <c r="F447" s="1" t="s">
        <v>344</v>
      </c>
      <c r="G447" s="6">
        <v>45586</v>
      </c>
      <c r="H447" s="1">
        <v>14436</v>
      </c>
      <c r="I447" s="1">
        <v>34436</v>
      </c>
      <c r="J447" s="1">
        <v>9131.8000000000029</v>
      </c>
      <c r="K447" s="1">
        <v>10868.2</v>
      </c>
      <c r="L447" s="1">
        <v>23567.8</v>
      </c>
      <c r="M447" s="1">
        <v>361</v>
      </c>
      <c r="N447" s="1">
        <v>25.02444444444442</v>
      </c>
      <c r="O447" s="1">
        <v>429.64368470619132</v>
      </c>
      <c r="P447" s="7">
        <v>45947</v>
      </c>
      <c r="Q447" s="1">
        <v>20000</v>
      </c>
      <c r="R447" s="7">
        <v>46376.643684710652</v>
      </c>
      <c r="S447" s="7">
        <v>46376</v>
      </c>
      <c r="T447" s="7" t="str">
        <f t="shared" si="0"/>
        <v>diciembre</v>
      </c>
      <c r="U447" s="1" t="s">
        <v>330</v>
      </c>
      <c r="X447" s="1" t="s">
        <v>411</v>
      </c>
      <c r="Y447" s="1" t="s">
        <v>412</v>
      </c>
      <c r="Z447" s="1">
        <v>1</v>
      </c>
      <c r="AA447" s="3">
        <v>20099.439999999999</v>
      </c>
      <c r="AB447" s="3">
        <v>20099.439999999999</v>
      </c>
      <c r="AC447" s="1" t="str">
        <f>VLOOKUP(A447,[1]Detalle!$D$2:$CW$484,98,FALSE)</f>
        <v>CMQ_TTE - QUILMES TTE</v>
      </c>
    </row>
    <row r="448" spans="1:29" ht="14.25" customHeight="1" x14ac:dyDescent="0.3">
      <c r="A448" s="1" t="s">
        <v>66</v>
      </c>
      <c r="B448" s="1" t="s">
        <v>404</v>
      </c>
      <c r="C448" s="1" t="s">
        <v>410</v>
      </c>
      <c r="D448" s="1" t="s">
        <v>343</v>
      </c>
      <c r="E448" s="1">
        <v>0.5</v>
      </c>
      <c r="F448" s="1" t="s">
        <v>344</v>
      </c>
      <c r="G448" s="6">
        <v>45586</v>
      </c>
      <c r="H448" s="1">
        <v>14436</v>
      </c>
      <c r="I448" s="1">
        <v>34436</v>
      </c>
      <c r="J448" s="1">
        <v>9131.8000000000029</v>
      </c>
      <c r="K448" s="1">
        <v>10868.2</v>
      </c>
      <c r="L448" s="1">
        <v>23567.8</v>
      </c>
      <c r="M448" s="1">
        <v>361</v>
      </c>
      <c r="N448" s="1">
        <v>25.02444444444442</v>
      </c>
      <c r="O448" s="1">
        <v>429.64368470619132</v>
      </c>
      <c r="P448" s="7">
        <v>45947</v>
      </c>
      <c r="Q448" s="1">
        <v>20000</v>
      </c>
      <c r="R448" s="7">
        <v>46376.643684710652</v>
      </c>
      <c r="S448" s="7">
        <v>46376</v>
      </c>
      <c r="T448" s="7" t="str">
        <f t="shared" si="0"/>
        <v>diciembre</v>
      </c>
      <c r="U448" s="1" t="s">
        <v>330</v>
      </c>
      <c r="X448" s="1" t="s">
        <v>413</v>
      </c>
      <c r="Y448" s="1" t="s">
        <v>414</v>
      </c>
      <c r="Z448" s="1">
        <v>1</v>
      </c>
      <c r="AA448" s="3">
        <v>170000</v>
      </c>
      <c r="AB448" s="3">
        <v>170000</v>
      </c>
      <c r="AC448" s="1" t="str">
        <f>VLOOKUP(A448,[1]Detalle!$D$2:$CW$484,98,FALSE)</f>
        <v>CMQ_TTE - QUILMES TTE</v>
      </c>
    </row>
    <row r="449" spans="1:29" ht="14.25" customHeight="1" x14ac:dyDescent="0.3">
      <c r="A449" s="1" t="s">
        <v>46</v>
      </c>
      <c r="B449" s="1" t="s">
        <v>405</v>
      </c>
      <c r="C449" s="1" t="s">
        <v>410</v>
      </c>
      <c r="D449" s="1" t="s">
        <v>343</v>
      </c>
      <c r="E449" s="1">
        <v>0.5</v>
      </c>
      <c r="F449" s="1" t="s">
        <v>344</v>
      </c>
      <c r="G449" s="6">
        <v>45433</v>
      </c>
      <c r="H449" s="1">
        <v>42190.455000000002</v>
      </c>
      <c r="I449" s="1">
        <v>62190.455000000002</v>
      </c>
      <c r="J449" s="1">
        <v>27560.459999999988</v>
      </c>
      <c r="K449" s="1">
        <v>-7560.4599999999882</v>
      </c>
      <c r="L449" s="1">
        <v>69750.914999999994</v>
      </c>
      <c r="M449" s="1">
        <v>514</v>
      </c>
      <c r="N449" s="1">
        <v>50.965294117647097</v>
      </c>
      <c r="O449" s="1">
        <v>-141.00187152173791</v>
      </c>
      <c r="P449" s="7">
        <v>45947</v>
      </c>
      <c r="Q449" s="1">
        <v>20000</v>
      </c>
      <c r="R449" s="7">
        <v>46339.423910162041</v>
      </c>
      <c r="S449" s="7">
        <v>46339</v>
      </c>
      <c r="T449" s="7" t="str">
        <f t="shared" si="0"/>
        <v>noviembre</v>
      </c>
      <c r="U449" s="1" t="s">
        <v>330</v>
      </c>
      <c r="X449" s="1" t="s">
        <v>411</v>
      </c>
      <c r="Y449" s="1" t="s">
        <v>412</v>
      </c>
      <c r="Z449" s="1">
        <v>1</v>
      </c>
      <c r="AA449" s="3">
        <v>20099.439999999999</v>
      </c>
      <c r="AB449" s="3">
        <v>20099.439999999999</v>
      </c>
      <c r="AC449" s="1" t="str">
        <f>VLOOKUP(A449,[1]Detalle!$D$2:$CW$484,98,FALSE)</f>
        <v>CMQ_TTE - QUILMES TTE</v>
      </c>
    </row>
    <row r="450" spans="1:29" ht="14.25" customHeight="1" x14ac:dyDescent="0.3">
      <c r="A450" s="1" t="s">
        <v>46</v>
      </c>
      <c r="B450" s="1" t="s">
        <v>405</v>
      </c>
      <c r="C450" s="1" t="s">
        <v>410</v>
      </c>
      <c r="D450" s="1" t="s">
        <v>343</v>
      </c>
      <c r="E450" s="1">
        <v>0.5</v>
      </c>
      <c r="F450" s="1" t="s">
        <v>344</v>
      </c>
      <c r="G450" s="6">
        <v>45433</v>
      </c>
      <c r="H450" s="1">
        <v>42190.455000000002</v>
      </c>
      <c r="I450" s="1">
        <v>62190.455000000002</v>
      </c>
      <c r="J450" s="1">
        <v>27560.459999999988</v>
      </c>
      <c r="K450" s="1">
        <v>-7560.4599999999882</v>
      </c>
      <c r="L450" s="1">
        <v>69750.914999999994</v>
      </c>
      <c r="M450" s="1">
        <v>514</v>
      </c>
      <c r="N450" s="1">
        <v>50.965294117647097</v>
      </c>
      <c r="O450" s="1">
        <v>-141.00187152173791</v>
      </c>
      <c r="P450" s="7">
        <v>45947</v>
      </c>
      <c r="Q450" s="1">
        <v>20000</v>
      </c>
      <c r="R450" s="7">
        <v>46339.423910162041</v>
      </c>
      <c r="S450" s="7">
        <v>46339</v>
      </c>
      <c r="T450" s="7" t="str">
        <f t="shared" si="0"/>
        <v>noviembre</v>
      </c>
      <c r="U450" s="1" t="s">
        <v>330</v>
      </c>
      <c r="X450" s="1" t="s">
        <v>413</v>
      </c>
      <c r="Y450" s="1" t="s">
        <v>414</v>
      </c>
      <c r="Z450" s="1">
        <v>1</v>
      </c>
      <c r="AA450" s="3">
        <v>170000</v>
      </c>
      <c r="AB450" s="3">
        <v>170000</v>
      </c>
      <c r="AC450" s="1" t="str">
        <f>VLOOKUP(A450,[1]Detalle!$D$2:$CW$484,98,FALSE)</f>
        <v>CMQ_TTE - QUILMES TTE</v>
      </c>
    </row>
    <row r="451" spans="1:29" ht="14.25" customHeight="1" x14ac:dyDescent="0.3">
      <c r="A451" s="1" t="s">
        <v>44</v>
      </c>
      <c r="B451" s="1" t="s">
        <v>406</v>
      </c>
      <c r="C451" s="1" t="s">
        <v>410</v>
      </c>
      <c r="D451" s="1" t="s">
        <v>343</v>
      </c>
      <c r="E451" s="1">
        <v>0.5</v>
      </c>
      <c r="F451" s="1" t="s">
        <v>344</v>
      </c>
      <c r="G451" s="6">
        <v>45849</v>
      </c>
      <c r="H451" s="1">
        <v>54917</v>
      </c>
      <c r="I451" s="1">
        <v>74917</v>
      </c>
      <c r="J451" s="1">
        <v>4571.7000000000007</v>
      </c>
      <c r="K451" s="1">
        <v>15428.3</v>
      </c>
      <c r="L451" s="1">
        <v>59488.7</v>
      </c>
      <c r="M451" s="1">
        <v>98</v>
      </c>
      <c r="N451" s="1">
        <v>49.3882592592593</v>
      </c>
      <c r="O451" s="1">
        <v>330.72454448017152</v>
      </c>
      <c r="P451" s="7">
        <v>45947</v>
      </c>
      <c r="Q451" s="1">
        <v>20000</v>
      </c>
      <c r="R451" s="7">
        <v>46277.72454447917</v>
      </c>
      <c r="S451" s="7">
        <v>46277</v>
      </c>
      <c r="T451" s="7" t="str">
        <f t="shared" si="0"/>
        <v>septiembre</v>
      </c>
      <c r="U451" s="1" t="s">
        <v>330</v>
      </c>
      <c r="X451" s="1" t="s">
        <v>411</v>
      </c>
      <c r="Y451" s="1" t="s">
        <v>412</v>
      </c>
      <c r="Z451" s="1">
        <v>1</v>
      </c>
      <c r="AA451" s="3">
        <v>20099.439999999999</v>
      </c>
      <c r="AB451" s="3">
        <v>20099.439999999999</v>
      </c>
      <c r="AC451" s="1" t="str">
        <f>VLOOKUP(A451,[1]Detalle!$D$2:$CW$484,98,FALSE)</f>
        <v>CMQ_TTE - QUILMES TTE</v>
      </c>
    </row>
    <row r="452" spans="1:29" ht="14.25" customHeight="1" x14ac:dyDescent="0.3">
      <c r="A452" s="1" t="s">
        <v>44</v>
      </c>
      <c r="B452" s="1" t="s">
        <v>406</v>
      </c>
      <c r="C452" s="1" t="s">
        <v>410</v>
      </c>
      <c r="D452" s="1" t="s">
        <v>343</v>
      </c>
      <c r="E452" s="1">
        <v>0.5</v>
      </c>
      <c r="F452" s="1" t="s">
        <v>344</v>
      </c>
      <c r="G452" s="6">
        <v>45849</v>
      </c>
      <c r="H452" s="1">
        <v>54917</v>
      </c>
      <c r="I452" s="1">
        <v>74917</v>
      </c>
      <c r="J452" s="1">
        <v>4571.7000000000007</v>
      </c>
      <c r="K452" s="1">
        <v>15428.3</v>
      </c>
      <c r="L452" s="1">
        <v>59488.7</v>
      </c>
      <c r="M452" s="1">
        <v>98</v>
      </c>
      <c r="N452" s="1">
        <v>49.3882592592593</v>
      </c>
      <c r="O452" s="1">
        <v>330.72454448017152</v>
      </c>
      <c r="P452" s="7">
        <v>45947</v>
      </c>
      <c r="Q452" s="1">
        <v>20000</v>
      </c>
      <c r="R452" s="7">
        <v>46277.72454447917</v>
      </c>
      <c r="S452" s="7">
        <v>46277</v>
      </c>
      <c r="T452" s="7" t="str">
        <f t="shared" si="0"/>
        <v>septiembre</v>
      </c>
      <c r="U452" s="1" t="s">
        <v>330</v>
      </c>
      <c r="X452" s="1" t="s">
        <v>413</v>
      </c>
      <c r="Y452" s="1" t="s">
        <v>414</v>
      </c>
      <c r="Z452" s="1">
        <v>1</v>
      </c>
      <c r="AA452" s="3">
        <v>170000</v>
      </c>
      <c r="AB452" s="3">
        <v>170000</v>
      </c>
      <c r="AC452" s="1" t="str">
        <f>VLOOKUP(A452,[1]Detalle!$D$2:$CW$484,98,FALSE)</f>
        <v>CMQ_TTE - QUILMES TTE</v>
      </c>
    </row>
    <row r="453" spans="1:29" ht="14.25" customHeight="1" x14ac:dyDescent="0.3">
      <c r="A453" s="1" t="s">
        <v>43</v>
      </c>
      <c r="B453" s="1" t="s">
        <v>406</v>
      </c>
      <c r="C453" s="1" t="s">
        <v>410</v>
      </c>
      <c r="D453" s="1" t="s">
        <v>343</v>
      </c>
      <c r="E453" s="1">
        <v>0.5</v>
      </c>
      <c r="F453" s="1" t="s">
        <v>344</v>
      </c>
      <c r="G453" s="6">
        <v>45352</v>
      </c>
      <c r="H453" s="1">
        <v>43619</v>
      </c>
      <c r="I453" s="1">
        <v>63619</v>
      </c>
      <c r="J453" s="1">
        <v>32217.59</v>
      </c>
      <c r="K453" s="1">
        <v>-12217.59</v>
      </c>
      <c r="L453" s="1">
        <v>75836.59</v>
      </c>
      <c r="M453" s="1">
        <v>595</v>
      </c>
      <c r="N453" s="1">
        <v>51.939962962962959</v>
      </c>
      <c r="O453" s="1">
        <v>-225.63655599317011</v>
      </c>
      <c r="P453" s="7">
        <v>45947</v>
      </c>
      <c r="Q453" s="1">
        <v>20000</v>
      </c>
      <c r="R453" s="7">
        <v>46332.059958831022</v>
      </c>
      <c r="S453" s="7">
        <v>46332</v>
      </c>
      <c r="T453" s="7" t="str">
        <f t="shared" si="0"/>
        <v>noviembre</v>
      </c>
      <c r="U453" s="1" t="s">
        <v>330</v>
      </c>
      <c r="X453" s="1" t="s">
        <v>411</v>
      </c>
      <c r="Y453" s="1" t="s">
        <v>412</v>
      </c>
      <c r="Z453" s="1">
        <v>1</v>
      </c>
      <c r="AA453" s="3">
        <v>20099.439999999999</v>
      </c>
      <c r="AB453" s="3">
        <v>20099.439999999999</v>
      </c>
      <c r="AC453" s="1" t="str">
        <f>VLOOKUP(A453,[1]Detalle!$D$2:$CW$484,98,FALSE)</f>
        <v>CMQ_TTE - QUILMES TTE</v>
      </c>
    </row>
    <row r="454" spans="1:29" ht="14.25" customHeight="1" x14ac:dyDescent="0.3">
      <c r="A454" s="1" t="s">
        <v>43</v>
      </c>
      <c r="B454" s="1" t="s">
        <v>406</v>
      </c>
      <c r="C454" s="1" t="s">
        <v>410</v>
      </c>
      <c r="D454" s="1" t="s">
        <v>343</v>
      </c>
      <c r="E454" s="1">
        <v>0.5</v>
      </c>
      <c r="F454" s="1" t="s">
        <v>344</v>
      </c>
      <c r="G454" s="6">
        <v>45352</v>
      </c>
      <c r="H454" s="1">
        <v>43619</v>
      </c>
      <c r="I454" s="1">
        <v>63619</v>
      </c>
      <c r="J454" s="1">
        <v>32217.59</v>
      </c>
      <c r="K454" s="1">
        <v>-12217.59</v>
      </c>
      <c r="L454" s="1">
        <v>75836.59</v>
      </c>
      <c r="M454" s="1">
        <v>595</v>
      </c>
      <c r="N454" s="1">
        <v>51.939962962962959</v>
      </c>
      <c r="O454" s="1">
        <v>-225.63655599317011</v>
      </c>
      <c r="P454" s="7">
        <v>45947</v>
      </c>
      <c r="Q454" s="1">
        <v>20000</v>
      </c>
      <c r="R454" s="7">
        <v>46332.059958831022</v>
      </c>
      <c r="S454" s="7">
        <v>46332</v>
      </c>
      <c r="T454" s="7" t="str">
        <f t="shared" si="0"/>
        <v>noviembre</v>
      </c>
      <c r="U454" s="1" t="s">
        <v>330</v>
      </c>
      <c r="X454" s="1" t="s">
        <v>413</v>
      </c>
      <c r="Y454" s="1" t="s">
        <v>414</v>
      </c>
      <c r="Z454" s="1">
        <v>1</v>
      </c>
      <c r="AA454" s="3">
        <v>170000</v>
      </c>
      <c r="AB454" s="3">
        <v>170000</v>
      </c>
      <c r="AC454" s="1" t="str">
        <f>VLOOKUP(A454,[1]Detalle!$D$2:$CW$484,98,FALSE)</f>
        <v>CMQ_TTE - QUILMES TTE</v>
      </c>
    </row>
    <row r="455" spans="1:29" ht="14.25" customHeight="1" x14ac:dyDescent="0.3">
      <c r="A455" s="1" t="s">
        <v>24</v>
      </c>
      <c r="B455" s="1" t="s">
        <v>407</v>
      </c>
      <c r="C455" s="1" t="s">
        <v>410</v>
      </c>
      <c r="D455" s="1" t="s">
        <v>343</v>
      </c>
      <c r="E455" s="1">
        <v>0.5</v>
      </c>
      <c r="F455" s="1" t="s">
        <v>344</v>
      </c>
      <c r="G455" s="6">
        <v>45827</v>
      </c>
      <c r="H455" s="1">
        <v>70636</v>
      </c>
      <c r="I455" s="1">
        <v>90636</v>
      </c>
      <c r="J455" s="1">
        <v>4770.7000000000007</v>
      </c>
      <c r="K455" s="1">
        <v>15229.3</v>
      </c>
      <c r="L455" s="1">
        <v>75406.7</v>
      </c>
      <c r="M455" s="1">
        <v>120</v>
      </c>
      <c r="N455" s="1">
        <v>48.072185185185191</v>
      </c>
      <c r="O455" s="1">
        <v>383.07082818035082</v>
      </c>
      <c r="P455" s="7">
        <v>45947</v>
      </c>
      <c r="Q455" s="1">
        <v>20000</v>
      </c>
      <c r="R455" s="7">
        <v>46330.07082818287</v>
      </c>
      <c r="S455" s="7">
        <v>46330</v>
      </c>
      <c r="T455" s="7" t="str">
        <f t="shared" si="0"/>
        <v>noviembre</v>
      </c>
      <c r="U455" s="1" t="s">
        <v>330</v>
      </c>
      <c r="X455" s="1" t="s">
        <v>411</v>
      </c>
      <c r="Y455" s="1" t="s">
        <v>412</v>
      </c>
      <c r="Z455" s="1">
        <v>1</v>
      </c>
      <c r="AA455" s="3">
        <v>20099.439999999999</v>
      </c>
      <c r="AB455" s="3">
        <v>20099.439999999999</v>
      </c>
      <c r="AC455" s="1" t="str">
        <f>VLOOKUP(A455,[1]Detalle!$D$2:$CW$484,98,FALSE)</f>
        <v>CMQ_TTE - QUILMES TTE</v>
      </c>
    </row>
    <row r="456" spans="1:29" ht="14.25" customHeight="1" x14ac:dyDescent="0.3">
      <c r="A456" s="1" t="s">
        <v>24</v>
      </c>
      <c r="B456" s="1" t="s">
        <v>407</v>
      </c>
      <c r="C456" s="1" t="s">
        <v>410</v>
      </c>
      <c r="D456" s="1" t="s">
        <v>343</v>
      </c>
      <c r="E456" s="1">
        <v>0.5</v>
      </c>
      <c r="F456" s="1" t="s">
        <v>344</v>
      </c>
      <c r="G456" s="6">
        <v>45827</v>
      </c>
      <c r="H456" s="1">
        <v>70636</v>
      </c>
      <c r="I456" s="1">
        <v>90636</v>
      </c>
      <c r="J456" s="1">
        <v>4770.7000000000007</v>
      </c>
      <c r="K456" s="1">
        <v>15229.3</v>
      </c>
      <c r="L456" s="1">
        <v>75406.7</v>
      </c>
      <c r="M456" s="1">
        <v>120</v>
      </c>
      <c r="N456" s="1">
        <v>48.072185185185191</v>
      </c>
      <c r="O456" s="1">
        <v>383.07082818035082</v>
      </c>
      <c r="P456" s="7">
        <v>45947</v>
      </c>
      <c r="Q456" s="1">
        <v>20000</v>
      </c>
      <c r="R456" s="7">
        <v>46330.07082818287</v>
      </c>
      <c r="S456" s="7">
        <v>46330</v>
      </c>
      <c r="T456" s="7" t="str">
        <f t="shared" si="0"/>
        <v>noviembre</v>
      </c>
      <c r="U456" s="1" t="s">
        <v>330</v>
      </c>
      <c r="X456" s="1" t="s">
        <v>413</v>
      </c>
      <c r="Y456" s="1" t="s">
        <v>414</v>
      </c>
      <c r="Z456" s="1">
        <v>1</v>
      </c>
      <c r="AA456" s="3">
        <v>170000</v>
      </c>
      <c r="AB456" s="3">
        <v>170000</v>
      </c>
      <c r="AC456" s="1" t="str">
        <f>VLOOKUP(A456,[1]Detalle!$D$2:$CW$484,98,FALSE)</f>
        <v>CMQ_TTE - QUILMES TTE</v>
      </c>
    </row>
    <row r="457" spans="1:29" ht="14.25" customHeight="1" x14ac:dyDescent="0.3">
      <c r="A457" s="1" t="s">
        <v>22</v>
      </c>
      <c r="B457" s="1" t="s">
        <v>407</v>
      </c>
      <c r="C457" s="1" t="s">
        <v>410</v>
      </c>
      <c r="D457" s="1" t="s">
        <v>343</v>
      </c>
      <c r="E457" s="1">
        <v>0.5</v>
      </c>
      <c r="F457" s="1" t="s">
        <v>344</v>
      </c>
      <c r="G457" s="6">
        <v>45775</v>
      </c>
      <c r="H457" s="1">
        <v>62968.800000000003</v>
      </c>
      <c r="I457" s="1">
        <v>82968.800000000003</v>
      </c>
      <c r="J457" s="1">
        <v>7493.2</v>
      </c>
      <c r="K457" s="1">
        <v>12506.8</v>
      </c>
      <c r="L457" s="1">
        <v>70462</v>
      </c>
      <c r="M457" s="1">
        <v>172</v>
      </c>
      <c r="N457" s="1">
        <v>48.161180811808123</v>
      </c>
      <c r="O457" s="1">
        <v>287.08290183099342</v>
      </c>
      <c r="P457" s="7">
        <v>45947</v>
      </c>
      <c r="Q457" s="1">
        <v>20000</v>
      </c>
      <c r="R457" s="7">
        <v>46234.082901828697</v>
      </c>
      <c r="S457" s="7">
        <v>46234</v>
      </c>
      <c r="T457" s="7" t="str">
        <f t="shared" si="0"/>
        <v>julio</v>
      </c>
      <c r="U457" s="1" t="s">
        <v>330</v>
      </c>
      <c r="X457" s="1" t="s">
        <v>411</v>
      </c>
      <c r="Y457" s="1" t="s">
        <v>412</v>
      </c>
      <c r="Z457" s="1">
        <v>1</v>
      </c>
      <c r="AA457" s="3">
        <v>20099.439999999999</v>
      </c>
      <c r="AB457" s="3">
        <v>20099.439999999999</v>
      </c>
      <c r="AC457" s="1" t="str">
        <f>VLOOKUP(A457,[1]Detalle!$D$2:$CW$484,98,FALSE)</f>
        <v>CMQ_TTE - QUILMES TTE</v>
      </c>
    </row>
    <row r="458" spans="1:29" ht="14.25" customHeight="1" x14ac:dyDescent="0.3">
      <c r="A458" s="1" t="s">
        <v>22</v>
      </c>
      <c r="B458" s="1" t="s">
        <v>407</v>
      </c>
      <c r="C458" s="1" t="s">
        <v>410</v>
      </c>
      <c r="D458" s="1" t="s">
        <v>343</v>
      </c>
      <c r="E458" s="1">
        <v>0.5</v>
      </c>
      <c r="F458" s="1" t="s">
        <v>344</v>
      </c>
      <c r="G458" s="6">
        <v>45775</v>
      </c>
      <c r="H458" s="1">
        <v>62968.800000000003</v>
      </c>
      <c r="I458" s="1">
        <v>82968.800000000003</v>
      </c>
      <c r="J458" s="1">
        <v>7493.2</v>
      </c>
      <c r="K458" s="1">
        <v>12506.8</v>
      </c>
      <c r="L458" s="1">
        <v>70462</v>
      </c>
      <c r="M458" s="1">
        <v>172</v>
      </c>
      <c r="N458" s="1">
        <v>48.161180811808123</v>
      </c>
      <c r="O458" s="1">
        <v>287.08290183099342</v>
      </c>
      <c r="P458" s="7">
        <v>45947</v>
      </c>
      <c r="Q458" s="1">
        <v>20000</v>
      </c>
      <c r="R458" s="7">
        <v>46234.082901828697</v>
      </c>
      <c r="S458" s="7">
        <v>46234</v>
      </c>
      <c r="T458" s="7" t="str">
        <f t="shared" si="0"/>
        <v>julio</v>
      </c>
      <c r="U458" s="1" t="s">
        <v>330</v>
      </c>
      <c r="X458" s="1" t="s">
        <v>413</v>
      </c>
      <c r="Y458" s="1" t="s">
        <v>414</v>
      </c>
      <c r="Z458" s="1">
        <v>1</v>
      </c>
      <c r="AA458" s="3">
        <v>170000</v>
      </c>
      <c r="AB458" s="3">
        <v>170000</v>
      </c>
      <c r="AC458" s="1" t="str">
        <f>VLOOKUP(A458,[1]Detalle!$D$2:$CW$484,98,FALSE)</f>
        <v>CMQ_TTE - QUILMES TTE</v>
      </c>
    </row>
    <row r="459" spans="1:29" ht="14.25" customHeight="1" x14ac:dyDescent="0.3">
      <c r="A459" s="1" t="s">
        <v>21</v>
      </c>
      <c r="B459" s="1" t="s">
        <v>408</v>
      </c>
      <c r="C459" s="1" t="s">
        <v>410</v>
      </c>
      <c r="D459" s="1" t="s">
        <v>343</v>
      </c>
      <c r="E459" s="1">
        <v>0.5</v>
      </c>
      <c r="F459" s="1" t="s">
        <v>344</v>
      </c>
      <c r="G459" s="6">
        <v>45652</v>
      </c>
      <c r="H459" s="1">
        <v>59747.1</v>
      </c>
      <c r="I459" s="1">
        <v>79747.100000000006</v>
      </c>
      <c r="J459" s="1">
        <v>13173.82</v>
      </c>
      <c r="K459" s="1">
        <v>6826.1800000000039</v>
      </c>
      <c r="L459" s="1">
        <v>72920.92</v>
      </c>
      <c r="M459" s="1">
        <v>295</v>
      </c>
      <c r="N459" s="1">
        <v>47.570444444444483</v>
      </c>
      <c r="O459" s="1">
        <v>152.8579485676897</v>
      </c>
      <c r="P459" s="7">
        <v>45947</v>
      </c>
      <c r="Q459" s="1">
        <v>20000</v>
      </c>
      <c r="R459" s="7">
        <v>46099.857948564822</v>
      </c>
      <c r="S459" s="7">
        <v>46099</v>
      </c>
      <c r="T459" s="7" t="str">
        <f t="shared" si="0"/>
        <v>marzo</v>
      </c>
      <c r="U459" s="1" t="s">
        <v>330</v>
      </c>
      <c r="X459" s="1" t="s">
        <v>411</v>
      </c>
      <c r="Y459" s="1" t="s">
        <v>412</v>
      </c>
      <c r="Z459" s="1">
        <v>1</v>
      </c>
      <c r="AA459" s="3">
        <v>20099.439999999999</v>
      </c>
      <c r="AB459" s="3">
        <v>20099.439999999999</v>
      </c>
      <c r="AC459" s="1" t="str">
        <f>VLOOKUP(A459,[1]Detalle!$D$2:$CW$484,98,FALSE)</f>
        <v>CMQ_TTE - QUILMES TTE</v>
      </c>
    </row>
    <row r="460" spans="1:29" ht="14.25" customHeight="1" x14ac:dyDescent="0.3">
      <c r="A460" s="1" t="s">
        <v>21</v>
      </c>
      <c r="B460" s="1" t="s">
        <v>408</v>
      </c>
      <c r="C460" s="1" t="s">
        <v>410</v>
      </c>
      <c r="D460" s="1" t="s">
        <v>343</v>
      </c>
      <c r="E460" s="1">
        <v>0.5</v>
      </c>
      <c r="F460" s="1" t="s">
        <v>344</v>
      </c>
      <c r="G460" s="6">
        <v>45652</v>
      </c>
      <c r="H460" s="1">
        <v>59747.1</v>
      </c>
      <c r="I460" s="1">
        <v>79747.100000000006</v>
      </c>
      <c r="J460" s="1">
        <v>13173.82</v>
      </c>
      <c r="K460" s="1">
        <v>6826.1800000000039</v>
      </c>
      <c r="L460" s="1">
        <v>72920.92</v>
      </c>
      <c r="M460" s="1">
        <v>295</v>
      </c>
      <c r="N460" s="1">
        <v>47.570444444444483</v>
      </c>
      <c r="O460" s="1">
        <v>152.8579485676897</v>
      </c>
      <c r="P460" s="7">
        <v>45947</v>
      </c>
      <c r="Q460" s="1">
        <v>20000</v>
      </c>
      <c r="R460" s="7">
        <v>46099.857948564822</v>
      </c>
      <c r="S460" s="7">
        <v>46099</v>
      </c>
      <c r="T460" s="7" t="str">
        <f t="shared" si="0"/>
        <v>marzo</v>
      </c>
      <c r="U460" s="1" t="s">
        <v>330</v>
      </c>
      <c r="X460" s="1" t="s">
        <v>413</v>
      </c>
      <c r="Y460" s="1" t="s">
        <v>414</v>
      </c>
      <c r="Z460" s="1">
        <v>1</v>
      </c>
      <c r="AA460" s="3">
        <v>170000</v>
      </c>
      <c r="AB460" s="3">
        <v>170000</v>
      </c>
      <c r="AC460" s="1" t="str">
        <f>VLOOKUP(A460,[1]Detalle!$D$2:$CW$484,98,FALSE)</f>
        <v>CMQ_TTE - QUILMES TTE</v>
      </c>
    </row>
    <row r="461" spans="1:29" ht="14.25" customHeight="1" x14ac:dyDescent="0.3">
      <c r="A461" s="1" t="s">
        <v>164</v>
      </c>
      <c r="B461" s="1">
        <v>710</v>
      </c>
      <c r="C461" s="1" t="s">
        <v>415</v>
      </c>
      <c r="D461" s="1" t="s">
        <v>415</v>
      </c>
      <c r="E461" s="1">
        <v>0.25</v>
      </c>
      <c r="F461" s="1" t="s">
        <v>366</v>
      </c>
      <c r="G461" s="6">
        <v>45378</v>
      </c>
      <c r="H461" s="1">
        <v>202420</v>
      </c>
      <c r="I461" s="1">
        <v>222420</v>
      </c>
      <c r="J461" s="1">
        <v>36588.559999999939</v>
      </c>
      <c r="K461" s="1">
        <v>-16588.559999999939</v>
      </c>
      <c r="L461" s="1">
        <v>239008.55999999991</v>
      </c>
      <c r="M461" s="1">
        <v>569</v>
      </c>
      <c r="N461" s="1">
        <v>69.022379421221856</v>
      </c>
      <c r="O461" s="1">
        <v>-257.97382132557232</v>
      </c>
      <c r="P461" s="7">
        <v>45947</v>
      </c>
      <c r="Q461" s="1">
        <v>20000</v>
      </c>
      <c r="R461" s="7">
        <v>46236.7610915162</v>
      </c>
      <c r="S461" s="7">
        <v>46236</v>
      </c>
      <c r="T461" s="7" t="str">
        <f t="shared" si="0"/>
        <v>agosto</v>
      </c>
      <c r="U461" s="1" t="s">
        <v>330</v>
      </c>
      <c r="X461" s="1" t="s">
        <v>416</v>
      </c>
      <c r="Y461" s="1" t="s">
        <v>417</v>
      </c>
      <c r="Z461" s="1">
        <v>1</v>
      </c>
      <c r="AA461" s="3">
        <v>37165.919999999998</v>
      </c>
      <c r="AB461" s="3">
        <v>37165.919999999998</v>
      </c>
      <c r="AC461" s="1" t="str">
        <f>VLOOKUP(A461,[1]Detalle!$D$2:$CW$484,98,FALSE)</f>
        <v>SUC_MEN - Sucursal Mendoza</v>
      </c>
    </row>
    <row r="462" spans="1:29" ht="14.25" customHeight="1" x14ac:dyDescent="0.3">
      <c r="A462" s="1" t="s">
        <v>111</v>
      </c>
      <c r="B462" s="1">
        <v>710</v>
      </c>
      <c r="C462" s="1" t="s">
        <v>415</v>
      </c>
      <c r="D462" s="1" t="s">
        <v>415</v>
      </c>
      <c r="E462" s="1">
        <v>0.25</v>
      </c>
      <c r="F462" s="1" t="s">
        <v>366</v>
      </c>
      <c r="G462" s="6">
        <v>45632</v>
      </c>
      <c r="H462" s="1">
        <v>16040</v>
      </c>
      <c r="I462" s="1">
        <v>36040</v>
      </c>
      <c r="J462" s="1">
        <v>34694.100000000013</v>
      </c>
      <c r="K462" s="1">
        <v>-14694.100000000009</v>
      </c>
      <c r="L462" s="1">
        <v>50734.100000000013</v>
      </c>
      <c r="M462" s="1">
        <v>315</v>
      </c>
      <c r="N462" s="1">
        <v>104.473717948718</v>
      </c>
      <c r="O462" s="1">
        <v>-133.41292899945529</v>
      </c>
      <c r="P462" s="7">
        <v>45947</v>
      </c>
      <c r="Q462" s="1">
        <v>20000</v>
      </c>
      <c r="R462" s="7">
        <v>46138.435706435193</v>
      </c>
      <c r="S462" s="7">
        <v>46138</v>
      </c>
      <c r="T462" s="7" t="str">
        <f t="shared" si="0"/>
        <v>abril</v>
      </c>
      <c r="U462" s="1" t="s">
        <v>330</v>
      </c>
      <c r="X462" s="1" t="s">
        <v>416</v>
      </c>
      <c r="Y462" s="1" t="s">
        <v>417</v>
      </c>
      <c r="Z462" s="1">
        <v>1</v>
      </c>
      <c r="AA462" s="3">
        <v>37165.919999999998</v>
      </c>
      <c r="AB462" s="3">
        <v>37165.919999999998</v>
      </c>
      <c r="AC462" s="1" t="str">
        <f>VLOOKUP(A462,[1]Detalle!$D$2:$CW$484,98,FALSE)</f>
        <v>SUC_MEN - Sucursal Mendoza</v>
      </c>
    </row>
    <row r="463" spans="1:29" ht="14.25" customHeight="1" x14ac:dyDescent="0.3">
      <c r="A463" s="1" t="s">
        <v>108</v>
      </c>
      <c r="B463" s="1">
        <v>712</v>
      </c>
      <c r="C463" s="1" t="s">
        <v>415</v>
      </c>
      <c r="D463" s="1" t="s">
        <v>415</v>
      </c>
      <c r="E463" s="1">
        <v>0.25</v>
      </c>
      <c r="F463" s="1" t="s">
        <v>366</v>
      </c>
      <c r="G463" s="6">
        <v>45798</v>
      </c>
      <c r="H463" s="1">
        <v>32992.1</v>
      </c>
      <c r="I463" s="1">
        <v>52992.1</v>
      </c>
      <c r="J463" s="1">
        <v>9749.2999999999993</v>
      </c>
      <c r="K463" s="1">
        <v>10250.700000000001</v>
      </c>
      <c r="L463" s="1">
        <v>42741.399999999987</v>
      </c>
      <c r="M463" s="1">
        <v>149</v>
      </c>
      <c r="N463" s="1">
        <v>52.850396039603943</v>
      </c>
      <c r="O463" s="1">
        <v>156.6629706748177</v>
      </c>
      <c r="P463" s="7">
        <v>45947</v>
      </c>
      <c r="Q463" s="1">
        <v>20000</v>
      </c>
      <c r="R463" s="7">
        <v>46103.662970671299</v>
      </c>
      <c r="S463" s="7">
        <v>46103</v>
      </c>
      <c r="T463" s="7" t="str">
        <f t="shared" si="0"/>
        <v>marzo</v>
      </c>
      <c r="U463" s="1" t="s">
        <v>330</v>
      </c>
      <c r="X463" s="1" t="s">
        <v>416</v>
      </c>
      <c r="Y463" s="1" t="s">
        <v>417</v>
      </c>
      <c r="Z463" s="1">
        <v>1</v>
      </c>
      <c r="AA463" s="3">
        <v>37165.919999999998</v>
      </c>
      <c r="AB463" s="3">
        <v>37165.919999999998</v>
      </c>
      <c r="AC463" s="1" t="str">
        <f>VLOOKUP(A463,[1]Detalle!$D$2:$CW$484,98,FALSE)</f>
        <v>JOHNSON - SC JOHNSON DE ARGENTINA SAIC</v>
      </c>
    </row>
    <row r="464" spans="1:29" ht="14.25" customHeight="1" x14ac:dyDescent="0.3">
      <c r="A464" s="1" t="s">
        <v>106</v>
      </c>
      <c r="B464" s="1">
        <v>914</v>
      </c>
      <c r="C464" s="1" t="s">
        <v>415</v>
      </c>
      <c r="D464" s="1" t="s">
        <v>415</v>
      </c>
      <c r="E464" s="1">
        <v>0.25</v>
      </c>
      <c r="F464" s="1" t="s">
        <v>366</v>
      </c>
      <c r="G464" s="6">
        <v>45530</v>
      </c>
      <c r="H464" s="1">
        <v>297464</v>
      </c>
      <c r="I464" s="1">
        <v>317464</v>
      </c>
      <c r="J464" s="1">
        <v>23030.169999999991</v>
      </c>
      <c r="K464" s="1">
        <v>-3030.1699999999951</v>
      </c>
      <c r="L464" s="1">
        <v>320494.17</v>
      </c>
      <c r="M464" s="1">
        <v>417</v>
      </c>
      <c r="N464" s="1">
        <v>48.157370129870131</v>
      </c>
      <c r="O464" s="1">
        <v>-54.866329254191257</v>
      </c>
      <c r="P464" s="7">
        <v>45947</v>
      </c>
      <c r="Q464" s="1">
        <v>20000</v>
      </c>
      <c r="R464" s="7">
        <v>46362.305070567127</v>
      </c>
      <c r="S464" s="7">
        <v>46362</v>
      </c>
      <c r="T464" s="7" t="str">
        <f t="shared" si="0"/>
        <v>diciembre</v>
      </c>
      <c r="U464" s="1" t="s">
        <v>330</v>
      </c>
      <c r="X464" s="1" t="s">
        <v>416</v>
      </c>
      <c r="Y464" s="1" t="s">
        <v>417</v>
      </c>
      <c r="Z464" s="1">
        <v>1</v>
      </c>
      <c r="AA464" s="3">
        <v>37165.919999999998</v>
      </c>
      <c r="AB464" s="3">
        <v>37165.919999999998</v>
      </c>
      <c r="AC464" s="1" t="str">
        <f>VLOOKUP(A464,[1]Detalle!$D$2:$CW$484,98,FALSE)</f>
        <v>Unilever - Unilever de Arg. S.A.</v>
      </c>
    </row>
    <row r="465" spans="1:29" ht="14.25" customHeight="1" x14ac:dyDescent="0.3">
      <c r="A465" s="1" t="s">
        <v>109</v>
      </c>
      <c r="B465" s="1">
        <v>1215</v>
      </c>
      <c r="C465" s="1" t="s">
        <v>415</v>
      </c>
      <c r="D465" s="1" t="s">
        <v>415</v>
      </c>
      <c r="E465" s="1">
        <v>0.25</v>
      </c>
      <c r="F465" s="1" t="s">
        <v>366</v>
      </c>
      <c r="G465" s="6">
        <v>45841</v>
      </c>
      <c r="H465" s="1">
        <v>16065.4</v>
      </c>
      <c r="I465" s="1">
        <v>36065.4</v>
      </c>
      <c r="J465" s="1">
        <v>5233.4000000000005</v>
      </c>
      <c r="K465" s="1">
        <v>14766.6</v>
      </c>
      <c r="L465" s="1">
        <v>21298.799999999999</v>
      </c>
      <c r="M465" s="1">
        <v>106</v>
      </c>
      <c r="N465" s="1">
        <v>61.480495049504917</v>
      </c>
      <c r="O465" s="1">
        <v>299.09038101425449</v>
      </c>
      <c r="P465" s="7">
        <v>45947</v>
      </c>
      <c r="Q465" s="1">
        <v>20000</v>
      </c>
      <c r="R465" s="7">
        <v>46246.090381018519</v>
      </c>
      <c r="S465" s="7">
        <v>46246</v>
      </c>
      <c r="T465" s="7" t="str">
        <f t="shared" si="0"/>
        <v>agosto</v>
      </c>
      <c r="U465" s="1" t="s">
        <v>330</v>
      </c>
      <c r="X465" s="1" t="s">
        <v>416</v>
      </c>
      <c r="Y465" s="1" t="s">
        <v>417</v>
      </c>
      <c r="Z465" s="1">
        <v>1</v>
      </c>
      <c r="AA465" s="3">
        <v>37165.919999999998</v>
      </c>
      <c r="AB465" s="3">
        <v>37165.919999999998</v>
      </c>
      <c r="AC465" s="1" t="str">
        <f>VLOOKUP(A465,[1]Detalle!$D$2:$CW$484,98,FALSE)</f>
        <v>JOHNSON - SC JOHNSON DE ARGENTINA SAIC</v>
      </c>
    </row>
    <row r="466" spans="1:29" ht="14.25" customHeight="1" x14ac:dyDescent="0.3">
      <c r="A466" s="1" t="s">
        <v>120</v>
      </c>
      <c r="B466" s="1">
        <v>1218</v>
      </c>
      <c r="C466" s="1" t="s">
        <v>415</v>
      </c>
      <c r="D466" s="1" t="s">
        <v>415</v>
      </c>
      <c r="E466" s="1">
        <v>0.25</v>
      </c>
      <c r="F466" s="1" t="s">
        <v>366</v>
      </c>
      <c r="G466" s="6">
        <v>45617</v>
      </c>
      <c r="H466" s="1">
        <v>17571.7</v>
      </c>
      <c r="I466" s="1">
        <v>37571.699999999997</v>
      </c>
      <c r="J466" s="1">
        <v>31178.54</v>
      </c>
      <c r="K466" s="1">
        <v>-11178.54</v>
      </c>
      <c r="L466" s="1">
        <v>48750.239999999998</v>
      </c>
      <c r="M466" s="1">
        <v>330</v>
      </c>
      <c r="N466" s="1">
        <v>86.918456591639867</v>
      </c>
      <c r="O466" s="1">
        <v>-118.3159378213348</v>
      </c>
      <c r="P466" s="7">
        <v>45947</v>
      </c>
      <c r="Q466" s="1">
        <v>20000</v>
      </c>
      <c r="R466" s="7">
        <v>46177.100726412027</v>
      </c>
      <c r="S466" s="7">
        <v>46177</v>
      </c>
      <c r="T466" s="7" t="str">
        <f t="shared" si="0"/>
        <v>junio</v>
      </c>
      <c r="U466" s="1" t="s">
        <v>330</v>
      </c>
      <c r="X466" s="1" t="s">
        <v>416</v>
      </c>
      <c r="Y466" s="1" t="s">
        <v>417</v>
      </c>
      <c r="Z466" s="1">
        <v>1</v>
      </c>
      <c r="AA466" s="3">
        <v>37165.919999999998</v>
      </c>
      <c r="AB466" s="3">
        <v>37165.919999999998</v>
      </c>
      <c r="AC466" s="1" t="str">
        <f>VLOOKUP(A466,[1]Detalle!$D$2:$CW$484,98,FALSE)</f>
        <v>SUC_MEN - Sucursal Mendoza</v>
      </c>
    </row>
    <row r="467" spans="1:29" ht="14.25" customHeight="1" x14ac:dyDescent="0.3">
      <c r="A467" s="1" t="s">
        <v>118</v>
      </c>
      <c r="B467" s="1">
        <v>1218</v>
      </c>
      <c r="C467" s="1" t="s">
        <v>415</v>
      </c>
      <c r="D467" s="1" t="s">
        <v>415</v>
      </c>
      <c r="E467" s="1">
        <v>0.25</v>
      </c>
      <c r="F467" s="1" t="s">
        <v>366</v>
      </c>
      <c r="G467" s="6">
        <v>45769</v>
      </c>
      <c r="H467" s="1">
        <v>302541</v>
      </c>
      <c r="I467" s="1">
        <v>322541</v>
      </c>
      <c r="J467" s="1">
        <v>8078.8000000000029</v>
      </c>
      <c r="K467" s="1">
        <v>11921.2</v>
      </c>
      <c r="L467" s="1">
        <v>310619.8</v>
      </c>
      <c r="M467" s="1">
        <v>178</v>
      </c>
      <c r="N467" s="1">
        <v>40.451193548387103</v>
      </c>
      <c r="O467" s="1">
        <v>262.6595038867157</v>
      </c>
      <c r="P467" s="7">
        <v>45947</v>
      </c>
      <c r="Q467" s="1">
        <v>20000</v>
      </c>
      <c r="R467" s="7">
        <v>46209.659503888892</v>
      </c>
      <c r="S467" s="7">
        <v>46209</v>
      </c>
      <c r="T467" s="7" t="str">
        <f t="shared" si="0"/>
        <v>julio</v>
      </c>
      <c r="U467" s="1" t="s">
        <v>330</v>
      </c>
      <c r="X467" s="1" t="s">
        <v>416</v>
      </c>
      <c r="Y467" s="1" t="s">
        <v>417</v>
      </c>
      <c r="Z467" s="1">
        <v>1</v>
      </c>
      <c r="AA467" s="3">
        <v>37165.919999999998</v>
      </c>
      <c r="AB467" s="3">
        <v>37165.919999999998</v>
      </c>
      <c r="AC467" s="1" t="str">
        <f>VLOOKUP(A467,[1]Detalle!$D$2:$CW$484,98,FALSE)</f>
        <v>CCUCoAZA</v>
      </c>
    </row>
    <row r="468" spans="1:29" ht="14.25" customHeight="1" x14ac:dyDescent="0.3">
      <c r="A468" s="1" t="s">
        <v>101</v>
      </c>
      <c r="B468" s="1" t="s">
        <v>339</v>
      </c>
      <c r="C468" s="1" t="s">
        <v>415</v>
      </c>
      <c r="D468" s="1" t="s">
        <v>415</v>
      </c>
      <c r="E468" s="1">
        <v>0.25</v>
      </c>
      <c r="F468" s="1" t="s">
        <v>366</v>
      </c>
      <c r="G468" s="6">
        <v>45728</v>
      </c>
      <c r="H468" s="1">
        <v>16579.5</v>
      </c>
      <c r="I468" s="1">
        <v>36579.5</v>
      </c>
      <c r="J468" s="1">
        <v>8515.1999999999989</v>
      </c>
      <c r="K468" s="1">
        <v>11484.8</v>
      </c>
      <c r="L468" s="1">
        <v>25094.7</v>
      </c>
      <c r="M468" s="1">
        <v>219</v>
      </c>
      <c r="N468" s="1">
        <v>35.248013245033107</v>
      </c>
      <c r="O468" s="1">
        <v>295.37429537767758</v>
      </c>
      <c r="P468" s="7">
        <v>45947</v>
      </c>
      <c r="Q468" s="1">
        <v>20000</v>
      </c>
      <c r="R468" s="7">
        <v>46242.374295381953</v>
      </c>
      <c r="S468" s="7">
        <v>46242</v>
      </c>
      <c r="T468" s="7" t="str">
        <f t="shared" si="0"/>
        <v>agosto</v>
      </c>
      <c r="U468" s="1" t="s">
        <v>330</v>
      </c>
      <c r="X468" s="1" t="s">
        <v>416</v>
      </c>
      <c r="Y468" s="1" t="s">
        <v>417</v>
      </c>
      <c r="Z468" s="1">
        <v>1</v>
      </c>
      <c r="AA468" s="3">
        <v>37165.919999999998</v>
      </c>
      <c r="AB468" s="3">
        <v>37165.919999999998</v>
      </c>
      <c r="AC468" s="1" t="str">
        <f>VLOOKUP(A468,[1]Detalle!$D$2:$CW$484,98,FALSE)</f>
        <v>CCUDyAZA</v>
      </c>
    </row>
    <row r="469" spans="1:29" ht="14.25" customHeight="1" x14ac:dyDescent="0.3">
      <c r="A469" s="1" t="s">
        <v>99</v>
      </c>
      <c r="B469" s="1" t="s">
        <v>339</v>
      </c>
      <c r="C469" s="1" t="s">
        <v>415</v>
      </c>
      <c r="D469" s="1" t="s">
        <v>415</v>
      </c>
      <c r="E469" s="1">
        <v>0.25</v>
      </c>
      <c r="F469" s="1" t="s">
        <v>366</v>
      </c>
      <c r="G469" s="6">
        <v>45727</v>
      </c>
      <c r="H469" s="1">
        <v>15836.3</v>
      </c>
      <c r="I469" s="1">
        <v>35836.300000000003</v>
      </c>
      <c r="J469" s="1">
        <v>8775.7000000000007</v>
      </c>
      <c r="K469" s="1">
        <v>11224.3</v>
      </c>
      <c r="L469" s="1">
        <v>24612</v>
      </c>
      <c r="M469" s="1">
        <v>220</v>
      </c>
      <c r="N469" s="1">
        <v>36.572847682119232</v>
      </c>
      <c r="O469" s="1">
        <v>281.38450493977678</v>
      </c>
      <c r="P469" s="7">
        <v>45947</v>
      </c>
      <c r="Q469" s="1">
        <v>20000</v>
      </c>
      <c r="R469" s="7">
        <v>46228.384504942129</v>
      </c>
      <c r="S469" s="7">
        <v>46228</v>
      </c>
      <c r="T469" s="7" t="str">
        <f t="shared" si="0"/>
        <v>julio</v>
      </c>
      <c r="U469" s="1" t="s">
        <v>330</v>
      </c>
      <c r="X469" s="1" t="s">
        <v>416</v>
      </c>
      <c r="Y469" s="1" t="s">
        <v>417</v>
      </c>
      <c r="Z469" s="1">
        <v>1</v>
      </c>
      <c r="AA469" s="3">
        <v>37165.919999999998</v>
      </c>
      <c r="AB469" s="3">
        <v>37165.919999999998</v>
      </c>
      <c r="AC469" s="1" t="str">
        <f>VLOOKUP(A469,[1]Detalle!$D$2:$CW$484,98,FALSE)</f>
        <v>CCUDyAZA</v>
      </c>
    </row>
    <row r="470" spans="1:29" ht="14.25" customHeight="1" x14ac:dyDescent="0.3">
      <c r="A470" s="1" t="s">
        <v>275</v>
      </c>
      <c r="B470" s="1" t="s">
        <v>342</v>
      </c>
      <c r="C470" s="1" t="s">
        <v>415</v>
      </c>
      <c r="D470" s="1" t="s">
        <v>415</v>
      </c>
      <c r="E470" s="1">
        <v>0.25</v>
      </c>
      <c r="F470" s="1" t="s">
        <v>366</v>
      </c>
      <c r="G470" s="6">
        <v>45736</v>
      </c>
      <c r="H470" s="1">
        <v>126999</v>
      </c>
      <c r="I470" s="1">
        <v>146999</v>
      </c>
      <c r="J470" s="1">
        <v>6493.4000000000005</v>
      </c>
      <c r="K470" s="1">
        <v>13506.6</v>
      </c>
      <c r="L470" s="1">
        <v>133492.4</v>
      </c>
      <c r="M470" s="1">
        <v>211</v>
      </c>
      <c r="N470" s="1">
        <v>29.333408360128612</v>
      </c>
      <c r="O470" s="1">
        <v>438.89065820679451</v>
      </c>
      <c r="P470" s="7">
        <v>45947</v>
      </c>
      <c r="Q470" s="1">
        <v>20000</v>
      </c>
      <c r="R470" s="7">
        <v>46385.890658206023</v>
      </c>
      <c r="S470" s="7">
        <v>46385</v>
      </c>
      <c r="T470" s="7" t="str">
        <f t="shared" si="0"/>
        <v>diciembre</v>
      </c>
      <c r="U470" s="1" t="s">
        <v>330</v>
      </c>
      <c r="X470" s="1" t="s">
        <v>416</v>
      </c>
      <c r="Y470" s="1" t="s">
        <v>417</v>
      </c>
      <c r="Z470" s="1">
        <v>1</v>
      </c>
      <c r="AA470" s="3">
        <v>37165.919999999998</v>
      </c>
      <c r="AB470" s="3">
        <v>37165.919999999998</v>
      </c>
      <c r="AC470" s="1" t="str">
        <f>VLOOKUP(A470,[1]Detalle!$D$2:$CW$484,98,FALSE)</f>
        <v>CCUDyAZA</v>
      </c>
    </row>
    <row r="471" spans="1:29" ht="14.25" customHeight="1" x14ac:dyDescent="0.3">
      <c r="A471" s="1" t="s">
        <v>274</v>
      </c>
      <c r="B471" s="1" t="s">
        <v>342</v>
      </c>
      <c r="C471" s="1" t="s">
        <v>415</v>
      </c>
      <c r="D471" s="1" t="s">
        <v>415</v>
      </c>
      <c r="E471" s="1">
        <v>0.25</v>
      </c>
      <c r="F471" s="1" t="s">
        <v>366</v>
      </c>
      <c r="G471" s="6">
        <v>45723</v>
      </c>
      <c r="H471" s="1">
        <v>11627.1</v>
      </c>
      <c r="I471" s="1">
        <v>31627.1</v>
      </c>
      <c r="J471" s="1">
        <v>18411.3</v>
      </c>
      <c r="K471" s="1">
        <v>1588.700000000001</v>
      </c>
      <c r="L471" s="1">
        <v>30038.400000000001</v>
      </c>
      <c r="M471" s="1">
        <v>224</v>
      </c>
      <c r="N471" s="1">
        <v>66.921503267973904</v>
      </c>
      <c r="O471" s="1">
        <v>19.32882523233015</v>
      </c>
      <c r="P471" s="7">
        <v>45947</v>
      </c>
      <c r="Q471" s="1">
        <v>20000</v>
      </c>
      <c r="R471" s="7">
        <v>46265.186427395827</v>
      </c>
      <c r="S471" s="7">
        <v>46265</v>
      </c>
      <c r="T471" s="7" t="str">
        <f t="shared" si="0"/>
        <v>agosto</v>
      </c>
      <c r="U471" s="1" t="s">
        <v>330</v>
      </c>
      <c r="X471" s="1" t="s">
        <v>416</v>
      </c>
      <c r="Y471" s="1" t="s">
        <v>417</v>
      </c>
      <c r="Z471" s="1">
        <v>1</v>
      </c>
      <c r="AA471" s="3">
        <v>37165.919999999998</v>
      </c>
      <c r="AB471" s="3">
        <v>37165.919999999998</v>
      </c>
      <c r="AC471" s="1" t="str">
        <f>VLOOKUP(A471,[1]Detalle!$D$2:$CW$484,98,FALSE)</f>
        <v>JOHNSON - SC JOHNSON DE ARGENTINA SAIC</v>
      </c>
    </row>
    <row r="472" spans="1:29" ht="14.25" customHeight="1" x14ac:dyDescent="0.3">
      <c r="A472" s="1" t="s">
        <v>265</v>
      </c>
      <c r="B472" s="1" t="s">
        <v>341</v>
      </c>
      <c r="C472" s="1" t="s">
        <v>415</v>
      </c>
      <c r="D472" s="1" t="s">
        <v>415</v>
      </c>
      <c r="E472" s="1">
        <v>0.25</v>
      </c>
      <c r="F472" s="1" t="s">
        <v>366</v>
      </c>
      <c r="G472" s="6">
        <v>45859</v>
      </c>
      <c r="H472" s="1">
        <v>117765</v>
      </c>
      <c r="I472" s="1">
        <v>137765</v>
      </c>
      <c r="J472" s="1">
        <v>3374.6999999999989</v>
      </c>
      <c r="K472" s="1">
        <v>16625.3</v>
      </c>
      <c r="L472" s="1">
        <v>121139.7</v>
      </c>
      <c r="M472" s="1">
        <v>88</v>
      </c>
      <c r="N472" s="1">
        <v>35.038354838709672</v>
      </c>
      <c r="O472" s="1">
        <v>433.52783951166032</v>
      </c>
      <c r="P472" s="7">
        <v>45947</v>
      </c>
      <c r="Q472" s="1">
        <v>20000</v>
      </c>
      <c r="R472" s="7">
        <v>46380.527839513888</v>
      </c>
      <c r="S472" s="7">
        <v>46380</v>
      </c>
      <c r="T472" s="7" t="str">
        <f t="shared" si="0"/>
        <v>diciembre</v>
      </c>
      <c r="U472" s="1" t="s">
        <v>330</v>
      </c>
      <c r="X472" s="1" t="s">
        <v>416</v>
      </c>
      <c r="Y472" s="1" t="s">
        <v>417</v>
      </c>
      <c r="Z472" s="1">
        <v>1</v>
      </c>
      <c r="AA472" s="3">
        <v>37165.919999999998</v>
      </c>
      <c r="AB472" s="3">
        <v>37165.919999999998</v>
      </c>
      <c r="AC472" s="1" t="str">
        <f>VLOOKUP(A472,[1]Detalle!$D$2:$CW$484,98,FALSE)</f>
        <v>CCUDyAZA</v>
      </c>
    </row>
    <row r="473" spans="1:29" ht="14.25" customHeight="1" x14ac:dyDescent="0.3">
      <c r="A473" s="1" t="s">
        <v>264</v>
      </c>
      <c r="B473" s="1" t="s">
        <v>341</v>
      </c>
      <c r="C473" s="1" t="s">
        <v>415</v>
      </c>
      <c r="D473" s="1" t="s">
        <v>415</v>
      </c>
      <c r="E473" s="1">
        <v>0.25</v>
      </c>
      <c r="F473" s="1" t="s">
        <v>366</v>
      </c>
      <c r="G473" s="6">
        <v>45609</v>
      </c>
      <c r="H473" s="1">
        <v>129732</v>
      </c>
      <c r="I473" s="1">
        <v>149732</v>
      </c>
      <c r="J473" s="1">
        <v>10886.77</v>
      </c>
      <c r="K473" s="1">
        <v>9113.23</v>
      </c>
      <c r="L473" s="1">
        <v>140618.76999999999</v>
      </c>
      <c r="M473" s="1">
        <v>338</v>
      </c>
      <c r="N473" s="1">
        <v>28.6525</v>
      </c>
      <c r="O473" s="1">
        <v>282.93715583226242</v>
      </c>
      <c r="P473" s="7">
        <v>45947</v>
      </c>
      <c r="Q473" s="1">
        <v>20000</v>
      </c>
      <c r="R473" s="7">
        <v>46229.937155833337</v>
      </c>
      <c r="S473" s="7">
        <v>46229</v>
      </c>
      <c r="T473" s="7" t="str">
        <f t="shared" si="0"/>
        <v>julio</v>
      </c>
      <c r="U473" s="1" t="s">
        <v>330</v>
      </c>
      <c r="X473" s="1" t="s">
        <v>416</v>
      </c>
      <c r="Y473" s="1" t="s">
        <v>417</v>
      </c>
      <c r="Z473" s="1">
        <v>1</v>
      </c>
      <c r="AA473" s="3">
        <v>37165.919999999998</v>
      </c>
      <c r="AB473" s="3">
        <v>37165.919999999998</v>
      </c>
      <c r="AC473" s="1" t="str">
        <f>VLOOKUP(A473,[1]Detalle!$D$2:$CW$484,98,FALSE)</f>
        <v>CMQ_TTE - QUILMES TTE</v>
      </c>
    </row>
    <row r="474" spans="1:29" ht="14.25" customHeight="1" x14ac:dyDescent="0.3">
      <c r="A474" s="1" t="s">
        <v>263</v>
      </c>
      <c r="B474" s="1" t="s">
        <v>341</v>
      </c>
      <c r="C474" s="1" t="s">
        <v>415</v>
      </c>
      <c r="D474" s="1" t="s">
        <v>415</v>
      </c>
      <c r="E474" s="1">
        <v>0.25</v>
      </c>
      <c r="F474" s="1" t="s">
        <v>366</v>
      </c>
      <c r="G474" s="6">
        <v>45792</v>
      </c>
      <c r="H474" s="1">
        <v>139668</v>
      </c>
      <c r="I474" s="1">
        <v>159668</v>
      </c>
      <c r="J474" s="1">
        <v>6276.5</v>
      </c>
      <c r="K474" s="1">
        <v>13723.5</v>
      </c>
      <c r="L474" s="1">
        <v>145944.5</v>
      </c>
      <c r="M474" s="1">
        <v>155</v>
      </c>
      <c r="N474" s="1">
        <v>39.350129032258081</v>
      </c>
      <c r="O474" s="1">
        <v>338.90583924161558</v>
      </c>
      <c r="P474" s="7">
        <v>45947</v>
      </c>
      <c r="Q474" s="1">
        <v>20000</v>
      </c>
      <c r="R474" s="7">
        <v>46285.905839236111</v>
      </c>
      <c r="S474" s="7">
        <v>46285</v>
      </c>
      <c r="T474" s="7" t="str">
        <f t="shared" si="0"/>
        <v>septiembre</v>
      </c>
      <c r="U474" s="1" t="s">
        <v>330</v>
      </c>
      <c r="X474" s="1" t="s">
        <v>416</v>
      </c>
      <c r="Y474" s="1" t="s">
        <v>417</v>
      </c>
      <c r="Z474" s="1">
        <v>1</v>
      </c>
      <c r="AA474" s="3">
        <v>37165.919999999998</v>
      </c>
      <c r="AB474" s="3">
        <v>37165.919999999998</v>
      </c>
      <c r="AC474" s="1" t="str">
        <f>VLOOKUP(A474,[1]Detalle!$D$2:$CW$484,98,FALSE)</f>
        <v>CCUCoAZA</v>
      </c>
    </row>
    <row r="475" spans="1:29" ht="14.25" customHeight="1" x14ac:dyDescent="0.3">
      <c r="A475" s="1" t="s">
        <v>262</v>
      </c>
      <c r="B475" s="1" t="s">
        <v>341</v>
      </c>
      <c r="C475" s="1" t="s">
        <v>415</v>
      </c>
      <c r="D475" s="1" t="s">
        <v>415</v>
      </c>
      <c r="E475" s="1">
        <v>0.25</v>
      </c>
      <c r="F475" s="1" t="s">
        <v>366</v>
      </c>
      <c r="G475" s="6">
        <v>45750</v>
      </c>
      <c r="H475" s="1">
        <v>135586</v>
      </c>
      <c r="I475" s="1">
        <v>155586</v>
      </c>
      <c r="J475" s="1">
        <v>6212.800000000002</v>
      </c>
      <c r="K475" s="1">
        <v>13787.2</v>
      </c>
      <c r="L475" s="1">
        <v>141798.79999999999</v>
      </c>
      <c r="M475" s="1">
        <v>197</v>
      </c>
      <c r="N475" s="1">
        <v>29.337411003236291</v>
      </c>
      <c r="O475" s="1">
        <v>437.17460726242581</v>
      </c>
      <c r="P475" s="7">
        <v>45947</v>
      </c>
      <c r="Q475" s="1">
        <v>20000</v>
      </c>
      <c r="R475" s="7">
        <v>46384.174607256937</v>
      </c>
      <c r="S475" s="7">
        <v>46384</v>
      </c>
      <c r="T475" s="7" t="str">
        <f t="shared" si="0"/>
        <v>diciembre</v>
      </c>
      <c r="U475" s="1" t="s">
        <v>330</v>
      </c>
      <c r="X475" s="1" t="s">
        <v>416</v>
      </c>
      <c r="Y475" s="1" t="s">
        <v>417</v>
      </c>
      <c r="Z475" s="1">
        <v>1</v>
      </c>
      <c r="AA475" s="3">
        <v>37165.919999999998</v>
      </c>
      <c r="AB475" s="3">
        <v>37165.919999999998</v>
      </c>
      <c r="AC475" s="1" t="str">
        <f>VLOOKUP(A475,[1]Detalle!$D$2:$CW$484,98,FALSE)</f>
        <v>CCUDyAZA</v>
      </c>
    </row>
    <row r="476" spans="1:29" ht="14.25" customHeight="1" x14ac:dyDescent="0.3">
      <c r="A476" s="1" t="s">
        <v>261</v>
      </c>
      <c r="B476" s="1" t="s">
        <v>341</v>
      </c>
      <c r="C476" s="1" t="s">
        <v>415</v>
      </c>
      <c r="D476" s="1" t="s">
        <v>415</v>
      </c>
      <c r="E476" s="1">
        <v>0.25</v>
      </c>
      <c r="F476" s="1" t="s">
        <v>366</v>
      </c>
      <c r="G476" s="6">
        <v>45741</v>
      </c>
      <c r="H476" s="1">
        <v>138994</v>
      </c>
      <c r="I476" s="1">
        <v>158994</v>
      </c>
      <c r="J476" s="1">
        <v>7813.9000000000042</v>
      </c>
      <c r="K476" s="1">
        <v>12186.099999999989</v>
      </c>
      <c r="L476" s="1">
        <v>146807.9</v>
      </c>
      <c r="M476" s="1">
        <v>206</v>
      </c>
      <c r="N476" s="1">
        <v>32.740519480519481</v>
      </c>
      <c r="O476" s="1">
        <v>321.26551401988729</v>
      </c>
      <c r="P476" s="7">
        <v>45947</v>
      </c>
      <c r="Q476" s="1">
        <v>20000</v>
      </c>
      <c r="R476" s="7">
        <v>46268.265514016202</v>
      </c>
      <c r="S476" s="7">
        <v>46268</v>
      </c>
      <c r="T476" s="7" t="str">
        <f t="shared" si="0"/>
        <v>septiembre</v>
      </c>
      <c r="U476" s="1" t="s">
        <v>330</v>
      </c>
      <c r="X476" s="1" t="s">
        <v>416</v>
      </c>
      <c r="Y476" s="1" t="s">
        <v>417</v>
      </c>
      <c r="Z476" s="1">
        <v>1</v>
      </c>
      <c r="AA476" s="3">
        <v>37165.919999999998</v>
      </c>
      <c r="AB476" s="3">
        <v>37165.919999999998</v>
      </c>
      <c r="AC476" s="1" t="str">
        <f>VLOOKUP(A476,[1]Detalle!$D$2:$CW$484,98,FALSE)</f>
        <v>CCUDyAZA</v>
      </c>
    </row>
    <row r="477" spans="1:29" ht="14.25" customHeight="1" x14ac:dyDescent="0.3">
      <c r="A477" s="1" t="s">
        <v>260</v>
      </c>
      <c r="B477" s="1" t="s">
        <v>341</v>
      </c>
      <c r="C477" s="1" t="s">
        <v>415</v>
      </c>
      <c r="D477" s="1" t="s">
        <v>415</v>
      </c>
      <c r="E477" s="1">
        <v>0.25</v>
      </c>
      <c r="F477" s="1" t="s">
        <v>366</v>
      </c>
      <c r="G477" s="6">
        <v>45608</v>
      </c>
      <c r="H477" s="1">
        <v>135670</v>
      </c>
      <c r="I477" s="1">
        <v>155670</v>
      </c>
      <c r="J477" s="1">
        <v>13146.66</v>
      </c>
      <c r="K477" s="1">
        <v>6853.3399999999983</v>
      </c>
      <c r="L477" s="1">
        <v>148816.66</v>
      </c>
      <c r="M477" s="1">
        <v>339</v>
      </c>
      <c r="N477" s="1">
        <v>35.350675241157553</v>
      </c>
      <c r="O477" s="1">
        <v>176.72034265737449</v>
      </c>
      <c r="P477" s="7">
        <v>45947</v>
      </c>
      <c r="Q477" s="1">
        <v>20000</v>
      </c>
      <c r="R477" s="7">
        <v>46123.72034266204</v>
      </c>
      <c r="S477" s="7">
        <v>46123</v>
      </c>
      <c r="T477" s="7" t="str">
        <f t="shared" si="0"/>
        <v>abril</v>
      </c>
      <c r="U477" s="1" t="s">
        <v>330</v>
      </c>
      <c r="X477" s="1" t="s">
        <v>416</v>
      </c>
      <c r="Y477" s="1" t="s">
        <v>417</v>
      </c>
      <c r="Z477" s="1">
        <v>1</v>
      </c>
      <c r="AA477" s="3">
        <v>37165.919999999998</v>
      </c>
      <c r="AB477" s="3">
        <v>37165.919999999998</v>
      </c>
      <c r="AC477" s="1" t="str">
        <f>VLOOKUP(A477,[1]Detalle!$D$2:$CW$484,98,FALSE)</f>
        <v>CCUDyAZA</v>
      </c>
    </row>
    <row r="478" spans="1:29" ht="14.25" customHeight="1" x14ac:dyDescent="0.3">
      <c r="A478" s="1" t="s">
        <v>257</v>
      </c>
      <c r="B478" s="1" t="s">
        <v>341</v>
      </c>
      <c r="C478" s="1" t="s">
        <v>415</v>
      </c>
      <c r="D478" s="1" t="s">
        <v>415</v>
      </c>
      <c r="E478" s="1">
        <v>0.25</v>
      </c>
      <c r="F478" s="1" t="s">
        <v>366</v>
      </c>
      <c r="G478" s="6">
        <v>45929</v>
      </c>
      <c r="H478" s="1">
        <v>241798</v>
      </c>
      <c r="I478" s="1">
        <v>261798</v>
      </c>
      <c r="J478" s="1">
        <v>0</v>
      </c>
      <c r="K478" s="1">
        <v>20000</v>
      </c>
      <c r="L478" s="1">
        <v>241798</v>
      </c>
      <c r="M478" s="1">
        <v>18</v>
      </c>
      <c r="N478" s="1">
        <v>32.336013071895437</v>
      </c>
      <c r="O478" s="1">
        <v>200</v>
      </c>
      <c r="P478" s="7">
        <v>45947</v>
      </c>
      <c r="Q478" s="1">
        <v>20000</v>
      </c>
      <c r="R478" s="7">
        <v>46147</v>
      </c>
      <c r="S478" s="7">
        <v>46147</v>
      </c>
      <c r="T478" s="7" t="str">
        <f t="shared" si="0"/>
        <v>mayo</v>
      </c>
      <c r="U478" s="1" t="s">
        <v>330</v>
      </c>
      <c r="X478" s="1" t="s">
        <v>416</v>
      </c>
      <c r="Y478" s="1" t="s">
        <v>417</v>
      </c>
      <c r="Z478" s="1">
        <v>1</v>
      </c>
      <c r="AA478" s="3">
        <v>37165.919999999998</v>
      </c>
      <c r="AB478" s="3">
        <v>37165.919999999998</v>
      </c>
      <c r="AC478" s="1" t="str">
        <f>VLOOKUP(A478,[1]Detalle!$D$2:$CW$484,98,FALSE)</f>
        <v>CMQ_TTE - QUILMES TTE</v>
      </c>
    </row>
    <row r="479" spans="1:29" ht="14.25" customHeight="1" x14ac:dyDescent="0.3">
      <c r="A479" s="1" t="s">
        <v>256</v>
      </c>
      <c r="B479" s="1" t="s">
        <v>341</v>
      </c>
      <c r="C479" s="1" t="s">
        <v>415</v>
      </c>
      <c r="D479" s="1" t="s">
        <v>415</v>
      </c>
      <c r="E479" s="1">
        <v>0.25</v>
      </c>
      <c r="F479" s="1" t="s">
        <v>366</v>
      </c>
      <c r="G479" s="6">
        <v>45733</v>
      </c>
      <c r="H479" s="1">
        <v>175136</v>
      </c>
      <c r="I479" s="1">
        <v>195136</v>
      </c>
      <c r="J479" s="1">
        <v>10902.7</v>
      </c>
      <c r="K479" s="1">
        <v>9097.2999999999993</v>
      </c>
      <c r="L479" s="1">
        <v>186038.7</v>
      </c>
      <c r="M479" s="1">
        <v>214</v>
      </c>
      <c r="N479" s="1">
        <v>47.387909967845658</v>
      </c>
      <c r="O479" s="1">
        <v>178.56331000577839</v>
      </c>
      <c r="P479" s="7">
        <v>45947</v>
      </c>
      <c r="Q479" s="1">
        <v>20000</v>
      </c>
      <c r="R479" s="7">
        <v>46125.563309999998</v>
      </c>
      <c r="S479" s="7">
        <v>46125</v>
      </c>
      <c r="T479" s="7" t="str">
        <f t="shared" si="0"/>
        <v>abril</v>
      </c>
      <c r="U479" s="1" t="s">
        <v>330</v>
      </c>
      <c r="X479" s="1" t="s">
        <v>416</v>
      </c>
      <c r="Y479" s="1" t="s">
        <v>417</v>
      </c>
      <c r="Z479" s="1">
        <v>1</v>
      </c>
      <c r="AA479" s="3">
        <v>37165.919999999998</v>
      </c>
      <c r="AB479" s="3">
        <v>37165.919999999998</v>
      </c>
      <c r="AC479" s="1" t="str">
        <f>VLOOKUP(A479,[1]Detalle!$D$2:$CW$484,98,FALSE)</f>
        <v>CCUCoAZA</v>
      </c>
    </row>
    <row r="480" spans="1:29" ht="14.25" customHeight="1" x14ac:dyDescent="0.3">
      <c r="A480" s="1" t="s">
        <v>255</v>
      </c>
      <c r="B480" s="1" t="s">
        <v>341</v>
      </c>
      <c r="C480" s="1" t="s">
        <v>415</v>
      </c>
      <c r="D480" s="1" t="s">
        <v>415</v>
      </c>
      <c r="E480" s="1">
        <v>0.25</v>
      </c>
      <c r="F480" s="1" t="s">
        <v>366</v>
      </c>
      <c r="G480" s="6">
        <v>45786</v>
      </c>
      <c r="H480" s="1">
        <v>140250</v>
      </c>
      <c r="I480" s="1">
        <v>160250</v>
      </c>
      <c r="J480" s="1">
        <v>6502.5999999999949</v>
      </c>
      <c r="K480" s="1">
        <v>13497.400000000011</v>
      </c>
      <c r="L480" s="1">
        <v>146752.6</v>
      </c>
      <c r="M480" s="1">
        <v>161</v>
      </c>
      <c r="N480" s="1">
        <v>36.457612903225787</v>
      </c>
      <c r="O480" s="1">
        <v>334.18654076830848</v>
      </c>
      <c r="P480" s="7">
        <v>45947</v>
      </c>
      <c r="Q480" s="1">
        <v>20000</v>
      </c>
      <c r="R480" s="7">
        <v>46281.186540763891</v>
      </c>
      <c r="S480" s="7">
        <v>46281</v>
      </c>
      <c r="T480" s="7" t="str">
        <f t="shared" si="0"/>
        <v>septiembre</v>
      </c>
      <c r="U480" s="1" t="s">
        <v>330</v>
      </c>
      <c r="X480" s="1" t="s">
        <v>416</v>
      </c>
      <c r="Y480" s="1" t="s">
        <v>417</v>
      </c>
      <c r="Z480" s="1">
        <v>1</v>
      </c>
      <c r="AA480" s="3">
        <v>37165.919999999998</v>
      </c>
      <c r="AB480" s="3">
        <v>37165.919999999998</v>
      </c>
      <c r="AC480" s="1" t="str">
        <f>VLOOKUP(A480,[1]Detalle!$D$2:$CW$484,98,FALSE)</f>
        <v>CCUDyAZA</v>
      </c>
    </row>
    <row r="481" spans="1:29" ht="14.25" customHeight="1" x14ac:dyDescent="0.3">
      <c r="A481" s="1" t="s">
        <v>254</v>
      </c>
      <c r="B481" s="1" t="s">
        <v>341</v>
      </c>
      <c r="C481" s="1" t="s">
        <v>415</v>
      </c>
      <c r="D481" s="1" t="s">
        <v>415</v>
      </c>
      <c r="E481" s="1">
        <v>0.25</v>
      </c>
      <c r="F481" s="1" t="s">
        <v>366</v>
      </c>
      <c r="G481" s="6">
        <v>45727</v>
      </c>
      <c r="H481" s="1">
        <v>135133</v>
      </c>
      <c r="I481" s="1">
        <v>155133</v>
      </c>
      <c r="J481" s="1">
        <v>15205.600000000009</v>
      </c>
      <c r="K481" s="1">
        <v>4794.3999999999915</v>
      </c>
      <c r="L481" s="1">
        <v>150338.6</v>
      </c>
      <c r="M481" s="1">
        <v>220</v>
      </c>
      <c r="N481" s="1">
        <v>62.077961165048592</v>
      </c>
      <c r="O481" s="1">
        <v>69.367075288051595</v>
      </c>
      <c r="P481" s="7">
        <v>45947</v>
      </c>
      <c r="Q481" s="1">
        <v>20000</v>
      </c>
      <c r="R481" s="7">
        <v>46338.542604652779</v>
      </c>
      <c r="S481" s="7">
        <v>46338</v>
      </c>
      <c r="T481" s="7" t="str">
        <f t="shared" si="0"/>
        <v>noviembre</v>
      </c>
      <c r="U481" s="1" t="s">
        <v>330</v>
      </c>
      <c r="X481" s="1" t="s">
        <v>416</v>
      </c>
      <c r="Y481" s="1" t="s">
        <v>417</v>
      </c>
      <c r="Z481" s="1">
        <v>1</v>
      </c>
      <c r="AA481" s="3">
        <v>37165.919999999998</v>
      </c>
      <c r="AB481" s="3">
        <v>37165.919999999998</v>
      </c>
      <c r="AC481" s="1" t="str">
        <f>VLOOKUP(A481,[1]Detalle!$D$2:$CW$484,98,FALSE)</f>
        <v>CCUCoAZA</v>
      </c>
    </row>
    <row r="482" spans="1:29" ht="14.25" customHeight="1" x14ac:dyDescent="0.3">
      <c r="A482" s="1" t="s">
        <v>252</v>
      </c>
      <c r="B482" s="1" t="s">
        <v>341</v>
      </c>
      <c r="C482" s="1" t="s">
        <v>415</v>
      </c>
      <c r="D482" s="1" t="s">
        <v>415</v>
      </c>
      <c r="E482" s="1">
        <v>0.25</v>
      </c>
      <c r="F482" s="1" t="s">
        <v>366</v>
      </c>
      <c r="G482" s="6">
        <v>45728</v>
      </c>
      <c r="H482" s="1">
        <v>136279</v>
      </c>
      <c r="I482" s="1">
        <v>156279</v>
      </c>
      <c r="J482" s="1">
        <v>9392.9000000000033</v>
      </c>
      <c r="K482" s="1">
        <v>10607.1</v>
      </c>
      <c r="L482" s="1">
        <v>145671.9</v>
      </c>
      <c r="M482" s="1">
        <v>219</v>
      </c>
      <c r="N482" s="1">
        <v>39.350485436893209</v>
      </c>
      <c r="O482" s="1">
        <v>247.309659423607</v>
      </c>
      <c r="P482" s="7">
        <v>45947</v>
      </c>
      <c r="Q482" s="1">
        <v>20000</v>
      </c>
      <c r="R482" s="7">
        <v>46194.309659421298</v>
      </c>
      <c r="S482" s="7">
        <v>46194</v>
      </c>
      <c r="T482" s="7" t="str">
        <f t="shared" si="0"/>
        <v>junio</v>
      </c>
      <c r="U482" s="1" t="s">
        <v>330</v>
      </c>
      <c r="X482" s="1" t="s">
        <v>416</v>
      </c>
      <c r="Y482" s="1" t="s">
        <v>417</v>
      </c>
      <c r="Z482" s="1">
        <v>1</v>
      </c>
      <c r="AA482" s="3">
        <v>37165.919999999998</v>
      </c>
      <c r="AB482" s="3">
        <v>37165.919999999998</v>
      </c>
      <c r="AC482" s="1" t="str">
        <f>VLOOKUP(A482,[1]Detalle!$D$2:$CW$484,98,FALSE)</f>
        <v>CCUDyAZA</v>
      </c>
    </row>
    <row r="483" spans="1:29" ht="14.25" customHeight="1" x14ac:dyDescent="0.3">
      <c r="A483" s="1" t="s">
        <v>251</v>
      </c>
      <c r="B483" s="1" t="s">
        <v>341</v>
      </c>
      <c r="C483" s="1" t="s">
        <v>415</v>
      </c>
      <c r="D483" s="1" t="s">
        <v>415</v>
      </c>
      <c r="E483" s="1">
        <v>0.25</v>
      </c>
      <c r="F483" s="1" t="s">
        <v>366</v>
      </c>
      <c r="G483" s="6">
        <v>45803</v>
      </c>
      <c r="H483" s="1">
        <v>134238</v>
      </c>
      <c r="I483" s="1">
        <v>154238</v>
      </c>
      <c r="J483" s="1">
        <v>6883.1999999999953</v>
      </c>
      <c r="K483" s="1">
        <v>13116.8</v>
      </c>
      <c r="L483" s="1">
        <v>141121.20000000001</v>
      </c>
      <c r="M483" s="1">
        <v>144</v>
      </c>
      <c r="N483" s="1">
        <v>38.754967741935467</v>
      </c>
      <c r="O483" s="1">
        <v>274.41004184100439</v>
      </c>
      <c r="P483" s="7">
        <v>45947</v>
      </c>
      <c r="Q483" s="1">
        <v>20000</v>
      </c>
      <c r="R483" s="7">
        <v>46221.410041840281</v>
      </c>
      <c r="S483" s="7">
        <v>46221</v>
      </c>
      <c r="T483" s="7" t="str">
        <f t="shared" si="0"/>
        <v>julio</v>
      </c>
      <c r="U483" s="1" t="s">
        <v>330</v>
      </c>
      <c r="X483" s="1" t="s">
        <v>416</v>
      </c>
      <c r="Y483" s="1" t="s">
        <v>417</v>
      </c>
      <c r="Z483" s="1">
        <v>1</v>
      </c>
      <c r="AA483" s="3">
        <v>37165.919999999998</v>
      </c>
      <c r="AB483" s="3">
        <v>37165.919999999998</v>
      </c>
      <c r="AC483" s="1" t="str">
        <f>VLOOKUP(A483,[1]Detalle!$D$2:$CW$484,98,FALSE)</f>
        <v>CCUDyAZA</v>
      </c>
    </row>
    <row r="484" spans="1:29" ht="14.25" customHeight="1" x14ac:dyDescent="0.3">
      <c r="A484" s="1" t="s">
        <v>248</v>
      </c>
      <c r="B484" s="1" t="s">
        <v>341</v>
      </c>
      <c r="C484" s="1" t="s">
        <v>415</v>
      </c>
      <c r="D484" s="1" t="s">
        <v>415</v>
      </c>
      <c r="E484" s="1">
        <v>0.25</v>
      </c>
      <c r="F484" s="1" t="s">
        <v>366</v>
      </c>
      <c r="G484" s="6">
        <v>45743</v>
      </c>
      <c r="H484" s="1">
        <v>123548</v>
      </c>
      <c r="I484" s="1">
        <v>143548</v>
      </c>
      <c r="J484" s="1">
        <v>7382.7000000000016</v>
      </c>
      <c r="K484" s="1">
        <v>12617.3</v>
      </c>
      <c r="L484" s="1">
        <v>130930.7</v>
      </c>
      <c r="M484" s="1">
        <v>204</v>
      </c>
      <c r="N484" s="1">
        <v>33.855032679738592</v>
      </c>
      <c r="O484" s="1">
        <v>348.64334186679662</v>
      </c>
      <c r="P484" s="7">
        <v>45947</v>
      </c>
      <c r="Q484" s="1">
        <v>20000</v>
      </c>
      <c r="R484" s="7">
        <v>46295.643341863433</v>
      </c>
      <c r="S484" s="7">
        <v>46295</v>
      </c>
      <c r="T484" s="7" t="str">
        <f t="shared" si="0"/>
        <v>septiembre</v>
      </c>
      <c r="U484" s="1" t="s">
        <v>330</v>
      </c>
      <c r="X484" s="1" t="s">
        <v>416</v>
      </c>
      <c r="Y484" s="1" t="s">
        <v>417</v>
      </c>
      <c r="Z484" s="1">
        <v>1</v>
      </c>
      <c r="AA484" s="3">
        <v>37165.919999999998</v>
      </c>
      <c r="AB484" s="3">
        <v>37165.919999999998</v>
      </c>
      <c r="AC484" s="1" t="str">
        <f>VLOOKUP(A484,[1]Detalle!$D$2:$CW$484,98,FALSE)</f>
        <v>CCUDyAZA</v>
      </c>
    </row>
    <row r="485" spans="1:29" ht="14.25" customHeight="1" x14ac:dyDescent="0.3">
      <c r="A485" s="1" t="s">
        <v>242</v>
      </c>
      <c r="B485" s="1" t="s">
        <v>341</v>
      </c>
      <c r="C485" s="1" t="s">
        <v>415</v>
      </c>
      <c r="D485" s="1" t="s">
        <v>415</v>
      </c>
      <c r="E485" s="1">
        <v>0.25</v>
      </c>
      <c r="F485" s="1" t="s">
        <v>366</v>
      </c>
      <c r="G485" s="6">
        <v>45763</v>
      </c>
      <c r="H485" s="1">
        <v>435565</v>
      </c>
      <c r="I485" s="1">
        <v>455565</v>
      </c>
      <c r="J485" s="1">
        <v>16726.900000000001</v>
      </c>
      <c r="K485" s="1">
        <v>3273.099999999999</v>
      </c>
      <c r="L485" s="1">
        <v>452291.9</v>
      </c>
      <c r="M485" s="1">
        <v>184</v>
      </c>
      <c r="N485" s="1">
        <v>76.02181229773467</v>
      </c>
      <c r="O485" s="1">
        <v>36.004902283148681</v>
      </c>
      <c r="P485" s="7">
        <v>45947</v>
      </c>
      <c r="Q485" s="1">
        <v>20000</v>
      </c>
      <c r="R485" s="7">
        <v>46246.087291342592</v>
      </c>
      <c r="S485" s="7">
        <v>46246</v>
      </c>
      <c r="T485" s="7" t="str">
        <f t="shared" si="0"/>
        <v>agosto</v>
      </c>
      <c r="U485" s="1" t="s">
        <v>330</v>
      </c>
      <c r="X485" s="1" t="s">
        <v>416</v>
      </c>
      <c r="Y485" s="1" t="s">
        <v>417</v>
      </c>
      <c r="Z485" s="1">
        <v>1</v>
      </c>
      <c r="AA485" s="3">
        <v>37165.919999999998</v>
      </c>
      <c r="AB485" s="3">
        <v>37165.919999999998</v>
      </c>
      <c r="AC485" s="1" t="str">
        <f>VLOOKUP(A485,[1]Detalle!$D$2:$CW$484,98,FALSE)</f>
        <v>Papelera - Papelera del Plata S.A.</v>
      </c>
    </row>
    <row r="486" spans="1:29" ht="14.25" customHeight="1" x14ac:dyDescent="0.3">
      <c r="A486" s="1" t="s">
        <v>239</v>
      </c>
      <c r="B486" s="1" t="s">
        <v>341</v>
      </c>
      <c r="C486" s="1" t="s">
        <v>415</v>
      </c>
      <c r="D486" s="1" t="s">
        <v>415</v>
      </c>
      <c r="E486" s="1">
        <v>0.25</v>
      </c>
      <c r="F486" s="1" t="s">
        <v>366</v>
      </c>
      <c r="G486" s="6">
        <v>45811</v>
      </c>
      <c r="H486" s="1">
        <v>309592</v>
      </c>
      <c r="I486" s="1">
        <v>329592</v>
      </c>
      <c r="J486" s="1">
        <v>5644.7999999999975</v>
      </c>
      <c r="K486" s="1">
        <v>14355.2</v>
      </c>
      <c r="L486" s="1">
        <v>315236.8</v>
      </c>
      <c r="M486" s="1">
        <v>136</v>
      </c>
      <c r="N486" s="1">
        <v>34.71594771241827</v>
      </c>
      <c r="O486" s="1">
        <v>345.8594104308392</v>
      </c>
      <c r="P486" s="7">
        <v>45947</v>
      </c>
      <c r="Q486" s="1">
        <v>20000</v>
      </c>
      <c r="R486" s="7">
        <v>46292.859410428238</v>
      </c>
      <c r="S486" s="7">
        <v>46292</v>
      </c>
      <c r="T486" s="7" t="str">
        <f t="shared" si="0"/>
        <v>septiembre</v>
      </c>
      <c r="U486" s="1" t="s">
        <v>330</v>
      </c>
      <c r="X486" s="1" t="s">
        <v>416</v>
      </c>
      <c r="Y486" s="1" t="s">
        <v>417</v>
      </c>
      <c r="Z486" s="1">
        <v>1</v>
      </c>
      <c r="AA486" s="3">
        <v>37165.919999999998</v>
      </c>
      <c r="AB486" s="3">
        <v>37165.919999999998</v>
      </c>
      <c r="AC486" s="1" t="str">
        <f>VLOOKUP(A486,[1]Detalle!$D$2:$CW$484,98,FALSE)</f>
        <v>CMQ_TTE - QUILMES TTE</v>
      </c>
    </row>
    <row r="487" spans="1:29" ht="14.25" customHeight="1" x14ac:dyDescent="0.3">
      <c r="A487" s="1" t="s">
        <v>238</v>
      </c>
      <c r="B487" s="1" t="s">
        <v>341</v>
      </c>
      <c r="C487" s="1" t="s">
        <v>415</v>
      </c>
      <c r="D487" s="1" t="s">
        <v>415</v>
      </c>
      <c r="E487" s="1">
        <v>0.25</v>
      </c>
      <c r="F487" s="1" t="s">
        <v>366</v>
      </c>
      <c r="G487" s="6">
        <v>45587</v>
      </c>
      <c r="H487" s="1">
        <v>502203</v>
      </c>
      <c r="I487" s="1">
        <v>522203</v>
      </c>
      <c r="J487" s="1">
        <v>14467.7</v>
      </c>
      <c r="K487" s="1">
        <v>5532.3000000000047</v>
      </c>
      <c r="L487" s="1">
        <v>516670.7</v>
      </c>
      <c r="M487" s="1">
        <v>360</v>
      </c>
      <c r="N487" s="1">
        <v>33.863782051282037</v>
      </c>
      <c r="O487" s="1">
        <v>137.66030536989311</v>
      </c>
      <c r="P487" s="7">
        <v>45947</v>
      </c>
      <c r="Q487" s="1">
        <v>20000</v>
      </c>
      <c r="R487" s="7">
        <v>46084.660305370373</v>
      </c>
      <c r="S487" s="7">
        <v>46084</v>
      </c>
      <c r="T487" s="7" t="str">
        <f t="shared" si="0"/>
        <v>marzo</v>
      </c>
      <c r="U487" s="1" t="s">
        <v>330</v>
      </c>
      <c r="X487" s="1" t="s">
        <v>416</v>
      </c>
      <c r="Y487" s="1" t="s">
        <v>417</v>
      </c>
      <c r="Z487" s="1">
        <v>1</v>
      </c>
      <c r="AA487" s="3">
        <v>37165.919999999998</v>
      </c>
      <c r="AB487" s="3">
        <v>37165.919999999998</v>
      </c>
      <c r="AC487" s="1" t="str">
        <f>VLOOKUP(A487,[1]Detalle!$D$2:$CW$484,98,FALSE)</f>
        <v>CMQ_TTE - QUILMES TTE</v>
      </c>
    </row>
    <row r="488" spans="1:29" ht="14.25" customHeight="1" x14ac:dyDescent="0.3">
      <c r="A488" s="1" t="s">
        <v>217</v>
      </c>
      <c r="B488" s="1" t="s">
        <v>341</v>
      </c>
      <c r="C488" s="1" t="s">
        <v>415</v>
      </c>
      <c r="D488" s="1" t="s">
        <v>415</v>
      </c>
      <c r="E488" s="1">
        <v>0.25</v>
      </c>
      <c r="F488" s="1" t="s">
        <v>366</v>
      </c>
      <c r="G488" s="1" t="s">
        <v>337</v>
      </c>
      <c r="H488" s="1">
        <v>474074</v>
      </c>
      <c r="I488" s="1">
        <v>494074</v>
      </c>
      <c r="J488" s="1">
        <v>5983.7999999999993</v>
      </c>
      <c r="K488" s="1">
        <v>14016.2</v>
      </c>
      <c r="L488" s="1">
        <v>480057.8</v>
      </c>
      <c r="M488" s="1">
        <v>68</v>
      </c>
      <c r="N488" s="1">
        <v>63.859032258064524</v>
      </c>
      <c r="O488" s="1">
        <v>159.28032354022531</v>
      </c>
      <c r="P488" s="7">
        <v>45947</v>
      </c>
      <c r="Q488" s="1">
        <v>20000</v>
      </c>
      <c r="R488" s="7">
        <v>46106.280323541658</v>
      </c>
      <c r="S488" s="7">
        <v>46106</v>
      </c>
      <c r="T488" s="7" t="str">
        <f t="shared" si="0"/>
        <v>marzo</v>
      </c>
      <c r="U488" s="1" t="s">
        <v>330</v>
      </c>
      <c r="X488" s="1" t="s">
        <v>416</v>
      </c>
      <c r="Y488" s="1" t="s">
        <v>417</v>
      </c>
      <c r="Z488" s="1">
        <v>1</v>
      </c>
      <c r="AA488" s="3">
        <v>37165.919999999998</v>
      </c>
      <c r="AB488" s="3">
        <v>37165.919999999998</v>
      </c>
      <c r="AC488" s="1" t="str">
        <f>VLOOKUP(A488,[1]Detalle!$D$2:$CW$484,98,FALSE)</f>
        <v>Papelera - Papelera del Plata S.A.</v>
      </c>
    </row>
    <row r="489" spans="1:29" ht="14.25" customHeight="1" x14ac:dyDescent="0.3">
      <c r="A489" s="1" t="s">
        <v>209</v>
      </c>
      <c r="B489" s="1" t="s">
        <v>341</v>
      </c>
      <c r="C489" s="1" t="s">
        <v>415</v>
      </c>
      <c r="D489" s="1" t="s">
        <v>415</v>
      </c>
      <c r="E489" s="1">
        <v>0.25</v>
      </c>
      <c r="F489" s="1" t="s">
        <v>366</v>
      </c>
      <c r="G489" s="6">
        <v>45525</v>
      </c>
      <c r="H489" s="1">
        <v>880145</v>
      </c>
      <c r="I489" s="1">
        <v>900145</v>
      </c>
      <c r="J489" s="1">
        <v>79750.570000000065</v>
      </c>
      <c r="K489" s="1">
        <v>-59750.570000000072</v>
      </c>
      <c r="L489" s="1">
        <v>959895.57000000007</v>
      </c>
      <c r="M489" s="1">
        <v>422</v>
      </c>
      <c r="N489" s="1">
        <v>249.7515064102565</v>
      </c>
      <c r="O489" s="1">
        <v>-316.17003539912008</v>
      </c>
      <c r="P489" s="7">
        <v>45947</v>
      </c>
      <c r="Q489" s="1">
        <v>20000</v>
      </c>
      <c r="R489" s="7">
        <v>46027.079597071759</v>
      </c>
      <c r="S489" s="7">
        <v>46027</v>
      </c>
      <c r="T489" s="7" t="str">
        <f t="shared" si="0"/>
        <v>enero</v>
      </c>
      <c r="U489" s="1" t="s">
        <v>330</v>
      </c>
      <c r="X489" s="1" t="s">
        <v>416</v>
      </c>
      <c r="Y489" s="1" t="s">
        <v>417</v>
      </c>
      <c r="Z489" s="1">
        <v>1</v>
      </c>
      <c r="AA489" s="3">
        <v>37165.919999999998</v>
      </c>
      <c r="AB489" s="3">
        <v>37165.919999999998</v>
      </c>
      <c r="AC489" s="1" t="str">
        <f>VLOOKUP(A489,[1]Detalle!$D$2:$CW$484,98,FALSE)</f>
        <v>CENCO_MZ - Cencosud SA - Mendoza</v>
      </c>
    </row>
    <row r="490" spans="1:29" ht="14.25" customHeight="1" x14ac:dyDescent="0.3">
      <c r="A490" s="1" t="s">
        <v>205</v>
      </c>
      <c r="B490" s="1" t="s">
        <v>351</v>
      </c>
      <c r="C490" s="1" t="s">
        <v>415</v>
      </c>
      <c r="D490" s="1" t="s">
        <v>415</v>
      </c>
      <c r="E490" s="1">
        <v>0.25</v>
      </c>
      <c r="F490" s="1" t="s">
        <v>366</v>
      </c>
      <c r="G490" s="6">
        <v>45735</v>
      </c>
      <c r="H490" s="1">
        <v>180294</v>
      </c>
      <c r="I490" s="1">
        <v>200294</v>
      </c>
      <c r="J490" s="1">
        <v>8568.0000000000055</v>
      </c>
      <c r="K490" s="1">
        <v>11431.999999999991</v>
      </c>
      <c r="L490" s="1">
        <v>188862</v>
      </c>
      <c r="M490" s="1">
        <v>212</v>
      </c>
      <c r="N490" s="1">
        <v>45.429777777777801</v>
      </c>
      <c r="O490" s="1">
        <v>282.864612511671</v>
      </c>
      <c r="P490" s="7">
        <v>45947</v>
      </c>
      <c r="Q490" s="1">
        <v>20000</v>
      </c>
      <c r="R490" s="7">
        <v>46229.864612511577</v>
      </c>
      <c r="S490" s="7">
        <v>46229</v>
      </c>
      <c r="T490" s="7" t="str">
        <f t="shared" si="0"/>
        <v>julio</v>
      </c>
      <c r="U490" s="1" t="s">
        <v>330</v>
      </c>
      <c r="X490" s="1" t="s">
        <v>416</v>
      </c>
      <c r="Y490" s="1" t="s">
        <v>417</v>
      </c>
      <c r="Z490" s="1">
        <v>1</v>
      </c>
      <c r="AA490" s="3">
        <v>37165.919999999998</v>
      </c>
      <c r="AB490" s="3">
        <v>37165.919999999998</v>
      </c>
      <c r="AC490" s="1" t="str">
        <f>VLOOKUP(A490,[1]Detalle!$D$2:$CW$484,98,FALSE)</f>
        <v>CCUCoAZA</v>
      </c>
    </row>
    <row r="491" spans="1:29" ht="14.25" customHeight="1" x14ac:dyDescent="0.3">
      <c r="A491" s="1" t="s">
        <v>204</v>
      </c>
      <c r="B491" s="1" t="s">
        <v>351</v>
      </c>
      <c r="C491" s="1" t="s">
        <v>415</v>
      </c>
      <c r="D491" s="1" t="s">
        <v>415</v>
      </c>
      <c r="E491" s="1">
        <v>0.25</v>
      </c>
      <c r="F491" s="1" t="s">
        <v>366</v>
      </c>
      <c r="G491" s="6">
        <v>45743</v>
      </c>
      <c r="H491" s="1">
        <v>322879</v>
      </c>
      <c r="I491" s="1">
        <v>342879</v>
      </c>
      <c r="J491" s="1">
        <v>7068.2</v>
      </c>
      <c r="K491" s="1">
        <v>12931.8</v>
      </c>
      <c r="L491" s="1">
        <v>329947.2</v>
      </c>
      <c r="M491" s="1">
        <v>204</v>
      </c>
      <c r="N491" s="1">
        <v>44.066703703703709</v>
      </c>
      <c r="O491" s="1">
        <v>373.23324184375087</v>
      </c>
      <c r="P491" s="7">
        <v>45947</v>
      </c>
      <c r="Q491" s="1">
        <v>20000</v>
      </c>
      <c r="R491" s="7">
        <v>46320.23324184028</v>
      </c>
      <c r="S491" s="7">
        <v>46320</v>
      </c>
      <c r="T491" s="7" t="str">
        <f t="shared" si="0"/>
        <v>octubre</v>
      </c>
      <c r="U491" s="1" t="s">
        <v>330</v>
      </c>
      <c r="X491" s="1" t="s">
        <v>416</v>
      </c>
      <c r="Y491" s="1" t="s">
        <v>417</v>
      </c>
      <c r="Z491" s="1">
        <v>1</v>
      </c>
      <c r="AA491" s="3">
        <v>37165.919999999998</v>
      </c>
      <c r="AB491" s="3">
        <v>37165.919999999998</v>
      </c>
      <c r="AC491" s="1" t="str">
        <f>VLOOKUP(A491,[1]Detalle!$D$2:$CW$484,98,FALSE)</f>
        <v>CCUCoAZA</v>
      </c>
    </row>
    <row r="492" spans="1:29" ht="14.25" customHeight="1" x14ac:dyDescent="0.3">
      <c r="A492" s="1" t="s">
        <v>202</v>
      </c>
      <c r="B492" s="1" t="s">
        <v>351</v>
      </c>
      <c r="C492" s="1" t="s">
        <v>415</v>
      </c>
      <c r="D492" s="1" t="s">
        <v>415</v>
      </c>
      <c r="E492" s="1">
        <v>0.25</v>
      </c>
      <c r="F492" s="1" t="s">
        <v>366</v>
      </c>
      <c r="G492" s="6">
        <v>45608</v>
      </c>
      <c r="H492" s="1">
        <v>702674</v>
      </c>
      <c r="I492" s="1">
        <v>722674</v>
      </c>
      <c r="J492" s="1">
        <v>10099.13000000001</v>
      </c>
      <c r="K492" s="1">
        <v>9900.8699999999881</v>
      </c>
      <c r="L492" s="1">
        <v>712773.13</v>
      </c>
      <c r="M492" s="1">
        <v>339</v>
      </c>
      <c r="N492" s="1">
        <v>30.666407407407419</v>
      </c>
      <c r="O492" s="1">
        <v>332.34495743692702</v>
      </c>
      <c r="P492" s="7">
        <v>45947</v>
      </c>
      <c r="Q492" s="1">
        <v>20000</v>
      </c>
      <c r="R492" s="7">
        <v>46279.344957442132</v>
      </c>
      <c r="S492" s="7">
        <v>46279</v>
      </c>
      <c r="T492" s="7" t="str">
        <f t="shared" si="0"/>
        <v>septiembre</v>
      </c>
      <c r="U492" s="1" t="s">
        <v>330</v>
      </c>
      <c r="X492" s="1" t="s">
        <v>416</v>
      </c>
      <c r="Y492" s="1" t="s">
        <v>417</v>
      </c>
      <c r="Z492" s="1">
        <v>1</v>
      </c>
      <c r="AA492" s="3">
        <v>37165.919999999998</v>
      </c>
      <c r="AB492" s="3">
        <v>37165.919999999998</v>
      </c>
      <c r="AC492" s="1" t="str">
        <f>VLOOKUP(A492,[1]Detalle!$D$2:$CW$484,98,FALSE)</f>
        <v>CCUDyAZA</v>
      </c>
    </row>
    <row r="493" spans="1:29" ht="14.25" customHeight="1" x14ac:dyDescent="0.3">
      <c r="A493" s="1" t="s">
        <v>185</v>
      </c>
      <c r="B493" s="1" t="s">
        <v>351</v>
      </c>
      <c r="C493" s="1" t="s">
        <v>415</v>
      </c>
      <c r="D493" s="1" t="s">
        <v>415</v>
      </c>
      <c r="E493" s="1">
        <v>0.25</v>
      </c>
      <c r="F493" s="1" t="s">
        <v>366</v>
      </c>
      <c r="G493" s="6">
        <v>45748</v>
      </c>
      <c r="H493" s="1">
        <v>14041.5</v>
      </c>
      <c r="I493" s="1">
        <v>34041.5</v>
      </c>
      <c r="J493" s="1">
        <v>7825.0999999999995</v>
      </c>
      <c r="K493" s="1">
        <v>12174.9</v>
      </c>
      <c r="L493" s="1">
        <v>21866.6</v>
      </c>
      <c r="M493" s="1">
        <v>199</v>
      </c>
      <c r="N493" s="1">
        <v>45.164889705882352</v>
      </c>
      <c r="O493" s="1">
        <v>309.61969815082239</v>
      </c>
      <c r="P493" s="7">
        <v>45947</v>
      </c>
      <c r="Q493" s="1">
        <v>20000</v>
      </c>
      <c r="R493" s="7">
        <v>46256.619698148148</v>
      </c>
      <c r="S493" s="7">
        <v>46256</v>
      </c>
      <c r="T493" s="7" t="str">
        <f t="shared" si="0"/>
        <v>agosto</v>
      </c>
      <c r="U493" s="1" t="s">
        <v>330</v>
      </c>
      <c r="X493" s="1" t="s">
        <v>416</v>
      </c>
      <c r="Y493" s="1" t="s">
        <v>417</v>
      </c>
      <c r="Z493" s="1">
        <v>1</v>
      </c>
      <c r="AA493" s="3">
        <v>37165.919999999998</v>
      </c>
      <c r="AB493" s="3">
        <v>37165.919999999998</v>
      </c>
      <c r="AC493" s="1" t="str">
        <f>VLOOKUP(A493,[1]Detalle!$D$2:$CW$484,98,FALSE)</f>
        <v>CENCO_SJ - Cencosud SA - San Juan</v>
      </c>
    </row>
    <row r="494" spans="1:29" ht="14.25" customHeight="1" x14ac:dyDescent="0.3">
      <c r="A494" s="1" t="s">
        <v>174</v>
      </c>
      <c r="B494" s="1" t="s">
        <v>351</v>
      </c>
      <c r="C494" s="1" t="s">
        <v>415</v>
      </c>
      <c r="D494" s="1" t="s">
        <v>415</v>
      </c>
      <c r="E494" s="1">
        <v>0.25</v>
      </c>
      <c r="F494" s="1" t="s">
        <v>366</v>
      </c>
      <c r="G494" s="6">
        <v>45834</v>
      </c>
      <c r="H494" s="1">
        <v>23886.799999999999</v>
      </c>
      <c r="I494" s="1">
        <v>43886.8</v>
      </c>
      <c r="J494" s="1">
        <v>11552.1</v>
      </c>
      <c r="K494" s="1">
        <v>8447.9000000000033</v>
      </c>
      <c r="L494" s="1">
        <v>35438.899999999987</v>
      </c>
      <c r="M494" s="1">
        <v>113</v>
      </c>
      <c r="N494" s="1">
        <v>71.271935483870948</v>
      </c>
      <c r="O494" s="1">
        <v>82.635425593615068</v>
      </c>
      <c r="P494" s="7">
        <v>45947</v>
      </c>
      <c r="Q494" s="1">
        <v>20000</v>
      </c>
      <c r="R494" s="7">
        <v>46029.635425590277</v>
      </c>
      <c r="S494" s="7">
        <v>46029</v>
      </c>
      <c r="T494" s="7" t="str">
        <f t="shared" si="0"/>
        <v>enero</v>
      </c>
      <c r="U494" s="1" t="s">
        <v>330</v>
      </c>
      <c r="X494" s="1" t="s">
        <v>416</v>
      </c>
      <c r="Y494" s="1" t="s">
        <v>417</v>
      </c>
      <c r="Z494" s="1">
        <v>1</v>
      </c>
      <c r="AA494" s="3">
        <v>37165.919999999998</v>
      </c>
      <c r="AB494" s="3">
        <v>37165.919999999998</v>
      </c>
      <c r="AC494" s="1" t="str">
        <f>VLOOKUP(A494,[1]Detalle!$D$2:$CW$484,98,FALSE)</f>
        <v>Unilever - Unilever de Arg. S.A.</v>
      </c>
    </row>
    <row r="495" spans="1:29" ht="14.25" customHeight="1" x14ac:dyDescent="0.3">
      <c r="A495" s="1" t="s">
        <v>172</v>
      </c>
      <c r="B495" s="1" t="s">
        <v>351</v>
      </c>
      <c r="C495" s="1" t="s">
        <v>415</v>
      </c>
      <c r="D495" s="1" t="s">
        <v>415</v>
      </c>
      <c r="E495" s="1">
        <v>0.25</v>
      </c>
      <c r="F495" s="1" t="s">
        <v>366</v>
      </c>
      <c r="G495" s="1" t="s">
        <v>337</v>
      </c>
      <c r="H495" s="1">
        <v>11346.4</v>
      </c>
      <c r="I495" s="1">
        <v>31346.400000000001</v>
      </c>
      <c r="J495" s="1">
        <v>9575.0499999999993</v>
      </c>
      <c r="K495" s="1">
        <v>10424.950000000001</v>
      </c>
      <c r="L495" s="1">
        <v>20921.45</v>
      </c>
      <c r="M495" s="1">
        <v>243</v>
      </c>
      <c r="N495" s="1">
        <v>35.996428571428567</v>
      </c>
      <c r="O495" s="1">
        <v>264.56915107492921</v>
      </c>
      <c r="P495" s="7">
        <v>45947</v>
      </c>
      <c r="Q495" s="1">
        <v>20000</v>
      </c>
      <c r="R495" s="7">
        <v>46211.569151076394</v>
      </c>
      <c r="S495" s="7">
        <v>46211</v>
      </c>
      <c r="T495" s="7" t="str">
        <f t="shared" si="0"/>
        <v>julio</v>
      </c>
      <c r="U495" s="1" t="s">
        <v>330</v>
      </c>
      <c r="X495" s="1" t="s">
        <v>416</v>
      </c>
      <c r="Y495" s="1" t="s">
        <v>417</v>
      </c>
      <c r="Z495" s="1">
        <v>1</v>
      </c>
      <c r="AA495" s="3">
        <v>37165.919999999998</v>
      </c>
      <c r="AB495" s="3">
        <v>37165.919999999998</v>
      </c>
      <c r="AC495" s="1" t="str">
        <f>VLOOKUP(A495,[1]Detalle!$D$2:$CW$484,98,FALSE)</f>
        <v>CENCO_MZ - Cencosud SA - Mendoza</v>
      </c>
    </row>
    <row r="496" spans="1:29" ht="14.25" customHeight="1" x14ac:dyDescent="0.3">
      <c r="A496" s="1" t="s">
        <v>171</v>
      </c>
      <c r="B496" s="1" t="s">
        <v>351</v>
      </c>
      <c r="C496" s="1" t="s">
        <v>415</v>
      </c>
      <c r="D496" s="1" t="s">
        <v>415</v>
      </c>
      <c r="E496" s="1">
        <v>0.25</v>
      </c>
      <c r="F496" s="1" t="s">
        <v>366</v>
      </c>
      <c r="G496" s="6">
        <v>45835</v>
      </c>
      <c r="H496" s="1">
        <v>34917.800000000003</v>
      </c>
      <c r="I496" s="1">
        <v>54917.8</v>
      </c>
      <c r="J496" s="1">
        <v>14084.2</v>
      </c>
      <c r="K496" s="1">
        <v>5915.7999999999975</v>
      </c>
      <c r="L496" s="1">
        <v>49002.000000000007</v>
      </c>
      <c r="M496" s="1">
        <v>112</v>
      </c>
      <c r="N496" s="1">
        <v>130.96596721311471</v>
      </c>
      <c r="O496" s="1">
        <v>47.04346714758379</v>
      </c>
      <c r="P496" s="7">
        <v>45947</v>
      </c>
      <c r="Q496" s="1">
        <v>20000</v>
      </c>
      <c r="R496" s="7">
        <v>46146.754896122693</v>
      </c>
      <c r="S496" s="7">
        <v>46146</v>
      </c>
      <c r="T496" s="7" t="str">
        <f t="shared" si="0"/>
        <v>mayo</v>
      </c>
      <c r="U496" s="1" t="s">
        <v>330</v>
      </c>
      <c r="X496" s="1" t="s">
        <v>416</v>
      </c>
      <c r="Y496" s="1" t="s">
        <v>417</v>
      </c>
      <c r="Z496" s="1">
        <v>1</v>
      </c>
      <c r="AA496" s="3">
        <v>37165.919999999998</v>
      </c>
      <c r="AB496" s="3">
        <v>37165.919999999998</v>
      </c>
      <c r="AC496" s="1" t="str">
        <f>VLOOKUP(A496,[1]Detalle!$D$2:$CW$484,98,FALSE)</f>
        <v>CENCO_MZ - Cencosud SA - Mendoza</v>
      </c>
    </row>
    <row r="497" spans="1:29" ht="14.25" customHeight="1" x14ac:dyDescent="0.3">
      <c r="A497" s="1" t="s">
        <v>170</v>
      </c>
      <c r="B497" s="1" t="s">
        <v>351</v>
      </c>
      <c r="C497" s="1" t="s">
        <v>415</v>
      </c>
      <c r="D497" s="1" t="s">
        <v>415</v>
      </c>
      <c r="E497" s="1">
        <v>0.25</v>
      </c>
      <c r="F497" s="1" t="s">
        <v>366</v>
      </c>
      <c r="G497" s="6">
        <v>45726</v>
      </c>
      <c r="H497" s="1">
        <v>41546.1</v>
      </c>
      <c r="I497" s="1">
        <v>61546.1</v>
      </c>
      <c r="J497" s="1">
        <v>24274.80000000001</v>
      </c>
      <c r="K497" s="1">
        <v>-4274.8000000000102</v>
      </c>
      <c r="L497" s="1">
        <v>65820.900000000009</v>
      </c>
      <c r="M497" s="1">
        <v>221</v>
      </c>
      <c r="N497" s="1">
        <v>124.4065073529412</v>
      </c>
      <c r="O497" s="1">
        <v>-38.918170283586349</v>
      </c>
      <c r="P497" s="7">
        <v>45947</v>
      </c>
      <c r="Q497" s="1">
        <v>20000</v>
      </c>
      <c r="R497" s="7">
        <v>46107.76329466435</v>
      </c>
      <c r="S497" s="7">
        <v>46107</v>
      </c>
      <c r="T497" s="7" t="str">
        <f t="shared" si="0"/>
        <v>marzo</v>
      </c>
      <c r="U497" s="1" t="s">
        <v>330</v>
      </c>
      <c r="X497" s="1" t="s">
        <v>416</v>
      </c>
      <c r="Y497" s="1" t="s">
        <v>417</v>
      </c>
      <c r="Z497" s="1">
        <v>1</v>
      </c>
      <c r="AA497" s="3">
        <v>37165.919999999998</v>
      </c>
      <c r="AB497" s="3">
        <v>37165.919999999998</v>
      </c>
      <c r="AC497" s="1" t="str">
        <f>VLOOKUP(A497,[1]Detalle!$D$2:$CW$484,98,FALSE)</f>
        <v>SUC_REA - Sucursal Realicó</v>
      </c>
    </row>
    <row r="498" spans="1:29" ht="14.25" customHeight="1" x14ac:dyDescent="0.3">
      <c r="A498" s="1" t="s">
        <v>169</v>
      </c>
      <c r="B498" s="1" t="s">
        <v>351</v>
      </c>
      <c r="C498" s="1" t="s">
        <v>415</v>
      </c>
      <c r="D498" s="1" t="s">
        <v>415</v>
      </c>
      <c r="E498" s="1">
        <v>0.25</v>
      </c>
      <c r="F498" s="1" t="s">
        <v>366</v>
      </c>
      <c r="G498" s="6">
        <v>45751</v>
      </c>
      <c r="H498" s="1">
        <v>477469</v>
      </c>
      <c r="I498" s="1">
        <v>497469</v>
      </c>
      <c r="J498" s="1">
        <v>8637.3999999999978</v>
      </c>
      <c r="K498" s="1">
        <v>11362.6</v>
      </c>
      <c r="L498" s="1">
        <v>486106.4</v>
      </c>
      <c r="M498" s="1">
        <v>196</v>
      </c>
      <c r="N498" s="1">
        <v>40.704758842443738</v>
      </c>
      <c r="O498" s="1">
        <v>257.84027600898429</v>
      </c>
      <c r="P498" s="7">
        <v>45947</v>
      </c>
      <c r="Q498" s="1">
        <v>20000</v>
      </c>
      <c r="R498" s="7">
        <v>46204.840276006937</v>
      </c>
      <c r="S498" s="7">
        <v>46204</v>
      </c>
      <c r="T498" s="7" t="str">
        <f t="shared" si="0"/>
        <v>julio</v>
      </c>
      <c r="U498" s="1" t="s">
        <v>330</v>
      </c>
      <c r="X498" s="1" t="s">
        <v>416</v>
      </c>
      <c r="Y498" s="1" t="s">
        <v>417</v>
      </c>
      <c r="Z498" s="1">
        <v>1</v>
      </c>
      <c r="AA498" s="3">
        <v>37165.919999999998</v>
      </c>
      <c r="AB498" s="3">
        <v>37165.919999999998</v>
      </c>
      <c r="AC498" s="1" t="str">
        <f>VLOOKUP(A498,[1]Detalle!$D$2:$CW$484,98,FALSE)</f>
        <v>CCUCoAZA</v>
      </c>
    </row>
    <row r="499" spans="1:29" ht="14.25" customHeight="1" x14ac:dyDescent="0.3">
      <c r="A499" s="1" t="s">
        <v>168</v>
      </c>
      <c r="B499" s="1" t="s">
        <v>351</v>
      </c>
      <c r="C499" s="1" t="s">
        <v>415</v>
      </c>
      <c r="D499" s="1" t="s">
        <v>415</v>
      </c>
      <c r="E499" s="1">
        <v>0.25</v>
      </c>
      <c r="F499" s="1" t="s">
        <v>366</v>
      </c>
      <c r="G499" s="6">
        <v>45418</v>
      </c>
      <c r="H499" s="1">
        <v>537972</v>
      </c>
      <c r="I499" s="1">
        <v>557972</v>
      </c>
      <c r="J499" s="1">
        <v>40674.07</v>
      </c>
      <c r="K499" s="1">
        <v>-20674.07</v>
      </c>
      <c r="L499" s="1">
        <v>578646.06999999995</v>
      </c>
      <c r="M499" s="1">
        <v>529</v>
      </c>
      <c r="N499" s="1">
        <v>80.547755775577556</v>
      </c>
      <c r="O499" s="1">
        <v>-268.88341958402492</v>
      </c>
      <c r="P499" s="7">
        <v>45947</v>
      </c>
      <c r="Q499" s="1">
        <v>20000</v>
      </c>
      <c r="R499" s="7">
        <v>46195.29990366898</v>
      </c>
      <c r="S499" s="7">
        <v>46195</v>
      </c>
      <c r="T499" s="7" t="str">
        <f t="shared" si="0"/>
        <v>junio</v>
      </c>
      <c r="U499" s="1" t="s">
        <v>330</v>
      </c>
      <c r="X499" s="1" t="s">
        <v>416</v>
      </c>
      <c r="Y499" s="1" t="s">
        <v>417</v>
      </c>
      <c r="Z499" s="1">
        <v>1</v>
      </c>
      <c r="AA499" s="3">
        <v>37165.919999999998</v>
      </c>
      <c r="AB499" s="3">
        <v>37165.919999999998</v>
      </c>
      <c r="AC499" s="1" t="str">
        <f>VLOOKUP(A499,[1]Detalle!$D$2:$CW$484,98,FALSE)</f>
        <v>Unilever - Unilever de Arg. S.A.</v>
      </c>
    </row>
    <row r="500" spans="1:29" ht="14.25" customHeight="1" x14ac:dyDescent="0.3">
      <c r="A500" s="1" t="s">
        <v>167</v>
      </c>
      <c r="B500" s="1" t="s">
        <v>351</v>
      </c>
      <c r="C500" s="1" t="s">
        <v>415</v>
      </c>
      <c r="D500" s="1" t="s">
        <v>415</v>
      </c>
      <c r="E500" s="1">
        <v>0.25</v>
      </c>
      <c r="F500" s="1" t="s">
        <v>366</v>
      </c>
      <c r="G500" s="6">
        <v>45833</v>
      </c>
      <c r="H500" s="1">
        <v>693855</v>
      </c>
      <c r="I500" s="1">
        <v>713855</v>
      </c>
      <c r="J500" s="1">
        <v>5947.7000000000025</v>
      </c>
      <c r="K500" s="1">
        <v>14052.3</v>
      </c>
      <c r="L500" s="1">
        <v>699802.7</v>
      </c>
      <c r="M500" s="1">
        <v>114</v>
      </c>
      <c r="N500" s="1">
        <v>54.087953795379541</v>
      </c>
      <c r="O500" s="1">
        <v>269.34145972392668</v>
      </c>
      <c r="P500" s="7">
        <v>45947</v>
      </c>
      <c r="Q500" s="1">
        <v>20000</v>
      </c>
      <c r="R500" s="7">
        <v>46216.341459722222</v>
      </c>
      <c r="S500" s="7">
        <v>46216</v>
      </c>
      <c r="T500" s="7" t="str">
        <f t="shared" si="0"/>
        <v>julio</v>
      </c>
      <c r="U500" s="1" t="s">
        <v>330</v>
      </c>
      <c r="X500" s="1" t="s">
        <v>416</v>
      </c>
      <c r="Y500" s="1" t="s">
        <v>417</v>
      </c>
      <c r="Z500" s="1">
        <v>1</v>
      </c>
      <c r="AA500" s="3">
        <v>37165.919999999998</v>
      </c>
      <c r="AB500" s="3">
        <v>37165.919999999998</v>
      </c>
      <c r="AC500" s="1" t="str">
        <f>VLOOKUP(A500,[1]Detalle!$D$2:$CW$484,98,FALSE)</f>
        <v>Papelera - Papelera del Plata S.A.</v>
      </c>
    </row>
    <row r="501" spans="1:29" ht="14.25" customHeight="1" x14ac:dyDescent="0.3">
      <c r="A501" s="1" t="s">
        <v>166</v>
      </c>
      <c r="B501" s="1" t="s">
        <v>351</v>
      </c>
      <c r="C501" s="1" t="s">
        <v>415</v>
      </c>
      <c r="D501" s="1" t="s">
        <v>415</v>
      </c>
      <c r="E501" s="1">
        <v>0.25</v>
      </c>
      <c r="F501" s="1" t="s">
        <v>366</v>
      </c>
      <c r="G501" s="6">
        <v>45737</v>
      </c>
      <c r="H501" s="1">
        <v>457869</v>
      </c>
      <c r="I501" s="1">
        <v>477869</v>
      </c>
      <c r="J501" s="1">
        <v>9177.2000000000044</v>
      </c>
      <c r="K501" s="1">
        <v>10822.8</v>
      </c>
      <c r="L501" s="1">
        <v>467046.2</v>
      </c>
      <c r="M501" s="1">
        <v>210</v>
      </c>
      <c r="N501" s="1">
        <v>39.232829581993563</v>
      </c>
      <c r="O501" s="1">
        <v>247.65592991326309</v>
      </c>
      <c r="P501" s="7">
        <v>45947</v>
      </c>
      <c r="Q501" s="1">
        <v>20000</v>
      </c>
      <c r="R501" s="7">
        <v>46194.655929918983</v>
      </c>
      <c r="S501" s="7">
        <v>46194</v>
      </c>
      <c r="T501" s="7" t="str">
        <f t="shared" si="0"/>
        <v>junio</v>
      </c>
      <c r="U501" s="1" t="s">
        <v>330</v>
      </c>
      <c r="X501" s="1" t="s">
        <v>416</v>
      </c>
      <c r="Y501" s="1" t="s">
        <v>417</v>
      </c>
      <c r="Z501" s="1">
        <v>1</v>
      </c>
      <c r="AA501" s="3">
        <v>37165.919999999998</v>
      </c>
      <c r="AB501" s="3">
        <v>37165.919999999998</v>
      </c>
      <c r="AC501" s="1" t="str">
        <f>VLOOKUP(A501,[1]Detalle!$D$2:$CW$484,98,FALSE)</f>
        <v>CCUCoAZA</v>
      </c>
    </row>
    <row r="502" spans="1:29" ht="14.25" customHeight="1" x14ac:dyDescent="0.3">
      <c r="A502" s="1" t="s">
        <v>165</v>
      </c>
      <c r="B502" s="1" t="s">
        <v>351</v>
      </c>
      <c r="C502" s="1" t="s">
        <v>415</v>
      </c>
      <c r="D502" s="1" t="s">
        <v>415</v>
      </c>
      <c r="E502" s="1">
        <v>0.25</v>
      </c>
      <c r="F502" s="1" t="s">
        <v>366</v>
      </c>
      <c r="G502" s="6">
        <v>45825</v>
      </c>
      <c r="H502" s="1">
        <v>860822</v>
      </c>
      <c r="I502" s="1">
        <v>880822</v>
      </c>
      <c r="J502" s="1">
        <v>4797.9999999999991</v>
      </c>
      <c r="K502" s="1">
        <v>15202</v>
      </c>
      <c r="L502" s="1">
        <v>865620</v>
      </c>
      <c r="M502" s="1">
        <v>122</v>
      </c>
      <c r="N502" s="1">
        <v>70.738193548387088</v>
      </c>
      <c r="O502" s="1">
        <v>386.54522717799091</v>
      </c>
      <c r="P502" s="7">
        <v>45947</v>
      </c>
      <c r="Q502" s="1">
        <v>20000</v>
      </c>
      <c r="R502" s="7">
        <v>46333.545227175928</v>
      </c>
      <c r="S502" s="7">
        <v>46333</v>
      </c>
      <c r="T502" s="7" t="str">
        <f t="shared" si="0"/>
        <v>noviembre</v>
      </c>
      <c r="U502" s="1" t="s">
        <v>330</v>
      </c>
      <c r="X502" s="1" t="s">
        <v>416</v>
      </c>
      <c r="Y502" s="1" t="s">
        <v>417</v>
      </c>
      <c r="Z502" s="1">
        <v>1</v>
      </c>
      <c r="AA502" s="3">
        <v>37165.919999999998</v>
      </c>
      <c r="AB502" s="3">
        <v>37165.919999999998</v>
      </c>
      <c r="AC502" s="1" t="str">
        <f>VLOOKUP(A502,[1]Detalle!$D$2:$CW$484,98,FALSE)</f>
        <v>Papelera - Papelera del Plata S.A.</v>
      </c>
    </row>
    <row r="503" spans="1:29" ht="14.25" customHeight="1" x14ac:dyDescent="0.3">
      <c r="A503" s="1" t="s">
        <v>152</v>
      </c>
      <c r="B503" s="1" t="s">
        <v>351</v>
      </c>
      <c r="C503" s="1" t="s">
        <v>415</v>
      </c>
      <c r="D503" s="1" t="s">
        <v>415</v>
      </c>
      <c r="E503" s="1">
        <v>0.25</v>
      </c>
      <c r="F503" s="1" t="s">
        <v>366</v>
      </c>
      <c r="G503" s="6">
        <v>45845</v>
      </c>
      <c r="H503" s="1">
        <v>958885</v>
      </c>
      <c r="I503" s="1">
        <v>978885</v>
      </c>
      <c r="J503" s="1">
        <v>14167.3</v>
      </c>
      <c r="K503" s="1">
        <v>5832.7000000000044</v>
      </c>
      <c r="L503" s="1">
        <v>973052.3</v>
      </c>
      <c r="M503" s="1">
        <v>102</v>
      </c>
      <c r="N503" s="1">
        <v>132.10963696369629</v>
      </c>
      <c r="O503" s="1">
        <v>41.993562640729053</v>
      </c>
      <c r="P503" s="7">
        <v>45947</v>
      </c>
      <c r="Q503" s="1">
        <v>20000</v>
      </c>
      <c r="R503" s="7">
        <v>46140.382972673608</v>
      </c>
      <c r="S503" s="7">
        <v>46140</v>
      </c>
      <c r="T503" s="7" t="str">
        <f t="shared" si="0"/>
        <v>abril</v>
      </c>
      <c r="U503" s="1" t="s">
        <v>330</v>
      </c>
      <c r="X503" s="1" t="s">
        <v>416</v>
      </c>
      <c r="Y503" s="1" t="s">
        <v>417</v>
      </c>
      <c r="Z503" s="1">
        <v>1</v>
      </c>
      <c r="AA503" s="3">
        <v>37165.919999999998</v>
      </c>
      <c r="AB503" s="3">
        <v>37165.919999999998</v>
      </c>
      <c r="AC503" s="1" t="str">
        <f>VLOOKUP(A503,[1]Detalle!$D$2:$CW$484,98,FALSE)</f>
        <v>SUC_REA - Sucursal Realicó</v>
      </c>
    </row>
    <row r="504" spans="1:29" ht="14.25" customHeight="1" x14ac:dyDescent="0.3">
      <c r="A504" s="1" t="s">
        <v>150</v>
      </c>
      <c r="B504" s="1" t="s">
        <v>351</v>
      </c>
      <c r="C504" s="1" t="s">
        <v>415</v>
      </c>
      <c r="D504" s="1" t="s">
        <v>415</v>
      </c>
      <c r="E504" s="1">
        <v>0.25</v>
      </c>
      <c r="F504" s="1" t="s">
        <v>366</v>
      </c>
      <c r="G504" s="6">
        <v>45905</v>
      </c>
      <c r="H504" s="1">
        <v>733433</v>
      </c>
      <c r="I504" s="1">
        <v>753433</v>
      </c>
      <c r="J504" s="1">
        <v>2805.7</v>
      </c>
      <c r="K504" s="1">
        <v>17194.3</v>
      </c>
      <c r="L504" s="1">
        <v>736238.7</v>
      </c>
      <c r="M504" s="1">
        <v>42</v>
      </c>
      <c r="N504" s="1">
        <v>143.50707395498381</v>
      </c>
      <c r="O504" s="1">
        <v>257.39052642834241</v>
      </c>
      <c r="P504" s="7">
        <v>45947</v>
      </c>
      <c r="Q504" s="1">
        <v>20000</v>
      </c>
      <c r="R504" s="7">
        <v>46204.390526423609</v>
      </c>
      <c r="S504" s="7">
        <v>46204</v>
      </c>
      <c r="T504" s="7" t="str">
        <f t="shared" si="0"/>
        <v>julio</v>
      </c>
      <c r="U504" s="1" t="s">
        <v>330</v>
      </c>
      <c r="X504" s="1" t="s">
        <v>416</v>
      </c>
      <c r="Y504" s="1" t="s">
        <v>417</v>
      </c>
      <c r="Z504" s="1">
        <v>1</v>
      </c>
      <c r="AA504" s="3">
        <v>37165.919999999998</v>
      </c>
      <c r="AB504" s="3">
        <v>37165.919999999998</v>
      </c>
      <c r="AC504" s="1" t="str">
        <f>VLOOKUP(A504,[1]Detalle!$D$2:$CW$484,98,FALSE)</f>
        <v>Papelera - Papelera del Plata S.A.</v>
      </c>
    </row>
    <row r="505" spans="1:29" ht="14.25" customHeight="1" x14ac:dyDescent="0.3">
      <c r="A505" s="1" t="s">
        <v>132</v>
      </c>
      <c r="B505" s="1">
        <v>1620</v>
      </c>
      <c r="C505" s="1" t="s">
        <v>418</v>
      </c>
      <c r="D505" s="1" t="s">
        <v>415</v>
      </c>
      <c r="E505" s="1">
        <v>0.25</v>
      </c>
      <c r="F505" s="1" t="s">
        <v>366</v>
      </c>
      <c r="G505" s="6">
        <v>45546</v>
      </c>
      <c r="H505" s="1">
        <v>235609</v>
      </c>
      <c r="I505" s="1">
        <v>255609</v>
      </c>
      <c r="J505" s="1">
        <v>21825.48</v>
      </c>
      <c r="K505" s="1">
        <v>-1825.4799999999959</v>
      </c>
      <c r="L505" s="1">
        <v>257434.48</v>
      </c>
      <c r="M505" s="1">
        <v>401</v>
      </c>
      <c r="N505" s="1">
        <v>61.857388059701528</v>
      </c>
      <c r="O505" s="1">
        <v>-33.539582176428581</v>
      </c>
      <c r="P505" s="7">
        <v>45947</v>
      </c>
      <c r="Q505" s="1">
        <v>20000</v>
      </c>
      <c r="R505" s="7">
        <v>46270.3243534375</v>
      </c>
      <c r="S505" s="7">
        <v>46270</v>
      </c>
      <c r="T505" s="7" t="str">
        <f t="shared" si="0"/>
        <v>septiembre</v>
      </c>
      <c r="U505" s="1" t="s">
        <v>330</v>
      </c>
      <c r="X505" s="1" t="s">
        <v>419</v>
      </c>
      <c r="Y505" s="1" t="s">
        <v>420</v>
      </c>
      <c r="Z505" s="1">
        <v>1</v>
      </c>
      <c r="AA505" s="3">
        <v>42474.239999999998</v>
      </c>
      <c r="AB505" s="3">
        <v>42474.239999999998</v>
      </c>
      <c r="AC505" s="1" t="str">
        <f>VLOOKUP(A505,[1]Detalle!$D$2:$CW$484,98,FALSE)</f>
        <v>Unilever - Unilever de Arg. S.A.</v>
      </c>
    </row>
    <row r="506" spans="1:29" ht="14.25" customHeight="1" x14ac:dyDescent="0.3">
      <c r="A506" s="1" t="s">
        <v>129</v>
      </c>
      <c r="B506" s="1">
        <v>1620</v>
      </c>
      <c r="C506" s="1" t="s">
        <v>418</v>
      </c>
      <c r="D506" s="1" t="s">
        <v>415</v>
      </c>
      <c r="E506" s="1">
        <v>0.25</v>
      </c>
      <c r="F506" s="1" t="s">
        <v>366</v>
      </c>
      <c r="G506" s="6">
        <v>45882</v>
      </c>
      <c r="H506" s="1">
        <v>289935</v>
      </c>
      <c r="I506" s="1">
        <v>309935</v>
      </c>
      <c r="J506" s="1">
        <v>2579.900000000001</v>
      </c>
      <c r="K506" s="1">
        <v>17420.099999999999</v>
      </c>
      <c r="L506" s="1">
        <v>292514.90000000002</v>
      </c>
      <c r="M506" s="1">
        <v>65</v>
      </c>
      <c r="N506" s="1">
        <v>56.324626865671632</v>
      </c>
      <c r="O506" s="1">
        <v>438.89549982557452</v>
      </c>
      <c r="P506" s="7">
        <v>45947</v>
      </c>
      <c r="Q506" s="1">
        <v>20000</v>
      </c>
      <c r="R506" s="7">
        <v>46247</v>
      </c>
      <c r="S506" s="7">
        <v>46247</v>
      </c>
      <c r="T506" s="7" t="str">
        <f t="shared" si="0"/>
        <v>agosto</v>
      </c>
      <c r="U506" s="1" t="s">
        <v>330</v>
      </c>
      <c r="X506" s="1" t="s">
        <v>419</v>
      </c>
      <c r="Y506" s="1" t="s">
        <v>420</v>
      </c>
      <c r="Z506" s="1">
        <v>1</v>
      </c>
      <c r="AA506" s="3">
        <v>42474.239999999998</v>
      </c>
      <c r="AB506" s="3">
        <v>42474.239999999998</v>
      </c>
      <c r="AC506" s="1" t="str">
        <f>VLOOKUP(A506,[1]Detalle!$D$2:$CW$484,98,FALSE)</f>
        <v>Alfavinil SA</v>
      </c>
    </row>
    <row r="507" spans="1:29" ht="14.25" customHeight="1" x14ac:dyDescent="0.3">
      <c r="A507" s="1" t="s">
        <v>128</v>
      </c>
      <c r="B507" s="1">
        <v>1620</v>
      </c>
      <c r="C507" s="1" t="s">
        <v>418</v>
      </c>
      <c r="D507" s="1" t="s">
        <v>415</v>
      </c>
      <c r="E507" s="1">
        <v>0.25</v>
      </c>
      <c r="F507" s="1" t="s">
        <v>366</v>
      </c>
      <c r="G507" s="6">
        <v>45743</v>
      </c>
      <c r="H507" s="1">
        <v>315257</v>
      </c>
      <c r="I507" s="1">
        <v>335257</v>
      </c>
      <c r="J507" s="1">
        <v>0</v>
      </c>
      <c r="K507" s="1">
        <v>20000</v>
      </c>
      <c r="L507" s="1">
        <v>315257</v>
      </c>
      <c r="M507" s="1">
        <v>204</v>
      </c>
      <c r="N507" s="1">
        <v>4.0251111111111113</v>
      </c>
      <c r="O507" s="1">
        <v>200</v>
      </c>
      <c r="P507" s="7">
        <v>45947</v>
      </c>
      <c r="Q507" s="1">
        <v>20000</v>
      </c>
      <c r="R507" s="7">
        <v>46147</v>
      </c>
      <c r="S507" s="7">
        <v>46147</v>
      </c>
      <c r="T507" s="7" t="str">
        <f t="shared" si="0"/>
        <v>mayo</v>
      </c>
      <c r="U507" s="1" t="s">
        <v>330</v>
      </c>
      <c r="X507" s="1" t="s">
        <v>419</v>
      </c>
      <c r="Y507" s="1" t="s">
        <v>420</v>
      </c>
      <c r="Z507" s="1">
        <v>1</v>
      </c>
      <c r="AA507" s="3">
        <v>42474.239999999998</v>
      </c>
      <c r="AB507" s="3">
        <v>42474.239999999998</v>
      </c>
      <c r="AC507" s="1" t="str">
        <f>VLOOKUP(A507,[1]Detalle!$D$2:$CW$484,98,FALSE)</f>
        <v>Arcor S.A.I.C.</v>
      </c>
    </row>
    <row r="508" spans="1:29" ht="14.25" customHeight="1" x14ac:dyDescent="0.3">
      <c r="A508" s="1" t="s">
        <v>127</v>
      </c>
      <c r="B508" s="1">
        <v>1620</v>
      </c>
      <c r="C508" s="1" t="s">
        <v>418</v>
      </c>
      <c r="D508" s="1" t="s">
        <v>415</v>
      </c>
      <c r="E508" s="1">
        <v>0.25</v>
      </c>
      <c r="F508" s="1" t="s">
        <v>366</v>
      </c>
      <c r="G508" s="6">
        <v>45449</v>
      </c>
      <c r="H508" s="1">
        <v>384179.04200000002</v>
      </c>
      <c r="I508" s="1">
        <v>404179.04200000002</v>
      </c>
      <c r="J508" s="1">
        <v>14668.800000000019</v>
      </c>
      <c r="K508" s="1">
        <v>5331.1999999999834</v>
      </c>
      <c r="L508" s="1">
        <v>398847.84200000012</v>
      </c>
      <c r="M508" s="1">
        <v>498</v>
      </c>
      <c r="N508" s="1">
        <v>60</v>
      </c>
      <c r="O508" s="1">
        <v>180.99214659685779</v>
      </c>
      <c r="P508" s="7">
        <v>45947</v>
      </c>
      <c r="Q508" s="1">
        <v>20000</v>
      </c>
      <c r="R508" s="7">
        <v>46280.333333333343</v>
      </c>
      <c r="S508" s="7">
        <v>46280</v>
      </c>
      <c r="T508" s="7" t="str">
        <f t="shared" si="0"/>
        <v>septiembre</v>
      </c>
      <c r="U508" s="1" t="s">
        <v>330</v>
      </c>
      <c r="X508" s="1" t="s">
        <v>419</v>
      </c>
      <c r="Y508" s="1" t="s">
        <v>420</v>
      </c>
      <c r="Z508" s="1">
        <v>1</v>
      </c>
      <c r="AA508" s="3">
        <v>42474.239999999998</v>
      </c>
      <c r="AB508" s="3">
        <v>42474.239999999998</v>
      </c>
      <c r="AC508" s="1" t="str">
        <f>VLOOKUP(A508,[1]Detalle!$D$2:$CW$484,98,FALSE)</f>
        <v>Sin Operación</v>
      </c>
    </row>
    <row r="509" spans="1:29" ht="14.25" customHeight="1" x14ac:dyDescent="0.3">
      <c r="A509" s="1" t="s">
        <v>123</v>
      </c>
      <c r="B509" s="1">
        <v>1620</v>
      </c>
      <c r="C509" s="1" t="s">
        <v>418</v>
      </c>
      <c r="D509" s="1" t="s">
        <v>415</v>
      </c>
      <c r="E509" s="1">
        <v>0.25</v>
      </c>
      <c r="F509" s="1" t="s">
        <v>366</v>
      </c>
      <c r="G509" s="1" t="s">
        <v>337</v>
      </c>
      <c r="N509" s="1">
        <v>96.824519230769212</v>
      </c>
      <c r="P509" s="7">
        <v>45947</v>
      </c>
      <c r="Q509" s="1">
        <v>20000</v>
      </c>
      <c r="R509" s="7">
        <v>46153.55924923611</v>
      </c>
      <c r="S509" s="7">
        <v>46153</v>
      </c>
      <c r="T509" s="7" t="str">
        <f t="shared" si="0"/>
        <v>mayo</v>
      </c>
      <c r="U509" s="1" t="s">
        <v>330</v>
      </c>
      <c r="X509" s="1" t="s">
        <v>419</v>
      </c>
      <c r="Y509" s="1" t="s">
        <v>420</v>
      </c>
      <c r="Z509" s="1">
        <v>1</v>
      </c>
      <c r="AA509" s="3">
        <v>42474.239999999998</v>
      </c>
      <c r="AB509" s="3">
        <v>42474.239999999998</v>
      </c>
      <c r="AC509" s="1" t="str">
        <f>VLOOKUP(A509,[1]Detalle!$D$2:$CW$484,98,FALSE)</f>
        <v>SUC_SRA - Sucursal San Rafael</v>
      </c>
    </row>
    <row r="510" spans="1:29" ht="14.25" customHeight="1" x14ac:dyDescent="0.3">
      <c r="A510" s="1" t="s">
        <v>119</v>
      </c>
      <c r="B510" s="1">
        <v>1620</v>
      </c>
      <c r="C510" s="1" t="s">
        <v>418</v>
      </c>
      <c r="D510" s="1" t="s">
        <v>415</v>
      </c>
      <c r="E510" s="1">
        <v>0.25</v>
      </c>
      <c r="F510" s="1" t="s">
        <v>366</v>
      </c>
      <c r="G510" s="6">
        <v>45831</v>
      </c>
      <c r="H510" s="1">
        <v>358562</v>
      </c>
      <c r="I510" s="1">
        <v>378562</v>
      </c>
      <c r="J510" s="1">
        <v>10154.9</v>
      </c>
      <c r="K510" s="1">
        <v>9845.1</v>
      </c>
      <c r="L510" s="1">
        <v>368716.9</v>
      </c>
      <c r="M510" s="1">
        <v>116</v>
      </c>
      <c r="N510" s="1">
        <v>95.559666666666672</v>
      </c>
      <c r="O510" s="1">
        <v>112.461136988055</v>
      </c>
      <c r="P510" s="7">
        <v>45947</v>
      </c>
      <c r="Q510" s="1">
        <v>20000</v>
      </c>
      <c r="R510" s="7">
        <v>46059.461136990743</v>
      </c>
      <c r="S510" s="7">
        <v>46059</v>
      </c>
      <c r="T510" s="7" t="str">
        <f t="shared" si="0"/>
        <v>febrero</v>
      </c>
      <c r="U510" s="1" t="s">
        <v>330</v>
      </c>
      <c r="X510" s="1" t="s">
        <v>419</v>
      </c>
      <c r="Y510" s="1" t="s">
        <v>420</v>
      </c>
      <c r="Z510" s="1">
        <v>1</v>
      </c>
      <c r="AA510" s="3">
        <v>42474.239999999998</v>
      </c>
      <c r="AB510" s="3">
        <v>42474.239999999998</v>
      </c>
      <c r="AC510" s="1" t="str">
        <f>VLOOKUP(A510,[1]Detalle!$D$2:$CW$484,98,FALSE)</f>
        <v>SUC_CTC - Sucursal Buenos Aires</v>
      </c>
    </row>
    <row r="511" spans="1:29" ht="14.25" customHeight="1" x14ac:dyDescent="0.3">
      <c r="A511" s="1" t="s">
        <v>163</v>
      </c>
      <c r="B511" s="1">
        <v>1624</v>
      </c>
      <c r="C511" s="1" t="s">
        <v>418</v>
      </c>
      <c r="D511" s="1" t="s">
        <v>415</v>
      </c>
      <c r="E511" s="1">
        <v>0.25</v>
      </c>
      <c r="F511" s="1" t="s">
        <v>366</v>
      </c>
      <c r="G511" s="6">
        <v>45845</v>
      </c>
      <c r="H511" s="1">
        <v>656303</v>
      </c>
      <c r="I511" s="1">
        <v>676303</v>
      </c>
      <c r="J511" s="1">
        <v>6490.9999999999991</v>
      </c>
      <c r="K511" s="1">
        <v>13509</v>
      </c>
      <c r="L511" s="1">
        <v>662794</v>
      </c>
      <c r="M511" s="1">
        <v>102</v>
      </c>
      <c r="N511" s="1">
        <v>93.110293159609114</v>
      </c>
      <c r="O511" s="1">
        <v>212.28131258665849</v>
      </c>
      <c r="P511" s="7">
        <v>45947</v>
      </c>
      <c r="Q511" s="1">
        <v>20000</v>
      </c>
      <c r="R511" s="7">
        <v>46159.281312581021</v>
      </c>
      <c r="S511" s="7">
        <v>46159</v>
      </c>
      <c r="T511" s="7" t="str">
        <f t="shared" si="0"/>
        <v>mayo</v>
      </c>
      <c r="U511" s="1" t="s">
        <v>330</v>
      </c>
      <c r="X511" s="1" t="s">
        <v>419</v>
      </c>
      <c r="Y511" s="1" t="s">
        <v>420</v>
      </c>
      <c r="Z511" s="1">
        <v>1</v>
      </c>
      <c r="AA511" s="3">
        <v>42474.239999999998</v>
      </c>
      <c r="AB511" s="3">
        <v>42474.239999999998</v>
      </c>
      <c r="AC511" s="1" t="str">
        <f>VLOOKUP(A511,[1]Detalle!$D$2:$CW$484,98,FALSE)</f>
        <v>Unilever - Unilever de Arg. S.A.</v>
      </c>
    </row>
    <row r="512" spans="1:29" ht="14.25" customHeight="1" x14ac:dyDescent="0.3">
      <c r="A512" s="1" t="s">
        <v>162</v>
      </c>
      <c r="B512" s="1">
        <v>1624</v>
      </c>
      <c r="C512" s="1" t="s">
        <v>418</v>
      </c>
      <c r="D512" s="1" t="s">
        <v>415</v>
      </c>
      <c r="E512" s="1">
        <v>0.25</v>
      </c>
      <c r="F512" s="1" t="s">
        <v>366</v>
      </c>
      <c r="G512" s="6">
        <v>45623</v>
      </c>
      <c r="H512" s="1">
        <v>6340</v>
      </c>
      <c r="I512" s="1">
        <v>26340</v>
      </c>
      <c r="J512" s="1">
        <v>9804.4500000000044</v>
      </c>
      <c r="K512" s="1">
        <v>10195.549999999999</v>
      </c>
      <c r="L512" s="1">
        <v>16144.45</v>
      </c>
      <c r="M512" s="1">
        <v>324</v>
      </c>
      <c r="N512" s="1">
        <v>31.374080882352938</v>
      </c>
      <c r="O512" s="1">
        <v>336.92437617612381</v>
      </c>
      <c r="P512" s="7">
        <v>45947</v>
      </c>
      <c r="Q512" s="1">
        <v>20000</v>
      </c>
      <c r="R512" s="7">
        <v>46283.924376180563</v>
      </c>
      <c r="S512" s="7">
        <v>46283</v>
      </c>
      <c r="T512" s="7" t="str">
        <f t="shared" si="0"/>
        <v>septiembre</v>
      </c>
      <c r="U512" s="1" t="s">
        <v>330</v>
      </c>
      <c r="X512" s="1" t="s">
        <v>419</v>
      </c>
      <c r="Y512" s="1" t="s">
        <v>420</v>
      </c>
      <c r="Z512" s="1">
        <v>1</v>
      </c>
      <c r="AA512" s="3">
        <v>42474.239999999998</v>
      </c>
      <c r="AB512" s="3">
        <v>42474.239999999998</v>
      </c>
      <c r="AC512" s="1" t="str">
        <f>VLOOKUP(A512,[1]Detalle!$D$2:$CW$484,98,FALSE)</f>
        <v>SUC_SRA - Sucursal San Rafael</v>
      </c>
    </row>
    <row r="513" spans="1:29" ht="14.25" customHeight="1" x14ac:dyDescent="0.3">
      <c r="A513" s="1" t="s">
        <v>161</v>
      </c>
      <c r="B513" s="1">
        <v>1624</v>
      </c>
      <c r="C513" s="1" t="s">
        <v>418</v>
      </c>
      <c r="D513" s="1" t="s">
        <v>415</v>
      </c>
      <c r="E513" s="1">
        <v>0.25</v>
      </c>
      <c r="F513" s="1" t="s">
        <v>366</v>
      </c>
      <c r="G513" s="6">
        <v>45820</v>
      </c>
      <c r="H513" s="1">
        <v>657691</v>
      </c>
      <c r="I513" s="1">
        <v>677691</v>
      </c>
      <c r="J513" s="1">
        <v>12543.4</v>
      </c>
      <c r="K513" s="1">
        <v>7456.6000000000022</v>
      </c>
      <c r="L513" s="1">
        <v>670234.4</v>
      </c>
      <c r="M513" s="1">
        <v>127</v>
      </c>
      <c r="N513" s="1">
        <v>112.4813870967742</v>
      </c>
      <c r="O513" s="1">
        <v>75.496930656759758</v>
      </c>
      <c r="P513" s="7">
        <v>45947</v>
      </c>
      <c r="Q513" s="1">
        <v>20000</v>
      </c>
      <c r="R513" s="7">
        <v>46200.304126284733</v>
      </c>
      <c r="S513" s="7">
        <v>46200</v>
      </c>
      <c r="T513" s="7" t="str">
        <f t="shared" si="0"/>
        <v>junio</v>
      </c>
      <c r="U513" s="1" t="s">
        <v>330</v>
      </c>
      <c r="X513" s="1" t="s">
        <v>419</v>
      </c>
      <c r="Y513" s="1" t="s">
        <v>420</v>
      </c>
      <c r="Z513" s="1">
        <v>1</v>
      </c>
      <c r="AA513" s="3">
        <v>42474.239999999998</v>
      </c>
      <c r="AB513" s="3">
        <v>42474.239999999998</v>
      </c>
      <c r="AC513" s="1" t="str">
        <f>VLOOKUP(A513,[1]Detalle!$D$2:$CW$484,98,FALSE)</f>
        <v>Unilever - Unilever de Arg. S.A.</v>
      </c>
    </row>
    <row r="514" spans="1:29" ht="14.25" customHeight="1" x14ac:dyDescent="0.3">
      <c r="A514" s="1" t="s">
        <v>160</v>
      </c>
      <c r="B514" s="1">
        <v>1624</v>
      </c>
      <c r="C514" s="1" t="s">
        <v>418</v>
      </c>
      <c r="D514" s="1" t="s">
        <v>415</v>
      </c>
      <c r="E514" s="1">
        <v>0.25</v>
      </c>
      <c r="F514" s="1" t="s">
        <v>366</v>
      </c>
      <c r="G514" s="6">
        <v>45748</v>
      </c>
      <c r="H514" s="1">
        <v>10362</v>
      </c>
      <c r="I514" s="1">
        <v>30362</v>
      </c>
      <c r="J514" s="1">
        <v>12667.1</v>
      </c>
      <c r="K514" s="1">
        <v>7332.9000000000005</v>
      </c>
      <c r="L514" s="1">
        <v>23029.1</v>
      </c>
      <c r="M514" s="1">
        <v>199</v>
      </c>
      <c r="N514" s="1">
        <v>53.990801282051272</v>
      </c>
      <c r="O514" s="1">
        <v>115.1997773760372</v>
      </c>
      <c r="P514" s="7">
        <v>45947</v>
      </c>
      <c r="Q514" s="1">
        <v>20000</v>
      </c>
      <c r="R514" s="7">
        <v>46062.199777372683</v>
      </c>
      <c r="S514" s="7">
        <v>46062</v>
      </c>
      <c r="T514" s="7" t="str">
        <f t="shared" si="0"/>
        <v>febrero</v>
      </c>
      <c r="U514" s="1" t="s">
        <v>330</v>
      </c>
      <c r="X514" s="1" t="s">
        <v>419</v>
      </c>
      <c r="Y514" s="1" t="s">
        <v>420</v>
      </c>
      <c r="Z514" s="1">
        <v>1</v>
      </c>
      <c r="AA514" s="3">
        <v>42474.239999999998</v>
      </c>
      <c r="AB514" s="3">
        <v>42474.239999999998</v>
      </c>
      <c r="AC514" s="1" t="str">
        <f>VLOOKUP(A514,[1]Detalle!$D$2:$CW$484,98,FALSE)</f>
        <v>CENCO_SJ - Cencosud SA - San Juan</v>
      </c>
    </row>
    <row r="515" spans="1:29" ht="14.25" customHeight="1" x14ac:dyDescent="0.3">
      <c r="A515" s="1" t="s">
        <v>159</v>
      </c>
      <c r="B515" s="1">
        <v>1624</v>
      </c>
      <c r="C515" s="1" t="s">
        <v>418</v>
      </c>
      <c r="D515" s="1" t="s">
        <v>415</v>
      </c>
      <c r="E515" s="1">
        <v>0.25</v>
      </c>
      <c r="F515" s="1" t="s">
        <v>366</v>
      </c>
      <c r="G515" s="6">
        <v>45825</v>
      </c>
      <c r="H515" s="1">
        <v>809565</v>
      </c>
      <c r="I515" s="1">
        <v>829565</v>
      </c>
      <c r="J515" s="1">
        <v>8970.2999999999993</v>
      </c>
      <c r="K515" s="1">
        <v>11029.7</v>
      </c>
      <c r="L515" s="1">
        <v>818535.3</v>
      </c>
      <c r="M515" s="1">
        <v>122</v>
      </c>
      <c r="N515" s="1">
        <v>63.369638157894727</v>
      </c>
      <c r="O515" s="1">
        <v>150.00873995295589</v>
      </c>
      <c r="P515" s="7">
        <v>45947</v>
      </c>
      <c r="Q515" s="1">
        <v>20000</v>
      </c>
      <c r="R515" s="7">
        <v>46097.008739953701</v>
      </c>
      <c r="S515" s="7">
        <v>46097</v>
      </c>
      <c r="T515" s="7" t="str">
        <f t="shared" si="0"/>
        <v>marzo</v>
      </c>
      <c r="U515" s="1" t="s">
        <v>330</v>
      </c>
      <c r="X515" s="1" t="s">
        <v>419</v>
      </c>
      <c r="Y515" s="1" t="s">
        <v>420</v>
      </c>
      <c r="Z515" s="1">
        <v>1</v>
      </c>
      <c r="AA515" s="3">
        <v>42474.239999999998</v>
      </c>
      <c r="AB515" s="3">
        <v>42474.239999999998</v>
      </c>
      <c r="AC515" s="1" t="str">
        <f>VLOOKUP(A515,[1]Detalle!$D$2:$CW$484,98,FALSE)</f>
        <v>Papelera - Papelera del Plata S.A.</v>
      </c>
    </row>
    <row r="516" spans="1:29" ht="14.25" customHeight="1" x14ac:dyDescent="0.3">
      <c r="A516" s="1" t="s">
        <v>158</v>
      </c>
      <c r="B516" s="1">
        <v>1624</v>
      </c>
      <c r="C516" s="1" t="s">
        <v>418</v>
      </c>
      <c r="D516" s="1" t="s">
        <v>415</v>
      </c>
      <c r="E516" s="1">
        <v>0.25</v>
      </c>
      <c r="F516" s="1" t="s">
        <v>366</v>
      </c>
      <c r="G516" s="6">
        <v>45762</v>
      </c>
      <c r="H516" s="1">
        <v>779819</v>
      </c>
      <c r="I516" s="1">
        <v>799819</v>
      </c>
      <c r="J516" s="1">
        <v>16921.500000000011</v>
      </c>
      <c r="K516" s="1">
        <v>3078.4999999999932</v>
      </c>
      <c r="L516" s="1">
        <v>796740.5</v>
      </c>
      <c r="M516" s="1">
        <v>185</v>
      </c>
      <c r="N516" s="1">
        <v>75.425496688741674</v>
      </c>
      <c r="O516" s="1">
        <v>33.656738468811767</v>
      </c>
      <c r="P516" s="7">
        <v>45947</v>
      </c>
      <c r="Q516" s="1">
        <v>20000</v>
      </c>
      <c r="R516" s="7">
        <v>46245.819062592593</v>
      </c>
      <c r="S516" s="7">
        <v>46245</v>
      </c>
      <c r="T516" s="7" t="str">
        <f t="shared" si="0"/>
        <v>agosto</v>
      </c>
      <c r="U516" s="1" t="s">
        <v>330</v>
      </c>
      <c r="X516" s="1" t="s">
        <v>419</v>
      </c>
      <c r="Y516" s="1" t="s">
        <v>420</v>
      </c>
      <c r="Z516" s="1">
        <v>1</v>
      </c>
      <c r="AA516" s="3">
        <v>42474.239999999998</v>
      </c>
      <c r="AB516" s="3">
        <v>42474.239999999998</v>
      </c>
      <c r="AC516" s="1" t="str">
        <f>VLOOKUP(A516,[1]Detalle!$D$2:$CW$484,98,FALSE)</f>
        <v>JOHNSON - SC JOHNSON DE ARGENTINA SAIC</v>
      </c>
    </row>
    <row r="517" spans="1:29" ht="14.25" customHeight="1" x14ac:dyDescent="0.3">
      <c r="A517" s="1" t="s">
        <v>157</v>
      </c>
      <c r="B517" s="1">
        <v>1624</v>
      </c>
      <c r="C517" s="1" t="s">
        <v>418</v>
      </c>
      <c r="D517" s="1" t="s">
        <v>415</v>
      </c>
      <c r="E517" s="1">
        <v>0.25</v>
      </c>
      <c r="F517" s="1" t="s">
        <v>366</v>
      </c>
      <c r="G517" s="6">
        <v>45870</v>
      </c>
      <c r="H517" s="1">
        <v>24799.1</v>
      </c>
      <c r="I517" s="1">
        <v>44799.1</v>
      </c>
      <c r="J517" s="1">
        <v>3627.4</v>
      </c>
      <c r="K517" s="1">
        <v>16372.6</v>
      </c>
      <c r="L517" s="1">
        <v>28426.5</v>
      </c>
      <c r="M517" s="1">
        <v>77</v>
      </c>
      <c r="N517" s="1">
        <v>131.93916129032249</v>
      </c>
      <c r="O517" s="1">
        <v>347.5465071401004</v>
      </c>
      <c r="P517" s="7">
        <v>45947</v>
      </c>
      <c r="Q517" s="1">
        <v>20000</v>
      </c>
      <c r="R517" s="7">
        <v>46294.546507141204</v>
      </c>
      <c r="S517" s="7">
        <v>46294</v>
      </c>
      <c r="T517" s="7" t="str">
        <f t="shared" si="0"/>
        <v>septiembre</v>
      </c>
      <c r="U517" s="1" t="s">
        <v>330</v>
      </c>
      <c r="X517" s="1" t="s">
        <v>419</v>
      </c>
      <c r="Y517" s="1" t="s">
        <v>420</v>
      </c>
      <c r="Z517" s="1">
        <v>1</v>
      </c>
      <c r="AA517" s="3">
        <v>42474.239999999998</v>
      </c>
      <c r="AB517" s="3">
        <v>42474.239999999998</v>
      </c>
      <c r="AC517" s="1" t="str">
        <f>VLOOKUP(A517,[1]Detalle!$D$2:$CW$484,98,FALSE)</f>
        <v>Papelera - Papelera del Plata S.A.</v>
      </c>
    </row>
    <row r="518" spans="1:29" ht="14.25" customHeight="1" x14ac:dyDescent="0.3">
      <c r="A518" s="1" t="s">
        <v>156</v>
      </c>
      <c r="B518" s="1">
        <v>1624</v>
      </c>
      <c r="C518" s="1" t="s">
        <v>418</v>
      </c>
      <c r="D518" s="1" t="s">
        <v>415</v>
      </c>
      <c r="E518" s="1">
        <v>0.25</v>
      </c>
      <c r="F518" s="1" t="s">
        <v>366</v>
      </c>
      <c r="G518" s="6">
        <v>45846</v>
      </c>
      <c r="H518" s="1">
        <v>10340</v>
      </c>
      <c r="I518" s="1">
        <v>30340</v>
      </c>
      <c r="J518" s="1">
        <v>5338.3999999999987</v>
      </c>
      <c r="K518" s="1">
        <v>14661.6</v>
      </c>
      <c r="L518" s="1">
        <v>15678.4</v>
      </c>
      <c r="M518" s="1">
        <v>101</v>
      </c>
      <c r="N518" s="1">
        <v>29.350544871794892</v>
      </c>
      <c r="O518" s="1">
        <v>277.39052899745252</v>
      </c>
      <c r="P518" s="7">
        <v>45947</v>
      </c>
      <c r="Q518" s="1">
        <v>20000</v>
      </c>
      <c r="R518" s="7">
        <v>46224.390528993063</v>
      </c>
      <c r="S518" s="7">
        <v>46224</v>
      </c>
      <c r="T518" s="7" t="str">
        <f t="shared" si="0"/>
        <v>julio</v>
      </c>
      <c r="U518" s="1" t="s">
        <v>330</v>
      </c>
      <c r="X518" s="1" t="s">
        <v>419</v>
      </c>
      <c r="Y518" s="1" t="s">
        <v>420</v>
      </c>
      <c r="Z518" s="1">
        <v>1</v>
      </c>
      <c r="AA518" s="3">
        <v>42474.239999999998</v>
      </c>
      <c r="AB518" s="3">
        <v>42474.239999999998</v>
      </c>
      <c r="AC518" s="1" t="str">
        <f>VLOOKUP(A518,[1]Detalle!$D$2:$CW$484,98,FALSE)</f>
        <v>SUC_MEN - Sucursal Mendoza</v>
      </c>
    </row>
    <row r="519" spans="1:29" ht="14.25" customHeight="1" x14ac:dyDescent="0.3">
      <c r="A519" s="1" t="s">
        <v>154</v>
      </c>
      <c r="B519" s="1">
        <v>1624</v>
      </c>
      <c r="C519" s="1" t="s">
        <v>418</v>
      </c>
      <c r="D519" s="1" t="s">
        <v>415</v>
      </c>
      <c r="E519" s="1">
        <v>0.25</v>
      </c>
      <c r="F519" s="1" t="s">
        <v>366</v>
      </c>
      <c r="G519" s="6">
        <v>45772</v>
      </c>
      <c r="H519" s="1">
        <v>264479</v>
      </c>
      <c r="I519" s="1">
        <v>284479</v>
      </c>
      <c r="J519" s="1">
        <v>6327.5000000000045</v>
      </c>
      <c r="K519" s="1">
        <v>13672.499999999991</v>
      </c>
      <c r="L519" s="1">
        <v>270806.5</v>
      </c>
      <c r="M519" s="1">
        <v>175</v>
      </c>
      <c r="N519" s="1">
        <v>34.372709677419373</v>
      </c>
      <c r="O519" s="1">
        <v>378.14105096799642</v>
      </c>
      <c r="P519" s="7">
        <v>45947</v>
      </c>
      <c r="Q519" s="1">
        <v>20000</v>
      </c>
      <c r="R519" s="7">
        <v>46325.141050972219</v>
      </c>
      <c r="S519" s="7">
        <v>46325</v>
      </c>
      <c r="T519" s="7" t="str">
        <f t="shared" si="0"/>
        <v>octubre</v>
      </c>
      <c r="U519" s="1" t="s">
        <v>330</v>
      </c>
      <c r="X519" s="1" t="s">
        <v>419</v>
      </c>
      <c r="Y519" s="1" t="s">
        <v>420</v>
      </c>
      <c r="Z519" s="1">
        <v>1</v>
      </c>
      <c r="AA519" s="3">
        <v>42474.239999999998</v>
      </c>
      <c r="AB519" s="3">
        <v>42474.239999999998</v>
      </c>
      <c r="AC519" s="1" t="str">
        <f>VLOOKUP(A519,[1]Detalle!$D$2:$CW$484,98,FALSE)</f>
        <v>CCUCoAZA</v>
      </c>
    </row>
    <row r="520" spans="1:29" ht="14.25" customHeight="1" x14ac:dyDescent="0.3">
      <c r="A520" s="1" t="s">
        <v>153</v>
      </c>
      <c r="B520" s="1">
        <v>1624</v>
      </c>
      <c r="C520" s="1" t="s">
        <v>418</v>
      </c>
      <c r="D520" s="1" t="s">
        <v>415</v>
      </c>
      <c r="E520" s="1">
        <v>0.25</v>
      </c>
      <c r="F520" s="1" t="s">
        <v>366</v>
      </c>
      <c r="G520" s="6">
        <v>45908</v>
      </c>
      <c r="H520" s="1">
        <v>82173.399999999994</v>
      </c>
      <c r="I520" s="1">
        <v>102173.4</v>
      </c>
      <c r="J520" s="1">
        <v>5556.5</v>
      </c>
      <c r="K520" s="1">
        <v>14443.5</v>
      </c>
      <c r="L520" s="1">
        <v>87729.9</v>
      </c>
      <c r="M520" s="1">
        <v>39</v>
      </c>
      <c r="N520" s="1">
        <v>215.45547231270371</v>
      </c>
      <c r="O520" s="1">
        <v>101.37613605687029</v>
      </c>
      <c r="P520" s="7">
        <v>45947</v>
      </c>
      <c r="Q520" s="1">
        <v>20000</v>
      </c>
      <c r="R520" s="7">
        <v>46048.376136053237</v>
      </c>
      <c r="S520" s="7">
        <v>46048</v>
      </c>
      <c r="T520" s="7" t="str">
        <f t="shared" si="0"/>
        <v>enero</v>
      </c>
      <c r="U520" s="1" t="s">
        <v>330</v>
      </c>
      <c r="X520" s="1" t="s">
        <v>419</v>
      </c>
      <c r="Y520" s="1" t="s">
        <v>420</v>
      </c>
      <c r="Z520" s="1">
        <v>1</v>
      </c>
      <c r="AA520" s="3">
        <v>42474.239999999998</v>
      </c>
      <c r="AB520" s="3">
        <v>42474.239999999998</v>
      </c>
      <c r="AC520" s="1" t="str">
        <f>VLOOKUP(A520,[1]Detalle!$D$2:$CW$484,98,FALSE)</f>
        <v>Expreso - Servicios Troncales</v>
      </c>
    </row>
    <row r="521" spans="1:29" ht="14.25" customHeight="1" x14ac:dyDescent="0.3">
      <c r="A521" s="1" t="s">
        <v>149</v>
      </c>
      <c r="B521" s="1">
        <v>1624</v>
      </c>
      <c r="C521" s="1" t="s">
        <v>418</v>
      </c>
      <c r="D521" s="1" t="s">
        <v>415</v>
      </c>
      <c r="E521" s="1">
        <v>0.25</v>
      </c>
      <c r="F521" s="1" t="s">
        <v>366</v>
      </c>
      <c r="G521" s="1" t="s">
        <v>337</v>
      </c>
      <c r="H521" s="1">
        <v>662460</v>
      </c>
      <c r="I521" s="1">
        <v>682460</v>
      </c>
      <c r="J521" s="1">
        <v>20447.600000000009</v>
      </c>
      <c r="K521" s="1">
        <v>-447.60000000000582</v>
      </c>
      <c r="L521" s="1">
        <v>682907.6</v>
      </c>
      <c r="M521" s="1">
        <v>197</v>
      </c>
      <c r="N521" s="1">
        <v>113.6646794871796</v>
      </c>
      <c r="O521" s="1">
        <v>-4.312349615602864</v>
      </c>
      <c r="P521" s="7">
        <v>45947</v>
      </c>
      <c r="Q521" s="1">
        <v>20000</v>
      </c>
      <c r="R521" s="7">
        <v>46122.956155335647</v>
      </c>
      <c r="S521" s="7">
        <v>46122</v>
      </c>
      <c r="T521" s="7" t="str">
        <f t="shared" si="0"/>
        <v>abril</v>
      </c>
      <c r="U521" s="1" t="s">
        <v>330</v>
      </c>
      <c r="X521" s="1" t="s">
        <v>419</v>
      </c>
      <c r="Y521" s="1" t="s">
        <v>420</v>
      </c>
      <c r="Z521" s="1">
        <v>1</v>
      </c>
      <c r="AA521" s="3">
        <v>42474.239999999998</v>
      </c>
      <c r="AB521" s="3">
        <v>42474.239999999998</v>
      </c>
      <c r="AC521" s="1" t="str">
        <f>VLOOKUP(A521,[1]Detalle!$D$2:$CW$484,98,FALSE)</f>
        <v>Papelera - Papelera del Plata S.A.</v>
      </c>
    </row>
    <row r="522" spans="1:29" ht="14.25" customHeight="1" x14ac:dyDescent="0.3">
      <c r="A522" s="1" t="s">
        <v>148</v>
      </c>
      <c r="B522" s="1">
        <v>1624</v>
      </c>
      <c r="C522" s="1" t="s">
        <v>418</v>
      </c>
      <c r="D522" s="1" t="s">
        <v>415</v>
      </c>
      <c r="E522" s="1">
        <v>0.25</v>
      </c>
      <c r="F522" s="1" t="s">
        <v>366</v>
      </c>
      <c r="G522" s="6">
        <v>45862</v>
      </c>
      <c r="H522" s="1">
        <v>808028</v>
      </c>
      <c r="I522" s="1">
        <v>828028</v>
      </c>
      <c r="J522" s="1">
        <v>7209.7999999999984</v>
      </c>
      <c r="K522" s="1">
        <v>12790.2</v>
      </c>
      <c r="L522" s="1">
        <v>815237.8</v>
      </c>
      <c r="M522" s="1">
        <v>85</v>
      </c>
      <c r="N522" s="1">
        <v>100.27773026315791</v>
      </c>
      <c r="O522" s="1">
        <v>150.79017448472919</v>
      </c>
      <c r="P522" s="7">
        <v>45947</v>
      </c>
      <c r="Q522" s="1">
        <v>20000</v>
      </c>
      <c r="R522" s="7">
        <v>46097.790174479167</v>
      </c>
      <c r="S522" s="7">
        <v>46097</v>
      </c>
      <c r="T522" s="7" t="str">
        <f t="shared" si="0"/>
        <v>marzo</v>
      </c>
      <c r="U522" s="1" t="s">
        <v>330</v>
      </c>
      <c r="X522" s="1" t="s">
        <v>419</v>
      </c>
      <c r="Y522" s="1" t="s">
        <v>420</v>
      </c>
      <c r="Z522" s="1">
        <v>1</v>
      </c>
      <c r="AA522" s="3">
        <v>42474.239999999998</v>
      </c>
      <c r="AB522" s="3">
        <v>42474.239999999998</v>
      </c>
      <c r="AC522" s="1" t="str">
        <f>VLOOKUP(A522,[1]Detalle!$D$2:$CW$484,98,FALSE)</f>
        <v>JOHNSON - SC JOHNSON DE ARGENTINA SAIC</v>
      </c>
    </row>
    <row r="523" spans="1:29" ht="14.25" customHeight="1" x14ac:dyDescent="0.3">
      <c r="A523" s="1" t="s">
        <v>147</v>
      </c>
      <c r="B523" s="1">
        <v>1624</v>
      </c>
      <c r="C523" s="1" t="s">
        <v>418</v>
      </c>
      <c r="D523" s="1" t="s">
        <v>415</v>
      </c>
      <c r="E523" s="1">
        <v>0.25</v>
      </c>
      <c r="F523" s="1" t="s">
        <v>366</v>
      </c>
      <c r="G523" s="6">
        <v>45723</v>
      </c>
      <c r="H523" s="1">
        <v>27910.9</v>
      </c>
      <c r="I523" s="1">
        <v>47910.9</v>
      </c>
      <c r="J523" s="1">
        <v>19185.899999999991</v>
      </c>
      <c r="K523" s="1">
        <v>814.10000000000582</v>
      </c>
      <c r="L523" s="1">
        <v>47096.800000000003</v>
      </c>
      <c r="M523" s="1">
        <v>224</v>
      </c>
      <c r="N523" s="1">
        <v>76.974301470588202</v>
      </c>
      <c r="O523" s="1">
        <v>9.5048134306965721</v>
      </c>
      <c r="P523" s="7">
        <v>45947</v>
      </c>
      <c r="Q523" s="1">
        <v>20000</v>
      </c>
      <c r="R523" s="7">
        <v>46216.331789675933</v>
      </c>
      <c r="S523" s="7">
        <v>46216</v>
      </c>
      <c r="T523" s="7" t="str">
        <f t="shared" si="0"/>
        <v>julio</v>
      </c>
      <c r="U523" s="1" t="s">
        <v>330</v>
      </c>
      <c r="X523" s="1" t="s">
        <v>419</v>
      </c>
      <c r="Y523" s="1" t="s">
        <v>420</v>
      </c>
      <c r="Z523" s="1">
        <v>1</v>
      </c>
      <c r="AA523" s="3">
        <v>42474.239999999998</v>
      </c>
      <c r="AB523" s="3">
        <v>42474.239999999998</v>
      </c>
      <c r="AC523" s="1" t="str">
        <f>VLOOKUP(A523,[1]Detalle!$D$2:$CW$484,98,FALSE)</f>
        <v>SUC_SLU - Sucursal San Luis</v>
      </c>
    </row>
    <row r="524" spans="1:29" ht="14.25" customHeight="1" x14ac:dyDescent="0.3">
      <c r="A524" s="1" t="s">
        <v>146</v>
      </c>
      <c r="B524" s="1">
        <v>1624</v>
      </c>
      <c r="C524" s="1" t="s">
        <v>418</v>
      </c>
      <c r="D524" s="1" t="s">
        <v>415</v>
      </c>
      <c r="E524" s="1">
        <v>0.25</v>
      </c>
      <c r="F524" s="1" t="s">
        <v>366</v>
      </c>
      <c r="G524" s="6">
        <v>45831</v>
      </c>
      <c r="H524" s="1">
        <v>511084</v>
      </c>
      <c r="I524" s="1">
        <v>531084</v>
      </c>
      <c r="J524" s="1">
        <v>8073.1000000000013</v>
      </c>
      <c r="K524" s="1">
        <v>11926.9</v>
      </c>
      <c r="L524" s="1">
        <v>519157.1</v>
      </c>
      <c r="M524" s="1">
        <v>116</v>
      </c>
      <c r="N524" s="1">
        <v>57.283729903536972</v>
      </c>
      <c r="O524" s="1">
        <v>171.3741189877494</v>
      </c>
      <c r="P524" s="7">
        <v>45947</v>
      </c>
      <c r="Q524" s="1">
        <v>20000</v>
      </c>
      <c r="R524" s="7">
        <v>46118.374118993059</v>
      </c>
      <c r="S524" s="7">
        <v>46118</v>
      </c>
      <c r="T524" s="7" t="str">
        <f t="shared" si="0"/>
        <v>abril</v>
      </c>
      <c r="U524" s="1" t="s">
        <v>330</v>
      </c>
      <c r="X524" s="1" t="s">
        <v>419</v>
      </c>
      <c r="Y524" s="1" t="s">
        <v>420</v>
      </c>
      <c r="Z524" s="1">
        <v>1</v>
      </c>
      <c r="AA524" s="3">
        <v>42474.239999999998</v>
      </c>
      <c r="AB524" s="3">
        <v>42474.239999999998</v>
      </c>
      <c r="AC524" s="1" t="str">
        <f>VLOOKUP(A524,[1]Detalle!$D$2:$CW$484,98,FALSE)</f>
        <v>Unilever - Unilever de Arg. S.A.</v>
      </c>
    </row>
    <row r="525" spans="1:29" ht="14.25" customHeight="1" x14ac:dyDescent="0.3">
      <c r="A525" s="1" t="s">
        <v>145</v>
      </c>
      <c r="B525" s="1">
        <v>1624</v>
      </c>
      <c r="C525" s="1" t="s">
        <v>418</v>
      </c>
      <c r="D525" s="1" t="s">
        <v>415</v>
      </c>
      <c r="E525" s="1">
        <v>0.25</v>
      </c>
      <c r="F525" s="1" t="s">
        <v>366</v>
      </c>
      <c r="G525" s="6">
        <v>45848</v>
      </c>
      <c r="H525" s="1">
        <v>234133</v>
      </c>
      <c r="I525" s="1">
        <v>254133</v>
      </c>
      <c r="J525" s="1">
        <v>4079.8</v>
      </c>
      <c r="K525" s="1">
        <v>15920.2</v>
      </c>
      <c r="L525" s="1">
        <v>238212.8</v>
      </c>
      <c r="M525" s="1">
        <v>99</v>
      </c>
      <c r="N525" s="1">
        <v>38.995387096774238</v>
      </c>
      <c r="O525" s="1">
        <v>386.31790774057549</v>
      </c>
      <c r="P525" s="7">
        <v>45947</v>
      </c>
      <c r="Q525" s="1">
        <v>20000</v>
      </c>
      <c r="R525" s="7">
        <v>46333.317907743047</v>
      </c>
      <c r="S525" s="7">
        <v>46333</v>
      </c>
      <c r="T525" s="7" t="str">
        <f t="shared" si="0"/>
        <v>noviembre</v>
      </c>
      <c r="U525" s="1" t="s">
        <v>330</v>
      </c>
      <c r="X525" s="1" t="s">
        <v>419</v>
      </c>
      <c r="Y525" s="1" t="s">
        <v>420</v>
      </c>
      <c r="Z525" s="1">
        <v>1</v>
      </c>
      <c r="AA525" s="3">
        <v>42474.239999999998</v>
      </c>
      <c r="AB525" s="3">
        <v>42474.239999999998</v>
      </c>
      <c r="AC525" s="1" t="str">
        <f>VLOOKUP(A525,[1]Detalle!$D$2:$CW$484,98,FALSE)</f>
        <v>CCUCoAZA</v>
      </c>
    </row>
    <row r="526" spans="1:29" ht="14.25" customHeight="1" x14ac:dyDescent="0.3">
      <c r="A526" s="1" t="s">
        <v>144</v>
      </c>
      <c r="B526" s="1">
        <v>1624</v>
      </c>
      <c r="C526" s="1" t="s">
        <v>418</v>
      </c>
      <c r="D526" s="1" t="s">
        <v>415</v>
      </c>
      <c r="E526" s="1">
        <v>0.25</v>
      </c>
      <c r="F526" s="1" t="s">
        <v>366</v>
      </c>
      <c r="G526" s="6">
        <v>45840</v>
      </c>
      <c r="H526" s="1">
        <v>619280</v>
      </c>
      <c r="I526" s="1">
        <v>639280</v>
      </c>
      <c r="J526" s="1">
        <v>8001.9999999999982</v>
      </c>
      <c r="K526" s="1">
        <v>11998</v>
      </c>
      <c r="L526" s="1">
        <v>627282</v>
      </c>
      <c r="M526" s="1">
        <v>107</v>
      </c>
      <c r="N526" s="1">
        <v>80.140288461538475</v>
      </c>
      <c r="O526" s="1">
        <v>160.43314171457141</v>
      </c>
      <c r="P526" s="7">
        <v>45947</v>
      </c>
      <c r="Q526" s="1">
        <v>20000</v>
      </c>
      <c r="R526" s="7">
        <v>46107.433141712972</v>
      </c>
      <c r="S526" s="7">
        <v>46107</v>
      </c>
      <c r="T526" s="7" t="str">
        <f t="shared" si="0"/>
        <v>marzo</v>
      </c>
      <c r="U526" s="1" t="s">
        <v>330</v>
      </c>
      <c r="X526" s="1" t="s">
        <v>419</v>
      </c>
      <c r="Y526" s="1" t="s">
        <v>420</v>
      </c>
      <c r="Z526" s="1">
        <v>1</v>
      </c>
      <c r="AA526" s="3">
        <v>42474.239999999998</v>
      </c>
      <c r="AB526" s="3">
        <v>42474.239999999998</v>
      </c>
      <c r="AC526" s="1" t="str">
        <f>VLOOKUP(A526,[1]Detalle!$D$2:$CW$484,98,FALSE)</f>
        <v>Papelera - Papelera del Plata S.A.</v>
      </c>
    </row>
    <row r="527" spans="1:29" ht="14.25" customHeight="1" x14ac:dyDescent="0.3">
      <c r="A527" s="1" t="s">
        <v>143</v>
      </c>
      <c r="B527" s="1">
        <v>1624</v>
      </c>
      <c r="C527" s="1" t="s">
        <v>418</v>
      </c>
      <c r="D527" s="1" t="s">
        <v>415</v>
      </c>
      <c r="E527" s="1">
        <v>0.25</v>
      </c>
      <c r="F527" s="1" t="s">
        <v>366</v>
      </c>
      <c r="G527" s="6">
        <v>45912</v>
      </c>
      <c r="H527" s="1">
        <v>723287</v>
      </c>
      <c r="I527" s="1">
        <v>743287</v>
      </c>
      <c r="J527" s="1">
        <v>0</v>
      </c>
      <c r="K527" s="1">
        <v>20000</v>
      </c>
      <c r="L527" s="1">
        <v>723287</v>
      </c>
      <c r="M527" s="1">
        <v>35</v>
      </c>
      <c r="N527" s="1">
        <v>1.7600651465798041</v>
      </c>
      <c r="O527" s="1">
        <v>200</v>
      </c>
      <c r="P527" s="7">
        <v>45947</v>
      </c>
      <c r="Q527" s="1">
        <v>20000</v>
      </c>
      <c r="R527" s="7">
        <v>46147</v>
      </c>
      <c r="S527" s="7">
        <v>46147</v>
      </c>
      <c r="T527" s="7" t="str">
        <f t="shared" si="0"/>
        <v>mayo</v>
      </c>
      <c r="U527" s="1" t="s">
        <v>330</v>
      </c>
      <c r="X527" s="1" t="s">
        <v>419</v>
      </c>
      <c r="Y527" s="1" t="s">
        <v>420</v>
      </c>
      <c r="Z527" s="1">
        <v>1</v>
      </c>
      <c r="AA527" s="3">
        <v>42474.239999999998</v>
      </c>
      <c r="AB527" s="3">
        <v>42474.239999999998</v>
      </c>
      <c r="AC527" s="1" t="str">
        <f>VLOOKUP(A527,[1]Detalle!$D$2:$CW$484,98,FALSE)</f>
        <v>CENCO_MZ - Cencosud SA - Mendoza</v>
      </c>
    </row>
    <row r="528" spans="1:29" ht="14.25" customHeight="1" x14ac:dyDescent="0.3">
      <c r="A528" s="1" t="s">
        <v>142</v>
      </c>
      <c r="B528" s="1">
        <v>1624</v>
      </c>
      <c r="C528" s="1" t="s">
        <v>418</v>
      </c>
      <c r="D528" s="1" t="s">
        <v>415</v>
      </c>
      <c r="E528" s="1">
        <v>0.25</v>
      </c>
      <c r="F528" s="1" t="s">
        <v>366</v>
      </c>
      <c r="G528" s="6">
        <v>45834</v>
      </c>
      <c r="H528" s="1">
        <v>831926</v>
      </c>
      <c r="I528" s="1">
        <v>851926</v>
      </c>
      <c r="J528" s="1">
        <v>9266.100000000004</v>
      </c>
      <c r="K528" s="1">
        <v>10733.9</v>
      </c>
      <c r="L528" s="1">
        <v>841192.1</v>
      </c>
      <c r="M528" s="1">
        <v>113</v>
      </c>
      <c r="N528" s="1">
        <v>68.472829581993537</v>
      </c>
      <c r="O528" s="1">
        <v>130.89980682271931</v>
      </c>
      <c r="P528" s="7">
        <v>45947</v>
      </c>
      <c r="Q528" s="1">
        <v>20000</v>
      </c>
      <c r="R528" s="7">
        <v>46077.899806817128</v>
      </c>
      <c r="S528" s="7">
        <v>46077</v>
      </c>
      <c r="T528" s="7" t="str">
        <f t="shared" si="0"/>
        <v>febrero</v>
      </c>
      <c r="U528" s="1" t="s">
        <v>330</v>
      </c>
      <c r="X528" s="1" t="s">
        <v>419</v>
      </c>
      <c r="Y528" s="1" t="s">
        <v>420</v>
      </c>
      <c r="Z528" s="1">
        <v>1</v>
      </c>
      <c r="AA528" s="3">
        <v>42474.239999999998</v>
      </c>
      <c r="AB528" s="3">
        <v>42474.239999999998</v>
      </c>
      <c r="AC528" s="1" t="str">
        <f>VLOOKUP(A528,[1]Detalle!$D$2:$CW$484,98,FALSE)</f>
        <v>Papelera - Papelera del Plata S.A.</v>
      </c>
    </row>
    <row r="529" spans="1:29" ht="14.25" customHeight="1" x14ac:dyDescent="0.3">
      <c r="A529" s="1" t="s">
        <v>141</v>
      </c>
      <c r="B529" s="1">
        <v>1624</v>
      </c>
      <c r="C529" s="1" t="s">
        <v>418</v>
      </c>
      <c r="D529" s="1" t="s">
        <v>415</v>
      </c>
      <c r="E529" s="1">
        <v>0.25</v>
      </c>
      <c r="F529" s="1" t="s">
        <v>366</v>
      </c>
      <c r="G529" s="6">
        <v>45862</v>
      </c>
      <c r="H529" s="1">
        <v>484180</v>
      </c>
      <c r="I529" s="1">
        <v>504180</v>
      </c>
      <c r="J529" s="1">
        <v>6154.3000000000011</v>
      </c>
      <c r="K529" s="1">
        <v>13845.7</v>
      </c>
      <c r="L529" s="1">
        <v>490334.3</v>
      </c>
      <c r="M529" s="1">
        <v>85</v>
      </c>
      <c r="N529" s="1">
        <v>131.1199356913184</v>
      </c>
      <c r="O529" s="1">
        <v>191.22962806493021</v>
      </c>
      <c r="P529" s="7">
        <v>45947</v>
      </c>
      <c r="Q529" s="1">
        <v>20000</v>
      </c>
      <c r="R529" s="7">
        <v>46138.229628067129</v>
      </c>
      <c r="S529" s="7">
        <v>46138</v>
      </c>
      <c r="T529" s="7" t="str">
        <f t="shared" si="0"/>
        <v>abril</v>
      </c>
      <c r="U529" s="1" t="s">
        <v>330</v>
      </c>
      <c r="X529" s="1" t="s">
        <v>419</v>
      </c>
      <c r="Y529" s="1" t="s">
        <v>420</v>
      </c>
      <c r="Z529" s="1">
        <v>1</v>
      </c>
      <c r="AA529" s="3">
        <v>42474.239999999998</v>
      </c>
      <c r="AB529" s="3">
        <v>42474.239999999998</v>
      </c>
      <c r="AC529" s="1" t="str">
        <f>VLOOKUP(A529,[1]Detalle!$D$2:$CW$484,98,FALSE)</f>
        <v>Unilever - Unilever de Arg. S.A.</v>
      </c>
    </row>
    <row r="530" spans="1:29" ht="14.25" customHeight="1" x14ac:dyDescent="0.3">
      <c r="A530" s="1" t="s">
        <v>140</v>
      </c>
      <c r="B530" s="1">
        <v>1624</v>
      </c>
      <c r="C530" s="1" t="s">
        <v>418</v>
      </c>
      <c r="D530" s="1" t="s">
        <v>415</v>
      </c>
      <c r="E530" s="1">
        <v>0.25</v>
      </c>
      <c r="F530" s="1" t="s">
        <v>366</v>
      </c>
      <c r="G530" s="6">
        <v>45745</v>
      </c>
      <c r="H530" s="1">
        <v>484970</v>
      </c>
      <c r="I530" s="1">
        <v>504970</v>
      </c>
      <c r="J530" s="1">
        <v>6360.1999999999944</v>
      </c>
      <c r="K530" s="1">
        <v>13639.80000000001</v>
      </c>
      <c r="L530" s="1">
        <v>491330.2</v>
      </c>
      <c r="M530" s="1">
        <v>202</v>
      </c>
      <c r="N530" s="1">
        <v>30.7326948051948</v>
      </c>
      <c r="O530" s="1">
        <v>433.20015093865032</v>
      </c>
      <c r="P530" s="7">
        <v>45947</v>
      </c>
      <c r="Q530" s="1">
        <v>20000</v>
      </c>
      <c r="R530" s="7">
        <v>46380.200150937497</v>
      </c>
      <c r="S530" s="7">
        <v>46380</v>
      </c>
      <c r="T530" s="7" t="str">
        <f t="shared" si="0"/>
        <v>diciembre</v>
      </c>
      <c r="U530" s="1" t="s">
        <v>330</v>
      </c>
      <c r="X530" s="1" t="s">
        <v>419</v>
      </c>
      <c r="Y530" s="1" t="s">
        <v>420</v>
      </c>
      <c r="Z530" s="1">
        <v>1</v>
      </c>
      <c r="AA530" s="3">
        <v>42474.239999999998</v>
      </c>
      <c r="AB530" s="3">
        <v>42474.239999999998</v>
      </c>
      <c r="AC530" s="1" t="str">
        <f>VLOOKUP(A530,[1]Detalle!$D$2:$CW$484,98,FALSE)</f>
        <v>CCU_MZA - Comp. Cerv. Unidas - MZA</v>
      </c>
    </row>
    <row r="531" spans="1:29" ht="14.25" customHeight="1" x14ac:dyDescent="0.3">
      <c r="A531" s="1" t="s">
        <v>139</v>
      </c>
      <c r="B531" s="1">
        <v>1624</v>
      </c>
      <c r="C531" s="1" t="s">
        <v>418</v>
      </c>
      <c r="D531" s="1" t="s">
        <v>415</v>
      </c>
      <c r="E531" s="1">
        <v>0.25</v>
      </c>
      <c r="F531" s="1" t="s">
        <v>366</v>
      </c>
      <c r="G531" s="6">
        <v>45744</v>
      </c>
      <c r="H531" s="1">
        <v>298685</v>
      </c>
      <c r="I531" s="1">
        <v>318685</v>
      </c>
      <c r="J531" s="1">
        <v>8864.1</v>
      </c>
      <c r="K531" s="1">
        <v>11135.9</v>
      </c>
      <c r="L531" s="1">
        <v>307549.09999999998</v>
      </c>
      <c r="M531" s="1">
        <v>203</v>
      </c>
      <c r="N531" s="1">
        <v>39.137363344051472</v>
      </c>
      <c r="O531" s="1">
        <v>255.02732369896549</v>
      </c>
      <c r="P531" s="7">
        <v>45947</v>
      </c>
      <c r="Q531" s="1">
        <v>20000</v>
      </c>
      <c r="R531" s="7">
        <v>46202.027323703704</v>
      </c>
      <c r="S531" s="7">
        <v>46202</v>
      </c>
      <c r="T531" s="7" t="str">
        <f t="shared" si="0"/>
        <v>junio</v>
      </c>
      <c r="U531" s="1" t="s">
        <v>330</v>
      </c>
      <c r="X531" s="1" t="s">
        <v>419</v>
      </c>
      <c r="Y531" s="1" t="s">
        <v>420</v>
      </c>
      <c r="Z531" s="1">
        <v>1</v>
      </c>
      <c r="AA531" s="3">
        <v>42474.239999999998</v>
      </c>
      <c r="AB531" s="3">
        <v>42474.239999999998</v>
      </c>
      <c r="AC531" s="1" t="str">
        <f>VLOOKUP(A531,[1]Detalle!$D$2:$CW$484,98,FALSE)</f>
        <v>CCUDyAZA</v>
      </c>
    </row>
    <row r="532" spans="1:29" ht="14.25" customHeight="1" x14ac:dyDescent="0.3">
      <c r="A532" s="1" t="s">
        <v>138</v>
      </c>
      <c r="B532" s="1">
        <v>1624</v>
      </c>
      <c r="C532" s="1" t="s">
        <v>418</v>
      </c>
      <c r="D532" s="1" t="s">
        <v>415</v>
      </c>
      <c r="E532" s="1">
        <v>0.25</v>
      </c>
      <c r="F532" s="1" t="s">
        <v>366</v>
      </c>
      <c r="G532" s="6">
        <v>45840</v>
      </c>
      <c r="H532" s="1">
        <v>40688</v>
      </c>
      <c r="I532" s="1">
        <v>60688</v>
      </c>
      <c r="J532" s="1">
        <v>18559.899999999991</v>
      </c>
      <c r="K532" s="1">
        <v>1440.100000000006</v>
      </c>
      <c r="L532" s="1">
        <v>59247.899999999987</v>
      </c>
      <c r="M532" s="1">
        <v>107</v>
      </c>
      <c r="N532" s="1">
        <v>129.25862179487169</v>
      </c>
      <c r="O532" s="1">
        <v>8.3023453790160868</v>
      </c>
      <c r="P532" s="7">
        <v>45947</v>
      </c>
      <c r="Q532" s="1">
        <v>20000</v>
      </c>
      <c r="R532" s="7">
        <v>46110.030902141203</v>
      </c>
      <c r="S532" s="7">
        <v>46110</v>
      </c>
      <c r="T532" s="7" t="str">
        <f t="shared" si="0"/>
        <v>marzo</v>
      </c>
      <c r="U532" s="1" t="s">
        <v>330</v>
      </c>
      <c r="X532" s="1" t="s">
        <v>419</v>
      </c>
      <c r="Y532" s="1" t="s">
        <v>420</v>
      </c>
      <c r="Z532" s="1">
        <v>1</v>
      </c>
      <c r="AA532" s="3">
        <v>42474.239999999998</v>
      </c>
      <c r="AB532" s="3">
        <v>42474.239999999998</v>
      </c>
      <c r="AC532" s="1" t="str">
        <f>VLOOKUP(A532,[1]Detalle!$D$2:$CW$484,98,FALSE)</f>
        <v>SUC_MEN - Sucursal Mendoza</v>
      </c>
    </row>
    <row r="533" spans="1:29" ht="14.25" customHeight="1" x14ac:dyDescent="0.3">
      <c r="A533" s="1" t="s">
        <v>137</v>
      </c>
      <c r="B533" s="1">
        <v>1624</v>
      </c>
      <c r="C533" s="1" t="s">
        <v>418</v>
      </c>
      <c r="D533" s="1" t="s">
        <v>415</v>
      </c>
      <c r="E533" s="1">
        <v>0.25</v>
      </c>
      <c r="F533" s="1" t="s">
        <v>366</v>
      </c>
      <c r="G533" s="6">
        <v>45813</v>
      </c>
      <c r="H533" s="1">
        <v>230027</v>
      </c>
      <c r="I533" s="1">
        <v>250027</v>
      </c>
      <c r="J533" s="1">
        <v>5321.3000000000011</v>
      </c>
      <c r="K533" s="1">
        <v>14678.7</v>
      </c>
      <c r="L533" s="1">
        <v>235348.3</v>
      </c>
      <c r="M533" s="1">
        <v>134</v>
      </c>
      <c r="N533" s="1">
        <v>37.879290322580637</v>
      </c>
      <c r="O533" s="1">
        <v>369.63632946836287</v>
      </c>
      <c r="P533" s="7">
        <v>45947</v>
      </c>
      <c r="Q533" s="1">
        <v>20000</v>
      </c>
      <c r="R533" s="7">
        <v>46316.63632946759</v>
      </c>
      <c r="S533" s="7">
        <v>46316</v>
      </c>
      <c r="T533" s="7" t="str">
        <f t="shared" si="0"/>
        <v>octubre</v>
      </c>
      <c r="U533" s="1" t="s">
        <v>330</v>
      </c>
      <c r="X533" s="1" t="s">
        <v>419</v>
      </c>
      <c r="Y533" s="1" t="s">
        <v>420</v>
      </c>
      <c r="Z533" s="1">
        <v>1</v>
      </c>
      <c r="AA533" s="3">
        <v>42474.239999999998</v>
      </c>
      <c r="AB533" s="3">
        <v>42474.239999999998</v>
      </c>
      <c r="AC533" s="1" t="str">
        <f>VLOOKUP(A533,[1]Detalle!$D$2:$CW$484,98,FALSE)</f>
        <v>CCUDyAZA</v>
      </c>
    </row>
    <row r="534" spans="1:29" ht="14.25" customHeight="1" x14ac:dyDescent="0.3">
      <c r="A534" s="1" t="s">
        <v>136</v>
      </c>
      <c r="B534" s="1">
        <v>1624</v>
      </c>
      <c r="C534" s="1" t="s">
        <v>418</v>
      </c>
      <c r="D534" s="1" t="s">
        <v>415</v>
      </c>
      <c r="E534" s="1">
        <v>0.25</v>
      </c>
      <c r="F534" s="1" t="s">
        <v>366</v>
      </c>
      <c r="G534" s="6">
        <v>45763</v>
      </c>
      <c r="H534" s="1">
        <v>255203</v>
      </c>
      <c r="I534" s="1">
        <v>275203</v>
      </c>
      <c r="J534" s="1">
        <v>12233.500000000009</v>
      </c>
      <c r="K534" s="1">
        <v>7766.4999999999927</v>
      </c>
      <c r="L534" s="1">
        <v>267436.5</v>
      </c>
      <c r="M534" s="1">
        <v>184</v>
      </c>
      <c r="N534" s="1">
        <v>57.024096774193573</v>
      </c>
      <c r="O534" s="1">
        <v>116.81334041770531</v>
      </c>
      <c r="P534" s="7">
        <v>45947</v>
      </c>
      <c r="Q534" s="1">
        <v>20000</v>
      </c>
      <c r="R534" s="7">
        <v>46063.813340416673</v>
      </c>
      <c r="S534" s="7">
        <v>46063</v>
      </c>
      <c r="T534" s="7" t="str">
        <f t="shared" si="0"/>
        <v>febrero</v>
      </c>
      <c r="U534" s="1" t="s">
        <v>330</v>
      </c>
      <c r="X534" s="1" t="s">
        <v>419</v>
      </c>
      <c r="Y534" s="1" t="s">
        <v>420</v>
      </c>
      <c r="Z534" s="1">
        <v>1</v>
      </c>
      <c r="AA534" s="3">
        <v>42474.239999999998</v>
      </c>
      <c r="AB534" s="3">
        <v>42474.239999999998</v>
      </c>
      <c r="AC534" s="1" t="str">
        <f>VLOOKUP(A534,[1]Detalle!$D$2:$CW$484,98,FALSE)</f>
        <v>Topacio</v>
      </c>
    </row>
    <row r="535" spans="1:29" ht="14.25" customHeight="1" x14ac:dyDescent="0.3">
      <c r="A535" s="1" t="s">
        <v>135</v>
      </c>
      <c r="B535" s="1">
        <v>1624</v>
      </c>
      <c r="C535" s="1" t="s">
        <v>418</v>
      </c>
      <c r="D535" s="1" t="s">
        <v>415</v>
      </c>
      <c r="E535" s="1">
        <v>0.25</v>
      </c>
      <c r="F535" s="1" t="s">
        <v>366</v>
      </c>
      <c r="G535" s="6">
        <v>45812</v>
      </c>
      <c r="H535" s="1">
        <v>176121</v>
      </c>
      <c r="I535" s="1">
        <v>196121</v>
      </c>
      <c r="J535" s="1">
        <v>5745.4000000000005</v>
      </c>
      <c r="K535" s="1">
        <v>14254.6</v>
      </c>
      <c r="L535" s="1">
        <v>181866.4</v>
      </c>
      <c r="M535" s="1">
        <v>135</v>
      </c>
      <c r="N535" s="1">
        <v>35.012605863192178</v>
      </c>
      <c r="O535" s="1">
        <v>334.94117032756628</v>
      </c>
      <c r="P535" s="7">
        <v>45947</v>
      </c>
      <c r="Q535" s="1">
        <v>20000</v>
      </c>
      <c r="R535" s="7">
        <v>46281.941170324077</v>
      </c>
      <c r="S535" s="7">
        <v>46281</v>
      </c>
      <c r="T535" s="7" t="str">
        <f t="shared" si="0"/>
        <v>septiembre</v>
      </c>
      <c r="U535" s="1" t="s">
        <v>330</v>
      </c>
      <c r="X535" s="1" t="s">
        <v>419</v>
      </c>
      <c r="Y535" s="1" t="s">
        <v>420</v>
      </c>
      <c r="Z535" s="1">
        <v>1</v>
      </c>
      <c r="AA535" s="3">
        <v>42474.239999999998</v>
      </c>
      <c r="AB535" s="3">
        <v>42474.239999999998</v>
      </c>
      <c r="AC535" s="1" t="str">
        <f>VLOOKUP(A535,[1]Detalle!$D$2:$CW$484,98,FALSE)</f>
        <v>CCUCoAZA</v>
      </c>
    </row>
    <row r="536" spans="1:29" ht="14.25" customHeight="1" x14ac:dyDescent="0.3">
      <c r="A536" s="1" t="s">
        <v>134</v>
      </c>
      <c r="B536" s="1">
        <v>1624</v>
      </c>
      <c r="C536" s="1" t="s">
        <v>418</v>
      </c>
      <c r="D536" s="1" t="s">
        <v>415</v>
      </c>
      <c r="E536" s="1">
        <v>0.25</v>
      </c>
      <c r="F536" s="1" t="s">
        <v>366</v>
      </c>
      <c r="G536" s="6">
        <v>45883</v>
      </c>
      <c r="H536" s="1">
        <v>377434</v>
      </c>
      <c r="I536" s="1">
        <v>397434</v>
      </c>
      <c r="J536" s="1">
        <v>3731.5</v>
      </c>
      <c r="K536" s="1">
        <v>16268.5</v>
      </c>
      <c r="L536" s="1">
        <v>381165.5</v>
      </c>
      <c r="M536" s="1">
        <v>64</v>
      </c>
      <c r="N536" s="1">
        <v>73.269176029962509</v>
      </c>
      <c r="O536" s="1">
        <v>279.0255929250971</v>
      </c>
      <c r="P536" s="7">
        <v>45947</v>
      </c>
      <c r="Q536" s="1">
        <v>20000</v>
      </c>
      <c r="R536" s="7">
        <v>46226.025592928243</v>
      </c>
      <c r="S536" s="7">
        <v>46226</v>
      </c>
      <c r="T536" s="7" t="str">
        <f t="shared" si="0"/>
        <v>julio</v>
      </c>
      <c r="U536" s="1" t="s">
        <v>330</v>
      </c>
      <c r="X536" s="1" t="s">
        <v>419</v>
      </c>
      <c r="Y536" s="1" t="s">
        <v>420</v>
      </c>
      <c r="Z536" s="1">
        <v>1</v>
      </c>
      <c r="AA536" s="3">
        <v>42474.239999999998</v>
      </c>
      <c r="AB536" s="3">
        <v>42474.239999999998</v>
      </c>
      <c r="AC536" s="1" t="str">
        <f>VLOOKUP(A536,[1]Detalle!$D$2:$CW$484,98,FALSE)</f>
        <v>SUC_CTC - Sucursal Buenos Aires</v>
      </c>
    </row>
    <row r="537" spans="1:29" ht="14.25" customHeight="1" x14ac:dyDescent="0.3">
      <c r="A537" s="1" t="s">
        <v>100</v>
      </c>
      <c r="B537" s="1" t="s">
        <v>352</v>
      </c>
      <c r="C537" s="1" t="s">
        <v>418</v>
      </c>
      <c r="D537" s="1" t="s">
        <v>415</v>
      </c>
      <c r="E537" s="1">
        <v>0.25</v>
      </c>
      <c r="F537" s="1" t="s">
        <v>366</v>
      </c>
      <c r="G537" s="6">
        <v>45768</v>
      </c>
      <c r="H537" s="1">
        <v>13510</v>
      </c>
      <c r="I537" s="1">
        <v>33510</v>
      </c>
      <c r="J537" s="1">
        <v>6171.1999999999971</v>
      </c>
      <c r="K537" s="1">
        <v>13828.8</v>
      </c>
      <c r="L537" s="1">
        <v>19681.2</v>
      </c>
      <c r="M537" s="1">
        <v>179</v>
      </c>
      <c r="N537" s="1">
        <v>36.364885496183213</v>
      </c>
      <c r="O537" s="1">
        <v>401.11407829919648</v>
      </c>
      <c r="P537" s="7">
        <v>45947</v>
      </c>
      <c r="Q537" s="1">
        <v>20000</v>
      </c>
      <c r="R537" s="7">
        <v>46348.114078298611</v>
      </c>
      <c r="S537" s="7">
        <v>46348</v>
      </c>
      <c r="T537" s="7" t="str">
        <f t="shared" si="0"/>
        <v>noviembre</v>
      </c>
      <c r="U537" s="1" t="s">
        <v>330</v>
      </c>
      <c r="X537" s="1" t="s">
        <v>419</v>
      </c>
      <c r="Y537" s="1" t="s">
        <v>420</v>
      </c>
      <c r="Z537" s="1">
        <v>1</v>
      </c>
      <c r="AA537" s="3">
        <v>42474.239999999998</v>
      </c>
      <c r="AB537" s="3">
        <v>42474.239999999998</v>
      </c>
      <c r="AC537" s="1" t="str">
        <f>VLOOKUP(A537,[1]Detalle!$D$2:$CW$484,98,FALSE)</f>
        <v>CMQ_TTE - QUILMES TTE</v>
      </c>
    </row>
    <row r="538" spans="1:29" ht="14.25" customHeight="1" x14ac:dyDescent="0.3">
      <c r="A538" s="1" t="s">
        <v>78</v>
      </c>
      <c r="B538" s="1" t="s">
        <v>352</v>
      </c>
      <c r="C538" s="1" t="s">
        <v>418</v>
      </c>
      <c r="D538" s="1" t="s">
        <v>415</v>
      </c>
      <c r="E538" s="1">
        <v>0.25</v>
      </c>
      <c r="F538" s="1" t="s">
        <v>366</v>
      </c>
      <c r="G538" s="6">
        <v>45854</v>
      </c>
      <c r="H538" s="1">
        <v>41395.599999999999</v>
      </c>
      <c r="I538" s="1">
        <v>61395.6</v>
      </c>
      <c r="J538" s="1">
        <v>3758.2999999999979</v>
      </c>
      <c r="K538" s="1">
        <v>16241.7</v>
      </c>
      <c r="L538" s="1">
        <v>45153.899999999987</v>
      </c>
      <c r="M538" s="1">
        <v>93</v>
      </c>
      <c r="N538" s="1">
        <v>36.164383116883137</v>
      </c>
      <c r="O538" s="1">
        <v>401.90461112737171</v>
      </c>
      <c r="P538" s="7">
        <v>45947</v>
      </c>
      <c r="Q538" s="1">
        <v>20000</v>
      </c>
      <c r="R538" s="7">
        <v>46348.904611122693</v>
      </c>
      <c r="S538" s="7">
        <v>46348</v>
      </c>
      <c r="T538" s="7" t="str">
        <f t="shared" si="0"/>
        <v>noviembre</v>
      </c>
      <c r="U538" s="1" t="s">
        <v>330</v>
      </c>
      <c r="X538" s="1" t="s">
        <v>419</v>
      </c>
      <c r="Y538" s="1" t="s">
        <v>420</v>
      </c>
      <c r="Z538" s="1">
        <v>1</v>
      </c>
      <c r="AA538" s="3">
        <v>42474.239999999998</v>
      </c>
      <c r="AB538" s="3">
        <v>42474.239999999998</v>
      </c>
      <c r="AC538" s="1" t="str">
        <f>VLOOKUP(A538,[1]Detalle!$D$2:$CW$484,98,FALSE)</f>
        <v>CCU_MZA - Comp. Cerv. Unidas - MZA</v>
      </c>
    </row>
    <row r="539" spans="1:29" ht="14.25" customHeight="1" x14ac:dyDescent="0.3">
      <c r="A539" s="1" t="s">
        <v>75</v>
      </c>
      <c r="B539" s="1" t="s">
        <v>352</v>
      </c>
      <c r="C539" s="1" t="s">
        <v>418</v>
      </c>
      <c r="D539" s="1" t="s">
        <v>415</v>
      </c>
      <c r="E539" s="1">
        <v>0.25</v>
      </c>
      <c r="F539" s="1" t="s">
        <v>366</v>
      </c>
      <c r="G539" s="6">
        <v>45895</v>
      </c>
      <c r="H539" s="1">
        <v>60189.5</v>
      </c>
      <c r="I539" s="1">
        <v>80189.5</v>
      </c>
      <c r="J539" s="1">
        <v>4748.0999999999995</v>
      </c>
      <c r="K539" s="1">
        <v>15251.9</v>
      </c>
      <c r="L539" s="1">
        <v>64937.599999999999</v>
      </c>
      <c r="M539" s="1">
        <v>52</v>
      </c>
      <c r="N539" s="1">
        <v>83.847709677419346</v>
      </c>
      <c r="O539" s="1">
        <v>167.03498241401829</v>
      </c>
      <c r="P539" s="7">
        <v>45947</v>
      </c>
      <c r="Q539" s="1">
        <v>20000</v>
      </c>
      <c r="R539" s="7">
        <v>46114.034982418983</v>
      </c>
      <c r="S539" s="7">
        <v>46114</v>
      </c>
      <c r="T539" s="7" t="str">
        <f t="shared" si="0"/>
        <v>abril</v>
      </c>
      <c r="U539" s="1" t="s">
        <v>330</v>
      </c>
      <c r="X539" s="1" t="s">
        <v>419</v>
      </c>
      <c r="Y539" s="1" t="s">
        <v>420</v>
      </c>
      <c r="Z539" s="1">
        <v>1</v>
      </c>
      <c r="AA539" s="3">
        <v>42474.239999999998</v>
      </c>
      <c r="AB539" s="3">
        <v>42474.239999999998</v>
      </c>
      <c r="AC539" s="1" t="str">
        <f>VLOOKUP(A539,[1]Detalle!$D$2:$CW$484,98,FALSE)</f>
        <v>CCU_MZA - Comp. Cerv. Unidas - MZA</v>
      </c>
    </row>
    <row r="540" spans="1:29" ht="14.25" customHeight="1" x14ac:dyDescent="0.3">
      <c r="A540" s="1" t="s">
        <v>62</v>
      </c>
      <c r="B540" s="1" t="s">
        <v>352</v>
      </c>
      <c r="C540" s="1" t="s">
        <v>418</v>
      </c>
      <c r="D540" s="1" t="s">
        <v>415</v>
      </c>
      <c r="E540" s="1">
        <v>0.25</v>
      </c>
      <c r="F540" s="1" t="s">
        <v>366</v>
      </c>
      <c r="G540" s="6">
        <v>45741</v>
      </c>
      <c r="H540" s="1">
        <v>33326.199999999997</v>
      </c>
      <c r="I540" s="1">
        <v>53326.2</v>
      </c>
      <c r="J540" s="1">
        <v>7126.5000000000036</v>
      </c>
      <c r="K540" s="1">
        <v>12873.5</v>
      </c>
      <c r="L540" s="1">
        <v>40452.699999999997</v>
      </c>
      <c r="M540" s="1">
        <v>206</v>
      </c>
      <c r="N540" s="1">
        <v>38.89159259259263</v>
      </c>
      <c r="O540" s="1">
        <v>372.12390373956327</v>
      </c>
      <c r="P540" s="7">
        <v>45947</v>
      </c>
      <c r="Q540" s="1">
        <v>20000</v>
      </c>
      <c r="R540" s="7">
        <v>46319.123903738429</v>
      </c>
      <c r="S540" s="7">
        <v>46319</v>
      </c>
      <c r="T540" s="7" t="str">
        <f t="shared" si="0"/>
        <v>octubre</v>
      </c>
      <c r="U540" s="1" t="s">
        <v>330</v>
      </c>
      <c r="X540" s="1" t="s">
        <v>419</v>
      </c>
      <c r="Y540" s="1" t="s">
        <v>420</v>
      </c>
      <c r="Z540" s="1">
        <v>1</v>
      </c>
      <c r="AA540" s="3">
        <v>42474.239999999998</v>
      </c>
      <c r="AB540" s="3">
        <v>42474.239999999998</v>
      </c>
      <c r="AC540" s="1" t="str">
        <f>VLOOKUP(A540,[1]Detalle!$D$2:$CW$484,98,FALSE)</f>
        <v>CCUDyAZA</v>
      </c>
    </row>
    <row r="541" spans="1:29" ht="14.25" customHeight="1" x14ac:dyDescent="0.3">
      <c r="A541" s="1" t="s">
        <v>61</v>
      </c>
      <c r="B541" s="1" t="s">
        <v>352</v>
      </c>
      <c r="C541" s="1" t="s">
        <v>418</v>
      </c>
      <c r="D541" s="1" t="s">
        <v>415</v>
      </c>
      <c r="E541" s="1">
        <v>0.25</v>
      </c>
      <c r="F541" s="1" t="s">
        <v>366</v>
      </c>
      <c r="G541" s="6">
        <v>45702</v>
      </c>
      <c r="H541" s="1">
        <v>44127.9</v>
      </c>
      <c r="I541" s="1">
        <v>64127.9</v>
      </c>
      <c r="J541" s="1">
        <v>9317.4000000000033</v>
      </c>
      <c r="K541" s="1">
        <v>10682.6</v>
      </c>
      <c r="L541" s="1">
        <v>53445.3</v>
      </c>
      <c r="M541" s="1">
        <v>245</v>
      </c>
      <c r="N541" s="1">
        <v>40.395367647058812</v>
      </c>
      <c r="O541" s="1">
        <v>280.89778264322638</v>
      </c>
      <c r="P541" s="7">
        <v>45947</v>
      </c>
      <c r="Q541" s="1">
        <v>20000</v>
      </c>
      <c r="R541" s="7">
        <v>46227.897782638887</v>
      </c>
      <c r="S541" s="7">
        <v>46227</v>
      </c>
      <c r="T541" s="7" t="str">
        <f t="shared" si="0"/>
        <v>julio</v>
      </c>
      <c r="U541" s="1" t="s">
        <v>330</v>
      </c>
      <c r="X541" s="1" t="s">
        <v>419</v>
      </c>
      <c r="Y541" s="1" t="s">
        <v>420</v>
      </c>
      <c r="Z541" s="1">
        <v>1</v>
      </c>
      <c r="AA541" s="3">
        <v>42474.239999999998</v>
      </c>
      <c r="AB541" s="3">
        <v>42474.239999999998</v>
      </c>
      <c r="AC541" s="1" t="str">
        <f>VLOOKUP(A541,[1]Detalle!$D$2:$CW$484,98,FALSE)</f>
        <v>CCU_MZA - Comp. Cerv. Unidas - MZA</v>
      </c>
    </row>
    <row r="542" spans="1:29" ht="14.25" customHeight="1" x14ac:dyDescent="0.3">
      <c r="A542" s="1" t="s">
        <v>60</v>
      </c>
      <c r="B542" s="1" t="s">
        <v>352</v>
      </c>
      <c r="C542" s="1" t="s">
        <v>418</v>
      </c>
      <c r="D542" s="1" t="s">
        <v>415</v>
      </c>
      <c r="E542" s="1">
        <v>0.25</v>
      </c>
      <c r="F542" s="1" t="s">
        <v>366</v>
      </c>
      <c r="G542" s="6">
        <v>45611</v>
      </c>
      <c r="H542" s="1">
        <v>29476</v>
      </c>
      <c r="I542" s="1">
        <v>49476</v>
      </c>
      <c r="J542" s="1">
        <v>12799.580000000011</v>
      </c>
      <c r="K542" s="1">
        <v>7200.4199999999892</v>
      </c>
      <c r="L542" s="1">
        <v>42275.580000000009</v>
      </c>
      <c r="M542" s="1">
        <v>336</v>
      </c>
      <c r="N542" s="1">
        <v>40.312058823529441</v>
      </c>
      <c r="O542" s="1">
        <v>189.0172271277647</v>
      </c>
      <c r="P542" s="7">
        <v>45947</v>
      </c>
      <c r="Q542" s="1">
        <v>20000</v>
      </c>
      <c r="R542" s="7">
        <v>46136.017227129632</v>
      </c>
      <c r="S542" s="7">
        <v>46136</v>
      </c>
      <c r="T542" s="7" t="str">
        <f t="shared" si="0"/>
        <v>abril</v>
      </c>
      <c r="U542" s="1" t="s">
        <v>330</v>
      </c>
      <c r="X542" s="1" t="s">
        <v>419</v>
      </c>
      <c r="Y542" s="1" t="s">
        <v>420</v>
      </c>
      <c r="Z542" s="1">
        <v>1</v>
      </c>
      <c r="AA542" s="3">
        <v>42474.239999999998</v>
      </c>
      <c r="AB542" s="3">
        <v>42474.239999999998</v>
      </c>
      <c r="AC542" s="1" t="str">
        <f>VLOOKUP(A542,[1]Detalle!$D$2:$CW$484,98,FALSE)</f>
        <v>CCUDyAZA</v>
      </c>
    </row>
    <row r="543" spans="1:29" ht="14.25" customHeight="1" x14ac:dyDescent="0.3">
      <c r="A543" s="1" t="s">
        <v>52</v>
      </c>
      <c r="B543" s="1" t="s">
        <v>350</v>
      </c>
      <c r="C543" s="1" t="s">
        <v>418</v>
      </c>
      <c r="D543" s="1" t="s">
        <v>415</v>
      </c>
      <c r="E543" s="1">
        <v>0.25</v>
      </c>
      <c r="F543" s="1" t="s">
        <v>366</v>
      </c>
      <c r="G543" s="6">
        <v>45545</v>
      </c>
      <c r="H543" s="1">
        <v>42714.2</v>
      </c>
      <c r="I543" s="1">
        <v>62714.2</v>
      </c>
      <c r="J543" s="1">
        <v>21856.560000000001</v>
      </c>
      <c r="K543" s="1">
        <v>-1856.5599999999979</v>
      </c>
      <c r="L543" s="1">
        <v>64570.759999999987</v>
      </c>
      <c r="M543" s="1">
        <v>402</v>
      </c>
      <c r="N543" s="1">
        <v>53.502481203007598</v>
      </c>
      <c r="O543" s="1">
        <v>-34.147053333186882</v>
      </c>
      <c r="P543" s="7">
        <v>45947</v>
      </c>
      <c r="Q543" s="1">
        <v>20000</v>
      </c>
      <c r="R543" s="7">
        <v>46320.814439074071</v>
      </c>
      <c r="S543" s="7">
        <v>46320</v>
      </c>
      <c r="T543" s="7" t="str">
        <f t="shared" si="0"/>
        <v>octubre</v>
      </c>
      <c r="U543" s="1" t="s">
        <v>330</v>
      </c>
      <c r="X543" s="1" t="s">
        <v>419</v>
      </c>
      <c r="Y543" s="1" t="s">
        <v>420</v>
      </c>
      <c r="Z543" s="1">
        <v>1</v>
      </c>
      <c r="AA543" s="3">
        <v>42474.239999999998</v>
      </c>
      <c r="AB543" s="3">
        <v>42474.239999999998</v>
      </c>
      <c r="AC543" s="1" t="str">
        <f>VLOOKUP(A543,[1]Detalle!$D$2:$CW$484,98,FALSE)</f>
        <v>CMQ_TTE - QUILMES TTE</v>
      </c>
    </row>
    <row r="544" spans="1:29" ht="14.25" customHeight="1" x14ac:dyDescent="0.3">
      <c r="A544" s="1" t="s">
        <v>27</v>
      </c>
      <c r="B544" s="1" t="s">
        <v>335</v>
      </c>
      <c r="C544" s="1" t="s">
        <v>421</v>
      </c>
      <c r="D544" s="1" t="s">
        <v>415</v>
      </c>
      <c r="E544" s="1">
        <v>0.25</v>
      </c>
      <c r="F544" s="1" t="s">
        <v>366</v>
      </c>
      <c r="G544" s="6">
        <v>45827</v>
      </c>
      <c r="H544" s="1">
        <v>68428.5</v>
      </c>
      <c r="I544" s="1">
        <v>88428.5</v>
      </c>
      <c r="J544" s="1">
        <v>5182.2</v>
      </c>
      <c r="K544" s="1">
        <v>14817.8</v>
      </c>
      <c r="L544" s="1">
        <v>73610.7</v>
      </c>
      <c r="M544" s="1">
        <v>120</v>
      </c>
      <c r="N544" s="1">
        <v>48.244391143911422</v>
      </c>
      <c r="O544" s="1">
        <v>343.1237698274864</v>
      </c>
      <c r="P544" s="7">
        <v>45947</v>
      </c>
      <c r="Q544" s="1">
        <v>20000</v>
      </c>
      <c r="R544" s="7">
        <v>46290.123769826387</v>
      </c>
      <c r="S544" s="7">
        <v>46290</v>
      </c>
      <c r="T544" s="7" t="str">
        <f t="shared" si="0"/>
        <v>septiembre</v>
      </c>
      <c r="U544" s="1" t="s">
        <v>330</v>
      </c>
      <c r="X544" s="1" t="s">
        <v>422</v>
      </c>
      <c r="Y544" s="1" t="s">
        <v>423</v>
      </c>
      <c r="Z544" s="1">
        <v>1</v>
      </c>
      <c r="AA544" s="3">
        <v>49777.919999999998</v>
      </c>
      <c r="AB544" s="3">
        <v>49777.919999999998</v>
      </c>
      <c r="AC544" s="1" t="str">
        <f>VLOOKUP(A544,[1]Detalle!$D$2:$CW$484,98,FALSE)</f>
        <v>CMQ_TTE - QUILMES TTE</v>
      </c>
    </row>
    <row r="545" spans="1:29" ht="14.25" customHeight="1" x14ac:dyDescent="0.3">
      <c r="A545" s="1" t="s">
        <v>210</v>
      </c>
      <c r="B545" s="1" t="s">
        <v>340</v>
      </c>
      <c r="C545" s="1" t="s">
        <v>421</v>
      </c>
      <c r="D545" s="1" t="s">
        <v>415</v>
      </c>
      <c r="E545" s="1">
        <v>0.25</v>
      </c>
      <c r="F545" s="1" t="s">
        <v>366</v>
      </c>
      <c r="G545" s="6">
        <v>45603</v>
      </c>
      <c r="H545" s="1">
        <v>342438</v>
      </c>
      <c r="I545" s="1">
        <v>362438</v>
      </c>
      <c r="J545" s="1">
        <v>22886.28</v>
      </c>
      <c r="K545" s="1">
        <v>-2886.280000000002</v>
      </c>
      <c r="L545" s="1">
        <v>365324.28</v>
      </c>
      <c r="M545" s="1">
        <v>344</v>
      </c>
      <c r="N545" s="1">
        <v>66.651970260223024</v>
      </c>
      <c r="O545" s="1">
        <v>-43.383211251457233</v>
      </c>
      <c r="P545" s="7">
        <v>45947</v>
      </c>
      <c r="Q545" s="1">
        <v>20000</v>
      </c>
      <c r="R545" s="7">
        <v>46247.066148414349</v>
      </c>
      <c r="S545" s="7">
        <v>46247</v>
      </c>
      <c r="T545" s="7" t="str">
        <f t="shared" si="0"/>
        <v>agosto</v>
      </c>
      <c r="U545" s="1" t="s">
        <v>330</v>
      </c>
      <c r="X545" s="1" t="s">
        <v>422</v>
      </c>
      <c r="Y545" s="1" t="s">
        <v>423</v>
      </c>
      <c r="Z545" s="1">
        <v>1</v>
      </c>
      <c r="AA545" s="3">
        <v>49777.919999999998</v>
      </c>
      <c r="AB545" s="3">
        <v>49777.919999999998</v>
      </c>
      <c r="AC545" s="1" t="str">
        <f>VLOOKUP(A545,[1]Detalle!$D$2:$CW$484,98,FALSE)</f>
        <v>Topacio</v>
      </c>
    </row>
    <row r="546" spans="1:29" ht="14.25" customHeight="1" x14ac:dyDescent="0.3">
      <c r="A546" s="1" t="s">
        <v>196</v>
      </c>
      <c r="B546" s="1" t="s">
        <v>340</v>
      </c>
      <c r="C546" s="1" t="s">
        <v>421</v>
      </c>
      <c r="D546" s="1" t="s">
        <v>415</v>
      </c>
      <c r="E546" s="1">
        <v>0.25</v>
      </c>
      <c r="F546" s="1" t="s">
        <v>366</v>
      </c>
      <c r="G546" s="6">
        <v>45656</v>
      </c>
      <c r="H546" s="1">
        <v>216285</v>
      </c>
      <c r="I546" s="1">
        <v>236285</v>
      </c>
      <c r="J546" s="1">
        <v>9057.0900000000038</v>
      </c>
      <c r="K546" s="1">
        <v>10942.91</v>
      </c>
      <c r="L546" s="1">
        <v>225342.09</v>
      </c>
      <c r="M546" s="1">
        <v>291</v>
      </c>
      <c r="N546" s="1">
        <v>33.420996309963101</v>
      </c>
      <c r="O546" s="1">
        <v>351.59050092248151</v>
      </c>
      <c r="P546" s="7">
        <v>45947</v>
      </c>
      <c r="Q546" s="1">
        <v>20000</v>
      </c>
      <c r="R546" s="7">
        <v>46298.59050092593</v>
      </c>
      <c r="S546" s="7">
        <v>46298</v>
      </c>
      <c r="T546" s="7" t="str">
        <f t="shared" si="0"/>
        <v>octubre</v>
      </c>
      <c r="U546" s="1" t="s">
        <v>330</v>
      </c>
      <c r="X546" s="1" t="s">
        <v>422</v>
      </c>
      <c r="Y546" s="1" t="s">
        <v>423</v>
      </c>
      <c r="Z546" s="1">
        <v>1</v>
      </c>
      <c r="AA546" s="3">
        <v>49777.919999999998</v>
      </c>
      <c r="AB546" s="3">
        <v>49777.919999999998</v>
      </c>
      <c r="AC546" s="1" t="str">
        <f>VLOOKUP(A546,[1]Detalle!$D$2:$CW$484,98,FALSE)</f>
        <v>CCUCoAZA</v>
      </c>
    </row>
    <row r="547" spans="1:29" ht="14.25" customHeight="1" x14ac:dyDescent="0.3">
      <c r="A547" s="1" t="s">
        <v>190</v>
      </c>
      <c r="B547" s="1" t="s">
        <v>340</v>
      </c>
      <c r="C547" s="1" t="s">
        <v>421</v>
      </c>
      <c r="D547" s="1" t="s">
        <v>415</v>
      </c>
      <c r="E547" s="1">
        <v>0.25</v>
      </c>
      <c r="F547" s="1" t="s">
        <v>366</v>
      </c>
      <c r="G547" s="6">
        <v>45785</v>
      </c>
      <c r="H547" s="1">
        <v>249976</v>
      </c>
      <c r="I547" s="1">
        <v>269976</v>
      </c>
      <c r="J547" s="1">
        <v>7170.0999999999995</v>
      </c>
      <c r="K547" s="1">
        <v>12829.9</v>
      </c>
      <c r="L547" s="1">
        <v>257146.1</v>
      </c>
      <c r="M547" s="1">
        <v>162</v>
      </c>
      <c r="N547" s="1">
        <v>37.516848874598068</v>
      </c>
      <c r="O547" s="1">
        <v>289.876542865511</v>
      </c>
      <c r="P547" s="7">
        <v>45947</v>
      </c>
      <c r="Q547" s="1">
        <v>20000</v>
      </c>
      <c r="R547" s="7">
        <v>46236.87654287037</v>
      </c>
      <c r="S547" s="7">
        <v>46236</v>
      </c>
      <c r="T547" s="7" t="str">
        <f t="shared" si="0"/>
        <v>agosto</v>
      </c>
      <c r="U547" s="1" t="s">
        <v>330</v>
      </c>
      <c r="X547" s="1" t="s">
        <v>422</v>
      </c>
      <c r="Y547" s="1" t="s">
        <v>423</v>
      </c>
      <c r="Z547" s="1">
        <v>1</v>
      </c>
      <c r="AA547" s="3">
        <v>49777.919999999998</v>
      </c>
      <c r="AB547" s="3">
        <v>49777.919999999998</v>
      </c>
      <c r="AC547" s="1" t="str">
        <f>VLOOKUP(A547,[1]Detalle!$D$2:$CW$484,98,FALSE)</f>
        <v>CCUCoAZA</v>
      </c>
    </row>
    <row r="548" spans="1:29" ht="14.25" customHeight="1" x14ac:dyDescent="0.3">
      <c r="A548" s="1" t="s">
        <v>189</v>
      </c>
      <c r="B548" s="1" t="s">
        <v>340</v>
      </c>
      <c r="C548" s="1" t="s">
        <v>421</v>
      </c>
      <c r="D548" s="1" t="s">
        <v>415</v>
      </c>
      <c r="E548" s="1">
        <v>0.25</v>
      </c>
      <c r="F548" s="1" t="s">
        <v>366</v>
      </c>
      <c r="G548" s="6">
        <v>45790</v>
      </c>
      <c r="H548" s="1">
        <v>237476</v>
      </c>
      <c r="I548" s="1">
        <v>257476</v>
      </c>
      <c r="J548" s="1">
        <v>6287.2000000000007</v>
      </c>
      <c r="K548" s="1">
        <v>13712.8</v>
      </c>
      <c r="L548" s="1">
        <v>243763.20000000001</v>
      </c>
      <c r="M548" s="1">
        <v>157</v>
      </c>
      <c r="N548" s="1">
        <v>36.85391585760523</v>
      </c>
      <c r="O548" s="1">
        <v>342.42740806718399</v>
      </c>
      <c r="P548" s="7">
        <v>45947</v>
      </c>
      <c r="Q548" s="1">
        <v>20000</v>
      </c>
      <c r="R548" s="7">
        <v>46289.427408067131</v>
      </c>
      <c r="S548" s="7">
        <v>46289</v>
      </c>
      <c r="T548" s="7" t="str">
        <f t="shared" si="0"/>
        <v>septiembre</v>
      </c>
      <c r="U548" s="1" t="s">
        <v>330</v>
      </c>
      <c r="X548" s="1" t="s">
        <v>422</v>
      </c>
      <c r="Y548" s="1" t="s">
        <v>423</v>
      </c>
      <c r="Z548" s="1">
        <v>1</v>
      </c>
      <c r="AA548" s="3">
        <v>49777.919999999998</v>
      </c>
      <c r="AB548" s="3">
        <v>49777.919999999998</v>
      </c>
      <c r="AC548" s="1" t="str">
        <f>VLOOKUP(A548,[1]Detalle!$D$2:$CW$484,98,FALSE)</f>
        <v>CCUDyAZA</v>
      </c>
    </row>
    <row r="549" spans="1:29" ht="14.25" customHeight="1" x14ac:dyDescent="0.3">
      <c r="A549" s="1" t="s">
        <v>180</v>
      </c>
      <c r="B549" s="1" t="s">
        <v>340</v>
      </c>
      <c r="C549" s="1" t="s">
        <v>421</v>
      </c>
      <c r="D549" s="1" t="s">
        <v>415</v>
      </c>
      <c r="E549" s="1">
        <v>0.25</v>
      </c>
      <c r="F549" s="1" t="s">
        <v>366</v>
      </c>
      <c r="G549" s="6">
        <v>45842</v>
      </c>
      <c r="H549" s="1">
        <v>227732</v>
      </c>
      <c r="I549" s="1">
        <v>247732</v>
      </c>
      <c r="J549" s="1">
        <v>5333.9000000000024</v>
      </c>
      <c r="K549" s="1">
        <v>14666.1</v>
      </c>
      <c r="L549" s="1">
        <v>233065.9</v>
      </c>
      <c r="M549" s="1">
        <v>105</v>
      </c>
      <c r="N549" s="1">
        <v>40.479774193548408</v>
      </c>
      <c r="O549" s="1">
        <v>288.70816850709599</v>
      </c>
      <c r="P549" s="7">
        <v>45947</v>
      </c>
      <c r="Q549" s="1">
        <v>20000</v>
      </c>
      <c r="R549" s="7">
        <v>46235.708168506942</v>
      </c>
      <c r="S549" s="7">
        <v>46235</v>
      </c>
      <c r="T549" s="7" t="str">
        <f t="shared" si="0"/>
        <v>agosto</v>
      </c>
      <c r="U549" s="1" t="s">
        <v>330</v>
      </c>
      <c r="X549" s="1" t="s">
        <v>422</v>
      </c>
      <c r="Y549" s="1" t="s">
        <v>423</v>
      </c>
      <c r="Z549" s="1">
        <v>1</v>
      </c>
      <c r="AA549" s="3">
        <v>49777.919999999998</v>
      </c>
      <c r="AB549" s="3">
        <v>49777.919999999998</v>
      </c>
      <c r="AC549" s="1" t="str">
        <f>VLOOKUP(A549,[1]Detalle!$D$2:$CW$484,98,FALSE)</f>
        <v>CCUCoAZA</v>
      </c>
    </row>
    <row r="550" spans="1:29" ht="14.25" customHeight="1" x14ac:dyDescent="0.3">
      <c r="A550" s="1" t="s">
        <v>179</v>
      </c>
      <c r="B550" s="1" t="s">
        <v>340</v>
      </c>
      <c r="C550" s="1" t="s">
        <v>421</v>
      </c>
      <c r="D550" s="1" t="s">
        <v>415</v>
      </c>
      <c r="E550" s="1">
        <v>0.25</v>
      </c>
      <c r="F550" s="1" t="s">
        <v>366</v>
      </c>
      <c r="G550" s="6">
        <v>45742</v>
      </c>
      <c r="H550" s="1">
        <v>283696</v>
      </c>
      <c r="I550" s="1">
        <v>303696</v>
      </c>
      <c r="J550" s="1">
        <v>7346.0000000000036</v>
      </c>
      <c r="K550" s="1">
        <v>12654</v>
      </c>
      <c r="L550" s="1">
        <v>291042</v>
      </c>
      <c r="M550" s="1">
        <v>205</v>
      </c>
      <c r="N550" s="1">
        <v>34.247774193548388</v>
      </c>
      <c r="O550" s="1">
        <v>353.12687176694772</v>
      </c>
      <c r="P550" s="7">
        <v>45947</v>
      </c>
      <c r="Q550" s="1">
        <v>20000</v>
      </c>
      <c r="R550" s="7">
        <v>46300.12687177083</v>
      </c>
      <c r="S550" s="7">
        <v>46300</v>
      </c>
      <c r="T550" s="7" t="str">
        <f t="shared" si="0"/>
        <v>octubre</v>
      </c>
      <c r="U550" s="1" t="s">
        <v>330</v>
      </c>
      <c r="X550" s="1" t="s">
        <v>422</v>
      </c>
      <c r="Y550" s="1" t="s">
        <v>423</v>
      </c>
      <c r="Z550" s="1">
        <v>1</v>
      </c>
      <c r="AA550" s="3">
        <v>49777.919999999998</v>
      </c>
      <c r="AB550" s="3">
        <v>49777.919999999998</v>
      </c>
      <c r="AC550" s="1" t="str">
        <f>VLOOKUP(A550,[1]Detalle!$D$2:$CW$484,98,FALSE)</f>
        <v>CCUCoAZA</v>
      </c>
    </row>
    <row r="551" spans="1:29" ht="14.25" customHeight="1" x14ac:dyDescent="0.3">
      <c r="A551" s="1" t="s">
        <v>82</v>
      </c>
      <c r="B551" s="1" t="s">
        <v>338</v>
      </c>
      <c r="C551" s="1" t="s">
        <v>421</v>
      </c>
      <c r="D551" s="1" t="s">
        <v>415</v>
      </c>
      <c r="E551" s="1">
        <v>0.25</v>
      </c>
      <c r="F551" s="1" t="s">
        <v>366</v>
      </c>
      <c r="G551" s="6">
        <v>45822</v>
      </c>
      <c r="H551" s="1">
        <v>71797</v>
      </c>
      <c r="I551" s="1">
        <v>91797</v>
      </c>
      <c r="J551" s="1">
        <v>0</v>
      </c>
      <c r="K551" s="1">
        <v>20000</v>
      </c>
      <c r="L551" s="1">
        <v>71797</v>
      </c>
      <c r="M551" s="1">
        <v>125</v>
      </c>
      <c r="N551" s="1">
        <v>4.7505769230769239</v>
      </c>
      <c r="O551" s="1">
        <v>200</v>
      </c>
      <c r="P551" s="7">
        <v>45947</v>
      </c>
      <c r="Q551" s="1">
        <v>20000</v>
      </c>
      <c r="R551" s="7">
        <v>46147</v>
      </c>
      <c r="S551" s="7">
        <v>46147</v>
      </c>
      <c r="T551" s="7" t="str">
        <f t="shared" si="0"/>
        <v>mayo</v>
      </c>
      <c r="U551" s="1" t="s">
        <v>330</v>
      </c>
      <c r="X551" s="1" t="s">
        <v>422</v>
      </c>
      <c r="Y551" s="1" t="s">
        <v>423</v>
      </c>
      <c r="Z551" s="1">
        <v>1</v>
      </c>
      <c r="AA551" s="3">
        <v>49777.919999999998</v>
      </c>
      <c r="AB551" s="3">
        <v>49777.919999999998</v>
      </c>
      <c r="AC551" s="1" t="str">
        <f>VLOOKUP(A551,[1]Detalle!$D$2:$CW$484,98,FALSE)</f>
        <v>CENCO_MZ - Cencosud SA - Mendoza</v>
      </c>
    </row>
    <row r="552" spans="1:29" ht="14.25" customHeight="1" x14ac:dyDescent="0.3">
      <c r="A552" s="1" t="s">
        <v>42</v>
      </c>
      <c r="B552" s="1" t="s">
        <v>336</v>
      </c>
      <c r="C552" s="1" t="s">
        <v>421</v>
      </c>
      <c r="D552" s="1" t="s">
        <v>415</v>
      </c>
      <c r="E552" s="1">
        <v>0.25</v>
      </c>
      <c r="F552" s="1" t="s">
        <v>366</v>
      </c>
      <c r="G552" s="6">
        <v>45461</v>
      </c>
      <c r="H552" s="1">
        <v>38855.1</v>
      </c>
      <c r="I552" s="1">
        <v>58855.1</v>
      </c>
      <c r="J552" s="1">
        <v>22989.899999999991</v>
      </c>
      <c r="K552" s="1">
        <v>-2989.899999999991</v>
      </c>
      <c r="L552" s="1">
        <v>61844.999999999993</v>
      </c>
      <c r="M552" s="1">
        <v>486</v>
      </c>
      <c r="N552" s="1">
        <v>45.422519083969469</v>
      </c>
      <c r="O552" s="1">
        <v>-63.205642477783549</v>
      </c>
      <c r="P552" s="7">
        <v>45947</v>
      </c>
      <c r="Q552" s="1">
        <v>20000</v>
      </c>
      <c r="R552" s="7">
        <v>46387.310233854158</v>
      </c>
      <c r="S552" s="7">
        <v>46387</v>
      </c>
      <c r="T552" s="7" t="str">
        <f t="shared" si="0"/>
        <v>diciembre</v>
      </c>
      <c r="U552" s="1" t="s">
        <v>330</v>
      </c>
      <c r="X552" s="1" t="s">
        <v>422</v>
      </c>
      <c r="Y552" s="1" t="s">
        <v>423</v>
      </c>
      <c r="Z552" s="1">
        <v>1</v>
      </c>
      <c r="AA552" s="3">
        <v>49777.919999999998</v>
      </c>
      <c r="AB552" s="3">
        <v>49777.919999999998</v>
      </c>
      <c r="AC552" s="1" t="str">
        <f>VLOOKUP(A552,[1]Detalle!$D$2:$CW$484,98,FALSE)</f>
        <v>CMQ_TTE - QUILMES TTE</v>
      </c>
    </row>
    <row r="553" spans="1:29" ht="14.25" customHeight="1" x14ac:dyDescent="0.3">
      <c r="A553" s="1" t="s">
        <v>40</v>
      </c>
      <c r="B553" s="1" t="s">
        <v>336</v>
      </c>
      <c r="C553" s="1" t="s">
        <v>421</v>
      </c>
      <c r="D553" s="1" t="s">
        <v>415</v>
      </c>
      <c r="E553" s="1">
        <v>0.25</v>
      </c>
      <c r="F553" s="1" t="s">
        <v>366</v>
      </c>
      <c r="G553" s="6">
        <v>45289</v>
      </c>
      <c r="H553" s="1">
        <v>39135</v>
      </c>
      <c r="I553" s="1">
        <v>59135</v>
      </c>
      <c r="J553" s="1">
        <v>34703.519999999939</v>
      </c>
      <c r="K553" s="1">
        <v>-14703.51999999994</v>
      </c>
      <c r="L553" s="1">
        <v>73838.519999999931</v>
      </c>
      <c r="M553" s="1">
        <v>658</v>
      </c>
      <c r="N553" s="1">
        <v>51.09303703703705</v>
      </c>
      <c r="O553" s="1">
        <v>-278.78774717953621</v>
      </c>
      <c r="P553" s="7">
        <v>45947</v>
      </c>
      <c r="Q553" s="1">
        <v>20000</v>
      </c>
      <c r="R553" s="7">
        <v>46338.442771064823</v>
      </c>
      <c r="S553" s="7">
        <v>46338</v>
      </c>
      <c r="T553" s="7" t="str">
        <f t="shared" si="0"/>
        <v>noviembre</v>
      </c>
      <c r="U553" s="1" t="s">
        <v>330</v>
      </c>
      <c r="X553" s="1" t="s">
        <v>422</v>
      </c>
      <c r="Y553" s="1" t="s">
        <v>423</v>
      </c>
      <c r="Z553" s="1">
        <v>1</v>
      </c>
      <c r="AA553" s="3">
        <v>49777.919999999998</v>
      </c>
      <c r="AB553" s="3">
        <v>49777.919999999998</v>
      </c>
      <c r="AC553" s="1" t="str">
        <f>VLOOKUP(A553,[1]Detalle!$D$2:$CW$484,98,FALSE)</f>
        <v>CMQ_TTE - QUILMES TTE</v>
      </c>
    </row>
    <row r="554" spans="1:29" ht="14.25" customHeight="1" x14ac:dyDescent="0.3">
      <c r="A554" s="1" t="s">
        <v>273</v>
      </c>
      <c r="B554" s="1" t="s">
        <v>349</v>
      </c>
      <c r="C554" s="1" t="s">
        <v>421</v>
      </c>
      <c r="D554" s="1" t="s">
        <v>415</v>
      </c>
      <c r="E554" s="1">
        <v>0.25</v>
      </c>
      <c r="F554" s="1" t="s">
        <v>366</v>
      </c>
      <c r="G554" s="1" t="s">
        <v>337</v>
      </c>
      <c r="N554" s="1">
        <v>169.51837638376381</v>
      </c>
      <c r="P554" s="7">
        <v>45947</v>
      </c>
      <c r="Q554" s="1">
        <v>20000</v>
      </c>
      <c r="R554" s="7">
        <v>46064.981309317132</v>
      </c>
      <c r="S554" s="7">
        <v>46064</v>
      </c>
      <c r="T554" s="7" t="str">
        <f t="shared" si="0"/>
        <v>febrero</v>
      </c>
      <c r="U554" s="1" t="s">
        <v>330</v>
      </c>
      <c r="X554" s="1" t="s">
        <v>422</v>
      </c>
      <c r="Y554" s="1" t="s">
        <v>423</v>
      </c>
      <c r="Z554" s="1">
        <v>1</v>
      </c>
      <c r="AA554" s="3">
        <v>49777.919999999998</v>
      </c>
      <c r="AB554" s="3">
        <v>49777.919999999998</v>
      </c>
      <c r="AC554" s="1" t="str">
        <f>VLOOKUP(A554,[1]Detalle!$D$2:$CW$484,98,FALSE)</f>
        <v>CENCOMLD - Cencosud SA - Mendoza</v>
      </c>
    </row>
    <row r="555" spans="1:29" ht="14.25" customHeight="1" x14ac:dyDescent="0.3">
      <c r="A555" s="1" t="s">
        <v>267</v>
      </c>
      <c r="B555" s="1" t="s">
        <v>349</v>
      </c>
      <c r="C555" s="1" t="s">
        <v>421</v>
      </c>
      <c r="D555" s="1" t="s">
        <v>415</v>
      </c>
      <c r="E555" s="1">
        <v>0.25</v>
      </c>
      <c r="F555" s="1" t="s">
        <v>366</v>
      </c>
      <c r="G555" s="1" t="s">
        <v>337</v>
      </c>
      <c r="H555" s="1">
        <v>292381</v>
      </c>
      <c r="I555" s="1">
        <v>312381</v>
      </c>
      <c r="J555" s="1">
        <v>7939.1000000000049</v>
      </c>
      <c r="K555" s="1">
        <v>12060.899999999991</v>
      </c>
      <c r="L555" s="1">
        <v>300320.09999999998</v>
      </c>
      <c r="M555" s="1">
        <v>222</v>
      </c>
      <c r="N555" s="1">
        <v>30.400741935483872</v>
      </c>
      <c r="O555" s="1">
        <v>337.25734655061621</v>
      </c>
      <c r="P555" s="7">
        <v>45947</v>
      </c>
      <c r="Q555" s="1">
        <v>20000</v>
      </c>
      <c r="R555" s="7">
        <v>46284.257346550927</v>
      </c>
      <c r="S555" s="7">
        <v>46284</v>
      </c>
      <c r="T555" s="7" t="str">
        <f t="shared" si="0"/>
        <v>septiembre</v>
      </c>
      <c r="U555" s="1" t="s">
        <v>330</v>
      </c>
      <c r="X555" s="1" t="s">
        <v>422</v>
      </c>
      <c r="Y555" s="1" t="s">
        <v>423</v>
      </c>
      <c r="Z555" s="1">
        <v>1</v>
      </c>
      <c r="AA555" s="3">
        <v>49777.919999999998</v>
      </c>
      <c r="AB555" s="3">
        <v>49777.919999999998</v>
      </c>
      <c r="AC555" s="1" t="str">
        <f>VLOOKUP(A555,[1]Detalle!$D$2:$CW$484,98,FALSE)</f>
        <v>CCUDyAZA</v>
      </c>
    </row>
    <row r="556" spans="1:29" ht="14.25" customHeight="1" x14ac:dyDescent="0.3">
      <c r="A556" s="1" t="s">
        <v>208</v>
      </c>
      <c r="B556" s="1" t="s">
        <v>349</v>
      </c>
      <c r="C556" s="1" t="s">
        <v>421</v>
      </c>
      <c r="D556" s="1" t="s">
        <v>415</v>
      </c>
      <c r="E556" s="1">
        <v>0.25</v>
      </c>
      <c r="F556" s="1" t="s">
        <v>366</v>
      </c>
      <c r="G556" s="6">
        <v>45898</v>
      </c>
      <c r="H556" s="1">
        <v>279340</v>
      </c>
      <c r="I556" s="1">
        <v>299340</v>
      </c>
      <c r="J556" s="1">
        <v>2584.1999999999998</v>
      </c>
      <c r="K556" s="1">
        <v>17415.8</v>
      </c>
      <c r="L556" s="1">
        <v>281924.2</v>
      </c>
      <c r="M556" s="1">
        <v>49</v>
      </c>
      <c r="N556" s="1">
        <v>86.131808118081167</v>
      </c>
      <c r="O556" s="1">
        <v>330.22761396176759</v>
      </c>
      <c r="P556" s="7">
        <v>45947</v>
      </c>
      <c r="Q556" s="1">
        <v>20000</v>
      </c>
      <c r="R556" s="7">
        <v>46277.227613958326</v>
      </c>
      <c r="S556" s="7">
        <v>46277</v>
      </c>
      <c r="T556" s="7" t="str">
        <f t="shared" si="0"/>
        <v>septiembre</v>
      </c>
      <c r="U556" s="1" t="s">
        <v>330</v>
      </c>
      <c r="X556" s="1" t="s">
        <v>422</v>
      </c>
      <c r="Y556" s="1" t="s">
        <v>423</v>
      </c>
      <c r="Z556" s="1">
        <v>1</v>
      </c>
      <c r="AA556" s="3">
        <v>49777.919999999998</v>
      </c>
      <c r="AB556" s="3">
        <v>49777.919999999998</v>
      </c>
      <c r="AC556" s="1" t="str">
        <f>VLOOKUP(A556,[1]Detalle!$D$2:$CW$484,98,FALSE)</f>
        <v>CENCO_MZ - Cencosud SA - Mendoza</v>
      </c>
    </row>
    <row r="557" spans="1:29" ht="14.25" customHeight="1" x14ac:dyDescent="0.3">
      <c r="A557" s="1" t="s">
        <v>207</v>
      </c>
      <c r="B557" s="1" t="s">
        <v>349</v>
      </c>
      <c r="C557" s="1" t="s">
        <v>421</v>
      </c>
      <c r="D557" s="1" t="s">
        <v>415</v>
      </c>
      <c r="E557" s="1">
        <v>0.25</v>
      </c>
      <c r="F557" s="1" t="s">
        <v>366</v>
      </c>
      <c r="G557" s="6">
        <v>45786</v>
      </c>
      <c r="H557" s="1">
        <v>331282</v>
      </c>
      <c r="I557" s="1">
        <v>351282</v>
      </c>
      <c r="J557" s="1">
        <v>13312.400000000011</v>
      </c>
      <c r="K557" s="1">
        <v>6687.5999999999931</v>
      </c>
      <c r="L557" s="1">
        <v>344594.4</v>
      </c>
      <c r="M557" s="1">
        <v>161</v>
      </c>
      <c r="N557" s="1">
        <v>86.162316176470569</v>
      </c>
      <c r="O557" s="1">
        <v>80.879751209398634</v>
      </c>
      <c r="P557" s="7">
        <v>45947</v>
      </c>
      <c r="Q557" s="1">
        <v>20000</v>
      </c>
      <c r="R557" s="7">
        <v>46027.879751203713</v>
      </c>
      <c r="S557" s="7">
        <v>46027</v>
      </c>
      <c r="T557" s="7" t="str">
        <f t="shared" si="0"/>
        <v>enero</v>
      </c>
      <c r="U557" s="1" t="s">
        <v>330</v>
      </c>
      <c r="X557" s="1" t="s">
        <v>422</v>
      </c>
      <c r="Y557" s="1" t="s">
        <v>423</v>
      </c>
      <c r="Z557" s="1">
        <v>1</v>
      </c>
      <c r="AA557" s="3">
        <v>49777.919999999998</v>
      </c>
      <c r="AB557" s="3">
        <v>49777.919999999998</v>
      </c>
      <c r="AC557" s="1" t="str">
        <f>VLOOKUP(A557,[1]Detalle!$D$2:$CW$484,98,FALSE)</f>
        <v>CENCO_MZ - Cencosud SA - Mendoza</v>
      </c>
    </row>
    <row r="558" spans="1:29" ht="14.25" customHeight="1" x14ac:dyDescent="0.3">
      <c r="A558" s="1" t="s">
        <v>3</v>
      </c>
      <c r="B558" s="1" t="s">
        <v>327</v>
      </c>
      <c r="C558" s="1" t="s">
        <v>421</v>
      </c>
      <c r="D558" s="1" t="s">
        <v>415</v>
      </c>
      <c r="E558" s="1">
        <v>0.25</v>
      </c>
      <c r="F558" s="1" t="s">
        <v>366</v>
      </c>
      <c r="G558" s="6">
        <v>45742</v>
      </c>
      <c r="H558" s="1">
        <v>24483.4</v>
      </c>
      <c r="I558" s="1">
        <v>44483.4</v>
      </c>
      <c r="J558" s="1">
        <v>12540.3</v>
      </c>
      <c r="K558" s="1">
        <v>7459.6999999999971</v>
      </c>
      <c r="L558" s="1">
        <v>37023.699999999997</v>
      </c>
      <c r="M558" s="1">
        <v>205</v>
      </c>
      <c r="N558" s="1">
        <v>67.727480916030515</v>
      </c>
      <c r="O558" s="1">
        <v>121.94592633350069</v>
      </c>
      <c r="P558" s="7">
        <v>45947</v>
      </c>
      <c r="Q558" s="1">
        <v>20000</v>
      </c>
      <c r="R558" s="7">
        <v>46068.94592633102</v>
      </c>
      <c r="S558" s="7">
        <v>46068</v>
      </c>
      <c r="T558" s="7" t="str">
        <f t="shared" si="0"/>
        <v>febrero</v>
      </c>
      <c r="U558" s="1" t="s">
        <v>330</v>
      </c>
      <c r="X558" s="1" t="s">
        <v>422</v>
      </c>
      <c r="Y558" s="1" t="s">
        <v>423</v>
      </c>
      <c r="Z558" s="1">
        <v>1</v>
      </c>
      <c r="AA558" s="3">
        <v>49777.919999999998</v>
      </c>
      <c r="AB558" s="3">
        <v>49777.919999999998</v>
      </c>
      <c r="AC558" s="1" t="str">
        <f>VLOOKUP(A558,[1]Detalle!$D$2:$CW$484,98,FALSE)</f>
        <v>CCU_MZA - Comp. Cerv. Unidas - MZA</v>
      </c>
    </row>
    <row r="559" spans="1:29" ht="14.25" customHeight="1" x14ac:dyDescent="0.3">
      <c r="A559" s="1" t="s">
        <v>88</v>
      </c>
      <c r="B559" s="1" t="s">
        <v>399</v>
      </c>
      <c r="C559" s="1" t="s">
        <v>424</v>
      </c>
      <c r="D559" s="1" t="s">
        <v>415</v>
      </c>
      <c r="E559" s="1">
        <v>0.25</v>
      </c>
      <c r="F559" s="1" t="s">
        <v>366</v>
      </c>
      <c r="G559" s="6">
        <v>45603</v>
      </c>
      <c r="H559" s="1">
        <v>18877</v>
      </c>
      <c r="I559" s="1">
        <v>38877</v>
      </c>
      <c r="J559" s="1">
        <v>13183.70000000001</v>
      </c>
      <c r="K559" s="1">
        <v>6816.299999999992</v>
      </c>
      <c r="L559" s="1">
        <v>32060.700000000012</v>
      </c>
      <c r="M559" s="1">
        <v>344</v>
      </c>
      <c r="N559" s="1">
        <v>37.875645756457558</v>
      </c>
      <c r="O559" s="1">
        <v>177.856534963629</v>
      </c>
      <c r="P559" s="7">
        <v>45947</v>
      </c>
      <c r="Q559" s="1">
        <v>20000</v>
      </c>
      <c r="R559" s="7">
        <v>46124.856534965278</v>
      </c>
      <c r="S559" s="7">
        <v>46124</v>
      </c>
      <c r="T559" s="7" t="str">
        <f t="shared" si="0"/>
        <v>abril</v>
      </c>
      <c r="U559" s="1" t="s">
        <v>330</v>
      </c>
      <c r="X559" s="1" t="s">
        <v>425</v>
      </c>
      <c r="Y559" s="1" t="s">
        <v>426</v>
      </c>
      <c r="Z559" s="1">
        <v>1</v>
      </c>
      <c r="AA559" s="3">
        <v>126126.58</v>
      </c>
      <c r="AB559" s="3">
        <v>126126.58</v>
      </c>
      <c r="AC559" s="1" t="str">
        <f>VLOOKUP(A559,[1]Detalle!$D$2:$CW$484,98,FALSE)</f>
        <v>CMQ_TTE - QUILMES TTE</v>
      </c>
    </row>
    <row r="560" spans="1:29" ht="14.25" customHeight="1" x14ac:dyDescent="0.3">
      <c r="A560" s="1" t="s">
        <v>87</v>
      </c>
      <c r="B560" s="1" t="s">
        <v>399</v>
      </c>
      <c r="C560" s="1" t="s">
        <v>424</v>
      </c>
      <c r="D560" s="1" t="s">
        <v>415</v>
      </c>
      <c r="E560" s="1">
        <v>0.25</v>
      </c>
      <c r="F560" s="1" t="s">
        <v>366</v>
      </c>
      <c r="G560" s="6">
        <v>45905</v>
      </c>
      <c r="H560" s="1">
        <v>52971.7</v>
      </c>
      <c r="I560" s="1">
        <v>72971.7</v>
      </c>
      <c r="J560" s="1">
        <v>0</v>
      </c>
      <c r="K560" s="1">
        <v>20000</v>
      </c>
      <c r="L560" s="1">
        <v>52971.7</v>
      </c>
      <c r="M560" s="1">
        <v>42</v>
      </c>
      <c r="N560" s="1">
        <v>3.001660516605166</v>
      </c>
      <c r="O560" s="1">
        <v>200</v>
      </c>
      <c r="P560" s="7">
        <v>45947</v>
      </c>
      <c r="Q560" s="1">
        <v>20000</v>
      </c>
      <c r="R560" s="7">
        <v>46147</v>
      </c>
      <c r="S560" s="7">
        <v>46147</v>
      </c>
      <c r="T560" s="7" t="str">
        <f t="shared" si="0"/>
        <v>mayo</v>
      </c>
      <c r="U560" s="1" t="s">
        <v>330</v>
      </c>
      <c r="X560" s="1" t="s">
        <v>425</v>
      </c>
      <c r="Y560" s="1" t="s">
        <v>426</v>
      </c>
      <c r="Z560" s="1">
        <v>1</v>
      </c>
      <c r="AA560" s="3">
        <v>126126.58</v>
      </c>
      <c r="AB560" s="3">
        <v>126126.58</v>
      </c>
      <c r="AC560" s="1" t="str">
        <f>VLOOKUP(A560,[1]Detalle!$D$2:$CW$484,98,FALSE)</f>
        <v>CENCO_MZ - Cencosud SA - Mendoza</v>
      </c>
    </row>
    <row r="561" spans="1:29" ht="14.25" customHeight="1" x14ac:dyDescent="0.3">
      <c r="A561" s="1" t="s">
        <v>71</v>
      </c>
      <c r="B561" s="1" t="s">
        <v>403</v>
      </c>
      <c r="C561" s="1" t="s">
        <v>424</v>
      </c>
      <c r="D561" s="1" t="s">
        <v>415</v>
      </c>
      <c r="E561" s="1">
        <v>0.25</v>
      </c>
      <c r="F561" s="1" t="s">
        <v>366</v>
      </c>
      <c r="G561" s="6">
        <v>45838</v>
      </c>
      <c r="H561" s="1">
        <v>37932</v>
      </c>
      <c r="I561" s="1">
        <v>57932</v>
      </c>
      <c r="J561" s="1">
        <v>4460.9999999999991</v>
      </c>
      <c r="K561" s="1">
        <v>15539</v>
      </c>
      <c r="L561" s="1">
        <v>42393</v>
      </c>
      <c r="M561" s="1">
        <v>109</v>
      </c>
      <c r="N561" s="1">
        <v>38.195276752767562</v>
      </c>
      <c r="O561" s="1">
        <v>379.67966823582162</v>
      </c>
      <c r="P561" s="7">
        <v>45947</v>
      </c>
      <c r="Q561" s="1">
        <v>20000</v>
      </c>
      <c r="R561" s="7">
        <v>46326.679668240737</v>
      </c>
      <c r="S561" s="7">
        <v>46326</v>
      </c>
      <c r="T561" s="7" t="str">
        <f t="shared" si="0"/>
        <v>octubre</v>
      </c>
      <c r="U561" s="1" t="s">
        <v>330</v>
      </c>
      <c r="X561" s="1" t="s">
        <v>425</v>
      </c>
      <c r="Y561" s="1" t="s">
        <v>426</v>
      </c>
      <c r="Z561" s="1">
        <v>1</v>
      </c>
      <c r="AA561" s="3">
        <v>126126.58</v>
      </c>
      <c r="AB561" s="3">
        <v>126126.58</v>
      </c>
      <c r="AC561" s="1" t="str">
        <f>VLOOKUP(A561,[1]Detalle!$D$2:$CW$484,98,FALSE)</f>
        <v>CMQ_TTE - QUILMES TTE</v>
      </c>
    </row>
    <row r="562" spans="1:29" ht="14.25" customHeight="1" x14ac:dyDescent="0.3">
      <c r="A562" s="1" t="s">
        <v>66</v>
      </c>
      <c r="B562" s="1" t="s">
        <v>404</v>
      </c>
      <c r="C562" s="1" t="s">
        <v>424</v>
      </c>
      <c r="D562" s="1" t="s">
        <v>415</v>
      </c>
      <c r="E562" s="1">
        <v>0.25</v>
      </c>
      <c r="F562" s="1" t="s">
        <v>366</v>
      </c>
      <c r="G562" s="6">
        <v>45586</v>
      </c>
      <c r="H562" s="1">
        <v>14436</v>
      </c>
      <c r="I562" s="1">
        <v>34436</v>
      </c>
      <c r="J562" s="1">
        <v>9131.8000000000029</v>
      </c>
      <c r="K562" s="1">
        <v>10868.2</v>
      </c>
      <c r="L562" s="1">
        <v>23567.8</v>
      </c>
      <c r="M562" s="1">
        <v>361</v>
      </c>
      <c r="N562" s="1">
        <v>25.02444444444442</v>
      </c>
      <c r="O562" s="1">
        <v>429.64368470619132</v>
      </c>
      <c r="P562" s="7">
        <v>45947</v>
      </c>
      <c r="Q562" s="1">
        <v>20000</v>
      </c>
      <c r="R562" s="7">
        <v>46376.643684710652</v>
      </c>
      <c r="S562" s="7">
        <v>46376</v>
      </c>
      <c r="T562" s="7" t="str">
        <f t="shared" si="0"/>
        <v>diciembre</v>
      </c>
      <c r="U562" s="1" t="s">
        <v>330</v>
      </c>
      <c r="X562" s="1" t="s">
        <v>425</v>
      </c>
      <c r="Y562" s="1" t="s">
        <v>426</v>
      </c>
      <c r="Z562" s="1">
        <v>1</v>
      </c>
      <c r="AA562" s="3">
        <v>126126.58</v>
      </c>
      <c r="AB562" s="3">
        <v>126126.58</v>
      </c>
      <c r="AC562" s="1" t="str">
        <f>VLOOKUP(A562,[1]Detalle!$D$2:$CW$484,98,FALSE)</f>
        <v>CMQ_TTE - QUILMES TTE</v>
      </c>
    </row>
    <row r="563" spans="1:29" ht="14.25" customHeight="1" x14ac:dyDescent="0.3">
      <c r="A563" s="1" t="s">
        <v>46</v>
      </c>
      <c r="B563" s="1" t="s">
        <v>405</v>
      </c>
      <c r="C563" s="1" t="s">
        <v>424</v>
      </c>
      <c r="D563" s="1" t="s">
        <v>415</v>
      </c>
      <c r="E563" s="1">
        <v>0.25</v>
      </c>
      <c r="F563" s="1" t="s">
        <v>366</v>
      </c>
      <c r="G563" s="6">
        <v>45433</v>
      </c>
      <c r="H563" s="1">
        <v>42190.455000000002</v>
      </c>
      <c r="I563" s="1">
        <v>62190.455000000002</v>
      </c>
      <c r="J563" s="1">
        <v>27560.459999999988</v>
      </c>
      <c r="K563" s="1">
        <v>-7560.4599999999882</v>
      </c>
      <c r="L563" s="1">
        <v>69750.914999999994</v>
      </c>
      <c r="M563" s="1">
        <v>514</v>
      </c>
      <c r="N563" s="1">
        <v>50.965294117647097</v>
      </c>
      <c r="O563" s="1">
        <v>-141.00187152173791</v>
      </c>
      <c r="P563" s="7">
        <v>45947</v>
      </c>
      <c r="Q563" s="1">
        <v>20000</v>
      </c>
      <c r="R563" s="7">
        <v>46339.423910162041</v>
      </c>
      <c r="S563" s="7">
        <v>46339</v>
      </c>
      <c r="T563" s="7" t="str">
        <f t="shared" si="0"/>
        <v>noviembre</v>
      </c>
      <c r="U563" s="1" t="s">
        <v>330</v>
      </c>
      <c r="X563" s="1" t="s">
        <v>425</v>
      </c>
      <c r="Y563" s="1" t="s">
        <v>426</v>
      </c>
      <c r="Z563" s="1">
        <v>1</v>
      </c>
      <c r="AA563" s="3">
        <v>126126.58</v>
      </c>
      <c r="AB563" s="3">
        <v>126126.58</v>
      </c>
      <c r="AC563" s="1" t="str">
        <f>VLOOKUP(A563,[1]Detalle!$D$2:$CW$484,98,FALSE)</f>
        <v>CMQ_TTE - QUILMES TTE</v>
      </c>
    </row>
    <row r="564" spans="1:29" ht="14.25" customHeight="1" x14ac:dyDescent="0.3">
      <c r="A564" s="1" t="s">
        <v>44</v>
      </c>
      <c r="B564" s="1" t="s">
        <v>406</v>
      </c>
      <c r="C564" s="1" t="s">
        <v>424</v>
      </c>
      <c r="D564" s="1" t="s">
        <v>415</v>
      </c>
      <c r="E564" s="1">
        <v>0.25</v>
      </c>
      <c r="F564" s="1" t="s">
        <v>366</v>
      </c>
      <c r="G564" s="6">
        <v>45849</v>
      </c>
      <c r="H564" s="1">
        <v>54917</v>
      </c>
      <c r="I564" s="1">
        <v>74917</v>
      </c>
      <c r="J564" s="1">
        <v>4571.7000000000007</v>
      </c>
      <c r="K564" s="1">
        <v>15428.3</v>
      </c>
      <c r="L564" s="1">
        <v>59488.7</v>
      </c>
      <c r="M564" s="1">
        <v>98</v>
      </c>
      <c r="N564" s="1">
        <v>49.3882592592593</v>
      </c>
      <c r="O564" s="1">
        <v>330.72454448017152</v>
      </c>
      <c r="P564" s="7">
        <v>45947</v>
      </c>
      <c r="Q564" s="1">
        <v>20000</v>
      </c>
      <c r="R564" s="7">
        <v>46277.72454447917</v>
      </c>
      <c r="S564" s="7">
        <v>46277</v>
      </c>
      <c r="T564" s="7" t="str">
        <f t="shared" si="0"/>
        <v>septiembre</v>
      </c>
      <c r="U564" s="1" t="s">
        <v>330</v>
      </c>
      <c r="X564" s="1" t="s">
        <v>425</v>
      </c>
      <c r="Y564" s="1" t="s">
        <v>426</v>
      </c>
      <c r="Z564" s="1">
        <v>1</v>
      </c>
      <c r="AA564" s="3">
        <v>126126.58</v>
      </c>
      <c r="AB564" s="3">
        <v>126126.58</v>
      </c>
      <c r="AC564" s="1" t="str">
        <f>VLOOKUP(A564,[1]Detalle!$D$2:$CW$484,98,FALSE)</f>
        <v>CMQ_TTE - QUILMES TTE</v>
      </c>
    </row>
    <row r="565" spans="1:29" ht="14.25" customHeight="1" x14ac:dyDescent="0.3">
      <c r="A565" s="1" t="s">
        <v>43</v>
      </c>
      <c r="B565" s="1" t="s">
        <v>406</v>
      </c>
      <c r="C565" s="1" t="s">
        <v>424</v>
      </c>
      <c r="D565" s="1" t="s">
        <v>415</v>
      </c>
      <c r="E565" s="1">
        <v>0.25</v>
      </c>
      <c r="F565" s="1" t="s">
        <v>366</v>
      </c>
      <c r="G565" s="6">
        <v>45352</v>
      </c>
      <c r="H565" s="1">
        <v>43619</v>
      </c>
      <c r="I565" s="1">
        <v>63619</v>
      </c>
      <c r="J565" s="1">
        <v>32217.59</v>
      </c>
      <c r="K565" s="1">
        <v>-12217.59</v>
      </c>
      <c r="L565" s="1">
        <v>75836.59</v>
      </c>
      <c r="M565" s="1">
        <v>595</v>
      </c>
      <c r="N565" s="1">
        <v>51.939962962962959</v>
      </c>
      <c r="O565" s="1">
        <v>-225.63655599317011</v>
      </c>
      <c r="P565" s="7">
        <v>45947</v>
      </c>
      <c r="Q565" s="1">
        <v>20000</v>
      </c>
      <c r="R565" s="7">
        <v>46332.059958831022</v>
      </c>
      <c r="S565" s="7">
        <v>46332</v>
      </c>
      <c r="T565" s="7" t="str">
        <f t="shared" si="0"/>
        <v>noviembre</v>
      </c>
      <c r="U565" s="1" t="s">
        <v>330</v>
      </c>
      <c r="X565" s="1" t="s">
        <v>425</v>
      </c>
      <c r="Y565" s="1" t="s">
        <v>426</v>
      </c>
      <c r="Z565" s="1">
        <v>1</v>
      </c>
      <c r="AA565" s="3">
        <v>126126.58</v>
      </c>
      <c r="AB565" s="3">
        <v>126126.58</v>
      </c>
      <c r="AC565" s="1" t="str">
        <f>VLOOKUP(A565,[1]Detalle!$D$2:$CW$484,98,FALSE)</f>
        <v>CMQ_TTE - QUILMES TTE</v>
      </c>
    </row>
    <row r="566" spans="1:29" ht="14.25" customHeight="1" x14ac:dyDescent="0.3">
      <c r="A566" s="1" t="s">
        <v>24</v>
      </c>
      <c r="B566" s="1" t="s">
        <v>407</v>
      </c>
      <c r="C566" s="1" t="s">
        <v>424</v>
      </c>
      <c r="D566" s="1" t="s">
        <v>415</v>
      </c>
      <c r="E566" s="1">
        <v>0.25</v>
      </c>
      <c r="F566" s="1" t="s">
        <v>366</v>
      </c>
      <c r="G566" s="6">
        <v>45827</v>
      </c>
      <c r="H566" s="1">
        <v>70636</v>
      </c>
      <c r="I566" s="1">
        <v>90636</v>
      </c>
      <c r="J566" s="1">
        <v>4770.7000000000007</v>
      </c>
      <c r="K566" s="1">
        <v>15229.3</v>
      </c>
      <c r="L566" s="1">
        <v>75406.7</v>
      </c>
      <c r="M566" s="1">
        <v>120</v>
      </c>
      <c r="N566" s="1">
        <v>48.072185185185191</v>
      </c>
      <c r="O566" s="1">
        <v>383.07082818035082</v>
      </c>
      <c r="P566" s="7">
        <v>45947</v>
      </c>
      <c r="Q566" s="1">
        <v>20000</v>
      </c>
      <c r="R566" s="7">
        <v>46330.07082818287</v>
      </c>
      <c r="S566" s="7">
        <v>46330</v>
      </c>
      <c r="T566" s="7" t="str">
        <f t="shared" si="0"/>
        <v>noviembre</v>
      </c>
      <c r="U566" s="1" t="s">
        <v>330</v>
      </c>
      <c r="X566" s="1" t="s">
        <v>425</v>
      </c>
      <c r="Y566" s="1" t="s">
        <v>426</v>
      </c>
      <c r="Z566" s="1">
        <v>1</v>
      </c>
      <c r="AA566" s="3">
        <v>126126.58</v>
      </c>
      <c r="AB566" s="3">
        <v>126126.58</v>
      </c>
      <c r="AC566" s="1" t="str">
        <f>VLOOKUP(A566,[1]Detalle!$D$2:$CW$484,98,FALSE)</f>
        <v>CMQ_TTE - QUILMES TTE</v>
      </c>
    </row>
    <row r="567" spans="1:29" ht="14.25" customHeight="1" x14ac:dyDescent="0.3">
      <c r="A567" s="1" t="s">
        <v>22</v>
      </c>
      <c r="B567" s="1" t="s">
        <v>407</v>
      </c>
      <c r="C567" s="1" t="s">
        <v>424</v>
      </c>
      <c r="D567" s="1" t="s">
        <v>415</v>
      </c>
      <c r="E567" s="1">
        <v>0.25</v>
      </c>
      <c r="F567" s="1" t="s">
        <v>366</v>
      </c>
      <c r="G567" s="6">
        <v>45744</v>
      </c>
      <c r="H567" s="1">
        <v>61556.800000000003</v>
      </c>
      <c r="I567" s="1">
        <v>81556.800000000003</v>
      </c>
      <c r="J567" s="1">
        <v>8960.2999999999975</v>
      </c>
      <c r="K567" s="1">
        <v>11039.7</v>
      </c>
      <c r="L567" s="1">
        <v>70517.100000000006</v>
      </c>
      <c r="M567" s="1">
        <v>203</v>
      </c>
      <c r="N567" s="1">
        <v>48.161180811808123</v>
      </c>
      <c r="O567" s="1">
        <v>250.1098289119785</v>
      </c>
      <c r="P567" s="7">
        <v>45947</v>
      </c>
      <c r="Q567" s="1">
        <v>20000</v>
      </c>
      <c r="R567" s="7">
        <v>46197.109828912027</v>
      </c>
      <c r="S567" s="7">
        <v>46197</v>
      </c>
      <c r="T567" s="7" t="str">
        <f t="shared" si="0"/>
        <v>junio</v>
      </c>
      <c r="U567" s="1" t="s">
        <v>330</v>
      </c>
      <c r="X567" s="1" t="s">
        <v>425</v>
      </c>
      <c r="Y567" s="1" t="s">
        <v>426</v>
      </c>
      <c r="Z567" s="1">
        <v>1</v>
      </c>
      <c r="AA567" s="3">
        <v>126126.58</v>
      </c>
      <c r="AB567" s="3">
        <v>126126.58</v>
      </c>
      <c r="AC567" s="1" t="str">
        <f>VLOOKUP(A567,[1]Detalle!$D$2:$CW$484,98,FALSE)</f>
        <v>CMQ_TTE - QUILMES TTE</v>
      </c>
    </row>
    <row r="568" spans="1:29" ht="14.25" customHeight="1" x14ac:dyDescent="0.3">
      <c r="A568" s="1" t="s">
        <v>21</v>
      </c>
      <c r="B568" s="1" t="s">
        <v>408</v>
      </c>
      <c r="C568" s="1" t="s">
        <v>424</v>
      </c>
      <c r="D568" s="1" t="s">
        <v>415</v>
      </c>
      <c r="E568" s="1">
        <v>0.25</v>
      </c>
      <c r="F568" s="1" t="s">
        <v>366</v>
      </c>
      <c r="G568" s="6">
        <v>45652</v>
      </c>
      <c r="H568" s="1">
        <v>59747.1</v>
      </c>
      <c r="I568" s="1">
        <v>79747.100000000006</v>
      </c>
      <c r="J568" s="1">
        <v>13173.82</v>
      </c>
      <c r="K568" s="1">
        <v>6826.1800000000039</v>
      </c>
      <c r="L568" s="1">
        <v>72920.92</v>
      </c>
      <c r="M568" s="1">
        <v>295</v>
      </c>
      <c r="N568" s="1">
        <v>47.570444444444483</v>
      </c>
      <c r="O568" s="1">
        <v>152.8579485676897</v>
      </c>
      <c r="P568" s="7">
        <v>45947</v>
      </c>
      <c r="Q568" s="1">
        <v>20000</v>
      </c>
      <c r="R568" s="7">
        <v>46099.857948564822</v>
      </c>
      <c r="S568" s="7">
        <v>46099</v>
      </c>
      <c r="T568" s="7" t="str">
        <f t="shared" si="0"/>
        <v>marzo</v>
      </c>
      <c r="U568" s="1" t="s">
        <v>330</v>
      </c>
      <c r="X568" s="1" t="s">
        <v>425</v>
      </c>
      <c r="Y568" s="1" t="s">
        <v>426</v>
      </c>
      <c r="Z568" s="1">
        <v>1</v>
      </c>
      <c r="AA568" s="3">
        <v>126126.58</v>
      </c>
      <c r="AB568" s="3">
        <v>126126.58</v>
      </c>
      <c r="AC568" s="1" t="str">
        <f>VLOOKUP(A568,[1]Detalle!$D$2:$CW$484,98,FALSE)</f>
        <v>CMQ_TTE - QUILMES TTE</v>
      </c>
    </row>
    <row r="569" spans="1:29" ht="14.25" customHeight="1" x14ac:dyDescent="0.3">
      <c r="A569" s="1" t="s">
        <v>221</v>
      </c>
      <c r="B569" s="1" t="s">
        <v>427</v>
      </c>
      <c r="C569" s="1" t="s">
        <v>428</v>
      </c>
      <c r="D569" s="1" t="s">
        <v>428</v>
      </c>
      <c r="E569" s="1">
        <v>0.75</v>
      </c>
      <c r="F569" s="1" t="s">
        <v>329</v>
      </c>
      <c r="G569" s="6">
        <v>45818</v>
      </c>
      <c r="H569" s="1">
        <v>1516521</v>
      </c>
      <c r="I569" s="1">
        <v>1546521</v>
      </c>
      <c r="J569" s="1">
        <v>14102</v>
      </c>
      <c r="K569" s="1">
        <v>15898</v>
      </c>
      <c r="L569" s="1">
        <v>1530623</v>
      </c>
      <c r="M569" s="1">
        <v>129</v>
      </c>
      <c r="N569" s="1">
        <v>150.71646840148699</v>
      </c>
      <c r="O569" s="1">
        <v>145.4291589845412</v>
      </c>
      <c r="P569" s="7">
        <v>45947</v>
      </c>
      <c r="Q569" s="1">
        <v>30000</v>
      </c>
      <c r="R569" s="7">
        <v>46092.429158981482</v>
      </c>
      <c r="S569" s="7">
        <v>46092</v>
      </c>
      <c r="T569" s="7" t="str">
        <f t="shared" si="0"/>
        <v>marzo</v>
      </c>
      <c r="U569" s="1" t="s">
        <v>330</v>
      </c>
      <c r="X569" s="1" t="s">
        <v>331</v>
      </c>
      <c r="Y569" s="1" t="s">
        <v>332</v>
      </c>
      <c r="Z569" s="1">
        <v>30</v>
      </c>
      <c r="AA569" s="3">
        <v>3389.9</v>
      </c>
      <c r="AB569" s="3">
        <v>101697</v>
      </c>
      <c r="AC569" s="1" t="str">
        <f>VLOOKUP(A569,[1]Detalle!$D$2:$CW$484,98,FALSE)</f>
        <v>ADA_CH - Danone Arg. S.A. - Chascomus</v>
      </c>
    </row>
    <row r="570" spans="1:29" ht="14.25" customHeight="1" x14ac:dyDescent="0.3">
      <c r="A570" s="1" t="s">
        <v>221</v>
      </c>
      <c r="B570" s="1" t="s">
        <v>427</v>
      </c>
      <c r="C570" s="1" t="s">
        <v>428</v>
      </c>
      <c r="D570" s="1" t="s">
        <v>428</v>
      </c>
      <c r="E570" s="1">
        <v>0.75</v>
      </c>
      <c r="F570" s="1" t="s">
        <v>329</v>
      </c>
      <c r="G570" s="6">
        <v>45818</v>
      </c>
      <c r="H570" s="1">
        <v>1516521</v>
      </c>
      <c r="I570" s="1">
        <v>1546521</v>
      </c>
      <c r="J570" s="1">
        <v>14102</v>
      </c>
      <c r="K570" s="1">
        <v>15898</v>
      </c>
      <c r="L570" s="1">
        <v>1530623</v>
      </c>
      <c r="M570" s="1">
        <v>129</v>
      </c>
      <c r="N570" s="1">
        <v>150.71646840148699</v>
      </c>
      <c r="O570" s="1">
        <v>145.4291589845412</v>
      </c>
      <c r="P570" s="7">
        <v>45947</v>
      </c>
      <c r="Q570" s="1">
        <v>30000</v>
      </c>
      <c r="R570" s="7">
        <v>46092.429158981482</v>
      </c>
      <c r="S570" s="7">
        <v>46092</v>
      </c>
      <c r="T570" s="7" t="str">
        <f t="shared" si="0"/>
        <v>marzo</v>
      </c>
      <c r="U570" s="1" t="s">
        <v>330</v>
      </c>
      <c r="X570" s="1" t="s">
        <v>397</v>
      </c>
      <c r="Y570" s="1" t="s">
        <v>398</v>
      </c>
      <c r="Z570" s="1">
        <v>1</v>
      </c>
      <c r="AA570" s="3">
        <v>9737.2800000000007</v>
      </c>
      <c r="AB570" s="3">
        <v>9737.2800000000007</v>
      </c>
      <c r="AC570" s="1" t="str">
        <f>VLOOKUP(A570,[1]Detalle!$D$2:$CW$484,98,FALSE)</f>
        <v>ADA_CH - Danone Arg. S.A. - Chascomus</v>
      </c>
    </row>
    <row r="571" spans="1:29" ht="14.25" customHeight="1" x14ac:dyDescent="0.3">
      <c r="A571" s="1" t="s">
        <v>30</v>
      </c>
      <c r="B571" s="1" t="s">
        <v>429</v>
      </c>
      <c r="C571" s="1" t="s">
        <v>428</v>
      </c>
      <c r="D571" s="1" t="s">
        <v>428</v>
      </c>
      <c r="E571" s="1">
        <v>0.75</v>
      </c>
      <c r="F571" s="1" t="s">
        <v>329</v>
      </c>
      <c r="G571" s="6">
        <v>45923</v>
      </c>
      <c r="H571" s="1">
        <v>452616</v>
      </c>
      <c r="I571" s="1">
        <v>482616</v>
      </c>
      <c r="J571" s="1">
        <v>2109</v>
      </c>
      <c r="K571" s="1">
        <v>27891</v>
      </c>
      <c r="L571" s="1">
        <v>454725</v>
      </c>
      <c r="M571" s="1">
        <v>24</v>
      </c>
      <c r="N571" s="1">
        <v>273.98136531365333</v>
      </c>
      <c r="O571" s="1">
        <v>317.39402560455193</v>
      </c>
      <c r="P571" s="7">
        <v>45947</v>
      </c>
      <c r="Q571" s="1">
        <v>30000</v>
      </c>
      <c r="R571" s="7">
        <v>46264.394025601847</v>
      </c>
      <c r="S571" s="7">
        <v>46264</v>
      </c>
      <c r="T571" s="7" t="str">
        <f t="shared" si="0"/>
        <v>agosto</v>
      </c>
      <c r="U571" s="1" t="s">
        <v>330</v>
      </c>
      <c r="X571" s="1" t="s">
        <v>331</v>
      </c>
      <c r="Y571" s="1" t="s">
        <v>332</v>
      </c>
      <c r="Z571" s="1">
        <v>30</v>
      </c>
      <c r="AA571" s="3">
        <v>3389.9</v>
      </c>
      <c r="AB571" s="3">
        <v>101697</v>
      </c>
      <c r="AC571" s="1" t="str">
        <f>VLOOKUP(A571,[1]Detalle!$D$2:$CW$484,98,FALSE)</f>
        <v>ADA_CH - Danone Arg. S.A. - Chascomus</v>
      </c>
    </row>
    <row r="572" spans="1:29" ht="14.25" customHeight="1" x14ac:dyDescent="0.3">
      <c r="A572" s="1" t="s">
        <v>30</v>
      </c>
      <c r="B572" s="1" t="s">
        <v>429</v>
      </c>
      <c r="C572" s="1" t="s">
        <v>428</v>
      </c>
      <c r="D572" s="1" t="s">
        <v>428</v>
      </c>
      <c r="E572" s="1">
        <v>0.75</v>
      </c>
      <c r="F572" s="1" t="s">
        <v>329</v>
      </c>
      <c r="G572" s="6">
        <v>45923</v>
      </c>
      <c r="H572" s="1">
        <v>452616</v>
      </c>
      <c r="I572" s="1">
        <v>482616</v>
      </c>
      <c r="J572" s="1">
        <v>2109</v>
      </c>
      <c r="K572" s="1">
        <v>27891</v>
      </c>
      <c r="L572" s="1">
        <v>454725</v>
      </c>
      <c r="M572" s="1">
        <v>24</v>
      </c>
      <c r="N572" s="1">
        <v>273.98136531365333</v>
      </c>
      <c r="O572" s="1">
        <v>317.39402560455193</v>
      </c>
      <c r="P572" s="7">
        <v>45947</v>
      </c>
      <c r="Q572" s="1">
        <v>30000</v>
      </c>
      <c r="R572" s="7">
        <v>46264.394025601847</v>
      </c>
      <c r="S572" s="7">
        <v>46264</v>
      </c>
      <c r="T572" s="7" t="str">
        <f t="shared" si="0"/>
        <v>agosto</v>
      </c>
      <c r="U572" s="1" t="s">
        <v>330</v>
      </c>
      <c r="X572" s="1" t="s">
        <v>397</v>
      </c>
      <c r="Y572" s="1" t="s">
        <v>398</v>
      </c>
      <c r="Z572" s="1">
        <v>1</v>
      </c>
      <c r="AA572" s="3">
        <v>9737.2800000000007</v>
      </c>
      <c r="AB572" s="3">
        <v>9737.2800000000007</v>
      </c>
      <c r="AC572" s="1" t="str">
        <f>VLOOKUP(A572,[1]Detalle!$D$2:$CW$484,98,FALSE)</f>
        <v>ADA_CH - Danone Arg. S.A. - Chascomus</v>
      </c>
    </row>
    <row r="573" spans="1:29" ht="14.25" customHeight="1" x14ac:dyDescent="0.3">
      <c r="A573" s="1" t="s">
        <v>32</v>
      </c>
      <c r="B573" s="1" t="s">
        <v>429</v>
      </c>
      <c r="C573" s="1" t="s">
        <v>428</v>
      </c>
      <c r="D573" s="1" t="s">
        <v>428</v>
      </c>
      <c r="E573" s="1">
        <v>0.75</v>
      </c>
      <c r="F573" s="1" t="s">
        <v>329</v>
      </c>
      <c r="G573" s="6">
        <v>45792</v>
      </c>
      <c r="H573" s="1">
        <v>308369</v>
      </c>
      <c r="I573" s="1">
        <v>338369</v>
      </c>
      <c r="J573" s="1">
        <v>18849.799999999988</v>
      </c>
      <c r="K573" s="1">
        <v>11150.20000000001</v>
      </c>
      <c r="L573" s="1">
        <v>327218.8</v>
      </c>
      <c r="M573" s="1">
        <v>155</v>
      </c>
      <c r="N573" s="1">
        <v>189.65078066914509</v>
      </c>
      <c r="O573" s="1">
        <v>91.686967500981538</v>
      </c>
      <c r="P573" s="7">
        <v>45947</v>
      </c>
      <c r="Q573" s="1">
        <v>30000</v>
      </c>
      <c r="R573" s="7">
        <v>46038.686967499998</v>
      </c>
      <c r="S573" s="7">
        <v>46038</v>
      </c>
      <c r="T573" s="7" t="str">
        <f t="shared" si="0"/>
        <v>enero</v>
      </c>
      <c r="U573" s="1" t="s">
        <v>330</v>
      </c>
      <c r="X573" s="1" t="s">
        <v>331</v>
      </c>
      <c r="Y573" s="1" t="s">
        <v>332</v>
      </c>
      <c r="Z573" s="1">
        <v>30</v>
      </c>
      <c r="AA573" s="3">
        <v>3389.9</v>
      </c>
      <c r="AB573" s="3">
        <v>101697</v>
      </c>
      <c r="AC573" s="1" t="str">
        <f>VLOOKUP(A573,[1]Detalle!$D$2:$CW$484,98,FALSE)</f>
        <v>ADA_CH - Danone Arg. S.A. - Chascomus</v>
      </c>
    </row>
    <row r="574" spans="1:29" ht="14.25" customHeight="1" x14ac:dyDescent="0.3">
      <c r="A574" s="1" t="s">
        <v>32</v>
      </c>
      <c r="B574" s="1" t="s">
        <v>429</v>
      </c>
      <c r="C574" s="1" t="s">
        <v>428</v>
      </c>
      <c r="D574" s="1" t="s">
        <v>428</v>
      </c>
      <c r="E574" s="1">
        <v>0.75</v>
      </c>
      <c r="F574" s="1" t="s">
        <v>329</v>
      </c>
      <c r="G574" s="6">
        <v>45792</v>
      </c>
      <c r="H574" s="1">
        <v>308369</v>
      </c>
      <c r="I574" s="1">
        <v>338369</v>
      </c>
      <c r="J574" s="1">
        <v>18849.799999999988</v>
      </c>
      <c r="K574" s="1">
        <v>11150.20000000001</v>
      </c>
      <c r="L574" s="1">
        <v>327218.8</v>
      </c>
      <c r="M574" s="1">
        <v>155</v>
      </c>
      <c r="N574" s="1">
        <v>189.65078066914509</v>
      </c>
      <c r="O574" s="1">
        <v>91.686967500981538</v>
      </c>
      <c r="P574" s="7">
        <v>45947</v>
      </c>
      <c r="Q574" s="1">
        <v>30000</v>
      </c>
      <c r="R574" s="7">
        <v>46038.686967499998</v>
      </c>
      <c r="S574" s="7">
        <v>46038</v>
      </c>
      <c r="T574" s="7" t="str">
        <f t="shared" si="0"/>
        <v>enero</v>
      </c>
      <c r="U574" s="1" t="s">
        <v>330</v>
      </c>
      <c r="X574" s="1" t="s">
        <v>397</v>
      </c>
      <c r="Y574" s="1" t="s">
        <v>398</v>
      </c>
      <c r="Z574" s="1">
        <v>1</v>
      </c>
      <c r="AA574" s="3">
        <v>9737.2800000000007</v>
      </c>
      <c r="AB574" s="3">
        <v>9737.2800000000007</v>
      </c>
      <c r="AC574" s="1" t="str">
        <f>VLOOKUP(A574,[1]Detalle!$D$2:$CW$484,98,FALSE)</f>
        <v>ADA_CH - Danone Arg. S.A. - Chascomus</v>
      </c>
    </row>
    <row r="575" spans="1:29" ht="14.25" customHeight="1" x14ac:dyDescent="0.3">
      <c r="A575" s="1" t="s">
        <v>70</v>
      </c>
      <c r="B575" s="1" t="s">
        <v>430</v>
      </c>
      <c r="C575" s="1" t="s">
        <v>428</v>
      </c>
      <c r="D575" s="1" t="s">
        <v>428</v>
      </c>
      <c r="E575" s="1">
        <v>0.75</v>
      </c>
      <c r="F575" s="1" t="s">
        <v>329</v>
      </c>
      <c r="G575" s="6">
        <v>45912</v>
      </c>
      <c r="H575" s="1">
        <v>350551</v>
      </c>
      <c r="I575" s="1">
        <v>380551</v>
      </c>
      <c r="J575" s="1">
        <v>5928.8000000000011</v>
      </c>
      <c r="K575" s="1">
        <v>24071.200000000001</v>
      </c>
      <c r="L575" s="1">
        <v>356479.8</v>
      </c>
      <c r="M575" s="1">
        <v>35</v>
      </c>
      <c r="N575" s="1">
        <v>252.63896296296281</v>
      </c>
      <c r="O575" s="1">
        <v>142.10160572122521</v>
      </c>
      <c r="P575" s="7">
        <v>45947</v>
      </c>
      <c r="Q575" s="1">
        <v>30000</v>
      </c>
      <c r="R575" s="7">
        <v>46089.101605717588</v>
      </c>
      <c r="S575" s="7">
        <v>46089</v>
      </c>
      <c r="T575" s="7" t="str">
        <f t="shared" si="0"/>
        <v>marzo</v>
      </c>
      <c r="U575" s="1" t="s">
        <v>330</v>
      </c>
      <c r="X575" s="1" t="s">
        <v>331</v>
      </c>
      <c r="Y575" s="1" t="s">
        <v>332</v>
      </c>
      <c r="Z575" s="1">
        <v>30</v>
      </c>
      <c r="AA575" s="3">
        <v>3389.9</v>
      </c>
      <c r="AB575" s="3">
        <v>101697</v>
      </c>
      <c r="AC575" s="1" t="str">
        <f>VLOOKUP(A575,[1]Detalle!$D$2:$CW$484,98,FALSE)</f>
        <v>ADA_CH - Danone Arg. S.A. - Chascomus</v>
      </c>
    </row>
    <row r="576" spans="1:29" ht="14.25" customHeight="1" x14ac:dyDescent="0.3">
      <c r="A576" s="1" t="s">
        <v>70</v>
      </c>
      <c r="B576" s="1" t="s">
        <v>430</v>
      </c>
      <c r="C576" s="1" t="s">
        <v>428</v>
      </c>
      <c r="D576" s="1" t="s">
        <v>428</v>
      </c>
      <c r="E576" s="1">
        <v>0.75</v>
      </c>
      <c r="F576" s="1" t="s">
        <v>329</v>
      </c>
      <c r="G576" s="6">
        <v>45912</v>
      </c>
      <c r="H576" s="1">
        <v>350551</v>
      </c>
      <c r="I576" s="1">
        <v>380551</v>
      </c>
      <c r="J576" s="1">
        <v>5928.8000000000011</v>
      </c>
      <c r="K576" s="1">
        <v>24071.200000000001</v>
      </c>
      <c r="L576" s="1">
        <v>356479.8</v>
      </c>
      <c r="M576" s="1">
        <v>35</v>
      </c>
      <c r="N576" s="1">
        <v>252.63896296296281</v>
      </c>
      <c r="O576" s="1">
        <v>142.10160572122521</v>
      </c>
      <c r="P576" s="7">
        <v>45947</v>
      </c>
      <c r="Q576" s="1">
        <v>30000</v>
      </c>
      <c r="R576" s="7">
        <v>46089.101605717588</v>
      </c>
      <c r="S576" s="7">
        <v>46089</v>
      </c>
      <c r="T576" s="7" t="str">
        <f t="shared" si="0"/>
        <v>marzo</v>
      </c>
      <c r="U576" s="1" t="s">
        <v>330</v>
      </c>
      <c r="X576" s="1" t="s">
        <v>397</v>
      </c>
      <c r="Y576" s="1" t="s">
        <v>398</v>
      </c>
      <c r="Z576" s="1">
        <v>1</v>
      </c>
      <c r="AA576" s="3">
        <v>9737.2800000000007</v>
      </c>
      <c r="AB576" s="3">
        <v>9737.2800000000007</v>
      </c>
      <c r="AC576" s="1" t="str">
        <f>VLOOKUP(A576,[1]Detalle!$D$2:$CW$484,98,FALSE)</f>
        <v>ADA_CH - Danone Arg. S.A. - Chascomus</v>
      </c>
    </row>
    <row r="577" spans="1:29" ht="14.25" customHeight="1" x14ac:dyDescent="0.3">
      <c r="A577" s="1" t="s">
        <v>77</v>
      </c>
      <c r="B577" s="1" t="s">
        <v>430</v>
      </c>
      <c r="C577" s="1" t="s">
        <v>428</v>
      </c>
      <c r="D577" s="1" t="s">
        <v>428</v>
      </c>
      <c r="E577" s="1">
        <v>0.75</v>
      </c>
      <c r="F577" s="1" t="s">
        <v>329</v>
      </c>
      <c r="G577" s="6">
        <v>45783</v>
      </c>
      <c r="H577" s="1">
        <v>54070.5</v>
      </c>
      <c r="I577" s="1">
        <v>84070.5</v>
      </c>
      <c r="J577" s="1">
        <v>14641.70000000001</v>
      </c>
      <c r="K577" s="1">
        <v>15358.29999999999</v>
      </c>
      <c r="L577" s="1">
        <v>68712.200000000012</v>
      </c>
      <c r="M577" s="1">
        <v>164</v>
      </c>
      <c r="N577" s="1">
        <v>78.920809061488711</v>
      </c>
      <c r="O577" s="1">
        <v>172.02655429355869</v>
      </c>
      <c r="P577" s="7">
        <v>45947</v>
      </c>
      <c r="Q577" s="1">
        <v>30000</v>
      </c>
      <c r="R577" s="7">
        <v>46119.026554293981</v>
      </c>
      <c r="S577" s="7">
        <v>46119</v>
      </c>
      <c r="T577" s="7" t="str">
        <f t="shared" si="0"/>
        <v>abril</v>
      </c>
      <c r="U577" s="1" t="s">
        <v>330</v>
      </c>
      <c r="X577" s="1" t="s">
        <v>331</v>
      </c>
      <c r="Y577" s="1" t="s">
        <v>332</v>
      </c>
      <c r="Z577" s="1">
        <v>30</v>
      </c>
      <c r="AA577" s="3">
        <v>3389.9</v>
      </c>
      <c r="AB577" s="3">
        <v>101697</v>
      </c>
      <c r="AC577" s="1" t="str">
        <f>VLOOKUP(A577,[1]Detalle!$D$2:$CW$484,98,FALSE)</f>
        <v>Arcor S.A.I.C.</v>
      </c>
    </row>
    <row r="578" spans="1:29" ht="14.25" customHeight="1" x14ac:dyDescent="0.3">
      <c r="A578" s="1" t="s">
        <v>77</v>
      </c>
      <c r="B578" s="1" t="s">
        <v>430</v>
      </c>
      <c r="C578" s="1" t="s">
        <v>428</v>
      </c>
      <c r="D578" s="1" t="s">
        <v>428</v>
      </c>
      <c r="E578" s="1">
        <v>0.75</v>
      </c>
      <c r="F578" s="1" t="s">
        <v>329</v>
      </c>
      <c r="G578" s="6">
        <v>45783</v>
      </c>
      <c r="H578" s="1">
        <v>54070.5</v>
      </c>
      <c r="I578" s="1">
        <v>84070.5</v>
      </c>
      <c r="J578" s="1">
        <v>14641.70000000001</v>
      </c>
      <c r="K578" s="1">
        <v>15358.29999999999</v>
      </c>
      <c r="L578" s="1">
        <v>68712.200000000012</v>
      </c>
      <c r="M578" s="1">
        <v>164</v>
      </c>
      <c r="N578" s="1">
        <v>78.920809061488711</v>
      </c>
      <c r="O578" s="1">
        <v>172.02655429355869</v>
      </c>
      <c r="P578" s="7">
        <v>45947</v>
      </c>
      <c r="Q578" s="1">
        <v>30000</v>
      </c>
      <c r="R578" s="7">
        <v>46119.026554293981</v>
      </c>
      <c r="S578" s="7">
        <v>46119</v>
      </c>
      <c r="T578" s="7" t="str">
        <f t="shared" si="0"/>
        <v>abril</v>
      </c>
      <c r="U578" s="1" t="s">
        <v>330</v>
      </c>
      <c r="X578" s="1" t="s">
        <v>397</v>
      </c>
      <c r="Y578" s="1" t="s">
        <v>398</v>
      </c>
      <c r="Z578" s="1">
        <v>1</v>
      </c>
      <c r="AA578" s="3">
        <v>9737.2800000000007</v>
      </c>
      <c r="AB578" s="3">
        <v>9737.2800000000007</v>
      </c>
      <c r="AC578" s="1" t="str">
        <f>VLOOKUP(A578,[1]Detalle!$D$2:$CW$484,98,FALSE)</f>
        <v>Arcor S.A.I.C.</v>
      </c>
    </row>
    <row r="579" spans="1:29" ht="14.25" customHeight="1" x14ac:dyDescent="0.3">
      <c r="A579" s="1" t="s">
        <v>86</v>
      </c>
      <c r="B579" s="1" t="s">
        <v>431</v>
      </c>
      <c r="C579" s="1" t="s">
        <v>428</v>
      </c>
      <c r="D579" s="1" t="s">
        <v>428</v>
      </c>
      <c r="E579" s="1">
        <v>0.75</v>
      </c>
      <c r="F579" s="1" t="s">
        <v>329</v>
      </c>
      <c r="G579" s="6">
        <v>45764</v>
      </c>
      <c r="H579" s="1">
        <v>52929.7</v>
      </c>
      <c r="I579" s="1">
        <v>82929.7</v>
      </c>
      <c r="J579" s="1">
        <v>13599.899999999991</v>
      </c>
      <c r="K579" s="1">
        <v>16400.100000000009</v>
      </c>
      <c r="L579" s="1">
        <v>66529.599999999991</v>
      </c>
      <c r="M579" s="1">
        <v>183</v>
      </c>
      <c r="N579" s="1">
        <v>74.356479400749095</v>
      </c>
      <c r="O579" s="1">
        <v>220.6794388194032</v>
      </c>
      <c r="P579" s="7">
        <v>45947</v>
      </c>
      <c r="Q579" s="1">
        <v>30000</v>
      </c>
      <c r="R579" s="7">
        <v>46167.679438819447</v>
      </c>
      <c r="S579" s="7">
        <v>46167</v>
      </c>
      <c r="T579" s="7" t="str">
        <f t="shared" si="0"/>
        <v>mayo</v>
      </c>
      <c r="U579" s="1" t="s">
        <v>330</v>
      </c>
      <c r="X579" s="1" t="s">
        <v>331</v>
      </c>
      <c r="Y579" s="1" t="s">
        <v>332</v>
      </c>
      <c r="Z579" s="1">
        <v>30</v>
      </c>
      <c r="AA579" s="3">
        <v>3389.9</v>
      </c>
      <c r="AB579" s="3">
        <v>101697</v>
      </c>
      <c r="AC579" s="1" t="str">
        <f>VLOOKUP(A579,[1]Detalle!$D$2:$CW$484,98,FALSE)</f>
        <v>Arcor S.A.I.C.</v>
      </c>
    </row>
    <row r="580" spans="1:29" ht="14.25" customHeight="1" x14ac:dyDescent="0.3">
      <c r="A580" s="1" t="s">
        <v>86</v>
      </c>
      <c r="B580" s="1" t="s">
        <v>431</v>
      </c>
      <c r="C580" s="1" t="s">
        <v>428</v>
      </c>
      <c r="D580" s="1" t="s">
        <v>428</v>
      </c>
      <c r="E580" s="1">
        <v>0.75</v>
      </c>
      <c r="F580" s="1" t="s">
        <v>329</v>
      </c>
      <c r="G580" s="6">
        <v>45764</v>
      </c>
      <c r="H580" s="1">
        <v>52929.7</v>
      </c>
      <c r="I580" s="1">
        <v>82929.7</v>
      </c>
      <c r="J580" s="1">
        <v>13599.899999999991</v>
      </c>
      <c r="K580" s="1">
        <v>16400.100000000009</v>
      </c>
      <c r="L580" s="1">
        <v>66529.599999999991</v>
      </c>
      <c r="M580" s="1">
        <v>183</v>
      </c>
      <c r="N580" s="1">
        <v>74.356479400749095</v>
      </c>
      <c r="O580" s="1">
        <v>220.6794388194032</v>
      </c>
      <c r="P580" s="7">
        <v>45947</v>
      </c>
      <c r="Q580" s="1">
        <v>30000</v>
      </c>
      <c r="R580" s="7">
        <v>46167.679438819447</v>
      </c>
      <c r="S580" s="7">
        <v>46167</v>
      </c>
      <c r="T580" s="7" t="str">
        <f t="shared" si="0"/>
        <v>mayo</v>
      </c>
      <c r="U580" s="1" t="s">
        <v>330</v>
      </c>
      <c r="X580" s="1" t="s">
        <v>397</v>
      </c>
      <c r="Y580" s="1" t="s">
        <v>398</v>
      </c>
      <c r="Z580" s="1">
        <v>1</v>
      </c>
      <c r="AA580" s="3">
        <v>9737.2800000000007</v>
      </c>
      <c r="AB580" s="3">
        <v>9737.2800000000007</v>
      </c>
      <c r="AC580" s="1" t="str">
        <f>VLOOKUP(A580,[1]Detalle!$D$2:$CW$484,98,FALSE)</f>
        <v>Arcor S.A.I.C.</v>
      </c>
    </row>
    <row r="581" spans="1:29" ht="14.25" customHeight="1" x14ac:dyDescent="0.3">
      <c r="A581" s="1" t="s">
        <v>85</v>
      </c>
      <c r="B581" s="1" t="s">
        <v>431</v>
      </c>
      <c r="C581" s="1" t="s">
        <v>428</v>
      </c>
      <c r="D581" s="1" t="s">
        <v>428</v>
      </c>
      <c r="E581" s="1">
        <v>0.75</v>
      </c>
      <c r="F581" s="1" t="s">
        <v>329</v>
      </c>
      <c r="G581" s="6">
        <v>45609</v>
      </c>
      <c r="H581" s="1">
        <v>55539.8</v>
      </c>
      <c r="I581" s="1">
        <v>85539.8</v>
      </c>
      <c r="J581" s="1">
        <v>23943.03000000001</v>
      </c>
      <c r="K581" s="1">
        <v>6056.9699999999939</v>
      </c>
      <c r="L581" s="1">
        <v>79482.830000000016</v>
      </c>
      <c r="M581" s="1">
        <v>338</v>
      </c>
      <c r="N581" s="1">
        <v>78.134555555555551</v>
      </c>
      <c r="O581" s="1">
        <v>85.505295695657452</v>
      </c>
      <c r="P581" s="7">
        <v>45947</v>
      </c>
      <c r="Q581" s="1">
        <v>30000</v>
      </c>
      <c r="R581" s="7">
        <v>46032.505295694442</v>
      </c>
      <c r="S581" s="7">
        <v>46032</v>
      </c>
      <c r="T581" s="7" t="str">
        <f t="shared" si="0"/>
        <v>enero</v>
      </c>
      <c r="U581" s="1" t="s">
        <v>330</v>
      </c>
      <c r="X581" s="1" t="s">
        <v>331</v>
      </c>
      <c r="Y581" s="1" t="s">
        <v>332</v>
      </c>
      <c r="Z581" s="1">
        <v>30</v>
      </c>
      <c r="AA581" s="3">
        <v>3389.9</v>
      </c>
      <c r="AB581" s="3">
        <v>101697</v>
      </c>
      <c r="AC581" s="1" t="str">
        <f>VLOOKUP(A581,[1]Detalle!$D$2:$CW$484,98,FALSE)</f>
        <v>Arcor S.A.I.C.</v>
      </c>
    </row>
    <row r="582" spans="1:29" ht="14.25" customHeight="1" x14ac:dyDescent="0.3">
      <c r="A582" s="1" t="s">
        <v>85</v>
      </c>
      <c r="B582" s="1" t="s">
        <v>431</v>
      </c>
      <c r="C582" s="1" t="s">
        <v>428</v>
      </c>
      <c r="D582" s="1" t="s">
        <v>428</v>
      </c>
      <c r="E582" s="1">
        <v>0.75</v>
      </c>
      <c r="F582" s="1" t="s">
        <v>329</v>
      </c>
      <c r="G582" s="6">
        <v>45609</v>
      </c>
      <c r="H582" s="1">
        <v>55539.8</v>
      </c>
      <c r="I582" s="1">
        <v>85539.8</v>
      </c>
      <c r="J582" s="1">
        <v>23943.03000000001</v>
      </c>
      <c r="K582" s="1">
        <v>6056.9699999999939</v>
      </c>
      <c r="L582" s="1">
        <v>79482.830000000016</v>
      </c>
      <c r="M582" s="1">
        <v>338</v>
      </c>
      <c r="N582" s="1">
        <v>78.134555555555551</v>
      </c>
      <c r="O582" s="1">
        <v>85.505295695657452</v>
      </c>
      <c r="P582" s="7">
        <v>45947</v>
      </c>
      <c r="Q582" s="1">
        <v>30000</v>
      </c>
      <c r="R582" s="7">
        <v>46032.505295694442</v>
      </c>
      <c r="S582" s="7">
        <v>46032</v>
      </c>
      <c r="T582" s="7" t="str">
        <f t="shared" si="0"/>
        <v>enero</v>
      </c>
      <c r="U582" s="1" t="s">
        <v>330</v>
      </c>
      <c r="X582" s="1" t="s">
        <v>397</v>
      </c>
      <c r="Y582" s="1" t="s">
        <v>398</v>
      </c>
      <c r="Z582" s="1">
        <v>1</v>
      </c>
      <c r="AA582" s="3">
        <v>9737.2800000000007</v>
      </c>
      <c r="AB582" s="3">
        <v>9737.2800000000007</v>
      </c>
      <c r="AC582" s="1" t="str">
        <f>VLOOKUP(A582,[1]Detalle!$D$2:$CW$484,98,FALSE)</f>
        <v>Arcor S.A.I.C.</v>
      </c>
    </row>
    <row r="583" spans="1:29" ht="14.25" customHeight="1" x14ac:dyDescent="0.3">
      <c r="A583" s="1" t="s">
        <v>93</v>
      </c>
      <c r="B583" s="1" t="s">
        <v>429</v>
      </c>
      <c r="C583" s="1" t="s">
        <v>428</v>
      </c>
      <c r="D583" s="1" t="s">
        <v>428</v>
      </c>
      <c r="E583" s="1">
        <v>0.75</v>
      </c>
      <c r="F583" s="1" t="s">
        <v>329</v>
      </c>
      <c r="G583" s="1" t="s">
        <v>337</v>
      </c>
      <c r="N583" s="1">
        <v>112.049667896679</v>
      </c>
      <c r="P583" s="7">
        <v>45947</v>
      </c>
      <c r="Q583" s="1">
        <v>30000</v>
      </c>
      <c r="R583" s="7">
        <v>46214.738410682869</v>
      </c>
      <c r="S583" s="7">
        <v>46214</v>
      </c>
      <c r="T583" s="7" t="str">
        <f t="shared" si="0"/>
        <v>julio</v>
      </c>
      <c r="U583" s="1" t="s">
        <v>330</v>
      </c>
      <c r="X583" s="1" t="s">
        <v>331</v>
      </c>
      <c r="Y583" s="1" t="s">
        <v>332</v>
      </c>
      <c r="Z583" s="1">
        <v>30</v>
      </c>
      <c r="AA583" s="3">
        <v>3389.9</v>
      </c>
      <c r="AB583" s="3">
        <v>101697</v>
      </c>
      <c r="AC583" s="1" t="str">
        <f>VLOOKUP(A583,[1]Detalle!$D$2:$CW$484,98,FALSE)</f>
        <v>Arcor S.A.I.C.</v>
      </c>
    </row>
    <row r="584" spans="1:29" ht="14.25" customHeight="1" x14ac:dyDescent="0.3">
      <c r="A584" s="1" t="s">
        <v>93</v>
      </c>
      <c r="B584" s="1" t="s">
        <v>429</v>
      </c>
      <c r="C584" s="1" t="s">
        <v>428</v>
      </c>
      <c r="D584" s="1" t="s">
        <v>428</v>
      </c>
      <c r="E584" s="1">
        <v>0.75</v>
      </c>
      <c r="F584" s="1" t="s">
        <v>329</v>
      </c>
      <c r="G584" s="1" t="s">
        <v>337</v>
      </c>
      <c r="N584" s="1">
        <v>112.049667896679</v>
      </c>
      <c r="P584" s="7">
        <v>45947</v>
      </c>
      <c r="Q584" s="1">
        <v>30000</v>
      </c>
      <c r="R584" s="7">
        <v>46214.738410682869</v>
      </c>
      <c r="S584" s="7">
        <v>46214</v>
      </c>
      <c r="T584" s="7" t="str">
        <f t="shared" si="0"/>
        <v>julio</v>
      </c>
      <c r="U584" s="1" t="s">
        <v>330</v>
      </c>
      <c r="X584" s="1" t="s">
        <v>397</v>
      </c>
      <c r="Y584" s="1" t="s">
        <v>398</v>
      </c>
      <c r="Z584" s="1">
        <v>1</v>
      </c>
      <c r="AA584" s="3">
        <v>9737.2800000000007</v>
      </c>
      <c r="AB584" s="3">
        <v>9737.2800000000007</v>
      </c>
      <c r="AC584" s="1" t="str">
        <f>VLOOKUP(A584,[1]Detalle!$D$2:$CW$484,98,FALSE)</f>
        <v>Arcor S.A.I.C.</v>
      </c>
    </row>
    <row r="585" spans="1:29" ht="14.25" customHeight="1" x14ac:dyDescent="0.3">
      <c r="A585" s="1" t="s">
        <v>19</v>
      </c>
      <c r="B585" s="1" t="s">
        <v>432</v>
      </c>
      <c r="C585" s="1" t="s">
        <v>428</v>
      </c>
      <c r="D585" s="1" t="s">
        <v>428</v>
      </c>
      <c r="E585" s="1">
        <v>0.75</v>
      </c>
      <c r="F585" s="1" t="s">
        <v>329</v>
      </c>
      <c r="G585" s="6">
        <v>45902</v>
      </c>
      <c r="H585" s="1">
        <v>542619</v>
      </c>
      <c r="I585" s="1">
        <v>572619</v>
      </c>
      <c r="J585" s="1">
        <v>9864.5000000000018</v>
      </c>
      <c r="K585" s="1">
        <v>20135.5</v>
      </c>
      <c r="L585" s="1">
        <v>552483.5</v>
      </c>
      <c r="M585" s="1">
        <v>45</v>
      </c>
      <c r="N585" s="1">
        <v>844.57346863468638</v>
      </c>
      <c r="O585" s="1">
        <v>91.85437680571745</v>
      </c>
      <c r="P585" s="7">
        <v>45947</v>
      </c>
      <c r="Q585" s="1">
        <v>30000</v>
      </c>
      <c r="R585" s="7">
        <v>46038.854376805553</v>
      </c>
      <c r="S585" s="7">
        <v>46038</v>
      </c>
      <c r="T585" s="7" t="str">
        <f t="shared" si="0"/>
        <v>enero</v>
      </c>
      <c r="U585" s="1" t="s">
        <v>330</v>
      </c>
      <c r="X585" s="1" t="s">
        <v>331</v>
      </c>
      <c r="Y585" s="1" t="s">
        <v>332</v>
      </c>
      <c r="Z585" s="1">
        <v>30</v>
      </c>
      <c r="AA585" s="3">
        <v>3389.9</v>
      </c>
      <c r="AB585" s="3">
        <v>101697</v>
      </c>
      <c r="AC585" s="1" t="str">
        <f>VLOOKUP(A585,[1]Detalle!$D$2:$CW$484,98,FALSE)</f>
        <v>CENCOMLD - Cencosud SA - Mendoza</v>
      </c>
    </row>
    <row r="586" spans="1:29" ht="14.25" customHeight="1" x14ac:dyDescent="0.3">
      <c r="A586" s="1" t="s">
        <v>19</v>
      </c>
      <c r="B586" s="1" t="s">
        <v>432</v>
      </c>
      <c r="C586" s="1" t="s">
        <v>428</v>
      </c>
      <c r="D586" s="1" t="s">
        <v>428</v>
      </c>
      <c r="E586" s="1">
        <v>0.75</v>
      </c>
      <c r="F586" s="1" t="s">
        <v>329</v>
      </c>
      <c r="G586" s="6">
        <v>45902</v>
      </c>
      <c r="H586" s="1">
        <v>542619</v>
      </c>
      <c r="I586" s="1">
        <v>572619</v>
      </c>
      <c r="J586" s="1">
        <v>9864.5000000000018</v>
      </c>
      <c r="K586" s="1">
        <v>20135.5</v>
      </c>
      <c r="L586" s="1">
        <v>552483.5</v>
      </c>
      <c r="M586" s="1">
        <v>45</v>
      </c>
      <c r="N586" s="1">
        <v>844.57346863468638</v>
      </c>
      <c r="O586" s="1">
        <v>91.85437680571745</v>
      </c>
      <c r="P586" s="7">
        <v>45947</v>
      </c>
      <c r="Q586" s="1">
        <v>30000</v>
      </c>
      <c r="R586" s="7">
        <v>46038.854376805553</v>
      </c>
      <c r="S586" s="7">
        <v>46038</v>
      </c>
      <c r="T586" s="7" t="str">
        <f t="shared" si="0"/>
        <v>enero</v>
      </c>
      <c r="U586" s="1" t="s">
        <v>330</v>
      </c>
      <c r="X586" s="1" t="s">
        <v>397</v>
      </c>
      <c r="Y586" s="1" t="s">
        <v>398</v>
      </c>
      <c r="Z586" s="1">
        <v>1</v>
      </c>
      <c r="AA586" s="3">
        <v>9737.2800000000007</v>
      </c>
      <c r="AB586" s="3">
        <v>9737.2800000000007</v>
      </c>
      <c r="AC586" s="1" t="str">
        <f>VLOOKUP(A586,[1]Detalle!$D$2:$CW$484,98,FALSE)</f>
        <v>CENCOMLD - Cencosud SA - Mendoza</v>
      </c>
    </row>
    <row r="587" spans="1:29" ht="14.25" customHeight="1" x14ac:dyDescent="0.3">
      <c r="A587" s="1" t="s">
        <v>31</v>
      </c>
      <c r="B587" s="1" t="s">
        <v>429</v>
      </c>
      <c r="C587" s="1" t="s">
        <v>428</v>
      </c>
      <c r="D587" s="1" t="s">
        <v>428</v>
      </c>
      <c r="E587" s="1">
        <v>0.75</v>
      </c>
      <c r="F587" s="1" t="s">
        <v>329</v>
      </c>
      <c r="G587" s="6">
        <v>45670</v>
      </c>
      <c r="H587" s="1">
        <v>26955.5</v>
      </c>
      <c r="I587" s="1">
        <v>56955.5</v>
      </c>
      <c r="J587" s="1">
        <v>25182.46000000001</v>
      </c>
      <c r="K587" s="1">
        <v>4817.53999999999</v>
      </c>
      <c r="L587" s="1">
        <v>52137.960000000006</v>
      </c>
      <c r="M587" s="1">
        <v>277</v>
      </c>
      <c r="N587" s="1">
        <v>102.90352941176479</v>
      </c>
      <c r="O587" s="1">
        <v>52.991589384039401</v>
      </c>
      <c r="P587" s="7">
        <v>45947</v>
      </c>
      <c r="Q587" s="1">
        <v>30000</v>
      </c>
      <c r="R587" s="7">
        <v>46291.526779398147</v>
      </c>
      <c r="S587" s="7">
        <v>46291</v>
      </c>
      <c r="T587" s="7" t="str">
        <f t="shared" si="0"/>
        <v>septiembre</v>
      </c>
      <c r="U587" s="1" t="s">
        <v>330</v>
      </c>
      <c r="X587" s="1" t="s">
        <v>331</v>
      </c>
      <c r="Y587" s="1" t="s">
        <v>332</v>
      </c>
      <c r="Z587" s="1">
        <v>30</v>
      </c>
      <c r="AA587" s="3">
        <v>3389.9</v>
      </c>
      <c r="AB587" s="3">
        <v>101697</v>
      </c>
      <c r="AC587" s="1" t="str">
        <f>VLOOKUP(A587,[1]Detalle!$D$2:$CW$484,98,FALSE)</f>
        <v>CENCOMLD - Cencosud SA - Mendoza</v>
      </c>
    </row>
    <row r="588" spans="1:29" ht="14.25" customHeight="1" x14ac:dyDescent="0.3">
      <c r="A588" s="1" t="s">
        <v>31</v>
      </c>
      <c r="B588" s="1" t="s">
        <v>429</v>
      </c>
      <c r="C588" s="1" t="s">
        <v>428</v>
      </c>
      <c r="D588" s="1" t="s">
        <v>428</v>
      </c>
      <c r="E588" s="1">
        <v>0.75</v>
      </c>
      <c r="F588" s="1" t="s">
        <v>329</v>
      </c>
      <c r="G588" s="6">
        <v>45670</v>
      </c>
      <c r="H588" s="1">
        <v>26955.5</v>
      </c>
      <c r="I588" s="1">
        <v>56955.5</v>
      </c>
      <c r="J588" s="1">
        <v>25182.46000000001</v>
      </c>
      <c r="K588" s="1">
        <v>4817.53999999999</v>
      </c>
      <c r="L588" s="1">
        <v>52137.960000000006</v>
      </c>
      <c r="M588" s="1">
        <v>277</v>
      </c>
      <c r="N588" s="1">
        <v>102.90352941176479</v>
      </c>
      <c r="O588" s="1">
        <v>52.991589384039401</v>
      </c>
      <c r="P588" s="7">
        <v>45947</v>
      </c>
      <c r="Q588" s="1">
        <v>30000</v>
      </c>
      <c r="R588" s="7">
        <v>46291.526779398147</v>
      </c>
      <c r="S588" s="7">
        <v>46291</v>
      </c>
      <c r="T588" s="7" t="str">
        <f t="shared" si="0"/>
        <v>septiembre</v>
      </c>
      <c r="U588" s="1" t="s">
        <v>330</v>
      </c>
      <c r="X588" s="1" t="s">
        <v>397</v>
      </c>
      <c r="Y588" s="1" t="s">
        <v>398</v>
      </c>
      <c r="Z588" s="1">
        <v>1</v>
      </c>
      <c r="AA588" s="3">
        <v>9737.2800000000007</v>
      </c>
      <c r="AB588" s="3">
        <v>9737.2800000000007</v>
      </c>
      <c r="AC588" s="1" t="str">
        <f>VLOOKUP(A588,[1]Detalle!$D$2:$CW$484,98,FALSE)</f>
        <v>CENCOMLD - Cencosud SA - Mendoza</v>
      </c>
    </row>
    <row r="589" spans="1:29" ht="14.25" customHeight="1" x14ac:dyDescent="0.3">
      <c r="A589" s="1" t="s">
        <v>35</v>
      </c>
      <c r="B589" s="1" t="s">
        <v>427</v>
      </c>
      <c r="C589" s="1" t="s">
        <v>428</v>
      </c>
      <c r="D589" s="1" t="s">
        <v>428</v>
      </c>
      <c r="E589" s="1">
        <v>0.75</v>
      </c>
      <c r="F589" s="1" t="s">
        <v>329</v>
      </c>
      <c r="G589" s="6">
        <v>45889</v>
      </c>
      <c r="H589" s="1">
        <v>401776</v>
      </c>
      <c r="I589" s="1">
        <v>431776</v>
      </c>
      <c r="J589" s="1">
        <v>11957.5</v>
      </c>
      <c r="K589" s="1">
        <v>18042.5</v>
      </c>
      <c r="L589" s="1">
        <v>413733.5</v>
      </c>
      <c r="M589" s="1">
        <v>58</v>
      </c>
      <c r="N589" s="1">
        <v>328.18794117647042</v>
      </c>
      <c r="O589" s="1">
        <v>87.515366924524358</v>
      </c>
      <c r="P589" s="7">
        <v>45947</v>
      </c>
      <c r="Q589" s="1">
        <v>30000</v>
      </c>
      <c r="R589" s="7">
        <v>46034.515366921303</v>
      </c>
      <c r="S589" s="7">
        <v>46034</v>
      </c>
      <c r="T589" s="7" t="str">
        <f t="shared" si="0"/>
        <v>enero</v>
      </c>
      <c r="U589" s="1" t="s">
        <v>330</v>
      </c>
      <c r="X589" s="1" t="s">
        <v>331</v>
      </c>
      <c r="Y589" s="1" t="s">
        <v>332</v>
      </c>
      <c r="Z589" s="1">
        <v>30</v>
      </c>
      <c r="AA589" s="3">
        <v>3389.9</v>
      </c>
      <c r="AB589" s="3">
        <v>101697</v>
      </c>
      <c r="AC589" s="1" t="str">
        <f>VLOOKUP(A589,[1]Detalle!$D$2:$CW$484,98,FALSE)</f>
        <v>CENCOMLD - Cencosud SA - Mendoza</v>
      </c>
    </row>
    <row r="590" spans="1:29" ht="14.25" customHeight="1" x14ac:dyDescent="0.3">
      <c r="A590" s="1" t="s">
        <v>35</v>
      </c>
      <c r="B590" s="1" t="s">
        <v>427</v>
      </c>
      <c r="C590" s="1" t="s">
        <v>428</v>
      </c>
      <c r="D590" s="1" t="s">
        <v>428</v>
      </c>
      <c r="E590" s="1">
        <v>0.75</v>
      </c>
      <c r="F590" s="1" t="s">
        <v>329</v>
      </c>
      <c r="G590" s="6">
        <v>45889</v>
      </c>
      <c r="H590" s="1">
        <v>401776</v>
      </c>
      <c r="I590" s="1">
        <v>431776</v>
      </c>
      <c r="J590" s="1">
        <v>11957.5</v>
      </c>
      <c r="K590" s="1">
        <v>18042.5</v>
      </c>
      <c r="L590" s="1">
        <v>413733.5</v>
      </c>
      <c r="M590" s="1">
        <v>58</v>
      </c>
      <c r="N590" s="1">
        <v>328.18794117647042</v>
      </c>
      <c r="O590" s="1">
        <v>87.515366924524358</v>
      </c>
      <c r="P590" s="7">
        <v>45947</v>
      </c>
      <c r="Q590" s="1">
        <v>30000</v>
      </c>
      <c r="R590" s="7">
        <v>46034.515366921303</v>
      </c>
      <c r="S590" s="7">
        <v>46034</v>
      </c>
      <c r="T590" s="7" t="str">
        <f t="shared" si="0"/>
        <v>enero</v>
      </c>
      <c r="U590" s="1" t="s">
        <v>330</v>
      </c>
      <c r="X590" s="1" t="s">
        <v>397</v>
      </c>
      <c r="Y590" s="1" t="s">
        <v>398</v>
      </c>
      <c r="Z590" s="1">
        <v>1</v>
      </c>
      <c r="AA590" s="3">
        <v>9737.2800000000007</v>
      </c>
      <c r="AB590" s="3">
        <v>9737.2800000000007</v>
      </c>
      <c r="AC590" s="1" t="str">
        <f>VLOOKUP(A590,[1]Detalle!$D$2:$CW$484,98,FALSE)</f>
        <v>CENCOMLD - Cencosud SA - Mendoza</v>
      </c>
    </row>
    <row r="591" spans="1:29" ht="14.25" customHeight="1" x14ac:dyDescent="0.3">
      <c r="A591" s="1" t="s">
        <v>95</v>
      </c>
      <c r="B591" s="1" t="s">
        <v>429</v>
      </c>
      <c r="C591" s="1" t="s">
        <v>428</v>
      </c>
      <c r="D591" s="1" t="s">
        <v>428</v>
      </c>
      <c r="E591" s="1">
        <v>0.75</v>
      </c>
      <c r="F591" s="1" t="s">
        <v>329</v>
      </c>
      <c r="G591" s="6">
        <v>45869</v>
      </c>
      <c r="H591" s="1">
        <v>165086</v>
      </c>
      <c r="I591" s="1">
        <v>195086</v>
      </c>
      <c r="J591" s="1">
        <v>12624.7</v>
      </c>
      <c r="K591" s="1">
        <v>17375.3</v>
      </c>
      <c r="L591" s="1">
        <v>177710.7</v>
      </c>
      <c r="M591" s="1">
        <v>78</v>
      </c>
      <c r="N591" s="1">
        <v>266.23473282442751</v>
      </c>
      <c r="O591" s="1">
        <v>107.3509390322146</v>
      </c>
      <c r="P591" s="7">
        <v>45947</v>
      </c>
      <c r="Q591" s="1">
        <v>30000</v>
      </c>
      <c r="R591" s="7">
        <v>46054.350939027783</v>
      </c>
      <c r="S591" s="7">
        <v>46054</v>
      </c>
      <c r="T591" s="7" t="str">
        <f t="shared" si="0"/>
        <v>febrero</v>
      </c>
      <c r="U591" s="1" t="s">
        <v>330</v>
      </c>
      <c r="X591" s="1" t="s">
        <v>331</v>
      </c>
      <c r="Y591" s="1" t="s">
        <v>332</v>
      </c>
      <c r="Z591" s="1">
        <v>30</v>
      </c>
      <c r="AA591" s="3">
        <v>3389.9</v>
      </c>
      <c r="AB591" s="3">
        <v>101697</v>
      </c>
      <c r="AC591" s="1" t="str">
        <f>VLOOKUP(A591,[1]Detalle!$D$2:$CW$484,98,FALSE)</f>
        <v>CENCOMLD - Cencosud SA - Mendoza</v>
      </c>
    </row>
    <row r="592" spans="1:29" ht="14.25" customHeight="1" x14ac:dyDescent="0.3">
      <c r="A592" s="1" t="s">
        <v>95</v>
      </c>
      <c r="B592" s="1" t="s">
        <v>429</v>
      </c>
      <c r="C592" s="1" t="s">
        <v>428</v>
      </c>
      <c r="D592" s="1" t="s">
        <v>428</v>
      </c>
      <c r="E592" s="1">
        <v>0.75</v>
      </c>
      <c r="F592" s="1" t="s">
        <v>329</v>
      </c>
      <c r="G592" s="6">
        <v>45869</v>
      </c>
      <c r="H592" s="1">
        <v>165086</v>
      </c>
      <c r="I592" s="1">
        <v>195086</v>
      </c>
      <c r="J592" s="1">
        <v>12624.7</v>
      </c>
      <c r="K592" s="1">
        <v>17375.3</v>
      </c>
      <c r="L592" s="1">
        <v>177710.7</v>
      </c>
      <c r="M592" s="1">
        <v>78</v>
      </c>
      <c r="N592" s="1">
        <v>266.23473282442751</v>
      </c>
      <c r="O592" s="1">
        <v>107.3509390322146</v>
      </c>
      <c r="P592" s="7">
        <v>45947</v>
      </c>
      <c r="Q592" s="1">
        <v>30000</v>
      </c>
      <c r="R592" s="7">
        <v>46054.350939027783</v>
      </c>
      <c r="S592" s="7">
        <v>46054</v>
      </c>
      <c r="T592" s="7" t="str">
        <f t="shared" si="0"/>
        <v>febrero</v>
      </c>
      <c r="U592" s="1" t="s">
        <v>330</v>
      </c>
      <c r="X592" s="1" t="s">
        <v>397</v>
      </c>
      <c r="Y592" s="1" t="s">
        <v>398</v>
      </c>
      <c r="Z592" s="1">
        <v>1</v>
      </c>
      <c r="AA592" s="3">
        <v>9737.2800000000007</v>
      </c>
      <c r="AB592" s="3">
        <v>9737.2800000000007</v>
      </c>
      <c r="AC592" s="1" t="str">
        <f>VLOOKUP(A592,[1]Detalle!$D$2:$CW$484,98,FALSE)</f>
        <v>CENCOMLD - Cencosud SA - Mendoza</v>
      </c>
    </row>
    <row r="593" spans="1:29" ht="14.25" customHeight="1" x14ac:dyDescent="0.3">
      <c r="A593" s="1" t="s">
        <v>96</v>
      </c>
      <c r="B593" s="1" t="s">
        <v>429</v>
      </c>
      <c r="C593" s="1" t="s">
        <v>428</v>
      </c>
      <c r="D593" s="1" t="s">
        <v>428</v>
      </c>
      <c r="E593" s="1">
        <v>0.75</v>
      </c>
      <c r="F593" s="1" t="s">
        <v>329</v>
      </c>
      <c r="G593" s="6">
        <v>45861</v>
      </c>
      <c r="H593" s="1">
        <v>163295</v>
      </c>
      <c r="I593" s="1">
        <v>193295</v>
      </c>
      <c r="J593" s="1">
        <v>22184.6</v>
      </c>
      <c r="K593" s="1">
        <v>7815.3999999999978</v>
      </c>
      <c r="L593" s="1">
        <v>185479.6</v>
      </c>
      <c r="M593" s="1">
        <v>86</v>
      </c>
      <c r="N593" s="1">
        <v>281.98244274809178</v>
      </c>
      <c r="O593" s="1">
        <v>30.296890635846481</v>
      </c>
      <c r="P593" s="7">
        <v>45947</v>
      </c>
      <c r="Q593" s="1">
        <v>30000</v>
      </c>
      <c r="R593" s="7">
        <v>46083.686493148147</v>
      </c>
      <c r="S593" s="7">
        <v>46083</v>
      </c>
      <c r="T593" s="7" t="str">
        <f t="shared" si="0"/>
        <v>marzo</v>
      </c>
      <c r="U593" s="1" t="s">
        <v>330</v>
      </c>
      <c r="X593" s="1" t="s">
        <v>331</v>
      </c>
      <c r="Y593" s="1" t="s">
        <v>332</v>
      </c>
      <c r="Z593" s="1">
        <v>30</v>
      </c>
      <c r="AA593" s="3">
        <v>3389.9</v>
      </c>
      <c r="AB593" s="3">
        <v>101697</v>
      </c>
      <c r="AC593" s="1" t="str">
        <f>VLOOKUP(A593,[1]Detalle!$D$2:$CW$484,98,FALSE)</f>
        <v>CENCOMLD - Cencosud SA - Mendoza</v>
      </c>
    </row>
    <row r="594" spans="1:29" ht="14.25" customHeight="1" x14ac:dyDescent="0.3">
      <c r="A594" s="1" t="s">
        <v>96</v>
      </c>
      <c r="B594" s="1" t="s">
        <v>429</v>
      </c>
      <c r="C594" s="1" t="s">
        <v>428</v>
      </c>
      <c r="D594" s="1" t="s">
        <v>428</v>
      </c>
      <c r="E594" s="1">
        <v>0.75</v>
      </c>
      <c r="F594" s="1" t="s">
        <v>329</v>
      </c>
      <c r="G594" s="6">
        <v>45861</v>
      </c>
      <c r="H594" s="1">
        <v>163295</v>
      </c>
      <c r="I594" s="1">
        <v>193295</v>
      </c>
      <c r="J594" s="1">
        <v>22184.6</v>
      </c>
      <c r="K594" s="1">
        <v>7815.3999999999978</v>
      </c>
      <c r="L594" s="1">
        <v>185479.6</v>
      </c>
      <c r="M594" s="1">
        <v>86</v>
      </c>
      <c r="N594" s="1">
        <v>281.98244274809178</v>
      </c>
      <c r="O594" s="1">
        <v>30.296890635846481</v>
      </c>
      <c r="P594" s="7">
        <v>45947</v>
      </c>
      <c r="Q594" s="1">
        <v>30000</v>
      </c>
      <c r="R594" s="7">
        <v>46083.686493148147</v>
      </c>
      <c r="S594" s="7">
        <v>46083</v>
      </c>
      <c r="T594" s="7" t="str">
        <f t="shared" si="0"/>
        <v>marzo</v>
      </c>
      <c r="U594" s="1" t="s">
        <v>330</v>
      </c>
      <c r="X594" s="1" t="s">
        <v>397</v>
      </c>
      <c r="Y594" s="1" t="s">
        <v>398</v>
      </c>
      <c r="Z594" s="1">
        <v>1</v>
      </c>
      <c r="AA594" s="3">
        <v>9737.2800000000007</v>
      </c>
      <c r="AB594" s="3">
        <v>9737.2800000000007</v>
      </c>
      <c r="AC594" s="1" t="str">
        <f>VLOOKUP(A594,[1]Detalle!$D$2:$CW$484,98,FALSE)</f>
        <v>CENCOMLD - Cencosud SA - Mendoza</v>
      </c>
    </row>
    <row r="595" spans="1:29" ht="14.25" customHeight="1" x14ac:dyDescent="0.3">
      <c r="A595" s="1" t="s">
        <v>215</v>
      </c>
      <c r="B595" s="1" t="s">
        <v>427</v>
      </c>
      <c r="C595" s="1" t="s">
        <v>428</v>
      </c>
      <c r="D595" s="1" t="s">
        <v>428</v>
      </c>
      <c r="E595" s="1">
        <v>0.75</v>
      </c>
      <c r="F595" s="1" t="s">
        <v>329</v>
      </c>
      <c r="G595" s="6">
        <v>45810</v>
      </c>
      <c r="H595" s="1">
        <v>367233</v>
      </c>
      <c r="I595" s="1">
        <v>397233</v>
      </c>
      <c r="J595" s="1">
        <v>10569.3</v>
      </c>
      <c r="K595" s="1">
        <v>19430.7</v>
      </c>
      <c r="L595" s="1">
        <v>377802.3</v>
      </c>
      <c r="M595" s="1">
        <v>137</v>
      </c>
      <c r="N595" s="1">
        <v>68.452272727272742</v>
      </c>
      <c r="O595" s="1">
        <v>251.8620816894213</v>
      </c>
      <c r="P595" s="7">
        <v>45947</v>
      </c>
      <c r="Q595" s="1">
        <v>30000</v>
      </c>
      <c r="R595" s="7">
        <v>46198.862081689818</v>
      </c>
      <c r="S595" s="7">
        <v>46198</v>
      </c>
      <c r="T595" s="7" t="str">
        <f t="shared" si="0"/>
        <v>junio</v>
      </c>
      <c r="U595" s="1" t="s">
        <v>330</v>
      </c>
      <c r="X595" s="1" t="s">
        <v>331</v>
      </c>
      <c r="Y595" s="1" t="s">
        <v>332</v>
      </c>
      <c r="Z595" s="1">
        <v>30</v>
      </c>
      <c r="AA595" s="3">
        <v>3389.9</v>
      </c>
      <c r="AB595" s="3">
        <v>101697</v>
      </c>
      <c r="AC595" s="1" t="str">
        <f>VLOOKUP(A595,[1]Detalle!$D$2:$CW$484,98,FALSE)</f>
        <v>Arcor S.A.I.C.</v>
      </c>
    </row>
    <row r="596" spans="1:29" ht="14.25" customHeight="1" x14ac:dyDescent="0.3">
      <c r="A596" s="1" t="s">
        <v>215</v>
      </c>
      <c r="B596" s="1" t="s">
        <v>427</v>
      </c>
      <c r="C596" s="1" t="s">
        <v>428</v>
      </c>
      <c r="D596" s="1" t="s">
        <v>428</v>
      </c>
      <c r="E596" s="1">
        <v>0.75</v>
      </c>
      <c r="F596" s="1" t="s">
        <v>329</v>
      </c>
      <c r="G596" s="6">
        <v>45810</v>
      </c>
      <c r="H596" s="1">
        <v>367233</v>
      </c>
      <c r="I596" s="1">
        <v>397233</v>
      </c>
      <c r="J596" s="1">
        <v>10569.3</v>
      </c>
      <c r="K596" s="1">
        <v>19430.7</v>
      </c>
      <c r="L596" s="1">
        <v>377802.3</v>
      </c>
      <c r="M596" s="1">
        <v>137</v>
      </c>
      <c r="N596" s="1">
        <v>68.452272727272742</v>
      </c>
      <c r="O596" s="1">
        <v>251.8620816894213</v>
      </c>
      <c r="P596" s="7">
        <v>45947</v>
      </c>
      <c r="Q596" s="1">
        <v>30000</v>
      </c>
      <c r="R596" s="7">
        <v>46198.862081689818</v>
      </c>
      <c r="S596" s="7">
        <v>46198</v>
      </c>
      <c r="T596" s="7" t="str">
        <f t="shared" si="0"/>
        <v>junio</v>
      </c>
      <c r="U596" s="1" t="s">
        <v>330</v>
      </c>
      <c r="X596" s="1" t="s">
        <v>397</v>
      </c>
      <c r="Y596" s="1" t="s">
        <v>398</v>
      </c>
      <c r="Z596" s="1">
        <v>1</v>
      </c>
      <c r="AA596" s="3">
        <v>9737.2800000000007</v>
      </c>
      <c r="AB596" s="3">
        <v>9737.2800000000007</v>
      </c>
      <c r="AC596" s="1" t="str">
        <f>VLOOKUP(A596,[1]Detalle!$D$2:$CW$484,98,FALSE)</f>
        <v>Arcor S.A.I.C.</v>
      </c>
    </row>
    <row r="597" spans="1:29" ht="14.25" customHeight="1" x14ac:dyDescent="0.3">
      <c r="A597" s="1" t="s">
        <v>214</v>
      </c>
      <c r="B597" s="1" t="s">
        <v>433</v>
      </c>
      <c r="C597" s="1" t="s">
        <v>428</v>
      </c>
      <c r="D597" s="1" t="s">
        <v>428</v>
      </c>
      <c r="E597" s="1">
        <v>0.75</v>
      </c>
      <c r="F597" s="1" t="s">
        <v>329</v>
      </c>
      <c r="G597" s="6">
        <v>45918</v>
      </c>
      <c r="H597" s="1">
        <v>41172.300000000003</v>
      </c>
      <c r="I597" s="1">
        <v>71172.3</v>
      </c>
      <c r="J597" s="1">
        <v>0</v>
      </c>
      <c r="K597" s="1">
        <v>30000</v>
      </c>
      <c r="L597" s="1">
        <v>41172.300000000003</v>
      </c>
      <c r="M597" s="1">
        <v>29</v>
      </c>
      <c r="N597" s="1">
        <v>24.119335793357951</v>
      </c>
      <c r="O597" s="1">
        <v>300</v>
      </c>
      <c r="P597" s="7">
        <v>45947</v>
      </c>
      <c r="Q597" s="1">
        <v>30000</v>
      </c>
      <c r="R597" s="7">
        <v>46247</v>
      </c>
      <c r="S597" s="7">
        <v>46247</v>
      </c>
      <c r="T597" s="7" t="str">
        <f t="shared" si="0"/>
        <v>agosto</v>
      </c>
      <c r="U597" s="1" t="s">
        <v>330</v>
      </c>
      <c r="X597" s="1" t="s">
        <v>331</v>
      </c>
      <c r="Y597" s="1" t="s">
        <v>332</v>
      </c>
      <c r="Z597" s="1">
        <v>30</v>
      </c>
      <c r="AA597" s="3">
        <v>3389.9</v>
      </c>
      <c r="AB597" s="3">
        <v>101697</v>
      </c>
      <c r="AC597" s="1" t="str">
        <f>VLOOKUP(A597,[1]Detalle!$D$2:$CW$484,98,FALSE)</f>
        <v>Expreso - Servicios Troncales</v>
      </c>
    </row>
    <row r="598" spans="1:29" ht="14.25" customHeight="1" x14ac:dyDescent="0.3">
      <c r="A598" s="1" t="s">
        <v>214</v>
      </c>
      <c r="B598" s="1" t="s">
        <v>433</v>
      </c>
      <c r="C598" s="1" t="s">
        <v>428</v>
      </c>
      <c r="D598" s="1" t="s">
        <v>428</v>
      </c>
      <c r="E598" s="1">
        <v>0.75</v>
      </c>
      <c r="F598" s="1" t="s">
        <v>329</v>
      </c>
      <c r="G598" s="6">
        <v>45918</v>
      </c>
      <c r="H598" s="1">
        <v>41172.300000000003</v>
      </c>
      <c r="I598" s="1">
        <v>71172.3</v>
      </c>
      <c r="J598" s="1">
        <v>0</v>
      </c>
      <c r="K598" s="1">
        <v>30000</v>
      </c>
      <c r="L598" s="1">
        <v>41172.300000000003</v>
      </c>
      <c r="M598" s="1">
        <v>29</v>
      </c>
      <c r="N598" s="1">
        <v>24.119335793357951</v>
      </c>
      <c r="O598" s="1">
        <v>300</v>
      </c>
      <c r="P598" s="7">
        <v>45947</v>
      </c>
      <c r="Q598" s="1">
        <v>30000</v>
      </c>
      <c r="R598" s="7">
        <v>46247</v>
      </c>
      <c r="S598" s="7">
        <v>46247</v>
      </c>
      <c r="T598" s="7" t="str">
        <f t="shared" si="0"/>
        <v>agosto</v>
      </c>
      <c r="U598" s="1" t="s">
        <v>330</v>
      </c>
      <c r="X598" s="1" t="s">
        <v>397</v>
      </c>
      <c r="Y598" s="1" t="s">
        <v>398</v>
      </c>
      <c r="Z598" s="1">
        <v>1</v>
      </c>
      <c r="AA598" s="3">
        <v>9737.2800000000007</v>
      </c>
      <c r="AB598" s="3">
        <v>9737.2800000000007</v>
      </c>
      <c r="AC598" s="1" t="str">
        <f>VLOOKUP(A598,[1]Detalle!$D$2:$CW$484,98,FALSE)</f>
        <v>Expreso - Servicios Troncales</v>
      </c>
    </row>
    <row r="599" spans="1:29" ht="14.25" customHeight="1" x14ac:dyDescent="0.3">
      <c r="A599" s="1" t="s">
        <v>176</v>
      </c>
      <c r="B599" s="1" t="s">
        <v>427</v>
      </c>
      <c r="C599" s="1" t="s">
        <v>428</v>
      </c>
      <c r="D599" s="1" t="s">
        <v>428</v>
      </c>
      <c r="E599" s="1">
        <v>0.75</v>
      </c>
      <c r="F599" s="1" t="s">
        <v>329</v>
      </c>
      <c r="G599" s="6">
        <v>45897</v>
      </c>
      <c r="H599" s="1">
        <v>1944647</v>
      </c>
      <c r="I599" s="1">
        <v>1974647</v>
      </c>
      <c r="J599" s="1">
        <v>11028.1</v>
      </c>
      <c r="K599" s="1">
        <v>18971.900000000001</v>
      </c>
      <c r="L599" s="1">
        <v>1955675.1</v>
      </c>
      <c r="M599" s="1">
        <v>50</v>
      </c>
      <c r="N599" s="1">
        <v>1849.550539936103</v>
      </c>
      <c r="O599" s="1">
        <v>86.016176857300891</v>
      </c>
      <c r="P599" s="7">
        <v>45947</v>
      </c>
      <c r="Q599" s="1">
        <v>30000</v>
      </c>
      <c r="R599" s="7">
        <v>46033.016176851852</v>
      </c>
      <c r="S599" s="7">
        <v>46033</v>
      </c>
      <c r="T599" s="7" t="str">
        <f t="shared" si="0"/>
        <v>enero</v>
      </c>
      <c r="U599" s="1" t="s">
        <v>330</v>
      </c>
      <c r="X599" s="1" t="s">
        <v>331</v>
      </c>
      <c r="Y599" s="1" t="s">
        <v>332</v>
      </c>
      <c r="Z599" s="1">
        <v>30</v>
      </c>
      <c r="AA599" s="3">
        <v>3389.9</v>
      </c>
      <c r="AB599" s="3">
        <v>101697</v>
      </c>
      <c r="AC599" s="1" t="str">
        <f>VLOOKUP(A599,[1]Detalle!$D$2:$CW$484,98,FALSE)</f>
        <v>Expreso - Servicios Troncales</v>
      </c>
    </row>
    <row r="600" spans="1:29" ht="14.25" customHeight="1" x14ac:dyDescent="0.3">
      <c r="A600" s="1" t="s">
        <v>176</v>
      </c>
      <c r="B600" s="1" t="s">
        <v>427</v>
      </c>
      <c r="C600" s="1" t="s">
        <v>428</v>
      </c>
      <c r="D600" s="1" t="s">
        <v>428</v>
      </c>
      <c r="E600" s="1">
        <v>0.75</v>
      </c>
      <c r="F600" s="1" t="s">
        <v>329</v>
      </c>
      <c r="G600" s="6">
        <v>45897</v>
      </c>
      <c r="H600" s="1">
        <v>1944647</v>
      </c>
      <c r="I600" s="1">
        <v>1974647</v>
      </c>
      <c r="J600" s="1">
        <v>11028.1</v>
      </c>
      <c r="K600" s="1">
        <v>18971.900000000001</v>
      </c>
      <c r="L600" s="1">
        <v>1955675.1</v>
      </c>
      <c r="M600" s="1">
        <v>50</v>
      </c>
      <c r="N600" s="1">
        <v>1849.550539936103</v>
      </c>
      <c r="O600" s="1">
        <v>86.016176857300891</v>
      </c>
      <c r="P600" s="7">
        <v>45947</v>
      </c>
      <c r="Q600" s="1">
        <v>30000</v>
      </c>
      <c r="R600" s="7">
        <v>46033.016176851852</v>
      </c>
      <c r="S600" s="7">
        <v>46033</v>
      </c>
      <c r="T600" s="7" t="str">
        <f t="shared" si="0"/>
        <v>enero</v>
      </c>
      <c r="U600" s="1" t="s">
        <v>330</v>
      </c>
      <c r="X600" s="1" t="s">
        <v>397</v>
      </c>
      <c r="Y600" s="1" t="s">
        <v>398</v>
      </c>
      <c r="Z600" s="1">
        <v>1</v>
      </c>
      <c r="AA600" s="3">
        <v>9737.2800000000007</v>
      </c>
      <c r="AB600" s="3">
        <v>9737.2800000000007</v>
      </c>
      <c r="AC600" s="1" t="str">
        <f>VLOOKUP(A600,[1]Detalle!$D$2:$CW$484,98,FALSE)</f>
        <v>Expreso - Servicios Troncales</v>
      </c>
    </row>
    <row r="601" spans="1:29" ht="14.25" customHeight="1" x14ac:dyDescent="0.3">
      <c r="A601" s="1" t="s">
        <v>177</v>
      </c>
      <c r="B601" s="1" t="s">
        <v>427</v>
      </c>
      <c r="C601" s="1" t="s">
        <v>428</v>
      </c>
      <c r="D601" s="1" t="s">
        <v>428</v>
      </c>
      <c r="E601" s="1">
        <v>0.75</v>
      </c>
      <c r="F601" s="1" t="s">
        <v>329</v>
      </c>
      <c r="G601" s="6">
        <v>45478</v>
      </c>
      <c r="H601" s="1">
        <v>901266</v>
      </c>
      <c r="I601" s="1">
        <v>931266</v>
      </c>
      <c r="J601" s="1">
        <v>56774.349999999977</v>
      </c>
      <c r="K601" s="1">
        <v>-26774.34999999998</v>
      </c>
      <c r="L601" s="1">
        <v>958040.35</v>
      </c>
      <c r="M601" s="1">
        <v>469</v>
      </c>
      <c r="N601" s="1">
        <v>126.37693548387099</v>
      </c>
      <c r="O601" s="1">
        <v>-221.17681928546949</v>
      </c>
      <c r="P601" s="7">
        <v>45947</v>
      </c>
      <c r="Q601" s="1">
        <v>30000</v>
      </c>
      <c r="R601" s="7">
        <v>46184.385088391202</v>
      </c>
      <c r="S601" s="7">
        <v>46184</v>
      </c>
      <c r="T601" s="7" t="str">
        <f t="shared" si="0"/>
        <v>junio</v>
      </c>
      <c r="U601" s="1" t="s">
        <v>330</v>
      </c>
      <c r="X601" s="1" t="s">
        <v>331</v>
      </c>
      <c r="Y601" s="1" t="s">
        <v>332</v>
      </c>
      <c r="Z601" s="1">
        <v>30</v>
      </c>
      <c r="AA601" s="3">
        <v>3389.9</v>
      </c>
      <c r="AB601" s="3">
        <v>101697</v>
      </c>
      <c r="AC601" s="1" t="str">
        <f>VLOOKUP(A601,[1]Detalle!$D$2:$CW$484,98,FALSE)</f>
        <v>Unilever - Unilever de Arg. S.A.</v>
      </c>
    </row>
    <row r="602" spans="1:29" ht="14.25" customHeight="1" x14ac:dyDescent="0.3">
      <c r="A602" s="1" t="s">
        <v>177</v>
      </c>
      <c r="B602" s="1" t="s">
        <v>427</v>
      </c>
      <c r="C602" s="1" t="s">
        <v>428</v>
      </c>
      <c r="D602" s="1" t="s">
        <v>428</v>
      </c>
      <c r="E602" s="1">
        <v>0.75</v>
      </c>
      <c r="F602" s="1" t="s">
        <v>329</v>
      </c>
      <c r="G602" s="6">
        <v>45478</v>
      </c>
      <c r="H602" s="1">
        <v>901266</v>
      </c>
      <c r="I602" s="1">
        <v>931266</v>
      </c>
      <c r="J602" s="1">
        <v>56774.349999999977</v>
      </c>
      <c r="K602" s="1">
        <v>-26774.34999999998</v>
      </c>
      <c r="L602" s="1">
        <v>958040.35</v>
      </c>
      <c r="M602" s="1">
        <v>469</v>
      </c>
      <c r="N602" s="1">
        <v>126.37693548387099</v>
      </c>
      <c r="O602" s="1">
        <v>-221.17681928546949</v>
      </c>
      <c r="P602" s="7">
        <v>45947</v>
      </c>
      <c r="Q602" s="1">
        <v>30000</v>
      </c>
      <c r="R602" s="7">
        <v>46184.385088391202</v>
      </c>
      <c r="S602" s="7">
        <v>46184</v>
      </c>
      <c r="T602" s="7" t="str">
        <f t="shared" si="0"/>
        <v>junio</v>
      </c>
      <c r="U602" s="1" t="s">
        <v>330</v>
      </c>
      <c r="X602" s="1" t="s">
        <v>397</v>
      </c>
      <c r="Y602" s="1" t="s">
        <v>398</v>
      </c>
      <c r="Z602" s="1">
        <v>1</v>
      </c>
      <c r="AA602" s="3">
        <v>9737.2800000000007</v>
      </c>
      <c r="AB602" s="3">
        <v>9737.2800000000007</v>
      </c>
      <c r="AC602" s="1" t="str">
        <f>VLOOKUP(A602,[1]Detalle!$D$2:$CW$484,98,FALSE)</f>
        <v>Unilever - Unilever de Arg. S.A.</v>
      </c>
    </row>
    <row r="603" spans="1:29" ht="14.25" customHeight="1" x14ac:dyDescent="0.3">
      <c r="A603" s="1" t="s">
        <v>186</v>
      </c>
      <c r="B603" s="1" t="s">
        <v>427</v>
      </c>
      <c r="C603" s="1" t="s">
        <v>428</v>
      </c>
      <c r="D603" s="1" t="s">
        <v>428</v>
      </c>
      <c r="E603" s="1">
        <v>0.75</v>
      </c>
      <c r="F603" s="1" t="s">
        <v>329</v>
      </c>
      <c r="G603" s="6">
        <v>45800</v>
      </c>
      <c r="H603" s="1">
        <v>459582</v>
      </c>
      <c r="I603" s="1">
        <v>489582</v>
      </c>
      <c r="J603" s="1">
        <v>48012.699999999968</v>
      </c>
      <c r="K603" s="1">
        <v>-18012.699999999972</v>
      </c>
      <c r="L603" s="1">
        <v>507594.7</v>
      </c>
      <c r="M603" s="1">
        <v>147</v>
      </c>
      <c r="N603" s="1">
        <v>303.0774834437085</v>
      </c>
      <c r="O603" s="1">
        <v>-55.149302163802432</v>
      </c>
      <c r="P603" s="7">
        <v>45947</v>
      </c>
      <c r="Q603" s="1">
        <v>30000</v>
      </c>
      <c r="R603" s="7">
        <v>46045.984588553241</v>
      </c>
      <c r="S603" s="7">
        <v>46045</v>
      </c>
      <c r="T603" s="7" t="str">
        <f t="shared" si="0"/>
        <v>enero</v>
      </c>
      <c r="U603" s="1" t="s">
        <v>330</v>
      </c>
      <c r="X603" s="1" t="s">
        <v>331</v>
      </c>
      <c r="Y603" s="1" t="s">
        <v>332</v>
      </c>
      <c r="Z603" s="1">
        <v>30</v>
      </c>
      <c r="AA603" s="3">
        <v>3389.9</v>
      </c>
      <c r="AB603" s="3">
        <v>101697</v>
      </c>
      <c r="AC603" s="1" t="str">
        <f>VLOOKUP(A603,[1]Detalle!$D$2:$CW$484,98,FALSE)</f>
        <v>Expreso - Servicios Troncales</v>
      </c>
    </row>
    <row r="604" spans="1:29" ht="14.25" customHeight="1" x14ac:dyDescent="0.3">
      <c r="A604" s="1" t="s">
        <v>186</v>
      </c>
      <c r="B604" s="1" t="s">
        <v>427</v>
      </c>
      <c r="C604" s="1" t="s">
        <v>428</v>
      </c>
      <c r="D604" s="1" t="s">
        <v>428</v>
      </c>
      <c r="E604" s="1">
        <v>0.75</v>
      </c>
      <c r="F604" s="1" t="s">
        <v>329</v>
      </c>
      <c r="G604" s="6">
        <v>45800</v>
      </c>
      <c r="H604" s="1">
        <v>459582</v>
      </c>
      <c r="I604" s="1">
        <v>489582</v>
      </c>
      <c r="J604" s="1">
        <v>48012.699999999968</v>
      </c>
      <c r="K604" s="1">
        <v>-18012.699999999972</v>
      </c>
      <c r="L604" s="1">
        <v>507594.7</v>
      </c>
      <c r="M604" s="1">
        <v>147</v>
      </c>
      <c r="N604" s="1">
        <v>303.0774834437085</v>
      </c>
      <c r="O604" s="1">
        <v>-55.149302163802432</v>
      </c>
      <c r="P604" s="7">
        <v>45947</v>
      </c>
      <c r="Q604" s="1">
        <v>30000</v>
      </c>
      <c r="R604" s="7">
        <v>46045.984588553241</v>
      </c>
      <c r="S604" s="7">
        <v>46045</v>
      </c>
      <c r="T604" s="7" t="str">
        <f t="shared" si="0"/>
        <v>enero</v>
      </c>
      <c r="U604" s="1" t="s">
        <v>330</v>
      </c>
      <c r="X604" s="1" t="s">
        <v>397</v>
      </c>
      <c r="Y604" s="1" t="s">
        <v>398</v>
      </c>
      <c r="Z604" s="1">
        <v>1</v>
      </c>
      <c r="AA604" s="3">
        <v>9737.2800000000007</v>
      </c>
      <c r="AB604" s="3">
        <v>9737.2800000000007</v>
      </c>
      <c r="AC604" s="1" t="str">
        <f>VLOOKUP(A604,[1]Detalle!$D$2:$CW$484,98,FALSE)</f>
        <v>Expreso - Servicios Troncales</v>
      </c>
    </row>
    <row r="605" spans="1:29" ht="14.25" customHeight="1" x14ac:dyDescent="0.3">
      <c r="A605" s="1" t="s">
        <v>201</v>
      </c>
      <c r="B605" s="1" t="s">
        <v>427</v>
      </c>
      <c r="C605" s="1" t="s">
        <v>428</v>
      </c>
      <c r="D605" s="1" t="s">
        <v>428</v>
      </c>
      <c r="E605" s="1">
        <v>0.75</v>
      </c>
      <c r="F605" s="1" t="s">
        <v>329</v>
      </c>
      <c r="G605" s="6">
        <v>45880</v>
      </c>
      <c r="H605" s="1">
        <v>1839556</v>
      </c>
      <c r="I605" s="1">
        <v>1869556</v>
      </c>
      <c r="J605" s="1">
        <v>11612.7</v>
      </c>
      <c r="K605" s="1">
        <v>18387.3</v>
      </c>
      <c r="L605" s="1">
        <v>1851168.7</v>
      </c>
      <c r="M605" s="1">
        <v>67</v>
      </c>
      <c r="N605" s="1">
        <v>155.41622516556279</v>
      </c>
      <c r="O605" s="1">
        <v>106.0863623446744</v>
      </c>
      <c r="P605" s="7">
        <v>45947</v>
      </c>
      <c r="Q605" s="1">
        <v>30000</v>
      </c>
      <c r="R605" s="7">
        <v>46053.086362349539</v>
      </c>
      <c r="S605" s="7">
        <v>46053</v>
      </c>
      <c r="T605" s="7" t="str">
        <f t="shared" si="0"/>
        <v>enero</v>
      </c>
      <c r="U605" s="1" t="s">
        <v>330</v>
      </c>
      <c r="X605" s="1" t="s">
        <v>331</v>
      </c>
      <c r="Y605" s="1" t="s">
        <v>332</v>
      </c>
      <c r="Z605" s="1">
        <v>30</v>
      </c>
      <c r="AA605" s="3">
        <v>3389.9</v>
      </c>
      <c r="AB605" s="3">
        <v>101697</v>
      </c>
      <c r="AC605" s="1" t="str">
        <f>VLOOKUP(A605,[1]Detalle!$D$2:$CW$484,98,FALSE)</f>
        <v>Expreso - Servicios Troncales</v>
      </c>
    </row>
    <row r="606" spans="1:29" ht="14.25" customHeight="1" x14ac:dyDescent="0.3">
      <c r="A606" s="1" t="s">
        <v>201</v>
      </c>
      <c r="B606" s="1" t="s">
        <v>427</v>
      </c>
      <c r="C606" s="1" t="s">
        <v>428</v>
      </c>
      <c r="D606" s="1" t="s">
        <v>428</v>
      </c>
      <c r="E606" s="1">
        <v>0.75</v>
      </c>
      <c r="F606" s="1" t="s">
        <v>329</v>
      </c>
      <c r="G606" s="6">
        <v>45880</v>
      </c>
      <c r="H606" s="1">
        <v>1839556</v>
      </c>
      <c r="I606" s="1">
        <v>1869556</v>
      </c>
      <c r="J606" s="1">
        <v>11612.7</v>
      </c>
      <c r="K606" s="1">
        <v>18387.3</v>
      </c>
      <c r="L606" s="1">
        <v>1851168.7</v>
      </c>
      <c r="M606" s="1">
        <v>67</v>
      </c>
      <c r="N606" s="1">
        <v>155.41622516556279</v>
      </c>
      <c r="O606" s="1">
        <v>106.0863623446744</v>
      </c>
      <c r="P606" s="7">
        <v>45947</v>
      </c>
      <c r="Q606" s="1">
        <v>30000</v>
      </c>
      <c r="R606" s="7">
        <v>46053.086362349539</v>
      </c>
      <c r="S606" s="7">
        <v>46053</v>
      </c>
      <c r="T606" s="7" t="str">
        <f t="shared" si="0"/>
        <v>enero</v>
      </c>
      <c r="U606" s="1" t="s">
        <v>330</v>
      </c>
      <c r="X606" s="1" t="s">
        <v>397</v>
      </c>
      <c r="Y606" s="1" t="s">
        <v>398</v>
      </c>
      <c r="Z606" s="1">
        <v>1</v>
      </c>
      <c r="AA606" s="3">
        <v>9737.2800000000007</v>
      </c>
      <c r="AB606" s="3">
        <v>9737.2800000000007</v>
      </c>
      <c r="AC606" s="1" t="str">
        <f>VLOOKUP(A606,[1]Detalle!$D$2:$CW$484,98,FALSE)</f>
        <v>Expreso - Servicios Troncales</v>
      </c>
    </row>
    <row r="607" spans="1:29" ht="14.25" customHeight="1" x14ac:dyDescent="0.3">
      <c r="A607" s="1" t="s">
        <v>230</v>
      </c>
      <c r="B607" s="1" t="s">
        <v>434</v>
      </c>
      <c r="C607" s="1" t="s">
        <v>428</v>
      </c>
      <c r="D607" s="1" t="s">
        <v>428</v>
      </c>
      <c r="E607" s="1">
        <v>0.75</v>
      </c>
      <c r="F607" s="1" t="s">
        <v>329</v>
      </c>
      <c r="G607" s="6">
        <v>45922</v>
      </c>
      <c r="H607" s="1">
        <v>1817011</v>
      </c>
      <c r="I607" s="1">
        <v>1847011</v>
      </c>
      <c r="J607" s="1">
        <v>3227.7</v>
      </c>
      <c r="K607" s="1">
        <v>26772.3</v>
      </c>
      <c r="L607" s="1">
        <v>1820238.7</v>
      </c>
      <c r="M607" s="1">
        <v>25</v>
      </c>
      <c r="N607" s="1">
        <v>289.98935849056602</v>
      </c>
      <c r="O607" s="1">
        <v>207.3636025652942</v>
      </c>
      <c r="P607" s="7">
        <v>45947</v>
      </c>
      <c r="Q607" s="1">
        <v>30000</v>
      </c>
      <c r="R607" s="7">
        <v>46154.363602569443</v>
      </c>
      <c r="S607" s="7">
        <v>46154</v>
      </c>
      <c r="T607" s="7" t="str">
        <f t="shared" si="0"/>
        <v>mayo</v>
      </c>
      <c r="U607" s="1" t="s">
        <v>330</v>
      </c>
      <c r="X607" s="1" t="s">
        <v>331</v>
      </c>
      <c r="Y607" s="1" t="s">
        <v>332</v>
      </c>
      <c r="Z607" s="1">
        <v>30</v>
      </c>
      <c r="AA607" s="3">
        <v>3389.9</v>
      </c>
      <c r="AB607" s="3">
        <v>101697</v>
      </c>
      <c r="AC607" s="1" t="str">
        <f>VLOOKUP(A607,[1]Detalle!$D$2:$CW$484,98,FALSE)</f>
        <v>Expreso - Servicios Troncales</v>
      </c>
    </row>
    <row r="608" spans="1:29" ht="14.25" customHeight="1" x14ac:dyDescent="0.3">
      <c r="A608" s="1" t="s">
        <v>230</v>
      </c>
      <c r="B608" s="1" t="s">
        <v>434</v>
      </c>
      <c r="C608" s="1" t="s">
        <v>428</v>
      </c>
      <c r="D608" s="1" t="s">
        <v>428</v>
      </c>
      <c r="E608" s="1">
        <v>0.75</v>
      </c>
      <c r="F608" s="1" t="s">
        <v>329</v>
      </c>
      <c r="G608" s="6">
        <v>45922</v>
      </c>
      <c r="H608" s="1">
        <v>1817011</v>
      </c>
      <c r="I608" s="1">
        <v>1847011</v>
      </c>
      <c r="J608" s="1">
        <v>3227.7</v>
      </c>
      <c r="K608" s="1">
        <v>26772.3</v>
      </c>
      <c r="L608" s="1">
        <v>1820238.7</v>
      </c>
      <c r="M608" s="1">
        <v>25</v>
      </c>
      <c r="N608" s="1">
        <v>289.98935849056602</v>
      </c>
      <c r="O608" s="1">
        <v>207.3636025652942</v>
      </c>
      <c r="P608" s="7">
        <v>45947</v>
      </c>
      <c r="Q608" s="1">
        <v>30000</v>
      </c>
      <c r="R608" s="7">
        <v>46154.363602569443</v>
      </c>
      <c r="S608" s="7">
        <v>46154</v>
      </c>
      <c r="T608" s="7" t="str">
        <f t="shared" si="0"/>
        <v>mayo</v>
      </c>
      <c r="U608" s="1" t="s">
        <v>330</v>
      </c>
      <c r="X608" s="1" t="s">
        <v>397</v>
      </c>
      <c r="Y608" s="1" t="s">
        <v>398</v>
      </c>
      <c r="Z608" s="1">
        <v>1</v>
      </c>
      <c r="AA608" s="3">
        <v>9737.2800000000007</v>
      </c>
      <c r="AB608" s="3">
        <v>9737.2800000000007</v>
      </c>
      <c r="AC608" s="1" t="str">
        <f>VLOOKUP(A608,[1]Detalle!$D$2:$CW$484,98,FALSE)</f>
        <v>Expreso - Servicios Troncales</v>
      </c>
    </row>
    <row r="609" spans="1:29" ht="14.25" customHeight="1" x14ac:dyDescent="0.3">
      <c r="A609" s="1" t="s">
        <v>175</v>
      </c>
      <c r="B609" s="1" t="s">
        <v>427</v>
      </c>
      <c r="C609" s="1" t="s">
        <v>428</v>
      </c>
      <c r="D609" s="1" t="s">
        <v>428</v>
      </c>
      <c r="E609" s="1">
        <v>0.75</v>
      </c>
      <c r="F609" s="1" t="s">
        <v>329</v>
      </c>
      <c r="G609" s="6">
        <v>45763</v>
      </c>
      <c r="H609" s="1">
        <v>1556403</v>
      </c>
      <c r="I609" s="1">
        <v>1586403</v>
      </c>
      <c r="J609" s="1">
        <v>17285.8</v>
      </c>
      <c r="K609" s="1">
        <v>12714.2</v>
      </c>
      <c r="L609" s="1">
        <v>1573688.8</v>
      </c>
      <c r="M609" s="1">
        <v>184</v>
      </c>
      <c r="N609" s="1">
        <v>81.249174917491729</v>
      </c>
      <c r="O609" s="1">
        <v>135.33725948466369</v>
      </c>
      <c r="P609" s="7">
        <v>45947</v>
      </c>
      <c r="Q609" s="1">
        <v>30000</v>
      </c>
      <c r="R609" s="7">
        <v>46082.337259479173</v>
      </c>
      <c r="S609" s="7">
        <v>46082</v>
      </c>
      <c r="T609" s="7" t="str">
        <f t="shared" si="0"/>
        <v>marzo</v>
      </c>
      <c r="U609" s="1" t="s">
        <v>330</v>
      </c>
      <c r="X609" s="1" t="s">
        <v>331</v>
      </c>
      <c r="Y609" s="1" t="s">
        <v>332</v>
      </c>
      <c r="Z609" s="1">
        <v>30</v>
      </c>
      <c r="AA609" s="3">
        <v>3389.9</v>
      </c>
      <c r="AB609" s="3">
        <v>101697</v>
      </c>
      <c r="AC609" s="1" t="str">
        <f>VLOOKUP(A609,[1]Detalle!$D$2:$CW$484,98,FALSE)</f>
        <v>JOHNSON - SC JOHNSON DE ARGENTINA SAIC</v>
      </c>
    </row>
    <row r="610" spans="1:29" ht="14.25" customHeight="1" x14ac:dyDescent="0.3">
      <c r="A610" s="1" t="s">
        <v>175</v>
      </c>
      <c r="B610" s="1" t="s">
        <v>427</v>
      </c>
      <c r="C610" s="1" t="s">
        <v>428</v>
      </c>
      <c r="D610" s="1" t="s">
        <v>428</v>
      </c>
      <c r="E610" s="1">
        <v>0.75</v>
      </c>
      <c r="F610" s="1" t="s">
        <v>329</v>
      </c>
      <c r="G610" s="6">
        <v>45763</v>
      </c>
      <c r="H610" s="1">
        <v>1556403</v>
      </c>
      <c r="I610" s="1">
        <v>1586403</v>
      </c>
      <c r="J610" s="1">
        <v>17285.8</v>
      </c>
      <c r="K610" s="1">
        <v>12714.2</v>
      </c>
      <c r="L610" s="1">
        <v>1573688.8</v>
      </c>
      <c r="M610" s="1">
        <v>184</v>
      </c>
      <c r="N610" s="1">
        <v>81.249174917491729</v>
      </c>
      <c r="O610" s="1">
        <v>135.33725948466369</v>
      </c>
      <c r="P610" s="7">
        <v>45947</v>
      </c>
      <c r="Q610" s="1">
        <v>30000</v>
      </c>
      <c r="R610" s="7">
        <v>46082.337259479173</v>
      </c>
      <c r="S610" s="7">
        <v>46082</v>
      </c>
      <c r="T610" s="7" t="str">
        <f t="shared" si="0"/>
        <v>marzo</v>
      </c>
      <c r="U610" s="1" t="s">
        <v>330</v>
      </c>
      <c r="X610" s="1" t="s">
        <v>397</v>
      </c>
      <c r="Y610" s="1" t="s">
        <v>398</v>
      </c>
      <c r="Z610" s="1">
        <v>1</v>
      </c>
      <c r="AA610" s="3">
        <v>9737.2800000000007</v>
      </c>
      <c r="AB610" s="3">
        <v>9737.2800000000007</v>
      </c>
      <c r="AC610" s="1" t="str">
        <f>VLOOKUP(A610,[1]Detalle!$D$2:$CW$484,98,FALSE)</f>
        <v>JOHNSON - SC JOHNSON DE ARGENTINA SAIC</v>
      </c>
    </row>
    <row r="611" spans="1:29" ht="14.25" customHeight="1" x14ac:dyDescent="0.3">
      <c r="A611" s="1" t="s">
        <v>216</v>
      </c>
      <c r="B611" s="1" t="s">
        <v>427</v>
      </c>
      <c r="C611" s="1" t="s">
        <v>428</v>
      </c>
      <c r="D611" s="1" t="s">
        <v>428</v>
      </c>
      <c r="E611" s="1">
        <v>0.75</v>
      </c>
      <c r="F611" s="1" t="s">
        <v>329</v>
      </c>
      <c r="G611" s="6">
        <v>45859</v>
      </c>
      <c r="H611" s="1">
        <v>1612281</v>
      </c>
      <c r="I611" s="1">
        <v>1642281</v>
      </c>
      <c r="J611" s="1">
        <v>5237.8999999999996</v>
      </c>
      <c r="K611" s="1">
        <v>24762.1</v>
      </c>
      <c r="L611" s="1">
        <v>1617518.9</v>
      </c>
      <c r="M611" s="1">
        <v>88</v>
      </c>
      <c r="N611" s="1">
        <v>69.384019292604506</v>
      </c>
      <c r="O611" s="1">
        <v>416.0187861547567</v>
      </c>
      <c r="P611" s="7">
        <v>45947</v>
      </c>
      <c r="Q611" s="1">
        <v>30000</v>
      </c>
      <c r="R611" s="7">
        <v>46363.018786157409</v>
      </c>
      <c r="S611" s="7">
        <v>46363</v>
      </c>
      <c r="T611" s="7" t="str">
        <f t="shared" si="0"/>
        <v>diciembre</v>
      </c>
      <c r="U611" s="1" t="s">
        <v>330</v>
      </c>
      <c r="X611" s="1" t="s">
        <v>331</v>
      </c>
      <c r="Y611" s="1" t="s">
        <v>332</v>
      </c>
      <c r="Z611" s="1">
        <v>30</v>
      </c>
      <c r="AA611" s="3">
        <v>3389.9</v>
      </c>
      <c r="AB611" s="3">
        <v>101697</v>
      </c>
      <c r="AC611" s="1" t="str">
        <f>VLOOKUP(A611,[1]Detalle!$D$2:$CW$484,98,FALSE)</f>
        <v>Arcor S.A.I.C.</v>
      </c>
    </row>
    <row r="612" spans="1:29" ht="14.25" customHeight="1" x14ac:dyDescent="0.3">
      <c r="A612" s="1" t="s">
        <v>216</v>
      </c>
      <c r="B612" s="1" t="s">
        <v>427</v>
      </c>
      <c r="C612" s="1" t="s">
        <v>428</v>
      </c>
      <c r="D612" s="1" t="s">
        <v>428</v>
      </c>
      <c r="E612" s="1">
        <v>0.75</v>
      </c>
      <c r="F612" s="1" t="s">
        <v>329</v>
      </c>
      <c r="G612" s="6">
        <v>45859</v>
      </c>
      <c r="H612" s="1">
        <v>1612281</v>
      </c>
      <c r="I612" s="1">
        <v>1642281</v>
      </c>
      <c r="J612" s="1">
        <v>5237.8999999999996</v>
      </c>
      <c r="K612" s="1">
        <v>24762.1</v>
      </c>
      <c r="L612" s="1">
        <v>1617518.9</v>
      </c>
      <c r="M612" s="1">
        <v>88</v>
      </c>
      <c r="N612" s="1">
        <v>69.384019292604506</v>
      </c>
      <c r="O612" s="1">
        <v>416.0187861547567</v>
      </c>
      <c r="P612" s="7">
        <v>45947</v>
      </c>
      <c r="Q612" s="1">
        <v>30000</v>
      </c>
      <c r="R612" s="7">
        <v>46363.018786157409</v>
      </c>
      <c r="S612" s="7">
        <v>46363</v>
      </c>
      <c r="T612" s="7" t="str">
        <f t="shared" si="0"/>
        <v>diciembre</v>
      </c>
      <c r="U612" s="1" t="s">
        <v>330</v>
      </c>
      <c r="X612" s="1" t="s">
        <v>397</v>
      </c>
      <c r="Y612" s="1" t="s">
        <v>398</v>
      </c>
      <c r="Z612" s="1">
        <v>1</v>
      </c>
      <c r="AA612" s="3">
        <v>9737.2800000000007</v>
      </c>
      <c r="AB612" s="3">
        <v>9737.2800000000007</v>
      </c>
      <c r="AC612" s="1" t="str">
        <f>VLOOKUP(A612,[1]Detalle!$D$2:$CW$484,98,FALSE)</f>
        <v>Arcor S.A.I.C.</v>
      </c>
    </row>
    <row r="613" spans="1:29" ht="14.25" customHeight="1" x14ac:dyDescent="0.3">
      <c r="A613" s="1" t="s">
        <v>98</v>
      </c>
      <c r="B613" s="1" t="s">
        <v>429</v>
      </c>
      <c r="C613" s="1" t="s">
        <v>428</v>
      </c>
      <c r="D613" s="1" t="s">
        <v>428</v>
      </c>
      <c r="E613" s="1">
        <v>0.75</v>
      </c>
      <c r="F613" s="1" t="s">
        <v>329</v>
      </c>
      <c r="G613" s="6">
        <v>45799</v>
      </c>
      <c r="H613" s="1">
        <v>34072.6</v>
      </c>
      <c r="I613" s="1">
        <v>64072.6</v>
      </c>
      <c r="J613" s="1">
        <v>9725.4000000000015</v>
      </c>
      <c r="K613" s="1">
        <v>20274.599999999999</v>
      </c>
      <c r="L613" s="1">
        <v>43798</v>
      </c>
      <c r="M613" s="1">
        <v>148</v>
      </c>
      <c r="N613" s="1">
        <v>61.669847328244273</v>
      </c>
      <c r="O613" s="1">
        <v>308.53649207230552</v>
      </c>
      <c r="P613" s="7">
        <v>45947</v>
      </c>
      <c r="Q613" s="1">
        <v>30000</v>
      </c>
      <c r="R613" s="7">
        <v>46255.536492071762</v>
      </c>
      <c r="S613" s="7">
        <v>46255</v>
      </c>
      <c r="T613" s="7" t="str">
        <f t="shared" si="0"/>
        <v>agosto</v>
      </c>
      <c r="U613" s="1" t="s">
        <v>330</v>
      </c>
      <c r="X613" s="1" t="s">
        <v>331</v>
      </c>
      <c r="Y613" s="1" t="s">
        <v>332</v>
      </c>
      <c r="Z613" s="1">
        <v>30</v>
      </c>
      <c r="AA613" s="3">
        <v>3389.9</v>
      </c>
      <c r="AB613" s="3">
        <v>101697</v>
      </c>
      <c r="AC613" s="1" t="str">
        <f>VLOOKUP(A613,[1]Detalle!$D$2:$CW$484,98,FALSE)</f>
        <v>Arcor S.A.I.C.</v>
      </c>
    </row>
    <row r="614" spans="1:29" ht="14.25" customHeight="1" x14ac:dyDescent="0.3">
      <c r="A614" s="1" t="s">
        <v>98</v>
      </c>
      <c r="B614" s="1" t="s">
        <v>429</v>
      </c>
      <c r="C614" s="1" t="s">
        <v>428</v>
      </c>
      <c r="D614" s="1" t="s">
        <v>428</v>
      </c>
      <c r="E614" s="1">
        <v>0.75</v>
      </c>
      <c r="F614" s="1" t="s">
        <v>329</v>
      </c>
      <c r="G614" s="6">
        <v>45799</v>
      </c>
      <c r="H614" s="1">
        <v>34072.6</v>
      </c>
      <c r="I614" s="1">
        <v>64072.6</v>
      </c>
      <c r="J614" s="1">
        <v>9725.4000000000015</v>
      </c>
      <c r="K614" s="1">
        <v>20274.599999999999</v>
      </c>
      <c r="L614" s="1">
        <v>43798</v>
      </c>
      <c r="M614" s="1">
        <v>148</v>
      </c>
      <c r="N614" s="1">
        <v>61.669847328244273</v>
      </c>
      <c r="O614" s="1">
        <v>308.53649207230552</v>
      </c>
      <c r="P614" s="7">
        <v>45947</v>
      </c>
      <c r="Q614" s="1">
        <v>30000</v>
      </c>
      <c r="R614" s="7">
        <v>46255.536492071762</v>
      </c>
      <c r="S614" s="7">
        <v>46255</v>
      </c>
      <c r="T614" s="7" t="str">
        <f t="shared" si="0"/>
        <v>agosto</v>
      </c>
      <c r="U614" s="1" t="s">
        <v>330</v>
      </c>
      <c r="X614" s="1" t="s">
        <v>397</v>
      </c>
      <c r="Y614" s="1" t="s">
        <v>398</v>
      </c>
      <c r="Z614" s="1">
        <v>1</v>
      </c>
      <c r="AA614" s="3">
        <v>9737.2800000000007</v>
      </c>
      <c r="AB614" s="3">
        <v>9737.2800000000007</v>
      </c>
      <c r="AC614" s="1" t="str">
        <f>VLOOKUP(A614,[1]Detalle!$D$2:$CW$484,98,FALSE)</f>
        <v>Arcor S.A.I.C.</v>
      </c>
    </row>
    <row r="615" spans="1:29" ht="14.25" customHeight="1" x14ac:dyDescent="0.3">
      <c r="A615" s="1" t="s">
        <v>5</v>
      </c>
      <c r="B615" s="1" t="s">
        <v>435</v>
      </c>
      <c r="C615" s="1" t="s">
        <v>436</v>
      </c>
      <c r="D615" s="1" t="s">
        <v>428</v>
      </c>
      <c r="E615" s="1">
        <v>0.75</v>
      </c>
      <c r="F615" s="1" t="s">
        <v>329</v>
      </c>
      <c r="G615" s="6">
        <v>45910</v>
      </c>
      <c r="H615" s="1">
        <v>710185</v>
      </c>
      <c r="I615" s="1">
        <v>740185</v>
      </c>
      <c r="J615" s="1">
        <v>5358.4999999999991</v>
      </c>
      <c r="K615" s="1">
        <v>24641.5</v>
      </c>
      <c r="L615" s="1">
        <v>715543.5</v>
      </c>
      <c r="M615" s="1">
        <v>37</v>
      </c>
      <c r="N615" s="1">
        <v>276.33435114503811</v>
      </c>
      <c r="O615" s="1">
        <v>170.14752262760101</v>
      </c>
      <c r="P615" s="7">
        <v>45947</v>
      </c>
      <c r="Q615" s="1">
        <v>30000</v>
      </c>
      <c r="R615" s="7">
        <v>46117.147522627318</v>
      </c>
      <c r="S615" s="7">
        <v>46117</v>
      </c>
      <c r="T615" s="7" t="str">
        <f t="shared" si="0"/>
        <v>abril</v>
      </c>
      <c r="U615" s="1" t="s">
        <v>330</v>
      </c>
      <c r="X615" s="1" t="s">
        <v>331</v>
      </c>
      <c r="Y615" s="1" t="s">
        <v>332</v>
      </c>
      <c r="Z615" s="1">
        <v>39</v>
      </c>
      <c r="AA615" s="3">
        <v>3389.9</v>
      </c>
      <c r="AB615" s="3">
        <v>132206.1</v>
      </c>
      <c r="AC615" s="1" t="str">
        <f>VLOOKUP(A615,[1]Detalle!$D$2:$CW$484,98,FALSE)</f>
        <v>ADA_CH - Danone Arg. S.A. - Chascomus</v>
      </c>
    </row>
    <row r="616" spans="1:29" ht="14.25" customHeight="1" x14ac:dyDescent="0.3">
      <c r="A616" s="1" t="s">
        <v>5</v>
      </c>
      <c r="B616" s="1" t="s">
        <v>435</v>
      </c>
      <c r="C616" s="1" t="s">
        <v>436</v>
      </c>
      <c r="D616" s="1" t="s">
        <v>428</v>
      </c>
      <c r="E616" s="1">
        <v>0.75</v>
      </c>
      <c r="F616" s="1" t="s">
        <v>329</v>
      </c>
      <c r="G616" s="6">
        <v>45910</v>
      </c>
      <c r="H616" s="1">
        <v>710185</v>
      </c>
      <c r="I616" s="1">
        <v>740185</v>
      </c>
      <c r="J616" s="1">
        <v>5358.4999999999991</v>
      </c>
      <c r="K616" s="1">
        <v>24641.5</v>
      </c>
      <c r="L616" s="1">
        <v>715543.5</v>
      </c>
      <c r="M616" s="1">
        <v>37</v>
      </c>
      <c r="N616" s="1">
        <v>276.33435114503811</v>
      </c>
      <c r="O616" s="1">
        <v>170.14752262760101</v>
      </c>
      <c r="P616" s="7">
        <v>45947</v>
      </c>
      <c r="Q616" s="1">
        <v>30000</v>
      </c>
      <c r="R616" s="7">
        <v>46117.147522627318</v>
      </c>
      <c r="S616" s="7">
        <v>46117</v>
      </c>
      <c r="T616" s="7" t="str">
        <f t="shared" si="0"/>
        <v>abril</v>
      </c>
      <c r="U616" s="1" t="s">
        <v>330</v>
      </c>
      <c r="X616" s="1" t="s">
        <v>437</v>
      </c>
      <c r="Y616" s="1" t="s">
        <v>438</v>
      </c>
      <c r="Z616" s="1">
        <v>1</v>
      </c>
      <c r="AA616" s="3">
        <v>22064.98</v>
      </c>
      <c r="AB616" s="3">
        <v>22064.98</v>
      </c>
      <c r="AC616" s="1" t="str">
        <f>VLOOKUP(A616,[1]Detalle!$D$2:$CW$484,98,FALSE)</f>
        <v>ADA_CH - Danone Arg. S.A. - Chascomus</v>
      </c>
    </row>
    <row r="617" spans="1:29" ht="14.25" customHeight="1" x14ac:dyDescent="0.3">
      <c r="A617" s="1" t="s">
        <v>8</v>
      </c>
      <c r="B617" s="1" t="s">
        <v>435</v>
      </c>
      <c r="C617" s="1" t="s">
        <v>436</v>
      </c>
      <c r="D617" s="1" t="s">
        <v>428</v>
      </c>
      <c r="E617" s="1">
        <v>0.75</v>
      </c>
      <c r="F617" s="1" t="s">
        <v>329</v>
      </c>
      <c r="G617" s="6">
        <v>45880</v>
      </c>
      <c r="H617" s="1">
        <v>722255</v>
      </c>
      <c r="I617" s="1">
        <v>752255</v>
      </c>
      <c r="J617" s="1">
        <v>15317.7</v>
      </c>
      <c r="K617" s="1">
        <v>14682.3</v>
      </c>
      <c r="L617" s="1">
        <v>737572.7</v>
      </c>
      <c r="M617" s="1">
        <v>67</v>
      </c>
      <c r="N617" s="1">
        <v>286.50848708487092</v>
      </c>
      <c r="O617" s="1">
        <v>64.220744628762787</v>
      </c>
      <c r="P617" s="7">
        <v>45947</v>
      </c>
      <c r="Q617" s="1">
        <v>30000</v>
      </c>
      <c r="R617" s="7">
        <v>46115.9296846875</v>
      </c>
      <c r="S617" s="7">
        <v>46115</v>
      </c>
      <c r="T617" s="7" t="str">
        <f t="shared" si="0"/>
        <v>abril</v>
      </c>
      <c r="U617" s="1" t="s">
        <v>330</v>
      </c>
      <c r="X617" s="1" t="s">
        <v>331</v>
      </c>
      <c r="Y617" s="1" t="s">
        <v>332</v>
      </c>
      <c r="Z617" s="1">
        <v>39</v>
      </c>
      <c r="AA617" s="3">
        <v>3389.9</v>
      </c>
      <c r="AB617" s="3">
        <v>132206.1</v>
      </c>
      <c r="AC617" s="1" t="str">
        <f>VLOOKUP(A617,[1]Detalle!$D$2:$CW$484,98,FALSE)</f>
        <v>ADA_CH - Danone Arg. S.A. - Chascomus</v>
      </c>
    </row>
    <row r="618" spans="1:29" ht="14.25" customHeight="1" x14ac:dyDescent="0.3">
      <c r="A618" s="1" t="s">
        <v>8</v>
      </c>
      <c r="B618" s="1" t="s">
        <v>435</v>
      </c>
      <c r="C618" s="1" t="s">
        <v>436</v>
      </c>
      <c r="D618" s="1" t="s">
        <v>428</v>
      </c>
      <c r="E618" s="1">
        <v>0.75</v>
      </c>
      <c r="F618" s="1" t="s">
        <v>329</v>
      </c>
      <c r="G618" s="6">
        <v>45880</v>
      </c>
      <c r="H618" s="1">
        <v>722255</v>
      </c>
      <c r="I618" s="1">
        <v>752255</v>
      </c>
      <c r="J618" s="1">
        <v>15317.7</v>
      </c>
      <c r="K618" s="1">
        <v>14682.3</v>
      </c>
      <c r="L618" s="1">
        <v>737572.7</v>
      </c>
      <c r="M618" s="1">
        <v>67</v>
      </c>
      <c r="N618" s="1">
        <v>286.50848708487092</v>
      </c>
      <c r="O618" s="1">
        <v>64.220744628762787</v>
      </c>
      <c r="P618" s="7">
        <v>45947</v>
      </c>
      <c r="Q618" s="1">
        <v>30000</v>
      </c>
      <c r="R618" s="7">
        <v>46115.9296846875</v>
      </c>
      <c r="S618" s="7">
        <v>46115</v>
      </c>
      <c r="T618" s="7" t="str">
        <f t="shared" si="0"/>
        <v>abril</v>
      </c>
      <c r="U618" s="1" t="s">
        <v>330</v>
      </c>
      <c r="X618" s="1" t="s">
        <v>437</v>
      </c>
      <c r="Y618" s="1" t="s">
        <v>438</v>
      </c>
      <c r="Z618" s="1">
        <v>1</v>
      </c>
      <c r="AA618" s="3">
        <v>22064.98</v>
      </c>
      <c r="AB618" s="3">
        <v>22064.98</v>
      </c>
      <c r="AC618" s="1" t="str">
        <f>VLOOKUP(A618,[1]Detalle!$D$2:$CW$484,98,FALSE)</f>
        <v>ADA_CH - Danone Arg. S.A. - Chascomus</v>
      </c>
    </row>
    <row r="619" spans="1:29" ht="14.25" customHeight="1" x14ac:dyDescent="0.3">
      <c r="A619" s="1" t="s">
        <v>11</v>
      </c>
      <c r="B619" s="1" t="s">
        <v>435</v>
      </c>
      <c r="C619" s="1" t="s">
        <v>436</v>
      </c>
      <c r="D619" s="1" t="s">
        <v>428</v>
      </c>
      <c r="E619" s="1">
        <v>0.75</v>
      </c>
      <c r="F619" s="1" t="s">
        <v>329</v>
      </c>
      <c r="G619" s="6">
        <v>45853</v>
      </c>
      <c r="H619" s="1">
        <v>769430</v>
      </c>
      <c r="I619" s="1">
        <v>799430</v>
      </c>
      <c r="J619" s="1">
        <v>24465.80000000001</v>
      </c>
      <c r="K619" s="1">
        <v>5534.1999999999935</v>
      </c>
      <c r="L619" s="1">
        <v>793895.8</v>
      </c>
      <c r="M619" s="1">
        <v>94</v>
      </c>
      <c r="N619" s="1">
        <v>323.09338235294098</v>
      </c>
      <c r="O619" s="1">
        <v>21.262938469210049</v>
      </c>
      <c r="P619" s="7">
        <v>45947</v>
      </c>
      <c r="Q619" s="1">
        <v>30000</v>
      </c>
      <c r="R619" s="7">
        <v>46061.115350925917</v>
      </c>
      <c r="S619" s="7">
        <v>46061</v>
      </c>
      <c r="T619" s="7" t="str">
        <f t="shared" si="0"/>
        <v>febrero</v>
      </c>
      <c r="U619" s="1" t="s">
        <v>330</v>
      </c>
      <c r="X619" s="1" t="s">
        <v>331</v>
      </c>
      <c r="Y619" s="1" t="s">
        <v>332</v>
      </c>
      <c r="Z619" s="1">
        <v>39</v>
      </c>
      <c r="AA619" s="3">
        <v>3389.9</v>
      </c>
      <c r="AB619" s="3">
        <v>132206.1</v>
      </c>
      <c r="AC619" s="1" t="str">
        <f>VLOOKUP(A619,[1]Detalle!$D$2:$CW$484,98,FALSE)</f>
        <v>ADA_CH - Danone Arg. S.A. - Chascomus</v>
      </c>
    </row>
    <row r="620" spans="1:29" ht="14.25" customHeight="1" x14ac:dyDescent="0.3">
      <c r="A620" s="1" t="s">
        <v>11</v>
      </c>
      <c r="B620" s="1" t="s">
        <v>435</v>
      </c>
      <c r="C620" s="1" t="s">
        <v>436</v>
      </c>
      <c r="D620" s="1" t="s">
        <v>428</v>
      </c>
      <c r="E620" s="1">
        <v>0.75</v>
      </c>
      <c r="F620" s="1" t="s">
        <v>329</v>
      </c>
      <c r="G620" s="6">
        <v>45853</v>
      </c>
      <c r="H620" s="1">
        <v>769430</v>
      </c>
      <c r="I620" s="1">
        <v>799430</v>
      </c>
      <c r="J620" s="1">
        <v>24465.80000000001</v>
      </c>
      <c r="K620" s="1">
        <v>5534.1999999999935</v>
      </c>
      <c r="L620" s="1">
        <v>793895.8</v>
      </c>
      <c r="M620" s="1">
        <v>94</v>
      </c>
      <c r="N620" s="1">
        <v>323.09338235294098</v>
      </c>
      <c r="O620" s="1">
        <v>21.262938469210049</v>
      </c>
      <c r="P620" s="7">
        <v>45947</v>
      </c>
      <c r="Q620" s="1">
        <v>30000</v>
      </c>
      <c r="R620" s="7">
        <v>46061.115350925917</v>
      </c>
      <c r="S620" s="7">
        <v>46061</v>
      </c>
      <c r="T620" s="7" t="str">
        <f t="shared" si="0"/>
        <v>febrero</v>
      </c>
      <c r="U620" s="1" t="s">
        <v>330</v>
      </c>
      <c r="X620" s="1" t="s">
        <v>437</v>
      </c>
      <c r="Y620" s="1" t="s">
        <v>438</v>
      </c>
      <c r="Z620" s="1">
        <v>1</v>
      </c>
      <c r="AA620" s="3">
        <v>22064.98</v>
      </c>
      <c r="AB620" s="3">
        <v>22064.98</v>
      </c>
      <c r="AC620" s="1" t="str">
        <f>VLOOKUP(A620,[1]Detalle!$D$2:$CW$484,98,FALSE)</f>
        <v>ADA_CH - Danone Arg. S.A. - Chascomus</v>
      </c>
    </row>
    <row r="621" spans="1:29" ht="14.25" customHeight="1" x14ac:dyDescent="0.3">
      <c r="A621" s="1" t="s">
        <v>10</v>
      </c>
      <c r="B621" s="1" t="s">
        <v>435</v>
      </c>
      <c r="C621" s="1" t="s">
        <v>436</v>
      </c>
      <c r="D621" s="1" t="s">
        <v>428</v>
      </c>
      <c r="E621" s="1">
        <v>0.75</v>
      </c>
      <c r="F621" s="1" t="s">
        <v>329</v>
      </c>
      <c r="G621" s="6">
        <v>45866</v>
      </c>
      <c r="H621" s="1">
        <v>685467</v>
      </c>
      <c r="I621" s="1">
        <v>715467</v>
      </c>
      <c r="J621" s="1">
        <v>14311.7</v>
      </c>
      <c r="K621" s="1">
        <v>15688.3</v>
      </c>
      <c r="L621" s="1">
        <v>699778.7</v>
      </c>
      <c r="M621" s="1">
        <v>81</v>
      </c>
      <c r="N621" s="1">
        <v>266.81618518518519</v>
      </c>
      <c r="O621" s="1">
        <v>88.79114989833495</v>
      </c>
      <c r="P621" s="7">
        <v>45947</v>
      </c>
      <c r="Q621" s="1">
        <v>30000</v>
      </c>
      <c r="R621" s="7">
        <v>46035.791149895827</v>
      </c>
      <c r="S621" s="7">
        <v>46035</v>
      </c>
      <c r="T621" s="7" t="str">
        <f t="shared" si="0"/>
        <v>enero</v>
      </c>
      <c r="U621" s="1" t="s">
        <v>330</v>
      </c>
      <c r="X621" s="1" t="s">
        <v>331</v>
      </c>
      <c r="Y621" s="1" t="s">
        <v>332</v>
      </c>
      <c r="Z621" s="1">
        <v>39</v>
      </c>
      <c r="AA621" s="3">
        <v>3389.9</v>
      </c>
      <c r="AB621" s="3">
        <v>132206.1</v>
      </c>
      <c r="AC621" s="1" t="str">
        <f>VLOOKUP(A621,[1]Detalle!$D$2:$CW$484,98,FALSE)</f>
        <v>ADA_CH - Danone Arg. S.A. - Chascomus</v>
      </c>
    </row>
    <row r="622" spans="1:29" ht="14.25" customHeight="1" x14ac:dyDescent="0.3">
      <c r="A622" s="1" t="s">
        <v>10</v>
      </c>
      <c r="B622" s="1" t="s">
        <v>435</v>
      </c>
      <c r="C622" s="1" t="s">
        <v>436</v>
      </c>
      <c r="D622" s="1" t="s">
        <v>428</v>
      </c>
      <c r="E622" s="1">
        <v>0.75</v>
      </c>
      <c r="F622" s="1" t="s">
        <v>329</v>
      </c>
      <c r="G622" s="6">
        <v>45866</v>
      </c>
      <c r="H622" s="1">
        <v>685467</v>
      </c>
      <c r="I622" s="1">
        <v>715467</v>
      </c>
      <c r="J622" s="1">
        <v>14311.7</v>
      </c>
      <c r="K622" s="1">
        <v>15688.3</v>
      </c>
      <c r="L622" s="1">
        <v>699778.7</v>
      </c>
      <c r="M622" s="1">
        <v>81</v>
      </c>
      <c r="N622" s="1">
        <v>266.81618518518519</v>
      </c>
      <c r="O622" s="1">
        <v>88.79114989833495</v>
      </c>
      <c r="P622" s="7">
        <v>45947</v>
      </c>
      <c r="Q622" s="1">
        <v>30000</v>
      </c>
      <c r="R622" s="7">
        <v>46035.791149895827</v>
      </c>
      <c r="S622" s="7">
        <v>46035</v>
      </c>
      <c r="T622" s="7" t="str">
        <f t="shared" si="0"/>
        <v>enero</v>
      </c>
      <c r="U622" s="1" t="s">
        <v>330</v>
      </c>
      <c r="X622" s="1" t="s">
        <v>437</v>
      </c>
      <c r="Y622" s="1" t="s">
        <v>438</v>
      </c>
      <c r="Z622" s="1">
        <v>1</v>
      </c>
      <c r="AA622" s="3">
        <v>22064.98</v>
      </c>
      <c r="AB622" s="3">
        <v>22064.98</v>
      </c>
      <c r="AC622" s="1" t="str">
        <f>VLOOKUP(A622,[1]Detalle!$D$2:$CW$484,98,FALSE)</f>
        <v>ADA_CH - Danone Arg. S.A. - Chascomus</v>
      </c>
    </row>
    <row r="623" spans="1:29" ht="14.25" customHeight="1" x14ac:dyDescent="0.3">
      <c r="A623" s="1" t="s">
        <v>14</v>
      </c>
      <c r="B623" s="1" t="s">
        <v>435</v>
      </c>
      <c r="C623" s="1" t="s">
        <v>436</v>
      </c>
      <c r="D623" s="1" t="s">
        <v>428</v>
      </c>
      <c r="E623" s="1">
        <v>0.75</v>
      </c>
      <c r="F623" s="1" t="s">
        <v>329</v>
      </c>
      <c r="G623" s="6">
        <v>45877</v>
      </c>
      <c r="H623" s="1">
        <v>770332</v>
      </c>
      <c r="I623" s="1">
        <v>800332</v>
      </c>
      <c r="J623" s="1">
        <v>13259.4</v>
      </c>
      <c r="K623" s="1">
        <v>16740.599999999999</v>
      </c>
      <c r="L623" s="1">
        <v>783591.4</v>
      </c>
      <c r="M623" s="1">
        <v>70</v>
      </c>
      <c r="N623" s="1">
        <v>276.97442748091589</v>
      </c>
      <c r="O623" s="1">
        <v>88.378207158694963</v>
      </c>
      <c r="P623" s="7">
        <v>45947</v>
      </c>
      <c r="Q623" s="1">
        <v>30000</v>
      </c>
      <c r="R623" s="7">
        <v>46035.378207164351</v>
      </c>
      <c r="S623" s="7">
        <v>46035</v>
      </c>
      <c r="T623" s="7" t="str">
        <f t="shared" si="0"/>
        <v>enero</v>
      </c>
      <c r="U623" s="1" t="s">
        <v>330</v>
      </c>
      <c r="X623" s="1" t="s">
        <v>331</v>
      </c>
      <c r="Y623" s="1" t="s">
        <v>332</v>
      </c>
      <c r="Z623" s="1">
        <v>39</v>
      </c>
      <c r="AA623" s="3">
        <v>3389.9</v>
      </c>
      <c r="AB623" s="3">
        <v>132206.1</v>
      </c>
      <c r="AC623" s="1" t="str">
        <f>VLOOKUP(A623,[1]Detalle!$D$2:$CW$484,98,FALSE)</f>
        <v>ADA_CH - Danone Arg. S.A. - Chascomus</v>
      </c>
    </row>
    <row r="624" spans="1:29" ht="14.25" customHeight="1" x14ac:dyDescent="0.3">
      <c r="A624" s="1" t="s">
        <v>14</v>
      </c>
      <c r="B624" s="1" t="s">
        <v>435</v>
      </c>
      <c r="C624" s="1" t="s">
        <v>436</v>
      </c>
      <c r="D624" s="1" t="s">
        <v>428</v>
      </c>
      <c r="E624" s="1">
        <v>0.75</v>
      </c>
      <c r="F624" s="1" t="s">
        <v>329</v>
      </c>
      <c r="G624" s="6">
        <v>45877</v>
      </c>
      <c r="H624" s="1">
        <v>770332</v>
      </c>
      <c r="I624" s="1">
        <v>800332</v>
      </c>
      <c r="J624" s="1">
        <v>13259.4</v>
      </c>
      <c r="K624" s="1">
        <v>16740.599999999999</v>
      </c>
      <c r="L624" s="1">
        <v>783591.4</v>
      </c>
      <c r="M624" s="1">
        <v>70</v>
      </c>
      <c r="N624" s="1">
        <v>276.97442748091589</v>
      </c>
      <c r="O624" s="1">
        <v>88.378207158694963</v>
      </c>
      <c r="P624" s="7">
        <v>45947</v>
      </c>
      <c r="Q624" s="1">
        <v>30000</v>
      </c>
      <c r="R624" s="7">
        <v>46035.378207164351</v>
      </c>
      <c r="S624" s="7">
        <v>46035</v>
      </c>
      <c r="T624" s="7" t="str">
        <f t="shared" si="0"/>
        <v>enero</v>
      </c>
      <c r="U624" s="1" t="s">
        <v>330</v>
      </c>
      <c r="X624" s="1" t="s">
        <v>437</v>
      </c>
      <c r="Y624" s="1" t="s">
        <v>438</v>
      </c>
      <c r="Z624" s="1">
        <v>1</v>
      </c>
      <c r="AA624" s="3">
        <v>22064.98</v>
      </c>
      <c r="AB624" s="3">
        <v>22064.98</v>
      </c>
      <c r="AC624" s="1" t="str">
        <f>VLOOKUP(A624,[1]Detalle!$D$2:$CW$484,98,FALSE)</f>
        <v>ADA_CH - Danone Arg. S.A. - Chascomus</v>
      </c>
    </row>
    <row r="625" spans="1:29" ht="14.25" customHeight="1" x14ac:dyDescent="0.3">
      <c r="A625" s="1" t="s">
        <v>12</v>
      </c>
      <c r="B625" s="1" t="s">
        <v>435</v>
      </c>
      <c r="C625" s="1" t="s">
        <v>436</v>
      </c>
      <c r="D625" s="1" t="s">
        <v>428</v>
      </c>
      <c r="E625" s="1">
        <v>0.75</v>
      </c>
      <c r="F625" s="1" t="s">
        <v>329</v>
      </c>
      <c r="G625" s="6">
        <v>45930</v>
      </c>
      <c r="H625" s="1">
        <v>845528</v>
      </c>
      <c r="I625" s="1">
        <v>875528</v>
      </c>
      <c r="J625" s="1">
        <v>0</v>
      </c>
      <c r="K625" s="1">
        <v>30000</v>
      </c>
      <c r="L625" s="1">
        <v>845528</v>
      </c>
      <c r="M625" s="1">
        <v>17</v>
      </c>
      <c r="N625" s="1">
        <v>323.35572519083951</v>
      </c>
      <c r="O625" s="1">
        <v>300</v>
      </c>
      <c r="P625" s="7">
        <v>45947</v>
      </c>
      <c r="Q625" s="1">
        <v>30000</v>
      </c>
      <c r="R625" s="7">
        <v>46247</v>
      </c>
      <c r="S625" s="7">
        <v>46247</v>
      </c>
      <c r="T625" s="7" t="str">
        <f t="shared" si="0"/>
        <v>agosto</v>
      </c>
      <c r="U625" s="1" t="s">
        <v>330</v>
      </c>
      <c r="X625" s="1" t="s">
        <v>331</v>
      </c>
      <c r="Y625" s="1" t="s">
        <v>332</v>
      </c>
      <c r="Z625" s="1">
        <v>39</v>
      </c>
      <c r="AA625" s="3">
        <v>3389.9</v>
      </c>
      <c r="AB625" s="3">
        <v>132206.1</v>
      </c>
      <c r="AC625" s="1" t="str">
        <f>VLOOKUP(A625,[1]Detalle!$D$2:$CW$484,98,FALSE)</f>
        <v>ADA_CH - Danone Arg. S.A. - Chascomus</v>
      </c>
    </row>
    <row r="626" spans="1:29" ht="14.25" customHeight="1" x14ac:dyDescent="0.3">
      <c r="A626" s="1" t="s">
        <v>12</v>
      </c>
      <c r="B626" s="1" t="s">
        <v>435</v>
      </c>
      <c r="C626" s="1" t="s">
        <v>436</v>
      </c>
      <c r="D626" s="1" t="s">
        <v>428</v>
      </c>
      <c r="E626" s="1">
        <v>0.75</v>
      </c>
      <c r="F626" s="1" t="s">
        <v>329</v>
      </c>
      <c r="G626" s="6">
        <v>45930</v>
      </c>
      <c r="H626" s="1">
        <v>845528</v>
      </c>
      <c r="I626" s="1">
        <v>875528</v>
      </c>
      <c r="J626" s="1">
        <v>0</v>
      </c>
      <c r="K626" s="1">
        <v>30000</v>
      </c>
      <c r="L626" s="1">
        <v>845528</v>
      </c>
      <c r="M626" s="1">
        <v>17</v>
      </c>
      <c r="N626" s="1">
        <v>323.35572519083951</v>
      </c>
      <c r="O626" s="1">
        <v>300</v>
      </c>
      <c r="P626" s="7">
        <v>45947</v>
      </c>
      <c r="Q626" s="1">
        <v>30000</v>
      </c>
      <c r="R626" s="7">
        <v>46247</v>
      </c>
      <c r="S626" s="7">
        <v>46247</v>
      </c>
      <c r="T626" s="7" t="str">
        <f t="shared" si="0"/>
        <v>agosto</v>
      </c>
      <c r="U626" s="1" t="s">
        <v>330</v>
      </c>
      <c r="X626" s="1" t="s">
        <v>437</v>
      </c>
      <c r="Y626" s="1" t="s">
        <v>438</v>
      </c>
      <c r="Z626" s="1">
        <v>1</v>
      </c>
      <c r="AA626" s="3">
        <v>22064.98</v>
      </c>
      <c r="AB626" s="3">
        <v>22064.98</v>
      </c>
      <c r="AC626" s="1" t="str">
        <f>VLOOKUP(A626,[1]Detalle!$D$2:$CW$484,98,FALSE)</f>
        <v>ADA_CH - Danone Arg. S.A. - Chascomus</v>
      </c>
    </row>
    <row r="627" spans="1:29" ht="14.25" customHeight="1" x14ac:dyDescent="0.3">
      <c r="A627" s="1" t="s">
        <v>13</v>
      </c>
      <c r="B627" s="1" t="s">
        <v>435</v>
      </c>
      <c r="C627" s="1" t="s">
        <v>436</v>
      </c>
      <c r="D627" s="1" t="s">
        <v>428</v>
      </c>
      <c r="E627" s="1">
        <v>0.75</v>
      </c>
      <c r="F627" s="1" t="s">
        <v>329</v>
      </c>
      <c r="G627" s="6">
        <v>45831</v>
      </c>
      <c r="H627" s="1">
        <v>751112</v>
      </c>
      <c r="I627" s="1">
        <v>781112</v>
      </c>
      <c r="J627" s="1">
        <v>30284.500000000011</v>
      </c>
      <c r="K627" s="1">
        <v>-284.50000000000728</v>
      </c>
      <c r="L627" s="1">
        <v>781396.5</v>
      </c>
      <c r="M627" s="1">
        <v>116</v>
      </c>
      <c r="N627" s="1">
        <v>303.34772058823529</v>
      </c>
      <c r="O627" s="1">
        <v>-1.089732371345105</v>
      </c>
      <c r="P627" s="7">
        <v>45947</v>
      </c>
      <c r="Q627" s="1">
        <v>30000</v>
      </c>
      <c r="R627" s="7">
        <v>46045.896408194443</v>
      </c>
      <c r="S627" s="7">
        <v>46045</v>
      </c>
      <c r="T627" s="7" t="str">
        <f t="shared" si="0"/>
        <v>enero</v>
      </c>
      <c r="U627" s="1" t="s">
        <v>330</v>
      </c>
      <c r="X627" s="1" t="s">
        <v>331</v>
      </c>
      <c r="Y627" s="1" t="s">
        <v>332</v>
      </c>
      <c r="Z627" s="1">
        <v>39</v>
      </c>
      <c r="AA627" s="3">
        <v>3389.9</v>
      </c>
      <c r="AB627" s="3">
        <v>132206.1</v>
      </c>
      <c r="AC627" s="1" t="str">
        <f>VLOOKUP(A627,[1]Detalle!$D$2:$CW$484,98,FALSE)</f>
        <v>ADA_CH - Danone Arg. S.A. - Chascomus</v>
      </c>
    </row>
    <row r="628" spans="1:29" ht="14.25" customHeight="1" x14ac:dyDescent="0.3">
      <c r="A628" s="1" t="s">
        <v>13</v>
      </c>
      <c r="B628" s="1" t="s">
        <v>435</v>
      </c>
      <c r="C628" s="1" t="s">
        <v>436</v>
      </c>
      <c r="D628" s="1" t="s">
        <v>428</v>
      </c>
      <c r="E628" s="1">
        <v>0.75</v>
      </c>
      <c r="F628" s="1" t="s">
        <v>329</v>
      </c>
      <c r="G628" s="6">
        <v>45831</v>
      </c>
      <c r="H628" s="1">
        <v>751112</v>
      </c>
      <c r="I628" s="1">
        <v>781112</v>
      </c>
      <c r="J628" s="1">
        <v>30284.500000000011</v>
      </c>
      <c r="K628" s="1">
        <v>-284.50000000000728</v>
      </c>
      <c r="L628" s="1">
        <v>781396.5</v>
      </c>
      <c r="M628" s="1">
        <v>116</v>
      </c>
      <c r="N628" s="1">
        <v>303.34772058823529</v>
      </c>
      <c r="O628" s="1">
        <v>-1.089732371345105</v>
      </c>
      <c r="P628" s="7">
        <v>45947</v>
      </c>
      <c r="Q628" s="1">
        <v>30000</v>
      </c>
      <c r="R628" s="7">
        <v>46045.896408194443</v>
      </c>
      <c r="S628" s="7">
        <v>46045</v>
      </c>
      <c r="T628" s="7" t="str">
        <f t="shared" si="0"/>
        <v>enero</v>
      </c>
      <c r="U628" s="1" t="s">
        <v>330</v>
      </c>
      <c r="X628" s="1" t="s">
        <v>437</v>
      </c>
      <c r="Y628" s="1" t="s">
        <v>438</v>
      </c>
      <c r="Z628" s="1">
        <v>1</v>
      </c>
      <c r="AA628" s="3">
        <v>22064.98</v>
      </c>
      <c r="AB628" s="3">
        <v>22064.98</v>
      </c>
      <c r="AC628" s="1" t="str">
        <f>VLOOKUP(A628,[1]Detalle!$D$2:$CW$484,98,FALSE)</f>
        <v>ADA_CH - Danone Arg. S.A. - Chascomus</v>
      </c>
    </row>
    <row r="629" spans="1:29" ht="14.25" customHeight="1" x14ac:dyDescent="0.3">
      <c r="A629" s="1" t="s">
        <v>6</v>
      </c>
      <c r="B629" s="1" t="s">
        <v>435</v>
      </c>
      <c r="C629" s="1" t="s">
        <v>436</v>
      </c>
      <c r="D629" s="1" t="s">
        <v>428</v>
      </c>
      <c r="E629" s="1">
        <v>0.75</v>
      </c>
      <c r="F629" s="1" t="s">
        <v>329</v>
      </c>
      <c r="G629" s="6">
        <v>45845</v>
      </c>
      <c r="H629" s="1">
        <v>726661</v>
      </c>
      <c r="I629" s="1">
        <v>756661</v>
      </c>
      <c r="J629" s="1">
        <v>24602.2</v>
      </c>
      <c r="K629" s="1">
        <v>5397.7999999999956</v>
      </c>
      <c r="L629" s="1">
        <v>751263.2</v>
      </c>
      <c r="M629" s="1">
        <v>102</v>
      </c>
      <c r="N629" s="1">
        <v>306.8559191176472</v>
      </c>
      <c r="O629" s="1">
        <v>22.379120566453381</v>
      </c>
      <c r="P629" s="7">
        <v>45947</v>
      </c>
      <c r="Q629" s="1">
        <v>30000</v>
      </c>
      <c r="R629" s="7">
        <v>46067.14487358796</v>
      </c>
      <c r="S629" s="7">
        <v>46067</v>
      </c>
      <c r="T629" s="7" t="str">
        <f t="shared" si="0"/>
        <v>febrero</v>
      </c>
      <c r="U629" s="1" t="s">
        <v>330</v>
      </c>
      <c r="X629" s="1" t="s">
        <v>331</v>
      </c>
      <c r="Y629" s="1" t="s">
        <v>332</v>
      </c>
      <c r="Z629" s="1">
        <v>39</v>
      </c>
      <c r="AA629" s="3">
        <v>3389.9</v>
      </c>
      <c r="AB629" s="3">
        <v>132206.1</v>
      </c>
      <c r="AC629" s="1" t="str">
        <f>VLOOKUP(A629,[1]Detalle!$D$2:$CW$484,98,FALSE)</f>
        <v>ADA_CH - Danone Arg. S.A. - Chascomus</v>
      </c>
    </row>
    <row r="630" spans="1:29" ht="14.25" customHeight="1" x14ac:dyDescent="0.3">
      <c r="A630" s="1" t="s">
        <v>6</v>
      </c>
      <c r="B630" s="1" t="s">
        <v>435</v>
      </c>
      <c r="C630" s="1" t="s">
        <v>436</v>
      </c>
      <c r="D630" s="1" t="s">
        <v>428</v>
      </c>
      <c r="E630" s="1">
        <v>0.75</v>
      </c>
      <c r="F630" s="1" t="s">
        <v>329</v>
      </c>
      <c r="G630" s="6">
        <v>45845</v>
      </c>
      <c r="H630" s="1">
        <v>726661</v>
      </c>
      <c r="I630" s="1">
        <v>756661</v>
      </c>
      <c r="J630" s="1">
        <v>24602.2</v>
      </c>
      <c r="K630" s="1">
        <v>5397.7999999999956</v>
      </c>
      <c r="L630" s="1">
        <v>751263.2</v>
      </c>
      <c r="M630" s="1">
        <v>102</v>
      </c>
      <c r="N630" s="1">
        <v>306.8559191176472</v>
      </c>
      <c r="O630" s="1">
        <v>22.379120566453381</v>
      </c>
      <c r="P630" s="7">
        <v>45947</v>
      </c>
      <c r="Q630" s="1">
        <v>30000</v>
      </c>
      <c r="R630" s="7">
        <v>46067.14487358796</v>
      </c>
      <c r="S630" s="7">
        <v>46067</v>
      </c>
      <c r="T630" s="7" t="str">
        <f t="shared" si="0"/>
        <v>febrero</v>
      </c>
      <c r="U630" s="1" t="s">
        <v>330</v>
      </c>
      <c r="X630" s="1" t="s">
        <v>437</v>
      </c>
      <c r="Y630" s="1" t="s">
        <v>438</v>
      </c>
      <c r="Z630" s="1">
        <v>1</v>
      </c>
      <c r="AA630" s="3">
        <v>22064.98</v>
      </c>
      <c r="AB630" s="3">
        <v>22064.98</v>
      </c>
      <c r="AC630" s="1" t="str">
        <f>VLOOKUP(A630,[1]Detalle!$D$2:$CW$484,98,FALSE)</f>
        <v>ADA_CH - Danone Arg. S.A. - Chascomus</v>
      </c>
    </row>
    <row r="631" spans="1:29" ht="14.25" customHeight="1" x14ac:dyDescent="0.3">
      <c r="A631" s="1" t="s">
        <v>7</v>
      </c>
      <c r="B631" s="1" t="s">
        <v>435</v>
      </c>
      <c r="C631" s="1" t="s">
        <v>436</v>
      </c>
      <c r="D631" s="1" t="s">
        <v>428</v>
      </c>
      <c r="E631" s="1">
        <v>0.75</v>
      </c>
      <c r="F631" s="1" t="s">
        <v>329</v>
      </c>
      <c r="G631" s="6">
        <v>45835</v>
      </c>
      <c r="H631" s="1">
        <v>743648</v>
      </c>
      <c r="I631" s="1">
        <v>773648</v>
      </c>
      <c r="J631" s="1">
        <v>30763.099999999991</v>
      </c>
      <c r="K631" s="1">
        <v>-763.09999999998763</v>
      </c>
      <c r="L631" s="1">
        <v>774411.1</v>
      </c>
      <c r="M631" s="1">
        <v>112</v>
      </c>
      <c r="N631" s="1">
        <v>282.61870229007633</v>
      </c>
      <c r="O631" s="1">
        <v>-2.77823756383455</v>
      </c>
      <c r="P631" s="7">
        <v>45947</v>
      </c>
      <c r="Q631" s="1">
        <v>30000</v>
      </c>
      <c r="R631" s="7">
        <v>46053.150087581023</v>
      </c>
      <c r="S631" s="7">
        <v>46053</v>
      </c>
      <c r="T631" s="7" t="str">
        <f t="shared" si="0"/>
        <v>enero</v>
      </c>
      <c r="U631" s="1" t="s">
        <v>330</v>
      </c>
      <c r="X631" s="1" t="s">
        <v>331</v>
      </c>
      <c r="Y631" s="1" t="s">
        <v>332</v>
      </c>
      <c r="Z631" s="1">
        <v>39</v>
      </c>
      <c r="AA631" s="3">
        <v>3389.9</v>
      </c>
      <c r="AB631" s="3">
        <v>132206.1</v>
      </c>
      <c r="AC631" s="1" t="str">
        <f>VLOOKUP(A631,[1]Detalle!$D$2:$CW$484,98,FALSE)</f>
        <v>ADA_CH - Danone Arg. S.A. - Chascomus</v>
      </c>
    </row>
    <row r="632" spans="1:29" ht="14.25" customHeight="1" x14ac:dyDescent="0.3">
      <c r="A632" s="1" t="s">
        <v>7</v>
      </c>
      <c r="B632" s="1" t="s">
        <v>435</v>
      </c>
      <c r="C632" s="1" t="s">
        <v>436</v>
      </c>
      <c r="D632" s="1" t="s">
        <v>428</v>
      </c>
      <c r="E632" s="1">
        <v>0.75</v>
      </c>
      <c r="F632" s="1" t="s">
        <v>329</v>
      </c>
      <c r="G632" s="6">
        <v>45835</v>
      </c>
      <c r="H632" s="1">
        <v>743648</v>
      </c>
      <c r="I632" s="1">
        <v>773648</v>
      </c>
      <c r="J632" s="1">
        <v>30763.099999999991</v>
      </c>
      <c r="K632" s="1">
        <v>-763.09999999998763</v>
      </c>
      <c r="L632" s="1">
        <v>774411.1</v>
      </c>
      <c r="M632" s="1">
        <v>112</v>
      </c>
      <c r="N632" s="1">
        <v>282.61870229007633</v>
      </c>
      <c r="O632" s="1">
        <v>-2.77823756383455</v>
      </c>
      <c r="P632" s="7">
        <v>45947</v>
      </c>
      <c r="Q632" s="1">
        <v>30000</v>
      </c>
      <c r="R632" s="7">
        <v>46053.150087581023</v>
      </c>
      <c r="S632" s="7">
        <v>46053</v>
      </c>
      <c r="T632" s="7" t="str">
        <f t="shared" si="0"/>
        <v>enero</v>
      </c>
      <c r="U632" s="1" t="s">
        <v>330</v>
      </c>
      <c r="X632" s="1" t="s">
        <v>437</v>
      </c>
      <c r="Y632" s="1" t="s">
        <v>438</v>
      </c>
      <c r="Z632" s="1">
        <v>1</v>
      </c>
      <c r="AA632" s="3">
        <v>22064.98</v>
      </c>
      <c r="AB632" s="3">
        <v>22064.98</v>
      </c>
      <c r="AC632" s="1" t="str">
        <f>VLOOKUP(A632,[1]Detalle!$D$2:$CW$484,98,FALSE)</f>
        <v>ADA_CH - Danone Arg. S.A. - Chascomus</v>
      </c>
    </row>
    <row r="633" spans="1:29" ht="14.25" customHeight="1" x14ac:dyDescent="0.3">
      <c r="A633" s="1" t="s">
        <v>9</v>
      </c>
      <c r="B633" s="1" t="s">
        <v>435</v>
      </c>
      <c r="C633" s="1" t="s">
        <v>436</v>
      </c>
      <c r="D633" s="1" t="s">
        <v>428</v>
      </c>
      <c r="E633" s="1">
        <v>0.75</v>
      </c>
      <c r="F633" s="1" t="s">
        <v>329</v>
      </c>
      <c r="G633" s="6">
        <v>45789</v>
      </c>
      <c r="H633" s="1">
        <v>828813</v>
      </c>
      <c r="I633" s="1">
        <v>858813</v>
      </c>
      <c r="J633" s="1">
        <v>52575.80000000001</v>
      </c>
      <c r="K633" s="1">
        <v>-22575.80000000001</v>
      </c>
      <c r="L633" s="1">
        <v>881388.8</v>
      </c>
      <c r="M633" s="1">
        <v>158</v>
      </c>
      <c r="N633" s="1">
        <v>352.51014814814829</v>
      </c>
      <c r="O633" s="1">
        <v>-67.844453151449926</v>
      </c>
      <c r="P633" s="7">
        <v>45947</v>
      </c>
      <c r="Q633" s="1">
        <v>30000</v>
      </c>
      <c r="R633" s="7">
        <v>46032.103932916667</v>
      </c>
      <c r="S633" s="7">
        <v>46032</v>
      </c>
      <c r="T633" s="7" t="str">
        <f t="shared" si="0"/>
        <v>enero</v>
      </c>
      <c r="U633" s="1" t="s">
        <v>330</v>
      </c>
      <c r="X633" s="1" t="s">
        <v>331</v>
      </c>
      <c r="Y633" s="1" t="s">
        <v>332</v>
      </c>
      <c r="Z633" s="1">
        <v>39</v>
      </c>
      <c r="AA633" s="3">
        <v>3389.9</v>
      </c>
      <c r="AB633" s="3">
        <v>132206.1</v>
      </c>
      <c r="AC633" s="1" t="str">
        <f>VLOOKUP(A633,[1]Detalle!$D$2:$CW$484,98,FALSE)</f>
        <v>ADA_CH - Danone Arg. S.A. - Chascomus</v>
      </c>
    </row>
    <row r="634" spans="1:29" ht="14.25" customHeight="1" x14ac:dyDescent="0.3">
      <c r="A634" s="1" t="s">
        <v>9</v>
      </c>
      <c r="B634" s="1" t="s">
        <v>435</v>
      </c>
      <c r="C634" s="1" t="s">
        <v>436</v>
      </c>
      <c r="D634" s="1" t="s">
        <v>428</v>
      </c>
      <c r="E634" s="1">
        <v>0.75</v>
      </c>
      <c r="F634" s="1" t="s">
        <v>329</v>
      </c>
      <c r="G634" s="6">
        <v>45789</v>
      </c>
      <c r="H634" s="1">
        <v>828813</v>
      </c>
      <c r="I634" s="1">
        <v>858813</v>
      </c>
      <c r="J634" s="1">
        <v>52575.80000000001</v>
      </c>
      <c r="K634" s="1">
        <v>-22575.80000000001</v>
      </c>
      <c r="L634" s="1">
        <v>881388.8</v>
      </c>
      <c r="M634" s="1">
        <v>158</v>
      </c>
      <c r="N634" s="1">
        <v>352.51014814814829</v>
      </c>
      <c r="O634" s="1">
        <v>-67.844453151449926</v>
      </c>
      <c r="P634" s="7">
        <v>45947</v>
      </c>
      <c r="Q634" s="1">
        <v>30000</v>
      </c>
      <c r="R634" s="7">
        <v>46032.103932916667</v>
      </c>
      <c r="S634" s="7">
        <v>46032</v>
      </c>
      <c r="T634" s="7" t="str">
        <f t="shared" si="0"/>
        <v>enero</v>
      </c>
      <c r="U634" s="1" t="s">
        <v>330</v>
      </c>
      <c r="X634" s="1" t="s">
        <v>437</v>
      </c>
      <c r="Y634" s="1" t="s">
        <v>438</v>
      </c>
      <c r="Z634" s="1">
        <v>1</v>
      </c>
      <c r="AA634" s="3">
        <v>22064.98</v>
      </c>
      <c r="AB634" s="3">
        <v>22064.98</v>
      </c>
      <c r="AC634" s="1" t="str">
        <f>VLOOKUP(A634,[1]Detalle!$D$2:$CW$484,98,FALSE)</f>
        <v>ADA_CH - Danone Arg. S.A. - Chascomus</v>
      </c>
    </row>
    <row r="635" spans="1:29" ht="14.25" customHeight="1" x14ac:dyDescent="0.3">
      <c r="A635" s="1" t="s">
        <v>17</v>
      </c>
      <c r="B635" s="1" t="s">
        <v>439</v>
      </c>
      <c r="C635" s="1" t="s">
        <v>436</v>
      </c>
      <c r="D635" s="1" t="s">
        <v>428</v>
      </c>
      <c r="E635" s="1">
        <v>0.75</v>
      </c>
      <c r="F635" s="1" t="s">
        <v>329</v>
      </c>
      <c r="G635" s="6">
        <v>45776</v>
      </c>
      <c r="H635" s="1">
        <v>664392</v>
      </c>
      <c r="I635" s="1">
        <v>694392</v>
      </c>
      <c r="J635" s="1">
        <v>62703.799999999981</v>
      </c>
      <c r="K635" s="1">
        <v>-32703.799999999981</v>
      </c>
      <c r="L635" s="1">
        <v>727095.79999999993</v>
      </c>
      <c r="M635" s="1">
        <v>171</v>
      </c>
      <c r="N635" s="1">
        <v>382.02855555555578</v>
      </c>
      <c r="O635" s="1">
        <v>-89.186776558996399</v>
      </c>
      <c r="P635" s="7">
        <v>45947</v>
      </c>
      <c r="Q635" s="1">
        <v>30000</v>
      </c>
      <c r="R635" s="7">
        <v>46025.528161215283</v>
      </c>
      <c r="S635" s="7">
        <v>46025</v>
      </c>
      <c r="T635" s="7" t="str">
        <f t="shared" si="0"/>
        <v>enero</v>
      </c>
      <c r="U635" s="1" t="s">
        <v>330</v>
      </c>
      <c r="X635" s="1" t="s">
        <v>331</v>
      </c>
      <c r="Y635" s="1" t="s">
        <v>332</v>
      </c>
      <c r="Z635" s="1">
        <v>39</v>
      </c>
      <c r="AA635" s="3">
        <v>3389.9</v>
      </c>
      <c r="AB635" s="3">
        <v>132206.1</v>
      </c>
      <c r="AC635" s="1" t="str">
        <f>VLOOKUP(A635,[1]Detalle!$D$2:$CW$484,98,FALSE)</f>
        <v>Expreso - Servicios Troncales</v>
      </c>
    </row>
    <row r="636" spans="1:29" ht="14.25" customHeight="1" x14ac:dyDescent="0.3">
      <c r="A636" s="1" t="s">
        <v>17</v>
      </c>
      <c r="B636" s="1" t="s">
        <v>439</v>
      </c>
      <c r="C636" s="1" t="s">
        <v>436</v>
      </c>
      <c r="D636" s="1" t="s">
        <v>428</v>
      </c>
      <c r="E636" s="1">
        <v>0.75</v>
      </c>
      <c r="F636" s="1" t="s">
        <v>329</v>
      </c>
      <c r="G636" s="6">
        <v>45776</v>
      </c>
      <c r="H636" s="1">
        <v>664392</v>
      </c>
      <c r="I636" s="1">
        <v>694392</v>
      </c>
      <c r="J636" s="1">
        <v>62703.799999999981</v>
      </c>
      <c r="K636" s="1">
        <v>-32703.799999999981</v>
      </c>
      <c r="L636" s="1">
        <v>727095.79999999993</v>
      </c>
      <c r="M636" s="1">
        <v>171</v>
      </c>
      <c r="N636" s="1">
        <v>382.02855555555578</v>
      </c>
      <c r="O636" s="1">
        <v>-89.186776558996399</v>
      </c>
      <c r="P636" s="7">
        <v>45947</v>
      </c>
      <c r="Q636" s="1">
        <v>30000</v>
      </c>
      <c r="R636" s="7">
        <v>46025.528161215283</v>
      </c>
      <c r="S636" s="7">
        <v>46025</v>
      </c>
      <c r="T636" s="7" t="str">
        <f t="shared" si="0"/>
        <v>enero</v>
      </c>
      <c r="U636" s="1" t="s">
        <v>330</v>
      </c>
      <c r="X636" s="1" t="s">
        <v>437</v>
      </c>
      <c r="Y636" s="1" t="s">
        <v>438</v>
      </c>
      <c r="Z636" s="1">
        <v>1</v>
      </c>
      <c r="AA636" s="3">
        <v>22064.98</v>
      </c>
      <c r="AB636" s="3">
        <v>22064.98</v>
      </c>
      <c r="AC636" s="1" t="str">
        <f>VLOOKUP(A636,[1]Detalle!$D$2:$CW$484,98,FALSE)</f>
        <v>Expreso - Servicios Troncales</v>
      </c>
    </row>
    <row r="637" spans="1:29" ht="14.25" customHeight="1" x14ac:dyDescent="0.3">
      <c r="A637" s="1" t="s">
        <v>18</v>
      </c>
      <c r="B637" s="1" t="s">
        <v>439</v>
      </c>
      <c r="C637" s="1" t="s">
        <v>436</v>
      </c>
      <c r="D637" s="1" t="s">
        <v>428</v>
      </c>
      <c r="E637" s="1">
        <v>0.75</v>
      </c>
      <c r="F637" s="1" t="s">
        <v>329</v>
      </c>
      <c r="G637" s="6">
        <v>45852</v>
      </c>
      <c r="H637" s="1">
        <v>654972</v>
      </c>
      <c r="I637" s="1">
        <v>684972</v>
      </c>
      <c r="J637" s="1">
        <v>26383.500000000011</v>
      </c>
      <c r="K637" s="1">
        <v>3616.4999999999932</v>
      </c>
      <c r="L637" s="1">
        <v>681355.5</v>
      </c>
      <c r="M637" s="1">
        <v>95</v>
      </c>
      <c r="N637" s="1">
        <v>381.04202205882348</v>
      </c>
      <c r="O637" s="1">
        <v>13.02205924157141</v>
      </c>
      <c r="P637" s="7">
        <v>45947</v>
      </c>
      <c r="Q637" s="1">
        <v>30000</v>
      </c>
      <c r="R637" s="7">
        <v>46038.753533101852</v>
      </c>
      <c r="S637" s="7">
        <v>46038</v>
      </c>
      <c r="T637" s="7" t="str">
        <f t="shared" si="0"/>
        <v>enero</v>
      </c>
      <c r="U637" s="1" t="s">
        <v>330</v>
      </c>
      <c r="X637" s="1" t="s">
        <v>331</v>
      </c>
      <c r="Y637" s="1" t="s">
        <v>332</v>
      </c>
      <c r="Z637" s="1">
        <v>39</v>
      </c>
      <c r="AA637" s="3">
        <v>3389.9</v>
      </c>
      <c r="AB637" s="3">
        <v>132206.1</v>
      </c>
      <c r="AC637" s="1" t="str">
        <f>VLOOKUP(A637,[1]Detalle!$D$2:$CW$484,98,FALSE)</f>
        <v>Expreso - Servicios Troncales</v>
      </c>
    </row>
    <row r="638" spans="1:29" ht="14.25" customHeight="1" x14ac:dyDescent="0.3">
      <c r="A638" s="1" t="s">
        <v>18</v>
      </c>
      <c r="B638" s="1" t="s">
        <v>439</v>
      </c>
      <c r="C638" s="1" t="s">
        <v>436</v>
      </c>
      <c r="D638" s="1" t="s">
        <v>428</v>
      </c>
      <c r="E638" s="1">
        <v>0.75</v>
      </c>
      <c r="F638" s="1" t="s">
        <v>329</v>
      </c>
      <c r="G638" s="6">
        <v>45852</v>
      </c>
      <c r="H638" s="1">
        <v>654972</v>
      </c>
      <c r="I638" s="1">
        <v>684972</v>
      </c>
      <c r="J638" s="1">
        <v>26383.500000000011</v>
      </c>
      <c r="K638" s="1">
        <v>3616.4999999999932</v>
      </c>
      <c r="L638" s="1">
        <v>681355.5</v>
      </c>
      <c r="M638" s="1">
        <v>95</v>
      </c>
      <c r="N638" s="1">
        <v>381.04202205882348</v>
      </c>
      <c r="O638" s="1">
        <v>13.02205924157141</v>
      </c>
      <c r="P638" s="7">
        <v>45947</v>
      </c>
      <c r="Q638" s="1">
        <v>30000</v>
      </c>
      <c r="R638" s="7">
        <v>46038.753533101852</v>
      </c>
      <c r="S638" s="7">
        <v>46038</v>
      </c>
      <c r="T638" s="7" t="str">
        <f t="shared" si="0"/>
        <v>enero</v>
      </c>
      <c r="U638" s="1" t="s">
        <v>330</v>
      </c>
      <c r="X638" s="1" t="s">
        <v>437</v>
      </c>
      <c r="Y638" s="1" t="s">
        <v>438</v>
      </c>
      <c r="Z638" s="1">
        <v>1</v>
      </c>
      <c r="AA638" s="3">
        <v>22064.98</v>
      </c>
      <c r="AB638" s="3">
        <v>22064.98</v>
      </c>
      <c r="AC638" s="1" t="str">
        <f>VLOOKUP(A638,[1]Detalle!$D$2:$CW$484,98,FALSE)</f>
        <v>Expreso - Servicios Troncales</v>
      </c>
    </row>
    <row r="639" spans="1:29" ht="14.25" customHeight="1" x14ac:dyDescent="0.3">
      <c r="A639" s="1" t="s">
        <v>231</v>
      </c>
      <c r="B639" s="1" t="s">
        <v>440</v>
      </c>
      <c r="C639" s="1" t="s">
        <v>436</v>
      </c>
      <c r="D639" s="1" t="s">
        <v>428</v>
      </c>
      <c r="E639" s="1">
        <v>0.75</v>
      </c>
      <c r="F639" s="1" t="s">
        <v>329</v>
      </c>
      <c r="G639" s="6">
        <v>45889</v>
      </c>
      <c r="H639" s="1">
        <v>1836513</v>
      </c>
      <c r="I639" s="1">
        <v>1866513</v>
      </c>
      <c r="J639" s="1">
        <v>14116.4</v>
      </c>
      <c r="K639" s="1">
        <v>15883.6</v>
      </c>
      <c r="L639" s="1">
        <v>1850629.4</v>
      </c>
      <c r="M639" s="1">
        <v>58</v>
      </c>
      <c r="N639" s="1">
        <v>332.5574264705881</v>
      </c>
      <c r="O639" s="1">
        <v>65.260888045110633</v>
      </c>
      <c r="P639" s="7">
        <v>45947</v>
      </c>
      <c r="Q639" s="1">
        <v>30000</v>
      </c>
      <c r="R639" s="7">
        <v>46102.470871678241</v>
      </c>
      <c r="S639" s="7">
        <v>46102</v>
      </c>
      <c r="T639" s="7" t="str">
        <f t="shared" si="0"/>
        <v>marzo</v>
      </c>
      <c r="U639" s="1" t="s">
        <v>330</v>
      </c>
      <c r="X639" s="1" t="s">
        <v>331</v>
      </c>
      <c r="Y639" s="1" t="s">
        <v>332</v>
      </c>
      <c r="Z639" s="1">
        <v>39</v>
      </c>
      <c r="AA639" s="3">
        <v>3389.9</v>
      </c>
      <c r="AB639" s="3">
        <v>132206.1</v>
      </c>
      <c r="AC639" s="1" t="str">
        <f>VLOOKUP(A639,[1]Detalle!$D$2:$CW$484,98,FALSE)</f>
        <v>Expreso - Servicios Troncales</v>
      </c>
    </row>
    <row r="640" spans="1:29" ht="14.25" customHeight="1" x14ac:dyDescent="0.3">
      <c r="A640" s="1" t="s">
        <v>231</v>
      </c>
      <c r="B640" s="1" t="s">
        <v>440</v>
      </c>
      <c r="C640" s="1" t="s">
        <v>436</v>
      </c>
      <c r="D640" s="1" t="s">
        <v>428</v>
      </c>
      <c r="E640" s="1">
        <v>0.75</v>
      </c>
      <c r="F640" s="1" t="s">
        <v>329</v>
      </c>
      <c r="G640" s="6">
        <v>45889</v>
      </c>
      <c r="H640" s="1">
        <v>1836513</v>
      </c>
      <c r="I640" s="1">
        <v>1866513</v>
      </c>
      <c r="J640" s="1">
        <v>14116.4</v>
      </c>
      <c r="K640" s="1">
        <v>15883.6</v>
      </c>
      <c r="L640" s="1">
        <v>1850629.4</v>
      </c>
      <c r="M640" s="1">
        <v>58</v>
      </c>
      <c r="N640" s="1">
        <v>332.5574264705881</v>
      </c>
      <c r="O640" s="1">
        <v>65.260888045110633</v>
      </c>
      <c r="P640" s="7">
        <v>45947</v>
      </c>
      <c r="Q640" s="1">
        <v>30000</v>
      </c>
      <c r="R640" s="7">
        <v>46102.470871678241</v>
      </c>
      <c r="S640" s="7">
        <v>46102</v>
      </c>
      <c r="T640" s="7" t="str">
        <f t="shared" si="0"/>
        <v>marzo</v>
      </c>
      <c r="U640" s="1" t="s">
        <v>330</v>
      </c>
      <c r="X640" s="1" t="s">
        <v>437</v>
      </c>
      <c r="Y640" s="1" t="s">
        <v>438</v>
      </c>
      <c r="Z640" s="1">
        <v>1</v>
      </c>
      <c r="AA640" s="3">
        <v>22064.98</v>
      </c>
      <c r="AB640" s="3">
        <v>22064.98</v>
      </c>
      <c r="AC640" s="1" t="str">
        <f>VLOOKUP(A640,[1]Detalle!$D$2:$CW$484,98,FALSE)</f>
        <v>Expreso - Servicios Troncales</v>
      </c>
    </row>
    <row r="641" spans="1:29" ht="14.25" customHeight="1" x14ac:dyDescent="0.3">
      <c r="A641" s="1" t="s">
        <v>232</v>
      </c>
      <c r="B641" s="1" t="s">
        <v>440</v>
      </c>
      <c r="C641" s="1" t="s">
        <v>436</v>
      </c>
      <c r="D641" s="1" t="s">
        <v>428</v>
      </c>
      <c r="E641" s="1">
        <v>0.75</v>
      </c>
      <c r="F641" s="1" t="s">
        <v>329</v>
      </c>
      <c r="G641" s="6">
        <v>45919</v>
      </c>
      <c r="H641" s="1">
        <v>1973725</v>
      </c>
      <c r="I641" s="1">
        <v>2003725</v>
      </c>
      <c r="J641" s="1">
        <v>3275.4</v>
      </c>
      <c r="K641" s="1">
        <v>26724.6</v>
      </c>
      <c r="L641" s="1">
        <v>1977000.4</v>
      </c>
      <c r="M641" s="1">
        <v>28</v>
      </c>
      <c r="N641" s="1">
        <v>2668.176102941175</v>
      </c>
      <c r="O641" s="1">
        <v>228.45722659827811</v>
      </c>
      <c r="P641" s="7">
        <v>45947</v>
      </c>
      <c r="Q641" s="1">
        <v>30000</v>
      </c>
      <c r="R641" s="7">
        <v>46175.457226597217</v>
      </c>
      <c r="S641" s="7">
        <v>46175</v>
      </c>
      <c r="T641" s="7" t="str">
        <f t="shared" si="0"/>
        <v>junio</v>
      </c>
      <c r="U641" s="1" t="s">
        <v>330</v>
      </c>
      <c r="X641" s="1" t="s">
        <v>331</v>
      </c>
      <c r="Y641" s="1" t="s">
        <v>332</v>
      </c>
      <c r="Z641" s="1">
        <v>39</v>
      </c>
      <c r="AA641" s="3">
        <v>3389.9</v>
      </c>
      <c r="AB641" s="3">
        <v>132206.1</v>
      </c>
      <c r="AC641" s="1" t="str">
        <f>VLOOKUP(A641,[1]Detalle!$D$2:$CW$484,98,FALSE)</f>
        <v>Expreso - Servicios Troncales</v>
      </c>
    </row>
    <row r="642" spans="1:29" ht="14.25" customHeight="1" x14ac:dyDescent="0.3">
      <c r="A642" s="1" t="s">
        <v>232</v>
      </c>
      <c r="B642" s="1" t="s">
        <v>440</v>
      </c>
      <c r="C642" s="1" t="s">
        <v>436</v>
      </c>
      <c r="D642" s="1" t="s">
        <v>428</v>
      </c>
      <c r="E642" s="1">
        <v>0.75</v>
      </c>
      <c r="F642" s="1" t="s">
        <v>329</v>
      </c>
      <c r="G642" s="6">
        <v>45919</v>
      </c>
      <c r="H642" s="1">
        <v>1973725</v>
      </c>
      <c r="I642" s="1">
        <v>2003725</v>
      </c>
      <c r="J642" s="1">
        <v>3275.4</v>
      </c>
      <c r="K642" s="1">
        <v>26724.6</v>
      </c>
      <c r="L642" s="1">
        <v>1977000.4</v>
      </c>
      <c r="M642" s="1">
        <v>28</v>
      </c>
      <c r="N642" s="1">
        <v>2668.176102941175</v>
      </c>
      <c r="O642" s="1">
        <v>228.45722659827811</v>
      </c>
      <c r="P642" s="7">
        <v>45947</v>
      </c>
      <c r="Q642" s="1">
        <v>30000</v>
      </c>
      <c r="R642" s="7">
        <v>46175.457226597217</v>
      </c>
      <c r="S642" s="7">
        <v>46175</v>
      </c>
      <c r="T642" s="7" t="str">
        <f t="shared" si="0"/>
        <v>junio</v>
      </c>
      <c r="U642" s="1" t="s">
        <v>330</v>
      </c>
      <c r="X642" s="1" t="s">
        <v>437</v>
      </c>
      <c r="Y642" s="1" t="s">
        <v>438</v>
      </c>
      <c r="Z642" s="1">
        <v>1</v>
      </c>
      <c r="AA642" s="3">
        <v>22064.98</v>
      </c>
      <c r="AB642" s="3">
        <v>22064.98</v>
      </c>
      <c r="AC642" s="1" t="str">
        <f>VLOOKUP(A642,[1]Detalle!$D$2:$CW$484,98,FALSE)</f>
        <v>Expreso - Servicios Troncales</v>
      </c>
    </row>
    <row r="643" spans="1:29" ht="14.25" customHeight="1" x14ac:dyDescent="0.3">
      <c r="A643" s="1" t="s">
        <v>233</v>
      </c>
      <c r="B643" s="1" t="s">
        <v>440</v>
      </c>
      <c r="C643" s="1" t="s">
        <v>436</v>
      </c>
      <c r="D643" s="1" t="s">
        <v>428</v>
      </c>
      <c r="E643" s="1">
        <v>0.75</v>
      </c>
      <c r="F643" s="1" t="s">
        <v>329</v>
      </c>
      <c r="G643" s="6">
        <v>45852</v>
      </c>
      <c r="H643" s="1">
        <v>1942302</v>
      </c>
      <c r="I643" s="1">
        <v>1972302</v>
      </c>
      <c r="J643" s="1">
        <v>28066.80000000001</v>
      </c>
      <c r="K643" s="1">
        <v>1933.1999999999859</v>
      </c>
      <c r="L643" s="1">
        <v>1970368.8</v>
      </c>
      <c r="M643" s="1">
        <v>95</v>
      </c>
      <c r="N643" s="1">
        <v>373</v>
      </c>
      <c r="O643" s="1">
        <v>6.5434606011372356</v>
      </c>
      <c r="P643" s="7">
        <v>45947</v>
      </c>
      <c r="Q643" s="1">
        <v>30000</v>
      </c>
      <c r="R643" s="7">
        <v>46056.589041099527</v>
      </c>
      <c r="S643" s="7">
        <v>46056</v>
      </c>
      <c r="T643" s="7" t="str">
        <f t="shared" si="0"/>
        <v>febrero</v>
      </c>
      <c r="U643" s="1" t="s">
        <v>330</v>
      </c>
      <c r="V643" s="6">
        <v>46137.017995520837</v>
      </c>
      <c r="X643" s="1" t="s">
        <v>331</v>
      </c>
      <c r="Y643" s="1" t="s">
        <v>332</v>
      </c>
      <c r="Z643" s="1">
        <v>39</v>
      </c>
      <c r="AA643" s="3">
        <v>3389.9</v>
      </c>
      <c r="AB643" s="3">
        <v>132206.1</v>
      </c>
      <c r="AC643" s="1" t="str">
        <f>VLOOKUP(A643,[1]Detalle!$D$2:$CW$484,98,FALSE)</f>
        <v>Expreso - Servicios Troncales</v>
      </c>
    </row>
    <row r="644" spans="1:29" ht="14.25" customHeight="1" x14ac:dyDescent="0.3">
      <c r="A644" s="1" t="s">
        <v>233</v>
      </c>
      <c r="B644" s="1" t="s">
        <v>440</v>
      </c>
      <c r="C644" s="1" t="s">
        <v>436</v>
      </c>
      <c r="D644" s="1" t="s">
        <v>428</v>
      </c>
      <c r="E644" s="1">
        <v>0.75</v>
      </c>
      <c r="F644" s="1" t="s">
        <v>329</v>
      </c>
      <c r="G644" s="6">
        <v>45852</v>
      </c>
      <c r="H644" s="1">
        <v>1942302</v>
      </c>
      <c r="I644" s="1">
        <v>1972302</v>
      </c>
      <c r="J644" s="1">
        <v>28066.80000000001</v>
      </c>
      <c r="K644" s="1">
        <v>1933.1999999999859</v>
      </c>
      <c r="L644" s="1">
        <v>1970368.8</v>
      </c>
      <c r="M644" s="1">
        <v>95</v>
      </c>
      <c r="N644" s="1">
        <v>373</v>
      </c>
      <c r="O644" s="1">
        <v>6.5434606011372356</v>
      </c>
      <c r="P644" s="7">
        <v>45947</v>
      </c>
      <c r="Q644" s="1">
        <v>30000</v>
      </c>
      <c r="R644" s="7">
        <v>46056.589041099527</v>
      </c>
      <c r="S644" s="7">
        <v>46056</v>
      </c>
      <c r="T644" s="7" t="str">
        <f t="shared" si="0"/>
        <v>febrero</v>
      </c>
      <c r="U644" s="1" t="s">
        <v>330</v>
      </c>
      <c r="V644" s="6">
        <v>46137.017995520837</v>
      </c>
      <c r="X644" s="1" t="s">
        <v>437</v>
      </c>
      <c r="Y644" s="1" t="s">
        <v>438</v>
      </c>
      <c r="Z644" s="1">
        <v>1</v>
      </c>
      <c r="AA644" s="3">
        <v>22064.98</v>
      </c>
      <c r="AB644" s="3">
        <v>22064.98</v>
      </c>
      <c r="AC644" s="1" t="str">
        <f>VLOOKUP(A644,[1]Detalle!$D$2:$CW$484,98,FALSE)</f>
        <v>Expreso - Servicios Troncales</v>
      </c>
    </row>
    <row r="645" spans="1:29" ht="14.25" customHeight="1" x14ac:dyDescent="0.3">
      <c r="A645" s="1" t="s">
        <v>234</v>
      </c>
      <c r="B645" s="1" t="s">
        <v>440</v>
      </c>
      <c r="C645" s="1" t="s">
        <v>436</v>
      </c>
      <c r="D645" s="1" t="s">
        <v>428</v>
      </c>
      <c r="E645" s="1">
        <v>0.75</v>
      </c>
      <c r="F645" s="1" t="s">
        <v>329</v>
      </c>
      <c r="G645" s="6">
        <v>45845</v>
      </c>
      <c r="H645" s="1">
        <v>1934926</v>
      </c>
      <c r="I645" s="1">
        <v>1964926</v>
      </c>
      <c r="J645" s="1">
        <v>35672.900000000009</v>
      </c>
      <c r="K645" s="1">
        <v>-5672.9000000000087</v>
      </c>
      <c r="L645" s="1">
        <v>1970598.9</v>
      </c>
      <c r="M645" s="1">
        <v>102</v>
      </c>
      <c r="N645" s="1">
        <v>120</v>
      </c>
      <c r="O645" s="1">
        <v>-16.220598829924139</v>
      </c>
      <c r="P645" s="7">
        <v>45947</v>
      </c>
      <c r="Q645" s="1">
        <v>30000</v>
      </c>
      <c r="R645" s="7">
        <v>46056.589041099527</v>
      </c>
      <c r="S645" s="7">
        <v>46056</v>
      </c>
      <c r="T645" s="7" t="str">
        <f t="shared" si="0"/>
        <v>febrero</v>
      </c>
      <c r="U645" s="1" t="s">
        <v>330</v>
      </c>
      <c r="V645" s="6">
        <v>46306.589041099527</v>
      </c>
      <c r="X645" s="1" t="s">
        <v>331</v>
      </c>
      <c r="Y645" s="1" t="s">
        <v>332</v>
      </c>
      <c r="Z645" s="1">
        <v>39</v>
      </c>
      <c r="AA645" s="3">
        <v>3389.9</v>
      </c>
      <c r="AB645" s="3">
        <v>132206.1</v>
      </c>
      <c r="AC645" s="1" t="str">
        <f>VLOOKUP(A645,[1]Detalle!$D$2:$CW$484,98,FALSE)</f>
        <v>Expreso - Servicios Troncales</v>
      </c>
    </row>
    <row r="646" spans="1:29" ht="14.25" customHeight="1" x14ac:dyDescent="0.3">
      <c r="A646" s="1" t="s">
        <v>234</v>
      </c>
      <c r="B646" s="1" t="s">
        <v>440</v>
      </c>
      <c r="C646" s="1" t="s">
        <v>436</v>
      </c>
      <c r="D646" s="1" t="s">
        <v>428</v>
      </c>
      <c r="E646" s="1">
        <v>0.75</v>
      </c>
      <c r="F646" s="1" t="s">
        <v>329</v>
      </c>
      <c r="G646" s="6">
        <v>45845</v>
      </c>
      <c r="H646" s="1">
        <v>1934926</v>
      </c>
      <c r="I646" s="1">
        <v>1964926</v>
      </c>
      <c r="J646" s="1">
        <v>35672.900000000009</v>
      </c>
      <c r="K646" s="1">
        <v>-5672.9000000000087</v>
      </c>
      <c r="L646" s="1">
        <v>1970598.9</v>
      </c>
      <c r="M646" s="1">
        <v>102</v>
      </c>
      <c r="N646" s="1">
        <v>120</v>
      </c>
      <c r="O646" s="1">
        <v>-16.220598829924139</v>
      </c>
      <c r="P646" s="7">
        <v>45947</v>
      </c>
      <c r="Q646" s="1">
        <v>30000</v>
      </c>
      <c r="R646" s="7">
        <v>46056.589041099527</v>
      </c>
      <c r="S646" s="7">
        <v>46056</v>
      </c>
      <c r="T646" s="7" t="str">
        <f t="shared" si="0"/>
        <v>febrero</v>
      </c>
      <c r="U646" s="1" t="s">
        <v>330</v>
      </c>
      <c r="V646" s="6">
        <v>46306.589041099527</v>
      </c>
      <c r="X646" s="1" t="s">
        <v>437</v>
      </c>
      <c r="Y646" s="1" t="s">
        <v>438</v>
      </c>
      <c r="Z646" s="1">
        <v>1</v>
      </c>
      <c r="AA646" s="3">
        <v>22064.98</v>
      </c>
      <c r="AB646" s="3">
        <v>22064.98</v>
      </c>
      <c r="AC646" s="1" t="str">
        <f>VLOOKUP(A646,[1]Detalle!$D$2:$CW$484,98,FALSE)</f>
        <v>Expreso - Servicios Troncales</v>
      </c>
    </row>
    <row r="647" spans="1:29" ht="14.25" customHeight="1" x14ac:dyDescent="0.3">
      <c r="A647" s="1" t="s">
        <v>97</v>
      </c>
      <c r="B647" s="1" t="s">
        <v>441</v>
      </c>
      <c r="C647" s="1" t="s">
        <v>436</v>
      </c>
      <c r="D647" s="1" t="s">
        <v>428</v>
      </c>
      <c r="E647" s="1">
        <v>0.75</v>
      </c>
      <c r="F647" s="1" t="s">
        <v>329</v>
      </c>
      <c r="G647" s="6">
        <v>45918</v>
      </c>
      <c r="H647" s="1">
        <v>227028</v>
      </c>
      <c r="I647" s="1">
        <v>257028</v>
      </c>
      <c r="J647" s="1">
        <v>3811.8</v>
      </c>
      <c r="K647" s="1">
        <v>26188.2</v>
      </c>
      <c r="L647" s="1">
        <v>230839.8</v>
      </c>
      <c r="M647" s="1">
        <v>29</v>
      </c>
      <c r="N647" s="1">
        <v>310.79992700729929</v>
      </c>
      <c r="O647" s="1">
        <v>199.2386274201165</v>
      </c>
      <c r="P647" s="7">
        <v>45947</v>
      </c>
      <c r="Q647" s="1">
        <v>30000</v>
      </c>
      <c r="R647" s="7">
        <v>46146.238627418978</v>
      </c>
      <c r="S647" s="7">
        <v>46146</v>
      </c>
      <c r="T647" s="7" t="str">
        <f t="shared" si="0"/>
        <v>mayo</v>
      </c>
      <c r="U647" s="1" t="s">
        <v>330</v>
      </c>
      <c r="X647" s="1" t="s">
        <v>331</v>
      </c>
      <c r="Y647" s="1" t="s">
        <v>332</v>
      </c>
      <c r="Z647" s="1">
        <v>39</v>
      </c>
      <c r="AA647" s="3">
        <v>3389.9</v>
      </c>
      <c r="AB647" s="3">
        <v>132206.1</v>
      </c>
      <c r="AC647" s="1" t="str">
        <f>VLOOKUP(A647,[1]Detalle!$D$2:$CW$484,98,FALSE)</f>
        <v>Expreso - Servicios Troncales</v>
      </c>
    </row>
    <row r="648" spans="1:29" ht="14.25" customHeight="1" x14ac:dyDescent="0.3">
      <c r="A648" s="1" t="s">
        <v>97</v>
      </c>
      <c r="B648" s="1" t="s">
        <v>441</v>
      </c>
      <c r="C648" s="1" t="s">
        <v>436</v>
      </c>
      <c r="D648" s="1" t="s">
        <v>428</v>
      </c>
      <c r="E648" s="1">
        <v>0.75</v>
      </c>
      <c r="F648" s="1" t="s">
        <v>329</v>
      </c>
      <c r="G648" s="6">
        <v>45918</v>
      </c>
      <c r="H648" s="1">
        <v>227028</v>
      </c>
      <c r="I648" s="1">
        <v>257028</v>
      </c>
      <c r="J648" s="1">
        <v>3811.8</v>
      </c>
      <c r="K648" s="1">
        <v>26188.2</v>
      </c>
      <c r="L648" s="1">
        <v>230839.8</v>
      </c>
      <c r="M648" s="1">
        <v>29</v>
      </c>
      <c r="N648" s="1">
        <v>310.79992700729929</v>
      </c>
      <c r="O648" s="1">
        <v>199.2386274201165</v>
      </c>
      <c r="P648" s="7">
        <v>45947</v>
      </c>
      <c r="Q648" s="1">
        <v>30000</v>
      </c>
      <c r="R648" s="7">
        <v>46146.238627418978</v>
      </c>
      <c r="S648" s="7">
        <v>46146</v>
      </c>
      <c r="T648" s="7" t="str">
        <f t="shared" si="0"/>
        <v>mayo</v>
      </c>
      <c r="U648" s="1" t="s">
        <v>330</v>
      </c>
      <c r="X648" s="1" t="s">
        <v>437</v>
      </c>
      <c r="Y648" s="1" t="s">
        <v>438</v>
      </c>
      <c r="Z648" s="1">
        <v>1</v>
      </c>
      <c r="AA648" s="3">
        <v>22064.98</v>
      </c>
      <c r="AB648" s="3">
        <v>22064.98</v>
      </c>
      <c r="AC648" s="1" t="str">
        <f>VLOOKUP(A648,[1]Detalle!$D$2:$CW$484,98,FALSE)</f>
        <v>Expreso - Servicios Troncales</v>
      </c>
    </row>
    <row r="649" spans="1:29" ht="14.25" customHeight="1" x14ac:dyDescent="0.3">
      <c r="A649" s="1" t="s">
        <v>279</v>
      </c>
      <c r="B649" s="1" t="s">
        <v>442</v>
      </c>
      <c r="C649" s="1" t="s">
        <v>443</v>
      </c>
      <c r="D649" s="1" t="s">
        <v>428</v>
      </c>
      <c r="E649" s="1">
        <v>0.75</v>
      </c>
      <c r="F649" s="1" t="s">
        <v>329</v>
      </c>
      <c r="G649" s="6">
        <v>45688</v>
      </c>
      <c r="H649" s="1">
        <v>35081.599999999999</v>
      </c>
      <c r="I649" s="1">
        <v>65081.599999999999</v>
      </c>
      <c r="J649" s="1">
        <v>51895.159999999982</v>
      </c>
      <c r="K649" s="1">
        <v>-21895.159999999982</v>
      </c>
      <c r="L649" s="1">
        <v>86976.75999999998</v>
      </c>
      <c r="M649" s="1">
        <v>259</v>
      </c>
      <c r="N649" s="1">
        <v>197.99579335793359</v>
      </c>
      <c r="O649" s="1">
        <v>-109.2750545522935</v>
      </c>
      <c r="P649" s="7">
        <v>45947</v>
      </c>
      <c r="Q649" s="1">
        <v>30000</v>
      </c>
      <c r="R649" s="7">
        <v>46098.518370625003</v>
      </c>
      <c r="S649" s="7">
        <v>46098</v>
      </c>
      <c r="T649" s="7" t="str">
        <f t="shared" si="0"/>
        <v>marzo</v>
      </c>
      <c r="U649" s="1" t="s">
        <v>330</v>
      </c>
      <c r="X649" s="1" t="s">
        <v>331</v>
      </c>
      <c r="Y649" s="1" t="s">
        <v>332</v>
      </c>
      <c r="Z649" s="1">
        <v>29</v>
      </c>
      <c r="AA649" s="3">
        <v>3389.9</v>
      </c>
      <c r="AB649" s="3">
        <v>98307.1</v>
      </c>
      <c r="AC649" s="1" t="str">
        <f>VLOOKUP(A649,[1]Detalle!$D$2:$CW$484,98,FALSE)</f>
        <v>Expreso - Servicios Troncales</v>
      </c>
    </row>
    <row r="650" spans="1:29" ht="14.25" customHeight="1" x14ac:dyDescent="0.3">
      <c r="A650" s="1" t="s">
        <v>279</v>
      </c>
      <c r="B650" s="1" t="s">
        <v>442</v>
      </c>
      <c r="C650" s="1" t="s">
        <v>443</v>
      </c>
      <c r="D650" s="1" t="s">
        <v>428</v>
      </c>
      <c r="E650" s="1">
        <v>0.75</v>
      </c>
      <c r="F650" s="1" t="s">
        <v>329</v>
      </c>
      <c r="G650" s="6">
        <v>45688</v>
      </c>
      <c r="H650" s="1">
        <v>35081.599999999999</v>
      </c>
      <c r="I650" s="1">
        <v>65081.599999999999</v>
      </c>
      <c r="J650" s="1">
        <v>51895.159999999982</v>
      </c>
      <c r="K650" s="1">
        <v>-21895.159999999982</v>
      </c>
      <c r="L650" s="1">
        <v>86976.75999999998</v>
      </c>
      <c r="M650" s="1">
        <v>259</v>
      </c>
      <c r="N650" s="1">
        <v>197.99579335793359</v>
      </c>
      <c r="O650" s="1">
        <v>-109.2750545522935</v>
      </c>
      <c r="P650" s="7">
        <v>45947</v>
      </c>
      <c r="Q650" s="1">
        <v>30000</v>
      </c>
      <c r="R650" s="7">
        <v>46098.518370625003</v>
      </c>
      <c r="S650" s="7">
        <v>46098</v>
      </c>
      <c r="T650" s="7" t="str">
        <f t="shared" si="0"/>
        <v>marzo</v>
      </c>
      <c r="U650" s="1" t="s">
        <v>330</v>
      </c>
      <c r="X650" s="1" t="s">
        <v>444</v>
      </c>
      <c r="Y650" s="1" t="s">
        <v>445</v>
      </c>
      <c r="Z650" s="1">
        <v>1</v>
      </c>
      <c r="AA650" s="3">
        <v>42100</v>
      </c>
      <c r="AB650" s="3">
        <v>42100</v>
      </c>
      <c r="AC650" s="1" t="str">
        <f>VLOOKUP(A650,[1]Detalle!$D$2:$CW$484,98,FALSE)</f>
        <v>Expreso - Servicios Troncales</v>
      </c>
    </row>
    <row r="651" spans="1:29" ht="14.25" customHeight="1" x14ac:dyDescent="0.3">
      <c r="A651" s="1" t="s">
        <v>228</v>
      </c>
      <c r="B651" s="1" t="s">
        <v>446</v>
      </c>
      <c r="C651" s="1" t="s">
        <v>443</v>
      </c>
      <c r="D651" s="1" t="s">
        <v>428</v>
      </c>
      <c r="E651" s="1">
        <v>0.75</v>
      </c>
      <c r="F651" s="1" t="s">
        <v>329</v>
      </c>
      <c r="G651" s="6">
        <v>45678</v>
      </c>
      <c r="H651" s="1">
        <v>799717</v>
      </c>
      <c r="I651" s="1">
        <v>829717</v>
      </c>
      <c r="J651" s="1">
        <v>57283.27</v>
      </c>
      <c r="K651" s="1">
        <v>-27283.27</v>
      </c>
      <c r="L651" s="1">
        <v>857000.27</v>
      </c>
      <c r="M651" s="1">
        <v>269</v>
      </c>
      <c r="N651" s="1">
        <v>232.68261029411761</v>
      </c>
      <c r="O651" s="1">
        <v>-128.12117098063709</v>
      </c>
      <c r="P651" s="7">
        <v>45947</v>
      </c>
      <c r="Q651" s="1">
        <v>30000</v>
      </c>
      <c r="R651" s="7">
        <v>46075.930993009257</v>
      </c>
      <c r="S651" s="7">
        <v>46075</v>
      </c>
      <c r="T651" s="7" t="str">
        <f t="shared" si="0"/>
        <v>febrero</v>
      </c>
      <c r="U651" s="1" t="s">
        <v>330</v>
      </c>
      <c r="X651" s="1" t="s">
        <v>331</v>
      </c>
      <c r="Y651" s="1" t="s">
        <v>332</v>
      </c>
      <c r="Z651" s="1">
        <v>29</v>
      </c>
      <c r="AA651" s="3">
        <v>3389.9</v>
      </c>
      <c r="AB651" s="3">
        <v>98307.1</v>
      </c>
      <c r="AC651" s="1" t="str">
        <f>VLOOKUP(A651,[1]Detalle!$D$2:$CW$484,98,FALSE)</f>
        <v>Expreso - Servicios Troncales</v>
      </c>
    </row>
    <row r="652" spans="1:29" ht="14.25" customHeight="1" x14ac:dyDescent="0.3">
      <c r="A652" s="1" t="s">
        <v>228</v>
      </c>
      <c r="B652" s="1" t="s">
        <v>446</v>
      </c>
      <c r="C652" s="1" t="s">
        <v>443</v>
      </c>
      <c r="D652" s="1" t="s">
        <v>428</v>
      </c>
      <c r="E652" s="1">
        <v>0.75</v>
      </c>
      <c r="F652" s="1" t="s">
        <v>329</v>
      </c>
      <c r="G652" s="6">
        <v>45678</v>
      </c>
      <c r="H652" s="1">
        <v>799717</v>
      </c>
      <c r="I652" s="1">
        <v>829717</v>
      </c>
      <c r="J652" s="1">
        <v>57283.27</v>
      </c>
      <c r="K652" s="1">
        <v>-27283.27</v>
      </c>
      <c r="L652" s="1">
        <v>857000.27</v>
      </c>
      <c r="M652" s="1">
        <v>269</v>
      </c>
      <c r="N652" s="1">
        <v>232.68261029411761</v>
      </c>
      <c r="O652" s="1">
        <v>-128.12117098063709</v>
      </c>
      <c r="P652" s="7">
        <v>45947</v>
      </c>
      <c r="Q652" s="1">
        <v>30000</v>
      </c>
      <c r="R652" s="7">
        <v>46075.930993009257</v>
      </c>
      <c r="S652" s="7">
        <v>46075</v>
      </c>
      <c r="T652" s="7" t="str">
        <f t="shared" si="0"/>
        <v>febrero</v>
      </c>
      <c r="U652" s="1" t="s">
        <v>330</v>
      </c>
      <c r="X652" s="1" t="s">
        <v>444</v>
      </c>
      <c r="Y652" s="1" t="s">
        <v>445</v>
      </c>
      <c r="Z652" s="1">
        <v>1</v>
      </c>
      <c r="AA652" s="3">
        <v>42100</v>
      </c>
      <c r="AB652" s="3">
        <v>42100</v>
      </c>
      <c r="AC652" s="1" t="str">
        <f>VLOOKUP(A652,[1]Detalle!$D$2:$CW$484,98,FALSE)</f>
        <v>Expreso - Servicios Troncales</v>
      </c>
    </row>
    <row r="653" spans="1:29" ht="14.25" customHeight="1" x14ac:dyDescent="0.3">
      <c r="A653" s="1" t="s">
        <v>270</v>
      </c>
      <c r="B653" s="1" t="s">
        <v>447</v>
      </c>
      <c r="C653" s="1" t="s">
        <v>448</v>
      </c>
      <c r="D653" s="1" t="s">
        <v>428</v>
      </c>
      <c r="E653" s="1">
        <v>0.75</v>
      </c>
      <c r="F653" s="1" t="s">
        <v>329</v>
      </c>
      <c r="G653" s="6">
        <v>45891</v>
      </c>
      <c r="H653" s="1">
        <v>1737584</v>
      </c>
      <c r="I653" s="1">
        <v>1767584</v>
      </c>
      <c r="J653" s="1">
        <v>15736.9</v>
      </c>
      <c r="K653" s="1">
        <v>14263.1</v>
      </c>
      <c r="L653" s="1">
        <v>1753320.9</v>
      </c>
      <c r="M653" s="1">
        <v>56</v>
      </c>
      <c r="N653" s="1">
        <v>1736.2685719557189</v>
      </c>
      <c r="O653" s="1">
        <v>50.755460096969557</v>
      </c>
      <c r="P653" s="7">
        <v>45947</v>
      </c>
      <c r="Q653" s="1">
        <v>30000</v>
      </c>
      <c r="R653" s="7">
        <v>46032.312325879633</v>
      </c>
      <c r="S653" s="7">
        <v>46032</v>
      </c>
      <c r="T653" s="7" t="str">
        <f t="shared" si="0"/>
        <v>enero</v>
      </c>
      <c r="U653" s="1" t="s">
        <v>330</v>
      </c>
      <c r="X653" s="1" t="s">
        <v>331</v>
      </c>
      <c r="Y653" s="1" t="s">
        <v>332</v>
      </c>
      <c r="Z653" s="1">
        <v>39</v>
      </c>
      <c r="AA653" s="3">
        <v>3389.9</v>
      </c>
      <c r="AB653" s="3">
        <v>132206.1</v>
      </c>
      <c r="AC653" s="1" t="str">
        <f>VLOOKUP(A653,[1]Detalle!$D$2:$CW$484,98,FALSE)</f>
        <v>Expreso - Servicios Troncales</v>
      </c>
    </row>
    <row r="654" spans="1:29" ht="14.25" customHeight="1" x14ac:dyDescent="0.3">
      <c r="A654" s="1" t="s">
        <v>270</v>
      </c>
      <c r="B654" s="1" t="s">
        <v>447</v>
      </c>
      <c r="C654" s="1" t="s">
        <v>448</v>
      </c>
      <c r="D654" s="1" t="s">
        <v>428</v>
      </c>
      <c r="E654" s="1">
        <v>0.75</v>
      </c>
      <c r="F654" s="1" t="s">
        <v>329</v>
      </c>
      <c r="G654" s="6">
        <v>45891</v>
      </c>
      <c r="H654" s="1">
        <v>1737584</v>
      </c>
      <c r="I654" s="1">
        <v>1767584</v>
      </c>
      <c r="J654" s="1">
        <v>15736.9</v>
      </c>
      <c r="K654" s="1">
        <v>14263.1</v>
      </c>
      <c r="L654" s="1">
        <v>1753320.9</v>
      </c>
      <c r="M654" s="1">
        <v>56</v>
      </c>
      <c r="N654" s="1">
        <v>1736.2685719557189</v>
      </c>
      <c r="O654" s="1">
        <v>50.755460096969557</v>
      </c>
      <c r="P654" s="7">
        <v>45947</v>
      </c>
      <c r="Q654" s="1">
        <v>30000</v>
      </c>
      <c r="R654" s="7">
        <v>46032.312325879633</v>
      </c>
      <c r="S654" s="7">
        <v>46032</v>
      </c>
      <c r="T654" s="7" t="str">
        <f t="shared" si="0"/>
        <v>enero</v>
      </c>
      <c r="U654" s="1" t="s">
        <v>330</v>
      </c>
      <c r="X654" s="1" t="s">
        <v>449</v>
      </c>
      <c r="Y654" s="1" t="s">
        <v>450</v>
      </c>
      <c r="Z654" s="1">
        <v>1</v>
      </c>
      <c r="AA654" s="3">
        <v>17623.68</v>
      </c>
      <c r="AB654" s="3">
        <v>17623.68</v>
      </c>
      <c r="AC654" s="1" t="str">
        <f>VLOOKUP(A654,[1]Detalle!$D$2:$CW$484,98,FALSE)</f>
        <v>Expreso - Servicios Troncales</v>
      </c>
    </row>
    <row r="655" spans="1:29" ht="14.25" customHeight="1" x14ac:dyDescent="0.3">
      <c r="A655" s="1" t="s">
        <v>221</v>
      </c>
      <c r="B655" s="1" t="s">
        <v>427</v>
      </c>
      <c r="C655" s="1" t="s">
        <v>451</v>
      </c>
      <c r="D655" s="1" t="s">
        <v>451</v>
      </c>
      <c r="E655" s="1">
        <v>0.5</v>
      </c>
      <c r="F655" s="1" t="s">
        <v>344</v>
      </c>
      <c r="G655" s="6">
        <v>45818</v>
      </c>
      <c r="H655" s="1">
        <v>1516521</v>
      </c>
      <c r="I655" s="1">
        <v>1546521</v>
      </c>
      <c r="J655" s="1">
        <v>14102</v>
      </c>
      <c r="K655" s="1">
        <v>15898</v>
      </c>
      <c r="L655" s="1">
        <v>1530623</v>
      </c>
      <c r="M655" s="1">
        <v>129</v>
      </c>
      <c r="N655" s="1">
        <v>150.71646840148699</v>
      </c>
      <c r="O655" s="1">
        <v>145.4291589845412</v>
      </c>
      <c r="P655" s="7">
        <v>45947</v>
      </c>
      <c r="Q655" s="1">
        <v>30000</v>
      </c>
      <c r="R655" s="7">
        <v>46092.429158981482</v>
      </c>
      <c r="S655" s="7">
        <v>46092</v>
      </c>
      <c r="T655" s="7" t="str">
        <f t="shared" si="0"/>
        <v>marzo</v>
      </c>
      <c r="U655" s="1" t="s">
        <v>330</v>
      </c>
      <c r="X655" s="1" t="s">
        <v>345</v>
      </c>
      <c r="Y655" s="1" t="s">
        <v>346</v>
      </c>
      <c r="Z655" s="1">
        <v>1</v>
      </c>
      <c r="AA655" s="3">
        <v>10535.04</v>
      </c>
      <c r="AB655" s="3">
        <v>10535.04</v>
      </c>
      <c r="AC655" s="1" t="str">
        <f>VLOOKUP(A655,[1]Detalle!$D$2:$CW$484,98,FALSE)</f>
        <v>ADA_CH - Danone Arg. S.A. - Chascomus</v>
      </c>
    </row>
    <row r="656" spans="1:29" ht="14.25" customHeight="1" x14ac:dyDescent="0.3">
      <c r="A656" s="1" t="s">
        <v>221</v>
      </c>
      <c r="B656" s="1" t="s">
        <v>427</v>
      </c>
      <c r="C656" s="1" t="s">
        <v>451</v>
      </c>
      <c r="D656" s="1" t="s">
        <v>451</v>
      </c>
      <c r="E656" s="1">
        <v>0.5</v>
      </c>
      <c r="F656" s="1" t="s">
        <v>344</v>
      </c>
      <c r="G656" s="6">
        <v>45818</v>
      </c>
      <c r="H656" s="1">
        <v>1516521</v>
      </c>
      <c r="I656" s="1">
        <v>1546521</v>
      </c>
      <c r="J656" s="1">
        <v>14102</v>
      </c>
      <c r="K656" s="1">
        <v>15898</v>
      </c>
      <c r="L656" s="1">
        <v>1530623</v>
      </c>
      <c r="M656" s="1">
        <v>129</v>
      </c>
      <c r="N656" s="1">
        <v>150.71646840148699</v>
      </c>
      <c r="O656" s="1">
        <v>145.4291589845412</v>
      </c>
      <c r="P656" s="7">
        <v>45947</v>
      </c>
      <c r="Q656" s="1">
        <v>30000</v>
      </c>
      <c r="R656" s="7">
        <v>46092.429158981482</v>
      </c>
      <c r="S656" s="7">
        <v>46092</v>
      </c>
      <c r="T656" s="7" t="str">
        <f t="shared" si="0"/>
        <v>marzo</v>
      </c>
      <c r="U656" s="1" t="s">
        <v>330</v>
      </c>
      <c r="X656" s="1" t="s">
        <v>452</v>
      </c>
      <c r="Y656" s="1" t="s">
        <v>453</v>
      </c>
      <c r="Z656" s="1">
        <v>1</v>
      </c>
      <c r="AA656" s="3">
        <v>13118.81</v>
      </c>
      <c r="AB656" s="3">
        <v>13118.81</v>
      </c>
      <c r="AC656" s="1" t="str">
        <f>VLOOKUP(A656,[1]Detalle!$D$2:$CW$484,98,FALSE)</f>
        <v>ADA_CH - Danone Arg. S.A. - Chascomus</v>
      </c>
    </row>
    <row r="657" spans="1:29" ht="14.25" customHeight="1" x14ac:dyDescent="0.3">
      <c r="A657" s="1" t="s">
        <v>30</v>
      </c>
      <c r="B657" s="1" t="s">
        <v>429</v>
      </c>
      <c r="C657" s="1" t="s">
        <v>451</v>
      </c>
      <c r="D657" s="1" t="s">
        <v>451</v>
      </c>
      <c r="E657" s="1">
        <v>0.5</v>
      </c>
      <c r="F657" s="1" t="s">
        <v>344</v>
      </c>
      <c r="G657" s="6">
        <v>45923</v>
      </c>
      <c r="H657" s="1">
        <v>452616</v>
      </c>
      <c r="I657" s="1">
        <v>482616</v>
      </c>
      <c r="J657" s="1">
        <v>2109</v>
      </c>
      <c r="K657" s="1">
        <v>27891</v>
      </c>
      <c r="L657" s="1">
        <v>454725</v>
      </c>
      <c r="M657" s="1">
        <v>24</v>
      </c>
      <c r="N657" s="1">
        <v>273.98136531365333</v>
      </c>
      <c r="O657" s="1">
        <v>317.39402560455193</v>
      </c>
      <c r="P657" s="7">
        <v>45947</v>
      </c>
      <c r="Q657" s="1">
        <v>30000</v>
      </c>
      <c r="R657" s="7">
        <v>46264.394025601847</v>
      </c>
      <c r="S657" s="7">
        <v>46264</v>
      </c>
      <c r="T657" s="7" t="str">
        <f t="shared" si="0"/>
        <v>agosto</v>
      </c>
      <c r="U657" s="1" t="s">
        <v>330</v>
      </c>
      <c r="X657" s="1" t="s">
        <v>345</v>
      </c>
      <c r="Y657" s="1" t="s">
        <v>346</v>
      </c>
      <c r="Z657" s="1">
        <v>1</v>
      </c>
      <c r="AA657" s="3">
        <v>10535.04</v>
      </c>
      <c r="AB657" s="3">
        <v>10535.04</v>
      </c>
      <c r="AC657" s="1" t="str">
        <f>VLOOKUP(A657,[1]Detalle!$D$2:$CW$484,98,FALSE)</f>
        <v>ADA_CH - Danone Arg. S.A. - Chascomus</v>
      </c>
    </row>
    <row r="658" spans="1:29" ht="14.25" customHeight="1" x14ac:dyDescent="0.3">
      <c r="A658" s="1" t="s">
        <v>30</v>
      </c>
      <c r="B658" s="1" t="s">
        <v>429</v>
      </c>
      <c r="C658" s="1" t="s">
        <v>451</v>
      </c>
      <c r="D658" s="1" t="s">
        <v>451</v>
      </c>
      <c r="E658" s="1">
        <v>0.5</v>
      </c>
      <c r="F658" s="1" t="s">
        <v>344</v>
      </c>
      <c r="G658" s="6">
        <v>45923</v>
      </c>
      <c r="H658" s="1">
        <v>452616</v>
      </c>
      <c r="I658" s="1">
        <v>482616</v>
      </c>
      <c r="J658" s="1">
        <v>2109</v>
      </c>
      <c r="K658" s="1">
        <v>27891</v>
      </c>
      <c r="L658" s="1">
        <v>454725</v>
      </c>
      <c r="M658" s="1">
        <v>24</v>
      </c>
      <c r="N658" s="1">
        <v>273.98136531365333</v>
      </c>
      <c r="O658" s="1">
        <v>317.39402560455193</v>
      </c>
      <c r="P658" s="7">
        <v>45947</v>
      </c>
      <c r="Q658" s="1">
        <v>30000</v>
      </c>
      <c r="R658" s="7">
        <v>46264.394025601847</v>
      </c>
      <c r="S658" s="7">
        <v>46264</v>
      </c>
      <c r="T658" s="7" t="str">
        <f t="shared" si="0"/>
        <v>agosto</v>
      </c>
      <c r="U658" s="1" t="s">
        <v>330</v>
      </c>
      <c r="X658" s="1" t="s">
        <v>452</v>
      </c>
      <c r="Y658" s="1" t="s">
        <v>453</v>
      </c>
      <c r="Z658" s="1">
        <v>1</v>
      </c>
      <c r="AA658" s="3">
        <v>13118.81</v>
      </c>
      <c r="AB658" s="3">
        <v>13118.81</v>
      </c>
      <c r="AC658" s="1" t="str">
        <f>VLOOKUP(A658,[1]Detalle!$D$2:$CW$484,98,FALSE)</f>
        <v>ADA_CH - Danone Arg. S.A. - Chascomus</v>
      </c>
    </row>
    <row r="659" spans="1:29" ht="14.25" customHeight="1" x14ac:dyDescent="0.3">
      <c r="A659" s="1" t="s">
        <v>32</v>
      </c>
      <c r="B659" s="1" t="s">
        <v>429</v>
      </c>
      <c r="C659" s="1" t="s">
        <v>451</v>
      </c>
      <c r="D659" s="1" t="s">
        <v>451</v>
      </c>
      <c r="E659" s="1">
        <v>0.5</v>
      </c>
      <c r="F659" s="1" t="s">
        <v>344</v>
      </c>
      <c r="G659" s="6">
        <v>45792</v>
      </c>
      <c r="H659" s="1">
        <v>308369</v>
      </c>
      <c r="I659" s="1">
        <v>338369</v>
      </c>
      <c r="J659" s="1">
        <v>18849.799999999988</v>
      </c>
      <c r="K659" s="1">
        <v>11150.20000000001</v>
      </c>
      <c r="L659" s="1">
        <v>327218.8</v>
      </c>
      <c r="M659" s="1">
        <v>155</v>
      </c>
      <c r="N659" s="1">
        <v>189.65078066914509</v>
      </c>
      <c r="O659" s="1">
        <v>91.686967500981538</v>
      </c>
      <c r="P659" s="7">
        <v>45947</v>
      </c>
      <c r="Q659" s="1">
        <v>30000</v>
      </c>
      <c r="R659" s="7">
        <v>46038.686967499998</v>
      </c>
      <c r="S659" s="7">
        <v>46038</v>
      </c>
      <c r="T659" s="7" t="str">
        <f t="shared" si="0"/>
        <v>enero</v>
      </c>
      <c r="U659" s="1" t="s">
        <v>330</v>
      </c>
      <c r="X659" s="1" t="s">
        <v>345</v>
      </c>
      <c r="Y659" s="1" t="s">
        <v>346</v>
      </c>
      <c r="Z659" s="1">
        <v>1</v>
      </c>
      <c r="AA659" s="3">
        <v>10535.04</v>
      </c>
      <c r="AB659" s="3">
        <v>10535.04</v>
      </c>
      <c r="AC659" s="1" t="str">
        <f>VLOOKUP(A659,[1]Detalle!$D$2:$CW$484,98,FALSE)</f>
        <v>ADA_CH - Danone Arg. S.A. - Chascomus</v>
      </c>
    </row>
    <row r="660" spans="1:29" ht="14.25" customHeight="1" x14ac:dyDescent="0.3">
      <c r="A660" s="1" t="s">
        <v>32</v>
      </c>
      <c r="B660" s="1" t="s">
        <v>429</v>
      </c>
      <c r="C660" s="1" t="s">
        <v>451</v>
      </c>
      <c r="D660" s="1" t="s">
        <v>451</v>
      </c>
      <c r="E660" s="1">
        <v>0.5</v>
      </c>
      <c r="F660" s="1" t="s">
        <v>344</v>
      </c>
      <c r="G660" s="6">
        <v>45792</v>
      </c>
      <c r="H660" s="1">
        <v>308369</v>
      </c>
      <c r="I660" s="1">
        <v>338369</v>
      </c>
      <c r="J660" s="1">
        <v>18849.799999999988</v>
      </c>
      <c r="K660" s="1">
        <v>11150.20000000001</v>
      </c>
      <c r="L660" s="1">
        <v>327218.8</v>
      </c>
      <c r="M660" s="1">
        <v>155</v>
      </c>
      <c r="N660" s="1">
        <v>189.65078066914509</v>
      </c>
      <c r="O660" s="1">
        <v>91.686967500981538</v>
      </c>
      <c r="P660" s="7">
        <v>45947</v>
      </c>
      <c r="Q660" s="1">
        <v>30000</v>
      </c>
      <c r="R660" s="7">
        <v>46038.686967499998</v>
      </c>
      <c r="S660" s="7">
        <v>46038</v>
      </c>
      <c r="T660" s="7" t="str">
        <f t="shared" si="0"/>
        <v>enero</v>
      </c>
      <c r="U660" s="1" t="s">
        <v>330</v>
      </c>
      <c r="X660" s="1" t="s">
        <v>452</v>
      </c>
      <c r="Y660" s="1" t="s">
        <v>453</v>
      </c>
      <c r="Z660" s="1">
        <v>1</v>
      </c>
      <c r="AA660" s="3">
        <v>13118.81</v>
      </c>
      <c r="AB660" s="3">
        <v>13118.81</v>
      </c>
      <c r="AC660" s="1" t="str">
        <f>VLOOKUP(A660,[1]Detalle!$D$2:$CW$484,98,FALSE)</f>
        <v>ADA_CH - Danone Arg. S.A. - Chascomus</v>
      </c>
    </row>
    <row r="661" spans="1:29" ht="14.25" customHeight="1" x14ac:dyDescent="0.3">
      <c r="A661" s="1" t="s">
        <v>70</v>
      </c>
      <c r="B661" s="1" t="s">
        <v>430</v>
      </c>
      <c r="C661" s="1" t="s">
        <v>451</v>
      </c>
      <c r="D661" s="1" t="s">
        <v>451</v>
      </c>
      <c r="E661" s="1">
        <v>0.5</v>
      </c>
      <c r="F661" s="1" t="s">
        <v>344</v>
      </c>
      <c r="G661" s="6">
        <v>45912</v>
      </c>
      <c r="H661" s="1">
        <v>350551</v>
      </c>
      <c r="I661" s="1">
        <v>380551</v>
      </c>
      <c r="J661" s="1">
        <v>5928.8000000000011</v>
      </c>
      <c r="K661" s="1">
        <v>24071.200000000001</v>
      </c>
      <c r="L661" s="1">
        <v>356479.8</v>
      </c>
      <c r="M661" s="1">
        <v>35</v>
      </c>
      <c r="N661" s="1">
        <v>252.63896296296281</v>
      </c>
      <c r="O661" s="1">
        <v>142.10160572122521</v>
      </c>
      <c r="P661" s="7">
        <v>45947</v>
      </c>
      <c r="Q661" s="1">
        <v>30000</v>
      </c>
      <c r="R661" s="7">
        <v>46089.101605717588</v>
      </c>
      <c r="S661" s="7">
        <v>46089</v>
      </c>
      <c r="T661" s="7" t="str">
        <f t="shared" si="0"/>
        <v>marzo</v>
      </c>
      <c r="U661" s="1" t="s">
        <v>330</v>
      </c>
      <c r="X661" s="1" t="s">
        <v>345</v>
      </c>
      <c r="Y661" s="1" t="s">
        <v>346</v>
      </c>
      <c r="Z661" s="1">
        <v>1</v>
      </c>
      <c r="AA661" s="3">
        <v>10535.04</v>
      </c>
      <c r="AB661" s="3">
        <v>10535.04</v>
      </c>
      <c r="AC661" s="1" t="str">
        <f>VLOOKUP(A661,[1]Detalle!$D$2:$CW$484,98,FALSE)</f>
        <v>ADA_CH - Danone Arg. S.A. - Chascomus</v>
      </c>
    </row>
    <row r="662" spans="1:29" ht="14.25" customHeight="1" x14ac:dyDescent="0.3">
      <c r="A662" s="1" t="s">
        <v>70</v>
      </c>
      <c r="B662" s="1" t="s">
        <v>430</v>
      </c>
      <c r="C662" s="1" t="s">
        <v>451</v>
      </c>
      <c r="D662" s="1" t="s">
        <v>451</v>
      </c>
      <c r="E662" s="1">
        <v>0.5</v>
      </c>
      <c r="F662" s="1" t="s">
        <v>344</v>
      </c>
      <c r="G662" s="6">
        <v>45912</v>
      </c>
      <c r="H662" s="1">
        <v>350551</v>
      </c>
      <c r="I662" s="1">
        <v>380551</v>
      </c>
      <c r="J662" s="1">
        <v>5928.8000000000011</v>
      </c>
      <c r="K662" s="1">
        <v>24071.200000000001</v>
      </c>
      <c r="L662" s="1">
        <v>356479.8</v>
      </c>
      <c r="M662" s="1">
        <v>35</v>
      </c>
      <c r="N662" s="1">
        <v>252.63896296296281</v>
      </c>
      <c r="O662" s="1">
        <v>142.10160572122521</v>
      </c>
      <c r="P662" s="7">
        <v>45947</v>
      </c>
      <c r="Q662" s="1">
        <v>30000</v>
      </c>
      <c r="R662" s="7">
        <v>46089.101605717588</v>
      </c>
      <c r="S662" s="7">
        <v>46089</v>
      </c>
      <c r="T662" s="7" t="str">
        <f t="shared" si="0"/>
        <v>marzo</v>
      </c>
      <c r="U662" s="1" t="s">
        <v>330</v>
      </c>
      <c r="X662" s="1" t="s">
        <v>452</v>
      </c>
      <c r="Y662" s="1" t="s">
        <v>453</v>
      </c>
      <c r="Z662" s="1">
        <v>1</v>
      </c>
      <c r="AA662" s="3">
        <v>13118.81</v>
      </c>
      <c r="AB662" s="3">
        <v>13118.81</v>
      </c>
      <c r="AC662" s="1" t="str">
        <f>VLOOKUP(A662,[1]Detalle!$D$2:$CW$484,98,FALSE)</f>
        <v>ADA_CH - Danone Arg. S.A. - Chascomus</v>
      </c>
    </row>
    <row r="663" spans="1:29" ht="14.25" customHeight="1" x14ac:dyDescent="0.3">
      <c r="A663" s="1" t="s">
        <v>77</v>
      </c>
      <c r="B663" s="1" t="s">
        <v>430</v>
      </c>
      <c r="C663" s="1" t="s">
        <v>451</v>
      </c>
      <c r="D663" s="1" t="s">
        <v>451</v>
      </c>
      <c r="E663" s="1">
        <v>0.5</v>
      </c>
      <c r="F663" s="1" t="s">
        <v>344</v>
      </c>
      <c r="G663" s="6">
        <v>45783</v>
      </c>
      <c r="H663" s="1">
        <v>54070.5</v>
      </c>
      <c r="I663" s="1">
        <v>84070.5</v>
      </c>
      <c r="J663" s="1">
        <v>14641.70000000001</v>
      </c>
      <c r="K663" s="1">
        <v>15358.29999999999</v>
      </c>
      <c r="L663" s="1">
        <v>68712.200000000012</v>
      </c>
      <c r="M663" s="1">
        <v>164</v>
      </c>
      <c r="N663" s="1">
        <v>78.920809061488711</v>
      </c>
      <c r="O663" s="1">
        <v>172.02655429355869</v>
      </c>
      <c r="P663" s="7">
        <v>45947</v>
      </c>
      <c r="Q663" s="1">
        <v>30000</v>
      </c>
      <c r="R663" s="7">
        <v>46119.026554293981</v>
      </c>
      <c r="S663" s="7">
        <v>46119</v>
      </c>
      <c r="T663" s="7" t="str">
        <f t="shared" si="0"/>
        <v>abril</v>
      </c>
      <c r="U663" s="1" t="s">
        <v>330</v>
      </c>
      <c r="X663" s="1" t="s">
        <v>345</v>
      </c>
      <c r="Y663" s="1" t="s">
        <v>346</v>
      </c>
      <c r="Z663" s="1">
        <v>1</v>
      </c>
      <c r="AA663" s="3">
        <v>10535.04</v>
      </c>
      <c r="AB663" s="3">
        <v>10535.04</v>
      </c>
      <c r="AC663" s="1" t="str">
        <f>VLOOKUP(A663,[1]Detalle!$D$2:$CW$484,98,FALSE)</f>
        <v>Arcor S.A.I.C.</v>
      </c>
    </row>
    <row r="664" spans="1:29" ht="14.25" customHeight="1" x14ac:dyDescent="0.3">
      <c r="A664" s="1" t="s">
        <v>77</v>
      </c>
      <c r="B664" s="1" t="s">
        <v>430</v>
      </c>
      <c r="C664" s="1" t="s">
        <v>451</v>
      </c>
      <c r="D664" s="1" t="s">
        <v>451</v>
      </c>
      <c r="E664" s="1">
        <v>0.5</v>
      </c>
      <c r="F664" s="1" t="s">
        <v>344</v>
      </c>
      <c r="G664" s="6">
        <v>45783</v>
      </c>
      <c r="H664" s="1">
        <v>54070.5</v>
      </c>
      <c r="I664" s="1">
        <v>84070.5</v>
      </c>
      <c r="J664" s="1">
        <v>14641.70000000001</v>
      </c>
      <c r="K664" s="1">
        <v>15358.29999999999</v>
      </c>
      <c r="L664" s="1">
        <v>68712.200000000012</v>
      </c>
      <c r="M664" s="1">
        <v>164</v>
      </c>
      <c r="N664" s="1">
        <v>78.920809061488711</v>
      </c>
      <c r="O664" s="1">
        <v>172.02655429355869</v>
      </c>
      <c r="P664" s="7">
        <v>45947</v>
      </c>
      <c r="Q664" s="1">
        <v>30000</v>
      </c>
      <c r="R664" s="7">
        <v>46119.026554293981</v>
      </c>
      <c r="S664" s="7">
        <v>46119</v>
      </c>
      <c r="T664" s="7" t="str">
        <f t="shared" si="0"/>
        <v>abril</v>
      </c>
      <c r="U664" s="1" t="s">
        <v>330</v>
      </c>
      <c r="X664" s="1" t="s">
        <v>452</v>
      </c>
      <c r="Y664" s="1" t="s">
        <v>453</v>
      </c>
      <c r="Z664" s="1">
        <v>1</v>
      </c>
      <c r="AA664" s="3">
        <v>13118.81</v>
      </c>
      <c r="AB664" s="3">
        <v>13118.81</v>
      </c>
      <c r="AC664" s="1" t="str">
        <f>VLOOKUP(A664,[1]Detalle!$D$2:$CW$484,98,FALSE)</f>
        <v>Arcor S.A.I.C.</v>
      </c>
    </row>
    <row r="665" spans="1:29" ht="14.25" customHeight="1" x14ac:dyDescent="0.3">
      <c r="A665" s="1" t="s">
        <v>86</v>
      </c>
      <c r="B665" s="1" t="s">
        <v>431</v>
      </c>
      <c r="C665" s="1" t="s">
        <v>451</v>
      </c>
      <c r="D665" s="1" t="s">
        <v>451</v>
      </c>
      <c r="E665" s="1">
        <v>0.5</v>
      </c>
      <c r="F665" s="1" t="s">
        <v>344</v>
      </c>
      <c r="G665" s="6">
        <v>45764</v>
      </c>
      <c r="H665" s="1">
        <v>52929.7</v>
      </c>
      <c r="I665" s="1">
        <v>82929.7</v>
      </c>
      <c r="J665" s="1">
        <v>13599.899999999991</v>
      </c>
      <c r="K665" s="1">
        <v>16400.100000000009</v>
      </c>
      <c r="L665" s="1">
        <v>66529.599999999991</v>
      </c>
      <c r="M665" s="1">
        <v>183</v>
      </c>
      <c r="N665" s="1">
        <v>74.356479400749095</v>
      </c>
      <c r="O665" s="1">
        <v>220.6794388194032</v>
      </c>
      <c r="P665" s="7">
        <v>45947</v>
      </c>
      <c r="Q665" s="1">
        <v>30000</v>
      </c>
      <c r="R665" s="7">
        <v>46167.679438819447</v>
      </c>
      <c r="S665" s="7">
        <v>46167</v>
      </c>
      <c r="T665" s="7" t="str">
        <f t="shared" si="0"/>
        <v>mayo</v>
      </c>
      <c r="U665" s="1" t="s">
        <v>330</v>
      </c>
      <c r="X665" s="1" t="s">
        <v>345</v>
      </c>
      <c r="Y665" s="1" t="s">
        <v>346</v>
      </c>
      <c r="Z665" s="1">
        <v>1</v>
      </c>
      <c r="AA665" s="3">
        <v>10535.04</v>
      </c>
      <c r="AB665" s="3">
        <v>10535.04</v>
      </c>
      <c r="AC665" s="1" t="str">
        <f>VLOOKUP(A665,[1]Detalle!$D$2:$CW$484,98,FALSE)</f>
        <v>Arcor S.A.I.C.</v>
      </c>
    </row>
    <row r="666" spans="1:29" ht="14.25" customHeight="1" x14ac:dyDescent="0.3">
      <c r="A666" s="1" t="s">
        <v>86</v>
      </c>
      <c r="B666" s="1" t="s">
        <v>431</v>
      </c>
      <c r="C666" s="1" t="s">
        <v>451</v>
      </c>
      <c r="D666" s="1" t="s">
        <v>451</v>
      </c>
      <c r="E666" s="1">
        <v>0.5</v>
      </c>
      <c r="F666" s="1" t="s">
        <v>344</v>
      </c>
      <c r="G666" s="6">
        <v>45764</v>
      </c>
      <c r="H666" s="1">
        <v>52929.7</v>
      </c>
      <c r="I666" s="1">
        <v>82929.7</v>
      </c>
      <c r="J666" s="1">
        <v>13599.899999999991</v>
      </c>
      <c r="K666" s="1">
        <v>16400.100000000009</v>
      </c>
      <c r="L666" s="1">
        <v>66529.599999999991</v>
      </c>
      <c r="M666" s="1">
        <v>183</v>
      </c>
      <c r="N666" s="1">
        <v>74.356479400749095</v>
      </c>
      <c r="O666" s="1">
        <v>220.6794388194032</v>
      </c>
      <c r="P666" s="7">
        <v>45947</v>
      </c>
      <c r="Q666" s="1">
        <v>30000</v>
      </c>
      <c r="R666" s="7">
        <v>46167.679438819447</v>
      </c>
      <c r="S666" s="7">
        <v>46167</v>
      </c>
      <c r="T666" s="7" t="str">
        <f t="shared" si="0"/>
        <v>mayo</v>
      </c>
      <c r="U666" s="1" t="s">
        <v>330</v>
      </c>
      <c r="X666" s="1" t="s">
        <v>452</v>
      </c>
      <c r="Y666" s="1" t="s">
        <v>453</v>
      </c>
      <c r="Z666" s="1">
        <v>1</v>
      </c>
      <c r="AA666" s="3">
        <v>13118.81</v>
      </c>
      <c r="AB666" s="3">
        <v>13118.81</v>
      </c>
      <c r="AC666" s="1" t="str">
        <f>VLOOKUP(A666,[1]Detalle!$D$2:$CW$484,98,FALSE)</f>
        <v>Arcor S.A.I.C.</v>
      </c>
    </row>
    <row r="667" spans="1:29" ht="14.25" customHeight="1" x14ac:dyDescent="0.3">
      <c r="A667" s="1" t="s">
        <v>85</v>
      </c>
      <c r="B667" s="1" t="s">
        <v>431</v>
      </c>
      <c r="C667" s="1" t="s">
        <v>451</v>
      </c>
      <c r="D667" s="1" t="s">
        <v>451</v>
      </c>
      <c r="E667" s="1">
        <v>0.5</v>
      </c>
      <c r="F667" s="1" t="s">
        <v>344</v>
      </c>
      <c r="G667" s="6">
        <v>45609</v>
      </c>
      <c r="H667" s="1">
        <v>55539.8</v>
      </c>
      <c r="I667" s="1">
        <v>85539.8</v>
      </c>
      <c r="J667" s="1">
        <v>23943.03000000001</v>
      </c>
      <c r="K667" s="1">
        <v>6056.9699999999939</v>
      </c>
      <c r="L667" s="1">
        <v>79482.830000000016</v>
      </c>
      <c r="M667" s="1">
        <v>338</v>
      </c>
      <c r="N667" s="1">
        <v>78.134555555555551</v>
      </c>
      <c r="O667" s="1">
        <v>85.505295695657452</v>
      </c>
      <c r="P667" s="7">
        <v>45947</v>
      </c>
      <c r="Q667" s="1">
        <v>30000</v>
      </c>
      <c r="R667" s="7">
        <v>46032.505295694442</v>
      </c>
      <c r="S667" s="7">
        <v>46032</v>
      </c>
      <c r="T667" s="7" t="str">
        <f t="shared" si="0"/>
        <v>enero</v>
      </c>
      <c r="U667" s="1" t="s">
        <v>330</v>
      </c>
      <c r="X667" s="1" t="s">
        <v>345</v>
      </c>
      <c r="Y667" s="1" t="s">
        <v>346</v>
      </c>
      <c r="Z667" s="1">
        <v>1</v>
      </c>
      <c r="AA667" s="3">
        <v>10535.04</v>
      </c>
      <c r="AB667" s="3">
        <v>10535.04</v>
      </c>
      <c r="AC667" s="1" t="str">
        <f>VLOOKUP(A667,[1]Detalle!$D$2:$CW$484,98,FALSE)</f>
        <v>Arcor S.A.I.C.</v>
      </c>
    </row>
    <row r="668" spans="1:29" ht="14.25" customHeight="1" x14ac:dyDescent="0.3">
      <c r="A668" s="1" t="s">
        <v>85</v>
      </c>
      <c r="B668" s="1" t="s">
        <v>431</v>
      </c>
      <c r="C668" s="1" t="s">
        <v>451</v>
      </c>
      <c r="D668" s="1" t="s">
        <v>451</v>
      </c>
      <c r="E668" s="1">
        <v>0.5</v>
      </c>
      <c r="F668" s="1" t="s">
        <v>344</v>
      </c>
      <c r="G668" s="6">
        <v>45609</v>
      </c>
      <c r="H668" s="1">
        <v>55539.8</v>
      </c>
      <c r="I668" s="1">
        <v>85539.8</v>
      </c>
      <c r="J668" s="1">
        <v>23943.03000000001</v>
      </c>
      <c r="K668" s="1">
        <v>6056.9699999999939</v>
      </c>
      <c r="L668" s="1">
        <v>79482.830000000016</v>
      </c>
      <c r="M668" s="1">
        <v>338</v>
      </c>
      <c r="N668" s="1">
        <v>78.134555555555551</v>
      </c>
      <c r="O668" s="1">
        <v>85.505295695657452</v>
      </c>
      <c r="P668" s="7">
        <v>45947</v>
      </c>
      <c r="Q668" s="1">
        <v>30000</v>
      </c>
      <c r="R668" s="7">
        <v>46032.505295694442</v>
      </c>
      <c r="S668" s="7">
        <v>46032</v>
      </c>
      <c r="T668" s="7" t="str">
        <f t="shared" si="0"/>
        <v>enero</v>
      </c>
      <c r="U668" s="1" t="s">
        <v>330</v>
      </c>
      <c r="X668" s="1" t="s">
        <v>452</v>
      </c>
      <c r="Y668" s="1" t="s">
        <v>453</v>
      </c>
      <c r="Z668" s="1">
        <v>1</v>
      </c>
      <c r="AA668" s="3">
        <v>13118.81</v>
      </c>
      <c r="AB668" s="3">
        <v>13118.81</v>
      </c>
      <c r="AC668" s="1" t="str">
        <f>VLOOKUP(A668,[1]Detalle!$D$2:$CW$484,98,FALSE)</f>
        <v>Arcor S.A.I.C.</v>
      </c>
    </row>
    <row r="669" spans="1:29" ht="14.25" customHeight="1" x14ac:dyDescent="0.3">
      <c r="A669" s="1" t="s">
        <v>93</v>
      </c>
      <c r="B669" s="1" t="s">
        <v>429</v>
      </c>
      <c r="C669" s="1" t="s">
        <v>451</v>
      </c>
      <c r="D669" s="1" t="s">
        <v>451</v>
      </c>
      <c r="E669" s="1">
        <v>0.5</v>
      </c>
      <c r="F669" s="1" t="s">
        <v>344</v>
      </c>
      <c r="G669" s="1" t="s">
        <v>337</v>
      </c>
      <c r="N669" s="1">
        <v>112.049667896679</v>
      </c>
      <c r="P669" s="7">
        <v>45947</v>
      </c>
      <c r="Q669" s="1">
        <v>30000</v>
      </c>
      <c r="R669" s="7">
        <v>46214.738410682869</v>
      </c>
      <c r="S669" s="7">
        <v>46214</v>
      </c>
      <c r="T669" s="7" t="str">
        <f t="shared" si="0"/>
        <v>julio</v>
      </c>
      <c r="U669" s="1" t="s">
        <v>330</v>
      </c>
      <c r="X669" s="1" t="s">
        <v>345</v>
      </c>
      <c r="Y669" s="1" t="s">
        <v>346</v>
      </c>
      <c r="Z669" s="1">
        <v>1</v>
      </c>
      <c r="AA669" s="3">
        <v>10535.04</v>
      </c>
      <c r="AB669" s="3">
        <v>10535.04</v>
      </c>
      <c r="AC669" s="1" t="str">
        <f>VLOOKUP(A669,[1]Detalle!$D$2:$CW$484,98,FALSE)</f>
        <v>Arcor S.A.I.C.</v>
      </c>
    </row>
    <row r="670" spans="1:29" ht="14.25" customHeight="1" x14ac:dyDescent="0.3">
      <c r="A670" s="1" t="s">
        <v>93</v>
      </c>
      <c r="B670" s="1" t="s">
        <v>429</v>
      </c>
      <c r="C670" s="1" t="s">
        <v>451</v>
      </c>
      <c r="D670" s="1" t="s">
        <v>451</v>
      </c>
      <c r="E670" s="1">
        <v>0.5</v>
      </c>
      <c r="F670" s="1" t="s">
        <v>344</v>
      </c>
      <c r="G670" s="1" t="s">
        <v>337</v>
      </c>
      <c r="N670" s="1">
        <v>112.049667896679</v>
      </c>
      <c r="P670" s="7">
        <v>45947</v>
      </c>
      <c r="Q670" s="1">
        <v>30000</v>
      </c>
      <c r="R670" s="7">
        <v>46214.738410682869</v>
      </c>
      <c r="S670" s="7">
        <v>46214</v>
      </c>
      <c r="T670" s="7" t="str">
        <f t="shared" si="0"/>
        <v>julio</v>
      </c>
      <c r="U670" s="1" t="s">
        <v>330</v>
      </c>
      <c r="X670" s="1" t="s">
        <v>452</v>
      </c>
      <c r="Y670" s="1" t="s">
        <v>453</v>
      </c>
      <c r="Z670" s="1">
        <v>1</v>
      </c>
      <c r="AA670" s="3">
        <v>13118.81</v>
      </c>
      <c r="AB670" s="3">
        <v>13118.81</v>
      </c>
      <c r="AC670" s="1" t="str">
        <f>VLOOKUP(A670,[1]Detalle!$D$2:$CW$484,98,FALSE)</f>
        <v>Arcor S.A.I.C.</v>
      </c>
    </row>
    <row r="671" spans="1:29" ht="14.25" customHeight="1" x14ac:dyDescent="0.3">
      <c r="A671" s="1" t="s">
        <v>19</v>
      </c>
      <c r="B671" s="1" t="s">
        <v>432</v>
      </c>
      <c r="C671" s="1" t="s">
        <v>451</v>
      </c>
      <c r="D671" s="1" t="s">
        <v>451</v>
      </c>
      <c r="E671" s="1">
        <v>0.5</v>
      </c>
      <c r="F671" s="1" t="s">
        <v>344</v>
      </c>
      <c r="G671" s="6">
        <v>45902</v>
      </c>
      <c r="H671" s="1">
        <v>542619</v>
      </c>
      <c r="I671" s="1">
        <v>572619</v>
      </c>
      <c r="J671" s="1">
        <v>9864.5000000000018</v>
      </c>
      <c r="K671" s="1">
        <v>20135.5</v>
      </c>
      <c r="L671" s="1">
        <v>552483.5</v>
      </c>
      <c r="M671" s="1">
        <v>45</v>
      </c>
      <c r="N671" s="1">
        <v>844.57346863468638</v>
      </c>
      <c r="O671" s="1">
        <v>91.85437680571745</v>
      </c>
      <c r="P671" s="7">
        <v>45947</v>
      </c>
      <c r="Q671" s="1">
        <v>30000</v>
      </c>
      <c r="R671" s="7">
        <v>46038.854376805553</v>
      </c>
      <c r="S671" s="7">
        <v>46038</v>
      </c>
      <c r="T671" s="7" t="str">
        <f t="shared" si="0"/>
        <v>enero</v>
      </c>
      <c r="U671" s="1" t="s">
        <v>330</v>
      </c>
      <c r="X671" s="1" t="s">
        <v>345</v>
      </c>
      <c r="Y671" s="1" t="s">
        <v>346</v>
      </c>
      <c r="Z671" s="1">
        <v>1</v>
      </c>
      <c r="AA671" s="3">
        <v>10535.04</v>
      </c>
      <c r="AB671" s="3">
        <v>10535.04</v>
      </c>
      <c r="AC671" s="1" t="str">
        <f>VLOOKUP(A671,[1]Detalle!$D$2:$CW$484,98,FALSE)</f>
        <v>CENCOMLD - Cencosud SA - Mendoza</v>
      </c>
    </row>
    <row r="672" spans="1:29" ht="14.25" customHeight="1" x14ac:dyDescent="0.3">
      <c r="A672" s="1" t="s">
        <v>19</v>
      </c>
      <c r="B672" s="1" t="s">
        <v>432</v>
      </c>
      <c r="C672" s="1" t="s">
        <v>451</v>
      </c>
      <c r="D672" s="1" t="s">
        <v>451</v>
      </c>
      <c r="E672" s="1">
        <v>0.5</v>
      </c>
      <c r="F672" s="1" t="s">
        <v>344</v>
      </c>
      <c r="G672" s="6">
        <v>45902</v>
      </c>
      <c r="H672" s="1">
        <v>542619</v>
      </c>
      <c r="I672" s="1">
        <v>572619</v>
      </c>
      <c r="J672" s="1">
        <v>9864.5000000000018</v>
      </c>
      <c r="K672" s="1">
        <v>20135.5</v>
      </c>
      <c r="L672" s="1">
        <v>552483.5</v>
      </c>
      <c r="M672" s="1">
        <v>45</v>
      </c>
      <c r="N672" s="1">
        <v>844.57346863468638</v>
      </c>
      <c r="O672" s="1">
        <v>91.85437680571745</v>
      </c>
      <c r="P672" s="7">
        <v>45947</v>
      </c>
      <c r="Q672" s="1">
        <v>30000</v>
      </c>
      <c r="R672" s="7">
        <v>46038.854376805553</v>
      </c>
      <c r="S672" s="7">
        <v>46038</v>
      </c>
      <c r="T672" s="7" t="str">
        <f t="shared" si="0"/>
        <v>enero</v>
      </c>
      <c r="U672" s="1" t="s">
        <v>330</v>
      </c>
      <c r="X672" s="1" t="s">
        <v>452</v>
      </c>
      <c r="Y672" s="1" t="s">
        <v>453</v>
      </c>
      <c r="Z672" s="1">
        <v>1</v>
      </c>
      <c r="AA672" s="3">
        <v>13118.81</v>
      </c>
      <c r="AB672" s="3">
        <v>13118.81</v>
      </c>
      <c r="AC672" s="1" t="str">
        <f>VLOOKUP(A672,[1]Detalle!$D$2:$CW$484,98,FALSE)</f>
        <v>CENCOMLD - Cencosud SA - Mendoza</v>
      </c>
    </row>
    <row r="673" spans="1:29" ht="14.25" customHeight="1" x14ac:dyDescent="0.3">
      <c r="A673" s="1" t="s">
        <v>31</v>
      </c>
      <c r="B673" s="1" t="s">
        <v>429</v>
      </c>
      <c r="C673" s="1" t="s">
        <v>451</v>
      </c>
      <c r="D673" s="1" t="s">
        <v>451</v>
      </c>
      <c r="E673" s="1">
        <v>0.5</v>
      </c>
      <c r="F673" s="1" t="s">
        <v>344</v>
      </c>
      <c r="G673" s="6">
        <v>45670</v>
      </c>
      <c r="H673" s="1">
        <v>26955.5</v>
      </c>
      <c r="I673" s="1">
        <v>56955.5</v>
      </c>
      <c r="J673" s="1">
        <v>25182.46000000001</v>
      </c>
      <c r="K673" s="1">
        <v>4817.53999999999</v>
      </c>
      <c r="L673" s="1">
        <v>52137.960000000006</v>
      </c>
      <c r="M673" s="1">
        <v>277</v>
      </c>
      <c r="N673" s="1">
        <v>102.90352941176479</v>
      </c>
      <c r="O673" s="1">
        <v>52.991589384039401</v>
      </c>
      <c r="P673" s="7">
        <v>45947</v>
      </c>
      <c r="Q673" s="1">
        <v>30000</v>
      </c>
      <c r="R673" s="7">
        <v>46291.526779398147</v>
      </c>
      <c r="S673" s="7">
        <v>46291</v>
      </c>
      <c r="T673" s="7" t="str">
        <f t="shared" si="0"/>
        <v>septiembre</v>
      </c>
      <c r="U673" s="1" t="s">
        <v>330</v>
      </c>
      <c r="X673" s="1" t="s">
        <v>345</v>
      </c>
      <c r="Y673" s="1" t="s">
        <v>346</v>
      </c>
      <c r="Z673" s="1">
        <v>1</v>
      </c>
      <c r="AA673" s="3">
        <v>10535.04</v>
      </c>
      <c r="AB673" s="3">
        <v>10535.04</v>
      </c>
      <c r="AC673" s="1" t="str">
        <f>VLOOKUP(A673,[1]Detalle!$D$2:$CW$484,98,FALSE)</f>
        <v>CENCOMLD - Cencosud SA - Mendoza</v>
      </c>
    </row>
    <row r="674" spans="1:29" ht="14.25" customHeight="1" x14ac:dyDescent="0.3">
      <c r="A674" s="1" t="s">
        <v>31</v>
      </c>
      <c r="B674" s="1" t="s">
        <v>429</v>
      </c>
      <c r="C674" s="1" t="s">
        <v>451</v>
      </c>
      <c r="D674" s="1" t="s">
        <v>451</v>
      </c>
      <c r="E674" s="1">
        <v>0.5</v>
      </c>
      <c r="F674" s="1" t="s">
        <v>344</v>
      </c>
      <c r="G674" s="6">
        <v>45670</v>
      </c>
      <c r="H674" s="1">
        <v>26955.5</v>
      </c>
      <c r="I674" s="1">
        <v>56955.5</v>
      </c>
      <c r="J674" s="1">
        <v>25182.46000000001</v>
      </c>
      <c r="K674" s="1">
        <v>4817.53999999999</v>
      </c>
      <c r="L674" s="1">
        <v>52137.960000000006</v>
      </c>
      <c r="M674" s="1">
        <v>277</v>
      </c>
      <c r="N674" s="1">
        <v>102.90352941176479</v>
      </c>
      <c r="O674" s="1">
        <v>52.991589384039401</v>
      </c>
      <c r="P674" s="7">
        <v>45947</v>
      </c>
      <c r="Q674" s="1">
        <v>30000</v>
      </c>
      <c r="R674" s="7">
        <v>46291.526779398147</v>
      </c>
      <c r="S674" s="7">
        <v>46291</v>
      </c>
      <c r="T674" s="7" t="str">
        <f t="shared" si="0"/>
        <v>septiembre</v>
      </c>
      <c r="U674" s="1" t="s">
        <v>330</v>
      </c>
      <c r="X674" s="1" t="s">
        <v>452</v>
      </c>
      <c r="Y674" s="1" t="s">
        <v>453</v>
      </c>
      <c r="Z674" s="1">
        <v>1</v>
      </c>
      <c r="AA674" s="3">
        <v>13118.81</v>
      </c>
      <c r="AB674" s="3">
        <v>13118.81</v>
      </c>
      <c r="AC674" s="1" t="str">
        <f>VLOOKUP(A674,[1]Detalle!$D$2:$CW$484,98,FALSE)</f>
        <v>CENCOMLD - Cencosud SA - Mendoza</v>
      </c>
    </row>
    <row r="675" spans="1:29" ht="14.25" customHeight="1" x14ac:dyDescent="0.3">
      <c r="A675" s="1" t="s">
        <v>35</v>
      </c>
      <c r="B675" s="1" t="s">
        <v>427</v>
      </c>
      <c r="C675" s="1" t="s">
        <v>451</v>
      </c>
      <c r="D675" s="1" t="s">
        <v>451</v>
      </c>
      <c r="E675" s="1">
        <v>0.5</v>
      </c>
      <c r="F675" s="1" t="s">
        <v>344</v>
      </c>
      <c r="G675" s="6">
        <v>45889</v>
      </c>
      <c r="H675" s="1">
        <v>401776</v>
      </c>
      <c r="I675" s="1">
        <v>431776</v>
      </c>
      <c r="J675" s="1">
        <v>11957.5</v>
      </c>
      <c r="K675" s="1">
        <v>18042.5</v>
      </c>
      <c r="L675" s="1">
        <v>413733.5</v>
      </c>
      <c r="M675" s="1">
        <v>58</v>
      </c>
      <c r="N675" s="1">
        <v>328.18794117647042</v>
      </c>
      <c r="O675" s="1">
        <v>87.515366924524358</v>
      </c>
      <c r="P675" s="7">
        <v>45947</v>
      </c>
      <c r="Q675" s="1">
        <v>30000</v>
      </c>
      <c r="R675" s="7">
        <v>46034.515366921303</v>
      </c>
      <c r="S675" s="7">
        <v>46034</v>
      </c>
      <c r="T675" s="7" t="str">
        <f t="shared" si="0"/>
        <v>enero</v>
      </c>
      <c r="U675" s="1" t="s">
        <v>330</v>
      </c>
      <c r="X675" s="1" t="s">
        <v>345</v>
      </c>
      <c r="Y675" s="1" t="s">
        <v>346</v>
      </c>
      <c r="Z675" s="1">
        <v>1</v>
      </c>
      <c r="AA675" s="3">
        <v>10535.04</v>
      </c>
      <c r="AB675" s="3">
        <v>10535.04</v>
      </c>
      <c r="AC675" s="1" t="str">
        <f>VLOOKUP(A675,[1]Detalle!$D$2:$CW$484,98,FALSE)</f>
        <v>CENCOMLD - Cencosud SA - Mendoza</v>
      </c>
    </row>
    <row r="676" spans="1:29" ht="14.25" customHeight="1" x14ac:dyDescent="0.3">
      <c r="A676" s="1" t="s">
        <v>35</v>
      </c>
      <c r="B676" s="1" t="s">
        <v>427</v>
      </c>
      <c r="C676" s="1" t="s">
        <v>451</v>
      </c>
      <c r="D676" s="1" t="s">
        <v>451</v>
      </c>
      <c r="E676" s="1">
        <v>0.5</v>
      </c>
      <c r="F676" s="1" t="s">
        <v>344</v>
      </c>
      <c r="G676" s="6">
        <v>45889</v>
      </c>
      <c r="H676" s="1">
        <v>401776</v>
      </c>
      <c r="I676" s="1">
        <v>431776</v>
      </c>
      <c r="J676" s="1">
        <v>11957.5</v>
      </c>
      <c r="K676" s="1">
        <v>18042.5</v>
      </c>
      <c r="L676" s="1">
        <v>413733.5</v>
      </c>
      <c r="M676" s="1">
        <v>58</v>
      </c>
      <c r="N676" s="1">
        <v>328.18794117647042</v>
      </c>
      <c r="O676" s="1">
        <v>87.515366924524358</v>
      </c>
      <c r="P676" s="7">
        <v>45947</v>
      </c>
      <c r="Q676" s="1">
        <v>30000</v>
      </c>
      <c r="R676" s="7">
        <v>46034.515366921303</v>
      </c>
      <c r="S676" s="7">
        <v>46034</v>
      </c>
      <c r="T676" s="7" t="str">
        <f t="shared" si="0"/>
        <v>enero</v>
      </c>
      <c r="U676" s="1" t="s">
        <v>330</v>
      </c>
      <c r="X676" s="1" t="s">
        <v>452</v>
      </c>
      <c r="Y676" s="1" t="s">
        <v>453</v>
      </c>
      <c r="Z676" s="1">
        <v>1</v>
      </c>
      <c r="AA676" s="3">
        <v>13118.81</v>
      </c>
      <c r="AB676" s="3">
        <v>13118.81</v>
      </c>
      <c r="AC676" s="1" t="str">
        <f>VLOOKUP(A676,[1]Detalle!$D$2:$CW$484,98,FALSE)</f>
        <v>CENCOMLD - Cencosud SA - Mendoza</v>
      </c>
    </row>
    <row r="677" spans="1:29" ht="14.25" customHeight="1" x14ac:dyDescent="0.3">
      <c r="A677" s="1" t="s">
        <v>95</v>
      </c>
      <c r="B677" s="1" t="s">
        <v>429</v>
      </c>
      <c r="C677" s="1" t="s">
        <v>451</v>
      </c>
      <c r="D677" s="1" t="s">
        <v>451</v>
      </c>
      <c r="E677" s="1">
        <v>0.5</v>
      </c>
      <c r="F677" s="1" t="s">
        <v>344</v>
      </c>
      <c r="G677" s="6">
        <v>45869</v>
      </c>
      <c r="H677" s="1">
        <v>165086</v>
      </c>
      <c r="I677" s="1">
        <v>195086</v>
      </c>
      <c r="J677" s="1">
        <v>12624.7</v>
      </c>
      <c r="K677" s="1">
        <v>17375.3</v>
      </c>
      <c r="L677" s="1">
        <v>177710.7</v>
      </c>
      <c r="M677" s="1">
        <v>78</v>
      </c>
      <c r="N677" s="1">
        <v>266.23473282442751</v>
      </c>
      <c r="O677" s="1">
        <v>107.3509390322146</v>
      </c>
      <c r="P677" s="7">
        <v>45947</v>
      </c>
      <c r="Q677" s="1">
        <v>30000</v>
      </c>
      <c r="R677" s="7">
        <v>46054.350939027783</v>
      </c>
      <c r="S677" s="7">
        <v>46054</v>
      </c>
      <c r="T677" s="7" t="str">
        <f t="shared" si="0"/>
        <v>febrero</v>
      </c>
      <c r="U677" s="1" t="s">
        <v>330</v>
      </c>
      <c r="X677" s="1" t="s">
        <v>345</v>
      </c>
      <c r="Y677" s="1" t="s">
        <v>346</v>
      </c>
      <c r="Z677" s="1">
        <v>1</v>
      </c>
      <c r="AA677" s="3">
        <v>10535.04</v>
      </c>
      <c r="AB677" s="3">
        <v>10535.04</v>
      </c>
      <c r="AC677" s="1" t="str">
        <f>VLOOKUP(A677,[1]Detalle!$D$2:$CW$484,98,FALSE)</f>
        <v>CENCOMLD - Cencosud SA - Mendoza</v>
      </c>
    </row>
    <row r="678" spans="1:29" ht="14.25" customHeight="1" x14ac:dyDescent="0.3">
      <c r="A678" s="1" t="s">
        <v>95</v>
      </c>
      <c r="B678" s="1" t="s">
        <v>429</v>
      </c>
      <c r="C678" s="1" t="s">
        <v>451</v>
      </c>
      <c r="D678" s="1" t="s">
        <v>451</v>
      </c>
      <c r="E678" s="1">
        <v>0.5</v>
      </c>
      <c r="F678" s="1" t="s">
        <v>344</v>
      </c>
      <c r="G678" s="6">
        <v>45869</v>
      </c>
      <c r="H678" s="1">
        <v>165086</v>
      </c>
      <c r="I678" s="1">
        <v>195086</v>
      </c>
      <c r="J678" s="1">
        <v>12624.7</v>
      </c>
      <c r="K678" s="1">
        <v>17375.3</v>
      </c>
      <c r="L678" s="1">
        <v>177710.7</v>
      </c>
      <c r="M678" s="1">
        <v>78</v>
      </c>
      <c r="N678" s="1">
        <v>266.23473282442751</v>
      </c>
      <c r="O678" s="1">
        <v>107.3509390322146</v>
      </c>
      <c r="P678" s="7">
        <v>45947</v>
      </c>
      <c r="Q678" s="1">
        <v>30000</v>
      </c>
      <c r="R678" s="7">
        <v>46054.350939027783</v>
      </c>
      <c r="S678" s="7">
        <v>46054</v>
      </c>
      <c r="T678" s="7" t="str">
        <f t="shared" si="0"/>
        <v>febrero</v>
      </c>
      <c r="U678" s="1" t="s">
        <v>330</v>
      </c>
      <c r="X678" s="1" t="s">
        <v>452</v>
      </c>
      <c r="Y678" s="1" t="s">
        <v>453</v>
      </c>
      <c r="Z678" s="1">
        <v>1</v>
      </c>
      <c r="AA678" s="3">
        <v>13118.81</v>
      </c>
      <c r="AB678" s="3">
        <v>13118.81</v>
      </c>
      <c r="AC678" s="1" t="str">
        <f>VLOOKUP(A678,[1]Detalle!$D$2:$CW$484,98,FALSE)</f>
        <v>CENCOMLD - Cencosud SA - Mendoza</v>
      </c>
    </row>
    <row r="679" spans="1:29" ht="14.25" customHeight="1" x14ac:dyDescent="0.3">
      <c r="A679" s="1" t="s">
        <v>96</v>
      </c>
      <c r="B679" s="1" t="s">
        <v>429</v>
      </c>
      <c r="C679" s="1" t="s">
        <v>451</v>
      </c>
      <c r="D679" s="1" t="s">
        <v>451</v>
      </c>
      <c r="E679" s="1">
        <v>0.5</v>
      </c>
      <c r="F679" s="1" t="s">
        <v>344</v>
      </c>
      <c r="G679" s="6">
        <v>45861</v>
      </c>
      <c r="H679" s="1">
        <v>163295</v>
      </c>
      <c r="I679" s="1">
        <v>193295</v>
      </c>
      <c r="J679" s="1">
        <v>22184.6</v>
      </c>
      <c r="K679" s="1">
        <v>7815.3999999999978</v>
      </c>
      <c r="L679" s="1">
        <v>185479.6</v>
      </c>
      <c r="M679" s="1">
        <v>86</v>
      </c>
      <c r="N679" s="1">
        <v>281.98244274809178</v>
      </c>
      <c r="O679" s="1">
        <v>30.296890635846481</v>
      </c>
      <c r="P679" s="7">
        <v>45947</v>
      </c>
      <c r="Q679" s="1">
        <v>30000</v>
      </c>
      <c r="R679" s="7">
        <v>46083.686493148147</v>
      </c>
      <c r="S679" s="7">
        <v>46083</v>
      </c>
      <c r="T679" s="7" t="str">
        <f t="shared" si="0"/>
        <v>marzo</v>
      </c>
      <c r="U679" s="1" t="s">
        <v>330</v>
      </c>
      <c r="X679" s="1" t="s">
        <v>345</v>
      </c>
      <c r="Y679" s="1" t="s">
        <v>346</v>
      </c>
      <c r="Z679" s="1">
        <v>1</v>
      </c>
      <c r="AA679" s="3">
        <v>10535.04</v>
      </c>
      <c r="AB679" s="3">
        <v>10535.04</v>
      </c>
      <c r="AC679" s="1" t="str">
        <f>VLOOKUP(A679,[1]Detalle!$D$2:$CW$484,98,FALSE)</f>
        <v>CENCOMLD - Cencosud SA - Mendoza</v>
      </c>
    </row>
    <row r="680" spans="1:29" ht="14.25" customHeight="1" x14ac:dyDescent="0.3">
      <c r="A680" s="1" t="s">
        <v>96</v>
      </c>
      <c r="B680" s="1" t="s">
        <v>429</v>
      </c>
      <c r="C680" s="1" t="s">
        <v>451</v>
      </c>
      <c r="D680" s="1" t="s">
        <v>451</v>
      </c>
      <c r="E680" s="1">
        <v>0.5</v>
      </c>
      <c r="F680" s="1" t="s">
        <v>344</v>
      </c>
      <c r="G680" s="6">
        <v>45861</v>
      </c>
      <c r="H680" s="1">
        <v>163295</v>
      </c>
      <c r="I680" s="1">
        <v>193295</v>
      </c>
      <c r="J680" s="1">
        <v>22184.6</v>
      </c>
      <c r="K680" s="1">
        <v>7815.3999999999978</v>
      </c>
      <c r="L680" s="1">
        <v>185479.6</v>
      </c>
      <c r="M680" s="1">
        <v>86</v>
      </c>
      <c r="N680" s="1">
        <v>281.98244274809178</v>
      </c>
      <c r="O680" s="1">
        <v>30.296890635846481</v>
      </c>
      <c r="P680" s="7">
        <v>45947</v>
      </c>
      <c r="Q680" s="1">
        <v>30000</v>
      </c>
      <c r="R680" s="7">
        <v>46083.686493148147</v>
      </c>
      <c r="S680" s="7">
        <v>46083</v>
      </c>
      <c r="T680" s="7" t="str">
        <f t="shared" si="0"/>
        <v>marzo</v>
      </c>
      <c r="U680" s="1" t="s">
        <v>330</v>
      </c>
      <c r="X680" s="1" t="s">
        <v>452</v>
      </c>
      <c r="Y680" s="1" t="s">
        <v>453</v>
      </c>
      <c r="Z680" s="1">
        <v>1</v>
      </c>
      <c r="AA680" s="3">
        <v>13118.81</v>
      </c>
      <c r="AB680" s="3">
        <v>13118.81</v>
      </c>
      <c r="AC680" s="1" t="str">
        <f>VLOOKUP(A680,[1]Detalle!$D$2:$CW$484,98,FALSE)</f>
        <v>CENCOMLD - Cencosud SA - Mendoza</v>
      </c>
    </row>
    <row r="681" spans="1:29" ht="14.25" customHeight="1" x14ac:dyDescent="0.3">
      <c r="A681" s="1" t="s">
        <v>215</v>
      </c>
      <c r="B681" s="1" t="s">
        <v>427</v>
      </c>
      <c r="C681" s="1" t="s">
        <v>451</v>
      </c>
      <c r="D681" s="1" t="s">
        <v>451</v>
      </c>
      <c r="E681" s="1">
        <v>0.5</v>
      </c>
      <c r="F681" s="1" t="s">
        <v>344</v>
      </c>
      <c r="G681" s="6">
        <v>45810</v>
      </c>
      <c r="H681" s="1">
        <v>367233</v>
      </c>
      <c r="I681" s="1">
        <v>397233</v>
      </c>
      <c r="J681" s="1">
        <v>10569.3</v>
      </c>
      <c r="K681" s="1">
        <v>19430.7</v>
      </c>
      <c r="L681" s="1">
        <v>377802.3</v>
      </c>
      <c r="M681" s="1">
        <v>137</v>
      </c>
      <c r="N681" s="1">
        <v>68.452272727272742</v>
      </c>
      <c r="O681" s="1">
        <v>251.8620816894213</v>
      </c>
      <c r="P681" s="7">
        <v>45947</v>
      </c>
      <c r="Q681" s="1">
        <v>30000</v>
      </c>
      <c r="R681" s="7">
        <v>46198.862081689818</v>
      </c>
      <c r="S681" s="7">
        <v>46198</v>
      </c>
      <c r="T681" s="7" t="str">
        <f t="shared" si="0"/>
        <v>junio</v>
      </c>
      <c r="U681" s="1" t="s">
        <v>330</v>
      </c>
      <c r="X681" s="1" t="s">
        <v>345</v>
      </c>
      <c r="Y681" s="1" t="s">
        <v>346</v>
      </c>
      <c r="Z681" s="1">
        <v>1</v>
      </c>
      <c r="AA681" s="3">
        <v>10535.04</v>
      </c>
      <c r="AB681" s="3">
        <v>10535.04</v>
      </c>
      <c r="AC681" s="1" t="str">
        <f>VLOOKUP(A681,[1]Detalle!$D$2:$CW$484,98,FALSE)</f>
        <v>Arcor S.A.I.C.</v>
      </c>
    </row>
    <row r="682" spans="1:29" ht="14.25" customHeight="1" x14ac:dyDescent="0.3">
      <c r="A682" s="1" t="s">
        <v>215</v>
      </c>
      <c r="B682" s="1" t="s">
        <v>427</v>
      </c>
      <c r="C682" s="1" t="s">
        <v>451</v>
      </c>
      <c r="D682" s="1" t="s">
        <v>451</v>
      </c>
      <c r="E682" s="1">
        <v>0.5</v>
      </c>
      <c r="F682" s="1" t="s">
        <v>344</v>
      </c>
      <c r="G682" s="6">
        <v>45810</v>
      </c>
      <c r="H682" s="1">
        <v>367233</v>
      </c>
      <c r="I682" s="1">
        <v>397233</v>
      </c>
      <c r="J682" s="1">
        <v>10569.3</v>
      </c>
      <c r="K682" s="1">
        <v>19430.7</v>
      </c>
      <c r="L682" s="1">
        <v>377802.3</v>
      </c>
      <c r="M682" s="1">
        <v>137</v>
      </c>
      <c r="N682" s="1">
        <v>68.452272727272742</v>
      </c>
      <c r="O682" s="1">
        <v>251.8620816894213</v>
      </c>
      <c r="P682" s="7">
        <v>45947</v>
      </c>
      <c r="Q682" s="1">
        <v>30000</v>
      </c>
      <c r="R682" s="7">
        <v>46198.862081689818</v>
      </c>
      <c r="S682" s="7">
        <v>46198</v>
      </c>
      <c r="T682" s="7" t="str">
        <f t="shared" si="0"/>
        <v>junio</v>
      </c>
      <c r="U682" s="1" t="s">
        <v>330</v>
      </c>
      <c r="X682" s="1" t="s">
        <v>452</v>
      </c>
      <c r="Y682" s="1" t="s">
        <v>453</v>
      </c>
      <c r="Z682" s="1">
        <v>1</v>
      </c>
      <c r="AA682" s="3">
        <v>13118.81</v>
      </c>
      <c r="AB682" s="3">
        <v>13118.81</v>
      </c>
      <c r="AC682" s="1" t="str">
        <f>VLOOKUP(A682,[1]Detalle!$D$2:$CW$484,98,FALSE)</f>
        <v>Arcor S.A.I.C.</v>
      </c>
    </row>
    <row r="683" spans="1:29" ht="14.25" customHeight="1" x14ac:dyDescent="0.3">
      <c r="A683" s="1" t="s">
        <v>214</v>
      </c>
      <c r="B683" s="1" t="s">
        <v>433</v>
      </c>
      <c r="C683" s="1" t="s">
        <v>451</v>
      </c>
      <c r="D683" s="1" t="s">
        <v>451</v>
      </c>
      <c r="E683" s="1">
        <v>0.5</v>
      </c>
      <c r="F683" s="1" t="s">
        <v>344</v>
      </c>
      <c r="G683" s="6">
        <v>45918</v>
      </c>
      <c r="H683" s="1">
        <v>41172.300000000003</v>
      </c>
      <c r="I683" s="1">
        <v>71172.3</v>
      </c>
      <c r="J683" s="1">
        <v>0</v>
      </c>
      <c r="K683" s="1">
        <v>30000</v>
      </c>
      <c r="L683" s="1">
        <v>41172.300000000003</v>
      </c>
      <c r="M683" s="1">
        <v>29</v>
      </c>
      <c r="N683" s="1">
        <v>24.119335793357951</v>
      </c>
      <c r="O683" s="1">
        <v>300</v>
      </c>
      <c r="P683" s="7">
        <v>45947</v>
      </c>
      <c r="Q683" s="1">
        <v>30000</v>
      </c>
      <c r="R683" s="7">
        <v>46247</v>
      </c>
      <c r="S683" s="7">
        <v>46247</v>
      </c>
      <c r="T683" s="7" t="str">
        <f t="shared" si="0"/>
        <v>agosto</v>
      </c>
      <c r="U683" s="1" t="s">
        <v>330</v>
      </c>
      <c r="X683" s="1" t="s">
        <v>345</v>
      </c>
      <c r="Y683" s="1" t="s">
        <v>346</v>
      </c>
      <c r="Z683" s="1">
        <v>1</v>
      </c>
      <c r="AA683" s="3">
        <v>10535.04</v>
      </c>
      <c r="AB683" s="3">
        <v>10535.04</v>
      </c>
      <c r="AC683" s="1" t="str">
        <f>VLOOKUP(A683,[1]Detalle!$D$2:$CW$484,98,FALSE)</f>
        <v>Expreso - Servicios Troncales</v>
      </c>
    </row>
    <row r="684" spans="1:29" ht="14.25" customHeight="1" x14ac:dyDescent="0.3">
      <c r="A684" s="1" t="s">
        <v>214</v>
      </c>
      <c r="B684" s="1" t="s">
        <v>433</v>
      </c>
      <c r="C684" s="1" t="s">
        <v>451</v>
      </c>
      <c r="D684" s="1" t="s">
        <v>451</v>
      </c>
      <c r="E684" s="1">
        <v>0.5</v>
      </c>
      <c r="F684" s="1" t="s">
        <v>344</v>
      </c>
      <c r="G684" s="6">
        <v>45918</v>
      </c>
      <c r="H684" s="1">
        <v>41172.300000000003</v>
      </c>
      <c r="I684" s="1">
        <v>71172.3</v>
      </c>
      <c r="J684" s="1">
        <v>0</v>
      </c>
      <c r="K684" s="1">
        <v>30000</v>
      </c>
      <c r="L684" s="1">
        <v>41172.300000000003</v>
      </c>
      <c r="M684" s="1">
        <v>29</v>
      </c>
      <c r="N684" s="1">
        <v>24.119335793357951</v>
      </c>
      <c r="O684" s="1">
        <v>300</v>
      </c>
      <c r="P684" s="7">
        <v>45947</v>
      </c>
      <c r="Q684" s="1">
        <v>30000</v>
      </c>
      <c r="R684" s="7">
        <v>46247</v>
      </c>
      <c r="S684" s="7">
        <v>46247</v>
      </c>
      <c r="T684" s="7" t="str">
        <f t="shared" si="0"/>
        <v>agosto</v>
      </c>
      <c r="U684" s="1" t="s">
        <v>330</v>
      </c>
      <c r="X684" s="1" t="s">
        <v>452</v>
      </c>
      <c r="Y684" s="1" t="s">
        <v>453</v>
      </c>
      <c r="Z684" s="1">
        <v>1</v>
      </c>
      <c r="AA684" s="3">
        <v>13118.81</v>
      </c>
      <c r="AB684" s="3">
        <v>13118.81</v>
      </c>
      <c r="AC684" s="1" t="str">
        <f>VLOOKUP(A684,[1]Detalle!$D$2:$CW$484,98,FALSE)</f>
        <v>Expreso - Servicios Troncales</v>
      </c>
    </row>
    <row r="685" spans="1:29" ht="14.25" customHeight="1" x14ac:dyDescent="0.3">
      <c r="A685" s="1" t="s">
        <v>176</v>
      </c>
      <c r="B685" s="1" t="s">
        <v>427</v>
      </c>
      <c r="C685" s="1" t="s">
        <v>451</v>
      </c>
      <c r="D685" s="1" t="s">
        <v>451</v>
      </c>
      <c r="E685" s="1">
        <v>0.5</v>
      </c>
      <c r="F685" s="1" t="s">
        <v>344</v>
      </c>
      <c r="G685" s="6">
        <v>45897</v>
      </c>
      <c r="H685" s="1">
        <v>1944647</v>
      </c>
      <c r="I685" s="1">
        <v>1974647</v>
      </c>
      <c r="J685" s="1">
        <v>11028.1</v>
      </c>
      <c r="K685" s="1">
        <v>18971.900000000001</v>
      </c>
      <c r="L685" s="1">
        <v>1955675.1</v>
      </c>
      <c r="M685" s="1">
        <v>50</v>
      </c>
      <c r="N685" s="1">
        <v>1849.550539936103</v>
      </c>
      <c r="O685" s="1">
        <v>86.016176857300891</v>
      </c>
      <c r="P685" s="7">
        <v>45947</v>
      </c>
      <c r="Q685" s="1">
        <v>30000</v>
      </c>
      <c r="R685" s="7">
        <v>46033.016176851852</v>
      </c>
      <c r="S685" s="7">
        <v>46033</v>
      </c>
      <c r="T685" s="7" t="str">
        <f t="shared" si="0"/>
        <v>enero</v>
      </c>
      <c r="U685" s="1" t="s">
        <v>330</v>
      </c>
      <c r="X685" s="1" t="s">
        <v>345</v>
      </c>
      <c r="Y685" s="1" t="s">
        <v>346</v>
      </c>
      <c r="Z685" s="1">
        <v>1</v>
      </c>
      <c r="AA685" s="3">
        <v>10535.04</v>
      </c>
      <c r="AB685" s="3">
        <v>10535.04</v>
      </c>
      <c r="AC685" s="1" t="str">
        <f>VLOOKUP(A685,[1]Detalle!$D$2:$CW$484,98,FALSE)</f>
        <v>Expreso - Servicios Troncales</v>
      </c>
    </row>
    <row r="686" spans="1:29" ht="14.25" customHeight="1" x14ac:dyDescent="0.3">
      <c r="A686" s="1" t="s">
        <v>176</v>
      </c>
      <c r="B686" s="1" t="s">
        <v>427</v>
      </c>
      <c r="C686" s="1" t="s">
        <v>451</v>
      </c>
      <c r="D686" s="1" t="s">
        <v>451</v>
      </c>
      <c r="E686" s="1">
        <v>0.5</v>
      </c>
      <c r="F686" s="1" t="s">
        <v>344</v>
      </c>
      <c r="G686" s="6">
        <v>45897</v>
      </c>
      <c r="H686" s="1">
        <v>1944647</v>
      </c>
      <c r="I686" s="1">
        <v>1974647</v>
      </c>
      <c r="J686" s="1">
        <v>11028.1</v>
      </c>
      <c r="K686" s="1">
        <v>18971.900000000001</v>
      </c>
      <c r="L686" s="1">
        <v>1955675.1</v>
      </c>
      <c r="M686" s="1">
        <v>50</v>
      </c>
      <c r="N686" s="1">
        <v>1849.550539936103</v>
      </c>
      <c r="O686" s="1">
        <v>86.016176857300891</v>
      </c>
      <c r="P686" s="7">
        <v>45947</v>
      </c>
      <c r="Q686" s="1">
        <v>30000</v>
      </c>
      <c r="R686" s="7">
        <v>46033.016176851852</v>
      </c>
      <c r="S686" s="7">
        <v>46033</v>
      </c>
      <c r="T686" s="7" t="str">
        <f t="shared" si="0"/>
        <v>enero</v>
      </c>
      <c r="U686" s="1" t="s">
        <v>330</v>
      </c>
      <c r="X686" s="1" t="s">
        <v>452</v>
      </c>
      <c r="Y686" s="1" t="s">
        <v>453</v>
      </c>
      <c r="Z686" s="1">
        <v>1</v>
      </c>
      <c r="AA686" s="3">
        <v>13118.81</v>
      </c>
      <c r="AB686" s="3">
        <v>13118.81</v>
      </c>
      <c r="AC686" s="1" t="str">
        <f>VLOOKUP(A686,[1]Detalle!$D$2:$CW$484,98,FALSE)</f>
        <v>Expreso - Servicios Troncales</v>
      </c>
    </row>
    <row r="687" spans="1:29" ht="14.25" customHeight="1" x14ac:dyDescent="0.3">
      <c r="A687" s="1" t="s">
        <v>177</v>
      </c>
      <c r="B687" s="1" t="s">
        <v>427</v>
      </c>
      <c r="C687" s="1" t="s">
        <v>451</v>
      </c>
      <c r="D687" s="1" t="s">
        <v>451</v>
      </c>
      <c r="E687" s="1">
        <v>0.5</v>
      </c>
      <c r="F687" s="1" t="s">
        <v>344</v>
      </c>
      <c r="G687" s="6">
        <v>45478</v>
      </c>
      <c r="H687" s="1">
        <v>901266</v>
      </c>
      <c r="I687" s="1">
        <v>931266</v>
      </c>
      <c r="J687" s="1">
        <v>56774.349999999977</v>
      </c>
      <c r="K687" s="1">
        <v>-26774.34999999998</v>
      </c>
      <c r="L687" s="1">
        <v>958040.35</v>
      </c>
      <c r="M687" s="1">
        <v>469</v>
      </c>
      <c r="N687" s="1">
        <v>126.37693548387099</v>
      </c>
      <c r="O687" s="1">
        <v>-221.17681928546949</v>
      </c>
      <c r="P687" s="7">
        <v>45947</v>
      </c>
      <c r="Q687" s="1">
        <v>30000</v>
      </c>
      <c r="R687" s="7">
        <v>46184.385088391202</v>
      </c>
      <c r="S687" s="7">
        <v>46184</v>
      </c>
      <c r="T687" s="7" t="str">
        <f t="shared" si="0"/>
        <v>junio</v>
      </c>
      <c r="U687" s="1" t="s">
        <v>330</v>
      </c>
      <c r="X687" s="1" t="s">
        <v>345</v>
      </c>
      <c r="Y687" s="1" t="s">
        <v>346</v>
      </c>
      <c r="Z687" s="1">
        <v>1</v>
      </c>
      <c r="AA687" s="3">
        <v>10535.04</v>
      </c>
      <c r="AB687" s="3">
        <v>10535.04</v>
      </c>
      <c r="AC687" s="1" t="str">
        <f>VLOOKUP(A687,[1]Detalle!$D$2:$CW$484,98,FALSE)</f>
        <v>Unilever - Unilever de Arg. S.A.</v>
      </c>
    </row>
    <row r="688" spans="1:29" ht="14.25" customHeight="1" x14ac:dyDescent="0.3">
      <c r="A688" s="1" t="s">
        <v>177</v>
      </c>
      <c r="B688" s="1" t="s">
        <v>427</v>
      </c>
      <c r="C688" s="1" t="s">
        <v>451</v>
      </c>
      <c r="D688" s="1" t="s">
        <v>451</v>
      </c>
      <c r="E688" s="1">
        <v>0.5</v>
      </c>
      <c r="F688" s="1" t="s">
        <v>344</v>
      </c>
      <c r="G688" s="6">
        <v>45478</v>
      </c>
      <c r="H688" s="1">
        <v>901266</v>
      </c>
      <c r="I688" s="1">
        <v>931266</v>
      </c>
      <c r="J688" s="1">
        <v>56774.349999999977</v>
      </c>
      <c r="K688" s="1">
        <v>-26774.34999999998</v>
      </c>
      <c r="L688" s="1">
        <v>958040.35</v>
      </c>
      <c r="M688" s="1">
        <v>469</v>
      </c>
      <c r="N688" s="1">
        <v>126.37693548387099</v>
      </c>
      <c r="O688" s="1">
        <v>-221.17681928546949</v>
      </c>
      <c r="P688" s="7">
        <v>45947</v>
      </c>
      <c r="Q688" s="1">
        <v>30000</v>
      </c>
      <c r="R688" s="7">
        <v>46184.385088391202</v>
      </c>
      <c r="S688" s="7">
        <v>46184</v>
      </c>
      <c r="T688" s="7" t="str">
        <f t="shared" si="0"/>
        <v>junio</v>
      </c>
      <c r="U688" s="1" t="s">
        <v>330</v>
      </c>
      <c r="X688" s="1" t="s">
        <v>452</v>
      </c>
      <c r="Y688" s="1" t="s">
        <v>453</v>
      </c>
      <c r="Z688" s="1">
        <v>1</v>
      </c>
      <c r="AA688" s="3">
        <v>13118.81</v>
      </c>
      <c r="AB688" s="3">
        <v>13118.81</v>
      </c>
      <c r="AC688" s="1" t="str">
        <f>VLOOKUP(A688,[1]Detalle!$D$2:$CW$484,98,FALSE)</f>
        <v>Unilever - Unilever de Arg. S.A.</v>
      </c>
    </row>
    <row r="689" spans="1:29" ht="14.25" customHeight="1" x14ac:dyDescent="0.3">
      <c r="A689" s="1" t="s">
        <v>186</v>
      </c>
      <c r="B689" s="1" t="s">
        <v>427</v>
      </c>
      <c r="C689" s="1" t="s">
        <v>451</v>
      </c>
      <c r="D689" s="1" t="s">
        <v>451</v>
      </c>
      <c r="E689" s="1">
        <v>0.5</v>
      </c>
      <c r="F689" s="1" t="s">
        <v>344</v>
      </c>
      <c r="G689" s="6">
        <v>45800</v>
      </c>
      <c r="H689" s="1">
        <v>459582</v>
      </c>
      <c r="I689" s="1">
        <v>489582</v>
      </c>
      <c r="J689" s="1">
        <v>48012.699999999968</v>
      </c>
      <c r="K689" s="1">
        <v>-18012.699999999972</v>
      </c>
      <c r="L689" s="1">
        <v>507594.7</v>
      </c>
      <c r="M689" s="1">
        <v>147</v>
      </c>
      <c r="N689" s="1">
        <v>303.0774834437085</v>
      </c>
      <c r="O689" s="1">
        <v>-55.149302163802432</v>
      </c>
      <c r="P689" s="7">
        <v>45947</v>
      </c>
      <c r="Q689" s="1">
        <v>30000</v>
      </c>
      <c r="R689" s="7">
        <v>46045.984588553241</v>
      </c>
      <c r="S689" s="7">
        <v>46045</v>
      </c>
      <c r="T689" s="7" t="str">
        <f t="shared" si="0"/>
        <v>enero</v>
      </c>
      <c r="U689" s="1" t="s">
        <v>330</v>
      </c>
      <c r="X689" s="1" t="s">
        <v>345</v>
      </c>
      <c r="Y689" s="1" t="s">
        <v>346</v>
      </c>
      <c r="Z689" s="1">
        <v>1</v>
      </c>
      <c r="AA689" s="3">
        <v>10535.04</v>
      </c>
      <c r="AB689" s="3">
        <v>10535.04</v>
      </c>
      <c r="AC689" s="1" t="str">
        <f>VLOOKUP(A689,[1]Detalle!$D$2:$CW$484,98,FALSE)</f>
        <v>Expreso - Servicios Troncales</v>
      </c>
    </row>
    <row r="690" spans="1:29" ht="14.25" customHeight="1" x14ac:dyDescent="0.3">
      <c r="A690" s="1" t="s">
        <v>186</v>
      </c>
      <c r="B690" s="1" t="s">
        <v>427</v>
      </c>
      <c r="C690" s="1" t="s">
        <v>451</v>
      </c>
      <c r="D690" s="1" t="s">
        <v>451</v>
      </c>
      <c r="E690" s="1">
        <v>0.5</v>
      </c>
      <c r="F690" s="1" t="s">
        <v>344</v>
      </c>
      <c r="G690" s="6">
        <v>45800</v>
      </c>
      <c r="H690" s="1">
        <v>459582</v>
      </c>
      <c r="I690" s="1">
        <v>489582</v>
      </c>
      <c r="J690" s="1">
        <v>48012.699999999968</v>
      </c>
      <c r="K690" s="1">
        <v>-18012.699999999972</v>
      </c>
      <c r="L690" s="1">
        <v>507594.7</v>
      </c>
      <c r="M690" s="1">
        <v>147</v>
      </c>
      <c r="N690" s="1">
        <v>303.0774834437085</v>
      </c>
      <c r="O690" s="1">
        <v>-55.149302163802432</v>
      </c>
      <c r="P690" s="7">
        <v>45947</v>
      </c>
      <c r="Q690" s="1">
        <v>30000</v>
      </c>
      <c r="R690" s="7">
        <v>46045.984588553241</v>
      </c>
      <c r="S690" s="7">
        <v>46045</v>
      </c>
      <c r="T690" s="7" t="str">
        <f t="shared" si="0"/>
        <v>enero</v>
      </c>
      <c r="U690" s="1" t="s">
        <v>330</v>
      </c>
      <c r="X690" s="1" t="s">
        <v>452</v>
      </c>
      <c r="Y690" s="1" t="s">
        <v>453</v>
      </c>
      <c r="Z690" s="1">
        <v>1</v>
      </c>
      <c r="AA690" s="3">
        <v>13118.81</v>
      </c>
      <c r="AB690" s="3">
        <v>13118.81</v>
      </c>
      <c r="AC690" s="1" t="str">
        <f>VLOOKUP(A690,[1]Detalle!$D$2:$CW$484,98,FALSE)</f>
        <v>Expreso - Servicios Troncales</v>
      </c>
    </row>
    <row r="691" spans="1:29" ht="14.25" customHeight="1" x14ac:dyDescent="0.3">
      <c r="A691" s="1" t="s">
        <v>201</v>
      </c>
      <c r="B691" s="1" t="s">
        <v>427</v>
      </c>
      <c r="C691" s="1" t="s">
        <v>451</v>
      </c>
      <c r="D691" s="1" t="s">
        <v>451</v>
      </c>
      <c r="E691" s="1">
        <v>0.5</v>
      </c>
      <c r="F691" s="1" t="s">
        <v>344</v>
      </c>
      <c r="G691" s="6">
        <v>45880</v>
      </c>
      <c r="H691" s="1">
        <v>1839556</v>
      </c>
      <c r="I691" s="1">
        <v>1869556</v>
      </c>
      <c r="J691" s="1">
        <v>11612.7</v>
      </c>
      <c r="K691" s="1">
        <v>18387.3</v>
      </c>
      <c r="L691" s="1">
        <v>1851168.7</v>
      </c>
      <c r="M691" s="1">
        <v>67</v>
      </c>
      <c r="N691" s="1">
        <v>155.41622516556279</v>
      </c>
      <c r="O691" s="1">
        <v>106.0863623446744</v>
      </c>
      <c r="P691" s="7">
        <v>45947</v>
      </c>
      <c r="Q691" s="1">
        <v>30000</v>
      </c>
      <c r="R691" s="7">
        <v>46053.086362349539</v>
      </c>
      <c r="S691" s="7">
        <v>46053</v>
      </c>
      <c r="T691" s="7" t="str">
        <f t="shared" si="0"/>
        <v>enero</v>
      </c>
      <c r="U691" s="1" t="s">
        <v>330</v>
      </c>
      <c r="X691" s="1" t="s">
        <v>345</v>
      </c>
      <c r="Y691" s="1" t="s">
        <v>346</v>
      </c>
      <c r="Z691" s="1">
        <v>1</v>
      </c>
      <c r="AA691" s="3">
        <v>10535.04</v>
      </c>
      <c r="AB691" s="3">
        <v>10535.04</v>
      </c>
      <c r="AC691" s="1" t="str">
        <f>VLOOKUP(A691,[1]Detalle!$D$2:$CW$484,98,FALSE)</f>
        <v>Expreso - Servicios Troncales</v>
      </c>
    </row>
    <row r="692" spans="1:29" ht="14.25" customHeight="1" x14ac:dyDescent="0.3">
      <c r="A692" s="1" t="s">
        <v>201</v>
      </c>
      <c r="B692" s="1" t="s">
        <v>427</v>
      </c>
      <c r="C692" s="1" t="s">
        <v>451</v>
      </c>
      <c r="D692" s="1" t="s">
        <v>451</v>
      </c>
      <c r="E692" s="1">
        <v>0.5</v>
      </c>
      <c r="F692" s="1" t="s">
        <v>344</v>
      </c>
      <c r="G692" s="6">
        <v>45880</v>
      </c>
      <c r="H692" s="1">
        <v>1839556</v>
      </c>
      <c r="I692" s="1">
        <v>1869556</v>
      </c>
      <c r="J692" s="1">
        <v>11612.7</v>
      </c>
      <c r="K692" s="1">
        <v>18387.3</v>
      </c>
      <c r="L692" s="1">
        <v>1851168.7</v>
      </c>
      <c r="M692" s="1">
        <v>67</v>
      </c>
      <c r="N692" s="1">
        <v>155.41622516556279</v>
      </c>
      <c r="O692" s="1">
        <v>106.0863623446744</v>
      </c>
      <c r="P692" s="7">
        <v>45947</v>
      </c>
      <c r="Q692" s="1">
        <v>30000</v>
      </c>
      <c r="R692" s="7">
        <v>46053.086362349539</v>
      </c>
      <c r="S692" s="7">
        <v>46053</v>
      </c>
      <c r="T692" s="7" t="str">
        <f t="shared" si="0"/>
        <v>enero</v>
      </c>
      <c r="U692" s="1" t="s">
        <v>330</v>
      </c>
      <c r="X692" s="1" t="s">
        <v>452</v>
      </c>
      <c r="Y692" s="1" t="s">
        <v>453</v>
      </c>
      <c r="Z692" s="1">
        <v>1</v>
      </c>
      <c r="AA692" s="3">
        <v>13118.81</v>
      </c>
      <c r="AB692" s="3">
        <v>13118.81</v>
      </c>
      <c r="AC692" s="1" t="str">
        <f>VLOOKUP(A692,[1]Detalle!$D$2:$CW$484,98,FALSE)</f>
        <v>Expreso - Servicios Troncales</v>
      </c>
    </row>
    <row r="693" spans="1:29" ht="14.25" customHeight="1" x14ac:dyDescent="0.3">
      <c r="A693" s="1" t="s">
        <v>230</v>
      </c>
      <c r="B693" s="1" t="s">
        <v>434</v>
      </c>
      <c r="C693" s="1" t="s">
        <v>451</v>
      </c>
      <c r="D693" s="1" t="s">
        <v>451</v>
      </c>
      <c r="E693" s="1">
        <v>0.5</v>
      </c>
      <c r="F693" s="1" t="s">
        <v>344</v>
      </c>
      <c r="G693" s="6">
        <v>45922</v>
      </c>
      <c r="H693" s="1">
        <v>1817011</v>
      </c>
      <c r="I693" s="1">
        <v>1847011</v>
      </c>
      <c r="J693" s="1">
        <v>3227.7</v>
      </c>
      <c r="K693" s="1">
        <v>26772.3</v>
      </c>
      <c r="L693" s="1">
        <v>1820238.7</v>
      </c>
      <c r="M693" s="1">
        <v>25</v>
      </c>
      <c r="N693" s="1">
        <v>289.98935849056602</v>
      </c>
      <c r="O693" s="1">
        <v>207.3636025652942</v>
      </c>
      <c r="P693" s="7">
        <v>45947</v>
      </c>
      <c r="Q693" s="1">
        <v>30000</v>
      </c>
      <c r="R693" s="7">
        <v>46154.363602569443</v>
      </c>
      <c r="S693" s="7">
        <v>46154</v>
      </c>
      <c r="T693" s="7" t="str">
        <f t="shared" si="0"/>
        <v>mayo</v>
      </c>
      <c r="U693" s="1" t="s">
        <v>330</v>
      </c>
      <c r="X693" s="1" t="s">
        <v>345</v>
      </c>
      <c r="Y693" s="1" t="s">
        <v>346</v>
      </c>
      <c r="Z693" s="1">
        <v>1</v>
      </c>
      <c r="AA693" s="3">
        <v>10535.04</v>
      </c>
      <c r="AB693" s="3">
        <v>10535.04</v>
      </c>
      <c r="AC693" s="1" t="str">
        <f>VLOOKUP(A693,[1]Detalle!$D$2:$CW$484,98,FALSE)</f>
        <v>Expreso - Servicios Troncales</v>
      </c>
    </row>
    <row r="694" spans="1:29" ht="14.25" customHeight="1" x14ac:dyDescent="0.3">
      <c r="A694" s="1" t="s">
        <v>230</v>
      </c>
      <c r="B694" s="1" t="s">
        <v>434</v>
      </c>
      <c r="C694" s="1" t="s">
        <v>451</v>
      </c>
      <c r="D694" s="1" t="s">
        <v>451</v>
      </c>
      <c r="E694" s="1">
        <v>0.5</v>
      </c>
      <c r="F694" s="1" t="s">
        <v>344</v>
      </c>
      <c r="G694" s="6">
        <v>45922</v>
      </c>
      <c r="H694" s="1">
        <v>1817011</v>
      </c>
      <c r="I694" s="1">
        <v>1847011</v>
      </c>
      <c r="J694" s="1">
        <v>3227.7</v>
      </c>
      <c r="K694" s="1">
        <v>26772.3</v>
      </c>
      <c r="L694" s="1">
        <v>1820238.7</v>
      </c>
      <c r="M694" s="1">
        <v>25</v>
      </c>
      <c r="N694" s="1">
        <v>289.98935849056602</v>
      </c>
      <c r="O694" s="1">
        <v>207.3636025652942</v>
      </c>
      <c r="P694" s="7">
        <v>45947</v>
      </c>
      <c r="Q694" s="1">
        <v>30000</v>
      </c>
      <c r="R694" s="7">
        <v>46154.363602569443</v>
      </c>
      <c r="S694" s="7">
        <v>46154</v>
      </c>
      <c r="T694" s="7" t="str">
        <f t="shared" si="0"/>
        <v>mayo</v>
      </c>
      <c r="U694" s="1" t="s">
        <v>330</v>
      </c>
      <c r="X694" s="1" t="s">
        <v>452</v>
      </c>
      <c r="Y694" s="1" t="s">
        <v>453</v>
      </c>
      <c r="Z694" s="1">
        <v>1</v>
      </c>
      <c r="AA694" s="3">
        <v>13118.81</v>
      </c>
      <c r="AB694" s="3">
        <v>13118.81</v>
      </c>
      <c r="AC694" s="1" t="str">
        <f>VLOOKUP(A694,[1]Detalle!$D$2:$CW$484,98,FALSE)</f>
        <v>Expreso - Servicios Troncales</v>
      </c>
    </row>
    <row r="695" spans="1:29" ht="14.25" customHeight="1" x14ac:dyDescent="0.3">
      <c r="A695" s="1" t="s">
        <v>175</v>
      </c>
      <c r="B695" s="1" t="s">
        <v>427</v>
      </c>
      <c r="C695" s="1" t="s">
        <v>451</v>
      </c>
      <c r="D695" s="1" t="s">
        <v>451</v>
      </c>
      <c r="E695" s="1">
        <v>0.5</v>
      </c>
      <c r="F695" s="1" t="s">
        <v>344</v>
      </c>
      <c r="G695" s="6">
        <v>45763</v>
      </c>
      <c r="H695" s="1">
        <v>1556403</v>
      </c>
      <c r="I695" s="1">
        <v>1586403</v>
      </c>
      <c r="J695" s="1">
        <v>17285.8</v>
      </c>
      <c r="K695" s="1">
        <v>12714.2</v>
      </c>
      <c r="L695" s="1">
        <v>1573688.8</v>
      </c>
      <c r="M695" s="1">
        <v>184</v>
      </c>
      <c r="N695" s="1">
        <v>81.249174917491729</v>
      </c>
      <c r="O695" s="1">
        <v>135.33725948466369</v>
      </c>
      <c r="P695" s="7">
        <v>45947</v>
      </c>
      <c r="Q695" s="1">
        <v>30000</v>
      </c>
      <c r="R695" s="7">
        <v>46082.337259479173</v>
      </c>
      <c r="S695" s="7">
        <v>46082</v>
      </c>
      <c r="T695" s="7" t="str">
        <f t="shared" si="0"/>
        <v>marzo</v>
      </c>
      <c r="U695" s="1" t="s">
        <v>330</v>
      </c>
      <c r="X695" s="1" t="s">
        <v>345</v>
      </c>
      <c r="Y695" s="1" t="s">
        <v>346</v>
      </c>
      <c r="Z695" s="1">
        <v>1</v>
      </c>
      <c r="AA695" s="3">
        <v>10535.04</v>
      </c>
      <c r="AB695" s="3">
        <v>10535.04</v>
      </c>
      <c r="AC695" s="1" t="str">
        <f>VLOOKUP(A695,[1]Detalle!$D$2:$CW$484,98,FALSE)</f>
        <v>JOHNSON - SC JOHNSON DE ARGENTINA SAIC</v>
      </c>
    </row>
    <row r="696" spans="1:29" ht="14.25" customHeight="1" x14ac:dyDescent="0.3">
      <c r="A696" s="1" t="s">
        <v>175</v>
      </c>
      <c r="B696" s="1" t="s">
        <v>427</v>
      </c>
      <c r="C696" s="1" t="s">
        <v>451</v>
      </c>
      <c r="D696" s="1" t="s">
        <v>451</v>
      </c>
      <c r="E696" s="1">
        <v>0.5</v>
      </c>
      <c r="F696" s="1" t="s">
        <v>344</v>
      </c>
      <c r="G696" s="6">
        <v>45763</v>
      </c>
      <c r="H696" s="1">
        <v>1556403</v>
      </c>
      <c r="I696" s="1">
        <v>1586403</v>
      </c>
      <c r="J696" s="1">
        <v>17285.8</v>
      </c>
      <c r="K696" s="1">
        <v>12714.2</v>
      </c>
      <c r="L696" s="1">
        <v>1573688.8</v>
      </c>
      <c r="M696" s="1">
        <v>184</v>
      </c>
      <c r="N696" s="1">
        <v>81.249174917491729</v>
      </c>
      <c r="O696" s="1">
        <v>135.33725948466369</v>
      </c>
      <c r="P696" s="7">
        <v>45947</v>
      </c>
      <c r="Q696" s="1">
        <v>30000</v>
      </c>
      <c r="R696" s="7">
        <v>46082.337259479173</v>
      </c>
      <c r="S696" s="7">
        <v>46082</v>
      </c>
      <c r="T696" s="7" t="str">
        <f t="shared" si="0"/>
        <v>marzo</v>
      </c>
      <c r="U696" s="1" t="s">
        <v>330</v>
      </c>
      <c r="X696" s="1" t="s">
        <v>452</v>
      </c>
      <c r="Y696" s="1" t="s">
        <v>453</v>
      </c>
      <c r="Z696" s="1">
        <v>1</v>
      </c>
      <c r="AA696" s="3">
        <v>13118.81</v>
      </c>
      <c r="AB696" s="3">
        <v>13118.81</v>
      </c>
      <c r="AC696" s="1" t="str">
        <f>VLOOKUP(A696,[1]Detalle!$D$2:$CW$484,98,FALSE)</f>
        <v>JOHNSON - SC JOHNSON DE ARGENTINA SAIC</v>
      </c>
    </row>
    <row r="697" spans="1:29" ht="14.25" customHeight="1" x14ac:dyDescent="0.3">
      <c r="A697" s="1" t="s">
        <v>216</v>
      </c>
      <c r="B697" s="1" t="s">
        <v>427</v>
      </c>
      <c r="C697" s="1" t="s">
        <v>451</v>
      </c>
      <c r="D697" s="1" t="s">
        <v>451</v>
      </c>
      <c r="E697" s="1">
        <v>0.5</v>
      </c>
      <c r="F697" s="1" t="s">
        <v>344</v>
      </c>
      <c r="G697" s="6">
        <v>45859</v>
      </c>
      <c r="H697" s="1">
        <v>1612281</v>
      </c>
      <c r="I697" s="1">
        <v>1642281</v>
      </c>
      <c r="J697" s="1">
        <v>5237.8999999999996</v>
      </c>
      <c r="K697" s="1">
        <v>24762.1</v>
      </c>
      <c r="L697" s="1">
        <v>1617518.9</v>
      </c>
      <c r="M697" s="1">
        <v>88</v>
      </c>
      <c r="N697" s="1">
        <v>69.384019292604506</v>
      </c>
      <c r="O697" s="1">
        <v>416.0187861547567</v>
      </c>
      <c r="P697" s="7">
        <v>45947</v>
      </c>
      <c r="Q697" s="1">
        <v>30000</v>
      </c>
      <c r="R697" s="7">
        <v>46363.018786157409</v>
      </c>
      <c r="S697" s="7">
        <v>46363</v>
      </c>
      <c r="T697" s="7" t="str">
        <f t="shared" si="0"/>
        <v>diciembre</v>
      </c>
      <c r="U697" s="1" t="s">
        <v>330</v>
      </c>
      <c r="X697" s="1" t="s">
        <v>345</v>
      </c>
      <c r="Y697" s="1" t="s">
        <v>346</v>
      </c>
      <c r="Z697" s="1">
        <v>1</v>
      </c>
      <c r="AA697" s="3">
        <v>10535.04</v>
      </c>
      <c r="AB697" s="3">
        <v>10535.04</v>
      </c>
      <c r="AC697" s="1" t="str">
        <f>VLOOKUP(A697,[1]Detalle!$D$2:$CW$484,98,FALSE)</f>
        <v>Arcor S.A.I.C.</v>
      </c>
    </row>
    <row r="698" spans="1:29" ht="14.25" customHeight="1" x14ac:dyDescent="0.3">
      <c r="A698" s="1" t="s">
        <v>216</v>
      </c>
      <c r="B698" s="1" t="s">
        <v>427</v>
      </c>
      <c r="C698" s="1" t="s">
        <v>451</v>
      </c>
      <c r="D698" s="1" t="s">
        <v>451</v>
      </c>
      <c r="E698" s="1">
        <v>0.5</v>
      </c>
      <c r="F698" s="1" t="s">
        <v>344</v>
      </c>
      <c r="G698" s="6">
        <v>45859</v>
      </c>
      <c r="H698" s="1">
        <v>1612281</v>
      </c>
      <c r="I698" s="1">
        <v>1642281</v>
      </c>
      <c r="J698" s="1">
        <v>5237.8999999999996</v>
      </c>
      <c r="K698" s="1">
        <v>24762.1</v>
      </c>
      <c r="L698" s="1">
        <v>1617518.9</v>
      </c>
      <c r="M698" s="1">
        <v>88</v>
      </c>
      <c r="N698" s="1">
        <v>69.384019292604506</v>
      </c>
      <c r="O698" s="1">
        <v>416.0187861547567</v>
      </c>
      <c r="P698" s="7">
        <v>45947</v>
      </c>
      <c r="Q698" s="1">
        <v>30000</v>
      </c>
      <c r="R698" s="7">
        <v>46363.018786157409</v>
      </c>
      <c r="S698" s="7">
        <v>46363</v>
      </c>
      <c r="T698" s="7" t="str">
        <f t="shared" si="0"/>
        <v>diciembre</v>
      </c>
      <c r="U698" s="1" t="s">
        <v>330</v>
      </c>
      <c r="X698" s="1" t="s">
        <v>452</v>
      </c>
      <c r="Y698" s="1" t="s">
        <v>453</v>
      </c>
      <c r="Z698" s="1">
        <v>1</v>
      </c>
      <c r="AA698" s="3">
        <v>13118.81</v>
      </c>
      <c r="AB698" s="3">
        <v>13118.81</v>
      </c>
      <c r="AC698" s="1" t="str">
        <f>VLOOKUP(A698,[1]Detalle!$D$2:$CW$484,98,FALSE)</f>
        <v>Arcor S.A.I.C.</v>
      </c>
    </row>
    <row r="699" spans="1:29" ht="14.25" customHeight="1" x14ac:dyDescent="0.3">
      <c r="A699" s="1" t="s">
        <v>98</v>
      </c>
      <c r="B699" s="1" t="s">
        <v>429</v>
      </c>
      <c r="C699" s="1" t="s">
        <v>451</v>
      </c>
      <c r="D699" s="1" t="s">
        <v>451</v>
      </c>
      <c r="E699" s="1">
        <v>0.5</v>
      </c>
      <c r="F699" s="1" t="s">
        <v>344</v>
      </c>
      <c r="G699" s="6">
        <v>45799</v>
      </c>
      <c r="H699" s="1">
        <v>34072.6</v>
      </c>
      <c r="I699" s="1">
        <v>64072.6</v>
      </c>
      <c r="J699" s="1">
        <v>9725.4000000000015</v>
      </c>
      <c r="K699" s="1">
        <v>20274.599999999999</v>
      </c>
      <c r="L699" s="1">
        <v>43798</v>
      </c>
      <c r="M699" s="1">
        <v>148</v>
      </c>
      <c r="N699" s="1">
        <v>61.669847328244273</v>
      </c>
      <c r="O699" s="1">
        <v>308.53649207230552</v>
      </c>
      <c r="P699" s="7">
        <v>45947</v>
      </c>
      <c r="Q699" s="1">
        <v>30000</v>
      </c>
      <c r="R699" s="7">
        <v>46255.536492071762</v>
      </c>
      <c r="S699" s="7">
        <v>46255</v>
      </c>
      <c r="T699" s="7" t="str">
        <f t="shared" si="0"/>
        <v>agosto</v>
      </c>
      <c r="U699" s="1" t="s">
        <v>330</v>
      </c>
      <c r="X699" s="1" t="s">
        <v>345</v>
      </c>
      <c r="Y699" s="1" t="s">
        <v>346</v>
      </c>
      <c r="Z699" s="1">
        <v>1</v>
      </c>
      <c r="AA699" s="3">
        <v>10535.04</v>
      </c>
      <c r="AB699" s="3">
        <v>10535.04</v>
      </c>
      <c r="AC699" s="1" t="str">
        <f>VLOOKUP(A699,[1]Detalle!$D$2:$CW$484,98,FALSE)</f>
        <v>Arcor S.A.I.C.</v>
      </c>
    </row>
    <row r="700" spans="1:29" ht="14.25" customHeight="1" x14ac:dyDescent="0.3">
      <c r="A700" s="1" t="s">
        <v>98</v>
      </c>
      <c r="B700" s="1" t="s">
        <v>429</v>
      </c>
      <c r="C700" s="1" t="s">
        <v>451</v>
      </c>
      <c r="D700" s="1" t="s">
        <v>451</v>
      </c>
      <c r="E700" s="1">
        <v>0.5</v>
      </c>
      <c r="F700" s="1" t="s">
        <v>344</v>
      </c>
      <c r="G700" s="6">
        <v>45799</v>
      </c>
      <c r="H700" s="1">
        <v>34072.6</v>
      </c>
      <c r="I700" s="1">
        <v>64072.6</v>
      </c>
      <c r="J700" s="1">
        <v>9725.4000000000015</v>
      </c>
      <c r="K700" s="1">
        <v>20274.599999999999</v>
      </c>
      <c r="L700" s="1">
        <v>43798</v>
      </c>
      <c r="M700" s="1">
        <v>148</v>
      </c>
      <c r="N700" s="1">
        <v>61.669847328244273</v>
      </c>
      <c r="O700" s="1">
        <v>308.53649207230552</v>
      </c>
      <c r="P700" s="7">
        <v>45947</v>
      </c>
      <c r="Q700" s="1">
        <v>30000</v>
      </c>
      <c r="R700" s="7">
        <v>46255.536492071762</v>
      </c>
      <c r="S700" s="7">
        <v>46255</v>
      </c>
      <c r="T700" s="7" t="str">
        <f t="shared" si="0"/>
        <v>agosto</v>
      </c>
      <c r="U700" s="1" t="s">
        <v>330</v>
      </c>
      <c r="X700" s="1" t="s">
        <v>452</v>
      </c>
      <c r="Y700" s="1" t="s">
        <v>453</v>
      </c>
      <c r="Z700" s="1">
        <v>1</v>
      </c>
      <c r="AA700" s="3">
        <v>13118.81</v>
      </c>
      <c r="AB700" s="3">
        <v>13118.81</v>
      </c>
      <c r="AC700" s="1" t="str">
        <f>VLOOKUP(A700,[1]Detalle!$D$2:$CW$484,98,FALSE)</f>
        <v>Arcor S.A.I.C.</v>
      </c>
    </row>
    <row r="701" spans="1:29" ht="14.25" customHeight="1" x14ac:dyDescent="0.3">
      <c r="A701" s="1" t="s">
        <v>5</v>
      </c>
      <c r="B701" s="1" t="s">
        <v>435</v>
      </c>
      <c r="C701" s="1" t="s">
        <v>454</v>
      </c>
      <c r="D701" s="1" t="s">
        <v>451</v>
      </c>
      <c r="E701" s="1">
        <v>0.5</v>
      </c>
      <c r="F701" s="1" t="s">
        <v>344</v>
      </c>
      <c r="G701" s="6">
        <v>45910</v>
      </c>
      <c r="H701" s="1">
        <v>710185</v>
      </c>
      <c r="I701" s="1">
        <v>740185</v>
      </c>
      <c r="J701" s="1">
        <v>5358.4999999999991</v>
      </c>
      <c r="K701" s="1">
        <v>24641.5</v>
      </c>
      <c r="L701" s="1">
        <v>715543.5</v>
      </c>
      <c r="M701" s="1">
        <v>37</v>
      </c>
      <c r="N701" s="1">
        <v>276.33435114503811</v>
      </c>
      <c r="O701" s="1">
        <v>170.14752262760101</v>
      </c>
      <c r="P701" s="7">
        <v>45947</v>
      </c>
      <c r="Q701" s="1">
        <v>30000</v>
      </c>
      <c r="R701" s="7">
        <v>46117.147522627318</v>
      </c>
      <c r="S701" s="7">
        <v>46117</v>
      </c>
      <c r="T701" s="7" t="str">
        <f t="shared" si="0"/>
        <v>abril</v>
      </c>
      <c r="U701" s="1" t="s">
        <v>330</v>
      </c>
      <c r="X701" s="1" t="s">
        <v>455</v>
      </c>
      <c r="Y701" s="1" t="s">
        <v>456</v>
      </c>
      <c r="Z701" s="1">
        <v>1</v>
      </c>
      <c r="AA701" s="3">
        <v>19823.39</v>
      </c>
      <c r="AB701" s="3">
        <v>19823.39</v>
      </c>
      <c r="AC701" s="1" t="str">
        <f>VLOOKUP(A701,[1]Detalle!$D$2:$CW$484,98,FALSE)</f>
        <v>ADA_CH - Danone Arg. S.A. - Chascomus</v>
      </c>
    </row>
    <row r="702" spans="1:29" ht="14.25" customHeight="1" x14ac:dyDescent="0.3">
      <c r="A702" s="1" t="s">
        <v>5</v>
      </c>
      <c r="B702" s="1" t="s">
        <v>435</v>
      </c>
      <c r="C702" s="1" t="s">
        <v>454</v>
      </c>
      <c r="D702" s="1" t="s">
        <v>451</v>
      </c>
      <c r="E702" s="1">
        <v>0.5</v>
      </c>
      <c r="F702" s="1" t="s">
        <v>344</v>
      </c>
      <c r="G702" s="6">
        <v>45910</v>
      </c>
      <c r="H702" s="1">
        <v>710185</v>
      </c>
      <c r="I702" s="1">
        <v>740185</v>
      </c>
      <c r="J702" s="1">
        <v>5358.4999999999991</v>
      </c>
      <c r="K702" s="1">
        <v>24641.5</v>
      </c>
      <c r="L702" s="1">
        <v>715543.5</v>
      </c>
      <c r="M702" s="1">
        <v>37</v>
      </c>
      <c r="N702" s="1">
        <v>276.33435114503811</v>
      </c>
      <c r="O702" s="1">
        <v>170.14752262760101</v>
      </c>
      <c r="P702" s="7">
        <v>45947</v>
      </c>
      <c r="Q702" s="1">
        <v>30000</v>
      </c>
      <c r="R702" s="7">
        <v>46117.147522627318</v>
      </c>
      <c r="S702" s="7">
        <v>46117</v>
      </c>
      <c r="T702" s="7" t="str">
        <f t="shared" si="0"/>
        <v>abril</v>
      </c>
      <c r="U702" s="1" t="s">
        <v>330</v>
      </c>
      <c r="X702" s="1" t="s">
        <v>452</v>
      </c>
      <c r="Y702" s="1" t="s">
        <v>453</v>
      </c>
      <c r="Z702" s="1">
        <v>1</v>
      </c>
      <c r="AA702" s="3">
        <v>13118.81</v>
      </c>
      <c r="AB702" s="3">
        <v>13118.81</v>
      </c>
      <c r="AC702" s="1" t="str">
        <f>VLOOKUP(A702,[1]Detalle!$D$2:$CW$484,98,FALSE)</f>
        <v>ADA_CH - Danone Arg. S.A. - Chascomus</v>
      </c>
    </row>
    <row r="703" spans="1:29" ht="14.25" customHeight="1" x14ac:dyDescent="0.3">
      <c r="A703" s="1" t="s">
        <v>8</v>
      </c>
      <c r="B703" s="1" t="s">
        <v>435</v>
      </c>
      <c r="C703" s="1" t="s">
        <v>454</v>
      </c>
      <c r="D703" s="1" t="s">
        <v>451</v>
      </c>
      <c r="E703" s="1">
        <v>0.5</v>
      </c>
      <c r="F703" s="1" t="s">
        <v>344</v>
      </c>
      <c r="G703" s="6">
        <v>45880</v>
      </c>
      <c r="H703" s="1">
        <v>722255</v>
      </c>
      <c r="I703" s="1">
        <v>752255</v>
      </c>
      <c r="J703" s="1">
        <v>15317.7</v>
      </c>
      <c r="K703" s="1">
        <v>14682.3</v>
      </c>
      <c r="L703" s="1">
        <v>737572.7</v>
      </c>
      <c r="M703" s="1">
        <v>67</v>
      </c>
      <c r="N703" s="1">
        <v>286.50848708487092</v>
      </c>
      <c r="O703" s="1">
        <v>64.220744628762787</v>
      </c>
      <c r="P703" s="7">
        <v>45947</v>
      </c>
      <c r="Q703" s="1">
        <v>30000</v>
      </c>
      <c r="R703" s="7">
        <v>46115.9296846875</v>
      </c>
      <c r="S703" s="7">
        <v>46115</v>
      </c>
      <c r="T703" s="7" t="str">
        <f t="shared" si="0"/>
        <v>abril</v>
      </c>
      <c r="U703" s="1" t="s">
        <v>330</v>
      </c>
      <c r="X703" s="1" t="s">
        <v>455</v>
      </c>
      <c r="Y703" s="1" t="s">
        <v>456</v>
      </c>
      <c r="Z703" s="1">
        <v>1</v>
      </c>
      <c r="AA703" s="3">
        <v>19823.39</v>
      </c>
      <c r="AB703" s="3">
        <v>19823.39</v>
      </c>
      <c r="AC703" s="1" t="str">
        <f>VLOOKUP(A703,[1]Detalle!$D$2:$CW$484,98,FALSE)</f>
        <v>ADA_CH - Danone Arg. S.A. - Chascomus</v>
      </c>
    </row>
    <row r="704" spans="1:29" ht="14.25" customHeight="1" x14ac:dyDescent="0.3">
      <c r="A704" s="1" t="s">
        <v>8</v>
      </c>
      <c r="B704" s="1" t="s">
        <v>435</v>
      </c>
      <c r="C704" s="1" t="s">
        <v>454</v>
      </c>
      <c r="D704" s="1" t="s">
        <v>451</v>
      </c>
      <c r="E704" s="1">
        <v>0.5</v>
      </c>
      <c r="F704" s="1" t="s">
        <v>344</v>
      </c>
      <c r="G704" s="6">
        <v>45880</v>
      </c>
      <c r="H704" s="1">
        <v>722255</v>
      </c>
      <c r="I704" s="1">
        <v>752255</v>
      </c>
      <c r="J704" s="1">
        <v>15317.7</v>
      </c>
      <c r="K704" s="1">
        <v>14682.3</v>
      </c>
      <c r="L704" s="1">
        <v>737572.7</v>
      </c>
      <c r="M704" s="1">
        <v>67</v>
      </c>
      <c r="N704" s="1">
        <v>286.50848708487092</v>
      </c>
      <c r="O704" s="1">
        <v>64.220744628762787</v>
      </c>
      <c r="P704" s="7">
        <v>45947</v>
      </c>
      <c r="Q704" s="1">
        <v>30000</v>
      </c>
      <c r="R704" s="7">
        <v>46115.9296846875</v>
      </c>
      <c r="S704" s="7">
        <v>46115</v>
      </c>
      <c r="T704" s="7" t="str">
        <f t="shared" si="0"/>
        <v>abril</v>
      </c>
      <c r="U704" s="1" t="s">
        <v>330</v>
      </c>
      <c r="X704" s="1" t="s">
        <v>452</v>
      </c>
      <c r="Y704" s="1" t="s">
        <v>453</v>
      </c>
      <c r="Z704" s="1">
        <v>1</v>
      </c>
      <c r="AA704" s="3">
        <v>13118.81</v>
      </c>
      <c r="AB704" s="3">
        <v>13118.81</v>
      </c>
      <c r="AC704" s="1" t="str">
        <f>VLOOKUP(A704,[1]Detalle!$D$2:$CW$484,98,FALSE)</f>
        <v>ADA_CH - Danone Arg. S.A. - Chascomus</v>
      </c>
    </row>
    <row r="705" spans="1:29" ht="14.25" customHeight="1" x14ac:dyDescent="0.3">
      <c r="A705" s="1" t="s">
        <v>11</v>
      </c>
      <c r="B705" s="1" t="s">
        <v>435</v>
      </c>
      <c r="C705" s="1" t="s">
        <v>454</v>
      </c>
      <c r="D705" s="1" t="s">
        <v>451</v>
      </c>
      <c r="E705" s="1">
        <v>0.5</v>
      </c>
      <c r="F705" s="1" t="s">
        <v>344</v>
      </c>
      <c r="G705" s="6">
        <v>45853</v>
      </c>
      <c r="H705" s="1">
        <v>769430</v>
      </c>
      <c r="I705" s="1">
        <v>799430</v>
      </c>
      <c r="J705" s="1">
        <v>24465.80000000001</v>
      </c>
      <c r="K705" s="1">
        <v>5534.1999999999935</v>
      </c>
      <c r="L705" s="1">
        <v>793895.8</v>
      </c>
      <c r="M705" s="1">
        <v>94</v>
      </c>
      <c r="N705" s="1">
        <v>323.09338235294098</v>
      </c>
      <c r="O705" s="1">
        <v>21.262938469210049</v>
      </c>
      <c r="P705" s="7">
        <v>45947</v>
      </c>
      <c r="Q705" s="1">
        <v>30000</v>
      </c>
      <c r="R705" s="7">
        <v>46061.115350925917</v>
      </c>
      <c r="S705" s="7">
        <v>46061</v>
      </c>
      <c r="T705" s="7" t="str">
        <f t="shared" si="0"/>
        <v>febrero</v>
      </c>
      <c r="U705" s="1" t="s">
        <v>330</v>
      </c>
      <c r="X705" s="1" t="s">
        <v>455</v>
      </c>
      <c r="Y705" s="1" t="s">
        <v>456</v>
      </c>
      <c r="Z705" s="1">
        <v>1</v>
      </c>
      <c r="AA705" s="3">
        <v>19823.39</v>
      </c>
      <c r="AB705" s="3">
        <v>19823.39</v>
      </c>
      <c r="AC705" s="1" t="str">
        <f>VLOOKUP(A705,[1]Detalle!$D$2:$CW$484,98,FALSE)</f>
        <v>ADA_CH - Danone Arg. S.A. - Chascomus</v>
      </c>
    </row>
    <row r="706" spans="1:29" ht="14.25" customHeight="1" x14ac:dyDescent="0.3">
      <c r="A706" s="1" t="s">
        <v>11</v>
      </c>
      <c r="B706" s="1" t="s">
        <v>435</v>
      </c>
      <c r="C706" s="1" t="s">
        <v>454</v>
      </c>
      <c r="D706" s="1" t="s">
        <v>451</v>
      </c>
      <c r="E706" s="1">
        <v>0.5</v>
      </c>
      <c r="F706" s="1" t="s">
        <v>344</v>
      </c>
      <c r="G706" s="6">
        <v>45853</v>
      </c>
      <c r="H706" s="1">
        <v>769430</v>
      </c>
      <c r="I706" s="1">
        <v>799430</v>
      </c>
      <c r="J706" s="1">
        <v>24465.80000000001</v>
      </c>
      <c r="K706" s="1">
        <v>5534.1999999999935</v>
      </c>
      <c r="L706" s="1">
        <v>793895.8</v>
      </c>
      <c r="M706" s="1">
        <v>94</v>
      </c>
      <c r="N706" s="1">
        <v>323.09338235294098</v>
      </c>
      <c r="O706" s="1">
        <v>21.262938469210049</v>
      </c>
      <c r="P706" s="7">
        <v>45947</v>
      </c>
      <c r="Q706" s="1">
        <v>30000</v>
      </c>
      <c r="R706" s="7">
        <v>46061.115350925917</v>
      </c>
      <c r="S706" s="7">
        <v>46061</v>
      </c>
      <c r="T706" s="7" t="str">
        <f t="shared" si="0"/>
        <v>febrero</v>
      </c>
      <c r="U706" s="1" t="s">
        <v>330</v>
      </c>
      <c r="X706" s="1" t="s">
        <v>452</v>
      </c>
      <c r="Y706" s="1" t="s">
        <v>453</v>
      </c>
      <c r="Z706" s="1">
        <v>1</v>
      </c>
      <c r="AA706" s="3">
        <v>13118.81</v>
      </c>
      <c r="AB706" s="3">
        <v>13118.81</v>
      </c>
      <c r="AC706" s="1" t="str">
        <f>VLOOKUP(A706,[1]Detalle!$D$2:$CW$484,98,FALSE)</f>
        <v>ADA_CH - Danone Arg. S.A. - Chascomus</v>
      </c>
    </row>
    <row r="707" spans="1:29" ht="14.25" customHeight="1" x14ac:dyDescent="0.3">
      <c r="A707" s="1" t="s">
        <v>10</v>
      </c>
      <c r="B707" s="1" t="s">
        <v>435</v>
      </c>
      <c r="C707" s="1" t="s">
        <v>454</v>
      </c>
      <c r="D707" s="1" t="s">
        <v>451</v>
      </c>
      <c r="E707" s="1">
        <v>0.5</v>
      </c>
      <c r="F707" s="1" t="s">
        <v>344</v>
      </c>
      <c r="G707" s="6">
        <v>45864</v>
      </c>
      <c r="H707" s="1">
        <v>699069</v>
      </c>
      <c r="I707" s="1">
        <v>729069</v>
      </c>
      <c r="J707" s="1">
        <v>14311.7</v>
      </c>
      <c r="K707" s="1">
        <v>15688.3</v>
      </c>
      <c r="L707" s="1">
        <v>713380.7</v>
      </c>
      <c r="M707" s="1">
        <v>83</v>
      </c>
      <c r="N707" s="1">
        <v>266.81618518518519</v>
      </c>
      <c r="O707" s="1">
        <v>90.983523969898769</v>
      </c>
      <c r="P707" s="7">
        <v>45947</v>
      </c>
      <c r="Q707" s="1">
        <v>30000</v>
      </c>
      <c r="R707" s="7">
        <v>46037.98352396991</v>
      </c>
      <c r="S707" s="7">
        <v>46037</v>
      </c>
      <c r="T707" s="7" t="str">
        <f t="shared" si="0"/>
        <v>enero</v>
      </c>
      <c r="U707" s="1" t="s">
        <v>330</v>
      </c>
      <c r="X707" s="1" t="s">
        <v>455</v>
      </c>
      <c r="Y707" s="1" t="s">
        <v>456</v>
      </c>
      <c r="Z707" s="1">
        <v>1</v>
      </c>
      <c r="AA707" s="3">
        <v>19823.39</v>
      </c>
      <c r="AB707" s="3">
        <v>19823.39</v>
      </c>
      <c r="AC707" s="1" t="str">
        <f>VLOOKUP(A707,[1]Detalle!$D$2:$CW$484,98,FALSE)</f>
        <v>ADA_CH - Danone Arg. S.A. - Chascomus</v>
      </c>
    </row>
    <row r="708" spans="1:29" ht="14.25" customHeight="1" x14ac:dyDescent="0.3">
      <c r="A708" s="1" t="s">
        <v>10</v>
      </c>
      <c r="B708" s="1" t="s">
        <v>435</v>
      </c>
      <c r="C708" s="1" t="s">
        <v>454</v>
      </c>
      <c r="D708" s="1" t="s">
        <v>451</v>
      </c>
      <c r="E708" s="1">
        <v>0.5</v>
      </c>
      <c r="F708" s="1" t="s">
        <v>344</v>
      </c>
      <c r="G708" s="6">
        <v>45864</v>
      </c>
      <c r="H708" s="1">
        <v>699069</v>
      </c>
      <c r="I708" s="1">
        <v>729069</v>
      </c>
      <c r="J708" s="1">
        <v>14311.7</v>
      </c>
      <c r="K708" s="1">
        <v>15688.3</v>
      </c>
      <c r="L708" s="1">
        <v>713380.7</v>
      </c>
      <c r="M708" s="1">
        <v>83</v>
      </c>
      <c r="N708" s="1">
        <v>266.81618518518519</v>
      </c>
      <c r="O708" s="1">
        <v>90.983523969898769</v>
      </c>
      <c r="P708" s="7">
        <v>45947</v>
      </c>
      <c r="Q708" s="1">
        <v>30000</v>
      </c>
      <c r="R708" s="7">
        <v>46037.98352396991</v>
      </c>
      <c r="S708" s="7">
        <v>46037</v>
      </c>
      <c r="T708" s="7" t="str">
        <f t="shared" si="0"/>
        <v>enero</v>
      </c>
      <c r="U708" s="1" t="s">
        <v>330</v>
      </c>
      <c r="X708" s="1" t="s">
        <v>452</v>
      </c>
      <c r="Y708" s="1" t="s">
        <v>453</v>
      </c>
      <c r="Z708" s="1">
        <v>1</v>
      </c>
      <c r="AA708" s="3">
        <v>13118.81</v>
      </c>
      <c r="AB708" s="3">
        <v>13118.81</v>
      </c>
      <c r="AC708" s="1" t="str">
        <f>VLOOKUP(A708,[1]Detalle!$D$2:$CW$484,98,FALSE)</f>
        <v>ADA_CH - Danone Arg. S.A. - Chascomus</v>
      </c>
    </row>
    <row r="709" spans="1:29" ht="14.25" customHeight="1" x14ac:dyDescent="0.3">
      <c r="A709" s="1" t="s">
        <v>14</v>
      </c>
      <c r="B709" s="1" t="s">
        <v>435</v>
      </c>
      <c r="C709" s="1" t="s">
        <v>454</v>
      </c>
      <c r="D709" s="1" t="s">
        <v>451</v>
      </c>
      <c r="E709" s="1">
        <v>0.5</v>
      </c>
      <c r="F709" s="1" t="s">
        <v>344</v>
      </c>
      <c r="G709" s="6">
        <v>45877</v>
      </c>
      <c r="H709" s="1">
        <v>770332</v>
      </c>
      <c r="I709" s="1">
        <v>800332</v>
      </c>
      <c r="J709" s="1">
        <v>13259.4</v>
      </c>
      <c r="K709" s="1">
        <v>16740.599999999999</v>
      </c>
      <c r="L709" s="1">
        <v>783591.4</v>
      </c>
      <c r="M709" s="1">
        <v>70</v>
      </c>
      <c r="N709" s="1">
        <v>276.97442748091589</v>
      </c>
      <c r="O709" s="1">
        <v>88.378207158694963</v>
      </c>
      <c r="P709" s="7">
        <v>45947</v>
      </c>
      <c r="Q709" s="1">
        <v>30000</v>
      </c>
      <c r="R709" s="7">
        <v>46035.378207164351</v>
      </c>
      <c r="S709" s="7">
        <v>46035</v>
      </c>
      <c r="T709" s="7" t="str">
        <f t="shared" si="0"/>
        <v>enero</v>
      </c>
      <c r="U709" s="1" t="s">
        <v>330</v>
      </c>
      <c r="X709" s="1" t="s">
        <v>455</v>
      </c>
      <c r="Y709" s="1" t="s">
        <v>456</v>
      </c>
      <c r="Z709" s="1">
        <v>1</v>
      </c>
      <c r="AA709" s="3">
        <v>19823.39</v>
      </c>
      <c r="AB709" s="3">
        <v>19823.39</v>
      </c>
      <c r="AC709" s="1" t="str">
        <f>VLOOKUP(A709,[1]Detalle!$D$2:$CW$484,98,FALSE)</f>
        <v>ADA_CH - Danone Arg. S.A. - Chascomus</v>
      </c>
    </row>
    <row r="710" spans="1:29" ht="14.25" customHeight="1" x14ac:dyDescent="0.3">
      <c r="A710" s="1" t="s">
        <v>14</v>
      </c>
      <c r="B710" s="1" t="s">
        <v>435</v>
      </c>
      <c r="C710" s="1" t="s">
        <v>454</v>
      </c>
      <c r="D710" s="1" t="s">
        <v>451</v>
      </c>
      <c r="E710" s="1">
        <v>0.5</v>
      </c>
      <c r="F710" s="1" t="s">
        <v>344</v>
      </c>
      <c r="G710" s="6">
        <v>45877</v>
      </c>
      <c r="H710" s="1">
        <v>770332</v>
      </c>
      <c r="I710" s="1">
        <v>800332</v>
      </c>
      <c r="J710" s="1">
        <v>13259.4</v>
      </c>
      <c r="K710" s="1">
        <v>16740.599999999999</v>
      </c>
      <c r="L710" s="1">
        <v>783591.4</v>
      </c>
      <c r="M710" s="1">
        <v>70</v>
      </c>
      <c r="N710" s="1">
        <v>276.97442748091589</v>
      </c>
      <c r="O710" s="1">
        <v>88.378207158694963</v>
      </c>
      <c r="P710" s="7">
        <v>45947</v>
      </c>
      <c r="Q710" s="1">
        <v>30000</v>
      </c>
      <c r="R710" s="7">
        <v>46035.378207164351</v>
      </c>
      <c r="S710" s="7">
        <v>46035</v>
      </c>
      <c r="T710" s="7" t="str">
        <f t="shared" si="0"/>
        <v>enero</v>
      </c>
      <c r="U710" s="1" t="s">
        <v>330</v>
      </c>
      <c r="X710" s="1" t="s">
        <v>452</v>
      </c>
      <c r="Y710" s="1" t="s">
        <v>453</v>
      </c>
      <c r="Z710" s="1">
        <v>1</v>
      </c>
      <c r="AA710" s="3">
        <v>13118.81</v>
      </c>
      <c r="AB710" s="3">
        <v>13118.81</v>
      </c>
      <c r="AC710" s="1" t="str">
        <f>VLOOKUP(A710,[1]Detalle!$D$2:$CW$484,98,FALSE)</f>
        <v>ADA_CH - Danone Arg. S.A. - Chascomus</v>
      </c>
    </row>
    <row r="711" spans="1:29" ht="14.25" customHeight="1" x14ac:dyDescent="0.3">
      <c r="A711" s="1" t="s">
        <v>12</v>
      </c>
      <c r="B711" s="1" t="s">
        <v>435</v>
      </c>
      <c r="C711" s="1" t="s">
        <v>454</v>
      </c>
      <c r="D711" s="1" t="s">
        <v>451</v>
      </c>
      <c r="E711" s="1">
        <v>0.5</v>
      </c>
      <c r="F711" s="1" t="s">
        <v>344</v>
      </c>
      <c r="G711" s="6">
        <v>45930</v>
      </c>
      <c r="H711" s="1">
        <v>845528</v>
      </c>
      <c r="I711" s="1">
        <v>875528</v>
      </c>
      <c r="J711" s="1">
        <v>0</v>
      </c>
      <c r="K711" s="1">
        <v>30000</v>
      </c>
      <c r="L711" s="1">
        <v>845528</v>
      </c>
      <c r="M711" s="1">
        <v>17</v>
      </c>
      <c r="N711" s="1">
        <v>323.35572519083951</v>
      </c>
      <c r="O711" s="1">
        <v>300</v>
      </c>
      <c r="P711" s="7">
        <v>45947</v>
      </c>
      <c r="Q711" s="1">
        <v>30000</v>
      </c>
      <c r="R711" s="7">
        <v>46247</v>
      </c>
      <c r="S711" s="7">
        <v>46247</v>
      </c>
      <c r="T711" s="7" t="str">
        <f t="shared" si="0"/>
        <v>agosto</v>
      </c>
      <c r="U711" s="1" t="s">
        <v>330</v>
      </c>
      <c r="X711" s="1" t="s">
        <v>455</v>
      </c>
      <c r="Y711" s="1" t="s">
        <v>456</v>
      </c>
      <c r="Z711" s="1">
        <v>1</v>
      </c>
      <c r="AA711" s="3">
        <v>19823.39</v>
      </c>
      <c r="AB711" s="3">
        <v>19823.39</v>
      </c>
      <c r="AC711" s="1" t="str">
        <f>VLOOKUP(A711,[1]Detalle!$D$2:$CW$484,98,FALSE)</f>
        <v>ADA_CH - Danone Arg. S.A. - Chascomus</v>
      </c>
    </row>
    <row r="712" spans="1:29" ht="14.25" customHeight="1" x14ac:dyDescent="0.3">
      <c r="A712" s="1" t="s">
        <v>12</v>
      </c>
      <c r="B712" s="1" t="s">
        <v>435</v>
      </c>
      <c r="C712" s="1" t="s">
        <v>454</v>
      </c>
      <c r="D712" s="1" t="s">
        <v>451</v>
      </c>
      <c r="E712" s="1">
        <v>0.5</v>
      </c>
      <c r="F712" s="1" t="s">
        <v>344</v>
      </c>
      <c r="G712" s="6">
        <v>45930</v>
      </c>
      <c r="H712" s="1">
        <v>845528</v>
      </c>
      <c r="I712" s="1">
        <v>875528</v>
      </c>
      <c r="J712" s="1">
        <v>0</v>
      </c>
      <c r="K712" s="1">
        <v>30000</v>
      </c>
      <c r="L712" s="1">
        <v>845528</v>
      </c>
      <c r="M712" s="1">
        <v>17</v>
      </c>
      <c r="N712" s="1">
        <v>323.35572519083951</v>
      </c>
      <c r="O712" s="1">
        <v>300</v>
      </c>
      <c r="P712" s="7">
        <v>45947</v>
      </c>
      <c r="Q712" s="1">
        <v>30000</v>
      </c>
      <c r="R712" s="7">
        <v>46247</v>
      </c>
      <c r="S712" s="7">
        <v>46247</v>
      </c>
      <c r="T712" s="7" t="str">
        <f t="shared" si="0"/>
        <v>agosto</v>
      </c>
      <c r="U712" s="1" t="s">
        <v>330</v>
      </c>
      <c r="X712" s="1" t="s">
        <v>452</v>
      </c>
      <c r="Y712" s="1" t="s">
        <v>453</v>
      </c>
      <c r="Z712" s="1">
        <v>1</v>
      </c>
      <c r="AA712" s="3">
        <v>13118.81</v>
      </c>
      <c r="AB712" s="3">
        <v>13118.81</v>
      </c>
      <c r="AC712" s="1" t="str">
        <f>VLOOKUP(A712,[1]Detalle!$D$2:$CW$484,98,FALSE)</f>
        <v>ADA_CH - Danone Arg. S.A. - Chascomus</v>
      </c>
    </row>
    <row r="713" spans="1:29" ht="14.25" customHeight="1" x14ac:dyDescent="0.3">
      <c r="A713" s="1" t="s">
        <v>13</v>
      </c>
      <c r="B713" s="1" t="s">
        <v>435</v>
      </c>
      <c r="C713" s="1" t="s">
        <v>454</v>
      </c>
      <c r="D713" s="1" t="s">
        <v>451</v>
      </c>
      <c r="E713" s="1">
        <v>0.5</v>
      </c>
      <c r="F713" s="1" t="s">
        <v>344</v>
      </c>
      <c r="G713" s="6">
        <v>45831</v>
      </c>
      <c r="H713" s="1">
        <v>751112</v>
      </c>
      <c r="I713" s="1">
        <v>781112</v>
      </c>
      <c r="J713" s="1">
        <v>30284.500000000011</v>
      </c>
      <c r="K713" s="1">
        <v>-284.50000000000728</v>
      </c>
      <c r="L713" s="1">
        <v>781396.5</v>
      </c>
      <c r="M713" s="1">
        <v>116</v>
      </c>
      <c r="N713" s="1">
        <v>303.34772058823529</v>
      </c>
      <c r="O713" s="1">
        <v>-1.089732371345105</v>
      </c>
      <c r="P713" s="7">
        <v>45947</v>
      </c>
      <c r="Q713" s="1">
        <v>30000</v>
      </c>
      <c r="R713" s="7">
        <v>46045.896408194443</v>
      </c>
      <c r="S713" s="7">
        <v>46045</v>
      </c>
      <c r="T713" s="7" t="str">
        <f t="shared" si="0"/>
        <v>enero</v>
      </c>
      <c r="U713" s="1" t="s">
        <v>330</v>
      </c>
      <c r="X713" s="1" t="s">
        <v>455</v>
      </c>
      <c r="Y713" s="1" t="s">
        <v>456</v>
      </c>
      <c r="Z713" s="1">
        <v>1</v>
      </c>
      <c r="AA713" s="3">
        <v>19823.39</v>
      </c>
      <c r="AB713" s="3">
        <v>19823.39</v>
      </c>
      <c r="AC713" s="1" t="str">
        <f>VLOOKUP(A713,[1]Detalle!$D$2:$CW$484,98,FALSE)</f>
        <v>ADA_CH - Danone Arg. S.A. - Chascomus</v>
      </c>
    </row>
    <row r="714" spans="1:29" ht="14.25" customHeight="1" x14ac:dyDescent="0.3">
      <c r="A714" s="1" t="s">
        <v>13</v>
      </c>
      <c r="B714" s="1" t="s">
        <v>435</v>
      </c>
      <c r="C714" s="1" t="s">
        <v>454</v>
      </c>
      <c r="D714" s="1" t="s">
        <v>451</v>
      </c>
      <c r="E714" s="1">
        <v>0.5</v>
      </c>
      <c r="F714" s="1" t="s">
        <v>344</v>
      </c>
      <c r="G714" s="6">
        <v>45831</v>
      </c>
      <c r="H714" s="1">
        <v>751112</v>
      </c>
      <c r="I714" s="1">
        <v>781112</v>
      </c>
      <c r="J714" s="1">
        <v>30284.500000000011</v>
      </c>
      <c r="K714" s="1">
        <v>-284.50000000000728</v>
      </c>
      <c r="L714" s="1">
        <v>781396.5</v>
      </c>
      <c r="M714" s="1">
        <v>116</v>
      </c>
      <c r="N714" s="1">
        <v>303.34772058823529</v>
      </c>
      <c r="O714" s="1">
        <v>-1.089732371345105</v>
      </c>
      <c r="P714" s="7">
        <v>45947</v>
      </c>
      <c r="Q714" s="1">
        <v>30000</v>
      </c>
      <c r="R714" s="7">
        <v>46045.896408194443</v>
      </c>
      <c r="S714" s="7">
        <v>46045</v>
      </c>
      <c r="T714" s="7" t="str">
        <f t="shared" si="0"/>
        <v>enero</v>
      </c>
      <c r="U714" s="1" t="s">
        <v>330</v>
      </c>
      <c r="X714" s="1" t="s">
        <v>452</v>
      </c>
      <c r="Y714" s="1" t="s">
        <v>453</v>
      </c>
      <c r="Z714" s="1">
        <v>1</v>
      </c>
      <c r="AA714" s="3">
        <v>13118.81</v>
      </c>
      <c r="AB714" s="3">
        <v>13118.81</v>
      </c>
      <c r="AC714" s="1" t="str">
        <f>VLOOKUP(A714,[1]Detalle!$D$2:$CW$484,98,FALSE)</f>
        <v>ADA_CH - Danone Arg. S.A. - Chascomus</v>
      </c>
    </row>
    <row r="715" spans="1:29" ht="14.25" customHeight="1" x14ac:dyDescent="0.3">
      <c r="A715" s="1" t="s">
        <v>6</v>
      </c>
      <c r="B715" s="1" t="s">
        <v>435</v>
      </c>
      <c r="C715" s="1" t="s">
        <v>454</v>
      </c>
      <c r="D715" s="1" t="s">
        <v>451</v>
      </c>
      <c r="E715" s="1">
        <v>0.5</v>
      </c>
      <c r="F715" s="1" t="s">
        <v>344</v>
      </c>
      <c r="G715" s="6">
        <v>45845</v>
      </c>
      <c r="H715" s="1">
        <v>726661</v>
      </c>
      <c r="I715" s="1">
        <v>756661</v>
      </c>
      <c r="J715" s="1">
        <v>24602.2</v>
      </c>
      <c r="K715" s="1">
        <v>5397.7999999999956</v>
      </c>
      <c r="L715" s="1">
        <v>751263.2</v>
      </c>
      <c r="M715" s="1">
        <v>102</v>
      </c>
      <c r="N715" s="1">
        <v>306.8559191176472</v>
      </c>
      <c r="O715" s="1">
        <v>22.379120566453381</v>
      </c>
      <c r="P715" s="7">
        <v>45947</v>
      </c>
      <c r="Q715" s="1">
        <v>30000</v>
      </c>
      <c r="R715" s="7">
        <v>46067.14487358796</v>
      </c>
      <c r="S715" s="7">
        <v>46067</v>
      </c>
      <c r="T715" s="7" t="str">
        <f t="shared" si="0"/>
        <v>febrero</v>
      </c>
      <c r="U715" s="1" t="s">
        <v>330</v>
      </c>
      <c r="X715" s="1" t="s">
        <v>455</v>
      </c>
      <c r="Y715" s="1" t="s">
        <v>456</v>
      </c>
      <c r="Z715" s="1">
        <v>1</v>
      </c>
      <c r="AA715" s="3">
        <v>19823.39</v>
      </c>
      <c r="AB715" s="3">
        <v>19823.39</v>
      </c>
      <c r="AC715" s="1" t="str">
        <f>VLOOKUP(A715,[1]Detalle!$D$2:$CW$484,98,FALSE)</f>
        <v>ADA_CH - Danone Arg. S.A. - Chascomus</v>
      </c>
    </row>
    <row r="716" spans="1:29" ht="14.25" customHeight="1" x14ac:dyDescent="0.3">
      <c r="A716" s="1" t="s">
        <v>6</v>
      </c>
      <c r="B716" s="1" t="s">
        <v>435</v>
      </c>
      <c r="C716" s="1" t="s">
        <v>454</v>
      </c>
      <c r="D716" s="1" t="s">
        <v>451</v>
      </c>
      <c r="E716" s="1">
        <v>0.5</v>
      </c>
      <c r="F716" s="1" t="s">
        <v>344</v>
      </c>
      <c r="G716" s="6">
        <v>45845</v>
      </c>
      <c r="H716" s="1">
        <v>726661</v>
      </c>
      <c r="I716" s="1">
        <v>756661</v>
      </c>
      <c r="J716" s="1">
        <v>24602.2</v>
      </c>
      <c r="K716" s="1">
        <v>5397.7999999999956</v>
      </c>
      <c r="L716" s="1">
        <v>751263.2</v>
      </c>
      <c r="M716" s="1">
        <v>102</v>
      </c>
      <c r="N716" s="1">
        <v>306.8559191176472</v>
      </c>
      <c r="O716" s="1">
        <v>22.379120566453381</v>
      </c>
      <c r="P716" s="7">
        <v>45947</v>
      </c>
      <c r="Q716" s="1">
        <v>30000</v>
      </c>
      <c r="R716" s="7">
        <v>46067.14487358796</v>
      </c>
      <c r="S716" s="7">
        <v>46067</v>
      </c>
      <c r="T716" s="7" t="str">
        <f t="shared" si="0"/>
        <v>febrero</v>
      </c>
      <c r="U716" s="1" t="s">
        <v>330</v>
      </c>
      <c r="X716" s="1" t="s">
        <v>452</v>
      </c>
      <c r="Y716" s="1" t="s">
        <v>453</v>
      </c>
      <c r="Z716" s="1">
        <v>1</v>
      </c>
      <c r="AA716" s="3">
        <v>13118.81</v>
      </c>
      <c r="AB716" s="3">
        <v>13118.81</v>
      </c>
      <c r="AC716" s="1" t="str">
        <f>VLOOKUP(A716,[1]Detalle!$D$2:$CW$484,98,FALSE)</f>
        <v>ADA_CH - Danone Arg. S.A. - Chascomus</v>
      </c>
    </row>
    <row r="717" spans="1:29" ht="14.25" customHeight="1" x14ac:dyDescent="0.3">
      <c r="A717" s="1" t="s">
        <v>7</v>
      </c>
      <c r="B717" s="1" t="s">
        <v>435</v>
      </c>
      <c r="C717" s="1" t="s">
        <v>454</v>
      </c>
      <c r="D717" s="1" t="s">
        <v>451</v>
      </c>
      <c r="E717" s="1">
        <v>0.5</v>
      </c>
      <c r="F717" s="1" t="s">
        <v>344</v>
      </c>
      <c r="G717" s="6">
        <v>45835</v>
      </c>
      <c r="H717" s="1">
        <v>743648</v>
      </c>
      <c r="I717" s="1">
        <v>773648</v>
      </c>
      <c r="J717" s="1">
        <v>30763.099999999991</v>
      </c>
      <c r="K717" s="1">
        <v>-763.09999999998763</v>
      </c>
      <c r="L717" s="1">
        <v>774411.1</v>
      </c>
      <c r="M717" s="1">
        <v>112</v>
      </c>
      <c r="N717" s="1">
        <v>282.61870229007633</v>
      </c>
      <c r="O717" s="1">
        <v>-2.77823756383455</v>
      </c>
      <c r="P717" s="7">
        <v>45947</v>
      </c>
      <c r="Q717" s="1">
        <v>30000</v>
      </c>
      <c r="R717" s="7">
        <v>46053.150087581023</v>
      </c>
      <c r="S717" s="7">
        <v>46053</v>
      </c>
      <c r="T717" s="7" t="str">
        <f t="shared" si="0"/>
        <v>enero</v>
      </c>
      <c r="U717" s="1" t="s">
        <v>330</v>
      </c>
      <c r="X717" s="1" t="s">
        <v>455</v>
      </c>
      <c r="Y717" s="1" t="s">
        <v>456</v>
      </c>
      <c r="Z717" s="1">
        <v>1</v>
      </c>
      <c r="AA717" s="3">
        <v>19823.39</v>
      </c>
      <c r="AB717" s="3">
        <v>19823.39</v>
      </c>
      <c r="AC717" s="1" t="str">
        <f>VLOOKUP(A717,[1]Detalle!$D$2:$CW$484,98,FALSE)</f>
        <v>ADA_CH - Danone Arg. S.A. - Chascomus</v>
      </c>
    </row>
    <row r="718" spans="1:29" ht="14.25" customHeight="1" x14ac:dyDescent="0.3">
      <c r="A718" s="1" t="s">
        <v>7</v>
      </c>
      <c r="B718" s="1" t="s">
        <v>435</v>
      </c>
      <c r="C718" s="1" t="s">
        <v>454</v>
      </c>
      <c r="D718" s="1" t="s">
        <v>451</v>
      </c>
      <c r="E718" s="1">
        <v>0.5</v>
      </c>
      <c r="F718" s="1" t="s">
        <v>344</v>
      </c>
      <c r="G718" s="6">
        <v>45835</v>
      </c>
      <c r="H718" s="1">
        <v>743648</v>
      </c>
      <c r="I718" s="1">
        <v>773648</v>
      </c>
      <c r="J718" s="1">
        <v>30763.099999999991</v>
      </c>
      <c r="K718" s="1">
        <v>-763.09999999998763</v>
      </c>
      <c r="L718" s="1">
        <v>774411.1</v>
      </c>
      <c r="M718" s="1">
        <v>112</v>
      </c>
      <c r="N718" s="1">
        <v>282.61870229007633</v>
      </c>
      <c r="O718" s="1">
        <v>-2.77823756383455</v>
      </c>
      <c r="P718" s="7">
        <v>45947</v>
      </c>
      <c r="Q718" s="1">
        <v>30000</v>
      </c>
      <c r="R718" s="7">
        <v>46053.150087581023</v>
      </c>
      <c r="S718" s="7">
        <v>46053</v>
      </c>
      <c r="T718" s="7" t="str">
        <f t="shared" si="0"/>
        <v>enero</v>
      </c>
      <c r="U718" s="1" t="s">
        <v>330</v>
      </c>
      <c r="X718" s="1" t="s">
        <v>452</v>
      </c>
      <c r="Y718" s="1" t="s">
        <v>453</v>
      </c>
      <c r="Z718" s="1">
        <v>1</v>
      </c>
      <c r="AA718" s="3">
        <v>13118.81</v>
      </c>
      <c r="AB718" s="3">
        <v>13118.81</v>
      </c>
      <c r="AC718" s="1" t="str">
        <f>VLOOKUP(A718,[1]Detalle!$D$2:$CW$484,98,FALSE)</f>
        <v>ADA_CH - Danone Arg. S.A. - Chascomus</v>
      </c>
    </row>
    <row r="719" spans="1:29" ht="14.25" customHeight="1" x14ac:dyDescent="0.3">
      <c r="A719" s="1" t="s">
        <v>9</v>
      </c>
      <c r="B719" s="1" t="s">
        <v>435</v>
      </c>
      <c r="C719" s="1" t="s">
        <v>454</v>
      </c>
      <c r="D719" s="1" t="s">
        <v>451</v>
      </c>
      <c r="E719" s="1">
        <v>0.5</v>
      </c>
      <c r="F719" s="1" t="s">
        <v>344</v>
      </c>
      <c r="G719" s="6">
        <v>45789</v>
      </c>
      <c r="H719" s="1">
        <v>828813</v>
      </c>
      <c r="I719" s="1">
        <v>858813</v>
      </c>
      <c r="J719" s="1">
        <v>52575.80000000001</v>
      </c>
      <c r="K719" s="1">
        <v>-22575.80000000001</v>
      </c>
      <c r="L719" s="1">
        <v>881388.8</v>
      </c>
      <c r="M719" s="1">
        <v>158</v>
      </c>
      <c r="N719" s="1">
        <v>352.51014814814829</v>
      </c>
      <c r="O719" s="1">
        <v>-67.844453151449926</v>
      </c>
      <c r="P719" s="7">
        <v>45947</v>
      </c>
      <c r="Q719" s="1">
        <v>30000</v>
      </c>
      <c r="R719" s="7">
        <v>46032.103932916667</v>
      </c>
      <c r="S719" s="7">
        <v>46032</v>
      </c>
      <c r="T719" s="7" t="str">
        <f t="shared" si="0"/>
        <v>enero</v>
      </c>
      <c r="U719" s="1" t="s">
        <v>330</v>
      </c>
      <c r="X719" s="1" t="s">
        <v>455</v>
      </c>
      <c r="Y719" s="1" t="s">
        <v>456</v>
      </c>
      <c r="Z719" s="1">
        <v>1</v>
      </c>
      <c r="AA719" s="3">
        <v>19823.39</v>
      </c>
      <c r="AB719" s="3">
        <v>19823.39</v>
      </c>
      <c r="AC719" s="1" t="str">
        <f>VLOOKUP(A719,[1]Detalle!$D$2:$CW$484,98,FALSE)</f>
        <v>ADA_CH - Danone Arg. S.A. - Chascomus</v>
      </c>
    </row>
    <row r="720" spans="1:29" ht="14.25" customHeight="1" x14ac:dyDescent="0.3">
      <c r="A720" s="1" t="s">
        <v>9</v>
      </c>
      <c r="B720" s="1" t="s">
        <v>435</v>
      </c>
      <c r="C720" s="1" t="s">
        <v>454</v>
      </c>
      <c r="D720" s="1" t="s">
        <v>451</v>
      </c>
      <c r="E720" s="1">
        <v>0.5</v>
      </c>
      <c r="F720" s="1" t="s">
        <v>344</v>
      </c>
      <c r="G720" s="6">
        <v>45789</v>
      </c>
      <c r="H720" s="1">
        <v>828813</v>
      </c>
      <c r="I720" s="1">
        <v>858813</v>
      </c>
      <c r="J720" s="1">
        <v>52575.80000000001</v>
      </c>
      <c r="K720" s="1">
        <v>-22575.80000000001</v>
      </c>
      <c r="L720" s="1">
        <v>881388.8</v>
      </c>
      <c r="M720" s="1">
        <v>158</v>
      </c>
      <c r="N720" s="1">
        <v>352.51014814814829</v>
      </c>
      <c r="O720" s="1">
        <v>-67.844453151449926</v>
      </c>
      <c r="P720" s="7">
        <v>45947</v>
      </c>
      <c r="Q720" s="1">
        <v>30000</v>
      </c>
      <c r="R720" s="7">
        <v>46032.103932916667</v>
      </c>
      <c r="S720" s="7">
        <v>46032</v>
      </c>
      <c r="T720" s="7" t="str">
        <f t="shared" si="0"/>
        <v>enero</v>
      </c>
      <c r="U720" s="1" t="s">
        <v>330</v>
      </c>
      <c r="X720" s="1" t="s">
        <v>452</v>
      </c>
      <c r="Y720" s="1" t="s">
        <v>453</v>
      </c>
      <c r="Z720" s="1">
        <v>1</v>
      </c>
      <c r="AA720" s="3">
        <v>13118.81</v>
      </c>
      <c r="AB720" s="3">
        <v>13118.81</v>
      </c>
      <c r="AC720" s="1" t="str">
        <f>VLOOKUP(A720,[1]Detalle!$D$2:$CW$484,98,FALSE)</f>
        <v>ADA_CH - Danone Arg. S.A. - Chascomus</v>
      </c>
    </row>
    <row r="721" spans="1:29" ht="14.25" customHeight="1" x14ac:dyDescent="0.3">
      <c r="A721" s="1" t="s">
        <v>17</v>
      </c>
      <c r="B721" s="1" t="s">
        <v>439</v>
      </c>
      <c r="C721" s="1" t="s">
        <v>454</v>
      </c>
      <c r="D721" s="1" t="s">
        <v>451</v>
      </c>
      <c r="E721" s="1">
        <v>0.5</v>
      </c>
      <c r="F721" s="1" t="s">
        <v>344</v>
      </c>
      <c r="G721" s="6">
        <v>45776</v>
      </c>
      <c r="H721" s="1">
        <v>664392</v>
      </c>
      <c r="I721" s="1">
        <v>694392</v>
      </c>
      <c r="J721" s="1">
        <v>62703.799999999981</v>
      </c>
      <c r="K721" s="1">
        <v>-32703.799999999981</v>
      </c>
      <c r="L721" s="1">
        <v>727095.79999999993</v>
      </c>
      <c r="M721" s="1">
        <v>171</v>
      </c>
      <c r="N721" s="1">
        <v>382.02855555555578</v>
      </c>
      <c r="O721" s="1">
        <v>-89.186776558996399</v>
      </c>
      <c r="P721" s="7">
        <v>45947</v>
      </c>
      <c r="Q721" s="1">
        <v>30000</v>
      </c>
      <c r="R721" s="7">
        <v>46025.528161215283</v>
      </c>
      <c r="S721" s="7">
        <v>46025</v>
      </c>
      <c r="T721" s="7" t="str">
        <f t="shared" si="0"/>
        <v>enero</v>
      </c>
      <c r="U721" s="1" t="s">
        <v>330</v>
      </c>
      <c r="X721" s="1" t="s">
        <v>455</v>
      </c>
      <c r="Y721" s="1" t="s">
        <v>456</v>
      </c>
      <c r="Z721" s="1">
        <v>1</v>
      </c>
      <c r="AA721" s="3">
        <v>19823.39</v>
      </c>
      <c r="AB721" s="3">
        <v>19823.39</v>
      </c>
      <c r="AC721" s="1" t="str">
        <f>VLOOKUP(A721,[1]Detalle!$D$2:$CW$484,98,FALSE)</f>
        <v>Expreso - Servicios Troncales</v>
      </c>
    </row>
    <row r="722" spans="1:29" ht="14.25" customHeight="1" x14ac:dyDescent="0.3">
      <c r="A722" s="1" t="s">
        <v>17</v>
      </c>
      <c r="B722" s="1" t="s">
        <v>439</v>
      </c>
      <c r="C722" s="1" t="s">
        <v>454</v>
      </c>
      <c r="D722" s="1" t="s">
        <v>451</v>
      </c>
      <c r="E722" s="1">
        <v>0.5</v>
      </c>
      <c r="F722" s="1" t="s">
        <v>344</v>
      </c>
      <c r="G722" s="6">
        <v>45776</v>
      </c>
      <c r="H722" s="1">
        <v>664392</v>
      </c>
      <c r="I722" s="1">
        <v>694392</v>
      </c>
      <c r="J722" s="1">
        <v>62703.799999999981</v>
      </c>
      <c r="K722" s="1">
        <v>-32703.799999999981</v>
      </c>
      <c r="L722" s="1">
        <v>727095.79999999993</v>
      </c>
      <c r="M722" s="1">
        <v>171</v>
      </c>
      <c r="N722" s="1">
        <v>382.02855555555578</v>
      </c>
      <c r="O722" s="1">
        <v>-89.186776558996399</v>
      </c>
      <c r="P722" s="7">
        <v>45947</v>
      </c>
      <c r="Q722" s="1">
        <v>30000</v>
      </c>
      <c r="R722" s="7">
        <v>46025.528161215283</v>
      </c>
      <c r="S722" s="7">
        <v>46025</v>
      </c>
      <c r="T722" s="7" t="str">
        <f t="shared" si="0"/>
        <v>enero</v>
      </c>
      <c r="U722" s="1" t="s">
        <v>330</v>
      </c>
      <c r="X722" s="1" t="s">
        <v>452</v>
      </c>
      <c r="Y722" s="1" t="s">
        <v>453</v>
      </c>
      <c r="Z722" s="1">
        <v>1</v>
      </c>
      <c r="AA722" s="3">
        <v>13118.81</v>
      </c>
      <c r="AB722" s="3">
        <v>13118.81</v>
      </c>
      <c r="AC722" s="1" t="str">
        <f>VLOOKUP(A722,[1]Detalle!$D$2:$CW$484,98,FALSE)</f>
        <v>Expreso - Servicios Troncales</v>
      </c>
    </row>
    <row r="723" spans="1:29" ht="14.25" customHeight="1" x14ac:dyDescent="0.3">
      <c r="A723" s="1" t="s">
        <v>18</v>
      </c>
      <c r="B723" s="1" t="s">
        <v>439</v>
      </c>
      <c r="C723" s="1" t="s">
        <v>454</v>
      </c>
      <c r="D723" s="1" t="s">
        <v>451</v>
      </c>
      <c r="E723" s="1">
        <v>0.5</v>
      </c>
      <c r="F723" s="1" t="s">
        <v>344</v>
      </c>
      <c r="G723" s="6">
        <v>45852</v>
      </c>
      <c r="H723" s="1">
        <v>654972</v>
      </c>
      <c r="I723" s="1">
        <v>684972</v>
      </c>
      <c r="J723" s="1">
        <v>26383.500000000011</v>
      </c>
      <c r="K723" s="1">
        <v>3616.4999999999932</v>
      </c>
      <c r="L723" s="1">
        <v>681355.5</v>
      </c>
      <c r="M723" s="1">
        <v>95</v>
      </c>
      <c r="N723" s="1">
        <v>381.04202205882348</v>
      </c>
      <c r="O723" s="1">
        <v>13.02205924157141</v>
      </c>
      <c r="P723" s="7">
        <v>45947</v>
      </c>
      <c r="Q723" s="1">
        <v>30000</v>
      </c>
      <c r="R723" s="7">
        <v>46038.753533101852</v>
      </c>
      <c r="S723" s="7">
        <v>46038</v>
      </c>
      <c r="T723" s="7" t="str">
        <f t="shared" si="0"/>
        <v>enero</v>
      </c>
      <c r="U723" s="1" t="s">
        <v>330</v>
      </c>
      <c r="X723" s="1" t="s">
        <v>455</v>
      </c>
      <c r="Y723" s="1" t="s">
        <v>456</v>
      </c>
      <c r="Z723" s="1">
        <v>1</v>
      </c>
      <c r="AA723" s="3">
        <v>19823.39</v>
      </c>
      <c r="AB723" s="3">
        <v>19823.39</v>
      </c>
      <c r="AC723" s="1" t="str">
        <f>VLOOKUP(A723,[1]Detalle!$D$2:$CW$484,98,FALSE)</f>
        <v>Expreso - Servicios Troncales</v>
      </c>
    </row>
    <row r="724" spans="1:29" ht="14.25" customHeight="1" x14ac:dyDescent="0.3">
      <c r="A724" s="1" t="s">
        <v>18</v>
      </c>
      <c r="B724" s="1" t="s">
        <v>439</v>
      </c>
      <c r="C724" s="1" t="s">
        <v>454</v>
      </c>
      <c r="D724" s="1" t="s">
        <v>451</v>
      </c>
      <c r="E724" s="1">
        <v>0.5</v>
      </c>
      <c r="F724" s="1" t="s">
        <v>344</v>
      </c>
      <c r="G724" s="6">
        <v>45852</v>
      </c>
      <c r="H724" s="1">
        <v>654972</v>
      </c>
      <c r="I724" s="1">
        <v>684972</v>
      </c>
      <c r="J724" s="1">
        <v>26383.500000000011</v>
      </c>
      <c r="K724" s="1">
        <v>3616.4999999999932</v>
      </c>
      <c r="L724" s="1">
        <v>681355.5</v>
      </c>
      <c r="M724" s="1">
        <v>95</v>
      </c>
      <c r="N724" s="1">
        <v>381.04202205882348</v>
      </c>
      <c r="O724" s="1">
        <v>13.02205924157141</v>
      </c>
      <c r="P724" s="7">
        <v>45947</v>
      </c>
      <c r="Q724" s="1">
        <v>30000</v>
      </c>
      <c r="R724" s="7">
        <v>46038.753533101852</v>
      </c>
      <c r="S724" s="7">
        <v>46038</v>
      </c>
      <c r="T724" s="7" t="str">
        <f t="shared" si="0"/>
        <v>enero</v>
      </c>
      <c r="U724" s="1" t="s">
        <v>330</v>
      </c>
      <c r="X724" s="1" t="s">
        <v>452</v>
      </c>
      <c r="Y724" s="1" t="s">
        <v>453</v>
      </c>
      <c r="Z724" s="1">
        <v>1</v>
      </c>
      <c r="AA724" s="3">
        <v>13118.81</v>
      </c>
      <c r="AB724" s="3">
        <v>13118.81</v>
      </c>
      <c r="AC724" s="1" t="str">
        <f>VLOOKUP(A724,[1]Detalle!$D$2:$CW$484,98,FALSE)</f>
        <v>Expreso - Servicios Troncales</v>
      </c>
    </row>
    <row r="725" spans="1:29" ht="14.25" customHeight="1" x14ac:dyDescent="0.3">
      <c r="A725" s="1" t="s">
        <v>231</v>
      </c>
      <c r="B725" s="1" t="s">
        <v>440</v>
      </c>
      <c r="C725" s="1" t="s">
        <v>454</v>
      </c>
      <c r="D725" s="1" t="s">
        <v>451</v>
      </c>
      <c r="E725" s="1">
        <v>0.5</v>
      </c>
      <c r="F725" s="1" t="s">
        <v>344</v>
      </c>
      <c r="G725" s="6">
        <v>45889</v>
      </c>
      <c r="H725" s="1">
        <v>1836513</v>
      </c>
      <c r="I725" s="1">
        <v>1866513</v>
      </c>
      <c r="J725" s="1">
        <v>14116.4</v>
      </c>
      <c r="K725" s="1">
        <v>15883.6</v>
      </c>
      <c r="L725" s="1">
        <v>1850629.4</v>
      </c>
      <c r="M725" s="1">
        <v>58</v>
      </c>
      <c r="N725" s="1">
        <v>332.5574264705881</v>
      </c>
      <c r="O725" s="1">
        <v>65.260888045110633</v>
      </c>
      <c r="P725" s="7">
        <v>45947</v>
      </c>
      <c r="Q725" s="1">
        <v>30000</v>
      </c>
      <c r="R725" s="7">
        <v>46102.470871678241</v>
      </c>
      <c r="S725" s="7">
        <v>46102</v>
      </c>
      <c r="T725" s="7" t="str">
        <f t="shared" si="0"/>
        <v>marzo</v>
      </c>
      <c r="U725" s="1" t="s">
        <v>330</v>
      </c>
      <c r="X725" s="1" t="s">
        <v>455</v>
      </c>
      <c r="Y725" s="1" t="s">
        <v>456</v>
      </c>
      <c r="Z725" s="1">
        <v>1</v>
      </c>
      <c r="AA725" s="3">
        <v>19823.39</v>
      </c>
      <c r="AB725" s="3">
        <v>19823.39</v>
      </c>
      <c r="AC725" s="1" t="str">
        <f>VLOOKUP(A725,[1]Detalle!$D$2:$CW$484,98,FALSE)</f>
        <v>Expreso - Servicios Troncales</v>
      </c>
    </row>
    <row r="726" spans="1:29" ht="14.25" customHeight="1" x14ac:dyDescent="0.3">
      <c r="A726" s="1" t="s">
        <v>231</v>
      </c>
      <c r="B726" s="1" t="s">
        <v>440</v>
      </c>
      <c r="C726" s="1" t="s">
        <v>454</v>
      </c>
      <c r="D726" s="1" t="s">
        <v>451</v>
      </c>
      <c r="E726" s="1">
        <v>0.5</v>
      </c>
      <c r="F726" s="1" t="s">
        <v>344</v>
      </c>
      <c r="G726" s="6">
        <v>45889</v>
      </c>
      <c r="H726" s="1">
        <v>1836513</v>
      </c>
      <c r="I726" s="1">
        <v>1866513</v>
      </c>
      <c r="J726" s="1">
        <v>14116.4</v>
      </c>
      <c r="K726" s="1">
        <v>15883.6</v>
      </c>
      <c r="L726" s="1">
        <v>1850629.4</v>
      </c>
      <c r="M726" s="1">
        <v>58</v>
      </c>
      <c r="N726" s="1">
        <v>332.5574264705881</v>
      </c>
      <c r="O726" s="1">
        <v>65.260888045110633</v>
      </c>
      <c r="P726" s="7">
        <v>45947</v>
      </c>
      <c r="Q726" s="1">
        <v>30000</v>
      </c>
      <c r="R726" s="7">
        <v>46102.470871678241</v>
      </c>
      <c r="S726" s="7">
        <v>46102</v>
      </c>
      <c r="T726" s="7" t="str">
        <f t="shared" si="0"/>
        <v>marzo</v>
      </c>
      <c r="U726" s="1" t="s">
        <v>330</v>
      </c>
      <c r="X726" s="1" t="s">
        <v>452</v>
      </c>
      <c r="Y726" s="1" t="s">
        <v>453</v>
      </c>
      <c r="Z726" s="1">
        <v>1</v>
      </c>
      <c r="AA726" s="3">
        <v>13118.81</v>
      </c>
      <c r="AB726" s="3">
        <v>13118.81</v>
      </c>
      <c r="AC726" s="1" t="str">
        <f>VLOOKUP(A726,[1]Detalle!$D$2:$CW$484,98,FALSE)</f>
        <v>Expreso - Servicios Troncales</v>
      </c>
    </row>
    <row r="727" spans="1:29" ht="14.25" customHeight="1" x14ac:dyDescent="0.3">
      <c r="A727" s="1" t="s">
        <v>232</v>
      </c>
      <c r="B727" s="1" t="s">
        <v>440</v>
      </c>
      <c r="C727" s="1" t="s">
        <v>454</v>
      </c>
      <c r="D727" s="1" t="s">
        <v>451</v>
      </c>
      <c r="E727" s="1">
        <v>0.5</v>
      </c>
      <c r="F727" s="1" t="s">
        <v>344</v>
      </c>
      <c r="G727" s="6">
        <v>45919</v>
      </c>
      <c r="H727" s="1">
        <v>1973725</v>
      </c>
      <c r="I727" s="1">
        <v>2003725</v>
      </c>
      <c r="J727" s="1">
        <v>3275.4</v>
      </c>
      <c r="K727" s="1">
        <v>26724.6</v>
      </c>
      <c r="L727" s="1">
        <v>1977000.4</v>
      </c>
      <c r="M727" s="1">
        <v>28</v>
      </c>
      <c r="N727" s="1">
        <v>2668.176102941175</v>
      </c>
      <c r="O727" s="1">
        <v>228.45722659827811</v>
      </c>
      <c r="P727" s="7">
        <v>45947</v>
      </c>
      <c r="Q727" s="1">
        <v>30000</v>
      </c>
      <c r="R727" s="7">
        <v>46175.457226597217</v>
      </c>
      <c r="S727" s="7">
        <v>46175</v>
      </c>
      <c r="T727" s="7" t="str">
        <f t="shared" si="0"/>
        <v>junio</v>
      </c>
      <c r="U727" s="1" t="s">
        <v>330</v>
      </c>
      <c r="X727" s="1" t="s">
        <v>455</v>
      </c>
      <c r="Y727" s="1" t="s">
        <v>456</v>
      </c>
      <c r="Z727" s="1">
        <v>1</v>
      </c>
      <c r="AA727" s="3">
        <v>19823.39</v>
      </c>
      <c r="AB727" s="3">
        <v>19823.39</v>
      </c>
      <c r="AC727" s="1" t="str">
        <f>VLOOKUP(A727,[1]Detalle!$D$2:$CW$484,98,FALSE)</f>
        <v>Expreso - Servicios Troncales</v>
      </c>
    </row>
    <row r="728" spans="1:29" ht="14.25" customHeight="1" x14ac:dyDescent="0.3">
      <c r="A728" s="1" t="s">
        <v>232</v>
      </c>
      <c r="B728" s="1" t="s">
        <v>440</v>
      </c>
      <c r="C728" s="1" t="s">
        <v>454</v>
      </c>
      <c r="D728" s="1" t="s">
        <v>451</v>
      </c>
      <c r="E728" s="1">
        <v>0.5</v>
      </c>
      <c r="F728" s="1" t="s">
        <v>344</v>
      </c>
      <c r="G728" s="6">
        <v>45919</v>
      </c>
      <c r="H728" s="1">
        <v>1973725</v>
      </c>
      <c r="I728" s="1">
        <v>2003725</v>
      </c>
      <c r="J728" s="1">
        <v>3275.4</v>
      </c>
      <c r="K728" s="1">
        <v>26724.6</v>
      </c>
      <c r="L728" s="1">
        <v>1977000.4</v>
      </c>
      <c r="M728" s="1">
        <v>28</v>
      </c>
      <c r="N728" s="1">
        <v>2668.176102941175</v>
      </c>
      <c r="O728" s="1">
        <v>228.45722659827811</v>
      </c>
      <c r="P728" s="7">
        <v>45947</v>
      </c>
      <c r="Q728" s="1">
        <v>30000</v>
      </c>
      <c r="R728" s="7">
        <v>46175.457226597217</v>
      </c>
      <c r="S728" s="7">
        <v>46175</v>
      </c>
      <c r="T728" s="7" t="str">
        <f t="shared" si="0"/>
        <v>junio</v>
      </c>
      <c r="U728" s="1" t="s">
        <v>330</v>
      </c>
      <c r="X728" s="1" t="s">
        <v>452</v>
      </c>
      <c r="Y728" s="1" t="s">
        <v>453</v>
      </c>
      <c r="Z728" s="1">
        <v>1</v>
      </c>
      <c r="AA728" s="3">
        <v>13118.81</v>
      </c>
      <c r="AB728" s="3">
        <v>13118.81</v>
      </c>
      <c r="AC728" s="1" t="str">
        <f>VLOOKUP(A728,[1]Detalle!$D$2:$CW$484,98,FALSE)</f>
        <v>Expreso - Servicios Troncales</v>
      </c>
    </row>
    <row r="729" spans="1:29" ht="14.25" customHeight="1" x14ac:dyDescent="0.3">
      <c r="A729" s="1" t="s">
        <v>233</v>
      </c>
      <c r="B729" s="1" t="s">
        <v>440</v>
      </c>
      <c r="C729" s="1" t="s">
        <v>454</v>
      </c>
      <c r="D729" s="1" t="s">
        <v>451</v>
      </c>
      <c r="E729" s="1">
        <v>0.5</v>
      </c>
      <c r="F729" s="1" t="s">
        <v>344</v>
      </c>
      <c r="G729" s="6">
        <v>45852</v>
      </c>
      <c r="H729" s="1">
        <v>1942302</v>
      </c>
      <c r="I729" s="1">
        <v>1972302</v>
      </c>
      <c r="J729" s="1">
        <v>28066.80000000001</v>
      </c>
      <c r="K729" s="1">
        <v>1933.1999999999859</v>
      </c>
      <c r="L729" s="1">
        <v>1970368.8</v>
      </c>
      <c r="M729" s="1">
        <v>95</v>
      </c>
      <c r="N729" s="1">
        <v>372</v>
      </c>
      <c r="O729" s="1">
        <v>6.5434606011372356</v>
      </c>
      <c r="P729" s="7">
        <v>45947</v>
      </c>
      <c r="Q729" s="1">
        <v>30000</v>
      </c>
      <c r="R729" s="7">
        <v>46056.589041099527</v>
      </c>
      <c r="S729" s="7">
        <v>46056</v>
      </c>
      <c r="T729" s="7" t="str">
        <f t="shared" si="0"/>
        <v>febrero</v>
      </c>
      <c r="U729" s="1" t="s">
        <v>330</v>
      </c>
      <c r="V729" s="6">
        <v>46137.234202384258</v>
      </c>
      <c r="X729" s="1" t="s">
        <v>455</v>
      </c>
      <c r="Y729" s="1" t="s">
        <v>456</v>
      </c>
      <c r="Z729" s="1">
        <v>1</v>
      </c>
      <c r="AA729" s="3">
        <v>19823.39</v>
      </c>
      <c r="AB729" s="3">
        <v>19823.39</v>
      </c>
      <c r="AC729" s="1" t="str">
        <f>VLOOKUP(A729,[1]Detalle!$D$2:$CW$484,98,FALSE)</f>
        <v>Expreso - Servicios Troncales</v>
      </c>
    </row>
    <row r="730" spans="1:29" ht="14.25" customHeight="1" x14ac:dyDescent="0.3">
      <c r="A730" s="1" t="s">
        <v>233</v>
      </c>
      <c r="B730" s="1" t="s">
        <v>440</v>
      </c>
      <c r="C730" s="1" t="s">
        <v>454</v>
      </c>
      <c r="D730" s="1" t="s">
        <v>451</v>
      </c>
      <c r="E730" s="1">
        <v>0.5</v>
      </c>
      <c r="F730" s="1" t="s">
        <v>344</v>
      </c>
      <c r="G730" s="6">
        <v>45852</v>
      </c>
      <c r="H730" s="1">
        <v>1942302</v>
      </c>
      <c r="I730" s="1">
        <v>1972302</v>
      </c>
      <c r="J730" s="1">
        <v>28066.80000000001</v>
      </c>
      <c r="K730" s="1">
        <v>1933.1999999999859</v>
      </c>
      <c r="L730" s="1">
        <v>1970368.8</v>
      </c>
      <c r="M730" s="1">
        <v>95</v>
      </c>
      <c r="N730" s="1">
        <v>372</v>
      </c>
      <c r="O730" s="1">
        <v>6.5434606011372356</v>
      </c>
      <c r="P730" s="7">
        <v>45947</v>
      </c>
      <c r="Q730" s="1">
        <v>30000</v>
      </c>
      <c r="R730" s="7">
        <v>46056.589041099527</v>
      </c>
      <c r="S730" s="7">
        <v>46056</v>
      </c>
      <c r="T730" s="7" t="str">
        <f t="shared" si="0"/>
        <v>febrero</v>
      </c>
      <c r="U730" s="1" t="s">
        <v>330</v>
      </c>
      <c r="V730" s="6">
        <v>46137.234202384258</v>
      </c>
      <c r="X730" s="1" t="s">
        <v>452</v>
      </c>
      <c r="Y730" s="1" t="s">
        <v>453</v>
      </c>
      <c r="Z730" s="1">
        <v>1</v>
      </c>
      <c r="AA730" s="3">
        <v>13118.81</v>
      </c>
      <c r="AB730" s="3">
        <v>13118.81</v>
      </c>
      <c r="AC730" s="1" t="str">
        <f>VLOOKUP(A730,[1]Detalle!$D$2:$CW$484,98,FALSE)</f>
        <v>Expreso - Servicios Troncales</v>
      </c>
    </row>
    <row r="731" spans="1:29" ht="14.25" customHeight="1" x14ac:dyDescent="0.3">
      <c r="A731" s="1" t="s">
        <v>234</v>
      </c>
      <c r="B731" s="1" t="s">
        <v>440</v>
      </c>
      <c r="C731" s="1" t="s">
        <v>454</v>
      </c>
      <c r="D731" s="1" t="s">
        <v>451</v>
      </c>
      <c r="E731" s="1">
        <v>0.5</v>
      </c>
      <c r="F731" s="1" t="s">
        <v>344</v>
      </c>
      <c r="G731" s="6">
        <v>45845</v>
      </c>
      <c r="H731" s="1">
        <v>1934926</v>
      </c>
      <c r="I731" s="1">
        <v>1964926</v>
      </c>
      <c r="J731" s="1">
        <v>35672.900000000009</v>
      </c>
      <c r="K731" s="1">
        <v>-5672.9000000000087</v>
      </c>
      <c r="L731" s="1">
        <v>1970598.9</v>
      </c>
      <c r="M731" s="1">
        <v>102</v>
      </c>
      <c r="N731" s="1">
        <v>93</v>
      </c>
      <c r="O731" s="1">
        <v>-16.220598829924139</v>
      </c>
      <c r="P731" s="7">
        <v>45947</v>
      </c>
      <c r="Q731" s="1">
        <v>30000</v>
      </c>
      <c r="R731" s="7">
        <v>46056.589041099527</v>
      </c>
      <c r="S731" s="7">
        <v>46056</v>
      </c>
      <c r="T731" s="7" t="str">
        <f t="shared" si="0"/>
        <v>febrero</v>
      </c>
      <c r="U731" s="1" t="s">
        <v>330</v>
      </c>
      <c r="V731" s="6">
        <v>46379.169686261572</v>
      </c>
      <c r="X731" s="1" t="s">
        <v>455</v>
      </c>
      <c r="Y731" s="1" t="s">
        <v>456</v>
      </c>
      <c r="Z731" s="1">
        <v>1</v>
      </c>
      <c r="AA731" s="3">
        <v>19823.39</v>
      </c>
      <c r="AB731" s="3">
        <v>19823.39</v>
      </c>
      <c r="AC731" s="1" t="str">
        <f>VLOOKUP(A731,[1]Detalle!$D$2:$CW$484,98,FALSE)</f>
        <v>Expreso - Servicios Troncales</v>
      </c>
    </row>
    <row r="732" spans="1:29" ht="14.25" customHeight="1" x14ac:dyDescent="0.3">
      <c r="A732" s="1" t="s">
        <v>234</v>
      </c>
      <c r="B732" s="1" t="s">
        <v>440</v>
      </c>
      <c r="C732" s="1" t="s">
        <v>454</v>
      </c>
      <c r="D732" s="1" t="s">
        <v>451</v>
      </c>
      <c r="E732" s="1">
        <v>0.5</v>
      </c>
      <c r="F732" s="1" t="s">
        <v>344</v>
      </c>
      <c r="G732" s="6">
        <v>45845</v>
      </c>
      <c r="H732" s="1">
        <v>1934926</v>
      </c>
      <c r="I732" s="1">
        <v>1964926</v>
      </c>
      <c r="J732" s="1">
        <v>35672.900000000009</v>
      </c>
      <c r="K732" s="1">
        <v>-5672.9000000000087</v>
      </c>
      <c r="L732" s="1">
        <v>1970598.9</v>
      </c>
      <c r="M732" s="1">
        <v>102</v>
      </c>
      <c r="N732" s="1">
        <v>93</v>
      </c>
      <c r="O732" s="1">
        <v>-16.220598829924139</v>
      </c>
      <c r="P732" s="7">
        <v>45947</v>
      </c>
      <c r="Q732" s="1">
        <v>30000</v>
      </c>
      <c r="R732" s="7">
        <v>46056.589041099527</v>
      </c>
      <c r="S732" s="7">
        <v>46056</v>
      </c>
      <c r="T732" s="7" t="str">
        <f t="shared" si="0"/>
        <v>febrero</v>
      </c>
      <c r="U732" s="1" t="s">
        <v>330</v>
      </c>
      <c r="V732" s="6">
        <v>46379.169686261572</v>
      </c>
      <c r="X732" s="1" t="s">
        <v>452</v>
      </c>
      <c r="Y732" s="1" t="s">
        <v>453</v>
      </c>
      <c r="Z732" s="1">
        <v>1</v>
      </c>
      <c r="AA732" s="3">
        <v>13118.81</v>
      </c>
      <c r="AB732" s="3">
        <v>13118.81</v>
      </c>
      <c r="AC732" s="1" t="str">
        <f>VLOOKUP(A732,[1]Detalle!$D$2:$CW$484,98,FALSE)</f>
        <v>Expreso - Servicios Troncales</v>
      </c>
    </row>
    <row r="733" spans="1:29" ht="14.25" customHeight="1" x14ac:dyDescent="0.3">
      <c r="A733" s="1" t="s">
        <v>97</v>
      </c>
      <c r="B733" s="1" t="s">
        <v>441</v>
      </c>
      <c r="C733" s="1" t="s">
        <v>454</v>
      </c>
      <c r="D733" s="1" t="s">
        <v>451</v>
      </c>
      <c r="E733" s="1">
        <v>0.5</v>
      </c>
      <c r="F733" s="1" t="s">
        <v>344</v>
      </c>
      <c r="G733" s="6">
        <v>45918</v>
      </c>
      <c r="H733" s="1">
        <v>227028</v>
      </c>
      <c r="I733" s="1">
        <v>257028</v>
      </c>
      <c r="J733" s="1">
        <v>3811.8</v>
      </c>
      <c r="K733" s="1">
        <v>26188.2</v>
      </c>
      <c r="L733" s="1">
        <v>230839.8</v>
      </c>
      <c r="M733" s="1">
        <v>29</v>
      </c>
      <c r="N733" s="1">
        <v>310.79992700729929</v>
      </c>
      <c r="O733" s="1">
        <v>199.2386274201165</v>
      </c>
      <c r="P733" s="7">
        <v>45947</v>
      </c>
      <c r="Q733" s="1">
        <v>30000</v>
      </c>
      <c r="R733" s="7">
        <v>46146.238627418978</v>
      </c>
      <c r="S733" s="7">
        <v>46146</v>
      </c>
      <c r="T733" s="7" t="str">
        <f t="shared" si="0"/>
        <v>mayo</v>
      </c>
      <c r="U733" s="1" t="s">
        <v>330</v>
      </c>
      <c r="X733" s="1" t="s">
        <v>455</v>
      </c>
      <c r="Y733" s="1" t="s">
        <v>456</v>
      </c>
      <c r="Z733" s="1">
        <v>1</v>
      </c>
      <c r="AA733" s="3">
        <v>19823.39</v>
      </c>
      <c r="AB733" s="3">
        <v>19823.39</v>
      </c>
      <c r="AC733" s="1" t="str">
        <f>VLOOKUP(A733,[1]Detalle!$D$2:$CW$484,98,FALSE)</f>
        <v>Expreso - Servicios Troncales</v>
      </c>
    </row>
    <row r="734" spans="1:29" ht="14.25" customHeight="1" x14ac:dyDescent="0.3">
      <c r="A734" s="1" t="s">
        <v>97</v>
      </c>
      <c r="B734" s="1" t="s">
        <v>441</v>
      </c>
      <c r="C734" s="1" t="s">
        <v>454</v>
      </c>
      <c r="D734" s="1" t="s">
        <v>451</v>
      </c>
      <c r="E734" s="1">
        <v>0.5</v>
      </c>
      <c r="F734" s="1" t="s">
        <v>344</v>
      </c>
      <c r="G734" s="6">
        <v>45918</v>
      </c>
      <c r="H734" s="1">
        <v>227028</v>
      </c>
      <c r="I734" s="1">
        <v>257028</v>
      </c>
      <c r="J734" s="1">
        <v>3811.8</v>
      </c>
      <c r="K734" s="1">
        <v>26188.2</v>
      </c>
      <c r="L734" s="1">
        <v>230839.8</v>
      </c>
      <c r="M734" s="1">
        <v>29</v>
      </c>
      <c r="N734" s="1">
        <v>310.79992700729929</v>
      </c>
      <c r="O734" s="1">
        <v>199.2386274201165</v>
      </c>
      <c r="P734" s="7">
        <v>45947</v>
      </c>
      <c r="Q734" s="1">
        <v>30000</v>
      </c>
      <c r="R734" s="7">
        <v>46146.238627418978</v>
      </c>
      <c r="S734" s="7">
        <v>46146</v>
      </c>
      <c r="T734" s="7" t="str">
        <f t="shared" si="0"/>
        <v>mayo</v>
      </c>
      <c r="U734" s="1" t="s">
        <v>330</v>
      </c>
      <c r="X734" s="1" t="s">
        <v>452</v>
      </c>
      <c r="Y734" s="1" t="s">
        <v>453</v>
      </c>
      <c r="Z734" s="1">
        <v>1</v>
      </c>
      <c r="AA734" s="3">
        <v>13118.81</v>
      </c>
      <c r="AB734" s="3">
        <v>13118.81</v>
      </c>
      <c r="AC734" s="1" t="str">
        <f>VLOOKUP(A734,[1]Detalle!$D$2:$CW$484,98,FALSE)</f>
        <v>Expreso - Servicios Troncales</v>
      </c>
    </row>
    <row r="735" spans="1:29" ht="14.25" customHeight="1" x14ac:dyDescent="0.3">
      <c r="A735" s="1" t="s">
        <v>279</v>
      </c>
      <c r="B735" s="1" t="s">
        <v>442</v>
      </c>
      <c r="C735" s="1" t="s">
        <v>457</v>
      </c>
      <c r="D735" s="1" t="s">
        <v>451</v>
      </c>
      <c r="E735" s="1">
        <v>0.5</v>
      </c>
      <c r="F735" s="1" t="s">
        <v>344</v>
      </c>
      <c r="G735" s="6">
        <v>45688</v>
      </c>
      <c r="H735" s="1">
        <v>35081.599999999999</v>
      </c>
      <c r="I735" s="1">
        <v>65081.599999999999</v>
      </c>
      <c r="J735" s="1">
        <v>51895.159999999982</v>
      </c>
      <c r="K735" s="1">
        <v>-21895.159999999982</v>
      </c>
      <c r="L735" s="1">
        <v>86976.75999999998</v>
      </c>
      <c r="M735" s="1">
        <v>259</v>
      </c>
      <c r="N735" s="1">
        <v>197.99579335793359</v>
      </c>
      <c r="O735" s="1">
        <v>-109.2750545522935</v>
      </c>
      <c r="P735" s="7">
        <v>45947</v>
      </c>
      <c r="Q735" s="1">
        <v>30000</v>
      </c>
      <c r="R735" s="7">
        <v>46098.518370625003</v>
      </c>
      <c r="S735" s="7">
        <v>46098</v>
      </c>
      <c r="T735" s="7" t="str">
        <f t="shared" si="0"/>
        <v>marzo</v>
      </c>
      <c r="U735" s="1" t="s">
        <v>330</v>
      </c>
      <c r="X735" s="1" t="s">
        <v>458</v>
      </c>
      <c r="Y735" s="1" t="s">
        <v>459</v>
      </c>
      <c r="Z735" s="1">
        <v>1</v>
      </c>
      <c r="AA735" s="3">
        <v>23207.05</v>
      </c>
      <c r="AB735" s="3">
        <v>23207.05</v>
      </c>
      <c r="AC735" s="1" t="str">
        <f>VLOOKUP(A735,[1]Detalle!$D$2:$CW$484,98,FALSE)</f>
        <v>Expreso - Servicios Troncales</v>
      </c>
    </row>
    <row r="736" spans="1:29" ht="14.25" customHeight="1" x14ac:dyDescent="0.3">
      <c r="A736" s="1" t="s">
        <v>279</v>
      </c>
      <c r="B736" s="1" t="s">
        <v>442</v>
      </c>
      <c r="C736" s="1" t="s">
        <v>457</v>
      </c>
      <c r="D736" s="1" t="s">
        <v>451</v>
      </c>
      <c r="E736" s="1">
        <v>0.5</v>
      </c>
      <c r="F736" s="1" t="s">
        <v>344</v>
      </c>
      <c r="G736" s="6">
        <v>45688</v>
      </c>
      <c r="H736" s="1">
        <v>35081.599999999999</v>
      </c>
      <c r="I736" s="1">
        <v>65081.599999999999</v>
      </c>
      <c r="J736" s="1">
        <v>51895.159999999982</v>
      </c>
      <c r="K736" s="1">
        <v>-21895.159999999982</v>
      </c>
      <c r="L736" s="1">
        <v>86976.75999999998</v>
      </c>
      <c r="M736" s="1">
        <v>259</v>
      </c>
      <c r="N736" s="1">
        <v>197.99579335793359</v>
      </c>
      <c r="O736" s="1">
        <v>-109.2750545522935</v>
      </c>
      <c r="P736" s="7">
        <v>45947</v>
      </c>
      <c r="Q736" s="1">
        <v>30000</v>
      </c>
      <c r="R736" s="7">
        <v>46098.518370625003</v>
      </c>
      <c r="S736" s="7">
        <v>46098</v>
      </c>
      <c r="T736" s="7" t="str">
        <f t="shared" si="0"/>
        <v>marzo</v>
      </c>
      <c r="U736" s="1" t="s">
        <v>330</v>
      </c>
      <c r="X736" s="1" t="s">
        <v>460</v>
      </c>
      <c r="Y736" s="1" t="s">
        <v>461</v>
      </c>
      <c r="Z736" s="1">
        <v>1</v>
      </c>
      <c r="AA736" s="3">
        <v>53100</v>
      </c>
      <c r="AB736" s="3">
        <v>53100</v>
      </c>
      <c r="AC736" s="1" t="str">
        <f>VLOOKUP(A736,[1]Detalle!$D$2:$CW$484,98,FALSE)</f>
        <v>Expreso - Servicios Troncales</v>
      </c>
    </row>
    <row r="737" spans="1:29" ht="14.25" customHeight="1" x14ac:dyDescent="0.3">
      <c r="A737" s="1" t="s">
        <v>228</v>
      </c>
      <c r="B737" s="1" t="s">
        <v>446</v>
      </c>
      <c r="C737" s="1" t="s">
        <v>457</v>
      </c>
      <c r="D737" s="1" t="s">
        <v>451</v>
      </c>
      <c r="E737" s="1">
        <v>0.5</v>
      </c>
      <c r="F737" s="1" t="s">
        <v>344</v>
      </c>
      <c r="G737" s="6">
        <v>45678</v>
      </c>
      <c r="H737" s="1">
        <v>799717</v>
      </c>
      <c r="I737" s="1">
        <v>829717</v>
      </c>
      <c r="J737" s="1">
        <v>57283.27</v>
      </c>
      <c r="K737" s="1">
        <v>-27283.27</v>
      </c>
      <c r="L737" s="1">
        <v>857000.27</v>
      </c>
      <c r="M737" s="1">
        <v>269</v>
      </c>
      <c r="N737" s="1">
        <v>232.68261029411761</v>
      </c>
      <c r="O737" s="1">
        <v>-128.12117098063709</v>
      </c>
      <c r="P737" s="7">
        <v>45947</v>
      </c>
      <c r="Q737" s="1">
        <v>30000</v>
      </c>
      <c r="R737" s="7">
        <v>46075.930993009257</v>
      </c>
      <c r="S737" s="7">
        <v>46075</v>
      </c>
      <c r="T737" s="7" t="str">
        <f t="shared" si="0"/>
        <v>febrero</v>
      </c>
      <c r="U737" s="1" t="s">
        <v>330</v>
      </c>
      <c r="X737" s="1" t="s">
        <v>458</v>
      </c>
      <c r="Y737" s="1" t="s">
        <v>459</v>
      </c>
      <c r="Z737" s="1">
        <v>1</v>
      </c>
      <c r="AA737" s="3">
        <v>23207.05</v>
      </c>
      <c r="AB737" s="3">
        <v>23207.05</v>
      </c>
      <c r="AC737" s="1" t="str">
        <f>VLOOKUP(A737,[1]Detalle!$D$2:$CW$484,98,FALSE)</f>
        <v>Expreso - Servicios Troncales</v>
      </c>
    </row>
    <row r="738" spans="1:29" ht="14.25" customHeight="1" x14ac:dyDescent="0.3">
      <c r="A738" s="1" t="s">
        <v>228</v>
      </c>
      <c r="B738" s="1" t="s">
        <v>446</v>
      </c>
      <c r="C738" s="1" t="s">
        <v>457</v>
      </c>
      <c r="D738" s="1" t="s">
        <v>451</v>
      </c>
      <c r="E738" s="1">
        <v>0.5</v>
      </c>
      <c r="F738" s="1" t="s">
        <v>344</v>
      </c>
      <c r="G738" s="6">
        <v>45678</v>
      </c>
      <c r="H738" s="1">
        <v>799717</v>
      </c>
      <c r="I738" s="1">
        <v>829717</v>
      </c>
      <c r="J738" s="1">
        <v>57283.27</v>
      </c>
      <c r="K738" s="1">
        <v>-27283.27</v>
      </c>
      <c r="L738" s="1">
        <v>857000.27</v>
      </c>
      <c r="M738" s="1">
        <v>269</v>
      </c>
      <c r="N738" s="1">
        <v>232.68261029411761</v>
      </c>
      <c r="O738" s="1">
        <v>-128.12117098063709</v>
      </c>
      <c r="P738" s="7">
        <v>45947</v>
      </c>
      <c r="Q738" s="1">
        <v>30000</v>
      </c>
      <c r="R738" s="7">
        <v>46075.930993009257</v>
      </c>
      <c r="S738" s="7">
        <v>46075</v>
      </c>
      <c r="T738" s="7" t="str">
        <f t="shared" si="0"/>
        <v>febrero</v>
      </c>
      <c r="U738" s="1" t="s">
        <v>330</v>
      </c>
      <c r="X738" s="1" t="s">
        <v>460</v>
      </c>
      <c r="Y738" s="1" t="s">
        <v>461</v>
      </c>
      <c r="Z738" s="1">
        <v>1</v>
      </c>
      <c r="AA738" s="3">
        <v>53100</v>
      </c>
      <c r="AB738" s="3">
        <v>53100</v>
      </c>
      <c r="AC738" s="1" t="str">
        <f>VLOOKUP(A738,[1]Detalle!$D$2:$CW$484,98,FALSE)</f>
        <v>Expreso - Servicios Troncales</v>
      </c>
    </row>
    <row r="739" spans="1:29" ht="14.25" customHeight="1" x14ac:dyDescent="0.3">
      <c r="A739" s="1" t="s">
        <v>270</v>
      </c>
      <c r="B739" s="1" t="s">
        <v>447</v>
      </c>
      <c r="C739" s="1" t="s">
        <v>462</v>
      </c>
      <c r="D739" s="1" t="s">
        <v>451</v>
      </c>
      <c r="E739" s="1">
        <v>0.5</v>
      </c>
      <c r="F739" s="1" t="s">
        <v>344</v>
      </c>
      <c r="G739" s="6">
        <v>45891</v>
      </c>
      <c r="H739" s="1">
        <v>1737584</v>
      </c>
      <c r="I739" s="1">
        <v>1767584</v>
      </c>
      <c r="J739" s="1">
        <v>15736.9</v>
      </c>
      <c r="K739" s="1">
        <v>14263.1</v>
      </c>
      <c r="L739" s="1">
        <v>1753320.9</v>
      </c>
      <c r="M739" s="1">
        <v>56</v>
      </c>
      <c r="N739" s="1">
        <v>1736.2685719557189</v>
      </c>
      <c r="O739" s="1">
        <v>50.755460096969557</v>
      </c>
      <c r="P739" s="7">
        <v>45947</v>
      </c>
      <c r="Q739" s="1">
        <v>30000</v>
      </c>
      <c r="R739" s="7">
        <v>46032.312325879633</v>
      </c>
      <c r="S739" s="7">
        <v>46032</v>
      </c>
      <c r="T739" s="7" t="str">
        <f t="shared" si="0"/>
        <v>enero</v>
      </c>
      <c r="U739" s="1" t="s">
        <v>330</v>
      </c>
      <c r="X739" s="1" t="s">
        <v>463</v>
      </c>
      <c r="Y739" s="1" t="s">
        <v>464</v>
      </c>
      <c r="Z739" s="1">
        <v>1</v>
      </c>
      <c r="AA739" s="3">
        <v>28215.439999999999</v>
      </c>
      <c r="AB739" s="3">
        <v>28215.439999999999</v>
      </c>
      <c r="AC739" s="1" t="str">
        <f>VLOOKUP(A739,[1]Detalle!$D$2:$CW$484,98,FALSE)</f>
        <v>Expreso - Servicios Troncales</v>
      </c>
    </row>
    <row r="740" spans="1:29" ht="14.25" customHeight="1" x14ac:dyDescent="0.3">
      <c r="A740" s="1" t="s">
        <v>270</v>
      </c>
      <c r="B740" s="1" t="s">
        <v>447</v>
      </c>
      <c r="C740" s="1" t="s">
        <v>462</v>
      </c>
      <c r="D740" s="1" t="s">
        <v>451</v>
      </c>
      <c r="E740" s="1">
        <v>0.5</v>
      </c>
      <c r="F740" s="1" t="s">
        <v>344</v>
      </c>
      <c r="G740" s="6">
        <v>45891</v>
      </c>
      <c r="H740" s="1">
        <v>1737584</v>
      </c>
      <c r="I740" s="1">
        <v>1767584</v>
      </c>
      <c r="J740" s="1">
        <v>15736.9</v>
      </c>
      <c r="K740" s="1">
        <v>14263.1</v>
      </c>
      <c r="L740" s="1">
        <v>1753320.9</v>
      </c>
      <c r="M740" s="1">
        <v>56</v>
      </c>
      <c r="N740" s="1">
        <v>1736.2685719557189</v>
      </c>
      <c r="O740" s="1">
        <v>50.755460096969557</v>
      </c>
      <c r="P740" s="7">
        <v>45947</v>
      </c>
      <c r="Q740" s="1">
        <v>30000</v>
      </c>
      <c r="R740" s="7">
        <v>46032.312325879633</v>
      </c>
      <c r="S740" s="7">
        <v>46032</v>
      </c>
      <c r="T740" s="7" t="str">
        <f t="shared" si="0"/>
        <v>enero</v>
      </c>
      <c r="U740" s="1" t="s">
        <v>330</v>
      </c>
      <c r="X740" s="1" t="s">
        <v>465</v>
      </c>
      <c r="Y740" s="1" t="s">
        <v>466</v>
      </c>
      <c r="Z740" s="1">
        <v>1</v>
      </c>
      <c r="AA740" s="3">
        <v>15875.81</v>
      </c>
      <c r="AB740" s="3">
        <v>15875.81</v>
      </c>
      <c r="AC740" s="1" t="str">
        <f>VLOOKUP(A740,[1]Detalle!$D$2:$CW$484,98,FALSE)</f>
        <v>Expreso - Servicios Troncales</v>
      </c>
    </row>
    <row r="741" spans="1:29" ht="14.25" customHeight="1" x14ac:dyDescent="0.3">
      <c r="A741" s="1" t="s">
        <v>221</v>
      </c>
      <c r="B741" s="1" t="s">
        <v>427</v>
      </c>
      <c r="C741" s="1" t="s">
        <v>467</v>
      </c>
      <c r="D741" s="1" t="s">
        <v>467</v>
      </c>
      <c r="E741" s="1">
        <v>0.25</v>
      </c>
      <c r="F741" s="1" t="s">
        <v>366</v>
      </c>
      <c r="G741" s="6">
        <v>45818</v>
      </c>
      <c r="H741" s="1">
        <v>1516521</v>
      </c>
      <c r="I741" s="1">
        <v>1546521</v>
      </c>
      <c r="J741" s="1">
        <v>14102</v>
      </c>
      <c r="K741" s="1">
        <v>15898</v>
      </c>
      <c r="L741" s="1">
        <v>1530623</v>
      </c>
      <c r="M741" s="1">
        <v>129</v>
      </c>
      <c r="N741" s="1">
        <v>150.71646840148699</v>
      </c>
      <c r="O741" s="1">
        <v>145.4291589845412</v>
      </c>
      <c r="P741" s="7">
        <v>45947</v>
      </c>
      <c r="Q741" s="1">
        <v>30000</v>
      </c>
      <c r="R741" s="7">
        <v>46092.429158981482</v>
      </c>
      <c r="S741" s="7">
        <v>46092</v>
      </c>
      <c r="T741" s="7" t="str">
        <f t="shared" si="0"/>
        <v>marzo</v>
      </c>
      <c r="U741" s="1" t="s">
        <v>330</v>
      </c>
      <c r="X741" s="1" t="s">
        <v>422</v>
      </c>
      <c r="Y741" s="1" t="s">
        <v>423</v>
      </c>
      <c r="Z741" s="1">
        <v>1</v>
      </c>
      <c r="AA741" s="3">
        <v>49777.919999999998</v>
      </c>
      <c r="AB741" s="3">
        <v>49777.919999999998</v>
      </c>
      <c r="AC741" s="1" t="str">
        <f>VLOOKUP(A741,[1]Detalle!$D$2:$CW$484,98,FALSE)</f>
        <v>ADA_CH - Danone Arg. S.A. - Chascomus</v>
      </c>
    </row>
    <row r="742" spans="1:29" ht="14.25" customHeight="1" x14ac:dyDescent="0.3">
      <c r="A742" s="1" t="s">
        <v>30</v>
      </c>
      <c r="B742" s="1" t="s">
        <v>429</v>
      </c>
      <c r="C742" s="1" t="s">
        <v>467</v>
      </c>
      <c r="D742" s="1" t="s">
        <v>467</v>
      </c>
      <c r="E742" s="1">
        <v>0.25</v>
      </c>
      <c r="F742" s="1" t="s">
        <v>366</v>
      </c>
      <c r="G742" s="6">
        <v>45923</v>
      </c>
      <c r="H742" s="1">
        <v>452616</v>
      </c>
      <c r="I742" s="1">
        <v>482616</v>
      </c>
      <c r="J742" s="1">
        <v>2109</v>
      </c>
      <c r="K742" s="1">
        <v>27891</v>
      </c>
      <c r="L742" s="1">
        <v>454725</v>
      </c>
      <c r="M742" s="1">
        <v>24</v>
      </c>
      <c r="N742" s="1">
        <v>273.98136531365333</v>
      </c>
      <c r="O742" s="1">
        <v>317.39402560455193</v>
      </c>
      <c r="P742" s="7">
        <v>45947</v>
      </c>
      <c r="Q742" s="1">
        <v>30000</v>
      </c>
      <c r="R742" s="7">
        <v>46264.394025601847</v>
      </c>
      <c r="S742" s="7">
        <v>46264</v>
      </c>
      <c r="T742" s="7" t="str">
        <f t="shared" si="0"/>
        <v>agosto</v>
      </c>
      <c r="U742" s="1" t="s">
        <v>330</v>
      </c>
      <c r="X742" s="1" t="s">
        <v>422</v>
      </c>
      <c r="Y742" s="1" t="s">
        <v>423</v>
      </c>
      <c r="Z742" s="1">
        <v>1</v>
      </c>
      <c r="AA742" s="3">
        <v>49777.919999999998</v>
      </c>
      <c r="AB742" s="3">
        <v>49777.919999999998</v>
      </c>
      <c r="AC742" s="1" t="str">
        <f>VLOOKUP(A742,[1]Detalle!$D$2:$CW$484,98,FALSE)</f>
        <v>ADA_CH - Danone Arg. S.A. - Chascomus</v>
      </c>
    </row>
    <row r="743" spans="1:29" ht="14.25" customHeight="1" x14ac:dyDescent="0.3">
      <c r="A743" s="1" t="s">
        <v>32</v>
      </c>
      <c r="B743" s="1" t="s">
        <v>429</v>
      </c>
      <c r="C743" s="1" t="s">
        <v>467</v>
      </c>
      <c r="D743" s="1" t="s">
        <v>467</v>
      </c>
      <c r="E743" s="1">
        <v>0.25</v>
      </c>
      <c r="F743" s="1" t="s">
        <v>366</v>
      </c>
      <c r="G743" s="6">
        <v>45792</v>
      </c>
      <c r="H743" s="1">
        <v>308369</v>
      </c>
      <c r="I743" s="1">
        <v>338369</v>
      </c>
      <c r="J743" s="1">
        <v>18849.799999999988</v>
      </c>
      <c r="K743" s="1">
        <v>11150.20000000001</v>
      </c>
      <c r="L743" s="1">
        <v>327218.8</v>
      </c>
      <c r="M743" s="1">
        <v>155</v>
      </c>
      <c r="N743" s="1">
        <v>189.65078066914509</v>
      </c>
      <c r="O743" s="1">
        <v>91.686967500981538</v>
      </c>
      <c r="P743" s="7">
        <v>45947</v>
      </c>
      <c r="Q743" s="1">
        <v>30000</v>
      </c>
      <c r="R743" s="7">
        <v>46038.686967499998</v>
      </c>
      <c r="S743" s="7">
        <v>46038</v>
      </c>
      <c r="T743" s="7" t="str">
        <f t="shared" si="0"/>
        <v>enero</v>
      </c>
      <c r="U743" s="1" t="s">
        <v>330</v>
      </c>
      <c r="X743" s="1" t="s">
        <v>422</v>
      </c>
      <c r="Y743" s="1" t="s">
        <v>423</v>
      </c>
      <c r="Z743" s="1">
        <v>1</v>
      </c>
      <c r="AA743" s="3">
        <v>49777.919999999998</v>
      </c>
      <c r="AB743" s="3">
        <v>49777.919999999998</v>
      </c>
      <c r="AC743" s="1" t="str">
        <f>VLOOKUP(A743,[1]Detalle!$D$2:$CW$484,98,FALSE)</f>
        <v>ADA_CH - Danone Arg. S.A. - Chascomus</v>
      </c>
    </row>
    <row r="744" spans="1:29" ht="14.25" customHeight="1" x14ac:dyDescent="0.3">
      <c r="A744" s="1" t="s">
        <v>70</v>
      </c>
      <c r="B744" s="1" t="s">
        <v>430</v>
      </c>
      <c r="C744" s="1" t="s">
        <v>467</v>
      </c>
      <c r="D744" s="1" t="s">
        <v>467</v>
      </c>
      <c r="E744" s="1">
        <v>0.25</v>
      </c>
      <c r="F744" s="1" t="s">
        <v>366</v>
      </c>
      <c r="G744" s="6">
        <v>45912</v>
      </c>
      <c r="H744" s="1">
        <v>350551</v>
      </c>
      <c r="I744" s="1">
        <v>380551</v>
      </c>
      <c r="J744" s="1">
        <v>5928.8000000000011</v>
      </c>
      <c r="K744" s="1">
        <v>24071.200000000001</v>
      </c>
      <c r="L744" s="1">
        <v>356479.8</v>
      </c>
      <c r="M744" s="1">
        <v>35</v>
      </c>
      <c r="N744" s="1">
        <v>252.63896296296281</v>
      </c>
      <c r="O744" s="1">
        <v>142.10160572122521</v>
      </c>
      <c r="P744" s="7">
        <v>45947</v>
      </c>
      <c r="Q744" s="1">
        <v>30000</v>
      </c>
      <c r="R744" s="7">
        <v>46089.101605717588</v>
      </c>
      <c r="S744" s="7">
        <v>46089</v>
      </c>
      <c r="T744" s="7" t="str">
        <f t="shared" si="0"/>
        <v>marzo</v>
      </c>
      <c r="U744" s="1" t="s">
        <v>330</v>
      </c>
      <c r="X744" s="1" t="s">
        <v>422</v>
      </c>
      <c r="Y744" s="1" t="s">
        <v>423</v>
      </c>
      <c r="Z744" s="1">
        <v>1</v>
      </c>
      <c r="AA744" s="3">
        <v>49777.919999999998</v>
      </c>
      <c r="AB744" s="3">
        <v>49777.919999999998</v>
      </c>
      <c r="AC744" s="1" t="str">
        <f>VLOOKUP(A744,[1]Detalle!$D$2:$CW$484,98,FALSE)</f>
        <v>ADA_CH - Danone Arg. S.A. - Chascomus</v>
      </c>
    </row>
    <row r="745" spans="1:29" ht="14.25" customHeight="1" x14ac:dyDescent="0.3">
      <c r="A745" s="1" t="s">
        <v>77</v>
      </c>
      <c r="B745" s="1" t="s">
        <v>430</v>
      </c>
      <c r="C745" s="1" t="s">
        <v>467</v>
      </c>
      <c r="D745" s="1" t="s">
        <v>467</v>
      </c>
      <c r="E745" s="1">
        <v>0.25</v>
      </c>
      <c r="F745" s="1" t="s">
        <v>366</v>
      </c>
      <c r="G745" s="6">
        <v>45783</v>
      </c>
      <c r="H745" s="1">
        <v>54070.5</v>
      </c>
      <c r="I745" s="1">
        <v>84070.5</v>
      </c>
      <c r="J745" s="1">
        <v>14641.70000000001</v>
      </c>
      <c r="K745" s="1">
        <v>15358.29999999999</v>
      </c>
      <c r="L745" s="1">
        <v>68712.200000000012</v>
      </c>
      <c r="M745" s="1">
        <v>164</v>
      </c>
      <c r="N745" s="1">
        <v>78.920809061488711</v>
      </c>
      <c r="O745" s="1">
        <v>172.02655429355869</v>
      </c>
      <c r="P745" s="7">
        <v>45947</v>
      </c>
      <c r="Q745" s="1">
        <v>30000</v>
      </c>
      <c r="R745" s="7">
        <v>46119.026554293981</v>
      </c>
      <c r="S745" s="7">
        <v>46119</v>
      </c>
      <c r="T745" s="7" t="str">
        <f t="shared" si="0"/>
        <v>abril</v>
      </c>
      <c r="U745" s="1" t="s">
        <v>330</v>
      </c>
      <c r="X745" s="1" t="s">
        <v>422</v>
      </c>
      <c r="Y745" s="1" t="s">
        <v>423</v>
      </c>
      <c r="Z745" s="1">
        <v>1</v>
      </c>
      <c r="AA745" s="3">
        <v>49777.919999999998</v>
      </c>
      <c r="AB745" s="3">
        <v>49777.919999999998</v>
      </c>
      <c r="AC745" s="1" t="str">
        <f>VLOOKUP(A745,[1]Detalle!$D$2:$CW$484,98,FALSE)</f>
        <v>Arcor S.A.I.C.</v>
      </c>
    </row>
    <row r="746" spans="1:29" ht="14.25" customHeight="1" x14ac:dyDescent="0.3">
      <c r="A746" s="1" t="s">
        <v>86</v>
      </c>
      <c r="B746" s="1" t="s">
        <v>431</v>
      </c>
      <c r="C746" s="1" t="s">
        <v>467</v>
      </c>
      <c r="D746" s="1" t="s">
        <v>467</v>
      </c>
      <c r="E746" s="1">
        <v>0.25</v>
      </c>
      <c r="F746" s="1" t="s">
        <v>366</v>
      </c>
      <c r="G746" s="6">
        <v>45764</v>
      </c>
      <c r="H746" s="1">
        <v>52929.7</v>
      </c>
      <c r="I746" s="1">
        <v>82929.7</v>
      </c>
      <c r="J746" s="1">
        <v>13599.899999999991</v>
      </c>
      <c r="K746" s="1">
        <v>16400.100000000009</v>
      </c>
      <c r="L746" s="1">
        <v>66529.599999999991</v>
      </c>
      <c r="M746" s="1">
        <v>183</v>
      </c>
      <c r="N746" s="1">
        <v>74.356479400749095</v>
      </c>
      <c r="O746" s="1">
        <v>220.6794388194032</v>
      </c>
      <c r="P746" s="7">
        <v>45947</v>
      </c>
      <c r="Q746" s="1">
        <v>30000</v>
      </c>
      <c r="R746" s="7">
        <v>46167.679438819447</v>
      </c>
      <c r="S746" s="7">
        <v>46167</v>
      </c>
      <c r="T746" s="7" t="str">
        <f t="shared" si="0"/>
        <v>mayo</v>
      </c>
      <c r="U746" s="1" t="s">
        <v>330</v>
      </c>
      <c r="X746" s="1" t="s">
        <v>422</v>
      </c>
      <c r="Y746" s="1" t="s">
        <v>423</v>
      </c>
      <c r="Z746" s="1">
        <v>1</v>
      </c>
      <c r="AA746" s="3">
        <v>49777.919999999998</v>
      </c>
      <c r="AB746" s="3">
        <v>49777.919999999998</v>
      </c>
      <c r="AC746" s="1" t="str">
        <f>VLOOKUP(A746,[1]Detalle!$D$2:$CW$484,98,FALSE)</f>
        <v>Arcor S.A.I.C.</v>
      </c>
    </row>
    <row r="747" spans="1:29" ht="14.25" customHeight="1" x14ac:dyDescent="0.3">
      <c r="A747" s="1" t="s">
        <v>85</v>
      </c>
      <c r="B747" s="1" t="s">
        <v>431</v>
      </c>
      <c r="C747" s="1" t="s">
        <v>467</v>
      </c>
      <c r="D747" s="1" t="s">
        <v>467</v>
      </c>
      <c r="E747" s="1">
        <v>0.25</v>
      </c>
      <c r="F747" s="1" t="s">
        <v>366</v>
      </c>
      <c r="G747" s="6">
        <v>45609</v>
      </c>
      <c r="H747" s="1">
        <v>55539.8</v>
      </c>
      <c r="I747" s="1">
        <v>85539.8</v>
      </c>
      <c r="J747" s="1">
        <v>23943.03000000001</v>
      </c>
      <c r="K747" s="1">
        <v>6056.9699999999939</v>
      </c>
      <c r="L747" s="1">
        <v>79482.830000000016</v>
      </c>
      <c r="M747" s="1">
        <v>338</v>
      </c>
      <c r="N747" s="1">
        <v>78.134555555555551</v>
      </c>
      <c r="O747" s="1">
        <v>85.505295695657452</v>
      </c>
      <c r="P747" s="7">
        <v>45947</v>
      </c>
      <c r="Q747" s="1">
        <v>30000</v>
      </c>
      <c r="R747" s="7">
        <v>46032.505295694442</v>
      </c>
      <c r="S747" s="7">
        <v>46032</v>
      </c>
      <c r="T747" s="7" t="str">
        <f t="shared" si="0"/>
        <v>enero</v>
      </c>
      <c r="U747" s="1" t="s">
        <v>330</v>
      </c>
      <c r="X747" s="1" t="s">
        <v>422</v>
      </c>
      <c r="Y747" s="1" t="s">
        <v>423</v>
      </c>
      <c r="Z747" s="1">
        <v>1</v>
      </c>
      <c r="AA747" s="3">
        <v>49777.919999999998</v>
      </c>
      <c r="AB747" s="3">
        <v>49777.919999999998</v>
      </c>
      <c r="AC747" s="1" t="str">
        <f>VLOOKUP(A747,[1]Detalle!$D$2:$CW$484,98,FALSE)</f>
        <v>Arcor S.A.I.C.</v>
      </c>
    </row>
    <row r="748" spans="1:29" ht="14.25" customHeight="1" x14ac:dyDescent="0.3">
      <c r="A748" s="1" t="s">
        <v>93</v>
      </c>
      <c r="B748" s="1" t="s">
        <v>429</v>
      </c>
      <c r="C748" s="1" t="s">
        <v>467</v>
      </c>
      <c r="D748" s="1" t="s">
        <v>467</v>
      </c>
      <c r="E748" s="1">
        <v>0.25</v>
      </c>
      <c r="F748" s="1" t="s">
        <v>366</v>
      </c>
      <c r="G748" s="1" t="s">
        <v>337</v>
      </c>
      <c r="N748" s="1">
        <v>112.049667896679</v>
      </c>
      <c r="P748" s="7">
        <v>45947</v>
      </c>
      <c r="Q748" s="1">
        <v>30000</v>
      </c>
      <c r="R748" s="7">
        <v>46214.738410682869</v>
      </c>
      <c r="S748" s="7">
        <v>46214</v>
      </c>
      <c r="T748" s="7" t="str">
        <f t="shared" si="0"/>
        <v>julio</v>
      </c>
      <c r="U748" s="1" t="s">
        <v>330</v>
      </c>
      <c r="X748" s="1" t="s">
        <v>422</v>
      </c>
      <c r="Y748" s="1" t="s">
        <v>423</v>
      </c>
      <c r="Z748" s="1">
        <v>1</v>
      </c>
      <c r="AA748" s="3">
        <v>49777.919999999998</v>
      </c>
      <c r="AB748" s="3">
        <v>49777.919999999998</v>
      </c>
      <c r="AC748" s="1" t="str">
        <f>VLOOKUP(A748,[1]Detalle!$D$2:$CW$484,98,FALSE)</f>
        <v>Arcor S.A.I.C.</v>
      </c>
    </row>
    <row r="749" spans="1:29" ht="14.25" customHeight="1" x14ac:dyDescent="0.3">
      <c r="A749" s="1" t="s">
        <v>19</v>
      </c>
      <c r="B749" s="1" t="s">
        <v>432</v>
      </c>
      <c r="C749" s="1" t="s">
        <v>467</v>
      </c>
      <c r="D749" s="1" t="s">
        <v>467</v>
      </c>
      <c r="E749" s="1">
        <v>0.25</v>
      </c>
      <c r="F749" s="1" t="s">
        <v>366</v>
      </c>
      <c r="G749" s="6">
        <v>45902</v>
      </c>
      <c r="H749" s="1">
        <v>542619</v>
      </c>
      <c r="I749" s="1">
        <v>572619</v>
      </c>
      <c r="J749" s="1">
        <v>9864.5000000000018</v>
      </c>
      <c r="K749" s="1">
        <v>20135.5</v>
      </c>
      <c r="L749" s="1">
        <v>552483.5</v>
      </c>
      <c r="M749" s="1">
        <v>45</v>
      </c>
      <c r="N749" s="1">
        <v>844.57346863468638</v>
      </c>
      <c r="O749" s="1">
        <v>91.85437680571745</v>
      </c>
      <c r="P749" s="7">
        <v>45947</v>
      </c>
      <c r="Q749" s="1">
        <v>30000</v>
      </c>
      <c r="R749" s="7">
        <v>46038.854376805553</v>
      </c>
      <c r="S749" s="7">
        <v>46038</v>
      </c>
      <c r="T749" s="7" t="str">
        <f t="shared" si="0"/>
        <v>enero</v>
      </c>
      <c r="U749" s="1" t="s">
        <v>330</v>
      </c>
      <c r="X749" s="1" t="s">
        <v>422</v>
      </c>
      <c r="Y749" s="1" t="s">
        <v>423</v>
      </c>
      <c r="Z749" s="1">
        <v>1</v>
      </c>
      <c r="AA749" s="3">
        <v>49777.919999999998</v>
      </c>
      <c r="AB749" s="3">
        <v>49777.919999999998</v>
      </c>
      <c r="AC749" s="1" t="str">
        <f>VLOOKUP(A749,[1]Detalle!$D$2:$CW$484,98,FALSE)</f>
        <v>CENCOMLD - Cencosud SA - Mendoza</v>
      </c>
    </row>
    <row r="750" spans="1:29" ht="14.25" customHeight="1" x14ac:dyDescent="0.3">
      <c r="A750" s="1" t="s">
        <v>31</v>
      </c>
      <c r="B750" s="1" t="s">
        <v>429</v>
      </c>
      <c r="C750" s="1" t="s">
        <v>467</v>
      </c>
      <c r="D750" s="1" t="s">
        <v>467</v>
      </c>
      <c r="E750" s="1">
        <v>0.25</v>
      </c>
      <c r="F750" s="1" t="s">
        <v>366</v>
      </c>
      <c r="G750" s="6">
        <v>45670</v>
      </c>
      <c r="H750" s="1">
        <v>26955.5</v>
      </c>
      <c r="I750" s="1">
        <v>56955.5</v>
      </c>
      <c r="J750" s="1">
        <v>25182.46000000001</v>
      </c>
      <c r="K750" s="1">
        <v>4817.53999999999</v>
      </c>
      <c r="L750" s="1">
        <v>52137.960000000006</v>
      </c>
      <c r="M750" s="1">
        <v>277</v>
      </c>
      <c r="N750" s="1">
        <v>102.90352941176479</v>
      </c>
      <c r="O750" s="1">
        <v>52.991589384039401</v>
      </c>
      <c r="P750" s="7">
        <v>45947</v>
      </c>
      <c r="Q750" s="1">
        <v>30000</v>
      </c>
      <c r="R750" s="7">
        <v>46291.526779398147</v>
      </c>
      <c r="S750" s="7">
        <v>46291</v>
      </c>
      <c r="T750" s="7" t="str">
        <f t="shared" si="0"/>
        <v>septiembre</v>
      </c>
      <c r="U750" s="1" t="s">
        <v>330</v>
      </c>
      <c r="X750" s="1" t="s">
        <v>422</v>
      </c>
      <c r="Y750" s="1" t="s">
        <v>423</v>
      </c>
      <c r="Z750" s="1">
        <v>1</v>
      </c>
      <c r="AA750" s="3">
        <v>49777.919999999998</v>
      </c>
      <c r="AB750" s="3">
        <v>49777.919999999998</v>
      </c>
      <c r="AC750" s="1" t="str">
        <f>VLOOKUP(A750,[1]Detalle!$D$2:$CW$484,98,FALSE)</f>
        <v>CENCOMLD - Cencosud SA - Mendoza</v>
      </c>
    </row>
    <row r="751" spans="1:29" ht="14.25" customHeight="1" x14ac:dyDescent="0.3">
      <c r="A751" s="1" t="s">
        <v>35</v>
      </c>
      <c r="B751" s="1" t="s">
        <v>427</v>
      </c>
      <c r="C751" s="1" t="s">
        <v>467</v>
      </c>
      <c r="D751" s="1" t="s">
        <v>467</v>
      </c>
      <c r="E751" s="1">
        <v>0.25</v>
      </c>
      <c r="F751" s="1" t="s">
        <v>366</v>
      </c>
      <c r="G751" s="6">
        <v>45889</v>
      </c>
      <c r="H751" s="1">
        <v>401776</v>
      </c>
      <c r="I751" s="1">
        <v>431776</v>
      </c>
      <c r="J751" s="1">
        <v>11957.5</v>
      </c>
      <c r="K751" s="1">
        <v>18042.5</v>
      </c>
      <c r="L751" s="1">
        <v>413733.5</v>
      </c>
      <c r="M751" s="1">
        <v>58</v>
      </c>
      <c r="N751" s="1">
        <v>328.18794117647042</v>
      </c>
      <c r="O751" s="1">
        <v>87.515366924524358</v>
      </c>
      <c r="P751" s="7">
        <v>45947</v>
      </c>
      <c r="Q751" s="1">
        <v>30000</v>
      </c>
      <c r="R751" s="7">
        <v>46034.515366921303</v>
      </c>
      <c r="S751" s="7">
        <v>46034</v>
      </c>
      <c r="T751" s="7" t="str">
        <f t="shared" si="0"/>
        <v>enero</v>
      </c>
      <c r="U751" s="1" t="s">
        <v>330</v>
      </c>
      <c r="X751" s="1" t="s">
        <v>422</v>
      </c>
      <c r="Y751" s="1" t="s">
        <v>423</v>
      </c>
      <c r="Z751" s="1">
        <v>1</v>
      </c>
      <c r="AA751" s="3">
        <v>49777.919999999998</v>
      </c>
      <c r="AB751" s="3">
        <v>49777.919999999998</v>
      </c>
      <c r="AC751" s="1" t="str">
        <f>VLOOKUP(A751,[1]Detalle!$D$2:$CW$484,98,FALSE)</f>
        <v>CENCOMLD - Cencosud SA - Mendoza</v>
      </c>
    </row>
    <row r="752" spans="1:29" ht="14.25" customHeight="1" x14ac:dyDescent="0.3">
      <c r="A752" s="1" t="s">
        <v>95</v>
      </c>
      <c r="B752" s="1" t="s">
        <v>429</v>
      </c>
      <c r="C752" s="1" t="s">
        <v>467</v>
      </c>
      <c r="D752" s="1" t="s">
        <v>467</v>
      </c>
      <c r="E752" s="1">
        <v>0.25</v>
      </c>
      <c r="F752" s="1" t="s">
        <v>366</v>
      </c>
      <c r="G752" s="6">
        <v>45869</v>
      </c>
      <c r="H752" s="1">
        <v>165086</v>
      </c>
      <c r="I752" s="1">
        <v>195086</v>
      </c>
      <c r="J752" s="1">
        <v>12624.7</v>
      </c>
      <c r="K752" s="1">
        <v>17375.3</v>
      </c>
      <c r="L752" s="1">
        <v>177710.7</v>
      </c>
      <c r="M752" s="1">
        <v>78</v>
      </c>
      <c r="N752" s="1">
        <v>266.23473282442751</v>
      </c>
      <c r="O752" s="1">
        <v>107.3509390322146</v>
      </c>
      <c r="P752" s="7">
        <v>45947</v>
      </c>
      <c r="Q752" s="1">
        <v>30000</v>
      </c>
      <c r="R752" s="7">
        <v>46054.350939027783</v>
      </c>
      <c r="S752" s="7">
        <v>46054</v>
      </c>
      <c r="T752" s="7" t="str">
        <f t="shared" si="0"/>
        <v>febrero</v>
      </c>
      <c r="U752" s="1" t="s">
        <v>330</v>
      </c>
      <c r="X752" s="1" t="s">
        <v>422</v>
      </c>
      <c r="Y752" s="1" t="s">
        <v>423</v>
      </c>
      <c r="Z752" s="1">
        <v>1</v>
      </c>
      <c r="AA752" s="3">
        <v>49777.919999999998</v>
      </c>
      <c r="AB752" s="3">
        <v>49777.919999999998</v>
      </c>
      <c r="AC752" s="1" t="str">
        <f>VLOOKUP(A752,[1]Detalle!$D$2:$CW$484,98,FALSE)</f>
        <v>CENCOMLD - Cencosud SA - Mendoza</v>
      </c>
    </row>
    <row r="753" spans="1:29" ht="14.25" customHeight="1" x14ac:dyDescent="0.3">
      <c r="A753" s="1" t="s">
        <v>96</v>
      </c>
      <c r="B753" s="1" t="s">
        <v>429</v>
      </c>
      <c r="C753" s="1" t="s">
        <v>467</v>
      </c>
      <c r="D753" s="1" t="s">
        <v>467</v>
      </c>
      <c r="E753" s="1">
        <v>0.25</v>
      </c>
      <c r="F753" s="1" t="s">
        <v>366</v>
      </c>
      <c r="G753" s="6">
        <v>45861</v>
      </c>
      <c r="H753" s="1">
        <v>163295</v>
      </c>
      <c r="I753" s="1">
        <v>193295</v>
      </c>
      <c r="J753" s="1">
        <v>22184.6</v>
      </c>
      <c r="K753" s="1">
        <v>7815.3999999999978</v>
      </c>
      <c r="L753" s="1">
        <v>185479.6</v>
      </c>
      <c r="M753" s="1">
        <v>86</v>
      </c>
      <c r="N753" s="1">
        <v>281.98244274809178</v>
      </c>
      <c r="O753" s="1">
        <v>30.296890635846481</v>
      </c>
      <c r="P753" s="7">
        <v>45947</v>
      </c>
      <c r="Q753" s="1">
        <v>30000</v>
      </c>
      <c r="R753" s="7">
        <v>46083.686493148147</v>
      </c>
      <c r="S753" s="7">
        <v>46083</v>
      </c>
      <c r="T753" s="7" t="str">
        <f t="shared" si="0"/>
        <v>marzo</v>
      </c>
      <c r="U753" s="1" t="s">
        <v>330</v>
      </c>
      <c r="X753" s="1" t="s">
        <v>422</v>
      </c>
      <c r="Y753" s="1" t="s">
        <v>423</v>
      </c>
      <c r="Z753" s="1">
        <v>1</v>
      </c>
      <c r="AA753" s="3">
        <v>49777.919999999998</v>
      </c>
      <c r="AB753" s="3">
        <v>49777.919999999998</v>
      </c>
      <c r="AC753" s="1" t="str">
        <f>VLOOKUP(A753,[1]Detalle!$D$2:$CW$484,98,FALSE)</f>
        <v>CENCOMLD - Cencosud SA - Mendoza</v>
      </c>
    </row>
    <row r="754" spans="1:29" ht="14.25" customHeight="1" x14ac:dyDescent="0.3">
      <c r="A754" s="1" t="s">
        <v>215</v>
      </c>
      <c r="B754" s="1" t="s">
        <v>427</v>
      </c>
      <c r="C754" s="1" t="s">
        <v>467</v>
      </c>
      <c r="D754" s="1" t="s">
        <v>467</v>
      </c>
      <c r="E754" s="1">
        <v>0.25</v>
      </c>
      <c r="F754" s="1" t="s">
        <v>366</v>
      </c>
      <c r="G754" s="6">
        <v>45810</v>
      </c>
      <c r="H754" s="1">
        <v>367233</v>
      </c>
      <c r="I754" s="1">
        <v>397233</v>
      </c>
      <c r="J754" s="1">
        <v>10569.3</v>
      </c>
      <c r="K754" s="1">
        <v>19430.7</v>
      </c>
      <c r="L754" s="1">
        <v>377802.3</v>
      </c>
      <c r="M754" s="1">
        <v>137</v>
      </c>
      <c r="N754" s="1">
        <v>68.452272727272742</v>
      </c>
      <c r="O754" s="1">
        <v>251.8620816894213</v>
      </c>
      <c r="P754" s="7">
        <v>45947</v>
      </c>
      <c r="Q754" s="1">
        <v>30000</v>
      </c>
      <c r="R754" s="7">
        <v>46198.862081689818</v>
      </c>
      <c r="S754" s="7">
        <v>46198</v>
      </c>
      <c r="T754" s="7" t="str">
        <f t="shared" si="0"/>
        <v>junio</v>
      </c>
      <c r="U754" s="1" t="s">
        <v>330</v>
      </c>
      <c r="X754" s="1" t="s">
        <v>422</v>
      </c>
      <c r="Y754" s="1" t="s">
        <v>423</v>
      </c>
      <c r="Z754" s="1">
        <v>1</v>
      </c>
      <c r="AA754" s="3">
        <v>49777.919999999998</v>
      </c>
      <c r="AB754" s="3">
        <v>49777.919999999998</v>
      </c>
      <c r="AC754" s="1" t="str">
        <f>VLOOKUP(A754,[1]Detalle!$D$2:$CW$484,98,FALSE)</f>
        <v>Arcor S.A.I.C.</v>
      </c>
    </row>
    <row r="755" spans="1:29" ht="14.25" customHeight="1" x14ac:dyDescent="0.3">
      <c r="A755" s="1" t="s">
        <v>214</v>
      </c>
      <c r="B755" s="1" t="s">
        <v>433</v>
      </c>
      <c r="C755" s="1" t="s">
        <v>467</v>
      </c>
      <c r="D755" s="1" t="s">
        <v>467</v>
      </c>
      <c r="E755" s="1">
        <v>0.25</v>
      </c>
      <c r="F755" s="1" t="s">
        <v>366</v>
      </c>
      <c r="G755" s="6">
        <v>45918</v>
      </c>
      <c r="H755" s="1">
        <v>41172.300000000003</v>
      </c>
      <c r="I755" s="1">
        <v>71172.3</v>
      </c>
      <c r="J755" s="1">
        <v>0</v>
      </c>
      <c r="K755" s="1">
        <v>30000</v>
      </c>
      <c r="L755" s="1">
        <v>41172.300000000003</v>
      </c>
      <c r="M755" s="1">
        <v>29</v>
      </c>
      <c r="N755" s="1">
        <v>24.119335793357951</v>
      </c>
      <c r="O755" s="1">
        <v>300</v>
      </c>
      <c r="P755" s="7">
        <v>45947</v>
      </c>
      <c r="Q755" s="1">
        <v>30000</v>
      </c>
      <c r="R755" s="7">
        <v>46247</v>
      </c>
      <c r="S755" s="7">
        <v>46247</v>
      </c>
      <c r="T755" s="7" t="str">
        <f t="shared" si="0"/>
        <v>agosto</v>
      </c>
      <c r="U755" s="1" t="s">
        <v>330</v>
      </c>
      <c r="X755" s="1" t="s">
        <v>422</v>
      </c>
      <c r="Y755" s="1" t="s">
        <v>423</v>
      </c>
      <c r="Z755" s="1">
        <v>1</v>
      </c>
      <c r="AA755" s="3">
        <v>49777.919999999998</v>
      </c>
      <c r="AB755" s="3">
        <v>49777.919999999998</v>
      </c>
      <c r="AC755" s="1" t="str">
        <f>VLOOKUP(A755,[1]Detalle!$D$2:$CW$484,98,FALSE)</f>
        <v>Expreso - Servicios Troncales</v>
      </c>
    </row>
    <row r="756" spans="1:29" ht="14.25" customHeight="1" x14ac:dyDescent="0.3">
      <c r="A756" s="1" t="s">
        <v>176</v>
      </c>
      <c r="B756" s="1" t="s">
        <v>427</v>
      </c>
      <c r="C756" s="1" t="s">
        <v>467</v>
      </c>
      <c r="D756" s="1" t="s">
        <v>467</v>
      </c>
      <c r="E756" s="1">
        <v>0.25</v>
      </c>
      <c r="F756" s="1" t="s">
        <v>366</v>
      </c>
      <c r="G756" s="6">
        <v>45897</v>
      </c>
      <c r="H756" s="1">
        <v>1944647</v>
      </c>
      <c r="I756" s="1">
        <v>1974647</v>
      </c>
      <c r="J756" s="1">
        <v>11028.1</v>
      </c>
      <c r="K756" s="1">
        <v>18971.900000000001</v>
      </c>
      <c r="L756" s="1">
        <v>1955675.1</v>
      </c>
      <c r="M756" s="1">
        <v>50</v>
      </c>
      <c r="N756" s="1">
        <v>1849.550539936103</v>
      </c>
      <c r="O756" s="1">
        <v>86.016176857300891</v>
      </c>
      <c r="P756" s="7">
        <v>45947</v>
      </c>
      <c r="Q756" s="1">
        <v>30000</v>
      </c>
      <c r="R756" s="7">
        <v>46033.016176851852</v>
      </c>
      <c r="S756" s="7">
        <v>46033</v>
      </c>
      <c r="T756" s="7" t="str">
        <f t="shared" si="0"/>
        <v>enero</v>
      </c>
      <c r="U756" s="1" t="s">
        <v>330</v>
      </c>
      <c r="X756" s="1" t="s">
        <v>422</v>
      </c>
      <c r="Y756" s="1" t="s">
        <v>423</v>
      </c>
      <c r="Z756" s="1">
        <v>1</v>
      </c>
      <c r="AA756" s="3">
        <v>49777.919999999998</v>
      </c>
      <c r="AB756" s="3">
        <v>49777.919999999998</v>
      </c>
      <c r="AC756" s="1" t="str">
        <f>VLOOKUP(A756,[1]Detalle!$D$2:$CW$484,98,FALSE)</f>
        <v>Expreso - Servicios Troncales</v>
      </c>
    </row>
    <row r="757" spans="1:29" ht="14.25" customHeight="1" x14ac:dyDescent="0.3">
      <c r="A757" s="1" t="s">
        <v>177</v>
      </c>
      <c r="B757" s="1" t="s">
        <v>427</v>
      </c>
      <c r="C757" s="1" t="s">
        <v>467</v>
      </c>
      <c r="D757" s="1" t="s">
        <v>467</v>
      </c>
      <c r="E757" s="1">
        <v>0.25</v>
      </c>
      <c r="F757" s="1" t="s">
        <v>366</v>
      </c>
      <c r="G757" s="1" t="s">
        <v>337</v>
      </c>
      <c r="N757" s="1">
        <v>126.37693548387099</v>
      </c>
      <c r="P757" s="7">
        <v>45947</v>
      </c>
      <c r="Q757" s="1">
        <v>30000</v>
      </c>
      <c r="R757" s="7">
        <v>46184.385088391202</v>
      </c>
      <c r="S757" s="7">
        <v>46184</v>
      </c>
      <c r="T757" s="7" t="str">
        <f t="shared" si="0"/>
        <v>junio</v>
      </c>
      <c r="U757" s="1" t="s">
        <v>330</v>
      </c>
      <c r="X757" s="1" t="s">
        <v>422</v>
      </c>
      <c r="Y757" s="1" t="s">
        <v>423</v>
      </c>
      <c r="Z757" s="1">
        <v>1</v>
      </c>
      <c r="AA757" s="3">
        <v>49777.919999999998</v>
      </c>
      <c r="AB757" s="3">
        <v>49777.919999999998</v>
      </c>
      <c r="AC757" s="1" t="str">
        <f>VLOOKUP(A757,[1]Detalle!$D$2:$CW$484,98,FALSE)</f>
        <v>Unilever - Unilever de Arg. S.A.</v>
      </c>
    </row>
    <row r="758" spans="1:29" ht="14.25" customHeight="1" x14ac:dyDescent="0.3">
      <c r="A758" s="1" t="s">
        <v>186</v>
      </c>
      <c r="B758" s="1" t="s">
        <v>427</v>
      </c>
      <c r="C758" s="1" t="s">
        <v>467</v>
      </c>
      <c r="D758" s="1" t="s">
        <v>467</v>
      </c>
      <c r="E758" s="1">
        <v>0.25</v>
      </c>
      <c r="F758" s="1" t="s">
        <v>366</v>
      </c>
      <c r="G758" s="6">
        <v>45800</v>
      </c>
      <c r="H758" s="1">
        <v>459582</v>
      </c>
      <c r="I758" s="1">
        <v>489582</v>
      </c>
      <c r="J758" s="1">
        <v>48012.699999999968</v>
      </c>
      <c r="K758" s="1">
        <v>-18012.699999999972</v>
      </c>
      <c r="L758" s="1">
        <v>507594.7</v>
      </c>
      <c r="M758" s="1">
        <v>147</v>
      </c>
      <c r="N758" s="1">
        <v>303.0774834437085</v>
      </c>
      <c r="O758" s="1">
        <v>-55.149302163802432</v>
      </c>
      <c r="P758" s="7">
        <v>45947</v>
      </c>
      <c r="Q758" s="1">
        <v>30000</v>
      </c>
      <c r="R758" s="7">
        <v>46045.984588553241</v>
      </c>
      <c r="S758" s="7">
        <v>46045</v>
      </c>
      <c r="T758" s="7" t="str">
        <f t="shared" si="0"/>
        <v>enero</v>
      </c>
      <c r="U758" s="1" t="s">
        <v>330</v>
      </c>
      <c r="X758" s="1" t="s">
        <v>422</v>
      </c>
      <c r="Y758" s="1" t="s">
        <v>423</v>
      </c>
      <c r="Z758" s="1">
        <v>1</v>
      </c>
      <c r="AA758" s="3">
        <v>49777.919999999998</v>
      </c>
      <c r="AB758" s="3">
        <v>49777.919999999998</v>
      </c>
      <c r="AC758" s="1" t="str">
        <f>VLOOKUP(A758,[1]Detalle!$D$2:$CW$484,98,FALSE)</f>
        <v>Expreso - Servicios Troncales</v>
      </c>
    </row>
    <row r="759" spans="1:29" ht="14.25" customHeight="1" x14ac:dyDescent="0.3">
      <c r="A759" s="1" t="s">
        <v>201</v>
      </c>
      <c r="B759" s="1" t="s">
        <v>427</v>
      </c>
      <c r="C759" s="1" t="s">
        <v>467</v>
      </c>
      <c r="D759" s="1" t="s">
        <v>467</v>
      </c>
      <c r="E759" s="1">
        <v>0.25</v>
      </c>
      <c r="F759" s="1" t="s">
        <v>366</v>
      </c>
      <c r="G759" s="6">
        <v>45880</v>
      </c>
      <c r="H759" s="1">
        <v>1839556</v>
      </c>
      <c r="I759" s="1">
        <v>1869556</v>
      </c>
      <c r="J759" s="1">
        <v>11612.7</v>
      </c>
      <c r="K759" s="1">
        <v>18387.3</v>
      </c>
      <c r="L759" s="1">
        <v>1851168.7</v>
      </c>
      <c r="M759" s="1">
        <v>67</v>
      </c>
      <c r="N759" s="1">
        <v>155.41622516556279</v>
      </c>
      <c r="O759" s="1">
        <v>106.0863623446744</v>
      </c>
      <c r="P759" s="7">
        <v>45947</v>
      </c>
      <c r="Q759" s="1">
        <v>30000</v>
      </c>
      <c r="R759" s="7">
        <v>46053.086362349539</v>
      </c>
      <c r="S759" s="7">
        <v>46053</v>
      </c>
      <c r="T759" s="7" t="str">
        <f t="shared" si="0"/>
        <v>enero</v>
      </c>
      <c r="U759" s="1" t="s">
        <v>330</v>
      </c>
      <c r="X759" s="1" t="s">
        <v>422</v>
      </c>
      <c r="Y759" s="1" t="s">
        <v>423</v>
      </c>
      <c r="Z759" s="1">
        <v>1</v>
      </c>
      <c r="AA759" s="3">
        <v>49777.919999999998</v>
      </c>
      <c r="AB759" s="3">
        <v>49777.919999999998</v>
      </c>
      <c r="AC759" s="1" t="str">
        <f>VLOOKUP(A759,[1]Detalle!$D$2:$CW$484,98,FALSE)</f>
        <v>Expreso - Servicios Troncales</v>
      </c>
    </row>
    <row r="760" spans="1:29" ht="14.25" customHeight="1" x14ac:dyDescent="0.3">
      <c r="A760" s="1" t="s">
        <v>230</v>
      </c>
      <c r="B760" s="1" t="s">
        <v>434</v>
      </c>
      <c r="C760" s="1" t="s">
        <v>467</v>
      </c>
      <c r="D760" s="1" t="s">
        <v>467</v>
      </c>
      <c r="E760" s="1">
        <v>0.25</v>
      </c>
      <c r="F760" s="1" t="s">
        <v>366</v>
      </c>
      <c r="G760" s="6">
        <v>45922</v>
      </c>
      <c r="H760" s="1">
        <v>1817011</v>
      </c>
      <c r="I760" s="1">
        <v>1847011</v>
      </c>
      <c r="J760" s="1">
        <v>3227.7</v>
      </c>
      <c r="K760" s="1">
        <v>26772.3</v>
      </c>
      <c r="L760" s="1">
        <v>1820238.7</v>
      </c>
      <c r="M760" s="1">
        <v>25</v>
      </c>
      <c r="N760" s="1">
        <v>289.98935849056602</v>
      </c>
      <c r="O760" s="1">
        <v>207.3636025652942</v>
      </c>
      <c r="P760" s="7">
        <v>45947</v>
      </c>
      <c r="Q760" s="1">
        <v>30000</v>
      </c>
      <c r="R760" s="7">
        <v>46154.363602569443</v>
      </c>
      <c r="S760" s="7">
        <v>46154</v>
      </c>
      <c r="T760" s="7" t="str">
        <f t="shared" si="0"/>
        <v>mayo</v>
      </c>
      <c r="U760" s="1" t="s">
        <v>330</v>
      </c>
      <c r="X760" s="1" t="s">
        <v>422</v>
      </c>
      <c r="Y760" s="1" t="s">
        <v>423</v>
      </c>
      <c r="Z760" s="1">
        <v>1</v>
      </c>
      <c r="AA760" s="3">
        <v>49777.919999999998</v>
      </c>
      <c r="AB760" s="3">
        <v>49777.919999999998</v>
      </c>
      <c r="AC760" s="1" t="str">
        <f>VLOOKUP(A760,[1]Detalle!$D$2:$CW$484,98,FALSE)</f>
        <v>Expreso - Servicios Troncales</v>
      </c>
    </row>
    <row r="761" spans="1:29" ht="14.25" customHeight="1" x14ac:dyDescent="0.3">
      <c r="A761" s="1" t="s">
        <v>175</v>
      </c>
      <c r="B761" s="1" t="s">
        <v>427</v>
      </c>
      <c r="C761" s="1" t="s">
        <v>467</v>
      </c>
      <c r="D761" s="1" t="s">
        <v>467</v>
      </c>
      <c r="E761" s="1">
        <v>0.25</v>
      </c>
      <c r="F761" s="1" t="s">
        <v>366</v>
      </c>
      <c r="G761" s="6">
        <v>45763</v>
      </c>
      <c r="H761" s="1">
        <v>1556403</v>
      </c>
      <c r="I761" s="1">
        <v>1586403</v>
      </c>
      <c r="J761" s="1">
        <v>17285.8</v>
      </c>
      <c r="K761" s="1">
        <v>12714.2</v>
      </c>
      <c r="L761" s="1">
        <v>1573688.8</v>
      </c>
      <c r="M761" s="1">
        <v>184</v>
      </c>
      <c r="N761" s="1">
        <v>81.249174917491729</v>
      </c>
      <c r="O761" s="1">
        <v>135.33725948466369</v>
      </c>
      <c r="P761" s="7">
        <v>45947</v>
      </c>
      <c r="Q761" s="1">
        <v>30000</v>
      </c>
      <c r="R761" s="7">
        <v>46082.337259479173</v>
      </c>
      <c r="S761" s="7">
        <v>46082</v>
      </c>
      <c r="T761" s="7" t="str">
        <f t="shared" si="0"/>
        <v>marzo</v>
      </c>
      <c r="U761" s="1" t="s">
        <v>330</v>
      </c>
      <c r="X761" s="1" t="s">
        <v>422</v>
      </c>
      <c r="Y761" s="1" t="s">
        <v>423</v>
      </c>
      <c r="Z761" s="1">
        <v>1</v>
      </c>
      <c r="AA761" s="3">
        <v>49777.919999999998</v>
      </c>
      <c r="AB761" s="3">
        <v>49777.919999999998</v>
      </c>
      <c r="AC761" s="1" t="str">
        <f>VLOOKUP(A761,[1]Detalle!$D$2:$CW$484,98,FALSE)</f>
        <v>JOHNSON - SC JOHNSON DE ARGENTINA SAIC</v>
      </c>
    </row>
    <row r="762" spans="1:29" ht="14.25" customHeight="1" x14ac:dyDescent="0.3">
      <c r="A762" s="1" t="s">
        <v>216</v>
      </c>
      <c r="B762" s="1" t="s">
        <v>427</v>
      </c>
      <c r="C762" s="1" t="s">
        <v>467</v>
      </c>
      <c r="D762" s="1" t="s">
        <v>467</v>
      </c>
      <c r="E762" s="1">
        <v>0.25</v>
      </c>
      <c r="F762" s="1" t="s">
        <v>366</v>
      </c>
      <c r="G762" s="6">
        <v>45859</v>
      </c>
      <c r="H762" s="1">
        <v>1612281</v>
      </c>
      <c r="I762" s="1">
        <v>1642281</v>
      </c>
      <c r="J762" s="1">
        <v>5237.8999999999996</v>
      </c>
      <c r="K762" s="1">
        <v>24762.1</v>
      </c>
      <c r="L762" s="1">
        <v>1617518.9</v>
      </c>
      <c r="M762" s="1">
        <v>88</v>
      </c>
      <c r="N762" s="1">
        <v>69.384019292604506</v>
      </c>
      <c r="O762" s="1">
        <v>416.0187861547567</v>
      </c>
      <c r="P762" s="7">
        <v>45947</v>
      </c>
      <c r="Q762" s="1">
        <v>30000</v>
      </c>
      <c r="R762" s="7">
        <v>46363.018786157409</v>
      </c>
      <c r="S762" s="7">
        <v>46363</v>
      </c>
      <c r="T762" s="7" t="str">
        <f t="shared" si="0"/>
        <v>diciembre</v>
      </c>
      <c r="U762" s="1" t="s">
        <v>330</v>
      </c>
      <c r="X762" s="1" t="s">
        <v>422</v>
      </c>
      <c r="Y762" s="1" t="s">
        <v>423</v>
      </c>
      <c r="Z762" s="1">
        <v>1</v>
      </c>
      <c r="AA762" s="3">
        <v>49777.919999999998</v>
      </c>
      <c r="AB762" s="3">
        <v>49777.919999999998</v>
      </c>
      <c r="AC762" s="1" t="str">
        <f>VLOOKUP(A762,[1]Detalle!$D$2:$CW$484,98,FALSE)</f>
        <v>Arcor S.A.I.C.</v>
      </c>
    </row>
    <row r="763" spans="1:29" ht="14.25" customHeight="1" x14ac:dyDescent="0.3">
      <c r="A763" s="1" t="s">
        <v>98</v>
      </c>
      <c r="B763" s="1" t="s">
        <v>429</v>
      </c>
      <c r="C763" s="1" t="s">
        <v>467</v>
      </c>
      <c r="D763" s="1" t="s">
        <v>467</v>
      </c>
      <c r="E763" s="1">
        <v>0.25</v>
      </c>
      <c r="F763" s="1" t="s">
        <v>366</v>
      </c>
      <c r="G763" s="6">
        <v>45799</v>
      </c>
      <c r="H763" s="1">
        <v>34072.6</v>
      </c>
      <c r="I763" s="1">
        <v>64072.6</v>
      </c>
      <c r="J763" s="1">
        <v>9725.4000000000015</v>
      </c>
      <c r="K763" s="1">
        <v>20274.599999999999</v>
      </c>
      <c r="L763" s="1">
        <v>43798</v>
      </c>
      <c r="M763" s="1">
        <v>148</v>
      </c>
      <c r="N763" s="1">
        <v>61.669847328244273</v>
      </c>
      <c r="O763" s="1">
        <v>308.53649207230552</v>
      </c>
      <c r="P763" s="7">
        <v>45947</v>
      </c>
      <c r="Q763" s="1">
        <v>30000</v>
      </c>
      <c r="R763" s="7">
        <v>46255.536492071762</v>
      </c>
      <c r="S763" s="7">
        <v>46255</v>
      </c>
      <c r="T763" s="7" t="str">
        <f t="shared" si="0"/>
        <v>agosto</v>
      </c>
      <c r="U763" s="1" t="s">
        <v>330</v>
      </c>
      <c r="X763" s="1" t="s">
        <v>422</v>
      </c>
      <c r="Y763" s="1" t="s">
        <v>423</v>
      </c>
      <c r="Z763" s="1">
        <v>1</v>
      </c>
      <c r="AA763" s="3">
        <v>49777.919999999998</v>
      </c>
      <c r="AB763" s="3">
        <v>49777.919999999998</v>
      </c>
      <c r="AC763" s="1" t="str">
        <f>VLOOKUP(A763,[1]Detalle!$D$2:$CW$484,98,FALSE)</f>
        <v>Arcor S.A.I.C.</v>
      </c>
    </row>
    <row r="764" spans="1:29" ht="14.25" customHeight="1" x14ac:dyDescent="0.3">
      <c r="A764" s="1" t="s">
        <v>5</v>
      </c>
      <c r="B764" s="1" t="s">
        <v>435</v>
      </c>
      <c r="C764" s="1" t="s">
        <v>468</v>
      </c>
      <c r="D764" s="1" t="s">
        <v>467</v>
      </c>
      <c r="E764" s="1">
        <v>0.25</v>
      </c>
      <c r="F764" s="1" t="s">
        <v>366</v>
      </c>
      <c r="G764" s="6">
        <v>45910</v>
      </c>
      <c r="H764" s="1">
        <v>710185</v>
      </c>
      <c r="I764" s="1">
        <v>740185</v>
      </c>
      <c r="J764" s="1">
        <v>5358.4999999999991</v>
      </c>
      <c r="K764" s="1">
        <v>24641.5</v>
      </c>
      <c r="L764" s="1">
        <v>715543.5</v>
      </c>
      <c r="M764" s="1">
        <v>37</v>
      </c>
      <c r="N764" s="1">
        <v>276.33435114503811</v>
      </c>
      <c r="O764" s="1">
        <v>170.14752262760101</v>
      </c>
      <c r="P764" s="7">
        <v>45947</v>
      </c>
      <c r="Q764" s="1">
        <v>30000</v>
      </c>
      <c r="R764" s="7">
        <v>46117.147522627318</v>
      </c>
      <c r="S764" s="7">
        <v>46117</v>
      </c>
      <c r="T764" s="7" t="str">
        <f t="shared" si="0"/>
        <v>abril</v>
      </c>
      <c r="U764" s="1" t="s">
        <v>330</v>
      </c>
      <c r="X764" s="1" t="s">
        <v>469</v>
      </c>
      <c r="Y764" s="1" t="s">
        <v>470</v>
      </c>
      <c r="Z764" s="1">
        <v>1</v>
      </c>
      <c r="AA764" s="3">
        <v>58063</v>
      </c>
      <c r="AB764" s="3">
        <v>58063</v>
      </c>
      <c r="AC764" s="1" t="str">
        <f>VLOOKUP(A764,[1]Detalle!$D$2:$CW$484,98,FALSE)</f>
        <v>ADA_CH - Danone Arg. S.A. - Chascomus</v>
      </c>
    </row>
    <row r="765" spans="1:29" ht="14.25" customHeight="1" x14ac:dyDescent="0.3">
      <c r="A765" s="1" t="s">
        <v>8</v>
      </c>
      <c r="B765" s="1" t="s">
        <v>435</v>
      </c>
      <c r="C765" s="1" t="s">
        <v>468</v>
      </c>
      <c r="D765" s="1" t="s">
        <v>467</v>
      </c>
      <c r="E765" s="1">
        <v>0.25</v>
      </c>
      <c r="F765" s="1" t="s">
        <v>366</v>
      </c>
      <c r="G765" s="6">
        <v>45880</v>
      </c>
      <c r="H765" s="1">
        <v>722255</v>
      </c>
      <c r="I765" s="1">
        <v>752255</v>
      </c>
      <c r="J765" s="1">
        <v>15317.7</v>
      </c>
      <c r="K765" s="1">
        <v>14682.3</v>
      </c>
      <c r="L765" s="1">
        <v>737572.7</v>
      </c>
      <c r="M765" s="1">
        <v>67</v>
      </c>
      <c r="N765" s="1">
        <v>286.50848708487092</v>
      </c>
      <c r="O765" s="1">
        <v>64.220744628762787</v>
      </c>
      <c r="P765" s="7">
        <v>45947</v>
      </c>
      <c r="Q765" s="1">
        <v>30000</v>
      </c>
      <c r="R765" s="7">
        <v>46115.9296846875</v>
      </c>
      <c r="S765" s="7">
        <v>46115</v>
      </c>
      <c r="T765" s="7" t="str">
        <f t="shared" si="0"/>
        <v>abril</v>
      </c>
      <c r="U765" s="1" t="s">
        <v>330</v>
      </c>
      <c r="X765" s="1" t="s">
        <v>469</v>
      </c>
      <c r="Y765" s="1" t="s">
        <v>470</v>
      </c>
      <c r="Z765" s="1">
        <v>1</v>
      </c>
      <c r="AA765" s="3">
        <v>58063</v>
      </c>
      <c r="AB765" s="3">
        <v>58063</v>
      </c>
      <c r="AC765" s="1" t="str">
        <f>VLOOKUP(A765,[1]Detalle!$D$2:$CW$484,98,FALSE)</f>
        <v>ADA_CH - Danone Arg. S.A. - Chascomus</v>
      </c>
    </row>
    <row r="766" spans="1:29" ht="14.25" customHeight="1" x14ac:dyDescent="0.3">
      <c r="A766" s="1" t="s">
        <v>11</v>
      </c>
      <c r="B766" s="1" t="s">
        <v>435</v>
      </c>
      <c r="C766" s="1" t="s">
        <v>468</v>
      </c>
      <c r="D766" s="1" t="s">
        <v>467</v>
      </c>
      <c r="E766" s="1">
        <v>0.25</v>
      </c>
      <c r="F766" s="1" t="s">
        <v>366</v>
      </c>
      <c r="G766" s="6">
        <v>45853</v>
      </c>
      <c r="H766" s="1">
        <v>769430</v>
      </c>
      <c r="I766" s="1">
        <v>799430</v>
      </c>
      <c r="J766" s="1">
        <v>24465.80000000001</v>
      </c>
      <c r="K766" s="1">
        <v>5534.1999999999935</v>
      </c>
      <c r="L766" s="1">
        <v>793895.8</v>
      </c>
      <c r="M766" s="1">
        <v>94</v>
      </c>
      <c r="N766" s="1">
        <v>323.09338235294098</v>
      </c>
      <c r="O766" s="1">
        <v>21.262938469210049</v>
      </c>
      <c r="P766" s="7">
        <v>45947</v>
      </c>
      <c r="Q766" s="1">
        <v>30000</v>
      </c>
      <c r="R766" s="7">
        <v>46061.115350925917</v>
      </c>
      <c r="S766" s="7">
        <v>46061</v>
      </c>
      <c r="T766" s="7" t="str">
        <f t="shared" si="0"/>
        <v>febrero</v>
      </c>
      <c r="U766" s="1" t="s">
        <v>330</v>
      </c>
      <c r="X766" s="1" t="s">
        <v>469</v>
      </c>
      <c r="Y766" s="1" t="s">
        <v>470</v>
      </c>
      <c r="Z766" s="1">
        <v>1</v>
      </c>
      <c r="AA766" s="3">
        <v>58063</v>
      </c>
      <c r="AB766" s="3">
        <v>58063</v>
      </c>
      <c r="AC766" s="1" t="str">
        <f>VLOOKUP(A766,[1]Detalle!$D$2:$CW$484,98,FALSE)</f>
        <v>ADA_CH - Danone Arg. S.A. - Chascomus</v>
      </c>
    </row>
    <row r="767" spans="1:29" ht="14.25" customHeight="1" x14ac:dyDescent="0.3">
      <c r="A767" s="1" t="s">
        <v>10</v>
      </c>
      <c r="B767" s="1" t="s">
        <v>435</v>
      </c>
      <c r="C767" s="1" t="s">
        <v>468</v>
      </c>
      <c r="D767" s="1" t="s">
        <v>467</v>
      </c>
      <c r="E767" s="1">
        <v>0.25</v>
      </c>
      <c r="F767" s="1" t="s">
        <v>366</v>
      </c>
      <c r="G767" s="6">
        <v>45864</v>
      </c>
      <c r="H767" s="1">
        <v>699069</v>
      </c>
      <c r="I767" s="1">
        <v>729069</v>
      </c>
      <c r="J767" s="1">
        <v>14311.7</v>
      </c>
      <c r="K767" s="1">
        <v>15688.3</v>
      </c>
      <c r="L767" s="1">
        <v>713380.7</v>
      </c>
      <c r="M767" s="1">
        <v>83</v>
      </c>
      <c r="N767" s="1">
        <v>266.81618518518519</v>
      </c>
      <c r="O767" s="1">
        <v>90.983523969898769</v>
      </c>
      <c r="P767" s="7">
        <v>45947</v>
      </c>
      <c r="Q767" s="1">
        <v>30000</v>
      </c>
      <c r="R767" s="7">
        <v>46037.98352396991</v>
      </c>
      <c r="S767" s="7">
        <v>46037</v>
      </c>
      <c r="T767" s="7" t="str">
        <f t="shared" si="0"/>
        <v>enero</v>
      </c>
      <c r="U767" s="1" t="s">
        <v>330</v>
      </c>
      <c r="X767" s="1" t="s">
        <v>469</v>
      </c>
      <c r="Y767" s="1" t="s">
        <v>470</v>
      </c>
      <c r="Z767" s="1">
        <v>1</v>
      </c>
      <c r="AA767" s="3">
        <v>58063</v>
      </c>
      <c r="AB767" s="3">
        <v>58063</v>
      </c>
      <c r="AC767" s="1" t="str">
        <f>VLOOKUP(A767,[1]Detalle!$D$2:$CW$484,98,FALSE)</f>
        <v>ADA_CH - Danone Arg. S.A. - Chascomus</v>
      </c>
    </row>
    <row r="768" spans="1:29" ht="14.25" customHeight="1" x14ac:dyDescent="0.3">
      <c r="A768" s="1" t="s">
        <v>14</v>
      </c>
      <c r="B768" s="1" t="s">
        <v>435</v>
      </c>
      <c r="C768" s="1" t="s">
        <v>468</v>
      </c>
      <c r="D768" s="1" t="s">
        <v>467</v>
      </c>
      <c r="E768" s="1">
        <v>0.25</v>
      </c>
      <c r="F768" s="1" t="s">
        <v>366</v>
      </c>
      <c r="G768" s="6">
        <v>45877</v>
      </c>
      <c r="H768" s="1">
        <v>770332</v>
      </c>
      <c r="I768" s="1">
        <v>800332</v>
      </c>
      <c r="J768" s="1">
        <v>13259.4</v>
      </c>
      <c r="K768" s="1">
        <v>16740.599999999999</v>
      </c>
      <c r="L768" s="1">
        <v>783591.4</v>
      </c>
      <c r="M768" s="1">
        <v>70</v>
      </c>
      <c r="N768" s="1">
        <v>276.97442748091589</v>
      </c>
      <c r="O768" s="1">
        <v>88.378207158694963</v>
      </c>
      <c r="P768" s="7">
        <v>45947</v>
      </c>
      <c r="Q768" s="1">
        <v>30000</v>
      </c>
      <c r="R768" s="7">
        <v>46035.378207164351</v>
      </c>
      <c r="S768" s="7">
        <v>46035</v>
      </c>
      <c r="T768" s="7" t="str">
        <f t="shared" si="0"/>
        <v>enero</v>
      </c>
      <c r="U768" s="1" t="s">
        <v>330</v>
      </c>
      <c r="X768" s="1" t="s">
        <v>469</v>
      </c>
      <c r="Y768" s="1" t="s">
        <v>470</v>
      </c>
      <c r="Z768" s="1">
        <v>1</v>
      </c>
      <c r="AA768" s="3">
        <v>58063</v>
      </c>
      <c r="AB768" s="3">
        <v>58063</v>
      </c>
      <c r="AC768" s="1" t="str">
        <f>VLOOKUP(A768,[1]Detalle!$D$2:$CW$484,98,FALSE)</f>
        <v>ADA_CH - Danone Arg. S.A. - Chascomus</v>
      </c>
    </row>
    <row r="769" spans="1:29" ht="14.25" customHeight="1" x14ac:dyDescent="0.3">
      <c r="A769" s="1" t="s">
        <v>12</v>
      </c>
      <c r="B769" s="1" t="s">
        <v>435</v>
      </c>
      <c r="C769" s="1" t="s">
        <v>468</v>
      </c>
      <c r="D769" s="1" t="s">
        <v>467</v>
      </c>
      <c r="E769" s="1">
        <v>0.25</v>
      </c>
      <c r="F769" s="1" t="s">
        <v>366</v>
      </c>
      <c r="G769" s="6">
        <v>45930</v>
      </c>
      <c r="H769" s="1">
        <v>845528</v>
      </c>
      <c r="I769" s="1">
        <v>875528</v>
      </c>
      <c r="J769" s="1">
        <v>0</v>
      </c>
      <c r="K769" s="1">
        <v>30000</v>
      </c>
      <c r="L769" s="1">
        <v>845528</v>
      </c>
      <c r="M769" s="1">
        <v>17</v>
      </c>
      <c r="N769" s="1">
        <v>323.35572519083951</v>
      </c>
      <c r="O769" s="1">
        <v>300</v>
      </c>
      <c r="P769" s="7">
        <v>45947</v>
      </c>
      <c r="Q769" s="1">
        <v>30000</v>
      </c>
      <c r="R769" s="7">
        <v>46247</v>
      </c>
      <c r="S769" s="7">
        <v>46247</v>
      </c>
      <c r="T769" s="7" t="str">
        <f t="shared" si="0"/>
        <v>agosto</v>
      </c>
      <c r="U769" s="1" t="s">
        <v>330</v>
      </c>
      <c r="X769" s="1" t="s">
        <v>469</v>
      </c>
      <c r="Y769" s="1" t="s">
        <v>470</v>
      </c>
      <c r="Z769" s="1">
        <v>1</v>
      </c>
      <c r="AA769" s="3">
        <v>58063</v>
      </c>
      <c r="AB769" s="3">
        <v>58063</v>
      </c>
      <c r="AC769" s="1" t="str">
        <f>VLOOKUP(A769,[1]Detalle!$D$2:$CW$484,98,FALSE)</f>
        <v>ADA_CH - Danone Arg. S.A. - Chascomus</v>
      </c>
    </row>
    <row r="770" spans="1:29" ht="14.25" customHeight="1" x14ac:dyDescent="0.3">
      <c r="A770" s="1" t="s">
        <v>13</v>
      </c>
      <c r="B770" s="1" t="s">
        <v>435</v>
      </c>
      <c r="C770" s="1" t="s">
        <v>468</v>
      </c>
      <c r="D770" s="1" t="s">
        <v>467</v>
      </c>
      <c r="E770" s="1">
        <v>0.25</v>
      </c>
      <c r="F770" s="1" t="s">
        <v>366</v>
      </c>
      <c r="G770" s="6">
        <v>45831</v>
      </c>
      <c r="H770" s="1">
        <v>751112</v>
      </c>
      <c r="I770" s="1">
        <v>781112</v>
      </c>
      <c r="J770" s="1">
        <v>30284.500000000011</v>
      </c>
      <c r="K770" s="1">
        <v>-284.50000000000728</v>
      </c>
      <c r="L770" s="1">
        <v>781396.5</v>
      </c>
      <c r="M770" s="1">
        <v>116</v>
      </c>
      <c r="N770" s="1">
        <v>303.34772058823529</v>
      </c>
      <c r="O770" s="1">
        <v>-1.089732371345105</v>
      </c>
      <c r="P770" s="7">
        <v>45947</v>
      </c>
      <c r="Q770" s="1">
        <v>30000</v>
      </c>
      <c r="R770" s="7">
        <v>46045.896408194443</v>
      </c>
      <c r="S770" s="7">
        <v>46045</v>
      </c>
      <c r="T770" s="7" t="str">
        <f t="shared" si="0"/>
        <v>enero</v>
      </c>
      <c r="U770" s="1" t="s">
        <v>330</v>
      </c>
      <c r="X770" s="1" t="s">
        <v>469</v>
      </c>
      <c r="Y770" s="1" t="s">
        <v>470</v>
      </c>
      <c r="Z770" s="1">
        <v>1</v>
      </c>
      <c r="AA770" s="3">
        <v>58063</v>
      </c>
      <c r="AB770" s="3">
        <v>58063</v>
      </c>
      <c r="AC770" s="1" t="str">
        <f>VLOOKUP(A770,[1]Detalle!$D$2:$CW$484,98,FALSE)</f>
        <v>ADA_CH - Danone Arg. S.A. - Chascomus</v>
      </c>
    </row>
    <row r="771" spans="1:29" ht="14.25" customHeight="1" x14ac:dyDescent="0.3">
      <c r="A771" s="1" t="s">
        <v>6</v>
      </c>
      <c r="B771" s="1" t="s">
        <v>435</v>
      </c>
      <c r="C771" s="1" t="s">
        <v>468</v>
      </c>
      <c r="D771" s="1" t="s">
        <v>467</v>
      </c>
      <c r="E771" s="1">
        <v>0.25</v>
      </c>
      <c r="F771" s="1" t="s">
        <v>366</v>
      </c>
      <c r="G771" s="6">
        <v>45845</v>
      </c>
      <c r="H771" s="1">
        <v>726661</v>
      </c>
      <c r="I771" s="1">
        <v>756661</v>
      </c>
      <c r="J771" s="1">
        <v>24602.2</v>
      </c>
      <c r="K771" s="1">
        <v>5397.7999999999956</v>
      </c>
      <c r="L771" s="1">
        <v>751263.2</v>
      </c>
      <c r="M771" s="1">
        <v>102</v>
      </c>
      <c r="N771" s="1">
        <v>306.8559191176472</v>
      </c>
      <c r="O771" s="1">
        <v>22.379120566453381</v>
      </c>
      <c r="P771" s="7">
        <v>45947</v>
      </c>
      <c r="Q771" s="1">
        <v>30000</v>
      </c>
      <c r="R771" s="7">
        <v>46067.14487358796</v>
      </c>
      <c r="S771" s="7">
        <v>46067</v>
      </c>
      <c r="T771" s="7" t="str">
        <f t="shared" si="0"/>
        <v>febrero</v>
      </c>
      <c r="U771" s="1" t="s">
        <v>330</v>
      </c>
      <c r="X771" s="1" t="s">
        <v>469</v>
      </c>
      <c r="Y771" s="1" t="s">
        <v>470</v>
      </c>
      <c r="Z771" s="1">
        <v>1</v>
      </c>
      <c r="AA771" s="3">
        <v>58063</v>
      </c>
      <c r="AB771" s="3">
        <v>58063</v>
      </c>
      <c r="AC771" s="1" t="str">
        <f>VLOOKUP(A771,[1]Detalle!$D$2:$CW$484,98,FALSE)</f>
        <v>ADA_CH - Danone Arg. S.A. - Chascomus</v>
      </c>
    </row>
    <row r="772" spans="1:29" ht="14.25" customHeight="1" x14ac:dyDescent="0.3">
      <c r="A772" s="1" t="s">
        <v>7</v>
      </c>
      <c r="B772" s="1" t="s">
        <v>435</v>
      </c>
      <c r="C772" s="1" t="s">
        <v>468</v>
      </c>
      <c r="D772" s="1" t="s">
        <v>467</v>
      </c>
      <c r="E772" s="1">
        <v>0.25</v>
      </c>
      <c r="F772" s="1" t="s">
        <v>366</v>
      </c>
      <c r="G772" s="6">
        <v>45835</v>
      </c>
      <c r="H772" s="1">
        <v>743648</v>
      </c>
      <c r="I772" s="1">
        <v>773648</v>
      </c>
      <c r="J772" s="1">
        <v>30763.099999999991</v>
      </c>
      <c r="K772" s="1">
        <v>-763.09999999998763</v>
      </c>
      <c r="L772" s="1">
        <v>774411.1</v>
      </c>
      <c r="M772" s="1">
        <v>112</v>
      </c>
      <c r="N772" s="1">
        <v>282.61870229007633</v>
      </c>
      <c r="O772" s="1">
        <v>-2.77823756383455</v>
      </c>
      <c r="P772" s="7">
        <v>45947</v>
      </c>
      <c r="Q772" s="1">
        <v>30000</v>
      </c>
      <c r="R772" s="7">
        <v>46053.150087581023</v>
      </c>
      <c r="S772" s="7">
        <v>46053</v>
      </c>
      <c r="T772" s="7" t="str">
        <f t="shared" si="0"/>
        <v>enero</v>
      </c>
      <c r="U772" s="1" t="s">
        <v>330</v>
      </c>
      <c r="X772" s="1" t="s">
        <v>469</v>
      </c>
      <c r="Y772" s="1" t="s">
        <v>470</v>
      </c>
      <c r="Z772" s="1">
        <v>1</v>
      </c>
      <c r="AA772" s="3">
        <v>58063</v>
      </c>
      <c r="AB772" s="3">
        <v>58063</v>
      </c>
      <c r="AC772" s="1" t="str">
        <f>VLOOKUP(A772,[1]Detalle!$D$2:$CW$484,98,FALSE)</f>
        <v>ADA_CH - Danone Arg. S.A. - Chascomus</v>
      </c>
    </row>
    <row r="773" spans="1:29" ht="14.25" customHeight="1" x14ac:dyDescent="0.3">
      <c r="A773" s="1" t="s">
        <v>9</v>
      </c>
      <c r="B773" s="1" t="s">
        <v>435</v>
      </c>
      <c r="C773" s="1" t="s">
        <v>468</v>
      </c>
      <c r="D773" s="1" t="s">
        <v>467</v>
      </c>
      <c r="E773" s="1">
        <v>0.25</v>
      </c>
      <c r="F773" s="1" t="s">
        <v>366</v>
      </c>
      <c r="G773" s="6">
        <v>45789</v>
      </c>
      <c r="H773" s="1">
        <v>828813</v>
      </c>
      <c r="I773" s="1">
        <v>858813</v>
      </c>
      <c r="J773" s="1">
        <v>52575.80000000001</v>
      </c>
      <c r="K773" s="1">
        <v>-22575.80000000001</v>
      </c>
      <c r="L773" s="1">
        <v>881388.8</v>
      </c>
      <c r="M773" s="1">
        <v>158</v>
      </c>
      <c r="N773" s="1">
        <v>352.51014814814829</v>
      </c>
      <c r="O773" s="1">
        <v>-67.844453151449926</v>
      </c>
      <c r="P773" s="7">
        <v>45947</v>
      </c>
      <c r="Q773" s="1">
        <v>30000</v>
      </c>
      <c r="R773" s="7">
        <v>46032.103932916667</v>
      </c>
      <c r="S773" s="7">
        <v>46032</v>
      </c>
      <c r="T773" s="7" t="str">
        <f t="shared" si="0"/>
        <v>enero</v>
      </c>
      <c r="U773" s="1" t="s">
        <v>330</v>
      </c>
      <c r="X773" s="1" t="s">
        <v>469</v>
      </c>
      <c r="Y773" s="1" t="s">
        <v>470</v>
      </c>
      <c r="Z773" s="1">
        <v>1</v>
      </c>
      <c r="AA773" s="3">
        <v>58063</v>
      </c>
      <c r="AB773" s="3">
        <v>58063</v>
      </c>
      <c r="AC773" s="1" t="str">
        <f>VLOOKUP(A773,[1]Detalle!$D$2:$CW$484,98,FALSE)</f>
        <v>ADA_CH - Danone Arg. S.A. - Chascomus</v>
      </c>
    </row>
    <row r="774" spans="1:29" ht="14.25" customHeight="1" x14ac:dyDescent="0.3">
      <c r="A774" s="1" t="s">
        <v>17</v>
      </c>
      <c r="B774" s="1" t="s">
        <v>439</v>
      </c>
      <c r="C774" s="1" t="s">
        <v>468</v>
      </c>
      <c r="D774" s="1" t="s">
        <v>467</v>
      </c>
      <c r="E774" s="1">
        <v>0.25</v>
      </c>
      <c r="F774" s="1" t="s">
        <v>366</v>
      </c>
      <c r="G774" s="6">
        <v>45776</v>
      </c>
      <c r="H774" s="1">
        <v>664392</v>
      </c>
      <c r="I774" s="1">
        <v>694392</v>
      </c>
      <c r="J774" s="1">
        <v>62703.799999999981</v>
      </c>
      <c r="K774" s="1">
        <v>-32703.799999999981</v>
      </c>
      <c r="L774" s="1">
        <v>727095.79999999993</v>
      </c>
      <c r="M774" s="1">
        <v>171</v>
      </c>
      <c r="N774" s="1">
        <v>382.02855555555578</v>
      </c>
      <c r="O774" s="1">
        <v>-89.186776558996399</v>
      </c>
      <c r="P774" s="7">
        <v>45947</v>
      </c>
      <c r="Q774" s="1">
        <v>30000</v>
      </c>
      <c r="R774" s="7">
        <v>46025.528161215283</v>
      </c>
      <c r="S774" s="7">
        <v>46025</v>
      </c>
      <c r="T774" s="7" t="str">
        <f t="shared" si="0"/>
        <v>enero</v>
      </c>
      <c r="U774" s="1" t="s">
        <v>330</v>
      </c>
      <c r="X774" s="1" t="s">
        <v>469</v>
      </c>
      <c r="Y774" s="1" t="s">
        <v>470</v>
      </c>
      <c r="Z774" s="1">
        <v>1</v>
      </c>
      <c r="AA774" s="3">
        <v>58063</v>
      </c>
      <c r="AB774" s="3">
        <v>58063</v>
      </c>
      <c r="AC774" s="1" t="str">
        <f>VLOOKUP(A774,[1]Detalle!$D$2:$CW$484,98,FALSE)</f>
        <v>Expreso - Servicios Troncales</v>
      </c>
    </row>
    <row r="775" spans="1:29" ht="14.25" customHeight="1" x14ac:dyDescent="0.3">
      <c r="A775" s="1" t="s">
        <v>18</v>
      </c>
      <c r="B775" s="1" t="s">
        <v>439</v>
      </c>
      <c r="C775" s="1" t="s">
        <v>468</v>
      </c>
      <c r="D775" s="1" t="s">
        <v>467</v>
      </c>
      <c r="E775" s="1">
        <v>0.25</v>
      </c>
      <c r="F775" s="1" t="s">
        <v>366</v>
      </c>
      <c r="G775" s="6">
        <v>45852</v>
      </c>
      <c r="H775" s="1">
        <v>654972</v>
      </c>
      <c r="I775" s="1">
        <v>684972</v>
      </c>
      <c r="J775" s="1">
        <v>26383.500000000011</v>
      </c>
      <c r="K775" s="1">
        <v>3616.4999999999932</v>
      </c>
      <c r="L775" s="1">
        <v>681355.5</v>
      </c>
      <c r="M775" s="1">
        <v>95</v>
      </c>
      <c r="N775" s="1">
        <v>381.04202205882348</v>
      </c>
      <c r="O775" s="1">
        <v>13.02205924157141</v>
      </c>
      <c r="P775" s="7">
        <v>45947</v>
      </c>
      <c r="Q775" s="1">
        <v>30000</v>
      </c>
      <c r="R775" s="7">
        <v>46038.753533101852</v>
      </c>
      <c r="S775" s="7">
        <v>46038</v>
      </c>
      <c r="T775" s="7" t="str">
        <f t="shared" si="0"/>
        <v>enero</v>
      </c>
      <c r="U775" s="1" t="s">
        <v>330</v>
      </c>
      <c r="X775" s="1" t="s">
        <v>469</v>
      </c>
      <c r="Y775" s="1" t="s">
        <v>470</v>
      </c>
      <c r="Z775" s="1">
        <v>1</v>
      </c>
      <c r="AA775" s="3">
        <v>58063</v>
      </c>
      <c r="AB775" s="3">
        <v>58063</v>
      </c>
      <c r="AC775" s="1" t="str">
        <f>VLOOKUP(A775,[1]Detalle!$D$2:$CW$484,98,FALSE)</f>
        <v>Expreso - Servicios Troncales</v>
      </c>
    </row>
    <row r="776" spans="1:29" ht="14.25" customHeight="1" x14ac:dyDescent="0.3">
      <c r="A776" s="1" t="s">
        <v>231</v>
      </c>
      <c r="B776" s="1" t="s">
        <v>440</v>
      </c>
      <c r="C776" s="1" t="s">
        <v>468</v>
      </c>
      <c r="D776" s="1" t="s">
        <v>467</v>
      </c>
      <c r="E776" s="1">
        <v>0.25</v>
      </c>
      <c r="F776" s="1" t="s">
        <v>366</v>
      </c>
      <c r="G776" s="6">
        <v>45889</v>
      </c>
      <c r="H776" s="1">
        <v>1836513</v>
      </c>
      <c r="I776" s="1">
        <v>1866513</v>
      </c>
      <c r="J776" s="1">
        <v>14116.4</v>
      </c>
      <c r="K776" s="1">
        <v>15883.6</v>
      </c>
      <c r="L776" s="1">
        <v>1850629.4</v>
      </c>
      <c r="M776" s="1">
        <v>58</v>
      </c>
      <c r="N776" s="1">
        <v>332.5574264705881</v>
      </c>
      <c r="O776" s="1">
        <v>65.260888045110633</v>
      </c>
      <c r="P776" s="7">
        <v>45947</v>
      </c>
      <c r="Q776" s="1">
        <v>30000</v>
      </c>
      <c r="R776" s="7">
        <v>46102.470871678241</v>
      </c>
      <c r="S776" s="7">
        <v>46102</v>
      </c>
      <c r="T776" s="7" t="str">
        <f t="shared" si="0"/>
        <v>marzo</v>
      </c>
      <c r="U776" s="1" t="s">
        <v>330</v>
      </c>
      <c r="X776" s="1" t="s">
        <v>469</v>
      </c>
      <c r="Y776" s="1" t="s">
        <v>470</v>
      </c>
      <c r="Z776" s="1">
        <v>1</v>
      </c>
      <c r="AA776" s="3">
        <v>58063</v>
      </c>
      <c r="AB776" s="3">
        <v>58063</v>
      </c>
      <c r="AC776" s="1" t="str">
        <f>VLOOKUP(A776,[1]Detalle!$D$2:$CW$484,98,FALSE)</f>
        <v>Expreso - Servicios Troncales</v>
      </c>
    </row>
    <row r="777" spans="1:29" ht="14.25" customHeight="1" x14ac:dyDescent="0.3">
      <c r="A777" s="1" t="s">
        <v>232</v>
      </c>
      <c r="B777" s="1" t="s">
        <v>440</v>
      </c>
      <c r="C777" s="1" t="s">
        <v>468</v>
      </c>
      <c r="D777" s="1" t="s">
        <v>467</v>
      </c>
      <c r="E777" s="1">
        <v>0.25</v>
      </c>
      <c r="F777" s="1" t="s">
        <v>366</v>
      </c>
      <c r="G777" s="6">
        <v>45919</v>
      </c>
      <c r="H777" s="1">
        <v>1973725</v>
      </c>
      <c r="I777" s="1">
        <v>2003725</v>
      </c>
      <c r="J777" s="1">
        <v>3275.4</v>
      </c>
      <c r="K777" s="1">
        <v>26724.6</v>
      </c>
      <c r="L777" s="1">
        <v>1977000.4</v>
      </c>
      <c r="M777" s="1">
        <v>28</v>
      </c>
      <c r="N777" s="1">
        <v>2668.176102941175</v>
      </c>
      <c r="O777" s="1">
        <v>228.45722659827811</v>
      </c>
      <c r="P777" s="7">
        <v>45947</v>
      </c>
      <c r="Q777" s="1">
        <v>30000</v>
      </c>
      <c r="R777" s="7">
        <v>46175.457226597217</v>
      </c>
      <c r="S777" s="7">
        <v>46175</v>
      </c>
      <c r="T777" s="7" t="str">
        <f t="shared" si="0"/>
        <v>junio</v>
      </c>
      <c r="U777" s="1" t="s">
        <v>330</v>
      </c>
      <c r="X777" s="1" t="s">
        <v>469</v>
      </c>
      <c r="Y777" s="1" t="s">
        <v>470</v>
      </c>
      <c r="Z777" s="1">
        <v>1</v>
      </c>
      <c r="AA777" s="3">
        <v>58063</v>
      </c>
      <c r="AB777" s="3">
        <v>58063</v>
      </c>
      <c r="AC777" s="1" t="str">
        <f>VLOOKUP(A777,[1]Detalle!$D$2:$CW$484,98,FALSE)</f>
        <v>Expreso - Servicios Troncales</v>
      </c>
    </row>
    <row r="778" spans="1:29" ht="14.25" customHeight="1" x14ac:dyDescent="0.3">
      <c r="A778" s="1" t="s">
        <v>233</v>
      </c>
      <c r="B778" s="1" t="s">
        <v>440</v>
      </c>
      <c r="C778" s="1" t="s">
        <v>468</v>
      </c>
      <c r="D778" s="1" t="s">
        <v>467</v>
      </c>
      <c r="E778" s="1">
        <v>0.25</v>
      </c>
      <c r="F778" s="1" t="s">
        <v>366</v>
      </c>
      <c r="G778" s="6">
        <v>45852</v>
      </c>
      <c r="H778" s="1">
        <v>1942302</v>
      </c>
      <c r="I778" s="1">
        <v>1972302</v>
      </c>
      <c r="J778" s="1">
        <v>28066.80000000001</v>
      </c>
      <c r="K778" s="1">
        <v>1933.1999999999859</v>
      </c>
      <c r="L778" s="1">
        <v>1970368.8</v>
      </c>
      <c r="M778" s="1">
        <v>95</v>
      </c>
      <c r="N778" s="1">
        <v>373</v>
      </c>
      <c r="O778" s="1">
        <v>6.5434606011372356</v>
      </c>
      <c r="P778" s="7">
        <v>45947</v>
      </c>
      <c r="Q778" s="1">
        <v>30000</v>
      </c>
      <c r="R778" s="7">
        <v>46056.589041099527</v>
      </c>
      <c r="S778" s="7">
        <v>46056</v>
      </c>
      <c r="T778" s="7" t="str">
        <f t="shared" si="0"/>
        <v>febrero</v>
      </c>
      <c r="U778" s="1" t="s">
        <v>330</v>
      </c>
      <c r="V778" s="6">
        <v>46137.017995520837</v>
      </c>
      <c r="X778" s="1" t="s">
        <v>469</v>
      </c>
      <c r="Y778" s="1" t="s">
        <v>470</v>
      </c>
      <c r="Z778" s="1">
        <v>1</v>
      </c>
      <c r="AA778" s="3">
        <v>58063</v>
      </c>
      <c r="AB778" s="3">
        <v>58063</v>
      </c>
      <c r="AC778" s="1" t="str">
        <f>VLOOKUP(A778,[1]Detalle!$D$2:$CW$484,98,FALSE)</f>
        <v>Expreso - Servicios Troncales</v>
      </c>
    </row>
    <row r="779" spans="1:29" ht="14.25" customHeight="1" x14ac:dyDescent="0.3">
      <c r="A779" s="1" t="s">
        <v>234</v>
      </c>
      <c r="B779" s="1" t="s">
        <v>440</v>
      </c>
      <c r="C779" s="1" t="s">
        <v>468</v>
      </c>
      <c r="D779" s="1" t="s">
        <v>467</v>
      </c>
      <c r="E779" s="1">
        <v>0.25</v>
      </c>
      <c r="F779" s="1" t="s">
        <v>366</v>
      </c>
      <c r="G779" s="6">
        <v>45845</v>
      </c>
      <c r="H779" s="1">
        <v>1934926</v>
      </c>
      <c r="I779" s="1">
        <v>1964926</v>
      </c>
      <c r="J779" s="1">
        <v>35672.900000000009</v>
      </c>
      <c r="K779" s="1">
        <v>-5672.9000000000087</v>
      </c>
      <c r="L779" s="1">
        <v>1970598.9</v>
      </c>
      <c r="M779" s="1">
        <v>102</v>
      </c>
      <c r="N779" s="1">
        <v>120</v>
      </c>
      <c r="O779" s="1">
        <v>-16.220598829924139</v>
      </c>
      <c r="P779" s="7">
        <v>45947</v>
      </c>
      <c r="Q779" s="1">
        <v>30000</v>
      </c>
      <c r="R779" s="7">
        <v>46056.589041099527</v>
      </c>
      <c r="S779" s="7">
        <v>46056</v>
      </c>
      <c r="T779" s="7" t="str">
        <f t="shared" si="0"/>
        <v>febrero</v>
      </c>
      <c r="U779" s="1" t="s">
        <v>330</v>
      </c>
      <c r="V779" s="6">
        <v>46306.589041099527</v>
      </c>
      <c r="X779" s="1" t="s">
        <v>469</v>
      </c>
      <c r="Y779" s="1" t="s">
        <v>470</v>
      </c>
      <c r="Z779" s="1">
        <v>1</v>
      </c>
      <c r="AA779" s="3">
        <v>58063</v>
      </c>
      <c r="AB779" s="3">
        <v>58063</v>
      </c>
      <c r="AC779" s="1" t="str">
        <f>VLOOKUP(A779,[1]Detalle!$D$2:$CW$484,98,FALSE)</f>
        <v>Expreso - Servicios Troncales</v>
      </c>
    </row>
    <row r="780" spans="1:29" ht="14.25" customHeight="1" x14ac:dyDescent="0.3">
      <c r="A780" s="1" t="s">
        <v>97</v>
      </c>
      <c r="B780" s="1" t="s">
        <v>441</v>
      </c>
      <c r="C780" s="1" t="s">
        <v>468</v>
      </c>
      <c r="D780" s="1" t="s">
        <v>467</v>
      </c>
      <c r="E780" s="1">
        <v>0.25</v>
      </c>
      <c r="F780" s="1" t="s">
        <v>366</v>
      </c>
      <c r="G780" s="6">
        <v>45918</v>
      </c>
      <c r="H780" s="1">
        <v>227028</v>
      </c>
      <c r="I780" s="1">
        <v>257028</v>
      </c>
      <c r="J780" s="1">
        <v>3811.8</v>
      </c>
      <c r="K780" s="1">
        <v>26188.2</v>
      </c>
      <c r="L780" s="1">
        <v>230839.8</v>
      </c>
      <c r="M780" s="1">
        <v>29</v>
      </c>
      <c r="N780" s="1">
        <v>310.79992700729929</v>
      </c>
      <c r="O780" s="1">
        <v>199.2386274201165</v>
      </c>
      <c r="P780" s="7">
        <v>45947</v>
      </c>
      <c r="Q780" s="1">
        <v>30000</v>
      </c>
      <c r="R780" s="7">
        <v>46146.238627418978</v>
      </c>
      <c r="S780" s="7">
        <v>46146</v>
      </c>
      <c r="T780" s="7" t="str">
        <f t="shared" si="0"/>
        <v>mayo</v>
      </c>
      <c r="U780" s="1" t="s">
        <v>330</v>
      </c>
      <c r="X780" s="1" t="s">
        <v>469</v>
      </c>
      <c r="Y780" s="1" t="s">
        <v>470</v>
      </c>
      <c r="Z780" s="1">
        <v>1</v>
      </c>
      <c r="AA780" s="3">
        <v>58063</v>
      </c>
      <c r="AB780" s="3">
        <v>58063</v>
      </c>
      <c r="AC780" s="1" t="str">
        <f>VLOOKUP(A780,[1]Detalle!$D$2:$CW$484,98,FALSE)</f>
        <v>Expreso - Servicios Troncales</v>
      </c>
    </row>
    <row r="781" spans="1:29" ht="14.25" customHeight="1" x14ac:dyDescent="0.3">
      <c r="A781" s="1" t="s">
        <v>279</v>
      </c>
      <c r="B781" s="1" t="s">
        <v>442</v>
      </c>
      <c r="C781" s="1" t="s">
        <v>471</v>
      </c>
      <c r="D781" s="1" t="s">
        <v>467</v>
      </c>
      <c r="E781" s="1">
        <v>0.25</v>
      </c>
      <c r="F781" s="1" t="s">
        <v>366</v>
      </c>
      <c r="G781" s="1" t="s">
        <v>337</v>
      </c>
      <c r="H781" s="1">
        <v>35081.599999999999</v>
      </c>
      <c r="I781" s="1">
        <v>65081.599999999999</v>
      </c>
      <c r="J781" s="1">
        <v>51895.159999999982</v>
      </c>
      <c r="K781" s="1">
        <v>-21895.159999999982</v>
      </c>
      <c r="L781" s="1">
        <v>86976.75999999998</v>
      </c>
      <c r="M781" s="1">
        <v>243</v>
      </c>
      <c r="N781" s="1">
        <v>197.99579335793359</v>
      </c>
      <c r="O781" s="1">
        <v>-102.5244720316885</v>
      </c>
      <c r="P781" s="7">
        <v>45947</v>
      </c>
      <c r="Q781" s="1">
        <v>30000</v>
      </c>
      <c r="R781" s="7">
        <v>46098.518370625003</v>
      </c>
      <c r="S781" s="7">
        <v>46098</v>
      </c>
      <c r="T781" s="7" t="str">
        <f t="shared" si="0"/>
        <v>marzo</v>
      </c>
      <c r="U781" s="1" t="s">
        <v>330</v>
      </c>
      <c r="X781" s="1" t="s">
        <v>472</v>
      </c>
      <c r="Y781" s="1" t="s">
        <v>473</v>
      </c>
      <c r="Z781" s="1">
        <v>1</v>
      </c>
      <c r="AA781" s="3">
        <v>35911.769999999997</v>
      </c>
      <c r="AB781" s="3">
        <v>35911.769999999997</v>
      </c>
      <c r="AC781" s="1" t="str">
        <f>VLOOKUP(A781,[1]Detalle!$D$2:$CW$484,98,FALSE)</f>
        <v>Expreso - Servicios Troncales</v>
      </c>
    </row>
    <row r="782" spans="1:29" ht="14.25" customHeight="1" x14ac:dyDescent="0.3">
      <c r="A782" s="1" t="s">
        <v>228</v>
      </c>
      <c r="B782" s="1" t="s">
        <v>446</v>
      </c>
      <c r="C782" s="1" t="s">
        <v>471</v>
      </c>
      <c r="D782" s="1" t="s">
        <v>467</v>
      </c>
      <c r="E782" s="1">
        <v>0.25</v>
      </c>
      <c r="F782" s="1" t="s">
        <v>366</v>
      </c>
      <c r="G782" s="1" t="s">
        <v>337</v>
      </c>
      <c r="H782" s="1">
        <v>799717</v>
      </c>
      <c r="I782" s="1">
        <v>829717</v>
      </c>
      <c r="J782" s="1">
        <v>57283.27</v>
      </c>
      <c r="K782" s="1">
        <v>-27283.27</v>
      </c>
      <c r="L782" s="1">
        <v>857000.27</v>
      </c>
      <c r="M782" s="1">
        <v>253</v>
      </c>
      <c r="N782" s="1">
        <v>232.68261029411761</v>
      </c>
      <c r="O782" s="1">
        <v>-120.5005808851345</v>
      </c>
      <c r="P782" s="7">
        <v>45947</v>
      </c>
      <c r="Q782" s="1">
        <v>30000</v>
      </c>
      <c r="R782" s="7">
        <v>46075.930993009257</v>
      </c>
      <c r="S782" s="7">
        <v>46075</v>
      </c>
      <c r="T782" s="7" t="str">
        <f t="shared" si="0"/>
        <v>febrero</v>
      </c>
      <c r="U782" s="1" t="s">
        <v>330</v>
      </c>
      <c r="X782" s="1" t="s">
        <v>472</v>
      </c>
      <c r="Y782" s="1" t="s">
        <v>473</v>
      </c>
      <c r="Z782" s="1">
        <v>1</v>
      </c>
      <c r="AA782" s="3">
        <v>35911.769999999997</v>
      </c>
      <c r="AB782" s="3">
        <v>35911.769999999997</v>
      </c>
      <c r="AC782" s="1" t="str">
        <f>VLOOKUP(A782,[1]Detalle!$D$2:$CW$484,98,FALSE)</f>
        <v>Expreso - Servicios Troncales</v>
      </c>
    </row>
    <row r="783" spans="1:29" ht="14.25" customHeight="1" x14ac:dyDescent="0.3">
      <c r="A783" s="1" t="s">
        <v>270</v>
      </c>
      <c r="B783" s="1" t="s">
        <v>447</v>
      </c>
      <c r="C783" s="1" t="s">
        <v>474</v>
      </c>
      <c r="D783" s="1" t="s">
        <v>467</v>
      </c>
      <c r="E783" s="1">
        <v>0.25</v>
      </c>
      <c r="F783" s="1" t="s">
        <v>366</v>
      </c>
      <c r="G783" s="6">
        <v>45891</v>
      </c>
      <c r="H783" s="1">
        <v>1737584</v>
      </c>
      <c r="I783" s="1">
        <v>1767584</v>
      </c>
      <c r="J783" s="1">
        <v>15736.9</v>
      </c>
      <c r="K783" s="1">
        <v>14263.1</v>
      </c>
      <c r="L783" s="1">
        <v>1753320.9</v>
      </c>
      <c r="M783" s="1">
        <v>56</v>
      </c>
      <c r="N783" s="1">
        <v>1736.2685719557189</v>
      </c>
      <c r="O783" s="1">
        <v>50.755460096969557</v>
      </c>
      <c r="P783" s="7">
        <v>45947</v>
      </c>
      <c r="Q783" s="1">
        <v>30000</v>
      </c>
      <c r="R783" s="7">
        <v>46032.312325879633</v>
      </c>
      <c r="S783" s="7">
        <v>46032</v>
      </c>
      <c r="T783" s="7" t="str">
        <f t="shared" si="0"/>
        <v>enero</v>
      </c>
      <c r="U783" s="1" t="s">
        <v>330</v>
      </c>
      <c r="X783" s="1" t="s">
        <v>475</v>
      </c>
      <c r="Y783" s="1" t="s">
        <v>476</v>
      </c>
      <c r="Z783" s="1">
        <v>1</v>
      </c>
      <c r="AA783" s="3">
        <v>48687.99</v>
      </c>
      <c r="AB783" s="3">
        <v>48687.99</v>
      </c>
      <c r="AC783" s="1" t="str">
        <f>VLOOKUP(A783,[1]Detalle!$D$2:$CW$484,98,FALSE)</f>
        <v>Expreso - Servicios Troncales</v>
      </c>
    </row>
    <row r="784" spans="1:29" ht="14.25" customHeight="1" x14ac:dyDescent="0.3">
      <c r="A784" s="1" t="s">
        <v>236</v>
      </c>
      <c r="B784" s="1" t="s">
        <v>349</v>
      </c>
      <c r="C784" s="1" t="s">
        <v>328</v>
      </c>
      <c r="D784" s="1" t="s">
        <v>328</v>
      </c>
      <c r="E784" s="1">
        <v>0.75</v>
      </c>
      <c r="F784" s="1" t="s">
        <v>329</v>
      </c>
      <c r="G784" s="6">
        <v>45817</v>
      </c>
      <c r="H784" s="1">
        <v>1015308</v>
      </c>
      <c r="I784" s="1">
        <v>1035308</v>
      </c>
      <c r="J784" s="1">
        <v>35709.500000000007</v>
      </c>
      <c r="K784" s="1">
        <v>-15709.500000000009</v>
      </c>
      <c r="L784" s="1">
        <v>1051017.5</v>
      </c>
      <c r="M784" s="1">
        <v>130</v>
      </c>
      <c r="N784" s="1">
        <v>455.32846441947561</v>
      </c>
      <c r="O784" s="1">
        <v>-57.190243492628028</v>
      </c>
      <c r="P784" s="7">
        <v>45947</v>
      </c>
      <c r="Q784" s="1">
        <v>20000</v>
      </c>
      <c r="R784" s="7">
        <v>46034.848669976847</v>
      </c>
      <c r="S784" s="7">
        <v>46034</v>
      </c>
      <c r="T784" s="7" t="str">
        <f t="shared" si="0"/>
        <v>enero</v>
      </c>
      <c r="U784" s="1" t="s">
        <v>330</v>
      </c>
      <c r="X784" s="1" t="s">
        <v>331</v>
      </c>
      <c r="Y784" s="1" t="s">
        <v>332</v>
      </c>
      <c r="Z784" s="1">
        <v>16</v>
      </c>
      <c r="AA784" s="3">
        <v>3389.9</v>
      </c>
      <c r="AB784" s="3">
        <v>54238.400000000001</v>
      </c>
      <c r="AC784" s="1" t="str">
        <f>VLOOKUP(A784,[1]Detalle!$D$2:$CW$484,98,FALSE)</f>
        <v>CENCOMLD - Cencosud SA - Mendoza</v>
      </c>
    </row>
    <row r="785" spans="1:29" ht="14.25" customHeight="1" x14ac:dyDescent="0.3">
      <c r="A785" s="1" t="s">
        <v>236</v>
      </c>
      <c r="B785" s="1" t="s">
        <v>349</v>
      </c>
      <c r="C785" s="1" t="s">
        <v>328</v>
      </c>
      <c r="D785" s="1" t="s">
        <v>328</v>
      </c>
      <c r="E785" s="1">
        <v>0.75</v>
      </c>
      <c r="F785" s="1" t="s">
        <v>329</v>
      </c>
      <c r="G785" s="6">
        <v>45817</v>
      </c>
      <c r="H785" s="1">
        <v>1015308</v>
      </c>
      <c r="I785" s="1">
        <v>1035308</v>
      </c>
      <c r="J785" s="1">
        <v>35709.500000000007</v>
      </c>
      <c r="K785" s="1">
        <v>-15709.500000000009</v>
      </c>
      <c r="L785" s="1">
        <v>1051017.5</v>
      </c>
      <c r="M785" s="1">
        <v>130</v>
      </c>
      <c r="N785" s="1">
        <v>455.32846441947561</v>
      </c>
      <c r="O785" s="1">
        <v>-57.190243492628028</v>
      </c>
      <c r="P785" s="7">
        <v>45947</v>
      </c>
      <c r="Q785" s="1">
        <v>20000</v>
      </c>
      <c r="R785" s="7">
        <v>46034.848669976847</v>
      </c>
      <c r="S785" s="7">
        <v>46034</v>
      </c>
      <c r="T785" s="7" t="str">
        <f t="shared" si="0"/>
        <v>enero</v>
      </c>
      <c r="U785" s="1" t="s">
        <v>330</v>
      </c>
      <c r="X785" s="1" t="s">
        <v>333</v>
      </c>
      <c r="Y785" s="1" t="s">
        <v>334</v>
      </c>
      <c r="Z785" s="1">
        <v>1</v>
      </c>
      <c r="AA785" s="3">
        <v>8513.2800000000007</v>
      </c>
      <c r="AB785" s="3">
        <v>8513.2800000000007</v>
      </c>
      <c r="AC785" s="1" t="str">
        <f>VLOOKUP(A785,[1]Detalle!$D$2:$CW$484,98,FALSE)</f>
        <v>CENCOMLD - Cencosud SA - Mendoza</v>
      </c>
    </row>
    <row r="786" spans="1:29" ht="14.25" customHeight="1" x14ac:dyDescent="0.3">
      <c r="A786" s="1" t="s">
        <v>236</v>
      </c>
      <c r="B786" s="1" t="s">
        <v>349</v>
      </c>
      <c r="C786" s="1" t="s">
        <v>421</v>
      </c>
      <c r="D786" s="1" t="s">
        <v>415</v>
      </c>
      <c r="E786" s="1">
        <v>0.25</v>
      </c>
      <c r="F786" s="1" t="s">
        <v>366</v>
      </c>
      <c r="G786" s="6">
        <v>45817</v>
      </c>
      <c r="H786" s="1">
        <v>1015308</v>
      </c>
      <c r="I786" s="1">
        <v>1035308</v>
      </c>
      <c r="J786" s="1">
        <v>35709.500000000007</v>
      </c>
      <c r="K786" s="1">
        <v>-15709.500000000009</v>
      </c>
      <c r="L786" s="1">
        <v>1051017.5</v>
      </c>
      <c r="M786" s="1">
        <v>130</v>
      </c>
      <c r="N786" s="1">
        <v>455.32846441947561</v>
      </c>
      <c r="O786" s="1">
        <v>-57.190243492628028</v>
      </c>
      <c r="P786" s="7">
        <v>45947</v>
      </c>
      <c r="Q786" s="1">
        <v>20000</v>
      </c>
      <c r="R786" s="7">
        <v>46034.848669976847</v>
      </c>
      <c r="S786" s="7">
        <v>46034</v>
      </c>
      <c r="T786" s="7" t="str">
        <f t="shared" si="0"/>
        <v>enero</v>
      </c>
      <c r="U786" s="1" t="s">
        <v>330</v>
      </c>
      <c r="X786" s="1" t="s">
        <v>422</v>
      </c>
      <c r="Y786" s="1" t="s">
        <v>423</v>
      </c>
      <c r="Z786" s="1">
        <v>1</v>
      </c>
      <c r="AA786" s="3">
        <v>49777.919999999998</v>
      </c>
      <c r="AB786" s="3">
        <v>49777.919999999998</v>
      </c>
      <c r="AC786" s="1" t="str">
        <f>VLOOKUP(A786,[1]Detalle!$D$2:$CW$484,98,FALSE)</f>
        <v>CENCOMLD - Cencosud SA - Mendoza</v>
      </c>
    </row>
    <row r="787" spans="1:29" ht="14.25" customHeight="1" x14ac:dyDescent="0.3">
      <c r="A787" s="1" t="s">
        <v>111</v>
      </c>
      <c r="B787" s="1">
        <v>710</v>
      </c>
      <c r="C787" s="1" t="s">
        <v>328</v>
      </c>
      <c r="D787" s="1" t="s">
        <v>328</v>
      </c>
      <c r="E787" s="1">
        <v>0.75</v>
      </c>
      <c r="F787" s="1" t="s">
        <v>329</v>
      </c>
      <c r="G787" s="6">
        <v>45632</v>
      </c>
      <c r="H787" s="1">
        <v>16040</v>
      </c>
      <c r="I787" s="1">
        <v>36040</v>
      </c>
      <c r="J787" s="1">
        <v>34694.100000000013</v>
      </c>
      <c r="K787" s="1">
        <v>-14694.100000000009</v>
      </c>
      <c r="L787" s="1">
        <v>50734.100000000013</v>
      </c>
      <c r="M787" s="1">
        <v>315</v>
      </c>
      <c r="N787" s="1">
        <v>104.473717948718</v>
      </c>
      <c r="O787" s="1">
        <v>-133.41292899945529</v>
      </c>
      <c r="P787" s="7">
        <v>45947</v>
      </c>
      <c r="Q787" s="1">
        <v>20000</v>
      </c>
      <c r="R787" s="7">
        <v>46329.871412881941</v>
      </c>
      <c r="S787" s="7">
        <v>46329</v>
      </c>
      <c r="T787" s="7" t="str">
        <f t="shared" si="0"/>
        <v>noviembre</v>
      </c>
      <c r="X787" s="1" t="s">
        <v>331</v>
      </c>
      <c r="Y787" s="1" t="s">
        <v>332</v>
      </c>
      <c r="Z787" s="1">
        <v>16</v>
      </c>
      <c r="AA787" s="3">
        <v>3389.9</v>
      </c>
      <c r="AB787" s="3">
        <v>54238.400000000001</v>
      </c>
      <c r="AC787" s="1" t="str">
        <f>VLOOKUP(A787,[1]Detalle!$D$2:$CW$484,98,FALSE)</f>
        <v>SUC_MEN - Sucursal Mendoza</v>
      </c>
    </row>
    <row r="788" spans="1:29" ht="14.25" customHeight="1" x14ac:dyDescent="0.3">
      <c r="A788" s="1" t="s">
        <v>111</v>
      </c>
      <c r="B788" s="1">
        <v>710</v>
      </c>
      <c r="C788" s="1" t="s">
        <v>328</v>
      </c>
      <c r="D788" s="1" t="s">
        <v>328</v>
      </c>
      <c r="E788" s="1">
        <v>0.75</v>
      </c>
      <c r="F788" s="1" t="s">
        <v>329</v>
      </c>
      <c r="G788" s="6">
        <v>45632</v>
      </c>
      <c r="H788" s="1">
        <v>16040</v>
      </c>
      <c r="I788" s="1">
        <v>36040</v>
      </c>
      <c r="J788" s="1">
        <v>34694.100000000013</v>
      </c>
      <c r="K788" s="1">
        <v>-14694.100000000009</v>
      </c>
      <c r="L788" s="1">
        <v>50734.100000000013</v>
      </c>
      <c r="M788" s="1">
        <v>315</v>
      </c>
      <c r="N788" s="1">
        <v>104.473717948718</v>
      </c>
      <c r="O788" s="1">
        <v>-133.41292899945529</v>
      </c>
      <c r="P788" s="7">
        <v>45947</v>
      </c>
      <c r="Q788" s="1">
        <v>20000</v>
      </c>
      <c r="R788" s="7">
        <v>46329.871412881941</v>
      </c>
      <c r="S788" s="7">
        <v>46329</v>
      </c>
      <c r="T788" s="7" t="str">
        <f t="shared" si="0"/>
        <v>noviembre</v>
      </c>
      <c r="X788" s="1" t="s">
        <v>333</v>
      </c>
      <c r="Y788" s="1" t="s">
        <v>334</v>
      </c>
      <c r="Z788" s="1">
        <v>1</v>
      </c>
      <c r="AA788" s="3">
        <v>8513.2800000000007</v>
      </c>
      <c r="AB788" s="3">
        <v>8513.2800000000007</v>
      </c>
      <c r="AC788" s="1" t="str">
        <f>VLOOKUP(A788,[1]Detalle!$D$2:$CW$484,98,FALSE)</f>
        <v>SUC_MEN - Sucursal Mendoza</v>
      </c>
    </row>
    <row r="789" spans="1:29" ht="14.25" customHeight="1" x14ac:dyDescent="0.3">
      <c r="A789" s="1" t="s">
        <v>209</v>
      </c>
      <c r="B789" s="1" t="s">
        <v>341</v>
      </c>
      <c r="C789" s="1" t="s">
        <v>328</v>
      </c>
      <c r="D789" s="1" t="s">
        <v>328</v>
      </c>
      <c r="E789" s="1">
        <v>0.75</v>
      </c>
      <c r="F789" s="1" t="s">
        <v>329</v>
      </c>
      <c r="G789" s="6">
        <v>45525</v>
      </c>
      <c r="H789" s="1">
        <v>880145</v>
      </c>
      <c r="I789" s="1">
        <v>900145</v>
      </c>
      <c r="J789" s="1">
        <v>79750.570000000065</v>
      </c>
      <c r="K789" s="1">
        <v>-59750.570000000072</v>
      </c>
      <c r="L789" s="1">
        <v>959895.57000000007</v>
      </c>
      <c r="M789" s="1">
        <v>422</v>
      </c>
      <c r="N789" s="1">
        <v>249.7515064102565</v>
      </c>
      <c r="O789" s="1">
        <v>-316.17003539912008</v>
      </c>
      <c r="P789" s="7">
        <v>45947</v>
      </c>
      <c r="Q789" s="1">
        <v>20000</v>
      </c>
      <c r="R789" s="7">
        <v>46107.159194131942</v>
      </c>
      <c r="S789" s="7">
        <v>46107</v>
      </c>
      <c r="T789" s="7" t="str">
        <f t="shared" si="0"/>
        <v>marzo</v>
      </c>
      <c r="X789" s="1" t="s">
        <v>331</v>
      </c>
      <c r="Y789" s="1" t="s">
        <v>332</v>
      </c>
      <c r="Z789" s="1">
        <v>16</v>
      </c>
      <c r="AA789" s="3">
        <v>3389.9</v>
      </c>
      <c r="AB789" s="3">
        <v>54238.400000000001</v>
      </c>
      <c r="AC789" s="1" t="str">
        <f>VLOOKUP(A789,[1]Detalle!$D$2:$CW$484,98,FALSE)</f>
        <v>CENCO_MZ - Cencosud SA - Mendoza</v>
      </c>
    </row>
    <row r="790" spans="1:29" ht="14.25" customHeight="1" x14ac:dyDescent="0.3">
      <c r="A790" s="1" t="s">
        <v>209</v>
      </c>
      <c r="B790" s="1" t="s">
        <v>341</v>
      </c>
      <c r="C790" s="1" t="s">
        <v>328</v>
      </c>
      <c r="D790" s="1" t="s">
        <v>328</v>
      </c>
      <c r="E790" s="1">
        <v>0.75</v>
      </c>
      <c r="F790" s="1" t="s">
        <v>329</v>
      </c>
      <c r="G790" s="6">
        <v>45525</v>
      </c>
      <c r="H790" s="1">
        <v>880145</v>
      </c>
      <c r="I790" s="1">
        <v>900145</v>
      </c>
      <c r="J790" s="1">
        <v>79750.570000000065</v>
      </c>
      <c r="K790" s="1">
        <v>-59750.570000000072</v>
      </c>
      <c r="L790" s="1">
        <v>959895.57000000007</v>
      </c>
      <c r="M790" s="1">
        <v>422</v>
      </c>
      <c r="N790" s="1">
        <v>249.7515064102565</v>
      </c>
      <c r="O790" s="1">
        <v>-316.17003539912008</v>
      </c>
      <c r="P790" s="7">
        <v>45947</v>
      </c>
      <c r="Q790" s="1">
        <v>20000</v>
      </c>
      <c r="R790" s="7">
        <v>46107.159194131942</v>
      </c>
      <c r="S790" s="7">
        <v>46107</v>
      </c>
      <c r="T790" s="7" t="str">
        <f t="shared" si="0"/>
        <v>marzo</v>
      </c>
      <c r="X790" s="1" t="s">
        <v>333</v>
      </c>
      <c r="Y790" s="1" t="s">
        <v>334</v>
      </c>
      <c r="Z790" s="1">
        <v>1</v>
      </c>
      <c r="AA790" s="3">
        <v>8513.2800000000007</v>
      </c>
      <c r="AB790" s="3">
        <v>8513.2800000000007</v>
      </c>
      <c r="AC790" s="1" t="str">
        <f>VLOOKUP(A790,[1]Detalle!$D$2:$CW$484,98,FALSE)</f>
        <v>CENCO_MZ - Cencosud SA - Mendoza</v>
      </c>
    </row>
    <row r="791" spans="1:29" ht="14.25" customHeight="1" x14ac:dyDescent="0.3">
      <c r="A791" s="1" t="s">
        <v>138</v>
      </c>
      <c r="B791" s="1">
        <v>1624</v>
      </c>
      <c r="C791" s="1" t="s">
        <v>343</v>
      </c>
      <c r="D791" s="1" t="s">
        <v>343</v>
      </c>
      <c r="E791" s="1">
        <v>0.5</v>
      </c>
      <c r="F791" s="1" t="s">
        <v>344</v>
      </c>
      <c r="G791" s="6">
        <v>45840</v>
      </c>
      <c r="H791" s="1">
        <v>40688</v>
      </c>
      <c r="I791" s="1">
        <v>60688</v>
      </c>
      <c r="J791" s="1">
        <v>18559.899999999991</v>
      </c>
      <c r="K791" s="1">
        <v>1440.100000000006</v>
      </c>
      <c r="L791" s="1">
        <v>59247.899999999987</v>
      </c>
      <c r="M791" s="1">
        <v>107</v>
      </c>
      <c r="N791" s="1">
        <v>129.25862179487169</v>
      </c>
      <c r="O791" s="1">
        <v>8.3023453790160868</v>
      </c>
      <c r="P791" s="7">
        <v>45947</v>
      </c>
      <c r="Q791" s="1">
        <v>20000</v>
      </c>
      <c r="R791" s="7">
        <v>46264.759458912027</v>
      </c>
      <c r="S791" s="7">
        <v>46264</v>
      </c>
      <c r="T791" s="7" t="str">
        <f t="shared" si="0"/>
        <v>agosto</v>
      </c>
      <c r="X791" s="1" t="s">
        <v>345</v>
      </c>
      <c r="Y791" s="1" t="s">
        <v>346</v>
      </c>
      <c r="Z791" s="1">
        <v>1</v>
      </c>
      <c r="AA791" s="3">
        <v>10535.04</v>
      </c>
      <c r="AB791" s="3">
        <v>10535.04</v>
      </c>
      <c r="AC791" s="1" t="str">
        <f>VLOOKUP(A791,[1]Detalle!$D$2:$CW$484,98,FALSE)</f>
        <v>SUC_MEN - Sucursal Mendoza</v>
      </c>
    </row>
    <row r="792" spans="1:29" ht="14.25" customHeight="1" x14ac:dyDescent="0.3">
      <c r="A792" s="1" t="s">
        <v>138</v>
      </c>
      <c r="B792" s="1">
        <v>1624</v>
      </c>
      <c r="C792" s="1" t="s">
        <v>343</v>
      </c>
      <c r="D792" s="1" t="s">
        <v>343</v>
      </c>
      <c r="E792" s="1">
        <v>0.5</v>
      </c>
      <c r="F792" s="1" t="s">
        <v>344</v>
      </c>
      <c r="G792" s="6">
        <v>45840</v>
      </c>
      <c r="H792" s="1">
        <v>40688</v>
      </c>
      <c r="I792" s="1">
        <v>60688</v>
      </c>
      <c r="J792" s="1">
        <v>18559.899999999991</v>
      </c>
      <c r="K792" s="1">
        <v>1440.100000000006</v>
      </c>
      <c r="L792" s="1">
        <v>59247.899999999987</v>
      </c>
      <c r="M792" s="1">
        <v>107</v>
      </c>
      <c r="N792" s="1">
        <v>129.25862179487169</v>
      </c>
      <c r="O792" s="1">
        <v>8.3023453790160868</v>
      </c>
      <c r="P792" s="7">
        <v>45947</v>
      </c>
      <c r="Q792" s="1">
        <v>20000</v>
      </c>
      <c r="R792" s="7">
        <v>46264.759458912027</v>
      </c>
      <c r="S792" s="7">
        <v>46264</v>
      </c>
      <c r="T792" s="7" t="str">
        <f t="shared" si="0"/>
        <v>agosto</v>
      </c>
      <c r="X792" s="1" t="s">
        <v>347</v>
      </c>
      <c r="Y792" s="1" t="s">
        <v>348</v>
      </c>
      <c r="Z792" s="1">
        <v>1</v>
      </c>
      <c r="AA792" s="3">
        <v>19410.240000000002</v>
      </c>
      <c r="AB792" s="3">
        <v>19410.240000000002</v>
      </c>
      <c r="AC792" s="1" t="str">
        <f>VLOOKUP(A792,[1]Detalle!$D$2:$CW$484,98,FALSE)</f>
        <v>SUC_MEN - Sucursal Mendoza</v>
      </c>
    </row>
    <row r="793" spans="1:29" ht="14.25" customHeight="1" x14ac:dyDescent="0.3">
      <c r="A793" s="1" t="s">
        <v>123</v>
      </c>
      <c r="B793" s="1">
        <v>1620</v>
      </c>
      <c r="C793" s="1" t="s">
        <v>343</v>
      </c>
      <c r="D793" s="1" t="s">
        <v>343</v>
      </c>
      <c r="E793" s="1">
        <v>0.5</v>
      </c>
      <c r="F793" s="1" t="s">
        <v>344</v>
      </c>
      <c r="G793" s="6">
        <v>45364</v>
      </c>
      <c r="H793" s="1">
        <v>289070</v>
      </c>
      <c r="I793" s="1">
        <v>309070</v>
      </c>
      <c r="J793" s="1">
        <v>33400.049999999952</v>
      </c>
      <c r="K793" s="1">
        <v>-13400.04999999995</v>
      </c>
      <c r="L793" s="1">
        <v>322470.04999999987</v>
      </c>
      <c r="M793" s="1">
        <v>583</v>
      </c>
      <c r="N793" s="1">
        <v>96.824519230769212</v>
      </c>
      <c r="O793" s="1">
        <v>-233.8987261995112</v>
      </c>
      <c r="P793" s="7">
        <v>45947</v>
      </c>
      <c r="Q793" s="1">
        <v>20000</v>
      </c>
      <c r="R793" s="7">
        <v>46360.11849847222</v>
      </c>
      <c r="S793" s="7">
        <v>46360</v>
      </c>
      <c r="T793" s="7" t="str">
        <f t="shared" si="0"/>
        <v>diciembre</v>
      </c>
      <c r="X793" s="1" t="s">
        <v>345</v>
      </c>
      <c r="Y793" s="1" t="s">
        <v>346</v>
      </c>
      <c r="Z793" s="1">
        <v>1</v>
      </c>
      <c r="AA793" s="3">
        <v>10535.04</v>
      </c>
      <c r="AB793" s="3">
        <v>10535.04</v>
      </c>
      <c r="AC793" s="1" t="str">
        <f>VLOOKUP(A793,[1]Detalle!$D$2:$CW$484,98,FALSE)</f>
        <v>SUC_SRA - Sucursal San Rafael</v>
      </c>
    </row>
    <row r="794" spans="1:29" ht="14.25" customHeight="1" x14ac:dyDescent="0.3">
      <c r="A794" s="1" t="s">
        <v>123</v>
      </c>
      <c r="B794" s="1">
        <v>1620</v>
      </c>
      <c r="C794" s="1" t="s">
        <v>343</v>
      </c>
      <c r="D794" s="1" t="s">
        <v>343</v>
      </c>
      <c r="E794" s="1">
        <v>0.5</v>
      </c>
      <c r="F794" s="1" t="s">
        <v>344</v>
      </c>
      <c r="G794" s="6">
        <v>45364</v>
      </c>
      <c r="H794" s="1">
        <v>289070</v>
      </c>
      <c r="I794" s="1">
        <v>309070</v>
      </c>
      <c r="J794" s="1">
        <v>33400.049999999952</v>
      </c>
      <c r="K794" s="1">
        <v>-13400.04999999995</v>
      </c>
      <c r="L794" s="1">
        <v>322470.04999999987</v>
      </c>
      <c r="M794" s="1">
        <v>583</v>
      </c>
      <c r="N794" s="1">
        <v>96.824519230769212</v>
      </c>
      <c r="O794" s="1">
        <v>-233.8987261995112</v>
      </c>
      <c r="P794" s="7">
        <v>45947</v>
      </c>
      <c r="Q794" s="1">
        <v>20000</v>
      </c>
      <c r="R794" s="7">
        <v>46360.11849847222</v>
      </c>
      <c r="S794" s="7">
        <v>46360</v>
      </c>
      <c r="T794" s="7" t="str">
        <f t="shared" si="0"/>
        <v>diciembre</v>
      </c>
      <c r="X794" s="1" t="s">
        <v>347</v>
      </c>
      <c r="Y794" s="1" t="s">
        <v>348</v>
      </c>
      <c r="Z794" s="1">
        <v>1</v>
      </c>
      <c r="AA794" s="3">
        <v>19410.240000000002</v>
      </c>
      <c r="AB794" s="3">
        <v>19410.240000000002</v>
      </c>
      <c r="AC794" s="1" t="str">
        <f>VLOOKUP(A794,[1]Detalle!$D$2:$CW$484,98,FALSE)</f>
        <v>SUC_SRA - Sucursal San Rafael</v>
      </c>
    </row>
    <row r="795" spans="1:29" ht="14.25" customHeight="1" x14ac:dyDescent="0.3">
      <c r="A795" s="1" t="s">
        <v>111</v>
      </c>
      <c r="B795" s="1">
        <v>710</v>
      </c>
      <c r="C795" s="1" t="s">
        <v>343</v>
      </c>
      <c r="D795" s="1" t="s">
        <v>343</v>
      </c>
      <c r="E795" s="1">
        <v>0.5</v>
      </c>
      <c r="F795" s="1" t="s">
        <v>344</v>
      </c>
      <c r="G795" s="6">
        <v>45632</v>
      </c>
      <c r="H795" s="1">
        <v>16040</v>
      </c>
      <c r="I795" s="1">
        <v>36040</v>
      </c>
      <c r="J795" s="1">
        <v>34694.100000000013</v>
      </c>
      <c r="K795" s="1">
        <v>-14694.100000000009</v>
      </c>
      <c r="L795" s="1">
        <v>50734.100000000013</v>
      </c>
      <c r="M795" s="1">
        <v>315</v>
      </c>
      <c r="N795" s="1">
        <v>104.473717948718</v>
      </c>
      <c r="O795" s="1">
        <v>-133.41292899945529</v>
      </c>
      <c r="P795" s="7">
        <v>45947</v>
      </c>
      <c r="Q795" s="1">
        <v>20000</v>
      </c>
      <c r="R795" s="7">
        <v>46329.871412881941</v>
      </c>
      <c r="S795" s="7">
        <v>46329</v>
      </c>
      <c r="T795" s="7" t="str">
        <f t="shared" si="0"/>
        <v>noviembre</v>
      </c>
      <c r="X795" s="1" t="s">
        <v>345</v>
      </c>
      <c r="Y795" s="1" t="s">
        <v>346</v>
      </c>
      <c r="Z795" s="1">
        <v>1</v>
      </c>
      <c r="AA795" s="3">
        <v>10535.04</v>
      </c>
      <c r="AB795" s="3">
        <v>10535.04</v>
      </c>
      <c r="AC795" s="1" t="str">
        <f>VLOOKUP(A795,[1]Detalle!$D$2:$CW$484,98,FALSE)</f>
        <v>SUC_MEN - Sucursal Mendoza</v>
      </c>
    </row>
    <row r="796" spans="1:29" ht="14.25" customHeight="1" x14ac:dyDescent="0.3">
      <c r="A796" s="1" t="s">
        <v>111</v>
      </c>
      <c r="B796" s="1">
        <v>710</v>
      </c>
      <c r="C796" s="1" t="s">
        <v>343</v>
      </c>
      <c r="D796" s="1" t="s">
        <v>343</v>
      </c>
      <c r="E796" s="1">
        <v>0.5</v>
      </c>
      <c r="F796" s="1" t="s">
        <v>344</v>
      </c>
      <c r="G796" s="6">
        <v>45632</v>
      </c>
      <c r="H796" s="1">
        <v>16040</v>
      </c>
      <c r="I796" s="1">
        <v>36040</v>
      </c>
      <c r="J796" s="1">
        <v>34694.100000000013</v>
      </c>
      <c r="K796" s="1">
        <v>-14694.100000000009</v>
      </c>
      <c r="L796" s="1">
        <v>50734.100000000013</v>
      </c>
      <c r="M796" s="1">
        <v>315</v>
      </c>
      <c r="N796" s="1">
        <v>104.473717948718</v>
      </c>
      <c r="O796" s="1">
        <v>-133.41292899945529</v>
      </c>
      <c r="P796" s="7">
        <v>45947</v>
      </c>
      <c r="Q796" s="1">
        <v>20000</v>
      </c>
      <c r="R796" s="7">
        <v>46329.871412881941</v>
      </c>
      <c r="S796" s="7">
        <v>46329</v>
      </c>
      <c r="T796" s="7" t="str">
        <f t="shared" si="0"/>
        <v>noviembre</v>
      </c>
      <c r="X796" s="1" t="s">
        <v>347</v>
      </c>
      <c r="Y796" s="1" t="s">
        <v>348</v>
      </c>
      <c r="Z796" s="1">
        <v>1</v>
      </c>
      <c r="AA796" s="3">
        <v>19410.240000000002</v>
      </c>
      <c r="AB796" s="3">
        <v>19410.240000000002</v>
      </c>
      <c r="AC796" s="1" t="str">
        <f>VLOOKUP(A796,[1]Detalle!$D$2:$CW$484,98,FALSE)</f>
        <v>SUC_MEN - Sucursal Mendoza</v>
      </c>
    </row>
    <row r="797" spans="1:29" ht="14.25" customHeight="1" x14ac:dyDescent="0.3">
      <c r="A797" s="1" t="s">
        <v>149</v>
      </c>
      <c r="B797" s="1">
        <v>1624</v>
      </c>
      <c r="C797" s="1" t="s">
        <v>343</v>
      </c>
      <c r="D797" s="1" t="s">
        <v>343</v>
      </c>
      <c r="E797" s="1">
        <v>0.5</v>
      </c>
      <c r="F797" s="1" t="s">
        <v>344</v>
      </c>
      <c r="G797" s="6">
        <v>45734</v>
      </c>
      <c r="H797" s="1">
        <v>662460</v>
      </c>
      <c r="I797" s="1">
        <v>682460</v>
      </c>
      <c r="J797" s="1">
        <v>20447.600000000009</v>
      </c>
      <c r="K797" s="1">
        <v>-447.60000000000582</v>
      </c>
      <c r="L797" s="1">
        <v>682907.6</v>
      </c>
      <c r="M797" s="1">
        <v>213</v>
      </c>
      <c r="N797" s="1">
        <v>113.6646794871796</v>
      </c>
      <c r="O797" s="1">
        <v>-4.6625912087482746</v>
      </c>
      <c r="P797" s="7">
        <v>45947</v>
      </c>
      <c r="Q797" s="1">
        <v>20000</v>
      </c>
      <c r="R797" s="7">
        <v>46298.912310671287</v>
      </c>
      <c r="S797" s="7">
        <v>46298</v>
      </c>
      <c r="T797" s="7" t="str">
        <f t="shared" si="0"/>
        <v>octubre</v>
      </c>
      <c r="X797" s="1" t="s">
        <v>345</v>
      </c>
      <c r="Y797" s="1" t="s">
        <v>346</v>
      </c>
      <c r="Z797" s="1">
        <v>1</v>
      </c>
      <c r="AA797" s="3">
        <v>10535.04</v>
      </c>
      <c r="AB797" s="3">
        <v>10535.04</v>
      </c>
      <c r="AC797" s="1" t="str">
        <f>VLOOKUP(A797,[1]Detalle!$D$2:$CW$484,98,FALSE)</f>
        <v>Papelera - Papelera del Plata S.A.</v>
      </c>
    </row>
    <row r="798" spans="1:29" ht="14.25" customHeight="1" x14ac:dyDescent="0.3">
      <c r="A798" s="1" t="s">
        <v>149</v>
      </c>
      <c r="B798" s="1">
        <v>1624</v>
      </c>
      <c r="C798" s="1" t="s">
        <v>343</v>
      </c>
      <c r="D798" s="1" t="s">
        <v>343</v>
      </c>
      <c r="E798" s="1">
        <v>0.5</v>
      </c>
      <c r="F798" s="1" t="s">
        <v>344</v>
      </c>
      <c r="G798" s="6">
        <v>45734</v>
      </c>
      <c r="H798" s="1">
        <v>662460</v>
      </c>
      <c r="I798" s="1">
        <v>682460</v>
      </c>
      <c r="J798" s="1">
        <v>20447.600000000009</v>
      </c>
      <c r="K798" s="1">
        <v>-447.60000000000582</v>
      </c>
      <c r="L798" s="1">
        <v>682907.6</v>
      </c>
      <c r="M798" s="1">
        <v>213</v>
      </c>
      <c r="N798" s="1">
        <v>113.6646794871796</v>
      </c>
      <c r="O798" s="1">
        <v>-4.6625912087482746</v>
      </c>
      <c r="P798" s="7">
        <v>45947</v>
      </c>
      <c r="Q798" s="1">
        <v>20000</v>
      </c>
      <c r="R798" s="7">
        <v>46298.912310671287</v>
      </c>
      <c r="S798" s="7">
        <v>46298</v>
      </c>
      <c r="T798" s="7" t="str">
        <f t="shared" si="0"/>
        <v>octubre</v>
      </c>
      <c r="X798" s="1" t="s">
        <v>347</v>
      </c>
      <c r="Y798" s="1" t="s">
        <v>348</v>
      </c>
      <c r="Z798" s="1">
        <v>1</v>
      </c>
      <c r="AA798" s="3">
        <v>19410.240000000002</v>
      </c>
      <c r="AB798" s="3">
        <v>19410.240000000002</v>
      </c>
      <c r="AC798" s="1" t="str">
        <f>VLOOKUP(A798,[1]Detalle!$D$2:$CW$484,98,FALSE)</f>
        <v>Papelera - Papelera del Plata S.A.</v>
      </c>
    </row>
    <row r="799" spans="1:29" ht="14.25" customHeight="1" x14ac:dyDescent="0.3">
      <c r="A799" s="1" t="s">
        <v>161</v>
      </c>
      <c r="B799" s="1">
        <v>1624</v>
      </c>
      <c r="C799" s="1" t="s">
        <v>343</v>
      </c>
      <c r="D799" s="1" t="s">
        <v>343</v>
      </c>
      <c r="E799" s="1">
        <v>0.5</v>
      </c>
      <c r="F799" s="1" t="s">
        <v>344</v>
      </c>
      <c r="G799" s="6">
        <v>45820</v>
      </c>
      <c r="H799" s="1">
        <v>657691</v>
      </c>
      <c r="I799" s="1">
        <v>677691</v>
      </c>
      <c r="J799" s="1">
        <v>12543.4</v>
      </c>
      <c r="K799" s="1">
        <v>7456.6000000000022</v>
      </c>
      <c r="L799" s="1">
        <v>670234.4</v>
      </c>
      <c r="M799" s="1">
        <v>127</v>
      </c>
      <c r="N799" s="1">
        <v>112.4813870967742</v>
      </c>
      <c r="O799" s="1">
        <v>75.496930656759758</v>
      </c>
      <c r="P799" s="7">
        <v>45947</v>
      </c>
      <c r="Q799" s="1">
        <v>20000</v>
      </c>
      <c r="R799" s="7">
        <v>46378.111321909717</v>
      </c>
      <c r="S799" s="7">
        <v>46378</v>
      </c>
      <c r="T799" s="7" t="str">
        <f t="shared" si="0"/>
        <v>diciembre</v>
      </c>
      <c r="X799" s="1" t="s">
        <v>345</v>
      </c>
      <c r="Y799" s="1" t="s">
        <v>346</v>
      </c>
      <c r="Z799" s="1">
        <v>1</v>
      </c>
      <c r="AA799" s="3">
        <v>10535.04</v>
      </c>
      <c r="AB799" s="3">
        <v>10535.04</v>
      </c>
      <c r="AC799" s="1" t="str">
        <f>VLOOKUP(A799,[1]Detalle!$D$2:$CW$484,98,FALSE)</f>
        <v>Unilever - Unilever de Arg. S.A.</v>
      </c>
    </row>
    <row r="800" spans="1:29" ht="14.25" customHeight="1" x14ac:dyDescent="0.3">
      <c r="A800" s="1" t="s">
        <v>161</v>
      </c>
      <c r="B800" s="1">
        <v>1624</v>
      </c>
      <c r="C800" s="1" t="s">
        <v>343</v>
      </c>
      <c r="D800" s="1" t="s">
        <v>343</v>
      </c>
      <c r="E800" s="1">
        <v>0.5</v>
      </c>
      <c r="F800" s="1" t="s">
        <v>344</v>
      </c>
      <c r="G800" s="6">
        <v>45820</v>
      </c>
      <c r="H800" s="1">
        <v>657691</v>
      </c>
      <c r="I800" s="1">
        <v>677691</v>
      </c>
      <c r="J800" s="1">
        <v>12543.4</v>
      </c>
      <c r="K800" s="1">
        <v>7456.6000000000022</v>
      </c>
      <c r="L800" s="1">
        <v>670234.4</v>
      </c>
      <c r="M800" s="1">
        <v>127</v>
      </c>
      <c r="N800" s="1">
        <v>112.4813870967742</v>
      </c>
      <c r="O800" s="1">
        <v>75.496930656759758</v>
      </c>
      <c r="P800" s="7">
        <v>45947</v>
      </c>
      <c r="Q800" s="1">
        <v>20000</v>
      </c>
      <c r="R800" s="7">
        <v>46378.111321909717</v>
      </c>
      <c r="S800" s="7">
        <v>46378</v>
      </c>
      <c r="T800" s="7" t="str">
        <f t="shared" si="0"/>
        <v>diciembre</v>
      </c>
      <c r="X800" s="1" t="s">
        <v>347</v>
      </c>
      <c r="Y800" s="1" t="s">
        <v>348</v>
      </c>
      <c r="Z800" s="1">
        <v>1</v>
      </c>
      <c r="AA800" s="3">
        <v>19410.240000000002</v>
      </c>
      <c r="AB800" s="3">
        <v>19410.240000000002</v>
      </c>
      <c r="AC800" s="1" t="str">
        <f>VLOOKUP(A800,[1]Detalle!$D$2:$CW$484,98,FALSE)</f>
        <v>Unilever - Unilever de Arg. S.A.</v>
      </c>
    </row>
    <row r="801" spans="1:29" ht="14.25" customHeight="1" x14ac:dyDescent="0.3">
      <c r="A801" s="1" t="s">
        <v>152</v>
      </c>
      <c r="B801" s="1" t="s">
        <v>351</v>
      </c>
      <c r="C801" s="1" t="s">
        <v>343</v>
      </c>
      <c r="D801" s="1" t="s">
        <v>343</v>
      </c>
      <c r="E801" s="1">
        <v>0.5</v>
      </c>
      <c r="F801" s="1" t="s">
        <v>344</v>
      </c>
      <c r="G801" s="6">
        <v>45845</v>
      </c>
      <c r="H801" s="1">
        <v>958885</v>
      </c>
      <c r="I801" s="1">
        <v>978885</v>
      </c>
      <c r="J801" s="1">
        <v>14167.3</v>
      </c>
      <c r="K801" s="1">
        <v>5832.7000000000044</v>
      </c>
      <c r="L801" s="1">
        <v>973052.3</v>
      </c>
      <c r="M801" s="1">
        <v>102</v>
      </c>
      <c r="N801" s="1">
        <v>132.10963696369629</v>
      </c>
      <c r="O801" s="1">
        <v>41.993562640729053</v>
      </c>
      <c r="P801" s="7">
        <v>45947</v>
      </c>
      <c r="Q801" s="1">
        <v>20000</v>
      </c>
      <c r="R801" s="7">
        <v>46291.772382708332</v>
      </c>
      <c r="S801" s="7">
        <v>46291</v>
      </c>
      <c r="T801" s="7" t="str">
        <f t="shared" si="0"/>
        <v>septiembre</v>
      </c>
      <c r="X801" s="1" t="s">
        <v>345</v>
      </c>
      <c r="Y801" s="1" t="s">
        <v>346</v>
      </c>
      <c r="Z801" s="1">
        <v>1</v>
      </c>
      <c r="AA801" s="3">
        <v>10535.04</v>
      </c>
      <c r="AB801" s="3">
        <v>10535.04</v>
      </c>
      <c r="AC801" s="1" t="str">
        <f>VLOOKUP(A801,[1]Detalle!$D$2:$CW$484,98,FALSE)</f>
        <v>SUC_REA - Sucursal Realicó</v>
      </c>
    </row>
    <row r="802" spans="1:29" ht="14.25" customHeight="1" x14ac:dyDescent="0.3">
      <c r="A802" s="1" t="s">
        <v>152</v>
      </c>
      <c r="B802" s="1" t="s">
        <v>351</v>
      </c>
      <c r="C802" s="1" t="s">
        <v>343</v>
      </c>
      <c r="D802" s="1" t="s">
        <v>343</v>
      </c>
      <c r="E802" s="1">
        <v>0.5</v>
      </c>
      <c r="F802" s="1" t="s">
        <v>344</v>
      </c>
      <c r="G802" s="6">
        <v>45845</v>
      </c>
      <c r="H802" s="1">
        <v>958885</v>
      </c>
      <c r="I802" s="1">
        <v>978885</v>
      </c>
      <c r="J802" s="1">
        <v>14167.3</v>
      </c>
      <c r="K802" s="1">
        <v>5832.7000000000044</v>
      </c>
      <c r="L802" s="1">
        <v>973052.3</v>
      </c>
      <c r="M802" s="1">
        <v>102</v>
      </c>
      <c r="N802" s="1">
        <v>132.10963696369629</v>
      </c>
      <c r="O802" s="1">
        <v>41.993562640729053</v>
      </c>
      <c r="P802" s="7">
        <v>45947</v>
      </c>
      <c r="Q802" s="1">
        <v>20000</v>
      </c>
      <c r="R802" s="7">
        <v>46291.772382708332</v>
      </c>
      <c r="S802" s="7">
        <v>46291</v>
      </c>
      <c r="T802" s="7" t="str">
        <f t="shared" si="0"/>
        <v>septiembre</v>
      </c>
      <c r="X802" s="1" t="s">
        <v>347</v>
      </c>
      <c r="Y802" s="1" t="s">
        <v>348</v>
      </c>
      <c r="Z802" s="1">
        <v>1</v>
      </c>
      <c r="AA802" s="3">
        <v>19410.240000000002</v>
      </c>
      <c r="AB802" s="3">
        <v>19410.240000000002</v>
      </c>
      <c r="AC802" s="1" t="str">
        <f>VLOOKUP(A802,[1]Detalle!$D$2:$CW$484,98,FALSE)</f>
        <v>SUC_REA - Sucursal Realicó</v>
      </c>
    </row>
    <row r="803" spans="1:29" ht="14.25" customHeight="1" x14ac:dyDescent="0.3">
      <c r="A803" s="1" t="s">
        <v>15</v>
      </c>
      <c r="B803" s="1" t="s">
        <v>353</v>
      </c>
      <c r="C803" s="1" t="s">
        <v>343</v>
      </c>
      <c r="D803" s="1" t="s">
        <v>343</v>
      </c>
      <c r="E803" s="1">
        <v>0.5</v>
      </c>
      <c r="F803" s="1" t="s">
        <v>344</v>
      </c>
      <c r="G803" s="6">
        <v>45848</v>
      </c>
      <c r="H803" s="1">
        <v>697850</v>
      </c>
      <c r="I803" s="1">
        <v>717850</v>
      </c>
      <c r="J803" s="1">
        <v>28772.999999999989</v>
      </c>
      <c r="K803" s="1">
        <v>-8772.9999999999891</v>
      </c>
      <c r="L803" s="1">
        <v>726623</v>
      </c>
      <c r="M803" s="1">
        <v>99</v>
      </c>
      <c r="N803" s="1">
        <v>365</v>
      </c>
      <c r="O803" s="1">
        <v>-30.185486393493871</v>
      </c>
      <c r="P803" s="7">
        <v>45947</v>
      </c>
      <c r="Q803" s="1">
        <v>20000</v>
      </c>
      <c r="R803" s="7">
        <v>46056.589039351849</v>
      </c>
      <c r="S803" s="7">
        <v>46056</v>
      </c>
      <c r="T803" s="7" t="str">
        <f t="shared" si="0"/>
        <v>febrero</v>
      </c>
      <c r="X803" s="1" t="s">
        <v>345</v>
      </c>
      <c r="Y803" s="1" t="s">
        <v>346</v>
      </c>
      <c r="Z803" s="1">
        <v>1</v>
      </c>
      <c r="AA803" s="3">
        <v>10535.04</v>
      </c>
      <c r="AB803" s="3">
        <v>10535.04</v>
      </c>
      <c r="AC803" s="1" t="str">
        <f>VLOOKUP(A803,[1]Detalle!$D$2:$CW$484,98,FALSE)</f>
        <v>CENCOMLD - Cencosud SA - Mendoza</v>
      </c>
    </row>
    <row r="804" spans="1:29" ht="14.25" customHeight="1" x14ac:dyDescent="0.3">
      <c r="A804" s="1" t="s">
        <v>15</v>
      </c>
      <c r="B804" s="1" t="s">
        <v>353</v>
      </c>
      <c r="C804" s="1" t="s">
        <v>343</v>
      </c>
      <c r="D804" s="1" t="s">
        <v>343</v>
      </c>
      <c r="E804" s="1">
        <v>0.5</v>
      </c>
      <c r="F804" s="1" t="s">
        <v>344</v>
      </c>
      <c r="G804" s="6">
        <v>45848</v>
      </c>
      <c r="H804" s="1">
        <v>697850</v>
      </c>
      <c r="I804" s="1">
        <v>717850</v>
      </c>
      <c r="J804" s="1">
        <v>28772.999999999989</v>
      </c>
      <c r="K804" s="1">
        <v>-8772.9999999999891</v>
      </c>
      <c r="L804" s="1">
        <v>726623</v>
      </c>
      <c r="M804" s="1">
        <v>99</v>
      </c>
      <c r="N804" s="1">
        <v>365</v>
      </c>
      <c r="O804" s="1">
        <v>-30.185486393493871</v>
      </c>
      <c r="P804" s="7">
        <v>45947</v>
      </c>
      <c r="Q804" s="1">
        <v>20000</v>
      </c>
      <c r="R804" s="7">
        <v>46056.589039351849</v>
      </c>
      <c r="S804" s="7">
        <v>46056</v>
      </c>
      <c r="T804" s="7" t="str">
        <f t="shared" si="0"/>
        <v>febrero</v>
      </c>
      <c r="X804" s="1" t="s">
        <v>347</v>
      </c>
      <c r="Y804" s="1" t="s">
        <v>348</v>
      </c>
      <c r="Z804" s="1">
        <v>1</v>
      </c>
      <c r="AA804" s="3">
        <v>19410.240000000002</v>
      </c>
      <c r="AB804" s="3">
        <v>19410.240000000002</v>
      </c>
      <c r="AC804" s="1" t="str">
        <f>VLOOKUP(A804,[1]Detalle!$D$2:$CW$484,98,FALSE)</f>
        <v>CENCOMLD - Cencosud SA - Mendoza</v>
      </c>
    </row>
    <row r="805" spans="1:29" ht="14.25" customHeight="1" x14ac:dyDescent="0.3">
      <c r="A805" s="1" t="s">
        <v>171</v>
      </c>
      <c r="B805" s="1" t="s">
        <v>351</v>
      </c>
      <c r="C805" s="1" t="s">
        <v>343</v>
      </c>
      <c r="D805" s="1" t="s">
        <v>343</v>
      </c>
      <c r="E805" s="1">
        <v>0.5</v>
      </c>
      <c r="F805" s="1" t="s">
        <v>344</v>
      </c>
      <c r="G805" s="6">
        <v>45835</v>
      </c>
      <c r="H805" s="1">
        <v>34917.800000000003</v>
      </c>
      <c r="I805" s="1">
        <v>54917.8</v>
      </c>
      <c r="J805" s="1">
        <v>14084.2</v>
      </c>
      <c r="K805" s="1">
        <v>5915.7999999999975</v>
      </c>
      <c r="L805" s="1">
        <v>49002.000000000007</v>
      </c>
      <c r="M805" s="1">
        <v>112</v>
      </c>
      <c r="N805" s="1">
        <v>130.96596721311471</v>
      </c>
      <c r="O805" s="1">
        <v>47.04346714758379</v>
      </c>
      <c r="P805" s="7">
        <v>45947</v>
      </c>
      <c r="Q805" s="1">
        <v>20000</v>
      </c>
      <c r="R805" s="7">
        <v>46299.466325092602</v>
      </c>
      <c r="S805" s="7">
        <v>46299</v>
      </c>
      <c r="T805" s="7" t="str">
        <f t="shared" si="0"/>
        <v>octubre</v>
      </c>
      <c r="X805" s="1" t="s">
        <v>345</v>
      </c>
      <c r="Y805" s="1" t="s">
        <v>346</v>
      </c>
      <c r="Z805" s="1">
        <v>1</v>
      </c>
      <c r="AA805" s="3">
        <v>10535.04</v>
      </c>
      <c r="AB805" s="3">
        <v>10535.04</v>
      </c>
      <c r="AC805" s="1" t="str">
        <f>VLOOKUP(A805,[1]Detalle!$D$2:$CW$484,98,FALSE)</f>
        <v>CENCO_MZ - Cencosud SA - Mendoza</v>
      </c>
    </row>
    <row r="806" spans="1:29" ht="14.25" customHeight="1" x14ac:dyDescent="0.3">
      <c r="A806" s="1" t="s">
        <v>171</v>
      </c>
      <c r="B806" s="1" t="s">
        <v>351</v>
      </c>
      <c r="C806" s="1" t="s">
        <v>343</v>
      </c>
      <c r="D806" s="1" t="s">
        <v>343</v>
      </c>
      <c r="E806" s="1">
        <v>0.5</v>
      </c>
      <c r="F806" s="1" t="s">
        <v>344</v>
      </c>
      <c r="G806" s="6">
        <v>45835</v>
      </c>
      <c r="H806" s="1">
        <v>34917.800000000003</v>
      </c>
      <c r="I806" s="1">
        <v>54917.8</v>
      </c>
      <c r="J806" s="1">
        <v>14084.2</v>
      </c>
      <c r="K806" s="1">
        <v>5915.7999999999975</v>
      </c>
      <c r="L806" s="1">
        <v>49002.000000000007</v>
      </c>
      <c r="M806" s="1">
        <v>112</v>
      </c>
      <c r="N806" s="1">
        <v>130.96596721311471</v>
      </c>
      <c r="O806" s="1">
        <v>47.04346714758379</v>
      </c>
      <c r="P806" s="7">
        <v>45947</v>
      </c>
      <c r="Q806" s="1">
        <v>20000</v>
      </c>
      <c r="R806" s="7">
        <v>46299.466325092602</v>
      </c>
      <c r="S806" s="7">
        <v>46299</v>
      </c>
      <c r="T806" s="7" t="str">
        <f t="shared" si="0"/>
        <v>octubre</v>
      </c>
      <c r="X806" s="1" t="s">
        <v>347</v>
      </c>
      <c r="Y806" s="1" t="s">
        <v>348</v>
      </c>
      <c r="Z806" s="1">
        <v>1</v>
      </c>
      <c r="AA806" s="3">
        <v>19410.240000000002</v>
      </c>
      <c r="AB806" s="3">
        <v>19410.240000000002</v>
      </c>
      <c r="AC806" s="1" t="str">
        <f>VLOOKUP(A806,[1]Detalle!$D$2:$CW$484,98,FALSE)</f>
        <v>CENCO_MZ - Cencosud SA - Mendoza</v>
      </c>
    </row>
    <row r="807" spans="1:29" ht="14.25" customHeight="1" x14ac:dyDescent="0.3">
      <c r="A807" s="1" t="s">
        <v>209</v>
      </c>
      <c r="B807" s="1" t="s">
        <v>341</v>
      </c>
      <c r="C807" s="1" t="s">
        <v>343</v>
      </c>
      <c r="D807" s="1" t="s">
        <v>343</v>
      </c>
      <c r="E807" s="1">
        <v>0.5</v>
      </c>
      <c r="F807" s="1" t="s">
        <v>344</v>
      </c>
      <c r="G807" s="6">
        <v>45525</v>
      </c>
      <c r="H807" s="1">
        <v>880145</v>
      </c>
      <c r="I807" s="1">
        <v>900145</v>
      </c>
      <c r="J807" s="1">
        <v>79750.570000000065</v>
      </c>
      <c r="K807" s="1">
        <v>-59750.570000000072</v>
      </c>
      <c r="L807" s="1">
        <v>959895.57000000007</v>
      </c>
      <c r="M807" s="1">
        <v>422</v>
      </c>
      <c r="N807" s="1">
        <v>249.7515064102565</v>
      </c>
      <c r="O807" s="1">
        <v>-316.17003539912008</v>
      </c>
      <c r="P807" s="7">
        <v>45947</v>
      </c>
      <c r="Q807" s="1">
        <v>20000</v>
      </c>
      <c r="R807" s="7">
        <v>46107.159194131942</v>
      </c>
      <c r="S807" s="7">
        <v>46107</v>
      </c>
      <c r="T807" s="7" t="str">
        <f t="shared" si="0"/>
        <v>marzo</v>
      </c>
      <c r="X807" s="1" t="s">
        <v>345</v>
      </c>
      <c r="Y807" s="1" t="s">
        <v>346</v>
      </c>
      <c r="Z807" s="1">
        <v>1</v>
      </c>
      <c r="AA807" s="3">
        <v>10535.04</v>
      </c>
      <c r="AB807" s="3">
        <v>10535.04</v>
      </c>
      <c r="AC807" s="1" t="str">
        <f>VLOOKUP(A807,[1]Detalle!$D$2:$CW$484,98,FALSE)</f>
        <v>CENCO_MZ - Cencosud SA - Mendoza</v>
      </c>
    </row>
    <row r="808" spans="1:29" ht="14.25" customHeight="1" x14ac:dyDescent="0.3">
      <c r="A808" s="1" t="s">
        <v>209</v>
      </c>
      <c r="B808" s="1" t="s">
        <v>341</v>
      </c>
      <c r="C808" s="1" t="s">
        <v>343</v>
      </c>
      <c r="D808" s="1" t="s">
        <v>343</v>
      </c>
      <c r="E808" s="1">
        <v>0.5</v>
      </c>
      <c r="F808" s="1" t="s">
        <v>344</v>
      </c>
      <c r="G808" s="6">
        <v>45525</v>
      </c>
      <c r="H808" s="1">
        <v>880145</v>
      </c>
      <c r="I808" s="1">
        <v>900145</v>
      </c>
      <c r="J808" s="1">
        <v>79750.570000000065</v>
      </c>
      <c r="K808" s="1">
        <v>-59750.570000000072</v>
      </c>
      <c r="L808" s="1">
        <v>959895.57000000007</v>
      </c>
      <c r="M808" s="1">
        <v>422</v>
      </c>
      <c r="N808" s="1">
        <v>249.7515064102565</v>
      </c>
      <c r="O808" s="1">
        <v>-316.17003539912008</v>
      </c>
      <c r="P808" s="7">
        <v>45947</v>
      </c>
      <c r="Q808" s="1">
        <v>20000</v>
      </c>
      <c r="R808" s="7">
        <v>46107.159194131942</v>
      </c>
      <c r="S808" s="7">
        <v>46107</v>
      </c>
      <c r="T808" s="7" t="str">
        <f t="shared" si="0"/>
        <v>marzo</v>
      </c>
      <c r="X808" s="1" t="s">
        <v>347</v>
      </c>
      <c r="Y808" s="1" t="s">
        <v>348</v>
      </c>
      <c r="Z808" s="1">
        <v>1</v>
      </c>
      <c r="AA808" s="3">
        <v>19410.240000000002</v>
      </c>
      <c r="AB808" s="3">
        <v>19410.240000000002</v>
      </c>
      <c r="AC808" s="1" t="str">
        <f>VLOOKUP(A808,[1]Detalle!$D$2:$CW$484,98,FALSE)</f>
        <v>CENCO_MZ - Cencosud SA - Mendoza</v>
      </c>
    </row>
    <row r="809" spans="1:29" ht="14.25" customHeight="1" x14ac:dyDescent="0.3">
      <c r="A809" s="1" t="s">
        <v>273</v>
      </c>
      <c r="B809" s="1" t="s">
        <v>349</v>
      </c>
      <c r="C809" s="1" t="s">
        <v>343</v>
      </c>
      <c r="D809" s="1" t="s">
        <v>343</v>
      </c>
      <c r="E809" s="1">
        <v>0.5</v>
      </c>
      <c r="F809" s="1" t="s">
        <v>344</v>
      </c>
      <c r="G809" s="1" t="s">
        <v>337</v>
      </c>
      <c r="N809" s="1">
        <v>169.51837638376381</v>
      </c>
      <c r="P809" s="7">
        <v>45947</v>
      </c>
      <c r="Q809" s="1">
        <v>20000</v>
      </c>
      <c r="R809" s="7">
        <v>46182.962618645834</v>
      </c>
      <c r="S809" s="7">
        <v>46182</v>
      </c>
      <c r="T809" s="7" t="str">
        <f t="shared" si="0"/>
        <v>junio</v>
      </c>
      <c r="X809" s="1" t="s">
        <v>345</v>
      </c>
      <c r="Y809" s="1" t="s">
        <v>346</v>
      </c>
      <c r="Z809" s="1">
        <v>1</v>
      </c>
      <c r="AA809" s="3">
        <v>10535.04</v>
      </c>
      <c r="AB809" s="3">
        <v>10535.04</v>
      </c>
      <c r="AC809" s="1" t="str">
        <f>VLOOKUP(A809,[1]Detalle!$D$2:$CW$484,98,FALSE)</f>
        <v>CENCOMLD - Cencosud SA - Mendoza</v>
      </c>
    </row>
    <row r="810" spans="1:29" ht="14.25" customHeight="1" x14ac:dyDescent="0.3">
      <c r="A810" s="1" t="s">
        <v>273</v>
      </c>
      <c r="B810" s="1" t="s">
        <v>349</v>
      </c>
      <c r="C810" s="1" t="s">
        <v>343</v>
      </c>
      <c r="D810" s="1" t="s">
        <v>343</v>
      </c>
      <c r="E810" s="1">
        <v>0.5</v>
      </c>
      <c r="F810" s="1" t="s">
        <v>344</v>
      </c>
      <c r="G810" s="1" t="s">
        <v>337</v>
      </c>
      <c r="N810" s="1">
        <v>169.51837638376381</v>
      </c>
      <c r="P810" s="7">
        <v>45947</v>
      </c>
      <c r="Q810" s="1">
        <v>20000</v>
      </c>
      <c r="R810" s="7">
        <v>46182.962618645834</v>
      </c>
      <c r="S810" s="7">
        <v>46182</v>
      </c>
      <c r="T810" s="7" t="str">
        <f t="shared" si="0"/>
        <v>junio</v>
      </c>
      <c r="X810" s="1" t="s">
        <v>347</v>
      </c>
      <c r="Y810" s="1" t="s">
        <v>348</v>
      </c>
      <c r="Z810" s="1">
        <v>1</v>
      </c>
      <c r="AA810" s="3">
        <v>19410.240000000002</v>
      </c>
      <c r="AB810" s="3">
        <v>19410.240000000002</v>
      </c>
      <c r="AC810" s="1" t="str">
        <f>VLOOKUP(A810,[1]Detalle!$D$2:$CW$484,98,FALSE)</f>
        <v>CENCOMLD - Cencosud SA - Mendoza</v>
      </c>
    </row>
    <row r="811" spans="1:29" ht="14.25" customHeight="1" x14ac:dyDescent="0.3">
      <c r="A811" s="1" t="s">
        <v>37</v>
      </c>
      <c r="B811" s="1" t="s">
        <v>362</v>
      </c>
      <c r="C811" s="1" t="s">
        <v>355</v>
      </c>
      <c r="D811" s="1" t="s">
        <v>355</v>
      </c>
      <c r="E811" s="1">
        <v>0.75</v>
      </c>
      <c r="F811" s="1" t="s">
        <v>329</v>
      </c>
      <c r="G811" s="6">
        <v>45859</v>
      </c>
      <c r="H811" s="1">
        <v>24642.400000000001</v>
      </c>
      <c r="I811" s="1">
        <v>34642.400000000001</v>
      </c>
      <c r="J811" s="1">
        <v>5862.9999999999991</v>
      </c>
      <c r="K811" s="1">
        <v>4137.0000000000009</v>
      </c>
      <c r="L811" s="1">
        <v>30505.4</v>
      </c>
      <c r="M811" s="1">
        <v>88</v>
      </c>
      <c r="N811" s="1">
        <v>74.610410447761154</v>
      </c>
      <c r="O811" s="1">
        <v>62.093808630394022</v>
      </c>
      <c r="P811" s="7">
        <v>45947</v>
      </c>
      <c r="Q811" s="1">
        <v>10000</v>
      </c>
      <c r="R811" s="7">
        <v>46277.152915659717</v>
      </c>
      <c r="S811" s="7">
        <v>46277</v>
      </c>
      <c r="T811" s="7" t="str">
        <f t="shared" si="0"/>
        <v>septiembre</v>
      </c>
      <c r="X811" s="1" t="s">
        <v>363</v>
      </c>
      <c r="Y811" s="1" t="s">
        <v>364</v>
      </c>
      <c r="Z811" s="1">
        <v>1</v>
      </c>
      <c r="AA811" s="3">
        <v>12001.14</v>
      </c>
      <c r="AB811" s="3">
        <v>12001.14</v>
      </c>
      <c r="AC811" s="1" t="str">
        <f>VLOOKUP(A811,[1]Detalle!$D$2:$CW$484,98,FALSE)</f>
        <v>SUC_ROS - Sucursal Rosario</v>
      </c>
    </row>
    <row r="812" spans="1:29" ht="14.25" customHeight="1" x14ac:dyDescent="0.3">
      <c r="A812" s="1" t="s">
        <v>47</v>
      </c>
      <c r="B812" s="1" t="s">
        <v>362</v>
      </c>
      <c r="C812" s="1" t="s">
        <v>355</v>
      </c>
      <c r="D812" s="1" t="s">
        <v>355</v>
      </c>
      <c r="E812" s="1">
        <v>0.75</v>
      </c>
      <c r="F812" s="1" t="s">
        <v>329</v>
      </c>
      <c r="G812" s="1" t="s">
        <v>337</v>
      </c>
      <c r="N812" s="1">
        <v>75.146865671641763</v>
      </c>
      <c r="P812" s="7">
        <v>45947</v>
      </c>
      <c r="Q812" s="1">
        <v>10000</v>
      </c>
      <c r="R812" s="7">
        <v>46213.145498171303</v>
      </c>
      <c r="S812" s="7">
        <v>46213</v>
      </c>
      <c r="T812" s="7" t="str">
        <f t="shared" si="0"/>
        <v>julio</v>
      </c>
      <c r="X812" s="1" t="s">
        <v>363</v>
      </c>
      <c r="Y812" s="1" t="s">
        <v>364</v>
      </c>
      <c r="Z812" s="1">
        <v>1</v>
      </c>
      <c r="AA812" s="3">
        <v>12001.14</v>
      </c>
      <c r="AB812" s="3">
        <v>12001.14</v>
      </c>
      <c r="AC812" s="1" t="str">
        <f>VLOOKUP(A812,[1]Detalle!$D$2:$CW$484,98,FALSE)</f>
        <v>SUC_MEN - Sucursal Mendoza</v>
      </c>
    </row>
    <row r="813" spans="1:29" ht="14.25" customHeight="1" x14ac:dyDescent="0.3">
      <c r="A813" s="1" t="s">
        <v>49</v>
      </c>
      <c r="B813" s="1" t="s">
        <v>362</v>
      </c>
      <c r="C813" s="1" t="s">
        <v>355</v>
      </c>
      <c r="D813" s="1" t="s">
        <v>355</v>
      </c>
      <c r="E813" s="1">
        <v>0.75</v>
      </c>
      <c r="F813" s="1" t="s">
        <v>329</v>
      </c>
      <c r="G813" s="6">
        <v>45845</v>
      </c>
      <c r="H813" s="1">
        <v>81918.100000000006</v>
      </c>
      <c r="I813" s="1">
        <v>91918.1</v>
      </c>
      <c r="J813" s="1">
        <v>7752.4</v>
      </c>
      <c r="K813" s="1">
        <v>2247.6</v>
      </c>
      <c r="L813" s="1">
        <v>89670.5</v>
      </c>
      <c r="M813" s="1">
        <v>102</v>
      </c>
      <c r="N813" s="1">
        <v>82.189312977099249</v>
      </c>
      <c r="O813" s="1">
        <v>29.572158299365359</v>
      </c>
      <c r="P813" s="7">
        <v>45947</v>
      </c>
      <c r="Q813" s="1">
        <v>10000</v>
      </c>
      <c r="R813" s="7">
        <v>46219.912798043981</v>
      </c>
      <c r="S813" s="7">
        <v>46219</v>
      </c>
      <c r="T813" s="7" t="str">
        <f t="shared" si="0"/>
        <v>julio</v>
      </c>
      <c r="X813" s="1" t="s">
        <v>363</v>
      </c>
      <c r="Y813" s="1" t="s">
        <v>364</v>
      </c>
      <c r="Z813" s="1">
        <v>1</v>
      </c>
      <c r="AA813" s="3">
        <v>12001.14</v>
      </c>
      <c r="AB813" s="3">
        <v>12001.14</v>
      </c>
      <c r="AC813" s="1" t="str">
        <f>VLOOKUP(A813,[1]Detalle!$D$2:$CW$484,98,FALSE)</f>
        <v>SUC_CTC - Sucursal Buenos Aires</v>
      </c>
    </row>
    <row r="814" spans="1:29" ht="14.25" customHeight="1" x14ac:dyDescent="0.3">
      <c r="A814" s="1" t="s">
        <v>37</v>
      </c>
      <c r="B814" s="1" t="s">
        <v>362</v>
      </c>
      <c r="C814" s="1" t="s">
        <v>358</v>
      </c>
      <c r="D814" s="1" t="s">
        <v>358</v>
      </c>
      <c r="E814" s="1">
        <v>0.5</v>
      </c>
      <c r="F814" s="1" t="s">
        <v>359</v>
      </c>
      <c r="G814" s="6">
        <v>45859</v>
      </c>
      <c r="H814" s="1">
        <v>24642.400000000001</v>
      </c>
      <c r="I814" s="1">
        <v>34642.400000000001</v>
      </c>
      <c r="J814" s="1">
        <v>5862.9999999999991</v>
      </c>
      <c r="K814" s="1">
        <v>4137.0000000000009</v>
      </c>
      <c r="L814" s="1">
        <v>30505.4</v>
      </c>
      <c r="M814" s="1">
        <v>88</v>
      </c>
      <c r="N814" s="1">
        <v>74.610410447761154</v>
      </c>
      <c r="O814" s="1">
        <v>62.093808630394022</v>
      </c>
      <c r="P814" s="7">
        <v>45947</v>
      </c>
      <c r="Q814" s="1">
        <v>10000</v>
      </c>
      <c r="R814" s="7">
        <v>46277.152915659717</v>
      </c>
      <c r="S814" s="7">
        <v>46277</v>
      </c>
      <c r="T814" s="7" t="str">
        <f t="shared" si="0"/>
        <v>septiembre</v>
      </c>
      <c r="X814" s="1" t="s">
        <v>376</v>
      </c>
      <c r="Y814" s="1" t="s">
        <v>377</v>
      </c>
      <c r="Z814" s="1">
        <v>1</v>
      </c>
      <c r="AA814" s="3">
        <v>77979.94</v>
      </c>
      <c r="AB814" s="3">
        <v>77979.94</v>
      </c>
      <c r="AC814" s="1" t="str">
        <f>VLOOKUP(A814,[1]Detalle!$D$2:$CW$484,98,FALSE)</f>
        <v>SUC_ROS - Sucursal Rosario</v>
      </c>
    </row>
    <row r="815" spans="1:29" ht="14.25" customHeight="1" x14ac:dyDescent="0.3">
      <c r="A815" s="1" t="s">
        <v>39</v>
      </c>
      <c r="B815" s="1" t="s">
        <v>362</v>
      </c>
      <c r="C815" s="1" t="s">
        <v>355</v>
      </c>
      <c r="D815" s="1" t="s">
        <v>355</v>
      </c>
      <c r="E815" s="1">
        <v>0.75</v>
      </c>
      <c r="F815" s="1" t="s">
        <v>329</v>
      </c>
      <c r="G815" s="6">
        <v>45832</v>
      </c>
      <c r="H815" s="1">
        <v>137406</v>
      </c>
      <c r="I815" s="1">
        <v>147406</v>
      </c>
      <c r="J815" s="1">
        <v>8671.7000000000007</v>
      </c>
      <c r="K815" s="1">
        <v>1328.299999999999</v>
      </c>
      <c r="L815" s="1">
        <v>146077.70000000001</v>
      </c>
      <c r="M815" s="1">
        <v>115</v>
      </c>
      <c r="N815" s="1">
        <v>93.793905109489017</v>
      </c>
      <c r="O815" s="1">
        <v>17.615288813035491</v>
      </c>
      <c r="P815" s="7">
        <v>45947</v>
      </c>
      <c r="Q815" s="1">
        <v>10000</v>
      </c>
      <c r="R815" s="7">
        <v>46177.848760393521</v>
      </c>
      <c r="S815" s="7">
        <v>46177</v>
      </c>
      <c r="T815" s="7" t="str">
        <f t="shared" si="0"/>
        <v>junio</v>
      </c>
      <c r="X815" s="1" t="s">
        <v>363</v>
      </c>
      <c r="Y815" s="1" t="s">
        <v>364</v>
      </c>
      <c r="Z815" s="1">
        <v>1</v>
      </c>
      <c r="AA815" s="3">
        <v>12001.14</v>
      </c>
      <c r="AB815" s="3">
        <v>12001.14</v>
      </c>
      <c r="AC815" s="1" t="str">
        <f>VLOOKUP(A815,[1]Detalle!$D$2:$CW$484,98,FALSE)</f>
        <v>SUC_MEN - Sucursal Mendoza</v>
      </c>
    </row>
    <row r="816" spans="1:29" ht="14.25" customHeight="1" x14ac:dyDescent="0.3">
      <c r="A816" s="1" t="s">
        <v>47</v>
      </c>
      <c r="B816" s="1" t="s">
        <v>362</v>
      </c>
      <c r="C816" s="1" t="s">
        <v>358</v>
      </c>
      <c r="D816" s="1" t="s">
        <v>358</v>
      </c>
      <c r="E816" s="1">
        <v>0.5</v>
      </c>
      <c r="F816" s="1" t="s">
        <v>359</v>
      </c>
      <c r="G816" s="1" t="s">
        <v>337</v>
      </c>
      <c r="N816" s="1">
        <v>75.146865671641763</v>
      </c>
      <c r="P816" s="7">
        <v>45947</v>
      </c>
      <c r="Q816" s="1">
        <v>10000</v>
      </c>
      <c r="R816" s="7">
        <v>46213.145498171303</v>
      </c>
      <c r="S816" s="7">
        <v>46213</v>
      </c>
      <c r="T816" s="7" t="str">
        <f t="shared" si="0"/>
        <v>julio</v>
      </c>
      <c r="X816" s="1" t="s">
        <v>376</v>
      </c>
      <c r="Y816" s="1" t="s">
        <v>377</v>
      </c>
      <c r="Z816" s="1">
        <v>1</v>
      </c>
      <c r="AA816" s="3">
        <v>77979.94</v>
      </c>
      <c r="AB816" s="3">
        <v>77979.94</v>
      </c>
      <c r="AC816" s="1" t="str">
        <f>VLOOKUP(A816,[1]Detalle!$D$2:$CW$484,98,FALSE)</f>
        <v>SUC_MEN - Sucursal Mendoza</v>
      </c>
    </row>
    <row r="817" spans="1:29" ht="14.25" customHeight="1" x14ac:dyDescent="0.3">
      <c r="A817" s="1" t="s">
        <v>49</v>
      </c>
      <c r="B817" s="1" t="s">
        <v>362</v>
      </c>
      <c r="C817" s="1" t="s">
        <v>358</v>
      </c>
      <c r="D817" s="1" t="s">
        <v>358</v>
      </c>
      <c r="E817" s="1">
        <v>0.5</v>
      </c>
      <c r="F817" s="1" t="s">
        <v>359</v>
      </c>
      <c r="G817" s="6">
        <v>45845</v>
      </c>
      <c r="H817" s="1">
        <v>81918.100000000006</v>
      </c>
      <c r="I817" s="1">
        <v>91918.1</v>
      </c>
      <c r="J817" s="1">
        <v>7752.4</v>
      </c>
      <c r="K817" s="1">
        <v>2247.6</v>
      </c>
      <c r="L817" s="1">
        <v>89670.5</v>
      </c>
      <c r="M817" s="1">
        <v>102</v>
      </c>
      <c r="N817" s="1">
        <v>82.189312977099249</v>
      </c>
      <c r="O817" s="1">
        <v>29.572158299365359</v>
      </c>
      <c r="P817" s="7">
        <v>45947</v>
      </c>
      <c r="Q817" s="1">
        <v>10000</v>
      </c>
      <c r="R817" s="7">
        <v>46219.912798043981</v>
      </c>
      <c r="S817" s="7">
        <v>46219</v>
      </c>
      <c r="T817" s="7" t="str">
        <f t="shared" si="0"/>
        <v>julio</v>
      </c>
      <c r="X817" s="1" t="s">
        <v>376</v>
      </c>
      <c r="Y817" s="1" t="s">
        <v>377</v>
      </c>
      <c r="Z817" s="1">
        <v>1</v>
      </c>
      <c r="AA817" s="3">
        <v>77979.94</v>
      </c>
      <c r="AB817" s="3">
        <v>77979.94</v>
      </c>
      <c r="AC817" s="1" t="str">
        <f>VLOOKUP(A817,[1]Detalle!$D$2:$CW$484,98,FALSE)</f>
        <v>SUC_CTC - Sucursal Buenos Aires</v>
      </c>
    </row>
    <row r="818" spans="1:29" ht="14.25" customHeight="1" x14ac:dyDescent="0.3">
      <c r="A818" s="1" t="s">
        <v>39</v>
      </c>
      <c r="B818" s="1" t="s">
        <v>362</v>
      </c>
      <c r="C818" s="1" t="s">
        <v>358</v>
      </c>
      <c r="D818" s="1" t="s">
        <v>358</v>
      </c>
      <c r="E818" s="1">
        <v>0.5</v>
      </c>
      <c r="F818" s="1" t="s">
        <v>359</v>
      </c>
      <c r="G818" s="6">
        <v>45832</v>
      </c>
      <c r="H818" s="1">
        <v>137406</v>
      </c>
      <c r="I818" s="1">
        <v>147406</v>
      </c>
      <c r="J818" s="1">
        <v>8671.7000000000007</v>
      </c>
      <c r="K818" s="1">
        <v>1328.299999999999</v>
      </c>
      <c r="L818" s="1">
        <v>146077.70000000001</v>
      </c>
      <c r="M818" s="1">
        <v>115</v>
      </c>
      <c r="N818" s="1">
        <v>93.793905109489017</v>
      </c>
      <c r="O818" s="1">
        <v>17.615288813035491</v>
      </c>
      <c r="P818" s="7">
        <v>45947</v>
      </c>
      <c r="Q818" s="1">
        <v>10000</v>
      </c>
      <c r="R818" s="7">
        <v>46177.848760393521</v>
      </c>
      <c r="S818" s="7">
        <v>46177</v>
      </c>
      <c r="T818" s="7" t="str">
        <f t="shared" si="0"/>
        <v>junio</v>
      </c>
      <c r="X818" s="1" t="s">
        <v>376</v>
      </c>
      <c r="Y818" s="1" t="s">
        <v>377</v>
      </c>
      <c r="Z818" s="1">
        <v>1</v>
      </c>
      <c r="AA818" s="3">
        <v>77979.94</v>
      </c>
      <c r="AB818" s="3">
        <v>77979.94</v>
      </c>
      <c r="AC818" s="1" t="str">
        <f>VLOOKUP(A818,[1]Detalle!$D$2:$CW$484,98,FALSE)</f>
        <v>SUC_MEN - Sucursal Mendoza</v>
      </c>
    </row>
    <row r="819" spans="1:29" ht="14.25" customHeight="1" x14ac:dyDescent="0.3">
      <c r="A819" s="1" t="s">
        <v>39</v>
      </c>
      <c r="B819" s="1" t="s">
        <v>362</v>
      </c>
      <c r="C819" s="1" t="s">
        <v>371</v>
      </c>
      <c r="D819" s="1" t="s">
        <v>371</v>
      </c>
      <c r="E819" s="1">
        <v>0.25</v>
      </c>
      <c r="F819" s="1" t="s">
        <v>372</v>
      </c>
      <c r="G819" s="6">
        <v>45733</v>
      </c>
      <c r="H819" s="1">
        <v>129724</v>
      </c>
      <c r="I819" s="1">
        <v>139724</v>
      </c>
      <c r="J819" s="1">
        <v>18618.900000000001</v>
      </c>
      <c r="K819" s="1">
        <v>-8618.9000000000015</v>
      </c>
      <c r="L819" s="1">
        <v>148342.9</v>
      </c>
      <c r="M819" s="1">
        <v>214</v>
      </c>
      <c r="N819" s="1">
        <v>93.793905109489017</v>
      </c>
      <c r="O819" s="1">
        <v>-99.063027353925307</v>
      </c>
      <c r="P819" s="7">
        <v>45947</v>
      </c>
      <c r="Q819" s="1">
        <v>10000</v>
      </c>
      <c r="R819" s="7">
        <v>46160.233471585649</v>
      </c>
      <c r="S819" s="7">
        <v>46160</v>
      </c>
      <c r="T819" s="7" t="str">
        <f t="shared" si="0"/>
        <v>mayo</v>
      </c>
      <c r="X819" s="1" t="s">
        <v>380</v>
      </c>
      <c r="Y819" s="1" t="s">
        <v>381</v>
      </c>
      <c r="Z819" s="1">
        <v>1</v>
      </c>
      <c r="AA819" s="3">
        <v>18045.55</v>
      </c>
      <c r="AB819" s="3">
        <v>18045.55</v>
      </c>
      <c r="AC819" s="1" t="str">
        <f>VLOOKUP(A819,[1]Detalle!$D$2:$CW$484,98,FALSE)</f>
        <v>SUC_MEN - Sucursal Mendoza</v>
      </c>
    </row>
    <row r="820" spans="1:29" ht="14.25" customHeight="1" x14ac:dyDescent="0.3">
      <c r="A820" s="1" t="s">
        <v>57</v>
      </c>
      <c r="B820" s="1" t="s">
        <v>386</v>
      </c>
      <c r="C820" s="1" t="s">
        <v>358</v>
      </c>
      <c r="D820" s="1" t="s">
        <v>358</v>
      </c>
      <c r="E820" s="1">
        <v>0.5</v>
      </c>
      <c r="F820" s="1" t="s">
        <v>359</v>
      </c>
      <c r="G820" s="6">
        <v>45664</v>
      </c>
      <c r="H820" s="1">
        <v>15788</v>
      </c>
      <c r="I820" s="1">
        <v>25788</v>
      </c>
      <c r="J820" s="1">
        <v>17010.12</v>
      </c>
      <c r="K820" s="1">
        <v>-7010.1199999999953</v>
      </c>
      <c r="L820" s="1">
        <v>32798.120000000003</v>
      </c>
      <c r="M820" s="1">
        <v>283</v>
      </c>
      <c r="N820" s="1">
        <v>63.689854014598552</v>
      </c>
      <c r="O820" s="1">
        <v>-116.6284517687118</v>
      </c>
      <c r="P820" s="7">
        <v>45947</v>
      </c>
      <c r="Q820" s="1">
        <v>10000</v>
      </c>
      <c r="R820" s="7">
        <v>46261.021759189818</v>
      </c>
      <c r="S820" s="7">
        <v>46261</v>
      </c>
      <c r="T820" s="7" t="str">
        <f t="shared" si="0"/>
        <v>agosto</v>
      </c>
      <c r="X820" s="1" t="s">
        <v>360</v>
      </c>
      <c r="Y820" s="1" t="s">
        <v>361</v>
      </c>
      <c r="Z820" s="1">
        <v>1</v>
      </c>
      <c r="AA820" s="3">
        <v>20353.939999999999</v>
      </c>
      <c r="AB820" s="3">
        <v>20353.939999999999</v>
      </c>
      <c r="AC820" s="1" t="str">
        <f>VLOOKUP(A820,[1]Detalle!$D$2:$CW$484,98,FALSE)</f>
        <v>LlaveLay</v>
      </c>
    </row>
    <row r="821" spans="1:29" ht="14.25" customHeight="1" x14ac:dyDescent="0.3">
      <c r="A821" s="1" t="s">
        <v>37</v>
      </c>
      <c r="B821" s="1" t="s">
        <v>362</v>
      </c>
      <c r="C821" s="1" t="s">
        <v>371</v>
      </c>
      <c r="D821" s="1" t="s">
        <v>371</v>
      </c>
      <c r="E821" s="1">
        <v>0.25</v>
      </c>
      <c r="F821" s="1" t="s">
        <v>372</v>
      </c>
      <c r="G821" s="1" t="s">
        <v>337</v>
      </c>
      <c r="H821" s="1">
        <v>24642.400000000001</v>
      </c>
      <c r="I821" s="1">
        <v>34642.400000000001</v>
      </c>
      <c r="J821" s="1">
        <v>5862.9999999999991</v>
      </c>
      <c r="K821" s="1">
        <v>4137.0000000000009</v>
      </c>
      <c r="L821" s="1">
        <v>30505.4</v>
      </c>
      <c r="M821" s="1">
        <v>72</v>
      </c>
      <c r="N821" s="1">
        <v>74.610410447761154</v>
      </c>
      <c r="O821" s="1">
        <v>50.804025243049651</v>
      </c>
      <c r="P821" s="7">
        <v>45947</v>
      </c>
      <c r="Q821" s="1">
        <v>10000</v>
      </c>
      <c r="R821" s="7">
        <v>46265.863132280087</v>
      </c>
      <c r="S821" s="7">
        <v>46265</v>
      </c>
      <c r="T821" s="7" t="str">
        <f t="shared" si="0"/>
        <v>agosto</v>
      </c>
      <c r="X821" s="1" t="s">
        <v>380</v>
      </c>
      <c r="Y821" s="1" t="s">
        <v>381</v>
      </c>
      <c r="Z821" s="1">
        <v>1</v>
      </c>
      <c r="AA821" s="3">
        <v>18045.55</v>
      </c>
      <c r="AB821" s="3">
        <v>18045.55</v>
      </c>
      <c r="AC821" s="1" t="str">
        <f>VLOOKUP(A821,[1]Detalle!$D$2:$CW$484,98,FALSE)</f>
        <v>SUC_ROS - Sucursal Rosario</v>
      </c>
    </row>
    <row r="822" spans="1:29" ht="14.25" customHeight="1" x14ac:dyDescent="0.3">
      <c r="A822" s="1" t="s">
        <v>47</v>
      </c>
      <c r="B822" s="1" t="s">
        <v>362</v>
      </c>
      <c r="C822" s="1" t="s">
        <v>371</v>
      </c>
      <c r="D822" s="1" t="s">
        <v>371</v>
      </c>
      <c r="E822" s="1">
        <v>0.25</v>
      </c>
      <c r="F822" s="1" t="s">
        <v>372</v>
      </c>
      <c r="G822" s="1" t="s">
        <v>337</v>
      </c>
      <c r="N822" s="1">
        <v>75.146865671641763</v>
      </c>
      <c r="P822" s="7">
        <v>45947</v>
      </c>
      <c r="Q822" s="1">
        <v>10000</v>
      </c>
      <c r="R822" s="7">
        <v>46213.145498171303</v>
      </c>
      <c r="S822" s="7">
        <v>46213</v>
      </c>
      <c r="T822" s="7" t="str">
        <f t="shared" si="0"/>
        <v>julio</v>
      </c>
      <c r="X822" s="1" t="s">
        <v>380</v>
      </c>
      <c r="Y822" s="1" t="s">
        <v>381</v>
      </c>
      <c r="Z822" s="1">
        <v>1</v>
      </c>
      <c r="AA822" s="3">
        <v>18045.55</v>
      </c>
      <c r="AB822" s="3">
        <v>18045.55</v>
      </c>
      <c r="AC822" s="1" t="str">
        <f>VLOOKUP(A822,[1]Detalle!$D$2:$CW$484,98,FALSE)</f>
        <v>SUC_MEN - Sucursal Mendoza</v>
      </c>
    </row>
    <row r="823" spans="1:29" ht="14.25" customHeight="1" x14ac:dyDescent="0.3">
      <c r="A823" s="1" t="s">
        <v>49</v>
      </c>
      <c r="B823" s="1" t="s">
        <v>362</v>
      </c>
      <c r="C823" s="1" t="s">
        <v>371</v>
      </c>
      <c r="D823" s="1" t="s">
        <v>371</v>
      </c>
      <c r="E823" s="1">
        <v>0.25</v>
      </c>
      <c r="F823" s="1" t="s">
        <v>372</v>
      </c>
      <c r="G823" s="6">
        <v>45845</v>
      </c>
      <c r="H823" s="1">
        <v>81918.100000000006</v>
      </c>
      <c r="I823" s="1">
        <v>91918.1</v>
      </c>
      <c r="J823" s="1">
        <v>7752.4</v>
      </c>
      <c r="K823" s="1">
        <v>2247.6</v>
      </c>
      <c r="L823" s="1">
        <v>89670.5</v>
      </c>
      <c r="M823" s="1">
        <v>102</v>
      </c>
      <c r="N823" s="1">
        <v>82.189312977099249</v>
      </c>
      <c r="O823" s="1">
        <v>29.572158299365359</v>
      </c>
      <c r="P823" s="7">
        <v>45947</v>
      </c>
      <c r="Q823" s="1">
        <v>10000</v>
      </c>
      <c r="R823" s="7">
        <v>46219.912798043981</v>
      </c>
      <c r="S823" s="7">
        <v>46219</v>
      </c>
      <c r="T823" s="7" t="str">
        <f t="shared" si="0"/>
        <v>julio</v>
      </c>
      <c r="X823" s="1" t="s">
        <v>380</v>
      </c>
      <c r="Y823" s="1" t="s">
        <v>381</v>
      </c>
      <c r="Z823" s="1">
        <v>1</v>
      </c>
      <c r="AA823" s="3">
        <v>18045.55</v>
      </c>
      <c r="AB823" s="3">
        <v>18045.55</v>
      </c>
      <c r="AC823" s="1" t="str">
        <f>VLOOKUP(A823,[1]Detalle!$D$2:$CW$484,98,FALSE)</f>
        <v>SUC_CTC - Sucursal Buenos Aires</v>
      </c>
    </row>
    <row r="824" spans="1:29" ht="14.25" customHeight="1" x14ac:dyDescent="0.3">
      <c r="A824" s="1" t="s">
        <v>161</v>
      </c>
      <c r="B824" s="1">
        <v>1624</v>
      </c>
      <c r="C824" s="1" t="s">
        <v>396</v>
      </c>
      <c r="D824" s="1" t="s">
        <v>328</v>
      </c>
      <c r="E824" s="1">
        <v>0.75</v>
      </c>
      <c r="F824" s="1" t="s">
        <v>329</v>
      </c>
      <c r="G824" s="6">
        <v>45820</v>
      </c>
      <c r="H824" s="1">
        <v>657691</v>
      </c>
      <c r="I824" s="1">
        <v>677691</v>
      </c>
      <c r="J824" s="1">
        <v>12543.4</v>
      </c>
      <c r="K824" s="1">
        <v>7456.6000000000022</v>
      </c>
      <c r="L824" s="1">
        <v>670234.4</v>
      </c>
      <c r="M824" s="1">
        <v>127</v>
      </c>
      <c r="N824" s="1">
        <v>112.4813870967742</v>
      </c>
      <c r="O824" s="1">
        <v>75.496930656759758</v>
      </c>
      <c r="P824" s="7">
        <v>45947</v>
      </c>
      <c r="Q824" s="1">
        <v>20000</v>
      </c>
      <c r="R824" s="7">
        <v>46378.111321909717</v>
      </c>
      <c r="S824" s="7">
        <v>46378</v>
      </c>
      <c r="T824" s="7" t="str">
        <f t="shared" si="0"/>
        <v>diciembre</v>
      </c>
      <c r="X824" s="1" t="s">
        <v>331</v>
      </c>
      <c r="Y824" s="1" t="s">
        <v>332</v>
      </c>
      <c r="Z824" s="1">
        <v>16</v>
      </c>
      <c r="AA824" s="3">
        <v>3389.9</v>
      </c>
      <c r="AB824" s="3">
        <v>54238.400000000001</v>
      </c>
      <c r="AC824" s="1" t="str">
        <f>VLOOKUP(A824,[1]Detalle!$D$2:$CW$484,98,FALSE)</f>
        <v>Unilever - Unilever de Arg. S.A.</v>
      </c>
    </row>
    <row r="825" spans="1:29" ht="14.25" customHeight="1" x14ac:dyDescent="0.3">
      <c r="A825" s="1" t="s">
        <v>161</v>
      </c>
      <c r="B825" s="1">
        <v>1624</v>
      </c>
      <c r="C825" s="1" t="s">
        <v>396</v>
      </c>
      <c r="D825" s="1" t="s">
        <v>328</v>
      </c>
      <c r="E825" s="1">
        <v>0.75</v>
      </c>
      <c r="F825" s="1" t="s">
        <v>329</v>
      </c>
      <c r="G825" s="6">
        <v>45820</v>
      </c>
      <c r="H825" s="1">
        <v>657691</v>
      </c>
      <c r="I825" s="1">
        <v>677691</v>
      </c>
      <c r="J825" s="1">
        <v>12543.4</v>
      </c>
      <c r="K825" s="1">
        <v>7456.6000000000022</v>
      </c>
      <c r="L825" s="1">
        <v>670234.4</v>
      </c>
      <c r="M825" s="1">
        <v>127</v>
      </c>
      <c r="N825" s="1">
        <v>112.4813870967742</v>
      </c>
      <c r="O825" s="1">
        <v>75.496930656759758</v>
      </c>
      <c r="P825" s="7">
        <v>45947</v>
      </c>
      <c r="Q825" s="1">
        <v>20000</v>
      </c>
      <c r="R825" s="7">
        <v>46378.111321909717</v>
      </c>
      <c r="S825" s="7">
        <v>46378</v>
      </c>
      <c r="T825" s="7" t="str">
        <f t="shared" si="0"/>
        <v>diciembre</v>
      </c>
      <c r="X825" s="1" t="s">
        <v>397</v>
      </c>
      <c r="Y825" s="1" t="s">
        <v>398</v>
      </c>
      <c r="Z825" s="1">
        <v>1</v>
      </c>
      <c r="AA825" s="3">
        <v>9737.2800000000007</v>
      </c>
      <c r="AB825" s="3">
        <v>9737.2800000000007</v>
      </c>
      <c r="AC825" s="1" t="str">
        <f>VLOOKUP(A825,[1]Detalle!$D$2:$CW$484,98,FALSE)</f>
        <v>Unilever - Unilever de Arg. S.A.</v>
      </c>
    </row>
    <row r="826" spans="1:29" ht="14.25" customHeight="1" x14ac:dyDescent="0.3">
      <c r="A826" s="1" t="s">
        <v>149</v>
      </c>
      <c r="B826" s="1">
        <v>1624</v>
      </c>
      <c r="C826" s="1" t="s">
        <v>396</v>
      </c>
      <c r="D826" s="1" t="s">
        <v>328</v>
      </c>
      <c r="E826" s="1">
        <v>0.75</v>
      </c>
      <c r="F826" s="1" t="s">
        <v>329</v>
      </c>
      <c r="G826" s="6">
        <v>45734</v>
      </c>
      <c r="H826" s="1">
        <v>662460</v>
      </c>
      <c r="I826" s="1">
        <v>682460</v>
      </c>
      <c r="J826" s="1">
        <v>20447.600000000009</v>
      </c>
      <c r="K826" s="1">
        <v>-447.60000000000582</v>
      </c>
      <c r="L826" s="1">
        <v>682907.6</v>
      </c>
      <c r="M826" s="1">
        <v>213</v>
      </c>
      <c r="N826" s="1">
        <v>113.6646794871796</v>
      </c>
      <c r="O826" s="1">
        <v>-4.6625912087482746</v>
      </c>
      <c r="P826" s="7">
        <v>45947</v>
      </c>
      <c r="Q826" s="1">
        <v>20000</v>
      </c>
      <c r="R826" s="7">
        <v>46298.912310671287</v>
      </c>
      <c r="S826" s="7">
        <v>46298</v>
      </c>
      <c r="T826" s="7" t="str">
        <f t="shared" si="0"/>
        <v>octubre</v>
      </c>
      <c r="X826" s="1" t="s">
        <v>331</v>
      </c>
      <c r="Y826" s="1" t="s">
        <v>332</v>
      </c>
      <c r="Z826" s="1">
        <v>16</v>
      </c>
      <c r="AA826" s="3">
        <v>3389.9</v>
      </c>
      <c r="AB826" s="3">
        <v>54238.400000000001</v>
      </c>
      <c r="AC826" s="1" t="str">
        <f>VLOOKUP(A826,[1]Detalle!$D$2:$CW$484,98,FALSE)</f>
        <v>Papelera - Papelera del Plata S.A.</v>
      </c>
    </row>
    <row r="827" spans="1:29" ht="14.25" customHeight="1" x14ac:dyDescent="0.3">
      <c r="A827" s="1" t="s">
        <v>149</v>
      </c>
      <c r="B827" s="1">
        <v>1624</v>
      </c>
      <c r="C827" s="1" t="s">
        <v>396</v>
      </c>
      <c r="D827" s="1" t="s">
        <v>328</v>
      </c>
      <c r="E827" s="1">
        <v>0.75</v>
      </c>
      <c r="F827" s="1" t="s">
        <v>329</v>
      </c>
      <c r="G827" s="6">
        <v>45734</v>
      </c>
      <c r="H827" s="1">
        <v>662460</v>
      </c>
      <c r="I827" s="1">
        <v>682460</v>
      </c>
      <c r="J827" s="1">
        <v>20447.600000000009</v>
      </c>
      <c r="K827" s="1">
        <v>-447.60000000000582</v>
      </c>
      <c r="L827" s="1">
        <v>682907.6</v>
      </c>
      <c r="M827" s="1">
        <v>213</v>
      </c>
      <c r="N827" s="1">
        <v>113.6646794871796</v>
      </c>
      <c r="O827" s="1">
        <v>-4.6625912087482746</v>
      </c>
      <c r="P827" s="7">
        <v>45947</v>
      </c>
      <c r="Q827" s="1">
        <v>20000</v>
      </c>
      <c r="R827" s="7">
        <v>46298.912310671287</v>
      </c>
      <c r="S827" s="7">
        <v>46298</v>
      </c>
      <c r="T827" s="7" t="str">
        <f t="shared" si="0"/>
        <v>octubre</v>
      </c>
      <c r="X827" s="1" t="s">
        <v>397</v>
      </c>
      <c r="Y827" s="1" t="s">
        <v>398</v>
      </c>
      <c r="Z827" s="1">
        <v>1</v>
      </c>
      <c r="AA827" s="3">
        <v>9737.2800000000007</v>
      </c>
      <c r="AB827" s="3">
        <v>9737.2800000000007</v>
      </c>
      <c r="AC827" s="1" t="str">
        <f>VLOOKUP(A827,[1]Detalle!$D$2:$CW$484,98,FALSE)</f>
        <v>Papelera - Papelera del Plata S.A.</v>
      </c>
    </row>
    <row r="828" spans="1:29" ht="14.25" customHeight="1" x14ac:dyDescent="0.3">
      <c r="A828" s="1" t="s">
        <v>138</v>
      </c>
      <c r="B828" s="1">
        <v>1624</v>
      </c>
      <c r="C828" s="1" t="s">
        <v>396</v>
      </c>
      <c r="D828" s="1" t="s">
        <v>328</v>
      </c>
      <c r="E828" s="1">
        <v>0.75</v>
      </c>
      <c r="F828" s="1" t="s">
        <v>329</v>
      </c>
      <c r="G828" s="6">
        <v>45840</v>
      </c>
      <c r="H828" s="1">
        <v>40688</v>
      </c>
      <c r="I828" s="1">
        <v>60688</v>
      </c>
      <c r="J828" s="1">
        <v>18559.899999999991</v>
      </c>
      <c r="K828" s="1">
        <v>1440.100000000006</v>
      </c>
      <c r="L828" s="1">
        <v>59247.899999999987</v>
      </c>
      <c r="M828" s="1">
        <v>107</v>
      </c>
      <c r="N828" s="1">
        <v>129.25862179487169</v>
      </c>
      <c r="O828" s="1">
        <v>8.3023453790160868</v>
      </c>
      <c r="P828" s="7">
        <v>45947</v>
      </c>
      <c r="Q828" s="1">
        <v>20000</v>
      </c>
      <c r="R828" s="7">
        <v>46264.759458912027</v>
      </c>
      <c r="S828" s="7">
        <v>46264</v>
      </c>
      <c r="T828" s="7" t="str">
        <f t="shared" si="0"/>
        <v>agosto</v>
      </c>
      <c r="X828" s="1" t="s">
        <v>331</v>
      </c>
      <c r="Y828" s="1" t="s">
        <v>332</v>
      </c>
      <c r="Z828" s="1">
        <v>16</v>
      </c>
      <c r="AA828" s="3">
        <v>3389.9</v>
      </c>
      <c r="AB828" s="3">
        <v>54238.400000000001</v>
      </c>
      <c r="AC828" s="1" t="str">
        <f>VLOOKUP(A828,[1]Detalle!$D$2:$CW$484,98,FALSE)</f>
        <v>SUC_MEN - Sucursal Mendoza</v>
      </c>
    </row>
    <row r="829" spans="1:29" ht="14.25" customHeight="1" x14ac:dyDescent="0.3">
      <c r="A829" s="1" t="s">
        <v>138</v>
      </c>
      <c r="B829" s="1">
        <v>1624</v>
      </c>
      <c r="C829" s="1" t="s">
        <v>396</v>
      </c>
      <c r="D829" s="1" t="s">
        <v>328</v>
      </c>
      <c r="E829" s="1">
        <v>0.75</v>
      </c>
      <c r="F829" s="1" t="s">
        <v>329</v>
      </c>
      <c r="G829" s="6">
        <v>45840</v>
      </c>
      <c r="H829" s="1">
        <v>40688</v>
      </c>
      <c r="I829" s="1">
        <v>60688</v>
      </c>
      <c r="J829" s="1">
        <v>18559.899999999991</v>
      </c>
      <c r="K829" s="1">
        <v>1440.100000000006</v>
      </c>
      <c r="L829" s="1">
        <v>59247.899999999987</v>
      </c>
      <c r="M829" s="1">
        <v>107</v>
      </c>
      <c r="N829" s="1">
        <v>129.25862179487169</v>
      </c>
      <c r="O829" s="1">
        <v>8.3023453790160868</v>
      </c>
      <c r="P829" s="7">
        <v>45947</v>
      </c>
      <c r="Q829" s="1">
        <v>20000</v>
      </c>
      <c r="R829" s="7">
        <v>46264.759458912027</v>
      </c>
      <c r="S829" s="7">
        <v>46264</v>
      </c>
      <c r="T829" s="7" t="str">
        <f t="shared" si="0"/>
        <v>agosto</v>
      </c>
      <c r="X829" s="1" t="s">
        <v>397</v>
      </c>
      <c r="Y829" s="1" t="s">
        <v>398</v>
      </c>
      <c r="Z829" s="1">
        <v>1</v>
      </c>
      <c r="AA829" s="3">
        <v>9737.2800000000007</v>
      </c>
      <c r="AB829" s="3">
        <v>9737.2800000000007</v>
      </c>
      <c r="AC829" s="1" t="str">
        <f>VLOOKUP(A829,[1]Detalle!$D$2:$CW$484,98,FALSE)</f>
        <v>SUC_MEN - Sucursal Mendoza</v>
      </c>
    </row>
    <row r="830" spans="1:29" ht="14.25" customHeight="1" x14ac:dyDescent="0.3">
      <c r="A830" s="1" t="s">
        <v>273</v>
      </c>
      <c r="B830" s="1" t="s">
        <v>349</v>
      </c>
      <c r="C830" s="1" t="s">
        <v>396</v>
      </c>
      <c r="D830" s="1" t="s">
        <v>328</v>
      </c>
      <c r="E830" s="1">
        <v>0.75</v>
      </c>
      <c r="F830" s="1" t="s">
        <v>329</v>
      </c>
      <c r="G830" s="1" t="s">
        <v>337</v>
      </c>
      <c r="N830" s="1">
        <v>169.51837638376381</v>
      </c>
      <c r="P830" s="7">
        <v>45947</v>
      </c>
      <c r="Q830" s="1">
        <v>20000</v>
      </c>
      <c r="R830" s="7">
        <v>46182.962618645834</v>
      </c>
      <c r="S830" s="7">
        <v>46182</v>
      </c>
      <c r="T830" s="7" t="str">
        <f t="shared" si="0"/>
        <v>junio</v>
      </c>
      <c r="X830" s="1" t="s">
        <v>331</v>
      </c>
      <c r="Y830" s="1" t="s">
        <v>332</v>
      </c>
      <c r="Z830" s="1">
        <v>16</v>
      </c>
      <c r="AA830" s="3">
        <v>3389.9</v>
      </c>
      <c r="AB830" s="3">
        <v>54238.400000000001</v>
      </c>
      <c r="AC830" s="1" t="str">
        <f>VLOOKUP(A830,[1]Detalle!$D$2:$CW$484,98,FALSE)</f>
        <v>CENCOMLD - Cencosud SA - Mendoza</v>
      </c>
    </row>
    <row r="831" spans="1:29" ht="14.25" customHeight="1" x14ac:dyDescent="0.3">
      <c r="A831" s="1" t="s">
        <v>273</v>
      </c>
      <c r="B831" s="1" t="s">
        <v>349</v>
      </c>
      <c r="C831" s="1" t="s">
        <v>396</v>
      </c>
      <c r="D831" s="1" t="s">
        <v>328</v>
      </c>
      <c r="E831" s="1">
        <v>0.75</v>
      </c>
      <c r="F831" s="1" t="s">
        <v>329</v>
      </c>
      <c r="G831" s="1" t="s">
        <v>337</v>
      </c>
      <c r="N831" s="1">
        <v>169.51837638376381</v>
      </c>
      <c r="P831" s="7">
        <v>45947</v>
      </c>
      <c r="Q831" s="1">
        <v>20000</v>
      </c>
      <c r="R831" s="7">
        <v>46182.962618645834</v>
      </c>
      <c r="S831" s="7">
        <v>46182</v>
      </c>
      <c r="T831" s="7" t="str">
        <f t="shared" si="0"/>
        <v>junio</v>
      </c>
      <c r="X831" s="1" t="s">
        <v>397</v>
      </c>
      <c r="Y831" s="1" t="s">
        <v>398</v>
      </c>
      <c r="Z831" s="1">
        <v>1</v>
      </c>
      <c r="AA831" s="3">
        <v>9737.2800000000007</v>
      </c>
      <c r="AB831" s="3">
        <v>9737.2800000000007</v>
      </c>
      <c r="AC831" s="1" t="str">
        <f>VLOOKUP(A831,[1]Detalle!$D$2:$CW$484,98,FALSE)</f>
        <v>CENCOMLD - Cencosud SA - Mendoza</v>
      </c>
    </row>
    <row r="832" spans="1:29" ht="14.25" customHeight="1" x14ac:dyDescent="0.3">
      <c r="A832" s="1" t="s">
        <v>111</v>
      </c>
      <c r="B832" s="1">
        <v>710</v>
      </c>
      <c r="C832" s="1" t="s">
        <v>415</v>
      </c>
      <c r="D832" s="1" t="s">
        <v>415</v>
      </c>
      <c r="E832" s="1">
        <v>0.25</v>
      </c>
      <c r="F832" s="1" t="s">
        <v>366</v>
      </c>
      <c r="G832" s="6">
        <v>45632</v>
      </c>
      <c r="H832" s="1">
        <v>16040</v>
      </c>
      <c r="I832" s="1">
        <v>36040</v>
      </c>
      <c r="J832" s="1">
        <v>34694.100000000013</v>
      </c>
      <c r="K832" s="1">
        <v>-14694.100000000009</v>
      </c>
      <c r="L832" s="1">
        <v>50734.100000000013</v>
      </c>
      <c r="M832" s="1">
        <v>315</v>
      </c>
      <c r="N832" s="1">
        <v>104.473717948718</v>
      </c>
      <c r="O832" s="1">
        <v>-133.41292899945529</v>
      </c>
      <c r="P832" s="7">
        <v>45947</v>
      </c>
      <c r="Q832" s="1">
        <v>20000</v>
      </c>
      <c r="R832" s="7">
        <v>46329.871412881941</v>
      </c>
      <c r="S832" s="7">
        <v>46329</v>
      </c>
      <c r="T832" s="7" t="str">
        <f t="shared" si="0"/>
        <v>noviembre</v>
      </c>
      <c r="X832" s="1" t="s">
        <v>416</v>
      </c>
      <c r="Y832" s="1" t="s">
        <v>417</v>
      </c>
      <c r="Z832" s="1">
        <v>1</v>
      </c>
      <c r="AA832" s="3">
        <v>37165.919999999998</v>
      </c>
      <c r="AB832" s="3">
        <v>37165.919999999998</v>
      </c>
      <c r="AC832" s="1" t="str">
        <f>VLOOKUP(A832,[1]Detalle!$D$2:$CW$484,98,FALSE)</f>
        <v>SUC_MEN - Sucursal Mendoza</v>
      </c>
    </row>
    <row r="833" spans="1:29" ht="14.25" customHeight="1" x14ac:dyDescent="0.3">
      <c r="A833" s="1" t="s">
        <v>209</v>
      </c>
      <c r="B833" s="1" t="s">
        <v>341</v>
      </c>
      <c r="C833" s="1" t="s">
        <v>415</v>
      </c>
      <c r="D833" s="1" t="s">
        <v>415</v>
      </c>
      <c r="E833" s="1">
        <v>0.25</v>
      </c>
      <c r="F833" s="1" t="s">
        <v>366</v>
      </c>
      <c r="G833" s="6">
        <v>45525</v>
      </c>
      <c r="H833" s="1">
        <v>880145</v>
      </c>
      <c r="I833" s="1">
        <v>900145</v>
      </c>
      <c r="J833" s="1">
        <v>79750.570000000065</v>
      </c>
      <c r="K833" s="1">
        <v>-59750.570000000072</v>
      </c>
      <c r="L833" s="1">
        <v>959895.57000000007</v>
      </c>
      <c r="M833" s="1">
        <v>422</v>
      </c>
      <c r="N833" s="1">
        <v>249.7515064102565</v>
      </c>
      <c r="O833" s="1">
        <v>-316.17003539912008</v>
      </c>
      <c r="P833" s="7">
        <v>45947</v>
      </c>
      <c r="Q833" s="1">
        <v>20000</v>
      </c>
      <c r="R833" s="7">
        <v>46107.159194131942</v>
      </c>
      <c r="S833" s="7">
        <v>46107</v>
      </c>
      <c r="T833" s="7" t="str">
        <f t="shared" si="0"/>
        <v>marzo</v>
      </c>
      <c r="X833" s="1" t="s">
        <v>416</v>
      </c>
      <c r="Y833" s="1" t="s">
        <v>417</v>
      </c>
      <c r="Z833" s="1">
        <v>1</v>
      </c>
      <c r="AA833" s="3">
        <v>37165.919999999998</v>
      </c>
      <c r="AB833" s="3">
        <v>37165.919999999998</v>
      </c>
      <c r="AC833" s="1" t="str">
        <f>VLOOKUP(A833,[1]Detalle!$D$2:$CW$484,98,FALSE)</f>
        <v>CENCO_MZ - Cencosud SA - Mendoza</v>
      </c>
    </row>
    <row r="834" spans="1:29" ht="14.25" customHeight="1" x14ac:dyDescent="0.3">
      <c r="A834" s="1" t="s">
        <v>171</v>
      </c>
      <c r="B834" s="1" t="s">
        <v>351</v>
      </c>
      <c r="C834" s="1" t="s">
        <v>415</v>
      </c>
      <c r="D834" s="1" t="s">
        <v>415</v>
      </c>
      <c r="E834" s="1">
        <v>0.25</v>
      </c>
      <c r="F834" s="1" t="s">
        <v>366</v>
      </c>
      <c r="G834" s="6">
        <v>45835</v>
      </c>
      <c r="H834" s="1">
        <v>34917.800000000003</v>
      </c>
      <c r="I834" s="1">
        <v>54917.8</v>
      </c>
      <c r="J834" s="1">
        <v>14084.2</v>
      </c>
      <c r="K834" s="1">
        <v>5915.7999999999975</v>
      </c>
      <c r="L834" s="1">
        <v>49002.000000000007</v>
      </c>
      <c r="M834" s="1">
        <v>112</v>
      </c>
      <c r="N834" s="1">
        <v>130.96596721311471</v>
      </c>
      <c r="O834" s="1">
        <v>47.04346714758379</v>
      </c>
      <c r="P834" s="7">
        <v>45947</v>
      </c>
      <c r="Q834" s="1">
        <v>20000</v>
      </c>
      <c r="R834" s="7">
        <v>46299.466325092602</v>
      </c>
      <c r="S834" s="7">
        <v>46299</v>
      </c>
      <c r="T834" s="7" t="str">
        <f t="shared" si="0"/>
        <v>octubre</v>
      </c>
      <c r="X834" s="1" t="s">
        <v>416</v>
      </c>
      <c r="Y834" s="1" t="s">
        <v>417</v>
      </c>
      <c r="Z834" s="1">
        <v>1</v>
      </c>
      <c r="AA834" s="3">
        <v>37165.919999999998</v>
      </c>
      <c r="AB834" s="3">
        <v>37165.919999999998</v>
      </c>
      <c r="AC834" s="1" t="str">
        <f>VLOOKUP(A834,[1]Detalle!$D$2:$CW$484,98,FALSE)</f>
        <v>CENCO_MZ - Cencosud SA - Mendoza</v>
      </c>
    </row>
    <row r="835" spans="1:29" ht="14.25" customHeight="1" x14ac:dyDescent="0.3">
      <c r="A835" s="1" t="s">
        <v>170</v>
      </c>
      <c r="B835" s="1" t="s">
        <v>351</v>
      </c>
      <c r="C835" s="1" t="s">
        <v>415</v>
      </c>
      <c r="D835" s="1" t="s">
        <v>415</v>
      </c>
      <c r="E835" s="1">
        <v>0.25</v>
      </c>
      <c r="F835" s="1" t="s">
        <v>366</v>
      </c>
      <c r="G835" s="6">
        <v>45726</v>
      </c>
      <c r="H835" s="1">
        <v>41546.1</v>
      </c>
      <c r="I835" s="1">
        <v>61546.1</v>
      </c>
      <c r="J835" s="1">
        <v>24274.80000000001</v>
      </c>
      <c r="K835" s="1">
        <v>-4274.8000000000102</v>
      </c>
      <c r="L835" s="1">
        <v>65820.900000000009</v>
      </c>
      <c r="M835" s="1">
        <v>221</v>
      </c>
      <c r="N835" s="1">
        <v>124.4065073529412</v>
      </c>
      <c r="O835" s="1">
        <v>-38.918170283586349</v>
      </c>
      <c r="P835" s="7">
        <v>45947</v>
      </c>
      <c r="Q835" s="1">
        <v>20000</v>
      </c>
      <c r="R835" s="7">
        <v>46268.526589328707</v>
      </c>
      <c r="S835" s="7">
        <v>46268</v>
      </c>
      <c r="T835" s="7" t="str">
        <f t="shared" si="0"/>
        <v>septiembre</v>
      </c>
      <c r="X835" s="1" t="s">
        <v>416</v>
      </c>
      <c r="Y835" s="1" t="s">
        <v>417</v>
      </c>
      <c r="Z835" s="1">
        <v>1</v>
      </c>
      <c r="AA835" s="3">
        <v>37165.919999999998</v>
      </c>
      <c r="AB835" s="3">
        <v>37165.919999999998</v>
      </c>
      <c r="AC835" s="1" t="str">
        <f>VLOOKUP(A835,[1]Detalle!$D$2:$CW$484,98,FALSE)</f>
        <v>SUC_REA - Sucursal Realicó</v>
      </c>
    </row>
    <row r="836" spans="1:29" ht="14.25" customHeight="1" x14ac:dyDescent="0.3">
      <c r="A836" s="1" t="s">
        <v>152</v>
      </c>
      <c r="B836" s="1" t="s">
        <v>351</v>
      </c>
      <c r="C836" s="1" t="s">
        <v>415</v>
      </c>
      <c r="D836" s="1" t="s">
        <v>415</v>
      </c>
      <c r="E836" s="1">
        <v>0.25</v>
      </c>
      <c r="F836" s="1" t="s">
        <v>366</v>
      </c>
      <c r="G836" s="6">
        <v>45845</v>
      </c>
      <c r="H836" s="1">
        <v>958885</v>
      </c>
      <c r="I836" s="1">
        <v>978885</v>
      </c>
      <c r="J836" s="1">
        <v>14167.3</v>
      </c>
      <c r="K836" s="1">
        <v>5832.7000000000044</v>
      </c>
      <c r="L836" s="1">
        <v>973052.3</v>
      </c>
      <c r="M836" s="1">
        <v>102</v>
      </c>
      <c r="N836" s="1">
        <v>132.10963696369629</v>
      </c>
      <c r="O836" s="1">
        <v>41.993562640729053</v>
      </c>
      <c r="P836" s="7">
        <v>45947</v>
      </c>
      <c r="Q836" s="1">
        <v>20000</v>
      </c>
      <c r="R836" s="7">
        <v>46291.772382708332</v>
      </c>
      <c r="S836" s="7">
        <v>46291</v>
      </c>
      <c r="T836" s="7" t="str">
        <f t="shared" si="0"/>
        <v>septiembre</v>
      </c>
      <c r="X836" s="1" t="s">
        <v>416</v>
      </c>
      <c r="Y836" s="1" t="s">
        <v>417</v>
      </c>
      <c r="Z836" s="1">
        <v>1</v>
      </c>
      <c r="AA836" s="3">
        <v>37165.919999999998</v>
      </c>
      <c r="AB836" s="3">
        <v>37165.919999999998</v>
      </c>
      <c r="AC836" s="1" t="str">
        <f>VLOOKUP(A836,[1]Detalle!$D$2:$CW$484,98,FALSE)</f>
        <v>SUC_REA - Sucursal Realicó</v>
      </c>
    </row>
    <row r="837" spans="1:29" ht="14.25" customHeight="1" x14ac:dyDescent="0.3">
      <c r="A837" s="1" t="s">
        <v>123</v>
      </c>
      <c r="B837" s="1">
        <v>1620</v>
      </c>
      <c r="C837" s="1" t="s">
        <v>418</v>
      </c>
      <c r="D837" s="1" t="s">
        <v>415</v>
      </c>
      <c r="E837" s="1">
        <v>0.25</v>
      </c>
      <c r="F837" s="1" t="s">
        <v>366</v>
      </c>
      <c r="G837" s="1" t="s">
        <v>337</v>
      </c>
      <c r="N837" s="1">
        <v>96.824519230769212</v>
      </c>
      <c r="P837" s="7">
        <v>45947</v>
      </c>
      <c r="Q837" s="1">
        <v>20000</v>
      </c>
      <c r="R837" s="7">
        <v>46360.11849847222</v>
      </c>
      <c r="S837" s="7">
        <v>46360</v>
      </c>
      <c r="T837" s="7" t="str">
        <f t="shared" si="0"/>
        <v>diciembre</v>
      </c>
      <c r="X837" s="1" t="s">
        <v>419</v>
      </c>
      <c r="Y837" s="1" t="s">
        <v>420</v>
      </c>
      <c r="Z837" s="1">
        <v>1</v>
      </c>
      <c r="AA837" s="3">
        <v>42474.239999999998</v>
      </c>
      <c r="AB837" s="3">
        <v>42474.239999999998</v>
      </c>
      <c r="AC837" s="1" t="str">
        <f>VLOOKUP(A837,[1]Detalle!$D$2:$CW$484,98,FALSE)</f>
        <v>SUC_SRA - Sucursal San Rafael</v>
      </c>
    </row>
    <row r="838" spans="1:29" ht="14.25" customHeight="1" x14ac:dyDescent="0.3">
      <c r="A838" s="1" t="s">
        <v>161</v>
      </c>
      <c r="B838" s="1">
        <v>1624</v>
      </c>
      <c r="C838" s="1" t="s">
        <v>418</v>
      </c>
      <c r="D838" s="1" t="s">
        <v>415</v>
      </c>
      <c r="E838" s="1">
        <v>0.25</v>
      </c>
      <c r="F838" s="1" t="s">
        <v>366</v>
      </c>
      <c r="G838" s="6">
        <v>45820</v>
      </c>
      <c r="H838" s="1">
        <v>657691</v>
      </c>
      <c r="I838" s="1">
        <v>677691</v>
      </c>
      <c r="J838" s="1">
        <v>12543.4</v>
      </c>
      <c r="K838" s="1">
        <v>7456.6000000000022</v>
      </c>
      <c r="L838" s="1">
        <v>670234.4</v>
      </c>
      <c r="M838" s="1">
        <v>127</v>
      </c>
      <c r="N838" s="1">
        <v>112.4813870967742</v>
      </c>
      <c r="O838" s="1">
        <v>75.496930656759758</v>
      </c>
      <c r="P838" s="7">
        <v>45947</v>
      </c>
      <c r="Q838" s="1">
        <v>20000</v>
      </c>
      <c r="R838" s="7">
        <v>46378.111321909717</v>
      </c>
      <c r="S838" s="7">
        <v>46378</v>
      </c>
      <c r="T838" s="7" t="str">
        <f t="shared" si="0"/>
        <v>diciembre</v>
      </c>
      <c r="X838" s="1" t="s">
        <v>419</v>
      </c>
      <c r="Y838" s="1" t="s">
        <v>420</v>
      </c>
      <c r="Z838" s="1">
        <v>1</v>
      </c>
      <c r="AA838" s="3">
        <v>42474.239999999998</v>
      </c>
      <c r="AB838" s="3">
        <v>42474.239999999998</v>
      </c>
      <c r="AC838" s="1" t="str">
        <f>VLOOKUP(A838,[1]Detalle!$D$2:$CW$484,98,FALSE)</f>
        <v>Unilever - Unilever de Arg. S.A.</v>
      </c>
    </row>
    <row r="839" spans="1:29" ht="14.25" customHeight="1" x14ac:dyDescent="0.3">
      <c r="A839" s="1" t="s">
        <v>149</v>
      </c>
      <c r="B839" s="1">
        <v>1624</v>
      </c>
      <c r="C839" s="1" t="s">
        <v>418</v>
      </c>
      <c r="D839" s="1" t="s">
        <v>415</v>
      </c>
      <c r="E839" s="1">
        <v>0.25</v>
      </c>
      <c r="F839" s="1" t="s">
        <v>366</v>
      </c>
      <c r="G839" s="1" t="s">
        <v>337</v>
      </c>
      <c r="H839" s="1">
        <v>662460</v>
      </c>
      <c r="I839" s="1">
        <v>682460</v>
      </c>
      <c r="J839" s="1">
        <v>20447.600000000009</v>
      </c>
      <c r="K839" s="1">
        <v>-447.60000000000582</v>
      </c>
      <c r="L839" s="1">
        <v>682907.6</v>
      </c>
      <c r="M839" s="1">
        <v>197</v>
      </c>
      <c r="N839" s="1">
        <v>113.6646794871796</v>
      </c>
      <c r="O839" s="1">
        <v>-4.312349615602864</v>
      </c>
      <c r="P839" s="7">
        <v>45947</v>
      </c>
      <c r="Q839" s="1">
        <v>20000</v>
      </c>
      <c r="R839" s="7">
        <v>46298.912310671287</v>
      </c>
      <c r="S839" s="7">
        <v>46298</v>
      </c>
      <c r="T839" s="7" t="str">
        <f t="shared" si="0"/>
        <v>octubre</v>
      </c>
      <c r="X839" s="1" t="s">
        <v>419</v>
      </c>
      <c r="Y839" s="1" t="s">
        <v>420</v>
      </c>
      <c r="Z839" s="1">
        <v>1</v>
      </c>
      <c r="AA839" s="3">
        <v>42474.239999999998</v>
      </c>
      <c r="AB839" s="3">
        <v>42474.239999999998</v>
      </c>
      <c r="AC839" s="1" t="str">
        <f>VLOOKUP(A839,[1]Detalle!$D$2:$CW$484,98,FALSE)</f>
        <v>Papelera - Papelera del Plata S.A.</v>
      </c>
    </row>
    <row r="840" spans="1:29" ht="14.25" customHeight="1" x14ac:dyDescent="0.3">
      <c r="A840" s="1" t="s">
        <v>138</v>
      </c>
      <c r="B840" s="1">
        <v>1624</v>
      </c>
      <c r="C840" s="1" t="s">
        <v>418</v>
      </c>
      <c r="D840" s="1" t="s">
        <v>415</v>
      </c>
      <c r="E840" s="1">
        <v>0.25</v>
      </c>
      <c r="F840" s="1" t="s">
        <v>366</v>
      </c>
      <c r="G840" s="6">
        <v>45840</v>
      </c>
      <c r="H840" s="1">
        <v>40688</v>
      </c>
      <c r="I840" s="1">
        <v>60688</v>
      </c>
      <c r="J840" s="1">
        <v>18559.899999999991</v>
      </c>
      <c r="K840" s="1">
        <v>1440.100000000006</v>
      </c>
      <c r="L840" s="1">
        <v>59247.899999999987</v>
      </c>
      <c r="M840" s="1">
        <v>107</v>
      </c>
      <c r="N840" s="1">
        <v>129.25862179487169</v>
      </c>
      <c r="O840" s="1">
        <v>8.3023453790160868</v>
      </c>
      <c r="P840" s="7">
        <v>45947</v>
      </c>
      <c r="Q840" s="1">
        <v>20000</v>
      </c>
      <c r="R840" s="7">
        <v>46264.759458912027</v>
      </c>
      <c r="S840" s="7">
        <v>46264</v>
      </c>
      <c r="T840" s="7" t="str">
        <f t="shared" si="0"/>
        <v>agosto</v>
      </c>
      <c r="X840" s="1" t="s">
        <v>419</v>
      </c>
      <c r="Y840" s="1" t="s">
        <v>420</v>
      </c>
      <c r="Z840" s="1">
        <v>1</v>
      </c>
      <c r="AA840" s="3">
        <v>42474.239999999998</v>
      </c>
      <c r="AB840" s="3">
        <v>42474.239999999998</v>
      </c>
      <c r="AC840" s="1" t="str">
        <f>VLOOKUP(A840,[1]Detalle!$D$2:$CW$484,98,FALSE)</f>
        <v>SUC_MEN - Sucursal Mendoza</v>
      </c>
    </row>
    <row r="841" spans="1:29" ht="14.25" customHeight="1" x14ac:dyDescent="0.3">
      <c r="A841" s="1" t="s">
        <v>273</v>
      </c>
      <c r="B841" s="1" t="s">
        <v>349</v>
      </c>
      <c r="C841" s="1" t="s">
        <v>421</v>
      </c>
      <c r="D841" s="1" t="s">
        <v>415</v>
      </c>
      <c r="E841" s="1">
        <v>0.25</v>
      </c>
      <c r="F841" s="1" t="s">
        <v>366</v>
      </c>
      <c r="G841" s="1" t="s">
        <v>337</v>
      </c>
      <c r="N841" s="1">
        <v>169.51837638376381</v>
      </c>
      <c r="P841" s="7">
        <v>45947</v>
      </c>
      <c r="Q841" s="1">
        <v>20000</v>
      </c>
      <c r="R841" s="7">
        <v>46182.962618645834</v>
      </c>
      <c r="S841" s="7">
        <v>46182</v>
      </c>
      <c r="T841" s="7" t="str">
        <f t="shared" si="0"/>
        <v>junio</v>
      </c>
      <c r="X841" s="1" t="s">
        <v>422</v>
      </c>
      <c r="Y841" s="1" t="s">
        <v>423</v>
      </c>
      <c r="Z841" s="1">
        <v>1</v>
      </c>
      <c r="AA841" s="3">
        <v>49777.919999999998</v>
      </c>
      <c r="AB841" s="3">
        <v>49777.919999999998</v>
      </c>
      <c r="AC841" s="1" t="str">
        <f>VLOOKUP(A841,[1]Detalle!$D$2:$CW$484,98,FALSE)</f>
        <v>CENCOMLD - Cencosud SA - Mendoza</v>
      </c>
    </row>
    <row r="842" spans="1:29" ht="14.25" customHeight="1" x14ac:dyDescent="0.3">
      <c r="A842" s="1" t="s">
        <v>96</v>
      </c>
      <c r="B842" s="1" t="s">
        <v>429</v>
      </c>
      <c r="C842" s="1" t="s">
        <v>428</v>
      </c>
      <c r="D842" s="1" t="s">
        <v>428</v>
      </c>
      <c r="E842" s="1">
        <v>0.75</v>
      </c>
      <c r="F842" s="1" t="s">
        <v>329</v>
      </c>
      <c r="G842" s="6">
        <v>45861</v>
      </c>
      <c r="H842" s="1">
        <v>163295</v>
      </c>
      <c r="I842" s="1">
        <v>193295</v>
      </c>
      <c r="J842" s="1">
        <v>22184.6</v>
      </c>
      <c r="K842" s="1">
        <v>7815.3999999999978</v>
      </c>
      <c r="L842" s="1">
        <v>185479.6</v>
      </c>
      <c r="M842" s="1">
        <v>86</v>
      </c>
      <c r="N842" s="1">
        <v>281.98244274809178</v>
      </c>
      <c r="O842" s="1">
        <v>30.296890635846481</v>
      </c>
      <c r="P842" s="7">
        <v>45947</v>
      </c>
      <c r="Q842" s="1">
        <v>30000</v>
      </c>
      <c r="R842" s="7">
        <v>46190.076095659722</v>
      </c>
      <c r="S842" s="7">
        <v>46190</v>
      </c>
      <c r="T842" s="7" t="str">
        <f t="shared" si="0"/>
        <v>junio</v>
      </c>
      <c r="X842" s="1" t="s">
        <v>331</v>
      </c>
      <c r="Y842" s="1" t="s">
        <v>332</v>
      </c>
      <c r="Z842" s="1">
        <v>30</v>
      </c>
      <c r="AA842" s="3">
        <v>3389.9</v>
      </c>
      <c r="AB842" s="3">
        <v>101697</v>
      </c>
      <c r="AC842" s="1" t="str">
        <f>VLOOKUP(A842,[1]Detalle!$D$2:$CW$484,98,FALSE)</f>
        <v>CENCOMLD - Cencosud SA - Mendoza</v>
      </c>
    </row>
    <row r="843" spans="1:29" ht="14.25" customHeight="1" x14ac:dyDescent="0.3">
      <c r="A843" s="1" t="s">
        <v>96</v>
      </c>
      <c r="B843" s="1" t="s">
        <v>429</v>
      </c>
      <c r="C843" s="1" t="s">
        <v>428</v>
      </c>
      <c r="D843" s="1" t="s">
        <v>428</v>
      </c>
      <c r="E843" s="1">
        <v>0.75</v>
      </c>
      <c r="F843" s="1" t="s">
        <v>329</v>
      </c>
      <c r="G843" s="6">
        <v>45861</v>
      </c>
      <c r="H843" s="1">
        <v>163295</v>
      </c>
      <c r="I843" s="1">
        <v>193295</v>
      </c>
      <c r="J843" s="1">
        <v>22184.6</v>
      </c>
      <c r="K843" s="1">
        <v>7815.3999999999978</v>
      </c>
      <c r="L843" s="1">
        <v>185479.6</v>
      </c>
      <c r="M843" s="1">
        <v>86</v>
      </c>
      <c r="N843" s="1">
        <v>281.98244274809178</v>
      </c>
      <c r="O843" s="1">
        <v>30.296890635846481</v>
      </c>
      <c r="P843" s="7">
        <v>45947</v>
      </c>
      <c r="Q843" s="1">
        <v>30000</v>
      </c>
      <c r="R843" s="7">
        <v>46190.076095659722</v>
      </c>
      <c r="S843" s="7">
        <v>46190</v>
      </c>
      <c r="T843" s="7" t="str">
        <f t="shared" si="0"/>
        <v>junio</v>
      </c>
      <c r="X843" s="1" t="s">
        <v>397</v>
      </c>
      <c r="Y843" s="1" t="s">
        <v>398</v>
      </c>
      <c r="Z843" s="1">
        <v>1</v>
      </c>
      <c r="AA843" s="3">
        <v>9737.2800000000007</v>
      </c>
      <c r="AB843" s="3">
        <v>9737.2800000000007</v>
      </c>
      <c r="AC843" s="1" t="str">
        <f>VLOOKUP(A843,[1]Detalle!$D$2:$CW$484,98,FALSE)</f>
        <v>CENCOMLD - Cencosud SA - Mendoza</v>
      </c>
    </row>
    <row r="844" spans="1:29" ht="14.25" customHeight="1" x14ac:dyDescent="0.3">
      <c r="A844" s="1" t="s">
        <v>186</v>
      </c>
      <c r="B844" s="1" t="s">
        <v>427</v>
      </c>
      <c r="C844" s="1" t="s">
        <v>428</v>
      </c>
      <c r="D844" s="1" t="s">
        <v>428</v>
      </c>
      <c r="E844" s="1">
        <v>0.75</v>
      </c>
      <c r="F844" s="1" t="s">
        <v>329</v>
      </c>
      <c r="G844" s="6">
        <v>45800</v>
      </c>
      <c r="H844" s="1">
        <v>459582</v>
      </c>
      <c r="I844" s="1">
        <v>489582</v>
      </c>
      <c r="J844" s="1">
        <v>48012.699999999968</v>
      </c>
      <c r="K844" s="1">
        <v>-18012.699999999972</v>
      </c>
      <c r="L844" s="1">
        <v>507594.7</v>
      </c>
      <c r="M844" s="1">
        <v>147</v>
      </c>
      <c r="N844" s="1">
        <v>303.0774834437085</v>
      </c>
      <c r="O844" s="1">
        <v>-55.149302163802432</v>
      </c>
      <c r="P844" s="7">
        <v>45947</v>
      </c>
      <c r="Q844" s="1">
        <v>30000</v>
      </c>
      <c r="R844" s="7">
        <v>46144.969177118059</v>
      </c>
      <c r="S844" s="7">
        <v>46144</v>
      </c>
      <c r="T844" s="7" t="str">
        <f t="shared" si="0"/>
        <v>mayo</v>
      </c>
      <c r="X844" s="1" t="s">
        <v>331</v>
      </c>
      <c r="Y844" s="1" t="s">
        <v>332</v>
      </c>
      <c r="Z844" s="1">
        <v>30</v>
      </c>
      <c r="AA844" s="3">
        <v>3389.9</v>
      </c>
      <c r="AB844" s="3">
        <v>101697</v>
      </c>
      <c r="AC844" s="1" t="str">
        <f>VLOOKUP(A844,[1]Detalle!$D$2:$CW$484,98,FALSE)</f>
        <v>Expreso - Servicios Troncales</v>
      </c>
    </row>
    <row r="845" spans="1:29" ht="14.25" customHeight="1" x14ac:dyDescent="0.3">
      <c r="A845" s="1" t="s">
        <v>186</v>
      </c>
      <c r="B845" s="1" t="s">
        <v>427</v>
      </c>
      <c r="C845" s="1" t="s">
        <v>428</v>
      </c>
      <c r="D845" s="1" t="s">
        <v>428</v>
      </c>
      <c r="E845" s="1">
        <v>0.75</v>
      </c>
      <c r="F845" s="1" t="s">
        <v>329</v>
      </c>
      <c r="G845" s="6">
        <v>45800</v>
      </c>
      <c r="H845" s="1">
        <v>459582</v>
      </c>
      <c r="I845" s="1">
        <v>489582</v>
      </c>
      <c r="J845" s="1">
        <v>48012.699999999968</v>
      </c>
      <c r="K845" s="1">
        <v>-18012.699999999972</v>
      </c>
      <c r="L845" s="1">
        <v>507594.7</v>
      </c>
      <c r="M845" s="1">
        <v>147</v>
      </c>
      <c r="N845" s="1">
        <v>303.0774834437085</v>
      </c>
      <c r="O845" s="1">
        <v>-55.149302163802432</v>
      </c>
      <c r="P845" s="7">
        <v>45947</v>
      </c>
      <c r="Q845" s="1">
        <v>30000</v>
      </c>
      <c r="R845" s="7">
        <v>46144.969177118059</v>
      </c>
      <c r="S845" s="7">
        <v>46144</v>
      </c>
      <c r="T845" s="7" t="str">
        <f t="shared" si="0"/>
        <v>mayo</v>
      </c>
      <c r="X845" s="1" t="s">
        <v>397</v>
      </c>
      <c r="Y845" s="1" t="s">
        <v>398</v>
      </c>
      <c r="Z845" s="1">
        <v>1</v>
      </c>
      <c r="AA845" s="3">
        <v>9737.2800000000007</v>
      </c>
      <c r="AB845" s="3">
        <v>9737.2800000000007</v>
      </c>
      <c r="AC845" s="1" t="str">
        <f>VLOOKUP(A845,[1]Detalle!$D$2:$CW$484,98,FALSE)</f>
        <v>Expreso - Servicios Troncales</v>
      </c>
    </row>
    <row r="846" spans="1:29" ht="14.25" customHeight="1" x14ac:dyDescent="0.3">
      <c r="A846" s="1" t="s">
        <v>8</v>
      </c>
      <c r="B846" s="1" t="s">
        <v>435</v>
      </c>
      <c r="C846" s="1" t="s">
        <v>436</v>
      </c>
      <c r="D846" s="1" t="s">
        <v>428</v>
      </c>
      <c r="E846" s="1">
        <v>0.75</v>
      </c>
      <c r="F846" s="1" t="s">
        <v>329</v>
      </c>
      <c r="G846" s="6">
        <v>45880</v>
      </c>
      <c r="H846" s="1">
        <v>722255</v>
      </c>
      <c r="I846" s="1">
        <v>752255</v>
      </c>
      <c r="J846" s="1">
        <v>15317.7</v>
      </c>
      <c r="K846" s="1">
        <v>14682.3</v>
      </c>
      <c r="L846" s="1">
        <v>737572.7</v>
      </c>
      <c r="M846" s="1">
        <v>67</v>
      </c>
      <c r="N846" s="1">
        <v>286.50848708487092</v>
      </c>
      <c r="O846" s="1">
        <v>64.220744628762787</v>
      </c>
      <c r="P846" s="7">
        <v>45947</v>
      </c>
      <c r="Q846" s="1">
        <v>30000</v>
      </c>
      <c r="R846" s="7">
        <v>46220.63862474537</v>
      </c>
      <c r="S846" s="7">
        <v>46220</v>
      </c>
      <c r="T846" s="7" t="str">
        <f t="shared" si="0"/>
        <v>julio</v>
      </c>
      <c r="X846" s="1" t="s">
        <v>331</v>
      </c>
      <c r="Y846" s="1" t="s">
        <v>332</v>
      </c>
      <c r="Z846" s="1">
        <v>39</v>
      </c>
      <c r="AA846" s="3">
        <v>3389.9</v>
      </c>
      <c r="AB846" s="3">
        <v>132206.1</v>
      </c>
      <c r="AC846" s="1" t="str">
        <f>VLOOKUP(A846,[1]Detalle!$D$2:$CW$484,98,FALSE)</f>
        <v>ADA_CH - Danone Arg. S.A. - Chascomus</v>
      </c>
    </row>
    <row r="847" spans="1:29" ht="14.25" customHeight="1" x14ac:dyDescent="0.3">
      <c r="A847" s="1" t="s">
        <v>8</v>
      </c>
      <c r="B847" s="1" t="s">
        <v>435</v>
      </c>
      <c r="C847" s="1" t="s">
        <v>436</v>
      </c>
      <c r="D847" s="1" t="s">
        <v>428</v>
      </c>
      <c r="E847" s="1">
        <v>0.75</v>
      </c>
      <c r="F847" s="1" t="s">
        <v>329</v>
      </c>
      <c r="G847" s="6">
        <v>45880</v>
      </c>
      <c r="H847" s="1">
        <v>722255</v>
      </c>
      <c r="I847" s="1">
        <v>752255</v>
      </c>
      <c r="J847" s="1">
        <v>15317.7</v>
      </c>
      <c r="K847" s="1">
        <v>14682.3</v>
      </c>
      <c r="L847" s="1">
        <v>737572.7</v>
      </c>
      <c r="M847" s="1">
        <v>67</v>
      </c>
      <c r="N847" s="1">
        <v>286.50848708487092</v>
      </c>
      <c r="O847" s="1">
        <v>64.220744628762787</v>
      </c>
      <c r="P847" s="7">
        <v>45947</v>
      </c>
      <c r="Q847" s="1">
        <v>30000</v>
      </c>
      <c r="R847" s="7">
        <v>46220.63862474537</v>
      </c>
      <c r="S847" s="7">
        <v>46220</v>
      </c>
      <c r="T847" s="7" t="str">
        <f t="shared" si="0"/>
        <v>julio</v>
      </c>
      <c r="X847" s="1" t="s">
        <v>437</v>
      </c>
      <c r="Y847" s="1" t="s">
        <v>438</v>
      </c>
      <c r="Z847" s="1">
        <v>1</v>
      </c>
      <c r="AA847" s="3">
        <v>22064.98</v>
      </c>
      <c r="AB847" s="3">
        <v>22064.98</v>
      </c>
      <c r="AC847" s="1" t="str">
        <f>VLOOKUP(A847,[1]Detalle!$D$2:$CW$484,98,FALSE)</f>
        <v>ADA_CH - Danone Arg. S.A. - Chascomus</v>
      </c>
    </row>
    <row r="848" spans="1:29" ht="14.25" customHeight="1" x14ac:dyDescent="0.3">
      <c r="A848" s="1" t="s">
        <v>11</v>
      </c>
      <c r="B848" s="1" t="s">
        <v>435</v>
      </c>
      <c r="C848" s="1" t="s">
        <v>436</v>
      </c>
      <c r="D848" s="1" t="s">
        <v>428</v>
      </c>
      <c r="E848" s="1">
        <v>0.75</v>
      </c>
      <c r="F848" s="1" t="s">
        <v>329</v>
      </c>
      <c r="G848" s="6">
        <v>45853</v>
      </c>
      <c r="H848" s="1">
        <v>769430</v>
      </c>
      <c r="I848" s="1">
        <v>799430</v>
      </c>
      <c r="J848" s="1">
        <v>24465.80000000001</v>
      </c>
      <c r="K848" s="1">
        <v>5534.1999999999935</v>
      </c>
      <c r="L848" s="1">
        <v>793895.8</v>
      </c>
      <c r="M848" s="1">
        <v>94</v>
      </c>
      <c r="N848" s="1">
        <v>323.09338235294098</v>
      </c>
      <c r="O848" s="1">
        <v>21.262938469210049</v>
      </c>
      <c r="P848" s="7">
        <v>45947</v>
      </c>
      <c r="Q848" s="1">
        <v>30000</v>
      </c>
      <c r="R848" s="7">
        <v>46153.967763379631</v>
      </c>
      <c r="S848" s="7">
        <v>46153</v>
      </c>
      <c r="T848" s="7" t="str">
        <f t="shared" si="0"/>
        <v>mayo</v>
      </c>
      <c r="X848" s="1" t="s">
        <v>331</v>
      </c>
      <c r="Y848" s="1" t="s">
        <v>332</v>
      </c>
      <c r="Z848" s="1">
        <v>39</v>
      </c>
      <c r="AA848" s="3">
        <v>3389.9</v>
      </c>
      <c r="AB848" s="3">
        <v>132206.1</v>
      </c>
      <c r="AC848" s="1" t="str">
        <f>VLOOKUP(A848,[1]Detalle!$D$2:$CW$484,98,FALSE)</f>
        <v>ADA_CH - Danone Arg. S.A. - Chascomus</v>
      </c>
    </row>
    <row r="849" spans="1:32" ht="14.25" customHeight="1" x14ac:dyDescent="0.3">
      <c r="A849" s="1" t="s">
        <v>11</v>
      </c>
      <c r="B849" s="1" t="s">
        <v>435</v>
      </c>
      <c r="C849" s="1" t="s">
        <v>436</v>
      </c>
      <c r="D849" s="1" t="s">
        <v>428</v>
      </c>
      <c r="E849" s="1">
        <v>0.75</v>
      </c>
      <c r="F849" s="1" t="s">
        <v>329</v>
      </c>
      <c r="G849" s="6">
        <v>45853</v>
      </c>
      <c r="H849" s="1">
        <v>769430</v>
      </c>
      <c r="I849" s="1">
        <v>799430</v>
      </c>
      <c r="J849" s="1">
        <v>24465.80000000001</v>
      </c>
      <c r="K849" s="1">
        <v>5534.1999999999935</v>
      </c>
      <c r="L849" s="1">
        <v>793895.8</v>
      </c>
      <c r="M849" s="1">
        <v>94</v>
      </c>
      <c r="N849" s="1">
        <v>323.09338235294098</v>
      </c>
      <c r="O849" s="1">
        <v>21.262938469210049</v>
      </c>
      <c r="P849" s="7">
        <v>45947</v>
      </c>
      <c r="Q849" s="1">
        <v>30000</v>
      </c>
      <c r="R849" s="7">
        <v>46153.967763379631</v>
      </c>
      <c r="S849" s="7">
        <v>46153</v>
      </c>
      <c r="T849" s="7" t="str">
        <f t="shared" si="0"/>
        <v>mayo</v>
      </c>
      <c r="X849" s="1" t="s">
        <v>437</v>
      </c>
      <c r="Y849" s="1" t="s">
        <v>438</v>
      </c>
      <c r="Z849" s="1">
        <v>1</v>
      </c>
      <c r="AA849" s="3">
        <v>22064.98</v>
      </c>
      <c r="AB849" s="3">
        <v>22064.98</v>
      </c>
      <c r="AC849" s="1" t="str">
        <f>VLOOKUP(A849,[1]Detalle!$D$2:$CW$484,98,FALSE)</f>
        <v>ADA_CH - Danone Arg. S.A. - Chascomus</v>
      </c>
    </row>
    <row r="850" spans="1:32" ht="14.25" customHeight="1" x14ac:dyDescent="0.3">
      <c r="A850" s="1" t="s">
        <v>13</v>
      </c>
      <c r="B850" s="1" t="s">
        <v>435</v>
      </c>
      <c r="C850" s="1" t="s">
        <v>436</v>
      </c>
      <c r="D850" s="1" t="s">
        <v>428</v>
      </c>
      <c r="E850" s="1">
        <v>0.75</v>
      </c>
      <c r="F850" s="1" t="s">
        <v>329</v>
      </c>
      <c r="G850" s="6">
        <v>45831</v>
      </c>
      <c r="H850" s="1">
        <v>751112</v>
      </c>
      <c r="I850" s="1">
        <v>781112</v>
      </c>
      <c r="J850" s="1">
        <v>30284.500000000011</v>
      </c>
      <c r="K850" s="1">
        <v>-284.50000000000728</v>
      </c>
      <c r="L850" s="1">
        <v>781396.5</v>
      </c>
      <c r="M850" s="1">
        <v>116</v>
      </c>
      <c r="N850" s="1">
        <v>303.34772058823529</v>
      </c>
      <c r="O850" s="1">
        <v>-1.089732371345105</v>
      </c>
      <c r="P850" s="7">
        <v>45947</v>
      </c>
      <c r="Q850" s="1">
        <v>30000</v>
      </c>
      <c r="R850" s="7">
        <v>46144.792816388886</v>
      </c>
      <c r="S850" s="7">
        <v>46144</v>
      </c>
      <c r="T850" s="7" t="str">
        <f t="shared" si="0"/>
        <v>mayo</v>
      </c>
      <c r="X850" s="1" t="s">
        <v>331</v>
      </c>
      <c r="Y850" s="1" t="s">
        <v>332</v>
      </c>
      <c r="Z850" s="1">
        <v>39</v>
      </c>
      <c r="AA850" s="3">
        <v>3389.9</v>
      </c>
      <c r="AB850" s="3">
        <v>132206.1</v>
      </c>
      <c r="AC850" s="1" t="str">
        <f>VLOOKUP(A850,[1]Detalle!$D$2:$CW$484,98,FALSE)</f>
        <v>ADA_CH - Danone Arg. S.A. - Chascomus</v>
      </c>
    </row>
    <row r="851" spans="1:32" ht="14.25" customHeight="1" x14ac:dyDescent="0.3">
      <c r="A851" s="1" t="s">
        <v>13</v>
      </c>
      <c r="B851" s="1" t="s">
        <v>435</v>
      </c>
      <c r="C851" s="1" t="s">
        <v>436</v>
      </c>
      <c r="D851" s="1" t="s">
        <v>428</v>
      </c>
      <c r="E851" s="1">
        <v>0.75</v>
      </c>
      <c r="F851" s="1" t="s">
        <v>329</v>
      </c>
      <c r="G851" s="6">
        <v>45831</v>
      </c>
      <c r="H851" s="1">
        <v>751112</v>
      </c>
      <c r="I851" s="1">
        <v>781112</v>
      </c>
      <c r="J851" s="1">
        <v>30284.500000000011</v>
      </c>
      <c r="K851" s="1">
        <v>-284.50000000000728</v>
      </c>
      <c r="L851" s="1">
        <v>781396.5</v>
      </c>
      <c r="M851" s="1">
        <v>116</v>
      </c>
      <c r="N851" s="1">
        <v>303.34772058823529</v>
      </c>
      <c r="O851" s="1">
        <v>-1.089732371345105</v>
      </c>
      <c r="P851" s="7">
        <v>45947</v>
      </c>
      <c r="Q851" s="1">
        <v>30000</v>
      </c>
      <c r="R851" s="7">
        <v>46144.792816388886</v>
      </c>
      <c r="S851" s="7">
        <v>46144</v>
      </c>
      <c r="T851" s="7" t="str">
        <f t="shared" si="0"/>
        <v>mayo</v>
      </c>
      <c r="X851" s="1" t="s">
        <v>437</v>
      </c>
      <c r="Y851" s="1" t="s">
        <v>438</v>
      </c>
      <c r="Z851" s="1">
        <v>1</v>
      </c>
      <c r="AA851" s="3">
        <v>22064.98</v>
      </c>
      <c r="AB851" s="3">
        <v>22064.98</v>
      </c>
      <c r="AC851" s="1" t="str">
        <f>VLOOKUP(A851,[1]Detalle!$D$2:$CW$484,98,FALSE)</f>
        <v>ADA_CH - Danone Arg. S.A. - Chascomus</v>
      </c>
    </row>
    <row r="852" spans="1:32" ht="14.25" customHeight="1" x14ac:dyDescent="0.3">
      <c r="A852" s="1" t="s">
        <v>6</v>
      </c>
      <c r="B852" s="1" t="s">
        <v>435</v>
      </c>
      <c r="C852" s="1" t="s">
        <v>436</v>
      </c>
      <c r="D852" s="1" t="s">
        <v>428</v>
      </c>
      <c r="E852" s="1">
        <v>0.75</v>
      </c>
      <c r="F852" s="1" t="s">
        <v>329</v>
      </c>
      <c r="G852" s="6">
        <v>45845</v>
      </c>
      <c r="H852" s="1">
        <v>726661</v>
      </c>
      <c r="I852" s="1">
        <v>756661</v>
      </c>
      <c r="J852" s="1">
        <v>24602.2</v>
      </c>
      <c r="K852" s="1">
        <v>5397.7999999999956</v>
      </c>
      <c r="L852" s="1">
        <v>751263.2</v>
      </c>
      <c r="M852" s="1">
        <v>102</v>
      </c>
      <c r="N852" s="1">
        <v>306.8559191176472</v>
      </c>
      <c r="O852" s="1">
        <v>22.379120566453381</v>
      </c>
      <c r="P852" s="7">
        <v>45947</v>
      </c>
      <c r="Q852" s="1">
        <v>30000</v>
      </c>
      <c r="R852" s="7">
        <v>46164.910626597222</v>
      </c>
      <c r="S852" s="7">
        <v>46164</v>
      </c>
      <c r="T852" s="7" t="str">
        <f t="shared" si="0"/>
        <v>mayo</v>
      </c>
      <c r="X852" s="1" t="s">
        <v>331</v>
      </c>
      <c r="Y852" s="1" t="s">
        <v>332</v>
      </c>
      <c r="Z852" s="1">
        <v>39</v>
      </c>
      <c r="AA852" s="3">
        <v>3389.9</v>
      </c>
      <c r="AB852" s="3">
        <v>132206.1</v>
      </c>
      <c r="AC852" s="1" t="str">
        <f>VLOOKUP(A852,[1]Detalle!$D$2:$CW$484,98,FALSE)</f>
        <v>ADA_CH - Danone Arg. S.A. - Chascomus</v>
      </c>
    </row>
    <row r="853" spans="1:32" ht="14.25" customHeight="1" x14ac:dyDescent="0.3">
      <c r="A853" s="1" t="s">
        <v>6</v>
      </c>
      <c r="B853" s="1" t="s">
        <v>435</v>
      </c>
      <c r="C853" s="1" t="s">
        <v>436</v>
      </c>
      <c r="D853" s="1" t="s">
        <v>428</v>
      </c>
      <c r="E853" s="1">
        <v>0.75</v>
      </c>
      <c r="F853" s="1" t="s">
        <v>329</v>
      </c>
      <c r="G853" s="6">
        <v>45845</v>
      </c>
      <c r="H853" s="1">
        <v>726661</v>
      </c>
      <c r="I853" s="1">
        <v>756661</v>
      </c>
      <c r="J853" s="1">
        <v>24602.2</v>
      </c>
      <c r="K853" s="1">
        <v>5397.7999999999956</v>
      </c>
      <c r="L853" s="1">
        <v>751263.2</v>
      </c>
      <c r="M853" s="1">
        <v>102</v>
      </c>
      <c r="N853" s="1">
        <v>306.8559191176472</v>
      </c>
      <c r="O853" s="1">
        <v>22.379120566453381</v>
      </c>
      <c r="P853" s="7">
        <v>45947</v>
      </c>
      <c r="Q853" s="1">
        <v>30000</v>
      </c>
      <c r="R853" s="7">
        <v>46164.910626597222</v>
      </c>
      <c r="S853" s="7">
        <v>46164</v>
      </c>
      <c r="T853" s="7" t="str">
        <f t="shared" si="0"/>
        <v>mayo</v>
      </c>
      <c r="X853" s="1" t="s">
        <v>437</v>
      </c>
      <c r="Y853" s="1" t="s">
        <v>438</v>
      </c>
      <c r="Z853" s="1">
        <v>1</v>
      </c>
      <c r="AA853" s="3">
        <v>22064.98</v>
      </c>
      <c r="AB853" s="3">
        <v>22064.98</v>
      </c>
      <c r="AC853" s="1" t="str">
        <f>VLOOKUP(A853,[1]Detalle!$D$2:$CW$484,98,FALSE)</f>
        <v>ADA_CH - Danone Arg. S.A. - Chascomus</v>
      </c>
    </row>
    <row r="854" spans="1:32" ht="14.25" customHeight="1" x14ac:dyDescent="0.3">
      <c r="A854" s="1" t="s">
        <v>7</v>
      </c>
      <c r="B854" s="1" t="s">
        <v>435</v>
      </c>
      <c r="C854" s="1" t="s">
        <v>436</v>
      </c>
      <c r="D854" s="1" t="s">
        <v>428</v>
      </c>
      <c r="E854" s="1">
        <v>0.75</v>
      </c>
      <c r="F854" s="1" t="s">
        <v>329</v>
      </c>
      <c r="G854" s="6">
        <v>45835</v>
      </c>
      <c r="H854" s="1">
        <v>743648</v>
      </c>
      <c r="I854" s="1">
        <v>773648</v>
      </c>
      <c r="J854" s="1">
        <v>30763.099999999991</v>
      </c>
      <c r="K854" s="1">
        <v>-763.09999999998763</v>
      </c>
      <c r="L854" s="1">
        <v>774411.1</v>
      </c>
      <c r="M854" s="1">
        <v>112</v>
      </c>
      <c r="N854" s="1">
        <v>282.61870229007633</v>
      </c>
      <c r="O854" s="1">
        <v>-2.77823756383455</v>
      </c>
      <c r="P854" s="7">
        <v>45947</v>
      </c>
      <c r="Q854" s="1">
        <v>30000</v>
      </c>
      <c r="R854" s="7">
        <v>46159.30017516204</v>
      </c>
      <c r="S854" s="7">
        <v>46159</v>
      </c>
      <c r="T854" s="7" t="str">
        <f t="shared" si="0"/>
        <v>mayo</v>
      </c>
      <c r="X854" s="1" t="s">
        <v>331</v>
      </c>
      <c r="Y854" s="1" t="s">
        <v>332</v>
      </c>
      <c r="Z854" s="1">
        <v>39</v>
      </c>
      <c r="AA854" s="3">
        <v>3389.9</v>
      </c>
      <c r="AB854" s="3">
        <v>132206.1</v>
      </c>
      <c r="AC854" s="1" t="str">
        <f>VLOOKUP(A854,[1]Detalle!$D$2:$CW$484,98,FALSE)</f>
        <v>ADA_CH - Danone Arg. S.A. - Chascomus</v>
      </c>
    </row>
    <row r="855" spans="1:32" ht="14.25" customHeight="1" x14ac:dyDescent="0.3">
      <c r="A855" s="1" t="s">
        <v>7</v>
      </c>
      <c r="B855" s="1" t="s">
        <v>435</v>
      </c>
      <c r="C855" s="1" t="s">
        <v>436</v>
      </c>
      <c r="D855" s="1" t="s">
        <v>428</v>
      </c>
      <c r="E855" s="1">
        <v>0.75</v>
      </c>
      <c r="F855" s="1" t="s">
        <v>329</v>
      </c>
      <c r="G855" s="6">
        <v>45835</v>
      </c>
      <c r="H855" s="1">
        <v>743648</v>
      </c>
      <c r="I855" s="1">
        <v>773648</v>
      </c>
      <c r="J855" s="1">
        <v>30763.099999999991</v>
      </c>
      <c r="K855" s="1">
        <v>-763.09999999998763</v>
      </c>
      <c r="L855" s="1">
        <v>774411.1</v>
      </c>
      <c r="M855" s="1">
        <v>112</v>
      </c>
      <c r="N855" s="1">
        <v>282.61870229007633</v>
      </c>
      <c r="O855" s="1">
        <v>-2.77823756383455</v>
      </c>
      <c r="P855" s="7">
        <v>45947</v>
      </c>
      <c r="Q855" s="1">
        <v>30000</v>
      </c>
      <c r="R855" s="7">
        <v>46159.30017516204</v>
      </c>
      <c r="S855" s="7">
        <v>46159</v>
      </c>
      <c r="T855" s="7" t="str">
        <f t="shared" si="0"/>
        <v>mayo</v>
      </c>
      <c r="X855" s="1" t="s">
        <v>437</v>
      </c>
      <c r="Y855" s="1" t="s">
        <v>438</v>
      </c>
      <c r="Z855" s="1">
        <v>1</v>
      </c>
      <c r="AA855" s="3">
        <v>22064.98</v>
      </c>
      <c r="AB855" s="3">
        <v>22064.98</v>
      </c>
      <c r="AC855" s="1" t="str">
        <f>VLOOKUP(A855,[1]Detalle!$D$2:$CW$484,98,FALSE)</f>
        <v>ADA_CH - Danone Arg. S.A. - Chascomus</v>
      </c>
    </row>
    <row r="856" spans="1:32" ht="14.25" customHeight="1" x14ac:dyDescent="0.3">
      <c r="A856" s="1" t="s">
        <v>9</v>
      </c>
      <c r="B856" s="1" t="s">
        <v>435</v>
      </c>
      <c r="C856" s="1" t="s">
        <v>436</v>
      </c>
      <c r="D856" s="1" t="s">
        <v>428</v>
      </c>
      <c r="E856" s="1">
        <v>0.75</v>
      </c>
      <c r="F856" s="1" t="s">
        <v>329</v>
      </c>
      <c r="G856" s="6">
        <v>45789</v>
      </c>
      <c r="H856" s="1">
        <v>828813</v>
      </c>
      <c r="I856" s="1">
        <v>858813</v>
      </c>
      <c r="J856" s="1">
        <v>52575.80000000001</v>
      </c>
      <c r="K856" s="1">
        <v>-22575.80000000001</v>
      </c>
      <c r="L856" s="1">
        <v>881388.8</v>
      </c>
      <c r="M856" s="1">
        <v>158</v>
      </c>
      <c r="N856" s="1">
        <v>352.51014814814829</v>
      </c>
      <c r="O856" s="1">
        <v>-67.844453151449926</v>
      </c>
      <c r="P856" s="7">
        <v>45947</v>
      </c>
      <c r="Q856" s="1">
        <v>30000</v>
      </c>
      <c r="R856" s="7">
        <v>46117.207865833327</v>
      </c>
      <c r="S856" s="7">
        <v>46117</v>
      </c>
      <c r="T856" s="7" t="str">
        <f t="shared" si="0"/>
        <v>abril</v>
      </c>
      <c r="X856" s="1" t="s">
        <v>331</v>
      </c>
      <c r="Y856" s="1" t="s">
        <v>332</v>
      </c>
      <c r="Z856" s="1">
        <v>39</v>
      </c>
      <c r="AA856" s="3">
        <v>3389.9</v>
      </c>
      <c r="AB856" s="3">
        <v>132206.1</v>
      </c>
      <c r="AC856" s="1" t="str">
        <f>VLOOKUP(A856,[1]Detalle!$D$2:$CW$484,98,FALSE)</f>
        <v>ADA_CH - Danone Arg. S.A. - Chascomus</v>
      </c>
    </row>
    <row r="857" spans="1:32" ht="14.25" customHeight="1" x14ac:dyDescent="0.3">
      <c r="A857" s="1" t="s">
        <v>9</v>
      </c>
      <c r="B857" s="1" t="s">
        <v>435</v>
      </c>
      <c r="C857" s="1" t="s">
        <v>436</v>
      </c>
      <c r="D857" s="1" t="s">
        <v>428</v>
      </c>
      <c r="E857" s="1">
        <v>0.75</v>
      </c>
      <c r="F857" s="1" t="s">
        <v>329</v>
      </c>
      <c r="G857" s="6">
        <v>45789</v>
      </c>
      <c r="H857" s="1">
        <v>828813</v>
      </c>
      <c r="I857" s="1">
        <v>858813</v>
      </c>
      <c r="J857" s="1">
        <v>52575.80000000001</v>
      </c>
      <c r="K857" s="1">
        <v>-22575.80000000001</v>
      </c>
      <c r="L857" s="1">
        <v>881388.8</v>
      </c>
      <c r="M857" s="1">
        <v>158</v>
      </c>
      <c r="N857" s="1">
        <v>352.51014814814829</v>
      </c>
      <c r="O857" s="1">
        <v>-67.844453151449926</v>
      </c>
      <c r="P857" s="7">
        <v>45947</v>
      </c>
      <c r="Q857" s="1">
        <v>30000</v>
      </c>
      <c r="R857" s="7">
        <v>46117.207865833327</v>
      </c>
      <c r="S857" s="7">
        <v>46117</v>
      </c>
      <c r="T857" s="7" t="str">
        <f t="shared" si="0"/>
        <v>abril</v>
      </c>
      <c r="X857" s="1" t="s">
        <v>437</v>
      </c>
      <c r="Y857" s="1" t="s">
        <v>438</v>
      </c>
      <c r="Z857" s="1">
        <v>1</v>
      </c>
      <c r="AA857" s="3">
        <v>22064.98</v>
      </c>
      <c r="AB857" s="3">
        <v>22064.98</v>
      </c>
      <c r="AC857" s="1" t="str">
        <f>VLOOKUP(A857,[1]Detalle!$D$2:$CW$484,98,FALSE)</f>
        <v>ADA_CH - Danone Arg. S.A. - Chascomus</v>
      </c>
    </row>
    <row r="858" spans="1:32" ht="14.25" customHeight="1" x14ac:dyDescent="0.3">
      <c r="A858" s="1" t="s">
        <v>17</v>
      </c>
      <c r="B858" s="1" t="s">
        <v>439</v>
      </c>
      <c r="C858" s="1" t="s">
        <v>436</v>
      </c>
      <c r="D858" s="1" t="s">
        <v>428</v>
      </c>
      <c r="E858" s="1">
        <v>0.75</v>
      </c>
      <c r="F858" s="1" t="s">
        <v>329</v>
      </c>
      <c r="G858" s="6">
        <v>45776</v>
      </c>
      <c r="H858" s="1">
        <v>664392</v>
      </c>
      <c r="I858" s="1">
        <v>694392</v>
      </c>
      <c r="J858" s="1">
        <v>62703.799999999981</v>
      </c>
      <c r="K858" s="1">
        <v>-32703.799999999981</v>
      </c>
      <c r="L858" s="1">
        <v>727095.79999999993</v>
      </c>
      <c r="M858" s="1">
        <v>171</v>
      </c>
      <c r="N858" s="1">
        <v>382.02855555555578</v>
      </c>
      <c r="O858" s="1">
        <v>-89.186776558996399</v>
      </c>
      <c r="P858" s="7">
        <v>45947</v>
      </c>
      <c r="Q858" s="1">
        <v>30000</v>
      </c>
      <c r="R858" s="7">
        <v>46104.056322430559</v>
      </c>
      <c r="S858" s="7">
        <v>46104</v>
      </c>
      <c r="T858" s="7" t="str">
        <f t="shared" si="0"/>
        <v>marzo</v>
      </c>
      <c r="X858" s="1" t="s">
        <v>331</v>
      </c>
      <c r="Y858" s="1" t="s">
        <v>332</v>
      </c>
      <c r="Z858" s="1">
        <v>39</v>
      </c>
      <c r="AA858" s="3">
        <v>3389.9</v>
      </c>
      <c r="AB858" s="3">
        <v>132206.1</v>
      </c>
      <c r="AC858" s="1" t="str">
        <f>VLOOKUP(A858,[1]Detalle!$D$2:$CW$484,98,FALSE)</f>
        <v>Expreso - Servicios Troncales</v>
      </c>
    </row>
    <row r="859" spans="1:32" ht="14.25" customHeight="1" x14ac:dyDescent="0.3">
      <c r="A859" s="1" t="s">
        <v>17</v>
      </c>
      <c r="B859" s="1" t="s">
        <v>439</v>
      </c>
      <c r="C859" s="1" t="s">
        <v>436</v>
      </c>
      <c r="D859" s="1" t="s">
        <v>428</v>
      </c>
      <c r="E859" s="1">
        <v>0.75</v>
      </c>
      <c r="F859" s="1" t="s">
        <v>329</v>
      </c>
      <c r="G859" s="6">
        <v>45776</v>
      </c>
      <c r="H859" s="1">
        <v>664392</v>
      </c>
      <c r="I859" s="1">
        <v>694392</v>
      </c>
      <c r="J859" s="1">
        <v>62703.799999999981</v>
      </c>
      <c r="K859" s="1">
        <v>-32703.799999999981</v>
      </c>
      <c r="L859" s="1">
        <v>727095.79999999993</v>
      </c>
      <c r="M859" s="1">
        <v>171</v>
      </c>
      <c r="N859" s="1">
        <v>382.02855555555578</v>
      </c>
      <c r="O859" s="1">
        <v>-89.186776558996399</v>
      </c>
      <c r="P859" s="7">
        <v>45947</v>
      </c>
      <c r="Q859" s="1">
        <v>30000</v>
      </c>
      <c r="R859" s="7">
        <v>46104.056322430559</v>
      </c>
      <c r="S859" s="7">
        <v>46104</v>
      </c>
      <c r="T859" s="7" t="str">
        <f t="shared" si="0"/>
        <v>marzo</v>
      </c>
      <c r="X859" s="1" t="s">
        <v>437</v>
      </c>
      <c r="Y859" s="1" t="s">
        <v>438</v>
      </c>
      <c r="Z859" s="1">
        <v>1</v>
      </c>
      <c r="AA859" s="3">
        <v>22064.98</v>
      </c>
      <c r="AB859" s="3">
        <v>22064.98</v>
      </c>
      <c r="AC859" s="1" t="str">
        <f>VLOOKUP(A859,[1]Detalle!$D$2:$CW$484,98,FALSE)</f>
        <v>Expreso - Servicios Troncales</v>
      </c>
    </row>
    <row r="860" spans="1:32" ht="14.25" customHeight="1" x14ac:dyDescent="0.3">
      <c r="A860" s="1" t="s">
        <v>18</v>
      </c>
      <c r="B860" s="1" t="s">
        <v>439</v>
      </c>
      <c r="C860" s="1" t="s">
        <v>436</v>
      </c>
      <c r="D860" s="1" t="s">
        <v>428</v>
      </c>
      <c r="E860" s="1">
        <v>0.75</v>
      </c>
      <c r="F860" s="1" t="s">
        <v>329</v>
      </c>
      <c r="G860" s="6">
        <v>45852</v>
      </c>
      <c r="H860" s="1">
        <v>654972</v>
      </c>
      <c r="I860" s="1">
        <v>684972</v>
      </c>
      <c r="J860" s="1">
        <v>26383.500000000011</v>
      </c>
      <c r="K860" s="1">
        <v>3616.4999999999932</v>
      </c>
      <c r="L860" s="1">
        <v>681355.5</v>
      </c>
      <c r="M860" s="1">
        <v>95</v>
      </c>
      <c r="N860" s="1">
        <v>381.04202205882348</v>
      </c>
      <c r="O860" s="1">
        <v>13.02205924157141</v>
      </c>
      <c r="P860" s="7">
        <v>45947</v>
      </c>
      <c r="Q860" s="1">
        <v>30000</v>
      </c>
      <c r="R860" s="7">
        <v>46117.485006967603</v>
      </c>
      <c r="S860" s="7">
        <v>46117</v>
      </c>
      <c r="T860" s="7" t="str">
        <f t="shared" si="0"/>
        <v>abril</v>
      </c>
      <c r="X860" s="1" t="s">
        <v>331</v>
      </c>
      <c r="Y860" s="1" t="s">
        <v>332</v>
      </c>
      <c r="Z860" s="1">
        <v>39</v>
      </c>
      <c r="AA860" s="3">
        <v>3389.9</v>
      </c>
      <c r="AB860" s="3">
        <v>132206.1</v>
      </c>
      <c r="AC860" s="1" t="str">
        <f>VLOOKUP(A860,[1]Detalle!$D$2:$CW$484,98,FALSE)</f>
        <v>Expreso - Servicios Troncales</v>
      </c>
    </row>
    <row r="861" spans="1:32" ht="14.25" customHeight="1" x14ac:dyDescent="0.3">
      <c r="A861" s="1" t="s">
        <v>18</v>
      </c>
      <c r="B861" s="1" t="s">
        <v>439</v>
      </c>
      <c r="C861" s="1" t="s">
        <v>436</v>
      </c>
      <c r="D861" s="1" t="s">
        <v>428</v>
      </c>
      <c r="E861" s="1">
        <v>0.75</v>
      </c>
      <c r="F861" s="1" t="s">
        <v>329</v>
      </c>
      <c r="G861" s="6">
        <v>45852</v>
      </c>
      <c r="H861" s="1">
        <v>654972</v>
      </c>
      <c r="I861" s="1">
        <v>684972</v>
      </c>
      <c r="J861" s="1">
        <v>26383.500000000011</v>
      </c>
      <c r="K861" s="1">
        <v>3616.4999999999932</v>
      </c>
      <c r="L861" s="1">
        <v>681355.5</v>
      </c>
      <c r="M861" s="1">
        <v>95</v>
      </c>
      <c r="N861" s="1">
        <v>381.04202205882348</v>
      </c>
      <c r="O861" s="1">
        <v>13.02205924157141</v>
      </c>
      <c r="P861" s="7">
        <v>45947</v>
      </c>
      <c r="Q861" s="1">
        <v>30000</v>
      </c>
      <c r="R861" s="7">
        <v>46117.485006967603</v>
      </c>
      <c r="S861" s="7">
        <v>46117</v>
      </c>
      <c r="T861" s="7" t="str">
        <f t="shared" si="0"/>
        <v>abril</v>
      </c>
      <c r="X861" s="1" t="s">
        <v>437</v>
      </c>
      <c r="Y861" s="1" t="s">
        <v>438</v>
      </c>
      <c r="Z861" s="1">
        <v>1</v>
      </c>
      <c r="AA861" s="3">
        <v>22064.98</v>
      </c>
      <c r="AB861" s="3">
        <v>22064.98</v>
      </c>
      <c r="AC861" s="1" t="str">
        <f>VLOOKUP(A861,[1]Detalle!$D$2:$CW$484,98,FALSE)</f>
        <v>Expreso - Servicios Troncales</v>
      </c>
    </row>
    <row r="862" spans="1:32" ht="14.25" customHeight="1" x14ac:dyDescent="0.3">
      <c r="A862" s="1" t="s">
        <v>231</v>
      </c>
      <c r="B862" s="1" t="s">
        <v>440</v>
      </c>
      <c r="C862" s="1" t="s">
        <v>436</v>
      </c>
      <c r="D862" s="1" t="s">
        <v>428</v>
      </c>
      <c r="E862" s="1">
        <v>0.75</v>
      </c>
      <c r="F862" s="1" t="s">
        <v>329</v>
      </c>
      <c r="G862" s="6">
        <v>45889</v>
      </c>
      <c r="H862" s="1">
        <v>1836513</v>
      </c>
      <c r="I862" s="1">
        <v>1866513</v>
      </c>
      <c r="J862" s="1">
        <v>14116.4</v>
      </c>
      <c r="K862" s="1">
        <v>15883.6</v>
      </c>
      <c r="L862" s="1">
        <v>1850629.4</v>
      </c>
      <c r="M862" s="1">
        <v>58</v>
      </c>
      <c r="N862" s="1">
        <v>332.5574264705881</v>
      </c>
      <c r="O862" s="1">
        <v>65.260888045110633</v>
      </c>
      <c r="P862" s="7">
        <v>45947</v>
      </c>
      <c r="Q862" s="1">
        <v>30000</v>
      </c>
      <c r="R862" s="7">
        <v>46192.680855312501</v>
      </c>
      <c r="S862" s="7">
        <v>46192</v>
      </c>
      <c r="T862" s="7" t="str">
        <f t="shared" si="0"/>
        <v>junio</v>
      </c>
      <c r="X862" s="1" t="s">
        <v>331</v>
      </c>
      <c r="Y862" s="1" t="s">
        <v>332</v>
      </c>
      <c r="Z862" s="1">
        <v>39</v>
      </c>
      <c r="AA862" s="3">
        <v>3389.9</v>
      </c>
      <c r="AB862" s="3">
        <v>132206.1</v>
      </c>
      <c r="AC862" s="1" t="str">
        <f>VLOOKUP(A862,[1]Detalle!$D$2:$CW$484,98,FALSE)</f>
        <v>Expreso - Servicios Troncales</v>
      </c>
    </row>
    <row r="863" spans="1:32" ht="14.25" customHeight="1" x14ac:dyDescent="0.3">
      <c r="A863" s="1" t="s">
        <v>231</v>
      </c>
      <c r="B863" s="1" t="s">
        <v>440</v>
      </c>
      <c r="C863" s="1" t="s">
        <v>436</v>
      </c>
      <c r="D863" s="1" t="s">
        <v>428</v>
      </c>
      <c r="E863" s="1">
        <v>0.75</v>
      </c>
      <c r="F863" s="1" t="s">
        <v>329</v>
      </c>
      <c r="G863" s="6">
        <v>45889</v>
      </c>
      <c r="H863" s="1">
        <v>1836513</v>
      </c>
      <c r="I863" s="1">
        <v>1866513</v>
      </c>
      <c r="J863" s="1">
        <v>14116.4</v>
      </c>
      <c r="K863" s="1">
        <v>15883.6</v>
      </c>
      <c r="L863" s="1">
        <v>1850629.4</v>
      </c>
      <c r="M863" s="1">
        <v>58</v>
      </c>
      <c r="N863" s="1">
        <v>332.5574264705881</v>
      </c>
      <c r="O863" s="1">
        <v>65.260888045110633</v>
      </c>
      <c r="P863" s="7">
        <v>45947</v>
      </c>
      <c r="Q863" s="1">
        <v>30000</v>
      </c>
      <c r="R863" s="7">
        <v>46192.680855312501</v>
      </c>
      <c r="S863" s="7">
        <v>46192</v>
      </c>
      <c r="T863" s="7" t="str">
        <f t="shared" si="0"/>
        <v>junio</v>
      </c>
      <c r="X863" s="1" t="s">
        <v>437</v>
      </c>
      <c r="Y863" s="1" t="s">
        <v>438</v>
      </c>
      <c r="Z863" s="1">
        <v>1</v>
      </c>
      <c r="AA863" s="3">
        <v>22064.98</v>
      </c>
      <c r="AB863" s="3">
        <v>22064.98</v>
      </c>
      <c r="AC863" s="1" t="str">
        <f>VLOOKUP(A863,[1]Detalle!$D$2:$CW$484,98,FALSE)</f>
        <v>Expreso - Servicios Troncales</v>
      </c>
    </row>
    <row r="864" spans="1:32" ht="14.25" customHeight="1" x14ac:dyDescent="0.3">
      <c r="A864" s="8" t="s">
        <v>279</v>
      </c>
      <c r="B864" s="1" t="s">
        <v>442</v>
      </c>
      <c r="C864" s="8" t="s">
        <v>443</v>
      </c>
      <c r="D864" s="8" t="s">
        <v>428</v>
      </c>
      <c r="E864" s="8">
        <v>0.75</v>
      </c>
      <c r="F864" s="8" t="s">
        <v>329</v>
      </c>
      <c r="G864" s="9">
        <v>45688</v>
      </c>
      <c r="H864" s="8">
        <v>35081.599999999999</v>
      </c>
      <c r="I864" s="8">
        <v>65081.599999999999</v>
      </c>
      <c r="J864" s="8">
        <v>51895.159999999982</v>
      </c>
      <c r="K864" s="8">
        <v>-21895.159999999982</v>
      </c>
      <c r="L864" s="8">
        <v>86976.75999999998</v>
      </c>
      <c r="M864" s="8">
        <v>259</v>
      </c>
      <c r="N864" s="8">
        <v>197.99579335793359</v>
      </c>
      <c r="O864" s="8">
        <v>-109.2750545522935</v>
      </c>
      <c r="P864" s="10">
        <v>45947</v>
      </c>
      <c r="Q864" s="8">
        <v>30000</v>
      </c>
      <c r="R864" s="10">
        <v>46250.036741249998</v>
      </c>
      <c r="S864" s="7">
        <v>46250</v>
      </c>
      <c r="T864" s="10" t="str">
        <f t="shared" si="0"/>
        <v>agosto</v>
      </c>
      <c r="U864" s="8"/>
      <c r="V864" s="8"/>
      <c r="W864" s="8"/>
      <c r="X864" s="8" t="s">
        <v>331</v>
      </c>
      <c r="Y864" s="8" t="s">
        <v>332</v>
      </c>
      <c r="Z864" s="8">
        <v>29</v>
      </c>
      <c r="AA864" s="11">
        <v>3389.9</v>
      </c>
      <c r="AB864" s="11">
        <v>98307.1</v>
      </c>
      <c r="AC864" s="1" t="str">
        <f>VLOOKUP(A864,[1]Detalle!$D$2:$CW$484,98,FALSE)</f>
        <v>Expreso - Servicios Troncales</v>
      </c>
      <c r="AD864" s="8"/>
      <c r="AE864" s="8"/>
      <c r="AF864" s="8"/>
    </row>
    <row r="865" spans="1:32" ht="14.25" customHeight="1" x14ac:dyDescent="0.3">
      <c r="A865" s="8" t="s">
        <v>279</v>
      </c>
      <c r="B865" s="1" t="s">
        <v>442</v>
      </c>
      <c r="C865" s="8" t="s">
        <v>443</v>
      </c>
      <c r="D865" s="8" t="s">
        <v>428</v>
      </c>
      <c r="E865" s="8">
        <v>0.75</v>
      </c>
      <c r="F865" s="8" t="s">
        <v>329</v>
      </c>
      <c r="G865" s="9">
        <v>45688</v>
      </c>
      <c r="H865" s="8">
        <v>35081.599999999999</v>
      </c>
      <c r="I865" s="8">
        <v>65081.599999999999</v>
      </c>
      <c r="J865" s="8">
        <v>51895.159999999982</v>
      </c>
      <c r="K865" s="8">
        <v>-21895.159999999982</v>
      </c>
      <c r="L865" s="8">
        <v>86976.75999999998</v>
      </c>
      <c r="M865" s="8">
        <v>259</v>
      </c>
      <c r="N865" s="8">
        <v>197.99579335793359</v>
      </c>
      <c r="O865" s="8">
        <v>-109.2750545522935</v>
      </c>
      <c r="P865" s="10">
        <v>45947</v>
      </c>
      <c r="Q865" s="8">
        <v>30000</v>
      </c>
      <c r="R865" s="10">
        <v>46250.036741249998</v>
      </c>
      <c r="S865" s="7">
        <v>46250</v>
      </c>
      <c r="T865" s="10" t="str">
        <f t="shared" si="0"/>
        <v>agosto</v>
      </c>
      <c r="U865" s="8"/>
      <c r="V865" s="8"/>
      <c r="W865" s="8"/>
      <c r="X865" s="8" t="s">
        <v>444</v>
      </c>
      <c r="Y865" s="8" t="s">
        <v>445</v>
      </c>
      <c r="Z865" s="8">
        <v>1</v>
      </c>
      <c r="AA865" s="11">
        <v>42100</v>
      </c>
      <c r="AB865" s="11">
        <v>42100</v>
      </c>
      <c r="AC865" s="1" t="str">
        <f>VLOOKUP(A865,[1]Detalle!$D$2:$CW$484,98,FALSE)</f>
        <v>Expreso - Servicios Troncales</v>
      </c>
      <c r="AD865" s="8"/>
      <c r="AE865" s="8"/>
      <c r="AF865" s="8"/>
    </row>
    <row r="866" spans="1:32" ht="14.25" customHeight="1" x14ac:dyDescent="0.3">
      <c r="A866" s="1" t="s">
        <v>228</v>
      </c>
      <c r="B866" s="1" t="s">
        <v>446</v>
      </c>
      <c r="C866" s="1" t="s">
        <v>443</v>
      </c>
      <c r="D866" s="1" t="s">
        <v>428</v>
      </c>
      <c r="E866" s="1">
        <v>0.75</v>
      </c>
      <c r="F866" s="1" t="s">
        <v>329</v>
      </c>
      <c r="G866" s="6">
        <v>45678</v>
      </c>
      <c r="H866" s="1">
        <v>799717</v>
      </c>
      <c r="I866" s="1">
        <v>829717</v>
      </c>
      <c r="J866" s="1">
        <v>57283.27</v>
      </c>
      <c r="K866" s="1">
        <v>-27283.27</v>
      </c>
      <c r="L866" s="1">
        <v>857000.27</v>
      </c>
      <c r="M866" s="1">
        <v>269</v>
      </c>
      <c r="N866" s="1">
        <v>232.68261029411761</v>
      </c>
      <c r="O866" s="1">
        <v>-128.12117098063709</v>
      </c>
      <c r="P866" s="7">
        <v>45947</v>
      </c>
      <c r="Q866" s="1">
        <v>30000</v>
      </c>
      <c r="R866" s="7">
        <v>46204.861986006938</v>
      </c>
      <c r="S866" s="7">
        <v>46204</v>
      </c>
      <c r="T866" s="7" t="str">
        <f t="shared" si="0"/>
        <v>julio</v>
      </c>
      <c r="X866" s="1" t="s">
        <v>331</v>
      </c>
      <c r="Y866" s="1" t="s">
        <v>332</v>
      </c>
      <c r="Z866" s="1">
        <v>29</v>
      </c>
      <c r="AA866" s="3">
        <v>3389.9</v>
      </c>
      <c r="AB866" s="3">
        <v>98307.1</v>
      </c>
      <c r="AC866" s="1" t="str">
        <f>VLOOKUP(A866,[1]Detalle!$D$2:$CW$484,98,FALSE)</f>
        <v>Expreso - Servicios Troncales</v>
      </c>
    </row>
    <row r="867" spans="1:32" ht="14.25" customHeight="1" x14ac:dyDescent="0.3">
      <c r="A867" s="1" t="s">
        <v>228</v>
      </c>
      <c r="B867" s="1" t="s">
        <v>446</v>
      </c>
      <c r="C867" s="1" t="s">
        <v>443</v>
      </c>
      <c r="D867" s="1" t="s">
        <v>428</v>
      </c>
      <c r="E867" s="1">
        <v>0.75</v>
      </c>
      <c r="F867" s="1" t="s">
        <v>329</v>
      </c>
      <c r="G867" s="6">
        <v>45678</v>
      </c>
      <c r="H867" s="1">
        <v>799717</v>
      </c>
      <c r="I867" s="1">
        <v>829717</v>
      </c>
      <c r="J867" s="1">
        <v>57283.27</v>
      </c>
      <c r="K867" s="1">
        <v>-27283.27</v>
      </c>
      <c r="L867" s="1">
        <v>857000.27</v>
      </c>
      <c r="M867" s="1">
        <v>269</v>
      </c>
      <c r="N867" s="1">
        <v>232.68261029411761</v>
      </c>
      <c r="O867" s="1">
        <v>-128.12117098063709</v>
      </c>
      <c r="P867" s="7">
        <v>45947</v>
      </c>
      <c r="Q867" s="1">
        <v>30000</v>
      </c>
      <c r="R867" s="7">
        <v>46204.861986006938</v>
      </c>
      <c r="S867" s="7">
        <v>46204</v>
      </c>
      <c r="T867" s="7" t="str">
        <f t="shared" si="0"/>
        <v>julio</v>
      </c>
      <c r="X867" s="1" t="s">
        <v>444</v>
      </c>
      <c r="Y867" s="1" t="s">
        <v>445</v>
      </c>
      <c r="Z867" s="1">
        <v>1</v>
      </c>
      <c r="AA867" s="3">
        <v>42100</v>
      </c>
      <c r="AB867" s="3">
        <v>42100</v>
      </c>
      <c r="AC867" s="1" t="str">
        <f>VLOOKUP(A867,[1]Detalle!$D$2:$CW$484,98,FALSE)</f>
        <v>Expreso - Servicios Troncales</v>
      </c>
    </row>
    <row r="868" spans="1:32" ht="14.25" customHeight="1" x14ac:dyDescent="0.3">
      <c r="A868" s="1" t="s">
        <v>96</v>
      </c>
      <c r="B868" s="1" t="s">
        <v>429</v>
      </c>
      <c r="C868" s="1" t="s">
        <v>451</v>
      </c>
      <c r="D868" s="1" t="s">
        <v>451</v>
      </c>
      <c r="E868" s="1">
        <v>0.5</v>
      </c>
      <c r="F868" s="1" t="s">
        <v>344</v>
      </c>
      <c r="G868" s="6">
        <v>45861</v>
      </c>
      <c r="H868" s="1">
        <v>163295</v>
      </c>
      <c r="I868" s="1">
        <v>193295</v>
      </c>
      <c r="J868" s="1">
        <v>22184.6</v>
      </c>
      <c r="K868" s="1">
        <v>7815.3999999999978</v>
      </c>
      <c r="L868" s="1">
        <v>185479.6</v>
      </c>
      <c r="M868" s="1">
        <v>86</v>
      </c>
      <c r="N868" s="1">
        <v>281.98244274809178</v>
      </c>
      <c r="O868" s="1">
        <v>30.296890635846481</v>
      </c>
      <c r="P868" s="7">
        <v>45947</v>
      </c>
      <c r="Q868" s="1">
        <v>30000</v>
      </c>
      <c r="R868" s="7">
        <v>46190.076095659722</v>
      </c>
      <c r="S868" s="7">
        <v>46190</v>
      </c>
      <c r="T868" s="7" t="str">
        <f t="shared" si="0"/>
        <v>junio</v>
      </c>
      <c r="X868" s="1" t="s">
        <v>345</v>
      </c>
      <c r="Y868" s="1" t="s">
        <v>346</v>
      </c>
      <c r="Z868" s="1">
        <v>1</v>
      </c>
      <c r="AA868" s="3">
        <v>10535.04</v>
      </c>
      <c r="AB868" s="3">
        <v>10535.04</v>
      </c>
      <c r="AC868" s="1" t="str">
        <f>VLOOKUP(A868,[1]Detalle!$D$2:$CW$484,98,FALSE)</f>
        <v>CENCOMLD - Cencosud SA - Mendoza</v>
      </c>
    </row>
    <row r="869" spans="1:32" ht="14.25" customHeight="1" x14ac:dyDescent="0.3">
      <c r="A869" s="1" t="s">
        <v>96</v>
      </c>
      <c r="B869" s="1" t="s">
        <v>429</v>
      </c>
      <c r="C869" s="1" t="s">
        <v>451</v>
      </c>
      <c r="D869" s="1" t="s">
        <v>451</v>
      </c>
      <c r="E869" s="1">
        <v>0.5</v>
      </c>
      <c r="F869" s="1" t="s">
        <v>344</v>
      </c>
      <c r="G869" s="6">
        <v>45861</v>
      </c>
      <c r="H869" s="1">
        <v>163295</v>
      </c>
      <c r="I869" s="1">
        <v>193295</v>
      </c>
      <c r="J869" s="1">
        <v>22184.6</v>
      </c>
      <c r="K869" s="1">
        <v>7815.3999999999978</v>
      </c>
      <c r="L869" s="1">
        <v>185479.6</v>
      </c>
      <c r="M869" s="1">
        <v>86</v>
      </c>
      <c r="N869" s="1">
        <v>281.98244274809178</v>
      </c>
      <c r="O869" s="1">
        <v>30.296890635846481</v>
      </c>
      <c r="P869" s="7">
        <v>45947</v>
      </c>
      <c r="Q869" s="1">
        <v>30000</v>
      </c>
      <c r="R869" s="7">
        <v>46190.076095659722</v>
      </c>
      <c r="S869" s="7">
        <v>46190</v>
      </c>
      <c r="T869" s="7" t="str">
        <f t="shared" si="0"/>
        <v>junio</v>
      </c>
      <c r="X869" s="1" t="s">
        <v>452</v>
      </c>
      <c r="Y869" s="1" t="s">
        <v>453</v>
      </c>
      <c r="Z869" s="1">
        <v>1</v>
      </c>
      <c r="AA869" s="3">
        <v>13118.81</v>
      </c>
      <c r="AB869" s="3">
        <v>13118.81</v>
      </c>
      <c r="AC869" s="1" t="str">
        <f>VLOOKUP(A869,[1]Detalle!$D$2:$CW$484,98,FALSE)</f>
        <v>CENCOMLD - Cencosud SA - Mendoza</v>
      </c>
    </row>
    <row r="870" spans="1:32" ht="14.25" customHeight="1" x14ac:dyDescent="0.3">
      <c r="A870" s="1" t="s">
        <v>186</v>
      </c>
      <c r="B870" s="1" t="s">
        <v>427</v>
      </c>
      <c r="C870" s="1" t="s">
        <v>451</v>
      </c>
      <c r="D870" s="1" t="s">
        <v>451</v>
      </c>
      <c r="E870" s="1">
        <v>0.5</v>
      </c>
      <c r="F870" s="1" t="s">
        <v>344</v>
      </c>
      <c r="G870" s="6">
        <v>45800</v>
      </c>
      <c r="H870" s="1">
        <v>459582</v>
      </c>
      <c r="I870" s="1">
        <v>489582</v>
      </c>
      <c r="J870" s="1">
        <v>48012.699999999968</v>
      </c>
      <c r="K870" s="1">
        <v>-18012.699999999972</v>
      </c>
      <c r="L870" s="1">
        <v>507594.7</v>
      </c>
      <c r="M870" s="1">
        <v>147</v>
      </c>
      <c r="N870" s="1">
        <v>303.0774834437085</v>
      </c>
      <c r="O870" s="1">
        <v>-55.149302163802432</v>
      </c>
      <c r="P870" s="7">
        <v>45947</v>
      </c>
      <c r="Q870" s="1">
        <v>30000</v>
      </c>
      <c r="R870" s="7">
        <v>46144.969177118059</v>
      </c>
      <c r="S870" s="7">
        <v>46144</v>
      </c>
      <c r="T870" s="7" t="str">
        <f t="shared" si="0"/>
        <v>mayo</v>
      </c>
      <c r="X870" s="1" t="s">
        <v>345</v>
      </c>
      <c r="Y870" s="1" t="s">
        <v>346</v>
      </c>
      <c r="Z870" s="1">
        <v>1</v>
      </c>
      <c r="AA870" s="3">
        <v>10535.04</v>
      </c>
      <c r="AB870" s="3">
        <v>10535.04</v>
      </c>
      <c r="AC870" s="1" t="str">
        <f>VLOOKUP(A870,[1]Detalle!$D$2:$CW$484,98,FALSE)</f>
        <v>Expreso - Servicios Troncales</v>
      </c>
    </row>
    <row r="871" spans="1:32" ht="14.25" customHeight="1" x14ac:dyDescent="0.3">
      <c r="A871" s="1" t="s">
        <v>186</v>
      </c>
      <c r="B871" s="1" t="s">
        <v>427</v>
      </c>
      <c r="C871" s="1" t="s">
        <v>451</v>
      </c>
      <c r="D871" s="1" t="s">
        <v>451</v>
      </c>
      <c r="E871" s="1">
        <v>0.5</v>
      </c>
      <c r="F871" s="1" t="s">
        <v>344</v>
      </c>
      <c r="G871" s="6">
        <v>45800</v>
      </c>
      <c r="H871" s="1">
        <v>459582</v>
      </c>
      <c r="I871" s="1">
        <v>489582</v>
      </c>
      <c r="J871" s="1">
        <v>48012.699999999968</v>
      </c>
      <c r="K871" s="1">
        <v>-18012.699999999972</v>
      </c>
      <c r="L871" s="1">
        <v>507594.7</v>
      </c>
      <c r="M871" s="1">
        <v>147</v>
      </c>
      <c r="N871" s="1">
        <v>303.0774834437085</v>
      </c>
      <c r="O871" s="1">
        <v>-55.149302163802432</v>
      </c>
      <c r="P871" s="7">
        <v>45947</v>
      </c>
      <c r="Q871" s="1">
        <v>30000</v>
      </c>
      <c r="R871" s="7">
        <v>46144.969177118059</v>
      </c>
      <c r="S871" s="7">
        <v>46144</v>
      </c>
      <c r="T871" s="7" t="str">
        <f t="shared" si="0"/>
        <v>mayo</v>
      </c>
      <c r="X871" s="1" t="s">
        <v>452</v>
      </c>
      <c r="Y871" s="1" t="s">
        <v>453</v>
      </c>
      <c r="Z871" s="1">
        <v>1</v>
      </c>
      <c r="AA871" s="3">
        <v>13118.81</v>
      </c>
      <c r="AB871" s="3">
        <v>13118.81</v>
      </c>
      <c r="AC871" s="1" t="str">
        <f>VLOOKUP(A871,[1]Detalle!$D$2:$CW$484,98,FALSE)</f>
        <v>Expreso - Servicios Troncales</v>
      </c>
    </row>
    <row r="872" spans="1:32" ht="14.25" customHeight="1" x14ac:dyDescent="0.3">
      <c r="A872" s="1" t="s">
        <v>8</v>
      </c>
      <c r="B872" s="1" t="s">
        <v>435</v>
      </c>
      <c r="C872" s="1" t="s">
        <v>454</v>
      </c>
      <c r="D872" s="1" t="s">
        <v>451</v>
      </c>
      <c r="E872" s="1">
        <v>0.5</v>
      </c>
      <c r="F872" s="1" t="s">
        <v>344</v>
      </c>
      <c r="G872" s="6">
        <v>45880</v>
      </c>
      <c r="H872" s="1">
        <v>722255</v>
      </c>
      <c r="I872" s="1">
        <v>752255</v>
      </c>
      <c r="J872" s="1">
        <v>15317.7</v>
      </c>
      <c r="K872" s="1">
        <v>14682.3</v>
      </c>
      <c r="L872" s="1">
        <v>737572.7</v>
      </c>
      <c r="M872" s="1">
        <v>67</v>
      </c>
      <c r="N872" s="1">
        <v>286.50848708487092</v>
      </c>
      <c r="O872" s="1">
        <v>64.220744628762787</v>
      </c>
      <c r="P872" s="7">
        <v>45947</v>
      </c>
      <c r="Q872" s="1">
        <v>30000</v>
      </c>
      <c r="R872" s="7">
        <v>46220.63862474537</v>
      </c>
      <c r="S872" s="7">
        <v>46220</v>
      </c>
      <c r="T872" s="7" t="str">
        <f t="shared" si="0"/>
        <v>julio</v>
      </c>
      <c r="X872" s="1" t="s">
        <v>455</v>
      </c>
      <c r="Y872" s="1" t="s">
        <v>456</v>
      </c>
      <c r="Z872" s="1">
        <v>1</v>
      </c>
      <c r="AA872" s="3">
        <v>19823.39</v>
      </c>
      <c r="AB872" s="3">
        <v>19823.39</v>
      </c>
      <c r="AC872" s="1" t="str">
        <f>VLOOKUP(A872,[1]Detalle!$D$2:$CW$484,98,FALSE)</f>
        <v>ADA_CH - Danone Arg. S.A. - Chascomus</v>
      </c>
    </row>
    <row r="873" spans="1:32" ht="14.25" customHeight="1" x14ac:dyDescent="0.3">
      <c r="A873" s="1" t="s">
        <v>8</v>
      </c>
      <c r="B873" s="1" t="s">
        <v>435</v>
      </c>
      <c r="C873" s="1" t="s">
        <v>454</v>
      </c>
      <c r="D873" s="1" t="s">
        <v>451</v>
      </c>
      <c r="E873" s="1">
        <v>0.5</v>
      </c>
      <c r="F873" s="1" t="s">
        <v>344</v>
      </c>
      <c r="G873" s="6">
        <v>45880</v>
      </c>
      <c r="H873" s="1">
        <v>722255</v>
      </c>
      <c r="I873" s="1">
        <v>752255</v>
      </c>
      <c r="J873" s="1">
        <v>15317.7</v>
      </c>
      <c r="K873" s="1">
        <v>14682.3</v>
      </c>
      <c r="L873" s="1">
        <v>737572.7</v>
      </c>
      <c r="M873" s="1">
        <v>67</v>
      </c>
      <c r="N873" s="1">
        <v>286.50848708487092</v>
      </c>
      <c r="O873" s="1">
        <v>64.220744628762787</v>
      </c>
      <c r="P873" s="7">
        <v>45947</v>
      </c>
      <c r="Q873" s="1">
        <v>30000</v>
      </c>
      <c r="R873" s="7">
        <v>46220.63862474537</v>
      </c>
      <c r="S873" s="7">
        <v>46220</v>
      </c>
      <c r="T873" s="7" t="str">
        <f t="shared" si="0"/>
        <v>julio</v>
      </c>
      <c r="X873" s="1" t="s">
        <v>452</v>
      </c>
      <c r="Y873" s="1" t="s">
        <v>453</v>
      </c>
      <c r="Z873" s="1">
        <v>1</v>
      </c>
      <c r="AA873" s="3">
        <v>13118.81</v>
      </c>
      <c r="AB873" s="3">
        <v>13118.81</v>
      </c>
      <c r="AC873" s="1" t="str">
        <f>VLOOKUP(A873,[1]Detalle!$D$2:$CW$484,98,FALSE)</f>
        <v>ADA_CH - Danone Arg. S.A. - Chascomus</v>
      </c>
    </row>
    <row r="874" spans="1:32" ht="14.25" customHeight="1" x14ac:dyDescent="0.3">
      <c r="A874" s="1" t="s">
        <v>11</v>
      </c>
      <c r="B874" s="1" t="s">
        <v>435</v>
      </c>
      <c r="C874" s="1" t="s">
        <v>454</v>
      </c>
      <c r="D874" s="1" t="s">
        <v>451</v>
      </c>
      <c r="E874" s="1">
        <v>0.5</v>
      </c>
      <c r="F874" s="1" t="s">
        <v>344</v>
      </c>
      <c r="G874" s="6">
        <v>45853</v>
      </c>
      <c r="H874" s="1">
        <v>769430</v>
      </c>
      <c r="I874" s="1">
        <v>799430</v>
      </c>
      <c r="J874" s="1">
        <v>24465.80000000001</v>
      </c>
      <c r="K874" s="1">
        <v>5534.1999999999935</v>
      </c>
      <c r="L874" s="1">
        <v>793895.8</v>
      </c>
      <c r="M874" s="1">
        <v>94</v>
      </c>
      <c r="N874" s="1">
        <v>323.09338235294098</v>
      </c>
      <c r="O874" s="1">
        <v>21.262938469210049</v>
      </c>
      <c r="P874" s="7">
        <v>45947</v>
      </c>
      <c r="Q874" s="1">
        <v>30000</v>
      </c>
      <c r="R874" s="7">
        <v>46153.967763379631</v>
      </c>
      <c r="S874" s="7">
        <v>46153</v>
      </c>
      <c r="T874" s="7" t="str">
        <f t="shared" si="0"/>
        <v>mayo</v>
      </c>
      <c r="X874" s="1" t="s">
        <v>455</v>
      </c>
      <c r="Y874" s="1" t="s">
        <v>456</v>
      </c>
      <c r="Z874" s="1">
        <v>1</v>
      </c>
      <c r="AA874" s="3">
        <v>19823.39</v>
      </c>
      <c r="AB874" s="3">
        <v>19823.39</v>
      </c>
      <c r="AC874" s="1" t="str">
        <f>VLOOKUP(A874,[1]Detalle!$D$2:$CW$484,98,FALSE)</f>
        <v>ADA_CH - Danone Arg. S.A. - Chascomus</v>
      </c>
    </row>
    <row r="875" spans="1:32" ht="14.25" customHeight="1" x14ac:dyDescent="0.3">
      <c r="A875" s="1" t="s">
        <v>11</v>
      </c>
      <c r="B875" s="1" t="s">
        <v>435</v>
      </c>
      <c r="C875" s="1" t="s">
        <v>454</v>
      </c>
      <c r="D875" s="1" t="s">
        <v>451</v>
      </c>
      <c r="E875" s="1">
        <v>0.5</v>
      </c>
      <c r="F875" s="1" t="s">
        <v>344</v>
      </c>
      <c r="G875" s="6">
        <v>45853</v>
      </c>
      <c r="H875" s="1">
        <v>769430</v>
      </c>
      <c r="I875" s="1">
        <v>799430</v>
      </c>
      <c r="J875" s="1">
        <v>24465.80000000001</v>
      </c>
      <c r="K875" s="1">
        <v>5534.1999999999935</v>
      </c>
      <c r="L875" s="1">
        <v>793895.8</v>
      </c>
      <c r="M875" s="1">
        <v>94</v>
      </c>
      <c r="N875" s="1">
        <v>323.09338235294098</v>
      </c>
      <c r="O875" s="1">
        <v>21.262938469210049</v>
      </c>
      <c r="P875" s="7">
        <v>45947</v>
      </c>
      <c r="Q875" s="1">
        <v>30000</v>
      </c>
      <c r="R875" s="7">
        <v>46153.967763379631</v>
      </c>
      <c r="S875" s="7">
        <v>46153</v>
      </c>
      <c r="T875" s="7" t="str">
        <f t="shared" si="0"/>
        <v>mayo</v>
      </c>
      <c r="X875" s="1" t="s">
        <v>452</v>
      </c>
      <c r="Y875" s="1" t="s">
        <v>453</v>
      </c>
      <c r="Z875" s="1">
        <v>1</v>
      </c>
      <c r="AA875" s="3">
        <v>13118.81</v>
      </c>
      <c r="AB875" s="3">
        <v>13118.81</v>
      </c>
      <c r="AC875" s="1" t="str">
        <f>VLOOKUP(A875,[1]Detalle!$D$2:$CW$484,98,FALSE)</f>
        <v>ADA_CH - Danone Arg. S.A. - Chascomus</v>
      </c>
    </row>
    <row r="876" spans="1:32" ht="14.25" customHeight="1" x14ac:dyDescent="0.3">
      <c r="A876" s="1" t="s">
        <v>13</v>
      </c>
      <c r="B876" s="1" t="s">
        <v>435</v>
      </c>
      <c r="C876" s="1" t="s">
        <v>454</v>
      </c>
      <c r="D876" s="1" t="s">
        <v>451</v>
      </c>
      <c r="E876" s="1">
        <v>0.5</v>
      </c>
      <c r="F876" s="1" t="s">
        <v>344</v>
      </c>
      <c r="G876" s="6">
        <v>45831</v>
      </c>
      <c r="H876" s="1">
        <v>751112</v>
      </c>
      <c r="I876" s="1">
        <v>781112</v>
      </c>
      <c r="J876" s="1">
        <v>30284.500000000011</v>
      </c>
      <c r="K876" s="1">
        <v>-284.50000000000728</v>
      </c>
      <c r="L876" s="1">
        <v>781396.5</v>
      </c>
      <c r="M876" s="1">
        <v>116</v>
      </c>
      <c r="N876" s="1">
        <v>303.34772058823529</v>
      </c>
      <c r="O876" s="1">
        <v>-1.089732371345105</v>
      </c>
      <c r="P876" s="7">
        <v>45947</v>
      </c>
      <c r="Q876" s="1">
        <v>30000</v>
      </c>
      <c r="R876" s="7">
        <v>46144.792816388886</v>
      </c>
      <c r="S876" s="7">
        <v>46144</v>
      </c>
      <c r="T876" s="7" t="str">
        <f t="shared" si="0"/>
        <v>mayo</v>
      </c>
      <c r="X876" s="1" t="s">
        <v>455</v>
      </c>
      <c r="Y876" s="1" t="s">
        <v>456</v>
      </c>
      <c r="Z876" s="1">
        <v>1</v>
      </c>
      <c r="AA876" s="3">
        <v>19823.39</v>
      </c>
      <c r="AB876" s="3">
        <v>19823.39</v>
      </c>
      <c r="AC876" s="1" t="str">
        <f>VLOOKUP(A876,[1]Detalle!$D$2:$CW$484,98,FALSE)</f>
        <v>ADA_CH - Danone Arg. S.A. - Chascomus</v>
      </c>
    </row>
    <row r="877" spans="1:32" ht="14.25" customHeight="1" x14ac:dyDescent="0.3">
      <c r="A877" s="1" t="s">
        <v>13</v>
      </c>
      <c r="B877" s="1" t="s">
        <v>435</v>
      </c>
      <c r="C877" s="1" t="s">
        <v>454</v>
      </c>
      <c r="D877" s="1" t="s">
        <v>451</v>
      </c>
      <c r="E877" s="1">
        <v>0.5</v>
      </c>
      <c r="F877" s="1" t="s">
        <v>344</v>
      </c>
      <c r="G877" s="6">
        <v>45831</v>
      </c>
      <c r="H877" s="1">
        <v>751112</v>
      </c>
      <c r="I877" s="1">
        <v>781112</v>
      </c>
      <c r="J877" s="1">
        <v>30284.500000000011</v>
      </c>
      <c r="K877" s="1">
        <v>-284.50000000000728</v>
      </c>
      <c r="L877" s="1">
        <v>781396.5</v>
      </c>
      <c r="M877" s="1">
        <v>116</v>
      </c>
      <c r="N877" s="1">
        <v>303.34772058823529</v>
      </c>
      <c r="O877" s="1">
        <v>-1.089732371345105</v>
      </c>
      <c r="P877" s="7">
        <v>45947</v>
      </c>
      <c r="Q877" s="1">
        <v>30000</v>
      </c>
      <c r="R877" s="7">
        <v>46144.792816388886</v>
      </c>
      <c r="S877" s="7">
        <v>46144</v>
      </c>
      <c r="T877" s="7" t="str">
        <f t="shared" si="0"/>
        <v>mayo</v>
      </c>
      <c r="X877" s="1" t="s">
        <v>452</v>
      </c>
      <c r="Y877" s="1" t="s">
        <v>453</v>
      </c>
      <c r="Z877" s="1">
        <v>1</v>
      </c>
      <c r="AA877" s="3">
        <v>13118.81</v>
      </c>
      <c r="AB877" s="3">
        <v>13118.81</v>
      </c>
      <c r="AC877" s="1" t="str">
        <f>VLOOKUP(A877,[1]Detalle!$D$2:$CW$484,98,FALSE)</f>
        <v>ADA_CH - Danone Arg. S.A. - Chascomus</v>
      </c>
    </row>
    <row r="878" spans="1:32" ht="14.25" customHeight="1" x14ac:dyDescent="0.3">
      <c r="A878" s="1" t="s">
        <v>6</v>
      </c>
      <c r="B878" s="1" t="s">
        <v>435</v>
      </c>
      <c r="C878" s="1" t="s">
        <v>454</v>
      </c>
      <c r="D878" s="1" t="s">
        <v>451</v>
      </c>
      <c r="E878" s="1">
        <v>0.5</v>
      </c>
      <c r="F878" s="1" t="s">
        <v>344</v>
      </c>
      <c r="G878" s="6">
        <v>45845</v>
      </c>
      <c r="H878" s="1">
        <v>726661</v>
      </c>
      <c r="I878" s="1">
        <v>756661</v>
      </c>
      <c r="J878" s="1">
        <v>24602.2</v>
      </c>
      <c r="K878" s="1">
        <v>5397.7999999999956</v>
      </c>
      <c r="L878" s="1">
        <v>751263.2</v>
      </c>
      <c r="M878" s="1">
        <v>102</v>
      </c>
      <c r="N878" s="1">
        <v>306.8559191176472</v>
      </c>
      <c r="O878" s="1">
        <v>22.379120566453381</v>
      </c>
      <c r="P878" s="7">
        <v>45947</v>
      </c>
      <c r="Q878" s="1">
        <v>30000</v>
      </c>
      <c r="R878" s="7">
        <v>46164.910626597222</v>
      </c>
      <c r="S878" s="7">
        <v>46164</v>
      </c>
      <c r="T878" s="7" t="str">
        <f t="shared" si="0"/>
        <v>mayo</v>
      </c>
      <c r="X878" s="1" t="s">
        <v>455</v>
      </c>
      <c r="Y878" s="1" t="s">
        <v>456</v>
      </c>
      <c r="Z878" s="1">
        <v>1</v>
      </c>
      <c r="AA878" s="3">
        <v>19823.39</v>
      </c>
      <c r="AB878" s="3">
        <v>19823.39</v>
      </c>
      <c r="AC878" s="1" t="str">
        <f>VLOOKUP(A878,[1]Detalle!$D$2:$CW$484,98,FALSE)</f>
        <v>ADA_CH - Danone Arg. S.A. - Chascomus</v>
      </c>
    </row>
    <row r="879" spans="1:32" ht="14.25" customHeight="1" x14ac:dyDescent="0.3">
      <c r="A879" s="1" t="s">
        <v>6</v>
      </c>
      <c r="B879" s="1" t="s">
        <v>435</v>
      </c>
      <c r="C879" s="1" t="s">
        <v>454</v>
      </c>
      <c r="D879" s="1" t="s">
        <v>451</v>
      </c>
      <c r="E879" s="1">
        <v>0.5</v>
      </c>
      <c r="F879" s="1" t="s">
        <v>344</v>
      </c>
      <c r="G879" s="6">
        <v>45845</v>
      </c>
      <c r="H879" s="1">
        <v>726661</v>
      </c>
      <c r="I879" s="1">
        <v>756661</v>
      </c>
      <c r="J879" s="1">
        <v>24602.2</v>
      </c>
      <c r="K879" s="1">
        <v>5397.7999999999956</v>
      </c>
      <c r="L879" s="1">
        <v>751263.2</v>
      </c>
      <c r="M879" s="1">
        <v>102</v>
      </c>
      <c r="N879" s="1">
        <v>306.8559191176472</v>
      </c>
      <c r="O879" s="1">
        <v>22.379120566453381</v>
      </c>
      <c r="P879" s="7">
        <v>45947</v>
      </c>
      <c r="Q879" s="1">
        <v>30000</v>
      </c>
      <c r="R879" s="7">
        <v>46164.910626597222</v>
      </c>
      <c r="S879" s="7">
        <v>46164</v>
      </c>
      <c r="T879" s="7" t="str">
        <f t="shared" si="0"/>
        <v>mayo</v>
      </c>
      <c r="X879" s="1" t="s">
        <v>452</v>
      </c>
      <c r="Y879" s="1" t="s">
        <v>453</v>
      </c>
      <c r="Z879" s="1">
        <v>1</v>
      </c>
      <c r="AA879" s="3">
        <v>13118.81</v>
      </c>
      <c r="AB879" s="3">
        <v>13118.81</v>
      </c>
      <c r="AC879" s="1" t="str">
        <f>VLOOKUP(A879,[1]Detalle!$D$2:$CW$484,98,FALSE)</f>
        <v>ADA_CH - Danone Arg. S.A. - Chascomus</v>
      </c>
    </row>
    <row r="880" spans="1:32" ht="14.25" customHeight="1" x14ac:dyDescent="0.3">
      <c r="A880" s="1" t="s">
        <v>7</v>
      </c>
      <c r="B880" s="1" t="s">
        <v>435</v>
      </c>
      <c r="C880" s="1" t="s">
        <v>454</v>
      </c>
      <c r="D880" s="1" t="s">
        <v>451</v>
      </c>
      <c r="E880" s="1">
        <v>0.5</v>
      </c>
      <c r="F880" s="1" t="s">
        <v>344</v>
      </c>
      <c r="G880" s="6">
        <v>45835</v>
      </c>
      <c r="H880" s="1">
        <v>743648</v>
      </c>
      <c r="I880" s="1">
        <v>773648</v>
      </c>
      <c r="J880" s="1">
        <v>30763.099999999991</v>
      </c>
      <c r="K880" s="1">
        <v>-763.09999999998763</v>
      </c>
      <c r="L880" s="1">
        <v>774411.1</v>
      </c>
      <c r="M880" s="1">
        <v>112</v>
      </c>
      <c r="N880" s="1">
        <v>282.61870229007633</v>
      </c>
      <c r="O880" s="1">
        <v>-2.77823756383455</v>
      </c>
      <c r="P880" s="7">
        <v>45947</v>
      </c>
      <c r="Q880" s="1">
        <v>30000</v>
      </c>
      <c r="R880" s="7">
        <v>46159.30017516204</v>
      </c>
      <c r="S880" s="7">
        <v>46159</v>
      </c>
      <c r="T880" s="7" t="str">
        <f t="shared" si="0"/>
        <v>mayo</v>
      </c>
      <c r="X880" s="1" t="s">
        <v>455</v>
      </c>
      <c r="Y880" s="1" t="s">
        <v>456</v>
      </c>
      <c r="Z880" s="1">
        <v>1</v>
      </c>
      <c r="AA880" s="3">
        <v>19823.39</v>
      </c>
      <c r="AB880" s="3">
        <v>19823.39</v>
      </c>
      <c r="AC880" s="1" t="str">
        <f>VLOOKUP(A880,[1]Detalle!$D$2:$CW$484,98,FALSE)</f>
        <v>ADA_CH - Danone Arg. S.A. - Chascomus</v>
      </c>
    </row>
    <row r="881" spans="1:32" ht="14.25" customHeight="1" x14ac:dyDescent="0.3">
      <c r="A881" s="1" t="s">
        <v>7</v>
      </c>
      <c r="B881" s="1" t="s">
        <v>435</v>
      </c>
      <c r="C881" s="1" t="s">
        <v>454</v>
      </c>
      <c r="D881" s="1" t="s">
        <v>451</v>
      </c>
      <c r="E881" s="1">
        <v>0.5</v>
      </c>
      <c r="F881" s="1" t="s">
        <v>344</v>
      </c>
      <c r="G881" s="6">
        <v>45835</v>
      </c>
      <c r="H881" s="1">
        <v>743648</v>
      </c>
      <c r="I881" s="1">
        <v>773648</v>
      </c>
      <c r="J881" s="1">
        <v>30763.099999999991</v>
      </c>
      <c r="K881" s="1">
        <v>-763.09999999998763</v>
      </c>
      <c r="L881" s="1">
        <v>774411.1</v>
      </c>
      <c r="M881" s="1">
        <v>112</v>
      </c>
      <c r="N881" s="1">
        <v>282.61870229007633</v>
      </c>
      <c r="O881" s="1">
        <v>-2.77823756383455</v>
      </c>
      <c r="P881" s="7">
        <v>45947</v>
      </c>
      <c r="Q881" s="1">
        <v>30000</v>
      </c>
      <c r="R881" s="7">
        <v>46159.30017516204</v>
      </c>
      <c r="S881" s="7">
        <v>46159</v>
      </c>
      <c r="T881" s="7" t="str">
        <f t="shared" si="0"/>
        <v>mayo</v>
      </c>
      <c r="X881" s="1" t="s">
        <v>452</v>
      </c>
      <c r="Y881" s="1" t="s">
        <v>453</v>
      </c>
      <c r="Z881" s="1">
        <v>1</v>
      </c>
      <c r="AA881" s="3">
        <v>13118.81</v>
      </c>
      <c r="AB881" s="3">
        <v>13118.81</v>
      </c>
      <c r="AC881" s="1" t="str">
        <f>VLOOKUP(A881,[1]Detalle!$D$2:$CW$484,98,FALSE)</f>
        <v>ADA_CH - Danone Arg. S.A. - Chascomus</v>
      </c>
    </row>
    <row r="882" spans="1:32" ht="14.25" customHeight="1" x14ac:dyDescent="0.3">
      <c r="A882" s="1" t="s">
        <v>9</v>
      </c>
      <c r="B882" s="1" t="s">
        <v>435</v>
      </c>
      <c r="C882" s="1" t="s">
        <v>454</v>
      </c>
      <c r="D882" s="1" t="s">
        <v>451</v>
      </c>
      <c r="E882" s="1">
        <v>0.5</v>
      </c>
      <c r="F882" s="1" t="s">
        <v>344</v>
      </c>
      <c r="G882" s="6">
        <v>45789</v>
      </c>
      <c r="H882" s="1">
        <v>828813</v>
      </c>
      <c r="I882" s="1">
        <v>858813</v>
      </c>
      <c r="J882" s="1">
        <v>52575.80000000001</v>
      </c>
      <c r="K882" s="1">
        <v>-22575.80000000001</v>
      </c>
      <c r="L882" s="1">
        <v>881388.8</v>
      </c>
      <c r="M882" s="1">
        <v>158</v>
      </c>
      <c r="N882" s="1">
        <v>352.51014814814829</v>
      </c>
      <c r="O882" s="1">
        <v>-67.844453151449926</v>
      </c>
      <c r="P882" s="7">
        <v>45947</v>
      </c>
      <c r="Q882" s="1">
        <v>30000</v>
      </c>
      <c r="R882" s="7">
        <v>46117.207865833327</v>
      </c>
      <c r="S882" s="7">
        <v>46117</v>
      </c>
      <c r="T882" s="7" t="str">
        <f t="shared" si="0"/>
        <v>abril</v>
      </c>
      <c r="X882" s="1" t="s">
        <v>455</v>
      </c>
      <c r="Y882" s="1" t="s">
        <v>456</v>
      </c>
      <c r="Z882" s="1">
        <v>1</v>
      </c>
      <c r="AA882" s="3">
        <v>19823.39</v>
      </c>
      <c r="AB882" s="3">
        <v>19823.39</v>
      </c>
      <c r="AC882" s="1" t="str">
        <f>VLOOKUP(A882,[1]Detalle!$D$2:$CW$484,98,FALSE)</f>
        <v>ADA_CH - Danone Arg. S.A. - Chascomus</v>
      </c>
    </row>
    <row r="883" spans="1:32" ht="14.25" customHeight="1" x14ac:dyDescent="0.3">
      <c r="A883" s="1" t="s">
        <v>9</v>
      </c>
      <c r="B883" s="1" t="s">
        <v>435</v>
      </c>
      <c r="C883" s="1" t="s">
        <v>454</v>
      </c>
      <c r="D883" s="1" t="s">
        <v>451</v>
      </c>
      <c r="E883" s="1">
        <v>0.5</v>
      </c>
      <c r="F883" s="1" t="s">
        <v>344</v>
      </c>
      <c r="G883" s="6">
        <v>45789</v>
      </c>
      <c r="H883" s="1">
        <v>828813</v>
      </c>
      <c r="I883" s="1">
        <v>858813</v>
      </c>
      <c r="J883" s="1">
        <v>52575.80000000001</v>
      </c>
      <c r="K883" s="1">
        <v>-22575.80000000001</v>
      </c>
      <c r="L883" s="1">
        <v>881388.8</v>
      </c>
      <c r="M883" s="1">
        <v>158</v>
      </c>
      <c r="N883" s="1">
        <v>352.51014814814829</v>
      </c>
      <c r="O883" s="1">
        <v>-67.844453151449926</v>
      </c>
      <c r="P883" s="7">
        <v>45947</v>
      </c>
      <c r="Q883" s="1">
        <v>30000</v>
      </c>
      <c r="R883" s="7">
        <v>46117.207865833327</v>
      </c>
      <c r="S883" s="7">
        <v>46117</v>
      </c>
      <c r="T883" s="7" t="str">
        <f t="shared" si="0"/>
        <v>abril</v>
      </c>
      <c r="X883" s="1" t="s">
        <v>452</v>
      </c>
      <c r="Y883" s="1" t="s">
        <v>453</v>
      </c>
      <c r="Z883" s="1">
        <v>1</v>
      </c>
      <c r="AA883" s="3">
        <v>13118.81</v>
      </c>
      <c r="AB883" s="3">
        <v>13118.81</v>
      </c>
      <c r="AC883" s="1" t="str">
        <f>VLOOKUP(A883,[1]Detalle!$D$2:$CW$484,98,FALSE)</f>
        <v>ADA_CH - Danone Arg. S.A. - Chascomus</v>
      </c>
    </row>
    <row r="884" spans="1:32" ht="14.25" customHeight="1" x14ac:dyDescent="0.3">
      <c r="A884" s="1" t="s">
        <v>17</v>
      </c>
      <c r="B884" s="1" t="s">
        <v>439</v>
      </c>
      <c r="C884" s="1" t="s">
        <v>454</v>
      </c>
      <c r="D884" s="1" t="s">
        <v>451</v>
      </c>
      <c r="E884" s="1">
        <v>0.5</v>
      </c>
      <c r="F884" s="1" t="s">
        <v>344</v>
      </c>
      <c r="G884" s="6">
        <v>45776</v>
      </c>
      <c r="H884" s="1">
        <v>664392</v>
      </c>
      <c r="I884" s="1">
        <v>694392</v>
      </c>
      <c r="J884" s="1">
        <v>62703.799999999981</v>
      </c>
      <c r="K884" s="1">
        <v>-32703.799999999981</v>
      </c>
      <c r="L884" s="1">
        <v>727095.79999999993</v>
      </c>
      <c r="M884" s="1">
        <v>171</v>
      </c>
      <c r="N884" s="1">
        <v>382.02855555555578</v>
      </c>
      <c r="O884" s="1">
        <v>-89.186776558996399</v>
      </c>
      <c r="P884" s="7">
        <v>45947</v>
      </c>
      <c r="Q884" s="1">
        <v>30000</v>
      </c>
      <c r="R884" s="7">
        <v>46104.056322430559</v>
      </c>
      <c r="S884" s="7">
        <v>46104</v>
      </c>
      <c r="T884" s="7" t="str">
        <f t="shared" si="0"/>
        <v>marzo</v>
      </c>
      <c r="X884" s="1" t="s">
        <v>455</v>
      </c>
      <c r="Y884" s="1" t="s">
        <v>456</v>
      </c>
      <c r="Z884" s="1">
        <v>1</v>
      </c>
      <c r="AA884" s="3">
        <v>19823.39</v>
      </c>
      <c r="AB884" s="3">
        <v>19823.39</v>
      </c>
      <c r="AC884" s="1" t="str">
        <f>VLOOKUP(A884,[1]Detalle!$D$2:$CW$484,98,FALSE)</f>
        <v>Expreso - Servicios Troncales</v>
      </c>
    </row>
    <row r="885" spans="1:32" ht="14.25" customHeight="1" x14ac:dyDescent="0.3">
      <c r="A885" s="1" t="s">
        <v>17</v>
      </c>
      <c r="B885" s="1" t="s">
        <v>439</v>
      </c>
      <c r="C885" s="1" t="s">
        <v>454</v>
      </c>
      <c r="D885" s="1" t="s">
        <v>451</v>
      </c>
      <c r="E885" s="1">
        <v>0.5</v>
      </c>
      <c r="F885" s="1" t="s">
        <v>344</v>
      </c>
      <c r="G885" s="6">
        <v>45776</v>
      </c>
      <c r="H885" s="1">
        <v>664392</v>
      </c>
      <c r="I885" s="1">
        <v>694392</v>
      </c>
      <c r="J885" s="1">
        <v>62703.799999999981</v>
      </c>
      <c r="K885" s="1">
        <v>-32703.799999999981</v>
      </c>
      <c r="L885" s="1">
        <v>727095.79999999993</v>
      </c>
      <c r="M885" s="1">
        <v>171</v>
      </c>
      <c r="N885" s="1">
        <v>382.02855555555578</v>
      </c>
      <c r="O885" s="1">
        <v>-89.186776558996399</v>
      </c>
      <c r="P885" s="7">
        <v>45947</v>
      </c>
      <c r="Q885" s="1">
        <v>30000</v>
      </c>
      <c r="R885" s="7">
        <v>46104.056322430559</v>
      </c>
      <c r="S885" s="7">
        <v>46104</v>
      </c>
      <c r="T885" s="7" t="str">
        <f t="shared" si="0"/>
        <v>marzo</v>
      </c>
      <c r="X885" s="1" t="s">
        <v>452</v>
      </c>
      <c r="Y885" s="1" t="s">
        <v>453</v>
      </c>
      <c r="Z885" s="1">
        <v>1</v>
      </c>
      <c r="AA885" s="3">
        <v>13118.81</v>
      </c>
      <c r="AB885" s="3">
        <v>13118.81</v>
      </c>
      <c r="AC885" s="1" t="str">
        <f>VLOOKUP(A885,[1]Detalle!$D$2:$CW$484,98,FALSE)</f>
        <v>Expreso - Servicios Troncales</v>
      </c>
    </row>
    <row r="886" spans="1:32" ht="14.25" customHeight="1" x14ac:dyDescent="0.3">
      <c r="A886" s="1" t="s">
        <v>18</v>
      </c>
      <c r="B886" s="1" t="s">
        <v>439</v>
      </c>
      <c r="C886" s="1" t="s">
        <v>454</v>
      </c>
      <c r="D886" s="1" t="s">
        <v>451</v>
      </c>
      <c r="E886" s="1">
        <v>0.5</v>
      </c>
      <c r="F886" s="1" t="s">
        <v>344</v>
      </c>
      <c r="G886" s="6">
        <v>45852</v>
      </c>
      <c r="H886" s="1">
        <v>654972</v>
      </c>
      <c r="I886" s="1">
        <v>684972</v>
      </c>
      <c r="J886" s="1">
        <v>26383.500000000011</v>
      </c>
      <c r="K886" s="1">
        <v>3616.4999999999932</v>
      </c>
      <c r="L886" s="1">
        <v>681355.5</v>
      </c>
      <c r="M886" s="1">
        <v>95</v>
      </c>
      <c r="N886" s="1">
        <v>381.04202205882348</v>
      </c>
      <c r="O886" s="1">
        <v>13.02205924157141</v>
      </c>
      <c r="P886" s="7">
        <v>45947</v>
      </c>
      <c r="Q886" s="1">
        <v>30000</v>
      </c>
      <c r="R886" s="7">
        <v>46117.485006967603</v>
      </c>
      <c r="S886" s="7">
        <v>46117</v>
      </c>
      <c r="T886" s="7" t="str">
        <f t="shared" si="0"/>
        <v>abril</v>
      </c>
      <c r="X886" s="1" t="s">
        <v>455</v>
      </c>
      <c r="Y886" s="1" t="s">
        <v>456</v>
      </c>
      <c r="Z886" s="1">
        <v>1</v>
      </c>
      <c r="AA886" s="3">
        <v>19823.39</v>
      </c>
      <c r="AB886" s="3">
        <v>19823.39</v>
      </c>
      <c r="AC886" s="1" t="str">
        <f>VLOOKUP(A886,[1]Detalle!$D$2:$CW$484,98,FALSE)</f>
        <v>Expreso - Servicios Troncales</v>
      </c>
    </row>
    <row r="887" spans="1:32" ht="14.25" customHeight="1" x14ac:dyDescent="0.3">
      <c r="A887" s="1" t="s">
        <v>18</v>
      </c>
      <c r="B887" s="1" t="s">
        <v>439</v>
      </c>
      <c r="C887" s="1" t="s">
        <v>454</v>
      </c>
      <c r="D887" s="1" t="s">
        <v>451</v>
      </c>
      <c r="E887" s="1">
        <v>0.5</v>
      </c>
      <c r="F887" s="1" t="s">
        <v>344</v>
      </c>
      <c r="G887" s="6">
        <v>45852</v>
      </c>
      <c r="H887" s="1">
        <v>654972</v>
      </c>
      <c r="I887" s="1">
        <v>684972</v>
      </c>
      <c r="J887" s="1">
        <v>26383.500000000011</v>
      </c>
      <c r="K887" s="1">
        <v>3616.4999999999932</v>
      </c>
      <c r="L887" s="1">
        <v>681355.5</v>
      </c>
      <c r="M887" s="1">
        <v>95</v>
      </c>
      <c r="N887" s="1">
        <v>381.04202205882348</v>
      </c>
      <c r="O887" s="1">
        <v>13.02205924157141</v>
      </c>
      <c r="P887" s="7">
        <v>45947</v>
      </c>
      <c r="Q887" s="1">
        <v>30000</v>
      </c>
      <c r="R887" s="7">
        <v>46117.485006967603</v>
      </c>
      <c r="S887" s="7">
        <v>46117</v>
      </c>
      <c r="T887" s="7" t="str">
        <f t="shared" si="0"/>
        <v>abril</v>
      </c>
      <c r="X887" s="1" t="s">
        <v>452</v>
      </c>
      <c r="Y887" s="1" t="s">
        <v>453</v>
      </c>
      <c r="Z887" s="1">
        <v>1</v>
      </c>
      <c r="AA887" s="3">
        <v>13118.81</v>
      </c>
      <c r="AB887" s="3">
        <v>13118.81</v>
      </c>
      <c r="AC887" s="1" t="str">
        <f>VLOOKUP(A887,[1]Detalle!$D$2:$CW$484,98,FALSE)</f>
        <v>Expreso - Servicios Troncales</v>
      </c>
    </row>
    <row r="888" spans="1:32" ht="14.25" customHeight="1" x14ac:dyDescent="0.3">
      <c r="A888" s="1" t="s">
        <v>231</v>
      </c>
      <c r="B888" s="1" t="s">
        <v>440</v>
      </c>
      <c r="C888" s="1" t="s">
        <v>454</v>
      </c>
      <c r="D888" s="1" t="s">
        <v>451</v>
      </c>
      <c r="E888" s="1">
        <v>0.5</v>
      </c>
      <c r="F888" s="1" t="s">
        <v>344</v>
      </c>
      <c r="G888" s="6">
        <v>45889</v>
      </c>
      <c r="H888" s="1">
        <v>1836513</v>
      </c>
      <c r="I888" s="1">
        <v>1866513</v>
      </c>
      <c r="J888" s="1">
        <v>14116.4</v>
      </c>
      <c r="K888" s="1">
        <v>15883.6</v>
      </c>
      <c r="L888" s="1">
        <v>1850629.4</v>
      </c>
      <c r="M888" s="1">
        <v>58</v>
      </c>
      <c r="N888" s="1">
        <v>332.5574264705881</v>
      </c>
      <c r="O888" s="1">
        <v>65.260888045110633</v>
      </c>
      <c r="P888" s="7">
        <v>45947</v>
      </c>
      <c r="Q888" s="1">
        <v>30000</v>
      </c>
      <c r="R888" s="7">
        <v>46192.680855312501</v>
      </c>
      <c r="S888" s="7">
        <v>46192</v>
      </c>
      <c r="T888" s="7" t="str">
        <f t="shared" si="0"/>
        <v>junio</v>
      </c>
      <c r="X888" s="1" t="s">
        <v>455</v>
      </c>
      <c r="Y888" s="1" t="s">
        <v>456</v>
      </c>
      <c r="Z888" s="1">
        <v>1</v>
      </c>
      <c r="AA888" s="3">
        <v>19823.39</v>
      </c>
      <c r="AB888" s="3">
        <v>19823.39</v>
      </c>
      <c r="AC888" s="1" t="str">
        <f>VLOOKUP(A888,[1]Detalle!$D$2:$CW$484,98,FALSE)</f>
        <v>Expreso - Servicios Troncales</v>
      </c>
    </row>
    <row r="889" spans="1:32" ht="14.25" customHeight="1" x14ac:dyDescent="0.3">
      <c r="A889" s="1" t="s">
        <v>231</v>
      </c>
      <c r="B889" s="1" t="s">
        <v>440</v>
      </c>
      <c r="C889" s="1" t="s">
        <v>454</v>
      </c>
      <c r="D889" s="1" t="s">
        <v>451</v>
      </c>
      <c r="E889" s="1">
        <v>0.5</v>
      </c>
      <c r="F889" s="1" t="s">
        <v>344</v>
      </c>
      <c r="G889" s="6">
        <v>45889</v>
      </c>
      <c r="H889" s="1">
        <v>1836513</v>
      </c>
      <c r="I889" s="1">
        <v>1866513</v>
      </c>
      <c r="J889" s="1">
        <v>14116.4</v>
      </c>
      <c r="K889" s="1">
        <v>15883.6</v>
      </c>
      <c r="L889" s="1">
        <v>1850629.4</v>
      </c>
      <c r="M889" s="1">
        <v>58</v>
      </c>
      <c r="N889" s="1">
        <v>332.5574264705881</v>
      </c>
      <c r="O889" s="1">
        <v>65.260888045110633</v>
      </c>
      <c r="P889" s="7">
        <v>45947</v>
      </c>
      <c r="Q889" s="1">
        <v>30000</v>
      </c>
      <c r="R889" s="7">
        <v>46192.680855312501</v>
      </c>
      <c r="S889" s="7">
        <v>46192</v>
      </c>
      <c r="T889" s="7" t="str">
        <f t="shared" si="0"/>
        <v>junio</v>
      </c>
      <c r="X889" s="1" t="s">
        <v>452</v>
      </c>
      <c r="Y889" s="1" t="s">
        <v>453</v>
      </c>
      <c r="Z889" s="1">
        <v>1</v>
      </c>
      <c r="AA889" s="3">
        <v>13118.81</v>
      </c>
      <c r="AB889" s="3">
        <v>13118.81</v>
      </c>
      <c r="AC889" s="1" t="str">
        <f>VLOOKUP(A889,[1]Detalle!$D$2:$CW$484,98,FALSE)</f>
        <v>Expreso - Servicios Troncales</v>
      </c>
    </row>
    <row r="890" spans="1:32" ht="14.25" customHeight="1" x14ac:dyDescent="0.3">
      <c r="A890" s="8" t="s">
        <v>279</v>
      </c>
      <c r="B890" s="1" t="s">
        <v>442</v>
      </c>
      <c r="C890" s="8" t="s">
        <v>457</v>
      </c>
      <c r="D890" s="8" t="s">
        <v>451</v>
      </c>
      <c r="E890" s="8">
        <v>0.5</v>
      </c>
      <c r="F890" s="8" t="s">
        <v>344</v>
      </c>
      <c r="G890" s="9">
        <v>45688</v>
      </c>
      <c r="H890" s="8">
        <v>35081.599999999999</v>
      </c>
      <c r="I890" s="8">
        <v>65081.599999999999</v>
      </c>
      <c r="J890" s="8">
        <v>51895.159999999982</v>
      </c>
      <c r="K890" s="8">
        <v>-21895.159999999982</v>
      </c>
      <c r="L890" s="8">
        <v>86976.75999999998</v>
      </c>
      <c r="M890" s="8">
        <v>259</v>
      </c>
      <c r="N890" s="8">
        <v>197.99579335793359</v>
      </c>
      <c r="O890" s="8">
        <v>-109.2750545522935</v>
      </c>
      <c r="P890" s="10">
        <v>45947</v>
      </c>
      <c r="Q890" s="8">
        <v>30000</v>
      </c>
      <c r="R890" s="10">
        <v>46250.036741249998</v>
      </c>
      <c r="S890" s="7">
        <v>46250</v>
      </c>
      <c r="T890" s="10" t="str">
        <f t="shared" si="0"/>
        <v>agosto</v>
      </c>
      <c r="U890" s="8"/>
      <c r="V890" s="8"/>
      <c r="W890" s="8"/>
      <c r="X890" s="8" t="s">
        <v>458</v>
      </c>
      <c r="Y890" s="8" t="s">
        <v>459</v>
      </c>
      <c r="Z890" s="8">
        <v>1</v>
      </c>
      <c r="AA890" s="11">
        <v>23207.05</v>
      </c>
      <c r="AB890" s="11">
        <v>23207.05</v>
      </c>
      <c r="AC890" s="1" t="str">
        <f>VLOOKUP(A890,[1]Detalle!$D$2:$CW$484,98,FALSE)</f>
        <v>Expreso - Servicios Troncales</v>
      </c>
      <c r="AD890" s="8"/>
      <c r="AE890" s="8"/>
      <c r="AF890" s="8"/>
    </row>
    <row r="891" spans="1:32" ht="14.25" customHeight="1" x14ac:dyDescent="0.3">
      <c r="A891" s="8" t="s">
        <v>279</v>
      </c>
      <c r="B891" s="1" t="s">
        <v>442</v>
      </c>
      <c r="C891" s="8" t="s">
        <v>457</v>
      </c>
      <c r="D891" s="8" t="s">
        <v>451</v>
      </c>
      <c r="E891" s="8">
        <v>0.5</v>
      </c>
      <c r="F891" s="8" t="s">
        <v>344</v>
      </c>
      <c r="G891" s="9">
        <v>45688</v>
      </c>
      <c r="H891" s="8">
        <v>35081.599999999999</v>
      </c>
      <c r="I891" s="8">
        <v>65081.599999999999</v>
      </c>
      <c r="J891" s="8">
        <v>51895.159999999982</v>
      </c>
      <c r="K891" s="8">
        <v>-21895.159999999982</v>
      </c>
      <c r="L891" s="8">
        <v>86976.75999999998</v>
      </c>
      <c r="M891" s="8">
        <v>259</v>
      </c>
      <c r="N891" s="8">
        <v>197.99579335793359</v>
      </c>
      <c r="O891" s="8">
        <v>-109.2750545522935</v>
      </c>
      <c r="P891" s="10">
        <v>45947</v>
      </c>
      <c r="Q891" s="8">
        <v>30000</v>
      </c>
      <c r="R891" s="10">
        <v>46250.036741249998</v>
      </c>
      <c r="S891" s="7">
        <v>46250</v>
      </c>
      <c r="T891" s="10" t="str">
        <f t="shared" si="0"/>
        <v>agosto</v>
      </c>
      <c r="U891" s="8"/>
      <c r="V891" s="8"/>
      <c r="W891" s="8"/>
      <c r="X891" s="8" t="s">
        <v>460</v>
      </c>
      <c r="Y891" s="8" t="s">
        <v>461</v>
      </c>
      <c r="Z891" s="8">
        <v>1</v>
      </c>
      <c r="AA891" s="11">
        <v>53100</v>
      </c>
      <c r="AB891" s="11">
        <v>53165.78000000678</v>
      </c>
      <c r="AC891" s="1" t="str">
        <f>VLOOKUP(A891,[1]Detalle!$D$2:$CW$484,98,FALSE)</f>
        <v>Expreso - Servicios Troncales</v>
      </c>
      <c r="AD891" s="8"/>
      <c r="AE891" s="8"/>
      <c r="AF891" s="8"/>
    </row>
    <row r="892" spans="1:32" ht="14.25" customHeight="1" x14ac:dyDescent="0.3">
      <c r="A892" s="1" t="s">
        <v>228</v>
      </c>
      <c r="B892" s="1" t="s">
        <v>446</v>
      </c>
      <c r="C892" s="1" t="s">
        <v>457</v>
      </c>
      <c r="D892" s="1" t="s">
        <v>451</v>
      </c>
      <c r="E892" s="1">
        <v>0.5</v>
      </c>
      <c r="F892" s="1" t="s">
        <v>344</v>
      </c>
      <c r="G892" s="6">
        <v>45678</v>
      </c>
      <c r="H892" s="1">
        <v>799717</v>
      </c>
      <c r="I892" s="1">
        <v>829717</v>
      </c>
      <c r="J892" s="1">
        <v>57283.27</v>
      </c>
      <c r="K892" s="1">
        <v>-27283.27</v>
      </c>
      <c r="L892" s="1">
        <v>857000.27</v>
      </c>
      <c r="M892" s="1">
        <v>269</v>
      </c>
      <c r="N892" s="1">
        <v>232.68261029411761</v>
      </c>
      <c r="O892" s="1">
        <v>-128.12117098063709</v>
      </c>
      <c r="P892" s="7">
        <v>45947</v>
      </c>
      <c r="Q892" s="1">
        <v>30000</v>
      </c>
      <c r="R892" s="7">
        <v>46204.861986006938</v>
      </c>
      <c r="S892" s="7">
        <v>46204</v>
      </c>
      <c r="T892" s="7" t="str">
        <f t="shared" si="0"/>
        <v>julio</v>
      </c>
      <c r="X892" s="1" t="s">
        <v>458</v>
      </c>
      <c r="Y892" s="1" t="s">
        <v>459</v>
      </c>
      <c r="Z892" s="1">
        <v>1</v>
      </c>
      <c r="AA892" s="3">
        <v>23207.05</v>
      </c>
      <c r="AB892" s="3">
        <v>23207.05</v>
      </c>
      <c r="AC892" s="1" t="str">
        <f>VLOOKUP(A892,[1]Detalle!$D$2:$CW$484,98,FALSE)</f>
        <v>Expreso - Servicios Troncales</v>
      </c>
    </row>
    <row r="893" spans="1:32" ht="14.25" customHeight="1" x14ac:dyDescent="0.3">
      <c r="A893" s="1" t="s">
        <v>228</v>
      </c>
      <c r="B893" s="1" t="s">
        <v>446</v>
      </c>
      <c r="C893" s="1" t="s">
        <v>457</v>
      </c>
      <c r="D893" s="1" t="s">
        <v>451</v>
      </c>
      <c r="E893" s="1">
        <v>0.5</v>
      </c>
      <c r="F893" s="1" t="s">
        <v>344</v>
      </c>
      <c r="G893" s="6">
        <v>45678</v>
      </c>
      <c r="H893" s="1">
        <v>799717</v>
      </c>
      <c r="I893" s="1">
        <v>829717</v>
      </c>
      <c r="J893" s="1">
        <v>57283.27</v>
      </c>
      <c r="K893" s="1">
        <v>-27283.27</v>
      </c>
      <c r="L893" s="1">
        <v>857000.27</v>
      </c>
      <c r="M893" s="1">
        <v>269</v>
      </c>
      <c r="N893" s="1">
        <v>232.68261029411761</v>
      </c>
      <c r="O893" s="1">
        <v>-128.12117098063709</v>
      </c>
      <c r="P893" s="7">
        <v>45947</v>
      </c>
      <c r="Q893" s="1">
        <v>30000</v>
      </c>
      <c r="R893" s="7">
        <v>46204.861986006938</v>
      </c>
      <c r="S893" s="7">
        <v>46204</v>
      </c>
      <c r="T893" s="7" t="str">
        <f t="shared" si="0"/>
        <v>julio</v>
      </c>
      <c r="X893" s="1" t="s">
        <v>460</v>
      </c>
      <c r="Y893" s="1" t="s">
        <v>461</v>
      </c>
      <c r="Z893" s="1">
        <v>1</v>
      </c>
      <c r="AA893" s="3">
        <v>53100</v>
      </c>
      <c r="AB893" s="3">
        <v>53100</v>
      </c>
      <c r="AC893" s="1" t="str">
        <f>VLOOKUP(A893,[1]Detalle!$D$2:$CW$484,98,FALSE)</f>
        <v>Expreso - Servicios Troncales</v>
      </c>
    </row>
    <row r="894" spans="1:32" ht="14.25" customHeight="1" x14ac:dyDescent="0.3">
      <c r="A894" s="1" t="s">
        <v>96</v>
      </c>
      <c r="B894" s="1" t="s">
        <v>429</v>
      </c>
      <c r="C894" s="1" t="s">
        <v>467</v>
      </c>
      <c r="D894" s="1" t="s">
        <v>467</v>
      </c>
      <c r="E894" s="1">
        <v>0.25</v>
      </c>
      <c r="F894" s="1" t="s">
        <v>366</v>
      </c>
      <c r="G894" s="6">
        <v>45861</v>
      </c>
      <c r="H894" s="1">
        <v>163295</v>
      </c>
      <c r="I894" s="1">
        <v>193295</v>
      </c>
      <c r="J894" s="1">
        <v>22184.6</v>
      </c>
      <c r="K894" s="1">
        <v>7815.3999999999978</v>
      </c>
      <c r="L894" s="1">
        <v>185479.6</v>
      </c>
      <c r="M894" s="1">
        <v>86</v>
      </c>
      <c r="N894" s="1">
        <v>281.98244274809178</v>
      </c>
      <c r="O894" s="1">
        <v>30.296890635846481</v>
      </c>
      <c r="P894" s="7">
        <v>45947</v>
      </c>
      <c r="Q894" s="1">
        <v>30000</v>
      </c>
      <c r="R894" s="7">
        <v>46190.076095659722</v>
      </c>
      <c r="S894" s="7">
        <v>46190</v>
      </c>
      <c r="T894" s="7" t="str">
        <f t="shared" si="0"/>
        <v>junio</v>
      </c>
      <c r="X894" s="1" t="s">
        <v>422</v>
      </c>
      <c r="Y894" s="1" t="s">
        <v>423</v>
      </c>
      <c r="Z894" s="1">
        <v>1</v>
      </c>
      <c r="AA894" s="3">
        <v>49777.919999999998</v>
      </c>
      <c r="AB894" s="3">
        <v>49777.919999999998</v>
      </c>
      <c r="AC894" s="1" t="str">
        <f>VLOOKUP(A894,[1]Detalle!$D$2:$CW$484,98,FALSE)</f>
        <v>CENCOMLD - Cencosud SA - Mendoza</v>
      </c>
    </row>
    <row r="895" spans="1:32" ht="14.25" customHeight="1" x14ac:dyDescent="0.3">
      <c r="A895" s="1" t="s">
        <v>186</v>
      </c>
      <c r="B895" s="1" t="s">
        <v>427</v>
      </c>
      <c r="C895" s="1" t="s">
        <v>467</v>
      </c>
      <c r="D895" s="1" t="s">
        <v>467</v>
      </c>
      <c r="E895" s="1">
        <v>0.25</v>
      </c>
      <c r="F895" s="1" t="s">
        <v>366</v>
      </c>
      <c r="G895" s="6">
        <v>45800</v>
      </c>
      <c r="H895" s="1">
        <v>459582</v>
      </c>
      <c r="I895" s="1">
        <v>489582</v>
      </c>
      <c r="J895" s="1">
        <v>48012.699999999968</v>
      </c>
      <c r="K895" s="1">
        <v>-18012.699999999972</v>
      </c>
      <c r="L895" s="1">
        <v>507594.7</v>
      </c>
      <c r="M895" s="1">
        <v>147</v>
      </c>
      <c r="N895" s="1">
        <v>303.0774834437085</v>
      </c>
      <c r="O895" s="1">
        <v>-55.149302163802432</v>
      </c>
      <c r="P895" s="7">
        <v>45947</v>
      </c>
      <c r="Q895" s="1">
        <v>30000</v>
      </c>
      <c r="R895" s="7">
        <v>46144.969177118059</v>
      </c>
      <c r="S895" s="7">
        <v>46144</v>
      </c>
      <c r="T895" s="7" t="str">
        <f t="shared" si="0"/>
        <v>mayo</v>
      </c>
      <c r="X895" s="1" t="s">
        <v>422</v>
      </c>
      <c r="Y895" s="1" t="s">
        <v>423</v>
      </c>
      <c r="Z895" s="1">
        <v>1</v>
      </c>
      <c r="AA895" s="3">
        <v>49777.919999999998</v>
      </c>
      <c r="AB895" s="3">
        <v>49777.919999999998</v>
      </c>
      <c r="AC895" s="1" t="str">
        <f>VLOOKUP(A895,[1]Detalle!$D$2:$CW$484,98,FALSE)</f>
        <v>Expreso - Servicios Troncales</v>
      </c>
    </row>
    <row r="896" spans="1:32" ht="14.25" customHeight="1" x14ac:dyDescent="0.3">
      <c r="A896" s="1" t="s">
        <v>8</v>
      </c>
      <c r="B896" s="1" t="s">
        <v>435</v>
      </c>
      <c r="C896" s="1" t="s">
        <v>468</v>
      </c>
      <c r="D896" s="1" t="s">
        <v>467</v>
      </c>
      <c r="E896" s="1">
        <v>0.25</v>
      </c>
      <c r="F896" s="1" t="s">
        <v>366</v>
      </c>
      <c r="G896" s="6">
        <v>45880</v>
      </c>
      <c r="H896" s="1">
        <v>722255</v>
      </c>
      <c r="I896" s="1">
        <v>752255</v>
      </c>
      <c r="J896" s="1">
        <v>15317.7</v>
      </c>
      <c r="K896" s="1">
        <v>14682.3</v>
      </c>
      <c r="L896" s="1">
        <v>737572.7</v>
      </c>
      <c r="M896" s="1">
        <v>67</v>
      </c>
      <c r="N896" s="1">
        <v>286.50848708487092</v>
      </c>
      <c r="O896" s="1">
        <v>64.220744628762787</v>
      </c>
      <c r="P896" s="7">
        <v>45947</v>
      </c>
      <c r="Q896" s="1">
        <v>30000</v>
      </c>
      <c r="R896" s="7">
        <v>46220.63862474537</v>
      </c>
      <c r="S896" s="7">
        <v>46220</v>
      </c>
      <c r="T896" s="7" t="str">
        <f t="shared" si="0"/>
        <v>julio</v>
      </c>
      <c r="X896" s="1" t="s">
        <v>469</v>
      </c>
      <c r="Y896" s="1" t="s">
        <v>470</v>
      </c>
      <c r="Z896" s="1">
        <v>1</v>
      </c>
      <c r="AA896" s="3">
        <v>58063</v>
      </c>
      <c r="AB896" s="3">
        <v>58063</v>
      </c>
      <c r="AC896" s="1" t="str">
        <f>VLOOKUP(A896,[1]Detalle!$D$2:$CW$484,98,FALSE)</f>
        <v>ADA_CH - Danone Arg. S.A. - Chascomus</v>
      </c>
    </row>
    <row r="897" spans="1:32" ht="14.25" customHeight="1" x14ac:dyDescent="0.3">
      <c r="A897" s="1" t="s">
        <v>11</v>
      </c>
      <c r="B897" s="1" t="s">
        <v>435</v>
      </c>
      <c r="C897" s="1" t="s">
        <v>468</v>
      </c>
      <c r="D897" s="1" t="s">
        <v>467</v>
      </c>
      <c r="E897" s="1">
        <v>0.25</v>
      </c>
      <c r="F897" s="1" t="s">
        <v>366</v>
      </c>
      <c r="G897" s="6">
        <v>45853</v>
      </c>
      <c r="H897" s="1">
        <v>769430</v>
      </c>
      <c r="I897" s="1">
        <v>799430</v>
      </c>
      <c r="J897" s="1">
        <v>24465.80000000001</v>
      </c>
      <c r="K897" s="1">
        <v>5534.1999999999935</v>
      </c>
      <c r="L897" s="1">
        <v>793895.8</v>
      </c>
      <c r="M897" s="1">
        <v>94</v>
      </c>
      <c r="N897" s="1">
        <v>323.09338235294098</v>
      </c>
      <c r="O897" s="1">
        <v>21.262938469210049</v>
      </c>
      <c r="P897" s="7">
        <v>45947</v>
      </c>
      <c r="Q897" s="1">
        <v>30000</v>
      </c>
      <c r="R897" s="7">
        <v>46153.967763379631</v>
      </c>
      <c r="S897" s="7">
        <v>46153</v>
      </c>
      <c r="T897" s="7" t="str">
        <f t="shared" si="0"/>
        <v>mayo</v>
      </c>
      <c r="X897" s="1" t="s">
        <v>469</v>
      </c>
      <c r="Y897" s="1" t="s">
        <v>470</v>
      </c>
      <c r="Z897" s="1">
        <v>1</v>
      </c>
      <c r="AA897" s="3">
        <v>58063</v>
      </c>
      <c r="AB897" s="3">
        <v>58063</v>
      </c>
      <c r="AC897" s="1" t="str">
        <f>VLOOKUP(A897,[1]Detalle!$D$2:$CW$484,98,FALSE)</f>
        <v>ADA_CH - Danone Arg. S.A. - Chascomus</v>
      </c>
    </row>
    <row r="898" spans="1:32" ht="14.25" customHeight="1" x14ac:dyDescent="0.3">
      <c r="A898" s="1" t="s">
        <v>13</v>
      </c>
      <c r="B898" s="1" t="s">
        <v>435</v>
      </c>
      <c r="C898" s="1" t="s">
        <v>468</v>
      </c>
      <c r="D898" s="1" t="s">
        <v>467</v>
      </c>
      <c r="E898" s="1">
        <v>0.25</v>
      </c>
      <c r="F898" s="1" t="s">
        <v>366</v>
      </c>
      <c r="G898" s="6">
        <v>45831</v>
      </c>
      <c r="H898" s="1">
        <v>751112</v>
      </c>
      <c r="I898" s="1">
        <v>781112</v>
      </c>
      <c r="J898" s="1">
        <v>30284.500000000011</v>
      </c>
      <c r="K898" s="1">
        <v>-284.50000000000728</v>
      </c>
      <c r="L898" s="1">
        <v>781396.5</v>
      </c>
      <c r="M898" s="1">
        <v>116</v>
      </c>
      <c r="N898" s="1">
        <v>303.34772058823529</v>
      </c>
      <c r="O898" s="1">
        <v>-1.089732371345105</v>
      </c>
      <c r="P898" s="7">
        <v>45947</v>
      </c>
      <c r="Q898" s="1">
        <v>30000</v>
      </c>
      <c r="R898" s="7">
        <v>46144.792816388886</v>
      </c>
      <c r="S898" s="7">
        <v>46144</v>
      </c>
      <c r="T898" s="7" t="str">
        <f t="shared" si="0"/>
        <v>mayo</v>
      </c>
      <c r="X898" s="1" t="s">
        <v>469</v>
      </c>
      <c r="Y898" s="1" t="s">
        <v>470</v>
      </c>
      <c r="Z898" s="1">
        <v>1</v>
      </c>
      <c r="AA898" s="3">
        <v>58063</v>
      </c>
      <c r="AB898" s="3">
        <v>58063</v>
      </c>
      <c r="AC898" s="1" t="str">
        <f>VLOOKUP(A898,[1]Detalle!$D$2:$CW$484,98,FALSE)</f>
        <v>ADA_CH - Danone Arg. S.A. - Chascomus</v>
      </c>
    </row>
    <row r="899" spans="1:32" ht="14.25" customHeight="1" x14ac:dyDescent="0.3">
      <c r="A899" s="1" t="s">
        <v>6</v>
      </c>
      <c r="B899" s="1" t="s">
        <v>435</v>
      </c>
      <c r="C899" s="1" t="s">
        <v>468</v>
      </c>
      <c r="D899" s="1" t="s">
        <v>467</v>
      </c>
      <c r="E899" s="1">
        <v>0.25</v>
      </c>
      <c r="F899" s="1" t="s">
        <v>366</v>
      </c>
      <c r="G899" s="6">
        <v>45845</v>
      </c>
      <c r="H899" s="1">
        <v>726661</v>
      </c>
      <c r="I899" s="1">
        <v>756661</v>
      </c>
      <c r="J899" s="1">
        <v>24602.2</v>
      </c>
      <c r="K899" s="1">
        <v>5397.7999999999956</v>
      </c>
      <c r="L899" s="1">
        <v>751263.2</v>
      </c>
      <c r="M899" s="1">
        <v>102</v>
      </c>
      <c r="N899" s="1">
        <v>306.8559191176472</v>
      </c>
      <c r="O899" s="1">
        <v>22.379120566453381</v>
      </c>
      <c r="P899" s="7">
        <v>45947</v>
      </c>
      <c r="Q899" s="1">
        <v>30000</v>
      </c>
      <c r="R899" s="7">
        <v>46164.910626597222</v>
      </c>
      <c r="S899" s="7">
        <v>46164</v>
      </c>
      <c r="T899" s="7" t="str">
        <f t="shared" si="0"/>
        <v>mayo</v>
      </c>
      <c r="X899" s="1" t="s">
        <v>469</v>
      </c>
      <c r="Y899" s="1" t="s">
        <v>470</v>
      </c>
      <c r="Z899" s="1">
        <v>1</v>
      </c>
      <c r="AA899" s="3">
        <v>58063</v>
      </c>
      <c r="AB899" s="3">
        <v>58063</v>
      </c>
      <c r="AC899" s="1" t="str">
        <f>VLOOKUP(A899,[1]Detalle!$D$2:$CW$484,98,FALSE)</f>
        <v>ADA_CH - Danone Arg. S.A. - Chascomus</v>
      </c>
    </row>
    <row r="900" spans="1:32" ht="14.25" customHeight="1" x14ac:dyDescent="0.3">
      <c r="A900" s="1" t="s">
        <v>7</v>
      </c>
      <c r="B900" s="1" t="s">
        <v>435</v>
      </c>
      <c r="C900" s="1" t="s">
        <v>468</v>
      </c>
      <c r="D900" s="1" t="s">
        <v>467</v>
      </c>
      <c r="E900" s="1">
        <v>0.25</v>
      </c>
      <c r="F900" s="1" t="s">
        <v>366</v>
      </c>
      <c r="G900" s="6">
        <v>45835</v>
      </c>
      <c r="H900" s="1">
        <v>743648</v>
      </c>
      <c r="I900" s="1">
        <v>773648</v>
      </c>
      <c r="J900" s="1">
        <v>30763.099999999991</v>
      </c>
      <c r="K900" s="1">
        <v>-763.09999999998763</v>
      </c>
      <c r="L900" s="1">
        <v>774411.1</v>
      </c>
      <c r="M900" s="1">
        <v>112</v>
      </c>
      <c r="N900" s="1">
        <v>282.61870229007633</v>
      </c>
      <c r="O900" s="1">
        <v>-2.77823756383455</v>
      </c>
      <c r="P900" s="7">
        <v>45947</v>
      </c>
      <c r="Q900" s="1">
        <v>30000</v>
      </c>
      <c r="R900" s="7">
        <v>46159.30017516204</v>
      </c>
      <c r="S900" s="7">
        <v>46159</v>
      </c>
      <c r="T900" s="7" t="str">
        <f t="shared" si="0"/>
        <v>mayo</v>
      </c>
      <c r="X900" s="1" t="s">
        <v>469</v>
      </c>
      <c r="Y900" s="1" t="s">
        <v>470</v>
      </c>
      <c r="Z900" s="1">
        <v>1</v>
      </c>
      <c r="AA900" s="3">
        <v>58063</v>
      </c>
      <c r="AB900" s="3">
        <v>58063</v>
      </c>
      <c r="AC900" s="1" t="str">
        <f>VLOOKUP(A900,[1]Detalle!$D$2:$CW$484,98,FALSE)</f>
        <v>ADA_CH - Danone Arg. S.A. - Chascomus</v>
      </c>
    </row>
    <row r="901" spans="1:32" ht="14.25" customHeight="1" x14ac:dyDescent="0.3">
      <c r="A901" s="1" t="s">
        <v>9</v>
      </c>
      <c r="B901" s="1" t="s">
        <v>435</v>
      </c>
      <c r="C901" s="1" t="s">
        <v>468</v>
      </c>
      <c r="D901" s="1" t="s">
        <v>467</v>
      </c>
      <c r="E901" s="1">
        <v>0.25</v>
      </c>
      <c r="F901" s="1" t="s">
        <v>366</v>
      </c>
      <c r="G901" s="6">
        <v>45789</v>
      </c>
      <c r="H901" s="1">
        <v>828813</v>
      </c>
      <c r="I901" s="1">
        <v>858813</v>
      </c>
      <c r="J901" s="1">
        <v>52575.80000000001</v>
      </c>
      <c r="K901" s="1">
        <v>-22575.80000000001</v>
      </c>
      <c r="L901" s="1">
        <v>881388.8</v>
      </c>
      <c r="M901" s="1">
        <v>158</v>
      </c>
      <c r="N901" s="1">
        <v>352.51014814814829</v>
      </c>
      <c r="O901" s="1">
        <v>-67.844453151449926</v>
      </c>
      <c r="P901" s="7">
        <v>45947</v>
      </c>
      <c r="Q901" s="1">
        <v>30000</v>
      </c>
      <c r="R901" s="7">
        <v>46117.207865833327</v>
      </c>
      <c r="S901" s="7">
        <v>46117</v>
      </c>
      <c r="T901" s="7" t="str">
        <f t="shared" si="0"/>
        <v>abril</v>
      </c>
      <c r="X901" s="1" t="s">
        <v>469</v>
      </c>
      <c r="Y901" s="1" t="s">
        <v>470</v>
      </c>
      <c r="Z901" s="1">
        <v>1</v>
      </c>
      <c r="AA901" s="3">
        <v>58063</v>
      </c>
      <c r="AB901" s="3">
        <v>58063</v>
      </c>
      <c r="AC901" s="1" t="str">
        <f>VLOOKUP(A901,[1]Detalle!$D$2:$CW$484,98,FALSE)</f>
        <v>ADA_CH - Danone Arg. S.A. - Chascomus</v>
      </c>
    </row>
    <row r="902" spans="1:32" ht="14.25" customHeight="1" x14ac:dyDescent="0.3">
      <c r="A902" s="1" t="s">
        <v>17</v>
      </c>
      <c r="B902" s="1" t="s">
        <v>439</v>
      </c>
      <c r="C902" s="1" t="s">
        <v>468</v>
      </c>
      <c r="D902" s="1" t="s">
        <v>467</v>
      </c>
      <c r="E902" s="1">
        <v>0.25</v>
      </c>
      <c r="F902" s="1" t="s">
        <v>366</v>
      </c>
      <c r="G902" s="6">
        <v>45776</v>
      </c>
      <c r="H902" s="1">
        <v>664392</v>
      </c>
      <c r="I902" s="1">
        <v>694392</v>
      </c>
      <c r="J902" s="1">
        <v>62703.799999999981</v>
      </c>
      <c r="K902" s="1">
        <v>-32703.799999999981</v>
      </c>
      <c r="L902" s="1">
        <v>727095.79999999993</v>
      </c>
      <c r="M902" s="1">
        <v>171</v>
      </c>
      <c r="N902" s="1">
        <v>382.02855555555578</v>
      </c>
      <c r="O902" s="1">
        <v>-89.186776558996399</v>
      </c>
      <c r="P902" s="7">
        <v>45947</v>
      </c>
      <c r="Q902" s="1">
        <v>30000</v>
      </c>
      <c r="R902" s="7">
        <v>46104.056322430559</v>
      </c>
      <c r="S902" s="7">
        <v>46104</v>
      </c>
      <c r="T902" s="7" t="str">
        <f t="shared" si="0"/>
        <v>marzo</v>
      </c>
      <c r="X902" s="1" t="s">
        <v>469</v>
      </c>
      <c r="Y902" s="1" t="s">
        <v>470</v>
      </c>
      <c r="Z902" s="1">
        <v>1</v>
      </c>
      <c r="AA902" s="3">
        <v>58063</v>
      </c>
      <c r="AB902" s="3">
        <v>58063</v>
      </c>
      <c r="AC902" s="1" t="str">
        <f>VLOOKUP(A902,[1]Detalle!$D$2:$CW$484,98,FALSE)</f>
        <v>Expreso - Servicios Troncales</v>
      </c>
    </row>
    <row r="903" spans="1:32" ht="14.25" customHeight="1" x14ac:dyDescent="0.3">
      <c r="A903" s="1" t="s">
        <v>18</v>
      </c>
      <c r="B903" s="1" t="s">
        <v>439</v>
      </c>
      <c r="C903" s="1" t="s">
        <v>468</v>
      </c>
      <c r="D903" s="1" t="s">
        <v>467</v>
      </c>
      <c r="E903" s="1">
        <v>0.25</v>
      </c>
      <c r="F903" s="1" t="s">
        <v>366</v>
      </c>
      <c r="G903" s="6">
        <v>45852</v>
      </c>
      <c r="H903" s="1">
        <v>654972</v>
      </c>
      <c r="I903" s="1">
        <v>684972</v>
      </c>
      <c r="J903" s="1">
        <v>26383.500000000011</v>
      </c>
      <c r="K903" s="1">
        <v>3616.4999999999932</v>
      </c>
      <c r="L903" s="1">
        <v>681355.5</v>
      </c>
      <c r="M903" s="1">
        <v>95</v>
      </c>
      <c r="N903" s="1">
        <v>381.04202205882348</v>
      </c>
      <c r="O903" s="1">
        <v>13.02205924157141</v>
      </c>
      <c r="P903" s="7">
        <v>45947</v>
      </c>
      <c r="Q903" s="1">
        <v>30000</v>
      </c>
      <c r="R903" s="7">
        <v>46117.485006967603</v>
      </c>
      <c r="S903" s="7">
        <v>46117</v>
      </c>
      <c r="T903" s="7" t="str">
        <f t="shared" si="0"/>
        <v>abril</v>
      </c>
      <c r="X903" s="1" t="s">
        <v>469</v>
      </c>
      <c r="Y903" s="1" t="s">
        <v>470</v>
      </c>
      <c r="Z903" s="1">
        <v>1</v>
      </c>
      <c r="AA903" s="3">
        <v>58063</v>
      </c>
      <c r="AB903" s="3">
        <v>58063</v>
      </c>
      <c r="AC903" s="1" t="str">
        <f>VLOOKUP(A903,[1]Detalle!$D$2:$CW$484,98,FALSE)</f>
        <v>Expreso - Servicios Troncales</v>
      </c>
    </row>
    <row r="904" spans="1:32" ht="14.25" customHeight="1" x14ac:dyDescent="0.3">
      <c r="A904" s="1" t="s">
        <v>231</v>
      </c>
      <c r="B904" s="1" t="s">
        <v>440</v>
      </c>
      <c r="C904" s="1" t="s">
        <v>468</v>
      </c>
      <c r="D904" s="1" t="s">
        <v>467</v>
      </c>
      <c r="E904" s="1">
        <v>0.25</v>
      </c>
      <c r="F904" s="1" t="s">
        <v>366</v>
      </c>
      <c r="G904" s="6">
        <v>45889</v>
      </c>
      <c r="H904" s="1">
        <v>1836513</v>
      </c>
      <c r="I904" s="1">
        <v>1866513</v>
      </c>
      <c r="J904" s="1">
        <v>14116.4</v>
      </c>
      <c r="K904" s="1">
        <v>15883.6</v>
      </c>
      <c r="L904" s="1">
        <v>1850629.4</v>
      </c>
      <c r="M904" s="1">
        <v>58</v>
      </c>
      <c r="N904" s="1">
        <v>332.5574264705881</v>
      </c>
      <c r="O904" s="1">
        <v>65.260888045110633</v>
      </c>
      <c r="P904" s="7">
        <v>45947</v>
      </c>
      <c r="Q904" s="1">
        <v>30000</v>
      </c>
      <c r="R904" s="7">
        <v>46192.680855312501</v>
      </c>
      <c r="S904" s="7">
        <v>46192</v>
      </c>
      <c r="T904" s="7" t="str">
        <f t="shared" si="0"/>
        <v>junio</v>
      </c>
      <c r="X904" s="1" t="s">
        <v>469</v>
      </c>
      <c r="Y904" s="1" t="s">
        <v>470</v>
      </c>
      <c r="Z904" s="1">
        <v>1</v>
      </c>
      <c r="AA904" s="3">
        <v>58063</v>
      </c>
      <c r="AB904" s="3">
        <v>58063</v>
      </c>
      <c r="AC904" s="1" t="str">
        <f>VLOOKUP(A904,[1]Detalle!$D$2:$CW$484,98,FALSE)</f>
        <v>Expreso - Servicios Troncales</v>
      </c>
    </row>
    <row r="905" spans="1:32" ht="14.25" customHeight="1" x14ac:dyDescent="0.3">
      <c r="A905" s="8" t="s">
        <v>279</v>
      </c>
      <c r="B905" s="1" t="s">
        <v>442</v>
      </c>
      <c r="C905" s="8" t="s">
        <v>471</v>
      </c>
      <c r="D905" s="8" t="s">
        <v>467</v>
      </c>
      <c r="E905" s="8">
        <v>0.25</v>
      </c>
      <c r="F905" s="8" t="s">
        <v>366</v>
      </c>
      <c r="G905" s="8" t="s">
        <v>337</v>
      </c>
      <c r="H905" s="8">
        <v>35081.599999999999</v>
      </c>
      <c r="I905" s="8">
        <v>65081.599999999999</v>
      </c>
      <c r="J905" s="8">
        <v>51895.159999999982</v>
      </c>
      <c r="K905" s="8">
        <v>-21895.159999999982</v>
      </c>
      <c r="L905" s="8">
        <v>86976.75999999998</v>
      </c>
      <c r="M905" s="8">
        <v>243</v>
      </c>
      <c r="N905" s="8">
        <v>197.99579335793359</v>
      </c>
      <c r="O905" s="8">
        <v>-102.5244720316885</v>
      </c>
      <c r="P905" s="10">
        <v>45947</v>
      </c>
      <c r="Q905" s="8">
        <v>30000</v>
      </c>
      <c r="R905" s="10">
        <v>46250.036741249998</v>
      </c>
      <c r="S905" s="7">
        <v>46250</v>
      </c>
      <c r="T905" s="10" t="str">
        <f t="shared" si="0"/>
        <v>agosto</v>
      </c>
      <c r="U905" s="8"/>
      <c r="V905" s="8"/>
      <c r="W905" s="8"/>
      <c r="X905" s="8" t="s">
        <v>472</v>
      </c>
      <c r="Y905" s="8" t="s">
        <v>473</v>
      </c>
      <c r="Z905" s="8">
        <v>1</v>
      </c>
      <c r="AA905" s="11">
        <v>35911.769999999997</v>
      </c>
      <c r="AB905" s="11">
        <v>35911.769999999997</v>
      </c>
      <c r="AC905" s="1" t="str">
        <f>VLOOKUP(A905,[1]Detalle!$D$2:$CW$484,98,FALSE)</f>
        <v>Expreso - Servicios Troncales</v>
      </c>
      <c r="AD905" s="8"/>
      <c r="AE905" s="8"/>
      <c r="AF905" s="8"/>
    </row>
    <row r="906" spans="1:32" ht="14.25" customHeight="1" x14ac:dyDescent="0.3">
      <c r="A906" s="1" t="s">
        <v>228</v>
      </c>
      <c r="B906" s="1" t="s">
        <v>446</v>
      </c>
      <c r="C906" s="1" t="s">
        <v>471</v>
      </c>
      <c r="D906" s="1" t="s">
        <v>467</v>
      </c>
      <c r="E906" s="1">
        <v>0.25</v>
      </c>
      <c r="F906" s="1" t="s">
        <v>366</v>
      </c>
      <c r="G906" s="1" t="s">
        <v>337</v>
      </c>
      <c r="H906" s="1">
        <v>799717</v>
      </c>
      <c r="I906" s="1">
        <v>829717</v>
      </c>
      <c r="J906" s="1">
        <v>57283.27</v>
      </c>
      <c r="K906" s="1">
        <v>-27283.27</v>
      </c>
      <c r="L906" s="1">
        <v>857000.27</v>
      </c>
      <c r="M906" s="1">
        <v>253</v>
      </c>
      <c r="N906" s="1">
        <v>232.68261029411761</v>
      </c>
      <c r="O906" s="1">
        <v>-120.5005808851345</v>
      </c>
      <c r="P906" s="7">
        <v>45947</v>
      </c>
      <c r="Q906" s="1">
        <v>30000</v>
      </c>
      <c r="R906" s="7">
        <v>46204.861986006938</v>
      </c>
      <c r="S906" s="7">
        <v>46204</v>
      </c>
      <c r="T906" s="7" t="str">
        <f t="shared" si="0"/>
        <v>julio</v>
      </c>
      <c r="X906" s="1" t="s">
        <v>472</v>
      </c>
      <c r="Y906" s="1" t="s">
        <v>473</v>
      </c>
      <c r="Z906" s="1">
        <v>1</v>
      </c>
      <c r="AA906" s="3">
        <v>35911.769999999997</v>
      </c>
      <c r="AB906" s="3">
        <v>35911.769999999997</v>
      </c>
      <c r="AC906" s="1" t="str">
        <f>VLOOKUP(A906,[1]Detalle!$D$2:$CW$484,98,FALSE)</f>
        <v>Expreso - Servicios Troncales</v>
      </c>
    </row>
    <row r="907" spans="1:32" ht="14.25" customHeight="1" x14ac:dyDescent="0.3">
      <c r="A907" s="1" t="s">
        <v>105</v>
      </c>
      <c r="B907" s="1">
        <v>710</v>
      </c>
      <c r="C907" s="1" t="s">
        <v>328</v>
      </c>
      <c r="D907" s="1" t="s">
        <v>328</v>
      </c>
      <c r="E907" s="1">
        <v>0.75</v>
      </c>
      <c r="F907" s="1" t="s">
        <v>329</v>
      </c>
      <c r="G907" s="1">
        <v>40688</v>
      </c>
      <c r="H907" s="1">
        <v>60688</v>
      </c>
      <c r="I907" s="1">
        <v>18559.899999999991</v>
      </c>
      <c r="J907" s="1">
        <v>1440.100000000006</v>
      </c>
      <c r="K907" s="1">
        <v>59247.899999999987</v>
      </c>
      <c r="L907" s="1">
        <v>107</v>
      </c>
      <c r="M907" s="1">
        <v>129.25862179487169</v>
      </c>
      <c r="N907" s="1">
        <v>8.3023453790160868</v>
      </c>
      <c r="P907" s="7">
        <v>45677</v>
      </c>
      <c r="R907" s="7">
        <v>46042</v>
      </c>
      <c r="S907" s="7">
        <v>46042</v>
      </c>
      <c r="T907" s="7" t="str">
        <f t="shared" si="0"/>
        <v>enero</v>
      </c>
      <c r="X907" s="1" t="s">
        <v>333</v>
      </c>
      <c r="Y907" s="1" t="s">
        <v>334</v>
      </c>
      <c r="Z907" s="1">
        <v>1</v>
      </c>
      <c r="AA907" s="3">
        <v>8513.2800000000007</v>
      </c>
      <c r="AB907" s="3">
        <v>8513.2800000000007</v>
      </c>
      <c r="AC907" s="1" t="str">
        <f>VLOOKUP(A907,[1]Detalle!$D$2:$CW$484,98,FALSE)</f>
        <v>SUC_MAL - Sucursal Malargüe</v>
      </c>
    </row>
    <row r="908" spans="1:32" ht="14.25" customHeight="1" x14ac:dyDescent="0.3">
      <c r="A908" s="1" t="s">
        <v>38</v>
      </c>
      <c r="B908" s="1" t="s">
        <v>362</v>
      </c>
      <c r="C908" s="1" t="s">
        <v>328</v>
      </c>
      <c r="D908" s="1" t="s">
        <v>328</v>
      </c>
      <c r="E908" s="1">
        <v>0.75</v>
      </c>
      <c r="F908" s="1" t="s">
        <v>329</v>
      </c>
      <c r="G908" s="1">
        <v>40688</v>
      </c>
      <c r="H908" s="1">
        <v>60688</v>
      </c>
      <c r="I908" s="1">
        <v>18559.899999999991</v>
      </c>
      <c r="J908" s="1">
        <v>1440.100000000006</v>
      </c>
      <c r="K908" s="1">
        <v>59247.899999999987</v>
      </c>
      <c r="L908" s="1">
        <v>107</v>
      </c>
      <c r="M908" s="1">
        <v>129.25862179487169</v>
      </c>
      <c r="N908" s="1">
        <v>8.3023453790160868</v>
      </c>
      <c r="P908" s="7">
        <v>45679</v>
      </c>
      <c r="R908" s="7">
        <v>46044</v>
      </c>
      <c r="S908" s="7">
        <v>46044</v>
      </c>
      <c r="T908" s="7" t="str">
        <f t="shared" si="0"/>
        <v>enero</v>
      </c>
      <c r="X908" s="1" t="s">
        <v>333</v>
      </c>
      <c r="Y908" s="1" t="s">
        <v>334</v>
      </c>
      <c r="Z908" s="1">
        <v>1</v>
      </c>
      <c r="AA908" s="3">
        <v>8513.2800000000007</v>
      </c>
      <c r="AB908" s="3">
        <v>8513.2800000000007</v>
      </c>
      <c r="AC908" s="1" t="str">
        <f>VLOOKUP(A908,[1]Detalle!$D$2:$CW$484,98,FALSE)</f>
        <v>SUC_SRA - Sucursal San Rafael</v>
      </c>
    </row>
    <row r="909" spans="1:32" ht="14.25" customHeight="1" x14ac:dyDescent="0.3">
      <c r="A909" s="1" t="s">
        <v>74</v>
      </c>
      <c r="B909" s="1" t="s">
        <v>338</v>
      </c>
      <c r="C909" s="1" t="s">
        <v>328</v>
      </c>
      <c r="D909" s="1" t="s">
        <v>328</v>
      </c>
      <c r="E909" s="1">
        <v>0.75</v>
      </c>
      <c r="F909" s="1" t="s">
        <v>329</v>
      </c>
      <c r="G909" s="1">
        <v>40688</v>
      </c>
      <c r="H909" s="1">
        <v>60688</v>
      </c>
      <c r="I909" s="1">
        <v>18559.899999999991</v>
      </c>
      <c r="J909" s="1">
        <v>1440.100000000006</v>
      </c>
      <c r="K909" s="1">
        <v>59247.899999999987</v>
      </c>
      <c r="L909" s="1">
        <v>107</v>
      </c>
      <c r="M909" s="1">
        <v>129.25862179487169</v>
      </c>
      <c r="N909" s="1">
        <v>8.3023453790160868</v>
      </c>
      <c r="P909" s="7">
        <v>45681</v>
      </c>
      <c r="R909" s="7">
        <v>46046</v>
      </c>
      <c r="S909" s="7">
        <v>46046</v>
      </c>
      <c r="T909" s="7" t="str">
        <f t="shared" si="0"/>
        <v>enero</v>
      </c>
      <c r="X909" s="1" t="s">
        <v>333</v>
      </c>
      <c r="Y909" s="1" t="s">
        <v>334</v>
      </c>
      <c r="Z909" s="1">
        <v>1</v>
      </c>
      <c r="AA909" s="3">
        <v>8513.2800000000007</v>
      </c>
      <c r="AB909" s="3">
        <v>8513.2800000000007</v>
      </c>
      <c r="AC909" s="1" t="str">
        <f>VLOOKUP(A909,[1]Detalle!$D$2:$CW$484,98,FALSE)</f>
        <v>CENCO_MZ - Cencosud SA - Mendoza</v>
      </c>
    </row>
    <row r="910" spans="1:32" ht="14.25" customHeight="1" x14ac:dyDescent="0.3">
      <c r="A910" s="1" t="s">
        <v>172</v>
      </c>
      <c r="B910" s="1" t="s">
        <v>351</v>
      </c>
      <c r="C910" s="1" t="s">
        <v>328</v>
      </c>
      <c r="D910" s="1" t="s">
        <v>328</v>
      </c>
      <c r="E910" s="1">
        <v>0.75</v>
      </c>
      <c r="F910" s="1" t="s">
        <v>329</v>
      </c>
      <c r="G910" s="1">
        <v>40688</v>
      </c>
      <c r="H910" s="1">
        <v>60688</v>
      </c>
      <c r="I910" s="1">
        <v>18559.899999999991</v>
      </c>
      <c r="J910" s="1">
        <v>1440.100000000006</v>
      </c>
      <c r="K910" s="1">
        <v>59247.899999999987</v>
      </c>
      <c r="L910" s="1">
        <v>107</v>
      </c>
      <c r="M910" s="1">
        <v>129.25862179487169</v>
      </c>
      <c r="N910" s="1">
        <v>8.3023453790160868</v>
      </c>
      <c r="P910" s="7">
        <v>45688</v>
      </c>
      <c r="R910" s="7">
        <v>46053</v>
      </c>
      <c r="S910" s="7">
        <v>46053</v>
      </c>
      <c r="T910" s="7" t="str">
        <f t="shared" si="0"/>
        <v>enero</v>
      </c>
      <c r="X910" s="1" t="s">
        <v>333</v>
      </c>
      <c r="Y910" s="1" t="s">
        <v>334</v>
      </c>
      <c r="Z910" s="1">
        <v>1</v>
      </c>
      <c r="AA910" s="3">
        <v>8513.2800000000007</v>
      </c>
      <c r="AB910" s="3">
        <v>8513.2800000000007</v>
      </c>
      <c r="AC910" s="1" t="str">
        <f>VLOOKUP(A910,[1]Detalle!$D$2:$CW$484,98,FALSE)</f>
        <v>CENCO_MZ - Cencosud SA - Mendoza</v>
      </c>
    </row>
    <row r="911" spans="1:32" ht="14.25" customHeight="1" x14ac:dyDescent="0.3">
      <c r="A911" s="1" t="s">
        <v>152</v>
      </c>
      <c r="B911" s="1" t="s">
        <v>351</v>
      </c>
      <c r="C911" s="1" t="s">
        <v>328</v>
      </c>
      <c r="D911" s="1" t="s">
        <v>328</v>
      </c>
      <c r="E911" s="1">
        <v>0.75</v>
      </c>
      <c r="F911" s="1" t="s">
        <v>329</v>
      </c>
      <c r="G911" s="1">
        <v>40688</v>
      </c>
      <c r="H911" s="1">
        <v>60688</v>
      </c>
      <c r="I911" s="1">
        <v>18559.899999999991</v>
      </c>
      <c r="J911" s="1">
        <v>1440.100000000006</v>
      </c>
      <c r="K911" s="1">
        <v>59247.899999999987</v>
      </c>
      <c r="L911" s="1">
        <v>107</v>
      </c>
      <c r="M911" s="1">
        <v>129.25862179487169</v>
      </c>
      <c r="N911" s="1">
        <v>8.3023453790160868</v>
      </c>
      <c r="P911" s="7">
        <v>45693</v>
      </c>
      <c r="R911" s="7">
        <v>46058</v>
      </c>
      <c r="S911" s="7">
        <v>46058</v>
      </c>
      <c r="T911" s="7" t="str">
        <f t="shared" si="0"/>
        <v>febrero</v>
      </c>
      <c r="X911" s="1" t="s">
        <v>333</v>
      </c>
      <c r="Y911" s="1" t="s">
        <v>334</v>
      </c>
      <c r="Z911" s="1">
        <v>1</v>
      </c>
      <c r="AA911" s="3">
        <v>8513.2800000000007</v>
      </c>
      <c r="AB911" s="3">
        <v>8513.2800000000007</v>
      </c>
      <c r="AC911" s="1" t="str">
        <f>VLOOKUP(A911,[1]Detalle!$D$2:$CW$484,98,FALSE)</f>
        <v>SUC_REA - Sucursal Realicó</v>
      </c>
    </row>
    <row r="912" spans="1:32" ht="14.25" customHeight="1" x14ac:dyDescent="0.3">
      <c r="A912" s="1" t="s">
        <v>243</v>
      </c>
      <c r="B912" s="1" t="s">
        <v>341</v>
      </c>
      <c r="C912" s="1" t="s">
        <v>328</v>
      </c>
      <c r="D912" s="1" t="s">
        <v>328</v>
      </c>
      <c r="E912" s="1">
        <v>0.75</v>
      </c>
      <c r="F912" s="1" t="s">
        <v>329</v>
      </c>
      <c r="G912" s="1">
        <v>40688</v>
      </c>
      <c r="H912" s="1">
        <v>60688</v>
      </c>
      <c r="I912" s="1">
        <v>18559.899999999991</v>
      </c>
      <c r="J912" s="1">
        <v>1440.100000000006</v>
      </c>
      <c r="K912" s="1">
        <v>59247.899999999987</v>
      </c>
      <c r="L912" s="1">
        <v>107</v>
      </c>
      <c r="M912" s="1">
        <v>129.25862179487169</v>
      </c>
      <c r="N912" s="1">
        <v>8.3023453790160868</v>
      </c>
      <c r="P912" s="7">
        <v>45699</v>
      </c>
      <c r="R912" s="7">
        <v>46064</v>
      </c>
      <c r="S912" s="7">
        <v>46064</v>
      </c>
      <c r="T912" s="7" t="str">
        <f t="shared" si="0"/>
        <v>febrero</v>
      </c>
      <c r="X912" s="1" t="s">
        <v>333</v>
      </c>
      <c r="Y912" s="1" t="s">
        <v>334</v>
      </c>
      <c r="Z912" s="1">
        <v>1</v>
      </c>
      <c r="AA912" s="3">
        <v>8513.2800000000007</v>
      </c>
      <c r="AB912" s="3">
        <v>8513.2800000000007</v>
      </c>
      <c r="AC912" s="1" t="str">
        <f>VLOOKUP(A912,[1]Detalle!$D$2:$CW$484,98,FALSE)</f>
        <v>CMQ_TTE - QUILMES TTE</v>
      </c>
    </row>
    <row r="913" spans="1:29" ht="14.25" customHeight="1" x14ac:dyDescent="0.3">
      <c r="A913" s="1" t="s">
        <v>258</v>
      </c>
      <c r="B913" s="1" t="s">
        <v>341</v>
      </c>
      <c r="C913" s="1" t="s">
        <v>328</v>
      </c>
      <c r="D913" s="1" t="s">
        <v>328</v>
      </c>
      <c r="E913" s="1">
        <v>0.75</v>
      </c>
      <c r="F913" s="1" t="s">
        <v>329</v>
      </c>
      <c r="G913" s="1">
        <v>40688</v>
      </c>
      <c r="H913" s="1">
        <v>60688</v>
      </c>
      <c r="I913" s="1">
        <v>18559.899999999991</v>
      </c>
      <c r="J913" s="1">
        <v>1440.100000000006</v>
      </c>
      <c r="K913" s="1">
        <v>59247.899999999987</v>
      </c>
      <c r="L913" s="1">
        <v>107</v>
      </c>
      <c r="M913" s="1">
        <v>129.25862179487169</v>
      </c>
      <c r="N913" s="1">
        <v>8.3023453790160868</v>
      </c>
      <c r="P913" s="7">
        <v>45722</v>
      </c>
      <c r="R913" s="7">
        <v>46087</v>
      </c>
      <c r="S913" s="7">
        <v>46087</v>
      </c>
      <c r="T913" s="7" t="str">
        <f t="shared" si="0"/>
        <v>marzo</v>
      </c>
      <c r="X913" s="1" t="s">
        <v>333</v>
      </c>
      <c r="Y913" s="1" t="s">
        <v>334</v>
      </c>
      <c r="Z913" s="1">
        <v>1</v>
      </c>
      <c r="AA913" s="3">
        <v>8513.2800000000007</v>
      </c>
      <c r="AB913" s="3">
        <v>8513.2800000000007</v>
      </c>
      <c r="AC913" s="1" t="str">
        <f>VLOOKUP(A913,[1]Detalle!$D$2:$CW$484,98,FALSE)</f>
        <v>CCUDyAZA</v>
      </c>
    </row>
    <row r="914" spans="1:29" ht="14.25" customHeight="1" x14ac:dyDescent="0.3">
      <c r="A914" s="1" t="s">
        <v>280</v>
      </c>
      <c r="B914" s="1" t="s">
        <v>477</v>
      </c>
      <c r="C914" s="1" t="s">
        <v>328</v>
      </c>
      <c r="D914" s="1" t="s">
        <v>328</v>
      </c>
      <c r="E914" s="1">
        <v>0.75</v>
      </c>
      <c r="F914" s="1" t="s">
        <v>329</v>
      </c>
      <c r="G914" s="1">
        <v>40688</v>
      </c>
      <c r="H914" s="1">
        <v>60688</v>
      </c>
      <c r="I914" s="1">
        <v>18559.899999999991</v>
      </c>
      <c r="J914" s="1">
        <v>1440.100000000006</v>
      </c>
      <c r="K914" s="1">
        <v>59247.899999999987</v>
      </c>
      <c r="L914" s="1">
        <v>107</v>
      </c>
      <c r="M914" s="1">
        <v>129.25862179487169</v>
      </c>
      <c r="N914" s="1">
        <v>8.3023453790160868</v>
      </c>
      <c r="P914" s="7">
        <v>45735</v>
      </c>
      <c r="R914" s="7">
        <v>46100</v>
      </c>
      <c r="S914" s="7">
        <v>46100</v>
      </c>
      <c r="T914" s="7" t="str">
        <f t="shared" si="0"/>
        <v>marzo</v>
      </c>
      <c r="X914" s="1" t="s">
        <v>333</v>
      </c>
      <c r="Y914" s="1" t="s">
        <v>334</v>
      </c>
      <c r="Z914" s="1">
        <v>1</v>
      </c>
      <c r="AA914" s="3">
        <v>8513.2800000000007</v>
      </c>
      <c r="AB914" s="3">
        <v>8513.2800000000007</v>
      </c>
      <c r="AC914" s="1" t="str">
        <f>VLOOKUP(A914,[1]Detalle!$D$2:$CW$484,98,FALSE)</f>
        <v>Expreso - Servicios Troncales</v>
      </c>
    </row>
    <row r="915" spans="1:29" ht="14.25" customHeight="1" x14ac:dyDescent="0.3">
      <c r="A915" s="1" t="s">
        <v>205</v>
      </c>
      <c r="B915" s="1" t="s">
        <v>351</v>
      </c>
      <c r="C915" s="1" t="s">
        <v>328</v>
      </c>
      <c r="D915" s="1" t="s">
        <v>328</v>
      </c>
      <c r="E915" s="1">
        <v>0.75</v>
      </c>
      <c r="F915" s="1" t="s">
        <v>329</v>
      </c>
      <c r="G915" s="1">
        <v>40688</v>
      </c>
      <c r="H915" s="1">
        <v>60688</v>
      </c>
      <c r="I915" s="1">
        <v>18559.899999999991</v>
      </c>
      <c r="J915" s="1">
        <v>1440.100000000006</v>
      </c>
      <c r="K915" s="1">
        <v>59247.899999999987</v>
      </c>
      <c r="L915" s="1">
        <v>107</v>
      </c>
      <c r="M915" s="1">
        <v>129.25862179487169</v>
      </c>
      <c r="N915" s="1">
        <v>8.3023453790160868</v>
      </c>
      <c r="P915" s="7">
        <v>45735</v>
      </c>
      <c r="R915" s="7">
        <v>46100</v>
      </c>
      <c r="S915" s="7">
        <v>46100</v>
      </c>
      <c r="T915" s="7" t="str">
        <f t="shared" si="0"/>
        <v>marzo</v>
      </c>
      <c r="X915" s="1" t="s">
        <v>333</v>
      </c>
      <c r="Y915" s="1" t="s">
        <v>334</v>
      </c>
      <c r="Z915" s="1">
        <v>1</v>
      </c>
      <c r="AA915" s="3">
        <v>8513.2800000000007</v>
      </c>
      <c r="AB915" s="3">
        <v>8513.2800000000007</v>
      </c>
      <c r="AC915" s="1" t="str">
        <f>VLOOKUP(A915,[1]Detalle!$D$2:$CW$484,98,FALSE)</f>
        <v>CCUCoAZA</v>
      </c>
    </row>
    <row r="916" spans="1:29" ht="14.25" customHeight="1" x14ac:dyDescent="0.3">
      <c r="A916" s="1" t="s">
        <v>272</v>
      </c>
      <c r="B916" s="1" t="s">
        <v>349</v>
      </c>
      <c r="C916" s="1" t="s">
        <v>328</v>
      </c>
      <c r="D916" s="1" t="s">
        <v>328</v>
      </c>
      <c r="E916" s="1">
        <v>0.75</v>
      </c>
      <c r="F916" s="1" t="s">
        <v>329</v>
      </c>
      <c r="G916" s="1">
        <v>40688</v>
      </c>
      <c r="H916" s="1">
        <v>60688</v>
      </c>
      <c r="I916" s="1">
        <v>18559.899999999991</v>
      </c>
      <c r="J916" s="1">
        <v>1440.100000000006</v>
      </c>
      <c r="K916" s="1">
        <v>59247.899999999987</v>
      </c>
      <c r="L916" s="1">
        <v>107</v>
      </c>
      <c r="M916" s="1">
        <v>129.25862179487169</v>
      </c>
      <c r="N916" s="1">
        <v>8.3023453790160868</v>
      </c>
      <c r="P916" s="7">
        <v>45734</v>
      </c>
      <c r="R916" s="7">
        <v>46099</v>
      </c>
      <c r="S916" s="7">
        <v>46099</v>
      </c>
      <c r="T916" s="7" t="str">
        <f t="shared" si="0"/>
        <v>marzo</v>
      </c>
      <c r="X916" s="1" t="s">
        <v>333</v>
      </c>
      <c r="Y916" s="1" t="s">
        <v>334</v>
      </c>
      <c r="Z916" s="1">
        <v>1</v>
      </c>
      <c r="AA916" s="3">
        <v>8513.2800000000007</v>
      </c>
      <c r="AB916" s="3">
        <v>8513.2800000000007</v>
      </c>
      <c r="AC916" s="1" t="str">
        <f>VLOOKUP(A916,[1]Detalle!$D$2:$CW$484,98,FALSE)</f>
        <v>CCUDyAZA</v>
      </c>
    </row>
    <row r="917" spans="1:29" ht="14.25" customHeight="1" x14ac:dyDescent="0.3">
      <c r="A917" s="1" t="s">
        <v>114</v>
      </c>
      <c r="B917" s="1">
        <v>1218</v>
      </c>
      <c r="C917" s="1" t="s">
        <v>328</v>
      </c>
      <c r="D917" s="1" t="s">
        <v>328</v>
      </c>
      <c r="E917" s="1">
        <v>0.75</v>
      </c>
      <c r="F917" s="1" t="s">
        <v>329</v>
      </c>
      <c r="G917" s="1">
        <v>40688</v>
      </c>
      <c r="H917" s="1">
        <v>60688</v>
      </c>
      <c r="I917" s="1">
        <v>18559.899999999991</v>
      </c>
      <c r="J917" s="1">
        <v>1440.100000000006</v>
      </c>
      <c r="K917" s="1">
        <v>59247.899999999987</v>
      </c>
      <c r="L917" s="1">
        <v>107</v>
      </c>
      <c r="M917" s="1">
        <v>129.25862179487169</v>
      </c>
      <c r="N917" s="1">
        <v>8.3023453790160868</v>
      </c>
      <c r="P917" s="7">
        <v>45741</v>
      </c>
      <c r="R917" s="7">
        <v>46106</v>
      </c>
      <c r="S917" s="7">
        <v>46106</v>
      </c>
      <c r="T917" s="7" t="str">
        <f t="shared" si="0"/>
        <v>marzo</v>
      </c>
      <c r="X917" s="1" t="s">
        <v>333</v>
      </c>
      <c r="Y917" s="1" t="s">
        <v>334</v>
      </c>
      <c r="Z917" s="1">
        <v>1</v>
      </c>
      <c r="AA917" s="3">
        <v>8513.2800000000007</v>
      </c>
      <c r="AB917" s="3">
        <v>8513.2800000000007</v>
      </c>
      <c r="AC917" s="1" t="str">
        <f>VLOOKUP(A917,[1]Detalle!$D$2:$CW$484,98,FALSE)</f>
        <v>Sin Operación</v>
      </c>
    </row>
    <row r="918" spans="1:29" ht="14.25" customHeight="1" x14ac:dyDescent="0.3">
      <c r="A918" s="1" t="s">
        <v>166</v>
      </c>
      <c r="B918" s="1" t="s">
        <v>351</v>
      </c>
      <c r="C918" s="1" t="s">
        <v>328</v>
      </c>
      <c r="D918" s="1" t="s">
        <v>328</v>
      </c>
      <c r="E918" s="1">
        <v>0.75</v>
      </c>
      <c r="F918" s="1" t="s">
        <v>329</v>
      </c>
      <c r="G918" s="1">
        <v>40688</v>
      </c>
      <c r="H918" s="1">
        <v>60688</v>
      </c>
      <c r="I918" s="1">
        <v>18559.899999999991</v>
      </c>
      <c r="J918" s="1">
        <v>1440.100000000006</v>
      </c>
      <c r="K918" s="1">
        <v>59247.899999999987</v>
      </c>
      <c r="L918" s="1">
        <v>107</v>
      </c>
      <c r="M918" s="1">
        <v>129.25862179487169</v>
      </c>
      <c r="N918" s="1">
        <v>8.3023453790160868</v>
      </c>
      <c r="P918" s="7">
        <v>45737</v>
      </c>
      <c r="R918" s="7">
        <v>46102</v>
      </c>
      <c r="S918" s="7">
        <v>46102</v>
      </c>
      <c r="T918" s="7" t="str">
        <f t="shared" si="0"/>
        <v>marzo</v>
      </c>
      <c r="X918" s="1" t="s">
        <v>333</v>
      </c>
      <c r="Y918" s="1" t="s">
        <v>334</v>
      </c>
      <c r="Z918" s="1">
        <v>1</v>
      </c>
      <c r="AA918" s="3">
        <v>8513.2800000000007</v>
      </c>
      <c r="AB918" s="3">
        <v>8513.2800000000007</v>
      </c>
      <c r="AC918" s="1" t="str">
        <f>VLOOKUP(A918,[1]Detalle!$D$2:$CW$484,98,FALSE)</f>
        <v>CCUCoAZA</v>
      </c>
    </row>
    <row r="919" spans="1:29" ht="14.25" customHeight="1" x14ac:dyDescent="0.3">
      <c r="A919" s="1" t="s">
        <v>258</v>
      </c>
      <c r="B919" s="1" t="s">
        <v>341</v>
      </c>
      <c r="C919" s="1" t="s">
        <v>328</v>
      </c>
      <c r="D919" s="1" t="s">
        <v>328</v>
      </c>
      <c r="E919" s="1">
        <v>0.75</v>
      </c>
      <c r="F919" s="1" t="s">
        <v>329</v>
      </c>
      <c r="G919" s="1">
        <v>40688</v>
      </c>
      <c r="H919" s="1">
        <v>60688</v>
      </c>
      <c r="I919" s="1">
        <v>18559.899999999991</v>
      </c>
      <c r="J919" s="1">
        <v>1440.100000000006</v>
      </c>
      <c r="K919" s="1">
        <v>59247.899999999987</v>
      </c>
      <c r="L919" s="1">
        <v>107</v>
      </c>
      <c r="M919" s="1">
        <v>129.25862179487169</v>
      </c>
      <c r="N919" s="1">
        <v>8.3023453790160868</v>
      </c>
      <c r="P919" s="7">
        <v>45744</v>
      </c>
      <c r="R919" s="7">
        <v>46109</v>
      </c>
      <c r="S919" s="7">
        <v>46109</v>
      </c>
      <c r="T919" s="7" t="str">
        <f t="shared" si="0"/>
        <v>marzo</v>
      </c>
      <c r="X919" s="1" t="s">
        <v>333</v>
      </c>
      <c r="Y919" s="1" t="s">
        <v>334</v>
      </c>
      <c r="Z919" s="1">
        <v>1</v>
      </c>
      <c r="AA919" s="3">
        <v>8513.2800000000007</v>
      </c>
      <c r="AB919" s="3">
        <v>8513.2800000000007</v>
      </c>
      <c r="AC919" s="1" t="str">
        <f>VLOOKUP(A919,[1]Detalle!$D$2:$CW$484,98,FALSE)</f>
        <v>CCUDyAZA</v>
      </c>
    </row>
    <row r="920" spans="1:29" ht="14.25" customHeight="1" x14ac:dyDescent="0.3">
      <c r="A920" s="1" t="s">
        <v>204</v>
      </c>
      <c r="B920" s="1" t="s">
        <v>351</v>
      </c>
      <c r="C920" s="1" t="s">
        <v>328</v>
      </c>
      <c r="D920" s="1" t="s">
        <v>328</v>
      </c>
      <c r="E920" s="1">
        <v>0.75</v>
      </c>
      <c r="F920" s="1" t="s">
        <v>329</v>
      </c>
      <c r="G920" s="1">
        <v>40688</v>
      </c>
      <c r="H920" s="1">
        <v>60688</v>
      </c>
      <c r="I920" s="1">
        <v>18559.899999999991</v>
      </c>
      <c r="J920" s="1">
        <v>1440.100000000006</v>
      </c>
      <c r="K920" s="1">
        <v>59247.899999999987</v>
      </c>
      <c r="L920" s="1">
        <v>107</v>
      </c>
      <c r="M920" s="1">
        <v>129.25862179487169</v>
      </c>
      <c r="N920" s="1">
        <v>8.3023453790160868</v>
      </c>
      <c r="P920" s="7">
        <v>45743</v>
      </c>
      <c r="R920" s="7">
        <v>46108</v>
      </c>
      <c r="S920" s="7">
        <v>46108</v>
      </c>
      <c r="T920" s="7" t="str">
        <f t="shared" si="0"/>
        <v>marzo</v>
      </c>
      <c r="X920" s="1" t="s">
        <v>333</v>
      </c>
      <c r="Y920" s="1" t="s">
        <v>334</v>
      </c>
      <c r="Z920" s="1">
        <v>1</v>
      </c>
      <c r="AA920" s="3">
        <v>8513.2800000000007</v>
      </c>
      <c r="AB920" s="3">
        <v>8513.2800000000007</v>
      </c>
      <c r="AC920" s="1" t="str">
        <f>VLOOKUP(A920,[1]Detalle!$D$2:$CW$484,98,FALSE)</f>
        <v>CCUCoAZA</v>
      </c>
    </row>
    <row r="921" spans="1:29" ht="14.25" customHeight="1" x14ac:dyDescent="0.3">
      <c r="A921" s="1" t="s">
        <v>271</v>
      </c>
      <c r="B921" s="1" t="s">
        <v>349</v>
      </c>
      <c r="C921" s="1" t="s">
        <v>328</v>
      </c>
      <c r="D921" s="1" t="s">
        <v>328</v>
      </c>
      <c r="E921" s="1">
        <v>0.75</v>
      </c>
      <c r="F921" s="1" t="s">
        <v>329</v>
      </c>
      <c r="G921" s="1">
        <v>40688</v>
      </c>
      <c r="H921" s="1">
        <v>60688</v>
      </c>
      <c r="I921" s="1">
        <v>18559.899999999991</v>
      </c>
      <c r="J921" s="1">
        <v>1440.100000000006</v>
      </c>
      <c r="K921" s="1">
        <v>59247.899999999987</v>
      </c>
      <c r="L921" s="1">
        <v>107</v>
      </c>
      <c r="M921" s="1">
        <v>129.25862179487169</v>
      </c>
      <c r="N921" s="1">
        <v>8.3023453790160868</v>
      </c>
      <c r="P921" s="7">
        <v>45743</v>
      </c>
      <c r="R921" s="7">
        <v>46108</v>
      </c>
      <c r="S921" s="7">
        <v>46108</v>
      </c>
      <c r="T921" s="7" t="str">
        <f t="shared" si="0"/>
        <v>marzo</v>
      </c>
      <c r="X921" s="1" t="s">
        <v>333</v>
      </c>
      <c r="Y921" s="1" t="s">
        <v>334</v>
      </c>
      <c r="Z921" s="1">
        <v>1</v>
      </c>
      <c r="AA921" s="3">
        <v>8513.2800000000007</v>
      </c>
      <c r="AB921" s="3">
        <v>8513.2800000000007</v>
      </c>
      <c r="AC921" s="1" t="str">
        <f>VLOOKUP(A921,[1]Detalle!$D$2:$CW$484,98,FALSE)</f>
        <v>CCUDyAZA</v>
      </c>
    </row>
    <row r="922" spans="1:29" ht="14.25" customHeight="1" x14ac:dyDescent="0.3">
      <c r="A922" s="1" t="s">
        <v>128</v>
      </c>
      <c r="B922" s="1">
        <v>1620</v>
      </c>
      <c r="C922" s="1" t="s">
        <v>328</v>
      </c>
      <c r="D922" s="1" t="s">
        <v>328</v>
      </c>
      <c r="E922" s="1">
        <v>0.75</v>
      </c>
      <c r="F922" s="1" t="s">
        <v>329</v>
      </c>
      <c r="G922" s="1">
        <v>40688</v>
      </c>
      <c r="H922" s="1">
        <v>60688</v>
      </c>
      <c r="I922" s="1">
        <v>18559.899999999991</v>
      </c>
      <c r="J922" s="1">
        <v>1440.100000000006</v>
      </c>
      <c r="K922" s="1">
        <v>59247.899999999987</v>
      </c>
      <c r="L922" s="1">
        <v>107</v>
      </c>
      <c r="M922" s="1">
        <v>129.25862179487169</v>
      </c>
      <c r="N922" s="1">
        <v>8.3023453790160868</v>
      </c>
      <c r="P922" s="7">
        <v>45743</v>
      </c>
      <c r="R922" s="7">
        <v>46108</v>
      </c>
      <c r="S922" s="7">
        <v>46108</v>
      </c>
      <c r="T922" s="7" t="str">
        <f t="shared" si="0"/>
        <v>marzo</v>
      </c>
      <c r="X922" s="1" t="s">
        <v>333</v>
      </c>
      <c r="Y922" s="1" t="s">
        <v>334</v>
      </c>
      <c r="Z922" s="1">
        <v>1</v>
      </c>
      <c r="AA922" s="3">
        <v>8513.2800000000007</v>
      </c>
      <c r="AB922" s="3">
        <v>8513.2800000000007</v>
      </c>
      <c r="AC922" s="1" t="str">
        <f>VLOOKUP(A922,[1]Detalle!$D$2:$CW$484,98,FALSE)</f>
        <v>Arcor S.A.I.C.</v>
      </c>
    </row>
    <row r="923" spans="1:29" ht="14.25" customHeight="1" x14ac:dyDescent="0.3">
      <c r="A923" s="1" t="s">
        <v>182</v>
      </c>
      <c r="B923" s="1" t="s">
        <v>351</v>
      </c>
      <c r="C923" s="1" t="s">
        <v>328</v>
      </c>
      <c r="D923" s="1" t="s">
        <v>328</v>
      </c>
      <c r="E923" s="1">
        <v>0.75</v>
      </c>
      <c r="F923" s="1" t="s">
        <v>329</v>
      </c>
      <c r="G923" s="1">
        <v>40688</v>
      </c>
      <c r="H923" s="1">
        <v>60688</v>
      </c>
      <c r="I923" s="1">
        <v>18559.899999999991</v>
      </c>
      <c r="J923" s="1">
        <v>1440.100000000006</v>
      </c>
      <c r="K923" s="1">
        <v>59247.899999999987</v>
      </c>
      <c r="L923" s="1">
        <v>107</v>
      </c>
      <c r="M923" s="1">
        <v>129.25862179487169</v>
      </c>
      <c r="N923" s="1">
        <v>8.3023453790160868</v>
      </c>
      <c r="P923" s="7">
        <v>45748</v>
      </c>
      <c r="R923" s="7">
        <v>46113</v>
      </c>
      <c r="S923" s="7">
        <v>46113</v>
      </c>
      <c r="T923" s="7" t="str">
        <f t="shared" si="0"/>
        <v>abril</v>
      </c>
      <c r="X923" s="1" t="s">
        <v>333</v>
      </c>
      <c r="Y923" s="1" t="s">
        <v>334</v>
      </c>
      <c r="Z923" s="1">
        <v>1</v>
      </c>
      <c r="AA923" s="3">
        <v>8513.2800000000007</v>
      </c>
      <c r="AB923" s="3">
        <v>8513.2800000000007</v>
      </c>
      <c r="AC923" s="1" t="str">
        <f>VLOOKUP(A923,[1]Detalle!$D$2:$CW$484,98,FALSE)</f>
        <v>CCU_MZA - Comp. Cerv. Unidas - MZA</v>
      </c>
    </row>
    <row r="924" spans="1:29" ht="14.25" customHeight="1" x14ac:dyDescent="0.3">
      <c r="A924" s="1" t="s">
        <v>185</v>
      </c>
      <c r="B924" s="1" t="s">
        <v>351</v>
      </c>
      <c r="C924" s="1" t="s">
        <v>328</v>
      </c>
      <c r="D924" s="1" t="s">
        <v>328</v>
      </c>
      <c r="E924" s="1">
        <v>0.75</v>
      </c>
      <c r="F924" s="1" t="s">
        <v>329</v>
      </c>
      <c r="G924" s="1">
        <v>40688</v>
      </c>
      <c r="H924" s="1">
        <v>60688</v>
      </c>
      <c r="I924" s="1">
        <v>18559.899999999991</v>
      </c>
      <c r="J924" s="1">
        <v>1440.100000000006</v>
      </c>
      <c r="K924" s="1">
        <v>59247.899999999987</v>
      </c>
      <c r="L924" s="1">
        <v>107</v>
      </c>
      <c r="M924" s="1">
        <v>129.25862179487169</v>
      </c>
      <c r="N924" s="1">
        <v>8.3023453790160868</v>
      </c>
      <c r="P924" s="7">
        <v>45748</v>
      </c>
      <c r="R924" s="7">
        <v>46113</v>
      </c>
      <c r="S924" s="7">
        <v>46113</v>
      </c>
      <c r="T924" s="7" t="str">
        <f t="shared" si="0"/>
        <v>abril</v>
      </c>
      <c r="X924" s="1" t="s">
        <v>333</v>
      </c>
      <c r="Y924" s="1" t="s">
        <v>334</v>
      </c>
      <c r="Z924" s="1">
        <v>1</v>
      </c>
      <c r="AA924" s="3">
        <v>8513.2800000000007</v>
      </c>
      <c r="AB924" s="3">
        <v>8513.2800000000007</v>
      </c>
      <c r="AC924" s="1" t="str">
        <f>VLOOKUP(A924,[1]Detalle!$D$2:$CW$484,98,FALSE)</f>
        <v>CENCO_SJ - Cencosud SA - San Juan</v>
      </c>
    </row>
    <row r="925" spans="1:29" ht="14.25" customHeight="1" x14ac:dyDescent="0.3">
      <c r="A925" s="1" t="s">
        <v>272</v>
      </c>
      <c r="B925" s="1" t="s">
        <v>349</v>
      </c>
      <c r="C925" s="1" t="s">
        <v>328</v>
      </c>
      <c r="D925" s="1" t="s">
        <v>328</v>
      </c>
      <c r="E925" s="1">
        <v>0.75</v>
      </c>
      <c r="F925" s="1" t="s">
        <v>329</v>
      </c>
      <c r="G925" s="1">
        <v>40688</v>
      </c>
      <c r="H925" s="1">
        <v>60688</v>
      </c>
      <c r="I925" s="1">
        <v>18559.899999999991</v>
      </c>
      <c r="J925" s="1">
        <v>1440.100000000006</v>
      </c>
      <c r="K925" s="1">
        <v>59247.899999999987</v>
      </c>
      <c r="L925" s="1">
        <v>107</v>
      </c>
      <c r="M925" s="1">
        <v>129.25862179487169</v>
      </c>
      <c r="N925" s="1">
        <v>8.3023453790160868</v>
      </c>
      <c r="P925" s="7">
        <v>45750</v>
      </c>
      <c r="R925" s="7">
        <v>46115</v>
      </c>
      <c r="S925" s="7">
        <v>46115</v>
      </c>
      <c r="T925" s="7" t="str">
        <f t="shared" si="0"/>
        <v>abril</v>
      </c>
      <c r="X925" s="1" t="s">
        <v>333</v>
      </c>
      <c r="Y925" s="1" t="s">
        <v>334</v>
      </c>
      <c r="Z925" s="1">
        <v>1</v>
      </c>
      <c r="AA925" s="3">
        <v>8513.2800000000007</v>
      </c>
      <c r="AB925" s="3">
        <v>8513.2800000000007</v>
      </c>
      <c r="AC925" s="1" t="str">
        <f>VLOOKUP(A925,[1]Detalle!$D$2:$CW$484,98,FALSE)</f>
        <v>CCUDyAZA</v>
      </c>
    </row>
    <row r="926" spans="1:29" ht="14.25" customHeight="1" x14ac:dyDescent="0.3">
      <c r="A926" s="1" t="s">
        <v>54</v>
      </c>
      <c r="B926" s="1" t="s">
        <v>404</v>
      </c>
      <c r="C926" s="1" t="s">
        <v>400</v>
      </c>
      <c r="D926" s="1" t="s">
        <v>328</v>
      </c>
      <c r="E926" s="1">
        <v>0.75</v>
      </c>
      <c r="F926" s="1" t="s">
        <v>329</v>
      </c>
      <c r="G926" s="1">
        <v>40688</v>
      </c>
      <c r="H926" s="1">
        <v>60688</v>
      </c>
      <c r="I926" s="1">
        <v>18559.899999999991</v>
      </c>
      <c r="J926" s="1">
        <v>1440.100000000006</v>
      </c>
      <c r="K926" s="1">
        <v>59247.899999999987</v>
      </c>
      <c r="L926" s="1">
        <v>107</v>
      </c>
      <c r="M926" s="1">
        <v>129.25862179487169</v>
      </c>
      <c r="N926" s="1">
        <v>8.3023453790160868</v>
      </c>
      <c r="P926" s="7">
        <v>45769</v>
      </c>
      <c r="R926" s="7">
        <v>46134</v>
      </c>
      <c r="S926" s="7">
        <v>46134</v>
      </c>
      <c r="T926" s="7" t="str">
        <f t="shared" si="0"/>
        <v>abril</v>
      </c>
      <c r="X926" s="1" t="s">
        <v>401</v>
      </c>
      <c r="Y926" s="1" t="s">
        <v>402</v>
      </c>
      <c r="Z926" s="1">
        <v>1</v>
      </c>
      <c r="AA926" s="3">
        <v>21189.599999999999</v>
      </c>
      <c r="AB926" s="3">
        <v>21189.599999999999</v>
      </c>
      <c r="AC926" s="1" t="str">
        <f>VLOOKUP(A926,[1]Detalle!$D$2:$CW$484,98,FALSE)</f>
        <v>CMQ_TTE - QUILMES TTE</v>
      </c>
    </row>
    <row r="927" spans="1:29" ht="14.25" customHeight="1" x14ac:dyDescent="0.3">
      <c r="A927" s="1" t="s">
        <v>192</v>
      </c>
      <c r="B927" s="1" t="s">
        <v>340</v>
      </c>
      <c r="C927" s="1" t="s">
        <v>328</v>
      </c>
      <c r="D927" s="1" t="s">
        <v>328</v>
      </c>
      <c r="E927" s="1">
        <v>0.75</v>
      </c>
      <c r="F927" s="1" t="s">
        <v>329</v>
      </c>
      <c r="G927" s="1">
        <v>40688</v>
      </c>
      <c r="H927" s="1">
        <v>60688</v>
      </c>
      <c r="I927" s="1">
        <v>18559.899999999991</v>
      </c>
      <c r="J927" s="1">
        <v>1440.100000000006</v>
      </c>
      <c r="K927" s="1">
        <v>59247.899999999987</v>
      </c>
      <c r="L927" s="1">
        <v>107</v>
      </c>
      <c r="M927" s="1">
        <v>129.25862179487169</v>
      </c>
      <c r="N927" s="1">
        <v>8.3023453790160868</v>
      </c>
      <c r="P927" s="7">
        <v>45771</v>
      </c>
      <c r="R927" s="7">
        <v>46136</v>
      </c>
      <c r="S927" s="7">
        <v>46136</v>
      </c>
      <c r="T927" s="7" t="str">
        <f t="shared" si="0"/>
        <v>abril</v>
      </c>
      <c r="X927" s="1" t="s">
        <v>333</v>
      </c>
      <c r="Y927" s="1" t="s">
        <v>334</v>
      </c>
      <c r="Z927" s="1">
        <v>1</v>
      </c>
      <c r="AA927" s="3">
        <v>8513.2800000000007</v>
      </c>
      <c r="AB927" s="3">
        <v>8513.2800000000007</v>
      </c>
      <c r="AC927" s="1" t="str">
        <f>VLOOKUP(A927,[1]Detalle!$D$2:$CW$484,98,FALSE)</f>
        <v>Sin Operación</v>
      </c>
    </row>
    <row r="928" spans="1:29" ht="14.25" customHeight="1" x14ac:dyDescent="0.3">
      <c r="A928" s="1" t="s">
        <v>76</v>
      </c>
      <c r="B928" s="1" t="s">
        <v>352</v>
      </c>
      <c r="C928" s="1" t="s">
        <v>328</v>
      </c>
      <c r="D928" s="1" t="s">
        <v>328</v>
      </c>
      <c r="E928" s="1">
        <v>0.75</v>
      </c>
      <c r="F928" s="1" t="s">
        <v>329</v>
      </c>
      <c r="G928" s="1">
        <v>40688</v>
      </c>
      <c r="H928" s="1">
        <v>60688</v>
      </c>
      <c r="I928" s="1">
        <v>18559.899999999991</v>
      </c>
      <c r="J928" s="1">
        <v>1440.100000000006</v>
      </c>
      <c r="K928" s="1">
        <v>59247.899999999987</v>
      </c>
      <c r="L928" s="1">
        <v>107</v>
      </c>
      <c r="M928" s="1">
        <v>129.25862179487169</v>
      </c>
      <c r="N928" s="1">
        <v>8.3023453790160868</v>
      </c>
      <c r="P928" s="7">
        <v>45785</v>
      </c>
      <c r="R928" s="7">
        <v>46150</v>
      </c>
      <c r="S928" s="7">
        <v>46150</v>
      </c>
      <c r="T928" s="7" t="str">
        <f t="shared" si="0"/>
        <v>mayo</v>
      </c>
      <c r="X928" s="1" t="s">
        <v>333</v>
      </c>
      <c r="Y928" s="1" t="s">
        <v>334</v>
      </c>
      <c r="Z928" s="1">
        <v>1</v>
      </c>
      <c r="AA928" s="3">
        <v>8513.2800000000007</v>
      </c>
      <c r="AB928" s="3">
        <v>8513.2800000000007</v>
      </c>
      <c r="AC928" s="1" t="str">
        <f>VLOOKUP(A928,[1]Detalle!$D$2:$CW$484,98,FALSE)</f>
        <v>CCU_MZA - Comp. Cerv. Unidas - MZA</v>
      </c>
    </row>
    <row r="929" spans="1:29" ht="14.25" customHeight="1" x14ac:dyDescent="0.3">
      <c r="A929" s="1" t="s">
        <v>268</v>
      </c>
      <c r="B929" s="1" t="s">
        <v>349</v>
      </c>
      <c r="C929" s="1" t="s">
        <v>328</v>
      </c>
      <c r="D929" s="1" t="s">
        <v>328</v>
      </c>
      <c r="E929" s="1">
        <v>0.75</v>
      </c>
      <c r="F929" s="1" t="s">
        <v>329</v>
      </c>
      <c r="G929" s="1">
        <v>40688</v>
      </c>
      <c r="H929" s="1">
        <v>60688</v>
      </c>
      <c r="I929" s="1">
        <v>18559.899999999991</v>
      </c>
      <c r="J929" s="1">
        <v>1440.100000000006</v>
      </c>
      <c r="K929" s="1">
        <v>59247.899999999987</v>
      </c>
      <c r="L929" s="1">
        <v>107</v>
      </c>
      <c r="M929" s="1">
        <v>129.25862179487169</v>
      </c>
      <c r="N929" s="1">
        <v>8.3023453790160868</v>
      </c>
      <c r="P929" s="7">
        <v>45785</v>
      </c>
      <c r="R929" s="7">
        <v>46150</v>
      </c>
      <c r="S929" s="7">
        <v>46150</v>
      </c>
      <c r="T929" s="7" t="str">
        <f t="shared" si="0"/>
        <v>mayo</v>
      </c>
      <c r="X929" s="1" t="s">
        <v>333</v>
      </c>
      <c r="Y929" s="1" t="s">
        <v>334</v>
      </c>
      <c r="Z929" s="1">
        <v>1</v>
      </c>
      <c r="AA929" s="3">
        <v>8513.2800000000007</v>
      </c>
      <c r="AB929" s="3">
        <v>8513.2800000000007</v>
      </c>
      <c r="AC929" s="1" t="str">
        <f>VLOOKUP(A929,[1]Detalle!$D$2:$CW$484,98,FALSE)</f>
        <v>CCUDyAZA</v>
      </c>
    </row>
    <row r="930" spans="1:29" ht="14.25" customHeight="1" x14ac:dyDescent="0.3">
      <c r="A930" s="1" t="s">
        <v>266</v>
      </c>
      <c r="B930" s="1" t="s">
        <v>349</v>
      </c>
      <c r="C930" s="1" t="s">
        <v>328</v>
      </c>
      <c r="D930" s="1" t="s">
        <v>328</v>
      </c>
      <c r="E930" s="1">
        <v>0.75</v>
      </c>
      <c r="F930" s="1" t="s">
        <v>329</v>
      </c>
      <c r="G930" s="1">
        <v>40688</v>
      </c>
      <c r="H930" s="1">
        <v>60688</v>
      </c>
      <c r="I930" s="1">
        <v>18559.899999999991</v>
      </c>
      <c r="J930" s="1">
        <v>1440.100000000006</v>
      </c>
      <c r="K930" s="1">
        <v>59247.899999999987</v>
      </c>
      <c r="L930" s="1">
        <v>107</v>
      </c>
      <c r="M930" s="1">
        <v>129.25862179487169</v>
      </c>
      <c r="N930" s="1">
        <v>8.3023453790160868</v>
      </c>
      <c r="P930" s="7">
        <v>45786</v>
      </c>
      <c r="R930" s="7">
        <v>46151</v>
      </c>
      <c r="S930" s="7">
        <v>46151</v>
      </c>
      <c r="T930" s="7" t="str">
        <f t="shared" si="0"/>
        <v>mayo</v>
      </c>
      <c r="X930" s="1" t="s">
        <v>333</v>
      </c>
      <c r="Y930" s="1" t="s">
        <v>334</v>
      </c>
      <c r="Z930" s="1">
        <v>1</v>
      </c>
      <c r="AA930" s="3">
        <v>8513.2800000000007</v>
      </c>
      <c r="AB930" s="3">
        <v>8513.2800000000007</v>
      </c>
      <c r="AC930" s="1" t="str">
        <f>VLOOKUP(A930,[1]Detalle!$D$2:$CW$484,98,FALSE)</f>
        <v>CCUDyAZA</v>
      </c>
    </row>
    <row r="931" spans="1:29" ht="14.25" customHeight="1" x14ac:dyDescent="0.3">
      <c r="A931" s="1" t="s">
        <v>15</v>
      </c>
      <c r="B931" s="1" t="s">
        <v>353</v>
      </c>
      <c r="C931" s="1" t="s">
        <v>328</v>
      </c>
      <c r="D931" s="1" t="s">
        <v>328</v>
      </c>
      <c r="E931" s="1">
        <v>0.75</v>
      </c>
      <c r="F931" s="1" t="s">
        <v>329</v>
      </c>
      <c r="G931" s="1">
        <v>40688</v>
      </c>
      <c r="H931" s="1">
        <v>60688</v>
      </c>
      <c r="I931" s="1">
        <v>18559.899999999991</v>
      </c>
      <c r="J931" s="1">
        <v>1440.100000000006</v>
      </c>
      <c r="K931" s="1">
        <v>59247.899999999987</v>
      </c>
      <c r="L931" s="1">
        <v>107</v>
      </c>
      <c r="M931" s="1">
        <v>129.25862179487169</v>
      </c>
      <c r="N931" s="1">
        <v>8.3023453790160868</v>
      </c>
      <c r="P931" s="7">
        <v>45789</v>
      </c>
      <c r="R931" s="7">
        <v>46154</v>
      </c>
      <c r="S931" s="7">
        <v>46154</v>
      </c>
      <c r="T931" s="7" t="str">
        <f t="shared" si="0"/>
        <v>mayo</v>
      </c>
      <c r="X931" s="1" t="s">
        <v>333</v>
      </c>
      <c r="Y931" s="1" t="s">
        <v>334</v>
      </c>
      <c r="Z931" s="1">
        <v>1</v>
      </c>
      <c r="AA931" s="3">
        <v>8513.2800000000007</v>
      </c>
      <c r="AB931" s="3">
        <v>8513.2800000000007</v>
      </c>
      <c r="AC931" s="1" t="str">
        <f>VLOOKUP(A931,[1]Detalle!$D$2:$CW$484,98,FALSE)</f>
        <v>CENCOMLD - Cencosud SA - Mendoza</v>
      </c>
    </row>
    <row r="932" spans="1:29" ht="14.25" customHeight="1" x14ac:dyDescent="0.3">
      <c r="A932" s="1" t="s">
        <v>237</v>
      </c>
      <c r="B932" s="1" t="s">
        <v>349</v>
      </c>
      <c r="C932" s="1" t="s">
        <v>328</v>
      </c>
      <c r="D932" s="1" t="s">
        <v>328</v>
      </c>
      <c r="E932" s="1">
        <v>0.75</v>
      </c>
      <c r="F932" s="1" t="s">
        <v>329</v>
      </c>
      <c r="G932" s="1">
        <v>40688</v>
      </c>
      <c r="H932" s="1">
        <v>60688</v>
      </c>
      <c r="I932" s="1">
        <v>18559.899999999991</v>
      </c>
      <c r="J932" s="1">
        <v>1440.100000000006</v>
      </c>
      <c r="K932" s="1">
        <v>59247.899999999987</v>
      </c>
      <c r="L932" s="1">
        <v>107</v>
      </c>
      <c r="M932" s="1">
        <v>129.25862179487169</v>
      </c>
      <c r="N932" s="1">
        <v>8.3023453790160868</v>
      </c>
      <c r="P932" s="7">
        <v>45790</v>
      </c>
      <c r="R932" s="7">
        <v>46155</v>
      </c>
      <c r="S932" s="7">
        <v>46155</v>
      </c>
      <c r="T932" s="7" t="str">
        <f t="shared" si="0"/>
        <v>mayo</v>
      </c>
      <c r="X932" s="1" t="s">
        <v>333</v>
      </c>
      <c r="Y932" s="1" t="s">
        <v>334</v>
      </c>
      <c r="Z932" s="1">
        <v>1</v>
      </c>
      <c r="AA932" s="3">
        <v>8513.2800000000007</v>
      </c>
      <c r="AB932" s="3">
        <v>8513.2800000000007</v>
      </c>
      <c r="AC932" s="1" t="str">
        <f>VLOOKUP(A932,[1]Detalle!$D$2:$CW$484,98,FALSE)</f>
        <v>CENCOMLD - Cencosud SA - Mendoza</v>
      </c>
    </row>
    <row r="933" spans="1:29" ht="14.25" customHeight="1" x14ac:dyDescent="0.3">
      <c r="A933" s="1" t="s">
        <v>235</v>
      </c>
      <c r="B933" s="1" t="s">
        <v>349</v>
      </c>
      <c r="C933" s="1" t="s">
        <v>328</v>
      </c>
      <c r="D933" s="1" t="s">
        <v>328</v>
      </c>
      <c r="E933" s="1">
        <v>0.75</v>
      </c>
      <c r="F933" s="1" t="s">
        <v>329</v>
      </c>
      <c r="G933" s="1">
        <v>40688</v>
      </c>
      <c r="H933" s="1">
        <v>60688</v>
      </c>
      <c r="I933" s="1">
        <v>18559.899999999991</v>
      </c>
      <c r="J933" s="1">
        <v>1440.100000000006</v>
      </c>
      <c r="K933" s="1">
        <v>59247.899999999987</v>
      </c>
      <c r="L933" s="1">
        <v>107</v>
      </c>
      <c r="M933" s="1">
        <v>129.25862179487169</v>
      </c>
      <c r="N933" s="1">
        <v>8.3023453790160868</v>
      </c>
      <c r="P933" s="7">
        <v>45797</v>
      </c>
      <c r="R933" s="7">
        <v>46162</v>
      </c>
      <c r="S933" s="7">
        <v>46162</v>
      </c>
      <c r="T933" s="7" t="str">
        <f t="shared" si="0"/>
        <v>mayo</v>
      </c>
      <c r="X933" s="1" t="s">
        <v>333</v>
      </c>
      <c r="Y933" s="1" t="s">
        <v>334</v>
      </c>
      <c r="Z933" s="1">
        <v>1</v>
      </c>
      <c r="AA933" s="3">
        <v>8513.2800000000007</v>
      </c>
      <c r="AB933" s="3">
        <v>8513.2800000000007</v>
      </c>
      <c r="AC933" s="1" t="str">
        <f>VLOOKUP(A933,[1]Detalle!$D$2:$CW$484,98,FALSE)</f>
        <v>CENCOMLD - Cencosud SA - Mendoza</v>
      </c>
    </row>
    <row r="934" spans="1:29" ht="14.25" customHeight="1" x14ac:dyDescent="0.3">
      <c r="A934" s="1" t="s">
        <v>227</v>
      </c>
      <c r="B934" s="1" t="s">
        <v>340</v>
      </c>
      <c r="C934" s="1" t="s">
        <v>328</v>
      </c>
      <c r="D934" s="1" t="s">
        <v>328</v>
      </c>
      <c r="E934" s="1">
        <v>0.75</v>
      </c>
      <c r="F934" s="1" t="s">
        <v>329</v>
      </c>
      <c r="G934" s="1">
        <v>40688</v>
      </c>
      <c r="H934" s="1">
        <v>60688</v>
      </c>
      <c r="I934" s="1">
        <v>18559.899999999991</v>
      </c>
      <c r="J934" s="1">
        <v>1440.100000000006</v>
      </c>
      <c r="K934" s="1">
        <v>59247.899999999987</v>
      </c>
      <c r="L934" s="1">
        <v>107</v>
      </c>
      <c r="M934" s="1">
        <v>129.25862179487169</v>
      </c>
      <c r="N934" s="1">
        <v>8.3023453790160868</v>
      </c>
      <c r="P934" s="7">
        <v>45793</v>
      </c>
      <c r="R934" s="7">
        <v>46158</v>
      </c>
      <c r="S934" s="7">
        <v>46158</v>
      </c>
      <c r="T934" s="7" t="str">
        <f t="shared" si="0"/>
        <v>mayo</v>
      </c>
      <c r="X934" s="1" t="s">
        <v>333</v>
      </c>
      <c r="Y934" s="1" t="s">
        <v>334</v>
      </c>
      <c r="Z934" s="1">
        <v>1</v>
      </c>
      <c r="AA934" s="3">
        <v>8513.2800000000007</v>
      </c>
      <c r="AB934" s="3">
        <v>8513.2800000000007</v>
      </c>
      <c r="AC934" s="1" t="str">
        <f>VLOOKUP(A934,[1]Detalle!$D$2:$CW$484,98,FALSE)</f>
        <v>CCUCoAZA</v>
      </c>
    </row>
    <row r="935" spans="1:29" ht="14.25" customHeight="1" x14ac:dyDescent="0.3">
      <c r="A935" s="1" t="s">
        <v>269</v>
      </c>
      <c r="B935" s="1" t="s">
        <v>349</v>
      </c>
      <c r="C935" s="1" t="s">
        <v>328</v>
      </c>
      <c r="D935" s="1" t="s">
        <v>328</v>
      </c>
      <c r="E935" s="1">
        <v>0.75</v>
      </c>
      <c r="F935" s="1" t="s">
        <v>329</v>
      </c>
      <c r="G935" s="1">
        <v>40688</v>
      </c>
      <c r="H935" s="1">
        <v>60688</v>
      </c>
      <c r="I935" s="1">
        <v>18559.899999999991</v>
      </c>
      <c r="J935" s="1">
        <v>1440.100000000006</v>
      </c>
      <c r="K935" s="1">
        <v>59247.899999999987</v>
      </c>
      <c r="L935" s="1">
        <v>107</v>
      </c>
      <c r="M935" s="1">
        <v>129.25862179487169</v>
      </c>
      <c r="N935" s="1">
        <v>8.3023453790160868</v>
      </c>
      <c r="P935" s="7">
        <v>45799</v>
      </c>
      <c r="R935" s="7">
        <v>46164</v>
      </c>
      <c r="S935" s="7">
        <v>46164</v>
      </c>
      <c r="T935" s="7" t="str">
        <f t="shared" si="0"/>
        <v>mayo</v>
      </c>
      <c r="X935" s="1" t="s">
        <v>333</v>
      </c>
      <c r="Y935" s="1" t="s">
        <v>334</v>
      </c>
      <c r="Z935" s="1">
        <v>1</v>
      </c>
      <c r="AA935" s="3">
        <v>8513.2800000000007</v>
      </c>
      <c r="AB935" s="3">
        <v>8513.2800000000007</v>
      </c>
      <c r="AC935" s="1" t="str">
        <f>VLOOKUP(A935,[1]Detalle!$D$2:$CW$484,98,FALSE)</f>
        <v>CCUDyAZA</v>
      </c>
    </row>
    <row r="936" spans="1:29" ht="14.25" customHeight="1" x14ac:dyDescent="0.3">
      <c r="A936" s="1" t="s">
        <v>203</v>
      </c>
      <c r="B936" s="1" t="s">
        <v>340</v>
      </c>
      <c r="C936" s="1" t="s">
        <v>328</v>
      </c>
      <c r="D936" s="1" t="s">
        <v>328</v>
      </c>
      <c r="E936" s="1">
        <v>0.75</v>
      </c>
      <c r="F936" s="1" t="s">
        <v>329</v>
      </c>
      <c r="G936" s="1">
        <v>40688</v>
      </c>
      <c r="H936" s="1">
        <v>60688</v>
      </c>
      <c r="I936" s="1">
        <v>18559.899999999991</v>
      </c>
      <c r="J936" s="1">
        <v>1440.100000000006</v>
      </c>
      <c r="K936" s="1">
        <v>59247.899999999987</v>
      </c>
      <c r="L936" s="1">
        <v>107</v>
      </c>
      <c r="M936" s="1">
        <v>129.25862179487169</v>
      </c>
      <c r="N936" s="1">
        <v>8.3023453790160868</v>
      </c>
      <c r="P936" s="7">
        <v>45799</v>
      </c>
      <c r="R936" s="7">
        <v>46164</v>
      </c>
      <c r="S936" s="7">
        <v>46164</v>
      </c>
      <c r="T936" s="7" t="str">
        <f t="shared" si="0"/>
        <v>mayo</v>
      </c>
      <c r="X936" s="1" t="s">
        <v>333</v>
      </c>
      <c r="Y936" s="1" t="s">
        <v>334</v>
      </c>
      <c r="Z936" s="1">
        <v>1</v>
      </c>
      <c r="AA936" s="3">
        <v>8513.2800000000007</v>
      </c>
      <c r="AB936" s="3">
        <v>8513.2800000000007</v>
      </c>
      <c r="AC936" s="1" t="str">
        <f>VLOOKUP(A936,[1]Detalle!$D$2:$CW$484,98,FALSE)</f>
        <v>CCUDyAZA</v>
      </c>
    </row>
    <row r="937" spans="1:29" ht="14.25" customHeight="1" x14ac:dyDescent="0.3">
      <c r="A937" s="1" t="s">
        <v>130</v>
      </c>
      <c r="B937" s="1">
        <v>1620</v>
      </c>
      <c r="C937" s="1" t="s">
        <v>328</v>
      </c>
      <c r="D937" s="1" t="s">
        <v>328</v>
      </c>
      <c r="E937" s="1">
        <v>0.75</v>
      </c>
      <c r="F937" s="1" t="s">
        <v>329</v>
      </c>
      <c r="G937" s="1">
        <v>40688</v>
      </c>
      <c r="H937" s="1">
        <v>60688</v>
      </c>
      <c r="I937" s="1">
        <v>18559.899999999991</v>
      </c>
      <c r="J937" s="1">
        <v>1440.100000000006</v>
      </c>
      <c r="K937" s="1">
        <v>59247.899999999987</v>
      </c>
      <c r="L937" s="1">
        <v>107</v>
      </c>
      <c r="M937" s="1">
        <v>129.25862179487169</v>
      </c>
      <c r="N937" s="1">
        <v>8.3023453790160868</v>
      </c>
      <c r="P937" s="7">
        <v>45800</v>
      </c>
      <c r="R937" s="7">
        <v>46165</v>
      </c>
      <c r="S937" s="7">
        <v>46165</v>
      </c>
      <c r="T937" s="7" t="str">
        <f t="shared" si="0"/>
        <v>mayo</v>
      </c>
      <c r="X937" s="1" t="s">
        <v>333</v>
      </c>
      <c r="Y937" s="1" t="s">
        <v>334</v>
      </c>
      <c r="Z937" s="1">
        <v>1</v>
      </c>
      <c r="AA937" s="3">
        <v>8513.2800000000007</v>
      </c>
      <c r="AB937" s="3">
        <v>8513.2800000000007</v>
      </c>
      <c r="AC937" s="1" t="str">
        <f>VLOOKUP(A937,[1]Detalle!$D$2:$CW$484,98,FALSE)</f>
        <v>CMQ_TTE - QUILMES TTE</v>
      </c>
    </row>
    <row r="938" spans="1:29" ht="14.25" customHeight="1" x14ac:dyDescent="0.3">
      <c r="A938" s="1" t="s">
        <v>55</v>
      </c>
      <c r="B938" s="1" t="s">
        <v>478</v>
      </c>
      <c r="C938" s="1" t="s">
        <v>328</v>
      </c>
      <c r="D938" s="1" t="s">
        <v>328</v>
      </c>
      <c r="E938" s="1">
        <v>0.75</v>
      </c>
      <c r="F938" s="1" t="s">
        <v>329</v>
      </c>
      <c r="G938" s="1">
        <v>40688</v>
      </c>
      <c r="H938" s="1">
        <v>60688</v>
      </c>
      <c r="I938" s="1">
        <v>18559.899999999991</v>
      </c>
      <c r="J938" s="1">
        <v>1440.100000000006</v>
      </c>
      <c r="K938" s="1">
        <v>59247.899999999987</v>
      </c>
      <c r="L938" s="1">
        <v>107</v>
      </c>
      <c r="M938" s="1">
        <v>129.25862179487169</v>
      </c>
      <c r="N938" s="1">
        <v>8.3023453790160868</v>
      </c>
      <c r="P938" s="7">
        <v>45800</v>
      </c>
      <c r="R938" s="7">
        <v>46165</v>
      </c>
      <c r="S938" s="7">
        <v>46165</v>
      </c>
      <c r="T938" s="7" t="str">
        <f t="shared" si="0"/>
        <v>mayo</v>
      </c>
      <c r="X938" s="1" t="s">
        <v>333</v>
      </c>
      <c r="Y938" s="1" t="s">
        <v>334</v>
      </c>
      <c r="Z938" s="1">
        <v>1</v>
      </c>
      <c r="AA938" s="3">
        <v>8513.2800000000007</v>
      </c>
      <c r="AB938" s="3">
        <v>8513.2800000000007</v>
      </c>
      <c r="AC938" s="1" t="str">
        <f>VLOOKUP(A938,[1]Detalle!$D$2:$CW$484,98,FALSE)</f>
        <v>CMQ_TTE - QUILMES TTE</v>
      </c>
    </row>
    <row r="939" spans="1:29" ht="14.25" customHeight="1" x14ac:dyDescent="0.3">
      <c r="A939" s="1" t="s">
        <v>198</v>
      </c>
      <c r="B939" s="1" t="s">
        <v>340</v>
      </c>
      <c r="C939" s="1" t="s">
        <v>328</v>
      </c>
      <c r="D939" s="1" t="s">
        <v>328</v>
      </c>
      <c r="E939" s="1">
        <v>0.75</v>
      </c>
      <c r="F939" s="1" t="s">
        <v>329</v>
      </c>
      <c r="G939" s="1">
        <v>40688</v>
      </c>
      <c r="H939" s="1">
        <v>60688</v>
      </c>
      <c r="I939" s="1">
        <v>18559.899999999991</v>
      </c>
      <c r="J939" s="1">
        <v>1440.100000000006</v>
      </c>
      <c r="K939" s="1">
        <v>59247.899999999987</v>
      </c>
      <c r="L939" s="1">
        <v>107</v>
      </c>
      <c r="M939" s="1">
        <v>129.25862179487169</v>
      </c>
      <c r="N939" s="1">
        <v>8.3023453790160868</v>
      </c>
      <c r="P939" s="7">
        <v>45801</v>
      </c>
      <c r="R939" s="7">
        <v>46166</v>
      </c>
      <c r="S939" s="7">
        <v>46166</v>
      </c>
      <c r="T939" s="7" t="str">
        <f t="shared" si="0"/>
        <v>mayo</v>
      </c>
      <c r="X939" s="1" t="s">
        <v>333</v>
      </c>
      <c r="Y939" s="1" t="s">
        <v>334</v>
      </c>
      <c r="Z939" s="1">
        <v>1</v>
      </c>
      <c r="AA939" s="3">
        <v>8513.2800000000007</v>
      </c>
      <c r="AB939" s="3">
        <v>8513.2800000000007</v>
      </c>
      <c r="AC939" s="1" t="str">
        <f>VLOOKUP(A939,[1]Detalle!$D$2:$CW$484,98,FALSE)</f>
        <v>CCUCoAZA</v>
      </c>
    </row>
    <row r="940" spans="1:29" ht="14.25" customHeight="1" x14ac:dyDescent="0.3">
      <c r="A940" s="1" t="s">
        <v>212</v>
      </c>
      <c r="B940" s="1" t="s">
        <v>341</v>
      </c>
      <c r="C940" s="1" t="s">
        <v>328</v>
      </c>
      <c r="D940" s="1" t="s">
        <v>328</v>
      </c>
      <c r="E940" s="1">
        <v>0.75</v>
      </c>
      <c r="F940" s="1" t="s">
        <v>329</v>
      </c>
      <c r="G940" s="1">
        <v>40688</v>
      </c>
      <c r="H940" s="1">
        <v>60688</v>
      </c>
      <c r="I940" s="1">
        <v>18559.899999999991</v>
      </c>
      <c r="J940" s="1">
        <v>1440.100000000006</v>
      </c>
      <c r="K940" s="1">
        <v>59247.899999999987</v>
      </c>
      <c r="L940" s="1">
        <v>107</v>
      </c>
      <c r="M940" s="1">
        <v>129.25862179487169</v>
      </c>
      <c r="N940" s="1">
        <v>8.3023453790160868</v>
      </c>
      <c r="P940" s="7">
        <v>45803</v>
      </c>
      <c r="R940" s="7">
        <v>46168</v>
      </c>
      <c r="S940" s="7">
        <v>46168</v>
      </c>
      <c r="T940" s="7" t="str">
        <f t="shared" si="0"/>
        <v>mayo</v>
      </c>
      <c r="X940" s="1" t="s">
        <v>333</v>
      </c>
      <c r="Y940" s="1" t="s">
        <v>334</v>
      </c>
      <c r="Z940" s="1">
        <v>1</v>
      </c>
      <c r="AA940" s="3">
        <v>8513.2800000000007</v>
      </c>
      <c r="AB940" s="3">
        <v>8513.2800000000007</v>
      </c>
      <c r="AC940" s="1" t="str">
        <f>VLOOKUP(A940,[1]Detalle!$D$2:$CW$484,98,FALSE)</f>
        <v>Sin Operación</v>
      </c>
    </row>
    <row r="941" spans="1:29" ht="14.25" customHeight="1" x14ac:dyDescent="0.3">
      <c r="A941" s="1" t="s">
        <v>14</v>
      </c>
      <c r="B941" s="1" t="s">
        <v>435</v>
      </c>
      <c r="C941" s="1" t="s">
        <v>328</v>
      </c>
      <c r="D941" s="1" t="s">
        <v>328</v>
      </c>
      <c r="E941" s="1">
        <v>0.75</v>
      </c>
      <c r="F941" s="1" t="s">
        <v>329</v>
      </c>
      <c r="G941" s="1">
        <v>40688</v>
      </c>
      <c r="H941" s="1">
        <v>60688</v>
      </c>
      <c r="I941" s="1">
        <v>18559.899999999991</v>
      </c>
      <c r="J941" s="1">
        <v>1440.100000000006</v>
      </c>
      <c r="K941" s="1">
        <v>59247.899999999987</v>
      </c>
      <c r="L941" s="1">
        <v>107</v>
      </c>
      <c r="M941" s="1">
        <v>129.25862179487169</v>
      </c>
      <c r="N941" s="1">
        <v>8.3023453790160868</v>
      </c>
      <c r="P941" s="7">
        <v>45803</v>
      </c>
      <c r="R941" s="7">
        <v>46168</v>
      </c>
      <c r="S941" s="7">
        <v>46168</v>
      </c>
      <c r="T941" s="7" t="str">
        <f t="shared" si="0"/>
        <v>mayo</v>
      </c>
      <c r="X941" s="1" t="s">
        <v>333</v>
      </c>
      <c r="Y941" s="1" t="s">
        <v>334</v>
      </c>
      <c r="Z941" s="1">
        <v>1</v>
      </c>
      <c r="AA941" s="3">
        <v>8513.2800000000007</v>
      </c>
      <c r="AB941" s="3">
        <v>8513.2800000000007</v>
      </c>
      <c r="AC941" s="1" t="str">
        <f>VLOOKUP(A941,[1]Detalle!$D$2:$CW$484,98,FALSE)</f>
        <v>ADA_CH - Danone Arg. S.A. - Chascomus</v>
      </c>
    </row>
    <row r="942" spans="1:29" ht="14.25" customHeight="1" x14ac:dyDescent="0.3">
      <c r="A942" s="1" t="s">
        <v>259</v>
      </c>
      <c r="B942" s="1" t="s">
        <v>341</v>
      </c>
      <c r="C942" s="1" t="s">
        <v>328</v>
      </c>
      <c r="D942" s="1" t="s">
        <v>328</v>
      </c>
      <c r="E942" s="1">
        <v>0.75</v>
      </c>
      <c r="F942" s="1" t="s">
        <v>329</v>
      </c>
      <c r="G942" s="1">
        <v>40688</v>
      </c>
      <c r="H942" s="1">
        <v>60688</v>
      </c>
      <c r="I942" s="1">
        <v>18559.899999999991</v>
      </c>
      <c r="J942" s="1">
        <v>1440.100000000006</v>
      </c>
      <c r="K942" s="1">
        <v>59247.899999999987</v>
      </c>
      <c r="L942" s="1">
        <v>107</v>
      </c>
      <c r="M942" s="1">
        <v>129.25862179487169</v>
      </c>
      <c r="N942" s="1">
        <v>8.3023453790160868</v>
      </c>
      <c r="P942" s="7">
        <v>45812</v>
      </c>
      <c r="R942" s="7">
        <v>46177</v>
      </c>
      <c r="S942" s="7">
        <v>46177</v>
      </c>
      <c r="T942" s="7" t="str">
        <f t="shared" si="0"/>
        <v>junio</v>
      </c>
      <c r="X942" s="1" t="s">
        <v>333</v>
      </c>
      <c r="Y942" s="1" t="s">
        <v>334</v>
      </c>
      <c r="Z942" s="1">
        <v>1</v>
      </c>
      <c r="AA942" s="3">
        <v>8513.2800000000007</v>
      </c>
      <c r="AB942" s="3">
        <v>8513.2800000000007</v>
      </c>
      <c r="AC942" s="1" t="str">
        <f>VLOOKUP(A942,[1]Detalle!$D$2:$CW$484,98,FALSE)</f>
        <v>CCUDyAZA</v>
      </c>
    </row>
    <row r="943" spans="1:29" ht="14.25" customHeight="1" x14ac:dyDescent="0.3">
      <c r="A943" s="1" t="s">
        <v>73</v>
      </c>
      <c r="B943" s="1" t="s">
        <v>479</v>
      </c>
      <c r="C943" s="1" t="s">
        <v>328</v>
      </c>
      <c r="D943" s="1" t="s">
        <v>328</v>
      </c>
      <c r="E943" s="1">
        <v>0.75</v>
      </c>
      <c r="F943" s="1" t="s">
        <v>329</v>
      </c>
      <c r="G943" s="1">
        <v>40688</v>
      </c>
      <c r="H943" s="1">
        <v>60688</v>
      </c>
      <c r="I943" s="1">
        <v>18559.899999999991</v>
      </c>
      <c r="J943" s="1">
        <v>1440.100000000006</v>
      </c>
      <c r="K943" s="1">
        <v>59247.899999999987</v>
      </c>
      <c r="L943" s="1">
        <v>107</v>
      </c>
      <c r="M943" s="1">
        <v>129.25862179487169</v>
      </c>
      <c r="N943" s="1">
        <v>8.3023453790160868</v>
      </c>
      <c r="P943" s="7">
        <v>45814</v>
      </c>
      <c r="R943" s="7">
        <v>46179</v>
      </c>
      <c r="S943" s="7">
        <v>46179</v>
      </c>
      <c r="T943" s="7" t="str">
        <f t="shared" si="0"/>
        <v>junio</v>
      </c>
      <c r="X943" s="1" t="s">
        <v>333</v>
      </c>
      <c r="Y943" s="1" t="s">
        <v>334</v>
      </c>
      <c r="Z943" s="1">
        <v>1</v>
      </c>
      <c r="AA943" s="3">
        <v>8513.2800000000007</v>
      </c>
      <c r="AB943" s="3">
        <v>8513.2800000000007</v>
      </c>
      <c r="AC943" s="1" t="str">
        <f>VLOOKUP(A943,[1]Detalle!$D$2:$CW$484,98,FALSE)</f>
        <v>CMQ_TTE - QUILMES TTE</v>
      </c>
    </row>
    <row r="944" spans="1:29" ht="14.25" customHeight="1" x14ac:dyDescent="0.3">
      <c r="A944" s="1" t="s">
        <v>245</v>
      </c>
      <c r="B944" s="1" t="s">
        <v>341</v>
      </c>
      <c r="C944" s="1" t="s">
        <v>328</v>
      </c>
      <c r="D944" s="1" t="s">
        <v>328</v>
      </c>
      <c r="E944" s="1">
        <v>0.75</v>
      </c>
      <c r="F944" s="1" t="s">
        <v>329</v>
      </c>
      <c r="G944" s="1">
        <v>40688</v>
      </c>
      <c r="H944" s="1">
        <v>60688</v>
      </c>
      <c r="I944" s="1">
        <v>18559.899999999991</v>
      </c>
      <c r="J944" s="1">
        <v>1440.100000000006</v>
      </c>
      <c r="K944" s="1">
        <v>59247.899999999987</v>
      </c>
      <c r="L944" s="1">
        <v>107</v>
      </c>
      <c r="M944" s="1">
        <v>129.25862179487169</v>
      </c>
      <c r="N944" s="1">
        <v>8.3023453790160868</v>
      </c>
      <c r="P944" s="7">
        <v>45817</v>
      </c>
      <c r="R944" s="7">
        <v>46182</v>
      </c>
      <c r="S944" s="7">
        <v>46182</v>
      </c>
      <c r="T944" s="7" t="str">
        <f t="shared" si="0"/>
        <v>junio</v>
      </c>
      <c r="X944" s="1" t="s">
        <v>333</v>
      </c>
      <c r="Y944" s="1" t="s">
        <v>334</v>
      </c>
      <c r="Z944" s="1">
        <v>1</v>
      </c>
      <c r="AA944" s="3">
        <v>8513.2800000000007</v>
      </c>
      <c r="AB944" s="3">
        <v>8513.2800000000007</v>
      </c>
      <c r="AC944" s="1" t="str">
        <f>VLOOKUP(A944,[1]Detalle!$D$2:$CW$484,98,FALSE)</f>
        <v>CMQ_TTE - QUILMES TTE</v>
      </c>
    </row>
    <row r="945" spans="1:29" ht="14.25" customHeight="1" x14ac:dyDescent="0.3">
      <c r="A945" s="1" t="s">
        <v>222</v>
      </c>
      <c r="B945" s="1" t="s">
        <v>341</v>
      </c>
      <c r="C945" s="1" t="s">
        <v>328</v>
      </c>
      <c r="D945" s="1" t="s">
        <v>328</v>
      </c>
      <c r="E945" s="1">
        <v>0.75</v>
      </c>
      <c r="F945" s="1" t="s">
        <v>329</v>
      </c>
      <c r="G945" s="1">
        <v>40688</v>
      </c>
      <c r="H945" s="1">
        <v>60688</v>
      </c>
      <c r="I945" s="1">
        <v>18559.899999999991</v>
      </c>
      <c r="J945" s="1">
        <v>1440.100000000006</v>
      </c>
      <c r="K945" s="1">
        <v>59247.899999999987</v>
      </c>
      <c r="L945" s="1">
        <v>107</v>
      </c>
      <c r="M945" s="1">
        <v>129.25862179487169</v>
      </c>
      <c r="N945" s="1">
        <v>8.3023453790160868</v>
      </c>
      <c r="P945" s="7">
        <v>45820</v>
      </c>
      <c r="R945" s="7">
        <v>46185</v>
      </c>
      <c r="S945" s="7">
        <v>46185</v>
      </c>
      <c r="T945" s="7" t="str">
        <f t="shared" si="0"/>
        <v>junio</v>
      </c>
      <c r="X945" s="1" t="s">
        <v>333</v>
      </c>
      <c r="Y945" s="1" t="s">
        <v>334</v>
      </c>
      <c r="Z945" s="1">
        <v>1</v>
      </c>
      <c r="AA945" s="3">
        <v>8513.2800000000007</v>
      </c>
      <c r="AB945" s="3">
        <v>8513.2800000000007</v>
      </c>
      <c r="AC945" s="1" t="str">
        <f>VLOOKUP(A945,[1]Detalle!$D$2:$CW$484,98,FALSE)</f>
        <v>Sin Operación</v>
      </c>
    </row>
    <row r="946" spans="1:29" ht="14.25" customHeight="1" x14ac:dyDescent="0.3">
      <c r="A946" s="1" t="s">
        <v>173</v>
      </c>
      <c r="B946" s="1" t="s">
        <v>351</v>
      </c>
      <c r="C946" s="1" t="s">
        <v>328</v>
      </c>
      <c r="D946" s="1" t="s">
        <v>328</v>
      </c>
      <c r="E946" s="1">
        <v>0.75</v>
      </c>
      <c r="F946" s="1" t="s">
        <v>329</v>
      </c>
      <c r="G946" s="1">
        <v>40688</v>
      </c>
      <c r="H946" s="1">
        <v>60688</v>
      </c>
      <c r="I946" s="1">
        <v>18559.899999999991</v>
      </c>
      <c r="J946" s="1">
        <v>1440.100000000006</v>
      </c>
      <c r="K946" s="1">
        <v>59247.899999999987</v>
      </c>
      <c r="L946" s="1">
        <v>107</v>
      </c>
      <c r="M946" s="1">
        <v>129.25862179487169</v>
      </c>
      <c r="N946" s="1">
        <v>8.3023453790160868</v>
      </c>
      <c r="P946" s="7">
        <v>45821</v>
      </c>
      <c r="R946" s="7">
        <v>46186</v>
      </c>
      <c r="S946" s="7">
        <v>46186</v>
      </c>
      <c r="T946" s="7" t="str">
        <f t="shared" si="0"/>
        <v>junio</v>
      </c>
      <c r="X946" s="1" t="s">
        <v>333</v>
      </c>
      <c r="Y946" s="1" t="s">
        <v>334</v>
      </c>
      <c r="Z946" s="1">
        <v>1</v>
      </c>
      <c r="AA946" s="3">
        <v>8513.2800000000007</v>
      </c>
      <c r="AB946" s="3">
        <v>8513.2800000000007</v>
      </c>
      <c r="AC946" s="1" t="str">
        <f>VLOOKUP(A946,[1]Detalle!$D$2:$CW$484,98,FALSE)</f>
        <v>CENCO_MZ - Cencosud SA - Mendoza</v>
      </c>
    </row>
    <row r="947" spans="1:29" ht="14.25" customHeight="1" x14ac:dyDescent="0.3">
      <c r="A947" s="1" t="s">
        <v>165</v>
      </c>
      <c r="B947" s="1" t="s">
        <v>351</v>
      </c>
      <c r="C947" s="1" t="s">
        <v>328</v>
      </c>
      <c r="D947" s="1" t="s">
        <v>328</v>
      </c>
      <c r="E947" s="1">
        <v>0.75</v>
      </c>
      <c r="F947" s="1" t="s">
        <v>329</v>
      </c>
      <c r="G947" s="1">
        <v>40688</v>
      </c>
      <c r="H947" s="1">
        <v>60688</v>
      </c>
      <c r="I947" s="1">
        <v>18559.899999999991</v>
      </c>
      <c r="J947" s="1">
        <v>1440.100000000006</v>
      </c>
      <c r="K947" s="1">
        <v>59247.899999999987</v>
      </c>
      <c r="L947" s="1">
        <v>107</v>
      </c>
      <c r="M947" s="1">
        <v>129.25862179487169</v>
      </c>
      <c r="N947" s="1">
        <v>8.3023453790160868</v>
      </c>
      <c r="P947" s="7">
        <v>45825</v>
      </c>
      <c r="R947" s="7">
        <v>46190</v>
      </c>
      <c r="S947" s="7">
        <v>46190</v>
      </c>
      <c r="T947" s="7" t="str">
        <f t="shared" si="0"/>
        <v>junio</v>
      </c>
      <c r="X947" s="1" t="s">
        <v>333</v>
      </c>
      <c r="Y947" s="1" t="s">
        <v>334</v>
      </c>
      <c r="Z947" s="1">
        <v>1</v>
      </c>
      <c r="AA947" s="3">
        <v>8513.2800000000007</v>
      </c>
      <c r="AB947" s="3">
        <v>8513.2800000000007</v>
      </c>
      <c r="AC947" s="1" t="str">
        <f>VLOOKUP(A947,[1]Detalle!$D$2:$CW$484,98,FALSE)</f>
        <v>Papelera - Papelera del Plata S.A.</v>
      </c>
    </row>
    <row r="948" spans="1:29" ht="14.25" customHeight="1" x14ac:dyDescent="0.3">
      <c r="A948" s="1" t="s">
        <v>224</v>
      </c>
      <c r="B948" s="1" t="s">
        <v>340</v>
      </c>
      <c r="C948" s="1" t="s">
        <v>328</v>
      </c>
      <c r="D948" s="1" t="s">
        <v>328</v>
      </c>
      <c r="E948" s="1">
        <v>0.75</v>
      </c>
      <c r="F948" s="1" t="s">
        <v>329</v>
      </c>
      <c r="G948" s="1">
        <v>40688</v>
      </c>
      <c r="H948" s="1">
        <v>60688</v>
      </c>
      <c r="I948" s="1">
        <v>18559.899999999991</v>
      </c>
      <c r="J948" s="1">
        <v>1440.100000000006</v>
      </c>
      <c r="K948" s="1">
        <v>59247.899999999987</v>
      </c>
      <c r="L948" s="1">
        <v>107</v>
      </c>
      <c r="M948" s="1">
        <v>129.25862179487169</v>
      </c>
      <c r="N948" s="1">
        <v>8.3023453790160868</v>
      </c>
      <c r="P948" s="7">
        <v>45825</v>
      </c>
      <c r="R948" s="7">
        <v>46190</v>
      </c>
      <c r="S948" s="7">
        <v>46190</v>
      </c>
      <c r="T948" s="7" t="str">
        <f t="shared" si="0"/>
        <v>junio</v>
      </c>
      <c r="X948" s="1" t="s">
        <v>333</v>
      </c>
      <c r="Y948" s="1" t="s">
        <v>334</v>
      </c>
      <c r="Z948" s="1">
        <v>1</v>
      </c>
      <c r="AA948" s="3">
        <v>8513.2800000000007</v>
      </c>
      <c r="AB948" s="3">
        <v>8513.2800000000007</v>
      </c>
      <c r="AC948" s="1" t="str">
        <f>VLOOKUP(A948,[1]Detalle!$D$2:$CW$484,98,FALSE)</f>
        <v>Sin Operación</v>
      </c>
    </row>
    <row r="949" spans="1:29" ht="14.25" customHeight="1" x14ac:dyDescent="0.3">
      <c r="A949" s="1" t="s">
        <v>79</v>
      </c>
      <c r="B949" s="1" t="s">
        <v>352</v>
      </c>
      <c r="C949" s="1" t="s">
        <v>396</v>
      </c>
      <c r="D949" s="1" t="s">
        <v>328</v>
      </c>
      <c r="E949" s="1">
        <v>0.75</v>
      </c>
      <c r="F949" s="1" t="s">
        <v>329</v>
      </c>
      <c r="G949" s="1">
        <v>40688</v>
      </c>
      <c r="H949" s="1">
        <v>60688</v>
      </c>
      <c r="I949" s="1">
        <v>18559.899999999991</v>
      </c>
      <c r="J949" s="1">
        <v>1440.100000000006</v>
      </c>
      <c r="K949" s="1">
        <v>59247.899999999987</v>
      </c>
      <c r="L949" s="1">
        <v>107</v>
      </c>
      <c r="M949" s="1">
        <v>129.25862179487169</v>
      </c>
      <c r="N949" s="1">
        <v>8.3023453790160868</v>
      </c>
      <c r="P949" s="7">
        <v>45826</v>
      </c>
      <c r="R949" s="7">
        <v>46191</v>
      </c>
      <c r="S949" s="7">
        <v>46191</v>
      </c>
      <c r="T949" s="7" t="str">
        <f t="shared" si="0"/>
        <v>junio</v>
      </c>
      <c r="X949" s="1" t="s">
        <v>397</v>
      </c>
      <c r="Y949" s="1" t="s">
        <v>398</v>
      </c>
      <c r="Z949" s="1">
        <v>1</v>
      </c>
      <c r="AA949" s="3">
        <v>9737.2800000000007</v>
      </c>
      <c r="AB949" s="3">
        <v>9737.2800000000007</v>
      </c>
      <c r="AC949" s="1" t="str">
        <f>VLOOKUP(A949,[1]Detalle!$D$2:$CW$484,98,FALSE)</f>
        <v>Papelera - Papelera del Plata S.A.</v>
      </c>
    </row>
    <row r="950" spans="1:29" ht="14.25" customHeight="1" x14ac:dyDescent="0.3">
      <c r="A950" s="1" t="s">
        <v>119</v>
      </c>
      <c r="B950" s="1">
        <v>1620</v>
      </c>
      <c r="C950" s="1" t="s">
        <v>328</v>
      </c>
      <c r="D950" s="1" t="s">
        <v>328</v>
      </c>
      <c r="E950" s="1">
        <v>0.75</v>
      </c>
      <c r="F950" s="1" t="s">
        <v>329</v>
      </c>
      <c r="G950" s="1">
        <v>40688</v>
      </c>
      <c r="H950" s="1">
        <v>60688</v>
      </c>
      <c r="I950" s="1">
        <v>18559.899999999991</v>
      </c>
      <c r="J950" s="1">
        <v>1440.100000000006</v>
      </c>
      <c r="K950" s="1">
        <v>59247.899999999987</v>
      </c>
      <c r="L950" s="1">
        <v>107</v>
      </c>
      <c r="M950" s="1">
        <v>129.25862179487169</v>
      </c>
      <c r="N950" s="1">
        <v>8.3023453790160868</v>
      </c>
      <c r="P950" s="7">
        <v>45831</v>
      </c>
      <c r="R950" s="7">
        <v>46196</v>
      </c>
      <c r="S950" s="7">
        <v>46196</v>
      </c>
      <c r="T950" s="7" t="str">
        <f t="shared" si="0"/>
        <v>junio</v>
      </c>
      <c r="X950" s="1" t="s">
        <v>333</v>
      </c>
      <c r="Y950" s="1" t="s">
        <v>334</v>
      </c>
      <c r="Z950" s="1">
        <v>1</v>
      </c>
      <c r="AA950" s="3">
        <v>8513.2800000000007</v>
      </c>
      <c r="AB950" s="3">
        <v>8513.2800000000007</v>
      </c>
      <c r="AC950" s="1" t="str">
        <f>VLOOKUP(A950,[1]Detalle!$D$2:$CW$484,98,FALSE)</f>
        <v>SUC_CTC - Sucursal Buenos Aires</v>
      </c>
    </row>
    <row r="951" spans="1:29" ht="14.25" customHeight="1" x14ac:dyDescent="0.3">
      <c r="A951" s="1" t="s">
        <v>168</v>
      </c>
      <c r="B951" s="1" t="s">
        <v>351</v>
      </c>
      <c r="C951" s="1" t="s">
        <v>328</v>
      </c>
      <c r="D951" s="1" t="s">
        <v>328</v>
      </c>
      <c r="E951" s="1">
        <v>0.75</v>
      </c>
      <c r="F951" s="1" t="s">
        <v>329</v>
      </c>
      <c r="G951" s="1">
        <v>40688</v>
      </c>
      <c r="H951" s="1">
        <v>60688</v>
      </c>
      <c r="I951" s="1">
        <v>18559.899999999991</v>
      </c>
      <c r="J951" s="1">
        <v>1440.100000000006</v>
      </c>
      <c r="K951" s="1">
        <v>59247.899999999987</v>
      </c>
      <c r="L951" s="1">
        <v>107</v>
      </c>
      <c r="M951" s="1">
        <v>129.25862179487169</v>
      </c>
      <c r="N951" s="1">
        <v>8.3023453790160868</v>
      </c>
      <c r="P951" s="7">
        <v>45831</v>
      </c>
      <c r="R951" s="7">
        <v>46196</v>
      </c>
      <c r="S951" s="7">
        <v>46196</v>
      </c>
      <c r="T951" s="7" t="str">
        <f t="shared" si="0"/>
        <v>junio</v>
      </c>
      <c r="X951" s="1" t="s">
        <v>333</v>
      </c>
      <c r="Y951" s="1" t="s">
        <v>334</v>
      </c>
      <c r="Z951" s="1">
        <v>1</v>
      </c>
      <c r="AA951" s="3">
        <v>8513.2800000000007</v>
      </c>
      <c r="AB951" s="3">
        <v>8513.2800000000007</v>
      </c>
      <c r="AC951" s="1" t="str">
        <f>VLOOKUP(A951,[1]Detalle!$D$2:$CW$484,98,FALSE)</f>
        <v>Unilever - Unilever de Arg. S.A.</v>
      </c>
    </row>
    <row r="952" spans="1:29" ht="14.25" customHeight="1" x14ac:dyDescent="0.3">
      <c r="A952" s="1" t="s">
        <v>223</v>
      </c>
      <c r="B952" s="1" t="s">
        <v>341</v>
      </c>
      <c r="C952" s="1" t="s">
        <v>328</v>
      </c>
      <c r="D952" s="1" t="s">
        <v>328</v>
      </c>
      <c r="E952" s="1">
        <v>0.75</v>
      </c>
      <c r="F952" s="1" t="s">
        <v>329</v>
      </c>
      <c r="G952" s="1">
        <v>40688</v>
      </c>
      <c r="H952" s="1">
        <v>60688</v>
      </c>
      <c r="I952" s="1">
        <v>18559.899999999991</v>
      </c>
      <c r="J952" s="1">
        <v>1440.100000000006</v>
      </c>
      <c r="K952" s="1">
        <v>59247.899999999987</v>
      </c>
      <c r="L952" s="1">
        <v>107</v>
      </c>
      <c r="M952" s="1">
        <v>129.25862179487169</v>
      </c>
      <c r="N952" s="1">
        <v>8.3023453790160868</v>
      </c>
      <c r="P952" s="7">
        <v>45831</v>
      </c>
      <c r="R952" s="7">
        <v>46196</v>
      </c>
      <c r="S952" s="7">
        <v>46196</v>
      </c>
      <c r="T952" s="7" t="str">
        <f t="shared" si="0"/>
        <v>junio</v>
      </c>
      <c r="X952" s="1" t="s">
        <v>333</v>
      </c>
      <c r="Y952" s="1" t="s">
        <v>334</v>
      </c>
      <c r="Z952" s="1">
        <v>1</v>
      </c>
      <c r="AA952" s="3">
        <v>8513.2800000000007</v>
      </c>
      <c r="AB952" s="3">
        <v>8513.2800000000007</v>
      </c>
      <c r="AC952" s="1" t="str">
        <f>VLOOKUP(A952,[1]Detalle!$D$2:$CW$484,98,FALSE)</f>
        <v>CMQ_TTE - QUILMES TTE</v>
      </c>
    </row>
    <row r="953" spans="1:29" ht="14.25" customHeight="1" x14ac:dyDescent="0.3">
      <c r="A953" s="1" t="s">
        <v>244</v>
      </c>
      <c r="B953" s="1" t="s">
        <v>341</v>
      </c>
      <c r="C953" s="1" t="s">
        <v>328</v>
      </c>
      <c r="D953" s="1" t="s">
        <v>328</v>
      </c>
      <c r="E953" s="1">
        <v>0.75</v>
      </c>
      <c r="F953" s="1" t="s">
        <v>329</v>
      </c>
      <c r="G953" s="1">
        <v>40688</v>
      </c>
      <c r="H953" s="1">
        <v>60688</v>
      </c>
      <c r="I953" s="1">
        <v>18559.899999999991</v>
      </c>
      <c r="J953" s="1">
        <v>1440.100000000006</v>
      </c>
      <c r="K953" s="1">
        <v>59247.899999999987</v>
      </c>
      <c r="L953" s="1">
        <v>107</v>
      </c>
      <c r="M953" s="1">
        <v>129.25862179487169</v>
      </c>
      <c r="N953" s="1">
        <v>8.3023453790160868</v>
      </c>
      <c r="P953" s="7">
        <v>45832</v>
      </c>
      <c r="R953" s="7">
        <v>46197</v>
      </c>
      <c r="S953" s="7">
        <v>46197</v>
      </c>
      <c r="T953" s="7" t="str">
        <f t="shared" si="0"/>
        <v>junio</v>
      </c>
      <c r="X953" s="1" t="s">
        <v>333</v>
      </c>
      <c r="Y953" s="1" t="s">
        <v>334</v>
      </c>
      <c r="Z953" s="1">
        <v>1</v>
      </c>
      <c r="AA953" s="3">
        <v>8513.2800000000007</v>
      </c>
      <c r="AB953" s="3">
        <v>8513.2800000000007</v>
      </c>
      <c r="AC953" s="1" t="str">
        <f>VLOOKUP(A953,[1]Detalle!$D$2:$CW$484,98,FALSE)</f>
        <v>CMQ_TTE - QUILMES TTE</v>
      </c>
    </row>
    <row r="954" spans="1:29" ht="14.25" customHeight="1" x14ac:dyDescent="0.3">
      <c r="A954" s="1" t="s">
        <v>167</v>
      </c>
      <c r="B954" s="1" t="s">
        <v>351</v>
      </c>
      <c r="C954" s="1" t="s">
        <v>328</v>
      </c>
      <c r="D954" s="1" t="s">
        <v>328</v>
      </c>
      <c r="E954" s="1">
        <v>0.75</v>
      </c>
      <c r="F954" s="1" t="s">
        <v>329</v>
      </c>
      <c r="G954" s="1">
        <v>40688</v>
      </c>
      <c r="H954" s="1">
        <v>60688</v>
      </c>
      <c r="I954" s="1">
        <v>18559.899999999991</v>
      </c>
      <c r="J954" s="1">
        <v>1440.100000000006</v>
      </c>
      <c r="K954" s="1">
        <v>59247.899999999987</v>
      </c>
      <c r="L954" s="1">
        <v>107</v>
      </c>
      <c r="M954" s="1">
        <v>129.25862179487169</v>
      </c>
      <c r="N954" s="1">
        <v>8.3023453790160868</v>
      </c>
      <c r="P954" s="7">
        <v>45833</v>
      </c>
      <c r="R954" s="7">
        <v>46198</v>
      </c>
      <c r="S954" s="7">
        <v>46198</v>
      </c>
      <c r="T954" s="7" t="str">
        <f t="shared" si="0"/>
        <v>junio</v>
      </c>
      <c r="X954" s="1" t="s">
        <v>333</v>
      </c>
      <c r="Y954" s="1" t="s">
        <v>334</v>
      </c>
      <c r="Z954" s="1">
        <v>1</v>
      </c>
      <c r="AA954" s="3">
        <v>8513.2800000000007</v>
      </c>
      <c r="AB954" s="3">
        <v>8513.2800000000007</v>
      </c>
      <c r="AC954" s="1" t="str">
        <f>VLOOKUP(A954,[1]Detalle!$D$2:$CW$484,98,FALSE)</f>
        <v>Papelera - Papelera del Plata S.A.</v>
      </c>
    </row>
    <row r="955" spans="1:29" ht="14.25" customHeight="1" x14ac:dyDescent="0.3">
      <c r="A955" s="1" t="s">
        <v>104</v>
      </c>
      <c r="B955" s="1">
        <v>710</v>
      </c>
      <c r="C955" s="1" t="s">
        <v>328</v>
      </c>
      <c r="D955" s="1" t="s">
        <v>328</v>
      </c>
      <c r="E955" s="1">
        <v>0.75</v>
      </c>
      <c r="F955" s="1" t="s">
        <v>329</v>
      </c>
      <c r="G955" s="1">
        <v>40688</v>
      </c>
      <c r="H955" s="1">
        <v>60688</v>
      </c>
      <c r="I955" s="1">
        <v>18559.899999999991</v>
      </c>
      <c r="J955" s="1">
        <v>1440.100000000006</v>
      </c>
      <c r="K955" s="1">
        <v>59247.899999999987</v>
      </c>
      <c r="L955" s="1">
        <v>107</v>
      </c>
      <c r="M955" s="1">
        <v>129.25862179487169</v>
      </c>
      <c r="N955" s="1">
        <v>8.3023453790160868</v>
      </c>
      <c r="P955" s="7">
        <v>45833</v>
      </c>
      <c r="R955" s="7">
        <v>46198</v>
      </c>
      <c r="S955" s="7">
        <v>46198</v>
      </c>
      <c r="T955" s="7" t="str">
        <f t="shared" si="0"/>
        <v>junio</v>
      </c>
      <c r="X955" s="1" t="s">
        <v>333</v>
      </c>
      <c r="Y955" s="1" t="s">
        <v>334</v>
      </c>
      <c r="Z955" s="1">
        <v>1</v>
      </c>
      <c r="AA955" s="3">
        <v>8513.2800000000007</v>
      </c>
      <c r="AB955" s="3">
        <v>8513.2800000000007</v>
      </c>
      <c r="AC955" s="1" t="str">
        <f>VLOOKUP(A955,[1]Detalle!$D$2:$CW$484,98,FALSE)</f>
        <v>SUC_GAL - Sucursal General Alvear</v>
      </c>
    </row>
    <row r="956" spans="1:29" ht="14.25" customHeight="1" x14ac:dyDescent="0.3">
      <c r="A956" s="1" t="s">
        <v>174</v>
      </c>
      <c r="B956" s="1" t="s">
        <v>351</v>
      </c>
      <c r="C956" s="1" t="s">
        <v>328</v>
      </c>
      <c r="D956" s="1" t="s">
        <v>328</v>
      </c>
      <c r="E956" s="1">
        <v>0.75</v>
      </c>
      <c r="F956" s="1" t="s">
        <v>329</v>
      </c>
      <c r="G956" s="1">
        <v>40688</v>
      </c>
      <c r="H956" s="1">
        <v>60688</v>
      </c>
      <c r="I956" s="1">
        <v>18559.899999999991</v>
      </c>
      <c r="J956" s="1">
        <v>1440.100000000006</v>
      </c>
      <c r="K956" s="1">
        <v>59247.899999999987</v>
      </c>
      <c r="L956" s="1">
        <v>107</v>
      </c>
      <c r="M956" s="1">
        <v>129.25862179487169</v>
      </c>
      <c r="N956" s="1">
        <v>8.3023453790160868</v>
      </c>
      <c r="P956" s="7">
        <v>45834</v>
      </c>
      <c r="R956" s="7">
        <v>46199</v>
      </c>
      <c r="S956" s="7">
        <v>46199</v>
      </c>
      <c r="T956" s="7" t="str">
        <f t="shared" si="0"/>
        <v>junio</v>
      </c>
      <c r="X956" s="1" t="s">
        <v>333</v>
      </c>
      <c r="Y956" s="1" t="s">
        <v>334</v>
      </c>
      <c r="Z956" s="1">
        <v>1</v>
      </c>
      <c r="AA956" s="3">
        <v>8513.2800000000007</v>
      </c>
      <c r="AB956" s="3">
        <v>8513.2800000000007</v>
      </c>
      <c r="AC956" s="1" t="str">
        <f>VLOOKUP(A956,[1]Detalle!$D$2:$CW$484,98,FALSE)</f>
        <v>Unilever - Unilever de Arg. S.A.</v>
      </c>
    </row>
    <row r="957" spans="1:29" ht="14.25" customHeight="1" x14ac:dyDescent="0.3">
      <c r="A957" s="1" t="s">
        <v>211</v>
      </c>
      <c r="B957" s="1" t="s">
        <v>340</v>
      </c>
      <c r="C957" s="1" t="s">
        <v>328</v>
      </c>
      <c r="D957" s="1" t="s">
        <v>328</v>
      </c>
      <c r="E957" s="1">
        <v>0.75</v>
      </c>
      <c r="F957" s="1" t="s">
        <v>329</v>
      </c>
      <c r="G957" s="1">
        <v>40688</v>
      </c>
      <c r="H957" s="1">
        <v>60688</v>
      </c>
      <c r="I957" s="1">
        <v>18559.899999999991</v>
      </c>
      <c r="J957" s="1">
        <v>1440.100000000006</v>
      </c>
      <c r="K957" s="1">
        <v>59247.899999999987</v>
      </c>
      <c r="L957" s="1">
        <v>107</v>
      </c>
      <c r="M957" s="1">
        <v>129.25862179487169</v>
      </c>
      <c r="N957" s="1">
        <v>8.3023453790160868</v>
      </c>
      <c r="P957" s="7">
        <v>45834</v>
      </c>
      <c r="R957" s="7">
        <v>46199</v>
      </c>
      <c r="S957" s="7">
        <v>46199</v>
      </c>
      <c r="T957" s="7" t="str">
        <f t="shared" si="0"/>
        <v>junio</v>
      </c>
      <c r="X957" s="1" t="s">
        <v>333</v>
      </c>
      <c r="Y957" s="1" t="s">
        <v>334</v>
      </c>
      <c r="Z957" s="1">
        <v>1</v>
      </c>
      <c r="AA957" s="3">
        <v>8513.2800000000007</v>
      </c>
      <c r="AB957" s="3">
        <v>8513.2800000000007</v>
      </c>
      <c r="AC957" s="1" t="str">
        <f>VLOOKUP(A957,[1]Detalle!$D$2:$CW$484,98,FALSE)</f>
        <v>SUC_GAL - Sucursal General Alvear</v>
      </c>
    </row>
    <row r="958" spans="1:29" ht="14.25" customHeight="1" x14ac:dyDescent="0.3">
      <c r="A958" s="1" t="s">
        <v>171</v>
      </c>
      <c r="B958" s="1" t="s">
        <v>351</v>
      </c>
      <c r="C958" s="1" t="s">
        <v>328</v>
      </c>
      <c r="D958" s="1" t="s">
        <v>328</v>
      </c>
      <c r="E958" s="1">
        <v>0.75</v>
      </c>
      <c r="F958" s="1" t="s">
        <v>329</v>
      </c>
      <c r="G958" s="1">
        <v>40688</v>
      </c>
      <c r="H958" s="1">
        <v>60688</v>
      </c>
      <c r="I958" s="1">
        <v>18559.899999999991</v>
      </c>
      <c r="J958" s="1">
        <v>1440.100000000006</v>
      </c>
      <c r="K958" s="1">
        <v>59247.899999999987</v>
      </c>
      <c r="L958" s="1">
        <v>107</v>
      </c>
      <c r="M958" s="1">
        <v>129.25862179487169</v>
      </c>
      <c r="N958" s="1">
        <v>8.3023453790160868</v>
      </c>
      <c r="P958" s="7">
        <v>45835</v>
      </c>
      <c r="R958" s="7">
        <v>46200</v>
      </c>
      <c r="S958" s="7">
        <v>46200</v>
      </c>
      <c r="T958" s="7" t="str">
        <f t="shared" si="0"/>
        <v>junio</v>
      </c>
      <c r="X958" s="1" t="s">
        <v>333</v>
      </c>
      <c r="Y958" s="1" t="s">
        <v>334</v>
      </c>
      <c r="Z958" s="1">
        <v>1</v>
      </c>
      <c r="AA958" s="3">
        <v>8513.2800000000007</v>
      </c>
      <c r="AB958" s="3">
        <v>8513.2800000000007</v>
      </c>
      <c r="AC958" s="1" t="str">
        <f>VLOOKUP(A958,[1]Detalle!$D$2:$CW$484,98,FALSE)</f>
        <v>CENCO_MZ - Cencosud SA - Mendoza</v>
      </c>
    </row>
    <row r="959" spans="1:29" ht="14.25" customHeight="1" x14ac:dyDescent="0.3">
      <c r="A959" s="1" t="s">
        <v>152</v>
      </c>
      <c r="B959" s="1" t="s">
        <v>351</v>
      </c>
      <c r="C959" s="1" t="s">
        <v>328</v>
      </c>
      <c r="D959" s="1" t="s">
        <v>328</v>
      </c>
      <c r="E959" s="1">
        <v>0.75</v>
      </c>
      <c r="F959" s="1" t="s">
        <v>329</v>
      </c>
      <c r="G959" s="1">
        <v>40688</v>
      </c>
      <c r="H959" s="1">
        <v>60688</v>
      </c>
      <c r="I959" s="1">
        <v>18559.899999999991</v>
      </c>
      <c r="J959" s="1">
        <v>1440.100000000006</v>
      </c>
      <c r="K959" s="1">
        <v>59247.899999999987</v>
      </c>
      <c r="L959" s="1">
        <v>107</v>
      </c>
      <c r="M959" s="1">
        <v>129.25862179487169</v>
      </c>
      <c r="N959" s="1">
        <v>8.3023453790160868</v>
      </c>
      <c r="P959" s="7">
        <v>45845</v>
      </c>
      <c r="R959" s="7">
        <v>46210</v>
      </c>
      <c r="S959" s="7">
        <v>46210</v>
      </c>
      <c r="T959" s="7" t="str">
        <f t="shared" si="0"/>
        <v>julio</v>
      </c>
      <c r="X959" s="1" t="s">
        <v>333</v>
      </c>
      <c r="Y959" s="1" t="s">
        <v>334</v>
      </c>
      <c r="Z959" s="1">
        <v>1</v>
      </c>
      <c r="AA959" s="3">
        <v>8513.2800000000007</v>
      </c>
      <c r="AB959" s="3">
        <v>8513.2800000000007</v>
      </c>
      <c r="AC959" s="1" t="str">
        <f>VLOOKUP(A959,[1]Detalle!$D$2:$CW$484,98,FALSE)</f>
        <v>SUC_REA - Sucursal Realicó</v>
      </c>
    </row>
    <row r="960" spans="1:29" ht="14.25" customHeight="1" x14ac:dyDescent="0.3">
      <c r="A960" s="1" t="s">
        <v>133</v>
      </c>
      <c r="B960" s="1">
        <v>1624</v>
      </c>
      <c r="C960" s="1" t="s">
        <v>328</v>
      </c>
      <c r="D960" s="1" t="s">
        <v>328</v>
      </c>
      <c r="E960" s="1">
        <v>0.75</v>
      </c>
      <c r="F960" s="1" t="s">
        <v>329</v>
      </c>
      <c r="G960" s="1">
        <v>40688</v>
      </c>
      <c r="H960" s="1">
        <v>60688</v>
      </c>
      <c r="I960" s="1">
        <v>18559.899999999991</v>
      </c>
      <c r="J960" s="1">
        <v>1440.100000000006</v>
      </c>
      <c r="K960" s="1">
        <v>59247.899999999987</v>
      </c>
      <c r="L960" s="1">
        <v>107</v>
      </c>
      <c r="M960" s="1">
        <v>129.25862179487169</v>
      </c>
      <c r="N960" s="1">
        <v>8.3023453790160868</v>
      </c>
      <c r="P960" s="7">
        <v>45846</v>
      </c>
      <c r="R960" s="7">
        <v>46211</v>
      </c>
      <c r="S960" s="7">
        <v>46211</v>
      </c>
      <c r="T960" s="7" t="str">
        <f t="shared" si="0"/>
        <v>julio</v>
      </c>
      <c r="X960" s="1" t="s">
        <v>333</v>
      </c>
      <c r="Y960" s="1" t="s">
        <v>334</v>
      </c>
      <c r="Z960" s="1">
        <v>1</v>
      </c>
      <c r="AA960" s="3">
        <v>8513.2800000000007</v>
      </c>
      <c r="AB960" s="3">
        <v>8513.2800000000007</v>
      </c>
      <c r="AC960" s="1" t="str">
        <f>VLOOKUP(A960,[1]Detalle!$D$2:$CW$484,98,FALSE)</f>
        <v>CENCO_MZ - Cencosud SA - Mendoza</v>
      </c>
    </row>
    <row r="961" spans="1:29" ht="14.25" customHeight="1" x14ac:dyDescent="0.3">
      <c r="A961" s="1" t="s">
        <v>15</v>
      </c>
      <c r="B961" s="1" t="s">
        <v>353</v>
      </c>
      <c r="C961" s="1" t="s">
        <v>328</v>
      </c>
      <c r="D961" s="1" t="s">
        <v>328</v>
      </c>
      <c r="E961" s="1">
        <v>0.75</v>
      </c>
      <c r="F961" s="1" t="s">
        <v>329</v>
      </c>
      <c r="G961" s="1">
        <v>40688</v>
      </c>
      <c r="H961" s="1">
        <v>60688</v>
      </c>
      <c r="I961" s="1">
        <v>18559.899999999991</v>
      </c>
      <c r="J961" s="1">
        <v>1440.100000000006</v>
      </c>
      <c r="K961" s="1">
        <v>59247.899999999987</v>
      </c>
      <c r="L961" s="1">
        <v>107</v>
      </c>
      <c r="M961" s="1">
        <v>129.25862179487169</v>
      </c>
      <c r="N961" s="1">
        <v>8.3023453790160868</v>
      </c>
      <c r="P961" s="7">
        <v>45848</v>
      </c>
      <c r="R961" s="7">
        <v>46213</v>
      </c>
      <c r="S961" s="7">
        <v>46213</v>
      </c>
      <c r="T961" s="7" t="str">
        <f t="shared" si="0"/>
        <v>julio</v>
      </c>
      <c r="X961" s="1" t="s">
        <v>333</v>
      </c>
      <c r="Y961" s="1" t="s">
        <v>334</v>
      </c>
      <c r="Z961" s="1">
        <v>1</v>
      </c>
      <c r="AA961" s="3">
        <v>8513.2800000000007</v>
      </c>
      <c r="AB961" s="3">
        <v>8513.2800000000007</v>
      </c>
      <c r="AC961" s="1" t="str">
        <f>VLOOKUP(A961,[1]Detalle!$D$2:$CW$484,98,FALSE)</f>
        <v>CENCOMLD - Cencosud SA - Mendoza</v>
      </c>
    </row>
    <row r="962" spans="1:29" ht="14.25" customHeight="1" x14ac:dyDescent="0.3">
      <c r="A962" s="1" t="s">
        <v>219</v>
      </c>
      <c r="B962" s="1" t="s">
        <v>341</v>
      </c>
      <c r="C962" s="1" t="s">
        <v>328</v>
      </c>
      <c r="D962" s="1" t="s">
        <v>328</v>
      </c>
      <c r="E962" s="1">
        <v>0.75</v>
      </c>
      <c r="F962" s="1" t="s">
        <v>329</v>
      </c>
      <c r="G962" s="1">
        <v>40688</v>
      </c>
      <c r="H962" s="1">
        <v>60688</v>
      </c>
      <c r="I962" s="1">
        <v>18559.899999999991</v>
      </c>
      <c r="J962" s="1">
        <v>1440.100000000006</v>
      </c>
      <c r="K962" s="1">
        <v>59247.899999999987</v>
      </c>
      <c r="L962" s="1">
        <v>107</v>
      </c>
      <c r="M962" s="1">
        <v>129.25862179487169</v>
      </c>
      <c r="N962" s="1">
        <v>8.3023453790160868</v>
      </c>
      <c r="P962" s="7">
        <v>45853</v>
      </c>
      <c r="R962" s="7">
        <v>46218</v>
      </c>
      <c r="S962" s="7">
        <v>46218</v>
      </c>
      <c r="T962" s="7" t="str">
        <f t="shared" si="0"/>
        <v>julio</v>
      </c>
      <c r="X962" s="1" t="s">
        <v>333</v>
      </c>
      <c r="Y962" s="1" t="s">
        <v>334</v>
      </c>
      <c r="Z962" s="1">
        <v>1</v>
      </c>
      <c r="AA962" s="3">
        <v>8513.2800000000007</v>
      </c>
      <c r="AB962" s="3">
        <v>8513.2800000000007</v>
      </c>
      <c r="AC962" s="1" t="str">
        <f>VLOOKUP(A962,[1]Detalle!$D$2:$CW$484,98,FALSE)</f>
        <v>CMQ_TTE - QUILMES TTE</v>
      </c>
    </row>
    <row r="963" spans="1:29" ht="14.25" customHeight="1" x14ac:dyDescent="0.3">
      <c r="A963" s="1" t="s">
        <v>64</v>
      </c>
      <c r="B963" s="1" t="s">
        <v>352</v>
      </c>
      <c r="C963" s="1" t="s">
        <v>396</v>
      </c>
      <c r="D963" s="1" t="s">
        <v>328</v>
      </c>
      <c r="E963" s="1">
        <v>0.75</v>
      </c>
      <c r="F963" s="1" t="s">
        <v>329</v>
      </c>
      <c r="G963" s="1">
        <v>40688</v>
      </c>
      <c r="H963" s="1">
        <v>60688</v>
      </c>
      <c r="I963" s="1">
        <v>18559.899999999991</v>
      </c>
      <c r="J963" s="1">
        <v>1440.100000000006</v>
      </c>
      <c r="K963" s="1">
        <v>59247.899999999987</v>
      </c>
      <c r="L963" s="1">
        <v>107</v>
      </c>
      <c r="M963" s="1">
        <v>129.25862179487169</v>
      </c>
      <c r="N963" s="1">
        <v>8.3023453790160868</v>
      </c>
      <c r="P963" s="7">
        <v>45855</v>
      </c>
      <c r="R963" s="7">
        <v>46220</v>
      </c>
      <c r="S963" s="7">
        <v>46220</v>
      </c>
      <c r="T963" s="7" t="str">
        <f t="shared" si="0"/>
        <v>julio</v>
      </c>
      <c r="X963" s="1" t="s">
        <v>397</v>
      </c>
      <c r="Y963" s="1" t="s">
        <v>398</v>
      </c>
      <c r="Z963" s="1">
        <v>1</v>
      </c>
      <c r="AA963" s="3">
        <v>9737.2800000000007</v>
      </c>
      <c r="AB963" s="3">
        <v>9737.2800000000007</v>
      </c>
      <c r="AC963" s="1" t="str">
        <f>VLOOKUP(A963,[1]Detalle!$D$2:$CW$484,98,FALSE)</f>
        <v>CMQ_TTE - QUILMES TTE</v>
      </c>
    </row>
    <row r="964" spans="1:29" ht="14.25" customHeight="1" x14ac:dyDescent="0.3">
      <c r="A964" s="1" t="s">
        <v>51</v>
      </c>
      <c r="B964" s="1" t="s">
        <v>350</v>
      </c>
      <c r="C964" s="1" t="s">
        <v>396</v>
      </c>
      <c r="D964" s="1" t="s">
        <v>328</v>
      </c>
      <c r="E964" s="1">
        <v>0.75</v>
      </c>
      <c r="F964" s="1" t="s">
        <v>329</v>
      </c>
      <c r="G964" s="1">
        <v>40688</v>
      </c>
      <c r="H964" s="1">
        <v>60688</v>
      </c>
      <c r="I964" s="1">
        <v>18559.899999999991</v>
      </c>
      <c r="J964" s="1">
        <v>1440.100000000006</v>
      </c>
      <c r="K964" s="1">
        <v>59247.899999999987</v>
      </c>
      <c r="L964" s="1">
        <v>107</v>
      </c>
      <c r="M964" s="1">
        <v>129.25862179487169</v>
      </c>
      <c r="N964" s="1">
        <v>8.3023453790160868</v>
      </c>
      <c r="P964" s="7">
        <v>45855</v>
      </c>
      <c r="R964" s="7">
        <v>46220</v>
      </c>
      <c r="S964" s="7">
        <v>46220</v>
      </c>
      <c r="T964" s="7" t="str">
        <f t="shared" si="0"/>
        <v>julio</v>
      </c>
      <c r="X964" s="1" t="s">
        <v>397</v>
      </c>
      <c r="Y964" s="1" t="s">
        <v>398</v>
      </c>
      <c r="Z964" s="1">
        <v>1</v>
      </c>
      <c r="AA964" s="3">
        <v>9737.2800000000007</v>
      </c>
      <c r="AB964" s="3">
        <v>9737.2800000000007</v>
      </c>
      <c r="AC964" s="1" t="str">
        <f>VLOOKUP(A964,[1]Detalle!$D$2:$CW$484,98,FALSE)</f>
        <v>CMQ_TTE - QUILMES TTE</v>
      </c>
    </row>
    <row r="965" spans="1:29" ht="14.25" customHeight="1" x14ac:dyDescent="0.3">
      <c r="A965" s="1" t="s">
        <v>28</v>
      </c>
      <c r="B965" s="1" t="s">
        <v>407</v>
      </c>
      <c r="C965" s="1" t="s">
        <v>400</v>
      </c>
      <c r="D965" s="1" t="s">
        <v>328</v>
      </c>
      <c r="E965" s="1">
        <v>0.75</v>
      </c>
      <c r="F965" s="1" t="s">
        <v>329</v>
      </c>
      <c r="G965" s="1">
        <v>40688</v>
      </c>
      <c r="H965" s="1">
        <v>60688</v>
      </c>
      <c r="I965" s="1">
        <v>18559.899999999991</v>
      </c>
      <c r="J965" s="1">
        <v>1440.100000000006</v>
      </c>
      <c r="K965" s="1">
        <v>59247.899999999987</v>
      </c>
      <c r="L965" s="1">
        <v>107</v>
      </c>
      <c r="M965" s="1">
        <v>129.25862179487169</v>
      </c>
      <c r="N965" s="1">
        <v>8.3023453790160868</v>
      </c>
      <c r="P965" s="7">
        <v>45860</v>
      </c>
      <c r="R965" s="7">
        <v>46225</v>
      </c>
      <c r="S965" s="7">
        <v>46225</v>
      </c>
      <c r="T965" s="7" t="str">
        <f t="shared" si="0"/>
        <v>julio</v>
      </c>
      <c r="X965" s="1" t="s">
        <v>401</v>
      </c>
      <c r="Y965" s="1" t="s">
        <v>402</v>
      </c>
      <c r="Z965" s="1">
        <v>1</v>
      </c>
      <c r="AA965" s="3">
        <v>21189.599999999999</v>
      </c>
      <c r="AB965" s="3">
        <v>21189.599999999999</v>
      </c>
      <c r="AC965" s="1" t="str">
        <f>VLOOKUP(A965,[1]Detalle!$D$2:$CW$484,98,FALSE)</f>
        <v>CMQ_TTE - QUILMES TTE</v>
      </c>
    </row>
    <row r="966" spans="1:29" ht="14.25" customHeight="1" x14ac:dyDescent="0.3">
      <c r="A966" s="1" t="s">
        <v>38</v>
      </c>
      <c r="B966" s="1" t="s">
        <v>362</v>
      </c>
      <c r="C966" s="1" t="s">
        <v>328</v>
      </c>
      <c r="D966" s="1" t="s">
        <v>328</v>
      </c>
      <c r="E966" s="1">
        <v>0.75</v>
      </c>
      <c r="F966" s="1" t="s">
        <v>329</v>
      </c>
      <c r="G966" s="1">
        <v>40688</v>
      </c>
      <c r="H966" s="1">
        <v>60688</v>
      </c>
      <c r="I966" s="1">
        <v>18559.899999999991</v>
      </c>
      <c r="J966" s="1">
        <v>1440.100000000006</v>
      </c>
      <c r="K966" s="1">
        <v>59247.899999999987</v>
      </c>
      <c r="L966" s="1">
        <v>107</v>
      </c>
      <c r="M966" s="1">
        <v>129.25862179487169</v>
      </c>
      <c r="N966" s="1">
        <v>8.3023453790160868</v>
      </c>
      <c r="P966" s="7">
        <v>45864</v>
      </c>
      <c r="R966" s="7">
        <v>46229</v>
      </c>
      <c r="S966" s="7">
        <v>46229</v>
      </c>
      <c r="T966" s="7" t="str">
        <f t="shared" si="0"/>
        <v>julio</v>
      </c>
      <c r="X966" s="1" t="s">
        <v>333</v>
      </c>
      <c r="Y966" s="1" t="s">
        <v>334</v>
      </c>
      <c r="Z966" s="1">
        <v>1</v>
      </c>
      <c r="AA966" s="3">
        <v>8513.2800000000007</v>
      </c>
      <c r="AB966" s="3">
        <v>8513.2800000000007</v>
      </c>
      <c r="AC966" s="1" t="str">
        <f>VLOOKUP(A966,[1]Detalle!$D$2:$CW$484,98,FALSE)</f>
        <v>SUC_SRA - Sucursal San Rafael</v>
      </c>
    </row>
    <row r="967" spans="1:29" ht="14.25" customHeight="1" x14ac:dyDescent="0.3">
      <c r="A967" s="1" t="s">
        <v>187</v>
      </c>
      <c r="B967" s="1" t="s">
        <v>340</v>
      </c>
      <c r="C967" s="1" t="s">
        <v>328</v>
      </c>
      <c r="D967" s="1" t="s">
        <v>328</v>
      </c>
      <c r="E967" s="1">
        <v>0.75</v>
      </c>
      <c r="F967" s="1" t="s">
        <v>329</v>
      </c>
      <c r="G967" s="1">
        <v>40688</v>
      </c>
      <c r="H967" s="1">
        <v>60688</v>
      </c>
      <c r="I967" s="1">
        <v>18559.899999999991</v>
      </c>
      <c r="J967" s="1">
        <v>1440.100000000006</v>
      </c>
      <c r="K967" s="1">
        <v>59247.899999999987</v>
      </c>
      <c r="L967" s="1">
        <v>107</v>
      </c>
      <c r="M967" s="1">
        <v>129.25862179487169</v>
      </c>
      <c r="N967" s="1">
        <v>8.3023453790160868</v>
      </c>
      <c r="P967" s="7">
        <v>45863</v>
      </c>
      <c r="R967" s="7">
        <v>46228</v>
      </c>
      <c r="S967" s="7">
        <v>46228</v>
      </c>
      <c r="T967" s="7" t="str">
        <f t="shared" si="0"/>
        <v>julio</v>
      </c>
      <c r="X967" s="1" t="s">
        <v>333</v>
      </c>
      <c r="Y967" s="1" t="s">
        <v>334</v>
      </c>
      <c r="Z967" s="1">
        <v>1</v>
      </c>
      <c r="AA967" s="3">
        <v>8513.2800000000007</v>
      </c>
      <c r="AB967" s="3">
        <v>8513.2800000000007</v>
      </c>
      <c r="AC967" s="1" t="str">
        <f>VLOOKUP(A967,[1]Detalle!$D$2:$CW$484,98,FALSE)</f>
        <v>CCUCoAZA</v>
      </c>
    </row>
    <row r="968" spans="1:29" ht="14.25" customHeight="1" x14ac:dyDescent="0.3">
      <c r="A968" s="1" t="s">
        <v>220</v>
      </c>
      <c r="B968" s="1" t="s">
        <v>341</v>
      </c>
      <c r="C968" s="1" t="s">
        <v>328</v>
      </c>
      <c r="D968" s="1" t="s">
        <v>328</v>
      </c>
      <c r="E968" s="1">
        <v>0.75</v>
      </c>
      <c r="F968" s="1" t="s">
        <v>329</v>
      </c>
      <c r="G968" s="1">
        <v>40688</v>
      </c>
      <c r="H968" s="1">
        <v>60688</v>
      </c>
      <c r="I968" s="1">
        <v>18559.899999999991</v>
      </c>
      <c r="J968" s="1">
        <v>1440.100000000006</v>
      </c>
      <c r="K968" s="1">
        <v>59247.899999999987</v>
      </c>
      <c r="L968" s="1">
        <v>107</v>
      </c>
      <c r="M968" s="1">
        <v>129.25862179487169</v>
      </c>
      <c r="N968" s="1">
        <v>8.3023453790160868</v>
      </c>
      <c r="P968" s="7">
        <v>45870</v>
      </c>
      <c r="R968" s="7">
        <v>46235</v>
      </c>
      <c r="S968" s="7">
        <v>46235</v>
      </c>
      <c r="T968" s="7" t="str">
        <f t="shared" si="0"/>
        <v>agosto</v>
      </c>
      <c r="X968" s="1" t="s">
        <v>333</v>
      </c>
      <c r="Y968" s="1" t="s">
        <v>334</v>
      </c>
      <c r="Z968" s="1">
        <v>1</v>
      </c>
      <c r="AA968" s="3">
        <v>8513.2800000000007</v>
      </c>
      <c r="AB968" s="3">
        <v>8513.2800000000007</v>
      </c>
      <c r="AC968" s="1" t="str">
        <f>VLOOKUP(A968,[1]Detalle!$D$2:$CW$484,98,FALSE)</f>
        <v>CMQ_TTE - QUILMES TTE</v>
      </c>
    </row>
    <row r="969" spans="1:29" ht="14.25" customHeight="1" x14ac:dyDescent="0.3">
      <c r="A969" s="1" t="s">
        <v>193</v>
      </c>
      <c r="B969" s="1" t="s">
        <v>340</v>
      </c>
      <c r="C969" s="1" t="s">
        <v>328</v>
      </c>
      <c r="D969" s="1" t="s">
        <v>328</v>
      </c>
      <c r="E969" s="1">
        <v>0.75</v>
      </c>
      <c r="F969" s="1" t="s">
        <v>329</v>
      </c>
      <c r="G969" s="1">
        <v>40688</v>
      </c>
      <c r="H969" s="1">
        <v>60688</v>
      </c>
      <c r="I969" s="1">
        <v>18559.899999999991</v>
      </c>
      <c r="J969" s="1">
        <v>1440.100000000006</v>
      </c>
      <c r="K969" s="1">
        <v>59247.899999999987</v>
      </c>
      <c r="L969" s="1">
        <v>107</v>
      </c>
      <c r="M969" s="1">
        <v>129.25862179487169</v>
      </c>
      <c r="N969" s="1">
        <v>8.3023453790160868</v>
      </c>
      <c r="P969" s="7">
        <v>45880</v>
      </c>
      <c r="R969" s="7">
        <v>46245</v>
      </c>
      <c r="S969" s="7">
        <v>46245</v>
      </c>
      <c r="T969" s="7" t="str">
        <f t="shared" si="0"/>
        <v>agosto</v>
      </c>
      <c r="X969" s="1" t="s">
        <v>333</v>
      </c>
      <c r="Y969" s="1" t="s">
        <v>334</v>
      </c>
      <c r="Z969" s="1">
        <v>1</v>
      </c>
      <c r="AA969" s="3">
        <v>8513.2800000000007</v>
      </c>
      <c r="AB969" s="3">
        <v>8513.2800000000007</v>
      </c>
      <c r="AC969" s="1" t="str">
        <f>VLOOKUP(A969,[1]Detalle!$D$2:$CW$484,98,FALSE)</f>
        <v>CCUCoAZA</v>
      </c>
    </row>
    <row r="970" spans="1:29" ht="14.25" customHeight="1" x14ac:dyDescent="0.3">
      <c r="A970" s="1" t="s">
        <v>155</v>
      </c>
      <c r="B970" s="1">
        <v>1624</v>
      </c>
      <c r="C970" s="1" t="s">
        <v>328</v>
      </c>
      <c r="D970" s="1" t="s">
        <v>328</v>
      </c>
      <c r="E970" s="1">
        <v>0.75</v>
      </c>
      <c r="F970" s="1" t="s">
        <v>329</v>
      </c>
      <c r="G970" s="1">
        <v>40688</v>
      </c>
      <c r="H970" s="1">
        <v>60688</v>
      </c>
      <c r="I970" s="1">
        <v>18559.899999999991</v>
      </c>
      <c r="J970" s="1">
        <v>1440.100000000006</v>
      </c>
      <c r="K970" s="1">
        <v>59247.899999999987</v>
      </c>
      <c r="L970" s="1">
        <v>107</v>
      </c>
      <c r="M970" s="1">
        <v>129.25862179487169</v>
      </c>
      <c r="N970" s="1">
        <v>8.3023453790160868</v>
      </c>
      <c r="P970" s="7">
        <v>45881</v>
      </c>
      <c r="R970" s="7">
        <v>46246</v>
      </c>
      <c r="S970" s="7">
        <v>46246</v>
      </c>
      <c r="T970" s="7" t="str">
        <f t="shared" si="0"/>
        <v>agosto</v>
      </c>
      <c r="X970" s="1" t="s">
        <v>333</v>
      </c>
      <c r="Y970" s="1" t="s">
        <v>334</v>
      </c>
      <c r="Z970" s="1">
        <v>1</v>
      </c>
      <c r="AA970" s="3">
        <v>8513.2800000000007</v>
      </c>
      <c r="AB970" s="3">
        <v>8513.2800000000007</v>
      </c>
      <c r="AC970" s="1" t="str">
        <f>VLOOKUP(A970,[1]Detalle!$D$2:$CW$484,98,FALSE)</f>
        <v>CCUCoAZA</v>
      </c>
    </row>
    <row r="971" spans="1:29" ht="14.25" customHeight="1" x14ac:dyDescent="0.3">
      <c r="A971" s="1" t="s">
        <v>2</v>
      </c>
      <c r="B971" s="1" t="s">
        <v>480</v>
      </c>
      <c r="C971" s="1" t="s">
        <v>396</v>
      </c>
      <c r="D971" s="1" t="s">
        <v>328</v>
      </c>
      <c r="E971" s="1">
        <v>0.75</v>
      </c>
      <c r="F971" s="1" t="s">
        <v>329</v>
      </c>
      <c r="G971" s="1">
        <v>40688</v>
      </c>
      <c r="H971" s="1">
        <v>60688</v>
      </c>
      <c r="I971" s="1">
        <v>18559.899999999991</v>
      </c>
      <c r="J971" s="1">
        <v>1440.100000000006</v>
      </c>
      <c r="K971" s="1">
        <v>59247.899999999987</v>
      </c>
      <c r="L971" s="1">
        <v>107</v>
      </c>
      <c r="M971" s="1">
        <v>129.25862179487169</v>
      </c>
      <c r="N971" s="1">
        <v>8.3023453790160868</v>
      </c>
      <c r="P971" s="7">
        <v>45882</v>
      </c>
      <c r="R971" s="7">
        <v>46247</v>
      </c>
      <c r="S971" s="7">
        <v>46247</v>
      </c>
      <c r="T971" s="7" t="str">
        <f t="shared" si="0"/>
        <v>agosto</v>
      </c>
      <c r="X971" s="1" t="s">
        <v>397</v>
      </c>
      <c r="Y971" s="1" t="s">
        <v>398</v>
      </c>
      <c r="Z971" s="1">
        <v>1</v>
      </c>
      <c r="AA971" s="3">
        <v>9737.2800000000007</v>
      </c>
      <c r="AB971" s="3">
        <v>9737.2800000000007</v>
      </c>
      <c r="AC971" s="1" t="str">
        <f>VLOOKUP(A971,[1]Detalle!$D$2:$CW$484,98,FALSE)</f>
        <v>Unilever - Unilever de Arg. S.A.</v>
      </c>
    </row>
    <row r="972" spans="1:29" ht="14.25" customHeight="1" x14ac:dyDescent="0.3">
      <c r="A972" s="1" t="s">
        <v>129</v>
      </c>
      <c r="B972" s="1">
        <v>1620</v>
      </c>
      <c r="C972" s="1" t="s">
        <v>328</v>
      </c>
      <c r="D972" s="1" t="s">
        <v>328</v>
      </c>
      <c r="E972" s="1">
        <v>0.75</v>
      </c>
      <c r="F972" s="1" t="s">
        <v>329</v>
      </c>
      <c r="G972" s="1">
        <v>40688</v>
      </c>
      <c r="H972" s="1">
        <v>60688</v>
      </c>
      <c r="I972" s="1">
        <v>18559.899999999991</v>
      </c>
      <c r="J972" s="1">
        <v>1440.100000000006</v>
      </c>
      <c r="K972" s="1">
        <v>59247.899999999987</v>
      </c>
      <c r="L972" s="1">
        <v>107</v>
      </c>
      <c r="M972" s="1">
        <v>129.25862179487169</v>
      </c>
      <c r="N972" s="1">
        <v>8.3023453790160868</v>
      </c>
      <c r="P972" s="7">
        <v>45882</v>
      </c>
      <c r="R972" s="7">
        <v>46247</v>
      </c>
      <c r="S972" s="7">
        <v>46247</v>
      </c>
      <c r="T972" s="7" t="str">
        <f t="shared" si="0"/>
        <v>agosto</v>
      </c>
      <c r="X972" s="1" t="s">
        <v>333</v>
      </c>
      <c r="Y972" s="1" t="s">
        <v>334</v>
      </c>
      <c r="Z972" s="1">
        <v>1</v>
      </c>
      <c r="AA972" s="3">
        <v>8513.2800000000007</v>
      </c>
      <c r="AB972" s="3">
        <v>8513.2800000000007</v>
      </c>
      <c r="AC972" s="1" t="str">
        <f>VLOOKUP(A972,[1]Detalle!$D$2:$CW$484,98,FALSE)</f>
        <v>Alfavinil SA</v>
      </c>
    </row>
    <row r="973" spans="1:29" ht="14.25" customHeight="1" x14ac:dyDescent="0.3">
      <c r="A973" s="1" t="s">
        <v>151</v>
      </c>
      <c r="B973" s="1" t="s">
        <v>351</v>
      </c>
      <c r="C973" s="1" t="s">
        <v>328</v>
      </c>
      <c r="D973" s="1" t="s">
        <v>328</v>
      </c>
      <c r="E973" s="1">
        <v>0.75</v>
      </c>
      <c r="F973" s="1" t="s">
        <v>329</v>
      </c>
      <c r="G973" s="1">
        <v>40688</v>
      </c>
      <c r="H973" s="1">
        <v>60688</v>
      </c>
      <c r="I973" s="1">
        <v>18559.899999999991</v>
      </c>
      <c r="J973" s="1">
        <v>1440.100000000006</v>
      </c>
      <c r="K973" s="1">
        <v>59247.899999999987</v>
      </c>
      <c r="L973" s="1">
        <v>107</v>
      </c>
      <c r="M973" s="1">
        <v>129.25862179487169</v>
      </c>
      <c r="N973" s="1">
        <v>8.3023453790160868</v>
      </c>
      <c r="P973" s="7">
        <v>45882</v>
      </c>
      <c r="R973" s="7">
        <v>46247</v>
      </c>
      <c r="S973" s="7">
        <v>46247</v>
      </c>
      <c r="T973" s="7" t="str">
        <f t="shared" si="0"/>
        <v>agosto</v>
      </c>
      <c r="X973" s="1" t="s">
        <v>333</v>
      </c>
      <c r="Y973" s="1" t="s">
        <v>334</v>
      </c>
      <c r="Z973" s="1">
        <v>1</v>
      </c>
      <c r="AA973" s="3">
        <v>8513.2800000000007</v>
      </c>
      <c r="AB973" s="3">
        <v>8513.2800000000007</v>
      </c>
      <c r="AC973" s="1" t="str">
        <f>VLOOKUP(A973,[1]Detalle!$D$2:$CW$484,98,FALSE)</f>
        <v>CCUCoAZA</v>
      </c>
    </row>
    <row r="974" spans="1:29" ht="14.25" customHeight="1" x14ac:dyDescent="0.3">
      <c r="A974" s="1" t="s">
        <v>195</v>
      </c>
      <c r="B974" s="1" t="s">
        <v>340</v>
      </c>
      <c r="C974" s="1" t="s">
        <v>328</v>
      </c>
      <c r="D974" s="1" t="s">
        <v>328</v>
      </c>
      <c r="E974" s="1">
        <v>0.75</v>
      </c>
      <c r="F974" s="1" t="s">
        <v>329</v>
      </c>
      <c r="G974" s="1">
        <v>40688</v>
      </c>
      <c r="H974" s="1">
        <v>60688</v>
      </c>
      <c r="I974" s="1">
        <v>18559.899999999991</v>
      </c>
      <c r="J974" s="1">
        <v>1440.100000000006</v>
      </c>
      <c r="K974" s="1">
        <v>59247.899999999987</v>
      </c>
      <c r="L974" s="1">
        <v>107</v>
      </c>
      <c r="M974" s="1">
        <v>129.25862179487169</v>
      </c>
      <c r="N974" s="1">
        <v>8.3023453790160868</v>
      </c>
      <c r="P974" s="7">
        <v>45884</v>
      </c>
      <c r="R974" s="7">
        <v>46249</v>
      </c>
      <c r="S974" s="7">
        <v>46249</v>
      </c>
      <c r="T974" s="7" t="str">
        <f t="shared" si="0"/>
        <v>agosto</v>
      </c>
      <c r="X974" s="1" t="s">
        <v>333</v>
      </c>
      <c r="Y974" s="1" t="s">
        <v>334</v>
      </c>
      <c r="Z974" s="1">
        <v>1</v>
      </c>
      <c r="AA974" s="3">
        <v>8513.2800000000007</v>
      </c>
      <c r="AB974" s="3">
        <v>8513.2800000000007</v>
      </c>
      <c r="AC974" s="1" t="str">
        <f>VLOOKUP(A974,[1]Detalle!$D$2:$CW$484,98,FALSE)</f>
        <v>CCUCoAZA</v>
      </c>
    </row>
    <row r="975" spans="1:29" ht="14.25" customHeight="1" x14ac:dyDescent="0.3">
      <c r="A975" s="1" t="s">
        <v>63</v>
      </c>
      <c r="B975" s="1" t="s">
        <v>352</v>
      </c>
      <c r="C975" s="1" t="s">
        <v>396</v>
      </c>
      <c r="D975" s="1" t="s">
        <v>328</v>
      </c>
      <c r="E975" s="1">
        <v>0.75</v>
      </c>
      <c r="F975" s="1" t="s">
        <v>329</v>
      </c>
      <c r="G975" s="1">
        <v>40688</v>
      </c>
      <c r="H975" s="1">
        <v>60688</v>
      </c>
      <c r="I975" s="1">
        <v>18559.899999999991</v>
      </c>
      <c r="J975" s="1">
        <v>1440.100000000006</v>
      </c>
      <c r="K975" s="1">
        <v>59247.899999999987</v>
      </c>
      <c r="L975" s="1">
        <v>107</v>
      </c>
      <c r="M975" s="1">
        <v>129.25862179487169</v>
      </c>
      <c r="N975" s="1">
        <v>8.3023453790160868</v>
      </c>
      <c r="P975" s="7">
        <v>45887</v>
      </c>
      <c r="R975" s="7">
        <v>46252</v>
      </c>
      <c r="S975" s="7">
        <v>46252</v>
      </c>
      <c r="T975" s="7" t="str">
        <f t="shared" si="0"/>
        <v>agosto</v>
      </c>
      <c r="X975" s="1" t="s">
        <v>397</v>
      </c>
      <c r="Y975" s="1" t="s">
        <v>398</v>
      </c>
      <c r="Z975" s="1">
        <v>1</v>
      </c>
      <c r="AA975" s="3">
        <v>9737.2800000000007</v>
      </c>
      <c r="AB975" s="3">
        <v>9737.2800000000007</v>
      </c>
      <c r="AC975" s="1" t="str">
        <f>VLOOKUP(A975,[1]Detalle!$D$2:$CW$484,98,FALSE)</f>
        <v>CMQ_TTE - QUILMES TTE</v>
      </c>
    </row>
    <row r="976" spans="1:29" ht="14.25" customHeight="1" x14ac:dyDescent="0.3">
      <c r="A976" s="1" t="s">
        <v>68</v>
      </c>
      <c r="B976" s="1" t="s">
        <v>352</v>
      </c>
      <c r="C976" s="1" t="s">
        <v>396</v>
      </c>
      <c r="D976" s="1" t="s">
        <v>328</v>
      </c>
      <c r="E976" s="1">
        <v>0.75</v>
      </c>
      <c r="F976" s="1" t="s">
        <v>329</v>
      </c>
      <c r="G976" s="1">
        <v>40688</v>
      </c>
      <c r="H976" s="1">
        <v>60688</v>
      </c>
      <c r="I976" s="1">
        <v>18559.899999999991</v>
      </c>
      <c r="J976" s="1">
        <v>1440.100000000006</v>
      </c>
      <c r="K976" s="1">
        <v>59247.899999999987</v>
      </c>
      <c r="L976" s="1">
        <v>107</v>
      </c>
      <c r="M976" s="1">
        <v>129.25862179487169</v>
      </c>
      <c r="N976" s="1">
        <v>8.3023453790160868</v>
      </c>
      <c r="P976" s="7">
        <v>45887</v>
      </c>
      <c r="R976" s="7">
        <v>46252</v>
      </c>
      <c r="S976" s="7">
        <v>46252</v>
      </c>
      <c r="T976" s="7" t="str">
        <f t="shared" si="0"/>
        <v>agosto</v>
      </c>
      <c r="X976" s="1" t="s">
        <v>397</v>
      </c>
      <c r="Y976" s="1" t="s">
        <v>398</v>
      </c>
      <c r="Z976" s="1">
        <v>1</v>
      </c>
      <c r="AA976" s="3">
        <v>9737.2800000000007</v>
      </c>
      <c r="AB976" s="3">
        <v>9737.2800000000007</v>
      </c>
      <c r="AC976" s="1" t="str">
        <f>VLOOKUP(A976,[1]Detalle!$D$2:$CW$484,98,FALSE)</f>
        <v>CMQ_TTE - QUILMES TTE</v>
      </c>
    </row>
    <row r="977" spans="1:29" ht="14.25" customHeight="1" x14ac:dyDescent="0.3">
      <c r="A977" s="1" t="s">
        <v>23</v>
      </c>
      <c r="B977" s="1" t="s">
        <v>408</v>
      </c>
      <c r="C977" s="1" t="s">
        <v>400</v>
      </c>
      <c r="D977" s="1" t="s">
        <v>328</v>
      </c>
      <c r="E977" s="1">
        <v>0.75</v>
      </c>
      <c r="F977" s="1" t="s">
        <v>329</v>
      </c>
      <c r="G977" s="1">
        <v>40688</v>
      </c>
      <c r="H977" s="1">
        <v>60688</v>
      </c>
      <c r="I977" s="1">
        <v>18559.899999999991</v>
      </c>
      <c r="J977" s="1">
        <v>1440.100000000006</v>
      </c>
      <c r="K977" s="1">
        <v>59247.899999999987</v>
      </c>
      <c r="L977" s="1">
        <v>107</v>
      </c>
      <c r="M977" s="1">
        <v>129.25862179487169</v>
      </c>
      <c r="N977" s="1">
        <v>8.3023453790160868</v>
      </c>
      <c r="P977" s="7">
        <v>45890</v>
      </c>
      <c r="R977" s="7">
        <v>46255</v>
      </c>
      <c r="S977" s="7">
        <v>46255</v>
      </c>
      <c r="T977" s="7" t="str">
        <f t="shared" si="0"/>
        <v>agosto</v>
      </c>
      <c r="X977" s="1" t="s">
        <v>401</v>
      </c>
      <c r="Y977" s="1" t="s">
        <v>402</v>
      </c>
      <c r="Z977" s="1">
        <v>1</v>
      </c>
      <c r="AA977" s="3">
        <v>21189.599999999999</v>
      </c>
      <c r="AB977" s="3">
        <v>21189.599999999999</v>
      </c>
      <c r="AC977" s="1" t="str">
        <f>VLOOKUP(A977,[1]Detalle!$D$2:$CW$484,98,FALSE)</f>
        <v>CMQ_TTE - QUILMES TTE</v>
      </c>
    </row>
    <row r="978" spans="1:29" ht="14.25" customHeight="1" x14ac:dyDescent="0.3">
      <c r="A978" s="1" t="s">
        <v>67</v>
      </c>
      <c r="B978" s="1" t="s">
        <v>404</v>
      </c>
      <c r="C978" s="1" t="s">
        <v>400</v>
      </c>
      <c r="D978" s="1" t="s">
        <v>328</v>
      </c>
      <c r="E978" s="1">
        <v>0.75</v>
      </c>
      <c r="F978" s="1" t="s">
        <v>329</v>
      </c>
      <c r="G978" s="1">
        <v>40688</v>
      </c>
      <c r="H978" s="1">
        <v>60688</v>
      </c>
      <c r="I978" s="1">
        <v>18559.899999999991</v>
      </c>
      <c r="J978" s="1">
        <v>1440.100000000006</v>
      </c>
      <c r="K978" s="1">
        <v>59247.899999999987</v>
      </c>
      <c r="L978" s="1">
        <v>107</v>
      </c>
      <c r="M978" s="1">
        <v>129.25862179487169</v>
      </c>
      <c r="N978" s="1">
        <v>8.3023453790160868</v>
      </c>
      <c r="P978" s="7">
        <v>45891</v>
      </c>
      <c r="R978" s="7">
        <v>46256</v>
      </c>
      <c r="S978" s="7">
        <v>46256</v>
      </c>
      <c r="T978" s="7" t="str">
        <f t="shared" si="0"/>
        <v>agosto</v>
      </c>
      <c r="X978" s="1" t="s">
        <v>401</v>
      </c>
      <c r="Y978" s="1" t="s">
        <v>402</v>
      </c>
      <c r="Z978" s="1">
        <v>1</v>
      </c>
      <c r="AA978" s="3">
        <v>21189.599999999999</v>
      </c>
      <c r="AB978" s="3">
        <v>21189.599999999999</v>
      </c>
      <c r="AC978" s="1" t="str">
        <f>VLOOKUP(A978,[1]Detalle!$D$2:$CW$484,98,FALSE)</f>
        <v>CMQ_TTE - QUILMES TTE</v>
      </c>
    </row>
    <row r="979" spans="1:29" ht="14.25" customHeight="1" x14ac:dyDescent="0.3">
      <c r="A979" s="1" t="s">
        <v>59</v>
      </c>
      <c r="B979" s="1" t="s">
        <v>478</v>
      </c>
      <c r="C979" s="1" t="s">
        <v>400</v>
      </c>
      <c r="D979" s="1" t="s">
        <v>328</v>
      </c>
      <c r="E979" s="1">
        <v>0.75</v>
      </c>
      <c r="F979" s="1" t="s">
        <v>329</v>
      </c>
      <c r="G979" s="1">
        <v>40688</v>
      </c>
      <c r="H979" s="1">
        <v>60688</v>
      </c>
      <c r="I979" s="1">
        <v>18559.899999999991</v>
      </c>
      <c r="J979" s="1">
        <v>1440.100000000006</v>
      </c>
      <c r="K979" s="1">
        <v>59247.899999999987</v>
      </c>
      <c r="L979" s="1">
        <v>107</v>
      </c>
      <c r="M979" s="1">
        <v>129.25862179487169</v>
      </c>
      <c r="N979" s="1">
        <v>8.3023453790160868</v>
      </c>
      <c r="P979" s="7">
        <v>45895</v>
      </c>
      <c r="R979" s="7">
        <v>46260</v>
      </c>
      <c r="S979" s="7">
        <v>46260</v>
      </c>
      <c r="T979" s="7" t="str">
        <f t="shared" si="0"/>
        <v>agosto</v>
      </c>
      <c r="X979" s="1" t="s">
        <v>401</v>
      </c>
      <c r="Y979" s="1" t="s">
        <v>402</v>
      </c>
      <c r="Z979" s="1">
        <v>1</v>
      </c>
      <c r="AA979" s="3">
        <v>21189.599999999999</v>
      </c>
      <c r="AB979" s="3">
        <v>21189.599999999999</v>
      </c>
      <c r="AC979" s="1" t="str">
        <f>VLOOKUP(A979,[1]Detalle!$D$2:$CW$484,98,FALSE)</f>
        <v>CMQ_TTE - QUILMES TTE</v>
      </c>
    </row>
    <row r="980" spans="1:29" ht="14.25" customHeight="1" x14ac:dyDescent="0.3">
      <c r="A980" s="1" t="s">
        <v>150</v>
      </c>
      <c r="B980" s="1" t="s">
        <v>351</v>
      </c>
      <c r="C980" s="1" t="s">
        <v>328</v>
      </c>
      <c r="D980" s="1" t="s">
        <v>328</v>
      </c>
      <c r="E980" s="1">
        <v>0.75</v>
      </c>
      <c r="F980" s="1" t="s">
        <v>329</v>
      </c>
      <c r="G980" s="1">
        <v>40688</v>
      </c>
      <c r="H980" s="1">
        <v>60688</v>
      </c>
      <c r="I980" s="1">
        <v>18559.899999999991</v>
      </c>
      <c r="J980" s="1">
        <v>1440.100000000006</v>
      </c>
      <c r="K980" s="1">
        <v>59247.899999999987</v>
      </c>
      <c r="L980" s="1">
        <v>107</v>
      </c>
      <c r="M980" s="1">
        <v>129.25862179487169</v>
      </c>
      <c r="N980" s="1">
        <v>8.3023453790160868</v>
      </c>
      <c r="P980" s="7">
        <v>45905</v>
      </c>
      <c r="R980" s="7">
        <v>46270</v>
      </c>
      <c r="S980" s="7">
        <v>46270</v>
      </c>
      <c r="T980" s="7" t="str">
        <f t="shared" si="0"/>
        <v>septiembre</v>
      </c>
      <c r="X980" s="1" t="s">
        <v>333</v>
      </c>
      <c r="Y980" s="1" t="s">
        <v>334</v>
      </c>
      <c r="Z980" s="1">
        <v>1</v>
      </c>
      <c r="AA980" s="3">
        <v>8513.2800000000007</v>
      </c>
      <c r="AB980" s="3">
        <v>8513.2800000000007</v>
      </c>
      <c r="AC980" s="1" t="str">
        <f>VLOOKUP(A980,[1]Detalle!$D$2:$CW$484,98,FALSE)</f>
        <v>Papelera - Papelera del Plata S.A.</v>
      </c>
    </row>
    <row r="981" spans="1:29" ht="14.25" customHeight="1" x14ac:dyDescent="0.3">
      <c r="A981" s="1" t="s">
        <v>16</v>
      </c>
      <c r="B981" s="1" t="s">
        <v>352</v>
      </c>
      <c r="C981" s="1" t="s">
        <v>396</v>
      </c>
      <c r="D981" s="1" t="s">
        <v>328</v>
      </c>
      <c r="E981" s="1">
        <v>0.75</v>
      </c>
      <c r="F981" s="1" t="s">
        <v>329</v>
      </c>
      <c r="G981" s="1">
        <v>40688</v>
      </c>
      <c r="H981" s="1">
        <v>60688</v>
      </c>
      <c r="I981" s="1">
        <v>18559.899999999991</v>
      </c>
      <c r="J981" s="1">
        <v>1440.100000000006</v>
      </c>
      <c r="K981" s="1">
        <v>59247.899999999987</v>
      </c>
      <c r="L981" s="1">
        <v>107</v>
      </c>
      <c r="M981" s="1">
        <v>129.25862179487169</v>
      </c>
      <c r="N981" s="1">
        <v>8.3023453790160868</v>
      </c>
      <c r="P981" s="7">
        <v>45912</v>
      </c>
      <c r="R981" s="7">
        <v>46277</v>
      </c>
      <c r="S981" s="7">
        <v>46277</v>
      </c>
      <c r="T981" s="7" t="str">
        <f t="shared" si="0"/>
        <v>septiembre</v>
      </c>
      <c r="X981" s="1" t="s">
        <v>397</v>
      </c>
      <c r="Y981" s="1" t="s">
        <v>398</v>
      </c>
      <c r="Z981" s="1">
        <v>1</v>
      </c>
      <c r="AA981" s="3">
        <v>9737.2800000000007</v>
      </c>
      <c r="AB981" s="3">
        <v>9737.2800000000007</v>
      </c>
      <c r="AC981" s="1" t="str">
        <f>VLOOKUP(A981,[1]Detalle!$D$2:$CW$484,98,FALSE)</f>
        <v>CMQ_TTE - QUILMES TTE</v>
      </c>
    </row>
    <row r="982" spans="1:29" ht="14.25" customHeight="1" x14ac:dyDescent="0.3">
      <c r="A982" s="1" t="s">
        <v>84</v>
      </c>
      <c r="B982" s="1" t="s">
        <v>481</v>
      </c>
      <c r="C982" s="1" t="s">
        <v>400</v>
      </c>
      <c r="D982" s="1" t="s">
        <v>328</v>
      </c>
      <c r="E982" s="1">
        <v>0.75</v>
      </c>
      <c r="F982" s="1" t="s">
        <v>329</v>
      </c>
      <c r="G982" s="1">
        <v>40688</v>
      </c>
      <c r="H982" s="1">
        <v>60688</v>
      </c>
      <c r="I982" s="1">
        <v>18559.899999999991</v>
      </c>
      <c r="J982" s="1">
        <v>1440.100000000006</v>
      </c>
      <c r="K982" s="1">
        <v>59247.899999999987</v>
      </c>
      <c r="L982" s="1">
        <v>107</v>
      </c>
      <c r="M982" s="1">
        <v>129.25862179487169</v>
      </c>
      <c r="N982" s="1">
        <v>8.3023453790160868</v>
      </c>
      <c r="P982" s="7">
        <v>45917</v>
      </c>
      <c r="R982" s="7">
        <v>46282</v>
      </c>
      <c r="S982" s="7">
        <v>46282</v>
      </c>
      <c r="T982" s="7" t="str">
        <f t="shared" si="0"/>
        <v>septiembre</v>
      </c>
      <c r="X982" s="1" t="s">
        <v>401</v>
      </c>
      <c r="Y982" s="1" t="s">
        <v>402</v>
      </c>
      <c r="Z982" s="1">
        <v>1</v>
      </c>
      <c r="AA982" s="3">
        <v>21189.599999999999</v>
      </c>
      <c r="AB982" s="3">
        <v>21189.599999999999</v>
      </c>
      <c r="AC982" s="1" t="str">
        <f>VLOOKUP(A982,[1]Detalle!$D$2:$CW$484,98,FALSE)</f>
        <v>CMQ_TTE - QUILMES TTE</v>
      </c>
    </row>
    <row r="983" spans="1:29" ht="14.25" customHeight="1" x14ac:dyDescent="0.3">
      <c r="A983" s="1" t="s">
        <v>92</v>
      </c>
      <c r="B983" s="1" t="s">
        <v>409</v>
      </c>
      <c r="C983" s="1" t="s">
        <v>400</v>
      </c>
      <c r="D983" s="1" t="s">
        <v>328</v>
      </c>
      <c r="E983" s="1">
        <v>0.75</v>
      </c>
      <c r="F983" s="1" t="s">
        <v>329</v>
      </c>
      <c r="G983" s="1">
        <v>40688</v>
      </c>
      <c r="H983" s="1">
        <v>60688</v>
      </c>
      <c r="I983" s="1">
        <v>18559.899999999991</v>
      </c>
      <c r="J983" s="1">
        <v>1440.100000000006</v>
      </c>
      <c r="K983" s="1">
        <v>59247.899999999987</v>
      </c>
      <c r="L983" s="1">
        <v>107</v>
      </c>
      <c r="M983" s="1">
        <v>129.25862179487169</v>
      </c>
      <c r="N983" s="1">
        <v>8.3023453790160868</v>
      </c>
      <c r="P983" s="7">
        <v>45918</v>
      </c>
      <c r="R983" s="7">
        <v>46283</v>
      </c>
      <c r="S983" s="7">
        <v>46283</v>
      </c>
      <c r="T983" s="7" t="str">
        <f t="shared" si="0"/>
        <v>septiembre</v>
      </c>
      <c r="X983" s="1" t="s">
        <v>401</v>
      </c>
      <c r="Y983" s="1" t="s">
        <v>402</v>
      </c>
      <c r="Z983" s="1">
        <v>1</v>
      </c>
      <c r="AA983" s="3">
        <v>21189.599999999999</v>
      </c>
      <c r="AB983" s="3">
        <v>21189.599999999999</v>
      </c>
      <c r="AC983" s="1" t="str">
        <f>VLOOKUP(A983,[1]Detalle!$D$2:$CW$484,98,FALSE)</f>
        <v>Unilever - Unilever de Arg. S.A.</v>
      </c>
    </row>
    <row r="984" spans="1:29" ht="14.25" customHeight="1" x14ac:dyDescent="0.3">
      <c r="A984" s="1" t="s">
        <v>91</v>
      </c>
      <c r="B984" s="1" t="s">
        <v>409</v>
      </c>
      <c r="C984" s="1" t="s">
        <v>400</v>
      </c>
      <c r="D984" s="1" t="s">
        <v>328</v>
      </c>
      <c r="E984" s="1">
        <v>0.75</v>
      </c>
      <c r="F984" s="1" t="s">
        <v>329</v>
      </c>
      <c r="G984" s="1">
        <v>40688</v>
      </c>
      <c r="H984" s="1">
        <v>60688</v>
      </c>
      <c r="I984" s="1">
        <v>18559.899999999991</v>
      </c>
      <c r="J984" s="1">
        <v>1440.100000000006</v>
      </c>
      <c r="K984" s="1">
        <v>59247.899999999987</v>
      </c>
      <c r="L984" s="1">
        <v>107</v>
      </c>
      <c r="M984" s="1">
        <v>129.25862179487169</v>
      </c>
      <c r="N984" s="1">
        <v>8.3023453790160868</v>
      </c>
      <c r="P984" s="7">
        <v>45922</v>
      </c>
      <c r="R984" s="7">
        <v>46287</v>
      </c>
      <c r="S984" s="7">
        <v>46287</v>
      </c>
      <c r="T984" s="7" t="str">
        <f t="shared" si="0"/>
        <v>septiembre</v>
      </c>
      <c r="X984" s="1" t="s">
        <v>401</v>
      </c>
      <c r="Y984" s="1" t="s">
        <v>402</v>
      </c>
      <c r="Z984" s="1">
        <v>1</v>
      </c>
      <c r="AA984" s="3">
        <v>21189.599999999999</v>
      </c>
      <c r="AB984" s="3">
        <v>21189.599999999999</v>
      </c>
      <c r="AC984" s="1" t="str">
        <f>VLOOKUP(A984,[1]Detalle!$D$2:$CW$484,98,FALSE)</f>
        <v>Unilever - Unilever de Arg. S.A.</v>
      </c>
    </row>
    <row r="985" spans="1:29" ht="14.25" customHeight="1" x14ac:dyDescent="0.3">
      <c r="A985" s="1" t="s">
        <v>79</v>
      </c>
      <c r="B985" s="1" t="s">
        <v>352</v>
      </c>
      <c r="C985" s="1" t="s">
        <v>396</v>
      </c>
      <c r="D985" s="1" t="s">
        <v>328</v>
      </c>
      <c r="E985" s="1">
        <v>0.75</v>
      </c>
      <c r="F985" s="1" t="s">
        <v>329</v>
      </c>
      <c r="G985" s="1">
        <v>40688</v>
      </c>
      <c r="H985" s="1">
        <v>60688</v>
      </c>
      <c r="I985" s="1">
        <v>18559.899999999991</v>
      </c>
      <c r="J985" s="1">
        <v>1440.100000000006</v>
      </c>
      <c r="K985" s="1">
        <v>59247.899999999987</v>
      </c>
      <c r="L985" s="1">
        <v>107</v>
      </c>
      <c r="M985" s="1">
        <v>129.25862179487169</v>
      </c>
      <c r="N985" s="1">
        <v>8.3023453790160868</v>
      </c>
      <c r="P985" s="7">
        <v>45922</v>
      </c>
      <c r="R985" s="7">
        <v>46287</v>
      </c>
      <c r="S985" s="7">
        <v>46287</v>
      </c>
      <c r="T985" s="7" t="str">
        <f t="shared" si="0"/>
        <v>septiembre</v>
      </c>
      <c r="X985" s="1" t="s">
        <v>397</v>
      </c>
      <c r="Y985" s="1" t="s">
        <v>398</v>
      </c>
      <c r="Z985" s="1">
        <v>1</v>
      </c>
      <c r="AA985" s="3">
        <v>9737.2800000000007</v>
      </c>
      <c r="AB985" s="3">
        <v>9737.2800000000007</v>
      </c>
      <c r="AC985" s="1" t="str">
        <f>VLOOKUP(A985,[1]Detalle!$D$2:$CW$484,98,FALSE)</f>
        <v>Papelera - Papelera del Plata S.A.</v>
      </c>
    </row>
    <row r="986" spans="1:29" ht="14.25" customHeight="1" x14ac:dyDescent="0.3">
      <c r="A986" s="1" t="s">
        <v>240</v>
      </c>
      <c r="B986" s="1" t="s">
        <v>341</v>
      </c>
      <c r="C986" s="1" t="s">
        <v>328</v>
      </c>
      <c r="D986" s="1" t="s">
        <v>328</v>
      </c>
      <c r="E986" s="1">
        <v>0.75</v>
      </c>
      <c r="F986" s="1" t="s">
        <v>329</v>
      </c>
      <c r="G986" s="1">
        <v>40688</v>
      </c>
      <c r="H986" s="1">
        <v>60688</v>
      </c>
      <c r="I986" s="1">
        <v>18559.899999999991</v>
      </c>
      <c r="J986" s="1">
        <v>1440.100000000006</v>
      </c>
      <c r="K986" s="1">
        <v>59247.899999999987</v>
      </c>
      <c r="L986" s="1">
        <v>107</v>
      </c>
      <c r="M986" s="1">
        <v>129.25862179487169</v>
      </c>
      <c r="N986" s="1">
        <v>8.3023453790160868</v>
      </c>
      <c r="P986" s="7">
        <v>45923</v>
      </c>
      <c r="R986" s="7">
        <v>46288</v>
      </c>
      <c r="S986" s="7">
        <v>46288</v>
      </c>
      <c r="T986" s="7" t="str">
        <f t="shared" si="0"/>
        <v>septiembre</v>
      </c>
      <c r="X986" s="1" t="s">
        <v>333</v>
      </c>
      <c r="Y986" s="1" t="s">
        <v>334</v>
      </c>
      <c r="Z986" s="1">
        <v>1</v>
      </c>
      <c r="AA986" s="3">
        <v>8513.2800000000007</v>
      </c>
      <c r="AB986" s="3">
        <v>8513.2800000000007</v>
      </c>
      <c r="AC986" s="1" t="str">
        <f>VLOOKUP(A986,[1]Detalle!$D$2:$CW$484,98,FALSE)</f>
        <v>Papelera - Papelera del Plata S.A.</v>
      </c>
    </row>
    <row r="987" spans="1:29" ht="14.25" customHeight="1" x14ac:dyDescent="0.3">
      <c r="A987" s="1" t="s">
        <v>83</v>
      </c>
      <c r="B987" s="1" t="s">
        <v>482</v>
      </c>
      <c r="C987" s="1" t="s">
        <v>400</v>
      </c>
      <c r="D987" s="1" t="s">
        <v>328</v>
      </c>
      <c r="E987" s="1">
        <v>0.75</v>
      </c>
      <c r="F987" s="1" t="s">
        <v>329</v>
      </c>
      <c r="G987" s="1">
        <v>40688</v>
      </c>
      <c r="H987" s="1">
        <v>60688</v>
      </c>
      <c r="I987" s="1">
        <v>18559.899999999991</v>
      </c>
      <c r="J987" s="1">
        <v>1440.100000000006</v>
      </c>
      <c r="K987" s="1">
        <v>59247.899999999987</v>
      </c>
      <c r="L987" s="1">
        <v>107</v>
      </c>
      <c r="M987" s="1">
        <v>129.25862179487169</v>
      </c>
      <c r="N987" s="1">
        <v>8.3023453790160868</v>
      </c>
      <c r="P987" s="7">
        <v>45923</v>
      </c>
      <c r="R987" s="7">
        <v>46288</v>
      </c>
      <c r="S987" s="7">
        <v>46288</v>
      </c>
      <c r="T987" s="7" t="str">
        <f t="shared" si="0"/>
        <v>septiembre</v>
      </c>
      <c r="X987" s="1" t="s">
        <v>401</v>
      </c>
      <c r="Y987" s="1" t="s">
        <v>402</v>
      </c>
      <c r="Z987" s="1">
        <v>1</v>
      </c>
      <c r="AA987" s="3">
        <v>21189.599999999999</v>
      </c>
      <c r="AB987" s="3">
        <v>21189.599999999999</v>
      </c>
      <c r="AC987" s="1" t="str">
        <f>VLOOKUP(A987,[1]Detalle!$D$2:$CW$484,98,FALSE)</f>
        <v>CMQ_TTE - QUILMES TTE</v>
      </c>
    </row>
    <row r="988" spans="1:29" ht="14.25" customHeight="1" x14ac:dyDescent="0.3">
      <c r="A988" s="1" t="s">
        <v>246</v>
      </c>
      <c r="B988" s="1" t="s">
        <v>341</v>
      </c>
      <c r="C988" s="1" t="s">
        <v>328</v>
      </c>
      <c r="D988" s="1" t="s">
        <v>328</v>
      </c>
      <c r="E988" s="1">
        <v>0.75</v>
      </c>
      <c r="F988" s="1" t="s">
        <v>329</v>
      </c>
      <c r="G988" s="1">
        <v>40688</v>
      </c>
      <c r="H988" s="1">
        <v>60688</v>
      </c>
      <c r="I988" s="1">
        <v>18559.899999999991</v>
      </c>
      <c r="J988" s="1">
        <v>1440.100000000006</v>
      </c>
      <c r="K988" s="1">
        <v>59247.899999999987</v>
      </c>
      <c r="L988" s="1">
        <v>107</v>
      </c>
      <c r="M988" s="1">
        <v>129.25862179487169</v>
      </c>
      <c r="N988" s="1">
        <v>8.3023453790160868</v>
      </c>
      <c r="P988" s="7">
        <v>45924</v>
      </c>
      <c r="R988" s="7">
        <v>46289</v>
      </c>
      <c r="S988" s="7">
        <v>46289</v>
      </c>
      <c r="T988" s="7" t="str">
        <f t="shared" si="0"/>
        <v>septiembre</v>
      </c>
      <c r="X988" s="1" t="s">
        <v>333</v>
      </c>
      <c r="Y988" s="1" t="s">
        <v>334</v>
      </c>
      <c r="Z988" s="1">
        <v>1</v>
      </c>
      <c r="AA988" s="3">
        <v>8513.2800000000007</v>
      </c>
      <c r="AB988" s="3">
        <v>8513.2800000000007</v>
      </c>
      <c r="AC988" s="1" t="str">
        <f>VLOOKUP(A988,[1]Detalle!$D$2:$CW$484,98,FALSE)</f>
        <v>Papelera - Papelera del Plata S.A.</v>
      </c>
    </row>
    <row r="989" spans="1:29" ht="14.25" customHeight="1" x14ac:dyDescent="0.3">
      <c r="A989" s="1" t="s">
        <v>69</v>
      </c>
      <c r="B989" s="1" t="s">
        <v>352</v>
      </c>
      <c r="C989" s="1" t="s">
        <v>396</v>
      </c>
      <c r="D989" s="1" t="s">
        <v>328</v>
      </c>
      <c r="E989" s="1">
        <v>0.75</v>
      </c>
      <c r="F989" s="1" t="s">
        <v>329</v>
      </c>
      <c r="G989" s="1">
        <v>40688</v>
      </c>
      <c r="H989" s="1">
        <v>60688</v>
      </c>
      <c r="I989" s="1">
        <v>18559.899999999991</v>
      </c>
      <c r="J989" s="1">
        <v>1440.100000000006</v>
      </c>
      <c r="K989" s="1">
        <v>59247.899999999987</v>
      </c>
      <c r="L989" s="1">
        <v>107</v>
      </c>
      <c r="M989" s="1">
        <v>129.25862179487169</v>
      </c>
      <c r="N989" s="1">
        <v>8.3023453790160868</v>
      </c>
      <c r="P989" s="7">
        <v>45931</v>
      </c>
      <c r="R989" s="7">
        <v>46296</v>
      </c>
      <c r="S989" s="7">
        <v>46296</v>
      </c>
      <c r="T989" s="7" t="str">
        <f t="shared" si="0"/>
        <v>octubre</v>
      </c>
      <c r="X989" s="1" t="s">
        <v>397</v>
      </c>
      <c r="Y989" s="1" t="s">
        <v>398</v>
      </c>
      <c r="Z989" s="1">
        <v>1</v>
      </c>
      <c r="AA989" s="3">
        <v>9737.2800000000007</v>
      </c>
      <c r="AB989" s="3">
        <v>9737.2800000000007</v>
      </c>
      <c r="AC989" s="1" t="str">
        <f>VLOOKUP(A989,[1]Detalle!$D$2:$CW$484,98,FALSE)</f>
        <v>CMQ_TTE - QUILMES TTE</v>
      </c>
    </row>
    <row r="990" spans="1:29" ht="14.25" customHeight="1" x14ac:dyDescent="0.3">
      <c r="A990" s="1" t="s">
        <v>199</v>
      </c>
      <c r="B990" s="1" t="s">
        <v>340</v>
      </c>
      <c r="C990" s="1" t="s">
        <v>328</v>
      </c>
      <c r="D990" s="1" t="s">
        <v>328</v>
      </c>
      <c r="E990" s="1">
        <v>0.75</v>
      </c>
      <c r="F990" s="1" t="s">
        <v>329</v>
      </c>
      <c r="G990" s="1">
        <v>40688</v>
      </c>
      <c r="H990" s="1">
        <v>60688</v>
      </c>
      <c r="I990" s="1">
        <v>18559.899999999991</v>
      </c>
      <c r="J990" s="1">
        <v>1440.100000000006</v>
      </c>
      <c r="K990" s="1">
        <v>59247.899999999987</v>
      </c>
      <c r="L990" s="1">
        <v>107</v>
      </c>
      <c r="M990" s="1">
        <v>129.25862179487169</v>
      </c>
      <c r="N990" s="1">
        <v>8.3023453790160868</v>
      </c>
      <c r="P990" s="7">
        <v>45932</v>
      </c>
      <c r="R990" s="7">
        <v>46297</v>
      </c>
      <c r="S990" s="7">
        <v>46297</v>
      </c>
      <c r="T990" s="7" t="str">
        <f t="shared" si="0"/>
        <v>octubre</v>
      </c>
      <c r="X990" s="1" t="s">
        <v>333</v>
      </c>
      <c r="Y990" s="1" t="s">
        <v>334</v>
      </c>
      <c r="Z990" s="1">
        <v>1</v>
      </c>
      <c r="AA990" s="3">
        <v>8513.2800000000007</v>
      </c>
      <c r="AB990" s="3">
        <v>8513.2800000000007</v>
      </c>
      <c r="AC990" s="1" t="str">
        <f>VLOOKUP(A990,[1]Detalle!$D$2:$CW$484,98,FALSE)</f>
        <v>CCUCoAZA</v>
      </c>
    </row>
    <row r="991" spans="1:29" ht="14.25" customHeight="1" x14ac:dyDescent="0.3">
      <c r="A991" s="1" t="s">
        <v>58</v>
      </c>
      <c r="B991" s="1" t="s">
        <v>478</v>
      </c>
      <c r="C991" s="1" t="s">
        <v>400</v>
      </c>
      <c r="D991" s="1" t="s">
        <v>328</v>
      </c>
      <c r="E991" s="1">
        <v>0.75</v>
      </c>
      <c r="F991" s="1" t="s">
        <v>329</v>
      </c>
      <c r="G991" s="1">
        <v>40688</v>
      </c>
      <c r="H991" s="1">
        <v>60688</v>
      </c>
      <c r="I991" s="1">
        <v>18559.899999999991</v>
      </c>
      <c r="J991" s="1">
        <v>1440.100000000006</v>
      </c>
      <c r="K991" s="1">
        <v>59247.899999999987</v>
      </c>
      <c r="L991" s="1">
        <v>107</v>
      </c>
      <c r="M991" s="1">
        <v>129.25862179487169</v>
      </c>
      <c r="N991" s="1">
        <v>8.3023453790160868</v>
      </c>
      <c r="P991" s="7">
        <v>45933</v>
      </c>
      <c r="R991" s="7">
        <v>46298</v>
      </c>
      <c r="S991" s="7">
        <v>46298</v>
      </c>
      <c r="T991" s="7" t="str">
        <f t="shared" si="0"/>
        <v>octubre</v>
      </c>
      <c r="X991" s="1" t="s">
        <v>401</v>
      </c>
      <c r="Y991" s="1" t="s">
        <v>402</v>
      </c>
      <c r="Z991" s="1">
        <v>1</v>
      </c>
      <c r="AA991" s="3">
        <v>21189.599999999999</v>
      </c>
      <c r="AB991" s="3">
        <v>21189.599999999999</v>
      </c>
      <c r="AC991" s="1" t="str">
        <f>VLOOKUP(A991,[1]Detalle!$D$2:$CW$484,98,FALSE)</f>
        <v>CMQ_TTE - QUILMES TTE</v>
      </c>
    </row>
    <row r="992" spans="1:29" ht="14.25" customHeight="1" x14ac:dyDescent="0.3">
      <c r="A992" s="1" t="s">
        <v>123</v>
      </c>
      <c r="B992" s="1">
        <v>1620</v>
      </c>
      <c r="C992" s="1" t="s">
        <v>328</v>
      </c>
      <c r="D992" s="1" t="s">
        <v>328</v>
      </c>
      <c r="E992" s="1">
        <v>0.75</v>
      </c>
      <c r="F992" s="1" t="s">
        <v>329</v>
      </c>
      <c r="G992" s="1">
        <v>40688</v>
      </c>
      <c r="H992" s="1">
        <v>60688</v>
      </c>
      <c r="I992" s="1">
        <v>18559.899999999991</v>
      </c>
      <c r="J992" s="1">
        <v>1440.100000000006</v>
      </c>
      <c r="K992" s="1">
        <v>59247.899999999987</v>
      </c>
      <c r="L992" s="1">
        <v>107</v>
      </c>
      <c r="M992" s="1">
        <v>129.25862179487169</v>
      </c>
      <c r="N992" s="1">
        <v>8.3023453790160868</v>
      </c>
      <c r="P992" s="7">
        <v>45941</v>
      </c>
      <c r="R992" s="7">
        <v>46306</v>
      </c>
      <c r="S992" s="7">
        <v>46306</v>
      </c>
      <c r="T992" s="7" t="str">
        <f t="shared" si="0"/>
        <v>octubre</v>
      </c>
      <c r="X992" s="1" t="s">
        <v>333</v>
      </c>
      <c r="Y992" s="1" t="s">
        <v>334</v>
      </c>
      <c r="Z992" s="1">
        <v>1</v>
      </c>
      <c r="AA992" s="3">
        <v>8513.2800000000007</v>
      </c>
      <c r="AB992" s="3">
        <v>8513.2800000000007</v>
      </c>
      <c r="AC992" s="1" t="str">
        <f>VLOOKUP(A992,[1]Detalle!$D$2:$CW$484,98,FALSE)</f>
        <v>SUC_SRA - Sucursal San Rafael</v>
      </c>
    </row>
    <row r="993" spans="1:30" ht="14.25" customHeight="1" x14ac:dyDescent="0.3">
      <c r="A993" s="1" t="s">
        <v>38</v>
      </c>
      <c r="B993" s="1" t="s">
        <v>362</v>
      </c>
      <c r="C993" s="1" t="s">
        <v>328</v>
      </c>
      <c r="D993" s="1" t="s">
        <v>328</v>
      </c>
      <c r="E993" s="1">
        <v>0.75</v>
      </c>
      <c r="F993" s="1" t="s">
        <v>329</v>
      </c>
      <c r="G993" s="1">
        <v>40688</v>
      </c>
      <c r="H993" s="1">
        <v>60688</v>
      </c>
      <c r="I993" s="1">
        <v>18559.899999999991</v>
      </c>
      <c r="J993" s="1">
        <v>1440.100000000006</v>
      </c>
      <c r="K993" s="1">
        <v>59247.899999999987</v>
      </c>
      <c r="L993" s="1">
        <v>107</v>
      </c>
      <c r="M993" s="1">
        <v>129.25862179487169</v>
      </c>
      <c r="N993" s="1">
        <v>8.3023453790160868</v>
      </c>
      <c r="P993" s="7">
        <v>45944</v>
      </c>
      <c r="R993" s="7">
        <v>46309</v>
      </c>
      <c r="S993" s="7">
        <v>46309</v>
      </c>
      <c r="T993" s="7" t="str">
        <f t="shared" si="0"/>
        <v>octubre</v>
      </c>
      <c r="X993" s="1" t="s">
        <v>333</v>
      </c>
      <c r="Y993" s="1" t="s">
        <v>334</v>
      </c>
      <c r="Z993" s="1">
        <v>1</v>
      </c>
      <c r="AA993" s="3">
        <v>8513.2800000000007</v>
      </c>
      <c r="AB993" s="3">
        <v>8513.2800000000007</v>
      </c>
      <c r="AC993" s="1" t="str">
        <f>VLOOKUP(A993,[1]Detalle!$D$2:$CW$484,98,FALSE)</f>
        <v>SUC_SRA - Sucursal San Rafael</v>
      </c>
    </row>
    <row r="994" spans="1:30" ht="14.25" customHeight="1" x14ac:dyDescent="0.3">
      <c r="A994" s="1" t="s">
        <v>194</v>
      </c>
      <c r="B994" s="1" t="s">
        <v>340</v>
      </c>
      <c r="C994" s="1" t="s">
        <v>328</v>
      </c>
      <c r="D994" s="1" t="s">
        <v>328</v>
      </c>
      <c r="E994" s="1">
        <v>0.75</v>
      </c>
      <c r="F994" s="1" t="s">
        <v>329</v>
      </c>
      <c r="G994" s="1">
        <v>40688</v>
      </c>
      <c r="H994" s="1">
        <v>60688</v>
      </c>
      <c r="I994" s="1">
        <v>18559.899999999991</v>
      </c>
      <c r="J994" s="1">
        <v>1440.100000000006</v>
      </c>
      <c r="K994" s="1">
        <v>59247.899999999987</v>
      </c>
      <c r="L994" s="1">
        <v>107</v>
      </c>
      <c r="M994" s="1">
        <v>129.25862179487169</v>
      </c>
      <c r="N994" s="1">
        <v>8.3023453790160868</v>
      </c>
      <c r="P994" s="7">
        <v>45947</v>
      </c>
      <c r="R994" s="7">
        <v>46312</v>
      </c>
      <c r="S994" s="7">
        <v>46312</v>
      </c>
      <c r="T994" s="7" t="str">
        <f t="shared" si="0"/>
        <v>octubre</v>
      </c>
      <c r="X994" s="1" t="s">
        <v>333</v>
      </c>
      <c r="Y994" s="1" t="s">
        <v>334</v>
      </c>
      <c r="Z994" s="1">
        <v>1</v>
      </c>
      <c r="AA994" s="3">
        <v>8513.2800000000007</v>
      </c>
      <c r="AB994" s="3">
        <v>8513.2800000000007</v>
      </c>
      <c r="AC994" s="1" t="str">
        <f>VLOOKUP(A994,[1]Detalle!$D$2:$CW$484,98,FALSE)</f>
        <v>CMQ_TTE - QUILMES TTE</v>
      </c>
    </row>
    <row r="995" spans="1:30" ht="14.25" customHeight="1" x14ac:dyDescent="0.3">
      <c r="A995" s="1" t="s">
        <v>132</v>
      </c>
      <c r="B995" s="1">
        <v>1620</v>
      </c>
      <c r="C995" s="1" t="s">
        <v>328</v>
      </c>
      <c r="D995" s="1" t="s">
        <v>328</v>
      </c>
      <c r="E995" s="1">
        <v>0.75</v>
      </c>
      <c r="F995" s="1" t="s">
        <v>329</v>
      </c>
      <c r="G995" s="1">
        <v>40688</v>
      </c>
      <c r="H995" s="1">
        <v>60688</v>
      </c>
      <c r="I995" s="1">
        <v>18559.899999999991</v>
      </c>
      <c r="J995" s="1">
        <v>1440.100000000006</v>
      </c>
      <c r="K995" s="1">
        <v>59247.899999999987</v>
      </c>
      <c r="L995" s="1">
        <v>107</v>
      </c>
      <c r="M995" s="1">
        <v>129.25862179487169</v>
      </c>
      <c r="N995" s="1">
        <v>8.3023453790160868</v>
      </c>
      <c r="P995" s="7">
        <v>45950</v>
      </c>
      <c r="R995" s="7">
        <v>46315</v>
      </c>
      <c r="S995" s="7">
        <v>46315</v>
      </c>
      <c r="T995" s="7" t="str">
        <f t="shared" si="0"/>
        <v>octubre</v>
      </c>
      <c r="X995" s="1" t="s">
        <v>333</v>
      </c>
      <c r="Y995" s="1" t="s">
        <v>334</v>
      </c>
      <c r="Z995" s="1">
        <v>1</v>
      </c>
      <c r="AA995" s="3">
        <v>8513.2800000000007</v>
      </c>
      <c r="AB995" s="3">
        <v>8513.2800000000007</v>
      </c>
      <c r="AC995" s="1" t="str">
        <f>VLOOKUP(A995,[1]Detalle!$D$2:$CW$484,98,FALSE)</f>
        <v>Unilever - Unilever de Arg. S.A.</v>
      </c>
    </row>
    <row r="996" spans="1:30" ht="14.25" customHeight="1" x14ac:dyDescent="0.3">
      <c r="A996" s="1" t="s">
        <v>276</v>
      </c>
      <c r="B996" s="1">
        <v>710</v>
      </c>
      <c r="C996" s="1" t="s">
        <v>328</v>
      </c>
      <c r="D996" s="1" t="s">
        <v>328</v>
      </c>
      <c r="E996" s="1">
        <v>0.75</v>
      </c>
      <c r="F996" s="1" t="s">
        <v>329</v>
      </c>
      <c r="G996" s="1">
        <v>40688</v>
      </c>
      <c r="H996" s="1">
        <v>60688</v>
      </c>
      <c r="I996" s="1">
        <v>18559.899999999991</v>
      </c>
      <c r="J996" s="1">
        <v>1440.100000000006</v>
      </c>
      <c r="K996" s="1">
        <v>59247.899999999987</v>
      </c>
      <c r="L996" s="1">
        <v>107</v>
      </c>
      <c r="M996" s="1">
        <v>129.25862179487169</v>
      </c>
      <c r="N996" s="1">
        <v>8.3023453790160868</v>
      </c>
      <c r="P996" s="7">
        <v>45950</v>
      </c>
      <c r="R996" s="7">
        <v>46315</v>
      </c>
      <c r="S996" s="7">
        <v>46315</v>
      </c>
      <c r="T996" s="7" t="str">
        <f t="shared" si="0"/>
        <v>octubre</v>
      </c>
      <c r="X996" s="1" t="s">
        <v>333</v>
      </c>
      <c r="Y996" s="1" t="s">
        <v>334</v>
      </c>
      <c r="Z996" s="1">
        <v>1</v>
      </c>
      <c r="AA996" s="3">
        <v>8513.2800000000007</v>
      </c>
      <c r="AB996" s="3">
        <v>8513.2800000000007</v>
      </c>
      <c r="AC996" s="1" t="str">
        <f>VLOOKUP(A996,[1]Detalle!$D$2:$CW$484,98,FALSE)</f>
        <v>SUC_SRA - Sucursal San Rafael</v>
      </c>
    </row>
    <row r="997" spans="1:30" ht="14.25" customHeight="1" x14ac:dyDescent="0.3">
      <c r="A997" s="1" t="s">
        <v>33</v>
      </c>
      <c r="B997" s="1" t="s">
        <v>429</v>
      </c>
      <c r="C997" s="1" t="s">
        <v>428</v>
      </c>
      <c r="D997" s="1" t="s">
        <v>428</v>
      </c>
      <c r="E997" s="1">
        <v>0.75</v>
      </c>
      <c r="F997" s="1" t="s">
        <v>329</v>
      </c>
      <c r="G997" s="1">
        <v>40688</v>
      </c>
      <c r="H997" s="1">
        <v>60688</v>
      </c>
      <c r="I997" s="1">
        <v>18559.899999999991</v>
      </c>
      <c r="J997" s="1">
        <v>1440.100000000006</v>
      </c>
      <c r="K997" s="1">
        <v>59247.899999999987</v>
      </c>
      <c r="L997" s="1">
        <v>107</v>
      </c>
      <c r="M997" s="1">
        <v>129.25862179487169</v>
      </c>
      <c r="N997" s="1">
        <v>8.3023453790160868</v>
      </c>
      <c r="P997" s="7">
        <v>45663</v>
      </c>
      <c r="R997" s="7">
        <v>46028</v>
      </c>
      <c r="S997" s="7">
        <v>46028</v>
      </c>
      <c r="T997" s="7" t="str">
        <f t="shared" si="0"/>
        <v>enero</v>
      </c>
      <c r="X997" s="1" t="s">
        <v>331</v>
      </c>
      <c r="Y997" s="1" t="s">
        <v>332</v>
      </c>
      <c r="Z997" s="1">
        <v>30</v>
      </c>
      <c r="AA997" s="3">
        <v>3389.9</v>
      </c>
      <c r="AB997" s="3">
        <v>101697</v>
      </c>
      <c r="AC997" s="1" t="str">
        <f>VLOOKUP(A997,[1]Detalle!$D$2:$CW$484,98,FALSE)</f>
        <v>CENCOMLD - Cencosud SA - Mendoza</v>
      </c>
      <c r="AD997" s="3"/>
    </row>
    <row r="998" spans="1:30" ht="14.25" customHeight="1" x14ac:dyDescent="0.3">
      <c r="A998" s="1" t="s">
        <v>237</v>
      </c>
      <c r="B998" s="1" t="s">
        <v>349</v>
      </c>
      <c r="C998" s="1" t="s">
        <v>428</v>
      </c>
      <c r="D998" s="1" t="s">
        <v>428</v>
      </c>
      <c r="E998" s="1">
        <v>0.75</v>
      </c>
      <c r="F998" s="1" t="s">
        <v>329</v>
      </c>
      <c r="G998" s="1">
        <v>40688</v>
      </c>
      <c r="H998" s="1">
        <v>60688</v>
      </c>
      <c r="I998" s="1">
        <v>18559.899999999991</v>
      </c>
      <c r="J998" s="1">
        <v>1440.100000000006</v>
      </c>
      <c r="K998" s="1">
        <v>59247.899999999987</v>
      </c>
      <c r="L998" s="1">
        <v>107</v>
      </c>
      <c r="M998" s="1">
        <v>129.25862179487169</v>
      </c>
      <c r="N998" s="1">
        <v>8.3023453790160868</v>
      </c>
      <c r="P998" s="7">
        <v>45693</v>
      </c>
      <c r="R998" s="7">
        <v>46058</v>
      </c>
      <c r="S998" s="7">
        <v>46058</v>
      </c>
      <c r="T998" s="7" t="str">
        <f t="shared" si="0"/>
        <v>febrero</v>
      </c>
      <c r="X998" s="1" t="s">
        <v>331</v>
      </c>
      <c r="Y998" s="1" t="s">
        <v>332</v>
      </c>
      <c r="Z998" s="1">
        <v>30</v>
      </c>
      <c r="AA998" s="3">
        <v>3389.9</v>
      </c>
      <c r="AB998" s="3">
        <v>101697</v>
      </c>
      <c r="AC998" s="1" t="str">
        <f>VLOOKUP(A998,[1]Detalle!$D$2:$CW$484,98,FALSE)</f>
        <v>CENCOMLD - Cencosud SA - Mendoza</v>
      </c>
      <c r="AD998" s="3"/>
    </row>
    <row r="999" spans="1:30" ht="14.25" customHeight="1" x14ac:dyDescent="0.3">
      <c r="A999" s="1" t="s">
        <v>181</v>
      </c>
      <c r="B999" s="1" t="s">
        <v>433</v>
      </c>
      <c r="C999" s="1" t="s">
        <v>428</v>
      </c>
      <c r="D999" s="1" t="s">
        <v>428</v>
      </c>
      <c r="E999" s="1">
        <v>0.75</v>
      </c>
      <c r="F999" s="1" t="s">
        <v>329</v>
      </c>
      <c r="G999" s="1">
        <v>40688</v>
      </c>
      <c r="H999" s="1">
        <v>60688</v>
      </c>
      <c r="I999" s="1">
        <v>18559.899999999991</v>
      </c>
      <c r="J999" s="1">
        <v>1440.100000000006</v>
      </c>
      <c r="K999" s="1">
        <v>59247.899999999987</v>
      </c>
      <c r="L999" s="1">
        <v>107</v>
      </c>
      <c r="M999" s="1">
        <v>129.25862179487169</v>
      </c>
      <c r="N999" s="1">
        <v>8.3023453790160868</v>
      </c>
      <c r="P999" s="7">
        <v>45705</v>
      </c>
      <c r="R999" s="7">
        <v>46070</v>
      </c>
      <c r="S999" s="7">
        <v>46070</v>
      </c>
      <c r="T999" s="7" t="str">
        <f t="shared" si="0"/>
        <v>febrero</v>
      </c>
      <c r="X999" s="1" t="s">
        <v>331</v>
      </c>
      <c r="Y999" s="1" t="s">
        <v>332</v>
      </c>
      <c r="Z999" s="1">
        <v>30</v>
      </c>
      <c r="AA999" s="3">
        <v>3389.9</v>
      </c>
      <c r="AB999" s="3">
        <v>101697</v>
      </c>
      <c r="AC999" s="1" t="str">
        <f>VLOOKUP(A999,[1]Detalle!$D$2:$CW$484,98,FALSE)</f>
        <v>CMQ_TTE - QUILMES TTE</v>
      </c>
      <c r="AD999" s="3"/>
    </row>
    <row r="1000" spans="1:30" ht="14.25" customHeight="1" x14ac:dyDescent="0.3">
      <c r="A1000" s="1" t="s">
        <v>267</v>
      </c>
      <c r="B1000" s="1" t="s">
        <v>349</v>
      </c>
      <c r="C1000" s="1" t="s">
        <v>428</v>
      </c>
      <c r="D1000" s="1" t="s">
        <v>428</v>
      </c>
      <c r="E1000" s="1">
        <v>0.75</v>
      </c>
      <c r="F1000" s="1" t="s">
        <v>329</v>
      </c>
      <c r="G1000" s="1">
        <v>40688</v>
      </c>
      <c r="H1000" s="1">
        <v>60688</v>
      </c>
      <c r="I1000" s="1">
        <v>18559.899999999991</v>
      </c>
      <c r="J1000" s="1">
        <v>1440.100000000006</v>
      </c>
      <c r="K1000" s="1">
        <v>59247.899999999987</v>
      </c>
      <c r="L1000" s="1">
        <v>107</v>
      </c>
      <c r="M1000" s="1">
        <v>129.25862179487169</v>
      </c>
      <c r="N1000" s="1">
        <v>8.3023453790160868</v>
      </c>
      <c r="P1000" s="7">
        <v>45709</v>
      </c>
      <c r="R1000" s="7">
        <v>46074</v>
      </c>
      <c r="S1000" s="7">
        <v>46074</v>
      </c>
      <c r="T1000" s="7" t="str">
        <f t="shared" si="0"/>
        <v>febrero</v>
      </c>
      <c r="X1000" s="1" t="s">
        <v>331</v>
      </c>
      <c r="Y1000" s="1" t="s">
        <v>332</v>
      </c>
      <c r="Z1000" s="1">
        <v>30</v>
      </c>
      <c r="AA1000" s="3">
        <v>3389.9</v>
      </c>
      <c r="AB1000" s="3">
        <v>101697</v>
      </c>
      <c r="AC1000" s="1" t="str">
        <f>VLOOKUP(A1000,[1]Detalle!$D$2:$CW$484,98,FALSE)</f>
        <v>CCUDyAZA</v>
      </c>
      <c r="AD1000" s="3"/>
    </row>
    <row r="1001" spans="1:30" ht="14.25" customHeight="1" x14ac:dyDescent="0.3">
      <c r="A1001" s="1" t="s">
        <v>229</v>
      </c>
      <c r="B1001" s="1" t="s">
        <v>434</v>
      </c>
      <c r="C1001" s="1" t="s">
        <v>428</v>
      </c>
      <c r="D1001" s="1" t="s">
        <v>428</v>
      </c>
      <c r="E1001" s="1">
        <v>0.75</v>
      </c>
      <c r="F1001" s="1" t="s">
        <v>329</v>
      </c>
      <c r="G1001" s="1">
        <v>40688</v>
      </c>
      <c r="H1001" s="1">
        <v>60688</v>
      </c>
      <c r="I1001" s="1">
        <v>18559.899999999991</v>
      </c>
      <c r="J1001" s="1">
        <v>1440.100000000006</v>
      </c>
      <c r="K1001" s="1">
        <v>59247.899999999987</v>
      </c>
      <c r="L1001" s="1">
        <v>107</v>
      </c>
      <c r="M1001" s="1">
        <v>129.25862179487169</v>
      </c>
      <c r="N1001" s="1">
        <v>8.3023453790160868</v>
      </c>
      <c r="P1001" s="7">
        <v>45743</v>
      </c>
      <c r="R1001" s="7">
        <v>46108</v>
      </c>
      <c r="S1001" s="7">
        <v>46108</v>
      </c>
      <c r="T1001" s="7" t="str">
        <f t="shared" si="0"/>
        <v>marzo</v>
      </c>
      <c r="X1001" s="1" t="s">
        <v>331</v>
      </c>
      <c r="Y1001" s="1" t="s">
        <v>332</v>
      </c>
      <c r="Z1001" s="1">
        <v>30</v>
      </c>
      <c r="AA1001" s="3">
        <v>3389.9</v>
      </c>
      <c r="AB1001" s="3">
        <v>101697</v>
      </c>
      <c r="AC1001" s="1" t="str">
        <f>VLOOKUP(A1001,[1]Detalle!$D$2:$CW$484,98,FALSE)</f>
        <v>Expreso - Servicios Troncales</v>
      </c>
      <c r="AD1001" s="3"/>
    </row>
    <row r="1002" spans="1:30" ht="14.25" customHeight="1" x14ac:dyDescent="0.3">
      <c r="A1002" s="1" t="s">
        <v>33</v>
      </c>
      <c r="B1002" s="1" t="s">
        <v>429</v>
      </c>
      <c r="C1002" s="1" t="s">
        <v>428</v>
      </c>
      <c r="D1002" s="1" t="s">
        <v>428</v>
      </c>
      <c r="E1002" s="1">
        <v>0.75</v>
      </c>
      <c r="F1002" s="1" t="s">
        <v>329</v>
      </c>
      <c r="G1002" s="1">
        <v>40688</v>
      </c>
      <c r="H1002" s="1">
        <v>60688</v>
      </c>
      <c r="I1002" s="1">
        <v>18559.899999999991</v>
      </c>
      <c r="J1002" s="1">
        <v>1440.100000000006</v>
      </c>
      <c r="K1002" s="1">
        <v>59247.899999999987</v>
      </c>
      <c r="L1002" s="1">
        <v>107</v>
      </c>
      <c r="M1002" s="1">
        <v>129.25862179487169</v>
      </c>
      <c r="N1002" s="1">
        <v>8.3023453790160868</v>
      </c>
      <c r="P1002" s="7">
        <v>45791</v>
      </c>
      <c r="R1002" s="7">
        <v>46156</v>
      </c>
      <c r="S1002" s="7">
        <v>46156</v>
      </c>
      <c r="T1002" s="7" t="str">
        <f t="shared" si="0"/>
        <v>mayo</v>
      </c>
      <c r="X1002" s="1" t="s">
        <v>331</v>
      </c>
      <c r="Y1002" s="1" t="s">
        <v>332</v>
      </c>
      <c r="Z1002" s="1">
        <v>30</v>
      </c>
      <c r="AA1002" s="3">
        <v>3389.9</v>
      </c>
      <c r="AB1002" s="3">
        <v>101697</v>
      </c>
      <c r="AC1002" s="1" t="str">
        <f>VLOOKUP(A1002,[1]Detalle!$D$2:$CW$484,98,FALSE)</f>
        <v>CENCOMLD - Cencosud SA - Mendoza</v>
      </c>
      <c r="AD1002" s="3"/>
    </row>
    <row r="1003" spans="1:30" ht="14.25" customHeight="1" x14ac:dyDescent="0.3">
      <c r="A1003" s="1" t="s">
        <v>183</v>
      </c>
      <c r="B1003" s="1" t="s">
        <v>433</v>
      </c>
      <c r="C1003" s="1" t="s">
        <v>428</v>
      </c>
      <c r="D1003" s="1" t="s">
        <v>428</v>
      </c>
      <c r="E1003" s="1">
        <v>0.75</v>
      </c>
      <c r="F1003" s="1" t="s">
        <v>329</v>
      </c>
      <c r="G1003" s="1">
        <v>40688</v>
      </c>
      <c r="H1003" s="1">
        <v>60688</v>
      </c>
      <c r="I1003" s="1">
        <v>18559.899999999991</v>
      </c>
      <c r="J1003" s="1">
        <v>1440.100000000006</v>
      </c>
      <c r="K1003" s="1">
        <v>59247.899999999987</v>
      </c>
      <c r="L1003" s="1">
        <v>107</v>
      </c>
      <c r="M1003" s="1">
        <v>129.25862179487169</v>
      </c>
      <c r="N1003" s="1">
        <v>8.3023453790160868</v>
      </c>
      <c r="P1003" s="7">
        <v>45813</v>
      </c>
      <c r="R1003" s="7">
        <v>46178</v>
      </c>
      <c r="S1003" s="7">
        <v>46178</v>
      </c>
      <c r="T1003" s="7" t="str">
        <f t="shared" si="0"/>
        <v>junio</v>
      </c>
      <c r="X1003" s="1" t="s">
        <v>331</v>
      </c>
      <c r="Y1003" s="1" t="s">
        <v>332</v>
      </c>
      <c r="Z1003" s="1">
        <v>30</v>
      </c>
      <c r="AA1003" s="3">
        <v>3389.9</v>
      </c>
      <c r="AB1003" s="3">
        <v>101697</v>
      </c>
      <c r="AC1003" s="1" t="str">
        <f>VLOOKUP(A1003,[1]Detalle!$D$2:$CW$484,98,FALSE)</f>
        <v>CMQ_TTE - QUILMES TTE</v>
      </c>
      <c r="AD1003" s="3"/>
    </row>
    <row r="1004" spans="1:30" ht="14.25" customHeight="1" x14ac:dyDescent="0.3">
      <c r="A1004" s="1" t="s">
        <v>229</v>
      </c>
      <c r="B1004" s="1" t="s">
        <v>434</v>
      </c>
      <c r="C1004" s="1" t="s">
        <v>428</v>
      </c>
      <c r="D1004" s="1" t="s">
        <v>428</v>
      </c>
      <c r="E1004" s="1">
        <v>0.75</v>
      </c>
      <c r="F1004" s="1" t="s">
        <v>329</v>
      </c>
      <c r="G1004" s="1">
        <v>40688</v>
      </c>
      <c r="H1004" s="1">
        <v>60688</v>
      </c>
      <c r="I1004" s="1">
        <v>18559.899999999991</v>
      </c>
      <c r="J1004" s="1">
        <v>1440.100000000006</v>
      </c>
      <c r="K1004" s="1">
        <v>59247.899999999987</v>
      </c>
      <c r="L1004" s="1">
        <v>107</v>
      </c>
      <c r="M1004" s="1">
        <v>129.25862179487169</v>
      </c>
      <c r="N1004" s="1">
        <v>8.3023453790160868</v>
      </c>
      <c r="P1004" s="7">
        <v>45834</v>
      </c>
      <c r="R1004" s="7">
        <v>46199</v>
      </c>
      <c r="S1004" s="7">
        <v>46199</v>
      </c>
      <c r="T1004" s="7" t="str">
        <f t="shared" si="0"/>
        <v>junio</v>
      </c>
      <c r="X1004" s="1" t="s">
        <v>331</v>
      </c>
      <c r="Y1004" s="1" t="s">
        <v>332</v>
      </c>
      <c r="Z1004" s="1">
        <v>30</v>
      </c>
      <c r="AA1004" s="3">
        <v>3389.9</v>
      </c>
      <c r="AB1004" s="3">
        <v>101697</v>
      </c>
      <c r="AC1004" s="1" t="str">
        <f>VLOOKUP(A1004,[1]Detalle!$D$2:$CW$484,98,FALSE)</f>
        <v>Expreso - Servicios Troncales</v>
      </c>
      <c r="AD1004" s="3"/>
    </row>
    <row r="1005" spans="1:30" ht="14.25" customHeight="1" x14ac:dyDescent="0.3">
      <c r="A1005" s="1" t="s">
        <v>188</v>
      </c>
      <c r="B1005" s="1" t="s">
        <v>433</v>
      </c>
      <c r="C1005" s="1" t="s">
        <v>428</v>
      </c>
      <c r="D1005" s="1" t="s">
        <v>428</v>
      </c>
      <c r="E1005" s="1">
        <v>0.75</v>
      </c>
      <c r="F1005" s="1" t="s">
        <v>329</v>
      </c>
      <c r="G1005" s="1">
        <v>40688</v>
      </c>
      <c r="H1005" s="1">
        <v>60688</v>
      </c>
      <c r="I1005" s="1">
        <v>18559.899999999991</v>
      </c>
      <c r="J1005" s="1">
        <v>1440.100000000006</v>
      </c>
      <c r="K1005" s="1">
        <v>59247.899999999987</v>
      </c>
      <c r="L1005" s="1">
        <v>107</v>
      </c>
      <c r="M1005" s="1">
        <v>129.25862179487169</v>
      </c>
      <c r="N1005" s="1">
        <v>8.3023453790160868</v>
      </c>
      <c r="P1005" s="7">
        <v>45882</v>
      </c>
      <c r="R1005" s="7">
        <v>46247</v>
      </c>
      <c r="S1005" s="7">
        <v>46247</v>
      </c>
      <c r="T1005" s="7" t="str">
        <f t="shared" si="0"/>
        <v>agosto</v>
      </c>
      <c r="X1005" s="1" t="s">
        <v>331</v>
      </c>
      <c r="Y1005" s="1" t="s">
        <v>332</v>
      </c>
      <c r="Z1005" s="1">
        <v>30</v>
      </c>
      <c r="AA1005" s="3">
        <v>3389.9</v>
      </c>
      <c r="AB1005" s="3">
        <v>101697</v>
      </c>
      <c r="AC1005" s="1" t="str">
        <f>VLOOKUP(A1005,[1]Detalle!$D$2:$CW$484,98,FALSE)</f>
        <v>Arcor S.A.I.C.</v>
      </c>
      <c r="AD1005" s="3"/>
    </row>
    <row r="1006" spans="1:30" ht="14.25" customHeight="1" x14ac:dyDescent="0.3">
      <c r="A1006" s="1" t="s">
        <v>184</v>
      </c>
      <c r="B1006" s="1" t="s">
        <v>433</v>
      </c>
      <c r="C1006" s="1" t="s">
        <v>428</v>
      </c>
      <c r="D1006" s="1" t="s">
        <v>428</v>
      </c>
      <c r="E1006" s="1">
        <v>0.75</v>
      </c>
      <c r="F1006" s="1" t="s">
        <v>329</v>
      </c>
      <c r="G1006" s="1">
        <v>40688</v>
      </c>
      <c r="H1006" s="1">
        <v>60688</v>
      </c>
      <c r="I1006" s="1">
        <v>18559.899999999991</v>
      </c>
      <c r="J1006" s="1">
        <v>1440.100000000006</v>
      </c>
      <c r="K1006" s="1">
        <v>59247.899999999987</v>
      </c>
      <c r="L1006" s="1">
        <v>107</v>
      </c>
      <c r="M1006" s="1">
        <v>129.25862179487169</v>
      </c>
      <c r="N1006" s="1">
        <v>8.3023453790160868</v>
      </c>
      <c r="P1006" s="7">
        <v>45888</v>
      </c>
      <c r="R1006" s="7">
        <v>46253</v>
      </c>
      <c r="S1006" s="7">
        <v>46253</v>
      </c>
      <c r="T1006" s="7" t="str">
        <f t="shared" si="0"/>
        <v>agosto</v>
      </c>
      <c r="X1006" s="1" t="s">
        <v>331</v>
      </c>
      <c r="Y1006" s="1" t="s">
        <v>332</v>
      </c>
      <c r="Z1006" s="1">
        <v>30</v>
      </c>
      <c r="AA1006" s="3">
        <v>3389.9</v>
      </c>
      <c r="AB1006" s="3">
        <v>101697</v>
      </c>
      <c r="AC1006" s="1" t="str">
        <f>VLOOKUP(A1006,[1]Detalle!$D$2:$CW$484,98,FALSE)</f>
        <v>Arcor S.A.I.C.</v>
      </c>
      <c r="AD1006" s="3"/>
    </row>
    <row r="1007" spans="1:30" ht="14.25" customHeight="1" x14ac:dyDescent="0.3">
      <c r="A1007" s="1" t="s">
        <v>229</v>
      </c>
      <c r="B1007" s="1" t="s">
        <v>434</v>
      </c>
      <c r="C1007" s="1" t="s">
        <v>428</v>
      </c>
      <c r="D1007" s="1" t="s">
        <v>428</v>
      </c>
      <c r="E1007" s="1">
        <v>0.75</v>
      </c>
      <c r="F1007" s="1" t="s">
        <v>329</v>
      </c>
      <c r="G1007" s="1">
        <v>40688</v>
      </c>
      <c r="H1007" s="1">
        <v>60688</v>
      </c>
      <c r="I1007" s="1">
        <v>18559.899999999991</v>
      </c>
      <c r="J1007" s="1">
        <v>1440.100000000006</v>
      </c>
      <c r="K1007" s="1">
        <v>59247.899999999987</v>
      </c>
      <c r="L1007" s="1">
        <v>107</v>
      </c>
      <c r="M1007" s="1">
        <v>129.25862179487169</v>
      </c>
      <c r="N1007" s="1">
        <v>8.3023453790160868</v>
      </c>
      <c r="P1007" s="7">
        <v>45915</v>
      </c>
      <c r="R1007" s="7">
        <v>46280</v>
      </c>
      <c r="S1007" s="7">
        <v>46280</v>
      </c>
      <c r="T1007" s="7" t="str">
        <f t="shared" si="0"/>
        <v>septiembre</v>
      </c>
      <c r="X1007" s="1" t="s">
        <v>331</v>
      </c>
      <c r="Y1007" s="1" t="s">
        <v>332</v>
      </c>
      <c r="Z1007" s="1">
        <v>30</v>
      </c>
      <c r="AA1007" s="3">
        <v>3389.9</v>
      </c>
      <c r="AB1007" s="3">
        <v>101697</v>
      </c>
      <c r="AC1007" s="1" t="str">
        <f>VLOOKUP(A1007,[1]Detalle!$D$2:$CW$484,98,FALSE)</f>
        <v>Expreso - Servicios Troncales</v>
      </c>
      <c r="AD1007" s="3"/>
    </row>
    <row r="1008" spans="1:30" ht="14.25" customHeight="1" x14ac:dyDescent="0.3">
      <c r="A1008" s="1" t="s">
        <v>33</v>
      </c>
      <c r="B1008" s="1" t="s">
        <v>429</v>
      </c>
      <c r="C1008" s="1" t="s">
        <v>428</v>
      </c>
      <c r="D1008" s="1" t="s">
        <v>428</v>
      </c>
      <c r="E1008" s="1">
        <v>0.75</v>
      </c>
      <c r="F1008" s="1" t="s">
        <v>329</v>
      </c>
      <c r="G1008" s="1">
        <v>40688</v>
      </c>
      <c r="H1008" s="1">
        <v>60688</v>
      </c>
      <c r="I1008" s="1">
        <v>18559.899999999991</v>
      </c>
      <c r="J1008" s="1">
        <v>1440.100000000006</v>
      </c>
      <c r="K1008" s="1">
        <v>59247.899999999987</v>
      </c>
      <c r="L1008" s="1">
        <v>107</v>
      </c>
      <c r="M1008" s="1">
        <v>129.25862179487169</v>
      </c>
      <c r="N1008" s="1">
        <v>8.3023453790160868</v>
      </c>
      <c r="P1008" s="7">
        <v>45924</v>
      </c>
      <c r="R1008" s="7">
        <v>46289</v>
      </c>
      <c r="S1008" s="7">
        <v>46289</v>
      </c>
      <c r="T1008" s="7" t="str">
        <f t="shared" si="0"/>
        <v>septiembre</v>
      </c>
      <c r="X1008" s="1" t="s">
        <v>331</v>
      </c>
      <c r="Y1008" s="1" t="s">
        <v>332</v>
      </c>
      <c r="Z1008" s="1">
        <v>30</v>
      </c>
      <c r="AA1008" s="3">
        <v>3389.9</v>
      </c>
      <c r="AB1008" s="3">
        <v>101697</v>
      </c>
      <c r="AC1008" s="1" t="str">
        <f>VLOOKUP(A1008,[1]Detalle!$D$2:$CW$484,98,FALSE)</f>
        <v>CENCOMLD - Cencosud SA - Mendoza</v>
      </c>
      <c r="AD1008" s="3"/>
    </row>
    <row r="1009" spans="1:30" ht="14.25" customHeight="1" x14ac:dyDescent="0.3">
      <c r="A1009" s="1" t="s">
        <v>65</v>
      </c>
      <c r="B1009" s="1" t="s">
        <v>430</v>
      </c>
      <c r="C1009" s="1" t="s">
        <v>428</v>
      </c>
      <c r="D1009" s="1" t="s">
        <v>428</v>
      </c>
      <c r="E1009" s="1">
        <v>0.75</v>
      </c>
      <c r="F1009" s="1" t="s">
        <v>329</v>
      </c>
      <c r="G1009" s="1">
        <v>40688</v>
      </c>
      <c r="H1009" s="1">
        <v>60688</v>
      </c>
      <c r="I1009" s="1">
        <v>18559.899999999991</v>
      </c>
      <c r="J1009" s="1">
        <v>1440.100000000006</v>
      </c>
      <c r="K1009" s="1">
        <v>59247.899999999987</v>
      </c>
      <c r="L1009" s="1">
        <v>107</v>
      </c>
      <c r="M1009" s="1">
        <v>129.25862179487169</v>
      </c>
      <c r="N1009" s="1">
        <v>8.3023453790160868</v>
      </c>
      <c r="P1009" s="7">
        <v>45925</v>
      </c>
      <c r="R1009" s="7">
        <v>46290</v>
      </c>
      <c r="S1009" s="7">
        <v>46290</v>
      </c>
      <c r="T1009" s="7" t="str">
        <f t="shared" si="0"/>
        <v>septiembre</v>
      </c>
      <c r="X1009" s="1" t="s">
        <v>331</v>
      </c>
      <c r="Y1009" s="1" t="s">
        <v>332</v>
      </c>
      <c r="Z1009" s="1">
        <v>30</v>
      </c>
      <c r="AA1009" s="3">
        <v>3389.9</v>
      </c>
      <c r="AB1009" s="3">
        <v>101697</v>
      </c>
      <c r="AC1009" s="1" t="str">
        <f>VLOOKUP(A1009,[1]Detalle!$D$2:$CW$484,98,FALSE)</f>
        <v>Arcor S.A.I.C.</v>
      </c>
      <c r="AD1009" s="3"/>
    </row>
    <row r="1010" spans="1:30" ht="14.25" customHeight="1" x14ac:dyDescent="0.3">
      <c r="A1010" s="1" t="s">
        <v>235</v>
      </c>
      <c r="B1010" s="1" t="s">
        <v>349</v>
      </c>
      <c r="C1010" s="1" t="s">
        <v>428</v>
      </c>
      <c r="D1010" s="1" t="s">
        <v>428</v>
      </c>
      <c r="E1010" s="1">
        <v>0.75</v>
      </c>
      <c r="F1010" s="1" t="s">
        <v>329</v>
      </c>
      <c r="G1010" s="1">
        <v>40688</v>
      </c>
      <c r="H1010" s="1">
        <v>60688</v>
      </c>
      <c r="I1010" s="1">
        <v>18559.899999999991</v>
      </c>
      <c r="J1010" s="1">
        <v>1440.100000000006</v>
      </c>
      <c r="K1010" s="1">
        <v>59247.899999999987</v>
      </c>
      <c r="L1010" s="1">
        <v>107</v>
      </c>
      <c r="M1010" s="1">
        <v>129.25862179487169</v>
      </c>
      <c r="N1010" s="1">
        <v>8.3023453790160868</v>
      </c>
      <c r="P1010" s="7">
        <v>45929</v>
      </c>
      <c r="R1010" s="7">
        <v>46294</v>
      </c>
      <c r="S1010" s="7">
        <v>46294</v>
      </c>
      <c r="T1010" s="7" t="str">
        <f t="shared" si="0"/>
        <v>septiembre</v>
      </c>
      <c r="X1010" s="1" t="s">
        <v>331</v>
      </c>
      <c r="Y1010" s="1" t="s">
        <v>332</v>
      </c>
      <c r="Z1010" s="1">
        <v>30</v>
      </c>
      <c r="AA1010" s="3">
        <v>3389.9</v>
      </c>
      <c r="AB1010" s="3">
        <v>101697</v>
      </c>
      <c r="AC1010" s="1" t="str">
        <f>VLOOKUP(A1010,[1]Detalle!$D$2:$CW$484,98,FALSE)</f>
        <v>CENCOMLD - Cencosud SA - Mendoza</v>
      </c>
      <c r="AD1010" s="3"/>
    </row>
    <row r="1011" spans="1:30" ht="14.25" customHeight="1" x14ac:dyDescent="0.3">
      <c r="A1011" s="1" t="s">
        <v>33</v>
      </c>
      <c r="B1011" s="1" t="s">
        <v>429</v>
      </c>
      <c r="C1011" s="1" t="s">
        <v>428</v>
      </c>
      <c r="D1011" s="1" t="s">
        <v>428</v>
      </c>
      <c r="E1011" s="1">
        <v>0.75</v>
      </c>
      <c r="F1011" s="1" t="s">
        <v>329</v>
      </c>
      <c r="G1011" s="1">
        <v>40688</v>
      </c>
      <c r="H1011" s="1">
        <v>60688</v>
      </c>
      <c r="I1011" s="1">
        <v>18559.899999999991</v>
      </c>
      <c r="J1011" s="1">
        <v>1440.100000000006</v>
      </c>
      <c r="K1011" s="1">
        <v>59247.899999999987</v>
      </c>
      <c r="L1011" s="1">
        <v>107</v>
      </c>
      <c r="M1011" s="1">
        <v>129.25862179487169</v>
      </c>
      <c r="N1011" s="1">
        <v>8.3023453790160868</v>
      </c>
      <c r="P1011" s="7">
        <v>45663</v>
      </c>
      <c r="R1011" s="7">
        <v>46028</v>
      </c>
      <c r="S1011" s="7">
        <v>46028</v>
      </c>
      <c r="T1011" s="7" t="str">
        <f t="shared" si="0"/>
        <v>enero</v>
      </c>
      <c r="X1011" s="1" t="s">
        <v>397</v>
      </c>
      <c r="Y1011" s="1" t="s">
        <v>398</v>
      </c>
      <c r="Z1011" s="1">
        <v>1</v>
      </c>
      <c r="AA1011" s="3">
        <v>9737.2800000000007</v>
      </c>
      <c r="AB1011" s="3">
        <v>9737.2800000000007</v>
      </c>
      <c r="AC1011" s="1" t="str">
        <f>VLOOKUP(A1011,[1]Detalle!$D$2:$CW$484,98,FALSE)</f>
        <v>CENCOMLD - Cencosud SA - Mendoza</v>
      </c>
    </row>
    <row r="1012" spans="1:30" ht="14.25" customHeight="1" x14ac:dyDescent="0.3">
      <c r="A1012" s="1" t="s">
        <v>237</v>
      </c>
      <c r="B1012" s="1" t="s">
        <v>349</v>
      </c>
      <c r="C1012" s="1" t="s">
        <v>428</v>
      </c>
      <c r="D1012" s="1" t="s">
        <v>428</v>
      </c>
      <c r="E1012" s="1">
        <v>0.75</v>
      </c>
      <c r="F1012" s="1" t="s">
        <v>329</v>
      </c>
      <c r="G1012" s="1">
        <v>40688</v>
      </c>
      <c r="H1012" s="1">
        <v>60688</v>
      </c>
      <c r="I1012" s="1">
        <v>18559.899999999991</v>
      </c>
      <c r="J1012" s="1">
        <v>1440.100000000006</v>
      </c>
      <c r="K1012" s="1">
        <v>59247.899999999987</v>
      </c>
      <c r="L1012" s="1">
        <v>107</v>
      </c>
      <c r="M1012" s="1">
        <v>129.25862179487169</v>
      </c>
      <c r="N1012" s="1">
        <v>8.3023453790160868</v>
      </c>
      <c r="P1012" s="7">
        <v>45693</v>
      </c>
      <c r="R1012" s="7">
        <v>46058</v>
      </c>
      <c r="S1012" s="7">
        <v>46058</v>
      </c>
      <c r="T1012" s="7" t="str">
        <f t="shared" si="0"/>
        <v>febrero</v>
      </c>
      <c r="X1012" s="1" t="s">
        <v>397</v>
      </c>
      <c r="Y1012" s="1" t="s">
        <v>398</v>
      </c>
      <c r="Z1012" s="1">
        <v>1</v>
      </c>
      <c r="AA1012" s="3">
        <v>9737.2800000000007</v>
      </c>
      <c r="AB1012" s="3">
        <v>9737.2800000000007</v>
      </c>
      <c r="AC1012" s="1" t="str">
        <f>VLOOKUP(A1012,[1]Detalle!$D$2:$CW$484,98,FALSE)</f>
        <v>CENCOMLD - Cencosud SA - Mendoza</v>
      </c>
    </row>
    <row r="1013" spans="1:30" ht="14.25" customHeight="1" x14ac:dyDescent="0.3">
      <c r="A1013" s="1" t="s">
        <v>181</v>
      </c>
      <c r="B1013" s="1" t="s">
        <v>433</v>
      </c>
      <c r="C1013" s="1" t="s">
        <v>428</v>
      </c>
      <c r="D1013" s="1" t="s">
        <v>428</v>
      </c>
      <c r="E1013" s="1">
        <v>0.75</v>
      </c>
      <c r="F1013" s="1" t="s">
        <v>329</v>
      </c>
      <c r="G1013" s="1">
        <v>40688</v>
      </c>
      <c r="H1013" s="1">
        <v>60688</v>
      </c>
      <c r="I1013" s="1">
        <v>18559.899999999991</v>
      </c>
      <c r="J1013" s="1">
        <v>1440.100000000006</v>
      </c>
      <c r="K1013" s="1">
        <v>59247.899999999987</v>
      </c>
      <c r="L1013" s="1">
        <v>107</v>
      </c>
      <c r="M1013" s="1">
        <v>129.25862179487169</v>
      </c>
      <c r="N1013" s="1">
        <v>8.3023453790160868</v>
      </c>
      <c r="P1013" s="7">
        <v>45705</v>
      </c>
      <c r="R1013" s="7">
        <v>46070</v>
      </c>
      <c r="S1013" s="7">
        <v>46070</v>
      </c>
      <c r="T1013" s="7" t="str">
        <f t="shared" si="0"/>
        <v>febrero</v>
      </c>
      <c r="X1013" s="1" t="s">
        <v>397</v>
      </c>
      <c r="Y1013" s="1" t="s">
        <v>398</v>
      </c>
      <c r="Z1013" s="1">
        <v>1</v>
      </c>
      <c r="AA1013" s="3">
        <v>9737.2800000000007</v>
      </c>
      <c r="AB1013" s="3">
        <v>9737.2800000000007</v>
      </c>
      <c r="AC1013" s="1" t="str">
        <f>VLOOKUP(A1013,[1]Detalle!$D$2:$CW$484,98,FALSE)</f>
        <v>CMQ_TTE - QUILMES TTE</v>
      </c>
    </row>
    <row r="1014" spans="1:30" ht="14.25" customHeight="1" x14ac:dyDescent="0.3">
      <c r="A1014" s="1" t="s">
        <v>267</v>
      </c>
      <c r="B1014" s="1" t="s">
        <v>349</v>
      </c>
      <c r="C1014" s="1" t="s">
        <v>428</v>
      </c>
      <c r="D1014" s="1" t="s">
        <v>428</v>
      </c>
      <c r="E1014" s="1">
        <v>0.75</v>
      </c>
      <c r="F1014" s="1" t="s">
        <v>329</v>
      </c>
      <c r="G1014" s="1">
        <v>40688</v>
      </c>
      <c r="H1014" s="1">
        <v>60688</v>
      </c>
      <c r="I1014" s="1">
        <v>18559.899999999991</v>
      </c>
      <c r="J1014" s="1">
        <v>1440.100000000006</v>
      </c>
      <c r="K1014" s="1">
        <v>59247.899999999987</v>
      </c>
      <c r="L1014" s="1">
        <v>107</v>
      </c>
      <c r="M1014" s="1">
        <v>129.25862179487169</v>
      </c>
      <c r="N1014" s="1">
        <v>8.3023453790160868</v>
      </c>
      <c r="P1014" s="7">
        <v>45709</v>
      </c>
      <c r="R1014" s="7">
        <v>46074</v>
      </c>
      <c r="S1014" s="7">
        <v>46074</v>
      </c>
      <c r="T1014" s="7" t="str">
        <f t="shared" si="0"/>
        <v>febrero</v>
      </c>
      <c r="X1014" s="1" t="s">
        <v>397</v>
      </c>
      <c r="Y1014" s="1" t="s">
        <v>398</v>
      </c>
      <c r="Z1014" s="1">
        <v>1</v>
      </c>
      <c r="AA1014" s="3">
        <v>9737.2800000000007</v>
      </c>
      <c r="AB1014" s="3">
        <v>9737.2800000000007</v>
      </c>
      <c r="AC1014" s="1" t="str">
        <f>VLOOKUP(A1014,[1]Detalle!$D$2:$CW$484,98,FALSE)</f>
        <v>CCUDyAZA</v>
      </c>
    </row>
    <row r="1015" spans="1:30" ht="14.25" customHeight="1" x14ac:dyDescent="0.3">
      <c r="A1015" s="1" t="s">
        <v>229</v>
      </c>
      <c r="B1015" s="1" t="s">
        <v>434</v>
      </c>
      <c r="C1015" s="1" t="s">
        <v>428</v>
      </c>
      <c r="D1015" s="1" t="s">
        <v>428</v>
      </c>
      <c r="E1015" s="1">
        <v>0.75</v>
      </c>
      <c r="F1015" s="1" t="s">
        <v>329</v>
      </c>
      <c r="G1015" s="1">
        <v>40688</v>
      </c>
      <c r="H1015" s="1">
        <v>60688</v>
      </c>
      <c r="I1015" s="1">
        <v>18559.899999999991</v>
      </c>
      <c r="J1015" s="1">
        <v>1440.100000000006</v>
      </c>
      <c r="K1015" s="1">
        <v>59247.899999999987</v>
      </c>
      <c r="L1015" s="1">
        <v>107</v>
      </c>
      <c r="M1015" s="1">
        <v>129.25862179487169</v>
      </c>
      <c r="N1015" s="1">
        <v>8.3023453790160868</v>
      </c>
      <c r="P1015" s="7">
        <v>45743</v>
      </c>
      <c r="R1015" s="7">
        <v>46108</v>
      </c>
      <c r="S1015" s="7">
        <v>46108</v>
      </c>
      <c r="T1015" s="7" t="str">
        <f t="shared" si="0"/>
        <v>marzo</v>
      </c>
      <c r="X1015" s="1" t="s">
        <v>397</v>
      </c>
      <c r="Y1015" s="1" t="s">
        <v>398</v>
      </c>
      <c r="Z1015" s="1">
        <v>1</v>
      </c>
      <c r="AA1015" s="3">
        <v>9737.2800000000007</v>
      </c>
      <c r="AB1015" s="3">
        <v>9737.2800000000007</v>
      </c>
      <c r="AC1015" s="1" t="str">
        <f>VLOOKUP(A1015,[1]Detalle!$D$2:$CW$484,98,FALSE)</f>
        <v>Expreso - Servicios Troncales</v>
      </c>
    </row>
    <row r="1016" spans="1:30" ht="14.25" customHeight="1" x14ac:dyDescent="0.3">
      <c r="A1016" s="1" t="s">
        <v>33</v>
      </c>
      <c r="B1016" s="1" t="s">
        <v>429</v>
      </c>
      <c r="C1016" s="1" t="s">
        <v>428</v>
      </c>
      <c r="D1016" s="1" t="s">
        <v>428</v>
      </c>
      <c r="E1016" s="1">
        <v>0.75</v>
      </c>
      <c r="F1016" s="1" t="s">
        <v>329</v>
      </c>
      <c r="G1016" s="1">
        <v>40688</v>
      </c>
      <c r="H1016" s="1">
        <v>60688</v>
      </c>
      <c r="I1016" s="1">
        <v>18559.899999999991</v>
      </c>
      <c r="J1016" s="1">
        <v>1440.100000000006</v>
      </c>
      <c r="K1016" s="1">
        <v>59247.899999999987</v>
      </c>
      <c r="L1016" s="1">
        <v>107</v>
      </c>
      <c r="M1016" s="1">
        <v>129.25862179487169</v>
      </c>
      <c r="N1016" s="1">
        <v>8.3023453790160868</v>
      </c>
      <c r="P1016" s="7">
        <v>45791</v>
      </c>
      <c r="R1016" s="7">
        <v>46156</v>
      </c>
      <c r="S1016" s="7">
        <v>46156</v>
      </c>
      <c r="T1016" s="7" t="str">
        <f t="shared" si="0"/>
        <v>mayo</v>
      </c>
      <c r="X1016" s="1" t="s">
        <v>397</v>
      </c>
      <c r="Y1016" s="1" t="s">
        <v>398</v>
      </c>
      <c r="Z1016" s="1">
        <v>1</v>
      </c>
      <c r="AA1016" s="3">
        <v>9737.2800000000007</v>
      </c>
      <c r="AB1016" s="3">
        <v>9737.2800000000007</v>
      </c>
      <c r="AC1016" s="1" t="str">
        <f>VLOOKUP(A1016,[1]Detalle!$D$2:$CW$484,98,FALSE)</f>
        <v>CENCOMLD - Cencosud SA - Mendoza</v>
      </c>
    </row>
    <row r="1017" spans="1:30" ht="14.25" customHeight="1" x14ac:dyDescent="0.3">
      <c r="A1017" s="1" t="s">
        <v>183</v>
      </c>
      <c r="B1017" s="1" t="s">
        <v>433</v>
      </c>
      <c r="C1017" s="1" t="s">
        <v>428</v>
      </c>
      <c r="D1017" s="1" t="s">
        <v>428</v>
      </c>
      <c r="E1017" s="1">
        <v>0.75</v>
      </c>
      <c r="F1017" s="1" t="s">
        <v>329</v>
      </c>
      <c r="G1017" s="1">
        <v>40688</v>
      </c>
      <c r="H1017" s="1">
        <v>60688</v>
      </c>
      <c r="I1017" s="1">
        <v>18559.899999999991</v>
      </c>
      <c r="J1017" s="1">
        <v>1440.100000000006</v>
      </c>
      <c r="K1017" s="1">
        <v>59247.899999999987</v>
      </c>
      <c r="L1017" s="1">
        <v>107</v>
      </c>
      <c r="M1017" s="1">
        <v>129.25862179487169</v>
      </c>
      <c r="N1017" s="1">
        <v>8.3023453790160868</v>
      </c>
      <c r="P1017" s="7">
        <v>45813</v>
      </c>
      <c r="R1017" s="7">
        <v>46178</v>
      </c>
      <c r="S1017" s="7">
        <v>46178</v>
      </c>
      <c r="T1017" s="7" t="str">
        <f t="shared" si="0"/>
        <v>junio</v>
      </c>
      <c r="X1017" s="1" t="s">
        <v>397</v>
      </c>
      <c r="Y1017" s="1" t="s">
        <v>398</v>
      </c>
      <c r="Z1017" s="1">
        <v>1</v>
      </c>
      <c r="AA1017" s="3">
        <v>9737.2800000000007</v>
      </c>
      <c r="AB1017" s="3">
        <v>9737.2800000000007</v>
      </c>
      <c r="AC1017" s="1" t="str">
        <f>VLOOKUP(A1017,[1]Detalle!$D$2:$CW$484,98,FALSE)</f>
        <v>CMQ_TTE - QUILMES TTE</v>
      </c>
    </row>
    <row r="1018" spans="1:30" ht="14.25" customHeight="1" x14ac:dyDescent="0.3">
      <c r="A1018" s="1" t="s">
        <v>229</v>
      </c>
      <c r="B1018" s="1" t="s">
        <v>434</v>
      </c>
      <c r="C1018" s="1" t="s">
        <v>428</v>
      </c>
      <c r="D1018" s="1" t="s">
        <v>428</v>
      </c>
      <c r="E1018" s="1">
        <v>0.75</v>
      </c>
      <c r="F1018" s="1" t="s">
        <v>329</v>
      </c>
      <c r="G1018" s="1">
        <v>40688</v>
      </c>
      <c r="H1018" s="1">
        <v>60688</v>
      </c>
      <c r="I1018" s="1">
        <v>18559.899999999991</v>
      </c>
      <c r="J1018" s="1">
        <v>1440.100000000006</v>
      </c>
      <c r="K1018" s="1">
        <v>59247.899999999987</v>
      </c>
      <c r="L1018" s="1">
        <v>107</v>
      </c>
      <c r="M1018" s="1">
        <v>129.25862179487169</v>
      </c>
      <c r="N1018" s="1">
        <v>8.3023453790160868</v>
      </c>
      <c r="P1018" s="7">
        <v>45834</v>
      </c>
      <c r="R1018" s="7">
        <v>46199</v>
      </c>
      <c r="S1018" s="7">
        <v>46199</v>
      </c>
      <c r="T1018" s="7" t="str">
        <f t="shared" si="0"/>
        <v>junio</v>
      </c>
      <c r="X1018" s="1" t="s">
        <v>397</v>
      </c>
      <c r="Y1018" s="1" t="s">
        <v>398</v>
      </c>
      <c r="Z1018" s="1">
        <v>1</v>
      </c>
      <c r="AA1018" s="3">
        <v>9737.2800000000007</v>
      </c>
      <c r="AB1018" s="3">
        <v>9737.2800000000007</v>
      </c>
      <c r="AC1018" s="1" t="str">
        <f>VLOOKUP(A1018,[1]Detalle!$D$2:$CW$484,98,FALSE)</f>
        <v>Expreso - Servicios Troncales</v>
      </c>
    </row>
    <row r="1019" spans="1:30" ht="14.25" customHeight="1" x14ac:dyDescent="0.3">
      <c r="A1019" s="1" t="s">
        <v>188</v>
      </c>
      <c r="B1019" s="1" t="s">
        <v>433</v>
      </c>
      <c r="C1019" s="1" t="s">
        <v>428</v>
      </c>
      <c r="D1019" s="1" t="s">
        <v>428</v>
      </c>
      <c r="E1019" s="1">
        <v>0.75</v>
      </c>
      <c r="F1019" s="1" t="s">
        <v>329</v>
      </c>
      <c r="G1019" s="1">
        <v>40688</v>
      </c>
      <c r="H1019" s="1">
        <v>60688</v>
      </c>
      <c r="I1019" s="1">
        <v>18559.899999999991</v>
      </c>
      <c r="J1019" s="1">
        <v>1440.100000000006</v>
      </c>
      <c r="K1019" s="1">
        <v>59247.899999999987</v>
      </c>
      <c r="L1019" s="1">
        <v>107</v>
      </c>
      <c r="M1019" s="1">
        <v>129.25862179487169</v>
      </c>
      <c r="N1019" s="1">
        <v>8.3023453790160868</v>
      </c>
      <c r="P1019" s="7">
        <v>45882</v>
      </c>
      <c r="R1019" s="7">
        <v>46247</v>
      </c>
      <c r="S1019" s="7">
        <v>46247</v>
      </c>
      <c r="T1019" s="7" t="str">
        <f t="shared" si="0"/>
        <v>agosto</v>
      </c>
      <c r="X1019" s="1" t="s">
        <v>397</v>
      </c>
      <c r="Y1019" s="1" t="s">
        <v>398</v>
      </c>
      <c r="Z1019" s="1">
        <v>1</v>
      </c>
      <c r="AA1019" s="3">
        <v>9737.2800000000007</v>
      </c>
      <c r="AB1019" s="3">
        <v>9737.2800000000007</v>
      </c>
      <c r="AC1019" s="1" t="str">
        <f>VLOOKUP(A1019,[1]Detalle!$D$2:$CW$484,98,FALSE)</f>
        <v>Arcor S.A.I.C.</v>
      </c>
    </row>
    <row r="1020" spans="1:30" ht="14.25" customHeight="1" x14ac:dyDescent="0.3">
      <c r="A1020" s="1" t="s">
        <v>184</v>
      </c>
      <c r="B1020" s="1" t="s">
        <v>433</v>
      </c>
      <c r="C1020" s="1" t="s">
        <v>428</v>
      </c>
      <c r="D1020" s="1" t="s">
        <v>428</v>
      </c>
      <c r="E1020" s="1">
        <v>0.75</v>
      </c>
      <c r="F1020" s="1" t="s">
        <v>329</v>
      </c>
      <c r="G1020" s="1">
        <v>40688</v>
      </c>
      <c r="H1020" s="1">
        <v>60688</v>
      </c>
      <c r="I1020" s="1">
        <v>18559.899999999991</v>
      </c>
      <c r="J1020" s="1">
        <v>1440.100000000006</v>
      </c>
      <c r="K1020" s="1">
        <v>59247.899999999987</v>
      </c>
      <c r="L1020" s="1">
        <v>107</v>
      </c>
      <c r="M1020" s="1">
        <v>129.25862179487169</v>
      </c>
      <c r="N1020" s="1">
        <v>8.3023453790160868</v>
      </c>
      <c r="P1020" s="7">
        <v>45888</v>
      </c>
      <c r="R1020" s="7">
        <v>46253</v>
      </c>
      <c r="S1020" s="7">
        <v>46253</v>
      </c>
      <c r="T1020" s="7" t="str">
        <f t="shared" si="0"/>
        <v>agosto</v>
      </c>
      <c r="X1020" s="1" t="s">
        <v>397</v>
      </c>
      <c r="Y1020" s="1" t="s">
        <v>398</v>
      </c>
      <c r="Z1020" s="1">
        <v>1</v>
      </c>
      <c r="AA1020" s="3">
        <v>9737.2800000000007</v>
      </c>
      <c r="AB1020" s="3">
        <v>9737.2800000000007</v>
      </c>
      <c r="AC1020" s="1" t="str">
        <f>VLOOKUP(A1020,[1]Detalle!$D$2:$CW$484,98,FALSE)</f>
        <v>Arcor S.A.I.C.</v>
      </c>
    </row>
    <row r="1021" spans="1:30" ht="14.25" customHeight="1" x14ac:dyDescent="0.3">
      <c r="A1021" s="1" t="s">
        <v>229</v>
      </c>
      <c r="B1021" s="1" t="s">
        <v>434</v>
      </c>
      <c r="C1021" s="1" t="s">
        <v>428</v>
      </c>
      <c r="D1021" s="1" t="s">
        <v>428</v>
      </c>
      <c r="E1021" s="1">
        <v>0.75</v>
      </c>
      <c r="F1021" s="1" t="s">
        <v>329</v>
      </c>
      <c r="G1021" s="1">
        <v>40688</v>
      </c>
      <c r="H1021" s="1">
        <v>60688</v>
      </c>
      <c r="I1021" s="1">
        <v>18559.899999999991</v>
      </c>
      <c r="J1021" s="1">
        <v>1440.100000000006</v>
      </c>
      <c r="K1021" s="1">
        <v>59247.899999999987</v>
      </c>
      <c r="L1021" s="1">
        <v>107</v>
      </c>
      <c r="M1021" s="1">
        <v>129.25862179487169</v>
      </c>
      <c r="N1021" s="1">
        <v>8.3023453790160868</v>
      </c>
      <c r="P1021" s="7">
        <v>45915</v>
      </c>
      <c r="R1021" s="7">
        <v>46280</v>
      </c>
      <c r="S1021" s="7">
        <v>46280</v>
      </c>
      <c r="T1021" s="7" t="str">
        <f t="shared" si="0"/>
        <v>septiembre</v>
      </c>
      <c r="X1021" s="1" t="s">
        <v>397</v>
      </c>
      <c r="Y1021" s="1" t="s">
        <v>398</v>
      </c>
      <c r="Z1021" s="1">
        <v>1</v>
      </c>
      <c r="AA1021" s="3">
        <v>9737.2800000000007</v>
      </c>
      <c r="AB1021" s="3">
        <v>9737.2800000000007</v>
      </c>
      <c r="AC1021" s="1" t="str">
        <f>VLOOKUP(A1021,[1]Detalle!$D$2:$CW$484,98,FALSE)</f>
        <v>Expreso - Servicios Troncales</v>
      </c>
    </row>
    <row r="1022" spans="1:30" ht="14.25" customHeight="1" x14ac:dyDescent="0.3">
      <c r="A1022" s="1" t="s">
        <v>33</v>
      </c>
      <c r="B1022" s="1" t="s">
        <v>429</v>
      </c>
      <c r="C1022" s="1" t="s">
        <v>428</v>
      </c>
      <c r="D1022" s="1" t="s">
        <v>428</v>
      </c>
      <c r="E1022" s="1">
        <v>0.75</v>
      </c>
      <c r="F1022" s="1" t="s">
        <v>329</v>
      </c>
      <c r="G1022" s="1">
        <v>40688</v>
      </c>
      <c r="H1022" s="1">
        <v>60688</v>
      </c>
      <c r="I1022" s="1">
        <v>18559.899999999991</v>
      </c>
      <c r="J1022" s="1">
        <v>1440.100000000006</v>
      </c>
      <c r="K1022" s="1">
        <v>59247.899999999987</v>
      </c>
      <c r="L1022" s="1">
        <v>107</v>
      </c>
      <c r="M1022" s="1">
        <v>129.25862179487169</v>
      </c>
      <c r="N1022" s="1">
        <v>8.3023453790160868</v>
      </c>
      <c r="P1022" s="7">
        <v>45924</v>
      </c>
      <c r="R1022" s="7">
        <v>46289</v>
      </c>
      <c r="S1022" s="7">
        <v>46289</v>
      </c>
      <c r="T1022" s="7" t="str">
        <f t="shared" si="0"/>
        <v>septiembre</v>
      </c>
      <c r="X1022" s="1" t="s">
        <v>397</v>
      </c>
      <c r="Y1022" s="1" t="s">
        <v>398</v>
      </c>
      <c r="Z1022" s="1">
        <v>1</v>
      </c>
      <c r="AA1022" s="3">
        <v>9737.2800000000007</v>
      </c>
      <c r="AB1022" s="3">
        <v>9737.2800000000007</v>
      </c>
      <c r="AC1022" s="1" t="str">
        <f>VLOOKUP(A1022,[1]Detalle!$D$2:$CW$484,98,FALSE)</f>
        <v>CENCOMLD - Cencosud SA - Mendoza</v>
      </c>
    </row>
    <row r="1023" spans="1:30" ht="14.25" customHeight="1" x14ac:dyDescent="0.3">
      <c r="A1023" s="1" t="s">
        <v>65</v>
      </c>
      <c r="B1023" s="1" t="s">
        <v>430</v>
      </c>
      <c r="C1023" s="1" t="s">
        <v>428</v>
      </c>
      <c r="D1023" s="1" t="s">
        <v>428</v>
      </c>
      <c r="E1023" s="1">
        <v>0.75</v>
      </c>
      <c r="F1023" s="1" t="s">
        <v>329</v>
      </c>
      <c r="G1023" s="1">
        <v>40688</v>
      </c>
      <c r="H1023" s="1">
        <v>60688</v>
      </c>
      <c r="I1023" s="1">
        <v>18559.899999999991</v>
      </c>
      <c r="J1023" s="1">
        <v>1440.100000000006</v>
      </c>
      <c r="K1023" s="1">
        <v>59247.899999999987</v>
      </c>
      <c r="L1023" s="1">
        <v>107</v>
      </c>
      <c r="M1023" s="1">
        <v>129.25862179487169</v>
      </c>
      <c r="N1023" s="1">
        <v>8.3023453790160868</v>
      </c>
      <c r="P1023" s="7">
        <v>45925</v>
      </c>
      <c r="R1023" s="7">
        <v>46290</v>
      </c>
      <c r="S1023" s="7">
        <v>46290</v>
      </c>
      <c r="T1023" s="7" t="str">
        <f t="shared" si="0"/>
        <v>septiembre</v>
      </c>
      <c r="X1023" s="1" t="s">
        <v>397</v>
      </c>
      <c r="Y1023" s="1" t="s">
        <v>398</v>
      </c>
      <c r="Z1023" s="1">
        <v>1</v>
      </c>
      <c r="AA1023" s="3">
        <v>9737.2800000000007</v>
      </c>
      <c r="AB1023" s="3">
        <v>9737.2800000000007</v>
      </c>
      <c r="AC1023" s="1" t="str">
        <f>VLOOKUP(A1023,[1]Detalle!$D$2:$CW$484,98,FALSE)</f>
        <v>Arcor S.A.I.C.</v>
      </c>
    </row>
    <row r="1024" spans="1:30" ht="14.25" customHeight="1" x14ac:dyDescent="0.3">
      <c r="A1024" s="1" t="s">
        <v>235</v>
      </c>
      <c r="B1024" s="1" t="s">
        <v>349</v>
      </c>
      <c r="C1024" s="1" t="s">
        <v>428</v>
      </c>
      <c r="D1024" s="1" t="s">
        <v>428</v>
      </c>
      <c r="E1024" s="1">
        <v>0.75</v>
      </c>
      <c r="F1024" s="1" t="s">
        <v>329</v>
      </c>
      <c r="G1024" s="1">
        <v>40688</v>
      </c>
      <c r="H1024" s="1">
        <v>60688</v>
      </c>
      <c r="I1024" s="1">
        <v>18559.899999999991</v>
      </c>
      <c r="J1024" s="1">
        <v>1440.100000000006</v>
      </c>
      <c r="K1024" s="1">
        <v>59247.899999999987</v>
      </c>
      <c r="L1024" s="1">
        <v>107</v>
      </c>
      <c r="M1024" s="1">
        <v>129.25862179487169</v>
      </c>
      <c r="N1024" s="1">
        <v>8.3023453790160868</v>
      </c>
      <c r="P1024" s="7">
        <v>45929</v>
      </c>
      <c r="R1024" s="7">
        <v>46294</v>
      </c>
      <c r="S1024" s="7">
        <v>46294</v>
      </c>
      <c r="T1024" s="7" t="str">
        <f t="shared" si="0"/>
        <v>septiembre</v>
      </c>
      <c r="X1024" s="1" t="s">
        <v>397</v>
      </c>
      <c r="Y1024" s="1" t="s">
        <v>398</v>
      </c>
      <c r="Z1024" s="1">
        <v>1</v>
      </c>
      <c r="AA1024" s="3">
        <v>9737.2800000000007</v>
      </c>
      <c r="AB1024" s="3">
        <v>9737.2800000000007</v>
      </c>
      <c r="AC1024" s="1" t="str">
        <f>VLOOKUP(A1024,[1]Detalle!$D$2:$CW$484,98,FALSE)</f>
        <v>CENCOMLD - Cencosud SA - Mendoza</v>
      </c>
    </row>
    <row r="1025" spans="1:29" ht="14.25" customHeight="1" x14ac:dyDescent="0.3">
      <c r="A1025" s="1" t="s">
        <v>105</v>
      </c>
      <c r="B1025" s="1">
        <v>710</v>
      </c>
      <c r="C1025" s="1" t="s">
        <v>328</v>
      </c>
      <c r="D1025" s="1" t="s">
        <v>328</v>
      </c>
      <c r="E1025" s="1">
        <v>0.75</v>
      </c>
      <c r="F1025" s="1" t="s">
        <v>329</v>
      </c>
      <c r="G1025" s="1">
        <v>40688</v>
      </c>
      <c r="H1025" s="1">
        <v>60688</v>
      </c>
      <c r="I1025" s="1">
        <v>18559.899999999991</v>
      </c>
      <c r="J1025" s="1">
        <v>1440.100000000006</v>
      </c>
      <c r="K1025" s="1">
        <v>59247.899999999987</v>
      </c>
      <c r="L1025" s="1">
        <v>107</v>
      </c>
      <c r="M1025" s="1">
        <v>129.25862179487169</v>
      </c>
      <c r="N1025" s="1">
        <v>8.3023453790160868</v>
      </c>
      <c r="P1025" s="7">
        <v>45677</v>
      </c>
      <c r="R1025" s="7">
        <v>46042</v>
      </c>
      <c r="S1025" s="7">
        <v>46042</v>
      </c>
      <c r="T1025" s="7" t="str">
        <f t="shared" si="0"/>
        <v>enero</v>
      </c>
      <c r="X1025" s="1" t="s">
        <v>331</v>
      </c>
      <c r="Y1025" s="1" t="s">
        <v>332</v>
      </c>
      <c r="Z1025" s="1">
        <v>16</v>
      </c>
      <c r="AA1025" s="3">
        <v>3389.9</v>
      </c>
      <c r="AB1025" s="3">
        <v>54238.400000000001</v>
      </c>
      <c r="AC1025" s="1" t="str">
        <f>VLOOKUP(A1025,[1]Detalle!$D$2:$CW$484,98,FALSE)</f>
        <v>SUC_MAL - Sucursal Malargüe</v>
      </c>
    </row>
    <row r="1026" spans="1:29" ht="14.25" customHeight="1" x14ac:dyDescent="0.3">
      <c r="A1026" s="1" t="s">
        <v>38</v>
      </c>
      <c r="B1026" s="1" t="s">
        <v>362</v>
      </c>
      <c r="C1026" s="1" t="s">
        <v>328</v>
      </c>
      <c r="D1026" s="1" t="s">
        <v>328</v>
      </c>
      <c r="E1026" s="1">
        <v>0.75</v>
      </c>
      <c r="F1026" s="1" t="s">
        <v>329</v>
      </c>
      <c r="G1026" s="1">
        <v>40688</v>
      </c>
      <c r="H1026" s="1">
        <v>60688</v>
      </c>
      <c r="I1026" s="1">
        <v>18559.899999999991</v>
      </c>
      <c r="J1026" s="1">
        <v>1440.100000000006</v>
      </c>
      <c r="K1026" s="1">
        <v>59247.899999999987</v>
      </c>
      <c r="L1026" s="1">
        <v>107</v>
      </c>
      <c r="M1026" s="1">
        <v>129.25862179487169</v>
      </c>
      <c r="N1026" s="1">
        <v>8.3023453790160868</v>
      </c>
      <c r="P1026" s="7">
        <v>45679</v>
      </c>
      <c r="R1026" s="7">
        <v>46044</v>
      </c>
      <c r="S1026" s="7">
        <v>46044</v>
      </c>
      <c r="T1026" s="7" t="str">
        <f t="shared" si="0"/>
        <v>enero</v>
      </c>
      <c r="X1026" s="1" t="s">
        <v>331</v>
      </c>
      <c r="Y1026" s="1" t="s">
        <v>332</v>
      </c>
      <c r="Z1026" s="1">
        <v>16</v>
      </c>
      <c r="AA1026" s="3">
        <v>3389.9</v>
      </c>
      <c r="AB1026" s="3">
        <v>54238.400000000001</v>
      </c>
      <c r="AC1026" s="1" t="str">
        <f>VLOOKUP(A1026,[1]Detalle!$D$2:$CW$484,98,FALSE)</f>
        <v>SUC_SRA - Sucursal San Rafael</v>
      </c>
    </row>
    <row r="1027" spans="1:29" ht="14.25" customHeight="1" x14ac:dyDescent="0.3">
      <c r="A1027" s="1" t="s">
        <v>74</v>
      </c>
      <c r="B1027" s="1" t="s">
        <v>338</v>
      </c>
      <c r="C1027" s="1" t="s">
        <v>328</v>
      </c>
      <c r="D1027" s="1" t="s">
        <v>328</v>
      </c>
      <c r="E1027" s="1">
        <v>0.75</v>
      </c>
      <c r="F1027" s="1" t="s">
        <v>329</v>
      </c>
      <c r="G1027" s="1">
        <v>40688</v>
      </c>
      <c r="H1027" s="1">
        <v>60688</v>
      </c>
      <c r="I1027" s="1">
        <v>18559.899999999991</v>
      </c>
      <c r="J1027" s="1">
        <v>1440.100000000006</v>
      </c>
      <c r="K1027" s="1">
        <v>59247.899999999987</v>
      </c>
      <c r="L1027" s="1">
        <v>107</v>
      </c>
      <c r="M1027" s="1">
        <v>129.25862179487169</v>
      </c>
      <c r="N1027" s="1">
        <v>8.3023453790160868</v>
      </c>
      <c r="P1027" s="7">
        <v>45681</v>
      </c>
      <c r="R1027" s="7">
        <v>46046</v>
      </c>
      <c r="S1027" s="7">
        <v>46046</v>
      </c>
      <c r="T1027" s="7" t="str">
        <f t="shared" si="0"/>
        <v>enero</v>
      </c>
      <c r="X1027" s="1" t="s">
        <v>331</v>
      </c>
      <c r="Y1027" s="1" t="s">
        <v>332</v>
      </c>
      <c r="Z1027" s="1">
        <v>16</v>
      </c>
      <c r="AA1027" s="3">
        <v>3389.9</v>
      </c>
      <c r="AB1027" s="3">
        <v>54238.400000000001</v>
      </c>
      <c r="AC1027" s="1" t="str">
        <f>VLOOKUP(A1027,[1]Detalle!$D$2:$CW$484,98,FALSE)</f>
        <v>CENCO_MZ - Cencosud SA - Mendoza</v>
      </c>
    </row>
    <row r="1028" spans="1:29" ht="14.25" customHeight="1" x14ac:dyDescent="0.3">
      <c r="A1028" s="1" t="s">
        <v>172</v>
      </c>
      <c r="B1028" s="1" t="s">
        <v>351</v>
      </c>
      <c r="C1028" s="1" t="s">
        <v>328</v>
      </c>
      <c r="D1028" s="1" t="s">
        <v>328</v>
      </c>
      <c r="E1028" s="1">
        <v>0.75</v>
      </c>
      <c r="F1028" s="1" t="s">
        <v>329</v>
      </c>
      <c r="G1028" s="1">
        <v>40688</v>
      </c>
      <c r="H1028" s="1">
        <v>60688</v>
      </c>
      <c r="I1028" s="1">
        <v>18559.899999999991</v>
      </c>
      <c r="J1028" s="1">
        <v>1440.100000000006</v>
      </c>
      <c r="K1028" s="1">
        <v>59247.899999999987</v>
      </c>
      <c r="L1028" s="1">
        <v>107</v>
      </c>
      <c r="M1028" s="1">
        <v>129.25862179487169</v>
      </c>
      <c r="N1028" s="1">
        <v>8.3023453790160868</v>
      </c>
      <c r="P1028" s="7">
        <v>45688</v>
      </c>
      <c r="R1028" s="7">
        <v>46053</v>
      </c>
      <c r="S1028" s="7">
        <v>46053</v>
      </c>
      <c r="T1028" s="7" t="str">
        <f t="shared" si="0"/>
        <v>enero</v>
      </c>
      <c r="X1028" s="1" t="s">
        <v>331</v>
      </c>
      <c r="Y1028" s="1" t="s">
        <v>332</v>
      </c>
      <c r="Z1028" s="1">
        <v>16</v>
      </c>
      <c r="AA1028" s="3">
        <v>3389.9</v>
      </c>
      <c r="AB1028" s="3">
        <v>54238.400000000001</v>
      </c>
      <c r="AC1028" s="1" t="str">
        <f>VLOOKUP(A1028,[1]Detalle!$D$2:$CW$484,98,FALSE)</f>
        <v>CENCO_MZ - Cencosud SA - Mendoza</v>
      </c>
    </row>
    <row r="1029" spans="1:29" ht="14.25" customHeight="1" x14ac:dyDescent="0.3">
      <c r="A1029" s="1" t="s">
        <v>152</v>
      </c>
      <c r="B1029" s="1" t="s">
        <v>351</v>
      </c>
      <c r="C1029" s="1" t="s">
        <v>328</v>
      </c>
      <c r="D1029" s="1" t="s">
        <v>328</v>
      </c>
      <c r="E1029" s="1">
        <v>0.75</v>
      </c>
      <c r="F1029" s="1" t="s">
        <v>329</v>
      </c>
      <c r="G1029" s="1">
        <v>40688</v>
      </c>
      <c r="H1029" s="1">
        <v>60688</v>
      </c>
      <c r="I1029" s="1">
        <v>18559.899999999991</v>
      </c>
      <c r="J1029" s="1">
        <v>1440.100000000006</v>
      </c>
      <c r="K1029" s="1">
        <v>59247.899999999987</v>
      </c>
      <c r="L1029" s="1">
        <v>107</v>
      </c>
      <c r="M1029" s="1">
        <v>129.25862179487169</v>
      </c>
      <c r="N1029" s="1">
        <v>8.3023453790160868</v>
      </c>
      <c r="P1029" s="7">
        <v>45693</v>
      </c>
      <c r="R1029" s="7">
        <v>46058</v>
      </c>
      <c r="S1029" s="7">
        <v>46058</v>
      </c>
      <c r="T1029" s="7" t="str">
        <f t="shared" si="0"/>
        <v>febrero</v>
      </c>
      <c r="X1029" s="1" t="s">
        <v>331</v>
      </c>
      <c r="Y1029" s="1" t="s">
        <v>332</v>
      </c>
      <c r="Z1029" s="1">
        <v>16</v>
      </c>
      <c r="AA1029" s="3">
        <v>3389.9</v>
      </c>
      <c r="AB1029" s="3">
        <v>54238.400000000001</v>
      </c>
      <c r="AC1029" s="1" t="str">
        <f>VLOOKUP(A1029,[1]Detalle!$D$2:$CW$484,98,FALSE)</f>
        <v>SUC_REA - Sucursal Realicó</v>
      </c>
    </row>
    <row r="1030" spans="1:29" ht="14.25" customHeight="1" x14ac:dyDescent="0.3">
      <c r="A1030" s="1" t="s">
        <v>243</v>
      </c>
      <c r="B1030" s="1" t="s">
        <v>341</v>
      </c>
      <c r="C1030" s="1" t="s">
        <v>328</v>
      </c>
      <c r="D1030" s="1" t="s">
        <v>328</v>
      </c>
      <c r="E1030" s="1">
        <v>0.75</v>
      </c>
      <c r="F1030" s="1" t="s">
        <v>329</v>
      </c>
      <c r="G1030" s="1">
        <v>40688</v>
      </c>
      <c r="H1030" s="1">
        <v>60688</v>
      </c>
      <c r="I1030" s="1">
        <v>18559.899999999991</v>
      </c>
      <c r="J1030" s="1">
        <v>1440.100000000006</v>
      </c>
      <c r="K1030" s="1">
        <v>59247.899999999987</v>
      </c>
      <c r="L1030" s="1">
        <v>107</v>
      </c>
      <c r="M1030" s="1">
        <v>129.25862179487169</v>
      </c>
      <c r="N1030" s="1">
        <v>8.3023453790160868</v>
      </c>
      <c r="P1030" s="7">
        <v>45699</v>
      </c>
      <c r="R1030" s="7">
        <v>46064</v>
      </c>
      <c r="S1030" s="7">
        <v>46064</v>
      </c>
      <c r="T1030" s="7" t="str">
        <f t="shared" si="0"/>
        <v>febrero</v>
      </c>
      <c r="X1030" s="1" t="s">
        <v>331</v>
      </c>
      <c r="Y1030" s="1" t="s">
        <v>332</v>
      </c>
      <c r="Z1030" s="1">
        <v>16</v>
      </c>
      <c r="AA1030" s="3">
        <v>3389.9</v>
      </c>
      <c r="AB1030" s="3">
        <v>54238.400000000001</v>
      </c>
      <c r="AC1030" s="1" t="str">
        <f>VLOOKUP(A1030,[1]Detalle!$D$2:$CW$484,98,FALSE)</f>
        <v>CMQ_TTE - QUILMES TTE</v>
      </c>
    </row>
    <row r="1031" spans="1:29" ht="14.25" customHeight="1" x14ac:dyDescent="0.3">
      <c r="A1031" s="1" t="s">
        <v>258</v>
      </c>
      <c r="B1031" s="1" t="s">
        <v>341</v>
      </c>
      <c r="C1031" s="1" t="s">
        <v>328</v>
      </c>
      <c r="D1031" s="1" t="s">
        <v>328</v>
      </c>
      <c r="E1031" s="1">
        <v>0.75</v>
      </c>
      <c r="F1031" s="1" t="s">
        <v>329</v>
      </c>
      <c r="G1031" s="1">
        <v>40688</v>
      </c>
      <c r="H1031" s="1">
        <v>60688</v>
      </c>
      <c r="I1031" s="1">
        <v>18559.899999999991</v>
      </c>
      <c r="J1031" s="1">
        <v>1440.100000000006</v>
      </c>
      <c r="K1031" s="1">
        <v>59247.899999999987</v>
      </c>
      <c r="L1031" s="1">
        <v>107</v>
      </c>
      <c r="M1031" s="1">
        <v>129.25862179487169</v>
      </c>
      <c r="N1031" s="1">
        <v>8.3023453790160868</v>
      </c>
      <c r="P1031" s="7">
        <v>45722</v>
      </c>
      <c r="R1031" s="7">
        <v>46087</v>
      </c>
      <c r="S1031" s="7">
        <v>46087</v>
      </c>
      <c r="T1031" s="7" t="str">
        <f t="shared" si="0"/>
        <v>marzo</v>
      </c>
      <c r="X1031" s="1" t="s">
        <v>331</v>
      </c>
      <c r="Y1031" s="1" t="s">
        <v>332</v>
      </c>
      <c r="Z1031" s="1">
        <v>16</v>
      </c>
      <c r="AA1031" s="3">
        <v>3389.9</v>
      </c>
      <c r="AB1031" s="3">
        <v>54238.400000000001</v>
      </c>
      <c r="AC1031" s="1" t="str">
        <f>VLOOKUP(A1031,[1]Detalle!$D$2:$CW$484,98,FALSE)</f>
        <v>CCUDyAZA</v>
      </c>
    </row>
    <row r="1032" spans="1:29" ht="14.25" customHeight="1" x14ac:dyDescent="0.3">
      <c r="A1032" s="1" t="s">
        <v>280</v>
      </c>
      <c r="B1032" s="1" t="s">
        <v>477</v>
      </c>
      <c r="C1032" s="1" t="s">
        <v>328</v>
      </c>
      <c r="D1032" s="1" t="s">
        <v>328</v>
      </c>
      <c r="E1032" s="1">
        <v>0.75</v>
      </c>
      <c r="F1032" s="1" t="s">
        <v>329</v>
      </c>
      <c r="G1032" s="1">
        <v>40688</v>
      </c>
      <c r="H1032" s="1">
        <v>60688</v>
      </c>
      <c r="I1032" s="1">
        <v>18559.899999999991</v>
      </c>
      <c r="J1032" s="1">
        <v>1440.100000000006</v>
      </c>
      <c r="K1032" s="1">
        <v>59247.899999999987</v>
      </c>
      <c r="L1032" s="1">
        <v>107</v>
      </c>
      <c r="M1032" s="1">
        <v>129.25862179487169</v>
      </c>
      <c r="N1032" s="1">
        <v>8.3023453790160868</v>
      </c>
      <c r="P1032" s="7">
        <v>45735</v>
      </c>
      <c r="R1032" s="7">
        <v>46100</v>
      </c>
      <c r="S1032" s="7">
        <v>46100</v>
      </c>
      <c r="T1032" s="7" t="str">
        <f t="shared" si="0"/>
        <v>marzo</v>
      </c>
      <c r="X1032" s="1" t="s">
        <v>331</v>
      </c>
      <c r="Y1032" s="1" t="s">
        <v>332</v>
      </c>
      <c r="Z1032" s="1">
        <v>15</v>
      </c>
      <c r="AA1032" s="3">
        <v>3389.9</v>
      </c>
      <c r="AB1032" s="3">
        <f>AA1032*Z1032</f>
        <v>50848.5</v>
      </c>
      <c r="AC1032" s="1" t="str">
        <f>VLOOKUP(A1032,[1]Detalle!$D$2:$CW$484,98,FALSE)</f>
        <v>Expreso - Servicios Troncales</v>
      </c>
    </row>
    <row r="1033" spans="1:29" ht="14.25" customHeight="1" x14ac:dyDescent="0.3">
      <c r="A1033" s="1" t="s">
        <v>205</v>
      </c>
      <c r="B1033" s="1" t="s">
        <v>351</v>
      </c>
      <c r="C1033" s="1" t="s">
        <v>328</v>
      </c>
      <c r="D1033" s="1" t="s">
        <v>328</v>
      </c>
      <c r="E1033" s="1">
        <v>0.75</v>
      </c>
      <c r="F1033" s="1" t="s">
        <v>329</v>
      </c>
      <c r="G1033" s="1">
        <v>40688</v>
      </c>
      <c r="H1033" s="1">
        <v>60688</v>
      </c>
      <c r="I1033" s="1">
        <v>18559.899999999991</v>
      </c>
      <c r="J1033" s="1">
        <v>1440.100000000006</v>
      </c>
      <c r="K1033" s="1">
        <v>59247.899999999987</v>
      </c>
      <c r="L1033" s="1">
        <v>107</v>
      </c>
      <c r="M1033" s="1">
        <v>129.25862179487169</v>
      </c>
      <c r="N1033" s="1">
        <v>8.3023453790160868</v>
      </c>
      <c r="P1033" s="7">
        <v>45735</v>
      </c>
      <c r="R1033" s="7">
        <v>46100</v>
      </c>
      <c r="S1033" s="7">
        <v>46100</v>
      </c>
      <c r="T1033" s="7" t="str">
        <f t="shared" si="0"/>
        <v>marzo</v>
      </c>
      <c r="X1033" s="1" t="s">
        <v>331</v>
      </c>
      <c r="Y1033" s="1" t="s">
        <v>332</v>
      </c>
      <c r="Z1033" s="1">
        <v>16</v>
      </c>
      <c r="AA1033" s="3">
        <v>3389.9</v>
      </c>
      <c r="AB1033" s="3">
        <v>54238.400000000001</v>
      </c>
      <c r="AC1033" s="1" t="str">
        <f>VLOOKUP(A1033,[1]Detalle!$D$2:$CW$484,98,FALSE)</f>
        <v>CCUCoAZA</v>
      </c>
    </row>
    <row r="1034" spans="1:29" ht="14.25" customHeight="1" x14ac:dyDescent="0.3">
      <c r="A1034" s="1" t="s">
        <v>272</v>
      </c>
      <c r="B1034" s="1" t="s">
        <v>349</v>
      </c>
      <c r="C1034" s="1" t="s">
        <v>328</v>
      </c>
      <c r="D1034" s="1" t="s">
        <v>328</v>
      </c>
      <c r="E1034" s="1">
        <v>0.75</v>
      </c>
      <c r="F1034" s="1" t="s">
        <v>329</v>
      </c>
      <c r="G1034" s="1">
        <v>40688</v>
      </c>
      <c r="H1034" s="1">
        <v>60688</v>
      </c>
      <c r="I1034" s="1">
        <v>18559.899999999991</v>
      </c>
      <c r="J1034" s="1">
        <v>1440.100000000006</v>
      </c>
      <c r="K1034" s="1">
        <v>59247.899999999987</v>
      </c>
      <c r="L1034" s="1">
        <v>107</v>
      </c>
      <c r="M1034" s="1">
        <v>129.25862179487169</v>
      </c>
      <c r="N1034" s="1">
        <v>8.3023453790160868</v>
      </c>
      <c r="P1034" s="7">
        <v>45734</v>
      </c>
      <c r="R1034" s="7">
        <v>46099</v>
      </c>
      <c r="S1034" s="7">
        <v>46099</v>
      </c>
      <c r="T1034" s="7" t="str">
        <f t="shared" si="0"/>
        <v>marzo</v>
      </c>
      <c r="X1034" s="1" t="s">
        <v>331</v>
      </c>
      <c r="Y1034" s="1" t="s">
        <v>332</v>
      </c>
      <c r="Z1034" s="1">
        <v>16</v>
      </c>
      <c r="AA1034" s="3">
        <v>3389.9</v>
      </c>
      <c r="AB1034" s="3">
        <v>54238.400000000001</v>
      </c>
      <c r="AC1034" s="1" t="str">
        <f>VLOOKUP(A1034,[1]Detalle!$D$2:$CW$484,98,FALSE)</f>
        <v>CCUDyAZA</v>
      </c>
    </row>
    <row r="1035" spans="1:29" ht="14.25" customHeight="1" x14ac:dyDescent="0.3">
      <c r="A1035" s="1" t="s">
        <v>114</v>
      </c>
      <c r="B1035" s="1">
        <v>1218</v>
      </c>
      <c r="C1035" s="1" t="s">
        <v>328</v>
      </c>
      <c r="D1035" s="1" t="s">
        <v>328</v>
      </c>
      <c r="E1035" s="1">
        <v>0.75</v>
      </c>
      <c r="F1035" s="1" t="s">
        <v>329</v>
      </c>
      <c r="G1035" s="1">
        <v>40688</v>
      </c>
      <c r="H1035" s="1">
        <v>60688</v>
      </c>
      <c r="I1035" s="1">
        <v>18559.899999999991</v>
      </c>
      <c r="J1035" s="1">
        <v>1440.100000000006</v>
      </c>
      <c r="K1035" s="1">
        <v>59247.899999999987</v>
      </c>
      <c r="L1035" s="1">
        <v>107</v>
      </c>
      <c r="M1035" s="1">
        <v>129.25862179487169</v>
      </c>
      <c r="N1035" s="1">
        <v>8.3023453790160868</v>
      </c>
      <c r="P1035" s="7">
        <v>45741</v>
      </c>
      <c r="R1035" s="7">
        <v>46106</v>
      </c>
      <c r="S1035" s="7">
        <v>46106</v>
      </c>
      <c r="T1035" s="7" t="str">
        <f t="shared" si="0"/>
        <v>marzo</v>
      </c>
      <c r="X1035" s="1" t="s">
        <v>331</v>
      </c>
      <c r="Y1035" s="1" t="s">
        <v>332</v>
      </c>
      <c r="Z1035" s="1">
        <v>15</v>
      </c>
      <c r="AA1035" s="3">
        <v>3389.9</v>
      </c>
      <c r="AB1035" s="3">
        <f>AA1035*Z1035</f>
        <v>50848.5</v>
      </c>
      <c r="AC1035" s="1" t="str">
        <f>VLOOKUP(A1035,[1]Detalle!$D$2:$CW$484,98,FALSE)</f>
        <v>Sin Operación</v>
      </c>
    </row>
    <row r="1036" spans="1:29" ht="14.25" customHeight="1" x14ac:dyDescent="0.3">
      <c r="A1036" s="1" t="s">
        <v>166</v>
      </c>
      <c r="B1036" s="1" t="s">
        <v>351</v>
      </c>
      <c r="C1036" s="1" t="s">
        <v>328</v>
      </c>
      <c r="D1036" s="1" t="s">
        <v>328</v>
      </c>
      <c r="E1036" s="1">
        <v>0.75</v>
      </c>
      <c r="F1036" s="1" t="s">
        <v>329</v>
      </c>
      <c r="G1036" s="1">
        <v>40688</v>
      </c>
      <c r="H1036" s="1">
        <v>60688</v>
      </c>
      <c r="I1036" s="1">
        <v>18559.899999999991</v>
      </c>
      <c r="J1036" s="1">
        <v>1440.100000000006</v>
      </c>
      <c r="K1036" s="1">
        <v>59247.899999999987</v>
      </c>
      <c r="L1036" s="1">
        <v>107</v>
      </c>
      <c r="M1036" s="1">
        <v>129.25862179487169</v>
      </c>
      <c r="N1036" s="1">
        <v>8.3023453790160868</v>
      </c>
      <c r="P1036" s="7">
        <v>45737</v>
      </c>
      <c r="R1036" s="7">
        <v>46102</v>
      </c>
      <c r="S1036" s="7">
        <v>46102</v>
      </c>
      <c r="T1036" s="7" t="str">
        <f t="shared" si="0"/>
        <v>marzo</v>
      </c>
      <c r="X1036" s="1" t="s">
        <v>331</v>
      </c>
      <c r="Y1036" s="1" t="s">
        <v>332</v>
      </c>
      <c r="Z1036" s="1">
        <v>16</v>
      </c>
      <c r="AA1036" s="3">
        <v>3389.9</v>
      </c>
      <c r="AB1036" s="3">
        <v>54238.400000000001</v>
      </c>
      <c r="AC1036" s="1" t="str">
        <f>VLOOKUP(A1036,[1]Detalle!$D$2:$CW$484,98,FALSE)</f>
        <v>CCUCoAZA</v>
      </c>
    </row>
    <row r="1037" spans="1:29" ht="14.25" customHeight="1" x14ac:dyDescent="0.3">
      <c r="A1037" s="1" t="s">
        <v>258</v>
      </c>
      <c r="B1037" s="1" t="s">
        <v>341</v>
      </c>
      <c r="C1037" s="1" t="s">
        <v>328</v>
      </c>
      <c r="D1037" s="1" t="s">
        <v>328</v>
      </c>
      <c r="E1037" s="1">
        <v>0.75</v>
      </c>
      <c r="F1037" s="1" t="s">
        <v>329</v>
      </c>
      <c r="G1037" s="1">
        <v>40688</v>
      </c>
      <c r="H1037" s="1">
        <v>60688</v>
      </c>
      <c r="I1037" s="1">
        <v>18559.899999999991</v>
      </c>
      <c r="J1037" s="1">
        <v>1440.100000000006</v>
      </c>
      <c r="K1037" s="1">
        <v>59247.899999999987</v>
      </c>
      <c r="L1037" s="1">
        <v>107</v>
      </c>
      <c r="M1037" s="1">
        <v>129.25862179487169</v>
      </c>
      <c r="N1037" s="1">
        <v>8.3023453790160868</v>
      </c>
      <c r="P1037" s="7">
        <v>45744</v>
      </c>
      <c r="R1037" s="7">
        <v>46109</v>
      </c>
      <c r="S1037" s="7">
        <v>46109</v>
      </c>
      <c r="T1037" s="7" t="str">
        <f t="shared" si="0"/>
        <v>marzo</v>
      </c>
      <c r="X1037" s="1" t="s">
        <v>331</v>
      </c>
      <c r="Y1037" s="1" t="s">
        <v>332</v>
      </c>
      <c r="Z1037" s="1">
        <v>16</v>
      </c>
      <c r="AA1037" s="3">
        <v>3389.9</v>
      </c>
      <c r="AB1037" s="3">
        <v>54238.400000000001</v>
      </c>
      <c r="AC1037" s="1" t="str">
        <f>VLOOKUP(A1037,[1]Detalle!$D$2:$CW$484,98,FALSE)</f>
        <v>CCUDyAZA</v>
      </c>
    </row>
    <row r="1038" spans="1:29" ht="14.25" customHeight="1" x14ac:dyDescent="0.3">
      <c r="A1038" s="1" t="s">
        <v>204</v>
      </c>
      <c r="B1038" s="1" t="s">
        <v>351</v>
      </c>
      <c r="C1038" s="1" t="s">
        <v>328</v>
      </c>
      <c r="D1038" s="1" t="s">
        <v>328</v>
      </c>
      <c r="E1038" s="1">
        <v>0.75</v>
      </c>
      <c r="F1038" s="1" t="s">
        <v>329</v>
      </c>
      <c r="G1038" s="1">
        <v>40688</v>
      </c>
      <c r="H1038" s="1">
        <v>60688</v>
      </c>
      <c r="I1038" s="1">
        <v>18559.899999999991</v>
      </c>
      <c r="J1038" s="1">
        <v>1440.100000000006</v>
      </c>
      <c r="K1038" s="1">
        <v>59247.899999999987</v>
      </c>
      <c r="L1038" s="1">
        <v>107</v>
      </c>
      <c r="M1038" s="1">
        <v>129.25862179487169</v>
      </c>
      <c r="N1038" s="1">
        <v>8.3023453790160868</v>
      </c>
      <c r="P1038" s="7">
        <v>45743</v>
      </c>
      <c r="R1038" s="7">
        <v>46108</v>
      </c>
      <c r="S1038" s="7">
        <v>46108</v>
      </c>
      <c r="T1038" s="7" t="str">
        <f t="shared" si="0"/>
        <v>marzo</v>
      </c>
      <c r="X1038" s="1" t="s">
        <v>331</v>
      </c>
      <c r="Y1038" s="1" t="s">
        <v>332</v>
      </c>
      <c r="Z1038" s="1">
        <v>16</v>
      </c>
      <c r="AA1038" s="3">
        <v>3389.9</v>
      </c>
      <c r="AB1038" s="3">
        <v>54238.400000000001</v>
      </c>
      <c r="AC1038" s="1" t="str">
        <f>VLOOKUP(A1038,[1]Detalle!$D$2:$CW$484,98,FALSE)</f>
        <v>CCUCoAZA</v>
      </c>
    </row>
    <row r="1039" spans="1:29" ht="14.25" customHeight="1" x14ac:dyDescent="0.3">
      <c r="A1039" s="1" t="s">
        <v>271</v>
      </c>
      <c r="B1039" s="1" t="s">
        <v>349</v>
      </c>
      <c r="C1039" s="1" t="s">
        <v>328</v>
      </c>
      <c r="D1039" s="1" t="s">
        <v>328</v>
      </c>
      <c r="E1039" s="1">
        <v>0.75</v>
      </c>
      <c r="F1039" s="1" t="s">
        <v>329</v>
      </c>
      <c r="G1039" s="1">
        <v>40688</v>
      </c>
      <c r="H1039" s="1">
        <v>60688</v>
      </c>
      <c r="I1039" s="1">
        <v>18559.899999999991</v>
      </c>
      <c r="J1039" s="1">
        <v>1440.100000000006</v>
      </c>
      <c r="K1039" s="1">
        <v>59247.899999999987</v>
      </c>
      <c r="L1039" s="1">
        <v>107</v>
      </c>
      <c r="M1039" s="1">
        <v>129.25862179487169</v>
      </c>
      <c r="N1039" s="1">
        <v>8.3023453790160868</v>
      </c>
      <c r="P1039" s="7">
        <v>45743</v>
      </c>
      <c r="R1039" s="7">
        <v>46108</v>
      </c>
      <c r="S1039" s="7">
        <v>46108</v>
      </c>
      <c r="T1039" s="7" t="str">
        <f t="shared" si="0"/>
        <v>marzo</v>
      </c>
      <c r="X1039" s="1" t="s">
        <v>331</v>
      </c>
      <c r="Y1039" s="1" t="s">
        <v>332</v>
      </c>
      <c r="Z1039" s="1">
        <v>16</v>
      </c>
      <c r="AA1039" s="3">
        <v>3389.9</v>
      </c>
      <c r="AB1039" s="3">
        <v>54238.400000000001</v>
      </c>
      <c r="AC1039" s="1" t="str">
        <f>VLOOKUP(A1039,[1]Detalle!$D$2:$CW$484,98,FALSE)</f>
        <v>CCUDyAZA</v>
      </c>
    </row>
    <row r="1040" spans="1:29" ht="14.25" customHeight="1" x14ac:dyDescent="0.3">
      <c r="A1040" s="1" t="s">
        <v>128</v>
      </c>
      <c r="B1040" s="1">
        <v>1620</v>
      </c>
      <c r="C1040" s="1" t="s">
        <v>328</v>
      </c>
      <c r="D1040" s="1" t="s">
        <v>328</v>
      </c>
      <c r="E1040" s="1">
        <v>0.75</v>
      </c>
      <c r="F1040" s="1" t="s">
        <v>329</v>
      </c>
      <c r="G1040" s="1">
        <v>40688</v>
      </c>
      <c r="H1040" s="1">
        <v>60688</v>
      </c>
      <c r="I1040" s="1">
        <v>18559.899999999991</v>
      </c>
      <c r="J1040" s="1">
        <v>1440.100000000006</v>
      </c>
      <c r="K1040" s="1">
        <v>59247.899999999987</v>
      </c>
      <c r="L1040" s="1">
        <v>107</v>
      </c>
      <c r="M1040" s="1">
        <v>129.25862179487169</v>
      </c>
      <c r="N1040" s="1">
        <v>8.3023453790160868</v>
      </c>
      <c r="P1040" s="7">
        <v>45743</v>
      </c>
      <c r="R1040" s="7">
        <v>46108</v>
      </c>
      <c r="S1040" s="7">
        <v>46108</v>
      </c>
      <c r="T1040" s="7" t="str">
        <f t="shared" si="0"/>
        <v>marzo</v>
      </c>
      <c r="X1040" s="1" t="s">
        <v>331</v>
      </c>
      <c r="Y1040" s="1" t="s">
        <v>332</v>
      </c>
      <c r="Z1040" s="1">
        <v>16</v>
      </c>
      <c r="AA1040" s="3">
        <v>3389.9</v>
      </c>
      <c r="AB1040" s="3">
        <v>54238.400000000001</v>
      </c>
      <c r="AC1040" s="1" t="str">
        <f>VLOOKUP(A1040,[1]Detalle!$D$2:$CW$484,98,FALSE)</f>
        <v>Arcor S.A.I.C.</v>
      </c>
    </row>
    <row r="1041" spans="1:29" ht="14.25" customHeight="1" x14ac:dyDescent="0.3">
      <c r="A1041" s="1" t="s">
        <v>182</v>
      </c>
      <c r="B1041" s="1" t="s">
        <v>351</v>
      </c>
      <c r="C1041" s="1" t="s">
        <v>328</v>
      </c>
      <c r="D1041" s="1" t="s">
        <v>328</v>
      </c>
      <c r="E1041" s="1">
        <v>0.75</v>
      </c>
      <c r="F1041" s="1" t="s">
        <v>329</v>
      </c>
      <c r="G1041" s="1">
        <v>40688</v>
      </c>
      <c r="H1041" s="1">
        <v>60688</v>
      </c>
      <c r="I1041" s="1">
        <v>18559.899999999991</v>
      </c>
      <c r="J1041" s="1">
        <v>1440.100000000006</v>
      </c>
      <c r="K1041" s="1">
        <v>59247.899999999987</v>
      </c>
      <c r="L1041" s="1">
        <v>107</v>
      </c>
      <c r="M1041" s="1">
        <v>129.25862179487169</v>
      </c>
      <c r="N1041" s="1">
        <v>8.3023453790160868</v>
      </c>
      <c r="P1041" s="7">
        <v>45748</v>
      </c>
      <c r="R1041" s="7">
        <v>46113</v>
      </c>
      <c r="S1041" s="7">
        <v>46113</v>
      </c>
      <c r="T1041" s="7" t="str">
        <f t="shared" si="0"/>
        <v>abril</v>
      </c>
      <c r="X1041" s="1" t="s">
        <v>331</v>
      </c>
      <c r="Y1041" s="1" t="s">
        <v>332</v>
      </c>
      <c r="Z1041" s="1">
        <v>28</v>
      </c>
      <c r="AA1041" s="3">
        <v>3389.9</v>
      </c>
      <c r="AB1041" s="3">
        <f>AA1041*Z1041</f>
        <v>94917.2</v>
      </c>
      <c r="AC1041" s="1" t="str">
        <f>VLOOKUP(A1041,[1]Detalle!$D$2:$CW$484,98,FALSE)</f>
        <v>CCU_MZA - Comp. Cerv. Unidas - MZA</v>
      </c>
    </row>
    <row r="1042" spans="1:29" ht="14.25" customHeight="1" x14ac:dyDescent="0.3">
      <c r="A1042" s="1" t="s">
        <v>185</v>
      </c>
      <c r="B1042" s="1" t="s">
        <v>351</v>
      </c>
      <c r="C1042" s="1" t="s">
        <v>328</v>
      </c>
      <c r="D1042" s="1" t="s">
        <v>328</v>
      </c>
      <c r="E1042" s="1">
        <v>0.75</v>
      </c>
      <c r="F1042" s="1" t="s">
        <v>329</v>
      </c>
      <c r="G1042" s="1">
        <v>40688</v>
      </c>
      <c r="H1042" s="1">
        <v>60688</v>
      </c>
      <c r="I1042" s="1">
        <v>18559.899999999991</v>
      </c>
      <c r="J1042" s="1">
        <v>1440.100000000006</v>
      </c>
      <c r="K1042" s="1">
        <v>59247.899999999987</v>
      </c>
      <c r="L1042" s="1">
        <v>107</v>
      </c>
      <c r="M1042" s="1">
        <v>129.25862179487169</v>
      </c>
      <c r="N1042" s="1">
        <v>8.3023453790160868</v>
      </c>
      <c r="P1042" s="7">
        <v>45748</v>
      </c>
      <c r="R1042" s="7">
        <v>46113</v>
      </c>
      <c r="S1042" s="7">
        <v>46113</v>
      </c>
      <c r="T1042" s="7" t="str">
        <f t="shared" si="0"/>
        <v>abril</v>
      </c>
      <c r="X1042" s="1" t="s">
        <v>331</v>
      </c>
      <c r="Y1042" s="1" t="s">
        <v>332</v>
      </c>
      <c r="Z1042" s="1">
        <v>16</v>
      </c>
      <c r="AA1042" s="3">
        <v>3389.9</v>
      </c>
      <c r="AB1042" s="3">
        <v>54238.400000000001</v>
      </c>
      <c r="AC1042" s="1" t="str">
        <f>VLOOKUP(A1042,[1]Detalle!$D$2:$CW$484,98,FALSE)</f>
        <v>CENCO_SJ - Cencosud SA - San Juan</v>
      </c>
    </row>
    <row r="1043" spans="1:29" ht="14.25" customHeight="1" x14ac:dyDescent="0.3">
      <c r="A1043" s="1" t="s">
        <v>272</v>
      </c>
      <c r="B1043" s="1" t="s">
        <v>349</v>
      </c>
      <c r="C1043" s="1" t="s">
        <v>328</v>
      </c>
      <c r="D1043" s="1" t="s">
        <v>328</v>
      </c>
      <c r="E1043" s="1">
        <v>0.75</v>
      </c>
      <c r="F1043" s="1" t="s">
        <v>329</v>
      </c>
      <c r="G1043" s="1">
        <v>40688</v>
      </c>
      <c r="H1043" s="1">
        <v>60688</v>
      </c>
      <c r="I1043" s="1">
        <v>18559.899999999991</v>
      </c>
      <c r="J1043" s="1">
        <v>1440.100000000006</v>
      </c>
      <c r="K1043" s="1">
        <v>59247.899999999987</v>
      </c>
      <c r="L1043" s="1">
        <v>107</v>
      </c>
      <c r="M1043" s="1">
        <v>129.25862179487169</v>
      </c>
      <c r="N1043" s="1">
        <v>8.3023453790160868</v>
      </c>
      <c r="P1043" s="7">
        <v>45750</v>
      </c>
      <c r="R1043" s="7">
        <v>46115</v>
      </c>
      <c r="S1043" s="7">
        <v>46115</v>
      </c>
      <c r="T1043" s="7" t="str">
        <f t="shared" si="0"/>
        <v>abril</v>
      </c>
      <c r="X1043" s="1" t="s">
        <v>331</v>
      </c>
      <c r="Y1043" s="1" t="s">
        <v>332</v>
      </c>
      <c r="Z1043" s="1">
        <v>16</v>
      </c>
      <c r="AA1043" s="3">
        <v>3389.9</v>
      </c>
      <c r="AB1043" s="3">
        <v>54238.400000000001</v>
      </c>
      <c r="AC1043" s="1" t="str">
        <f>VLOOKUP(A1043,[1]Detalle!$D$2:$CW$484,98,FALSE)</f>
        <v>CCUDyAZA</v>
      </c>
    </row>
    <row r="1044" spans="1:29" ht="14.25" customHeight="1" x14ac:dyDescent="0.3">
      <c r="A1044" s="1" t="s">
        <v>192</v>
      </c>
      <c r="B1044" s="1" t="s">
        <v>340</v>
      </c>
      <c r="C1044" s="1" t="s">
        <v>328</v>
      </c>
      <c r="D1044" s="1" t="s">
        <v>328</v>
      </c>
      <c r="E1044" s="1">
        <v>0.75</v>
      </c>
      <c r="F1044" s="1" t="s">
        <v>329</v>
      </c>
      <c r="G1044" s="1">
        <v>40688</v>
      </c>
      <c r="H1044" s="1">
        <v>60688</v>
      </c>
      <c r="I1044" s="1">
        <v>18559.899999999991</v>
      </c>
      <c r="J1044" s="1">
        <v>1440.100000000006</v>
      </c>
      <c r="K1044" s="1">
        <v>59247.899999999987</v>
      </c>
      <c r="L1044" s="1">
        <v>107</v>
      </c>
      <c r="M1044" s="1">
        <v>129.25862179487169</v>
      </c>
      <c r="N1044" s="1">
        <v>8.3023453790160868</v>
      </c>
      <c r="P1044" s="7">
        <v>45771</v>
      </c>
      <c r="R1044" s="7">
        <v>46136</v>
      </c>
      <c r="S1044" s="7">
        <v>46136</v>
      </c>
      <c r="T1044" s="7" t="str">
        <f t="shared" si="0"/>
        <v>abril</v>
      </c>
      <c r="X1044" s="1" t="s">
        <v>331</v>
      </c>
      <c r="Y1044" s="1" t="s">
        <v>332</v>
      </c>
      <c r="Z1044" s="1">
        <v>28</v>
      </c>
      <c r="AA1044" s="3">
        <v>3389.9</v>
      </c>
      <c r="AB1044" s="3">
        <f>AA1044*Z1044</f>
        <v>94917.2</v>
      </c>
      <c r="AC1044" s="1" t="str">
        <f>VLOOKUP(A1044,[1]Detalle!$D$2:$CW$484,98,FALSE)</f>
        <v>Sin Operación</v>
      </c>
    </row>
    <row r="1045" spans="1:29" ht="14.25" customHeight="1" x14ac:dyDescent="0.3">
      <c r="A1045" s="1" t="s">
        <v>76</v>
      </c>
      <c r="B1045" s="1" t="s">
        <v>352</v>
      </c>
      <c r="C1045" s="1" t="s">
        <v>328</v>
      </c>
      <c r="D1045" s="1" t="s">
        <v>328</v>
      </c>
      <c r="E1045" s="1">
        <v>0.75</v>
      </c>
      <c r="F1045" s="1" t="s">
        <v>329</v>
      </c>
      <c r="G1045" s="1">
        <v>40688</v>
      </c>
      <c r="H1045" s="1">
        <v>60688</v>
      </c>
      <c r="I1045" s="1">
        <v>18559.899999999991</v>
      </c>
      <c r="J1045" s="1">
        <v>1440.100000000006</v>
      </c>
      <c r="K1045" s="1">
        <v>59247.899999999987</v>
      </c>
      <c r="L1045" s="1">
        <v>107</v>
      </c>
      <c r="M1045" s="1">
        <v>129.25862179487169</v>
      </c>
      <c r="N1045" s="1">
        <v>8.3023453790160868</v>
      </c>
      <c r="P1045" s="7">
        <v>45785</v>
      </c>
      <c r="R1045" s="7">
        <v>46150</v>
      </c>
      <c r="S1045" s="7">
        <v>46150</v>
      </c>
      <c r="T1045" s="7" t="str">
        <f t="shared" si="0"/>
        <v>mayo</v>
      </c>
      <c r="X1045" s="1" t="s">
        <v>331</v>
      </c>
      <c r="Y1045" s="1" t="s">
        <v>332</v>
      </c>
      <c r="Z1045" s="1">
        <v>16</v>
      </c>
      <c r="AA1045" s="3">
        <v>3389.9</v>
      </c>
      <c r="AB1045" s="3">
        <v>54238.400000000001</v>
      </c>
      <c r="AC1045" s="1" t="str">
        <f>VLOOKUP(A1045,[1]Detalle!$D$2:$CW$484,98,FALSE)</f>
        <v>CCU_MZA - Comp. Cerv. Unidas - MZA</v>
      </c>
    </row>
    <row r="1046" spans="1:29" ht="14.25" customHeight="1" x14ac:dyDescent="0.3">
      <c r="A1046" s="1" t="s">
        <v>268</v>
      </c>
      <c r="B1046" s="1" t="s">
        <v>349</v>
      </c>
      <c r="C1046" s="1" t="s">
        <v>328</v>
      </c>
      <c r="D1046" s="1" t="s">
        <v>328</v>
      </c>
      <c r="E1046" s="1">
        <v>0.75</v>
      </c>
      <c r="F1046" s="1" t="s">
        <v>329</v>
      </c>
      <c r="G1046" s="1">
        <v>40688</v>
      </c>
      <c r="H1046" s="1">
        <v>60688</v>
      </c>
      <c r="I1046" s="1">
        <v>18559.899999999991</v>
      </c>
      <c r="J1046" s="1">
        <v>1440.100000000006</v>
      </c>
      <c r="K1046" s="1">
        <v>59247.899999999987</v>
      </c>
      <c r="L1046" s="1">
        <v>107</v>
      </c>
      <c r="M1046" s="1">
        <v>129.25862179487169</v>
      </c>
      <c r="N1046" s="1">
        <v>8.3023453790160868</v>
      </c>
      <c r="P1046" s="7">
        <v>45785</v>
      </c>
      <c r="R1046" s="7">
        <v>46150</v>
      </c>
      <c r="S1046" s="7">
        <v>46150</v>
      </c>
      <c r="T1046" s="7" t="str">
        <f t="shared" si="0"/>
        <v>mayo</v>
      </c>
      <c r="X1046" s="1" t="s">
        <v>331</v>
      </c>
      <c r="Y1046" s="1" t="s">
        <v>332</v>
      </c>
      <c r="Z1046" s="1">
        <v>16</v>
      </c>
      <c r="AA1046" s="3">
        <v>3389.9</v>
      </c>
      <c r="AB1046" s="3">
        <v>54238.400000000001</v>
      </c>
      <c r="AC1046" s="1" t="str">
        <f>VLOOKUP(A1046,[1]Detalle!$D$2:$CW$484,98,FALSE)</f>
        <v>CCUDyAZA</v>
      </c>
    </row>
    <row r="1047" spans="1:29" ht="14.25" customHeight="1" x14ac:dyDescent="0.3">
      <c r="A1047" s="1" t="s">
        <v>266</v>
      </c>
      <c r="B1047" s="1" t="s">
        <v>349</v>
      </c>
      <c r="C1047" s="1" t="s">
        <v>328</v>
      </c>
      <c r="D1047" s="1" t="s">
        <v>328</v>
      </c>
      <c r="E1047" s="1">
        <v>0.75</v>
      </c>
      <c r="F1047" s="1" t="s">
        <v>329</v>
      </c>
      <c r="G1047" s="1">
        <v>40688</v>
      </c>
      <c r="H1047" s="1">
        <v>60688</v>
      </c>
      <c r="I1047" s="1">
        <v>18559.899999999991</v>
      </c>
      <c r="J1047" s="1">
        <v>1440.100000000006</v>
      </c>
      <c r="K1047" s="1">
        <v>59247.899999999987</v>
      </c>
      <c r="L1047" s="1">
        <v>107</v>
      </c>
      <c r="M1047" s="1">
        <v>129.25862179487169</v>
      </c>
      <c r="N1047" s="1">
        <v>8.3023453790160868</v>
      </c>
      <c r="P1047" s="7">
        <v>45786</v>
      </c>
      <c r="R1047" s="7">
        <v>46151</v>
      </c>
      <c r="S1047" s="7">
        <v>46151</v>
      </c>
      <c r="T1047" s="7" t="str">
        <f t="shared" si="0"/>
        <v>mayo</v>
      </c>
      <c r="X1047" s="1" t="s">
        <v>331</v>
      </c>
      <c r="Y1047" s="1" t="s">
        <v>332</v>
      </c>
      <c r="Z1047" s="1">
        <v>16</v>
      </c>
      <c r="AA1047" s="3">
        <v>3389.9</v>
      </c>
      <c r="AB1047" s="3">
        <v>54238.400000000001</v>
      </c>
      <c r="AC1047" s="1" t="str">
        <f>VLOOKUP(A1047,[1]Detalle!$D$2:$CW$484,98,FALSE)</f>
        <v>CCUDyAZA</v>
      </c>
    </row>
    <row r="1048" spans="1:29" ht="14.25" customHeight="1" x14ac:dyDescent="0.3">
      <c r="A1048" s="1" t="s">
        <v>15</v>
      </c>
      <c r="B1048" s="1" t="s">
        <v>353</v>
      </c>
      <c r="C1048" s="1" t="s">
        <v>328</v>
      </c>
      <c r="D1048" s="1" t="s">
        <v>328</v>
      </c>
      <c r="E1048" s="1">
        <v>0.75</v>
      </c>
      <c r="F1048" s="1" t="s">
        <v>329</v>
      </c>
      <c r="G1048" s="1">
        <v>40688</v>
      </c>
      <c r="H1048" s="1">
        <v>60688</v>
      </c>
      <c r="I1048" s="1">
        <v>18559.899999999991</v>
      </c>
      <c r="J1048" s="1">
        <v>1440.100000000006</v>
      </c>
      <c r="K1048" s="1">
        <v>59247.899999999987</v>
      </c>
      <c r="L1048" s="1">
        <v>107</v>
      </c>
      <c r="M1048" s="1">
        <v>129.25862179487169</v>
      </c>
      <c r="N1048" s="1">
        <v>8.3023453790160868</v>
      </c>
      <c r="P1048" s="7">
        <v>45789</v>
      </c>
      <c r="R1048" s="7">
        <v>46154</v>
      </c>
      <c r="S1048" s="7">
        <v>46154</v>
      </c>
      <c r="T1048" s="7" t="str">
        <f t="shared" si="0"/>
        <v>mayo</v>
      </c>
      <c r="X1048" s="1" t="s">
        <v>331</v>
      </c>
      <c r="Y1048" s="1" t="s">
        <v>332</v>
      </c>
      <c r="Z1048" s="1">
        <v>16</v>
      </c>
      <c r="AA1048" s="3">
        <v>3389.9</v>
      </c>
      <c r="AB1048" s="3">
        <v>54238.400000000001</v>
      </c>
      <c r="AC1048" s="1" t="str">
        <f>VLOOKUP(A1048,[1]Detalle!$D$2:$CW$484,98,FALSE)</f>
        <v>CENCOMLD - Cencosud SA - Mendoza</v>
      </c>
    </row>
    <row r="1049" spans="1:29" ht="14.25" customHeight="1" x14ac:dyDescent="0.3">
      <c r="A1049" s="1" t="s">
        <v>237</v>
      </c>
      <c r="B1049" s="1" t="s">
        <v>349</v>
      </c>
      <c r="C1049" s="1" t="s">
        <v>328</v>
      </c>
      <c r="D1049" s="1" t="s">
        <v>328</v>
      </c>
      <c r="E1049" s="1">
        <v>0.75</v>
      </c>
      <c r="F1049" s="1" t="s">
        <v>329</v>
      </c>
      <c r="G1049" s="1">
        <v>40688</v>
      </c>
      <c r="H1049" s="1">
        <v>60688</v>
      </c>
      <c r="I1049" s="1">
        <v>18559.899999999991</v>
      </c>
      <c r="J1049" s="1">
        <v>1440.100000000006</v>
      </c>
      <c r="K1049" s="1">
        <v>59247.899999999987</v>
      </c>
      <c r="L1049" s="1">
        <v>107</v>
      </c>
      <c r="M1049" s="1">
        <v>129.25862179487169</v>
      </c>
      <c r="N1049" s="1">
        <v>8.3023453790160868</v>
      </c>
      <c r="P1049" s="7">
        <v>45790</v>
      </c>
      <c r="R1049" s="7">
        <v>46155</v>
      </c>
      <c r="S1049" s="7">
        <v>46155</v>
      </c>
      <c r="T1049" s="7" t="str">
        <f t="shared" si="0"/>
        <v>mayo</v>
      </c>
      <c r="X1049" s="1" t="s">
        <v>331</v>
      </c>
      <c r="Y1049" s="1" t="s">
        <v>332</v>
      </c>
      <c r="Z1049" s="1">
        <v>16</v>
      </c>
      <c r="AA1049" s="3">
        <v>3389.9</v>
      </c>
      <c r="AB1049" s="3">
        <v>54238.400000000001</v>
      </c>
      <c r="AC1049" s="1" t="str">
        <f>VLOOKUP(A1049,[1]Detalle!$D$2:$CW$484,98,FALSE)</f>
        <v>CENCOMLD - Cencosud SA - Mendoza</v>
      </c>
    </row>
    <row r="1050" spans="1:29" ht="14.25" customHeight="1" x14ac:dyDescent="0.3">
      <c r="A1050" s="1" t="s">
        <v>235</v>
      </c>
      <c r="B1050" s="1" t="s">
        <v>349</v>
      </c>
      <c r="C1050" s="1" t="s">
        <v>328</v>
      </c>
      <c r="D1050" s="1" t="s">
        <v>328</v>
      </c>
      <c r="E1050" s="1">
        <v>0.75</v>
      </c>
      <c r="F1050" s="1" t="s">
        <v>329</v>
      </c>
      <c r="G1050" s="1">
        <v>40688</v>
      </c>
      <c r="H1050" s="1">
        <v>60688</v>
      </c>
      <c r="I1050" s="1">
        <v>18559.899999999991</v>
      </c>
      <c r="J1050" s="1">
        <v>1440.100000000006</v>
      </c>
      <c r="K1050" s="1">
        <v>59247.899999999987</v>
      </c>
      <c r="L1050" s="1">
        <v>107</v>
      </c>
      <c r="M1050" s="1">
        <v>129.25862179487169</v>
      </c>
      <c r="N1050" s="1">
        <v>8.3023453790160868</v>
      </c>
      <c r="P1050" s="7">
        <v>45797</v>
      </c>
      <c r="R1050" s="7">
        <v>46162</v>
      </c>
      <c r="S1050" s="7">
        <v>46162</v>
      </c>
      <c r="T1050" s="7" t="str">
        <f t="shared" si="0"/>
        <v>mayo</v>
      </c>
      <c r="X1050" s="1" t="s">
        <v>331</v>
      </c>
      <c r="Y1050" s="1" t="s">
        <v>332</v>
      </c>
      <c r="Z1050" s="1">
        <v>16</v>
      </c>
      <c r="AA1050" s="3">
        <v>3389.9</v>
      </c>
      <c r="AB1050" s="3">
        <v>54238.400000000001</v>
      </c>
      <c r="AC1050" s="1" t="str">
        <f>VLOOKUP(A1050,[1]Detalle!$D$2:$CW$484,98,FALSE)</f>
        <v>CENCOMLD - Cencosud SA - Mendoza</v>
      </c>
    </row>
    <row r="1051" spans="1:29" ht="14.25" customHeight="1" x14ac:dyDescent="0.3">
      <c r="A1051" s="1" t="s">
        <v>227</v>
      </c>
      <c r="B1051" s="1" t="s">
        <v>340</v>
      </c>
      <c r="C1051" s="1" t="s">
        <v>328</v>
      </c>
      <c r="D1051" s="1" t="s">
        <v>328</v>
      </c>
      <c r="E1051" s="1">
        <v>0.75</v>
      </c>
      <c r="F1051" s="1" t="s">
        <v>329</v>
      </c>
      <c r="G1051" s="1">
        <v>40688</v>
      </c>
      <c r="H1051" s="1">
        <v>60688</v>
      </c>
      <c r="I1051" s="1">
        <v>18559.899999999991</v>
      </c>
      <c r="J1051" s="1">
        <v>1440.100000000006</v>
      </c>
      <c r="K1051" s="1">
        <v>59247.899999999987</v>
      </c>
      <c r="L1051" s="1">
        <v>107</v>
      </c>
      <c r="M1051" s="1">
        <v>129.25862179487169</v>
      </c>
      <c r="N1051" s="1">
        <v>8.3023453790160868</v>
      </c>
      <c r="P1051" s="7">
        <v>45793</v>
      </c>
      <c r="R1051" s="7">
        <v>46158</v>
      </c>
      <c r="S1051" s="7">
        <v>46158</v>
      </c>
      <c r="T1051" s="7" t="str">
        <f t="shared" si="0"/>
        <v>mayo</v>
      </c>
      <c r="X1051" s="1" t="s">
        <v>331</v>
      </c>
      <c r="Y1051" s="1" t="s">
        <v>332</v>
      </c>
      <c r="Z1051" s="1">
        <v>16</v>
      </c>
      <c r="AA1051" s="3">
        <v>3389.9</v>
      </c>
      <c r="AB1051" s="3">
        <v>54238.400000000001</v>
      </c>
      <c r="AC1051" s="1" t="str">
        <f>VLOOKUP(A1051,[1]Detalle!$D$2:$CW$484,98,FALSE)</f>
        <v>CCUCoAZA</v>
      </c>
    </row>
    <row r="1052" spans="1:29" ht="14.25" customHeight="1" x14ac:dyDescent="0.3">
      <c r="A1052" s="1" t="s">
        <v>269</v>
      </c>
      <c r="B1052" s="1" t="s">
        <v>349</v>
      </c>
      <c r="C1052" s="1" t="s">
        <v>328</v>
      </c>
      <c r="D1052" s="1" t="s">
        <v>328</v>
      </c>
      <c r="E1052" s="1">
        <v>0.75</v>
      </c>
      <c r="F1052" s="1" t="s">
        <v>329</v>
      </c>
      <c r="G1052" s="1">
        <v>40688</v>
      </c>
      <c r="H1052" s="1">
        <v>60688</v>
      </c>
      <c r="I1052" s="1">
        <v>18559.899999999991</v>
      </c>
      <c r="J1052" s="1">
        <v>1440.100000000006</v>
      </c>
      <c r="K1052" s="1">
        <v>59247.899999999987</v>
      </c>
      <c r="L1052" s="1">
        <v>107</v>
      </c>
      <c r="M1052" s="1">
        <v>129.25862179487169</v>
      </c>
      <c r="N1052" s="1">
        <v>8.3023453790160868</v>
      </c>
      <c r="P1052" s="7">
        <v>45799</v>
      </c>
      <c r="R1052" s="7">
        <v>46164</v>
      </c>
      <c r="S1052" s="7">
        <v>46164</v>
      </c>
      <c r="T1052" s="7" t="str">
        <f t="shared" si="0"/>
        <v>mayo</v>
      </c>
      <c r="X1052" s="1" t="s">
        <v>331</v>
      </c>
      <c r="Y1052" s="1" t="s">
        <v>332</v>
      </c>
      <c r="Z1052" s="1">
        <v>16</v>
      </c>
      <c r="AA1052" s="3">
        <v>3389.9</v>
      </c>
      <c r="AB1052" s="3">
        <v>54238.400000000001</v>
      </c>
      <c r="AC1052" s="1" t="str">
        <f>VLOOKUP(A1052,[1]Detalle!$D$2:$CW$484,98,FALSE)</f>
        <v>CCUDyAZA</v>
      </c>
    </row>
    <row r="1053" spans="1:29" ht="14.25" customHeight="1" x14ac:dyDescent="0.3">
      <c r="A1053" s="1" t="s">
        <v>203</v>
      </c>
      <c r="B1053" s="1" t="s">
        <v>340</v>
      </c>
      <c r="C1053" s="1" t="s">
        <v>328</v>
      </c>
      <c r="D1053" s="1" t="s">
        <v>328</v>
      </c>
      <c r="E1053" s="1">
        <v>0.75</v>
      </c>
      <c r="F1053" s="1" t="s">
        <v>329</v>
      </c>
      <c r="G1053" s="1">
        <v>40688</v>
      </c>
      <c r="H1053" s="1">
        <v>60688</v>
      </c>
      <c r="I1053" s="1">
        <v>18559.899999999991</v>
      </c>
      <c r="J1053" s="1">
        <v>1440.100000000006</v>
      </c>
      <c r="K1053" s="1">
        <v>59247.899999999987</v>
      </c>
      <c r="L1053" s="1">
        <v>107</v>
      </c>
      <c r="M1053" s="1">
        <v>129.25862179487169</v>
      </c>
      <c r="N1053" s="1">
        <v>8.3023453790160868</v>
      </c>
      <c r="P1053" s="7">
        <v>45799</v>
      </c>
      <c r="R1053" s="7">
        <v>46164</v>
      </c>
      <c r="S1053" s="7">
        <v>46164</v>
      </c>
      <c r="T1053" s="7" t="str">
        <f t="shared" si="0"/>
        <v>mayo</v>
      </c>
      <c r="X1053" s="1" t="s">
        <v>331</v>
      </c>
      <c r="Y1053" s="1" t="s">
        <v>332</v>
      </c>
      <c r="Z1053" s="1">
        <v>16</v>
      </c>
      <c r="AA1053" s="3">
        <v>3389.9</v>
      </c>
      <c r="AB1053" s="3">
        <v>54238.400000000001</v>
      </c>
      <c r="AC1053" s="1" t="str">
        <f>VLOOKUP(A1053,[1]Detalle!$D$2:$CW$484,98,FALSE)</f>
        <v>CCUDyAZA</v>
      </c>
    </row>
    <row r="1054" spans="1:29" ht="14.25" customHeight="1" x14ac:dyDescent="0.3">
      <c r="A1054" s="1" t="s">
        <v>130</v>
      </c>
      <c r="B1054" s="1">
        <v>1620</v>
      </c>
      <c r="C1054" s="1" t="s">
        <v>328</v>
      </c>
      <c r="D1054" s="1" t="s">
        <v>328</v>
      </c>
      <c r="E1054" s="1">
        <v>0.75</v>
      </c>
      <c r="F1054" s="1" t="s">
        <v>329</v>
      </c>
      <c r="G1054" s="1">
        <v>40688</v>
      </c>
      <c r="H1054" s="1">
        <v>60688</v>
      </c>
      <c r="I1054" s="1">
        <v>18559.899999999991</v>
      </c>
      <c r="J1054" s="1">
        <v>1440.100000000006</v>
      </c>
      <c r="K1054" s="1">
        <v>59247.899999999987</v>
      </c>
      <c r="L1054" s="1">
        <v>107</v>
      </c>
      <c r="M1054" s="1">
        <v>129.25862179487169</v>
      </c>
      <c r="N1054" s="1">
        <v>8.3023453790160868</v>
      </c>
      <c r="P1054" s="7">
        <v>45800</v>
      </c>
      <c r="R1054" s="7">
        <v>46165</v>
      </c>
      <c r="S1054" s="7">
        <v>46165</v>
      </c>
      <c r="T1054" s="7" t="str">
        <f t="shared" si="0"/>
        <v>mayo</v>
      </c>
      <c r="X1054" s="1" t="s">
        <v>331</v>
      </c>
      <c r="Y1054" s="1" t="s">
        <v>332</v>
      </c>
      <c r="Z1054" s="1">
        <v>16</v>
      </c>
      <c r="AA1054" s="3">
        <v>3389.9</v>
      </c>
      <c r="AB1054" s="3">
        <v>54238.400000000001</v>
      </c>
      <c r="AC1054" s="1" t="str">
        <f>VLOOKUP(A1054,[1]Detalle!$D$2:$CW$484,98,FALSE)</f>
        <v>CMQ_TTE - QUILMES TTE</v>
      </c>
    </row>
    <row r="1055" spans="1:29" ht="14.25" customHeight="1" x14ac:dyDescent="0.3">
      <c r="A1055" s="1" t="s">
        <v>55</v>
      </c>
      <c r="B1055" s="1" t="s">
        <v>478</v>
      </c>
      <c r="C1055" s="1" t="s">
        <v>328</v>
      </c>
      <c r="D1055" s="1" t="s">
        <v>328</v>
      </c>
      <c r="E1055" s="1">
        <v>0.75</v>
      </c>
      <c r="F1055" s="1" t="s">
        <v>329</v>
      </c>
      <c r="G1055" s="1">
        <v>40688</v>
      </c>
      <c r="H1055" s="1">
        <v>60688</v>
      </c>
      <c r="I1055" s="1">
        <v>18559.899999999991</v>
      </c>
      <c r="J1055" s="1">
        <v>1440.100000000006</v>
      </c>
      <c r="K1055" s="1">
        <v>59247.899999999987</v>
      </c>
      <c r="L1055" s="1">
        <v>107</v>
      </c>
      <c r="M1055" s="1">
        <v>129.25862179487169</v>
      </c>
      <c r="N1055" s="1">
        <v>8.3023453790160868</v>
      </c>
      <c r="P1055" s="7">
        <v>45800</v>
      </c>
      <c r="R1055" s="7">
        <v>46165</v>
      </c>
      <c r="S1055" s="7">
        <v>46165</v>
      </c>
      <c r="T1055" s="7" t="str">
        <f t="shared" si="0"/>
        <v>mayo</v>
      </c>
      <c r="X1055" s="1" t="s">
        <v>331</v>
      </c>
      <c r="Y1055" s="1" t="s">
        <v>332</v>
      </c>
      <c r="Z1055" s="1">
        <v>16</v>
      </c>
      <c r="AA1055" s="3">
        <v>3389.9</v>
      </c>
      <c r="AB1055" s="3">
        <v>54238.400000000001</v>
      </c>
      <c r="AC1055" s="1" t="str">
        <f>VLOOKUP(A1055,[1]Detalle!$D$2:$CW$484,98,FALSE)</f>
        <v>CMQ_TTE - QUILMES TTE</v>
      </c>
    </row>
    <row r="1056" spans="1:29" ht="14.25" customHeight="1" x14ac:dyDescent="0.3">
      <c r="A1056" s="1" t="s">
        <v>198</v>
      </c>
      <c r="B1056" s="1" t="s">
        <v>340</v>
      </c>
      <c r="C1056" s="1" t="s">
        <v>328</v>
      </c>
      <c r="D1056" s="1" t="s">
        <v>328</v>
      </c>
      <c r="E1056" s="1">
        <v>0.75</v>
      </c>
      <c r="F1056" s="1" t="s">
        <v>329</v>
      </c>
      <c r="G1056" s="1">
        <v>40688</v>
      </c>
      <c r="H1056" s="1">
        <v>60688</v>
      </c>
      <c r="I1056" s="1">
        <v>18559.899999999991</v>
      </c>
      <c r="J1056" s="1">
        <v>1440.100000000006</v>
      </c>
      <c r="K1056" s="1">
        <v>59247.899999999987</v>
      </c>
      <c r="L1056" s="1">
        <v>107</v>
      </c>
      <c r="M1056" s="1">
        <v>129.25862179487169</v>
      </c>
      <c r="N1056" s="1">
        <v>8.3023453790160868</v>
      </c>
      <c r="P1056" s="7">
        <v>45801</v>
      </c>
      <c r="R1056" s="7">
        <v>46166</v>
      </c>
      <c r="S1056" s="7">
        <v>46166</v>
      </c>
      <c r="T1056" s="7" t="str">
        <f t="shared" si="0"/>
        <v>mayo</v>
      </c>
      <c r="X1056" s="1" t="s">
        <v>331</v>
      </c>
      <c r="Y1056" s="1" t="s">
        <v>332</v>
      </c>
      <c r="Z1056" s="1">
        <v>16</v>
      </c>
      <c r="AA1056" s="3">
        <v>3389.9</v>
      </c>
      <c r="AB1056" s="3">
        <v>54238.400000000001</v>
      </c>
      <c r="AC1056" s="1" t="str">
        <f>VLOOKUP(A1056,[1]Detalle!$D$2:$CW$484,98,FALSE)</f>
        <v>CCUCoAZA</v>
      </c>
    </row>
    <row r="1057" spans="1:29" ht="14.25" customHeight="1" x14ac:dyDescent="0.3">
      <c r="A1057" s="1" t="s">
        <v>212</v>
      </c>
      <c r="B1057" s="1" t="s">
        <v>341</v>
      </c>
      <c r="C1057" s="1" t="s">
        <v>328</v>
      </c>
      <c r="D1057" s="1" t="s">
        <v>328</v>
      </c>
      <c r="E1057" s="1">
        <v>0.75</v>
      </c>
      <c r="F1057" s="1" t="s">
        <v>329</v>
      </c>
      <c r="G1057" s="1">
        <v>40688</v>
      </c>
      <c r="H1057" s="1">
        <v>60688</v>
      </c>
      <c r="I1057" s="1">
        <v>18559.899999999991</v>
      </c>
      <c r="J1057" s="1">
        <v>1440.100000000006</v>
      </c>
      <c r="K1057" s="1">
        <v>59247.899999999987</v>
      </c>
      <c r="L1057" s="1">
        <v>107</v>
      </c>
      <c r="M1057" s="1">
        <v>129.25862179487169</v>
      </c>
      <c r="N1057" s="1">
        <v>8.3023453790160868</v>
      </c>
      <c r="P1057" s="7">
        <v>45803</v>
      </c>
      <c r="R1057" s="7">
        <v>46168</v>
      </c>
      <c r="S1057" s="7">
        <v>46168</v>
      </c>
      <c r="T1057" s="7" t="str">
        <f t="shared" si="0"/>
        <v>mayo</v>
      </c>
      <c r="X1057" s="1" t="s">
        <v>331</v>
      </c>
      <c r="Y1057" s="1" t="s">
        <v>332</v>
      </c>
      <c r="Z1057" s="1">
        <v>16</v>
      </c>
      <c r="AA1057" s="3">
        <v>3389.9</v>
      </c>
      <c r="AB1057" s="3">
        <v>54238.400000000001</v>
      </c>
      <c r="AC1057" s="1" t="str">
        <f>VLOOKUP(A1057,[1]Detalle!$D$2:$CW$484,98,FALSE)</f>
        <v>Sin Operación</v>
      </c>
    </row>
    <row r="1058" spans="1:29" ht="14.25" customHeight="1" x14ac:dyDescent="0.3">
      <c r="A1058" s="1" t="s">
        <v>14</v>
      </c>
      <c r="B1058" s="1" t="s">
        <v>435</v>
      </c>
      <c r="C1058" s="1" t="s">
        <v>328</v>
      </c>
      <c r="D1058" s="1" t="s">
        <v>328</v>
      </c>
      <c r="E1058" s="1">
        <v>0.75</v>
      </c>
      <c r="F1058" s="1" t="s">
        <v>329</v>
      </c>
      <c r="G1058" s="1">
        <v>40688</v>
      </c>
      <c r="H1058" s="1">
        <v>60688</v>
      </c>
      <c r="I1058" s="1">
        <v>18559.899999999991</v>
      </c>
      <c r="J1058" s="1">
        <v>1440.100000000006</v>
      </c>
      <c r="K1058" s="1">
        <v>59247.899999999987</v>
      </c>
      <c r="L1058" s="1">
        <v>107</v>
      </c>
      <c r="M1058" s="1">
        <v>129.25862179487169</v>
      </c>
      <c r="N1058" s="1">
        <v>8.3023453790160868</v>
      </c>
      <c r="P1058" s="7">
        <v>45803</v>
      </c>
      <c r="R1058" s="7">
        <v>46168</v>
      </c>
      <c r="S1058" s="7">
        <v>46168</v>
      </c>
      <c r="T1058" s="7" t="str">
        <f t="shared" si="0"/>
        <v>mayo</v>
      </c>
      <c r="X1058" s="1" t="s">
        <v>331</v>
      </c>
      <c r="Y1058" s="1" t="s">
        <v>332</v>
      </c>
      <c r="Z1058" s="1">
        <v>16</v>
      </c>
      <c r="AA1058" s="3">
        <v>3389.9</v>
      </c>
      <c r="AB1058" s="3">
        <v>54238.400000000001</v>
      </c>
      <c r="AC1058" s="1" t="str">
        <f>VLOOKUP(A1058,[1]Detalle!$D$2:$CW$484,98,FALSE)</f>
        <v>ADA_CH - Danone Arg. S.A. - Chascomus</v>
      </c>
    </row>
    <row r="1059" spans="1:29" ht="14.25" customHeight="1" x14ac:dyDescent="0.3">
      <c r="A1059" s="1" t="s">
        <v>259</v>
      </c>
      <c r="B1059" s="1" t="s">
        <v>341</v>
      </c>
      <c r="C1059" s="1" t="s">
        <v>328</v>
      </c>
      <c r="D1059" s="1" t="s">
        <v>328</v>
      </c>
      <c r="E1059" s="1">
        <v>0.75</v>
      </c>
      <c r="F1059" s="1" t="s">
        <v>329</v>
      </c>
      <c r="G1059" s="1">
        <v>40688</v>
      </c>
      <c r="H1059" s="1">
        <v>60688</v>
      </c>
      <c r="I1059" s="1">
        <v>18559.899999999991</v>
      </c>
      <c r="J1059" s="1">
        <v>1440.100000000006</v>
      </c>
      <c r="K1059" s="1">
        <v>59247.899999999987</v>
      </c>
      <c r="L1059" s="1">
        <v>107</v>
      </c>
      <c r="M1059" s="1">
        <v>129.25862179487169</v>
      </c>
      <c r="N1059" s="1">
        <v>8.3023453790160868</v>
      </c>
      <c r="P1059" s="7">
        <v>45812</v>
      </c>
      <c r="R1059" s="7">
        <v>46177</v>
      </c>
      <c r="S1059" s="7">
        <v>46177</v>
      </c>
      <c r="T1059" s="7" t="str">
        <f t="shared" si="0"/>
        <v>junio</v>
      </c>
      <c r="X1059" s="1" t="s">
        <v>331</v>
      </c>
      <c r="Y1059" s="1" t="s">
        <v>332</v>
      </c>
      <c r="Z1059" s="1">
        <v>16</v>
      </c>
      <c r="AA1059" s="3">
        <v>3389.9</v>
      </c>
      <c r="AB1059" s="3">
        <v>54238.400000000001</v>
      </c>
      <c r="AC1059" s="1" t="str">
        <f>VLOOKUP(A1059,[1]Detalle!$D$2:$CW$484,98,FALSE)</f>
        <v>CCUDyAZA</v>
      </c>
    </row>
    <row r="1060" spans="1:29" ht="14.25" customHeight="1" x14ac:dyDescent="0.3">
      <c r="A1060" s="1" t="s">
        <v>73</v>
      </c>
      <c r="B1060" s="1" t="s">
        <v>479</v>
      </c>
      <c r="C1060" s="1" t="s">
        <v>328</v>
      </c>
      <c r="D1060" s="1" t="s">
        <v>328</v>
      </c>
      <c r="E1060" s="1">
        <v>0.75</v>
      </c>
      <c r="F1060" s="1" t="s">
        <v>329</v>
      </c>
      <c r="G1060" s="1">
        <v>40688</v>
      </c>
      <c r="H1060" s="1">
        <v>60688</v>
      </c>
      <c r="I1060" s="1">
        <v>18559.899999999991</v>
      </c>
      <c r="J1060" s="1">
        <v>1440.100000000006</v>
      </c>
      <c r="K1060" s="1">
        <v>59247.899999999987</v>
      </c>
      <c r="L1060" s="1">
        <v>107</v>
      </c>
      <c r="M1060" s="1">
        <v>129.25862179487169</v>
      </c>
      <c r="N1060" s="1">
        <v>8.3023453790160868</v>
      </c>
      <c r="P1060" s="7">
        <v>45814</v>
      </c>
      <c r="R1060" s="7">
        <v>46179</v>
      </c>
      <c r="S1060" s="7">
        <v>46179</v>
      </c>
      <c r="T1060" s="7" t="str">
        <f t="shared" si="0"/>
        <v>junio</v>
      </c>
      <c r="X1060" s="1" t="s">
        <v>331</v>
      </c>
      <c r="Y1060" s="1" t="s">
        <v>332</v>
      </c>
      <c r="Z1060" s="1">
        <v>16</v>
      </c>
      <c r="AA1060" s="3">
        <v>3389.9</v>
      </c>
      <c r="AB1060" s="3">
        <v>54238.400000000001</v>
      </c>
      <c r="AC1060" s="1" t="str">
        <f>VLOOKUP(A1060,[1]Detalle!$D$2:$CW$484,98,FALSE)</f>
        <v>CMQ_TTE - QUILMES TTE</v>
      </c>
    </row>
    <row r="1061" spans="1:29" ht="14.25" customHeight="1" x14ac:dyDescent="0.3">
      <c r="A1061" s="1" t="s">
        <v>245</v>
      </c>
      <c r="B1061" s="1" t="s">
        <v>341</v>
      </c>
      <c r="C1061" s="1" t="s">
        <v>328</v>
      </c>
      <c r="D1061" s="1" t="s">
        <v>328</v>
      </c>
      <c r="E1061" s="1">
        <v>0.75</v>
      </c>
      <c r="F1061" s="1" t="s">
        <v>329</v>
      </c>
      <c r="G1061" s="1">
        <v>40688</v>
      </c>
      <c r="H1061" s="1">
        <v>60688</v>
      </c>
      <c r="I1061" s="1">
        <v>18559.899999999991</v>
      </c>
      <c r="J1061" s="1">
        <v>1440.100000000006</v>
      </c>
      <c r="K1061" s="1">
        <v>59247.899999999987</v>
      </c>
      <c r="L1061" s="1">
        <v>107</v>
      </c>
      <c r="M1061" s="1">
        <v>129.25862179487169</v>
      </c>
      <c r="N1061" s="1">
        <v>8.3023453790160868</v>
      </c>
      <c r="P1061" s="7">
        <v>45817</v>
      </c>
      <c r="R1061" s="7">
        <v>46182</v>
      </c>
      <c r="S1061" s="7">
        <v>46182</v>
      </c>
      <c r="T1061" s="7" t="str">
        <f t="shared" si="0"/>
        <v>junio</v>
      </c>
      <c r="X1061" s="1" t="s">
        <v>331</v>
      </c>
      <c r="Y1061" s="1" t="s">
        <v>332</v>
      </c>
      <c r="Z1061" s="1">
        <v>16</v>
      </c>
      <c r="AA1061" s="3">
        <v>3389.9</v>
      </c>
      <c r="AB1061" s="3">
        <v>54238.400000000001</v>
      </c>
      <c r="AC1061" s="1" t="str">
        <f>VLOOKUP(A1061,[1]Detalle!$D$2:$CW$484,98,FALSE)</f>
        <v>CMQ_TTE - QUILMES TTE</v>
      </c>
    </row>
    <row r="1062" spans="1:29" ht="14.25" customHeight="1" x14ac:dyDescent="0.3">
      <c r="A1062" s="1" t="s">
        <v>222</v>
      </c>
      <c r="B1062" s="1" t="s">
        <v>341</v>
      </c>
      <c r="C1062" s="1" t="s">
        <v>328</v>
      </c>
      <c r="D1062" s="1" t="s">
        <v>328</v>
      </c>
      <c r="E1062" s="1">
        <v>0.75</v>
      </c>
      <c r="F1062" s="1" t="s">
        <v>329</v>
      </c>
      <c r="G1062" s="1">
        <v>40688</v>
      </c>
      <c r="H1062" s="1">
        <v>60688</v>
      </c>
      <c r="I1062" s="1">
        <v>18559.899999999991</v>
      </c>
      <c r="J1062" s="1">
        <v>1440.100000000006</v>
      </c>
      <c r="K1062" s="1">
        <v>59247.899999999987</v>
      </c>
      <c r="L1062" s="1">
        <v>107</v>
      </c>
      <c r="M1062" s="1">
        <v>129.25862179487169</v>
      </c>
      <c r="N1062" s="1">
        <v>8.3023453790160868</v>
      </c>
      <c r="P1062" s="7">
        <v>45820</v>
      </c>
      <c r="R1062" s="7">
        <v>46185</v>
      </c>
      <c r="S1062" s="7">
        <v>46185</v>
      </c>
      <c r="T1062" s="7" t="str">
        <f t="shared" si="0"/>
        <v>junio</v>
      </c>
      <c r="X1062" s="1" t="s">
        <v>331</v>
      </c>
      <c r="Y1062" s="1" t="s">
        <v>332</v>
      </c>
      <c r="Z1062" s="1">
        <v>16</v>
      </c>
      <c r="AA1062" s="3">
        <v>3389.9</v>
      </c>
      <c r="AB1062" s="3">
        <v>54238.400000000001</v>
      </c>
      <c r="AC1062" s="1" t="str">
        <f>VLOOKUP(A1062,[1]Detalle!$D$2:$CW$484,98,FALSE)</f>
        <v>Sin Operación</v>
      </c>
    </row>
    <row r="1063" spans="1:29" ht="14.25" customHeight="1" x14ac:dyDescent="0.3">
      <c r="A1063" s="1" t="s">
        <v>173</v>
      </c>
      <c r="B1063" s="1" t="s">
        <v>351</v>
      </c>
      <c r="C1063" s="1" t="s">
        <v>328</v>
      </c>
      <c r="D1063" s="1" t="s">
        <v>328</v>
      </c>
      <c r="E1063" s="1">
        <v>0.75</v>
      </c>
      <c r="F1063" s="1" t="s">
        <v>329</v>
      </c>
      <c r="G1063" s="1">
        <v>40688</v>
      </c>
      <c r="H1063" s="1">
        <v>60688</v>
      </c>
      <c r="I1063" s="1">
        <v>18559.899999999991</v>
      </c>
      <c r="J1063" s="1">
        <v>1440.100000000006</v>
      </c>
      <c r="K1063" s="1">
        <v>59247.899999999987</v>
      </c>
      <c r="L1063" s="1">
        <v>107</v>
      </c>
      <c r="M1063" s="1">
        <v>129.25862179487169</v>
      </c>
      <c r="N1063" s="1">
        <v>8.3023453790160868</v>
      </c>
      <c r="P1063" s="7">
        <v>45821</v>
      </c>
      <c r="R1063" s="7">
        <v>46186</v>
      </c>
      <c r="S1063" s="7">
        <v>46186</v>
      </c>
      <c r="T1063" s="7" t="str">
        <f t="shared" si="0"/>
        <v>junio</v>
      </c>
      <c r="X1063" s="1" t="s">
        <v>331</v>
      </c>
      <c r="Y1063" s="1" t="s">
        <v>332</v>
      </c>
      <c r="Z1063" s="1">
        <v>16</v>
      </c>
      <c r="AA1063" s="3">
        <v>3389.9</v>
      </c>
      <c r="AB1063" s="3">
        <v>54238.400000000001</v>
      </c>
      <c r="AC1063" s="1" t="str">
        <f>VLOOKUP(A1063,[1]Detalle!$D$2:$CW$484,98,FALSE)</f>
        <v>CENCO_MZ - Cencosud SA - Mendoza</v>
      </c>
    </row>
    <row r="1064" spans="1:29" ht="14.25" customHeight="1" x14ac:dyDescent="0.3">
      <c r="A1064" s="1" t="s">
        <v>165</v>
      </c>
      <c r="B1064" s="1" t="s">
        <v>351</v>
      </c>
      <c r="C1064" s="1" t="s">
        <v>328</v>
      </c>
      <c r="D1064" s="1" t="s">
        <v>328</v>
      </c>
      <c r="E1064" s="1">
        <v>0.75</v>
      </c>
      <c r="F1064" s="1" t="s">
        <v>329</v>
      </c>
      <c r="G1064" s="1">
        <v>40688</v>
      </c>
      <c r="H1064" s="1">
        <v>60688</v>
      </c>
      <c r="I1064" s="1">
        <v>18559.899999999991</v>
      </c>
      <c r="J1064" s="1">
        <v>1440.100000000006</v>
      </c>
      <c r="K1064" s="1">
        <v>59247.899999999987</v>
      </c>
      <c r="L1064" s="1">
        <v>107</v>
      </c>
      <c r="M1064" s="1">
        <v>129.25862179487169</v>
      </c>
      <c r="N1064" s="1">
        <v>8.3023453790160868</v>
      </c>
      <c r="P1064" s="7">
        <v>45825</v>
      </c>
      <c r="R1064" s="7">
        <v>46190</v>
      </c>
      <c r="S1064" s="7">
        <v>46190</v>
      </c>
      <c r="T1064" s="7" t="str">
        <f t="shared" si="0"/>
        <v>junio</v>
      </c>
      <c r="X1064" s="1" t="s">
        <v>331</v>
      </c>
      <c r="Y1064" s="1" t="s">
        <v>332</v>
      </c>
      <c r="Z1064" s="1">
        <v>16</v>
      </c>
      <c r="AA1064" s="3">
        <v>3389.9</v>
      </c>
      <c r="AB1064" s="3">
        <v>54238.400000000001</v>
      </c>
      <c r="AC1064" s="1" t="str">
        <f>VLOOKUP(A1064,[1]Detalle!$D$2:$CW$484,98,FALSE)</f>
        <v>Papelera - Papelera del Plata S.A.</v>
      </c>
    </row>
    <row r="1065" spans="1:29" ht="14.25" customHeight="1" x14ac:dyDescent="0.3">
      <c r="A1065" s="1" t="s">
        <v>224</v>
      </c>
      <c r="B1065" s="1" t="s">
        <v>340</v>
      </c>
      <c r="C1065" s="1" t="s">
        <v>328</v>
      </c>
      <c r="D1065" s="1" t="s">
        <v>328</v>
      </c>
      <c r="E1065" s="1">
        <v>0.75</v>
      </c>
      <c r="F1065" s="1" t="s">
        <v>329</v>
      </c>
      <c r="G1065" s="1">
        <v>40688</v>
      </c>
      <c r="H1065" s="1">
        <v>60688</v>
      </c>
      <c r="I1065" s="1">
        <v>18559.899999999991</v>
      </c>
      <c r="J1065" s="1">
        <v>1440.100000000006</v>
      </c>
      <c r="K1065" s="1">
        <v>59247.899999999987</v>
      </c>
      <c r="L1065" s="1">
        <v>107</v>
      </c>
      <c r="M1065" s="1">
        <v>129.25862179487169</v>
      </c>
      <c r="N1065" s="1">
        <v>8.3023453790160868</v>
      </c>
      <c r="P1065" s="7">
        <v>45825</v>
      </c>
      <c r="R1065" s="7">
        <v>46190</v>
      </c>
      <c r="S1065" s="7">
        <v>46190</v>
      </c>
      <c r="T1065" s="7" t="str">
        <f t="shared" si="0"/>
        <v>junio</v>
      </c>
      <c r="X1065" s="1" t="s">
        <v>331</v>
      </c>
      <c r="Y1065" s="1" t="s">
        <v>332</v>
      </c>
      <c r="Z1065" s="1">
        <v>28</v>
      </c>
      <c r="AA1065" s="3">
        <v>3389.9</v>
      </c>
      <c r="AB1065" s="3">
        <f>AA1065*Z1065</f>
        <v>94917.2</v>
      </c>
      <c r="AC1065" s="1" t="str">
        <f>VLOOKUP(A1065,[1]Detalle!$D$2:$CW$484,98,FALSE)</f>
        <v>Sin Operación</v>
      </c>
    </row>
    <row r="1066" spans="1:29" ht="14.25" customHeight="1" x14ac:dyDescent="0.3">
      <c r="A1066" s="1" t="s">
        <v>119</v>
      </c>
      <c r="B1066" s="1">
        <v>1620</v>
      </c>
      <c r="C1066" s="1" t="s">
        <v>328</v>
      </c>
      <c r="D1066" s="1" t="s">
        <v>328</v>
      </c>
      <c r="E1066" s="1">
        <v>0.75</v>
      </c>
      <c r="F1066" s="1" t="s">
        <v>329</v>
      </c>
      <c r="G1066" s="1">
        <v>40688</v>
      </c>
      <c r="H1066" s="1">
        <v>60688</v>
      </c>
      <c r="I1066" s="1">
        <v>18559.899999999991</v>
      </c>
      <c r="J1066" s="1">
        <v>1440.100000000006</v>
      </c>
      <c r="K1066" s="1">
        <v>59247.899999999987</v>
      </c>
      <c r="L1066" s="1">
        <v>107</v>
      </c>
      <c r="M1066" s="1">
        <v>129.25862179487169</v>
      </c>
      <c r="N1066" s="1">
        <v>8.3023453790160868</v>
      </c>
      <c r="P1066" s="7">
        <v>45831</v>
      </c>
      <c r="R1066" s="7">
        <v>46196</v>
      </c>
      <c r="S1066" s="7">
        <v>46196</v>
      </c>
      <c r="T1066" s="7" t="str">
        <f t="shared" si="0"/>
        <v>junio</v>
      </c>
      <c r="X1066" s="1" t="s">
        <v>331</v>
      </c>
      <c r="Y1066" s="1" t="s">
        <v>332</v>
      </c>
      <c r="Z1066" s="1">
        <v>16</v>
      </c>
      <c r="AA1066" s="3">
        <v>3389.9</v>
      </c>
      <c r="AB1066" s="3">
        <v>54238.400000000001</v>
      </c>
      <c r="AC1066" s="1" t="str">
        <f>VLOOKUP(A1066,[1]Detalle!$D$2:$CW$484,98,FALSE)</f>
        <v>SUC_CTC - Sucursal Buenos Aires</v>
      </c>
    </row>
    <row r="1067" spans="1:29" ht="14.25" customHeight="1" x14ac:dyDescent="0.3">
      <c r="A1067" s="1" t="s">
        <v>168</v>
      </c>
      <c r="B1067" s="1" t="s">
        <v>351</v>
      </c>
      <c r="C1067" s="1" t="s">
        <v>328</v>
      </c>
      <c r="D1067" s="1" t="s">
        <v>328</v>
      </c>
      <c r="E1067" s="1">
        <v>0.75</v>
      </c>
      <c r="F1067" s="1" t="s">
        <v>329</v>
      </c>
      <c r="G1067" s="1">
        <v>40688</v>
      </c>
      <c r="H1067" s="1">
        <v>60688</v>
      </c>
      <c r="I1067" s="1">
        <v>18559.899999999991</v>
      </c>
      <c r="J1067" s="1">
        <v>1440.100000000006</v>
      </c>
      <c r="K1067" s="1">
        <v>59247.899999999987</v>
      </c>
      <c r="L1067" s="1">
        <v>107</v>
      </c>
      <c r="M1067" s="1">
        <v>129.25862179487169</v>
      </c>
      <c r="N1067" s="1">
        <v>8.3023453790160868</v>
      </c>
      <c r="P1067" s="7">
        <v>45831</v>
      </c>
      <c r="R1067" s="7">
        <v>46196</v>
      </c>
      <c r="S1067" s="7">
        <v>46196</v>
      </c>
      <c r="T1067" s="7" t="str">
        <f t="shared" si="0"/>
        <v>junio</v>
      </c>
      <c r="X1067" s="1" t="s">
        <v>331</v>
      </c>
      <c r="Y1067" s="1" t="s">
        <v>332</v>
      </c>
      <c r="Z1067" s="1">
        <v>16</v>
      </c>
      <c r="AA1067" s="3">
        <v>3389.9</v>
      </c>
      <c r="AB1067" s="3">
        <v>54238.400000000001</v>
      </c>
      <c r="AC1067" s="1" t="str">
        <f>VLOOKUP(A1067,[1]Detalle!$D$2:$CW$484,98,FALSE)</f>
        <v>Unilever - Unilever de Arg. S.A.</v>
      </c>
    </row>
    <row r="1068" spans="1:29" ht="14.25" customHeight="1" x14ac:dyDescent="0.3">
      <c r="A1068" s="1" t="s">
        <v>223</v>
      </c>
      <c r="B1068" s="1" t="s">
        <v>341</v>
      </c>
      <c r="C1068" s="1" t="s">
        <v>328</v>
      </c>
      <c r="D1068" s="1" t="s">
        <v>328</v>
      </c>
      <c r="E1068" s="1">
        <v>0.75</v>
      </c>
      <c r="F1068" s="1" t="s">
        <v>329</v>
      </c>
      <c r="G1068" s="1">
        <v>40688</v>
      </c>
      <c r="H1068" s="1">
        <v>60688</v>
      </c>
      <c r="I1068" s="1">
        <v>18559.899999999991</v>
      </c>
      <c r="J1068" s="1">
        <v>1440.100000000006</v>
      </c>
      <c r="K1068" s="1">
        <v>59247.899999999987</v>
      </c>
      <c r="L1068" s="1">
        <v>107</v>
      </c>
      <c r="M1068" s="1">
        <v>129.25862179487169</v>
      </c>
      <c r="N1068" s="1">
        <v>8.3023453790160868</v>
      </c>
      <c r="P1068" s="7">
        <v>45831</v>
      </c>
      <c r="R1068" s="7">
        <v>46196</v>
      </c>
      <c r="S1068" s="7">
        <v>46196</v>
      </c>
      <c r="T1068" s="7" t="str">
        <f t="shared" si="0"/>
        <v>junio</v>
      </c>
      <c r="X1068" s="1" t="s">
        <v>331</v>
      </c>
      <c r="Y1068" s="1" t="s">
        <v>332</v>
      </c>
      <c r="Z1068" s="1">
        <v>15</v>
      </c>
      <c r="AA1068" s="3">
        <v>3389.9</v>
      </c>
      <c r="AB1068" s="3">
        <f>AA1068*Z1068</f>
        <v>50848.5</v>
      </c>
      <c r="AC1068" s="1" t="str">
        <f>VLOOKUP(A1068,[1]Detalle!$D$2:$CW$484,98,FALSE)</f>
        <v>CMQ_TTE - QUILMES TTE</v>
      </c>
    </row>
    <row r="1069" spans="1:29" ht="14.25" customHeight="1" x14ac:dyDescent="0.3">
      <c r="A1069" s="1" t="s">
        <v>244</v>
      </c>
      <c r="B1069" s="1" t="s">
        <v>341</v>
      </c>
      <c r="C1069" s="1" t="s">
        <v>328</v>
      </c>
      <c r="D1069" s="1" t="s">
        <v>328</v>
      </c>
      <c r="E1069" s="1">
        <v>0.75</v>
      </c>
      <c r="F1069" s="1" t="s">
        <v>329</v>
      </c>
      <c r="G1069" s="1">
        <v>40688</v>
      </c>
      <c r="H1069" s="1">
        <v>60688</v>
      </c>
      <c r="I1069" s="1">
        <v>18559.899999999991</v>
      </c>
      <c r="J1069" s="1">
        <v>1440.100000000006</v>
      </c>
      <c r="K1069" s="1">
        <v>59247.899999999987</v>
      </c>
      <c r="L1069" s="1">
        <v>107</v>
      </c>
      <c r="M1069" s="1">
        <v>129.25862179487169</v>
      </c>
      <c r="N1069" s="1">
        <v>8.3023453790160868</v>
      </c>
      <c r="P1069" s="7">
        <v>45832</v>
      </c>
      <c r="R1069" s="7">
        <v>46197</v>
      </c>
      <c r="S1069" s="7">
        <v>46197</v>
      </c>
      <c r="T1069" s="7" t="str">
        <f t="shared" si="0"/>
        <v>junio</v>
      </c>
      <c r="X1069" s="1" t="s">
        <v>331</v>
      </c>
      <c r="Y1069" s="1" t="s">
        <v>332</v>
      </c>
      <c r="Z1069" s="1">
        <v>16</v>
      </c>
      <c r="AA1069" s="3">
        <v>3389.9</v>
      </c>
      <c r="AB1069" s="3">
        <v>54238.400000000001</v>
      </c>
      <c r="AC1069" s="1" t="str">
        <f>VLOOKUP(A1069,[1]Detalle!$D$2:$CW$484,98,FALSE)</f>
        <v>CMQ_TTE - QUILMES TTE</v>
      </c>
    </row>
    <row r="1070" spans="1:29" ht="14.25" customHeight="1" x14ac:dyDescent="0.3">
      <c r="A1070" s="1" t="s">
        <v>167</v>
      </c>
      <c r="B1070" s="1" t="s">
        <v>351</v>
      </c>
      <c r="C1070" s="1" t="s">
        <v>328</v>
      </c>
      <c r="D1070" s="1" t="s">
        <v>328</v>
      </c>
      <c r="E1070" s="1">
        <v>0.75</v>
      </c>
      <c r="F1070" s="1" t="s">
        <v>329</v>
      </c>
      <c r="G1070" s="1">
        <v>40688</v>
      </c>
      <c r="H1070" s="1">
        <v>60688</v>
      </c>
      <c r="I1070" s="1">
        <v>18559.899999999991</v>
      </c>
      <c r="J1070" s="1">
        <v>1440.100000000006</v>
      </c>
      <c r="K1070" s="1">
        <v>59247.899999999987</v>
      </c>
      <c r="L1070" s="1">
        <v>107</v>
      </c>
      <c r="M1070" s="1">
        <v>129.25862179487169</v>
      </c>
      <c r="N1070" s="1">
        <v>8.3023453790160868</v>
      </c>
      <c r="P1070" s="7">
        <v>45833</v>
      </c>
      <c r="R1070" s="7">
        <v>46198</v>
      </c>
      <c r="S1070" s="7">
        <v>46198</v>
      </c>
      <c r="T1070" s="7" t="str">
        <f t="shared" si="0"/>
        <v>junio</v>
      </c>
      <c r="X1070" s="1" t="s">
        <v>331</v>
      </c>
      <c r="Y1070" s="1" t="s">
        <v>332</v>
      </c>
      <c r="Z1070" s="1">
        <v>16</v>
      </c>
      <c r="AA1070" s="3">
        <v>3389.9</v>
      </c>
      <c r="AB1070" s="3">
        <v>54238.400000000001</v>
      </c>
      <c r="AC1070" s="1" t="str">
        <f>VLOOKUP(A1070,[1]Detalle!$D$2:$CW$484,98,FALSE)</f>
        <v>Papelera - Papelera del Plata S.A.</v>
      </c>
    </row>
    <row r="1071" spans="1:29" ht="14.25" customHeight="1" x14ac:dyDescent="0.3">
      <c r="A1071" s="1" t="s">
        <v>104</v>
      </c>
      <c r="B1071" s="1">
        <v>710</v>
      </c>
      <c r="C1071" s="1" t="s">
        <v>328</v>
      </c>
      <c r="D1071" s="1" t="s">
        <v>328</v>
      </c>
      <c r="E1071" s="1">
        <v>0.75</v>
      </c>
      <c r="F1071" s="1" t="s">
        <v>329</v>
      </c>
      <c r="G1071" s="1">
        <v>40688</v>
      </c>
      <c r="H1071" s="1">
        <v>60688</v>
      </c>
      <c r="I1071" s="1">
        <v>18559.899999999991</v>
      </c>
      <c r="J1071" s="1">
        <v>1440.100000000006</v>
      </c>
      <c r="K1071" s="1">
        <v>59247.899999999987</v>
      </c>
      <c r="L1071" s="1">
        <v>107</v>
      </c>
      <c r="M1071" s="1">
        <v>129.25862179487169</v>
      </c>
      <c r="N1071" s="1">
        <v>8.3023453790160868</v>
      </c>
      <c r="P1071" s="7">
        <v>45833</v>
      </c>
      <c r="R1071" s="7">
        <v>46198</v>
      </c>
      <c r="S1071" s="7">
        <v>46198</v>
      </c>
      <c r="T1071" s="7" t="str">
        <f t="shared" si="0"/>
        <v>junio</v>
      </c>
      <c r="X1071" s="1" t="s">
        <v>331</v>
      </c>
      <c r="Y1071" s="1" t="s">
        <v>332</v>
      </c>
      <c r="Z1071" s="1">
        <v>16</v>
      </c>
      <c r="AA1071" s="3">
        <v>3389.9</v>
      </c>
      <c r="AB1071" s="3">
        <v>54238.400000000001</v>
      </c>
      <c r="AC1071" s="1" t="str">
        <f>VLOOKUP(A1071,[1]Detalle!$D$2:$CW$484,98,FALSE)</f>
        <v>SUC_GAL - Sucursal General Alvear</v>
      </c>
    </row>
    <row r="1072" spans="1:29" ht="14.25" customHeight="1" x14ac:dyDescent="0.3">
      <c r="A1072" s="1" t="s">
        <v>174</v>
      </c>
      <c r="B1072" s="1" t="s">
        <v>351</v>
      </c>
      <c r="C1072" s="1" t="s">
        <v>328</v>
      </c>
      <c r="D1072" s="1" t="s">
        <v>328</v>
      </c>
      <c r="E1072" s="1">
        <v>0.75</v>
      </c>
      <c r="F1072" s="1" t="s">
        <v>329</v>
      </c>
      <c r="G1072" s="1">
        <v>40688</v>
      </c>
      <c r="H1072" s="1">
        <v>60688</v>
      </c>
      <c r="I1072" s="1">
        <v>18559.899999999991</v>
      </c>
      <c r="J1072" s="1">
        <v>1440.100000000006</v>
      </c>
      <c r="K1072" s="1">
        <v>59247.899999999987</v>
      </c>
      <c r="L1072" s="1">
        <v>107</v>
      </c>
      <c r="M1072" s="1">
        <v>129.25862179487169</v>
      </c>
      <c r="N1072" s="1">
        <v>8.3023453790160868</v>
      </c>
      <c r="P1072" s="7">
        <v>45834</v>
      </c>
      <c r="R1072" s="7">
        <v>46199</v>
      </c>
      <c r="S1072" s="7">
        <v>46199</v>
      </c>
      <c r="T1072" s="7" t="str">
        <f t="shared" si="0"/>
        <v>junio</v>
      </c>
      <c r="X1072" s="1" t="s">
        <v>331</v>
      </c>
      <c r="Y1072" s="1" t="s">
        <v>332</v>
      </c>
      <c r="Z1072" s="1">
        <v>16</v>
      </c>
      <c r="AA1072" s="3">
        <v>3389.9</v>
      </c>
      <c r="AB1072" s="3">
        <v>54238.400000000001</v>
      </c>
      <c r="AC1072" s="1" t="str">
        <f>VLOOKUP(A1072,[1]Detalle!$D$2:$CW$484,98,FALSE)</f>
        <v>Unilever - Unilever de Arg. S.A.</v>
      </c>
    </row>
    <row r="1073" spans="1:29" ht="14.25" customHeight="1" x14ac:dyDescent="0.3">
      <c r="A1073" s="1" t="s">
        <v>211</v>
      </c>
      <c r="B1073" s="1" t="s">
        <v>340</v>
      </c>
      <c r="C1073" s="1" t="s">
        <v>328</v>
      </c>
      <c r="D1073" s="1" t="s">
        <v>328</v>
      </c>
      <c r="E1073" s="1">
        <v>0.75</v>
      </c>
      <c r="F1073" s="1" t="s">
        <v>329</v>
      </c>
      <c r="G1073" s="1">
        <v>40688</v>
      </c>
      <c r="H1073" s="1">
        <v>60688</v>
      </c>
      <c r="I1073" s="1">
        <v>18559.899999999991</v>
      </c>
      <c r="J1073" s="1">
        <v>1440.100000000006</v>
      </c>
      <c r="K1073" s="1">
        <v>59247.899999999987</v>
      </c>
      <c r="L1073" s="1">
        <v>107</v>
      </c>
      <c r="M1073" s="1">
        <v>129.25862179487169</v>
      </c>
      <c r="N1073" s="1">
        <v>8.3023453790160868</v>
      </c>
      <c r="P1073" s="7">
        <v>45834</v>
      </c>
      <c r="R1073" s="7">
        <v>46199</v>
      </c>
      <c r="S1073" s="7">
        <v>46199</v>
      </c>
      <c r="T1073" s="7" t="str">
        <f t="shared" si="0"/>
        <v>junio</v>
      </c>
      <c r="X1073" s="1" t="s">
        <v>331</v>
      </c>
      <c r="Y1073" s="1" t="s">
        <v>332</v>
      </c>
      <c r="Z1073" s="1">
        <v>16</v>
      </c>
      <c r="AA1073" s="3">
        <v>3389.9</v>
      </c>
      <c r="AB1073" s="3">
        <v>54238.400000000001</v>
      </c>
      <c r="AC1073" s="1" t="str">
        <f>VLOOKUP(A1073,[1]Detalle!$D$2:$CW$484,98,FALSE)</f>
        <v>SUC_GAL - Sucursal General Alvear</v>
      </c>
    </row>
    <row r="1074" spans="1:29" ht="14.25" customHeight="1" x14ac:dyDescent="0.3">
      <c r="A1074" s="1" t="s">
        <v>171</v>
      </c>
      <c r="B1074" s="1" t="s">
        <v>351</v>
      </c>
      <c r="C1074" s="1" t="s">
        <v>328</v>
      </c>
      <c r="D1074" s="1" t="s">
        <v>328</v>
      </c>
      <c r="E1074" s="1">
        <v>0.75</v>
      </c>
      <c r="F1074" s="1" t="s">
        <v>329</v>
      </c>
      <c r="G1074" s="1">
        <v>40688</v>
      </c>
      <c r="H1074" s="1">
        <v>60688</v>
      </c>
      <c r="I1074" s="1">
        <v>18559.899999999991</v>
      </c>
      <c r="J1074" s="1">
        <v>1440.100000000006</v>
      </c>
      <c r="K1074" s="1">
        <v>59247.899999999987</v>
      </c>
      <c r="L1074" s="1">
        <v>107</v>
      </c>
      <c r="M1074" s="1">
        <v>129.25862179487169</v>
      </c>
      <c r="N1074" s="1">
        <v>8.3023453790160868</v>
      </c>
      <c r="P1074" s="7">
        <v>45835</v>
      </c>
      <c r="R1074" s="7">
        <v>46200</v>
      </c>
      <c r="S1074" s="7">
        <v>46200</v>
      </c>
      <c r="T1074" s="7" t="str">
        <f t="shared" si="0"/>
        <v>junio</v>
      </c>
      <c r="X1074" s="1" t="s">
        <v>331</v>
      </c>
      <c r="Y1074" s="1" t="s">
        <v>332</v>
      </c>
      <c r="Z1074" s="1">
        <v>16</v>
      </c>
      <c r="AA1074" s="3">
        <v>3389.9</v>
      </c>
      <c r="AB1074" s="3">
        <v>54238.400000000001</v>
      </c>
      <c r="AC1074" s="1" t="str">
        <f>VLOOKUP(A1074,[1]Detalle!$D$2:$CW$484,98,FALSE)</f>
        <v>CENCO_MZ - Cencosud SA - Mendoza</v>
      </c>
    </row>
    <row r="1075" spans="1:29" ht="14.25" customHeight="1" x14ac:dyDescent="0.3">
      <c r="A1075" s="1" t="s">
        <v>152</v>
      </c>
      <c r="B1075" s="1" t="s">
        <v>351</v>
      </c>
      <c r="C1075" s="1" t="s">
        <v>328</v>
      </c>
      <c r="D1075" s="1" t="s">
        <v>328</v>
      </c>
      <c r="E1075" s="1">
        <v>0.75</v>
      </c>
      <c r="F1075" s="1" t="s">
        <v>329</v>
      </c>
      <c r="G1075" s="1">
        <v>40688</v>
      </c>
      <c r="H1075" s="1">
        <v>60688</v>
      </c>
      <c r="I1075" s="1">
        <v>18559.899999999991</v>
      </c>
      <c r="J1075" s="1">
        <v>1440.100000000006</v>
      </c>
      <c r="K1075" s="1">
        <v>59247.899999999987</v>
      </c>
      <c r="L1075" s="1">
        <v>107</v>
      </c>
      <c r="M1075" s="1">
        <v>129.25862179487169</v>
      </c>
      <c r="N1075" s="1">
        <v>8.3023453790160868</v>
      </c>
      <c r="P1075" s="7">
        <v>45845</v>
      </c>
      <c r="R1075" s="7">
        <v>46210</v>
      </c>
      <c r="S1075" s="7">
        <v>46210</v>
      </c>
      <c r="T1075" s="7" t="str">
        <f t="shared" si="0"/>
        <v>julio</v>
      </c>
      <c r="X1075" s="1" t="s">
        <v>331</v>
      </c>
      <c r="Y1075" s="1" t="s">
        <v>332</v>
      </c>
      <c r="Z1075" s="1">
        <v>16</v>
      </c>
      <c r="AA1075" s="3">
        <v>3389.9</v>
      </c>
      <c r="AB1075" s="3">
        <v>54238.400000000001</v>
      </c>
      <c r="AC1075" s="1" t="str">
        <f>VLOOKUP(A1075,[1]Detalle!$D$2:$CW$484,98,FALSE)</f>
        <v>SUC_REA - Sucursal Realicó</v>
      </c>
    </row>
    <row r="1076" spans="1:29" ht="14.25" customHeight="1" x14ac:dyDescent="0.3">
      <c r="A1076" s="1" t="s">
        <v>133</v>
      </c>
      <c r="B1076" s="1">
        <v>1624</v>
      </c>
      <c r="C1076" s="1" t="s">
        <v>328</v>
      </c>
      <c r="D1076" s="1" t="s">
        <v>328</v>
      </c>
      <c r="E1076" s="1">
        <v>0.75</v>
      </c>
      <c r="F1076" s="1" t="s">
        <v>329</v>
      </c>
      <c r="G1076" s="1">
        <v>40688</v>
      </c>
      <c r="H1076" s="1">
        <v>60688</v>
      </c>
      <c r="I1076" s="1">
        <v>18559.899999999991</v>
      </c>
      <c r="J1076" s="1">
        <v>1440.100000000006</v>
      </c>
      <c r="K1076" s="1">
        <v>59247.899999999987</v>
      </c>
      <c r="L1076" s="1">
        <v>107</v>
      </c>
      <c r="M1076" s="1">
        <v>129.25862179487169</v>
      </c>
      <c r="N1076" s="1">
        <v>8.3023453790160868</v>
      </c>
      <c r="P1076" s="7">
        <v>45846</v>
      </c>
      <c r="R1076" s="7">
        <v>46211</v>
      </c>
      <c r="S1076" s="7">
        <v>46211</v>
      </c>
      <c r="T1076" s="7" t="str">
        <f t="shared" si="0"/>
        <v>julio</v>
      </c>
      <c r="X1076" s="1" t="s">
        <v>331</v>
      </c>
      <c r="Y1076" s="1" t="s">
        <v>332</v>
      </c>
      <c r="Z1076" s="1">
        <v>16</v>
      </c>
      <c r="AA1076" s="3">
        <v>3389.9</v>
      </c>
      <c r="AB1076" s="3">
        <v>54238.400000000001</v>
      </c>
      <c r="AC1076" s="1" t="str">
        <f>VLOOKUP(A1076,[1]Detalle!$D$2:$CW$484,98,FALSE)</f>
        <v>CENCO_MZ - Cencosud SA - Mendoza</v>
      </c>
    </row>
    <row r="1077" spans="1:29" ht="14.25" customHeight="1" x14ac:dyDescent="0.3">
      <c r="A1077" s="1" t="s">
        <v>15</v>
      </c>
      <c r="B1077" s="1" t="s">
        <v>353</v>
      </c>
      <c r="C1077" s="1" t="s">
        <v>328</v>
      </c>
      <c r="D1077" s="1" t="s">
        <v>328</v>
      </c>
      <c r="E1077" s="1">
        <v>0.75</v>
      </c>
      <c r="F1077" s="1" t="s">
        <v>329</v>
      </c>
      <c r="G1077" s="1">
        <v>40688</v>
      </c>
      <c r="H1077" s="1">
        <v>60688</v>
      </c>
      <c r="I1077" s="1">
        <v>18559.899999999991</v>
      </c>
      <c r="J1077" s="1">
        <v>1440.100000000006</v>
      </c>
      <c r="K1077" s="1">
        <v>59247.899999999987</v>
      </c>
      <c r="L1077" s="1">
        <v>107</v>
      </c>
      <c r="M1077" s="1">
        <v>129.25862179487169</v>
      </c>
      <c r="N1077" s="1">
        <v>8.3023453790160868</v>
      </c>
      <c r="P1077" s="7">
        <v>45848</v>
      </c>
      <c r="R1077" s="7">
        <v>46213</v>
      </c>
      <c r="S1077" s="7">
        <v>46213</v>
      </c>
      <c r="T1077" s="7" t="str">
        <f t="shared" si="0"/>
        <v>julio</v>
      </c>
      <c r="X1077" s="1" t="s">
        <v>331</v>
      </c>
      <c r="Y1077" s="1" t="s">
        <v>332</v>
      </c>
      <c r="Z1077" s="1">
        <v>16</v>
      </c>
      <c r="AA1077" s="3">
        <v>3389.9</v>
      </c>
      <c r="AB1077" s="3">
        <v>54238.400000000001</v>
      </c>
      <c r="AC1077" s="1" t="str">
        <f>VLOOKUP(A1077,[1]Detalle!$D$2:$CW$484,98,FALSE)</f>
        <v>CENCOMLD - Cencosud SA - Mendoza</v>
      </c>
    </row>
    <row r="1078" spans="1:29" ht="14.25" customHeight="1" x14ac:dyDescent="0.3">
      <c r="A1078" s="1" t="s">
        <v>219</v>
      </c>
      <c r="B1078" s="1" t="s">
        <v>341</v>
      </c>
      <c r="C1078" s="1" t="s">
        <v>328</v>
      </c>
      <c r="D1078" s="1" t="s">
        <v>328</v>
      </c>
      <c r="E1078" s="1">
        <v>0.75</v>
      </c>
      <c r="F1078" s="1" t="s">
        <v>329</v>
      </c>
      <c r="G1078" s="1">
        <v>40688</v>
      </c>
      <c r="H1078" s="1">
        <v>60688</v>
      </c>
      <c r="I1078" s="1">
        <v>18559.899999999991</v>
      </c>
      <c r="J1078" s="1">
        <v>1440.100000000006</v>
      </c>
      <c r="K1078" s="1">
        <v>59247.899999999987</v>
      </c>
      <c r="L1078" s="1">
        <v>107</v>
      </c>
      <c r="M1078" s="1">
        <v>129.25862179487169</v>
      </c>
      <c r="N1078" s="1">
        <v>8.3023453790160868</v>
      </c>
      <c r="P1078" s="7">
        <v>45853</v>
      </c>
      <c r="R1078" s="7">
        <v>46218</v>
      </c>
      <c r="S1078" s="7">
        <v>46218</v>
      </c>
      <c r="T1078" s="7" t="str">
        <f t="shared" si="0"/>
        <v>julio</v>
      </c>
      <c r="X1078" s="1" t="s">
        <v>331</v>
      </c>
      <c r="Y1078" s="1" t="s">
        <v>332</v>
      </c>
      <c r="Z1078" s="1">
        <v>15</v>
      </c>
      <c r="AA1078" s="3">
        <v>3389.9</v>
      </c>
      <c r="AB1078" s="14">
        <f t="shared" ref="AB1078" si="1">AA1078*Z1078</f>
        <v>50848.5</v>
      </c>
      <c r="AC1078" s="1" t="str">
        <f>VLOOKUP(A1078,[1]Detalle!$D$2:$CW$484,98,FALSE)</f>
        <v>CMQ_TTE - QUILMES TTE</v>
      </c>
    </row>
    <row r="1079" spans="1:29" ht="14.25" customHeight="1" x14ac:dyDescent="0.3">
      <c r="A1079" s="1" t="s">
        <v>38</v>
      </c>
      <c r="B1079" s="1" t="s">
        <v>362</v>
      </c>
      <c r="C1079" s="1" t="s">
        <v>328</v>
      </c>
      <c r="D1079" s="1" t="s">
        <v>328</v>
      </c>
      <c r="E1079" s="1">
        <v>0.75</v>
      </c>
      <c r="F1079" s="1" t="s">
        <v>329</v>
      </c>
      <c r="G1079" s="1">
        <v>40688</v>
      </c>
      <c r="H1079" s="1">
        <v>60688</v>
      </c>
      <c r="I1079" s="1">
        <v>18559.899999999991</v>
      </c>
      <c r="J1079" s="1">
        <v>1440.100000000006</v>
      </c>
      <c r="K1079" s="1">
        <v>59247.899999999987</v>
      </c>
      <c r="L1079" s="1">
        <v>107</v>
      </c>
      <c r="M1079" s="1">
        <v>129.25862179487169</v>
      </c>
      <c r="N1079" s="1">
        <v>8.3023453790160868</v>
      </c>
      <c r="P1079" s="7">
        <v>45864</v>
      </c>
      <c r="R1079" s="7">
        <v>46229</v>
      </c>
      <c r="S1079" s="7">
        <v>46229</v>
      </c>
      <c r="T1079" s="7" t="str">
        <f t="shared" si="0"/>
        <v>julio</v>
      </c>
      <c r="X1079" s="1" t="s">
        <v>331</v>
      </c>
      <c r="Y1079" s="1" t="s">
        <v>332</v>
      </c>
      <c r="Z1079" s="1">
        <v>16</v>
      </c>
      <c r="AA1079" s="3">
        <v>3389.9</v>
      </c>
      <c r="AB1079" s="3">
        <v>54238.400000000001</v>
      </c>
      <c r="AC1079" s="1" t="str">
        <f>VLOOKUP(A1079,[1]Detalle!$D$2:$CW$484,98,FALSE)</f>
        <v>SUC_SRA - Sucursal San Rafael</v>
      </c>
    </row>
    <row r="1080" spans="1:29" ht="14.25" customHeight="1" x14ac:dyDescent="0.3">
      <c r="A1080" s="1" t="s">
        <v>187</v>
      </c>
      <c r="B1080" s="1" t="s">
        <v>340</v>
      </c>
      <c r="C1080" s="1" t="s">
        <v>328</v>
      </c>
      <c r="D1080" s="1" t="s">
        <v>328</v>
      </c>
      <c r="E1080" s="1">
        <v>0.75</v>
      </c>
      <c r="F1080" s="1" t="s">
        <v>329</v>
      </c>
      <c r="G1080" s="1">
        <v>40688</v>
      </c>
      <c r="H1080" s="1">
        <v>60688</v>
      </c>
      <c r="I1080" s="1">
        <v>18559.899999999991</v>
      </c>
      <c r="J1080" s="1">
        <v>1440.100000000006</v>
      </c>
      <c r="K1080" s="1">
        <v>59247.899999999987</v>
      </c>
      <c r="L1080" s="1">
        <v>107</v>
      </c>
      <c r="M1080" s="1">
        <v>129.25862179487169</v>
      </c>
      <c r="N1080" s="1">
        <v>8.3023453790160868</v>
      </c>
      <c r="P1080" s="7">
        <v>45863</v>
      </c>
      <c r="R1080" s="7">
        <v>46228</v>
      </c>
      <c r="S1080" s="7">
        <v>46228</v>
      </c>
      <c r="T1080" s="7" t="str">
        <f t="shared" si="0"/>
        <v>julio</v>
      </c>
      <c r="X1080" s="1" t="s">
        <v>331</v>
      </c>
      <c r="Y1080" s="1" t="s">
        <v>332</v>
      </c>
      <c r="Z1080" s="1">
        <v>16</v>
      </c>
      <c r="AA1080" s="3">
        <v>3389.9</v>
      </c>
      <c r="AB1080" s="3">
        <v>54238.400000000001</v>
      </c>
      <c r="AC1080" s="1" t="str">
        <f>VLOOKUP(A1080,[1]Detalle!$D$2:$CW$484,98,FALSE)</f>
        <v>CCUCoAZA</v>
      </c>
    </row>
    <row r="1081" spans="1:29" ht="14.25" customHeight="1" x14ac:dyDescent="0.3">
      <c r="A1081" s="1" t="s">
        <v>220</v>
      </c>
      <c r="B1081" s="1" t="s">
        <v>341</v>
      </c>
      <c r="C1081" s="1" t="s">
        <v>328</v>
      </c>
      <c r="D1081" s="1" t="s">
        <v>328</v>
      </c>
      <c r="E1081" s="1">
        <v>0.75</v>
      </c>
      <c r="F1081" s="1" t="s">
        <v>329</v>
      </c>
      <c r="G1081" s="1">
        <v>40688</v>
      </c>
      <c r="H1081" s="1">
        <v>60688</v>
      </c>
      <c r="I1081" s="1">
        <v>18559.899999999991</v>
      </c>
      <c r="J1081" s="1">
        <v>1440.100000000006</v>
      </c>
      <c r="K1081" s="1">
        <v>59247.899999999987</v>
      </c>
      <c r="L1081" s="1">
        <v>107</v>
      </c>
      <c r="M1081" s="1">
        <v>129.25862179487169</v>
      </c>
      <c r="N1081" s="1">
        <v>8.3023453790160868</v>
      </c>
      <c r="P1081" s="7">
        <v>45870</v>
      </c>
      <c r="R1081" s="7">
        <v>46235</v>
      </c>
      <c r="S1081" s="7">
        <v>46235</v>
      </c>
      <c r="T1081" s="7" t="str">
        <f t="shared" si="0"/>
        <v>agosto</v>
      </c>
      <c r="X1081" s="1" t="s">
        <v>331</v>
      </c>
      <c r="Y1081" s="1" t="s">
        <v>332</v>
      </c>
      <c r="Z1081" s="1">
        <v>15</v>
      </c>
      <c r="AA1081" s="3">
        <v>3389.9</v>
      </c>
      <c r="AB1081" s="14">
        <f t="shared" ref="AB1081" si="2">AA1081*Z1081</f>
        <v>50848.5</v>
      </c>
      <c r="AC1081" s="1" t="str">
        <f>VLOOKUP(A1081,[1]Detalle!$D$2:$CW$484,98,FALSE)</f>
        <v>CMQ_TTE - QUILMES TTE</v>
      </c>
    </row>
    <row r="1082" spans="1:29" ht="14.25" customHeight="1" x14ac:dyDescent="0.3">
      <c r="A1082" s="1" t="s">
        <v>193</v>
      </c>
      <c r="B1082" s="1" t="s">
        <v>340</v>
      </c>
      <c r="C1082" s="1" t="s">
        <v>328</v>
      </c>
      <c r="D1082" s="1" t="s">
        <v>328</v>
      </c>
      <c r="E1082" s="1">
        <v>0.75</v>
      </c>
      <c r="F1082" s="1" t="s">
        <v>329</v>
      </c>
      <c r="G1082" s="1">
        <v>40688</v>
      </c>
      <c r="H1082" s="1">
        <v>60688</v>
      </c>
      <c r="I1082" s="1">
        <v>18559.899999999991</v>
      </c>
      <c r="J1082" s="1">
        <v>1440.100000000006</v>
      </c>
      <c r="K1082" s="1">
        <v>59247.899999999987</v>
      </c>
      <c r="L1082" s="1">
        <v>107</v>
      </c>
      <c r="M1082" s="1">
        <v>129.25862179487169</v>
      </c>
      <c r="N1082" s="1">
        <v>8.3023453790160868</v>
      </c>
      <c r="P1082" s="7">
        <v>45880</v>
      </c>
      <c r="R1082" s="7">
        <v>46245</v>
      </c>
      <c r="S1082" s="7">
        <v>46245</v>
      </c>
      <c r="T1082" s="7" t="str">
        <f t="shared" si="0"/>
        <v>agosto</v>
      </c>
      <c r="X1082" s="1" t="s">
        <v>331</v>
      </c>
      <c r="Y1082" s="1" t="s">
        <v>332</v>
      </c>
      <c r="Z1082" s="1">
        <v>16</v>
      </c>
      <c r="AA1082" s="3">
        <v>3389.9</v>
      </c>
      <c r="AB1082" s="3">
        <v>54238.400000000001</v>
      </c>
      <c r="AC1082" s="1" t="str">
        <f>VLOOKUP(A1082,[1]Detalle!$D$2:$CW$484,98,FALSE)</f>
        <v>CCUCoAZA</v>
      </c>
    </row>
    <row r="1083" spans="1:29" ht="14.25" customHeight="1" x14ac:dyDescent="0.3">
      <c r="A1083" s="1" t="s">
        <v>155</v>
      </c>
      <c r="B1083" s="1">
        <v>1624</v>
      </c>
      <c r="C1083" s="1" t="s">
        <v>328</v>
      </c>
      <c r="D1083" s="1" t="s">
        <v>328</v>
      </c>
      <c r="E1083" s="1">
        <v>0.75</v>
      </c>
      <c r="F1083" s="1" t="s">
        <v>329</v>
      </c>
      <c r="G1083" s="1">
        <v>40688</v>
      </c>
      <c r="H1083" s="1">
        <v>60688</v>
      </c>
      <c r="I1083" s="1">
        <v>18559.899999999991</v>
      </c>
      <c r="J1083" s="1">
        <v>1440.100000000006</v>
      </c>
      <c r="K1083" s="1">
        <v>59247.899999999987</v>
      </c>
      <c r="L1083" s="1">
        <v>107</v>
      </c>
      <c r="M1083" s="1">
        <v>129.25862179487169</v>
      </c>
      <c r="N1083" s="1">
        <v>8.3023453790160868</v>
      </c>
      <c r="P1083" s="7">
        <v>45881</v>
      </c>
      <c r="R1083" s="7">
        <v>46246</v>
      </c>
      <c r="S1083" s="7">
        <v>46246</v>
      </c>
      <c r="T1083" s="7" t="str">
        <f t="shared" si="0"/>
        <v>agosto</v>
      </c>
      <c r="X1083" s="1" t="s">
        <v>331</v>
      </c>
      <c r="Y1083" s="1" t="s">
        <v>332</v>
      </c>
      <c r="Z1083" s="1">
        <v>16</v>
      </c>
      <c r="AA1083" s="3">
        <v>3389.9</v>
      </c>
      <c r="AB1083" s="3">
        <v>54238.400000000001</v>
      </c>
      <c r="AC1083" s="1" t="str">
        <f>VLOOKUP(A1083,[1]Detalle!$D$2:$CW$484,98,FALSE)</f>
        <v>CCUCoAZA</v>
      </c>
    </row>
    <row r="1084" spans="1:29" ht="14.25" customHeight="1" x14ac:dyDescent="0.3">
      <c r="A1084" s="1" t="s">
        <v>129</v>
      </c>
      <c r="B1084" s="1">
        <v>1620</v>
      </c>
      <c r="C1084" s="1" t="s">
        <v>328</v>
      </c>
      <c r="D1084" s="1" t="s">
        <v>328</v>
      </c>
      <c r="E1084" s="1">
        <v>0.75</v>
      </c>
      <c r="F1084" s="1" t="s">
        <v>329</v>
      </c>
      <c r="G1084" s="1">
        <v>40688</v>
      </c>
      <c r="H1084" s="1">
        <v>60688</v>
      </c>
      <c r="I1084" s="1">
        <v>18559.899999999991</v>
      </c>
      <c r="J1084" s="1">
        <v>1440.100000000006</v>
      </c>
      <c r="K1084" s="1">
        <v>59247.899999999987</v>
      </c>
      <c r="L1084" s="1">
        <v>107</v>
      </c>
      <c r="M1084" s="1">
        <v>129.25862179487169</v>
      </c>
      <c r="N1084" s="1">
        <v>8.3023453790160868</v>
      </c>
      <c r="P1084" s="7">
        <v>45882</v>
      </c>
      <c r="R1084" s="7">
        <v>46247</v>
      </c>
      <c r="S1084" s="7">
        <v>46247</v>
      </c>
      <c r="T1084" s="7" t="str">
        <f t="shared" si="0"/>
        <v>agosto</v>
      </c>
      <c r="X1084" s="1" t="s">
        <v>331</v>
      </c>
      <c r="Y1084" s="1" t="s">
        <v>332</v>
      </c>
      <c r="Z1084" s="1">
        <v>16</v>
      </c>
      <c r="AA1084" s="3">
        <v>3389.9</v>
      </c>
      <c r="AB1084" s="3">
        <v>54238.400000000001</v>
      </c>
      <c r="AC1084" s="1" t="str">
        <f>VLOOKUP(A1084,[1]Detalle!$D$2:$CW$484,98,FALSE)</f>
        <v>Alfavinil SA</v>
      </c>
    </row>
    <row r="1085" spans="1:29" ht="14.25" customHeight="1" x14ac:dyDescent="0.3">
      <c r="A1085" s="1" t="s">
        <v>151</v>
      </c>
      <c r="B1085" s="1" t="s">
        <v>351</v>
      </c>
      <c r="C1085" s="1" t="s">
        <v>328</v>
      </c>
      <c r="D1085" s="1" t="s">
        <v>328</v>
      </c>
      <c r="E1085" s="1">
        <v>0.75</v>
      </c>
      <c r="F1085" s="1" t="s">
        <v>329</v>
      </c>
      <c r="G1085" s="1">
        <v>40688</v>
      </c>
      <c r="H1085" s="1">
        <v>60688</v>
      </c>
      <c r="I1085" s="1">
        <v>18559.899999999991</v>
      </c>
      <c r="J1085" s="1">
        <v>1440.100000000006</v>
      </c>
      <c r="K1085" s="1">
        <v>59247.899999999987</v>
      </c>
      <c r="L1085" s="1">
        <v>107</v>
      </c>
      <c r="M1085" s="1">
        <v>129.25862179487169</v>
      </c>
      <c r="N1085" s="1">
        <v>8.3023453790160868</v>
      </c>
      <c r="P1085" s="7">
        <v>45882</v>
      </c>
      <c r="R1085" s="7">
        <v>46247</v>
      </c>
      <c r="S1085" s="7">
        <v>46247</v>
      </c>
      <c r="T1085" s="7" t="str">
        <f t="shared" si="0"/>
        <v>agosto</v>
      </c>
      <c r="X1085" s="1" t="s">
        <v>331</v>
      </c>
      <c r="Y1085" s="1" t="s">
        <v>332</v>
      </c>
      <c r="Z1085" s="1">
        <v>16</v>
      </c>
      <c r="AA1085" s="3">
        <v>3389.9</v>
      </c>
      <c r="AB1085" s="3">
        <v>54238.400000000001</v>
      </c>
      <c r="AC1085" s="1" t="str">
        <f>VLOOKUP(A1085,[1]Detalle!$D$2:$CW$484,98,FALSE)</f>
        <v>CCUCoAZA</v>
      </c>
    </row>
    <row r="1086" spans="1:29" ht="14.25" customHeight="1" x14ac:dyDescent="0.3">
      <c r="A1086" s="1" t="s">
        <v>195</v>
      </c>
      <c r="B1086" s="1" t="s">
        <v>340</v>
      </c>
      <c r="C1086" s="1" t="s">
        <v>328</v>
      </c>
      <c r="D1086" s="1" t="s">
        <v>328</v>
      </c>
      <c r="E1086" s="1">
        <v>0.75</v>
      </c>
      <c r="F1086" s="1" t="s">
        <v>329</v>
      </c>
      <c r="G1086" s="1">
        <v>40688</v>
      </c>
      <c r="H1086" s="1">
        <v>60688</v>
      </c>
      <c r="I1086" s="1">
        <v>18559.899999999991</v>
      </c>
      <c r="J1086" s="1">
        <v>1440.100000000006</v>
      </c>
      <c r="K1086" s="1">
        <v>59247.899999999987</v>
      </c>
      <c r="L1086" s="1">
        <v>107</v>
      </c>
      <c r="M1086" s="1">
        <v>129.25862179487169</v>
      </c>
      <c r="N1086" s="1">
        <v>8.3023453790160868</v>
      </c>
      <c r="P1086" s="7">
        <v>45884</v>
      </c>
      <c r="R1086" s="7">
        <v>46249</v>
      </c>
      <c r="S1086" s="7">
        <v>46249</v>
      </c>
      <c r="T1086" s="7" t="str">
        <f t="shared" si="0"/>
        <v>agosto</v>
      </c>
      <c r="X1086" s="1" t="s">
        <v>331</v>
      </c>
      <c r="Y1086" s="1" t="s">
        <v>332</v>
      </c>
      <c r="Z1086" s="1">
        <v>16</v>
      </c>
      <c r="AA1086" s="3">
        <v>3389.9</v>
      </c>
      <c r="AB1086" s="3">
        <v>54238.400000000001</v>
      </c>
      <c r="AC1086" s="1" t="str">
        <f>VLOOKUP(A1086,[1]Detalle!$D$2:$CW$484,98,FALSE)</f>
        <v>CCUCoAZA</v>
      </c>
    </row>
    <row r="1087" spans="1:29" ht="14.25" customHeight="1" x14ac:dyDescent="0.3">
      <c r="A1087" s="1" t="s">
        <v>150</v>
      </c>
      <c r="B1087" s="1" t="s">
        <v>351</v>
      </c>
      <c r="C1087" s="1" t="s">
        <v>328</v>
      </c>
      <c r="D1087" s="1" t="s">
        <v>328</v>
      </c>
      <c r="E1087" s="1">
        <v>0.75</v>
      </c>
      <c r="F1087" s="1" t="s">
        <v>329</v>
      </c>
      <c r="G1087" s="1">
        <v>40688</v>
      </c>
      <c r="H1087" s="1">
        <v>60688</v>
      </c>
      <c r="I1087" s="1">
        <v>18559.899999999991</v>
      </c>
      <c r="J1087" s="1">
        <v>1440.100000000006</v>
      </c>
      <c r="K1087" s="1">
        <v>59247.899999999987</v>
      </c>
      <c r="L1087" s="1">
        <v>107</v>
      </c>
      <c r="M1087" s="1">
        <v>129.25862179487169</v>
      </c>
      <c r="N1087" s="1">
        <v>8.3023453790160868</v>
      </c>
      <c r="P1087" s="7">
        <v>45905</v>
      </c>
      <c r="R1087" s="7">
        <v>46270</v>
      </c>
      <c r="S1087" s="7">
        <v>46270</v>
      </c>
      <c r="T1087" s="7" t="str">
        <f t="shared" si="0"/>
        <v>septiembre</v>
      </c>
      <c r="X1087" s="1" t="s">
        <v>331</v>
      </c>
      <c r="Y1087" s="1" t="s">
        <v>332</v>
      </c>
      <c r="Z1087" s="1">
        <v>16</v>
      </c>
      <c r="AA1087" s="3">
        <v>3389.9</v>
      </c>
      <c r="AB1087" s="3">
        <v>54238.400000000001</v>
      </c>
      <c r="AC1087" s="1" t="str">
        <f>VLOOKUP(A1087,[1]Detalle!$D$2:$CW$484,98,FALSE)</f>
        <v>Papelera - Papelera del Plata S.A.</v>
      </c>
    </row>
    <row r="1088" spans="1:29" ht="14.25" customHeight="1" x14ac:dyDescent="0.3">
      <c r="A1088" s="1" t="s">
        <v>240</v>
      </c>
      <c r="B1088" s="1" t="s">
        <v>341</v>
      </c>
      <c r="C1088" s="1" t="s">
        <v>328</v>
      </c>
      <c r="D1088" s="1" t="s">
        <v>328</v>
      </c>
      <c r="E1088" s="1">
        <v>0.75</v>
      </c>
      <c r="F1088" s="1" t="s">
        <v>329</v>
      </c>
      <c r="G1088" s="1">
        <v>40688</v>
      </c>
      <c r="H1088" s="1">
        <v>60688</v>
      </c>
      <c r="I1088" s="1">
        <v>18559.899999999991</v>
      </c>
      <c r="J1088" s="1">
        <v>1440.100000000006</v>
      </c>
      <c r="K1088" s="1">
        <v>59247.899999999987</v>
      </c>
      <c r="L1088" s="1">
        <v>107</v>
      </c>
      <c r="M1088" s="1">
        <v>129.25862179487169</v>
      </c>
      <c r="N1088" s="1">
        <v>8.3023453790160868</v>
      </c>
      <c r="P1088" s="7">
        <v>45923</v>
      </c>
      <c r="R1088" s="7">
        <v>46288</v>
      </c>
      <c r="S1088" s="7">
        <v>46288</v>
      </c>
      <c r="T1088" s="7" t="str">
        <f t="shared" si="0"/>
        <v>septiembre</v>
      </c>
      <c r="X1088" s="1" t="s">
        <v>331</v>
      </c>
      <c r="Y1088" s="1" t="s">
        <v>332</v>
      </c>
      <c r="Z1088" s="1">
        <v>16</v>
      </c>
      <c r="AA1088" s="3">
        <v>3389.9</v>
      </c>
      <c r="AB1088" s="3">
        <v>54238.400000000001</v>
      </c>
      <c r="AC1088" s="1" t="str">
        <f>VLOOKUP(A1088,[1]Detalle!$D$2:$CW$484,98,FALSE)</f>
        <v>Papelera - Papelera del Plata S.A.</v>
      </c>
    </row>
    <row r="1089" spans="1:29" ht="14.25" customHeight="1" x14ac:dyDescent="0.3">
      <c r="A1089" s="1" t="s">
        <v>246</v>
      </c>
      <c r="B1089" s="1" t="s">
        <v>341</v>
      </c>
      <c r="C1089" s="1" t="s">
        <v>328</v>
      </c>
      <c r="D1089" s="1" t="s">
        <v>328</v>
      </c>
      <c r="E1089" s="1">
        <v>0.75</v>
      </c>
      <c r="F1089" s="1" t="s">
        <v>329</v>
      </c>
      <c r="G1089" s="1">
        <v>40688</v>
      </c>
      <c r="H1089" s="1">
        <v>60688</v>
      </c>
      <c r="I1089" s="1">
        <v>18559.899999999991</v>
      </c>
      <c r="J1089" s="1">
        <v>1440.100000000006</v>
      </c>
      <c r="K1089" s="1">
        <v>59247.899999999987</v>
      </c>
      <c r="L1089" s="1">
        <v>107</v>
      </c>
      <c r="M1089" s="1">
        <v>129.25862179487169</v>
      </c>
      <c r="N1089" s="1">
        <v>8.3023453790160868</v>
      </c>
      <c r="P1089" s="7">
        <v>45924</v>
      </c>
      <c r="R1089" s="7">
        <v>46289</v>
      </c>
      <c r="S1089" s="7">
        <v>46289</v>
      </c>
      <c r="T1089" s="7" t="str">
        <f t="shared" si="0"/>
        <v>septiembre</v>
      </c>
      <c r="X1089" s="1" t="s">
        <v>331</v>
      </c>
      <c r="Y1089" s="1" t="s">
        <v>332</v>
      </c>
      <c r="Z1089" s="1">
        <v>16</v>
      </c>
      <c r="AA1089" s="3">
        <v>3389.9</v>
      </c>
      <c r="AB1089" s="3">
        <v>54238.400000000001</v>
      </c>
      <c r="AC1089" s="1" t="str">
        <f>VLOOKUP(A1089,[1]Detalle!$D$2:$CW$484,98,FALSE)</f>
        <v>Papelera - Papelera del Plata S.A.</v>
      </c>
    </row>
    <row r="1090" spans="1:29" ht="14.25" customHeight="1" x14ac:dyDescent="0.3">
      <c r="A1090" s="1" t="s">
        <v>199</v>
      </c>
      <c r="B1090" s="1" t="s">
        <v>340</v>
      </c>
      <c r="C1090" s="1" t="s">
        <v>328</v>
      </c>
      <c r="D1090" s="1" t="s">
        <v>328</v>
      </c>
      <c r="E1090" s="1">
        <v>0.75</v>
      </c>
      <c r="F1090" s="1" t="s">
        <v>329</v>
      </c>
      <c r="G1090" s="1">
        <v>40688</v>
      </c>
      <c r="H1090" s="1">
        <v>60688</v>
      </c>
      <c r="I1090" s="1">
        <v>18559.899999999991</v>
      </c>
      <c r="J1090" s="1">
        <v>1440.100000000006</v>
      </c>
      <c r="K1090" s="1">
        <v>59247.899999999987</v>
      </c>
      <c r="L1090" s="1">
        <v>107</v>
      </c>
      <c r="M1090" s="1">
        <v>129.25862179487169</v>
      </c>
      <c r="N1090" s="1">
        <v>8.3023453790160868</v>
      </c>
      <c r="P1090" s="7">
        <v>45932</v>
      </c>
      <c r="R1090" s="7">
        <v>46297</v>
      </c>
      <c r="S1090" s="7">
        <v>46297</v>
      </c>
      <c r="T1090" s="7" t="str">
        <f t="shared" si="0"/>
        <v>octubre</v>
      </c>
      <c r="X1090" s="1" t="s">
        <v>331</v>
      </c>
      <c r="Y1090" s="1" t="s">
        <v>332</v>
      </c>
      <c r="Z1090" s="1">
        <v>16</v>
      </c>
      <c r="AA1090" s="3">
        <v>3389.9</v>
      </c>
      <c r="AB1090" s="3">
        <v>54238.400000000001</v>
      </c>
      <c r="AC1090" s="1" t="str">
        <f>VLOOKUP(A1090,[1]Detalle!$D$2:$CW$484,98,FALSE)</f>
        <v>CCUCoAZA</v>
      </c>
    </row>
    <row r="1091" spans="1:29" ht="14.25" customHeight="1" x14ac:dyDescent="0.3">
      <c r="A1091" s="1" t="s">
        <v>123</v>
      </c>
      <c r="B1091" s="1">
        <v>1620</v>
      </c>
      <c r="C1091" s="1" t="s">
        <v>328</v>
      </c>
      <c r="D1091" s="1" t="s">
        <v>328</v>
      </c>
      <c r="E1091" s="1">
        <v>0.75</v>
      </c>
      <c r="F1091" s="1" t="s">
        <v>329</v>
      </c>
      <c r="G1091" s="1">
        <v>40688</v>
      </c>
      <c r="H1091" s="1">
        <v>60688</v>
      </c>
      <c r="I1091" s="1">
        <v>18559.899999999991</v>
      </c>
      <c r="J1091" s="1">
        <v>1440.100000000006</v>
      </c>
      <c r="K1091" s="1">
        <v>59247.899999999987</v>
      </c>
      <c r="L1091" s="1">
        <v>107</v>
      </c>
      <c r="M1091" s="1">
        <v>129.25862179487169</v>
      </c>
      <c r="N1091" s="1">
        <v>8.3023453790160868</v>
      </c>
      <c r="P1091" s="7">
        <v>45941</v>
      </c>
      <c r="R1091" s="7">
        <v>46306</v>
      </c>
      <c r="S1091" s="7">
        <v>46306</v>
      </c>
      <c r="T1091" s="7" t="str">
        <f t="shared" si="0"/>
        <v>octubre</v>
      </c>
      <c r="X1091" s="1" t="s">
        <v>331</v>
      </c>
      <c r="Y1091" s="1" t="s">
        <v>332</v>
      </c>
      <c r="Z1091" s="1">
        <v>16</v>
      </c>
      <c r="AA1091" s="3">
        <v>3389.9</v>
      </c>
      <c r="AB1091" s="3">
        <v>54238.400000000001</v>
      </c>
      <c r="AC1091" s="1" t="str">
        <f>VLOOKUP(A1091,[1]Detalle!$D$2:$CW$484,98,FALSE)</f>
        <v>SUC_SRA - Sucursal San Rafael</v>
      </c>
    </row>
    <row r="1092" spans="1:29" ht="14.25" customHeight="1" x14ac:dyDescent="0.3">
      <c r="A1092" s="1" t="s">
        <v>38</v>
      </c>
      <c r="B1092" s="1" t="s">
        <v>362</v>
      </c>
      <c r="C1092" s="1" t="s">
        <v>328</v>
      </c>
      <c r="D1092" s="1" t="s">
        <v>328</v>
      </c>
      <c r="E1092" s="1">
        <v>0.75</v>
      </c>
      <c r="F1092" s="1" t="s">
        <v>329</v>
      </c>
      <c r="G1092" s="1">
        <v>40688</v>
      </c>
      <c r="H1092" s="1">
        <v>60688</v>
      </c>
      <c r="I1092" s="1">
        <v>18559.899999999991</v>
      </c>
      <c r="J1092" s="1">
        <v>1440.100000000006</v>
      </c>
      <c r="K1092" s="1">
        <v>59247.899999999987</v>
      </c>
      <c r="L1092" s="1">
        <v>107</v>
      </c>
      <c r="M1092" s="1">
        <v>129.25862179487169</v>
      </c>
      <c r="N1092" s="1">
        <v>8.3023453790160868</v>
      </c>
      <c r="P1092" s="7">
        <v>45944</v>
      </c>
      <c r="R1092" s="7">
        <v>46309</v>
      </c>
      <c r="S1092" s="7">
        <v>46309</v>
      </c>
      <c r="T1092" s="7" t="str">
        <f t="shared" si="0"/>
        <v>octubre</v>
      </c>
      <c r="X1092" s="1" t="s">
        <v>331</v>
      </c>
      <c r="Y1092" s="1" t="s">
        <v>332</v>
      </c>
      <c r="Z1092" s="1">
        <v>16</v>
      </c>
      <c r="AA1092" s="3">
        <v>3389.9</v>
      </c>
      <c r="AB1092" s="3">
        <v>54238.400000000001</v>
      </c>
      <c r="AC1092" s="1" t="str">
        <f>VLOOKUP(A1092,[1]Detalle!$D$2:$CW$484,98,FALSE)</f>
        <v>SUC_SRA - Sucursal San Rafael</v>
      </c>
    </row>
    <row r="1093" spans="1:29" ht="14.25" customHeight="1" x14ac:dyDescent="0.3">
      <c r="A1093" s="1" t="s">
        <v>194</v>
      </c>
      <c r="B1093" s="1" t="s">
        <v>340</v>
      </c>
      <c r="C1093" s="1" t="s">
        <v>328</v>
      </c>
      <c r="D1093" s="1" t="s">
        <v>328</v>
      </c>
      <c r="E1093" s="1">
        <v>0.75</v>
      </c>
      <c r="F1093" s="1" t="s">
        <v>329</v>
      </c>
      <c r="G1093" s="1">
        <v>40688</v>
      </c>
      <c r="H1093" s="1">
        <v>60688</v>
      </c>
      <c r="I1093" s="1">
        <v>18559.899999999991</v>
      </c>
      <c r="J1093" s="1">
        <v>1440.100000000006</v>
      </c>
      <c r="K1093" s="1">
        <v>59247.899999999987</v>
      </c>
      <c r="L1093" s="1">
        <v>107</v>
      </c>
      <c r="M1093" s="1">
        <v>129.25862179487169</v>
      </c>
      <c r="N1093" s="1">
        <v>8.3023453790160868</v>
      </c>
      <c r="P1093" s="7">
        <v>45947</v>
      </c>
      <c r="R1093" s="7">
        <v>46312</v>
      </c>
      <c r="S1093" s="7">
        <v>46312</v>
      </c>
      <c r="T1093" s="7" t="str">
        <f t="shared" si="0"/>
        <v>octubre</v>
      </c>
      <c r="X1093" s="1" t="s">
        <v>331</v>
      </c>
      <c r="Y1093" s="1" t="s">
        <v>332</v>
      </c>
      <c r="Z1093" s="1">
        <v>16</v>
      </c>
      <c r="AA1093" s="3">
        <v>3389.9</v>
      </c>
      <c r="AB1093" s="3">
        <v>54238.400000000001</v>
      </c>
      <c r="AC1093" s="1" t="str">
        <f>VLOOKUP(A1093,[1]Detalle!$D$2:$CW$484,98,FALSE)</f>
        <v>CMQ_TTE - QUILMES TTE</v>
      </c>
    </row>
    <row r="1094" spans="1:29" ht="14.25" customHeight="1" x14ac:dyDescent="0.3">
      <c r="A1094" s="1" t="s">
        <v>132</v>
      </c>
      <c r="B1094" s="1">
        <v>1620</v>
      </c>
      <c r="C1094" s="1" t="s">
        <v>328</v>
      </c>
      <c r="D1094" s="1" t="s">
        <v>328</v>
      </c>
      <c r="E1094" s="1">
        <v>0.75</v>
      </c>
      <c r="F1094" s="1" t="s">
        <v>329</v>
      </c>
      <c r="G1094" s="1">
        <v>40688</v>
      </c>
      <c r="H1094" s="1">
        <v>60688</v>
      </c>
      <c r="I1094" s="1">
        <v>18559.899999999991</v>
      </c>
      <c r="J1094" s="1">
        <v>1440.100000000006</v>
      </c>
      <c r="K1094" s="1">
        <v>59247.899999999987</v>
      </c>
      <c r="L1094" s="1">
        <v>107</v>
      </c>
      <c r="M1094" s="1">
        <v>129.25862179487169</v>
      </c>
      <c r="N1094" s="1">
        <v>8.3023453790160868</v>
      </c>
      <c r="P1094" s="7">
        <v>45950</v>
      </c>
      <c r="R1094" s="7">
        <v>46315</v>
      </c>
      <c r="S1094" s="7">
        <v>46315</v>
      </c>
      <c r="T1094" s="7" t="str">
        <f t="shared" si="0"/>
        <v>octubre</v>
      </c>
      <c r="X1094" s="1" t="s">
        <v>331</v>
      </c>
      <c r="Y1094" s="1" t="s">
        <v>332</v>
      </c>
      <c r="Z1094" s="1">
        <v>16</v>
      </c>
      <c r="AA1094" s="3">
        <v>3389.9</v>
      </c>
      <c r="AB1094" s="3">
        <v>54238.400000000001</v>
      </c>
      <c r="AC1094" s="1" t="str">
        <f>VLOOKUP(A1094,[1]Detalle!$D$2:$CW$484,98,FALSE)</f>
        <v>Unilever - Unilever de Arg. S.A.</v>
      </c>
    </row>
    <row r="1095" spans="1:29" ht="14.25" customHeight="1" x14ac:dyDescent="0.3">
      <c r="A1095" s="1" t="s">
        <v>276</v>
      </c>
      <c r="B1095" s="1">
        <v>710</v>
      </c>
      <c r="C1095" s="1" t="s">
        <v>328</v>
      </c>
      <c r="D1095" s="1" t="s">
        <v>328</v>
      </c>
      <c r="E1095" s="1">
        <v>0.75</v>
      </c>
      <c r="F1095" s="1" t="s">
        <v>329</v>
      </c>
      <c r="G1095" s="1">
        <v>40688</v>
      </c>
      <c r="H1095" s="1">
        <v>60688</v>
      </c>
      <c r="I1095" s="1">
        <v>18559.899999999991</v>
      </c>
      <c r="J1095" s="1">
        <v>1440.100000000006</v>
      </c>
      <c r="K1095" s="1">
        <v>59247.899999999987</v>
      </c>
      <c r="L1095" s="1">
        <v>107</v>
      </c>
      <c r="M1095" s="1">
        <v>129.25862179487169</v>
      </c>
      <c r="N1095" s="1">
        <v>8.3023453790160868</v>
      </c>
      <c r="P1095" s="7">
        <v>45950</v>
      </c>
      <c r="R1095" s="7">
        <v>46315</v>
      </c>
      <c r="S1095" s="7">
        <v>46315</v>
      </c>
      <c r="T1095" s="7" t="str">
        <f t="shared" si="0"/>
        <v>octubre</v>
      </c>
      <c r="X1095" s="1" t="s">
        <v>331</v>
      </c>
      <c r="Y1095" s="1" t="s">
        <v>332</v>
      </c>
      <c r="Z1095" s="1">
        <v>16</v>
      </c>
      <c r="AA1095" s="3">
        <v>3389.9</v>
      </c>
      <c r="AB1095" s="3">
        <v>54238.400000000001</v>
      </c>
      <c r="AC1095" s="1" t="str">
        <f>VLOOKUP(A1095,[1]Detalle!$D$2:$CW$484,98,FALSE)</f>
        <v>SUC_SRA - Sucursal San Rafael</v>
      </c>
    </row>
    <row r="1096" spans="1:29" ht="14.25" customHeight="1" x14ac:dyDescent="0.3">
      <c r="A1096" s="1" t="s">
        <v>79</v>
      </c>
      <c r="B1096" s="1" t="s">
        <v>352</v>
      </c>
      <c r="C1096" s="1" t="s">
        <v>396</v>
      </c>
      <c r="D1096" s="1" t="s">
        <v>328</v>
      </c>
      <c r="E1096" s="1">
        <v>0.75</v>
      </c>
      <c r="F1096" s="1" t="s">
        <v>329</v>
      </c>
      <c r="G1096" s="1">
        <v>40688</v>
      </c>
      <c r="H1096" s="1">
        <v>60688</v>
      </c>
      <c r="I1096" s="1">
        <v>18559.899999999991</v>
      </c>
      <c r="J1096" s="1">
        <v>1440.100000000006</v>
      </c>
      <c r="K1096" s="1">
        <v>59247.899999999987</v>
      </c>
      <c r="L1096" s="1">
        <v>107</v>
      </c>
      <c r="M1096" s="1">
        <v>129.25862179487169</v>
      </c>
      <c r="N1096" s="1">
        <v>8.3023453790160868</v>
      </c>
      <c r="P1096" s="7">
        <v>45826</v>
      </c>
      <c r="R1096" s="7">
        <v>46191</v>
      </c>
      <c r="S1096" s="7">
        <v>46191</v>
      </c>
      <c r="T1096" s="7" t="str">
        <f t="shared" si="0"/>
        <v>junio</v>
      </c>
      <c r="X1096" s="1" t="s">
        <v>331</v>
      </c>
      <c r="Y1096" s="1" t="s">
        <v>332</v>
      </c>
      <c r="Z1096" s="1">
        <v>16</v>
      </c>
      <c r="AA1096" s="3">
        <v>3389.9</v>
      </c>
      <c r="AB1096" s="3">
        <v>54238.400000000001</v>
      </c>
      <c r="AC1096" s="1" t="str">
        <f>VLOOKUP(A1096,[1]Detalle!$D$2:$CW$484,98,FALSE)</f>
        <v>Papelera - Papelera del Plata S.A.</v>
      </c>
    </row>
    <row r="1097" spans="1:29" ht="14.25" customHeight="1" x14ac:dyDescent="0.3">
      <c r="A1097" s="1" t="s">
        <v>64</v>
      </c>
      <c r="B1097" s="1" t="s">
        <v>352</v>
      </c>
      <c r="C1097" s="1" t="s">
        <v>396</v>
      </c>
      <c r="D1097" s="1" t="s">
        <v>328</v>
      </c>
      <c r="E1097" s="1">
        <v>0.75</v>
      </c>
      <c r="F1097" s="1" t="s">
        <v>329</v>
      </c>
      <c r="G1097" s="1">
        <v>40688</v>
      </c>
      <c r="H1097" s="1">
        <v>60688</v>
      </c>
      <c r="I1097" s="1">
        <v>18559.899999999991</v>
      </c>
      <c r="J1097" s="1">
        <v>1440.100000000006</v>
      </c>
      <c r="K1097" s="1">
        <v>59247.899999999987</v>
      </c>
      <c r="L1097" s="1">
        <v>107</v>
      </c>
      <c r="M1097" s="1">
        <v>129.25862179487169</v>
      </c>
      <c r="N1097" s="1">
        <v>8.3023453790160868</v>
      </c>
      <c r="P1097" s="7">
        <v>45855</v>
      </c>
      <c r="R1097" s="7">
        <v>46220</v>
      </c>
      <c r="S1097" s="7">
        <v>46220</v>
      </c>
      <c r="T1097" s="7" t="str">
        <f t="shared" si="0"/>
        <v>julio</v>
      </c>
      <c r="X1097" s="1" t="s">
        <v>331</v>
      </c>
      <c r="Y1097" s="1" t="s">
        <v>332</v>
      </c>
      <c r="Z1097" s="1">
        <v>16</v>
      </c>
      <c r="AA1097" s="3">
        <v>3389.9</v>
      </c>
      <c r="AB1097" s="3">
        <v>54238.400000000001</v>
      </c>
      <c r="AC1097" s="1" t="str">
        <f>VLOOKUP(A1097,[1]Detalle!$D$2:$CW$484,98,FALSE)</f>
        <v>CMQ_TTE - QUILMES TTE</v>
      </c>
    </row>
    <row r="1098" spans="1:29" ht="14.25" customHeight="1" x14ac:dyDescent="0.3">
      <c r="A1098" s="1" t="s">
        <v>51</v>
      </c>
      <c r="B1098" s="1" t="s">
        <v>350</v>
      </c>
      <c r="C1098" s="1" t="s">
        <v>396</v>
      </c>
      <c r="D1098" s="1" t="s">
        <v>328</v>
      </c>
      <c r="E1098" s="1">
        <v>0.75</v>
      </c>
      <c r="F1098" s="1" t="s">
        <v>329</v>
      </c>
      <c r="G1098" s="1">
        <v>40688</v>
      </c>
      <c r="H1098" s="1">
        <v>60688</v>
      </c>
      <c r="I1098" s="1">
        <v>18559.899999999991</v>
      </c>
      <c r="J1098" s="1">
        <v>1440.100000000006</v>
      </c>
      <c r="K1098" s="1">
        <v>59247.899999999987</v>
      </c>
      <c r="L1098" s="1">
        <v>107</v>
      </c>
      <c r="M1098" s="1">
        <v>129.25862179487169</v>
      </c>
      <c r="N1098" s="1">
        <v>8.3023453790160868</v>
      </c>
      <c r="P1098" s="7">
        <v>45855</v>
      </c>
      <c r="R1098" s="7">
        <v>46220</v>
      </c>
      <c r="S1098" s="7">
        <v>46220</v>
      </c>
      <c r="T1098" s="7" t="str">
        <f t="shared" si="0"/>
        <v>julio</v>
      </c>
      <c r="X1098" s="1" t="s">
        <v>331</v>
      </c>
      <c r="Y1098" s="1" t="s">
        <v>332</v>
      </c>
      <c r="Z1098" s="1">
        <v>16</v>
      </c>
      <c r="AA1098" s="3">
        <v>3389.9</v>
      </c>
      <c r="AB1098" s="3">
        <v>54238.400000000001</v>
      </c>
      <c r="AC1098" s="1" t="str">
        <f>VLOOKUP(A1098,[1]Detalle!$D$2:$CW$484,98,FALSE)</f>
        <v>CMQ_TTE - QUILMES TTE</v>
      </c>
    </row>
    <row r="1099" spans="1:29" ht="14.25" customHeight="1" x14ac:dyDescent="0.3">
      <c r="A1099" s="1" t="s">
        <v>2</v>
      </c>
      <c r="B1099" s="1" t="s">
        <v>480</v>
      </c>
      <c r="C1099" s="1" t="s">
        <v>396</v>
      </c>
      <c r="D1099" s="1" t="s">
        <v>328</v>
      </c>
      <c r="E1099" s="1">
        <v>0.75</v>
      </c>
      <c r="F1099" s="1" t="s">
        <v>329</v>
      </c>
      <c r="G1099" s="1">
        <v>40688</v>
      </c>
      <c r="H1099" s="1">
        <v>60688</v>
      </c>
      <c r="I1099" s="1">
        <v>18559.899999999991</v>
      </c>
      <c r="J1099" s="1">
        <v>1440.100000000006</v>
      </c>
      <c r="K1099" s="1">
        <v>59247.899999999987</v>
      </c>
      <c r="L1099" s="1">
        <v>107</v>
      </c>
      <c r="M1099" s="1">
        <v>129.25862179487169</v>
      </c>
      <c r="N1099" s="1">
        <v>8.3023453790160868</v>
      </c>
      <c r="P1099" s="7">
        <v>45882</v>
      </c>
      <c r="R1099" s="7">
        <v>46247</v>
      </c>
      <c r="S1099" s="7">
        <v>46247</v>
      </c>
      <c r="T1099" s="7" t="str">
        <f t="shared" si="0"/>
        <v>agosto</v>
      </c>
      <c r="X1099" s="1" t="s">
        <v>331</v>
      </c>
      <c r="Y1099" s="1" t="s">
        <v>332</v>
      </c>
      <c r="Z1099" s="1">
        <v>16</v>
      </c>
      <c r="AA1099" s="3">
        <v>3389.9</v>
      </c>
      <c r="AB1099" s="3">
        <v>54238.400000000001</v>
      </c>
      <c r="AC1099" s="1" t="str">
        <f>VLOOKUP(A1099,[1]Detalle!$D$2:$CW$484,98,FALSE)</f>
        <v>Unilever - Unilever de Arg. S.A.</v>
      </c>
    </row>
    <row r="1100" spans="1:29" ht="14.25" customHeight="1" x14ac:dyDescent="0.3">
      <c r="A1100" s="1" t="s">
        <v>63</v>
      </c>
      <c r="B1100" s="1" t="s">
        <v>352</v>
      </c>
      <c r="C1100" s="1" t="s">
        <v>396</v>
      </c>
      <c r="D1100" s="1" t="s">
        <v>328</v>
      </c>
      <c r="E1100" s="1">
        <v>0.75</v>
      </c>
      <c r="F1100" s="1" t="s">
        <v>329</v>
      </c>
      <c r="G1100" s="1">
        <v>40688</v>
      </c>
      <c r="H1100" s="1">
        <v>60688</v>
      </c>
      <c r="I1100" s="1">
        <v>18559.899999999991</v>
      </c>
      <c r="J1100" s="1">
        <v>1440.100000000006</v>
      </c>
      <c r="K1100" s="1">
        <v>59247.899999999987</v>
      </c>
      <c r="L1100" s="1">
        <v>107</v>
      </c>
      <c r="M1100" s="1">
        <v>129.25862179487169</v>
      </c>
      <c r="N1100" s="1">
        <v>8.3023453790160868</v>
      </c>
      <c r="P1100" s="7">
        <v>45887</v>
      </c>
      <c r="R1100" s="7">
        <v>46252</v>
      </c>
      <c r="S1100" s="7">
        <v>46252</v>
      </c>
      <c r="T1100" s="7" t="str">
        <f t="shared" si="0"/>
        <v>agosto</v>
      </c>
      <c r="X1100" s="1" t="s">
        <v>331</v>
      </c>
      <c r="Y1100" s="1" t="s">
        <v>332</v>
      </c>
      <c r="Z1100" s="1">
        <v>16</v>
      </c>
      <c r="AA1100" s="3">
        <v>3389.9</v>
      </c>
      <c r="AB1100" s="3">
        <v>54238.400000000001</v>
      </c>
      <c r="AC1100" s="1" t="str">
        <f>VLOOKUP(A1100,[1]Detalle!$D$2:$CW$484,98,FALSE)</f>
        <v>CMQ_TTE - QUILMES TTE</v>
      </c>
    </row>
    <row r="1101" spans="1:29" ht="14.25" customHeight="1" x14ac:dyDescent="0.3">
      <c r="A1101" s="1" t="s">
        <v>68</v>
      </c>
      <c r="B1101" s="1" t="s">
        <v>352</v>
      </c>
      <c r="C1101" s="1" t="s">
        <v>396</v>
      </c>
      <c r="D1101" s="1" t="s">
        <v>328</v>
      </c>
      <c r="E1101" s="1">
        <v>0.75</v>
      </c>
      <c r="F1101" s="1" t="s">
        <v>329</v>
      </c>
      <c r="G1101" s="1">
        <v>40688</v>
      </c>
      <c r="H1101" s="1">
        <v>60688</v>
      </c>
      <c r="I1101" s="1">
        <v>18559.899999999991</v>
      </c>
      <c r="J1101" s="1">
        <v>1440.100000000006</v>
      </c>
      <c r="K1101" s="1">
        <v>59247.899999999987</v>
      </c>
      <c r="L1101" s="1">
        <v>107</v>
      </c>
      <c r="M1101" s="1">
        <v>129.25862179487169</v>
      </c>
      <c r="N1101" s="1">
        <v>8.3023453790160868</v>
      </c>
      <c r="P1101" s="7">
        <v>45887</v>
      </c>
      <c r="R1101" s="7">
        <v>46252</v>
      </c>
      <c r="S1101" s="7">
        <v>46252</v>
      </c>
      <c r="T1101" s="7" t="str">
        <f t="shared" si="0"/>
        <v>agosto</v>
      </c>
      <c r="X1101" s="1" t="s">
        <v>331</v>
      </c>
      <c r="Y1101" s="1" t="s">
        <v>332</v>
      </c>
      <c r="Z1101" s="1">
        <v>16</v>
      </c>
      <c r="AA1101" s="3">
        <v>3389.9</v>
      </c>
      <c r="AB1101" s="3">
        <v>54238.400000000001</v>
      </c>
      <c r="AC1101" s="1" t="str">
        <f>VLOOKUP(A1101,[1]Detalle!$D$2:$CW$484,98,FALSE)</f>
        <v>CMQ_TTE - QUILMES TTE</v>
      </c>
    </row>
    <row r="1102" spans="1:29" ht="14.25" customHeight="1" x14ac:dyDescent="0.3">
      <c r="A1102" s="1" t="s">
        <v>16</v>
      </c>
      <c r="B1102" s="1" t="s">
        <v>352</v>
      </c>
      <c r="C1102" s="1" t="s">
        <v>396</v>
      </c>
      <c r="D1102" s="1" t="s">
        <v>328</v>
      </c>
      <c r="E1102" s="1">
        <v>0.75</v>
      </c>
      <c r="F1102" s="1" t="s">
        <v>329</v>
      </c>
      <c r="G1102" s="1">
        <v>40688</v>
      </c>
      <c r="H1102" s="1">
        <v>60688</v>
      </c>
      <c r="I1102" s="1">
        <v>18559.899999999991</v>
      </c>
      <c r="J1102" s="1">
        <v>1440.100000000006</v>
      </c>
      <c r="K1102" s="1">
        <v>59247.899999999987</v>
      </c>
      <c r="L1102" s="1">
        <v>107</v>
      </c>
      <c r="M1102" s="1">
        <v>129.25862179487169</v>
      </c>
      <c r="N1102" s="1">
        <v>8.3023453790160868</v>
      </c>
      <c r="P1102" s="7">
        <v>45912</v>
      </c>
      <c r="R1102" s="7">
        <v>46277</v>
      </c>
      <c r="S1102" s="7">
        <v>46277</v>
      </c>
      <c r="T1102" s="7" t="str">
        <f t="shared" si="0"/>
        <v>septiembre</v>
      </c>
      <c r="X1102" s="1" t="s">
        <v>331</v>
      </c>
      <c r="Y1102" s="1" t="s">
        <v>332</v>
      </c>
      <c r="Z1102" s="1">
        <v>16</v>
      </c>
      <c r="AA1102" s="3">
        <v>3389.9</v>
      </c>
      <c r="AB1102" s="3">
        <v>54238.400000000001</v>
      </c>
      <c r="AC1102" s="1" t="str">
        <f>VLOOKUP(A1102,[1]Detalle!$D$2:$CW$484,98,FALSE)</f>
        <v>CMQ_TTE - QUILMES TTE</v>
      </c>
    </row>
    <row r="1103" spans="1:29" ht="14.25" customHeight="1" x14ac:dyDescent="0.3">
      <c r="A1103" s="1" t="s">
        <v>79</v>
      </c>
      <c r="B1103" s="1" t="s">
        <v>352</v>
      </c>
      <c r="C1103" s="1" t="s">
        <v>396</v>
      </c>
      <c r="D1103" s="1" t="s">
        <v>328</v>
      </c>
      <c r="E1103" s="1">
        <v>0.75</v>
      </c>
      <c r="F1103" s="1" t="s">
        <v>329</v>
      </c>
      <c r="G1103" s="1">
        <v>40688</v>
      </c>
      <c r="H1103" s="1">
        <v>60688</v>
      </c>
      <c r="I1103" s="1">
        <v>18559.899999999991</v>
      </c>
      <c r="J1103" s="1">
        <v>1440.100000000006</v>
      </c>
      <c r="K1103" s="1">
        <v>59247.899999999987</v>
      </c>
      <c r="L1103" s="1">
        <v>107</v>
      </c>
      <c r="M1103" s="1">
        <v>129.25862179487169</v>
      </c>
      <c r="N1103" s="1">
        <v>8.3023453790160868</v>
      </c>
      <c r="P1103" s="7">
        <v>45922</v>
      </c>
      <c r="R1103" s="7">
        <v>46287</v>
      </c>
      <c r="S1103" s="7">
        <v>46287</v>
      </c>
      <c r="T1103" s="7" t="str">
        <f t="shared" si="0"/>
        <v>septiembre</v>
      </c>
      <c r="X1103" s="1" t="s">
        <v>331</v>
      </c>
      <c r="Y1103" s="1" t="s">
        <v>332</v>
      </c>
      <c r="Z1103" s="1">
        <v>16</v>
      </c>
      <c r="AA1103" s="3">
        <v>3389.9</v>
      </c>
      <c r="AB1103" s="3">
        <v>54238.400000000001</v>
      </c>
      <c r="AC1103" s="1" t="str">
        <f>VLOOKUP(A1103,[1]Detalle!$D$2:$CW$484,98,FALSE)</f>
        <v>Papelera - Papelera del Plata S.A.</v>
      </c>
    </row>
    <row r="1104" spans="1:29" ht="14.25" customHeight="1" x14ac:dyDescent="0.3">
      <c r="A1104" s="1" t="s">
        <v>69</v>
      </c>
      <c r="B1104" s="1" t="s">
        <v>352</v>
      </c>
      <c r="C1104" s="1" t="s">
        <v>396</v>
      </c>
      <c r="D1104" s="1" t="s">
        <v>328</v>
      </c>
      <c r="E1104" s="1">
        <v>0.75</v>
      </c>
      <c r="F1104" s="1" t="s">
        <v>329</v>
      </c>
      <c r="G1104" s="1">
        <v>40688</v>
      </c>
      <c r="H1104" s="1">
        <v>60688</v>
      </c>
      <c r="I1104" s="1">
        <v>18559.899999999991</v>
      </c>
      <c r="J1104" s="1">
        <v>1440.100000000006</v>
      </c>
      <c r="K1104" s="1">
        <v>59247.899999999987</v>
      </c>
      <c r="L1104" s="1">
        <v>107</v>
      </c>
      <c r="M1104" s="1">
        <v>129.25862179487169</v>
      </c>
      <c r="N1104" s="1">
        <v>8.3023453790160868</v>
      </c>
      <c r="P1104" s="7">
        <v>45931</v>
      </c>
      <c r="R1104" s="7">
        <v>46296</v>
      </c>
      <c r="S1104" s="7">
        <v>46296</v>
      </c>
      <c r="T1104" s="7" t="str">
        <f t="shared" si="0"/>
        <v>octubre</v>
      </c>
      <c r="X1104" s="1" t="s">
        <v>331</v>
      </c>
      <c r="Y1104" s="1" t="s">
        <v>332</v>
      </c>
      <c r="Z1104" s="1">
        <v>16</v>
      </c>
      <c r="AA1104" s="3">
        <v>3389.9</v>
      </c>
      <c r="AB1104" s="3">
        <v>54238.400000000001</v>
      </c>
      <c r="AC1104" s="1" t="str">
        <f>VLOOKUP(A1104,[1]Detalle!$D$2:$CW$484,98,FALSE)</f>
        <v>CMQ_TTE - QUILMES TTE</v>
      </c>
    </row>
    <row r="1105" spans="1:29" ht="14.25" customHeight="1" x14ac:dyDescent="0.3">
      <c r="A1105" s="1" t="s">
        <v>54</v>
      </c>
      <c r="B1105" s="1" t="s">
        <v>404</v>
      </c>
      <c r="C1105" s="1" t="s">
        <v>400</v>
      </c>
      <c r="D1105" s="1" t="s">
        <v>328</v>
      </c>
      <c r="E1105" s="1">
        <v>0.75</v>
      </c>
      <c r="F1105" s="1" t="s">
        <v>329</v>
      </c>
      <c r="G1105" s="1">
        <v>40688</v>
      </c>
      <c r="H1105" s="1">
        <v>60688</v>
      </c>
      <c r="I1105" s="1">
        <v>18559.899999999991</v>
      </c>
      <c r="J1105" s="1">
        <v>1440.100000000006</v>
      </c>
      <c r="K1105" s="1">
        <v>59247.899999999987</v>
      </c>
      <c r="L1105" s="1">
        <v>107</v>
      </c>
      <c r="M1105" s="1">
        <v>129.25862179487169</v>
      </c>
      <c r="N1105" s="1">
        <v>8.3023453790160868</v>
      </c>
      <c r="P1105" s="7">
        <v>45769</v>
      </c>
      <c r="R1105" s="7">
        <v>46134</v>
      </c>
      <c r="S1105" s="7">
        <v>46134</v>
      </c>
      <c r="T1105" s="7" t="str">
        <f t="shared" si="0"/>
        <v>abril</v>
      </c>
      <c r="X1105" s="1" t="s">
        <v>331</v>
      </c>
      <c r="Y1105" s="1" t="s">
        <v>332</v>
      </c>
      <c r="Z1105" s="1">
        <v>16</v>
      </c>
      <c r="AA1105" s="3">
        <v>3389.9</v>
      </c>
      <c r="AB1105" s="3">
        <v>54238.400000000001</v>
      </c>
      <c r="AC1105" s="1" t="str">
        <f>VLOOKUP(A1105,[1]Detalle!$D$2:$CW$484,98,FALSE)</f>
        <v>CMQ_TTE - QUILMES TTE</v>
      </c>
    </row>
    <row r="1106" spans="1:29" ht="14.25" customHeight="1" x14ac:dyDescent="0.3">
      <c r="A1106" s="1" t="s">
        <v>28</v>
      </c>
      <c r="B1106" s="1" t="s">
        <v>407</v>
      </c>
      <c r="C1106" s="1" t="s">
        <v>400</v>
      </c>
      <c r="D1106" s="1" t="s">
        <v>328</v>
      </c>
      <c r="E1106" s="1">
        <v>0.75</v>
      </c>
      <c r="F1106" s="1" t="s">
        <v>329</v>
      </c>
      <c r="G1106" s="1">
        <v>40688</v>
      </c>
      <c r="H1106" s="1">
        <v>60688</v>
      </c>
      <c r="I1106" s="1">
        <v>18559.899999999991</v>
      </c>
      <c r="J1106" s="1">
        <v>1440.100000000006</v>
      </c>
      <c r="K1106" s="1">
        <v>59247.899999999987</v>
      </c>
      <c r="L1106" s="1">
        <v>107</v>
      </c>
      <c r="M1106" s="1">
        <v>129.25862179487169</v>
      </c>
      <c r="N1106" s="1">
        <v>8.3023453790160868</v>
      </c>
      <c r="P1106" s="7">
        <v>45860</v>
      </c>
      <c r="R1106" s="7">
        <v>46225</v>
      </c>
      <c r="S1106" s="7">
        <v>46225</v>
      </c>
      <c r="T1106" s="7" t="str">
        <f t="shared" si="0"/>
        <v>julio</v>
      </c>
      <c r="X1106" s="1" t="s">
        <v>331</v>
      </c>
      <c r="Y1106" s="1" t="s">
        <v>332</v>
      </c>
      <c r="Z1106" s="1">
        <v>16</v>
      </c>
      <c r="AA1106" s="3">
        <v>3389.9</v>
      </c>
      <c r="AB1106" s="3">
        <v>54238.400000000001</v>
      </c>
      <c r="AC1106" s="1" t="str">
        <f>VLOOKUP(A1106,[1]Detalle!$D$2:$CW$484,98,FALSE)</f>
        <v>CMQ_TTE - QUILMES TTE</v>
      </c>
    </row>
    <row r="1107" spans="1:29" ht="14.25" customHeight="1" x14ac:dyDescent="0.3">
      <c r="A1107" s="1" t="s">
        <v>23</v>
      </c>
      <c r="B1107" s="1" t="s">
        <v>408</v>
      </c>
      <c r="C1107" s="1" t="s">
        <v>400</v>
      </c>
      <c r="D1107" s="1" t="s">
        <v>328</v>
      </c>
      <c r="E1107" s="1">
        <v>0.75</v>
      </c>
      <c r="F1107" s="1" t="s">
        <v>329</v>
      </c>
      <c r="G1107" s="1">
        <v>40688</v>
      </c>
      <c r="H1107" s="1">
        <v>60688</v>
      </c>
      <c r="I1107" s="1">
        <v>18559.899999999991</v>
      </c>
      <c r="J1107" s="1">
        <v>1440.100000000006</v>
      </c>
      <c r="K1107" s="1">
        <v>59247.899999999987</v>
      </c>
      <c r="L1107" s="1">
        <v>107</v>
      </c>
      <c r="M1107" s="1">
        <v>129.25862179487169</v>
      </c>
      <c r="N1107" s="1">
        <v>8.3023453790160868</v>
      </c>
      <c r="P1107" s="7">
        <v>45890</v>
      </c>
      <c r="R1107" s="7">
        <v>46255</v>
      </c>
      <c r="S1107" s="7">
        <v>46255</v>
      </c>
      <c r="T1107" s="7" t="str">
        <f t="shared" si="0"/>
        <v>agosto</v>
      </c>
      <c r="X1107" s="1" t="s">
        <v>331</v>
      </c>
      <c r="Y1107" s="1" t="s">
        <v>332</v>
      </c>
      <c r="Z1107" s="1">
        <v>16</v>
      </c>
      <c r="AA1107" s="3">
        <v>3389.9</v>
      </c>
      <c r="AB1107" s="3">
        <v>54238.400000000001</v>
      </c>
      <c r="AC1107" s="1" t="str">
        <f>VLOOKUP(A1107,[1]Detalle!$D$2:$CW$484,98,FALSE)</f>
        <v>CMQ_TTE - QUILMES TTE</v>
      </c>
    </row>
    <row r="1108" spans="1:29" ht="14.25" customHeight="1" x14ac:dyDescent="0.3">
      <c r="A1108" s="1" t="s">
        <v>67</v>
      </c>
      <c r="B1108" s="1" t="s">
        <v>404</v>
      </c>
      <c r="C1108" s="1" t="s">
        <v>400</v>
      </c>
      <c r="D1108" s="1" t="s">
        <v>328</v>
      </c>
      <c r="E1108" s="1">
        <v>0.75</v>
      </c>
      <c r="F1108" s="1" t="s">
        <v>329</v>
      </c>
      <c r="G1108" s="1">
        <v>40688</v>
      </c>
      <c r="H1108" s="1">
        <v>60688</v>
      </c>
      <c r="I1108" s="1">
        <v>18559.899999999991</v>
      </c>
      <c r="J1108" s="1">
        <v>1440.100000000006</v>
      </c>
      <c r="K1108" s="1">
        <v>59247.899999999987</v>
      </c>
      <c r="L1108" s="1">
        <v>107</v>
      </c>
      <c r="M1108" s="1">
        <v>129.25862179487169</v>
      </c>
      <c r="N1108" s="1">
        <v>8.3023453790160868</v>
      </c>
      <c r="P1108" s="7">
        <v>45891</v>
      </c>
      <c r="R1108" s="7">
        <v>46256</v>
      </c>
      <c r="S1108" s="7">
        <v>46256</v>
      </c>
      <c r="T1108" s="7" t="str">
        <f t="shared" si="0"/>
        <v>agosto</v>
      </c>
      <c r="X1108" s="1" t="s">
        <v>331</v>
      </c>
      <c r="Y1108" s="1" t="s">
        <v>332</v>
      </c>
      <c r="Z1108" s="1">
        <v>16</v>
      </c>
      <c r="AA1108" s="3">
        <v>3389.9</v>
      </c>
      <c r="AB1108" s="3">
        <v>54238.400000000001</v>
      </c>
      <c r="AC1108" s="1" t="str">
        <f>VLOOKUP(A1108,[1]Detalle!$D$2:$CW$484,98,FALSE)</f>
        <v>CMQ_TTE - QUILMES TTE</v>
      </c>
    </row>
    <row r="1109" spans="1:29" ht="14.25" customHeight="1" x14ac:dyDescent="0.3">
      <c r="A1109" s="1" t="s">
        <v>59</v>
      </c>
      <c r="B1109" s="1" t="s">
        <v>478</v>
      </c>
      <c r="C1109" s="1" t="s">
        <v>400</v>
      </c>
      <c r="D1109" s="1" t="s">
        <v>328</v>
      </c>
      <c r="E1109" s="1">
        <v>0.75</v>
      </c>
      <c r="F1109" s="1" t="s">
        <v>329</v>
      </c>
      <c r="G1109" s="1">
        <v>40688</v>
      </c>
      <c r="H1109" s="1">
        <v>60688</v>
      </c>
      <c r="I1109" s="1">
        <v>18559.899999999991</v>
      </c>
      <c r="J1109" s="1">
        <v>1440.100000000006</v>
      </c>
      <c r="K1109" s="1">
        <v>59247.899999999987</v>
      </c>
      <c r="L1109" s="1">
        <v>107</v>
      </c>
      <c r="M1109" s="1">
        <v>129.25862179487169</v>
      </c>
      <c r="N1109" s="1">
        <v>8.3023453790160868</v>
      </c>
      <c r="P1109" s="7">
        <v>45895</v>
      </c>
      <c r="R1109" s="7">
        <v>46260</v>
      </c>
      <c r="S1109" s="7">
        <v>46260</v>
      </c>
      <c r="T1109" s="7" t="str">
        <f t="shared" si="0"/>
        <v>agosto</v>
      </c>
      <c r="X1109" s="1" t="s">
        <v>331</v>
      </c>
      <c r="Y1109" s="1" t="s">
        <v>332</v>
      </c>
      <c r="Z1109" s="1">
        <v>16</v>
      </c>
      <c r="AA1109" s="3">
        <v>3389.9</v>
      </c>
      <c r="AB1109" s="3">
        <v>54238.400000000001</v>
      </c>
      <c r="AC1109" s="1" t="str">
        <f>VLOOKUP(A1109,[1]Detalle!$D$2:$CW$484,98,FALSE)</f>
        <v>CMQ_TTE - QUILMES TTE</v>
      </c>
    </row>
    <row r="1110" spans="1:29" ht="14.25" customHeight="1" x14ac:dyDescent="0.3">
      <c r="A1110" s="1" t="s">
        <v>84</v>
      </c>
      <c r="B1110" s="1" t="s">
        <v>481</v>
      </c>
      <c r="C1110" s="1" t="s">
        <v>400</v>
      </c>
      <c r="D1110" s="1" t="s">
        <v>328</v>
      </c>
      <c r="E1110" s="1">
        <v>0.75</v>
      </c>
      <c r="F1110" s="1" t="s">
        <v>329</v>
      </c>
      <c r="G1110" s="1">
        <v>40688</v>
      </c>
      <c r="H1110" s="1">
        <v>60688</v>
      </c>
      <c r="I1110" s="1">
        <v>18559.899999999991</v>
      </c>
      <c r="J1110" s="1">
        <v>1440.100000000006</v>
      </c>
      <c r="K1110" s="1">
        <v>59247.899999999987</v>
      </c>
      <c r="L1110" s="1">
        <v>107</v>
      </c>
      <c r="M1110" s="1">
        <v>129.25862179487169</v>
      </c>
      <c r="N1110" s="1">
        <v>8.3023453790160868</v>
      </c>
      <c r="P1110" s="7">
        <v>45917</v>
      </c>
      <c r="R1110" s="7">
        <v>46282</v>
      </c>
      <c r="S1110" s="7">
        <v>46282</v>
      </c>
      <c r="T1110" s="7" t="str">
        <f t="shared" si="0"/>
        <v>septiembre</v>
      </c>
      <c r="X1110" s="1" t="s">
        <v>331</v>
      </c>
      <c r="Y1110" s="1" t="s">
        <v>332</v>
      </c>
      <c r="Z1110" s="1">
        <v>16</v>
      </c>
      <c r="AA1110" s="3">
        <v>3389.9</v>
      </c>
      <c r="AB1110" s="3">
        <v>54238.400000000001</v>
      </c>
      <c r="AC1110" s="1" t="str">
        <f>VLOOKUP(A1110,[1]Detalle!$D$2:$CW$484,98,FALSE)</f>
        <v>CMQ_TTE - QUILMES TTE</v>
      </c>
    </row>
    <row r="1111" spans="1:29" ht="14.25" customHeight="1" x14ac:dyDescent="0.3">
      <c r="A1111" s="1" t="s">
        <v>92</v>
      </c>
      <c r="B1111" s="1" t="s">
        <v>409</v>
      </c>
      <c r="C1111" s="1" t="s">
        <v>400</v>
      </c>
      <c r="D1111" s="1" t="s">
        <v>328</v>
      </c>
      <c r="E1111" s="1">
        <v>0.75</v>
      </c>
      <c r="F1111" s="1" t="s">
        <v>329</v>
      </c>
      <c r="G1111" s="1">
        <v>40688</v>
      </c>
      <c r="H1111" s="1">
        <v>60688</v>
      </c>
      <c r="I1111" s="1">
        <v>18559.899999999991</v>
      </c>
      <c r="J1111" s="1">
        <v>1440.100000000006</v>
      </c>
      <c r="K1111" s="1">
        <v>59247.899999999987</v>
      </c>
      <c r="L1111" s="1">
        <v>107</v>
      </c>
      <c r="M1111" s="1">
        <v>129.25862179487169</v>
      </c>
      <c r="N1111" s="1">
        <v>8.3023453790160868</v>
      </c>
      <c r="P1111" s="7">
        <v>45918</v>
      </c>
      <c r="R1111" s="7">
        <v>46283</v>
      </c>
      <c r="S1111" s="7">
        <v>46283</v>
      </c>
      <c r="T1111" s="7" t="str">
        <f t="shared" si="0"/>
        <v>septiembre</v>
      </c>
      <c r="X1111" s="1" t="s">
        <v>331</v>
      </c>
      <c r="Y1111" s="1" t="s">
        <v>332</v>
      </c>
      <c r="Z1111" s="1">
        <v>16</v>
      </c>
      <c r="AA1111" s="3">
        <v>3389.9</v>
      </c>
      <c r="AB1111" s="3">
        <v>54238.400000000001</v>
      </c>
      <c r="AC1111" s="1" t="str">
        <f>VLOOKUP(A1111,[1]Detalle!$D$2:$CW$484,98,FALSE)</f>
        <v>Unilever - Unilever de Arg. S.A.</v>
      </c>
    </row>
    <row r="1112" spans="1:29" ht="14.25" customHeight="1" x14ac:dyDescent="0.3">
      <c r="A1112" s="1" t="s">
        <v>91</v>
      </c>
      <c r="B1112" s="1" t="s">
        <v>409</v>
      </c>
      <c r="C1112" s="1" t="s">
        <v>400</v>
      </c>
      <c r="D1112" s="1" t="s">
        <v>328</v>
      </c>
      <c r="E1112" s="1">
        <v>0.75</v>
      </c>
      <c r="F1112" s="1" t="s">
        <v>329</v>
      </c>
      <c r="G1112" s="1">
        <v>40688</v>
      </c>
      <c r="H1112" s="1">
        <v>60688</v>
      </c>
      <c r="I1112" s="1">
        <v>18559.899999999991</v>
      </c>
      <c r="J1112" s="1">
        <v>1440.100000000006</v>
      </c>
      <c r="K1112" s="1">
        <v>59247.899999999987</v>
      </c>
      <c r="L1112" s="1">
        <v>107</v>
      </c>
      <c r="M1112" s="1">
        <v>129.25862179487169</v>
      </c>
      <c r="N1112" s="1">
        <v>8.3023453790160868</v>
      </c>
      <c r="P1112" s="7">
        <v>45922</v>
      </c>
      <c r="R1112" s="7">
        <v>46287</v>
      </c>
      <c r="S1112" s="7">
        <v>46287</v>
      </c>
      <c r="T1112" s="7" t="str">
        <f t="shared" si="0"/>
        <v>septiembre</v>
      </c>
      <c r="X1112" s="1" t="s">
        <v>331</v>
      </c>
      <c r="Y1112" s="1" t="s">
        <v>332</v>
      </c>
      <c r="Z1112" s="1">
        <v>16</v>
      </c>
      <c r="AA1112" s="3">
        <v>3389.9</v>
      </c>
      <c r="AB1112" s="3">
        <v>54238.400000000001</v>
      </c>
      <c r="AC1112" s="1" t="str">
        <f>VLOOKUP(A1112,[1]Detalle!$D$2:$CW$484,98,FALSE)</f>
        <v>Unilever - Unilever de Arg. S.A.</v>
      </c>
    </row>
    <row r="1113" spans="1:29" ht="14.25" customHeight="1" x14ac:dyDescent="0.3">
      <c r="A1113" s="1" t="s">
        <v>83</v>
      </c>
      <c r="B1113" s="1" t="s">
        <v>482</v>
      </c>
      <c r="C1113" s="1" t="s">
        <v>400</v>
      </c>
      <c r="D1113" s="1" t="s">
        <v>328</v>
      </c>
      <c r="E1113" s="1">
        <v>0.75</v>
      </c>
      <c r="F1113" s="1" t="s">
        <v>329</v>
      </c>
      <c r="G1113" s="1">
        <v>40688</v>
      </c>
      <c r="H1113" s="1">
        <v>60688</v>
      </c>
      <c r="I1113" s="1">
        <v>18559.899999999991</v>
      </c>
      <c r="J1113" s="1">
        <v>1440.100000000006</v>
      </c>
      <c r="K1113" s="1">
        <v>59247.899999999987</v>
      </c>
      <c r="L1113" s="1">
        <v>107</v>
      </c>
      <c r="M1113" s="1">
        <v>129.25862179487169</v>
      </c>
      <c r="N1113" s="1">
        <v>8.3023453790160868</v>
      </c>
      <c r="P1113" s="7">
        <v>45923</v>
      </c>
      <c r="R1113" s="7">
        <v>46288</v>
      </c>
      <c r="S1113" s="7">
        <v>46288</v>
      </c>
      <c r="T1113" s="7" t="str">
        <f t="shared" si="0"/>
        <v>septiembre</v>
      </c>
      <c r="X1113" s="1" t="s">
        <v>331</v>
      </c>
      <c r="Y1113" s="1" t="s">
        <v>332</v>
      </c>
      <c r="Z1113" s="1">
        <v>16</v>
      </c>
      <c r="AA1113" s="3">
        <v>3389.9</v>
      </c>
      <c r="AB1113" s="3">
        <v>54238.400000000001</v>
      </c>
      <c r="AC1113" s="1" t="str">
        <f>VLOOKUP(A1113,[1]Detalle!$D$2:$CW$484,98,FALSE)</f>
        <v>CMQ_TTE - QUILMES TTE</v>
      </c>
    </row>
    <row r="1114" spans="1:29" ht="14.25" customHeight="1" x14ac:dyDescent="0.3">
      <c r="A1114" s="1" t="s">
        <v>58</v>
      </c>
      <c r="B1114" s="1" t="s">
        <v>478</v>
      </c>
      <c r="C1114" s="1" t="s">
        <v>400</v>
      </c>
      <c r="D1114" s="1" t="s">
        <v>328</v>
      </c>
      <c r="E1114" s="1">
        <v>0.75</v>
      </c>
      <c r="F1114" s="1" t="s">
        <v>329</v>
      </c>
      <c r="G1114" s="1">
        <v>40688</v>
      </c>
      <c r="H1114" s="1">
        <v>60688</v>
      </c>
      <c r="I1114" s="1">
        <v>18559.899999999991</v>
      </c>
      <c r="J1114" s="1">
        <v>1440.100000000006</v>
      </c>
      <c r="K1114" s="1">
        <v>59247.899999999987</v>
      </c>
      <c r="L1114" s="1">
        <v>107</v>
      </c>
      <c r="M1114" s="1">
        <v>129.25862179487169</v>
      </c>
      <c r="N1114" s="1">
        <v>8.3023453790160868</v>
      </c>
      <c r="P1114" s="7">
        <v>45933</v>
      </c>
      <c r="R1114" s="7">
        <v>46298</v>
      </c>
      <c r="S1114" s="7">
        <v>46298</v>
      </c>
      <c r="T1114" s="7" t="str">
        <f t="shared" si="0"/>
        <v>octubre</v>
      </c>
      <c r="X1114" s="1" t="s">
        <v>331</v>
      </c>
      <c r="Y1114" s="1" t="s">
        <v>332</v>
      </c>
      <c r="Z1114" s="1">
        <v>16</v>
      </c>
      <c r="AA1114" s="3">
        <v>3389.9</v>
      </c>
      <c r="AB1114" s="3">
        <v>54238.400000000001</v>
      </c>
      <c r="AC1114" s="1" t="str">
        <f>VLOOKUP(A1114,[1]Detalle!$D$2:$CW$484,98,FALSE)</f>
        <v>CMQ_TTE - QUILMES TTE</v>
      </c>
    </row>
    <row r="1115" spans="1:29" ht="14.25" customHeight="1" x14ac:dyDescent="0.3">
      <c r="A1115" s="1" t="s">
        <v>218</v>
      </c>
      <c r="B1115" s="1" t="s">
        <v>340</v>
      </c>
      <c r="C1115" s="1" t="s">
        <v>328</v>
      </c>
      <c r="D1115" s="1" t="s">
        <v>328</v>
      </c>
      <c r="E1115" s="1">
        <v>0.75</v>
      </c>
      <c r="F1115" s="1" t="s">
        <v>329</v>
      </c>
      <c r="G1115" s="6">
        <v>45785</v>
      </c>
      <c r="H1115" s="1">
        <v>249976</v>
      </c>
      <c r="I1115" s="1">
        <v>269976</v>
      </c>
      <c r="J1115" s="1">
        <v>7170.0999999999995</v>
      </c>
      <c r="K1115" s="1">
        <v>12829.9</v>
      </c>
      <c r="L1115" s="1">
        <v>257146.1</v>
      </c>
      <c r="M1115" s="1">
        <v>162</v>
      </c>
      <c r="N1115" s="1">
        <v>37.516848874598068</v>
      </c>
      <c r="O1115" s="1">
        <v>289.876542865511</v>
      </c>
      <c r="P1115" s="7">
        <v>45947</v>
      </c>
      <c r="Q1115" s="1">
        <v>20000</v>
      </c>
      <c r="R1115" s="7">
        <v>46328.876539351855</v>
      </c>
      <c r="S1115" s="7">
        <v>46328</v>
      </c>
      <c r="T1115" s="7" t="str">
        <f t="shared" si="0"/>
        <v>noviembre</v>
      </c>
      <c r="U1115" s="1" t="s">
        <v>330</v>
      </c>
      <c r="X1115" s="1" t="s">
        <v>331</v>
      </c>
      <c r="Y1115" s="1" t="s">
        <v>332</v>
      </c>
      <c r="Z1115" s="1">
        <v>16</v>
      </c>
      <c r="AA1115" s="3">
        <v>3389.9</v>
      </c>
      <c r="AB1115" s="3">
        <v>54238.400000000001</v>
      </c>
      <c r="AC1115" s="1" t="str">
        <f>VLOOKUP(A1115,[1]Detalle!$D$2:$CW$484,98,FALSE)</f>
        <v>AGN_TTE - AGUANORT - Transporte</v>
      </c>
    </row>
    <row r="1116" spans="1:29" ht="14.25" customHeight="1" x14ac:dyDescent="0.3">
      <c r="A1116" s="1" t="s">
        <v>218</v>
      </c>
      <c r="B1116" s="1" t="s">
        <v>340</v>
      </c>
      <c r="C1116" s="1" t="s">
        <v>328</v>
      </c>
      <c r="D1116" s="1" t="s">
        <v>328</v>
      </c>
      <c r="E1116" s="1">
        <v>0.75</v>
      </c>
      <c r="F1116" s="1" t="s">
        <v>329</v>
      </c>
      <c r="G1116" s="6">
        <v>45785</v>
      </c>
      <c r="H1116" s="1">
        <v>249976</v>
      </c>
      <c r="I1116" s="1">
        <v>269976</v>
      </c>
      <c r="J1116" s="1">
        <v>7170.0999999999995</v>
      </c>
      <c r="K1116" s="1">
        <v>12829.9</v>
      </c>
      <c r="L1116" s="1">
        <v>257146.1</v>
      </c>
      <c r="M1116" s="1">
        <v>162</v>
      </c>
      <c r="N1116" s="1">
        <v>37.516848874598068</v>
      </c>
      <c r="O1116" s="1">
        <v>289.876542865511</v>
      </c>
      <c r="P1116" s="7">
        <v>45947</v>
      </c>
      <c r="Q1116" s="1">
        <v>20000</v>
      </c>
      <c r="R1116" s="7">
        <v>46328.876539351855</v>
      </c>
      <c r="S1116" s="7">
        <v>46328</v>
      </c>
      <c r="T1116" s="7" t="str">
        <f t="shared" si="0"/>
        <v>noviembre</v>
      </c>
      <c r="U1116" s="1" t="s">
        <v>330</v>
      </c>
      <c r="X1116" s="1" t="s">
        <v>333</v>
      </c>
      <c r="Y1116" s="1" t="s">
        <v>334</v>
      </c>
      <c r="Z1116" s="1">
        <v>1</v>
      </c>
      <c r="AA1116" s="3">
        <v>8513.2800000000007</v>
      </c>
      <c r="AB1116" s="3">
        <v>8513.2800000000007</v>
      </c>
      <c r="AC1116" s="1" t="str">
        <f>VLOOKUP(A1116,[1]Detalle!$D$2:$CW$484,98,FALSE)</f>
        <v>AGN_TTE - AGUANORT - Transporte</v>
      </c>
    </row>
    <row r="1117" spans="1:29" ht="14.25" customHeight="1" x14ac:dyDescent="0.3">
      <c r="A1117" s="1" t="s">
        <v>218</v>
      </c>
      <c r="B1117" s="1" t="s">
        <v>340</v>
      </c>
      <c r="C1117" s="1" t="s">
        <v>343</v>
      </c>
      <c r="D1117" s="1" t="s">
        <v>343</v>
      </c>
      <c r="E1117" s="1">
        <v>0.5</v>
      </c>
      <c r="F1117" s="1" t="s">
        <v>344</v>
      </c>
      <c r="G1117" s="6">
        <v>45785</v>
      </c>
      <c r="H1117" s="1">
        <v>249976</v>
      </c>
      <c r="I1117" s="1">
        <v>269976</v>
      </c>
      <c r="J1117" s="1">
        <v>7170.0999999999995</v>
      </c>
      <c r="K1117" s="1">
        <v>12829.9</v>
      </c>
      <c r="L1117" s="1">
        <v>257146.1</v>
      </c>
      <c r="M1117" s="1">
        <v>162</v>
      </c>
      <c r="N1117" s="1">
        <v>37.516848874598068</v>
      </c>
      <c r="O1117" s="1">
        <v>289.876542865511</v>
      </c>
      <c r="P1117" s="7">
        <v>45947</v>
      </c>
      <c r="Q1117" s="1">
        <v>20000</v>
      </c>
      <c r="R1117" s="7">
        <v>46328.876539351855</v>
      </c>
      <c r="S1117" s="7">
        <v>46328</v>
      </c>
      <c r="T1117" s="7" t="str">
        <f t="shared" si="0"/>
        <v>noviembre</v>
      </c>
      <c r="U1117" s="1" t="s">
        <v>330</v>
      </c>
      <c r="X1117" s="1" t="s">
        <v>345</v>
      </c>
      <c r="Y1117" s="1" t="s">
        <v>346</v>
      </c>
      <c r="Z1117" s="1">
        <v>1</v>
      </c>
      <c r="AA1117" s="3">
        <v>10535.04</v>
      </c>
      <c r="AB1117" s="3">
        <v>10535.04</v>
      </c>
      <c r="AC1117" s="1" t="str">
        <f>VLOOKUP(A1117,[1]Detalle!$D$2:$CW$484,98,FALSE)</f>
        <v>AGN_TTE - AGUANORT - Transporte</v>
      </c>
    </row>
    <row r="1118" spans="1:29" ht="14.25" customHeight="1" x14ac:dyDescent="0.3">
      <c r="A1118" s="1" t="s">
        <v>218</v>
      </c>
      <c r="B1118" s="1" t="s">
        <v>340</v>
      </c>
      <c r="C1118" s="1" t="s">
        <v>343</v>
      </c>
      <c r="D1118" s="1" t="s">
        <v>343</v>
      </c>
      <c r="E1118" s="1">
        <v>0.5</v>
      </c>
      <c r="F1118" s="1" t="s">
        <v>344</v>
      </c>
      <c r="G1118" s="6">
        <v>45785</v>
      </c>
      <c r="H1118" s="1">
        <v>249976</v>
      </c>
      <c r="I1118" s="1">
        <v>269976</v>
      </c>
      <c r="J1118" s="1">
        <v>7170.0999999999995</v>
      </c>
      <c r="K1118" s="1">
        <v>12829.9</v>
      </c>
      <c r="L1118" s="1">
        <v>257146.1</v>
      </c>
      <c r="M1118" s="1">
        <v>162</v>
      </c>
      <c r="N1118" s="1">
        <v>37.516848874598068</v>
      </c>
      <c r="O1118" s="1">
        <v>289.876542865511</v>
      </c>
      <c r="P1118" s="7">
        <v>45947</v>
      </c>
      <c r="Q1118" s="1">
        <v>20000</v>
      </c>
      <c r="R1118" s="7">
        <v>46328.876539351855</v>
      </c>
      <c r="S1118" s="7">
        <v>46328</v>
      </c>
      <c r="T1118" s="7" t="str">
        <f t="shared" si="0"/>
        <v>noviembre</v>
      </c>
      <c r="U1118" s="1" t="s">
        <v>330</v>
      </c>
      <c r="X1118" s="1" t="s">
        <v>347</v>
      </c>
      <c r="Y1118" s="1" t="s">
        <v>348</v>
      </c>
      <c r="Z1118" s="1">
        <v>1</v>
      </c>
      <c r="AA1118" s="3">
        <v>19410.240000000002</v>
      </c>
      <c r="AB1118" s="3">
        <v>19410.240000000002</v>
      </c>
      <c r="AC1118" s="1" t="str">
        <f>VLOOKUP(A1118,[1]Detalle!$D$2:$CW$484,98,FALSE)</f>
        <v>AGN_TTE - AGUANORT - Transporte</v>
      </c>
    </row>
    <row r="1119" spans="1:29" ht="14.25" customHeight="1" x14ac:dyDescent="0.3">
      <c r="A1119" s="1" t="s">
        <v>218</v>
      </c>
      <c r="B1119" s="1" t="s">
        <v>340</v>
      </c>
      <c r="C1119" s="1" t="s">
        <v>421</v>
      </c>
      <c r="D1119" s="1" t="s">
        <v>415</v>
      </c>
      <c r="E1119" s="1">
        <v>0.25</v>
      </c>
      <c r="F1119" s="1" t="s">
        <v>366</v>
      </c>
      <c r="G1119" s="6">
        <v>45785</v>
      </c>
      <c r="H1119" s="1">
        <v>249976</v>
      </c>
      <c r="I1119" s="1">
        <v>269976</v>
      </c>
      <c r="J1119" s="1">
        <v>7170.0999999999995</v>
      </c>
      <c r="K1119" s="1">
        <v>12829.9</v>
      </c>
      <c r="L1119" s="1">
        <v>257146.1</v>
      </c>
      <c r="M1119" s="1">
        <v>162</v>
      </c>
      <c r="N1119" s="1">
        <v>37.516848874598068</v>
      </c>
      <c r="O1119" s="1">
        <v>289.876542865511</v>
      </c>
      <c r="P1119" s="7">
        <v>45947</v>
      </c>
      <c r="Q1119" s="1">
        <v>20000</v>
      </c>
      <c r="R1119" s="7">
        <v>46328.876539351855</v>
      </c>
      <c r="S1119" s="7">
        <v>46328</v>
      </c>
      <c r="T1119" s="7" t="str">
        <f t="shared" si="0"/>
        <v>noviembre</v>
      </c>
      <c r="U1119" s="1" t="s">
        <v>330</v>
      </c>
      <c r="X1119" s="1" t="s">
        <v>422</v>
      </c>
      <c r="Y1119" s="1" t="s">
        <v>423</v>
      </c>
      <c r="Z1119" s="1">
        <v>1</v>
      </c>
      <c r="AA1119" s="3">
        <v>49777.919999999998</v>
      </c>
      <c r="AB1119" s="3">
        <v>49777.919999999998</v>
      </c>
      <c r="AC1119" s="1" t="str">
        <f>VLOOKUP(A1119,[1]Detalle!$D$2:$CW$484,98,FALSE)</f>
        <v>AGN_TTE - AGUANORT - Transporte</v>
      </c>
    </row>
    <row r="1120" spans="1:29" ht="14.25" customHeight="1" x14ac:dyDescent="0.3">
      <c r="A1120" s="12" t="s">
        <v>4</v>
      </c>
      <c r="B1120" s="1" t="s">
        <v>327</v>
      </c>
      <c r="C1120" s="1" t="s">
        <v>328</v>
      </c>
      <c r="D1120" s="1" t="s">
        <v>328</v>
      </c>
      <c r="E1120" s="1">
        <v>0.75</v>
      </c>
      <c r="F1120" s="1">
        <f>VLOOKUP(D1120,Sheet1!$D$2:$F$1119,2,FALSE)</f>
        <v>0.75</v>
      </c>
      <c r="P1120" s="13">
        <v>45973</v>
      </c>
      <c r="R1120" s="7">
        <v>46338</v>
      </c>
      <c r="S1120" s="7">
        <v>46338</v>
      </c>
      <c r="T1120" s="7" t="str">
        <f t="shared" si="0"/>
        <v>noviembre</v>
      </c>
      <c r="X1120" s="1" t="s">
        <v>333</v>
      </c>
      <c r="Y1120" s="1" t="s">
        <v>334</v>
      </c>
      <c r="Z1120" s="1">
        <v>1</v>
      </c>
      <c r="AA1120" s="14">
        <v>8513.2800000000007</v>
      </c>
      <c r="AB1120" s="14">
        <v>8513.2800000000007</v>
      </c>
      <c r="AC1120" s="1" t="str">
        <f>VLOOKUP(A1120,[1]Detalle!$D$2:$CW$484,98,FALSE)</f>
        <v>CCUDyAZA</v>
      </c>
    </row>
    <row r="1121" spans="1:29" ht="14.25" customHeight="1" x14ac:dyDescent="0.3">
      <c r="A1121" s="15" t="s">
        <v>4</v>
      </c>
      <c r="B1121" s="1" t="s">
        <v>327</v>
      </c>
      <c r="C1121" s="1" t="s">
        <v>343</v>
      </c>
      <c r="D1121" s="1" t="s">
        <v>343</v>
      </c>
      <c r="E1121" s="1">
        <v>0.5</v>
      </c>
      <c r="F1121" s="1">
        <f>VLOOKUP(D1121,Sheet1!$D$2:$F$1119,2,FALSE)</f>
        <v>0.5</v>
      </c>
      <c r="P1121" s="13">
        <v>45973</v>
      </c>
      <c r="R1121" s="7">
        <v>46338</v>
      </c>
      <c r="S1121" s="7">
        <v>46338</v>
      </c>
      <c r="T1121" s="7" t="str">
        <f t="shared" si="0"/>
        <v>noviembre</v>
      </c>
      <c r="X1121" s="1" t="s">
        <v>345</v>
      </c>
      <c r="Y1121" s="1" t="s">
        <v>346</v>
      </c>
      <c r="Z1121" s="1">
        <v>1</v>
      </c>
      <c r="AA1121" s="14">
        <v>10535.04</v>
      </c>
      <c r="AB1121" s="14">
        <v>10535.04</v>
      </c>
      <c r="AC1121" s="1" t="str">
        <f>VLOOKUP(A1121,[1]Detalle!$D$2:$CW$484,98,FALSE)</f>
        <v>CCUDyAZA</v>
      </c>
    </row>
    <row r="1122" spans="1:29" ht="14.25" customHeight="1" x14ac:dyDescent="0.3">
      <c r="A1122" s="15" t="s">
        <v>4</v>
      </c>
      <c r="B1122" s="1" t="s">
        <v>327</v>
      </c>
      <c r="C1122" s="1" t="s">
        <v>415</v>
      </c>
      <c r="D1122" s="1" t="s">
        <v>415</v>
      </c>
      <c r="E1122" s="1">
        <v>0.25</v>
      </c>
      <c r="F1122" s="1">
        <f>VLOOKUP(D1122,Sheet1!$D$2:$F$1119,2,FALSE)</f>
        <v>0.25</v>
      </c>
      <c r="P1122" s="13">
        <v>45973</v>
      </c>
      <c r="R1122" s="7">
        <v>46338</v>
      </c>
      <c r="S1122" s="7">
        <v>46338</v>
      </c>
      <c r="T1122" s="7" t="str">
        <f t="shared" si="0"/>
        <v>noviembre</v>
      </c>
      <c r="X1122" s="1" t="s">
        <v>422</v>
      </c>
      <c r="Y1122" s="1" t="s">
        <v>423</v>
      </c>
      <c r="Z1122" s="1">
        <v>1</v>
      </c>
      <c r="AA1122" s="14">
        <v>49777.919999999998</v>
      </c>
      <c r="AB1122" s="14">
        <v>49777.919999999998</v>
      </c>
      <c r="AC1122" s="1" t="str">
        <f>VLOOKUP(A1122,[1]Detalle!$D$2:$CW$484,98,FALSE)</f>
        <v>CCUDyAZA</v>
      </c>
    </row>
    <row r="1123" spans="1:29" ht="14.25" customHeight="1" x14ac:dyDescent="0.3">
      <c r="A1123" s="12" t="s">
        <v>25</v>
      </c>
      <c r="B1123" s="1" t="s">
        <v>407</v>
      </c>
      <c r="C1123" s="1" t="s">
        <v>328</v>
      </c>
      <c r="D1123" s="1" t="s">
        <v>328</v>
      </c>
      <c r="E1123" s="1">
        <v>0.75</v>
      </c>
      <c r="F1123" s="1">
        <f>VLOOKUP(D1123,Sheet1!$D$2:$F$1119,2,FALSE)</f>
        <v>0.75</v>
      </c>
      <c r="P1123" s="13">
        <v>45582</v>
      </c>
      <c r="R1123" s="7">
        <v>46312</v>
      </c>
      <c r="S1123" s="7">
        <v>46312</v>
      </c>
      <c r="T1123" s="7" t="str">
        <f t="shared" si="0"/>
        <v>octubre</v>
      </c>
      <c r="X1123" s="1" t="s">
        <v>401</v>
      </c>
      <c r="Y1123" s="1" t="s">
        <v>402</v>
      </c>
      <c r="Z1123" s="1">
        <v>1</v>
      </c>
      <c r="AA1123" s="14">
        <v>21189.599999999999</v>
      </c>
      <c r="AB1123" s="14">
        <v>21189.599999999999</v>
      </c>
      <c r="AC1123" s="1" t="str">
        <f>VLOOKUP(A1123,[1]Detalle!$D$2:$CW$484,98,FALSE)</f>
        <v>CMQ_TTE - QUILMES TTE</v>
      </c>
    </row>
    <row r="1124" spans="1:29" ht="14.25" customHeight="1" x14ac:dyDescent="0.3">
      <c r="A1124" s="12" t="s">
        <v>25</v>
      </c>
      <c r="B1124" s="1" t="s">
        <v>407</v>
      </c>
      <c r="C1124" s="1" t="s">
        <v>343</v>
      </c>
      <c r="D1124" s="1" t="s">
        <v>343</v>
      </c>
      <c r="E1124" s="1">
        <v>0.5</v>
      </c>
      <c r="F1124" s="1">
        <f>VLOOKUP(D1124,Sheet1!$D$2:$F$1119,2,FALSE)</f>
        <v>0.5</v>
      </c>
      <c r="P1124" s="13">
        <v>45582</v>
      </c>
      <c r="R1124" s="7">
        <v>46312</v>
      </c>
      <c r="S1124" s="7">
        <v>46312</v>
      </c>
      <c r="T1124" s="7" t="str">
        <f t="shared" si="0"/>
        <v>octubre</v>
      </c>
      <c r="X1124" s="1" t="s">
        <v>411</v>
      </c>
      <c r="Y1124" s="1" t="s">
        <v>412</v>
      </c>
      <c r="Z1124" s="1">
        <v>1</v>
      </c>
      <c r="AA1124" s="14">
        <v>20099.439999999999</v>
      </c>
      <c r="AB1124" s="14">
        <v>20099.439999999999</v>
      </c>
      <c r="AC1124" s="1" t="str">
        <f>VLOOKUP(A1124,[1]Detalle!$D$2:$CW$484,98,FALSE)</f>
        <v>CMQ_TTE - QUILMES TTE</v>
      </c>
    </row>
    <row r="1125" spans="1:29" ht="14.25" customHeight="1" x14ac:dyDescent="0.3">
      <c r="A1125" s="12" t="s">
        <v>25</v>
      </c>
      <c r="B1125" s="1" t="s">
        <v>407</v>
      </c>
      <c r="C1125" s="1" t="s">
        <v>415</v>
      </c>
      <c r="D1125" s="1" t="s">
        <v>415</v>
      </c>
      <c r="E1125" s="1">
        <v>0.25</v>
      </c>
      <c r="F1125" s="1">
        <f>VLOOKUP(D1125,Sheet1!$D$2:$F$1119,2,FALSE)</f>
        <v>0.25</v>
      </c>
      <c r="P1125" s="13">
        <v>45582</v>
      </c>
      <c r="R1125" s="7">
        <v>46312</v>
      </c>
      <c r="S1125" s="7">
        <v>46312</v>
      </c>
      <c r="T1125" s="7" t="str">
        <f t="shared" si="0"/>
        <v>octubre</v>
      </c>
      <c r="X1125" s="1" t="s">
        <v>425</v>
      </c>
      <c r="Y1125" s="1" t="s">
        <v>426</v>
      </c>
      <c r="Z1125" s="1">
        <v>1</v>
      </c>
      <c r="AA1125" s="14">
        <v>126126.58</v>
      </c>
      <c r="AB1125" s="14">
        <v>126126.58</v>
      </c>
      <c r="AC1125" s="1" t="str">
        <f>VLOOKUP(A1125,[1]Detalle!$D$2:$CW$484,98,FALSE)</f>
        <v>CMQ_TTE - QUILMES TTE</v>
      </c>
    </row>
    <row r="1126" spans="1:29" ht="14.25" customHeight="1" x14ac:dyDescent="0.3">
      <c r="A1126" s="12" t="s">
        <v>26</v>
      </c>
      <c r="B1126" s="1" t="s">
        <v>408</v>
      </c>
      <c r="C1126" s="1" t="s">
        <v>328</v>
      </c>
      <c r="D1126" s="1" t="s">
        <v>328</v>
      </c>
      <c r="E1126" s="1">
        <v>0.75</v>
      </c>
      <c r="F1126" s="1">
        <f>VLOOKUP(D1126,Sheet1!$D$2:$F$1119,2,FALSE)</f>
        <v>0.75</v>
      </c>
      <c r="P1126" s="13">
        <v>45608</v>
      </c>
      <c r="R1126" s="7">
        <v>46338</v>
      </c>
      <c r="S1126" s="7">
        <v>46338</v>
      </c>
      <c r="T1126" s="7" t="str">
        <f t="shared" si="0"/>
        <v>noviembre</v>
      </c>
      <c r="X1126" s="1" t="s">
        <v>401</v>
      </c>
      <c r="Y1126" s="1" t="s">
        <v>402</v>
      </c>
      <c r="Z1126" s="1">
        <v>1</v>
      </c>
      <c r="AA1126" s="14">
        <v>21189.599999999999</v>
      </c>
      <c r="AB1126" s="14">
        <v>21189.599999999999</v>
      </c>
      <c r="AC1126" s="1" t="str">
        <f>VLOOKUP(A1126,[1]Detalle!$D$2:$CW$484,98,FALSE)</f>
        <v>CMQ_TTE - QUILMES TTE</v>
      </c>
    </row>
    <row r="1127" spans="1:29" ht="14.25" customHeight="1" x14ac:dyDescent="0.3">
      <c r="A1127" s="12" t="s">
        <v>26</v>
      </c>
      <c r="B1127" s="1" t="s">
        <v>408</v>
      </c>
      <c r="C1127" s="1" t="s">
        <v>343</v>
      </c>
      <c r="D1127" s="1" t="s">
        <v>343</v>
      </c>
      <c r="E1127" s="1">
        <v>0.5</v>
      </c>
      <c r="F1127" s="1">
        <f>VLOOKUP(D1127,Sheet1!$D$2:$F$1119,2,FALSE)</f>
        <v>0.5</v>
      </c>
      <c r="P1127" s="13">
        <v>45608</v>
      </c>
      <c r="R1127" s="7">
        <v>46338</v>
      </c>
      <c r="S1127" s="7">
        <v>46338</v>
      </c>
      <c r="T1127" s="7" t="str">
        <f t="shared" si="0"/>
        <v>noviembre</v>
      </c>
      <c r="X1127" s="1" t="s">
        <v>411</v>
      </c>
      <c r="Y1127" s="1" t="s">
        <v>412</v>
      </c>
      <c r="Z1127" s="1">
        <v>1</v>
      </c>
      <c r="AA1127" s="14">
        <v>20099.439999999999</v>
      </c>
      <c r="AB1127" s="14">
        <v>20099.439999999999</v>
      </c>
      <c r="AC1127" s="1" t="str">
        <f>VLOOKUP(A1127,[1]Detalle!$D$2:$CW$484,98,FALSE)</f>
        <v>CMQ_TTE - QUILMES TTE</v>
      </c>
    </row>
    <row r="1128" spans="1:29" ht="14.25" customHeight="1" x14ac:dyDescent="0.3">
      <c r="A1128" s="12" t="s">
        <v>26</v>
      </c>
      <c r="B1128" s="1" t="s">
        <v>408</v>
      </c>
      <c r="C1128" s="1" t="s">
        <v>415</v>
      </c>
      <c r="D1128" s="1" t="s">
        <v>415</v>
      </c>
      <c r="E1128" s="1">
        <v>0.25</v>
      </c>
      <c r="F1128" s="1">
        <f>VLOOKUP(D1128,Sheet1!$D$2:$F$1119,2,FALSE)</f>
        <v>0.25</v>
      </c>
      <c r="P1128" s="13">
        <v>45608</v>
      </c>
      <c r="R1128" s="7">
        <v>46338</v>
      </c>
      <c r="S1128" s="7">
        <v>46338</v>
      </c>
      <c r="T1128" s="7" t="str">
        <f t="shared" si="0"/>
        <v>noviembre</v>
      </c>
      <c r="X1128" s="1" t="s">
        <v>425</v>
      </c>
      <c r="Y1128" s="1" t="s">
        <v>426</v>
      </c>
      <c r="Z1128" s="1">
        <v>1</v>
      </c>
      <c r="AA1128" s="14">
        <v>126126.58</v>
      </c>
      <c r="AB1128" s="14">
        <v>126126.58</v>
      </c>
      <c r="AC1128" s="1" t="str">
        <f>VLOOKUP(A1128,[1]Detalle!$D$2:$CW$484,98,FALSE)</f>
        <v>CMQ_TTE - QUILMES TTE</v>
      </c>
    </row>
    <row r="1129" spans="1:29" ht="14.25" customHeight="1" x14ac:dyDescent="0.3">
      <c r="A1129" s="12" t="s">
        <v>29</v>
      </c>
      <c r="B1129" s="1" t="s">
        <v>407</v>
      </c>
      <c r="C1129" s="1" t="s">
        <v>328</v>
      </c>
      <c r="D1129" s="1" t="s">
        <v>328</v>
      </c>
      <c r="E1129" s="1">
        <v>0.75</v>
      </c>
      <c r="F1129" s="1">
        <f>VLOOKUP(D1129,Sheet1!$D$2:$F$1119,2,FALSE)</f>
        <v>0.75</v>
      </c>
      <c r="P1129" s="13">
        <v>45552</v>
      </c>
      <c r="R1129" s="7">
        <v>46282</v>
      </c>
      <c r="S1129" s="7">
        <v>46282</v>
      </c>
      <c r="T1129" s="7" t="str">
        <f t="shared" si="0"/>
        <v>septiembre</v>
      </c>
      <c r="X1129" s="1" t="s">
        <v>401</v>
      </c>
      <c r="Y1129" s="1" t="s">
        <v>402</v>
      </c>
      <c r="Z1129" s="1">
        <v>1</v>
      </c>
      <c r="AA1129" s="14">
        <v>21189.599999999999</v>
      </c>
      <c r="AB1129" s="14">
        <v>21189.599999999999</v>
      </c>
      <c r="AC1129" s="1" t="str">
        <f>VLOOKUP(A1129,[1]Detalle!$D$2:$CW$484,98,FALSE)</f>
        <v>CMQ_TTE - QUILMES TTE</v>
      </c>
    </row>
    <row r="1130" spans="1:29" ht="14.25" customHeight="1" x14ac:dyDescent="0.3">
      <c r="A1130" s="15" t="s">
        <v>29</v>
      </c>
      <c r="B1130" s="1" t="s">
        <v>407</v>
      </c>
      <c r="C1130" s="1" t="s">
        <v>343</v>
      </c>
      <c r="D1130" s="1" t="s">
        <v>343</v>
      </c>
      <c r="E1130" s="1">
        <v>0.5</v>
      </c>
      <c r="F1130" s="1">
        <f>VLOOKUP(D1130,Sheet1!$D$2:$F$1119,2,FALSE)</f>
        <v>0.5</v>
      </c>
      <c r="P1130" s="13">
        <v>45552</v>
      </c>
      <c r="R1130" s="7">
        <v>46282</v>
      </c>
      <c r="S1130" s="7">
        <v>46282</v>
      </c>
      <c r="T1130" s="7" t="str">
        <f t="shared" si="0"/>
        <v>septiembre</v>
      </c>
      <c r="X1130" s="1" t="s">
        <v>411</v>
      </c>
      <c r="Y1130" s="1" t="s">
        <v>412</v>
      </c>
      <c r="Z1130" s="1">
        <v>1</v>
      </c>
      <c r="AA1130" s="14">
        <v>20099.439999999999</v>
      </c>
      <c r="AB1130" s="14">
        <v>20099.439999999999</v>
      </c>
      <c r="AC1130" s="1" t="str">
        <f>VLOOKUP(A1130,[1]Detalle!$D$2:$CW$484,98,FALSE)</f>
        <v>CMQ_TTE - QUILMES TTE</v>
      </c>
    </row>
    <row r="1131" spans="1:29" ht="14.25" customHeight="1" x14ac:dyDescent="0.3">
      <c r="A1131" s="12" t="s">
        <v>29</v>
      </c>
      <c r="B1131" s="1" t="s">
        <v>407</v>
      </c>
      <c r="C1131" s="1" t="s">
        <v>415</v>
      </c>
      <c r="D1131" s="1" t="s">
        <v>415</v>
      </c>
      <c r="E1131" s="1">
        <v>0.25</v>
      </c>
      <c r="F1131" s="1">
        <f>VLOOKUP(D1131,Sheet1!$D$2:$F$1119,2,FALSE)</f>
        <v>0.25</v>
      </c>
      <c r="P1131" s="13">
        <v>45552</v>
      </c>
      <c r="R1131" s="7">
        <v>46282</v>
      </c>
      <c r="S1131" s="7">
        <v>46282</v>
      </c>
      <c r="T1131" s="7" t="str">
        <f t="shared" si="0"/>
        <v>septiembre</v>
      </c>
      <c r="X1131" s="1" t="s">
        <v>425</v>
      </c>
      <c r="Y1131" s="1" t="s">
        <v>426</v>
      </c>
      <c r="Z1131" s="1">
        <v>1</v>
      </c>
      <c r="AA1131" s="14">
        <v>126126.58</v>
      </c>
      <c r="AB1131" s="14">
        <v>126126.58</v>
      </c>
      <c r="AC1131" s="1" t="str">
        <f>VLOOKUP(A1131,[1]Detalle!$D$2:$CW$484,98,FALSE)</f>
        <v>CMQ_TTE - QUILMES TTE</v>
      </c>
    </row>
    <row r="1132" spans="1:29" ht="14.25" customHeight="1" x14ac:dyDescent="0.3">
      <c r="A1132" s="12" t="s">
        <v>45</v>
      </c>
      <c r="B1132" s="1" t="s">
        <v>406</v>
      </c>
      <c r="C1132" s="1" t="s">
        <v>328</v>
      </c>
      <c r="D1132" s="1" t="s">
        <v>328</v>
      </c>
      <c r="E1132" s="1">
        <v>0.75</v>
      </c>
      <c r="F1132" s="1">
        <f>VLOOKUP(D1132,Sheet1!$D$2:$F$1119,2,FALSE)</f>
        <v>0.75</v>
      </c>
      <c r="P1132" s="13">
        <v>45679</v>
      </c>
      <c r="R1132" s="7">
        <v>46341</v>
      </c>
      <c r="S1132" s="7">
        <v>46341</v>
      </c>
      <c r="T1132" s="7" t="str">
        <f t="shared" si="0"/>
        <v>noviembre</v>
      </c>
      <c r="X1132" s="1" t="s">
        <v>401</v>
      </c>
      <c r="Y1132" s="1" t="s">
        <v>402</v>
      </c>
      <c r="Z1132" s="1">
        <v>1</v>
      </c>
      <c r="AA1132" s="14">
        <v>21189.599999999999</v>
      </c>
      <c r="AB1132" s="14">
        <v>21189.599999999999</v>
      </c>
      <c r="AC1132" s="1" t="str">
        <f>VLOOKUP(A1132,[1]Detalle!$D$2:$CW$484,98,FALSE)</f>
        <v>CMQ_TTE - QUILMES TTE</v>
      </c>
    </row>
    <row r="1133" spans="1:29" ht="14.25" customHeight="1" x14ac:dyDescent="0.3">
      <c r="A1133" s="12" t="s">
        <v>45</v>
      </c>
      <c r="B1133" s="1" t="s">
        <v>406</v>
      </c>
      <c r="C1133" s="1" t="s">
        <v>343</v>
      </c>
      <c r="D1133" s="1" t="s">
        <v>343</v>
      </c>
      <c r="E1133" s="1">
        <v>0.5</v>
      </c>
      <c r="F1133" s="1">
        <f>VLOOKUP(D1133,Sheet1!$D$2:$F$1119,2,FALSE)</f>
        <v>0.5</v>
      </c>
      <c r="P1133" s="13">
        <v>45679</v>
      </c>
      <c r="R1133" s="7">
        <v>46341</v>
      </c>
      <c r="S1133" s="7">
        <v>46341</v>
      </c>
      <c r="T1133" s="7" t="str">
        <f t="shared" si="0"/>
        <v>noviembre</v>
      </c>
      <c r="X1133" s="1" t="s">
        <v>411</v>
      </c>
      <c r="Y1133" s="1" t="s">
        <v>412</v>
      </c>
      <c r="Z1133" s="1">
        <v>1</v>
      </c>
      <c r="AA1133" s="14">
        <v>20099.439999999999</v>
      </c>
      <c r="AB1133" s="14">
        <v>20099.439999999999</v>
      </c>
      <c r="AC1133" s="1" t="str">
        <f>VLOOKUP(A1133,[1]Detalle!$D$2:$CW$484,98,FALSE)</f>
        <v>CMQ_TTE - QUILMES TTE</v>
      </c>
    </row>
    <row r="1134" spans="1:29" ht="14.25" customHeight="1" x14ac:dyDescent="0.3">
      <c r="A1134" s="12" t="s">
        <v>45</v>
      </c>
      <c r="B1134" s="1" t="s">
        <v>406</v>
      </c>
      <c r="C1134" s="1" t="s">
        <v>415</v>
      </c>
      <c r="D1134" s="1" t="s">
        <v>415</v>
      </c>
      <c r="E1134" s="1">
        <v>0.25</v>
      </c>
      <c r="F1134" s="1">
        <f>VLOOKUP(D1134,Sheet1!$D$2:$F$1119,2,FALSE)</f>
        <v>0.25</v>
      </c>
      <c r="P1134" s="13">
        <v>45679</v>
      </c>
      <c r="R1134" s="7">
        <v>46341</v>
      </c>
      <c r="S1134" s="7">
        <v>46341</v>
      </c>
      <c r="T1134" s="7" t="str">
        <f t="shared" si="0"/>
        <v>noviembre</v>
      </c>
      <c r="X1134" s="1" t="s">
        <v>425</v>
      </c>
      <c r="Y1134" s="1" t="s">
        <v>426</v>
      </c>
      <c r="Z1134" s="1">
        <v>1</v>
      </c>
      <c r="AA1134" s="14">
        <v>126126.58</v>
      </c>
      <c r="AB1134" s="14">
        <v>126126.58</v>
      </c>
      <c r="AC1134" s="1" t="str">
        <f>VLOOKUP(A1134,[1]Detalle!$D$2:$CW$484,98,FALSE)</f>
        <v>CMQ_TTE - QUILMES TTE</v>
      </c>
    </row>
    <row r="1135" spans="1:29" ht="14.25" customHeight="1" x14ac:dyDescent="0.3">
      <c r="A1135" s="12" t="s">
        <v>50</v>
      </c>
      <c r="B1135" s="1" t="s">
        <v>483</v>
      </c>
      <c r="C1135" s="1" t="s">
        <v>328</v>
      </c>
      <c r="D1135" s="1" t="s">
        <v>355</v>
      </c>
      <c r="E1135" s="1">
        <v>0.75</v>
      </c>
      <c r="F1135" s="1">
        <f>VLOOKUP(D1135,Sheet1!$D$2:$F$1119,2,FALSE)</f>
        <v>0.75</v>
      </c>
      <c r="P1135" s="13">
        <v>45882</v>
      </c>
      <c r="R1135" s="7">
        <v>46247</v>
      </c>
      <c r="S1135" s="7">
        <v>46247</v>
      </c>
      <c r="T1135" s="7" t="str">
        <f t="shared" si="0"/>
        <v>agosto</v>
      </c>
      <c r="X1135" s="1" t="s">
        <v>363</v>
      </c>
      <c r="Y1135" s="1" t="s">
        <v>364</v>
      </c>
      <c r="Z1135" s="1">
        <v>1</v>
      </c>
      <c r="AA1135" s="14">
        <v>12001.14</v>
      </c>
      <c r="AB1135" s="14">
        <v>12001.14</v>
      </c>
      <c r="AC1135" s="1" t="str">
        <f>VLOOKUP(A1135,[1]Detalle!$D$2:$CW$484,98,FALSE)</f>
        <v>CIMSA_BS AS</v>
      </c>
    </row>
    <row r="1136" spans="1:29" ht="14.25" customHeight="1" x14ac:dyDescent="0.3">
      <c r="A1136" s="12" t="s">
        <v>50</v>
      </c>
      <c r="B1136" s="1" t="s">
        <v>483</v>
      </c>
      <c r="C1136" s="1" t="s">
        <v>343</v>
      </c>
      <c r="D1136" s="1" t="s">
        <v>358</v>
      </c>
      <c r="E1136" s="1">
        <v>0.5</v>
      </c>
      <c r="F1136" s="1">
        <f>VLOOKUP(D1136,Sheet1!$D$2:$F$1119,2,FALSE)</f>
        <v>0.5</v>
      </c>
      <c r="P1136" s="13">
        <v>45882</v>
      </c>
      <c r="R1136" s="7">
        <v>46247</v>
      </c>
      <c r="S1136" s="7">
        <v>46247</v>
      </c>
      <c r="T1136" s="7" t="str">
        <f t="shared" si="0"/>
        <v>agosto</v>
      </c>
      <c r="X1136" s="1" t="s">
        <v>376</v>
      </c>
      <c r="Y1136" s="1" t="s">
        <v>377</v>
      </c>
      <c r="Z1136" s="1">
        <v>1</v>
      </c>
      <c r="AA1136" s="14">
        <v>77979.94</v>
      </c>
      <c r="AB1136" s="14">
        <v>77979.94</v>
      </c>
      <c r="AC1136" s="1" t="str">
        <f>VLOOKUP(A1136,[1]Detalle!$D$2:$CW$484,98,FALSE)</f>
        <v>CIMSA_BS AS</v>
      </c>
    </row>
    <row r="1137" spans="1:29" ht="14.25" customHeight="1" x14ac:dyDescent="0.3">
      <c r="A1137" s="12" t="s">
        <v>50</v>
      </c>
      <c r="B1137" s="1" t="s">
        <v>483</v>
      </c>
      <c r="C1137" s="1" t="s">
        <v>415</v>
      </c>
      <c r="D1137" s="1" t="s">
        <v>365</v>
      </c>
      <c r="E1137" s="1">
        <v>0.25</v>
      </c>
      <c r="F1137" s="1">
        <f>VLOOKUP(D1137,Sheet1!$D$2:$F$1119,2,FALSE)</f>
        <v>0.25</v>
      </c>
      <c r="P1137" s="13">
        <v>45882</v>
      </c>
      <c r="R1137" s="7">
        <v>46247</v>
      </c>
      <c r="S1137" s="7">
        <v>46247</v>
      </c>
      <c r="T1137" s="7" t="str">
        <f t="shared" si="0"/>
        <v>agosto</v>
      </c>
      <c r="X1137" s="1" t="s">
        <v>378</v>
      </c>
      <c r="Y1137" s="1" t="s">
        <v>379</v>
      </c>
      <c r="Z1137" s="1">
        <v>1</v>
      </c>
      <c r="AA1137" s="14">
        <v>13876.18</v>
      </c>
      <c r="AB1137" s="14">
        <v>13876.18</v>
      </c>
      <c r="AC1137" s="1" t="str">
        <f>VLOOKUP(A1137,[1]Detalle!$D$2:$CW$484,98,FALSE)</f>
        <v>CIMSA_BS AS</v>
      </c>
    </row>
    <row r="1138" spans="1:29" ht="14.25" customHeight="1" x14ac:dyDescent="0.3">
      <c r="A1138" s="12" t="s">
        <v>72</v>
      </c>
      <c r="B1138" s="1" t="s">
        <v>484</v>
      </c>
      <c r="C1138" s="1" t="s">
        <v>328</v>
      </c>
      <c r="D1138" s="1" t="s">
        <v>428</v>
      </c>
      <c r="E1138" s="1">
        <v>0.75</v>
      </c>
      <c r="F1138" s="1">
        <f>VLOOKUP(D1138,Sheet1!$D$2:$F$1119,2,FALSE)</f>
        <v>0.75</v>
      </c>
      <c r="P1138" s="13">
        <v>45343</v>
      </c>
      <c r="R1138" s="7">
        <v>46376</v>
      </c>
      <c r="S1138" s="7">
        <v>46376</v>
      </c>
      <c r="T1138" s="7" t="str">
        <f t="shared" si="0"/>
        <v>diciembre</v>
      </c>
      <c r="X1138" s="1" t="s">
        <v>401</v>
      </c>
      <c r="Y1138" s="1" t="s">
        <v>402</v>
      </c>
      <c r="Z1138" s="1">
        <v>1</v>
      </c>
      <c r="AA1138" s="14">
        <v>21189.599999999999</v>
      </c>
      <c r="AB1138" s="14">
        <v>21189.599999999999</v>
      </c>
      <c r="AC1138" s="1" t="str">
        <f>VLOOKUP(A1138,[1]Detalle!$D$2:$CW$484,98,FALSE)</f>
        <v>CMQ_TTE - QUILMES TTE</v>
      </c>
    </row>
    <row r="1139" spans="1:29" ht="14.25" customHeight="1" x14ac:dyDescent="0.3">
      <c r="A1139" s="12" t="s">
        <v>72</v>
      </c>
      <c r="B1139" s="1" t="s">
        <v>484</v>
      </c>
      <c r="C1139" s="1" t="s">
        <v>343</v>
      </c>
      <c r="D1139" s="1" t="s">
        <v>451</v>
      </c>
      <c r="E1139" s="1">
        <v>0.5</v>
      </c>
      <c r="F1139" s="1">
        <f>VLOOKUP(D1139,Sheet1!$D$2:$F$1119,2,FALSE)</f>
        <v>0.5</v>
      </c>
      <c r="P1139" s="13">
        <v>45343</v>
      </c>
      <c r="R1139" s="7">
        <v>46376</v>
      </c>
      <c r="S1139" s="7">
        <v>46376</v>
      </c>
      <c r="T1139" s="7" t="str">
        <f t="shared" si="0"/>
        <v>diciembre</v>
      </c>
      <c r="X1139" s="1" t="s">
        <v>413</v>
      </c>
      <c r="Y1139" s="1" t="s">
        <v>414</v>
      </c>
      <c r="Z1139" s="1">
        <v>1</v>
      </c>
      <c r="AA1139" s="14">
        <v>170000</v>
      </c>
      <c r="AB1139" s="14">
        <v>170000</v>
      </c>
      <c r="AC1139" s="1" t="str">
        <f>VLOOKUP(A1139,[1]Detalle!$D$2:$CW$484,98,FALSE)</f>
        <v>CMQ_TTE - QUILMES TTE</v>
      </c>
    </row>
    <row r="1140" spans="1:29" ht="14.25" customHeight="1" x14ac:dyDescent="0.3">
      <c r="A1140" s="12" t="s">
        <v>72</v>
      </c>
      <c r="B1140" s="1" t="s">
        <v>484</v>
      </c>
      <c r="C1140" s="1" t="s">
        <v>415</v>
      </c>
      <c r="D1140" s="1" t="s">
        <v>467</v>
      </c>
      <c r="E1140" s="1">
        <v>0.25</v>
      </c>
      <c r="F1140" s="1">
        <f>VLOOKUP(D1140,Sheet1!$D$2:$F$1119,2,FALSE)</f>
        <v>0.25</v>
      </c>
      <c r="P1140" s="13">
        <v>45343</v>
      </c>
      <c r="R1140" s="7">
        <v>46376</v>
      </c>
      <c r="S1140" s="7">
        <v>46376</v>
      </c>
      <c r="T1140" s="7" t="str">
        <f t="shared" si="0"/>
        <v>diciembre</v>
      </c>
      <c r="X1140" s="1" t="s">
        <v>425</v>
      </c>
      <c r="Y1140" s="1" t="s">
        <v>426</v>
      </c>
      <c r="Z1140" s="1">
        <v>1</v>
      </c>
      <c r="AA1140" s="14">
        <v>126126.58</v>
      </c>
      <c r="AB1140" s="14">
        <v>126126.58</v>
      </c>
      <c r="AC1140" s="1" t="str">
        <f>VLOOKUP(A1140,[1]Detalle!$D$2:$CW$484,98,FALSE)</f>
        <v>CMQ_TTE - QUILMES TTE</v>
      </c>
    </row>
    <row r="1141" spans="1:29" ht="14.25" customHeight="1" x14ac:dyDescent="0.3">
      <c r="A1141" s="12" t="s">
        <v>80</v>
      </c>
      <c r="B1141" s="1" t="s">
        <v>375</v>
      </c>
      <c r="C1141" s="1" t="s">
        <v>328</v>
      </c>
      <c r="D1141" s="1" t="s">
        <v>355</v>
      </c>
      <c r="E1141" s="1">
        <v>0.75</v>
      </c>
      <c r="F1141" s="1">
        <f>VLOOKUP(D1141,Sheet1!$D$2:$F$1119,2,FALSE)</f>
        <v>0.75</v>
      </c>
      <c r="P1141" s="13">
        <v>46068</v>
      </c>
      <c r="R1141" s="13">
        <v>46068</v>
      </c>
      <c r="S1141" s="7">
        <v>46068</v>
      </c>
      <c r="T1141" s="7" t="str">
        <f t="shared" si="0"/>
        <v>febrero</v>
      </c>
      <c r="X1141" s="1" t="s">
        <v>356</v>
      </c>
      <c r="Y1141" s="1" t="s">
        <v>357</v>
      </c>
      <c r="Z1141" s="1">
        <v>1</v>
      </c>
      <c r="AA1141" s="14">
        <v>11782.62</v>
      </c>
      <c r="AB1141" s="14">
        <v>11782.62</v>
      </c>
      <c r="AC1141" s="1" t="str">
        <f>VLOOKUP(A1141,[1]Detalle!$D$2:$CW$484,98,FALSE)</f>
        <v>CIMSA_BS AS</v>
      </c>
    </row>
    <row r="1142" spans="1:29" ht="14.25" customHeight="1" x14ac:dyDescent="0.3">
      <c r="A1142" s="12" t="s">
        <v>80</v>
      </c>
      <c r="B1142" s="1" t="s">
        <v>375</v>
      </c>
      <c r="C1142" s="1" t="s">
        <v>343</v>
      </c>
      <c r="D1142" s="1" t="s">
        <v>358</v>
      </c>
      <c r="E1142" s="1">
        <v>0.5</v>
      </c>
      <c r="F1142" s="1">
        <f>VLOOKUP(D1142,Sheet1!$D$2:$F$1119,2,FALSE)</f>
        <v>0.5</v>
      </c>
      <c r="P1142" s="13">
        <v>46068</v>
      </c>
      <c r="R1142" s="13">
        <v>46068</v>
      </c>
      <c r="S1142" s="7">
        <v>46068</v>
      </c>
      <c r="T1142" s="7" t="str">
        <f t="shared" si="0"/>
        <v>febrero</v>
      </c>
      <c r="X1142" s="1" t="s">
        <v>384</v>
      </c>
      <c r="Y1142" s="1" t="s">
        <v>385</v>
      </c>
      <c r="Z1142" s="1">
        <v>1</v>
      </c>
      <c r="AA1142" s="14">
        <v>17040.349999999999</v>
      </c>
      <c r="AB1142" s="14">
        <v>17040.349999999999</v>
      </c>
      <c r="AC1142" s="1" t="str">
        <f>VLOOKUP(A1142,[1]Detalle!$D$2:$CW$484,98,FALSE)</f>
        <v>CIMSA_BS AS</v>
      </c>
    </row>
    <row r="1143" spans="1:29" ht="14.25" customHeight="1" x14ac:dyDescent="0.3">
      <c r="A1143" s="12" t="s">
        <v>80</v>
      </c>
      <c r="B1143" s="1" t="s">
        <v>375</v>
      </c>
      <c r="C1143" s="1" t="s">
        <v>415</v>
      </c>
      <c r="D1143" s="1" t="s">
        <v>365</v>
      </c>
      <c r="E1143" s="1">
        <v>0.25</v>
      </c>
      <c r="F1143" s="1">
        <f>VLOOKUP(D1143,Sheet1!$D$2:$F$1119,2,FALSE)</f>
        <v>0.25</v>
      </c>
      <c r="P1143" s="13">
        <v>46068</v>
      </c>
      <c r="R1143" s="13">
        <v>46068</v>
      </c>
      <c r="S1143" s="7">
        <v>46068</v>
      </c>
      <c r="T1143" s="7" t="str">
        <f t="shared" si="0"/>
        <v>febrero</v>
      </c>
      <c r="X1143" s="1" t="s">
        <v>387</v>
      </c>
      <c r="Y1143" s="1" t="s">
        <v>388</v>
      </c>
      <c r="Z1143" s="1">
        <v>1</v>
      </c>
      <c r="AA1143" s="14">
        <v>8857.74</v>
      </c>
      <c r="AB1143" s="14">
        <v>8857.74</v>
      </c>
      <c r="AC1143" s="1" t="str">
        <f>VLOOKUP(A1143,[1]Detalle!$D$2:$CW$484,98,FALSE)</f>
        <v>CIMSA_BS AS</v>
      </c>
    </row>
    <row r="1144" spans="1:29" ht="14.25" customHeight="1" x14ac:dyDescent="0.3">
      <c r="A1144" s="12" t="s">
        <v>89</v>
      </c>
      <c r="B1144" s="1" t="s">
        <v>485</v>
      </c>
      <c r="C1144" s="1" t="s">
        <v>328</v>
      </c>
      <c r="D1144" s="1" t="s">
        <v>328</v>
      </c>
      <c r="E1144" s="1">
        <v>0.75</v>
      </c>
      <c r="F1144" s="1">
        <f>VLOOKUP(D1144,Sheet1!$D$2:$F$1119,2,FALSE)</f>
        <v>0.75</v>
      </c>
      <c r="P1144" s="13">
        <v>45582</v>
      </c>
      <c r="R1144" s="7">
        <v>46312</v>
      </c>
      <c r="S1144" s="7">
        <v>46312</v>
      </c>
      <c r="T1144" s="7" t="str">
        <f t="shared" si="0"/>
        <v>octubre</v>
      </c>
      <c r="X1144" s="1" t="s">
        <v>397</v>
      </c>
      <c r="Y1144" s="1" t="s">
        <v>398</v>
      </c>
      <c r="Z1144" s="1">
        <v>1</v>
      </c>
      <c r="AA1144" s="14">
        <v>9737.2800000000007</v>
      </c>
      <c r="AB1144" s="14">
        <v>9737.2800000000007</v>
      </c>
      <c r="AC1144" s="1" t="str">
        <f>VLOOKUP(A1144,[1]Detalle!$D$2:$CW$484,98,FALSE)</f>
        <v>CMQ_TTE - QUILMES TTE</v>
      </c>
    </row>
    <row r="1145" spans="1:29" ht="14.25" customHeight="1" x14ac:dyDescent="0.3">
      <c r="A1145" s="12" t="s">
        <v>89</v>
      </c>
      <c r="B1145" s="1" t="s">
        <v>485</v>
      </c>
      <c r="C1145" s="1" t="s">
        <v>343</v>
      </c>
      <c r="D1145" s="1" t="s">
        <v>343</v>
      </c>
      <c r="E1145" s="1">
        <v>0.5</v>
      </c>
      <c r="F1145" s="1">
        <f>VLOOKUP(D1145,Sheet1!$D$2:$F$1119,2,FALSE)</f>
        <v>0.5</v>
      </c>
      <c r="P1145" s="13">
        <v>45582</v>
      </c>
      <c r="R1145" s="7">
        <v>46312</v>
      </c>
      <c r="S1145" s="7">
        <v>46312</v>
      </c>
      <c r="T1145" s="7" t="str">
        <f t="shared" si="0"/>
        <v>octubre</v>
      </c>
      <c r="X1145" s="1" t="s">
        <v>345</v>
      </c>
      <c r="Y1145" s="1" t="s">
        <v>346</v>
      </c>
      <c r="Z1145" s="1">
        <v>1</v>
      </c>
      <c r="AA1145" s="14">
        <v>10535.04</v>
      </c>
      <c r="AB1145" s="14">
        <v>10535.04</v>
      </c>
      <c r="AC1145" s="1" t="str">
        <f>VLOOKUP(A1145,[1]Detalle!$D$2:$CW$484,98,FALSE)</f>
        <v>CMQ_TTE - QUILMES TTE</v>
      </c>
    </row>
    <row r="1146" spans="1:29" ht="14.25" customHeight="1" x14ac:dyDescent="0.3">
      <c r="A1146" s="12" t="s">
        <v>89</v>
      </c>
      <c r="B1146" s="1" t="s">
        <v>485</v>
      </c>
      <c r="C1146" s="1" t="s">
        <v>415</v>
      </c>
      <c r="D1146" s="1" t="s">
        <v>415</v>
      </c>
      <c r="E1146" s="1">
        <v>0.25</v>
      </c>
      <c r="F1146" s="1">
        <f>VLOOKUP(D1146,Sheet1!$D$2:$F$1119,2,FALSE)</f>
        <v>0.25</v>
      </c>
      <c r="P1146" s="13">
        <v>45582</v>
      </c>
      <c r="R1146" s="7">
        <v>46312</v>
      </c>
      <c r="S1146" s="7">
        <v>46312</v>
      </c>
      <c r="T1146" s="7" t="str">
        <f t="shared" si="0"/>
        <v>octubre</v>
      </c>
      <c r="X1146" s="1" t="s">
        <v>419</v>
      </c>
      <c r="Y1146" s="1" t="s">
        <v>420</v>
      </c>
      <c r="Z1146" s="1">
        <v>1</v>
      </c>
      <c r="AA1146" s="14">
        <v>42474.239999999998</v>
      </c>
      <c r="AB1146" s="14">
        <v>42474.239999999998</v>
      </c>
      <c r="AC1146" s="1" t="str">
        <f>VLOOKUP(A1146,[1]Detalle!$D$2:$CW$484,98,FALSE)</f>
        <v>CMQ_TTE - QUILMES TTE</v>
      </c>
    </row>
    <row r="1147" spans="1:29" ht="14.25" customHeight="1" x14ac:dyDescent="0.3">
      <c r="A1147" s="12" t="s">
        <v>90</v>
      </c>
      <c r="B1147" s="1" t="s">
        <v>485</v>
      </c>
      <c r="C1147" s="1" t="s">
        <v>328</v>
      </c>
      <c r="D1147" s="1" t="s">
        <v>328</v>
      </c>
      <c r="E1147" s="1">
        <v>0.75</v>
      </c>
      <c r="F1147" s="1">
        <f>VLOOKUP(D1147,Sheet1!$D$2:$F$1119,2,FALSE)</f>
        <v>0.75</v>
      </c>
      <c r="P1147" s="7">
        <v>46368</v>
      </c>
      <c r="R1147" s="7">
        <v>46368</v>
      </c>
      <c r="S1147" s="7">
        <v>46368</v>
      </c>
      <c r="T1147" s="7" t="str">
        <f t="shared" si="0"/>
        <v>diciembre</v>
      </c>
      <c r="X1147" s="1" t="s">
        <v>397</v>
      </c>
      <c r="Y1147" s="1" t="s">
        <v>398</v>
      </c>
      <c r="Z1147" s="1">
        <v>1</v>
      </c>
      <c r="AA1147" s="14">
        <v>9737.2800000000007</v>
      </c>
      <c r="AB1147" s="14">
        <v>9737.2800000000007</v>
      </c>
      <c r="AC1147" s="1" t="str">
        <f>VLOOKUP(A1147,[1]Detalle!$D$2:$CW$484,98,FALSE)</f>
        <v>CMQ_TTE - QUILMES TTE</v>
      </c>
    </row>
    <row r="1148" spans="1:29" ht="14.25" customHeight="1" x14ac:dyDescent="0.3">
      <c r="A1148" s="12" t="s">
        <v>90</v>
      </c>
      <c r="B1148" s="1" t="s">
        <v>485</v>
      </c>
      <c r="C1148" s="1" t="s">
        <v>343</v>
      </c>
      <c r="D1148" s="1" t="s">
        <v>343</v>
      </c>
      <c r="E1148" s="1">
        <v>0.5</v>
      </c>
      <c r="F1148" s="1">
        <f>VLOOKUP(D1148,Sheet1!$D$2:$F$1119,2,FALSE)</f>
        <v>0.5</v>
      </c>
      <c r="P1148" s="7">
        <v>46368</v>
      </c>
      <c r="R1148" s="7">
        <v>46368</v>
      </c>
      <c r="S1148" s="7">
        <v>46368</v>
      </c>
      <c r="T1148" s="7" t="str">
        <f t="shared" si="0"/>
        <v>diciembre</v>
      </c>
      <c r="X1148" s="1" t="s">
        <v>345</v>
      </c>
      <c r="Y1148" s="1" t="s">
        <v>346</v>
      </c>
      <c r="Z1148" s="1">
        <v>1</v>
      </c>
      <c r="AA1148" s="14">
        <v>10535.04</v>
      </c>
      <c r="AB1148" s="14">
        <v>10535.04</v>
      </c>
      <c r="AC1148" s="1" t="str">
        <f>VLOOKUP(A1148,[1]Detalle!$D$2:$CW$484,98,FALSE)</f>
        <v>CMQ_TTE - QUILMES TTE</v>
      </c>
    </row>
    <row r="1149" spans="1:29" ht="14.25" customHeight="1" x14ac:dyDescent="0.3">
      <c r="A1149" s="15" t="s">
        <v>90</v>
      </c>
      <c r="B1149" s="1" t="s">
        <v>485</v>
      </c>
      <c r="C1149" s="1" t="s">
        <v>415</v>
      </c>
      <c r="D1149" s="1" t="s">
        <v>415</v>
      </c>
      <c r="E1149" s="1">
        <v>0.25</v>
      </c>
      <c r="F1149" s="1">
        <f>VLOOKUP(D1149,Sheet1!$D$2:$F$1119,2,FALSE)</f>
        <v>0.25</v>
      </c>
      <c r="P1149" s="7">
        <v>46368</v>
      </c>
      <c r="R1149" s="7">
        <v>46368</v>
      </c>
      <c r="S1149" s="7">
        <v>46368</v>
      </c>
      <c r="T1149" s="7" t="str">
        <f t="shared" si="0"/>
        <v>diciembre</v>
      </c>
      <c r="X1149" s="1" t="s">
        <v>419</v>
      </c>
      <c r="Y1149" s="1" t="s">
        <v>420</v>
      </c>
      <c r="Z1149" s="1">
        <v>1</v>
      </c>
      <c r="AA1149" s="14">
        <v>42474.239999999998</v>
      </c>
      <c r="AB1149" s="14">
        <v>42474.239999999998</v>
      </c>
      <c r="AC1149" s="1" t="str">
        <f>VLOOKUP(A1149,[1]Detalle!$D$2:$CW$484,98,FALSE)</f>
        <v>CMQ_TTE - QUILMES TTE</v>
      </c>
    </row>
    <row r="1150" spans="1:29" ht="14.25" customHeight="1" x14ac:dyDescent="0.3">
      <c r="A1150" s="16" t="s">
        <v>94</v>
      </c>
      <c r="B1150" s="1" t="s">
        <v>350</v>
      </c>
      <c r="C1150" s="1" t="s">
        <v>328</v>
      </c>
      <c r="D1150" s="1" t="s">
        <v>328</v>
      </c>
      <c r="E1150" s="1">
        <v>0.75</v>
      </c>
      <c r="F1150" s="1">
        <f>VLOOKUP(D1150,Sheet1!$D$2:$F$1119,2,FALSE)</f>
        <v>0.75</v>
      </c>
      <c r="P1150" s="13">
        <v>45965</v>
      </c>
      <c r="R1150" s="7">
        <v>46330</v>
      </c>
      <c r="S1150" s="7">
        <v>46330</v>
      </c>
      <c r="T1150" s="7" t="str">
        <f t="shared" si="0"/>
        <v>noviembre</v>
      </c>
      <c r="X1150" s="1" t="s">
        <v>397</v>
      </c>
      <c r="Y1150" s="1" t="s">
        <v>398</v>
      </c>
      <c r="Z1150" s="1">
        <v>1</v>
      </c>
      <c r="AA1150" s="14">
        <v>9737.2800000000007</v>
      </c>
      <c r="AB1150" s="14">
        <v>9737.2800000000007</v>
      </c>
      <c r="AC1150" s="1" t="str">
        <f>VLOOKUP(A1150,[1]Detalle!$D$2:$CW$484,98,FALSE)</f>
        <v>CMQ_TTE - QUILMES TTE</v>
      </c>
    </row>
    <row r="1151" spans="1:29" ht="14.25" customHeight="1" x14ac:dyDescent="0.3">
      <c r="A1151" s="16" t="s">
        <v>94</v>
      </c>
      <c r="B1151" s="1" t="s">
        <v>350</v>
      </c>
      <c r="C1151" s="1" t="s">
        <v>343</v>
      </c>
      <c r="D1151" s="1" t="s">
        <v>343</v>
      </c>
      <c r="E1151" s="1">
        <v>0.5</v>
      </c>
      <c r="F1151" s="1">
        <f>VLOOKUP(D1151,Sheet1!$D$2:$F$1119,2,FALSE)</f>
        <v>0.5</v>
      </c>
      <c r="P1151" s="13">
        <v>45965</v>
      </c>
      <c r="R1151" s="7">
        <v>46330</v>
      </c>
      <c r="S1151" s="7">
        <v>46330</v>
      </c>
      <c r="T1151" s="7" t="str">
        <f t="shared" si="0"/>
        <v>noviembre</v>
      </c>
      <c r="X1151" s="1" t="s">
        <v>345</v>
      </c>
      <c r="Y1151" s="1" t="s">
        <v>346</v>
      </c>
      <c r="Z1151" s="1">
        <v>1</v>
      </c>
      <c r="AA1151" s="14">
        <v>10535.04</v>
      </c>
      <c r="AB1151" s="14">
        <v>10535.04</v>
      </c>
      <c r="AC1151" s="1" t="str">
        <f>VLOOKUP(A1151,[1]Detalle!$D$2:$CW$484,98,FALSE)</f>
        <v>CMQ_TTE - QUILMES TTE</v>
      </c>
    </row>
    <row r="1152" spans="1:29" ht="14.25" customHeight="1" x14ac:dyDescent="0.3">
      <c r="A1152" s="16" t="s">
        <v>94</v>
      </c>
      <c r="B1152" s="1" t="s">
        <v>350</v>
      </c>
      <c r="C1152" s="1" t="s">
        <v>415</v>
      </c>
      <c r="D1152" s="1" t="s">
        <v>415</v>
      </c>
      <c r="E1152" s="1">
        <v>0.25</v>
      </c>
      <c r="F1152" s="1">
        <f>VLOOKUP(D1152,Sheet1!$D$2:$F$1119,2,FALSE)</f>
        <v>0.25</v>
      </c>
      <c r="P1152" s="13">
        <v>45965</v>
      </c>
      <c r="R1152" s="7">
        <v>46330</v>
      </c>
      <c r="S1152" s="7">
        <v>46330</v>
      </c>
      <c r="T1152" s="7" t="str">
        <f t="shared" si="0"/>
        <v>noviembre</v>
      </c>
      <c r="X1152" s="1" t="s">
        <v>419</v>
      </c>
      <c r="Y1152" s="1" t="s">
        <v>420</v>
      </c>
      <c r="Z1152" s="1">
        <v>1</v>
      </c>
      <c r="AA1152" s="14">
        <v>42474.239999999998</v>
      </c>
      <c r="AB1152" s="14">
        <v>42474.239999999998</v>
      </c>
      <c r="AC1152" s="1" t="str">
        <f>VLOOKUP(A1152,[1]Detalle!$D$2:$CW$484,98,FALSE)</f>
        <v>CMQ_TTE - QUILMES TTE</v>
      </c>
    </row>
    <row r="1153" spans="1:29" ht="14.25" customHeight="1" x14ac:dyDescent="0.3">
      <c r="A1153" s="17" t="s">
        <v>102</v>
      </c>
      <c r="B1153" s="1">
        <v>710</v>
      </c>
      <c r="C1153" s="1" t="s">
        <v>328</v>
      </c>
      <c r="D1153" s="1" t="s">
        <v>328</v>
      </c>
      <c r="E1153" s="1">
        <v>0.75</v>
      </c>
      <c r="F1153" s="1">
        <f>VLOOKUP(D1153,Sheet1!$D$2:$F$1119,2,FALSE)</f>
        <v>0.75</v>
      </c>
      <c r="P1153" s="7">
        <v>46368</v>
      </c>
      <c r="R1153" s="7">
        <v>46368</v>
      </c>
      <c r="S1153" s="7">
        <v>46368</v>
      </c>
      <c r="T1153" s="7" t="str">
        <f t="shared" si="0"/>
        <v>diciembre</v>
      </c>
      <c r="X1153" s="1" t="s">
        <v>333</v>
      </c>
      <c r="Y1153" s="1" t="s">
        <v>334</v>
      </c>
      <c r="Z1153" s="1">
        <v>1</v>
      </c>
      <c r="AA1153" s="14">
        <v>8513.2800000000007</v>
      </c>
      <c r="AB1153" s="14">
        <v>8513.2800000000007</v>
      </c>
      <c r="AC1153" s="1" t="str">
        <f>VLOOKUP(A1153,[1]Detalle!$D$2:$CW$484,98,FALSE)</f>
        <v>Sin Operación</v>
      </c>
    </row>
    <row r="1154" spans="1:29" ht="14.25" customHeight="1" x14ac:dyDescent="0.3">
      <c r="A1154" s="18" t="s">
        <v>102</v>
      </c>
      <c r="B1154" s="1">
        <v>710</v>
      </c>
      <c r="C1154" s="1" t="s">
        <v>343</v>
      </c>
      <c r="D1154" s="1" t="s">
        <v>343</v>
      </c>
      <c r="E1154" s="1">
        <v>0.5</v>
      </c>
      <c r="F1154" s="1">
        <f>VLOOKUP(D1154,Sheet1!$D$2:$F$1119,2,FALSE)</f>
        <v>0.5</v>
      </c>
      <c r="P1154" s="7">
        <v>46368</v>
      </c>
      <c r="R1154" s="7">
        <v>46368</v>
      </c>
      <c r="S1154" s="7">
        <v>46368</v>
      </c>
      <c r="T1154" s="7" t="str">
        <f t="shared" si="0"/>
        <v>diciembre</v>
      </c>
      <c r="X1154" s="1" t="s">
        <v>345</v>
      </c>
      <c r="Y1154" s="1" t="s">
        <v>346</v>
      </c>
      <c r="Z1154" s="1">
        <v>1</v>
      </c>
      <c r="AA1154" s="14">
        <v>10535.04</v>
      </c>
      <c r="AB1154" s="14">
        <v>10535.04</v>
      </c>
      <c r="AC1154" s="1" t="str">
        <f>VLOOKUP(A1154,[1]Detalle!$D$2:$CW$484,98,FALSE)</f>
        <v>Sin Operación</v>
      </c>
    </row>
    <row r="1155" spans="1:29" ht="14.25" customHeight="1" x14ac:dyDescent="0.3">
      <c r="A1155" s="19" t="s">
        <v>102</v>
      </c>
      <c r="B1155" s="1">
        <v>710</v>
      </c>
      <c r="C1155" s="1" t="s">
        <v>415</v>
      </c>
      <c r="D1155" s="1" t="s">
        <v>415</v>
      </c>
      <c r="E1155" s="1">
        <v>0.25</v>
      </c>
      <c r="F1155" s="1">
        <f>VLOOKUP(D1155,Sheet1!$D$2:$F$1119,2,FALSE)</f>
        <v>0.25</v>
      </c>
      <c r="P1155" s="7">
        <v>46368</v>
      </c>
      <c r="R1155" s="7">
        <v>46368</v>
      </c>
      <c r="S1155" s="7">
        <v>46368</v>
      </c>
      <c r="T1155" s="7" t="str">
        <f t="shared" si="0"/>
        <v>diciembre</v>
      </c>
      <c r="X1155" s="1" t="s">
        <v>416</v>
      </c>
      <c r="Y1155" s="1" t="s">
        <v>417</v>
      </c>
      <c r="Z1155" s="1">
        <v>1</v>
      </c>
      <c r="AA1155" s="14">
        <v>37598.393333332999</v>
      </c>
      <c r="AB1155" s="14">
        <v>37598.393333332999</v>
      </c>
      <c r="AC1155" s="1" t="str">
        <f>VLOOKUP(A1155,[1]Detalle!$D$2:$CW$484,98,FALSE)</f>
        <v>Sin Operación</v>
      </c>
    </row>
    <row r="1156" spans="1:29" ht="14.25" customHeight="1" x14ac:dyDescent="0.3">
      <c r="A1156" s="19" t="s">
        <v>103</v>
      </c>
      <c r="B1156" s="1">
        <v>1218</v>
      </c>
      <c r="C1156" s="1" t="s">
        <v>328</v>
      </c>
      <c r="D1156" s="1" t="s">
        <v>328</v>
      </c>
      <c r="E1156" s="1">
        <v>0.75</v>
      </c>
      <c r="F1156" s="1">
        <f>VLOOKUP(D1156,Sheet1!$D$2:$F$1119,2,FALSE)</f>
        <v>0.75</v>
      </c>
      <c r="P1156" s="13">
        <v>45294</v>
      </c>
      <c r="R1156" s="7">
        <v>46024</v>
      </c>
      <c r="S1156" s="7">
        <v>46024</v>
      </c>
      <c r="T1156" s="7" t="str">
        <f t="shared" si="0"/>
        <v>enero</v>
      </c>
      <c r="X1156" s="1" t="s">
        <v>333</v>
      </c>
      <c r="Y1156" s="1" t="s">
        <v>334</v>
      </c>
      <c r="Z1156" s="1">
        <v>1</v>
      </c>
      <c r="AA1156" s="14">
        <v>8513.2800000000007</v>
      </c>
      <c r="AB1156" s="14">
        <v>8513.2800000000007</v>
      </c>
      <c r="AC1156" s="1" t="str">
        <f>VLOOKUP(A1156,[1]Detalle!$D$2:$CW$484,98,FALSE)</f>
        <v>Sin Operación</v>
      </c>
    </row>
    <row r="1157" spans="1:29" ht="14.25" customHeight="1" x14ac:dyDescent="0.3">
      <c r="A1157" s="19" t="s">
        <v>103</v>
      </c>
      <c r="B1157" s="1">
        <v>1218</v>
      </c>
      <c r="C1157" s="1" t="s">
        <v>343</v>
      </c>
      <c r="D1157" s="1" t="s">
        <v>343</v>
      </c>
      <c r="E1157" s="1">
        <v>0.5</v>
      </c>
      <c r="F1157" s="1">
        <f>VLOOKUP(D1157,Sheet1!$D$2:$F$1119,2,FALSE)</f>
        <v>0.5</v>
      </c>
      <c r="P1157" s="13">
        <v>45294</v>
      </c>
      <c r="R1157" s="7">
        <v>46024</v>
      </c>
      <c r="S1157" s="7">
        <v>46024</v>
      </c>
      <c r="T1157" s="7" t="str">
        <f t="shared" si="0"/>
        <v>enero</v>
      </c>
      <c r="X1157" s="1" t="s">
        <v>345</v>
      </c>
      <c r="Y1157" s="1" t="s">
        <v>346</v>
      </c>
      <c r="Z1157" s="1">
        <v>1</v>
      </c>
      <c r="AA1157" s="14">
        <v>10535.04</v>
      </c>
      <c r="AB1157" s="14">
        <v>10535.04</v>
      </c>
      <c r="AC1157" s="1" t="str">
        <f>VLOOKUP(A1157,[1]Detalle!$D$2:$CW$484,98,FALSE)</f>
        <v>Sin Operación</v>
      </c>
    </row>
    <row r="1158" spans="1:29" ht="14.25" customHeight="1" x14ac:dyDescent="0.3">
      <c r="A1158" s="17" t="s">
        <v>103</v>
      </c>
      <c r="B1158" s="1">
        <v>1218</v>
      </c>
      <c r="C1158" s="1" t="s">
        <v>415</v>
      </c>
      <c r="D1158" s="1" t="s">
        <v>415</v>
      </c>
      <c r="E1158" s="1">
        <v>0.25</v>
      </c>
      <c r="F1158" s="1">
        <f>VLOOKUP(D1158,Sheet1!$D$2:$F$1119,2,FALSE)</f>
        <v>0.25</v>
      </c>
      <c r="P1158" s="13">
        <v>45294</v>
      </c>
      <c r="R1158" s="7">
        <v>46024</v>
      </c>
      <c r="S1158" s="7">
        <v>46024</v>
      </c>
      <c r="T1158" s="7" t="str">
        <f t="shared" si="0"/>
        <v>enero</v>
      </c>
      <c r="X1158" s="1" t="s">
        <v>416</v>
      </c>
      <c r="Y1158" s="1" t="s">
        <v>417</v>
      </c>
      <c r="Z1158" s="1">
        <v>1</v>
      </c>
      <c r="AA1158" s="14">
        <v>37598.393333332999</v>
      </c>
      <c r="AB1158" s="14">
        <v>37598.393333332999</v>
      </c>
      <c r="AC1158" s="1" t="str">
        <f>VLOOKUP(A1158,[1]Detalle!$D$2:$CW$484,98,FALSE)</f>
        <v>Sin Operación</v>
      </c>
    </row>
    <row r="1159" spans="1:29" ht="14.25" customHeight="1" x14ac:dyDescent="0.3">
      <c r="A1159" s="20" t="s">
        <v>107</v>
      </c>
      <c r="B1159" s="1">
        <v>712</v>
      </c>
      <c r="C1159" s="1" t="s">
        <v>328</v>
      </c>
      <c r="D1159" s="1" t="s">
        <v>328</v>
      </c>
      <c r="E1159" s="1">
        <v>0.75</v>
      </c>
      <c r="F1159" s="1">
        <f>VLOOKUP(D1159,Sheet1!$D$2:$F$1119,2,FALSE)</f>
        <v>0.75</v>
      </c>
      <c r="P1159" s="7">
        <v>46368</v>
      </c>
      <c r="R1159" s="7">
        <v>46368</v>
      </c>
      <c r="S1159" s="7">
        <v>46368</v>
      </c>
      <c r="T1159" s="7" t="str">
        <f t="shared" si="0"/>
        <v>diciembre</v>
      </c>
      <c r="X1159" s="1" t="s">
        <v>333</v>
      </c>
      <c r="Y1159" s="1" t="s">
        <v>334</v>
      </c>
      <c r="Z1159" s="1">
        <v>1</v>
      </c>
      <c r="AA1159" s="14">
        <v>8513.2800000000007</v>
      </c>
      <c r="AB1159" s="14">
        <v>8513.2800000000007</v>
      </c>
      <c r="AC1159" s="1" t="str">
        <f>VLOOKUP(A1159,[1]Detalle!$D$2:$CW$484,98,FALSE)</f>
        <v>SUC_REA - Sucursal Realicó</v>
      </c>
    </row>
    <row r="1160" spans="1:29" ht="14.25" customHeight="1" x14ac:dyDescent="0.3">
      <c r="A1160" s="21" t="s">
        <v>107</v>
      </c>
      <c r="B1160" s="1">
        <v>712</v>
      </c>
      <c r="C1160" s="1" t="s">
        <v>343</v>
      </c>
      <c r="D1160" s="1" t="s">
        <v>343</v>
      </c>
      <c r="E1160" s="1">
        <v>0.5</v>
      </c>
      <c r="F1160" s="1">
        <f>VLOOKUP(D1160,Sheet1!$D$2:$F$1119,2,FALSE)</f>
        <v>0.5</v>
      </c>
      <c r="P1160" s="7">
        <v>46368</v>
      </c>
      <c r="R1160" s="7">
        <v>46368</v>
      </c>
      <c r="S1160" s="7">
        <v>46368</v>
      </c>
      <c r="T1160" s="7" t="str">
        <f t="shared" si="0"/>
        <v>diciembre</v>
      </c>
      <c r="X1160" s="1" t="s">
        <v>345</v>
      </c>
      <c r="Y1160" s="1" t="s">
        <v>346</v>
      </c>
      <c r="Z1160" s="1">
        <v>1</v>
      </c>
      <c r="AA1160" s="14">
        <v>10535.04</v>
      </c>
      <c r="AB1160" s="14">
        <v>10535.04</v>
      </c>
      <c r="AC1160" s="1" t="str">
        <f>VLOOKUP(A1160,[1]Detalle!$D$2:$CW$484,98,FALSE)</f>
        <v>SUC_REA - Sucursal Realicó</v>
      </c>
    </row>
    <row r="1161" spans="1:29" ht="14.25" customHeight="1" x14ac:dyDescent="0.3">
      <c r="A1161" s="12" t="s">
        <v>107</v>
      </c>
      <c r="B1161" s="1">
        <v>712</v>
      </c>
      <c r="C1161" s="1" t="s">
        <v>415</v>
      </c>
      <c r="D1161" s="1" t="s">
        <v>415</v>
      </c>
      <c r="E1161" s="1">
        <v>0.25</v>
      </c>
      <c r="F1161" s="1">
        <f>VLOOKUP(D1161,Sheet1!$D$2:$F$1119,2,FALSE)</f>
        <v>0.25</v>
      </c>
      <c r="P1161" s="7">
        <v>46368</v>
      </c>
      <c r="R1161" s="7">
        <v>46368</v>
      </c>
      <c r="S1161" s="7">
        <v>46368</v>
      </c>
      <c r="T1161" s="7" t="str">
        <f t="shared" si="0"/>
        <v>diciembre</v>
      </c>
      <c r="X1161" s="1" t="s">
        <v>416</v>
      </c>
      <c r="Y1161" s="1" t="s">
        <v>417</v>
      </c>
      <c r="Z1161" s="1">
        <v>1</v>
      </c>
      <c r="AA1161" s="14">
        <v>37165.919999999998</v>
      </c>
      <c r="AB1161" s="14">
        <v>37165.919999999998</v>
      </c>
      <c r="AC1161" s="1" t="str">
        <f>VLOOKUP(A1161,[1]Detalle!$D$2:$CW$484,98,FALSE)</f>
        <v>SUC_REA - Sucursal Realicó</v>
      </c>
    </row>
    <row r="1162" spans="1:29" ht="14.25" customHeight="1" x14ac:dyDescent="0.3">
      <c r="A1162" s="15" t="s">
        <v>110</v>
      </c>
      <c r="B1162" s="1" t="s">
        <v>486</v>
      </c>
      <c r="C1162" s="1" t="s">
        <v>328</v>
      </c>
      <c r="D1162" s="1" t="s">
        <v>355</v>
      </c>
      <c r="E1162" s="1">
        <v>0.75</v>
      </c>
      <c r="F1162" s="1">
        <f>VLOOKUP(D1162,Sheet1!$D$2:$F$1119,2,FALSE)</f>
        <v>0.75</v>
      </c>
      <c r="P1162" s="13">
        <v>45782</v>
      </c>
      <c r="R1162" s="7">
        <v>46058</v>
      </c>
      <c r="S1162" s="7">
        <v>46058</v>
      </c>
      <c r="T1162" s="7" t="str">
        <f t="shared" si="0"/>
        <v>febrero</v>
      </c>
      <c r="X1162" s="1" t="s">
        <v>487</v>
      </c>
      <c r="Y1162" s="1" t="s">
        <v>488</v>
      </c>
      <c r="Z1162" s="1">
        <v>1</v>
      </c>
      <c r="AA1162" s="14">
        <v>8662.4</v>
      </c>
      <c r="AB1162" s="14">
        <f t="shared" ref="AB1162:AB1164" si="3">AA1162*Z1162</f>
        <v>8662.4</v>
      </c>
      <c r="AC1162" s="1" t="str">
        <f>VLOOKUP(A1162,[1]Detalle!$D$2:$CW$484,98,FALSE)</f>
        <v>CIMSA_BS AS</v>
      </c>
    </row>
    <row r="1163" spans="1:29" ht="14.25" customHeight="1" x14ac:dyDescent="0.3">
      <c r="A1163" s="15" t="s">
        <v>110</v>
      </c>
      <c r="B1163" s="1" t="s">
        <v>486</v>
      </c>
      <c r="C1163" s="1" t="s">
        <v>343</v>
      </c>
      <c r="D1163" s="1" t="s">
        <v>358</v>
      </c>
      <c r="E1163" s="1">
        <v>0.5</v>
      </c>
      <c r="F1163" s="1">
        <f>VLOOKUP(D1163,Sheet1!$D$2:$F$1119,2,FALSE)</f>
        <v>0.5</v>
      </c>
      <c r="P1163" s="13">
        <v>45782</v>
      </c>
      <c r="R1163" s="7">
        <v>46058</v>
      </c>
      <c r="S1163" s="7">
        <v>46058</v>
      </c>
      <c r="T1163" s="7" t="str">
        <f t="shared" si="0"/>
        <v>febrero</v>
      </c>
      <c r="X1163" s="1" t="s">
        <v>489</v>
      </c>
      <c r="Y1163" s="1" t="s">
        <v>490</v>
      </c>
      <c r="Z1163" s="1">
        <v>1</v>
      </c>
      <c r="AA1163" s="14">
        <v>12579.26</v>
      </c>
      <c r="AB1163" s="14">
        <f t="shared" si="3"/>
        <v>12579.26</v>
      </c>
      <c r="AC1163" s="1" t="str">
        <f>VLOOKUP(A1163,[1]Detalle!$D$2:$CW$484,98,FALSE)</f>
        <v>CIMSA_BS AS</v>
      </c>
    </row>
    <row r="1164" spans="1:29" ht="14.25" customHeight="1" x14ac:dyDescent="0.3">
      <c r="A1164" s="12" t="s">
        <v>110</v>
      </c>
      <c r="B1164" s="1" t="s">
        <v>486</v>
      </c>
      <c r="C1164" s="1" t="s">
        <v>415</v>
      </c>
      <c r="D1164" s="1" t="s">
        <v>365</v>
      </c>
      <c r="E1164" s="1">
        <v>0.25</v>
      </c>
      <c r="F1164" s="1">
        <f>VLOOKUP(D1164,Sheet1!$D$2:$F$1119,2,FALSE)</f>
        <v>0.25</v>
      </c>
      <c r="P1164" s="13">
        <v>45782</v>
      </c>
      <c r="R1164" s="7">
        <v>46058</v>
      </c>
      <c r="S1164" s="7">
        <v>46058</v>
      </c>
      <c r="T1164" s="7" t="str">
        <f t="shared" si="0"/>
        <v>febrero</v>
      </c>
      <c r="X1164" s="1" t="s">
        <v>491</v>
      </c>
      <c r="Y1164" s="1" t="s">
        <v>492</v>
      </c>
      <c r="Z1164" s="1">
        <v>1</v>
      </c>
      <c r="AA1164" s="14">
        <v>26896.99</v>
      </c>
      <c r="AB1164" s="14">
        <f t="shared" si="3"/>
        <v>26896.99</v>
      </c>
      <c r="AC1164" s="1" t="str">
        <f>VLOOKUP(A1164,[1]Detalle!$D$2:$CW$484,98,FALSE)</f>
        <v>CIMSA_BS AS</v>
      </c>
    </row>
    <row r="1165" spans="1:29" ht="14.25" customHeight="1" x14ac:dyDescent="0.3">
      <c r="A1165" s="12" t="s">
        <v>112</v>
      </c>
      <c r="B1165" s="1">
        <v>1620</v>
      </c>
      <c r="C1165" s="1" t="s">
        <v>328</v>
      </c>
      <c r="D1165" s="1" t="s">
        <v>328</v>
      </c>
      <c r="E1165" s="1">
        <v>0.75</v>
      </c>
      <c r="F1165" s="1">
        <f>VLOOKUP(D1165,Sheet1!$D$2:$F$1119,2,FALSE)</f>
        <v>0.75</v>
      </c>
      <c r="P1165" s="7">
        <v>46055</v>
      </c>
      <c r="R1165" s="7">
        <v>46055</v>
      </c>
      <c r="S1165" s="7">
        <v>46055</v>
      </c>
      <c r="T1165" s="7" t="str">
        <f t="shared" si="0"/>
        <v>febrero</v>
      </c>
      <c r="X1165" s="1" t="s">
        <v>333</v>
      </c>
      <c r="Y1165" s="1" t="s">
        <v>334</v>
      </c>
      <c r="Z1165" s="1">
        <v>1</v>
      </c>
      <c r="AA1165" s="14">
        <v>8513.2800000000007</v>
      </c>
      <c r="AB1165" s="14">
        <v>8513.2800000000007</v>
      </c>
      <c r="AC1165" s="1" t="str">
        <f>VLOOKUP(A1165,[1]Detalle!$D$2:$CW$484,98,FALSE)</f>
        <v>Sin Operación</v>
      </c>
    </row>
    <row r="1166" spans="1:29" ht="14.25" customHeight="1" x14ac:dyDescent="0.3">
      <c r="A1166" s="12" t="s">
        <v>112</v>
      </c>
      <c r="B1166" s="1">
        <v>1620</v>
      </c>
      <c r="C1166" s="1" t="s">
        <v>343</v>
      </c>
      <c r="D1166" s="1" t="s">
        <v>343</v>
      </c>
      <c r="E1166" s="1">
        <v>0.5</v>
      </c>
      <c r="F1166" s="1">
        <f>VLOOKUP(D1166,Sheet1!$D$2:$F$1119,2,FALSE)</f>
        <v>0.5</v>
      </c>
      <c r="P1166" s="7">
        <v>46055</v>
      </c>
      <c r="R1166" s="7">
        <v>46055</v>
      </c>
      <c r="S1166" s="7">
        <v>46055</v>
      </c>
      <c r="T1166" s="7" t="str">
        <f t="shared" si="0"/>
        <v>febrero</v>
      </c>
      <c r="X1166" s="1" t="s">
        <v>345</v>
      </c>
      <c r="Y1166" s="1" t="s">
        <v>346</v>
      </c>
      <c r="Z1166" s="1">
        <v>1</v>
      </c>
      <c r="AA1166" s="14">
        <v>10535.04</v>
      </c>
      <c r="AB1166" s="14">
        <v>10535.04</v>
      </c>
      <c r="AC1166" s="1" t="str">
        <f>VLOOKUP(A1166,[1]Detalle!$D$2:$CW$484,98,FALSE)</f>
        <v>Sin Operación</v>
      </c>
    </row>
    <row r="1167" spans="1:29" ht="14.25" customHeight="1" x14ac:dyDescent="0.3">
      <c r="A1167" s="12" t="s">
        <v>112</v>
      </c>
      <c r="B1167" s="1">
        <v>1620</v>
      </c>
      <c r="C1167" s="1" t="s">
        <v>415</v>
      </c>
      <c r="D1167" s="1" t="s">
        <v>415</v>
      </c>
      <c r="E1167" s="1">
        <v>0.25</v>
      </c>
      <c r="F1167" s="1">
        <f>VLOOKUP(D1167,Sheet1!$D$2:$F$1119,2,FALSE)</f>
        <v>0.25</v>
      </c>
      <c r="P1167" s="7">
        <v>46055</v>
      </c>
      <c r="R1167" s="7">
        <v>46055</v>
      </c>
      <c r="S1167" s="7">
        <v>46055</v>
      </c>
      <c r="T1167" s="7" t="str">
        <f t="shared" si="0"/>
        <v>febrero</v>
      </c>
      <c r="X1167" s="1" t="s">
        <v>419</v>
      </c>
      <c r="Y1167" s="1" t="s">
        <v>420</v>
      </c>
      <c r="Z1167" s="1">
        <v>1</v>
      </c>
      <c r="AA1167" s="14">
        <v>42474.239999999998</v>
      </c>
      <c r="AB1167" s="14">
        <v>42474.239999999998</v>
      </c>
      <c r="AC1167" s="1" t="str">
        <f>VLOOKUP(A1167,[1]Detalle!$D$2:$CW$484,98,FALSE)</f>
        <v>Sin Operación</v>
      </c>
    </row>
    <row r="1168" spans="1:29" ht="14.25" customHeight="1" x14ac:dyDescent="0.3">
      <c r="A1168" s="12" t="s">
        <v>113</v>
      </c>
      <c r="B1168" s="1">
        <v>1620</v>
      </c>
      <c r="C1168" s="1" t="s">
        <v>328</v>
      </c>
      <c r="D1168" s="1" t="s">
        <v>328</v>
      </c>
      <c r="E1168" s="1">
        <v>0.75</v>
      </c>
      <c r="F1168" s="1">
        <f>VLOOKUP(D1168,Sheet1!$D$2:$F$1119,2,FALSE)</f>
        <v>0.75</v>
      </c>
      <c r="P1168" s="7">
        <v>46055</v>
      </c>
      <c r="R1168" s="7">
        <v>46055</v>
      </c>
      <c r="S1168" s="7">
        <v>46055</v>
      </c>
      <c r="T1168" s="7" t="str">
        <f t="shared" si="0"/>
        <v>febrero</v>
      </c>
      <c r="X1168" s="1" t="s">
        <v>333</v>
      </c>
      <c r="Y1168" s="1" t="s">
        <v>334</v>
      </c>
      <c r="Z1168" s="1">
        <v>1</v>
      </c>
      <c r="AA1168" s="14">
        <v>8513.2800000000007</v>
      </c>
      <c r="AB1168" s="14">
        <v>8513.2800000000007</v>
      </c>
      <c r="AC1168" s="1" t="str">
        <f>VLOOKUP(A1168,[1]Detalle!$D$2:$CW$484,98,FALSE)</f>
        <v>Sin Operación</v>
      </c>
    </row>
    <row r="1169" spans="1:29" ht="14.25" customHeight="1" x14ac:dyDescent="0.3">
      <c r="A1169" s="12" t="s">
        <v>113</v>
      </c>
      <c r="B1169" s="1">
        <v>1620</v>
      </c>
      <c r="C1169" s="1" t="s">
        <v>343</v>
      </c>
      <c r="D1169" s="1" t="s">
        <v>343</v>
      </c>
      <c r="E1169" s="1">
        <v>0.5</v>
      </c>
      <c r="F1169" s="1">
        <f>VLOOKUP(D1169,Sheet1!$D$2:$F$1119,2,FALSE)</f>
        <v>0.5</v>
      </c>
      <c r="P1169" s="7">
        <v>46055</v>
      </c>
      <c r="R1169" s="7">
        <v>46055</v>
      </c>
      <c r="S1169" s="7">
        <v>46055</v>
      </c>
      <c r="T1169" s="7" t="str">
        <f t="shared" si="0"/>
        <v>febrero</v>
      </c>
      <c r="X1169" s="1" t="s">
        <v>345</v>
      </c>
      <c r="Y1169" s="1" t="s">
        <v>346</v>
      </c>
      <c r="Z1169" s="1">
        <v>1</v>
      </c>
      <c r="AA1169" s="14">
        <v>10535.04</v>
      </c>
      <c r="AB1169" s="14">
        <v>10535.04</v>
      </c>
      <c r="AC1169" s="1" t="str">
        <f>VLOOKUP(A1169,[1]Detalle!$D$2:$CW$484,98,FALSE)</f>
        <v>Sin Operación</v>
      </c>
    </row>
    <row r="1170" spans="1:29" ht="14.25" customHeight="1" x14ac:dyDescent="0.3">
      <c r="A1170" s="12" t="s">
        <v>113</v>
      </c>
      <c r="B1170" s="1">
        <v>1620</v>
      </c>
      <c r="C1170" s="1" t="s">
        <v>415</v>
      </c>
      <c r="D1170" s="1" t="s">
        <v>415</v>
      </c>
      <c r="E1170" s="1">
        <v>0.25</v>
      </c>
      <c r="F1170" s="1">
        <f>VLOOKUP(D1170,Sheet1!$D$2:$F$1119,2,FALSE)</f>
        <v>0.25</v>
      </c>
      <c r="P1170" s="7">
        <v>46055</v>
      </c>
      <c r="R1170" s="7">
        <v>46055</v>
      </c>
      <c r="S1170" s="7">
        <v>46055</v>
      </c>
      <c r="T1170" s="7" t="str">
        <f t="shared" si="0"/>
        <v>febrero</v>
      </c>
      <c r="X1170" s="1" t="s">
        <v>419</v>
      </c>
      <c r="Y1170" s="1" t="s">
        <v>420</v>
      </c>
      <c r="Z1170" s="1">
        <v>1</v>
      </c>
      <c r="AA1170" s="14">
        <v>42474.239999999998</v>
      </c>
      <c r="AB1170" s="14">
        <v>42474.239999999998</v>
      </c>
      <c r="AC1170" s="1" t="str">
        <f>VLOOKUP(A1170,[1]Detalle!$D$2:$CW$484,98,FALSE)</f>
        <v>Sin Operación</v>
      </c>
    </row>
    <row r="1171" spans="1:29" ht="14.25" customHeight="1" x14ac:dyDescent="0.3">
      <c r="A1171" s="15" t="s">
        <v>115</v>
      </c>
      <c r="B1171" s="1">
        <v>1620</v>
      </c>
      <c r="C1171" s="1" t="s">
        <v>328</v>
      </c>
      <c r="D1171" s="1" t="s">
        <v>328</v>
      </c>
      <c r="E1171" s="1">
        <v>0.75</v>
      </c>
      <c r="F1171" s="1">
        <f>VLOOKUP(D1171,Sheet1!$D$2:$F$1119,2,FALSE)</f>
        <v>0.75</v>
      </c>
      <c r="P1171" s="13">
        <v>45547</v>
      </c>
      <c r="R1171" s="7">
        <v>46277</v>
      </c>
      <c r="S1171" s="7">
        <v>46277</v>
      </c>
      <c r="T1171" s="7" t="str">
        <f t="shared" si="0"/>
        <v>septiembre</v>
      </c>
      <c r="X1171" s="1" t="s">
        <v>333</v>
      </c>
      <c r="Y1171" s="1" t="s">
        <v>334</v>
      </c>
      <c r="Z1171" s="1">
        <v>1</v>
      </c>
      <c r="AA1171" s="14">
        <v>8513.2800000000007</v>
      </c>
      <c r="AB1171" s="14">
        <v>8513.2800000000007</v>
      </c>
      <c r="AC1171" s="1" t="str">
        <f>VLOOKUP(A1171,[1]Detalle!$D$2:$CW$484,98,FALSE)</f>
        <v>Sin Operación</v>
      </c>
    </row>
    <row r="1172" spans="1:29" ht="14.25" customHeight="1" x14ac:dyDescent="0.3">
      <c r="A1172" s="12" t="s">
        <v>115</v>
      </c>
      <c r="B1172" s="1">
        <v>1620</v>
      </c>
      <c r="C1172" s="1" t="s">
        <v>343</v>
      </c>
      <c r="D1172" s="1" t="s">
        <v>343</v>
      </c>
      <c r="E1172" s="1">
        <v>0.5</v>
      </c>
      <c r="F1172" s="1">
        <f>VLOOKUP(D1172,Sheet1!$D$2:$F$1119,2,FALSE)</f>
        <v>0.5</v>
      </c>
      <c r="P1172" s="13">
        <v>45547</v>
      </c>
      <c r="R1172" s="7">
        <v>46277</v>
      </c>
      <c r="S1172" s="7">
        <v>46277</v>
      </c>
      <c r="T1172" s="7" t="str">
        <f t="shared" si="0"/>
        <v>septiembre</v>
      </c>
      <c r="X1172" s="1" t="s">
        <v>345</v>
      </c>
      <c r="Y1172" s="1" t="s">
        <v>346</v>
      </c>
      <c r="Z1172" s="1">
        <v>1</v>
      </c>
      <c r="AA1172" s="14">
        <v>10535.04</v>
      </c>
      <c r="AB1172" s="14">
        <v>10535.04</v>
      </c>
      <c r="AC1172" s="1" t="str">
        <f>VLOOKUP(A1172,[1]Detalle!$D$2:$CW$484,98,FALSE)</f>
        <v>Sin Operación</v>
      </c>
    </row>
    <row r="1173" spans="1:29" ht="14.25" customHeight="1" x14ac:dyDescent="0.3">
      <c r="A1173" s="12" t="s">
        <v>115</v>
      </c>
      <c r="B1173" s="1">
        <v>1620</v>
      </c>
      <c r="C1173" s="1" t="s">
        <v>415</v>
      </c>
      <c r="D1173" s="1" t="s">
        <v>415</v>
      </c>
      <c r="E1173" s="1">
        <v>0.25</v>
      </c>
      <c r="F1173" s="1">
        <f>VLOOKUP(D1173,Sheet1!$D$2:$F$1119,2,FALSE)</f>
        <v>0.25</v>
      </c>
      <c r="P1173" s="13">
        <v>45547</v>
      </c>
      <c r="R1173" s="7">
        <v>46277</v>
      </c>
      <c r="S1173" s="7">
        <v>46277</v>
      </c>
      <c r="T1173" s="7" t="str">
        <f t="shared" si="0"/>
        <v>septiembre</v>
      </c>
      <c r="X1173" s="1" t="s">
        <v>419</v>
      </c>
      <c r="Y1173" s="1" t="s">
        <v>420</v>
      </c>
      <c r="Z1173" s="1">
        <v>1</v>
      </c>
      <c r="AA1173" s="14">
        <v>42474.239999999998</v>
      </c>
      <c r="AB1173" s="14">
        <v>42474.239999999998</v>
      </c>
      <c r="AC1173" s="1" t="str">
        <f>VLOOKUP(A1173,[1]Detalle!$D$2:$CW$484,98,FALSE)</f>
        <v>Sin Operación</v>
      </c>
    </row>
    <row r="1174" spans="1:29" ht="14.25" customHeight="1" x14ac:dyDescent="0.3">
      <c r="A1174" s="12" t="s">
        <v>116</v>
      </c>
      <c r="B1174" s="1">
        <v>1620</v>
      </c>
      <c r="C1174" s="1" t="s">
        <v>328</v>
      </c>
      <c r="D1174" s="1" t="s">
        <v>328</v>
      </c>
      <c r="E1174" s="1">
        <v>0.75</v>
      </c>
      <c r="F1174" s="1">
        <f>VLOOKUP(D1174,Sheet1!$D$2:$F$1119,2,FALSE)</f>
        <v>0.75</v>
      </c>
      <c r="P1174" s="13">
        <v>45355</v>
      </c>
      <c r="R1174" s="7">
        <v>46085</v>
      </c>
      <c r="S1174" s="7">
        <v>46085</v>
      </c>
      <c r="T1174" s="7" t="str">
        <f t="shared" si="0"/>
        <v>marzo</v>
      </c>
      <c r="X1174" s="1" t="s">
        <v>333</v>
      </c>
      <c r="Y1174" s="1" t="s">
        <v>334</v>
      </c>
      <c r="Z1174" s="1">
        <v>1</v>
      </c>
      <c r="AA1174" s="14">
        <v>8513.2800000000007</v>
      </c>
      <c r="AB1174" s="14">
        <v>8513.2800000000007</v>
      </c>
      <c r="AC1174" s="1" t="str">
        <f>VLOOKUP(A1174,[1]Detalle!$D$2:$CW$484,98,FALSE)</f>
        <v>Sin Operación</v>
      </c>
    </row>
    <row r="1175" spans="1:29" ht="14.25" customHeight="1" x14ac:dyDescent="0.3">
      <c r="A1175" s="12" t="s">
        <v>116</v>
      </c>
      <c r="B1175" s="1">
        <v>1620</v>
      </c>
      <c r="C1175" s="1" t="s">
        <v>343</v>
      </c>
      <c r="D1175" s="1" t="s">
        <v>343</v>
      </c>
      <c r="E1175" s="1">
        <v>0.5</v>
      </c>
      <c r="F1175" s="1">
        <f>VLOOKUP(D1175,Sheet1!$D$2:$F$1119,2,FALSE)</f>
        <v>0.5</v>
      </c>
      <c r="P1175" s="13">
        <v>45355</v>
      </c>
      <c r="R1175" s="7">
        <v>46085</v>
      </c>
      <c r="S1175" s="7">
        <v>46085</v>
      </c>
      <c r="T1175" s="7" t="str">
        <f t="shared" si="0"/>
        <v>marzo</v>
      </c>
      <c r="X1175" s="1" t="s">
        <v>345</v>
      </c>
      <c r="Y1175" s="1" t="s">
        <v>346</v>
      </c>
      <c r="Z1175" s="1">
        <v>1</v>
      </c>
      <c r="AA1175" s="14">
        <v>10535.04</v>
      </c>
      <c r="AB1175" s="14">
        <v>10535.04</v>
      </c>
      <c r="AC1175" s="1" t="str">
        <f>VLOOKUP(A1175,[1]Detalle!$D$2:$CW$484,98,FALSE)</f>
        <v>Sin Operación</v>
      </c>
    </row>
    <row r="1176" spans="1:29" ht="14.25" customHeight="1" x14ac:dyDescent="0.3">
      <c r="A1176" s="12" t="s">
        <v>116</v>
      </c>
      <c r="B1176" s="1">
        <v>1620</v>
      </c>
      <c r="C1176" s="1" t="s">
        <v>415</v>
      </c>
      <c r="D1176" s="1" t="s">
        <v>415</v>
      </c>
      <c r="E1176" s="1">
        <v>0.25</v>
      </c>
      <c r="F1176" s="1">
        <f>VLOOKUP(D1176,Sheet1!$D$2:$F$1119,2,FALSE)</f>
        <v>0.25</v>
      </c>
      <c r="P1176" s="13">
        <v>45355</v>
      </c>
      <c r="R1176" s="7">
        <v>46085</v>
      </c>
      <c r="S1176" s="7">
        <v>46085</v>
      </c>
      <c r="T1176" s="7" t="str">
        <f t="shared" si="0"/>
        <v>marzo</v>
      </c>
      <c r="X1176" s="1" t="s">
        <v>419</v>
      </c>
      <c r="Y1176" s="1" t="s">
        <v>420</v>
      </c>
      <c r="Z1176" s="1">
        <v>1</v>
      </c>
      <c r="AA1176" s="14">
        <v>42474.239999999998</v>
      </c>
      <c r="AB1176" s="14">
        <v>42474.239999999998</v>
      </c>
      <c r="AC1176" s="1" t="str">
        <f>VLOOKUP(A1176,[1]Detalle!$D$2:$CW$484,98,FALSE)</f>
        <v>Sin Operación</v>
      </c>
    </row>
    <row r="1177" spans="1:29" ht="14.25" customHeight="1" x14ac:dyDescent="0.3">
      <c r="A1177" s="12" t="s">
        <v>117</v>
      </c>
      <c r="B1177" s="1">
        <v>1620</v>
      </c>
      <c r="C1177" s="1" t="s">
        <v>328</v>
      </c>
      <c r="D1177" s="1" t="s">
        <v>328</v>
      </c>
      <c r="E1177" s="1">
        <v>0.75</v>
      </c>
      <c r="F1177" s="1">
        <f>VLOOKUP(D1177,Sheet1!$D$2:$F$1119,2,FALSE)</f>
        <v>0.75</v>
      </c>
      <c r="P1177" s="13">
        <v>45308</v>
      </c>
      <c r="R1177" s="7">
        <v>46038</v>
      </c>
      <c r="S1177" s="7">
        <v>46038</v>
      </c>
      <c r="T1177" s="7" t="str">
        <f t="shared" si="0"/>
        <v>enero</v>
      </c>
      <c r="X1177" s="1" t="s">
        <v>333</v>
      </c>
      <c r="Y1177" s="1" t="s">
        <v>334</v>
      </c>
      <c r="Z1177" s="1">
        <v>1</v>
      </c>
      <c r="AA1177" s="14">
        <v>8513.2800000000007</v>
      </c>
      <c r="AB1177" s="14">
        <v>8513.2800000000007</v>
      </c>
      <c r="AC1177" s="1" t="str">
        <f>VLOOKUP(A1177,[1]Detalle!$D$2:$CW$484,98,FALSE)</f>
        <v>Sin Operación</v>
      </c>
    </row>
    <row r="1178" spans="1:29" ht="14.25" customHeight="1" x14ac:dyDescent="0.3">
      <c r="A1178" s="12" t="s">
        <v>117</v>
      </c>
      <c r="B1178" s="1">
        <v>1620</v>
      </c>
      <c r="C1178" s="1" t="s">
        <v>343</v>
      </c>
      <c r="D1178" s="1" t="s">
        <v>343</v>
      </c>
      <c r="E1178" s="1">
        <v>0.5</v>
      </c>
      <c r="F1178" s="1">
        <f>VLOOKUP(D1178,Sheet1!$D$2:$F$1119,2,FALSE)</f>
        <v>0.5</v>
      </c>
      <c r="P1178" s="13">
        <v>45308</v>
      </c>
      <c r="R1178" s="7">
        <v>46038</v>
      </c>
      <c r="S1178" s="7">
        <v>46038</v>
      </c>
      <c r="T1178" s="7" t="str">
        <f t="shared" si="0"/>
        <v>enero</v>
      </c>
      <c r="X1178" s="1" t="s">
        <v>345</v>
      </c>
      <c r="Y1178" s="1" t="s">
        <v>346</v>
      </c>
      <c r="Z1178" s="1">
        <v>1</v>
      </c>
      <c r="AA1178" s="14">
        <v>10535.04</v>
      </c>
      <c r="AB1178" s="14">
        <v>10535.04</v>
      </c>
      <c r="AC1178" s="1" t="str">
        <f>VLOOKUP(A1178,[1]Detalle!$D$2:$CW$484,98,FALSE)</f>
        <v>Sin Operación</v>
      </c>
    </row>
    <row r="1179" spans="1:29" ht="14.25" customHeight="1" x14ac:dyDescent="0.3">
      <c r="A1179" s="12" t="s">
        <v>117</v>
      </c>
      <c r="B1179" s="1">
        <v>1620</v>
      </c>
      <c r="C1179" s="1" t="s">
        <v>415</v>
      </c>
      <c r="D1179" s="1" t="s">
        <v>415</v>
      </c>
      <c r="E1179" s="1">
        <v>0.25</v>
      </c>
      <c r="F1179" s="1">
        <f>VLOOKUP(D1179,Sheet1!$D$2:$F$1119,2,FALSE)</f>
        <v>0.25</v>
      </c>
      <c r="P1179" s="13">
        <v>45308</v>
      </c>
      <c r="R1179" s="7">
        <v>46038</v>
      </c>
      <c r="S1179" s="7">
        <v>46038</v>
      </c>
      <c r="T1179" s="7" t="str">
        <f t="shared" si="0"/>
        <v>enero</v>
      </c>
      <c r="X1179" s="1" t="s">
        <v>419</v>
      </c>
      <c r="Y1179" s="1" t="s">
        <v>420</v>
      </c>
      <c r="Z1179" s="1">
        <v>1</v>
      </c>
      <c r="AA1179" s="14">
        <v>42474.239999999998</v>
      </c>
      <c r="AB1179" s="14">
        <v>42474.239999999998</v>
      </c>
      <c r="AC1179" s="1" t="str">
        <f>VLOOKUP(A1179,[1]Detalle!$D$2:$CW$484,98,FALSE)</f>
        <v>Sin Operación</v>
      </c>
    </row>
    <row r="1180" spans="1:29" ht="14.25" customHeight="1" x14ac:dyDescent="0.3">
      <c r="A1180" s="12" t="s">
        <v>121</v>
      </c>
      <c r="B1180" s="1">
        <v>1620</v>
      </c>
      <c r="C1180" s="1" t="s">
        <v>328</v>
      </c>
      <c r="D1180" s="1" t="s">
        <v>328</v>
      </c>
      <c r="E1180" s="1">
        <v>0.75</v>
      </c>
      <c r="F1180" s="1">
        <f>VLOOKUP(D1180,Sheet1!$D$2:$F$1119,2,FALSE)</f>
        <v>0.75</v>
      </c>
      <c r="P1180" s="7">
        <v>46055</v>
      </c>
      <c r="R1180" s="7">
        <v>46055</v>
      </c>
      <c r="S1180" s="7">
        <v>46055</v>
      </c>
      <c r="T1180" s="7" t="str">
        <f t="shared" si="0"/>
        <v>febrero</v>
      </c>
      <c r="X1180" s="1" t="s">
        <v>333</v>
      </c>
      <c r="Y1180" s="1" t="s">
        <v>334</v>
      </c>
      <c r="Z1180" s="1">
        <v>1</v>
      </c>
      <c r="AA1180" s="14">
        <v>8513.2800000000007</v>
      </c>
      <c r="AB1180" s="14">
        <v>8513.2800000000007</v>
      </c>
      <c r="AC1180" s="1" t="str">
        <f>VLOOKUP(A1180,[1]Detalle!$D$2:$CW$484,98,FALSE)</f>
        <v>Sin Operación</v>
      </c>
    </row>
    <row r="1181" spans="1:29" ht="14.25" customHeight="1" x14ac:dyDescent="0.3">
      <c r="A1181" s="12" t="s">
        <v>121</v>
      </c>
      <c r="B1181" s="1">
        <v>1620</v>
      </c>
      <c r="C1181" s="1" t="s">
        <v>343</v>
      </c>
      <c r="D1181" s="1" t="s">
        <v>343</v>
      </c>
      <c r="E1181" s="1">
        <v>0.5</v>
      </c>
      <c r="F1181" s="1">
        <f>VLOOKUP(D1181,Sheet1!$D$2:$F$1119,2,FALSE)</f>
        <v>0.5</v>
      </c>
      <c r="P1181" s="7">
        <v>46055</v>
      </c>
      <c r="R1181" s="7">
        <v>46055</v>
      </c>
      <c r="S1181" s="7">
        <v>46055</v>
      </c>
      <c r="T1181" s="7" t="str">
        <f t="shared" si="0"/>
        <v>febrero</v>
      </c>
      <c r="X1181" s="1" t="s">
        <v>345</v>
      </c>
      <c r="Y1181" s="1" t="s">
        <v>346</v>
      </c>
      <c r="Z1181" s="1">
        <v>1</v>
      </c>
      <c r="AA1181" s="14">
        <v>10535.04</v>
      </c>
      <c r="AB1181" s="14">
        <v>10535.04</v>
      </c>
      <c r="AC1181" s="1" t="str">
        <f>VLOOKUP(A1181,[1]Detalle!$D$2:$CW$484,98,FALSE)</f>
        <v>Sin Operación</v>
      </c>
    </row>
    <row r="1182" spans="1:29" ht="14.25" customHeight="1" x14ac:dyDescent="0.3">
      <c r="A1182" s="12" t="s">
        <v>121</v>
      </c>
      <c r="B1182" s="1">
        <v>1620</v>
      </c>
      <c r="C1182" s="1" t="s">
        <v>415</v>
      </c>
      <c r="D1182" s="1" t="s">
        <v>415</v>
      </c>
      <c r="E1182" s="1">
        <v>0.25</v>
      </c>
      <c r="F1182" s="1">
        <f>VLOOKUP(D1182,Sheet1!$D$2:$F$1119,2,FALSE)</f>
        <v>0.25</v>
      </c>
      <c r="P1182" s="7">
        <v>46055</v>
      </c>
      <c r="R1182" s="7">
        <v>46055</v>
      </c>
      <c r="S1182" s="7">
        <v>46055</v>
      </c>
      <c r="T1182" s="7" t="str">
        <f t="shared" si="0"/>
        <v>febrero</v>
      </c>
      <c r="X1182" s="1" t="s">
        <v>419</v>
      </c>
      <c r="Y1182" s="1" t="s">
        <v>420</v>
      </c>
      <c r="Z1182" s="1">
        <v>1</v>
      </c>
      <c r="AA1182" s="14">
        <v>42474.239999999998</v>
      </c>
      <c r="AB1182" s="14">
        <v>42474.239999999998</v>
      </c>
      <c r="AC1182" s="1" t="str">
        <f>VLOOKUP(A1182,[1]Detalle!$D$2:$CW$484,98,FALSE)</f>
        <v>Sin Operación</v>
      </c>
    </row>
    <row r="1183" spans="1:29" ht="14.25" customHeight="1" x14ac:dyDescent="0.3">
      <c r="A1183" s="12" t="s">
        <v>122</v>
      </c>
      <c r="B1183" s="1">
        <v>1620</v>
      </c>
      <c r="C1183" s="1" t="s">
        <v>328</v>
      </c>
      <c r="D1183" s="1" t="s">
        <v>328</v>
      </c>
      <c r="E1183" s="1">
        <v>0.75</v>
      </c>
      <c r="F1183" s="1">
        <f>VLOOKUP(D1183,Sheet1!$D$2:$F$1119,2,FALSE)</f>
        <v>0.75</v>
      </c>
      <c r="P1183" s="7">
        <v>46055</v>
      </c>
      <c r="R1183" s="7">
        <v>46055</v>
      </c>
      <c r="S1183" s="7">
        <v>46055</v>
      </c>
      <c r="T1183" s="7" t="str">
        <f t="shared" si="0"/>
        <v>febrero</v>
      </c>
      <c r="X1183" s="1" t="s">
        <v>333</v>
      </c>
      <c r="Y1183" s="1" t="s">
        <v>334</v>
      </c>
      <c r="Z1183" s="1">
        <v>1</v>
      </c>
      <c r="AA1183" s="14">
        <v>8513.2800000000007</v>
      </c>
      <c r="AB1183" s="14">
        <v>8513.2800000000007</v>
      </c>
      <c r="AC1183" s="1" t="str">
        <f>VLOOKUP(A1183,[1]Detalle!$D$2:$CW$484,98,FALSE)</f>
        <v>Sin Operación</v>
      </c>
    </row>
    <row r="1184" spans="1:29" ht="14.25" customHeight="1" x14ac:dyDescent="0.3">
      <c r="A1184" s="12" t="s">
        <v>122</v>
      </c>
      <c r="B1184" s="1">
        <v>1620</v>
      </c>
      <c r="C1184" s="1" t="s">
        <v>343</v>
      </c>
      <c r="D1184" s="1" t="s">
        <v>343</v>
      </c>
      <c r="E1184" s="1">
        <v>0.5</v>
      </c>
      <c r="F1184" s="1">
        <f>VLOOKUP(D1184,Sheet1!$D$2:$F$1119,2,FALSE)</f>
        <v>0.5</v>
      </c>
      <c r="P1184" s="7">
        <v>46055</v>
      </c>
      <c r="R1184" s="7">
        <v>46055</v>
      </c>
      <c r="S1184" s="7">
        <v>46055</v>
      </c>
      <c r="T1184" s="7" t="str">
        <f t="shared" si="0"/>
        <v>febrero</v>
      </c>
      <c r="X1184" s="1" t="s">
        <v>345</v>
      </c>
      <c r="Y1184" s="1" t="s">
        <v>346</v>
      </c>
      <c r="Z1184" s="1">
        <v>1</v>
      </c>
      <c r="AA1184" s="14">
        <v>10535.04</v>
      </c>
      <c r="AB1184" s="14">
        <v>10535.04</v>
      </c>
      <c r="AC1184" s="1" t="str">
        <f>VLOOKUP(A1184,[1]Detalle!$D$2:$CW$484,98,FALSE)</f>
        <v>Sin Operación</v>
      </c>
    </row>
    <row r="1185" spans="1:29" ht="14.25" customHeight="1" x14ac:dyDescent="0.3">
      <c r="A1185" s="12" t="s">
        <v>122</v>
      </c>
      <c r="B1185" s="1">
        <v>1620</v>
      </c>
      <c r="C1185" s="1" t="s">
        <v>415</v>
      </c>
      <c r="D1185" s="1" t="s">
        <v>415</v>
      </c>
      <c r="E1185" s="1">
        <v>0.25</v>
      </c>
      <c r="F1185" s="1">
        <f>VLOOKUP(D1185,Sheet1!$D$2:$F$1119,2,FALSE)</f>
        <v>0.25</v>
      </c>
      <c r="P1185" s="7">
        <v>46055</v>
      </c>
      <c r="R1185" s="7">
        <v>46055</v>
      </c>
      <c r="S1185" s="7">
        <v>46055</v>
      </c>
      <c r="T1185" s="7" t="str">
        <f t="shared" si="0"/>
        <v>febrero</v>
      </c>
      <c r="X1185" s="1" t="s">
        <v>419</v>
      </c>
      <c r="Y1185" s="1" t="s">
        <v>420</v>
      </c>
      <c r="Z1185" s="1">
        <v>1</v>
      </c>
      <c r="AA1185" s="14">
        <v>42474.239999999998</v>
      </c>
      <c r="AB1185" s="14">
        <v>42474.239999999998</v>
      </c>
      <c r="AC1185" s="1" t="str">
        <f>VLOOKUP(A1185,[1]Detalle!$D$2:$CW$484,98,FALSE)</f>
        <v>Sin Operación</v>
      </c>
    </row>
    <row r="1186" spans="1:29" ht="14.25" customHeight="1" x14ac:dyDescent="0.3">
      <c r="A1186" s="12" t="s">
        <v>124</v>
      </c>
      <c r="B1186" s="1">
        <v>710</v>
      </c>
      <c r="C1186" s="1" t="s">
        <v>328</v>
      </c>
      <c r="D1186" s="1" t="s">
        <v>328</v>
      </c>
      <c r="E1186" s="1">
        <v>0.75</v>
      </c>
      <c r="F1186" s="1">
        <f>VLOOKUP(D1186,Sheet1!$D$2:$F$1119,2,FALSE)</f>
        <v>0.75</v>
      </c>
      <c r="P1186" s="7">
        <v>46047</v>
      </c>
      <c r="R1186" s="7">
        <v>46047</v>
      </c>
      <c r="S1186" s="7">
        <v>46047</v>
      </c>
      <c r="T1186" s="7" t="str">
        <f t="shared" si="0"/>
        <v>enero</v>
      </c>
      <c r="X1186" s="1" t="s">
        <v>333</v>
      </c>
      <c r="Y1186" s="1" t="s">
        <v>334</v>
      </c>
      <c r="Z1186" s="1">
        <v>1</v>
      </c>
      <c r="AA1186" s="14">
        <v>8513.2800000000007</v>
      </c>
      <c r="AB1186" s="14">
        <v>8513.2800000000007</v>
      </c>
      <c r="AC1186" s="1" t="str">
        <f>VLOOKUP(A1186,[1]Detalle!$D$2:$CW$484,98,FALSE)</f>
        <v>SUC_SRA - Sucursal San Rafael</v>
      </c>
    </row>
    <row r="1187" spans="1:29" ht="14.25" customHeight="1" x14ac:dyDescent="0.3">
      <c r="A1187" s="12" t="s">
        <v>124</v>
      </c>
      <c r="B1187" s="1">
        <v>710</v>
      </c>
      <c r="C1187" s="1" t="s">
        <v>343</v>
      </c>
      <c r="D1187" s="1" t="s">
        <v>343</v>
      </c>
      <c r="E1187" s="1">
        <v>0.5</v>
      </c>
      <c r="F1187" s="1">
        <f>VLOOKUP(D1187,Sheet1!$D$2:$F$1119,2,FALSE)</f>
        <v>0.5</v>
      </c>
      <c r="P1187" s="7">
        <v>46047</v>
      </c>
      <c r="R1187" s="7">
        <v>46047</v>
      </c>
      <c r="S1187" s="7">
        <v>46047</v>
      </c>
      <c r="T1187" s="7" t="str">
        <f t="shared" si="0"/>
        <v>enero</v>
      </c>
      <c r="X1187" s="1" t="s">
        <v>345</v>
      </c>
      <c r="Y1187" s="1" t="s">
        <v>346</v>
      </c>
      <c r="Z1187" s="1">
        <v>1</v>
      </c>
      <c r="AA1187" s="14">
        <v>10535.04</v>
      </c>
      <c r="AB1187" s="14">
        <v>10535.04</v>
      </c>
      <c r="AC1187" s="1" t="str">
        <f>VLOOKUP(A1187,[1]Detalle!$D$2:$CW$484,98,FALSE)</f>
        <v>SUC_SRA - Sucursal San Rafael</v>
      </c>
    </row>
    <row r="1188" spans="1:29" ht="14.25" customHeight="1" x14ac:dyDescent="0.3">
      <c r="A1188" s="12" t="s">
        <v>124</v>
      </c>
      <c r="B1188" s="1">
        <v>710</v>
      </c>
      <c r="C1188" s="1" t="s">
        <v>415</v>
      </c>
      <c r="D1188" s="1" t="s">
        <v>415</v>
      </c>
      <c r="E1188" s="1">
        <v>0.25</v>
      </c>
      <c r="F1188" s="1">
        <f>VLOOKUP(D1188,Sheet1!$D$2:$F$1119,2,FALSE)</f>
        <v>0.25</v>
      </c>
      <c r="P1188" s="7">
        <v>46047</v>
      </c>
      <c r="R1188" s="7">
        <v>46047</v>
      </c>
      <c r="S1188" s="7">
        <v>46047</v>
      </c>
      <c r="T1188" s="7" t="str">
        <f t="shared" si="0"/>
        <v>enero</v>
      </c>
      <c r="X1188" s="1" t="s">
        <v>416</v>
      </c>
      <c r="Y1188" s="1" t="s">
        <v>417</v>
      </c>
      <c r="Z1188" s="1">
        <v>1</v>
      </c>
      <c r="AA1188" s="14">
        <v>37165.919999999998</v>
      </c>
      <c r="AB1188" s="14">
        <v>37165.919999999998</v>
      </c>
      <c r="AC1188" s="1" t="str">
        <f>VLOOKUP(A1188,[1]Detalle!$D$2:$CW$484,98,FALSE)</f>
        <v>SUC_SRA - Sucursal San Rafael</v>
      </c>
    </row>
    <row r="1189" spans="1:29" ht="14.25" customHeight="1" x14ac:dyDescent="0.3">
      <c r="A1189" s="12" t="s">
        <v>125</v>
      </c>
      <c r="B1189" s="1">
        <v>1620</v>
      </c>
      <c r="C1189" s="1" t="s">
        <v>328</v>
      </c>
      <c r="D1189" s="1" t="s">
        <v>328</v>
      </c>
      <c r="E1189" s="1">
        <v>0.75</v>
      </c>
      <c r="F1189" s="1">
        <f>VLOOKUP(D1189,Sheet1!$D$2:$F$1119,2,FALSE)</f>
        <v>0.75</v>
      </c>
      <c r="P1189" s="13">
        <v>45440</v>
      </c>
      <c r="R1189" s="7">
        <v>46170</v>
      </c>
      <c r="S1189" s="7">
        <v>46170</v>
      </c>
      <c r="T1189" s="7" t="str">
        <f t="shared" si="0"/>
        <v>mayo</v>
      </c>
      <c r="X1189" s="1" t="s">
        <v>333</v>
      </c>
      <c r="Y1189" s="1" t="s">
        <v>334</v>
      </c>
      <c r="Z1189" s="1">
        <v>1</v>
      </c>
      <c r="AA1189" s="14">
        <v>8513.2800000000007</v>
      </c>
      <c r="AB1189" s="14">
        <v>8513.2800000000007</v>
      </c>
      <c r="AC1189" s="1" t="str">
        <f>VLOOKUP(A1189,[1]Detalle!$D$2:$CW$484,98,FALSE)</f>
        <v>Sin Operación</v>
      </c>
    </row>
    <row r="1190" spans="1:29" ht="14.25" customHeight="1" x14ac:dyDescent="0.3">
      <c r="A1190" s="15" t="s">
        <v>125</v>
      </c>
      <c r="B1190" s="1">
        <v>1620</v>
      </c>
      <c r="C1190" s="1" t="s">
        <v>343</v>
      </c>
      <c r="D1190" s="1" t="s">
        <v>343</v>
      </c>
      <c r="E1190" s="1">
        <v>0.5</v>
      </c>
      <c r="F1190" s="1">
        <f>VLOOKUP(D1190,Sheet1!$D$2:$F$1119,2,FALSE)</f>
        <v>0.5</v>
      </c>
      <c r="P1190" s="13">
        <v>45440</v>
      </c>
      <c r="R1190" s="7">
        <v>46170</v>
      </c>
      <c r="S1190" s="7">
        <v>46170</v>
      </c>
      <c r="T1190" s="7" t="str">
        <f t="shared" si="0"/>
        <v>mayo</v>
      </c>
      <c r="X1190" s="1" t="s">
        <v>345</v>
      </c>
      <c r="Y1190" s="1" t="s">
        <v>346</v>
      </c>
      <c r="Z1190" s="1">
        <v>1</v>
      </c>
      <c r="AA1190" s="14">
        <v>10535.04</v>
      </c>
      <c r="AB1190" s="14">
        <v>10535.04</v>
      </c>
      <c r="AC1190" s="1" t="str">
        <f>VLOOKUP(A1190,[1]Detalle!$D$2:$CW$484,98,FALSE)</f>
        <v>Sin Operación</v>
      </c>
    </row>
    <row r="1191" spans="1:29" ht="14.25" customHeight="1" x14ac:dyDescent="0.3">
      <c r="A1191" s="15" t="s">
        <v>125</v>
      </c>
      <c r="B1191" s="1">
        <v>1620</v>
      </c>
      <c r="C1191" s="1" t="s">
        <v>415</v>
      </c>
      <c r="D1191" s="1" t="s">
        <v>415</v>
      </c>
      <c r="E1191" s="1">
        <v>0.25</v>
      </c>
      <c r="F1191" s="1">
        <f>VLOOKUP(D1191,Sheet1!$D$2:$F$1119,2,FALSE)</f>
        <v>0.25</v>
      </c>
      <c r="P1191" s="13">
        <v>45440</v>
      </c>
      <c r="R1191" s="7">
        <v>46170</v>
      </c>
      <c r="S1191" s="7">
        <v>46170</v>
      </c>
      <c r="T1191" s="7" t="str">
        <f t="shared" si="0"/>
        <v>mayo</v>
      </c>
      <c r="X1191" s="1" t="s">
        <v>419</v>
      </c>
      <c r="Y1191" s="1" t="s">
        <v>420</v>
      </c>
      <c r="Z1191" s="1">
        <v>1</v>
      </c>
      <c r="AA1191" s="14">
        <v>42474.239999999998</v>
      </c>
      <c r="AB1191" s="14">
        <v>42474.239999999998</v>
      </c>
      <c r="AC1191" s="1" t="str">
        <f>VLOOKUP(A1191,[1]Detalle!$D$2:$CW$484,98,FALSE)</f>
        <v>Sin Operación</v>
      </c>
    </row>
    <row r="1192" spans="1:29" ht="14.25" customHeight="1" x14ac:dyDescent="0.3">
      <c r="A1192" s="15" t="s">
        <v>126</v>
      </c>
      <c r="B1192" s="1">
        <v>1620</v>
      </c>
      <c r="C1192" s="1" t="s">
        <v>328</v>
      </c>
      <c r="D1192" s="1" t="s">
        <v>328</v>
      </c>
      <c r="E1192" s="1">
        <v>0.75</v>
      </c>
      <c r="F1192" s="1">
        <f>VLOOKUP(D1192,Sheet1!$D$2:$F$1119,2,FALSE)</f>
        <v>0.75</v>
      </c>
      <c r="P1192" s="13">
        <v>45490</v>
      </c>
      <c r="R1192" s="7">
        <v>46220</v>
      </c>
      <c r="S1192" s="7">
        <v>46220</v>
      </c>
      <c r="T1192" s="7" t="str">
        <f t="shared" si="0"/>
        <v>julio</v>
      </c>
      <c r="X1192" s="1" t="s">
        <v>333</v>
      </c>
      <c r="Y1192" s="1" t="s">
        <v>334</v>
      </c>
      <c r="Z1192" s="1">
        <v>1</v>
      </c>
      <c r="AA1192" s="14">
        <v>8513.2800000000007</v>
      </c>
      <c r="AB1192" s="14">
        <v>8513.2800000000007</v>
      </c>
      <c r="AC1192" s="1" t="str">
        <f>VLOOKUP(A1192,[1]Detalle!$D$2:$CW$484,98,FALSE)</f>
        <v>Sin Operación</v>
      </c>
    </row>
    <row r="1193" spans="1:29" ht="14.25" customHeight="1" x14ac:dyDescent="0.3">
      <c r="A1193" s="15" t="s">
        <v>126</v>
      </c>
      <c r="B1193" s="1">
        <v>1620</v>
      </c>
      <c r="C1193" s="1" t="s">
        <v>343</v>
      </c>
      <c r="D1193" s="1" t="s">
        <v>343</v>
      </c>
      <c r="E1193" s="1">
        <v>0.5</v>
      </c>
      <c r="F1193" s="1">
        <f>VLOOKUP(D1193,Sheet1!$D$2:$F$1119,2,FALSE)</f>
        <v>0.5</v>
      </c>
      <c r="P1193" s="13">
        <v>45490</v>
      </c>
      <c r="R1193" s="7">
        <v>46220</v>
      </c>
      <c r="S1193" s="7">
        <v>46220</v>
      </c>
      <c r="T1193" s="7" t="str">
        <f t="shared" si="0"/>
        <v>julio</v>
      </c>
      <c r="X1193" s="1" t="s">
        <v>345</v>
      </c>
      <c r="Y1193" s="1" t="s">
        <v>346</v>
      </c>
      <c r="Z1193" s="1">
        <v>1</v>
      </c>
      <c r="AA1193" s="14">
        <v>10535.04</v>
      </c>
      <c r="AB1193" s="14">
        <v>10535.04</v>
      </c>
      <c r="AC1193" s="1" t="str">
        <f>VLOOKUP(A1193,[1]Detalle!$D$2:$CW$484,98,FALSE)</f>
        <v>Sin Operación</v>
      </c>
    </row>
    <row r="1194" spans="1:29" ht="14.25" customHeight="1" x14ac:dyDescent="0.3">
      <c r="A1194" s="22" t="s">
        <v>126</v>
      </c>
      <c r="B1194" s="1">
        <v>1620</v>
      </c>
      <c r="C1194" s="1" t="s">
        <v>415</v>
      </c>
      <c r="D1194" s="1" t="s">
        <v>415</v>
      </c>
      <c r="E1194" s="1">
        <v>0.25</v>
      </c>
      <c r="F1194" s="1">
        <f>VLOOKUP(D1194,Sheet1!$D$2:$F$1119,2,FALSE)</f>
        <v>0.25</v>
      </c>
      <c r="P1194" s="13">
        <v>45490</v>
      </c>
      <c r="R1194" s="7">
        <v>46220</v>
      </c>
      <c r="S1194" s="7">
        <v>46220</v>
      </c>
      <c r="T1194" s="7" t="str">
        <f t="shared" si="0"/>
        <v>julio</v>
      </c>
      <c r="X1194" s="1" t="s">
        <v>419</v>
      </c>
      <c r="Y1194" s="1" t="s">
        <v>420</v>
      </c>
      <c r="Z1194" s="1">
        <v>1</v>
      </c>
      <c r="AA1194" s="14">
        <v>42474.239999999998</v>
      </c>
      <c r="AB1194" s="14">
        <v>42474.239999999998</v>
      </c>
      <c r="AC1194" s="1" t="str">
        <f>VLOOKUP(A1194,[1]Detalle!$D$2:$CW$484,98,FALSE)</f>
        <v>Sin Operación</v>
      </c>
    </row>
    <row r="1195" spans="1:29" ht="14.25" customHeight="1" x14ac:dyDescent="0.3">
      <c r="A1195" s="23" t="s">
        <v>131</v>
      </c>
      <c r="B1195" s="1">
        <v>1620</v>
      </c>
      <c r="C1195" s="1" t="s">
        <v>328</v>
      </c>
      <c r="D1195" s="1" t="s">
        <v>328</v>
      </c>
      <c r="E1195" s="1">
        <v>0.75</v>
      </c>
      <c r="F1195" s="1">
        <f>VLOOKUP(D1195,Sheet1!$D$2:$F$1119,2,FALSE)</f>
        <v>0.75</v>
      </c>
      <c r="P1195" s="13">
        <v>45544</v>
      </c>
      <c r="R1195" s="7">
        <v>46274</v>
      </c>
      <c r="S1195" s="7">
        <v>46274</v>
      </c>
      <c r="T1195" s="7" t="str">
        <f t="shared" si="0"/>
        <v>septiembre</v>
      </c>
      <c r="X1195" s="1" t="s">
        <v>333</v>
      </c>
      <c r="Y1195" s="1" t="s">
        <v>334</v>
      </c>
      <c r="Z1195" s="1">
        <v>1</v>
      </c>
      <c r="AA1195" s="14">
        <v>8513.2800000000007</v>
      </c>
      <c r="AB1195" s="14">
        <v>8513.2800000000007</v>
      </c>
      <c r="AC1195" s="1" t="str">
        <f>VLOOKUP(A1195,[1]Detalle!$D$2:$CW$484,98,FALSE)</f>
        <v>CMQ_TTE - QUILMES TTE</v>
      </c>
    </row>
    <row r="1196" spans="1:29" ht="14.25" customHeight="1" x14ac:dyDescent="0.3">
      <c r="A1196" s="21" t="s">
        <v>131</v>
      </c>
      <c r="B1196" s="1">
        <v>1620</v>
      </c>
      <c r="C1196" s="1" t="s">
        <v>343</v>
      </c>
      <c r="D1196" s="1" t="s">
        <v>343</v>
      </c>
      <c r="E1196" s="1">
        <v>0.5</v>
      </c>
      <c r="F1196" s="1">
        <f>VLOOKUP(D1196,Sheet1!$D$2:$F$1119,2,FALSE)</f>
        <v>0.5</v>
      </c>
      <c r="P1196" s="13">
        <v>45544</v>
      </c>
      <c r="R1196" s="7">
        <v>46274</v>
      </c>
      <c r="S1196" s="7">
        <v>46274</v>
      </c>
      <c r="T1196" s="7" t="str">
        <f t="shared" si="0"/>
        <v>septiembre</v>
      </c>
      <c r="X1196" s="1" t="s">
        <v>345</v>
      </c>
      <c r="Y1196" s="1" t="s">
        <v>346</v>
      </c>
      <c r="Z1196" s="1">
        <v>1</v>
      </c>
      <c r="AA1196" s="14">
        <v>10535.04</v>
      </c>
      <c r="AB1196" s="14">
        <v>10535.04</v>
      </c>
      <c r="AC1196" s="1" t="str">
        <f>VLOOKUP(A1196,[1]Detalle!$D$2:$CW$484,98,FALSE)</f>
        <v>CMQ_TTE - QUILMES TTE</v>
      </c>
    </row>
    <row r="1197" spans="1:29" ht="14.25" customHeight="1" x14ac:dyDescent="0.3">
      <c r="A1197" s="21" t="s">
        <v>131</v>
      </c>
      <c r="B1197" s="1">
        <v>1620</v>
      </c>
      <c r="C1197" s="1" t="s">
        <v>415</v>
      </c>
      <c r="D1197" s="1" t="s">
        <v>415</v>
      </c>
      <c r="E1197" s="1">
        <v>0.25</v>
      </c>
      <c r="F1197" s="1">
        <f>VLOOKUP(D1197,Sheet1!$D$2:$F$1119,2,FALSE)</f>
        <v>0.25</v>
      </c>
      <c r="P1197" s="13">
        <v>45544</v>
      </c>
      <c r="R1197" s="7">
        <v>46274</v>
      </c>
      <c r="S1197" s="7">
        <v>46274</v>
      </c>
      <c r="T1197" s="7" t="str">
        <f t="shared" si="0"/>
        <v>septiembre</v>
      </c>
      <c r="X1197" s="1" t="s">
        <v>419</v>
      </c>
      <c r="Y1197" s="1" t="s">
        <v>420</v>
      </c>
      <c r="Z1197" s="1">
        <v>1</v>
      </c>
      <c r="AA1197" s="14">
        <v>42474.239999999998</v>
      </c>
      <c r="AB1197" s="14">
        <v>42474.239999999998</v>
      </c>
      <c r="AC1197" s="1" t="str">
        <f>VLOOKUP(A1197,[1]Detalle!$D$2:$CW$484,98,FALSE)</f>
        <v>CMQ_TTE - QUILMES TTE</v>
      </c>
    </row>
    <row r="1198" spans="1:29" ht="14.25" customHeight="1" x14ac:dyDescent="0.3">
      <c r="A1198" s="21" t="s">
        <v>191</v>
      </c>
      <c r="B1198" s="1" t="s">
        <v>340</v>
      </c>
      <c r="C1198" s="1" t="s">
        <v>328</v>
      </c>
      <c r="D1198" s="1" t="s">
        <v>328</v>
      </c>
      <c r="E1198" s="1">
        <v>0.75</v>
      </c>
      <c r="F1198" s="1">
        <f>VLOOKUP(D1198,Sheet1!$D$2:$F$1119,2,FALSE)</f>
        <v>0.75</v>
      </c>
      <c r="P1198" s="13">
        <v>45551</v>
      </c>
      <c r="R1198" s="7">
        <v>46281</v>
      </c>
      <c r="S1198" s="7">
        <v>46281</v>
      </c>
      <c r="T1198" s="7" t="str">
        <f t="shared" si="0"/>
        <v>septiembre</v>
      </c>
      <c r="X1198" s="1" t="s">
        <v>333</v>
      </c>
      <c r="Y1198" s="1" t="s">
        <v>334</v>
      </c>
      <c r="Z1198" s="1">
        <v>1</v>
      </c>
      <c r="AA1198" s="14">
        <v>8513.2800000000007</v>
      </c>
      <c r="AB1198" s="14">
        <v>8513.2800000000007</v>
      </c>
      <c r="AC1198" s="1" t="str">
        <f>VLOOKUP(A1198,[1]Detalle!$D$2:$CW$484,98,FALSE)</f>
        <v>CCUDyAZA</v>
      </c>
    </row>
    <row r="1199" spans="1:29" ht="14.25" customHeight="1" x14ac:dyDescent="0.3">
      <c r="A1199" s="22" t="s">
        <v>191</v>
      </c>
      <c r="B1199" s="1" t="s">
        <v>340</v>
      </c>
      <c r="C1199" s="1" t="s">
        <v>343</v>
      </c>
      <c r="D1199" s="1" t="s">
        <v>343</v>
      </c>
      <c r="E1199" s="1">
        <v>0.5</v>
      </c>
      <c r="F1199" s="1">
        <f>VLOOKUP(D1199,Sheet1!$D$2:$F$1119,2,FALSE)</f>
        <v>0.5</v>
      </c>
      <c r="P1199" s="13">
        <v>45551</v>
      </c>
      <c r="R1199" s="7">
        <v>46281</v>
      </c>
      <c r="S1199" s="7">
        <v>46281</v>
      </c>
      <c r="T1199" s="7" t="str">
        <f t="shared" si="0"/>
        <v>septiembre</v>
      </c>
      <c r="X1199" s="1" t="s">
        <v>345</v>
      </c>
      <c r="Y1199" s="1" t="s">
        <v>346</v>
      </c>
      <c r="Z1199" s="1">
        <v>1</v>
      </c>
      <c r="AA1199" s="14">
        <v>10535.04</v>
      </c>
      <c r="AB1199" s="14">
        <v>10535.04</v>
      </c>
      <c r="AC1199" s="1" t="str">
        <f>VLOOKUP(A1199,[1]Detalle!$D$2:$CW$484,98,FALSE)</f>
        <v>CCUDyAZA</v>
      </c>
    </row>
    <row r="1200" spans="1:29" ht="14.25" customHeight="1" x14ac:dyDescent="0.3">
      <c r="A1200" s="20" t="s">
        <v>191</v>
      </c>
      <c r="B1200" s="1" t="s">
        <v>340</v>
      </c>
      <c r="C1200" s="1" t="s">
        <v>415</v>
      </c>
      <c r="D1200" s="1" t="s">
        <v>415</v>
      </c>
      <c r="E1200" s="1">
        <v>0.25</v>
      </c>
      <c r="F1200" s="1">
        <f>VLOOKUP(D1200,Sheet1!$D$2:$F$1119,2,FALSE)</f>
        <v>0.25</v>
      </c>
      <c r="P1200" s="13">
        <v>45551</v>
      </c>
      <c r="R1200" s="7">
        <v>46281</v>
      </c>
      <c r="S1200" s="7">
        <v>46281</v>
      </c>
      <c r="T1200" s="7" t="str">
        <f t="shared" si="0"/>
        <v>septiembre</v>
      </c>
      <c r="X1200" s="1" t="s">
        <v>422</v>
      </c>
      <c r="Y1200" s="1" t="s">
        <v>423</v>
      </c>
      <c r="Z1200" s="1">
        <v>1</v>
      </c>
      <c r="AA1200" s="14">
        <v>49777.919999999998</v>
      </c>
      <c r="AB1200" s="14">
        <v>49777.919999999998</v>
      </c>
      <c r="AC1200" s="1" t="str">
        <f>VLOOKUP(A1200,[1]Detalle!$D$2:$CW$484,98,FALSE)</f>
        <v>CCUDyAZA</v>
      </c>
    </row>
    <row r="1201" spans="1:29" ht="14.25" customHeight="1" x14ac:dyDescent="0.3">
      <c r="A1201" s="21" t="s">
        <v>197</v>
      </c>
      <c r="B1201" s="1" t="s">
        <v>340</v>
      </c>
      <c r="C1201" s="1" t="s">
        <v>328</v>
      </c>
      <c r="D1201" s="1" t="s">
        <v>328</v>
      </c>
      <c r="E1201" s="1">
        <v>0.75</v>
      </c>
      <c r="F1201" s="1">
        <f>VLOOKUP(D1201,Sheet1!$D$2:$F$1119,2,FALSE)</f>
        <v>0.75</v>
      </c>
      <c r="P1201" s="13">
        <v>45364</v>
      </c>
      <c r="R1201" s="7">
        <v>46094</v>
      </c>
      <c r="S1201" s="7">
        <v>46094</v>
      </c>
      <c r="T1201" s="7" t="str">
        <f t="shared" si="0"/>
        <v>marzo</v>
      </c>
      <c r="X1201" s="1" t="s">
        <v>333</v>
      </c>
      <c r="Y1201" s="1" t="s">
        <v>334</v>
      </c>
      <c r="Z1201" s="1">
        <v>1</v>
      </c>
      <c r="AA1201" s="14">
        <v>8513.2800000000007</v>
      </c>
      <c r="AB1201" s="14">
        <v>8513.2800000000007</v>
      </c>
      <c r="AC1201" s="1" t="str">
        <f>VLOOKUP(A1201,[1]Detalle!$D$2:$CW$484,98,FALSE)</f>
        <v>Sin Operación</v>
      </c>
    </row>
    <row r="1202" spans="1:29" ht="14.25" customHeight="1" x14ac:dyDescent="0.3">
      <c r="A1202" s="12" t="s">
        <v>197</v>
      </c>
      <c r="B1202" s="1" t="s">
        <v>340</v>
      </c>
      <c r="C1202" s="1" t="s">
        <v>343</v>
      </c>
      <c r="D1202" s="1" t="s">
        <v>343</v>
      </c>
      <c r="E1202" s="1">
        <v>0.5</v>
      </c>
      <c r="F1202" s="1">
        <f>VLOOKUP(D1202,Sheet1!$D$2:$F$1119,2,FALSE)</f>
        <v>0.5</v>
      </c>
      <c r="P1202" s="13">
        <v>45364</v>
      </c>
      <c r="R1202" s="7">
        <v>46094</v>
      </c>
      <c r="S1202" s="7">
        <v>46094</v>
      </c>
      <c r="T1202" s="7" t="str">
        <f t="shared" si="0"/>
        <v>marzo</v>
      </c>
      <c r="X1202" s="1" t="s">
        <v>345</v>
      </c>
      <c r="Y1202" s="1" t="s">
        <v>346</v>
      </c>
      <c r="Z1202" s="1">
        <v>1</v>
      </c>
      <c r="AA1202" s="14">
        <v>10535.04</v>
      </c>
      <c r="AB1202" s="14">
        <v>10535.04</v>
      </c>
      <c r="AC1202" s="1" t="str">
        <f>VLOOKUP(A1202,[1]Detalle!$D$2:$CW$484,98,FALSE)</f>
        <v>Sin Operación</v>
      </c>
    </row>
    <row r="1203" spans="1:29" ht="14.25" customHeight="1" x14ac:dyDescent="0.3">
      <c r="A1203" s="15" t="s">
        <v>197</v>
      </c>
      <c r="B1203" s="1" t="s">
        <v>340</v>
      </c>
      <c r="C1203" s="1" t="s">
        <v>415</v>
      </c>
      <c r="D1203" s="1" t="s">
        <v>415</v>
      </c>
      <c r="E1203" s="1">
        <v>0.25</v>
      </c>
      <c r="F1203" s="1">
        <f>VLOOKUP(D1203,Sheet1!$D$2:$F$1119,2,FALSE)</f>
        <v>0.25</v>
      </c>
      <c r="P1203" s="13">
        <v>45364</v>
      </c>
      <c r="R1203" s="7">
        <v>46094</v>
      </c>
      <c r="S1203" s="7">
        <v>46094</v>
      </c>
      <c r="T1203" s="7" t="str">
        <f t="shared" si="0"/>
        <v>marzo</v>
      </c>
      <c r="X1203" s="1" t="s">
        <v>422</v>
      </c>
      <c r="Y1203" s="1" t="s">
        <v>423</v>
      </c>
      <c r="Z1203" s="1">
        <v>1</v>
      </c>
      <c r="AA1203" s="14">
        <v>49777.919999999998</v>
      </c>
      <c r="AB1203" s="14">
        <v>49777.919999999998</v>
      </c>
      <c r="AC1203" s="1" t="str">
        <f>VLOOKUP(A1203,[1]Detalle!$D$2:$CW$484,98,FALSE)</f>
        <v>Sin Operación</v>
      </c>
    </row>
    <row r="1204" spans="1:29" ht="14.25" customHeight="1" x14ac:dyDescent="0.3">
      <c r="A1204" s="15" t="s">
        <v>200</v>
      </c>
      <c r="B1204" s="1" t="s">
        <v>351</v>
      </c>
      <c r="C1204" s="1" t="s">
        <v>328</v>
      </c>
      <c r="D1204" s="1" t="s">
        <v>328</v>
      </c>
      <c r="E1204" s="1">
        <v>0.75</v>
      </c>
      <c r="F1204" s="1">
        <f>VLOOKUP(D1204,Sheet1!$D$2:$F$1119,2,FALSE)</f>
        <v>0.75</v>
      </c>
      <c r="P1204" s="13">
        <v>45386</v>
      </c>
      <c r="R1204" s="7">
        <v>46116</v>
      </c>
      <c r="S1204" s="7">
        <v>46116</v>
      </c>
      <c r="T1204" s="7" t="str">
        <f t="shared" si="0"/>
        <v>abril</v>
      </c>
      <c r="X1204" s="1" t="s">
        <v>333</v>
      </c>
      <c r="Y1204" s="1" t="s">
        <v>334</v>
      </c>
      <c r="Z1204" s="1">
        <v>1</v>
      </c>
      <c r="AA1204" s="14">
        <v>8513.2800000000007</v>
      </c>
      <c r="AB1204" s="14">
        <v>8513.2800000000007</v>
      </c>
      <c r="AC1204" s="1" t="str">
        <f>VLOOKUP(A1204,[1]Detalle!$D$2:$CW$484,98,FALSE)</f>
        <v>Sin Operación</v>
      </c>
    </row>
    <row r="1205" spans="1:29" ht="14.25" customHeight="1" x14ac:dyDescent="0.3">
      <c r="A1205" s="12" t="s">
        <v>200</v>
      </c>
      <c r="B1205" s="1" t="s">
        <v>351</v>
      </c>
      <c r="C1205" s="1" t="s">
        <v>343</v>
      </c>
      <c r="D1205" s="1" t="s">
        <v>343</v>
      </c>
      <c r="E1205" s="1">
        <v>0.5</v>
      </c>
      <c r="F1205" s="1">
        <f>VLOOKUP(D1205,Sheet1!$D$2:$F$1119,2,FALSE)</f>
        <v>0.5</v>
      </c>
      <c r="P1205" s="13">
        <v>45386</v>
      </c>
      <c r="R1205" s="7">
        <v>46116</v>
      </c>
      <c r="S1205" s="7">
        <v>46116</v>
      </c>
      <c r="T1205" s="7" t="str">
        <f t="shared" si="0"/>
        <v>abril</v>
      </c>
      <c r="X1205" s="1" t="s">
        <v>345</v>
      </c>
      <c r="Y1205" s="1" t="s">
        <v>346</v>
      </c>
      <c r="Z1205" s="1">
        <v>1</v>
      </c>
      <c r="AA1205" s="14">
        <v>10535.04</v>
      </c>
      <c r="AB1205" s="14">
        <v>10535.04</v>
      </c>
      <c r="AC1205" s="1" t="str">
        <f>VLOOKUP(A1205,[1]Detalle!$D$2:$CW$484,98,FALSE)</f>
        <v>Sin Operación</v>
      </c>
    </row>
    <row r="1206" spans="1:29" ht="14.25" customHeight="1" x14ac:dyDescent="0.3">
      <c r="A1206" s="12" t="s">
        <v>200</v>
      </c>
      <c r="B1206" s="1" t="s">
        <v>351</v>
      </c>
      <c r="C1206" s="1" t="s">
        <v>415</v>
      </c>
      <c r="D1206" s="1" t="s">
        <v>415</v>
      </c>
      <c r="E1206" s="1">
        <v>0.25</v>
      </c>
      <c r="F1206" s="1">
        <f>VLOOKUP(D1206,Sheet1!$D$2:$F$1119,2,FALSE)</f>
        <v>0.25</v>
      </c>
      <c r="P1206" s="13">
        <v>45386</v>
      </c>
      <c r="R1206" s="7">
        <v>46116</v>
      </c>
      <c r="S1206" s="7">
        <v>46116</v>
      </c>
      <c r="T1206" s="7" t="str">
        <f t="shared" si="0"/>
        <v>abril</v>
      </c>
      <c r="X1206" s="1" t="s">
        <v>416</v>
      </c>
      <c r="Y1206" s="1" t="s">
        <v>417</v>
      </c>
      <c r="Z1206" s="1">
        <v>1</v>
      </c>
      <c r="AA1206" s="14">
        <v>37598.393333332999</v>
      </c>
      <c r="AB1206" s="14">
        <v>37598.393333332999</v>
      </c>
      <c r="AC1206" s="1" t="str">
        <f>VLOOKUP(A1206,[1]Detalle!$D$2:$CW$484,98,FALSE)</f>
        <v>Sin Operación</v>
      </c>
    </row>
    <row r="1207" spans="1:29" ht="14.25" customHeight="1" x14ac:dyDescent="0.3">
      <c r="A1207" s="12" t="s">
        <v>206</v>
      </c>
      <c r="B1207" s="1" t="s">
        <v>340</v>
      </c>
      <c r="C1207" s="1" t="s">
        <v>328</v>
      </c>
      <c r="D1207" s="1" t="s">
        <v>328</v>
      </c>
      <c r="E1207" s="1">
        <v>0.75</v>
      </c>
      <c r="F1207" s="1">
        <f>VLOOKUP(D1207,Sheet1!$D$2:$F$1119,2,FALSE)</f>
        <v>0.75</v>
      </c>
      <c r="P1207" s="13">
        <v>45589</v>
      </c>
      <c r="R1207" s="7">
        <v>46319</v>
      </c>
      <c r="S1207" s="7">
        <v>46319</v>
      </c>
      <c r="T1207" s="7" t="str">
        <f t="shared" si="0"/>
        <v>octubre</v>
      </c>
      <c r="X1207" s="1" t="s">
        <v>333</v>
      </c>
      <c r="Y1207" s="1" t="s">
        <v>334</v>
      </c>
      <c r="Z1207" s="1">
        <v>1</v>
      </c>
      <c r="AA1207" s="14">
        <v>8513.2800000000007</v>
      </c>
      <c r="AB1207" s="14">
        <v>8513.2800000000007</v>
      </c>
      <c r="AC1207" s="1" t="str">
        <f>VLOOKUP(A1207,[1]Detalle!$D$2:$CW$484,98,FALSE)</f>
        <v>Papelera - Papelera del Plata S.A.</v>
      </c>
    </row>
    <row r="1208" spans="1:29" ht="14.25" customHeight="1" x14ac:dyDescent="0.3">
      <c r="A1208" s="12" t="s">
        <v>206</v>
      </c>
      <c r="B1208" s="1" t="s">
        <v>340</v>
      </c>
      <c r="C1208" s="1" t="s">
        <v>343</v>
      </c>
      <c r="D1208" s="1" t="s">
        <v>343</v>
      </c>
      <c r="E1208" s="1">
        <v>0.5</v>
      </c>
      <c r="F1208" s="1">
        <f>VLOOKUP(D1208,Sheet1!$D$2:$F$1119,2,FALSE)</f>
        <v>0.5</v>
      </c>
      <c r="P1208" s="13">
        <v>45589</v>
      </c>
      <c r="R1208" s="7">
        <v>46319</v>
      </c>
      <c r="S1208" s="7">
        <v>46319</v>
      </c>
      <c r="T1208" s="7" t="str">
        <f t="shared" si="0"/>
        <v>octubre</v>
      </c>
      <c r="X1208" s="1" t="s">
        <v>345</v>
      </c>
      <c r="Y1208" s="1" t="s">
        <v>346</v>
      </c>
      <c r="Z1208" s="1">
        <v>1</v>
      </c>
      <c r="AA1208" s="14">
        <v>10535.04</v>
      </c>
      <c r="AB1208" s="14">
        <v>10535.04</v>
      </c>
      <c r="AC1208" s="1" t="str">
        <f>VLOOKUP(A1208,[1]Detalle!$D$2:$CW$484,98,FALSE)</f>
        <v>Papelera - Papelera del Plata S.A.</v>
      </c>
    </row>
    <row r="1209" spans="1:29" ht="14.25" customHeight="1" x14ac:dyDescent="0.3">
      <c r="A1209" s="12" t="s">
        <v>206</v>
      </c>
      <c r="B1209" s="1" t="s">
        <v>340</v>
      </c>
      <c r="C1209" s="1" t="s">
        <v>415</v>
      </c>
      <c r="D1209" s="1" t="s">
        <v>415</v>
      </c>
      <c r="E1209" s="1">
        <v>0.25</v>
      </c>
      <c r="F1209" s="1">
        <f>VLOOKUP(D1209,Sheet1!$D$2:$F$1119,2,FALSE)</f>
        <v>0.25</v>
      </c>
      <c r="P1209" s="13">
        <v>45589</v>
      </c>
      <c r="R1209" s="7">
        <v>46319</v>
      </c>
      <c r="S1209" s="7">
        <v>46319</v>
      </c>
      <c r="T1209" s="7" t="str">
        <f t="shared" si="0"/>
        <v>octubre</v>
      </c>
      <c r="X1209" s="1" t="s">
        <v>422</v>
      </c>
      <c r="Y1209" s="1" t="s">
        <v>423</v>
      </c>
      <c r="Z1209" s="1">
        <v>1</v>
      </c>
      <c r="AA1209" s="14">
        <v>49777.919999999998</v>
      </c>
      <c r="AB1209" s="14">
        <v>49777.919999999998</v>
      </c>
      <c r="AC1209" s="1" t="str">
        <f>VLOOKUP(A1209,[1]Detalle!$D$2:$CW$484,98,FALSE)</f>
        <v>Papelera - Papelera del Plata S.A.</v>
      </c>
    </row>
    <row r="1210" spans="1:29" ht="14.25" customHeight="1" x14ac:dyDescent="0.3">
      <c r="A1210" s="12" t="s">
        <v>213</v>
      </c>
      <c r="B1210" s="1" t="s">
        <v>341</v>
      </c>
      <c r="C1210" s="1" t="s">
        <v>328</v>
      </c>
      <c r="D1210" s="1" t="s">
        <v>328</v>
      </c>
      <c r="E1210" s="1">
        <v>0.75</v>
      </c>
      <c r="F1210" s="1">
        <f>VLOOKUP(D1210,Sheet1!$D$2:$F$1119,2,FALSE)</f>
        <v>0.75</v>
      </c>
      <c r="P1210" s="13">
        <v>45349</v>
      </c>
      <c r="R1210" s="7">
        <v>46079</v>
      </c>
      <c r="S1210" s="7">
        <v>46079</v>
      </c>
      <c r="T1210" s="7" t="str">
        <f t="shared" si="0"/>
        <v>febrero</v>
      </c>
      <c r="X1210" s="1" t="s">
        <v>333</v>
      </c>
      <c r="Y1210" s="1" t="s">
        <v>334</v>
      </c>
      <c r="Z1210" s="1">
        <v>1</v>
      </c>
      <c r="AA1210" s="14">
        <v>8513.2800000000007</v>
      </c>
      <c r="AB1210" s="14">
        <v>8513.2800000000007</v>
      </c>
      <c r="AC1210" s="1" t="str">
        <f>VLOOKUP(A1210,[1]Detalle!$D$2:$CW$484,98,FALSE)</f>
        <v>CMQ_TTE - QUILMES TTE</v>
      </c>
    </row>
    <row r="1211" spans="1:29" ht="14.25" customHeight="1" x14ac:dyDescent="0.3">
      <c r="A1211" s="12" t="s">
        <v>213</v>
      </c>
      <c r="B1211" s="1" t="s">
        <v>341</v>
      </c>
      <c r="C1211" s="1" t="s">
        <v>343</v>
      </c>
      <c r="D1211" s="1" t="s">
        <v>343</v>
      </c>
      <c r="E1211" s="1">
        <v>0.5</v>
      </c>
      <c r="F1211" s="1">
        <f>VLOOKUP(D1211,Sheet1!$D$2:$F$1119,2,FALSE)</f>
        <v>0.5</v>
      </c>
      <c r="P1211" s="13">
        <v>45349</v>
      </c>
      <c r="R1211" s="7">
        <v>46079</v>
      </c>
      <c r="S1211" s="7">
        <v>46079</v>
      </c>
      <c r="T1211" s="7" t="str">
        <f t="shared" si="0"/>
        <v>febrero</v>
      </c>
      <c r="X1211" s="1" t="s">
        <v>345</v>
      </c>
      <c r="Y1211" s="1" t="s">
        <v>346</v>
      </c>
      <c r="Z1211" s="1">
        <v>1</v>
      </c>
      <c r="AA1211" s="14">
        <v>10535.04</v>
      </c>
      <c r="AB1211" s="14">
        <v>10535.04</v>
      </c>
      <c r="AC1211" s="1" t="str">
        <f>VLOOKUP(A1211,[1]Detalle!$D$2:$CW$484,98,FALSE)</f>
        <v>CMQ_TTE - QUILMES TTE</v>
      </c>
    </row>
    <row r="1212" spans="1:29" ht="14.25" customHeight="1" x14ac:dyDescent="0.3">
      <c r="A1212" s="15" t="s">
        <v>213</v>
      </c>
      <c r="B1212" s="1" t="s">
        <v>341</v>
      </c>
      <c r="C1212" s="1" t="s">
        <v>415</v>
      </c>
      <c r="D1212" s="1" t="s">
        <v>415</v>
      </c>
      <c r="E1212" s="1">
        <v>0.25</v>
      </c>
      <c r="F1212" s="1">
        <f>VLOOKUP(D1212,Sheet1!$D$2:$F$1119,2,FALSE)</f>
        <v>0.25</v>
      </c>
      <c r="P1212" s="13">
        <v>45349</v>
      </c>
      <c r="R1212" s="7">
        <v>46079</v>
      </c>
      <c r="S1212" s="7">
        <v>46079</v>
      </c>
      <c r="T1212" s="7" t="str">
        <f t="shared" si="0"/>
        <v>febrero</v>
      </c>
      <c r="X1212" s="1" t="s">
        <v>416</v>
      </c>
      <c r="Y1212" s="1" t="s">
        <v>417</v>
      </c>
      <c r="Z1212" s="1">
        <v>1</v>
      </c>
      <c r="AA1212" s="14">
        <v>37165.919999999998</v>
      </c>
      <c r="AB1212" s="14">
        <v>37165.919999999998</v>
      </c>
      <c r="AC1212" s="1" t="str">
        <f>VLOOKUP(A1212,[1]Detalle!$D$2:$CW$484,98,FALSE)</f>
        <v>CMQ_TTE - QUILMES TTE</v>
      </c>
    </row>
    <row r="1213" spans="1:29" ht="14.25" customHeight="1" x14ac:dyDescent="0.3">
      <c r="A1213" s="12" t="s">
        <v>225</v>
      </c>
      <c r="B1213" s="1" t="s">
        <v>340</v>
      </c>
      <c r="C1213" s="1" t="s">
        <v>328</v>
      </c>
      <c r="D1213" s="1" t="s">
        <v>328</v>
      </c>
      <c r="E1213" s="1">
        <v>0.75</v>
      </c>
      <c r="F1213" s="1">
        <f>VLOOKUP(D1213,Sheet1!$D$2:$F$1119,2,FALSE)</f>
        <v>0.75</v>
      </c>
      <c r="P1213" s="13">
        <v>45350</v>
      </c>
      <c r="R1213" s="7">
        <v>46080</v>
      </c>
      <c r="S1213" s="7">
        <v>46080</v>
      </c>
      <c r="T1213" s="7" t="str">
        <f t="shared" si="0"/>
        <v>febrero</v>
      </c>
      <c r="X1213" s="1" t="s">
        <v>333</v>
      </c>
      <c r="Y1213" s="1" t="s">
        <v>334</v>
      </c>
      <c r="Z1213" s="1">
        <v>1</v>
      </c>
      <c r="AA1213" s="14">
        <v>8513.2800000000007</v>
      </c>
      <c r="AB1213" s="14">
        <v>8513.2800000000007</v>
      </c>
      <c r="AC1213" s="1" t="str">
        <f>VLOOKUP(A1213,[1]Detalle!$D$2:$CW$484,98,FALSE)</f>
        <v>AGN_TTE - AGUANORT - Transporte</v>
      </c>
    </row>
    <row r="1214" spans="1:29" ht="14.25" customHeight="1" x14ac:dyDescent="0.3">
      <c r="A1214" s="12" t="s">
        <v>225</v>
      </c>
      <c r="B1214" s="1" t="s">
        <v>340</v>
      </c>
      <c r="C1214" s="1" t="s">
        <v>343</v>
      </c>
      <c r="D1214" s="1" t="s">
        <v>343</v>
      </c>
      <c r="E1214" s="1">
        <v>0.5</v>
      </c>
      <c r="F1214" s="1">
        <f>VLOOKUP(D1214,Sheet1!$D$2:$F$1119,2,FALSE)</f>
        <v>0.5</v>
      </c>
      <c r="P1214" s="13">
        <v>45350</v>
      </c>
      <c r="R1214" s="7">
        <v>46080</v>
      </c>
      <c r="S1214" s="7">
        <v>46080</v>
      </c>
      <c r="T1214" s="7" t="str">
        <f t="shared" si="0"/>
        <v>febrero</v>
      </c>
      <c r="X1214" s="1" t="s">
        <v>345</v>
      </c>
      <c r="Y1214" s="1" t="s">
        <v>346</v>
      </c>
      <c r="Z1214" s="1">
        <v>1</v>
      </c>
      <c r="AA1214" s="14">
        <v>10535.04</v>
      </c>
      <c r="AB1214" s="14">
        <v>10535.04</v>
      </c>
      <c r="AC1214" s="1" t="str">
        <f>VLOOKUP(A1214,[1]Detalle!$D$2:$CW$484,98,FALSE)</f>
        <v>AGN_TTE - AGUANORT - Transporte</v>
      </c>
    </row>
    <row r="1215" spans="1:29" ht="14.25" customHeight="1" x14ac:dyDescent="0.3">
      <c r="A1215" s="12" t="s">
        <v>225</v>
      </c>
      <c r="B1215" s="1" t="s">
        <v>340</v>
      </c>
      <c r="C1215" s="1" t="s">
        <v>415</v>
      </c>
      <c r="D1215" s="1" t="s">
        <v>415</v>
      </c>
      <c r="E1215" s="1">
        <v>0.25</v>
      </c>
      <c r="F1215" s="1">
        <f>VLOOKUP(D1215,Sheet1!$D$2:$F$1119,2,FALSE)</f>
        <v>0.25</v>
      </c>
      <c r="P1215" s="13">
        <v>45350</v>
      </c>
      <c r="R1215" s="7">
        <v>46080</v>
      </c>
      <c r="S1215" s="7">
        <v>46080</v>
      </c>
      <c r="T1215" s="7" t="str">
        <f t="shared" si="0"/>
        <v>febrero</v>
      </c>
      <c r="X1215" s="1" t="s">
        <v>422</v>
      </c>
      <c r="Y1215" s="1" t="s">
        <v>423</v>
      </c>
      <c r="Z1215" s="1">
        <v>1</v>
      </c>
      <c r="AA1215" s="14">
        <v>49777.919999999998</v>
      </c>
      <c r="AB1215" s="14">
        <v>49777.919999999998</v>
      </c>
      <c r="AC1215" s="1" t="str">
        <f>VLOOKUP(A1215,[1]Detalle!$D$2:$CW$484,98,FALSE)</f>
        <v>AGN_TTE - AGUANORT - Transporte</v>
      </c>
    </row>
    <row r="1216" spans="1:29" ht="14.25" customHeight="1" x14ac:dyDescent="0.3">
      <c r="A1216" s="12" t="s">
        <v>226</v>
      </c>
      <c r="B1216" s="1" t="s">
        <v>341</v>
      </c>
      <c r="C1216" s="1" t="s">
        <v>328</v>
      </c>
      <c r="D1216" s="1" t="s">
        <v>328</v>
      </c>
      <c r="E1216" s="1">
        <v>0.75</v>
      </c>
      <c r="F1216" s="1">
        <f>VLOOKUP(D1216,Sheet1!$D$2:$F$1119,2,FALSE)</f>
        <v>0.75</v>
      </c>
      <c r="P1216" s="13">
        <v>45483</v>
      </c>
      <c r="R1216" s="7">
        <v>46213</v>
      </c>
      <c r="S1216" s="7">
        <v>46213</v>
      </c>
      <c r="T1216" s="7" t="str">
        <f t="shared" si="0"/>
        <v>julio</v>
      </c>
      <c r="X1216" s="1" t="s">
        <v>333</v>
      </c>
      <c r="Y1216" s="1" t="s">
        <v>334</v>
      </c>
      <c r="Z1216" s="1">
        <v>1</v>
      </c>
      <c r="AA1216" s="14">
        <v>8513.2800000000007</v>
      </c>
      <c r="AB1216" s="14">
        <v>8513.2800000000007</v>
      </c>
      <c r="AC1216" s="1" t="str">
        <f>VLOOKUP(A1216,[1]Detalle!$D$2:$CW$484,98,FALSE)</f>
        <v>CMQ_TTE - QUILMES TTE</v>
      </c>
    </row>
    <row r="1217" spans="1:32" ht="14.25" customHeight="1" x14ac:dyDescent="0.3">
      <c r="A1217" s="12" t="s">
        <v>226</v>
      </c>
      <c r="B1217" s="1" t="s">
        <v>341</v>
      </c>
      <c r="C1217" s="1" t="s">
        <v>343</v>
      </c>
      <c r="D1217" s="1" t="s">
        <v>343</v>
      </c>
      <c r="E1217" s="1">
        <v>0.5</v>
      </c>
      <c r="F1217" s="1">
        <f>VLOOKUP(D1217,Sheet1!$D$2:$F$1119,2,FALSE)</f>
        <v>0.5</v>
      </c>
      <c r="P1217" s="13">
        <v>45483</v>
      </c>
      <c r="R1217" s="7">
        <v>46213</v>
      </c>
      <c r="S1217" s="7">
        <v>46213</v>
      </c>
      <c r="T1217" s="7" t="str">
        <f t="shared" si="0"/>
        <v>julio</v>
      </c>
      <c r="X1217" s="1" t="s">
        <v>345</v>
      </c>
      <c r="Y1217" s="1" t="s">
        <v>346</v>
      </c>
      <c r="Z1217" s="1">
        <v>1</v>
      </c>
      <c r="AA1217" s="14">
        <v>10535.04</v>
      </c>
      <c r="AB1217" s="14">
        <v>10535.04</v>
      </c>
      <c r="AC1217" s="1" t="str">
        <f>VLOOKUP(A1217,[1]Detalle!$D$2:$CW$484,98,FALSE)</f>
        <v>CMQ_TTE - QUILMES TTE</v>
      </c>
    </row>
    <row r="1218" spans="1:32" ht="14.25" customHeight="1" x14ac:dyDescent="0.3">
      <c r="A1218" s="12" t="s">
        <v>226</v>
      </c>
      <c r="B1218" s="1" t="s">
        <v>341</v>
      </c>
      <c r="C1218" s="1" t="s">
        <v>415</v>
      </c>
      <c r="D1218" s="1" t="s">
        <v>415</v>
      </c>
      <c r="E1218" s="1">
        <v>0.25</v>
      </c>
      <c r="F1218" s="1">
        <f>VLOOKUP(D1218,Sheet1!$D$2:$F$1119,2,FALSE)</f>
        <v>0.25</v>
      </c>
      <c r="P1218" s="13">
        <v>45483</v>
      </c>
      <c r="R1218" s="7">
        <v>46213</v>
      </c>
      <c r="S1218" s="7">
        <v>46213</v>
      </c>
      <c r="T1218" s="7" t="str">
        <f t="shared" si="0"/>
        <v>julio</v>
      </c>
      <c r="X1218" s="1" t="s">
        <v>416</v>
      </c>
      <c r="Y1218" s="1" t="s">
        <v>417</v>
      </c>
      <c r="Z1218" s="1">
        <v>1</v>
      </c>
      <c r="AA1218" s="14">
        <v>37165.919999999998</v>
      </c>
      <c r="AB1218" s="14">
        <v>37165.919999999998</v>
      </c>
      <c r="AC1218" s="1" t="str">
        <f>VLOOKUP(A1218,[1]Detalle!$D$2:$CW$484,98,FALSE)</f>
        <v>CMQ_TTE - QUILMES TTE</v>
      </c>
    </row>
    <row r="1219" spans="1:32" ht="14.25" customHeight="1" x14ac:dyDescent="0.3">
      <c r="A1219" s="12" t="s">
        <v>241</v>
      </c>
      <c r="B1219" s="1" t="s">
        <v>341</v>
      </c>
      <c r="C1219" s="1" t="s">
        <v>328</v>
      </c>
      <c r="D1219" s="1" t="s">
        <v>328</v>
      </c>
      <c r="E1219" s="1">
        <v>0.75</v>
      </c>
      <c r="F1219" s="1">
        <f>VLOOKUP(D1219,Sheet1!$D$2:$F$1119,2,FALSE)</f>
        <v>0.75</v>
      </c>
      <c r="P1219" s="13">
        <v>45967</v>
      </c>
      <c r="R1219" s="7">
        <v>46332</v>
      </c>
      <c r="S1219" s="7">
        <v>46332</v>
      </c>
      <c r="T1219" s="7" t="str">
        <f t="shared" si="0"/>
        <v>noviembre</v>
      </c>
      <c r="X1219" s="1" t="s">
        <v>333</v>
      </c>
      <c r="Y1219" s="1" t="s">
        <v>334</v>
      </c>
      <c r="Z1219" s="1">
        <v>1</v>
      </c>
      <c r="AA1219" s="14">
        <v>8513.2800000000007</v>
      </c>
      <c r="AB1219" s="14">
        <v>8513.2800000000007</v>
      </c>
      <c r="AC1219" s="1" t="str">
        <f>VLOOKUP(A1219,[1]Detalle!$D$2:$CW$484,98,FALSE)</f>
        <v>CMQ_TTE - QUILMES TTE</v>
      </c>
    </row>
    <row r="1220" spans="1:32" ht="14.25" customHeight="1" x14ac:dyDescent="0.3">
      <c r="A1220" s="12" t="s">
        <v>241</v>
      </c>
      <c r="B1220" s="1" t="s">
        <v>341</v>
      </c>
      <c r="C1220" s="1" t="s">
        <v>343</v>
      </c>
      <c r="D1220" s="1" t="s">
        <v>343</v>
      </c>
      <c r="E1220" s="1">
        <v>0.5</v>
      </c>
      <c r="F1220" s="1">
        <f>VLOOKUP(D1220,Sheet1!$D$2:$F$1119,2,FALSE)</f>
        <v>0.5</v>
      </c>
      <c r="P1220" s="13">
        <v>45967</v>
      </c>
      <c r="R1220" s="7">
        <v>46332</v>
      </c>
      <c r="S1220" s="7">
        <v>46332</v>
      </c>
      <c r="T1220" s="7" t="str">
        <f t="shared" si="0"/>
        <v>noviembre</v>
      </c>
      <c r="X1220" s="1" t="s">
        <v>345</v>
      </c>
      <c r="Y1220" s="1" t="s">
        <v>346</v>
      </c>
      <c r="Z1220" s="1">
        <v>1</v>
      </c>
      <c r="AA1220" s="14">
        <v>10535.04</v>
      </c>
      <c r="AB1220" s="14">
        <v>10535.04</v>
      </c>
      <c r="AC1220" s="1" t="str">
        <f>VLOOKUP(A1220,[1]Detalle!$D$2:$CW$484,98,FALSE)</f>
        <v>CMQ_TTE - QUILMES TTE</v>
      </c>
    </row>
    <row r="1221" spans="1:32" ht="14.25" customHeight="1" x14ac:dyDescent="0.3">
      <c r="A1221" s="12" t="s">
        <v>241</v>
      </c>
      <c r="B1221" s="1" t="s">
        <v>341</v>
      </c>
      <c r="C1221" s="1" t="s">
        <v>415</v>
      </c>
      <c r="D1221" s="1" t="s">
        <v>415</v>
      </c>
      <c r="E1221" s="1">
        <v>0.25</v>
      </c>
      <c r="F1221" s="1">
        <f>VLOOKUP(D1221,Sheet1!$D$2:$F$1119,2,FALSE)</f>
        <v>0.25</v>
      </c>
      <c r="P1221" s="13">
        <v>45967</v>
      </c>
      <c r="R1221" s="7">
        <v>46332</v>
      </c>
      <c r="S1221" s="7">
        <v>46332</v>
      </c>
      <c r="T1221" s="7" t="str">
        <f t="shared" si="0"/>
        <v>noviembre</v>
      </c>
      <c r="X1221" s="1" t="s">
        <v>416</v>
      </c>
      <c r="Y1221" s="1" t="s">
        <v>417</v>
      </c>
      <c r="Z1221" s="1">
        <v>1</v>
      </c>
      <c r="AA1221" s="14">
        <v>37165.919999999998</v>
      </c>
      <c r="AB1221" s="14">
        <v>37165.919999999998</v>
      </c>
      <c r="AC1221" s="1" t="str">
        <f>VLOOKUP(A1221,[1]Detalle!$D$2:$CW$484,98,FALSE)</f>
        <v>CMQ_TTE - QUILMES TTE</v>
      </c>
    </row>
    <row r="1222" spans="1:32" ht="14.25" customHeight="1" x14ac:dyDescent="0.3">
      <c r="A1222" s="12" t="s">
        <v>247</v>
      </c>
      <c r="B1222" s="1" t="s">
        <v>493</v>
      </c>
      <c r="C1222" s="1" t="s">
        <v>328</v>
      </c>
      <c r="D1222" s="1" t="s">
        <v>355</v>
      </c>
      <c r="E1222" s="1">
        <v>0.75</v>
      </c>
      <c r="F1222" s="1">
        <f>VLOOKUP(D1222,Sheet1!$D$2:$F$1119,2,FALSE)</f>
        <v>0.75</v>
      </c>
      <c r="P1222" s="13">
        <v>45631</v>
      </c>
      <c r="R1222" s="13">
        <v>46361</v>
      </c>
      <c r="S1222" s="7">
        <v>46361</v>
      </c>
      <c r="T1222" s="7" t="str">
        <f t="shared" si="0"/>
        <v>diciembre</v>
      </c>
      <c r="X1222" s="1" t="s">
        <v>494</v>
      </c>
      <c r="Y1222" s="1" t="s">
        <v>495</v>
      </c>
      <c r="Z1222" s="1">
        <v>1</v>
      </c>
      <c r="AA1222" s="14">
        <v>4196.8599999999997</v>
      </c>
      <c r="AB1222" s="14">
        <f t="shared" ref="AB1222:AB1224" si="4">AA1222*Z1222</f>
        <v>4196.8599999999997</v>
      </c>
      <c r="AC1222" s="1" t="str">
        <f>VLOOKUP(A1222,[1]Detalle!$D$2:$CW$484,98,FALSE)</f>
        <v>CIMSA_MZA</v>
      </c>
    </row>
    <row r="1223" spans="1:32" ht="14.25" customHeight="1" x14ac:dyDescent="0.3">
      <c r="A1223" s="12" t="s">
        <v>247</v>
      </c>
      <c r="B1223" s="1" t="s">
        <v>493</v>
      </c>
      <c r="C1223" s="1" t="s">
        <v>343</v>
      </c>
      <c r="D1223" s="1" t="s">
        <v>358</v>
      </c>
      <c r="E1223" s="1">
        <v>0.5</v>
      </c>
      <c r="F1223" s="1">
        <f>VLOOKUP(D1223,Sheet1!$D$2:$F$1119,2,FALSE)</f>
        <v>0.5</v>
      </c>
      <c r="P1223" s="13">
        <v>45631</v>
      </c>
      <c r="R1223" s="13">
        <v>46361</v>
      </c>
      <c r="S1223" s="7">
        <v>46361</v>
      </c>
      <c r="T1223" s="7" t="str">
        <f t="shared" si="0"/>
        <v>diciembre</v>
      </c>
      <c r="X1223" s="1" t="s">
        <v>496</v>
      </c>
      <c r="Y1223" s="1" t="s">
        <v>497</v>
      </c>
      <c r="Z1223" s="1">
        <v>1</v>
      </c>
      <c r="AA1223" s="14">
        <v>9020.77</v>
      </c>
      <c r="AB1223" s="14">
        <f t="shared" si="4"/>
        <v>9020.77</v>
      </c>
      <c r="AC1223" s="1" t="str">
        <f>VLOOKUP(A1223,[1]Detalle!$D$2:$CW$484,98,FALSE)</f>
        <v>CIMSA_MZA</v>
      </c>
    </row>
    <row r="1224" spans="1:32" ht="14.25" customHeight="1" x14ac:dyDescent="0.3">
      <c r="A1224" s="12" t="s">
        <v>247</v>
      </c>
      <c r="B1224" s="1" t="s">
        <v>493</v>
      </c>
      <c r="C1224" s="1" t="s">
        <v>415</v>
      </c>
      <c r="D1224" s="1" t="s">
        <v>365</v>
      </c>
      <c r="E1224" s="1">
        <v>0.25</v>
      </c>
      <c r="F1224" s="1">
        <f>VLOOKUP(D1224,Sheet1!$D$2:$F$1119,2,FALSE)</f>
        <v>0.25</v>
      </c>
      <c r="P1224" s="13">
        <v>45631</v>
      </c>
      <c r="R1224" s="13">
        <v>46361</v>
      </c>
      <c r="S1224" s="7">
        <v>46361</v>
      </c>
      <c r="T1224" s="7" t="str">
        <f t="shared" si="0"/>
        <v>diciembre</v>
      </c>
      <c r="X1224" s="1" t="s">
        <v>498</v>
      </c>
      <c r="Y1224" s="1" t="s">
        <v>499</v>
      </c>
      <c r="Z1224" s="1">
        <v>1</v>
      </c>
      <c r="AA1224" s="14">
        <v>13755.87</v>
      </c>
      <c r="AB1224" s="14">
        <f t="shared" si="4"/>
        <v>13755.87</v>
      </c>
      <c r="AC1224" s="1" t="str">
        <f>VLOOKUP(A1224,[1]Detalle!$D$2:$CW$484,98,FALSE)</f>
        <v>CIMSA_MZA</v>
      </c>
    </row>
    <row r="1225" spans="1:32" ht="14.25" customHeight="1" x14ac:dyDescent="0.3">
      <c r="A1225" s="12" t="s">
        <v>250</v>
      </c>
      <c r="B1225" s="1" t="s">
        <v>341</v>
      </c>
      <c r="C1225" s="1" t="s">
        <v>328</v>
      </c>
      <c r="D1225" s="1" t="s">
        <v>328</v>
      </c>
      <c r="E1225" s="1">
        <v>0.75</v>
      </c>
      <c r="F1225" s="1">
        <f>VLOOKUP(D1225,Sheet1!$D$2:$F$1119,2,FALSE)</f>
        <v>0.75</v>
      </c>
      <c r="P1225" s="13">
        <v>45422</v>
      </c>
      <c r="R1225" s="7">
        <v>46152</v>
      </c>
      <c r="S1225" s="7">
        <v>46152</v>
      </c>
      <c r="T1225" s="7" t="str">
        <f t="shared" si="0"/>
        <v>mayo</v>
      </c>
      <c r="X1225" s="1" t="s">
        <v>333</v>
      </c>
      <c r="Y1225" s="1" t="s">
        <v>334</v>
      </c>
      <c r="Z1225" s="1">
        <v>1</v>
      </c>
      <c r="AA1225" s="14">
        <v>8513.2800000000007</v>
      </c>
      <c r="AB1225" s="14">
        <v>8513.2800000000007</v>
      </c>
      <c r="AC1225" s="1" t="str">
        <f>VLOOKUP(A1225,[1]Detalle!$D$2:$CW$484,98,FALSE)</f>
        <v>CMQ_TTE - QUILMES TTE</v>
      </c>
    </row>
    <row r="1226" spans="1:32" ht="14.25" customHeight="1" x14ac:dyDescent="0.3">
      <c r="A1226" s="12" t="s">
        <v>250</v>
      </c>
      <c r="B1226" s="1" t="s">
        <v>341</v>
      </c>
      <c r="C1226" s="1" t="s">
        <v>343</v>
      </c>
      <c r="D1226" s="1" t="s">
        <v>343</v>
      </c>
      <c r="E1226" s="1">
        <v>0.5</v>
      </c>
      <c r="F1226" s="1">
        <f>VLOOKUP(D1226,Sheet1!$D$2:$F$1119,2,FALSE)</f>
        <v>0.5</v>
      </c>
      <c r="P1226" s="13">
        <v>45422</v>
      </c>
      <c r="R1226" s="7">
        <v>46152</v>
      </c>
      <c r="S1226" s="7">
        <v>46152</v>
      </c>
      <c r="T1226" s="7" t="str">
        <f t="shared" si="0"/>
        <v>mayo</v>
      </c>
      <c r="X1226" s="1" t="s">
        <v>345</v>
      </c>
      <c r="Y1226" s="1" t="s">
        <v>346</v>
      </c>
      <c r="Z1226" s="1">
        <v>1</v>
      </c>
      <c r="AA1226" s="14">
        <v>10535.04</v>
      </c>
      <c r="AB1226" s="14">
        <v>10535.04</v>
      </c>
      <c r="AC1226" s="1" t="str">
        <f>VLOOKUP(A1226,[1]Detalle!$D$2:$CW$484,98,FALSE)</f>
        <v>CMQ_TTE - QUILMES TTE</v>
      </c>
    </row>
    <row r="1227" spans="1:32" ht="14.25" customHeight="1" x14ac:dyDescent="0.3">
      <c r="A1227" s="12" t="s">
        <v>250</v>
      </c>
      <c r="B1227" s="1" t="s">
        <v>341</v>
      </c>
      <c r="C1227" s="1" t="s">
        <v>415</v>
      </c>
      <c r="D1227" s="1" t="s">
        <v>415</v>
      </c>
      <c r="E1227" s="1">
        <v>0.25</v>
      </c>
      <c r="F1227" s="1">
        <f>VLOOKUP(D1227,Sheet1!$D$2:$F$1119,2,FALSE)</f>
        <v>0.25</v>
      </c>
      <c r="P1227" s="13">
        <v>45422</v>
      </c>
      <c r="R1227" s="7">
        <v>46152</v>
      </c>
      <c r="S1227" s="7">
        <v>46152</v>
      </c>
      <c r="T1227" s="7" t="str">
        <f t="shared" si="0"/>
        <v>mayo</v>
      </c>
      <c r="X1227" s="1" t="s">
        <v>416</v>
      </c>
      <c r="Y1227" s="1" t="s">
        <v>417</v>
      </c>
      <c r="Z1227" s="1">
        <v>1</v>
      </c>
      <c r="AA1227" s="14">
        <v>37165.919999999998</v>
      </c>
      <c r="AB1227" s="14">
        <v>37165.919999999998</v>
      </c>
      <c r="AC1227" s="1" t="str">
        <f>VLOOKUP(A1227,[1]Detalle!$D$2:$CW$484,98,FALSE)</f>
        <v>CMQ_TTE - QUILMES TTE</v>
      </c>
    </row>
    <row r="1228" spans="1:32" ht="14.25" customHeight="1" x14ac:dyDescent="0.3">
      <c r="A1228" s="12" t="s">
        <v>253</v>
      </c>
      <c r="B1228" s="1" t="s">
        <v>341</v>
      </c>
      <c r="C1228" s="1" t="s">
        <v>328</v>
      </c>
      <c r="D1228" s="1" t="s">
        <v>328</v>
      </c>
      <c r="E1228" s="1">
        <v>0.75</v>
      </c>
      <c r="F1228" s="1">
        <f>VLOOKUP(D1228,Sheet1!$D$2:$F$1119,2,FALSE)</f>
        <v>0.75</v>
      </c>
      <c r="P1228" s="13">
        <v>45432</v>
      </c>
      <c r="R1228" s="7">
        <v>46162</v>
      </c>
      <c r="S1228" s="7">
        <v>46162</v>
      </c>
      <c r="T1228" s="7" t="str">
        <f t="shared" si="0"/>
        <v>mayo</v>
      </c>
      <c r="X1228" s="1" t="s">
        <v>333</v>
      </c>
      <c r="Y1228" s="1" t="s">
        <v>334</v>
      </c>
      <c r="Z1228" s="1">
        <v>1</v>
      </c>
      <c r="AA1228" s="14">
        <v>8513.2800000000007</v>
      </c>
      <c r="AB1228" s="14">
        <v>8513.2800000000007</v>
      </c>
      <c r="AC1228" s="1" t="str">
        <f>VLOOKUP(A1228,[1]Detalle!$D$2:$CW$484,98,FALSE)</f>
        <v>CMQ_TTE - QUILMES TTE</v>
      </c>
    </row>
    <row r="1229" spans="1:32" ht="14.25" customHeight="1" x14ac:dyDescent="0.3">
      <c r="A1229" s="12" t="s">
        <v>253</v>
      </c>
      <c r="B1229" s="1" t="s">
        <v>341</v>
      </c>
      <c r="C1229" s="1" t="s">
        <v>343</v>
      </c>
      <c r="D1229" s="1" t="s">
        <v>343</v>
      </c>
      <c r="E1229" s="1">
        <v>0.5</v>
      </c>
      <c r="F1229" s="1">
        <f>VLOOKUP(D1229,Sheet1!$D$2:$F$1119,2,FALSE)</f>
        <v>0.5</v>
      </c>
      <c r="P1229" s="13">
        <v>45432</v>
      </c>
      <c r="R1229" s="7">
        <v>46162</v>
      </c>
      <c r="S1229" s="7">
        <v>46162</v>
      </c>
      <c r="T1229" s="7" t="str">
        <f t="shared" si="0"/>
        <v>mayo</v>
      </c>
      <c r="X1229" s="1" t="s">
        <v>345</v>
      </c>
      <c r="Y1229" s="1" t="s">
        <v>346</v>
      </c>
      <c r="Z1229" s="1">
        <v>1</v>
      </c>
      <c r="AA1229" s="14">
        <v>10535.04</v>
      </c>
      <c r="AB1229" s="14">
        <v>10535.04</v>
      </c>
      <c r="AC1229" s="1" t="str">
        <f>VLOOKUP(A1229,[1]Detalle!$D$2:$CW$484,98,FALSE)</f>
        <v>CMQ_TTE - QUILMES TTE</v>
      </c>
    </row>
    <row r="1230" spans="1:32" ht="14.25" customHeight="1" x14ac:dyDescent="0.3">
      <c r="A1230" s="12" t="s">
        <v>253</v>
      </c>
      <c r="B1230" s="1" t="s">
        <v>341</v>
      </c>
      <c r="C1230" s="1" t="s">
        <v>415</v>
      </c>
      <c r="D1230" s="1" t="s">
        <v>415</v>
      </c>
      <c r="E1230" s="1">
        <v>0.25</v>
      </c>
      <c r="F1230" s="1">
        <f>VLOOKUP(D1230,Sheet1!$D$2:$F$1119,2,FALSE)</f>
        <v>0.25</v>
      </c>
      <c r="P1230" s="13">
        <v>45432</v>
      </c>
      <c r="R1230" s="7">
        <v>46162</v>
      </c>
      <c r="S1230" s="7">
        <v>46162</v>
      </c>
      <c r="T1230" s="7" t="str">
        <f t="shared" si="0"/>
        <v>mayo</v>
      </c>
      <c r="X1230" s="1" t="s">
        <v>416</v>
      </c>
      <c r="Y1230" s="1" t="s">
        <v>417</v>
      </c>
      <c r="Z1230" s="1">
        <v>1</v>
      </c>
      <c r="AA1230" s="14">
        <v>37165.919999999998</v>
      </c>
      <c r="AB1230" s="14">
        <v>37165.919999999998</v>
      </c>
      <c r="AC1230" s="1" t="str">
        <f>VLOOKUP(A1230,[1]Detalle!$D$2:$CW$484,98,FALSE)</f>
        <v>CMQ_TTE - QUILMES TTE</v>
      </c>
    </row>
    <row r="1231" spans="1:32" ht="14.25" customHeight="1" x14ac:dyDescent="0.3">
      <c r="A1231" s="24" t="s">
        <v>277</v>
      </c>
      <c r="B1231" s="1" t="s">
        <v>442</v>
      </c>
      <c r="C1231" s="8" t="s">
        <v>328</v>
      </c>
      <c r="D1231" s="8" t="s">
        <v>428</v>
      </c>
      <c r="E1231" s="8">
        <v>0.75</v>
      </c>
      <c r="F1231" s="8">
        <f>VLOOKUP(D1231,Sheet1!$D$2:$F$1119,2,FALSE)</f>
        <v>0.75</v>
      </c>
      <c r="G1231" s="8"/>
      <c r="H1231" s="8"/>
      <c r="I1231" s="8"/>
      <c r="J1231" s="8"/>
      <c r="K1231" s="8"/>
      <c r="L1231" s="8"/>
      <c r="M1231" s="8"/>
      <c r="N1231" s="8"/>
      <c r="O1231" s="8"/>
      <c r="P1231" s="25">
        <v>45404</v>
      </c>
      <c r="Q1231" s="8"/>
      <c r="R1231" s="10">
        <v>46134</v>
      </c>
      <c r="S1231" s="7">
        <v>46134</v>
      </c>
      <c r="T1231" s="10" t="str">
        <f t="shared" si="0"/>
        <v>abril</v>
      </c>
      <c r="U1231" s="8"/>
      <c r="V1231" s="8"/>
      <c r="W1231" s="8"/>
      <c r="X1231" s="8" t="s">
        <v>444</v>
      </c>
      <c r="Y1231" s="8" t="s">
        <v>445</v>
      </c>
      <c r="Z1231" s="8">
        <v>1</v>
      </c>
      <c r="AA1231" s="26">
        <v>42100</v>
      </c>
      <c r="AB1231" s="26">
        <v>42100</v>
      </c>
      <c r="AC1231" s="1" t="str">
        <f>VLOOKUP(A1231,[1]Detalle!$D$2:$CW$484,98,FALSE)</f>
        <v>Expreso - Servicios Troncales</v>
      </c>
      <c r="AD1231" s="8"/>
      <c r="AE1231" s="8"/>
      <c r="AF1231" s="8"/>
    </row>
    <row r="1232" spans="1:32" ht="14.25" customHeight="1" x14ac:dyDescent="0.3">
      <c r="A1232" s="24" t="s">
        <v>277</v>
      </c>
      <c r="B1232" s="1" t="s">
        <v>442</v>
      </c>
      <c r="C1232" s="8" t="s">
        <v>343</v>
      </c>
      <c r="D1232" s="8" t="s">
        <v>451</v>
      </c>
      <c r="E1232" s="8">
        <v>0.5</v>
      </c>
      <c r="F1232" s="8">
        <f>VLOOKUP(D1232,Sheet1!$D$2:$F$1119,2,FALSE)</f>
        <v>0.5</v>
      </c>
      <c r="G1232" s="8"/>
      <c r="H1232" s="8"/>
      <c r="I1232" s="8"/>
      <c r="J1232" s="8"/>
      <c r="K1232" s="8"/>
      <c r="L1232" s="8"/>
      <c r="M1232" s="8"/>
      <c r="N1232" s="8"/>
      <c r="O1232" s="8"/>
      <c r="P1232" s="25">
        <v>45404</v>
      </c>
      <c r="Q1232" s="8"/>
      <c r="R1232" s="10">
        <v>46134</v>
      </c>
      <c r="S1232" s="7">
        <v>46134</v>
      </c>
      <c r="T1232" s="10" t="str">
        <f t="shared" si="0"/>
        <v>abril</v>
      </c>
      <c r="U1232" s="8"/>
      <c r="V1232" s="8"/>
      <c r="W1232" s="8"/>
      <c r="X1232" s="8" t="s">
        <v>458</v>
      </c>
      <c r="Y1232" s="8" t="s">
        <v>459</v>
      </c>
      <c r="Z1232" s="8">
        <v>1</v>
      </c>
      <c r="AA1232" s="26">
        <v>23207.05</v>
      </c>
      <c r="AB1232" s="26">
        <v>23207.05</v>
      </c>
      <c r="AC1232" s="1" t="str">
        <f>VLOOKUP(A1232,[1]Detalle!$D$2:$CW$484,98,FALSE)</f>
        <v>Expreso - Servicios Troncales</v>
      </c>
      <c r="AD1232" s="8"/>
      <c r="AE1232" s="8"/>
      <c r="AF1232" s="8"/>
    </row>
    <row r="1233" spans="1:32" ht="14.25" customHeight="1" x14ac:dyDescent="0.3">
      <c r="A1233" s="24" t="s">
        <v>277</v>
      </c>
      <c r="B1233" s="1" t="s">
        <v>442</v>
      </c>
      <c r="C1233" s="8" t="s">
        <v>415</v>
      </c>
      <c r="D1233" s="8" t="s">
        <v>467</v>
      </c>
      <c r="E1233" s="8">
        <v>0.25</v>
      </c>
      <c r="F1233" s="8">
        <f>VLOOKUP(D1233,Sheet1!$D$2:$F$1119,2,FALSE)</f>
        <v>0.25</v>
      </c>
      <c r="G1233" s="8"/>
      <c r="H1233" s="8"/>
      <c r="I1233" s="8"/>
      <c r="J1233" s="8"/>
      <c r="K1233" s="8"/>
      <c r="L1233" s="8"/>
      <c r="M1233" s="8"/>
      <c r="N1233" s="8"/>
      <c r="O1233" s="8"/>
      <c r="P1233" s="25">
        <v>45404</v>
      </c>
      <c r="Q1233" s="8"/>
      <c r="R1233" s="10">
        <v>46134</v>
      </c>
      <c r="S1233" s="7">
        <v>46134</v>
      </c>
      <c r="T1233" s="10" t="str">
        <f t="shared" si="0"/>
        <v>abril</v>
      </c>
      <c r="U1233" s="8"/>
      <c r="V1233" s="8"/>
      <c r="W1233" s="8"/>
      <c r="X1233" s="8" t="s">
        <v>472</v>
      </c>
      <c r="Y1233" s="8" t="s">
        <v>473</v>
      </c>
      <c r="Z1233" s="8">
        <v>1</v>
      </c>
      <c r="AA1233" s="26">
        <v>35911.769999999997</v>
      </c>
      <c r="AB1233" s="26">
        <v>35911.769999999997</v>
      </c>
      <c r="AC1233" s="1" t="str">
        <f>VLOOKUP(A1233,[1]Detalle!$D$2:$CW$484,98,FALSE)</f>
        <v>Expreso - Servicios Troncales</v>
      </c>
      <c r="AD1233" s="8"/>
      <c r="AE1233" s="8"/>
      <c r="AF1233" s="8"/>
    </row>
    <row r="1234" spans="1:32" ht="14.25" customHeight="1" x14ac:dyDescent="0.3">
      <c r="A1234" s="15" t="s">
        <v>278</v>
      </c>
      <c r="B1234" s="1" t="s">
        <v>500</v>
      </c>
      <c r="C1234" s="1" t="s">
        <v>328</v>
      </c>
      <c r="D1234" s="1" t="s">
        <v>428</v>
      </c>
      <c r="E1234" s="1">
        <v>0.75</v>
      </c>
      <c r="F1234" s="1">
        <f>VLOOKUP(D1234,Sheet1!$D$2:$F$1119,2,FALSE)</f>
        <v>0.75</v>
      </c>
      <c r="P1234" s="7">
        <v>46047</v>
      </c>
      <c r="R1234" s="7">
        <v>46047</v>
      </c>
      <c r="S1234" s="7">
        <v>46047</v>
      </c>
      <c r="T1234" s="7" t="str">
        <f t="shared" si="0"/>
        <v>enero</v>
      </c>
      <c r="X1234" s="1" t="s">
        <v>444</v>
      </c>
      <c r="Y1234" s="1" t="s">
        <v>445</v>
      </c>
      <c r="Z1234" s="1">
        <v>1</v>
      </c>
      <c r="AA1234" s="14">
        <v>42100</v>
      </c>
      <c r="AB1234" s="14">
        <v>42100</v>
      </c>
      <c r="AC1234" s="1" t="str">
        <f>VLOOKUP(A1234,[1]Detalle!$D$2:$CW$484,98,FALSE)</f>
        <v>Expreso - Servicios Troncales</v>
      </c>
    </row>
    <row r="1235" spans="1:32" ht="14.25" customHeight="1" x14ac:dyDescent="0.3">
      <c r="A1235" s="22" t="s">
        <v>278</v>
      </c>
      <c r="B1235" s="1" t="s">
        <v>500</v>
      </c>
      <c r="C1235" s="1" t="s">
        <v>343</v>
      </c>
      <c r="D1235" s="1" t="s">
        <v>451</v>
      </c>
      <c r="E1235" s="1">
        <v>0.5</v>
      </c>
      <c r="F1235" s="1">
        <f>VLOOKUP(D1235,Sheet1!$D$2:$F$1119,2,FALSE)</f>
        <v>0.5</v>
      </c>
      <c r="P1235" s="7">
        <v>46047</v>
      </c>
      <c r="R1235" s="7">
        <v>46047</v>
      </c>
      <c r="S1235" s="7">
        <v>46047</v>
      </c>
      <c r="T1235" s="7" t="str">
        <f t="shared" si="0"/>
        <v>enero</v>
      </c>
      <c r="X1235" s="1" t="s">
        <v>460</v>
      </c>
      <c r="Y1235" s="1" t="s">
        <v>461</v>
      </c>
      <c r="Z1235" s="1">
        <v>1</v>
      </c>
      <c r="AA1235" s="14">
        <v>53100</v>
      </c>
      <c r="AB1235" s="14">
        <v>53100</v>
      </c>
      <c r="AC1235" s="1" t="str">
        <f>VLOOKUP(A1235,[1]Detalle!$D$2:$CW$484,98,FALSE)</f>
        <v>Expreso - Servicios Troncales</v>
      </c>
    </row>
    <row r="1236" spans="1:32" ht="14.25" customHeight="1" x14ac:dyDescent="0.3">
      <c r="A1236" s="23" t="s">
        <v>278</v>
      </c>
      <c r="B1236" s="1" t="s">
        <v>500</v>
      </c>
      <c r="C1236" s="1" t="s">
        <v>415</v>
      </c>
      <c r="D1236" s="1" t="s">
        <v>467</v>
      </c>
      <c r="E1236" s="1">
        <v>0.25</v>
      </c>
      <c r="F1236" s="1">
        <f>VLOOKUP(D1236,Sheet1!$D$2:$F$1119,2,FALSE)</f>
        <v>0.25</v>
      </c>
      <c r="P1236" s="7">
        <v>46047</v>
      </c>
      <c r="R1236" s="7">
        <v>46047</v>
      </c>
      <c r="S1236" s="7">
        <v>46047</v>
      </c>
      <c r="T1236" s="7" t="str">
        <f t="shared" si="0"/>
        <v>enero</v>
      </c>
      <c r="X1236" s="1" t="s">
        <v>472</v>
      </c>
      <c r="Y1236" s="1" t="s">
        <v>473</v>
      </c>
      <c r="Z1236" s="1">
        <v>1</v>
      </c>
      <c r="AA1236" s="14">
        <v>35911.769999999997</v>
      </c>
      <c r="AB1236" s="14">
        <v>35911.769999999997</v>
      </c>
      <c r="AC1236" s="1" t="str">
        <f>VLOOKUP(A1236,[1]Detalle!$D$2:$CW$484,98,FALSE)</f>
        <v>Expreso - Servicios Troncales</v>
      </c>
    </row>
    <row r="1237" spans="1:32" ht="14.25" customHeight="1" x14ac:dyDescent="0.3">
      <c r="A1237" s="21" t="s">
        <v>281</v>
      </c>
      <c r="B1237" s="1">
        <v>710</v>
      </c>
      <c r="C1237" s="1" t="s">
        <v>328</v>
      </c>
      <c r="D1237" s="1" t="s">
        <v>328</v>
      </c>
      <c r="E1237" s="1">
        <v>0.75</v>
      </c>
      <c r="F1237" s="1">
        <f>VLOOKUP(D1237,Sheet1!$D$2:$F$1119,2,FALSE)</f>
        <v>0.75</v>
      </c>
      <c r="P1237" s="7">
        <v>46047</v>
      </c>
      <c r="R1237" s="7">
        <v>46047</v>
      </c>
      <c r="S1237" s="7">
        <v>46047</v>
      </c>
      <c r="T1237" s="7" t="str">
        <f t="shared" si="0"/>
        <v>enero</v>
      </c>
      <c r="X1237" s="1" t="s">
        <v>333</v>
      </c>
      <c r="Y1237" s="1" t="s">
        <v>334</v>
      </c>
      <c r="Z1237" s="1">
        <v>1</v>
      </c>
      <c r="AA1237" s="14">
        <v>8513.2800000000007</v>
      </c>
      <c r="AB1237" s="14">
        <v>8513.2800000000007</v>
      </c>
      <c r="AC1237" s="1" t="str">
        <f>VLOOKUP(A1237,[1]Detalle!$D$2:$CW$484,98,FALSE)</f>
        <v>SUC_SRA - Sucursal San Rafael</v>
      </c>
    </row>
    <row r="1238" spans="1:32" ht="14.25" customHeight="1" x14ac:dyDescent="0.3">
      <c r="A1238" s="21" t="s">
        <v>281</v>
      </c>
      <c r="B1238" s="1">
        <v>710</v>
      </c>
      <c r="C1238" s="1" t="s">
        <v>343</v>
      </c>
      <c r="D1238" s="1" t="s">
        <v>343</v>
      </c>
      <c r="E1238" s="1">
        <v>0.5</v>
      </c>
      <c r="F1238" s="1">
        <f>VLOOKUP(D1238,Sheet1!$D$2:$F$1119,2,FALSE)</f>
        <v>0.5</v>
      </c>
      <c r="P1238" s="7">
        <v>46047</v>
      </c>
      <c r="R1238" s="7">
        <v>46047</v>
      </c>
      <c r="S1238" s="7">
        <v>46047</v>
      </c>
      <c r="T1238" s="7" t="str">
        <f t="shared" si="0"/>
        <v>enero</v>
      </c>
      <c r="X1238" s="1" t="s">
        <v>345</v>
      </c>
      <c r="Y1238" s="1" t="s">
        <v>346</v>
      </c>
      <c r="Z1238" s="1">
        <v>1</v>
      </c>
      <c r="AA1238" s="14">
        <v>10535.04</v>
      </c>
      <c r="AB1238" s="14">
        <v>10535.04</v>
      </c>
      <c r="AC1238" s="1" t="str">
        <f>VLOOKUP(A1238,[1]Detalle!$D$2:$CW$484,98,FALSE)</f>
        <v>SUC_SRA - Sucursal San Rafael</v>
      </c>
    </row>
    <row r="1239" spans="1:32" ht="14.25" customHeight="1" x14ac:dyDescent="0.3">
      <c r="A1239" s="21" t="s">
        <v>281</v>
      </c>
      <c r="B1239" s="1">
        <v>710</v>
      </c>
      <c r="C1239" s="1" t="s">
        <v>415</v>
      </c>
      <c r="D1239" s="1" t="s">
        <v>415</v>
      </c>
      <c r="E1239" s="1">
        <v>0.25</v>
      </c>
      <c r="F1239" s="1">
        <f>VLOOKUP(D1239,Sheet1!$D$2:$F$1119,2,FALSE)</f>
        <v>0.25</v>
      </c>
      <c r="P1239" s="7">
        <v>46047</v>
      </c>
      <c r="R1239" s="7">
        <v>46047</v>
      </c>
      <c r="S1239" s="7">
        <v>46047</v>
      </c>
      <c r="T1239" s="7" t="str">
        <f t="shared" si="0"/>
        <v>enero</v>
      </c>
      <c r="X1239" s="1" t="s">
        <v>416</v>
      </c>
      <c r="Y1239" s="1" t="s">
        <v>417</v>
      </c>
      <c r="Z1239" s="1">
        <v>1</v>
      </c>
      <c r="AA1239" s="14">
        <v>37165.919999999998</v>
      </c>
      <c r="AB1239" s="14">
        <v>37165.919999999998</v>
      </c>
      <c r="AC1239" s="1" t="str">
        <f>VLOOKUP(A1239,[1]Detalle!$D$2:$CW$484,98,FALSE)</f>
        <v>SUC_SRA - Sucursal San Rafael</v>
      </c>
    </row>
    <row r="1240" spans="1:32" ht="14.25" customHeight="1" x14ac:dyDescent="0.3">
      <c r="A1240" s="22" t="s">
        <v>282</v>
      </c>
      <c r="B1240" s="1" t="s">
        <v>501</v>
      </c>
      <c r="C1240" s="1" t="s">
        <v>328</v>
      </c>
      <c r="D1240" s="1" t="s">
        <v>328</v>
      </c>
      <c r="E1240" s="1">
        <v>0.75</v>
      </c>
      <c r="F1240" s="1">
        <f>VLOOKUP(D1240,Sheet1!$D$2:$F$1119,2,FALSE)</f>
        <v>0.75</v>
      </c>
      <c r="P1240" s="7">
        <v>46047</v>
      </c>
      <c r="R1240" s="7">
        <v>46047</v>
      </c>
      <c r="S1240" s="7">
        <v>46047</v>
      </c>
      <c r="T1240" s="7" t="str">
        <f t="shared" si="0"/>
        <v>enero</v>
      </c>
      <c r="X1240" s="1" t="s">
        <v>502</v>
      </c>
      <c r="Y1240" s="1" t="s">
        <v>503</v>
      </c>
      <c r="Z1240" s="1">
        <v>1</v>
      </c>
      <c r="AA1240" s="14">
        <v>4196.8599999999997</v>
      </c>
      <c r="AB1240" s="14">
        <f t="shared" ref="AB1240:AB1242" si="5">AA1240*Z1240</f>
        <v>4196.8599999999997</v>
      </c>
      <c r="AC1240" s="1" t="str">
        <f>VLOOKUP(A1240,[1]Detalle!$D$2:$CW$484,98,FALSE)</f>
        <v>Sin Operación</v>
      </c>
    </row>
    <row r="1241" spans="1:32" ht="14.25" customHeight="1" x14ac:dyDescent="0.3">
      <c r="A1241" s="20" t="s">
        <v>282</v>
      </c>
      <c r="B1241" s="1" t="s">
        <v>501</v>
      </c>
      <c r="C1241" s="1" t="s">
        <v>343</v>
      </c>
      <c r="D1241" s="1" t="s">
        <v>343</v>
      </c>
      <c r="E1241" s="1">
        <v>0.5</v>
      </c>
      <c r="F1241" s="1">
        <f>VLOOKUP(D1241,Sheet1!$D$2:$F$1119,2,FALSE)</f>
        <v>0.5</v>
      </c>
      <c r="P1241" s="7">
        <v>46047</v>
      </c>
      <c r="R1241" s="7">
        <v>46047</v>
      </c>
      <c r="S1241" s="7">
        <v>46047</v>
      </c>
      <c r="T1241" s="7" t="str">
        <f t="shared" si="0"/>
        <v>enero</v>
      </c>
      <c r="X1241" s="1" t="s">
        <v>504</v>
      </c>
      <c r="Y1241" s="1" t="s">
        <v>505</v>
      </c>
      <c r="Z1241" s="1">
        <v>1</v>
      </c>
      <c r="AA1241" s="14">
        <v>2756</v>
      </c>
      <c r="AB1241" s="14">
        <f t="shared" si="5"/>
        <v>2756</v>
      </c>
      <c r="AC1241" s="1" t="str">
        <f>VLOOKUP(A1241,[1]Detalle!$D$2:$CW$484,98,FALSE)</f>
        <v>Sin Operación</v>
      </c>
    </row>
    <row r="1242" spans="1:32" ht="14.25" customHeight="1" x14ac:dyDescent="0.3">
      <c r="A1242" s="21" t="s">
        <v>282</v>
      </c>
      <c r="B1242" s="1" t="s">
        <v>501</v>
      </c>
      <c r="C1242" s="1" t="s">
        <v>415</v>
      </c>
      <c r="D1242" s="1" t="s">
        <v>415</v>
      </c>
      <c r="E1242" s="1">
        <v>0.25</v>
      </c>
      <c r="F1242" s="1">
        <f>VLOOKUP(D1242,Sheet1!$D$2:$F$1119,2,FALSE)</f>
        <v>0.25</v>
      </c>
      <c r="P1242" s="7">
        <v>46047</v>
      </c>
      <c r="R1242" s="7">
        <v>46047</v>
      </c>
      <c r="S1242" s="7">
        <v>46047</v>
      </c>
      <c r="T1242" s="7" t="str">
        <f t="shared" si="0"/>
        <v>enero</v>
      </c>
      <c r="X1242" s="1" t="s">
        <v>506</v>
      </c>
      <c r="Y1242" s="1" t="s">
        <v>507</v>
      </c>
      <c r="Z1242" s="1">
        <v>1</v>
      </c>
      <c r="AA1242" s="14">
        <v>13755.87</v>
      </c>
      <c r="AB1242" s="14">
        <f t="shared" si="5"/>
        <v>13755.87</v>
      </c>
      <c r="AC1242" s="1" t="str">
        <f>VLOOKUP(A1242,[1]Detalle!$D$2:$CW$484,98,FALSE)</f>
        <v>Sin Operación</v>
      </c>
    </row>
    <row r="1243" spans="1:32" ht="14.25" customHeight="1" x14ac:dyDescent="0.3">
      <c r="A1243" s="12" t="s">
        <v>50</v>
      </c>
      <c r="B1243" s="1" t="s">
        <v>483</v>
      </c>
      <c r="C1243" s="1" t="s">
        <v>415</v>
      </c>
      <c r="D1243" s="1" t="s">
        <v>371</v>
      </c>
      <c r="E1243" s="1">
        <v>0.25</v>
      </c>
      <c r="F1243" s="1">
        <f>VLOOKUP(D1243,Sheet1!$D$2:$F$1119,2,FALSE)</f>
        <v>0.25</v>
      </c>
      <c r="P1243" s="13">
        <v>45882</v>
      </c>
      <c r="R1243" s="7">
        <v>46247</v>
      </c>
      <c r="S1243" s="7">
        <v>46247</v>
      </c>
      <c r="T1243" s="7" t="str">
        <f t="shared" si="0"/>
        <v>agosto</v>
      </c>
      <c r="X1243" s="1" t="s">
        <v>380</v>
      </c>
      <c r="Y1243" s="1" t="s">
        <v>381</v>
      </c>
      <c r="Z1243" s="1">
        <v>1</v>
      </c>
      <c r="AA1243" s="14">
        <v>18045.55</v>
      </c>
      <c r="AB1243" s="14">
        <v>18045.55</v>
      </c>
      <c r="AC1243" s="1" t="str">
        <f>VLOOKUP(A1243,[1]Detalle!$D$2:$CW$484,98,FALSE)</f>
        <v>CIMSA_BS AS</v>
      </c>
    </row>
    <row r="1244" spans="1:32" ht="14.25" customHeight="1" x14ac:dyDescent="0.3">
      <c r="A1244" s="12" t="s">
        <v>80</v>
      </c>
      <c r="B1244" s="1" t="s">
        <v>375</v>
      </c>
      <c r="C1244" s="1" t="s">
        <v>415</v>
      </c>
      <c r="D1244" s="1" t="s">
        <v>371</v>
      </c>
      <c r="E1244" s="1">
        <v>0.25</v>
      </c>
      <c r="F1244" s="1">
        <f>VLOOKUP(D1244,Sheet1!$D$2:$F$1119,2,FALSE)</f>
        <v>0.25</v>
      </c>
      <c r="P1244" s="13">
        <v>46068</v>
      </c>
      <c r="R1244" s="13">
        <v>46068</v>
      </c>
      <c r="S1244" s="7">
        <v>46068</v>
      </c>
      <c r="T1244" s="7" t="str">
        <f t="shared" si="0"/>
        <v>febrero</v>
      </c>
      <c r="X1244" s="1" t="s">
        <v>392</v>
      </c>
      <c r="Y1244" s="1" t="s">
        <v>393</v>
      </c>
      <c r="Z1244" s="1">
        <v>1</v>
      </c>
      <c r="AA1244" s="14">
        <v>7060.88</v>
      </c>
      <c r="AB1244" s="14">
        <v>7060.88</v>
      </c>
      <c r="AC1244" s="1" t="str">
        <f>VLOOKUP(A1244,[1]Detalle!$D$2:$CW$484,98,FALSE)</f>
        <v>CIMSA_BS AS</v>
      </c>
    </row>
    <row r="1245" spans="1:32" ht="14.25" customHeight="1" x14ac:dyDescent="0.3">
      <c r="A1245" s="12" t="s">
        <v>247</v>
      </c>
      <c r="B1245" s="1" t="s">
        <v>493</v>
      </c>
      <c r="C1245" s="1" t="s">
        <v>415</v>
      </c>
      <c r="D1245" s="1" t="s">
        <v>371</v>
      </c>
      <c r="E1245" s="1">
        <v>0.25</v>
      </c>
      <c r="F1245" s="1">
        <f>VLOOKUP(D1245,Sheet1!$D$2:$F$1119,2,FALSE)</f>
        <v>0.25</v>
      </c>
      <c r="P1245" s="13">
        <v>45631</v>
      </c>
      <c r="R1245" s="13">
        <v>46361</v>
      </c>
      <c r="S1245" s="7">
        <v>46361</v>
      </c>
      <c r="T1245" s="7" t="str">
        <f t="shared" si="0"/>
        <v>diciembre</v>
      </c>
      <c r="X1245" s="1" t="s">
        <v>508</v>
      </c>
      <c r="Y1245" s="1" t="s">
        <v>509</v>
      </c>
      <c r="Z1245" s="1">
        <v>1</v>
      </c>
      <c r="AA1245" s="14">
        <v>6633.35</v>
      </c>
      <c r="AB1245" s="14">
        <f>AA1245*Z1245</f>
        <v>6633.35</v>
      </c>
      <c r="AC1245" s="1" t="str">
        <f>VLOOKUP(A1245,[1]Detalle!$D$2:$CW$484,98,FALSE)</f>
        <v>CIMSA_MZA</v>
      </c>
    </row>
    <row r="1246" spans="1:32" ht="14.25" customHeight="1" x14ac:dyDescent="0.3">
      <c r="A1246" s="12" t="s">
        <v>4</v>
      </c>
      <c r="B1246" s="1" t="s">
        <v>327</v>
      </c>
      <c r="C1246" s="1" t="s">
        <v>328</v>
      </c>
      <c r="D1246" s="1" t="s">
        <v>328</v>
      </c>
      <c r="E1246" s="1">
        <v>0.75</v>
      </c>
      <c r="F1246" s="1" t="s">
        <v>329</v>
      </c>
      <c r="P1246" s="13">
        <v>45973</v>
      </c>
      <c r="R1246" s="7">
        <v>46338</v>
      </c>
      <c r="S1246" s="7">
        <v>46338</v>
      </c>
      <c r="T1246" s="7" t="str">
        <f t="shared" si="0"/>
        <v>noviembre</v>
      </c>
      <c r="X1246" s="1" t="s">
        <v>331</v>
      </c>
      <c r="Y1246" s="1" t="s">
        <v>332</v>
      </c>
      <c r="Z1246" s="1">
        <v>16</v>
      </c>
      <c r="AA1246" s="14">
        <v>3389.9</v>
      </c>
      <c r="AB1246" s="14">
        <v>54238.400000000001</v>
      </c>
      <c r="AC1246" s="1" t="str">
        <f>VLOOKUP(A1246,[1]Detalle!$D$2:$CW$484,98,FALSE)</f>
        <v>CCUDyAZA</v>
      </c>
    </row>
    <row r="1247" spans="1:32" ht="14.25" customHeight="1" x14ac:dyDescent="0.3">
      <c r="A1247" s="12" t="s">
        <v>25</v>
      </c>
      <c r="B1247" s="1" t="s">
        <v>407</v>
      </c>
      <c r="C1247" s="1" t="s">
        <v>328</v>
      </c>
      <c r="D1247" s="1" t="s">
        <v>328</v>
      </c>
      <c r="E1247" s="1">
        <v>0.75</v>
      </c>
      <c r="F1247" s="1" t="s">
        <v>329</v>
      </c>
      <c r="P1247" s="13">
        <v>45582</v>
      </c>
      <c r="R1247" s="7">
        <v>46312</v>
      </c>
      <c r="S1247" s="7">
        <v>46312</v>
      </c>
      <c r="T1247" s="7" t="str">
        <f t="shared" si="0"/>
        <v>octubre</v>
      </c>
      <c r="X1247" s="1" t="s">
        <v>331</v>
      </c>
      <c r="Y1247" s="1" t="s">
        <v>332</v>
      </c>
      <c r="Z1247" s="1">
        <v>16</v>
      </c>
      <c r="AA1247" s="14">
        <v>3389.9</v>
      </c>
      <c r="AB1247" s="14">
        <v>54238.400000000001</v>
      </c>
      <c r="AC1247" s="1" t="str">
        <f>VLOOKUP(A1247,[1]Detalle!$D$2:$CW$484,98,FALSE)</f>
        <v>CMQ_TTE - QUILMES TTE</v>
      </c>
    </row>
    <row r="1248" spans="1:32" ht="14.25" customHeight="1" x14ac:dyDescent="0.3">
      <c r="A1248" s="12" t="s">
        <v>26</v>
      </c>
      <c r="B1248" s="1" t="s">
        <v>408</v>
      </c>
      <c r="C1248" s="1" t="s">
        <v>328</v>
      </c>
      <c r="D1248" s="1" t="s">
        <v>328</v>
      </c>
      <c r="E1248" s="1">
        <v>0.75</v>
      </c>
      <c r="F1248" s="1" t="s">
        <v>329</v>
      </c>
      <c r="P1248" s="13">
        <v>45608</v>
      </c>
      <c r="R1248" s="7">
        <v>46338</v>
      </c>
      <c r="S1248" s="7">
        <v>46338</v>
      </c>
      <c r="T1248" s="7" t="str">
        <f t="shared" si="0"/>
        <v>noviembre</v>
      </c>
      <c r="X1248" s="1" t="s">
        <v>331</v>
      </c>
      <c r="Y1248" s="1" t="s">
        <v>332</v>
      </c>
      <c r="Z1248" s="1">
        <v>16</v>
      </c>
      <c r="AA1248" s="14">
        <v>3389.9</v>
      </c>
      <c r="AB1248" s="14">
        <v>54238.400000000001</v>
      </c>
      <c r="AC1248" s="1" t="str">
        <f>VLOOKUP(A1248,[1]Detalle!$D$2:$CW$484,98,FALSE)</f>
        <v>CMQ_TTE - QUILMES TTE</v>
      </c>
    </row>
    <row r="1249" spans="1:29" ht="14.25" customHeight="1" x14ac:dyDescent="0.3">
      <c r="A1249" s="12" t="s">
        <v>29</v>
      </c>
      <c r="B1249" s="1" t="s">
        <v>407</v>
      </c>
      <c r="C1249" s="1" t="s">
        <v>328</v>
      </c>
      <c r="D1249" s="1" t="s">
        <v>328</v>
      </c>
      <c r="E1249" s="1">
        <v>0.75</v>
      </c>
      <c r="F1249" s="1" t="s">
        <v>329</v>
      </c>
      <c r="P1249" s="13">
        <v>45552</v>
      </c>
      <c r="R1249" s="7">
        <v>46282</v>
      </c>
      <c r="S1249" s="7">
        <v>46282</v>
      </c>
      <c r="T1249" s="7" t="str">
        <f t="shared" si="0"/>
        <v>septiembre</v>
      </c>
      <c r="X1249" s="1" t="s">
        <v>331</v>
      </c>
      <c r="Y1249" s="1" t="s">
        <v>332</v>
      </c>
      <c r="Z1249" s="1">
        <v>16</v>
      </c>
      <c r="AA1249" s="14">
        <v>3389.9</v>
      </c>
      <c r="AB1249" s="14">
        <v>54238.400000000001</v>
      </c>
      <c r="AC1249" s="1" t="str">
        <f>VLOOKUP(A1249,[1]Detalle!$D$2:$CW$484,98,FALSE)</f>
        <v>CMQ_TTE - QUILMES TTE</v>
      </c>
    </row>
    <row r="1250" spans="1:29" ht="14.25" customHeight="1" x14ac:dyDescent="0.3">
      <c r="A1250" s="12" t="s">
        <v>45</v>
      </c>
      <c r="B1250" s="1" t="s">
        <v>406</v>
      </c>
      <c r="C1250" s="1" t="s">
        <v>328</v>
      </c>
      <c r="D1250" s="1" t="s">
        <v>328</v>
      </c>
      <c r="E1250" s="1">
        <v>0.75</v>
      </c>
      <c r="F1250" s="1" t="s">
        <v>329</v>
      </c>
      <c r="P1250" s="13">
        <v>45679</v>
      </c>
      <c r="R1250" s="7">
        <v>46341</v>
      </c>
      <c r="S1250" s="7">
        <v>46341</v>
      </c>
      <c r="T1250" s="7" t="str">
        <f t="shared" si="0"/>
        <v>noviembre</v>
      </c>
      <c r="X1250" s="1" t="s">
        <v>331</v>
      </c>
      <c r="Y1250" s="1" t="s">
        <v>332</v>
      </c>
      <c r="Z1250" s="1">
        <v>16</v>
      </c>
      <c r="AA1250" s="14">
        <v>3389.9</v>
      </c>
      <c r="AB1250" s="14">
        <v>54238.400000000001</v>
      </c>
      <c r="AC1250" s="1" t="str">
        <f>VLOOKUP(A1250,[1]Detalle!$D$2:$CW$484,98,FALSE)</f>
        <v>CMQ_TTE - QUILMES TTE</v>
      </c>
    </row>
    <row r="1251" spans="1:29" ht="14.25" customHeight="1" x14ac:dyDescent="0.3">
      <c r="A1251" s="12" t="s">
        <v>50</v>
      </c>
      <c r="B1251" s="1" t="s">
        <v>483</v>
      </c>
      <c r="C1251" s="1" t="s">
        <v>328</v>
      </c>
      <c r="D1251" s="1" t="s">
        <v>355</v>
      </c>
      <c r="E1251" s="1">
        <v>0.75</v>
      </c>
      <c r="F1251" s="1" t="s">
        <v>329</v>
      </c>
      <c r="P1251" s="13">
        <v>45882</v>
      </c>
      <c r="R1251" s="7">
        <v>46247</v>
      </c>
      <c r="S1251" s="7">
        <v>46247</v>
      </c>
      <c r="T1251" s="7" t="str">
        <f t="shared" si="0"/>
        <v>agosto</v>
      </c>
      <c r="X1251" s="1" t="s">
        <v>363</v>
      </c>
      <c r="Y1251" s="1" t="s">
        <v>364</v>
      </c>
      <c r="Z1251" s="1">
        <v>1</v>
      </c>
      <c r="AA1251" s="14">
        <v>12001.14</v>
      </c>
      <c r="AB1251" s="14">
        <v>12001.14</v>
      </c>
      <c r="AC1251" s="1" t="str">
        <f>VLOOKUP(A1251,[1]Detalle!$D$2:$CW$484,98,FALSE)</f>
        <v>CIMSA_BS AS</v>
      </c>
    </row>
    <row r="1252" spans="1:29" ht="14.25" customHeight="1" x14ac:dyDescent="0.3">
      <c r="A1252" s="12" t="s">
        <v>72</v>
      </c>
      <c r="B1252" s="1" t="s">
        <v>484</v>
      </c>
      <c r="C1252" s="1" t="s">
        <v>328</v>
      </c>
      <c r="D1252" s="1" t="s">
        <v>428</v>
      </c>
      <c r="E1252" s="1">
        <v>0.75</v>
      </c>
      <c r="F1252" s="1" t="s">
        <v>329</v>
      </c>
      <c r="P1252" s="13">
        <v>45343</v>
      </c>
      <c r="R1252" s="7">
        <v>46376</v>
      </c>
      <c r="S1252" s="7">
        <v>46376</v>
      </c>
      <c r="T1252" s="7" t="str">
        <f t="shared" si="0"/>
        <v>diciembre</v>
      </c>
      <c r="X1252" s="1" t="s">
        <v>331</v>
      </c>
      <c r="Y1252" s="1" t="s">
        <v>332</v>
      </c>
      <c r="Z1252" s="1">
        <v>30</v>
      </c>
      <c r="AA1252" s="14">
        <v>3389.9</v>
      </c>
      <c r="AB1252" s="14">
        <v>54238.400000000001</v>
      </c>
      <c r="AC1252" s="1" t="str">
        <f>VLOOKUP(A1252,[1]Detalle!$D$2:$CW$484,98,FALSE)</f>
        <v>CMQ_TTE - QUILMES TTE</v>
      </c>
    </row>
    <row r="1253" spans="1:29" ht="14.25" customHeight="1" x14ac:dyDescent="0.3">
      <c r="A1253" s="12" t="s">
        <v>80</v>
      </c>
      <c r="B1253" s="1" t="s">
        <v>375</v>
      </c>
      <c r="C1253" s="1" t="s">
        <v>328</v>
      </c>
      <c r="D1253" s="1" t="s">
        <v>355</v>
      </c>
      <c r="E1253" s="1">
        <v>0.75</v>
      </c>
      <c r="F1253" s="1" t="s">
        <v>329</v>
      </c>
      <c r="P1253" s="13">
        <v>46068</v>
      </c>
      <c r="R1253" s="13">
        <v>46068</v>
      </c>
      <c r="S1253" s="7">
        <v>46068</v>
      </c>
      <c r="T1253" s="7" t="str">
        <f t="shared" si="0"/>
        <v>febrero</v>
      </c>
      <c r="X1253" s="1" t="s">
        <v>356</v>
      </c>
      <c r="Y1253" s="1" t="s">
        <v>357</v>
      </c>
      <c r="Z1253" s="1">
        <v>1</v>
      </c>
      <c r="AA1253" s="14">
        <v>11782.62</v>
      </c>
      <c r="AB1253" s="14">
        <v>11782.62</v>
      </c>
      <c r="AC1253" s="1" t="str">
        <f>VLOOKUP(A1253,[1]Detalle!$D$2:$CW$484,98,FALSE)</f>
        <v>CIMSA_BS AS</v>
      </c>
    </row>
    <row r="1254" spans="1:29" ht="14.25" customHeight="1" x14ac:dyDescent="0.3">
      <c r="A1254" s="12" t="s">
        <v>89</v>
      </c>
      <c r="B1254" s="1" t="s">
        <v>485</v>
      </c>
      <c r="C1254" s="1" t="s">
        <v>328</v>
      </c>
      <c r="D1254" s="1" t="s">
        <v>328</v>
      </c>
      <c r="E1254" s="1">
        <v>0.75</v>
      </c>
      <c r="F1254" s="1" t="s">
        <v>329</v>
      </c>
      <c r="P1254" s="13">
        <v>45582</v>
      </c>
      <c r="R1254" s="7">
        <v>46312</v>
      </c>
      <c r="S1254" s="7">
        <v>46312</v>
      </c>
      <c r="T1254" s="7" t="str">
        <f t="shared" si="0"/>
        <v>octubre</v>
      </c>
      <c r="X1254" s="1" t="s">
        <v>331</v>
      </c>
      <c r="Y1254" s="1" t="s">
        <v>332</v>
      </c>
      <c r="Z1254" s="1">
        <v>16</v>
      </c>
      <c r="AA1254" s="14">
        <v>3389.9</v>
      </c>
      <c r="AB1254" s="14">
        <v>54238.400000000001</v>
      </c>
      <c r="AC1254" s="1" t="str">
        <f>VLOOKUP(A1254,[1]Detalle!$D$2:$CW$484,98,FALSE)</f>
        <v>CMQ_TTE - QUILMES TTE</v>
      </c>
    </row>
    <row r="1255" spans="1:29" ht="14.25" customHeight="1" x14ac:dyDescent="0.3">
      <c r="A1255" s="12" t="s">
        <v>90</v>
      </c>
      <c r="B1255" s="1" t="s">
        <v>485</v>
      </c>
      <c r="C1255" s="1" t="s">
        <v>328</v>
      </c>
      <c r="D1255" s="1" t="s">
        <v>328</v>
      </c>
      <c r="E1255" s="1">
        <v>0.75</v>
      </c>
      <c r="F1255" s="1" t="s">
        <v>329</v>
      </c>
      <c r="P1255" s="7">
        <v>46368</v>
      </c>
      <c r="R1255" s="7">
        <v>46368</v>
      </c>
      <c r="S1255" s="7">
        <v>46368</v>
      </c>
      <c r="T1255" s="7" t="str">
        <f t="shared" si="0"/>
        <v>diciembre</v>
      </c>
      <c r="X1255" s="1" t="s">
        <v>331</v>
      </c>
      <c r="Y1255" s="1" t="s">
        <v>332</v>
      </c>
      <c r="Z1255" s="1">
        <v>16</v>
      </c>
      <c r="AA1255" s="14">
        <v>3389.9</v>
      </c>
      <c r="AB1255" s="14">
        <v>54238.400000000001</v>
      </c>
      <c r="AC1255" s="1" t="str">
        <f>VLOOKUP(A1255,[1]Detalle!$D$2:$CW$484,98,FALSE)</f>
        <v>CMQ_TTE - QUILMES TTE</v>
      </c>
    </row>
    <row r="1256" spans="1:29" ht="14.25" customHeight="1" x14ac:dyDescent="0.3">
      <c r="A1256" s="16" t="s">
        <v>94</v>
      </c>
      <c r="B1256" s="1" t="s">
        <v>350</v>
      </c>
      <c r="C1256" s="1" t="s">
        <v>328</v>
      </c>
      <c r="D1256" s="1" t="s">
        <v>328</v>
      </c>
      <c r="E1256" s="1">
        <v>0.75</v>
      </c>
      <c r="F1256" s="1" t="s">
        <v>329</v>
      </c>
      <c r="P1256" s="13">
        <v>45965</v>
      </c>
      <c r="R1256" s="7">
        <v>46330</v>
      </c>
      <c r="S1256" s="7">
        <v>46330</v>
      </c>
      <c r="T1256" s="7" t="str">
        <f t="shared" si="0"/>
        <v>noviembre</v>
      </c>
      <c r="X1256" s="1" t="s">
        <v>331</v>
      </c>
      <c r="Y1256" s="1" t="s">
        <v>332</v>
      </c>
      <c r="Z1256" s="1">
        <v>16</v>
      </c>
      <c r="AA1256" s="14">
        <v>3389.9</v>
      </c>
      <c r="AB1256" s="14">
        <v>54238.400000000001</v>
      </c>
      <c r="AC1256" s="1" t="str">
        <f>VLOOKUP(A1256,[1]Detalle!$D$2:$CW$484,98,FALSE)</f>
        <v>CMQ_TTE - QUILMES TTE</v>
      </c>
    </row>
    <row r="1257" spans="1:29" ht="14.25" customHeight="1" x14ac:dyDescent="0.3">
      <c r="A1257" s="17" t="s">
        <v>102</v>
      </c>
      <c r="B1257" s="1">
        <v>710</v>
      </c>
      <c r="C1257" s="1" t="s">
        <v>328</v>
      </c>
      <c r="D1257" s="1" t="s">
        <v>328</v>
      </c>
      <c r="E1257" s="1">
        <v>0.75</v>
      </c>
      <c r="F1257" s="1" t="s">
        <v>329</v>
      </c>
      <c r="P1257" s="7">
        <v>46368</v>
      </c>
      <c r="R1257" s="7">
        <v>46368</v>
      </c>
      <c r="S1257" s="7">
        <v>46368</v>
      </c>
      <c r="T1257" s="7" t="str">
        <f t="shared" si="0"/>
        <v>diciembre</v>
      </c>
      <c r="X1257" s="1" t="s">
        <v>331</v>
      </c>
      <c r="Y1257" s="1" t="s">
        <v>332</v>
      </c>
      <c r="Z1257" s="1">
        <v>15</v>
      </c>
      <c r="AA1257" s="14">
        <v>3389.9</v>
      </c>
      <c r="AB1257" s="14">
        <f t="shared" ref="AB1257:AB1258" si="6">AA1257*Z1257</f>
        <v>50848.5</v>
      </c>
      <c r="AC1257" s="1" t="str">
        <f>VLOOKUP(A1257,[1]Detalle!$D$2:$CW$484,98,FALSE)</f>
        <v>Sin Operación</v>
      </c>
    </row>
    <row r="1258" spans="1:29" ht="14.25" customHeight="1" x14ac:dyDescent="0.3">
      <c r="A1258" s="19" t="s">
        <v>103</v>
      </c>
      <c r="B1258" s="1">
        <v>1218</v>
      </c>
      <c r="C1258" s="1" t="s">
        <v>328</v>
      </c>
      <c r="D1258" s="1" t="s">
        <v>328</v>
      </c>
      <c r="E1258" s="1">
        <v>0.75</v>
      </c>
      <c r="F1258" s="1" t="s">
        <v>329</v>
      </c>
      <c r="P1258" s="13">
        <v>45294</v>
      </c>
      <c r="R1258" s="7">
        <v>46024</v>
      </c>
      <c r="S1258" s="7">
        <v>46024</v>
      </c>
      <c r="T1258" s="7" t="str">
        <f t="shared" si="0"/>
        <v>enero</v>
      </c>
      <c r="X1258" s="1" t="s">
        <v>331</v>
      </c>
      <c r="Y1258" s="1" t="s">
        <v>332</v>
      </c>
      <c r="Z1258" s="1">
        <v>15</v>
      </c>
      <c r="AA1258" s="14">
        <v>3389.9</v>
      </c>
      <c r="AB1258" s="14">
        <f t="shared" si="6"/>
        <v>50848.5</v>
      </c>
      <c r="AC1258" s="1" t="str">
        <f>VLOOKUP(A1258,[1]Detalle!$D$2:$CW$484,98,FALSE)</f>
        <v>Sin Operación</v>
      </c>
    </row>
    <row r="1259" spans="1:29" ht="14.25" customHeight="1" x14ac:dyDescent="0.3">
      <c r="A1259" s="20" t="s">
        <v>107</v>
      </c>
      <c r="B1259" s="1">
        <v>712</v>
      </c>
      <c r="C1259" s="1" t="s">
        <v>328</v>
      </c>
      <c r="D1259" s="1" t="s">
        <v>328</v>
      </c>
      <c r="E1259" s="1">
        <v>0.75</v>
      </c>
      <c r="F1259" s="1" t="s">
        <v>329</v>
      </c>
      <c r="P1259" s="7">
        <v>46368</v>
      </c>
      <c r="R1259" s="7">
        <v>46368</v>
      </c>
      <c r="S1259" s="7">
        <v>46368</v>
      </c>
      <c r="T1259" s="7" t="str">
        <f t="shared" si="0"/>
        <v>diciembre</v>
      </c>
      <c r="X1259" s="1" t="s">
        <v>331</v>
      </c>
      <c r="Y1259" s="1" t="s">
        <v>332</v>
      </c>
      <c r="Z1259" s="1">
        <v>16</v>
      </c>
      <c r="AA1259" s="14">
        <v>3389.9</v>
      </c>
      <c r="AB1259" s="14">
        <v>54238.400000000001</v>
      </c>
      <c r="AC1259" s="1" t="str">
        <f>VLOOKUP(A1259,[1]Detalle!$D$2:$CW$484,98,FALSE)</f>
        <v>SUC_REA - Sucursal Realicó</v>
      </c>
    </row>
    <row r="1260" spans="1:29" ht="14.25" customHeight="1" x14ac:dyDescent="0.3">
      <c r="A1260" s="15" t="s">
        <v>110</v>
      </c>
      <c r="B1260" s="1" t="s">
        <v>486</v>
      </c>
      <c r="C1260" s="1" t="s">
        <v>328</v>
      </c>
      <c r="D1260" s="1" t="s">
        <v>355</v>
      </c>
      <c r="E1260" s="1">
        <v>0.75</v>
      </c>
      <c r="F1260" s="1" t="s">
        <v>329</v>
      </c>
      <c r="P1260" s="13">
        <v>45782</v>
      </c>
      <c r="R1260" s="7">
        <v>46058</v>
      </c>
      <c r="S1260" s="7">
        <v>46058</v>
      </c>
      <c r="T1260" s="7" t="str">
        <f t="shared" si="0"/>
        <v>febrero</v>
      </c>
      <c r="X1260" s="1" t="s">
        <v>331</v>
      </c>
      <c r="Y1260" s="1" t="s">
        <v>332</v>
      </c>
      <c r="Z1260" s="1">
        <v>6</v>
      </c>
      <c r="AA1260" s="14">
        <v>3392.18</v>
      </c>
      <c r="AB1260" s="14">
        <f>AA1260*Z1260</f>
        <v>20353.079999999998</v>
      </c>
      <c r="AC1260" s="1" t="str">
        <f>VLOOKUP(A1260,[1]Detalle!$D$2:$CW$484,98,FALSE)</f>
        <v>CIMSA_BS AS</v>
      </c>
    </row>
    <row r="1261" spans="1:29" ht="14.25" customHeight="1" x14ac:dyDescent="0.3">
      <c r="A1261" s="12" t="s">
        <v>112</v>
      </c>
      <c r="B1261" s="1">
        <v>1620</v>
      </c>
      <c r="C1261" s="1" t="s">
        <v>328</v>
      </c>
      <c r="D1261" s="1" t="s">
        <v>328</v>
      </c>
      <c r="E1261" s="1">
        <v>0.75</v>
      </c>
      <c r="F1261" s="1" t="s">
        <v>329</v>
      </c>
      <c r="P1261" s="7">
        <v>46055</v>
      </c>
      <c r="R1261" s="7">
        <v>46055</v>
      </c>
      <c r="S1261" s="7">
        <v>46055</v>
      </c>
      <c r="T1261" s="7" t="str">
        <f t="shared" si="0"/>
        <v>febrero</v>
      </c>
      <c r="X1261" s="1" t="s">
        <v>331</v>
      </c>
      <c r="Y1261" s="1" t="s">
        <v>332</v>
      </c>
      <c r="Z1261" s="1">
        <v>20</v>
      </c>
      <c r="AA1261" s="14">
        <v>3389.9</v>
      </c>
      <c r="AB1261" s="14">
        <f>AA1261*Z1261</f>
        <v>67798</v>
      </c>
      <c r="AC1261" s="1" t="str">
        <f>VLOOKUP(A1261,[1]Detalle!$D$2:$CW$484,98,FALSE)</f>
        <v>Sin Operación</v>
      </c>
    </row>
    <row r="1262" spans="1:29" ht="14.25" customHeight="1" x14ac:dyDescent="0.3">
      <c r="A1262" s="12" t="s">
        <v>113</v>
      </c>
      <c r="B1262" s="1">
        <v>1620</v>
      </c>
      <c r="C1262" s="1" t="s">
        <v>328</v>
      </c>
      <c r="D1262" s="1" t="s">
        <v>328</v>
      </c>
      <c r="E1262" s="1">
        <v>0.75</v>
      </c>
      <c r="F1262" s="1" t="s">
        <v>329</v>
      </c>
      <c r="P1262" s="7">
        <v>46055</v>
      </c>
      <c r="R1262" s="7">
        <v>46055</v>
      </c>
      <c r="S1262" s="7">
        <v>46055</v>
      </c>
      <c r="T1262" s="7" t="str">
        <f t="shared" si="0"/>
        <v>febrero</v>
      </c>
      <c r="X1262" s="1" t="s">
        <v>331</v>
      </c>
      <c r="Y1262" s="1" t="s">
        <v>332</v>
      </c>
      <c r="Z1262" s="1">
        <v>20</v>
      </c>
      <c r="AA1262" s="14">
        <v>3389.9</v>
      </c>
      <c r="AB1262" s="14">
        <f t="shared" ref="AB1262:AB1267" si="7">AA1262*Z1262</f>
        <v>67798</v>
      </c>
      <c r="AC1262" s="1" t="str">
        <f>VLOOKUP(A1262,[1]Detalle!$D$2:$CW$484,98,FALSE)</f>
        <v>Sin Operación</v>
      </c>
    </row>
    <row r="1263" spans="1:29" ht="14.25" customHeight="1" x14ac:dyDescent="0.3">
      <c r="A1263" s="15" t="s">
        <v>115</v>
      </c>
      <c r="B1263" s="1">
        <v>1620</v>
      </c>
      <c r="C1263" s="1" t="s">
        <v>328</v>
      </c>
      <c r="D1263" s="1" t="s">
        <v>328</v>
      </c>
      <c r="E1263" s="1">
        <v>0.75</v>
      </c>
      <c r="F1263" s="1" t="s">
        <v>329</v>
      </c>
      <c r="P1263" s="13">
        <v>45547</v>
      </c>
      <c r="R1263" s="7">
        <v>46277</v>
      </c>
      <c r="S1263" s="7">
        <v>46277</v>
      </c>
      <c r="T1263" s="7" t="str">
        <f t="shared" si="0"/>
        <v>septiembre</v>
      </c>
      <c r="X1263" s="1" t="s">
        <v>331</v>
      </c>
      <c r="Y1263" s="1" t="s">
        <v>332</v>
      </c>
      <c r="Z1263" s="1">
        <v>20</v>
      </c>
      <c r="AA1263" s="14">
        <v>3389.9</v>
      </c>
      <c r="AB1263" s="14">
        <f t="shared" si="7"/>
        <v>67798</v>
      </c>
      <c r="AC1263" s="1" t="str">
        <f>VLOOKUP(A1263,[1]Detalle!$D$2:$CW$484,98,FALSE)</f>
        <v>Sin Operación</v>
      </c>
    </row>
    <row r="1264" spans="1:29" ht="14.25" customHeight="1" x14ac:dyDescent="0.3">
      <c r="A1264" s="12" t="s">
        <v>116</v>
      </c>
      <c r="B1264" s="1">
        <v>1620</v>
      </c>
      <c r="C1264" s="1" t="s">
        <v>328</v>
      </c>
      <c r="D1264" s="1" t="s">
        <v>328</v>
      </c>
      <c r="E1264" s="1">
        <v>0.75</v>
      </c>
      <c r="F1264" s="1" t="s">
        <v>329</v>
      </c>
      <c r="P1264" s="13">
        <v>45355</v>
      </c>
      <c r="R1264" s="7">
        <v>46085</v>
      </c>
      <c r="S1264" s="7">
        <v>46085</v>
      </c>
      <c r="T1264" s="7" t="str">
        <f t="shared" si="0"/>
        <v>marzo</v>
      </c>
      <c r="X1264" s="1" t="s">
        <v>331</v>
      </c>
      <c r="Y1264" s="1" t="s">
        <v>332</v>
      </c>
      <c r="Z1264" s="1">
        <v>20</v>
      </c>
      <c r="AA1264" s="14">
        <v>3389.9</v>
      </c>
      <c r="AB1264" s="14">
        <f t="shared" si="7"/>
        <v>67798</v>
      </c>
      <c r="AC1264" s="1" t="str">
        <f>VLOOKUP(A1264,[1]Detalle!$D$2:$CW$484,98,FALSE)</f>
        <v>Sin Operación</v>
      </c>
    </row>
    <row r="1265" spans="1:29" ht="14.25" customHeight="1" x14ac:dyDescent="0.3">
      <c r="A1265" s="12" t="s">
        <v>117</v>
      </c>
      <c r="B1265" s="1">
        <v>1620</v>
      </c>
      <c r="C1265" s="1" t="s">
        <v>328</v>
      </c>
      <c r="D1265" s="1" t="s">
        <v>328</v>
      </c>
      <c r="E1265" s="1">
        <v>0.75</v>
      </c>
      <c r="F1265" s="1" t="s">
        <v>329</v>
      </c>
      <c r="P1265" s="13">
        <v>45308</v>
      </c>
      <c r="R1265" s="7">
        <v>46038</v>
      </c>
      <c r="S1265" s="7">
        <v>46038</v>
      </c>
      <c r="T1265" s="7" t="str">
        <f t="shared" si="0"/>
        <v>enero</v>
      </c>
      <c r="X1265" s="1" t="s">
        <v>331</v>
      </c>
      <c r="Y1265" s="1" t="s">
        <v>332</v>
      </c>
      <c r="Z1265" s="1">
        <v>20</v>
      </c>
      <c r="AA1265" s="14">
        <v>3389.9</v>
      </c>
      <c r="AB1265" s="14">
        <f t="shared" si="7"/>
        <v>67798</v>
      </c>
      <c r="AC1265" s="1" t="str">
        <f>VLOOKUP(A1265,[1]Detalle!$D$2:$CW$484,98,FALSE)</f>
        <v>Sin Operación</v>
      </c>
    </row>
    <row r="1266" spans="1:29" ht="14.25" customHeight="1" x14ac:dyDescent="0.3">
      <c r="A1266" s="12" t="s">
        <v>121</v>
      </c>
      <c r="B1266" s="1">
        <v>1620</v>
      </c>
      <c r="C1266" s="1" t="s">
        <v>328</v>
      </c>
      <c r="D1266" s="1" t="s">
        <v>328</v>
      </c>
      <c r="E1266" s="1">
        <v>0.75</v>
      </c>
      <c r="F1266" s="1" t="s">
        <v>329</v>
      </c>
      <c r="P1266" s="7">
        <v>46055</v>
      </c>
      <c r="R1266" s="7">
        <v>46055</v>
      </c>
      <c r="S1266" s="7">
        <v>46055</v>
      </c>
      <c r="T1266" s="7" t="str">
        <f t="shared" si="0"/>
        <v>febrero</v>
      </c>
      <c r="X1266" s="1" t="s">
        <v>331</v>
      </c>
      <c r="Y1266" s="1" t="s">
        <v>332</v>
      </c>
      <c r="Z1266" s="1">
        <v>20</v>
      </c>
      <c r="AA1266" s="14">
        <v>3389.9</v>
      </c>
      <c r="AB1266" s="14">
        <f t="shared" si="7"/>
        <v>67798</v>
      </c>
      <c r="AC1266" s="1" t="str">
        <f>VLOOKUP(A1266,[1]Detalle!$D$2:$CW$484,98,FALSE)</f>
        <v>Sin Operación</v>
      </c>
    </row>
    <row r="1267" spans="1:29" ht="14.25" customHeight="1" x14ac:dyDescent="0.3">
      <c r="A1267" s="12" t="s">
        <v>122</v>
      </c>
      <c r="B1267" s="1">
        <v>1620</v>
      </c>
      <c r="C1267" s="1" t="s">
        <v>328</v>
      </c>
      <c r="D1267" s="1" t="s">
        <v>328</v>
      </c>
      <c r="E1267" s="1">
        <v>0.75</v>
      </c>
      <c r="F1267" s="1" t="s">
        <v>329</v>
      </c>
      <c r="P1267" s="7">
        <v>46055</v>
      </c>
      <c r="R1267" s="7">
        <v>46055</v>
      </c>
      <c r="S1267" s="7">
        <v>46055</v>
      </c>
      <c r="T1267" s="7" t="str">
        <f t="shared" si="0"/>
        <v>febrero</v>
      </c>
      <c r="X1267" s="1" t="s">
        <v>331</v>
      </c>
      <c r="Y1267" s="1" t="s">
        <v>332</v>
      </c>
      <c r="Z1267" s="1">
        <v>20</v>
      </c>
      <c r="AA1267" s="14">
        <v>3389.9</v>
      </c>
      <c r="AB1267" s="14">
        <f t="shared" si="7"/>
        <v>67798</v>
      </c>
      <c r="AC1267" s="1" t="str">
        <f>VLOOKUP(A1267,[1]Detalle!$D$2:$CW$484,98,FALSE)</f>
        <v>Sin Operación</v>
      </c>
    </row>
    <row r="1268" spans="1:29" ht="14.25" customHeight="1" x14ac:dyDescent="0.3">
      <c r="A1268" s="12" t="s">
        <v>124</v>
      </c>
      <c r="B1268" s="1">
        <v>710</v>
      </c>
      <c r="C1268" s="1" t="s">
        <v>328</v>
      </c>
      <c r="D1268" s="1" t="s">
        <v>328</v>
      </c>
      <c r="E1268" s="1">
        <v>0.75</v>
      </c>
      <c r="F1268" s="1" t="s">
        <v>329</v>
      </c>
      <c r="P1268" s="7">
        <v>46047</v>
      </c>
      <c r="R1268" s="7">
        <v>46047</v>
      </c>
      <c r="S1268" s="7">
        <v>46047</v>
      </c>
      <c r="T1268" s="7" t="str">
        <f t="shared" si="0"/>
        <v>enero</v>
      </c>
      <c r="X1268" s="1" t="s">
        <v>331</v>
      </c>
      <c r="Y1268" s="1" t="s">
        <v>332</v>
      </c>
      <c r="Z1268" s="1">
        <v>16</v>
      </c>
      <c r="AA1268" s="14">
        <v>3389.9</v>
      </c>
      <c r="AB1268" s="14">
        <v>54238.400000000001</v>
      </c>
      <c r="AC1268" s="1" t="str">
        <f>VLOOKUP(A1268,[1]Detalle!$D$2:$CW$484,98,FALSE)</f>
        <v>SUC_SRA - Sucursal San Rafael</v>
      </c>
    </row>
    <row r="1269" spans="1:29" ht="14.25" customHeight="1" x14ac:dyDescent="0.3">
      <c r="A1269" s="12" t="s">
        <v>125</v>
      </c>
      <c r="B1269" s="1">
        <v>1620</v>
      </c>
      <c r="C1269" s="1" t="s">
        <v>328</v>
      </c>
      <c r="D1269" s="1" t="s">
        <v>328</v>
      </c>
      <c r="E1269" s="1">
        <v>0.75</v>
      </c>
      <c r="F1269" s="1" t="s">
        <v>329</v>
      </c>
      <c r="P1269" s="13">
        <v>45440</v>
      </c>
      <c r="R1269" s="7">
        <v>46170</v>
      </c>
      <c r="S1269" s="7">
        <v>46170</v>
      </c>
      <c r="T1269" s="7" t="str">
        <f t="shared" si="0"/>
        <v>mayo</v>
      </c>
      <c r="X1269" s="1" t="s">
        <v>331</v>
      </c>
      <c r="Y1269" s="1" t="s">
        <v>332</v>
      </c>
      <c r="Z1269" s="1">
        <v>20</v>
      </c>
      <c r="AA1269" s="14">
        <v>3389.9</v>
      </c>
      <c r="AB1269" s="14">
        <f t="shared" ref="AB1269:AB1270" si="8">AA1269*Z1269</f>
        <v>67798</v>
      </c>
      <c r="AC1269" s="1" t="str">
        <f>VLOOKUP(A1269,[1]Detalle!$D$2:$CW$484,98,FALSE)</f>
        <v>Sin Operación</v>
      </c>
    </row>
    <row r="1270" spans="1:29" ht="14.25" customHeight="1" x14ac:dyDescent="0.3">
      <c r="A1270" s="15" t="s">
        <v>126</v>
      </c>
      <c r="B1270" s="1">
        <v>1620</v>
      </c>
      <c r="C1270" s="1" t="s">
        <v>328</v>
      </c>
      <c r="D1270" s="1" t="s">
        <v>328</v>
      </c>
      <c r="E1270" s="1">
        <v>0.75</v>
      </c>
      <c r="F1270" s="1" t="s">
        <v>329</v>
      </c>
      <c r="P1270" s="13">
        <v>45490</v>
      </c>
      <c r="R1270" s="7">
        <v>46220</v>
      </c>
      <c r="S1270" s="7">
        <v>46220</v>
      </c>
      <c r="T1270" s="7" t="str">
        <f t="shared" si="0"/>
        <v>julio</v>
      </c>
      <c r="X1270" s="1" t="s">
        <v>331</v>
      </c>
      <c r="Y1270" s="1" t="s">
        <v>332</v>
      </c>
      <c r="Z1270" s="1">
        <v>20</v>
      </c>
      <c r="AA1270" s="14">
        <v>3389.9</v>
      </c>
      <c r="AB1270" s="14">
        <f t="shared" si="8"/>
        <v>67798</v>
      </c>
      <c r="AC1270" s="1" t="str">
        <f>VLOOKUP(A1270,[1]Detalle!$D$2:$CW$484,98,FALSE)</f>
        <v>Sin Operación</v>
      </c>
    </row>
    <row r="1271" spans="1:29" ht="14.25" customHeight="1" x14ac:dyDescent="0.3">
      <c r="A1271" s="23" t="s">
        <v>131</v>
      </c>
      <c r="B1271" s="1">
        <v>1620</v>
      </c>
      <c r="C1271" s="1" t="s">
        <v>328</v>
      </c>
      <c r="D1271" s="1" t="s">
        <v>328</v>
      </c>
      <c r="E1271" s="1">
        <v>0.75</v>
      </c>
      <c r="F1271" s="1" t="s">
        <v>329</v>
      </c>
      <c r="P1271" s="13">
        <v>45544</v>
      </c>
      <c r="R1271" s="7">
        <v>46274</v>
      </c>
      <c r="S1271" s="7">
        <v>46274</v>
      </c>
      <c r="T1271" s="7" t="str">
        <f t="shared" si="0"/>
        <v>septiembre</v>
      </c>
      <c r="X1271" s="1" t="s">
        <v>331</v>
      </c>
      <c r="Y1271" s="1" t="s">
        <v>332</v>
      </c>
      <c r="Z1271" s="1">
        <v>16</v>
      </c>
      <c r="AA1271" s="14">
        <v>3389.9</v>
      </c>
      <c r="AB1271" s="14">
        <v>54238.400000000001</v>
      </c>
      <c r="AC1271" s="1" t="str">
        <f>VLOOKUP(A1271,[1]Detalle!$D$2:$CW$484,98,FALSE)</f>
        <v>CMQ_TTE - QUILMES TTE</v>
      </c>
    </row>
    <row r="1272" spans="1:29" ht="14.25" customHeight="1" x14ac:dyDescent="0.3">
      <c r="A1272" s="21" t="s">
        <v>191</v>
      </c>
      <c r="B1272" s="1" t="s">
        <v>340</v>
      </c>
      <c r="C1272" s="1" t="s">
        <v>328</v>
      </c>
      <c r="D1272" s="1" t="s">
        <v>328</v>
      </c>
      <c r="E1272" s="1">
        <v>0.75</v>
      </c>
      <c r="F1272" s="1" t="s">
        <v>329</v>
      </c>
      <c r="P1272" s="13">
        <v>45551</v>
      </c>
      <c r="R1272" s="7">
        <v>46281</v>
      </c>
      <c r="S1272" s="7">
        <v>46281</v>
      </c>
      <c r="T1272" s="7" t="str">
        <f t="shared" si="0"/>
        <v>septiembre</v>
      </c>
      <c r="X1272" s="1" t="s">
        <v>331</v>
      </c>
      <c r="Y1272" s="1" t="s">
        <v>332</v>
      </c>
      <c r="Z1272" s="1">
        <v>16</v>
      </c>
      <c r="AA1272" s="14">
        <v>3389.9</v>
      </c>
      <c r="AB1272" s="14">
        <v>54238.400000000001</v>
      </c>
      <c r="AC1272" s="1" t="str">
        <f>VLOOKUP(A1272,[1]Detalle!$D$2:$CW$484,98,FALSE)</f>
        <v>CCUDyAZA</v>
      </c>
    </row>
    <row r="1273" spans="1:29" ht="14.25" customHeight="1" x14ac:dyDescent="0.3">
      <c r="A1273" s="21" t="s">
        <v>197</v>
      </c>
      <c r="B1273" s="1" t="s">
        <v>340</v>
      </c>
      <c r="C1273" s="1" t="s">
        <v>328</v>
      </c>
      <c r="D1273" s="1" t="s">
        <v>328</v>
      </c>
      <c r="E1273" s="1">
        <v>0.75</v>
      </c>
      <c r="F1273" s="1" t="s">
        <v>329</v>
      </c>
      <c r="P1273" s="13">
        <v>45364</v>
      </c>
      <c r="R1273" s="7">
        <v>46094</v>
      </c>
      <c r="S1273" s="7">
        <v>46094</v>
      </c>
      <c r="T1273" s="7" t="str">
        <f t="shared" si="0"/>
        <v>marzo</v>
      </c>
      <c r="X1273" s="1" t="s">
        <v>331</v>
      </c>
      <c r="Y1273" s="1" t="s">
        <v>332</v>
      </c>
      <c r="Z1273" s="1">
        <v>30</v>
      </c>
      <c r="AA1273" s="14">
        <v>3389.9</v>
      </c>
      <c r="AB1273" s="3">
        <f>AA1273*Z1273</f>
        <v>101697</v>
      </c>
      <c r="AC1273" s="1" t="str">
        <f>VLOOKUP(A1273,[1]Detalle!$D$2:$CW$484,98,FALSE)</f>
        <v>Sin Operación</v>
      </c>
    </row>
    <row r="1274" spans="1:29" ht="14.25" customHeight="1" x14ac:dyDescent="0.3">
      <c r="A1274" s="15" t="s">
        <v>200</v>
      </c>
      <c r="B1274" s="1" t="s">
        <v>351</v>
      </c>
      <c r="C1274" s="1" t="s">
        <v>328</v>
      </c>
      <c r="D1274" s="1" t="s">
        <v>328</v>
      </c>
      <c r="E1274" s="1">
        <v>0.75</v>
      </c>
      <c r="F1274" s="1" t="s">
        <v>329</v>
      </c>
      <c r="P1274" s="13">
        <v>45386</v>
      </c>
      <c r="R1274" s="7">
        <v>46116</v>
      </c>
      <c r="S1274" s="7">
        <v>46116</v>
      </c>
      <c r="T1274" s="7" t="str">
        <f t="shared" si="0"/>
        <v>abril</v>
      </c>
      <c r="X1274" s="1" t="s">
        <v>331</v>
      </c>
      <c r="Y1274" s="1" t="s">
        <v>332</v>
      </c>
      <c r="Z1274" s="1">
        <v>30</v>
      </c>
      <c r="AA1274" s="14">
        <v>3389.9</v>
      </c>
      <c r="AB1274" s="3">
        <f>AA1274*Z1274</f>
        <v>101697</v>
      </c>
      <c r="AC1274" s="1" t="str">
        <f>VLOOKUP(A1274,[1]Detalle!$D$2:$CW$484,98,FALSE)</f>
        <v>Sin Operación</v>
      </c>
    </row>
    <row r="1275" spans="1:29" ht="14.25" customHeight="1" x14ac:dyDescent="0.3">
      <c r="A1275" s="12" t="s">
        <v>206</v>
      </c>
      <c r="B1275" s="1" t="s">
        <v>340</v>
      </c>
      <c r="C1275" s="1" t="s">
        <v>328</v>
      </c>
      <c r="D1275" s="1" t="s">
        <v>328</v>
      </c>
      <c r="E1275" s="1">
        <v>0.75</v>
      </c>
      <c r="F1275" s="1" t="s">
        <v>329</v>
      </c>
      <c r="P1275" s="13">
        <v>45589</v>
      </c>
      <c r="R1275" s="7">
        <v>46319</v>
      </c>
      <c r="S1275" s="7">
        <v>46319</v>
      </c>
      <c r="T1275" s="7" t="str">
        <f t="shared" si="0"/>
        <v>octubre</v>
      </c>
      <c r="X1275" s="1" t="s">
        <v>331</v>
      </c>
      <c r="Y1275" s="1" t="s">
        <v>332</v>
      </c>
      <c r="Z1275" s="1">
        <v>16</v>
      </c>
      <c r="AA1275" s="14">
        <v>3389.9</v>
      </c>
      <c r="AB1275" s="14">
        <v>54238.400000000001</v>
      </c>
      <c r="AC1275" s="1" t="str">
        <f>VLOOKUP(A1275,[1]Detalle!$D$2:$CW$484,98,FALSE)</f>
        <v>Papelera - Papelera del Plata S.A.</v>
      </c>
    </row>
    <row r="1276" spans="1:29" ht="14.25" customHeight="1" x14ac:dyDescent="0.3">
      <c r="A1276" s="12" t="s">
        <v>213</v>
      </c>
      <c r="B1276" s="1" t="s">
        <v>341</v>
      </c>
      <c r="C1276" s="1" t="s">
        <v>328</v>
      </c>
      <c r="D1276" s="1" t="s">
        <v>328</v>
      </c>
      <c r="E1276" s="1">
        <v>0.75</v>
      </c>
      <c r="F1276" s="1" t="s">
        <v>329</v>
      </c>
      <c r="P1276" s="13">
        <v>45349</v>
      </c>
      <c r="R1276" s="7">
        <v>46079</v>
      </c>
      <c r="S1276" s="7">
        <v>46079</v>
      </c>
      <c r="T1276" s="7" t="str">
        <f t="shared" si="0"/>
        <v>febrero</v>
      </c>
      <c r="X1276" s="1" t="s">
        <v>331</v>
      </c>
      <c r="Y1276" s="1" t="s">
        <v>332</v>
      </c>
      <c r="Z1276" s="1">
        <v>16</v>
      </c>
      <c r="AA1276" s="14">
        <v>3389.9</v>
      </c>
      <c r="AB1276" s="14">
        <v>54238.400000000001</v>
      </c>
      <c r="AC1276" s="1" t="str">
        <f>VLOOKUP(A1276,[1]Detalle!$D$2:$CW$484,98,FALSE)</f>
        <v>CMQ_TTE - QUILMES TTE</v>
      </c>
    </row>
    <row r="1277" spans="1:29" ht="14.25" customHeight="1" x14ac:dyDescent="0.3">
      <c r="A1277" s="12" t="s">
        <v>225</v>
      </c>
      <c r="B1277" s="1" t="s">
        <v>340</v>
      </c>
      <c r="C1277" s="1" t="s">
        <v>328</v>
      </c>
      <c r="D1277" s="1" t="s">
        <v>328</v>
      </c>
      <c r="E1277" s="1">
        <v>0.75</v>
      </c>
      <c r="F1277" s="1" t="s">
        <v>329</v>
      </c>
      <c r="P1277" s="13">
        <v>45350</v>
      </c>
      <c r="R1277" s="7">
        <v>46080</v>
      </c>
      <c r="S1277" s="7">
        <v>46080</v>
      </c>
      <c r="T1277" s="7" t="str">
        <f t="shared" si="0"/>
        <v>febrero</v>
      </c>
      <c r="X1277" s="1" t="s">
        <v>331</v>
      </c>
      <c r="Y1277" s="1" t="s">
        <v>332</v>
      </c>
      <c r="Z1277" s="1">
        <v>30</v>
      </c>
      <c r="AA1277" s="14">
        <v>3389.9</v>
      </c>
      <c r="AB1277" s="3">
        <f>AA1277*Z1277</f>
        <v>101697</v>
      </c>
      <c r="AC1277" s="1" t="str">
        <f>VLOOKUP(A1277,[1]Detalle!$D$2:$CW$484,98,FALSE)</f>
        <v>AGN_TTE - AGUANORT - Transporte</v>
      </c>
    </row>
    <row r="1278" spans="1:29" ht="14.25" customHeight="1" x14ac:dyDescent="0.3">
      <c r="A1278" s="12" t="s">
        <v>226</v>
      </c>
      <c r="B1278" s="1" t="s">
        <v>341</v>
      </c>
      <c r="C1278" s="1" t="s">
        <v>328</v>
      </c>
      <c r="D1278" s="1" t="s">
        <v>328</v>
      </c>
      <c r="E1278" s="1">
        <v>0.75</v>
      </c>
      <c r="F1278" s="1" t="s">
        <v>329</v>
      </c>
      <c r="P1278" s="13">
        <v>45483</v>
      </c>
      <c r="R1278" s="7">
        <v>46213</v>
      </c>
      <c r="S1278" s="7">
        <v>46213</v>
      </c>
      <c r="T1278" s="7" t="str">
        <f t="shared" si="0"/>
        <v>julio</v>
      </c>
      <c r="X1278" s="1" t="s">
        <v>331</v>
      </c>
      <c r="Y1278" s="1" t="s">
        <v>332</v>
      </c>
      <c r="Z1278" s="1">
        <v>16</v>
      </c>
      <c r="AA1278" s="14">
        <v>3389.9</v>
      </c>
      <c r="AB1278" s="14">
        <v>54238.400000000001</v>
      </c>
      <c r="AC1278" s="1" t="str">
        <f>VLOOKUP(A1278,[1]Detalle!$D$2:$CW$484,98,FALSE)</f>
        <v>CMQ_TTE - QUILMES TTE</v>
      </c>
    </row>
    <row r="1279" spans="1:29" ht="14.25" customHeight="1" x14ac:dyDescent="0.3">
      <c r="A1279" s="12" t="s">
        <v>241</v>
      </c>
      <c r="B1279" s="1" t="s">
        <v>341</v>
      </c>
      <c r="C1279" s="1" t="s">
        <v>328</v>
      </c>
      <c r="D1279" s="1" t="s">
        <v>328</v>
      </c>
      <c r="E1279" s="1">
        <v>0.75</v>
      </c>
      <c r="F1279" s="1" t="s">
        <v>329</v>
      </c>
      <c r="P1279" s="13">
        <v>45967</v>
      </c>
      <c r="R1279" s="7">
        <v>46332</v>
      </c>
      <c r="S1279" s="7">
        <v>46332</v>
      </c>
      <c r="T1279" s="7" t="str">
        <f t="shared" si="0"/>
        <v>noviembre</v>
      </c>
      <c r="X1279" s="1" t="s">
        <v>331</v>
      </c>
      <c r="Y1279" s="1" t="s">
        <v>332</v>
      </c>
      <c r="Z1279" s="1">
        <v>16</v>
      </c>
      <c r="AA1279" s="14">
        <v>3389.9</v>
      </c>
      <c r="AB1279" s="14">
        <v>54238.400000000001</v>
      </c>
      <c r="AC1279" s="1" t="str">
        <f>VLOOKUP(A1279,[1]Detalle!$D$2:$CW$484,98,FALSE)</f>
        <v>CMQ_TTE - QUILMES TTE</v>
      </c>
    </row>
    <row r="1280" spans="1:29" ht="14.25" customHeight="1" x14ac:dyDescent="0.3">
      <c r="A1280" s="12" t="s">
        <v>247</v>
      </c>
      <c r="B1280" s="1" t="s">
        <v>493</v>
      </c>
      <c r="C1280" s="1" t="s">
        <v>328</v>
      </c>
      <c r="D1280" s="1" t="s">
        <v>355</v>
      </c>
      <c r="E1280" s="1">
        <v>0.75</v>
      </c>
      <c r="F1280" s="1" t="s">
        <v>329</v>
      </c>
      <c r="P1280" s="13">
        <v>45631</v>
      </c>
      <c r="R1280" s="13">
        <v>46361</v>
      </c>
      <c r="S1280" s="7">
        <v>46361</v>
      </c>
      <c r="T1280" s="7" t="str">
        <f t="shared" si="0"/>
        <v>diciembre</v>
      </c>
      <c r="X1280" s="1" t="s">
        <v>356</v>
      </c>
      <c r="Y1280" s="1" t="s">
        <v>357</v>
      </c>
      <c r="Z1280" s="1">
        <v>8.5</v>
      </c>
      <c r="AA1280" s="14">
        <v>11782.62</v>
      </c>
      <c r="AB1280" s="14">
        <f>AA1280*Z1280</f>
        <v>100152.27</v>
      </c>
      <c r="AC1280" s="1" t="str">
        <f>VLOOKUP(A1280,[1]Detalle!$D$2:$CW$484,98,FALSE)</f>
        <v>CIMSA_MZA</v>
      </c>
    </row>
    <row r="1281" spans="1:32" ht="14.25" customHeight="1" x14ac:dyDescent="0.3">
      <c r="A1281" s="12" t="s">
        <v>250</v>
      </c>
      <c r="B1281" s="1" t="s">
        <v>341</v>
      </c>
      <c r="C1281" s="1" t="s">
        <v>328</v>
      </c>
      <c r="D1281" s="1" t="s">
        <v>328</v>
      </c>
      <c r="E1281" s="1">
        <v>0.75</v>
      </c>
      <c r="F1281" s="1" t="s">
        <v>329</v>
      </c>
      <c r="P1281" s="13">
        <v>45422</v>
      </c>
      <c r="R1281" s="7">
        <v>46152</v>
      </c>
      <c r="S1281" s="7">
        <v>46152</v>
      </c>
      <c r="T1281" s="7" t="str">
        <f t="shared" si="0"/>
        <v>mayo</v>
      </c>
      <c r="X1281" s="1" t="s">
        <v>331</v>
      </c>
      <c r="Y1281" s="1" t="s">
        <v>332</v>
      </c>
      <c r="Z1281" s="1">
        <v>16</v>
      </c>
      <c r="AA1281" s="14">
        <v>3389.9</v>
      </c>
      <c r="AB1281" s="14">
        <v>54238.400000000001</v>
      </c>
      <c r="AC1281" s="1" t="str">
        <f>VLOOKUP(A1281,[1]Detalle!$D$2:$CW$484,98,FALSE)</f>
        <v>CMQ_TTE - QUILMES TTE</v>
      </c>
    </row>
    <row r="1282" spans="1:32" ht="14.25" customHeight="1" x14ac:dyDescent="0.3">
      <c r="A1282" s="12" t="s">
        <v>253</v>
      </c>
      <c r="B1282" s="1" t="s">
        <v>341</v>
      </c>
      <c r="C1282" s="1" t="s">
        <v>328</v>
      </c>
      <c r="D1282" s="1" t="s">
        <v>328</v>
      </c>
      <c r="E1282" s="1">
        <v>0.75</v>
      </c>
      <c r="F1282" s="1" t="s">
        <v>329</v>
      </c>
      <c r="P1282" s="13">
        <v>45432</v>
      </c>
      <c r="R1282" s="7">
        <v>46162</v>
      </c>
      <c r="S1282" s="7">
        <v>46162</v>
      </c>
      <c r="T1282" s="7" t="str">
        <f t="shared" si="0"/>
        <v>mayo</v>
      </c>
      <c r="X1282" s="1" t="s">
        <v>331</v>
      </c>
      <c r="Y1282" s="1" t="s">
        <v>332</v>
      </c>
      <c r="Z1282" s="1">
        <v>16</v>
      </c>
      <c r="AA1282" s="14">
        <v>3389.9</v>
      </c>
      <c r="AB1282" s="14">
        <v>54238.400000000001</v>
      </c>
      <c r="AC1282" s="1" t="str">
        <f>VLOOKUP(A1282,[1]Detalle!$D$2:$CW$484,98,FALSE)</f>
        <v>CMQ_TTE - QUILMES TTE</v>
      </c>
    </row>
    <row r="1283" spans="1:32" ht="14.25" customHeight="1" x14ac:dyDescent="0.3">
      <c r="A1283" s="15" t="s">
        <v>277</v>
      </c>
      <c r="B1283" s="1" t="s">
        <v>442</v>
      </c>
      <c r="C1283" s="1" t="s">
        <v>328</v>
      </c>
      <c r="D1283" s="1" t="s">
        <v>428</v>
      </c>
      <c r="E1283" s="1">
        <v>0.75</v>
      </c>
      <c r="F1283" s="1" t="s">
        <v>329</v>
      </c>
      <c r="P1283" s="13">
        <v>45404</v>
      </c>
      <c r="R1283" s="7">
        <v>46134</v>
      </c>
      <c r="S1283" s="7">
        <v>46134</v>
      </c>
      <c r="T1283" s="7" t="str">
        <f t="shared" si="0"/>
        <v>abril</v>
      </c>
      <c r="X1283" s="1" t="s">
        <v>331</v>
      </c>
      <c r="Y1283" s="1" t="s">
        <v>332</v>
      </c>
      <c r="Z1283" s="1">
        <v>29</v>
      </c>
      <c r="AA1283" s="14">
        <v>3389.9</v>
      </c>
      <c r="AB1283" s="14">
        <v>98307.1</v>
      </c>
      <c r="AC1283" s="1" t="str">
        <f>VLOOKUP(A1283,[1]Detalle!$D$2:$CW$484,98,FALSE)</f>
        <v>Expreso - Servicios Troncales</v>
      </c>
    </row>
    <row r="1284" spans="1:32" ht="14.25" customHeight="1" x14ac:dyDescent="0.3">
      <c r="A1284" s="15" t="s">
        <v>278</v>
      </c>
      <c r="B1284" s="1" t="s">
        <v>500</v>
      </c>
      <c r="C1284" s="1" t="s">
        <v>328</v>
      </c>
      <c r="D1284" s="1" t="s">
        <v>428</v>
      </c>
      <c r="E1284" s="1">
        <v>0.75</v>
      </c>
      <c r="F1284" s="1" t="s">
        <v>329</v>
      </c>
      <c r="P1284" s="7">
        <v>46047</v>
      </c>
      <c r="R1284" s="7">
        <v>46047</v>
      </c>
      <c r="S1284" s="7">
        <v>46047</v>
      </c>
      <c r="T1284" s="7" t="str">
        <f t="shared" si="0"/>
        <v>enero</v>
      </c>
      <c r="X1284" s="1" t="s">
        <v>331</v>
      </c>
      <c r="Y1284" s="1" t="s">
        <v>332</v>
      </c>
      <c r="Z1284" s="1">
        <v>30</v>
      </c>
      <c r="AA1284" s="14">
        <v>3392.18</v>
      </c>
      <c r="AB1284" s="14">
        <f>AA1284*Z1284</f>
        <v>101765.4</v>
      </c>
      <c r="AC1284" s="1" t="str">
        <f>VLOOKUP(A1284,[1]Detalle!$D$2:$CW$484,98,FALSE)</f>
        <v>Expreso - Servicios Troncales</v>
      </c>
    </row>
    <row r="1285" spans="1:32" ht="14.25" customHeight="1" x14ac:dyDescent="0.3">
      <c r="A1285" s="21" t="s">
        <v>281</v>
      </c>
      <c r="B1285" s="1">
        <v>710</v>
      </c>
      <c r="C1285" s="1" t="s">
        <v>328</v>
      </c>
      <c r="D1285" s="1" t="s">
        <v>328</v>
      </c>
      <c r="E1285" s="1">
        <v>0.75</v>
      </c>
      <c r="F1285" s="1" t="s">
        <v>329</v>
      </c>
      <c r="P1285" s="7">
        <v>46047</v>
      </c>
      <c r="R1285" s="7">
        <v>46047</v>
      </c>
      <c r="S1285" s="7">
        <v>46047</v>
      </c>
      <c r="T1285" s="7" t="str">
        <f t="shared" si="0"/>
        <v>enero</v>
      </c>
      <c r="X1285" s="1" t="s">
        <v>331</v>
      </c>
      <c r="Y1285" s="1" t="s">
        <v>332</v>
      </c>
      <c r="Z1285" s="1">
        <v>16</v>
      </c>
      <c r="AA1285" s="14">
        <v>3389.9</v>
      </c>
      <c r="AB1285" s="14">
        <v>54238.400000000001</v>
      </c>
      <c r="AC1285" s="1" t="str">
        <f>VLOOKUP(A1285,[1]Detalle!$D$2:$CW$484,98,FALSE)</f>
        <v>SUC_SRA - Sucursal San Rafael</v>
      </c>
    </row>
    <row r="1286" spans="1:32" ht="14.25" customHeight="1" x14ac:dyDescent="0.3">
      <c r="A1286" s="22" t="s">
        <v>282</v>
      </c>
      <c r="B1286" s="1" t="s">
        <v>501</v>
      </c>
      <c r="C1286" s="1" t="s">
        <v>328</v>
      </c>
      <c r="D1286" s="1" t="s">
        <v>328</v>
      </c>
      <c r="E1286" s="1">
        <v>0.75</v>
      </c>
      <c r="F1286" s="1" t="s">
        <v>329</v>
      </c>
      <c r="P1286" s="7">
        <v>46047</v>
      </c>
      <c r="R1286" s="7">
        <v>46047</v>
      </c>
      <c r="S1286" s="7">
        <v>46047</v>
      </c>
      <c r="T1286" s="7" t="str">
        <f t="shared" si="0"/>
        <v>enero</v>
      </c>
      <c r="X1286" s="1" t="s">
        <v>331</v>
      </c>
      <c r="Y1286" s="1" t="s">
        <v>332</v>
      </c>
      <c r="Z1286" s="1">
        <v>15</v>
      </c>
      <c r="AA1286" s="14">
        <v>3392.18</v>
      </c>
      <c r="AB1286" s="14">
        <f>AA1286*Z1286</f>
        <v>50882.7</v>
      </c>
      <c r="AC1286" s="1" t="str">
        <f>VLOOKUP(A1286,[1]Detalle!$D$2:$CW$484,98,FALSE)</f>
        <v>Sin Operación</v>
      </c>
    </row>
    <row r="1287" spans="1:32" ht="15" customHeight="1" x14ac:dyDescent="0.3">
      <c r="A1287" s="1" t="s">
        <v>510</v>
      </c>
      <c r="B1287" s="1" t="s">
        <v>447</v>
      </c>
      <c r="C1287" s="1" t="s">
        <v>448</v>
      </c>
      <c r="D1287" s="1" t="s">
        <v>428</v>
      </c>
      <c r="E1287" s="1">
        <v>0.75</v>
      </c>
      <c r="F1287" s="1" t="s">
        <v>329</v>
      </c>
      <c r="G1287" s="6">
        <v>45901</v>
      </c>
      <c r="H1287" s="1">
        <v>1811240</v>
      </c>
      <c r="I1287" s="1">
        <v>1841240</v>
      </c>
      <c r="J1287" s="1">
        <v>9997.7999999999975</v>
      </c>
      <c r="K1287" s="1">
        <v>20002.2</v>
      </c>
      <c r="L1287" s="1">
        <v>1821237.8</v>
      </c>
      <c r="M1287" s="1">
        <v>46</v>
      </c>
      <c r="N1287" s="1">
        <v>426.42619047619053</v>
      </c>
      <c r="O1287" s="1">
        <v>92.030366680669786</v>
      </c>
      <c r="P1287" s="6">
        <v>45947</v>
      </c>
      <c r="Q1287" s="1">
        <v>30000</v>
      </c>
      <c r="R1287" s="6">
        <v>46039.030366678242</v>
      </c>
      <c r="S1287" s="7">
        <v>46039</v>
      </c>
      <c r="T1287" s="1" t="str">
        <f t="shared" ref="T1287:T1294" si="9">TEXT(S1287, "mmmm")</f>
        <v>enero</v>
      </c>
      <c r="U1287" s="1" t="s">
        <v>330</v>
      </c>
      <c r="V1287" s="1"/>
      <c r="W1287" s="1"/>
      <c r="X1287" s="1" t="s">
        <v>331</v>
      </c>
      <c r="Y1287" s="1" t="s">
        <v>332</v>
      </c>
      <c r="Z1287" s="1">
        <v>39</v>
      </c>
      <c r="AA1287" s="3">
        <v>3389.9</v>
      </c>
      <c r="AB1287" s="3">
        <v>132206.1</v>
      </c>
      <c r="AC1287" s="1" t="str">
        <f>VLOOKUP(A1287,[1]Detalle!$D$2:$CW$484,98,FALSE)</f>
        <v>Expreso - Servicios Troncales</v>
      </c>
      <c r="AD1287" s="1">
        <v>155645.55952380961</v>
      </c>
      <c r="AE1287" s="6">
        <v>46039</v>
      </c>
      <c r="AF1287" s="1">
        <v>1</v>
      </c>
    </row>
    <row r="1288" spans="1:32" ht="15" customHeight="1" x14ac:dyDescent="0.3">
      <c r="A1288" s="1" t="s">
        <v>510</v>
      </c>
      <c r="B1288" s="1" t="s">
        <v>447</v>
      </c>
      <c r="C1288" s="1" t="s">
        <v>448</v>
      </c>
      <c r="D1288" s="1" t="s">
        <v>428</v>
      </c>
      <c r="E1288" s="1">
        <v>0.75</v>
      </c>
      <c r="F1288" s="1" t="s">
        <v>329</v>
      </c>
      <c r="G1288" s="6">
        <v>46039</v>
      </c>
      <c r="H1288" s="1">
        <v>1811240</v>
      </c>
      <c r="I1288" s="1">
        <v>1841240</v>
      </c>
      <c r="J1288" s="1">
        <v>9997.7999999999975</v>
      </c>
      <c r="K1288" s="1">
        <v>20002.2</v>
      </c>
      <c r="L1288" s="1">
        <v>1821237.8</v>
      </c>
      <c r="M1288" s="1">
        <v>46</v>
      </c>
      <c r="N1288" s="1">
        <v>426.42619047619053</v>
      </c>
      <c r="O1288" s="1">
        <v>92.030366680669786</v>
      </c>
      <c r="P1288" s="6">
        <v>45947</v>
      </c>
      <c r="Q1288" s="1">
        <v>30000</v>
      </c>
      <c r="R1288" s="6">
        <v>46039.030366678242</v>
      </c>
      <c r="S1288" s="7">
        <v>46109.3521516033</v>
      </c>
      <c r="T1288" s="1" t="str">
        <f t="shared" si="9"/>
        <v>marzo</v>
      </c>
      <c r="U1288" s="1" t="s">
        <v>330</v>
      </c>
      <c r="V1288" s="1"/>
      <c r="W1288" s="1"/>
      <c r="X1288" s="1" t="s">
        <v>331</v>
      </c>
      <c r="Y1288" s="1" t="s">
        <v>332</v>
      </c>
      <c r="Z1288" s="1">
        <v>39</v>
      </c>
      <c r="AA1288" s="3">
        <v>3389.9</v>
      </c>
      <c r="AB1288" s="3">
        <v>132206.1</v>
      </c>
      <c r="AC1288" s="1" t="str">
        <f>VLOOKUP(A1288,[1]Detalle!$D$2:$CW$484,98,FALSE)</f>
        <v>Expreso - Servicios Troncales</v>
      </c>
      <c r="AD1288" s="1">
        <v>155645.55952380961</v>
      </c>
      <c r="AE1288" s="6">
        <v>46109.3521516033</v>
      </c>
      <c r="AF1288" s="1">
        <v>2</v>
      </c>
    </row>
    <row r="1289" spans="1:32" ht="15" customHeight="1" x14ac:dyDescent="0.3">
      <c r="A1289" s="1" t="s">
        <v>510</v>
      </c>
      <c r="B1289" s="1" t="s">
        <v>447</v>
      </c>
      <c r="C1289" s="1" t="s">
        <v>448</v>
      </c>
      <c r="D1289" s="1" t="s">
        <v>428</v>
      </c>
      <c r="E1289" s="1">
        <v>0.75</v>
      </c>
      <c r="F1289" s="1" t="s">
        <v>329</v>
      </c>
      <c r="G1289" s="6">
        <v>46109.3521516033</v>
      </c>
      <c r="H1289" s="1">
        <v>1811240</v>
      </c>
      <c r="I1289" s="1">
        <v>1841240</v>
      </c>
      <c r="J1289" s="1">
        <v>9997.7999999999975</v>
      </c>
      <c r="K1289" s="1">
        <v>20002.2</v>
      </c>
      <c r="L1289" s="1">
        <v>1821237.8</v>
      </c>
      <c r="M1289" s="1">
        <v>46</v>
      </c>
      <c r="N1289" s="1">
        <v>426.42619047619053</v>
      </c>
      <c r="O1289" s="1">
        <v>92.030366680669786</v>
      </c>
      <c r="P1289" s="6">
        <v>45947</v>
      </c>
      <c r="Q1289" s="1">
        <v>30000</v>
      </c>
      <c r="R1289" s="6">
        <v>46039.030366678242</v>
      </c>
      <c r="S1289" s="7">
        <v>46179.704303206599</v>
      </c>
      <c r="T1289" s="1" t="str">
        <f t="shared" si="9"/>
        <v>junio</v>
      </c>
      <c r="U1289" s="1" t="s">
        <v>330</v>
      </c>
      <c r="V1289" s="1"/>
      <c r="W1289" s="1"/>
      <c r="X1289" s="1" t="s">
        <v>331</v>
      </c>
      <c r="Y1289" s="1" t="s">
        <v>332</v>
      </c>
      <c r="Z1289" s="1">
        <v>39</v>
      </c>
      <c r="AA1289" s="3">
        <v>3389.9</v>
      </c>
      <c r="AB1289" s="3">
        <v>132206.1</v>
      </c>
      <c r="AC1289" s="1" t="str">
        <f>VLOOKUP(A1289,[1]Detalle!$D$2:$CW$484,98,FALSE)</f>
        <v>Expreso - Servicios Troncales</v>
      </c>
      <c r="AD1289" s="1">
        <v>155645.55952380961</v>
      </c>
      <c r="AE1289" s="6">
        <v>46179.704303206599</v>
      </c>
      <c r="AF1289" s="1">
        <v>3</v>
      </c>
    </row>
    <row r="1290" spans="1:32" ht="15" customHeight="1" x14ac:dyDescent="0.3">
      <c r="A1290" s="1" t="s">
        <v>510</v>
      </c>
      <c r="B1290" s="1" t="s">
        <v>447</v>
      </c>
      <c r="C1290" s="1" t="s">
        <v>448</v>
      </c>
      <c r="D1290" s="1" t="s">
        <v>428</v>
      </c>
      <c r="E1290" s="1">
        <v>0.75</v>
      </c>
      <c r="F1290" s="1" t="s">
        <v>329</v>
      </c>
      <c r="G1290" s="6">
        <v>46179.704303206599</v>
      </c>
      <c r="H1290" s="1">
        <v>1811240</v>
      </c>
      <c r="I1290" s="1">
        <v>1841240</v>
      </c>
      <c r="J1290" s="1">
        <v>9997.7999999999975</v>
      </c>
      <c r="K1290" s="1">
        <v>20002.2</v>
      </c>
      <c r="L1290" s="1">
        <v>1821237.8</v>
      </c>
      <c r="M1290" s="1">
        <v>46</v>
      </c>
      <c r="N1290" s="1">
        <v>426.42619047619053</v>
      </c>
      <c r="O1290" s="1">
        <v>92.030366680669786</v>
      </c>
      <c r="P1290" s="6">
        <v>45947</v>
      </c>
      <c r="Q1290" s="1">
        <v>30000</v>
      </c>
      <c r="R1290" s="6">
        <v>46039.030366678242</v>
      </c>
      <c r="S1290" s="7">
        <v>46250.056454809906</v>
      </c>
      <c r="T1290" s="1" t="str">
        <f t="shared" si="9"/>
        <v>agosto</v>
      </c>
      <c r="U1290" s="1" t="s">
        <v>330</v>
      </c>
      <c r="V1290" s="1"/>
      <c r="W1290" s="1"/>
      <c r="X1290" s="1" t="s">
        <v>331</v>
      </c>
      <c r="Y1290" s="1" t="s">
        <v>332</v>
      </c>
      <c r="Z1290" s="1">
        <v>39</v>
      </c>
      <c r="AA1290" s="3">
        <v>3389.9</v>
      </c>
      <c r="AB1290" s="3">
        <v>132206.1</v>
      </c>
      <c r="AC1290" s="1" t="str">
        <f>VLOOKUP(A1290,[1]Detalle!$D$2:$CW$484,98,FALSE)</f>
        <v>Expreso - Servicios Troncales</v>
      </c>
      <c r="AD1290" s="1">
        <v>155645.55952380961</v>
      </c>
      <c r="AE1290" s="6">
        <v>46250.056454809906</v>
      </c>
      <c r="AF1290" s="1">
        <v>4</v>
      </c>
    </row>
    <row r="1291" spans="1:32" ht="15" customHeight="1" x14ac:dyDescent="0.3">
      <c r="A1291" s="1" t="s">
        <v>510</v>
      </c>
      <c r="B1291" s="1" t="s">
        <v>447</v>
      </c>
      <c r="C1291" s="1" t="s">
        <v>448</v>
      </c>
      <c r="D1291" s="1" t="s">
        <v>428</v>
      </c>
      <c r="E1291" s="1">
        <v>0.75</v>
      </c>
      <c r="F1291" s="1" t="s">
        <v>329</v>
      </c>
      <c r="G1291" s="6">
        <v>46250.056454809906</v>
      </c>
      <c r="H1291" s="1">
        <v>1811240</v>
      </c>
      <c r="I1291" s="1">
        <v>1841240</v>
      </c>
      <c r="J1291" s="1">
        <v>9997.7999999999975</v>
      </c>
      <c r="K1291" s="1">
        <v>20002.2</v>
      </c>
      <c r="L1291" s="1">
        <v>1821237.8</v>
      </c>
      <c r="M1291" s="1">
        <v>46</v>
      </c>
      <c r="N1291" s="1">
        <v>426.42619047619053</v>
      </c>
      <c r="O1291" s="1">
        <v>92.030366680669786</v>
      </c>
      <c r="P1291" s="6">
        <v>45947</v>
      </c>
      <c r="Q1291" s="1">
        <v>30000</v>
      </c>
      <c r="R1291" s="6">
        <v>46039.030366678242</v>
      </c>
      <c r="S1291" s="7">
        <v>46320.408606413213</v>
      </c>
      <c r="T1291" s="1" t="str">
        <f t="shared" si="9"/>
        <v>octubre</v>
      </c>
      <c r="U1291" s="1" t="s">
        <v>330</v>
      </c>
      <c r="V1291" s="1"/>
      <c r="W1291" s="1"/>
      <c r="X1291" s="1" t="s">
        <v>331</v>
      </c>
      <c r="Y1291" s="1" t="s">
        <v>332</v>
      </c>
      <c r="Z1291" s="1">
        <v>39</v>
      </c>
      <c r="AA1291" s="3">
        <v>3389.9</v>
      </c>
      <c r="AB1291" s="3">
        <v>132206.1</v>
      </c>
      <c r="AC1291" s="1" t="str">
        <f>VLOOKUP(A1291,[1]Detalle!$D$2:$CW$484,98,FALSE)</f>
        <v>Expreso - Servicios Troncales</v>
      </c>
      <c r="AD1291" s="1">
        <v>155645.55952380961</v>
      </c>
      <c r="AE1291" s="6">
        <v>46320.408606413213</v>
      </c>
      <c r="AF1291" s="1">
        <v>5</v>
      </c>
    </row>
    <row r="1292" spans="1:32" ht="15" customHeight="1" x14ac:dyDescent="0.3">
      <c r="A1292" s="1" t="s">
        <v>510</v>
      </c>
      <c r="B1292" s="1" t="s">
        <v>447</v>
      </c>
      <c r="C1292" s="1" t="s">
        <v>448</v>
      </c>
      <c r="D1292" s="1" t="s">
        <v>428</v>
      </c>
      <c r="E1292" s="1">
        <v>0.75</v>
      </c>
      <c r="F1292" s="1" t="s">
        <v>329</v>
      </c>
      <c r="G1292" s="6">
        <v>45901</v>
      </c>
      <c r="H1292" s="1">
        <v>1811240</v>
      </c>
      <c r="I1292" s="1">
        <v>1841240</v>
      </c>
      <c r="J1292" s="1">
        <v>9997.7999999999975</v>
      </c>
      <c r="K1292" s="1">
        <v>20002.2</v>
      </c>
      <c r="L1292" s="1">
        <v>1821237.8</v>
      </c>
      <c r="M1292" s="1">
        <v>46</v>
      </c>
      <c r="N1292" s="1">
        <v>426.42619047619053</v>
      </c>
      <c r="O1292" s="1">
        <v>92.030366680669786</v>
      </c>
      <c r="P1292" s="6">
        <v>45947</v>
      </c>
      <c r="Q1292" s="1">
        <v>30000</v>
      </c>
      <c r="R1292" s="6">
        <v>46039.030366678242</v>
      </c>
      <c r="S1292" s="7">
        <v>46039</v>
      </c>
      <c r="T1292" s="1" t="str">
        <f t="shared" si="9"/>
        <v>enero</v>
      </c>
      <c r="U1292" s="1" t="s">
        <v>330</v>
      </c>
      <c r="V1292" s="1"/>
      <c r="W1292" s="1"/>
      <c r="X1292" s="1" t="s">
        <v>449</v>
      </c>
      <c r="Y1292" s="1" t="s">
        <v>450</v>
      </c>
      <c r="Z1292" s="1">
        <v>1</v>
      </c>
      <c r="AA1292" s="3">
        <v>17623.68</v>
      </c>
      <c r="AB1292" s="3">
        <v>17623.68</v>
      </c>
      <c r="AC1292" s="1" t="str">
        <f>VLOOKUP(A1292,[1]Detalle!$D$2:$CW$484,98,FALSE)</f>
        <v>Expreso - Servicios Troncales</v>
      </c>
      <c r="AD1292" s="1">
        <v>155645.55952380961</v>
      </c>
      <c r="AE1292" s="6">
        <v>46039</v>
      </c>
      <c r="AF1292" s="1">
        <v>1</v>
      </c>
    </row>
    <row r="1293" spans="1:32" ht="15" customHeight="1" x14ac:dyDescent="0.3">
      <c r="A1293" s="1" t="s">
        <v>510</v>
      </c>
      <c r="B1293" s="1" t="s">
        <v>447</v>
      </c>
      <c r="C1293" s="1" t="s">
        <v>448</v>
      </c>
      <c r="D1293" s="1" t="s">
        <v>428</v>
      </c>
      <c r="E1293" s="1">
        <v>0.75</v>
      </c>
      <c r="F1293" s="1" t="s">
        <v>329</v>
      </c>
      <c r="G1293" s="6">
        <v>46039</v>
      </c>
      <c r="H1293" s="1">
        <v>1811240</v>
      </c>
      <c r="I1293" s="1">
        <v>1841240</v>
      </c>
      <c r="J1293" s="1">
        <v>9997.7999999999975</v>
      </c>
      <c r="K1293" s="1">
        <v>20002.2</v>
      </c>
      <c r="L1293" s="1">
        <v>1821237.8</v>
      </c>
      <c r="M1293" s="1">
        <v>46</v>
      </c>
      <c r="N1293" s="1">
        <v>426.42619047619053</v>
      </c>
      <c r="O1293" s="1">
        <v>92.030366680669786</v>
      </c>
      <c r="P1293" s="6">
        <v>45947</v>
      </c>
      <c r="Q1293" s="1">
        <v>30000</v>
      </c>
      <c r="R1293" s="6">
        <v>46039.030366678242</v>
      </c>
      <c r="S1293" s="7">
        <v>46109.3521516033</v>
      </c>
      <c r="T1293" s="1" t="str">
        <f t="shared" si="9"/>
        <v>marzo</v>
      </c>
      <c r="U1293" s="1" t="s">
        <v>330</v>
      </c>
      <c r="V1293" s="1"/>
      <c r="W1293" s="1"/>
      <c r="X1293" s="1" t="s">
        <v>449</v>
      </c>
      <c r="Y1293" s="1" t="s">
        <v>450</v>
      </c>
      <c r="Z1293" s="1">
        <v>1</v>
      </c>
      <c r="AA1293" s="3">
        <v>17623.68</v>
      </c>
      <c r="AB1293" s="3">
        <v>17623.68</v>
      </c>
      <c r="AC1293" s="1" t="str">
        <f>VLOOKUP(A1293,[1]Detalle!$D$2:$CW$484,98,FALSE)</f>
        <v>Expreso - Servicios Troncales</v>
      </c>
      <c r="AD1293" s="1">
        <v>155645.55952380961</v>
      </c>
      <c r="AE1293" s="6">
        <v>46109.3521516033</v>
      </c>
      <c r="AF1293" s="1">
        <v>2</v>
      </c>
    </row>
    <row r="1294" spans="1:32" ht="15" customHeight="1" x14ac:dyDescent="0.3">
      <c r="A1294" s="1" t="s">
        <v>510</v>
      </c>
      <c r="B1294" s="1" t="s">
        <v>447</v>
      </c>
      <c r="C1294" s="1" t="s">
        <v>448</v>
      </c>
      <c r="D1294" s="1" t="s">
        <v>428</v>
      </c>
      <c r="E1294" s="1">
        <v>0.75</v>
      </c>
      <c r="F1294" s="1" t="s">
        <v>329</v>
      </c>
      <c r="G1294" s="6">
        <v>46109.3521516033</v>
      </c>
      <c r="H1294" s="1">
        <v>1811240</v>
      </c>
      <c r="I1294" s="1">
        <v>1841240</v>
      </c>
      <c r="J1294" s="1">
        <v>9997.7999999999975</v>
      </c>
      <c r="K1294" s="1">
        <v>20002.2</v>
      </c>
      <c r="L1294" s="1">
        <v>1821237.8</v>
      </c>
      <c r="M1294" s="1">
        <v>46</v>
      </c>
      <c r="N1294" s="1">
        <v>426.42619047619053</v>
      </c>
      <c r="O1294" s="1">
        <v>92.030366680669786</v>
      </c>
      <c r="P1294" s="6">
        <v>45947</v>
      </c>
      <c r="Q1294" s="1">
        <v>30000</v>
      </c>
      <c r="R1294" s="6">
        <v>46039.030366678242</v>
      </c>
      <c r="S1294" s="7">
        <v>46179.704303206599</v>
      </c>
      <c r="T1294" s="1" t="str">
        <f t="shared" si="9"/>
        <v>junio</v>
      </c>
      <c r="U1294" s="1" t="s">
        <v>330</v>
      </c>
      <c r="V1294" s="1"/>
      <c r="W1294" s="1"/>
      <c r="X1294" s="1" t="s">
        <v>449</v>
      </c>
      <c r="Y1294" s="1" t="s">
        <v>450</v>
      </c>
      <c r="Z1294" s="1">
        <v>1</v>
      </c>
      <c r="AA1294" s="3">
        <v>17623.68</v>
      </c>
      <c r="AB1294" s="3">
        <v>17623.68</v>
      </c>
      <c r="AC1294" s="1" t="str">
        <f>VLOOKUP(A1294,[1]Detalle!$D$2:$CW$484,98,FALSE)</f>
        <v>Expreso - Servicios Troncales</v>
      </c>
      <c r="AD1294" s="1">
        <v>155645.55952380961</v>
      </c>
      <c r="AE1294" s="6">
        <v>46179.704303206599</v>
      </c>
      <c r="AF1294" s="1">
        <v>3</v>
      </c>
    </row>
    <row r="1298" spans="28:29" ht="15" customHeight="1" x14ac:dyDescent="0.3">
      <c r="AB1298" s="36"/>
      <c r="AC1298" s="37"/>
    </row>
    <row r="1299" spans="28:29" ht="15" customHeight="1" x14ac:dyDescent="0.3">
      <c r="AB1299" s="36"/>
      <c r="AC1299" s="37"/>
    </row>
    <row r="1300" spans="28:29" ht="15" customHeight="1" x14ac:dyDescent="0.3">
      <c r="AB1300" s="38"/>
    </row>
    <row r="1301" spans="28:29" ht="15" customHeight="1" x14ac:dyDescent="0.3">
      <c r="AB1301" s="38"/>
    </row>
    <row r="1302" spans="28:29" ht="15" customHeight="1" x14ac:dyDescent="0.3">
      <c r="AB1302" s="14"/>
    </row>
    <row r="1303" spans="28:29" ht="15" customHeight="1" x14ac:dyDescent="0.3">
      <c r="AB1303" s="14"/>
    </row>
    <row r="1304" spans="28:29" ht="15" customHeight="1" x14ac:dyDescent="0.3">
      <c r="AB1304" s="14"/>
    </row>
  </sheetData>
  <autoFilter ref="A1:AF1294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baseColWidth="10" defaultColWidth="14.44140625" defaultRowHeight="15" customHeight="1" x14ac:dyDescent="0.3"/>
  <cols>
    <col min="1" max="1" width="38.6640625" customWidth="1"/>
    <col min="2" max="26" width="10.6640625" customWidth="1"/>
  </cols>
  <sheetData>
    <row r="1" spans="1:1" ht="14.25" customHeight="1" x14ac:dyDescent="0.3">
      <c r="A1" s="27" t="s">
        <v>515</v>
      </c>
    </row>
    <row r="2" spans="1:1" ht="14.25" customHeight="1" x14ac:dyDescent="0.3">
      <c r="A2" s="28" t="s">
        <v>516</v>
      </c>
    </row>
    <row r="3" spans="1:1" ht="14.25" customHeight="1" x14ac:dyDescent="0.3">
      <c r="A3" s="27" t="s">
        <v>517</v>
      </c>
    </row>
    <row r="4" spans="1:1" ht="14.25" customHeight="1" x14ac:dyDescent="0.3">
      <c r="A4" s="28" t="s">
        <v>518</v>
      </c>
    </row>
    <row r="5" spans="1:1" ht="14.25" customHeight="1" x14ac:dyDescent="0.3">
      <c r="A5" s="27" t="s">
        <v>519</v>
      </c>
    </row>
    <row r="6" spans="1:1" ht="14.25" customHeight="1" x14ac:dyDescent="0.3">
      <c r="A6" s="28" t="s">
        <v>520</v>
      </c>
    </row>
    <row r="7" spans="1:1" ht="14.25" customHeight="1" x14ac:dyDescent="0.3">
      <c r="A7" s="27" t="s">
        <v>521</v>
      </c>
    </row>
    <row r="8" spans="1:1" ht="14.25" customHeight="1" x14ac:dyDescent="0.3">
      <c r="A8" s="28" t="s">
        <v>522</v>
      </c>
    </row>
    <row r="9" spans="1:1" ht="14.25" customHeight="1" x14ac:dyDescent="0.3">
      <c r="A9" s="29" t="s">
        <v>523</v>
      </c>
    </row>
    <row r="10" spans="1:1" ht="14.25" customHeight="1" x14ac:dyDescent="0.3">
      <c r="A10" s="1" t="s">
        <v>524</v>
      </c>
    </row>
    <row r="11" spans="1:1" ht="14.25" customHeight="1" x14ac:dyDescent="0.3">
      <c r="A11" s="27" t="s">
        <v>525</v>
      </c>
    </row>
    <row r="12" spans="1:1" ht="14.25" customHeight="1" x14ac:dyDescent="0.3">
      <c r="A12" s="28" t="s">
        <v>526</v>
      </c>
    </row>
    <row r="13" spans="1:1" ht="14.25" customHeight="1" x14ac:dyDescent="0.3">
      <c r="A13" s="27" t="s">
        <v>527</v>
      </c>
    </row>
    <row r="14" spans="1:1" ht="14.25" customHeight="1" x14ac:dyDescent="0.3">
      <c r="A14" s="28" t="s">
        <v>296</v>
      </c>
    </row>
    <row r="15" spans="1:1" ht="14.25" customHeight="1" x14ac:dyDescent="0.3">
      <c r="A15" s="27" t="s">
        <v>528</v>
      </c>
    </row>
    <row r="16" spans="1:1" ht="14.25" customHeight="1" x14ac:dyDescent="0.3">
      <c r="A16" s="28" t="s">
        <v>529</v>
      </c>
    </row>
    <row r="17" spans="1:1" ht="14.25" customHeight="1" x14ac:dyDescent="0.3">
      <c r="A17" s="27" t="s">
        <v>530</v>
      </c>
    </row>
    <row r="18" spans="1:1" ht="14.25" customHeight="1" x14ac:dyDescent="0.3">
      <c r="A18" s="28" t="s">
        <v>531</v>
      </c>
    </row>
    <row r="19" spans="1:1" ht="14.25" customHeight="1" x14ac:dyDescent="0.3">
      <c r="A19" s="27" t="s">
        <v>532</v>
      </c>
    </row>
    <row r="20" spans="1:1" ht="14.25" customHeight="1" x14ac:dyDescent="0.3">
      <c r="A20" s="28" t="s">
        <v>533</v>
      </c>
    </row>
    <row r="21" spans="1:1" ht="14.25" customHeight="1" x14ac:dyDescent="0.3">
      <c r="A21" s="27" t="s">
        <v>534</v>
      </c>
    </row>
    <row r="22" spans="1:1" ht="14.25" customHeight="1" x14ac:dyDescent="0.3">
      <c r="A22" s="28" t="s">
        <v>535</v>
      </c>
    </row>
    <row r="23" spans="1:1" ht="14.25" customHeight="1" x14ac:dyDescent="0.3">
      <c r="A23" s="27" t="s">
        <v>536</v>
      </c>
    </row>
    <row r="24" spans="1:1" ht="14.25" customHeight="1" x14ac:dyDescent="0.3">
      <c r="A24" s="30" t="s">
        <v>537</v>
      </c>
    </row>
    <row r="25" spans="1:1" ht="14.25" customHeight="1" x14ac:dyDescent="0.3">
      <c r="A25" s="27" t="s">
        <v>538</v>
      </c>
    </row>
    <row r="26" spans="1:1" ht="14.25" customHeight="1" x14ac:dyDescent="0.3">
      <c r="A26" s="28" t="s">
        <v>539</v>
      </c>
    </row>
    <row r="27" spans="1:1" ht="14.25" customHeight="1" x14ac:dyDescent="0.3">
      <c r="A27" s="31" t="s">
        <v>540</v>
      </c>
    </row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baseColWidth="10" defaultColWidth="14.44140625" defaultRowHeight="15" customHeight="1" x14ac:dyDescent="0.3"/>
  <cols>
    <col min="1" max="1" width="38.6640625" customWidth="1"/>
    <col min="2" max="2" width="12.88671875" customWidth="1"/>
    <col min="3" max="5" width="11.44140625" customWidth="1"/>
    <col min="6" max="6" width="12.88671875" customWidth="1"/>
    <col min="7" max="9" width="11.44140625" customWidth="1"/>
    <col min="10" max="14" width="12.88671875" customWidth="1"/>
    <col min="15" max="26" width="10.6640625" customWidth="1"/>
  </cols>
  <sheetData>
    <row r="1" spans="1:14" ht="14.25" customHeight="1" x14ac:dyDescent="0.3">
      <c r="A1" s="32"/>
      <c r="B1" s="32" t="s">
        <v>283</v>
      </c>
      <c r="C1" s="32" t="s">
        <v>284</v>
      </c>
      <c r="D1" s="32" t="s">
        <v>285</v>
      </c>
      <c r="E1" s="32" t="s">
        <v>286</v>
      </c>
      <c r="F1" s="32" t="s">
        <v>287</v>
      </c>
      <c r="G1" s="32" t="s">
        <v>288</v>
      </c>
      <c r="H1" s="32" t="s">
        <v>289</v>
      </c>
      <c r="I1" s="32" t="s">
        <v>290</v>
      </c>
      <c r="J1" s="32" t="s">
        <v>291</v>
      </c>
      <c r="K1" s="32" t="s">
        <v>292</v>
      </c>
      <c r="L1" s="32" t="s">
        <v>293</v>
      </c>
      <c r="M1" s="32" t="s">
        <v>294</v>
      </c>
      <c r="N1" s="32" t="s">
        <v>541</v>
      </c>
    </row>
    <row r="2" spans="1:14" ht="14.25" customHeight="1" x14ac:dyDescent="0.3">
      <c r="A2" s="33" t="s">
        <v>542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4.25" customHeight="1" x14ac:dyDescent="0.3">
      <c r="A3" s="2" t="s">
        <v>515</v>
      </c>
      <c r="B3" s="3">
        <v>1411247.4500000002</v>
      </c>
      <c r="C3" s="3">
        <v>490552.56000000006</v>
      </c>
      <c r="D3" s="3">
        <v>369732.1</v>
      </c>
      <c r="E3" s="3">
        <v>735828.84000000008</v>
      </c>
      <c r="F3" s="3">
        <v>1043856.8000000003</v>
      </c>
      <c r="G3" s="3"/>
      <c r="H3" s="3">
        <v>245276.28000000003</v>
      </c>
      <c r="I3" s="3">
        <v>430142.32999999996</v>
      </c>
      <c r="J3" s="3"/>
      <c r="K3" s="3"/>
      <c r="L3" s="3"/>
      <c r="M3" s="3"/>
      <c r="N3" s="3">
        <v>4726636.3600000003</v>
      </c>
    </row>
    <row r="4" spans="1:14" ht="14.25" customHeight="1" x14ac:dyDescent="0.3">
      <c r="A4" s="2" t="s">
        <v>516</v>
      </c>
      <c r="B4" s="3"/>
      <c r="C4" s="3"/>
      <c r="D4" s="3"/>
      <c r="E4" s="3"/>
      <c r="F4" s="3"/>
      <c r="G4" s="3"/>
      <c r="H4" s="3"/>
      <c r="I4" s="3"/>
      <c r="J4" s="3"/>
      <c r="K4" s="3"/>
      <c r="L4" s="3">
        <v>142474.88</v>
      </c>
      <c r="M4" s="3"/>
      <c r="N4" s="3">
        <v>142474.88</v>
      </c>
    </row>
    <row r="5" spans="1:14" ht="14.25" customHeight="1" x14ac:dyDescent="0.3">
      <c r="A5" s="2" t="s">
        <v>522</v>
      </c>
      <c r="B5" s="3">
        <v>399065.12000000011</v>
      </c>
      <c r="C5" s="3"/>
      <c r="D5" s="3">
        <v>129862.88</v>
      </c>
      <c r="E5" s="3"/>
      <c r="F5" s="3">
        <v>767580.58</v>
      </c>
      <c r="G5" s="3">
        <v>125503.36000000002</v>
      </c>
      <c r="H5" s="3">
        <v>129862.88</v>
      </c>
      <c r="I5" s="3"/>
      <c r="J5" s="3">
        <v>143698.88</v>
      </c>
      <c r="K5" s="3">
        <v>67111.199999999997</v>
      </c>
      <c r="L5" s="3"/>
      <c r="M5" s="3"/>
      <c r="N5" s="3">
        <v>1762684.9000000001</v>
      </c>
    </row>
    <row r="6" spans="1:14" ht="14.25" customHeight="1" x14ac:dyDescent="0.3">
      <c r="A6" s="2" t="s">
        <v>523</v>
      </c>
      <c r="B6" s="3"/>
      <c r="C6" s="3">
        <v>136395.20000000001</v>
      </c>
      <c r="D6" s="3"/>
      <c r="E6" s="3">
        <v>62751.68</v>
      </c>
      <c r="F6" s="3"/>
      <c r="G6" s="3"/>
      <c r="H6" s="3"/>
      <c r="I6" s="3">
        <v>67111.199999999997</v>
      </c>
      <c r="J6" s="3"/>
      <c r="K6" s="3"/>
      <c r="L6" s="3"/>
      <c r="M6" s="3"/>
      <c r="N6" s="3">
        <v>266258.08</v>
      </c>
    </row>
    <row r="7" spans="1:14" ht="14.25" customHeight="1" x14ac:dyDescent="0.3">
      <c r="A7" s="2" t="s">
        <v>525</v>
      </c>
      <c r="B7" s="3"/>
      <c r="C7" s="3">
        <v>125015.94</v>
      </c>
      <c r="D7" s="3"/>
      <c r="E7" s="3"/>
      <c r="F7" s="3"/>
      <c r="G7" s="3"/>
      <c r="H7" s="3"/>
      <c r="I7" s="3">
        <v>133903.95000000001</v>
      </c>
      <c r="J7" s="3"/>
      <c r="K7" s="3"/>
      <c r="L7" s="3">
        <v>44741.59</v>
      </c>
      <c r="M7" s="3"/>
      <c r="N7" s="3">
        <v>303661.48</v>
      </c>
    </row>
    <row r="8" spans="1:14" ht="14.25" customHeight="1" x14ac:dyDescent="0.3">
      <c r="A8" s="2" t="s">
        <v>526</v>
      </c>
      <c r="B8" s="3"/>
      <c r="C8" s="3"/>
      <c r="D8" s="3"/>
      <c r="E8" s="3"/>
      <c r="F8" s="3"/>
      <c r="G8" s="3">
        <v>15918.619999999999</v>
      </c>
      <c r="H8" s="3">
        <v>28822.97</v>
      </c>
      <c r="I8" s="3"/>
      <c r="J8" s="3"/>
      <c r="K8" s="3"/>
      <c r="L8" s="3"/>
      <c r="M8" s="3"/>
      <c r="N8" s="3">
        <v>44741.59</v>
      </c>
    </row>
    <row r="9" spans="1:14" ht="14.25" customHeight="1" x14ac:dyDescent="0.3">
      <c r="A9" s="2" t="s">
        <v>527</v>
      </c>
      <c r="B9" s="3"/>
      <c r="C9" s="3">
        <v>284638.60000000003</v>
      </c>
      <c r="D9" s="3">
        <v>521516.9</v>
      </c>
      <c r="E9" s="3">
        <v>467082.02</v>
      </c>
      <c r="F9" s="3">
        <v>476271.52</v>
      </c>
      <c r="G9" s="3">
        <v>582041.13000000012</v>
      </c>
      <c r="H9" s="3">
        <v>696546.00000000023</v>
      </c>
      <c r="I9" s="3">
        <v>416987.04000000004</v>
      </c>
      <c r="J9" s="3">
        <v>1249616.3699999999</v>
      </c>
      <c r="K9" s="3">
        <v>1068843.56</v>
      </c>
      <c r="L9" s="3">
        <v>2094632.5</v>
      </c>
      <c r="M9" s="3">
        <v>1022668.4400000001</v>
      </c>
      <c r="N9" s="3">
        <v>8880844.0800000001</v>
      </c>
    </row>
    <row r="10" spans="1:14" ht="14.25" customHeight="1" x14ac:dyDescent="0.3">
      <c r="A10" s="2" t="s">
        <v>296</v>
      </c>
      <c r="B10" s="3">
        <v>2627468.1800000011</v>
      </c>
      <c r="C10" s="3">
        <v>743178.4800000001</v>
      </c>
      <c r="D10" s="3">
        <v>966052.43000000017</v>
      </c>
      <c r="E10" s="3">
        <v>444802.20000000007</v>
      </c>
      <c r="F10" s="3">
        <v>615008.38000000012</v>
      </c>
      <c r="G10" s="3">
        <v>650674.83000000007</v>
      </c>
      <c r="H10" s="3">
        <v>252625.91999999998</v>
      </c>
      <c r="I10" s="3">
        <v>437491.97000000003</v>
      </c>
      <c r="J10" s="3">
        <v>111434.28</v>
      </c>
      <c r="K10" s="3"/>
      <c r="L10" s="3"/>
      <c r="M10" s="3"/>
      <c r="N10" s="3">
        <v>6848736.6700000018</v>
      </c>
    </row>
    <row r="11" spans="1:14" ht="14.25" customHeight="1" x14ac:dyDescent="0.3">
      <c r="A11" s="2" t="s">
        <v>528</v>
      </c>
      <c r="B11" s="3"/>
      <c r="C11" s="3"/>
      <c r="D11" s="3">
        <v>451124.13</v>
      </c>
      <c r="E11" s="3"/>
      <c r="F11" s="3"/>
      <c r="G11" s="3"/>
      <c r="H11" s="3"/>
      <c r="I11" s="3">
        <v>396120.95999999996</v>
      </c>
      <c r="J11" s="3"/>
      <c r="K11" s="3"/>
      <c r="L11" s="3"/>
      <c r="M11" s="3"/>
      <c r="N11" s="3">
        <v>847245.09</v>
      </c>
    </row>
    <row r="12" spans="1:14" ht="14.25" customHeight="1" x14ac:dyDescent="0.3">
      <c r="A12" s="2" t="s">
        <v>529</v>
      </c>
      <c r="B12" s="3"/>
      <c r="C12" s="3">
        <v>136395.20000000001</v>
      </c>
      <c r="D12" s="3">
        <v>309956.32</v>
      </c>
      <c r="E12" s="3">
        <v>136395.20000000001</v>
      </c>
      <c r="F12" s="3">
        <v>92696.960000000006</v>
      </c>
      <c r="G12" s="3">
        <v>189479.04000000001</v>
      </c>
      <c r="H12" s="3">
        <v>134222.40000000002</v>
      </c>
      <c r="I12" s="3">
        <v>129862.88</v>
      </c>
      <c r="J12" s="3">
        <v>388625.92000000004</v>
      </c>
      <c r="K12" s="3">
        <v>259459.84</v>
      </c>
      <c r="L12" s="3">
        <v>67111.199999999997</v>
      </c>
      <c r="M12" s="3"/>
      <c r="N12" s="3">
        <v>1844204.96</v>
      </c>
    </row>
    <row r="13" spans="1:14" ht="14.25" customHeight="1" x14ac:dyDescent="0.3">
      <c r="A13" s="2" t="s">
        <v>297</v>
      </c>
      <c r="B13" s="3">
        <v>301197.20999999996</v>
      </c>
      <c r="C13" s="3">
        <v>586108.4800000001</v>
      </c>
      <c r="D13" s="3">
        <v>301577.27999999997</v>
      </c>
      <c r="E13" s="3">
        <v>173204.32</v>
      </c>
      <c r="F13" s="3">
        <v>178512.63999999998</v>
      </c>
      <c r="G13" s="3">
        <v>125503.36000000002</v>
      </c>
      <c r="H13" s="3">
        <v>115760.95999999999</v>
      </c>
      <c r="I13" s="3"/>
      <c r="J13" s="3">
        <v>188180.47999999998</v>
      </c>
      <c r="K13" s="3"/>
      <c r="L13" s="3"/>
      <c r="M13" s="3">
        <v>110452.64</v>
      </c>
      <c r="N13" s="3">
        <v>2080497.3699999999</v>
      </c>
    </row>
    <row r="14" spans="1:14" ht="14.25" customHeight="1" x14ac:dyDescent="0.3">
      <c r="A14" s="2" t="s">
        <v>531</v>
      </c>
      <c r="B14" s="3">
        <v>66997.850000000006</v>
      </c>
      <c r="C14" s="3">
        <v>72419.520000000004</v>
      </c>
      <c r="D14" s="3">
        <v>121902.81000000001</v>
      </c>
      <c r="E14" s="3"/>
      <c r="F14" s="3"/>
      <c r="G14" s="3">
        <v>62751.68</v>
      </c>
      <c r="H14" s="3">
        <v>244421.83000000002</v>
      </c>
      <c r="I14" s="3"/>
      <c r="J14" s="3"/>
      <c r="K14" s="3">
        <v>11957.23</v>
      </c>
      <c r="L14" s="3">
        <v>41191.409999999996</v>
      </c>
      <c r="M14" s="3"/>
      <c r="N14" s="3">
        <v>621642.32999999996</v>
      </c>
    </row>
    <row r="15" spans="1:14" ht="14.25" customHeight="1" x14ac:dyDescent="0.3">
      <c r="A15" s="2" t="s">
        <v>532</v>
      </c>
      <c r="B15" s="3"/>
      <c r="C15" s="3"/>
      <c r="D15" s="3"/>
      <c r="E15" s="3"/>
      <c r="F15" s="3"/>
      <c r="G15" s="3">
        <v>125503.36000000002</v>
      </c>
      <c r="H15" s="3"/>
      <c r="I15" s="3"/>
      <c r="J15" s="3"/>
      <c r="K15" s="3"/>
      <c r="L15" s="3"/>
      <c r="M15" s="3"/>
      <c r="N15" s="3">
        <v>125503.36000000002</v>
      </c>
    </row>
    <row r="16" spans="1:14" ht="14.25" customHeight="1" x14ac:dyDescent="0.3">
      <c r="A16" s="2" t="s">
        <v>533</v>
      </c>
      <c r="B16" s="3">
        <v>62751.68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62751.68</v>
      </c>
    </row>
    <row r="17" spans="1:14" ht="14.25" customHeight="1" x14ac:dyDescent="0.3">
      <c r="A17" s="2" t="s">
        <v>534</v>
      </c>
      <c r="B17" s="3">
        <v>18045.55</v>
      </c>
      <c r="C17" s="3">
        <v>225760.06999999998</v>
      </c>
      <c r="D17" s="3">
        <v>136395.20000000001</v>
      </c>
      <c r="E17" s="3">
        <v>129862.88</v>
      </c>
      <c r="F17" s="3">
        <v>18045.55</v>
      </c>
      <c r="G17" s="3">
        <v>219843.96000000002</v>
      </c>
      <c r="H17" s="3">
        <v>244421.83000000002</v>
      </c>
      <c r="I17" s="3">
        <v>266258.08</v>
      </c>
      <c r="J17" s="3"/>
      <c r="K17" s="3">
        <v>53148.639999999992</v>
      </c>
      <c r="L17" s="3">
        <v>129862.88</v>
      </c>
      <c r="M17" s="3"/>
      <c r="N17" s="3">
        <v>1441644.6400000001</v>
      </c>
    </row>
    <row r="18" spans="1:14" ht="14.25" customHeight="1" x14ac:dyDescent="0.3">
      <c r="A18" s="2" t="s">
        <v>535</v>
      </c>
      <c r="B18" s="3"/>
      <c r="C18" s="3">
        <v>62751.68</v>
      </c>
      <c r="D18" s="3">
        <v>37165.919999999998</v>
      </c>
      <c r="E18" s="3">
        <v>67111.199999999997</v>
      </c>
      <c r="F18" s="3"/>
      <c r="G18" s="3"/>
      <c r="H18" s="3">
        <v>125503.36000000002</v>
      </c>
      <c r="I18" s="3"/>
      <c r="J18" s="3">
        <v>104277.12</v>
      </c>
      <c r="K18" s="3"/>
      <c r="L18" s="3"/>
      <c r="M18" s="3">
        <v>110452.64</v>
      </c>
      <c r="N18" s="3">
        <v>507261.92000000004</v>
      </c>
    </row>
    <row r="19" spans="1:14" ht="14.25" customHeight="1" x14ac:dyDescent="0.3">
      <c r="A19" s="2" t="s">
        <v>536</v>
      </c>
      <c r="B19" s="3"/>
      <c r="C19" s="3"/>
      <c r="D19" s="3"/>
      <c r="E19" s="3">
        <v>18045.55</v>
      </c>
      <c r="F19" s="3">
        <v>103857.26000000001</v>
      </c>
      <c r="G19" s="3"/>
      <c r="H19" s="3"/>
      <c r="I19" s="3">
        <v>18045.55</v>
      </c>
      <c r="J19" s="3">
        <v>89981.08</v>
      </c>
      <c r="K19" s="3"/>
      <c r="L19" s="3"/>
      <c r="M19" s="3"/>
      <c r="N19" s="3">
        <v>229929.44</v>
      </c>
    </row>
    <row r="20" spans="1:14" ht="14.25" customHeight="1" x14ac:dyDescent="0.3">
      <c r="A20" s="2" t="s">
        <v>537</v>
      </c>
      <c r="B20" s="3">
        <v>121902.81000000001</v>
      </c>
      <c r="C20" s="3"/>
      <c r="D20" s="3"/>
      <c r="E20" s="3"/>
      <c r="F20" s="3"/>
      <c r="G20" s="3"/>
      <c r="H20" s="3">
        <v>136395.20000000001</v>
      </c>
      <c r="I20" s="3"/>
      <c r="J20" s="3"/>
      <c r="K20" s="3"/>
      <c r="L20" s="3"/>
      <c r="M20" s="3"/>
      <c r="N20" s="3">
        <v>258298.01</v>
      </c>
    </row>
    <row r="21" spans="1:14" ht="14.25" customHeight="1" x14ac:dyDescent="0.3">
      <c r="A21" s="2" t="s">
        <v>538</v>
      </c>
      <c r="B21" s="3">
        <v>387514.22000000003</v>
      </c>
      <c r="C21" s="3"/>
      <c r="D21" s="3"/>
      <c r="E21" s="3"/>
      <c r="F21" s="3">
        <v>72419.520000000004</v>
      </c>
      <c r="G21" s="3"/>
      <c r="H21" s="3">
        <v>62751.68</v>
      </c>
      <c r="I21" s="3"/>
      <c r="J21" s="3">
        <v>136395.20000000001</v>
      </c>
      <c r="K21" s="3">
        <v>188255.04</v>
      </c>
      <c r="L21" s="3"/>
      <c r="M21" s="3">
        <v>72419.520000000004</v>
      </c>
      <c r="N21" s="3">
        <v>919755.18000000017</v>
      </c>
    </row>
    <row r="22" spans="1:14" ht="14.25" customHeight="1" x14ac:dyDescent="0.3">
      <c r="A22" s="2" t="s">
        <v>540</v>
      </c>
      <c r="B22" s="3">
        <v>97056.48000000001</v>
      </c>
      <c r="C22" s="3"/>
      <c r="D22" s="3"/>
      <c r="E22" s="3">
        <v>272790.40000000002</v>
      </c>
      <c r="F22" s="3">
        <v>136395.20000000001</v>
      </c>
      <c r="G22" s="3">
        <v>483930.53000000009</v>
      </c>
      <c r="H22" s="3">
        <v>121902.81000000001</v>
      </c>
      <c r="I22" s="3">
        <v>254075.12</v>
      </c>
      <c r="J22" s="3">
        <v>413374.96</v>
      </c>
      <c r="K22" s="3">
        <v>62751.68</v>
      </c>
      <c r="L22" s="3"/>
      <c r="M22" s="3">
        <v>266258.08</v>
      </c>
      <c r="N22" s="3">
        <v>2108535.2599999998</v>
      </c>
    </row>
    <row r="23" spans="1:14" ht="14.25" customHeight="1" x14ac:dyDescent="0.3">
      <c r="A23" s="2" t="s">
        <v>543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>
        <v>133759.12</v>
      </c>
      <c r="N23" s="3">
        <v>133759.12</v>
      </c>
    </row>
    <row r="24" spans="1:14" ht="14.25" customHeight="1" x14ac:dyDescent="0.3">
      <c r="A24" s="2" t="s">
        <v>519</v>
      </c>
      <c r="B24" s="3"/>
      <c r="C24" s="3">
        <v>142474.88</v>
      </c>
      <c r="D24" s="3"/>
      <c r="E24" s="3">
        <v>199146.88</v>
      </c>
      <c r="F24" s="3">
        <v>62751.68</v>
      </c>
      <c r="G24" s="3"/>
      <c r="H24" s="3">
        <v>136395.20000000001</v>
      </c>
      <c r="I24" s="3"/>
      <c r="J24" s="3"/>
      <c r="K24" s="3"/>
      <c r="L24" s="3">
        <v>166340.48000000001</v>
      </c>
      <c r="M24" s="3">
        <v>136395.20000000001</v>
      </c>
      <c r="N24" s="3">
        <v>843504.32000000007</v>
      </c>
    </row>
    <row r="25" spans="1:14" ht="14.25" customHeight="1" x14ac:dyDescent="0.3">
      <c r="A25" s="2" t="s">
        <v>521</v>
      </c>
      <c r="B25" s="3"/>
      <c r="C25" s="3">
        <v>111434.28</v>
      </c>
      <c r="D25" s="3">
        <v>251006.72</v>
      </c>
      <c r="E25" s="3">
        <v>329009.76000000007</v>
      </c>
      <c r="F25" s="3">
        <v>251006.72</v>
      </c>
      <c r="G25" s="3">
        <v>421706.72000000003</v>
      </c>
      <c r="H25" s="3">
        <v>229780.47999999998</v>
      </c>
      <c r="I25" s="3">
        <v>99917.6</v>
      </c>
      <c r="J25" s="3">
        <v>865938.24000000022</v>
      </c>
      <c r="K25" s="3">
        <v>272790.40000000002</v>
      </c>
      <c r="L25" s="3">
        <v>123064.63999999998</v>
      </c>
      <c r="M25" s="3">
        <v>389588.63999999996</v>
      </c>
      <c r="N25" s="3">
        <v>3345244.2000000007</v>
      </c>
    </row>
    <row r="26" spans="1:14" ht="14.25" customHeight="1" x14ac:dyDescent="0.3">
      <c r="A26" s="2" t="s">
        <v>520</v>
      </c>
      <c r="B26" s="3"/>
      <c r="C26" s="3"/>
      <c r="D26" s="3">
        <v>188255.04</v>
      </c>
      <c r="E26" s="3">
        <v>129862.88</v>
      </c>
      <c r="F26" s="3">
        <v>125503.36000000002</v>
      </c>
      <c r="G26" s="3">
        <v>67111.199999999997</v>
      </c>
      <c r="H26" s="3">
        <v>296891.68</v>
      </c>
      <c r="I26" s="3">
        <v>535956.4800000001</v>
      </c>
      <c r="J26" s="3">
        <v>265034.08</v>
      </c>
      <c r="K26" s="3">
        <v>551207.84</v>
      </c>
      <c r="L26" s="3">
        <v>266258.08</v>
      </c>
      <c r="M26" s="3"/>
      <c r="N26" s="3">
        <v>2426080.64</v>
      </c>
    </row>
    <row r="27" spans="1:14" ht="14.25" customHeight="1" x14ac:dyDescent="0.3">
      <c r="A27" s="2" t="s">
        <v>539</v>
      </c>
      <c r="B27" s="3"/>
      <c r="C27" s="3">
        <v>136395.20000000001</v>
      </c>
      <c r="D27" s="3"/>
      <c r="E27" s="3"/>
      <c r="F27" s="3"/>
      <c r="G27" s="3"/>
      <c r="H27" s="3"/>
      <c r="I27" s="3">
        <v>142474.88</v>
      </c>
      <c r="J27" s="3"/>
      <c r="K27" s="3"/>
      <c r="L27" s="3"/>
      <c r="M27" s="3"/>
      <c r="N27" s="3">
        <v>278870.08</v>
      </c>
    </row>
    <row r="28" spans="1:14" ht="14.25" customHeight="1" x14ac:dyDescent="0.3">
      <c r="A28" s="2" t="s">
        <v>518</v>
      </c>
      <c r="B28" s="3">
        <v>184866.05</v>
      </c>
      <c r="C28" s="3"/>
      <c r="D28" s="3">
        <v>62751.68</v>
      </c>
      <c r="E28" s="3">
        <v>184866.05</v>
      </c>
      <c r="F28" s="3">
        <v>257285.57</v>
      </c>
      <c r="G28" s="3">
        <v>184866.05</v>
      </c>
      <c r="H28" s="3">
        <v>184866.05</v>
      </c>
      <c r="I28" s="3">
        <v>407734.61000000004</v>
      </c>
      <c r="J28" s="3">
        <v>111434.28</v>
      </c>
      <c r="K28" s="3"/>
      <c r="L28" s="3"/>
      <c r="M28" s="3">
        <v>184866.05</v>
      </c>
      <c r="N28" s="3">
        <v>1763536.3900000001</v>
      </c>
    </row>
    <row r="29" spans="1:14" ht="14.25" customHeight="1" x14ac:dyDescent="0.3">
      <c r="A29" s="2" t="s">
        <v>517</v>
      </c>
      <c r="B29" s="3"/>
      <c r="C29" s="3"/>
      <c r="D29" s="3"/>
      <c r="E29" s="3"/>
      <c r="F29" s="3"/>
      <c r="G29" s="3"/>
      <c r="H29" s="3"/>
      <c r="I29" s="3">
        <v>135171.20000000001</v>
      </c>
      <c r="J29" s="3"/>
      <c r="K29" s="3"/>
      <c r="L29" s="3"/>
      <c r="M29" s="3"/>
      <c r="N29" s="3">
        <v>135171.20000000001</v>
      </c>
    </row>
    <row r="30" spans="1:14" ht="14.25" customHeight="1" x14ac:dyDescent="0.3">
      <c r="A30" s="2" t="s">
        <v>524</v>
      </c>
      <c r="B30" s="3">
        <v>653586.54</v>
      </c>
      <c r="C30" s="3">
        <v>499889.77</v>
      </c>
      <c r="D30" s="3">
        <v>214811.33000000002</v>
      </c>
      <c r="E30" s="3"/>
      <c r="F30" s="3">
        <v>299689.32</v>
      </c>
      <c r="G30" s="3">
        <v>328564.93</v>
      </c>
      <c r="H30" s="3">
        <v>62751.68</v>
      </c>
      <c r="I30" s="3"/>
      <c r="J30" s="3">
        <v>407734.61000000004</v>
      </c>
      <c r="K30" s="3"/>
      <c r="L30" s="3"/>
      <c r="M30" s="3"/>
      <c r="N30" s="3">
        <v>2467028.1800000002</v>
      </c>
    </row>
    <row r="31" spans="1:14" ht="14.25" customHeight="1" x14ac:dyDescent="0.3">
      <c r="A31" s="2" t="s">
        <v>544</v>
      </c>
      <c r="B31" s="3"/>
      <c r="C31" s="3">
        <v>9054.85</v>
      </c>
      <c r="D31" s="3">
        <v>44093.789999999994</v>
      </c>
      <c r="E31" s="3"/>
      <c r="F31" s="3"/>
      <c r="G31" s="3"/>
      <c r="H31" s="3"/>
      <c r="I31" s="3">
        <v>20353.939999999999</v>
      </c>
      <c r="J31" s="3"/>
      <c r="K31" s="3"/>
      <c r="L31" s="3"/>
      <c r="M31" s="3"/>
      <c r="N31" s="3">
        <v>73502.579999999987</v>
      </c>
    </row>
    <row r="32" spans="1:1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25"/>
  <sheetViews>
    <sheetView workbookViewId="0"/>
  </sheetViews>
  <sheetFormatPr baseColWidth="10" defaultColWidth="14.44140625" defaultRowHeight="15" customHeight="1" x14ac:dyDescent="0.3"/>
  <cols>
    <col min="1" max="3" width="8.88671875" customWidth="1"/>
    <col min="4" max="4" width="37.6640625" customWidth="1"/>
    <col min="5" max="5" width="18.109375" customWidth="1"/>
    <col min="6" max="13" width="8.88671875" customWidth="1"/>
    <col min="14" max="14" width="25.5546875" customWidth="1"/>
    <col min="15" max="15" width="16.33203125" customWidth="1"/>
    <col min="16" max="16" width="17.33203125" customWidth="1"/>
    <col min="17" max="17" width="8.88671875" customWidth="1"/>
    <col min="18" max="19" width="8.88671875" hidden="1" customWidth="1"/>
    <col min="20" max="20" width="12.33203125" customWidth="1"/>
    <col min="21" max="21" width="23" customWidth="1"/>
    <col min="22" max="22" width="8.88671875" customWidth="1"/>
    <col min="23" max="23" width="12.88671875" customWidth="1"/>
    <col min="24" max="24" width="11" customWidth="1"/>
    <col min="25" max="25" width="38.6640625" customWidth="1"/>
    <col min="26" max="26" width="8.88671875" customWidth="1"/>
  </cols>
  <sheetData>
    <row r="1" spans="1:25" ht="14.25" customHeight="1" x14ac:dyDescent="0.3">
      <c r="A1" s="4" t="s">
        <v>1</v>
      </c>
      <c r="B1" s="4" t="s">
        <v>299</v>
      </c>
      <c r="C1" s="4" t="s">
        <v>300</v>
      </c>
      <c r="D1" s="4" t="s">
        <v>302</v>
      </c>
      <c r="E1" s="4" t="s">
        <v>303</v>
      </c>
      <c r="F1" s="4" t="s">
        <v>304</v>
      </c>
      <c r="G1" s="4" t="s">
        <v>305</v>
      </c>
      <c r="H1" s="4" t="s">
        <v>306</v>
      </c>
      <c r="I1" s="4" t="s">
        <v>307</v>
      </c>
      <c r="J1" s="4" t="s">
        <v>308</v>
      </c>
      <c r="K1" s="4" t="s">
        <v>309</v>
      </c>
      <c r="L1" s="4" t="s">
        <v>310</v>
      </c>
      <c r="M1" s="4" t="s">
        <v>311</v>
      </c>
      <c r="N1" s="4" t="s">
        <v>312</v>
      </c>
      <c r="O1" s="4" t="s">
        <v>313</v>
      </c>
      <c r="P1" s="4" t="s">
        <v>315</v>
      </c>
      <c r="Q1" s="4" t="s">
        <v>316</v>
      </c>
      <c r="R1" s="4" t="s">
        <v>317</v>
      </c>
      <c r="S1" s="4" t="s">
        <v>318</v>
      </c>
      <c r="T1" s="4" t="s">
        <v>319</v>
      </c>
      <c r="U1" s="4" t="s">
        <v>320</v>
      </c>
      <c r="V1" s="4" t="s">
        <v>321</v>
      </c>
      <c r="W1" s="5" t="s">
        <v>322</v>
      </c>
      <c r="X1" s="5" t="s">
        <v>323</v>
      </c>
      <c r="Y1" s="5" t="s">
        <v>295</v>
      </c>
    </row>
    <row r="2" spans="1:25" ht="14.25" customHeight="1" x14ac:dyDescent="0.3">
      <c r="A2" s="1" t="s">
        <v>3</v>
      </c>
      <c r="B2" s="1" t="s">
        <v>328</v>
      </c>
      <c r="C2" s="1" t="s">
        <v>328</v>
      </c>
      <c r="D2" s="1" t="s">
        <v>329</v>
      </c>
      <c r="E2" s="6">
        <v>45745</v>
      </c>
      <c r="F2" s="1">
        <v>24484.400000000001</v>
      </c>
      <c r="G2" s="1">
        <v>44484.4</v>
      </c>
      <c r="H2" s="1">
        <v>12540.1</v>
      </c>
      <c r="I2" s="1">
        <v>7459.8999999999978</v>
      </c>
      <c r="J2" s="1">
        <v>37024.5</v>
      </c>
      <c r="K2" s="1">
        <v>202</v>
      </c>
      <c r="L2" s="1">
        <v>67.727480916030515</v>
      </c>
      <c r="M2" s="1">
        <v>120.1664899003995</v>
      </c>
      <c r="N2" s="7">
        <v>45947</v>
      </c>
      <c r="O2" s="1">
        <v>20000</v>
      </c>
      <c r="P2" s="7">
        <v>46067.166489895833</v>
      </c>
      <c r="Q2" s="1" t="s">
        <v>330</v>
      </c>
      <c r="T2" s="1" t="s">
        <v>331</v>
      </c>
      <c r="U2" s="1" t="s">
        <v>332</v>
      </c>
      <c r="V2" s="1">
        <v>16</v>
      </c>
      <c r="W2" s="3">
        <v>3389.9</v>
      </c>
      <c r="X2" s="3">
        <v>54238.400000000001</v>
      </c>
      <c r="Y2" s="1" t="str">
        <f>VLOOKUP(A2,[1]Detalle!$D$2:$CR$484,93,FALSE)</f>
        <v>CCU_MZA - Comp. Cerv. Unidas - MZA</v>
      </c>
    </row>
    <row r="3" spans="1:25" ht="14.25" customHeight="1" x14ac:dyDescent="0.3">
      <c r="A3" s="1" t="s">
        <v>3</v>
      </c>
      <c r="B3" s="1" t="s">
        <v>328</v>
      </c>
      <c r="C3" s="1" t="s">
        <v>328</v>
      </c>
      <c r="D3" s="1" t="s">
        <v>329</v>
      </c>
      <c r="E3" s="6">
        <v>45745</v>
      </c>
      <c r="F3" s="1">
        <v>24484.400000000001</v>
      </c>
      <c r="G3" s="1">
        <v>44484.4</v>
      </c>
      <c r="H3" s="1">
        <v>12540.1</v>
      </c>
      <c r="I3" s="1">
        <v>7459.8999999999978</v>
      </c>
      <c r="J3" s="1">
        <v>37024.5</v>
      </c>
      <c r="K3" s="1">
        <v>202</v>
      </c>
      <c r="L3" s="1">
        <v>67.727480916030515</v>
      </c>
      <c r="M3" s="1">
        <v>120.1664899003995</v>
      </c>
      <c r="N3" s="7">
        <v>45947</v>
      </c>
      <c r="O3" s="1">
        <v>20000</v>
      </c>
      <c r="P3" s="7">
        <v>46067.166489895833</v>
      </c>
      <c r="Q3" s="1" t="s">
        <v>330</v>
      </c>
      <c r="T3" s="1" t="s">
        <v>333</v>
      </c>
      <c r="U3" s="1" t="s">
        <v>334</v>
      </c>
      <c r="V3" s="1">
        <v>1</v>
      </c>
      <c r="W3" s="3">
        <v>8513.2800000000007</v>
      </c>
      <c r="X3" s="3">
        <v>8513.2800000000007</v>
      </c>
      <c r="Y3" s="1" t="str">
        <f>VLOOKUP(A3,[1]Detalle!$D$2:$CR$484,93,FALSE)</f>
        <v>CCU_MZA - Comp. Cerv. Unidas - MZA</v>
      </c>
    </row>
    <row r="4" spans="1:25" ht="14.25" customHeight="1" x14ac:dyDescent="0.3">
      <c r="A4" s="1" t="s">
        <v>27</v>
      </c>
      <c r="B4" s="1" t="s">
        <v>328</v>
      </c>
      <c r="C4" s="1" t="s">
        <v>328</v>
      </c>
      <c r="D4" s="1" t="s">
        <v>329</v>
      </c>
      <c r="E4" s="6">
        <v>45827</v>
      </c>
      <c r="F4" s="1">
        <v>68428.5</v>
      </c>
      <c r="G4" s="1">
        <v>88428.5</v>
      </c>
      <c r="H4" s="1">
        <v>5182.2</v>
      </c>
      <c r="I4" s="1">
        <v>14817.8</v>
      </c>
      <c r="J4" s="1">
        <v>73610.7</v>
      </c>
      <c r="K4" s="1">
        <v>120</v>
      </c>
      <c r="L4" s="1">
        <v>48.244391143911422</v>
      </c>
      <c r="M4" s="1">
        <v>343.1237698274864</v>
      </c>
      <c r="N4" s="7">
        <v>45947</v>
      </c>
      <c r="O4" s="1">
        <v>20000</v>
      </c>
      <c r="P4" s="7">
        <v>46290.123769826387</v>
      </c>
      <c r="Q4" s="1" t="s">
        <v>330</v>
      </c>
      <c r="T4" s="1" t="s">
        <v>331</v>
      </c>
      <c r="U4" s="1" t="s">
        <v>332</v>
      </c>
      <c r="V4" s="1">
        <v>16</v>
      </c>
      <c r="W4" s="3">
        <v>3389.9</v>
      </c>
      <c r="X4" s="3">
        <v>54238.400000000001</v>
      </c>
      <c r="Y4" s="1" t="str">
        <f>VLOOKUP(A4,[1]Detalle!$D$2:$CR$484,93,FALSE)</f>
        <v>CMQ_TTE - QUILMES TTE</v>
      </c>
    </row>
    <row r="5" spans="1:25" ht="14.25" customHeight="1" x14ac:dyDescent="0.3">
      <c r="A5" s="1" t="s">
        <v>27</v>
      </c>
      <c r="B5" s="1" t="s">
        <v>328</v>
      </c>
      <c r="C5" s="1" t="s">
        <v>328</v>
      </c>
      <c r="D5" s="1" t="s">
        <v>329</v>
      </c>
      <c r="E5" s="6">
        <v>45827</v>
      </c>
      <c r="F5" s="1">
        <v>68428.5</v>
      </c>
      <c r="G5" s="1">
        <v>88428.5</v>
      </c>
      <c r="H5" s="1">
        <v>5182.2</v>
      </c>
      <c r="I5" s="1">
        <v>14817.8</v>
      </c>
      <c r="J5" s="1">
        <v>73610.7</v>
      </c>
      <c r="K5" s="1">
        <v>120</v>
      </c>
      <c r="L5" s="1">
        <v>48.244391143911422</v>
      </c>
      <c r="M5" s="1">
        <v>343.1237698274864</v>
      </c>
      <c r="N5" s="7">
        <v>45947</v>
      </c>
      <c r="O5" s="1">
        <v>20000</v>
      </c>
      <c r="P5" s="7">
        <v>46290.123769826387</v>
      </c>
      <c r="Q5" s="1" t="s">
        <v>330</v>
      </c>
      <c r="T5" s="1" t="s">
        <v>333</v>
      </c>
      <c r="U5" s="1" t="s">
        <v>334</v>
      </c>
      <c r="V5" s="1">
        <v>1</v>
      </c>
      <c r="W5" s="3">
        <v>8513.2800000000007</v>
      </c>
      <c r="X5" s="3">
        <v>8513.2800000000007</v>
      </c>
      <c r="Y5" s="1" t="str">
        <f>VLOOKUP(A5,[1]Detalle!$D$2:$CR$484,93,FALSE)</f>
        <v>CMQ_TTE - QUILMES TTE</v>
      </c>
    </row>
    <row r="6" spans="1:25" ht="14.25" customHeight="1" x14ac:dyDescent="0.3">
      <c r="A6" s="1" t="s">
        <v>40</v>
      </c>
      <c r="B6" s="1" t="s">
        <v>328</v>
      </c>
      <c r="C6" s="1" t="s">
        <v>328</v>
      </c>
      <c r="D6" s="1" t="s">
        <v>329</v>
      </c>
      <c r="E6" s="1" t="s">
        <v>337</v>
      </c>
      <c r="L6" s="1">
        <v>51.09303703703705</v>
      </c>
      <c r="N6" s="7">
        <v>45947</v>
      </c>
      <c r="O6" s="1">
        <v>20000</v>
      </c>
      <c r="P6" s="7">
        <v>46338.442771064823</v>
      </c>
      <c r="Q6" s="1" t="s">
        <v>330</v>
      </c>
      <c r="T6" s="1" t="s">
        <v>331</v>
      </c>
      <c r="U6" s="1" t="s">
        <v>332</v>
      </c>
      <c r="V6" s="1">
        <v>16</v>
      </c>
      <c r="W6" s="3">
        <v>3389.9</v>
      </c>
      <c r="X6" s="3">
        <v>54238.400000000001</v>
      </c>
      <c r="Y6" s="1" t="str">
        <f>VLOOKUP(A6,[1]Detalle!$D$2:$CR$484,93,FALSE)</f>
        <v>CMQ_TTE - QUILMES TTE</v>
      </c>
    </row>
    <row r="7" spans="1:25" ht="14.25" customHeight="1" x14ac:dyDescent="0.3">
      <c r="A7" s="1" t="s">
        <v>40</v>
      </c>
      <c r="B7" s="1" t="s">
        <v>328</v>
      </c>
      <c r="C7" s="1" t="s">
        <v>328</v>
      </c>
      <c r="D7" s="1" t="s">
        <v>329</v>
      </c>
      <c r="E7" s="1" t="s">
        <v>337</v>
      </c>
      <c r="L7" s="1">
        <v>51.09303703703705</v>
      </c>
      <c r="N7" s="7">
        <v>45947</v>
      </c>
      <c r="O7" s="1">
        <v>20000</v>
      </c>
      <c r="P7" s="7">
        <v>46338.442771064823</v>
      </c>
      <c r="Q7" s="1" t="s">
        <v>330</v>
      </c>
      <c r="T7" s="1" t="s">
        <v>333</v>
      </c>
      <c r="U7" s="1" t="s">
        <v>334</v>
      </c>
      <c r="V7" s="1">
        <v>1</v>
      </c>
      <c r="W7" s="3">
        <v>8513.2800000000007</v>
      </c>
      <c r="X7" s="3">
        <v>8513.2800000000007</v>
      </c>
      <c r="Y7" s="1" t="str">
        <f>VLOOKUP(A7,[1]Detalle!$D$2:$CR$484,93,FALSE)</f>
        <v>CMQ_TTE - QUILMES TTE</v>
      </c>
    </row>
    <row r="8" spans="1:25" ht="14.25" customHeight="1" x14ac:dyDescent="0.3">
      <c r="A8" s="1" t="s">
        <v>42</v>
      </c>
      <c r="B8" s="1" t="s">
        <v>328</v>
      </c>
      <c r="C8" s="1" t="s">
        <v>328</v>
      </c>
      <c r="D8" s="1" t="s">
        <v>329</v>
      </c>
      <c r="E8" s="6">
        <v>45461</v>
      </c>
      <c r="F8" s="1">
        <v>38855.1</v>
      </c>
      <c r="G8" s="1">
        <v>58855.1</v>
      </c>
      <c r="H8" s="1">
        <v>22989.899999999991</v>
      </c>
      <c r="I8" s="1">
        <v>-2989.899999999991</v>
      </c>
      <c r="J8" s="1">
        <v>61844.999999999993</v>
      </c>
      <c r="K8" s="1">
        <v>486</v>
      </c>
      <c r="L8" s="1">
        <v>45.422519083969469</v>
      </c>
      <c r="M8" s="1">
        <v>-63.205642477783549</v>
      </c>
      <c r="N8" s="7">
        <v>45947</v>
      </c>
      <c r="O8" s="1">
        <v>20000</v>
      </c>
      <c r="P8" s="7">
        <v>46387.310233854158</v>
      </c>
      <c r="Q8" s="1" t="s">
        <v>330</v>
      </c>
      <c r="T8" s="1" t="s">
        <v>331</v>
      </c>
      <c r="U8" s="1" t="s">
        <v>332</v>
      </c>
      <c r="V8" s="1">
        <v>16</v>
      </c>
      <c r="W8" s="3">
        <v>3389.9</v>
      </c>
      <c r="X8" s="3">
        <v>54238.400000000001</v>
      </c>
      <c r="Y8" s="1" t="str">
        <f>VLOOKUP(A8,[1]Detalle!$D$2:$CR$484,93,FALSE)</f>
        <v>CMQ_TTE - QUILMES TTE</v>
      </c>
    </row>
    <row r="9" spans="1:25" ht="14.25" customHeight="1" x14ac:dyDescent="0.3">
      <c r="A9" s="1" t="s">
        <v>42</v>
      </c>
      <c r="B9" s="1" t="s">
        <v>328</v>
      </c>
      <c r="C9" s="1" t="s">
        <v>328</v>
      </c>
      <c r="D9" s="1" t="s">
        <v>329</v>
      </c>
      <c r="E9" s="6">
        <v>45461</v>
      </c>
      <c r="F9" s="1">
        <v>38855.1</v>
      </c>
      <c r="G9" s="1">
        <v>58855.1</v>
      </c>
      <c r="H9" s="1">
        <v>22989.899999999991</v>
      </c>
      <c r="I9" s="1">
        <v>-2989.899999999991</v>
      </c>
      <c r="J9" s="1">
        <v>61844.999999999993</v>
      </c>
      <c r="K9" s="1">
        <v>486</v>
      </c>
      <c r="L9" s="1">
        <v>45.422519083969469</v>
      </c>
      <c r="M9" s="1">
        <v>-63.205642477783549</v>
      </c>
      <c r="N9" s="7">
        <v>45947</v>
      </c>
      <c r="O9" s="1">
        <v>20000</v>
      </c>
      <c r="P9" s="7">
        <v>46387.310233854158</v>
      </c>
      <c r="Q9" s="1" t="s">
        <v>330</v>
      </c>
      <c r="T9" s="1" t="s">
        <v>333</v>
      </c>
      <c r="U9" s="1" t="s">
        <v>334</v>
      </c>
      <c r="V9" s="1">
        <v>1</v>
      </c>
      <c r="W9" s="3">
        <v>8513.2800000000007</v>
      </c>
      <c r="X9" s="3">
        <v>8513.2800000000007</v>
      </c>
      <c r="Y9" s="1" t="str">
        <f>VLOOKUP(A9,[1]Detalle!$D$2:$CR$484,93,FALSE)</f>
        <v>CMQ_TTE - QUILMES TTE</v>
      </c>
    </row>
    <row r="10" spans="1:25" ht="14.25" customHeight="1" x14ac:dyDescent="0.3">
      <c r="A10" s="1" t="s">
        <v>82</v>
      </c>
      <c r="B10" s="1" t="s">
        <v>328</v>
      </c>
      <c r="C10" s="1" t="s">
        <v>328</v>
      </c>
      <c r="D10" s="1" t="s">
        <v>329</v>
      </c>
      <c r="E10" s="6">
        <v>45822</v>
      </c>
      <c r="F10" s="1">
        <v>71797</v>
      </c>
      <c r="G10" s="1">
        <v>91797</v>
      </c>
      <c r="H10" s="1">
        <v>0</v>
      </c>
      <c r="I10" s="1">
        <v>20000</v>
      </c>
      <c r="J10" s="1">
        <v>71797</v>
      </c>
      <c r="K10" s="1">
        <v>125</v>
      </c>
      <c r="L10" s="1">
        <v>4.7505769230769239</v>
      </c>
      <c r="M10" s="1">
        <v>200</v>
      </c>
      <c r="N10" s="7">
        <v>45947</v>
      </c>
      <c r="O10" s="1">
        <v>20000</v>
      </c>
      <c r="P10" s="7">
        <v>46147</v>
      </c>
      <c r="Q10" s="1" t="s">
        <v>330</v>
      </c>
      <c r="T10" s="1" t="s">
        <v>331</v>
      </c>
      <c r="U10" s="1" t="s">
        <v>332</v>
      </c>
      <c r="V10" s="1">
        <v>16</v>
      </c>
      <c r="W10" s="3">
        <v>3389.9</v>
      </c>
      <c r="X10" s="3">
        <v>54238.400000000001</v>
      </c>
      <c r="Y10" s="1" t="str">
        <f>VLOOKUP(A10,[1]Detalle!$D$2:$CR$484,93,FALSE)</f>
        <v>CENCO_MZ - Cencosud SA - Mendoza</v>
      </c>
    </row>
    <row r="11" spans="1:25" ht="14.25" customHeight="1" x14ac:dyDescent="0.3">
      <c r="A11" s="1" t="s">
        <v>82</v>
      </c>
      <c r="B11" s="1" t="s">
        <v>328</v>
      </c>
      <c r="C11" s="1" t="s">
        <v>328</v>
      </c>
      <c r="D11" s="1" t="s">
        <v>329</v>
      </c>
      <c r="E11" s="6">
        <v>45822</v>
      </c>
      <c r="F11" s="1">
        <v>71797</v>
      </c>
      <c r="G11" s="1">
        <v>91797</v>
      </c>
      <c r="H11" s="1">
        <v>0</v>
      </c>
      <c r="I11" s="1">
        <v>20000</v>
      </c>
      <c r="J11" s="1">
        <v>71797</v>
      </c>
      <c r="K11" s="1">
        <v>125</v>
      </c>
      <c r="L11" s="1">
        <v>4.7505769230769239</v>
      </c>
      <c r="M11" s="1">
        <v>200</v>
      </c>
      <c r="N11" s="7">
        <v>45947</v>
      </c>
      <c r="O11" s="1">
        <v>20000</v>
      </c>
      <c r="P11" s="7">
        <v>46147</v>
      </c>
      <c r="Q11" s="1" t="s">
        <v>330</v>
      </c>
      <c r="T11" s="1" t="s">
        <v>333</v>
      </c>
      <c r="U11" s="1" t="s">
        <v>334</v>
      </c>
      <c r="V11" s="1">
        <v>1</v>
      </c>
      <c r="W11" s="3">
        <v>8513.2800000000007</v>
      </c>
      <c r="X11" s="3">
        <v>8513.2800000000007</v>
      </c>
      <c r="Y11" s="1" t="str">
        <f>VLOOKUP(A11,[1]Detalle!$D$2:$CR$484,93,FALSE)</f>
        <v>CENCO_MZ - Cencosud SA - Mendoza</v>
      </c>
    </row>
    <row r="12" spans="1:25" ht="14.25" customHeight="1" x14ac:dyDescent="0.3">
      <c r="A12" s="1" t="s">
        <v>99</v>
      </c>
      <c r="B12" s="1" t="s">
        <v>328</v>
      </c>
      <c r="C12" s="1" t="s">
        <v>328</v>
      </c>
      <c r="D12" s="1" t="s">
        <v>329</v>
      </c>
      <c r="E12" s="6">
        <v>45727</v>
      </c>
      <c r="F12" s="1">
        <v>15836.3</v>
      </c>
      <c r="G12" s="1">
        <v>35836.300000000003</v>
      </c>
      <c r="H12" s="1">
        <v>8775.7000000000007</v>
      </c>
      <c r="I12" s="1">
        <v>11224.3</v>
      </c>
      <c r="J12" s="1">
        <v>24612</v>
      </c>
      <c r="K12" s="1">
        <v>220</v>
      </c>
      <c r="L12" s="1">
        <v>36.572847682119232</v>
      </c>
      <c r="M12" s="1">
        <v>281.38450493977678</v>
      </c>
      <c r="N12" s="7">
        <v>45947</v>
      </c>
      <c r="O12" s="1">
        <v>20000</v>
      </c>
      <c r="P12" s="7">
        <v>46228.384504942129</v>
      </c>
      <c r="Q12" s="1" t="s">
        <v>330</v>
      </c>
      <c r="T12" s="1" t="s">
        <v>331</v>
      </c>
      <c r="U12" s="1" t="s">
        <v>332</v>
      </c>
      <c r="V12" s="1">
        <v>16</v>
      </c>
      <c r="W12" s="3">
        <v>3389.9</v>
      </c>
      <c r="X12" s="3">
        <v>54238.400000000001</v>
      </c>
      <c r="Y12" s="1" t="str">
        <f>VLOOKUP(A12,[1]Detalle!$D$2:$CR$484,93,FALSE)</f>
        <v>CCUDyAZA</v>
      </c>
    </row>
    <row r="13" spans="1:25" ht="14.25" customHeight="1" x14ac:dyDescent="0.3">
      <c r="A13" s="1" t="s">
        <v>99</v>
      </c>
      <c r="B13" s="1" t="s">
        <v>328</v>
      </c>
      <c r="C13" s="1" t="s">
        <v>328</v>
      </c>
      <c r="D13" s="1" t="s">
        <v>329</v>
      </c>
      <c r="E13" s="6">
        <v>45727</v>
      </c>
      <c r="F13" s="1">
        <v>15836.3</v>
      </c>
      <c r="G13" s="1">
        <v>35836.300000000003</v>
      </c>
      <c r="H13" s="1">
        <v>8775.7000000000007</v>
      </c>
      <c r="I13" s="1">
        <v>11224.3</v>
      </c>
      <c r="J13" s="1">
        <v>24612</v>
      </c>
      <c r="K13" s="1">
        <v>220</v>
      </c>
      <c r="L13" s="1">
        <v>36.572847682119232</v>
      </c>
      <c r="M13" s="1">
        <v>281.38450493977678</v>
      </c>
      <c r="N13" s="7">
        <v>45947</v>
      </c>
      <c r="O13" s="1">
        <v>20000</v>
      </c>
      <c r="P13" s="7">
        <v>46228.384504942129</v>
      </c>
      <c r="Q13" s="1" t="s">
        <v>330</v>
      </c>
      <c r="T13" s="1" t="s">
        <v>333</v>
      </c>
      <c r="U13" s="1" t="s">
        <v>334</v>
      </c>
      <c r="V13" s="1">
        <v>1</v>
      </c>
      <c r="W13" s="3">
        <v>8513.2800000000007</v>
      </c>
      <c r="X13" s="3">
        <v>8513.2800000000007</v>
      </c>
      <c r="Y13" s="1" t="str">
        <f>VLOOKUP(A13,[1]Detalle!$D$2:$CR$484,93,FALSE)</f>
        <v>CCUDyAZA</v>
      </c>
    </row>
    <row r="14" spans="1:25" ht="14.25" customHeight="1" x14ac:dyDescent="0.3">
      <c r="A14" s="1" t="s">
        <v>101</v>
      </c>
      <c r="B14" s="1" t="s">
        <v>328</v>
      </c>
      <c r="C14" s="1" t="s">
        <v>328</v>
      </c>
      <c r="D14" s="1" t="s">
        <v>329</v>
      </c>
      <c r="E14" s="6">
        <v>45728</v>
      </c>
      <c r="F14" s="1">
        <v>16579.5</v>
      </c>
      <c r="G14" s="1">
        <v>36579.5</v>
      </c>
      <c r="H14" s="1">
        <v>8515.1999999999989</v>
      </c>
      <c r="I14" s="1">
        <v>11484.8</v>
      </c>
      <c r="J14" s="1">
        <v>25094.7</v>
      </c>
      <c r="K14" s="1">
        <v>219</v>
      </c>
      <c r="L14" s="1">
        <v>35.248013245033107</v>
      </c>
      <c r="M14" s="1">
        <v>295.37429537767758</v>
      </c>
      <c r="N14" s="7">
        <v>45947</v>
      </c>
      <c r="O14" s="1">
        <v>20000</v>
      </c>
      <c r="P14" s="7">
        <v>46242.374295381953</v>
      </c>
      <c r="Q14" s="1" t="s">
        <v>330</v>
      </c>
      <c r="T14" s="1" t="s">
        <v>331</v>
      </c>
      <c r="U14" s="1" t="s">
        <v>332</v>
      </c>
      <c r="V14" s="1">
        <v>16</v>
      </c>
      <c r="W14" s="3">
        <v>3389.9</v>
      </c>
      <c r="X14" s="3">
        <v>54238.400000000001</v>
      </c>
      <c r="Y14" s="1" t="str">
        <f>VLOOKUP(A14,[1]Detalle!$D$2:$CR$484,93,FALSE)</f>
        <v>CCUDyAZA</v>
      </c>
    </row>
    <row r="15" spans="1:25" ht="14.25" customHeight="1" x14ac:dyDescent="0.3">
      <c r="A15" s="1" t="s">
        <v>101</v>
      </c>
      <c r="B15" s="1" t="s">
        <v>328</v>
      </c>
      <c r="C15" s="1" t="s">
        <v>328</v>
      </c>
      <c r="D15" s="1" t="s">
        <v>329</v>
      </c>
      <c r="E15" s="6">
        <v>45728</v>
      </c>
      <c r="F15" s="1">
        <v>16579.5</v>
      </c>
      <c r="G15" s="1">
        <v>36579.5</v>
      </c>
      <c r="H15" s="1">
        <v>8515.1999999999989</v>
      </c>
      <c r="I15" s="1">
        <v>11484.8</v>
      </c>
      <c r="J15" s="1">
        <v>25094.7</v>
      </c>
      <c r="K15" s="1">
        <v>219</v>
      </c>
      <c r="L15" s="1">
        <v>35.248013245033107</v>
      </c>
      <c r="M15" s="1">
        <v>295.37429537767758</v>
      </c>
      <c r="N15" s="7">
        <v>45947</v>
      </c>
      <c r="O15" s="1">
        <v>20000</v>
      </c>
      <c r="P15" s="7">
        <v>46242.374295381953</v>
      </c>
      <c r="Q15" s="1" t="s">
        <v>330</v>
      </c>
      <c r="T15" s="1" t="s">
        <v>333</v>
      </c>
      <c r="U15" s="1" t="s">
        <v>334</v>
      </c>
      <c r="V15" s="1">
        <v>1</v>
      </c>
      <c r="W15" s="3">
        <v>8513.2800000000007</v>
      </c>
      <c r="X15" s="3">
        <v>8513.2800000000007</v>
      </c>
      <c r="Y15" s="1" t="str">
        <f>VLOOKUP(A15,[1]Detalle!$D$2:$CR$484,93,FALSE)</f>
        <v>CCUDyAZA</v>
      </c>
    </row>
    <row r="16" spans="1:25" ht="14.25" customHeight="1" x14ac:dyDescent="0.3">
      <c r="A16" s="1" t="s">
        <v>106</v>
      </c>
      <c r="B16" s="1" t="s">
        <v>328</v>
      </c>
      <c r="C16" s="1" t="s">
        <v>328</v>
      </c>
      <c r="D16" s="1" t="s">
        <v>329</v>
      </c>
      <c r="E16" s="6">
        <v>45530</v>
      </c>
      <c r="F16" s="1">
        <v>297464</v>
      </c>
      <c r="G16" s="1">
        <v>317464</v>
      </c>
      <c r="H16" s="1">
        <v>23030.169999999991</v>
      </c>
      <c r="I16" s="1">
        <v>-3030.1699999999951</v>
      </c>
      <c r="J16" s="1">
        <v>320494.17</v>
      </c>
      <c r="K16" s="1">
        <v>417</v>
      </c>
      <c r="L16" s="1">
        <v>48.157370129870131</v>
      </c>
      <c r="M16" s="1">
        <v>-54.866329254191257</v>
      </c>
      <c r="N16" s="7">
        <v>45947</v>
      </c>
      <c r="O16" s="1">
        <v>20000</v>
      </c>
      <c r="P16" s="7">
        <v>46362.305070567127</v>
      </c>
      <c r="Q16" s="1" t="s">
        <v>330</v>
      </c>
      <c r="T16" s="1" t="s">
        <v>331</v>
      </c>
      <c r="U16" s="1" t="s">
        <v>332</v>
      </c>
      <c r="V16" s="1">
        <v>16</v>
      </c>
      <c r="W16" s="3">
        <v>3389.9</v>
      </c>
      <c r="X16" s="3">
        <v>54238.400000000001</v>
      </c>
      <c r="Y16" s="1" t="str">
        <f>VLOOKUP(A16,[1]Detalle!$D$2:$CR$484,93,FALSE)</f>
        <v>Unilever - Unilever de Arg. S.A.</v>
      </c>
    </row>
    <row r="17" spans="1:25" ht="14.25" customHeight="1" x14ac:dyDescent="0.3">
      <c r="A17" s="1" t="s">
        <v>106</v>
      </c>
      <c r="B17" s="1" t="s">
        <v>328</v>
      </c>
      <c r="C17" s="1" t="s">
        <v>328</v>
      </c>
      <c r="D17" s="1" t="s">
        <v>329</v>
      </c>
      <c r="E17" s="6">
        <v>45530</v>
      </c>
      <c r="F17" s="1">
        <v>297464</v>
      </c>
      <c r="G17" s="1">
        <v>317464</v>
      </c>
      <c r="H17" s="1">
        <v>23030.169999999991</v>
      </c>
      <c r="I17" s="1">
        <v>-3030.1699999999951</v>
      </c>
      <c r="J17" s="1">
        <v>320494.17</v>
      </c>
      <c r="K17" s="1">
        <v>417</v>
      </c>
      <c r="L17" s="1">
        <v>48.157370129870131</v>
      </c>
      <c r="M17" s="1">
        <v>-54.866329254191257</v>
      </c>
      <c r="N17" s="7">
        <v>45947</v>
      </c>
      <c r="O17" s="1">
        <v>20000</v>
      </c>
      <c r="P17" s="7">
        <v>46362.305070567127</v>
      </c>
      <c r="Q17" s="1" t="s">
        <v>330</v>
      </c>
      <c r="T17" s="1" t="s">
        <v>333</v>
      </c>
      <c r="U17" s="1" t="s">
        <v>334</v>
      </c>
      <c r="V17" s="1">
        <v>1</v>
      </c>
      <c r="W17" s="3">
        <v>8513.2800000000007</v>
      </c>
      <c r="X17" s="3">
        <v>8513.2800000000007</v>
      </c>
      <c r="Y17" s="1" t="str">
        <f>VLOOKUP(A17,[1]Detalle!$D$2:$CR$484,93,FALSE)</f>
        <v>Unilever - Unilever de Arg. S.A.</v>
      </c>
    </row>
    <row r="18" spans="1:25" ht="14.25" customHeight="1" x14ac:dyDescent="0.3">
      <c r="A18" s="1" t="s">
        <v>108</v>
      </c>
      <c r="B18" s="1" t="s">
        <v>328</v>
      </c>
      <c r="C18" s="1" t="s">
        <v>328</v>
      </c>
      <c r="D18" s="1" t="s">
        <v>329</v>
      </c>
      <c r="E18" s="6">
        <v>45798</v>
      </c>
      <c r="F18" s="1">
        <v>32992.1</v>
      </c>
      <c r="G18" s="1">
        <v>52992.1</v>
      </c>
      <c r="H18" s="1">
        <v>9749.2999999999993</v>
      </c>
      <c r="I18" s="1">
        <v>10250.700000000001</v>
      </c>
      <c r="J18" s="1">
        <v>42741.399999999987</v>
      </c>
      <c r="K18" s="1">
        <v>149</v>
      </c>
      <c r="L18" s="1">
        <v>52.850396039603943</v>
      </c>
      <c r="M18" s="1">
        <v>156.6629706748177</v>
      </c>
      <c r="N18" s="7">
        <v>45947</v>
      </c>
      <c r="O18" s="1">
        <v>20000</v>
      </c>
      <c r="P18" s="7">
        <v>46103.662970671299</v>
      </c>
      <c r="Q18" s="1" t="s">
        <v>330</v>
      </c>
      <c r="T18" s="1" t="s">
        <v>331</v>
      </c>
      <c r="U18" s="1" t="s">
        <v>332</v>
      </c>
      <c r="V18" s="1">
        <v>16</v>
      </c>
      <c r="W18" s="3">
        <v>3389.9</v>
      </c>
      <c r="X18" s="3">
        <v>54238.400000000001</v>
      </c>
      <c r="Y18" s="1" t="str">
        <f>VLOOKUP(A18,[1]Detalle!$D$2:$CR$484,93,FALSE)</f>
        <v>JOHNSON - SC JOHNSON DE ARGENTINA SAIC</v>
      </c>
    </row>
    <row r="19" spans="1:25" ht="14.25" customHeight="1" x14ac:dyDescent="0.3">
      <c r="A19" s="1" t="s">
        <v>108</v>
      </c>
      <c r="B19" s="1" t="s">
        <v>328</v>
      </c>
      <c r="C19" s="1" t="s">
        <v>328</v>
      </c>
      <c r="D19" s="1" t="s">
        <v>329</v>
      </c>
      <c r="E19" s="6">
        <v>45798</v>
      </c>
      <c r="F19" s="1">
        <v>32992.1</v>
      </c>
      <c r="G19" s="1">
        <v>52992.1</v>
      </c>
      <c r="H19" s="1">
        <v>9749.2999999999993</v>
      </c>
      <c r="I19" s="1">
        <v>10250.700000000001</v>
      </c>
      <c r="J19" s="1">
        <v>42741.399999999987</v>
      </c>
      <c r="K19" s="1">
        <v>149</v>
      </c>
      <c r="L19" s="1">
        <v>52.850396039603943</v>
      </c>
      <c r="M19" s="1">
        <v>156.6629706748177</v>
      </c>
      <c r="N19" s="7">
        <v>45947</v>
      </c>
      <c r="O19" s="1">
        <v>20000</v>
      </c>
      <c r="P19" s="7">
        <v>46103.662970671299</v>
      </c>
      <c r="Q19" s="1" t="s">
        <v>330</v>
      </c>
      <c r="T19" s="1" t="s">
        <v>333</v>
      </c>
      <c r="U19" s="1" t="s">
        <v>334</v>
      </c>
      <c r="V19" s="1">
        <v>1</v>
      </c>
      <c r="W19" s="3">
        <v>8513.2800000000007</v>
      </c>
      <c r="X19" s="3">
        <v>8513.2800000000007</v>
      </c>
      <c r="Y19" s="1" t="str">
        <f>VLOOKUP(A19,[1]Detalle!$D$2:$CR$484,93,FALSE)</f>
        <v>JOHNSON - SC JOHNSON DE ARGENTINA SAIC</v>
      </c>
    </row>
    <row r="20" spans="1:25" ht="14.25" customHeight="1" x14ac:dyDescent="0.3">
      <c r="A20" s="1" t="s">
        <v>109</v>
      </c>
      <c r="B20" s="1" t="s">
        <v>328</v>
      </c>
      <c r="C20" s="1" t="s">
        <v>328</v>
      </c>
      <c r="D20" s="1" t="s">
        <v>329</v>
      </c>
      <c r="E20" s="6">
        <v>45841</v>
      </c>
      <c r="F20" s="1">
        <v>16065.4</v>
      </c>
      <c r="G20" s="1">
        <v>36065.4</v>
      </c>
      <c r="H20" s="1">
        <v>5233.4000000000005</v>
      </c>
      <c r="I20" s="1">
        <v>14766.6</v>
      </c>
      <c r="J20" s="1">
        <v>21298.799999999999</v>
      </c>
      <c r="K20" s="1">
        <v>106</v>
      </c>
      <c r="L20" s="1">
        <v>61.480495049504917</v>
      </c>
      <c r="M20" s="1">
        <v>299.09038101425449</v>
      </c>
      <c r="N20" s="7">
        <v>45947</v>
      </c>
      <c r="O20" s="1">
        <v>20000</v>
      </c>
      <c r="P20" s="7">
        <v>46246.090381018519</v>
      </c>
      <c r="Q20" s="1" t="s">
        <v>330</v>
      </c>
      <c r="T20" s="1" t="s">
        <v>331</v>
      </c>
      <c r="U20" s="1" t="s">
        <v>332</v>
      </c>
      <c r="V20" s="1">
        <v>16</v>
      </c>
      <c r="W20" s="3">
        <v>3389.9</v>
      </c>
      <c r="X20" s="3">
        <v>54238.400000000001</v>
      </c>
      <c r="Y20" s="1" t="str">
        <f>VLOOKUP(A20,[1]Detalle!$D$2:$CR$484,93,FALSE)</f>
        <v>JOHNSON - SC JOHNSON DE ARGENTINA SAIC</v>
      </c>
    </row>
    <row r="21" spans="1:25" ht="14.25" customHeight="1" x14ac:dyDescent="0.3">
      <c r="A21" s="1" t="s">
        <v>109</v>
      </c>
      <c r="B21" s="1" t="s">
        <v>328</v>
      </c>
      <c r="C21" s="1" t="s">
        <v>328</v>
      </c>
      <c r="D21" s="1" t="s">
        <v>329</v>
      </c>
      <c r="E21" s="6">
        <v>45841</v>
      </c>
      <c r="F21" s="1">
        <v>16065.4</v>
      </c>
      <c r="G21" s="1">
        <v>36065.4</v>
      </c>
      <c r="H21" s="1">
        <v>5233.4000000000005</v>
      </c>
      <c r="I21" s="1">
        <v>14766.6</v>
      </c>
      <c r="J21" s="1">
        <v>21298.799999999999</v>
      </c>
      <c r="K21" s="1">
        <v>106</v>
      </c>
      <c r="L21" s="1">
        <v>61.480495049504917</v>
      </c>
      <c r="M21" s="1">
        <v>299.09038101425449</v>
      </c>
      <c r="N21" s="7">
        <v>45947</v>
      </c>
      <c r="O21" s="1">
        <v>20000</v>
      </c>
      <c r="P21" s="7">
        <v>46246.090381018519</v>
      </c>
      <c r="Q21" s="1" t="s">
        <v>330</v>
      </c>
      <c r="T21" s="1" t="s">
        <v>333</v>
      </c>
      <c r="U21" s="1" t="s">
        <v>334</v>
      </c>
      <c r="V21" s="1">
        <v>1</v>
      </c>
      <c r="W21" s="3">
        <v>8513.2800000000007</v>
      </c>
      <c r="X21" s="3">
        <v>8513.2800000000007</v>
      </c>
      <c r="Y21" s="1" t="str">
        <f>VLOOKUP(A21,[1]Detalle!$D$2:$CR$484,93,FALSE)</f>
        <v>JOHNSON - SC JOHNSON DE ARGENTINA SAIC</v>
      </c>
    </row>
    <row r="22" spans="1:25" ht="14.25" customHeight="1" x14ac:dyDescent="0.3">
      <c r="A22" s="1" t="s">
        <v>111</v>
      </c>
      <c r="B22" s="1" t="s">
        <v>328</v>
      </c>
      <c r="C22" s="1" t="s">
        <v>328</v>
      </c>
      <c r="D22" s="1" t="s">
        <v>329</v>
      </c>
      <c r="E22" s="6">
        <v>45632</v>
      </c>
      <c r="F22" s="1">
        <v>16040</v>
      </c>
      <c r="G22" s="1">
        <v>36040</v>
      </c>
      <c r="H22" s="1">
        <v>34694.100000000013</v>
      </c>
      <c r="I22" s="1">
        <v>-14694.100000000009</v>
      </c>
      <c r="J22" s="1">
        <v>50734.100000000013</v>
      </c>
      <c r="K22" s="1">
        <v>315</v>
      </c>
      <c r="L22" s="1">
        <v>104.473717948718</v>
      </c>
      <c r="M22" s="1">
        <v>-133.41292899945529</v>
      </c>
      <c r="N22" s="7">
        <v>45947</v>
      </c>
      <c r="O22" s="1">
        <v>20000</v>
      </c>
      <c r="P22" s="7">
        <v>46138.435706435193</v>
      </c>
      <c r="Q22" s="1" t="s">
        <v>330</v>
      </c>
      <c r="T22" s="1" t="s">
        <v>331</v>
      </c>
      <c r="U22" s="1" t="s">
        <v>332</v>
      </c>
      <c r="V22" s="1">
        <v>16</v>
      </c>
      <c r="W22" s="3">
        <v>3389.9</v>
      </c>
      <c r="X22" s="3">
        <v>54238.400000000001</v>
      </c>
      <c r="Y22" s="1" t="str">
        <f>VLOOKUP(A22,[1]Detalle!$D$2:$CR$484,93,FALSE)</f>
        <v>SUC_MEN - Sucursal Mendoza</v>
      </c>
    </row>
    <row r="23" spans="1:25" ht="14.25" customHeight="1" x14ac:dyDescent="0.3">
      <c r="A23" s="1" t="s">
        <v>111</v>
      </c>
      <c r="B23" s="1" t="s">
        <v>328</v>
      </c>
      <c r="C23" s="1" t="s">
        <v>328</v>
      </c>
      <c r="D23" s="1" t="s">
        <v>329</v>
      </c>
      <c r="E23" s="6">
        <v>45632</v>
      </c>
      <c r="F23" s="1">
        <v>16040</v>
      </c>
      <c r="G23" s="1">
        <v>36040</v>
      </c>
      <c r="H23" s="1">
        <v>34694.100000000013</v>
      </c>
      <c r="I23" s="1">
        <v>-14694.100000000009</v>
      </c>
      <c r="J23" s="1">
        <v>50734.100000000013</v>
      </c>
      <c r="K23" s="1">
        <v>315</v>
      </c>
      <c r="L23" s="1">
        <v>104.473717948718</v>
      </c>
      <c r="M23" s="1">
        <v>-133.41292899945529</v>
      </c>
      <c r="N23" s="7">
        <v>45947</v>
      </c>
      <c r="O23" s="1">
        <v>20000</v>
      </c>
      <c r="P23" s="7">
        <v>46138.435706435193</v>
      </c>
      <c r="Q23" s="1" t="s">
        <v>330</v>
      </c>
      <c r="T23" s="1" t="s">
        <v>333</v>
      </c>
      <c r="U23" s="1" t="s">
        <v>334</v>
      </c>
      <c r="V23" s="1">
        <v>1</v>
      </c>
      <c r="W23" s="3">
        <v>8513.2800000000007</v>
      </c>
      <c r="X23" s="3">
        <v>8513.2800000000007</v>
      </c>
      <c r="Y23" s="1" t="str">
        <f>VLOOKUP(A23,[1]Detalle!$D$2:$CR$484,93,FALSE)</f>
        <v>SUC_MEN - Sucursal Mendoza</v>
      </c>
    </row>
    <row r="24" spans="1:25" ht="14.25" customHeight="1" x14ac:dyDescent="0.3">
      <c r="A24" s="1" t="s">
        <v>118</v>
      </c>
      <c r="B24" s="1" t="s">
        <v>328</v>
      </c>
      <c r="C24" s="1" t="s">
        <v>328</v>
      </c>
      <c r="D24" s="1" t="s">
        <v>329</v>
      </c>
      <c r="E24" s="6">
        <v>45769</v>
      </c>
      <c r="F24" s="1">
        <v>302541</v>
      </c>
      <c r="G24" s="1">
        <v>322541</v>
      </c>
      <c r="H24" s="1">
        <v>8078.8000000000029</v>
      </c>
      <c r="I24" s="1">
        <v>11921.2</v>
      </c>
      <c r="J24" s="1">
        <v>310619.8</v>
      </c>
      <c r="K24" s="1">
        <v>178</v>
      </c>
      <c r="L24" s="1">
        <v>40.451193548387103</v>
      </c>
      <c r="M24" s="1">
        <v>262.6595038867157</v>
      </c>
      <c r="N24" s="7">
        <v>45947</v>
      </c>
      <c r="O24" s="1">
        <v>20000</v>
      </c>
      <c r="P24" s="7">
        <v>46209.659503888892</v>
      </c>
      <c r="Q24" s="1" t="s">
        <v>330</v>
      </c>
      <c r="T24" s="1" t="s">
        <v>331</v>
      </c>
      <c r="U24" s="1" t="s">
        <v>332</v>
      </c>
      <c r="V24" s="1">
        <v>16</v>
      </c>
      <c r="W24" s="3">
        <v>3389.9</v>
      </c>
      <c r="X24" s="3">
        <v>54238.400000000001</v>
      </c>
      <c r="Y24" s="1" t="str">
        <f>VLOOKUP(A24,[1]Detalle!$D$2:$CR$484,93,FALSE)</f>
        <v>CCUCoAZA</v>
      </c>
    </row>
    <row r="25" spans="1:25" ht="14.25" customHeight="1" x14ac:dyDescent="0.3">
      <c r="A25" s="1" t="s">
        <v>118</v>
      </c>
      <c r="B25" s="1" t="s">
        <v>328</v>
      </c>
      <c r="C25" s="1" t="s">
        <v>328</v>
      </c>
      <c r="D25" s="1" t="s">
        <v>329</v>
      </c>
      <c r="E25" s="6">
        <v>45769</v>
      </c>
      <c r="F25" s="1">
        <v>302541</v>
      </c>
      <c r="G25" s="1">
        <v>322541</v>
      </c>
      <c r="H25" s="1">
        <v>8078.8000000000029</v>
      </c>
      <c r="I25" s="1">
        <v>11921.2</v>
      </c>
      <c r="J25" s="1">
        <v>310619.8</v>
      </c>
      <c r="K25" s="1">
        <v>178</v>
      </c>
      <c r="L25" s="1">
        <v>40.451193548387103</v>
      </c>
      <c r="M25" s="1">
        <v>262.6595038867157</v>
      </c>
      <c r="N25" s="7">
        <v>45947</v>
      </c>
      <c r="O25" s="1">
        <v>20000</v>
      </c>
      <c r="P25" s="7">
        <v>46209.659503888892</v>
      </c>
      <c r="Q25" s="1" t="s">
        <v>330</v>
      </c>
      <c r="T25" s="1" t="s">
        <v>333</v>
      </c>
      <c r="U25" s="1" t="s">
        <v>334</v>
      </c>
      <c r="V25" s="1">
        <v>1</v>
      </c>
      <c r="W25" s="3">
        <v>8513.2800000000007</v>
      </c>
      <c r="X25" s="3">
        <v>8513.2800000000007</v>
      </c>
      <c r="Y25" s="1" t="str">
        <f>VLOOKUP(A25,[1]Detalle!$D$2:$CR$484,93,FALSE)</f>
        <v>CCUCoAZA</v>
      </c>
    </row>
    <row r="26" spans="1:25" ht="14.25" customHeight="1" x14ac:dyDescent="0.3">
      <c r="A26" s="1" t="s">
        <v>120</v>
      </c>
      <c r="B26" s="1" t="s">
        <v>328</v>
      </c>
      <c r="C26" s="1" t="s">
        <v>328</v>
      </c>
      <c r="D26" s="1" t="s">
        <v>329</v>
      </c>
      <c r="E26" s="6">
        <v>45617</v>
      </c>
      <c r="F26" s="1">
        <v>17571.7</v>
      </c>
      <c r="G26" s="1">
        <v>37571.699999999997</v>
      </c>
      <c r="H26" s="1">
        <v>31178.54</v>
      </c>
      <c r="I26" s="1">
        <v>-11178.54</v>
      </c>
      <c r="J26" s="1">
        <v>48750.239999999998</v>
      </c>
      <c r="K26" s="1">
        <v>330</v>
      </c>
      <c r="L26" s="1">
        <v>86.918456591639867</v>
      </c>
      <c r="M26" s="1">
        <v>-118.3159378213348</v>
      </c>
      <c r="N26" s="7">
        <v>45947</v>
      </c>
      <c r="O26" s="1">
        <v>20000</v>
      </c>
      <c r="P26" s="7">
        <v>46177.100726412027</v>
      </c>
      <c r="Q26" s="1" t="s">
        <v>330</v>
      </c>
      <c r="T26" s="1" t="s">
        <v>331</v>
      </c>
      <c r="U26" s="1" t="s">
        <v>332</v>
      </c>
      <c r="V26" s="1">
        <v>16</v>
      </c>
      <c r="W26" s="3">
        <v>3389.9</v>
      </c>
      <c r="X26" s="3">
        <v>54238.400000000001</v>
      </c>
      <c r="Y26" s="1" t="str">
        <f>VLOOKUP(A26,[1]Detalle!$D$2:$CR$484,93,FALSE)</f>
        <v>SUC_MEN - Sucursal Mendoza</v>
      </c>
    </row>
    <row r="27" spans="1:25" ht="14.25" customHeight="1" x14ac:dyDescent="0.3">
      <c r="A27" s="1" t="s">
        <v>120</v>
      </c>
      <c r="B27" s="1" t="s">
        <v>328</v>
      </c>
      <c r="C27" s="1" t="s">
        <v>328</v>
      </c>
      <c r="D27" s="1" t="s">
        <v>329</v>
      </c>
      <c r="E27" s="6">
        <v>45617</v>
      </c>
      <c r="F27" s="1">
        <v>17571.7</v>
      </c>
      <c r="G27" s="1">
        <v>37571.699999999997</v>
      </c>
      <c r="H27" s="1">
        <v>31178.54</v>
      </c>
      <c r="I27" s="1">
        <v>-11178.54</v>
      </c>
      <c r="J27" s="1">
        <v>48750.239999999998</v>
      </c>
      <c r="K27" s="1">
        <v>330</v>
      </c>
      <c r="L27" s="1">
        <v>86.918456591639867</v>
      </c>
      <c r="M27" s="1">
        <v>-118.3159378213348</v>
      </c>
      <c r="N27" s="7">
        <v>45947</v>
      </c>
      <c r="O27" s="1">
        <v>20000</v>
      </c>
      <c r="P27" s="7">
        <v>46177.100726412027</v>
      </c>
      <c r="Q27" s="1" t="s">
        <v>330</v>
      </c>
      <c r="T27" s="1" t="s">
        <v>333</v>
      </c>
      <c r="U27" s="1" t="s">
        <v>334</v>
      </c>
      <c r="V27" s="1">
        <v>1</v>
      </c>
      <c r="W27" s="3">
        <v>8513.2800000000007</v>
      </c>
      <c r="X27" s="3">
        <v>8513.2800000000007</v>
      </c>
      <c r="Y27" s="1" t="str">
        <f>VLOOKUP(A27,[1]Detalle!$D$2:$CR$484,93,FALSE)</f>
        <v>SUC_MEN - Sucursal Mendoza</v>
      </c>
    </row>
    <row r="28" spans="1:25" ht="14.25" customHeight="1" x14ac:dyDescent="0.3">
      <c r="A28" s="1" t="s">
        <v>164</v>
      </c>
      <c r="B28" s="1" t="s">
        <v>328</v>
      </c>
      <c r="C28" s="1" t="s">
        <v>328</v>
      </c>
      <c r="D28" s="1" t="s">
        <v>329</v>
      </c>
      <c r="E28" s="6">
        <v>45378</v>
      </c>
      <c r="F28" s="1">
        <v>202420</v>
      </c>
      <c r="G28" s="1">
        <v>222420</v>
      </c>
      <c r="H28" s="1">
        <v>36588.559999999939</v>
      </c>
      <c r="I28" s="1">
        <v>-16588.559999999939</v>
      </c>
      <c r="J28" s="1">
        <v>239008.55999999991</v>
      </c>
      <c r="K28" s="1">
        <v>569</v>
      </c>
      <c r="L28" s="1">
        <v>69.022379421221856</v>
      </c>
      <c r="M28" s="1">
        <v>-257.97382132557232</v>
      </c>
      <c r="N28" s="7">
        <v>45947</v>
      </c>
      <c r="O28" s="1">
        <v>20000</v>
      </c>
      <c r="P28" s="7">
        <v>46236.7610915162</v>
      </c>
      <c r="Q28" s="1" t="s">
        <v>330</v>
      </c>
      <c r="T28" s="1" t="s">
        <v>331</v>
      </c>
      <c r="U28" s="1" t="s">
        <v>332</v>
      </c>
      <c r="V28" s="1">
        <v>16</v>
      </c>
      <c r="W28" s="3">
        <v>3389.9</v>
      </c>
      <c r="X28" s="3">
        <v>54238.400000000001</v>
      </c>
      <c r="Y28" s="1" t="str">
        <f>VLOOKUP(A28,[1]Detalle!$D$2:$CR$484,93,FALSE)</f>
        <v>SUC_MEN - Sucursal Mendoza</v>
      </c>
    </row>
    <row r="29" spans="1:25" ht="14.25" customHeight="1" x14ac:dyDescent="0.3">
      <c r="A29" s="1" t="s">
        <v>164</v>
      </c>
      <c r="B29" s="1" t="s">
        <v>328</v>
      </c>
      <c r="C29" s="1" t="s">
        <v>328</v>
      </c>
      <c r="D29" s="1" t="s">
        <v>329</v>
      </c>
      <c r="E29" s="6">
        <v>45378</v>
      </c>
      <c r="F29" s="1">
        <v>202420</v>
      </c>
      <c r="G29" s="1">
        <v>222420</v>
      </c>
      <c r="H29" s="1">
        <v>36588.559999999939</v>
      </c>
      <c r="I29" s="1">
        <v>-16588.559999999939</v>
      </c>
      <c r="J29" s="1">
        <v>239008.55999999991</v>
      </c>
      <c r="K29" s="1">
        <v>569</v>
      </c>
      <c r="L29" s="1">
        <v>69.022379421221856</v>
      </c>
      <c r="M29" s="1">
        <v>-257.97382132557232</v>
      </c>
      <c r="N29" s="7">
        <v>45947</v>
      </c>
      <c r="O29" s="1">
        <v>20000</v>
      </c>
      <c r="P29" s="7">
        <v>46236.7610915162</v>
      </c>
      <c r="Q29" s="1" t="s">
        <v>330</v>
      </c>
      <c r="T29" s="1" t="s">
        <v>333</v>
      </c>
      <c r="U29" s="1" t="s">
        <v>334</v>
      </c>
      <c r="V29" s="1">
        <v>1</v>
      </c>
      <c r="W29" s="3">
        <v>8513.2800000000007</v>
      </c>
      <c r="X29" s="3">
        <v>8513.2800000000007</v>
      </c>
      <c r="Y29" s="1" t="str">
        <f>VLOOKUP(A29,[1]Detalle!$D$2:$CR$484,93,FALSE)</f>
        <v>SUC_MEN - Sucursal Mendoza</v>
      </c>
    </row>
    <row r="30" spans="1:25" ht="14.25" customHeight="1" x14ac:dyDescent="0.3">
      <c r="A30" s="1" t="s">
        <v>179</v>
      </c>
      <c r="B30" s="1" t="s">
        <v>328</v>
      </c>
      <c r="C30" s="1" t="s">
        <v>328</v>
      </c>
      <c r="D30" s="1" t="s">
        <v>329</v>
      </c>
      <c r="E30" s="6">
        <v>45742</v>
      </c>
      <c r="F30" s="1">
        <v>283696</v>
      </c>
      <c r="G30" s="1">
        <v>303696</v>
      </c>
      <c r="H30" s="1">
        <v>7346.0000000000036</v>
      </c>
      <c r="I30" s="1">
        <v>12654</v>
      </c>
      <c r="J30" s="1">
        <v>291042</v>
      </c>
      <c r="K30" s="1">
        <v>205</v>
      </c>
      <c r="L30" s="1">
        <v>34.247774193548388</v>
      </c>
      <c r="M30" s="1">
        <v>353.12687176694772</v>
      </c>
      <c r="N30" s="7">
        <v>45947</v>
      </c>
      <c r="O30" s="1">
        <v>20000</v>
      </c>
      <c r="P30" s="7">
        <v>46300.12687177083</v>
      </c>
      <c r="Q30" s="1" t="s">
        <v>330</v>
      </c>
      <c r="T30" s="1" t="s">
        <v>331</v>
      </c>
      <c r="U30" s="1" t="s">
        <v>332</v>
      </c>
      <c r="V30" s="1">
        <v>16</v>
      </c>
      <c r="W30" s="3">
        <v>3389.9</v>
      </c>
      <c r="X30" s="3">
        <v>54238.400000000001</v>
      </c>
      <c r="Y30" s="1" t="str">
        <f>VLOOKUP(A30,[1]Detalle!$D$2:$CR$484,93,FALSE)</f>
        <v>CCUCoAZA</v>
      </c>
    </row>
    <row r="31" spans="1:25" ht="14.25" customHeight="1" x14ac:dyDescent="0.3">
      <c r="A31" s="1" t="s">
        <v>179</v>
      </c>
      <c r="B31" s="1" t="s">
        <v>328</v>
      </c>
      <c r="C31" s="1" t="s">
        <v>328</v>
      </c>
      <c r="D31" s="1" t="s">
        <v>329</v>
      </c>
      <c r="E31" s="6">
        <v>45742</v>
      </c>
      <c r="F31" s="1">
        <v>283696</v>
      </c>
      <c r="G31" s="1">
        <v>303696</v>
      </c>
      <c r="H31" s="1">
        <v>7346.0000000000036</v>
      </c>
      <c r="I31" s="1">
        <v>12654</v>
      </c>
      <c r="J31" s="1">
        <v>291042</v>
      </c>
      <c r="K31" s="1">
        <v>205</v>
      </c>
      <c r="L31" s="1">
        <v>34.247774193548388</v>
      </c>
      <c r="M31" s="1">
        <v>353.12687176694772</v>
      </c>
      <c r="N31" s="7">
        <v>45947</v>
      </c>
      <c r="O31" s="1">
        <v>20000</v>
      </c>
      <c r="P31" s="7">
        <v>46300.12687177083</v>
      </c>
      <c r="Q31" s="1" t="s">
        <v>330</v>
      </c>
      <c r="T31" s="1" t="s">
        <v>333</v>
      </c>
      <c r="U31" s="1" t="s">
        <v>334</v>
      </c>
      <c r="V31" s="1">
        <v>1</v>
      </c>
      <c r="W31" s="3">
        <v>8513.2800000000007</v>
      </c>
      <c r="X31" s="3">
        <v>8513.2800000000007</v>
      </c>
      <c r="Y31" s="1" t="str">
        <f>VLOOKUP(A31,[1]Detalle!$D$2:$CR$484,93,FALSE)</f>
        <v>CCUCoAZA</v>
      </c>
    </row>
    <row r="32" spans="1:25" ht="14.25" customHeight="1" x14ac:dyDescent="0.3">
      <c r="A32" s="1" t="s">
        <v>180</v>
      </c>
      <c r="B32" s="1" t="s">
        <v>328</v>
      </c>
      <c r="C32" s="1" t="s">
        <v>328</v>
      </c>
      <c r="D32" s="1" t="s">
        <v>329</v>
      </c>
      <c r="E32" s="6">
        <v>45842</v>
      </c>
      <c r="F32" s="1">
        <v>227732</v>
      </c>
      <c r="G32" s="1">
        <v>247732</v>
      </c>
      <c r="H32" s="1">
        <v>5333.9000000000024</v>
      </c>
      <c r="I32" s="1">
        <v>14666.1</v>
      </c>
      <c r="J32" s="1">
        <v>233065.9</v>
      </c>
      <c r="K32" s="1">
        <v>105</v>
      </c>
      <c r="L32" s="1">
        <v>40.479774193548408</v>
      </c>
      <c r="M32" s="1">
        <v>288.70816850709599</v>
      </c>
      <c r="N32" s="7">
        <v>45947</v>
      </c>
      <c r="O32" s="1">
        <v>20000</v>
      </c>
      <c r="P32" s="7">
        <v>46235.708168506942</v>
      </c>
      <c r="Q32" s="1" t="s">
        <v>330</v>
      </c>
      <c r="T32" s="1" t="s">
        <v>331</v>
      </c>
      <c r="U32" s="1" t="s">
        <v>332</v>
      </c>
      <c r="V32" s="1">
        <v>16</v>
      </c>
      <c r="W32" s="3">
        <v>3389.9</v>
      </c>
      <c r="X32" s="3">
        <v>54238.400000000001</v>
      </c>
      <c r="Y32" s="1" t="str">
        <f>VLOOKUP(A32,[1]Detalle!$D$2:$CR$484,93,FALSE)</f>
        <v>CCUCoAZA</v>
      </c>
    </row>
    <row r="33" spans="1:25" ht="14.25" customHeight="1" x14ac:dyDescent="0.3">
      <c r="A33" s="1" t="s">
        <v>180</v>
      </c>
      <c r="B33" s="1" t="s">
        <v>328</v>
      </c>
      <c r="C33" s="1" t="s">
        <v>328</v>
      </c>
      <c r="D33" s="1" t="s">
        <v>329</v>
      </c>
      <c r="E33" s="6">
        <v>45842</v>
      </c>
      <c r="F33" s="1">
        <v>227732</v>
      </c>
      <c r="G33" s="1">
        <v>247732</v>
      </c>
      <c r="H33" s="1">
        <v>5333.9000000000024</v>
      </c>
      <c r="I33" s="1">
        <v>14666.1</v>
      </c>
      <c r="J33" s="1">
        <v>233065.9</v>
      </c>
      <c r="K33" s="1">
        <v>105</v>
      </c>
      <c r="L33" s="1">
        <v>40.479774193548408</v>
      </c>
      <c r="M33" s="1">
        <v>288.70816850709599</v>
      </c>
      <c r="N33" s="7">
        <v>45947</v>
      </c>
      <c r="O33" s="1">
        <v>20000</v>
      </c>
      <c r="P33" s="7">
        <v>46235.708168506942</v>
      </c>
      <c r="Q33" s="1" t="s">
        <v>330</v>
      </c>
      <c r="T33" s="1" t="s">
        <v>333</v>
      </c>
      <c r="U33" s="1" t="s">
        <v>334</v>
      </c>
      <c r="V33" s="1">
        <v>1</v>
      </c>
      <c r="W33" s="3">
        <v>8513.2800000000007</v>
      </c>
      <c r="X33" s="3">
        <v>8513.2800000000007</v>
      </c>
      <c r="Y33" s="1" t="str">
        <f>VLOOKUP(A33,[1]Detalle!$D$2:$CR$484,93,FALSE)</f>
        <v>CCUCoAZA</v>
      </c>
    </row>
    <row r="34" spans="1:25" ht="14.25" customHeight="1" x14ac:dyDescent="0.3">
      <c r="A34" s="1" t="s">
        <v>189</v>
      </c>
      <c r="B34" s="1" t="s">
        <v>328</v>
      </c>
      <c r="C34" s="1" t="s">
        <v>328</v>
      </c>
      <c r="D34" s="1" t="s">
        <v>329</v>
      </c>
      <c r="E34" s="6">
        <v>45790</v>
      </c>
      <c r="F34" s="1">
        <v>237476</v>
      </c>
      <c r="G34" s="1">
        <v>257476</v>
      </c>
      <c r="H34" s="1">
        <v>6287.2000000000007</v>
      </c>
      <c r="I34" s="1">
        <v>13712.8</v>
      </c>
      <c r="J34" s="1">
        <v>243763.20000000001</v>
      </c>
      <c r="K34" s="1">
        <v>157</v>
      </c>
      <c r="L34" s="1">
        <v>36.85391585760523</v>
      </c>
      <c r="M34" s="1">
        <v>342.42740806718399</v>
      </c>
      <c r="N34" s="7">
        <v>45947</v>
      </c>
      <c r="O34" s="1">
        <v>20000</v>
      </c>
      <c r="P34" s="7">
        <v>46289.427408067131</v>
      </c>
      <c r="Q34" s="1" t="s">
        <v>330</v>
      </c>
      <c r="T34" s="1" t="s">
        <v>331</v>
      </c>
      <c r="U34" s="1" t="s">
        <v>332</v>
      </c>
      <c r="V34" s="1">
        <v>16</v>
      </c>
      <c r="W34" s="3">
        <v>3389.9</v>
      </c>
      <c r="X34" s="3">
        <v>54238.400000000001</v>
      </c>
      <c r="Y34" s="1" t="str">
        <f>VLOOKUP(A34,[1]Detalle!$D$2:$CR$484,93,FALSE)</f>
        <v>CCUDyAZA</v>
      </c>
    </row>
    <row r="35" spans="1:25" ht="14.25" customHeight="1" x14ac:dyDescent="0.3">
      <c r="A35" s="1" t="s">
        <v>189</v>
      </c>
      <c r="B35" s="1" t="s">
        <v>328</v>
      </c>
      <c r="C35" s="1" t="s">
        <v>328</v>
      </c>
      <c r="D35" s="1" t="s">
        <v>329</v>
      </c>
      <c r="E35" s="6">
        <v>45790</v>
      </c>
      <c r="F35" s="1">
        <v>237476</v>
      </c>
      <c r="G35" s="1">
        <v>257476</v>
      </c>
      <c r="H35" s="1">
        <v>6287.2000000000007</v>
      </c>
      <c r="I35" s="1">
        <v>13712.8</v>
      </c>
      <c r="J35" s="1">
        <v>243763.20000000001</v>
      </c>
      <c r="K35" s="1">
        <v>157</v>
      </c>
      <c r="L35" s="1">
        <v>36.85391585760523</v>
      </c>
      <c r="M35" s="1">
        <v>342.42740806718399</v>
      </c>
      <c r="N35" s="7">
        <v>45947</v>
      </c>
      <c r="O35" s="1">
        <v>20000</v>
      </c>
      <c r="P35" s="7">
        <v>46289.427408067131</v>
      </c>
      <c r="Q35" s="1" t="s">
        <v>330</v>
      </c>
      <c r="T35" s="1" t="s">
        <v>333</v>
      </c>
      <c r="U35" s="1" t="s">
        <v>334</v>
      </c>
      <c r="V35" s="1">
        <v>1</v>
      </c>
      <c r="W35" s="3">
        <v>8513.2800000000007</v>
      </c>
      <c r="X35" s="3">
        <v>8513.2800000000007</v>
      </c>
      <c r="Y35" s="1" t="str">
        <f>VLOOKUP(A35,[1]Detalle!$D$2:$CR$484,93,FALSE)</f>
        <v>CCUDyAZA</v>
      </c>
    </row>
    <row r="36" spans="1:25" ht="14.25" customHeight="1" x14ac:dyDescent="0.3">
      <c r="A36" s="1" t="s">
        <v>190</v>
      </c>
      <c r="B36" s="1" t="s">
        <v>328</v>
      </c>
      <c r="C36" s="1" t="s">
        <v>328</v>
      </c>
      <c r="D36" s="1" t="s">
        <v>329</v>
      </c>
      <c r="E36" s="6">
        <v>45785</v>
      </c>
      <c r="F36" s="1">
        <v>249976</v>
      </c>
      <c r="G36" s="1">
        <v>269976</v>
      </c>
      <c r="H36" s="1">
        <v>7170.0999999999995</v>
      </c>
      <c r="I36" s="1">
        <v>12829.9</v>
      </c>
      <c r="J36" s="1">
        <v>257146.1</v>
      </c>
      <c r="K36" s="1">
        <v>162</v>
      </c>
      <c r="L36" s="1">
        <v>37.516848874598068</v>
      </c>
      <c r="M36" s="1">
        <v>289.876542865511</v>
      </c>
      <c r="N36" s="7">
        <v>45947</v>
      </c>
      <c r="O36" s="1">
        <v>20000</v>
      </c>
      <c r="P36" s="7">
        <v>46236.87654287037</v>
      </c>
      <c r="Q36" s="1" t="s">
        <v>330</v>
      </c>
      <c r="T36" s="1" t="s">
        <v>331</v>
      </c>
      <c r="U36" s="1" t="s">
        <v>332</v>
      </c>
      <c r="V36" s="1">
        <v>16</v>
      </c>
      <c r="W36" s="3">
        <v>3389.9</v>
      </c>
      <c r="X36" s="3">
        <v>54238.400000000001</v>
      </c>
      <c r="Y36" s="1" t="str">
        <f>VLOOKUP(A36,[1]Detalle!$D$2:$CR$484,93,FALSE)</f>
        <v>CCUCoAZA</v>
      </c>
    </row>
    <row r="37" spans="1:25" ht="14.25" customHeight="1" x14ac:dyDescent="0.3">
      <c r="A37" s="1" t="s">
        <v>190</v>
      </c>
      <c r="B37" s="1" t="s">
        <v>328</v>
      </c>
      <c r="C37" s="1" t="s">
        <v>328</v>
      </c>
      <c r="D37" s="1" t="s">
        <v>329</v>
      </c>
      <c r="E37" s="6">
        <v>45785</v>
      </c>
      <c r="F37" s="1">
        <v>249976</v>
      </c>
      <c r="G37" s="1">
        <v>269976</v>
      </c>
      <c r="H37" s="1">
        <v>7170.0999999999995</v>
      </c>
      <c r="I37" s="1">
        <v>12829.9</v>
      </c>
      <c r="J37" s="1">
        <v>257146.1</v>
      </c>
      <c r="K37" s="1">
        <v>162</v>
      </c>
      <c r="L37" s="1">
        <v>37.516848874598068</v>
      </c>
      <c r="M37" s="1">
        <v>289.876542865511</v>
      </c>
      <c r="N37" s="7">
        <v>45947</v>
      </c>
      <c r="O37" s="1">
        <v>20000</v>
      </c>
      <c r="P37" s="7">
        <v>46236.87654287037</v>
      </c>
      <c r="Q37" s="1" t="s">
        <v>330</v>
      </c>
      <c r="T37" s="1" t="s">
        <v>333</v>
      </c>
      <c r="U37" s="1" t="s">
        <v>334</v>
      </c>
      <c r="V37" s="1">
        <v>1</v>
      </c>
      <c r="W37" s="3">
        <v>8513.2800000000007</v>
      </c>
      <c r="X37" s="3">
        <v>8513.2800000000007</v>
      </c>
      <c r="Y37" s="1" t="str">
        <f>VLOOKUP(A37,[1]Detalle!$D$2:$CR$484,93,FALSE)</f>
        <v>CCUCoAZA</v>
      </c>
    </row>
    <row r="38" spans="1:25" ht="14.25" customHeight="1" x14ac:dyDescent="0.3">
      <c r="A38" s="1" t="s">
        <v>196</v>
      </c>
      <c r="B38" s="1" t="s">
        <v>328</v>
      </c>
      <c r="C38" s="1" t="s">
        <v>328</v>
      </c>
      <c r="D38" s="1" t="s">
        <v>329</v>
      </c>
      <c r="E38" s="6">
        <v>45656</v>
      </c>
      <c r="F38" s="1">
        <v>216285</v>
      </c>
      <c r="G38" s="1">
        <v>236285</v>
      </c>
      <c r="H38" s="1">
        <v>9057.0900000000038</v>
      </c>
      <c r="I38" s="1">
        <v>10942.91</v>
      </c>
      <c r="J38" s="1">
        <v>225342.09</v>
      </c>
      <c r="K38" s="1">
        <v>291</v>
      </c>
      <c r="L38" s="1">
        <v>33.420996309963101</v>
      </c>
      <c r="M38" s="1">
        <v>351.59050092248151</v>
      </c>
      <c r="N38" s="7">
        <v>45947</v>
      </c>
      <c r="O38" s="1">
        <v>20000</v>
      </c>
      <c r="P38" s="7">
        <v>46298.59050092593</v>
      </c>
      <c r="Q38" s="1" t="s">
        <v>330</v>
      </c>
      <c r="T38" s="1" t="s">
        <v>331</v>
      </c>
      <c r="U38" s="1" t="s">
        <v>332</v>
      </c>
      <c r="V38" s="1">
        <v>16</v>
      </c>
      <c r="W38" s="3">
        <v>3389.9</v>
      </c>
      <c r="X38" s="3">
        <v>54238.400000000001</v>
      </c>
      <c r="Y38" s="1" t="str">
        <f>VLOOKUP(A38,[1]Detalle!$D$2:$CR$484,93,FALSE)</f>
        <v>CCUCoAZA</v>
      </c>
    </row>
    <row r="39" spans="1:25" ht="14.25" customHeight="1" x14ac:dyDescent="0.3">
      <c r="A39" s="1" t="s">
        <v>196</v>
      </c>
      <c r="B39" s="1" t="s">
        <v>328</v>
      </c>
      <c r="C39" s="1" t="s">
        <v>328</v>
      </c>
      <c r="D39" s="1" t="s">
        <v>329</v>
      </c>
      <c r="E39" s="6">
        <v>45656</v>
      </c>
      <c r="F39" s="1">
        <v>216285</v>
      </c>
      <c r="G39" s="1">
        <v>236285</v>
      </c>
      <c r="H39" s="1">
        <v>9057.0900000000038</v>
      </c>
      <c r="I39" s="1">
        <v>10942.91</v>
      </c>
      <c r="J39" s="1">
        <v>225342.09</v>
      </c>
      <c r="K39" s="1">
        <v>291</v>
      </c>
      <c r="L39" s="1">
        <v>33.420996309963101</v>
      </c>
      <c r="M39" s="1">
        <v>351.59050092248151</v>
      </c>
      <c r="N39" s="7">
        <v>45947</v>
      </c>
      <c r="O39" s="1">
        <v>20000</v>
      </c>
      <c r="P39" s="7">
        <v>46298.59050092593</v>
      </c>
      <c r="Q39" s="1" t="s">
        <v>330</v>
      </c>
      <c r="T39" s="1" t="s">
        <v>333</v>
      </c>
      <c r="U39" s="1" t="s">
        <v>334</v>
      </c>
      <c r="V39" s="1">
        <v>1</v>
      </c>
      <c r="W39" s="3">
        <v>8513.2800000000007</v>
      </c>
      <c r="X39" s="3">
        <v>8513.2800000000007</v>
      </c>
      <c r="Y39" s="1" t="str">
        <f>VLOOKUP(A39,[1]Detalle!$D$2:$CR$484,93,FALSE)</f>
        <v>CCUCoAZA</v>
      </c>
    </row>
    <row r="40" spans="1:25" ht="14.25" customHeight="1" x14ac:dyDescent="0.3">
      <c r="A40" s="1" t="s">
        <v>209</v>
      </c>
      <c r="B40" s="1" t="s">
        <v>328</v>
      </c>
      <c r="C40" s="1" t="s">
        <v>328</v>
      </c>
      <c r="D40" s="1" t="s">
        <v>329</v>
      </c>
      <c r="E40" s="6">
        <v>45525</v>
      </c>
      <c r="F40" s="1">
        <v>880145</v>
      </c>
      <c r="G40" s="1">
        <v>900145</v>
      </c>
      <c r="H40" s="1">
        <v>79750.570000000065</v>
      </c>
      <c r="I40" s="1">
        <v>-59750.570000000072</v>
      </c>
      <c r="J40" s="1">
        <v>959895.57000000007</v>
      </c>
      <c r="K40" s="1">
        <v>422</v>
      </c>
      <c r="L40" s="1">
        <v>249.7515064102565</v>
      </c>
      <c r="M40" s="1">
        <v>-316.17003539912008</v>
      </c>
      <c r="N40" s="7">
        <v>45947</v>
      </c>
      <c r="O40" s="1">
        <v>20000</v>
      </c>
      <c r="P40" s="7">
        <v>46027.079597071759</v>
      </c>
      <c r="Q40" s="1" t="s">
        <v>330</v>
      </c>
      <c r="T40" s="1" t="s">
        <v>331</v>
      </c>
      <c r="U40" s="1" t="s">
        <v>332</v>
      </c>
      <c r="V40" s="1">
        <v>16</v>
      </c>
      <c r="W40" s="3">
        <v>3389.9</v>
      </c>
      <c r="X40" s="3">
        <v>54238.400000000001</v>
      </c>
      <c r="Y40" s="1" t="str">
        <f>VLOOKUP(A40,[1]Detalle!$D$2:$CR$484,93,FALSE)</f>
        <v>CENCO_MZ - Cencosud SA - Mendoza</v>
      </c>
    </row>
    <row r="41" spans="1:25" ht="14.25" customHeight="1" x14ac:dyDescent="0.3">
      <c r="A41" s="1" t="s">
        <v>209</v>
      </c>
      <c r="B41" s="1" t="s">
        <v>328</v>
      </c>
      <c r="C41" s="1" t="s">
        <v>328</v>
      </c>
      <c r="D41" s="1" t="s">
        <v>329</v>
      </c>
      <c r="E41" s="6">
        <v>45525</v>
      </c>
      <c r="F41" s="1">
        <v>880145</v>
      </c>
      <c r="G41" s="1">
        <v>900145</v>
      </c>
      <c r="H41" s="1">
        <v>79750.570000000065</v>
      </c>
      <c r="I41" s="1">
        <v>-59750.570000000072</v>
      </c>
      <c r="J41" s="1">
        <v>959895.57000000007</v>
      </c>
      <c r="K41" s="1">
        <v>422</v>
      </c>
      <c r="L41" s="1">
        <v>249.7515064102565</v>
      </c>
      <c r="M41" s="1">
        <v>-316.17003539912008</v>
      </c>
      <c r="N41" s="7">
        <v>45947</v>
      </c>
      <c r="O41" s="1">
        <v>20000</v>
      </c>
      <c r="P41" s="7">
        <v>46027.079597071759</v>
      </c>
      <c r="Q41" s="1" t="s">
        <v>330</v>
      </c>
      <c r="T41" s="1" t="s">
        <v>333</v>
      </c>
      <c r="U41" s="1" t="s">
        <v>334</v>
      </c>
      <c r="V41" s="1">
        <v>1</v>
      </c>
      <c r="W41" s="3">
        <v>8513.2800000000007</v>
      </c>
      <c r="X41" s="3">
        <v>8513.2800000000007</v>
      </c>
      <c r="Y41" s="1" t="str">
        <f>VLOOKUP(A41,[1]Detalle!$D$2:$CR$484,93,FALSE)</f>
        <v>CENCO_MZ - Cencosud SA - Mendoza</v>
      </c>
    </row>
    <row r="42" spans="1:25" ht="14.25" customHeight="1" x14ac:dyDescent="0.3">
      <c r="A42" s="1" t="s">
        <v>210</v>
      </c>
      <c r="B42" s="1" t="s">
        <v>328</v>
      </c>
      <c r="C42" s="1" t="s">
        <v>328</v>
      </c>
      <c r="D42" s="1" t="s">
        <v>329</v>
      </c>
      <c r="E42" s="6">
        <v>45603</v>
      </c>
      <c r="F42" s="1">
        <v>342438</v>
      </c>
      <c r="G42" s="1">
        <v>362438</v>
      </c>
      <c r="H42" s="1">
        <v>22886.28</v>
      </c>
      <c r="I42" s="1">
        <v>-2886.280000000002</v>
      </c>
      <c r="J42" s="1">
        <v>365324.28</v>
      </c>
      <c r="K42" s="1">
        <v>344</v>
      </c>
      <c r="L42" s="1">
        <v>66.651970260223024</v>
      </c>
      <c r="M42" s="1">
        <v>-43.383211251457233</v>
      </c>
      <c r="N42" s="7">
        <v>45947</v>
      </c>
      <c r="O42" s="1">
        <v>20000</v>
      </c>
      <c r="P42" s="7">
        <v>46247.066148414349</v>
      </c>
      <c r="Q42" s="1" t="s">
        <v>330</v>
      </c>
      <c r="T42" s="1" t="s">
        <v>331</v>
      </c>
      <c r="U42" s="1" t="s">
        <v>332</v>
      </c>
      <c r="V42" s="1">
        <v>16</v>
      </c>
      <c r="W42" s="3">
        <v>3389.9</v>
      </c>
      <c r="X42" s="3">
        <v>54238.400000000001</v>
      </c>
      <c r="Y42" s="1" t="str">
        <f>VLOOKUP(A42,[1]Detalle!$D$2:$CR$484,93,FALSE)</f>
        <v>Topacio</v>
      </c>
    </row>
    <row r="43" spans="1:25" ht="14.25" customHeight="1" x14ac:dyDescent="0.3">
      <c r="A43" s="1" t="s">
        <v>210</v>
      </c>
      <c r="B43" s="1" t="s">
        <v>328</v>
      </c>
      <c r="C43" s="1" t="s">
        <v>328</v>
      </c>
      <c r="D43" s="1" t="s">
        <v>329</v>
      </c>
      <c r="E43" s="6">
        <v>45603</v>
      </c>
      <c r="F43" s="1">
        <v>342438</v>
      </c>
      <c r="G43" s="1">
        <v>362438</v>
      </c>
      <c r="H43" s="1">
        <v>22886.28</v>
      </c>
      <c r="I43" s="1">
        <v>-2886.280000000002</v>
      </c>
      <c r="J43" s="1">
        <v>365324.28</v>
      </c>
      <c r="K43" s="1">
        <v>344</v>
      </c>
      <c r="L43" s="1">
        <v>66.651970260223024</v>
      </c>
      <c r="M43" s="1">
        <v>-43.383211251457233</v>
      </c>
      <c r="N43" s="7">
        <v>45947</v>
      </c>
      <c r="O43" s="1">
        <v>20000</v>
      </c>
      <c r="P43" s="7">
        <v>46247.066148414349</v>
      </c>
      <c r="Q43" s="1" t="s">
        <v>330</v>
      </c>
      <c r="T43" s="1" t="s">
        <v>333</v>
      </c>
      <c r="U43" s="1" t="s">
        <v>334</v>
      </c>
      <c r="V43" s="1">
        <v>1</v>
      </c>
      <c r="W43" s="3">
        <v>8513.2800000000007</v>
      </c>
      <c r="X43" s="3">
        <v>8513.2800000000007</v>
      </c>
      <c r="Y43" s="1" t="str">
        <f>VLOOKUP(A43,[1]Detalle!$D$2:$CR$484,93,FALSE)</f>
        <v>Topacio</v>
      </c>
    </row>
    <row r="44" spans="1:25" ht="14.25" customHeight="1" x14ac:dyDescent="0.3">
      <c r="A44" s="1" t="s">
        <v>217</v>
      </c>
      <c r="B44" s="1" t="s">
        <v>328</v>
      </c>
      <c r="C44" s="1" t="s">
        <v>328</v>
      </c>
      <c r="D44" s="1" t="s">
        <v>329</v>
      </c>
      <c r="E44" s="6">
        <v>45863</v>
      </c>
      <c r="F44" s="1">
        <v>474074</v>
      </c>
      <c r="G44" s="1">
        <v>494074</v>
      </c>
      <c r="H44" s="1">
        <v>5983.7999999999993</v>
      </c>
      <c r="I44" s="1">
        <v>14016.2</v>
      </c>
      <c r="J44" s="1">
        <v>480057.8</v>
      </c>
      <c r="K44" s="1">
        <v>84</v>
      </c>
      <c r="L44" s="1">
        <v>63.859032258064524</v>
      </c>
      <c r="M44" s="1">
        <v>196.7580467261607</v>
      </c>
      <c r="N44" s="7">
        <v>45947</v>
      </c>
      <c r="O44" s="1">
        <v>20000</v>
      </c>
      <c r="P44" s="7">
        <v>46143.758046724543</v>
      </c>
      <c r="Q44" s="1" t="s">
        <v>330</v>
      </c>
      <c r="T44" s="1" t="s">
        <v>331</v>
      </c>
      <c r="U44" s="1" t="s">
        <v>332</v>
      </c>
      <c r="V44" s="1">
        <v>16</v>
      </c>
      <c r="W44" s="3">
        <v>3389.9</v>
      </c>
      <c r="X44" s="3">
        <v>54238.400000000001</v>
      </c>
      <c r="Y44" s="1" t="str">
        <f>VLOOKUP(A44,[1]Detalle!$D$2:$CR$484,93,FALSE)</f>
        <v>Papelera - Papelera del Plata S.A.</v>
      </c>
    </row>
    <row r="45" spans="1:25" ht="14.25" customHeight="1" x14ac:dyDescent="0.3">
      <c r="A45" s="1" t="s">
        <v>217</v>
      </c>
      <c r="B45" s="1" t="s">
        <v>328</v>
      </c>
      <c r="C45" s="1" t="s">
        <v>328</v>
      </c>
      <c r="D45" s="1" t="s">
        <v>329</v>
      </c>
      <c r="E45" s="6">
        <v>45863</v>
      </c>
      <c r="F45" s="1">
        <v>474074</v>
      </c>
      <c r="G45" s="1">
        <v>494074</v>
      </c>
      <c r="H45" s="1">
        <v>5983.7999999999993</v>
      </c>
      <c r="I45" s="1">
        <v>14016.2</v>
      </c>
      <c r="J45" s="1">
        <v>480057.8</v>
      </c>
      <c r="K45" s="1">
        <v>84</v>
      </c>
      <c r="L45" s="1">
        <v>63.859032258064524</v>
      </c>
      <c r="M45" s="1">
        <v>196.7580467261607</v>
      </c>
      <c r="N45" s="7">
        <v>45947</v>
      </c>
      <c r="O45" s="1">
        <v>20000</v>
      </c>
      <c r="P45" s="7">
        <v>46143.758046724543</v>
      </c>
      <c r="Q45" s="1" t="s">
        <v>330</v>
      </c>
      <c r="T45" s="1" t="s">
        <v>333</v>
      </c>
      <c r="U45" s="1" t="s">
        <v>334</v>
      </c>
      <c r="V45" s="1">
        <v>1</v>
      </c>
      <c r="W45" s="3">
        <v>8513.2800000000007</v>
      </c>
      <c r="X45" s="3">
        <v>8513.2800000000007</v>
      </c>
      <c r="Y45" s="1" t="str">
        <f>VLOOKUP(A45,[1]Detalle!$D$2:$CR$484,93,FALSE)</f>
        <v>Papelera - Papelera del Plata S.A.</v>
      </c>
    </row>
    <row r="46" spans="1:25" ht="14.25" customHeight="1" x14ac:dyDescent="0.3">
      <c r="A46" s="1" t="s">
        <v>238</v>
      </c>
      <c r="B46" s="1" t="s">
        <v>328</v>
      </c>
      <c r="C46" s="1" t="s">
        <v>328</v>
      </c>
      <c r="D46" s="1" t="s">
        <v>329</v>
      </c>
      <c r="E46" s="6">
        <v>45587</v>
      </c>
      <c r="F46" s="1">
        <v>502203</v>
      </c>
      <c r="G46" s="1">
        <v>522203</v>
      </c>
      <c r="H46" s="1">
        <v>14467.7</v>
      </c>
      <c r="I46" s="1">
        <v>5532.3000000000047</v>
      </c>
      <c r="J46" s="1">
        <v>516670.7</v>
      </c>
      <c r="K46" s="1">
        <v>360</v>
      </c>
      <c r="L46" s="1">
        <v>33.863782051282037</v>
      </c>
      <c r="M46" s="1">
        <v>137.66030536989311</v>
      </c>
      <c r="N46" s="7">
        <v>45947</v>
      </c>
      <c r="O46" s="1">
        <v>20000</v>
      </c>
      <c r="P46" s="7">
        <v>46084.660305370373</v>
      </c>
      <c r="Q46" s="1" t="s">
        <v>330</v>
      </c>
      <c r="T46" s="1" t="s">
        <v>331</v>
      </c>
      <c r="U46" s="1" t="s">
        <v>332</v>
      </c>
      <c r="V46" s="1">
        <v>16</v>
      </c>
      <c r="W46" s="3">
        <v>3389.9</v>
      </c>
      <c r="X46" s="3">
        <v>54238.400000000001</v>
      </c>
      <c r="Y46" s="1" t="str">
        <f>VLOOKUP(A46,[1]Detalle!$D$2:$CR$484,93,FALSE)</f>
        <v>CMQ_TTE - QUILMES TTE</v>
      </c>
    </row>
    <row r="47" spans="1:25" ht="14.25" customHeight="1" x14ac:dyDescent="0.3">
      <c r="A47" s="1" t="s">
        <v>238</v>
      </c>
      <c r="B47" s="1" t="s">
        <v>328</v>
      </c>
      <c r="C47" s="1" t="s">
        <v>328</v>
      </c>
      <c r="D47" s="1" t="s">
        <v>329</v>
      </c>
      <c r="E47" s="6">
        <v>45587</v>
      </c>
      <c r="F47" s="1">
        <v>502203</v>
      </c>
      <c r="G47" s="1">
        <v>522203</v>
      </c>
      <c r="H47" s="1">
        <v>14467.7</v>
      </c>
      <c r="I47" s="1">
        <v>5532.3000000000047</v>
      </c>
      <c r="J47" s="1">
        <v>516670.7</v>
      </c>
      <c r="K47" s="1">
        <v>360</v>
      </c>
      <c r="L47" s="1">
        <v>33.863782051282037</v>
      </c>
      <c r="M47" s="1">
        <v>137.66030536989311</v>
      </c>
      <c r="N47" s="7">
        <v>45947</v>
      </c>
      <c r="O47" s="1">
        <v>20000</v>
      </c>
      <c r="P47" s="7">
        <v>46084.660305370373</v>
      </c>
      <c r="Q47" s="1" t="s">
        <v>330</v>
      </c>
      <c r="T47" s="1" t="s">
        <v>333</v>
      </c>
      <c r="U47" s="1" t="s">
        <v>334</v>
      </c>
      <c r="V47" s="1">
        <v>1</v>
      </c>
      <c r="W47" s="3">
        <v>8513.2800000000007</v>
      </c>
      <c r="X47" s="3">
        <v>8513.2800000000007</v>
      </c>
      <c r="Y47" s="1" t="str">
        <f>VLOOKUP(A47,[1]Detalle!$D$2:$CR$484,93,FALSE)</f>
        <v>CMQ_TTE - QUILMES TTE</v>
      </c>
    </row>
    <row r="48" spans="1:25" ht="14.25" customHeight="1" x14ac:dyDescent="0.3">
      <c r="A48" s="1" t="s">
        <v>239</v>
      </c>
      <c r="B48" s="1" t="s">
        <v>328</v>
      </c>
      <c r="C48" s="1" t="s">
        <v>328</v>
      </c>
      <c r="D48" s="1" t="s">
        <v>329</v>
      </c>
      <c r="E48" s="6">
        <v>45811</v>
      </c>
      <c r="F48" s="1">
        <v>309592</v>
      </c>
      <c r="G48" s="1">
        <v>329592</v>
      </c>
      <c r="H48" s="1">
        <v>5644.7999999999975</v>
      </c>
      <c r="I48" s="1">
        <v>14355.2</v>
      </c>
      <c r="J48" s="1">
        <v>315236.8</v>
      </c>
      <c r="K48" s="1">
        <v>136</v>
      </c>
      <c r="L48" s="1">
        <v>34.71594771241827</v>
      </c>
      <c r="M48" s="1">
        <v>345.8594104308392</v>
      </c>
      <c r="N48" s="7">
        <v>45947</v>
      </c>
      <c r="O48" s="1">
        <v>20000</v>
      </c>
      <c r="P48" s="7">
        <v>46292.859410428238</v>
      </c>
      <c r="Q48" s="1" t="s">
        <v>330</v>
      </c>
      <c r="T48" s="1" t="s">
        <v>331</v>
      </c>
      <c r="U48" s="1" t="s">
        <v>332</v>
      </c>
      <c r="V48" s="1">
        <v>16</v>
      </c>
      <c r="W48" s="3">
        <v>3389.9</v>
      </c>
      <c r="X48" s="3">
        <v>54238.400000000001</v>
      </c>
      <c r="Y48" s="1" t="str">
        <f>VLOOKUP(A48,[1]Detalle!$D$2:$CR$484,93,FALSE)</f>
        <v>CMQ_TTE - QUILMES TTE</v>
      </c>
    </row>
    <row r="49" spans="1:25" ht="14.25" customHeight="1" x14ac:dyDescent="0.3">
      <c r="A49" s="1" t="s">
        <v>239</v>
      </c>
      <c r="B49" s="1" t="s">
        <v>328</v>
      </c>
      <c r="C49" s="1" t="s">
        <v>328</v>
      </c>
      <c r="D49" s="1" t="s">
        <v>329</v>
      </c>
      <c r="E49" s="6">
        <v>45811</v>
      </c>
      <c r="F49" s="1">
        <v>309592</v>
      </c>
      <c r="G49" s="1">
        <v>329592</v>
      </c>
      <c r="H49" s="1">
        <v>5644.7999999999975</v>
      </c>
      <c r="I49" s="1">
        <v>14355.2</v>
      </c>
      <c r="J49" s="1">
        <v>315236.8</v>
      </c>
      <c r="K49" s="1">
        <v>136</v>
      </c>
      <c r="L49" s="1">
        <v>34.71594771241827</v>
      </c>
      <c r="M49" s="1">
        <v>345.8594104308392</v>
      </c>
      <c r="N49" s="7">
        <v>45947</v>
      </c>
      <c r="O49" s="1">
        <v>20000</v>
      </c>
      <c r="P49" s="7">
        <v>46292.859410428238</v>
      </c>
      <c r="Q49" s="1" t="s">
        <v>330</v>
      </c>
      <c r="T49" s="1" t="s">
        <v>333</v>
      </c>
      <c r="U49" s="1" t="s">
        <v>334</v>
      </c>
      <c r="V49" s="1">
        <v>1</v>
      </c>
      <c r="W49" s="3">
        <v>8513.2800000000007</v>
      </c>
      <c r="X49" s="3">
        <v>8513.2800000000007</v>
      </c>
      <c r="Y49" s="1" t="str">
        <f>VLOOKUP(A49,[1]Detalle!$D$2:$CR$484,93,FALSE)</f>
        <v>CMQ_TTE - QUILMES TTE</v>
      </c>
    </row>
    <row r="50" spans="1:25" ht="14.25" customHeight="1" x14ac:dyDescent="0.3">
      <c r="A50" s="1" t="s">
        <v>242</v>
      </c>
      <c r="B50" s="1" t="s">
        <v>328</v>
      </c>
      <c r="C50" s="1" t="s">
        <v>328</v>
      </c>
      <c r="D50" s="1" t="s">
        <v>329</v>
      </c>
      <c r="E50" s="6">
        <v>45763</v>
      </c>
      <c r="F50" s="1">
        <v>435565</v>
      </c>
      <c r="G50" s="1">
        <v>455565</v>
      </c>
      <c r="H50" s="1">
        <v>16726.900000000001</v>
      </c>
      <c r="I50" s="1">
        <v>3273.099999999999</v>
      </c>
      <c r="J50" s="1">
        <v>452291.9</v>
      </c>
      <c r="K50" s="1">
        <v>184</v>
      </c>
      <c r="L50" s="1">
        <v>76.02181229773467</v>
      </c>
      <c r="M50" s="1">
        <v>36.004902283148681</v>
      </c>
      <c r="N50" s="7">
        <v>45947</v>
      </c>
      <c r="O50" s="1">
        <v>20000</v>
      </c>
      <c r="P50" s="7">
        <v>46246.087291342592</v>
      </c>
      <c r="Q50" s="1" t="s">
        <v>330</v>
      </c>
      <c r="T50" s="1" t="s">
        <v>331</v>
      </c>
      <c r="U50" s="1" t="s">
        <v>332</v>
      </c>
      <c r="V50" s="1">
        <v>16</v>
      </c>
      <c r="W50" s="3">
        <v>3389.9</v>
      </c>
      <c r="X50" s="3">
        <v>54238.400000000001</v>
      </c>
      <c r="Y50" s="1" t="str">
        <f>VLOOKUP(A50,[1]Detalle!$D$2:$CR$484,93,FALSE)</f>
        <v>Papelera - Papelera del Plata S.A.</v>
      </c>
    </row>
    <row r="51" spans="1:25" ht="14.25" customHeight="1" x14ac:dyDescent="0.3">
      <c r="A51" s="1" t="s">
        <v>242</v>
      </c>
      <c r="B51" s="1" t="s">
        <v>328</v>
      </c>
      <c r="C51" s="1" t="s">
        <v>328</v>
      </c>
      <c r="D51" s="1" t="s">
        <v>329</v>
      </c>
      <c r="E51" s="6">
        <v>45763</v>
      </c>
      <c r="F51" s="1">
        <v>435565</v>
      </c>
      <c r="G51" s="1">
        <v>455565</v>
      </c>
      <c r="H51" s="1">
        <v>16726.900000000001</v>
      </c>
      <c r="I51" s="1">
        <v>3273.099999999999</v>
      </c>
      <c r="J51" s="1">
        <v>452291.9</v>
      </c>
      <c r="K51" s="1">
        <v>184</v>
      </c>
      <c r="L51" s="1">
        <v>76.02181229773467</v>
      </c>
      <c r="M51" s="1">
        <v>36.004902283148681</v>
      </c>
      <c r="N51" s="7">
        <v>45947</v>
      </c>
      <c r="O51" s="1">
        <v>20000</v>
      </c>
      <c r="P51" s="7">
        <v>46246.087291342592</v>
      </c>
      <c r="Q51" s="1" t="s">
        <v>330</v>
      </c>
      <c r="T51" s="1" t="s">
        <v>333</v>
      </c>
      <c r="U51" s="1" t="s">
        <v>334</v>
      </c>
      <c r="V51" s="1">
        <v>1</v>
      </c>
      <c r="W51" s="3">
        <v>8513.2800000000007</v>
      </c>
      <c r="X51" s="3">
        <v>8513.2800000000007</v>
      </c>
      <c r="Y51" s="1" t="str">
        <f>VLOOKUP(A51,[1]Detalle!$D$2:$CR$484,93,FALSE)</f>
        <v>Papelera - Papelera del Plata S.A.</v>
      </c>
    </row>
    <row r="52" spans="1:25" ht="14.25" customHeight="1" x14ac:dyDescent="0.3">
      <c r="A52" s="1" t="s">
        <v>248</v>
      </c>
      <c r="B52" s="1" t="s">
        <v>328</v>
      </c>
      <c r="C52" s="1" t="s">
        <v>328</v>
      </c>
      <c r="D52" s="1" t="s">
        <v>329</v>
      </c>
      <c r="E52" s="6">
        <v>45743</v>
      </c>
      <c r="F52" s="1">
        <v>123548</v>
      </c>
      <c r="G52" s="1">
        <v>143548</v>
      </c>
      <c r="H52" s="1">
        <v>7382.7000000000016</v>
      </c>
      <c r="I52" s="1">
        <v>12617.3</v>
      </c>
      <c r="J52" s="1">
        <v>130930.7</v>
      </c>
      <c r="K52" s="1">
        <v>204</v>
      </c>
      <c r="L52" s="1">
        <v>33.855032679738592</v>
      </c>
      <c r="M52" s="1">
        <v>348.64334186679662</v>
      </c>
      <c r="N52" s="7">
        <v>45947</v>
      </c>
      <c r="O52" s="1">
        <v>20000</v>
      </c>
      <c r="P52" s="7">
        <v>46295.643341863433</v>
      </c>
      <c r="Q52" s="1" t="s">
        <v>330</v>
      </c>
      <c r="T52" s="1" t="s">
        <v>331</v>
      </c>
      <c r="U52" s="1" t="s">
        <v>332</v>
      </c>
      <c r="V52" s="1">
        <v>16</v>
      </c>
      <c r="W52" s="3">
        <v>3389.9</v>
      </c>
      <c r="X52" s="3">
        <v>54238.400000000001</v>
      </c>
      <c r="Y52" s="1" t="str">
        <f>VLOOKUP(A52,[1]Detalle!$D$2:$CR$484,93,FALSE)</f>
        <v>CCUDyAZA</v>
      </c>
    </row>
    <row r="53" spans="1:25" ht="14.25" customHeight="1" x14ac:dyDescent="0.3">
      <c r="A53" s="1" t="s">
        <v>248</v>
      </c>
      <c r="B53" s="1" t="s">
        <v>328</v>
      </c>
      <c r="C53" s="1" t="s">
        <v>328</v>
      </c>
      <c r="D53" s="1" t="s">
        <v>329</v>
      </c>
      <c r="E53" s="6">
        <v>45743</v>
      </c>
      <c r="F53" s="1">
        <v>123548</v>
      </c>
      <c r="G53" s="1">
        <v>143548</v>
      </c>
      <c r="H53" s="1">
        <v>7382.7000000000016</v>
      </c>
      <c r="I53" s="1">
        <v>12617.3</v>
      </c>
      <c r="J53" s="1">
        <v>130930.7</v>
      </c>
      <c r="K53" s="1">
        <v>204</v>
      </c>
      <c r="L53" s="1">
        <v>33.855032679738592</v>
      </c>
      <c r="M53" s="1">
        <v>348.64334186679662</v>
      </c>
      <c r="N53" s="7">
        <v>45947</v>
      </c>
      <c r="O53" s="1">
        <v>20000</v>
      </c>
      <c r="P53" s="7">
        <v>46295.643341863433</v>
      </c>
      <c r="Q53" s="1" t="s">
        <v>330</v>
      </c>
      <c r="T53" s="1" t="s">
        <v>333</v>
      </c>
      <c r="U53" s="1" t="s">
        <v>334</v>
      </c>
      <c r="V53" s="1">
        <v>1</v>
      </c>
      <c r="W53" s="3">
        <v>8513.2800000000007</v>
      </c>
      <c r="X53" s="3">
        <v>8513.2800000000007</v>
      </c>
      <c r="Y53" s="1" t="str">
        <f>VLOOKUP(A53,[1]Detalle!$D$2:$CR$484,93,FALSE)</f>
        <v>CCUDyAZA</v>
      </c>
    </row>
    <row r="54" spans="1:25" ht="14.25" customHeight="1" x14ac:dyDescent="0.3">
      <c r="A54" s="1" t="s">
        <v>249</v>
      </c>
      <c r="B54" s="1" t="s">
        <v>328</v>
      </c>
      <c r="C54" s="1" t="s">
        <v>328</v>
      </c>
      <c r="D54" s="1" t="s">
        <v>329</v>
      </c>
      <c r="E54" s="6">
        <v>45750</v>
      </c>
      <c r="F54" s="1">
        <v>172612</v>
      </c>
      <c r="G54" s="1">
        <v>192612</v>
      </c>
      <c r="H54" s="1">
        <v>9021.2999999999956</v>
      </c>
      <c r="I54" s="1">
        <v>10978.7</v>
      </c>
      <c r="J54" s="1">
        <v>181633.3</v>
      </c>
      <c r="K54" s="1">
        <v>197</v>
      </c>
      <c r="L54" s="1">
        <v>39.791067961165048</v>
      </c>
      <c r="M54" s="1">
        <v>239.74414995621501</v>
      </c>
      <c r="N54" s="7">
        <v>45947</v>
      </c>
      <c r="O54" s="1">
        <v>20000</v>
      </c>
      <c r="P54" s="7">
        <v>46186.744149953702</v>
      </c>
      <c r="Q54" s="1" t="s">
        <v>330</v>
      </c>
      <c r="T54" s="1" t="s">
        <v>331</v>
      </c>
      <c r="U54" s="1" t="s">
        <v>332</v>
      </c>
      <c r="V54" s="1">
        <v>16</v>
      </c>
      <c r="W54" s="3">
        <v>3389.9</v>
      </c>
      <c r="X54" s="3">
        <v>54238.400000000001</v>
      </c>
      <c r="Y54" s="1" t="str">
        <f>VLOOKUP(A54,[1]Detalle!$D$2:$CR$484,93,FALSE)</f>
        <v>CCUDyAZA</v>
      </c>
    </row>
    <row r="55" spans="1:25" ht="14.25" customHeight="1" x14ac:dyDescent="0.3">
      <c r="A55" s="1" t="s">
        <v>249</v>
      </c>
      <c r="B55" s="1" t="s">
        <v>328</v>
      </c>
      <c r="C55" s="1" t="s">
        <v>328</v>
      </c>
      <c r="D55" s="1" t="s">
        <v>329</v>
      </c>
      <c r="E55" s="6">
        <v>45750</v>
      </c>
      <c r="F55" s="1">
        <v>172612</v>
      </c>
      <c r="G55" s="1">
        <v>192612</v>
      </c>
      <c r="H55" s="1">
        <v>9021.2999999999956</v>
      </c>
      <c r="I55" s="1">
        <v>10978.7</v>
      </c>
      <c r="J55" s="1">
        <v>181633.3</v>
      </c>
      <c r="K55" s="1">
        <v>197</v>
      </c>
      <c r="L55" s="1">
        <v>39.791067961165048</v>
      </c>
      <c r="M55" s="1">
        <v>239.74414995621501</v>
      </c>
      <c r="N55" s="7">
        <v>45947</v>
      </c>
      <c r="O55" s="1">
        <v>20000</v>
      </c>
      <c r="P55" s="7">
        <v>46186.744149953702</v>
      </c>
      <c r="Q55" s="1" t="s">
        <v>330</v>
      </c>
      <c r="T55" s="1" t="s">
        <v>333</v>
      </c>
      <c r="U55" s="1" t="s">
        <v>334</v>
      </c>
      <c r="V55" s="1">
        <v>1</v>
      </c>
      <c r="W55" s="3">
        <v>8513.2800000000007</v>
      </c>
      <c r="X55" s="3">
        <v>8513.2800000000007</v>
      </c>
      <c r="Y55" s="1" t="str">
        <f>VLOOKUP(A55,[1]Detalle!$D$2:$CR$484,93,FALSE)</f>
        <v>CCUDyAZA</v>
      </c>
    </row>
    <row r="56" spans="1:25" ht="14.25" customHeight="1" x14ac:dyDescent="0.3">
      <c r="A56" s="1" t="s">
        <v>251</v>
      </c>
      <c r="B56" s="1" t="s">
        <v>328</v>
      </c>
      <c r="C56" s="1" t="s">
        <v>328</v>
      </c>
      <c r="D56" s="1" t="s">
        <v>329</v>
      </c>
      <c r="E56" s="6">
        <v>45803</v>
      </c>
      <c r="F56" s="1">
        <v>134238</v>
      </c>
      <c r="G56" s="1">
        <v>154238</v>
      </c>
      <c r="H56" s="1">
        <v>6883.1999999999953</v>
      </c>
      <c r="I56" s="1">
        <v>13116.8</v>
      </c>
      <c r="J56" s="1">
        <v>141121.20000000001</v>
      </c>
      <c r="K56" s="1">
        <v>144</v>
      </c>
      <c r="L56" s="1">
        <v>38.754967741935467</v>
      </c>
      <c r="M56" s="1">
        <v>274.41004184100439</v>
      </c>
      <c r="N56" s="7">
        <v>45947</v>
      </c>
      <c r="O56" s="1">
        <v>20000</v>
      </c>
      <c r="P56" s="7">
        <v>46221.410041840281</v>
      </c>
      <c r="Q56" s="1" t="s">
        <v>330</v>
      </c>
      <c r="T56" s="1" t="s">
        <v>331</v>
      </c>
      <c r="U56" s="1" t="s">
        <v>332</v>
      </c>
      <c r="V56" s="1">
        <v>16</v>
      </c>
      <c r="W56" s="3">
        <v>3389.9</v>
      </c>
      <c r="X56" s="3">
        <v>54238.400000000001</v>
      </c>
      <c r="Y56" s="1" t="str">
        <f>VLOOKUP(A56,[1]Detalle!$D$2:$CR$484,93,FALSE)</f>
        <v>CCUDyAZA</v>
      </c>
    </row>
    <row r="57" spans="1:25" ht="14.25" customHeight="1" x14ac:dyDescent="0.3">
      <c r="A57" s="1" t="s">
        <v>251</v>
      </c>
      <c r="B57" s="1" t="s">
        <v>328</v>
      </c>
      <c r="C57" s="1" t="s">
        <v>328</v>
      </c>
      <c r="D57" s="1" t="s">
        <v>329</v>
      </c>
      <c r="E57" s="6">
        <v>45803</v>
      </c>
      <c r="F57" s="1">
        <v>134238</v>
      </c>
      <c r="G57" s="1">
        <v>154238</v>
      </c>
      <c r="H57" s="1">
        <v>6883.1999999999953</v>
      </c>
      <c r="I57" s="1">
        <v>13116.8</v>
      </c>
      <c r="J57" s="1">
        <v>141121.20000000001</v>
      </c>
      <c r="K57" s="1">
        <v>144</v>
      </c>
      <c r="L57" s="1">
        <v>38.754967741935467</v>
      </c>
      <c r="M57" s="1">
        <v>274.41004184100439</v>
      </c>
      <c r="N57" s="7">
        <v>45947</v>
      </c>
      <c r="O57" s="1">
        <v>20000</v>
      </c>
      <c r="P57" s="7">
        <v>46221.410041840281</v>
      </c>
      <c r="Q57" s="1" t="s">
        <v>330</v>
      </c>
      <c r="T57" s="1" t="s">
        <v>333</v>
      </c>
      <c r="U57" s="1" t="s">
        <v>334</v>
      </c>
      <c r="V57" s="1">
        <v>1</v>
      </c>
      <c r="W57" s="3">
        <v>8513.2800000000007</v>
      </c>
      <c r="X57" s="3">
        <v>8513.2800000000007</v>
      </c>
      <c r="Y57" s="1" t="str">
        <f>VLOOKUP(A57,[1]Detalle!$D$2:$CR$484,93,FALSE)</f>
        <v>CCUDyAZA</v>
      </c>
    </row>
    <row r="58" spans="1:25" ht="14.25" customHeight="1" x14ac:dyDescent="0.3">
      <c r="A58" s="1" t="s">
        <v>252</v>
      </c>
      <c r="B58" s="1" t="s">
        <v>328</v>
      </c>
      <c r="C58" s="1" t="s">
        <v>328</v>
      </c>
      <c r="D58" s="1" t="s">
        <v>329</v>
      </c>
      <c r="E58" s="6">
        <v>45728</v>
      </c>
      <c r="F58" s="1">
        <v>136279</v>
      </c>
      <c r="G58" s="1">
        <v>156279</v>
      </c>
      <c r="H58" s="1">
        <v>9392.9000000000033</v>
      </c>
      <c r="I58" s="1">
        <v>10607.1</v>
      </c>
      <c r="J58" s="1">
        <v>145671.9</v>
      </c>
      <c r="K58" s="1">
        <v>219</v>
      </c>
      <c r="L58" s="1">
        <v>39.350485436893209</v>
      </c>
      <c r="M58" s="1">
        <v>247.309659423607</v>
      </c>
      <c r="N58" s="7">
        <v>45947</v>
      </c>
      <c r="O58" s="1">
        <v>20000</v>
      </c>
      <c r="P58" s="7">
        <v>46194.309659421298</v>
      </c>
      <c r="Q58" s="1" t="s">
        <v>330</v>
      </c>
      <c r="T58" s="1" t="s">
        <v>331</v>
      </c>
      <c r="U58" s="1" t="s">
        <v>332</v>
      </c>
      <c r="V58" s="1">
        <v>16</v>
      </c>
      <c r="W58" s="3">
        <v>3389.9</v>
      </c>
      <c r="X58" s="3">
        <v>54238.400000000001</v>
      </c>
      <c r="Y58" s="1" t="str">
        <f>VLOOKUP(A58,[1]Detalle!$D$2:$CR$484,93,FALSE)</f>
        <v>CCUDyAZA</v>
      </c>
    </row>
    <row r="59" spans="1:25" ht="14.25" customHeight="1" x14ac:dyDescent="0.3">
      <c r="A59" s="1" t="s">
        <v>252</v>
      </c>
      <c r="B59" s="1" t="s">
        <v>328</v>
      </c>
      <c r="C59" s="1" t="s">
        <v>328</v>
      </c>
      <c r="D59" s="1" t="s">
        <v>329</v>
      </c>
      <c r="E59" s="6">
        <v>45728</v>
      </c>
      <c r="F59" s="1">
        <v>136279</v>
      </c>
      <c r="G59" s="1">
        <v>156279</v>
      </c>
      <c r="H59" s="1">
        <v>9392.9000000000033</v>
      </c>
      <c r="I59" s="1">
        <v>10607.1</v>
      </c>
      <c r="J59" s="1">
        <v>145671.9</v>
      </c>
      <c r="K59" s="1">
        <v>219</v>
      </c>
      <c r="L59" s="1">
        <v>39.350485436893209</v>
      </c>
      <c r="M59" s="1">
        <v>247.309659423607</v>
      </c>
      <c r="N59" s="7">
        <v>45947</v>
      </c>
      <c r="O59" s="1">
        <v>20000</v>
      </c>
      <c r="P59" s="7">
        <v>46194.309659421298</v>
      </c>
      <c r="Q59" s="1" t="s">
        <v>330</v>
      </c>
      <c r="T59" s="1" t="s">
        <v>333</v>
      </c>
      <c r="U59" s="1" t="s">
        <v>334</v>
      </c>
      <c r="V59" s="1">
        <v>1</v>
      </c>
      <c r="W59" s="3">
        <v>8513.2800000000007</v>
      </c>
      <c r="X59" s="3">
        <v>8513.2800000000007</v>
      </c>
      <c r="Y59" s="1" t="str">
        <f>VLOOKUP(A59,[1]Detalle!$D$2:$CR$484,93,FALSE)</f>
        <v>CCUDyAZA</v>
      </c>
    </row>
    <row r="60" spans="1:25" ht="14.25" customHeight="1" x14ac:dyDescent="0.3">
      <c r="A60" s="1" t="s">
        <v>254</v>
      </c>
      <c r="B60" s="1" t="s">
        <v>328</v>
      </c>
      <c r="C60" s="1" t="s">
        <v>328</v>
      </c>
      <c r="D60" s="1" t="s">
        <v>329</v>
      </c>
      <c r="E60" s="6">
        <v>45727</v>
      </c>
      <c r="F60" s="1">
        <v>135133</v>
      </c>
      <c r="G60" s="1">
        <v>155133</v>
      </c>
      <c r="H60" s="1">
        <v>15205.600000000009</v>
      </c>
      <c r="I60" s="1">
        <v>4794.3999999999915</v>
      </c>
      <c r="J60" s="1">
        <v>150338.6</v>
      </c>
      <c r="K60" s="1">
        <v>220</v>
      </c>
      <c r="L60" s="1">
        <v>62.077961165048592</v>
      </c>
      <c r="M60" s="1">
        <v>69.367075288051595</v>
      </c>
      <c r="N60" s="7">
        <v>45947</v>
      </c>
      <c r="O60" s="1">
        <v>20000</v>
      </c>
      <c r="P60" s="7">
        <v>46338.542604652779</v>
      </c>
      <c r="Q60" s="1" t="s">
        <v>330</v>
      </c>
      <c r="T60" s="1" t="s">
        <v>331</v>
      </c>
      <c r="U60" s="1" t="s">
        <v>332</v>
      </c>
      <c r="V60" s="1">
        <v>16</v>
      </c>
      <c r="W60" s="3">
        <v>3389.9</v>
      </c>
      <c r="X60" s="3">
        <v>54238.400000000001</v>
      </c>
      <c r="Y60" s="1" t="str">
        <f>VLOOKUP(A60,[1]Detalle!$D$2:$CR$484,93,FALSE)</f>
        <v>CCUCoAZA</v>
      </c>
    </row>
    <row r="61" spans="1:25" ht="14.25" customHeight="1" x14ac:dyDescent="0.3">
      <c r="A61" s="1" t="s">
        <v>254</v>
      </c>
      <c r="B61" s="1" t="s">
        <v>328</v>
      </c>
      <c r="C61" s="1" t="s">
        <v>328</v>
      </c>
      <c r="D61" s="1" t="s">
        <v>329</v>
      </c>
      <c r="E61" s="6">
        <v>45727</v>
      </c>
      <c r="F61" s="1">
        <v>135133</v>
      </c>
      <c r="G61" s="1">
        <v>155133</v>
      </c>
      <c r="H61" s="1">
        <v>15205.600000000009</v>
      </c>
      <c r="I61" s="1">
        <v>4794.3999999999915</v>
      </c>
      <c r="J61" s="1">
        <v>150338.6</v>
      </c>
      <c r="K61" s="1">
        <v>220</v>
      </c>
      <c r="L61" s="1">
        <v>62.077961165048592</v>
      </c>
      <c r="M61" s="1">
        <v>69.367075288051595</v>
      </c>
      <c r="N61" s="7">
        <v>45947</v>
      </c>
      <c r="O61" s="1">
        <v>20000</v>
      </c>
      <c r="P61" s="7">
        <v>46338.542604652779</v>
      </c>
      <c r="Q61" s="1" t="s">
        <v>330</v>
      </c>
      <c r="T61" s="1" t="s">
        <v>333</v>
      </c>
      <c r="U61" s="1" t="s">
        <v>334</v>
      </c>
      <c r="V61" s="1">
        <v>1</v>
      </c>
      <c r="W61" s="3">
        <v>8513.2800000000007</v>
      </c>
      <c r="X61" s="3">
        <v>8513.2800000000007</v>
      </c>
      <c r="Y61" s="1" t="str">
        <f>VLOOKUP(A61,[1]Detalle!$D$2:$CR$484,93,FALSE)</f>
        <v>CCUCoAZA</v>
      </c>
    </row>
    <row r="62" spans="1:25" ht="14.25" customHeight="1" x14ac:dyDescent="0.3">
      <c r="A62" s="1" t="s">
        <v>255</v>
      </c>
      <c r="B62" s="1" t="s">
        <v>328</v>
      </c>
      <c r="C62" s="1" t="s">
        <v>328</v>
      </c>
      <c r="D62" s="1" t="s">
        <v>329</v>
      </c>
      <c r="E62" s="6">
        <v>45786</v>
      </c>
      <c r="F62" s="1">
        <v>140250</v>
      </c>
      <c r="G62" s="1">
        <v>160250</v>
      </c>
      <c r="H62" s="1">
        <v>6502.5999999999949</v>
      </c>
      <c r="I62" s="1">
        <v>13497.400000000011</v>
      </c>
      <c r="J62" s="1">
        <v>146752.6</v>
      </c>
      <c r="K62" s="1">
        <v>161</v>
      </c>
      <c r="L62" s="1">
        <v>36.457612903225787</v>
      </c>
      <c r="M62" s="1">
        <v>334.18654076830848</v>
      </c>
      <c r="N62" s="7">
        <v>45947</v>
      </c>
      <c r="O62" s="1">
        <v>20000</v>
      </c>
      <c r="P62" s="7">
        <v>46281.186540763891</v>
      </c>
      <c r="Q62" s="1" t="s">
        <v>330</v>
      </c>
      <c r="T62" s="1" t="s">
        <v>331</v>
      </c>
      <c r="U62" s="1" t="s">
        <v>332</v>
      </c>
      <c r="V62" s="1">
        <v>16</v>
      </c>
      <c r="W62" s="3">
        <v>3389.9</v>
      </c>
      <c r="X62" s="3">
        <v>54238.400000000001</v>
      </c>
      <c r="Y62" s="1" t="str">
        <f>VLOOKUP(A62,[1]Detalle!$D$2:$CR$484,93,FALSE)</f>
        <v>CCUDyAZA</v>
      </c>
    </row>
    <row r="63" spans="1:25" ht="14.25" customHeight="1" x14ac:dyDescent="0.3">
      <c r="A63" s="1" t="s">
        <v>255</v>
      </c>
      <c r="B63" s="1" t="s">
        <v>328</v>
      </c>
      <c r="C63" s="1" t="s">
        <v>328</v>
      </c>
      <c r="D63" s="1" t="s">
        <v>329</v>
      </c>
      <c r="E63" s="6">
        <v>45786</v>
      </c>
      <c r="F63" s="1">
        <v>140250</v>
      </c>
      <c r="G63" s="1">
        <v>160250</v>
      </c>
      <c r="H63" s="1">
        <v>6502.5999999999949</v>
      </c>
      <c r="I63" s="1">
        <v>13497.400000000011</v>
      </c>
      <c r="J63" s="1">
        <v>146752.6</v>
      </c>
      <c r="K63" s="1">
        <v>161</v>
      </c>
      <c r="L63" s="1">
        <v>36.457612903225787</v>
      </c>
      <c r="M63" s="1">
        <v>334.18654076830848</v>
      </c>
      <c r="N63" s="7">
        <v>45947</v>
      </c>
      <c r="O63" s="1">
        <v>20000</v>
      </c>
      <c r="P63" s="7">
        <v>46281.186540763891</v>
      </c>
      <c r="Q63" s="1" t="s">
        <v>330</v>
      </c>
      <c r="T63" s="1" t="s">
        <v>333</v>
      </c>
      <c r="U63" s="1" t="s">
        <v>334</v>
      </c>
      <c r="V63" s="1">
        <v>1</v>
      </c>
      <c r="W63" s="3">
        <v>8513.2800000000007</v>
      </c>
      <c r="X63" s="3">
        <v>8513.2800000000007</v>
      </c>
      <c r="Y63" s="1" t="str">
        <f>VLOOKUP(A63,[1]Detalle!$D$2:$CR$484,93,FALSE)</f>
        <v>CCUDyAZA</v>
      </c>
    </row>
    <row r="64" spans="1:25" ht="14.25" customHeight="1" x14ac:dyDescent="0.3">
      <c r="A64" s="1" t="s">
        <v>256</v>
      </c>
      <c r="B64" s="1" t="s">
        <v>328</v>
      </c>
      <c r="C64" s="1" t="s">
        <v>328</v>
      </c>
      <c r="D64" s="1" t="s">
        <v>329</v>
      </c>
      <c r="E64" s="6">
        <v>45733</v>
      </c>
      <c r="F64" s="1">
        <v>175136</v>
      </c>
      <c r="G64" s="1">
        <v>195136</v>
      </c>
      <c r="H64" s="1">
        <v>10902.7</v>
      </c>
      <c r="I64" s="1">
        <v>9097.2999999999993</v>
      </c>
      <c r="J64" s="1">
        <v>186038.7</v>
      </c>
      <c r="K64" s="1">
        <v>214</v>
      </c>
      <c r="L64" s="1">
        <v>47.387909967845658</v>
      </c>
      <c r="M64" s="1">
        <v>178.56331000577839</v>
      </c>
      <c r="N64" s="7">
        <v>45947</v>
      </c>
      <c r="O64" s="1">
        <v>20000</v>
      </c>
      <c r="P64" s="7">
        <v>46125.563309999998</v>
      </c>
      <c r="Q64" s="1" t="s">
        <v>330</v>
      </c>
      <c r="T64" s="1" t="s">
        <v>331</v>
      </c>
      <c r="U64" s="1" t="s">
        <v>332</v>
      </c>
      <c r="V64" s="1">
        <v>16</v>
      </c>
      <c r="W64" s="3">
        <v>3389.9</v>
      </c>
      <c r="X64" s="3">
        <v>54238.400000000001</v>
      </c>
      <c r="Y64" s="1" t="str">
        <f>VLOOKUP(A64,[1]Detalle!$D$2:$CR$484,93,FALSE)</f>
        <v>CCUCoAZA</v>
      </c>
    </row>
    <row r="65" spans="1:25" ht="14.25" customHeight="1" x14ac:dyDescent="0.3">
      <c r="A65" s="1" t="s">
        <v>256</v>
      </c>
      <c r="B65" s="1" t="s">
        <v>328</v>
      </c>
      <c r="C65" s="1" t="s">
        <v>328</v>
      </c>
      <c r="D65" s="1" t="s">
        <v>329</v>
      </c>
      <c r="E65" s="6">
        <v>45733</v>
      </c>
      <c r="F65" s="1">
        <v>175136</v>
      </c>
      <c r="G65" s="1">
        <v>195136</v>
      </c>
      <c r="H65" s="1">
        <v>10902.7</v>
      </c>
      <c r="I65" s="1">
        <v>9097.2999999999993</v>
      </c>
      <c r="J65" s="1">
        <v>186038.7</v>
      </c>
      <c r="K65" s="1">
        <v>214</v>
      </c>
      <c r="L65" s="1">
        <v>47.387909967845658</v>
      </c>
      <c r="M65" s="1">
        <v>178.56331000577839</v>
      </c>
      <c r="N65" s="7">
        <v>45947</v>
      </c>
      <c r="O65" s="1">
        <v>20000</v>
      </c>
      <c r="P65" s="7">
        <v>46125.563309999998</v>
      </c>
      <c r="Q65" s="1" t="s">
        <v>330</v>
      </c>
      <c r="T65" s="1" t="s">
        <v>333</v>
      </c>
      <c r="U65" s="1" t="s">
        <v>334</v>
      </c>
      <c r="V65" s="1">
        <v>1</v>
      </c>
      <c r="W65" s="3">
        <v>8513.2800000000007</v>
      </c>
      <c r="X65" s="3">
        <v>8513.2800000000007</v>
      </c>
      <c r="Y65" s="1" t="str">
        <f>VLOOKUP(A65,[1]Detalle!$D$2:$CR$484,93,FALSE)</f>
        <v>CCUCoAZA</v>
      </c>
    </row>
    <row r="66" spans="1:25" ht="14.25" customHeight="1" x14ac:dyDescent="0.3">
      <c r="A66" s="1" t="s">
        <v>257</v>
      </c>
      <c r="B66" s="1" t="s">
        <v>328</v>
      </c>
      <c r="C66" s="1" t="s">
        <v>328</v>
      </c>
      <c r="D66" s="1" t="s">
        <v>329</v>
      </c>
      <c r="E66" s="6">
        <v>45929</v>
      </c>
      <c r="F66" s="1">
        <v>241798</v>
      </c>
      <c r="G66" s="1">
        <v>261798</v>
      </c>
      <c r="H66" s="1">
        <v>0</v>
      </c>
      <c r="I66" s="1">
        <v>20000</v>
      </c>
      <c r="J66" s="1">
        <v>241798</v>
      </c>
      <c r="K66" s="1">
        <v>18</v>
      </c>
      <c r="L66" s="1">
        <v>32.336013071895437</v>
      </c>
      <c r="M66" s="1">
        <v>200</v>
      </c>
      <c r="N66" s="7">
        <v>45947</v>
      </c>
      <c r="O66" s="1">
        <v>20000</v>
      </c>
      <c r="P66" s="7">
        <v>46147</v>
      </c>
      <c r="Q66" s="1" t="s">
        <v>330</v>
      </c>
      <c r="T66" s="1" t="s">
        <v>331</v>
      </c>
      <c r="U66" s="1" t="s">
        <v>332</v>
      </c>
      <c r="V66" s="1">
        <v>16</v>
      </c>
      <c r="W66" s="3">
        <v>3389.9</v>
      </c>
      <c r="X66" s="3">
        <v>54238.400000000001</v>
      </c>
      <c r="Y66" s="1" t="str">
        <f>VLOOKUP(A66,[1]Detalle!$D$2:$CR$484,93,FALSE)</f>
        <v>CMQ_TTE - QUILMES TTE</v>
      </c>
    </row>
    <row r="67" spans="1:25" ht="14.25" customHeight="1" x14ac:dyDescent="0.3">
      <c r="A67" s="1" t="s">
        <v>257</v>
      </c>
      <c r="B67" s="1" t="s">
        <v>328</v>
      </c>
      <c r="C67" s="1" t="s">
        <v>328</v>
      </c>
      <c r="D67" s="1" t="s">
        <v>329</v>
      </c>
      <c r="E67" s="6">
        <v>45929</v>
      </c>
      <c r="F67" s="1">
        <v>241798</v>
      </c>
      <c r="G67" s="1">
        <v>261798</v>
      </c>
      <c r="H67" s="1">
        <v>0</v>
      </c>
      <c r="I67" s="1">
        <v>20000</v>
      </c>
      <c r="J67" s="1">
        <v>241798</v>
      </c>
      <c r="K67" s="1">
        <v>18</v>
      </c>
      <c r="L67" s="1">
        <v>32.336013071895437</v>
      </c>
      <c r="M67" s="1">
        <v>200</v>
      </c>
      <c r="N67" s="7">
        <v>45947</v>
      </c>
      <c r="O67" s="1">
        <v>20000</v>
      </c>
      <c r="P67" s="7">
        <v>46147</v>
      </c>
      <c r="Q67" s="1" t="s">
        <v>330</v>
      </c>
      <c r="T67" s="1" t="s">
        <v>333</v>
      </c>
      <c r="U67" s="1" t="s">
        <v>334</v>
      </c>
      <c r="V67" s="1">
        <v>1</v>
      </c>
      <c r="W67" s="3">
        <v>8513.2800000000007</v>
      </c>
      <c r="X67" s="3">
        <v>8513.2800000000007</v>
      </c>
      <c r="Y67" s="1" t="str">
        <f>VLOOKUP(A67,[1]Detalle!$D$2:$CR$484,93,FALSE)</f>
        <v>CMQ_TTE - QUILMES TTE</v>
      </c>
    </row>
    <row r="68" spans="1:25" ht="14.25" customHeight="1" x14ac:dyDescent="0.3">
      <c r="A68" s="1" t="s">
        <v>260</v>
      </c>
      <c r="B68" s="1" t="s">
        <v>328</v>
      </c>
      <c r="C68" s="1" t="s">
        <v>328</v>
      </c>
      <c r="D68" s="1" t="s">
        <v>329</v>
      </c>
      <c r="E68" s="6">
        <v>45608</v>
      </c>
      <c r="F68" s="1">
        <v>135670</v>
      </c>
      <c r="G68" s="1">
        <v>155670</v>
      </c>
      <c r="H68" s="1">
        <v>13146.66</v>
      </c>
      <c r="I68" s="1">
        <v>6853.3399999999983</v>
      </c>
      <c r="J68" s="1">
        <v>148816.66</v>
      </c>
      <c r="K68" s="1">
        <v>339</v>
      </c>
      <c r="L68" s="1">
        <v>35.350675241157553</v>
      </c>
      <c r="M68" s="1">
        <v>176.72034265737449</v>
      </c>
      <c r="N68" s="7">
        <v>45947</v>
      </c>
      <c r="O68" s="1">
        <v>20000</v>
      </c>
      <c r="P68" s="7">
        <v>46123.72034266204</v>
      </c>
      <c r="Q68" s="1" t="s">
        <v>330</v>
      </c>
      <c r="T68" s="1" t="s">
        <v>331</v>
      </c>
      <c r="U68" s="1" t="s">
        <v>332</v>
      </c>
      <c r="V68" s="1">
        <v>16</v>
      </c>
      <c r="W68" s="3">
        <v>3389.9</v>
      </c>
      <c r="X68" s="3">
        <v>54238.400000000001</v>
      </c>
      <c r="Y68" s="1" t="str">
        <f>VLOOKUP(A68,[1]Detalle!$D$2:$CR$484,93,FALSE)</f>
        <v>CCUDyAZA</v>
      </c>
    </row>
    <row r="69" spans="1:25" ht="14.25" customHeight="1" x14ac:dyDescent="0.3">
      <c r="A69" s="1" t="s">
        <v>260</v>
      </c>
      <c r="B69" s="1" t="s">
        <v>328</v>
      </c>
      <c r="C69" s="1" t="s">
        <v>328</v>
      </c>
      <c r="D69" s="1" t="s">
        <v>329</v>
      </c>
      <c r="E69" s="6">
        <v>45608</v>
      </c>
      <c r="F69" s="1">
        <v>135670</v>
      </c>
      <c r="G69" s="1">
        <v>155670</v>
      </c>
      <c r="H69" s="1">
        <v>13146.66</v>
      </c>
      <c r="I69" s="1">
        <v>6853.3399999999983</v>
      </c>
      <c r="J69" s="1">
        <v>148816.66</v>
      </c>
      <c r="K69" s="1">
        <v>339</v>
      </c>
      <c r="L69" s="1">
        <v>35.350675241157553</v>
      </c>
      <c r="M69" s="1">
        <v>176.72034265737449</v>
      </c>
      <c r="N69" s="7">
        <v>45947</v>
      </c>
      <c r="O69" s="1">
        <v>20000</v>
      </c>
      <c r="P69" s="7">
        <v>46123.72034266204</v>
      </c>
      <c r="Q69" s="1" t="s">
        <v>330</v>
      </c>
      <c r="T69" s="1" t="s">
        <v>333</v>
      </c>
      <c r="U69" s="1" t="s">
        <v>334</v>
      </c>
      <c r="V69" s="1">
        <v>1</v>
      </c>
      <c r="W69" s="3">
        <v>8513.2800000000007</v>
      </c>
      <c r="X69" s="3">
        <v>8513.2800000000007</v>
      </c>
      <c r="Y69" s="1" t="str">
        <f>VLOOKUP(A69,[1]Detalle!$D$2:$CR$484,93,FALSE)</f>
        <v>CCUDyAZA</v>
      </c>
    </row>
    <row r="70" spans="1:25" ht="14.25" customHeight="1" x14ac:dyDescent="0.3">
      <c r="A70" s="1" t="s">
        <v>261</v>
      </c>
      <c r="B70" s="1" t="s">
        <v>328</v>
      </c>
      <c r="C70" s="1" t="s">
        <v>328</v>
      </c>
      <c r="D70" s="1" t="s">
        <v>329</v>
      </c>
      <c r="E70" s="6">
        <v>45741</v>
      </c>
      <c r="F70" s="1">
        <v>138994</v>
      </c>
      <c r="G70" s="1">
        <v>158994</v>
      </c>
      <c r="H70" s="1">
        <v>7813.9000000000042</v>
      </c>
      <c r="I70" s="1">
        <v>12186.099999999989</v>
      </c>
      <c r="J70" s="1">
        <v>146807.9</v>
      </c>
      <c r="K70" s="1">
        <v>206</v>
      </c>
      <c r="L70" s="1">
        <v>32.740519480519481</v>
      </c>
      <c r="M70" s="1">
        <v>321.26551401988729</v>
      </c>
      <c r="N70" s="7">
        <v>45947</v>
      </c>
      <c r="O70" s="1">
        <v>20000</v>
      </c>
      <c r="P70" s="7">
        <v>46268.265514016202</v>
      </c>
      <c r="Q70" s="1" t="s">
        <v>330</v>
      </c>
      <c r="T70" s="1" t="s">
        <v>331</v>
      </c>
      <c r="U70" s="1" t="s">
        <v>332</v>
      </c>
      <c r="V70" s="1">
        <v>16</v>
      </c>
      <c r="W70" s="3">
        <v>3389.9</v>
      </c>
      <c r="X70" s="3">
        <v>54238.400000000001</v>
      </c>
      <c r="Y70" s="1" t="str">
        <f>VLOOKUP(A70,[1]Detalle!$D$2:$CR$484,93,FALSE)</f>
        <v>CCUDyAZA</v>
      </c>
    </row>
    <row r="71" spans="1:25" ht="14.25" customHeight="1" x14ac:dyDescent="0.3">
      <c r="A71" s="1" t="s">
        <v>261</v>
      </c>
      <c r="B71" s="1" t="s">
        <v>328</v>
      </c>
      <c r="C71" s="1" t="s">
        <v>328</v>
      </c>
      <c r="D71" s="1" t="s">
        <v>329</v>
      </c>
      <c r="E71" s="6">
        <v>45741</v>
      </c>
      <c r="F71" s="1">
        <v>138994</v>
      </c>
      <c r="G71" s="1">
        <v>158994</v>
      </c>
      <c r="H71" s="1">
        <v>7813.9000000000042</v>
      </c>
      <c r="I71" s="1">
        <v>12186.099999999989</v>
      </c>
      <c r="J71" s="1">
        <v>146807.9</v>
      </c>
      <c r="K71" s="1">
        <v>206</v>
      </c>
      <c r="L71" s="1">
        <v>32.740519480519481</v>
      </c>
      <c r="M71" s="1">
        <v>321.26551401988729</v>
      </c>
      <c r="N71" s="7">
        <v>45947</v>
      </c>
      <c r="O71" s="1">
        <v>20000</v>
      </c>
      <c r="P71" s="7">
        <v>46268.265514016202</v>
      </c>
      <c r="Q71" s="1" t="s">
        <v>330</v>
      </c>
      <c r="T71" s="1" t="s">
        <v>333</v>
      </c>
      <c r="U71" s="1" t="s">
        <v>334</v>
      </c>
      <c r="V71" s="1">
        <v>1</v>
      </c>
      <c r="W71" s="3">
        <v>8513.2800000000007</v>
      </c>
      <c r="X71" s="3">
        <v>8513.2800000000007</v>
      </c>
      <c r="Y71" s="1" t="str">
        <f>VLOOKUP(A71,[1]Detalle!$D$2:$CR$484,93,FALSE)</f>
        <v>CCUDyAZA</v>
      </c>
    </row>
    <row r="72" spans="1:25" ht="14.25" customHeight="1" x14ac:dyDescent="0.3">
      <c r="A72" s="1" t="s">
        <v>262</v>
      </c>
      <c r="B72" s="1" t="s">
        <v>328</v>
      </c>
      <c r="C72" s="1" t="s">
        <v>328</v>
      </c>
      <c r="D72" s="1" t="s">
        <v>329</v>
      </c>
      <c r="E72" s="6">
        <v>45750</v>
      </c>
      <c r="F72" s="1">
        <v>135586</v>
      </c>
      <c r="G72" s="1">
        <v>155586</v>
      </c>
      <c r="H72" s="1">
        <v>6212.800000000002</v>
      </c>
      <c r="I72" s="1">
        <v>13787.2</v>
      </c>
      <c r="J72" s="1">
        <v>141798.79999999999</v>
      </c>
      <c r="K72" s="1">
        <v>197</v>
      </c>
      <c r="L72" s="1">
        <v>29.337411003236291</v>
      </c>
      <c r="M72" s="1">
        <v>437.17460726242581</v>
      </c>
      <c r="N72" s="7">
        <v>45947</v>
      </c>
      <c r="O72" s="1">
        <v>20000</v>
      </c>
      <c r="P72" s="7">
        <v>46384.174607256937</v>
      </c>
      <c r="Q72" s="1" t="s">
        <v>330</v>
      </c>
      <c r="T72" s="1" t="s">
        <v>331</v>
      </c>
      <c r="U72" s="1" t="s">
        <v>332</v>
      </c>
      <c r="V72" s="1">
        <v>16</v>
      </c>
      <c r="W72" s="3">
        <v>3389.9</v>
      </c>
      <c r="X72" s="3">
        <v>54238.400000000001</v>
      </c>
      <c r="Y72" s="1" t="str">
        <f>VLOOKUP(A72,[1]Detalle!$D$2:$CR$484,93,FALSE)</f>
        <v>CCUDyAZA</v>
      </c>
    </row>
    <row r="73" spans="1:25" ht="14.25" customHeight="1" x14ac:dyDescent="0.3">
      <c r="A73" s="1" t="s">
        <v>262</v>
      </c>
      <c r="B73" s="1" t="s">
        <v>328</v>
      </c>
      <c r="C73" s="1" t="s">
        <v>328</v>
      </c>
      <c r="D73" s="1" t="s">
        <v>329</v>
      </c>
      <c r="E73" s="6">
        <v>45750</v>
      </c>
      <c r="F73" s="1">
        <v>135586</v>
      </c>
      <c r="G73" s="1">
        <v>155586</v>
      </c>
      <c r="H73" s="1">
        <v>6212.800000000002</v>
      </c>
      <c r="I73" s="1">
        <v>13787.2</v>
      </c>
      <c r="J73" s="1">
        <v>141798.79999999999</v>
      </c>
      <c r="K73" s="1">
        <v>197</v>
      </c>
      <c r="L73" s="1">
        <v>29.337411003236291</v>
      </c>
      <c r="M73" s="1">
        <v>437.17460726242581</v>
      </c>
      <c r="N73" s="7">
        <v>45947</v>
      </c>
      <c r="O73" s="1">
        <v>20000</v>
      </c>
      <c r="P73" s="7">
        <v>46384.174607256937</v>
      </c>
      <c r="Q73" s="1" t="s">
        <v>330</v>
      </c>
      <c r="T73" s="1" t="s">
        <v>333</v>
      </c>
      <c r="U73" s="1" t="s">
        <v>334</v>
      </c>
      <c r="V73" s="1">
        <v>1</v>
      </c>
      <c r="W73" s="3">
        <v>8513.2800000000007</v>
      </c>
      <c r="X73" s="3">
        <v>8513.2800000000007</v>
      </c>
      <c r="Y73" s="1" t="str">
        <f>VLOOKUP(A73,[1]Detalle!$D$2:$CR$484,93,FALSE)</f>
        <v>CCUDyAZA</v>
      </c>
    </row>
    <row r="74" spans="1:25" ht="14.25" customHeight="1" x14ac:dyDescent="0.3">
      <c r="A74" s="1" t="s">
        <v>263</v>
      </c>
      <c r="B74" s="1" t="s">
        <v>328</v>
      </c>
      <c r="C74" s="1" t="s">
        <v>328</v>
      </c>
      <c r="D74" s="1" t="s">
        <v>329</v>
      </c>
      <c r="E74" s="6">
        <v>45792</v>
      </c>
      <c r="F74" s="1">
        <v>139668</v>
      </c>
      <c r="G74" s="1">
        <v>159668</v>
      </c>
      <c r="H74" s="1">
        <v>6276.5</v>
      </c>
      <c r="I74" s="1">
        <v>13723.5</v>
      </c>
      <c r="J74" s="1">
        <v>145944.5</v>
      </c>
      <c r="K74" s="1">
        <v>155</v>
      </c>
      <c r="L74" s="1">
        <v>39.350129032258081</v>
      </c>
      <c r="M74" s="1">
        <v>338.90583924161558</v>
      </c>
      <c r="N74" s="7">
        <v>45947</v>
      </c>
      <c r="O74" s="1">
        <v>20000</v>
      </c>
      <c r="P74" s="7">
        <v>46285.905839236111</v>
      </c>
      <c r="Q74" s="1" t="s">
        <v>330</v>
      </c>
      <c r="T74" s="1" t="s">
        <v>331</v>
      </c>
      <c r="U74" s="1" t="s">
        <v>332</v>
      </c>
      <c r="V74" s="1">
        <v>16</v>
      </c>
      <c r="W74" s="3">
        <v>3389.9</v>
      </c>
      <c r="X74" s="3">
        <v>54238.400000000001</v>
      </c>
      <c r="Y74" s="1" t="str">
        <f>VLOOKUP(A74,[1]Detalle!$D$2:$CR$484,93,FALSE)</f>
        <v>CCUCoAZA</v>
      </c>
    </row>
    <row r="75" spans="1:25" ht="14.25" customHeight="1" x14ac:dyDescent="0.3">
      <c r="A75" s="1" t="s">
        <v>263</v>
      </c>
      <c r="B75" s="1" t="s">
        <v>328</v>
      </c>
      <c r="C75" s="1" t="s">
        <v>328</v>
      </c>
      <c r="D75" s="1" t="s">
        <v>329</v>
      </c>
      <c r="E75" s="6">
        <v>45792</v>
      </c>
      <c r="F75" s="1">
        <v>139668</v>
      </c>
      <c r="G75" s="1">
        <v>159668</v>
      </c>
      <c r="H75" s="1">
        <v>6276.5</v>
      </c>
      <c r="I75" s="1">
        <v>13723.5</v>
      </c>
      <c r="J75" s="1">
        <v>145944.5</v>
      </c>
      <c r="K75" s="1">
        <v>155</v>
      </c>
      <c r="L75" s="1">
        <v>39.350129032258081</v>
      </c>
      <c r="M75" s="1">
        <v>338.90583924161558</v>
      </c>
      <c r="N75" s="7">
        <v>45947</v>
      </c>
      <c r="O75" s="1">
        <v>20000</v>
      </c>
      <c r="P75" s="7">
        <v>46285.905839236111</v>
      </c>
      <c r="Q75" s="1" t="s">
        <v>330</v>
      </c>
      <c r="T75" s="1" t="s">
        <v>333</v>
      </c>
      <c r="U75" s="1" t="s">
        <v>334</v>
      </c>
      <c r="V75" s="1">
        <v>1</v>
      </c>
      <c r="W75" s="3">
        <v>8513.2800000000007</v>
      </c>
      <c r="X75" s="3">
        <v>8513.2800000000007</v>
      </c>
      <c r="Y75" s="1" t="str">
        <f>VLOOKUP(A75,[1]Detalle!$D$2:$CR$484,93,FALSE)</f>
        <v>CCUCoAZA</v>
      </c>
    </row>
    <row r="76" spans="1:25" ht="14.25" customHeight="1" x14ac:dyDescent="0.3">
      <c r="A76" s="1" t="s">
        <v>264</v>
      </c>
      <c r="B76" s="1" t="s">
        <v>328</v>
      </c>
      <c r="C76" s="1" t="s">
        <v>328</v>
      </c>
      <c r="D76" s="1" t="s">
        <v>329</v>
      </c>
      <c r="E76" s="6">
        <v>45609</v>
      </c>
      <c r="F76" s="1">
        <v>129732</v>
      </c>
      <c r="G76" s="1">
        <v>149732</v>
      </c>
      <c r="H76" s="1">
        <v>10886.77</v>
      </c>
      <c r="I76" s="1">
        <v>9113.23</v>
      </c>
      <c r="J76" s="1">
        <v>140618.76999999999</v>
      </c>
      <c r="K76" s="1">
        <v>338</v>
      </c>
      <c r="L76" s="1">
        <v>28.6525</v>
      </c>
      <c r="M76" s="1">
        <v>282.93715583226242</v>
      </c>
      <c r="N76" s="7">
        <v>45947</v>
      </c>
      <c r="O76" s="1">
        <v>20000</v>
      </c>
      <c r="P76" s="7">
        <v>46229.937155833337</v>
      </c>
      <c r="Q76" s="1" t="s">
        <v>330</v>
      </c>
      <c r="T76" s="1" t="s">
        <v>331</v>
      </c>
      <c r="U76" s="1" t="s">
        <v>332</v>
      </c>
      <c r="V76" s="1">
        <v>16</v>
      </c>
      <c r="W76" s="3">
        <v>3389.9</v>
      </c>
      <c r="X76" s="3">
        <v>54238.400000000001</v>
      </c>
      <c r="Y76" s="1" t="str">
        <f>VLOOKUP(A76,[1]Detalle!$D$2:$CR$484,93,FALSE)</f>
        <v>CMQ_TTE - QUILMES TTE</v>
      </c>
    </row>
    <row r="77" spans="1:25" ht="14.25" customHeight="1" x14ac:dyDescent="0.3">
      <c r="A77" s="1" t="s">
        <v>264</v>
      </c>
      <c r="B77" s="1" t="s">
        <v>328</v>
      </c>
      <c r="C77" s="1" t="s">
        <v>328</v>
      </c>
      <c r="D77" s="1" t="s">
        <v>329</v>
      </c>
      <c r="E77" s="6">
        <v>45609</v>
      </c>
      <c r="F77" s="1">
        <v>129732</v>
      </c>
      <c r="G77" s="1">
        <v>149732</v>
      </c>
      <c r="H77" s="1">
        <v>10886.77</v>
      </c>
      <c r="I77" s="1">
        <v>9113.23</v>
      </c>
      <c r="J77" s="1">
        <v>140618.76999999999</v>
      </c>
      <c r="K77" s="1">
        <v>338</v>
      </c>
      <c r="L77" s="1">
        <v>28.6525</v>
      </c>
      <c r="M77" s="1">
        <v>282.93715583226242</v>
      </c>
      <c r="N77" s="7">
        <v>45947</v>
      </c>
      <c r="O77" s="1">
        <v>20000</v>
      </c>
      <c r="P77" s="7">
        <v>46229.937155833337</v>
      </c>
      <c r="Q77" s="1" t="s">
        <v>330</v>
      </c>
      <c r="T77" s="1" t="s">
        <v>333</v>
      </c>
      <c r="U77" s="1" t="s">
        <v>334</v>
      </c>
      <c r="V77" s="1">
        <v>1</v>
      </c>
      <c r="W77" s="3">
        <v>8513.2800000000007</v>
      </c>
      <c r="X77" s="3">
        <v>8513.2800000000007</v>
      </c>
      <c r="Y77" s="1" t="str">
        <f>VLOOKUP(A77,[1]Detalle!$D$2:$CR$484,93,FALSE)</f>
        <v>CMQ_TTE - QUILMES TTE</v>
      </c>
    </row>
    <row r="78" spans="1:25" ht="14.25" customHeight="1" x14ac:dyDescent="0.3">
      <c r="A78" s="1" t="s">
        <v>265</v>
      </c>
      <c r="B78" s="1" t="s">
        <v>328</v>
      </c>
      <c r="C78" s="1" t="s">
        <v>328</v>
      </c>
      <c r="D78" s="1" t="s">
        <v>329</v>
      </c>
      <c r="E78" s="6">
        <v>45859</v>
      </c>
      <c r="F78" s="1">
        <v>117765</v>
      </c>
      <c r="G78" s="1">
        <v>137765</v>
      </c>
      <c r="H78" s="1">
        <v>3374.6999999999989</v>
      </c>
      <c r="I78" s="1">
        <v>16625.3</v>
      </c>
      <c r="J78" s="1">
        <v>121139.7</v>
      </c>
      <c r="K78" s="1">
        <v>88</v>
      </c>
      <c r="L78" s="1">
        <v>35.038354838709672</v>
      </c>
      <c r="M78" s="1">
        <v>433.52783951166032</v>
      </c>
      <c r="N78" s="7">
        <v>45947</v>
      </c>
      <c r="O78" s="1">
        <v>20000</v>
      </c>
      <c r="P78" s="7">
        <v>46380.527839513888</v>
      </c>
      <c r="Q78" s="1" t="s">
        <v>330</v>
      </c>
      <c r="T78" s="1" t="s">
        <v>331</v>
      </c>
      <c r="U78" s="1" t="s">
        <v>332</v>
      </c>
      <c r="V78" s="1">
        <v>16</v>
      </c>
      <c r="W78" s="3">
        <v>3389.9</v>
      </c>
      <c r="X78" s="3">
        <v>54238.400000000001</v>
      </c>
      <c r="Y78" s="1" t="str">
        <f>VLOOKUP(A78,[1]Detalle!$D$2:$CR$484,93,FALSE)</f>
        <v>CCUDyAZA</v>
      </c>
    </row>
    <row r="79" spans="1:25" ht="14.25" customHeight="1" x14ac:dyDescent="0.3">
      <c r="A79" s="1" t="s">
        <v>265</v>
      </c>
      <c r="B79" s="1" t="s">
        <v>328</v>
      </c>
      <c r="C79" s="1" t="s">
        <v>328</v>
      </c>
      <c r="D79" s="1" t="s">
        <v>329</v>
      </c>
      <c r="E79" s="6">
        <v>45859</v>
      </c>
      <c r="F79" s="1">
        <v>117765</v>
      </c>
      <c r="G79" s="1">
        <v>137765</v>
      </c>
      <c r="H79" s="1">
        <v>3374.6999999999989</v>
      </c>
      <c r="I79" s="1">
        <v>16625.3</v>
      </c>
      <c r="J79" s="1">
        <v>121139.7</v>
      </c>
      <c r="K79" s="1">
        <v>88</v>
      </c>
      <c r="L79" s="1">
        <v>35.038354838709672</v>
      </c>
      <c r="M79" s="1">
        <v>433.52783951166032</v>
      </c>
      <c r="N79" s="7">
        <v>45947</v>
      </c>
      <c r="O79" s="1">
        <v>20000</v>
      </c>
      <c r="P79" s="7">
        <v>46380.527839513888</v>
      </c>
      <c r="Q79" s="1" t="s">
        <v>330</v>
      </c>
      <c r="T79" s="1" t="s">
        <v>333</v>
      </c>
      <c r="U79" s="1" t="s">
        <v>334</v>
      </c>
      <c r="V79" s="1">
        <v>1</v>
      </c>
      <c r="W79" s="3">
        <v>8513.2800000000007</v>
      </c>
      <c r="X79" s="3">
        <v>8513.2800000000007</v>
      </c>
      <c r="Y79" s="1" t="str">
        <f>VLOOKUP(A79,[1]Detalle!$D$2:$CR$484,93,FALSE)</f>
        <v>CCUDyAZA</v>
      </c>
    </row>
    <row r="80" spans="1:25" ht="14.25" customHeight="1" x14ac:dyDescent="0.3">
      <c r="A80" s="1" t="s">
        <v>274</v>
      </c>
      <c r="B80" s="1" t="s">
        <v>328</v>
      </c>
      <c r="C80" s="1" t="s">
        <v>328</v>
      </c>
      <c r="D80" s="1" t="s">
        <v>329</v>
      </c>
      <c r="E80" s="6">
        <v>45723</v>
      </c>
      <c r="F80" s="1">
        <v>11627.1</v>
      </c>
      <c r="G80" s="1">
        <v>31627.1</v>
      </c>
      <c r="H80" s="1">
        <v>18411.3</v>
      </c>
      <c r="I80" s="1">
        <v>1588.700000000001</v>
      </c>
      <c r="J80" s="1">
        <v>30038.400000000001</v>
      </c>
      <c r="K80" s="1">
        <v>224</v>
      </c>
      <c r="L80" s="1">
        <v>66.921503267973904</v>
      </c>
      <c r="M80" s="1">
        <v>19.32882523233015</v>
      </c>
      <c r="N80" s="7">
        <v>45947</v>
      </c>
      <c r="O80" s="1">
        <v>20000</v>
      </c>
      <c r="P80" s="7">
        <v>46265.186427395827</v>
      </c>
      <c r="Q80" s="1" t="s">
        <v>330</v>
      </c>
      <c r="T80" s="1" t="s">
        <v>331</v>
      </c>
      <c r="U80" s="1" t="s">
        <v>332</v>
      </c>
      <c r="V80" s="1">
        <v>16</v>
      </c>
      <c r="W80" s="3">
        <v>3389.9</v>
      </c>
      <c r="X80" s="3">
        <v>54238.400000000001</v>
      </c>
      <c r="Y80" s="1" t="str">
        <f>VLOOKUP(A80,[1]Detalle!$D$2:$CR$484,93,FALSE)</f>
        <v>JOHNSON - SC JOHNSON DE ARGENTINA SAIC</v>
      </c>
    </row>
    <row r="81" spans="1:25" ht="14.25" customHeight="1" x14ac:dyDescent="0.3">
      <c r="A81" s="1" t="s">
        <v>274</v>
      </c>
      <c r="B81" s="1" t="s">
        <v>328</v>
      </c>
      <c r="C81" s="1" t="s">
        <v>328</v>
      </c>
      <c r="D81" s="1" t="s">
        <v>329</v>
      </c>
      <c r="E81" s="6">
        <v>45723</v>
      </c>
      <c r="F81" s="1">
        <v>11627.1</v>
      </c>
      <c r="G81" s="1">
        <v>31627.1</v>
      </c>
      <c r="H81" s="1">
        <v>18411.3</v>
      </c>
      <c r="I81" s="1">
        <v>1588.700000000001</v>
      </c>
      <c r="J81" s="1">
        <v>30038.400000000001</v>
      </c>
      <c r="K81" s="1">
        <v>224</v>
      </c>
      <c r="L81" s="1">
        <v>66.921503267973904</v>
      </c>
      <c r="M81" s="1">
        <v>19.32882523233015</v>
      </c>
      <c r="N81" s="7">
        <v>45947</v>
      </c>
      <c r="O81" s="1">
        <v>20000</v>
      </c>
      <c r="P81" s="7">
        <v>46265.186427395827</v>
      </c>
      <c r="Q81" s="1" t="s">
        <v>330</v>
      </c>
      <c r="T81" s="1" t="s">
        <v>333</v>
      </c>
      <c r="U81" s="1" t="s">
        <v>334</v>
      </c>
      <c r="V81" s="1">
        <v>1</v>
      </c>
      <c r="W81" s="3">
        <v>8513.2800000000007</v>
      </c>
      <c r="X81" s="3">
        <v>8513.2800000000007</v>
      </c>
      <c r="Y81" s="1" t="str">
        <f>VLOOKUP(A81,[1]Detalle!$D$2:$CR$484,93,FALSE)</f>
        <v>JOHNSON - SC JOHNSON DE ARGENTINA SAIC</v>
      </c>
    </row>
    <row r="82" spans="1:25" ht="14.25" customHeight="1" x14ac:dyDescent="0.3">
      <c r="A82" s="1" t="s">
        <v>275</v>
      </c>
      <c r="B82" s="1" t="s">
        <v>328</v>
      </c>
      <c r="C82" s="1" t="s">
        <v>328</v>
      </c>
      <c r="D82" s="1" t="s">
        <v>329</v>
      </c>
      <c r="E82" s="6">
        <v>45736</v>
      </c>
      <c r="F82" s="1">
        <v>126999</v>
      </c>
      <c r="G82" s="1">
        <v>146999</v>
      </c>
      <c r="H82" s="1">
        <v>6493.4000000000005</v>
      </c>
      <c r="I82" s="1">
        <v>13506.6</v>
      </c>
      <c r="J82" s="1">
        <v>133492.4</v>
      </c>
      <c r="K82" s="1">
        <v>211</v>
      </c>
      <c r="L82" s="1">
        <v>29.333408360128612</v>
      </c>
      <c r="M82" s="1">
        <v>438.89065820679451</v>
      </c>
      <c r="N82" s="7">
        <v>45947</v>
      </c>
      <c r="O82" s="1">
        <v>20000</v>
      </c>
      <c r="P82" s="7">
        <v>46385.890658206023</v>
      </c>
      <c r="Q82" s="1" t="s">
        <v>330</v>
      </c>
      <c r="T82" s="1" t="s">
        <v>331</v>
      </c>
      <c r="U82" s="1" t="s">
        <v>332</v>
      </c>
      <c r="V82" s="1">
        <v>16</v>
      </c>
      <c r="W82" s="3">
        <v>3389.9</v>
      </c>
      <c r="X82" s="3">
        <v>54238.400000000001</v>
      </c>
      <c r="Y82" s="1" t="str">
        <f>VLOOKUP(A82,[1]Detalle!$D$2:$CR$484,93,FALSE)</f>
        <v>CCUDyAZA</v>
      </c>
    </row>
    <row r="83" spans="1:25" ht="14.25" customHeight="1" x14ac:dyDescent="0.3">
      <c r="A83" s="1" t="s">
        <v>275</v>
      </c>
      <c r="B83" s="1" t="s">
        <v>328</v>
      </c>
      <c r="C83" s="1" t="s">
        <v>328</v>
      </c>
      <c r="D83" s="1" t="s">
        <v>329</v>
      </c>
      <c r="E83" s="6">
        <v>45736</v>
      </c>
      <c r="F83" s="1">
        <v>126999</v>
      </c>
      <c r="G83" s="1">
        <v>146999</v>
      </c>
      <c r="H83" s="1">
        <v>6493.4000000000005</v>
      </c>
      <c r="I83" s="1">
        <v>13506.6</v>
      </c>
      <c r="J83" s="1">
        <v>133492.4</v>
      </c>
      <c r="K83" s="1">
        <v>211</v>
      </c>
      <c r="L83" s="1">
        <v>29.333408360128612</v>
      </c>
      <c r="M83" s="1">
        <v>438.89065820679451</v>
      </c>
      <c r="N83" s="7">
        <v>45947</v>
      </c>
      <c r="O83" s="1">
        <v>20000</v>
      </c>
      <c r="P83" s="7">
        <v>46385.890658206023</v>
      </c>
      <c r="Q83" s="1" t="s">
        <v>330</v>
      </c>
      <c r="T83" s="1" t="s">
        <v>333</v>
      </c>
      <c r="U83" s="1" t="s">
        <v>334</v>
      </c>
      <c r="V83" s="1">
        <v>1</v>
      </c>
      <c r="W83" s="3">
        <v>8513.2800000000007</v>
      </c>
      <c r="X83" s="3">
        <v>8513.2800000000007</v>
      </c>
      <c r="Y83" s="1" t="str">
        <f>VLOOKUP(A83,[1]Detalle!$D$2:$CR$484,93,FALSE)</f>
        <v>CCUDyAZA</v>
      </c>
    </row>
    <row r="84" spans="1:25" ht="14.25" customHeight="1" x14ac:dyDescent="0.3">
      <c r="A84" s="1" t="s">
        <v>128</v>
      </c>
      <c r="B84" s="1" t="s">
        <v>343</v>
      </c>
      <c r="C84" s="1" t="s">
        <v>343</v>
      </c>
      <c r="D84" s="1" t="s">
        <v>344</v>
      </c>
      <c r="E84" s="6">
        <v>45743</v>
      </c>
      <c r="F84" s="1">
        <v>315257</v>
      </c>
      <c r="G84" s="1">
        <v>335257</v>
      </c>
      <c r="H84" s="1">
        <v>0</v>
      </c>
      <c r="I84" s="1">
        <v>20000</v>
      </c>
      <c r="J84" s="1">
        <v>315257</v>
      </c>
      <c r="K84" s="1">
        <v>204</v>
      </c>
      <c r="L84" s="1">
        <v>4.0251111111111113</v>
      </c>
      <c r="M84" s="1">
        <v>200</v>
      </c>
      <c r="N84" s="7">
        <v>45947</v>
      </c>
      <c r="O84" s="1">
        <v>20000</v>
      </c>
      <c r="P84" s="7">
        <v>46147</v>
      </c>
      <c r="Q84" s="1" t="s">
        <v>330</v>
      </c>
      <c r="T84" s="1" t="s">
        <v>345</v>
      </c>
      <c r="U84" s="1" t="s">
        <v>346</v>
      </c>
      <c r="V84" s="1">
        <v>1</v>
      </c>
      <c r="W84" s="3">
        <v>10535.04</v>
      </c>
      <c r="X84" s="3">
        <v>10535.04</v>
      </c>
      <c r="Y84" s="1" t="str">
        <f>VLOOKUP(A84,[1]Detalle!$D$2:$CR$484,93,FALSE)</f>
        <v>Arcor S.A.I.C.</v>
      </c>
    </row>
    <row r="85" spans="1:25" ht="14.25" customHeight="1" x14ac:dyDescent="0.3">
      <c r="A85" s="1" t="s">
        <v>128</v>
      </c>
      <c r="B85" s="1" t="s">
        <v>343</v>
      </c>
      <c r="C85" s="1" t="s">
        <v>343</v>
      </c>
      <c r="D85" s="1" t="s">
        <v>344</v>
      </c>
      <c r="E85" s="6">
        <v>45743</v>
      </c>
      <c r="F85" s="1">
        <v>315257</v>
      </c>
      <c r="G85" s="1">
        <v>335257</v>
      </c>
      <c r="H85" s="1">
        <v>0</v>
      </c>
      <c r="I85" s="1">
        <v>20000</v>
      </c>
      <c r="J85" s="1">
        <v>315257</v>
      </c>
      <c r="K85" s="1">
        <v>204</v>
      </c>
      <c r="L85" s="1">
        <v>4.0251111111111113</v>
      </c>
      <c r="M85" s="1">
        <v>200</v>
      </c>
      <c r="N85" s="7">
        <v>45947</v>
      </c>
      <c r="O85" s="1">
        <v>20000</v>
      </c>
      <c r="P85" s="7">
        <v>46147</v>
      </c>
      <c r="Q85" s="1" t="s">
        <v>330</v>
      </c>
      <c r="T85" s="1" t="s">
        <v>347</v>
      </c>
      <c r="U85" s="1" t="s">
        <v>348</v>
      </c>
      <c r="V85" s="1">
        <v>1</v>
      </c>
      <c r="W85" s="3">
        <v>19410.240000000002</v>
      </c>
      <c r="X85" s="3">
        <v>19410.240000000002</v>
      </c>
      <c r="Y85" s="1" t="str">
        <f>VLOOKUP(A85,[1]Detalle!$D$2:$CR$484,93,FALSE)</f>
        <v>Arcor S.A.I.C.</v>
      </c>
    </row>
    <row r="86" spans="1:25" ht="14.25" customHeight="1" x14ac:dyDescent="0.3">
      <c r="A86" s="1" t="s">
        <v>207</v>
      </c>
      <c r="B86" s="1" t="s">
        <v>343</v>
      </c>
      <c r="C86" s="1" t="s">
        <v>343</v>
      </c>
      <c r="D86" s="1" t="s">
        <v>344</v>
      </c>
      <c r="E86" s="6">
        <v>45786</v>
      </c>
      <c r="F86" s="1">
        <v>331282</v>
      </c>
      <c r="G86" s="1">
        <v>351282</v>
      </c>
      <c r="H86" s="1">
        <v>13312.400000000011</v>
      </c>
      <c r="I86" s="1">
        <v>6687.5999999999931</v>
      </c>
      <c r="J86" s="1">
        <v>344594.4</v>
      </c>
      <c r="K86" s="1">
        <v>161</v>
      </c>
      <c r="L86" s="1">
        <v>86.162316176470569</v>
      </c>
      <c r="M86" s="1">
        <v>80.879751209398634</v>
      </c>
      <c r="N86" s="7">
        <v>45947</v>
      </c>
      <c r="O86" s="1">
        <v>20000</v>
      </c>
      <c r="P86" s="7">
        <v>46027.879751203713</v>
      </c>
      <c r="Q86" s="1" t="s">
        <v>330</v>
      </c>
      <c r="T86" s="1" t="s">
        <v>345</v>
      </c>
      <c r="U86" s="1" t="s">
        <v>346</v>
      </c>
      <c r="V86" s="1">
        <v>1</v>
      </c>
      <c r="W86" s="3">
        <v>10535.04</v>
      </c>
      <c r="X86" s="3">
        <v>10535.04</v>
      </c>
      <c r="Y86" s="1" t="str">
        <f>VLOOKUP(A86,[1]Detalle!$D$2:$CR$484,93,FALSE)</f>
        <v>Arcor S.A.I.C.</v>
      </c>
    </row>
    <row r="87" spans="1:25" ht="14.25" customHeight="1" x14ac:dyDescent="0.3">
      <c r="A87" s="1" t="s">
        <v>207</v>
      </c>
      <c r="B87" s="1" t="s">
        <v>343</v>
      </c>
      <c r="C87" s="1" t="s">
        <v>343</v>
      </c>
      <c r="D87" s="1" t="s">
        <v>344</v>
      </c>
      <c r="E87" s="6">
        <v>45786</v>
      </c>
      <c r="F87" s="1">
        <v>331282</v>
      </c>
      <c r="G87" s="1">
        <v>351282</v>
      </c>
      <c r="H87" s="1">
        <v>13312.400000000011</v>
      </c>
      <c r="I87" s="1">
        <v>6687.5999999999931</v>
      </c>
      <c r="J87" s="1">
        <v>344594.4</v>
      </c>
      <c r="K87" s="1">
        <v>161</v>
      </c>
      <c r="L87" s="1">
        <v>86.162316176470569</v>
      </c>
      <c r="M87" s="1">
        <v>80.879751209398634</v>
      </c>
      <c r="N87" s="7">
        <v>45947</v>
      </c>
      <c r="O87" s="1">
        <v>20000</v>
      </c>
      <c r="P87" s="7">
        <v>46027.879751203713</v>
      </c>
      <c r="Q87" s="1" t="s">
        <v>330</v>
      </c>
      <c r="T87" s="1" t="s">
        <v>347</v>
      </c>
      <c r="U87" s="1" t="s">
        <v>348</v>
      </c>
      <c r="V87" s="1">
        <v>1</v>
      </c>
      <c r="W87" s="3">
        <v>19410.240000000002</v>
      </c>
      <c r="X87" s="3">
        <v>19410.240000000002</v>
      </c>
      <c r="Y87" s="1" t="str">
        <f>VLOOKUP(A87,[1]Detalle!$D$2:$CR$484,93,FALSE)</f>
        <v>Arcor S.A.I.C.</v>
      </c>
    </row>
    <row r="88" spans="1:25" ht="14.25" customHeight="1" x14ac:dyDescent="0.3">
      <c r="A88" s="1" t="s">
        <v>27</v>
      </c>
      <c r="B88" s="1" t="s">
        <v>343</v>
      </c>
      <c r="C88" s="1" t="s">
        <v>343</v>
      </c>
      <c r="D88" s="1" t="s">
        <v>344</v>
      </c>
      <c r="E88" s="6">
        <v>45827</v>
      </c>
      <c r="F88" s="1">
        <v>68428.5</v>
      </c>
      <c r="G88" s="1">
        <v>88428.5</v>
      </c>
      <c r="H88" s="1">
        <v>5182.2</v>
      </c>
      <c r="I88" s="1">
        <v>14817.8</v>
      </c>
      <c r="J88" s="1">
        <v>73610.7</v>
      </c>
      <c r="K88" s="1">
        <v>120</v>
      </c>
      <c r="L88" s="1">
        <v>48.244391143911422</v>
      </c>
      <c r="M88" s="1">
        <v>343.1237698274864</v>
      </c>
      <c r="N88" s="7">
        <v>45947</v>
      </c>
      <c r="O88" s="1">
        <v>20000</v>
      </c>
      <c r="P88" s="7">
        <v>46290.123769826387</v>
      </c>
      <c r="Q88" s="1" t="s">
        <v>330</v>
      </c>
      <c r="T88" s="1" t="s">
        <v>345</v>
      </c>
      <c r="U88" s="1" t="s">
        <v>346</v>
      </c>
      <c r="V88" s="1">
        <v>1</v>
      </c>
      <c r="W88" s="3">
        <v>10535.04</v>
      </c>
      <c r="X88" s="3">
        <v>10535.04</v>
      </c>
      <c r="Y88" s="1" t="str">
        <f>VLOOKUP(A88,[1]Detalle!$D$2:$CR$484,93,FALSE)</f>
        <v>CMQ_TTE - QUILMES TTE</v>
      </c>
    </row>
    <row r="89" spans="1:25" ht="14.25" customHeight="1" x14ac:dyDescent="0.3">
      <c r="A89" s="1" t="s">
        <v>27</v>
      </c>
      <c r="B89" s="1" t="s">
        <v>343</v>
      </c>
      <c r="C89" s="1" t="s">
        <v>343</v>
      </c>
      <c r="D89" s="1" t="s">
        <v>344</v>
      </c>
      <c r="E89" s="6">
        <v>45827</v>
      </c>
      <c r="F89" s="1">
        <v>68428.5</v>
      </c>
      <c r="G89" s="1">
        <v>88428.5</v>
      </c>
      <c r="H89" s="1">
        <v>5182.2</v>
      </c>
      <c r="I89" s="1">
        <v>14817.8</v>
      </c>
      <c r="J89" s="1">
        <v>73610.7</v>
      </c>
      <c r="K89" s="1">
        <v>120</v>
      </c>
      <c r="L89" s="1">
        <v>48.244391143911422</v>
      </c>
      <c r="M89" s="1">
        <v>343.1237698274864</v>
      </c>
      <c r="N89" s="7">
        <v>45947</v>
      </c>
      <c r="O89" s="1">
        <v>20000</v>
      </c>
      <c r="P89" s="7">
        <v>46290.123769826387</v>
      </c>
      <c r="Q89" s="1" t="s">
        <v>330</v>
      </c>
      <c r="T89" s="1" t="s">
        <v>347</v>
      </c>
      <c r="U89" s="1" t="s">
        <v>348</v>
      </c>
      <c r="V89" s="1">
        <v>1</v>
      </c>
      <c r="W89" s="3">
        <v>19410.240000000002</v>
      </c>
      <c r="X89" s="3">
        <v>19410.240000000002</v>
      </c>
      <c r="Y89" s="1" t="str">
        <f>VLOOKUP(A89,[1]Detalle!$D$2:$CR$484,93,FALSE)</f>
        <v>CMQ_TTE - QUILMES TTE</v>
      </c>
    </row>
    <row r="90" spans="1:25" ht="14.25" customHeight="1" x14ac:dyDescent="0.3">
      <c r="A90" s="1" t="s">
        <v>208</v>
      </c>
      <c r="B90" s="1" t="s">
        <v>343</v>
      </c>
      <c r="C90" s="1" t="s">
        <v>343</v>
      </c>
      <c r="D90" s="1" t="s">
        <v>344</v>
      </c>
      <c r="E90" s="6">
        <v>45898</v>
      </c>
      <c r="F90" s="1">
        <v>279340</v>
      </c>
      <c r="G90" s="1">
        <v>299340</v>
      </c>
      <c r="H90" s="1">
        <v>2584.1999999999998</v>
      </c>
      <c r="I90" s="1">
        <v>17415.8</v>
      </c>
      <c r="J90" s="1">
        <v>281924.2</v>
      </c>
      <c r="K90" s="1">
        <v>49</v>
      </c>
      <c r="L90" s="1">
        <v>86.131808118081167</v>
      </c>
      <c r="M90" s="1">
        <v>330.22761396176759</v>
      </c>
      <c r="N90" s="7">
        <v>45947</v>
      </c>
      <c r="O90" s="1">
        <v>20000</v>
      </c>
      <c r="P90" s="7">
        <v>46277.227613958326</v>
      </c>
      <c r="Q90" s="1" t="s">
        <v>330</v>
      </c>
      <c r="T90" s="1" t="s">
        <v>345</v>
      </c>
      <c r="U90" s="1" t="s">
        <v>346</v>
      </c>
      <c r="V90" s="1">
        <v>1</v>
      </c>
      <c r="W90" s="3">
        <v>10535.04</v>
      </c>
      <c r="X90" s="3">
        <v>10535.04</v>
      </c>
      <c r="Y90" s="1" t="str">
        <f>VLOOKUP(A90,[1]Detalle!$D$2:$CR$484,93,FALSE)</f>
        <v>Arcor S.A.I.C.</v>
      </c>
    </row>
    <row r="91" spans="1:25" ht="14.25" customHeight="1" x14ac:dyDescent="0.3">
      <c r="A91" s="1" t="s">
        <v>208</v>
      </c>
      <c r="B91" s="1" t="s">
        <v>343</v>
      </c>
      <c r="C91" s="1" t="s">
        <v>343</v>
      </c>
      <c r="D91" s="1" t="s">
        <v>344</v>
      </c>
      <c r="E91" s="6">
        <v>45898</v>
      </c>
      <c r="F91" s="1">
        <v>279340</v>
      </c>
      <c r="G91" s="1">
        <v>299340</v>
      </c>
      <c r="H91" s="1">
        <v>2584.1999999999998</v>
      </c>
      <c r="I91" s="1">
        <v>17415.8</v>
      </c>
      <c r="J91" s="1">
        <v>281924.2</v>
      </c>
      <c r="K91" s="1">
        <v>49</v>
      </c>
      <c r="L91" s="1">
        <v>86.131808118081167</v>
      </c>
      <c r="M91" s="1">
        <v>330.22761396176759</v>
      </c>
      <c r="N91" s="7">
        <v>45947</v>
      </c>
      <c r="O91" s="1">
        <v>20000</v>
      </c>
      <c r="P91" s="7">
        <v>46277.227613958326</v>
      </c>
      <c r="Q91" s="1" t="s">
        <v>330</v>
      </c>
      <c r="T91" s="1" t="s">
        <v>347</v>
      </c>
      <c r="U91" s="1" t="s">
        <v>348</v>
      </c>
      <c r="V91" s="1">
        <v>1</v>
      </c>
      <c r="W91" s="3">
        <v>19410.240000000002</v>
      </c>
      <c r="X91" s="3">
        <v>19410.240000000002</v>
      </c>
      <c r="Y91" s="1" t="str">
        <f>VLOOKUP(A91,[1]Detalle!$D$2:$CR$484,93,FALSE)</f>
        <v>Arcor S.A.I.C.</v>
      </c>
    </row>
    <row r="92" spans="1:25" ht="14.25" customHeight="1" x14ac:dyDescent="0.3">
      <c r="A92" s="1" t="s">
        <v>40</v>
      </c>
      <c r="B92" s="1" t="s">
        <v>343</v>
      </c>
      <c r="C92" s="1" t="s">
        <v>343</v>
      </c>
      <c r="D92" s="1" t="s">
        <v>344</v>
      </c>
      <c r="E92" s="1" t="s">
        <v>337</v>
      </c>
      <c r="L92" s="1">
        <v>51.09303703703705</v>
      </c>
      <c r="N92" s="7">
        <v>45947</v>
      </c>
      <c r="O92" s="1">
        <v>20000</v>
      </c>
      <c r="P92" s="7">
        <v>46338.442771064823</v>
      </c>
      <c r="Q92" s="1" t="s">
        <v>330</v>
      </c>
      <c r="T92" s="1" t="s">
        <v>345</v>
      </c>
      <c r="U92" s="1" t="s">
        <v>346</v>
      </c>
      <c r="V92" s="1">
        <v>1</v>
      </c>
      <c r="W92" s="3">
        <v>10535.04</v>
      </c>
      <c r="X92" s="3">
        <v>10535.04</v>
      </c>
      <c r="Y92" s="1" t="str">
        <f>VLOOKUP(A92,[1]Detalle!$D$2:$CR$484,93,FALSE)</f>
        <v>CMQ_TTE - QUILMES TTE</v>
      </c>
    </row>
    <row r="93" spans="1:25" ht="14.25" customHeight="1" x14ac:dyDescent="0.3">
      <c r="A93" s="1" t="s">
        <v>40</v>
      </c>
      <c r="B93" s="1" t="s">
        <v>343</v>
      </c>
      <c r="C93" s="1" t="s">
        <v>343</v>
      </c>
      <c r="D93" s="1" t="s">
        <v>344</v>
      </c>
      <c r="E93" s="1" t="s">
        <v>337</v>
      </c>
      <c r="L93" s="1">
        <v>51.09303703703705</v>
      </c>
      <c r="N93" s="7">
        <v>45947</v>
      </c>
      <c r="O93" s="1">
        <v>20000</v>
      </c>
      <c r="P93" s="7">
        <v>46338.442771064823</v>
      </c>
      <c r="Q93" s="1" t="s">
        <v>330</v>
      </c>
      <c r="T93" s="1" t="s">
        <v>347</v>
      </c>
      <c r="U93" s="1" t="s">
        <v>348</v>
      </c>
      <c r="V93" s="1">
        <v>1</v>
      </c>
      <c r="W93" s="3">
        <v>19410.240000000002</v>
      </c>
      <c r="X93" s="3">
        <v>19410.240000000002</v>
      </c>
      <c r="Y93" s="1" t="str">
        <f>VLOOKUP(A93,[1]Detalle!$D$2:$CR$484,93,FALSE)</f>
        <v>CMQ_TTE - QUILMES TTE</v>
      </c>
    </row>
    <row r="94" spans="1:25" ht="14.25" customHeight="1" x14ac:dyDescent="0.3">
      <c r="A94" s="1" t="s">
        <v>42</v>
      </c>
      <c r="B94" s="1" t="s">
        <v>343</v>
      </c>
      <c r="C94" s="1" t="s">
        <v>343</v>
      </c>
      <c r="D94" s="1" t="s">
        <v>344</v>
      </c>
      <c r="E94" s="6">
        <v>45461</v>
      </c>
      <c r="F94" s="1">
        <v>38855.1</v>
      </c>
      <c r="G94" s="1">
        <v>58855.1</v>
      </c>
      <c r="H94" s="1">
        <v>22989.899999999991</v>
      </c>
      <c r="I94" s="1">
        <v>-2989.899999999991</v>
      </c>
      <c r="J94" s="1">
        <v>61844.999999999993</v>
      </c>
      <c r="K94" s="1">
        <v>486</v>
      </c>
      <c r="L94" s="1">
        <v>45.422519083969469</v>
      </c>
      <c r="M94" s="1">
        <v>-63.205642477783549</v>
      </c>
      <c r="N94" s="7">
        <v>45947</v>
      </c>
      <c r="O94" s="1">
        <v>20000</v>
      </c>
      <c r="P94" s="7">
        <v>46387.310233854158</v>
      </c>
      <c r="Q94" s="1" t="s">
        <v>330</v>
      </c>
      <c r="T94" s="1" t="s">
        <v>345</v>
      </c>
      <c r="U94" s="1" t="s">
        <v>346</v>
      </c>
      <c r="V94" s="1">
        <v>1</v>
      </c>
      <c r="W94" s="3">
        <v>10535.04</v>
      </c>
      <c r="X94" s="3">
        <v>10535.04</v>
      </c>
      <c r="Y94" s="1" t="str">
        <f>VLOOKUP(A94,[1]Detalle!$D$2:$CR$484,93,FALSE)</f>
        <v>CMQ_TTE - QUILMES TTE</v>
      </c>
    </row>
    <row r="95" spans="1:25" ht="14.25" customHeight="1" x14ac:dyDescent="0.3">
      <c r="A95" s="1" t="s">
        <v>42</v>
      </c>
      <c r="B95" s="1" t="s">
        <v>343</v>
      </c>
      <c r="C95" s="1" t="s">
        <v>343</v>
      </c>
      <c r="D95" s="1" t="s">
        <v>344</v>
      </c>
      <c r="E95" s="6">
        <v>45461</v>
      </c>
      <c r="F95" s="1">
        <v>38855.1</v>
      </c>
      <c r="G95" s="1">
        <v>58855.1</v>
      </c>
      <c r="H95" s="1">
        <v>22989.899999999991</v>
      </c>
      <c r="I95" s="1">
        <v>-2989.899999999991</v>
      </c>
      <c r="J95" s="1">
        <v>61844.999999999993</v>
      </c>
      <c r="K95" s="1">
        <v>486</v>
      </c>
      <c r="L95" s="1">
        <v>45.422519083969469</v>
      </c>
      <c r="M95" s="1">
        <v>-63.205642477783549</v>
      </c>
      <c r="N95" s="7">
        <v>45947</v>
      </c>
      <c r="O95" s="1">
        <v>20000</v>
      </c>
      <c r="P95" s="7">
        <v>46387.310233854158</v>
      </c>
      <c r="Q95" s="1" t="s">
        <v>330</v>
      </c>
      <c r="T95" s="1" t="s">
        <v>347</v>
      </c>
      <c r="U95" s="1" t="s">
        <v>348</v>
      </c>
      <c r="V95" s="1">
        <v>1</v>
      </c>
      <c r="W95" s="3">
        <v>19410.240000000002</v>
      </c>
      <c r="X95" s="3">
        <v>19410.240000000002</v>
      </c>
      <c r="Y95" s="1" t="str">
        <f>VLOOKUP(A95,[1]Detalle!$D$2:$CR$484,93,FALSE)</f>
        <v>CMQ_TTE - QUILMES TTE</v>
      </c>
    </row>
    <row r="96" spans="1:25" ht="14.25" customHeight="1" x14ac:dyDescent="0.3">
      <c r="A96" s="1" t="s">
        <v>129</v>
      </c>
      <c r="B96" s="1" t="s">
        <v>343</v>
      </c>
      <c r="C96" s="1" t="s">
        <v>343</v>
      </c>
      <c r="D96" s="1" t="s">
        <v>344</v>
      </c>
      <c r="E96" s="6">
        <v>45882</v>
      </c>
      <c r="F96" s="1">
        <v>289935</v>
      </c>
      <c r="G96" s="1">
        <v>309935</v>
      </c>
      <c r="H96" s="1">
        <v>2579.900000000001</v>
      </c>
      <c r="I96" s="1">
        <v>17420.099999999999</v>
      </c>
      <c r="J96" s="1">
        <v>292514.90000000002</v>
      </c>
      <c r="K96" s="1">
        <v>65</v>
      </c>
      <c r="L96" s="1">
        <v>56.324626865671632</v>
      </c>
      <c r="M96" s="1">
        <v>438.89549982557452</v>
      </c>
      <c r="N96" s="7">
        <v>45947</v>
      </c>
      <c r="O96" s="1">
        <v>20000</v>
      </c>
      <c r="P96" s="7">
        <v>46385.895499826387</v>
      </c>
      <c r="Q96" s="1" t="s">
        <v>330</v>
      </c>
      <c r="T96" s="1" t="s">
        <v>345</v>
      </c>
      <c r="U96" s="1" t="s">
        <v>346</v>
      </c>
      <c r="V96" s="1">
        <v>1</v>
      </c>
      <c r="W96" s="3">
        <v>10535.04</v>
      </c>
      <c r="X96" s="3">
        <v>10535.04</v>
      </c>
      <c r="Y96" s="1" t="str">
        <f>VLOOKUP(A96,[1]Detalle!$D$2:$CR$484,93,FALSE)</f>
        <v>Alfavinil SA</v>
      </c>
    </row>
    <row r="97" spans="1:25" ht="14.25" customHeight="1" x14ac:dyDescent="0.3">
      <c r="A97" s="1" t="s">
        <v>129</v>
      </c>
      <c r="B97" s="1" t="s">
        <v>343</v>
      </c>
      <c r="C97" s="1" t="s">
        <v>343</v>
      </c>
      <c r="D97" s="1" t="s">
        <v>344</v>
      </c>
      <c r="E97" s="6">
        <v>45882</v>
      </c>
      <c r="F97" s="1">
        <v>289935</v>
      </c>
      <c r="G97" s="1">
        <v>309935</v>
      </c>
      <c r="H97" s="1">
        <v>2579.900000000001</v>
      </c>
      <c r="I97" s="1">
        <v>17420.099999999999</v>
      </c>
      <c r="J97" s="1">
        <v>292514.90000000002</v>
      </c>
      <c r="K97" s="1">
        <v>65</v>
      </c>
      <c r="L97" s="1">
        <v>56.324626865671632</v>
      </c>
      <c r="M97" s="1">
        <v>438.89549982557452</v>
      </c>
      <c r="N97" s="7">
        <v>45947</v>
      </c>
      <c r="O97" s="1">
        <v>20000</v>
      </c>
      <c r="P97" s="7">
        <v>46385.895499826387</v>
      </c>
      <c r="Q97" s="1" t="s">
        <v>330</v>
      </c>
      <c r="T97" s="1" t="s">
        <v>347</v>
      </c>
      <c r="U97" s="1" t="s">
        <v>348</v>
      </c>
      <c r="V97" s="1">
        <v>1</v>
      </c>
      <c r="W97" s="3">
        <v>19410.240000000002</v>
      </c>
      <c r="X97" s="3">
        <v>19410.240000000002</v>
      </c>
      <c r="Y97" s="1" t="str">
        <f>VLOOKUP(A97,[1]Detalle!$D$2:$CR$484,93,FALSE)</f>
        <v>Alfavinil SA</v>
      </c>
    </row>
    <row r="98" spans="1:25" ht="14.25" customHeight="1" x14ac:dyDescent="0.3">
      <c r="A98" s="1" t="s">
        <v>52</v>
      </c>
      <c r="B98" s="1" t="s">
        <v>343</v>
      </c>
      <c r="C98" s="1" t="s">
        <v>343</v>
      </c>
      <c r="D98" s="1" t="s">
        <v>344</v>
      </c>
      <c r="E98" s="6">
        <v>45545</v>
      </c>
      <c r="F98" s="1">
        <v>42714.2</v>
      </c>
      <c r="G98" s="1">
        <v>62714.2</v>
      </c>
      <c r="H98" s="1">
        <v>21856.560000000001</v>
      </c>
      <c r="I98" s="1">
        <v>-1856.5599999999979</v>
      </c>
      <c r="J98" s="1">
        <v>64570.759999999987</v>
      </c>
      <c r="K98" s="1">
        <v>402</v>
      </c>
      <c r="L98" s="1">
        <v>53.502481203007598</v>
      </c>
      <c r="M98" s="1">
        <v>-34.147053333186882</v>
      </c>
      <c r="N98" s="7">
        <v>45947</v>
      </c>
      <c r="O98" s="1">
        <v>20000</v>
      </c>
      <c r="P98" s="7">
        <v>46320.814439074071</v>
      </c>
      <c r="Q98" s="1" t="s">
        <v>330</v>
      </c>
      <c r="T98" s="1" t="s">
        <v>345</v>
      </c>
      <c r="U98" s="1" t="s">
        <v>346</v>
      </c>
      <c r="V98" s="1">
        <v>1</v>
      </c>
      <c r="W98" s="3">
        <v>10535.04</v>
      </c>
      <c r="X98" s="3">
        <v>10535.04</v>
      </c>
      <c r="Y98" s="1" t="str">
        <f>VLOOKUP(A98,[1]Detalle!$D$2:$CR$484,93,FALSE)</f>
        <v>CMQ_TTE - QUILMES TTE</v>
      </c>
    </row>
    <row r="99" spans="1:25" ht="14.25" customHeight="1" x14ac:dyDescent="0.3">
      <c r="A99" s="1" t="s">
        <v>52</v>
      </c>
      <c r="B99" s="1" t="s">
        <v>343</v>
      </c>
      <c r="C99" s="1" t="s">
        <v>343</v>
      </c>
      <c r="D99" s="1" t="s">
        <v>344</v>
      </c>
      <c r="E99" s="6">
        <v>45545</v>
      </c>
      <c r="F99" s="1">
        <v>42714.2</v>
      </c>
      <c r="G99" s="1">
        <v>62714.2</v>
      </c>
      <c r="H99" s="1">
        <v>21856.560000000001</v>
      </c>
      <c r="I99" s="1">
        <v>-1856.5599999999979</v>
      </c>
      <c r="J99" s="1">
        <v>64570.759999999987</v>
      </c>
      <c r="K99" s="1">
        <v>402</v>
      </c>
      <c r="L99" s="1">
        <v>53.502481203007598</v>
      </c>
      <c r="M99" s="1">
        <v>-34.147053333186882</v>
      </c>
      <c r="N99" s="7">
        <v>45947</v>
      </c>
      <c r="O99" s="1">
        <v>20000</v>
      </c>
      <c r="P99" s="7">
        <v>46320.814439074071</v>
      </c>
      <c r="Q99" s="1" t="s">
        <v>330</v>
      </c>
      <c r="T99" s="1" t="s">
        <v>347</v>
      </c>
      <c r="U99" s="1" t="s">
        <v>348</v>
      </c>
      <c r="V99" s="1">
        <v>1</v>
      </c>
      <c r="W99" s="3">
        <v>19410.240000000002</v>
      </c>
      <c r="X99" s="3">
        <v>19410.240000000002</v>
      </c>
      <c r="Y99" s="1" t="str">
        <f>VLOOKUP(A99,[1]Detalle!$D$2:$CR$484,93,FALSE)</f>
        <v>CMQ_TTE - QUILMES TTE</v>
      </c>
    </row>
    <row r="100" spans="1:25" ht="14.25" customHeight="1" x14ac:dyDescent="0.3">
      <c r="A100" s="1" t="s">
        <v>132</v>
      </c>
      <c r="B100" s="1" t="s">
        <v>343</v>
      </c>
      <c r="C100" s="1" t="s">
        <v>343</v>
      </c>
      <c r="D100" s="1" t="s">
        <v>344</v>
      </c>
      <c r="E100" s="6">
        <v>45546</v>
      </c>
      <c r="F100" s="1">
        <v>235609</v>
      </c>
      <c r="G100" s="1">
        <v>255609</v>
      </c>
      <c r="H100" s="1">
        <v>21825.48</v>
      </c>
      <c r="I100" s="1">
        <v>-1825.4799999999959</v>
      </c>
      <c r="J100" s="1">
        <v>257434.48</v>
      </c>
      <c r="K100" s="1">
        <v>401</v>
      </c>
      <c r="L100" s="1">
        <v>61.857388059701528</v>
      </c>
      <c r="M100" s="1">
        <v>-33.539582176428581</v>
      </c>
      <c r="N100" s="7">
        <v>45947</v>
      </c>
      <c r="O100" s="1">
        <v>20000</v>
      </c>
      <c r="P100" s="7">
        <v>46270.3243534375</v>
      </c>
      <c r="Q100" s="1" t="s">
        <v>330</v>
      </c>
      <c r="T100" s="1" t="s">
        <v>345</v>
      </c>
      <c r="U100" s="1" t="s">
        <v>346</v>
      </c>
      <c r="V100" s="1">
        <v>1</v>
      </c>
      <c r="W100" s="3">
        <v>10535.04</v>
      </c>
      <c r="X100" s="3">
        <v>10535.04</v>
      </c>
      <c r="Y100" s="1" t="str">
        <f>VLOOKUP(A100,[1]Detalle!$D$2:$CR$484,93,FALSE)</f>
        <v>Topacio</v>
      </c>
    </row>
    <row r="101" spans="1:25" ht="14.25" customHeight="1" x14ac:dyDescent="0.3">
      <c r="A101" s="1" t="s">
        <v>132</v>
      </c>
      <c r="B101" s="1" t="s">
        <v>343</v>
      </c>
      <c r="C101" s="1" t="s">
        <v>343</v>
      </c>
      <c r="D101" s="1" t="s">
        <v>344</v>
      </c>
      <c r="E101" s="6">
        <v>45546</v>
      </c>
      <c r="F101" s="1">
        <v>235609</v>
      </c>
      <c r="G101" s="1">
        <v>255609</v>
      </c>
      <c r="H101" s="1">
        <v>21825.48</v>
      </c>
      <c r="I101" s="1">
        <v>-1825.4799999999959</v>
      </c>
      <c r="J101" s="1">
        <v>257434.48</v>
      </c>
      <c r="K101" s="1">
        <v>401</v>
      </c>
      <c r="L101" s="1">
        <v>61.857388059701528</v>
      </c>
      <c r="M101" s="1">
        <v>-33.539582176428581</v>
      </c>
      <c r="N101" s="7">
        <v>45947</v>
      </c>
      <c r="O101" s="1">
        <v>20000</v>
      </c>
      <c r="P101" s="7">
        <v>46270.3243534375</v>
      </c>
      <c r="Q101" s="1" t="s">
        <v>330</v>
      </c>
      <c r="T101" s="1" t="s">
        <v>347</v>
      </c>
      <c r="U101" s="1" t="s">
        <v>348</v>
      </c>
      <c r="V101" s="1">
        <v>1</v>
      </c>
      <c r="W101" s="3">
        <v>19410.240000000002</v>
      </c>
      <c r="X101" s="3">
        <v>19410.240000000002</v>
      </c>
      <c r="Y101" s="1" t="str">
        <f>VLOOKUP(A101,[1]Detalle!$D$2:$CR$484,93,FALSE)</f>
        <v>Topacio</v>
      </c>
    </row>
    <row r="102" spans="1:25" ht="14.25" customHeight="1" x14ac:dyDescent="0.3">
      <c r="A102" s="1" t="s">
        <v>138</v>
      </c>
      <c r="B102" s="1" t="s">
        <v>343</v>
      </c>
      <c r="C102" s="1" t="s">
        <v>343</v>
      </c>
      <c r="D102" s="1" t="s">
        <v>344</v>
      </c>
      <c r="E102" s="6">
        <v>45840</v>
      </c>
      <c r="F102" s="1">
        <v>40688</v>
      </c>
      <c r="G102" s="1">
        <v>60688</v>
      </c>
      <c r="H102" s="1">
        <v>18559.899999999991</v>
      </c>
      <c r="I102" s="1">
        <v>1440.100000000006</v>
      </c>
      <c r="J102" s="1">
        <v>59247.899999999987</v>
      </c>
      <c r="K102" s="1">
        <v>107</v>
      </c>
      <c r="L102" s="1">
        <v>129.25862179487169</v>
      </c>
      <c r="M102" s="1">
        <v>8.3023453790160868</v>
      </c>
      <c r="N102" s="7">
        <v>45947</v>
      </c>
      <c r="O102" s="1">
        <v>20000</v>
      </c>
      <c r="P102" s="7">
        <v>46110.030902141203</v>
      </c>
      <c r="Q102" s="1" t="s">
        <v>330</v>
      </c>
      <c r="T102" s="1" t="s">
        <v>345</v>
      </c>
      <c r="U102" s="1" t="s">
        <v>346</v>
      </c>
      <c r="V102" s="1">
        <v>1</v>
      </c>
      <c r="W102" s="3">
        <v>10535.04</v>
      </c>
      <c r="X102" s="3">
        <v>10535.04</v>
      </c>
      <c r="Y102" s="1" t="str">
        <f>VLOOKUP(A102,[1]Detalle!$D$2:$CR$484,93,FALSE)</f>
        <v>SUC_MEN - Sucursal Mendoza</v>
      </c>
    </row>
    <row r="103" spans="1:25" ht="14.25" customHeight="1" x14ac:dyDescent="0.3">
      <c r="A103" s="1" t="s">
        <v>138</v>
      </c>
      <c r="B103" s="1" t="s">
        <v>343</v>
      </c>
      <c r="C103" s="1" t="s">
        <v>343</v>
      </c>
      <c r="D103" s="1" t="s">
        <v>344</v>
      </c>
      <c r="E103" s="6">
        <v>45840</v>
      </c>
      <c r="F103" s="1">
        <v>40688</v>
      </c>
      <c r="G103" s="1">
        <v>60688</v>
      </c>
      <c r="H103" s="1">
        <v>18559.899999999991</v>
      </c>
      <c r="I103" s="1">
        <v>1440.100000000006</v>
      </c>
      <c r="J103" s="1">
        <v>59247.899999999987</v>
      </c>
      <c r="K103" s="1">
        <v>107</v>
      </c>
      <c r="L103" s="1">
        <v>129.25862179487169</v>
      </c>
      <c r="M103" s="1">
        <v>8.3023453790160868</v>
      </c>
      <c r="N103" s="7">
        <v>45947</v>
      </c>
      <c r="O103" s="1">
        <v>20000</v>
      </c>
      <c r="P103" s="7">
        <v>46110.030902141203</v>
      </c>
      <c r="Q103" s="1" t="s">
        <v>330</v>
      </c>
      <c r="T103" s="1" t="s">
        <v>347</v>
      </c>
      <c r="U103" s="1" t="s">
        <v>348</v>
      </c>
      <c r="V103" s="1">
        <v>1</v>
      </c>
      <c r="W103" s="3">
        <v>19410.240000000002</v>
      </c>
      <c r="X103" s="3">
        <v>19410.240000000002</v>
      </c>
      <c r="Y103" s="1" t="str">
        <f>VLOOKUP(A103,[1]Detalle!$D$2:$CR$484,93,FALSE)</f>
        <v>SUC_MEN - Sucursal Mendoza</v>
      </c>
    </row>
    <row r="104" spans="1:25" ht="14.25" customHeight="1" x14ac:dyDescent="0.3">
      <c r="A104" s="1" t="s">
        <v>140</v>
      </c>
      <c r="B104" s="1" t="s">
        <v>343</v>
      </c>
      <c r="C104" s="1" t="s">
        <v>343</v>
      </c>
      <c r="D104" s="1" t="s">
        <v>344</v>
      </c>
      <c r="E104" s="6">
        <v>45745</v>
      </c>
      <c r="F104" s="1">
        <v>484970</v>
      </c>
      <c r="G104" s="1">
        <v>504970</v>
      </c>
      <c r="H104" s="1">
        <v>6360.1999999999944</v>
      </c>
      <c r="I104" s="1">
        <v>13639.80000000001</v>
      </c>
      <c r="J104" s="1">
        <v>491330.2</v>
      </c>
      <c r="K104" s="1">
        <v>202</v>
      </c>
      <c r="L104" s="1">
        <v>30.7326948051948</v>
      </c>
      <c r="M104" s="1">
        <v>433.20015093865032</v>
      </c>
      <c r="N104" s="7">
        <v>45947</v>
      </c>
      <c r="O104" s="1">
        <v>20000</v>
      </c>
      <c r="P104" s="7">
        <v>46380.200150937497</v>
      </c>
      <c r="Q104" s="1" t="s">
        <v>330</v>
      </c>
      <c r="T104" s="1" t="s">
        <v>345</v>
      </c>
      <c r="U104" s="1" t="s">
        <v>346</v>
      </c>
      <c r="V104" s="1">
        <v>1</v>
      </c>
      <c r="W104" s="3">
        <v>10535.04</v>
      </c>
      <c r="X104" s="3">
        <v>10535.04</v>
      </c>
      <c r="Y104" s="1" t="str">
        <f>VLOOKUP(A104,[1]Detalle!$D$2:$CR$484,93,FALSE)</f>
        <v>CCU_MZA - Comp. Cerv. Unidas - MZA</v>
      </c>
    </row>
    <row r="105" spans="1:25" ht="14.25" customHeight="1" x14ac:dyDescent="0.3">
      <c r="A105" s="1" t="s">
        <v>140</v>
      </c>
      <c r="B105" s="1" t="s">
        <v>343</v>
      </c>
      <c r="C105" s="1" t="s">
        <v>343</v>
      </c>
      <c r="D105" s="1" t="s">
        <v>344</v>
      </c>
      <c r="E105" s="6">
        <v>45745</v>
      </c>
      <c r="F105" s="1">
        <v>484970</v>
      </c>
      <c r="G105" s="1">
        <v>504970</v>
      </c>
      <c r="H105" s="1">
        <v>6360.1999999999944</v>
      </c>
      <c r="I105" s="1">
        <v>13639.80000000001</v>
      </c>
      <c r="J105" s="1">
        <v>491330.2</v>
      </c>
      <c r="K105" s="1">
        <v>202</v>
      </c>
      <c r="L105" s="1">
        <v>30.7326948051948</v>
      </c>
      <c r="M105" s="1">
        <v>433.20015093865032</v>
      </c>
      <c r="N105" s="7">
        <v>45947</v>
      </c>
      <c r="O105" s="1">
        <v>20000</v>
      </c>
      <c r="P105" s="7">
        <v>46380.200150937497</v>
      </c>
      <c r="Q105" s="1" t="s">
        <v>330</v>
      </c>
      <c r="T105" s="1" t="s">
        <v>347</v>
      </c>
      <c r="U105" s="1" t="s">
        <v>348</v>
      </c>
      <c r="V105" s="1">
        <v>1</v>
      </c>
      <c r="W105" s="3">
        <v>19410.240000000002</v>
      </c>
      <c r="X105" s="3">
        <v>19410.240000000002</v>
      </c>
      <c r="Y105" s="1" t="str">
        <f>VLOOKUP(A105,[1]Detalle!$D$2:$CR$484,93,FALSE)</f>
        <v>CCU_MZA - Comp. Cerv. Unidas - MZA</v>
      </c>
    </row>
    <row r="106" spans="1:25" ht="14.25" customHeight="1" x14ac:dyDescent="0.3">
      <c r="A106" s="1" t="s">
        <v>156</v>
      </c>
      <c r="B106" s="1" t="s">
        <v>343</v>
      </c>
      <c r="C106" s="1" t="s">
        <v>343</v>
      </c>
      <c r="D106" s="1" t="s">
        <v>344</v>
      </c>
      <c r="E106" s="6">
        <v>45846</v>
      </c>
      <c r="F106" s="1">
        <v>10340</v>
      </c>
      <c r="G106" s="1">
        <v>30340</v>
      </c>
      <c r="H106" s="1">
        <v>5338.3999999999987</v>
      </c>
      <c r="I106" s="1">
        <v>14661.6</v>
      </c>
      <c r="J106" s="1">
        <v>15678.4</v>
      </c>
      <c r="K106" s="1">
        <v>101</v>
      </c>
      <c r="L106" s="1">
        <v>29.350544871794892</v>
      </c>
      <c r="M106" s="1">
        <v>277.39052899745252</v>
      </c>
      <c r="N106" s="7">
        <v>45947</v>
      </c>
      <c r="O106" s="1">
        <v>20000</v>
      </c>
      <c r="P106" s="7">
        <v>46224.390528993063</v>
      </c>
      <c r="Q106" s="1" t="s">
        <v>330</v>
      </c>
      <c r="T106" s="1" t="s">
        <v>345</v>
      </c>
      <c r="U106" s="1" t="s">
        <v>346</v>
      </c>
      <c r="V106" s="1">
        <v>1</v>
      </c>
      <c r="W106" s="3">
        <v>10535.04</v>
      </c>
      <c r="X106" s="3">
        <v>10535.04</v>
      </c>
      <c r="Y106" s="1" t="str">
        <f>VLOOKUP(A106,[1]Detalle!$D$2:$CR$484,93,FALSE)</f>
        <v>CCU_MZA - Comp. Cerv. Unidas - MZA</v>
      </c>
    </row>
    <row r="107" spans="1:25" ht="14.25" customHeight="1" x14ac:dyDescent="0.3">
      <c r="A107" s="1" t="s">
        <v>156</v>
      </c>
      <c r="B107" s="1" t="s">
        <v>343</v>
      </c>
      <c r="C107" s="1" t="s">
        <v>343</v>
      </c>
      <c r="D107" s="1" t="s">
        <v>344</v>
      </c>
      <c r="E107" s="6">
        <v>45846</v>
      </c>
      <c r="F107" s="1">
        <v>10340</v>
      </c>
      <c r="G107" s="1">
        <v>30340</v>
      </c>
      <c r="H107" s="1">
        <v>5338.3999999999987</v>
      </c>
      <c r="I107" s="1">
        <v>14661.6</v>
      </c>
      <c r="J107" s="1">
        <v>15678.4</v>
      </c>
      <c r="K107" s="1">
        <v>101</v>
      </c>
      <c r="L107" s="1">
        <v>29.350544871794892</v>
      </c>
      <c r="M107" s="1">
        <v>277.39052899745252</v>
      </c>
      <c r="N107" s="7">
        <v>45947</v>
      </c>
      <c r="O107" s="1">
        <v>20000</v>
      </c>
      <c r="P107" s="7">
        <v>46224.390528993063</v>
      </c>
      <c r="Q107" s="1" t="s">
        <v>330</v>
      </c>
      <c r="T107" s="1" t="s">
        <v>347</v>
      </c>
      <c r="U107" s="1" t="s">
        <v>348</v>
      </c>
      <c r="V107" s="1">
        <v>1</v>
      </c>
      <c r="W107" s="3">
        <v>19410.240000000002</v>
      </c>
      <c r="X107" s="3">
        <v>19410.240000000002</v>
      </c>
      <c r="Y107" s="1" t="str">
        <f>VLOOKUP(A107,[1]Detalle!$D$2:$CR$484,93,FALSE)</f>
        <v>CCU_MZA - Comp. Cerv. Unidas - MZA</v>
      </c>
    </row>
    <row r="108" spans="1:25" ht="14.25" customHeight="1" x14ac:dyDescent="0.3">
      <c r="A108" s="1" t="s">
        <v>118</v>
      </c>
      <c r="B108" s="1" t="s">
        <v>343</v>
      </c>
      <c r="C108" s="1" t="s">
        <v>343</v>
      </c>
      <c r="D108" s="1" t="s">
        <v>344</v>
      </c>
      <c r="E108" s="6">
        <v>45769</v>
      </c>
      <c r="F108" s="1">
        <v>302541</v>
      </c>
      <c r="G108" s="1">
        <v>322541</v>
      </c>
      <c r="H108" s="1">
        <v>8078.8000000000029</v>
      </c>
      <c r="I108" s="1">
        <v>11921.2</v>
      </c>
      <c r="J108" s="1">
        <v>310619.8</v>
      </c>
      <c r="K108" s="1">
        <v>178</v>
      </c>
      <c r="L108" s="1">
        <v>40.451193548387103</v>
      </c>
      <c r="M108" s="1">
        <v>262.6595038867157</v>
      </c>
      <c r="N108" s="7">
        <v>45947</v>
      </c>
      <c r="O108" s="1">
        <v>20000</v>
      </c>
      <c r="P108" s="7">
        <v>46209.659503888892</v>
      </c>
      <c r="Q108" s="1" t="s">
        <v>330</v>
      </c>
      <c r="T108" s="1" t="s">
        <v>345</v>
      </c>
      <c r="U108" s="1" t="s">
        <v>346</v>
      </c>
      <c r="V108" s="1">
        <v>1</v>
      </c>
      <c r="W108" s="3">
        <v>10535.04</v>
      </c>
      <c r="X108" s="3">
        <v>10535.04</v>
      </c>
      <c r="Y108" s="1" t="str">
        <f>VLOOKUP(A108,[1]Detalle!$D$2:$CR$484,93,FALSE)</f>
        <v>CCUCoAZA</v>
      </c>
    </row>
    <row r="109" spans="1:25" ht="14.25" customHeight="1" x14ac:dyDescent="0.3">
      <c r="A109" s="1" t="s">
        <v>118</v>
      </c>
      <c r="B109" s="1" t="s">
        <v>343</v>
      </c>
      <c r="C109" s="1" t="s">
        <v>343</v>
      </c>
      <c r="D109" s="1" t="s">
        <v>344</v>
      </c>
      <c r="E109" s="6">
        <v>45769</v>
      </c>
      <c r="F109" s="1">
        <v>302541</v>
      </c>
      <c r="G109" s="1">
        <v>322541</v>
      </c>
      <c r="H109" s="1">
        <v>8078.8000000000029</v>
      </c>
      <c r="I109" s="1">
        <v>11921.2</v>
      </c>
      <c r="J109" s="1">
        <v>310619.8</v>
      </c>
      <c r="K109" s="1">
        <v>178</v>
      </c>
      <c r="L109" s="1">
        <v>40.451193548387103</v>
      </c>
      <c r="M109" s="1">
        <v>262.6595038867157</v>
      </c>
      <c r="N109" s="7">
        <v>45947</v>
      </c>
      <c r="O109" s="1">
        <v>20000</v>
      </c>
      <c r="P109" s="7">
        <v>46209.659503888892</v>
      </c>
      <c r="Q109" s="1" t="s">
        <v>330</v>
      </c>
      <c r="T109" s="1" t="s">
        <v>347</v>
      </c>
      <c r="U109" s="1" t="s">
        <v>348</v>
      </c>
      <c r="V109" s="1">
        <v>1</v>
      </c>
      <c r="W109" s="3">
        <v>19410.240000000002</v>
      </c>
      <c r="X109" s="3">
        <v>19410.240000000002</v>
      </c>
      <c r="Y109" s="1" t="str">
        <f>VLOOKUP(A109,[1]Detalle!$D$2:$CR$484,93,FALSE)</f>
        <v>CCUCoAZA</v>
      </c>
    </row>
    <row r="110" spans="1:25" ht="14.25" customHeight="1" x14ac:dyDescent="0.3">
      <c r="A110" s="1" t="s">
        <v>119</v>
      </c>
      <c r="B110" s="1" t="s">
        <v>343</v>
      </c>
      <c r="C110" s="1" t="s">
        <v>343</v>
      </c>
      <c r="D110" s="1" t="s">
        <v>344</v>
      </c>
      <c r="E110" s="6">
        <v>45831</v>
      </c>
      <c r="F110" s="1">
        <v>358562</v>
      </c>
      <c r="G110" s="1">
        <v>378562</v>
      </c>
      <c r="H110" s="1">
        <v>10154.9</v>
      </c>
      <c r="I110" s="1">
        <v>9845.1</v>
      </c>
      <c r="J110" s="1">
        <v>368716.9</v>
      </c>
      <c r="K110" s="1">
        <v>116</v>
      </c>
      <c r="L110" s="1">
        <v>95.559666666666672</v>
      </c>
      <c r="M110" s="1">
        <v>112.461136988055</v>
      </c>
      <c r="N110" s="7">
        <v>45947</v>
      </c>
      <c r="O110" s="1">
        <v>20000</v>
      </c>
      <c r="P110" s="7">
        <v>46059.461136990743</v>
      </c>
      <c r="Q110" s="1" t="s">
        <v>330</v>
      </c>
      <c r="T110" s="1" t="s">
        <v>345</v>
      </c>
      <c r="U110" s="1" t="s">
        <v>346</v>
      </c>
      <c r="V110" s="1">
        <v>1</v>
      </c>
      <c r="W110" s="3">
        <v>10535.04</v>
      </c>
      <c r="X110" s="3">
        <v>10535.04</v>
      </c>
      <c r="Y110" s="1" t="str">
        <f>VLOOKUP(A110,[1]Detalle!$D$2:$CR$484,93,FALSE)</f>
        <v>SUC_CTC - Sucursal Buenos Aires</v>
      </c>
    </row>
    <row r="111" spans="1:25" ht="14.25" customHeight="1" x14ac:dyDescent="0.3">
      <c r="A111" s="1" t="s">
        <v>119</v>
      </c>
      <c r="B111" s="1" t="s">
        <v>343</v>
      </c>
      <c r="C111" s="1" t="s">
        <v>343</v>
      </c>
      <c r="D111" s="1" t="s">
        <v>344</v>
      </c>
      <c r="E111" s="6">
        <v>45831</v>
      </c>
      <c r="F111" s="1">
        <v>358562</v>
      </c>
      <c r="G111" s="1">
        <v>378562</v>
      </c>
      <c r="H111" s="1">
        <v>10154.9</v>
      </c>
      <c r="I111" s="1">
        <v>9845.1</v>
      </c>
      <c r="J111" s="1">
        <v>368716.9</v>
      </c>
      <c r="K111" s="1">
        <v>116</v>
      </c>
      <c r="L111" s="1">
        <v>95.559666666666672</v>
      </c>
      <c r="M111" s="1">
        <v>112.461136988055</v>
      </c>
      <c r="N111" s="7">
        <v>45947</v>
      </c>
      <c r="O111" s="1">
        <v>20000</v>
      </c>
      <c r="P111" s="7">
        <v>46059.461136990743</v>
      </c>
      <c r="Q111" s="1" t="s">
        <v>330</v>
      </c>
      <c r="T111" s="1" t="s">
        <v>347</v>
      </c>
      <c r="U111" s="1" t="s">
        <v>348</v>
      </c>
      <c r="V111" s="1">
        <v>1</v>
      </c>
      <c r="W111" s="3">
        <v>19410.240000000002</v>
      </c>
      <c r="X111" s="3">
        <v>19410.240000000002</v>
      </c>
      <c r="Y111" s="1" t="str">
        <f>VLOOKUP(A111,[1]Detalle!$D$2:$CR$484,93,FALSE)</f>
        <v>SUC_CTC - Sucursal Buenos Aires</v>
      </c>
    </row>
    <row r="112" spans="1:25" ht="14.25" customHeight="1" x14ac:dyDescent="0.3">
      <c r="A112" s="1" t="s">
        <v>123</v>
      </c>
      <c r="B112" s="1" t="s">
        <v>343</v>
      </c>
      <c r="C112" s="1" t="s">
        <v>343</v>
      </c>
      <c r="D112" s="1" t="s">
        <v>344</v>
      </c>
      <c r="E112" s="6">
        <v>45364</v>
      </c>
      <c r="F112" s="1">
        <v>289070</v>
      </c>
      <c r="G112" s="1">
        <v>309070</v>
      </c>
      <c r="H112" s="1">
        <v>33400.049999999952</v>
      </c>
      <c r="I112" s="1">
        <v>-13400.04999999995</v>
      </c>
      <c r="J112" s="1">
        <v>322470.04999999987</v>
      </c>
      <c r="K112" s="1">
        <v>583</v>
      </c>
      <c r="L112" s="1">
        <v>96.824519230769212</v>
      </c>
      <c r="M112" s="1">
        <v>-233.8987261995112</v>
      </c>
      <c r="N112" s="7">
        <v>45947</v>
      </c>
      <c r="O112" s="1">
        <v>20000</v>
      </c>
      <c r="P112" s="7">
        <v>46153.55924923611</v>
      </c>
      <c r="Q112" s="1" t="s">
        <v>330</v>
      </c>
      <c r="T112" s="1" t="s">
        <v>345</v>
      </c>
      <c r="U112" s="1" t="s">
        <v>346</v>
      </c>
      <c r="V112" s="1">
        <v>1</v>
      </c>
      <c r="W112" s="3">
        <v>10535.04</v>
      </c>
      <c r="X112" s="3">
        <v>10535.04</v>
      </c>
      <c r="Y112" s="1" t="str">
        <f>VLOOKUP(A112,[1]Detalle!$D$2:$CR$484,93,FALSE)</f>
        <v>SUC_SRA - Sucursal San Rafael</v>
      </c>
    </row>
    <row r="113" spans="1:25" ht="14.25" customHeight="1" x14ac:dyDescent="0.3">
      <c r="A113" s="1" t="s">
        <v>123</v>
      </c>
      <c r="B113" s="1" t="s">
        <v>343</v>
      </c>
      <c r="C113" s="1" t="s">
        <v>343</v>
      </c>
      <c r="D113" s="1" t="s">
        <v>344</v>
      </c>
      <c r="E113" s="6">
        <v>45364</v>
      </c>
      <c r="F113" s="1">
        <v>289070</v>
      </c>
      <c r="G113" s="1">
        <v>309070</v>
      </c>
      <c r="H113" s="1">
        <v>33400.049999999952</v>
      </c>
      <c r="I113" s="1">
        <v>-13400.04999999995</v>
      </c>
      <c r="J113" s="1">
        <v>322470.04999999987</v>
      </c>
      <c r="K113" s="1">
        <v>583</v>
      </c>
      <c r="L113" s="1">
        <v>96.824519230769212</v>
      </c>
      <c r="M113" s="1">
        <v>-233.8987261995112</v>
      </c>
      <c r="N113" s="7">
        <v>45947</v>
      </c>
      <c r="O113" s="1">
        <v>20000</v>
      </c>
      <c r="P113" s="7">
        <v>46153.55924923611</v>
      </c>
      <c r="Q113" s="1" t="s">
        <v>330</v>
      </c>
      <c r="T113" s="1" t="s">
        <v>347</v>
      </c>
      <c r="U113" s="1" t="s">
        <v>348</v>
      </c>
      <c r="V113" s="1">
        <v>1</v>
      </c>
      <c r="W113" s="3">
        <v>19410.240000000002</v>
      </c>
      <c r="X113" s="3">
        <v>19410.240000000002</v>
      </c>
      <c r="Y113" s="1" t="str">
        <f>VLOOKUP(A113,[1]Detalle!$D$2:$CR$484,93,FALSE)</f>
        <v>SUC_SRA - Sucursal San Rafael</v>
      </c>
    </row>
    <row r="114" spans="1:25" ht="14.25" customHeight="1" x14ac:dyDescent="0.3">
      <c r="A114" s="1" t="s">
        <v>111</v>
      </c>
      <c r="B114" s="1" t="s">
        <v>343</v>
      </c>
      <c r="C114" s="1" t="s">
        <v>343</v>
      </c>
      <c r="D114" s="1" t="s">
        <v>344</v>
      </c>
      <c r="E114" s="6">
        <v>45632</v>
      </c>
      <c r="F114" s="1">
        <v>16040</v>
      </c>
      <c r="G114" s="1">
        <v>36040</v>
      </c>
      <c r="H114" s="1">
        <v>34694.100000000013</v>
      </c>
      <c r="I114" s="1">
        <v>-14694.100000000009</v>
      </c>
      <c r="J114" s="1">
        <v>50734.100000000013</v>
      </c>
      <c r="K114" s="1">
        <v>315</v>
      </c>
      <c r="L114" s="1">
        <v>104.473717948718</v>
      </c>
      <c r="M114" s="1">
        <v>-133.41292899945529</v>
      </c>
      <c r="N114" s="7">
        <v>45947</v>
      </c>
      <c r="O114" s="1">
        <v>20000</v>
      </c>
      <c r="P114" s="7">
        <v>46138.435706435193</v>
      </c>
      <c r="Q114" s="1" t="s">
        <v>330</v>
      </c>
      <c r="T114" s="1" t="s">
        <v>345</v>
      </c>
      <c r="U114" s="1" t="s">
        <v>346</v>
      </c>
      <c r="V114" s="1">
        <v>1</v>
      </c>
      <c r="W114" s="3">
        <v>10535.04</v>
      </c>
      <c r="X114" s="3">
        <v>10535.04</v>
      </c>
      <c r="Y114" s="1" t="str">
        <f>VLOOKUP(A114,[1]Detalle!$D$2:$CR$484,93,FALSE)</f>
        <v>SUC_MEN - Sucursal Mendoza</v>
      </c>
    </row>
    <row r="115" spans="1:25" ht="14.25" customHeight="1" x14ac:dyDescent="0.3">
      <c r="A115" s="1" t="s">
        <v>111</v>
      </c>
      <c r="B115" s="1" t="s">
        <v>343</v>
      </c>
      <c r="C115" s="1" t="s">
        <v>343</v>
      </c>
      <c r="D115" s="1" t="s">
        <v>344</v>
      </c>
      <c r="E115" s="6">
        <v>45632</v>
      </c>
      <c r="F115" s="1">
        <v>16040</v>
      </c>
      <c r="G115" s="1">
        <v>36040</v>
      </c>
      <c r="H115" s="1">
        <v>34694.100000000013</v>
      </c>
      <c r="I115" s="1">
        <v>-14694.100000000009</v>
      </c>
      <c r="J115" s="1">
        <v>50734.100000000013</v>
      </c>
      <c r="K115" s="1">
        <v>315</v>
      </c>
      <c r="L115" s="1">
        <v>104.473717948718</v>
      </c>
      <c r="M115" s="1">
        <v>-133.41292899945529</v>
      </c>
      <c r="N115" s="7">
        <v>45947</v>
      </c>
      <c r="O115" s="1">
        <v>20000</v>
      </c>
      <c r="P115" s="7">
        <v>46138.435706435193</v>
      </c>
      <c r="Q115" s="1" t="s">
        <v>330</v>
      </c>
      <c r="T115" s="1" t="s">
        <v>347</v>
      </c>
      <c r="U115" s="1" t="s">
        <v>348</v>
      </c>
      <c r="V115" s="1">
        <v>1</v>
      </c>
      <c r="W115" s="3">
        <v>19410.240000000002</v>
      </c>
      <c r="X115" s="3">
        <v>19410.240000000002</v>
      </c>
      <c r="Y115" s="1" t="str">
        <f>VLOOKUP(A115,[1]Detalle!$D$2:$CR$484,93,FALSE)</f>
        <v>SUC_MEN - Sucursal Mendoza</v>
      </c>
    </row>
    <row r="116" spans="1:25" ht="14.25" customHeight="1" x14ac:dyDescent="0.3">
      <c r="A116" s="1" t="s">
        <v>135</v>
      </c>
      <c r="B116" s="1" t="s">
        <v>343</v>
      </c>
      <c r="C116" s="1" t="s">
        <v>343</v>
      </c>
      <c r="D116" s="1" t="s">
        <v>344</v>
      </c>
      <c r="E116" s="6">
        <v>45812</v>
      </c>
      <c r="F116" s="1">
        <v>176121</v>
      </c>
      <c r="G116" s="1">
        <v>196121</v>
      </c>
      <c r="H116" s="1">
        <v>5745.4000000000005</v>
      </c>
      <c r="I116" s="1">
        <v>14254.6</v>
      </c>
      <c r="J116" s="1">
        <v>181866.4</v>
      </c>
      <c r="K116" s="1">
        <v>135</v>
      </c>
      <c r="L116" s="1">
        <v>35.012605863192178</v>
      </c>
      <c r="M116" s="1">
        <v>334.94117032756628</v>
      </c>
      <c r="N116" s="7">
        <v>45947</v>
      </c>
      <c r="O116" s="1">
        <v>20000</v>
      </c>
      <c r="P116" s="7">
        <v>46281.941170324077</v>
      </c>
      <c r="Q116" s="1" t="s">
        <v>330</v>
      </c>
      <c r="T116" s="1" t="s">
        <v>345</v>
      </c>
      <c r="U116" s="1" t="s">
        <v>346</v>
      </c>
      <c r="V116" s="1">
        <v>1</v>
      </c>
      <c r="W116" s="3">
        <v>10535.04</v>
      </c>
      <c r="X116" s="3">
        <v>10535.04</v>
      </c>
      <c r="Y116" s="1" t="str">
        <f>VLOOKUP(A116,[1]Detalle!$D$2:$CR$484,93,FALSE)</f>
        <v>CCUCoAZA</v>
      </c>
    </row>
    <row r="117" spans="1:25" ht="14.25" customHeight="1" x14ac:dyDescent="0.3">
      <c r="A117" s="1" t="s">
        <v>135</v>
      </c>
      <c r="B117" s="1" t="s">
        <v>343</v>
      </c>
      <c r="C117" s="1" t="s">
        <v>343</v>
      </c>
      <c r="D117" s="1" t="s">
        <v>344</v>
      </c>
      <c r="E117" s="6">
        <v>45812</v>
      </c>
      <c r="F117" s="1">
        <v>176121</v>
      </c>
      <c r="G117" s="1">
        <v>196121</v>
      </c>
      <c r="H117" s="1">
        <v>5745.4000000000005</v>
      </c>
      <c r="I117" s="1">
        <v>14254.6</v>
      </c>
      <c r="J117" s="1">
        <v>181866.4</v>
      </c>
      <c r="K117" s="1">
        <v>135</v>
      </c>
      <c r="L117" s="1">
        <v>35.012605863192178</v>
      </c>
      <c r="M117" s="1">
        <v>334.94117032756628</v>
      </c>
      <c r="N117" s="7">
        <v>45947</v>
      </c>
      <c r="O117" s="1">
        <v>20000</v>
      </c>
      <c r="P117" s="7">
        <v>46281.941170324077</v>
      </c>
      <c r="Q117" s="1" t="s">
        <v>330</v>
      </c>
      <c r="T117" s="1" t="s">
        <v>347</v>
      </c>
      <c r="U117" s="1" t="s">
        <v>348</v>
      </c>
      <c r="V117" s="1">
        <v>1</v>
      </c>
      <c r="W117" s="3">
        <v>19410.240000000002</v>
      </c>
      <c r="X117" s="3">
        <v>19410.240000000002</v>
      </c>
      <c r="Y117" s="1" t="str">
        <f>VLOOKUP(A117,[1]Detalle!$D$2:$CR$484,93,FALSE)</f>
        <v>CCUCoAZA</v>
      </c>
    </row>
    <row r="118" spans="1:25" ht="14.25" customHeight="1" x14ac:dyDescent="0.3">
      <c r="A118" s="1" t="s">
        <v>182</v>
      </c>
      <c r="B118" s="1" t="s">
        <v>343</v>
      </c>
      <c r="C118" s="1" t="s">
        <v>343</v>
      </c>
      <c r="D118" s="1" t="s">
        <v>344</v>
      </c>
      <c r="E118" s="6">
        <v>45748</v>
      </c>
      <c r="F118" s="1">
        <v>11411.6</v>
      </c>
      <c r="G118" s="1">
        <v>31411.599999999999</v>
      </c>
      <c r="H118" s="1">
        <v>6802.9000000000024</v>
      </c>
      <c r="I118" s="1">
        <v>13197.1</v>
      </c>
      <c r="J118" s="1">
        <v>18214.5</v>
      </c>
      <c r="K118" s="1">
        <v>199</v>
      </c>
      <c r="L118" s="1">
        <v>28.6028387096774</v>
      </c>
      <c r="M118" s="1">
        <v>386.04461332666932</v>
      </c>
      <c r="N118" s="7">
        <v>45947</v>
      </c>
      <c r="O118" s="1">
        <v>20000</v>
      </c>
      <c r="P118" s="7">
        <v>46333.044613321763</v>
      </c>
      <c r="Q118" s="1" t="s">
        <v>330</v>
      </c>
      <c r="T118" s="1" t="s">
        <v>345</v>
      </c>
      <c r="U118" s="1" t="s">
        <v>346</v>
      </c>
      <c r="V118" s="1">
        <v>1</v>
      </c>
      <c r="W118" s="3">
        <v>10535.04</v>
      </c>
      <c r="X118" s="3">
        <v>10535.04</v>
      </c>
      <c r="Y118" s="1" t="str">
        <f>VLOOKUP(A118,[1]Detalle!$D$2:$CR$484,93,FALSE)</f>
        <v>CCU_MZA - Comp. Cerv. Unidas - MZA</v>
      </c>
    </row>
    <row r="119" spans="1:25" ht="14.25" customHeight="1" x14ac:dyDescent="0.3">
      <c r="A119" s="1" t="s">
        <v>182</v>
      </c>
      <c r="B119" s="1" t="s">
        <v>343</v>
      </c>
      <c r="C119" s="1" t="s">
        <v>343</v>
      </c>
      <c r="D119" s="1" t="s">
        <v>344</v>
      </c>
      <c r="E119" s="6">
        <v>45748</v>
      </c>
      <c r="F119" s="1">
        <v>11411.6</v>
      </c>
      <c r="G119" s="1">
        <v>31411.599999999999</v>
      </c>
      <c r="H119" s="1">
        <v>6802.9000000000024</v>
      </c>
      <c r="I119" s="1">
        <v>13197.1</v>
      </c>
      <c r="J119" s="1">
        <v>18214.5</v>
      </c>
      <c r="K119" s="1">
        <v>199</v>
      </c>
      <c r="L119" s="1">
        <v>28.6028387096774</v>
      </c>
      <c r="M119" s="1">
        <v>386.04461332666932</v>
      </c>
      <c r="N119" s="7">
        <v>45947</v>
      </c>
      <c r="O119" s="1">
        <v>20000</v>
      </c>
      <c r="P119" s="7">
        <v>46333.044613321763</v>
      </c>
      <c r="Q119" s="1" t="s">
        <v>330</v>
      </c>
      <c r="T119" s="1" t="s">
        <v>347</v>
      </c>
      <c r="U119" s="1" t="s">
        <v>348</v>
      </c>
      <c r="V119" s="1">
        <v>1</v>
      </c>
      <c r="W119" s="3">
        <v>19410.240000000002</v>
      </c>
      <c r="X119" s="3">
        <v>19410.240000000002</v>
      </c>
      <c r="Y119" s="1" t="str">
        <f>VLOOKUP(A119,[1]Detalle!$D$2:$CR$484,93,FALSE)</f>
        <v>CCU_MZA - Comp. Cerv. Unidas - MZA</v>
      </c>
    </row>
    <row r="120" spans="1:25" ht="14.25" customHeight="1" x14ac:dyDescent="0.3">
      <c r="A120" s="1" t="s">
        <v>137</v>
      </c>
      <c r="B120" s="1" t="s">
        <v>343</v>
      </c>
      <c r="C120" s="1" t="s">
        <v>343</v>
      </c>
      <c r="D120" s="1" t="s">
        <v>344</v>
      </c>
      <c r="E120" s="6">
        <v>45813</v>
      </c>
      <c r="F120" s="1">
        <v>230027</v>
      </c>
      <c r="G120" s="1">
        <v>250027</v>
      </c>
      <c r="H120" s="1">
        <v>5321.3000000000011</v>
      </c>
      <c r="I120" s="1">
        <v>14678.7</v>
      </c>
      <c r="J120" s="1">
        <v>235348.3</v>
      </c>
      <c r="K120" s="1">
        <v>134</v>
      </c>
      <c r="L120" s="1">
        <v>37.879290322580637</v>
      </c>
      <c r="M120" s="1">
        <v>369.63632946836287</v>
      </c>
      <c r="N120" s="7">
        <v>45947</v>
      </c>
      <c r="O120" s="1">
        <v>20000</v>
      </c>
      <c r="P120" s="7">
        <v>46316.63632946759</v>
      </c>
      <c r="Q120" s="1" t="s">
        <v>330</v>
      </c>
      <c r="T120" s="1" t="s">
        <v>345</v>
      </c>
      <c r="U120" s="1" t="s">
        <v>346</v>
      </c>
      <c r="V120" s="1">
        <v>1</v>
      </c>
      <c r="W120" s="3">
        <v>10535.04</v>
      </c>
      <c r="X120" s="3">
        <v>10535.04</v>
      </c>
      <c r="Y120" s="1" t="str">
        <f>VLOOKUP(A120,[1]Detalle!$D$2:$CR$484,93,FALSE)</f>
        <v>CCUDyAZA</v>
      </c>
    </row>
    <row r="121" spans="1:25" ht="14.25" customHeight="1" x14ac:dyDescent="0.3">
      <c r="A121" s="1" t="s">
        <v>137</v>
      </c>
      <c r="B121" s="1" t="s">
        <v>343</v>
      </c>
      <c r="C121" s="1" t="s">
        <v>343</v>
      </c>
      <c r="D121" s="1" t="s">
        <v>344</v>
      </c>
      <c r="E121" s="6">
        <v>45813</v>
      </c>
      <c r="F121" s="1">
        <v>230027</v>
      </c>
      <c r="G121" s="1">
        <v>250027</v>
      </c>
      <c r="H121" s="1">
        <v>5321.3000000000011</v>
      </c>
      <c r="I121" s="1">
        <v>14678.7</v>
      </c>
      <c r="J121" s="1">
        <v>235348.3</v>
      </c>
      <c r="K121" s="1">
        <v>134</v>
      </c>
      <c r="L121" s="1">
        <v>37.879290322580637</v>
      </c>
      <c r="M121" s="1">
        <v>369.63632946836287</v>
      </c>
      <c r="N121" s="7">
        <v>45947</v>
      </c>
      <c r="O121" s="1">
        <v>20000</v>
      </c>
      <c r="P121" s="7">
        <v>46316.63632946759</v>
      </c>
      <c r="Q121" s="1" t="s">
        <v>330</v>
      </c>
      <c r="T121" s="1" t="s">
        <v>347</v>
      </c>
      <c r="U121" s="1" t="s">
        <v>348</v>
      </c>
      <c r="V121" s="1">
        <v>1</v>
      </c>
      <c r="W121" s="3">
        <v>19410.240000000002</v>
      </c>
      <c r="X121" s="3">
        <v>19410.240000000002</v>
      </c>
      <c r="Y121" s="1" t="str">
        <f>VLOOKUP(A121,[1]Detalle!$D$2:$CR$484,93,FALSE)</f>
        <v>CCUDyAZA</v>
      </c>
    </row>
    <row r="122" spans="1:25" ht="14.25" customHeight="1" x14ac:dyDescent="0.3">
      <c r="A122" s="1" t="s">
        <v>139</v>
      </c>
      <c r="B122" s="1" t="s">
        <v>343</v>
      </c>
      <c r="C122" s="1" t="s">
        <v>343</v>
      </c>
      <c r="D122" s="1" t="s">
        <v>344</v>
      </c>
      <c r="E122" s="6">
        <v>45744</v>
      </c>
      <c r="F122" s="1">
        <v>298685</v>
      </c>
      <c r="G122" s="1">
        <v>318685</v>
      </c>
      <c r="H122" s="1">
        <v>8864.1</v>
      </c>
      <c r="I122" s="1">
        <v>11135.9</v>
      </c>
      <c r="J122" s="1">
        <v>307549.09999999998</v>
      </c>
      <c r="K122" s="1">
        <v>203</v>
      </c>
      <c r="L122" s="1">
        <v>39.137363344051472</v>
      </c>
      <c r="M122" s="1">
        <v>255.02732369896549</v>
      </c>
      <c r="N122" s="7">
        <v>45947</v>
      </c>
      <c r="O122" s="1">
        <v>20000</v>
      </c>
      <c r="P122" s="7">
        <v>46202.027323703704</v>
      </c>
      <c r="Q122" s="1" t="s">
        <v>330</v>
      </c>
      <c r="T122" s="1" t="s">
        <v>345</v>
      </c>
      <c r="U122" s="1" t="s">
        <v>346</v>
      </c>
      <c r="V122" s="1">
        <v>1</v>
      </c>
      <c r="W122" s="3">
        <v>10535.04</v>
      </c>
      <c r="X122" s="3">
        <v>10535.04</v>
      </c>
      <c r="Y122" s="1" t="str">
        <f>VLOOKUP(A122,[1]Detalle!$D$2:$CR$484,93,FALSE)</f>
        <v>CCUDyAZA</v>
      </c>
    </row>
    <row r="123" spans="1:25" ht="14.25" customHeight="1" x14ac:dyDescent="0.3">
      <c r="A123" s="1" t="s">
        <v>139</v>
      </c>
      <c r="B123" s="1" t="s">
        <v>343</v>
      </c>
      <c r="C123" s="1" t="s">
        <v>343</v>
      </c>
      <c r="D123" s="1" t="s">
        <v>344</v>
      </c>
      <c r="E123" s="6">
        <v>45744</v>
      </c>
      <c r="F123" s="1">
        <v>298685</v>
      </c>
      <c r="G123" s="1">
        <v>318685</v>
      </c>
      <c r="H123" s="1">
        <v>8864.1</v>
      </c>
      <c r="I123" s="1">
        <v>11135.9</v>
      </c>
      <c r="J123" s="1">
        <v>307549.09999999998</v>
      </c>
      <c r="K123" s="1">
        <v>203</v>
      </c>
      <c r="L123" s="1">
        <v>39.137363344051472</v>
      </c>
      <c r="M123" s="1">
        <v>255.02732369896549</v>
      </c>
      <c r="N123" s="7">
        <v>45947</v>
      </c>
      <c r="O123" s="1">
        <v>20000</v>
      </c>
      <c r="P123" s="7">
        <v>46202.027323703704</v>
      </c>
      <c r="Q123" s="1" t="s">
        <v>330</v>
      </c>
      <c r="T123" s="1" t="s">
        <v>347</v>
      </c>
      <c r="U123" s="1" t="s">
        <v>348</v>
      </c>
      <c r="V123" s="1">
        <v>1</v>
      </c>
      <c r="W123" s="3">
        <v>19410.240000000002</v>
      </c>
      <c r="X123" s="3">
        <v>19410.240000000002</v>
      </c>
      <c r="Y123" s="1" t="str">
        <f>VLOOKUP(A123,[1]Detalle!$D$2:$CR$484,93,FALSE)</f>
        <v>CCUDyAZA</v>
      </c>
    </row>
    <row r="124" spans="1:25" ht="14.25" customHeight="1" x14ac:dyDescent="0.3">
      <c r="A124" s="1" t="s">
        <v>210</v>
      </c>
      <c r="B124" s="1" t="s">
        <v>343</v>
      </c>
      <c r="C124" s="1" t="s">
        <v>343</v>
      </c>
      <c r="D124" s="1" t="s">
        <v>344</v>
      </c>
      <c r="E124" s="6">
        <v>45603</v>
      </c>
      <c r="F124" s="1">
        <v>342438</v>
      </c>
      <c r="G124" s="1">
        <v>362438</v>
      </c>
      <c r="H124" s="1">
        <v>22886.28</v>
      </c>
      <c r="I124" s="1">
        <v>-2886.280000000002</v>
      </c>
      <c r="J124" s="1">
        <v>365324.28</v>
      </c>
      <c r="K124" s="1">
        <v>344</v>
      </c>
      <c r="L124" s="1">
        <v>66.651970260223024</v>
      </c>
      <c r="M124" s="1">
        <v>-43.383211251457233</v>
      </c>
      <c r="N124" s="7">
        <v>45947</v>
      </c>
      <c r="O124" s="1">
        <v>20000</v>
      </c>
      <c r="P124" s="7">
        <v>46247.066148414349</v>
      </c>
      <c r="Q124" s="1" t="s">
        <v>330</v>
      </c>
      <c r="T124" s="1" t="s">
        <v>345</v>
      </c>
      <c r="U124" s="1" t="s">
        <v>346</v>
      </c>
      <c r="V124" s="1">
        <v>1</v>
      </c>
      <c r="W124" s="3">
        <v>10535.04</v>
      </c>
      <c r="X124" s="3">
        <v>10535.04</v>
      </c>
      <c r="Y124" s="1" t="str">
        <f>VLOOKUP(A124,[1]Detalle!$D$2:$CR$484,93,FALSE)</f>
        <v>Topacio</v>
      </c>
    </row>
    <row r="125" spans="1:25" ht="14.25" customHeight="1" x14ac:dyDescent="0.3">
      <c r="A125" s="1" t="s">
        <v>210</v>
      </c>
      <c r="B125" s="1" t="s">
        <v>343</v>
      </c>
      <c r="C125" s="1" t="s">
        <v>343</v>
      </c>
      <c r="D125" s="1" t="s">
        <v>344</v>
      </c>
      <c r="E125" s="6">
        <v>45603</v>
      </c>
      <c r="F125" s="1">
        <v>342438</v>
      </c>
      <c r="G125" s="1">
        <v>362438</v>
      </c>
      <c r="H125" s="1">
        <v>22886.28</v>
      </c>
      <c r="I125" s="1">
        <v>-2886.280000000002</v>
      </c>
      <c r="J125" s="1">
        <v>365324.28</v>
      </c>
      <c r="K125" s="1">
        <v>344</v>
      </c>
      <c r="L125" s="1">
        <v>66.651970260223024</v>
      </c>
      <c r="M125" s="1">
        <v>-43.383211251457233</v>
      </c>
      <c r="N125" s="7">
        <v>45947</v>
      </c>
      <c r="O125" s="1">
        <v>20000</v>
      </c>
      <c r="P125" s="7">
        <v>46247.066148414349</v>
      </c>
      <c r="Q125" s="1" t="s">
        <v>330</v>
      </c>
      <c r="T125" s="1" t="s">
        <v>347</v>
      </c>
      <c r="U125" s="1" t="s">
        <v>348</v>
      </c>
      <c r="V125" s="1">
        <v>1</v>
      </c>
      <c r="W125" s="3">
        <v>19410.240000000002</v>
      </c>
      <c r="X125" s="3">
        <v>19410.240000000002</v>
      </c>
      <c r="Y125" s="1" t="str">
        <f>VLOOKUP(A125,[1]Detalle!$D$2:$CR$484,93,FALSE)</f>
        <v>Topacio</v>
      </c>
    </row>
    <row r="126" spans="1:25" ht="14.25" customHeight="1" x14ac:dyDescent="0.3">
      <c r="A126" s="1" t="s">
        <v>143</v>
      </c>
      <c r="B126" s="1" t="s">
        <v>343</v>
      </c>
      <c r="C126" s="1" t="s">
        <v>343</v>
      </c>
      <c r="D126" s="1" t="s">
        <v>344</v>
      </c>
      <c r="E126" s="6">
        <v>45912</v>
      </c>
      <c r="F126" s="1">
        <v>723287</v>
      </c>
      <c r="G126" s="1">
        <v>743287</v>
      </c>
      <c r="H126" s="1">
        <v>0</v>
      </c>
      <c r="I126" s="1">
        <v>20000</v>
      </c>
      <c r="J126" s="1">
        <v>723287</v>
      </c>
      <c r="K126" s="1">
        <v>35</v>
      </c>
      <c r="L126" s="1">
        <v>1.7600651465798041</v>
      </c>
      <c r="M126" s="1">
        <v>200</v>
      </c>
      <c r="N126" s="7">
        <v>45947</v>
      </c>
      <c r="O126" s="1">
        <v>20000</v>
      </c>
      <c r="P126" s="7">
        <v>46147</v>
      </c>
      <c r="Q126" s="1" t="s">
        <v>330</v>
      </c>
      <c r="T126" s="1" t="s">
        <v>345</v>
      </c>
      <c r="U126" s="1" t="s">
        <v>346</v>
      </c>
      <c r="V126" s="1">
        <v>1</v>
      </c>
      <c r="W126" s="3">
        <v>10535.04</v>
      </c>
      <c r="X126" s="3">
        <v>10535.04</v>
      </c>
      <c r="Y126" s="1" t="str">
        <f>VLOOKUP(A126,[1]Detalle!$D$2:$CR$484,93,FALSE)</f>
        <v>Arcor S.A.I.C.</v>
      </c>
    </row>
    <row r="127" spans="1:25" ht="14.25" customHeight="1" x14ac:dyDescent="0.3">
      <c r="A127" s="1" t="s">
        <v>143</v>
      </c>
      <c r="B127" s="1" t="s">
        <v>343</v>
      </c>
      <c r="C127" s="1" t="s">
        <v>343</v>
      </c>
      <c r="D127" s="1" t="s">
        <v>344</v>
      </c>
      <c r="E127" s="6">
        <v>45912</v>
      </c>
      <c r="F127" s="1">
        <v>723287</v>
      </c>
      <c r="G127" s="1">
        <v>743287</v>
      </c>
      <c r="H127" s="1">
        <v>0</v>
      </c>
      <c r="I127" s="1">
        <v>20000</v>
      </c>
      <c r="J127" s="1">
        <v>723287</v>
      </c>
      <c r="K127" s="1">
        <v>35</v>
      </c>
      <c r="L127" s="1">
        <v>1.7600651465798041</v>
      </c>
      <c r="M127" s="1">
        <v>200</v>
      </c>
      <c r="N127" s="7">
        <v>45947</v>
      </c>
      <c r="O127" s="1">
        <v>20000</v>
      </c>
      <c r="P127" s="7">
        <v>46147</v>
      </c>
      <c r="Q127" s="1" t="s">
        <v>330</v>
      </c>
      <c r="T127" s="1" t="s">
        <v>347</v>
      </c>
      <c r="U127" s="1" t="s">
        <v>348</v>
      </c>
      <c r="V127" s="1">
        <v>1</v>
      </c>
      <c r="W127" s="3">
        <v>19410.240000000002</v>
      </c>
      <c r="X127" s="3">
        <v>19410.240000000002</v>
      </c>
      <c r="Y127" s="1" t="str">
        <f>VLOOKUP(A127,[1]Detalle!$D$2:$CR$484,93,FALSE)</f>
        <v>Arcor S.A.I.C.</v>
      </c>
    </row>
    <row r="128" spans="1:25" ht="14.25" customHeight="1" x14ac:dyDescent="0.3">
      <c r="A128" s="1" t="s">
        <v>153</v>
      </c>
      <c r="B128" s="1" t="s">
        <v>343</v>
      </c>
      <c r="C128" s="1" t="s">
        <v>343</v>
      </c>
      <c r="D128" s="1" t="s">
        <v>344</v>
      </c>
      <c r="E128" s="6">
        <v>45908</v>
      </c>
      <c r="F128" s="1">
        <v>82173.399999999994</v>
      </c>
      <c r="G128" s="1">
        <v>102173.4</v>
      </c>
      <c r="H128" s="1">
        <v>5556.5</v>
      </c>
      <c r="I128" s="1">
        <v>14443.5</v>
      </c>
      <c r="J128" s="1">
        <v>87729.9</v>
      </c>
      <c r="K128" s="1">
        <v>39</v>
      </c>
      <c r="L128" s="1">
        <v>215.45547231270371</v>
      </c>
      <c r="M128" s="1">
        <v>101.37613605687029</v>
      </c>
      <c r="N128" s="7">
        <v>45947</v>
      </c>
      <c r="O128" s="1">
        <v>20000</v>
      </c>
      <c r="P128" s="7">
        <v>46048.376136053237</v>
      </c>
      <c r="Q128" s="1" t="s">
        <v>330</v>
      </c>
      <c r="T128" s="1" t="s">
        <v>345</v>
      </c>
      <c r="U128" s="1" t="s">
        <v>346</v>
      </c>
      <c r="V128" s="1">
        <v>1</v>
      </c>
      <c r="W128" s="3">
        <v>10535.04</v>
      </c>
      <c r="X128" s="3">
        <v>10535.04</v>
      </c>
      <c r="Y128" s="1" t="str">
        <f>VLOOKUP(A128,[1]Detalle!$D$2:$CR$484,93,FALSE)</f>
        <v>SUC_CTC - Sucursal Buenos Aires</v>
      </c>
    </row>
    <row r="129" spans="1:25" ht="14.25" customHeight="1" x14ac:dyDescent="0.3">
      <c r="A129" s="1" t="s">
        <v>153</v>
      </c>
      <c r="B129" s="1" t="s">
        <v>343</v>
      </c>
      <c r="C129" s="1" t="s">
        <v>343</v>
      </c>
      <c r="D129" s="1" t="s">
        <v>344</v>
      </c>
      <c r="E129" s="6">
        <v>45908</v>
      </c>
      <c r="F129" s="1">
        <v>82173.399999999994</v>
      </c>
      <c r="G129" s="1">
        <v>102173.4</v>
      </c>
      <c r="H129" s="1">
        <v>5556.5</v>
      </c>
      <c r="I129" s="1">
        <v>14443.5</v>
      </c>
      <c r="J129" s="1">
        <v>87729.9</v>
      </c>
      <c r="K129" s="1">
        <v>39</v>
      </c>
      <c r="L129" s="1">
        <v>215.45547231270371</v>
      </c>
      <c r="M129" s="1">
        <v>101.37613605687029</v>
      </c>
      <c r="N129" s="7">
        <v>45947</v>
      </c>
      <c r="O129" s="1">
        <v>20000</v>
      </c>
      <c r="P129" s="7">
        <v>46048.376136053237</v>
      </c>
      <c r="Q129" s="1" t="s">
        <v>330</v>
      </c>
      <c r="T129" s="1" t="s">
        <v>347</v>
      </c>
      <c r="U129" s="1" t="s">
        <v>348</v>
      </c>
      <c r="V129" s="1">
        <v>1</v>
      </c>
      <c r="W129" s="3">
        <v>19410.240000000002</v>
      </c>
      <c r="X129" s="3">
        <v>19410.240000000002</v>
      </c>
      <c r="Y129" s="1" t="str">
        <f>VLOOKUP(A129,[1]Detalle!$D$2:$CR$484,93,FALSE)</f>
        <v>SUC_CTC - Sucursal Buenos Aires</v>
      </c>
    </row>
    <row r="130" spans="1:25" ht="14.25" customHeight="1" x14ac:dyDescent="0.3">
      <c r="A130" s="1" t="s">
        <v>145</v>
      </c>
      <c r="B130" s="1" t="s">
        <v>343</v>
      </c>
      <c r="C130" s="1" t="s">
        <v>343</v>
      </c>
      <c r="D130" s="1" t="s">
        <v>344</v>
      </c>
      <c r="E130" s="6">
        <v>45848</v>
      </c>
      <c r="F130" s="1">
        <v>234133</v>
      </c>
      <c r="G130" s="1">
        <v>254133</v>
      </c>
      <c r="H130" s="1">
        <v>4079.8</v>
      </c>
      <c r="I130" s="1">
        <v>15920.2</v>
      </c>
      <c r="J130" s="1">
        <v>238212.8</v>
      </c>
      <c r="K130" s="1">
        <v>99</v>
      </c>
      <c r="L130" s="1">
        <v>38.995387096774238</v>
      </c>
      <c r="M130" s="1">
        <v>386.31790774057549</v>
      </c>
      <c r="N130" s="7">
        <v>45947</v>
      </c>
      <c r="O130" s="1">
        <v>20000</v>
      </c>
      <c r="P130" s="7">
        <v>46333.317907743047</v>
      </c>
      <c r="Q130" s="1" t="s">
        <v>330</v>
      </c>
      <c r="T130" s="1" t="s">
        <v>345</v>
      </c>
      <c r="U130" s="1" t="s">
        <v>346</v>
      </c>
      <c r="V130" s="1">
        <v>1</v>
      </c>
      <c r="W130" s="3">
        <v>10535.04</v>
      </c>
      <c r="X130" s="3">
        <v>10535.04</v>
      </c>
      <c r="Y130" s="1" t="str">
        <f>VLOOKUP(A130,[1]Detalle!$D$2:$CR$484,93,FALSE)</f>
        <v>CCUCoAZA</v>
      </c>
    </row>
    <row r="131" spans="1:25" ht="14.25" customHeight="1" x14ac:dyDescent="0.3">
      <c r="A131" s="1" t="s">
        <v>145</v>
      </c>
      <c r="B131" s="1" t="s">
        <v>343</v>
      </c>
      <c r="C131" s="1" t="s">
        <v>343</v>
      </c>
      <c r="D131" s="1" t="s">
        <v>344</v>
      </c>
      <c r="E131" s="6">
        <v>45848</v>
      </c>
      <c r="F131" s="1">
        <v>234133</v>
      </c>
      <c r="G131" s="1">
        <v>254133</v>
      </c>
      <c r="H131" s="1">
        <v>4079.8</v>
      </c>
      <c r="I131" s="1">
        <v>15920.2</v>
      </c>
      <c r="J131" s="1">
        <v>238212.8</v>
      </c>
      <c r="K131" s="1">
        <v>99</v>
      </c>
      <c r="L131" s="1">
        <v>38.995387096774238</v>
      </c>
      <c r="M131" s="1">
        <v>386.31790774057549</v>
      </c>
      <c r="N131" s="7">
        <v>45947</v>
      </c>
      <c r="O131" s="1">
        <v>20000</v>
      </c>
      <c r="P131" s="7">
        <v>46333.317907743047</v>
      </c>
      <c r="Q131" s="1" t="s">
        <v>330</v>
      </c>
      <c r="T131" s="1" t="s">
        <v>347</v>
      </c>
      <c r="U131" s="1" t="s">
        <v>348</v>
      </c>
      <c r="V131" s="1">
        <v>1</v>
      </c>
      <c r="W131" s="3">
        <v>19410.240000000002</v>
      </c>
      <c r="X131" s="3">
        <v>19410.240000000002</v>
      </c>
      <c r="Y131" s="1" t="str">
        <f>VLOOKUP(A131,[1]Detalle!$D$2:$CR$484,93,FALSE)</f>
        <v>CCUCoAZA</v>
      </c>
    </row>
    <row r="132" spans="1:25" ht="14.25" customHeight="1" x14ac:dyDescent="0.3">
      <c r="A132" s="1" t="s">
        <v>134</v>
      </c>
      <c r="B132" s="1" t="s">
        <v>343</v>
      </c>
      <c r="C132" s="1" t="s">
        <v>343</v>
      </c>
      <c r="D132" s="1" t="s">
        <v>344</v>
      </c>
      <c r="E132" s="6">
        <v>45883</v>
      </c>
      <c r="F132" s="1">
        <v>377434</v>
      </c>
      <c r="G132" s="1">
        <v>397434</v>
      </c>
      <c r="H132" s="1">
        <v>3731.5</v>
      </c>
      <c r="I132" s="1">
        <v>16268.5</v>
      </c>
      <c r="J132" s="1">
        <v>381165.5</v>
      </c>
      <c r="K132" s="1">
        <v>64</v>
      </c>
      <c r="L132" s="1">
        <v>73.269176029962509</v>
      </c>
      <c r="M132" s="1">
        <v>279.0255929250971</v>
      </c>
      <c r="N132" s="7">
        <v>45947</v>
      </c>
      <c r="O132" s="1">
        <v>20000</v>
      </c>
      <c r="P132" s="7">
        <v>46226.025592928243</v>
      </c>
      <c r="Q132" s="1" t="s">
        <v>330</v>
      </c>
      <c r="T132" s="1" t="s">
        <v>345</v>
      </c>
      <c r="U132" s="1" t="s">
        <v>346</v>
      </c>
      <c r="V132" s="1">
        <v>1</v>
      </c>
      <c r="W132" s="3">
        <v>10535.04</v>
      </c>
      <c r="X132" s="3">
        <v>10535.04</v>
      </c>
      <c r="Y132" s="1" t="str">
        <f>VLOOKUP(A132,[1]Detalle!$D$2:$CR$484,93,FALSE)</f>
        <v>SUC_CTC - Sucursal Buenos Aires</v>
      </c>
    </row>
    <row r="133" spans="1:25" ht="14.25" customHeight="1" x14ac:dyDescent="0.3">
      <c r="A133" s="1" t="s">
        <v>134</v>
      </c>
      <c r="B133" s="1" t="s">
        <v>343</v>
      </c>
      <c r="C133" s="1" t="s">
        <v>343</v>
      </c>
      <c r="D133" s="1" t="s">
        <v>344</v>
      </c>
      <c r="E133" s="6">
        <v>45883</v>
      </c>
      <c r="F133" s="1">
        <v>377434</v>
      </c>
      <c r="G133" s="1">
        <v>397434</v>
      </c>
      <c r="H133" s="1">
        <v>3731.5</v>
      </c>
      <c r="I133" s="1">
        <v>16268.5</v>
      </c>
      <c r="J133" s="1">
        <v>381165.5</v>
      </c>
      <c r="K133" s="1">
        <v>64</v>
      </c>
      <c r="L133" s="1">
        <v>73.269176029962509</v>
      </c>
      <c r="M133" s="1">
        <v>279.0255929250971</v>
      </c>
      <c r="N133" s="7">
        <v>45947</v>
      </c>
      <c r="O133" s="1">
        <v>20000</v>
      </c>
      <c r="P133" s="7">
        <v>46226.025592928243</v>
      </c>
      <c r="Q133" s="1" t="s">
        <v>330</v>
      </c>
      <c r="T133" s="1" t="s">
        <v>347</v>
      </c>
      <c r="U133" s="1" t="s">
        <v>348</v>
      </c>
      <c r="V133" s="1">
        <v>1</v>
      </c>
      <c r="W133" s="3">
        <v>19410.240000000002</v>
      </c>
      <c r="X133" s="3">
        <v>19410.240000000002</v>
      </c>
      <c r="Y133" s="1" t="str">
        <f>VLOOKUP(A133,[1]Detalle!$D$2:$CR$484,93,FALSE)</f>
        <v>SUC_CTC - Sucursal Buenos Aires</v>
      </c>
    </row>
    <row r="134" spans="1:25" ht="14.25" customHeight="1" x14ac:dyDescent="0.3">
      <c r="A134" s="1" t="s">
        <v>120</v>
      </c>
      <c r="B134" s="1" t="s">
        <v>343</v>
      </c>
      <c r="C134" s="1" t="s">
        <v>343</v>
      </c>
      <c r="D134" s="1" t="s">
        <v>344</v>
      </c>
      <c r="E134" s="6">
        <v>45617</v>
      </c>
      <c r="F134" s="1">
        <v>17571.7</v>
      </c>
      <c r="G134" s="1">
        <v>37571.699999999997</v>
      </c>
      <c r="H134" s="1">
        <v>31178.54</v>
      </c>
      <c r="I134" s="1">
        <v>-11178.54</v>
      </c>
      <c r="J134" s="1">
        <v>48750.239999999998</v>
      </c>
      <c r="K134" s="1">
        <v>330</v>
      </c>
      <c r="L134" s="1">
        <v>86.918456591639867</v>
      </c>
      <c r="M134" s="1">
        <v>-118.3159378213348</v>
      </c>
      <c r="N134" s="7">
        <v>45947</v>
      </c>
      <c r="O134" s="1">
        <v>20000</v>
      </c>
      <c r="P134" s="7">
        <v>46177.100726412027</v>
      </c>
      <c r="Q134" s="1" t="s">
        <v>330</v>
      </c>
      <c r="T134" s="1" t="s">
        <v>345</v>
      </c>
      <c r="U134" s="1" t="s">
        <v>346</v>
      </c>
      <c r="V134" s="1">
        <v>1</v>
      </c>
      <c r="W134" s="3">
        <v>10535.04</v>
      </c>
      <c r="X134" s="3">
        <v>10535.04</v>
      </c>
      <c r="Y134" s="1" t="str">
        <f>VLOOKUP(A134,[1]Detalle!$D$2:$CR$484,93,FALSE)</f>
        <v>SUC_MEN - Sucursal Mendoza</v>
      </c>
    </row>
    <row r="135" spans="1:25" ht="14.25" customHeight="1" x14ac:dyDescent="0.3">
      <c r="A135" s="1" t="s">
        <v>120</v>
      </c>
      <c r="B135" s="1" t="s">
        <v>343</v>
      </c>
      <c r="C135" s="1" t="s">
        <v>343</v>
      </c>
      <c r="D135" s="1" t="s">
        <v>344</v>
      </c>
      <c r="E135" s="6">
        <v>45617</v>
      </c>
      <c r="F135" s="1">
        <v>17571.7</v>
      </c>
      <c r="G135" s="1">
        <v>37571.699999999997</v>
      </c>
      <c r="H135" s="1">
        <v>31178.54</v>
      </c>
      <c r="I135" s="1">
        <v>-11178.54</v>
      </c>
      <c r="J135" s="1">
        <v>48750.239999999998</v>
      </c>
      <c r="K135" s="1">
        <v>330</v>
      </c>
      <c r="L135" s="1">
        <v>86.918456591639867</v>
      </c>
      <c r="M135" s="1">
        <v>-118.3159378213348</v>
      </c>
      <c r="N135" s="7">
        <v>45947</v>
      </c>
      <c r="O135" s="1">
        <v>20000</v>
      </c>
      <c r="P135" s="7">
        <v>46177.100726412027</v>
      </c>
      <c r="Q135" s="1" t="s">
        <v>330</v>
      </c>
      <c r="T135" s="1" t="s">
        <v>347</v>
      </c>
      <c r="U135" s="1" t="s">
        <v>348</v>
      </c>
      <c r="V135" s="1">
        <v>1</v>
      </c>
      <c r="W135" s="3">
        <v>19410.240000000002</v>
      </c>
      <c r="X135" s="3">
        <v>19410.240000000002</v>
      </c>
      <c r="Y135" s="1" t="str">
        <f>VLOOKUP(A135,[1]Detalle!$D$2:$CR$484,93,FALSE)</f>
        <v>SUC_MEN - Sucursal Mendoza</v>
      </c>
    </row>
    <row r="136" spans="1:25" ht="14.25" customHeight="1" x14ac:dyDescent="0.3">
      <c r="A136" s="1" t="s">
        <v>141</v>
      </c>
      <c r="B136" s="1" t="s">
        <v>343</v>
      </c>
      <c r="C136" s="1" t="s">
        <v>343</v>
      </c>
      <c r="D136" s="1" t="s">
        <v>344</v>
      </c>
      <c r="E136" s="6">
        <v>45862</v>
      </c>
      <c r="F136" s="1">
        <v>484180</v>
      </c>
      <c r="G136" s="1">
        <v>504180</v>
      </c>
      <c r="H136" s="1">
        <v>6154.3000000000011</v>
      </c>
      <c r="I136" s="1">
        <v>13845.7</v>
      </c>
      <c r="J136" s="1">
        <v>490334.3</v>
      </c>
      <c r="K136" s="1">
        <v>85</v>
      </c>
      <c r="L136" s="1">
        <v>131.1199356913184</v>
      </c>
      <c r="M136" s="1">
        <v>191.22962806493021</v>
      </c>
      <c r="N136" s="7">
        <v>45947</v>
      </c>
      <c r="O136" s="1">
        <v>20000</v>
      </c>
      <c r="P136" s="7">
        <v>46138.229628067129</v>
      </c>
      <c r="Q136" s="1" t="s">
        <v>330</v>
      </c>
      <c r="T136" s="1" t="s">
        <v>345</v>
      </c>
      <c r="U136" s="1" t="s">
        <v>346</v>
      </c>
      <c r="V136" s="1">
        <v>1</v>
      </c>
      <c r="W136" s="3">
        <v>10535.04</v>
      </c>
      <c r="X136" s="3">
        <v>10535.04</v>
      </c>
      <c r="Y136" s="1" t="str">
        <f>VLOOKUP(A136,[1]Detalle!$D$2:$CR$484,93,FALSE)</f>
        <v>Unilever - Unilever de Arg. S.A.</v>
      </c>
    </row>
    <row r="137" spans="1:25" ht="14.25" customHeight="1" x14ac:dyDescent="0.3">
      <c r="A137" s="1" t="s">
        <v>141</v>
      </c>
      <c r="B137" s="1" t="s">
        <v>343</v>
      </c>
      <c r="C137" s="1" t="s">
        <v>343</v>
      </c>
      <c r="D137" s="1" t="s">
        <v>344</v>
      </c>
      <c r="E137" s="6">
        <v>45862</v>
      </c>
      <c r="F137" s="1">
        <v>484180</v>
      </c>
      <c r="G137" s="1">
        <v>504180</v>
      </c>
      <c r="H137" s="1">
        <v>6154.3000000000011</v>
      </c>
      <c r="I137" s="1">
        <v>13845.7</v>
      </c>
      <c r="J137" s="1">
        <v>490334.3</v>
      </c>
      <c r="K137" s="1">
        <v>85</v>
      </c>
      <c r="L137" s="1">
        <v>131.1199356913184</v>
      </c>
      <c r="M137" s="1">
        <v>191.22962806493021</v>
      </c>
      <c r="N137" s="7">
        <v>45947</v>
      </c>
      <c r="O137" s="1">
        <v>20000</v>
      </c>
      <c r="P137" s="7">
        <v>46138.229628067129</v>
      </c>
      <c r="Q137" s="1" t="s">
        <v>330</v>
      </c>
      <c r="T137" s="1" t="s">
        <v>347</v>
      </c>
      <c r="U137" s="1" t="s">
        <v>348</v>
      </c>
      <c r="V137" s="1">
        <v>1</v>
      </c>
      <c r="W137" s="3">
        <v>19410.240000000002</v>
      </c>
      <c r="X137" s="3">
        <v>19410.240000000002</v>
      </c>
      <c r="Y137" s="1" t="str">
        <f>VLOOKUP(A137,[1]Detalle!$D$2:$CR$484,93,FALSE)</f>
        <v>Unilever - Unilever de Arg. S.A.</v>
      </c>
    </row>
    <row r="138" spans="1:25" ht="14.25" customHeight="1" x14ac:dyDescent="0.3">
      <c r="A138" s="1" t="s">
        <v>150</v>
      </c>
      <c r="B138" s="1" t="s">
        <v>343</v>
      </c>
      <c r="C138" s="1" t="s">
        <v>343</v>
      </c>
      <c r="D138" s="1" t="s">
        <v>344</v>
      </c>
      <c r="E138" s="6">
        <v>45905</v>
      </c>
      <c r="F138" s="1">
        <v>733433</v>
      </c>
      <c r="G138" s="1">
        <v>753433</v>
      </c>
      <c r="H138" s="1">
        <v>2805.7</v>
      </c>
      <c r="I138" s="1">
        <v>17194.3</v>
      </c>
      <c r="J138" s="1">
        <v>736238.7</v>
      </c>
      <c r="K138" s="1">
        <v>42</v>
      </c>
      <c r="L138" s="1">
        <v>143.50707395498381</v>
      </c>
      <c r="M138" s="1">
        <v>257.39052642834241</v>
      </c>
      <c r="N138" s="7">
        <v>45947</v>
      </c>
      <c r="O138" s="1">
        <v>20000</v>
      </c>
      <c r="P138" s="7">
        <v>46204.390526423609</v>
      </c>
      <c r="Q138" s="1" t="s">
        <v>330</v>
      </c>
      <c r="T138" s="1" t="s">
        <v>345</v>
      </c>
      <c r="U138" s="1" t="s">
        <v>346</v>
      </c>
      <c r="V138" s="1">
        <v>1</v>
      </c>
      <c r="W138" s="3">
        <v>10535.04</v>
      </c>
      <c r="X138" s="3">
        <v>10535.04</v>
      </c>
      <c r="Y138" s="1" t="str">
        <f>VLOOKUP(A138,[1]Detalle!$D$2:$CR$484,93,FALSE)</f>
        <v>Papelera - Papelera del Plata S.A.</v>
      </c>
    </row>
    <row r="139" spans="1:25" ht="14.25" customHeight="1" x14ac:dyDescent="0.3">
      <c r="A139" s="1" t="s">
        <v>150</v>
      </c>
      <c r="B139" s="1" t="s">
        <v>343</v>
      </c>
      <c r="C139" s="1" t="s">
        <v>343</v>
      </c>
      <c r="D139" s="1" t="s">
        <v>344</v>
      </c>
      <c r="E139" s="6">
        <v>45905</v>
      </c>
      <c r="F139" s="1">
        <v>733433</v>
      </c>
      <c r="G139" s="1">
        <v>753433</v>
      </c>
      <c r="H139" s="1">
        <v>2805.7</v>
      </c>
      <c r="I139" s="1">
        <v>17194.3</v>
      </c>
      <c r="J139" s="1">
        <v>736238.7</v>
      </c>
      <c r="K139" s="1">
        <v>42</v>
      </c>
      <c r="L139" s="1">
        <v>143.50707395498381</v>
      </c>
      <c r="M139" s="1">
        <v>257.39052642834241</v>
      </c>
      <c r="N139" s="7">
        <v>45947</v>
      </c>
      <c r="O139" s="1">
        <v>20000</v>
      </c>
      <c r="P139" s="7">
        <v>46204.390526423609</v>
      </c>
      <c r="Q139" s="1" t="s">
        <v>330</v>
      </c>
      <c r="T139" s="1" t="s">
        <v>347</v>
      </c>
      <c r="U139" s="1" t="s">
        <v>348</v>
      </c>
      <c r="V139" s="1">
        <v>1</v>
      </c>
      <c r="W139" s="3">
        <v>19410.240000000002</v>
      </c>
      <c r="X139" s="3">
        <v>19410.240000000002</v>
      </c>
      <c r="Y139" s="1" t="str">
        <f>VLOOKUP(A139,[1]Detalle!$D$2:$CR$484,93,FALSE)</f>
        <v>Papelera - Papelera del Plata S.A.</v>
      </c>
    </row>
    <row r="140" spans="1:25" ht="14.25" customHeight="1" x14ac:dyDescent="0.3">
      <c r="A140" s="1" t="s">
        <v>158</v>
      </c>
      <c r="B140" s="1" t="s">
        <v>343</v>
      </c>
      <c r="C140" s="1" t="s">
        <v>343</v>
      </c>
      <c r="D140" s="1" t="s">
        <v>344</v>
      </c>
      <c r="E140" s="6">
        <v>45762</v>
      </c>
      <c r="F140" s="1">
        <v>779819</v>
      </c>
      <c r="G140" s="1">
        <v>799819</v>
      </c>
      <c r="H140" s="1">
        <v>16921.500000000011</v>
      </c>
      <c r="I140" s="1">
        <v>3078.4999999999932</v>
      </c>
      <c r="J140" s="1">
        <v>796740.5</v>
      </c>
      <c r="K140" s="1">
        <v>185</v>
      </c>
      <c r="L140" s="1">
        <v>75.425496688741674</v>
      </c>
      <c r="M140" s="1">
        <v>33.656738468811767</v>
      </c>
      <c r="N140" s="7">
        <v>45947</v>
      </c>
      <c r="O140" s="1">
        <v>20000</v>
      </c>
      <c r="P140" s="7">
        <v>46245.819062592593</v>
      </c>
      <c r="Q140" s="1" t="s">
        <v>330</v>
      </c>
      <c r="T140" s="1" t="s">
        <v>345</v>
      </c>
      <c r="U140" s="1" t="s">
        <v>346</v>
      </c>
      <c r="V140" s="1">
        <v>1</v>
      </c>
      <c r="W140" s="3">
        <v>10535.04</v>
      </c>
      <c r="X140" s="3">
        <v>10535.04</v>
      </c>
      <c r="Y140" s="1" t="str">
        <f>VLOOKUP(A140,[1]Detalle!$D$2:$CR$484,93,FALSE)</f>
        <v>JOHNSON - SC JOHNSON DE ARGENTINA SAIC</v>
      </c>
    </row>
    <row r="141" spans="1:25" ht="14.25" customHeight="1" x14ac:dyDescent="0.3">
      <c r="A141" s="1" t="s">
        <v>158</v>
      </c>
      <c r="B141" s="1" t="s">
        <v>343</v>
      </c>
      <c r="C141" s="1" t="s">
        <v>343</v>
      </c>
      <c r="D141" s="1" t="s">
        <v>344</v>
      </c>
      <c r="E141" s="6">
        <v>45762</v>
      </c>
      <c r="F141" s="1">
        <v>779819</v>
      </c>
      <c r="G141" s="1">
        <v>799819</v>
      </c>
      <c r="H141" s="1">
        <v>16921.500000000011</v>
      </c>
      <c r="I141" s="1">
        <v>3078.4999999999932</v>
      </c>
      <c r="J141" s="1">
        <v>796740.5</v>
      </c>
      <c r="K141" s="1">
        <v>185</v>
      </c>
      <c r="L141" s="1">
        <v>75.425496688741674</v>
      </c>
      <c r="M141" s="1">
        <v>33.656738468811767</v>
      </c>
      <c r="N141" s="7">
        <v>45947</v>
      </c>
      <c r="O141" s="1">
        <v>20000</v>
      </c>
      <c r="P141" s="7">
        <v>46245.819062592593</v>
      </c>
      <c r="Q141" s="1" t="s">
        <v>330</v>
      </c>
      <c r="T141" s="1" t="s">
        <v>347</v>
      </c>
      <c r="U141" s="1" t="s">
        <v>348</v>
      </c>
      <c r="V141" s="1">
        <v>1</v>
      </c>
      <c r="W141" s="3">
        <v>19410.240000000002</v>
      </c>
      <c r="X141" s="3">
        <v>19410.240000000002</v>
      </c>
      <c r="Y141" s="1" t="str">
        <f>VLOOKUP(A141,[1]Detalle!$D$2:$CR$484,93,FALSE)</f>
        <v>JOHNSON - SC JOHNSON DE ARGENTINA SAIC</v>
      </c>
    </row>
    <row r="142" spans="1:25" ht="14.25" customHeight="1" x14ac:dyDescent="0.3">
      <c r="A142" s="1" t="s">
        <v>147</v>
      </c>
      <c r="B142" s="1" t="s">
        <v>343</v>
      </c>
      <c r="C142" s="1" t="s">
        <v>343</v>
      </c>
      <c r="D142" s="1" t="s">
        <v>344</v>
      </c>
      <c r="E142" s="6">
        <v>45723</v>
      </c>
      <c r="F142" s="1">
        <v>27910.9</v>
      </c>
      <c r="G142" s="1">
        <v>47910.9</v>
      </c>
      <c r="H142" s="1">
        <v>19185.899999999991</v>
      </c>
      <c r="I142" s="1">
        <v>814.10000000000582</v>
      </c>
      <c r="J142" s="1">
        <v>47096.800000000003</v>
      </c>
      <c r="K142" s="1">
        <v>224</v>
      </c>
      <c r="L142" s="1">
        <v>76.974301470588202</v>
      </c>
      <c r="M142" s="1">
        <v>9.5048134306965721</v>
      </c>
      <c r="N142" s="7">
        <v>45947</v>
      </c>
      <c r="O142" s="1">
        <v>20000</v>
      </c>
      <c r="P142" s="7">
        <v>46216.331789675933</v>
      </c>
      <c r="Q142" s="1" t="s">
        <v>330</v>
      </c>
      <c r="T142" s="1" t="s">
        <v>345</v>
      </c>
      <c r="U142" s="1" t="s">
        <v>346</v>
      </c>
      <c r="V142" s="1">
        <v>1</v>
      </c>
      <c r="W142" s="3">
        <v>10535.04</v>
      </c>
      <c r="X142" s="3">
        <v>10535.04</v>
      </c>
      <c r="Y142" s="1" t="str">
        <f>VLOOKUP(A142,[1]Detalle!$D$2:$CR$484,93,FALSE)</f>
        <v>SUC_SLU - Sucursal San Luis</v>
      </c>
    </row>
    <row r="143" spans="1:25" ht="14.25" customHeight="1" x14ac:dyDescent="0.3">
      <c r="A143" s="1" t="s">
        <v>147</v>
      </c>
      <c r="B143" s="1" t="s">
        <v>343</v>
      </c>
      <c r="C143" s="1" t="s">
        <v>343</v>
      </c>
      <c r="D143" s="1" t="s">
        <v>344</v>
      </c>
      <c r="E143" s="6">
        <v>45723</v>
      </c>
      <c r="F143" s="1">
        <v>27910.9</v>
      </c>
      <c r="G143" s="1">
        <v>47910.9</v>
      </c>
      <c r="H143" s="1">
        <v>19185.899999999991</v>
      </c>
      <c r="I143" s="1">
        <v>814.10000000000582</v>
      </c>
      <c r="J143" s="1">
        <v>47096.800000000003</v>
      </c>
      <c r="K143" s="1">
        <v>224</v>
      </c>
      <c r="L143" s="1">
        <v>76.974301470588202</v>
      </c>
      <c r="M143" s="1">
        <v>9.5048134306965721</v>
      </c>
      <c r="N143" s="7">
        <v>45947</v>
      </c>
      <c r="O143" s="1">
        <v>20000</v>
      </c>
      <c r="P143" s="7">
        <v>46216.331789675933</v>
      </c>
      <c r="Q143" s="1" t="s">
        <v>330</v>
      </c>
      <c r="T143" s="1" t="s">
        <v>347</v>
      </c>
      <c r="U143" s="1" t="s">
        <v>348</v>
      </c>
      <c r="V143" s="1">
        <v>1</v>
      </c>
      <c r="W143" s="3">
        <v>19410.240000000002</v>
      </c>
      <c r="X143" s="3">
        <v>19410.240000000002</v>
      </c>
      <c r="Y143" s="1" t="str">
        <f>VLOOKUP(A143,[1]Detalle!$D$2:$CR$484,93,FALSE)</f>
        <v>SUC_SLU - Sucursal San Luis</v>
      </c>
    </row>
    <row r="144" spans="1:25" ht="14.25" customHeight="1" x14ac:dyDescent="0.3">
      <c r="A144" s="1" t="s">
        <v>154</v>
      </c>
      <c r="B144" s="1" t="s">
        <v>343</v>
      </c>
      <c r="C144" s="1" t="s">
        <v>343</v>
      </c>
      <c r="D144" s="1" t="s">
        <v>344</v>
      </c>
      <c r="E144" s="6">
        <v>45772</v>
      </c>
      <c r="F144" s="1">
        <v>264479</v>
      </c>
      <c r="G144" s="1">
        <v>284479</v>
      </c>
      <c r="H144" s="1">
        <v>6327.5000000000045</v>
      </c>
      <c r="I144" s="1">
        <v>13672.499999999991</v>
      </c>
      <c r="J144" s="1">
        <v>270806.5</v>
      </c>
      <c r="K144" s="1">
        <v>175</v>
      </c>
      <c r="L144" s="1">
        <v>34.372709677419373</v>
      </c>
      <c r="M144" s="1">
        <v>378.14105096799642</v>
      </c>
      <c r="N144" s="7">
        <v>45947</v>
      </c>
      <c r="O144" s="1">
        <v>20000</v>
      </c>
      <c r="P144" s="7">
        <v>46325.141050972219</v>
      </c>
      <c r="Q144" s="1" t="s">
        <v>330</v>
      </c>
      <c r="T144" s="1" t="s">
        <v>345</v>
      </c>
      <c r="U144" s="1" t="s">
        <v>346</v>
      </c>
      <c r="V144" s="1">
        <v>1</v>
      </c>
      <c r="W144" s="3">
        <v>10535.04</v>
      </c>
      <c r="X144" s="3">
        <v>10535.04</v>
      </c>
      <c r="Y144" s="1" t="str">
        <f>VLOOKUP(A144,[1]Detalle!$D$2:$CR$484,93,FALSE)</f>
        <v>CCUCoAZA</v>
      </c>
    </row>
    <row r="145" spans="1:25" ht="14.25" customHeight="1" x14ac:dyDescent="0.3">
      <c r="A145" s="1" t="s">
        <v>154</v>
      </c>
      <c r="B145" s="1" t="s">
        <v>343</v>
      </c>
      <c r="C145" s="1" t="s">
        <v>343</v>
      </c>
      <c r="D145" s="1" t="s">
        <v>344</v>
      </c>
      <c r="E145" s="6">
        <v>45772</v>
      </c>
      <c r="F145" s="1">
        <v>264479</v>
      </c>
      <c r="G145" s="1">
        <v>284479</v>
      </c>
      <c r="H145" s="1">
        <v>6327.5000000000045</v>
      </c>
      <c r="I145" s="1">
        <v>13672.499999999991</v>
      </c>
      <c r="J145" s="1">
        <v>270806.5</v>
      </c>
      <c r="K145" s="1">
        <v>175</v>
      </c>
      <c r="L145" s="1">
        <v>34.372709677419373</v>
      </c>
      <c r="M145" s="1">
        <v>378.14105096799642</v>
      </c>
      <c r="N145" s="7">
        <v>45947</v>
      </c>
      <c r="O145" s="1">
        <v>20000</v>
      </c>
      <c r="P145" s="7">
        <v>46325.141050972219</v>
      </c>
      <c r="Q145" s="1" t="s">
        <v>330</v>
      </c>
      <c r="T145" s="1" t="s">
        <v>347</v>
      </c>
      <c r="U145" s="1" t="s">
        <v>348</v>
      </c>
      <c r="V145" s="1">
        <v>1</v>
      </c>
      <c r="W145" s="3">
        <v>19410.240000000002</v>
      </c>
      <c r="X145" s="3">
        <v>19410.240000000002</v>
      </c>
      <c r="Y145" s="1" t="str">
        <f>VLOOKUP(A145,[1]Detalle!$D$2:$CR$484,93,FALSE)</f>
        <v>CCUCoAZA</v>
      </c>
    </row>
    <row r="146" spans="1:25" ht="14.25" customHeight="1" x14ac:dyDescent="0.3">
      <c r="A146" s="1" t="s">
        <v>109</v>
      </c>
      <c r="B146" s="1" t="s">
        <v>343</v>
      </c>
      <c r="C146" s="1" t="s">
        <v>343</v>
      </c>
      <c r="D146" s="1" t="s">
        <v>344</v>
      </c>
      <c r="E146" s="6">
        <v>45841</v>
      </c>
      <c r="F146" s="1">
        <v>16065.4</v>
      </c>
      <c r="G146" s="1">
        <v>36065.4</v>
      </c>
      <c r="H146" s="1">
        <v>5233.4000000000005</v>
      </c>
      <c r="I146" s="1">
        <v>14766.6</v>
      </c>
      <c r="J146" s="1">
        <v>21298.799999999999</v>
      </c>
      <c r="K146" s="1">
        <v>106</v>
      </c>
      <c r="L146" s="1">
        <v>61.480495049504917</v>
      </c>
      <c r="M146" s="1">
        <v>299.09038101425449</v>
      </c>
      <c r="N146" s="7">
        <v>45947</v>
      </c>
      <c r="O146" s="1">
        <v>20000</v>
      </c>
      <c r="P146" s="7">
        <v>46246.090381018519</v>
      </c>
      <c r="Q146" s="1" t="s">
        <v>330</v>
      </c>
      <c r="T146" s="1" t="s">
        <v>345</v>
      </c>
      <c r="U146" s="1" t="s">
        <v>346</v>
      </c>
      <c r="V146" s="1">
        <v>1</v>
      </c>
      <c r="W146" s="3">
        <v>10535.04</v>
      </c>
      <c r="X146" s="3">
        <v>10535.04</v>
      </c>
      <c r="Y146" s="1" t="str">
        <f>VLOOKUP(A146,[1]Detalle!$D$2:$CR$484,93,FALSE)</f>
        <v>JOHNSON - SC JOHNSON DE ARGENTINA SAIC</v>
      </c>
    </row>
    <row r="147" spans="1:25" ht="14.25" customHeight="1" x14ac:dyDescent="0.3">
      <c r="A147" s="1" t="s">
        <v>109</v>
      </c>
      <c r="B147" s="1" t="s">
        <v>343</v>
      </c>
      <c r="C147" s="1" t="s">
        <v>343</v>
      </c>
      <c r="D147" s="1" t="s">
        <v>344</v>
      </c>
      <c r="E147" s="6">
        <v>45841</v>
      </c>
      <c r="F147" s="1">
        <v>16065.4</v>
      </c>
      <c r="G147" s="1">
        <v>36065.4</v>
      </c>
      <c r="H147" s="1">
        <v>5233.4000000000005</v>
      </c>
      <c r="I147" s="1">
        <v>14766.6</v>
      </c>
      <c r="J147" s="1">
        <v>21298.799999999999</v>
      </c>
      <c r="K147" s="1">
        <v>106</v>
      </c>
      <c r="L147" s="1">
        <v>61.480495049504917</v>
      </c>
      <c r="M147" s="1">
        <v>299.09038101425449</v>
      </c>
      <c r="N147" s="7">
        <v>45947</v>
      </c>
      <c r="O147" s="1">
        <v>20000</v>
      </c>
      <c r="P147" s="7">
        <v>46246.090381018519</v>
      </c>
      <c r="Q147" s="1" t="s">
        <v>330</v>
      </c>
      <c r="T147" s="1" t="s">
        <v>347</v>
      </c>
      <c r="U147" s="1" t="s">
        <v>348</v>
      </c>
      <c r="V147" s="1">
        <v>1</v>
      </c>
      <c r="W147" s="3">
        <v>19410.240000000002</v>
      </c>
      <c r="X147" s="3">
        <v>19410.240000000002</v>
      </c>
      <c r="Y147" s="1" t="str">
        <f>VLOOKUP(A147,[1]Detalle!$D$2:$CR$484,93,FALSE)</f>
        <v>JOHNSON - SC JOHNSON DE ARGENTINA SAIC</v>
      </c>
    </row>
    <row r="148" spans="1:25" ht="14.25" customHeight="1" x14ac:dyDescent="0.3">
      <c r="A148" s="1" t="s">
        <v>3</v>
      </c>
      <c r="B148" s="1" t="s">
        <v>343</v>
      </c>
      <c r="C148" s="1" t="s">
        <v>343</v>
      </c>
      <c r="D148" s="1" t="s">
        <v>344</v>
      </c>
      <c r="E148" s="6">
        <v>45745</v>
      </c>
      <c r="F148" s="1">
        <v>24484.400000000001</v>
      </c>
      <c r="G148" s="1">
        <v>44484.4</v>
      </c>
      <c r="H148" s="1">
        <v>12540.1</v>
      </c>
      <c r="I148" s="1">
        <v>7459.8999999999978</v>
      </c>
      <c r="J148" s="1">
        <v>37024.5</v>
      </c>
      <c r="K148" s="1">
        <v>202</v>
      </c>
      <c r="L148" s="1">
        <v>67.727480916030515</v>
      </c>
      <c r="M148" s="1">
        <v>120.1664899003995</v>
      </c>
      <c r="N148" s="7">
        <v>45947</v>
      </c>
      <c r="O148" s="1">
        <v>20000</v>
      </c>
      <c r="P148" s="7">
        <v>46067.166489895833</v>
      </c>
      <c r="Q148" s="1" t="s">
        <v>330</v>
      </c>
      <c r="T148" s="1" t="s">
        <v>345</v>
      </c>
      <c r="U148" s="1" t="s">
        <v>346</v>
      </c>
      <c r="V148" s="1">
        <v>1</v>
      </c>
      <c r="W148" s="3">
        <v>10535.04</v>
      </c>
      <c r="X148" s="3">
        <v>10535.04</v>
      </c>
      <c r="Y148" s="1" t="str">
        <f>VLOOKUP(A148,[1]Detalle!$D$2:$CR$484,93,FALSE)</f>
        <v>CCU_MZA - Comp. Cerv. Unidas - MZA</v>
      </c>
    </row>
    <row r="149" spans="1:25" ht="14.25" customHeight="1" x14ac:dyDescent="0.3">
      <c r="A149" s="1" t="s">
        <v>3</v>
      </c>
      <c r="B149" s="1" t="s">
        <v>343</v>
      </c>
      <c r="C149" s="1" t="s">
        <v>343</v>
      </c>
      <c r="D149" s="1" t="s">
        <v>344</v>
      </c>
      <c r="E149" s="6">
        <v>45745</v>
      </c>
      <c r="F149" s="1">
        <v>24484.400000000001</v>
      </c>
      <c r="G149" s="1">
        <v>44484.4</v>
      </c>
      <c r="H149" s="1">
        <v>12540.1</v>
      </c>
      <c r="I149" s="1">
        <v>7459.8999999999978</v>
      </c>
      <c r="J149" s="1">
        <v>37024.5</v>
      </c>
      <c r="K149" s="1">
        <v>202</v>
      </c>
      <c r="L149" s="1">
        <v>67.727480916030515</v>
      </c>
      <c r="M149" s="1">
        <v>120.1664899003995</v>
      </c>
      <c r="N149" s="7">
        <v>45947</v>
      </c>
      <c r="O149" s="1">
        <v>20000</v>
      </c>
      <c r="P149" s="7">
        <v>46067.166489895833</v>
      </c>
      <c r="Q149" s="1" t="s">
        <v>330</v>
      </c>
      <c r="T149" s="1" t="s">
        <v>347</v>
      </c>
      <c r="U149" s="1" t="s">
        <v>348</v>
      </c>
      <c r="V149" s="1">
        <v>1</v>
      </c>
      <c r="W149" s="3">
        <v>19410.240000000002</v>
      </c>
      <c r="X149" s="3">
        <v>19410.240000000002</v>
      </c>
      <c r="Y149" s="1" t="str">
        <f>VLOOKUP(A149,[1]Detalle!$D$2:$CR$484,93,FALSE)</f>
        <v>CCU_MZA - Comp. Cerv. Unidas - MZA</v>
      </c>
    </row>
    <row r="150" spans="1:25" ht="14.25" customHeight="1" x14ac:dyDescent="0.3">
      <c r="A150" s="1" t="s">
        <v>75</v>
      </c>
      <c r="B150" s="1" t="s">
        <v>343</v>
      </c>
      <c r="C150" s="1" t="s">
        <v>343</v>
      </c>
      <c r="D150" s="1" t="s">
        <v>344</v>
      </c>
      <c r="E150" s="6">
        <v>45895</v>
      </c>
      <c r="F150" s="1">
        <v>60189.5</v>
      </c>
      <c r="G150" s="1">
        <v>80189.5</v>
      </c>
      <c r="H150" s="1">
        <v>4748.0999999999995</v>
      </c>
      <c r="I150" s="1">
        <v>15251.9</v>
      </c>
      <c r="J150" s="1">
        <v>64937.599999999999</v>
      </c>
      <c r="K150" s="1">
        <v>52</v>
      </c>
      <c r="L150" s="1">
        <v>83.847709677419346</v>
      </c>
      <c r="M150" s="1">
        <v>167.03498241401829</v>
      </c>
      <c r="N150" s="7">
        <v>45947</v>
      </c>
      <c r="O150" s="1">
        <v>20000</v>
      </c>
      <c r="P150" s="7">
        <v>46114.034982418983</v>
      </c>
      <c r="Q150" s="1" t="s">
        <v>330</v>
      </c>
      <c r="T150" s="1" t="s">
        <v>345</v>
      </c>
      <c r="U150" s="1" t="s">
        <v>346</v>
      </c>
      <c r="V150" s="1">
        <v>1</v>
      </c>
      <c r="W150" s="3">
        <v>10535.04</v>
      </c>
      <c r="X150" s="3">
        <v>10535.04</v>
      </c>
      <c r="Y150" s="1" t="str">
        <f>VLOOKUP(A150,[1]Detalle!$D$2:$CR$484,93,FALSE)</f>
        <v>Papelera - Papelera del Plata S.A.</v>
      </c>
    </row>
    <row r="151" spans="1:25" ht="14.25" customHeight="1" x14ac:dyDescent="0.3">
      <c r="A151" s="1" t="s">
        <v>75</v>
      </c>
      <c r="B151" s="1" t="s">
        <v>343</v>
      </c>
      <c r="C151" s="1" t="s">
        <v>343</v>
      </c>
      <c r="D151" s="1" t="s">
        <v>344</v>
      </c>
      <c r="E151" s="6">
        <v>45895</v>
      </c>
      <c r="F151" s="1">
        <v>60189.5</v>
      </c>
      <c r="G151" s="1">
        <v>80189.5</v>
      </c>
      <c r="H151" s="1">
        <v>4748.0999999999995</v>
      </c>
      <c r="I151" s="1">
        <v>15251.9</v>
      </c>
      <c r="J151" s="1">
        <v>64937.599999999999</v>
      </c>
      <c r="K151" s="1">
        <v>52</v>
      </c>
      <c r="L151" s="1">
        <v>83.847709677419346</v>
      </c>
      <c r="M151" s="1">
        <v>167.03498241401829</v>
      </c>
      <c r="N151" s="7">
        <v>45947</v>
      </c>
      <c r="O151" s="1">
        <v>20000</v>
      </c>
      <c r="P151" s="7">
        <v>46114.034982418983</v>
      </c>
      <c r="Q151" s="1" t="s">
        <v>330</v>
      </c>
      <c r="T151" s="1" t="s">
        <v>347</v>
      </c>
      <c r="U151" s="1" t="s">
        <v>348</v>
      </c>
      <c r="V151" s="1">
        <v>1</v>
      </c>
      <c r="W151" s="3">
        <v>19410.240000000002</v>
      </c>
      <c r="X151" s="3">
        <v>19410.240000000002</v>
      </c>
      <c r="Y151" s="1" t="str">
        <f>VLOOKUP(A151,[1]Detalle!$D$2:$CR$484,93,FALSE)</f>
        <v>Papelera - Papelera del Plata S.A.</v>
      </c>
    </row>
    <row r="152" spans="1:25" ht="14.25" customHeight="1" x14ac:dyDescent="0.3">
      <c r="A152" s="1" t="s">
        <v>149</v>
      </c>
      <c r="B152" s="1" t="s">
        <v>343</v>
      </c>
      <c r="C152" s="1" t="s">
        <v>343</v>
      </c>
      <c r="D152" s="1" t="s">
        <v>344</v>
      </c>
      <c r="E152" s="6">
        <v>45734</v>
      </c>
      <c r="F152" s="1">
        <v>662460</v>
      </c>
      <c r="G152" s="1">
        <v>682460</v>
      </c>
      <c r="H152" s="1">
        <v>20447.600000000009</v>
      </c>
      <c r="I152" s="1">
        <v>-447.60000000000582</v>
      </c>
      <c r="J152" s="1">
        <v>682907.6</v>
      </c>
      <c r="K152" s="1">
        <v>213</v>
      </c>
      <c r="L152" s="1">
        <v>113.6646794871796</v>
      </c>
      <c r="M152" s="1">
        <v>-4.6625912087482746</v>
      </c>
      <c r="N152" s="7">
        <v>45947</v>
      </c>
      <c r="O152" s="1">
        <v>20000</v>
      </c>
      <c r="P152" s="7">
        <v>46122.956155335647</v>
      </c>
      <c r="Q152" s="1" t="s">
        <v>330</v>
      </c>
      <c r="T152" s="1" t="s">
        <v>345</v>
      </c>
      <c r="U152" s="1" t="s">
        <v>346</v>
      </c>
      <c r="V152" s="1">
        <v>1</v>
      </c>
      <c r="W152" s="3">
        <v>10535.04</v>
      </c>
      <c r="X152" s="3">
        <v>10535.04</v>
      </c>
      <c r="Y152" s="1" t="str">
        <f>VLOOKUP(A152,[1]Detalle!$D$2:$CR$484,93,FALSE)</f>
        <v>Papelera - Papelera del Plata S.A.</v>
      </c>
    </row>
    <row r="153" spans="1:25" ht="14.25" customHeight="1" x14ac:dyDescent="0.3">
      <c r="A153" s="1" t="s">
        <v>149</v>
      </c>
      <c r="B153" s="1" t="s">
        <v>343</v>
      </c>
      <c r="C153" s="1" t="s">
        <v>343</v>
      </c>
      <c r="D153" s="1" t="s">
        <v>344</v>
      </c>
      <c r="E153" s="6">
        <v>45734</v>
      </c>
      <c r="F153" s="1">
        <v>662460</v>
      </c>
      <c r="G153" s="1">
        <v>682460</v>
      </c>
      <c r="H153" s="1">
        <v>20447.600000000009</v>
      </c>
      <c r="I153" s="1">
        <v>-447.60000000000582</v>
      </c>
      <c r="J153" s="1">
        <v>682907.6</v>
      </c>
      <c r="K153" s="1">
        <v>213</v>
      </c>
      <c r="L153" s="1">
        <v>113.6646794871796</v>
      </c>
      <c r="M153" s="1">
        <v>-4.6625912087482746</v>
      </c>
      <c r="N153" s="7">
        <v>45947</v>
      </c>
      <c r="O153" s="1">
        <v>20000</v>
      </c>
      <c r="P153" s="7">
        <v>46122.956155335647</v>
      </c>
      <c r="Q153" s="1" t="s">
        <v>330</v>
      </c>
      <c r="T153" s="1" t="s">
        <v>347</v>
      </c>
      <c r="U153" s="1" t="s">
        <v>348</v>
      </c>
      <c r="V153" s="1">
        <v>1</v>
      </c>
      <c r="W153" s="3">
        <v>19410.240000000002</v>
      </c>
      <c r="X153" s="3">
        <v>19410.240000000002</v>
      </c>
      <c r="Y153" s="1" t="str">
        <f>VLOOKUP(A153,[1]Detalle!$D$2:$CR$484,93,FALSE)</f>
        <v>Papelera - Papelera del Plata S.A.</v>
      </c>
    </row>
    <row r="154" spans="1:25" ht="14.25" customHeight="1" x14ac:dyDescent="0.3">
      <c r="A154" s="1" t="s">
        <v>166</v>
      </c>
      <c r="B154" s="1" t="s">
        <v>343</v>
      </c>
      <c r="C154" s="1" t="s">
        <v>343</v>
      </c>
      <c r="D154" s="1" t="s">
        <v>344</v>
      </c>
      <c r="E154" s="6">
        <v>45737</v>
      </c>
      <c r="F154" s="1">
        <v>457869</v>
      </c>
      <c r="G154" s="1">
        <v>477869</v>
      </c>
      <c r="H154" s="1">
        <v>9177.2000000000044</v>
      </c>
      <c r="I154" s="1">
        <v>10822.8</v>
      </c>
      <c r="J154" s="1">
        <v>467046.2</v>
      </c>
      <c r="K154" s="1">
        <v>210</v>
      </c>
      <c r="L154" s="1">
        <v>39.232829581993563</v>
      </c>
      <c r="M154" s="1">
        <v>247.65592991326309</v>
      </c>
      <c r="N154" s="7">
        <v>45947</v>
      </c>
      <c r="O154" s="1">
        <v>20000</v>
      </c>
      <c r="P154" s="7">
        <v>46194.655929918983</v>
      </c>
      <c r="Q154" s="1" t="s">
        <v>330</v>
      </c>
      <c r="T154" s="1" t="s">
        <v>345</v>
      </c>
      <c r="U154" s="1" t="s">
        <v>346</v>
      </c>
      <c r="V154" s="1">
        <v>1</v>
      </c>
      <c r="W154" s="3">
        <v>10535.04</v>
      </c>
      <c r="X154" s="3">
        <v>10535.04</v>
      </c>
      <c r="Y154" s="1" t="str">
        <f>VLOOKUP(A154,[1]Detalle!$D$2:$CR$484,93,FALSE)</f>
        <v>CCUCoAZA</v>
      </c>
    </row>
    <row r="155" spans="1:25" ht="14.25" customHeight="1" x14ac:dyDescent="0.3">
      <c r="A155" s="1" t="s">
        <v>166</v>
      </c>
      <c r="B155" s="1" t="s">
        <v>343</v>
      </c>
      <c r="C155" s="1" t="s">
        <v>343</v>
      </c>
      <c r="D155" s="1" t="s">
        <v>344</v>
      </c>
      <c r="E155" s="6">
        <v>45737</v>
      </c>
      <c r="F155" s="1">
        <v>457869</v>
      </c>
      <c r="G155" s="1">
        <v>477869</v>
      </c>
      <c r="H155" s="1">
        <v>9177.2000000000044</v>
      </c>
      <c r="I155" s="1">
        <v>10822.8</v>
      </c>
      <c r="J155" s="1">
        <v>467046.2</v>
      </c>
      <c r="K155" s="1">
        <v>210</v>
      </c>
      <c r="L155" s="1">
        <v>39.232829581993563</v>
      </c>
      <c r="M155" s="1">
        <v>247.65592991326309</v>
      </c>
      <c r="N155" s="7">
        <v>45947</v>
      </c>
      <c r="O155" s="1">
        <v>20000</v>
      </c>
      <c r="P155" s="7">
        <v>46194.655929918983</v>
      </c>
      <c r="Q155" s="1" t="s">
        <v>330</v>
      </c>
      <c r="T155" s="1" t="s">
        <v>347</v>
      </c>
      <c r="U155" s="1" t="s">
        <v>348</v>
      </c>
      <c r="V155" s="1">
        <v>1</v>
      </c>
      <c r="W155" s="3">
        <v>19410.240000000002</v>
      </c>
      <c r="X155" s="3">
        <v>19410.240000000002</v>
      </c>
      <c r="Y155" s="1" t="str">
        <f>VLOOKUP(A155,[1]Detalle!$D$2:$CR$484,93,FALSE)</f>
        <v>CCUCoAZA</v>
      </c>
    </row>
    <row r="156" spans="1:25" ht="14.25" customHeight="1" x14ac:dyDescent="0.3">
      <c r="A156" s="1" t="s">
        <v>159</v>
      </c>
      <c r="B156" s="1" t="s">
        <v>343</v>
      </c>
      <c r="C156" s="1" t="s">
        <v>343</v>
      </c>
      <c r="D156" s="1" t="s">
        <v>344</v>
      </c>
      <c r="E156" s="6">
        <v>45825</v>
      </c>
      <c r="F156" s="1">
        <v>809565</v>
      </c>
      <c r="G156" s="1">
        <v>829565</v>
      </c>
      <c r="H156" s="1">
        <v>8970.2999999999993</v>
      </c>
      <c r="I156" s="1">
        <v>11029.7</v>
      </c>
      <c r="J156" s="1">
        <v>818535.3</v>
      </c>
      <c r="K156" s="1">
        <v>122</v>
      </c>
      <c r="L156" s="1">
        <v>63.369638157894727</v>
      </c>
      <c r="M156" s="1">
        <v>150.00873995295589</v>
      </c>
      <c r="N156" s="7">
        <v>45947</v>
      </c>
      <c r="O156" s="1">
        <v>20000</v>
      </c>
      <c r="P156" s="7">
        <v>46097.008739953701</v>
      </c>
      <c r="Q156" s="1" t="s">
        <v>330</v>
      </c>
      <c r="T156" s="1" t="s">
        <v>345</v>
      </c>
      <c r="U156" s="1" t="s">
        <v>346</v>
      </c>
      <c r="V156" s="1">
        <v>1</v>
      </c>
      <c r="W156" s="3">
        <v>10535.04</v>
      </c>
      <c r="X156" s="3">
        <v>10535.04</v>
      </c>
      <c r="Y156" s="1" t="str">
        <f>VLOOKUP(A156,[1]Detalle!$D$2:$CR$484,93,FALSE)</f>
        <v>Papelera - Papelera del Plata S.A.</v>
      </c>
    </row>
    <row r="157" spans="1:25" ht="14.25" customHeight="1" x14ac:dyDescent="0.3">
      <c r="A157" s="1" t="s">
        <v>159</v>
      </c>
      <c r="B157" s="1" t="s">
        <v>343</v>
      </c>
      <c r="C157" s="1" t="s">
        <v>343</v>
      </c>
      <c r="D157" s="1" t="s">
        <v>344</v>
      </c>
      <c r="E157" s="6">
        <v>45825</v>
      </c>
      <c r="F157" s="1">
        <v>809565</v>
      </c>
      <c r="G157" s="1">
        <v>829565</v>
      </c>
      <c r="H157" s="1">
        <v>8970.2999999999993</v>
      </c>
      <c r="I157" s="1">
        <v>11029.7</v>
      </c>
      <c r="J157" s="1">
        <v>818535.3</v>
      </c>
      <c r="K157" s="1">
        <v>122</v>
      </c>
      <c r="L157" s="1">
        <v>63.369638157894727</v>
      </c>
      <c r="M157" s="1">
        <v>150.00873995295589</v>
      </c>
      <c r="N157" s="7">
        <v>45947</v>
      </c>
      <c r="O157" s="1">
        <v>20000</v>
      </c>
      <c r="P157" s="7">
        <v>46097.008739953701</v>
      </c>
      <c r="Q157" s="1" t="s">
        <v>330</v>
      </c>
      <c r="T157" s="1" t="s">
        <v>347</v>
      </c>
      <c r="U157" s="1" t="s">
        <v>348</v>
      </c>
      <c r="V157" s="1">
        <v>1</v>
      </c>
      <c r="W157" s="3">
        <v>19410.240000000002</v>
      </c>
      <c r="X157" s="3">
        <v>19410.240000000002</v>
      </c>
      <c r="Y157" s="1" t="str">
        <f>VLOOKUP(A157,[1]Detalle!$D$2:$CR$484,93,FALSE)</f>
        <v>Papelera - Papelera del Plata S.A.</v>
      </c>
    </row>
    <row r="158" spans="1:25" ht="14.25" customHeight="1" x14ac:dyDescent="0.3">
      <c r="A158" s="1" t="s">
        <v>161</v>
      </c>
      <c r="B158" s="1" t="s">
        <v>343</v>
      </c>
      <c r="C158" s="1" t="s">
        <v>343</v>
      </c>
      <c r="D158" s="1" t="s">
        <v>344</v>
      </c>
      <c r="E158" s="6">
        <v>45820</v>
      </c>
      <c r="F158" s="1">
        <v>657691</v>
      </c>
      <c r="G158" s="1">
        <v>677691</v>
      </c>
      <c r="H158" s="1">
        <v>12543.4</v>
      </c>
      <c r="I158" s="1">
        <v>7456.6000000000022</v>
      </c>
      <c r="J158" s="1">
        <v>670234.4</v>
      </c>
      <c r="K158" s="1">
        <v>127</v>
      </c>
      <c r="L158" s="1">
        <v>112.4813870967742</v>
      </c>
      <c r="M158" s="1">
        <v>75.496930656759758</v>
      </c>
      <c r="N158" s="7">
        <v>45947</v>
      </c>
      <c r="O158" s="1">
        <v>20000</v>
      </c>
      <c r="P158" s="7">
        <v>46200.304126284733</v>
      </c>
      <c r="Q158" s="1" t="s">
        <v>330</v>
      </c>
      <c r="T158" s="1" t="s">
        <v>345</v>
      </c>
      <c r="U158" s="1" t="s">
        <v>346</v>
      </c>
      <c r="V158" s="1">
        <v>1</v>
      </c>
      <c r="W158" s="3">
        <v>10535.04</v>
      </c>
      <c r="X158" s="3">
        <v>10535.04</v>
      </c>
      <c r="Y158" s="1" t="str">
        <f>VLOOKUP(A158,[1]Detalle!$D$2:$CR$484,93,FALSE)</f>
        <v>Unilever - Unilever de Arg. S.A.</v>
      </c>
    </row>
    <row r="159" spans="1:25" ht="14.25" customHeight="1" x14ac:dyDescent="0.3">
      <c r="A159" s="1" t="s">
        <v>161</v>
      </c>
      <c r="B159" s="1" t="s">
        <v>343</v>
      </c>
      <c r="C159" s="1" t="s">
        <v>343</v>
      </c>
      <c r="D159" s="1" t="s">
        <v>344</v>
      </c>
      <c r="E159" s="6">
        <v>45820</v>
      </c>
      <c r="F159" s="1">
        <v>657691</v>
      </c>
      <c r="G159" s="1">
        <v>677691</v>
      </c>
      <c r="H159" s="1">
        <v>12543.4</v>
      </c>
      <c r="I159" s="1">
        <v>7456.6000000000022</v>
      </c>
      <c r="J159" s="1">
        <v>670234.4</v>
      </c>
      <c r="K159" s="1">
        <v>127</v>
      </c>
      <c r="L159" s="1">
        <v>112.4813870967742</v>
      </c>
      <c r="M159" s="1">
        <v>75.496930656759758</v>
      </c>
      <c r="N159" s="7">
        <v>45947</v>
      </c>
      <c r="O159" s="1">
        <v>20000</v>
      </c>
      <c r="P159" s="7">
        <v>46200.304126284733</v>
      </c>
      <c r="Q159" s="1" t="s">
        <v>330</v>
      </c>
      <c r="T159" s="1" t="s">
        <v>347</v>
      </c>
      <c r="U159" s="1" t="s">
        <v>348</v>
      </c>
      <c r="V159" s="1">
        <v>1</v>
      </c>
      <c r="W159" s="3">
        <v>19410.240000000002</v>
      </c>
      <c r="X159" s="3">
        <v>19410.240000000002</v>
      </c>
      <c r="Y159" s="1" t="str">
        <f>VLOOKUP(A159,[1]Detalle!$D$2:$CR$484,93,FALSE)</f>
        <v>Unilever - Unilever de Arg. S.A.</v>
      </c>
    </row>
    <row r="160" spans="1:25" ht="14.25" customHeight="1" x14ac:dyDescent="0.3">
      <c r="A160" s="1" t="s">
        <v>152</v>
      </c>
      <c r="B160" s="1" t="s">
        <v>343</v>
      </c>
      <c r="C160" s="1" t="s">
        <v>343</v>
      </c>
      <c r="D160" s="1" t="s">
        <v>344</v>
      </c>
      <c r="E160" s="6">
        <v>45845</v>
      </c>
      <c r="F160" s="1">
        <v>958885</v>
      </c>
      <c r="G160" s="1">
        <v>978885</v>
      </c>
      <c r="H160" s="1">
        <v>14167.3</v>
      </c>
      <c r="I160" s="1">
        <v>5832.7000000000044</v>
      </c>
      <c r="J160" s="1">
        <v>973052.3</v>
      </c>
      <c r="K160" s="1">
        <v>102</v>
      </c>
      <c r="L160" s="1">
        <v>132.10963696369629</v>
      </c>
      <c r="M160" s="1">
        <v>41.993562640729053</v>
      </c>
      <c r="N160" s="7">
        <v>45947</v>
      </c>
      <c r="O160" s="1">
        <v>20000</v>
      </c>
      <c r="P160" s="7">
        <v>46140.382972673608</v>
      </c>
      <c r="Q160" s="1" t="s">
        <v>330</v>
      </c>
      <c r="T160" s="1" t="s">
        <v>345</v>
      </c>
      <c r="U160" s="1" t="s">
        <v>346</v>
      </c>
      <c r="V160" s="1">
        <v>1</v>
      </c>
      <c r="W160" s="3">
        <v>10535.04</v>
      </c>
      <c r="X160" s="3">
        <v>10535.04</v>
      </c>
      <c r="Y160" s="1" t="str">
        <f>VLOOKUP(A160,[1]Detalle!$D$2:$CR$484,93,FALSE)</f>
        <v>SUC_REA - Sucursal Realicó</v>
      </c>
    </row>
    <row r="161" spans="1:25" ht="14.25" customHeight="1" x14ac:dyDescent="0.3">
      <c r="A161" s="1" t="s">
        <v>152</v>
      </c>
      <c r="B161" s="1" t="s">
        <v>343</v>
      </c>
      <c r="C161" s="1" t="s">
        <v>343</v>
      </c>
      <c r="D161" s="1" t="s">
        <v>344</v>
      </c>
      <c r="E161" s="6">
        <v>45845</v>
      </c>
      <c r="F161" s="1">
        <v>958885</v>
      </c>
      <c r="G161" s="1">
        <v>978885</v>
      </c>
      <c r="H161" s="1">
        <v>14167.3</v>
      </c>
      <c r="I161" s="1">
        <v>5832.7000000000044</v>
      </c>
      <c r="J161" s="1">
        <v>973052.3</v>
      </c>
      <c r="K161" s="1">
        <v>102</v>
      </c>
      <c r="L161" s="1">
        <v>132.10963696369629</v>
      </c>
      <c r="M161" s="1">
        <v>41.993562640729053</v>
      </c>
      <c r="N161" s="7">
        <v>45947</v>
      </c>
      <c r="O161" s="1">
        <v>20000</v>
      </c>
      <c r="P161" s="7">
        <v>46140.382972673608</v>
      </c>
      <c r="Q161" s="1" t="s">
        <v>330</v>
      </c>
      <c r="T161" s="1" t="s">
        <v>347</v>
      </c>
      <c r="U161" s="1" t="s">
        <v>348</v>
      </c>
      <c r="V161" s="1">
        <v>1</v>
      </c>
      <c r="W161" s="3">
        <v>19410.240000000002</v>
      </c>
      <c r="X161" s="3">
        <v>19410.240000000002</v>
      </c>
      <c r="Y161" s="1" t="str">
        <f>VLOOKUP(A161,[1]Detalle!$D$2:$CR$484,93,FALSE)</f>
        <v>SUC_REA - Sucursal Realicó</v>
      </c>
    </row>
    <row r="162" spans="1:25" ht="14.25" customHeight="1" x14ac:dyDescent="0.3">
      <c r="A162" s="1" t="s">
        <v>61</v>
      </c>
      <c r="B162" s="1" t="s">
        <v>343</v>
      </c>
      <c r="C162" s="1" t="s">
        <v>343</v>
      </c>
      <c r="D162" s="1" t="s">
        <v>344</v>
      </c>
      <c r="E162" s="6">
        <v>45702</v>
      </c>
      <c r="F162" s="1">
        <v>44127.9</v>
      </c>
      <c r="G162" s="1">
        <v>64127.9</v>
      </c>
      <c r="H162" s="1">
        <v>9317.4000000000033</v>
      </c>
      <c r="I162" s="1">
        <v>10682.6</v>
      </c>
      <c r="J162" s="1">
        <v>53445.3</v>
      </c>
      <c r="K162" s="1">
        <v>245</v>
      </c>
      <c r="L162" s="1">
        <v>40.395367647058812</v>
      </c>
      <c r="M162" s="1">
        <v>280.89778264322638</v>
      </c>
      <c r="N162" s="7">
        <v>45947</v>
      </c>
      <c r="O162" s="1">
        <v>20000</v>
      </c>
      <c r="P162" s="7">
        <v>46227.897782638887</v>
      </c>
      <c r="Q162" s="1" t="s">
        <v>330</v>
      </c>
      <c r="T162" s="1" t="s">
        <v>345</v>
      </c>
      <c r="U162" s="1" t="s">
        <v>346</v>
      </c>
      <c r="V162" s="1">
        <v>1</v>
      </c>
      <c r="W162" s="3">
        <v>10535.04</v>
      </c>
      <c r="X162" s="3">
        <v>10535.04</v>
      </c>
      <c r="Y162" s="1" t="str">
        <f>VLOOKUP(A162,[1]Detalle!$D$2:$CR$484,93,FALSE)</f>
        <v>CCU_MZA - Comp. Cerv. Unidas - MZA</v>
      </c>
    </row>
    <row r="163" spans="1:25" ht="14.25" customHeight="1" x14ac:dyDescent="0.3">
      <c r="A163" s="1" t="s">
        <v>61</v>
      </c>
      <c r="B163" s="1" t="s">
        <v>343</v>
      </c>
      <c r="C163" s="1" t="s">
        <v>343</v>
      </c>
      <c r="D163" s="1" t="s">
        <v>344</v>
      </c>
      <c r="E163" s="6">
        <v>45702</v>
      </c>
      <c r="F163" s="1">
        <v>44127.9</v>
      </c>
      <c r="G163" s="1">
        <v>64127.9</v>
      </c>
      <c r="H163" s="1">
        <v>9317.4000000000033</v>
      </c>
      <c r="I163" s="1">
        <v>10682.6</v>
      </c>
      <c r="J163" s="1">
        <v>53445.3</v>
      </c>
      <c r="K163" s="1">
        <v>245</v>
      </c>
      <c r="L163" s="1">
        <v>40.395367647058812</v>
      </c>
      <c r="M163" s="1">
        <v>280.89778264322638</v>
      </c>
      <c r="N163" s="7">
        <v>45947</v>
      </c>
      <c r="O163" s="1">
        <v>20000</v>
      </c>
      <c r="P163" s="7">
        <v>46227.897782638887</v>
      </c>
      <c r="Q163" s="1" t="s">
        <v>330</v>
      </c>
      <c r="T163" s="1" t="s">
        <v>347</v>
      </c>
      <c r="U163" s="1" t="s">
        <v>348</v>
      </c>
      <c r="V163" s="1">
        <v>1</v>
      </c>
      <c r="W163" s="3">
        <v>19410.240000000002</v>
      </c>
      <c r="X163" s="3">
        <v>19410.240000000002</v>
      </c>
      <c r="Y163" s="1" t="str">
        <f>VLOOKUP(A163,[1]Detalle!$D$2:$CR$484,93,FALSE)</f>
        <v>CCU_MZA - Comp. Cerv. Unidas - MZA</v>
      </c>
    </row>
    <row r="164" spans="1:25" ht="14.25" customHeight="1" x14ac:dyDescent="0.3">
      <c r="A164" s="1" t="s">
        <v>15</v>
      </c>
      <c r="B164" s="1" t="s">
        <v>343</v>
      </c>
      <c r="C164" s="1" t="s">
        <v>343</v>
      </c>
      <c r="D164" s="1" t="s">
        <v>344</v>
      </c>
      <c r="E164" s="6">
        <v>45848</v>
      </c>
      <c r="F164" s="1">
        <v>697850</v>
      </c>
      <c r="G164" s="1">
        <v>717850</v>
      </c>
      <c r="H164" s="1">
        <v>28772.999999999989</v>
      </c>
      <c r="I164" s="1">
        <v>-8772.9999999999891</v>
      </c>
      <c r="J164" s="1">
        <v>726623</v>
      </c>
      <c r="K164" s="1">
        <v>99</v>
      </c>
      <c r="L164" s="1">
        <v>365</v>
      </c>
      <c r="M164" s="1">
        <v>-30.185486393493871</v>
      </c>
      <c r="N164" s="7">
        <v>45947</v>
      </c>
      <c r="O164" s="1">
        <v>20000</v>
      </c>
      <c r="P164" s="7">
        <v>46056.589041099527</v>
      </c>
      <c r="Q164" s="1" t="s">
        <v>330</v>
      </c>
      <c r="R164" s="6">
        <v>46056.589041099527</v>
      </c>
      <c r="S164" s="6">
        <v>46111.383561643517</v>
      </c>
      <c r="T164" s="1" t="s">
        <v>345</v>
      </c>
      <c r="U164" s="1" t="s">
        <v>346</v>
      </c>
      <c r="V164" s="1">
        <v>1</v>
      </c>
      <c r="W164" s="3">
        <v>10535.04</v>
      </c>
      <c r="X164" s="3">
        <v>10535.04</v>
      </c>
      <c r="Y164" s="1" t="str">
        <f>VLOOKUP(A164,[1]Detalle!$D$2:$CR$484,93,FALSE)</f>
        <v>CENCOMLD - Cencosud SA - Mendoza</v>
      </c>
    </row>
    <row r="165" spans="1:25" ht="14.25" customHeight="1" x14ac:dyDescent="0.3">
      <c r="A165" s="1" t="s">
        <v>15</v>
      </c>
      <c r="B165" s="1" t="s">
        <v>343</v>
      </c>
      <c r="C165" s="1" t="s">
        <v>343</v>
      </c>
      <c r="D165" s="1" t="s">
        <v>344</v>
      </c>
      <c r="E165" s="6">
        <v>45848</v>
      </c>
      <c r="F165" s="1">
        <v>697850</v>
      </c>
      <c r="G165" s="1">
        <v>717850</v>
      </c>
      <c r="H165" s="1">
        <v>28772.999999999989</v>
      </c>
      <c r="I165" s="1">
        <v>-8772.9999999999891</v>
      </c>
      <c r="J165" s="1">
        <v>726623</v>
      </c>
      <c r="K165" s="1">
        <v>99</v>
      </c>
      <c r="L165" s="1">
        <v>365</v>
      </c>
      <c r="M165" s="1">
        <v>-30.185486393493871</v>
      </c>
      <c r="N165" s="7">
        <v>45947</v>
      </c>
      <c r="O165" s="1">
        <v>20000</v>
      </c>
      <c r="P165" s="7">
        <v>46056.589041099527</v>
      </c>
      <c r="Q165" s="1" t="s">
        <v>330</v>
      </c>
      <c r="R165" s="6">
        <v>46056.589041099527</v>
      </c>
      <c r="S165" s="6">
        <v>46111.383561643517</v>
      </c>
      <c r="T165" s="1" t="s">
        <v>347</v>
      </c>
      <c r="U165" s="1" t="s">
        <v>348</v>
      </c>
      <c r="V165" s="1">
        <v>1</v>
      </c>
      <c r="W165" s="3">
        <v>19410.240000000002</v>
      </c>
      <c r="X165" s="3">
        <v>19410.240000000002</v>
      </c>
      <c r="Y165" s="1" t="str">
        <f>VLOOKUP(A165,[1]Detalle!$D$2:$CR$484,93,FALSE)</f>
        <v>CENCOMLD - Cencosud SA - Mendoza</v>
      </c>
    </row>
    <row r="166" spans="1:25" ht="14.25" customHeight="1" x14ac:dyDescent="0.3">
      <c r="A166" s="1" t="s">
        <v>242</v>
      </c>
      <c r="B166" s="1" t="s">
        <v>343</v>
      </c>
      <c r="C166" s="1" t="s">
        <v>343</v>
      </c>
      <c r="D166" s="1" t="s">
        <v>344</v>
      </c>
      <c r="E166" s="6">
        <v>45763</v>
      </c>
      <c r="F166" s="1">
        <v>435565</v>
      </c>
      <c r="G166" s="1">
        <v>455565</v>
      </c>
      <c r="H166" s="1">
        <v>16726.900000000001</v>
      </c>
      <c r="I166" s="1">
        <v>3273.099999999999</v>
      </c>
      <c r="J166" s="1">
        <v>452291.9</v>
      </c>
      <c r="K166" s="1">
        <v>184</v>
      </c>
      <c r="L166" s="1">
        <v>76.02181229773467</v>
      </c>
      <c r="M166" s="1">
        <v>36.004902283148681</v>
      </c>
      <c r="N166" s="7">
        <v>45947</v>
      </c>
      <c r="O166" s="1">
        <v>20000</v>
      </c>
      <c r="P166" s="7">
        <v>46246.087291342592</v>
      </c>
      <c r="Q166" s="1" t="s">
        <v>330</v>
      </c>
      <c r="T166" s="1" t="s">
        <v>345</v>
      </c>
      <c r="U166" s="1" t="s">
        <v>346</v>
      </c>
      <c r="V166" s="1">
        <v>1</v>
      </c>
      <c r="W166" s="3">
        <v>10535.04</v>
      </c>
      <c r="X166" s="3">
        <v>10535.04</v>
      </c>
      <c r="Y166" s="1" t="str">
        <f>VLOOKUP(A166,[1]Detalle!$D$2:$CR$484,93,FALSE)</f>
        <v>Papelera - Papelera del Plata S.A.</v>
      </c>
    </row>
    <row r="167" spans="1:25" ht="14.25" customHeight="1" x14ac:dyDescent="0.3">
      <c r="A167" s="1" t="s">
        <v>242</v>
      </c>
      <c r="B167" s="1" t="s">
        <v>343</v>
      </c>
      <c r="C167" s="1" t="s">
        <v>343</v>
      </c>
      <c r="D167" s="1" t="s">
        <v>344</v>
      </c>
      <c r="E167" s="6">
        <v>45763</v>
      </c>
      <c r="F167" s="1">
        <v>435565</v>
      </c>
      <c r="G167" s="1">
        <v>455565</v>
      </c>
      <c r="H167" s="1">
        <v>16726.900000000001</v>
      </c>
      <c r="I167" s="1">
        <v>3273.099999999999</v>
      </c>
      <c r="J167" s="1">
        <v>452291.9</v>
      </c>
      <c r="K167" s="1">
        <v>184</v>
      </c>
      <c r="L167" s="1">
        <v>76.02181229773467</v>
      </c>
      <c r="M167" s="1">
        <v>36.004902283148681</v>
      </c>
      <c r="N167" s="7">
        <v>45947</v>
      </c>
      <c r="O167" s="1">
        <v>20000</v>
      </c>
      <c r="P167" s="7">
        <v>46246.087291342592</v>
      </c>
      <c r="Q167" s="1" t="s">
        <v>330</v>
      </c>
      <c r="T167" s="1" t="s">
        <v>347</v>
      </c>
      <c r="U167" s="1" t="s">
        <v>348</v>
      </c>
      <c r="V167" s="1">
        <v>1</v>
      </c>
      <c r="W167" s="3">
        <v>19410.240000000002</v>
      </c>
      <c r="X167" s="3">
        <v>19410.240000000002</v>
      </c>
      <c r="Y167" s="1" t="str">
        <f>VLOOKUP(A167,[1]Detalle!$D$2:$CR$484,93,FALSE)</f>
        <v>Papelera - Papelera del Plata S.A.</v>
      </c>
    </row>
    <row r="168" spans="1:25" ht="14.25" customHeight="1" x14ac:dyDescent="0.3">
      <c r="A168" s="1" t="s">
        <v>136</v>
      </c>
      <c r="B168" s="1" t="s">
        <v>343</v>
      </c>
      <c r="C168" s="1" t="s">
        <v>343</v>
      </c>
      <c r="D168" s="1" t="s">
        <v>344</v>
      </c>
      <c r="E168" s="6">
        <v>45763</v>
      </c>
      <c r="F168" s="1">
        <v>255203</v>
      </c>
      <c r="G168" s="1">
        <v>275203</v>
      </c>
      <c r="H168" s="1">
        <v>12233.500000000009</v>
      </c>
      <c r="I168" s="1">
        <v>7766.4999999999927</v>
      </c>
      <c r="J168" s="1">
        <v>267436.5</v>
      </c>
      <c r="K168" s="1">
        <v>184</v>
      </c>
      <c r="L168" s="1">
        <v>57.024096774193573</v>
      </c>
      <c r="M168" s="1">
        <v>116.81334041770531</v>
      </c>
      <c r="N168" s="7">
        <v>45947</v>
      </c>
      <c r="O168" s="1">
        <v>20000</v>
      </c>
      <c r="P168" s="7">
        <v>46063.813340416673</v>
      </c>
      <c r="Q168" s="1" t="s">
        <v>330</v>
      </c>
      <c r="T168" s="1" t="s">
        <v>345</v>
      </c>
      <c r="U168" s="1" t="s">
        <v>346</v>
      </c>
      <c r="V168" s="1">
        <v>1</v>
      </c>
      <c r="W168" s="3">
        <v>10535.04</v>
      </c>
      <c r="X168" s="3">
        <v>10535.04</v>
      </c>
      <c r="Y168" s="1" t="str">
        <f>VLOOKUP(A168,[1]Detalle!$D$2:$CR$484,93,FALSE)</f>
        <v>Topacio</v>
      </c>
    </row>
    <row r="169" spans="1:25" ht="14.25" customHeight="1" x14ac:dyDescent="0.3">
      <c r="A169" s="1" t="s">
        <v>136</v>
      </c>
      <c r="B169" s="1" t="s">
        <v>343</v>
      </c>
      <c r="C169" s="1" t="s">
        <v>343</v>
      </c>
      <c r="D169" s="1" t="s">
        <v>344</v>
      </c>
      <c r="E169" s="6">
        <v>45763</v>
      </c>
      <c r="F169" s="1">
        <v>255203</v>
      </c>
      <c r="G169" s="1">
        <v>275203</v>
      </c>
      <c r="H169" s="1">
        <v>12233.500000000009</v>
      </c>
      <c r="I169" s="1">
        <v>7766.4999999999927</v>
      </c>
      <c r="J169" s="1">
        <v>267436.5</v>
      </c>
      <c r="K169" s="1">
        <v>184</v>
      </c>
      <c r="L169" s="1">
        <v>57.024096774193573</v>
      </c>
      <c r="M169" s="1">
        <v>116.81334041770531</v>
      </c>
      <c r="N169" s="7">
        <v>45947</v>
      </c>
      <c r="O169" s="1">
        <v>20000</v>
      </c>
      <c r="P169" s="7">
        <v>46063.813340416673</v>
      </c>
      <c r="Q169" s="1" t="s">
        <v>330</v>
      </c>
      <c r="T169" s="1" t="s">
        <v>347</v>
      </c>
      <c r="U169" s="1" t="s">
        <v>348</v>
      </c>
      <c r="V169" s="1">
        <v>1</v>
      </c>
      <c r="W169" s="3">
        <v>19410.240000000002</v>
      </c>
      <c r="X169" s="3">
        <v>19410.240000000002</v>
      </c>
      <c r="Y169" s="1" t="str">
        <f>VLOOKUP(A169,[1]Detalle!$D$2:$CR$484,93,FALSE)</f>
        <v>Topacio</v>
      </c>
    </row>
    <row r="170" spans="1:25" ht="14.25" customHeight="1" x14ac:dyDescent="0.3">
      <c r="A170" s="1" t="s">
        <v>170</v>
      </c>
      <c r="B170" s="1" t="s">
        <v>328</v>
      </c>
      <c r="C170" s="1" t="s">
        <v>328</v>
      </c>
      <c r="D170" s="1" t="s">
        <v>329</v>
      </c>
      <c r="E170" s="6">
        <v>45889</v>
      </c>
      <c r="F170" s="1">
        <v>62545.1</v>
      </c>
      <c r="G170" s="1">
        <v>82545.100000000006</v>
      </c>
      <c r="H170" s="1">
        <v>3570.8999999999992</v>
      </c>
      <c r="I170" s="1">
        <v>16429.099999999999</v>
      </c>
      <c r="J170" s="1">
        <v>66116</v>
      </c>
      <c r="K170" s="1">
        <v>58</v>
      </c>
      <c r="L170" s="1">
        <v>124.4065073529412</v>
      </c>
      <c r="M170" s="1">
        <v>266.84807751547243</v>
      </c>
      <c r="N170" s="7">
        <v>45947</v>
      </c>
      <c r="O170" s="1">
        <v>20000</v>
      </c>
      <c r="P170" s="7">
        <v>46213.848077511568</v>
      </c>
      <c r="Q170" s="1" t="s">
        <v>330</v>
      </c>
      <c r="T170" s="1" t="s">
        <v>331</v>
      </c>
      <c r="U170" s="1" t="s">
        <v>332</v>
      </c>
      <c r="V170" s="1">
        <v>16</v>
      </c>
      <c r="W170" s="3">
        <v>3389.9</v>
      </c>
      <c r="X170" s="3">
        <v>54238.400000000001</v>
      </c>
      <c r="Y170" s="1" t="str">
        <f>VLOOKUP(A170,[1]Detalle!$D$2:$CR$484,93,FALSE)</f>
        <v>SUC_REA - Sucursal Realicó</v>
      </c>
    </row>
    <row r="171" spans="1:25" ht="14.25" customHeight="1" x14ac:dyDescent="0.3">
      <c r="A171" s="1" t="s">
        <v>170</v>
      </c>
      <c r="B171" s="1" t="s">
        <v>328</v>
      </c>
      <c r="C171" s="1" t="s">
        <v>328</v>
      </c>
      <c r="D171" s="1" t="s">
        <v>329</v>
      </c>
      <c r="E171" s="6">
        <v>45889</v>
      </c>
      <c r="F171" s="1">
        <v>62545.1</v>
      </c>
      <c r="G171" s="1">
        <v>82545.100000000006</v>
      </c>
      <c r="H171" s="1">
        <v>3570.8999999999992</v>
      </c>
      <c r="I171" s="1">
        <v>16429.099999999999</v>
      </c>
      <c r="J171" s="1">
        <v>66116</v>
      </c>
      <c r="K171" s="1">
        <v>58</v>
      </c>
      <c r="L171" s="1">
        <v>124.4065073529412</v>
      </c>
      <c r="M171" s="1">
        <v>266.84807751547243</v>
      </c>
      <c r="N171" s="7">
        <v>45947</v>
      </c>
      <c r="O171" s="1">
        <v>20000</v>
      </c>
      <c r="P171" s="7">
        <v>46213.848077511568</v>
      </c>
      <c r="Q171" s="1" t="s">
        <v>330</v>
      </c>
      <c r="T171" s="1" t="s">
        <v>333</v>
      </c>
      <c r="U171" s="1" t="s">
        <v>334</v>
      </c>
      <c r="V171" s="1">
        <v>1</v>
      </c>
      <c r="W171" s="3">
        <v>8513.2800000000007</v>
      </c>
      <c r="X171" s="3">
        <v>8513.2800000000007</v>
      </c>
      <c r="Y171" s="1" t="str">
        <f>VLOOKUP(A171,[1]Detalle!$D$2:$CR$484,93,FALSE)</f>
        <v>SUC_REA - Sucursal Realicó</v>
      </c>
    </row>
    <row r="172" spans="1:25" ht="14.25" customHeight="1" x14ac:dyDescent="0.3">
      <c r="A172" s="1" t="s">
        <v>179</v>
      </c>
      <c r="B172" s="1" t="s">
        <v>343</v>
      </c>
      <c r="C172" s="1" t="s">
        <v>343</v>
      </c>
      <c r="D172" s="1" t="s">
        <v>344</v>
      </c>
      <c r="E172" s="6">
        <v>45742</v>
      </c>
      <c r="F172" s="1">
        <v>283696</v>
      </c>
      <c r="G172" s="1">
        <v>303696</v>
      </c>
      <c r="H172" s="1">
        <v>7346.0000000000036</v>
      </c>
      <c r="I172" s="1">
        <v>12654</v>
      </c>
      <c r="J172" s="1">
        <v>291042</v>
      </c>
      <c r="K172" s="1">
        <v>205</v>
      </c>
      <c r="L172" s="1">
        <v>34.247774193548388</v>
      </c>
      <c r="M172" s="1">
        <v>353.12687176694772</v>
      </c>
      <c r="N172" s="7">
        <v>45947</v>
      </c>
      <c r="O172" s="1">
        <v>20000</v>
      </c>
      <c r="P172" s="7">
        <v>46300.12687177083</v>
      </c>
      <c r="Q172" s="1" t="s">
        <v>330</v>
      </c>
      <c r="T172" s="1" t="s">
        <v>345</v>
      </c>
      <c r="U172" s="1" t="s">
        <v>346</v>
      </c>
      <c r="V172" s="1">
        <v>1</v>
      </c>
      <c r="W172" s="3">
        <v>10535.04</v>
      </c>
      <c r="X172" s="3">
        <v>10535.04</v>
      </c>
      <c r="Y172" s="1" t="str">
        <f>VLOOKUP(A172,[1]Detalle!$D$2:$CR$484,93,FALSE)</f>
        <v>CCUCoAZA</v>
      </c>
    </row>
    <row r="173" spans="1:25" ht="14.25" customHeight="1" x14ac:dyDescent="0.3">
      <c r="A173" s="1" t="s">
        <v>179</v>
      </c>
      <c r="B173" s="1" t="s">
        <v>343</v>
      </c>
      <c r="C173" s="1" t="s">
        <v>343</v>
      </c>
      <c r="D173" s="1" t="s">
        <v>344</v>
      </c>
      <c r="E173" s="6">
        <v>45742</v>
      </c>
      <c r="F173" s="1">
        <v>283696</v>
      </c>
      <c r="G173" s="1">
        <v>303696</v>
      </c>
      <c r="H173" s="1">
        <v>7346.0000000000036</v>
      </c>
      <c r="I173" s="1">
        <v>12654</v>
      </c>
      <c r="J173" s="1">
        <v>291042</v>
      </c>
      <c r="K173" s="1">
        <v>205</v>
      </c>
      <c r="L173" s="1">
        <v>34.247774193548388</v>
      </c>
      <c r="M173" s="1">
        <v>353.12687176694772</v>
      </c>
      <c r="N173" s="7">
        <v>45947</v>
      </c>
      <c r="O173" s="1">
        <v>20000</v>
      </c>
      <c r="P173" s="7">
        <v>46300.12687177083</v>
      </c>
      <c r="Q173" s="1" t="s">
        <v>330</v>
      </c>
      <c r="T173" s="1" t="s">
        <v>347</v>
      </c>
      <c r="U173" s="1" t="s">
        <v>348</v>
      </c>
      <c r="V173" s="1">
        <v>1</v>
      </c>
      <c r="W173" s="3">
        <v>19410.240000000002</v>
      </c>
      <c r="X173" s="3">
        <v>19410.240000000002</v>
      </c>
      <c r="Y173" s="1" t="str">
        <f>VLOOKUP(A173,[1]Detalle!$D$2:$CR$484,93,FALSE)</f>
        <v>CCUCoAZA</v>
      </c>
    </row>
    <row r="174" spans="1:25" ht="14.25" customHeight="1" x14ac:dyDescent="0.3">
      <c r="A174" s="1" t="s">
        <v>180</v>
      </c>
      <c r="B174" s="1" t="s">
        <v>343</v>
      </c>
      <c r="C174" s="1" t="s">
        <v>343</v>
      </c>
      <c r="D174" s="1" t="s">
        <v>344</v>
      </c>
      <c r="E174" s="6">
        <v>45842</v>
      </c>
      <c r="F174" s="1">
        <v>227732</v>
      </c>
      <c r="G174" s="1">
        <v>247732</v>
      </c>
      <c r="H174" s="1">
        <v>5333.9000000000024</v>
      </c>
      <c r="I174" s="1">
        <v>14666.1</v>
      </c>
      <c r="J174" s="1">
        <v>233065.9</v>
      </c>
      <c r="K174" s="1">
        <v>105</v>
      </c>
      <c r="L174" s="1">
        <v>40.479774193548408</v>
      </c>
      <c r="M174" s="1">
        <v>288.70816850709599</v>
      </c>
      <c r="N174" s="7">
        <v>45947</v>
      </c>
      <c r="O174" s="1">
        <v>20000</v>
      </c>
      <c r="P174" s="7">
        <v>46235.708168506942</v>
      </c>
      <c r="Q174" s="1" t="s">
        <v>330</v>
      </c>
      <c r="T174" s="1" t="s">
        <v>345</v>
      </c>
      <c r="U174" s="1" t="s">
        <v>346</v>
      </c>
      <c r="V174" s="1">
        <v>1</v>
      </c>
      <c r="W174" s="3">
        <v>10535.04</v>
      </c>
      <c r="X174" s="3">
        <v>10535.04</v>
      </c>
      <c r="Y174" s="1" t="str">
        <f>VLOOKUP(A174,[1]Detalle!$D$2:$CR$484,93,FALSE)</f>
        <v>CCUCoAZA</v>
      </c>
    </row>
    <row r="175" spans="1:25" ht="14.25" customHeight="1" x14ac:dyDescent="0.3">
      <c r="A175" s="1" t="s">
        <v>180</v>
      </c>
      <c r="B175" s="1" t="s">
        <v>343</v>
      </c>
      <c r="C175" s="1" t="s">
        <v>343</v>
      </c>
      <c r="D175" s="1" t="s">
        <v>344</v>
      </c>
      <c r="E175" s="6">
        <v>45842</v>
      </c>
      <c r="F175" s="1">
        <v>227732</v>
      </c>
      <c r="G175" s="1">
        <v>247732</v>
      </c>
      <c r="H175" s="1">
        <v>5333.9000000000024</v>
      </c>
      <c r="I175" s="1">
        <v>14666.1</v>
      </c>
      <c r="J175" s="1">
        <v>233065.9</v>
      </c>
      <c r="K175" s="1">
        <v>105</v>
      </c>
      <c r="L175" s="1">
        <v>40.479774193548408</v>
      </c>
      <c r="M175" s="1">
        <v>288.70816850709599</v>
      </c>
      <c r="N175" s="7">
        <v>45947</v>
      </c>
      <c r="O175" s="1">
        <v>20000</v>
      </c>
      <c r="P175" s="7">
        <v>46235.708168506942</v>
      </c>
      <c r="Q175" s="1" t="s">
        <v>330</v>
      </c>
      <c r="T175" s="1" t="s">
        <v>347</v>
      </c>
      <c r="U175" s="1" t="s">
        <v>348</v>
      </c>
      <c r="V175" s="1">
        <v>1</v>
      </c>
      <c r="W175" s="3">
        <v>19410.240000000002</v>
      </c>
      <c r="X175" s="3">
        <v>19410.240000000002</v>
      </c>
      <c r="Y175" s="1" t="str">
        <f>VLOOKUP(A175,[1]Detalle!$D$2:$CR$484,93,FALSE)</f>
        <v>CCUCoAZA</v>
      </c>
    </row>
    <row r="176" spans="1:25" ht="14.25" customHeight="1" x14ac:dyDescent="0.3">
      <c r="A176" s="1" t="s">
        <v>164</v>
      </c>
      <c r="B176" s="1" t="s">
        <v>343</v>
      </c>
      <c r="C176" s="1" t="s">
        <v>343</v>
      </c>
      <c r="D176" s="1" t="s">
        <v>344</v>
      </c>
      <c r="E176" s="6">
        <v>45378</v>
      </c>
      <c r="F176" s="1">
        <v>202420</v>
      </c>
      <c r="G176" s="1">
        <v>222420</v>
      </c>
      <c r="H176" s="1">
        <v>36588.559999999939</v>
      </c>
      <c r="I176" s="1">
        <v>-16588.559999999939</v>
      </c>
      <c r="J176" s="1">
        <v>239008.55999999991</v>
      </c>
      <c r="K176" s="1">
        <v>569</v>
      </c>
      <c r="L176" s="1">
        <v>69.022379421221856</v>
      </c>
      <c r="M176" s="1">
        <v>-257.97382132557232</v>
      </c>
      <c r="N176" s="7">
        <v>45947</v>
      </c>
      <c r="O176" s="1">
        <v>20000</v>
      </c>
      <c r="P176" s="7">
        <v>46236.7610915162</v>
      </c>
      <c r="Q176" s="1" t="s">
        <v>330</v>
      </c>
      <c r="T176" s="1" t="s">
        <v>345</v>
      </c>
      <c r="U176" s="1" t="s">
        <v>346</v>
      </c>
      <c r="V176" s="1">
        <v>1</v>
      </c>
      <c r="W176" s="3">
        <v>10535.04</v>
      </c>
      <c r="X176" s="3">
        <v>10535.04</v>
      </c>
      <c r="Y176" s="1" t="str">
        <f>VLOOKUP(A176,[1]Detalle!$D$2:$CR$484,93,FALSE)</f>
        <v>SUC_MEN - Sucursal Mendoza</v>
      </c>
    </row>
    <row r="177" spans="1:25" ht="14.25" customHeight="1" x14ac:dyDescent="0.3">
      <c r="A177" s="1" t="s">
        <v>164</v>
      </c>
      <c r="B177" s="1" t="s">
        <v>343</v>
      </c>
      <c r="C177" s="1" t="s">
        <v>343</v>
      </c>
      <c r="D177" s="1" t="s">
        <v>344</v>
      </c>
      <c r="E177" s="6">
        <v>45378</v>
      </c>
      <c r="F177" s="1">
        <v>202420</v>
      </c>
      <c r="G177" s="1">
        <v>222420</v>
      </c>
      <c r="H177" s="1">
        <v>36588.559999999939</v>
      </c>
      <c r="I177" s="1">
        <v>-16588.559999999939</v>
      </c>
      <c r="J177" s="1">
        <v>239008.55999999991</v>
      </c>
      <c r="K177" s="1">
        <v>569</v>
      </c>
      <c r="L177" s="1">
        <v>69.022379421221856</v>
      </c>
      <c r="M177" s="1">
        <v>-257.97382132557232</v>
      </c>
      <c r="N177" s="7">
        <v>45947</v>
      </c>
      <c r="O177" s="1">
        <v>20000</v>
      </c>
      <c r="P177" s="7">
        <v>46236.7610915162</v>
      </c>
      <c r="Q177" s="1" t="s">
        <v>330</v>
      </c>
      <c r="T177" s="1" t="s">
        <v>347</v>
      </c>
      <c r="U177" s="1" t="s">
        <v>348</v>
      </c>
      <c r="V177" s="1">
        <v>1</v>
      </c>
      <c r="W177" s="3">
        <v>19410.240000000002</v>
      </c>
      <c r="X177" s="3">
        <v>19410.240000000002</v>
      </c>
      <c r="Y177" s="1" t="str">
        <f>VLOOKUP(A177,[1]Detalle!$D$2:$CR$484,93,FALSE)</f>
        <v>SUC_MEN - Sucursal Mendoza</v>
      </c>
    </row>
    <row r="178" spans="1:25" ht="14.25" customHeight="1" x14ac:dyDescent="0.3">
      <c r="A178" s="1" t="s">
        <v>142</v>
      </c>
      <c r="B178" s="1" t="s">
        <v>343</v>
      </c>
      <c r="C178" s="1" t="s">
        <v>343</v>
      </c>
      <c r="D178" s="1" t="s">
        <v>344</v>
      </c>
      <c r="E178" s="6">
        <v>45834</v>
      </c>
      <c r="F178" s="1">
        <v>831926</v>
      </c>
      <c r="G178" s="1">
        <v>851926</v>
      </c>
      <c r="H178" s="1">
        <v>9266.100000000004</v>
      </c>
      <c r="I178" s="1">
        <v>10733.9</v>
      </c>
      <c r="J178" s="1">
        <v>841192.1</v>
      </c>
      <c r="K178" s="1">
        <v>113</v>
      </c>
      <c r="L178" s="1">
        <v>68.472829581993537</v>
      </c>
      <c r="M178" s="1">
        <v>130.89980682271931</v>
      </c>
      <c r="N178" s="7">
        <v>45947</v>
      </c>
      <c r="O178" s="1">
        <v>20000</v>
      </c>
      <c r="P178" s="7">
        <v>46077.899806817128</v>
      </c>
      <c r="Q178" s="1" t="s">
        <v>330</v>
      </c>
      <c r="T178" s="1" t="s">
        <v>345</v>
      </c>
      <c r="U178" s="1" t="s">
        <v>346</v>
      </c>
      <c r="V178" s="1">
        <v>1</v>
      </c>
      <c r="W178" s="3">
        <v>10535.04</v>
      </c>
      <c r="X178" s="3">
        <v>10535.04</v>
      </c>
      <c r="Y178" s="1" t="str">
        <f>VLOOKUP(A178,[1]Detalle!$D$2:$CR$484,93,FALSE)</f>
        <v>Papelera - Papelera del Plata S.A.</v>
      </c>
    </row>
    <row r="179" spans="1:25" ht="14.25" customHeight="1" x14ac:dyDescent="0.3">
      <c r="A179" s="1" t="s">
        <v>142</v>
      </c>
      <c r="B179" s="1" t="s">
        <v>343</v>
      </c>
      <c r="C179" s="1" t="s">
        <v>343</v>
      </c>
      <c r="D179" s="1" t="s">
        <v>344</v>
      </c>
      <c r="E179" s="6">
        <v>45834</v>
      </c>
      <c r="F179" s="1">
        <v>831926</v>
      </c>
      <c r="G179" s="1">
        <v>851926</v>
      </c>
      <c r="H179" s="1">
        <v>9266.100000000004</v>
      </c>
      <c r="I179" s="1">
        <v>10733.9</v>
      </c>
      <c r="J179" s="1">
        <v>841192.1</v>
      </c>
      <c r="K179" s="1">
        <v>113</v>
      </c>
      <c r="L179" s="1">
        <v>68.472829581993537</v>
      </c>
      <c r="M179" s="1">
        <v>130.89980682271931</v>
      </c>
      <c r="N179" s="7">
        <v>45947</v>
      </c>
      <c r="O179" s="1">
        <v>20000</v>
      </c>
      <c r="P179" s="7">
        <v>46077.899806817128</v>
      </c>
      <c r="Q179" s="1" t="s">
        <v>330</v>
      </c>
      <c r="T179" s="1" t="s">
        <v>347</v>
      </c>
      <c r="U179" s="1" t="s">
        <v>348</v>
      </c>
      <c r="V179" s="1">
        <v>1</v>
      </c>
      <c r="W179" s="3">
        <v>19410.240000000002</v>
      </c>
      <c r="X179" s="3">
        <v>19410.240000000002</v>
      </c>
      <c r="Y179" s="1" t="str">
        <f>VLOOKUP(A179,[1]Detalle!$D$2:$CR$484,93,FALSE)</f>
        <v>Papelera - Papelera del Plata S.A.</v>
      </c>
    </row>
    <row r="180" spans="1:25" ht="14.25" customHeight="1" x14ac:dyDescent="0.3">
      <c r="A180" s="1" t="s">
        <v>133</v>
      </c>
      <c r="B180" s="1" t="s">
        <v>343</v>
      </c>
      <c r="C180" s="1" t="s">
        <v>343</v>
      </c>
      <c r="D180" s="1" t="s">
        <v>344</v>
      </c>
      <c r="E180" s="6">
        <v>45846</v>
      </c>
      <c r="F180" s="1">
        <v>843221</v>
      </c>
      <c r="G180" s="1">
        <v>863221</v>
      </c>
      <c r="H180" s="1">
        <v>0</v>
      </c>
      <c r="I180" s="1">
        <v>20000</v>
      </c>
      <c r="J180" s="1">
        <v>843221</v>
      </c>
      <c r="K180" s="1">
        <v>101</v>
      </c>
      <c r="L180" s="1">
        <v>846.93875000000003</v>
      </c>
      <c r="M180" s="1">
        <v>200</v>
      </c>
      <c r="N180" s="7">
        <v>45947</v>
      </c>
      <c r="O180" s="1">
        <v>20000</v>
      </c>
      <c r="P180" s="7">
        <v>46147</v>
      </c>
      <c r="Q180" s="1" t="s">
        <v>330</v>
      </c>
      <c r="T180" s="1" t="s">
        <v>345</v>
      </c>
      <c r="U180" s="1" t="s">
        <v>346</v>
      </c>
      <c r="V180" s="1">
        <v>1</v>
      </c>
      <c r="W180" s="3">
        <v>10535.04</v>
      </c>
      <c r="X180" s="3">
        <v>10535.04</v>
      </c>
      <c r="Y180" s="1" t="str">
        <f>VLOOKUP(A180,[1]Detalle!$D$2:$CR$484,93,FALSE)</f>
        <v>CENCOMLD - Cencosud SA - Mendoza</v>
      </c>
    </row>
    <row r="181" spans="1:25" ht="14.25" customHeight="1" x14ac:dyDescent="0.3">
      <c r="A181" s="1" t="s">
        <v>133</v>
      </c>
      <c r="B181" s="1" t="s">
        <v>343</v>
      </c>
      <c r="C181" s="1" t="s">
        <v>343</v>
      </c>
      <c r="D181" s="1" t="s">
        <v>344</v>
      </c>
      <c r="E181" s="6">
        <v>45846</v>
      </c>
      <c r="F181" s="1">
        <v>843221</v>
      </c>
      <c r="G181" s="1">
        <v>863221</v>
      </c>
      <c r="H181" s="1">
        <v>0</v>
      </c>
      <c r="I181" s="1">
        <v>20000</v>
      </c>
      <c r="J181" s="1">
        <v>843221</v>
      </c>
      <c r="K181" s="1">
        <v>101</v>
      </c>
      <c r="L181" s="1">
        <v>846.93875000000003</v>
      </c>
      <c r="M181" s="1">
        <v>200</v>
      </c>
      <c r="N181" s="7">
        <v>45947</v>
      </c>
      <c r="O181" s="1">
        <v>20000</v>
      </c>
      <c r="P181" s="7">
        <v>46147</v>
      </c>
      <c r="Q181" s="1" t="s">
        <v>330</v>
      </c>
      <c r="T181" s="1" t="s">
        <v>347</v>
      </c>
      <c r="U181" s="1" t="s">
        <v>348</v>
      </c>
      <c r="V181" s="1">
        <v>1</v>
      </c>
      <c r="W181" s="3">
        <v>19410.240000000002</v>
      </c>
      <c r="X181" s="3">
        <v>19410.240000000002</v>
      </c>
      <c r="Y181" s="1" t="str">
        <f>VLOOKUP(A181,[1]Detalle!$D$2:$CR$484,93,FALSE)</f>
        <v>CENCOMLD - Cencosud SA - Mendoza</v>
      </c>
    </row>
    <row r="182" spans="1:25" ht="14.25" customHeight="1" x14ac:dyDescent="0.3">
      <c r="A182" s="1" t="s">
        <v>162</v>
      </c>
      <c r="B182" s="1" t="s">
        <v>343</v>
      </c>
      <c r="C182" s="1" t="s">
        <v>343</v>
      </c>
      <c r="D182" s="1" t="s">
        <v>344</v>
      </c>
      <c r="E182" s="6">
        <v>45623</v>
      </c>
      <c r="F182" s="1">
        <v>6340</v>
      </c>
      <c r="G182" s="1">
        <v>26340</v>
      </c>
      <c r="H182" s="1">
        <v>9804.4500000000044</v>
      </c>
      <c r="I182" s="1">
        <v>10195.549999999999</v>
      </c>
      <c r="J182" s="1">
        <v>16144.45</v>
      </c>
      <c r="K182" s="1">
        <v>324</v>
      </c>
      <c r="L182" s="1">
        <v>31.374080882352938</v>
      </c>
      <c r="M182" s="1">
        <v>336.92437617612381</v>
      </c>
      <c r="N182" s="7">
        <v>45947</v>
      </c>
      <c r="O182" s="1">
        <v>20000</v>
      </c>
      <c r="P182" s="7">
        <v>46283.924376180563</v>
      </c>
      <c r="Q182" s="1" t="s">
        <v>330</v>
      </c>
      <c r="T182" s="1" t="s">
        <v>345</v>
      </c>
      <c r="U182" s="1" t="s">
        <v>346</v>
      </c>
      <c r="V182" s="1">
        <v>1</v>
      </c>
      <c r="W182" s="3">
        <v>10535.04</v>
      </c>
      <c r="X182" s="3">
        <v>10535.04</v>
      </c>
      <c r="Y182" s="1" t="str">
        <f>VLOOKUP(A182,[1]Detalle!$D$2:$CR$484,93,FALSE)</f>
        <v>SUC_SRA - Sucursal San Rafael</v>
      </c>
    </row>
    <row r="183" spans="1:25" ht="14.25" customHeight="1" x14ac:dyDescent="0.3">
      <c r="A183" s="1" t="s">
        <v>162</v>
      </c>
      <c r="B183" s="1" t="s">
        <v>343</v>
      </c>
      <c r="C183" s="1" t="s">
        <v>343</v>
      </c>
      <c r="D183" s="1" t="s">
        <v>344</v>
      </c>
      <c r="E183" s="6">
        <v>45623</v>
      </c>
      <c r="F183" s="1">
        <v>6340</v>
      </c>
      <c r="G183" s="1">
        <v>26340</v>
      </c>
      <c r="H183" s="1">
        <v>9804.4500000000044</v>
      </c>
      <c r="I183" s="1">
        <v>10195.549999999999</v>
      </c>
      <c r="J183" s="1">
        <v>16144.45</v>
      </c>
      <c r="K183" s="1">
        <v>324</v>
      </c>
      <c r="L183" s="1">
        <v>31.374080882352938</v>
      </c>
      <c r="M183" s="1">
        <v>336.92437617612381</v>
      </c>
      <c r="N183" s="7">
        <v>45947</v>
      </c>
      <c r="O183" s="1">
        <v>20000</v>
      </c>
      <c r="P183" s="7">
        <v>46283.924376180563</v>
      </c>
      <c r="Q183" s="1" t="s">
        <v>330</v>
      </c>
      <c r="T183" s="1" t="s">
        <v>347</v>
      </c>
      <c r="U183" s="1" t="s">
        <v>348</v>
      </c>
      <c r="V183" s="1">
        <v>1</v>
      </c>
      <c r="W183" s="3">
        <v>19410.240000000002</v>
      </c>
      <c r="X183" s="3">
        <v>19410.240000000002</v>
      </c>
      <c r="Y183" s="1" t="str">
        <f>VLOOKUP(A183,[1]Detalle!$D$2:$CR$484,93,FALSE)</f>
        <v>SUC_SRA - Sucursal San Rafael</v>
      </c>
    </row>
    <row r="184" spans="1:25" ht="14.25" customHeight="1" x14ac:dyDescent="0.3">
      <c r="A184" s="1" t="s">
        <v>144</v>
      </c>
      <c r="B184" s="1" t="s">
        <v>343</v>
      </c>
      <c r="C184" s="1" t="s">
        <v>343</v>
      </c>
      <c r="D184" s="1" t="s">
        <v>344</v>
      </c>
      <c r="E184" s="6">
        <v>45840</v>
      </c>
      <c r="F184" s="1">
        <v>619280</v>
      </c>
      <c r="G184" s="1">
        <v>639280</v>
      </c>
      <c r="H184" s="1">
        <v>8001.9999999999982</v>
      </c>
      <c r="I184" s="1">
        <v>11998</v>
      </c>
      <c r="J184" s="1">
        <v>627282</v>
      </c>
      <c r="K184" s="1">
        <v>107</v>
      </c>
      <c r="L184" s="1">
        <v>80.140288461538475</v>
      </c>
      <c r="M184" s="1">
        <v>160.43314171457141</v>
      </c>
      <c r="N184" s="7">
        <v>45947</v>
      </c>
      <c r="O184" s="1">
        <v>20000</v>
      </c>
      <c r="P184" s="7">
        <v>46107.433141712972</v>
      </c>
      <c r="Q184" s="1" t="s">
        <v>330</v>
      </c>
      <c r="T184" s="1" t="s">
        <v>345</v>
      </c>
      <c r="U184" s="1" t="s">
        <v>346</v>
      </c>
      <c r="V184" s="1">
        <v>1</v>
      </c>
      <c r="W184" s="3">
        <v>10535.04</v>
      </c>
      <c r="X184" s="3">
        <v>10535.04</v>
      </c>
      <c r="Y184" s="1" t="str">
        <f>VLOOKUP(A184,[1]Detalle!$D$2:$CR$484,93,FALSE)</f>
        <v>Papelera - Papelera del Plata S.A.</v>
      </c>
    </row>
    <row r="185" spans="1:25" ht="14.25" customHeight="1" x14ac:dyDescent="0.3">
      <c r="A185" s="1" t="s">
        <v>144</v>
      </c>
      <c r="B185" s="1" t="s">
        <v>343</v>
      </c>
      <c r="C185" s="1" t="s">
        <v>343</v>
      </c>
      <c r="D185" s="1" t="s">
        <v>344</v>
      </c>
      <c r="E185" s="6">
        <v>45840</v>
      </c>
      <c r="F185" s="1">
        <v>619280</v>
      </c>
      <c r="G185" s="1">
        <v>639280</v>
      </c>
      <c r="H185" s="1">
        <v>8001.9999999999982</v>
      </c>
      <c r="I185" s="1">
        <v>11998</v>
      </c>
      <c r="J185" s="1">
        <v>627282</v>
      </c>
      <c r="K185" s="1">
        <v>107</v>
      </c>
      <c r="L185" s="1">
        <v>80.140288461538475</v>
      </c>
      <c r="M185" s="1">
        <v>160.43314171457141</v>
      </c>
      <c r="N185" s="7">
        <v>45947</v>
      </c>
      <c r="O185" s="1">
        <v>20000</v>
      </c>
      <c r="P185" s="7">
        <v>46107.433141712972</v>
      </c>
      <c r="Q185" s="1" t="s">
        <v>330</v>
      </c>
      <c r="T185" s="1" t="s">
        <v>347</v>
      </c>
      <c r="U185" s="1" t="s">
        <v>348</v>
      </c>
      <c r="V185" s="1">
        <v>1</v>
      </c>
      <c r="W185" s="3">
        <v>19410.240000000002</v>
      </c>
      <c r="X185" s="3">
        <v>19410.240000000002</v>
      </c>
      <c r="Y185" s="1" t="str">
        <f>VLOOKUP(A185,[1]Detalle!$D$2:$CR$484,93,FALSE)</f>
        <v>Papelera - Papelera del Plata S.A.</v>
      </c>
    </row>
    <row r="186" spans="1:25" ht="14.25" customHeight="1" x14ac:dyDescent="0.3">
      <c r="A186" s="1" t="s">
        <v>189</v>
      </c>
      <c r="B186" s="1" t="s">
        <v>343</v>
      </c>
      <c r="C186" s="1" t="s">
        <v>343</v>
      </c>
      <c r="D186" s="1" t="s">
        <v>344</v>
      </c>
      <c r="E186" s="6">
        <v>45790</v>
      </c>
      <c r="F186" s="1">
        <v>237476</v>
      </c>
      <c r="G186" s="1">
        <v>257476</v>
      </c>
      <c r="H186" s="1">
        <v>6287.2000000000007</v>
      </c>
      <c r="I186" s="1">
        <v>13712.8</v>
      </c>
      <c r="J186" s="1">
        <v>243763.20000000001</v>
      </c>
      <c r="K186" s="1">
        <v>157</v>
      </c>
      <c r="L186" s="1">
        <v>36.85391585760523</v>
      </c>
      <c r="M186" s="1">
        <v>342.42740806718399</v>
      </c>
      <c r="N186" s="7">
        <v>45947</v>
      </c>
      <c r="O186" s="1">
        <v>20000</v>
      </c>
      <c r="P186" s="7">
        <v>46289.427408067131</v>
      </c>
      <c r="Q186" s="1" t="s">
        <v>330</v>
      </c>
      <c r="T186" s="1" t="s">
        <v>345</v>
      </c>
      <c r="U186" s="1" t="s">
        <v>346</v>
      </c>
      <c r="V186" s="1">
        <v>1</v>
      </c>
      <c r="W186" s="3">
        <v>10535.04</v>
      </c>
      <c r="X186" s="3">
        <v>10535.04</v>
      </c>
      <c r="Y186" s="1" t="str">
        <f>VLOOKUP(A186,[1]Detalle!$D$2:$CR$484,93,FALSE)</f>
        <v>CCUDyAZA</v>
      </c>
    </row>
    <row r="187" spans="1:25" ht="14.25" customHeight="1" x14ac:dyDescent="0.3">
      <c r="A187" s="1" t="s">
        <v>189</v>
      </c>
      <c r="B187" s="1" t="s">
        <v>343</v>
      </c>
      <c r="C187" s="1" t="s">
        <v>343</v>
      </c>
      <c r="D187" s="1" t="s">
        <v>344</v>
      </c>
      <c r="E187" s="6">
        <v>45790</v>
      </c>
      <c r="F187" s="1">
        <v>237476</v>
      </c>
      <c r="G187" s="1">
        <v>257476</v>
      </c>
      <c r="H187" s="1">
        <v>6287.2000000000007</v>
      </c>
      <c r="I187" s="1">
        <v>13712.8</v>
      </c>
      <c r="J187" s="1">
        <v>243763.20000000001</v>
      </c>
      <c r="K187" s="1">
        <v>157</v>
      </c>
      <c r="L187" s="1">
        <v>36.85391585760523</v>
      </c>
      <c r="M187" s="1">
        <v>342.42740806718399</v>
      </c>
      <c r="N187" s="7">
        <v>45947</v>
      </c>
      <c r="O187" s="1">
        <v>20000</v>
      </c>
      <c r="P187" s="7">
        <v>46289.427408067131</v>
      </c>
      <c r="Q187" s="1" t="s">
        <v>330</v>
      </c>
      <c r="T187" s="1" t="s">
        <v>347</v>
      </c>
      <c r="U187" s="1" t="s">
        <v>348</v>
      </c>
      <c r="V187" s="1">
        <v>1</v>
      </c>
      <c r="W187" s="3">
        <v>19410.240000000002</v>
      </c>
      <c r="X187" s="3">
        <v>19410.240000000002</v>
      </c>
      <c r="Y187" s="1" t="str">
        <f>VLOOKUP(A187,[1]Detalle!$D$2:$CR$484,93,FALSE)</f>
        <v>CCUDyAZA</v>
      </c>
    </row>
    <row r="188" spans="1:25" ht="14.25" customHeight="1" x14ac:dyDescent="0.3">
      <c r="A188" s="1" t="s">
        <v>190</v>
      </c>
      <c r="B188" s="1" t="s">
        <v>343</v>
      </c>
      <c r="C188" s="1" t="s">
        <v>343</v>
      </c>
      <c r="D188" s="1" t="s">
        <v>344</v>
      </c>
      <c r="E188" s="6">
        <v>45785</v>
      </c>
      <c r="F188" s="1">
        <v>249976</v>
      </c>
      <c r="G188" s="1">
        <v>269976</v>
      </c>
      <c r="H188" s="1">
        <v>7170.0999999999995</v>
      </c>
      <c r="I188" s="1">
        <v>12829.9</v>
      </c>
      <c r="J188" s="1">
        <v>257146.1</v>
      </c>
      <c r="K188" s="1">
        <v>162</v>
      </c>
      <c r="L188" s="1">
        <v>37.516848874598068</v>
      </c>
      <c r="M188" s="1">
        <v>289.876542865511</v>
      </c>
      <c r="N188" s="7">
        <v>45947</v>
      </c>
      <c r="O188" s="1">
        <v>20000</v>
      </c>
      <c r="P188" s="7">
        <v>46236.87654287037</v>
      </c>
      <c r="Q188" s="1" t="s">
        <v>330</v>
      </c>
      <c r="T188" s="1" t="s">
        <v>345</v>
      </c>
      <c r="U188" s="1" t="s">
        <v>346</v>
      </c>
      <c r="V188" s="1">
        <v>1</v>
      </c>
      <c r="W188" s="3">
        <v>10535.04</v>
      </c>
      <c r="X188" s="3">
        <v>10535.04</v>
      </c>
      <c r="Y188" s="1" t="str">
        <f>VLOOKUP(A188,[1]Detalle!$D$2:$CR$484,93,FALSE)</f>
        <v>CCUCoAZA</v>
      </c>
    </row>
    <row r="189" spans="1:25" ht="14.25" customHeight="1" x14ac:dyDescent="0.3">
      <c r="A189" s="1" t="s">
        <v>190</v>
      </c>
      <c r="B189" s="1" t="s">
        <v>343</v>
      </c>
      <c r="C189" s="1" t="s">
        <v>343</v>
      </c>
      <c r="D189" s="1" t="s">
        <v>344</v>
      </c>
      <c r="E189" s="6">
        <v>45785</v>
      </c>
      <c r="F189" s="1">
        <v>249976</v>
      </c>
      <c r="G189" s="1">
        <v>269976</v>
      </c>
      <c r="H189" s="1">
        <v>7170.0999999999995</v>
      </c>
      <c r="I189" s="1">
        <v>12829.9</v>
      </c>
      <c r="J189" s="1">
        <v>257146.1</v>
      </c>
      <c r="K189" s="1">
        <v>162</v>
      </c>
      <c r="L189" s="1">
        <v>37.516848874598068</v>
      </c>
      <c r="M189" s="1">
        <v>289.876542865511</v>
      </c>
      <c r="N189" s="7">
        <v>45947</v>
      </c>
      <c r="O189" s="1">
        <v>20000</v>
      </c>
      <c r="P189" s="7">
        <v>46236.87654287037</v>
      </c>
      <c r="Q189" s="1" t="s">
        <v>330</v>
      </c>
      <c r="T189" s="1" t="s">
        <v>347</v>
      </c>
      <c r="U189" s="1" t="s">
        <v>348</v>
      </c>
      <c r="V189" s="1">
        <v>1</v>
      </c>
      <c r="W189" s="3">
        <v>19410.240000000002</v>
      </c>
      <c r="X189" s="3">
        <v>19410.240000000002</v>
      </c>
      <c r="Y189" s="1" t="str">
        <f>VLOOKUP(A189,[1]Detalle!$D$2:$CR$484,93,FALSE)</f>
        <v>CCUCoAZA</v>
      </c>
    </row>
    <row r="190" spans="1:25" ht="14.25" customHeight="1" x14ac:dyDescent="0.3">
      <c r="A190" s="1" t="s">
        <v>196</v>
      </c>
      <c r="B190" s="1" t="s">
        <v>343</v>
      </c>
      <c r="C190" s="1" t="s">
        <v>343</v>
      </c>
      <c r="D190" s="1" t="s">
        <v>344</v>
      </c>
      <c r="E190" s="6">
        <v>45656</v>
      </c>
      <c r="F190" s="1">
        <v>216285</v>
      </c>
      <c r="G190" s="1">
        <v>236285</v>
      </c>
      <c r="H190" s="1">
        <v>9057.0900000000038</v>
      </c>
      <c r="I190" s="1">
        <v>10942.91</v>
      </c>
      <c r="J190" s="1">
        <v>225342.09</v>
      </c>
      <c r="K190" s="1">
        <v>291</v>
      </c>
      <c r="L190" s="1">
        <v>33.420996309963101</v>
      </c>
      <c r="M190" s="1">
        <v>351.59050092248151</v>
      </c>
      <c r="N190" s="7">
        <v>45947</v>
      </c>
      <c r="O190" s="1">
        <v>20000</v>
      </c>
      <c r="P190" s="7">
        <v>46298.59050092593</v>
      </c>
      <c r="Q190" s="1" t="s">
        <v>330</v>
      </c>
      <c r="T190" s="1" t="s">
        <v>345</v>
      </c>
      <c r="U190" s="1" t="s">
        <v>346</v>
      </c>
      <c r="V190" s="1">
        <v>1</v>
      </c>
      <c r="W190" s="3">
        <v>10535.04</v>
      </c>
      <c r="X190" s="3">
        <v>10535.04</v>
      </c>
      <c r="Y190" s="1" t="str">
        <f>VLOOKUP(A190,[1]Detalle!$D$2:$CR$484,93,FALSE)</f>
        <v>CCUCoAZA</v>
      </c>
    </row>
    <row r="191" spans="1:25" ht="14.25" customHeight="1" x14ac:dyDescent="0.3">
      <c r="A191" s="1" t="s">
        <v>196</v>
      </c>
      <c r="B191" s="1" t="s">
        <v>343</v>
      </c>
      <c r="C191" s="1" t="s">
        <v>343</v>
      </c>
      <c r="D191" s="1" t="s">
        <v>344</v>
      </c>
      <c r="E191" s="6">
        <v>45656</v>
      </c>
      <c r="F191" s="1">
        <v>216285</v>
      </c>
      <c r="G191" s="1">
        <v>236285</v>
      </c>
      <c r="H191" s="1">
        <v>9057.0900000000038</v>
      </c>
      <c r="I191" s="1">
        <v>10942.91</v>
      </c>
      <c r="J191" s="1">
        <v>225342.09</v>
      </c>
      <c r="K191" s="1">
        <v>291</v>
      </c>
      <c r="L191" s="1">
        <v>33.420996309963101</v>
      </c>
      <c r="M191" s="1">
        <v>351.59050092248151</v>
      </c>
      <c r="N191" s="7">
        <v>45947</v>
      </c>
      <c r="O191" s="1">
        <v>20000</v>
      </c>
      <c r="P191" s="7">
        <v>46298.59050092593</v>
      </c>
      <c r="Q191" s="1" t="s">
        <v>330</v>
      </c>
      <c r="T191" s="1" t="s">
        <v>347</v>
      </c>
      <c r="U191" s="1" t="s">
        <v>348</v>
      </c>
      <c r="V191" s="1">
        <v>1</v>
      </c>
      <c r="W191" s="3">
        <v>19410.240000000002</v>
      </c>
      <c r="X191" s="3">
        <v>19410.240000000002</v>
      </c>
      <c r="Y191" s="1" t="str">
        <f>VLOOKUP(A191,[1]Detalle!$D$2:$CR$484,93,FALSE)</f>
        <v>CCUCoAZA</v>
      </c>
    </row>
    <row r="192" spans="1:25" ht="14.25" customHeight="1" x14ac:dyDescent="0.3">
      <c r="A192" s="1" t="s">
        <v>202</v>
      </c>
      <c r="B192" s="1" t="s">
        <v>343</v>
      </c>
      <c r="C192" s="1" t="s">
        <v>343</v>
      </c>
      <c r="D192" s="1" t="s">
        <v>344</v>
      </c>
      <c r="E192" s="6">
        <v>45608</v>
      </c>
      <c r="F192" s="1">
        <v>702674</v>
      </c>
      <c r="G192" s="1">
        <v>722674</v>
      </c>
      <c r="H192" s="1">
        <v>10099.13000000001</v>
      </c>
      <c r="I192" s="1">
        <v>9900.8699999999881</v>
      </c>
      <c r="J192" s="1">
        <v>712773.13</v>
      </c>
      <c r="K192" s="1">
        <v>339</v>
      </c>
      <c r="L192" s="1">
        <v>30.666407407407419</v>
      </c>
      <c r="M192" s="1">
        <v>332.34495743692702</v>
      </c>
      <c r="N192" s="7">
        <v>45947</v>
      </c>
      <c r="O192" s="1">
        <v>20000</v>
      </c>
      <c r="P192" s="7">
        <v>46279.344957442132</v>
      </c>
      <c r="Q192" s="1" t="s">
        <v>330</v>
      </c>
      <c r="T192" s="1" t="s">
        <v>345</v>
      </c>
      <c r="U192" s="1" t="s">
        <v>346</v>
      </c>
      <c r="V192" s="1">
        <v>1</v>
      </c>
      <c r="W192" s="3">
        <v>10535.04</v>
      </c>
      <c r="X192" s="3">
        <v>10535.04</v>
      </c>
      <c r="Y192" s="1" t="str">
        <f>VLOOKUP(A192,[1]Detalle!$D$2:$CR$484,93,FALSE)</f>
        <v>CCUDyAZA</v>
      </c>
    </row>
    <row r="193" spans="1:25" ht="14.25" customHeight="1" x14ac:dyDescent="0.3">
      <c r="A193" s="1" t="s">
        <v>202</v>
      </c>
      <c r="B193" s="1" t="s">
        <v>343</v>
      </c>
      <c r="C193" s="1" t="s">
        <v>343</v>
      </c>
      <c r="D193" s="1" t="s">
        <v>344</v>
      </c>
      <c r="E193" s="6">
        <v>45608</v>
      </c>
      <c r="F193" s="1">
        <v>702674</v>
      </c>
      <c r="G193" s="1">
        <v>722674</v>
      </c>
      <c r="H193" s="1">
        <v>10099.13000000001</v>
      </c>
      <c r="I193" s="1">
        <v>9900.8699999999881</v>
      </c>
      <c r="J193" s="1">
        <v>712773.13</v>
      </c>
      <c r="K193" s="1">
        <v>339</v>
      </c>
      <c r="L193" s="1">
        <v>30.666407407407419</v>
      </c>
      <c r="M193" s="1">
        <v>332.34495743692702</v>
      </c>
      <c r="N193" s="7">
        <v>45947</v>
      </c>
      <c r="O193" s="1">
        <v>20000</v>
      </c>
      <c r="P193" s="7">
        <v>46279.344957442132</v>
      </c>
      <c r="Q193" s="1" t="s">
        <v>330</v>
      </c>
      <c r="T193" s="1" t="s">
        <v>347</v>
      </c>
      <c r="U193" s="1" t="s">
        <v>348</v>
      </c>
      <c r="V193" s="1">
        <v>1</v>
      </c>
      <c r="W193" s="3">
        <v>19410.240000000002</v>
      </c>
      <c r="X193" s="3">
        <v>19410.240000000002</v>
      </c>
      <c r="Y193" s="1" t="str">
        <f>VLOOKUP(A193,[1]Detalle!$D$2:$CR$484,93,FALSE)</f>
        <v>CCUDyAZA</v>
      </c>
    </row>
    <row r="194" spans="1:25" ht="14.25" customHeight="1" x14ac:dyDescent="0.3">
      <c r="A194" s="1" t="s">
        <v>204</v>
      </c>
      <c r="B194" s="1" t="s">
        <v>343</v>
      </c>
      <c r="C194" s="1" t="s">
        <v>343</v>
      </c>
      <c r="D194" s="1" t="s">
        <v>344</v>
      </c>
      <c r="E194" s="6">
        <v>45743</v>
      </c>
      <c r="F194" s="1">
        <v>322879</v>
      </c>
      <c r="G194" s="1">
        <v>342879</v>
      </c>
      <c r="H194" s="1">
        <v>7068.2</v>
      </c>
      <c r="I194" s="1">
        <v>12931.8</v>
      </c>
      <c r="J194" s="1">
        <v>329947.2</v>
      </c>
      <c r="K194" s="1">
        <v>204</v>
      </c>
      <c r="L194" s="1">
        <v>44.066703703703709</v>
      </c>
      <c r="M194" s="1">
        <v>373.23324184375087</v>
      </c>
      <c r="N194" s="7">
        <v>45947</v>
      </c>
      <c r="O194" s="1">
        <v>20000</v>
      </c>
      <c r="P194" s="7">
        <v>46320.23324184028</v>
      </c>
      <c r="Q194" s="1" t="s">
        <v>330</v>
      </c>
      <c r="T194" s="1" t="s">
        <v>345</v>
      </c>
      <c r="U194" s="1" t="s">
        <v>346</v>
      </c>
      <c r="V194" s="1">
        <v>1</v>
      </c>
      <c r="W194" s="3">
        <v>10535.04</v>
      </c>
      <c r="X194" s="3">
        <v>10535.04</v>
      </c>
      <c r="Y194" s="1" t="str">
        <f>VLOOKUP(A194,[1]Detalle!$D$2:$CR$484,93,FALSE)</f>
        <v>CCUCoAZA</v>
      </c>
    </row>
    <row r="195" spans="1:25" ht="14.25" customHeight="1" x14ac:dyDescent="0.3">
      <c r="A195" s="1" t="s">
        <v>204</v>
      </c>
      <c r="B195" s="1" t="s">
        <v>343</v>
      </c>
      <c r="C195" s="1" t="s">
        <v>343</v>
      </c>
      <c r="D195" s="1" t="s">
        <v>344</v>
      </c>
      <c r="E195" s="6">
        <v>45743</v>
      </c>
      <c r="F195" s="1">
        <v>322879</v>
      </c>
      <c r="G195" s="1">
        <v>342879</v>
      </c>
      <c r="H195" s="1">
        <v>7068.2</v>
      </c>
      <c r="I195" s="1">
        <v>12931.8</v>
      </c>
      <c r="J195" s="1">
        <v>329947.2</v>
      </c>
      <c r="K195" s="1">
        <v>204</v>
      </c>
      <c r="L195" s="1">
        <v>44.066703703703709</v>
      </c>
      <c r="M195" s="1">
        <v>373.23324184375087</v>
      </c>
      <c r="N195" s="7">
        <v>45947</v>
      </c>
      <c r="O195" s="1">
        <v>20000</v>
      </c>
      <c r="P195" s="7">
        <v>46320.23324184028</v>
      </c>
      <c r="Q195" s="1" t="s">
        <v>330</v>
      </c>
      <c r="T195" s="1" t="s">
        <v>347</v>
      </c>
      <c r="U195" s="1" t="s">
        <v>348</v>
      </c>
      <c r="V195" s="1">
        <v>1</v>
      </c>
      <c r="W195" s="3">
        <v>19410.240000000002</v>
      </c>
      <c r="X195" s="3">
        <v>19410.240000000002</v>
      </c>
      <c r="Y195" s="1" t="str">
        <f>VLOOKUP(A195,[1]Detalle!$D$2:$CR$484,93,FALSE)</f>
        <v>CCUCoAZA</v>
      </c>
    </row>
    <row r="196" spans="1:25" ht="14.25" customHeight="1" x14ac:dyDescent="0.3">
      <c r="A196" s="1" t="s">
        <v>205</v>
      </c>
      <c r="B196" s="1" t="s">
        <v>343</v>
      </c>
      <c r="C196" s="1" t="s">
        <v>343</v>
      </c>
      <c r="D196" s="1" t="s">
        <v>344</v>
      </c>
      <c r="E196" s="6">
        <v>45735</v>
      </c>
      <c r="F196" s="1">
        <v>180294</v>
      </c>
      <c r="G196" s="1">
        <v>200294</v>
      </c>
      <c r="H196" s="1">
        <v>8568.0000000000055</v>
      </c>
      <c r="I196" s="1">
        <v>11431.999999999991</v>
      </c>
      <c r="J196" s="1">
        <v>188862</v>
      </c>
      <c r="K196" s="1">
        <v>212</v>
      </c>
      <c r="L196" s="1">
        <v>45.429777777777801</v>
      </c>
      <c r="M196" s="1">
        <v>282.864612511671</v>
      </c>
      <c r="N196" s="7">
        <v>45947</v>
      </c>
      <c r="O196" s="1">
        <v>20000</v>
      </c>
      <c r="P196" s="7">
        <v>46229.864612511577</v>
      </c>
      <c r="Q196" s="1" t="s">
        <v>330</v>
      </c>
      <c r="T196" s="1" t="s">
        <v>345</v>
      </c>
      <c r="U196" s="1" t="s">
        <v>346</v>
      </c>
      <c r="V196" s="1">
        <v>1</v>
      </c>
      <c r="W196" s="3">
        <v>10535.04</v>
      </c>
      <c r="X196" s="3">
        <v>10535.04</v>
      </c>
      <c r="Y196" s="1" t="str">
        <f>VLOOKUP(A196,[1]Detalle!$D$2:$CR$484,93,FALSE)</f>
        <v>CCUCoAZA</v>
      </c>
    </row>
    <row r="197" spans="1:25" ht="14.25" customHeight="1" x14ac:dyDescent="0.3">
      <c r="A197" s="1" t="s">
        <v>205</v>
      </c>
      <c r="B197" s="1" t="s">
        <v>343</v>
      </c>
      <c r="C197" s="1" t="s">
        <v>343</v>
      </c>
      <c r="D197" s="1" t="s">
        <v>344</v>
      </c>
      <c r="E197" s="6">
        <v>45735</v>
      </c>
      <c r="F197" s="1">
        <v>180294</v>
      </c>
      <c r="G197" s="1">
        <v>200294</v>
      </c>
      <c r="H197" s="1">
        <v>8568.0000000000055</v>
      </c>
      <c r="I197" s="1">
        <v>11431.999999999991</v>
      </c>
      <c r="J197" s="1">
        <v>188862</v>
      </c>
      <c r="K197" s="1">
        <v>212</v>
      </c>
      <c r="L197" s="1">
        <v>45.429777777777801</v>
      </c>
      <c r="M197" s="1">
        <v>282.864612511671</v>
      </c>
      <c r="N197" s="7">
        <v>45947</v>
      </c>
      <c r="O197" s="1">
        <v>20000</v>
      </c>
      <c r="P197" s="7">
        <v>46229.864612511577</v>
      </c>
      <c r="Q197" s="1" t="s">
        <v>330</v>
      </c>
      <c r="T197" s="1" t="s">
        <v>347</v>
      </c>
      <c r="U197" s="1" t="s">
        <v>348</v>
      </c>
      <c r="V197" s="1">
        <v>1</v>
      </c>
      <c r="W197" s="3">
        <v>19410.240000000002</v>
      </c>
      <c r="X197" s="3">
        <v>19410.240000000002</v>
      </c>
      <c r="Y197" s="1" t="str">
        <f>VLOOKUP(A197,[1]Detalle!$D$2:$CR$484,93,FALSE)</f>
        <v>CCUCoAZA</v>
      </c>
    </row>
    <row r="198" spans="1:25" ht="14.25" customHeight="1" x14ac:dyDescent="0.3">
      <c r="A198" s="1" t="s">
        <v>171</v>
      </c>
      <c r="B198" s="1" t="s">
        <v>343</v>
      </c>
      <c r="C198" s="1" t="s">
        <v>343</v>
      </c>
      <c r="D198" s="1" t="s">
        <v>344</v>
      </c>
      <c r="E198" s="6">
        <v>45835</v>
      </c>
      <c r="F198" s="1">
        <v>34917.800000000003</v>
      </c>
      <c r="G198" s="1">
        <v>54917.8</v>
      </c>
      <c r="H198" s="1">
        <v>14084.2</v>
      </c>
      <c r="I198" s="1">
        <v>5915.7999999999975</v>
      </c>
      <c r="J198" s="1">
        <v>49002.000000000007</v>
      </c>
      <c r="K198" s="1">
        <v>112</v>
      </c>
      <c r="L198" s="1">
        <v>130.96596721311471</v>
      </c>
      <c r="M198" s="1">
        <v>47.04346714758379</v>
      </c>
      <c r="N198" s="7">
        <v>45947</v>
      </c>
      <c r="O198" s="1">
        <v>20000</v>
      </c>
      <c r="P198" s="7">
        <v>46146.754896122693</v>
      </c>
      <c r="Q198" s="1" t="s">
        <v>330</v>
      </c>
      <c r="T198" s="1" t="s">
        <v>345</v>
      </c>
      <c r="U198" s="1" t="s">
        <v>346</v>
      </c>
      <c r="V198" s="1">
        <v>1</v>
      </c>
      <c r="W198" s="3">
        <v>10535.04</v>
      </c>
      <c r="X198" s="3">
        <v>10535.04</v>
      </c>
      <c r="Y198" s="1" t="str">
        <f>VLOOKUP(A198,[1]Detalle!$D$2:$CR$484,93,FALSE)</f>
        <v>CENCO_MZ - Cencosud SA - Mendoza</v>
      </c>
    </row>
    <row r="199" spans="1:25" ht="14.25" customHeight="1" x14ac:dyDescent="0.3">
      <c r="A199" s="1" t="s">
        <v>171</v>
      </c>
      <c r="B199" s="1" t="s">
        <v>343</v>
      </c>
      <c r="C199" s="1" t="s">
        <v>343</v>
      </c>
      <c r="D199" s="1" t="s">
        <v>344</v>
      </c>
      <c r="E199" s="6">
        <v>45835</v>
      </c>
      <c r="F199" s="1">
        <v>34917.800000000003</v>
      </c>
      <c r="G199" s="1">
        <v>54917.8</v>
      </c>
      <c r="H199" s="1">
        <v>14084.2</v>
      </c>
      <c r="I199" s="1">
        <v>5915.7999999999975</v>
      </c>
      <c r="J199" s="1">
        <v>49002.000000000007</v>
      </c>
      <c r="K199" s="1">
        <v>112</v>
      </c>
      <c r="L199" s="1">
        <v>130.96596721311471</v>
      </c>
      <c r="M199" s="1">
        <v>47.04346714758379</v>
      </c>
      <c r="N199" s="7">
        <v>45947</v>
      </c>
      <c r="O199" s="1">
        <v>20000</v>
      </c>
      <c r="P199" s="7">
        <v>46146.754896122693</v>
      </c>
      <c r="Q199" s="1" t="s">
        <v>330</v>
      </c>
      <c r="T199" s="1" t="s">
        <v>347</v>
      </c>
      <c r="U199" s="1" t="s">
        <v>348</v>
      </c>
      <c r="V199" s="1">
        <v>1</v>
      </c>
      <c r="W199" s="3">
        <v>19410.240000000002</v>
      </c>
      <c r="X199" s="3">
        <v>19410.240000000002</v>
      </c>
      <c r="Y199" s="1" t="str">
        <f>VLOOKUP(A199,[1]Detalle!$D$2:$CR$484,93,FALSE)</f>
        <v>CENCO_MZ - Cencosud SA - Mendoza</v>
      </c>
    </row>
    <row r="200" spans="1:25" ht="14.25" customHeight="1" x14ac:dyDescent="0.3">
      <c r="A200" s="1" t="s">
        <v>172</v>
      </c>
      <c r="B200" s="1" t="s">
        <v>343</v>
      </c>
      <c r="C200" s="1" t="s">
        <v>343</v>
      </c>
      <c r="D200" s="1" t="s">
        <v>344</v>
      </c>
      <c r="E200" s="6">
        <v>45688</v>
      </c>
      <c r="F200" s="1">
        <v>11346.4</v>
      </c>
      <c r="G200" s="1">
        <v>31346.400000000001</v>
      </c>
      <c r="H200" s="1">
        <v>9575.0499999999993</v>
      </c>
      <c r="I200" s="1">
        <v>10424.950000000001</v>
      </c>
      <c r="J200" s="1">
        <v>20921.45</v>
      </c>
      <c r="K200" s="1">
        <v>259</v>
      </c>
      <c r="L200" s="1">
        <v>35.996428571428567</v>
      </c>
      <c r="M200" s="1">
        <v>281.9893420922084</v>
      </c>
      <c r="N200" s="7">
        <v>45947</v>
      </c>
      <c r="O200" s="1">
        <v>20000</v>
      </c>
      <c r="P200" s="7">
        <v>46228.989342094908</v>
      </c>
      <c r="Q200" s="1" t="s">
        <v>330</v>
      </c>
      <c r="T200" s="1" t="s">
        <v>345</v>
      </c>
      <c r="U200" s="1" t="s">
        <v>346</v>
      </c>
      <c r="V200" s="1">
        <v>1</v>
      </c>
      <c r="W200" s="3">
        <v>10535.04</v>
      </c>
      <c r="X200" s="3">
        <v>10535.04</v>
      </c>
      <c r="Y200" s="1" t="str">
        <f>VLOOKUP(A200,[1]Detalle!$D$2:$CR$484,93,FALSE)</f>
        <v>CENCO_MZ - Cencosud SA - Mendoza</v>
      </c>
    </row>
    <row r="201" spans="1:25" ht="14.25" customHeight="1" x14ac:dyDescent="0.3">
      <c r="A201" s="1" t="s">
        <v>172</v>
      </c>
      <c r="B201" s="1" t="s">
        <v>343</v>
      </c>
      <c r="C201" s="1" t="s">
        <v>343</v>
      </c>
      <c r="D201" s="1" t="s">
        <v>344</v>
      </c>
      <c r="E201" s="6">
        <v>45688</v>
      </c>
      <c r="F201" s="1">
        <v>11346.4</v>
      </c>
      <c r="G201" s="1">
        <v>31346.400000000001</v>
      </c>
      <c r="H201" s="1">
        <v>9575.0499999999993</v>
      </c>
      <c r="I201" s="1">
        <v>10424.950000000001</v>
      </c>
      <c r="J201" s="1">
        <v>20921.45</v>
      </c>
      <c r="K201" s="1">
        <v>259</v>
      </c>
      <c r="L201" s="1">
        <v>35.996428571428567</v>
      </c>
      <c r="M201" s="1">
        <v>281.9893420922084</v>
      </c>
      <c r="N201" s="7">
        <v>45947</v>
      </c>
      <c r="O201" s="1">
        <v>20000</v>
      </c>
      <c r="P201" s="7">
        <v>46228.989342094908</v>
      </c>
      <c r="Q201" s="1" t="s">
        <v>330</v>
      </c>
      <c r="T201" s="1" t="s">
        <v>347</v>
      </c>
      <c r="U201" s="1" t="s">
        <v>348</v>
      </c>
      <c r="V201" s="1">
        <v>1</v>
      </c>
      <c r="W201" s="3">
        <v>19410.240000000002</v>
      </c>
      <c r="X201" s="3">
        <v>19410.240000000002</v>
      </c>
      <c r="Y201" s="1" t="str">
        <f>VLOOKUP(A201,[1]Detalle!$D$2:$CR$484,93,FALSE)</f>
        <v>CENCO_MZ - Cencosud SA - Mendoza</v>
      </c>
    </row>
    <row r="202" spans="1:25" ht="14.25" customHeight="1" x14ac:dyDescent="0.3">
      <c r="A202" s="1" t="s">
        <v>209</v>
      </c>
      <c r="B202" s="1" t="s">
        <v>343</v>
      </c>
      <c r="C202" s="1" t="s">
        <v>343</v>
      </c>
      <c r="D202" s="1" t="s">
        <v>344</v>
      </c>
      <c r="E202" s="6">
        <v>45525</v>
      </c>
      <c r="F202" s="1">
        <v>880145</v>
      </c>
      <c r="G202" s="1">
        <v>900145</v>
      </c>
      <c r="H202" s="1">
        <v>79750.570000000065</v>
      </c>
      <c r="I202" s="1">
        <v>-59750.570000000072</v>
      </c>
      <c r="J202" s="1">
        <v>959895.57000000007</v>
      </c>
      <c r="K202" s="1">
        <v>422</v>
      </c>
      <c r="L202" s="1">
        <v>249.7515064102565</v>
      </c>
      <c r="M202" s="1">
        <v>-316.17003539912008</v>
      </c>
      <c r="N202" s="7">
        <v>45947</v>
      </c>
      <c r="O202" s="1">
        <v>20000</v>
      </c>
      <c r="P202" s="7">
        <v>46027.079597071759</v>
      </c>
      <c r="Q202" s="1" t="s">
        <v>330</v>
      </c>
      <c r="T202" s="1" t="s">
        <v>345</v>
      </c>
      <c r="U202" s="1" t="s">
        <v>346</v>
      </c>
      <c r="V202" s="1">
        <v>1</v>
      </c>
      <c r="W202" s="3">
        <v>10535.04</v>
      </c>
      <c r="X202" s="3">
        <v>10535.04</v>
      </c>
      <c r="Y202" s="1" t="str">
        <f>VLOOKUP(A202,[1]Detalle!$D$2:$CR$484,93,FALSE)</f>
        <v>CENCO_MZ - Cencosud SA - Mendoza</v>
      </c>
    </row>
    <row r="203" spans="1:25" ht="14.25" customHeight="1" x14ac:dyDescent="0.3">
      <c r="A203" s="1" t="s">
        <v>209</v>
      </c>
      <c r="B203" s="1" t="s">
        <v>343</v>
      </c>
      <c r="C203" s="1" t="s">
        <v>343</v>
      </c>
      <c r="D203" s="1" t="s">
        <v>344</v>
      </c>
      <c r="E203" s="6">
        <v>45525</v>
      </c>
      <c r="F203" s="1">
        <v>880145</v>
      </c>
      <c r="G203" s="1">
        <v>900145</v>
      </c>
      <c r="H203" s="1">
        <v>79750.570000000065</v>
      </c>
      <c r="I203" s="1">
        <v>-59750.570000000072</v>
      </c>
      <c r="J203" s="1">
        <v>959895.57000000007</v>
      </c>
      <c r="K203" s="1">
        <v>422</v>
      </c>
      <c r="L203" s="1">
        <v>249.7515064102565</v>
      </c>
      <c r="M203" s="1">
        <v>-316.17003539912008</v>
      </c>
      <c r="N203" s="7">
        <v>45947</v>
      </c>
      <c r="O203" s="1">
        <v>20000</v>
      </c>
      <c r="P203" s="7">
        <v>46027.079597071759</v>
      </c>
      <c r="Q203" s="1" t="s">
        <v>330</v>
      </c>
      <c r="T203" s="1" t="s">
        <v>347</v>
      </c>
      <c r="U203" s="1" t="s">
        <v>348</v>
      </c>
      <c r="V203" s="1">
        <v>1</v>
      </c>
      <c r="W203" s="3">
        <v>19410.240000000002</v>
      </c>
      <c r="X203" s="3">
        <v>19410.240000000002</v>
      </c>
      <c r="Y203" s="1" t="str">
        <f>VLOOKUP(A203,[1]Detalle!$D$2:$CR$484,93,FALSE)</f>
        <v>CENCO_MZ - Cencosud SA - Mendoza</v>
      </c>
    </row>
    <row r="204" spans="1:25" ht="14.25" customHeight="1" x14ac:dyDescent="0.3">
      <c r="A204" s="1" t="s">
        <v>248</v>
      </c>
      <c r="B204" s="1" t="s">
        <v>343</v>
      </c>
      <c r="C204" s="1" t="s">
        <v>343</v>
      </c>
      <c r="D204" s="1" t="s">
        <v>344</v>
      </c>
      <c r="E204" s="6">
        <v>45743</v>
      </c>
      <c r="F204" s="1">
        <v>123548</v>
      </c>
      <c r="G204" s="1">
        <v>143548</v>
      </c>
      <c r="H204" s="1">
        <v>7382.7000000000016</v>
      </c>
      <c r="I204" s="1">
        <v>12617.3</v>
      </c>
      <c r="J204" s="1">
        <v>130930.7</v>
      </c>
      <c r="K204" s="1">
        <v>204</v>
      </c>
      <c r="L204" s="1">
        <v>33.855032679738592</v>
      </c>
      <c r="M204" s="1">
        <v>348.64334186679662</v>
      </c>
      <c r="N204" s="7">
        <v>45947</v>
      </c>
      <c r="O204" s="1">
        <v>20000</v>
      </c>
      <c r="P204" s="7">
        <v>46295.643341863433</v>
      </c>
      <c r="Q204" s="1" t="s">
        <v>330</v>
      </c>
      <c r="T204" s="1" t="s">
        <v>345</v>
      </c>
      <c r="U204" s="1" t="s">
        <v>346</v>
      </c>
      <c r="V204" s="1">
        <v>1</v>
      </c>
      <c r="W204" s="3">
        <v>10535.04</v>
      </c>
      <c r="X204" s="3">
        <v>10535.04</v>
      </c>
      <c r="Y204" s="1" t="str">
        <f>VLOOKUP(A204,[1]Detalle!$D$2:$CR$484,93,FALSE)</f>
        <v>CCUDyAZA</v>
      </c>
    </row>
    <row r="205" spans="1:25" ht="14.25" customHeight="1" x14ac:dyDescent="0.3">
      <c r="A205" s="1" t="s">
        <v>248</v>
      </c>
      <c r="B205" s="1" t="s">
        <v>343</v>
      </c>
      <c r="C205" s="1" t="s">
        <v>343</v>
      </c>
      <c r="D205" s="1" t="s">
        <v>344</v>
      </c>
      <c r="E205" s="6">
        <v>45743</v>
      </c>
      <c r="F205" s="1">
        <v>123548</v>
      </c>
      <c r="G205" s="1">
        <v>143548</v>
      </c>
      <c r="H205" s="1">
        <v>7382.7000000000016</v>
      </c>
      <c r="I205" s="1">
        <v>12617.3</v>
      </c>
      <c r="J205" s="1">
        <v>130930.7</v>
      </c>
      <c r="K205" s="1">
        <v>204</v>
      </c>
      <c r="L205" s="1">
        <v>33.855032679738592</v>
      </c>
      <c r="M205" s="1">
        <v>348.64334186679662</v>
      </c>
      <c r="N205" s="7">
        <v>45947</v>
      </c>
      <c r="O205" s="1">
        <v>20000</v>
      </c>
      <c r="P205" s="7">
        <v>46295.643341863433</v>
      </c>
      <c r="Q205" s="1" t="s">
        <v>330</v>
      </c>
      <c r="T205" s="1" t="s">
        <v>347</v>
      </c>
      <c r="U205" s="1" t="s">
        <v>348</v>
      </c>
      <c r="V205" s="1">
        <v>1</v>
      </c>
      <c r="W205" s="3">
        <v>19410.240000000002</v>
      </c>
      <c r="X205" s="3">
        <v>19410.240000000002</v>
      </c>
      <c r="Y205" s="1" t="str">
        <f>VLOOKUP(A205,[1]Detalle!$D$2:$CR$484,93,FALSE)</f>
        <v>CCUDyAZA</v>
      </c>
    </row>
    <row r="206" spans="1:25" ht="14.25" customHeight="1" x14ac:dyDescent="0.3">
      <c r="A206" s="1" t="s">
        <v>249</v>
      </c>
      <c r="B206" s="1" t="s">
        <v>343</v>
      </c>
      <c r="C206" s="1" t="s">
        <v>343</v>
      </c>
      <c r="D206" s="1" t="s">
        <v>344</v>
      </c>
      <c r="E206" s="6">
        <v>45750</v>
      </c>
      <c r="F206" s="1">
        <v>172612</v>
      </c>
      <c r="G206" s="1">
        <v>192612</v>
      </c>
      <c r="H206" s="1">
        <v>9021.2999999999956</v>
      </c>
      <c r="I206" s="1">
        <v>10978.7</v>
      </c>
      <c r="J206" s="1">
        <v>181633.3</v>
      </c>
      <c r="K206" s="1">
        <v>197</v>
      </c>
      <c r="L206" s="1">
        <v>39.791067961165048</v>
      </c>
      <c r="M206" s="1">
        <v>239.74414995621501</v>
      </c>
      <c r="N206" s="7">
        <v>45947</v>
      </c>
      <c r="O206" s="1">
        <v>20000</v>
      </c>
      <c r="P206" s="7">
        <v>46186.744149953702</v>
      </c>
      <c r="Q206" s="1" t="s">
        <v>330</v>
      </c>
      <c r="T206" s="1" t="s">
        <v>345</v>
      </c>
      <c r="U206" s="1" t="s">
        <v>346</v>
      </c>
      <c r="V206" s="1">
        <v>1</v>
      </c>
      <c r="W206" s="3">
        <v>10535.04</v>
      </c>
      <c r="X206" s="3">
        <v>10535.04</v>
      </c>
      <c r="Y206" s="1" t="str">
        <f>VLOOKUP(A206,[1]Detalle!$D$2:$CR$484,93,FALSE)</f>
        <v>CCUDyAZA</v>
      </c>
    </row>
    <row r="207" spans="1:25" ht="14.25" customHeight="1" x14ac:dyDescent="0.3">
      <c r="A207" s="1" t="s">
        <v>249</v>
      </c>
      <c r="B207" s="1" t="s">
        <v>343</v>
      </c>
      <c r="C207" s="1" t="s">
        <v>343</v>
      </c>
      <c r="D207" s="1" t="s">
        <v>344</v>
      </c>
      <c r="E207" s="6">
        <v>45750</v>
      </c>
      <c r="F207" s="1">
        <v>172612</v>
      </c>
      <c r="G207" s="1">
        <v>192612</v>
      </c>
      <c r="H207" s="1">
        <v>9021.2999999999956</v>
      </c>
      <c r="I207" s="1">
        <v>10978.7</v>
      </c>
      <c r="J207" s="1">
        <v>181633.3</v>
      </c>
      <c r="K207" s="1">
        <v>197</v>
      </c>
      <c r="L207" s="1">
        <v>39.791067961165048</v>
      </c>
      <c r="M207" s="1">
        <v>239.74414995621501</v>
      </c>
      <c r="N207" s="7">
        <v>45947</v>
      </c>
      <c r="O207" s="1">
        <v>20000</v>
      </c>
      <c r="P207" s="7">
        <v>46186.744149953702</v>
      </c>
      <c r="Q207" s="1" t="s">
        <v>330</v>
      </c>
      <c r="T207" s="1" t="s">
        <v>347</v>
      </c>
      <c r="U207" s="1" t="s">
        <v>348</v>
      </c>
      <c r="V207" s="1">
        <v>1</v>
      </c>
      <c r="W207" s="3">
        <v>19410.240000000002</v>
      </c>
      <c r="X207" s="3">
        <v>19410.240000000002</v>
      </c>
      <c r="Y207" s="1" t="str">
        <f>VLOOKUP(A207,[1]Detalle!$D$2:$CR$484,93,FALSE)</f>
        <v>CCUDyAZA</v>
      </c>
    </row>
    <row r="208" spans="1:25" ht="14.25" customHeight="1" x14ac:dyDescent="0.3">
      <c r="A208" s="1" t="s">
        <v>251</v>
      </c>
      <c r="B208" s="1" t="s">
        <v>343</v>
      </c>
      <c r="C208" s="1" t="s">
        <v>343</v>
      </c>
      <c r="D208" s="1" t="s">
        <v>344</v>
      </c>
      <c r="E208" s="6">
        <v>45803</v>
      </c>
      <c r="F208" s="1">
        <v>134238</v>
      </c>
      <c r="G208" s="1">
        <v>154238</v>
      </c>
      <c r="H208" s="1">
        <v>6883.1999999999953</v>
      </c>
      <c r="I208" s="1">
        <v>13116.8</v>
      </c>
      <c r="J208" s="1">
        <v>141121.20000000001</v>
      </c>
      <c r="K208" s="1">
        <v>144</v>
      </c>
      <c r="L208" s="1">
        <v>38.754967741935467</v>
      </c>
      <c r="M208" s="1">
        <v>274.41004184100439</v>
      </c>
      <c r="N208" s="7">
        <v>45947</v>
      </c>
      <c r="O208" s="1">
        <v>20000</v>
      </c>
      <c r="P208" s="7">
        <v>46221.410041840281</v>
      </c>
      <c r="Q208" s="1" t="s">
        <v>330</v>
      </c>
      <c r="T208" s="1" t="s">
        <v>345</v>
      </c>
      <c r="U208" s="1" t="s">
        <v>346</v>
      </c>
      <c r="V208" s="1">
        <v>1</v>
      </c>
      <c r="W208" s="3">
        <v>10535.04</v>
      </c>
      <c r="X208" s="3">
        <v>10535.04</v>
      </c>
      <c r="Y208" s="1" t="str">
        <f>VLOOKUP(A208,[1]Detalle!$D$2:$CR$484,93,FALSE)</f>
        <v>CCUDyAZA</v>
      </c>
    </row>
    <row r="209" spans="1:25" ht="14.25" customHeight="1" x14ac:dyDescent="0.3">
      <c r="A209" s="1" t="s">
        <v>251</v>
      </c>
      <c r="B209" s="1" t="s">
        <v>343</v>
      </c>
      <c r="C209" s="1" t="s">
        <v>343</v>
      </c>
      <c r="D209" s="1" t="s">
        <v>344</v>
      </c>
      <c r="E209" s="6">
        <v>45803</v>
      </c>
      <c r="F209" s="1">
        <v>134238</v>
      </c>
      <c r="G209" s="1">
        <v>154238</v>
      </c>
      <c r="H209" s="1">
        <v>6883.1999999999953</v>
      </c>
      <c r="I209" s="1">
        <v>13116.8</v>
      </c>
      <c r="J209" s="1">
        <v>141121.20000000001</v>
      </c>
      <c r="K209" s="1">
        <v>144</v>
      </c>
      <c r="L209" s="1">
        <v>38.754967741935467</v>
      </c>
      <c r="M209" s="1">
        <v>274.41004184100439</v>
      </c>
      <c r="N209" s="7">
        <v>45947</v>
      </c>
      <c r="O209" s="1">
        <v>20000</v>
      </c>
      <c r="P209" s="7">
        <v>46221.410041840281</v>
      </c>
      <c r="Q209" s="1" t="s">
        <v>330</v>
      </c>
      <c r="T209" s="1" t="s">
        <v>347</v>
      </c>
      <c r="U209" s="1" t="s">
        <v>348</v>
      </c>
      <c r="V209" s="1">
        <v>1</v>
      </c>
      <c r="W209" s="3">
        <v>19410.240000000002</v>
      </c>
      <c r="X209" s="3">
        <v>19410.240000000002</v>
      </c>
      <c r="Y209" s="1" t="str">
        <f>VLOOKUP(A209,[1]Detalle!$D$2:$CR$484,93,FALSE)</f>
        <v>CCUDyAZA</v>
      </c>
    </row>
    <row r="210" spans="1:25" ht="14.25" customHeight="1" x14ac:dyDescent="0.3">
      <c r="A210" s="1" t="s">
        <v>252</v>
      </c>
      <c r="B210" s="1" t="s">
        <v>343</v>
      </c>
      <c r="C210" s="1" t="s">
        <v>343</v>
      </c>
      <c r="D210" s="1" t="s">
        <v>344</v>
      </c>
      <c r="E210" s="6">
        <v>45728</v>
      </c>
      <c r="F210" s="1">
        <v>136279</v>
      </c>
      <c r="G210" s="1">
        <v>156279</v>
      </c>
      <c r="H210" s="1">
        <v>9392.9000000000033</v>
      </c>
      <c r="I210" s="1">
        <v>10607.1</v>
      </c>
      <c r="J210" s="1">
        <v>145671.9</v>
      </c>
      <c r="K210" s="1">
        <v>219</v>
      </c>
      <c r="L210" s="1">
        <v>39.350485436893209</v>
      </c>
      <c r="M210" s="1">
        <v>247.309659423607</v>
      </c>
      <c r="N210" s="7">
        <v>45947</v>
      </c>
      <c r="O210" s="1">
        <v>20000</v>
      </c>
      <c r="P210" s="7">
        <v>46194.309659421298</v>
      </c>
      <c r="Q210" s="1" t="s">
        <v>330</v>
      </c>
      <c r="T210" s="1" t="s">
        <v>345</v>
      </c>
      <c r="U210" s="1" t="s">
        <v>346</v>
      </c>
      <c r="V210" s="1">
        <v>1</v>
      </c>
      <c r="W210" s="3">
        <v>10535.04</v>
      </c>
      <c r="X210" s="3">
        <v>10535.04</v>
      </c>
      <c r="Y210" s="1" t="str">
        <f>VLOOKUP(A210,[1]Detalle!$D$2:$CR$484,93,FALSE)</f>
        <v>CCUDyAZA</v>
      </c>
    </row>
    <row r="211" spans="1:25" ht="14.25" customHeight="1" x14ac:dyDescent="0.3">
      <c r="A211" s="1" t="s">
        <v>252</v>
      </c>
      <c r="B211" s="1" t="s">
        <v>343</v>
      </c>
      <c r="C211" s="1" t="s">
        <v>343</v>
      </c>
      <c r="D211" s="1" t="s">
        <v>344</v>
      </c>
      <c r="E211" s="6">
        <v>45728</v>
      </c>
      <c r="F211" s="1">
        <v>136279</v>
      </c>
      <c r="G211" s="1">
        <v>156279</v>
      </c>
      <c r="H211" s="1">
        <v>9392.9000000000033</v>
      </c>
      <c r="I211" s="1">
        <v>10607.1</v>
      </c>
      <c r="J211" s="1">
        <v>145671.9</v>
      </c>
      <c r="K211" s="1">
        <v>219</v>
      </c>
      <c r="L211" s="1">
        <v>39.350485436893209</v>
      </c>
      <c r="M211" s="1">
        <v>247.309659423607</v>
      </c>
      <c r="N211" s="7">
        <v>45947</v>
      </c>
      <c r="O211" s="1">
        <v>20000</v>
      </c>
      <c r="P211" s="7">
        <v>46194.309659421298</v>
      </c>
      <c r="Q211" s="1" t="s">
        <v>330</v>
      </c>
      <c r="T211" s="1" t="s">
        <v>347</v>
      </c>
      <c r="U211" s="1" t="s">
        <v>348</v>
      </c>
      <c r="V211" s="1">
        <v>1</v>
      </c>
      <c r="W211" s="3">
        <v>19410.240000000002</v>
      </c>
      <c r="X211" s="3">
        <v>19410.240000000002</v>
      </c>
      <c r="Y211" s="1" t="str">
        <f>VLOOKUP(A211,[1]Detalle!$D$2:$CR$484,93,FALSE)</f>
        <v>CCUDyAZA</v>
      </c>
    </row>
    <row r="212" spans="1:25" ht="14.25" customHeight="1" x14ac:dyDescent="0.3">
      <c r="A212" s="1" t="s">
        <v>254</v>
      </c>
      <c r="B212" s="1" t="s">
        <v>343</v>
      </c>
      <c r="C212" s="1" t="s">
        <v>343</v>
      </c>
      <c r="D212" s="1" t="s">
        <v>344</v>
      </c>
      <c r="E212" s="6">
        <v>45727</v>
      </c>
      <c r="F212" s="1">
        <v>135133</v>
      </c>
      <c r="G212" s="1">
        <v>155133</v>
      </c>
      <c r="H212" s="1">
        <v>15205.600000000009</v>
      </c>
      <c r="I212" s="1">
        <v>4794.3999999999915</v>
      </c>
      <c r="J212" s="1">
        <v>150338.6</v>
      </c>
      <c r="K212" s="1">
        <v>220</v>
      </c>
      <c r="L212" s="1">
        <v>62.077961165048592</v>
      </c>
      <c r="M212" s="1">
        <v>69.367075288051595</v>
      </c>
      <c r="N212" s="7">
        <v>45947</v>
      </c>
      <c r="O212" s="1">
        <v>20000</v>
      </c>
      <c r="P212" s="7">
        <v>46338.542604652779</v>
      </c>
      <c r="Q212" s="1" t="s">
        <v>330</v>
      </c>
      <c r="T212" s="1" t="s">
        <v>345</v>
      </c>
      <c r="U212" s="1" t="s">
        <v>346</v>
      </c>
      <c r="V212" s="1">
        <v>1</v>
      </c>
      <c r="W212" s="3">
        <v>10535.04</v>
      </c>
      <c r="X212" s="3">
        <v>10535.04</v>
      </c>
      <c r="Y212" s="1" t="str">
        <f>VLOOKUP(A212,[1]Detalle!$D$2:$CR$484,93,FALSE)</f>
        <v>CCUCoAZA</v>
      </c>
    </row>
    <row r="213" spans="1:25" ht="14.25" customHeight="1" x14ac:dyDescent="0.3">
      <c r="A213" s="1" t="s">
        <v>254</v>
      </c>
      <c r="B213" s="1" t="s">
        <v>343</v>
      </c>
      <c r="C213" s="1" t="s">
        <v>343</v>
      </c>
      <c r="D213" s="1" t="s">
        <v>344</v>
      </c>
      <c r="E213" s="6">
        <v>45727</v>
      </c>
      <c r="F213" s="1">
        <v>135133</v>
      </c>
      <c r="G213" s="1">
        <v>155133</v>
      </c>
      <c r="H213" s="1">
        <v>15205.600000000009</v>
      </c>
      <c r="I213" s="1">
        <v>4794.3999999999915</v>
      </c>
      <c r="J213" s="1">
        <v>150338.6</v>
      </c>
      <c r="K213" s="1">
        <v>220</v>
      </c>
      <c r="L213" s="1">
        <v>62.077961165048592</v>
      </c>
      <c r="M213" s="1">
        <v>69.367075288051595</v>
      </c>
      <c r="N213" s="7">
        <v>45947</v>
      </c>
      <c r="O213" s="1">
        <v>20000</v>
      </c>
      <c r="P213" s="7">
        <v>46338.542604652779</v>
      </c>
      <c r="Q213" s="1" t="s">
        <v>330</v>
      </c>
      <c r="T213" s="1" t="s">
        <v>347</v>
      </c>
      <c r="U213" s="1" t="s">
        <v>348</v>
      </c>
      <c r="V213" s="1">
        <v>1</v>
      </c>
      <c r="W213" s="3">
        <v>19410.240000000002</v>
      </c>
      <c r="X213" s="3">
        <v>19410.240000000002</v>
      </c>
      <c r="Y213" s="1" t="str">
        <f>VLOOKUP(A213,[1]Detalle!$D$2:$CR$484,93,FALSE)</f>
        <v>CCUCoAZA</v>
      </c>
    </row>
    <row r="214" spans="1:25" ht="14.25" customHeight="1" x14ac:dyDescent="0.3">
      <c r="A214" s="1" t="s">
        <v>255</v>
      </c>
      <c r="B214" s="1" t="s">
        <v>343</v>
      </c>
      <c r="C214" s="1" t="s">
        <v>343</v>
      </c>
      <c r="D214" s="1" t="s">
        <v>344</v>
      </c>
      <c r="E214" s="6">
        <v>45786</v>
      </c>
      <c r="F214" s="1">
        <v>140250</v>
      </c>
      <c r="G214" s="1">
        <v>160250</v>
      </c>
      <c r="H214" s="1">
        <v>6502.5999999999949</v>
      </c>
      <c r="I214" s="1">
        <v>13497.400000000011</v>
      </c>
      <c r="J214" s="1">
        <v>146752.6</v>
      </c>
      <c r="K214" s="1">
        <v>161</v>
      </c>
      <c r="L214" s="1">
        <v>36.457612903225787</v>
      </c>
      <c r="M214" s="1">
        <v>334.18654076830848</v>
      </c>
      <c r="N214" s="7">
        <v>45947</v>
      </c>
      <c r="O214" s="1">
        <v>20000</v>
      </c>
      <c r="P214" s="7">
        <v>46281.186540763891</v>
      </c>
      <c r="Q214" s="1" t="s">
        <v>330</v>
      </c>
      <c r="T214" s="1" t="s">
        <v>345</v>
      </c>
      <c r="U214" s="1" t="s">
        <v>346</v>
      </c>
      <c r="V214" s="1">
        <v>1</v>
      </c>
      <c r="W214" s="3">
        <v>10535.04</v>
      </c>
      <c r="X214" s="3">
        <v>10535.04</v>
      </c>
      <c r="Y214" s="1" t="str">
        <f>VLOOKUP(A214,[1]Detalle!$D$2:$CR$484,93,FALSE)</f>
        <v>CCUDyAZA</v>
      </c>
    </row>
    <row r="215" spans="1:25" ht="14.25" customHeight="1" x14ac:dyDescent="0.3">
      <c r="A215" s="1" t="s">
        <v>255</v>
      </c>
      <c r="B215" s="1" t="s">
        <v>343</v>
      </c>
      <c r="C215" s="1" t="s">
        <v>343</v>
      </c>
      <c r="D215" s="1" t="s">
        <v>344</v>
      </c>
      <c r="E215" s="6">
        <v>45786</v>
      </c>
      <c r="F215" s="1">
        <v>140250</v>
      </c>
      <c r="G215" s="1">
        <v>160250</v>
      </c>
      <c r="H215" s="1">
        <v>6502.5999999999949</v>
      </c>
      <c r="I215" s="1">
        <v>13497.400000000011</v>
      </c>
      <c r="J215" s="1">
        <v>146752.6</v>
      </c>
      <c r="K215" s="1">
        <v>161</v>
      </c>
      <c r="L215" s="1">
        <v>36.457612903225787</v>
      </c>
      <c r="M215" s="1">
        <v>334.18654076830848</v>
      </c>
      <c r="N215" s="7">
        <v>45947</v>
      </c>
      <c r="O215" s="1">
        <v>20000</v>
      </c>
      <c r="P215" s="7">
        <v>46281.186540763891</v>
      </c>
      <c r="Q215" s="1" t="s">
        <v>330</v>
      </c>
      <c r="T215" s="1" t="s">
        <v>347</v>
      </c>
      <c r="U215" s="1" t="s">
        <v>348</v>
      </c>
      <c r="V215" s="1">
        <v>1</v>
      </c>
      <c r="W215" s="3">
        <v>19410.240000000002</v>
      </c>
      <c r="X215" s="3">
        <v>19410.240000000002</v>
      </c>
      <c r="Y215" s="1" t="str">
        <f>VLOOKUP(A215,[1]Detalle!$D$2:$CR$484,93,FALSE)</f>
        <v>CCUDyAZA</v>
      </c>
    </row>
    <row r="216" spans="1:25" ht="14.25" customHeight="1" x14ac:dyDescent="0.3">
      <c r="A216" s="1" t="s">
        <v>256</v>
      </c>
      <c r="B216" s="1" t="s">
        <v>343</v>
      </c>
      <c r="C216" s="1" t="s">
        <v>343</v>
      </c>
      <c r="D216" s="1" t="s">
        <v>344</v>
      </c>
      <c r="E216" s="6">
        <v>45733</v>
      </c>
      <c r="F216" s="1">
        <v>175136</v>
      </c>
      <c r="G216" s="1">
        <v>195136</v>
      </c>
      <c r="H216" s="1">
        <v>10902.7</v>
      </c>
      <c r="I216" s="1">
        <v>9097.2999999999993</v>
      </c>
      <c r="J216" s="1">
        <v>186038.7</v>
      </c>
      <c r="K216" s="1">
        <v>214</v>
      </c>
      <c r="L216" s="1">
        <v>47.387909967845658</v>
      </c>
      <c r="M216" s="1">
        <v>178.56331000577839</v>
      </c>
      <c r="N216" s="7">
        <v>45947</v>
      </c>
      <c r="O216" s="1">
        <v>20000</v>
      </c>
      <c r="P216" s="7">
        <v>46125.563309999998</v>
      </c>
      <c r="Q216" s="1" t="s">
        <v>330</v>
      </c>
      <c r="T216" s="1" t="s">
        <v>345</v>
      </c>
      <c r="U216" s="1" t="s">
        <v>346</v>
      </c>
      <c r="V216" s="1">
        <v>1</v>
      </c>
      <c r="W216" s="3">
        <v>10535.04</v>
      </c>
      <c r="X216" s="3">
        <v>10535.04</v>
      </c>
      <c r="Y216" s="1" t="str">
        <f>VLOOKUP(A216,[1]Detalle!$D$2:$CR$484,93,FALSE)</f>
        <v>CCUCoAZA</v>
      </c>
    </row>
    <row r="217" spans="1:25" ht="14.25" customHeight="1" x14ac:dyDescent="0.3">
      <c r="A217" s="1" t="s">
        <v>256</v>
      </c>
      <c r="B217" s="1" t="s">
        <v>343</v>
      </c>
      <c r="C217" s="1" t="s">
        <v>343</v>
      </c>
      <c r="D217" s="1" t="s">
        <v>344</v>
      </c>
      <c r="E217" s="6">
        <v>45733</v>
      </c>
      <c r="F217" s="1">
        <v>175136</v>
      </c>
      <c r="G217" s="1">
        <v>195136</v>
      </c>
      <c r="H217" s="1">
        <v>10902.7</v>
      </c>
      <c r="I217" s="1">
        <v>9097.2999999999993</v>
      </c>
      <c r="J217" s="1">
        <v>186038.7</v>
      </c>
      <c r="K217" s="1">
        <v>214</v>
      </c>
      <c r="L217" s="1">
        <v>47.387909967845658</v>
      </c>
      <c r="M217" s="1">
        <v>178.56331000577839</v>
      </c>
      <c r="N217" s="7">
        <v>45947</v>
      </c>
      <c r="O217" s="1">
        <v>20000</v>
      </c>
      <c r="P217" s="7">
        <v>46125.563309999998</v>
      </c>
      <c r="Q217" s="1" t="s">
        <v>330</v>
      </c>
      <c r="T217" s="1" t="s">
        <v>347</v>
      </c>
      <c r="U217" s="1" t="s">
        <v>348</v>
      </c>
      <c r="V217" s="1">
        <v>1</v>
      </c>
      <c r="W217" s="3">
        <v>19410.240000000002</v>
      </c>
      <c r="X217" s="3">
        <v>19410.240000000002</v>
      </c>
      <c r="Y217" s="1" t="str">
        <f>VLOOKUP(A217,[1]Detalle!$D$2:$CR$484,93,FALSE)</f>
        <v>CCUCoAZA</v>
      </c>
    </row>
    <row r="218" spans="1:25" ht="14.25" customHeight="1" x14ac:dyDescent="0.3">
      <c r="A218" s="1" t="s">
        <v>260</v>
      </c>
      <c r="B218" s="1" t="s">
        <v>343</v>
      </c>
      <c r="C218" s="1" t="s">
        <v>343</v>
      </c>
      <c r="D218" s="1" t="s">
        <v>344</v>
      </c>
      <c r="E218" s="6">
        <v>45608</v>
      </c>
      <c r="F218" s="1">
        <v>135670</v>
      </c>
      <c r="G218" s="1">
        <v>155670</v>
      </c>
      <c r="H218" s="1">
        <v>13146.66</v>
      </c>
      <c r="I218" s="1">
        <v>6853.3399999999983</v>
      </c>
      <c r="J218" s="1">
        <v>148816.66</v>
      </c>
      <c r="K218" s="1">
        <v>339</v>
      </c>
      <c r="L218" s="1">
        <v>35.350675241157553</v>
      </c>
      <c r="M218" s="1">
        <v>176.72034265737449</v>
      </c>
      <c r="N218" s="7">
        <v>45947</v>
      </c>
      <c r="O218" s="1">
        <v>20000</v>
      </c>
      <c r="P218" s="7">
        <v>46123.72034266204</v>
      </c>
      <c r="Q218" s="1" t="s">
        <v>330</v>
      </c>
      <c r="T218" s="1" t="s">
        <v>345</v>
      </c>
      <c r="U218" s="1" t="s">
        <v>346</v>
      </c>
      <c r="V218" s="1">
        <v>1</v>
      </c>
      <c r="W218" s="3">
        <v>10535.04</v>
      </c>
      <c r="X218" s="3">
        <v>10535.04</v>
      </c>
      <c r="Y218" s="1" t="str">
        <f>VLOOKUP(A218,[1]Detalle!$D$2:$CR$484,93,FALSE)</f>
        <v>CCUDyAZA</v>
      </c>
    </row>
    <row r="219" spans="1:25" ht="14.25" customHeight="1" x14ac:dyDescent="0.3">
      <c r="A219" s="1" t="s">
        <v>260</v>
      </c>
      <c r="B219" s="1" t="s">
        <v>343</v>
      </c>
      <c r="C219" s="1" t="s">
        <v>343</v>
      </c>
      <c r="D219" s="1" t="s">
        <v>344</v>
      </c>
      <c r="E219" s="6">
        <v>45608</v>
      </c>
      <c r="F219" s="1">
        <v>135670</v>
      </c>
      <c r="G219" s="1">
        <v>155670</v>
      </c>
      <c r="H219" s="1">
        <v>13146.66</v>
      </c>
      <c r="I219" s="1">
        <v>6853.3399999999983</v>
      </c>
      <c r="J219" s="1">
        <v>148816.66</v>
      </c>
      <c r="K219" s="1">
        <v>339</v>
      </c>
      <c r="L219" s="1">
        <v>35.350675241157553</v>
      </c>
      <c r="M219" s="1">
        <v>176.72034265737449</v>
      </c>
      <c r="N219" s="7">
        <v>45947</v>
      </c>
      <c r="O219" s="1">
        <v>20000</v>
      </c>
      <c r="P219" s="7">
        <v>46123.72034266204</v>
      </c>
      <c r="Q219" s="1" t="s">
        <v>330</v>
      </c>
      <c r="T219" s="1" t="s">
        <v>347</v>
      </c>
      <c r="U219" s="1" t="s">
        <v>348</v>
      </c>
      <c r="V219" s="1">
        <v>1</v>
      </c>
      <c r="W219" s="3">
        <v>19410.240000000002</v>
      </c>
      <c r="X219" s="3">
        <v>19410.240000000002</v>
      </c>
      <c r="Y219" s="1" t="str">
        <f>VLOOKUP(A219,[1]Detalle!$D$2:$CR$484,93,FALSE)</f>
        <v>CCUDyAZA</v>
      </c>
    </row>
    <row r="220" spans="1:25" ht="14.25" customHeight="1" x14ac:dyDescent="0.3">
      <c r="A220" s="1" t="s">
        <v>261</v>
      </c>
      <c r="B220" s="1" t="s">
        <v>343</v>
      </c>
      <c r="C220" s="1" t="s">
        <v>343</v>
      </c>
      <c r="D220" s="1" t="s">
        <v>344</v>
      </c>
      <c r="E220" s="6">
        <v>45741</v>
      </c>
      <c r="F220" s="1">
        <v>138994</v>
      </c>
      <c r="G220" s="1">
        <v>158994</v>
      </c>
      <c r="H220" s="1">
        <v>7813.9000000000042</v>
      </c>
      <c r="I220" s="1">
        <v>12186.099999999989</v>
      </c>
      <c r="J220" s="1">
        <v>146807.9</v>
      </c>
      <c r="K220" s="1">
        <v>206</v>
      </c>
      <c r="L220" s="1">
        <v>32.740519480519481</v>
      </c>
      <c r="M220" s="1">
        <v>321.26551401988729</v>
      </c>
      <c r="N220" s="7">
        <v>45947</v>
      </c>
      <c r="O220" s="1">
        <v>20000</v>
      </c>
      <c r="P220" s="7">
        <v>46268.265514016202</v>
      </c>
      <c r="Q220" s="1" t="s">
        <v>330</v>
      </c>
      <c r="T220" s="1" t="s">
        <v>345</v>
      </c>
      <c r="U220" s="1" t="s">
        <v>346</v>
      </c>
      <c r="V220" s="1">
        <v>1</v>
      </c>
      <c r="W220" s="3">
        <v>10535.04</v>
      </c>
      <c r="X220" s="3">
        <v>10535.04</v>
      </c>
      <c r="Y220" s="1" t="str">
        <f>VLOOKUP(A220,[1]Detalle!$D$2:$CR$484,93,FALSE)</f>
        <v>CCUDyAZA</v>
      </c>
    </row>
    <row r="221" spans="1:25" ht="14.25" customHeight="1" x14ac:dyDescent="0.3">
      <c r="A221" s="1" t="s">
        <v>261</v>
      </c>
      <c r="B221" s="1" t="s">
        <v>343</v>
      </c>
      <c r="C221" s="1" t="s">
        <v>343</v>
      </c>
      <c r="D221" s="1" t="s">
        <v>344</v>
      </c>
      <c r="E221" s="6">
        <v>45741</v>
      </c>
      <c r="F221" s="1">
        <v>138994</v>
      </c>
      <c r="G221" s="1">
        <v>158994</v>
      </c>
      <c r="H221" s="1">
        <v>7813.9000000000042</v>
      </c>
      <c r="I221" s="1">
        <v>12186.099999999989</v>
      </c>
      <c r="J221" s="1">
        <v>146807.9</v>
      </c>
      <c r="K221" s="1">
        <v>206</v>
      </c>
      <c r="L221" s="1">
        <v>32.740519480519481</v>
      </c>
      <c r="M221" s="1">
        <v>321.26551401988729</v>
      </c>
      <c r="N221" s="7">
        <v>45947</v>
      </c>
      <c r="O221" s="1">
        <v>20000</v>
      </c>
      <c r="P221" s="7">
        <v>46268.265514016202</v>
      </c>
      <c r="Q221" s="1" t="s">
        <v>330</v>
      </c>
      <c r="T221" s="1" t="s">
        <v>347</v>
      </c>
      <c r="U221" s="1" t="s">
        <v>348</v>
      </c>
      <c r="V221" s="1">
        <v>1</v>
      </c>
      <c r="W221" s="3">
        <v>19410.240000000002</v>
      </c>
      <c r="X221" s="3">
        <v>19410.240000000002</v>
      </c>
      <c r="Y221" s="1" t="str">
        <f>VLOOKUP(A221,[1]Detalle!$D$2:$CR$484,93,FALSE)</f>
        <v>CCUDyAZA</v>
      </c>
    </row>
    <row r="222" spans="1:25" ht="14.25" customHeight="1" x14ac:dyDescent="0.3">
      <c r="A222" s="1" t="s">
        <v>262</v>
      </c>
      <c r="B222" s="1" t="s">
        <v>343</v>
      </c>
      <c r="C222" s="1" t="s">
        <v>343</v>
      </c>
      <c r="D222" s="1" t="s">
        <v>344</v>
      </c>
      <c r="E222" s="6">
        <v>45750</v>
      </c>
      <c r="F222" s="1">
        <v>135586</v>
      </c>
      <c r="G222" s="1">
        <v>155586</v>
      </c>
      <c r="H222" s="1">
        <v>6212.800000000002</v>
      </c>
      <c r="I222" s="1">
        <v>13787.2</v>
      </c>
      <c r="J222" s="1">
        <v>141798.79999999999</v>
      </c>
      <c r="K222" s="1">
        <v>197</v>
      </c>
      <c r="L222" s="1">
        <v>29.337411003236291</v>
      </c>
      <c r="M222" s="1">
        <v>437.17460726242581</v>
      </c>
      <c r="N222" s="7">
        <v>45947</v>
      </c>
      <c r="O222" s="1">
        <v>20000</v>
      </c>
      <c r="P222" s="7">
        <v>46384.174607256937</v>
      </c>
      <c r="Q222" s="1" t="s">
        <v>330</v>
      </c>
      <c r="T222" s="1" t="s">
        <v>345</v>
      </c>
      <c r="U222" s="1" t="s">
        <v>346</v>
      </c>
      <c r="V222" s="1">
        <v>1</v>
      </c>
      <c r="W222" s="3">
        <v>10535.04</v>
      </c>
      <c r="X222" s="3">
        <v>10535.04</v>
      </c>
      <c r="Y222" s="1" t="str">
        <f>VLOOKUP(A222,[1]Detalle!$D$2:$CR$484,93,FALSE)</f>
        <v>CCUDyAZA</v>
      </c>
    </row>
    <row r="223" spans="1:25" ht="14.25" customHeight="1" x14ac:dyDescent="0.3">
      <c r="A223" s="1" t="s">
        <v>262</v>
      </c>
      <c r="B223" s="1" t="s">
        <v>343</v>
      </c>
      <c r="C223" s="1" t="s">
        <v>343</v>
      </c>
      <c r="D223" s="1" t="s">
        <v>344</v>
      </c>
      <c r="E223" s="6">
        <v>45750</v>
      </c>
      <c r="F223" s="1">
        <v>135586</v>
      </c>
      <c r="G223" s="1">
        <v>155586</v>
      </c>
      <c r="H223" s="1">
        <v>6212.800000000002</v>
      </c>
      <c r="I223" s="1">
        <v>13787.2</v>
      </c>
      <c r="J223" s="1">
        <v>141798.79999999999</v>
      </c>
      <c r="K223" s="1">
        <v>197</v>
      </c>
      <c r="L223" s="1">
        <v>29.337411003236291</v>
      </c>
      <c r="M223" s="1">
        <v>437.17460726242581</v>
      </c>
      <c r="N223" s="7">
        <v>45947</v>
      </c>
      <c r="O223" s="1">
        <v>20000</v>
      </c>
      <c r="P223" s="7">
        <v>46384.174607256937</v>
      </c>
      <c r="Q223" s="1" t="s">
        <v>330</v>
      </c>
      <c r="T223" s="1" t="s">
        <v>347</v>
      </c>
      <c r="U223" s="1" t="s">
        <v>348</v>
      </c>
      <c r="V223" s="1">
        <v>1</v>
      </c>
      <c r="W223" s="3">
        <v>19410.240000000002</v>
      </c>
      <c r="X223" s="3">
        <v>19410.240000000002</v>
      </c>
      <c r="Y223" s="1" t="str">
        <f>VLOOKUP(A223,[1]Detalle!$D$2:$CR$484,93,FALSE)</f>
        <v>CCUDyAZA</v>
      </c>
    </row>
    <row r="224" spans="1:25" ht="14.25" customHeight="1" x14ac:dyDescent="0.3">
      <c r="A224" s="1" t="s">
        <v>263</v>
      </c>
      <c r="B224" s="1" t="s">
        <v>343</v>
      </c>
      <c r="C224" s="1" t="s">
        <v>343</v>
      </c>
      <c r="D224" s="1" t="s">
        <v>344</v>
      </c>
      <c r="E224" s="6">
        <v>45792</v>
      </c>
      <c r="F224" s="1">
        <v>139668</v>
      </c>
      <c r="G224" s="1">
        <v>159668</v>
      </c>
      <c r="H224" s="1">
        <v>6276.5</v>
      </c>
      <c r="I224" s="1">
        <v>13723.5</v>
      </c>
      <c r="J224" s="1">
        <v>145944.5</v>
      </c>
      <c r="K224" s="1">
        <v>155</v>
      </c>
      <c r="L224" s="1">
        <v>39.350129032258081</v>
      </c>
      <c r="M224" s="1">
        <v>338.90583924161558</v>
      </c>
      <c r="N224" s="7">
        <v>45947</v>
      </c>
      <c r="O224" s="1">
        <v>20000</v>
      </c>
      <c r="P224" s="7">
        <v>46285.905839236111</v>
      </c>
      <c r="Q224" s="1" t="s">
        <v>330</v>
      </c>
      <c r="T224" s="1" t="s">
        <v>345</v>
      </c>
      <c r="U224" s="1" t="s">
        <v>346</v>
      </c>
      <c r="V224" s="1">
        <v>1</v>
      </c>
      <c r="W224" s="3">
        <v>10535.04</v>
      </c>
      <c r="X224" s="3">
        <v>10535.04</v>
      </c>
      <c r="Y224" s="1" t="str">
        <f>VLOOKUP(A224,[1]Detalle!$D$2:$CR$484,93,FALSE)</f>
        <v>CCUCoAZA</v>
      </c>
    </row>
    <row r="225" spans="1:25" ht="14.25" customHeight="1" x14ac:dyDescent="0.3">
      <c r="A225" s="1" t="s">
        <v>263</v>
      </c>
      <c r="B225" s="1" t="s">
        <v>343</v>
      </c>
      <c r="C225" s="1" t="s">
        <v>343</v>
      </c>
      <c r="D225" s="1" t="s">
        <v>344</v>
      </c>
      <c r="E225" s="6">
        <v>45792</v>
      </c>
      <c r="F225" s="1">
        <v>139668</v>
      </c>
      <c r="G225" s="1">
        <v>159668</v>
      </c>
      <c r="H225" s="1">
        <v>6276.5</v>
      </c>
      <c r="I225" s="1">
        <v>13723.5</v>
      </c>
      <c r="J225" s="1">
        <v>145944.5</v>
      </c>
      <c r="K225" s="1">
        <v>155</v>
      </c>
      <c r="L225" s="1">
        <v>39.350129032258081</v>
      </c>
      <c r="M225" s="1">
        <v>338.90583924161558</v>
      </c>
      <c r="N225" s="7">
        <v>45947</v>
      </c>
      <c r="O225" s="1">
        <v>20000</v>
      </c>
      <c r="P225" s="7">
        <v>46285.905839236111</v>
      </c>
      <c r="Q225" s="1" t="s">
        <v>330</v>
      </c>
      <c r="T225" s="1" t="s">
        <v>347</v>
      </c>
      <c r="U225" s="1" t="s">
        <v>348</v>
      </c>
      <c r="V225" s="1">
        <v>1</v>
      </c>
      <c r="W225" s="3">
        <v>19410.240000000002</v>
      </c>
      <c r="X225" s="3">
        <v>19410.240000000002</v>
      </c>
      <c r="Y225" s="1" t="str">
        <f>VLOOKUP(A225,[1]Detalle!$D$2:$CR$484,93,FALSE)</f>
        <v>CCUCoAZA</v>
      </c>
    </row>
    <row r="226" spans="1:25" ht="14.25" customHeight="1" x14ac:dyDescent="0.3">
      <c r="A226" s="1" t="s">
        <v>265</v>
      </c>
      <c r="B226" s="1" t="s">
        <v>343</v>
      </c>
      <c r="C226" s="1" t="s">
        <v>343</v>
      </c>
      <c r="D226" s="1" t="s">
        <v>344</v>
      </c>
      <c r="E226" s="6">
        <v>45859</v>
      </c>
      <c r="F226" s="1">
        <v>117765</v>
      </c>
      <c r="G226" s="1">
        <v>137765</v>
      </c>
      <c r="H226" s="1">
        <v>3374.6999999999989</v>
      </c>
      <c r="I226" s="1">
        <v>16625.3</v>
      </c>
      <c r="J226" s="1">
        <v>121139.7</v>
      </c>
      <c r="K226" s="1">
        <v>88</v>
      </c>
      <c r="L226" s="1">
        <v>35.038354838709672</v>
      </c>
      <c r="M226" s="1">
        <v>433.52783951166032</v>
      </c>
      <c r="N226" s="7">
        <v>45947</v>
      </c>
      <c r="O226" s="1">
        <v>20000</v>
      </c>
      <c r="P226" s="7">
        <v>46380.527839513888</v>
      </c>
      <c r="Q226" s="1" t="s">
        <v>330</v>
      </c>
      <c r="T226" s="1" t="s">
        <v>345</v>
      </c>
      <c r="U226" s="1" t="s">
        <v>346</v>
      </c>
      <c r="V226" s="1">
        <v>1</v>
      </c>
      <c r="W226" s="3">
        <v>10535.04</v>
      </c>
      <c r="X226" s="3">
        <v>10535.04</v>
      </c>
      <c r="Y226" s="1" t="str">
        <f>VLOOKUP(A226,[1]Detalle!$D$2:$CR$484,93,FALSE)</f>
        <v>CCUDyAZA</v>
      </c>
    </row>
    <row r="227" spans="1:25" ht="14.25" customHeight="1" x14ac:dyDescent="0.3">
      <c r="A227" s="1" t="s">
        <v>265</v>
      </c>
      <c r="B227" s="1" t="s">
        <v>343</v>
      </c>
      <c r="C227" s="1" t="s">
        <v>343</v>
      </c>
      <c r="D227" s="1" t="s">
        <v>344</v>
      </c>
      <c r="E227" s="6">
        <v>45859</v>
      </c>
      <c r="F227" s="1">
        <v>117765</v>
      </c>
      <c r="G227" s="1">
        <v>137765</v>
      </c>
      <c r="H227" s="1">
        <v>3374.6999999999989</v>
      </c>
      <c r="I227" s="1">
        <v>16625.3</v>
      </c>
      <c r="J227" s="1">
        <v>121139.7</v>
      </c>
      <c r="K227" s="1">
        <v>88</v>
      </c>
      <c r="L227" s="1">
        <v>35.038354838709672</v>
      </c>
      <c r="M227" s="1">
        <v>433.52783951166032</v>
      </c>
      <c r="N227" s="7">
        <v>45947</v>
      </c>
      <c r="O227" s="1">
        <v>20000</v>
      </c>
      <c r="P227" s="7">
        <v>46380.527839513888</v>
      </c>
      <c r="Q227" s="1" t="s">
        <v>330</v>
      </c>
      <c r="T227" s="1" t="s">
        <v>347</v>
      </c>
      <c r="U227" s="1" t="s">
        <v>348</v>
      </c>
      <c r="V227" s="1">
        <v>1</v>
      </c>
      <c r="W227" s="3">
        <v>19410.240000000002</v>
      </c>
      <c r="X227" s="3">
        <v>19410.240000000002</v>
      </c>
      <c r="Y227" s="1" t="str">
        <f>VLOOKUP(A227,[1]Detalle!$D$2:$CR$484,93,FALSE)</f>
        <v>CCUDyAZA</v>
      </c>
    </row>
    <row r="228" spans="1:25" ht="14.25" customHeight="1" x14ac:dyDescent="0.3">
      <c r="A228" s="1" t="s">
        <v>267</v>
      </c>
      <c r="B228" s="1" t="s">
        <v>343</v>
      </c>
      <c r="C228" s="1" t="s">
        <v>343</v>
      </c>
      <c r="D228" s="1" t="s">
        <v>344</v>
      </c>
      <c r="E228" s="1" t="s">
        <v>337</v>
      </c>
      <c r="F228" s="1">
        <v>292381</v>
      </c>
      <c r="G228" s="1">
        <v>312381</v>
      </c>
      <c r="H228" s="1">
        <v>7939.1000000000049</v>
      </c>
      <c r="I228" s="1">
        <v>12060.899999999991</v>
      </c>
      <c r="J228" s="1">
        <v>300320.09999999998</v>
      </c>
      <c r="K228" s="1">
        <v>222</v>
      </c>
      <c r="L228" s="1">
        <v>30.400741935483872</v>
      </c>
      <c r="M228" s="1">
        <v>337.25734655061621</v>
      </c>
      <c r="N228" s="7">
        <v>45947</v>
      </c>
      <c r="O228" s="1">
        <v>20000</v>
      </c>
      <c r="P228" s="7">
        <v>46284.257346550927</v>
      </c>
      <c r="Q228" s="1" t="s">
        <v>330</v>
      </c>
      <c r="T228" s="1" t="s">
        <v>345</v>
      </c>
      <c r="U228" s="1" t="s">
        <v>346</v>
      </c>
      <c r="V228" s="1">
        <v>1</v>
      </c>
      <c r="W228" s="3">
        <v>10535.04</v>
      </c>
      <c r="X228" s="3">
        <v>10535.04</v>
      </c>
      <c r="Y228" s="1" t="str">
        <f>VLOOKUP(A228,[1]Detalle!$D$2:$CR$484,93,FALSE)</f>
        <v>CCUDyAZA</v>
      </c>
    </row>
    <row r="229" spans="1:25" ht="14.25" customHeight="1" x14ac:dyDescent="0.3">
      <c r="A229" s="1" t="s">
        <v>267</v>
      </c>
      <c r="B229" s="1" t="s">
        <v>343</v>
      </c>
      <c r="C229" s="1" t="s">
        <v>343</v>
      </c>
      <c r="D229" s="1" t="s">
        <v>344</v>
      </c>
      <c r="E229" s="1" t="s">
        <v>337</v>
      </c>
      <c r="F229" s="1">
        <v>292381</v>
      </c>
      <c r="G229" s="1">
        <v>312381</v>
      </c>
      <c r="H229" s="1">
        <v>7939.1000000000049</v>
      </c>
      <c r="I229" s="1">
        <v>12060.899999999991</v>
      </c>
      <c r="J229" s="1">
        <v>300320.09999999998</v>
      </c>
      <c r="K229" s="1">
        <v>222</v>
      </c>
      <c r="L229" s="1">
        <v>30.400741935483872</v>
      </c>
      <c r="M229" s="1">
        <v>337.25734655061621</v>
      </c>
      <c r="N229" s="7">
        <v>45947</v>
      </c>
      <c r="O229" s="1">
        <v>20000</v>
      </c>
      <c r="P229" s="7">
        <v>46284.257346550927</v>
      </c>
      <c r="Q229" s="1" t="s">
        <v>330</v>
      </c>
      <c r="T229" s="1" t="s">
        <v>347</v>
      </c>
      <c r="U229" s="1" t="s">
        <v>348</v>
      </c>
      <c r="V229" s="1">
        <v>1</v>
      </c>
      <c r="W229" s="3">
        <v>19410.240000000002</v>
      </c>
      <c r="X229" s="3">
        <v>19410.240000000002</v>
      </c>
      <c r="Y229" s="1" t="str">
        <f>VLOOKUP(A229,[1]Detalle!$D$2:$CR$484,93,FALSE)</f>
        <v>CCUDyAZA</v>
      </c>
    </row>
    <row r="230" spans="1:25" ht="14.25" customHeight="1" x14ac:dyDescent="0.3">
      <c r="A230" s="1" t="s">
        <v>274</v>
      </c>
      <c r="B230" s="1" t="s">
        <v>343</v>
      </c>
      <c r="C230" s="1" t="s">
        <v>343</v>
      </c>
      <c r="D230" s="1" t="s">
        <v>344</v>
      </c>
      <c r="E230" s="6">
        <v>45723</v>
      </c>
      <c r="F230" s="1">
        <v>11627.1</v>
      </c>
      <c r="G230" s="1">
        <v>31627.1</v>
      </c>
      <c r="H230" s="1">
        <v>18411.3</v>
      </c>
      <c r="I230" s="1">
        <v>1588.700000000001</v>
      </c>
      <c r="J230" s="1">
        <v>30038.400000000001</v>
      </c>
      <c r="K230" s="1">
        <v>224</v>
      </c>
      <c r="L230" s="1">
        <v>66.921503267973904</v>
      </c>
      <c r="M230" s="1">
        <v>19.32882523233015</v>
      </c>
      <c r="N230" s="7">
        <v>45947</v>
      </c>
      <c r="O230" s="1">
        <v>20000</v>
      </c>
      <c r="P230" s="7">
        <v>46265.186427395827</v>
      </c>
      <c r="Q230" s="1" t="s">
        <v>330</v>
      </c>
      <c r="T230" s="1" t="s">
        <v>345</v>
      </c>
      <c r="U230" s="1" t="s">
        <v>346</v>
      </c>
      <c r="V230" s="1">
        <v>1</v>
      </c>
      <c r="W230" s="3">
        <v>10535.04</v>
      </c>
      <c r="X230" s="3">
        <v>10535.04</v>
      </c>
      <c r="Y230" s="1" t="str">
        <f>VLOOKUP(A230,[1]Detalle!$D$2:$CR$484,93,FALSE)</f>
        <v>JOHNSON - SC JOHNSON DE ARGENTINA SAIC</v>
      </c>
    </row>
    <row r="231" spans="1:25" ht="14.25" customHeight="1" x14ac:dyDescent="0.3">
      <c r="A231" s="1" t="s">
        <v>274</v>
      </c>
      <c r="B231" s="1" t="s">
        <v>343</v>
      </c>
      <c r="C231" s="1" t="s">
        <v>343</v>
      </c>
      <c r="D231" s="1" t="s">
        <v>344</v>
      </c>
      <c r="E231" s="6">
        <v>45723</v>
      </c>
      <c r="F231" s="1">
        <v>11627.1</v>
      </c>
      <c r="G231" s="1">
        <v>31627.1</v>
      </c>
      <c r="H231" s="1">
        <v>18411.3</v>
      </c>
      <c r="I231" s="1">
        <v>1588.700000000001</v>
      </c>
      <c r="J231" s="1">
        <v>30038.400000000001</v>
      </c>
      <c r="K231" s="1">
        <v>224</v>
      </c>
      <c r="L231" s="1">
        <v>66.921503267973904</v>
      </c>
      <c r="M231" s="1">
        <v>19.32882523233015</v>
      </c>
      <c r="N231" s="7">
        <v>45947</v>
      </c>
      <c r="O231" s="1">
        <v>20000</v>
      </c>
      <c r="P231" s="7">
        <v>46265.186427395827</v>
      </c>
      <c r="Q231" s="1" t="s">
        <v>330</v>
      </c>
      <c r="T231" s="1" t="s">
        <v>347</v>
      </c>
      <c r="U231" s="1" t="s">
        <v>348</v>
      </c>
      <c r="V231" s="1">
        <v>1</v>
      </c>
      <c r="W231" s="3">
        <v>19410.240000000002</v>
      </c>
      <c r="X231" s="3">
        <v>19410.240000000002</v>
      </c>
      <c r="Y231" s="1" t="str">
        <f>VLOOKUP(A231,[1]Detalle!$D$2:$CR$484,93,FALSE)</f>
        <v>JOHNSON - SC JOHNSON DE ARGENTINA SAIC</v>
      </c>
    </row>
    <row r="232" spans="1:25" ht="14.25" customHeight="1" x14ac:dyDescent="0.3">
      <c r="A232" s="1" t="s">
        <v>275</v>
      </c>
      <c r="B232" s="1" t="s">
        <v>343</v>
      </c>
      <c r="C232" s="1" t="s">
        <v>343</v>
      </c>
      <c r="D232" s="1" t="s">
        <v>344</v>
      </c>
      <c r="E232" s="6">
        <v>45736</v>
      </c>
      <c r="F232" s="1">
        <v>126999</v>
      </c>
      <c r="G232" s="1">
        <v>146999</v>
      </c>
      <c r="H232" s="1">
        <v>6493.4000000000005</v>
      </c>
      <c r="I232" s="1">
        <v>13506.6</v>
      </c>
      <c r="J232" s="1">
        <v>133492.4</v>
      </c>
      <c r="K232" s="1">
        <v>211</v>
      </c>
      <c r="L232" s="1">
        <v>29.333408360128612</v>
      </c>
      <c r="M232" s="1">
        <v>438.89065820679451</v>
      </c>
      <c r="N232" s="7">
        <v>45947</v>
      </c>
      <c r="O232" s="1">
        <v>20000</v>
      </c>
      <c r="P232" s="7">
        <v>46385.890658206023</v>
      </c>
      <c r="Q232" s="1" t="s">
        <v>330</v>
      </c>
      <c r="T232" s="1" t="s">
        <v>345</v>
      </c>
      <c r="U232" s="1" t="s">
        <v>346</v>
      </c>
      <c r="V232" s="1">
        <v>1</v>
      </c>
      <c r="W232" s="3">
        <v>10535.04</v>
      </c>
      <c r="X232" s="3">
        <v>10535.04</v>
      </c>
      <c r="Y232" s="1" t="str">
        <f>VLOOKUP(A232,[1]Detalle!$D$2:$CR$484,93,FALSE)</f>
        <v>CCUDyAZA</v>
      </c>
    </row>
    <row r="233" spans="1:25" ht="14.25" customHeight="1" x14ac:dyDescent="0.3">
      <c r="A233" s="1" t="s">
        <v>275</v>
      </c>
      <c r="B233" s="1" t="s">
        <v>343</v>
      </c>
      <c r="C233" s="1" t="s">
        <v>343</v>
      </c>
      <c r="D233" s="1" t="s">
        <v>344</v>
      </c>
      <c r="E233" s="6">
        <v>45736</v>
      </c>
      <c r="F233" s="1">
        <v>126999</v>
      </c>
      <c r="G233" s="1">
        <v>146999</v>
      </c>
      <c r="H233" s="1">
        <v>6493.4000000000005</v>
      </c>
      <c r="I233" s="1">
        <v>13506.6</v>
      </c>
      <c r="J233" s="1">
        <v>133492.4</v>
      </c>
      <c r="K233" s="1">
        <v>211</v>
      </c>
      <c r="L233" s="1">
        <v>29.333408360128612</v>
      </c>
      <c r="M233" s="1">
        <v>438.89065820679451</v>
      </c>
      <c r="N233" s="7">
        <v>45947</v>
      </c>
      <c r="O233" s="1">
        <v>20000</v>
      </c>
      <c r="P233" s="7">
        <v>46385.890658206023</v>
      </c>
      <c r="Q233" s="1" t="s">
        <v>330</v>
      </c>
      <c r="T233" s="1" t="s">
        <v>347</v>
      </c>
      <c r="U233" s="1" t="s">
        <v>348</v>
      </c>
      <c r="V233" s="1">
        <v>1</v>
      </c>
      <c r="W233" s="3">
        <v>19410.240000000002</v>
      </c>
      <c r="X233" s="3">
        <v>19410.240000000002</v>
      </c>
      <c r="Y233" s="1" t="str">
        <f>VLOOKUP(A233,[1]Detalle!$D$2:$CR$484,93,FALSE)</f>
        <v>CCUDyAZA</v>
      </c>
    </row>
    <row r="234" spans="1:25" ht="14.25" customHeight="1" x14ac:dyDescent="0.3">
      <c r="A234" s="1" t="s">
        <v>106</v>
      </c>
      <c r="B234" s="1" t="s">
        <v>343</v>
      </c>
      <c r="C234" s="1" t="s">
        <v>343</v>
      </c>
      <c r="D234" s="1" t="s">
        <v>344</v>
      </c>
      <c r="E234" s="6">
        <v>45531</v>
      </c>
      <c r="F234" s="1">
        <v>297633</v>
      </c>
      <c r="G234" s="1">
        <v>317633</v>
      </c>
      <c r="H234" s="1">
        <v>22900.17</v>
      </c>
      <c r="I234" s="1">
        <v>-2900.1699999999978</v>
      </c>
      <c r="J234" s="1">
        <v>320533.17</v>
      </c>
      <c r="K234" s="1">
        <v>416</v>
      </c>
      <c r="L234" s="1">
        <v>48.157370129870131</v>
      </c>
      <c r="M234" s="1">
        <v>-52.683919813695681</v>
      </c>
      <c r="N234" s="7">
        <v>45947</v>
      </c>
      <c r="O234" s="1">
        <v>20000</v>
      </c>
      <c r="P234" s="7">
        <v>46362.305070567127</v>
      </c>
      <c r="Q234" s="1" t="s">
        <v>330</v>
      </c>
      <c r="T234" s="1" t="s">
        <v>345</v>
      </c>
      <c r="U234" s="1" t="s">
        <v>346</v>
      </c>
      <c r="V234" s="1">
        <v>1</v>
      </c>
      <c r="W234" s="3">
        <v>10535.04</v>
      </c>
      <c r="X234" s="3">
        <v>10535.04</v>
      </c>
      <c r="Y234" s="1" t="str">
        <f>VLOOKUP(A234,[1]Detalle!$D$2:$CR$484,93,FALSE)</f>
        <v>Unilever - Unilever de Arg. S.A.</v>
      </c>
    </row>
    <row r="235" spans="1:25" ht="14.25" customHeight="1" x14ac:dyDescent="0.3">
      <c r="A235" s="1" t="s">
        <v>106</v>
      </c>
      <c r="B235" s="1" t="s">
        <v>343</v>
      </c>
      <c r="C235" s="1" t="s">
        <v>343</v>
      </c>
      <c r="D235" s="1" t="s">
        <v>344</v>
      </c>
      <c r="E235" s="6">
        <v>45531</v>
      </c>
      <c r="F235" s="1">
        <v>297633</v>
      </c>
      <c r="G235" s="1">
        <v>317633</v>
      </c>
      <c r="H235" s="1">
        <v>22900.17</v>
      </c>
      <c r="I235" s="1">
        <v>-2900.1699999999978</v>
      </c>
      <c r="J235" s="1">
        <v>320533.17</v>
      </c>
      <c r="K235" s="1">
        <v>416</v>
      </c>
      <c r="L235" s="1">
        <v>48.157370129870131</v>
      </c>
      <c r="M235" s="1">
        <v>-52.683919813695681</v>
      </c>
      <c r="N235" s="7">
        <v>45947</v>
      </c>
      <c r="O235" s="1">
        <v>20000</v>
      </c>
      <c r="P235" s="7">
        <v>46362.305070567127</v>
      </c>
      <c r="Q235" s="1" t="s">
        <v>330</v>
      </c>
      <c r="T235" s="1" t="s">
        <v>347</v>
      </c>
      <c r="U235" s="1" t="s">
        <v>348</v>
      </c>
      <c r="V235" s="1">
        <v>1</v>
      </c>
      <c r="W235" s="3">
        <v>19410.240000000002</v>
      </c>
      <c r="X235" s="3">
        <v>19410.240000000002</v>
      </c>
      <c r="Y235" s="1" t="str">
        <f>VLOOKUP(A235,[1]Detalle!$D$2:$CR$484,93,FALSE)</f>
        <v>Unilever - Unilever de Arg. S.A.</v>
      </c>
    </row>
    <row r="236" spans="1:25" ht="14.25" customHeight="1" x14ac:dyDescent="0.3">
      <c r="A236" s="1" t="s">
        <v>146</v>
      </c>
      <c r="B236" s="1" t="s">
        <v>343</v>
      </c>
      <c r="C236" s="1" t="s">
        <v>343</v>
      </c>
      <c r="D236" s="1" t="s">
        <v>344</v>
      </c>
      <c r="E236" s="6">
        <v>45831</v>
      </c>
      <c r="F236" s="1">
        <v>511084</v>
      </c>
      <c r="G236" s="1">
        <v>531084</v>
      </c>
      <c r="H236" s="1">
        <v>8073.1000000000013</v>
      </c>
      <c r="I236" s="1">
        <v>11926.9</v>
      </c>
      <c r="J236" s="1">
        <v>519157.1</v>
      </c>
      <c r="K236" s="1">
        <v>116</v>
      </c>
      <c r="L236" s="1">
        <v>57.283729903536972</v>
      </c>
      <c r="M236" s="1">
        <v>171.3741189877494</v>
      </c>
      <c r="N236" s="7">
        <v>45947</v>
      </c>
      <c r="O236" s="1">
        <v>20000</v>
      </c>
      <c r="P236" s="7">
        <v>46118.374118993059</v>
      </c>
      <c r="Q236" s="1" t="s">
        <v>330</v>
      </c>
      <c r="T236" s="1" t="s">
        <v>345</v>
      </c>
      <c r="U236" s="1" t="s">
        <v>346</v>
      </c>
      <c r="V236" s="1">
        <v>1</v>
      </c>
      <c r="W236" s="3">
        <v>10535.04</v>
      </c>
      <c r="X236" s="3">
        <v>10535.04</v>
      </c>
      <c r="Y236" s="1" t="str">
        <f>VLOOKUP(A236,[1]Detalle!$D$2:$CR$484,93,FALSE)</f>
        <v>Unilever - Unilever de Arg. S.A.</v>
      </c>
    </row>
    <row r="237" spans="1:25" ht="14.25" customHeight="1" x14ac:dyDescent="0.3">
      <c r="A237" s="1" t="s">
        <v>146</v>
      </c>
      <c r="B237" s="1" t="s">
        <v>343</v>
      </c>
      <c r="C237" s="1" t="s">
        <v>343</v>
      </c>
      <c r="D237" s="1" t="s">
        <v>344</v>
      </c>
      <c r="E237" s="6">
        <v>45831</v>
      </c>
      <c r="F237" s="1">
        <v>511084</v>
      </c>
      <c r="G237" s="1">
        <v>531084</v>
      </c>
      <c r="H237" s="1">
        <v>8073.1000000000013</v>
      </c>
      <c r="I237" s="1">
        <v>11926.9</v>
      </c>
      <c r="J237" s="1">
        <v>519157.1</v>
      </c>
      <c r="K237" s="1">
        <v>116</v>
      </c>
      <c r="L237" s="1">
        <v>57.283729903536972</v>
      </c>
      <c r="M237" s="1">
        <v>171.3741189877494</v>
      </c>
      <c r="N237" s="7">
        <v>45947</v>
      </c>
      <c r="O237" s="1">
        <v>20000</v>
      </c>
      <c r="P237" s="7">
        <v>46118.374118993059</v>
      </c>
      <c r="Q237" s="1" t="s">
        <v>330</v>
      </c>
      <c r="T237" s="1" t="s">
        <v>347</v>
      </c>
      <c r="U237" s="1" t="s">
        <v>348</v>
      </c>
      <c r="V237" s="1">
        <v>1</v>
      </c>
      <c r="W237" s="3">
        <v>19410.240000000002</v>
      </c>
      <c r="X237" s="3">
        <v>19410.240000000002</v>
      </c>
      <c r="Y237" s="1" t="str">
        <f>VLOOKUP(A237,[1]Detalle!$D$2:$CR$484,93,FALSE)</f>
        <v>Unilever - Unilever de Arg. S.A.</v>
      </c>
    </row>
    <row r="238" spans="1:25" ht="14.25" customHeight="1" x14ac:dyDescent="0.3">
      <c r="A238" s="1" t="s">
        <v>236</v>
      </c>
      <c r="B238" s="1" t="s">
        <v>343</v>
      </c>
      <c r="C238" s="1" t="s">
        <v>343</v>
      </c>
      <c r="D238" s="1" t="s">
        <v>344</v>
      </c>
      <c r="E238" s="6">
        <v>45817</v>
      </c>
      <c r="F238" s="1">
        <v>1015308</v>
      </c>
      <c r="G238" s="1">
        <v>1035308</v>
      </c>
      <c r="H238" s="1">
        <v>35709.500000000007</v>
      </c>
      <c r="I238" s="1">
        <v>-15709.500000000009</v>
      </c>
      <c r="J238" s="1">
        <v>1051017.5</v>
      </c>
      <c r="K238" s="1">
        <v>130</v>
      </c>
      <c r="L238" s="1">
        <v>455.32846441947561</v>
      </c>
      <c r="M238" s="1">
        <v>-57.190243492628028</v>
      </c>
      <c r="N238" s="7">
        <v>45947</v>
      </c>
      <c r="O238" s="1">
        <v>20000</v>
      </c>
      <c r="P238" s="7">
        <v>46034.848669976847</v>
      </c>
      <c r="Q238" s="1" t="s">
        <v>330</v>
      </c>
      <c r="T238" s="1" t="s">
        <v>345</v>
      </c>
      <c r="U238" s="1" t="s">
        <v>346</v>
      </c>
      <c r="V238" s="1">
        <v>1</v>
      </c>
      <c r="W238" s="3">
        <v>10535.04</v>
      </c>
      <c r="X238" s="3">
        <v>10535.04</v>
      </c>
      <c r="Y238" s="1" t="str">
        <f>VLOOKUP(A238,[1]Detalle!$D$2:$CR$484,93,FALSE)</f>
        <v>CENCOMLD - Cencosud SA - Mendoza</v>
      </c>
    </row>
    <row r="239" spans="1:25" ht="14.25" customHeight="1" x14ac:dyDescent="0.3">
      <c r="A239" s="1" t="s">
        <v>236</v>
      </c>
      <c r="B239" s="1" t="s">
        <v>343</v>
      </c>
      <c r="C239" s="1" t="s">
        <v>343</v>
      </c>
      <c r="D239" s="1" t="s">
        <v>344</v>
      </c>
      <c r="E239" s="6">
        <v>45817</v>
      </c>
      <c r="F239" s="1">
        <v>1015308</v>
      </c>
      <c r="G239" s="1">
        <v>1035308</v>
      </c>
      <c r="H239" s="1">
        <v>35709.500000000007</v>
      </c>
      <c r="I239" s="1">
        <v>-15709.500000000009</v>
      </c>
      <c r="J239" s="1">
        <v>1051017.5</v>
      </c>
      <c r="K239" s="1">
        <v>130</v>
      </c>
      <c r="L239" s="1">
        <v>455.32846441947561</v>
      </c>
      <c r="M239" s="1">
        <v>-57.190243492628028</v>
      </c>
      <c r="N239" s="7">
        <v>45947</v>
      </c>
      <c r="O239" s="1">
        <v>20000</v>
      </c>
      <c r="P239" s="7">
        <v>46034.848669976847</v>
      </c>
      <c r="Q239" s="1" t="s">
        <v>330</v>
      </c>
      <c r="T239" s="1" t="s">
        <v>347</v>
      </c>
      <c r="U239" s="1" t="s">
        <v>348</v>
      </c>
      <c r="V239" s="1">
        <v>1</v>
      </c>
      <c r="W239" s="3">
        <v>19410.240000000002</v>
      </c>
      <c r="X239" s="3">
        <v>19410.240000000002</v>
      </c>
      <c r="Y239" s="1" t="str">
        <f>VLOOKUP(A239,[1]Detalle!$D$2:$CR$484,93,FALSE)</f>
        <v>CENCOMLD - Cencosud SA - Mendoza</v>
      </c>
    </row>
    <row r="240" spans="1:25" ht="14.25" customHeight="1" x14ac:dyDescent="0.3">
      <c r="A240" s="1" t="s">
        <v>235</v>
      </c>
      <c r="B240" s="1" t="s">
        <v>343</v>
      </c>
      <c r="C240" s="1" t="s">
        <v>343</v>
      </c>
      <c r="D240" s="1" t="s">
        <v>344</v>
      </c>
      <c r="E240" s="6">
        <v>45797</v>
      </c>
      <c r="F240" s="1">
        <v>991392</v>
      </c>
      <c r="G240" s="1">
        <v>1011392</v>
      </c>
      <c r="H240" s="1">
        <v>42888.2</v>
      </c>
      <c r="I240" s="1">
        <v>-22888.2</v>
      </c>
      <c r="J240" s="1">
        <v>1034280.2</v>
      </c>
      <c r="K240" s="1">
        <v>150</v>
      </c>
      <c r="L240" s="1">
        <v>263.69237037037038</v>
      </c>
      <c r="M240" s="1">
        <v>-80.05068993336161</v>
      </c>
      <c r="N240" s="7">
        <v>45947</v>
      </c>
      <c r="O240" s="1">
        <v>20000</v>
      </c>
      <c r="P240" s="7">
        <v>46098.691912604168</v>
      </c>
      <c r="Q240" s="1" t="s">
        <v>330</v>
      </c>
      <c r="T240" s="1" t="s">
        <v>345</v>
      </c>
      <c r="U240" s="1" t="s">
        <v>346</v>
      </c>
      <c r="V240" s="1">
        <v>1</v>
      </c>
      <c r="W240" s="3">
        <v>10535.04</v>
      </c>
      <c r="X240" s="3">
        <v>10535.04</v>
      </c>
      <c r="Y240" s="1" t="str">
        <f>VLOOKUP(A240,[1]Detalle!$D$2:$CR$484,93,FALSE)</f>
        <v>CENCOMLD - Cencosud SA - Mendoza</v>
      </c>
    </row>
    <row r="241" spans="1:25" ht="14.25" customHeight="1" x14ac:dyDescent="0.3">
      <c r="A241" s="1" t="s">
        <v>235</v>
      </c>
      <c r="B241" s="1" t="s">
        <v>343</v>
      </c>
      <c r="C241" s="1" t="s">
        <v>343</v>
      </c>
      <c r="D241" s="1" t="s">
        <v>344</v>
      </c>
      <c r="E241" s="6">
        <v>45797</v>
      </c>
      <c r="F241" s="1">
        <v>991392</v>
      </c>
      <c r="G241" s="1">
        <v>1011392</v>
      </c>
      <c r="H241" s="1">
        <v>42888.2</v>
      </c>
      <c r="I241" s="1">
        <v>-22888.2</v>
      </c>
      <c r="J241" s="1">
        <v>1034280.2</v>
      </c>
      <c r="K241" s="1">
        <v>150</v>
      </c>
      <c r="L241" s="1">
        <v>263.69237037037038</v>
      </c>
      <c r="M241" s="1">
        <v>-80.05068993336161</v>
      </c>
      <c r="N241" s="7">
        <v>45947</v>
      </c>
      <c r="O241" s="1">
        <v>20000</v>
      </c>
      <c r="P241" s="7">
        <v>46098.691912604168</v>
      </c>
      <c r="Q241" s="1" t="s">
        <v>330</v>
      </c>
      <c r="T241" s="1" t="s">
        <v>347</v>
      </c>
      <c r="U241" s="1" t="s">
        <v>348</v>
      </c>
      <c r="V241" s="1">
        <v>1</v>
      </c>
      <c r="W241" s="3">
        <v>19410.240000000002</v>
      </c>
      <c r="X241" s="3">
        <v>19410.240000000002</v>
      </c>
      <c r="Y241" s="1" t="str">
        <f>VLOOKUP(A241,[1]Detalle!$D$2:$CR$484,93,FALSE)</f>
        <v>CENCOMLD - Cencosud SA - Mendoza</v>
      </c>
    </row>
    <row r="242" spans="1:25" ht="14.25" customHeight="1" x14ac:dyDescent="0.3">
      <c r="A242" s="1" t="s">
        <v>273</v>
      </c>
      <c r="B242" s="1" t="s">
        <v>343</v>
      </c>
      <c r="C242" s="1" t="s">
        <v>343</v>
      </c>
      <c r="D242" s="1" t="s">
        <v>344</v>
      </c>
      <c r="E242" s="1" t="s">
        <v>337</v>
      </c>
      <c r="L242" s="1">
        <v>169.51837638376381</v>
      </c>
      <c r="N242" s="7">
        <v>45947</v>
      </c>
      <c r="O242" s="1">
        <v>20000</v>
      </c>
      <c r="P242" s="7">
        <v>46064.981309317132</v>
      </c>
      <c r="Q242" s="1" t="s">
        <v>330</v>
      </c>
      <c r="T242" s="1" t="s">
        <v>345</v>
      </c>
      <c r="U242" s="1" t="s">
        <v>346</v>
      </c>
      <c r="V242" s="1">
        <v>1</v>
      </c>
      <c r="W242" s="3">
        <v>10535.04</v>
      </c>
      <c r="X242" s="3">
        <v>10535.04</v>
      </c>
      <c r="Y242" s="1" t="str">
        <f>VLOOKUP(A242,[1]Detalle!$D$2:$CR$484,93,FALSE)</f>
        <v>CENCO_MZ - Cencosud SA - Mendoza</v>
      </c>
    </row>
    <row r="243" spans="1:25" ht="14.25" customHeight="1" x14ac:dyDescent="0.3">
      <c r="A243" s="1" t="s">
        <v>273</v>
      </c>
      <c r="B243" s="1" t="s">
        <v>343</v>
      </c>
      <c r="C243" s="1" t="s">
        <v>343</v>
      </c>
      <c r="D243" s="1" t="s">
        <v>344</v>
      </c>
      <c r="E243" s="1" t="s">
        <v>337</v>
      </c>
      <c r="L243" s="1">
        <v>169.51837638376381</v>
      </c>
      <c r="N243" s="7">
        <v>45947</v>
      </c>
      <c r="O243" s="1">
        <v>20000</v>
      </c>
      <c r="P243" s="7">
        <v>46064.981309317132</v>
      </c>
      <c r="Q243" s="1" t="s">
        <v>330</v>
      </c>
      <c r="T243" s="1" t="s">
        <v>347</v>
      </c>
      <c r="U243" s="1" t="s">
        <v>348</v>
      </c>
      <c r="V243" s="1">
        <v>1</v>
      </c>
      <c r="W243" s="3">
        <v>19410.240000000002</v>
      </c>
      <c r="X243" s="3">
        <v>19410.240000000002</v>
      </c>
      <c r="Y243" s="1" t="str">
        <f>VLOOKUP(A243,[1]Detalle!$D$2:$CR$484,93,FALSE)</f>
        <v>CENCO_MZ - Cencosud SA - Mendoza</v>
      </c>
    </row>
    <row r="244" spans="1:25" ht="14.25" customHeight="1" x14ac:dyDescent="0.3">
      <c r="A244" s="1" t="s">
        <v>237</v>
      </c>
      <c r="B244" s="1" t="s">
        <v>343</v>
      </c>
      <c r="C244" s="1" t="s">
        <v>343</v>
      </c>
      <c r="D244" s="1" t="s">
        <v>344</v>
      </c>
      <c r="E244" s="6">
        <v>45790</v>
      </c>
      <c r="F244" s="1">
        <v>804435</v>
      </c>
      <c r="G244" s="1">
        <v>824435</v>
      </c>
      <c r="H244" s="1">
        <v>23771.1</v>
      </c>
      <c r="I244" s="1">
        <v>-3771.1000000000022</v>
      </c>
      <c r="J244" s="1">
        <v>828206.1</v>
      </c>
      <c r="K244" s="1">
        <v>157</v>
      </c>
      <c r="L244" s="1">
        <v>518.64529411764704</v>
      </c>
      <c r="M244" s="1">
        <v>-24.90682803908949</v>
      </c>
      <c r="N244" s="7">
        <v>45947</v>
      </c>
      <c r="O244" s="1">
        <v>20000</v>
      </c>
      <c r="P244" s="7">
        <v>46024.124000648153</v>
      </c>
      <c r="Q244" s="1" t="s">
        <v>330</v>
      </c>
      <c r="T244" s="1" t="s">
        <v>345</v>
      </c>
      <c r="U244" s="1" t="s">
        <v>346</v>
      </c>
      <c r="V244" s="1">
        <v>1</v>
      </c>
      <c r="W244" s="3">
        <v>10535.04</v>
      </c>
      <c r="X244" s="3">
        <v>10535.04</v>
      </c>
      <c r="Y244" s="1" t="str">
        <f>VLOOKUP(A244,[1]Detalle!$D$2:$CR$484,93,FALSE)</f>
        <v>CENCOMLD - Cencosud SA - Mendoza</v>
      </c>
    </row>
    <row r="245" spans="1:25" ht="14.25" customHeight="1" x14ac:dyDescent="0.3">
      <c r="A245" s="1" t="s">
        <v>237</v>
      </c>
      <c r="B245" s="1" t="s">
        <v>343</v>
      </c>
      <c r="C245" s="1" t="s">
        <v>343</v>
      </c>
      <c r="D245" s="1" t="s">
        <v>344</v>
      </c>
      <c r="E245" s="6">
        <v>45790</v>
      </c>
      <c r="F245" s="1">
        <v>804435</v>
      </c>
      <c r="G245" s="1">
        <v>824435</v>
      </c>
      <c r="H245" s="1">
        <v>23771.1</v>
      </c>
      <c r="I245" s="1">
        <v>-3771.1000000000022</v>
      </c>
      <c r="J245" s="1">
        <v>828206.1</v>
      </c>
      <c r="K245" s="1">
        <v>157</v>
      </c>
      <c r="L245" s="1">
        <v>518.64529411764704</v>
      </c>
      <c r="M245" s="1">
        <v>-24.90682803908949</v>
      </c>
      <c r="N245" s="7">
        <v>45947</v>
      </c>
      <c r="O245" s="1">
        <v>20000</v>
      </c>
      <c r="P245" s="7">
        <v>46024.124000648153</v>
      </c>
      <c r="Q245" s="1" t="s">
        <v>330</v>
      </c>
      <c r="T245" s="1" t="s">
        <v>347</v>
      </c>
      <c r="U245" s="1" t="s">
        <v>348</v>
      </c>
      <c r="V245" s="1">
        <v>1</v>
      </c>
      <c r="W245" s="3">
        <v>19410.240000000002</v>
      </c>
      <c r="X245" s="3">
        <v>19410.240000000002</v>
      </c>
      <c r="Y245" s="1" t="str">
        <f>VLOOKUP(A245,[1]Detalle!$D$2:$CR$484,93,FALSE)</f>
        <v>CENCOMLD - Cencosud SA - Mendoza</v>
      </c>
    </row>
    <row r="246" spans="1:25" ht="14.25" customHeight="1" x14ac:dyDescent="0.3">
      <c r="A246" s="1" t="s">
        <v>160</v>
      </c>
      <c r="B246" s="1" t="s">
        <v>343</v>
      </c>
      <c r="C246" s="1" t="s">
        <v>343</v>
      </c>
      <c r="D246" s="1" t="s">
        <v>344</v>
      </c>
      <c r="E246" s="6">
        <v>45748</v>
      </c>
      <c r="F246" s="1">
        <v>10362</v>
      </c>
      <c r="G246" s="1">
        <v>30362</v>
      </c>
      <c r="H246" s="1">
        <v>12667.1</v>
      </c>
      <c r="I246" s="1">
        <v>7332.9000000000005</v>
      </c>
      <c r="J246" s="1">
        <v>23029.1</v>
      </c>
      <c r="K246" s="1">
        <v>199</v>
      </c>
      <c r="L246" s="1">
        <v>53.990801282051272</v>
      </c>
      <c r="M246" s="1">
        <v>115.1997773760372</v>
      </c>
      <c r="N246" s="7">
        <v>45947</v>
      </c>
      <c r="O246" s="1">
        <v>20000</v>
      </c>
      <c r="P246" s="7">
        <v>46062.199777372683</v>
      </c>
      <c r="Q246" s="1" t="s">
        <v>330</v>
      </c>
      <c r="T246" s="1" t="s">
        <v>345</v>
      </c>
      <c r="U246" s="1" t="s">
        <v>346</v>
      </c>
      <c r="V246" s="1">
        <v>1</v>
      </c>
      <c r="W246" s="3">
        <v>10535.04</v>
      </c>
      <c r="X246" s="3">
        <v>10535.04</v>
      </c>
      <c r="Y246" s="1" t="str">
        <f>VLOOKUP(A246,[1]Detalle!$D$2:$CR$484,93,FALSE)</f>
        <v>CENCO_SJ - Cencosud SA - San Juan</v>
      </c>
    </row>
    <row r="247" spans="1:25" ht="14.25" customHeight="1" x14ac:dyDescent="0.3">
      <c r="A247" s="1" t="s">
        <v>160</v>
      </c>
      <c r="B247" s="1" t="s">
        <v>343</v>
      </c>
      <c r="C247" s="1" t="s">
        <v>343</v>
      </c>
      <c r="D247" s="1" t="s">
        <v>344</v>
      </c>
      <c r="E247" s="6">
        <v>45748</v>
      </c>
      <c r="F247" s="1">
        <v>10362</v>
      </c>
      <c r="G247" s="1">
        <v>30362</v>
      </c>
      <c r="H247" s="1">
        <v>12667.1</v>
      </c>
      <c r="I247" s="1">
        <v>7332.9000000000005</v>
      </c>
      <c r="J247" s="1">
        <v>23029.1</v>
      </c>
      <c r="K247" s="1">
        <v>199</v>
      </c>
      <c r="L247" s="1">
        <v>53.990801282051272</v>
      </c>
      <c r="M247" s="1">
        <v>115.1997773760372</v>
      </c>
      <c r="N247" s="7">
        <v>45947</v>
      </c>
      <c r="O247" s="1">
        <v>20000</v>
      </c>
      <c r="P247" s="7">
        <v>46062.199777372683</v>
      </c>
      <c r="Q247" s="1" t="s">
        <v>330</v>
      </c>
      <c r="T247" s="1" t="s">
        <v>347</v>
      </c>
      <c r="U247" s="1" t="s">
        <v>348</v>
      </c>
      <c r="V247" s="1">
        <v>1</v>
      </c>
      <c r="W247" s="3">
        <v>19410.240000000002</v>
      </c>
      <c r="X247" s="3">
        <v>19410.240000000002</v>
      </c>
      <c r="Y247" s="1" t="str">
        <f>VLOOKUP(A247,[1]Detalle!$D$2:$CR$484,93,FALSE)</f>
        <v>CENCO_SJ - Cencosud SA - San Juan</v>
      </c>
    </row>
    <row r="248" spans="1:25" ht="14.25" customHeight="1" x14ac:dyDescent="0.3">
      <c r="A248" s="1" t="s">
        <v>238</v>
      </c>
      <c r="B248" s="1" t="s">
        <v>343</v>
      </c>
      <c r="C248" s="1" t="s">
        <v>343</v>
      </c>
      <c r="D248" s="1" t="s">
        <v>344</v>
      </c>
      <c r="E248" s="6">
        <v>45587</v>
      </c>
      <c r="F248" s="1">
        <v>502203</v>
      </c>
      <c r="G248" s="1">
        <v>522203</v>
      </c>
      <c r="H248" s="1">
        <v>14467.7</v>
      </c>
      <c r="I248" s="1">
        <v>5532.3000000000047</v>
      </c>
      <c r="J248" s="1">
        <v>516670.7</v>
      </c>
      <c r="K248" s="1">
        <v>360</v>
      </c>
      <c r="L248" s="1">
        <v>33.863782051282037</v>
      </c>
      <c r="M248" s="1">
        <v>137.66030536989311</v>
      </c>
      <c r="N248" s="7">
        <v>45947</v>
      </c>
      <c r="O248" s="1">
        <v>20000</v>
      </c>
      <c r="P248" s="7">
        <v>46084.660305370373</v>
      </c>
      <c r="Q248" s="1" t="s">
        <v>330</v>
      </c>
      <c r="T248" s="1" t="s">
        <v>345</v>
      </c>
      <c r="U248" s="1" t="s">
        <v>346</v>
      </c>
      <c r="V248" s="1">
        <v>1</v>
      </c>
      <c r="W248" s="3">
        <v>10535.04</v>
      </c>
      <c r="X248" s="3">
        <v>10535.04</v>
      </c>
      <c r="Y248" s="1" t="str">
        <f>VLOOKUP(A248,[1]Detalle!$D$2:$CR$484,93,FALSE)</f>
        <v>CMQ_TTE - QUILMES TTE</v>
      </c>
    </row>
    <row r="249" spans="1:25" ht="14.25" customHeight="1" x14ac:dyDescent="0.3">
      <c r="A249" s="1" t="s">
        <v>238</v>
      </c>
      <c r="B249" s="1" t="s">
        <v>343</v>
      </c>
      <c r="C249" s="1" t="s">
        <v>343</v>
      </c>
      <c r="D249" s="1" t="s">
        <v>344</v>
      </c>
      <c r="E249" s="6">
        <v>45587</v>
      </c>
      <c r="F249" s="1">
        <v>502203</v>
      </c>
      <c r="G249" s="1">
        <v>522203</v>
      </c>
      <c r="H249" s="1">
        <v>14467.7</v>
      </c>
      <c r="I249" s="1">
        <v>5532.3000000000047</v>
      </c>
      <c r="J249" s="1">
        <v>516670.7</v>
      </c>
      <c r="K249" s="1">
        <v>360</v>
      </c>
      <c r="L249" s="1">
        <v>33.863782051282037</v>
      </c>
      <c r="M249" s="1">
        <v>137.66030536989311</v>
      </c>
      <c r="N249" s="7">
        <v>45947</v>
      </c>
      <c r="O249" s="1">
        <v>20000</v>
      </c>
      <c r="P249" s="7">
        <v>46084.660305370373</v>
      </c>
      <c r="Q249" s="1" t="s">
        <v>330</v>
      </c>
      <c r="T249" s="1" t="s">
        <v>347</v>
      </c>
      <c r="U249" s="1" t="s">
        <v>348</v>
      </c>
      <c r="V249" s="1">
        <v>1</v>
      </c>
      <c r="W249" s="3">
        <v>19410.240000000002</v>
      </c>
      <c r="X249" s="3">
        <v>19410.240000000002</v>
      </c>
      <c r="Y249" s="1" t="str">
        <f>VLOOKUP(A249,[1]Detalle!$D$2:$CR$484,93,FALSE)</f>
        <v>CMQ_TTE - QUILMES TTE</v>
      </c>
    </row>
    <row r="250" spans="1:25" ht="14.25" customHeight="1" x14ac:dyDescent="0.3">
      <c r="A250" s="1" t="s">
        <v>148</v>
      </c>
      <c r="B250" s="1" t="s">
        <v>343</v>
      </c>
      <c r="C250" s="1" t="s">
        <v>343</v>
      </c>
      <c r="D250" s="1" t="s">
        <v>344</v>
      </c>
      <c r="E250" s="6">
        <v>45862</v>
      </c>
      <c r="F250" s="1">
        <v>808028</v>
      </c>
      <c r="G250" s="1">
        <v>828028</v>
      </c>
      <c r="H250" s="1">
        <v>7209.7999999999984</v>
      </c>
      <c r="I250" s="1">
        <v>12790.2</v>
      </c>
      <c r="J250" s="1">
        <v>815237.8</v>
      </c>
      <c r="K250" s="1">
        <v>85</v>
      </c>
      <c r="L250" s="1">
        <v>100.27773026315791</v>
      </c>
      <c r="M250" s="1">
        <v>150.79017448472919</v>
      </c>
      <c r="N250" s="7">
        <v>45947</v>
      </c>
      <c r="O250" s="1">
        <v>20000</v>
      </c>
      <c r="P250" s="7">
        <v>46097.790174479167</v>
      </c>
      <c r="Q250" s="1" t="s">
        <v>330</v>
      </c>
      <c r="T250" s="1" t="s">
        <v>345</v>
      </c>
      <c r="U250" s="1" t="s">
        <v>346</v>
      </c>
      <c r="V250" s="1">
        <v>1</v>
      </c>
      <c r="W250" s="3">
        <v>10535.04</v>
      </c>
      <c r="X250" s="3">
        <v>10535.04</v>
      </c>
      <c r="Y250" s="1" t="str">
        <f>VLOOKUP(A250,[1]Detalle!$D$2:$CR$484,93,FALSE)</f>
        <v>Unilever - Unilever de Arg. S.A.</v>
      </c>
    </row>
    <row r="251" spans="1:25" ht="14.25" customHeight="1" x14ac:dyDescent="0.3">
      <c r="A251" s="1" t="s">
        <v>148</v>
      </c>
      <c r="B251" s="1" t="s">
        <v>343</v>
      </c>
      <c r="C251" s="1" t="s">
        <v>343</v>
      </c>
      <c r="D251" s="1" t="s">
        <v>344</v>
      </c>
      <c r="E251" s="6">
        <v>45862</v>
      </c>
      <c r="F251" s="1">
        <v>808028</v>
      </c>
      <c r="G251" s="1">
        <v>828028</v>
      </c>
      <c r="H251" s="1">
        <v>7209.7999999999984</v>
      </c>
      <c r="I251" s="1">
        <v>12790.2</v>
      </c>
      <c r="J251" s="1">
        <v>815237.8</v>
      </c>
      <c r="K251" s="1">
        <v>85</v>
      </c>
      <c r="L251" s="1">
        <v>100.27773026315791</v>
      </c>
      <c r="M251" s="1">
        <v>150.79017448472919</v>
      </c>
      <c r="N251" s="7">
        <v>45947</v>
      </c>
      <c r="O251" s="1">
        <v>20000</v>
      </c>
      <c r="P251" s="7">
        <v>46097.790174479167</v>
      </c>
      <c r="Q251" s="1" t="s">
        <v>330</v>
      </c>
      <c r="T251" s="1" t="s">
        <v>347</v>
      </c>
      <c r="U251" s="1" t="s">
        <v>348</v>
      </c>
      <c r="V251" s="1">
        <v>1</v>
      </c>
      <c r="W251" s="3">
        <v>19410.240000000002</v>
      </c>
      <c r="X251" s="3">
        <v>19410.240000000002</v>
      </c>
      <c r="Y251" s="1" t="str">
        <f>VLOOKUP(A251,[1]Detalle!$D$2:$CR$484,93,FALSE)</f>
        <v>Unilever - Unilever de Arg. S.A.</v>
      </c>
    </row>
    <row r="252" spans="1:25" ht="14.25" customHeight="1" x14ac:dyDescent="0.3">
      <c r="A252" s="1" t="s">
        <v>239</v>
      </c>
      <c r="B252" s="1" t="s">
        <v>343</v>
      </c>
      <c r="C252" s="1" t="s">
        <v>343</v>
      </c>
      <c r="D252" s="1" t="s">
        <v>344</v>
      </c>
      <c r="E252" s="6">
        <v>45811</v>
      </c>
      <c r="F252" s="1">
        <v>309592</v>
      </c>
      <c r="G252" s="1">
        <v>329592</v>
      </c>
      <c r="H252" s="1">
        <v>5644.7999999999975</v>
      </c>
      <c r="I252" s="1">
        <v>14355.2</v>
      </c>
      <c r="J252" s="1">
        <v>315236.8</v>
      </c>
      <c r="K252" s="1">
        <v>136</v>
      </c>
      <c r="L252" s="1">
        <v>34.71594771241827</v>
      </c>
      <c r="M252" s="1">
        <v>345.8594104308392</v>
      </c>
      <c r="N252" s="7">
        <v>45947</v>
      </c>
      <c r="O252" s="1">
        <v>20000</v>
      </c>
      <c r="P252" s="7">
        <v>46292.859410428238</v>
      </c>
      <c r="Q252" s="1" t="s">
        <v>330</v>
      </c>
      <c r="T252" s="1" t="s">
        <v>345</v>
      </c>
      <c r="U252" s="1" t="s">
        <v>346</v>
      </c>
      <c r="V252" s="1">
        <v>1</v>
      </c>
      <c r="W252" s="3">
        <v>10535.04</v>
      </c>
      <c r="X252" s="3">
        <v>10535.04</v>
      </c>
      <c r="Y252" s="1" t="str">
        <f>VLOOKUP(A252,[1]Detalle!$D$2:$CR$484,93,FALSE)</f>
        <v>CMQ_TTE - QUILMES TTE</v>
      </c>
    </row>
    <row r="253" spans="1:25" ht="14.25" customHeight="1" x14ac:dyDescent="0.3">
      <c r="A253" s="1" t="s">
        <v>239</v>
      </c>
      <c r="B253" s="1" t="s">
        <v>343</v>
      </c>
      <c r="C253" s="1" t="s">
        <v>343</v>
      </c>
      <c r="D253" s="1" t="s">
        <v>344</v>
      </c>
      <c r="E253" s="6">
        <v>45811</v>
      </c>
      <c r="F253" s="1">
        <v>309592</v>
      </c>
      <c r="G253" s="1">
        <v>329592</v>
      </c>
      <c r="H253" s="1">
        <v>5644.7999999999975</v>
      </c>
      <c r="I253" s="1">
        <v>14355.2</v>
      </c>
      <c r="J253" s="1">
        <v>315236.8</v>
      </c>
      <c r="K253" s="1">
        <v>136</v>
      </c>
      <c r="L253" s="1">
        <v>34.71594771241827</v>
      </c>
      <c r="M253" s="1">
        <v>345.8594104308392</v>
      </c>
      <c r="N253" s="7">
        <v>45947</v>
      </c>
      <c r="O253" s="1">
        <v>20000</v>
      </c>
      <c r="P253" s="7">
        <v>46292.859410428238</v>
      </c>
      <c r="Q253" s="1" t="s">
        <v>330</v>
      </c>
      <c r="T253" s="1" t="s">
        <v>347</v>
      </c>
      <c r="U253" s="1" t="s">
        <v>348</v>
      </c>
      <c r="V253" s="1">
        <v>1</v>
      </c>
      <c r="W253" s="3">
        <v>19410.240000000002</v>
      </c>
      <c r="X253" s="3">
        <v>19410.240000000002</v>
      </c>
      <c r="Y253" s="1" t="str">
        <f>VLOOKUP(A253,[1]Detalle!$D$2:$CR$484,93,FALSE)</f>
        <v>CMQ_TTE - QUILMES TTE</v>
      </c>
    </row>
    <row r="254" spans="1:25" ht="14.25" customHeight="1" x14ac:dyDescent="0.3">
      <c r="A254" s="1" t="s">
        <v>157</v>
      </c>
      <c r="B254" s="1" t="s">
        <v>343</v>
      </c>
      <c r="C254" s="1" t="s">
        <v>343</v>
      </c>
      <c r="D254" s="1" t="s">
        <v>344</v>
      </c>
      <c r="E254" s="6">
        <v>45870</v>
      </c>
      <c r="F254" s="1">
        <v>24799.1</v>
      </c>
      <c r="G254" s="1">
        <v>44799.1</v>
      </c>
      <c r="H254" s="1">
        <v>3627.4</v>
      </c>
      <c r="I254" s="1">
        <v>16372.6</v>
      </c>
      <c r="J254" s="1">
        <v>28426.5</v>
      </c>
      <c r="K254" s="1">
        <v>77</v>
      </c>
      <c r="L254" s="1">
        <v>131.93916129032249</v>
      </c>
      <c r="M254" s="1">
        <v>347.5465071401004</v>
      </c>
      <c r="N254" s="7">
        <v>45947</v>
      </c>
      <c r="O254" s="1">
        <v>20000</v>
      </c>
      <c r="P254" s="7">
        <v>46294.546507141204</v>
      </c>
      <c r="Q254" s="1" t="s">
        <v>330</v>
      </c>
      <c r="T254" s="1" t="s">
        <v>345</v>
      </c>
      <c r="U254" s="1" t="s">
        <v>346</v>
      </c>
      <c r="V254" s="1">
        <v>1</v>
      </c>
      <c r="W254" s="3">
        <v>10535.04</v>
      </c>
      <c r="X254" s="3">
        <v>10535.04</v>
      </c>
      <c r="Y254" s="1" t="str">
        <f>VLOOKUP(A254,[1]Detalle!$D$2:$CR$484,93,FALSE)</f>
        <v>Unilever - Unilever de Arg. S.A.</v>
      </c>
    </row>
    <row r="255" spans="1:25" ht="14.25" customHeight="1" x14ac:dyDescent="0.3">
      <c r="A255" s="1" t="s">
        <v>157</v>
      </c>
      <c r="B255" s="1" t="s">
        <v>343</v>
      </c>
      <c r="C255" s="1" t="s">
        <v>343</v>
      </c>
      <c r="D255" s="1" t="s">
        <v>344</v>
      </c>
      <c r="E255" s="6">
        <v>45870</v>
      </c>
      <c r="F255" s="1">
        <v>24799.1</v>
      </c>
      <c r="G255" s="1">
        <v>44799.1</v>
      </c>
      <c r="H255" s="1">
        <v>3627.4</v>
      </c>
      <c r="I255" s="1">
        <v>16372.6</v>
      </c>
      <c r="J255" s="1">
        <v>28426.5</v>
      </c>
      <c r="K255" s="1">
        <v>77</v>
      </c>
      <c r="L255" s="1">
        <v>131.93916129032249</v>
      </c>
      <c r="M255" s="1">
        <v>347.5465071401004</v>
      </c>
      <c r="N255" s="7">
        <v>45947</v>
      </c>
      <c r="O255" s="1">
        <v>20000</v>
      </c>
      <c r="P255" s="7">
        <v>46294.546507141204</v>
      </c>
      <c r="Q255" s="1" t="s">
        <v>330</v>
      </c>
      <c r="T255" s="1" t="s">
        <v>347</v>
      </c>
      <c r="U255" s="1" t="s">
        <v>348</v>
      </c>
      <c r="V255" s="1">
        <v>1</v>
      </c>
      <c r="W255" s="3">
        <v>19410.240000000002</v>
      </c>
      <c r="X255" s="3">
        <v>19410.240000000002</v>
      </c>
      <c r="Y255" s="1" t="str">
        <f>VLOOKUP(A255,[1]Detalle!$D$2:$CR$484,93,FALSE)</f>
        <v>Unilever - Unilever de Arg. S.A.</v>
      </c>
    </row>
    <row r="256" spans="1:25" ht="14.25" customHeight="1" x14ac:dyDescent="0.3">
      <c r="A256" s="1" t="s">
        <v>163</v>
      </c>
      <c r="B256" s="1" t="s">
        <v>343</v>
      </c>
      <c r="C256" s="1" t="s">
        <v>343</v>
      </c>
      <c r="D256" s="1" t="s">
        <v>344</v>
      </c>
      <c r="E256" s="6">
        <v>45845</v>
      </c>
      <c r="F256" s="1">
        <v>656303</v>
      </c>
      <c r="G256" s="1">
        <v>676303</v>
      </c>
      <c r="H256" s="1">
        <v>6490.9999999999991</v>
      </c>
      <c r="I256" s="1">
        <v>13509</v>
      </c>
      <c r="J256" s="1">
        <v>662794</v>
      </c>
      <c r="K256" s="1">
        <v>102</v>
      </c>
      <c r="L256" s="1">
        <v>93.110293159609114</v>
      </c>
      <c r="M256" s="1">
        <v>212.28131258665849</v>
      </c>
      <c r="N256" s="7">
        <v>45947</v>
      </c>
      <c r="O256" s="1">
        <v>20000</v>
      </c>
      <c r="P256" s="7">
        <v>46159.281312581021</v>
      </c>
      <c r="Q256" s="1" t="s">
        <v>330</v>
      </c>
      <c r="T256" s="1" t="s">
        <v>345</v>
      </c>
      <c r="U256" s="1" t="s">
        <v>346</v>
      </c>
      <c r="V256" s="1">
        <v>1</v>
      </c>
      <c r="W256" s="3">
        <v>10535.04</v>
      </c>
      <c r="X256" s="3">
        <v>10535.04</v>
      </c>
      <c r="Y256" s="1" t="str">
        <f>VLOOKUP(A256,[1]Detalle!$D$2:$CR$484,93,FALSE)</f>
        <v>Papelera - Papelera del Plata S.A.</v>
      </c>
    </row>
    <row r="257" spans="1:25" ht="14.25" customHeight="1" x14ac:dyDescent="0.3">
      <c r="A257" s="1" t="s">
        <v>163</v>
      </c>
      <c r="B257" s="1" t="s">
        <v>343</v>
      </c>
      <c r="C257" s="1" t="s">
        <v>343</v>
      </c>
      <c r="D257" s="1" t="s">
        <v>344</v>
      </c>
      <c r="E257" s="6">
        <v>45845</v>
      </c>
      <c r="F257" s="1">
        <v>656303</v>
      </c>
      <c r="G257" s="1">
        <v>676303</v>
      </c>
      <c r="H257" s="1">
        <v>6490.9999999999991</v>
      </c>
      <c r="I257" s="1">
        <v>13509</v>
      </c>
      <c r="J257" s="1">
        <v>662794</v>
      </c>
      <c r="K257" s="1">
        <v>102</v>
      </c>
      <c r="L257" s="1">
        <v>93.110293159609114</v>
      </c>
      <c r="M257" s="1">
        <v>212.28131258665849</v>
      </c>
      <c r="N257" s="7">
        <v>45947</v>
      </c>
      <c r="O257" s="1">
        <v>20000</v>
      </c>
      <c r="P257" s="7">
        <v>46159.281312581021</v>
      </c>
      <c r="Q257" s="1" t="s">
        <v>330</v>
      </c>
      <c r="T257" s="1" t="s">
        <v>347</v>
      </c>
      <c r="U257" s="1" t="s">
        <v>348</v>
      </c>
      <c r="V257" s="1">
        <v>1</v>
      </c>
      <c r="W257" s="3">
        <v>19410.240000000002</v>
      </c>
      <c r="X257" s="3">
        <v>19410.240000000002</v>
      </c>
      <c r="Y257" s="1" t="str">
        <f>VLOOKUP(A257,[1]Detalle!$D$2:$CR$484,93,FALSE)</f>
        <v>Papelera - Papelera del Plata S.A.</v>
      </c>
    </row>
    <row r="258" spans="1:25" ht="14.25" customHeight="1" x14ac:dyDescent="0.3">
      <c r="A258" s="1" t="s">
        <v>185</v>
      </c>
      <c r="B258" s="1" t="s">
        <v>343</v>
      </c>
      <c r="C258" s="1" t="s">
        <v>343</v>
      </c>
      <c r="D258" s="1" t="s">
        <v>344</v>
      </c>
      <c r="E258" s="6">
        <v>45748</v>
      </c>
      <c r="F258" s="1">
        <v>14041.5</v>
      </c>
      <c r="G258" s="1">
        <v>34041.5</v>
      </c>
      <c r="H258" s="1">
        <v>7825.0999999999995</v>
      </c>
      <c r="I258" s="1">
        <v>12174.9</v>
      </c>
      <c r="J258" s="1">
        <v>21866.6</v>
      </c>
      <c r="K258" s="1">
        <v>199</v>
      </c>
      <c r="L258" s="1">
        <v>45.164889705882352</v>
      </c>
      <c r="M258" s="1">
        <v>309.61969815082239</v>
      </c>
      <c r="N258" s="7">
        <v>45947</v>
      </c>
      <c r="O258" s="1">
        <v>20000</v>
      </c>
      <c r="P258" s="7">
        <v>46256.619698148148</v>
      </c>
      <c r="Q258" s="1" t="s">
        <v>330</v>
      </c>
      <c r="T258" s="1" t="s">
        <v>345</v>
      </c>
      <c r="U258" s="1" t="s">
        <v>346</v>
      </c>
      <c r="V258" s="1">
        <v>1</v>
      </c>
      <c r="W258" s="3">
        <v>10535.04</v>
      </c>
      <c r="X258" s="3">
        <v>10535.04</v>
      </c>
      <c r="Y258" s="1" t="str">
        <f>VLOOKUP(A258,[1]Detalle!$D$2:$CR$484,93,FALSE)</f>
        <v>CENCO_SJ - Cencosud SA - San Juan</v>
      </c>
    </row>
    <row r="259" spans="1:25" ht="14.25" customHeight="1" x14ac:dyDescent="0.3">
      <c r="A259" s="1" t="s">
        <v>185</v>
      </c>
      <c r="B259" s="1" t="s">
        <v>343</v>
      </c>
      <c r="C259" s="1" t="s">
        <v>343</v>
      </c>
      <c r="D259" s="1" t="s">
        <v>344</v>
      </c>
      <c r="E259" s="6">
        <v>45748</v>
      </c>
      <c r="F259" s="1">
        <v>14041.5</v>
      </c>
      <c r="G259" s="1">
        <v>34041.5</v>
      </c>
      <c r="H259" s="1">
        <v>7825.0999999999995</v>
      </c>
      <c r="I259" s="1">
        <v>12174.9</v>
      </c>
      <c r="J259" s="1">
        <v>21866.6</v>
      </c>
      <c r="K259" s="1">
        <v>199</v>
      </c>
      <c r="L259" s="1">
        <v>45.164889705882352</v>
      </c>
      <c r="M259" s="1">
        <v>309.61969815082239</v>
      </c>
      <c r="N259" s="7">
        <v>45947</v>
      </c>
      <c r="O259" s="1">
        <v>20000</v>
      </c>
      <c r="P259" s="7">
        <v>46256.619698148148</v>
      </c>
      <c r="Q259" s="1" t="s">
        <v>330</v>
      </c>
      <c r="T259" s="1" t="s">
        <v>347</v>
      </c>
      <c r="U259" s="1" t="s">
        <v>348</v>
      </c>
      <c r="V259" s="1">
        <v>1</v>
      </c>
      <c r="W259" s="3">
        <v>19410.240000000002</v>
      </c>
      <c r="X259" s="3">
        <v>19410.240000000002</v>
      </c>
      <c r="Y259" s="1" t="str">
        <f>VLOOKUP(A259,[1]Detalle!$D$2:$CR$484,93,FALSE)</f>
        <v>CENCO_SJ - Cencosud SA - San Juan</v>
      </c>
    </row>
    <row r="260" spans="1:25" ht="14.25" customHeight="1" x14ac:dyDescent="0.3">
      <c r="A260" s="1" t="s">
        <v>62</v>
      </c>
      <c r="B260" s="1" t="s">
        <v>343</v>
      </c>
      <c r="C260" s="1" t="s">
        <v>343</v>
      </c>
      <c r="D260" s="1" t="s">
        <v>344</v>
      </c>
      <c r="E260" s="6">
        <v>45741</v>
      </c>
      <c r="F260" s="1">
        <v>33326.199999999997</v>
      </c>
      <c r="G260" s="1">
        <v>53326.2</v>
      </c>
      <c r="H260" s="1">
        <v>7126.5000000000036</v>
      </c>
      <c r="I260" s="1">
        <v>12873.5</v>
      </c>
      <c r="J260" s="1">
        <v>40452.699999999997</v>
      </c>
      <c r="K260" s="1">
        <v>206</v>
      </c>
      <c r="L260" s="1">
        <v>38.89159259259263</v>
      </c>
      <c r="M260" s="1">
        <v>372.12390373956327</v>
      </c>
      <c r="N260" s="7">
        <v>45947</v>
      </c>
      <c r="O260" s="1">
        <v>20000</v>
      </c>
      <c r="P260" s="7">
        <v>46319.123903738429</v>
      </c>
      <c r="Q260" s="1" t="s">
        <v>330</v>
      </c>
      <c r="T260" s="1" t="s">
        <v>345</v>
      </c>
      <c r="U260" s="1" t="s">
        <v>346</v>
      </c>
      <c r="V260" s="1">
        <v>1</v>
      </c>
      <c r="W260" s="3">
        <v>10535.04</v>
      </c>
      <c r="X260" s="3">
        <v>10535.04</v>
      </c>
      <c r="Y260" s="1" t="str">
        <f>VLOOKUP(A260,[1]Detalle!$D$2:$CR$484,93,FALSE)</f>
        <v>CCUDyAZA</v>
      </c>
    </row>
    <row r="261" spans="1:25" ht="14.25" customHeight="1" x14ac:dyDescent="0.3">
      <c r="A261" s="1" t="s">
        <v>62</v>
      </c>
      <c r="B261" s="1" t="s">
        <v>343</v>
      </c>
      <c r="C261" s="1" t="s">
        <v>343</v>
      </c>
      <c r="D261" s="1" t="s">
        <v>344</v>
      </c>
      <c r="E261" s="6">
        <v>45741</v>
      </c>
      <c r="F261" s="1">
        <v>33326.199999999997</v>
      </c>
      <c r="G261" s="1">
        <v>53326.2</v>
      </c>
      <c r="H261" s="1">
        <v>7126.5000000000036</v>
      </c>
      <c r="I261" s="1">
        <v>12873.5</v>
      </c>
      <c r="J261" s="1">
        <v>40452.699999999997</v>
      </c>
      <c r="K261" s="1">
        <v>206</v>
      </c>
      <c r="L261" s="1">
        <v>38.89159259259263</v>
      </c>
      <c r="M261" s="1">
        <v>372.12390373956327</v>
      </c>
      <c r="N261" s="7">
        <v>45947</v>
      </c>
      <c r="O261" s="1">
        <v>20000</v>
      </c>
      <c r="P261" s="7">
        <v>46319.123903738429</v>
      </c>
      <c r="Q261" s="1" t="s">
        <v>330</v>
      </c>
      <c r="T261" s="1" t="s">
        <v>347</v>
      </c>
      <c r="U261" s="1" t="s">
        <v>348</v>
      </c>
      <c r="V261" s="1">
        <v>1</v>
      </c>
      <c r="W261" s="3">
        <v>19410.240000000002</v>
      </c>
      <c r="X261" s="3">
        <v>19410.240000000002</v>
      </c>
      <c r="Y261" s="1" t="str">
        <f>VLOOKUP(A261,[1]Detalle!$D$2:$CR$484,93,FALSE)</f>
        <v>CCUDyAZA</v>
      </c>
    </row>
    <row r="262" spans="1:25" ht="14.25" customHeight="1" x14ac:dyDescent="0.3">
      <c r="A262" s="1" t="s">
        <v>60</v>
      </c>
      <c r="B262" s="1" t="s">
        <v>343</v>
      </c>
      <c r="C262" s="1" t="s">
        <v>343</v>
      </c>
      <c r="D262" s="1" t="s">
        <v>344</v>
      </c>
      <c r="E262" s="6">
        <v>45611</v>
      </c>
      <c r="F262" s="1">
        <v>29476</v>
      </c>
      <c r="G262" s="1">
        <v>49476</v>
      </c>
      <c r="H262" s="1">
        <v>12799.580000000011</v>
      </c>
      <c r="I262" s="1">
        <v>7200.4199999999892</v>
      </c>
      <c r="J262" s="1">
        <v>42275.580000000009</v>
      </c>
      <c r="K262" s="1">
        <v>336</v>
      </c>
      <c r="L262" s="1">
        <v>40.312058823529441</v>
      </c>
      <c r="M262" s="1">
        <v>189.0172271277647</v>
      </c>
      <c r="N262" s="7">
        <v>45947</v>
      </c>
      <c r="O262" s="1">
        <v>20000</v>
      </c>
      <c r="P262" s="7">
        <v>46136.017227129632</v>
      </c>
      <c r="Q262" s="1" t="s">
        <v>330</v>
      </c>
      <c r="T262" s="1" t="s">
        <v>345</v>
      </c>
      <c r="U262" s="1" t="s">
        <v>346</v>
      </c>
      <c r="V262" s="1">
        <v>1</v>
      </c>
      <c r="W262" s="3">
        <v>10535.04</v>
      </c>
      <c r="X262" s="3">
        <v>10535.04</v>
      </c>
      <c r="Y262" s="1" t="str">
        <f>VLOOKUP(A262,[1]Detalle!$D$2:$CR$484,93,FALSE)</f>
        <v>CCUDyAZA</v>
      </c>
    </row>
    <row r="263" spans="1:25" ht="14.25" customHeight="1" x14ac:dyDescent="0.3">
      <c r="A263" s="1" t="s">
        <v>60</v>
      </c>
      <c r="B263" s="1" t="s">
        <v>343</v>
      </c>
      <c r="C263" s="1" t="s">
        <v>343</v>
      </c>
      <c r="D263" s="1" t="s">
        <v>344</v>
      </c>
      <c r="E263" s="6">
        <v>45611</v>
      </c>
      <c r="F263" s="1">
        <v>29476</v>
      </c>
      <c r="G263" s="1">
        <v>49476</v>
      </c>
      <c r="H263" s="1">
        <v>12799.580000000011</v>
      </c>
      <c r="I263" s="1">
        <v>7200.4199999999892</v>
      </c>
      <c r="J263" s="1">
        <v>42275.580000000009</v>
      </c>
      <c r="K263" s="1">
        <v>336</v>
      </c>
      <c r="L263" s="1">
        <v>40.312058823529441</v>
      </c>
      <c r="M263" s="1">
        <v>189.0172271277647</v>
      </c>
      <c r="N263" s="7">
        <v>45947</v>
      </c>
      <c r="O263" s="1">
        <v>20000</v>
      </c>
      <c r="P263" s="7">
        <v>46136.017227129632</v>
      </c>
      <c r="Q263" s="1" t="s">
        <v>330</v>
      </c>
      <c r="T263" s="1" t="s">
        <v>347</v>
      </c>
      <c r="U263" s="1" t="s">
        <v>348</v>
      </c>
      <c r="V263" s="1">
        <v>1</v>
      </c>
      <c r="W263" s="3">
        <v>19410.240000000002</v>
      </c>
      <c r="X263" s="3">
        <v>19410.240000000002</v>
      </c>
      <c r="Y263" s="1" t="str">
        <f>VLOOKUP(A263,[1]Detalle!$D$2:$CR$484,93,FALSE)</f>
        <v>CCUDyAZA</v>
      </c>
    </row>
    <row r="264" spans="1:25" ht="14.25" customHeight="1" x14ac:dyDescent="0.3">
      <c r="A264" s="1" t="s">
        <v>165</v>
      </c>
      <c r="B264" s="1" t="s">
        <v>343</v>
      </c>
      <c r="C264" s="1" t="s">
        <v>343</v>
      </c>
      <c r="D264" s="1" t="s">
        <v>344</v>
      </c>
      <c r="E264" s="6">
        <v>45825</v>
      </c>
      <c r="F264" s="1">
        <v>860822</v>
      </c>
      <c r="G264" s="1">
        <v>880822</v>
      </c>
      <c r="H264" s="1">
        <v>4797.9999999999991</v>
      </c>
      <c r="I264" s="1">
        <v>15202</v>
      </c>
      <c r="J264" s="1">
        <v>865620</v>
      </c>
      <c r="K264" s="1">
        <v>122</v>
      </c>
      <c r="L264" s="1">
        <v>70.738193548387088</v>
      </c>
      <c r="M264" s="1">
        <v>386.54522717799091</v>
      </c>
      <c r="N264" s="7">
        <v>45947</v>
      </c>
      <c r="O264" s="1">
        <v>20000</v>
      </c>
      <c r="P264" s="7">
        <v>46333.545227175928</v>
      </c>
      <c r="Q264" s="1" t="s">
        <v>330</v>
      </c>
      <c r="T264" s="1" t="s">
        <v>345</v>
      </c>
      <c r="U264" s="1" t="s">
        <v>346</v>
      </c>
      <c r="V264" s="1">
        <v>1</v>
      </c>
      <c r="W264" s="3">
        <v>10535.04</v>
      </c>
      <c r="X264" s="3">
        <v>10535.04</v>
      </c>
      <c r="Y264" s="1" t="str">
        <f>VLOOKUP(A264,[1]Detalle!$D$2:$CR$484,93,FALSE)</f>
        <v>Papelera - Papelera del Plata S.A.</v>
      </c>
    </row>
    <row r="265" spans="1:25" ht="14.25" customHeight="1" x14ac:dyDescent="0.3">
      <c r="A265" s="1" t="s">
        <v>165</v>
      </c>
      <c r="B265" s="1" t="s">
        <v>343</v>
      </c>
      <c r="C265" s="1" t="s">
        <v>343</v>
      </c>
      <c r="D265" s="1" t="s">
        <v>344</v>
      </c>
      <c r="E265" s="6">
        <v>45825</v>
      </c>
      <c r="F265" s="1">
        <v>860822</v>
      </c>
      <c r="G265" s="1">
        <v>880822</v>
      </c>
      <c r="H265" s="1">
        <v>4797.9999999999991</v>
      </c>
      <c r="I265" s="1">
        <v>15202</v>
      </c>
      <c r="J265" s="1">
        <v>865620</v>
      </c>
      <c r="K265" s="1">
        <v>122</v>
      </c>
      <c r="L265" s="1">
        <v>70.738193548387088</v>
      </c>
      <c r="M265" s="1">
        <v>386.54522717799091</v>
      </c>
      <c r="N265" s="7">
        <v>45947</v>
      </c>
      <c r="O265" s="1">
        <v>20000</v>
      </c>
      <c r="P265" s="7">
        <v>46333.545227175928</v>
      </c>
      <c r="Q265" s="1" t="s">
        <v>330</v>
      </c>
      <c r="T265" s="1" t="s">
        <v>347</v>
      </c>
      <c r="U265" s="1" t="s">
        <v>348</v>
      </c>
      <c r="V265" s="1">
        <v>1</v>
      </c>
      <c r="W265" s="3">
        <v>19410.240000000002</v>
      </c>
      <c r="X265" s="3">
        <v>19410.240000000002</v>
      </c>
      <c r="Y265" s="1" t="str">
        <f>VLOOKUP(A265,[1]Detalle!$D$2:$CR$484,93,FALSE)</f>
        <v>Papelera - Papelera del Plata S.A.</v>
      </c>
    </row>
    <row r="266" spans="1:25" ht="14.25" customHeight="1" x14ac:dyDescent="0.3">
      <c r="A266" s="1" t="s">
        <v>167</v>
      </c>
      <c r="B266" s="1" t="s">
        <v>343</v>
      </c>
      <c r="C266" s="1" t="s">
        <v>343</v>
      </c>
      <c r="D266" s="1" t="s">
        <v>344</v>
      </c>
      <c r="E266" s="6">
        <v>45833</v>
      </c>
      <c r="F266" s="1">
        <v>693855</v>
      </c>
      <c r="G266" s="1">
        <v>713855</v>
      </c>
      <c r="H266" s="1">
        <v>5947.7000000000025</v>
      </c>
      <c r="I266" s="1">
        <v>14052.3</v>
      </c>
      <c r="J266" s="1">
        <v>699802.7</v>
      </c>
      <c r="K266" s="1">
        <v>114</v>
      </c>
      <c r="L266" s="1">
        <v>54.087953795379541</v>
      </c>
      <c r="M266" s="1">
        <v>269.34145972392668</v>
      </c>
      <c r="N266" s="7">
        <v>45947</v>
      </c>
      <c r="O266" s="1">
        <v>20000</v>
      </c>
      <c r="P266" s="7">
        <v>46216.341459722222</v>
      </c>
      <c r="Q266" s="1" t="s">
        <v>330</v>
      </c>
      <c r="T266" s="1" t="s">
        <v>345</v>
      </c>
      <c r="U266" s="1" t="s">
        <v>346</v>
      </c>
      <c r="V266" s="1">
        <v>1</v>
      </c>
      <c r="W266" s="3">
        <v>10535.04</v>
      </c>
      <c r="X266" s="3">
        <v>10535.04</v>
      </c>
      <c r="Y266" s="1" t="str">
        <f>VLOOKUP(A266,[1]Detalle!$D$2:$CR$484,93,FALSE)</f>
        <v>Papelera - Papelera del Plata S.A.</v>
      </c>
    </row>
    <row r="267" spans="1:25" ht="14.25" customHeight="1" x14ac:dyDescent="0.3">
      <c r="A267" s="1" t="s">
        <v>167</v>
      </c>
      <c r="B267" s="1" t="s">
        <v>343</v>
      </c>
      <c r="C267" s="1" t="s">
        <v>343</v>
      </c>
      <c r="D267" s="1" t="s">
        <v>344</v>
      </c>
      <c r="E267" s="6">
        <v>45833</v>
      </c>
      <c r="F267" s="1">
        <v>693855</v>
      </c>
      <c r="G267" s="1">
        <v>713855</v>
      </c>
      <c r="H267" s="1">
        <v>5947.7000000000025</v>
      </c>
      <c r="I267" s="1">
        <v>14052.3</v>
      </c>
      <c r="J267" s="1">
        <v>699802.7</v>
      </c>
      <c r="K267" s="1">
        <v>114</v>
      </c>
      <c r="L267" s="1">
        <v>54.087953795379541</v>
      </c>
      <c r="M267" s="1">
        <v>269.34145972392668</v>
      </c>
      <c r="N267" s="7">
        <v>45947</v>
      </c>
      <c r="O267" s="1">
        <v>20000</v>
      </c>
      <c r="P267" s="7">
        <v>46216.341459722222</v>
      </c>
      <c r="Q267" s="1" t="s">
        <v>330</v>
      </c>
      <c r="T267" s="1" t="s">
        <v>347</v>
      </c>
      <c r="U267" s="1" t="s">
        <v>348</v>
      </c>
      <c r="V267" s="1">
        <v>1</v>
      </c>
      <c r="W267" s="3">
        <v>19410.240000000002</v>
      </c>
      <c r="X267" s="3">
        <v>19410.240000000002</v>
      </c>
      <c r="Y267" s="1" t="str">
        <f>VLOOKUP(A267,[1]Detalle!$D$2:$CR$484,93,FALSE)</f>
        <v>Papelera - Papelera del Plata S.A.</v>
      </c>
    </row>
    <row r="268" spans="1:25" ht="14.25" customHeight="1" x14ac:dyDescent="0.3">
      <c r="A268" s="1" t="s">
        <v>168</v>
      </c>
      <c r="B268" s="1" t="s">
        <v>343</v>
      </c>
      <c r="C268" s="1" t="s">
        <v>343</v>
      </c>
      <c r="D268" s="1" t="s">
        <v>344</v>
      </c>
      <c r="E268" s="6">
        <v>45831</v>
      </c>
      <c r="F268" s="1">
        <v>561820</v>
      </c>
      <c r="G268" s="1">
        <v>581820</v>
      </c>
      <c r="H268" s="1">
        <v>11303.6</v>
      </c>
      <c r="I268" s="1">
        <v>8696.4</v>
      </c>
      <c r="J268" s="1">
        <v>573123.6</v>
      </c>
      <c r="K268" s="1">
        <v>116</v>
      </c>
      <c r="L268" s="1">
        <v>80.547755775577556</v>
      </c>
      <c r="M268" s="1">
        <v>89.244346933720223</v>
      </c>
      <c r="N268" s="7">
        <v>45947</v>
      </c>
      <c r="O268" s="1">
        <v>20000</v>
      </c>
      <c r="P268" s="7">
        <v>46036.244346932872</v>
      </c>
      <c r="Q268" s="1" t="s">
        <v>330</v>
      </c>
      <c r="T268" s="1" t="s">
        <v>345</v>
      </c>
      <c r="U268" s="1" t="s">
        <v>346</v>
      </c>
      <c r="V268" s="1">
        <v>1</v>
      </c>
      <c r="W268" s="3">
        <v>10535.04</v>
      </c>
      <c r="X268" s="3">
        <v>10535.04</v>
      </c>
      <c r="Y268" s="1" t="str">
        <f>VLOOKUP(A268,[1]Detalle!$D$2:$CR$484,93,FALSE)</f>
        <v>Unilever - Unilever de Arg. S.A.</v>
      </c>
    </row>
    <row r="269" spans="1:25" ht="14.25" customHeight="1" x14ac:dyDescent="0.3">
      <c r="A269" s="1" t="s">
        <v>168</v>
      </c>
      <c r="B269" s="1" t="s">
        <v>343</v>
      </c>
      <c r="C269" s="1" t="s">
        <v>343</v>
      </c>
      <c r="D269" s="1" t="s">
        <v>344</v>
      </c>
      <c r="E269" s="6">
        <v>45831</v>
      </c>
      <c r="F269" s="1">
        <v>561820</v>
      </c>
      <c r="G269" s="1">
        <v>581820</v>
      </c>
      <c r="H269" s="1">
        <v>11303.6</v>
      </c>
      <c r="I269" s="1">
        <v>8696.4</v>
      </c>
      <c r="J269" s="1">
        <v>573123.6</v>
      </c>
      <c r="K269" s="1">
        <v>116</v>
      </c>
      <c r="L269" s="1">
        <v>80.547755775577556</v>
      </c>
      <c r="M269" s="1">
        <v>89.244346933720223</v>
      </c>
      <c r="N269" s="7">
        <v>45947</v>
      </c>
      <c r="O269" s="1">
        <v>20000</v>
      </c>
      <c r="P269" s="7">
        <v>46036.244346932872</v>
      </c>
      <c r="Q269" s="1" t="s">
        <v>330</v>
      </c>
      <c r="T269" s="1" t="s">
        <v>347</v>
      </c>
      <c r="U269" s="1" t="s">
        <v>348</v>
      </c>
      <c r="V269" s="1">
        <v>1</v>
      </c>
      <c r="W269" s="3">
        <v>19410.240000000002</v>
      </c>
      <c r="X269" s="3">
        <v>19410.240000000002</v>
      </c>
      <c r="Y269" s="1" t="str">
        <f>VLOOKUP(A269,[1]Detalle!$D$2:$CR$484,93,FALSE)</f>
        <v>Unilever - Unilever de Arg. S.A.</v>
      </c>
    </row>
    <row r="270" spans="1:25" ht="14.25" customHeight="1" x14ac:dyDescent="0.3">
      <c r="A270" s="1" t="s">
        <v>174</v>
      </c>
      <c r="B270" s="1" t="s">
        <v>343</v>
      </c>
      <c r="C270" s="1" t="s">
        <v>343</v>
      </c>
      <c r="D270" s="1" t="s">
        <v>344</v>
      </c>
      <c r="E270" s="6">
        <v>45834</v>
      </c>
      <c r="F270" s="1">
        <v>23886.799999999999</v>
      </c>
      <c r="G270" s="1">
        <v>43886.8</v>
      </c>
      <c r="H270" s="1">
        <v>11552.1</v>
      </c>
      <c r="I270" s="1">
        <v>8447.9000000000033</v>
      </c>
      <c r="J270" s="1">
        <v>35438.899999999987</v>
      </c>
      <c r="K270" s="1">
        <v>113</v>
      </c>
      <c r="L270" s="1">
        <v>71.271935483870948</v>
      </c>
      <c r="M270" s="1">
        <v>82.635425593615068</v>
      </c>
      <c r="N270" s="7">
        <v>45947</v>
      </c>
      <c r="O270" s="1">
        <v>20000</v>
      </c>
      <c r="P270" s="7">
        <v>46029.635425590277</v>
      </c>
      <c r="Q270" s="1" t="s">
        <v>330</v>
      </c>
      <c r="T270" s="1" t="s">
        <v>345</v>
      </c>
      <c r="U270" s="1" t="s">
        <v>346</v>
      </c>
      <c r="V270" s="1">
        <v>1</v>
      </c>
      <c r="W270" s="3">
        <v>10535.04</v>
      </c>
      <c r="X270" s="3">
        <v>10535.04</v>
      </c>
      <c r="Y270" s="1" t="str">
        <f>VLOOKUP(A270,[1]Detalle!$D$2:$CR$484,93,FALSE)</f>
        <v>Unilever - Unilever de Arg. S.A.</v>
      </c>
    </row>
    <row r="271" spans="1:25" ht="14.25" customHeight="1" x14ac:dyDescent="0.3">
      <c r="A271" s="1" t="s">
        <v>174</v>
      </c>
      <c r="B271" s="1" t="s">
        <v>343</v>
      </c>
      <c r="C271" s="1" t="s">
        <v>343</v>
      </c>
      <c r="D271" s="1" t="s">
        <v>344</v>
      </c>
      <c r="E271" s="6">
        <v>45834</v>
      </c>
      <c r="F271" s="1">
        <v>23886.799999999999</v>
      </c>
      <c r="G271" s="1">
        <v>43886.8</v>
      </c>
      <c r="H271" s="1">
        <v>11552.1</v>
      </c>
      <c r="I271" s="1">
        <v>8447.9000000000033</v>
      </c>
      <c r="J271" s="1">
        <v>35438.899999999987</v>
      </c>
      <c r="K271" s="1">
        <v>113</v>
      </c>
      <c r="L271" s="1">
        <v>71.271935483870948</v>
      </c>
      <c r="M271" s="1">
        <v>82.635425593615068</v>
      </c>
      <c r="N271" s="7">
        <v>45947</v>
      </c>
      <c r="O271" s="1">
        <v>20000</v>
      </c>
      <c r="P271" s="7">
        <v>46029.635425590277</v>
      </c>
      <c r="Q271" s="1" t="s">
        <v>330</v>
      </c>
      <c r="T271" s="1" t="s">
        <v>347</v>
      </c>
      <c r="U271" s="1" t="s">
        <v>348</v>
      </c>
      <c r="V271" s="1">
        <v>1</v>
      </c>
      <c r="W271" s="3">
        <v>19410.240000000002</v>
      </c>
      <c r="X271" s="3">
        <v>19410.240000000002</v>
      </c>
      <c r="Y271" s="1" t="str">
        <f>VLOOKUP(A271,[1]Detalle!$D$2:$CR$484,93,FALSE)</f>
        <v>Unilever - Unilever de Arg. S.A.</v>
      </c>
    </row>
    <row r="272" spans="1:25" ht="14.25" customHeight="1" x14ac:dyDescent="0.3">
      <c r="A272" s="1" t="s">
        <v>108</v>
      </c>
      <c r="B272" s="1" t="s">
        <v>343</v>
      </c>
      <c r="C272" s="1" t="s">
        <v>343</v>
      </c>
      <c r="D272" s="1" t="s">
        <v>344</v>
      </c>
      <c r="E272" s="6">
        <v>45798</v>
      </c>
      <c r="F272" s="1">
        <v>32992.1</v>
      </c>
      <c r="G272" s="1">
        <v>52992.1</v>
      </c>
      <c r="H272" s="1">
        <v>9749.2999999999993</v>
      </c>
      <c r="I272" s="1">
        <v>10250.700000000001</v>
      </c>
      <c r="J272" s="1">
        <v>42741.399999999987</v>
      </c>
      <c r="K272" s="1">
        <v>149</v>
      </c>
      <c r="L272" s="1">
        <v>52.850396039603943</v>
      </c>
      <c r="M272" s="1">
        <v>156.6629706748177</v>
      </c>
      <c r="N272" s="7">
        <v>45947</v>
      </c>
      <c r="O272" s="1">
        <v>20000</v>
      </c>
      <c r="P272" s="7">
        <v>46103.662970671299</v>
      </c>
      <c r="Q272" s="1" t="s">
        <v>330</v>
      </c>
      <c r="T272" s="1" t="s">
        <v>345</v>
      </c>
      <c r="U272" s="1" t="s">
        <v>346</v>
      </c>
      <c r="V272" s="1">
        <v>1</v>
      </c>
      <c r="W272" s="3">
        <v>10535.04</v>
      </c>
      <c r="X272" s="3">
        <v>10535.04</v>
      </c>
      <c r="Y272" s="1" t="str">
        <f>VLOOKUP(A272,[1]Detalle!$D$2:$CR$484,93,FALSE)</f>
        <v>JOHNSON - SC JOHNSON DE ARGENTINA SAIC</v>
      </c>
    </row>
    <row r="273" spans="1:25" ht="14.25" customHeight="1" x14ac:dyDescent="0.3">
      <c r="A273" s="1" t="s">
        <v>108</v>
      </c>
      <c r="B273" s="1" t="s">
        <v>343</v>
      </c>
      <c r="C273" s="1" t="s">
        <v>343</v>
      </c>
      <c r="D273" s="1" t="s">
        <v>344</v>
      </c>
      <c r="E273" s="6">
        <v>45798</v>
      </c>
      <c r="F273" s="1">
        <v>32992.1</v>
      </c>
      <c r="G273" s="1">
        <v>52992.1</v>
      </c>
      <c r="H273" s="1">
        <v>9749.2999999999993</v>
      </c>
      <c r="I273" s="1">
        <v>10250.700000000001</v>
      </c>
      <c r="J273" s="1">
        <v>42741.399999999987</v>
      </c>
      <c r="K273" s="1">
        <v>149</v>
      </c>
      <c r="L273" s="1">
        <v>52.850396039603943</v>
      </c>
      <c r="M273" s="1">
        <v>156.6629706748177</v>
      </c>
      <c r="N273" s="7">
        <v>45947</v>
      </c>
      <c r="O273" s="1">
        <v>20000</v>
      </c>
      <c r="P273" s="7">
        <v>46103.662970671299</v>
      </c>
      <c r="Q273" s="1" t="s">
        <v>330</v>
      </c>
      <c r="T273" s="1" t="s">
        <v>347</v>
      </c>
      <c r="U273" s="1" t="s">
        <v>348</v>
      </c>
      <c r="V273" s="1">
        <v>1</v>
      </c>
      <c r="W273" s="3">
        <v>19410.240000000002</v>
      </c>
      <c r="X273" s="3">
        <v>19410.240000000002</v>
      </c>
      <c r="Y273" s="1" t="str">
        <f>VLOOKUP(A273,[1]Detalle!$D$2:$CR$484,93,FALSE)</f>
        <v>JOHNSON - SC JOHNSON DE ARGENTINA SAIC</v>
      </c>
    </row>
    <row r="274" spans="1:25" ht="14.25" customHeight="1" x14ac:dyDescent="0.3">
      <c r="A274" s="1" t="s">
        <v>257</v>
      </c>
      <c r="B274" s="1" t="s">
        <v>343</v>
      </c>
      <c r="C274" s="1" t="s">
        <v>343</v>
      </c>
      <c r="D274" s="1" t="s">
        <v>344</v>
      </c>
      <c r="E274" s="6">
        <v>45929</v>
      </c>
      <c r="F274" s="1">
        <v>241798</v>
      </c>
      <c r="G274" s="1">
        <v>261798</v>
      </c>
      <c r="H274" s="1">
        <v>0</v>
      </c>
      <c r="I274" s="1">
        <v>20000</v>
      </c>
      <c r="J274" s="1">
        <v>241798</v>
      </c>
      <c r="K274" s="1">
        <v>18</v>
      </c>
      <c r="L274" s="1">
        <v>32.336013071895437</v>
      </c>
      <c r="M274" s="1">
        <v>200</v>
      </c>
      <c r="N274" s="7">
        <v>45947</v>
      </c>
      <c r="O274" s="1">
        <v>20000</v>
      </c>
      <c r="P274" s="7">
        <v>46147</v>
      </c>
      <c r="Q274" s="1" t="s">
        <v>330</v>
      </c>
      <c r="T274" s="1" t="s">
        <v>345</v>
      </c>
      <c r="U274" s="1" t="s">
        <v>346</v>
      </c>
      <c r="V274" s="1">
        <v>1</v>
      </c>
      <c r="W274" s="3">
        <v>10535.04</v>
      </c>
      <c r="X274" s="3">
        <v>10535.04</v>
      </c>
      <c r="Y274" s="1" t="str">
        <f>VLOOKUP(A274,[1]Detalle!$D$2:$CR$484,93,FALSE)</f>
        <v>CMQ_TTE - QUILMES TTE</v>
      </c>
    </row>
    <row r="275" spans="1:25" ht="14.25" customHeight="1" x14ac:dyDescent="0.3">
      <c r="A275" s="1" t="s">
        <v>257</v>
      </c>
      <c r="B275" s="1" t="s">
        <v>343</v>
      </c>
      <c r="C275" s="1" t="s">
        <v>343</v>
      </c>
      <c r="D275" s="1" t="s">
        <v>344</v>
      </c>
      <c r="E275" s="6">
        <v>45929</v>
      </c>
      <c r="F275" s="1">
        <v>241798</v>
      </c>
      <c r="G275" s="1">
        <v>261798</v>
      </c>
      <c r="H275" s="1">
        <v>0</v>
      </c>
      <c r="I275" s="1">
        <v>20000</v>
      </c>
      <c r="J275" s="1">
        <v>241798</v>
      </c>
      <c r="K275" s="1">
        <v>18</v>
      </c>
      <c r="L275" s="1">
        <v>32.336013071895437</v>
      </c>
      <c r="M275" s="1">
        <v>200</v>
      </c>
      <c r="N275" s="7">
        <v>45947</v>
      </c>
      <c r="O275" s="1">
        <v>20000</v>
      </c>
      <c r="P275" s="7">
        <v>46147</v>
      </c>
      <c r="Q275" s="1" t="s">
        <v>330</v>
      </c>
      <c r="T275" s="1" t="s">
        <v>347</v>
      </c>
      <c r="U275" s="1" t="s">
        <v>348</v>
      </c>
      <c r="V275" s="1">
        <v>1</v>
      </c>
      <c r="W275" s="3">
        <v>19410.240000000002</v>
      </c>
      <c r="X275" s="3">
        <v>19410.240000000002</v>
      </c>
      <c r="Y275" s="1" t="str">
        <f>VLOOKUP(A275,[1]Detalle!$D$2:$CR$484,93,FALSE)</f>
        <v>CMQ_TTE - QUILMES TTE</v>
      </c>
    </row>
    <row r="276" spans="1:25" ht="14.25" customHeight="1" x14ac:dyDescent="0.3">
      <c r="A276" s="1" t="s">
        <v>264</v>
      </c>
      <c r="B276" s="1" t="s">
        <v>343</v>
      </c>
      <c r="C276" s="1" t="s">
        <v>343</v>
      </c>
      <c r="D276" s="1" t="s">
        <v>344</v>
      </c>
      <c r="E276" s="6">
        <v>45609</v>
      </c>
      <c r="F276" s="1">
        <v>129732</v>
      </c>
      <c r="G276" s="1">
        <v>149732</v>
      </c>
      <c r="H276" s="1">
        <v>10886.77</v>
      </c>
      <c r="I276" s="1">
        <v>9113.23</v>
      </c>
      <c r="J276" s="1">
        <v>140618.76999999999</v>
      </c>
      <c r="K276" s="1">
        <v>338</v>
      </c>
      <c r="L276" s="1">
        <v>28.6525</v>
      </c>
      <c r="M276" s="1">
        <v>282.93715583226242</v>
      </c>
      <c r="N276" s="7">
        <v>45947</v>
      </c>
      <c r="O276" s="1">
        <v>20000</v>
      </c>
      <c r="P276" s="7">
        <v>46229.937155833337</v>
      </c>
      <c r="Q276" s="1" t="s">
        <v>330</v>
      </c>
      <c r="T276" s="1" t="s">
        <v>345</v>
      </c>
      <c r="U276" s="1" t="s">
        <v>346</v>
      </c>
      <c r="V276" s="1">
        <v>1</v>
      </c>
      <c r="W276" s="3">
        <v>10535.04</v>
      </c>
      <c r="X276" s="3">
        <v>10535.04</v>
      </c>
      <c r="Y276" s="1" t="str">
        <f>VLOOKUP(A276,[1]Detalle!$D$2:$CR$484,93,FALSE)</f>
        <v>CMQ_TTE - QUILMES TTE</v>
      </c>
    </row>
    <row r="277" spans="1:25" ht="14.25" customHeight="1" x14ac:dyDescent="0.3">
      <c r="A277" s="1" t="s">
        <v>264</v>
      </c>
      <c r="B277" s="1" t="s">
        <v>343</v>
      </c>
      <c r="C277" s="1" t="s">
        <v>343</v>
      </c>
      <c r="D277" s="1" t="s">
        <v>344</v>
      </c>
      <c r="E277" s="6">
        <v>45609</v>
      </c>
      <c r="F277" s="1">
        <v>129732</v>
      </c>
      <c r="G277" s="1">
        <v>149732</v>
      </c>
      <c r="H277" s="1">
        <v>10886.77</v>
      </c>
      <c r="I277" s="1">
        <v>9113.23</v>
      </c>
      <c r="J277" s="1">
        <v>140618.76999999999</v>
      </c>
      <c r="K277" s="1">
        <v>338</v>
      </c>
      <c r="L277" s="1">
        <v>28.6525</v>
      </c>
      <c r="M277" s="1">
        <v>282.93715583226242</v>
      </c>
      <c r="N277" s="7">
        <v>45947</v>
      </c>
      <c r="O277" s="1">
        <v>20000</v>
      </c>
      <c r="P277" s="7">
        <v>46229.937155833337</v>
      </c>
      <c r="Q277" s="1" t="s">
        <v>330</v>
      </c>
      <c r="T277" s="1" t="s">
        <v>347</v>
      </c>
      <c r="U277" s="1" t="s">
        <v>348</v>
      </c>
      <c r="V277" s="1">
        <v>1</v>
      </c>
      <c r="W277" s="3">
        <v>19410.240000000002</v>
      </c>
      <c r="X277" s="3">
        <v>19410.240000000002</v>
      </c>
      <c r="Y277" s="1" t="str">
        <f>VLOOKUP(A277,[1]Detalle!$D$2:$CR$484,93,FALSE)</f>
        <v>CMQ_TTE - QUILMES TTE</v>
      </c>
    </row>
    <row r="278" spans="1:25" ht="14.25" customHeight="1" x14ac:dyDescent="0.3">
      <c r="A278" s="1" t="s">
        <v>217</v>
      </c>
      <c r="B278" s="1" t="s">
        <v>343</v>
      </c>
      <c r="C278" s="1" t="s">
        <v>343</v>
      </c>
      <c r="D278" s="1" t="s">
        <v>344</v>
      </c>
      <c r="E278" s="6">
        <v>45863</v>
      </c>
      <c r="F278" s="1">
        <v>474074</v>
      </c>
      <c r="G278" s="1">
        <v>494074</v>
      </c>
      <c r="H278" s="1">
        <v>5983.7999999999993</v>
      </c>
      <c r="I278" s="1">
        <v>14016.2</v>
      </c>
      <c r="J278" s="1">
        <v>480057.8</v>
      </c>
      <c r="K278" s="1">
        <v>84</v>
      </c>
      <c r="L278" s="1">
        <v>63.859032258064524</v>
      </c>
      <c r="M278" s="1">
        <v>196.7580467261607</v>
      </c>
      <c r="N278" s="7">
        <v>45947</v>
      </c>
      <c r="O278" s="1">
        <v>20000</v>
      </c>
      <c r="P278" s="7">
        <v>46143.758046724543</v>
      </c>
      <c r="Q278" s="1" t="s">
        <v>330</v>
      </c>
      <c r="T278" s="1" t="s">
        <v>345</v>
      </c>
      <c r="U278" s="1" t="s">
        <v>346</v>
      </c>
      <c r="V278" s="1">
        <v>1</v>
      </c>
      <c r="W278" s="3">
        <v>10535.04</v>
      </c>
      <c r="X278" s="3">
        <v>10535.04</v>
      </c>
      <c r="Y278" s="1" t="str">
        <f>VLOOKUP(A278,[1]Detalle!$D$2:$CR$484,93,FALSE)</f>
        <v>Papelera - Papelera del Plata S.A.</v>
      </c>
    </row>
    <row r="279" spans="1:25" ht="14.25" customHeight="1" x14ac:dyDescent="0.3">
      <c r="A279" s="1" t="s">
        <v>217</v>
      </c>
      <c r="B279" s="1" t="s">
        <v>343</v>
      </c>
      <c r="C279" s="1" t="s">
        <v>343</v>
      </c>
      <c r="D279" s="1" t="s">
        <v>344</v>
      </c>
      <c r="E279" s="6">
        <v>45863</v>
      </c>
      <c r="F279" s="1">
        <v>474074</v>
      </c>
      <c r="G279" s="1">
        <v>494074</v>
      </c>
      <c r="H279" s="1">
        <v>5983.7999999999993</v>
      </c>
      <c r="I279" s="1">
        <v>14016.2</v>
      </c>
      <c r="J279" s="1">
        <v>480057.8</v>
      </c>
      <c r="K279" s="1">
        <v>84</v>
      </c>
      <c r="L279" s="1">
        <v>63.859032258064524</v>
      </c>
      <c r="M279" s="1">
        <v>196.7580467261607</v>
      </c>
      <c r="N279" s="7">
        <v>45947</v>
      </c>
      <c r="O279" s="1">
        <v>20000</v>
      </c>
      <c r="P279" s="7">
        <v>46143.758046724543</v>
      </c>
      <c r="Q279" s="1" t="s">
        <v>330</v>
      </c>
      <c r="T279" s="1" t="s">
        <v>347</v>
      </c>
      <c r="U279" s="1" t="s">
        <v>348</v>
      </c>
      <c r="V279" s="1">
        <v>1</v>
      </c>
      <c r="W279" s="3">
        <v>19410.240000000002</v>
      </c>
      <c r="X279" s="3">
        <v>19410.240000000002</v>
      </c>
      <c r="Y279" s="1" t="str">
        <f>VLOOKUP(A279,[1]Detalle!$D$2:$CR$484,93,FALSE)</f>
        <v>Papelera - Papelera del Plata S.A.</v>
      </c>
    </row>
    <row r="280" spans="1:25" ht="14.25" customHeight="1" x14ac:dyDescent="0.3">
      <c r="A280" s="1" t="s">
        <v>78</v>
      </c>
      <c r="B280" s="1" t="s">
        <v>343</v>
      </c>
      <c r="C280" s="1" t="s">
        <v>343</v>
      </c>
      <c r="D280" s="1" t="s">
        <v>344</v>
      </c>
      <c r="E280" s="6">
        <v>45854</v>
      </c>
      <c r="F280" s="1">
        <v>41395.599999999999</v>
      </c>
      <c r="G280" s="1">
        <v>61395.6</v>
      </c>
      <c r="H280" s="1">
        <v>3758.2999999999979</v>
      </c>
      <c r="I280" s="1">
        <v>16241.7</v>
      </c>
      <c r="J280" s="1">
        <v>45153.899999999987</v>
      </c>
      <c r="K280" s="1">
        <v>93</v>
      </c>
      <c r="L280" s="1">
        <v>36.164383116883137</v>
      </c>
      <c r="M280" s="1">
        <v>401.90461112737171</v>
      </c>
      <c r="N280" s="7">
        <v>45947</v>
      </c>
      <c r="O280" s="1">
        <v>20000</v>
      </c>
      <c r="P280" s="7">
        <v>46348.904611122693</v>
      </c>
      <c r="Q280" s="1" t="s">
        <v>330</v>
      </c>
      <c r="T280" s="1" t="s">
        <v>345</v>
      </c>
      <c r="U280" s="1" t="s">
        <v>346</v>
      </c>
      <c r="V280" s="1">
        <v>1</v>
      </c>
      <c r="W280" s="3">
        <v>10535.04</v>
      </c>
      <c r="X280" s="3">
        <v>10535.04</v>
      </c>
      <c r="Y280" s="1" t="str">
        <f>VLOOKUP(A280,[1]Detalle!$D$2:$CR$484,93,FALSE)</f>
        <v>Papelera - Papelera del Plata S.A.</v>
      </c>
    </row>
    <row r="281" spans="1:25" ht="14.25" customHeight="1" x14ac:dyDescent="0.3">
      <c r="A281" s="1" t="s">
        <v>78</v>
      </c>
      <c r="B281" s="1" t="s">
        <v>343</v>
      </c>
      <c r="C281" s="1" t="s">
        <v>343</v>
      </c>
      <c r="D281" s="1" t="s">
        <v>344</v>
      </c>
      <c r="E281" s="6">
        <v>45854</v>
      </c>
      <c r="F281" s="1">
        <v>41395.599999999999</v>
      </c>
      <c r="G281" s="1">
        <v>61395.6</v>
      </c>
      <c r="H281" s="1">
        <v>3758.2999999999979</v>
      </c>
      <c r="I281" s="1">
        <v>16241.7</v>
      </c>
      <c r="J281" s="1">
        <v>45153.899999999987</v>
      </c>
      <c r="K281" s="1">
        <v>93</v>
      </c>
      <c r="L281" s="1">
        <v>36.164383116883137</v>
      </c>
      <c r="M281" s="1">
        <v>401.90461112737171</v>
      </c>
      <c r="N281" s="7">
        <v>45947</v>
      </c>
      <c r="O281" s="1">
        <v>20000</v>
      </c>
      <c r="P281" s="7">
        <v>46348.904611122693</v>
      </c>
      <c r="Q281" s="1" t="s">
        <v>330</v>
      </c>
      <c r="T281" s="1" t="s">
        <v>347</v>
      </c>
      <c r="U281" s="1" t="s">
        <v>348</v>
      </c>
      <c r="V281" s="1">
        <v>1</v>
      </c>
      <c r="W281" s="3">
        <v>19410.240000000002</v>
      </c>
      <c r="X281" s="3">
        <v>19410.240000000002</v>
      </c>
      <c r="Y281" s="1" t="str">
        <f>VLOOKUP(A281,[1]Detalle!$D$2:$CR$484,93,FALSE)</f>
        <v>Papelera - Papelera del Plata S.A.</v>
      </c>
    </row>
    <row r="282" spans="1:25" ht="14.25" customHeight="1" x14ac:dyDescent="0.3">
      <c r="A282" s="1" t="s">
        <v>82</v>
      </c>
      <c r="B282" s="1" t="s">
        <v>343</v>
      </c>
      <c r="C282" s="1" t="s">
        <v>343</v>
      </c>
      <c r="D282" s="1" t="s">
        <v>344</v>
      </c>
      <c r="E282" s="6">
        <v>45822</v>
      </c>
      <c r="F282" s="1">
        <v>71797</v>
      </c>
      <c r="G282" s="1">
        <v>91797</v>
      </c>
      <c r="H282" s="1">
        <v>0</v>
      </c>
      <c r="I282" s="1">
        <v>20000</v>
      </c>
      <c r="J282" s="1">
        <v>71797</v>
      </c>
      <c r="K282" s="1">
        <v>125</v>
      </c>
      <c r="L282" s="1">
        <v>4.7505769230769239</v>
      </c>
      <c r="M282" s="1">
        <v>200</v>
      </c>
      <c r="N282" s="7">
        <v>45947</v>
      </c>
      <c r="O282" s="1">
        <v>20000</v>
      </c>
      <c r="P282" s="7">
        <v>46147</v>
      </c>
      <c r="Q282" s="1" t="s">
        <v>330</v>
      </c>
      <c r="T282" s="1" t="s">
        <v>345</v>
      </c>
      <c r="U282" s="1" t="s">
        <v>346</v>
      </c>
      <c r="V282" s="1">
        <v>1</v>
      </c>
      <c r="W282" s="3">
        <v>10535.04</v>
      </c>
      <c r="X282" s="3">
        <v>10535.04</v>
      </c>
      <c r="Y282" s="1" t="str">
        <f>VLOOKUP(A282,[1]Detalle!$D$2:$CR$484,93,FALSE)</f>
        <v>CENCO_MZ - Cencosud SA - Mendoza</v>
      </c>
    </row>
    <row r="283" spans="1:25" ht="14.25" customHeight="1" x14ac:dyDescent="0.3">
      <c r="A283" s="1" t="s">
        <v>82</v>
      </c>
      <c r="B283" s="1" t="s">
        <v>343</v>
      </c>
      <c r="C283" s="1" t="s">
        <v>343</v>
      </c>
      <c r="D283" s="1" t="s">
        <v>344</v>
      </c>
      <c r="E283" s="6">
        <v>45822</v>
      </c>
      <c r="F283" s="1">
        <v>71797</v>
      </c>
      <c r="G283" s="1">
        <v>91797</v>
      </c>
      <c r="H283" s="1">
        <v>0</v>
      </c>
      <c r="I283" s="1">
        <v>20000</v>
      </c>
      <c r="J283" s="1">
        <v>71797</v>
      </c>
      <c r="K283" s="1">
        <v>125</v>
      </c>
      <c r="L283" s="1">
        <v>4.7505769230769239</v>
      </c>
      <c r="M283" s="1">
        <v>200</v>
      </c>
      <c r="N283" s="7">
        <v>45947</v>
      </c>
      <c r="O283" s="1">
        <v>20000</v>
      </c>
      <c r="P283" s="7">
        <v>46147</v>
      </c>
      <c r="Q283" s="1" t="s">
        <v>330</v>
      </c>
      <c r="T283" s="1" t="s">
        <v>347</v>
      </c>
      <c r="U283" s="1" t="s">
        <v>348</v>
      </c>
      <c r="V283" s="1">
        <v>1</v>
      </c>
      <c r="W283" s="3">
        <v>19410.240000000002</v>
      </c>
      <c r="X283" s="3">
        <v>19410.240000000002</v>
      </c>
      <c r="Y283" s="1" t="str">
        <f>VLOOKUP(A283,[1]Detalle!$D$2:$CR$484,93,FALSE)</f>
        <v>CENCO_MZ - Cencosud SA - Mendoza</v>
      </c>
    </row>
    <row r="284" spans="1:25" ht="14.25" customHeight="1" x14ac:dyDescent="0.3">
      <c r="A284" s="1" t="s">
        <v>127</v>
      </c>
      <c r="B284" s="1" t="s">
        <v>343</v>
      </c>
      <c r="C284" s="1" t="s">
        <v>343</v>
      </c>
      <c r="D284" s="1" t="s">
        <v>344</v>
      </c>
      <c r="E284" s="6">
        <v>45449</v>
      </c>
      <c r="F284" s="1">
        <v>384179.04200000002</v>
      </c>
      <c r="G284" s="1">
        <v>404179.04200000002</v>
      </c>
      <c r="H284" s="1">
        <v>14668.800000000019</v>
      </c>
      <c r="I284" s="1">
        <v>5331.1999999999834</v>
      </c>
      <c r="J284" s="1">
        <v>398847.84200000012</v>
      </c>
      <c r="K284" s="1">
        <v>498</v>
      </c>
      <c r="L284" s="1">
        <v>60</v>
      </c>
      <c r="M284" s="1">
        <v>180.99214659685779</v>
      </c>
      <c r="N284" s="7">
        <v>45947</v>
      </c>
      <c r="O284" s="1">
        <v>20000</v>
      </c>
      <c r="P284" s="7">
        <v>46280.333333333343</v>
      </c>
      <c r="Q284" s="1" t="s">
        <v>330</v>
      </c>
      <c r="T284" s="1" t="s">
        <v>345</v>
      </c>
      <c r="U284" s="1" t="s">
        <v>346</v>
      </c>
      <c r="V284" s="1">
        <v>1</v>
      </c>
      <c r="W284" s="3">
        <v>10535.04</v>
      </c>
      <c r="X284" s="3">
        <v>10535.04</v>
      </c>
      <c r="Y284" s="1" t="str">
        <f>VLOOKUP(A284,[1]Detalle!$D$2:$CR$484,93,FALSE)</f>
        <v>Sin Operación</v>
      </c>
    </row>
    <row r="285" spans="1:25" ht="14.25" customHeight="1" x14ac:dyDescent="0.3">
      <c r="A285" s="1" t="s">
        <v>127</v>
      </c>
      <c r="B285" s="1" t="s">
        <v>343</v>
      </c>
      <c r="C285" s="1" t="s">
        <v>343</v>
      </c>
      <c r="D285" s="1" t="s">
        <v>344</v>
      </c>
      <c r="E285" s="6">
        <v>45449</v>
      </c>
      <c r="F285" s="1">
        <v>384179.04200000002</v>
      </c>
      <c r="G285" s="1">
        <v>404179.04200000002</v>
      </c>
      <c r="H285" s="1">
        <v>14668.800000000019</v>
      </c>
      <c r="I285" s="1">
        <v>5331.1999999999834</v>
      </c>
      <c r="J285" s="1">
        <v>398847.84200000012</v>
      </c>
      <c r="K285" s="1">
        <v>498</v>
      </c>
      <c r="L285" s="1">
        <v>60</v>
      </c>
      <c r="M285" s="1">
        <v>180.99214659685779</v>
      </c>
      <c r="N285" s="7">
        <v>45947</v>
      </c>
      <c r="O285" s="1">
        <v>20000</v>
      </c>
      <c r="P285" s="7">
        <v>46280.333333333343</v>
      </c>
      <c r="Q285" s="1" t="s">
        <v>330</v>
      </c>
      <c r="T285" s="1" t="s">
        <v>347</v>
      </c>
      <c r="U285" s="1" t="s">
        <v>348</v>
      </c>
      <c r="V285" s="1">
        <v>1</v>
      </c>
      <c r="W285" s="3">
        <v>19410.240000000002</v>
      </c>
      <c r="X285" s="3">
        <v>19410.240000000002</v>
      </c>
      <c r="Y285" s="1" t="str">
        <f>VLOOKUP(A285,[1]Detalle!$D$2:$CR$484,93,FALSE)</f>
        <v>Sin Operación</v>
      </c>
    </row>
    <row r="286" spans="1:25" ht="14.25" customHeight="1" x14ac:dyDescent="0.3">
      <c r="A286" s="1" t="s">
        <v>19</v>
      </c>
      <c r="B286" s="1" t="s">
        <v>545</v>
      </c>
      <c r="C286" s="1" t="s">
        <v>545</v>
      </c>
      <c r="D286" s="1" t="s">
        <v>546</v>
      </c>
      <c r="E286" s="6">
        <v>45810</v>
      </c>
      <c r="F286" s="1">
        <v>514062</v>
      </c>
      <c r="G286" s="1">
        <v>614062</v>
      </c>
      <c r="H286" s="1">
        <v>41148.6</v>
      </c>
      <c r="I286" s="1">
        <v>58851.4</v>
      </c>
      <c r="J286" s="1">
        <v>555210.6</v>
      </c>
      <c r="K286" s="1">
        <v>137</v>
      </c>
      <c r="L286" s="1">
        <v>844.57346863468638</v>
      </c>
      <c r="M286" s="1">
        <v>195.93963828660031</v>
      </c>
      <c r="N286" s="7">
        <v>45947</v>
      </c>
      <c r="O286" s="1">
        <v>100000</v>
      </c>
      <c r="P286" s="7">
        <v>46142.93963828704</v>
      </c>
      <c r="Q286" s="1" t="s">
        <v>330</v>
      </c>
      <c r="T286" s="1" t="s">
        <v>547</v>
      </c>
      <c r="U286" s="1" t="s">
        <v>548</v>
      </c>
      <c r="V286" s="1">
        <v>1</v>
      </c>
      <c r="W286" s="3">
        <v>39053.760000000002</v>
      </c>
      <c r="X286" s="3">
        <v>39053.760000000002</v>
      </c>
      <c r="Y286" s="1" t="str">
        <f>VLOOKUP(A286,[1]Detalle!$D$2:$CR$484,93,FALSE)</f>
        <v>CENCOMLD - Cencosud SA - Mendoza</v>
      </c>
    </row>
    <row r="287" spans="1:25" ht="14.25" customHeight="1" x14ac:dyDescent="0.3">
      <c r="A287" s="1" t="s">
        <v>5</v>
      </c>
      <c r="B287" s="1" t="s">
        <v>545</v>
      </c>
      <c r="C287" s="1" t="s">
        <v>545</v>
      </c>
      <c r="D287" s="1" t="s">
        <v>546</v>
      </c>
      <c r="E287" s="6">
        <v>45796</v>
      </c>
      <c r="F287" s="1">
        <v>680482</v>
      </c>
      <c r="G287" s="1">
        <v>780482</v>
      </c>
      <c r="H287" s="1">
        <v>39605.199999999997</v>
      </c>
      <c r="I287" s="1">
        <v>60394.8</v>
      </c>
      <c r="J287" s="1">
        <v>720087.2</v>
      </c>
      <c r="K287" s="1">
        <v>151</v>
      </c>
      <c r="L287" s="1">
        <v>276.33435114503811</v>
      </c>
      <c r="M287" s="1">
        <v>230.26306646601961</v>
      </c>
      <c r="N287" s="7">
        <v>45947</v>
      </c>
      <c r="O287" s="1">
        <v>100000</v>
      </c>
      <c r="P287" s="7">
        <v>46177.26306646991</v>
      </c>
      <c r="Q287" s="1" t="s">
        <v>330</v>
      </c>
      <c r="T287" s="1" t="s">
        <v>547</v>
      </c>
      <c r="U287" s="1" t="s">
        <v>548</v>
      </c>
      <c r="V287" s="1">
        <v>1</v>
      </c>
      <c r="W287" s="3">
        <v>39053.760000000002</v>
      </c>
      <c r="X287" s="3">
        <v>39053.760000000002</v>
      </c>
      <c r="Y287" s="1" t="str">
        <f>VLOOKUP(A287,[1]Detalle!$D$2:$CR$484,93,FALSE)</f>
        <v>ADA_CH - Danone Arg. S.A. - Chascomus</v>
      </c>
    </row>
    <row r="288" spans="1:25" ht="14.25" customHeight="1" x14ac:dyDescent="0.3">
      <c r="A288" s="1" t="s">
        <v>8</v>
      </c>
      <c r="B288" s="1" t="s">
        <v>545</v>
      </c>
      <c r="C288" s="1" t="s">
        <v>545</v>
      </c>
      <c r="D288" s="1" t="s">
        <v>546</v>
      </c>
      <c r="E288" s="6">
        <v>45342</v>
      </c>
      <c r="F288" s="1">
        <v>603123</v>
      </c>
      <c r="G288" s="1">
        <v>703123</v>
      </c>
      <c r="H288" s="1">
        <v>156976.30000000019</v>
      </c>
      <c r="I288" s="1">
        <v>-56976.300000000163</v>
      </c>
      <c r="J288" s="1">
        <v>760099.30000000016</v>
      </c>
      <c r="K288" s="1">
        <v>605</v>
      </c>
      <c r="L288" s="1">
        <v>286.50848708487092</v>
      </c>
      <c r="M288" s="1">
        <v>-219.5915020292876</v>
      </c>
      <c r="N288" s="7">
        <v>45947</v>
      </c>
      <c r="O288" s="1">
        <v>100000</v>
      </c>
      <c r="P288" s="7">
        <v>46296.029800185177</v>
      </c>
      <c r="Q288" s="1" t="s">
        <v>330</v>
      </c>
      <c r="T288" s="1" t="s">
        <v>547</v>
      </c>
      <c r="U288" s="1" t="s">
        <v>548</v>
      </c>
      <c r="V288" s="1">
        <v>1</v>
      </c>
      <c r="W288" s="3">
        <v>39053.760000000002</v>
      </c>
      <c r="X288" s="3">
        <v>39053.760000000002</v>
      </c>
      <c r="Y288" s="1" t="str">
        <f>VLOOKUP(A288,[1]Detalle!$D$2:$CR$484,93,FALSE)</f>
        <v>ADA_CH - Danone Arg. S.A. - Chascomus</v>
      </c>
    </row>
    <row r="289" spans="1:25" ht="14.25" customHeight="1" x14ac:dyDescent="0.3">
      <c r="A289" s="1" t="s">
        <v>11</v>
      </c>
      <c r="B289" s="1" t="s">
        <v>545</v>
      </c>
      <c r="C289" s="1" t="s">
        <v>545</v>
      </c>
      <c r="D289" s="1" t="s">
        <v>546</v>
      </c>
      <c r="E289" s="6">
        <v>45279</v>
      </c>
      <c r="F289" s="1">
        <v>601888</v>
      </c>
      <c r="G289" s="1">
        <v>701888</v>
      </c>
      <c r="H289" s="1">
        <v>134278.6</v>
      </c>
      <c r="I289" s="1">
        <v>-34278.599999999977</v>
      </c>
      <c r="J289" s="1">
        <v>736166.6</v>
      </c>
      <c r="K289" s="1">
        <v>668</v>
      </c>
      <c r="L289" s="1">
        <v>323.09338235294098</v>
      </c>
      <c r="M289" s="1">
        <v>-170.5268359962048</v>
      </c>
      <c r="N289" s="7">
        <v>45947</v>
      </c>
      <c r="O289" s="1">
        <v>100000</v>
      </c>
      <c r="P289" s="7">
        <v>46256.508041516201</v>
      </c>
      <c r="Q289" s="1" t="s">
        <v>330</v>
      </c>
      <c r="T289" s="1" t="s">
        <v>547</v>
      </c>
      <c r="U289" s="1" t="s">
        <v>548</v>
      </c>
      <c r="V289" s="1">
        <v>1</v>
      </c>
      <c r="W289" s="3">
        <v>39053.760000000002</v>
      </c>
      <c r="X289" s="3">
        <v>39053.760000000002</v>
      </c>
      <c r="Y289" s="1" t="str">
        <f>VLOOKUP(A289,[1]Detalle!$D$2:$CR$484,93,FALSE)</f>
        <v>ADA_CH - Danone Arg. S.A. - Chascomus</v>
      </c>
    </row>
    <row r="290" spans="1:25" ht="14.25" customHeight="1" x14ac:dyDescent="0.3">
      <c r="A290" s="1" t="s">
        <v>14</v>
      </c>
      <c r="B290" s="1" t="s">
        <v>545</v>
      </c>
      <c r="C290" s="1" t="s">
        <v>545</v>
      </c>
      <c r="D290" s="1" t="s">
        <v>546</v>
      </c>
      <c r="E290" s="6">
        <v>45609</v>
      </c>
      <c r="F290" s="1">
        <v>697704</v>
      </c>
      <c r="G290" s="1">
        <v>797704</v>
      </c>
      <c r="H290" s="1">
        <v>91593.199999999939</v>
      </c>
      <c r="I290" s="1">
        <v>8406.8000000000611</v>
      </c>
      <c r="J290" s="1">
        <v>789297.2</v>
      </c>
      <c r="K290" s="1">
        <v>338</v>
      </c>
      <c r="L290" s="1">
        <v>276.97442748091589</v>
      </c>
      <c r="M290" s="1">
        <v>31.023027910369141</v>
      </c>
      <c r="N290" s="7">
        <v>45947</v>
      </c>
      <c r="O290" s="1">
        <v>100000</v>
      </c>
      <c r="P290" s="7">
        <v>46339.067189675923</v>
      </c>
      <c r="Q290" s="1" t="s">
        <v>330</v>
      </c>
      <c r="T290" s="1" t="s">
        <v>547</v>
      </c>
      <c r="U290" s="1" t="s">
        <v>548</v>
      </c>
      <c r="V290" s="1">
        <v>1</v>
      </c>
      <c r="W290" s="3">
        <v>39053.760000000002</v>
      </c>
      <c r="X290" s="3">
        <v>39053.760000000002</v>
      </c>
      <c r="Y290" s="1" t="str">
        <f>VLOOKUP(A290,[1]Detalle!$D$2:$CR$484,93,FALSE)</f>
        <v>ADA_CH - Danone Arg. S.A. - Chascomus</v>
      </c>
    </row>
    <row r="291" spans="1:25" ht="14.25" customHeight="1" x14ac:dyDescent="0.3">
      <c r="A291" s="1" t="s">
        <v>12</v>
      </c>
      <c r="B291" s="1" t="s">
        <v>545</v>
      </c>
      <c r="C291" s="1" t="s">
        <v>545</v>
      </c>
      <c r="D291" s="1" t="s">
        <v>546</v>
      </c>
      <c r="E291" s="1" t="s">
        <v>337</v>
      </c>
      <c r="F291" s="1">
        <v>845528</v>
      </c>
      <c r="G291" s="1">
        <v>945528</v>
      </c>
      <c r="H291" s="1">
        <v>33411.699999999997</v>
      </c>
      <c r="I291" s="1">
        <v>66588.299999999988</v>
      </c>
      <c r="J291" s="1">
        <v>878939.7</v>
      </c>
      <c r="K291" s="1">
        <v>93</v>
      </c>
      <c r="L291" s="1">
        <v>323.35572519083951</v>
      </c>
      <c r="M291" s="1">
        <v>185.345609472131</v>
      </c>
      <c r="N291" s="7">
        <v>45947</v>
      </c>
      <c r="O291" s="1">
        <v>100000</v>
      </c>
      <c r="P291" s="7">
        <v>46132.345609467593</v>
      </c>
      <c r="Q291" s="1" t="s">
        <v>330</v>
      </c>
      <c r="T291" s="1" t="s">
        <v>547</v>
      </c>
      <c r="U291" s="1" t="s">
        <v>548</v>
      </c>
      <c r="V291" s="1">
        <v>1</v>
      </c>
      <c r="W291" s="3">
        <v>39053.760000000002</v>
      </c>
      <c r="X291" s="3">
        <v>39053.760000000002</v>
      </c>
      <c r="Y291" s="1" t="str">
        <f>VLOOKUP(A291,[1]Detalle!$D$2:$CR$484,93,FALSE)</f>
        <v>ADA_CH - Danone Arg. S.A. - Chascomus</v>
      </c>
    </row>
    <row r="292" spans="1:25" ht="14.25" customHeight="1" x14ac:dyDescent="0.3">
      <c r="A292" s="1" t="s">
        <v>13</v>
      </c>
      <c r="B292" s="1" t="s">
        <v>545</v>
      </c>
      <c r="C292" s="1" t="s">
        <v>545</v>
      </c>
      <c r="D292" s="1" t="s">
        <v>546</v>
      </c>
      <c r="E292" s="6">
        <v>45367</v>
      </c>
      <c r="F292" s="1">
        <v>630082</v>
      </c>
      <c r="G292" s="1">
        <v>730082</v>
      </c>
      <c r="H292" s="1">
        <v>163148.68000000011</v>
      </c>
      <c r="I292" s="1">
        <v>-63148.680000000109</v>
      </c>
      <c r="J292" s="1">
        <v>793230.68000000017</v>
      </c>
      <c r="K292" s="1">
        <v>580</v>
      </c>
      <c r="L292" s="1">
        <v>303.34772058823529</v>
      </c>
      <c r="M292" s="1">
        <v>-224.49605108665321</v>
      </c>
      <c r="N292" s="7">
        <v>45947</v>
      </c>
      <c r="O292" s="1">
        <v>100000</v>
      </c>
      <c r="P292" s="7">
        <v>46276.65469398148</v>
      </c>
      <c r="Q292" s="1" t="s">
        <v>330</v>
      </c>
      <c r="T292" s="1" t="s">
        <v>547</v>
      </c>
      <c r="U292" s="1" t="s">
        <v>548</v>
      </c>
      <c r="V292" s="1">
        <v>1</v>
      </c>
      <c r="W292" s="3">
        <v>39053.760000000002</v>
      </c>
      <c r="X292" s="3">
        <v>39053.760000000002</v>
      </c>
      <c r="Y292" s="1" t="str">
        <f>VLOOKUP(A292,[1]Detalle!$D$2:$CR$484,93,FALSE)</f>
        <v>ADA_CH - Danone Arg. S.A. - Chascomus</v>
      </c>
    </row>
    <row r="293" spans="1:25" ht="14.25" customHeight="1" x14ac:dyDescent="0.3">
      <c r="A293" s="1" t="s">
        <v>6</v>
      </c>
      <c r="B293" s="1" t="s">
        <v>545</v>
      </c>
      <c r="C293" s="1" t="s">
        <v>545</v>
      </c>
      <c r="D293" s="1" t="s">
        <v>546</v>
      </c>
      <c r="E293" s="1" t="s">
        <v>337</v>
      </c>
      <c r="F293" s="1">
        <v>619692</v>
      </c>
      <c r="G293" s="1">
        <v>719692</v>
      </c>
      <c r="H293" s="1">
        <v>133762.50999999989</v>
      </c>
      <c r="I293" s="1">
        <v>-33762.509999999922</v>
      </c>
      <c r="J293" s="1">
        <v>753454.50999999989</v>
      </c>
      <c r="K293" s="1">
        <v>422</v>
      </c>
      <c r="L293" s="1">
        <v>306.8559191176472</v>
      </c>
      <c r="M293" s="1">
        <v>-106.51548942973611</v>
      </c>
      <c r="N293" s="7">
        <v>45947</v>
      </c>
      <c r="O293" s="1">
        <v>100000</v>
      </c>
      <c r="P293" s="7">
        <v>46272.885843391203</v>
      </c>
      <c r="Q293" s="1" t="s">
        <v>330</v>
      </c>
      <c r="T293" s="1" t="s">
        <v>547</v>
      </c>
      <c r="U293" s="1" t="s">
        <v>548</v>
      </c>
      <c r="V293" s="1">
        <v>1</v>
      </c>
      <c r="W293" s="3">
        <v>39053.760000000002</v>
      </c>
      <c r="X293" s="3">
        <v>39053.760000000002</v>
      </c>
      <c r="Y293" s="1" t="str">
        <f>VLOOKUP(A293,[1]Detalle!$D$2:$CR$484,93,FALSE)</f>
        <v>ADA_CH - Danone Arg. S.A. - Chascomus</v>
      </c>
    </row>
    <row r="294" spans="1:25" ht="14.25" customHeight="1" x14ac:dyDescent="0.3">
      <c r="A294" s="1" t="s">
        <v>7</v>
      </c>
      <c r="B294" s="1" t="s">
        <v>545</v>
      </c>
      <c r="C294" s="1" t="s">
        <v>545</v>
      </c>
      <c r="D294" s="1" t="s">
        <v>546</v>
      </c>
      <c r="E294" s="6">
        <v>45835</v>
      </c>
      <c r="F294" s="1">
        <v>743648</v>
      </c>
      <c r="G294" s="1">
        <v>843648</v>
      </c>
      <c r="H294" s="1">
        <v>30763.099999999991</v>
      </c>
      <c r="I294" s="1">
        <v>69236.900000000009</v>
      </c>
      <c r="J294" s="1">
        <v>774411.1</v>
      </c>
      <c r="K294" s="1">
        <v>112</v>
      </c>
      <c r="L294" s="1">
        <v>282.61870229007633</v>
      </c>
      <c r="M294" s="1">
        <v>252.07254145388481</v>
      </c>
      <c r="N294" s="7">
        <v>45947</v>
      </c>
      <c r="O294" s="1">
        <v>100000</v>
      </c>
      <c r="P294" s="7">
        <v>46199.072541458343</v>
      </c>
      <c r="Q294" s="1" t="s">
        <v>330</v>
      </c>
      <c r="T294" s="1" t="s">
        <v>547</v>
      </c>
      <c r="U294" s="1" t="s">
        <v>548</v>
      </c>
      <c r="V294" s="1">
        <v>1</v>
      </c>
      <c r="W294" s="3">
        <v>39053.760000000002</v>
      </c>
      <c r="X294" s="3">
        <v>39053.760000000002</v>
      </c>
      <c r="Y294" s="1" t="str">
        <f>VLOOKUP(A294,[1]Detalle!$D$2:$CR$484,93,FALSE)</f>
        <v>ADA_CH - Danone Arg. S.A. - Chascomus</v>
      </c>
    </row>
    <row r="295" spans="1:25" ht="14.25" customHeight="1" x14ac:dyDescent="0.3">
      <c r="A295" s="1" t="s">
        <v>9</v>
      </c>
      <c r="B295" s="1" t="s">
        <v>545</v>
      </c>
      <c r="C295" s="1" t="s">
        <v>545</v>
      </c>
      <c r="D295" s="1" t="s">
        <v>546</v>
      </c>
      <c r="E295" s="6">
        <v>45262</v>
      </c>
      <c r="F295" s="1">
        <v>666084</v>
      </c>
      <c r="G295" s="1">
        <v>766084</v>
      </c>
      <c r="H295" s="1">
        <v>206192.14</v>
      </c>
      <c r="I295" s="1">
        <v>-106192.14</v>
      </c>
      <c r="J295" s="1">
        <v>872276.14</v>
      </c>
      <c r="K295" s="1">
        <v>685</v>
      </c>
      <c r="L295" s="1">
        <v>352.51014814814829</v>
      </c>
      <c r="M295" s="1">
        <v>-352.78559066315518</v>
      </c>
      <c r="N295" s="7">
        <v>45947</v>
      </c>
      <c r="O295" s="1">
        <v>100000</v>
      </c>
      <c r="P295" s="7">
        <v>46230.67977638889</v>
      </c>
      <c r="Q295" s="1" t="s">
        <v>330</v>
      </c>
      <c r="T295" s="1" t="s">
        <v>547</v>
      </c>
      <c r="U295" s="1" t="s">
        <v>548</v>
      </c>
      <c r="V295" s="1">
        <v>1</v>
      </c>
      <c r="W295" s="3">
        <v>39053.760000000002</v>
      </c>
      <c r="X295" s="3">
        <v>39053.760000000002</v>
      </c>
      <c r="Y295" s="1" t="str">
        <f>VLOOKUP(A295,[1]Detalle!$D$2:$CR$484,93,FALSE)</f>
        <v>ADA_CH - Danone Arg. S.A. - Chascomus</v>
      </c>
    </row>
    <row r="296" spans="1:25" ht="14.25" customHeight="1" x14ac:dyDescent="0.3">
      <c r="A296" s="1" t="s">
        <v>30</v>
      </c>
      <c r="B296" s="1" t="s">
        <v>545</v>
      </c>
      <c r="C296" s="1" t="s">
        <v>545</v>
      </c>
      <c r="D296" s="1" t="s">
        <v>546</v>
      </c>
      <c r="E296" s="6">
        <v>45360</v>
      </c>
      <c r="F296" s="1">
        <v>299224</v>
      </c>
      <c r="G296" s="1">
        <v>399224</v>
      </c>
      <c r="H296" s="1">
        <v>159486.34999999989</v>
      </c>
      <c r="I296" s="1">
        <v>-59486.349999999948</v>
      </c>
      <c r="J296" s="1">
        <v>458710.35</v>
      </c>
      <c r="K296" s="1">
        <v>587</v>
      </c>
      <c r="L296" s="1">
        <v>273.98136531365333</v>
      </c>
      <c r="M296" s="1">
        <v>-218.94342337134171</v>
      </c>
      <c r="N296" s="7">
        <v>45947</v>
      </c>
      <c r="O296" s="1">
        <v>100000</v>
      </c>
      <c r="P296" s="7">
        <v>46311.988326435188</v>
      </c>
      <c r="Q296" s="1" t="s">
        <v>330</v>
      </c>
      <c r="T296" s="1" t="s">
        <v>547</v>
      </c>
      <c r="U296" s="1" t="s">
        <v>548</v>
      </c>
      <c r="V296" s="1">
        <v>1</v>
      </c>
      <c r="W296" s="3">
        <v>39053.760000000002</v>
      </c>
      <c r="X296" s="3">
        <v>39053.760000000002</v>
      </c>
      <c r="Y296" s="1" t="str">
        <f>VLOOKUP(A296,[1]Detalle!$D$2:$CR$484,93,FALSE)</f>
        <v>ADA_CH - Danone Arg. S.A. - Chascomus</v>
      </c>
    </row>
    <row r="297" spans="1:25" ht="14.25" customHeight="1" x14ac:dyDescent="0.3">
      <c r="A297" s="1" t="s">
        <v>33</v>
      </c>
      <c r="B297" s="1" t="s">
        <v>545</v>
      </c>
      <c r="C297" s="1" t="s">
        <v>545</v>
      </c>
      <c r="D297" s="1" t="s">
        <v>546</v>
      </c>
      <c r="E297" s="6">
        <v>45791</v>
      </c>
      <c r="F297" s="1">
        <v>334226</v>
      </c>
      <c r="G297" s="1">
        <v>434226</v>
      </c>
      <c r="H297" s="1">
        <v>32671.5</v>
      </c>
      <c r="I297" s="1">
        <v>67328.5</v>
      </c>
      <c r="J297" s="1">
        <v>366897.5</v>
      </c>
      <c r="K297" s="1">
        <v>156</v>
      </c>
      <c r="L297" s="1">
        <v>236.21863468634689</v>
      </c>
      <c r="M297" s="1">
        <v>321.48037280198338</v>
      </c>
      <c r="N297" s="7">
        <v>45947</v>
      </c>
      <c r="O297" s="1">
        <v>100000</v>
      </c>
      <c r="P297" s="7">
        <v>46268.480372800928</v>
      </c>
      <c r="Q297" s="1" t="s">
        <v>330</v>
      </c>
      <c r="T297" s="1" t="s">
        <v>547</v>
      </c>
      <c r="U297" s="1" t="s">
        <v>548</v>
      </c>
      <c r="V297" s="1">
        <v>1</v>
      </c>
      <c r="W297" s="3">
        <v>39053.760000000002</v>
      </c>
      <c r="X297" s="3">
        <v>39053.760000000002</v>
      </c>
      <c r="Y297" s="1" t="str">
        <f>VLOOKUP(A297,[1]Detalle!$D$2:$CR$484,93,FALSE)</f>
        <v>CENCOMLD - Cencosud SA - Mendoza</v>
      </c>
    </row>
    <row r="298" spans="1:25" ht="14.25" customHeight="1" x14ac:dyDescent="0.3">
      <c r="A298" s="1" t="s">
        <v>35</v>
      </c>
      <c r="B298" s="1" t="s">
        <v>545</v>
      </c>
      <c r="C298" s="1" t="s">
        <v>545</v>
      </c>
      <c r="D298" s="1" t="s">
        <v>546</v>
      </c>
      <c r="E298" s="1" t="s">
        <v>337</v>
      </c>
      <c r="F298" s="1">
        <v>376144</v>
      </c>
      <c r="G298" s="1">
        <v>476144</v>
      </c>
      <c r="H298" s="1">
        <v>28758.9</v>
      </c>
      <c r="I298" s="1">
        <v>71241.100000000006</v>
      </c>
      <c r="J298" s="1">
        <v>404902.9</v>
      </c>
      <c r="K298" s="1">
        <v>93</v>
      </c>
      <c r="L298" s="1">
        <v>328.18794117647042</v>
      </c>
      <c r="M298" s="1">
        <v>230.37815424094799</v>
      </c>
      <c r="N298" s="7">
        <v>45947</v>
      </c>
      <c r="O298" s="1">
        <v>100000</v>
      </c>
      <c r="P298" s="7">
        <v>46177.37815423611</v>
      </c>
      <c r="Q298" s="1" t="s">
        <v>330</v>
      </c>
      <c r="T298" s="1" t="s">
        <v>547</v>
      </c>
      <c r="U298" s="1" t="s">
        <v>548</v>
      </c>
      <c r="V298" s="1">
        <v>1</v>
      </c>
      <c r="W298" s="3">
        <v>39053.760000000002</v>
      </c>
      <c r="X298" s="3">
        <v>39053.760000000002</v>
      </c>
      <c r="Y298" s="1" t="str">
        <f>VLOOKUP(A298,[1]Detalle!$D$2:$CR$484,93,FALSE)</f>
        <v>CENCOMLD - Cencosud SA - Mendoza</v>
      </c>
    </row>
    <row r="299" spans="1:25" ht="14.25" customHeight="1" x14ac:dyDescent="0.3">
      <c r="A299" s="1" t="s">
        <v>510</v>
      </c>
      <c r="B299" s="1" t="s">
        <v>545</v>
      </c>
      <c r="C299" s="1" t="s">
        <v>545</v>
      </c>
      <c r="D299" s="1" t="s">
        <v>546</v>
      </c>
      <c r="E299" s="6">
        <v>45751</v>
      </c>
      <c r="F299" s="1">
        <v>1754429</v>
      </c>
      <c r="G299" s="1">
        <v>1854429</v>
      </c>
      <c r="H299" s="1">
        <v>71583.500000000029</v>
      </c>
      <c r="I299" s="1">
        <v>28416.499999999971</v>
      </c>
      <c r="J299" s="1">
        <v>1826012.5</v>
      </c>
      <c r="K299" s="1">
        <v>196</v>
      </c>
      <c r="L299" s="1">
        <v>2480.570318518518</v>
      </c>
      <c r="M299" s="1">
        <v>77.806114537567908</v>
      </c>
      <c r="N299" s="7">
        <v>45947</v>
      </c>
      <c r="O299" s="1">
        <v>100000</v>
      </c>
      <c r="P299" s="7">
        <v>46024.806114537038</v>
      </c>
      <c r="Q299" s="1" t="s">
        <v>330</v>
      </c>
      <c r="T299" s="1" t="s">
        <v>547</v>
      </c>
      <c r="U299" s="1" t="s">
        <v>548</v>
      </c>
      <c r="V299" s="1">
        <v>1</v>
      </c>
      <c r="W299" s="3">
        <v>39053.760000000002</v>
      </c>
      <c r="X299" s="3">
        <v>39053.760000000002</v>
      </c>
      <c r="Y299" s="1" t="str">
        <f>VLOOKUP(A299,[1]Detalle!$D$2:$CR$484,93,FALSE)</f>
        <v>Expreso - Servicios Troncales</v>
      </c>
    </row>
    <row r="300" spans="1:25" ht="14.25" customHeight="1" x14ac:dyDescent="0.3">
      <c r="A300" s="1" t="s">
        <v>511</v>
      </c>
      <c r="B300" s="1" t="s">
        <v>545</v>
      </c>
      <c r="C300" s="1" t="s">
        <v>545</v>
      </c>
      <c r="D300" s="1" t="s">
        <v>546</v>
      </c>
      <c r="E300" s="6">
        <v>45672</v>
      </c>
      <c r="F300" s="1">
        <v>1602290</v>
      </c>
      <c r="G300" s="1">
        <v>1702290</v>
      </c>
      <c r="H300" s="1">
        <v>104731.61</v>
      </c>
      <c r="I300" s="1">
        <v>-4731.6100000000006</v>
      </c>
      <c r="J300" s="1">
        <v>1707021.61</v>
      </c>
      <c r="K300" s="1">
        <v>275</v>
      </c>
      <c r="L300" s="1">
        <v>411.92981617647058</v>
      </c>
      <c r="M300" s="1">
        <v>-12.424069008392021</v>
      </c>
      <c r="N300" s="7">
        <v>45947</v>
      </c>
      <c r="O300" s="1">
        <v>100000</v>
      </c>
      <c r="P300" s="7">
        <v>46189.759800509259</v>
      </c>
      <c r="Q300" s="1" t="s">
        <v>330</v>
      </c>
      <c r="T300" s="1" t="s">
        <v>547</v>
      </c>
      <c r="U300" s="1" t="s">
        <v>548</v>
      </c>
      <c r="V300" s="1">
        <v>1</v>
      </c>
      <c r="W300" s="3">
        <v>39053.760000000002</v>
      </c>
      <c r="X300" s="3">
        <v>39053.760000000002</v>
      </c>
      <c r="Y300" s="1" t="str">
        <f>VLOOKUP(A300,[1]Detalle!$D$2:$CR$484,93,FALSE)</f>
        <v>Expreso - Servicios Troncales</v>
      </c>
    </row>
    <row r="301" spans="1:25" ht="14.25" customHeight="1" x14ac:dyDescent="0.3">
      <c r="A301" s="1" t="s">
        <v>513</v>
      </c>
      <c r="B301" s="1" t="s">
        <v>545</v>
      </c>
      <c r="C301" s="1" t="s">
        <v>545</v>
      </c>
      <c r="D301" s="1" t="s">
        <v>546</v>
      </c>
      <c r="E301" s="6">
        <v>45586</v>
      </c>
      <c r="F301" s="1">
        <v>1453240</v>
      </c>
      <c r="G301" s="1">
        <v>1553240</v>
      </c>
      <c r="H301" s="1">
        <v>660324.69999999995</v>
      </c>
      <c r="I301" s="1">
        <v>-560324.69999999995</v>
      </c>
      <c r="J301" s="1">
        <v>2113564.7000000002</v>
      </c>
      <c r="K301" s="1">
        <v>361</v>
      </c>
      <c r="L301" s="1">
        <v>2328.6221402214019</v>
      </c>
      <c r="M301" s="1">
        <v>-306.32992632261067</v>
      </c>
      <c r="N301" s="7">
        <v>45947</v>
      </c>
      <c r="O301" s="1">
        <v>100000</v>
      </c>
      <c r="P301" s="7">
        <v>46032.887700092593</v>
      </c>
      <c r="Q301" s="1" t="s">
        <v>330</v>
      </c>
      <c r="R301" s="6">
        <v>46032.887700092593</v>
      </c>
      <c r="T301" s="1" t="s">
        <v>547</v>
      </c>
      <c r="U301" s="1" t="s">
        <v>548</v>
      </c>
      <c r="V301" s="1">
        <v>1</v>
      </c>
      <c r="W301" s="3">
        <v>39053.760000000002</v>
      </c>
      <c r="X301" s="3">
        <v>39053.760000000002</v>
      </c>
      <c r="Y301" s="1" t="str">
        <f>VLOOKUP(A301,[1]Detalle!$D$2:$CR$484,93,FALSE)</f>
        <v>Expreso - Servicios Troncales</v>
      </c>
    </row>
    <row r="302" spans="1:25" ht="14.25" customHeight="1" x14ac:dyDescent="0.3">
      <c r="A302" s="1" t="s">
        <v>270</v>
      </c>
      <c r="B302" s="1" t="s">
        <v>545</v>
      </c>
      <c r="C302" s="1" t="s">
        <v>545</v>
      </c>
      <c r="D302" s="1" t="s">
        <v>546</v>
      </c>
      <c r="E302" s="6">
        <v>45747</v>
      </c>
      <c r="F302" s="1">
        <v>1676095</v>
      </c>
      <c r="G302" s="1">
        <v>1776095</v>
      </c>
      <c r="H302" s="1">
        <v>81766.400000000009</v>
      </c>
      <c r="I302" s="1">
        <v>18233.599999999991</v>
      </c>
      <c r="J302" s="1">
        <v>1757861.4</v>
      </c>
      <c r="K302" s="1">
        <v>200</v>
      </c>
      <c r="L302" s="1">
        <v>1736.2685719557189</v>
      </c>
      <c r="M302" s="1">
        <v>44.599248591108299</v>
      </c>
      <c r="N302" s="7">
        <v>45947</v>
      </c>
      <c r="O302" s="1">
        <v>100000</v>
      </c>
      <c r="P302" s="7">
        <v>46049.194024895827</v>
      </c>
      <c r="Q302" s="1" t="s">
        <v>330</v>
      </c>
      <c r="T302" s="1" t="s">
        <v>547</v>
      </c>
      <c r="U302" s="1" t="s">
        <v>548</v>
      </c>
      <c r="V302" s="1">
        <v>1</v>
      </c>
      <c r="W302" s="3">
        <v>39053.760000000002</v>
      </c>
      <c r="X302" s="3">
        <v>39053.760000000002</v>
      </c>
      <c r="Y302" s="1" t="str">
        <f>VLOOKUP(A302,[1]Detalle!$D$2:$CR$484,93,FALSE)</f>
        <v>Expreso - Servicios Troncales</v>
      </c>
    </row>
    <row r="303" spans="1:25" ht="14.25" customHeight="1" x14ac:dyDescent="0.3">
      <c r="A303" s="1" t="s">
        <v>17</v>
      </c>
      <c r="B303" s="1" t="s">
        <v>545</v>
      </c>
      <c r="C303" s="1" t="s">
        <v>545</v>
      </c>
      <c r="D303" s="1" t="s">
        <v>546</v>
      </c>
      <c r="E303" s="6">
        <v>45618</v>
      </c>
      <c r="F303" s="1">
        <v>582311</v>
      </c>
      <c r="G303" s="1">
        <v>682311</v>
      </c>
      <c r="H303" s="1">
        <v>115326.61</v>
      </c>
      <c r="I303" s="1">
        <v>-15326.609999999961</v>
      </c>
      <c r="J303" s="1">
        <v>697637.61</v>
      </c>
      <c r="K303" s="1">
        <v>329</v>
      </c>
      <c r="L303" s="1">
        <v>382.02855555555578</v>
      </c>
      <c r="M303" s="1">
        <v>-43.723254242884522</v>
      </c>
      <c r="N303" s="7">
        <v>45947</v>
      </c>
      <c r="O303" s="1">
        <v>100000</v>
      </c>
      <c r="P303" s="7">
        <v>46208.76053738426</v>
      </c>
      <c r="Q303" s="1" t="s">
        <v>330</v>
      </c>
      <c r="T303" s="1" t="s">
        <v>547</v>
      </c>
      <c r="U303" s="1" t="s">
        <v>548</v>
      </c>
      <c r="V303" s="1">
        <v>1</v>
      </c>
      <c r="W303" s="3">
        <v>39053.760000000002</v>
      </c>
      <c r="X303" s="3">
        <v>39053.760000000002</v>
      </c>
      <c r="Y303" s="1" t="str">
        <f>VLOOKUP(A303,[1]Detalle!$D$2:$CR$484,93,FALSE)</f>
        <v>Expreso - Servicios Troncales</v>
      </c>
    </row>
    <row r="304" spans="1:25" ht="14.25" customHeight="1" x14ac:dyDescent="0.3">
      <c r="A304" s="1" t="s">
        <v>18</v>
      </c>
      <c r="B304" s="1" t="s">
        <v>545</v>
      </c>
      <c r="C304" s="1" t="s">
        <v>545</v>
      </c>
      <c r="D304" s="1" t="s">
        <v>546</v>
      </c>
      <c r="E304" s="6">
        <v>45581</v>
      </c>
      <c r="F304" s="1">
        <v>562665</v>
      </c>
      <c r="G304" s="1">
        <v>662665</v>
      </c>
      <c r="H304" s="1">
        <v>134797.73000000001</v>
      </c>
      <c r="I304" s="1">
        <v>-34797.729999999981</v>
      </c>
      <c r="J304" s="1">
        <v>697462.73</v>
      </c>
      <c r="K304" s="1">
        <v>366</v>
      </c>
      <c r="L304" s="1">
        <v>381.04202205882348</v>
      </c>
      <c r="M304" s="1">
        <v>-94.482074586864286</v>
      </c>
      <c r="N304" s="7">
        <v>45947</v>
      </c>
      <c r="O304" s="1">
        <v>100000</v>
      </c>
      <c r="P304" s="7">
        <v>46209.438246203703</v>
      </c>
      <c r="Q304" s="1" t="s">
        <v>330</v>
      </c>
      <c r="T304" s="1" t="s">
        <v>547</v>
      </c>
      <c r="U304" s="1" t="s">
        <v>548</v>
      </c>
      <c r="V304" s="1">
        <v>1</v>
      </c>
      <c r="W304" s="3">
        <v>39053.760000000002</v>
      </c>
      <c r="X304" s="3">
        <v>39053.760000000002</v>
      </c>
      <c r="Y304" s="1" t="str">
        <f>VLOOKUP(A304,[1]Detalle!$D$2:$CR$484,93,FALSE)</f>
        <v>Expreso - Servicios Troncales</v>
      </c>
    </row>
    <row r="305" spans="1:25" ht="14.25" customHeight="1" x14ac:dyDescent="0.3">
      <c r="A305" s="1" t="s">
        <v>176</v>
      </c>
      <c r="B305" s="1" t="s">
        <v>545</v>
      </c>
      <c r="C305" s="1" t="s">
        <v>545</v>
      </c>
      <c r="D305" s="1" t="s">
        <v>546</v>
      </c>
      <c r="E305" s="6">
        <v>45310</v>
      </c>
      <c r="F305" s="1">
        <v>1778895</v>
      </c>
      <c r="G305" s="1">
        <v>1878895</v>
      </c>
      <c r="H305" s="1">
        <v>689383.01900000079</v>
      </c>
      <c r="I305" s="1">
        <v>-589383.01900000079</v>
      </c>
      <c r="J305" s="1">
        <v>2468278.0190000008</v>
      </c>
      <c r="K305" s="1">
        <v>637</v>
      </c>
      <c r="L305" s="1">
        <v>1849.550539936103</v>
      </c>
      <c r="M305" s="1">
        <v>-544.59853630801445</v>
      </c>
      <c r="N305" s="7">
        <v>45947</v>
      </c>
      <c r="O305" s="1">
        <v>100000</v>
      </c>
      <c r="P305" s="7">
        <v>46055.134379502313</v>
      </c>
      <c r="Q305" s="1" t="s">
        <v>330</v>
      </c>
      <c r="R305" s="6">
        <v>46055.134379502313</v>
      </c>
      <c r="T305" s="1" t="s">
        <v>547</v>
      </c>
      <c r="U305" s="1" t="s">
        <v>548</v>
      </c>
      <c r="V305" s="1">
        <v>1</v>
      </c>
      <c r="W305" s="3">
        <v>39053.760000000002</v>
      </c>
      <c r="X305" s="3">
        <v>39053.760000000002</v>
      </c>
      <c r="Y305" s="1" t="str">
        <f>VLOOKUP(A305,[1]Detalle!$D$2:$CR$484,93,FALSE)</f>
        <v>Expreso - Servicios Troncales</v>
      </c>
    </row>
    <row r="306" spans="1:25" ht="14.25" customHeight="1" x14ac:dyDescent="0.3">
      <c r="A306" s="1" t="s">
        <v>186</v>
      </c>
      <c r="B306" s="1" t="s">
        <v>545</v>
      </c>
      <c r="C306" s="1" t="s">
        <v>545</v>
      </c>
      <c r="D306" s="1" t="s">
        <v>546</v>
      </c>
      <c r="E306" s="1" t="s">
        <v>337</v>
      </c>
      <c r="F306" s="1">
        <v>459582</v>
      </c>
      <c r="G306" s="1">
        <v>559582</v>
      </c>
      <c r="H306" s="1">
        <v>48012.699999999968</v>
      </c>
      <c r="I306" s="1">
        <v>51987.300000000032</v>
      </c>
      <c r="J306" s="1">
        <v>507594.7</v>
      </c>
      <c r="K306" s="1">
        <v>131</v>
      </c>
      <c r="L306" s="1">
        <v>303.0774834437085</v>
      </c>
      <c r="M306" s="1">
        <v>141.84447656557549</v>
      </c>
      <c r="N306" s="7">
        <v>45947</v>
      </c>
      <c r="O306" s="1">
        <v>100000</v>
      </c>
      <c r="P306" s="7">
        <v>46088.844476562503</v>
      </c>
      <c r="Q306" s="1" t="s">
        <v>330</v>
      </c>
      <c r="T306" s="1" t="s">
        <v>547</v>
      </c>
      <c r="U306" s="1" t="s">
        <v>548</v>
      </c>
      <c r="V306" s="1">
        <v>1</v>
      </c>
      <c r="W306" s="3">
        <v>39053.760000000002</v>
      </c>
      <c r="X306" s="3">
        <v>39053.760000000002</v>
      </c>
      <c r="Y306" s="1" t="str">
        <f>VLOOKUP(A306,[1]Detalle!$D$2:$CR$484,93,FALSE)</f>
        <v>Expreso - Servicios Troncales</v>
      </c>
    </row>
    <row r="307" spans="1:25" ht="14.25" customHeight="1" x14ac:dyDescent="0.3">
      <c r="A307" s="1" t="s">
        <v>201</v>
      </c>
      <c r="B307" s="1" t="s">
        <v>545</v>
      </c>
      <c r="C307" s="1" t="s">
        <v>545</v>
      </c>
      <c r="D307" s="1" t="s">
        <v>546</v>
      </c>
      <c r="E307" s="6">
        <v>45415</v>
      </c>
      <c r="F307" s="1">
        <v>1775874.469</v>
      </c>
      <c r="G307" s="1">
        <v>1875874.469</v>
      </c>
      <c r="H307" s="1">
        <v>72018.599999999977</v>
      </c>
      <c r="I307" s="1">
        <v>27981.40000000002</v>
      </c>
      <c r="J307" s="1">
        <v>1847893.0689999999</v>
      </c>
      <c r="K307" s="1">
        <v>532</v>
      </c>
      <c r="L307" s="1">
        <v>155.41622516556279</v>
      </c>
      <c r="M307" s="1">
        <v>206.69805855709521</v>
      </c>
      <c r="N307" s="7">
        <v>45947</v>
      </c>
      <c r="O307" s="1">
        <v>100000</v>
      </c>
      <c r="P307" s="7">
        <v>46153.698058553236</v>
      </c>
      <c r="Q307" s="1" t="s">
        <v>330</v>
      </c>
      <c r="T307" s="1" t="s">
        <v>547</v>
      </c>
      <c r="U307" s="1" t="s">
        <v>548</v>
      </c>
      <c r="V307" s="1">
        <v>1</v>
      </c>
      <c r="W307" s="3">
        <v>39053.760000000002</v>
      </c>
      <c r="X307" s="3">
        <v>39053.760000000002</v>
      </c>
      <c r="Y307" s="1" t="str">
        <f>VLOOKUP(A307,[1]Detalle!$D$2:$CR$484,93,FALSE)</f>
        <v>SUC_CTC - Sucursal Buenos Aires</v>
      </c>
    </row>
    <row r="308" spans="1:25" ht="14.25" customHeight="1" x14ac:dyDescent="0.3">
      <c r="A308" s="1" t="s">
        <v>228</v>
      </c>
      <c r="B308" s="1" t="s">
        <v>545</v>
      </c>
      <c r="C308" s="1" t="s">
        <v>545</v>
      </c>
      <c r="D308" s="1" t="s">
        <v>546</v>
      </c>
      <c r="E308" s="6">
        <v>45538</v>
      </c>
      <c r="F308" s="1">
        <v>760893</v>
      </c>
      <c r="G308" s="1">
        <v>860893</v>
      </c>
      <c r="H308" s="1">
        <v>104865.07</v>
      </c>
      <c r="I308" s="1">
        <v>-4865.070000000007</v>
      </c>
      <c r="J308" s="1">
        <v>865758.07000000007</v>
      </c>
      <c r="K308" s="1">
        <v>409</v>
      </c>
      <c r="L308" s="1">
        <v>232.68261029411761</v>
      </c>
      <c r="M308" s="1">
        <v>-18.974989765419529</v>
      </c>
      <c r="N308" s="7">
        <v>45947</v>
      </c>
      <c r="O308" s="1">
        <v>100000</v>
      </c>
      <c r="P308" s="7">
        <v>46376.769976678239</v>
      </c>
      <c r="Q308" s="1" t="s">
        <v>330</v>
      </c>
      <c r="T308" s="1" t="s">
        <v>547</v>
      </c>
      <c r="U308" s="1" t="s">
        <v>548</v>
      </c>
      <c r="V308" s="1">
        <v>1</v>
      </c>
      <c r="W308" s="3">
        <v>39053.760000000002</v>
      </c>
      <c r="X308" s="3">
        <v>39053.760000000002</v>
      </c>
      <c r="Y308" s="1" t="str">
        <f>VLOOKUP(A308,[1]Detalle!$D$2:$CR$484,93,FALSE)</f>
        <v>Expreso - Servicios Troncales</v>
      </c>
    </row>
    <row r="309" spans="1:25" ht="14.25" customHeight="1" x14ac:dyDescent="0.3">
      <c r="A309" s="1" t="s">
        <v>229</v>
      </c>
      <c r="B309" s="1" t="s">
        <v>545</v>
      </c>
      <c r="C309" s="1" t="s">
        <v>545</v>
      </c>
      <c r="D309" s="1" t="s">
        <v>546</v>
      </c>
      <c r="E309" s="6">
        <v>45572</v>
      </c>
      <c r="F309" s="1">
        <v>1716080</v>
      </c>
      <c r="G309" s="1">
        <v>1816080</v>
      </c>
      <c r="H309" s="1">
        <v>94190.60000000002</v>
      </c>
      <c r="I309" s="1">
        <v>5809.3999999999796</v>
      </c>
      <c r="J309" s="1">
        <v>1810270.6</v>
      </c>
      <c r="K309" s="1">
        <v>375</v>
      </c>
      <c r="L309" s="1">
        <v>259.71717557251912</v>
      </c>
      <c r="M309" s="1">
        <v>23.128900336126868</v>
      </c>
      <c r="N309" s="7">
        <v>45947</v>
      </c>
      <c r="O309" s="1">
        <v>100000</v>
      </c>
      <c r="P309" s="7">
        <v>46355.163119884259</v>
      </c>
      <c r="Q309" s="1" t="s">
        <v>330</v>
      </c>
      <c r="T309" s="1" t="s">
        <v>547</v>
      </c>
      <c r="U309" s="1" t="s">
        <v>548</v>
      </c>
      <c r="V309" s="1">
        <v>1</v>
      </c>
      <c r="W309" s="3">
        <v>39053.760000000002</v>
      </c>
      <c r="X309" s="3">
        <v>39053.760000000002</v>
      </c>
      <c r="Y309" s="1" t="str">
        <f>VLOOKUP(A309,[1]Detalle!$D$2:$CR$484,93,FALSE)</f>
        <v>Expreso - Servicios Troncales</v>
      </c>
    </row>
    <row r="310" spans="1:25" ht="14.25" customHeight="1" x14ac:dyDescent="0.3">
      <c r="A310" s="1" t="s">
        <v>231</v>
      </c>
      <c r="B310" s="1" t="s">
        <v>545</v>
      </c>
      <c r="C310" s="1" t="s">
        <v>545</v>
      </c>
      <c r="D310" s="1" t="s">
        <v>546</v>
      </c>
      <c r="E310" s="6">
        <v>45889</v>
      </c>
      <c r="F310" s="1">
        <v>1836513</v>
      </c>
      <c r="G310" s="1">
        <v>1936513</v>
      </c>
      <c r="H310" s="1">
        <v>14116.4</v>
      </c>
      <c r="I310" s="1">
        <v>85883.6</v>
      </c>
      <c r="J310" s="1">
        <v>1850629.4</v>
      </c>
      <c r="K310" s="1">
        <v>58</v>
      </c>
      <c r="L310" s="1">
        <v>332.5574264705881</v>
      </c>
      <c r="M310" s="1">
        <v>352.86962681703551</v>
      </c>
      <c r="N310" s="7">
        <v>45947</v>
      </c>
      <c r="O310" s="1">
        <v>100000</v>
      </c>
      <c r="P310" s="7">
        <v>46299.869626817133</v>
      </c>
      <c r="Q310" s="1" t="s">
        <v>330</v>
      </c>
      <c r="T310" s="1" t="s">
        <v>547</v>
      </c>
      <c r="U310" s="1" t="s">
        <v>548</v>
      </c>
      <c r="V310" s="1">
        <v>1</v>
      </c>
      <c r="W310" s="3">
        <v>39053.760000000002</v>
      </c>
      <c r="X310" s="3">
        <v>39053.760000000002</v>
      </c>
      <c r="Y310" s="1" t="str">
        <f>VLOOKUP(A310,[1]Detalle!$D$2:$CR$484,93,FALSE)</f>
        <v>Expreso - Servicios Troncales</v>
      </c>
    </row>
    <row r="311" spans="1:25" ht="14.25" customHeight="1" x14ac:dyDescent="0.3">
      <c r="A311" s="1" t="s">
        <v>233</v>
      </c>
      <c r="B311" s="1" t="s">
        <v>545</v>
      </c>
      <c r="C311" s="1" t="s">
        <v>545</v>
      </c>
      <c r="D311" s="1" t="s">
        <v>546</v>
      </c>
      <c r="E311" s="6">
        <v>45769</v>
      </c>
      <c r="F311" s="1">
        <v>1851506</v>
      </c>
      <c r="G311" s="1">
        <v>1951506</v>
      </c>
      <c r="H311" s="1">
        <v>60536.299999999967</v>
      </c>
      <c r="I311" s="1">
        <v>39463.700000000033</v>
      </c>
      <c r="J311" s="1">
        <v>1912042.3</v>
      </c>
      <c r="K311" s="1">
        <v>178</v>
      </c>
      <c r="L311" s="1">
        <v>1720.767376383764</v>
      </c>
      <c r="M311" s="1">
        <v>116.03845296128119</v>
      </c>
      <c r="N311" s="7">
        <v>45947</v>
      </c>
      <c r="O311" s="1">
        <v>100000</v>
      </c>
      <c r="P311" s="7">
        <v>46063.038452962966</v>
      </c>
      <c r="Q311" s="1" t="s">
        <v>330</v>
      </c>
      <c r="T311" s="1" t="s">
        <v>547</v>
      </c>
      <c r="U311" s="1" t="s">
        <v>548</v>
      </c>
      <c r="V311" s="1">
        <v>1</v>
      </c>
      <c r="W311" s="3">
        <v>39053.760000000002</v>
      </c>
      <c r="X311" s="3">
        <v>39053.760000000002</v>
      </c>
      <c r="Y311" s="1" t="str">
        <f>VLOOKUP(A311,[1]Detalle!$D$2:$CR$484,93,FALSE)</f>
        <v>Expreso - Servicios Troncales</v>
      </c>
    </row>
    <row r="312" spans="1:25" ht="14.25" customHeight="1" x14ac:dyDescent="0.3">
      <c r="A312" s="1" t="s">
        <v>234</v>
      </c>
      <c r="B312" s="1" t="s">
        <v>545</v>
      </c>
      <c r="C312" s="1" t="s">
        <v>545</v>
      </c>
      <c r="D312" s="1" t="s">
        <v>546</v>
      </c>
      <c r="E312" s="1" t="s">
        <v>337</v>
      </c>
      <c r="F312" s="1">
        <v>1918003</v>
      </c>
      <c r="G312" s="1">
        <v>2018003</v>
      </c>
      <c r="H312" s="1">
        <v>54665.000000000007</v>
      </c>
      <c r="I312" s="1">
        <v>45334.999999999993</v>
      </c>
      <c r="J312" s="1">
        <v>1972668</v>
      </c>
      <c r="K312" s="1">
        <v>135</v>
      </c>
      <c r="L312" s="1">
        <v>2691.3734963503648</v>
      </c>
      <c r="M312" s="1">
        <v>111.95874874233959</v>
      </c>
      <c r="N312" s="7">
        <v>45947</v>
      </c>
      <c r="O312" s="1">
        <v>100000</v>
      </c>
      <c r="P312" s="7">
        <v>46058.958748738427</v>
      </c>
      <c r="Q312" s="1" t="s">
        <v>330</v>
      </c>
      <c r="T312" s="1" t="s">
        <v>547</v>
      </c>
      <c r="U312" s="1" t="s">
        <v>548</v>
      </c>
      <c r="V312" s="1">
        <v>1</v>
      </c>
      <c r="W312" s="3">
        <v>39053.760000000002</v>
      </c>
      <c r="X312" s="3">
        <v>39053.760000000002</v>
      </c>
      <c r="Y312" s="1" t="str">
        <f>VLOOKUP(A312,[1]Detalle!$D$2:$CR$484,93,FALSE)</f>
        <v>Expreso - Servicios Troncales</v>
      </c>
    </row>
    <row r="313" spans="1:25" ht="14.25" customHeight="1" x14ac:dyDescent="0.3">
      <c r="A313" s="1" t="s">
        <v>70</v>
      </c>
      <c r="B313" s="1" t="s">
        <v>545</v>
      </c>
      <c r="C313" s="1" t="s">
        <v>545</v>
      </c>
      <c r="D313" s="1" t="s">
        <v>546</v>
      </c>
      <c r="E313" s="6">
        <v>45376</v>
      </c>
      <c r="F313" s="1">
        <v>135638</v>
      </c>
      <c r="G313" s="1">
        <v>235638</v>
      </c>
      <c r="H313" s="1">
        <v>115266.42</v>
      </c>
      <c r="I313" s="1">
        <v>-15266.42</v>
      </c>
      <c r="J313" s="1">
        <v>250904.42</v>
      </c>
      <c r="K313" s="1">
        <v>571</v>
      </c>
      <c r="L313" s="1">
        <v>252.63896296296281</v>
      </c>
      <c r="M313" s="1">
        <v>-75.625891911972275</v>
      </c>
      <c r="N313" s="7">
        <v>45947</v>
      </c>
      <c r="O313" s="1">
        <v>100000</v>
      </c>
      <c r="P313" s="7">
        <v>46342.821764097222</v>
      </c>
      <c r="Q313" s="1" t="s">
        <v>330</v>
      </c>
      <c r="T313" s="1" t="s">
        <v>547</v>
      </c>
      <c r="U313" s="1" t="s">
        <v>548</v>
      </c>
      <c r="V313" s="1">
        <v>1</v>
      </c>
      <c r="W313" s="3">
        <v>39053.760000000002</v>
      </c>
      <c r="X313" s="3">
        <v>39053.760000000002</v>
      </c>
      <c r="Y313" s="1" t="str">
        <f>VLOOKUP(A313,[1]Detalle!$D$2:$CR$484,93,FALSE)</f>
        <v>ADA_CH - Danone Arg. S.A. - Chascomus</v>
      </c>
    </row>
    <row r="314" spans="1:25" ht="14.25" customHeight="1" x14ac:dyDescent="0.3">
      <c r="A314" s="1" t="s">
        <v>95</v>
      </c>
      <c r="B314" s="1" t="s">
        <v>545</v>
      </c>
      <c r="C314" s="1" t="s">
        <v>545</v>
      </c>
      <c r="D314" s="1" t="s">
        <v>546</v>
      </c>
      <c r="E314" s="6">
        <v>45747</v>
      </c>
      <c r="F314" s="1">
        <v>131261</v>
      </c>
      <c r="G314" s="1">
        <v>231261</v>
      </c>
      <c r="H314" s="1">
        <v>49835.999999999993</v>
      </c>
      <c r="I314" s="1">
        <v>50164.000000000007</v>
      </c>
      <c r="J314" s="1">
        <v>181097</v>
      </c>
      <c r="K314" s="1">
        <v>200</v>
      </c>
      <c r="L314" s="1">
        <v>266.23473282442751</v>
      </c>
      <c r="M314" s="1">
        <v>201.31631752147061</v>
      </c>
      <c r="N314" s="7">
        <v>45947</v>
      </c>
      <c r="O314" s="1">
        <v>100000</v>
      </c>
      <c r="P314" s="7">
        <v>46148.316317523153</v>
      </c>
      <c r="Q314" s="1" t="s">
        <v>330</v>
      </c>
      <c r="T314" s="1" t="s">
        <v>547</v>
      </c>
      <c r="U314" s="1" t="s">
        <v>548</v>
      </c>
      <c r="V314" s="1">
        <v>1</v>
      </c>
      <c r="W314" s="3">
        <v>39053.760000000002</v>
      </c>
      <c r="X314" s="3">
        <v>39053.760000000002</v>
      </c>
      <c r="Y314" s="1" t="str">
        <f>VLOOKUP(A314,[1]Detalle!$D$2:$CR$484,93,FALSE)</f>
        <v>CENCOMLD - Cencosud SA - Mendoza</v>
      </c>
    </row>
    <row r="315" spans="1:25" ht="14.25" customHeight="1" x14ac:dyDescent="0.3">
      <c r="A315" s="1" t="s">
        <v>96</v>
      </c>
      <c r="B315" s="1" t="s">
        <v>545</v>
      </c>
      <c r="C315" s="1" t="s">
        <v>545</v>
      </c>
      <c r="D315" s="1" t="s">
        <v>546</v>
      </c>
      <c r="E315" s="6">
        <v>45755</v>
      </c>
      <c r="F315" s="1">
        <v>126153</v>
      </c>
      <c r="G315" s="1">
        <v>226153</v>
      </c>
      <c r="H315" s="1">
        <v>56236.30000000001</v>
      </c>
      <c r="I315" s="1">
        <v>43763.69999999999</v>
      </c>
      <c r="J315" s="1">
        <v>182389.3</v>
      </c>
      <c r="K315" s="1">
        <v>192</v>
      </c>
      <c r="L315" s="1">
        <v>281.98244274809178</v>
      </c>
      <c r="M315" s="1">
        <v>149.41648721555291</v>
      </c>
      <c r="N315" s="7">
        <v>45947</v>
      </c>
      <c r="O315" s="1">
        <v>100000</v>
      </c>
      <c r="P315" s="7">
        <v>46096.416487210648</v>
      </c>
      <c r="Q315" s="1" t="s">
        <v>330</v>
      </c>
      <c r="T315" s="1" t="s">
        <v>547</v>
      </c>
      <c r="U315" s="1" t="s">
        <v>548</v>
      </c>
      <c r="V315" s="1">
        <v>1</v>
      </c>
      <c r="W315" s="3">
        <v>39053.760000000002</v>
      </c>
      <c r="X315" s="3">
        <v>39053.760000000002</v>
      </c>
      <c r="Y315" s="1" t="str">
        <f>VLOOKUP(A315,[1]Detalle!$D$2:$CR$484,93,FALSE)</f>
        <v>CENCOMLD - Cencosud SA - Mendoza</v>
      </c>
    </row>
    <row r="316" spans="1:25" ht="14.25" customHeight="1" x14ac:dyDescent="0.3">
      <c r="A316" s="1" t="s">
        <v>97</v>
      </c>
      <c r="B316" s="1" t="s">
        <v>545</v>
      </c>
      <c r="C316" s="1" t="s">
        <v>545</v>
      </c>
      <c r="D316" s="1" t="s">
        <v>546</v>
      </c>
      <c r="E316" s="1" t="s">
        <v>337</v>
      </c>
      <c r="F316" s="1">
        <v>190237</v>
      </c>
      <c r="G316" s="1">
        <v>290237</v>
      </c>
      <c r="H316" s="1">
        <v>24028.9</v>
      </c>
      <c r="I316" s="1">
        <v>75971.100000000006</v>
      </c>
      <c r="J316" s="1">
        <v>214265.9</v>
      </c>
      <c r="K316" s="1">
        <v>93</v>
      </c>
      <c r="L316" s="1">
        <v>310.79992700729929</v>
      </c>
      <c r="M316" s="1">
        <v>294.03394662260871</v>
      </c>
      <c r="N316" s="7">
        <v>45947</v>
      </c>
      <c r="O316" s="1">
        <v>100000</v>
      </c>
      <c r="P316" s="7">
        <v>46241.033946620373</v>
      </c>
      <c r="Q316" s="1" t="s">
        <v>330</v>
      </c>
      <c r="T316" s="1" t="s">
        <v>547</v>
      </c>
      <c r="U316" s="1" t="s">
        <v>548</v>
      </c>
      <c r="V316" s="1">
        <v>1</v>
      </c>
      <c r="W316" s="3">
        <v>39053.760000000002</v>
      </c>
      <c r="X316" s="3">
        <v>39053.760000000002</v>
      </c>
      <c r="Y316" s="1" t="str">
        <f>VLOOKUP(A316,[1]Detalle!$D$2:$CR$484,93,FALSE)</f>
        <v>Expreso - Servicios Troncales</v>
      </c>
    </row>
    <row r="317" spans="1:25" ht="14.25" customHeight="1" x14ac:dyDescent="0.3">
      <c r="A317" s="1" t="s">
        <v>7</v>
      </c>
      <c r="B317" s="1" t="s">
        <v>549</v>
      </c>
      <c r="C317" s="1" t="s">
        <v>549</v>
      </c>
      <c r="D317" s="1" t="s">
        <v>550</v>
      </c>
      <c r="E317" s="6">
        <v>45371</v>
      </c>
      <c r="F317" s="1">
        <v>631045</v>
      </c>
      <c r="G317" s="1">
        <v>871045</v>
      </c>
      <c r="H317" s="1">
        <v>162494.29999999999</v>
      </c>
      <c r="I317" s="1">
        <v>77505.700000000012</v>
      </c>
      <c r="J317" s="1">
        <v>793539.3</v>
      </c>
      <c r="K317" s="1">
        <v>576</v>
      </c>
      <c r="L317" s="1">
        <v>282.61870229007633</v>
      </c>
      <c r="M317" s="1">
        <v>274.73753356271578</v>
      </c>
      <c r="N317" s="7">
        <v>45947</v>
      </c>
      <c r="O317" s="1">
        <v>240000</v>
      </c>
      <c r="P317" s="7">
        <v>46221.737533564818</v>
      </c>
      <c r="Q317" s="1" t="s">
        <v>330</v>
      </c>
      <c r="W317" s="3"/>
      <c r="X317" s="3">
        <v>0</v>
      </c>
      <c r="Y317" s="1" t="str">
        <f>VLOOKUP(A317,[1]Detalle!$D$2:$CR$484,93,FALSE)</f>
        <v>ADA_CH - Danone Arg. S.A. - Chascomus</v>
      </c>
    </row>
    <row r="318" spans="1:25" ht="14.25" customHeight="1" x14ac:dyDescent="0.3">
      <c r="A318" s="1" t="s">
        <v>9</v>
      </c>
      <c r="B318" s="1" t="s">
        <v>549</v>
      </c>
      <c r="C318" s="1" t="s">
        <v>549</v>
      </c>
      <c r="D318" s="1" t="s">
        <v>550</v>
      </c>
      <c r="E318" s="6">
        <v>45262</v>
      </c>
      <c r="F318" s="1">
        <v>666084</v>
      </c>
      <c r="G318" s="1">
        <v>906084</v>
      </c>
      <c r="H318" s="1">
        <v>206192.14</v>
      </c>
      <c r="I318" s="1">
        <v>33807.860000000022</v>
      </c>
      <c r="J318" s="1">
        <v>872276.14</v>
      </c>
      <c r="K318" s="1">
        <v>685</v>
      </c>
      <c r="L318" s="1">
        <v>352.51014814814829</v>
      </c>
      <c r="M318" s="1">
        <v>112.3145824084275</v>
      </c>
      <c r="N318" s="7">
        <v>45947</v>
      </c>
      <c r="O318" s="1">
        <v>240000</v>
      </c>
      <c r="P318" s="7">
        <v>46059.314582407409</v>
      </c>
      <c r="Q318" s="1" t="s">
        <v>330</v>
      </c>
      <c r="W318" s="3"/>
      <c r="X318" s="3">
        <v>0</v>
      </c>
      <c r="Y318" s="1" t="str">
        <f>VLOOKUP(A318,[1]Detalle!$D$2:$CR$484,93,FALSE)</f>
        <v>ADA_CH - Danone Arg. S.A. - Chascomus</v>
      </c>
    </row>
    <row r="319" spans="1:25" ht="14.25" customHeight="1" x14ac:dyDescent="0.3">
      <c r="A319" s="1" t="s">
        <v>207</v>
      </c>
      <c r="B319" s="1" t="s">
        <v>551</v>
      </c>
      <c r="C319" s="1" t="s">
        <v>551</v>
      </c>
      <c r="D319" s="1" t="s">
        <v>552</v>
      </c>
      <c r="E319" s="1" t="s">
        <v>337</v>
      </c>
      <c r="F319" s="1">
        <v>334664</v>
      </c>
      <c r="G319" s="1">
        <v>364664</v>
      </c>
      <c r="H319" s="1">
        <v>9329.5</v>
      </c>
      <c r="I319" s="1">
        <v>20670.5</v>
      </c>
      <c r="J319" s="1">
        <v>343993.5</v>
      </c>
      <c r="K319" s="1">
        <v>108</v>
      </c>
      <c r="L319" s="1">
        <v>86.162316176470569</v>
      </c>
      <c r="M319" s="1">
        <v>239.2854922557479</v>
      </c>
      <c r="N319" s="7">
        <v>45947</v>
      </c>
      <c r="O319" s="1">
        <v>30000</v>
      </c>
      <c r="P319" s="7">
        <v>46186.285492256953</v>
      </c>
      <c r="Q319" s="1" t="s">
        <v>330</v>
      </c>
      <c r="W319" s="3"/>
      <c r="X319" s="3">
        <v>0</v>
      </c>
      <c r="Y319" s="1" t="str">
        <f>VLOOKUP(A319,[1]Detalle!$D$2:$CR$484,93,FALSE)</f>
        <v>Arcor S.A.I.C.</v>
      </c>
    </row>
    <row r="320" spans="1:25" ht="14.25" customHeight="1" x14ac:dyDescent="0.3">
      <c r="A320" s="1" t="s">
        <v>21</v>
      </c>
      <c r="B320" s="1" t="s">
        <v>551</v>
      </c>
      <c r="C320" s="1" t="s">
        <v>551</v>
      </c>
      <c r="D320" s="1" t="s">
        <v>552</v>
      </c>
      <c r="E320" s="1" t="s">
        <v>337</v>
      </c>
      <c r="F320" s="1">
        <v>67125.100000000006</v>
      </c>
      <c r="G320" s="1">
        <v>97125.1</v>
      </c>
      <c r="H320" s="1">
        <v>5906.4999999999982</v>
      </c>
      <c r="I320" s="1">
        <v>24093.5</v>
      </c>
      <c r="J320" s="1">
        <v>73031.600000000006</v>
      </c>
      <c r="K320" s="1">
        <v>108</v>
      </c>
      <c r="L320" s="1">
        <v>47.570444444444483</v>
      </c>
      <c r="M320" s="1">
        <v>440.5482095995938</v>
      </c>
      <c r="N320" s="7">
        <v>45947</v>
      </c>
      <c r="O320" s="1">
        <v>30000</v>
      </c>
      <c r="P320" s="7">
        <v>46387.548209594897</v>
      </c>
      <c r="Q320" s="1" t="s">
        <v>330</v>
      </c>
      <c r="W320" s="3"/>
      <c r="X320" s="3">
        <v>0</v>
      </c>
      <c r="Y320" s="1" t="str">
        <f>VLOOKUP(A320,[1]Detalle!$D$2:$CR$484,93,FALSE)</f>
        <v>CMQ_TTE - QUILMES TTE</v>
      </c>
    </row>
    <row r="321" spans="1:25" ht="14.25" customHeight="1" x14ac:dyDescent="0.3">
      <c r="A321" s="1" t="s">
        <v>26</v>
      </c>
      <c r="B321" s="1" t="s">
        <v>551</v>
      </c>
      <c r="C321" s="1" t="s">
        <v>551</v>
      </c>
      <c r="D321" s="1" t="s">
        <v>552</v>
      </c>
      <c r="E321" s="1" t="s">
        <v>337</v>
      </c>
      <c r="F321" s="1">
        <v>67617</v>
      </c>
      <c r="G321" s="1">
        <v>97617</v>
      </c>
      <c r="H321" s="1">
        <v>5978.5999999999995</v>
      </c>
      <c r="I321" s="1">
        <v>24021.4</v>
      </c>
      <c r="J321" s="1">
        <v>73595.600000000006</v>
      </c>
      <c r="K321" s="1">
        <v>108</v>
      </c>
      <c r="L321" s="1">
        <v>51.578014705882367</v>
      </c>
      <c r="M321" s="1">
        <v>433.93289398855927</v>
      </c>
      <c r="N321" s="7">
        <v>45947</v>
      </c>
      <c r="O321" s="1">
        <v>30000</v>
      </c>
      <c r="P321" s="7">
        <v>46380.932893993056</v>
      </c>
      <c r="Q321" s="1" t="s">
        <v>330</v>
      </c>
      <c r="W321" s="3"/>
      <c r="X321" s="3">
        <v>0</v>
      </c>
      <c r="Y321" s="1" t="str">
        <f>VLOOKUP(A321,[1]Detalle!$D$2:$CR$484,93,FALSE)</f>
        <v>CMQ_TTE - QUILMES TTE</v>
      </c>
    </row>
    <row r="322" spans="1:25" ht="14.25" customHeight="1" x14ac:dyDescent="0.3">
      <c r="A322" s="1" t="s">
        <v>208</v>
      </c>
      <c r="B322" s="1" t="s">
        <v>551</v>
      </c>
      <c r="C322" s="1" t="s">
        <v>551</v>
      </c>
      <c r="D322" s="1" t="s">
        <v>552</v>
      </c>
      <c r="E322" s="1" t="s">
        <v>337</v>
      </c>
      <c r="F322" s="1">
        <v>272080</v>
      </c>
      <c r="G322" s="1">
        <v>302080</v>
      </c>
      <c r="H322" s="1">
        <v>8704.6999999999971</v>
      </c>
      <c r="I322" s="1">
        <v>21295.3</v>
      </c>
      <c r="J322" s="1">
        <v>280784.7</v>
      </c>
      <c r="K322" s="1">
        <v>108</v>
      </c>
      <c r="L322" s="1">
        <v>86.131808118081167</v>
      </c>
      <c r="M322" s="1">
        <v>264.21271267246442</v>
      </c>
      <c r="N322" s="7">
        <v>45947</v>
      </c>
      <c r="O322" s="1">
        <v>30000</v>
      </c>
      <c r="P322" s="7">
        <v>46211.212712673609</v>
      </c>
      <c r="Q322" s="1" t="s">
        <v>330</v>
      </c>
      <c r="W322" s="3"/>
      <c r="X322" s="3">
        <v>0</v>
      </c>
      <c r="Y322" s="1" t="str">
        <f>VLOOKUP(A322,[1]Detalle!$D$2:$CR$484,93,FALSE)</f>
        <v>Arcor S.A.I.C.</v>
      </c>
    </row>
    <row r="323" spans="1:25" ht="14.25" customHeight="1" x14ac:dyDescent="0.3">
      <c r="A323" s="1" t="s">
        <v>43</v>
      </c>
      <c r="B323" s="1" t="s">
        <v>551</v>
      </c>
      <c r="C323" s="1" t="s">
        <v>551</v>
      </c>
      <c r="D323" s="1" t="s">
        <v>552</v>
      </c>
      <c r="E323" s="1" t="s">
        <v>337</v>
      </c>
      <c r="F323" s="1">
        <v>65168</v>
      </c>
      <c r="G323" s="1">
        <v>95168</v>
      </c>
      <c r="H323" s="1">
        <v>5979.6999999999989</v>
      </c>
      <c r="I323" s="1">
        <v>24020.3</v>
      </c>
      <c r="J323" s="1">
        <v>71147.7</v>
      </c>
      <c r="K323" s="1">
        <v>108</v>
      </c>
      <c r="L323" s="1">
        <v>51.939962962962959</v>
      </c>
      <c r="M323" s="1">
        <v>433.83320233456539</v>
      </c>
      <c r="N323" s="7">
        <v>45947</v>
      </c>
      <c r="O323" s="1">
        <v>30000</v>
      </c>
      <c r="P323" s="7">
        <v>46380.833202337963</v>
      </c>
      <c r="Q323" s="1" t="s">
        <v>330</v>
      </c>
      <c r="W323" s="3"/>
      <c r="X323" s="3">
        <v>0</v>
      </c>
      <c r="Y323" s="1" t="str">
        <f>VLOOKUP(A323,[1]Detalle!$D$2:$CR$484,93,FALSE)</f>
        <v>CMQ_TTE - QUILMES TTE</v>
      </c>
    </row>
    <row r="324" spans="1:25" ht="14.25" customHeight="1" x14ac:dyDescent="0.3">
      <c r="A324" s="1" t="s">
        <v>52</v>
      </c>
      <c r="B324" s="1" t="s">
        <v>551</v>
      </c>
      <c r="C324" s="1" t="s">
        <v>551</v>
      </c>
      <c r="D324" s="1" t="s">
        <v>552</v>
      </c>
      <c r="E324" s="1" t="s">
        <v>337</v>
      </c>
      <c r="F324" s="1">
        <v>56099.199999999997</v>
      </c>
      <c r="G324" s="1">
        <v>86099.199999999997</v>
      </c>
      <c r="H324" s="1">
        <v>6112.0999999999976</v>
      </c>
      <c r="I324" s="1">
        <v>23887.9</v>
      </c>
      <c r="J324" s="1">
        <v>62211.3</v>
      </c>
      <c r="K324" s="1">
        <v>108</v>
      </c>
      <c r="L324" s="1">
        <v>53.502481203007598</v>
      </c>
      <c r="M324" s="1">
        <v>422.09603900459763</v>
      </c>
      <c r="N324" s="7">
        <v>45947</v>
      </c>
      <c r="O324" s="1">
        <v>30000</v>
      </c>
      <c r="P324" s="7">
        <v>46369.096039004631</v>
      </c>
      <c r="Q324" s="1" t="s">
        <v>330</v>
      </c>
      <c r="W324" s="3"/>
      <c r="X324" s="3">
        <v>0</v>
      </c>
      <c r="Y324" s="1" t="str">
        <f>VLOOKUP(A324,[1]Detalle!$D$2:$CR$484,93,FALSE)</f>
        <v>CMQ_TTE - QUILMES TTE</v>
      </c>
    </row>
    <row r="325" spans="1:25" ht="14.25" customHeight="1" x14ac:dyDescent="0.3">
      <c r="A325" s="1" t="s">
        <v>132</v>
      </c>
      <c r="B325" s="1" t="s">
        <v>551</v>
      </c>
      <c r="C325" s="1" t="s">
        <v>551</v>
      </c>
      <c r="D325" s="1" t="s">
        <v>552</v>
      </c>
      <c r="E325" s="1" t="s">
        <v>337</v>
      </c>
      <c r="F325" s="1">
        <v>248719</v>
      </c>
      <c r="G325" s="1">
        <v>278719</v>
      </c>
      <c r="H325" s="1">
        <v>6463.5999999999995</v>
      </c>
      <c r="I325" s="1">
        <v>23536.400000000001</v>
      </c>
      <c r="J325" s="1">
        <v>255182.6</v>
      </c>
      <c r="K325" s="1">
        <v>108</v>
      </c>
      <c r="L325" s="1">
        <v>61.857388059701528</v>
      </c>
      <c r="M325" s="1">
        <v>393.26864286156331</v>
      </c>
      <c r="N325" s="7">
        <v>45947</v>
      </c>
      <c r="O325" s="1">
        <v>30000</v>
      </c>
      <c r="P325" s="7">
        <v>46340.268642858799</v>
      </c>
      <c r="Q325" s="1" t="s">
        <v>330</v>
      </c>
      <c r="W325" s="3"/>
      <c r="X325" s="3">
        <v>0</v>
      </c>
      <c r="Y325" s="1" t="str">
        <f>VLOOKUP(A325,[1]Detalle!$D$2:$CR$484,93,FALSE)</f>
        <v>Topacio</v>
      </c>
    </row>
    <row r="326" spans="1:25" ht="14.25" customHeight="1" x14ac:dyDescent="0.3">
      <c r="A326" s="1" t="s">
        <v>138</v>
      </c>
      <c r="B326" s="1" t="s">
        <v>551</v>
      </c>
      <c r="C326" s="1" t="s">
        <v>551</v>
      </c>
      <c r="D326" s="1" t="s">
        <v>552</v>
      </c>
      <c r="E326" s="6">
        <v>45356</v>
      </c>
      <c r="F326" s="1">
        <v>0</v>
      </c>
      <c r="G326" s="1">
        <v>30000</v>
      </c>
      <c r="H326" s="1">
        <v>65578.489999999947</v>
      </c>
      <c r="I326" s="1">
        <v>-35578.489999999947</v>
      </c>
      <c r="J326" s="1">
        <v>65578.489999999947</v>
      </c>
      <c r="K326" s="1">
        <v>591</v>
      </c>
      <c r="L326" s="1">
        <v>129.25862179487169</v>
      </c>
      <c r="M326" s="1">
        <v>-320.63695870398948</v>
      </c>
      <c r="N326" s="7">
        <v>45947</v>
      </c>
      <c r="O326" s="1">
        <v>30000</v>
      </c>
      <c r="P326" s="7">
        <v>46179.092835150463</v>
      </c>
      <c r="Q326" s="1" t="s">
        <v>330</v>
      </c>
      <c r="W326" s="3"/>
      <c r="X326" s="3">
        <v>0</v>
      </c>
      <c r="Y326" s="1" t="str">
        <f>VLOOKUP(A326,[1]Detalle!$D$2:$CR$484,93,FALSE)</f>
        <v>SUC_MEN - Sucursal Mendoza</v>
      </c>
    </row>
    <row r="327" spans="1:25" ht="14.25" customHeight="1" x14ac:dyDescent="0.3">
      <c r="A327" s="1" t="s">
        <v>140</v>
      </c>
      <c r="B327" s="1" t="s">
        <v>551</v>
      </c>
      <c r="C327" s="1" t="s">
        <v>551</v>
      </c>
      <c r="D327" s="1" t="s">
        <v>552</v>
      </c>
      <c r="E327" s="6">
        <v>45355</v>
      </c>
      <c r="F327" s="1">
        <v>0</v>
      </c>
      <c r="G327" s="1">
        <v>30000</v>
      </c>
      <c r="H327" s="1">
        <v>17769.67000000002</v>
      </c>
      <c r="I327" s="1">
        <v>12230.32999999998</v>
      </c>
      <c r="J327" s="1">
        <v>17769.67000000002</v>
      </c>
      <c r="K327" s="1">
        <v>592</v>
      </c>
      <c r="L327" s="1">
        <v>30.7326948051948</v>
      </c>
      <c r="M327" s="1">
        <v>407.45581431731569</v>
      </c>
      <c r="N327" s="7">
        <v>45947</v>
      </c>
      <c r="O327" s="1">
        <v>30000</v>
      </c>
      <c r="P327" s="7">
        <v>46354.455814317131</v>
      </c>
      <c r="Q327" s="1" t="s">
        <v>330</v>
      </c>
      <c r="W327" s="3"/>
      <c r="X327" s="3">
        <v>0</v>
      </c>
      <c r="Y327" s="1" t="str">
        <f>VLOOKUP(A327,[1]Detalle!$D$2:$CR$484,93,FALSE)</f>
        <v>CCU_MZA - Comp. Cerv. Unidas - MZA</v>
      </c>
    </row>
    <row r="328" spans="1:25" ht="14.25" customHeight="1" x14ac:dyDescent="0.3">
      <c r="A328" s="1" t="s">
        <v>156</v>
      </c>
      <c r="B328" s="1" t="s">
        <v>551</v>
      </c>
      <c r="C328" s="1" t="s">
        <v>551</v>
      </c>
      <c r="D328" s="1" t="s">
        <v>552</v>
      </c>
      <c r="E328" s="6">
        <v>45357</v>
      </c>
      <c r="F328" s="1">
        <v>0</v>
      </c>
      <c r="G328" s="1">
        <v>30000</v>
      </c>
      <c r="H328" s="1">
        <v>17273.370000000032</v>
      </c>
      <c r="I328" s="1">
        <v>12726.62999999997</v>
      </c>
      <c r="J328" s="1">
        <v>17273.370000000032</v>
      </c>
      <c r="K328" s="1">
        <v>590</v>
      </c>
      <c r="L328" s="1">
        <v>29.350544871794892</v>
      </c>
      <c r="M328" s="1">
        <v>434.69871252685328</v>
      </c>
      <c r="N328" s="7">
        <v>45947</v>
      </c>
      <c r="O328" s="1">
        <v>30000</v>
      </c>
      <c r="P328" s="7">
        <v>46381.698712523154</v>
      </c>
      <c r="Q328" s="1" t="s">
        <v>330</v>
      </c>
      <c r="W328" s="3"/>
      <c r="X328" s="3">
        <v>0</v>
      </c>
      <c r="Y328" s="1" t="str">
        <f>VLOOKUP(A328,[1]Detalle!$D$2:$CR$484,93,FALSE)</f>
        <v>CCU_MZA - Comp. Cerv. Unidas - MZA</v>
      </c>
    </row>
    <row r="329" spans="1:25" ht="14.25" customHeight="1" x14ac:dyDescent="0.3">
      <c r="A329" s="1" t="s">
        <v>119</v>
      </c>
      <c r="B329" s="1" t="s">
        <v>551</v>
      </c>
      <c r="C329" s="1" t="s">
        <v>551</v>
      </c>
      <c r="D329" s="1" t="s">
        <v>552</v>
      </c>
      <c r="E329" s="1" t="s">
        <v>337</v>
      </c>
      <c r="F329" s="1">
        <v>358562</v>
      </c>
      <c r="G329" s="1">
        <v>388562</v>
      </c>
      <c r="H329" s="1">
        <v>10761.6</v>
      </c>
      <c r="I329" s="1">
        <v>19238.400000000001</v>
      </c>
      <c r="J329" s="1">
        <v>369323.6</v>
      </c>
      <c r="K329" s="1">
        <v>108</v>
      </c>
      <c r="L329" s="1">
        <v>95.559666666666672</v>
      </c>
      <c r="M329" s="1">
        <v>193.07047279214979</v>
      </c>
      <c r="N329" s="7">
        <v>45947</v>
      </c>
      <c r="O329" s="1">
        <v>30000</v>
      </c>
      <c r="P329" s="7">
        <v>46140.070472789354</v>
      </c>
      <c r="Q329" s="1" t="s">
        <v>330</v>
      </c>
      <c r="W329" s="3"/>
      <c r="X329" s="3">
        <v>0</v>
      </c>
      <c r="Y329" s="1" t="str">
        <f>VLOOKUP(A329,[1]Detalle!$D$2:$CR$484,93,FALSE)</f>
        <v>SUC_CTC - Sucursal Buenos Aires</v>
      </c>
    </row>
    <row r="330" spans="1:25" ht="14.25" customHeight="1" x14ac:dyDescent="0.3">
      <c r="A330" s="1" t="s">
        <v>123</v>
      </c>
      <c r="B330" s="1" t="s">
        <v>551</v>
      </c>
      <c r="C330" s="1" t="s">
        <v>551</v>
      </c>
      <c r="D330" s="1" t="s">
        <v>552</v>
      </c>
      <c r="E330" s="1" t="s">
        <v>337</v>
      </c>
      <c r="F330" s="1">
        <v>308154</v>
      </c>
      <c r="G330" s="1">
        <v>338154</v>
      </c>
      <c r="H330" s="1">
        <v>11438.1</v>
      </c>
      <c r="I330" s="1">
        <v>18561.900000000001</v>
      </c>
      <c r="J330" s="1">
        <v>319592.09999999998</v>
      </c>
      <c r="K330" s="1">
        <v>108</v>
      </c>
      <c r="L330" s="1">
        <v>96.824519230769212</v>
      </c>
      <c r="M330" s="1">
        <v>175.2638287827524</v>
      </c>
      <c r="N330" s="7">
        <v>45947</v>
      </c>
      <c r="O330" s="1">
        <v>30000</v>
      </c>
      <c r="P330" s="7">
        <v>46122.263828784722</v>
      </c>
      <c r="Q330" s="1" t="s">
        <v>330</v>
      </c>
      <c r="W330" s="3"/>
      <c r="X330" s="3">
        <v>0</v>
      </c>
      <c r="Y330" s="1" t="str">
        <f>VLOOKUP(A330,[1]Detalle!$D$2:$CR$484,93,FALSE)</f>
        <v>SUC_SRA - Sucursal San Rafael</v>
      </c>
    </row>
    <row r="331" spans="1:25" ht="14.25" customHeight="1" x14ac:dyDescent="0.3">
      <c r="A331" s="1" t="s">
        <v>111</v>
      </c>
      <c r="B331" s="1" t="s">
        <v>551</v>
      </c>
      <c r="C331" s="1" t="s">
        <v>551</v>
      </c>
      <c r="D331" s="1" t="s">
        <v>552</v>
      </c>
      <c r="E331" s="1" t="s">
        <v>337</v>
      </c>
      <c r="F331" s="1">
        <v>29376</v>
      </c>
      <c r="G331" s="1">
        <v>59376</v>
      </c>
      <c r="H331" s="1">
        <v>18480.600000000009</v>
      </c>
      <c r="I331" s="1">
        <v>11519.399999999991</v>
      </c>
      <c r="J331" s="1">
        <v>47856.600000000013</v>
      </c>
      <c r="K331" s="1">
        <v>108</v>
      </c>
      <c r="L331" s="1">
        <v>104.473717948718</v>
      </c>
      <c r="M331" s="1">
        <v>67.318983149897676</v>
      </c>
      <c r="N331" s="7">
        <v>45947</v>
      </c>
      <c r="O331" s="1">
        <v>30000</v>
      </c>
      <c r="P331" s="7">
        <v>46301.472542812502</v>
      </c>
      <c r="Q331" s="1" t="s">
        <v>330</v>
      </c>
      <c r="W331" s="3"/>
      <c r="X331" s="3">
        <v>0</v>
      </c>
      <c r="Y331" s="1" t="str">
        <f>VLOOKUP(A331,[1]Detalle!$D$2:$CR$484,93,FALSE)</f>
        <v>SUC_MEN - Sucursal Mendoza</v>
      </c>
    </row>
    <row r="332" spans="1:25" ht="14.25" customHeight="1" x14ac:dyDescent="0.3">
      <c r="A332" s="1" t="s">
        <v>182</v>
      </c>
      <c r="B332" s="1" t="s">
        <v>551</v>
      </c>
      <c r="C332" s="1" t="s">
        <v>551</v>
      </c>
      <c r="D332" s="1" t="s">
        <v>552</v>
      </c>
      <c r="E332" s="6">
        <v>45355</v>
      </c>
      <c r="F332" s="1">
        <v>0</v>
      </c>
      <c r="G332" s="1">
        <v>30000</v>
      </c>
      <c r="H332" s="1">
        <v>20372.98</v>
      </c>
      <c r="I332" s="1">
        <v>9627.02</v>
      </c>
      <c r="J332" s="1">
        <v>20372.98</v>
      </c>
      <c r="K332" s="1">
        <v>592</v>
      </c>
      <c r="L332" s="1">
        <v>28.6028387096774</v>
      </c>
      <c r="M332" s="1">
        <v>279.7428672683132</v>
      </c>
      <c r="N332" s="7">
        <v>45947</v>
      </c>
      <c r="O332" s="1">
        <v>30000</v>
      </c>
      <c r="P332" s="7">
        <v>46226.74286726852</v>
      </c>
      <c r="Q332" s="1" t="s">
        <v>330</v>
      </c>
      <c r="W332" s="3"/>
      <c r="X332" s="3">
        <v>0</v>
      </c>
      <c r="Y332" s="1" t="str">
        <f>VLOOKUP(A332,[1]Detalle!$D$2:$CR$484,93,FALSE)</f>
        <v>CCU_MZA - Comp. Cerv. Unidas - MZA</v>
      </c>
    </row>
    <row r="333" spans="1:25" ht="14.25" customHeight="1" x14ac:dyDescent="0.3">
      <c r="A333" s="1" t="s">
        <v>210</v>
      </c>
      <c r="B333" s="1" t="s">
        <v>551</v>
      </c>
      <c r="C333" s="1" t="s">
        <v>551</v>
      </c>
      <c r="D333" s="1" t="s">
        <v>552</v>
      </c>
      <c r="E333" s="1" t="s">
        <v>337</v>
      </c>
      <c r="F333" s="1">
        <v>354808</v>
      </c>
      <c r="G333" s="1">
        <v>384808</v>
      </c>
      <c r="H333" s="1">
        <v>6984.4000000000024</v>
      </c>
      <c r="I333" s="1">
        <v>23015.599999999999</v>
      </c>
      <c r="J333" s="1">
        <v>361792.4</v>
      </c>
      <c r="K333" s="1">
        <v>108</v>
      </c>
      <c r="L333" s="1">
        <v>66.651970260223024</v>
      </c>
      <c r="M333" s="1">
        <v>355.89095698986301</v>
      </c>
      <c r="N333" s="7">
        <v>45947</v>
      </c>
      <c r="O333" s="1">
        <v>30000</v>
      </c>
      <c r="P333" s="7">
        <v>46302.890956990741</v>
      </c>
      <c r="Q333" s="1" t="s">
        <v>330</v>
      </c>
      <c r="W333" s="3"/>
      <c r="X333" s="3">
        <v>0</v>
      </c>
      <c r="Y333" s="1" t="str">
        <f>VLOOKUP(A333,[1]Detalle!$D$2:$CR$484,93,FALSE)</f>
        <v>Topacio</v>
      </c>
    </row>
    <row r="334" spans="1:25" ht="14.25" customHeight="1" x14ac:dyDescent="0.3">
      <c r="A334" s="1" t="s">
        <v>153</v>
      </c>
      <c r="B334" s="1" t="s">
        <v>551</v>
      </c>
      <c r="C334" s="1" t="s">
        <v>551</v>
      </c>
      <c r="D334" s="1" t="s">
        <v>552</v>
      </c>
      <c r="E334" s="1" t="s">
        <v>337</v>
      </c>
      <c r="F334" s="1">
        <v>62342.400000000001</v>
      </c>
      <c r="G334" s="1">
        <v>92342.399999999994</v>
      </c>
      <c r="H334" s="1">
        <v>32041</v>
      </c>
      <c r="I334" s="1">
        <v>-2041</v>
      </c>
      <c r="J334" s="1">
        <v>94383.4</v>
      </c>
      <c r="K334" s="1">
        <v>108</v>
      </c>
      <c r="L334" s="1">
        <v>215.45547231270371</v>
      </c>
      <c r="M334" s="1">
        <v>-6.8795605630286198</v>
      </c>
      <c r="N334" s="7">
        <v>45947</v>
      </c>
      <c r="O334" s="1">
        <v>30000</v>
      </c>
      <c r="P334" s="7">
        <v>46086.239907337957</v>
      </c>
      <c r="Q334" s="1" t="s">
        <v>330</v>
      </c>
      <c r="W334" s="3"/>
      <c r="X334" s="3">
        <v>0</v>
      </c>
      <c r="Y334" s="1" t="str">
        <f>VLOOKUP(A334,[1]Detalle!$D$2:$CR$484,93,FALSE)</f>
        <v>SUC_CTC - Sucursal Buenos Aires</v>
      </c>
    </row>
    <row r="335" spans="1:25" ht="14.25" customHeight="1" x14ac:dyDescent="0.3">
      <c r="A335" s="1" t="s">
        <v>246</v>
      </c>
      <c r="B335" s="1" t="s">
        <v>551</v>
      </c>
      <c r="C335" s="1" t="s">
        <v>551</v>
      </c>
      <c r="D335" s="1" t="s">
        <v>552</v>
      </c>
      <c r="E335" s="1" t="s">
        <v>337</v>
      </c>
      <c r="F335" s="1">
        <v>20223.400000000001</v>
      </c>
      <c r="G335" s="1">
        <v>50223.4</v>
      </c>
      <c r="H335" s="1">
        <v>6741.7999999999993</v>
      </c>
      <c r="I335" s="1">
        <v>23258.2</v>
      </c>
      <c r="J335" s="1">
        <v>26965.200000000001</v>
      </c>
      <c r="K335" s="1">
        <v>108</v>
      </c>
      <c r="L335" s="1">
        <v>58.37214814814817</v>
      </c>
      <c r="M335" s="1">
        <v>372.58382034471509</v>
      </c>
      <c r="N335" s="7">
        <v>45947</v>
      </c>
      <c r="O335" s="1">
        <v>30000</v>
      </c>
      <c r="P335" s="7">
        <v>46319.583820347223</v>
      </c>
      <c r="Q335" s="1" t="s">
        <v>330</v>
      </c>
      <c r="W335" s="3"/>
      <c r="X335" s="3">
        <v>0</v>
      </c>
      <c r="Y335" s="1" t="str">
        <f>VLOOKUP(A335,[1]Detalle!$D$2:$CR$484,93,FALSE)</f>
        <v>Papelera - Papelera del Plata S.A.</v>
      </c>
    </row>
    <row r="336" spans="1:25" ht="14.25" customHeight="1" x14ac:dyDescent="0.3">
      <c r="A336" s="1" t="s">
        <v>134</v>
      </c>
      <c r="B336" s="1" t="s">
        <v>551</v>
      </c>
      <c r="C336" s="1" t="s">
        <v>551</v>
      </c>
      <c r="D336" s="1" t="s">
        <v>552</v>
      </c>
      <c r="E336" s="1" t="s">
        <v>337</v>
      </c>
      <c r="F336" s="1">
        <v>372189</v>
      </c>
      <c r="G336" s="1">
        <v>402189</v>
      </c>
      <c r="H336" s="1">
        <v>8458.4</v>
      </c>
      <c r="I336" s="1">
        <v>21541.599999999999</v>
      </c>
      <c r="J336" s="1">
        <v>380647.4</v>
      </c>
      <c r="K336" s="1">
        <v>108</v>
      </c>
      <c r="L336" s="1">
        <v>73.269176029962509</v>
      </c>
      <c r="M336" s="1">
        <v>275.05116806961132</v>
      </c>
      <c r="N336" s="7">
        <v>45947</v>
      </c>
      <c r="O336" s="1">
        <v>30000</v>
      </c>
      <c r="P336" s="7">
        <v>46222.051168067133</v>
      </c>
      <c r="Q336" s="1" t="s">
        <v>330</v>
      </c>
      <c r="W336" s="3"/>
      <c r="X336" s="3">
        <v>0</v>
      </c>
      <c r="Y336" s="1" t="str">
        <f>VLOOKUP(A336,[1]Detalle!$D$2:$CR$484,93,FALSE)</f>
        <v>SUC_CTC - Sucursal Buenos Aires</v>
      </c>
    </row>
    <row r="337" spans="1:25" ht="14.25" customHeight="1" x14ac:dyDescent="0.3">
      <c r="A337" s="1" t="s">
        <v>120</v>
      </c>
      <c r="B337" s="1" t="s">
        <v>551</v>
      </c>
      <c r="C337" s="1" t="s">
        <v>551</v>
      </c>
      <c r="D337" s="1" t="s">
        <v>552</v>
      </c>
      <c r="E337" s="1" t="s">
        <v>337</v>
      </c>
      <c r="F337" s="1">
        <v>34907.699999999997</v>
      </c>
      <c r="G337" s="1">
        <v>64907.7</v>
      </c>
      <c r="H337" s="1">
        <v>12143.5</v>
      </c>
      <c r="I337" s="1">
        <v>17856.5</v>
      </c>
      <c r="J337" s="1">
        <v>47051.199999999997</v>
      </c>
      <c r="K337" s="1">
        <v>108</v>
      </c>
      <c r="L337" s="1">
        <v>86.918456591639867</v>
      </c>
      <c r="M337" s="1">
        <v>158.8094042080125</v>
      </c>
      <c r="N337" s="7">
        <v>45947</v>
      </c>
      <c r="O337" s="1">
        <v>30000</v>
      </c>
      <c r="P337" s="7">
        <v>46105.80940421296</v>
      </c>
      <c r="Q337" s="1" t="s">
        <v>330</v>
      </c>
      <c r="W337" s="3"/>
      <c r="X337" s="3">
        <v>0</v>
      </c>
      <c r="Y337" s="1" t="str">
        <f>VLOOKUP(A337,[1]Detalle!$D$2:$CR$484,93,FALSE)</f>
        <v>SUC_MEN - Sucursal Mendoza</v>
      </c>
    </row>
    <row r="338" spans="1:25" ht="14.25" customHeight="1" x14ac:dyDescent="0.3">
      <c r="A338" s="1" t="s">
        <v>141</v>
      </c>
      <c r="B338" s="1" t="s">
        <v>551</v>
      </c>
      <c r="C338" s="1" t="s">
        <v>551</v>
      </c>
      <c r="D338" s="1" t="s">
        <v>552</v>
      </c>
      <c r="E338" s="1" t="s">
        <v>337</v>
      </c>
      <c r="F338" s="1">
        <v>479305</v>
      </c>
      <c r="G338" s="1">
        <v>509305</v>
      </c>
      <c r="H338" s="1">
        <v>12745.8</v>
      </c>
      <c r="I338" s="1">
        <v>17254.2</v>
      </c>
      <c r="J338" s="1">
        <v>492050.8</v>
      </c>
      <c r="K338" s="1">
        <v>108</v>
      </c>
      <c r="L338" s="1">
        <v>131.1199356913184</v>
      </c>
      <c r="M338" s="1">
        <v>146.2013839853129</v>
      </c>
      <c r="N338" s="7">
        <v>45947</v>
      </c>
      <c r="O338" s="1">
        <v>30000</v>
      </c>
      <c r="P338" s="7">
        <v>46093.201383981483</v>
      </c>
      <c r="Q338" s="1" t="s">
        <v>330</v>
      </c>
      <c r="W338" s="3"/>
      <c r="X338" s="3">
        <v>0</v>
      </c>
      <c r="Y338" s="1" t="str">
        <f>VLOOKUP(A338,[1]Detalle!$D$2:$CR$484,93,FALSE)</f>
        <v>Unilever - Unilever de Arg. S.A.</v>
      </c>
    </row>
    <row r="339" spans="1:25" ht="14.25" customHeight="1" x14ac:dyDescent="0.3">
      <c r="A339" s="1" t="s">
        <v>150</v>
      </c>
      <c r="B339" s="1" t="s">
        <v>551</v>
      </c>
      <c r="C339" s="1" t="s">
        <v>551</v>
      </c>
      <c r="D339" s="1" t="s">
        <v>552</v>
      </c>
      <c r="E339" s="1" t="s">
        <v>337</v>
      </c>
      <c r="F339" s="1">
        <v>721574</v>
      </c>
      <c r="G339" s="1">
        <v>751574</v>
      </c>
      <c r="H339" s="1">
        <v>18803.3</v>
      </c>
      <c r="I339" s="1">
        <v>11196.7</v>
      </c>
      <c r="J339" s="1">
        <v>740377.3</v>
      </c>
      <c r="K339" s="1">
        <v>108</v>
      </c>
      <c r="L339" s="1">
        <v>143.50707395498381</v>
      </c>
      <c r="M339" s="1">
        <v>64.310179596134731</v>
      </c>
      <c r="N339" s="7">
        <v>45947</v>
      </c>
      <c r="O339" s="1">
        <v>30000</v>
      </c>
      <c r="P339" s="7">
        <v>46220.359107800927</v>
      </c>
      <c r="Q339" s="1" t="s">
        <v>330</v>
      </c>
      <c r="W339" s="3"/>
      <c r="X339" s="3">
        <v>0</v>
      </c>
      <c r="Y339" s="1" t="str">
        <f>VLOOKUP(A339,[1]Detalle!$D$2:$CR$484,93,FALSE)</f>
        <v>Papelera - Papelera del Plata S.A.</v>
      </c>
    </row>
    <row r="340" spans="1:25" ht="14.25" customHeight="1" x14ac:dyDescent="0.3">
      <c r="A340" s="1" t="s">
        <v>158</v>
      </c>
      <c r="B340" s="1" t="s">
        <v>551</v>
      </c>
      <c r="C340" s="1" t="s">
        <v>551</v>
      </c>
      <c r="D340" s="1" t="s">
        <v>552</v>
      </c>
      <c r="E340" s="1" t="s">
        <v>337</v>
      </c>
      <c r="F340" s="1">
        <v>783507</v>
      </c>
      <c r="G340" s="1">
        <v>813507</v>
      </c>
      <c r="H340" s="1">
        <v>11268.1</v>
      </c>
      <c r="I340" s="1">
        <v>18731.900000000001</v>
      </c>
      <c r="J340" s="1">
        <v>794775.1</v>
      </c>
      <c r="K340" s="1">
        <v>108</v>
      </c>
      <c r="L340" s="1">
        <v>75.425496688741674</v>
      </c>
      <c r="M340" s="1">
        <v>179.53738429726391</v>
      </c>
      <c r="N340" s="7">
        <v>45947</v>
      </c>
      <c r="O340" s="1">
        <v>30000</v>
      </c>
      <c r="P340" s="7">
        <v>46126.537384293981</v>
      </c>
      <c r="Q340" s="1" t="s">
        <v>330</v>
      </c>
      <c r="W340" s="3"/>
      <c r="X340" s="3">
        <v>0</v>
      </c>
      <c r="Y340" s="1" t="str">
        <f>VLOOKUP(A340,[1]Detalle!$D$2:$CR$484,93,FALSE)</f>
        <v>JOHNSON - SC JOHNSON DE ARGENTINA SAIC</v>
      </c>
    </row>
    <row r="341" spans="1:25" ht="14.25" customHeight="1" x14ac:dyDescent="0.3">
      <c r="A341" s="1" t="s">
        <v>147</v>
      </c>
      <c r="B341" s="1" t="s">
        <v>551</v>
      </c>
      <c r="C341" s="1" t="s">
        <v>551</v>
      </c>
      <c r="D341" s="1" t="s">
        <v>552</v>
      </c>
      <c r="E341" s="1" t="s">
        <v>337</v>
      </c>
      <c r="F341" s="1">
        <v>37693.9</v>
      </c>
      <c r="G341" s="1">
        <v>67693.899999999994</v>
      </c>
      <c r="H341" s="1">
        <v>8319.4000000000051</v>
      </c>
      <c r="I341" s="1">
        <v>21680.599999999991</v>
      </c>
      <c r="J341" s="1">
        <v>46013.3</v>
      </c>
      <c r="K341" s="1">
        <v>108</v>
      </c>
      <c r="L341" s="1">
        <v>76.974301470588202</v>
      </c>
      <c r="M341" s="1">
        <v>281.45116234343789</v>
      </c>
      <c r="N341" s="7">
        <v>45947</v>
      </c>
      <c r="O341" s="1">
        <v>30000</v>
      </c>
      <c r="P341" s="7">
        <v>46228.451162337973</v>
      </c>
      <c r="Q341" s="1" t="s">
        <v>330</v>
      </c>
      <c r="W341" s="3"/>
      <c r="X341" s="3">
        <v>0</v>
      </c>
      <c r="Y341" s="1" t="str">
        <f>VLOOKUP(A341,[1]Detalle!$D$2:$CR$484,93,FALSE)</f>
        <v>SUC_SLU - Sucursal San Luis</v>
      </c>
    </row>
    <row r="342" spans="1:25" ht="14.25" customHeight="1" x14ac:dyDescent="0.3">
      <c r="A342" s="1" t="s">
        <v>109</v>
      </c>
      <c r="B342" s="1" t="s">
        <v>551</v>
      </c>
      <c r="C342" s="1" t="s">
        <v>551</v>
      </c>
      <c r="D342" s="1" t="s">
        <v>552</v>
      </c>
      <c r="E342" s="1" t="s">
        <v>337</v>
      </c>
      <c r="F342" s="1">
        <v>13817.4</v>
      </c>
      <c r="G342" s="1">
        <v>43817.4</v>
      </c>
      <c r="H342" s="1">
        <v>6880.4000000000005</v>
      </c>
      <c r="I342" s="1">
        <v>23119.599999999999</v>
      </c>
      <c r="J342" s="1">
        <v>20697.8</v>
      </c>
      <c r="K342" s="1">
        <v>108</v>
      </c>
      <c r="L342" s="1">
        <v>61.480495049504917</v>
      </c>
      <c r="M342" s="1">
        <v>362.90285448520427</v>
      </c>
      <c r="N342" s="7">
        <v>45947</v>
      </c>
      <c r="O342" s="1">
        <v>30000</v>
      </c>
      <c r="P342" s="7">
        <v>46309.902854490741</v>
      </c>
      <c r="Q342" s="1" t="s">
        <v>330</v>
      </c>
      <c r="W342" s="3"/>
      <c r="X342" s="3">
        <v>0</v>
      </c>
      <c r="Y342" s="1" t="str">
        <f>VLOOKUP(A342,[1]Detalle!$D$2:$CR$484,93,FALSE)</f>
        <v>JOHNSON - SC JOHNSON DE ARGENTINA SAIC</v>
      </c>
    </row>
    <row r="343" spans="1:25" ht="14.25" customHeight="1" x14ac:dyDescent="0.3">
      <c r="A343" s="1" t="s">
        <v>79</v>
      </c>
      <c r="B343" s="1" t="s">
        <v>551</v>
      </c>
      <c r="C343" s="1" t="s">
        <v>551</v>
      </c>
      <c r="D343" s="1" t="s">
        <v>552</v>
      </c>
      <c r="E343" s="1" t="s">
        <v>337</v>
      </c>
      <c r="F343" s="1">
        <v>62983.8</v>
      </c>
      <c r="G343" s="1">
        <v>92983.8</v>
      </c>
      <c r="H343" s="1">
        <v>20504.400000000009</v>
      </c>
      <c r="I343" s="1">
        <v>9495.5999999999949</v>
      </c>
      <c r="J343" s="1">
        <v>83488.200000000012</v>
      </c>
      <c r="K343" s="1">
        <v>108</v>
      </c>
      <c r="L343" s="1">
        <v>94.269867549668859</v>
      </c>
      <c r="M343" s="1">
        <v>50.014865102124382</v>
      </c>
      <c r="N343" s="7">
        <v>45947</v>
      </c>
      <c r="O343" s="1">
        <v>30000</v>
      </c>
      <c r="P343" s="7">
        <v>46315.250169548613</v>
      </c>
      <c r="Q343" s="1" t="s">
        <v>330</v>
      </c>
      <c r="W343" s="3"/>
      <c r="X343" s="3">
        <v>0</v>
      </c>
      <c r="Y343" s="1" t="str">
        <f>VLOOKUP(A343,[1]Detalle!$D$2:$CR$484,93,FALSE)</f>
        <v>Papelera - Papelera del Plata S.A.</v>
      </c>
    </row>
    <row r="344" spans="1:25" ht="14.25" customHeight="1" x14ac:dyDescent="0.3">
      <c r="A344" s="1" t="s">
        <v>75</v>
      </c>
      <c r="B344" s="1" t="s">
        <v>551</v>
      </c>
      <c r="C344" s="1" t="s">
        <v>551</v>
      </c>
      <c r="D344" s="1" t="s">
        <v>552</v>
      </c>
      <c r="E344" s="1" t="s">
        <v>337</v>
      </c>
      <c r="F344" s="1">
        <v>49220.5</v>
      </c>
      <c r="G344" s="1">
        <v>79220.5</v>
      </c>
      <c r="H344" s="1">
        <v>20551.500000000011</v>
      </c>
      <c r="I344" s="1">
        <v>9448.4999999999891</v>
      </c>
      <c r="J344" s="1">
        <v>69772.000000000015</v>
      </c>
      <c r="K344" s="1">
        <v>108</v>
      </c>
      <c r="L344" s="1">
        <v>83.847709677419346</v>
      </c>
      <c r="M344" s="1">
        <v>49.652726078388348</v>
      </c>
      <c r="N344" s="7">
        <v>45947</v>
      </c>
      <c r="O344" s="1">
        <v>30000</v>
      </c>
      <c r="P344" s="7">
        <v>46354.444252118054</v>
      </c>
      <c r="Q344" s="1" t="s">
        <v>330</v>
      </c>
      <c r="W344" s="3"/>
      <c r="X344" s="3">
        <v>0</v>
      </c>
      <c r="Y344" s="1" t="str">
        <f>VLOOKUP(A344,[1]Detalle!$D$2:$CR$484,93,FALSE)</f>
        <v>Papelera - Papelera del Plata S.A.</v>
      </c>
    </row>
    <row r="345" spans="1:25" ht="14.25" customHeight="1" x14ac:dyDescent="0.3">
      <c r="A345" s="1" t="s">
        <v>149</v>
      </c>
      <c r="B345" s="1" t="s">
        <v>551</v>
      </c>
      <c r="C345" s="1" t="s">
        <v>551</v>
      </c>
      <c r="D345" s="1" t="s">
        <v>552</v>
      </c>
      <c r="E345" s="1" t="s">
        <v>337</v>
      </c>
      <c r="F345" s="1">
        <v>666910</v>
      </c>
      <c r="G345" s="1">
        <v>696910</v>
      </c>
      <c r="H345" s="1">
        <v>11874.4</v>
      </c>
      <c r="I345" s="1">
        <v>18125.599999999999</v>
      </c>
      <c r="J345" s="1">
        <v>678784.4</v>
      </c>
      <c r="K345" s="1">
        <v>108</v>
      </c>
      <c r="L345" s="1">
        <v>113.6646794871796</v>
      </c>
      <c r="M345" s="1">
        <v>164.85589166610529</v>
      </c>
      <c r="N345" s="7">
        <v>45947</v>
      </c>
      <c r="O345" s="1">
        <v>30000</v>
      </c>
      <c r="P345" s="7">
        <v>46111.855891666673</v>
      </c>
      <c r="Q345" s="1" t="s">
        <v>330</v>
      </c>
      <c r="W345" s="3"/>
      <c r="X345" s="3">
        <v>0</v>
      </c>
      <c r="Y345" s="1" t="str">
        <f>VLOOKUP(A345,[1]Detalle!$D$2:$CR$484,93,FALSE)</f>
        <v>Papelera - Papelera del Plata S.A.</v>
      </c>
    </row>
    <row r="346" spans="1:25" ht="14.25" customHeight="1" x14ac:dyDescent="0.3">
      <c r="A346" s="1" t="s">
        <v>159</v>
      </c>
      <c r="B346" s="1" t="s">
        <v>551</v>
      </c>
      <c r="C346" s="1" t="s">
        <v>551</v>
      </c>
      <c r="D346" s="1" t="s">
        <v>552</v>
      </c>
      <c r="E346" s="1" t="s">
        <v>337</v>
      </c>
      <c r="F346" s="1">
        <v>809059</v>
      </c>
      <c r="G346" s="1">
        <v>839059</v>
      </c>
      <c r="H346" s="1">
        <v>9001.5999999999985</v>
      </c>
      <c r="I346" s="1">
        <v>20998.400000000001</v>
      </c>
      <c r="J346" s="1">
        <v>818060.6</v>
      </c>
      <c r="K346" s="1">
        <v>108</v>
      </c>
      <c r="L346" s="1">
        <v>63.369638157894727</v>
      </c>
      <c r="M346" s="1">
        <v>251.9360113757555</v>
      </c>
      <c r="N346" s="7">
        <v>45947</v>
      </c>
      <c r="O346" s="1">
        <v>30000</v>
      </c>
      <c r="P346" s="7">
        <v>46198.936011377307</v>
      </c>
      <c r="Q346" s="1" t="s">
        <v>330</v>
      </c>
      <c r="W346" s="3"/>
      <c r="X346" s="3">
        <v>0</v>
      </c>
      <c r="Y346" s="1" t="str">
        <f>VLOOKUP(A346,[1]Detalle!$D$2:$CR$484,93,FALSE)</f>
        <v>Papelera - Papelera del Plata S.A.</v>
      </c>
    </row>
    <row r="347" spans="1:25" ht="14.25" customHeight="1" x14ac:dyDescent="0.3">
      <c r="A347" s="1" t="s">
        <v>161</v>
      </c>
      <c r="B347" s="1" t="s">
        <v>551</v>
      </c>
      <c r="C347" s="1" t="s">
        <v>551</v>
      </c>
      <c r="D347" s="1" t="s">
        <v>552</v>
      </c>
      <c r="E347" s="1" t="s">
        <v>337</v>
      </c>
      <c r="F347" s="1">
        <v>657691</v>
      </c>
      <c r="G347" s="1">
        <v>687691</v>
      </c>
      <c r="H347" s="1">
        <v>12471.9</v>
      </c>
      <c r="I347" s="1">
        <v>17528.099999999999</v>
      </c>
      <c r="J347" s="1">
        <v>670162.9</v>
      </c>
      <c r="K347" s="1">
        <v>108</v>
      </c>
      <c r="L347" s="1">
        <v>112.4813870967742</v>
      </c>
      <c r="M347" s="1">
        <v>151.78399441945501</v>
      </c>
      <c r="N347" s="7">
        <v>45947</v>
      </c>
      <c r="O347" s="1">
        <v>30000</v>
      </c>
      <c r="P347" s="7">
        <v>46098.783994421297</v>
      </c>
      <c r="Q347" s="1" t="s">
        <v>330</v>
      </c>
      <c r="W347" s="3"/>
      <c r="X347" s="3">
        <v>0</v>
      </c>
      <c r="Y347" s="1" t="str">
        <f>VLOOKUP(A347,[1]Detalle!$D$2:$CR$484,93,FALSE)</f>
        <v>Unilever - Unilever de Arg. S.A.</v>
      </c>
    </row>
    <row r="348" spans="1:25" ht="14.25" customHeight="1" x14ac:dyDescent="0.3">
      <c r="A348" s="1" t="s">
        <v>152</v>
      </c>
      <c r="B348" s="1" t="s">
        <v>551</v>
      </c>
      <c r="C348" s="1" t="s">
        <v>551</v>
      </c>
      <c r="D348" s="1" t="s">
        <v>552</v>
      </c>
      <c r="E348" s="6">
        <v>45701</v>
      </c>
      <c r="F348" s="1">
        <v>939530</v>
      </c>
      <c r="G348" s="1">
        <v>969530</v>
      </c>
      <c r="H348" s="1">
        <v>34853.1</v>
      </c>
      <c r="I348" s="1">
        <v>-4853.0999999999995</v>
      </c>
      <c r="J348" s="1">
        <v>974383.1</v>
      </c>
      <c r="K348" s="1">
        <v>246</v>
      </c>
      <c r="L348" s="1">
        <v>132.10963696369629</v>
      </c>
      <c r="M348" s="1">
        <v>-34.254129474853023</v>
      </c>
      <c r="N348" s="7">
        <v>45947</v>
      </c>
      <c r="O348" s="1">
        <v>30000</v>
      </c>
      <c r="P348" s="7">
        <v>46174.084115057871</v>
      </c>
      <c r="Q348" s="1" t="s">
        <v>330</v>
      </c>
      <c r="W348" s="3"/>
      <c r="X348" s="3">
        <v>0</v>
      </c>
      <c r="Y348" s="1" t="str">
        <f>VLOOKUP(A348,[1]Detalle!$D$2:$CR$484,93,FALSE)</f>
        <v>SUC_REA - Sucursal Realicó</v>
      </c>
    </row>
    <row r="349" spans="1:25" ht="14.25" customHeight="1" x14ac:dyDescent="0.3">
      <c r="A349" s="1" t="s">
        <v>15</v>
      </c>
      <c r="B349" s="1" t="s">
        <v>551</v>
      </c>
      <c r="C349" s="1" t="s">
        <v>551</v>
      </c>
      <c r="D349" s="1" t="s">
        <v>552</v>
      </c>
      <c r="E349" s="1" t="s">
        <v>337</v>
      </c>
      <c r="F349" s="1">
        <v>686509</v>
      </c>
      <c r="G349" s="1">
        <v>716509</v>
      </c>
      <c r="H349" s="1">
        <v>39429.399999999987</v>
      </c>
      <c r="I349" s="1">
        <v>-9429.3999999999869</v>
      </c>
      <c r="J349" s="1">
        <v>725938.4</v>
      </c>
      <c r="K349" s="1">
        <v>108</v>
      </c>
      <c r="L349" s="1">
        <v>365</v>
      </c>
      <c r="M349" s="1">
        <v>-25.827813763333928</v>
      </c>
      <c r="N349" s="7">
        <v>45947</v>
      </c>
      <c r="O349" s="1">
        <v>30000</v>
      </c>
      <c r="P349" s="7">
        <v>46054.63737892361</v>
      </c>
      <c r="Q349" s="1" t="s">
        <v>330</v>
      </c>
      <c r="R349" s="6">
        <v>45972.445598101847</v>
      </c>
      <c r="W349" s="3"/>
      <c r="X349" s="3">
        <v>0</v>
      </c>
      <c r="Y349" s="1" t="str">
        <f>VLOOKUP(A349,[1]Detalle!$D$2:$CR$484,93,FALSE)</f>
        <v>CENCOMLD - Cencosud SA - Mendoza</v>
      </c>
    </row>
    <row r="350" spans="1:25" ht="14.25" customHeight="1" x14ac:dyDescent="0.3">
      <c r="A350" s="1" t="s">
        <v>242</v>
      </c>
      <c r="B350" s="1" t="s">
        <v>551</v>
      </c>
      <c r="C350" s="1" t="s">
        <v>551</v>
      </c>
      <c r="D350" s="1" t="s">
        <v>552</v>
      </c>
      <c r="E350" s="1" t="s">
        <v>337</v>
      </c>
      <c r="F350" s="1">
        <v>439404</v>
      </c>
      <c r="G350" s="1">
        <v>469404</v>
      </c>
      <c r="H350" s="1">
        <v>11768.8</v>
      </c>
      <c r="I350" s="1">
        <v>18231.2</v>
      </c>
      <c r="J350" s="1">
        <v>451172.8</v>
      </c>
      <c r="K350" s="1">
        <v>108</v>
      </c>
      <c r="L350" s="1">
        <v>76.02181229773467</v>
      </c>
      <c r="M350" s="1">
        <v>167.30419414043911</v>
      </c>
      <c r="N350" s="7">
        <v>45947</v>
      </c>
      <c r="O350" s="1">
        <v>30000</v>
      </c>
      <c r="P350" s="7">
        <v>46114.304194143508</v>
      </c>
      <c r="Q350" s="1" t="s">
        <v>330</v>
      </c>
      <c r="W350" s="3"/>
      <c r="X350" s="3">
        <v>0</v>
      </c>
      <c r="Y350" s="1" t="str">
        <f>VLOOKUP(A350,[1]Detalle!$D$2:$CR$484,93,FALSE)</f>
        <v>Papelera - Papelera del Plata S.A.</v>
      </c>
    </row>
    <row r="351" spans="1:25" ht="14.25" customHeight="1" x14ac:dyDescent="0.3">
      <c r="A351" s="1" t="s">
        <v>136</v>
      </c>
      <c r="B351" s="1" t="s">
        <v>551</v>
      </c>
      <c r="C351" s="1" t="s">
        <v>551</v>
      </c>
      <c r="D351" s="1" t="s">
        <v>552</v>
      </c>
      <c r="E351" s="1" t="s">
        <v>337</v>
      </c>
      <c r="F351" s="1">
        <v>257668</v>
      </c>
      <c r="G351" s="1">
        <v>287668</v>
      </c>
      <c r="H351" s="1">
        <v>7888.0000000000064</v>
      </c>
      <c r="I351" s="1">
        <v>22111.999999999989</v>
      </c>
      <c r="J351" s="1">
        <v>265556</v>
      </c>
      <c r="K351" s="1">
        <v>108</v>
      </c>
      <c r="L351" s="1">
        <v>57.024096774193573</v>
      </c>
      <c r="M351" s="1">
        <v>302.75050709939109</v>
      </c>
      <c r="N351" s="7">
        <v>45947</v>
      </c>
      <c r="O351" s="1">
        <v>30000</v>
      </c>
      <c r="P351" s="7">
        <v>46249.750507094897</v>
      </c>
      <c r="Q351" s="1" t="s">
        <v>330</v>
      </c>
      <c r="W351" s="3"/>
      <c r="X351" s="3">
        <v>0</v>
      </c>
      <c r="Y351" s="1" t="str">
        <f>VLOOKUP(A351,[1]Detalle!$D$2:$CR$484,93,FALSE)</f>
        <v>Topacio</v>
      </c>
    </row>
    <row r="352" spans="1:25" ht="14.25" customHeight="1" x14ac:dyDescent="0.3">
      <c r="A352" s="1" t="s">
        <v>170</v>
      </c>
      <c r="B352" s="1" t="s">
        <v>551</v>
      </c>
      <c r="C352" s="1" t="s">
        <v>551</v>
      </c>
      <c r="D352" s="1" t="s">
        <v>552</v>
      </c>
      <c r="E352" s="1" t="s">
        <v>337</v>
      </c>
      <c r="F352" s="1">
        <v>54474.1</v>
      </c>
      <c r="G352" s="1">
        <v>84474.1</v>
      </c>
      <c r="H352" s="1">
        <v>10763.4</v>
      </c>
      <c r="I352" s="1">
        <v>19236.599999999999</v>
      </c>
      <c r="J352" s="1">
        <v>65237.5</v>
      </c>
      <c r="K352" s="1">
        <v>108</v>
      </c>
      <c r="L352" s="1">
        <v>124.4065073529412</v>
      </c>
      <c r="M352" s="1">
        <v>193.0201237527175</v>
      </c>
      <c r="N352" s="7">
        <v>45947</v>
      </c>
      <c r="O352" s="1">
        <v>30000</v>
      </c>
      <c r="P352" s="7">
        <v>46140.02012375</v>
      </c>
      <c r="Q352" s="1" t="s">
        <v>330</v>
      </c>
      <c r="W352" s="3"/>
      <c r="X352" s="3">
        <v>0</v>
      </c>
      <c r="Y352" s="1" t="str">
        <f>VLOOKUP(A352,[1]Detalle!$D$2:$CR$484,93,FALSE)</f>
        <v>SUC_REA - Sucursal Realicó</v>
      </c>
    </row>
    <row r="353" spans="1:25" ht="14.25" customHeight="1" x14ac:dyDescent="0.3">
      <c r="A353" s="1" t="s">
        <v>180</v>
      </c>
      <c r="B353" s="1" t="s">
        <v>551</v>
      </c>
      <c r="C353" s="1" t="s">
        <v>551</v>
      </c>
      <c r="D353" s="1" t="s">
        <v>552</v>
      </c>
      <c r="E353" s="1" t="s">
        <v>337</v>
      </c>
      <c r="F353" s="1">
        <v>226917</v>
      </c>
      <c r="G353" s="1">
        <v>256917</v>
      </c>
      <c r="H353" s="1">
        <v>6434.6000000000031</v>
      </c>
      <c r="I353" s="1">
        <v>23565.4</v>
      </c>
      <c r="J353" s="1">
        <v>233351.6</v>
      </c>
      <c r="K353" s="1">
        <v>108</v>
      </c>
      <c r="L353" s="1">
        <v>40.479774193548408</v>
      </c>
      <c r="M353" s="1">
        <v>395.52780281602571</v>
      </c>
      <c r="N353" s="7">
        <v>45947</v>
      </c>
      <c r="O353" s="1">
        <v>30000</v>
      </c>
      <c r="P353" s="7">
        <v>46342.527802812503</v>
      </c>
      <c r="Q353" s="1" t="s">
        <v>330</v>
      </c>
      <c r="W353" s="3"/>
      <c r="X353" s="3">
        <v>0</v>
      </c>
      <c r="Y353" s="1" t="str">
        <f>VLOOKUP(A353,[1]Detalle!$D$2:$CR$484,93,FALSE)</f>
        <v>CCUCoAZA</v>
      </c>
    </row>
    <row r="354" spans="1:25" ht="14.25" customHeight="1" x14ac:dyDescent="0.3">
      <c r="A354" s="1" t="s">
        <v>164</v>
      </c>
      <c r="B354" s="1" t="s">
        <v>551</v>
      </c>
      <c r="C354" s="1" t="s">
        <v>551</v>
      </c>
      <c r="D354" s="1" t="s">
        <v>552</v>
      </c>
      <c r="E354" s="1" t="s">
        <v>337</v>
      </c>
      <c r="F354" s="1">
        <v>2152173</v>
      </c>
      <c r="G354" s="1">
        <v>2182173</v>
      </c>
      <c r="H354" s="1">
        <v>12169.1</v>
      </c>
      <c r="I354" s="1">
        <v>17830.899999999991</v>
      </c>
      <c r="J354" s="1">
        <v>2164342.1</v>
      </c>
      <c r="K354" s="1">
        <v>108</v>
      </c>
      <c r="L354" s="1">
        <v>69.022379421221856</v>
      </c>
      <c r="M354" s="1">
        <v>158.24812023896581</v>
      </c>
      <c r="N354" s="7">
        <v>45947</v>
      </c>
      <c r="O354" s="1">
        <v>30000</v>
      </c>
      <c r="P354" s="7">
        <v>46105.248120243057</v>
      </c>
      <c r="Q354" s="1" t="s">
        <v>330</v>
      </c>
      <c r="W354" s="3"/>
      <c r="X354" s="3">
        <v>0</v>
      </c>
      <c r="Y354" s="1" t="str">
        <f>VLOOKUP(A354,[1]Detalle!$D$2:$CR$484,93,FALSE)</f>
        <v>SUC_MEN - Sucursal Mendoza</v>
      </c>
    </row>
    <row r="355" spans="1:25" ht="14.25" customHeight="1" x14ac:dyDescent="0.3">
      <c r="A355" s="1" t="s">
        <v>142</v>
      </c>
      <c r="B355" s="1" t="s">
        <v>551</v>
      </c>
      <c r="C355" s="1" t="s">
        <v>551</v>
      </c>
      <c r="D355" s="1" t="s">
        <v>552</v>
      </c>
      <c r="E355" s="1" t="s">
        <v>337</v>
      </c>
      <c r="F355" s="1">
        <v>830144</v>
      </c>
      <c r="G355" s="1">
        <v>860144</v>
      </c>
      <c r="H355" s="1">
        <v>9907.2000000000044</v>
      </c>
      <c r="I355" s="1">
        <v>20092.8</v>
      </c>
      <c r="J355" s="1">
        <v>840051.19999999995</v>
      </c>
      <c r="K355" s="1">
        <v>108</v>
      </c>
      <c r="L355" s="1">
        <v>68.472829581993537</v>
      </c>
      <c r="M355" s="1">
        <v>219.03488372093011</v>
      </c>
      <c r="N355" s="7">
        <v>45947</v>
      </c>
      <c r="O355" s="1">
        <v>30000</v>
      </c>
      <c r="P355" s="7">
        <v>46166.034883715278</v>
      </c>
      <c r="Q355" s="1" t="s">
        <v>330</v>
      </c>
      <c r="W355" s="3"/>
      <c r="X355" s="3">
        <v>0</v>
      </c>
      <c r="Y355" s="1" t="str">
        <f>VLOOKUP(A355,[1]Detalle!$D$2:$CR$484,93,FALSE)</f>
        <v>Papelera - Papelera del Plata S.A.</v>
      </c>
    </row>
    <row r="356" spans="1:25" ht="14.25" customHeight="1" x14ac:dyDescent="0.3">
      <c r="A356" s="1" t="s">
        <v>133</v>
      </c>
      <c r="B356" s="1" t="s">
        <v>551</v>
      </c>
      <c r="C356" s="1" t="s">
        <v>551</v>
      </c>
      <c r="D356" s="1" t="s">
        <v>552</v>
      </c>
      <c r="E356" s="1" t="s">
        <v>337</v>
      </c>
      <c r="G356" s="1">
        <v>867815</v>
      </c>
      <c r="H356" s="1">
        <v>100</v>
      </c>
      <c r="I356" s="1">
        <v>29900</v>
      </c>
      <c r="J356" s="1">
        <v>837915</v>
      </c>
      <c r="L356" s="1">
        <v>365</v>
      </c>
      <c r="N356" s="7">
        <v>45947</v>
      </c>
      <c r="O356" s="1">
        <v>30000</v>
      </c>
      <c r="P356" s="7">
        <v>46100.035156446756</v>
      </c>
      <c r="Q356" s="1" t="s">
        <v>330</v>
      </c>
      <c r="R356" s="6">
        <v>46017.843375625001</v>
      </c>
      <c r="W356" s="3"/>
      <c r="X356" s="3">
        <v>0</v>
      </c>
      <c r="Y356" s="1" t="str">
        <f>VLOOKUP(A356,[1]Detalle!$D$2:$CR$484,93,FALSE)</f>
        <v>CENCOMLD - Cencosud SA - Mendoza</v>
      </c>
    </row>
    <row r="357" spans="1:25" ht="14.25" customHeight="1" x14ac:dyDescent="0.3">
      <c r="A357" s="1" t="s">
        <v>144</v>
      </c>
      <c r="B357" s="1" t="s">
        <v>551</v>
      </c>
      <c r="C357" s="1" t="s">
        <v>551</v>
      </c>
      <c r="D357" s="1" t="s">
        <v>552</v>
      </c>
      <c r="E357" s="1" t="s">
        <v>337</v>
      </c>
      <c r="F357" s="1">
        <v>618019</v>
      </c>
      <c r="G357" s="1">
        <v>648019</v>
      </c>
      <c r="H357" s="1">
        <v>10164.5</v>
      </c>
      <c r="I357" s="1">
        <v>19835.5</v>
      </c>
      <c r="J357" s="1">
        <v>628183.5</v>
      </c>
      <c r="K357" s="1">
        <v>108</v>
      </c>
      <c r="L357" s="1">
        <v>80.140288461538475</v>
      </c>
      <c r="M357" s="1">
        <v>210.75645629396439</v>
      </c>
      <c r="N357" s="7">
        <v>45947</v>
      </c>
      <c r="O357" s="1">
        <v>30000</v>
      </c>
      <c r="P357" s="7">
        <v>46157.756456296287</v>
      </c>
      <c r="Q357" s="1" t="s">
        <v>330</v>
      </c>
      <c r="W357" s="3"/>
      <c r="X357" s="3">
        <v>0</v>
      </c>
      <c r="Y357" s="1" t="str">
        <f>VLOOKUP(A357,[1]Detalle!$D$2:$CR$484,93,FALSE)</f>
        <v>Papelera - Papelera del Plata S.A.</v>
      </c>
    </row>
    <row r="358" spans="1:25" ht="14.25" customHeight="1" x14ac:dyDescent="0.3">
      <c r="A358" s="1" t="s">
        <v>171</v>
      </c>
      <c r="B358" s="1" t="s">
        <v>551</v>
      </c>
      <c r="C358" s="1" t="s">
        <v>551</v>
      </c>
      <c r="D358" s="1" t="s">
        <v>552</v>
      </c>
      <c r="E358" s="6">
        <v>45835</v>
      </c>
      <c r="F358" s="1">
        <v>34917.800000000003</v>
      </c>
      <c r="G358" s="1">
        <v>64917.8</v>
      </c>
      <c r="H358" s="1">
        <v>14084.2</v>
      </c>
      <c r="I358" s="1">
        <v>15915.8</v>
      </c>
      <c r="J358" s="1">
        <v>49002.000000000007</v>
      </c>
      <c r="K358" s="1">
        <v>112</v>
      </c>
      <c r="L358" s="1">
        <v>130.96596721311471</v>
      </c>
      <c r="M358" s="1">
        <v>126.5652007213757</v>
      </c>
      <c r="N358" s="7">
        <v>45947</v>
      </c>
      <c r="O358" s="1">
        <v>30000</v>
      </c>
      <c r="P358" s="7">
        <v>46073.565200717603</v>
      </c>
      <c r="Q358" s="1" t="s">
        <v>330</v>
      </c>
      <c r="W358" s="3"/>
      <c r="X358" s="3">
        <v>0</v>
      </c>
      <c r="Y358" s="1" t="str">
        <f>VLOOKUP(A358,[1]Detalle!$D$2:$CR$484,93,FALSE)</f>
        <v>CENCO_MZ - Cencosud SA - Mendoza</v>
      </c>
    </row>
    <row r="359" spans="1:25" ht="14.25" customHeight="1" x14ac:dyDescent="0.3">
      <c r="A359" s="1" t="s">
        <v>173</v>
      </c>
      <c r="B359" s="1" t="s">
        <v>551</v>
      </c>
      <c r="C359" s="1" t="s">
        <v>551</v>
      </c>
      <c r="D359" s="1" t="s">
        <v>552</v>
      </c>
      <c r="E359" s="6">
        <v>45439</v>
      </c>
      <c r="F359" s="1">
        <v>506.87799999999987</v>
      </c>
      <c r="G359" s="1">
        <v>30506.878000000001</v>
      </c>
      <c r="H359" s="1">
        <v>27131.39000000001</v>
      </c>
      <c r="I359" s="1">
        <v>2868.6099999999929</v>
      </c>
      <c r="J359" s="1">
        <v>27638.268000000011</v>
      </c>
      <c r="K359" s="1">
        <v>508</v>
      </c>
      <c r="L359" s="1">
        <v>85.937095588235294</v>
      </c>
      <c r="M359" s="1">
        <v>53.710992322914393</v>
      </c>
      <c r="N359" s="7">
        <v>45947</v>
      </c>
      <c r="O359" s="1">
        <v>30000</v>
      </c>
      <c r="P359" s="7">
        <v>46349.803544201393</v>
      </c>
      <c r="Q359" s="1" t="s">
        <v>330</v>
      </c>
      <c r="W359" s="3"/>
      <c r="X359" s="3">
        <v>0</v>
      </c>
      <c r="Y359" s="1" t="str">
        <f>VLOOKUP(A359,[1]Detalle!$D$2:$CR$484,93,FALSE)</f>
        <v>CENCO_MZ - Cencosud SA - Mendoza</v>
      </c>
    </row>
    <row r="360" spans="1:25" ht="14.25" customHeight="1" x14ac:dyDescent="0.3">
      <c r="A360" s="1" t="s">
        <v>51</v>
      </c>
      <c r="B360" s="1" t="s">
        <v>551</v>
      </c>
      <c r="C360" s="1" t="s">
        <v>551</v>
      </c>
      <c r="D360" s="1" t="s">
        <v>552</v>
      </c>
      <c r="E360" s="1" t="s">
        <v>337</v>
      </c>
      <c r="F360" s="1">
        <v>62508.4</v>
      </c>
      <c r="G360" s="1">
        <v>92508.4</v>
      </c>
      <c r="H360" s="1">
        <v>2224.6</v>
      </c>
      <c r="I360" s="1">
        <v>27775.4</v>
      </c>
      <c r="J360" s="1">
        <v>64733</v>
      </c>
      <c r="K360" s="1">
        <v>108</v>
      </c>
      <c r="L360" s="1">
        <v>21.44832713754645</v>
      </c>
      <c r="M360" s="1">
        <v>1348.441607479996</v>
      </c>
      <c r="N360" s="7">
        <v>45947</v>
      </c>
      <c r="O360" s="1">
        <v>30000</v>
      </c>
      <c r="P360" s="7">
        <v>46174</v>
      </c>
      <c r="Q360" s="1" t="s">
        <v>330</v>
      </c>
      <c r="W360" s="3"/>
      <c r="X360" s="3">
        <v>0</v>
      </c>
      <c r="Y360" s="1" t="str">
        <f>VLOOKUP(A360,[1]Detalle!$D$2:$CR$484,93,FALSE)</f>
        <v>CMQ_TTE - QUILMES TTE</v>
      </c>
    </row>
    <row r="361" spans="1:25" ht="14.25" customHeight="1" x14ac:dyDescent="0.3">
      <c r="A361" s="1" t="s">
        <v>249</v>
      </c>
      <c r="B361" s="1" t="s">
        <v>551</v>
      </c>
      <c r="C361" s="1" t="s">
        <v>551</v>
      </c>
      <c r="D361" s="1" t="s">
        <v>552</v>
      </c>
      <c r="E361" s="1" t="s">
        <v>337</v>
      </c>
      <c r="F361" s="1">
        <v>175443</v>
      </c>
      <c r="G361" s="1">
        <v>205443</v>
      </c>
      <c r="H361" s="1">
        <v>6031.9000000000005</v>
      </c>
      <c r="I361" s="1">
        <v>23968.1</v>
      </c>
      <c r="J361" s="1">
        <v>181474.9</v>
      </c>
      <c r="K361" s="1">
        <v>108</v>
      </c>
      <c r="L361" s="1">
        <v>39.791067961165048</v>
      </c>
      <c r="M361" s="1">
        <v>429.14418342479138</v>
      </c>
      <c r="N361" s="7">
        <v>45947</v>
      </c>
      <c r="O361" s="1">
        <v>30000</v>
      </c>
      <c r="P361" s="7">
        <v>46376.144183425917</v>
      </c>
      <c r="Q361" s="1" t="s">
        <v>330</v>
      </c>
      <c r="W361" s="3"/>
      <c r="X361" s="3">
        <v>0</v>
      </c>
      <c r="Y361" s="1" t="str">
        <f>VLOOKUP(A361,[1]Detalle!$D$2:$CR$484,93,FALSE)</f>
        <v>CCUDyAZA</v>
      </c>
    </row>
    <row r="362" spans="1:25" ht="14.25" customHeight="1" x14ac:dyDescent="0.3">
      <c r="A362" s="1" t="s">
        <v>254</v>
      </c>
      <c r="B362" s="1" t="s">
        <v>551</v>
      </c>
      <c r="C362" s="1" t="s">
        <v>551</v>
      </c>
      <c r="D362" s="1" t="s">
        <v>552</v>
      </c>
      <c r="E362" s="1" t="s">
        <v>337</v>
      </c>
      <c r="F362" s="1">
        <v>140239</v>
      </c>
      <c r="G362" s="1">
        <v>170239</v>
      </c>
      <c r="H362" s="1">
        <v>9721.5000000000055</v>
      </c>
      <c r="I362" s="1">
        <v>20278.499999999989</v>
      </c>
      <c r="J362" s="1">
        <v>149960.5</v>
      </c>
      <c r="K362" s="1">
        <v>108</v>
      </c>
      <c r="L362" s="1">
        <v>62.077961165048592</v>
      </c>
      <c r="M362" s="1">
        <v>225.2819009412126</v>
      </c>
      <c r="N362" s="7">
        <v>45947</v>
      </c>
      <c r="O362" s="1">
        <v>30000</v>
      </c>
      <c r="P362" s="7">
        <v>46172.281900937502</v>
      </c>
      <c r="Q362" s="1" t="s">
        <v>330</v>
      </c>
      <c r="W362" s="3"/>
      <c r="X362" s="3">
        <v>0</v>
      </c>
      <c r="Y362" s="1" t="str">
        <f>VLOOKUP(A362,[1]Detalle!$D$2:$CR$484,93,FALSE)</f>
        <v>CCUCoAZA</v>
      </c>
    </row>
    <row r="363" spans="1:25" ht="14.25" customHeight="1" x14ac:dyDescent="0.3">
      <c r="A363" s="1" t="s">
        <v>256</v>
      </c>
      <c r="B363" s="1" t="s">
        <v>551</v>
      </c>
      <c r="C363" s="1" t="s">
        <v>551</v>
      </c>
      <c r="D363" s="1" t="s">
        <v>552</v>
      </c>
      <c r="E363" s="1" t="s">
        <v>337</v>
      </c>
      <c r="F363" s="1">
        <v>178888</v>
      </c>
      <c r="G363" s="1">
        <v>208888</v>
      </c>
      <c r="H363" s="1">
        <v>6968.9</v>
      </c>
      <c r="I363" s="1">
        <v>23031.1</v>
      </c>
      <c r="J363" s="1">
        <v>185856.9</v>
      </c>
      <c r="K363" s="1">
        <v>108</v>
      </c>
      <c r="L363" s="1">
        <v>47.387909967845658</v>
      </c>
      <c r="M363" s="1">
        <v>356.92272812065028</v>
      </c>
      <c r="N363" s="7">
        <v>45947</v>
      </c>
      <c r="O363" s="1">
        <v>30000</v>
      </c>
      <c r="P363" s="7">
        <v>46303.922728124999</v>
      </c>
      <c r="Q363" s="1" t="s">
        <v>330</v>
      </c>
      <c r="W363" s="3"/>
      <c r="X363" s="3">
        <v>0</v>
      </c>
      <c r="Y363" s="1" t="str">
        <f>VLOOKUP(A363,[1]Detalle!$D$2:$CR$484,93,FALSE)</f>
        <v>CCUCoAZA</v>
      </c>
    </row>
    <row r="364" spans="1:25" ht="14.25" customHeight="1" x14ac:dyDescent="0.3">
      <c r="A364" s="1" t="s">
        <v>67</v>
      </c>
      <c r="B364" s="1" t="s">
        <v>551</v>
      </c>
      <c r="C364" s="1" t="s">
        <v>551</v>
      </c>
      <c r="D364" s="1" t="s">
        <v>552</v>
      </c>
      <c r="E364" s="1" t="s">
        <v>337</v>
      </c>
      <c r="F364" s="1">
        <v>52756</v>
      </c>
      <c r="G364" s="1">
        <v>82756</v>
      </c>
      <c r="H364" s="1">
        <v>3546.400000000001</v>
      </c>
      <c r="I364" s="1">
        <v>26453.599999999999</v>
      </c>
      <c r="J364" s="1">
        <v>56302.400000000001</v>
      </c>
      <c r="K364" s="1">
        <v>108</v>
      </c>
      <c r="L364" s="1">
        <v>24.52509293680297</v>
      </c>
      <c r="M364" s="1">
        <v>805.60252650575194</v>
      </c>
      <c r="N364" s="7">
        <v>45947</v>
      </c>
      <c r="O364" s="1">
        <v>30000</v>
      </c>
      <c r="P364" s="7">
        <v>46174</v>
      </c>
      <c r="Q364" s="1" t="s">
        <v>330</v>
      </c>
      <c r="W364" s="3"/>
      <c r="X364" s="3">
        <v>0</v>
      </c>
      <c r="Y364" s="1" t="str">
        <f>VLOOKUP(A364,[1]Detalle!$D$2:$CR$484,93,FALSE)</f>
        <v>CMQ_TTE - QUILMES TTE</v>
      </c>
    </row>
    <row r="365" spans="1:25" ht="14.25" customHeight="1" x14ac:dyDescent="0.3">
      <c r="A365" s="1" t="s">
        <v>274</v>
      </c>
      <c r="B365" s="1" t="s">
        <v>551</v>
      </c>
      <c r="C365" s="1" t="s">
        <v>551</v>
      </c>
      <c r="D365" s="1" t="s">
        <v>552</v>
      </c>
      <c r="E365" s="1" t="s">
        <v>337</v>
      </c>
      <c r="F365" s="1">
        <v>16961.099999999999</v>
      </c>
      <c r="G365" s="1">
        <v>46961.1</v>
      </c>
      <c r="H365" s="1">
        <v>11460</v>
      </c>
      <c r="I365" s="1">
        <v>18540</v>
      </c>
      <c r="J365" s="1">
        <v>28421.1</v>
      </c>
      <c r="K365" s="1">
        <v>108</v>
      </c>
      <c r="L365" s="1">
        <v>66.921503267973904</v>
      </c>
      <c r="M365" s="1">
        <v>174.72251308900519</v>
      </c>
      <c r="N365" s="7">
        <v>45947</v>
      </c>
      <c r="O365" s="1">
        <v>30000</v>
      </c>
      <c r="P365" s="7">
        <v>46121.722513090281</v>
      </c>
      <c r="Q365" s="1" t="s">
        <v>330</v>
      </c>
      <c r="W365" s="3"/>
      <c r="X365" s="3">
        <v>0</v>
      </c>
      <c r="Y365" s="1" t="str">
        <f>VLOOKUP(A365,[1]Detalle!$D$2:$CR$484,93,FALSE)</f>
        <v>JOHNSON - SC JOHNSON DE ARGENTINA SAIC</v>
      </c>
    </row>
    <row r="366" spans="1:25" ht="14.25" customHeight="1" x14ac:dyDescent="0.3">
      <c r="A366" s="1" t="s">
        <v>106</v>
      </c>
      <c r="B366" s="1" t="s">
        <v>551</v>
      </c>
      <c r="C366" s="1" t="s">
        <v>551</v>
      </c>
      <c r="D366" s="1" t="s">
        <v>552</v>
      </c>
      <c r="E366" s="1" t="s">
        <v>337</v>
      </c>
      <c r="F366" s="1">
        <v>311049</v>
      </c>
      <c r="G366" s="1">
        <v>341049</v>
      </c>
      <c r="H366" s="1">
        <v>6834.300000000002</v>
      </c>
      <c r="I366" s="1">
        <v>23165.7</v>
      </c>
      <c r="J366" s="1">
        <v>317883.3</v>
      </c>
      <c r="K366" s="1">
        <v>108</v>
      </c>
      <c r="L366" s="1">
        <v>48.157370129870131</v>
      </c>
      <c r="M366" s="1">
        <v>366.07927659014081</v>
      </c>
      <c r="N366" s="7">
        <v>45947</v>
      </c>
      <c r="O366" s="1">
        <v>30000</v>
      </c>
      <c r="P366" s="7">
        <v>46313.079276585653</v>
      </c>
      <c r="Q366" s="1" t="s">
        <v>330</v>
      </c>
      <c r="W366" s="3"/>
      <c r="X366" s="3">
        <v>0</v>
      </c>
      <c r="Y366" s="1" t="str">
        <f>VLOOKUP(A366,[1]Detalle!$D$2:$CR$484,93,FALSE)</f>
        <v>Unilever - Unilever de Arg. S.A.</v>
      </c>
    </row>
    <row r="367" spans="1:25" ht="14.25" customHeight="1" x14ac:dyDescent="0.3">
      <c r="A367" s="1" t="s">
        <v>146</v>
      </c>
      <c r="B367" s="1" t="s">
        <v>551</v>
      </c>
      <c r="C367" s="1" t="s">
        <v>551</v>
      </c>
      <c r="D367" s="1" t="s">
        <v>552</v>
      </c>
      <c r="E367" s="1" t="s">
        <v>337</v>
      </c>
      <c r="F367" s="1">
        <v>511084</v>
      </c>
      <c r="G367" s="1">
        <v>541084</v>
      </c>
      <c r="H367" s="1">
        <v>8314.1</v>
      </c>
      <c r="I367" s="1">
        <v>21685.9</v>
      </c>
      <c r="J367" s="1">
        <v>519398.1</v>
      </c>
      <c r="K367" s="1">
        <v>108</v>
      </c>
      <c r="L367" s="1">
        <v>57.283729903536972</v>
      </c>
      <c r="M367" s="1">
        <v>281.69942627584459</v>
      </c>
      <c r="N367" s="7">
        <v>45947</v>
      </c>
      <c r="O367" s="1">
        <v>30000</v>
      </c>
      <c r="P367" s="7">
        <v>46228.699426273153</v>
      </c>
      <c r="Q367" s="1" t="s">
        <v>330</v>
      </c>
      <c r="W367" s="3"/>
      <c r="X367" s="3">
        <v>0</v>
      </c>
      <c r="Y367" s="1" t="str">
        <f>VLOOKUP(A367,[1]Detalle!$D$2:$CR$484,93,FALSE)</f>
        <v>Unilever - Unilever de Arg. S.A.</v>
      </c>
    </row>
    <row r="368" spans="1:25" ht="14.25" customHeight="1" x14ac:dyDescent="0.3">
      <c r="A368" s="1" t="s">
        <v>2</v>
      </c>
      <c r="B368" s="1" t="s">
        <v>551</v>
      </c>
      <c r="C368" s="1" t="s">
        <v>551</v>
      </c>
      <c r="D368" s="1" t="s">
        <v>552</v>
      </c>
      <c r="E368" s="1" t="s">
        <v>337</v>
      </c>
      <c r="F368" s="1">
        <v>14205</v>
      </c>
      <c r="G368" s="1">
        <v>44205</v>
      </c>
      <c r="H368" s="1">
        <v>12306.6</v>
      </c>
      <c r="I368" s="1">
        <v>17693.399999999991</v>
      </c>
      <c r="J368" s="1">
        <v>26511.600000000009</v>
      </c>
      <c r="K368" s="1">
        <v>108</v>
      </c>
      <c r="L368" s="1">
        <v>68.135242718446577</v>
      </c>
      <c r="M368" s="1">
        <v>155.27336551118901</v>
      </c>
      <c r="N368" s="7">
        <v>45947</v>
      </c>
      <c r="O368" s="1">
        <v>30000</v>
      </c>
      <c r="P368" s="7">
        <v>46102.27336550926</v>
      </c>
      <c r="Q368" s="1" t="s">
        <v>330</v>
      </c>
      <c r="W368" s="3"/>
      <c r="X368" s="3">
        <v>0</v>
      </c>
      <c r="Y368" s="1" t="str">
        <f>VLOOKUP(A368,[1]Detalle!$D$2:$CR$484,93,FALSE)</f>
        <v>Unilever - Unilever de Arg. S.A.</v>
      </c>
    </row>
    <row r="369" spans="1:25" ht="14.25" customHeight="1" x14ac:dyDescent="0.3">
      <c r="A369" s="1" t="s">
        <v>192</v>
      </c>
      <c r="B369" s="1" t="s">
        <v>551</v>
      </c>
      <c r="C369" s="1" t="s">
        <v>551</v>
      </c>
      <c r="D369" s="1" t="s">
        <v>552</v>
      </c>
      <c r="E369" s="1" t="s">
        <v>337</v>
      </c>
      <c r="F369" s="1">
        <v>135569</v>
      </c>
      <c r="G369" s="1">
        <v>165569</v>
      </c>
      <c r="H369" s="1">
        <v>0.4</v>
      </c>
      <c r="I369" s="1">
        <v>29999.599999999999</v>
      </c>
      <c r="J369" s="1">
        <v>135569.4</v>
      </c>
      <c r="K369" s="1">
        <v>108</v>
      </c>
      <c r="L369" s="1">
        <v>9.0852830188679246</v>
      </c>
      <c r="M369" s="1">
        <v>8099891.9999999991</v>
      </c>
      <c r="N369" s="7">
        <v>45947</v>
      </c>
      <c r="O369" s="1">
        <v>30000</v>
      </c>
      <c r="P369" s="7">
        <v>46174</v>
      </c>
      <c r="Q369" s="1" t="s">
        <v>330</v>
      </c>
      <c r="W369" s="3"/>
      <c r="X369" s="3">
        <v>0</v>
      </c>
      <c r="Y369" s="1" t="str">
        <f>VLOOKUP(A369,[1]Detalle!$D$2:$CR$484,93,FALSE)</f>
        <v>Sin Operación</v>
      </c>
    </row>
    <row r="370" spans="1:25" ht="14.25" customHeight="1" x14ac:dyDescent="0.3">
      <c r="A370" s="1" t="s">
        <v>197</v>
      </c>
      <c r="B370" s="1" t="s">
        <v>551</v>
      </c>
      <c r="C370" s="1" t="s">
        <v>551</v>
      </c>
      <c r="D370" s="1" t="s">
        <v>552</v>
      </c>
      <c r="E370" s="1" t="s">
        <v>337</v>
      </c>
      <c r="F370" s="1">
        <v>166036</v>
      </c>
      <c r="G370" s="1">
        <v>196036</v>
      </c>
      <c r="H370" s="1">
        <v>0.4</v>
      </c>
      <c r="I370" s="1">
        <v>29999.599999999999</v>
      </c>
      <c r="J370" s="1">
        <v>166036.4</v>
      </c>
      <c r="K370" s="1">
        <v>108</v>
      </c>
      <c r="L370" s="1">
        <v>3.1153992395437262</v>
      </c>
      <c r="M370" s="1">
        <v>8099891.9999999991</v>
      </c>
      <c r="N370" s="7">
        <v>45947</v>
      </c>
      <c r="O370" s="1">
        <v>30000</v>
      </c>
      <c r="P370" s="7">
        <v>46174</v>
      </c>
      <c r="Q370" s="1" t="s">
        <v>330</v>
      </c>
      <c r="W370" s="3"/>
      <c r="X370" s="3">
        <v>0</v>
      </c>
      <c r="Y370" s="1" t="str">
        <f>VLOOKUP(A370,[1]Detalle!$D$2:$CR$484,93,FALSE)</f>
        <v>Sin Operación</v>
      </c>
    </row>
    <row r="371" spans="1:25" ht="14.25" customHeight="1" x14ac:dyDescent="0.3">
      <c r="A371" s="1" t="s">
        <v>206</v>
      </c>
      <c r="B371" s="1" t="s">
        <v>551</v>
      </c>
      <c r="C371" s="1" t="s">
        <v>551</v>
      </c>
      <c r="D371" s="1" t="s">
        <v>552</v>
      </c>
      <c r="E371" s="1" t="s">
        <v>337</v>
      </c>
      <c r="F371" s="1">
        <v>220694</v>
      </c>
      <c r="G371" s="1">
        <v>250694</v>
      </c>
      <c r="H371" s="1">
        <v>1856</v>
      </c>
      <c r="I371" s="1">
        <v>28144</v>
      </c>
      <c r="J371" s="1">
        <v>222550</v>
      </c>
      <c r="K371" s="1">
        <v>108</v>
      </c>
      <c r="L371" s="1">
        <v>9.7282442748091569</v>
      </c>
      <c r="M371" s="1">
        <v>1637.6896551724139</v>
      </c>
      <c r="N371" s="7">
        <v>45947</v>
      </c>
      <c r="O371" s="1">
        <v>30000</v>
      </c>
      <c r="P371" s="7">
        <v>46174</v>
      </c>
      <c r="Q371" s="1" t="s">
        <v>330</v>
      </c>
      <c r="W371" s="3"/>
      <c r="X371" s="3">
        <v>0</v>
      </c>
      <c r="Y371" s="1" t="str">
        <f>VLOOKUP(A371,[1]Detalle!$D$2:$CR$484,93,FALSE)</f>
        <v>Sin Operación</v>
      </c>
    </row>
    <row r="372" spans="1:25" ht="14.25" customHeight="1" x14ac:dyDescent="0.3">
      <c r="A372" s="1" t="s">
        <v>236</v>
      </c>
      <c r="B372" s="1" t="s">
        <v>551</v>
      </c>
      <c r="C372" s="1" t="s">
        <v>551</v>
      </c>
      <c r="D372" s="1" t="s">
        <v>552</v>
      </c>
      <c r="E372" s="1" t="s">
        <v>337</v>
      </c>
      <c r="F372" s="1">
        <v>1016980</v>
      </c>
      <c r="G372" s="1">
        <v>1046980</v>
      </c>
      <c r="H372" s="1">
        <v>34026.300000000003</v>
      </c>
      <c r="I372" s="1">
        <v>-4026.3000000000029</v>
      </c>
      <c r="J372" s="1">
        <v>1051006.3</v>
      </c>
      <c r="K372" s="1">
        <v>108</v>
      </c>
      <c r="L372" s="1">
        <v>455.32846441947561</v>
      </c>
      <c r="M372" s="1">
        <v>-12.77953818076019</v>
      </c>
      <c r="N372" s="7">
        <v>45947</v>
      </c>
      <c r="O372" s="1">
        <v>30000</v>
      </c>
      <c r="P372" s="7">
        <v>46078.773004953713</v>
      </c>
      <c r="Q372" s="1" t="s">
        <v>330</v>
      </c>
      <c r="R372" s="6">
        <v>46078.773004953713</v>
      </c>
      <c r="W372" s="3"/>
      <c r="X372" s="3">
        <v>0</v>
      </c>
      <c r="Y372" s="1" t="str">
        <f>VLOOKUP(A372,[1]Detalle!$D$2:$CR$484,93,FALSE)</f>
        <v>CENCOMLD - Cencosud SA - Mendoza</v>
      </c>
    </row>
    <row r="373" spans="1:25" ht="14.25" customHeight="1" x14ac:dyDescent="0.3">
      <c r="A373" s="1" t="s">
        <v>235</v>
      </c>
      <c r="B373" s="1" t="s">
        <v>551</v>
      </c>
      <c r="C373" s="1" t="s">
        <v>551</v>
      </c>
      <c r="D373" s="1" t="s">
        <v>552</v>
      </c>
      <c r="E373" s="6">
        <v>45827</v>
      </c>
      <c r="F373" s="1">
        <v>995475</v>
      </c>
      <c r="G373" s="1">
        <v>1025475</v>
      </c>
      <c r="H373" s="1">
        <v>32106.700000000012</v>
      </c>
      <c r="I373" s="1">
        <v>-2106.700000000008</v>
      </c>
      <c r="J373" s="1">
        <v>1027581.7</v>
      </c>
      <c r="K373" s="1">
        <v>120</v>
      </c>
      <c r="L373" s="1">
        <v>263.69237037037038</v>
      </c>
      <c r="M373" s="1">
        <v>-7.8738705628420513</v>
      </c>
      <c r="N373" s="7">
        <v>45947</v>
      </c>
      <c r="O373" s="1">
        <v>30000</v>
      </c>
      <c r="P373" s="7">
        <v>46060.76893445602</v>
      </c>
      <c r="Q373" s="1" t="s">
        <v>330</v>
      </c>
      <c r="W373" s="3"/>
      <c r="X373" s="3">
        <v>0</v>
      </c>
      <c r="Y373" s="1" t="str">
        <f>VLOOKUP(A373,[1]Detalle!$D$2:$CR$484,93,FALSE)</f>
        <v>CENCOMLD - Cencosud SA - Mendoza</v>
      </c>
    </row>
    <row r="374" spans="1:25" ht="14.25" customHeight="1" x14ac:dyDescent="0.3">
      <c r="A374" s="1" t="s">
        <v>237</v>
      </c>
      <c r="B374" s="1" t="s">
        <v>551</v>
      </c>
      <c r="C374" s="1" t="s">
        <v>551</v>
      </c>
      <c r="D374" s="1" t="s">
        <v>552</v>
      </c>
      <c r="E374" s="6">
        <v>45832</v>
      </c>
      <c r="F374" s="1">
        <v>809139</v>
      </c>
      <c r="G374" s="1">
        <v>839139</v>
      </c>
      <c r="H374" s="1">
        <v>19689.100000000009</v>
      </c>
      <c r="I374" s="1">
        <v>10310.899999999991</v>
      </c>
      <c r="J374" s="1">
        <v>828828.1</v>
      </c>
      <c r="K374" s="1">
        <v>115</v>
      </c>
      <c r="L374" s="1">
        <v>518.64529411764704</v>
      </c>
      <c r="M374" s="1">
        <v>60.223854823227008</v>
      </c>
      <c r="N374" s="7">
        <v>45947</v>
      </c>
      <c r="O374" s="1">
        <v>30000</v>
      </c>
      <c r="P374" s="7">
        <v>46065.0668553125</v>
      </c>
      <c r="Q374" s="1" t="s">
        <v>330</v>
      </c>
      <c r="W374" s="3"/>
      <c r="X374" s="3">
        <v>0</v>
      </c>
      <c r="Y374" s="1" t="str">
        <f>VLOOKUP(A374,[1]Detalle!$D$2:$CR$484,93,FALSE)</f>
        <v>CENCOMLD - Cencosud SA - Mendoza</v>
      </c>
    </row>
    <row r="375" spans="1:25" ht="14.25" customHeight="1" x14ac:dyDescent="0.3">
      <c r="A375" s="1" t="s">
        <v>160</v>
      </c>
      <c r="B375" s="1" t="s">
        <v>551</v>
      </c>
      <c r="C375" s="1" t="s">
        <v>551</v>
      </c>
      <c r="D375" s="1" t="s">
        <v>552</v>
      </c>
      <c r="E375" s="1" t="s">
        <v>337</v>
      </c>
      <c r="F375" s="1">
        <v>14844</v>
      </c>
      <c r="G375" s="1">
        <v>44844</v>
      </c>
      <c r="H375" s="1">
        <v>8215.1999999999989</v>
      </c>
      <c r="I375" s="1">
        <v>21784.799999999999</v>
      </c>
      <c r="J375" s="1">
        <v>23059.200000000001</v>
      </c>
      <c r="K375" s="1">
        <v>108</v>
      </c>
      <c r="L375" s="1">
        <v>53.990801282051272</v>
      </c>
      <c r="M375" s="1">
        <v>286.39088518843118</v>
      </c>
      <c r="N375" s="7">
        <v>45947</v>
      </c>
      <c r="O375" s="1">
        <v>30000</v>
      </c>
      <c r="P375" s="7">
        <v>46233.390885185188</v>
      </c>
      <c r="Q375" s="1" t="s">
        <v>330</v>
      </c>
      <c r="W375" s="3"/>
      <c r="X375" s="3">
        <v>0</v>
      </c>
      <c r="Y375" s="1" t="str">
        <f>VLOOKUP(A375,[1]Detalle!$D$2:$CR$484,93,FALSE)</f>
        <v>CENCO_SJ - Cencosud SA - San Juan</v>
      </c>
    </row>
    <row r="376" spans="1:25" ht="14.25" customHeight="1" x14ac:dyDescent="0.3">
      <c r="A376" s="1" t="s">
        <v>148</v>
      </c>
      <c r="B376" s="1" t="s">
        <v>551</v>
      </c>
      <c r="C376" s="1" t="s">
        <v>551</v>
      </c>
      <c r="D376" s="1" t="s">
        <v>552</v>
      </c>
      <c r="E376" s="1" t="s">
        <v>337</v>
      </c>
      <c r="F376" s="1">
        <v>802722</v>
      </c>
      <c r="G376" s="1">
        <v>832722</v>
      </c>
      <c r="H376" s="1">
        <v>14655.30000000001</v>
      </c>
      <c r="I376" s="1">
        <v>15344.69999999999</v>
      </c>
      <c r="J376" s="1">
        <v>817377.3</v>
      </c>
      <c r="K376" s="1">
        <v>108</v>
      </c>
      <c r="L376" s="1">
        <v>100.27773026315791</v>
      </c>
      <c r="M376" s="1">
        <v>113.0804282409775</v>
      </c>
      <c r="N376" s="7">
        <v>45947</v>
      </c>
      <c r="O376" s="1">
        <v>30000</v>
      </c>
      <c r="P376" s="7">
        <v>46060.080428240741</v>
      </c>
      <c r="Q376" s="1" t="s">
        <v>330</v>
      </c>
      <c r="W376" s="3"/>
      <c r="X376" s="3">
        <v>0</v>
      </c>
      <c r="Y376" s="1" t="str">
        <f>VLOOKUP(A376,[1]Detalle!$D$2:$CR$484,93,FALSE)</f>
        <v>Unilever - Unilever de Arg. S.A.</v>
      </c>
    </row>
    <row r="377" spans="1:25" ht="14.25" customHeight="1" x14ac:dyDescent="0.3">
      <c r="A377" s="1" t="s">
        <v>157</v>
      </c>
      <c r="B377" s="1" t="s">
        <v>551</v>
      </c>
      <c r="C377" s="1" t="s">
        <v>551</v>
      </c>
      <c r="D377" s="1" t="s">
        <v>552</v>
      </c>
      <c r="E377" s="1" t="s">
        <v>337</v>
      </c>
      <c r="F377" s="1">
        <v>20445.099999999999</v>
      </c>
      <c r="G377" s="1">
        <v>50445.1</v>
      </c>
      <c r="H377" s="1">
        <v>10050.5</v>
      </c>
      <c r="I377" s="1">
        <v>19949.5</v>
      </c>
      <c r="J377" s="1">
        <v>30495.599999999999</v>
      </c>
      <c r="K377" s="1">
        <v>108</v>
      </c>
      <c r="L377" s="1">
        <v>131.93916129032249</v>
      </c>
      <c r="M377" s="1">
        <v>214.37202129247299</v>
      </c>
      <c r="N377" s="7">
        <v>45947</v>
      </c>
      <c r="O377" s="1">
        <v>30000</v>
      </c>
      <c r="P377" s="7">
        <v>46161.372021296287</v>
      </c>
      <c r="Q377" s="1" t="s">
        <v>330</v>
      </c>
      <c r="W377" s="3"/>
      <c r="X377" s="3">
        <v>0</v>
      </c>
      <c r="Y377" s="1" t="str">
        <f>VLOOKUP(A377,[1]Detalle!$D$2:$CR$484,93,FALSE)</f>
        <v>Unilever - Unilever de Arg. S.A.</v>
      </c>
    </row>
    <row r="378" spans="1:25" ht="14.25" customHeight="1" x14ac:dyDescent="0.3">
      <c r="A378" s="1" t="s">
        <v>163</v>
      </c>
      <c r="B378" s="1" t="s">
        <v>551</v>
      </c>
      <c r="C378" s="1" t="s">
        <v>551</v>
      </c>
      <c r="D378" s="1" t="s">
        <v>552</v>
      </c>
      <c r="E378" s="1" t="s">
        <v>337</v>
      </c>
      <c r="F378" s="1">
        <v>653925</v>
      </c>
      <c r="G378" s="1">
        <v>683925</v>
      </c>
      <c r="H378" s="1">
        <v>7902.6999999999989</v>
      </c>
      <c r="I378" s="1">
        <v>22097.3</v>
      </c>
      <c r="J378" s="1">
        <v>661827.69999999995</v>
      </c>
      <c r="K378" s="1">
        <v>108</v>
      </c>
      <c r="L378" s="1">
        <v>93.110293159609114</v>
      </c>
      <c r="M378" s="1">
        <v>301.98646032368691</v>
      </c>
      <c r="N378" s="7">
        <v>45947</v>
      </c>
      <c r="O378" s="1">
        <v>30000</v>
      </c>
      <c r="P378" s="7">
        <v>46248.986460324071</v>
      </c>
      <c r="Q378" s="1" t="s">
        <v>330</v>
      </c>
      <c r="W378" s="3"/>
      <c r="X378" s="3">
        <v>0</v>
      </c>
      <c r="Y378" s="1" t="str">
        <f>VLOOKUP(A378,[1]Detalle!$D$2:$CR$484,93,FALSE)</f>
        <v>Papelera - Papelera del Plata S.A.</v>
      </c>
    </row>
    <row r="379" spans="1:25" ht="14.25" customHeight="1" x14ac:dyDescent="0.3">
      <c r="A379" s="1" t="s">
        <v>167</v>
      </c>
      <c r="B379" s="1" t="s">
        <v>551</v>
      </c>
      <c r="C379" s="1" t="s">
        <v>551</v>
      </c>
      <c r="D379" s="1" t="s">
        <v>552</v>
      </c>
      <c r="E379" s="1" t="s">
        <v>337</v>
      </c>
      <c r="F379" s="1">
        <v>693669</v>
      </c>
      <c r="G379" s="1">
        <v>723669</v>
      </c>
      <c r="H379" s="1">
        <v>6239.8000000000029</v>
      </c>
      <c r="I379" s="1">
        <v>23760.2</v>
      </c>
      <c r="J379" s="1">
        <v>699908.8</v>
      </c>
      <c r="K379" s="1">
        <v>108</v>
      </c>
      <c r="L379" s="1">
        <v>54.087953795379541</v>
      </c>
      <c r="M379" s="1">
        <v>411.24741177601823</v>
      </c>
      <c r="N379" s="7">
        <v>45947</v>
      </c>
      <c r="O379" s="1">
        <v>30000</v>
      </c>
      <c r="P379" s="7">
        <v>46358.247411770833</v>
      </c>
      <c r="Q379" s="1" t="s">
        <v>330</v>
      </c>
      <c r="W379" s="3"/>
      <c r="X379" s="3">
        <v>0</v>
      </c>
      <c r="Y379" s="1" t="str">
        <f>VLOOKUP(A379,[1]Detalle!$D$2:$CR$484,93,FALSE)</f>
        <v>Papelera - Papelera del Plata S.A.</v>
      </c>
    </row>
    <row r="380" spans="1:25" ht="14.25" customHeight="1" x14ac:dyDescent="0.3">
      <c r="A380" s="1" t="s">
        <v>168</v>
      </c>
      <c r="B380" s="1" t="s">
        <v>551</v>
      </c>
      <c r="C380" s="1" t="s">
        <v>551</v>
      </c>
      <c r="D380" s="1" t="s">
        <v>552</v>
      </c>
      <c r="E380" s="1" t="s">
        <v>337</v>
      </c>
      <c r="F380" s="1">
        <v>561820</v>
      </c>
      <c r="G380" s="1">
        <v>591820</v>
      </c>
      <c r="H380" s="1">
        <v>11490.5</v>
      </c>
      <c r="I380" s="1">
        <v>18509.5</v>
      </c>
      <c r="J380" s="1">
        <v>573310.5</v>
      </c>
      <c r="K380" s="1">
        <v>108</v>
      </c>
      <c r="L380" s="1">
        <v>80.547755775577556</v>
      </c>
      <c r="M380" s="1">
        <v>173.9720638788564</v>
      </c>
      <c r="N380" s="7">
        <v>45947</v>
      </c>
      <c r="O380" s="1">
        <v>30000</v>
      </c>
      <c r="P380" s="7">
        <v>46120.972063877307</v>
      </c>
      <c r="Q380" s="1" t="s">
        <v>330</v>
      </c>
      <c r="W380" s="3"/>
      <c r="X380" s="3">
        <v>0</v>
      </c>
      <c r="Y380" s="1" t="str">
        <f>VLOOKUP(A380,[1]Detalle!$D$2:$CR$484,93,FALSE)</f>
        <v>Unilever - Unilever de Arg. S.A.</v>
      </c>
    </row>
    <row r="381" spans="1:25" ht="14.25" customHeight="1" x14ac:dyDescent="0.3">
      <c r="A381" s="1" t="s">
        <v>174</v>
      </c>
      <c r="B381" s="1" t="s">
        <v>551</v>
      </c>
      <c r="C381" s="1" t="s">
        <v>551</v>
      </c>
      <c r="D381" s="1" t="s">
        <v>552</v>
      </c>
      <c r="E381" s="1" t="s">
        <v>337</v>
      </c>
      <c r="F381" s="1">
        <v>23487.8</v>
      </c>
      <c r="G381" s="1">
        <v>53487.8</v>
      </c>
      <c r="H381" s="1">
        <v>11983.499999999991</v>
      </c>
      <c r="I381" s="1">
        <v>18016.500000000011</v>
      </c>
      <c r="J381" s="1">
        <v>35471.300000000003</v>
      </c>
      <c r="K381" s="1">
        <v>108</v>
      </c>
      <c r="L381" s="1">
        <v>71.271935483870948</v>
      </c>
      <c r="M381" s="1">
        <v>162.3717611716111</v>
      </c>
      <c r="N381" s="7">
        <v>45947</v>
      </c>
      <c r="O381" s="1">
        <v>30000</v>
      </c>
      <c r="P381" s="7">
        <v>46109.371761168979</v>
      </c>
      <c r="Q381" s="1" t="s">
        <v>330</v>
      </c>
      <c r="W381" s="3"/>
      <c r="X381" s="3">
        <v>0</v>
      </c>
      <c r="Y381" s="1" t="str">
        <f>VLOOKUP(A381,[1]Detalle!$D$2:$CR$484,93,FALSE)</f>
        <v>Unilever - Unilever de Arg. S.A.</v>
      </c>
    </row>
    <row r="382" spans="1:25" ht="14.25" customHeight="1" x14ac:dyDescent="0.3">
      <c r="A382" s="1" t="s">
        <v>108</v>
      </c>
      <c r="B382" s="1" t="s">
        <v>551</v>
      </c>
      <c r="C382" s="1" t="s">
        <v>551</v>
      </c>
      <c r="D382" s="1" t="s">
        <v>552</v>
      </c>
      <c r="E382" s="1" t="s">
        <v>337</v>
      </c>
      <c r="F382" s="1">
        <v>34212.1</v>
      </c>
      <c r="G382" s="1">
        <v>64212.1</v>
      </c>
      <c r="H382" s="1">
        <v>7402.6000000000013</v>
      </c>
      <c r="I382" s="1">
        <v>22597.4</v>
      </c>
      <c r="J382" s="1">
        <v>41614.699999999997</v>
      </c>
      <c r="K382" s="1">
        <v>108</v>
      </c>
      <c r="L382" s="1">
        <v>52.850396039603943</v>
      </c>
      <c r="M382" s="1">
        <v>329.68405695296241</v>
      </c>
      <c r="N382" s="7">
        <v>45947</v>
      </c>
      <c r="O382" s="1">
        <v>30000</v>
      </c>
      <c r="P382" s="7">
        <v>46276.684056956023</v>
      </c>
      <c r="Q382" s="1" t="s">
        <v>330</v>
      </c>
      <c r="W382" s="3"/>
      <c r="X382" s="3">
        <v>0</v>
      </c>
      <c r="Y382" s="1" t="str">
        <f>VLOOKUP(A382,[1]Detalle!$D$2:$CR$484,93,FALSE)</f>
        <v>JOHNSON - SC JOHNSON DE ARGENTINA SAIC</v>
      </c>
    </row>
    <row r="383" spans="1:25" ht="14.25" customHeight="1" x14ac:dyDescent="0.3">
      <c r="A383" s="1" t="s">
        <v>257</v>
      </c>
      <c r="B383" s="1" t="s">
        <v>551</v>
      </c>
      <c r="C383" s="1" t="s">
        <v>551</v>
      </c>
      <c r="D383" s="1" t="s">
        <v>552</v>
      </c>
      <c r="E383" s="1" t="s">
        <v>337</v>
      </c>
      <c r="F383" s="1">
        <v>242219</v>
      </c>
      <c r="G383" s="1">
        <v>272219</v>
      </c>
      <c r="H383" s="1">
        <v>6043.9999999999973</v>
      </c>
      <c r="I383" s="1">
        <v>23956</v>
      </c>
      <c r="J383" s="1">
        <v>248263</v>
      </c>
      <c r="K383" s="1">
        <v>108</v>
      </c>
      <c r="L383" s="1">
        <v>32.336013071895437</v>
      </c>
      <c r="M383" s="1">
        <v>428.06882859033777</v>
      </c>
      <c r="N383" s="7">
        <v>45947</v>
      </c>
      <c r="O383" s="1">
        <v>30000</v>
      </c>
      <c r="P383" s="7">
        <v>46375.068828587973</v>
      </c>
      <c r="Q383" s="1" t="s">
        <v>330</v>
      </c>
      <c r="W383" s="3"/>
      <c r="X383" s="3">
        <v>0</v>
      </c>
      <c r="Y383" s="1" t="str">
        <f>VLOOKUP(A383,[1]Detalle!$D$2:$CR$484,93,FALSE)</f>
        <v>CMQ_TTE - QUILMES TTE</v>
      </c>
    </row>
    <row r="384" spans="1:25" ht="14.25" customHeight="1" x14ac:dyDescent="0.3">
      <c r="A384" s="1" t="s">
        <v>217</v>
      </c>
      <c r="B384" s="1" t="s">
        <v>551</v>
      </c>
      <c r="C384" s="1" t="s">
        <v>551</v>
      </c>
      <c r="D384" s="1" t="s">
        <v>552</v>
      </c>
      <c r="E384" s="1" t="s">
        <v>337</v>
      </c>
      <c r="F384" s="1">
        <v>472329</v>
      </c>
      <c r="G384" s="1">
        <v>502329</v>
      </c>
      <c r="H384" s="1">
        <v>9845.5999999999985</v>
      </c>
      <c r="I384" s="1">
        <v>20154.400000000001</v>
      </c>
      <c r="J384" s="1">
        <v>482174.6</v>
      </c>
      <c r="K384" s="1">
        <v>108</v>
      </c>
      <c r="L384" s="1">
        <v>63.859032258064524</v>
      </c>
      <c r="M384" s="1">
        <v>221.0810108068579</v>
      </c>
      <c r="N384" s="7">
        <v>45947</v>
      </c>
      <c r="O384" s="1">
        <v>30000</v>
      </c>
      <c r="P384" s="7">
        <v>46168.081010810187</v>
      </c>
      <c r="Q384" s="1" t="s">
        <v>330</v>
      </c>
      <c r="W384" s="3"/>
      <c r="X384" s="3">
        <v>0</v>
      </c>
      <c r="Y384" s="1" t="str">
        <f>VLOOKUP(A384,[1]Detalle!$D$2:$CR$484,93,FALSE)</f>
        <v>Papelera - Papelera del Plata S.A.</v>
      </c>
    </row>
    <row r="385" spans="1:25" ht="14.25" customHeight="1" x14ac:dyDescent="0.3">
      <c r="A385" s="1" t="s">
        <v>78</v>
      </c>
      <c r="B385" s="1" t="s">
        <v>551</v>
      </c>
      <c r="C385" s="1" t="s">
        <v>551</v>
      </c>
      <c r="D385" s="1" t="s">
        <v>552</v>
      </c>
      <c r="E385" s="1" t="s">
        <v>337</v>
      </c>
      <c r="F385" s="1">
        <v>39715.599999999999</v>
      </c>
      <c r="G385" s="1">
        <v>69715.600000000006</v>
      </c>
      <c r="H385" s="1">
        <v>6144.7</v>
      </c>
      <c r="I385" s="1">
        <v>23855.3</v>
      </c>
      <c r="J385" s="1">
        <v>45860.3</v>
      </c>
      <c r="K385" s="1">
        <v>108</v>
      </c>
      <c r="L385" s="1">
        <v>36.164383116883137</v>
      </c>
      <c r="M385" s="1">
        <v>419.28367536250761</v>
      </c>
      <c r="N385" s="7">
        <v>45947</v>
      </c>
      <c r="O385" s="1">
        <v>30000</v>
      </c>
      <c r="P385" s="7">
        <v>46366.283675358798</v>
      </c>
      <c r="Q385" s="1" t="s">
        <v>330</v>
      </c>
      <c r="W385" s="3"/>
      <c r="X385" s="3">
        <v>0</v>
      </c>
      <c r="Y385" s="1" t="str">
        <f>VLOOKUP(A385,[1]Detalle!$D$2:$CR$484,93,FALSE)</f>
        <v>Papelera - Papelera del Plata S.A.</v>
      </c>
    </row>
    <row r="386" spans="1:25" ht="14.25" customHeight="1" x14ac:dyDescent="0.3">
      <c r="A386" s="1" t="s">
        <v>91</v>
      </c>
      <c r="B386" s="1" t="s">
        <v>551</v>
      </c>
      <c r="C386" s="1" t="s">
        <v>551</v>
      </c>
      <c r="D386" s="1" t="s">
        <v>552</v>
      </c>
      <c r="E386" s="1" t="s">
        <v>337</v>
      </c>
      <c r="F386" s="1">
        <v>23169.200000000001</v>
      </c>
      <c r="G386" s="1">
        <v>53169.2</v>
      </c>
      <c r="H386" s="1">
        <v>9940.6999999999971</v>
      </c>
      <c r="I386" s="1">
        <v>20059.3</v>
      </c>
      <c r="J386" s="1">
        <v>33109.899999999987</v>
      </c>
      <c r="K386" s="1">
        <v>108</v>
      </c>
      <c r="L386" s="1">
        <v>61.470550161812312</v>
      </c>
      <c r="M386" s="1">
        <v>217.9327813936645</v>
      </c>
      <c r="N386" s="7">
        <v>45947</v>
      </c>
      <c r="O386" s="1">
        <v>30000</v>
      </c>
      <c r="P386" s="7">
        <v>46164.932781388889</v>
      </c>
      <c r="Q386" s="1" t="s">
        <v>330</v>
      </c>
      <c r="W386" s="3"/>
      <c r="X386" s="3">
        <v>0</v>
      </c>
      <c r="Y386" s="1" t="str">
        <f>VLOOKUP(A386,[1]Detalle!$D$2:$CR$484,93,FALSE)</f>
        <v>Unilever - Unilever de Arg. S.A.</v>
      </c>
    </row>
    <row r="387" spans="1:25" ht="14.25" customHeight="1" x14ac:dyDescent="0.3">
      <c r="A387" s="1" t="s">
        <v>92</v>
      </c>
      <c r="B387" s="1" t="s">
        <v>551</v>
      </c>
      <c r="C387" s="1" t="s">
        <v>551</v>
      </c>
      <c r="D387" s="1" t="s">
        <v>552</v>
      </c>
      <c r="E387" s="1" t="s">
        <v>337</v>
      </c>
      <c r="F387" s="1">
        <v>23673.5</v>
      </c>
      <c r="G387" s="1">
        <v>53673.5</v>
      </c>
      <c r="H387" s="1">
        <v>12164.1</v>
      </c>
      <c r="I387" s="1">
        <v>17835.900000000001</v>
      </c>
      <c r="J387" s="1">
        <v>35837.599999999999</v>
      </c>
      <c r="K387" s="1">
        <v>108</v>
      </c>
      <c r="L387" s="1">
        <v>65.871929260450116</v>
      </c>
      <c r="M387" s="1">
        <v>158.35756036204901</v>
      </c>
      <c r="N387" s="7">
        <v>45947</v>
      </c>
      <c r="O387" s="1">
        <v>30000</v>
      </c>
      <c r="P387" s="7">
        <v>46105.357560358803</v>
      </c>
      <c r="Q387" s="1" t="s">
        <v>330</v>
      </c>
      <c r="W387" s="3"/>
      <c r="X387" s="3">
        <v>0</v>
      </c>
      <c r="Y387" s="1" t="str">
        <f>VLOOKUP(A387,[1]Detalle!$D$2:$CR$484,93,FALSE)</f>
        <v>Unilever - Unilever de Arg. S.A.</v>
      </c>
    </row>
    <row r="388" spans="1:25" ht="14.25" customHeight="1" x14ac:dyDescent="0.3">
      <c r="A388" s="1" t="s">
        <v>207</v>
      </c>
      <c r="B388" s="1" t="s">
        <v>553</v>
      </c>
      <c r="C388" s="1" t="s">
        <v>553</v>
      </c>
      <c r="D388" s="1" t="s">
        <v>554</v>
      </c>
      <c r="E388" s="1" t="s">
        <v>337</v>
      </c>
      <c r="F388" s="1">
        <v>334664</v>
      </c>
      <c r="G388" s="1">
        <v>364664</v>
      </c>
      <c r="H388" s="1">
        <v>9329.5</v>
      </c>
      <c r="I388" s="1">
        <v>20670.5</v>
      </c>
      <c r="J388" s="1">
        <v>343993.5</v>
      </c>
      <c r="K388" s="1">
        <v>108</v>
      </c>
      <c r="L388" s="1">
        <v>86.162316176470569</v>
      </c>
      <c r="M388" s="1">
        <v>239.2854922557479</v>
      </c>
      <c r="N388" s="7">
        <v>45947</v>
      </c>
      <c r="O388" s="1">
        <v>30000</v>
      </c>
      <c r="P388" s="7">
        <v>46186.285492256953</v>
      </c>
      <c r="Q388" s="1" t="s">
        <v>330</v>
      </c>
      <c r="W388" s="3"/>
      <c r="X388" s="3">
        <v>0</v>
      </c>
      <c r="Y388" s="1" t="str">
        <f>VLOOKUP(A388,[1]Detalle!$D$2:$CR$484,93,FALSE)</f>
        <v>Arcor S.A.I.C.</v>
      </c>
    </row>
    <row r="389" spans="1:25" ht="14.25" customHeight="1" x14ac:dyDescent="0.3">
      <c r="A389" s="1" t="s">
        <v>21</v>
      </c>
      <c r="B389" s="1" t="s">
        <v>553</v>
      </c>
      <c r="C389" s="1" t="s">
        <v>553</v>
      </c>
      <c r="D389" s="1" t="s">
        <v>554</v>
      </c>
      <c r="E389" s="1" t="s">
        <v>337</v>
      </c>
      <c r="F389" s="1">
        <v>67125.100000000006</v>
      </c>
      <c r="G389" s="1">
        <v>97125.1</v>
      </c>
      <c r="H389" s="1">
        <v>5906.4999999999982</v>
      </c>
      <c r="I389" s="1">
        <v>24093.5</v>
      </c>
      <c r="J389" s="1">
        <v>73031.600000000006</v>
      </c>
      <c r="K389" s="1">
        <v>108</v>
      </c>
      <c r="L389" s="1">
        <v>47.570444444444483</v>
      </c>
      <c r="M389" s="1">
        <v>440.5482095995938</v>
      </c>
      <c r="N389" s="7">
        <v>45947</v>
      </c>
      <c r="O389" s="1">
        <v>30000</v>
      </c>
      <c r="P389" s="7">
        <v>46387.548209594897</v>
      </c>
      <c r="Q389" s="1" t="s">
        <v>330</v>
      </c>
      <c r="W389" s="3"/>
      <c r="X389" s="3">
        <v>0</v>
      </c>
      <c r="Y389" s="1" t="str">
        <f>VLOOKUP(A389,[1]Detalle!$D$2:$CR$484,93,FALSE)</f>
        <v>CMQ_TTE - QUILMES TTE</v>
      </c>
    </row>
    <row r="390" spans="1:25" ht="14.25" customHeight="1" x14ac:dyDescent="0.3">
      <c r="A390" s="1" t="s">
        <v>26</v>
      </c>
      <c r="B390" s="1" t="s">
        <v>553</v>
      </c>
      <c r="C390" s="1" t="s">
        <v>553</v>
      </c>
      <c r="D390" s="1" t="s">
        <v>554</v>
      </c>
      <c r="E390" s="1" t="s">
        <v>337</v>
      </c>
      <c r="F390" s="1">
        <v>67617</v>
      </c>
      <c r="G390" s="1">
        <v>97617</v>
      </c>
      <c r="H390" s="1">
        <v>5978.5999999999995</v>
      </c>
      <c r="I390" s="1">
        <v>24021.4</v>
      </c>
      <c r="J390" s="1">
        <v>73595.600000000006</v>
      </c>
      <c r="K390" s="1">
        <v>108</v>
      </c>
      <c r="L390" s="1">
        <v>51.578014705882367</v>
      </c>
      <c r="M390" s="1">
        <v>433.93289398855927</v>
      </c>
      <c r="N390" s="7">
        <v>45947</v>
      </c>
      <c r="O390" s="1">
        <v>30000</v>
      </c>
      <c r="P390" s="7">
        <v>46380.932893993056</v>
      </c>
      <c r="Q390" s="1" t="s">
        <v>330</v>
      </c>
      <c r="W390" s="3"/>
      <c r="X390" s="3">
        <v>0</v>
      </c>
      <c r="Y390" s="1" t="str">
        <f>VLOOKUP(A390,[1]Detalle!$D$2:$CR$484,93,FALSE)</f>
        <v>CMQ_TTE - QUILMES TTE</v>
      </c>
    </row>
    <row r="391" spans="1:25" ht="14.25" customHeight="1" x14ac:dyDescent="0.3">
      <c r="A391" s="1" t="s">
        <v>208</v>
      </c>
      <c r="B391" s="1" t="s">
        <v>553</v>
      </c>
      <c r="C391" s="1" t="s">
        <v>553</v>
      </c>
      <c r="D391" s="1" t="s">
        <v>554</v>
      </c>
      <c r="E391" s="1" t="s">
        <v>337</v>
      </c>
      <c r="F391" s="1">
        <v>272080</v>
      </c>
      <c r="G391" s="1">
        <v>302080</v>
      </c>
      <c r="H391" s="1">
        <v>8704.6999999999971</v>
      </c>
      <c r="I391" s="1">
        <v>21295.3</v>
      </c>
      <c r="J391" s="1">
        <v>280784.7</v>
      </c>
      <c r="K391" s="1">
        <v>108</v>
      </c>
      <c r="L391" s="1">
        <v>86.131808118081167</v>
      </c>
      <c r="M391" s="1">
        <v>264.21271267246442</v>
      </c>
      <c r="N391" s="7">
        <v>45947</v>
      </c>
      <c r="O391" s="1">
        <v>30000</v>
      </c>
      <c r="P391" s="7">
        <v>46211.212712673609</v>
      </c>
      <c r="Q391" s="1" t="s">
        <v>330</v>
      </c>
      <c r="W391" s="3"/>
      <c r="X391" s="3">
        <v>0</v>
      </c>
      <c r="Y391" s="1" t="str">
        <f>VLOOKUP(A391,[1]Detalle!$D$2:$CR$484,93,FALSE)</f>
        <v>Arcor S.A.I.C.</v>
      </c>
    </row>
    <row r="392" spans="1:25" ht="14.25" customHeight="1" x14ac:dyDescent="0.3">
      <c r="A392" s="1" t="s">
        <v>43</v>
      </c>
      <c r="B392" s="1" t="s">
        <v>553</v>
      </c>
      <c r="C392" s="1" t="s">
        <v>553</v>
      </c>
      <c r="D392" s="1" t="s">
        <v>554</v>
      </c>
      <c r="E392" s="1" t="s">
        <v>337</v>
      </c>
      <c r="F392" s="1">
        <v>65168</v>
      </c>
      <c r="G392" s="1">
        <v>95168</v>
      </c>
      <c r="H392" s="1">
        <v>5979.6999999999989</v>
      </c>
      <c r="I392" s="1">
        <v>24020.3</v>
      </c>
      <c r="J392" s="1">
        <v>71147.7</v>
      </c>
      <c r="K392" s="1">
        <v>108</v>
      </c>
      <c r="L392" s="1">
        <v>51.939962962962959</v>
      </c>
      <c r="M392" s="1">
        <v>433.83320233456539</v>
      </c>
      <c r="N392" s="7">
        <v>45947</v>
      </c>
      <c r="O392" s="1">
        <v>30000</v>
      </c>
      <c r="P392" s="7">
        <v>46380.833202337963</v>
      </c>
      <c r="Q392" s="1" t="s">
        <v>330</v>
      </c>
      <c r="W392" s="3"/>
      <c r="X392" s="3">
        <v>0</v>
      </c>
      <c r="Y392" s="1" t="str">
        <f>VLOOKUP(A392,[1]Detalle!$D$2:$CR$484,93,FALSE)</f>
        <v>CMQ_TTE - QUILMES TTE</v>
      </c>
    </row>
    <row r="393" spans="1:25" ht="14.25" customHeight="1" x14ac:dyDescent="0.3">
      <c r="A393" s="1" t="s">
        <v>52</v>
      </c>
      <c r="B393" s="1" t="s">
        <v>553</v>
      </c>
      <c r="C393" s="1" t="s">
        <v>553</v>
      </c>
      <c r="D393" s="1" t="s">
        <v>554</v>
      </c>
      <c r="E393" s="1" t="s">
        <v>337</v>
      </c>
      <c r="F393" s="1">
        <v>56099.199999999997</v>
      </c>
      <c r="G393" s="1">
        <v>86099.199999999997</v>
      </c>
      <c r="H393" s="1">
        <v>6112.0999999999976</v>
      </c>
      <c r="I393" s="1">
        <v>23887.9</v>
      </c>
      <c r="J393" s="1">
        <v>62211.3</v>
      </c>
      <c r="K393" s="1">
        <v>108</v>
      </c>
      <c r="L393" s="1">
        <v>53.502481203007598</v>
      </c>
      <c r="M393" s="1">
        <v>422.09603900459763</v>
      </c>
      <c r="N393" s="7">
        <v>45947</v>
      </c>
      <c r="O393" s="1">
        <v>30000</v>
      </c>
      <c r="P393" s="7">
        <v>46369.096039004631</v>
      </c>
      <c r="Q393" s="1" t="s">
        <v>330</v>
      </c>
      <c r="W393" s="3"/>
      <c r="X393" s="3">
        <v>0</v>
      </c>
      <c r="Y393" s="1" t="str">
        <f>VLOOKUP(A393,[1]Detalle!$D$2:$CR$484,93,FALSE)</f>
        <v>CMQ_TTE - QUILMES TTE</v>
      </c>
    </row>
    <row r="394" spans="1:25" ht="14.25" customHeight="1" x14ac:dyDescent="0.3">
      <c r="A394" s="1" t="s">
        <v>132</v>
      </c>
      <c r="B394" s="1" t="s">
        <v>553</v>
      </c>
      <c r="C394" s="1" t="s">
        <v>553</v>
      </c>
      <c r="D394" s="1" t="s">
        <v>554</v>
      </c>
      <c r="E394" s="1" t="s">
        <v>337</v>
      </c>
      <c r="F394" s="1">
        <v>248719</v>
      </c>
      <c r="G394" s="1">
        <v>278719</v>
      </c>
      <c r="H394" s="1">
        <v>6463.5999999999995</v>
      </c>
      <c r="I394" s="1">
        <v>23536.400000000001</v>
      </c>
      <c r="J394" s="1">
        <v>255182.6</v>
      </c>
      <c r="K394" s="1">
        <v>108</v>
      </c>
      <c r="L394" s="1">
        <v>61.857388059701528</v>
      </c>
      <c r="M394" s="1">
        <v>393.26864286156331</v>
      </c>
      <c r="N394" s="7">
        <v>45947</v>
      </c>
      <c r="O394" s="1">
        <v>30000</v>
      </c>
      <c r="P394" s="7">
        <v>46340.268642858799</v>
      </c>
      <c r="Q394" s="1" t="s">
        <v>330</v>
      </c>
      <c r="W394" s="3"/>
      <c r="X394" s="3">
        <v>0</v>
      </c>
      <c r="Y394" s="1" t="str">
        <f>VLOOKUP(A394,[1]Detalle!$D$2:$CR$484,93,FALSE)</f>
        <v>Topacio</v>
      </c>
    </row>
    <row r="395" spans="1:25" ht="14.25" customHeight="1" x14ac:dyDescent="0.3">
      <c r="A395" s="1" t="s">
        <v>138</v>
      </c>
      <c r="B395" s="1" t="s">
        <v>553</v>
      </c>
      <c r="C395" s="1" t="s">
        <v>553</v>
      </c>
      <c r="D395" s="1" t="s">
        <v>554</v>
      </c>
      <c r="E395" s="6">
        <v>45356</v>
      </c>
      <c r="F395" s="1">
        <v>0</v>
      </c>
      <c r="G395" s="1">
        <v>30000</v>
      </c>
      <c r="H395" s="1">
        <v>65578.489999999947</v>
      </c>
      <c r="I395" s="1">
        <v>-35578.489999999947</v>
      </c>
      <c r="J395" s="1">
        <v>65578.489999999947</v>
      </c>
      <c r="K395" s="1">
        <v>591</v>
      </c>
      <c r="L395" s="1">
        <v>129.25862179487169</v>
      </c>
      <c r="M395" s="1">
        <v>-320.63695870398948</v>
      </c>
      <c r="N395" s="7">
        <v>45947</v>
      </c>
      <c r="O395" s="1">
        <v>30000</v>
      </c>
      <c r="P395" s="7">
        <v>46179.092835150463</v>
      </c>
      <c r="Q395" s="1" t="s">
        <v>330</v>
      </c>
      <c r="W395" s="3"/>
      <c r="X395" s="3">
        <v>0</v>
      </c>
      <c r="Y395" s="1" t="str">
        <f>VLOOKUP(A395,[1]Detalle!$D$2:$CR$484,93,FALSE)</f>
        <v>SUC_MEN - Sucursal Mendoza</v>
      </c>
    </row>
    <row r="396" spans="1:25" ht="14.25" customHeight="1" x14ac:dyDescent="0.3">
      <c r="A396" s="1" t="s">
        <v>140</v>
      </c>
      <c r="B396" s="1" t="s">
        <v>553</v>
      </c>
      <c r="C396" s="1" t="s">
        <v>553</v>
      </c>
      <c r="D396" s="1" t="s">
        <v>554</v>
      </c>
      <c r="E396" s="6">
        <v>45355</v>
      </c>
      <c r="F396" s="1">
        <v>0</v>
      </c>
      <c r="G396" s="1">
        <v>30000</v>
      </c>
      <c r="H396" s="1">
        <v>17769.67000000002</v>
      </c>
      <c r="I396" s="1">
        <v>12230.32999999998</v>
      </c>
      <c r="J396" s="1">
        <v>17769.67000000002</v>
      </c>
      <c r="K396" s="1">
        <v>592</v>
      </c>
      <c r="L396" s="1">
        <v>30.7326948051948</v>
      </c>
      <c r="M396" s="1">
        <v>407.45581431731569</v>
      </c>
      <c r="N396" s="7">
        <v>45947</v>
      </c>
      <c r="O396" s="1">
        <v>30000</v>
      </c>
      <c r="P396" s="7">
        <v>46354.455814317131</v>
      </c>
      <c r="Q396" s="1" t="s">
        <v>330</v>
      </c>
      <c r="W396" s="3"/>
      <c r="X396" s="3">
        <v>0</v>
      </c>
      <c r="Y396" s="1" t="str">
        <f>VLOOKUP(A396,[1]Detalle!$D$2:$CR$484,93,FALSE)</f>
        <v>CCU_MZA - Comp. Cerv. Unidas - MZA</v>
      </c>
    </row>
    <row r="397" spans="1:25" ht="14.25" customHeight="1" x14ac:dyDescent="0.3">
      <c r="A397" s="1" t="s">
        <v>156</v>
      </c>
      <c r="B397" s="1" t="s">
        <v>553</v>
      </c>
      <c r="C397" s="1" t="s">
        <v>553</v>
      </c>
      <c r="D397" s="1" t="s">
        <v>554</v>
      </c>
      <c r="E397" s="6">
        <v>45357</v>
      </c>
      <c r="F397" s="1">
        <v>0</v>
      </c>
      <c r="G397" s="1">
        <v>30000</v>
      </c>
      <c r="H397" s="1">
        <v>17273.370000000032</v>
      </c>
      <c r="I397" s="1">
        <v>12726.62999999997</v>
      </c>
      <c r="J397" s="1">
        <v>17273.370000000032</v>
      </c>
      <c r="K397" s="1">
        <v>590</v>
      </c>
      <c r="L397" s="1">
        <v>29.350544871794892</v>
      </c>
      <c r="M397" s="1">
        <v>434.69871252685328</v>
      </c>
      <c r="N397" s="7">
        <v>45947</v>
      </c>
      <c r="O397" s="1">
        <v>30000</v>
      </c>
      <c r="P397" s="7">
        <v>46381.698712523154</v>
      </c>
      <c r="Q397" s="1" t="s">
        <v>330</v>
      </c>
      <c r="W397" s="3"/>
      <c r="X397" s="3">
        <v>0</v>
      </c>
      <c r="Y397" s="1" t="str">
        <f>VLOOKUP(A397,[1]Detalle!$D$2:$CR$484,93,FALSE)</f>
        <v>CCU_MZA - Comp. Cerv. Unidas - MZA</v>
      </c>
    </row>
    <row r="398" spans="1:25" ht="14.25" customHeight="1" x14ac:dyDescent="0.3">
      <c r="A398" s="1" t="s">
        <v>119</v>
      </c>
      <c r="B398" s="1" t="s">
        <v>553</v>
      </c>
      <c r="C398" s="1" t="s">
        <v>553</v>
      </c>
      <c r="D398" s="1" t="s">
        <v>554</v>
      </c>
      <c r="E398" s="1" t="s">
        <v>337</v>
      </c>
      <c r="F398" s="1">
        <v>358562</v>
      </c>
      <c r="G398" s="1">
        <v>388562</v>
      </c>
      <c r="H398" s="1">
        <v>10761.6</v>
      </c>
      <c r="I398" s="1">
        <v>19238.400000000001</v>
      </c>
      <c r="J398" s="1">
        <v>369323.6</v>
      </c>
      <c r="K398" s="1">
        <v>108</v>
      </c>
      <c r="L398" s="1">
        <v>95.559666666666672</v>
      </c>
      <c r="M398" s="1">
        <v>193.07047279214979</v>
      </c>
      <c r="N398" s="7">
        <v>45947</v>
      </c>
      <c r="O398" s="1">
        <v>30000</v>
      </c>
      <c r="P398" s="7">
        <v>46140.070472789354</v>
      </c>
      <c r="Q398" s="1" t="s">
        <v>330</v>
      </c>
      <c r="W398" s="3"/>
      <c r="X398" s="3">
        <v>0</v>
      </c>
      <c r="Y398" s="1" t="str">
        <f>VLOOKUP(A398,[1]Detalle!$D$2:$CR$484,93,FALSE)</f>
        <v>SUC_CTC - Sucursal Buenos Aires</v>
      </c>
    </row>
    <row r="399" spans="1:25" ht="14.25" customHeight="1" x14ac:dyDescent="0.3">
      <c r="A399" s="1" t="s">
        <v>123</v>
      </c>
      <c r="B399" s="1" t="s">
        <v>553</v>
      </c>
      <c r="C399" s="1" t="s">
        <v>553</v>
      </c>
      <c r="D399" s="1" t="s">
        <v>554</v>
      </c>
      <c r="E399" s="1" t="s">
        <v>337</v>
      </c>
      <c r="F399" s="1">
        <v>308154</v>
      </c>
      <c r="G399" s="1">
        <v>338154</v>
      </c>
      <c r="H399" s="1">
        <v>11438.1</v>
      </c>
      <c r="I399" s="1">
        <v>18561.900000000001</v>
      </c>
      <c r="J399" s="1">
        <v>319592.09999999998</v>
      </c>
      <c r="K399" s="1">
        <v>108</v>
      </c>
      <c r="L399" s="1">
        <v>96.824519230769212</v>
      </c>
      <c r="M399" s="1">
        <v>175.2638287827524</v>
      </c>
      <c r="N399" s="7">
        <v>45947</v>
      </c>
      <c r="O399" s="1">
        <v>30000</v>
      </c>
      <c r="P399" s="7">
        <v>46122.263828784722</v>
      </c>
      <c r="Q399" s="1" t="s">
        <v>330</v>
      </c>
      <c r="W399" s="3"/>
      <c r="X399" s="3">
        <v>0</v>
      </c>
      <c r="Y399" s="1" t="str">
        <f>VLOOKUP(A399,[1]Detalle!$D$2:$CR$484,93,FALSE)</f>
        <v>SUC_SRA - Sucursal San Rafael</v>
      </c>
    </row>
    <row r="400" spans="1:25" ht="14.25" customHeight="1" x14ac:dyDescent="0.3">
      <c r="A400" s="1" t="s">
        <v>111</v>
      </c>
      <c r="B400" s="1" t="s">
        <v>553</v>
      </c>
      <c r="C400" s="1" t="s">
        <v>553</v>
      </c>
      <c r="D400" s="1" t="s">
        <v>554</v>
      </c>
      <c r="E400" s="1" t="s">
        <v>337</v>
      </c>
      <c r="F400" s="1">
        <v>29376</v>
      </c>
      <c r="G400" s="1">
        <v>59376</v>
      </c>
      <c r="H400" s="1">
        <v>18480.600000000009</v>
      </c>
      <c r="I400" s="1">
        <v>11519.399999999991</v>
      </c>
      <c r="J400" s="1">
        <v>47856.600000000013</v>
      </c>
      <c r="K400" s="1">
        <v>108</v>
      </c>
      <c r="L400" s="1">
        <v>104.473717948718</v>
      </c>
      <c r="M400" s="1">
        <v>67.318983149897676</v>
      </c>
      <c r="N400" s="7">
        <v>45947</v>
      </c>
      <c r="O400" s="1">
        <v>30000</v>
      </c>
      <c r="P400" s="7">
        <v>46301.472542812502</v>
      </c>
      <c r="Q400" s="1" t="s">
        <v>330</v>
      </c>
      <c r="W400" s="3"/>
      <c r="X400" s="3">
        <v>0</v>
      </c>
      <c r="Y400" s="1" t="str">
        <f>VLOOKUP(A400,[1]Detalle!$D$2:$CR$484,93,FALSE)</f>
        <v>SUC_MEN - Sucursal Mendoza</v>
      </c>
    </row>
    <row r="401" spans="1:25" ht="14.25" customHeight="1" x14ac:dyDescent="0.3">
      <c r="A401" s="1" t="s">
        <v>182</v>
      </c>
      <c r="B401" s="1" t="s">
        <v>553</v>
      </c>
      <c r="C401" s="1" t="s">
        <v>553</v>
      </c>
      <c r="D401" s="1" t="s">
        <v>554</v>
      </c>
      <c r="E401" s="6">
        <v>45355</v>
      </c>
      <c r="F401" s="1">
        <v>0</v>
      </c>
      <c r="G401" s="1">
        <v>30000</v>
      </c>
      <c r="H401" s="1">
        <v>20372.98</v>
      </c>
      <c r="I401" s="1">
        <v>9627.02</v>
      </c>
      <c r="J401" s="1">
        <v>20372.98</v>
      </c>
      <c r="K401" s="1">
        <v>592</v>
      </c>
      <c r="L401" s="1">
        <v>28.6028387096774</v>
      </c>
      <c r="M401" s="1">
        <v>279.7428672683132</v>
      </c>
      <c r="N401" s="7">
        <v>45947</v>
      </c>
      <c r="O401" s="1">
        <v>30000</v>
      </c>
      <c r="P401" s="7">
        <v>46226.74286726852</v>
      </c>
      <c r="Q401" s="1" t="s">
        <v>330</v>
      </c>
      <c r="W401" s="3"/>
      <c r="X401" s="3">
        <v>0</v>
      </c>
      <c r="Y401" s="1" t="str">
        <f>VLOOKUP(A401,[1]Detalle!$D$2:$CR$484,93,FALSE)</f>
        <v>CCU_MZA - Comp. Cerv. Unidas - MZA</v>
      </c>
    </row>
    <row r="402" spans="1:25" ht="14.25" customHeight="1" x14ac:dyDescent="0.3">
      <c r="A402" s="1" t="s">
        <v>210</v>
      </c>
      <c r="B402" s="1" t="s">
        <v>553</v>
      </c>
      <c r="C402" s="1" t="s">
        <v>553</v>
      </c>
      <c r="D402" s="1" t="s">
        <v>554</v>
      </c>
      <c r="E402" s="1" t="s">
        <v>337</v>
      </c>
      <c r="F402" s="1">
        <v>354808</v>
      </c>
      <c r="G402" s="1">
        <v>384808</v>
      </c>
      <c r="H402" s="1">
        <v>6984.4000000000024</v>
      </c>
      <c r="I402" s="1">
        <v>23015.599999999999</v>
      </c>
      <c r="J402" s="1">
        <v>361792.4</v>
      </c>
      <c r="K402" s="1">
        <v>108</v>
      </c>
      <c r="L402" s="1">
        <v>66.651970260223024</v>
      </c>
      <c r="M402" s="1">
        <v>355.89095698986301</v>
      </c>
      <c r="N402" s="7">
        <v>45947</v>
      </c>
      <c r="O402" s="1">
        <v>30000</v>
      </c>
      <c r="P402" s="7">
        <v>46302.890956990741</v>
      </c>
      <c r="Q402" s="1" t="s">
        <v>330</v>
      </c>
      <c r="W402" s="3"/>
      <c r="X402" s="3">
        <v>0</v>
      </c>
      <c r="Y402" s="1" t="str">
        <f>VLOOKUP(A402,[1]Detalle!$D$2:$CR$484,93,FALSE)</f>
        <v>Topacio</v>
      </c>
    </row>
    <row r="403" spans="1:25" ht="14.25" customHeight="1" x14ac:dyDescent="0.3">
      <c r="A403" s="1" t="s">
        <v>153</v>
      </c>
      <c r="B403" s="1" t="s">
        <v>553</v>
      </c>
      <c r="C403" s="1" t="s">
        <v>553</v>
      </c>
      <c r="D403" s="1" t="s">
        <v>554</v>
      </c>
      <c r="E403" s="1" t="s">
        <v>337</v>
      </c>
      <c r="F403" s="1">
        <v>62342.400000000001</v>
      </c>
      <c r="G403" s="1">
        <v>92342.399999999994</v>
      </c>
      <c r="H403" s="1">
        <v>32041</v>
      </c>
      <c r="I403" s="1">
        <v>-2041</v>
      </c>
      <c r="J403" s="1">
        <v>94383.4</v>
      </c>
      <c r="K403" s="1">
        <v>108</v>
      </c>
      <c r="L403" s="1">
        <v>215.45547231270371</v>
      </c>
      <c r="M403" s="1">
        <v>-6.8795605630286198</v>
      </c>
      <c r="N403" s="7">
        <v>45947</v>
      </c>
      <c r="O403" s="1">
        <v>30000</v>
      </c>
      <c r="P403" s="7">
        <v>46086.239907337957</v>
      </c>
      <c r="Q403" s="1" t="s">
        <v>330</v>
      </c>
      <c r="W403" s="3"/>
      <c r="X403" s="3">
        <v>0</v>
      </c>
      <c r="Y403" s="1" t="str">
        <f>VLOOKUP(A403,[1]Detalle!$D$2:$CR$484,93,FALSE)</f>
        <v>SUC_CTC - Sucursal Buenos Aires</v>
      </c>
    </row>
    <row r="404" spans="1:25" ht="14.25" customHeight="1" x14ac:dyDescent="0.3">
      <c r="A404" s="1" t="s">
        <v>246</v>
      </c>
      <c r="B404" s="1" t="s">
        <v>553</v>
      </c>
      <c r="C404" s="1" t="s">
        <v>553</v>
      </c>
      <c r="D404" s="1" t="s">
        <v>554</v>
      </c>
      <c r="E404" s="1" t="s">
        <v>337</v>
      </c>
      <c r="F404" s="1">
        <v>20223.400000000001</v>
      </c>
      <c r="G404" s="1">
        <v>50223.4</v>
      </c>
      <c r="H404" s="1">
        <v>6741.7999999999993</v>
      </c>
      <c r="I404" s="1">
        <v>23258.2</v>
      </c>
      <c r="J404" s="1">
        <v>26965.200000000001</v>
      </c>
      <c r="K404" s="1">
        <v>108</v>
      </c>
      <c r="L404" s="1">
        <v>58.37214814814817</v>
      </c>
      <c r="M404" s="1">
        <v>372.58382034471509</v>
      </c>
      <c r="N404" s="7">
        <v>45947</v>
      </c>
      <c r="O404" s="1">
        <v>30000</v>
      </c>
      <c r="P404" s="7">
        <v>46319.583820347223</v>
      </c>
      <c r="Q404" s="1" t="s">
        <v>330</v>
      </c>
      <c r="W404" s="3"/>
      <c r="X404" s="3">
        <v>0</v>
      </c>
      <c r="Y404" s="1" t="str">
        <f>VLOOKUP(A404,[1]Detalle!$D$2:$CR$484,93,FALSE)</f>
        <v>Papelera - Papelera del Plata S.A.</v>
      </c>
    </row>
    <row r="405" spans="1:25" ht="14.25" customHeight="1" x14ac:dyDescent="0.3">
      <c r="A405" s="1" t="s">
        <v>134</v>
      </c>
      <c r="B405" s="1" t="s">
        <v>553</v>
      </c>
      <c r="C405" s="1" t="s">
        <v>553</v>
      </c>
      <c r="D405" s="1" t="s">
        <v>554</v>
      </c>
      <c r="E405" s="1" t="s">
        <v>337</v>
      </c>
      <c r="F405" s="1">
        <v>372189</v>
      </c>
      <c r="G405" s="1">
        <v>402189</v>
      </c>
      <c r="H405" s="1">
        <v>8458.4</v>
      </c>
      <c r="I405" s="1">
        <v>21541.599999999999</v>
      </c>
      <c r="J405" s="1">
        <v>380647.4</v>
      </c>
      <c r="K405" s="1">
        <v>108</v>
      </c>
      <c r="L405" s="1">
        <v>73.269176029962509</v>
      </c>
      <c r="M405" s="1">
        <v>275.05116806961132</v>
      </c>
      <c r="N405" s="7">
        <v>45947</v>
      </c>
      <c r="O405" s="1">
        <v>30000</v>
      </c>
      <c r="P405" s="7">
        <v>46222.051168067133</v>
      </c>
      <c r="Q405" s="1" t="s">
        <v>330</v>
      </c>
      <c r="W405" s="3"/>
      <c r="X405" s="3">
        <v>0</v>
      </c>
      <c r="Y405" s="1" t="str">
        <f>VLOOKUP(A405,[1]Detalle!$D$2:$CR$484,93,FALSE)</f>
        <v>SUC_CTC - Sucursal Buenos Aires</v>
      </c>
    </row>
    <row r="406" spans="1:25" ht="14.25" customHeight="1" x14ac:dyDescent="0.3">
      <c r="A406" s="1" t="s">
        <v>120</v>
      </c>
      <c r="B406" s="1" t="s">
        <v>553</v>
      </c>
      <c r="C406" s="1" t="s">
        <v>553</v>
      </c>
      <c r="D406" s="1" t="s">
        <v>554</v>
      </c>
      <c r="E406" s="1" t="s">
        <v>337</v>
      </c>
      <c r="F406" s="1">
        <v>34907.699999999997</v>
      </c>
      <c r="G406" s="1">
        <v>64907.7</v>
      </c>
      <c r="H406" s="1">
        <v>12143.5</v>
      </c>
      <c r="I406" s="1">
        <v>17856.5</v>
      </c>
      <c r="J406" s="1">
        <v>47051.199999999997</v>
      </c>
      <c r="K406" s="1">
        <v>108</v>
      </c>
      <c r="L406" s="1">
        <v>86.918456591639867</v>
      </c>
      <c r="M406" s="1">
        <v>158.8094042080125</v>
      </c>
      <c r="N406" s="7">
        <v>45947</v>
      </c>
      <c r="O406" s="1">
        <v>30000</v>
      </c>
      <c r="P406" s="7">
        <v>46105.80940421296</v>
      </c>
      <c r="Q406" s="1" t="s">
        <v>330</v>
      </c>
      <c r="W406" s="3"/>
      <c r="X406" s="3">
        <v>0</v>
      </c>
      <c r="Y406" s="1" t="str">
        <f>VLOOKUP(A406,[1]Detalle!$D$2:$CR$484,93,FALSE)</f>
        <v>SUC_MEN - Sucursal Mendoza</v>
      </c>
    </row>
    <row r="407" spans="1:25" ht="14.25" customHeight="1" x14ac:dyDescent="0.3">
      <c r="A407" s="1" t="s">
        <v>141</v>
      </c>
      <c r="B407" s="1" t="s">
        <v>553</v>
      </c>
      <c r="C407" s="1" t="s">
        <v>553</v>
      </c>
      <c r="D407" s="1" t="s">
        <v>554</v>
      </c>
      <c r="E407" s="1" t="s">
        <v>337</v>
      </c>
      <c r="F407" s="1">
        <v>479305</v>
      </c>
      <c r="G407" s="1">
        <v>509305</v>
      </c>
      <c r="H407" s="1">
        <v>12745.8</v>
      </c>
      <c r="I407" s="1">
        <v>17254.2</v>
      </c>
      <c r="J407" s="1">
        <v>492050.8</v>
      </c>
      <c r="K407" s="1">
        <v>108</v>
      </c>
      <c r="L407" s="1">
        <v>131.1199356913184</v>
      </c>
      <c r="M407" s="1">
        <v>146.2013839853129</v>
      </c>
      <c r="N407" s="7">
        <v>45947</v>
      </c>
      <c r="O407" s="1">
        <v>30000</v>
      </c>
      <c r="P407" s="7">
        <v>46093.201383981483</v>
      </c>
      <c r="Q407" s="1" t="s">
        <v>330</v>
      </c>
      <c r="W407" s="3"/>
      <c r="X407" s="3">
        <v>0</v>
      </c>
      <c r="Y407" s="1" t="str">
        <f>VLOOKUP(A407,[1]Detalle!$D$2:$CR$484,93,FALSE)</f>
        <v>Unilever - Unilever de Arg. S.A.</v>
      </c>
    </row>
    <row r="408" spans="1:25" ht="14.25" customHeight="1" x14ac:dyDescent="0.3">
      <c r="A408" s="1" t="s">
        <v>150</v>
      </c>
      <c r="B408" s="1" t="s">
        <v>553</v>
      </c>
      <c r="C408" s="1" t="s">
        <v>553</v>
      </c>
      <c r="D408" s="1" t="s">
        <v>554</v>
      </c>
      <c r="E408" s="1" t="s">
        <v>337</v>
      </c>
      <c r="F408" s="1">
        <v>721574</v>
      </c>
      <c r="G408" s="1">
        <v>751574</v>
      </c>
      <c r="H408" s="1">
        <v>18803.3</v>
      </c>
      <c r="I408" s="1">
        <v>11196.7</v>
      </c>
      <c r="J408" s="1">
        <v>740377.3</v>
      </c>
      <c r="K408" s="1">
        <v>108</v>
      </c>
      <c r="L408" s="1">
        <v>143.50707395498381</v>
      </c>
      <c r="M408" s="1">
        <v>64.310179596134731</v>
      </c>
      <c r="N408" s="7">
        <v>45947</v>
      </c>
      <c r="O408" s="1">
        <v>30000</v>
      </c>
      <c r="P408" s="7">
        <v>46220.359107800927</v>
      </c>
      <c r="Q408" s="1" t="s">
        <v>330</v>
      </c>
      <c r="W408" s="3"/>
      <c r="X408" s="3">
        <v>0</v>
      </c>
      <c r="Y408" s="1" t="str">
        <f>VLOOKUP(A408,[1]Detalle!$D$2:$CR$484,93,FALSE)</f>
        <v>Papelera - Papelera del Plata S.A.</v>
      </c>
    </row>
    <row r="409" spans="1:25" ht="14.25" customHeight="1" x14ac:dyDescent="0.3">
      <c r="A409" s="1" t="s">
        <v>158</v>
      </c>
      <c r="B409" s="1" t="s">
        <v>553</v>
      </c>
      <c r="C409" s="1" t="s">
        <v>553</v>
      </c>
      <c r="D409" s="1" t="s">
        <v>554</v>
      </c>
      <c r="E409" s="1" t="s">
        <v>337</v>
      </c>
      <c r="F409" s="1">
        <v>783507</v>
      </c>
      <c r="G409" s="1">
        <v>813507</v>
      </c>
      <c r="H409" s="1">
        <v>11268.1</v>
      </c>
      <c r="I409" s="1">
        <v>18731.900000000001</v>
      </c>
      <c r="J409" s="1">
        <v>794775.1</v>
      </c>
      <c r="K409" s="1">
        <v>108</v>
      </c>
      <c r="L409" s="1">
        <v>75.425496688741674</v>
      </c>
      <c r="M409" s="1">
        <v>179.53738429726391</v>
      </c>
      <c r="N409" s="7">
        <v>45947</v>
      </c>
      <c r="O409" s="1">
        <v>30000</v>
      </c>
      <c r="P409" s="7">
        <v>46126.537384293981</v>
      </c>
      <c r="Q409" s="1" t="s">
        <v>330</v>
      </c>
      <c r="W409" s="3"/>
      <c r="X409" s="3">
        <v>0</v>
      </c>
      <c r="Y409" s="1" t="str">
        <f>VLOOKUP(A409,[1]Detalle!$D$2:$CR$484,93,FALSE)</f>
        <v>JOHNSON - SC JOHNSON DE ARGENTINA SAIC</v>
      </c>
    </row>
    <row r="410" spans="1:25" ht="14.25" customHeight="1" x14ac:dyDescent="0.3">
      <c r="A410" s="1" t="s">
        <v>147</v>
      </c>
      <c r="B410" s="1" t="s">
        <v>553</v>
      </c>
      <c r="C410" s="1" t="s">
        <v>553</v>
      </c>
      <c r="D410" s="1" t="s">
        <v>554</v>
      </c>
      <c r="E410" s="1" t="s">
        <v>337</v>
      </c>
      <c r="F410" s="1">
        <v>37693.9</v>
      </c>
      <c r="G410" s="1">
        <v>67693.899999999994</v>
      </c>
      <c r="H410" s="1">
        <v>8319.4000000000051</v>
      </c>
      <c r="I410" s="1">
        <v>21680.599999999991</v>
      </c>
      <c r="J410" s="1">
        <v>46013.3</v>
      </c>
      <c r="K410" s="1">
        <v>108</v>
      </c>
      <c r="L410" s="1">
        <v>76.974301470588202</v>
      </c>
      <c r="M410" s="1">
        <v>281.45116234343789</v>
      </c>
      <c r="N410" s="7">
        <v>45947</v>
      </c>
      <c r="O410" s="1">
        <v>30000</v>
      </c>
      <c r="P410" s="7">
        <v>46228.451162337973</v>
      </c>
      <c r="Q410" s="1" t="s">
        <v>330</v>
      </c>
      <c r="W410" s="3"/>
      <c r="X410" s="3">
        <v>0</v>
      </c>
      <c r="Y410" s="1" t="str">
        <f>VLOOKUP(A410,[1]Detalle!$D$2:$CR$484,93,FALSE)</f>
        <v>SUC_SLU - Sucursal San Luis</v>
      </c>
    </row>
    <row r="411" spans="1:25" ht="14.25" customHeight="1" x14ac:dyDescent="0.3">
      <c r="A411" s="1" t="s">
        <v>109</v>
      </c>
      <c r="B411" s="1" t="s">
        <v>553</v>
      </c>
      <c r="C411" s="1" t="s">
        <v>553</v>
      </c>
      <c r="D411" s="1" t="s">
        <v>554</v>
      </c>
      <c r="E411" s="1" t="s">
        <v>337</v>
      </c>
      <c r="F411" s="1">
        <v>13817.4</v>
      </c>
      <c r="G411" s="1">
        <v>43817.4</v>
      </c>
      <c r="H411" s="1">
        <v>6880.4000000000005</v>
      </c>
      <c r="I411" s="1">
        <v>23119.599999999999</v>
      </c>
      <c r="J411" s="1">
        <v>20697.8</v>
      </c>
      <c r="K411" s="1">
        <v>108</v>
      </c>
      <c r="L411" s="1">
        <v>61.480495049504917</v>
      </c>
      <c r="M411" s="1">
        <v>362.90285448520427</v>
      </c>
      <c r="N411" s="7">
        <v>45947</v>
      </c>
      <c r="O411" s="1">
        <v>30000</v>
      </c>
      <c r="P411" s="7">
        <v>46309.902854490741</v>
      </c>
      <c r="Q411" s="1" t="s">
        <v>330</v>
      </c>
      <c r="W411" s="3"/>
      <c r="X411" s="3">
        <v>0</v>
      </c>
      <c r="Y411" s="1" t="str">
        <f>VLOOKUP(A411,[1]Detalle!$D$2:$CR$484,93,FALSE)</f>
        <v>JOHNSON - SC JOHNSON DE ARGENTINA SAIC</v>
      </c>
    </row>
    <row r="412" spans="1:25" ht="14.25" customHeight="1" x14ac:dyDescent="0.3">
      <c r="A412" s="1" t="s">
        <v>3</v>
      </c>
      <c r="B412" s="1" t="s">
        <v>553</v>
      </c>
      <c r="C412" s="1" t="s">
        <v>553</v>
      </c>
      <c r="D412" s="1" t="s">
        <v>554</v>
      </c>
      <c r="E412" s="1" t="s">
        <v>337</v>
      </c>
      <c r="F412" s="1">
        <v>27322.400000000001</v>
      </c>
      <c r="G412" s="1">
        <v>57322.400000000001</v>
      </c>
      <c r="H412" s="1">
        <v>6670.1</v>
      </c>
      <c r="I412" s="1">
        <v>23329.9</v>
      </c>
      <c r="J412" s="1">
        <v>33992.5</v>
      </c>
      <c r="K412" s="1">
        <v>108</v>
      </c>
      <c r="L412" s="1">
        <v>67.727480916030515</v>
      </c>
      <c r="M412" s="1">
        <v>377.74983883300098</v>
      </c>
      <c r="N412" s="7">
        <v>45947</v>
      </c>
      <c r="O412" s="1">
        <v>30000</v>
      </c>
      <c r="P412" s="7">
        <v>46324.74983883102</v>
      </c>
      <c r="Q412" s="1" t="s">
        <v>330</v>
      </c>
      <c r="W412" s="3"/>
      <c r="X412" s="3">
        <v>0</v>
      </c>
      <c r="Y412" s="1" t="str">
        <f>VLOOKUP(A412,[1]Detalle!$D$2:$CR$484,93,FALSE)</f>
        <v>CCU_MZA - Comp. Cerv. Unidas - MZA</v>
      </c>
    </row>
    <row r="413" spans="1:25" ht="14.25" customHeight="1" x14ac:dyDescent="0.3">
      <c r="A413" s="1" t="s">
        <v>79</v>
      </c>
      <c r="B413" s="1" t="s">
        <v>553</v>
      </c>
      <c r="C413" s="1" t="s">
        <v>553</v>
      </c>
      <c r="D413" s="1" t="s">
        <v>554</v>
      </c>
      <c r="E413" s="1" t="s">
        <v>337</v>
      </c>
      <c r="F413" s="1">
        <v>62983.8</v>
      </c>
      <c r="G413" s="1">
        <v>92983.8</v>
      </c>
      <c r="H413" s="1">
        <v>20504.400000000009</v>
      </c>
      <c r="I413" s="1">
        <v>9495.5999999999949</v>
      </c>
      <c r="J413" s="1">
        <v>83488.200000000012</v>
      </c>
      <c r="K413" s="1">
        <v>108</v>
      </c>
      <c r="L413" s="1">
        <v>94.269867549668859</v>
      </c>
      <c r="M413" s="1">
        <v>50.014865102124382</v>
      </c>
      <c r="N413" s="7">
        <v>45947</v>
      </c>
      <c r="O413" s="1">
        <v>30000</v>
      </c>
      <c r="P413" s="7">
        <v>46315.250169548613</v>
      </c>
      <c r="Q413" s="1" t="s">
        <v>330</v>
      </c>
      <c r="W413" s="3"/>
      <c r="X413" s="3">
        <v>0</v>
      </c>
      <c r="Y413" s="1" t="str">
        <f>VLOOKUP(A413,[1]Detalle!$D$2:$CR$484,93,FALSE)</f>
        <v>Papelera - Papelera del Plata S.A.</v>
      </c>
    </row>
    <row r="414" spans="1:25" ht="14.25" customHeight="1" x14ac:dyDescent="0.3">
      <c r="A414" s="1" t="s">
        <v>75</v>
      </c>
      <c r="B414" s="1" t="s">
        <v>553</v>
      </c>
      <c r="C414" s="1" t="s">
        <v>553</v>
      </c>
      <c r="D414" s="1" t="s">
        <v>554</v>
      </c>
      <c r="E414" s="1" t="s">
        <v>337</v>
      </c>
      <c r="F414" s="1">
        <v>49220.5</v>
      </c>
      <c r="G414" s="1">
        <v>79220.5</v>
      </c>
      <c r="H414" s="1">
        <v>20551.500000000011</v>
      </c>
      <c r="I414" s="1">
        <v>9448.4999999999891</v>
      </c>
      <c r="J414" s="1">
        <v>69772.000000000015</v>
      </c>
      <c r="K414" s="1">
        <v>108</v>
      </c>
      <c r="L414" s="1">
        <v>83.847709677419346</v>
      </c>
      <c r="M414" s="1">
        <v>49.652726078388348</v>
      </c>
      <c r="N414" s="7">
        <v>45947</v>
      </c>
      <c r="O414" s="1">
        <v>30000</v>
      </c>
      <c r="P414" s="7">
        <v>46354.444252118054</v>
      </c>
      <c r="Q414" s="1" t="s">
        <v>330</v>
      </c>
      <c r="W414" s="3"/>
      <c r="X414" s="3">
        <v>0</v>
      </c>
      <c r="Y414" s="1" t="str">
        <f>VLOOKUP(A414,[1]Detalle!$D$2:$CR$484,93,FALSE)</f>
        <v>Papelera - Papelera del Plata S.A.</v>
      </c>
    </row>
    <row r="415" spans="1:25" ht="14.25" customHeight="1" x14ac:dyDescent="0.3">
      <c r="A415" s="1" t="s">
        <v>149</v>
      </c>
      <c r="B415" s="1" t="s">
        <v>553</v>
      </c>
      <c r="C415" s="1" t="s">
        <v>553</v>
      </c>
      <c r="D415" s="1" t="s">
        <v>554</v>
      </c>
      <c r="E415" s="1" t="s">
        <v>337</v>
      </c>
      <c r="F415" s="1">
        <v>666910</v>
      </c>
      <c r="G415" s="1">
        <v>696910</v>
      </c>
      <c r="H415" s="1">
        <v>11874.4</v>
      </c>
      <c r="I415" s="1">
        <v>18125.599999999999</v>
      </c>
      <c r="J415" s="1">
        <v>678784.4</v>
      </c>
      <c r="K415" s="1">
        <v>108</v>
      </c>
      <c r="L415" s="1">
        <v>113.6646794871796</v>
      </c>
      <c r="M415" s="1">
        <v>164.85589166610529</v>
      </c>
      <c r="N415" s="7">
        <v>45947</v>
      </c>
      <c r="O415" s="1">
        <v>30000</v>
      </c>
      <c r="P415" s="7">
        <v>46111.855891666673</v>
      </c>
      <c r="Q415" s="1" t="s">
        <v>330</v>
      </c>
      <c r="W415" s="3"/>
      <c r="X415" s="3">
        <v>0</v>
      </c>
      <c r="Y415" s="1" t="str">
        <f>VLOOKUP(A415,[1]Detalle!$D$2:$CR$484,93,FALSE)</f>
        <v>Papelera - Papelera del Plata S.A.</v>
      </c>
    </row>
    <row r="416" spans="1:25" ht="14.25" customHeight="1" x14ac:dyDescent="0.3">
      <c r="A416" s="1" t="s">
        <v>159</v>
      </c>
      <c r="B416" s="1" t="s">
        <v>553</v>
      </c>
      <c r="C416" s="1" t="s">
        <v>553</v>
      </c>
      <c r="D416" s="1" t="s">
        <v>554</v>
      </c>
      <c r="E416" s="1" t="s">
        <v>337</v>
      </c>
      <c r="F416" s="1">
        <v>809059</v>
      </c>
      <c r="G416" s="1">
        <v>839059</v>
      </c>
      <c r="H416" s="1">
        <v>9001.5999999999985</v>
      </c>
      <c r="I416" s="1">
        <v>20998.400000000001</v>
      </c>
      <c r="J416" s="1">
        <v>818060.6</v>
      </c>
      <c r="K416" s="1">
        <v>108</v>
      </c>
      <c r="L416" s="1">
        <v>63.369638157894727</v>
      </c>
      <c r="M416" s="1">
        <v>251.9360113757555</v>
      </c>
      <c r="N416" s="7">
        <v>45947</v>
      </c>
      <c r="O416" s="1">
        <v>30000</v>
      </c>
      <c r="P416" s="7">
        <v>46198.936011377307</v>
      </c>
      <c r="Q416" s="1" t="s">
        <v>330</v>
      </c>
      <c r="W416" s="3"/>
      <c r="X416" s="3">
        <v>0</v>
      </c>
      <c r="Y416" s="1" t="str">
        <f>VLOOKUP(A416,[1]Detalle!$D$2:$CR$484,93,FALSE)</f>
        <v>Papelera - Papelera del Plata S.A.</v>
      </c>
    </row>
    <row r="417" spans="1:25" ht="14.25" customHeight="1" x14ac:dyDescent="0.3">
      <c r="A417" s="1" t="s">
        <v>161</v>
      </c>
      <c r="B417" s="1" t="s">
        <v>553</v>
      </c>
      <c r="C417" s="1" t="s">
        <v>553</v>
      </c>
      <c r="D417" s="1" t="s">
        <v>554</v>
      </c>
      <c r="E417" s="1" t="s">
        <v>337</v>
      </c>
      <c r="F417" s="1">
        <v>657691</v>
      </c>
      <c r="G417" s="1">
        <v>687691</v>
      </c>
      <c r="H417" s="1">
        <v>12471.9</v>
      </c>
      <c r="I417" s="1">
        <v>17528.099999999999</v>
      </c>
      <c r="J417" s="1">
        <v>670162.9</v>
      </c>
      <c r="K417" s="1">
        <v>108</v>
      </c>
      <c r="L417" s="1">
        <v>112.4813870967742</v>
      </c>
      <c r="M417" s="1">
        <v>151.78399441945501</v>
      </c>
      <c r="N417" s="7">
        <v>45947</v>
      </c>
      <c r="O417" s="1">
        <v>30000</v>
      </c>
      <c r="P417" s="7">
        <v>46098.783994421297</v>
      </c>
      <c r="Q417" s="1" t="s">
        <v>330</v>
      </c>
      <c r="W417" s="3"/>
      <c r="X417" s="3">
        <v>0</v>
      </c>
      <c r="Y417" s="1" t="str">
        <f>VLOOKUP(A417,[1]Detalle!$D$2:$CR$484,93,FALSE)</f>
        <v>Unilever - Unilever de Arg. S.A.</v>
      </c>
    </row>
    <row r="418" spans="1:25" ht="14.25" customHeight="1" x14ac:dyDescent="0.3">
      <c r="A418" s="1" t="s">
        <v>152</v>
      </c>
      <c r="B418" s="1" t="s">
        <v>553</v>
      </c>
      <c r="C418" s="1" t="s">
        <v>553</v>
      </c>
      <c r="D418" s="1" t="s">
        <v>554</v>
      </c>
      <c r="E418" s="6">
        <v>45701</v>
      </c>
      <c r="F418" s="1">
        <v>939530</v>
      </c>
      <c r="G418" s="1">
        <v>969530</v>
      </c>
      <c r="H418" s="1">
        <v>34853.1</v>
      </c>
      <c r="I418" s="1">
        <v>-4853.0999999999995</v>
      </c>
      <c r="J418" s="1">
        <v>974383.1</v>
      </c>
      <c r="K418" s="1">
        <v>246</v>
      </c>
      <c r="L418" s="1">
        <v>132.10963696369629</v>
      </c>
      <c r="M418" s="1">
        <v>-34.254129474853023</v>
      </c>
      <c r="N418" s="7">
        <v>45947</v>
      </c>
      <c r="O418" s="1">
        <v>30000</v>
      </c>
      <c r="P418" s="7">
        <v>46174.084115057871</v>
      </c>
      <c r="Q418" s="1" t="s">
        <v>330</v>
      </c>
      <c r="W418" s="3"/>
      <c r="X418" s="3">
        <v>0</v>
      </c>
      <c r="Y418" s="1" t="str">
        <f>VLOOKUP(A418,[1]Detalle!$D$2:$CR$484,93,FALSE)</f>
        <v>SUC_REA - Sucursal Realicó</v>
      </c>
    </row>
    <row r="419" spans="1:25" ht="14.25" customHeight="1" x14ac:dyDescent="0.3">
      <c r="A419" s="1" t="s">
        <v>15</v>
      </c>
      <c r="B419" s="1" t="s">
        <v>553</v>
      </c>
      <c r="C419" s="1" t="s">
        <v>553</v>
      </c>
      <c r="D419" s="1" t="s">
        <v>554</v>
      </c>
      <c r="E419" s="1" t="s">
        <v>337</v>
      </c>
      <c r="F419" s="1">
        <v>686509</v>
      </c>
      <c r="G419" s="1">
        <v>716509</v>
      </c>
      <c r="H419" s="1">
        <v>39429.399999999987</v>
      </c>
      <c r="I419" s="1">
        <v>-9429.3999999999869</v>
      </c>
      <c r="J419" s="1">
        <v>725938.4</v>
      </c>
      <c r="K419" s="1">
        <v>108</v>
      </c>
      <c r="L419" s="1">
        <v>365</v>
      </c>
      <c r="M419" s="1">
        <v>-25.827813763333928</v>
      </c>
      <c r="N419" s="7">
        <v>45947</v>
      </c>
      <c r="O419" s="1">
        <v>30000</v>
      </c>
      <c r="P419" s="7">
        <v>46054.63737892361</v>
      </c>
      <c r="Q419" s="1" t="s">
        <v>330</v>
      </c>
      <c r="R419" s="6">
        <v>45972.445598101847</v>
      </c>
      <c r="W419" s="3"/>
      <c r="X419" s="3">
        <v>0</v>
      </c>
      <c r="Y419" s="1" t="str">
        <f>VLOOKUP(A419,[1]Detalle!$D$2:$CR$484,93,FALSE)</f>
        <v>CENCOMLD - Cencosud SA - Mendoza</v>
      </c>
    </row>
    <row r="420" spans="1:25" ht="14.25" customHeight="1" x14ac:dyDescent="0.3">
      <c r="A420" s="1" t="s">
        <v>242</v>
      </c>
      <c r="B420" s="1" t="s">
        <v>553</v>
      </c>
      <c r="C420" s="1" t="s">
        <v>553</v>
      </c>
      <c r="D420" s="1" t="s">
        <v>554</v>
      </c>
      <c r="E420" s="1" t="s">
        <v>337</v>
      </c>
      <c r="F420" s="1">
        <v>439404</v>
      </c>
      <c r="G420" s="1">
        <v>469404</v>
      </c>
      <c r="H420" s="1">
        <v>11768.8</v>
      </c>
      <c r="I420" s="1">
        <v>18231.2</v>
      </c>
      <c r="J420" s="1">
        <v>451172.8</v>
      </c>
      <c r="K420" s="1">
        <v>108</v>
      </c>
      <c r="L420" s="1">
        <v>76.02181229773467</v>
      </c>
      <c r="M420" s="1">
        <v>167.30419414043911</v>
      </c>
      <c r="N420" s="7">
        <v>45947</v>
      </c>
      <c r="O420" s="1">
        <v>30000</v>
      </c>
      <c r="P420" s="7">
        <v>46114.304194143508</v>
      </c>
      <c r="Q420" s="1" t="s">
        <v>330</v>
      </c>
      <c r="W420" s="3"/>
      <c r="X420" s="3">
        <v>0</v>
      </c>
      <c r="Y420" s="1" t="str">
        <f>VLOOKUP(A420,[1]Detalle!$D$2:$CR$484,93,FALSE)</f>
        <v>Papelera - Papelera del Plata S.A.</v>
      </c>
    </row>
    <row r="421" spans="1:25" ht="14.25" customHeight="1" x14ac:dyDescent="0.3">
      <c r="A421" s="1" t="s">
        <v>136</v>
      </c>
      <c r="B421" s="1" t="s">
        <v>553</v>
      </c>
      <c r="C421" s="1" t="s">
        <v>553</v>
      </c>
      <c r="D421" s="1" t="s">
        <v>554</v>
      </c>
      <c r="E421" s="1" t="s">
        <v>337</v>
      </c>
      <c r="F421" s="1">
        <v>257668</v>
      </c>
      <c r="G421" s="1">
        <v>287668</v>
      </c>
      <c r="H421" s="1">
        <v>7888.0000000000064</v>
      </c>
      <c r="I421" s="1">
        <v>22111.999999999989</v>
      </c>
      <c r="J421" s="1">
        <v>265556</v>
      </c>
      <c r="K421" s="1">
        <v>108</v>
      </c>
      <c r="L421" s="1">
        <v>57.024096774193573</v>
      </c>
      <c r="M421" s="1">
        <v>302.75050709939109</v>
      </c>
      <c r="N421" s="7">
        <v>45947</v>
      </c>
      <c r="O421" s="1">
        <v>30000</v>
      </c>
      <c r="P421" s="7">
        <v>46249.750507094897</v>
      </c>
      <c r="Q421" s="1" t="s">
        <v>330</v>
      </c>
      <c r="W421" s="3"/>
      <c r="X421" s="3">
        <v>0</v>
      </c>
      <c r="Y421" s="1" t="str">
        <f>VLOOKUP(A421,[1]Detalle!$D$2:$CR$484,93,FALSE)</f>
        <v>Topacio</v>
      </c>
    </row>
    <row r="422" spans="1:25" ht="14.25" customHeight="1" x14ac:dyDescent="0.3">
      <c r="A422" s="1" t="s">
        <v>170</v>
      </c>
      <c r="B422" s="1" t="s">
        <v>553</v>
      </c>
      <c r="C422" s="1" t="s">
        <v>553</v>
      </c>
      <c r="D422" s="1" t="s">
        <v>554</v>
      </c>
      <c r="E422" s="1" t="s">
        <v>337</v>
      </c>
      <c r="F422" s="1">
        <v>54474.1</v>
      </c>
      <c r="G422" s="1">
        <v>84474.1</v>
      </c>
      <c r="H422" s="1">
        <v>10763.4</v>
      </c>
      <c r="I422" s="1">
        <v>19236.599999999999</v>
      </c>
      <c r="J422" s="1">
        <v>65237.5</v>
      </c>
      <c r="K422" s="1">
        <v>108</v>
      </c>
      <c r="L422" s="1">
        <v>124.4065073529412</v>
      </c>
      <c r="M422" s="1">
        <v>193.0201237527175</v>
      </c>
      <c r="N422" s="7">
        <v>45947</v>
      </c>
      <c r="O422" s="1">
        <v>30000</v>
      </c>
      <c r="P422" s="7">
        <v>46140.02012375</v>
      </c>
      <c r="Q422" s="1" t="s">
        <v>330</v>
      </c>
      <c r="W422" s="3"/>
      <c r="X422" s="3">
        <v>0</v>
      </c>
      <c r="Y422" s="1" t="str">
        <f>VLOOKUP(A422,[1]Detalle!$D$2:$CR$484,93,FALSE)</f>
        <v>SUC_REA - Sucursal Realicó</v>
      </c>
    </row>
    <row r="423" spans="1:25" ht="14.25" customHeight="1" x14ac:dyDescent="0.3">
      <c r="A423" s="1" t="s">
        <v>180</v>
      </c>
      <c r="B423" s="1" t="s">
        <v>553</v>
      </c>
      <c r="C423" s="1" t="s">
        <v>553</v>
      </c>
      <c r="D423" s="1" t="s">
        <v>554</v>
      </c>
      <c r="E423" s="1" t="s">
        <v>337</v>
      </c>
      <c r="F423" s="1">
        <v>226917</v>
      </c>
      <c r="G423" s="1">
        <v>256917</v>
      </c>
      <c r="H423" s="1">
        <v>6434.6000000000031</v>
      </c>
      <c r="I423" s="1">
        <v>23565.4</v>
      </c>
      <c r="J423" s="1">
        <v>233351.6</v>
      </c>
      <c r="K423" s="1">
        <v>108</v>
      </c>
      <c r="L423" s="1">
        <v>40.479774193548408</v>
      </c>
      <c r="M423" s="1">
        <v>395.52780281602571</v>
      </c>
      <c r="N423" s="7">
        <v>45947</v>
      </c>
      <c r="O423" s="1">
        <v>30000</v>
      </c>
      <c r="P423" s="7">
        <v>46342.527802812503</v>
      </c>
      <c r="Q423" s="1" t="s">
        <v>330</v>
      </c>
      <c r="W423" s="3"/>
      <c r="X423" s="3">
        <v>0</v>
      </c>
      <c r="Y423" s="1" t="str">
        <f>VLOOKUP(A423,[1]Detalle!$D$2:$CR$484,93,FALSE)</f>
        <v>CCUCoAZA</v>
      </c>
    </row>
    <row r="424" spans="1:25" ht="14.25" customHeight="1" x14ac:dyDescent="0.3">
      <c r="A424" s="1" t="s">
        <v>164</v>
      </c>
      <c r="B424" s="1" t="s">
        <v>553</v>
      </c>
      <c r="C424" s="1" t="s">
        <v>553</v>
      </c>
      <c r="D424" s="1" t="s">
        <v>554</v>
      </c>
      <c r="E424" s="1" t="s">
        <v>337</v>
      </c>
      <c r="F424" s="1">
        <v>2152173</v>
      </c>
      <c r="G424" s="1">
        <v>2182173</v>
      </c>
      <c r="H424" s="1">
        <v>12169.1</v>
      </c>
      <c r="I424" s="1">
        <v>17830.899999999991</v>
      </c>
      <c r="J424" s="1">
        <v>2164342.1</v>
      </c>
      <c r="K424" s="1">
        <v>108</v>
      </c>
      <c r="L424" s="1">
        <v>69.022379421221856</v>
      </c>
      <c r="M424" s="1">
        <v>158.24812023896581</v>
      </c>
      <c r="N424" s="7">
        <v>45947</v>
      </c>
      <c r="O424" s="1">
        <v>30000</v>
      </c>
      <c r="P424" s="7">
        <v>46105.248120243057</v>
      </c>
      <c r="Q424" s="1" t="s">
        <v>330</v>
      </c>
      <c r="W424" s="3"/>
      <c r="X424" s="3">
        <v>0</v>
      </c>
      <c r="Y424" s="1" t="str">
        <f>VLOOKUP(A424,[1]Detalle!$D$2:$CR$484,93,FALSE)</f>
        <v>SUC_MEN - Sucursal Mendoza</v>
      </c>
    </row>
    <row r="425" spans="1:25" ht="14.25" customHeight="1" x14ac:dyDescent="0.3">
      <c r="A425" s="1" t="s">
        <v>142</v>
      </c>
      <c r="B425" s="1" t="s">
        <v>553</v>
      </c>
      <c r="C425" s="1" t="s">
        <v>553</v>
      </c>
      <c r="D425" s="1" t="s">
        <v>554</v>
      </c>
      <c r="E425" s="6">
        <v>45426</v>
      </c>
      <c r="F425" s="1">
        <v>807811.83599999989</v>
      </c>
      <c r="G425" s="1">
        <v>837811.83599999989</v>
      </c>
      <c r="H425" s="1">
        <v>36981.449999999953</v>
      </c>
      <c r="I425" s="1">
        <v>-6981.4499999999462</v>
      </c>
      <c r="J425" s="1">
        <v>844793.28599999985</v>
      </c>
      <c r="K425" s="1">
        <v>521</v>
      </c>
      <c r="L425" s="1">
        <v>68.472829581993537</v>
      </c>
      <c r="M425" s="1">
        <v>-98.3556742637181</v>
      </c>
      <c r="N425" s="7">
        <v>45947</v>
      </c>
      <c r="O425" s="1">
        <v>30000</v>
      </c>
      <c r="P425" s="7">
        <v>46385.12998795139</v>
      </c>
      <c r="Q425" s="1" t="s">
        <v>330</v>
      </c>
      <c r="W425" s="3"/>
      <c r="X425" s="3">
        <v>0</v>
      </c>
      <c r="Y425" s="1" t="str">
        <f>VLOOKUP(A425,[1]Detalle!$D$2:$CR$484,93,FALSE)</f>
        <v>Papelera - Papelera del Plata S.A.</v>
      </c>
    </row>
    <row r="426" spans="1:25" ht="14.25" customHeight="1" x14ac:dyDescent="0.3">
      <c r="A426" s="1" t="s">
        <v>133</v>
      </c>
      <c r="B426" s="1" t="s">
        <v>553</v>
      </c>
      <c r="C426" s="1" t="s">
        <v>553</v>
      </c>
      <c r="D426" s="1" t="s">
        <v>554</v>
      </c>
      <c r="E426" s="1" t="s">
        <v>337</v>
      </c>
      <c r="G426" s="1">
        <v>867815</v>
      </c>
      <c r="H426" s="1">
        <v>100</v>
      </c>
      <c r="I426" s="1">
        <v>29900</v>
      </c>
      <c r="J426" s="1">
        <v>837915</v>
      </c>
      <c r="L426" s="1">
        <v>365</v>
      </c>
      <c r="N426" s="7">
        <v>45947</v>
      </c>
      <c r="O426" s="1">
        <v>30000</v>
      </c>
      <c r="P426" s="7">
        <v>46100.035156446756</v>
      </c>
      <c r="Q426" s="1" t="s">
        <v>330</v>
      </c>
      <c r="R426" s="6">
        <v>46017.843375625001</v>
      </c>
      <c r="W426" s="3"/>
      <c r="X426" s="3">
        <v>0</v>
      </c>
      <c r="Y426" s="1" t="str">
        <f>VLOOKUP(A426,[1]Detalle!$D$2:$CR$484,93,FALSE)</f>
        <v>CENCOMLD - Cencosud SA - Mendoza</v>
      </c>
    </row>
    <row r="427" spans="1:25" ht="14.25" customHeight="1" x14ac:dyDescent="0.3">
      <c r="A427" s="1" t="s">
        <v>144</v>
      </c>
      <c r="B427" s="1" t="s">
        <v>553</v>
      </c>
      <c r="C427" s="1" t="s">
        <v>553</v>
      </c>
      <c r="D427" s="1" t="s">
        <v>554</v>
      </c>
      <c r="E427" s="1" t="s">
        <v>337</v>
      </c>
      <c r="F427" s="1">
        <v>618019</v>
      </c>
      <c r="G427" s="1">
        <v>648019</v>
      </c>
      <c r="H427" s="1">
        <v>10164.5</v>
      </c>
      <c r="I427" s="1">
        <v>19835.5</v>
      </c>
      <c r="J427" s="1">
        <v>628183.5</v>
      </c>
      <c r="K427" s="1">
        <v>108</v>
      </c>
      <c r="L427" s="1">
        <v>80.140288461538475</v>
      </c>
      <c r="M427" s="1">
        <v>210.75645629396439</v>
      </c>
      <c r="N427" s="7">
        <v>45947</v>
      </c>
      <c r="O427" s="1">
        <v>30000</v>
      </c>
      <c r="P427" s="7">
        <v>46157.756456296287</v>
      </c>
      <c r="Q427" s="1" t="s">
        <v>330</v>
      </c>
      <c r="W427" s="3"/>
      <c r="X427" s="3">
        <v>0</v>
      </c>
      <c r="Y427" s="1" t="str">
        <f>VLOOKUP(A427,[1]Detalle!$D$2:$CR$484,93,FALSE)</f>
        <v>Papelera - Papelera del Plata S.A.</v>
      </c>
    </row>
    <row r="428" spans="1:25" ht="14.25" customHeight="1" x14ac:dyDescent="0.3">
      <c r="A428" s="1" t="s">
        <v>171</v>
      </c>
      <c r="B428" s="1" t="s">
        <v>553</v>
      </c>
      <c r="C428" s="1" t="s">
        <v>553</v>
      </c>
      <c r="D428" s="1" t="s">
        <v>554</v>
      </c>
      <c r="E428" s="6">
        <v>45835</v>
      </c>
      <c r="F428" s="1">
        <v>34917.800000000003</v>
      </c>
      <c r="G428" s="1">
        <v>64917.8</v>
      </c>
      <c r="H428" s="1">
        <v>14084.2</v>
      </c>
      <c r="I428" s="1">
        <v>15915.8</v>
      </c>
      <c r="J428" s="1">
        <v>49002.000000000007</v>
      </c>
      <c r="K428" s="1">
        <v>112</v>
      </c>
      <c r="L428" s="1">
        <v>130.96596721311471</v>
      </c>
      <c r="M428" s="1">
        <v>126.5652007213757</v>
      </c>
      <c r="N428" s="7">
        <v>45947</v>
      </c>
      <c r="O428" s="1">
        <v>30000</v>
      </c>
      <c r="P428" s="7">
        <v>46073.565200717603</v>
      </c>
      <c r="Q428" s="1" t="s">
        <v>330</v>
      </c>
      <c r="W428" s="3"/>
      <c r="X428" s="3">
        <v>0</v>
      </c>
      <c r="Y428" s="1" t="str">
        <f>VLOOKUP(A428,[1]Detalle!$D$2:$CR$484,93,FALSE)</f>
        <v>CENCO_MZ - Cencosud SA - Mendoza</v>
      </c>
    </row>
    <row r="429" spans="1:25" ht="14.25" customHeight="1" x14ac:dyDescent="0.3">
      <c r="A429" s="1" t="s">
        <v>173</v>
      </c>
      <c r="B429" s="1" t="s">
        <v>553</v>
      </c>
      <c r="C429" s="1" t="s">
        <v>553</v>
      </c>
      <c r="D429" s="1" t="s">
        <v>554</v>
      </c>
      <c r="E429" s="6">
        <v>45439</v>
      </c>
      <c r="F429" s="1">
        <v>506.87799999999987</v>
      </c>
      <c r="G429" s="1">
        <v>30506.878000000001</v>
      </c>
      <c r="H429" s="1">
        <v>27131.39000000001</v>
      </c>
      <c r="I429" s="1">
        <v>2868.6099999999929</v>
      </c>
      <c r="J429" s="1">
        <v>27638.268000000011</v>
      </c>
      <c r="K429" s="1">
        <v>508</v>
      </c>
      <c r="L429" s="1">
        <v>85.937095588235294</v>
      </c>
      <c r="M429" s="1">
        <v>53.710992322914393</v>
      </c>
      <c r="N429" s="7">
        <v>45947</v>
      </c>
      <c r="O429" s="1">
        <v>30000</v>
      </c>
      <c r="P429" s="7">
        <v>46349.803544201393</v>
      </c>
      <c r="Q429" s="1" t="s">
        <v>330</v>
      </c>
      <c r="W429" s="3"/>
      <c r="X429" s="3">
        <v>0</v>
      </c>
      <c r="Y429" s="1" t="str">
        <f>VLOOKUP(A429,[1]Detalle!$D$2:$CR$484,93,FALSE)</f>
        <v>CENCO_MZ - Cencosud SA - Mendoza</v>
      </c>
    </row>
    <row r="430" spans="1:25" ht="14.25" customHeight="1" x14ac:dyDescent="0.3">
      <c r="A430" s="1" t="s">
        <v>51</v>
      </c>
      <c r="B430" s="1" t="s">
        <v>553</v>
      </c>
      <c r="C430" s="1" t="s">
        <v>553</v>
      </c>
      <c r="D430" s="1" t="s">
        <v>554</v>
      </c>
      <c r="E430" s="1" t="s">
        <v>337</v>
      </c>
      <c r="F430" s="1">
        <v>62508.4</v>
      </c>
      <c r="G430" s="1">
        <v>92508.4</v>
      </c>
      <c r="H430" s="1">
        <v>2224.6</v>
      </c>
      <c r="I430" s="1">
        <v>27775.4</v>
      </c>
      <c r="J430" s="1">
        <v>64733</v>
      </c>
      <c r="K430" s="1">
        <v>108</v>
      </c>
      <c r="L430" s="1">
        <v>21.44832713754645</v>
      </c>
      <c r="M430" s="1">
        <v>1348.441607479996</v>
      </c>
      <c r="N430" s="7">
        <v>45947</v>
      </c>
      <c r="O430" s="1">
        <v>30000</v>
      </c>
      <c r="P430" s="7">
        <v>46174</v>
      </c>
      <c r="Q430" s="1" t="s">
        <v>330</v>
      </c>
      <c r="W430" s="3"/>
      <c r="X430" s="3">
        <v>0</v>
      </c>
      <c r="Y430" s="1" t="str">
        <f>VLOOKUP(A430,[1]Detalle!$D$2:$CR$484,93,FALSE)</f>
        <v>CMQ_TTE - QUILMES TTE</v>
      </c>
    </row>
    <row r="431" spans="1:25" ht="14.25" customHeight="1" x14ac:dyDescent="0.3">
      <c r="A431" s="1" t="s">
        <v>249</v>
      </c>
      <c r="B431" s="1" t="s">
        <v>553</v>
      </c>
      <c r="C431" s="1" t="s">
        <v>553</v>
      </c>
      <c r="D431" s="1" t="s">
        <v>554</v>
      </c>
      <c r="E431" s="1" t="s">
        <v>337</v>
      </c>
      <c r="F431" s="1">
        <v>175443</v>
      </c>
      <c r="G431" s="1">
        <v>205443</v>
      </c>
      <c r="H431" s="1">
        <v>6031.9000000000005</v>
      </c>
      <c r="I431" s="1">
        <v>23968.1</v>
      </c>
      <c r="J431" s="1">
        <v>181474.9</v>
      </c>
      <c r="K431" s="1">
        <v>108</v>
      </c>
      <c r="L431" s="1">
        <v>39.791067961165048</v>
      </c>
      <c r="M431" s="1">
        <v>429.14418342479138</v>
      </c>
      <c r="N431" s="7">
        <v>45947</v>
      </c>
      <c r="O431" s="1">
        <v>30000</v>
      </c>
      <c r="P431" s="7">
        <v>46376.144183425917</v>
      </c>
      <c r="Q431" s="1" t="s">
        <v>330</v>
      </c>
      <c r="W431" s="3"/>
      <c r="X431" s="3">
        <v>0</v>
      </c>
      <c r="Y431" s="1" t="str">
        <f>VLOOKUP(A431,[1]Detalle!$D$2:$CR$484,93,FALSE)</f>
        <v>CCUDyAZA</v>
      </c>
    </row>
    <row r="432" spans="1:25" ht="14.25" customHeight="1" x14ac:dyDescent="0.3">
      <c r="A432" s="1" t="s">
        <v>254</v>
      </c>
      <c r="B432" s="1" t="s">
        <v>553</v>
      </c>
      <c r="C432" s="1" t="s">
        <v>553</v>
      </c>
      <c r="D432" s="1" t="s">
        <v>554</v>
      </c>
      <c r="E432" s="1" t="s">
        <v>337</v>
      </c>
      <c r="F432" s="1">
        <v>140239</v>
      </c>
      <c r="G432" s="1">
        <v>170239</v>
      </c>
      <c r="H432" s="1">
        <v>9721.5000000000055</v>
      </c>
      <c r="I432" s="1">
        <v>20278.499999999989</v>
      </c>
      <c r="J432" s="1">
        <v>149960.5</v>
      </c>
      <c r="K432" s="1">
        <v>108</v>
      </c>
      <c r="L432" s="1">
        <v>62.077961165048592</v>
      </c>
      <c r="M432" s="1">
        <v>225.2819009412126</v>
      </c>
      <c r="N432" s="7">
        <v>45947</v>
      </c>
      <c r="O432" s="1">
        <v>30000</v>
      </c>
      <c r="P432" s="7">
        <v>46172.281900937502</v>
      </c>
      <c r="Q432" s="1" t="s">
        <v>330</v>
      </c>
      <c r="W432" s="3"/>
      <c r="X432" s="3">
        <v>0</v>
      </c>
      <c r="Y432" s="1" t="str">
        <f>VLOOKUP(A432,[1]Detalle!$D$2:$CR$484,93,FALSE)</f>
        <v>CCUCoAZA</v>
      </c>
    </row>
    <row r="433" spans="1:25" ht="14.25" customHeight="1" x14ac:dyDescent="0.3">
      <c r="A433" s="1" t="s">
        <v>256</v>
      </c>
      <c r="B433" s="1" t="s">
        <v>553</v>
      </c>
      <c r="C433" s="1" t="s">
        <v>553</v>
      </c>
      <c r="D433" s="1" t="s">
        <v>554</v>
      </c>
      <c r="E433" s="1" t="s">
        <v>337</v>
      </c>
      <c r="F433" s="1">
        <v>178888</v>
      </c>
      <c r="G433" s="1">
        <v>208888</v>
      </c>
      <c r="H433" s="1">
        <v>6968.9</v>
      </c>
      <c r="I433" s="1">
        <v>23031.1</v>
      </c>
      <c r="J433" s="1">
        <v>185856.9</v>
      </c>
      <c r="K433" s="1">
        <v>108</v>
      </c>
      <c r="L433" s="1">
        <v>47.387909967845658</v>
      </c>
      <c r="M433" s="1">
        <v>356.92272812065028</v>
      </c>
      <c r="N433" s="7">
        <v>45947</v>
      </c>
      <c r="O433" s="1">
        <v>30000</v>
      </c>
      <c r="P433" s="7">
        <v>46303.922728124999</v>
      </c>
      <c r="Q433" s="1" t="s">
        <v>330</v>
      </c>
      <c r="W433" s="3"/>
      <c r="X433" s="3">
        <v>0</v>
      </c>
      <c r="Y433" s="1" t="str">
        <f>VLOOKUP(A433,[1]Detalle!$D$2:$CR$484,93,FALSE)</f>
        <v>CCUCoAZA</v>
      </c>
    </row>
    <row r="434" spans="1:25" ht="14.25" customHeight="1" x14ac:dyDescent="0.3">
      <c r="A434" s="1" t="s">
        <v>67</v>
      </c>
      <c r="B434" s="1" t="s">
        <v>553</v>
      </c>
      <c r="C434" s="1" t="s">
        <v>553</v>
      </c>
      <c r="D434" s="1" t="s">
        <v>554</v>
      </c>
      <c r="E434" s="1" t="s">
        <v>337</v>
      </c>
      <c r="F434" s="1">
        <v>52756</v>
      </c>
      <c r="G434" s="1">
        <v>82756</v>
      </c>
      <c r="H434" s="1">
        <v>3546.400000000001</v>
      </c>
      <c r="I434" s="1">
        <v>26453.599999999999</v>
      </c>
      <c r="J434" s="1">
        <v>56302.400000000001</v>
      </c>
      <c r="K434" s="1">
        <v>108</v>
      </c>
      <c r="L434" s="1">
        <v>24.52509293680297</v>
      </c>
      <c r="M434" s="1">
        <v>805.60252650575194</v>
      </c>
      <c r="N434" s="7">
        <v>45947</v>
      </c>
      <c r="O434" s="1">
        <v>30000</v>
      </c>
      <c r="P434" s="7">
        <v>46174</v>
      </c>
      <c r="Q434" s="1" t="s">
        <v>330</v>
      </c>
      <c r="W434" s="3"/>
      <c r="X434" s="3">
        <v>0</v>
      </c>
      <c r="Y434" s="1" t="str">
        <f>VLOOKUP(A434,[1]Detalle!$D$2:$CR$484,93,FALSE)</f>
        <v>CMQ_TTE - QUILMES TTE</v>
      </c>
    </row>
    <row r="435" spans="1:25" ht="14.25" customHeight="1" x14ac:dyDescent="0.3">
      <c r="A435" s="1" t="s">
        <v>274</v>
      </c>
      <c r="B435" s="1" t="s">
        <v>553</v>
      </c>
      <c r="C435" s="1" t="s">
        <v>553</v>
      </c>
      <c r="D435" s="1" t="s">
        <v>554</v>
      </c>
      <c r="E435" s="1" t="s">
        <v>337</v>
      </c>
      <c r="F435" s="1">
        <v>16961.099999999999</v>
      </c>
      <c r="G435" s="1">
        <v>46961.1</v>
      </c>
      <c r="H435" s="1">
        <v>11460</v>
      </c>
      <c r="I435" s="1">
        <v>18540</v>
      </c>
      <c r="J435" s="1">
        <v>28421.1</v>
      </c>
      <c r="K435" s="1">
        <v>108</v>
      </c>
      <c r="L435" s="1">
        <v>66.921503267973904</v>
      </c>
      <c r="M435" s="1">
        <v>174.72251308900519</v>
      </c>
      <c r="N435" s="7">
        <v>45947</v>
      </c>
      <c r="O435" s="1">
        <v>30000</v>
      </c>
      <c r="P435" s="7">
        <v>46121.722513090281</v>
      </c>
      <c r="Q435" s="1" t="s">
        <v>330</v>
      </c>
      <c r="W435" s="3"/>
      <c r="X435" s="3">
        <v>0</v>
      </c>
      <c r="Y435" s="1" t="str">
        <f>VLOOKUP(A435,[1]Detalle!$D$2:$CR$484,93,FALSE)</f>
        <v>JOHNSON - SC JOHNSON DE ARGENTINA SAIC</v>
      </c>
    </row>
    <row r="436" spans="1:25" ht="14.25" customHeight="1" x14ac:dyDescent="0.3">
      <c r="A436" s="1" t="s">
        <v>106</v>
      </c>
      <c r="B436" s="1" t="s">
        <v>553</v>
      </c>
      <c r="C436" s="1" t="s">
        <v>553</v>
      </c>
      <c r="D436" s="1" t="s">
        <v>554</v>
      </c>
      <c r="E436" s="1" t="s">
        <v>337</v>
      </c>
      <c r="F436" s="1">
        <v>311049</v>
      </c>
      <c r="G436" s="1">
        <v>341049</v>
      </c>
      <c r="H436" s="1">
        <v>6834.300000000002</v>
      </c>
      <c r="I436" s="1">
        <v>23165.7</v>
      </c>
      <c r="J436" s="1">
        <v>317883.3</v>
      </c>
      <c r="K436" s="1">
        <v>108</v>
      </c>
      <c r="L436" s="1">
        <v>48.157370129870131</v>
      </c>
      <c r="M436" s="1">
        <v>366.07927659014081</v>
      </c>
      <c r="N436" s="7">
        <v>45947</v>
      </c>
      <c r="O436" s="1">
        <v>30000</v>
      </c>
      <c r="P436" s="7">
        <v>46313.079276585653</v>
      </c>
      <c r="Q436" s="1" t="s">
        <v>330</v>
      </c>
      <c r="W436" s="3"/>
      <c r="X436" s="3">
        <v>0</v>
      </c>
      <c r="Y436" s="1" t="str">
        <f>VLOOKUP(A436,[1]Detalle!$D$2:$CR$484,93,FALSE)</f>
        <v>Unilever - Unilever de Arg. S.A.</v>
      </c>
    </row>
    <row r="437" spans="1:25" ht="14.25" customHeight="1" x14ac:dyDescent="0.3">
      <c r="A437" s="1" t="s">
        <v>146</v>
      </c>
      <c r="B437" s="1" t="s">
        <v>553</v>
      </c>
      <c r="C437" s="1" t="s">
        <v>553</v>
      </c>
      <c r="D437" s="1" t="s">
        <v>554</v>
      </c>
      <c r="E437" s="1" t="s">
        <v>337</v>
      </c>
      <c r="F437" s="1">
        <v>511084</v>
      </c>
      <c r="G437" s="1">
        <v>541084</v>
      </c>
      <c r="H437" s="1">
        <v>8314.1</v>
      </c>
      <c r="I437" s="1">
        <v>21685.9</v>
      </c>
      <c r="J437" s="1">
        <v>519398.1</v>
      </c>
      <c r="K437" s="1">
        <v>108</v>
      </c>
      <c r="L437" s="1">
        <v>57.283729903536972</v>
      </c>
      <c r="M437" s="1">
        <v>281.69942627584459</v>
      </c>
      <c r="N437" s="7">
        <v>45947</v>
      </c>
      <c r="O437" s="1">
        <v>30000</v>
      </c>
      <c r="P437" s="7">
        <v>46228.699426273153</v>
      </c>
      <c r="Q437" s="1" t="s">
        <v>330</v>
      </c>
      <c r="W437" s="3"/>
      <c r="X437" s="3">
        <v>0</v>
      </c>
      <c r="Y437" s="1" t="str">
        <f>VLOOKUP(A437,[1]Detalle!$D$2:$CR$484,93,FALSE)</f>
        <v>Unilever - Unilever de Arg. S.A.</v>
      </c>
    </row>
    <row r="438" spans="1:25" ht="14.25" customHeight="1" x14ac:dyDescent="0.3">
      <c r="A438" s="1" t="s">
        <v>2</v>
      </c>
      <c r="B438" s="1" t="s">
        <v>553</v>
      </c>
      <c r="C438" s="1" t="s">
        <v>553</v>
      </c>
      <c r="D438" s="1" t="s">
        <v>554</v>
      </c>
      <c r="E438" s="1" t="s">
        <v>337</v>
      </c>
      <c r="F438" s="1">
        <v>14205</v>
      </c>
      <c r="G438" s="1">
        <v>44205</v>
      </c>
      <c r="H438" s="1">
        <v>12306.6</v>
      </c>
      <c r="I438" s="1">
        <v>17693.399999999991</v>
      </c>
      <c r="J438" s="1">
        <v>26511.600000000009</v>
      </c>
      <c r="K438" s="1">
        <v>108</v>
      </c>
      <c r="L438" s="1">
        <v>68.135242718446577</v>
      </c>
      <c r="M438" s="1">
        <v>155.27336551118901</v>
      </c>
      <c r="N438" s="7">
        <v>45947</v>
      </c>
      <c r="O438" s="1">
        <v>30000</v>
      </c>
      <c r="P438" s="7">
        <v>46102.27336550926</v>
      </c>
      <c r="Q438" s="1" t="s">
        <v>330</v>
      </c>
      <c r="W438" s="3"/>
      <c r="X438" s="3">
        <v>0</v>
      </c>
      <c r="Y438" s="1" t="str">
        <f>VLOOKUP(A438,[1]Detalle!$D$2:$CR$484,93,FALSE)</f>
        <v>Unilever - Unilever de Arg. S.A.</v>
      </c>
    </row>
    <row r="439" spans="1:25" ht="14.25" customHeight="1" x14ac:dyDescent="0.3">
      <c r="A439" s="1" t="s">
        <v>192</v>
      </c>
      <c r="B439" s="1" t="s">
        <v>553</v>
      </c>
      <c r="C439" s="1" t="s">
        <v>553</v>
      </c>
      <c r="D439" s="1" t="s">
        <v>554</v>
      </c>
      <c r="E439" s="1" t="s">
        <v>337</v>
      </c>
      <c r="F439" s="1">
        <v>135569</v>
      </c>
      <c r="G439" s="1">
        <v>165569</v>
      </c>
      <c r="H439" s="1">
        <v>0.4</v>
      </c>
      <c r="I439" s="1">
        <v>29999.599999999999</v>
      </c>
      <c r="J439" s="1">
        <v>135569.4</v>
      </c>
      <c r="K439" s="1">
        <v>108</v>
      </c>
      <c r="L439" s="1">
        <v>9.0852830188679246</v>
      </c>
      <c r="M439" s="1">
        <v>8099891.9999999991</v>
      </c>
      <c r="N439" s="7">
        <v>45947</v>
      </c>
      <c r="O439" s="1">
        <v>30000</v>
      </c>
      <c r="P439" s="7">
        <v>46174</v>
      </c>
      <c r="Q439" s="1" t="s">
        <v>330</v>
      </c>
      <c r="W439" s="3"/>
      <c r="X439" s="3">
        <v>0</v>
      </c>
      <c r="Y439" s="1" t="str">
        <f>VLOOKUP(A439,[1]Detalle!$D$2:$CR$484,93,FALSE)</f>
        <v>Sin Operación</v>
      </c>
    </row>
    <row r="440" spans="1:25" ht="14.25" customHeight="1" x14ac:dyDescent="0.3">
      <c r="A440" s="1" t="s">
        <v>197</v>
      </c>
      <c r="B440" s="1" t="s">
        <v>553</v>
      </c>
      <c r="C440" s="1" t="s">
        <v>553</v>
      </c>
      <c r="D440" s="1" t="s">
        <v>554</v>
      </c>
      <c r="E440" s="1" t="s">
        <v>337</v>
      </c>
      <c r="F440" s="1">
        <v>166036</v>
      </c>
      <c r="G440" s="1">
        <v>196036</v>
      </c>
      <c r="H440" s="1">
        <v>0.4</v>
      </c>
      <c r="I440" s="1">
        <v>29999.599999999999</v>
      </c>
      <c r="J440" s="1">
        <v>166036.4</v>
      </c>
      <c r="K440" s="1">
        <v>108</v>
      </c>
      <c r="L440" s="1">
        <v>3.1153992395437262</v>
      </c>
      <c r="M440" s="1">
        <v>8099891.9999999991</v>
      </c>
      <c r="N440" s="7">
        <v>45947</v>
      </c>
      <c r="O440" s="1">
        <v>30000</v>
      </c>
      <c r="P440" s="7">
        <v>46174</v>
      </c>
      <c r="Q440" s="1" t="s">
        <v>330</v>
      </c>
      <c r="W440" s="3"/>
      <c r="X440" s="3">
        <v>0</v>
      </c>
      <c r="Y440" s="1" t="str">
        <f>VLOOKUP(A440,[1]Detalle!$D$2:$CR$484,93,FALSE)</f>
        <v>Sin Operación</v>
      </c>
    </row>
    <row r="441" spans="1:25" ht="14.25" customHeight="1" x14ac:dyDescent="0.3">
      <c r="A441" s="1" t="s">
        <v>206</v>
      </c>
      <c r="B441" s="1" t="s">
        <v>553</v>
      </c>
      <c r="C441" s="1" t="s">
        <v>553</v>
      </c>
      <c r="D441" s="1" t="s">
        <v>554</v>
      </c>
      <c r="E441" s="1" t="s">
        <v>337</v>
      </c>
      <c r="F441" s="1">
        <v>220694</v>
      </c>
      <c r="G441" s="1">
        <v>250694</v>
      </c>
      <c r="H441" s="1">
        <v>1856</v>
      </c>
      <c r="I441" s="1">
        <v>28144</v>
      </c>
      <c r="J441" s="1">
        <v>222550</v>
      </c>
      <c r="K441" s="1">
        <v>108</v>
      </c>
      <c r="L441" s="1">
        <v>9.7282442748091569</v>
      </c>
      <c r="M441" s="1">
        <v>1637.6896551724139</v>
      </c>
      <c r="N441" s="7">
        <v>45947</v>
      </c>
      <c r="O441" s="1">
        <v>30000</v>
      </c>
      <c r="P441" s="7">
        <v>46174</v>
      </c>
      <c r="Q441" s="1" t="s">
        <v>330</v>
      </c>
      <c r="W441" s="3"/>
      <c r="X441" s="3">
        <v>0</v>
      </c>
      <c r="Y441" s="1" t="str">
        <f>VLOOKUP(A441,[1]Detalle!$D$2:$CR$484,93,FALSE)</f>
        <v>Sin Operación</v>
      </c>
    </row>
    <row r="442" spans="1:25" ht="14.25" customHeight="1" x14ac:dyDescent="0.3">
      <c r="A442" s="1" t="s">
        <v>236</v>
      </c>
      <c r="B442" s="1" t="s">
        <v>553</v>
      </c>
      <c r="C442" s="1" t="s">
        <v>553</v>
      </c>
      <c r="D442" s="1" t="s">
        <v>554</v>
      </c>
      <c r="E442" s="1" t="s">
        <v>337</v>
      </c>
      <c r="F442" s="1">
        <v>1016980</v>
      </c>
      <c r="G442" s="1">
        <v>1046980</v>
      </c>
      <c r="H442" s="1">
        <v>34026.300000000003</v>
      </c>
      <c r="I442" s="1">
        <v>-4026.3000000000029</v>
      </c>
      <c r="J442" s="1">
        <v>1051006.3</v>
      </c>
      <c r="K442" s="1">
        <v>108</v>
      </c>
      <c r="L442" s="1">
        <v>455.32846441947561</v>
      </c>
      <c r="M442" s="1">
        <v>-12.77953818076019</v>
      </c>
      <c r="N442" s="7">
        <v>45947</v>
      </c>
      <c r="O442" s="1">
        <v>30000</v>
      </c>
      <c r="P442" s="7">
        <v>46078.773004953713</v>
      </c>
      <c r="Q442" s="1" t="s">
        <v>330</v>
      </c>
      <c r="R442" s="6">
        <v>46078.773004953713</v>
      </c>
      <c r="W442" s="3"/>
      <c r="X442" s="3">
        <v>0</v>
      </c>
      <c r="Y442" s="1" t="str">
        <f>VLOOKUP(A442,[1]Detalle!$D$2:$CR$484,93,FALSE)</f>
        <v>CENCOMLD - Cencosud SA - Mendoza</v>
      </c>
    </row>
    <row r="443" spans="1:25" ht="14.25" customHeight="1" x14ac:dyDescent="0.3">
      <c r="A443" s="1" t="s">
        <v>235</v>
      </c>
      <c r="B443" s="1" t="s">
        <v>553</v>
      </c>
      <c r="C443" s="1" t="s">
        <v>553</v>
      </c>
      <c r="D443" s="1" t="s">
        <v>554</v>
      </c>
      <c r="E443" s="6">
        <v>45827</v>
      </c>
      <c r="F443" s="1">
        <v>995475</v>
      </c>
      <c r="G443" s="1">
        <v>1025475</v>
      </c>
      <c r="H443" s="1">
        <v>32106.700000000012</v>
      </c>
      <c r="I443" s="1">
        <v>-2106.700000000008</v>
      </c>
      <c r="J443" s="1">
        <v>1027581.7</v>
      </c>
      <c r="K443" s="1">
        <v>120</v>
      </c>
      <c r="L443" s="1">
        <v>263.69237037037038</v>
      </c>
      <c r="M443" s="1">
        <v>-7.8738705628420513</v>
      </c>
      <c r="N443" s="7">
        <v>45947</v>
      </c>
      <c r="O443" s="1">
        <v>30000</v>
      </c>
      <c r="P443" s="7">
        <v>46060.76893445602</v>
      </c>
      <c r="Q443" s="1" t="s">
        <v>330</v>
      </c>
      <c r="W443" s="3"/>
      <c r="X443" s="3">
        <v>0</v>
      </c>
      <c r="Y443" s="1" t="str">
        <f>VLOOKUP(A443,[1]Detalle!$D$2:$CR$484,93,FALSE)</f>
        <v>CENCOMLD - Cencosud SA - Mendoza</v>
      </c>
    </row>
    <row r="444" spans="1:25" ht="14.25" customHeight="1" x14ac:dyDescent="0.3">
      <c r="A444" s="1" t="s">
        <v>237</v>
      </c>
      <c r="B444" s="1" t="s">
        <v>553</v>
      </c>
      <c r="C444" s="1" t="s">
        <v>553</v>
      </c>
      <c r="D444" s="1" t="s">
        <v>554</v>
      </c>
      <c r="E444" s="6">
        <v>45832</v>
      </c>
      <c r="F444" s="1">
        <v>809139</v>
      </c>
      <c r="G444" s="1">
        <v>839139</v>
      </c>
      <c r="H444" s="1">
        <v>19689.100000000009</v>
      </c>
      <c r="I444" s="1">
        <v>10310.899999999991</v>
      </c>
      <c r="J444" s="1">
        <v>828828.1</v>
      </c>
      <c r="K444" s="1">
        <v>115</v>
      </c>
      <c r="L444" s="1">
        <v>518.64529411764704</v>
      </c>
      <c r="M444" s="1">
        <v>60.223854823227008</v>
      </c>
      <c r="N444" s="7">
        <v>45947</v>
      </c>
      <c r="O444" s="1">
        <v>30000</v>
      </c>
      <c r="P444" s="7">
        <v>46065.0668553125</v>
      </c>
      <c r="Q444" s="1" t="s">
        <v>330</v>
      </c>
      <c r="W444" s="3"/>
      <c r="X444" s="3">
        <v>0</v>
      </c>
      <c r="Y444" s="1" t="str">
        <f>VLOOKUP(A444,[1]Detalle!$D$2:$CR$484,93,FALSE)</f>
        <v>CENCOMLD - Cencosud SA - Mendoza</v>
      </c>
    </row>
    <row r="445" spans="1:25" ht="14.25" customHeight="1" x14ac:dyDescent="0.3">
      <c r="A445" s="1" t="s">
        <v>160</v>
      </c>
      <c r="B445" s="1" t="s">
        <v>553</v>
      </c>
      <c r="C445" s="1" t="s">
        <v>553</v>
      </c>
      <c r="D445" s="1" t="s">
        <v>554</v>
      </c>
      <c r="E445" s="1" t="s">
        <v>337</v>
      </c>
      <c r="F445" s="1">
        <v>14844</v>
      </c>
      <c r="G445" s="1">
        <v>44844</v>
      </c>
      <c r="H445" s="1">
        <v>8215.1999999999989</v>
      </c>
      <c r="I445" s="1">
        <v>21784.799999999999</v>
      </c>
      <c r="J445" s="1">
        <v>23059.200000000001</v>
      </c>
      <c r="K445" s="1">
        <v>108</v>
      </c>
      <c r="L445" s="1">
        <v>53.990801282051272</v>
      </c>
      <c r="M445" s="1">
        <v>286.39088518843118</v>
      </c>
      <c r="N445" s="7">
        <v>45947</v>
      </c>
      <c r="O445" s="1">
        <v>30000</v>
      </c>
      <c r="P445" s="7">
        <v>46233.390885185188</v>
      </c>
      <c r="Q445" s="1" t="s">
        <v>330</v>
      </c>
      <c r="W445" s="3"/>
      <c r="X445" s="3">
        <v>0</v>
      </c>
      <c r="Y445" s="1" t="str">
        <f>VLOOKUP(A445,[1]Detalle!$D$2:$CR$484,93,FALSE)</f>
        <v>CENCO_SJ - Cencosud SA - San Juan</v>
      </c>
    </row>
    <row r="446" spans="1:25" ht="14.25" customHeight="1" x14ac:dyDescent="0.3">
      <c r="A446" s="1" t="s">
        <v>148</v>
      </c>
      <c r="B446" s="1" t="s">
        <v>553</v>
      </c>
      <c r="C446" s="1" t="s">
        <v>553</v>
      </c>
      <c r="D446" s="1" t="s">
        <v>554</v>
      </c>
      <c r="E446" s="1" t="s">
        <v>337</v>
      </c>
      <c r="F446" s="1">
        <v>802722</v>
      </c>
      <c r="G446" s="1">
        <v>832722</v>
      </c>
      <c r="H446" s="1">
        <v>14655.30000000001</v>
      </c>
      <c r="I446" s="1">
        <v>15344.69999999999</v>
      </c>
      <c r="J446" s="1">
        <v>817377.3</v>
      </c>
      <c r="K446" s="1">
        <v>108</v>
      </c>
      <c r="L446" s="1">
        <v>100.27773026315791</v>
      </c>
      <c r="M446" s="1">
        <v>113.0804282409775</v>
      </c>
      <c r="N446" s="7">
        <v>45947</v>
      </c>
      <c r="O446" s="1">
        <v>30000</v>
      </c>
      <c r="P446" s="7">
        <v>46060.080428240741</v>
      </c>
      <c r="Q446" s="1" t="s">
        <v>330</v>
      </c>
      <c r="W446" s="3"/>
      <c r="X446" s="3">
        <v>0</v>
      </c>
      <c r="Y446" s="1" t="str">
        <f>VLOOKUP(A446,[1]Detalle!$D$2:$CR$484,93,FALSE)</f>
        <v>Unilever - Unilever de Arg. S.A.</v>
      </c>
    </row>
    <row r="447" spans="1:25" ht="14.25" customHeight="1" x14ac:dyDescent="0.3">
      <c r="A447" s="1" t="s">
        <v>157</v>
      </c>
      <c r="B447" s="1" t="s">
        <v>553</v>
      </c>
      <c r="C447" s="1" t="s">
        <v>553</v>
      </c>
      <c r="D447" s="1" t="s">
        <v>554</v>
      </c>
      <c r="E447" s="1" t="s">
        <v>337</v>
      </c>
      <c r="F447" s="1">
        <v>20445.099999999999</v>
      </c>
      <c r="G447" s="1">
        <v>50445.1</v>
      </c>
      <c r="H447" s="1">
        <v>10050.5</v>
      </c>
      <c r="I447" s="1">
        <v>19949.5</v>
      </c>
      <c r="J447" s="1">
        <v>30495.599999999999</v>
      </c>
      <c r="K447" s="1">
        <v>108</v>
      </c>
      <c r="L447" s="1">
        <v>131.93916129032249</v>
      </c>
      <c r="M447" s="1">
        <v>214.37202129247299</v>
      </c>
      <c r="N447" s="7">
        <v>45947</v>
      </c>
      <c r="O447" s="1">
        <v>30000</v>
      </c>
      <c r="P447" s="7">
        <v>46161.372021296287</v>
      </c>
      <c r="Q447" s="1" t="s">
        <v>330</v>
      </c>
      <c r="W447" s="3"/>
      <c r="X447" s="3">
        <v>0</v>
      </c>
      <c r="Y447" s="1" t="str">
        <f>VLOOKUP(A447,[1]Detalle!$D$2:$CR$484,93,FALSE)</f>
        <v>Unilever - Unilever de Arg. S.A.</v>
      </c>
    </row>
    <row r="448" spans="1:25" ht="14.25" customHeight="1" x14ac:dyDescent="0.3">
      <c r="A448" s="1" t="s">
        <v>163</v>
      </c>
      <c r="B448" s="1" t="s">
        <v>553</v>
      </c>
      <c r="C448" s="1" t="s">
        <v>553</v>
      </c>
      <c r="D448" s="1" t="s">
        <v>554</v>
      </c>
      <c r="E448" s="1" t="s">
        <v>337</v>
      </c>
      <c r="F448" s="1">
        <v>653925</v>
      </c>
      <c r="G448" s="1">
        <v>683925</v>
      </c>
      <c r="H448" s="1">
        <v>7902.6999999999989</v>
      </c>
      <c r="I448" s="1">
        <v>22097.3</v>
      </c>
      <c r="J448" s="1">
        <v>661827.69999999995</v>
      </c>
      <c r="K448" s="1">
        <v>108</v>
      </c>
      <c r="L448" s="1">
        <v>93.110293159609114</v>
      </c>
      <c r="M448" s="1">
        <v>301.98646032368691</v>
      </c>
      <c r="N448" s="7">
        <v>45947</v>
      </c>
      <c r="O448" s="1">
        <v>30000</v>
      </c>
      <c r="P448" s="7">
        <v>46248.986460324071</v>
      </c>
      <c r="Q448" s="1" t="s">
        <v>330</v>
      </c>
      <c r="W448" s="3"/>
      <c r="X448" s="3">
        <v>0</v>
      </c>
      <c r="Y448" s="1" t="str">
        <f>VLOOKUP(A448,[1]Detalle!$D$2:$CR$484,93,FALSE)</f>
        <v>Papelera - Papelera del Plata S.A.</v>
      </c>
    </row>
    <row r="449" spans="1:25" ht="14.25" customHeight="1" x14ac:dyDescent="0.3">
      <c r="A449" s="1" t="s">
        <v>167</v>
      </c>
      <c r="B449" s="1" t="s">
        <v>553</v>
      </c>
      <c r="C449" s="1" t="s">
        <v>553</v>
      </c>
      <c r="D449" s="1" t="s">
        <v>554</v>
      </c>
      <c r="E449" s="1" t="s">
        <v>337</v>
      </c>
      <c r="F449" s="1">
        <v>693669</v>
      </c>
      <c r="G449" s="1">
        <v>723669</v>
      </c>
      <c r="H449" s="1">
        <v>6239.8000000000029</v>
      </c>
      <c r="I449" s="1">
        <v>23760.2</v>
      </c>
      <c r="J449" s="1">
        <v>699908.8</v>
      </c>
      <c r="K449" s="1">
        <v>108</v>
      </c>
      <c r="L449" s="1">
        <v>54.087953795379541</v>
      </c>
      <c r="M449" s="1">
        <v>411.24741177601823</v>
      </c>
      <c r="N449" s="7">
        <v>45947</v>
      </c>
      <c r="O449" s="1">
        <v>30000</v>
      </c>
      <c r="P449" s="7">
        <v>46358.247411770833</v>
      </c>
      <c r="Q449" s="1" t="s">
        <v>330</v>
      </c>
      <c r="W449" s="3"/>
      <c r="X449" s="3">
        <v>0</v>
      </c>
      <c r="Y449" s="1" t="str">
        <f>VLOOKUP(A449,[1]Detalle!$D$2:$CR$484,93,FALSE)</f>
        <v>Papelera - Papelera del Plata S.A.</v>
      </c>
    </row>
    <row r="450" spans="1:25" ht="14.25" customHeight="1" x14ac:dyDescent="0.3">
      <c r="A450" s="1" t="s">
        <v>168</v>
      </c>
      <c r="B450" s="1" t="s">
        <v>553</v>
      </c>
      <c r="C450" s="1" t="s">
        <v>553</v>
      </c>
      <c r="D450" s="1" t="s">
        <v>554</v>
      </c>
      <c r="E450" s="1" t="s">
        <v>337</v>
      </c>
      <c r="F450" s="1">
        <v>561820</v>
      </c>
      <c r="G450" s="1">
        <v>591820</v>
      </c>
      <c r="H450" s="1">
        <v>11490.5</v>
      </c>
      <c r="I450" s="1">
        <v>18509.5</v>
      </c>
      <c r="J450" s="1">
        <v>573310.5</v>
      </c>
      <c r="K450" s="1">
        <v>108</v>
      </c>
      <c r="L450" s="1">
        <v>80.547755775577556</v>
      </c>
      <c r="M450" s="1">
        <v>173.9720638788564</v>
      </c>
      <c r="N450" s="7">
        <v>45947</v>
      </c>
      <c r="O450" s="1">
        <v>30000</v>
      </c>
      <c r="P450" s="7">
        <v>46120.972063877307</v>
      </c>
      <c r="Q450" s="1" t="s">
        <v>330</v>
      </c>
      <c r="W450" s="3"/>
      <c r="X450" s="3">
        <v>0</v>
      </c>
      <c r="Y450" s="1" t="str">
        <f>VLOOKUP(A450,[1]Detalle!$D$2:$CR$484,93,FALSE)</f>
        <v>Unilever - Unilever de Arg. S.A.</v>
      </c>
    </row>
    <row r="451" spans="1:25" ht="14.25" customHeight="1" x14ac:dyDescent="0.3">
      <c r="A451" s="1" t="s">
        <v>174</v>
      </c>
      <c r="B451" s="1" t="s">
        <v>553</v>
      </c>
      <c r="C451" s="1" t="s">
        <v>553</v>
      </c>
      <c r="D451" s="1" t="s">
        <v>554</v>
      </c>
      <c r="E451" s="1" t="s">
        <v>337</v>
      </c>
      <c r="F451" s="1">
        <v>23487.8</v>
      </c>
      <c r="G451" s="1">
        <v>53487.8</v>
      </c>
      <c r="H451" s="1">
        <v>11983.499999999991</v>
      </c>
      <c r="I451" s="1">
        <v>18016.500000000011</v>
      </c>
      <c r="J451" s="1">
        <v>35471.300000000003</v>
      </c>
      <c r="K451" s="1">
        <v>108</v>
      </c>
      <c r="L451" s="1">
        <v>71.271935483870948</v>
      </c>
      <c r="M451" s="1">
        <v>162.3717611716111</v>
      </c>
      <c r="N451" s="7">
        <v>45947</v>
      </c>
      <c r="O451" s="1">
        <v>30000</v>
      </c>
      <c r="P451" s="7">
        <v>46109.371761168979</v>
      </c>
      <c r="Q451" s="1" t="s">
        <v>330</v>
      </c>
      <c r="W451" s="3"/>
      <c r="X451" s="3">
        <v>0</v>
      </c>
      <c r="Y451" s="1" t="str">
        <f>VLOOKUP(A451,[1]Detalle!$D$2:$CR$484,93,FALSE)</f>
        <v>Unilever - Unilever de Arg. S.A.</v>
      </c>
    </row>
    <row r="452" spans="1:25" ht="14.25" customHeight="1" x14ac:dyDescent="0.3">
      <c r="A452" s="1" t="s">
        <v>108</v>
      </c>
      <c r="B452" s="1" t="s">
        <v>553</v>
      </c>
      <c r="C452" s="1" t="s">
        <v>553</v>
      </c>
      <c r="D452" s="1" t="s">
        <v>554</v>
      </c>
      <c r="E452" s="1" t="s">
        <v>337</v>
      </c>
      <c r="F452" s="1">
        <v>34212.1</v>
      </c>
      <c r="G452" s="1">
        <v>64212.1</v>
      </c>
      <c r="H452" s="1">
        <v>7402.6000000000013</v>
      </c>
      <c r="I452" s="1">
        <v>22597.4</v>
      </c>
      <c r="J452" s="1">
        <v>41614.699999999997</v>
      </c>
      <c r="K452" s="1">
        <v>108</v>
      </c>
      <c r="L452" s="1">
        <v>52.850396039603943</v>
      </c>
      <c r="M452" s="1">
        <v>329.68405695296241</v>
      </c>
      <c r="N452" s="7">
        <v>45947</v>
      </c>
      <c r="O452" s="1">
        <v>30000</v>
      </c>
      <c r="P452" s="7">
        <v>46276.684056956023</v>
      </c>
      <c r="Q452" s="1" t="s">
        <v>330</v>
      </c>
      <c r="W452" s="3"/>
      <c r="X452" s="3">
        <v>0</v>
      </c>
      <c r="Y452" s="1" t="str">
        <f>VLOOKUP(A452,[1]Detalle!$D$2:$CR$484,93,FALSE)</f>
        <v>JOHNSON - SC JOHNSON DE ARGENTINA SAIC</v>
      </c>
    </row>
    <row r="453" spans="1:25" ht="14.25" customHeight="1" x14ac:dyDescent="0.3">
      <c r="A453" s="1" t="s">
        <v>257</v>
      </c>
      <c r="B453" s="1" t="s">
        <v>553</v>
      </c>
      <c r="C453" s="1" t="s">
        <v>553</v>
      </c>
      <c r="D453" s="1" t="s">
        <v>554</v>
      </c>
      <c r="E453" s="1" t="s">
        <v>337</v>
      </c>
      <c r="F453" s="1">
        <v>242219</v>
      </c>
      <c r="G453" s="1">
        <v>272219</v>
      </c>
      <c r="H453" s="1">
        <v>6043.9999999999973</v>
      </c>
      <c r="I453" s="1">
        <v>23956</v>
      </c>
      <c r="J453" s="1">
        <v>248263</v>
      </c>
      <c r="K453" s="1">
        <v>108</v>
      </c>
      <c r="L453" s="1">
        <v>32.336013071895437</v>
      </c>
      <c r="M453" s="1">
        <v>428.06882859033777</v>
      </c>
      <c r="N453" s="7">
        <v>45947</v>
      </c>
      <c r="O453" s="1">
        <v>30000</v>
      </c>
      <c r="P453" s="7">
        <v>46375.068828587973</v>
      </c>
      <c r="Q453" s="1" t="s">
        <v>330</v>
      </c>
      <c r="W453" s="3"/>
      <c r="X453" s="3">
        <v>0</v>
      </c>
      <c r="Y453" s="1" t="str">
        <f>VLOOKUP(A453,[1]Detalle!$D$2:$CR$484,93,FALSE)</f>
        <v>CMQ_TTE - QUILMES TTE</v>
      </c>
    </row>
    <row r="454" spans="1:25" ht="14.25" customHeight="1" x14ac:dyDescent="0.3">
      <c r="A454" s="1" t="s">
        <v>217</v>
      </c>
      <c r="B454" s="1" t="s">
        <v>553</v>
      </c>
      <c r="C454" s="1" t="s">
        <v>553</v>
      </c>
      <c r="D454" s="1" t="s">
        <v>554</v>
      </c>
      <c r="E454" s="1" t="s">
        <v>337</v>
      </c>
      <c r="F454" s="1">
        <v>472329</v>
      </c>
      <c r="G454" s="1">
        <v>502329</v>
      </c>
      <c r="H454" s="1">
        <v>9845.5999999999985</v>
      </c>
      <c r="I454" s="1">
        <v>20154.400000000001</v>
      </c>
      <c r="J454" s="1">
        <v>482174.6</v>
      </c>
      <c r="K454" s="1">
        <v>108</v>
      </c>
      <c r="L454" s="1">
        <v>63.859032258064524</v>
      </c>
      <c r="M454" s="1">
        <v>221.0810108068579</v>
      </c>
      <c r="N454" s="7">
        <v>45947</v>
      </c>
      <c r="O454" s="1">
        <v>30000</v>
      </c>
      <c r="P454" s="7">
        <v>46168.081010810187</v>
      </c>
      <c r="Q454" s="1" t="s">
        <v>330</v>
      </c>
      <c r="W454" s="3"/>
      <c r="X454" s="3">
        <v>0</v>
      </c>
      <c r="Y454" s="1" t="str">
        <f>VLOOKUP(A454,[1]Detalle!$D$2:$CR$484,93,FALSE)</f>
        <v>Papelera - Papelera del Plata S.A.</v>
      </c>
    </row>
    <row r="455" spans="1:25" ht="14.25" customHeight="1" x14ac:dyDescent="0.3">
      <c r="A455" s="1" t="s">
        <v>78</v>
      </c>
      <c r="B455" s="1" t="s">
        <v>553</v>
      </c>
      <c r="C455" s="1" t="s">
        <v>553</v>
      </c>
      <c r="D455" s="1" t="s">
        <v>554</v>
      </c>
      <c r="E455" s="1" t="s">
        <v>337</v>
      </c>
      <c r="F455" s="1">
        <v>39715.599999999999</v>
      </c>
      <c r="G455" s="1">
        <v>69715.600000000006</v>
      </c>
      <c r="H455" s="1">
        <v>6144.7</v>
      </c>
      <c r="I455" s="1">
        <v>23855.3</v>
      </c>
      <c r="J455" s="1">
        <v>45860.3</v>
      </c>
      <c r="K455" s="1">
        <v>108</v>
      </c>
      <c r="L455" s="1">
        <v>36.164383116883137</v>
      </c>
      <c r="M455" s="1">
        <v>419.28367536250761</v>
      </c>
      <c r="N455" s="7">
        <v>45947</v>
      </c>
      <c r="O455" s="1">
        <v>30000</v>
      </c>
      <c r="P455" s="7">
        <v>46366.283675358798</v>
      </c>
      <c r="Q455" s="1" t="s">
        <v>330</v>
      </c>
      <c r="W455" s="3"/>
      <c r="X455" s="3">
        <v>0</v>
      </c>
      <c r="Y455" s="1" t="str">
        <f>VLOOKUP(A455,[1]Detalle!$D$2:$CR$484,93,FALSE)</f>
        <v>Papelera - Papelera del Plata S.A.</v>
      </c>
    </row>
    <row r="456" spans="1:25" ht="14.25" customHeight="1" x14ac:dyDescent="0.3">
      <c r="A456" s="1" t="s">
        <v>91</v>
      </c>
      <c r="B456" s="1" t="s">
        <v>553</v>
      </c>
      <c r="C456" s="1" t="s">
        <v>553</v>
      </c>
      <c r="D456" s="1" t="s">
        <v>554</v>
      </c>
      <c r="E456" s="1" t="s">
        <v>337</v>
      </c>
      <c r="F456" s="1">
        <v>23169.200000000001</v>
      </c>
      <c r="G456" s="1">
        <v>53169.2</v>
      </c>
      <c r="H456" s="1">
        <v>9940.6999999999971</v>
      </c>
      <c r="I456" s="1">
        <v>20059.3</v>
      </c>
      <c r="J456" s="1">
        <v>33109.899999999987</v>
      </c>
      <c r="K456" s="1">
        <v>108</v>
      </c>
      <c r="L456" s="1">
        <v>61.470550161812312</v>
      </c>
      <c r="M456" s="1">
        <v>217.9327813936645</v>
      </c>
      <c r="N456" s="7">
        <v>45947</v>
      </c>
      <c r="O456" s="1">
        <v>30000</v>
      </c>
      <c r="P456" s="7">
        <v>46164.932781388889</v>
      </c>
      <c r="Q456" s="1" t="s">
        <v>330</v>
      </c>
      <c r="W456" s="3"/>
      <c r="X456" s="3">
        <v>0</v>
      </c>
      <c r="Y456" s="1" t="str">
        <f>VLOOKUP(A456,[1]Detalle!$D$2:$CR$484,93,FALSE)</f>
        <v>Unilever - Unilever de Arg. S.A.</v>
      </c>
    </row>
    <row r="457" spans="1:25" ht="14.25" customHeight="1" x14ac:dyDescent="0.3">
      <c r="A457" s="1" t="s">
        <v>92</v>
      </c>
      <c r="B457" s="1" t="s">
        <v>553</v>
      </c>
      <c r="C457" s="1" t="s">
        <v>553</v>
      </c>
      <c r="D457" s="1" t="s">
        <v>554</v>
      </c>
      <c r="E457" s="1" t="s">
        <v>337</v>
      </c>
      <c r="F457" s="1">
        <v>23673.5</v>
      </c>
      <c r="G457" s="1">
        <v>53673.5</v>
      </c>
      <c r="H457" s="1">
        <v>12164.1</v>
      </c>
      <c r="I457" s="1">
        <v>17835.900000000001</v>
      </c>
      <c r="J457" s="1">
        <v>35837.599999999999</v>
      </c>
      <c r="K457" s="1">
        <v>108</v>
      </c>
      <c r="L457" s="1">
        <v>65.871929260450116</v>
      </c>
      <c r="M457" s="1">
        <v>158.35756036204901</v>
      </c>
      <c r="N457" s="7">
        <v>45947</v>
      </c>
      <c r="O457" s="1">
        <v>30000</v>
      </c>
      <c r="P457" s="7">
        <v>46105.357560358803</v>
      </c>
      <c r="Q457" s="1" t="s">
        <v>330</v>
      </c>
      <c r="W457" s="3"/>
      <c r="X457" s="3">
        <v>0</v>
      </c>
      <c r="Y457" s="1" t="str">
        <f>VLOOKUP(A457,[1]Detalle!$D$2:$CR$484,93,FALSE)</f>
        <v>Unilever - Unilever de Arg. S.A.</v>
      </c>
    </row>
    <row r="458" spans="1:25" ht="14.25" customHeight="1" x14ac:dyDescent="0.3">
      <c r="A458" s="1" t="s">
        <v>19</v>
      </c>
      <c r="B458" s="1" t="s">
        <v>555</v>
      </c>
      <c r="C458" s="1" t="s">
        <v>555</v>
      </c>
      <c r="D458" s="1" t="s">
        <v>556</v>
      </c>
      <c r="E458" s="1" t="s">
        <v>337</v>
      </c>
      <c r="F458" s="1">
        <v>497452</v>
      </c>
      <c r="G458" s="1">
        <v>572452</v>
      </c>
      <c r="H458" s="1">
        <v>28992.2</v>
      </c>
      <c r="I458" s="1">
        <v>46007.8</v>
      </c>
      <c r="J458" s="1">
        <v>526444.19999999995</v>
      </c>
      <c r="K458" s="1">
        <v>93</v>
      </c>
      <c r="L458" s="1">
        <v>844.57346863468638</v>
      </c>
      <c r="M458" s="1">
        <v>147.58194962783099</v>
      </c>
      <c r="N458" s="7">
        <v>45947</v>
      </c>
      <c r="O458" s="1">
        <v>75000</v>
      </c>
      <c r="P458" s="7">
        <v>46094.581949629632</v>
      </c>
      <c r="Q458" s="1" t="s">
        <v>330</v>
      </c>
      <c r="T458" s="1" t="s">
        <v>557</v>
      </c>
      <c r="U458" s="1" t="s">
        <v>558</v>
      </c>
      <c r="V458" s="1">
        <v>11</v>
      </c>
      <c r="W458" s="3">
        <v>4855.21</v>
      </c>
      <c r="X458" s="3">
        <v>53407.31</v>
      </c>
      <c r="Y458" s="1" t="str">
        <f>VLOOKUP(A458,[1]Detalle!$D$2:$CR$484,93,FALSE)</f>
        <v>CENCOMLD - Cencosud SA - Mendoza</v>
      </c>
    </row>
    <row r="459" spans="1:25" ht="14.25" customHeight="1" x14ac:dyDescent="0.3">
      <c r="A459" s="1" t="s">
        <v>5</v>
      </c>
      <c r="B459" s="1" t="s">
        <v>555</v>
      </c>
      <c r="C459" s="1" t="s">
        <v>555</v>
      </c>
      <c r="D459" s="1" t="s">
        <v>556</v>
      </c>
      <c r="E459" s="1" t="s">
        <v>337</v>
      </c>
      <c r="F459" s="1">
        <v>690966</v>
      </c>
      <c r="G459" s="1">
        <v>765966</v>
      </c>
      <c r="H459" s="1">
        <v>25694.5</v>
      </c>
      <c r="I459" s="1">
        <v>49305.5</v>
      </c>
      <c r="J459" s="1">
        <v>716660.5</v>
      </c>
      <c r="K459" s="1">
        <v>93</v>
      </c>
      <c r="L459" s="1">
        <v>276.33435114503811</v>
      </c>
      <c r="M459" s="1">
        <v>178.45887252135671</v>
      </c>
      <c r="N459" s="7">
        <v>45947</v>
      </c>
      <c r="O459" s="1">
        <v>75000</v>
      </c>
      <c r="P459" s="7">
        <v>46125.458872523152</v>
      </c>
      <c r="Q459" s="1" t="s">
        <v>330</v>
      </c>
      <c r="T459" s="1" t="s">
        <v>557</v>
      </c>
      <c r="U459" s="1" t="s">
        <v>558</v>
      </c>
      <c r="V459" s="1">
        <v>11</v>
      </c>
      <c r="W459" s="3">
        <v>4855.21</v>
      </c>
      <c r="X459" s="3">
        <v>53407.31</v>
      </c>
      <c r="Y459" s="1" t="str">
        <f>VLOOKUP(A459,[1]Detalle!$D$2:$CR$484,93,FALSE)</f>
        <v>ADA_CH - Danone Arg. S.A. - Chascomus</v>
      </c>
    </row>
    <row r="460" spans="1:25" ht="14.25" customHeight="1" x14ac:dyDescent="0.3">
      <c r="A460" s="1" t="s">
        <v>8</v>
      </c>
      <c r="B460" s="1" t="s">
        <v>555</v>
      </c>
      <c r="C460" s="1" t="s">
        <v>555</v>
      </c>
      <c r="D460" s="1" t="s">
        <v>556</v>
      </c>
      <c r="E460" s="1" t="s">
        <v>337</v>
      </c>
      <c r="F460" s="1">
        <v>722255</v>
      </c>
      <c r="G460" s="1">
        <v>797255</v>
      </c>
      <c r="H460" s="1">
        <v>28085.099999999991</v>
      </c>
      <c r="I460" s="1">
        <v>46914.900000000009</v>
      </c>
      <c r="J460" s="1">
        <v>750340.1</v>
      </c>
      <c r="K460" s="1">
        <v>93</v>
      </c>
      <c r="L460" s="1">
        <v>286.50848708487092</v>
      </c>
      <c r="M460" s="1">
        <v>155.35232917098401</v>
      </c>
      <c r="N460" s="7">
        <v>45947</v>
      </c>
      <c r="O460" s="1">
        <v>75000</v>
      </c>
      <c r="P460" s="7">
        <v>46102.352329166657</v>
      </c>
      <c r="Q460" s="1" t="s">
        <v>330</v>
      </c>
      <c r="T460" s="1" t="s">
        <v>557</v>
      </c>
      <c r="U460" s="1" t="s">
        <v>558</v>
      </c>
      <c r="V460" s="1">
        <v>11</v>
      </c>
      <c r="W460" s="3">
        <v>4855.21</v>
      </c>
      <c r="X460" s="3">
        <v>53407.31</v>
      </c>
      <c r="Y460" s="1" t="str">
        <f>VLOOKUP(A460,[1]Detalle!$D$2:$CR$484,93,FALSE)</f>
        <v>ADA_CH - Danone Arg. S.A. - Chascomus</v>
      </c>
    </row>
    <row r="461" spans="1:25" ht="14.25" customHeight="1" x14ac:dyDescent="0.3">
      <c r="A461" s="1" t="s">
        <v>11</v>
      </c>
      <c r="B461" s="1" t="s">
        <v>555</v>
      </c>
      <c r="C461" s="1" t="s">
        <v>555</v>
      </c>
      <c r="D461" s="1" t="s">
        <v>556</v>
      </c>
      <c r="E461" s="1" t="s">
        <v>337</v>
      </c>
      <c r="F461" s="1">
        <v>765628</v>
      </c>
      <c r="G461" s="1">
        <v>840628</v>
      </c>
      <c r="H461" s="1">
        <v>28548.900000000009</v>
      </c>
      <c r="I461" s="1">
        <v>46451.099999999991</v>
      </c>
      <c r="J461" s="1">
        <v>794176.9</v>
      </c>
      <c r="K461" s="1">
        <v>93</v>
      </c>
      <c r="L461" s="1">
        <v>323.09338235294098</v>
      </c>
      <c r="M461" s="1">
        <v>151.31764446265871</v>
      </c>
      <c r="N461" s="7">
        <v>45947</v>
      </c>
      <c r="O461" s="1">
        <v>75000</v>
      </c>
      <c r="P461" s="7">
        <v>46098.317644467592</v>
      </c>
      <c r="Q461" s="1" t="s">
        <v>330</v>
      </c>
      <c r="T461" s="1" t="s">
        <v>557</v>
      </c>
      <c r="U461" s="1" t="s">
        <v>558</v>
      </c>
      <c r="V461" s="1">
        <v>11</v>
      </c>
      <c r="W461" s="3">
        <v>4855.21</v>
      </c>
      <c r="X461" s="3">
        <v>53407.31</v>
      </c>
      <c r="Y461" s="1" t="str">
        <f>VLOOKUP(A461,[1]Detalle!$D$2:$CR$484,93,FALSE)</f>
        <v>ADA_CH - Danone Arg. S.A. - Chascomus</v>
      </c>
    </row>
    <row r="462" spans="1:25" ht="14.25" customHeight="1" x14ac:dyDescent="0.3">
      <c r="A462" s="1" t="s">
        <v>10</v>
      </c>
      <c r="B462" s="1" t="s">
        <v>555</v>
      </c>
      <c r="C462" s="1" t="s">
        <v>555</v>
      </c>
      <c r="D462" s="1" t="s">
        <v>556</v>
      </c>
      <c r="E462" s="1" t="s">
        <v>337</v>
      </c>
      <c r="F462" s="1">
        <v>691593</v>
      </c>
      <c r="G462" s="1">
        <v>766593</v>
      </c>
      <c r="H462" s="1">
        <v>21650.30000000001</v>
      </c>
      <c r="I462" s="1">
        <v>53349.7</v>
      </c>
      <c r="J462" s="1">
        <v>713243.3</v>
      </c>
      <c r="K462" s="1">
        <v>93</v>
      </c>
      <c r="L462" s="1">
        <v>266.81618518518519</v>
      </c>
      <c r="M462" s="1">
        <v>229.16643649279681</v>
      </c>
      <c r="N462" s="7">
        <v>45947</v>
      </c>
      <c r="O462" s="1">
        <v>75000</v>
      </c>
      <c r="P462" s="7">
        <v>46176.166436493048</v>
      </c>
      <c r="Q462" s="1" t="s">
        <v>330</v>
      </c>
      <c r="T462" s="1" t="s">
        <v>557</v>
      </c>
      <c r="U462" s="1" t="s">
        <v>558</v>
      </c>
      <c r="V462" s="1">
        <v>11</v>
      </c>
      <c r="W462" s="3">
        <v>4855.21</v>
      </c>
      <c r="X462" s="3">
        <v>53407.31</v>
      </c>
      <c r="Y462" s="1" t="str">
        <f>VLOOKUP(A462,[1]Detalle!$D$2:$CR$484,93,FALSE)</f>
        <v>ADA_CH - Danone Arg. S.A. - Chascomus</v>
      </c>
    </row>
    <row r="463" spans="1:25" ht="14.25" customHeight="1" x14ac:dyDescent="0.3">
      <c r="A463" s="1" t="s">
        <v>14</v>
      </c>
      <c r="B463" s="1" t="s">
        <v>555</v>
      </c>
      <c r="C463" s="1" t="s">
        <v>555</v>
      </c>
      <c r="D463" s="1" t="s">
        <v>556</v>
      </c>
      <c r="E463" s="1" t="s">
        <v>337</v>
      </c>
      <c r="F463" s="1">
        <v>752778</v>
      </c>
      <c r="G463" s="1">
        <v>827778</v>
      </c>
      <c r="H463" s="1">
        <v>22757.200000000019</v>
      </c>
      <c r="I463" s="1">
        <v>52242.799999999988</v>
      </c>
      <c r="J463" s="1">
        <v>775535.20000000007</v>
      </c>
      <c r="K463" s="1">
        <v>93</v>
      </c>
      <c r="L463" s="1">
        <v>276.97442748091589</v>
      </c>
      <c r="M463" s="1">
        <v>213.49640553319369</v>
      </c>
      <c r="N463" s="7">
        <v>45947</v>
      </c>
      <c r="O463" s="1">
        <v>75000</v>
      </c>
      <c r="P463" s="7">
        <v>46160.496405532409</v>
      </c>
      <c r="Q463" s="1" t="s">
        <v>330</v>
      </c>
      <c r="T463" s="1" t="s">
        <v>557</v>
      </c>
      <c r="U463" s="1" t="s">
        <v>558</v>
      </c>
      <c r="V463" s="1">
        <v>11</v>
      </c>
      <c r="W463" s="3">
        <v>4855.21</v>
      </c>
      <c r="X463" s="3">
        <v>53407.31</v>
      </c>
      <c r="Y463" s="1" t="str">
        <f>VLOOKUP(A463,[1]Detalle!$D$2:$CR$484,93,FALSE)</f>
        <v>ADA_CH - Danone Arg. S.A. - Chascomus</v>
      </c>
    </row>
    <row r="464" spans="1:25" ht="14.25" customHeight="1" x14ac:dyDescent="0.3">
      <c r="A464" s="1" t="s">
        <v>12</v>
      </c>
      <c r="B464" s="1" t="s">
        <v>555</v>
      </c>
      <c r="C464" s="1" t="s">
        <v>555</v>
      </c>
      <c r="D464" s="1" t="s">
        <v>556</v>
      </c>
      <c r="E464" s="1" t="s">
        <v>337</v>
      </c>
      <c r="F464" s="1">
        <v>845528</v>
      </c>
      <c r="G464" s="1">
        <v>920528</v>
      </c>
      <c r="H464" s="1">
        <v>33411.699999999997</v>
      </c>
      <c r="I464" s="1">
        <v>41588.300000000003</v>
      </c>
      <c r="J464" s="1">
        <v>878939.7</v>
      </c>
      <c r="K464" s="1">
        <v>93</v>
      </c>
      <c r="L464" s="1">
        <v>323.35572519083951</v>
      </c>
      <c r="M464" s="1">
        <v>115.75920710409819</v>
      </c>
      <c r="N464" s="7">
        <v>45947</v>
      </c>
      <c r="O464" s="1">
        <v>75000</v>
      </c>
      <c r="P464" s="7">
        <v>46062.759207106479</v>
      </c>
      <c r="Q464" s="1" t="s">
        <v>330</v>
      </c>
      <c r="T464" s="1" t="s">
        <v>557</v>
      </c>
      <c r="U464" s="1" t="s">
        <v>558</v>
      </c>
      <c r="V464" s="1">
        <v>11</v>
      </c>
      <c r="W464" s="3">
        <v>4855.21</v>
      </c>
      <c r="X464" s="3">
        <v>53407.31</v>
      </c>
      <c r="Y464" s="1" t="str">
        <f>VLOOKUP(A464,[1]Detalle!$D$2:$CR$484,93,FALSE)</f>
        <v>ADA_CH - Danone Arg. S.A. - Chascomus</v>
      </c>
    </row>
    <row r="465" spans="1:25" ht="14.25" customHeight="1" x14ac:dyDescent="0.3">
      <c r="A465" s="1" t="s">
        <v>13</v>
      </c>
      <c r="B465" s="1" t="s">
        <v>555</v>
      </c>
      <c r="C465" s="1" t="s">
        <v>555</v>
      </c>
      <c r="D465" s="1" t="s">
        <v>556</v>
      </c>
      <c r="E465" s="6">
        <v>45477</v>
      </c>
      <c r="F465" s="1">
        <v>651112</v>
      </c>
      <c r="G465" s="1">
        <v>726112</v>
      </c>
      <c r="H465" s="1">
        <v>137939.38</v>
      </c>
      <c r="I465" s="1">
        <v>-62939.380000000026</v>
      </c>
      <c r="J465" s="1">
        <v>789051.38</v>
      </c>
      <c r="K465" s="1">
        <v>470</v>
      </c>
      <c r="L465" s="1">
        <v>303.34772058823529</v>
      </c>
      <c r="M465" s="1">
        <v>-214.45296187354191</v>
      </c>
      <c r="N465" s="7">
        <v>45947</v>
      </c>
      <c r="O465" s="1">
        <v>75000</v>
      </c>
      <c r="P465" s="7">
        <v>46023</v>
      </c>
      <c r="Q465" s="1" t="s">
        <v>330</v>
      </c>
      <c r="T465" s="1" t="s">
        <v>557</v>
      </c>
      <c r="U465" s="1" t="s">
        <v>558</v>
      </c>
      <c r="V465" s="1">
        <v>11</v>
      </c>
      <c r="W465" s="3">
        <v>4855.21</v>
      </c>
      <c r="X465" s="3">
        <v>53407.31</v>
      </c>
      <c r="Y465" s="1" t="str">
        <f>VLOOKUP(A465,[1]Detalle!$D$2:$CR$484,93,FALSE)</f>
        <v>ADA_CH - Danone Arg. S.A. - Chascomus</v>
      </c>
    </row>
    <row r="466" spans="1:25" ht="14.25" customHeight="1" x14ac:dyDescent="0.3">
      <c r="A466" s="1" t="s">
        <v>6</v>
      </c>
      <c r="B466" s="1" t="s">
        <v>555</v>
      </c>
      <c r="C466" s="1" t="s">
        <v>555</v>
      </c>
      <c r="D466" s="1" t="s">
        <v>556</v>
      </c>
      <c r="E466" s="1" t="s">
        <v>337</v>
      </c>
      <c r="F466" s="1">
        <v>726661</v>
      </c>
      <c r="G466" s="1">
        <v>801661</v>
      </c>
      <c r="H466" s="1">
        <v>25667.200000000001</v>
      </c>
      <c r="I466" s="1">
        <v>49332.800000000003</v>
      </c>
      <c r="J466" s="1">
        <v>752328.2</v>
      </c>
      <c r="K466" s="1">
        <v>93</v>
      </c>
      <c r="L466" s="1">
        <v>306.8559191176472</v>
      </c>
      <c r="M466" s="1">
        <v>178.74760004986911</v>
      </c>
      <c r="N466" s="7">
        <v>45947</v>
      </c>
      <c r="O466" s="1">
        <v>75000</v>
      </c>
      <c r="P466" s="7">
        <v>46125.747600046299</v>
      </c>
      <c r="Q466" s="1" t="s">
        <v>330</v>
      </c>
      <c r="T466" s="1" t="s">
        <v>557</v>
      </c>
      <c r="U466" s="1" t="s">
        <v>558</v>
      </c>
      <c r="V466" s="1">
        <v>11</v>
      </c>
      <c r="W466" s="3">
        <v>4855.21</v>
      </c>
      <c r="X466" s="3">
        <v>53407.31</v>
      </c>
      <c r="Y466" s="1" t="str">
        <f>VLOOKUP(A466,[1]Detalle!$D$2:$CR$484,93,FALSE)</f>
        <v>ADA_CH - Danone Arg. S.A. - Chascomus</v>
      </c>
    </row>
    <row r="467" spans="1:25" ht="14.25" customHeight="1" x14ac:dyDescent="0.3">
      <c r="A467" s="1" t="s">
        <v>7</v>
      </c>
      <c r="B467" s="1" t="s">
        <v>555</v>
      </c>
      <c r="C467" s="1" t="s">
        <v>555</v>
      </c>
      <c r="D467" s="1" t="s">
        <v>556</v>
      </c>
      <c r="E467" s="1" t="s">
        <v>337</v>
      </c>
      <c r="F467" s="1">
        <v>739044</v>
      </c>
      <c r="G467" s="1">
        <v>814044</v>
      </c>
      <c r="H467" s="1">
        <v>30463.299999999988</v>
      </c>
      <c r="I467" s="1">
        <v>44536.700000000012</v>
      </c>
      <c r="J467" s="1">
        <v>769507.3</v>
      </c>
      <c r="K467" s="1">
        <v>93</v>
      </c>
      <c r="L467" s="1">
        <v>282.61870229007633</v>
      </c>
      <c r="M467" s="1">
        <v>135.96403213046531</v>
      </c>
      <c r="N467" s="7">
        <v>45947</v>
      </c>
      <c r="O467" s="1">
        <v>75000</v>
      </c>
      <c r="P467" s="7">
        <v>46082.964032129632</v>
      </c>
      <c r="Q467" s="1" t="s">
        <v>330</v>
      </c>
      <c r="T467" s="1" t="s">
        <v>557</v>
      </c>
      <c r="U467" s="1" t="s">
        <v>558</v>
      </c>
      <c r="V467" s="1">
        <v>11</v>
      </c>
      <c r="W467" s="3">
        <v>4855.21</v>
      </c>
      <c r="X467" s="3">
        <v>53407.31</v>
      </c>
      <c r="Y467" s="1" t="str">
        <f>VLOOKUP(A467,[1]Detalle!$D$2:$CR$484,93,FALSE)</f>
        <v>ADA_CH - Danone Arg. S.A. - Chascomus</v>
      </c>
    </row>
    <row r="468" spans="1:25" ht="14.25" customHeight="1" x14ac:dyDescent="0.3">
      <c r="A468" s="1" t="s">
        <v>9</v>
      </c>
      <c r="B468" s="1" t="s">
        <v>555</v>
      </c>
      <c r="C468" s="1" t="s">
        <v>555</v>
      </c>
      <c r="D468" s="1" t="s">
        <v>556</v>
      </c>
      <c r="E468" s="1" t="s">
        <v>337</v>
      </c>
      <c r="F468" s="1">
        <v>837188</v>
      </c>
      <c r="G468" s="1">
        <v>912188</v>
      </c>
      <c r="H468" s="1">
        <v>32995.300000000003</v>
      </c>
      <c r="I468" s="1">
        <v>42004.7</v>
      </c>
      <c r="J468" s="1">
        <v>870183.3</v>
      </c>
      <c r="K468" s="1">
        <v>93</v>
      </c>
      <c r="L468" s="1">
        <v>352.51014814814829</v>
      </c>
      <c r="M468" s="1">
        <v>118.39374395747269</v>
      </c>
      <c r="N468" s="7">
        <v>45947</v>
      </c>
      <c r="O468" s="1">
        <v>75000</v>
      </c>
      <c r="P468" s="7">
        <v>46065.393743958331</v>
      </c>
      <c r="Q468" s="1" t="s">
        <v>330</v>
      </c>
      <c r="T468" s="1" t="s">
        <v>557</v>
      </c>
      <c r="U468" s="1" t="s">
        <v>558</v>
      </c>
      <c r="V468" s="1">
        <v>11</v>
      </c>
      <c r="W468" s="3">
        <v>4855.21</v>
      </c>
      <c r="X468" s="3">
        <v>53407.31</v>
      </c>
      <c r="Y468" s="1" t="str">
        <f>VLOOKUP(A468,[1]Detalle!$D$2:$CR$484,93,FALSE)</f>
        <v>ADA_CH - Danone Arg. S.A. - Chascomus</v>
      </c>
    </row>
    <row r="469" spans="1:25" ht="14.25" customHeight="1" x14ac:dyDescent="0.3">
      <c r="A469" s="1" t="s">
        <v>30</v>
      </c>
      <c r="B469" s="1" t="s">
        <v>555</v>
      </c>
      <c r="C469" s="1" t="s">
        <v>555</v>
      </c>
      <c r="D469" s="1" t="s">
        <v>556</v>
      </c>
      <c r="E469" s="1" t="s">
        <v>337</v>
      </c>
      <c r="F469" s="1">
        <v>426924</v>
      </c>
      <c r="G469" s="1">
        <v>501924</v>
      </c>
      <c r="H469" s="1">
        <v>23224.2</v>
      </c>
      <c r="I469" s="1">
        <v>51775.8</v>
      </c>
      <c r="J469" s="1">
        <v>450148.2</v>
      </c>
      <c r="K469" s="1">
        <v>93</v>
      </c>
      <c r="L469" s="1">
        <v>273.98136531365333</v>
      </c>
      <c r="M469" s="1">
        <v>207.3332730513861</v>
      </c>
      <c r="N469" s="7">
        <v>45947</v>
      </c>
      <c r="O469" s="1">
        <v>75000</v>
      </c>
      <c r="P469" s="7">
        <v>46154.333273055563</v>
      </c>
      <c r="Q469" s="1" t="s">
        <v>330</v>
      </c>
      <c r="T469" s="1" t="s">
        <v>557</v>
      </c>
      <c r="U469" s="1" t="s">
        <v>558</v>
      </c>
      <c r="V469" s="1">
        <v>11</v>
      </c>
      <c r="W469" s="3">
        <v>4855.21</v>
      </c>
      <c r="X469" s="3">
        <v>53407.31</v>
      </c>
      <c r="Y469" s="1" t="str">
        <f>VLOOKUP(A469,[1]Detalle!$D$2:$CR$484,93,FALSE)</f>
        <v>ADA_CH - Danone Arg. S.A. - Chascomus</v>
      </c>
    </row>
    <row r="470" spans="1:25" ht="14.25" customHeight="1" x14ac:dyDescent="0.3">
      <c r="A470" s="1" t="s">
        <v>33</v>
      </c>
      <c r="B470" s="1" t="s">
        <v>555</v>
      </c>
      <c r="C470" s="1" t="s">
        <v>555</v>
      </c>
      <c r="D470" s="1" t="s">
        <v>556</v>
      </c>
      <c r="E470" s="1" t="s">
        <v>337</v>
      </c>
      <c r="F470" s="1">
        <v>347194</v>
      </c>
      <c r="G470" s="1">
        <v>422194</v>
      </c>
      <c r="H470" s="1">
        <v>16839.2</v>
      </c>
      <c r="I470" s="1">
        <v>58160.800000000003</v>
      </c>
      <c r="J470" s="1">
        <v>364033.2</v>
      </c>
      <c r="K470" s="1">
        <v>93</v>
      </c>
      <c r="L470" s="1">
        <v>236.21863468634689</v>
      </c>
      <c r="M470" s="1">
        <v>321.21207658321072</v>
      </c>
      <c r="N470" s="7">
        <v>45947</v>
      </c>
      <c r="O470" s="1">
        <v>75000</v>
      </c>
      <c r="P470" s="7">
        <v>46268.212076585653</v>
      </c>
      <c r="Q470" s="1" t="s">
        <v>330</v>
      </c>
      <c r="T470" s="1" t="s">
        <v>557</v>
      </c>
      <c r="U470" s="1" t="s">
        <v>558</v>
      </c>
      <c r="V470" s="1">
        <v>11</v>
      </c>
      <c r="W470" s="3">
        <v>4855.21</v>
      </c>
      <c r="X470" s="3">
        <v>53407.31</v>
      </c>
      <c r="Y470" s="1" t="str">
        <f>VLOOKUP(A470,[1]Detalle!$D$2:$CR$484,93,FALSE)</f>
        <v>CENCOMLD - Cencosud SA - Mendoza</v>
      </c>
    </row>
    <row r="471" spans="1:25" ht="14.25" customHeight="1" x14ac:dyDescent="0.3">
      <c r="A471" s="1" t="s">
        <v>35</v>
      </c>
      <c r="B471" s="1" t="s">
        <v>555</v>
      </c>
      <c r="C471" s="1" t="s">
        <v>555</v>
      </c>
      <c r="D471" s="1" t="s">
        <v>556</v>
      </c>
      <c r="E471" s="1" t="s">
        <v>337</v>
      </c>
      <c r="F471" s="1">
        <v>376144</v>
      </c>
      <c r="G471" s="1">
        <v>451144</v>
      </c>
      <c r="H471" s="1">
        <v>28758.9</v>
      </c>
      <c r="I471" s="1">
        <v>46241.1</v>
      </c>
      <c r="J471" s="1">
        <v>404902.9</v>
      </c>
      <c r="K471" s="1">
        <v>93</v>
      </c>
      <c r="L471" s="1">
        <v>328.18794117647042</v>
      </c>
      <c r="M471" s="1">
        <v>149.53361568071099</v>
      </c>
      <c r="N471" s="7">
        <v>45947</v>
      </c>
      <c r="O471" s="1">
        <v>75000</v>
      </c>
      <c r="P471" s="7">
        <v>46096.533615682871</v>
      </c>
      <c r="Q471" s="1" t="s">
        <v>330</v>
      </c>
      <c r="T471" s="1" t="s">
        <v>557</v>
      </c>
      <c r="U471" s="1" t="s">
        <v>558</v>
      </c>
      <c r="V471" s="1">
        <v>11</v>
      </c>
      <c r="W471" s="3">
        <v>4855.21</v>
      </c>
      <c r="X471" s="3">
        <v>53407.31</v>
      </c>
      <c r="Y471" s="1" t="str">
        <f>VLOOKUP(A471,[1]Detalle!$D$2:$CR$484,93,FALSE)</f>
        <v>CENCOMLD - Cencosud SA - Mendoza</v>
      </c>
    </row>
    <row r="472" spans="1:25" ht="14.25" customHeight="1" x14ac:dyDescent="0.3">
      <c r="A472" s="1" t="s">
        <v>514</v>
      </c>
      <c r="B472" s="1" t="s">
        <v>555</v>
      </c>
      <c r="C472" s="1" t="s">
        <v>555</v>
      </c>
      <c r="D472" s="1" t="s">
        <v>556</v>
      </c>
      <c r="E472" s="6">
        <v>45495</v>
      </c>
      <c r="F472" s="1">
        <v>1556863</v>
      </c>
      <c r="G472" s="1">
        <v>1631863</v>
      </c>
      <c r="H472" s="1">
        <v>126406.89999999991</v>
      </c>
      <c r="I472" s="1">
        <v>-51406.899999999943</v>
      </c>
      <c r="J472" s="1">
        <v>1683269.9</v>
      </c>
      <c r="K472" s="1">
        <v>452</v>
      </c>
      <c r="L472" s="1">
        <v>298.17575757575747</v>
      </c>
      <c r="M472" s="1">
        <v>-183.8184371264542</v>
      </c>
      <c r="N472" s="7">
        <v>45947</v>
      </c>
      <c r="O472" s="1">
        <v>75000</v>
      </c>
      <c r="P472" s="7">
        <v>46023</v>
      </c>
      <c r="Q472" s="1" t="s">
        <v>330</v>
      </c>
      <c r="T472" s="1" t="s">
        <v>557</v>
      </c>
      <c r="U472" s="1" t="s">
        <v>558</v>
      </c>
      <c r="V472" s="1">
        <v>11</v>
      </c>
      <c r="W472" s="3">
        <v>4855.21</v>
      </c>
      <c r="X472" s="3">
        <v>53407.31</v>
      </c>
      <c r="Y472" s="1" t="str">
        <f>VLOOKUP(A472,[1]Detalle!$D$2:$CR$484,93,FALSE)</f>
        <v>Expreso - Servicios Troncales</v>
      </c>
    </row>
    <row r="473" spans="1:25" ht="14.25" customHeight="1" x14ac:dyDescent="0.3">
      <c r="A473" s="1" t="s">
        <v>510</v>
      </c>
      <c r="B473" s="1" t="s">
        <v>555</v>
      </c>
      <c r="C473" s="1" t="s">
        <v>555</v>
      </c>
      <c r="D473" s="1" t="s">
        <v>556</v>
      </c>
      <c r="E473" s="6">
        <v>45668</v>
      </c>
      <c r="F473" s="1">
        <v>1705995</v>
      </c>
      <c r="G473" s="1">
        <v>1780995</v>
      </c>
      <c r="H473" s="1">
        <v>663645.78600000031</v>
      </c>
      <c r="I473" s="1">
        <v>-588645.78600000031</v>
      </c>
      <c r="J473" s="1">
        <v>2369640.7859999998</v>
      </c>
      <c r="K473" s="1">
        <v>279</v>
      </c>
      <c r="L473" s="1">
        <v>2480.570318518518</v>
      </c>
      <c r="M473" s="1">
        <v>-247.46962575303689</v>
      </c>
      <c r="N473" s="7">
        <v>45947</v>
      </c>
      <c r="O473" s="1">
        <v>75000</v>
      </c>
      <c r="P473" s="7">
        <v>46023</v>
      </c>
      <c r="Q473" s="1" t="s">
        <v>330</v>
      </c>
      <c r="T473" s="1" t="s">
        <v>557</v>
      </c>
      <c r="U473" s="1" t="s">
        <v>558</v>
      </c>
      <c r="V473" s="1">
        <v>11</v>
      </c>
      <c r="W473" s="3">
        <v>4855.21</v>
      </c>
      <c r="X473" s="3">
        <v>53407.31</v>
      </c>
      <c r="Y473" s="1" t="str">
        <f>VLOOKUP(A473,[1]Detalle!$D$2:$CR$484,93,FALSE)</f>
        <v>Expreso - Servicios Troncales</v>
      </c>
    </row>
    <row r="474" spans="1:25" ht="14.25" customHeight="1" x14ac:dyDescent="0.3">
      <c r="A474" s="1" t="s">
        <v>511</v>
      </c>
      <c r="B474" s="1" t="s">
        <v>555</v>
      </c>
      <c r="C474" s="1" t="s">
        <v>555</v>
      </c>
      <c r="D474" s="1" t="s">
        <v>556</v>
      </c>
      <c r="E474" s="6">
        <v>45639</v>
      </c>
      <c r="F474" s="1">
        <v>1546350</v>
      </c>
      <c r="G474" s="1">
        <v>1621350</v>
      </c>
      <c r="H474" s="1">
        <v>118399.1100000001</v>
      </c>
      <c r="I474" s="1">
        <v>-43399.110000000088</v>
      </c>
      <c r="J474" s="1">
        <v>1664749.11</v>
      </c>
      <c r="K474" s="1">
        <v>308</v>
      </c>
      <c r="L474" s="1">
        <v>411.92981617647058</v>
      </c>
      <c r="M474" s="1">
        <v>-112.8971820818587</v>
      </c>
      <c r="N474" s="7">
        <v>45947</v>
      </c>
      <c r="O474" s="1">
        <v>75000</v>
      </c>
      <c r="P474" s="7">
        <v>46023</v>
      </c>
      <c r="Q474" s="1" t="s">
        <v>330</v>
      </c>
      <c r="T474" s="1" t="s">
        <v>557</v>
      </c>
      <c r="U474" s="1" t="s">
        <v>558</v>
      </c>
      <c r="V474" s="1">
        <v>11</v>
      </c>
      <c r="W474" s="3">
        <v>4855.21</v>
      </c>
      <c r="X474" s="3">
        <v>53407.31</v>
      </c>
      <c r="Y474" s="1" t="str">
        <f>VLOOKUP(A474,[1]Detalle!$D$2:$CR$484,93,FALSE)</f>
        <v>Expreso - Servicios Troncales</v>
      </c>
    </row>
    <row r="475" spans="1:25" ht="14.25" customHeight="1" x14ac:dyDescent="0.3">
      <c r="A475" s="1" t="s">
        <v>512</v>
      </c>
      <c r="B475" s="1" t="s">
        <v>555</v>
      </c>
      <c r="C475" s="1" t="s">
        <v>555</v>
      </c>
      <c r="D475" s="1" t="s">
        <v>556</v>
      </c>
      <c r="E475" s="1" t="s">
        <v>337</v>
      </c>
      <c r="F475" s="1">
        <v>1740401</v>
      </c>
      <c r="G475" s="1">
        <v>1815401</v>
      </c>
      <c r="H475" s="1">
        <v>23216.7</v>
      </c>
      <c r="I475" s="1">
        <v>51783.3</v>
      </c>
      <c r="J475" s="1">
        <v>1763617.7</v>
      </c>
      <c r="K475" s="1">
        <v>93</v>
      </c>
      <c r="L475" s="1">
        <v>4494.815091575093</v>
      </c>
      <c r="M475" s="1">
        <v>207.43029371099249</v>
      </c>
      <c r="N475" s="7">
        <v>45947</v>
      </c>
      <c r="O475" s="1">
        <v>75000</v>
      </c>
      <c r="P475" s="7">
        <v>46154.430293715282</v>
      </c>
      <c r="Q475" s="1" t="s">
        <v>330</v>
      </c>
      <c r="T475" s="1" t="s">
        <v>557</v>
      </c>
      <c r="U475" s="1" t="s">
        <v>558</v>
      </c>
      <c r="V475" s="1">
        <v>11</v>
      </c>
      <c r="W475" s="3">
        <v>4855.21</v>
      </c>
      <c r="X475" s="3">
        <v>53407.31</v>
      </c>
      <c r="Y475" s="1" t="str">
        <f>VLOOKUP(A475,[1]Detalle!$D$2:$CR$484,93,FALSE)</f>
        <v>Expreso - Servicios Troncales</v>
      </c>
    </row>
    <row r="476" spans="1:25" ht="14.25" customHeight="1" x14ac:dyDescent="0.3">
      <c r="A476" s="1" t="s">
        <v>513</v>
      </c>
      <c r="B476" s="1" t="s">
        <v>555</v>
      </c>
      <c r="C476" s="1" t="s">
        <v>555</v>
      </c>
      <c r="D476" s="1" t="s">
        <v>556</v>
      </c>
      <c r="E476" s="6">
        <v>45734</v>
      </c>
      <c r="F476" s="1">
        <v>1494661</v>
      </c>
      <c r="G476" s="1">
        <v>1569661</v>
      </c>
      <c r="H476" s="1">
        <v>71163.199999999997</v>
      </c>
      <c r="I476" s="1">
        <v>3836.8000000000029</v>
      </c>
      <c r="J476" s="1">
        <v>1565824.2</v>
      </c>
      <c r="K476" s="1">
        <v>213</v>
      </c>
      <c r="L476" s="1">
        <v>250</v>
      </c>
      <c r="M476" s="1">
        <v>11.484002967826081</v>
      </c>
      <c r="N476" s="7">
        <v>45947</v>
      </c>
      <c r="O476" s="1">
        <v>75000</v>
      </c>
      <c r="P476" s="7">
        <v>46322.899778032413</v>
      </c>
      <c r="Q476" s="1" t="s">
        <v>330</v>
      </c>
      <c r="R476" s="6">
        <v>46022.899778032413</v>
      </c>
      <c r="T476" s="1" t="s">
        <v>557</v>
      </c>
      <c r="U476" s="1" t="s">
        <v>558</v>
      </c>
      <c r="V476" s="1">
        <v>11</v>
      </c>
      <c r="W476" s="3">
        <v>4855.21</v>
      </c>
      <c r="X476" s="3">
        <v>53407.31</v>
      </c>
      <c r="Y476" s="1" t="str">
        <f>VLOOKUP(A476,[1]Detalle!$D$2:$CR$484,93,FALSE)</f>
        <v>Expreso - Servicios Troncales</v>
      </c>
    </row>
    <row r="477" spans="1:25" ht="14.25" customHeight="1" x14ac:dyDescent="0.3">
      <c r="A477" s="1" t="s">
        <v>270</v>
      </c>
      <c r="B477" s="1" t="s">
        <v>555</v>
      </c>
      <c r="C477" s="1" t="s">
        <v>555</v>
      </c>
      <c r="D477" s="1" t="s">
        <v>556</v>
      </c>
      <c r="E477" s="1" t="s">
        <v>337</v>
      </c>
      <c r="F477" s="1">
        <v>1715107</v>
      </c>
      <c r="G477" s="1">
        <v>1790107</v>
      </c>
      <c r="H477" s="1">
        <v>38111.200000000012</v>
      </c>
      <c r="I477" s="1">
        <v>36888.799999999988</v>
      </c>
      <c r="J477" s="1">
        <v>1753218.2</v>
      </c>
      <c r="K477" s="1">
        <v>93</v>
      </c>
      <c r="L477" s="1">
        <v>1736.2685719557189</v>
      </c>
      <c r="M477" s="1">
        <v>90.017065849409036</v>
      </c>
      <c r="N477" s="7">
        <v>45947</v>
      </c>
      <c r="O477" s="1">
        <v>75000</v>
      </c>
      <c r="P477" s="7">
        <v>46037.017065844913</v>
      </c>
      <c r="Q477" s="1" t="s">
        <v>330</v>
      </c>
      <c r="T477" s="1" t="s">
        <v>557</v>
      </c>
      <c r="U477" s="1" t="s">
        <v>558</v>
      </c>
      <c r="V477" s="1">
        <v>11</v>
      </c>
      <c r="W477" s="3">
        <v>4855.21</v>
      </c>
      <c r="X477" s="3">
        <v>53407.31</v>
      </c>
      <c r="Y477" s="1" t="str">
        <f>VLOOKUP(A477,[1]Detalle!$D$2:$CR$484,93,FALSE)</f>
        <v>Expreso - Servicios Troncales</v>
      </c>
    </row>
    <row r="478" spans="1:25" ht="14.25" customHeight="1" x14ac:dyDescent="0.3">
      <c r="A478" s="1" t="s">
        <v>17</v>
      </c>
      <c r="B478" s="1" t="s">
        <v>555</v>
      </c>
      <c r="C478" s="1" t="s">
        <v>555</v>
      </c>
      <c r="D478" s="1" t="s">
        <v>556</v>
      </c>
      <c r="E478" s="1" t="s">
        <v>337</v>
      </c>
      <c r="F478" s="1">
        <v>690382</v>
      </c>
      <c r="G478" s="1">
        <v>765382</v>
      </c>
      <c r="H478" s="1">
        <v>33880.100000000013</v>
      </c>
      <c r="I478" s="1">
        <v>41119.899999999987</v>
      </c>
      <c r="J478" s="1">
        <v>724262.1</v>
      </c>
      <c r="K478" s="1">
        <v>93</v>
      </c>
      <c r="L478" s="1">
        <v>382.02855555555578</v>
      </c>
      <c r="M478" s="1">
        <v>112.87306412909049</v>
      </c>
      <c r="N478" s="7">
        <v>45947</v>
      </c>
      <c r="O478" s="1">
        <v>75000</v>
      </c>
      <c r="P478" s="7">
        <v>46059.873064131942</v>
      </c>
      <c r="Q478" s="1" t="s">
        <v>330</v>
      </c>
      <c r="T478" s="1" t="s">
        <v>557</v>
      </c>
      <c r="U478" s="1" t="s">
        <v>558</v>
      </c>
      <c r="V478" s="1">
        <v>11</v>
      </c>
      <c r="W478" s="3">
        <v>4855.21</v>
      </c>
      <c r="X478" s="3">
        <v>53407.31</v>
      </c>
      <c r="Y478" s="1" t="str">
        <f>VLOOKUP(A478,[1]Detalle!$D$2:$CR$484,93,FALSE)</f>
        <v>Expreso - Servicios Troncales</v>
      </c>
    </row>
    <row r="479" spans="1:25" ht="14.25" customHeight="1" x14ac:dyDescent="0.3">
      <c r="A479" s="1" t="s">
        <v>18</v>
      </c>
      <c r="B479" s="1" t="s">
        <v>555</v>
      </c>
      <c r="C479" s="1" t="s">
        <v>555</v>
      </c>
      <c r="D479" s="1" t="s">
        <v>556</v>
      </c>
      <c r="E479" s="1" t="s">
        <v>337</v>
      </c>
      <c r="F479" s="1">
        <v>649466</v>
      </c>
      <c r="G479" s="1">
        <v>724466</v>
      </c>
      <c r="H479" s="1">
        <v>31704.400000000009</v>
      </c>
      <c r="I479" s="1">
        <v>43295.599999999991</v>
      </c>
      <c r="J479" s="1">
        <v>681170.4</v>
      </c>
      <c r="K479" s="1">
        <v>93</v>
      </c>
      <c r="L479" s="1">
        <v>381.04202205882348</v>
      </c>
      <c r="M479" s="1">
        <v>127.0010093236269</v>
      </c>
      <c r="N479" s="7">
        <v>45947</v>
      </c>
      <c r="O479" s="1">
        <v>75000</v>
      </c>
      <c r="P479" s="7">
        <v>46074.001009328713</v>
      </c>
      <c r="Q479" s="1" t="s">
        <v>330</v>
      </c>
      <c r="T479" s="1" t="s">
        <v>557</v>
      </c>
      <c r="U479" s="1" t="s">
        <v>558</v>
      </c>
      <c r="V479" s="1">
        <v>11</v>
      </c>
      <c r="W479" s="3">
        <v>4855.21</v>
      </c>
      <c r="X479" s="3">
        <v>53407.31</v>
      </c>
      <c r="Y479" s="1" t="str">
        <f>VLOOKUP(A479,[1]Detalle!$D$2:$CR$484,93,FALSE)</f>
        <v>Expreso - Servicios Troncales</v>
      </c>
    </row>
    <row r="480" spans="1:25" ht="14.25" customHeight="1" x14ac:dyDescent="0.3">
      <c r="A480" s="1" t="s">
        <v>176</v>
      </c>
      <c r="B480" s="1" t="s">
        <v>555</v>
      </c>
      <c r="C480" s="1" t="s">
        <v>555</v>
      </c>
      <c r="D480" s="1" t="s">
        <v>556</v>
      </c>
      <c r="E480" s="1" t="s">
        <v>337</v>
      </c>
      <c r="F480" s="1">
        <v>1927110</v>
      </c>
      <c r="G480" s="1">
        <v>2002110</v>
      </c>
      <c r="H480" s="1">
        <v>38366.300000000003</v>
      </c>
      <c r="I480" s="1">
        <v>36633.699999999997</v>
      </c>
      <c r="J480" s="1">
        <v>1965476.3</v>
      </c>
      <c r="K480" s="1">
        <v>93</v>
      </c>
      <c r="L480" s="1">
        <v>1849.550539936103</v>
      </c>
      <c r="M480" s="1">
        <v>88.800173589843155</v>
      </c>
      <c r="N480" s="7">
        <v>45947</v>
      </c>
      <c r="O480" s="1">
        <v>75000</v>
      </c>
      <c r="P480" s="7">
        <v>46035.800173587973</v>
      </c>
      <c r="Q480" s="1" t="s">
        <v>330</v>
      </c>
      <c r="T480" s="1" t="s">
        <v>557</v>
      </c>
      <c r="U480" s="1" t="s">
        <v>558</v>
      </c>
      <c r="V480" s="1">
        <v>11</v>
      </c>
      <c r="W480" s="3">
        <v>4855.21</v>
      </c>
      <c r="X480" s="3">
        <v>53407.31</v>
      </c>
      <c r="Y480" s="1" t="str">
        <f>VLOOKUP(A480,[1]Detalle!$D$2:$CR$484,93,FALSE)</f>
        <v>Expreso - Servicios Troncales</v>
      </c>
    </row>
    <row r="481" spans="1:25" ht="14.25" customHeight="1" x14ac:dyDescent="0.3">
      <c r="A481" s="1" t="s">
        <v>186</v>
      </c>
      <c r="B481" s="1" t="s">
        <v>555</v>
      </c>
      <c r="C481" s="1" t="s">
        <v>555</v>
      </c>
      <c r="D481" s="1" t="s">
        <v>556</v>
      </c>
      <c r="E481" s="1" t="s">
        <v>337</v>
      </c>
      <c r="F481" s="1">
        <v>462884</v>
      </c>
      <c r="G481" s="1">
        <v>537884</v>
      </c>
      <c r="H481" s="1">
        <v>34735.899999999987</v>
      </c>
      <c r="I481" s="1">
        <v>40264.100000000013</v>
      </c>
      <c r="J481" s="1">
        <v>497619.9</v>
      </c>
      <c r="K481" s="1">
        <v>93</v>
      </c>
      <c r="L481" s="1">
        <v>303.0774834437085</v>
      </c>
      <c r="M481" s="1">
        <v>107.8009005092714</v>
      </c>
      <c r="N481" s="7">
        <v>45947</v>
      </c>
      <c r="O481" s="1">
        <v>75000</v>
      </c>
      <c r="P481" s="7">
        <v>46054.800900509261</v>
      </c>
      <c r="Q481" s="1" t="s">
        <v>330</v>
      </c>
      <c r="T481" s="1" t="s">
        <v>557</v>
      </c>
      <c r="U481" s="1" t="s">
        <v>558</v>
      </c>
      <c r="V481" s="1">
        <v>11</v>
      </c>
      <c r="W481" s="3">
        <v>4855.21</v>
      </c>
      <c r="X481" s="3">
        <v>53407.31</v>
      </c>
      <c r="Y481" s="1" t="str">
        <f>VLOOKUP(A481,[1]Detalle!$D$2:$CR$484,93,FALSE)</f>
        <v>Expreso - Servicios Troncales</v>
      </c>
    </row>
    <row r="482" spans="1:25" ht="14.25" customHeight="1" x14ac:dyDescent="0.3">
      <c r="A482" s="1" t="s">
        <v>201</v>
      </c>
      <c r="B482" s="1" t="s">
        <v>555</v>
      </c>
      <c r="C482" s="1" t="s">
        <v>555</v>
      </c>
      <c r="D482" s="1" t="s">
        <v>556</v>
      </c>
      <c r="E482" s="1" t="s">
        <v>337</v>
      </c>
      <c r="F482" s="1">
        <v>1842119</v>
      </c>
      <c r="G482" s="1">
        <v>1917119</v>
      </c>
      <c r="H482" s="1">
        <v>30174.499999999989</v>
      </c>
      <c r="I482" s="1">
        <v>44825.500000000007</v>
      </c>
      <c r="J482" s="1">
        <v>1872293.5</v>
      </c>
      <c r="K482" s="1">
        <v>93</v>
      </c>
      <c r="L482" s="1">
        <v>155.41622516556279</v>
      </c>
      <c r="M482" s="1">
        <v>138.1554458234603</v>
      </c>
      <c r="N482" s="7">
        <v>45947</v>
      </c>
      <c r="O482" s="1">
        <v>75000</v>
      </c>
      <c r="P482" s="7">
        <v>46085.155445821758</v>
      </c>
      <c r="Q482" s="1" t="s">
        <v>330</v>
      </c>
      <c r="T482" s="1" t="s">
        <v>557</v>
      </c>
      <c r="U482" s="1" t="s">
        <v>558</v>
      </c>
      <c r="V482" s="1">
        <v>11</v>
      </c>
      <c r="W482" s="3">
        <v>4855.21</v>
      </c>
      <c r="X482" s="3">
        <v>53407.31</v>
      </c>
      <c r="Y482" s="1" t="str">
        <f>VLOOKUP(A482,[1]Detalle!$D$2:$CR$484,93,FALSE)</f>
        <v>SUC_CTC - Sucursal Buenos Aires</v>
      </c>
    </row>
    <row r="483" spans="1:25" ht="14.25" customHeight="1" x14ac:dyDescent="0.3">
      <c r="A483" s="1" t="s">
        <v>228</v>
      </c>
      <c r="B483" s="1" t="s">
        <v>555</v>
      </c>
      <c r="C483" s="1" t="s">
        <v>555</v>
      </c>
      <c r="D483" s="1" t="s">
        <v>556</v>
      </c>
      <c r="E483" s="6">
        <v>45617</v>
      </c>
      <c r="F483" s="1">
        <v>785237</v>
      </c>
      <c r="G483" s="1">
        <v>860237</v>
      </c>
      <c r="H483" s="1">
        <v>73436.070000000007</v>
      </c>
      <c r="I483" s="1">
        <v>1563.929999999993</v>
      </c>
      <c r="J483" s="1">
        <v>858673.07000000007</v>
      </c>
      <c r="K483" s="1">
        <v>330</v>
      </c>
      <c r="L483" s="1">
        <v>232.68261029411761</v>
      </c>
      <c r="M483" s="1">
        <v>7.0278393165647026</v>
      </c>
      <c r="N483" s="7">
        <v>45947</v>
      </c>
      <c r="O483" s="1">
        <v>75000</v>
      </c>
      <c r="P483" s="7">
        <v>46276.355321828712</v>
      </c>
      <c r="Q483" s="1" t="s">
        <v>330</v>
      </c>
      <c r="T483" s="1" t="s">
        <v>557</v>
      </c>
      <c r="U483" s="1" t="s">
        <v>558</v>
      </c>
      <c r="V483" s="1">
        <v>11</v>
      </c>
      <c r="W483" s="3">
        <v>4855.21</v>
      </c>
      <c r="X483" s="3">
        <v>53407.31</v>
      </c>
      <c r="Y483" s="1" t="str">
        <f>VLOOKUP(A483,[1]Detalle!$D$2:$CR$484,93,FALSE)</f>
        <v>Expreso - Servicios Troncales</v>
      </c>
    </row>
    <row r="484" spans="1:25" ht="14.25" customHeight="1" x14ac:dyDescent="0.3">
      <c r="A484" s="1" t="s">
        <v>229</v>
      </c>
      <c r="B484" s="1" t="s">
        <v>555</v>
      </c>
      <c r="C484" s="1" t="s">
        <v>555</v>
      </c>
      <c r="D484" s="1" t="s">
        <v>556</v>
      </c>
      <c r="E484" s="1" t="s">
        <v>337</v>
      </c>
      <c r="F484" s="1">
        <v>1778309</v>
      </c>
      <c r="G484" s="1">
        <v>1853309</v>
      </c>
      <c r="H484" s="1">
        <v>27121.999999999989</v>
      </c>
      <c r="I484" s="1">
        <v>47878.000000000007</v>
      </c>
      <c r="J484" s="1">
        <v>1805431</v>
      </c>
      <c r="K484" s="1">
        <v>93</v>
      </c>
      <c r="L484" s="1">
        <v>259.71717557251912</v>
      </c>
      <c r="M484" s="1">
        <v>164.17130005161869</v>
      </c>
      <c r="N484" s="7">
        <v>45947</v>
      </c>
      <c r="O484" s="1">
        <v>75000</v>
      </c>
      <c r="P484" s="7">
        <v>46111.171300046299</v>
      </c>
      <c r="Q484" s="1" t="s">
        <v>330</v>
      </c>
      <c r="T484" s="1" t="s">
        <v>557</v>
      </c>
      <c r="U484" s="1" t="s">
        <v>558</v>
      </c>
      <c r="V484" s="1">
        <v>11</v>
      </c>
      <c r="W484" s="3">
        <v>4855.21</v>
      </c>
      <c r="X484" s="3">
        <v>53407.31</v>
      </c>
      <c r="Y484" s="1" t="str">
        <f>VLOOKUP(A484,[1]Detalle!$D$2:$CR$484,93,FALSE)</f>
        <v>Expreso - Servicios Troncales</v>
      </c>
    </row>
    <row r="485" spans="1:25" ht="14.25" customHeight="1" x14ac:dyDescent="0.3">
      <c r="A485" s="1" t="s">
        <v>230</v>
      </c>
      <c r="B485" s="1" t="s">
        <v>555</v>
      </c>
      <c r="C485" s="1" t="s">
        <v>555</v>
      </c>
      <c r="D485" s="1" t="s">
        <v>556</v>
      </c>
      <c r="E485" s="1" t="s">
        <v>337</v>
      </c>
      <c r="F485" s="1">
        <v>1787246</v>
      </c>
      <c r="G485" s="1">
        <v>1862246</v>
      </c>
      <c r="H485" s="1">
        <v>27616.2</v>
      </c>
      <c r="I485" s="1">
        <v>47383.8</v>
      </c>
      <c r="J485" s="1">
        <v>1814862.2</v>
      </c>
      <c r="K485" s="1">
        <v>93</v>
      </c>
      <c r="L485" s="1">
        <v>289.98935849056602</v>
      </c>
      <c r="M485" s="1">
        <v>159.56914419797079</v>
      </c>
      <c r="N485" s="7">
        <v>45947</v>
      </c>
      <c r="O485" s="1">
        <v>75000</v>
      </c>
      <c r="P485" s="7">
        <v>46106.569144201392</v>
      </c>
      <c r="Q485" s="1" t="s">
        <v>330</v>
      </c>
      <c r="T485" s="1" t="s">
        <v>557</v>
      </c>
      <c r="U485" s="1" t="s">
        <v>558</v>
      </c>
      <c r="V485" s="1">
        <v>11</v>
      </c>
      <c r="W485" s="3">
        <v>4855.21</v>
      </c>
      <c r="X485" s="3">
        <v>53407.31</v>
      </c>
      <c r="Y485" s="1" t="str">
        <f>VLOOKUP(A485,[1]Detalle!$D$2:$CR$484,93,FALSE)</f>
        <v>Expreso - Servicios Troncales</v>
      </c>
    </row>
    <row r="486" spans="1:25" ht="14.25" customHeight="1" x14ac:dyDescent="0.3">
      <c r="A486" s="1" t="s">
        <v>231</v>
      </c>
      <c r="B486" s="1" t="s">
        <v>555</v>
      </c>
      <c r="C486" s="1" t="s">
        <v>555</v>
      </c>
      <c r="D486" s="1" t="s">
        <v>556</v>
      </c>
      <c r="E486" s="6">
        <v>45653</v>
      </c>
      <c r="F486" s="1">
        <v>1780410</v>
      </c>
      <c r="G486" s="1">
        <v>1855410</v>
      </c>
      <c r="H486" s="1">
        <v>90455.62</v>
      </c>
      <c r="I486" s="1">
        <v>-15455.62</v>
      </c>
      <c r="J486" s="1">
        <v>1870865.62</v>
      </c>
      <c r="K486" s="1">
        <v>294</v>
      </c>
      <c r="L486" s="1">
        <v>332.5574264705881</v>
      </c>
      <c r="M486" s="1">
        <v>-50.234051571367253</v>
      </c>
      <c r="N486" s="7">
        <v>45947</v>
      </c>
      <c r="O486" s="1">
        <v>75000</v>
      </c>
      <c r="P486" s="7">
        <v>46172.524959085647</v>
      </c>
      <c r="Q486" s="1" t="s">
        <v>330</v>
      </c>
      <c r="T486" s="1" t="s">
        <v>557</v>
      </c>
      <c r="U486" s="1" t="s">
        <v>558</v>
      </c>
      <c r="V486" s="1">
        <v>11</v>
      </c>
      <c r="W486" s="3">
        <v>4855.21</v>
      </c>
      <c r="X486" s="3">
        <v>53407.31</v>
      </c>
      <c r="Y486" s="1" t="str">
        <f>VLOOKUP(A486,[1]Detalle!$D$2:$CR$484,93,FALSE)</f>
        <v>Expreso - Servicios Troncales</v>
      </c>
    </row>
    <row r="487" spans="1:25" ht="14.25" customHeight="1" x14ac:dyDescent="0.3">
      <c r="A487" s="1" t="s">
        <v>232</v>
      </c>
      <c r="B487" s="1" t="s">
        <v>555</v>
      </c>
      <c r="C487" s="1" t="s">
        <v>555</v>
      </c>
      <c r="D487" s="1" t="s">
        <v>556</v>
      </c>
      <c r="E487" s="1" t="s">
        <v>337</v>
      </c>
      <c r="F487" s="1">
        <v>1933394</v>
      </c>
      <c r="G487" s="1">
        <v>2008394</v>
      </c>
      <c r="H487" s="1">
        <v>31533.599999999999</v>
      </c>
      <c r="I487" s="1">
        <v>43466.399999999987</v>
      </c>
      <c r="J487" s="1">
        <v>1964927.6</v>
      </c>
      <c r="K487" s="1">
        <v>93</v>
      </c>
      <c r="L487" s="1">
        <v>2668.176102941175</v>
      </c>
      <c r="M487" s="1">
        <v>128.19263262044291</v>
      </c>
      <c r="N487" s="7">
        <v>45947</v>
      </c>
      <c r="O487" s="1">
        <v>75000</v>
      </c>
      <c r="P487" s="7">
        <v>46075.192632615741</v>
      </c>
      <c r="Q487" s="1" t="s">
        <v>330</v>
      </c>
      <c r="T487" s="1" t="s">
        <v>557</v>
      </c>
      <c r="U487" s="1" t="s">
        <v>558</v>
      </c>
      <c r="V487" s="1">
        <v>11</v>
      </c>
      <c r="W487" s="3">
        <v>4855.21</v>
      </c>
      <c r="X487" s="3">
        <v>53407.31</v>
      </c>
      <c r="Y487" s="1" t="str">
        <f>VLOOKUP(A487,[1]Detalle!$D$2:$CR$484,93,FALSE)</f>
        <v>Expreso - Servicios Troncales</v>
      </c>
    </row>
    <row r="488" spans="1:25" ht="14.25" customHeight="1" x14ac:dyDescent="0.3">
      <c r="A488" s="1" t="s">
        <v>233</v>
      </c>
      <c r="B488" s="1" t="s">
        <v>555</v>
      </c>
      <c r="C488" s="1" t="s">
        <v>555</v>
      </c>
      <c r="D488" s="1" t="s">
        <v>556</v>
      </c>
      <c r="E488" s="1" t="s">
        <v>337</v>
      </c>
      <c r="F488" s="1">
        <v>1936091</v>
      </c>
      <c r="G488" s="1">
        <v>2011091</v>
      </c>
      <c r="H488" s="1">
        <v>33750.9</v>
      </c>
      <c r="I488" s="1">
        <v>41249.1</v>
      </c>
      <c r="J488" s="1">
        <v>1969841.9</v>
      </c>
      <c r="K488" s="1">
        <v>93</v>
      </c>
      <c r="L488" s="1">
        <v>1720.767376383764</v>
      </c>
      <c r="M488" s="1">
        <v>113.66115570251461</v>
      </c>
      <c r="N488" s="7">
        <v>45947</v>
      </c>
      <c r="O488" s="1">
        <v>75000</v>
      </c>
      <c r="P488" s="7">
        <v>46060.661155706017</v>
      </c>
      <c r="Q488" s="1" t="s">
        <v>330</v>
      </c>
      <c r="T488" s="1" t="s">
        <v>557</v>
      </c>
      <c r="U488" s="1" t="s">
        <v>558</v>
      </c>
      <c r="V488" s="1">
        <v>11</v>
      </c>
      <c r="W488" s="3">
        <v>4855.21</v>
      </c>
      <c r="X488" s="3">
        <v>53407.31</v>
      </c>
      <c r="Y488" s="1" t="str">
        <f>VLOOKUP(A488,[1]Detalle!$D$2:$CR$484,93,FALSE)</f>
        <v>Expreso - Servicios Troncales</v>
      </c>
    </row>
    <row r="489" spans="1:25" ht="14.25" customHeight="1" x14ac:dyDescent="0.3">
      <c r="A489" s="1" t="s">
        <v>234</v>
      </c>
      <c r="B489" s="1" t="s">
        <v>555</v>
      </c>
      <c r="C489" s="1" t="s">
        <v>555</v>
      </c>
      <c r="D489" s="1" t="s">
        <v>556</v>
      </c>
      <c r="E489" s="1" t="s">
        <v>337</v>
      </c>
      <c r="F489" s="1">
        <v>1922871</v>
      </c>
      <c r="G489" s="1">
        <v>1997871</v>
      </c>
      <c r="H489" s="1">
        <v>38533.900000000009</v>
      </c>
      <c r="I489" s="1">
        <v>36466.099999999991</v>
      </c>
      <c r="J489" s="1">
        <v>1961404.9</v>
      </c>
      <c r="K489" s="1">
        <v>93</v>
      </c>
      <c r="L489" s="1">
        <v>2691.3734963503648</v>
      </c>
      <c r="M489" s="1">
        <v>88.009448822984396</v>
      </c>
      <c r="N489" s="7">
        <v>45947</v>
      </c>
      <c r="O489" s="1">
        <v>75000</v>
      </c>
      <c r="P489" s="7">
        <v>46035.009448819437</v>
      </c>
      <c r="Q489" s="1" t="s">
        <v>330</v>
      </c>
      <c r="T489" s="1" t="s">
        <v>557</v>
      </c>
      <c r="U489" s="1" t="s">
        <v>558</v>
      </c>
      <c r="V489" s="1">
        <v>11</v>
      </c>
      <c r="W489" s="3">
        <v>4855.21</v>
      </c>
      <c r="X489" s="3">
        <v>53407.31</v>
      </c>
      <c r="Y489" s="1" t="str">
        <f>VLOOKUP(A489,[1]Detalle!$D$2:$CR$484,93,FALSE)</f>
        <v>Expreso - Servicios Troncales</v>
      </c>
    </row>
    <row r="490" spans="1:25" ht="14.25" customHeight="1" x14ac:dyDescent="0.3">
      <c r="A490" s="1" t="s">
        <v>70</v>
      </c>
      <c r="B490" s="1" t="s">
        <v>555</v>
      </c>
      <c r="C490" s="1" t="s">
        <v>555</v>
      </c>
      <c r="D490" s="1" t="s">
        <v>556</v>
      </c>
      <c r="E490" s="1" t="s">
        <v>337</v>
      </c>
      <c r="F490" s="1">
        <v>331634</v>
      </c>
      <c r="G490" s="1">
        <v>406634</v>
      </c>
      <c r="H490" s="1">
        <v>24149.499999999989</v>
      </c>
      <c r="I490" s="1">
        <v>50850.500000000007</v>
      </c>
      <c r="J490" s="1">
        <v>355783.5</v>
      </c>
      <c r="K490" s="1">
        <v>93</v>
      </c>
      <c r="L490" s="1">
        <v>252.63896296296281</v>
      </c>
      <c r="M490" s="1">
        <v>195.8258556077767</v>
      </c>
      <c r="N490" s="7">
        <v>45947</v>
      </c>
      <c r="O490" s="1">
        <v>75000</v>
      </c>
      <c r="P490" s="7">
        <v>46142.825855613417</v>
      </c>
      <c r="Q490" s="1" t="s">
        <v>330</v>
      </c>
      <c r="T490" s="1" t="s">
        <v>557</v>
      </c>
      <c r="U490" s="1" t="s">
        <v>558</v>
      </c>
      <c r="V490" s="1">
        <v>11</v>
      </c>
      <c r="W490" s="3">
        <v>4855.21</v>
      </c>
      <c r="X490" s="3">
        <v>53407.31</v>
      </c>
      <c r="Y490" s="1" t="str">
        <f>VLOOKUP(A490,[1]Detalle!$D$2:$CR$484,93,FALSE)</f>
        <v>ADA_CH - Danone Arg. S.A. - Chascomus</v>
      </c>
    </row>
    <row r="491" spans="1:25" ht="14.25" customHeight="1" x14ac:dyDescent="0.3">
      <c r="A491" s="1" t="s">
        <v>95</v>
      </c>
      <c r="B491" s="1" t="s">
        <v>555</v>
      </c>
      <c r="C491" s="1" t="s">
        <v>555</v>
      </c>
      <c r="D491" s="1" t="s">
        <v>556</v>
      </c>
      <c r="E491" s="1" t="s">
        <v>337</v>
      </c>
      <c r="F491" s="1">
        <v>147133</v>
      </c>
      <c r="G491" s="1">
        <v>222133</v>
      </c>
      <c r="H491" s="1">
        <v>22878.6</v>
      </c>
      <c r="I491" s="1">
        <v>52121.399999999987</v>
      </c>
      <c r="J491" s="1">
        <v>170011.6</v>
      </c>
      <c r="K491" s="1">
        <v>93</v>
      </c>
      <c r="L491" s="1">
        <v>266.23473282442751</v>
      </c>
      <c r="M491" s="1">
        <v>211.87005323752319</v>
      </c>
      <c r="N491" s="7">
        <v>45947</v>
      </c>
      <c r="O491" s="1">
        <v>75000</v>
      </c>
      <c r="P491" s="7">
        <v>46158.870053240738</v>
      </c>
      <c r="Q491" s="1" t="s">
        <v>330</v>
      </c>
      <c r="T491" s="1" t="s">
        <v>557</v>
      </c>
      <c r="U491" s="1" t="s">
        <v>558</v>
      </c>
      <c r="V491" s="1">
        <v>11</v>
      </c>
      <c r="W491" s="3">
        <v>4855.21</v>
      </c>
      <c r="X491" s="3">
        <v>53407.31</v>
      </c>
      <c r="Y491" s="1" t="str">
        <f>VLOOKUP(A491,[1]Detalle!$D$2:$CR$484,93,FALSE)</f>
        <v>CENCOMLD - Cencosud SA - Mendoza</v>
      </c>
    </row>
    <row r="492" spans="1:25" ht="14.25" customHeight="1" x14ac:dyDescent="0.3">
      <c r="A492" s="1" t="s">
        <v>96</v>
      </c>
      <c r="B492" s="1" t="s">
        <v>555</v>
      </c>
      <c r="C492" s="1" t="s">
        <v>555</v>
      </c>
      <c r="D492" s="1" t="s">
        <v>556</v>
      </c>
      <c r="E492" s="1" t="s">
        <v>337</v>
      </c>
      <c r="F492" s="1">
        <v>148859</v>
      </c>
      <c r="G492" s="1">
        <v>223859</v>
      </c>
      <c r="H492" s="1">
        <v>28345.900000000009</v>
      </c>
      <c r="I492" s="1">
        <v>46654.099999999991</v>
      </c>
      <c r="J492" s="1">
        <v>177204.9</v>
      </c>
      <c r="K492" s="1">
        <v>93</v>
      </c>
      <c r="L492" s="1">
        <v>281.98244274809178</v>
      </c>
      <c r="M492" s="1">
        <v>153.0673324890019</v>
      </c>
      <c r="N492" s="7">
        <v>45947</v>
      </c>
      <c r="O492" s="1">
        <v>75000</v>
      </c>
      <c r="P492" s="7">
        <v>46100.067332488426</v>
      </c>
      <c r="Q492" s="1" t="s">
        <v>330</v>
      </c>
      <c r="T492" s="1" t="s">
        <v>557</v>
      </c>
      <c r="U492" s="1" t="s">
        <v>558</v>
      </c>
      <c r="V492" s="1">
        <v>11</v>
      </c>
      <c r="W492" s="3">
        <v>4855.21</v>
      </c>
      <c r="X492" s="3">
        <v>53407.31</v>
      </c>
      <c r="Y492" s="1" t="str">
        <f>VLOOKUP(A492,[1]Detalle!$D$2:$CR$484,93,FALSE)</f>
        <v>CENCOMLD - Cencosud SA - Mendoza</v>
      </c>
    </row>
    <row r="493" spans="1:25" ht="14.25" customHeight="1" x14ac:dyDescent="0.3">
      <c r="A493" s="1" t="s">
        <v>97</v>
      </c>
      <c r="B493" s="1" t="s">
        <v>555</v>
      </c>
      <c r="C493" s="1" t="s">
        <v>555</v>
      </c>
      <c r="D493" s="1" t="s">
        <v>556</v>
      </c>
      <c r="E493" s="1" t="s">
        <v>337</v>
      </c>
      <c r="F493" s="1">
        <v>190237</v>
      </c>
      <c r="G493" s="1">
        <v>265237</v>
      </c>
      <c r="H493" s="1">
        <v>24028.9</v>
      </c>
      <c r="I493" s="1">
        <v>50971.100000000013</v>
      </c>
      <c r="J493" s="1">
        <v>214265.9</v>
      </c>
      <c r="K493" s="1">
        <v>93</v>
      </c>
      <c r="L493" s="1">
        <v>310.79992700729929</v>
      </c>
      <c r="M493" s="1">
        <v>197.2754599669565</v>
      </c>
      <c r="N493" s="7">
        <v>45947</v>
      </c>
      <c r="O493" s="1">
        <v>75000</v>
      </c>
      <c r="P493" s="7">
        <v>46144.275459965284</v>
      </c>
      <c r="Q493" s="1" t="s">
        <v>330</v>
      </c>
      <c r="T493" s="1" t="s">
        <v>557</v>
      </c>
      <c r="U493" s="1" t="s">
        <v>558</v>
      </c>
      <c r="V493" s="1">
        <v>11</v>
      </c>
      <c r="W493" s="3">
        <v>4855.21</v>
      </c>
      <c r="X493" s="3">
        <v>53407.31</v>
      </c>
      <c r="Y493" s="1" t="str">
        <f>VLOOKUP(A493,[1]Detalle!$D$2:$CR$484,93,FALSE)</f>
        <v>Expreso - Servicios Troncales</v>
      </c>
    </row>
    <row r="494" spans="1:25" ht="14.25" customHeight="1" x14ac:dyDescent="0.3">
      <c r="A494" s="1" t="s">
        <v>19</v>
      </c>
      <c r="B494" s="1" t="s">
        <v>559</v>
      </c>
      <c r="C494" s="1" t="s">
        <v>559</v>
      </c>
      <c r="D494" s="1" t="s">
        <v>560</v>
      </c>
      <c r="E494" s="1" t="s">
        <v>337</v>
      </c>
      <c r="F494" s="1">
        <v>497452</v>
      </c>
      <c r="G494" s="1">
        <v>572452</v>
      </c>
      <c r="H494" s="1">
        <v>28992.2</v>
      </c>
      <c r="I494" s="1">
        <v>46007.8</v>
      </c>
      <c r="J494" s="1">
        <v>526444.19999999995</v>
      </c>
      <c r="K494" s="1">
        <v>93</v>
      </c>
      <c r="L494" s="1">
        <v>844.57346863468638</v>
      </c>
      <c r="M494" s="1">
        <v>147.58194962783099</v>
      </c>
      <c r="N494" s="7">
        <v>45947</v>
      </c>
      <c r="O494" s="1">
        <v>75000</v>
      </c>
      <c r="P494" s="7">
        <v>46094.581949629632</v>
      </c>
      <c r="Q494" s="1" t="s">
        <v>330</v>
      </c>
      <c r="T494" s="1" t="s">
        <v>561</v>
      </c>
      <c r="U494" s="1" t="s">
        <v>562</v>
      </c>
      <c r="V494" s="1">
        <v>13</v>
      </c>
      <c r="W494" s="3">
        <v>4855.21</v>
      </c>
      <c r="X494" s="3">
        <v>63117.73</v>
      </c>
      <c r="Y494" s="1" t="str">
        <f>VLOOKUP(A494,[1]Detalle!$D$2:$CR$484,93,FALSE)</f>
        <v>CENCOMLD - Cencosud SA - Mendoza</v>
      </c>
    </row>
    <row r="495" spans="1:25" ht="14.25" customHeight="1" x14ac:dyDescent="0.3">
      <c r="A495" s="1" t="s">
        <v>5</v>
      </c>
      <c r="B495" s="1" t="s">
        <v>559</v>
      </c>
      <c r="C495" s="1" t="s">
        <v>559</v>
      </c>
      <c r="D495" s="1" t="s">
        <v>560</v>
      </c>
      <c r="E495" s="1" t="s">
        <v>337</v>
      </c>
      <c r="F495" s="1">
        <v>690966</v>
      </c>
      <c r="G495" s="1">
        <v>765966</v>
      </c>
      <c r="H495" s="1">
        <v>25694.5</v>
      </c>
      <c r="I495" s="1">
        <v>49305.5</v>
      </c>
      <c r="J495" s="1">
        <v>716660.5</v>
      </c>
      <c r="K495" s="1">
        <v>93</v>
      </c>
      <c r="L495" s="1">
        <v>276.33435114503811</v>
      </c>
      <c r="M495" s="1">
        <v>178.45887252135671</v>
      </c>
      <c r="N495" s="7">
        <v>45947</v>
      </c>
      <c r="O495" s="1">
        <v>75000</v>
      </c>
      <c r="P495" s="7">
        <v>46125.458872523152</v>
      </c>
      <c r="Q495" s="1" t="s">
        <v>330</v>
      </c>
      <c r="T495" s="1" t="s">
        <v>561</v>
      </c>
      <c r="U495" s="1" t="s">
        <v>562</v>
      </c>
      <c r="V495" s="1">
        <v>13</v>
      </c>
      <c r="W495" s="3">
        <v>4855.21</v>
      </c>
      <c r="X495" s="3">
        <v>63117.73</v>
      </c>
      <c r="Y495" s="1" t="str">
        <f>VLOOKUP(A495,[1]Detalle!$D$2:$CR$484,93,FALSE)</f>
        <v>ADA_CH - Danone Arg. S.A. - Chascomus</v>
      </c>
    </row>
    <row r="496" spans="1:25" ht="14.25" customHeight="1" x14ac:dyDescent="0.3">
      <c r="A496" s="1" t="s">
        <v>8</v>
      </c>
      <c r="B496" s="1" t="s">
        <v>559</v>
      </c>
      <c r="C496" s="1" t="s">
        <v>559</v>
      </c>
      <c r="D496" s="1" t="s">
        <v>560</v>
      </c>
      <c r="E496" s="1" t="s">
        <v>337</v>
      </c>
      <c r="F496" s="1">
        <v>722255</v>
      </c>
      <c r="G496" s="1">
        <v>797255</v>
      </c>
      <c r="H496" s="1">
        <v>28085.099999999991</v>
      </c>
      <c r="I496" s="1">
        <v>46914.900000000009</v>
      </c>
      <c r="J496" s="1">
        <v>750340.1</v>
      </c>
      <c r="K496" s="1">
        <v>93</v>
      </c>
      <c r="L496" s="1">
        <v>286.50848708487092</v>
      </c>
      <c r="M496" s="1">
        <v>155.35232917098401</v>
      </c>
      <c r="N496" s="7">
        <v>45947</v>
      </c>
      <c r="O496" s="1">
        <v>75000</v>
      </c>
      <c r="P496" s="7">
        <v>46102.352329166657</v>
      </c>
      <c r="Q496" s="1" t="s">
        <v>330</v>
      </c>
      <c r="T496" s="1" t="s">
        <v>561</v>
      </c>
      <c r="U496" s="1" t="s">
        <v>562</v>
      </c>
      <c r="V496" s="1">
        <v>13</v>
      </c>
      <c r="W496" s="3">
        <v>4855.21</v>
      </c>
      <c r="X496" s="3">
        <v>63117.73</v>
      </c>
      <c r="Y496" s="1" t="str">
        <f>VLOOKUP(A496,[1]Detalle!$D$2:$CR$484,93,FALSE)</f>
        <v>ADA_CH - Danone Arg. S.A. - Chascomus</v>
      </c>
    </row>
    <row r="497" spans="1:25" ht="14.25" customHeight="1" x14ac:dyDescent="0.3">
      <c r="A497" s="1" t="s">
        <v>11</v>
      </c>
      <c r="B497" s="1" t="s">
        <v>559</v>
      </c>
      <c r="C497" s="1" t="s">
        <v>559</v>
      </c>
      <c r="D497" s="1" t="s">
        <v>560</v>
      </c>
      <c r="E497" s="1" t="s">
        <v>337</v>
      </c>
      <c r="F497" s="1">
        <v>765628</v>
      </c>
      <c r="G497" s="1">
        <v>840628</v>
      </c>
      <c r="H497" s="1">
        <v>28548.900000000009</v>
      </c>
      <c r="I497" s="1">
        <v>46451.099999999991</v>
      </c>
      <c r="J497" s="1">
        <v>794176.9</v>
      </c>
      <c r="K497" s="1">
        <v>93</v>
      </c>
      <c r="L497" s="1">
        <v>323.09338235294098</v>
      </c>
      <c r="M497" s="1">
        <v>151.31764446265871</v>
      </c>
      <c r="N497" s="7">
        <v>45947</v>
      </c>
      <c r="O497" s="1">
        <v>75000</v>
      </c>
      <c r="P497" s="7">
        <v>46098.317644467592</v>
      </c>
      <c r="Q497" s="1" t="s">
        <v>330</v>
      </c>
      <c r="T497" s="1" t="s">
        <v>561</v>
      </c>
      <c r="U497" s="1" t="s">
        <v>562</v>
      </c>
      <c r="V497" s="1">
        <v>13</v>
      </c>
      <c r="W497" s="3">
        <v>4855.21</v>
      </c>
      <c r="X497" s="3">
        <v>63117.73</v>
      </c>
      <c r="Y497" s="1" t="str">
        <f>VLOOKUP(A497,[1]Detalle!$D$2:$CR$484,93,FALSE)</f>
        <v>ADA_CH - Danone Arg. S.A. - Chascomus</v>
      </c>
    </row>
    <row r="498" spans="1:25" ht="14.25" customHeight="1" x14ac:dyDescent="0.3">
      <c r="A498" s="1" t="s">
        <v>10</v>
      </c>
      <c r="B498" s="1" t="s">
        <v>559</v>
      </c>
      <c r="C498" s="1" t="s">
        <v>559</v>
      </c>
      <c r="D498" s="1" t="s">
        <v>560</v>
      </c>
      <c r="E498" s="1" t="s">
        <v>337</v>
      </c>
      <c r="F498" s="1">
        <v>691593</v>
      </c>
      <c r="G498" s="1">
        <v>766593</v>
      </c>
      <c r="H498" s="1">
        <v>21650.30000000001</v>
      </c>
      <c r="I498" s="1">
        <v>53349.7</v>
      </c>
      <c r="J498" s="1">
        <v>713243.3</v>
      </c>
      <c r="K498" s="1">
        <v>93</v>
      </c>
      <c r="L498" s="1">
        <v>266.81618518518519</v>
      </c>
      <c r="M498" s="1">
        <v>229.16643649279681</v>
      </c>
      <c r="N498" s="7">
        <v>45947</v>
      </c>
      <c r="O498" s="1">
        <v>75000</v>
      </c>
      <c r="P498" s="7">
        <v>46176.166436493048</v>
      </c>
      <c r="Q498" s="1" t="s">
        <v>330</v>
      </c>
      <c r="T498" s="1" t="s">
        <v>561</v>
      </c>
      <c r="U498" s="1" t="s">
        <v>562</v>
      </c>
      <c r="V498" s="1">
        <v>13</v>
      </c>
      <c r="W498" s="3">
        <v>4855.21</v>
      </c>
      <c r="X498" s="3">
        <v>63117.73</v>
      </c>
      <c r="Y498" s="1" t="str">
        <f>VLOOKUP(A498,[1]Detalle!$D$2:$CR$484,93,FALSE)</f>
        <v>ADA_CH - Danone Arg. S.A. - Chascomus</v>
      </c>
    </row>
    <row r="499" spans="1:25" ht="14.25" customHeight="1" x14ac:dyDescent="0.3">
      <c r="A499" s="1" t="s">
        <v>14</v>
      </c>
      <c r="B499" s="1" t="s">
        <v>559</v>
      </c>
      <c r="C499" s="1" t="s">
        <v>559</v>
      </c>
      <c r="D499" s="1" t="s">
        <v>560</v>
      </c>
      <c r="E499" s="1" t="s">
        <v>337</v>
      </c>
      <c r="F499" s="1">
        <v>752778</v>
      </c>
      <c r="G499" s="1">
        <v>827778</v>
      </c>
      <c r="H499" s="1">
        <v>22757.200000000019</v>
      </c>
      <c r="I499" s="1">
        <v>52242.799999999988</v>
      </c>
      <c r="J499" s="1">
        <v>775535.20000000007</v>
      </c>
      <c r="K499" s="1">
        <v>93</v>
      </c>
      <c r="L499" s="1">
        <v>276.97442748091589</v>
      </c>
      <c r="M499" s="1">
        <v>213.49640553319369</v>
      </c>
      <c r="N499" s="7">
        <v>45947</v>
      </c>
      <c r="O499" s="1">
        <v>75000</v>
      </c>
      <c r="P499" s="7">
        <v>46160.496405532409</v>
      </c>
      <c r="Q499" s="1" t="s">
        <v>330</v>
      </c>
      <c r="T499" s="1" t="s">
        <v>561</v>
      </c>
      <c r="U499" s="1" t="s">
        <v>562</v>
      </c>
      <c r="V499" s="1">
        <v>13</v>
      </c>
      <c r="W499" s="3">
        <v>4855.21</v>
      </c>
      <c r="X499" s="3">
        <v>63117.73</v>
      </c>
      <c r="Y499" s="1" t="str">
        <f>VLOOKUP(A499,[1]Detalle!$D$2:$CR$484,93,FALSE)</f>
        <v>ADA_CH - Danone Arg. S.A. - Chascomus</v>
      </c>
    </row>
    <row r="500" spans="1:25" ht="14.25" customHeight="1" x14ac:dyDescent="0.3">
      <c r="A500" s="1" t="s">
        <v>12</v>
      </c>
      <c r="B500" s="1" t="s">
        <v>559</v>
      </c>
      <c r="C500" s="1" t="s">
        <v>559</v>
      </c>
      <c r="D500" s="1" t="s">
        <v>560</v>
      </c>
      <c r="E500" s="1" t="s">
        <v>337</v>
      </c>
      <c r="F500" s="1">
        <v>845528</v>
      </c>
      <c r="G500" s="1">
        <v>920528</v>
      </c>
      <c r="H500" s="1">
        <v>33411.699999999997</v>
      </c>
      <c r="I500" s="1">
        <v>41588.300000000003</v>
      </c>
      <c r="J500" s="1">
        <v>878939.7</v>
      </c>
      <c r="K500" s="1">
        <v>93</v>
      </c>
      <c r="L500" s="1">
        <v>323.35572519083951</v>
      </c>
      <c r="M500" s="1">
        <v>115.75920710409819</v>
      </c>
      <c r="N500" s="7">
        <v>45947</v>
      </c>
      <c r="O500" s="1">
        <v>75000</v>
      </c>
      <c r="P500" s="7">
        <v>46062.759207106479</v>
      </c>
      <c r="Q500" s="1" t="s">
        <v>330</v>
      </c>
      <c r="T500" s="1" t="s">
        <v>561</v>
      </c>
      <c r="U500" s="1" t="s">
        <v>562</v>
      </c>
      <c r="V500" s="1">
        <v>13</v>
      </c>
      <c r="W500" s="3">
        <v>4855.21</v>
      </c>
      <c r="X500" s="3">
        <v>63117.73</v>
      </c>
      <c r="Y500" s="1" t="str">
        <f>VLOOKUP(A500,[1]Detalle!$D$2:$CR$484,93,FALSE)</f>
        <v>ADA_CH - Danone Arg. S.A. - Chascomus</v>
      </c>
    </row>
    <row r="501" spans="1:25" ht="14.25" customHeight="1" x14ac:dyDescent="0.3">
      <c r="A501" s="1" t="s">
        <v>13</v>
      </c>
      <c r="B501" s="1" t="s">
        <v>559</v>
      </c>
      <c r="C501" s="1" t="s">
        <v>559</v>
      </c>
      <c r="D501" s="1" t="s">
        <v>560</v>
      </c>
      <c r="E501" s="1" t="s">
        <v>337</v>
      </c>
      <c r="F501" s="1">
        <v>757999</v>
      </c>
      <c r="G501" s="1">
        <v>832999</v>
      </c>
      <c r="H501" s="1">
        <v>29429.700000000012</v>
      </c>
      <c r="I501" s="1">
        <v>45570.299999999988</v>
      </c>
      <c r="J501" s="1">
        <v>787428.7</v>
      </c>
      <c r="K501" s="1">
        <v>93</v>
      </c>
      <c r="L501" s="1">
        <v>303.34772058823529</v>
      </c>
      <c r="M501" s="1">
        <v>144.005474061917</v>
      </c>
      <c r="N501" s="7">
        <v>45947</v>
      </c>
      <c r="O501" s="1">
        <v>75000</v>
      </c>
      <c r="P501" s="7">
        <v>46091.005474062498</v>
      </c>
      <c r="Q501" s="1" t="s">
        <v>330</v>
      </c>
      <c r="T501" s="1" t="s">
        <v>561</v>
      </c>
      <c r="U501" s="1" t="s">
        <v>562</v>
      </c>
      <c r="V501" s="1">
        <v>13</v>
      </c>
      <c r="W501" s="3">
        <v>4855.21</v>
      </c>
      <c r="X501" s="3">
        <v>63117.73</v>
      </c>
      <c r="Y501" s="1" t="str">
        <f>VLOOKUP(A501,[1]Detalle!$D$2:$CR$484,93,FALSE)</f>
        <v>ADA_CH - Danone Arg. S.A. - Chascomus</v>
      </c>
    </row>
    <row r="502" spans="1:25" ht="14.25" customHeight="1" x14ac:dyDescent="0.3">
      <c r="A502" s="1" t="s">
        <v>6</v>
      </c>
      <c r="B502" s="1" t="s">
        <v>559</v>
      </c>
      <c r="C502" s="1" t="s">
        <v>559</v>
      </c>
      <c r="D502" s="1" t="s">
        <v>560</v>
      </c>
      <c r="E502" s="1" t="s">
        <v>337</v>
      </c>
      <c r="F502" s="1">
        <v>726661</v>
      </c>
      <c r="G502" s="1">
        <v>801661</v>
      </c>
      <c r="H502" s="1">
        <v>25667.200000000001</v>
      </c>
      <c r="I502" s="1">
        <v>49332.800000000003</v>
      </c>
      <c r="J502" s="1">
        <v>752328.2</v>
      </c>
      <c r="K502" s="1">
        <v>93</v>
      </c>
      <c r="L502" s="1">
        <v>306.8559191176472</v>
      </c>
      <c r="M502" s="1">
        <v>178.74760004986911</v>
      </c>
      <c r="N502" s="7">
        <v>45947</v>
      </c>
      <c r="O502" s="1">
        <v>75000</v>
      </c>
      <c r="P502" s="7">
        <v>46125.747600046299</v>
      </c>
      <c r="Q502" s="1" t="s">
        <v>330</v>
      </c>
      <c r="T502" s="1" t="s">
        <v>561</v>
      </c>
      <c r="U502" s="1" t="s">
        <v>562</v>
      </c>
      <c r="V502" s="1">
        <v>13</v>
      </c>
      <c r="W502" s="3">
        <v>4855.21</v>
      </c>
      <c r="X502" s="3">
        <v>63117.73</v>
      </c>
      <c r="Y502" s="1" t="str">
        <f>VLOOKUP(A502,[1]Detalle!$D$2:$CR$484,93,FALSE)</f>
        <v>ADA_CH - Danone Arg. S.A. - Chascomus</v>
      </c>
    </row>
    <row r="503" spans="1:25" ht="14.25" customHeight="1" x14ac:dyDescent="0.3">
      <c r="A503" s="1" t="s">
        <v>7</v>
      </c>
      <c r="B503" s="1" t="s">
        <v>559</v>
      </c>
      <c r="C503" s="1" t="s">
        <v>559</v>
      </c>
      <c r="D503" s="1" t="s">
        <v>560</v>
      </c>
      <c r="E503" s="1" t="s">
        <v>337</v>
      </c>
      <c r="F503" s="1">
        <v>739044</v>
      </c>
      <c r="G503" s="1">
        <v>814044</v>
      </c>
      <c r="H503" s="1">
        <v>30463.299999999988</v>
      </c>
      <c r="I503" s="1">
        <v>44536.700000000012</v>
      </c>
      <c r="J503" s="1">
        <v>769507.3</v>
      </c>
      <c r="K503" s="1">
        <v>93</v>
      </c>
      <c r="L503" s="1">
        <v>282.61870229007633</v>
      </c>
      <c r="M503" s="1">
        <v>135.96403213046531</v>
      </c>
      <c r="N503" s="7">
        <v>45947</v>
      </c>
      <c r="O503" s="1">
        <v>75000</v>
      </c>
      <c r="P503" s="7">
        <v>46082.964032129632</v>
      </c>
      <c r="Q503" s="1" t="s">
        <v>330</v>
      </c>
      <c r="T503" s="1" t="s">
        <v>561</v>
      </c>
      <c r="U503" s="1" t="s">
        <v>562</v>
      </c>
      <c r="V503" s="1">
        <v>13</v>
      </c>
      <c r="W503" s="3">
        <v>4855.21</v>
      </c>
      <c r="X503" s="3">
        <v>63117.73</v>
      </c>
      <c r="Y503" s="1" t="str">
        <f>VLOOKUP(A503,[1]Detalle!$D$2:$CR$484,93,FALSE)</f>
        <v>ADA_CH - Danone Arg. S.A. - Chascomus</v>
      </c>
    </row>
    <row r="504" spans="1:25" ht="14.25" customHeight="1" x14ac:dyDescent="0.3">
      <c r="A504" s="1" t="s">
        <v>9</v>
      </c>
      <c r="B504" s="1" t="s">
        <v>559</v>
      </c>
      <c r="C504" s="1" t="s">
        <v>559</v>
      </c>
      <c r="D504" s="1" t="s">
        <v>560</v>
      </c>
      <c r="E504" s="1" t="s">
        <v>337</v>
      </c>
      <c r="F504" s="1">
        <v>837188</v>
      </c>
      <c r="G504" s="1">
        <v>912188</v>
      </c>
      <c r="H504" s="1">
        <v>32995.300000000003</v>
      </c>
      <c r="I504" s="1">
        <v>42004.7</v>
      </c>
      <c r="J504" s="1">
        <v>870183.3</v>
      </c>
      <c r="K504" s="1">
        <v>93</v>
      </c>
      <c r="L504" s="1">
        <v>352.51014814814829</v>
      </c>
      <c r="M504" s="1">
        <v>118.39374395747269</v>
      </c>
      <c r="N504" s="7">
        <v>45947</v>
      </c>
      <c r="O504" s="1">
        <v>75000</v>
      </c>
      <c r="P504" s="7">
        <v>46065.393743958331</v>
      </c>
      <c r="Q504" s="1" t="s">
        <v>330</v>
      </c>
      <c r="T504" s="1" t="s">
        <v>561</v>
      </c>
      <c r="U504" s="1" t="s">
        <v>562</v>
      </c>
      <c r="V504" s="1">
        <v>13</v>
      </c>
      <c r="W504" s="3">
        <v>4855.21</v>
      </c>
      <c r="X504" s="3">
        <v>63117.73</v>
      </c>
      <c r="Y504" s="1" t="str">
        <f>VLOOKUP(A504,[1]Detalle!$D$2:$CR$484,93,FALSE)</f>
        <v>ADA_CH - Danone Arg. S.A. - Chascomus</v>
      </c>
    </row>
    <row r="505" spans="1:25" ht="14.25" customHeight="1" x14ac:dyDescent="0.3">
      <c r="A505" s="1" t="s">
        <v>30</v>
      </c>
      <c r="B505" s="1" t="s">
        <v>559</v>
      </c>
      <c r="C505" s="1" t="s">
        <v>559</v>
      </c>
      <c r="D505" s="1" t="s">
        <v>560</v>
      </c>
      <c r="E505" s="1" t="s">
        <v>337</v>
      </c>
      <c r="F505" s="1">
        <v>426924</v>
      </c>
      <c r="G505" s="1">
        <v>501924</v>
      </c>
      <c r="H505" s="1">
        <v>23224.2</v>
      </c>
      <c r="I505" s="1">
        <v>51775.8</v>
      </c>
      <c r="J505" s="1">
        <v>450148.2</v>
      </c>
      <c r="K505" s="1">
        <v>93</v>
      </c>
      <c r="L505" s="1">
        <v>273.98136531365333</v>
      </c>
      <c r="M505" s="1">
        <v>207.3332730513861</v>
      </c>
      <c r="N505" s="7">
        <v>45947</v>
      </c>
      <c r="O505" s="1">
        <v>75000</v>
      </c>
      <c r="P505" s="7">
        <v>46154.333273055563</v>
      </c>
      <c r="Q505" s="1" t="s">
        <v>330</v>
      </c>
      <c r="T505" s="1" t="s">
        <v>561</v>
      </c>
      <c r="U505" s="1" t="s">
        <v>562</v>
      </c>
      <c r="V505" s="1">
        <v>13</v>
      </c>
      <c r="W505" s="3">
        <v>4855.21</v>
      </c>
      <c r="X505" s="3">
        <v>63117.73</v>
      </c>
      <c r="Y505" s="1" t="str">
        <f>VLOOKUP(A505,[1]Detalle!$D$2:$CR$484,93,FALSE)</f>
        <v>ADA_CH - Danone Arg. S.A. - Chascomus</v>
      </c>
    </row>
    <row r="506" spans="1:25" ht="14.25" customHeight="1" x14ac:dyDescent="0.3">
      <c r="A506" s="1" t="s">
        <v>33</v>
      </c>
      <c r="B506" s="1" t="s">
        <v>559</v>
      </c>
      <c r="C506" s="1" t="s">
        <v>559</v>
      </c>
      <c r="D506" s="1" t="s">
        <v>560</v>
      </c>
      <c r="E506" s="1" t="s">
        <v>337</v>
      </c>
      <c r="F506" s="1">
        <v>347194</v>
      </c>
      <c r="G506" s="1">
        <v>422194</v>
      </c>
      <c r="H506" s="1">
        <v>16839.2</v>
      </c>
      <c r="I506" s="1">
        <v>58160.800000000003</v>
      </c>
      <c r="J506" s="1">
        <v>364033.2</v>
      </c>
      <c r="K506" s="1">
        <v>93</v>
      </c>
      <c r="L506" s="1">
        <v>236.21863468634689</v>
      </c>
      <c r="M506" s="1">
        <v>321.21207658321072</v>
      </c>
      <c r="N506" s="7">
        <v>45947</v>
      </c>
      <c r="O506" s="1">
        <v>75000</v>
      </c>
      <c r="P506" s="7">
        <v>46268.212076585653</v>
      </c>
      <c r="Q506" s="1" t="s">
        <v>330</v>
      </c>
      <c r="T506" s="1" t="s">
        <v>561</v>
      </c>
      <c r="U506" s="1" t="s">
        <v>562</v>
      </c>
      <c r="V506" s="1">
        <v>13</v>
      </c>
      <c r="W506" s="3">
        <v>4855.21</v>
      </c>
      <c r="X506" s="3">
        <v>63117.73</v>
      </c>
      <c r="Y506" s="1" t="str">
        <f>VLOOKUP(A506,[1]Detalle!$D$2:$CR$484,93,FALSE)</f>
        <v>CENCOMLD - Cencosud SA - Mendoza</v>
      </c>
    </row>
    <row r="507" spans="1:25" ht="14.25" customHeight="1" x14ac:dyDescent="0.3">
      <c r="A507" s="1" t="s">
        <v>35</v>
      </c>
      <c r="B507" s="1" t="s">
        <v>559</v>
      </c>
      <c r="C507" s="1" t="s">
        <v>559</v>
      </c>
      <c r="D507" s="1" t="s">
        <v>560</v>
      </c>
      <c r="E507" s="1" t="s">
        <v>337</v>
      </c>
      <c r="F507" s="1">
        <v>376144</v>
      </c>
      <c r="G507" s="1">
        <v>451144</v>
      </c>
      <c r="H507" s="1">
        <v>28758.9</v>
      </c>
      <c r="I507" s="1">
        <v>46241.1</v>
      </c>
      <c r="J507" s="1">
        <v>404902.9</v>
      </c>
      <c r="K507" s="1">
        <v>93</v>
      </c>
      <c r="L507" s="1">
        <v>328.18794117647042</v>
      </c>
      <c r="M507" s="1">
        <v>149.53361568071099</v>
      </c>
      <c r="N507" s="7">
        <v>45947</v>
      </c>
      <c r="O507" s="1">
        <v>75000</v>
      </c>
      <c r="P507" s="7">
        <v>46096.533615682871</v>
      </c>
      <c r="Q507" s="1" t="s">
        <v>330</v>
      </c>
      <c r="T507" s="1" t="s">
        <v>561</v>
      </c>
      <c r="U507" s="1" t="s">
        <v>562</v>
      </c>
      <c r="V507" s="1">
        <v>13</v>
      </c>
      <c r="W507" s="3">
        <v>4855.21</v>
      </c>
      <c r="X507" s="3">
        <v>63117.73</v>
      </c>
      <c r="Y507" s="1" t="str">
        <f>VLOOKUP(A507,[1]Detalle!$D$2:$CR$484,93,FALSE)</f>
        <v>CENCOMLD - Cencosud SA - Mendoza</v>
      </c>
    </row>
    <row r="508" spans="1:25" ht="14.25" customHeight="1" x14ac:dyDescent="0.3">
      <c r="A508" s="1" t="s">
        <v>514</v>
      </c>
      <c r="B508" s="1" t="s">
        <v>559</v>
      </c>
      <c r="C508" s="1" t="s">
        <v>559</v>
      </c>
      <c r="D508" s="1" t="s">
        <v>560</v>
      </c>
      <c r="E508" s="6">
        <v>45495</v>
      </c>
      <c r="F508" s="1">
        <v>1556863</v>
      </c>
      <c r="G508" s="1">
        <v>1631863</v>
      </c>
      <c r="H508" s="1">
        <v>126406.89999999991</v>
      </c>
      <c r="I508" s="1">
        <v>-51406.899999999943</v>
      </c>
      <c r="J508" s="1">
        <v>1683269.9</v>
      </c>
      <c r="K508" s="1">
        <v>452</v>
      </c>
      <c r="L508" s="1">
        <v>298.17575757575747</v>
      </c>
      <c r="M508" s="1">
        <v>-183.8184371264542</v>
      </c>
      <c r="N508" s="7">
        <v>45947</v>
      </c>
      <c r="O508" s="1">
        <v>75000</v>
      </c>
      <c r="P508" s="7">
        <v>46023</v>
      </c>
      <c r="Q508" s="1" t="s">
        <v>330</v>
      </c>
      <c r="T508" s="1" t="s">
        <v>561</v>
      </c>
      <c r="U508" s="1" t="s">
        <v>562</v>
      </c>
      <c r="V508" s="1">
        <v>13</v>
      </c>
      <c r="W508" s="3">
        <v>4855.21</v>
      </c>
      <c r="X508" s="3">
        <v>63117.73</v>
      </c>
      <c r="Y508" s="1" t="str">
        <f>VLOOKUP(A508,[1]Detalle!$D$2:$CR$484,93,FALSE)</f>
        <v>Expreso - Servicios Troncales</v>
      </c>
    </row>
    <row r="509" spans="1:25" ht="14.25" customHeight="1" x14ac:dyDescent="0.3">
      <c r="A509" s="1" t="s">
        <v>510</v>
      </c>
      <c r="B509" s="1" t="s">
        <v>559</v>
      </c>
      <c r="C509" s="1" t="s">
        <v>559</v>
      </c>
      <c r="D509" s="1" t="s">
        <v>560</v>
      </c>
      <c r="E509" s="6">
        <v>45668</v>
      </c>
      <c r="F509" s="1">
        <v>1705995</v>
      </c>
      <c r="G509" s="1">
        <v>1780995</v>
      </c>
      <c r="H509" s="1">
        <v>663645.78600000031</v>
      </c>
      <c r="I509" s="1">
        <v>-588645.78600000031</v>
      </c>
      <c r="J509" s="1">
        <v>2369640.7859999998</v>
      </c>
      <c r="K509" s="1">
        <v>279</v>
      </c>
      <c r="L509" s="1">
        <v>2480.570318518518</v>
      </c>
      <c r="M509" s="1">
        <v>-247.46962575303689</v>
      </c>
      <c r="N509" s="7">
        <v>45947</v>
      </c>
      <c r="O509" s="1">
        <v>75000</v>
      </c>
      <c r="P509" s="7">
        <v>46023</v>
      </c>
      <c r="Q509" s="1" t="s">
        <v>330</v>
      </c>
      <c r="T509" s="1" t="s">
        <v>561</v>
      </c>
      <c r="U509" s="1" t="s">
        <v>562</v>
      </c>
      <c r="V509" s="1">
        <v>13</v>
      </c>
      <c r="W509" s="3">
        <v>4855.21</v>
      </c>
      <c r="X509" s="3">
        <v>63117.73</v>
      </c>
      <c r="Y509" s="1" t="str">
        <f>VLOOKUP(A509,[1]Detalle!$D$2:$CR$484,93,FALSE)</f>
        <v>Expreso - Servicios Troncales</v>
      </c>
    </row>
    <row r="510" spans="1:25" ht="14.25" customHeight="1" x14ac:dyDescent="0.3">
      <c r="A510" s="1" t="s">
        <v>511</v>
      </c>
      <c r="B510" s="1" t="s">
        <v>559</v>
      </c>
      <c r="C510" s="1" t="s">
        <v>559</v>
      </c>
      <c r="D510" s="1" t="s">
        <v>560</v>
      </c>
      <c r="E510" s="6">
        <v>45639</v>
      </c>
      <c r="F510" s="1">
        <v>1546350</v>
      </c>
      <c r="G510" s="1">
        <v>1621350</v>
      </c>
      <c r="H510" s="1">
        <v>118399.1100000001</v>
      </c>
      <c r="I510" s="1">
        <v>-43399.110000000088</v>
      </c>
      <c r="J510" s="1">
        <v>1664749.11</v>
      </c>
      <c r="K510" s="1">
        <v>308</v>
      </c>
      <c r="L510" s="1">
        <v>411.92981617647058</v>
      </c>
      <c r="M510" s="1">
        <v>-112.8971820818587</v>
      </c>
      <c r="N510" s="7">
        <v>45947</v>
      </c>
      <c r="O510" s="1">
        <v>75000</v>
      </c>
      <c r="P510" s="7">
        <v>46023</v>
      </c>
      <c r="Q510" s="1" t="s">
        <v>330</v>
      </c>
      <c r="T510" s="1" t="s">
        <v>561</v>
      </c>
      <c r="U510" s="1" t="s">
        <v>562</v>
      </c>
      <c r="V510" s="1">
        <v>13</v>
      </c>
      <c r="W510" s="3">
        <v>4855.21</v>
      </c>
      <c r="X510" s="3">
        <v>63117.73</v>
      </c>
      <c r="Y510" s="1" t="str">
        <f>VLOOKUP(A510,[1]Detalle!$D$2:$CR$484,93,FALSE)</f>
        <v>Expreso - Servicios Troncales</v>
      </c>
    </row>
    <row r="511" spans="1:25" ht="14.25" customHeight="1" x14ac:dyDescent="0.3">
      <c r="A511" s="1" t="s">
        <v>512</v>
      </c>
      <c r="B511" s="1" t="s">
        <v>559</v>
      </c>
      <c r="C511" s="1" t="s">
        <v>559</v>
      </c>
      <c r="D511" s="1" t="s">
        <v>560</v>
      </c>
      <c r="E511" s="1" t="s">
        <v>337</v>
      </c>
      <c r="F511" s="1">
        <v>1740401</v>
      </c>
      <c r="G511" s="1">
        <v>1815401</v>
      </c>
      <c r="H511" s="1">
        <v>23216.7</v>
      </c>
      <c r="I511" s="1">
        <v>51783.3</v>
      </c>
      <c r="J511" s="1">
        <v>1763617.7</v>
      </c>
      <c r="K511" s="1">
        <v>93</v>
      </c>
      <c r="L511" s="1">
        <v>4494.815091575093</v>
      </c>
      <c r="M511" s="1">
        <v>207.43029371099249</v>
      </c>
      <c r="N511" s="7">
        <v>45947</v>
      </c>
      <c r="O511" s="1">
        <v>75000</v>
      </c>
      <c r="P511" s="7">
        <v>46154.430293715282</v>
      </c>
      <c r="Q511" s="1" t="s">
        <v>330</v>
      </c>
      <c r="T511" s="1" t="s">
        <v>561</v>
      </c>
      <c r="U511" s="1" t="s">
        <v>562</v>
      </c>
      <c r="V511" s="1">
        <v>13</v>
      </c>
      <c r="W511" s="3">
        <v>4855.21</v>
      </c>
      <c r="X511" s="3">
        <v>63117.73</v>
      </c>
      <c r="Y511" s="1" t="str">
        <f>VLOOKUP(A511,[1]Detalle!$D$2:$CR$484,93,FALSE)</f>
        <v>Expreso - Servicios Troncales</v>
      </c>
    </row>
    <row r="512" spans="1:25" ht="14.25" customHeight="1" x14ac:dyDescent="0.3">
      <c r="A512" s="1" t="s">
        <v>513</v>
      </c>
      <c r="B512" s="1" t="s">
        <v>559</v>
      </c>
      <c r="C512" s="1" t="s">
        <v>559</v>
      </c>
      <c r="D512" s="1" t="s">
        <v>560</v>
      </c>
      <c r="E512" s="6">
        <v>45734</v>
      </c>
      <c r="F512" s="1">
        <v>1494661</v>
      </c>
      <c r="G512" s="1">
        <v>1569661</v>
      </c>
      <c r="H512" s="1">
        <v>71163.199999999997</v>
      </c>
      <c r="I512" s="1">
        <v>3836.8000000000029</v>
      </c>
      <c r="J512" s="1">
        <v>1565824.2</v>
      </c>
      <c r="K512" s="1">
        <v>213</v>
      </c>
      <c r="L512" s="1">
        <v>350</v>
      </c>
      <c r="M512" s="1">
        <v>11.484002967826081</v>
      </c>
      <c r="N512" s="7">
        <v>45947</v>
      </c>
      <c r="O512" s="1">
        <v>75000</v>
      </c>
      <c r="P512" s="7">
        <v>46237.185492314813</v>
      </c>
      <c r="Q512" s="1" t="s">
        <v>330</v>
      </c>
      <c r="R512" s="6">
        <v>46022.899778032413</v>
      </c>
      <c r="T512" s="1" t="s">
        <v>561</v>
      </c>
      <c r="U512" s="1" t="s">
        <v>562</v>
      </c>
      <c r="V512" s="1">
        <v>13</v>
      </c>
      <c r="W512" s="3">
        <v>4855.21</v>
      </c>
      <c r="X512" s="3">
        <v>63117.73</v>
      </c>
      <c r="Y512" s="1" t="str">
        <f>VLOOKUP(A512,[1]Detalle!$D$2:$CR$484,93,FALSE)</f>
        <v>Expreso - Servicios Troncales</v>
      </c>
    </row>
    <row r="513" spans="1:25" ht="14.25" customHeight="1" x14ac:dyDescent="0.3">
      <c r="A513" s="1" t="s">
        <v>270</v>
      </c>
      <c r="B513" s="1" t="s">
        <v>559</v>
      </c>
      <c r="C513" s="1" t="s">
        <v>559</v>
      </c>
      <c r="D513" s="1" t="s">
        <v>560</v>
      </c>
      <c r="E513" s="1" t="s">
        <v>337</v>
      </c>
      <c r="F513" s="1">
        <v>1715107</v>
      </c>
      <c r="G513" s="1">
        <v>1790107</v>
      </c>
      <c r="H513" s="1">
        <v>38111.200000000012</v>
      </c>
      <c r="I513" s="1">
        <v>36888.799999999988</v>
      </c>
      <c r="J513" s="1">
        <v>1753218.2</v>
      </c>
      <c r="K513" s="1">
        <v>93</v>
      </c>
      <c r="L513" s="1">
        <v>1736.2685719557189</v>
      </c>
      <c r="M513" s="1">
        <v>90.017065849409036</v>
      </c>
      <c r="N513" s="7">
        <v>45947</v>
      </c>
      <c r="O513" s="1">
        <v>75000</v>
      </c>
      <c r="P513" s="7">
        <v>46037.017065844913</v>
      </c>
      <c r="Q513" s="1" t="s">
        <v>330</v>
      </c>
      <c r="T513" s="1" t="s">
        <v>561</v>
      </c>
      <c r="U513" s="1" t="s">
        <v>562</v>
      </c>
      <c r="V513" s="1">
        <v>13</v>
      </c>
      <c r="W513" s="3">
        <v>4855.21</v>
      </c>
      <c r="X513" s="3">
        <v>63117.73</v>
      </c>
      <c r="Y513" s="1" t="str">
        <f>VLOOKUP(A513,[1]Detalle!$D$2:$CR$484,93,FALSE)</f>
        <v>Expreso - Servicios Troncales</v>
      </c>
    </row>
    <row r="514" spans="1:25" ht="14.25" customHeight="1" x14ac:dyDescent="0.3">
      <c r="A514" s="1" t="s">
        <v>17</v>
      </c>
      <c r="B514" s="1" t="s">
        <v>559</v>
      </c>
      <c r="C514" s="1" t="s">
        <v>559</v>
      </c>
      <c r="D514" s="1" t="s">
        <v>560</v>
      </c>
      <c r="E514" s="1" t="s">
        <v>337</v>
      </c>
      <c r="F514" s="1">
        <v>690382</v>
      </c>
      <c r="G514" s="1">
        <v>765382</v>
      </c>
      <c r="H514" s="1">
        <v>33880.100000000013</v>
      </c>
      <c r="I514" s="1">
        <v>41119.899999999987</v>
      </c>
      <c r="J514" s="1">
        <v>724262.1</v>
      </c>
      <c r="K514" s="1">
        <v>93</v>
      </c>
      <c r="L514" s="1">
        <v>382.02855555555578</v>
      </c>
      <c r="M514" s="1">
        <v>112.87306412909049</v>
      </c>
      <c r="N514" s="7">
        <v>45947</v>
      </c>
      <c r="O514" s="1">
        <v>75000</v>
      </c>
      <c r="P514" s="7">
        <v>46059.873064131942</v>
      </c>
      <c r="Q514" s="1" t="s">
        <v>330</v>
      </c>
      <c r="T514" s="1" t="s">
        <v>561</v>
      </c>
      <c r="U514" s="1" t="s">
        <v>562</v>
      </c>
      <c r="V514" s="1">
        <v>13</v>
      </c>
      <c r="W514" s="3">
        <v>4855.21</v>
      </c>
      <c r="X514" s="3">
        <v>63117.73</v>
      </c>
      <c r="Y514" s="1" t="str">
        <f>VLOOKUP(A514,[1]Detalle!$D$2:$CR$484,93,FALSE)</f>
        <v>Expreso - Servicios Troncales</v>
      </c>
    </row>
    <row r="515" spans="1:25" ht="14.25" customHeight="1" x14ac:dyDescent="0.3">
      <c r="A515" s="1" t="s">
        <v>18</v>
      </c>
      <c r="B515" s="1" t="s">
        <v>559</v>
      </c>
      <c r="C515" s="1" t="s">
        <v>559</v>
      </c>
      <c r="D515" s="1" t="s">
        <v>560</v>
      </c>
      <c r="E515" s="1" t="s">
        <v>337</v>
      </c>
      <c r="F515" s="1">
        <v>649466</v>
      </c>
      <c r="G515" s="1">
        <v>724466</v>
      </c>
      <c r="H515" s="1">
        <v>31704.400000000009</v>
      </c>
      <c r="I515" s="1">
        <v>43295.599999999991</v>
      </c>
      <c r="J515" s="1">
        <v>681170.4</v>
      </c>
      <c r="K515" s="1">
        <v>93</v>
      </c>
      <c r="L515" s="1">
        <v>381.04202205882348</v>
      </c>
      <c r="M515" s="1">
        <v>127.0010093236269</v>
      </c>
      <c r="N515" s="7">
        <v>45947</v>
      </c>
      <c r="O515" s="1">
        <v>75000</v>
      </c>
      <c r="P515" s="7">
        <v>46074.001009328713</v>
      </c>
      <c r="Q515" s="1" t="s">
        <v>330</v>
      </c>
      <c r="T515" s="1" t="s">
        <v>561</v>
      </c>
      <c r="U515" s="1" t="s">
        <v>562</v>
      </c>
      <c r="V515" s="1">
        <v>13</v>
      </c>
      <c r="W515" s="3">
        <v>4855.21</v>
      </c>
      <c r="X515" s="3">
        <v>63117.73</v>
      </c>
      <c r="Y515" s="1" t="str">
        <f>VLOOKUP(A515,[1]Detalle!$D$2:$CR$484,93,FALSE)</f>
        <v>Expreso - Servicios Troncales</v>
      </c>
    </row>
    <row r="516" spans="1:25" ht="14.25" customHeight="1" x14ac:dyDescent="0.3">
      <c r="A516" s="1" t="s">
        <v>176</v>
      </c>
      <c r="B516" s="1" t="s">
        <v>559</v>
      </c>
      <c r="C516" s="1" t="s">
        <v>559</v>
      </c>
      <c r="D516" s="1" t="s">
        <v>560</v>
      </c>
      <c r="E516" s="1" t="s">
        <v>337</v>
      </c>
      <c r="F516" s="1">
        <v>1927110</v>
      </c>
      <c r="G516" s="1">
        <v>2002110</v>
      </c>
      <c r="H516" s="1">
        <v>38366.300000000003</v>
      </c>
      <c r="I516" s="1">
        <v>36633.699999999997</v>
      </c>
      <c r="J516" s="1">
        <v>1965476.3</v>
      </c>
      <c r="K516" s="1">
        <v>93</v>
      </c>
      <c r="L516" s="1">
        <v>1849.550539936103</v>
      </c>
      <c r="M516" s="1">
        <v>88.800173589843155</v>
      </c>
      <c r="N516" s="7">
        <v>45947</v>
      </c>
      <c r="O516" s="1">
        <v>75000</v>
      </c>
      <c r="P516" s="7">
        <v>46035.800173587973</v>
      </c>
      <c r="Q516" s="1" t="s">
        <v>330</v>
      </c>
      <c r="T516" s="1" t="s">
        <v>561</v>
      </c>
      <c r="U516" s="1" t="s">
        <v>562</v>
      </c>
      <c r="V516" s="1">
        <v>13</v>
      </c>
      <c r="W516" s="3">
        <v>4855.21</v>
      </c>
      <c r="X516" s="3">
        <v>63117.73</v>
      </c>
      <c r="Y516" s="1" t="str">
        <f>VLOOKUP(A516,[1]Detalle!$D$2:$CR$484,93,FALSE)</f>
        <v>Expreso - Servicios Troncales</v>
      </c>
    </row>
    <row r="517" spans="1:25" ht="14.25" customHeight="1" x14ac:dyDescent="0.3">
      <c r="A517" s="1" t="s">
        <v>186</v>
      </c>
      <c r="B517" s="1" t="s">
        <v>559</v>
      </c>
      <c r="C517" s="1" t="s">
        <v>559</v>
      </c>
      <c r="D517" s="1" t="s">
        <v>560</v>
      </c>
      <c r="E517" s="1" t="s">
        <v>337</v>
      </c>
      <c r="F517" s="1">
        <v>462884</v>
      </c>
      <c r="G517" s="1">
        <v>537884</v>
      </c>
      <c r="H517" s="1">
        <v>34735.899999999987</v>
      </c>
      <c r="I517" s="1">
        <v>40264.100000000013</v>
      </c>
      <c r="J517" s="1">
        <v>497619.9</v>
      </c>
      <c r="K517" s="1">
        <v>93</v>
      </c>
      <c r="L517" s="1">
        <v>303.0774834437085</v>
      </c>
      <c r="M517" s="1">
        <v>107.8009005092714</v>
      </c>
      <c r="N517" s="7">
        <v>45947</v>
      </c>
      <c r="O517" s="1">
        <v>75000</v>
      </c>
      <c r="P517" s="7">
        <v>46054.800900509261</v>
      </c>
      <c r="Q517" s="1" t="s">
        <v>330</v>
      </c>
      <c r="T517" s="1" t="s">
        <v>561</v>
      </c>
      <c r="U517" s="1" t="s">
        <v>562</v>
      </c>
      <c r="V517" s="1">
        <v>13</v>
      </c>
      <c r="W517" s="3">
        <v>4855.21</v>
      </c>
      <c r="X517" s="3">
        <v>63117.73</v>
      </c>
      <c r="Y517" s="1" t="str">
        <f>VLOOKUP(A517,[1]Detalle!$D$2:$CR$484,93,FALSE)</f>
        <v>Expreso - Servicios Troncales</v>
      </c>
    </row>
    <row r="518" spans="1:25" ht="14.25" customHeight="1" x14ac:dyDescent="0.3">
      <c r="A518" s="1" t="s">
        <v>201</v>
      </c>
      <c r="B518" s="1" t="s">
        <v>559</v>
      </c>
      <c r="C518" s="1" t="s">
        <v>559</v>
      </c>
      <c r="D518" s="1" t="s">
        <v>560</v>
      </c>
      <c r="E518" s="1" t="s">
        <v>337</v>
      </c>
      <c r="F518" s="1">
        <v>1842119</v>
      </c>
      <c r="G518" s="1">
        <v>1917119</v>
      </c>
      <c r="H518" s="1">
        <v>30174.499999999989</v>
      </c>
      <c r="I518" s="1">
        <v>44825.500000000007</v>
      </c>
      <c r="J518" s="1">
        <v>1872293.5</v>
      </c>
      <c r="K518" s="1">
        <v>93</v>
      </c>
      <c r="L518" s="1">
        <v>155.41622516556279</v>
      </c>
      <c r="M518" s="1">
        <v>138.1554458234603</v>
      </c>
      <c r="N518" s="7">
        <v>45947</v>
      </c>
      <c r="O518" s="1">
        <v>75000</v>
      </c>
      <c r="P518" s="7">
        <v>46085.155445821758</v>
      </c>
      <c r="Q518" s="1" t="s">
        <v>330</v>
      </c>
      <c r="T518" s="1" t="s">
        <v>561</v>
      </c>
      <c r="U518" s="1" t="s">
        <v>562</v>
      </c>
      <c r="V518" s="1">
        <v>13</v>
      </c>
      <c r="W518" s="3">
        <v>4855.21</v>
      </c>
      <c r="X518" s="3">
        <v>63117.73</v>
      </c>
      <c r="Y518" s="1" t="str">
        <f>VLOOKUP(A518,[1]Detalle!$D$2:$CR$484,93,FALSE)</f>
        <v>SUC_CTC - Sucursal Buenos Aires</v>
      </c>
    </row>
    <row r="519" spans="1:25" ht="14.25" customHeight="1" x14ac:dyDescent="0.3">
      <c r="A519" s="1" t="s">
        <v>228</v>
      </c>
      <c r="B519" s="1" t="s">
        <v>559</v>
      </c>
      <c r="C519" s="1" t="s">
        <v>559</v>
      </c>
      <c r="D519" s="1" t="s">
        <v>560</v>
      </c>
      <c r="E519" s="6">
        <v>45617</v>
      </c>
      <c r="F519" s="1">
        <v>785237</v>
      </c>
      <c r="G519" s="1">
        <v>860237</v>
      </c>
      <c r="H519" s="1">
        <v>73436.070000000007</v>
      </c>
      <c r="I519" s="1">
        <v>1563.929999999993</v>
      </c>
      <c r="J519" s="1">
        <v>858673.07000000007</v>
      </c>
      <c r="K519" s="1">
        <v>330</v>
      </c>
      <c r="L519" s="1">
        <v>232.68261029411761</v>
      </c>
      <c r="M519" s="1">
        <v>7.0278393165647026</v>
      </c>
      <c r="N519" s="7">
        <v>45947</v>
      </c>
      <c r="O519" s="1">
        <v>75000</v>
      </c>
      <c r="P519" s="7">
        <v>46276.355321828712</v>
      </c>
      <c r="Q519" s="1" t="s">
        <v>330</v>
      </c>
      <c r="T519" s="1" t="s">
        <v>561</v>
      </c>
      <c r="U519" s="1" t="s">
        <v>562</v>
      </c>
      <c r="V519" s="1">
        <v>13</v>
      </c>
      <c r="W519" s="3">
        <v>4855.21</v>
      </c>
      <c r="X519" s="3">
        <v>63117.73</v>
      </c>
      <c r="Y519" s="1" t="str">
        <f>VLOOKUP(A519,[1]Detalle!$D$2:$CR$484,93,FALSE)</f>
        <v>Expreso - Servicios Troncales</v>
      </c>
    </row>
    <row r="520" spans="1:25" ht="14.25" customHeight="1" x14ac:dyDescent="0.3">
      <c r="A520" s="1" t="s">
        <v>229</v>
      </c>
      <c r="B520" s="1" t="s">
        <v>559</v>
      </c>
      <c r="C520" s="1" t="s">
        <v>559</v>
      </c>
      <c r="D520" s="1" t="s">
        <v>560</v>
      </c>
      <c r="E520" s="1" t="s">
        <v>337</v>
      </c>
      <c r="F520" s="1">
        <v>1778309</v>
      </c>
      <c r="G520" s="1">
        <v>1853309</v>
      </c>
      <c r="H520" s="1">
        <v>27121.999999999989</v>
      </c>
      <c r="I520" s="1">
        <v>47878.000000000007</v>
      </c>
      <c r="J520" s="1">
        <v>1805431</v>
      </c>
      <c r="K520" s="1">
        <v>93</v>
      </c>
      <c r="L520" s="1">
        <v>259.71717557251912</v>
      </c>
      <c r="M520" s="1">
        <v>164.17130005161869</v>
      </c>
      <c r="N520" s="7">
        <v>45947</v>
      </c>
      <c r="O520" s="1">
        <v>75000</v>
      </c>
      <c r="P520" s="7">
        <v>46111.171300046299</v>
      </c>
      <c r="Q520" s="1" t="s">
        <v>330</v>
      </c>
      <c r="T520" s="1" t="s">
        <v>561</v>
      </c>
      <c r="U520" s="1" t="s">
        <v>562</v>
      </c>
      <c r="V520" s="1">
        <v>13</v>
      </c>
      <c r="W520" s="3">
        <v>4855.21</v>
      </c>
      <c r="X520" s="3">
        <v>63117.73</v>
      </c>
      <c r="Y520" s="1" t="str">
        <f>VLOOKUP(A520,[1]Detalle!$D$2:$CR$484,93,FALSE)</f>
        <v>Expreso - Servicios Troncales</v>
      </c>
    </row>
    <row r="521" spans="1:25" ht="14.25" customHeight="1" x14ac:dyDescent="0.3">
      <c r="A521" s="1" t="s">
        <v>230</v>
      </c>
      <c r="B521" s="1" t="s">
        <v>559</v>
      </c>
      <c r="C521" s="1" t="s">
        <v>559</v>
      </c>
      <c r="D521" s="1" t="s">
        <v>560</v>
      </c>
      <c r="E521" s="1" t="s">
        <v>337</v>
      </c>
      <c r="F521" s="1">
        <v>1787246</v>
      </c>
      <c r="G521" s="1">
        <v>1862246</v>
      </c>
      <c r="H521" s="1">
        <v>27616.2</v>
      </c>
      <c r="I521" s="1">
        <v>47383.8</v>
      </c>
      <c r="J521" s="1">
        <v>1814862.2</v>
      </c>
      <c r="K521" s="1">
        <v>93</v>
      </c>
      <c r="L521" s="1">
        <v>289.98935849056602</v>
      </c>
      <c r="M521" s="1">
        <v>159.56914419797079</v>
      </c>
      <c r="N521" s="7">
        <v>45947</v>
      </c>
      <c r="O521" s="1">
        <v>75000</v>
      </c>
      <c r="P521" s="7">
        <v>46106.569144201392</v>
      </c>
      <c r="Q521" s="1" t="s">
        <v>330</v>
      </c>
      <c r="T521" s="1" t="s">
        <v>561</v>
      </c>
      <c r="U521" s="1" t="s">
        <v>562</v>
      </c>
      <c r="V521" s="1">
        <v>13</v>
      </c>
      <c r="W521" s="3">
        <v>4855.21</v>
      </c>
      <c r="X521" s="3">
        <v>63117.73</v>
      </c>
      <c r="Y521" s="1" t="str">
        <f>VLOOKUP(A521,[1]Detalle!$D$2:$CR$484,93,FALSE)</f>
        <v>Expreso - Servicios Troncales</v>
      </c>
    </row>
    <row r="522" spans="1:25" ht="14.25" customHeight="1" x14ac:dyDescent="0.3">
      <c r="A522" s="1" t="s">
        <v>231</v>
      </c>
      <c r="B522" s="1" t="s">
        <v>559</v>
      </c>
      <c r="C522" s="1" t="s">
        <v>559</v>
      </c>
      <c r="D522" s="1" t="s">
        <v>560</v>
      </c>
      <c r="E522" s="6">
        <v>45653</v>
      </c>
      <c r="F522" s="1">
        <v>1780410</v>
      </c>
      <c r="G522" s="1">
        <v>1855410</v>
      </c>
      <c r="H522" s="1">
        <v>90455.62</v>
      </c>
      <c r="I522" s="1">
        <v>-15455.62</v>
      </c>
      <c r="J522" s="1">
        <v>1870865.62</v>
      </c>
      <c r="K522" s="1">
        <v>294</v>
      </c>
      <c r="L522" s="1">
        <v>332.5574264705881</v>
      </c>
      <c r="M522" s="1">
        <v>-50.234051571367253</v>
      </c>
      <c r="N522" s="7">
        <v>45947</v>
      </c>
      <c r="O522" s="1">
        <v>75000</v>
      </c>
      <c r="P522" s="7">
        <v>46172.524959085647</v>
      </c>
      <c r="Q522" s="1" t="s">
        <v>330</v>
      </c>
      <c r="T522" s="1" t="s">
        <v>561</v>
      </c>
      <c r="U522" s="1" t="s">
        <v>562</v>
      </c>
      <c r="V522" s="1">
        <v>13</v>
      </c>
      <c r="W522" s="3">
        <v>4855.21</v>
      </c>
      <c r="X522" s="3">
        <v>63117.73</v>
      </c>
      <c r="Y522" s="1" t="str">
        <f>VLOOKUP(A522,[1]Detalle!$D$2:$CR$484,93,FALSE)</f>
        <v>Expreso - Servicios Troncales</v>
      </c>
    </row>
    <row r="523" spans="1:25" ht="14.25" customHeight="1" x14ac:dyDescent="0.3">
      <c r="A523" s="1" t="s">
        <v>232</v>
      </c>
      <c r="B523" s="1" t="s">
        <v>559</v>
      </c>
      <c r="C523" s="1" t="s">
        <v>559</v>
      </c>
      <c r="D523" s="1" t="s">
        <v>560</v>
      </c>
      <c r="E523" s="1" t="s">
        <v>337</v>
      </c>
      <c r="F523" s="1">
        <v>1933394</v>
      </c>
      <c r="G523" s="1">
        <v>2008394</v>
      </c>
      <c r="H523" s="1">
        <v>31533.599999999999</v>
      </c>
      <c r="I523" s="1">
        <v>43466.399999999987</v>
      </c>
      <c r="J523" s="1">
        <v>1964927.6</v>
      </c>
      <c r="K523" s="1">
        <v>93</v>
      </c>
      <c r="L523" s="1">
        <v>2668.176102941175</v>
      </c>
      <c r="M523" s="1">
        <v>128.19263262044291</v>
      </c>
      <c r="N523" s="7">
        <v>45947</v>
      </c>
      <c r="O523" s="1">
        <v>75000</v>
      </c>
      <c r="P523" s="7">
        <v>46075.192632615741</v>
      </c>
      <c r="Q523" s="1" t="s">
        <v>330</v>
      </c>
      <c r="T523" s="1" t="s">
        <v>561</v>
      </c>
      <c r="U523" s="1" t="s">
        <v>562</v>
      </c>
      <c r="V523" s="1">
        <v>13</v>
      </c>
      <c r="W523" s="3">
        <v>4855.21</v>
      </c>
      <c r="X523" s="3">
        <v>63117.73</v>
      </c>
      <c r="Y523" s="1" t="str">
        <f>VLOOKUP(A523,[1]Detalle!$D$2:$CR$484,93,FALSE)</f>
        <v>Expreso - Servicios Troncales</v>
      </c>
    </row>
    <row r="524" spans="1:25" ht="14.25" customHeight="1" x14ac:dyDescent="0.3">
      <c r="A524" s="1" t="s">
        <v>233</v>
      </c>
      <c r="B524" s="1" t="s">
        <v>559</v>
      </c>
      <c r="C524" s="1" t="s">
        <v>559</v>
      </c>
      <c r="D524" s="1" t="s">
        <v>560</v>
      </c>
      <c r="E524" s="1" t="s">
        <v>337</v>
      </c>
      <c r="F524" s="1">
        <v>1936091</v>
      </c>
      <c r="G524" s="1">
        <v>2011091</v>
      </c>
      <c r="H524" s="1">
        <v>33750.9</v>
      </c>
      <c r="I524" s="1">
        <v>41249.1</v>
      </c>
      <c r="J524" s="1">
        <v>1969841.9</v>
      </c>
      <c r="K524" s="1">
        <v>93</v>
      </c>
      <c r="L524" s="1">
        <v>1720.767376383764</v>
      </c>
      <c r="M524" s="1">
        <v>113.66115570251461</v>
      </c>
      <c r="N524" s="7">
        <v>45947</v>
      </c>
      <c r="O524" s="1">
        <v>75000</v>
      </c>
      <c r="P524" s="7">
        <v>46060.661155706017</v>
      </c>
      <c r="Q524" s="1" t="s">
        <v>330</v>
      </c>
      <c r="T524" s="1" t="s">
        <v>561</v>
      </c>
      <c r="U524" s="1" t="s">
        <v>562</v>
      </c>
      <c r="V524" s="1">
        <v>13</v>
      </c>
      <c r="W524" s="3">
        <v>4855.21</v>
      </c>
      <c r="X524" s="3">
        <v>63117.73</v>
      </c>
      <c r="Y524" s="1" t="str">
        <f>VLOOKUP(A524,[1]Detalle!$D$2:$CR$484,93,FALSE)</f>
        <v>Expreso - Servicios Troncales</v>
      </c>
    </row>
    <row r="525" spans="1:25" ht="14.25" customHeight="1" x14ac:dyDescent="0.3">
      <c r="A525" s="1" t="s">
        <v>234</v>
      </c>
      <c r="B525" s="1" t="s">
        <v>559</v>
      </c>
      <c r="C525" s="1" t="s">
        <v>559</v>
      </c>
      <c r="D525" s="1" t="s">
        <v>560</v>
      </c>
      <c r="E525" s="6">
        <v>45671</v>
      </c>
      <c r="F525" s="1">
        <v>1873832</v>
      </c>
      <c r="G525" s="1">
        <v>1948832</v>
      </c>
      <c r="H525" s="1">
        <v>736218.03799999924</v>
      </c>
      <c r="I525" s="1">
        <v>-661218.03799999924</v>
      </c>
      <c r="J525" s="1">
        <v>2610050.0379999988</v>
      </c>
      <c r="K525" s="1">
        <v>276</v>
      </c>
      <c r="L525" s="1">
        <v>2691.3734963503648</v>
      </c>
      <c r="M525" s="1">
        <v>-247.88332948723539</v>
      </c>
      <c r="N525" s="7">
        <v>45947</v>
      </c>
      <c r="O525" s="1">
        <v>75000</v>
      </c>
      <c r="P525" s="7">
        <v>46023</v>
      </c>
      <c r="Q525" s="1" t="s">
        <v>330</v>
      </c>
      <c r="T525" s="1" t="s">
        <v>561</v>
      </c>
      <c r="U525" s="1" t="s">
        <v>562</v>
      </c>
      <c r="V525" s="1">
        <v>13</v>
      </c>
      <c r="W525" s="3">
        <v>4855.21</v>
      </c>
      <c r="X525" s="3">
        <v>63117.73</v>
      </c>
      <c r="Y525" s="1" t="str">
        <f>VLOOKUP(A525,[1]Detalle!$D$2:$CR$484,93,FALSE)</f>
        <v>Expreso - Servicios Troncales</v>
      </c>
    </row>
    <row r="526" spans="1:25" ht="14.25" customHeight="1" x14ac:dyDescent="0.3">
      <c r="A526" s="1" t="s">
        <v>70</v>
      </c>
      <c r="B526" s="1" t="s">
        <v>559</v>
      </c>
      <c r="C526" s="1" t="s">
        <v>559</v>
      </c>
      <c r="D526" s="1" t="s">
        <v>560</v>
      </c>
      <c r="E526" s="1" t="s">
        <v>337</v>
      </c>
      <c r="F526" s="1">
        <v>331634</v>
      </c>
      <c r="G526" s="1">
        <v>406634</v>
      </c>
      <c r="H526" s="1">
        <v>24149.499999999989</v>
      </c>
      <c r="I526" s="1">
        <v>50850.500000000007</v>
      </c>
      <c r="J526" s="1">
        <v>355783.5</v>
      </c>
      <c r="K526" s="1">
        <v>93</v>
      </c>
      <c r="L526" s="1">
        <v>252.63896296296281</v>
      </c>
      <c r="M526" s="1">
        <v>195.8258556077767</v>
      </c>
      <c r="N526" s="7">
        <v>45947</v>
      </c>
      <c r="O526" s="1">
        <v>75000</v>
      </c>
      <c r="P526" s="7">
        <v>46142.825855613417</v>
      </c>
      <c r="Q526" s="1" t="s">
        <v>330</v>
      </c>
      <c r="T526" s="1" t="s">
        <v>561</v>
      </c>
      <c r="U526" s="1" t="s">
        <v>562</v>
      </c>
      <c r="V526" s="1">
        <v>13</v>
      </c>
      <c r="W526" s="3">
        <v>4855.21</v>
      </c>
      <c r="X526" s="3">
        <v>63117.73</v>
      </c>
      <c r="Y526" s="1" t="str">
        <f>VLOOKUP(A526,[1]Detalle!$D$2:$CR$484,93,FALSE)</f>
        <v>ADA_CH - Danone Arg. S.A. - Chascomus</v>
      </c>
    </row>
    <row r="527" spans="1:25" ht="14.25" customHeight="1" x14ac:dyDescent="0.3">
      <c r="A527" s="1" t="s">
        <v>95</v>
      </c>
      <c r="B527" s="1" t="s">
        <v>559</v>
      </c>
      <c r="C527" s="1" t="s">
        <v>559</v>
      </c>
      <c r="D527" s="1" t="s">
        <v>560</v>
      </c>
      <c r="E527" s="1" t="s">
        <v>337</v>
      </c>
      <c r="F527" s="1">
        <v>147133</v>
      </c>
      <c r="G527" s="1">
        <v>222133</v>
      </c>
      <c r="H527" s="1">
        <v>22878.6</v>
      </c>
      <c r="I527" s="1">
        <v>52121.399999999987</v>
      </c>
      <c r="J527" s="1">
        <v>170011.6</v>
      </c>
      <c r="K527" s="1">
        <v>93</v>
      </c>
      <c r="L527" s="1">
        <v>266.23473282442751</v>
      </c>
      <c r="M527" s="1">
        <v>211.87005323752319</v>
      </c>
      <c r="N527" s="7">
        <v>45947</v>
      </c>
      <c r="O527" s="1">
        <v>75000</v>
      </c>
      <c r="P527" s="7">
        <v>46158.870053240738</v>
      </c>
      <c r="Q527" s="1" t="s">
        <v>330</v>
      </c>
      <c r="T527" s="1" t="s">
        <v>561</v>
      </c>
      <c r="U527" s="1" t="s">
        <v>562</v>
      </c>
      <c r="V527" s="1">
        <v>13</v>
      </c>
      <c r="W527" s="3">
        <v>4855.21</v>
      </c>
      <c r="X527" s="3">
        <v>63117.73</v>
      </c>
      <c r="Y527" s="1" t="str">
        <f>VLOOKUP(A527,[1]Detalle!$D$2:$CR$484,93,FALSE)</f>
        <v>CENCOMLD - Cencosud SA - Mendoza</v>
      </c>
    </row>
    <row r="528" spans="1:25" ht="14.25" customHeight="1" x14ac:dyDescent="0.3">
      <c r="A528" s="1" t="s">
        <v>96</v>
      </c>
      <c r="B528" s="1" t="s">
        <v>559</v>
      </c>
      <c r="C528" s="1" t="s">
        <v>559</v>
      </c>
      <c r="D528" s="1" t="s">
        <v>560</v>
      </c>
      <c r="E528" s="1" t="s">
        <v>337</v>
      </c>
      <c r="F528" s="1">
        <v>148859</v>
      </c>
      <c r="G528" s="1">
        <v>223859</v>
      </c>
      <c r="H528" s="1">
        <v>28345.900000000009</v>
      </c>
      <c r="I528" s="1">
        <v>46654.099999999991</v>
      </c>
      <c r="J528" s="1">
        <v>177204.9</v>
      </c>
      <c r="K528" s="1">
        <v>93</v>
      </c>
      <c r="L528" s="1">
        <v>281.98244274809178</v>
      </c>
      <c r="M528" s="1">
        <v>153.0673324890019</v>
      </c>
      <c r="N528" s="7">
        <v>45947</v>
      </c>
      <c r="O528" s="1">
        <v>75000</v>
      </c>
      <c r="P528" s="7">
        <v>46100.067332488426</v>
      </c>
      <c r="Q528" s="1" t="s">
        <v>330</v>
      </c>
      <c r="T528" s="1" t="s">
        <v>561</v>
      </c>
      <c r="U528" s="1" t="s">
        <v>562</v>
      </c>
      <c r="V528" s="1">
        <v>13</v>
      </c>
      <c r="W528" s="3">
        <v>4855.21</v>
      </c>
      <c r="X528" s="3">
        <v>63117.73</v>
      </c>
      <c r="Y528" s="1" t="str">
        <f>VLOOKUP(A528,[1]Detalle!$D$2:$CR$484,93,FALSE)</f>
        <v>CENCOMLD - Cencosud SA - Mendoza</v>
      </c>
    </row>
    <row r="529" spans="1:25" ht="14.25" customHeight="1" x14ac:dyDescent="0.3">
      <c r="A529" s="1" t="s">
        <v>97</v>
      </c>
      <c r="B529" s="1" t="s">
        <v>559</v>
      </c>
      <c r="C529" s="1" t="s">
        <v>559</v>
      </c>
      <c r="D529" s="1" t="s">
        <v>560</v>
      </c>
      <c r="E529" s="1" t="s">
        <v>337</v>
      </c>
      <c r="F529" s="1">
        <v>190237</v>
      </c>
      <c r="G529" s="1">
        <v>265237</v>
      </c>
      <c r="H529" s="1">
        <v>24028.9</v>
      </c>
      <c r="I529" s="1">
        <v>50971.100000000013</v>
      </c>
      <c r="J529" s="1">
        <v>214265.9</v>
      </c>
      <c r="K529" s="1">
        <v>93</v>
      </c>
      <c r="L529" s="1">
        <v>310.79992700729929</v>
      </c>
      <c r="M529" s="1">
        <v>197.2754599669565</v>
      </c>
      <c r="N529" s="7">
        <v>45947</v>
      </c>
      <c r="O529" s="1">
        <v>75000</v>
      </c>
      <c r="P529" s="7">
        <v>46144.275459965284</v>
      </c>
      <c r="Q529" s="1" t="s">
        <v>330</v>
      </c>
      <c r="T529" s="1" t="s">
        <v>561</v>
      </c>
      <c r="U529" s="1" t="s">
        <v>562</v>
      </c>
      <c r="V529" s="1">
        <v>13</v>
      </c>
      <c r="W529" s="3">
        <v>4855.21</v>
      </c>
      <c r="X529" s="3">
        <v>63117.73</v>
      </c>
      <c r="Y529" s="1" t="str">
        <f>VLOOKUP(A529,[1]Detalle!$D$2:$CR$484,93,FALSE)</f>
        <v>Expreso - Servicios Troncales</v>
      </c>
    </row>
    <row r="530" spans="1:25" ht="14.25" customHeight="1" x14ac:dyDescent="0.3">
      <c r="A530" s="1" t="s">
        <v>138</v>
      </c>
      <c r="B530" s="1" t="s">
        <v>563</v>
      </c>
      <c r="C530" s="1" t="s">
        <v>563</v>
      </c>
      <c r="D530" s="1" t="s">
        <v>564</v>
      </c>
      <c r="E530" s="6">
        <v>45618</v>
      </c>
      <c r="F530" s="1">
        <v>15926</v>
      </c>
      <c r="G530" s="1">
        <v>75926</v>
      </c>
      <c r="H530" s="1">
        <v>44570.789999999979</v>
      </c>
      <c r="I530" s="1">
        <v>15429.210000000019</v>
      </c>
      <c r="J530" s="1">
        <v>60496.789999999979</v>
      </c>
      <c r="K530" s="1">
        <v>329</v>
      </c>
      <c r="L530" s="1">
        <v>129.25862179487169</v>
      </c>
      <c r="M530" s="1">
        <v>113.8909606493403</v>
      </c>
      <c r="N530" s="7">
        <v>45947</v>
      </c>
      <c r="O530" s="1">
        <v>60000</v>
      </c>
      <c r="P530" s="7">
        <v>46060.890960648147</v>
      </c>
      <c r="Q530" s="1" t="s">
        <v>330</v>
      </c>
      <c r="W530" s="3"/>
      <c r="X530" s="3">
        <v>0</v>
      </c>
      <c r="Y530" s="1" t="str">
        <f>VLOOKUP(A530,[1]Detalle!$D$2:$CR$484,93,FALSE)</f>
        <v>SUC_MEN - Sucursal Mendoza</v>
      </c>
    </row>
    <row r="531" spans="1:25" ht="14.25" customHeight="1" x14ac:dyDescent="0.3">
      <c r="A531" s="1" t="s">
        <v>121</v>
      </c>
      <c r="B531" s="1" t="s">
        <v>563</v>
      </c>
      <c r="C531" s="1" t="s">
        <v>563</v>
      </c>
      <c r="D531" s="1" t="s">
        <v>564</v>
      </c>
      <c r="E531" s="1" t="s">
        <v>337</v>
      </c>
      <c r="F531" s="1">
        <v>288895</v>
      </c>
      <c r="G531" s="1">
        <v>348895</v>
      </c>
      <c r="H531" s="1">
        <v>323.89999999999998</v>
      </c>
      <c r="I531" s="1">
        <v>59676.1</v>
      </c>
      <c r="J531" s="1">
        <v>289218.90000000002</v>
      </c>
      <c r="K531" s="1">
        <v>108</v>
      </c>
      <c r="L531" s="1">
        <v>10.97267741935484</v>
      </c>
      <c r="M531" s="1">
        <v>19898.174745291759</v>
      </c>
      <c r="N531" s="7">
        <v>45947</v>
      </c>
      <c r="O531" s="1">
        <v>60000</v>
      </c>
      <c r="P531" s="7">
        <v>46174</v>
      </c>
      <c r="Q531" s="1" t="s">
        <v>330</v>
      </c>
      <c r="W531" s="3"/>
      <c r="X531" s="3">
        <v>0</v>
      </c>
      <c r="Y531" s="1" t="str">
        <f>VLOOKUP(A531,[1]Detalle!$D$2:$CR$484,93,FALSE)</f>
        <v>CCUCoAZA</v>
      </c>
    </row>
    <row r="532" spans="1:25" ht="14.25" customHeight="1" x14ac:dyDescent="0.3">
      <c r="A532" s="1" t="s">
        <v>111</v>
      </c>
      <c r="B532" s="1" t="s">
        <v>563</v>
      </c>
      <c r="C532" s="1" t="s">
        <v>563</v>
      </c>
      <c r="D532" s="1" t="s">
        <v>564</v>
      </c>
      <c r="E532" s="1" t="s">
        <v>337</v>
      </c>
      <c r="F532" s="1">
        <v>29376</v>
      </c>
      <c r="G532" s="1">
        <v>89376</v>
      </c>
      <c r="H532" s="1">
        <v>18480.600000000009</v>
      </c>
      <c r="I532" s="1">
        <v>41519.399999999987</v>
      </c>
      <c r="J532" s="1">
        <v>47856.600000000013</v>
      </c>
      <c r="K532" s="1">
        <v>108</v>
      </c>
      <c r="L532" s="1">
        <v>104.473717948718</v>
      </c>
      <c r="M532" s="1">
        <v>242.63796629979529</v>
      </c>
      <c r="N532" s="7">
        <v>45947</v>
      </c>
      <c r="O532" s="1">
        <v>60000</v>
      </c>
      <c r="P532" s="7">
        <v>46189.637966296294</v>
      </c>
      <c r="Q532" s="1" t="s">
        <v>330</v>
      </c>
      <c r="W532" s="3"/>
      <c r="X532" s="3">
        <v>0</v>
      </c>
      <c r="Y532" s="1" t="str">
        <f>VLOOKUP(A532,[1]Detalle!$D$2:$CR$484,93,FALSE)</f>
        <v>SUC_MEN - Sucursal Mendoza</v>
      </c>
    </row>
    <row r="533" spans="1:25" ht="14.25" customHeight="1" x14ac:dyDescent="0.3">
      <c r="A533" s="1" t="s">
        <v>153</v>
      </c>
      <c r="B533" s="1" t="s">
        <v>563</v>
      </c>
      <c r="C533" s="1" t="s">
        <v>563</v>
      </c>
      <c r="D533" s="1" t="s">
        <v>564</v>
      </c>
      <c r="E533" s="1" t="s">
        <v>337</v>
      </c>
      <c r="F533" s="1">
        <v>62342.400000000001</v>
      </c>
      <c r="G533" s="1">
        <v>122342.39999999999</v>
      </c>
      <c r="H533" s="1">
        <v>32041</v>
      </c>
      <c r="I533" s="1">
        <v>27959</v>
      </c>
      <c r="J533" s="1">
        <v>94383.4</v>
      </c>
      <c r="K533" s="1">
        <v>108</v>
      </c>
      <c r="L533" s="1">
        <v>215.45547231270371</v>
      </c>
      <c r="M533" s="1">
        <v>94.240878873942762</v>
      </c>
      <c r="N533" s="7">
        <v>45947</v>
      </c>
      <c r="O533" s="1">
        <v>60000</v>
      </c>
      <c r="P533" s="7">
        <v>46041.240878877317</v>
      </c>
      <c r="Q533" s="1" t="s">
        <v>330</v>
      </c>
      <c r="W533" s="3"/>
      <c r="X533" s="3">
        <v>0</v>
      </c>
      <c r="Y533" s="1" t="str">
        <f>VLOOKUP(A533,[1]Detalle!$D$2:$CR$484,93,FALSE)</f>
        <v>SUC_CTC - Sucursal Buenos Aires</v>
      </c>
    </row>
    <row r="534" spans="1:25" ht="14.25" customHeight="1" x14ac:dyDescent="0.3">
      <c r="A534" s="1" t="s">
        <v>120</v>
      </c>
      <c r="B534" s="1" t="s">
        <v>563</v>
      </c>
      <c r="C534" s="1" t="s">
        <v>563</v>
      </c>
      <c r="D534" s="1" t="s">
        <v>564</v>
      </c>
      <c r="E534" s="1" t="s">
        <v>337</v>
      </c>
      <c r="F534" s="1">
        <v>34907.699999999997</v>
      </c>
      <c r="G534" s="1">
        <v>94907.7</v>
      </c>
      <c r="H534" s="1">
        <v>12143.5</v>
      </c>
      <c r="I534" s="1">
        <v>47856.5</v>
      </c>
      <c r="J534" s="1">
        <v>47051.199999999997</v>
      </c>
      <c r="K534" s="1">
        <v>108</v>
      </c>
      <c r="L534" s="1">
        <v>86.918456591639867</v>
      </c>
      <c r="M534" s="1">
        <v>425.61880841602499</v>
      </c>
      <c r="N534" s="7">
        <v>45947</v>
      </c>
      <c r="O534" s="1">
        <v>60000</v>
      </c>
      <c r="P534" s="7">
        <v>46372.61880841435</v>
      </c>
      <c r="Q534" s="1" t="s">
        <v>330</v>
      </c>
      <c r="W534" s="3"/>
      <c r="X534" s="3">
        <v>0</v>
      </c>
      <c r="Y534" s="1" t="str">
        <f>VLOOKUP(A534,[1]Detalle!$D$2:$CR$484,93,FALSE)</f>
        <v>SUC_MEN - Sucursal Mendoza</v>
      </c>
    </row>
    <row r="535" spans="1:25" ht="14.25" customHeight="1" x14ac:dyDescent="0.3">
      <c r="A535" s="1" t="s">
        <v>141</v>
      </c>
      <c r="B535" s="1" t="s">
        <v>563</v>
      </c>
      <c r="C535" s="1" t="s">
        <v>563</v>
      </c>
      <c r="D535" s="1" t="s">
        <v>564</v>
      </c>
      <c r="E535" s="1" t="s">
        <v>337</v>
      </c>
      <c r="F535" s="1">
        <v>479305</v>
      </c>
      <c r="G535" s="1">
        <v>539305</v>
      </c>
      <c r="H535" s="1">
        <v>12745.8</v>
      </c>
      <c r="I535" s="1">
        <v>47254.2</v>
      </c>
      <c r="J535" s="1">
        <v>492050.8</v>
      </c>
      <c r="K535" s="1">
        <v>108</v>
      </c>
      <c r="L535" s="1">
        <v>131.1199356913184</v>
      </c>
      <c r="M535" s="1">
        <v>400.4027679706258</v>
      </c>
      <c r="N535" s="7">
        <v>45947</v>
      </c>
      <c r="O535" s="1">
        <v>60000</v>
      </c>
      <c r="P535" s="7">
        <v>46347.402767974527</v>
      </c>
      <c r="Q535" s="1" t="s">
        <v>330</v>
      </c>
      <c r="W535" s="3"/>
      <c r="X535" s="3">
        <v>0</v>
      </c>
      <c r="Y535" s="1" t="str">
        <f>VLOOKUP(A535,[1]Detalle!$D$2:$CR$484,93,FALSE)</f>
        <v>Unilever - Unilever de Arg. S.A.</v>
      </c>
    </row>
    <row r="536" spans="1:25" ht="14.25" customHeight="1" x14ac:dyDescent="0.3">
      <c r="A536" s="1" t="s">
        <v>150</v>
      </c>
      <c r="B536" s="1" t="s">
        <v>563</v>
      </c>
      <c r="C536" s="1" t="s">
        <v>563</v>
      </c>
      <c r="D536" s="1" t="s">
        <v>564</v>
      </c>
      <c r="E536" s="1" t="s">
        <v>337</v>
      </c>
      <c r="F536" s="1">
        <v>721574</v>
      </c>
      <c r="G536" s="1">
        <v>781574</v>
      </c>
      <c r="H536" s="1">
        <v>18803.3</v>
      </c>
      <c r="I536" s="1">
        <v>41196.699999999997</v>
      </c>
      <c r="J536" s="1">
        <v>740377.3</v>
      </c>
      <c r="K536" s="1">
        <v>108</v>
      </c>
      <c r="L536" s="1">
        <v>143.50707395498381</v>
      </c>
      <c r="M536" s="1">
        <v>236.62035919226949</v>
      </c>
      <c r="N536" s="7">
        <v>45947</v>
      </c>
      <c r="O536" s="1">
        <v>60000</v>
      </c>
      <c r="P536" s="7">
        <v>46183.620359189823</v>
      </c>
      <c r="Q536" s="1" t="s">
        <v>330</v>
      </c>
      <c r="W536" s="3"/>
      <c r="X536" s="3">
        <v>0</v>
      </c>
      <c r="Y536" s="1" t="str">
        <f>VLOOKUP(A536,[1]Detalle!$D$2:$CR$484,93,FALSE)</f>
        <v>Papelera - Papelera del Plata S.A.</v>
      </c>
    </row>
    <row r="537" spans="1:25" ht="14.25" customHeight="1" x14ac:dyDescent="0.3">
      <c r="A537" s="1" t="s">
        <v>79</v>
      </c>
      <c r="B537" s="1" t="s">
        <v>563</v>
      </c>
      <c r="C537" s="1" t="s">
        <v>563</v>
      </c>
      <c r="D537" s="1" t="s">
        <v>564</v>
      </c>
      <c r="E537" s="1" t="s">
        <v>337</v>
      </c>
      <c r="F537" s="1">
        <v>62983.8</v>
      </c>
      <c r="G537" s="1">
        <v>122983.8</v>
      </c>
      <c r="H537" s="1">
        <v>20504.400000000009</v>
      </c>
      <c r="I537" s="1">
        <v>39495.599999999991</v>
      </c>
      <c r="J537" s="1">
        <v>83488.200000000012</v>
      </c>
      <c r="K537" s="1">
        <v>108</v>
      </c>
      <c r="L537" s="1">
        <v>94.269867549668859</v>
      </c>
      <c r="M537" s="1">
        <v>208.02973020424881</v>
      </c>
      <c r="N537" s="7">
        <v>45947</v>
      </c>
      <c r="O537" s="1">
        <v>60000</v>
      </c>
      <c r="P537" s="7">
        <v>46155.029730208327</v>
      </c>
      <c r="Q537" s="1" t="s">
        <v>330</v>
      </c>
      <c r="W537" s="3"/>
      <c r="X537" s="3">
        <v>0</v>
      </c>
      <c r="Y537" s="1" t="str">
        <f>VLOOKUP(A537,[1]Detalle!$D$2:$CR$484,93,FALSE)</f>
        <v>Papelera - Papelera del Plata S.A.</v>
      </c>
    </row>
    <row r="538" spans="1:25" ht="14.25" customHeight="1" x14ac:dyDescent="0.3">
      <c r="A538" s="1" t="s">
        <v>75</v>
      </c>
      <c r="B538" s="1" t="s">
        <v>563</v>
      </c>
      <c r="C538" s="1" t="s">
        <v>563</v>
      </c>
      <c r="D538" s="1" t="s">
        <v>564</v>
      </c>
      <c r="E538" s="1" t="s">
        <v>337</v>
      </c>
      <c r="F538" s="1">
        <v>49220.5</v>
      </c>
      <c r="G538" s="1">
        <v>109220.5</v>
      </c>
      <c r="H538" s="1">
        <v>20551.500000000011</v>
      </c>
      <c r="I538" s="1">
        <v>39448.499999999993</v>
      </c>
      <c r="J538" s="1">
        <v>69772.000000000015</v>
      </c>
      <c r="K538" s="1">
        <v>108</v>
      </c>
      <c r="L538" s="1">
        <v>83.847709677419346</v>
      </c>
      <c r="M538" s="1">
        <v>207.30545215677671</v>
      </c>
      <c r="N538" s="7">
        <v>45947</v>
      </c>
      <c r="O538" s="1">
        <v>60000</v>
      </c>
      <c r="P538" s="7">
        <v>46154.305452152781</v>
      </c>
      <c r="Q538" s="1" t="s">
        <v>330</v>
      </c>
      <c r="W538" s="3"/>
      <c r="X538" s="3">
        <v>0</v>
      </c>
      <c r="Y538" s="1" t="str">
        <f>VLOOKUP(A538,[1]Detalle!$D$2:$CR$484,93,FALSE)</f>
        <v>Papelera - Papelera del Plata S.A.</v>
      </c>
    </row>
    <row r="539" spans="1:25" ht="14.25" customHeight="1" x14ac:dyDescent="0.3">
      <c r="A539" s="1" t="s">
        <v>149</v>
      </c>
      <c r="B539" s="1" t="s">
        <v>563</v>
      </c>
      <c r="C539" s="1" t="s">
        <v>563</v>
      </c>
      <c r="D539" s="1" t="s">
        <v>564</v>
      </c>
      <c r="E539" s="6">
        <v>45490</v>
      </c>
      <c r="F539" s="1">
        <v>649023</v>
      </c>
      <c r="G539" s="1">
        <v>709023</v>
      </c>
      <c r="H539" s="1">
        <v>48112.380000000019</v>
      </c>
      <c r="I539" s="1">
        <v>11887.619999999981</v>
      </c>
      <c r="J539" s="1">
        <v>697135.38</v>
      </c>
      <c r="K539" s="1">
        <v>457</v>
      </c>
      <c r="L539" s="1">
        <v>113.6646794871796</v>
      </c>
      <c r="M539" s="1">
        <v>112.9156849027213</v>
      </c>
      <c r="N539" s="7">
        <v>45947</v>
      </c>
      <c r="O539" s="1">
        <v>60000</v>
      </c>
      <c r="P539" s="7">
        <v>46059.915684907413</v>
      </c>
      <c r="Q539" s="1" t="s">
        <v>330</v>
      </c>
      <c r="W539" s="3"/>
      <c r="X539" s="3">
        <v>0</v>
      </c>
      <c r="Y539" s="1" t="str">
        <f>VLOOKUP(A539,[1]Detalle!$D$2:$CR$484,93,FALSE)</f>
        <v>Papelera - Papelera del Plata S.A.</v>
      </c>
    </row>
    <row r="540" spans="1:25" ht="14.25" customHeight="1" x14ac:dyDescent="0.3">
      <c r="A540" s="1" t="s">
        <v>161</v>
      </c>
      <c r="B540" s="1" t="s">
        <v>563</v>
      </c>
      <c r="C540" s="1" t="s">
        <v>563</v>
      </c>
      <c r="D540" s="1" t="s">
        <v>564</v>
      </c>
      <c r="E540" s="1" t="s">
        <v>337</v>
      </c>
      <c r="F540" s="1">
        <v>657691</v>
      </c>
      <c r="G540" s="1">
        <v>717691</v>
      </c>
      <c r="H540" s="1">
        <v>12471.9</v>
      </c>
      <c r="I540" s="1">
        <v>47528.100000000013</v>
      </c>
      <c r="J540" s="1">
        <v>670162.9</v>
      </c>
      <c r="K540" s="1">
        <v>108</v>
      </c>
      <c r="L540" s="1">
        <v>112.4813870967742</v>
      </c>
      <c r="M540" s="1">
        <v>411.56798883891003</v>
      </c>
      <c r="N540" s="7">
        <v>45947</v>
      </c>
      <c r="O540" s="1">
        <v>60000</v>
      </c>
      <c r="P540" s="7">
        <v>46358.567988842588</v>
      </c>
      <c r="Q540" s="1" t="s">
        <v>330</v>
      </c>
      <c r="W540" s="3"/>
      <c r="X540" s="3">
        <v>0</v>
      </c>
      <c r="Y540" s="1" t="str">
        <f>VLOOKUP(A540,[1]Detalle!$D$2:$CR$484,93,FALSE)</f>
        <v>Unilever - Unilever de Arg. S.A.</v>
      </c>
    </row>
    <row r="541" spans="1:25" ht="14.25" customHeight="1" x14ac:dyDescent="0.3">
      <c r="A541" s="1" t="s">
        <v>152</v>
      </c>
      <c r="B541" s="1" t="s">
        <v>563</v>
      </c>
      <c r="C541" s="1" t="s">
        <v>563</v>
      </c>
      <c r="D541" s="1" t="s">
        <v>564</v>
      </c>
      <c r="E541" s="1" t="s">
        <v>337</v>
      </c>
      <c r="F541" s="1">
        <v>953293</v>
      </c>
      <c r="G541" s="1">
        <v>1013293</v>
      </c>
      <c r="H541" s="1">
        <v>19115</v>
      </c>
      <c r="I541" s="1">
        <v>40885</v>
      </c>
      <c r="J541" s="1">
        <v>972408</v>
      </c>
      <c r="K541" s="1">
        <v>108</v>
      </c>
      <c r="L541" s="1">
        <v>132.10963696369629</v>
      </c>
      <c r="M541" s="1">
        <v>231.00078472403879</v>
      </c>
      <c r="N541" s="7">
        <v>45947</v>
      </c>
      <c r="O541" s="1">
        <v>60000</v>
      </c>
      <c r="P541" s="7">
        <v>46178.000784722222</v>
      </c>
      <c r="Q541" s="1" t="s">
        <v>330</v>
      </c>
      <c r="W541" s="3"/>
      <c r="X541" s="3">
        <v>0</v>
      </c>
      <c r="Y541" s="1" t="str">
        <f>VLOOKUP(A541,[1]Detalle!$D$2:$CR$484,93,FALSE)</f>
        <v>SUC_REA - Sucursal Realicó</v>
      </c>
    </row>
    <row r="542" spans="1:25" ht="14.25" customHeight="1" x14ac:dyDescent="0.3">
      <c r="A542" s="1" t="s">
        <v>15</v>
      </c>
      <c r="B542" s="1" t="s">
        <v>563</v>
      </c>
      <c r="C542" s="1" t="s">
        <v>563</v>
      </c>
      <c r="D542" s="1" t="s">
        <v>564</v>
      </c>
      <c r="E542" s="6">
        <v>45733</v>
      </c>
      <c r="F542" s="1">
        <v>643965</v>
      </c>
      <c r="G542" s="1">
        <v>703965</v>
      </c>
      <c r="H542" s="1">
        <v>87512.100000000064</v>
      </c>
      <c r="I542" s="1">
        <v>-27512.10000000006</v>
      </c>
      <c r="J542" s="1">
        <v>731477.10000000009</v>
      </c>
      <c r="K542" s="1">
        <v>214</v>
      </c>
      <c r="L542" s="1">
        <v>325</v>
      </c>
      <c r="M542" s="1">
        <v>-67.277432492192617</v>
      </c>
      <c r="N542" s="7">
        <v>45947</v>
      </c>
      <c r="O542" s="1">
        <v>60000</v>
      </c>
      <c r="P542" s="7">
        <v>46182.506580833331</v>
      </c>
      <c r="Q542" s="1" t="s">
        <v>330</v>
      </c>
      <c r="R542" s="6">
        <v>45997.891196215278</v>
      </c>
      <c r="W542" s="3"/>
      <c r="X542" s="3">
        <v>0</v>
      </c>
      <c r="Y542" s="1" t="str">
        <f>VLOOKUP(A542,[1]Detalle!$D$2:$CR$484,93,FALSE)</f>
        <v>CENCOMLD - Cencosud SA - Mendoza</v>
      </c>
    </row>
    <row r="543" spans="1:25" ht="14.25" customHeight="1" x14ac:dyDescent="0.3">
      <c r="A543" s="1" t="s">
        <v>164</v>
      </c>
      <c r="B543" s="1" t="s">
        <v>563</v>
      </c>
      <c r="C543" s="1" t="s">
        <v>563</v>
      </c>
      <c r="D543" s="1" t="s">
        <v>564</v>
      </c>
      <c r="E543" s="1" t="s">
        <v>337</v>
      </c>
      <c r="F543" s="1">
        <v>2152173</v>
      </c>
      <c r="G543" s="1">
        <v>2212173</v>
      </c>
      <c r="H543" s="1">
        <v>12169.1</v>
      </c>
      <c r="I543" s="1">
        <v>47830.899999999987</v>
      </c>
      <c r="J543" s="1">
        <v>2164342.1</v>
      </c>
      <c r="K543" s="1">
        <v>108</v>
      </c>
      <c r="L543" s="1">
        <v>69.022379421221856</v>
      </c>
      <c r="M543" s="1">
        <v>424.49624047793162</v>
      </c>
      <c r="N543" s="7">
        <v>45947</v>
      </c>
      <c r="O543" s="1">
        <v>60000</v>
      </c>
      <c r="P543" s="7">
        <v>46371.496240474538</v>
      </c>
      <c r="Q543" s="1" t="s">
        <v>330</v>
      </c>
      <c r="W543" s="3"/>
      <c r="X543" s="3">
        <v>0</v>
      </c>
      <c r="Y543" s="1" t="str">
        <f>VLOOKUP(A543,[1]Detalle!$D$2:$CR$484,93,FALSE)</f>
        <v>SUC_MEN - Sucursal Mendoza</v>
      </c>
    </row>
    <row r="544" spans="1:25" ht="14.25" customHeight="1" x14ac:dyDescent="0.3">
      <c r="A544" s="1" t="s">
        <v>133</v>
      </c>
      <c r="B544" s="1" t="s">
        <v>563</v>
      </c>
      <c r="C544" s="1" t="s">
        <v>563</v>
      </c>
      <c r="D544" s="1" t="s">
        <v>564</v>
      </c>
      <c r="E544" s="1" t="s">
        <v>337</v>
      </c>
      <c r="G544" s="1">
        <v>897815</v>
      </c>
      <c r="H544" s="1">
        <v>100</v>
      </c>
      <c r="I544" s="1">
        <v>59900</v>
      </c>
      <c r="J544" s="1">
        <v>837915</v>
      </c>
      <c r="L544" s="1">
        <v>846.93875000000003</v>
      </c>
      <c r="N544" s="7">
        <v>45947</v>
      </c>
      <c r="O544" s="1">
        <v>60000</v>
      </c>
      <c r="P544" s="7">
        <v>46088.686751250003</v>
      </c>
      <c r="Q544" s="1" t="s">
        <v>330</v>
      </c>
      <c r="R544" s="6">
        <v>46088.686751250003</v>
      </c>
      <c r="W544" s="3"/>
      <c r="X544" s="3">
        <v>0</v>
      </c>
      <c r="Y544" s="1" t="str">
        <f>VLOOKUP(A544,[1]Detalle!$D$2:$CR$484,93,FALSE)</f>
        <v>CENCOMLD - Cencosud SA - Mendoza</v>
      </c>
    </row>
    <row r="545" spans="1:25" ht="14.25" customHeight="1" x14ac:dyDescent="0.3">
      <c r="A545" s="1" t="s">
        <v>171</v>
      </c>
      <c r="B545" s="1" t="s">
        <v>563</v>
      </c>
      <c r="C545" s="1" t="s">
        <v>563</v>
      </c>
      <c r="D545" s="1" t="s">
        <v>564</v>
      </c>
      <c r="E545" s="1" t="s">
        <v>337</v>
      </c>
      <c r="F545" s="1">
        <v>33664.800000000003</v>
      </c>
      <c r="G545" s="1">
        <v>93664.8</v>
      </c>
      <c r="H545" s="1">
        <v>15342.8</v>
      </c>
      <c r="I545" s="1">
        <v>44657.2</v>
      </c>
      <c r="J545" s="1">
        <v>49007.600000000013</v>
      </c>
      <c r="K545" s="1">
        <v>108</v>
      </c>
      <c r="L545" s="1">
        <v>130.96596721311471</v>
      </c>
      <c r="M545" s="1">
        <v>314.34794170555563</v>
      </c>
      <c r="N545" s="7">
        <v>45947</v>
      </c>
      <c r="O545" s="1">
        <v>60000</v>
      </c>
      <c r="P545" s="7">
        <v>46261.347941701388</v>
      </c>
      <c r="Q545" s="1" t="s">
        <v>330</v>
      </c>
      <c r="W545" s="3"/>
      <c r="X545" s="3">
        <v>0</v>
      </c>
      <c r="Y545" s="1" t="str">
        <f>VLOOKUP(A545,[1]Detalle!$D$2:$CR$484,93,FALSE)</f>
        <v>CENCO_MZ - Cencosud SA - Mendoza</v>
      </c>
    </row>
    <row r="546" spans="1:25" ht="14.25" customHeight="1" x14ac:dyDescent="0.3">
      <c r="A546" s="1" t="s">
        <v>51</v>
      </c>
      <c r="B546" s="1" t="s">
        <v>563</v>
      </c>
      <c r="C546" s="1" t="s">
        <v>563</v>
      </c>
      <c r="D546" s="1" t="s">
        <v>564</v>
      </c>
      <c r="E546" s="1" t="s">
        <v>337</v>
      </c>
      <c r="F546" s="1">
        <v>62508.4</v>
      </c>
      <c r="G546" s="1">
        <v>122508.4</v>
      </c>
      <c r="H546" s="1">
        <v>2224.6</v>
      </c>
      <c r="I546" s="1">
        <v>57775.4</v>
      </c>
      <c r="J546" s="1">
        <v>64733</v>
      </c>
      <c r="K546" s="1">
        <v>108</v>
      </c>
      <c r="L546" s="1">
        <v>21.44832713754645</v>
      </c>
      <c r="M546" s="1">
        <v>2804.883214959993</v>
      </c>
      <c r="N546" s="7">
        <v>45947</v>
      </c>
      <c r="O546" s="1">
        <v>60000</v>
      </c>
      <c r="P546" s="7">
        <v>46174</v>
      </c>
      <c r="Q546" s="1" t="s">
        <v>330</v>
      </c>
      <c r="W546" s="3"/>
      <c r="X546" s="3">
        <v>0</v>
      </c>
      <c r="Y546" s="1" t="str">
        <f>VLOOKUP(A546,[1]Detalle!$D$2:$CR$484,93,FALSE)</f>
        <v>CMQ_TTE - QUILMES TTE</v>
      </c>
    </row>
    <row r="547" spans="1:25" ht="14.25" customHeight="1" x14ac:dyDescent="0.3">
      <c r="A547" s="1" t="s">
        <v>54</v>
      </c>
      <c r="B547" s="1" t="s">
        <v>563</v>
      </c>
      <c r="C547" s="1" t="s">
        <v>563</v>
      </c>
      <c r="D547" s="1" t="s">
        <v>564</v>
      </c>
      <c r="E547" s="1" t="s">
        <v>337</v>
      </c>
      <c r="F547" s="1">
        <v>46127.5</v>
      </c>
      <c r="G547" s="1">
        <v>106127.5</v>
      </c>
      <c r="H547" s="1">
        <v>2810.9</v>
      </c>
      <c r="I547" s="1">
        <v>57189.1</v>
      </c>
      <c r="J547" s="1">
        <v>48938.400000000001</v>
      </c>
      <c r="K547" s="1">
        <v>108</v>
      </c>
      <c r="L547" s="1">
        <v>37.059548872180457</v>
      </c>
      <c r="M547" s="1">
        <v>2197.31146607848</v>
      </c>
      <c r="N547" s="7">
        <v>45947</v>
      </c>
      <c r="O547" s="1">
        <v>60000</v>
      </c>
      <c r="P547" s="7">
        <v>46174</v>
      </c>
      <c r="Q547" s="1" t="s">
        <v>330</v>
      </c>
      <c r="W547" s="3"/>
      <c r="X547" s="3">
        <v>0</v>
      </c>
      <c r="Y547" s="1" t="str">
        <f>VLOOKUP(A547,[1]Detalle!$D$2:$CR$484,93,FALSE)</f>
        <v>CMQ_TTE - QUILMES TTE</v>
      </c>
    </row>
    <row r="548" spans="1:25" ht="14.25" customHeight="1" x14ac:dyDescent="0.3">
      <c r="A548" s="1" t="s">
        <v>67</v>
      </c>
      <c r="B548" s="1" t="s">
        <v>563</v>
      </c>
      <c r="C548" s="1" t="s">
        <v>563</v>
      </c>
      <c r="D548" s="1" t="s">
        <v>564</v>
      </c>
      <c r="E548" s="1" t="s">
        <v>337</v>
      </c>
      <c r="F548" s="1">
        <v>52756</v>
      </c>
      <c r="G548" s="1">
        <v>112756</v>
      </c>
      <c r="H548" s="1">
        <v>3546.400000000001</v>
      </c>
      <c r="I548" s="1">
        <v>56453.599999999999</v>
      </c>
      <c r="J548" s="1">
        <v>56302.400000000001</v>
      </c>
      <c r="K548" s="1">
        <v>108</v>
      </c>
      <c r="L548" s="1">
        <v>24.52509293680297</v>
      </c>
      <c r="M548" s="1">
        <v>1719.2050530115041</v>
      </c>
      <c r="N548" s="7">
        <v>45947</v>
      </c>
      <c r="O548" s="1">
        <v>60000</v>
      </c>
      <c r="P548" s="7">
        <v>46174</v>
      </c>
      <c r="Q548" s="1" t="s">
        <v>330</v>
      </c>
      <c r="W548" s="3"/>
      <c r="X548" s="3">
        <v>0</v>
      </c>
      <c r="Y548" s="1" t="str">
        <f>VLOOKUP(A548,[1]Detalle!$D$2:$CR$484,93,FALSE)</f>
        <v>CMQ_TTE - QUILMES TTE</v>
      </c>
    </row>
    <row r="549" spans="1:25" ht="14.25" customHeight="1" x14ac:dyDescent="0.3">
      <c r="A549" s="1" t="s">
        <v>2</v>
      </c>
      <c r="B549" s="1" t="s">
        <v>563</v>
      </c>
      <c r="C549" s="1" t="s">
        <v>563</v>
      </c>
      <c r="D549" s="1" t="s">
        <v>564</v>
      </c>
      <c r="E549" s="1" t="s">
        <v>337</v>
      </c>
      <c r="F549" s="1">
        <v>14205</v>
      </c>
      <c r="G549" s="1">
        <v>74205</v>
      </c>
      <c r="H549" s="1">
        <v>12306.6</v>
      </c>
      <c r="I549" s="1">
        <v>47693.399999999987</v>
      </c>
      <c r="J549" s="1">
        <v>26511.600000000009</v>
      </c>
      <c r="K549" s="1">
        <v>108</v>
      </c>
      <c r="L549" s="1">
        <v>68.135242718446577</v>
      </c>
      <c r="M549" s="1">
        <v>418.54673102237808</v>
      </c>
      <c r="N549" s="7">
        <v>45947</v>
      </c>
      <c r="O549" s="1">
        <v>60000</v>
      </c>
      <c r="P549" s="7">
        <v>46365.546731018519</v>
      </c>
      <c r="Q549" s="1" t="s">
        <v>330</v>
      </c>
      <c r="W549" s="3"/>
      <c r="X549" s="3">
        <v>0</v>
      </c>
      <c r="Y549" s="1" t="str">
        <f>VLOOKUP(A549,[1]Detalle!$D$2:$CR$484,93,FALSE)</f>
        <v>Unilever - Unilever de Arg. S.A.</v>
      </c>
    </row>
    <row r="550" spans="1:25" ht="14.25" customHeight="1" x14ac:dyDescent="0.3">
      <c r="A550" s="1" t="s">
        <v>192</v>
      </c>
      <c r="B550" s="1" t="s">
        <v>563</v>
      </c>
      <c r="C550" s="1" t="s">
        <v>563</v>
      </c>
      <c r="D550" s="1" t="s">
        <v>564</v>
      </c>
      <c r="E550" s="1" t="s">
        <v>337</v>
      </c>
      <c r="F550" s="1">
        <v>135569</v>
      </c>
      <c r="G550" s="1">
        <v>195569</v>
      </c>
      <c r="H550" s="1">
        <v>0.4</v>
      </c>
      <c r="I550" s="1">
        <v>59999.6</v>
      </c>
      <c r="J550" s="1">
        <v>135569.4</v>
      </c>
      <c r="K550" s="1">
        <v>108</v>
      </c>
      <c r="L550" s="1">
        <v>9.0852830188679246</v>
      </c>
      <c r="M550" s="1">
        <v>16199892</v>
      </c>
      <c r="N550" s="7">
        <v>45947</v>
      </c>
      <c r="O550" s="1">
        <v>60000</v>
      </c>
      <c r="P550" s="7">
        <v>46174</v>
      </c>
      <c r="Q550" s="1" t="s">
        <v>330</v>
      </c>
      <c r="W550" s="3"/>
      <c r="X550" s="3">
        <v>0</v>
      </c>
      <c r="Y550" s="1" t="str">
        <f>VLOOKUP(A550,[1]Detalle!$D$2:$CR$484,93,FALSE)</f>
        <v>Sin Operación</v>
      </c>
    </row>
    <row r="551" spans="1:25" ht="14.25" customHeight="1" x14ac:dyDescent="0.3">
      <c r="A551" s="1" t="s">
        <v>197</v>
      </c>
      <c r="B551" s="1" t="s">
        <v>563</v>
      </c>
      <c r="C551" s="1" t="s">
        <v>563</v>
      </c>
      <c r="D551" s="1" t="s">
        <v>564</v>
      </c>
      <c r="E551" s="6">
        <v>45742</v>
      </c>
      <c r="F551" s="1">
        <v>165564</v>
      </c>
      <c r="G551" s="1">
        <v>225564</v>
      </c>
      <c r="H551" s="1">
        <v>454.69999999999987</v>
      </c>
      <c r="I551" s="1">
        <v>59545.3</v>
      </c>
      <c r="J551" s="1">
        <v>166018.70000000001</v>
      </c>
      <c r="K551" s="1">
        <v>205</v>
      </c>
      <c r="L551" s="1">
        <v>3.1153992395437262</v>
      </c>
      <c r="M551" s="1">
        <v>26845.802727072802</v>
      </c>
      <c r="N551" s="7">
        <v>45947</v>
      </c>
      <c r="O551" s="1">
        <v>60000</v>
      </c>
      <c r="P551" s="7">
        <v>46174</v>
      </c>
      <c r="Q551" s="1" t="s">
        <v>330</v>
      </c>
      <c r="W551" s="3"/>
      <c r="X551" s="3">
        <v>0</v>
      </c>
      <c r="Y551" s="1" t="str">
        <f>VLOOKUP(A551,[1]Detalle!$D$2:$CR$484,93,FALSE)</f>
        <v>Sin Operación</v>
      </c>
    </row>
    <row r="552" spans="1:25" ht="14.25" customHeight="1" x14ac:dyDescent="0.3">
      <c r="A552" s="1" t="s">
        <v>206</v>
      </c>
      <c r="B552" s="1" t="s">
        <v>563</v>
      </c>
      <c r="C552" s="1" t="s">
        <v>563</v>
      </c>
      <c r="D552" s="1" t="s">
        <v>564</v>
      </c>
      <c r="E552" s="6">
        <v>45629</v>
      </c>
      <c r="F552" s="1">
        <v>219185</v>
      </c>
      <c r="G552" s="1">
        <v>279185</v>
      </c>
      <c r="H552" s="1">
        <v>3311.199999999998</v>
      </c>
      <c r="I552" s="1">
        <v>56688.800000000003</v>
      </c>
      <c r="J552" s="1">
        <v>222496.2</v>
      </c>
      <c r="K552" s="1">
        <v>318</v>
      </c>
      <c r="L552" s="1">
        <v>9.7282442748091569</v>
      </c>
      <c r="M552" s="1">
        <v>5444.261415800921</v>
      </c>
      <c r="N552" s="7">
        <v>45947</v>
      </c>
      <c r="O552" s="1">
        <v>60000</v>
      </c>
      <c r="P552" s="7">
        <v>46174</v>
      </c>
      <c r="Q552" s="1" t="s">
        <v>330</v>
      </c>
      <c r="W552" s="3"/>
      <c r="X552" s="3">
        <v>0</v>
      </c>
      <c r="Y552" s="1" t="str">
        <f>VLOOKUP(A552,[1]Detalle!$D$2:$CR$484,93,FALSE)</f>
        <v>Sin Operación</v>
      </c>
    </row>
    <row r="553" spans="1:25" ht="14.25" customHeight="1" x14ac:dyDescent="0.3">
      <c r="A553" s="1" t="s">
        <v>236</v>
      </c>
      <c r="B553" s="1" t="s">
        <v>563</v>
      </c>
      <c r="C553" s="1" t="s">
        <v>563</v>
      </c>
      <c r="D553" s="1" t="s">
        <v>564</v>
      </c>
      <c r="E553" s="6">
        <v>45735</v>
      </c>
      <c r="F553" s="1">
        <v>975693</v>
      </c>
      <c r="G553" s="1">
        <v>1035693</v>
      </c>
      <c r="H553" s="1">
        <v>65884.600000000006</v>
      </c>
      <c r="I553" s="1">
        <v>-5884.6000000000058</v>
      </c>
      <c r="J553" s="1">
        <v>1041577.6</v>
      </c>
      <c r="K553" s="1">
        <v>212</v>
      </c>
      <c r="L553" s="1">
        <v>455.32846441947561</v>
      </c>
      <c r="M553" s="1">
        <v>-18.935156318775569</v>
      </c>
      <c r="N553" s="7">
        <v>45947</v>
      </c>
      <c r="O553" s="1">
        <v>60000</v>
      </c>
      <c r="P553" s="7">
        <v>46078.773004953713</v>
      </c>
      <c r="Q553" s="1" t="s">
        <v>330</v>
      </c>
      <c r="W553" s="3"/>
      <c r="X553" s="3">
        <v>0</v>
      </c>
      <c r="Y553" s="1" t="str">
        <f>VLOOKUP(A553,[1]Detalle!$D$2:$CR$484,93,FALSE)</f>
        <v>CENCOMLD - Cencosud SA - Mendoza</v>
      </c>
    </row>
    <row r="554" spans="1:25" ht="14.25" customHeight="1" x14ac:dyDescent="0.3">
      <c r="A554" s="1" t="s">
        <v>235</v>
      </c>
      <c r="B554" s="1" t="s">
        <v>563</v>
      </c>
      <c r="C554" s="1" t="s">
        <v>563</v>
      </c>
      <c r="D554" s="1" t="s">
        <v>564</v>
      </c>
      <c r="E554" s="6">
        <v>45797</v>
      </c>
      <c r="F554" s="1">
        <v>991392</v>
      </c>
      <c r="G554" s="1">
        <v>1051392</v>
      </c>
      <c r="H554" s="1">
        <v>42888.2</v>
      </c>
      <c r="I554" s="1">
        <v>17111.8</v>
      </c>
      <c r="J554" s="1">
        <v>1034280.2</v>
      </c>
      <c r="K554" s="1">
        <v>150</v>
      </c>
      <c r="L554" s="1">
        <v>263.69237037037038</v>
      </c>
      <c r="M554" s="1">
        <v>59.84793019991514</v>
      </c>
      <c r="N554" s="7">
        <v>45947</v>
      </c>
      <c r="O554" s="1">
        <v>60000</v>
      </c>
      <c r="P554" s="7">
        <v>46234.385799097217</v>
      </c>
      <c r="Q554" s="1" t="s">
        <v>330</v>
      </c>
      <c r="W554" s="3"/>
      <c r="X554" s="3">
        <v>0</v>
      </c>
      <c r="Y554" s="1" t="str">
        <f>VLOOKUP(A554,[1]Detalle!$D$2:$CR$484,93,FALSE)</f>
        <v>CENCOMLD - Cencosud SA - Mendoza</v>
      </c>
    </row>
    <row r="555" spans="1:25" ht="14.25" customHeight="1" x14ac:dyDescent="0.3">
      <c r="A555" s="1" t="s">
        <v>237</v>
      </c>
      <c r="B555" s="1" t="s">
        <v>563</v>
      </c>
      <c r="C555" s="1" t="s">
        <v>563</v>
      </c>
      <c r="D555" s="1" t="s">
        <v>564</v>
      </c>
      <c r="E555" s="6">
        <v>45791</v>
      </c>
      <c r="F555" s="1">
        <v>804800</v>
      </c>
      <c r="G555" s="1">
        <v>864800</v>
      </c>
      <c r="H555" s="1">
        <v>23755.3</v>
      </c>
      <c r="I555" s="1">
        <v>36244.699999999997</v>
      </c>
      <c r="J555" s="1">
        <v>828555.3</v>
      </c>
      <c r="K555" s="1">
        <v>156</v>
      </c>
      <c r="L555" s="1">
        <v>518.64529411764704</v>
      </c>
      <c r="M555" s="1">
        <v>238.01733507890859</v>
      </c>
      <c r="N555" s="7">
        <v>45947</v>
      </c>
      <c r="O555" s="1">
        <v>60000</v>
      </c>
      <c r="P555" s="7">
        <v>46185.017335081022</v>
      </c>
      <c r="Q555" s="1" t="s">
        <v>330</v>
      </c>
      <c r="W555" s="3"/>
      <c r="X555" s="3">
        <v>0</v>
      </c>
      <c r="Y555" s="1" t="str">
        <f>VLOOKUP(A555,[1]Detalle!$D$2:$CR$484,93,FALSE)</f>
        <v>CENCOMLD - Cencosud SA - Mendoza</v>
      </c>
    </row>
    <row r="556" spans="1:25" ht="14.25" customHeight="1" x14ac:dyDescent="0.3">
      <c r="A556" s="1" t="s">
        <v>225</v>
      </c>
      <c r="B556" s="1" t="s">
        <v>563</v>
      </c>
      <c r="C556" s="1" t="s">
        <v>563</v>
      </c>
      <c r="D556" s="1" t="s">
        <v>564</v>
      </c>
      <c r="E556" s="1" t="s">
        <v>337</v>
      </c>
      <c r="F556" s="1">
        <v>163523</v>
      </c>
      <c r="G556" s="1">
        <v>223523</v>
      </c>
      <c r="H556" s="1">
        <v>2.1</v>
      </c>
      <c r="I556" s="1">
        <v>59997.9</v>
      </c>
      <c r="J556" s="1">
        <v>163525.1</v>
      </c>
      <c r="K556" s="1">
        <v>108</v>
      </c>
      <c r="L556" s="1">
        <v>5.6607954545454557</v>
      </c>
      <c r="M556" s="1">
        <v>3085606.2857142859</v>
      </c>
      <c r="N556" s="7">
        <v>45947</v>
      </c>
      <c r="O556" s="1">
        <v>60000</v>
      </c>
      <c r="P556" s="7">
        <v>46174</v>
      </c>
      <c r="Q556" s="1" t="s">
        <v>330</v>
      </c>
      <c r="W556" s="3"/>
      <c r="X556" s="3">
        <v>0</v>
      </c>
      <c r="Y556" s="1" t="str">
        <f>VLOOKUP(A556,[1]Detalle!$D$2:$CR$484,93,FALSE)</f>
        <v>Sin Operación</v>
      </c>
    </row>
    <row r="557" spans="1:25" ht="14.25" customHeight="1" x14ac:dyDescent="0.3">
      <c r="A557" s="1" t="s">
        <v>148</v>
      </c>
      <c r="B557" s="1" t="s">
        <v>563</v>
      </c>
      <c r="C557" s="1" t="s">
        <v>563</v>
      </c>
      <c r="D557" s="1" t="s">
        <v>564</v>
      </c>
      <c r="E557" s="1" t="s">
        <v>337</v>
      </c>
      <c r="F557" s="1">
        <v>802722</v>
      </c>
      <c r="G557" s="1">
        <v>862722</v>
      </c>
      <c r="H557" s="1">
        <v>14655.30000000001</v>
      </c>
      <c r="I557" s="1">
        <v>45344.69999999999</v>
      </c>
      <c r="J557" s="1">
        <v>817377.3</v>
      </c>
      <c r="K557" s="1">
        <v>108</v>
      </c>
      <c r="L557" s="1">
        <v>100.27773026315791</v>
      </c>
      <c r="M557" s="1">
        <v>334.16085648195502</v>
      </c>
      <c r="N557" s="7">
        <v>45947</v>
      </c>
      <c r="O557" s="1">
        <v>60000</v>
      </c>
      <c r="P557" s="7">
        <v>46281.160856481481</v>
      </c>
      <c r="Q557" s="1" t="s">
        <v>330</v>
      </c>
      <c r="W557" s="3"/>
      <c r="X557" s="3">
        <v>0</v>
      </c>
      <c r="Y557" s="1" t="str">
        <f>VLOOKUP(A557,[1]Detalle!$D$2:$CR$484,93,FALSE)</f>
        <v>Unilever - Unilever de Arg. S.A.</v>
      </c>
    </row>
    <row r="558" spans="1:25" ht="14.25" customHeight="1" x14ac:dyDescent="0.3">
      <c r="A558" s="1" t="s">
        <v>174</v>
      </c>
      <c r="B558" s="1" t="s">
        <v>563</v>
      </c>
      <c r="C558" s="1" t="s">
        <v>563</v>
      </c>
      <c r="D558" s="1" t="s">
        <v>564</v>
      </c>
      <c r="E558" s="1" t="s">
        <v>337</v>
      </c>
      <c r="F558" s="1">
        <v>23487.8</v>
      </c>
      <c r="G558" s="1">
        <v>83487.8</v>
      </c>
      <c r="H558" s="1">
        <v>11983.499999999991</v>
      </c>
      <c r="I558" s="1">
        <v>48016.500000000007</v>
      </c>
      <c r="J558" s="1">
        <v>35471.300000000003</v>
      </c>
      <c r="K558" s="1">
        <v>108</v>
      </c>
      <c r="L558" s="1">
        <v>71.271935483870948</v>
      </c>
      <c r="M558" s="1">
        <v>432.7435223432222</v>
      </c>
      <c r="N558" s="7">
        <v>45947</v>
      </c>
      <c r="O558" s="1">
        <v>60000</v>
      </c>
      <c r="P558" s="7">
        <v>46379.743522337973</v>
      </c>
      <c r="Q558" s="1" t="s">
        <v>330</v>
      </c>
      <c r="W558" s="3"/>
      <c r="X558" s="3">
        <v>0</v>
      </c>
      <c r="Y558" s="1" t="str">
        <f>VLOOKUP(A558,[1]Detalle!$D$2:$CR$484,93,FALSE)</f>
        <v>Unilever - Unilever de Arg. S.A.</v>
      </c>
    </row>
    <row r="559" spans="1:25" ht="14.25" customHeight="1" x14ac:dyDescent="0.3">
      <c r="A559" s="1" t="s">
        <v>92</v>
      </c>
      <c r="B559" s="1" t="s">
        <v>563</v>
      </c>
      <c r="C559" s="1" t="s">
        <v>563</v>
      </c>
      <c r="D559" s="1" t="s">
        <v>564</v>
      </c>
      <c r="E559" s="1" t="s">
        <v>337</v>
      </c>
      <c r="F559" s="1">
        <v>23673.5</v>
      </c>
      <c r="G559" s="1">
        <v>83673.5</v>
      </c>
      <c r="H559" s="1">
        <v>12164.1</v>
      </c>
      <c r="I559" s="1">
        <v>47835.9</v>
      </c>
      <c r="J559" s="1">
        <v>35837.599999999999</v>
      </c>
      <c r="K559" s="1">
        <v>108</v>
      </c>
      <c r="L559" s="1">
        <v>65.871929260450116</v>
      </c>
      <c r="M559" s="1">
        <v>424.71512072409803</v>
      </c>
      <c r="N559" s="7">
        <v>45947</v>
      </c>
      <c r="O559" s="1">
        <v>60000</v>
      </c>
      <c r="P559" s="7">
        <v>46371.715120729168</v>
      </c>
      <c r="Q559" s="1" t="s">
        <v>330</v>
      </c>
      <c r="W559" s="3"/>
      <c r="X559" s="3">
        <v>0</v>
      </c>
      <c r="Y559" s="1" t="str">
        <f>VLOOKUP(A559,[1]Detalle!$D$2:$CR$484,93,FALSE)</f>
        <v>Unilever - Unilever de Arg. S.A.</v>
      </c>
    </row>
    <row r="560" spans="1:25" ht="14.25" customHeight="1" x14ac:dyDescent="0.3">
      <c r="A560" s="1" t="s">
        <v>19</v>
      </c>
      <c r="B560" s="1" t="s">
        <v>565</v>
      </c>
      <c r="C560" s="1" t="s">
        <v>565</v>
      </c>
      <c r="D560" s="1" t="s">
        <v>566</v>
      </c>
      <c r="E560" s="6">
        <v>45727</v>
      </c>
      <c r="F560" s="1">
        <v>469782</v>
      </c>
      <c r="G560" s="1">
        <v>569782</v>
      </c>
      <c r="H560" s="1">
        <v>70907.900000000009</v>
      </c>
      <c r="I560" s="1">
        <v>29092.099999999991</v>
      </c>
      <c r="J560" s="1">
        <v>540689.9</v>
      </c>
      <c r="K560" s="1">
        <v>220</v>
      </c>
      <c r="L560" s="1">
        <v>844.57346863468638</v>
      </c>
      <c r="M560" s="1">
        <v>90.261621060558795</v>
      </c>
      <c r="N560" s="7">
        <v>45947</v>
      </c>
      <c r="O560" s="1">
        <v>100000</v>
      </c>
      <c r="P560" s="7">
        <v>46037.261621064812</v>
      </c>
      <c r="Q560" s="1" t="s">
        <v>330</v>
      </c>
      <c r="T560" s="1" t="s">
        <v>567</v>
      </c>
      <c r="U560" s="1" t="s">
        <v>568</v>
      </c>
      <c r="V560" s="1">
        <v>1</v>
      </c>
      <c r="W560" s="3">
        <v>4750.05</v>
      </c>
      <c r="X560" s="3">
        <v>4750.05</v>
      </c>
      <c r="Y560" s="1" t="str">
        <f>VLOOKUP(A560,[1]Detalle!$D$2:$CR$484,93,FALSE)</f>
        <v>CENCOMLD - Cencosud SA - Mendoza</v>
      </c>
    </row>
    <row r="561" spans="1:25" ht="14.25" customHeight="1" x14ac:dyDescent="0.3">
      <c r="A561" s="1" t="s">
        <v>5</v>
      </c>
      <c r="B561" s="1" t="s">
        <v>565</v>
      </c>
      <c r="C561" s="1" t="s">
        <v>565</v>
      </c>
      <c r="D561" s="1" t="s">
        <v>566</v>
      </c>
      <c r="E561" s="1" t="s">
        <v>337</v>
      </c>
      <c r="F561" s="1">
        <v>690966</v>
      </c>
      <c r="G561" s="1">
        <v>790966</v>
      </c>
      <c r="H561" s="1">
        <v>25694.5</v>
      </c>
      <c r="I561" s="1">
        <v>74305.5</v>
      </c>
      <c r="J561" s="1">
        <v>716660.5</v>
      </c>
      <c r="K561" s="1">
        <v>93</v>
      </c>
      <c r="L561" s="1">
        <v>276.33435114503811</v>
      </c>
      <c r="M561" s="1">
        <v>268.94516336180891</v>
      </c>
      <c r="N561" s="7">
        <v>45947</v>
      </c>
      <c r="O561" s="1">
        <v>100000</v>
      </c>
      <c r="P561" s="7">
        <v>46215.945163356482</v>
      </c>
      <c r="Q561" s="1" t="s">
        <v>330</v>
      </c>
      <c r="T561" s="1" t="s">
        <v>567</v>
      </c>
      <c r="U561" s="1" t="s">
        <v>568</v>
      </c>
      <c r="V561" s="1">
        <v>1</v>
      </c>
      <c r="W561" s="3">
        <v>4750.05</v>
      </c>
      <c r="X561" s="3">
        <v>4750.05</v>
      </c>
      <c r="Y561" s="1" t="str">
        <f>VLOOKUP(A561,[1]Detalle!$D$2:$CR$484,93,FALSE)</f>
        <v>ADA_CH - Danone Arg. S.A. - Chascomus</v>
      </c>
    </row>
    <row r="562" spans="1:25" ht="14.25" customHeight="1" x14ac:dyDescent="0.3">
      <c r="A562" s="1" t="s">
        <v>8</v>
      </c>
      <c r="B562" s="1" t="s">
        <v>565</v>
      </c>
      <c r="C562" s="1" t="s">
        <v>565</v>
      </c>
      <c r="D562" s="1" t="s">
        <v>566</v>
      </c>
      <c r="E562" s="1" t="s">
        <v>337</v>
      </c>
      <c r="F562" s="1">
        <v>722255</v>
      </c>
      <c r="G562" s="1">
        <v>822255</v>
      </c>
      <c r="H562" s="1">
        <v>28085.099999999991</v>
      </c>
      <c r="I562" s="1">
        <v>71914.900000000009</v>
      </c>
      <c r="J562" s="1">
        <v>750340.1</v>
      </c>
      <c r="K562" s="1">
        <v>93</v>
      </c>
      <c r="L562" s="1">
        <v>286.50848708487092</v>
      </c>
      <c r="M562" s="1">
        <v>238.13643889464529</v>
      </c>
      <c r="N562" s="7">
        <v>45947</v>
      </c>
      <c r="O562" s="1">
        <v>100000</v>
      </c>
      <c r="P562" s="7">
        <v>46185.136438888891</v>
      </c>
      <c r="Q562" s="1" t="s">
        <v>330</v>
      </c>
      <c r="T562" s="1" t="s">
        <v>567</v>
      </c>
      <c r="U562" s="1" t="s">
        <v>568</v>
      </c>
      <c r="V562" s="1">
        <v>1</v>
      </c>
      <c r="W562" s="3">
        <v>4750.05</v>
      </c>
      <c r="X562" s="3">
        <v>4750.05</v>
      </c>
      <c r="Y562" s="1" t="str">
        <f>VLOOKUP(A562,[1]Detalle!$D$2:$CR$484,93,FALSE)</f>
        <v>ADA_CH - Danone Arg. S.A. - Chascomus</v>
      </c>
    </row>
    <row r="563" spans="1:25" ht="14.25" customHeight="1" x14ac:dyDescent="0.3">
      <c r="A563" s="1" t="s">
        <v>11</v>
      </c>
      <c r="B563" s="1" t="s">
        <v>565</v>
      </c>
      <c r="C563" s="1" t="s">
        <v>565</v>
      </c>
      <c r="D563" s="1" t="s">
        <v>566</v>
      </c>
      <c r="E563" s="1" t="s">
        <v>337</v>
      </c>
      <c r="F563" s="1">
        <v>765628</v>
      </c>
      <c r="G563" s="1">
        <v>865628</v>
      </c>
      <c r="H563" s="1">
        <v>28548.900000000009</v>
      </c>
      <c r="I563" s="1">
        <v>71451.099999999991</v>
      </c>
      <c r="J563" s="1">
        <v>794176.9</v>
      </c>
      <c r="K563" s="1">
        <v>93</v>
      </c>
      <c r="L563" s="1">
        <v>323.09338235294098</v>
      </c>
      <c r="M563" s="1">
        <v>232.75685928354491</v>
      </c>
      <c r="N563" s="7">
        <v>45947</v>
      </c>
      <c r="O563" s="1">
        <v>100000</v>
      </c>
      <c r="P563" s="7">
        <v>46179.75685928241</v>
      </c>
      <c r="Q563" s="1" t="s">
        <v>330</v>
      </c>
      <c r="T563" s="1" t="s">
        <v>567</v>
      </c>
      <c r="U563" s="1" t="s">
        <v>568</v>
      </c>
      <c r="V563" s="1">
        <v>1</v>
      </c>
      <c r="W563" s="3">
        <v>4750.05</v>
      </c>
      <c r="X563" s="3">
        <v>4750.05</v>
      </c>
      <c r="Y563" s="1" t="str">
        <f>VLOOKUP(A563,[1]Detalle!$D$2:$CR$484,93,FALSE)</f>
        <v>ADA_CH - Danone Arg. S.A. - Chascomus</v>
      </c>
    </row>
    <row r="564" spans="1:25" ht="14.25" customHeight="1" x14ac:dyDescent="0.3">
      <c r="A564" s="1" t="s">
        <v>10</v>
      </c>
      <c r="B564" s="1" t="s">
        <v>565</v>
      </c>
      <c r="C564" s="1" t="s">
        <v>565</v>
      </c>
      <c r="D564" s="1" t="s">
        <v>566</v>
      </c>
      <c r="E564" s="1" t="s">
        <v>337</v>
      </c>
      <c r="F564" s="1">
        <v>691593</v>
      </c>
      <c r="G564" s="1">
        <v>791593</v>
      </c>
      <c r="H564" s="1">
        <v>21650.30000000001</v>
      </c>
      <c r="I564" s="1">
        <v>78349.7</v>
      </c>
      <c r="J564" s="1">
        <v>713243.3</v>
      </c>
      <c r="K564" s="1">
        <v>93</v>
      </c>
      <c r="L564" s="1">
        <v>266.81618518518519</v>
      </c>
      <c r="M564" s="1">
        <v>336.55524865706241</v>
      </c>
      <c r="N564" s="7">
        <v>45947</v>
      </c>
      <c r="O564" s="1">
        <v>100000</v>
      </c>
      <c r="P564" s="7">
        <v>46283.555248657409</v>
      </c>
      <c r="Q564" s="1" t="s">
        <v>330</v>
      </c>
      <c r="T564" s="1" t="s">
        <v>567</v>
      </c>
      <c r="U564" s="1" t="s">
        <v>568</v>
      </c>
      <c r="V564" s="1">
        <v>1</v>
      </c>
      <c r="W564" s="3">
        <v>4750.05</v>
      </c>
      <c r="X564" s="3">
        <v>4750.05</v>
      </c>
      <c r="Y564" s="1" t="str">
        <f>VLOOKUP(A564,[1]Detalle!$D$2:$CR$484,93,FALSE)</f>
        <v>ADA_CH - Danone Arg. S.A. - Chascomus</v>
      </c>
    </row>
    <row r="565" spans="1:25" ht="14.25" customHeight="1" x14ac:dyDescent="0.3">
      <c r="A565" s="1" t="s">
        <v>14</v>
      </c>
      <c r="B565" s="1" t="s">
        <v>565</v>
      </c>
      <c r="C565" s="1" t="s">
        <v>565</v>
      </c>
      <c r="D565" s="1" t="s">
        <v>566</v>
      </c>
      <c r="E565" s="1" t="s">
        <v>337</v>
      </c>
      <c r="F565" s="1">
        <v>752778</v>
      </c>
      <c r="G565" s="1">
        <v>852778</v>
      </c>
      <c r="H565" s="1">
        <v>22757.200000000019</v>
      </c>
      <c r="I565" s="1">
        <v>77242.799999999988</v>
      </c>
      <c r="J565" s="1">
        <v>775535.20000000007</v>
      </c>
      <c r="K565" s="1">
        <v>93</v>
      </c>
      <c r="L565" s="1">
        <v>276.97442748091589</v>
      </c>
      <c r="M565" s="1">
        <v>315.66187404425818</v>
      </c>
      <c r="N565" s="7">
        <v>45947</v>
      </c>
      <c r="O565" s="1">
        <v>100000</v>
      </c>
      <c r="P565" s="7">
        <v>46262.661874039353</v>
      </c>
      <c r="Q565" s="1" t="s">
        <v>330</v>
      </c>
      <c r="T565" s="1" t="s">
        <v>567</v>
      </c>
      <c r="U565" s="1" t="s">
        <v>568</v>
      </c>
      <c r="V565" s="1">
        <v>1</v>
      </c>
      <c r="W565" s="3">
        <v>4750.05</v>
      </c>
      <c r="X565" s="3">
        <v>4750.05</v>
      </c>
      <c r="Y565" s="1" t="str">
        <f>VLOOKUP(A565,[1]Detalle!$D$2:$CR$484,93,FALSE)</f>
        <v>ADA_CH - Danone Arg. S.A. - Chascomus</v>
      </c>
    </row>
    <row r="566" spans="1:25" ht="14.25" customHeight="1" x14ac:dyDescent="0.3">
      <c r="A566" s="1" t="s">
        <v>12</v>
      </c>
      <c r="B566" s="1" t="s">
        <v>565</v>
      </c>
      <c r="C566" s="1" t="s">
        <v>565</v>
      </c>
      <c r="D566" s="1" t="s">
        <v>566</v>
      </c>
      <c r="E566" s="1" t="s">
        <v>337</v>
      </c>
      <c r="F566" s="1">
        <v>845528</v>
      </c>
      <c r="G566" s="1">
        <v>945528</v>
      </c>
      <c r="H566" s="1">
        <v>33411.699999999997</v>
      </c>
      <c r="I566" s="1">
        <v>66588.299999999988</v>
      </c>
      <c r="J566" s="1">
        <v>878939.7</v>
      </c>
      <c r="K566" s="1">
        <v>93</v>
      </c>
      <c r="L566" s="1">
        <v>323.35572519083951</v>
      </c>
      <c r="M566" s="1">
        <v>185.345609472131</v>
      </c>
      <c r="N566" s="7">
        <v>45947</v>
      </c>
      <c r="O566" s="1">
        <v>100000</v>
      </c>
      <c r="P566" s="7">
        <v>46132.345609467593</v>
      </c>
      <c r="Q566" s="1" t="s">
        <v>330</v>
      </c>
      <c r="T566" s="1" t="s">
        <v>567</v>
      </c>
      <c r="U566" s="1" t="s">
        <v>568</v>
      </c>
      <c r="V566" s="1">
        <v>1</v>
      </c>
      <c r="W566" s="3">
        <v>4750.05</v>
      </c>
      <c r="X566" s="3">
        <v>4750.05</v>
      </c>
      <c r="Y566" s="1" t="str">
        <f>VLOOKUP(A566,[1]Detalle!$D$2:$CR$484,93,FALSE)</f>
        <v>ADA_CH - Danone Arg. S.A. - Chascomus</v>
      </c>
    </row>
    <row r="567" spans="1:25" ht="14.25" customHeight="1" x14ac:dyDescent="0.3">
      <c r="A567" s="1" t="s">
        <v>13</v>
      </c>
      <c r="B567" s="1" t="s">
        <v>565</v>
      </c>
      <c r="C567" s="1" t="s">
        <v>565</v>
      </c>
      <c r="D567" s="1" t="s">
        <v>566</v>
      </c>
      <c r="E567" s="1" t="s">
        <v>337</v>
      </c>
      <c r="F567" s="1">
        <v>757999</v>
      </c>
      <c r="G567" s="1">
        <v>857999</v>
      </c>
      <c r="H567" s="1">
        <v>29429.700000000012</v>
      </c>
      <c r="I567" s="1">
        <v>70570.299999999988</v>
      </c>
      <c r="J567" s="1">
        <v>787428.7</v>
      </c>
      <c r="K567" s="1">
        <v>93</v>
      </c>
      <c r="L567" s="1">
        <v>303.34772058823529</v>
      </c>
      <c r="M567" s="1">
        <v>223.0072987492226</v>
      </c>
      <c r="N567" s="7">
        <v>45947</v>
      </c>
      <c r="O567" s="1">
        <v>100000</v>
      </c>
      <c r="P567" s="7">
        <v>46170.007298750003</v>
      </c>
      <c r="Q567" s="1" t="s">
        <v>330</v>
      </c>
      <c r="T567" s="1" t="s">
        <v>567</v>
      </c>
      <c r="U567" s="1" t="s">
        <v>568</v>
      </c>
      <c r="V567" s="1">
        <v>1</v>
      </c>
      <c r="W567" s="3">
        <v>4750.05</v>
      </c>
      <c r="X567" s="3">
        <v>4750.05</v>
      </c>
      <c r="Y567" s="1" t="str">
        <f>VLOOKUP(A567,[1]Detalle!$D$2:$CR$484,93,FALSE)</f>
        <v>ADA_CH - Danone Arg. S.A. - Chascomus</v>
      </c>
    </row>
    <row r="568" spans="1:25" ht="14.25" customHeight="1" x14ac:dyDescent="0.3">
      <c r="A568" s="1" t="s">
        <v>6</v>
      </c>
      <c r="B568" s="1" t="s">
        <v>565</v>
      </c>
      <c r="C568" s="1" t="s">
        <v>565</v>
      </c>
      <c r="D568" s="1" t="s">
        <v>566</v>
      </c>
      <c r="E568" s="1" t="s">
        <v>337</v>
      </c>
      <c r="F568" s="1">
        <v>726661</v>
      </c>
      <c r="G568" s="1">
        <v>826661</v>
      </c>
      <c r="H568" s="1">
        <v>25667.200000000001</v>
      </c>
      <c r="I568" s="1">
        <v>74332.800000000003</v>
      </c>
      <c r="J568" s="1">
        <v>752328.2</v>
      </c>
      <c r="K568" s="1">
        <v>93</v>
      </c>
      <c r="L568" s="1">
        <v>306.8559191176472</v>
      </c>
      <c r="M568" s="1">
        <v>269.33013339982551</v>
      </c>
      <c r="N568" s="7">
        <v>45947</v>
      </c>
      <c r="O568" s="1">
        <v>100000</v>
      </c>
      <c r="P568" s="7">
        <v>46216.330133402778</v>
      </c>
      <c r="Q568" s="1" t="s">
        <v>330</v>
      </c>
      <c r="T568" s="1" t="s">
        <v>567</v>
      </c>
      <c r="U568" s="1" t="s">
        <v>568</v>
      </c>
      <c r="V568" s="1">
        <v>1</v>
      </c>
      <c r="W568" s="3">
        <v>4750.05</v>
      </c>
      <c r="X568" s="3">
        <v>4750.05</v>
      </c>
      <c r="Y568" s="1" t="str">
        <f>VLOOKUP(A568,[1]Detalle!$D$2:$CR$484,93,FALSE)</f>
        <v>ADA_CH - Danone Arg. S.A. - Chascomus</v>
      </c>
    </row>
    <row r="569" spans="1:25" ht="14.25" customHeight="1" x14ac:dyDescent="0.3">
      <c r="A569" s="1" t="s">
        <v>7</v>
      </c>
      <c r="B569" s="1" t="s">
        <v>565</v>
      </c>
      <c r="C569" s="1" t="s">
        <v>565</v>
      </c>
      <c r="D569" s="1" t="s">
        <v>566</v>
      </c>
      <c r="E569" s="1" t="s">
        <v>337</v>
      </c>
      <c r="F569" s="1">
        <v>739044</v>
      </c>
      <c r="G569" s="1">
        <v>839044</v>
      </c>
      <c r="H569" s="1">
        <v>30463.299999999988</v>
      </c>
      <c r="I569" s="1">
        <v>69536.700000000012</v>
      </c>
      <c r="J569" s="1">
        <v>769507.3</v>
      </c>
      <c r="K569" s="1">
        <v>93</v>
      </c>
      <c r="L569" s="1">
        <v>282.61870229007633</v>
      </c>
      <c r="M569" s="1">
        <v>212.28537617395369</v>
      </c>
      <c r="N569" s="7">
        <v>45947</v>
      </c>
      <c r="O569" s="1">
        <v>100000</v>
      </c>
      <c r="P569" s="7">
        <v>46159.285376168977</v>
      </c>
      <c r="Q569" s="1" t="s">
        <v>330</v>
      </c>
      <c r="T569" s="1" t="s">
        <v>567</v>
      </c>
      <c r="U569" s="1" t="s">
        <v>568</v>
      </c>
      <c r="V569" s="1">
        <v>1</v>
      </c>
      <c r="W569" s="3">
        <v>4750.05</v>
      </c>
      <c r="X569" s="3">
        <v>4750.05</v>
      </c>
      <c r="Y569" s="1" t="str">
        <f>VLOOKUP(A569,[1]Detalle!$D$2:$CR$484,93,FALSE)</f>
        <v>ADA_CH - Danone Arg. S.A. - Chascomus</v>
      </c>
    </row>
    <row r="570" spans="1:25" ht="14.25" customHeight="1" x14ac:dyDescent="0.3">
      <c r="A570" s="1" t="s">
        <v>9</v>
      </c>
      <c r="B570" s="1" t="s">
        <v>565</v>
      </c>
      <c r="C570" s="1" t="s">
        <v>565</v>
      </c>
      <c r="D570" s="1" t="s">
        <v>566</v>
      </c>
      <c r="E570" s="1" t="s">
        <v>337</v>
      </c>
      <c r="F570" s="1">
        <v>837188</v>
      </c>
      <c r="G570" s="1">
        <v>937188</v>
      </c>
      <c r="H570" s="1">
        <v>32995.300000000003</v>
      </c>
      <c r="I570" s="1">
        <v>67004.7</v>
      </c>
      <c r="J570" s="1">
        <v>870183.3</v>
      </c>
      <c r="K570" s="1">
        <v>93</v>
      </c>
      <c r="L570" s="1">
        <v>352.51014814814829</v>
      </c>
      <c r="M570" s="1">
        <v>188.8583252766303</v>
      </c>
      <c r="N570" s="7">
        <v>45947</v>
      </c>
      <c r="O570" s="1">
        <v>100000</v>
      </c>
      <c r="P570" s="7">
        <v>46135.858325277783</v>
      </c>
      <c r="Q570" s="1" t="s">
        <v>330</v>
      </c>
      <c r="T570" s="1" t="s">
        <v>567</v>
      </c>
      <c r="U570" s="1" t="s">
        <v>568</v>
      </c>
      <c r="V570" s="1">
        <v>1</v>
      </c>
      <c r="W570" s="3">
        <v>4750.05</v>
      </c>
      <c r="X570" s="3">
        <v>4750.05</v>
      </c>
      <c r="Y570" s="1" t="str">
        <f>VLOOKUP(A570,[1]Detalle!$D$2:$CR$484,93,FALSE)</f>
        <v>ADA_CH - Danone Arg. S.A. - Chascomus</v>
      </c>
    </row>
    <row r="571" spans="1:25" ht="14.25" customHeight="1" x14ac:dyDescent="0.3">
      <c r="A571" s="1" t="s">
        <v>30</v>
      </c>
      <c r="B571" s="1" t="s">
        <v>565</v>
      </c>
      <c r="C571" s="1" t="s">
        <v>565</v>
      </c>
      <c r="D571" s="1" t="s">
        <v>566</v>
      </c>
      <c r="E571" s="1" t="s">
        <v>337</v>
      </c>
      <c r="F571" s="1">
        <v>426924</v>
      </c>
      <c r="G571" s="1">
        <v>526924</v>
      </c>
      <c r="H571" s="1">
        <v>23224.2</v>
      </c>
      <c r="I571" s="1">
        <v>76775.8</v>
      </c>
      <c r="J571" s="1">
        <v>450148.2</v>
      </c>
      <c r="K571" s="1">
        <v>93</v>
      </c>
      <c r="L571" s="1">
        <v>273.98136531365333</v>
      </c>
      <c r="M571" s="1">
        <v>307.4443640685148</v>
      </c>
      <c r="N571" s="7">
        <v>45947</v>
      </c>
      <c r="O571" s="1">
        <v>100000</v>
      </c>
      <c r="P571" s="7">
        <v>46254.444364074072</v>
      </c>
      <c r="Q571" s="1" t="s">
        <v>330</v>
      </c>
      <c r="T571" s="1" t="s">
        <v>567</v>
      </c>
      <c r="U571" s="1" t="s">
        <v>568</v>
      </c>
      <c r="V571" s="1">
        <v>1</v>
      </c>
      <c r="W571" s="3">
        <v>4750.05</v>
      </c>
      <c r="X571" s="3">
        <v>4750.05</v>
      </c>
      <c r="Y571" s="1" t="str">
        <f>VLOOKUP(A571,[1]Detalle!$D$2:$CR$484,93,FALSE)</f>
        <v>ADA_CH - Danone Arg. S.A. - Chascomus</v>
      </c>
    </row>
    <row r="572" spans="1:25" ht="14.25" customHeight="1" x14ac:dyDescent="0.3">
      <c r="A572" s="1" t="s">
        <v>35</v>
      </c>
      <c r="B572" s="1" t="s">
        <v>565</v>
      </c>
      <c r="C572" s="1" t="s">
        <v>565</v>
      </c>
      <c r="D572" s="1" t="s">
        <v>566</v>
      </c>
      <c r="E572" s="1" t="s">
        <v>337</v>
      </c>
      <c r="F572" s="1">
        <v>376144</v>
      </c>
      <c r="G572" s="1">
        <v>476144</v>
      </c>
      <c r="H572" s="1">
        <v>28758.9</v>
      </c>
      <c r="I572" s="1">
        <v>71241.100000000006</v>
      </c>
      <c r="J572" s="1">
        <v>404902.9</v>
      </c>
      <c r="K572" s="1">
        <v>93</v>
      </c>
      <c r="L572" s="1">
        <v>328.18794117647042</v>
      </c>
      <c r="M572" s="1">
        <v>230.37815424094799</v>
      </c>
      <c r="N572" s="7">
        <v>45947</v>
      </c>
      <c r="O572" s="1">
        <v>100000</v>
      </c>
      <c r="P572" s="7">
        <v>46177.37815423611</v>
      </c>
      <c r="Q572" s="1" t="s">
        <v>330</v>
      </c>
      <c r="T572" s="1" t="s">
        <v>567</v>
      </c>
      <c r="U572" s="1" t="s">
        <v>568</v>
      </c>
      <c r="V572" s="1">
        <v>1</v>
      </c>
      <c r="W572" s="3">
        <v>4750.05</v>
      </c>
      <c r="X572" s="3">
        <v>4750.05</v>
      </c>
      <c r="Y572" s="1" t="str">
        <f>VLOOKUP(A572,[1]Detalle!$D$2:$CR$484,93,FALSE)</f>
        <v>CENCOMLD - Cencosud SA - Mendoza</v>
      </c>
    </row>
    <row r="573" spans="1:25" ht="14.25" customHeight="1" x14ac:dyDescent="0.3">
      <c r="A573" s="1" t="s">
        <v>510</v>
      </c>
      <c r="B573" s="1" t="s">
        <v>565</v>
      </c>
      <c r="C573" s="1" t="s">
        <v>565</v>
      </c>
      <c r="D573" s="1" t="s">
        <v>566</v>
      </c>
      <c r="E573" s="6">
        <v>45668</v>
      </c>
      <c r="F573" s="1">
        <v>1705995</v>
      </c>
      <c r="G573" s="1">
        <v>1805995</v>
      </c>
      <c r="H573" s="1">
        <v>663645.78600000031</v>
      </c>
      <c r="I573" s="1">
        <v>-563645.78600000031</v>
      </c>
      <c r="J573" s="1">
        <v>2369640.7859999998</v>
      </c>
      <c r="K573" s="1">
        <v>279</v>
      </c>
      <c r="L573" s="1">
        <v>2480.570318518518</v>
      </c>
      <c r="M573" s="1">
        <v>-236.9595010040492</v>
      </c>
      <c r="N573" s="7">
        <v>45947</v>
      </c>
      <c r="O573" s="1">
        <v>100000</v>
      </c>
      <c r="P573" s="7">
        <v>46023</v>
      </c>
      <c r="Q573" s="1" t="s">
        <v>330</v>
      </c>
      <c r="T573" s="1" t="s">
        <v>567</v>
      </c>
      <c r="U573" s="1" t="s">
        <v>568</v>
      </c>
      <c r="V573" s="1">
        <v>1</v>
      </c>
      <c r="W573" s="3">
        <v>4750.05</v>
      </c>
      <c r="X573" s="3">
        <v>4750.05</v>
      </c>
      <c r="Y573" s="1" t="str">
        <f>VLOOKUP(A573,[1]Detalle!$D$2:$CR$484,93,FALSE)</f>
        <v>Expreso - Servicios Troncales</v>
      </c>
    </row>
    <row r="574" spans="1:25" ht="14.25" customHeight="1" x14ac:dyDescent="0.3">
      <c r="A574" s="1" t="s">
        <v>511</v>
      </c>
      <c r="B574" s="1" t="s">
        <v>565</v>
      </c>
      <c r="C574" s="1" t="s">
        <v>565</v>
      </c>
      <c r="D574" s="1" t="s">
        <v>566</v>
      </c>
      <c r="E574" s="1" t="s">
        <v>337</v>
      </c>
      <c r="F574" s="1">
        <v>1667106</v>
      </c>
      <c r="G574" s="1">
        <v>1767106</v>
      </c>
      <c r="H574" s="1">
        <v>32762.399999999991</v>
      </c>
      <c r="I574" s="1">
        <v>67237.600000000006</v>
      </c>
      <c r="J574" s="1">
        <v>1699868.4</v>
      </c>
      <c r="K574" s="1">
        <v>93</v>
      </c>
      <c r="L574" s="1">
        <v>411.92981617647058</v>
      </c>
      <c r="M574" s="1">
        <v>190.86198813273759</v>
      </c>
      <c r="N574" s="7">
        <v>45947</v>
      </c>
      <c r="O574" s="1">
        <v>100000</v>
      </c>
      <c r="P574" s="7">
        <v>46137.861988136567</v>
      </c>
      <c r="Q574" s="1" t="s">
        <v>330</v>
      </c>
      <c r="T574" s="1" t="s">
        <v>567</v>
      </c>
      <c r="U574" s="1" t="s">
        <v>568</v>
      </c>
      <c r="V574" s="1">
        <v>1</v>
      </c>
      <c r="W574" s="3">
        <v>4750.05</v>
      </c>
      <c r="X574" s="3">
        <v>4750.05</v>
      </c>
      <c r="Y574" s="1" t="str">
        <f>VLOOKUP(A574,[1]Detalle!$D$2:$CR$484,93,FALSE)</f>
        <v>Expreso - Servicios Troncales</v>
      </c>
    </row>
    <row r="575" spans="1:25" ht="14.25" customHeight="1" x14ac:dyDescent="0.3">
      <c r="A575" s="1" t="s">
        <v>512</v>
      </c>
      <c r="B575" s="1" t="s">
        <v>565</v>
      </c>
      <c r="C575" s="1" t="s">
        <v>565</v>
      </c>
      <c r="D575" s="1" t="s">
        <v>566</v>
      </c>
      <c r="E575" s="1" t="s">
        <v>337</v>
      </c>
      <c r="F575" s="1">
        <v>1740401</v>
      </c>
      <c r="G575" s="1">
        <v>1840401</v>
      </c>
      <c r="H575" s="1">
        <v>23216.7</v>
      </c>
      <c r="I575" s="1">
        <v>76783.3</v>
      </c>
      <c r="J575" s="1">
        <v>1763617.7</v>
      </c>
      <c r="K575" s="1">
        <v>93</v>
      </c>
      <c r="L575" s="1">
        <v>4494.815091575093</v>
      </c>
      <c r="M575" s="1">
        <v>307.57372494799</v>
      </c>
      <c r="N575" s="7">
        <v>45947</v>
      </c>
      <c r="O575" s="1">
        <v>100000</v>
      </c>
      <c r="P575" s="7">
        <v>46254.573724953712</v>
      </c>
      <c r="Q575" s="1" t="s">
        <v>330</v>
      </c>
      <c r="T575" s="1" t="s">
        <v>567</v>
      </c>
      <c r="U575" s="1" t="s">
        <v>568</v>
      </c>
      <c r="V575" s="1">
        <v>1</v>
      </c>
      <c r="W575" s="3">
        <v>4750.05</v>
      </c>
      <c r="X575" s="3">
        <v>4750.05</v>
      </c>
      <c r="Y575" s="1" t="str">
        <f>VLOOKUP(A575,[1]Detalle!$D$2:$CR$484,93,FALSE)</f>
        <v>Expreso - Servicios Troncales</v>
      </c>
    </row>
    <row r="576" spans="1:25" ht="14.25" customHeight="1" x14ac:dyDescent="0.3">
      <c r="A576" s="1" t="s">
        <v>513</v>
      </c>
      <c r="B576" s="1" t="s">
        <v>565</v>
      </c>
      <c r="C576" s="1" t="s">
        <v>565</v>
      </c>
      <c r="D576" s="1" t="s">
        <v>566</v>
      </c>
      <c r="E576" s="1" t="s">
        <v>337</v>
      </c>
      <c r="F576" s="1">
        <v>1522461</v>
      </c>
      <c r="G576" s="1">
        <v>1622461</v>
      </c>
      <c r="H576" s="1">
        <v>30847.3</v>
      </c>
      <c r="I576" s="1">
        <v>69152.7</v>
      </c>
      <c r="J576" s="1">
        <v>1553308.3</v>
      </c>
      <c r="K576" s="1">
        <v>93</v>
      </c>
      <c r="L576" s="1">
        <v>2328.6221402214019</v>
      </c>
      <c r="M576" s="1">
        <v>208.48505703902771</v>
      </c>
      <c r="N576" s="7">
        <v>45947</v>
      </c>
      <c r="O576" s="1">
        <v>100000</v>
      </c>
      <c r="P576" s="7">
        <v>46155.48505703704</v>
      </c>
      <c r="Q576" s="1" t="s">
        <v>330</v>
      </c>
      <c r="T576" s="1" t="s">
        <v>567</v>
      </c>
      <c r="U576" s="1" t="s">
        <v>568</v>
      </c>
      <c r="V576" s="1">
        <v>1</v>
      </c>
      <c r="W576" s="3">
        <v>4750.05</v>
      </c>
      <c r="X576" s="3">
        <v>4750.05</v>
      </c>
      <c r="Y576" s="1" t="str">
        <f>VLOOKUP(A576,[1]Detalle!$D$2:$CR$484,93,FALSE)</f>
        <v>Expreso - Servicios Troncales</v>
      </c>
    </row>
    <row r="577" spans="1:25" ht="14.25" customHeight="1" x14ac:dyDescent="0.3">
      <c r="A577" s="1" t="s">
        <v>270</v>
      </c>
      <c r="B577" s="1" t="s">
        <v>565</v>
      </c>
      <c r="C577" s="1" t="s">
        <v>565</v>
      </c>
      <c r="D577" s="1" t="s">
        <v>566</v>
      </c>
      <c r="E577" s="1" t="s">
        <v>337</v>
      </c>
      <c r="F577" s="1">
        <v>1715107</v>
      </c>
      <c r="G577" s="1">
        <v>1815107</v>
      </c>
      <c r="H577" s="1">
        <v>38111.200000000012</v>
      </c>
      <c r="I577" s="1">
        <v>61888.799999999988</v>
      </c>
      <c r="J577" s="1">
        <v>1753218.2</v>
      </c>
      <c r="K577" s="1">
        <v>93</v>
      </c>
      <c r="L577" s="1">
        <v>1736.2685719557189</v>
      </c>
      <c r="M577" s="1">
        <v>151.02275446587871</v>
      </c>
      <c r="N577" s="7">
        <v>45947</v>
      </c>
      <c r="O577" s="1">
        <v>100000</v>
      </c>
      <c r="P577" s="7">
        <v>46098.022754467587</v>
      </c>
      <c r="Q577" s="1" t="s">
        <v>330</v>
      </c>
      <c r="T577" s="1" t="s">
        <v>567</v>
      </c>
      <c r="U577" s="1" t="s">
        <v>568</v>
      </c>
      <c r="V577" s="1">
        <v>1</v>
      </c>
      <c r="W577" s="3">
        <v>4750.05</v>
      </c>
      <c r="X577" s="3">
        <v>4750.05</v>
      </c>
      <c r="Y577" s="1" t="str">
        <f>VLOOKUP(A577,[1]Detalle!$D$2:$CR$484,93,FALSE)</f>
        <v>Expreso - Servicios Troncales</v>
      </c>
    </row>
    <row r="578" spans="1:25" ht="14.25" customHeight="1" x14ac:dyDescent="0.3">
      <c r="A578" s="1" t="s">
        <v>17</v>
      </c>
      <c r="B578" s="1" t="s">
        <v>565</v>
      </c>
      <c r="C578" s="1" t="s">
        <v>565</v>
      </c>
      <c r="D578" s="1" t="s">
        <v>566</v>
      </c>
      <c r="E578" s="6">
        <v>45776</v>
      </c>
      <c r="F578" s="1">
        <v>664392</v>
      </c>
      <c r="G578" s="1">
        <v>764392</v>
      </c>
      <c r="H578" s="1">
        <v>62703.799999999981</v>
      </c>
      <c r="I578" s="1">
        <v>37296.200000000019</v>
      </c>
      <c r="J578" s="1">
        <v>727095.79999999993</v>
      </c>
      <c r="K578" s="1">
        <v>171</v>
      </c>
      <c r="L578" s="1">
        <v>382.02855555555578</v>
      </c>
      <c r="M578" s="1">
        <v>101.71074480334531</v>
      </c>
      <c r="N578" s="7">
        <v>45947</v>
      </c>
      <c r="O578" s="1">
        <v>100000</v>
      </c>
      <c r="P578" s="7">
        <v>46048.71074480324</v>
      </c>
      <c r="Q578" s="1" t="s">
        <v>330</v>
      </c>
      <c r="T578" s="1" t="s">
        <v>567</v>
      </c>
      <c r="U578" s="1" t="s">
        <v>568</v>
      </c>
      <c r="V578" s="1">
        <v>1</v>
      </c>
      <c r="W578" s="3">
        <v>4750.05</v>
      </c>
      <c r="X578" s="3">
        <v>4750.05</v>
      </c>
      <c r="Y578" s="1" t="str">
        <f>VLOOKUP(A578,[1]Detalle!$D$2:$CR$484,93,FALSE)</f>
        <v>Expreso - Servicios Troncales</v>
      </c>
    </row>
    <row r="579" spans="1:25" ht="14.25" customHeight="1" x14ac:dyDescent="0.3">
      <c r="A579" s="1" t="s">
        <v>18</v>
      </c>
      <c r="B579" s="1" t="s">
        <v>565</v>
      </c>
      <c r="C579" s="1" t="s">
        <v>565</v>
      </c>
      <c r="D579" s="1" t="s">
        <v>566</v>
      </c>
      <c r="E579" s="1" t="s">
        <v>337</v>
      </c>
      <c r="F579" s="1">
        <v>649466</v>
      </c>
      <c r="G579" s="1">
        <v>749466</v>
      </c>
      <c r="H579" s="1">
        <v>31704.400000000009</v>
      </c>
      <c r="I579" s="1">
        <v>68295.599999999991</v>
      </c>
      <c r="J579" s="1">
        <v>681170.4</v>
      </c>
      <c r="K579" s="1">
        <v>93</v>
      </c>
      <c r="L579" s="1">
        <v>381.04202205882348</v>
      </c>
      <c r="M579" s="1">
        <v>200.3346790981692</v>
      </c>
      <c r="N579" s="7">
        <v>45947</v>
      </c>
      <c r="O579" s="1">
        <v>100000</v>
      </c>
      <c r="P579" s="7">
        <v>46147.334679097221</v>
      </c>
      <c r="Q579" s="1" t="s">
        <v>330</v>
      </c>
      <c r="T579" s="1" t="s">
        <v>567</v>
      </c>
      <c r="U579" s="1" t="s">
        <v>568</v>
      </c>
      <c r="V579" s="1">
        <v>1</v>
      </c>
      <c r="W579" s="3">
        <v>4750.05</v>
      </c>
      <c r="X579" s="3">
        <v>4750.05</v>
      </c>
      <c r="Y579" s="1" t="str">
        <f>VLOOKUP(A579,[1]Detalle!$D$2:$CR$484,93,FALSE)</f>
        <v>Expreso - Servicios Troncales</v>
      </c>
    </row>
    <row r="580" spans="1:25" ht="14.25" customHeight="1" x14ac:dyDescent="0.3">
      <c r="A580" s="1" t="s">
        <v>176</v>
      </c>
      <c r="B580" s="1" t="s">
        <v>565</v>
      </c>
      <c r="C580" s="1" t="s">
        <v>565</v>
      </c>
      <c r="D580" s="1" t="s">
        <v>566</v>
      </c>
      <c r="E580" s="1" t="s">
        <v>337</v>
      </c>
      <c r="F580" s="1">
        <v>1927110</v>
      </c>
      <c r="G580" s="1">
        <v>2027110</v>
      </c>
      <c r="H580" s="1">
        <v>38366.300000000003</v>
      </c>
      <c r="I580" s="1">
        <v>61633.7</v>
      </c>
      <c r="J580" s="1">
        <v>1965476.3</v>
      </c>
      <c r="K580" s="1">
        <v>93</v>
      </c>
      <c r="L580" s="1">
        <v>1849.550539936103</v>
      </c>
      <c r="M580" s="1">
        <v>149.40023145312421</v>
      </c>
      <c r="N580" s="7">
        <v>45947</v>
      </c>
      <c r="O580" s="1">
        <v>100000</v>
      </c>
      <c r="P580" s="7">
        <v>46096.400231458327</v>
      </c>
      <c r="Q580" s="1" t="s">
        <v>330</v>
      </c>
      <c r="T580" s="1" t="s">
        <v>567</v>
      </c>
      <c r="U580" s="1" t="s">
        <v>568</v>
      </c>
      <c r="V580" s="1">
        <v>1</v>
      </c>
      <c r="W580" s="3">
        <v>4750.05</v>
      </c>
      <c r="X580" s="3">
        <v>4750.05</v>
      </c>
      <c r="Y580" s="1" t="str">
        <f>VLOOKUP(A580,[1]Detalle!$D$2:$CR$484,93,FALSE)</f>
        <v>Expreso - Servicios Troncales</v>
      </c>
    </row>
    <row r="581" spans="1:25" ht="14.25" customHeight="1" x14ac:dyDescent="0.3">
      <c r="A581" s="1" t="s">
        <v>186</v>
      </c>
      <c r="B581" s="1" t="s">
        <v>565</v>
      </c>
      <c r="C581" s="1" t="s">
        <v>565</v>
      </c>
      <c r="D581" s="1" t="s">
        <v>566</v>
      </c>
      <c r="E581" s="1" t="s">
        <v>337</v>
      </c>
      <c r="F581" s="1">
        <v>462884</v>
      </c>
      <c r="G581" s="1">
        <v>562884</v>
      </c>
      <c r="H581" s="1">
        <v>34735.899999999987</v>
      </c>
      <c r="I581" s="1">
        <v>65264.100000000013</v>
      </c>
      <c r="J581" s="1">
        <v>497619.9</v>
      </c>
      <c r="K581" s="1">
        <v>93</v>
      </c>
      <c r="L581" s="1">
        <v>303.0774834437085</v>
      </c>
      <c r="M581" s="1">
        <v>174.73453401236191</v>
      </c>
      <c r="N581" s="7">
        <v>45947</v>
      </c>
      <c r="O581" s="1">
        <v>100000</v>
      </c>
      <c r="P581" s="7">
        <v>46121.734534016206</v>
      </c>
      <c r="Q581" s="1" t="s">
        <v>330</v>
      </c>
      <c r="T581" s="1" t="s">
        <v>567</v>
      </c>
      <c r="U581" s="1" t="s">
        <v>568</v>
      </c>
      <c r="V581" s="1">
        <v>1</v>
      </c>
      <c r="W581" s="3">
        <v>4750.05</v>
      </c>
      <c r="X581" s="3">
        <v>4750.05</v>
      </c>
      <c r="Y581" s="1" t="str">
        <f>VLOOKUP(A581,[1]Detalle!$D$2:$CR$484,93,FALSE)</f>
        <v>Expreso - Servicios Troncales</v>
      </c>
    </row>
    <row r="582" spans="1:25" ht="14.25" customHeight="1" x14ac:dyDescent="0.3">
      <c r="A582" s="1" t="s">
        <v>201</v>
      </c>
      <c r="B582" s="1" t="s">
        <v>565</v>
      </c>
      <c r="C582" s="1" t="s">
        <v>565</v>
      </c>
      <c r="D582" s="1" t="s">
        <v>566</v>
      </c>
      <c r="E582" s="1" t="s">
        <v>337</v>
      </c>
      <c r="F582" s="1">
        <v>1842119</v>
      </c>
      <c r="G582" s="1">
        <v>1942119</v>
      </c>
      <c r="H582" s="1">
        <v>30174.499999999989</v>
      </c>
      <c r="I582" s="1">
        <v>69825.5</v>
      </c>
      <c r="J582" s="1">
        <v>1872293.5</v>
      </c>
      <c r="K582" s="1">
        <v>93</v>
      </c>
      <c r="L582" s="1">
        <v>155.41622516556279</v>
      </c>
      <c r="M582" s="1">
        <v>215.207261097947</v>
      </c>
      <c r="N582" s="7">
        <v>45947</v>
      </c>
      <c r="O582" s="1">
        <v>100000</v>
      </c>
      <c r="P582" s="7">
        <v>46162.207261099538</v>
      </c>
      <c r="Q582" s="1" t="s">
        <v>330</v>
      </c>
      <c r="T582" s="1" t="s">
        <v>567</v>
      </c>
      <c r="U582" s="1" t="s">
        <v>568</v>
      </c>
      <c r="V582" s="1">
        <v>1</v>
      </c>
      <c r="W582" s="3">
        <v>4750.05</v>
      </c>
      <c r="X582" s="3">
        <v>4750.05</v>
      </c>
      <c r="Y582" s="1" t="str">
        <f>VLOOKUP(A582,[1]Detalle!$D$2:$CR$484,93,FALSE)</f>
        <v>SUC_CTC - Sucursal Buenos Aires</v>
      </c>
    </row>
    <row r="583" spans="1:25" ht="14.25" customHeight="1" x14ac:dyDescent="0.3">
      <c r="A583" s="1" t="s">
        <v>228</v>
      </c>
      <c r="B583" s="1" t="s">
        <v>565</v>
      </c>
      <c r="C583" s="1" t="s">
        <v>565</v>
      </c>
      <c r="D583" s="1" t="s">
        <v>566</v>
      </c>
      <c r="E583" s="1" t="s">
        <v>337</v>
      </c>
      <c r="F583" s="1">
        <v>829725</v>
      </c>
      <c r="G583" s="1">
        <v>929725</v>
      </c>
      <c r="H583" s="1">
        <v>27658.399999999991</v>
      </c>
      <c r="I583" s="1">
        <v>72341.600000000006</v>
      </c>
      <c r="J583" s="1">
        <v>857383.4</v>
      </c>
      <c r="K583" s="1">
        <v>93</v>
      </c>
      <c r="L583" s="1">
        <v>232.68261029411761</v>
      </c>
      <c r="M583" s="1">
        <v>243.24504671275281</v>
      </c>
      <c r="N583" s="7">
        <v>45947</v>
      </c>
      <c r="O583" s="1">
        <v>100000</v>
      </c>
      <c r="P583" s="7">
        <v>46190.24504671296</v>
      </c>
      <c r="Q583" s="1" t="s">
        <v>330</v>
      </c>
      <c r="T583" s="1" t="s">
        <v>567</v>
      </c>
      <c r="U583" s="1" t="s">
        <v>568</v>
      </c>
      <c r="V583" s="1">
        <v>1</v>
      </c>
      <c r="W583" s="3">
        <v>4750.05</v>
      </c>
      <c r="X583" s="3">
        <v>4750.05</v>
      </c>
      <c r="Y583" s="1" t="str">
        <f>VLOOKUP(A583,[1]Detalle!$D$2:$CR$484,93,FALSE)</f>
        <v>Expreso - Servicios Troncales</v>
      </c>
    </row>
    <row r="584" spans="1:25" ht="14.25" customHeight="1" x14ac:dyDescent="0.3">
      <c r="A584" s="1" t="s">
        <v>230</v>
      </c>
      <c r="B584" s="1" t="s">
        <v>565</v>
      </c>
      <c r="C584" s="1" t="s">
        <v>565</v>
      </c>
      <c r="D584" s="1" t="s">
        <v>566</v>
      </c>
      <c r="E584" s="1" t="s">
        <v>337</v>
      </c>
      <c r="F584" s="1">
        <v>1787246</v>
      </c>
      <c r="G584" s="1">
        <v>1887246</v>
      </c>
      <c r="H584" s="1">
        <v>27616.2</v>
      </c>
      <c r="I584" s="1">
        <v>72383.8</v>
      </c>
      <c r="J584" s="1">
        <v>1814862.2</v>
      </c>
      <c r="K584" s="1">
        <v>93</v>
      </c>
      <c r="L584" s="1">
        <v>289.98935849056602</v>
      </c>
      <c r="M584" s="1">
        <v>243.7588589306277</v>
      </c>
      <c r="N584" s="7">
        <v>45947</v>
      </c>
      <c r="O584" s="1">
        <v>100000</v>
      </c>
      <c r="P584" s="7">
        <v>46190.758858935187</v>
      </c>
      <c r="Q584" s="1" t="s">
        <v>330</v>
      </c>
      <c r="T584" s="1" t="s">
        <v>567</v>
      </c>
      <c r="U584" s="1" t="s">
        <v>568</v>
      </c>
      <c r="V584" s="1">
        <v>1</v>
      </c>
      <c r="W584" s="3">
        <v>4750.05</v>
      </c>
      <c r="X584" s="3">
        <v>4750.05</v>
      </c>
      <c r="Y584" s="1" t="str">
        <f>VLOOKUP(A584,[1]Detalle!$D$2:$CR$484,93,FALSE)</f>
        <v>Expreso - Servicios Troncales</v>
      </c>
    </row>
    <row r="585" spans="1:25" ht="14.25" customHeight="1" x14ac:dyDescent="0.3">
      <c r="A585" s="1" t="s">
        <v>231</v>
      </c>
      <c r="B585" s="1" t="s">
        <v>565</v>
      </c>
      <c r="C585" s="1" t="s">
        <v>565</v>
      </c>
      <c r="D585" s="1" t="s">
        <v>566</v>
      </c>
      <c r="E585" s="1" t="s">
        <v>337</v>
      </c>
      <c r="F585" s="1">
        <v>1836513</v>
      </c>
      <c r="G585" s="1">
        <v>1936513</v>
      </c>
      <c r="H585" s="1">
        <v>31732.5</v>
      </c>
      <c r="I585" s="1">
        <v>68267.5</v>
      </c>
      <c r="J585" s="1">
        <v>1868245.5</v>
      </c>
      <c r="K585" s="1">
        <v>93</v>
      </c>
      <c r="L585" s="1">
        <v>332.5574264705881</v>
      </c>
      <c r="M585" s="1">
        <v>200.07492318600799</v>
      </c>
      <c r="N585" s="7">
        <v>45947</v>
      </c>
      <c r="O585" s="1">
        <v>100000</v>
      </c>
      <c r="P585" s="7">
        <v>46147.074923182867</v>
      </c>
      <c r="Q585" s="1" t="s">
        <v>330</v>
      </c>
      <c r="T585" s="1" t="s">
        <v>567</v>
      </c>
      <c r="U585" s="1" t="s">
        <v>568</v>
      </c>
      <c r="V585" s="1">
        <v>1</v>
      </c>
      <c r="W585" s="3">
        <v>4750.05</v>
      </c>
      <c r="X585" s="3">
        <v>4750.05</v>
      </c>
      <c r="Y585" s="1" t="str">
        <f>VLOOKUP(A585,[1]Detalle!$D$2:$CR$484,93,FALSE)</f>
        <v>Expreso - Servicios Troncales</v>
      </c>
    </row>
    <row r="586" spans="1:25" ht="14.25" customHeight="1" x14ac:dyDescent="0.3">
      <c r="A586" s="1" t="s">
        <v>232</v>
      </c>
      <c r="B586" s="1" t="s">
        <v>565</v>
      </c>
      <c r="C586" s="1" t="s">
        <v>565</v>
      </c>
      <c r="D586" s="1" t="s">
        <v>566</v>
      </c>
      <c r="E586" s="1" t="s">
        <v>337</v>
      </c>
      <c r="F586" s="1">
        <v>1933394</v>
      </c>
      <c r="G586" s="1">
        <v>2033394</v>
      </c>
      <c r="H586" s="1">
        <v>31533.599999999999</v>
      </c>
      <c r="I586" s="1">
        <v>68466.399999999994</v>
      </c>
      <c r="J586" s="1">
        <v>1964927.6</v>
      </c>
      <c r="K586" s="1">
        <v>93</v>
      </c>
      <c r="L586" s="1">
        <v>2668.176102941175</v>
      </c>
      <c r="M586" s="1">
        <v>201.92351016059061</v>
      </c>
      <c r="N586" s="7">
        <v>45947</v>
      </c>
      <c r="O586" s="1">
        <v>100000</v>
      </c>
      <c r="P586" s="7">
        <v>46148.923510162043</v>
      </c>
      <c r="Q586" s="1" t="s">
        <v>330</v>
      </c>
      <c r="T586" s="1" t="s">
        <v>567</v>
      </c>
      <c r="U586" s="1" t="s">
        <v>568</v>
      </c>
      <c r="V586" s="1">
        <v>1</v>
      </c>
      <c r="W586" s="3">
        <v>4750.05</v>
      </c>
      <c r="X586" s="3">
        <v>4750.05</v>
      </c>
      <c r="Y586" s="1" t="str">
        <f>VLOOKUP(A586,[1]Detalle!$D$2:$CR$484,93,FALSE)</f>
        <v>Expreso - Servicios Troncales</v>
      </c>
    </row>
    <row r="587" spans="1:25" ht="14.25" customHeight="1" x14ac:dyDescent="0.3">
      <c r="A587" s="1" t="s">
        <v>233</v>
      </c>
      <c r="B587" s="1" t="s">
        <v>565</v>
      </c>
      <c r="C587" s="1" t="s">
        <v>565</v>
      </c>
      <c r="D587" s="1" t="s">
        <v>566</v>
      </c>
      <c r="E587" s="1" t="s">
        <v>337</v>
      </c>
      <c r="F587" s="1">
        <v>1936091</v>
      </c>
      <c r="G587" s="1">
        <v>2036091</v>
      </c>
      <c r="H587" s="1">
        <v>33750.9</v>
      </c>
      <c r="I587" s="1">
        <v>66249.100000000006</v>
      </c>
      <c r="J587" s="1">
        <v>1969841.9</v>
      </c>
      <c r="K587" s="1">
        <v>93</v>
      </c>
      <c r="L587" s="1">
        <v>1720.767376383764</v>
      </c>
      <c r="M587" s="1">
        <v>182.54820760335281</v>
      </c>
      <c r="N587" s="7">
        <v>45947</v>
      </c>
      <c r="O587" s="1">
        <v>100000</v>
      </c>
      <c r="P587" s="7">
        <v>46129.548207604174</v>
      </c>
      <c r="Q587" s="1" t="s">
        <v>330</v>
      </c>
      <c r="T587" s="1" t="s">
        <v>567</v>
      </c>
      <c r="U587" s="1" t="s">
        <v>568</v>
      </c>
      <c r="V587" s="1">
        <v>1</v>
      </c>
      <c r="W587" s="3">
        <v>4750.05</v>
      </c>
      <c r="X587" s="3">
        <v>4750.05</v>
      </c>
      <c r="Y587" s="1" t="str">
        <f>VLOOKUP(A587,[1]Detalle!$D$2:$CR$484,93,FALSE)</f>
        <v>Expreso - Servicios Troncales</v>
      </c>
    </row>
    <row r="588" spans="1:25" ht="14.25" customHeight="1" x14ac:dyDescent="0.3">
      <c r="A588" s="1" t="s">
        <v>234</v>
      </c>
      <c r="B588" s="1" t="s">
        <v>565</v>
      </c>
      <c r="C588" s="1" t="s">
        <v>565</v>
      </c>
      <c r="D588" s="1" t="s">
        <v>566</v>
      </c>
      <c r="E588" s="1" t="s">
        <v>337</v>
      </c>
      <c r="F588" s="1">
        <v>1922871</v>
      </c>
      <c r="G588" s="1">
        <v>2022871</v>
      </c>
      <c r="H588" s="1">
        <v>38533.900000000009</v>
      </c>
      <c r="I588" s="1">
        <v>61466.099999999991</v>
      </c>
      <c r="J588" s="1">
        <v>1961404.9</v>
      </c>
      <c r="K588" s="1">
        <v>93</v>
      </c>
      <c r="L588" s="1">
        <v>2691.3734963503648</v>
      </c>
      <c r="M588" s="1">
        <v>148.34593176397919</v>
      </c>
      <c r="N588" s="7">
        <v>45947</v>
      </c>
      <c r="O588" s="1">
        <v>100000</v>
      </c>
      <c r="P588" s="7">
        <v>46095.345931759257</v>
      </c>
      <c r="Q588" s="1" t="s">
        <v>330</v>
      </c>
      <c r="T588" s="1" t="s">
        <v>567</v>
      </c>
      <c r="U588" s="1" t="s">
        <v>568</v>
      </c>
      <c r="V588" s="1">
        <v>1</v>
      </c>
      <c r="W588" s="3">
        <v>4750.05</v>
      </c>
      <c r="X588" s="3">
        <v>4750.05</v>
      </c>
      <c r="Y588" s="1" t="str">
        <f>VLOOKUP(A588,[1]Detalle!$D$2:$CR$484,93,FALSE)</f>
        <v>Expreso - Servicios Troncales</v>
      </c>
    </row>
    <row r="589" spans="1:25" ht="14.25" customHeight="1" x14ac:dyDescent="0.3">
      <c r="A589" s="1" t="s">
        <v>70</v>
      </c>
      <c r="B589" s="1" t="s">
        <v>565</v>
      </c>
      <c r="C589" s="1" t="s">
        <v>565</v>
      </c>
      <c r="D589" s="1" t="s">
        <v>566</v>
      </c>
      <c r="E589" s="1" t="s">
        <v>337</v>
      </c>
      <c r="F589" s="1">
        <v>331634</v>
      </c>
      <c r="G589" s="1">
        <v>431634</v>
      </c>
      <c r="H589" s="1">
        <v>24149.499999999989</v>
      </c>
      <c r="I589" s="1">
        <v>75850.500000000015</v>
      </c>
      <c r="J589" s="1">
        <v>355783.5</v>
      </c>
      <c r="K589" s="1">
        <v>93</v>
      </c>
      <c r="L589" s="1">
        <v>252.63896296296281</v>
      </c>
      <c r="M589" s="1">
        <v>292.10114081036892</v>
      </c>
      <c r="N589" s="7">
        <v>45947</v>
      </c>
      <c r="O589" s="1">
        <v>100000</v>
      </c>
      <c r="P589" s="7">
        <v>46239.101140810177</v>
      </c>
      <c r="Q589" s="1" t="s">
        <v>330</v>
      </c>
      <c r="T589" s="1" t="s">
        <v>567</v>
      </c>
      <c r="U589" s="1" t="s">
        <v>568</v>
      </c>
      <c r="V589" s="1">
        <v>1</v>
      </c>
      <c r="W589" s="3">
        <v>4750.05</v>
      </c>
      <c r="X589" s="3">
        <v>4750.05</v>
      </c>
      <c r="Y589" s="1" t="str">
        <f>VLOOKUP(A589,[1]Detalle!$D$2:$CR$484,93,FALSE)</f>
        <v>ADA_CH - Danone Arg. S.A. - Chascomus</v>
      </c>
    </row>
    <row r="590" spans="1:25" ht="14.25" customHeight="1" x14ac:dyDescent="0.3">
      <c r="A590" s="1" t="s">
        <v>95</v>
      </c>
      <c r="B590" s="1" t="s">
        <v>565</v>
      </c>
      <c r="C590" s="1" t="s">
        <v>565</v>
      </c>
      <c r="D590" s="1" t="s">
        <v>566</v>
      </c>
      <c r="E590" s="1" t="s">
        <v>337</v>
      </c>
      <c r="F590" s="1">
        <v>147133</v>
      </c>
      <c r="G590" s="1">
        <v>247133</v>
      </c>
      <c r="H590" s="1">
        <v>22878.6</v>
      </c>
      <c r="I590" s="1">
        <v>77121.399999999994</v>
      </c>
      <c r="J590" s="1">
        <v>170011.6</v>
      </c>
      <c r="K590" s="1">
        <v>93</v>
      </c>
      <c r="L590" s="1">
        <v>266.23473282442751</v>
      </c>
      <c r="M590" s="1">
        <v>313.49340431669759</v>
      </c>
      <c r="N590" s="7">
        <v>45947</v>
      </c>
      <c r="O590" s="1">
        <v>100000</v>
      </c>
      <c r="P590" s="7">
        <v>46260.493404317131</v>
      </c>
      <c r="Q590" s="1" t="s">
        <v>330</v>
      </c>
      <c r="T590" s="1" t="s">
        <v>567</v>
      </c>
      <c r="U590" s="1" t="s">
        <v>568</v>
      </c>
      <c r="V590" s="1">
        <v>1</v>
      </c>
      <c r="W590" s="3">
        <v>4750.05</v>
      </c>
      <c r="X590" s="3">
        <v>4750.05</v>
      </c>
      <c r="Y590" s="1" t="str">
        <f>VLOOKUP(A590,[1]Detalle!$D$2:$CR$484,93,FALSE)</f>
        <v>CENCOMLD - Cencosud SA - Mendoza</v>
      </c>
    </row>
    <row r="591" spans="1:25" ht="14.25" customHeight="1" x14ac:dyDescent="0.3">
      <c r="A591" s="1" t="s">
        <v>96</v>
      </c>
      <c r="B591" s="1" t="s">
        <v>565</v>
      </c>
      <c r="C591" s="1" t="s">
        <v>565</v>
      </c>
      <c r="D591" s="1" t="s">
        <v>566</v>
      </c>
      <c r="E591" s="1" t="s">
        <v>337</v>
      </c>
      <c r="F591" s="1">
        <v>148859</v>
      </c>
      <c r="G591" s="1">
        <v>248859</v>
      </c>
      <c r="H591" s="1">
        <v>28345.900000000009</v>
      </c>
      <c r="I591" s="1">
        <v>71654.099999999991</v>
      </c>
      <c r="J591" s="1">
        <v>177204.9</v>
      </c>
      <c r="K591" s="1">
        <v>93</v>
      </c>
      <c r="L591" s="1">
        <v>281.98244274809178</v>
      </c>
      <c r="M591" s="1">
        <v>235.08977665200251</v>
      </c>
      <c r="N591" s="7">
        <v>45947</v>
      </c>
      <c r="O591" s="1">
        <v>100000</v>
      </c>
      <c r="P591" s="7">
        <v>46182.089776655092</v>
      </c>
      <c r="Q591" s="1" t="s">
        <v>330</v>
      </c>
      <c r="T591" s="1" t="s">
        <v>567</v>
      </c>
      <c r="U591" s="1" t="s">
        <v>568</v>
      </c>
      <c r="V591" s="1">
        <v>1</v>
      </c>
      <c r="W591" s="3">
        <v>4750.05</v>
      </c>
      <c r="X591" s="3">
        <v>4750.05</v>
      </c>
      <c r="Y591" s="1" t="str">
        <f>VLOOKUP(A591,[1]Detalle!$D$2:$CR$484,93,FALSE)</f>
        <v>CENCOMLD - Cencosud SA - Mendoza</v>
      </c>
    </row>
    <row r="592" spans="1:25" ht="14.25" customHeight="1" x14ac:dyDescent="0.3">
      <c r="A592" s="1" t="s">
        <v>97</v>
      </c>
      <c r="B592" s="1" t="s">
        <v>565</v>
      </c>
      <c r="C592" s="1" t="s">
        <v>565</v>
      </c>
      <c r="D592" s="1" t="s">
        <v>566</v>
      </c>
      <c r="E592" s="1" t="s">
        <v>337</v>
      </c>
      <c r="F592" s="1">
        <v>190237</v>
      </c>
      <c r="G592" s="1">
        <v>290237</v>
      </c>
      <c r="H592" s="1">
        <v>24028.9</v>
      </c>
      <c r="I592" s="1">
        <v>75971.100000000006</v>
      </c>
      <c r="J592" s="1">
        <v>214265.9</v>
      </c>
      <c r="K592" s="1">
        <v>93</v>
      </c>
      <c r="L592" s="1">
        <v>310.79992700729929</v>
      </c>
      <c r="M592" s="1">
        <v>294.03394662260871</v>
      </c>
      <c r="N592" s="7">
        <v>45947</v>
      </c>
      <c r="O592" s="1">
        <v>100000</v>
      </c>
      <c r="P592" s="7">
        <v>46241.033946620373</v>
      </c>
      <c r="Q592" s="1" t="s">
        <v>330</v>
      </c>
      <c r="T592" s="1" t="s">
        <v>567</v>
      </c>
      <c r="U592" s="1" t="s">
        <v>568</v>
      </c>
      <c r="V592" s="1">
        <v>1</v>
      </c>
      <c r="W592" s="3">
        <v>4750.05</v>
      </c>
      <c r="X592" s="3">
        <v>4750.05</v>
      </c>
      <c r="Y592" s="1" t="str">
        <f>VLOOKUP(A592,[1]Detalle!$D$2:$CR$484,93,FALSE)</f>
        <v>Expreso - Servicios Troncales</v>
      </c>
    </row>
    <row r="593" spans="1:25" ht="14.25" customHeight="1" x14ac:dyDescent="0.3">
      <c r="A593" s="1" t="s">
        <v>19</v>
      </c>
      <c r="B593" s="1" t="s">
        <v>569</v>
      </c>
      <c r="C593" s="1" t="s">
        <v>569</v>
      </c>
      <c r="D593" s="1" t="s">
        <v>570</v>
      </c>
      <c r="E593" s="1" t="s">
        <v>337</v>
      </c>
      <c r="F593" s="1">
        <v>497452</v>
      </c>
      <c r="G593" s="1">
        <v>597452</v>
      </c>
      <c r="H593" s="1">
        <v>28992.2</v>
      </c>
      <c r="I593" s="1">
        <v>71007.8</v>
      </c>
      <c r="J593" s="1">
        <v>526444.19999999995</v>
      </c>
      <c r="K593" s="1">
        <v>93</v>
      </c>
      <c r="L593" s="1">
        <v>844.57346863468638</v>
      </c>
      <c r="M593" s="1">
        <v>227.77593283710789</v>
      </c>
      <c r="N593" s="7">
        <v>45947</v>
      </c>
      <c r="O593" s="1">
        <v>100000</v>
      </c>
      <c r="P593" s="7">
        <v>46174.775932835648</v>
      </c>
      <c r="Q593" s="1" t="s">
        <v>330</v>
      </c>
      <c r="T593" s="1" t="s">
        <v>571</v>
      </c>
      <c r="U593" s="1" t="s">
        <v>572</v>
      </c>
      <c r="V593" s="1">
        <v>2</v>
      </c>
      <c r="W593" s="3">
        <v>3493.46</v>
      </c>
      <c r="X593" s="3">
        <v>6986.92</v>
      </c>
      <c r="Y593" s="1" t="str">
        <f>VLOOKUP(A593,[1]Detalle!$D$2:$CR$484,93,FALSE)</f>
        <v>CENCOMLD - Cencosud SA - Mendoza</v>
      </c>
    </row>
    <row r="594" spans="1:25" ht="14.25" customHeight="1" x14ac:dyDescent="0.3">
      <c r="A594" s="1" t="s">
        <v>5</v>
      </c>
      <c r="B594" s="1" t="s">
        <v>569</v>
      </c>
      <c r="C594" s="1" t="s">
        <v>569</v>
      </c>
      <c r="D594" s="1" t="s">
        <v>570</v>
      </c>
      <c r="E594" s="1" t="s">
        <v>337</v>
      </c>
      <c r="F594" s="1">
        <v>690966</v>
      </c>
      <c r="G594" s="1">
        <v>790966</v>
      </c>
      <c r="H594" s="1">
        <v>25694.5</v>
      </c>
      <c r="I594" s="1">
        <v>74305.5</v>
      </c>
      <c r="J594" s="1">
        <v>716660.5</v>
      </c>
      <c r="K594" s="1">
        <v>93</v>
      </c>
      <c r="L594" s="1">
        <v>276.33435114503811</v>
      </c>
      <c r="M594" s="1">
        <v>268.94516336180891</v>
      </c>
      <c r="N594" s="7">
        <v>45947</v>
      </c>
      <c r="O594" s="1">
        <v>100000</v>
      </c>
      <c r="P594" s="7">
        <v>46215.945163356482</v>
      </c>
      <c r="Q594" s="1" t="s">
        <v>330</v>
      </c>
      <c r="T594" s="1" t="s">
        <v>571</v>
      </c>
      <c r="U594" s="1" t="s">
        <v>572</v>
      </c>
      <c r="V594" s="1">
        <v>2</v>
      </c>
      <c r="W594" s="3">
        <v>3493.46</v>
      </c>
      <c r="X594" s="3">
        <v>6986.92</v>
      </c>
      <c r="Y594" s="1" t="str">
        <f>VLOOKUP(A594,[1]Detalle!$D$2:$CR$484,93,FALSE)</f>
        <v>ADA_CH - Danone Arg. S.A. - Chascomus</v>
      </c>
    </row>
    <row r="595" spans="1:25" ht="14.25" customHeight="1" x14ac:dyDescent="0.3">
      <c r="A595" s="1" t="s">
        <v>8</v>
      </c>
      <c r="B595" s="1" t="s">
        <v>569</v>
      </c>
      <c r="C595" s="1" t="s">
        <v>569</v>
      </c>
      <c r="D595" s="1" t="s">
        <v>570</v>
      </c>
      <c r="E595" s="1" t="s">
        <v>337</v>
      </c>
      <c r="F595" s="1">
        <v>722255</v>
      </c>
      <c r="G595" s="1">
        <v>822255</v>
      </c>
      <c r="H595" s="1">
        <v>28085.099999999991</v>
      </c>
      <c r="I595" s="1">
        <v>71914.900000000009</v>
      </c>
      <c r="J595" s="1">
        <v>750340.1</v>
      </c>
      <c r="K595" s="1">
        <v>93</v>
      </c>
      <c r="L595" s="1">
        <v>286.50848708487092</v>
      </c>
      <c r="M595" s="1">
        <v>238.13643889464529</v>
      </c>
      <c r="N595" s="7">
        <v>45947</v>
      </c>
      <c r="O595" s="1">
        <v>100000</v>
      </c>
      <c r="P595" s="7">
        <v>46185.136438888891</v>
      </c>
      <c r="Q595" s="1" t="s">
        <v>330</v>
      </c>
      <c r="T595" s="1" t="s">
        <v>571</v>
      </c>
      <c r="U595" s="1" t="s">
        <v>572</v>
      </c>
      <c r="V595" s="1">
        <v>2</v>
      </c>
      <c r="W595" s="3">
        <v>3493.46</v>
      </c>
      <c r="X595" s="3">
        <v>6986.92</v>
      </c>
      <c r="Y595" s="1" t="str">
        <f>VLOOKUP(A595,[1]Detalle!$D$2:$CR$484,93,FALSE)</f>
        <v>ADA_CH - Danone Arg. S.A. - Chascomus</v>
      </c>
    </row>
    <row r="596" spans="1:25" ht="14.25" customHeight="1" x14ac:dyDescent="0.3">
      <c r="A596" s="1" t="s">
        <v>11</v>
      </c>
      <c r="B596" s="1" t="s">
        <v>569</v>
      </c>
      <c r="C596" s="1" t="s">
        <v>569</v>
      </c>
      <c r="D596" s="1" t="s">
        <v>570</v>
      </c>
      <c r="E596" s="1" t="s">
        <v>337</v>
      </c>
      <c r="F596" s="1">
        <v>765628</v>
      </c>
      <c r="G596" s="1">
        <v>865628</v>
      </c>
      <c r="H596" s="1">
        <v>28548.900000000009</v>
      </c>
      <c r="I596" s="1">
        <v>71451.099999999991</v>
      </c>
      <c r="J596" s="1">
        <v>794176.9</v>
      </c>
      <c r="K596" s="1">
        <v>93</v>
      </c>
      <c r="L596" s="1">
        <v>323.09338235294098</v>
      </c>
      <c r="M596" s="1">
        <v>232.75685928354491</v>
      </c>
      <c r="N596" s="7">
        <v>45947</v>
      </c>
      <c r="O596" s="1">
        <v>100000</v>
      </c>
      <c r="P596" s="7">
        <v>46179.75685928241</v>
      </c>
      <c r="Q596" s="1" t="s">
        <v>330</v>
      </c>
      <c r="T596" s="1" t="s">
        <v>571</v>
      </c>
      <c r="U596" s="1" t="s">
        <v>572</v>
      </c>
      <c r="V596" s="1">
        <v>2</v>
      </c>
      <c r="W596" s="3">
        <v>3493.46</v>
      </c>
      <c r="X596" s="3">
        <v>6986.92</v>
      </c>
      <c r="Y596" s="1" t="str">
        <f>VLOOKUP(A596,[1]Detalle!$D$2:$CR$484,93,FALSE)</f>
        <v>ADA_CH - Danone Arg. S.A. - Chascomus</v>
      </c>
    </row>
    <row r="597" spans="1:25" ht="14.25" customHeight="1" x14ac:dyDescent="0.3">
      <c r="A597" s="1" t="s">
        <v>10</v>
      </c>
      <c r="B597" s="1" t="s">
        <v>569</v>
      </c>
      <c r="C597" s="1" t="s">
        <v>569</v>
      </c>
      <c r="D597" s="1" t="s">
        <v>570</v>
      </c>
      <c r="E597" s="1" t="s">
        <v>337</v>
      </c>
      <c r="F597" s="1">
        <v>691593</v>
      </c>
      <c r="G597" s="1">
        <v>791593</v>
      </c>
      <c r="H597" s="1">
        <v>21650.30000000001</v>
      </c>
      <c r="I597" s="1">
        <v>78349.7</v>
      </c>
      <c r="J597" s="1">
        <v>713243.3</v>
      </c>
      <c r="K597" s="1">
        <v>93</v>
      </c>
      <c r="L597" s="1">
        <v>266.81618518518519</v>
      </c>
      <c r="M597" s="1">
        <v>336.55524865706241</v>
      </c>
      <c r="N597" s="7">
        <v>45947</v>
      </c>
      <c r="O597" s="1">
        <v>100000</v>
      </c>
      <c r="P597" s="7">
        <v>46283.555248657409</v>
      </c>
      <c r="Q597" s="1" t="s">
        <v>330</v>
      </c>
      <c r="T597" s="1" t="s">
        <v>571</v>
      </c>
      <c r="U597" s="1" t="s">
        <v>572</v>
      </c>
      <c r="V597" s="1">
        <v>2</v>
      </c>
      <c r="W597" s="3">
        <v>3493.46</v>
      </c>
      <c r="X597" s="3">
        <v>6986.92</v>
      </c>
      <c r="Y597" s="1" t="str">
        <f>VLOOKUP(A597,[1]Detalle!$D$2:$CR$484,93,FALSE)</f>
        <v>ADA_CH - Danone Arg. S.A. - Chascomus</v>
      </c>
    </row>
    <row r="598" spans="1:25" ht="14.25" customHeight="1" x14ac:dyDescent="0.3">
      <c r="A598" s="1" t="s">
        <v>14</v>
      </c>
      <c r="B598" s="1" t="s">
        <v>569</v>
      </c>
      <c r="C598" s="1" t="s">
        <v>569</v>
      </c>
      <c r="D598" s="1" t="s">
        <v>570</v>
      </c>
      <c r="E598" s="1" t="s">
        <v>337</v>
      </c>
      <c r="F598" s="1">
        <v>752778</v>
      </c>
      <c r="G598" s="1">
        <v>852778</v>
      </c>
      <c r="H598" s="1">
        <v>22757.200000000019</v>
      </c>
      <c r="I598" s="1">
        <v>77242.799999999988</v>
      </c>
      <c r="J598" s="1">
        <v>775535.20000000007</v>
      </c>
      <c r="K598" s="1">
        <v>93</v>
      </c>
      <c r="L598" s="1">
        <v>276.97442748091589</v>
      </c>
      <c r="M598" s="1">
        <v>315.66187404425818</v>
      </c>
      <c r="N598" s="7">
        <v>45947</v>
      </c>
      <c r="O598" s="1">
        <v>100000</v>
      </c>
      <c r="P598" s="7">
        <v>46262.661874039353</v>
      </c>
      <c r="Q598" s="1" t="s">
        <v>330</v>
      </c>
      <c r="T598" s="1" t="s">
        <v>571</v>
      </c>
      <c r="U598" s="1" t="s">
        <v>572</v>
      </c>
      <c r="V598" s="1">
        <v>2</v>
      </c>
      <c r="W598" s="3">
        <v>3493.46</v>
      </c>
      <c r="X598" s="3">
        <v>6986.92</v>
      </c>
      <c r="Y598" s="1" t="str">
        <f>VLOOKUP(A598,[1]Detalle!$D$2:$CR$484,93,FALSE)</f>
        <v>ADA_CH - Danone Arg. S.A. - Chascomus</v>
      </c>
    </row>
    <row r="599" spans="1:25" ht="14.25" customHeight="1" x14ac:dyDescent="0.3">
      <c r="A599" s="1" t="s">
        <v>12</v>
      </c>
      <c r="B599" s="1" t="s">
        <v>569</v>
      </c>
      <c r="C599" s="1" t="s">
        <v>569</v>
      </c>
      <c r="D599" s="1" t="s">
        <v>570</v>
      </c>
      <c r="E599" s="1" t="s">
        <v>337</v>
      </c>
      <c r="F599" s="1">
        <v>845528</v>
      </c>
      <c r="G599" s="1">
        <v>945528</v>
      </c>
      <c r="H599" s="1">
        <v>33411.699999999997</v>
      </c>
      <c r="I599" s="1">
        <v>66588.299999999988</v>
      </c>
      <c r="J599" s="1">
        <v>878939.7</v>
      </c>
      <c r="K599" s="1">
        <v>93</v>
      </c>
      <c r="L599" s="1">
        <v>323.35572519083951</v>
      </c>
      <c r="M599" s="1">
        <v>185.345609472131</v>
      </c>
      <c r="N599" s="7">
        <v>45947</v>
      </c>
      <c r="O599" s="1">
        <v>100000</v>
      </c>
      <c r="P599" s="7">
        <v>46132.345609467593</v>
      </c>
      <c r="Q599" s="1" t="s">
        <v>330</v>
      </c>
      <c r="T599" s="1" t="s">
        <v>571</v>
      </c>
      <c r="U599" s="1" t="s">
        <v>572</v>
      </c>
      <c r="V599" s="1">
        <v>2</v>
      </c>
      <c r="W599" s="3">
        <v>3493.46</v>
      </c>
      <c r="X599" s="3">
        <v>6986.92</v>
      </c>
      <c r="Y599" s="1" t="str">
        <f>VLOOKUP(A599,[1]Detalle!$D$2:$CR$484,93,FALSE)</f>
        <v>ADA_CH - Danone Arg. S.A. - Chascomus</v>
      </c>
    </row>
    <row r="600" spans="1:25" ht="14.25" customHeight="1" x14ac:dyDescent="0.3">
      <c r="A600" s="1" t="s">
        <v>13</v>
      </c>
      <c r="B600" s="1" t="s">
        <v>569</v>
      </c>
      <c r="C600" s="1" t="s">
        <v>569</v>
      </c>
      <c r="D600" s="1" t="s">
        <v>570</v>
      </c>
      <c r="E600" s="1" t="s">
        <v>337</v>
      </c>
      <c r="F600" s="1">
        <v>757999</v>
      </c>
      <c r="G600" s="1">
        <v>857999</v>
      </c>
      <c r="H600" s="1">
        <v>29429.700000000012</v>
      </c>
      <c r="I600" s="1">
        <v>70570.299999999988</v>
      </c>
      <c r="J600" s="1">
        <v>787428.7</v>
      </c>
      <c r="K600" s="1">
        <v>93</v>
      </c>
      <c r="L600" s="1">
        <v>303.34772058823529</v>
      </c>
      <c r="M600" s="1">
        <v>223.0072987492226</v>
      </c>
      <c r="N600" s="7">
        <v>45947</v>
      </c>
      <c r="O600" s="1">
        <v>100000</v>
      </c>
      <c r="P600" s="7">
        <v>46170.007298750003</v>
      </c>
      <c r="Q600" s="1" t="s">
        <v>330</v>
      </c>
      <c r="T600" s="1" t="s">
        <v>571</v>
      </c>
      <c r="U600" s="1" t="s">
        <v>572</v>
      </c>
      <c r="V600" s="1">
        <v>2</v>
      </c>
      <c r="W600" s="3">
        <v>3493.46</v>
      </c>
      <c r="X600" s="3">
        <v>6986.92</v>
      </c>
      <c r="Y600" s="1" t="str">
        <f>VLOOKUP(A600,[1]Detalle!$D$2:$CR$484,93,FALSE)</f>
        <v>ADA_CH - Danone Arg. S.A. - Chascomus</v>
      </c>
    </row>
    <row r="601" spans="1:25" ht="14.25" customHeight="1" x14ac:dyDescent="0.3">
      <c r="A601" s="1" t="s">
        <v>6</v>
      </c>
      <c r="B601" s="1" t="s">
        <v>569</v>
      </c>
      <c r="C601" s="1" t="s">
        <v>569</v>
      </c>
      <c r="D601" s="1" t="s">
        <v>570</v>
      </c>
      <c r="E601" s="1" t="s">
        <v>337</v>
      </c>
      <c r="F601" s="1">
        <v>726661</v>
      </c>
      <c r="G601" s="1">
        <v>826661</v>
      </c>
      <c r="H601" s="1">
        <v>25667.200000000001</v>
      </c>
      <c r="I601" s="1">
        <v>74332.800000000003</v>
      </c>
      <c r="J601" s="1">
        <v>752328.2</v>
      </c>
      <c r="K601" s="1">
        <v>93</v>
      </c>
      <c r="L601" s="1">
        <v>306.8559191176472</v>
      </c>
      <c r="M601" s="1">
        <v>269.33013339982551</v>
      </c>
      <c r="N601" s="7">
        <v>45947</v>
      </c>
      <c r="O601" s="1">
        <v>100000</v>
      </c>
      <c r="P601" s="7">
        <v>46216.330133402778</v>
      </c>
      <c r="Q601" s="1" t="s">
        <v>330</v>
      </c>
      <c r="T601" s="1" t="s">
        <v>571</v>
      </c>
      <c r="U601" s="1" t="s">
        <v>572</v>
      </c>
      <c r="V601" s="1">
        <v>2</v>
      </c>
      <c r="W601" s="3">
        <v>3493.46</v>
      </c>
      <c r="X601" s="3">
        <v>6986.92</v>
      </c>
      <c r="Y601" s="1" t="str">
        <f>VLOOKUP(A601,[1]Detalle!$D$2:$CR$484,93,FALSE)</f>
        <v>ADA_CH - Danone Arg. S.A. - Chascomus</v>
      </c>
    </row>
    <row r="602" spans="1:25" ht="14.25" customHeight="1" x14ac:dyDescent="0.3">
      <c r="A602" s="1" t="s">
        <v>7</v>
      </c>
      <c r="B602" s="1" t="s">
        <v>569</v>
      </c>
      <c r="C602" s="1" t="s">
        <v>569</v>
      </c>
      <c r="D602" s="1" t="s">
        <v>570</v>
      </c>
      <c r="E602" s="1" t="s">
        <v>337</v>
      </c>
      <c r="F602" s="1">
        <v>739044</v>
      </c>
      <c r="G602" s="1">
        <v>839044</v>
      </c>
      <c r="H602" s="1">
        <v>30463.299999999988</v>
      </c>
      <c r="I602" s="1">
        <v>69536.700000000012</v>
      </c>
      <c r="J602" s="1">
        <v>769507.3</v>
      </c>
      <c r="K602" s="1">
        <v>93</v>
      </c>
      <c r="L602" s="1">
        <v>282.61870229007633</v>
      </c>
      <c r="M602" s="1">
        <v>212.28537617395369</v>
      </c>
      <c r="N602" s="7">
        <v>45947</v>
      </c>
      <c r="O602" s="1">
        <v>100000</v>
      </c>
      <c r="P602" s="7">
        <v>46159.285376168977</v>
      </c>
      <c r="Q602" s="1" t="s">
        <v>330</v>
      </c>
      <c r="T602" s="1" t="s">
        <v>571</v>
      </c>
      <c r="U602" s="1" t="s">
        <v>572</v>
      </c>
      <c r="V602" s="1">
        <v>2</v>
      </c>
      <c r="W602" s="3">
        <v>3493.46</v>
      </c>
      <c r="X602" s="3">
        <v>6986.92</v>
      </c>
      <c r="Y602" s="1" t="str">
        <f>VLOOKUP(A602,[1]Detalle!$D$2:$CR$484,93,FALSE)</f>
        <v>ADA_CH - Danone Arg. S.A. - Chascomus</v>
      </c>
    </row>
    <row r="603" spans="1:25" ht="14.25" customHeight="1" x14ac:dyDescent="0.3">
      <c r="A603" s="1" t="s">
        <v>9</v>
      </c>
      <c r="B603" s="1" t="s">
        <v>569</v>
      </c>
      <c r="C603" s="1" t="s">
        <v>569</v>
      </c>
      <c r="D603" s="1" t="s">
        <v>570</v>
      </c>
      <c r="E603" s="1" t="s">
        <v>337</v>
      </c>
      <c r="F603" s="1">
        <v>837188</v>
      </c>
      <c r="G603" s="1">
        <v>937188</v>
      </c>
      <c r="H603" s="1">
        <v>32995.300000000003</v>
      </c>
      <c r="I603" s="1">
        <v>67004.7</v>
      </c>
      <c r="J603" s="1">
        <v>870183.3</v>
      </c>
      <c r="K603" s="1">
        <v>93</v>
      </c>
      <c r="L603" s="1">
        <v>352.51014814814829</v>
      </c>
      <c r="M603" s="1">
        <v>188.8583252766303</v>
      </c>
      <c r="N603" s="7">
        <v>45947</v>
      </c>
      <c r="O603" s="1">
        <v>100000</v>
      </c>
      <c r="P603" s="7">
        <v>46135.858325277783</v>
      </c>
      <c r="Q603" s="1" t="s">
        <v>330</v>
      </c>
      <c r="T603" s="1" t="s">
        <v>571</v>
      </c>
      <c r="U603" s="1" t="s">
        <v>572</v>
      </c>
      <c r="V603" s="1">
        <v>2</v>
      </c>
      <c r="W603" s="3">
        <v>3493.46</v>
      </c>
      <c r="X603" s="3">
        <v>6986.92</v>
      </c>
      <c r="Y603" s="1" t="str">
        <f>VLOOKUP(A603,[1]Detalle!$D$2:$CR$484,93,FALSE)</f>
        <v>ADA_CH - Danone Arg. S.A. - Chascomus</v>
      </c>
    </row>
    <row r="604" spans="1:25" ht="14.25" customHeight="1" x14ac:dyDescent="0.3">
      <c r="A604" s="1" t="s">
        <v>30</v>
      </c>
      <c r="B604" s="1" t="s">
        <v>569</v>
      </c>
      <c r="C604" s="1" t="s">
        <v>569</v>
      </c>
      <c r="D604" s="1" t="s">
        <v>570</v>
      </c>
      <c r="E604" s="1" t="s">
        <v>337</v>
      </c>
      <c r="F604" s="1">
        <v>426924</v>
      </c>
      <c r="G604" s="1">
        <v>526924</v>
      </c>
      <c r="H604" s="1">
        <v>23224.2</v>
      </c>
      <c r="I604" s="1">
        <v>76775.8</v>
      </c>
      <c r="J604" s="1">
        <v>450148.2</v>
      </c>
      <c r="K604" s="1">
        <v>93</v>
      </c>
      <c r="L604" s="1">
        <v>273.98136531365333</v>
      </c>
      <c r="M604" s="1">
        <v>307.4443640685148</v>
      </c>
      <c r="N604" s="7">
        <v>45947</v>
      </c>
      <c r="O604" s="1">
        <v>100000</v>
      </c>
      <c r="P604" s="7">
        <v>46254.444364074072</v>
      </c>
      <c r="Q604" s="1" t="s">
        <v>330</v>
      </c>
      <c r="T604" s="1" t="s">
        <v>571</v>
      </c>
      <c r="U604" s="1" t="s">
        <v>572</v>
      </c>
      <c r="V604" s="1">
        <v>2</v>
      </c>
      <c r="W604" s="3">
        <v>3493.46</v>
      </c>
      <c r="X604" s="3">
        <v>6986.92</v>
      </c>
      <c r="Y604" s="1" t="str">
        <f>VLOOKUP(A604,[1]Detalle!$D$2:$CR$484,93,FALSE)</f>
        <v>ADA_CH - Danone Arg. S.A. - Chascomus</v>
      </c>
    </row>
    <row r="605" spans="1:25" ht="14.25" customHeight="1" x14ac:dyDescent="0.3">
      <c r="A605" s="1" t="s">
        <v>35</v>
      </c>
      <c r="B605" s="1" t="s">
        <v>569</v>
      </c>
      <c r="C605" s="1" t="s">
        <v>569</v>
      </c>
      <c r="D605" s="1" t="s">
        <v>570</v>
      </c>
      <c r="E605" s="1" t="s">
        <v>337</v>
      </c>
      <c r="F605" s="1">
        <v>376144</v>
      </c>
      <c r="G605" s="1">
        <v>476144</v>
      </c>
      <c r="H605" s="1">
        <v>28758.9</v>
      </c>
      <c r="I605" s="1">
        <v>71241.100000000006</v>
      </c>
      <c r="J605" s="1">
        <v>404902.9</v>
      </c>
      <c r="K605" s="1">
        <v>93</v>
      </c>
      <c r="L605" s="1">
        <v>328.18794117647042</v>
      </c>
      <c r="M605" s="1">
        <v>230.37815424094799</v>
      </c>
      <c r="N605" s="7">
        <v>45947</v>
      </c>
      <c r="O605" s="1">
        <v>100000</v>
      </c>
      <c r="P605" s="7">
        <v>46177.37815423611</v>
      </c>
      <c r="Q605" s="1" t="s">
        <v>330</v>
      </c>
      <c r="T605" s="1" t="s">
        <v>571</v>
      </c>
      <c r="U605" s="1" t="s">
        <v>572</v>
      </c>
      <c r="V605" s="1">
        <v>2</v>
      </c>
      <c r="W605" s="3">
        <v>3493.46</v>
      </c>
      <c r="X605" s="3">
        <v>6986.92</v>
      </c>
      <c r="Y605" s="1" t="str">
        <f>VLOOKUP(A605,[1]Detalle!$D$2:$CR$484,93,FALSE)</f>
        <v>CENCOMLD - Cencosud SA - Mendoza</v>
      </c>
    </row>
    <row r="606" spans="1:25" ht="14.25" customHeight="1" x14ac:dyDescent="0.3">
      <c r="A606" s="1" t="s">
        <v>514</v>
      </c>
      <c r="B606" s="1" t="s">
        <v>569</v>
      </c>
      <c r="C606" s="1" t="s">
        <v>569</v>
      </c>
      <c r="D606" s="1" t="s">
        <v>570</v>
      </c>
      <c r="E606" s="1" t="s">
        <v>337</v>
      </c>
      <c r="F606" s="1">
        <v>1635872</v>
      </c>
      <c r="G606" s="1">
        <v>1735872</v>
      </c>
      <c r="H606" s="1">
        <v>21621.200000000001</v>
      </c>
      <c r="I606" s="1">
        <v>78378.8</v>
      </c>
      <c r="J606" s="1">
        <v>1657493.2</v>
      </c>
      <c r="K606" s="1">
        <v>93</v>
      </c>
      <c r="L606" s="1">
        <v>298.17575757575747</v>
      </c>
      <c r="M606" s="1">
        <v>337.13338760105819</v>
      </c>
      <c r="N606" s="7">
        <v>45947</v>
      </c>
      <c r="O606" s="1">
        <v>100000</v>
      </c>
      <c r="P606" s="7">
        <v>46284.133387604168</v>
      </c>
      <c r="Q606" s="1" t="s">
        <v>330</v>
      </c>
      <c r="T606" s="1" t="s">
        <v>571</v>
      </c>
      <c r="U606" s="1" t="s">
        <v>572</v>
      </c>
      <c r="V606" s="1">
        <v>2</v>
      </c>
      <c r="W606" s="3">
        <v>3493.46</v>
      </c>
      <c r="X606" s="3">
        <v>6986.92</v>
      </c>
      <c r="Y606" s="1" t="str">
        <f>VLOOKUP(A606,[1]Detalle!$D$2:$CR$484,93,FALSE)</f>
        <v>Expreso - Servicios Troncales</v>
      </c>
    </row>
    <row r="607" spans="1:25" ht="14.25" customHeight="1" x14ac:dyDescent="0.3">
      <c r="A607" s="1" t="s">
        <v>510</v>
      </c>
      <c r="B607" s="1" t="s">
        <v>569</v>
      </c>
      <c r="C607" s="1" t="s">
        <v>569</v>
      </c>
      <c r="D607" s="1" t="s">
        <v>570</v>
      </c>
      <c r="E607" s="1" t="s">
        <v>337</v>
      </c>
      <c r="F607" s="1">
        <v>1787728</v>
      </c>
      <c r="G607" s="1">
        <v>1887728</v>
      </c>
      <c r="H607" s="1">
        <v>32949.399999999987</v>
      </c>
      <c r="I607" s="1">
        <v>67050.600000000006</v>
      </c>
      <c r="J607" s="1">
        <v>1820677.4</v>
      </c>
      <c r="K607" s="1">
        <v>93</v>
      </c>
      <c r="L607" s="1">
        <v>2480.570318518518</v>
      </c>
      <c r="M607" s="1">
        <v>189.2509666336868</v>
      </c>
      <c r="N607" s="7">
        <v>45947</v>
      </c>
      <c r="O607" s="1">
        <v>100000</v>
      </c>
      <c r="P607" s="7">
        <v>46136.250966631953</v>
      </c>
      <c r="Q607" s="1" t="s">
        <v>330</v>
      </c>
      <c r="T607" s="1" t="s">
        <v>571</v>
      </c>
      <c r="U607" s="1" t="s">
        <v>572</v>
      </c>
      <c r="V607" s="1">
        <v>2</v>
      </c>
      <c r="W607" s="3">
        <v>3493.46</v>
      </c>
      <c r="X607" s="3">
        <v>6986.92</v>
      </c>
      <c r="Y607" s="1" t="str">
        <f>VLOOKUP(A607,[1]Detalle!$D$2:$CR$484,93,FALSE)</f>
        <v>Expreso - Servicios Troncales</v>
      </c>
    </row>
    <row r="608" spans="1:25" ht="14.25" customHeight="1" x14ac:dyDescent="0.3">
      <c r="A608" s="1" t="s">
        <v>511</v>
      </c>
      <c r="B608" s="1" t="s">
        <v>569</v>
      </c>
      <c r="C608" s="1" t="s">
        <v>569</v>
      </c>
      <c r="D608" s="1" t="s">
        <v>570</v>
      </c>
      <c r="E608" s="1" t="s">
        <v>337</v>
      </c>
      <c r="F608" s="1">
        <v>1667106</v>
      </c>
      <c r="G608" s="1">
        <v>1767106</v>
      </c>
      <c r="H608" s="1">
        <v>32762.399999999991</v>
      </c>
      <c r="I608" s="1">
        <v>67237.600000000006</v>
      </c>
      <c r="J608" s="1">
        <v>1699868.4</v>
      </c>
      <c r="K608" s="1">
        <v>93</v>
      </c>
      <c r="L608" s="1">
        <v>411.92981617647058</v>
      </c>
      <c r="M608" s="1">
        <v>190.86198813273759</v>
      </c>
      <c r="N608" s="7">
        <v>45947</v>
      </c>
      <c r="O608" s="1">
        <v>100000</v>
      </c>
      <c r="P608" s="7">
        <v>46137.861988136567</v>
      </c>
      <c r="Q608" s="1" t="s">
        <v>330</v>
      </c>
      <c r="T608" s="1" t="s">
        <v>571</v>
      </c>
      <c r="U608" s="1" t="s">
        <v>572</v>
      </c>
      <c r="V608" s="1">
        <v>2</v>
      </c>
      <c r="W608" s="3">
        <v>3493.46</v>
      </c>
      <c r="X608" s="3">
        <v>6986.92</v>
      </c>
      <c r="Y608" s="1" t="str">
        <f>VLOOKUP(A608,[1]Detalle!$D$2:$CR$484,93,FALSE)</f>
        <v>Expreso - Servicios Troncales</v>
      </c>
    </row>
    <row r="609" spans="1:25" ht="14.25" customHeight="1" x14ac:dyDescent="0.3">
      <c r="A609" s="1" t="s">
        <v>512</v>
      </c>
      <c r="B609" s="1" t="s">
        <v>569</v>
      </c>
      <c r="C609" s="1" t="s">
        <v>569</v>
      </c>
      <c r="D609" s="1" t="s">
        <v>570</v>
      </c>
      <c r="E609" s="1" t="s">
        <v>337</v>
      </c>
      <c r="F609" s="1">
        <v>1740401</v>
      </c>
      <c r="G609" s="1">
        <v>1840401</v>
      </c>
      <c r="H609" s="1">
        <v>23216.7</v>
      </c>
      <c r="I609" s="1">
        <v>76783.3</v>
      </c>
      <c r="J609" s="1">
        <v>1763617.7</v>
      </c>
      <c r="K609" s="1">
        <v>93</v>
      </c>
      <c r="L609" s="1">
        <v>4494.815091575093</v>
      </c>
      <c r="M609" s="1">
        <v>307.57372494799</v>
      </c>
      <c r="N609" s="7">
        <v>45947</v>
      </c>
      <c r="O609" s="1">
        <v>100000</v>
      </c>
      <c r="P609" s="7">
        <v>46254.573724953712</v>
      </c>
      <c r="Q609" s="1" t="s">
        <v>330</v>
      </c>
      <c r="T609" s="1" t="s">
        <v>571</v>
      </c>
      <c r="U609" s="1" t="s">
        <v>572</v>
      </c>
      <c r="V609" s="1">
        <v>2</v>
      </c>
      <c r="W609" s="3">
        <v>3493.46</v>
      </c>
      <c r="X609" s="3">
        <v>6986.92</v>
      </c>
      <c r="Y609" s="1" t="str">
        <f>VLOOKUP(A609,[1]Detalle!$D$2:$CR$484,93,FALSE)</f>
        <v>Expreso - Servicios Troncales</v>
      </c>
    </row>
    <row r="610" spans="1:25" ht="14.25" customHeight="1" x14ac:dyDescent="0.3">
      <c r="A610" s="1" t="s">
        <v>513</v>
      </c>
      <c r="B610" s="1" t="s">
        <v>569</v>
      </c>
      <c r="C610" s="1" t="s">
        <v>569</v>
      </c>
      <c r="D610" s="1" t="s">
        <v>570</v>
      </c>
      <c r="E610" s="1" t="s">
        <v>337</v>
      </c>
      <c r="F610" s="1">
        <v>1522461</v>
      </c>
      <c r="G610" s="1">
        <v>1622461</v>
      </c>
      <c r="H610" s="1">
        <v>30847.3</v>
      </c>
      <c r="I610" s="1">
        <v>69152.7</v>
      </c>
      <c r="J610" s="1">
        <v>1553308.3</v>
      </c>
      <c r="K610" s="1">
        <v>93</v>
      </c>
      <c r="L610" s="1">
        <v>2328.6221402214019</v>
      </c>
      <c r="M610" s="1">
        <v>208.48505703902771</v>
      </c>
      <c r="N610" s="7">
        <v>45947</v>
      </c>
      <c r="O610" s="1">
        <v>100000</v>
      </c>
      <c r="P610" s="7">
        <v>46155.48505703704</v>
      </c>
      <c r="Q610" s="1" t="s">
        <v>330</v>
      </c>
      <c r="T610" s="1" t="s">
        <v>571</v>
      </c>
      <c r="U610" s="1" t="s">
        <v>572</v>
      </c>
      <c r="V610" s="1">
        <v>2</v>
      </c>
      <c r="W610" s="3">
        <v>3493.46</v>
      </c>
      <c r="X610" s="3">
        <v>6986.92</v>
      </c>
      <c r="Y610" s="1" t="str">
        <f>VLOOKUP(A610,[1]Detalle!$D$2:$CR$484,93,FALSE)</f>
        <v>Expreso - Servicios Troncales</v>
      </c>
    </row>
    <row r="611" spans="1:25" ht="14.25" customHeight="1" x14ac:dyDescent="0.3">
      <c r="A611" s="1" t="s">
        <v>270</v>
      </c>
      <c r="B611" s="1" t="s">
        <v>569</v>
      </c>
      <c r="C611" s="1" t="s">
        <v>569</v>
      </c>
      <c r="D611" s="1" t="s">
        <v>570</v>
      </c>
      <c r="E611" s="1" t="s">
        <v>337</v>
      </c>
      <c r="F611" s="1">
        <v>1715107</v>
      </c>
      <c r="G611" s="1">
        <v>1815107</v>
      </c>
      <c r="H611" s="1">
        <v>38111.200000000012</v>
      </c>
      <c r="I611" s="1">
        <v>61888.799999999988</v>
      </c>
      <c r="J611" s="1">
        <v>1753218.2</v>
      </c>
      <c r="K611" s="1">
        <v>93</v>
      </c>
      <c r="L611" s="1">
        <v>1736.2685719557189</v>
      </c>
      <c r="M611" s="1">
        <v>151.02275446587871</v>
      </c>
      <c r="N611" s="7">
        <v>45947</v>
      </c>
      <c r="O611" s="1">
        <v>100000</v>
      </c>
      <c r="P611" s="7">
        <v>46098.022754467587</v>
      </c>
      <c r="Q611" s="1" t="s">
        <v>330</v>
      </c>
      <c r="T611" s="1" t="s">
        <v>571</v>
      </c>
      <c r="U611" s="1" t="s">
        <v>572</v>
      </c>
      <c r="V611" s="1">
        <v>2</v>
      </c>
      <c r="W611" s="3">
        <v>3493.46</v>
      </c>
      <c r="X611" s="3">
        <v>6986.92</v>
      </c>
      <c r="Y611" s="1" t="str">
        <f>VLOOKUP(A611,[1]Detalle!$D$2:$CR$484,93,FALSE)</f>
        <v>Expreso - Servicios Troncales</v>
      </c>
    </row>
    <row r="612" spans="1:25" ht="14.25" customHeight="1" x14ac:dyDescent="0.3">
      <c r="A612" s="1" t="s">
        <v>17</v>
      </c>
      <c r="B612" s="1" t="s">
        <v>569</v>
      </c>
      <c r="C612" s="1" t="s">
        <v>569</v>
      </c>
      <c r="D612" s="1" t="s">
        <v>570</v>
      </c>
      <c r="E612" s="1" t="s">
        <v>337</v>
      </c>
      <c r="F612" s="1">
        <v>690382</v>
      </c>
      <c r="G612" s="1">
        <v>790382</v>
      </c>
      <c r="H612" s="1">
        <v>33880.100000000013</v>
      </c>
      <c r="I612" s="1">
        <v>66119.899999999994</v>
      </c>
      <c r="J612" s="1">
        <v>724262.1</v>
      </c>
      <c r="K612" s="1">
        <v>93</v>
      </c>
      <c r="L612" s="1">
        <v>382.02855555555578</v>
      </c>
      <c r="M612" s="1">
        <v>181.4974188387873</v>
      </c>
      <c r="N612" s="7">
        <v>45947</v>
      </c>
      <c r="O612" s="1">
        <v>100000</v>
      </c>
      <c r="P612" s="7">
        <v>46128.497418842591</v>
      </c>
      <c r="Q612" s="1" t="s">
        <v>330</v>
      </c>
      <c r="T612" s="1" t="s">
        <v>571</v>
      </c>
      <c r="U612" s="1" t="s">
        <v>572</v>
      </c>
      <c r="V612" s="1">
        <v>2</v>
      </c>
      <c r="W612" s="3">
        <v>3493.46</v>
      </c>
      <c r="X612" s="3">
        <v>6986.92</v>
      </c>
      <c r="Y612" s="1" t="str">
        <f>VLOOKUP(A612,[1]Detalle!$D$2:$CR$484,93,FALSE)</f>
        <v>Expreso - Servicios Troncales</v>
      </c>
    </row>
    <row r="613" spans="1:25" ht="14.25" customHeight="1" x14ac:dyDescent="0.3">
      <c r="A613" s="1" t="s">
        <v>18</v>
      </c>
      <c r="B613" s="1" t="s">
        <v>569</v>
      </c>
      <c r="C613" s="1" t="s">
        <v>569</v>
      </c>
      <c r="D613" s="1" t="s">
        <v>570</v>
      </c>
      <c r="E613" s="1" t="s">
        <v>337</v>
      </c>
      <c r="F613" s="1">
        <v>649466</v>
      </c>
      <c r="G613" s="1">
        <v>749466</v>
      </c>
      <c r="H613" s="1">
        <v>31704.400000000009</v>
      </c>
      <c r="I613" s="1">
        <v>68295.599999999991</v>
      </c>
      <c r="J613" s="1">
        <v>681170.4</v>
      </c>
      <c r="K613" s="1">
        <v>93</v>
      </c>
      <c r="L613" s="1">
        <v>381.04202205882348</v>
      </c>
      <c r="M613" s="1">
        <v>200.3346790981692</v>
      </c>
      <c r="N613" s="7">
        <v>45947</v>
      </c>
      <c r="O613" s="1">
        <v>100000</v>
      </c>
      <c r="P613" s="7">
        <v>46147.334679097221</v>
      </c>
      <c r="Q613" s="1" t="s">
        <v>330</v>
      </c>
      <c r="T613" s="1" t="s">
        <v>571</v>
      </c>
      <c r="U613" s="1" t="s">
        <v>572</v>
      </c>
      <c r="V613" s="1">
        <v>2</v>
      </c>
      <c r="W613" s="3">
        <v>3493.46</v>
      </c>
      <c r="X613" s="3">
        <v>6986.92</v>
      </c>
      <c r="Y613" s="1" t="str">
        <f>VLOOKUP(A613,[1]Detalle!$D$2:$CR$484,93,FALSE)</f>
        <v>Expreso - Servicios Troncales</v>
      </c>
    </row>
    <row r="614" spans="1:25" ht="14.25" customHeight="1" x14ac:dyDescent="0.3">
      <c r="A614" s="1" t="s">
        <v>176</v>
      </c>
      <c r="B614" s="1" t="s">
        <v>569</v>
      </c>
      <c r="C614" s="1" t="s">
        <v>569</v>
      </c>
      <c r="D614" s="1" t="s">
        <v>570</v>
      </c>
      <c r="E614" s="1" t="s">
        <v>337</v>
      </c>
      <c r="F614" s="1">
        <v>1927110</v>
      </c>
      <c r="G614" s="1">
        <v>2027110</v>
      </c>
      <c r="H614" s="1">
        <v>38366.300000000003</v>
      </c>
      <c r="I614" s="1">
        <v>61633.7</v>
      </c>
      <c r="J614" s="1">
        <v>1965476.3</v>
      </c>
      <c r="K614" s="1">
        <v>93</v>
      </c>
      <c r="L614" s="1">
        <v>1849.550539936103</v>
      </c>
      <c r="M614" s="1">
        <v>149.40023145312421</v>
      </c>
      <c r="N614" s="7">
        <v>45947</v>
      </c>
      <c r="O614" s="1">
        <v>100000</v>
      </c>
      <c r="P614" s="7">
        <v>46096.400231458327</v>
      </c>
      <c r="Q614" s="1" t="s">
        <v>330</v>
      </c>
      <c r="T614" s="1" t="s">
        <v>571</v>
      </c>
      <c r="U614" s="1" t="s">
        <v>572</v>
      </c>
      <c r="V614" s="1">
        <v>2</v>
      </c>
      <c r="W614" s="3">
        <v>3493.46</v>
      </c>
      <c r="X614" s="3">
        <v>6986.92</v>
      </c>
      <c r="Y614" s="1" t="str">
        <f>VLOOKUP(A614,[1]Detalle!$D$2:$CR$484,93,FALSE)</f>
        <v>Expreso - Servicios Troncales</v>
      </c>
    </row>
    <row r="615" spans="1:25" ht="14.25" customHeight="1" x14ac:dyDescent="0.3">
      <c r="A615" s="1" t="s">
        <v>186</v>
      </c>
      <c r="B615" s="1" t="s">
        <v>569</v>
      </c>
      <c r="C615" s="1" t="s">
        <v>569</v>
      </c>
      <c r="D615" s="1" t="s">
        <v>570</v>
      </c>
      <c r="E615" s="1" t="s">
        <v>337</v>
      </c>
      <c r="F615" s="1">
        <v>462884</v>
      </c>
      <c r="G615" s="1">
        <v>562884</v>
      </c>
      <c r="H615" s="1">
        <v>34735.899999999987</v>
      </c>
      <c r="I615" s="1">
        <v>65264.100000000013</v>
      </c>
      <c r="J615" s="1">
        <v>497619.9</v>
      </c>
      <c r="K615" s="1">
        <v>93</v>
      </c>
      <c r="L615" s="1">
        <v>303.0774834437085</v>
      </c>
      <c r="M615" s="1">
        <v>174.73453401236191</v>
      </c>
      <c r="N615" s="7">
        <v>45947</v>
      </c>
      <c r="O615" s="1">
        <v>100000</v>
      </c>
      <c r="P615" s="7">
        <v>46121.734534016206</v>
      </c>
      <c r="Q615" s="1" t="s">
        <v>330</v>
      </c>
      <c r="T615" s="1" t="s">
        <v>571</v>
      </c>
      <c r="U615" s="1" t="s">
        <v>572</v>
      </c>
      <c r="V615" s="1">
        <v>2</v>
      </c>
      <c r="W615" s="3">
        <v>3493.46</v>
      </c>
      <c r="X615" s="3">
        <v>6986.92</v>
      </c>
      <c r="Y615" s="1" t="str">
        <f>VLOOKUP(A615,[1]Detalle!$D$2:$CR$484,93,FALSE)</f>
        <v>Expreso - Servicios Troncales</v>
      </c>
    </row>
    <row r="616" spans="1:25" ht="14.25" customHeight="1" x14ac:dyDescent="0.3">
      <c r="A616" s="1" t="s">
        <v>201</v>
      </c>
      <c r="B616" s="1" t="s">
        <v>569</v>
      </c>
      <c r="C616" s="1" t="s">
        <v>569</v>
      </c>
      <c r="D616" s="1" t="s">
        <v>570</v>
      </c>
      <c r="E616" s="1" t="s">
        <v>337</v>
      </c>
      <c r="F616" s="1">
        <v>1842119</v>
      </c>
      <c r="G616" s="1">
        <v>1942119</v>
      </c>
      <c r="H616" s="1">
        <v>30174.499999999989</v>
      </c>
      <c r="I616" s="1">
        <v>69825.5</v>
      </c>
      <c r="J616" s="1">
        <v>1872293.5</v>
      </c>
      <c r="K616" s="1">
        <v>93</v>
      </c>
      <c r="L616" s="1">
        <v>155.41622516556279</v>
      </c>
      <c r="M616" s="1">
        <v>215.207261097947</v>
      </c>
      <c r="N616" s="7">
        <v>45947</v>
      </c>
      <c r="O616" s="1">
        <v>100000</v>
      </c>
      <c r="P616" s="7">
        <v>46162.207261099538</v>
      </c>
      <c r="Q616" s="1" t="s">
        <v>330</v>
      </c>
      <c r="T616" s="1" t="s">
        <v>571</v>
      </c>
      <c r="U616" s="1" t="s">
        <v>572</v>
      </c>
      <c r="V616" s="1">
        <v>2</v>
      </c>
      <c r="W616" s="3">
        <v>3493.46</v>
      </c>
      <c r="X616" s="3">
        <v>6986.92</v>
      </c>
      <c r="Y616" s="1" t="str">
        <f>VLOOKUP(A616,[1]Detalle!$D$2:$CR$484,93,FALSE)</f>
        <v>SUC_CTC - Sucursal Buenos Aires</v>
      </c>
    </row>
    <row r="617" spans="1:25" ht="14.25" customHeight="1" x14ac:dyDescent="0.3">
      <c r="A617" s="1" t="s">
        <v>228</v>
      </c>
      <c r="B617" s="1" t="s">
        <v>569</v>
      </c>
      <c r="C617" s="1" t="s">
        <v>569</v>
      </c>
      <c r="D617" s="1" t="s">
        <v>570</v>
      </c>
      <c r="E617" s="1" t="s">
        <v>337</v>
      </c>
      <c r="F617" s="1">
        <v>829725</v>
      </c>
      <c r="G617" s="1">
        <v>929725</v>
      </c>
      <c r="H617" s="1">
        <v>27658.399999999991</v>
      </c>
      <c r="I617" s="1">
        <v>72341.600000000006</v>
      </c>
      <c r="J617" s="1">
        <v>857383.4</v>
      </c>
      <c r="K617" s="1">
        <v>93</v>
      </c>
      <c r="L617" s="1">
        <v>232.68261029411761</v>
      </c>
      <c r="M617" s="1">
        <v>243.24504671275281</v>
      </c>
      <c r="N617" s="7">
        <v>45947</v>
      </c>
      <c r="O617" s="1">
        <v>100000</v>
      </c>
      <c r="P617" s="7">
        <v>46190.24504671296</v>
      </c>
      <c r="Q617" s="1" t="s">
        <v>330</v>
      </c>
      <c r="T617" s="1" t="s">
        <v>571</v>
      </c>
      <c r="U617" s="1" t="s">
        <v>572</v>
      </c>
      <c r="V617" s="1">
        <v>2</v>
      </c>
      <c r="W617" s="3">
        <v>3493.46</v>
      </c>
      <c r="X617" s="3">
        <v>6986.92</v>
      </c>
      <c r="Y617" s="1" t="str">
        <f>VLOOKUP(A617,[1]Detalle!$D$2:$CR$484,93,FALSE)</f>
        <v>Expreso - Servicios Troncales</v>
      </c>
    </row>
    <row r="618" spans="1:25" ht="14.25" customHeight="1" x14ac:dyDescent="0.3">
      <c r="A618" s="1" t="s">
        <v>229</v>
      </c>
      <c r="B618" s="1" t="s">
        <v>569</v>
      </c>
      <c r="C618" s="1" t="s">
        <v>569</v>
      </c>
      <c r="D618" s="1" t="s">
        <v>570</v>
      </c>
      <c r="E618" s="1" t="s">
        <v>337</v>
      </c>
      <c r="F618" s="1">
        <v>1778309</v>
      </c>
      <c r="G618" s="1">
        <v>1878309</v>
      </c>
      <c r="H618" s="1">
        <v>27121.999999999989</v>
      </c>
      <c r="I618" s="1">
        <v>72878</v>
      </c>
      <c r="J618" s="1">
        <v>1805431</v>
      </c>
      <c r="K618" s="1">
        <v>93</v>
      </c>
      <c r="L618" s="1">
        <v>259.71717557251912</v>
      </c>
      <c r="M618" s="1">
        <v>249.8950667354915</v>
      </c>
      <c r="N618" s="7">
        <v>45947</v>
      </c>
      <c r="O618" s="1">
        <v>100000</v>
      </c>
      <c r="P618" s="7">
        <v>46196.895066736113</v>
      </c>
      <c r="Q618" s="1" t="s">
        <v>330</v>
      </c>
      <c r="T618" s="1" t="s">
        <v>571</v>
      </c>
      <c r="U618" s="1" t="s">
        <v>572</v>
      </c>
      <c r="V618" s="1">
        <v>2</v>
      </c>
      <c r="W618" s="3">
        <v>3493.46</v>
      </c>
      <c r="X618" s="3">
        <v>6986.92</v>
      </c>
      <c r="Y618" s="1" t="str">
        <f>VLOOKUP(A618,[1]Detalle!$D$2:$CR$484,93,FALSE)</f>
        <v>Expreso - Servicios Troncales</v>
      </c>
    </row>
    <row r="619" spans="1:25" ht="14.25" customHeight="1" x14ac:dyDescent="0.3">
      <c r="A619" s="1" t="s">
        <v>230</v>
      </c>
      <c r="B619" s="1" t="s">
        <v>569</v>
      </c>
      <c r="C619" s="1" t="s">
        <v>569</v>
      </c>
      <c r="D619" s="1" t="s">
        <v>570</v>
      </c>
      <c r="E619" s="1" t="s">
        <v>337</v>
      </c>
      <c r="F619" s="1">
        <v>1787246</v>
      </c>
      <c r="G619" s="1">
        <v>1887246</v>
      </c>
      <c r="H619" s="1">
        <v>27616.2</v>
      </c>
      <c r="I619" s="1">
        <v>72383.8</v>
      </c>
      <c r="J619" s="1">
        <v>1814862.2</v>
      </c>
      <c r="K619" s="1">
        <v>93</v>
      </c>
      <c r="L619" s="1">
        <v>289.98935849056602</v>
      </c>
      <c r="M619" s="1">
        <v>243.7588589306277</v>
      </c>
      <c r="N619" s="7">
        <v>45947</v>
      </c>
      <c r="O619" s="1">
        <v>100000</v>
      </c>
      <c r="P619" s="7">
        <v>46190.758858935187</v>
      </c>
      <c r="Q619" s="1" t="s">
        <v>330</v>
      </c>
      <c r="T619" s="1" t="s">
        <v>571</v>
      </c>
      <c r="U619" s="1" t="s">
        <v>572</v>
      </c>
      <c r="V619" s="1">
        <v>2</v>
      </c>
      <c r="W619" s="3">
        <v>3493.46</v>
      </c>
      <c r="X619" s="3">
        <v>6986.92</v>
      </c>
      <c r="Y619" s="1" t="str">
        <f>VLOOKUP(A619,[1]Detalle!$D$2:$CR$484,93,FALSE)</f>
        <v>Expreso - Servicios Troncales</v>
      </c>
    </row>
    <row r="620" spans="1:25" ht="14.25" customHeight="1" x14ac:dyDescent="0.3">
      <c r="A620" s="1" t="s">
        <v>231</v>
      </c>
      <c r="B620" s="1" t="s">
        <v>569</v>
      </c>
      <c r="C620" s="1" t="s">
        <v>569</v>
      </c>
      <c r="D620" s="1" t="s">
        <v>570</v>
      </c>
      <c r="E620" s="1" t="s">
        <v>337</v>
      </c>
      <c r="F620" s="1">
        <v>1836513</v>
      </c>
      <c r="G620" s="1">
        <v>1936513</v>
      </c>
      <c r="H620" s="1">
        <v>31732.5</v>
      </c>
      <c r="I620" s="1">
        <v>68267.5</v>
      </c>
      <c r="J620" s="1">
        <v>1868245.5</v>
      </c>
      <c r="K620" s="1">
        <v>93</v>
      </c>
      <c r="L620" s="1">
        <v>332.5574264705881</v>
      </c>
      <c r="M620" s="1">
        <v>200.07492318600799</v>
      </c>
      <c r="N620" s="7">
        <v>45947</v>
      </c>
      <c r="O620" s="1">
        <v>100000</v>
      </c>
      <c r="P620" s="7">
        <v>46147.074923182867</v>
      </c>
      <c r="Q620" s="1" t="s">
        <v>330</v>
      </c>
      <c r="T620" s="1" t="s">
        <v>571</v>
      </c>
      <c r="U620" s="1" t="s">
        <v>572</v>
      </c>
      <c r="V620" s="1">
        <v>2</v>
      </c>
      <c r="W620" s="3">
        <v>3493.46</v>
      </c>
      <c r="X620" s="3">
        <v>6986.92</v>
      </c>
      <c r="Y620" s="1" t="str">
        <f>VLOOKUP(A620,[1]Detalle!$D$2:$CR$484,93,FALSE)</f>
        <v>Expreso - Servicios Troncales</v>
      </c>
    </row>
    <row r="621" spans="1:25" ht="14.25" customHeight="1" x14ac:dyDescent="0.3">
      <c r="A621" s="1" t="s">
        <v>232</v>
      </c>
      <c r="B621" s="1" t="s">
        <v>569</v>
      </c>
      <c r="C621" s="1" t="s">
        <v>569</v>
      </c>
      <c r="D621" s="1" t="s">
        <v>570</v>
      </c>
      <c r="E621" s="1" t="s">
        <v>337</v>
      </c>
      <c r="F621" s="1">
        <v>1933394</v>
      </c>
      <c r="G621" s="1">
        <v>2033394</v>
      </c>
      <c r="H621" s="1">
        <v>31533.599999999999</v>
      </c>
      <c r="I621" s="1">
        <v>68466.399999999994</v>
      </c>
      <c r="J621" s="1">
        <v>1964927.6</v>
      </c>
      <c r="K621" s="1">
        <v>93</v>
      </c>
      <c r="L621" s="1">
        <v>2668.176102941175</v>
      </c>
      <c r="M621" s="1">
        <v>201.92351016059061</v>
      </c>
      <c r="N621" s="7">
        <v>45947</v>
      </c>
      <c r="O621" s="1">
        <v>100000</v>
      </c>
      <c r="P621" s="7">
        <v>46148.923510162043</v>
      </c>
      <c r="Q621" s="1" t="s">
        <v>330</v>
      </c>
      <c r="T621" s="1" t="s">
        <v>571</v>
      </c>
      <c r="U621" s="1" t="s">
        <v>572</v>
      </c>
      <c r="V621" s="1">
        <v>2</v>
      </c>
      <c r="W621" s="3">
        <v>3493.46</v>
      </c>
      <c r="X621" s="3">
        <v>6986.92</v>
      </c>
      <c r="Y621" s="1" t="str">
        <f>VLOOKUP(A621,[1]Detalle!$D$2:$CR$484,93,FALSE)</f>
        <v>Expreso - Servicios Troncales</v>
      </c>
    </row>
    <row r="622" spans="1:25" ht="14.25" customHeight="1" x14ac:dyDescent="0.3">
      <c r="A622" s="1" t="s">
        <v>233</v>
      </c>
      <c r="B622" s="1" t="s">
        <v>569</v>
      </c>
      <c r="C622" s="1" t="s">
        <v>569</v>
      </c>
      <c r="D622" s="1" t="s">
        <v>570</v>
      </c>
      <c r="E622" s="6">
        <v>45769</v>
      </c>
      <c r="F622" s="1">
        <v>1851506</v>
      </c>
      <c r="G622" s="1">
        <v>1951506</v>
      </c>
      <c r="H622" s="1">
        <v>60536.299999999967</v>
      </c>
      <c r="I622" s="1">
        <v>39463.700000000033</v>
      </c>
      <c r="J622" s="1">
        <v>1912042.3</v>
      </c>
      <c r="K622" s="1">
        <v>178</v>
      </c>
      <c r="L622" s="1">
        <v>1720.767376383764</v>
      </c>
      <c r="M622" s="1">
        <v>116.03845296128119</v>
      </c>
      <c r="N622" s="7">
        <v>45947</v>
      </c>
      <c r="O622" s="1">
        <v>100000</v>
      </c>
      <c r="P622" s="7">
        <v>46063.038452962966</v>
      </c>
      <c r="Q622" s="1" t="s">
        <v>330</v>
      </c>
      <c r="T622" s="1" t="s">
        <v>571</v>
      </c>
      <c r="U622" s="1" t="s">
        <v>572</v>
      </c>
      <c r="V622" s="1">
        <v>2</v>
      </c>
      <c r="W622" s="3">
        <v>3493.46</v>
      </c>
      <c r="X622" s="3">
        <v>6986.92</v>
      </c>
      <c r="Y622" s="1" t="str">
        <f>VLOOKUP(A622,[1]Detalle!$D$2:$CR$484,93,FALSE)</f>
        <v>Expreso - Servicios Troncales</v>
      </c>
    </row>
    <row r="623" spans="1:25" ht="14.25" customHeight="1" x14ac:dyDescent="0.3">
      <c r="A623" s="1" t="s">
        <v>234</v>
      </c>
      <c r="B623" s="1" t="s">
        <v>569</v>
      </c>
      <c r="C623" s="1" t="s">
        <v>569</v>
      </c>
      <c r="D623" s="1" t="s">
        <v>570</v>
      </c>
      <c r="E623" s="1" t="s">
        <v>337</v>
      </c>
      <c r="F623" s="1">
        <v>1922871</v>
      </c>
      <c r="G623" s="1">
        <v>2022871</v>
      </c>
      <c r="H623" s="1">
        <v>38533.900000000009</v>
      </c>
      <c r="I623" s="1">
        <v>61466.099999999991</v>
      </c>
      <c r="J623" s="1">
        <v>1961404.9</v>
      </c>
      <c r="K623" s="1">
        <v>93</v>
      </c>
      <c r="L623" s="1">
        <v>2691.3734963503648</v>
      </c>
      <c r="M623" s="1">
        <v>148.34593176397919</v>
      </c>
      <c r="N623" s="7">
        <v>45947</v>
      </c>
      <c r="O623" s="1">
        <v>100000</v>
      </c>
      <c r="P623" s="7">
        <v>46095.345931759257</v>
      </c>
      <c r="Q623" s="1" t="s">
        <v>330</v>
      </c>
      <c r="T623" s="1" t="s">
        <v>571</v>
      </c>
      <c r="U623" s="1" t="s">
        <v>572</v>
      </c>
      <c r="V623" s="1">
        <v>2</v>
      </c>
      <c r="W623" s="3">
        <v>3493.46</v>
      </c>
      <c r="X623" s="3">
        <v>6986.92</v>
      </c>
      <c r="Y623" s="1" t="str">
        <f>VLOOKUP(A623,[1]Detalle!$D$2:$CR$484,93,FALSE)</f>
        <v>Expreso - Servicios Troncales</v>
      </c>
    </row>
    <row r="624" spans="1:25" ht="14.25" customHeight="1" x14ac:dyDescent="0.3">
      <c r="A624" s="1" t="s">
        <v>70</v>
      </c>
      <c r="B624" s="1" t="s">
        <v>569</v>
      </c>
      <c r="C624" s="1" t="s">
        <v>569</v>
      </c>
      <c r="D624" s="1" t="s">
        <v>570</v>
      </c>
      <c r="E624" s="1" t="s">
        <v>337</v>
      </c>
      <c r="F624" s="1">
        <v>331634</v>
      </c>
      <c r="G624" s="1">
        <v>431634</v>
      </c>
      <c r="H624" s="1">
        <v>24149.499999999989</v>
      </c>
      <c r="I624" s="1">
        <v>75850.500000000015</v>
      </c>
      <c r="J624" s="1">
        <v>355783.5</v>
      </c>
      <c r="K624" s="1">
        <v>93</v>
      </c>
      <c r="L624" s="1">
        <v>252.63896296296281</v>
      </c>
      <c r="M624" s="1">
        <v>292.10114081036892</v>
      </c>
      <c r="N624" s="7">
        <v>45947</v>
      </c>
      <c r="O624" s="1">
        <v>100000</v>
      </c>
      <c r="P624" s="7">
        <v>46239.101140810177</v>
      </c>
      <c r="Q624" s="1" t="s">
        <v>330</v>
      </c>
      <c r="T624" s="1" t="s">
        <v>571</v>
      </c>
      <c r="U624" s="1" t="s">
        <v>572</v>
      </c>
      <c r="V624" s="1">
        <v>2</v>
      </c>
      <c r="W624" s="3">
        <v>3493.46</v>
      </c>
      <c r="X624" s="3">
        <v>6986.92</v>
      </c>
      <c r="Y624" s="1" t="str">
        <f>VLOOKUP(A624,[1]Detalle!$D$2:$CR$484,93,FALSE)</f>
        <v>ADA_CH - Danone Arg. S.A. - Chascomus</v>
      </c>
    </row>
    <row r="625" spans="1:25" ht="14.25" customHeight="1" x14ac:dyDescent="0.3">
      <c r="A625" s="1" t="s">
        <v>95</v>
      </c>
      <c r="B625" s="1" t="s">
        <v>569</v>
      </c>
      <c r="C625" s="1" t="s">
        <v>569</v>
      </c>
      <c r="D625" s="1" t="s">
        <v>570</v>
      </c>
      <c r="E625" s="1" t="s">
        <v>337</v>
      </c>
      <c r="F625" s="1">
        <v>147133</v>
      </c>
      <c r="G625" s="1">
        <v>247133</v>
      </c>
      <c r="H625" s="1">
        <v>22878.6</v>
      </c>
      <c r="I625" s="1">
        <v>77121.399999999994</v>
      </c>
      <c r="J625" s="1">
        <v>170011.6</v>
      </c>
      <c r="K625" s="1">
        <v>93</v>
      </c>
      <c r="L625" s="1">
        <v>266.23473282442751</v>
      </c>
      <c r="M625" s="1">
        <v>313.49340431669759</v>
      </c>
      <c r="N625" s="7">
        <v>45947</v>
      </c>
      <c r="O625" s="1">
        <v>100000</v>
      </c>
      <c r="P625" s="7">
        <v>46260.493404317131</v>
      </c>
      <c r="Q625" s="1" t="s">
        <v>330</v>
      </c>
      <c r="T625" s="1" t="s">
        <v>571</v>
      </c>
      <c r="U625" s="1" t="s">
        <v>572</v>
      </c>
      <c r="V625" s="1">
        <v>2</v>
      </c>
      <c r="W625" s="3">
        <v>3493.46</v>
      </c>
      <c r="X625" s="3">
        <v>6986.92</v>
      </c>
      <c r="Y625" s="1" t="str">
        <f>VLOOKUP(A625,[1]Detalle!$D$2:$CR$484,93,FALSE)</f>
        <v>CENCOMLD - Cencosud SA - Mendoza</v>
      </c>
    </row>
    <row r="626" spans="1:25" ht="14.25" customHeight="1" x14ac:dyDescent="0.3">
      <c r="A626" s="1" t="s">
        <v>96</v>
      </c>
      <c r="B626" s="1" t="s">
        <v>569</v>
      </c>
      <c r="C626" s="1" t="s">
        <v>569</v>
      </c>
      <c r="D626" s="1" t="s">
        <v>570</v>
      </c>
      <c r="E626" s="1" t="s">
        <v>337</v>
      </c>
      <c r="F626" s="1">
        <v>148859</v>
      </c>
      <c r="G626" s="1">
        <v>248859</v>
      </c>
      <c r="H626" s="1">
        <v>28345.900000000009</v>
      </c>
      <c r="I626" s="1">
        <v>71654.099999999991</v>
      </c>
      <c r="J626" s="1">
        <v>177204.9</v>
      </c>
      <c r="K626" s="1">
        <v>93</v>
      </c>
      <c r="L626" s="1">
        <v>281.98244274809178</v>
      </c>
      <c r="M626" s="1">
        <v>235.08977665200251</v>
      </c>
      <c r="N626" s="7">
        <v>45947</v>
      </c>
      <c r="O626" s="1">
        <v>100000</v>
      </c>
      <c r="P626" s="7">
        <v>46182.089776655092</v>
      </c>
      <c r="Q626" s="1" t="s">
        <v>330</v>
      </c>
      <c r="T626" s="1" t="s">
        <v>571</v>
      </c>
      <c r="U626" s="1" t="s">
        <v>572</v>
      </c>
      <c r="V626" s="1">
        <v>2</v>
      </c>
      <c r="W626" s="3">
        <v>3493.46</v>
      </c>
      <c r="X626" s="3">
        <v>6986.92</v>
      </c>
      <c r="Y626" s="1" t="str">
        <f>VLOOKUP(A626,[1]Detalle!$D$2:$CR$484,93,FALSE)</f>
        <v>CENCOMLD - Cencosud SA - Mendoza</v>
      </c>
    </row>
    <row r="627" spans="1:25" ht="14.25" customHeight="1" x14ac:dyDescent="0.3">
      <c r="A627" s="1" t="s">
        <v>97</v>
      </c>
      <c r="B627" s="1" t="s">
        <v>569</v>
      </c>
      <c r="C627" s="1" t="s">
        <v>569</v>
      </c>
      <c r="D627" s="1" t="s">
        <v>570</v>
      </c>
      <c r="E627" s="1" t="s">
        <v>337</v>
      </c>
      <c r="F627" s="1">
        <v>190237</v>
      </c>
      <c r="G627" s="1">
        <v>290237</v>
      </c>
      <c r="H627" s="1">
        <v>24028.9</v>
      </c>
      <c r="I627" s="1">
        <v>75971.100000000006</v>
      </c>
      <c r="J627" s="1">
        <v>214265.9</v>
      </c>
      <c r="K627" s="1">
        <v>93</v>
      </c>
      <c r="L627" s="1">
        <v>310.79992700729929</v>
      </c>
      <c r="M627" s="1">
        <v>294.03394662260871</v>
      </c>
      <c r="N627" s="7">
        <v>45947</v>
      </c>
      <c r="O627" s="1">
        <v>100000</v>
      </c>
      <c r="P627" s="7">
        <v>46241.033946620373</v>
      </c>
      <c r="Q627" s="1" t="s">
        <v>330</v>
      </c>
      <c r="T627" s="1" t="s">
        <v>571</v>
      </c>
      <c r="U627" s="1" t="s">
        <v>572</v>
      </c>
      <c r="V627" s="1">
        <v>2</v>
      </c>
      <c r="W627" s="3">
        <v>3493.46</v>
      </c>
      <c r="X627" s="3">
        <v>6986.92</v>
      </c>
      <c r="Y627" s="1" t="str">
        <f>VLOOKUP(A627,[1]Detalle!$D$2:$CR$484,93,FALSE)</f>
        <v>Expreso - Servicios Troncales</v>
      </c>
    </row>
    <row r="628" spans="1:25" ht="14.25" customHeight="1" x14ac:dyDescent="0.3">
      <c r="A628" s="1" t="s">
        <v>72</v>
      </c>
      <c r="B628" s="1" t="s">
        <v>573</v>
      </c>
      <c r="C628" s="1" t="s">
        <v>573</v>
      </c>
      <c r="D628" s="1" t="s">
        <v>574</v>
      </c>
      <c r="E628" s="1" t="s">
        <v>337</v>
      </c>
      <c r="F628" s="1">
        <v>31897</v>
      </c>
      <c r="G628" s="1">
        <v>331897</v>
      </c>
      <c r="H628" s="1">
        <v>2723.3</v>
      </c>
      <c r="I628" s="1">
        <v>297276.7</v>
      </c>
      <c r="J628" s="1">
        <v>34620.300000000003</v>
      </c>
      <c r="K628" s="1">
        <v>122</v>
      </c>
      <c r="L628" s="1">
        <v>23.312164179104489</v>
      </c>
      <c r="M628" s="1">
        <v>13317.57698380641</v>
      </c>
      <c r="N628" s="7">
        <v>45947</v>
      </c>
      <c r="O628" s="1">
        <v>300000</v>
      </c>
      <c r="P628" s="7">
        <v>46023</v>
      </c>
      <c r="Q628" s="1" t="s">
        <v>330</v>
      </c>
      <c r="T628" s="1" t="s">
        <v>575</v>
      </c>
      <c r="U628" s="1" t="s">
        <v>576</v>
      </c>
      <c r="V628" s="1">
        <v>30</v>
      </c>
      <c r="W628" s="3">
        <v>3718.24</v>
      </c>
      <c r="X628" s="3">
        <v>111547.2</v>
      </c>
      <c r="Y628" s="1" t="str">
        <f>VLOOKUP(A628,[1]Detalle!$D$2:$CR$484,93,FALSE)</f>
        <v>CMQ_TTE - QUILMES TTE</v>
      </c>
    </row>
    <row r="629" spans="1:25" ht="14.25" customHeight="1" x14ac:dyDescent="0.3">
      <c r="A629" s="1" t="s">
        <v>65</v>
      </c>
      <c r="B629" s="1" t="s">
        <v>573</v>
      </c>
      <c r="C629" s="1" t="s">
        <v>573</v>
      </c>
      <c r="D629" s="1" t="s">
        <v>574</v>
      </c>
      <c r="E629" s="1" t="s">
        <v>337</v>
      </c>
      <c r="F629" s="1">
        <v>60222.1</v>
      </c>
      <c r="G629" s="1">
        <v>360222.1</v>
      </c>
      <c r="H629" s="1">
        <v>8669.3000000000029</v>
      </c>
      <c r="I629" s="1">
        <v>291330.7</v>
      </c>
      <c r="J629" s="1">
        <v>68891.399999999994</v>
      </c>
      <c r="K629" s="1">
        <v>121</v>
      </c>
      <c r="L629" s="1">
        <v>70.958419117647139</v>
      </c>
      <c r="M629" s="1">
        <v>4066.189277104264</v>
      </c>
      <c r="N629" s="7">
        <v>45947</v>
      </c>
      <c r="O629" s="1">
        <v>300000</v>
      </c>
      <c r="P629" s="7">
        <v>46023</v>
      </c>
      <c r="Q629" s="1" t="s">
        <v>330</v>
      </c>
      <c r="T629" s="1" t="s">
        <v>575</v>
      </c>
      <c r="U629" s="1" t="s">
        <v>576</v>
      </c>
      <c r="V629" s="1">
        <v>30</v>
      </c>
      <c r="W629" s="3">
        <v>3718.24</v>
      </c>
      <c r="X629" s="3">
        <v>111547.2</v>
      </c>
      <c r="Y629" s="1" t="str">
        <f>VLOOKUP(A629,[1]Detalle!$D$2:$CR$484,93,FALSE)</f>
        <v>Arcor S.A.I.C.</v>
      </c>
    </row>
    <row r="630" spans="1:25" ht="14.25" customHeight="1" x14ac:dyDescent="0.3">
      <c r="A630" s="1" t="s">
        <v>77</v>
      </c>
      <c r="B630" s="1" t="s">
        <v>573</v>
      </c>
      <c r="C630" s="1" t="s">
        <v>573</v>
      </c>
      <c r="D630" s="1" t="s">
        <v>574</v>
      </c>
      <c r="E630" s="1" t="s">
        <v>337</v>
      </c>
      <c r="F630" s="1">
        <v>56124.5</v>
      </c>
      <c r="G630" s="1">
        <v>356124.5</v>
      </c>
      <c r="H630" s="1">
        <v>12159.4</v>
      </c>
      <c r="I630" s="1">
        <v>287840.59999999998</v>
      </c>
      <c r="J630" s="1">
        <v>68283.899999999994</v>
      </c>
      <c r="K630" s="1">
        <v>120</v>
      </c>
      <c r="L630" s="1">
        <v>78.920809061488711</v>
      </c>
      <c r="M630" s="1">
        <v>2840.672401598762</v>
      </c>
      <c r="N630" s="7">
        <v>45947</v>
      </c>
      <c r="O630" s="1">
        <v>300000</v>
      </c>
      <c r="P630" s="7">
        <v>46023</v>
      </c>
      <c r="Q630" s="1" t="s">
        <v>330</v>
      </c>
      <c r="T630" s="1" t="s">
        <v>575</v>
      </c>
      <c r="U630" s="1" t="s">
        <v>576</v>
      </c>
      <c r="V630" s="1">
        <v>30</v>
      </c>
      <c r="W630" s="3">
        <v>3718.24</v>
      </c>
      <c r="X630" s="3">
        <v>111547.2</v>
      </c>
      <c r="Y630" s="1" t="str">
        <f>VLOOKUP(A630,[1]Detalle!$D$2:$CR$484,93,FALSE)</f>
        <v>Arcor S.A.I.C.</v>
      </c>
    </row>
    <row r="631" spans="1:25" ht="14.25" customHeight="1" x14ac:dyDescent="0.3">
      <c r="A631" s="1" t="s">
        <v>86</v>
      </c>
      <c r="B631" s="1" t="s">
        <v>573</v>
      </c>
      <c r="C631" s="1" t="s">
        <v>573</v>
      </c>
      <c r="D631" s="1" t="s">
        <v>574</v>
      </c>
      <c r="E631" s="1" t="s">
        <v>337</v>
      </c>
      <c r="F631" s="1">
        <v>56846.7</v>
      </c>
      <c r="G631" s="1">
        <v>356846.7</v>
      </c>
      <c r="H631" s="1">
        <v>8901.1999999999971</v>
      </c>
      <c r="I631" s="1">
        <v>291098.8</v>
      </c>
      <c r="J631" s="1">
        <v>65747.899999999994</v>
      </c>
      <c r="K631" s="1">
        <v>119</v>
      </c>
      <c r="L631" s="1">
        <v>74.356479400749095</v>
      </c>
      <c r="M631" s="1">
        <v>3891.695187165777</v>
      </c>
      <c r="N631" s="7">
        <v>45947</v>
      </c>
      <c r="O631" s="1">
        <v>300000</v>
      </c>
      <c r="P631" s="7">
        <v>46023</v>
      </c>
      <c r="Q631" s="1" t="s">
        <v>330</v>
      </c>
      <c r="T631" s="1" t="s">
        <v>575</v>
      </c>
      <c r="U631" s="1" t="s">
        <v>576</v>
      </c>
      <c r="V631" s="1">
        <v>30</v>
      </c>
      <c r="W631" s="3">
        <v>3718.24</v>
      </c>
      <c r="X631" s="3">
        <v>111547.2</v>
      </c>
      <c r="Y631" s="1" t="str">
        <f>VLOOKUP(A631,[1]Detalle!$D$2:$CR$484,93,FALSE)</f>
        <v>Arcor S.A.I.C.</v>
      </c>
    </row>
    <row r="632" spans="1:25" ht="14.25" customHeight="1" x14ac:dyDescent="0.3">
      <c r="A632" s="1" t="s">
        <v>214</v>
      </c>
      <c r="B632" s="1" t="s">
        <v>573</v>
      </c>
      <c r="C632" s="1" t="s">
        <v>573</v>
      </c>
      <c r="D632" s="1" t="s">
        <v>574</v>
      </c>
      <c r="E632" s="1" t="s">
        <v>337</v>
      </c>
      <c r="F632" s="1">
        <v>41172.300000000003</v>
      </c>
      <c r="G632" s="1">
        <v>341172.3</v>
      </c>
      <c r="H632" s="1">
        <v>1851.8</v>
      </c>
      <c r="I632" s="1">
        <v>298148.2</v>
      </c>
      <c r="J632" s="1">
        <v>43024.100000000013</v>
      </c>
      <c r="K632" s="1">
        <v>114</v>
      </c>
      <c r="L632" s="1">
        <v>24.119335793357951</v>
      </c>
      <c r="M632" s="1">
        <v>18354.517118479322</v>
      </c>
      <c r="N632" s="7">
        <v>45947</v>
      </c>
      <c r="O632" s="1">
        <v>300000</v>
      </c>
      <c r="P632" s="7">
        <v>46023</v>
      </c>
      <c r="Q632" s="1" t="s">
        <v>330</v>
      </c>
      <c r="T632" s="1" t="s">
        <v>575</v>
      </c>
      <c r="U632" s="1" t="s">
        <v>576</v>
      </c>
      <c r="V632" s="1">
        <v>30</v>
      </c>
      <c r="W632" s="3">
        <v>3718.24</v>
      </c>
      <c r="X632" s="3">
        <v>111547.2</v>
      </c>
      <c r="Y632" s="1" t="str">
        <f>VLOOKUP(A632,[1]Detalle!$D$2:$CR$484,93,FALSE)</f>
        <v>Expreso - Servicios Troncales</v>
      </c>
    </row>
    <row r="633" spans="1:25" ht="14.25" customHeight="1" x14ac:dyDescent="0.3">
      <c r="A633" s="1" t="s">
        <v>188</v>
      </c>
      <c r="B633" s="1" t="s">
        <v>573</v>
      </c>
      <c r="C633" s="1" t="s">
        <v>573</v>
      </c>
      <c r="D633" s="1" t="s">
        <v>574</v>
      </c>
      <c r="E633" s="1" t="s">
        <v>337</v>
      </c>
      <c r="F633" s="1">
        <v>27748.5</v>
      </c>
      <c r="G633" s="1">
        <v>327748.5</v>
      </c>
      <c r="H633" s="1">
        <v>7445.9000000000033</v>
      </c>
      <c r="I633" s="1">
        <v>292554.09999999998</v>
      </c>
      <c r="J633" s="1">
        <v>35194.400000000001</v>
      </c>
      <c r="K633" s="1">
        <v>112</v>
      </c>
      <c r="L633" s="1">
        <v>88.699814814814829</v>
      </c>
      <c r="M633" s="1">
        <v>4400.5505311647994</v>
      </c>
      <c r="N633" s="7">
        <v>45947</v>
      </c>
      <c r="O633" s="1">
        <v>300000</v>
      </c>
      <c r="P633" s="7">
        <v>46023</v>
      </c>
      <c r="Q633" s="1" t="s">
        <v>330</v>
      </c>
      <c r="T633" s="1" t="s">
        <v>575</v>
      </c>
      <c r="U633" s="1" t="s">
        <v>576</v>
      </c>
      <c r="V633" s="1">
        <v>30</v>
      </c>
      <c r="W633" s="3">
        <v>3718.24</v>
      </c>
      <c r="X633" s="3">
        <v>111547.2</v>
      </c>
      <c r="Y633" s="1" t="str">
        <f>VLOOKUP(A633,[1]Detalle!$D$2:$CR$484,93,FALSE)</f>
        <v>Arcor S.A.I.C.</v>
      </c>
    </row>
    <row r="634" spans="1:25" ht="14.25" customHeight="1" x14ac:dyDescent="0.3">
      <c r="A634" s="1" t="s">
        <v>577</v>
      </c>
      <c r="B634" s="1" t="s">
        <v>573</v>
      </c>
      <c r="C634" s="1" t="s">
        <v>573</v>
      </c>
      <c r="D634" s="1" t="s">
        <v>574</v>
      </c>
      <c r="E634" s="1" t="s">
        <v>337</v>
      </c>
      <c r="F634" s="1">
        <v>2760.04</v>
      </c>
      <c r="G634" s="1">
        <v>302760.03999999998</v>
      </c>
      <c r="H634" s="1">
        <v>1000</v>
      </c>
      <c r="I634" s="1">
        <v>299000</v>
      </c>
      <c r="J634" s="1">
        <v>3760.04</v>
      </c>
      <c r="K634" s="1">
        <v>43</v>
      </c>
      <c r="L634" s="1">
        <v>1.0687022900763361E-2</v>
      </c>
      <c r="M634" s="1">
        <v>12857</v>
      </c>
      <c r="N634" s="7">
        <v>45947</v>
      </c>
      <c r="O634" s="1">
        <v>300000</v>
      </c>
      <c r="P634" s="7">
        <v>46023</v>
      </c>
      <c r="Q634" s="1" t="s">
        <v>578</v>
      </c>
      <c r="T634" s="1" t="s">
        <v>575</v>
      </c>
      <c r="U634" s="1" t="s">
        <v>576</v>
      </c>
      <c r="V634" s="1">
        <v>30</v>
      </c>
      <c r="W634" s="3">
        <v>3718.24</v>
      </c>
      <c r="X634" s="3">
        <v>111547.2</v>
      </c>
      <c r="Y634" s="1" t="str">
        <f>VLOOKUP(A634,[1]Detalle!$D$2:$CR$484,93,FALSE)</f>
        <v>INACTIVO</v>
      </c>
    </row>
    <row r="635" spans="1:25" ht="14.25" customHeight="1" x14ac:dyDescent="0.3">
      <c r="A635" s="1" t="s">
        <v>31</v>
      </c>
      <c r="B635" s="1" t="s">
        <v>573</v>
      </c>
      <c r="C635" s="1" t="s">
        <v>573</v>
      </c>
      <c r="D635" s="1" t="s">
        <v>574</v>
      </c>
      <c r="E635" s="1" t="s">
        <v>337</v>
      </c>
      <c r="F635" s="1">
        <v>275054</v>
      </c>
      <c r="G635" s="1">
        <v>575054</v>
      </c>
      <c r="H635" s="1">
        <v>9477.2000000000044</v>
      </c>
      <c r="I635" s="1">
        <v>290522.8</v>
      </c>
      <c r="J635" s="1">
        <v>284531.20000000001</v>
      </c>
      <c r="K635" s="1">
        <v>95</v>
      </c>
      <c r="L635" s="1">
        <v>102.90352941176479</v>
      </c>
      <c r="M635" s="1">
        <v>2912.2173215717712</v>
      </c>
      <c r="N635" s="7">
        <v>45947</v>
      </c>
      <c r="O635" s="1">
        <v>300000</v>
      </c>
      <c r="P635" s="7">
        <v>46023</v>
      </c>
      <c r="Q635" s="1" t="s">
        <v>330</v>
      </c>
      <c r="T635" s="1" t="s">
        <v>575</v>
      </c>
      <c r="U635" s="1" t="s">
        <v>576</v>
      </c>
      <c r="V635" s="1">
        <v>30</v>
      </c>
      <c r="W635" s="3">
        <v>3718.24</v>
      </c>
      <c r="X635" s="3">
        <v>111547.2</v>
      </c>
      <c r="Y635" s="1" t="str">
        <f>VLOOKUP(A635,[1]Detalle!$D$2:$CR$484,93,FALSE)</f>
        <v>CENCOMLD - Cencosud SA - Mendoza</v>
      </c>
    </row>
    <row r="636" spans="1:25" ht="14.25" customHeight="1" x14ac:dyDescent="0.3">
      <c r="A636" s="1" t="s">
        <v>278</v>
      </c>
      <c r="B636" s="1" t="s">
        <v>573</v>
      </c>
      <c r="C636" s="1" t="s">
        <v>573</v>
      </c>
      <c r="D636" s="1" t="s">
        <v>574</v>
      </c>
      <c r="E636" s="1" t="s">
        <v>337</v>
      </c>
      <c r="G636" s="1">
        <v>312677.09999999998</v>
      </c>
      <c r="H636" s="1">
        <v>100</v>
      </c>
      <c r="I636" s="1">
        <v>299900</v>
      </c>
      <c r="J636" s="1">
        <v>12777.1</v>
      </c>
      <c r="L636" s="1">
        <v>11.00925093632959</v>
      </c>
      <c r="N636" s="7">
        <v>45947</v>
      </c>
      <c r="O636" s="1">
        <v>300000</v>
      </c>
      <c r="P636" s="7">
        <v>46023</v>
      </c>
      <c r="Q636" s="1" t="s">
        <v>330</v>
      </c>
      <c r="T636" s="1" t="s">
        <v>575</v>
      </c>
      <c r="U636" s="1" t="s">
        <v>576</v>
      </c>
      <c r="V636" s="1">
        <v>30</v>
      </c>
      <c r="W636" s="3">
        <v>3718.24</v>
      </c>
      <c r="X636" s="3">
        <v>111547.2</v>
      </c>
      <c r="Y636" s="1" t="str">
        <f>VLOOKUP(A636,[1]Detalle!$D$2:$CR$484,93,FALSE)</f>
        <v>Expreso - Servicios Troncales</v>
      </c>
    </row>
    <row r="637" spans="1:25" ht="14.25" customHeight="1" x14ac:dyDescent="0.3">
      <c r="A637" s="1" t="s">
        <v>279</v>
      </c>
      <c r="B637" s="1" t="s">
        <v>573</v>
      </c>
      <c r="C637" s="1" t="s">
        <v>573</v>
      </c>
      <c r="D637" s="1" t="s">
        <v>574</v>
      </c>
      <c r="E637" s="1" t="s">
        <v>337</v>
      </c>
      <c r="F637" s="1">
        <v>12677.1</v>
      </c>
      <c r="G637" s="1">
        <v>312677.09999999998</v>
      </c>
      <c r="H637" s="1">
        <v>4705.2000000000007</v>
      </c>
      <c r="I637" s="1">
        <v>295294.8</v>
      </c>
      <c r="J637" s="1">
        <v>17382.3</v>
      </c>
      <c r="K637" s="1">
        <v>108</v>
      </c>
      <c r="L637" s="1">
        <v>197.99579335793359</v>
      </c>
      <c r="M637" s="1">
        <v>6777.9984697781174</v>
      </c>
      <c r="N637" s="7">
        <v>45947</v>
      </c>
      <c r="O637" s="1">
        <v>300000</v>
      </c>
      <c r="P637" s="7">
        <v>46023</v>
      </c>
      <c r="Q637" s="1" t="s">
        <v>330</v>
      </c>
      <c r="T637" s="1" t="s">
        <v>575</v>
      </c>
      <c r="U637" s="1" t="s">
        <v>576</v>
      </c>
      <c r="V637" s="1">
        <v>30</v>
      </c>
      <c r="W637" s="3">
        <v>3718.24</v>
      </c>
      <c r="X637" s="3">
        <v>111547.2</v>
      </c>
      <c r="Y637" s="1" t="str">
        <f>VLOOKUP(A637,[1]Detalle!$D$2:$CR$484,93,FALSE)</f>
        <v>Expreso - Servicios Troncales</v>
      </c>
    </row>
    <row r="638" spans="1:25" ht="14.25" customHeight="1" x14ac:dyDescent="0.3">
      <c r="A638" s="1" t="s">
        <v>277</v>
      </c>
      <c r="B638" s="1" t="s">
        <v>573</v>
      </c>
      <c r="C638" s="1" t="s">
        <v>573</v>
      </c>
      <c r="D638" s="1" t="s">
        <v>574</v>
      </c>
      <c r="E638" s="1" t="s">
        <v>337</v>
      </c>
      <c r="F638" s="1">
        <v>32422.3</v>
      </c>
      <c r="G638" s="1">
        <v>332422.3</v>
      </c>
      <c r="H638" s="1">
        <v>1370.3</v>
      </c>
      <c r="I638" s="1">
        <v>298629.7</v>
      </c>
      <c r="J638" s="1">
        <v>33792.6</v>
      </c>
      <c r="K638" s="1">
        <v>107</v>
      </c>
      <c r="L638" s="1">
        <v>64.224089219330835</v>
      </c>
      <c r="M638" s="1">
        <v>23318.527256805079</v>
      </c>
      <c r="N638" s="7">
        <v>45947</v>
      </c>
      <c r="O638" s="1">
        <v>300000</v>
      </c>
      <c r="P638" s="7">
        <v>46023</v>
      </c>
      <c r="Q638" s="1" t="s">
        <v>330</v>
      </c>
      <c r="T638" s="1" t="s">
        <v>575</v>
      </c>
      <c r="U638" s="1" t="s">
        <v>576</v>
      </c>
      <c r="V638" s="1">
        <v>30</v>
      </c>
      <c r="W638" s="3">
        <v>3718.24</v>
      </c>
      <c r="X638" s="3">
        <v>111547.2</v>
      </c>
      <c r="Y638" s="1" t="str">
        <f>VLOOKUP(A638,[1]Detalle!$D$2:$CR$484,93,FALSE)</f>
        <v>Expreso - Servicios Troncales</v>
      </c>
    </row>
    <row r="639" spans="1:25" ht="14.25" customHeight="1" x14ac:dyDescent="0.3">
      <c r="A639" s="1" t="s">
        <v>85</v>
      </c>
      <c r="B639" s="1" t="s">
        <v>573</v>
      </c>
      <c r="C639" s="1" t="s">
        <v>573</v>
      </c>
      <c r="D639" s="1" t="s">
        <v>574</v>
      </c>
      <c r="E639" s="1" t="s">
        <v>337</v>
      </c>
      <c r="F639" s="1">
        <v>69683.8</v>
      </c>
      <c r="G639" s="1">
        <v>369683.8</v>
      </c>
      <c r="H639" s="1">
        <v>7698.5999999999995</v>
      </c>
      <c r="I639" s="1">
        <v>292301.40000000002</v>
      </c>
      <c r="J639" s="1">
        <v>77382.400000000009</v>
      </c>
      <c r="K639" s="1">
        <v>97</v>
      </c>
      <c r="L639" s="1">
        <v>78.134555555555551</v>
      </c>
      <c r="M639" s="1">
        <v>3682.9080352271849</v>
      </c>
      <c r="N639" s="7">
        <v>45947</v>
      </c>
      <c r="O639" s="1">
        <v>300000</v>
      </c>
      <c r="P639" s="7">
        <v>46023</v>
      </c>
      <c r="Q639" s="1" t="s">
        <v>330</v>
      </c>
      <c r="T639" s="1" t="s">
        <v>575</v>
      </c>
      <c r="U639" s="1" t="s">
        <v>576</v>
      </c>
      <c r="V639" s="1">
        <v>30</v>
      </c>
      <c r="W639" s="3">
        <v>3718.24</v>
      </c>
      <c r="X639" s="3">
        <v>111547.2</v>
      </c>
      <c r="Y639" s="1" t="str">
        <f>VLOOKUP(A639,[1]Detalle!$D$2:$CR$484,93,FALSE)</f>
        <v>Arcor S.A.I.C.</v>
      </c>
    </row>
    <row r="640" spans="1:25" ht="14.25" customHeight="1" x14ac:dyDescent="0.3">
      <c r="A640" s="1" t="s">
        <v>93</v>
      </c>
      <c r="B640" s="1" t="s">
        <v>573</v>
      </c>
      <c r="C640" s="1" t="s">
        <v>573</v>
      </c>
      <c r="D640" s="1" t="s">
        <v>574</v>
      </c>
      <c r="E640" s="1" t="s">
        <v>337</v>
      </c>
      <c r="F640" s="1">
        <v>27992.6</v>
      </c>
      <c r="G640" s="1">
        <v>327992.59999999998</v>
      </c>
      <c r="H640" s="1">
        <v>4891.1000000000004</v>
      </c>
      <c r="I640" s="1">
        <v>295108.90000000002</v>
      </c>
      <c r="J640" s="1">
        <v>32883.699999999997</v>
      </c>
      <c r="K640" s="1">
        <v>96</v>
      </c>
      <c r="L640" s="1">
        <v>112.049667896679</v>
      </c>
      <c r="M640" s="1">
        <v>5792.2459978327988</v>
      </c>
      <c r="N640" s="7">
        <v>45947</v>
      </c>
      <c r="O640" s="1">
        <v>300000</v>
      </c>
      <c r="P640" s="7">
        <v>46023</v>
      </c>
      <c r="Q640" s="1" t="s">
        <v>330</v>
      </c>
      <c r="T640" s="1" t="s">
        <v>575</v>
      </c>
      <c r="U640" s="1" t="s">
        <v>576</v>
      </c>
      <c r="V640" s="1">
        <v>30</v>
      </c>
      <c r="W640" s="3">
        <v>3718.24</v>
      </c>
      <c r="X640" s="3">
        <v>111547.2</v>
      </c>
      <c r="Y640" s="1" t="str">
        <f>VLOOKUP(A640,[1]Detalle!$D$2:$CR$484,93,FALSE)</f>
        <v>Arcor S.A.I.C.</v>
      </c>
    </row>
    <row r="641" spans="1:25" ht="14.25" customHeight="1" x14ac:dyDescent="0.3">
      <c r="A641" s="1" t="s">
        <v>95</v>
      </c>
      <c r="B641" s="1" t="s">
        <v>573</v>
      </c>
      <c r="C641" s="1" t="s">
        <v>573</v>
      </c>
      <c r="D641" s="1" t="s">
        <v>574</v>
      </c>
      <c r="E641" s="1" t="s">
        <v>337</v>
      </c>
      <c r="F641" s="1">
        <v>154409</v>
      </c>
      <c r="G641" s="1">
        <v>454409</v>
      </c>
      <c r="H641" s="1">
        <v>23267.9</v>
      </c>
      <c r="I641" s="1">
        <v>276732.09999999998</v>
      </c>
      <c r="J641" s="1">
        <v>177676.9</v>
      </c>
      <c r="K641" s="1">
        <v>95</v>
      </c>
      <c r="L641" s="1">
        <v>266.23473282442751</v>
      </c>
      <c r="M641" s="1">
        <v>1129.863438471026</v>
      </c>
      <c r="N641" s="7">
        <v>45947</v>
      </c>
      <c r="O641" s="1">
        <v>300000</v>
      </c>
      <c r="P641" s="7">
        <v>46023</v>
      </c>
      <c r="Q641" s="1" t="s">
        <v>330</v>
      </c>
      <c r="T641" s="1" t="s">
        <v>575</v>
      </c>
      <c r="U641" s="1" t="s">
        <v>576</v>
      </c>
      <c r="V641" s="1">
        <v>30</v>
      </c>
      <c r="W641" s="3">
        <v>3718.24</v>
      </c>
      <c r="X641" s="3">
        <v>111547.2</v>
      </c>
      <c r="Y641" s="1" t="str">
        <f>VLOOKUP(A641,[1]Detalle!$D$2:$CR$484,93,FALSE)</f>
        <v>CENCOMLD - Cencosud SA - Mendoza</v>
      </c>
    </row>
    <row r="642" spans="1:25" ht="14.25" customHeight="1" x14ac:dyDescent="0.3">
      <c r="A642" s="1" t="s">
        <v>96</v>
      </c>
      <c r="B642" s="1" t="s">
        <v>573</v>
      </c>
      <c r="C642" s="1" t="s">
        <v>573</v>
      </c>
      <c r="D642" s="1" t="s">
        <v>574</v>
      </c>
      <c r="E642" s="1" t="s">
        <v>337</v>
      </c>
      <c r="F642" s="1">
        <v>157205</v>
      </c>
      <c r="G642" s="1">
        <v>457205</v>
      </c>
      <c r="H642" s="1">
        <v>28347.8</v>
      </c>
      <c r="I642" s="1">
        <v>271652.2</v>
      </c>
      <c r="J642" s="1">
        <v>185552.8</v>
      </c>
      <c r="K642" s="1">
        <v>94</v>
      </c>
      <c r="L642" s="1">
        <v>281.98244274809178</v>
      </c>
      <c r="M642" s="1">
        <v>900.78619152103511</v>
      </c>
      <c r="N642" s="7">
        <v>45947</v>
      </c>
      <c r="O642" s="1">
        <v>300000</v>
      </c>
      <c r="P642" s="7">
        <v>46023</v>
      </c>
      <c r="Q642" s="1" t="s">
        <v>330</v>
      </c>
      <c r="T642" s="1" t="s">
        <v>575</v>
      </c>
      <c r="U642" s="1" t="s">
        <v>576</v>
      </c>
      <c r="V642" s="1">
        <v>30</v>
      </c>
      <c r="W642" s="3">
        <v>3718.24</v>
      </c>
      <c r="X642" s="3">
        <v>111547.2</v>
      </c>
      <c r="Y642" s="1" t="str">
        <f>VLOOKUP(A642,[1]Detalle!$D$2:$CR$484,93,FALSE)</f>
        <v>CENCOMLD - Cencosud SA - Mendoza</v>
      </c>
    </row>
    <row r="643" spans="1:25" ht="14.25" customHeight="1" x14ac:dyDescent="0.3">
      <c r="A643" s="1" t="s">
        <v>97</v>
      </c>
      <c r="B643" s="1" t="s">
        <v>573</v>
      </c>
      <c r="C643" s="1" t="s">
        <v>573</v>
      </c>
      <c r="D643" s="1" t="s">
        <v>574</v>
      </c>
      <c r="E643" s="1" t="s">
        <v>337</v>
      </c>
      <c r="F643" s="1">
        <v>190237</v>
      </c>
      <c r="G643" s="1">
        <v>490237</v>
      </c>
      <c r="H643" s="1">
        <v>24028.9</v>
      </c>
      <c r="I643" s="1">
        <v>275971.09999999998</v>
      </c>
      <c r="J643" s="1">
        <v>214265.9</v>
      </c>
      <c r="K643" s="1">
        <v>93</v>
      </c>
      <c r="L643" s="1">
        <v>310.79992700729929</v>
      </c>
      <c r="M643" s="1">
        <v>1068.1018398678259</v>
      </c>
      <c r="N643" s="7">
        <v>45947</v>
      </c>
      <c r="O643" s="1">
        <v>300000</v>
      </c>
      <c r="P643" s="7">
        <v>46023</v>
      </c>
      <c r="Q643" s="1" t="s">
        <v>330</v>
      </c>
      <c r="T643" s="1" t="s">
        <v>575</v>
      </c>
      <c r="U643" s="1" t="s">
        <v>576</v>
      </c>
      <c r="V643" s="1">
        <v>30</v>
      </c>
      <c r="W643" s="3">
        <v>3718.24</v>
      </c>
      <c r="X643" s="3">
        <v>111547.2</v>
      </c>
      <c r="Y643" s="1" t="str">
        <f>VLOOKUP(A643,[1]Detalle!$D$2:$CR$484,93,FALSE)</f>
        <v>Expreso - Servicios Troncales</v>
      </c>
    </row>
    <row r="644" spans="1:25" ht="14.25" customHeight="1" x14ac:dyDescent="0.3">
      <c r="A644" s="1" t="s">
        <v>98</v>
      </c>
      <c r="B644" s="1" t="s">
        <v>573</v>
      </c>
      <c r="C644" s="1" t="s">
        <v>573</v>
      </c>
      <c r="D644" s="1" t="s">
        <v>574</v>
      </c>
      <c r="E644" s="1" t="s">
        <v>337</v>
      </c>
      <c r="F644" s="1">
        <v>34971.599999999999</v>
      </c>
      <c r="G644" s="1">
        <v>334971.59999999998</v>
      </c>
      <c r="H644" s="1">
        <v>6652.6000000000013</v>
      </c>
      <c r="I644" s="1">
        <v>293347.40000000002</v>
      </c>
      <c r="J644" s="1">
        <v>41624.199999999997</v>
      </c>
      <c r="K644" s="1">
        <v>93</v>
      </c>
      <c r="L644" s="1">
        <v>61.669847328244273</v>
      </c>
      <c r="M644" s="1">
        <v>4100.8490214352278</v>
      </c>
      <c r="N644" s="7">
        <v>45947</v>
      </c>
      <c r="O644" s="1">
        <v>300000</v>
      </c>
      <c r="P644" s="7">
        <v>46023</v>
      </c>
      <c r="Q644" s="1" t="s">
        <v>330</v>
      </c>
      <c r="T644" s="1" t="s">
        <v>575</v>
      </c>
      <c r="U644" s="1" t="s">
        <v>576</v>
      </c>
      <c r="V644" s="1">
        <v>30</v>
      </c>
      <c r="W644" s="3">
        <v>3718.24</v>
      </c>
      <c r="X644" s="3">
        <v>111547.2</v>
      </c>
      <c r="Y644" s="1" t="str">
        <f>VLOOKUP(A644,[1]Detalle!$D$2:$CR$484,93,FALSE)</f>
        <v>Arcor S.A.I.C.</v>
      </c>
    </row>
    <row r="645" spans="1:25" ht="14.25" customHeight="1" x14ac:dyDescent="0.3">
      <c r="A645" s="1" t="s">
        <v>19</v>
      </c>
      <c r="B645" s="1" t="s">
        <v>579</v>
      </c>
      <c r="C645" s="1" t="s">
        <v>579</v>
      </c>
      <c r="D645" s="1" t="s">
        <v>580</v>
      </c>
      <c r="E645" s="1" t="s">
        <v>337</v>
      </c>
      <c r="F645" s="1">
        <v>519192</v>
      </c>
      <c r="G645" s="1">
        <v>609192</v>
      </c>
      <c r="H645" s="1">
        <v>33509.699999999997</v>
      </c>
      <c r="I645" s="1">
        <v>56490.3</v>
      </c>
      <c r="J645" s="1">
        <v>552701.69999999995</v>
      </c>
      <c r="K645" s="1">
        <v>108</v>
      </c>
      <c r="L645" s="1">
        <v>844.57346863468638</v>
      </c>
      <c r="M645" s="1">
        <v>182.06526468455411</v>
      </c>
      <c r="N645" s="7">
        <v>45947</v>
      </c>
      <c r="O645" s="1">
        <v>90000</v>
      </c>
      <c r="P645" s="7">
        <v>46129.065264687502</v>
      </c>
      <c r="Q645" s="1" t="s">
        <v>330</v>
      </c>
      <c r="T645" s="1" t="s">
        <v>581</v>
      </c>
      <c r="U645" s="1" t="s">
        <v>582</v>
      </c>
      <c r="V645" s="1">
        <v>1</v>
      </c>
      <c r="W645" s="3">
        <v>878675</v>
      </c>
      <c r="X645" s="3">
        <v>878675</v>
      </c>
      <c r="Y645" s="1" t="str">
        <f>VLOOKUP(A645,[1]Detalle!$D$2:$CR$484,93,FALSE)</f>
        <v>CENCOMLD - Cencosud SA - Mendoza</v>
      </c>
    </row>
    <row r="646" spans="1:25" ht="14.25" customHeight="1" x14ac:dyDescent="0.3">
      <c r="A646" s="1" t="s">
        <v>5</v>
      </c>
      <c r="B646" s="1" t="s">
        <v>579</v>
      </c>
      <c r="C646" s="1" t="s">
        <v>579</v>
      </c>
      <c r="D646" s="1" t="s">
        <v>580</v>
      </c>
      <c r="E646" s="1" t="s">
        <v>337</v>
      </c>
      <c r="F646" s="1">
        <v>688021</v>
      </c>
      <c r="G646" s="1">
        <v>778021</v>
      </c>
      <c r="H646" s="1">
        <v>28813.8</v>
      </c>
      <c r="I646" s="1">
        <v>61186.2</v>
      </c>
      <c r="J646" s="1">
        <v>716834.8</v>
      </c>
      <c r="K646" s="1">
        <v>108</v>
      </c>
      <c r="L646" s="1">
        <v>276.33435114503811</v>
      </c>
      <c r="M646" s="1">
        <v>229.3383587031214</v>
      </c>
      <c r="N646" s="7">
        <v>45947</v>
      </c>
      <c r="O646" s="1">
        <v>90000</v>
      </c>
      <c r="P646" s="7">
        <v>46176.338358703702</v>
      </c>
      <c r="Q646" s="1" t="s">
        <v>330</v>
      </c>
      <c r="T646" s="1" t="s">
        <v>581</v>
      </c>
      <c r="U646" s="1" t="s">
        <v>582</v>
      </c>
      <c r="V646" s="1">
        <v>1</v>
      </c>
      <c r="W646" s="3">
        <v>878675</v>
      </c>
      <c r="X646" s="3">
        <v>878675</v>
      </c>
      <c r="Y646" s="1" t="str">
        <f>VLOOKUP(A646,[1]Detalle!$D$2:$CR$484,93,FALSE)</f>
        <v>ADA_CH - Danone Arg. S.A. - Chascomus</v>
      </c>
    </row>
    <row r="647" spans="1:25" ht="14.25" customHeight="1" x14ac:dyDescent="0.3">
      <c r="A647" s="1" t="s">
        <v>8</v>
      </c>
      <c r="B647" s="1" t="s">
        <v>579</v>
      </c>
      <c r="C647" s="1" t="s">
        <v>579</v>
      </c>
      <c r="D647" s="1" t="s">
        <v>580</v>
      </c>
      <c r="E647" s="1" t="s">
        <v>337</v>
      </c>
      <c r="F647" s="1">
        <v>726588</v>
      </c>
      <c r="G647" s="1">
        <v>816588</v>
      </c>
      <c r="H647" s="1">
        <v>31262.299999999988</v>
      </c>
      <c r="I647" s="1">
        <v>58737.700000000012</v>
      </c>
      <c r="J647" s="1">
        <v>757850.3</v>
      </c>
      <c r="K647" s="1">
        <v>108</v>
      </c>
      <c r="L647" s="1">
        <v>286.50848708487092</v>
      </c>
      <c r="M647" s="1">
        <v>202.9176228236567</v>
      </c>
      <c r="N647" s="7">
        <v>45947</v>
      </c>
      <c r="O647" s="1">
        <v>90000</v>
      </c>
      <c r="P647" s="7">
        <v>46149.917622824083</v>
      </c>
      <c r="Q647" s="1" t="s">
        <v>330</v>
      </c>
      <c r="T647" s="1" t="s">
        <v>581</v>
      </c>
      <c r="U647" s="1" t="s">
        <v>582</v>
      </c>
      <c r="V647" s="1">
        <v>1</v>
      </c>
      <c r="W647" s="3">
        <v>878675</v>
      </c>
      <c r="X647" s="3">
        <v>878675</v>
      </c>
      <c r="Y647" s="1" t="str">
        <f>VLOOKUP(A647,[1]Detalle!$D$2:$CR$484,93,FALSE)</f>
        <v>ADA_CH - Danone Arg. S.A. - Chascomus</v>
      </c>
    </row>
    <row r="648" spans="1:25" ht="14.25" customHeight="1" x14ac:dyDescent="0.3">
      <c r="A648" s="1" t="s">
        <v>11</v>
      </c>
      <c r="B648" s="1" t="s">
        <v>579</v>
      </c>
      <c r="C648" s="1" t="s">
        <v>579</v>
      </c>
      <c r="D648" s="1" t="s">
        <v>580</v>
      </c>
      <c r="E648" s="1" t="s">
        <v>337</v>
      </c>
      <c r="F648" s="1">
        <v>761645</v>
      </c>
      <c r="G648" s="1">
        <v>851645</v>
      </c>
      <c r="H648" s="1">
        <v>32260.600000000009</v>
      </c>
      <c r="I648" s="1">
        <v>57739.399999999987</v>
      </c>
      <c r="J648" s="1">
        <v>793905.6</v>
      </c>
      <c r="K648" s="1">
        <v>108</v>
      </c>
      <c r="L648" s="1">
        <v>323.09338235294098</v>
      </c>
      <c r="M648" s="1">
        <v>193.29631810939651</v>
      </c>
      <c r="N648" s="7">
        <v>45947</v>
      </c>
      <c r="O648" s="1">
        <v>90000</v>
      </c>
      <c r="P648" s="7">
        <v>46140.296318113433</v>
      </c>
      <c r="Q648" s="1" t="s">
        <v>330</v>
      </c>
      <c r="T648" s="1" t="s">
        <v>581</v>
      </c>
      <c r="U648" s="1" t="s">
        <v>582</v>
      </c>
      <c r="V648" s="1">
        <v>1</v>
      </c>
      <c r="W648" s="3">
        <v>878675</v>
      </c>
      <c r="X648" s="3">
        <v>878675</v>
      </c>
      <c r="Y648" s="1" t="str">
        <f>VLOOKUP(A648,[1]Detalle!$D$2:$CR$484,93,FALSE)</f>
        <v>ADA_CH - Danone Arg. S.A. - Chascomus</v>
      </c>
    </row>
    <row r="649" spans="1:25" ht="14.25" customHeight="1" x14ac:dyDescent="0.3">
      <c r="A649" s="1" t="s">
        <v>10</v>
      </c>
      <c r="B649" s="1" t="s">
        <v>579</v>
      </c>
      <c r="C649" s="1" t="s">
        <v>579</v>
      </c>
      <c r="D649" s="1" t="s">
        <v>580</v>
      </c>
      <c r="E649" s="1" t="s">
        <v>337</v>
      </c>
      <c r="F649" s="1">
        <v>688683</v>
      </c>
      <c r="G649" s="1">
        <v>778683</v>
      </c>
      <c r="H649" s="1">
        <v>24622.600000000009</v>
      </c>
      <c r="I649" s="1">
        <v>65377.399999999987</v>
      </c>
      <c r="J649" s="1">
        <v>713305.59999999998</v>
      </c>
      <c r="K649" s="1">
        <v>108</v>
      </c>
      <c r="L649" s="1">
        <v>266.81618518518519</v>
      </c>
      <c r="M649" s="1">
        <v>286.75928618423723</v>
      </c>
      <c r="N649" s="7">
        <v>45947</v>
      </c>
      <c r="O649" s="1">
        <v>90000</v>
      </c>
      <c r="P649" s="7">
        <v>46233.759286180553</v>
      </c>
      <c r="Q649" s="1" t="s">
        <v>330</v>
      </c>
      <c r="T649" s="1" t="s">
        <v>581</v>
      </c>
      <c r="U649" s="1" t="s">
        <v>582</v>
      </c>
      <c r="V649" s="1">
        <v>1</v>
      </c>
      <c r="W649" s="3">
        <v>878675</v>
      </c>
      <c r="X649" s="3">
        <v>878675</v>
      </c>
      <c r="Y649" s="1" t="str">
        <f>VLOOKUP(A649,[1]Detalle!$D$2:$CR$484,93,FALSE)</f>
        <v>ADA_CH - Danone Arg. S.A. - Chascomus</v>
      </c>
    </row>
    <row r="650" spans="1:25" ht="14.25" customHeight="1" x14ac:dyDescent="0.3">
      <c r="A650" s="1" t="s">
        <v>14</v>
      </c>
      <c r="B650" s="1" t="s">
        <v>579</v>
      </c>
      <c r="C650" s="1" t="s">
        <v>579</v>
      </c>
      <c r="D650" s="1" t="s">
        <v>580</v>
      </c>
      <c r="E650" s="1" t="s">
        <v>337</v>
      </c>
      <c r="F650" s="1">
        <v>757150</v>
      </c>
      <c r="G650" s="1">
        <v>847150</v>
      </c>
      <c r="H650" s="1">
        <v>27024.000000000011</v>
      </c>
      <c r="I650" s="1">
        <v>62975.999999999993</v>
      </c>
      <c r="J650" s="1">
        <v>784174</v>
      </c>
      <c r="K650" s="1">
        <v>108</v>
      </c>
      <c r="L650" s="1">
        <v>276.97442748091589</v>
      </c>
      <c r="M650" s="1">
        <v>251.68028419182929</v>
      </c>
      <c r="N650" s="7">
        <v>45947</v>
      </c>
      <c r="O650" s="1">
        <v>90000</v>
      </c>
      <c r="P650" s="7">
        <v>46198.680284189817</v>
      </c>
      <c r="Q650" s="1" t="s">
        <v>330</v>
      </c>
      <c r="T650" s="1" t="s">
        <v>581</v>
      </c>
      <c r="U650" s="1" t="s">
        <v>582</v>
      </c>
      <c r="V650" s="1">
        <v>1</v>
      </c>
      <c r="W650" s="3">
        <v>878675</v>
      </c>
      <c r="X650" s="3">
        <v>878675</v>
      </c>
      <c r="Y650" s="1" t="str">
        <f>VLOOKUP(A650,[1]Detalle!$D$2:$CR$484,93,FALSE)</f>
        <v>ADA_CH - Danone Arg. S.A. - Chascomus</v>
      </c>
    </row>
    <row r="651" spans="1:25" ht="14.25" customHeight="1" x14ac:dyDescent="0.3">
      <c r="A651" s="1" t="s">
        <v>12</v>
      </c>
      <c r="B651" s="1" t="s">
        <v>579</v>
      </c>
      <c r="C651" s="1" t="s">
        <v>579</v>
      </c>
      <c r="D651" s="1" t="s">
        <v>580</v>
      </c>
      <c r="E651" s="1" t="s">
        <v>337</v>
      </c>
      <c r="F651" s="1">
        <v>850081</v>
      </c>
      <c r="G651" s="1">
        <v>940081</v>
      </c>
      <c r="H651" s="1">
        <v>37089.300000000003</v>
      </c>
      <c r="I651" s="1">
        <v>52910.7</v>
      </c>
      <c r="J651" s="1">
        <v>887170.3</v>
      </c>
      <c r="K651" s="1">
        <v>108</v>
      </c>
      <c r="L651" s="1">
        <v>323.35572519083951</v>
      </c>
      <c r="M651" s="1">
        <v>154.07019275100899</v>
      </c>
      <c r="N651" s="7">
        <v>45947</v>
      </c>
      <c r="O651" s="1">
        <v>90000</v>
      </c>
      <c r="P651" s="7">
        <v>46101.070192754632</v>
      </c>
      <c r="Q651" s="1" t="s">
        <v>330</v>
      </c>
      <c r="T651" s="1" t="s">
        <v>581</v>
      </c>
      <c r="U651" s="1" t="s">
        <v>582</v>
      </c>
      <c r="V651" s="1">
        <v>1</v>
      </c>
      <c r="W651" s="3">
        <v>878675</v>
      </c>
      <c r="X651" s="3">
        <v>878675</v>
      </c>
      <c r="Y651" s="1" t="str">
        <f>VLOOKUP(A651,[1]Detalle!$D$2:$CR$484,93,FALSE)</f>
        <v>ADA_CH - Danone Arg. S.A. - Chascomus</v>
      </c>
    </row>
    <row r="652" spans="1:25" ht="14.25" customHeight="1" x14ac:dyDescent="0.3">
      <c r="A652" s="1" t="s">
        <v>13</v>
      </c>
      <c r="B652" s="1" t="s">
        <v>579</v>
      </c>
      <c r="C652" s="1" t="s">
        <v>579</v>
      </c>
      <c r="D652" s="1" t="s">
        <v>580</v>
      </c>
      <c r="E652" s="1" t="s">
        <v>337</v>
      </c>
      <c r="F652" s="1">
        <v>755335</v>
      </c>
      <c r="G652" s="1">
        <v>845335</v>
      </c>
      <c r="H652" s="1">
        <v>32245.400000000009</v>
      </c>
      <c r="I652" s="1">
        <v>57754.599999999991</v>
      </c>
      <c r="J652" s="1">
        <v>787580.4</v>
      </c>
      <c r="K652" s="1">
        <v>108</v>
      </c>
      <c r="L652" s="1">
        <v>303.34772058823529</v>
      </c>
      <c r="M652" s="1">
        <v>193.4383446941269</v>
      </c>
      <c r="N652" s="7">
        <v>45947</v>
      </c>
      <c r="O652" s="1">
        <v>90000</v>
      </c>
      <c r="P652" s="7">
        <v>46140.438344699083</v>
      </c>
      <c r="Q652" s="1" t="s">
        <v>330</v>
      </c>
      <c r="T652" s="1" t="s">
        <v>581</v>
      </c>
      <c r="U652" s="1" t="s">
        <v>582</v>
      </c>
      <c r="V652" s="1">
        <v>1</v>
      </c>
      <c r="W652" s="3">
        <v>878675</v>
      </c>
      <c r="X652" s="3">
        <v>878675</v>
      </c>
      <c r="Y652" s="1" t="str">
        <f>VLOOKUP(A652,[1]Detalle!$D$2:$CR$484,93,FALSE)</f>
        <v>ADA_CH - Danone Arg. S.A. - Chascomus</v>
      </c>
    </row>
    <row r="653" spans="1:25" ht="14.25" customHeight="1" x14ac:dyDescent="0.3">
      <c r="A653" s="1" t="s">
        <v>6</v>
      </c>
      <c r="B653" s="1" t="s">
        <v>579</v>
      </c>
      <c r="C653" s="1" t="s">
        <v>579</v>
      </c>
      <c r="D653" s="1" t="s">
        <v>580</v>
      </c>
      <c r="E653" s="1" t="s">
        <v>337</v>
      </c>
      <c r="F653" s="1">
        <v>730939</v>
      </c>
      <c r="G653" s="1">
        <v>820939</v>
      </c>
      <c r="H653" s="1">
        <v>28739.7</v>
      </c>
      <c r="I653" s="1">
        <v>61260.3</v>
      </c>
      <c r="J653" s="1">
        <v>759678.7</v>
      </c>
      <c r="K653" s="1">
        <v>108</v>
      </c>
      <c r="L653" s="1">
        <v>306.8559191176472</v>
      </c>
      <c r="M653" s="1">
        <v>230.20812325807159</v>
      </c>
      <c r="N653" s="7">
        <v>45947</v>
      </c>
      <c r="O653" s="1">
        <v>90000</v>
      </c>
      <c r="P653" s="7">
        <v>46177.208123252312</v>
      </c>
      <c r="Q653" s="1" t="s">
        <v>330</v>
      </c>
      <c r="T653" s="1" t="s">
        <v>581</v>
      </c>
      <c r="U653" s="1" t="s">
        <v>582</v>
      </c>
      <c r="V653" s="1">
        <v>1</v>
      </c>
      <c r="W653" s="3">
        <v>878675</v>
      </c>
      <c r="X653" s="3">
        <v>878675</v>
      </c>
      <c r="Y653" s="1" t="str">
        <f>VLOOKUP(A653,[1]Detalle!$D$2:$CR$484,93,FALSE)</f>
        <v>ADA_CH - Danone Arg. S.A. - Chascomus</v>
      </c>
    </row>
    <row r="654" spans="1:25" ht="14.25" customHeight="1" x14ac:dyDescent="0.3">
      <c r="A654" s="1" t="s">
        <v>7</v>
      </c>
      <c r="B654" s="1" t="s">
        <v>579</v>
      </c>
      <c r="C654" s="1" t="s">
        <v>579</v>
      </c>
      <c r="D654" s="1" t="s">
        <v>580</v>
      </c>
      <c r="E654" s="1" t="s">
        <v>337</v>
      </c>
      <c r="F654" s="1">
        <v>739044</v>
      </c>
      <c r="G654" s="1">
        <v>829044</v>
      </c>
      <c r="H654" s="1">
        <v>33003.299999999988</v>
      </c>
      <c r="I654" s="1">
        <v>56996.700000000012</v>
      </c>
      <c r="J654" s="1">
        <v>772047.3</v>
      </c>
      <c r="K654" s="1">
        <v>108</v>
      </c>
      <c r="L654" s="1">
        <v>282.61870229007633</v>
      </c>
      <c r="M654" s="1">
        <v>186.5160029451601</v>
      </c>
      <c r="N654" s="7">
        <v>45947</v>
      </c>
      <c r="O654" s="1">
        <v>90000</v>
      </c>
      <c r="P654" s="7">
        <v>46133.516002939818</v>
      </c>
      <c r="Q654" s="1" t="s">
        <v>330</v>
      </c>
      <c r="T654" s="1" t="s">
        <v>581</v>
      </c>
      <c r="U654" s="1" t="s">
        <v>582</v>
      </c>
      <c r="V654" s="1">
        <v>1</v>
      </c>
      <c r="W654" s="3">
        <v>878675</v>
      </c>
      <c r="X654" s="3">
        <v>878675</v>
      </c>
      <c r="Y654" s="1" t="str">
        <f>VLOOKUP(A654,[1]Detalle!$D$2:$CR$484,93,FALSE)</f>
        <v>ADA_CH - Danone Arg. S.A. - Chascomus</v>
      </c>
    </row>
    <row r="655" spans="1:25" ht="14.25" customHeight="1" x14ac:dyDescent="0.3">
      <c r="A655" s="1" t="s">
        <v>9</v>
      </c>
      <c r="B655" s="1" t="s">
        <v>579</v>
      </c>
      <c r="C655" s="1" t="s">
        <v>579</v>
      </c>
      <c r="D655" s="1" t="s">
        <v>580</v>
      </c>
      <c r="E655" s="1" t="s">
        <v>337</v>
      </c>
      <c r="F655" s="1">
        <v>841922</v>
      </c>
      <c r="G655" s="1">
        <v>931922</v>
      </c>
      <c r="H655" s="1">
        <v>36682.6</v>
      </c>
      <c r="I655" s="1">
        <v>53317.4</v>
      </c>
      <c r="J655" s="1">
        <v>878604.6</v>
      </c>
      <c r="K655" s="1">
        <v>108</v>
      </c>
      <c r="L655" s="1">
        <v>352.51014814814829</v>
      </c>
      <c r="M655" s="1">
        <v>156.97576507663041</v>
      </c>
      <c r="N655" s="7">
        <v>45947</v>
      </c>
      <c r="O655" s="1">
        <v>90000</v>
      </c>
      <c r="P655" s="7">
        <v>46103.975765081021</v>
      </c>
      <c r="Q655" s="1" t="s">
        <v>330</v>
      </c>
      <c r="T655" s="1" t="s">
        <v>581</v>
      </c>
      <c r="U655" s="1" t="s">
        <v>582</v>
      </c>
      <c r="V655" s="1">
        <v>1</v>
      </c>
      <c r="W655" s="3">
        <v>878675</v>
      </c>
      <c r="X655" s="3">
        <v>878675</v>
      </c>
      <c r="Y655" s="1" t="str">
        <f>VLOOKUP(A655,[1]Detalle!$D$2:$CR$484,93,FALSE)</f>
        <v>ADA_CH - Danone Arg. S.A. - Chascomus</v>
      </c>
    </row>
    <row r="656" spans="1:25" ht="14.25" customHeight="1" x14ac:dyDescent="0.3">
      <c r="A656" s="1" t="s">
        <v>30</v>
      </c>
      <c r="B656" s="1" t="s">
        <v>579</v>
      </c>
      <c r="C656" s="1" t="s">
        <v>579</v>
      </c>
      <c r="D656" s="1" t="s">
        <v>580</v>
      </c>
      <c r="E656" s="1" t="s">
        <v>337</v>
      </c>
      <c r="F656" s="1">
        <v>426924</v>
      </c>
      <c r="G656" s="1">
        <v>516924</v>
      </c>
      <c r="H656" s="1">
        <v>25836.3</v>
      </c>
      <c r="I656" s="1">
        <v>64163.7</v>
      </c>
      <c r="J656" s="1">
        <v>452760.3</v>
      </c>
      <c r="K656" s="1">
        <v>108</v>
      </c>
      <c r="L656" s="1">
        <v>273.98136531365333</v>
      </c>
      <c r="M656" s="1">
        <v>268.21486048698932</v>
      </c>
      <c r="N656" s="7">
        <v>45947</v>
      </c>
      <c r="O656" s="1">
        <v>90000</v>
      </c>
      <c r="P656" s="7">
        <v>46215.214860486107</v>
      </c>
      <c r="Q656" s="1" t="s">
        <v>330</v>
      </c>
      <c r="T656" s="1" t="s">
        <v>581</v>
      </c>
      <c r="U656" s="1" t="s">
        <v>582</v>
      </c>
      <c r="V656" s="1">
        <v>1</v>
      </c>
      <c r="W656" s="3">
        <v>878675</v>
      </c>
      <c r="X656" s="3">
        <v>878675</v>
      </c>
      <c r="Y656" s="1" t="str">
        <f>VLOOKUP(A656,[1]Detalle!$D$2:$CR$484,93,FALSE)</f>
        <v>ADA_CH - Danone Arg. S.A. - Chascomus</v>
      </c>
    </row>
    <row r="657" spans="1:25" ht="14.25" customHeight="1" x14ac:dyDescent="0.3">
      <c r="A657" s="1" t="s">
        <v>33</v>
      </c>
      <c r="B657" s="1" t="s">
        <v>579</v>
      </c>
      <c r="C657" s="1" t="s">
        <v>579</v>
      </c>
      <c r="D657" s="1" t="s">
        <v>580</v>
      </c>
      <c r="E657" s="1" t="s">
        <v>337</v>
      </c>
      <c r="F657" s="1">
        <v>344025</v>
      </c>
      <c r="G657" s="1">
        <v>434025</v>
      </c>
      <c r="H657" s="1">
        <v>19500.7</v>
      </c>
      <c r="I657" s="1">
        <v>70499.3</v>
      </c>
      <c r="J657" s="1">
        <v>363525.7</v>
      </c>
      <c r="K657" s="1">
        <v>108</v>
      </c>
      <c r="L657" s="1">
        <v>236.21863468634689</v>
      </c>
      <c r="M657" s="1">
        <v>390.44364561272158</v>
      </c>
      <c r="N657" s="7">
        <v>45947</v>
      </c>
      <c r="O657" s="1">
        <v>90000</v>
      </c>
      <c r="P657" s="7">
        <v>46337.443645613428</v>
      </c>
      <c r="Q657" s="1" t="s">
        <v>330</v>
      </c>
      <c r="T657" s="1" t="s">
        <v>581</v>
      </c>
      <c r="U657" s="1" t="s">
        <v>582</v>
      </c>
      <c r="V657" s="1">
        <v>1</v>
      </c>
      <c r="W657" s="3">
        <v>878675</v>
      </c>
      <c r="X657" s="3">
        <v>878675</v>
      </c>
      <c r="Y657" s="1" t="str">
        <f>VLOOKUP(A657,[1]Detalle!$D$2:$CR$484,93,FALSE)</f>
        <v>CENCOMLD - Cencosud SA - Mendoza</v>
      </c>
    </row>
    <row r="658" spans="1:25" ht="14.25" customHeight="1" x14ac:dyDescent="0.3">
      <c r="A658" s="1" t="s">
        <v>35</v>
      </c>
      <c r="B658" s="1" t="s">
        <v>579</v>
      </c>
      <c r="C658" s="1" t="s">
        <v>579</v>
      </c>
      <c r="D658" s="1" t="s">
        <v>580</v>
      </c>
      <c r="E658" s="1" t="s">
        <v>337</v>
      </c>
      <c r="F658" s="1">
        <v>380732</v>
      </c>
      <c r="G658" s="1">
        <v>470732</v>
      </c>
      <c r="H658" s="1">
        <v>33111.200000000012</v>
      </c>
      <c r="I658" s="1">
        <v>56888.799999999988</v>
      </c>
      <c r="J658" s="1">
        <v>413843.20000000001</v>
      </c>
      <c r="K658" s="1">
        <v>108</v>
      </c>
      <c r="L658" s="1">
        <v>328.18794117647042</v>
      </c>
      <c r="M658" s="1">
        <v>185.55625890937191</v>
      </c>
      <c r="N658" s="7">
        <v>45947</v>
      </c>
      <c r="O658" s="1">
        <v>90000</v>
      </c>
      <c r="P658" s="7">
        <v>46132.556258912038</v>
      </c>
      <c r="Q658" s="1" t="s">
        <v>330</v>
      </c>
      <c r="T658" s="1" t="s">
        <v>581</v>
      </c>
      <c r="U658" s="1" t="s">
        <v>582</v>
      </c>
      <c r="V658" s="1">
        <v>1</v>
      </c>
      <c r="W658" s="3">
        <v>878675</v>
      </c>
      <c r="X658" s="3">
        <v>878675</v>
      </c>
      <c r="Y658" s="1" t="str">
        <f>VLOOKUP(A658,[1]Detalle!$D$2:$CR$484,93,FALSE)</f>
        <v>CENCOMLD - Cencosud SA - Mendoza</v>
      </c>
    </row>
    <row r="659" spans="1:25" ht="14.25" customHeight="1" x14ac:dyDescent="0.3">
      <c r="A659" s="1" t="s">
        <v>514</v>
      </c>
      <c r="B659" s="1" t="s">
        <v>579</v>
      </c>
      <c r="C659" s="1" t="s">
        <v>579</v>
      </c>
      <c r="D659" s="1" t="s">
        <v>580</v>
      </c>
      <c r="E659" s="1" t="s">
        <v>337</v>
      </c>
      <c r="F659" s="1">
        <v>1685246</v>
      </c>
      <c r="G659" s="1">
        <v>1775246</v>
      </c>
      <c r="H659" s="1">
        <v>23825.900000000009</v>
      </c>
      <c r="I659" s="1">
        <v>66174.099999999991</v>
      </c>
      <c r="J659" s="1">
        <v>1709071.9</v>
      </c>
      <c r="K659" s="1">
        <v>108</v>
      </c>
      <c r="L659" s="1">
        <v>298.17575757575747</v>
      </c>
      <c r="M659" s="1">
        <v>299.95940552088263</v>
      </c>
      <c r="N659" s="7">
        <v>45947</v>
      </c>
      <c r="O659" s="1">
        <v>90000</v>
      </c>
      <c r="P659" s="7">
        <v>46246.959405520844</v>
      </c>
      <c r="Q659" s="1" t="s">
        <v>330</v>
      </c>
      <c r="T659" s="1" t="s">
        <v>581</v>
      </c>
      <c r="U659" s="1" t="s">
        <v>582</v>
      </c>
      <c r="V659" s="1">
        <v>1</v>
      </c>
      <c r="W659" s="3">
        <v>878675</v>
      </c>
      <c r="X659" s="3">
        <v>878675</v>
      </c>
      <c r="Y659" s="1" t="str">
        <f>VLOOKUP(A659,[1]Detalle!$D$2:$CR$484,93,FALSE)</f>
        <v>Expreso - Servicios Troncales</v>
      </c>
    </row>
    <row r="660" spans="1:25" ht="14.25" customHeight="1" x14ac:dyDescent="0.3">
      <c r="A660" s="1" t="s">
        <v>510</v>
      </c>
      <c r="B660" s="1" t="s">
        <v>579</v>
      </c>
      <c r="C660" s="1" t="s">
        <v>579</v>
      </c>
      <c r="D660" s="1" t="s">
        <v>580</v>
      </c>
      <c r="E660" s="1" t="s">
        <v>337</v>
      </c>
      <c r="F660" s="1">
        <v>1776747</v>
      </c>
      <c r="G660" s="1">
        <v>1866747</v>
      </c>
      <c r="H660" s="1">
        <v>36349.100000000013</v>
      </c>
      <c r="I660" s="1">
        <v>53650.899999999987</v>
      </c>
      <c r="J660" s="1">
        <v>1813096.1</v>
      </c>
      <c r="K660" s="1">
        <v>108</v>
      </c>
      <c r="L660" s="1">
        <v>2480.570318518518</v>
      </c>
      <c r="M660" s="1">
        <v>159.4068959066386</v>
      </c>
      <c r="N660" s="7">
        <v>45947</v>
      </c>
      <c r="O660" s="1">
        <v>90000</v>
      </c>
      <c r="P660" s="7">
        <v>46106.406895902779</v>
      </c>
      <c r="Q660" s="1" t="s">
        <v>330</v>
      </c>
      <c r="T660" s="1" t="s">
        <v>581</v>
      </c>
      <c r="U660" s="1" t="s">
        <v>582</v>
      </c>
      <c r="V660" s="1">
        <v>1</v>
      </c>
      <c r="W660" s="3">
        <v>878675</v>
      </c>
      <c r="X660" s="3">
        <v>878675</v>
      </c>
      <c r="Y660" s="1" t="str">
        <f>VLOOKUP(A660,[1]Detalle!$D$2:$CR$484,93,FALSE)</f>
        <v>Expreso - Servicios Troncales</v>
      </c>
    </row>
    <row r="661" spans="1:25" ht="14.25" customHeight="1" x14ac:dyDescent="0.3">
      <c r="A661" s="1" t="s">
        <v>511</v>
      </c>
      <c r="B661" s="1" t="s">
        <v>579</v>
      </c>
      <c r="C661" s="1" t="s">
        <v>579</v>
      </c>
      <c r="D661" s="1" t="s">
        <v>580</v>
      </c>
      <c r="E661" s="1" t="s">
        <v>337</v>
      </c>
      <c r="F661" s="1">
        <v>1664145</v>
      </c>
      <c r="G661" s="1">
        <v>1754145</v>
      </c>
      <c r="H661" s="1">
        <v>35762.999999999993</v>
      </c>
      <c r="I661" s="1">
        <v>54237.000000000007</v>
      </c>
      <c r="J661" s="1">
        <v>1699908</v>
      </c>
      <c r="K661" s="1">
        <v>108</v>
      </c>
      <c r="L661" s="1">
        <v>411.92981617647058</v>
      </c>
      <c r="M661" s="1">
        <v>163.78927942286731</v>
      </c>
      <c r="N661" s="7">
        <v>45947</v>
      </c>
      <c r="O661" s="1">
        <v>90000</v>
      </c>
      <c r="P661" s="7">
        <v>46110.789279421297</v>
      </c>
      <c r="Q661" s="1" t="s">
        <v>330</v>
      </c>
      <c r="T661" s="1" t="s">
        <v>581</v>
      </c>
      <c r="U661" s="1" t="s">
        <v>582</v>
      </c>
      <c r="V661" s="1">
        <v>1</v>
      </c>
      <c r="W661" s="3">
        <v>878675</v>
      </c>
      <c r="X661" s="3">
        <v>878675</v>
      </c>
      <c r="Y661" s="1" t="str">
        <f>VLOOKUP(A661,[1]Detalle!$D$2:$CR$484,93,FALSE)</f>
        <v>Expreso - Servicios Troncales</v>
      </c>
    </row>
    <row r="662" spans="1:25" ht="14.25" customHeight="1" x14ac:dyDescent="0.3">
      <c r="A662" s="1" t="s">
        <v>512</v>
      </c>
      <c r="B662" s="1" t="s">
        <v>579</v>
      </c>
      <c r="C662" s="1" t="s">
        <v>579</v>
      </c>
      <c r="D662" s="1" t="s">
        <v>580</v>
      </c>
      <c r="E662" s="1" t="s">
        <v>337</v>
      </c>
      <c r="F662" s="1">
        <v>1733722</v>
      </c>
      <c r="G662" s="1">
        <v>1823722</v>
      </c>
      <c r="H662" s="1">
        <v>25569.9</v>
      </c>
      <c r="I662" s="1">
        <v>64430.1</v>
      </c>
      <c r="J662" s="1">
        <v>1759291.9</v>
      </c>
      <c r="K662" s="1">
        <v>108</v>
      </c>
      <c r="L662" s="1">
        <v>4494.815091575093</v>
      </c>
      <c r="M662" s="1">
        <v>272.13445496462629</v>
      </c>
      <c r="N662" s="7">
        <v>45947</v>
      </c>
      <c r="O662" s="1">
        <v>90000</v>
      </c>
      <c r="P662" s="7">
        <v>46219.134454965279</v>
      </c>
      <c r="Q662" s="1" t="s">
        <v>330</v>
      </c>
      <c r="T662" s="1" t="s">
        <v>581</v>
      </c>
      <c r="U662" s="1" t="s">
        <v>582</v>
      </c>
      <c r="V662" s="1">
        <v>1</v>
      </c>
      <c r="W662" s="3">
        <v>878675</v>
      </c>
      <c r="X662" s="3">
        <v>878675</v>
      </c>
      <c r="Y662" s="1" t="str">
        <f>VLOOKUP(A662,[1]Detalle!$D$2:$CR$484,93,FALSE)</f>
        <v>Expreso - Servicios Troncales</v>
      </c>
    </row>
    <row r="663" spans="1:25" ht="14.25" customHeight="1" x14ac:dyDescent="0.3">
      <c r="A663" s="1" t="s">
        <v>513</v>
      </c>
      <c r="B663" s="1" t="s">
        <v>579</v>
      </c>
      <c r="C663" s="1" t="s">
        <v>579</v>
      </c>
      <c r="D663" s="1" t="s">
        <v>580</v>
      </c>
      <c r="E663" s="1" t="s">
        <v>337</v>
      </c>
      <c r="F663" s="1">
        <v>1522461</v>
      </c>
      <c r="G663" s="1">
        <v>1612461</v>
      </c>
      <c r="H663" s="1">
        <v>35805</v>
      </c>
      <c r="I663" s="1">
        <v>54195</v>
      </c>
      <c r="J663" s="1">
        <v>1558266</v>
      </c>
      <c r="K663" s="1">
        <v>108</v>
      </c>
      <c r="L663" s="1">
        <v>2328.6221402214019</v>
      </c>
      <c r="M663" s="1">
        <v>163.47046501885211</v>
      </c>
      <c r="N663" s="7">
        <v>45947</v>
      </c>
      <c r="O663" s="1">
        <v>90000</v>
      </c>
      <c r="P663" s="7">
        <v>46110.470465023151</v>
      </c>
      <c r="Q663" s="1" t="s">
        <v>330</v>
      </c>
      <c r="T663" s="1" t="s">
        <v>581</v>
      </c>
      <c r="U663" s="1" t="s">
        <v>582</v>
      </c>
      <c r="V663" s="1">
        <v>1</v>
      </c>
      <c r="W663" s="3">
        <v>878675</v>
      </c>
      <c r="X663" s="3">
        <v>878675</v>
      </c>
      <c r="Y663" s="1" t="str">
        <f>VLOOKUP(A663,[1]Detalle!$D$2:$CR$484,93,FALSE)</f>
        <v>Expreso - Servicios Troncales</v>
      </c>
    </row>
    <row r="664" spans="1:25" ht="14.25" customHeight="1" x14ac:dyDescent="0.3">
      <c r="A664" s="1" t="s">
        <v>270</v>
      </c>
      <c r="B664" s="1" t="s">
        <v>579</v>
      </c>
      <c r="C664" s="1" t="s">
        <v>579</v>
      </c>
      <c r="D664" s="1" t="s">
        <v>580</v>
      </c>
      <c r="E664" s="1" t="s">
        <v>337</v>
      </c>
      <c r="F664" s="1">
        <v>1704447</v>
      </c>
      <c r="G664" s="1">
        <v>1794447</v>
      </c>
      <c r="H664" s="1">
        <v>43228.200000000012</v>
      </c>
      <c r="I664" s="1">
        <v>46771.799999999988</v>
      </c>
      <c r="J664" s="1">
        <v>1747675.2</v>
      </c>
      <c r="K664" s="1">
        <v>108</v>
      </c>
      <c r="L664" s="1">
        <v>1736.2685719557189</v>
      </c>
      <c r="M664" s="1">
        <v>116.85322081419071</v>
      </c>
      <c r="N664" s="7">
        <v>45947</v>
      </c>
      <c r="O664" s="1">
        <v>90000</v>
      </c>
      <c r="P664" s="7">
        <v>46063.853220810182</v>
      </c>
      <c r="Q664" s="1" t="s">
        <v>330</v>
      </c>
      <c r="T664" s="1" t="s">
        <v>581</v>
      </c>
      <c r="U664" s="1" t="s">
        <v>582</v>
      </c>
      <c r="V664" s="1">
        <v>1</v>
      </c>
      <c r="W664" s="3">
        <v>878675</v>
      </c>
      <c r="X664" s="3">
        <v>878675</v>
      </c>
      <c r="Y664" s="1" t="str">
        <f>VLOOKUP(A664,[1]Detalle!$D$2:$CR$484,93,FALSE)</f>
        <v>Expreso - Servicios Troncales</v>
      </c>
    </row>
    <row r="665" spans="1:25" ht="14.25" customHeight="1" x14ac:dyDescent="0.3">
      <c r="A665" s="1" t="s">
        <v>17</v>
      </c>
      <c r="B665" s="1" t="s">
        <v>579</v>
      </c>
      <c r="C665" s="1" t="s">
        <v>579</v>
      </c>
      <c r="D665" s="1" t="s">
        <v>580</v>
      </c>
      <c r="E665" s="1" t="s">
        <v>337</v>
      </c>
      <c r="F665" s="1">
        <v>678791</v>
      </c>
      <c r="G665" s="1">
        <v>768791</v>
      </c>
      <c r="H665" s="1">
        <v>39769.499999999993</v>
      </c>
      <c r="I665" s="1">
        <v>50230.500000000007</v>
      </c>
      <c r="J665" s="1">
        <v>718560.5</v>
      </c>
      <c r="K665" s="1">
        <v>108</v>
      </c>
      <c r="L665" s="1">
        <v>382.02855555555578</v>
      </c>
      <c r="M665" s="1">
        <v>136.4084034247351</v>
      </c>
      <c r="N665" s="7">
        <v>45947</v>
      </c>
      <c r="O665" s="1">
        <v>90000</v>
      </c>
      <c r="P665" s="7">
        <v>46083.408403425929</v>
      </c>
      <c r="Q665" s="1" t="s">
        <v>330</v>
      </c>
      <c r="T665" s="1" t="s">
        <v>581</v>
      </c>
      <c r="U665" s="1" t="s">
        <v>582</v>
      </c>
      <c r="V665" s="1">
        <v>1</v>
      </c>
      <c r="W665" s="3">
        <v>878675</v>
      </c>
      <c r="X665" s="3">
        <v>878675</v>
      </c>
      <c r="Y665" s="1" t="str">
        <f>VLOOKUP(A665,[1]Detalle!$D$2:$CR$484,93,FALSE)</f>
        <v>Expreso - Servicios Troncales</v>
      </c>
    </row>
    <row r="666" spans="1:25" ht="14.25" customHeight="1" x14ac:dyDescent="0.3">
      <c r="A666" s="1" t="s">
        <v>18</v>
      </c>
      <c r="B666" s="1" t="s">
        <v>579</v>
      </c>
      <c r="C666" s="1" t="s">
        <v>579</v>
      </c>
      <c r="D666" s="1" t="s">
        <v>580</v>
      </c>
      <c r="E666" s="1" t="s">
        <v>337</v>
      </c>
      <c r="F666" s="1">
        <v>641183</v>
      </c>
      <c r="G666" s="1">
        <v>731183</v>
      </c>
      <c r="H666" s="1">
        <v>36865.9</v>
      </c>
      <c r="I666" s="1">
        <v>53134.1</v>
      </c>
      <c r="J666" s="1">
        <v>678048.9</v>
      </c>
      <c r="K666" s="1">
        <v>108</v>
      </c>
      <c r="L666" s="1">
        <v>381.04202205882348</v>
      </c>
      <c r="M666" s="1">
        <v>155.65828584138731</v>
      </c>
      <c r="N666" s="7">
        <v>45947</v>
      </c>
      <c r="O666" s="1">
        <v>90000</v>
      </c>
      <c r="P666" s="7">
        <v>46102.658285844911</v>
      </c>
      <c r="Q666" s="1" t="s">
        <v>330</v>
      </c>
      <c r="T666" s="1" t="s">
        <v>581</v>
      </c>
      <c r="U666" s="1" t="s">
        <v>582</v>
      </c>
      <c r="V666" s="1">
        <v>1</v>
      </c>
      <c r="W666" s="3">
        <v>878675</v>
      </c>
      <c r="X666" s="3">
        <v>878675</v>
      </c>
      <c r="Y666" s="1" t="str">
        <f>VLOOKUP(A666,[1]Detalle!$D$2:$CR$484,93,FALSE)</f>
        <v>Expreso - Servicios Troncales</v>
      </c>
    </row>
    <row r="667" spans="1:25" ht="14.25" customHeight="1" x14ac:dyDescent="0.3">
      <c r="A667" s="1" t="s">
        <v>176</v>
      </c>
      <c r="B667" s="1" t="s">
        <v>579</v>
      </c>
      <c r="C667" s="1" t="s">
        <v>579</v>
      </c>
      <c r="D667" s="1" t="s">
        <v>580</v>
      </c>
      <c r="E667" s="1" t="s">
        <v>337</v>
      </c>
      <c r="F667" s="1">
        <v>1921297</v>
      </c>
      <c r="G667" s="1">
        <v>2011297</v>
      </c>
      <c r="H667" s="1">
        <v>45263.999999999993</v>
      </c>
      <c r="I667" s="1">
        <v>44736.000000000007</v>
      </c>
      <c r="J667" s="1">
        <v>1966561</v>
      </c>
      <c r="K667" s="1">
        <v>108</v>
      </c>
      <c r="L667" s="1">
        <v>1849.550539936103</v>
      </c>
      <c r="M667" s="1">
        <v>106.74019088016971</v>
      </c>
      <c r="N667" s="7">
        <v>45947</v>
      </c>
      <c r="O667" s="1">
        <v>90000</v>
      </c>
      <c r="P667" s="7">
        <v>46053.740190879631</v>
      </c>
      <c r="Q667" s="1" t="s">
        <v>330</v>
      </c>
      <c r="T667" s="1" t="s">
        <v>581</v>
      </c>
      <c r="U667" s="1" t="s">
        <v>582</v>
      </c>
      <c r="V667" s="1">
        <v>1</v>
      </c>
      <c r="W667" s="3">
        <v>878675</v>
      </c>
      <c r="X667" s="3">
        <v>878675</v>
      </c>
      <c r="Y667" s="1" t="str">
        <f>VLOOKUP(A667,[1]Detalle!$D$2:$CR$484,93,FALSE)</f>
        <v>Expreso - Servicios Troncales</v>
      </c>
    </row>
    <row r="668" spans="1:25" ht="14.25" customHeight="1" x14ac:dyDescent="0.3">
      <c r="A668" s="1" t="s">
        <v>186</v>
      </c>
      <c r="B668" s="1" t="s">
        <v>579</v>
      </c>
      <c r="C668" s="1" t="s">
        <v>579</v>
      </c>
      <c r="D668" s="1" t="s">
        <v>580</v>
      </c>
      <c r="E668" s="1" t="s">
        <v>337</v>
      </c>
      <c r="F668" s="1">
        <v>462884</v>
      </c>
      <c r="G668" s="1">
        <v>552884</v>
      </c>
      <c r="H668" s="1">
        <v>40945.399999999987</v>
      </c>
      <c r="I668" s="1">
        <v>49054.600000000013</v>
      </c>
      <c r="J668" s="1">
        <v>503829.4</v>
      </c>
      <c r="K668" s="1">
        <v>108</v>
      </c>
      <c r="L668" s="1">
        <v>303.0774834437085</v>
      </c>
      <c r="M668" s="1">
        <v>129.38930380457879</v>
      </c>
      <c r="N668" s="7">
        <v>45947</v>
      </c>
      <c r="O668" s="1">
        <v>90000</v>
      </c>
      <c r="P668" s="7">
        <v>46076.389303807868</v>
      </c>
      <c r="Q668" s="1" t="s">
        <v>330</v>
      </c>
      <c r="T668" s="1" t="s">
        <v>581</v>
      </c>
      <c r="U668" s="1" t="s">
        <v>582</v>
      </c>
      <c r="V668" s="1">
        <v>1</v>
      </c>
      <c r="W668" s="3">
        <v>878675</v>
      </c>
      <c r="X668" s="3">
        <v>878675</v>
      </c>
      <c r="Y668" s="1" t="str">
        <f>VLOOKUP(A668,[1]Detalle!$D$2:$CR$484,93,FALSE)</f>
        <v>Expreso - Servicios Troncales</v>
      </c>
    </row>
    <row r="669" spans="1:25" ht="14.25" customHeight="1" x14ac:dyDescent="0.3">
      <c r="A669" s="1" t="s">
        <v>201</v>
      </c>
      <c r="B669" s="1" t="s">
        <v>579</v>
      </c>
      <c r="C669" s="1" t="s">
        <v>579</v>
      </c>
      <c r="D669" s="1" t="s">
        <v>580</v>
      </c>
      <c r="E669" s="1" t="s">
        <v>337</v>
      </c>
      <c r="F669" s="1">
        <v>1839556</v>
      </c>
      <c r="G669" s="1">
        <v>1929556</v>
      </c>
      <c r="H669" s="1">
        <v>34291.499999999993</v>
      </c>
      <c r="I669" s="1">
        <v>55708.500000000007</v>
      </c>
      <c r="J669" s="1">
        <v>1873847.5</v>
      </c>
      <c r="K669" s="1">
        <v>108</v>
      </c>
      <c r="L669" s="1">
        <v>155.41622516556279</v>
      </c>
      <c r="M669" s="1">
        <v>175.4521674467434</v>
      </c>
      <c r="N669" s="7">
        <v>45947</v>
      </c>
      <c r="O669" s="1">
        <v>90000</v>
      </c>
      <c r="P669" s="7">
        <v>46122.452167442127</v>
      </c>
      <c r="Q669" s="1" t="s">
        <v>330</v>
      </c>
      <c r="T669" s="1" t="s">
        <v>581</v>
      </c>
      <c r="U669" s="1" t="s">
        <v>582</v>
      </c>
      <c r="V669" s="1">
        <v>1</v>
      </c>
      <c r="W669" s="3">
        <v>878675</v>
      </c>
      <c r="X669" s="3">
        <v>878675</v>
      </c>
      <c r="Y669" s="1" t="str">
        <f>VLOOKUP(A669,[1]Detalle!$D$2:$CR$484,93,FALSE)</f>
        <v>SUC_CTC - Sucursal Buenos Aires</v>
      </c>
    </row>
    <row r="670" spans="1:25" ht="14.25" customHeight="1" x14ac:dyDescent="0.3">
      <c r="A670" s="1" t="s">
        <v>228</v>
      </c>
      <c r="B670" s="1" t="s">
        <v>579</v>
      </c>
      <c r="C670" s="1" t="s">
        <v>579</v>
      </c>
      <c r="D670" s="1" t="s">
        <v>580</v>
      </c>
      <c r="E670" s="1" t="s">
        <v>337</v>
      </c>
      <c r="F670" s="1">
        <v>829725</v>
      </c>
      <c r="G670" s="1">
        <v>919725</v>
      </c>
      <c r="H670" s="1">
        <v>33283.299999999988</v>
      </c>
      <c r="I670" s="1">
        <v>56716.700000000012</v>
      </c>
      <c r="J670" s="1">
        <v>863008.3</v>
      </c>
      <c r="K670" s="1">
        <v>108</v>
      </c>
      <c r="L670" s="1">
        <v>232.68261029411761</v>
      </c>
      <c r="M670" s="1">
        <v>184.0383495626937</v>
      </c>
      <c r="N670" s="7">
        <v>45947</v>
      </c>
      <c r="O670" s="1">
        <v>90000</v>
      </c>
      <c r="P670" s="7">
        <v>46131.038349560193</v>
      </c>
      <c r="Q670" s="1" t="s">
        <v>330</v>
      </c>
      <c r="T670" s="1" t="s">
        <v>581</v>
      </c>
      <c r="U670" s="1" t="s">
        <v>582</v>
      </c>
      <c r="V670" s="1">
        <v>1</v>
      </c>
      <c r="W670" s="3">
        <v>878675</v>
      </c>
      <c r="X670" s="3">
        <v>878675</v>
      </c>
      <c r="Y670" s="1" t="str">
        <f>VLOOKUP(A670,[1]Detalle!$D$2:$CR$484,93,FALSE)</f>
        <v>Expreso - Servicios Troncales</v>
      </c>
    </row>
    <row r="671" spans="1:25" ht="14.25" customHeight="1" x14ac:dyDescent="0.3">
      <c r="A671" s="1" t="s">
        <v>229</v>
      </c>
      <c r="B671" s="1" t="s">
        <v>579</v>
      </c>
      <c r="C671" s="1" t="s">
        <v>579</v>
      </c>
      <c r="D671" s="1" t="s">
        <v>580</v>
      </c>
      <c r="E671" s="1" t="s">
        <v>337</v>
      </c>
      <c r="F671" s="1">
        <v>1785795</v>
      </c>
      <c r="G671" s="1">
        <v>1875795</v>
      </c>
      <c r="H671" s="1">
        <v>32304.3</v>
      </c>
      <c r="I671" s="1">
        <v>57695.7</v>
      </c>
      <c r="J671" s="1">
        <v>1818099.3</v>
      </c>
      <c r="K671" s="1">
        <v>108</v>
      </c>
      <c r="L671" s="1">
        <v>259.71717557251912</v>
      </c>
      <c r="M671" s="1">
        <v>192.88873617444119</v>
      </c>
      <c r="N671" s="7">
        <v>45947</v>
      </c>
      <c r="O671" s="1">
        <v>90000</v>
      </c>
      <c r="P671" s="7">
        <v>46139.888736168978</v>
      </c>
      <c r="Q671" s="1" t="s">
        <v>330</v>
      </c>
      <c r="T671" s="1" t="s">
        <v>581</v>
      </c>
      <c r="U671" s="1" t="s">
        <v>582</v>
      </c>
      <c r="V671" s="1">
        <v>1</v>
      </c>
      <c r="W671" s="3">
        <v>878675</v>
      </c>
      <c r="X671" s="3">
        <v>878675</v>
      </c>
      <c r="Y671" s="1" t="str">
        <f>VLOOKUP(A671,[1]Detalle!$D$2:$CR$484,93,FALSE)</f>
        <v>Expreso - Servicios Troncales</v>
      </c>
    </row>
    <row r="672" spans="1:25" ht="14.25" customHeight="1" x14ac:dyDescent="0.3">
      <c r="A672" s="1" t="s">
        <v>230</v>
      </c>
      <c r="B672" s="1" t="s">
        <v>579</v>
      </c>
      <c r="C672" s="1" t="s">
        <v>579</v>
      </c>
      <c r="D672" s="1" t="s">
        <v>580</v>
      </c>
      <c r="E672" s="1" t="s">
        <v>337</v>
      </c>
      <c r="F672" s="1">
        <v>1787246</v>
      </c>
      <c r="G672" s="1">
        <v>1877246</v>
      </c>
      <c r="H672" s="1">
        <v>28712.400000000001</v>
      </c>
      <c r="I672" s="1">
        <v>61287.600000000013</v>
      </c>
      <c r="J672" s="1">
        <v>1815958.4</v>
      </c>
      <c r="K672" s="1">
        <v>108</v>
      </c>
      <c r="L672" s="1">
        <v>289.98935849056602</v>
      </c>
      <c r="M672" s="1">
        <v>230.52969448739921</v>
      </c>
      <c r="N672" s="7">
        <v>45947</v>
      </c>
      <c r="O672" s="1">
        <v>90000</v>
      </c>
      <c r="P672" s="7">
        <v>46177.529694490739</v>
      </c>
      <c r="Q672" s="1" t="s">
        <v>330</v>
      </c>
      <c r="T672" s="1" t="s">
        <v>581</v>
      </c>
      <c r="U672" s="1" t="s">
        <v>582</v>
      </c>
      <c r="V672" s="1">
        <v>1</v>
      </c>
      <c r="W672" s="3">
        <v>878675</v>
      </c>
      <c r="X672" s="3">
        <v>878675</v>
      </c>
      <c r="Y672" s="1" t="str">
        <f>VLOOKUP(A672,[1]Detalle!$D$2:$CR$484,93,FALSE)</f>
        <v>Expreso - Servicios Troncales</v>
      </c>
    </row>
    <row r="673" spans="1:25" ht="14.25" customHeight="1" x14ac:dyDescent="0.3">
      <c r="A673" s="1" t="s">
        <v>231</v>
      </c>
      <c r="B673" s="1" t="s">
        <v>579</v>
      </c>
      <c r="C673" s="1" t="s">
        <v>579</v>
      </c>
      <c r="D673" s="1" t="s">
        <v>580</v>
      </c>
      <c r="E673" s="1" t="s">
        <v>337</v>
      </c>
      <c r="F673" s="1">
        <v>1836513</v>
      </c>
      <c r="G673" s="1">
        <v>1926513</v>
      </c>
      <c r="H673" s="1">
        <v>37000.499999999993</v>
      </c>
      <c r="I673" s="1">
        <v>52999.500000000007</v>
      </c>
      <c r="J673" s="1">
        <v>1873513.5</v>
      </c>
      <c r="K673" s="1">
        <v>108</v>
      </c>
      <c r="L673" s="1">
        <v>332.5574264705881</v>
      </c>
      <c r="M673" s="1">
        <v>154.69915271415249</v>
      </c>
      <c r="N673" s="7">
        <v>45947</v>
      </c>
      <c r="O673" s="1">
        <v>90000</v>
      </c>
      <c r="P673" s="7">
        <v>46101.699152719913</v>
      </c>
      <c r="Q673" s="1" t="s">
        <v>330</v>
      </c>
      <c r="T673" s="1" t="s">
        <v>581</v>
      </c>
      <c r="U673" s="1" t="s">
        <v>582</v>
      </c>
      <c r="V673" s="1">
        <v>1</v>
      </c>
      <c r="W673" s="3">
        <v>878675</v>
      </c>
      <c r="X673" s="3">
        <v>878675</v>
      </c>
      <c r="Y673" s="1" t="str">
        <f>VLOOKUP(A673,[1]Detalle!$D$2:$CR$484,93,FALSE)</f>
        <v>Expreso - Servicios Troncales</v>
      </c>
    </row>
    <row r="674" spans="1:25" ht="14.25" customHeight="1" x14ac:dyDescent="0.3">
      <c r="A674" s="1" t="s">
        <v>232</v>
      </c>
      <c r="B674" s="1" t="s">
        <v>579</v>
      </c>
      <c r="C674" s="1" t="s">
        <v>579</v>
      </c>
      <c r="D674" s="1" t="s">
        <v>580</v>
      </c>
      <c r="E674" s="1" t="s">
        <v>337</v>
      </c>
      <c r="F674" s="1">
        <v>1939481</v>
      </c>
      <c r="G674" s="1">
        <v>2029481</v>
      </c>
      <c r="H674" s="1">
        <v>36580.000000000007</v>
      </c>
      <c r="I674" s="1">
        <v>53419.999999999993</v>
      </c>
      <c r="J674" s="1">
        <v>1976061</v>
      </c>
      <c r="K674" s="1">
        <v>108</v>
      </c>
      <c r="L674" s="1">
        <v>2668.176102941175</v>
      </c>
      <c r="M674" s="1">
        <v>157.7189721159103</v>
      </c>
      <c r="N674" s="7">
        <v>45947</v>
      </c>
      <c r="O674" s="1">
        <v>90000</v>
      </c>
      <c r="P674" s="7">
        <v>46104.718972118048</v>
      </c>
      <c r="Q674" s="1" t="s">
        <v>330</v>
      </c>
      <c r="T674" s="1" t="s">
        <v>581</v>
      </c>
      <c r="U674" s="1" t="s">
        <v>582</v>
      </c>
      <c r="V674" s="1">
        <v>1</v>
      </c>
      <c r="W674" s="3">
        <v>878675</v>
      </c>
      <c r="X674" s="3">
        <v>878675</v>
      </c>
      <c r="Y674" s="1" t="str">
        <f>VLOOKUP(A674,[1]Detalle!$D$2:$CR$484,93,FALSE)</f>
        <v>Expreso - Servicios Troncales</v>
      </c>
    </row>
    <row r="675" spans="1:25" ht="14.25" customHeight="1" x14ac:dyDescent="0.3">
      <c r="A675" s="1" t="s">
        <v>233</v>
      </c>
      <c r="B675" s="1" t="s">
        <v>579</v>
      </c>
      <c r="C675" s="1" t="s">
        <v>579</v>
      </c>
      <c r="D675" s="1" t="s">
        <v>580</v>
      </c>
      <c r="E675" s="1" t="s">
        <v>337</v>
      </c>
      <c r="F675" s="1">
        <v>1931828</v>
      </c>
      <c r="G675" s="1">
        <v>2021828</v>
      </c>
      <c r="H675" s="1">
        <v>38801.899999999987</v>
      </c>
      <c r="I675" s="1">
        <v>51198.100000000013</v>
      </c>
      <c r="J675" s="1">
        <v>1970629.9</v>
      </c>
      <c r="K675" s="1">
        <v>108</v>
      </c>
      <c r="L675" s="1">
        <v>1720.767376383764</v>
      </c>
      <c r="M675" s="1">
        <v>142.50319700839401</v>
      </c>
      <c r="N675" s="7">
        <v>45947</v>
      </c>
      <c r="O675" s="1">
        <v>90000</v>
      </c>
      <c r="P675" s="7">
        <v>46089.503197013888</v>
      </c>
      <c r="Q675" s="1" t="s">
        <v>330</v>
      </c>
      <c r="T675" s="1" t="s">
        <v>581</v>
      </c>
      <c r="U675" s="1" t="s">
        <v>582</v>
      </c>
      <c r="V675" s="1">
        <v>1</v>
      </c>
      <c r="W675" s="3">
        <v>878675</v>
      </c>
      <c r="X675" s="3">
        <v>878675</v>
      </c>
      <c r="Y675" s="1" t="str">
        <f>VLOOKUP(A675,[1]Detalle!$D$2:$CR$484,93,FALSE)</f>
        <v>Expreso - Servicios Troncales</v>
      </c>
    </row>
    <row r="676" spans="1:25" ht="14.25" customHeight="1" x14ac:dyDescent="0.3">
      <c r="A676" s="1" t="s">
        <v>234</v>
      </c>
      <c r="B676" s="1" t="s">
        <v>579</v>
      </c>
      <c r="C676" s="1" t="s">
        <v>579</v>
      </c>
      <c r="D676" s="1" t="s">
        <v>580</v>
      </c>
      <c r="E676" s="1" t="s">
        <v>337</v>
      </c>
      <c r="F676" s="1">
        <v>1922871</v>
      </c>
      <c r="G676" s="1">
        <v>2012871</v>
      </c>
      <c r="H676" s="1">
        <v>42601.200000000019</v>
      </c>
      <c r="I676" s="1">
        <v>47398.799999999981</v>
      </c>
      <c r="J676" s="1">
        <v>1965472.2</v>
      </c>
      <c r="K676" s="1">
        <v>108</v>
      </c>
      <c r="L676" s="1">
        <v>2691.3734963503648</v>
      </c>
      <c r="M676" s="1">
        <v>120.162586969381</v>
      </c>
      <c r="N676" s="7">
        <v>45947</v>
      </c>
      <c r="O676" s="1">
        <v>90000</v>
      </c>
      <c r="P676" s="7">
        <v>46067.162586967592</v>
      </c>
      <c r="Q676" s="1" t="s">
        <v>330</v>
      </c>
      <c r="T676" s="1" t="s">
        <v>581</v>
      </c>
      <c r="U676" s="1" t="s">
        <v>582</v>
      </c>
      <c r="V676" s="1">
        <v>1</v>
      </c>
      <c r="W676" s="3">
        <v>878675</v>
      </c>
      <c r="X676" s="3">
        <v>878675</v>
      </c>
      <c r="Y676" s="1" t="str">
        <f>VLOOKUP(A676,[1]Detalle!$D$2:$CR$484,93,FALSE)</f>
        <v>Expreso - Servicios Troncales</v>
      </c>
    </row>
    <row r="677" spans="1:25" ht="14.25" customHeight="1" x14ac:dyDescent="0.3">
      <c r="A677" s="1" t="s">
        <v>70</v>
      </c>
      <c r="B677" s="1" t="s">
        <v>579</v>
      </c>
      <c r="C677" s="1" t="s">
        <v>579</v>
      </c>
      <c r="D677" s="1" t="s">
        <v>580</v>
      </c>
      <c r="E677" s="1" t="s">
        <v>337</v>
      </c>
      <c r="F677" s="1">
        <v>327982</v>
      </c>
      <c r="G677" s="1">
        <v>417982</v>
      </c>
      <c r="H677" s="1">
        <v>27605.299999999988</v>
      </c>
      <c r="I677" s="1">
        <v>62394.700000000012</v>
      </c>
      <c r="J677" s="1">
        <v>355587.3</v>
      </c>
      <c r="K677" s="1">
        <v>108</v>
      </c>
      <c r="L677" s="1">
        <v>252.63896296296281</v>
      </c>
      <c r="M677" s="1">
        <v>244.10629842820049</v>
      </c>
      <c r="N677" s="7">
        <v>45947</v>
      </c>
      <c r="O677" s="1">
        <v>90000</v>
      </c>
      <c r="P677" s="7">
        <v>46191.106298425933</v>
      </c>
      <c r="Q677" s="1" t="s">
        <v>330</v>
      </c>
      <c r="T677" s="1" t="s">
        <v>581</v>
      </c>
      <c r="U677" s="1" t="s">
        <v>582</v>
      </c>
      <c r="V677" s="1">
        <v>1</v>
      </c>
      <c r="W677" s="3">
        <v>878675</v>
      </c>
      <c r="X677" s="3">
        <v>878675</v>
      </c>
      <c r="Y677" s="1" t="str">
        <f>VLOOKUP(A677,[1]Detalle!$D$2:$CR$484,93,FALSE)</f>
        <v>ADA_CH - Danone Arg. S.A. - Chascomus</v>
      </c>
    </row>
    <row r="678" spans="1:25" ht="14.25" customHeight="1" x14ac:dyDescent="0.3">
      <c r="A678" s="1" t="s">
        <v>95</v>
      </c>
      <c r="B678" s="1" t="s">
        <v>579</v>
      </c>
      <c r="C678" s="1" t="s">
        <v>579</v>
      </c>
      <c r="D678" s="1" t="s">
        <v>580</v>
      </c>
      <c r="E678" s="1" t="s">
        <v>337</v>
      </c>
      <c r="F678" s="1">
        <v>151565</v>
      </c>
      <c r="G678" s="1">
        <v>241565</v>
      </c>
      <c r="H678" s="1">
        <v>26195.69999999999</v>
      </c>
      <c r="I678" s="1">
        <v>63804.3</v>
      </c>
      <c r="J678" s="1">
        <v>177760.7</v>
      </c>
      <c r="K678" s="1">
        <v>108</v>
      </c>
      <c r="L678" s="1">
        <v>266.23473282442751</v>
      </c>
      <c r="M678" s="1">
        <v>263.05326446706908</v>
      </c>
      <c r="N678" s="7">
        <v>45947</v>
      </c>
      <c r="O678" s="1">
        <v>90000</v>
      </c>
      <c r="P678" s="7">
        <v>46210.053264467591</v>
      </c>
      <c r="Q678" s="1" t="s">
        <v>330</v>
      </c>
      <c r="T678" s="1" t="s">
        <v>581</v>
      </c>
      <c r="U678" s="1" t="s">
        <v>582</v>
      </c>
      <c r="V678" s="1">
        <v>1</v>
      </c>
      <c r="W678" s="3">
        <v>878675</v>
      </c>
      <c r="X678" s="3">
        <v>878675</v>
      </c>
      <c r="Y678" s="1" t="str">
        <f>VLOOKUP(A678,[1]Detalle!$D$2:$CR$484,93,FALSE)</f>
        <v>CENCOMLD - Cencosud SA - Mendoza</v>
      </c>
    </row>
    <row r="679" spans="1:25" ht="14.25" customHeight="1" x14ac:dyDescent="0.3">
      <c r="A679" s="1" t="s">
        <v>96</v>
      </c>
      <c r="B679" s="1" t="s">
        <v>579</v>
      </c>
      <c r="C679" s="1" t="s">
        <v>579</v>
      </c>
      <c r="D679" s="1" t="s">
        <v>580</v>
      </c>
      <c r="E679" s="1" t="s">
        <v>337</v>
      </c>
      <c r="F679" s="1">
        <v>152950</v>
      </c>
      <c r="G679" s="1">
        <v>242950</v>
      </c>
      <c r="H679" s="1">
        <v>32623.1</v>
      </c>
      <c r="I679" s="1">
        <v>57376.899999999987</v>
      </c>
      <c r="J679" s="1">
        <v>185573.1</v>
      </c>
      <c r="K679" s="1">
        <v>108</v>
      </c>
      <c r="L679" s="1">
        <v>281.98244274809178</v>
      </c>
      <c r="M679" s="1">
        <v>189.94838626617329</v>
      </c>
      <c r="N679" s="7">
        <v>45947</v>
      </c>
      <c r="O679" s="1">
        <v>90000</v>
      </c>
      <c r="P679" s="7">
        <v>46136.948386261567</v>
      </c>
      <c r="Q679" s="1" t="s">
        <v>330</v>
      </c>
      <c r="T679" s="1" t="s">
        <v>581</v>
      </c>
      <c r="U679" s="1" t="s">
        <v>582</v>
      </c>
      <c r="V679" s="1">
        <v>1</v>
      </c>
      <c r="W679" s="3">
        <v>878675</v>
      </c>
      <c r="X679" s="3">
        <v>878675</v>
      </c>
      <c r="Y679" s="1" t="str">
        <f>VLOOKUP(A679,[1]Detalle!$D$2:$CR$484,93,FALSE)</f>
        <v>CENCOMLD - Cencosud SA - Mendoza</v>
      </c>
    </row>
    <row r="680" spans="1:25" ht="14.25" customHeight="1" x14ac:dyDescent="0.3">
      <c r="A680" s="1" t="s">
        <v>97</v>
      </c>
      <c r="B680" s="1" t="s">
        <v>579</v>
      </c>
      <c r="C680" s="1" t="s">
        <v>579</v>
      </c>
      <c r="D680" s="1" t="s">
        <v>580</v>
      </c>
      <c r="E680" s="1" t="s">
        <v>337</v>
      </c>
      <c r="F680" s="1">
        <v>182549</v>
      </c>
      <c r="G680" s="1">
        <v>272549</v>
      </c>
      <c r="H680" s="1">
        <v>28082.2</v>
      </c>
      <c r="I680" s="1">
        <v>61917.8</v>
      </c>
      <c r="J680" s="1">
        <v>210631.2</v>
      </c>
      <c r="K680" s="1">
        <v>108</v>
      </c>
      <c r="L680" s="1">
        <v>310.79992700729929</v>
      </c>
      <c r="M680" s="1">
        <v>238.1267279629088</v>
      </c>
      <c r="N680" s="7">
        <v>45947</v>
      </c>
      <c r="O680" s="1">
        <v>90000</v>
      </c>
      <c r="P680" s="7">
        <v>46185.126727962961</v>
      </c>
      <c r="Q680" s="1" t="s">
        <v>330</v>
      </c>
      <c r="T680" s="1" t="s">
        <v>581</v>
      </c>
      <c r="U680" s="1" t="s">
        <v>582</v>
      </c>
      <c r="V680" s="1">
        <v>1</v>
      </c>
      <c r="W680" s="3">
        <v>878675</v>
      </c>
      <c r="X680" s="3">
        <v>878675</v>
      </c>
      <c r="Y680" s="1" t="str">
        <f>VLOOKUP(A680,[1]Detalle!$D$2:$CR$484,93,FALSE)</f>
        <v>Expreso - Servicios Troncales</v>
      </c>
    </row>
    <row r="681" spans="1:25" ht="14.25" customHeight="1" x14ac:dyDescent="0.3">
      <c r="A681" s="1" t="s">
        <v>510</v>
      </c>
      <c r="B681" s="1" t="s">
        <v>583</v>
      </c>
      <c r="C681" s="1" t="s">
        <v>583</v>
      </c>
      <c r="D681" s="1" t="s">
        <v>584</v>
      </c>
      <c r="E681" s="1" t="s">
        <v>337</v>
      </c>
      <c r="F681" s="1">
        <v>1558049</v>
      </c>
      <c r="G681" s="1">
        <v>2158049</v>
      </c>
      <c r="H681" s="1">
        <v>810676.58600000048</v>
      </c>
      <c r="I681" s="1">
        <v>-210676.58600000051</v>
      </c>
      <c r="J681" s="1">
        <v>2368725.5860000011</v>
      </c>
      <c r="K681" s="1">
        <v>652</v>
      </c>
      <c r="L681" s="1">
        <v>2480.570318518518</v>
      </c>
      <c r="M681" s="1">
        <v>-169.44011513859149</v>
      </c>
      <c r="N681" s="7">
        <v>45947</v>
      </c>
      <c r="O681" s="1">
        <v>600000</v>
      </c>
      <c r="P681" s="7">
        <v>46188.879859456021</v>
      </c>
      <c r="Q681" s="1" t="s">
        <v>330</v>
      </c>
      <c r="T681" s="1" t="s">
        <v>585</v>
      </c>
      <c r="U681" s="1" t="s">
        <v>586</v>
      </c>
      <c r="V681" s="1">
        <v>6</v>
      </c>
      <c r="W681" s="3">
        <v>292333.34000000003</v>
      </c>
      <c r="X681" s="3">
        <v>1754000.04</v>
      </c>
      <c r="Y681" s="1" t="str">
        <f>VLOOKUP(A681,[1]Detalle!$D$2:$CR$484,93,FALSE)</f>
        <v>Expreso - Servicios Troncales</v>
      </c>
    </row>
    <row r="682" spans="1:25" ht="14.25" customHeight="1" x14ac:dyDescent="0.3">
      <c r="A682" s="1" t="s">
        <v>513</v>
      </c>
      <c r="B682" s="1" t="s">
        <v>583</v>
      </c>
      <c r="C682" s="1" t="s">
        <v>583</v>
      </c>
      <c r="D682" s="1" t="s">
        <v>584</v>
      </c>
      <c r="E682" s="1" t="s">
        <v>337</v>
      </c>
      <c r="F682" s="1">
        <v>1383540</v>
      </c>
      <c r="G682" s="1">
        <v>1983540</v>
      </c>
      <c r="H682" s="1">
        <v>748917.8</v>
      </c>
      <c r="I682" s="1">
        <v>-148917.79999999999</v>
      </c>
      <c r="J682" s="1">
        <v>2132457.7999999998</v>
      </c>
      <c r="K682" s="1">
        <v>607</v>
      </c>
      <c r="L682" s="1">
        <v>2328.6221402214019</v>
      </c>
      <c r="M682" s="1">
        <v>-120.6982990656652</v>
      </c>
      <c r="N682" s="7">
        <v>45947</v>
      </c>
      <c r="O682" s="1">
        <v>600000</v>
      </c>
      <c r="P682" s="7">
        <v>46204.663100266203</v>
      </c>
      <c r="Q682" s="1" t="s">
        <v>330</v>
      </c>
      <c r="T682" s="1" t="s">
        <v>585</v>
      </c>
      <c r="U682" s="1" t="s">
        <v>586</v>
      </c>
      <c r="V682" s="1">
        <v>6</v>
      </c>
      <c r="W682" s="3">
        <v>292333.34000000003</v>
      </c>
      <c r="X682" s="3">
        <v>1754000.04</v>
      </c>
      <c r="Y682" s="1" t="str">
        <f>VLOOKUP(A682,[1]Detalle!$D$2:$CR$484,93,FALSE)</f>
        <v>Expreso - Servicios Troncales</v>
      </c>
    </row>
    <row r="683" spans="1:25" ht="14.25" customHeight="1" x14ac:dyDescent="0.3">
      <c r="A683" s="1" t="s">
        <v>176</v>
      </c>
      <c r="B683" s="1" t="s">
        <v>583</v>
      </c>
      <c r="C683" s="1" t="s">
        <v>583</v>
      </c>
      <c r="D683" s="1" t="s">
        <v>584</v>
      </c>
      <c r="E683" s="1" t="s">
        <v>337</v>
      </c>
      <c r="F683" s="1">
        <v>1778895</v>
      </c>
      <c r="G683" s="1">
        <v>2378895</v>
      </c>
      <c r="H683" s="1">
        <v>689383.01900000079</v>
      </c>
      <c r="I683" s="1">
        <v>-89383.019000000786</v>
      </c>
      <c r="J683" s="1">
        <v>2468278.0190000008</v>
      </c>
      <c r="K683" s="1">
        <v>621</v>
      </c>
      <c r="L683" s="1">
        <v>1849.550539936103</v>
      </c>
      <c r="M683" s="1">
        <v>-80.516713161164219</v>
      </c>
      <c r="N683" s="7">
        <v>45947</v>
      </c>
      <c r="O683" s="1">
        <v>600000</v>
      </c>
      <c r="P683" s="7">
        <v>46271.403138518523</v>
      </c>
      <c r="Q683" s="1" t="s">
        <v>330</v>
      </c>
      <c r="T683" s="1" t="s">
        <v>585</v>
      </c>
      <c r="U683" s="1" t="s">
        <v>586</v>
      </c>
      <c r="V683" s="1">
        <v>6</v>
      </c>
      <c r="W683" s="3">
        <v>292333.34000000003</v>
      </c>
      <c r="X683" s="3">
        <v>1754000.04</v>
      </c>
      <c r="Y683" s="1" t="str">
        <f>VLOOKUP(A683,[1]Detalle!$D$2:$CR$484,93,FALSE)</f>
        <v>Expreso - Servicios Troncales</v>
      </c>
    </row>
    <row r="684" spans="1:25" ht="14.25" customHeight="1" x14ac:dyDescent="0.3">
      <c r="A684" s="1" t="s">
        <v>232</v>
      </c>
      <c r="B684" s="1" t="s">
        <v>583</v>
      </c>
      <c r="C684" s="1" t="s">
        <v>583</v>
      </c>
      <c r="D684" s="1" t="s">
        <v>584</v>
      </c>
      <c r="E684" s="1" t="s">
        <v>337</v>
      </c>
      <c r="F684" s="1">
        <v>1765132</v>
      </c>
      <c r="G684" s="1">
        <v>2365132</v>
      </c>
      <c r="H684" s="1">
        <v>836418.79999999993</v>
      </c>
      <c r="I684" s="1">
        <v>-236418.7999999999</v>
      </c>
      <c r="J684" s="1">
        <v>2601550.7999999998</v>
      </c>
      <c r="K684" s="1">
        <v>631</v>
      </c>
      <c r="L684" s="1">
        <v>2668.176102941175</v>
      </c>
      <c r="M684" s="1">
        <v>-178.35594178418751</v>
      </c>
      <c r="N684" s="7">
        <v>45947</v>
      </c>
      <c r="O684" s="1">
        <v>600000</v>
      </c>
      <c r="P684" s="7">
        <v>46171.872713368059</v>
      </c>
      <c r="Q684" s="1" t="s">
        <v>330</v>
      </c>
      <c r="T684" s="1" t="s">
        <v>585</v>
      </c>
      <c r="U684" s="1" t="s">
        <v>586</v>
      </c>
      <c r="V684" s="1">
        <v>6</v>
      </c>
      <c r="W684" s="3">
        <v>292333.34000000003</v>
      </c>
      <c r="X684" s="3">
        <v>1754000.04</v>
      </c>
      <c r="Y684" s="1" t="str">
        <f>VLOOKUP(A684,[1]Detalle!$D$2:$CR$484,93,FALSE)</f>
        <v>Expreso - Servicios Troncales</v>
      </c>
    </row>
    <row r="685" spans="1:25" ht="14.25" customHeight="1" x14ac:dyDescent="0.3">
      <c r="A685" s="1" t="s">
        <v>233</v>
      </c>
      <c r="B685" s="1" t="s">
        <v>583</v>
      </c>
      <c r="C685" s="1" t="s">
        <v>583</v>
      </c>
      <c r="D685" s="1" t="s">
        <v>584</v>
      </c>
      <c r="E685" s="1" t="s">
        <v>337</v>
      </c>
      <c r="F685" s="1">
        <v>1724839</v>
      </c>
      <c r="G685" s="1">
        <v>2324839</v>
      </c>
      <c r="H685" s="1">
        <v>615171.85899999971</v>
      </c>
      <c r="I685" s="1">
        <v>-15171.858999999709</v>
      </c>
      <c r="J685" s="1">
        <v>2340010.8590000002</v>
      </c>
      <c r="K685" s="1">
        <v>634</v>
      </c>
      <c r="L685" s="1">
        <v>1720.767376383764</v>
      </c>
      <c r="M685" s="1">
        <v>-15.63621362920604</v>
      </c>
      <c r="N685" s="7">
        <v>45947</v>
      </c>
      <c r="O685" s="1">
        <v>600000</v>
      </c>
      <c r="P685" s="7">
        <v>46295.681645312499</v>
      </c>
      <c r="Q685" s="1" t="s">
        <v>330</v>
      </c>
      <c r="T685" s="1" t="s">
        <v>585</v>
      </c>
      <c r="U685" s="1" t="s">
        <v>586</v>
      </c>
      <c r="V685" s="1">
        <v>6</v>
      </c>
      <c r="W685" s="3">
        <v>292333.34000000003</v>
      </c>
      <c r="X685" s="3">
        <v>1754000.04</v>
      </c>
      <c r="Y685" s="1" t="str">
        <f>VLOOKUP(A685,[1]Detalle!$D$2:$CR$484,93,FALSE)</f>
        <v>Expreso - Servicios Troncales</v>
      </c>
    </row>
    <row r="686" spans="1:25" ht="14.25" customHeight="1" x14ac:dyDescent="0.3">
      <c r="A686" s="1" t="s">
        <v>138</v>
      </c>
      <c r="B686" s="1" t="s">
        <v>587</v>
      </c>
      <c r="C686" s="1" t="s">
        <v>587</v>
      </c>
      <c r="D686" s="1" t="s">
        <v>588</v>
      </c>
      <c r="E686" s="1" t="s">
        <v>337</v>
      </c>
      <c r="F686" s="1">
        <v>36774</v>
      </c>
      <c r="G686" s="1">
        <v>96774</v>
      </c>
      <c r="H686" s="1">
        <v>20906.099999999999</v>
      </c>
      <c r="I686" s="1">
        <v>39093.9</v>
      </c>
      <c r="J686" s="1">
        <v>57680.1</v>
      </c>
      <c r="K686" s="1">
        <v>108</v>
      </c>
      <c r="L686" s="1">
        <v>129.25862179487169</v>
      </c>
      <c r="M686" s="1">
        <v>201.95738086013179</v>
      </c>
      <c r="N686" s="7">
        <v>45947</v>
      </c>
      <c r="O686" s="1">
        <v>60000</v>
      </c>
      <c r="P686" s="7">
        <v>46148.957380856482</v>
      </c>
      <c r="Q686" s="1" t="s">
        <v>330</v>
      </c>
      <c r="W686" s="3"/>
      <c r="X686" s="3">
        <v>0</v>
      </c>
      <c r="Y686" s="1" t="str">
        <f>VLOOKUP(A686,[1]Detalle!$D$2:$CR$484,93,FALSE)</f>
        <v>SUC_MEN - Sucursal Mendoza</v>
      </c>
    </row>
    <row r="687" spans="1:25" ht="14.25" customHeight="1" x14ac:dyDescent="0.3">
      <c r="A687" s="1" t="s">
        <v>121</v>
      </c>
      <c r="B687" s="1" t="s">
        <v>587</v>
      </c>
      <c r="C687" s="1" t="s">
        <v>587</v>
      </c>
      <c r="D687" s="1" t="s">
        <v>588</v>
      </c>
      <c r="E687" s="1" t="s">
        <v>337</v>
      </c>
      <c r="F687" s="1">
        <v>288895</v>
      </c>
      <c r="G687" s="1">
        <v>348895</v>
      </c>
      <c r="H687" s="1">
        <v>323.89999999999998</v>
      </c>
      <c r="I687" s="1">
        <v>59676.1</v>
      </c>
      <c r="J687" s="1">
        <v>289218.90000000002</v>
      </c>
      <c r="K687" s="1">
        <v>108</v>
      </c>
      <c r="L687" s="1">
        <v>10.97267741935484</v>
      </c>
      <c r="M687" s="1">
        <v>19898.174745291759</v>
      </c>
      <c r="N687" s="7">
        <v>45947</v>
      </c>
      <c r="O687" s="1">
        <v>60000</v>
      </c>
      <c r="P687" s="7">
        <v>46174</v>
      </c>
      <c r="Q687" s="1" t="s">
        <v>330</v>
      </c>
      <c r="W687" s="3"/>
      <c r="X687" s="3">
        <v>0</v>
      </c>
      <c r="Y687" s="1" t="str">
        <f>VLOOKUP(A687,[1]Detalle!$D$2:$CR$484,93,FALSE)</f>
        <v>CCUCoAZA</v>
      </c>
    </row>
    <row r="688" spans="1:25" ht="14.25" customHeight="1" x14ac:dyDescent="0.3">
      <c r="A688" s="1" t="s">
        <v>111</v>
      </c>
      <c r="B688" s="1" t="s">
        <v>587</v>
      </c>
      <c r="C688" s="1" t="s">
        <v>587</v>
      </c>
      <c r="D688" s="1" t="s">
        <v>588</v>
      </c>
      <c r="E688" s="1" t="s">
        <v>337</v>
      </c>
      <c r="F688" s="1">
        <v>29376</v>
      </c>
      <c r="G688" s="1">
        <v>89376</v>
      </c>
      <c r="H688" s="1">
        <v>18480.600000000009</v>
      </c>
      <c r="I688" s="1">
        <v>41519.399999999987</v>
      </c>
      <c r="J688" s="1">
        <v>47856.600000000013</v>
      </c>
      <c r="K688" s="1">
        <v>108</v>
      </c>
      <c r="L688" s="1">
        <v>104.473717948718</v>
      </c>
      <c r="M688" s="1">
        <v>242.63796629979529</v>
      </c>
      <c r="N688" s="7">
        <v>45947</v>
      </c>
      <c r="O688" s="1">
        <v>60000</v>
      </c>
      <c r="P688" s="7">
        <v>46189.637966296294</v>
      </c>
      <c r="Q688" s="1" t="s">
        <v>330</v>
      </c>
      <c r="W688" s="3"/>
      <c r="X688" s="3">
        <v>0</v>
      </c>
      <c r="Y688" s="1" t="str">
        <f>VLOOKUP(A688,[1]Detalle!$D$2:$CR$484,93,FALSE)</f>
        <v>SUC_MEN - Sucursal Mendoza</v>
      </c>
    </row>
    <row r="689" spans="1:25" ht="14.25" customHeight="1" x14ac:dyDescent="0.3">
      <c r="A689" s="1" t="s">
        <v>153</v>
      </c>
      <c r="B689" s="1" t="s">
        <v>587</v>
      </c>
      <c r="C689" s="1" t="s">
        <v>587</v>
      </c>
      <c r="D689" s="1" t="s">
        <v>588</v>
      </c>
      <c r="E689" s="1" t="s">
        <v>337</v>
      </c>
      <c r="F689" s="1">
        <v>62342.400000000001</v>
      </c>
      <c r="G689" s="1">
        <v>122342.39999999999</v>
      </c>
      <c r="H689" s="1">
        <v>32041</v>
      </c>
      <c r="I689" s="1">
        <v>27959</v>
      </c>
      <c r="J689" s="1">
        <v>94383.4</v>
      </c>
      <c r="K689" s="1">
        <v>108</v>
      </c>
      <c r="L689" s="1">
        <v>215.45547231270371</v>
      </c>
      <c r="M689" s="1">
        <v>94.240878873942762</v>
      </c>
      <c r="N689" s="7">
        <v>45947</v>
      </c>
      <c r="O689" s="1">
        <v>60000</v>
      </c>
      <c r="P689" s="7">
        <v>46041.240878877317</v>
      </c>
      <c r="Q689" s="1" t="s">
        <v>330</v>
      </c>
      <c r="W689" s="3"/>
      <c r="X689" s="3">
        <v>0</v>
      </c>
      <c r="Y689" s="1" t="str">
        <f>VLOOKUP(A689,[1]Detalle!$D$2:$CR$484,93,FALSE)</f>
        <v>SUC_CTC - Sucursal Buenos Aires</v>
      </c>
    </row>
    <row r="690" spans="1:25" ht="14.25" customHeight="1" x14ac:dyDescent="0.3">
      <c r="A690" s="1" t="s">
        <v>120</v>
      </c>
      <c r="B690" s="1" t="s">
        <v>587</v>
      </c>
      <c r="C690" s="1" t="s">
        <v>587</v>
      </c>
      <c r="D690" s="1" t="s">
        <v>588</v>
      </c>
      <c r="E690" s="1" t="s">
        <v>337</v>
      </c>
      <c r="F690" s="1">
        <v>34907.699999999997</v>
      </c>
      <c r="G690" s="1">
        <v>94907.7</v>
      </c>
      <c r="H690" s="1">
        <v>12143.5</v>
      </c>
      <c r="I690" s="1">
        <v>47856.5</v>
      </c>
      <c r="J690" s="1">
        <v>47051.199999999997</v>
      </c>
      <c r="K690" s="1">
        <v>108</v>
      </c>
      <c r="L690" s="1">
        <v>86.918456591639867</v>
      </c>
      <c r="M690" s="1">
        <v>425.61880841602499</v>
      </c>
      <c r="N690" s="7">
        <v>45947</v>
      </c>
      <c r="O690" s="1">
        <v>60000</v>
      </c>
      <c r="P690" s="7">
        <v>46372.61880841435</v>
      </c>
      <c r="Q690" s="1" t="s">
        <v>330</v>
      </c>
      <c r="W690" s="3"/>
      <c r="X690" s="3">
        <v>0</v>
      </c>
      <c r="Y690" s="1" t="str">
        <f>VLOOKUP(A690,[1]Detalle!$D$2:$CR$484,93,FALSE)</f>
        <v>SUC_MEN - Sucursal Mendoza</v>
      </c>
    </row>
    <row r="691" spans="1:25" ht="14.25" customHeight="1" x14ac:dyDescent="0.3">
      <c r="A691" s="1" t="s">
        <v>141</v>
      </c>
      <c r="B691" s="1" t="s">
        <v>587</v>
      </c>
      <c r="C691" s="1" t="s">
        <v>587</v>
      </c>
      <c r="D691" s="1" t="s">
        <v>588</v>
      </c>
      <c r="E691" s="1" t="s">
        <v>337</v>
      </c>
      <c r="F691" s="1">
        <v>479305</v>
      </c>
      <c r="G691" s="1">
        <v>539305</v>
      </c>
      <c r="H691" s="1">
        <v>12745.8</v>
      </c>
      <c r="I691" s="1">
        <v>47254.2</v>
      </c>
      <c r="J691" s="1">
        <v>492050.8</v>
      </c>
      <c r="K691" s="1">
        <v>108</v>
      </c>
      <c r="L691" s="1">
        <v>131.1199356913184</v>
      </c>
      <c r="M691" s="1">
        <v>400.4027679706258</v>
      </c>
      <c r="N691" s="7">
        <v>45947</v>
      </c>
      <c r="O691" s="1">
        <v>60000</v>
      </c>
      <c r="P691" s="7">
        <v>46347.402767974527</v>
      </c>
      <c r="Q691" s="1" t="s">
        <v>330</v>
      </c>
      <c r="W691" s="3"/>
      <c r="X691" s="3">
        <v>0</v>
      </c>
      <c r="Y691" s="1" t="str">
        <f>VLOOKUP(A691,[1]Detalle!$D$2:$CR$484,93,FALSE)</f>
        <v>Unilever - Unilever de Arg. S.A.</v>
      </c>
    </row>
    <row r="692" spans="1:25" ht="14.25" customHeight="1" x14ac:dyDescent="0.3">
      <c r="A692" s="1" t="s">
        <v>150</v>
      </c>
      <c r="B692" s="1" t="s">
        <v>587</v>
      </c>
      <c r="C692" s="1" t="s">
        <v>587</v>
      </c>
      <c r="D692" s="1" t="s">
        <v>588</v>
      </c>
      <c r="E692" s="1" t="s">
        <v>337</v>
      </c>
      <c r="F692" s="1">
        <v>721574</v>
      </c>
      <c r="G692" s="1">
        <v>781574</v>
      </c>
      <c r="H692" s="1">
        <v>18803.3</v>
      </c>
      <c r="I692" s="1">
        <v>41196.699999999997</v>
      </c>
      <c r="J692" s="1">
        <v>740377.3</v>
      </c>
      <c r="K692" s="1">
        <v>108</v>
      </c>
      <c r="L692" s="1">
        <v>143.50707395498381</v>
      </c>
      <c r="M692" s="1">
        <v>236.62035919226949</v>
      </c>
      <c r="N692" s="7">
        <v>45947</v>
      </c>
      <c r="O692" s="1">
        <v>60000</v>
      </c>
      <c r="P692" s="7">
        <v>46183.620359189823</v>
      </c>
      <c r="Q692" s="1" t="s">
        <v>330</v>
      </c>
      <c r="W692" s="3"/>
      <c r="X692" s="3">
        <v>0</v>
      </c>
      <c r="Y692" s="1" t="str">
        <f>VLOOKUP(A692,[1]Detalle!$D$2:$CR$484,93,FALSE)</f>
        <v>Papelera - Papelera del Plata S.A.</v>
      </c>
    </row>
    <row r="693" spans="1:25" ht="14.25" customHeight="1" x14ac:dyDescent="0.3">
      <c r="A693" s="1" t="s">
        <v>79</v>
      </c>
      <c r="B693" s="1" t="s">
        <v>587</v>
      </c>
      <c r="C693" s="1" t="s">
        <v>587</v>
      </c>
      <c r="D693" s="1" t="s">
        <v>588</v>
      </c>
      <c r="E693" s="1" t="s">
        <v>337</v>
      </c>
      <c r="F693" s="1">
        <v>62983.8</v>
      </c>
      <c r="G693" s="1">
        <v>122983.8</v>
      </c>
      <c r="H693" s="1">
        <v>20504.400000000009</v>
      </c>
      <c r="I693" s="1">
        <v>39495.599999999991</v>
      </c>
      <c r="J693" s="1">
        <v>83488.200000000012</v>
      </c>
      <c r="K693" s="1">
        <v>108</v>
      </c>
      <c r="L693" s="1">
        <v>94.269867549668859</v>
      </c>
      <c r="M693" s="1">
        <v>208.02973020424881</v>
      </c>
      <c r="N693" s="7">
        <v>45947</v>
      </c>
      <c r="O693" s="1">
        <v>60000</v>
      </c>
      <c r="P693" s="7">
        <v>46155.029730208327</v>
      </c>
      <c r="Q693" s="1" t="s">
        <v>330</v>
      </c>
      <c r="W693" s="3"/>
      <c r="X693" s="3">
        <v>0</v>
      </c>
      <c r="Y693" s="1" t="str">
        <f>VLOOKUP(A693,[1]Detalle!$D$2:$CR$484,93,FALSE)</f>
        <v>Papelera - Papelera del Plata S.A.</v>
      </c>
    </row>
    <row r="694" spans="1:25" ht="14.25" customHeight="1" x14ac:dyDescent="0.3">
      <c r="A694" s="1" t="s">
        <v>75</v>
      </c>
      <c r="B694" s="1" t="s">
        <v>587</v>
      </c>
      <c r="C694" s="1" t="s">
        <v>587</v>
      </c>
      <c r="D694" s="1" t="s">
        <v>588</v>
      </c>
      <c r="E694" s="1" t="s">
        <v>337</v>
      </c>
      <c r="F694" s="1">
        <v>49220.5</v>
      </c>
      <c r="G694" s="1">
        <v>109220.5</v>
      </c>
      <c r="H694" s="1">
        <v>20551.500000000011</v>
      </c>
      <c r="I694" s="1">
        <v>39448.499999999993</v>
      </c>
      <c r="J694" s="1">
        <v>69772.000000000015</v>
      </c>
      <c r="K694" s="1">
        <v>108</v>
      </c>
      <c r="L694" s="1">
        <v>83.847709677419346</v>
      </c>
      <c r="M694" s="1">
        <v>207.30545215677671</v>
      </c>
      <c r="N694" s="7">
        <v>45947</v>
      </c>
      <c r="O694" s="1">
        <v>60000</v>
      </c>
      <c r="P694" s="7">
        <v>46154.305452152781</v>
      </c>
      <c r="Q694" s="1" t="s">
        <v>330</v>
      </c>
      <c r="W694" s="3"/>
      <c r="X694" s="3">
        <v>0</v>
      </c>
      <c r="Y694" s="1" t="str">
        <f>VLOOKUP(A694,[1]Detalle!$D$2:$CR$484,93,FALSE)</f>
        <v>Papelera - Papelera del Plata S.A.</v>
      </c>
    </row>
    <row r="695" spans="1:25" ht="14.25" customHeight="1" x14ac:dyDescent="0.3">
      <c r="A695" s="1" t="s">
        <v>149</v>
      </c>
      <c r="B695" s="1" t="s">
        <v>587</v>
      </c>
      <c r="C695" s="1" t="s">
        <v>587</v>
      </c>
      <c r="D695" s="1" t="s">
        <v>588</v>
      </c>
      <c r="E695" s="1" t="s">
        <v>337</v>
      </c>
      <c r="F695" s="1">
        <v>666910</v>
      </c>
      <c r="G695" s="1">
        <v>726910</v>
      </c>
      <c r="H695" s="1">
        <v>11874.4</v>
      </c>
      <c r="I695" s="1">
        <v>48125.600000000013</v>
      </c>
      <c r="J695" s="1">
        <v>678784.4</v>
      </c>
      <c r="K695" s="1">
        <v>108</v>
      </c>
      <c r="L695" s="1">
        <v>113.6646794871796</v>
      </c>
      <c r="M695" s="1">
        <v>437.71178333221059</v>
      </c>
      <c r="N695" s="7">
        <v>45947</v>
      </c>
      <c r="O695" s="1">
        <v>60000</v>
      </c>
      <c r="P695" s="7">
        <v>46384.711783333332</v>
      </c>
      <c r="Q695" s="1" t="s">
        <v>330</v>
      </c>
      <c r="W695" s="3"/>
      <c r="X695" s="3">
        <v>0</v>
      </c>
      <c r="Y695" s="1" t="str">
        <f>VLOOKUP(A695,[1]Detalle!$D$2:$CR$484,93,FALSE)</f>
        <v>Papelera - Papelera del Plata S.A.</v>
      </c>
    </row>
    <row r="696" spans="1:25" ht="14.25" customHeight="1" x14ac:dyDescent="0.3">
      <c r="A696" s="1" t="s">
        <v>161</v>
      </c>
      <c r="B696" s="1" t="s">
        <v>587</v>
      </c>
      <c r="C696" s="1" t="s">
        <v>587</v>
      </c>
      <c r="D696" s="1" t="s">
        <v>588</v>
      </c>
      <c r="E696" s="1" t="s">
        <v>337</v>
      </c>
      <c r="F696" s="1">
        <v>657691</v>
      </c>
      <c r="G696" s="1">
        <v>717691</v>
      </c>
      <c r="H696" s="1">
        <v>12471.9</v>
      </c>
      <c r="I696" s="1">
        <v>47528.100000000013</v>
      </c>
      <c r="J696" s="1">
        <v>670162.9</v>
      </c>
      <c r="K696" s="1">
        <v>108</v>
      </c>
      <c r="L696" s="1">
        <v>112.4813870967742</v>
      </c>
      <c r="M696" s="1">
        <v>411.56798883891003</v>
      </c>
      <c r="N696" s="7">
        <v>45947</v>
      </c>
      <c r="O696" s="1">
        <v>60000</v>
      </c>
      <c r="P696" s="7">
        <v>46358.567988842588</v>
      </c>
      <c r="Q696" s="1" t="s">
        <v>330</v>
      </c>
      <c r="W696" s="3"/>
      <c r="X696" s="3">
        <v>0</v>
      </c>
      <c r="Y696" s="1" t="str">
        <f>VLOOKUP(A696,[1]Detalle!$D$2:$CR$484,93,FALSE)</f>
        <v>Unilever - Unilever de Arg. S.A.</v>
      </c>
    </row>
    <row r="697" spans="1:25" ht="14.25" customHeight="1" x14ac:dyDescent="0.3">
      <c r="A697" s="1" t="s">
        <v>152</v>
      </c>
      <c r="B697" s="1" t="s">
        <v>587</v>
      </c>
      <c r="C697" s="1" t="s">
        <v>587</v>
      </c>
      <c r="D697" s="1" t="s">
        <v>588</v>
      </c>
      <c r="E697" s="1" t="s">
        <v>337</v>
      </c>
      <c r="F697" s="1">
        <v>953293</v>
      </c>
      <c r="G697" s="1">
        <v>1013293</v>
      </c>
      <c r="H697" s="1">
        <v>19115</v>
      </c>
      <c r="I697" s="1">
        <v>40885</v>
      </c>
      <c r="J697" s="1">
        <v>972408</v>
      </c>
      <c r="K697" s="1">
        <v>108</v>
      </c>
      <c r="L697" s="1">
        <v>132.10963696369629</v>
      </c>
      <c r="M697" s="1">
        <v>231.00078472403879</v>
      </c>
      <c r="N697" s="7">
        <v>45947</v>
      </c>
      <c r="O697" s="1">
        <v>60000</v>
      </c>
      <c r="P697" s="7">
        <v>46178.000784722222</v>
      </c>
      <c r="Q697" s="1" t="s">
        <v>330</v>
      </c>
      <c r="W697" s="3"/>
      <c r="X697" s="3">
        <v>0</v>
      </c>
      <c r="Y697" s="1" t="str">
        <f>VLOOKUP(A697,[1]Detalle!$D$2:$CR$484,93,FALSE)</f>
        <v>SUC_REA - Sucursal Realicó</v>
      </c>
    </row>
    <row r="698" spans="1:25" ht="14.25" customHeight="1" x14ac:dyDescent="0.3">
      <c r="A698" s="1" t="s">
        <v>15</v>
      </c>
      <c r="B698" s="1" t="s">
        <v>587</v>
      </c>
      <c r="C698" s="1" t="s">
        <v>587</v>
      </c>
      <c r="D698" s="1" t="s">
        <v>588</v>
      </c>
      <c r="E698" s="1" t="s">
        <v>337</v>
      </c>
      <c r="F698" s="1">
        <v>686509</v>
      </c>
      <c r="G698" s="1">
        <v>746509</v>
      </c>
      <c r="H698" s="1">
        <v>39429.399999999987</v>
      </c>
      <c r="I698" s="1">
        <v>20570.600000000009</v>
      </c>
      <c r="J698" s="1">
        <v>725938.4</v>
      </c>
      <c r="K698" s="1">
        <v>108</v>
      </c>
      <c r="L698" s="1">
        <v>2357.9716911764699</v>
      </c>
      <c r="M698" s="1">
        <v>56.344372473332143</v>
      </c>
      <c r="N698" s="7">
        <v>45947</v>
      </c>
      <c r="O698" s="1">
        <v>60000</v>
      </c>
      <c r="P698" s="7">
        <v>46028.789970578713</v>
      </c>
      <c r="Q698" s="1" t="s">
        <v>330</v>
      </c>
      <c r="W698" s="3"/>
      <c r="X698" s="3">
        <v>0</v>
      </c>
      <c r="Y698" s="1" t="str">
        <f>VLOOKUP(A698,[1]Detalle!$D$2:$CR$484,93,FALSE)</f>
        <v>CENCOMLD - Cencosud SA - Mendoza</v>
      </c>
    </row>
    <row r="699" spans="1:25" ht="14.25" customHeight="1" x14ac:dyDescent="0.3">
      <c r="A699" s="1" t="s">
        <v>164</v>
      </c>
      <c r="B699" s="1" t="s">
        <v>587</v>
      </c>
      <c r="C699" s="1" t="s">
        <v>587</v>
      </c>
      <c r="D699" s="1" t="s">
        <v>588</v>
      </c>
      <c r="E699" s="1" t="s">
        <v>337</v>
      </c>
      <c r="F699" s="1">
        <v>2152173</v>
      </c>
      <c r="G699" s="1">
        <v>2212173</v>
      </c>
      <c r="H699" s="1">
        <v>12169.1</v>
      </c>
      <c r="I699" s="1">
        <v>47830.899999999987</v>
      </c>
      <c r="J699" s="1">
        <v>2164342.1</v>
      </c>
      <c r="K699" s="1">
        <v>108</v>
      </c>
      <c r="L699" s="1">
        <v>69.022379421221856</v>
      </c>
      <c r="M699" s="1">
        <v>424.49624047793162</v>
      </c>
      <c r="N699" s="7">
        <v>45947</v>
      </c>
      <c r="O699" s="1">
        <v>60000</v>
      </c>
      <c r="P699" s="7">
        <v>46371.496240474538</v>
      </c>
      <c r="Q699" s="1" t="s">
        <v>330</v>
      </c>
      <c r="W699" s="3"/>
      <c r="X699" s="3">
        <v>0</v>
      </c>
      <c r="Y699" s="1" t="str">
        <f>VLOOKUP(A699,[1]Detalle!$D$2:$CR$484,93,FALSE)</f>
        <v>SUC_MEN - Sucursal Mendoza</v>
      </c>
    </row>
    <row r="700" spans="1:25" ht="14.25" customHeight="1" x14ac:dyDescent="0.3">
      <c r="A700" s="1" t="s">
        <v>133</v>
      </c>
      <c r="B700" s="1" t="s">
        <v>587</v>
      </c>
      <c r="C700" s="1" t="s">
        <v>587</v>
      </c>
      <c r="D700" s="1" t="s">
        <v>588</v>
      </c>
      <c r="E700" s="1" t="s">
        <v>337</v>
      </c>
      <c r="G700" s="1">
        <v>897815</v>
      </c>
      <c r="H700" s="1">
        <v>100</v>
      </c>
      <c r="I700" s="1">
        <v>59900</v>
      </c>
      <c r="J700" s="1">
        <v>837915</v>
      </c>
      <c r="L700" s="1">
        <v>846.93875000000003</v>
      </c>
      <c r="N700" s="7">
        <v>45947</v>
      </c>
      <c r="O700" s="1">
        <v>60000</v>
      </c>
      <c r="P700" s="7">
        <v>46088.686751250003</v>
      </c>
      <c r="Q700" s="1" t="s">
        <v>330</v>
      </c>
      <c r="R700" s="6">
        <v>46088.686751250003</v>
      </c>
      <c r="W700" s="3"/>
      <c r="X700" s="3">
        <v>0</v>
      </c>
      <c r="Y700" s="1" t="str">
        <f>VLOOKUP(A700,[1]Detalle!$D$2:$CR$484,93,FALSE)</f>
        <v>CENCOMLD - Cencosud SA - Mendoza</v>
      </c>
    </row>
    <row r="701" spans="1:25" ht="14.25" customHeight="1" x14ac:dyDescent="0.3">
      <c r="A701" s="1" t="s">
        <v>171</v>
      </c>
      <c r="B701" s="1" t="s">
        <v>587</v>
      </c>
      <c r="C701" s="1" t="s">
        <v>587</v>
      </c>
      <c r="D701" s="1" t="s">
        <v>588</v>
      </c>
      <c r="E701" s="1" t="s">
        <v>337</v>
      </c>
      <c r="F701" s="1">
        <v>33664.800000000003</v>
      </c>
      <c r="G701" s="1">
        <v>93664.8</v>
      </c>
      <c r="H701" s="1">
        <v>15342.8</v>
      </c>
      <c r="I701" s="1">
        <v>44657.2</v>
      </c>
      <c r="J701" s="1">
        <v>49007.600000000013</v>
      </c>
      <c r="K701" s="1">
        <v>108</v>
      </c>
      <c r="L701" s="1">
        <v>130.96596721311471</v>
      </c>
      <c r="M701" s="1">
        <v>314.34794170555563</v>
      </c>
      <c r="N701" s="7">
        <v>45947</v>
      </c>
      <c r="O701" s="1">
        <v>60000</v>
      </c>
      <c r="P701" s="7">
        <v>46261.347941701388</v>
      </c>
      <c r="Q701" s="1" t="s">
        <v>330</v>
      </c>
      <c r="W701" s="3"/>
      <c r="X701" s="3">
        <v>0</v>
      </c>
      <c r="Y701" s="1" t="str">
        <f>VLOOKUP(A701,[1]Detalle!$D$2:$CR$484,93,FALSE)</f>
        <v>CENCO_MZ - Cencosud SA - Mendoza</v>
      </c>
    </row>
    <row r="702" spans="1:25" ht="14.25" customHeight="1" x14ac:dyDescent="0.3">
      <c r="A702" s="1" t="s">
        <v>51</v>
      </c>
      <c r="B702" s="1" t="s">
        <v>587</v>
      </c>
      <c r="C702" s="1" t="s">
        <v>587</v>
      </c>
      <c r="D702" s="1" t="s">
        <v>588</v>
      </c>
      <c r="E702" s="1" t="s">
        <v>337</v>
      </c>
      <c r="F702" s="1">
        <v>62508.4</v>
      </c>
      <c r="G702" s="1">
        <v>122508.4</v>
      </c>
      <c r="H702" s="1">
        <v>2224.6</v>
      </c>
      <c r="I702" s="1">
        <v>57775.4</v>
      </c>
      <c r="J702" s="1">
        <v>64733</v>
      </c>
      <c r="K702" s="1">
        <v>108</v>
      </c>
      <c r="L702" s="1">
        <v>21.44832713754645</v>
      </c>
      <c r="M702" s="1">
        <v>2804.883214959993</v>
      </c>
      <c r="N702" s="7">
        <v>45947</v>
      </c>
      <c r="O702" s="1">
        <v>60000</v>
      </c>
      <c r="P702" s="7">
        <v>46174</v>
      </c>
      <c r="Q702" s="1" t="s">
        <v>330</v>
      </c>
      <c r="W702" s="3"/>
      <c r="X702" s="3">
        <v>0</v>
      </c>
      <c r="Y702" s="1" t="str">
        <f>VLOOKUP(A702,[1]Detalle!$D$2:$CR$484,93,FALSE)</f>
        <v>CMQ_TTE - QUILMES TTE</v>
      </c>
    </row>
    <row r="703" spans="1:25" ht="14.25" customHeight="1" x14ac:dyDescent="0.3">
      <c r="A703" s="1" t="s">
        <v>54</v>
      </c>
      <c r="B703" s="1" t="s">
        <v>587</v>
      </c>
      <c r="C703" s="1" t="s">
        <v>587</v>
      </c>
      <c r="D703" s="1" t="s">
        <v>588</v>
      </c>
      <c r="E703" s="1" t="s">
        <v>337</v>
      </c>
      <c r="F703" s="1">
        <v>46127.5</v>
      </c>
      <c r="G703" s="1">
        <v>106127.5</v>
      </c>
      <c r="H703" s="1">
        <v>2810.9</v>
      </c>
      <c r="I703" s="1">
        <v>57189.1</v>
      </c>
      <c r="J703" s="1">
        <v>48938.400000000001</v>
      </c>
      <c r="K703" s="1">
        <v>108</v>
      </c>
      <c r="L703" s="1">
        <v>37.059548872180457</v>
      </c>
      <c r="M703" s="1">
        <v>2197.31146607848</v>
      </c>
      <c r="N703" s="7">
        <v>45947</v>
      </c>
      <c r="O703" s="1">
        <v>60000</v>
      </c>
      <c r="P703" s="7">
        <v>46174</v>
      </c>
      <c r="Q703" s="1" t="s">
        <v>330</v>
      </c>
      <c r="W703" s="3"/>
      <c r="X703" s="3">
        <v>0</v>
      </c>
      <c r="Y703" s="1" t="str">
        <f>VLOOKUP(A703,[1]Detalle!$D$2:$CR$484,93,FALSE)</f>
        <v>CMQ_TTE - QUILMES TTE</v>
      </c>
    </row>
    <row r="704" spans="1:25" ht="14.25" customHeight="1" x14ac:dyDescent="0.3">
      <c r="A704" s="1" t="s">
        <v>67</v>
      </c>
      <c r="B704" s="1" t="s">
        <v>587</v>
      </c>
      <c r="C704" s="1" t="s">
        <v>587</v>
      </c>
      <c r="D704" s="1" t="s">
        <v>588</v>
      </c>
      <c r="E704" s="1" t="s">
        <v>337</v>
      </c>
      <c r="F704" s="1">
        <v>52756</v>
      </c>
      <c r="G704" s="1">
        <v>112756</v>
      </c>
      <c r="H704" s="1">
        <v>3546.400000000001</v>
      </c>
      <c r="I704" s="1">
        <v>56453.599999999999</v>
      </c>
      <c r="J704" s="1">
        <v>56302.400000000001</v>
      </c>
      <c r="K704" s="1">
        <v>108</v>
      </c>
      <c r="L704" s="1">
        <v>24.52509293680297</v>
      </c>
      <c r="M704" s="1">
        <v>1719.2050530115041</v>
      </c>
      <c r="N704" s="7">
        <v>45947</v>
      </c>
      <c r="O704" s="1">
        <v>60000</v>
      </c>
      <c r="P704" s="7">
        <v>46174</v>
      </c>
      <c r="Q704" s="1" t="s">
        <v>330</v>
      </c>
      <c r="W704" s="3"/>
      <c r="X704" s="3">
        <v>0</v>
      </c>
      <c r="Y704" s="1" t="str">
        <f>VLOOKUP(A704,[1]Detalle!$D$2:$CR$484,93,FALSE)</f>
        <v>CMQ_TTE - QUILMES TTE</v>
      </c>
    </row>
    <row r="705" spans="1:25" ht="14.25" customHeight="1" x14ac:dyDescent="0.3">
      <c r="A705" s="1" t="s">
        <v>2</v>
      </c>
      <c r="B705" s="1" t="s">
        <v>587</v>
      </c>
      <c r="C705" s="1" t="s">
        <v>587</v>
      </c>
      <c r="D705" s="1" t="s">
        <v>588</v>
      </c>
      <c r="E705" s="1" t="s">
        <v>337</v>
      </c>
      <c r="F705" s="1">
        <v>14205</v>
      </c>
      <c r="G705" s="1">
        <v>74205</v>
      </c>
      <c r="H705" s="1">
        <v>12306.6</v>
      </c>
      <c r="I705" s="1">
        <v>47693.399999999987</v>
      </c>
      <c r="J705" s="1">
        <v>26511.600000000009</v>
      </c>
      <c r="K705" s="1">
        <v>108</v>
      </c>
      <c r="L705" s="1">
        <v>68.135242718446577</v>
      </c>
      <c r="M705" s="1">
        <v>418.54673102237808</v>
      </c>
      <c r="N705" s="7">
        <v>45947</v>
      </c>
      <c r="O705" s="1">
        <v>60000</v>
      </c>
      <c r="P705" s="7">
        <v>46365.546731018519</v>
      </c>
      <c r="Q705" s="1" t="s">
        <v>330</v>
      </c>
      <c r="W705" s="3"/>
      <c r="X705" s="3">
        <v>0</v>
      </c>
      <c r="Y705" s="1" t="str">
        <f>VLOOKUP(A705,[1]Detalle!$D$2:$CR$484,93,FALSE)</f>
        <v>Unilever - Unilever de Arg. S.A.</v>
      </c>
    </row>
    <row r="706" spans="1:25" ht="14.25" customHeight="1" x14ac:dyDescent="0.3">
      <c r="A706" s="1" t="s">
        <v>192</v>
      </c>
      <c r="B706" s="1" t="s">
        <v>587</v>
      </c>
      <c r="C706" s="1" t="s">
        <v>587</v>
      </c>
      <c r="D706" s="1" t="s">
        <v>588</v>
      </c>
      <c r="E706" s="1" t="s">
        <v>337</v>
      </c>
      <c r="F706" s="1">
        <v>135569</v>
      </c>
      <c r="G706" s="1">
        <v>195569</v>
      </c>
      <c r="H706" s="1">
        <v>0.4</v>
      </c>
      <c r="I706" s="1">
        <v>59999.6</v>
      </c>
      <c r="J706" s="1">
        <v>135569.4</v>
      </c>
      <c r="K706" s="1">
        <v>108</v>
      </c>
      <c r="L706" s="1">
        <v>9.0852830188679246</v>
      </c>
      <c r="M706" s="1">
        <v>16199892</v>
      </c>
      <c r="N706" s="7">
        <v>45947</v>
      </c>
      <c r="O706" s="1">
        <v>60000</v>
      </c>
      <c r="P706" s="7">
        <v>46174</v>
      </c>
      <c r="Q706" s="1" t="s">
        <v>330</v>
      </c>
      <c r="W706" s="3"/>
      <c r="X706" s="3">
        <v>0</v>
      </c>
      <c r="Y706" s="1" t="str">
        <f>VLOOKUP(A706,[1]Detalle!$D$2:$CR$484,93,FALSE)</f>
        <v>Sin Operación</v>
      </c>
    </row>
    <row r="707" spans="1:25" ht="14.25" customHeight="1" x14ac:dyDescent="0.3">
      <c r="A707" s="1" t="s">
        <v>197</v>
      </c>
      <c r="B707" s="1" t="s">
        <v>587</v>
      </c>
      <c r="C707" s="1" t="s">
        <v>587</v>
      </c>
      <c r="D707" s="1" t="s">
        <v>588</v>
      </c>
      <c r="E707" s="1" t="s">
        <v>337</v>
      </c>
      <c r="F707" s="1">
        <v>166036</v>
      </c>
      <c r="G707" s="1">
        <v>226036</v>
      </c>
      <c r="H707" s="1">
        <v>0.4</v>
      </c>
      <c r="I707" s="1">
        <v>59999.6</v>
      </c>
      <c r="J707" s="1">
        <v>166036.4</v>
      </c>
      <c r="K707" s="1">
        <v>108</v>
      </c>
      <c r="L707" s="1">
        <v>3.1153992395437262</v>
      </c>
      <c r="M707" s="1">
        <v>16199892</v>
      </c>
      <c r="N707" s="7">
        <v>45947</v>
      </c>
      <c r="O707" s="1">
        <v>60000</v>
      </c>
      <c r="P707" s="7">
        <v>46174</v>
      </c>
      <c r="Q707" s="1" t="s">
        <v>330</v>
      </c>
      <c r="W707" s="3"/>
      <c r="X707" s="3">
        <v>0</v>
      </c>
      <c r="Y707" s="1" t="str">
        <f>VLOOKUP(A707,[1]Detalle!$D$2:$CR$484,93,FALSE)</f>
        <v>Sin Operación</v>
      </c>
    </row>
    <row r="708" spans="1:25" ht="14.25" customHeight="1" x14ac:dyDescent="0.3">
      <c r="A708" s="1" t="s">
        <v>206</v>
      </c>
      <c r="B708" s="1" t="s">
        <v>587</v>
      </c>
      <c r="C708" s="1" t="s">
        <v>587</v>
      </c>
      <c r="D708" s="1" t="s">
        <v>588</v>
      </c>
      <c r="E708" s="1" t="s">
        <v>337</v>
      </c>
      <c r="F708" s="1">
        <v>220694</v>
      </c>
      <c r="G708" s="1">
        <v>280694</v>
      </c>
      <c r="H708" s="1">
        <v>1856</v>
      </c>
      <c r="I708" s="1">
        <v>58144</v>
      </c>
      <c r="J708" s="1">
        <v>222550</v>
      </c>
      <c r="K708" s="1">
        <v>108</v>
      </c>
      <c r="L708" s="1">
        <v>9.7282442748091569</v>
      </c>
      <c r="M708" s="1">
        <v>3383.3793103448288</v>
      </c>
      <c r="N708" s="7">
        <v>45947</v>
      </c>
      <c r="O708" s="1">
        <v>60000</v>
      </c>
      <c r="P708" s="7">
        <v>46174</v>
      </c>
      <c r="Q708" s="1" t="s">
        <v>330</v>
      </c>
      <c r="W708" s="3"/>
      <c r="X708" s="3">
        <v>0</v>
      </c>
      <c r="Y708" s="1" t="str">
        <f>VLOOKUP(A708,[1]Detalle!$D$2:$CR$484,93,FALSE)</f>
        <v>Sin Operación</v>
      </c>
    </row>
    <row r="709" spans="1:25" ht="14.25" customHeight="1" x14ac:dyDescent="0.3">
      <c r="A709" s="1" t="s">
        <v>236</v>
      </c>
      <c r="B709" s="1" t="s">
        <v>587</v>
      </c>
      <c r="C709" s="1" t="s">
        <v>587</v>
      </c>
      <c r="D709" s="1" t="s">
        <v>588</v>
      </c>
      <c r="E709" s="1" t="s">
        <v>337</v>
      </c>
      <c r="F709" s="1">
        <v>1016980</v>
      </c>
      <c r="G709" s="1">
        <v>1076980</v>
      </c>
      <c r="H709" s="1">
        <v>34026.300000000003</v>
      </c>
      <c r="I709" s="1">
        <v>25973.7</v>
      </c>
      <c r="J709" s="1">
        <v>1051006.3</v>
      </c>
      <c r="K709" s="1">
        <v>108</v>
      </c>
      <c r="L709" s="1">
        <v>455.32846441947561</v>
      </c>
      <c r="M709" s="1">
        <v>82.440923638479632</v>
      </c>
      <c r="N709" s="7">
        <v>45947</v>
      </c>
      <c r="O709" s="1">
        <v>60000</v>
      </c>
      <c r="P709" s="7">
        <v>46029.440923634262</v>
      </c>
      <c r="Q709" s="1" t="s">
        <v>330</v>
      </c>
      <c r="W709" s="3"/>
      <c r="X709" s="3">
        <v>0</v>
      </c>
      <c r="Y709" s="1" t="str">
        <f>VLOOKUP(A709,[1]Detalle!$D$2:$CR$484,93,FALSE)</f>
        <v>CENCOMLD - Cencosud SA - Mendoza</v>
      </c>
    </row>
    <row r="710" spans="1:25" ht="14.25" customHeight="1" x14ac:dyDescent="0.3">
      <c r="A710" s="1" t="s">
        <v>235</v>
      </c>
      <c r="B710" s="1" t="s">
        <v>587</v>
      </c>
      <c r="C710" s="1" t="s">
        <v>587</v>
      </c>
      <c r="D710" s="1" t="s">
        <v>588</v>
      </c>
      <c r="E710" s="1" t="s">
        <v>337</v>
      </c>
      <c r="F710" s="1">
        <v>1000081</v>
      </c>
      <c r="G710" s="1">
        <v>1060081</v>
      </c>
      <c r="H710" s="1">
        <v>32109.700000000012</v>
      </c>
      <c r="I710" s="1">
        <v>27890.299999999988</v>
      </c>
      <c r="J710" s="1">
        <v>1032190.7</v>
      </c>
      <c r="K710" s="1">
        <v>108</v>
      </c>
      <c r="L710" s="1">
        <v>263.69237037037038</v>
      </c>
      <c r="M710" s="1">
        <v>93.808176345465654</v>
      </c>
      <c r="N710" s="7">
        <v>45947</v>
      </c>
      <c r="O710" s="1">
        <v>60000</v>
      </c>
      <c r="P710" s="7">
        <v>46040.808176342587</v>
      </c>
      <c r="Q710" s="1" t="s">
        <v>330</v>
      </c>
      <c r="W710" s="3"/>
      <c r="X710" s="3">
        <v>0</v>
      </c>
      <c r="Y710" s="1" t="str">
        <f>VLOOKUP(A710,[1]Detalle!$D$2:$CR$484,93,FALSE)</f>
        <v>CENCOMLD - Cencosud SA - Mendoza</v>
      </c>
    </row>
    <row r="711" spans="1:25" ht="14.25" customHeight="1" x14ac:dyDescent="0.3">
      <c r="A711" s="1" t="s">
        <v>237</v>
      </c>
      <c r="B711" s="1" t="s">
        <v>587</v>
      </c>
      <c r="C711" s="1" t="s">
        <v>587</v>
      </c>
      <c r="D711" s="1" t="s">
        <v>588</v>
      </c>
      <c r="E711" s="1" t="s">
        <v>337</v>
      </c>
      <c r="F711" s="1">
        <v>806260</v>
      </c>
      <c r="G711" s="1">
        <v>866260</v>
      </c>
      <c r="H711" s="1">
        <v>21786.3</v>
      </c>
      <c r="I711" s="1">
        <v>38213.699999999997</v>
      </c>
      <c r="J711" s="1">
        <v>828046.3</v>
      </c>
      <c r="K711" s="1">
        <v>108</v>
      </c>
      <c r="L711" s="1">
        <v>518.64529411764704</v>
      </c>
      <c r="M711" s="1">
        <v>189.43462634775071</v>
      </c>
      <c r="N711" s="7">
        <v>45947</v>
      </c>
      <c r="O711" s="1">
        <v>60000</v>
      </c>
      <c r="P711" s="7">
        <v>46136.43462634259</v>
      </c>
      <c r="Q711" s="1" t="s">
        <v>330</v>
      </c>
      <c r="W711" s="3"/>
      <c r="X711" s="3">
        <v>0</v>
      </c>
      <c r="Y711" s="1" t="str">
        <f>VLOOKUP(A711,[1]Detalle!$D$2:$CR$484,93,FALSE)</f>
        <v>CENCOMLD - Cencosud SA - Mendoza</v>
      </c>
    </row>
    <row r="712" spans="1:25" ht="14.25" customHeight="1" x14ac:dyDescent="0.3">
      <c r="A712" s="1" t="s">
        <v>225</v>
      </c>
      <c r="B712" s="1" t="s">
        <v>587</v>
      </c>
      <c r="C712" s="1" t="s">
        <v>587</v>
      </c>
      <c r="D712" s="1" t="s">
        <v>588</v>
      </c>
      <c r="E712" s="1" t="s">
        <v>337</v>
      </c>
      <c r="F712" s="1">
        <v>163523</v>
      </c>
      <c r="G712" s="1">
        <v>223523</v>
      </c>
      <c r="H712" s="1">
        <v>2.1</v>
      </c>
      <c r="I712" s="1">
        <v>59997.9</v>
      </c>
      <c r="J712" s="1">
        <v>163525.1</v>
      </c>
      <c r="K712" s="1">
        <v>108</v>
      </c>
      <c r="L712" s="1">
        <v>5.6607954545454557</v>
      </c>
      <c r="M712" s="1">
        <v>3085606.2857142859</v>
      </c>
      <c r="N712" s="7">
        <v>45947</v>
      </c>
      <c r="O712" s="1">
        <v>60000</v>
      </c>
      <c r="P712" s="7">
        <v>46174</v>
      </c>
      <c r="Q712" s="1" t="s">
        <v>330</v>
      </c>
      <c r="W712" s="3"/>
      <c r="X712" s="3">
        <v>0</v>
      </c>
      <c r="Y712" s="1" t="str">
        <f>VLOOKUP(A712,[1]Detalle!$D$2:$CR$484,93,FALSE)</f>
        <v>Sin Operación</v>
      </c>
    </row>
    <row r="713" spans="1:25" ht="14.25" customHeight="1" x14ac:dyDescent="0.3">
      <c r="A713" s="1" t="s">
        <v>148</v>
      </c>
      <c r="B713" s="1" t="s">
        <v>587</v>
      </c>
      <c r="C713" s="1" t="s">
        <v>587</v>
      </c>
      <c r="D713" s="1" t="s">
        <v>588</v>
      </c>
      <c r="E713" s="1" t="s">
        <v>337</v>
      </c>
      <c r="F713" s="1">
        <v>802722</v>
      </c>
      <c r="G713" s="1">
        <v>862722</v>
      </c>
      <c r="H713" s="1">
        <v>14655.30000000001</v>
      </c>
      <c r="I713" s="1">
        <v>45344.69999999999</v>
      </c>
      <c r="J713" s="1">
        <v>817377.3</v>
      </c>
      <c r="K713" s="1">
        <v>108</v>
      </c>
      <c r="L713" s="1">
        <v>100.27773026315791</v>
      </c>
      <c r="M713" s="1">
        <v>334.16085648195502</v>
      </c>
      <c r="N713" s="7">
        <v>45947</v>
      </c>
      <c r="O713" s="1">
        <v>60000</v>
      </c>
      <c r="P713" s="7">
        <v>46281.160856481481</v>
      </c>
      <c r="Q713" s="1" t="s">
        <v>330</v>
      </c>
      <c r="W713" s="3"/>
      <c r="X713" s="3">
        <v>0</v>
      </c>
      <c r="Y713" s="1" t="str">
        <f>VLOOKUP(A713,[1]Detalle!$D$2:$CR$484,93,FALSE)</f>
        <v>Unilever - Unilever de Arg. S.A.</v>
      </c>
    </row>
    <row r="714" spans="1:25" ht="14.25" customHeight="1" x14ac:dyDescent="0.3">
      <c r="A714" s="1" t="s">
        <v>174</v>
      </c>
      <c r="B714" s="1" t="s">
        <v>587</v>
      </c>
      <c r="C714" s="1" t="s">
        <v>587</v>
      </c>
      <c r="D714" s="1" t="s">
        <v>588</v>
      </c>
      <c r="E714" s="1" t="s">
        <v>337</v>
      </c>
      <c r="F714" s="1">
        <v>23487.8</v>
      </c>
      <c r="G714" s="1">
        <v>83487.8</v>
      </c>
      <c r="H714" s="1">
        <v>11983.499999999991</v>
      </c>
      <c r="I714" s="1">
        <v>48016.500000000007</v>
      </c>
      <c r="J714" s="1">
        <v>35471.300000000003</v>
      </c>
      <c r="K714" s="1">
        <v>108</v>
      </c>
      <c r="L714" s="1">
        <v>71.271935483870948</v>
      </c>
      <c r="M714" s="1">
        <v>432.7435223432222</v>
      </c>
      <c r="N714" s="7">
        <v>45947</v>
      </c>
      <c r="O714" s="1">
        <v>60000</v>
      </c>
      <c r="P714" s="7">
        <v>46379.743522337973</v>
      </c>
      <c r="Q714" s="1" t="s">
        <v>330</v>
      </c>
      <c r="W714" s="3"/>
      <c r="X714" s="3">
        <v>0</v>
      </c>
      <c r="Y714" s="1" t="str">
        <f>VLOOKUP(A714,[1]Detalle!$D$2:$CR$484,93,FALSE)</f>
        <v>Unilever - Unilever de Arg. S.A.</v>
      </c>
    </row>
    <row r="715" spans="1:25" ht="14.25" customHeight="1" x14ac:dyDescent="0.3">
      <c r="A715" s="1" t="s">
        <v>92</v>
      </c>
      <c r="B715" s="1" t="s">
        <v>587</v>
      </c>
      <c r="C715" s="1" t="s">
        <v>587</v>
      </c>
      <c r="D715" s="1" t="s">
        <v>588</v>
      </c>
      <c r="E715" s="1" t="s">
        <v>337</v>
      </c>
      <c r="F715" s="1">
        <v>23673.5</v>
      </c>
      <c r="G715" s="1">
        <v>83673.5</v>
      </c>
      <c r="H715" s="1">
        <v>12164.1</v>
      </c>
      <c r="I715" s="1">
        <v>47835.9</v>
      </c>
      <c r="J715" s="1">
        <v>35837.599999999999</v>
      </c>
      <c r="K715" s="1">
        <v>108</v>
      </c>
      <c r="L715" s="1">
        <v>65.871929260450116</v>
      </c>
      <c r="M715" s="1">
        <v>424.71512072409803</v>
      </c>
      <c r="N715" s="7">
        <v>45947</v>
      </c>
      <c r="O715" s="1">
        <v>60000</v>
      </c>
      <c r="P715" s="7">
        <v>46371.715120729168</v>
      </c>
      <c r="Q715" s="1" t="s">
        <v>330</v>
      </c>
      <c r="W715" s="3"/>
      <c r="X715" s="3">
        <v>0</v>
      </c>
      <c r="Y715" s="1" t="str">
        <f>VLOOKUP(A715,[1]Detalle!$D$2:$CR$484,93,FALSE)</f>
        <v>Unilever - Unilever de Arg. S.A.</v>
      </c>
    </row>
    <row r="716" spans="1:25" ht="14.25" customHeight="1" x14ac:dyDescent="0.3">
      <c r="A716" s="1" t="s">
        <v>138</v>
      </c>
      <c r="B716" s="1" t="s">
        <v>589</v>
      </c>
      <c r="C716" s="1" t="s">
        <v>589</v>
      </c>
      <c r="D716" s="1" t="s">
        <v>590</v>
      </c>
      <c r="E716" s="1" t="s">
        <v>337</v>
      </c>
      <c r="F716" s="1">
        <v>36774</v>
      </c>
      <c r="G716" s="1">
        <v>96774</v>
      </c>
      <c r="H716" s="1">
        <v>20906.099999999999</v>
      </c>
      <c r="I716" s="1">
        <v>39093.9</v>
      </c>
      <c r="J716" s="1">
        <v>57680.1</v>
      </c>
      <c r="K716" s="1">
        <v>108</v>
      </c>
      <c r="L716" s="1">
        <v>129.25862179487169</v>
      </c>
      <c r="M716" s="1">
        <v>201.95738086013179</v>
      </c>
      <c r="N716" s="7">
        <v>45947</v>
      </c>
      <c r="O716" s="1">
        <v>60000</v>
      </c>
      <c r="P716" s="7">
        <v>46148.957380856482</v>
      </c>
      <c r="Q716" s="1" t="s">
        <v>330</v>
      </c>
      <c r="W716" s="3"/>
      <c r="X716" s="3">
        <v>0</v>
      </c>
      <c r="Y716" s="1" t="str">
        <f>VLOOKUP(A716,[1]Detalle!$D$2:$CR$484,93,FALSE)</f>
        <v>SUC_MEN - Sucursal Mendoza</v>
      </c>
    </row>
    <row r="717" spans="1:25" ht="14.25" customHeight="1" x14ac:dyDescent="0.3">
      <c r="A717" s="1" t="s">
        <v>121</v>
      </c>
      <c r="B717" s="1" t="s">
        <v>589</v>
      </c>
      <c r="C717" s="1" t="s">
        <v>589</v>
      </c>
      <c r="D717" s="1" t="s">
        <v>590</v>
      </c>
      <c r="E717" s="1" t="s">
        <v>337</v>
      </c>
      <c r="F717" s="1">
        <v>288895</v>
      </c>
      <c r="G717" s="1">
        <v>348895</v>
      </c>
      <c r="H717" s="1">
        <v>323.89999999999998</v>
      </c>
      <c r="I717" s="1">
        <v>59676.1</v>
      </c>
      <c r="J717" s="1">
        <v>289218.90000000002</v>
      </c>
      <c r="K717" s="1">
        <v>108</v>
      </c>
      <c r="L717" s="1">
        <v>10.97267741935484</v>
      </c>
      <c r="M717" s="1">
        <v>19898.174745291759</v>
      </c>
      <c r="N717" s="7">
        <v>45947</v>
      </c>
      <c r="O717" s="1">
        <v>60000</v>
      </c>
      <c r="P717" s="7">
        <v>46174</v>
      </c>
      <c r="Q717" s="1" t="s">
        <v>330</v>
      </c>
      <c r="W717" s="3"/>
      <c r="X717" s="3">
        <v>0</v>
      </c>
      <c r="Y717" s="1" t="str">
        <f>VLOOKUP(A717,[1]Detalle!$D$2:$CR$484,93,FALSE)</f>
        <v>CCUCoAZA</v>
      </c>
    </row>
    <row r="718" spans="1:25" ht="14.25" customHeight="1" x14ac:dyDescent="0.3">
      <c r="A718" s="1" t="s">
        <v>111</v>
      </c>
      <c r="B718" s="1" t="s">
        <v>589</v>
      </c>
      <c r="C718" s="1" t="s">
        <v>589</v>
      </c>
      <c r="D718" s="1" t="s">
        <v>590</v>
      </c>
      <c r="E718" s="1" t="s">
        <v>337</v>
      </c>
      <c r="F718" s="1">
        <v>29376</v>
      </c>
      <c r="G718" s="1">
        <v>89376</v>
      </c>
      <c r="H718" s="1">
        <v>18480.600000000009</v>
      </c>
      <c r="I718" s="1">
        <v>41519.399999999987</v>
      </c>
      <c r="J718" s="1">
        <v>47856.600000000013</v>
      </c>
      <c r="K718" s="1">
        <v>108</v>
      </c>
      <c r="L718" s="1">
        <v>104.473717948718</v>
      </c>
      <c r="M718" s="1">
        <v>242.63796629979529</v>
      </c>
      <c r="N718" s="7">
        <v>45947</v>
      </c>
      <c r="O718" s="1">
        <v>60000</v>
      </c>
      <c r="P718" s="7">
        <v>46189.637966296294</v>
      </c>
      <c r="Q718" s="1" t="s">
        <v>330</v>
      </c>
      <c r="W718" s="3"/>
      <c r="X718" s="3">
        <v>0</v>
      </c>
      <c r="Y718" s="1" t="str">
        <f>VLOOKUP(A718,[1]Detalle!$D$2:$CR$484,93,FALSE)</f>
        <v>SUC_MEN - Sucursal Mendoza</v>
      </c>
    </row>
    <row r="719" spans="1:25" ht="14.25" customHeight="1" x14ac:dyDescent="0.3">
      <c r="A719" s="1" t="s">
        <v>153</v>
      </c>
      <c r="B719" s="1" t="s">
        <v>589</v>
      </c>
      <c r="C719" s="1" t="s">
        <v>589</v>
      </c>
      <c r="D719" s="1" t="s">
        <v>590</v>
      </c>
      <c r="E719" s="1" t="s">
        <v>337</v>
      </c>
      <c r="F719" s="1">
        <v>62342.400000000001</v>
      </c>
      <c r="G719" s="1">
        <v>122342.39999999999</v>
      </c>
      <c r="H719" s="1">
        <v>32041</v>
      </c>
      <c r="I719" s="1">
        <v>27959</v>
      </c>
      <c r="J719" s="1">
        <v>94383.4</v>
      </c>
      <c r="K719" s="1">
        <v>108</v>
      </c>
      <c r="L719" s="1">
        <v>215.45547231270371</v>
      </c>
      <c r="M719" s="1">
        <v>94.240878873942762</v>
      </c>
      <c r="N719" s="7">
        <v>45947</v>
      </c>
      <c r="O719" s="1">
        <v>60000</v>
      </c>
      <c r="P719" s="7">
        <v>46041.240878877317</v>
      </c>
      <c r="Q719" s="1" t="s">
        <v>330</v>
      </c>
      <c r="W719" s="3"/>
      <c r="X719" s="3">
        <v>0</v>
      </c>
      <c r="Y719" s="1" t="str">
        <f>VLOOKUP(A719,[1]Detalle!$D$2:$CR$484,93,FALSE)</f>
        <v>SUC_CTC - Sucursal Buenos Aires</v>
      </c>
    </row>
    <row r="720" spans="1:25" ht="14.25" customHeight="1" x14ac:dyDescent="0.3">
      <c r="A720" s="1" t="s">
        <v>120</v>
      </c>
      <c r="B720" s="1" t="s">
        <v>589</v>
      </c>
      <c r="C720" s="1" t="s">
        <v>589</v>
      </c>
      <c r="D720" s="1" t="s">
        <v>590</v>
      </c>
      <c r="E720" s="1" t="s">
        <v>337</v>
      </c>
      <c r="F720" s="1">
        <v>34907.699999999997</v>
      </c>
      <c r="G720" s="1">
        <v>94907.7</v>
      </c>
      <c r="H720" s="1">
        <v>12143.5</v>
      </c>
      <c r="I720" s="1">
        <v>47856.5</v>
      </c>
      <c r="J720" s="1">
        <v>47051.199999999997</v>
      </c>
      <c r="K720" s="1">
        <v>108</v>
      </c>
      <c r="L720" s="1">
        <v>86.918456591639867</v>
      </c>
      <c r="M720" s="1">
        <v>425.61880841602499</v>
      </c>
      <c r="N720" s="7">
        <v>45947</v>
      </c>
      <c r="O720" s="1">
        <v>60000</v>
      </c>
      <c r="P720" s="7">
        <v>46372.61880841435</v>
      </c>
      <c r="Q720" s="1" t="s">
        <v>330</v>
      </c>
      <c r="W720" s="3"/>
      <c r="X720" s="3">
        <v>0</v>
      </c>
      <c r="Y720" s="1" t="str">
        <f>VLOOKUP(A720,[1]Detalle!$D$2:$CR$484,93,FALSE)</f>
        <v>SUC_MEN - Sucursal Mendoza</v>
      </c>
    </row>
    <row r="721" spans="1:25" ht="14.25" customHeight="1" x14ac:dyDescent="0.3">
      <c r="A721" s="1" t="s">
        <v>141</v>
      </c>
      <c r="B721" s="1" t="s">
        <v>589</v>
      </c>
      <c r="C721" s="1" t="s">
        <v>589</v>
      </c>
      <c r="D721" s="1" t="s">
        <v>590</v>
      </c>
      <c r="E721" s="1" t="s">
        <v>337</v>
      </c>
      <c r="F721" s="1">
        <v>479305</v>
      </c>
      <c r="G721" s="1">
        <v>539305</v>
      </c>
      <c r="H721" s="1">
        <v>12745.8</v>
      </c>
      <c r="I721" s="1">
        <v>47254.2</v>
      </c>
      <c r="J721" s="1">
        <v>492050.8</v>
      </c>
      <c r="K721" s="1">
        <v>108</v>
      </c>
      <c r="L721" s="1">
        <v>131.1199356913184</v>
      </c>
      <c r="M721" s="1">
        <v>400.4027679706258</v>
      </c>
      <c r="N721" s="7">
        <v>45947</v>
      </c>
      <c r="O721" s="1">
        <v>60000</v>
      </c>
      <c r="P721" s="7">
        <v>46347.402767974527</v>
      </c>
      <c r="Q721" s="1" t="s">
        <v>330</v>
      </c>
      <c r="W721" s="3"/>
      <c r="X721" s="3">
        <v>0</v>
      </c>
      <c r="Y721" s="1" t="str">
        <f>VLOOKUP(A721,[1]Detalle!$D$2:$CR$484,93,FALSE)</f>
        <v>Unilever - Unilever de Arg. S.A.</v>
      </c>
    </row>
    <row r="722" spans="1:25" ht="14.25" customHeight="1" x14ac:dyDescent="0.3">
      <c r="A722" s="1" t="s">
        <v>150</v>
      </c>
      <c r="B722" s="1" t="s">
        <v>589</v>
      </c>
      <c r="C722" s="1" t="s">
        <v>589</v>
      </c>
      <c r="D722" s="1" t="s">
        <v>590</v>
      </c>
      <c r="E722" s="1" t="s">
        <v>337</v>
      </c>
      <c r="F722" s="1">
        <v>721574</v>
      </c>
      <c r="G722" s="1">
        <v>781574</v>
      </c>
      <c r="H722" s="1">
        <v>18803.3</v>
      </c>
      <c r="I722" s="1">
        <v>41196.699999999997</v>
      </c>
      <c r="J722" s="1">
        <v>740377.3</v>
      </c>
      <c r="K722" s="1">
        <v>108</v>
      </c>
      <c r="L722" s="1">
        <v>143.50707395498381</v>
      </c>
      <c r="M722" s="1">
        <v>236.62035919226949</v>
      </c>
      <c r="N722" s="7">
        <v>45947</v>
      </c>
      <c r="O722" s="1">
        <v>60000</v>
      </c>
      <c r="P722" s="7">
        <v>46183.620359189823</v>
      </c>
      <c r="Q722" s="1" t="s">
        <v>330</v>
      </c>
      <c r="W722" s="3"/>
      <c r="X722" s="3">
        <v>0</v>
      </c>
      <c r="Y722" s="1" t="str">
        <f>VLOOKUP(A722,[1]Detalle!$D$2:$CR$484,93,FALSE)</f>
        <v>Papelera - Papelera del Plata S.A.</v>
      </c>
    </row>
    <row r="723" spans="1:25" ht="14.25" customHeight="1" x14ac:dyDescent="0.3">
      <c r="A723" s="1" t="s">
        <v>79</v>
      </c>
      <c r="B723" s="1" t="s">
        <v>589</v>
      </c>
      <c r="C723" s="1" t="s">
        <v>589</v>
      </c>
      <c r="D723" s="1" t="s">
        <v>590</v>
      </c>
      <c r="E723" s="1" t="s">
        <v>337</v>
      </c>
      <c r="F723" s="1">
        <v>62983.8</v>
      </c>
      <c r="G723" s="1">
        <v>122983.8</v>
      </c>
      <c r="H723" s="1">
        <v>20504.400000000009</v>
      </c>
      <c r="I723" s="1">
        <v>39495.599999999991</v>
      </c>
      <c r="J723" s="1">
        <v>83488.200000000012</v>
      </c>
      <c r="K723" s="1">
        <v>108</v>
      </c>
      <c r="L723" s="1">
        <v>94.269867549668859</v>
      </c>
      <c r="M723" s="1">
        <v>208.02973020424881</v>
      </c>
      <c r="N723" s="7">
        <v>45947</v>
      </c>
      <c r="O723" s="1">
        <v>60000</v>
      </c>
      <c r="P723" s="7">
        <v>46155.029730208327</v>
      </c>
      <c r="Q723" s="1" t="s">
        <v>330</v>
      </c>
      <c r="W723" s="3"/>
      <c r="X723" s="3">
        <v>0</v>
      </c>
      <c r="Y723" s="1" t="str">
        <f>VLOOKUP(A723,[1]Detalle!$D$2:$CR$484,93,FALSE)</f>
        <v>Papelera - Papelera del Plata S.A.</v>
      </c>
    </row>
    <row r="724" spans="1:25" ht="14.25" customHeight="1" x14ac:dyDescent="0.3">
      <c r="A724" s="1" t="s">
        <v>75</v>
      </c>
      <c r="B724" s="1" t="s">
        <v>589</v>
      </c>
      <c r="C724" s="1" t="s">
        <v>589</v>
      </c>
      <c r="D724" s="1" t="s">
        <v>590</v>
      </c>
      <c r="E724" s="1" t="s">
        <v>337</v>
      </c>
      <c r="F724" s="1">
        <v>49220.5</v>
      </c>
      <c r="G724" s="1">
        <v>109220.5</v>
      </c>
      <c r="H724" s="1">
        <v>20551.500000000011</v>
      </c>
      <c r="I724" s="1">
        <v>39448.499999999993</v>
      </c>
      <c r="J724" s="1">
        <v>69772.000000000015</v>
      </c>
      <c r="K724" s="1">
        <v>108</v>
      </c>
      <c r="L724" s="1">
        <v>83.847709677419346</v>
      </c>
      <c r="M724" s="1">
        <v>207.30545215677671</v>
      </c>
      <c r="N724" s="7">
        <v>45947</v>
      </c>
      <c r="O724" s="1">
        <v>60000</v>
      </c>
      <c r="P724" s="7">
        <v>46154.305452152781</v>
      </c>
      <c r="Q724" s="1" t="s">
        <v>330</v>
      </c>
      <c r="W724" s="3"/>
      <c r="X724" s="3">
        <v>0</v>
      </c>
      <c r="Y724" s="1" t="str">
        <f>VLOOKUP(A724,[1]Detalle!$D$2:$CR$484,93,FALSE)</f>
        <v>Papelera - Papelera del Plata S.A.</v>
      </c>
    </row>
    <row r="725" spans="1:25" ht="14.25" customHeight="1" x14ac:dyDescent="0.3">
      <c r="A725" s="1" t="s">
        <v>149</v>
      </c>
      <c r="B725" s="1" t="s">
        <v>589</v>
      </c>
      <c r="C725" s="1" t="s">
        <v>589</v>
      </c>
      <c r="D725" s="1" t="s">
        <v>590</v>
      </c>
      <c r="E725" s="1" t="s">
        <v>337</v>
      </c>
      <c r="F725" s="1">
        <v>666910</v>
      </c>
      <c r="G725" s="1">
        <v>726910</v>
      </c>
      <c r="H725" s="1">
        <v>11874.4</v>
      </c>
      <c r="I725" s="1">
        <v>48125.600000000013</v>
      </c>
      <c r="J725" s="1">
        <v>678784.4</v>
      </c>
      <c r="K725" s="1">
        <v>108</v>
      </c>
      <c r="L725" s="1">
        <v>113.6646794871796</v>
      </c>
      <c r="M725" s="1">
        <v>437.71178333221059</v>
      </c>
      <c r="N725" s="7">
        <v>45947</v>
      </c>
      <c r="O725" s="1">
        <v>60000</v>
      </c>
      <c r="P725" s="7">
        <v>46384.711783333332</v>
      </c>
      <c r="Q725" s="1" t="s">
        <v>330</v>
      </c>
      <c r="W725" s="3"/>
      <c r="X725" s="3">
        <v>0</v>
      </c>
      <c r="Y725" s="1" t="str">
        <f>VLOOKUP(A725,[1]Detalle!$D$2:$CR$484,93,FALSE)</f>
        <v>Papelera - Papelera del Plata S.A.</v>
      </c>
    </row>
    <row r="726" spans="1:25" ht="14.25" customHeight="1" x14ac:dyDescent="0.3">
      <c r="A726" s="1" t="s">
        <v>161</v>
      </c>
      <c r="B726" s="1" t="s">
        <v>589</v>
      </c>
      <c r="C726" s="1" t="s">
        <v>589</v>
      </c>
      <c r="D726" s="1" t="s">
        <v>590</v>
      </c>
      <c r="E726" s="1" t="s">
        <v>337</v>
      </c>
      <c r="F726" s="1">
        <v>657691</v>
      </c>
      <c r="G726" s="1">
        <v>717691</v>
      </c>
      <c r="H726" s="1">
        <v>12471.9</v>
      </c>
      <c r="I726" s="1">
        <v>47528.100000000013</v>
      </c>
      <c r="J726" s="1">
        <v>670162.9</v>
      </c>
      <c r="K726" s="1">
        <v>108</v>
      </c>
      <c r="L726" s="1">
        <v>112.4813870967742</v>
      </c>
      <c r="M726" s="1">
        <v>411.56798883891003</v>
      </c>
      <c r="N726" s="7">
        <v>45947</v>
      </c>
      <c r="O726" s="1">
        <v>60000</v>
      </c>
      <c r="P726" s="7">
        <v>46358.567988842588</v>
      </c>
      <c r="Q726" s="1" t="s">
        <v>330</v>
      </c>
      <c r="W726" s="3"/>
      <c r="X726" s="3">
        <v>0</v>
      </c>
      <c r="Y726" s="1" t="str">
        <f>VLOOKUP(A726,[1]Detalle!$D$2:$CR$484,93,FALSE)</f>
        <v>Unilever - Unilever de Arg. S.A.</v>
      </c>
    </row>
    <row r="727" spans="1:25" ht="14.25" customHeight="1" x14ac:dyDescent="0.3">
      <c r="A727" s="1" t="s">
        <v>152</v>
      </c>
      <c r="B727" s="1" t="s">
        <v>589</v>
      </c>
      <c r="C727" s="1" t="s">
        <v>589</v>
      </c>
      <c r="D727" s="1" t="s">
        <v>590</v>
      </c>
      <c r="E727" s="1" t="s">
        <v>337</v>
      </c>
      <c r="F727" s="1">
        <v>953293</v>
      </c>
      <c r="G727" s="1">
        <v>1013293</v>
      </c>
      <c r="H727" s="1">
        <v>19115</v>
      </c>
      <c r="I727" s="1">
        <v>40885</v>
      </c>
      <c r="J727" s="1">
        <v>972408</v>
      </c>
      <c r="K727" s="1">
        <v>108</v>
      </c>
      <c r="L727" s="1">
        <v>132.10963696369629</v>
      </c>
      <c r="M727" s="1">
        <v>231.00078472403879</v>
      </c>
      <c r="N727" s="7">
        <v>45947</v>
      </c>
      <c r="O727" s="1">
        <v>60000</v>
      </c>
      <c r="P727" s="7">
        <v>46178.000784722222</v>
      </c>
      <c r="Q727" s="1" t="s">
        <v>330</v>
      </c>
      <c r="W727" s="3"/>
      <c r="X727" s="3">
        <v>0</v>
      </c>
      <c r="Y727" s="1" t="str">
        <f>VLOOKUP(A727,[1]Detalle!$D$2:$CR$484,93,FALSE)</f>
        <v>SUC_REA - Sucursal Realicó</v>
      </c>
    </row>
    <row r="728" spans="1:25" ht="14.25" customHeight="1" x14ac:dyDescent="0.3">
      <c r="A728" s="1" t="s">
        <v>15</v>
      </c>
      <c r="B728" s="1" t="s">
        <v>589</v>
      </c>
      <c r="C728" s="1" t="s">
        <v>589</v>
      </c>
      <c r="D728" s="1" t="s">
        <v>590</v>
      </c>
      <c r="E728" s="1" t="s">
        <v>337</v>
      </c>
      <c r="F728" s="1">
        <v>686509</v>
      </c>
      <c r="G728" s="1">
        <v>746509</v>
      </c>
      <c r="H728" s="1">
        <v>39429.399999999987</v>
      </c>
      <c r="I728" s="1">
        <v>20570.600000000009</v>
      </c>
      <c r="J728" s="1">
        <v>725938.4</v>
      </c>
      <c r="K728" s="1">
        <v>108</v>
      </c>
      <c r="L728" s="1">
        <v>2357.9716911764699</v>
      </c>
      <c r="M728" s="1">
        <v>56.344372473332143</v>
      </c>
      <c r="N728" s="7">
        <v>45947</v>
      </c>
      <c r="O728" s="1">
        <v>60000</v>
      </c>
      <c r="P728" s="7">
        <v>46028.789970578713</v>
      </c>
      <c r="Q728" s="1" t="s">
        <v>330</v>
      </c>
      <c r="W728" s="3"/>
      <c r="X728" s="3">
        <v>0</v>
      </c>
      <c r="Y728" s="1" t="str">
        <f>VLOOKUP(A728,[1]Detalle!$D$2:$CR$484,93,FALSE)</f>
        <v>CENCOMLD - Cencosud SA - Mendoza</v>
      </c>
    </row>
    <row r="729" spans="1:25" ht="14.25" customHeight="1" x14ac:dyDescent="0.3">
      <c r="A729" s="1" t="s">
        <v>164</v>
      </c>
      <c r="B729" s="1" t="s">
        <v>589</v>
      </c>
      <c r="C729" s="1" t="s">
        <v>589</v>
      </c>
      <c r="D729" s="1" t="s">
        <v>590</v>
      </c>
      <c r="E729" s="1" t="s">
        <v>337</v>
      </c>
      <c r="F729" s="1">
        <v>2152173</v>
      </c>
      <c r="G729" s="1">
        <v>2212173</v>
      </c>
      <c r="H729" s="1">
        <v>12169.1</v>
      </c>
      <c r="I729" s="1">
        <v>47830.899999999987</v>
      </c>
      <c r="J729" s="1">
        <v>2164342.1</v>
      </c>
      <c r="K729" s="1">
        <v>108</v>
      </c>
      <c r="L729" s="1">
        <v>69.022379421221856</v>
      </c>
      <c r="M729" s="1">
        <v>424.49624047793162</v>
      </c>
      <c r="N729" s="7">
        <v>45947</v>
      </c>
      <c r="O729" s="1">
        <v>60000</v>
      </c>
      <c r="P729" s="7">
        <v>46371.496240474538</v>
      </c>
      <c r="Q729" s="1" t="s">
        <v>330</v>
      </c>
      <c r="W729" s="3"/>
      <c r="X729" s="3">
        <v>0</v>
      </c>
      <c r="Y729" s="1" t="str">
        <f>VLOOKUP(A729,[1]Detalle!$D$2:$CR$484,93,FALSE)</f>
        <v>SUC_MEN - Sucursal Mendoza</v>
      </c>
    </row>
    <row r="730" spans="1:25" ht="14.25" customHeight="1" x14ac:dyDescent="0.3">
      <c r="A730" s="1" t="s">
        <v>133</v>
      </c>
      <c r="B730" s="1" t="s">
        <v>589</v>
      </c>
      <c r="C730" s="1" t="s">
        <v>589</v>
      </c>
      <c r="D730" s="1" t="s">
        <v>590</v>
      </c>
      <c r="E730" s="1" t="s">
        <v>337</v>
      </c>
      <c r="G730" s="1">
        <v>897815</v>
      </c>
      <c r="H730" s="1">
        <v>100</v>
      </c>
      <c r="I730" s="1">
        <v>59900</v>
      </c>
      <c r="J730" s="1">
        <v>837915</v>
      </c>
      <c r="L730" s="1">
        <v>846.93875000000003</v>
      </c>
      <c r="N730" s="7">
        <v>45947</v>
      </c>
      <c r="O730" s="1">
        <v>60000</v>
      </c>
      <c r="P730" s="7">
        <v>46088.686751250003</v>
      </c>
      <c r="Q730" s="1" t="s">
        <v>330</v>
      </c>
      <c r="R730" s="6">
        <v>46088.686751250003</v>
      </c>
      <c r="W730" s="3"/>
      <c r="X730" s="3">
        <v>0</v>
      </c>
      <c r="Y730" s="1" t="str">
        <f>VLOOKUP(A730,[1]Detalle!$D$2:$CR$484,93,FALSE)</f>
        <v>CENCOMLD - Cencosud SA - Mendoza</v>
      </c>
    </row>
    <row r="731" spans="1:25" ht="14.25" customHeight="1" x14ac:dyDescent="0.3">
      <c r="A731" s="1" t="s">
        <v>171</v>
      </c>
      <c r="B731" s="1" t="s">
        <v>589</v>
      </c>
      <c r="C731" s="1" t="s">
        <v>589</v>
      </c>
      <c r="D731" s="1" t="s">
        <v>590</v>
      </c>
      <c r="E731" s="1" t="s">
        <v>337</v>
      </c>
      <c r="F731" s="1">
        <v>33664.800000000003</v>
      </c>
      <c r="G731" s="1">
        <v>93664.8</v>
      </c>
      <c r="H731" s="1">
        <v>15342.8</v>
      </c>
      <c r="I731" s="1">
        <v>44657.2</v>
      </c>
      <c r="J731" s="1">
        <v>49007.600000000013</v>
      </c>
      <c r="K731" s="1">
        <v>108</v>
      </c>
      <c r="L731" s="1">
        <v>130.96596721311471</v>
      </c>
      <c r="M731" s="1">
        <v>314.34794170555563</v>
      </c>
      <c r="N731" s="7">
        <v>45947</v>
      </c>
      <c r="O731" s="1">
        <v>60000</v>
      </c>
      <c r="P731" s="7">
        <v>46261.347941701388</v>
      </c>
      <c r="Q731" s="1" t="s">
        <v>330</v>
      </c>
      <c r="W731" s="3"/>
      <c r="X731" s="3">
        <v>0</v>
      </c>
      <c r="Y731" s="1" t="str">
        <f>VLOOKUP(A731,[1]Detalle!$D$2:$CR$484,93,FALSE)</f>
        <v>CENCO_MZ - Cencosud SA - Mendoza</v>
      </c>
    </row>
    <row r="732" spans="1:25" ht="14.25" customHeight="1" x14ac:dyDescent="0.3">
      <c r="A732" s="1" t="s">
        <v>51</v>
      </c>
      <c r="B732" s="1" t="s">
        <v>589</v>
      </c>
      <c r="C732" s="1" t="s">
        <v>589</v>
      </c>
      <c r="D732" s="1" t="s">
        <v>590</v>
      </c>
      <c r="E732" s="1" t="s">
        <v>337</v>
      </c>
      <c r="F732" s="1">
        <v>62508.4</v>
      </c>
      <c r="G732" s="1">
        <v>122508.4</v>
      </c>
      <c r="H732" s="1">
        <v>2224.6</v>
      </c>
      <c r="I732" s="1">
        <v>57775.4</v>
      </c>
      <c r="J732" s="1">
        <v>64733</v>
      </c>
      <c r="K732" s="1">
        <v>108</v>
      </c>
      <c r="L732" s="1">
        <v>21.44832713754645</v>
      </c>
      <c r="M732" s="1">
        <v>2804.883214959993</v>
      </c>
      <c r="N732" s="7">
        <v>45947</v>
      </c>
      <c r="O732" s="1">
        <v>60000</v>
      </c>
      <c r="P732" s="7">
        <v>46174</v>
      </c>
      <c r="Q732" s="1" t="s">
        <v>330</v>
      </c>
      <c r="W732" s="3"/>
      <c r="X732" s="3">
        <v>0</v>
      </c>
      <c r="Y732" s="1" t="str">
        <f>VLOOKUP(A732,[1]Detalle!$D$2:$CR$484,93,FALSE)</f>
        <v>CMQ_TTE - QUILMES TTE</v>
      </c>
    </row>
    <row r="733" spans="1:25" ht="14.25" customHeight="1" x14ac:dyDescent="0.3">
      <c r="A733" s="1" t="s">
        <v>54</v>
      </c>
      <c r="B733" s="1" t="s">
        <v>589</v>
      </c>
      <c r="C733" s="1" t="s">
        <v>589</v>
      </c>
      <c r="D733" s="1" t="s">
        <v>590</v>
      </c>
      <c r="E733" s="1" t="s">
        <v>337</v>
      </c>
      <c r="F733" s="1">
        <v>46127.5</v>
      </c>
      <c r="G733" s="1">
        <v>106127.5</v>
      </c>
      <c r="H733" s="1">
        <v>2810.9</v>
      </c>
      <c r="I733" s="1">
        <v>57189.1</v>
      </c>
      <c r="J733" s="1">
        <v>48938.400000000001</v>
      </c>
      <c r="K733" s="1">
        <v>108</v>
      </c>
      <c r="L733" s="1">
        <v>37.059548872180457</v>
      </c>
      <c r="M733" s="1">
        <v>2197.31146607848</v>
      </c>
      <c r="N733" s="7">
        <v>45947</v>
      </c>
      <c r="O733" s="1">
        <v>60000</v>
      </c>
      <c r="P733" s="7">
        <v>46174</v>
      </c>
      <c r="Q733" s="1" t="s">
        <v>330</v>
      </c>
      <c r="W733" s="3"/>
      <c r="X733" s="3">
        <v>0</v>
      </c>
      <c r="Y733" s="1" t="str">
        <f>VLOOKUP(A733,[1]Detalle!$D$2:$CR$484,93,FALSE)</f>
        <v>CMQ_TTE - QUILMES TTE</v>
      </c>
    </row>
    <row r="734" spans="1:25" ht="14.25" customHeight="1" x14ac:dyDescent="0.3">
      <c r="A734" s="1" t="s">
        <v>67</v>
      </c>
      <c r="B734" s="1" t="s">
        <v>589</v>
      </c>
      <c r="C734" s="1" t="s">
        <v>589</v>
      </c>
      <c r="D734" s="1" t="s">
        <v>590</v>
      </c>
      <c r="E734" s="1" t="s">
        <v>337</v>
      </c>
      <c r="F734" s="1">
        <v>52756</v>
      </c>
      <c r="G734" s="1">
        <v>112756</v>
      </c>
      <c r="H734" s="1">
        <v>3546.400000000001</v>
      </c>
      <c r="I734" s="1">
        <v>56453.599999999999</v>
      </c>
      <c r="J734" s="1">
        <v>56302.400000000001</v>
      </c>
      <c r="K734" s="1">
        <v>108</v>
      </c>
      <c r="L734" s="1">
        <v>24.52509293680297</v>
      </c>
      <c r="M734" s="1">
        <v>1719.2050530115041</v>
      </c>
      <c r="N734" s="7">
        <v>45947</v>
      </c>
      <c r="O734" s="1">
        <v>60000</v>
      </c>
      <c r="P734" s="7">
        <v>46174</v>
      </c>
      <c r="Q734" s="1" t="s">
        <v>330</v>
      </c>
      <c r="W734" s="3"/>
      <c r="X734" s="3">
        <v>0</v>
      </c>
      <c r="Y734" s="1" t="str">
        <f>VLOOKUP(A734,[1]Detalle!$D$2:$CR$484,93,FALSE)</f>
        <v>CMQ_TTE - QUILMES TTE</v>
      </c>
    </row>
    <row r="735" spans="1:25" ht="14.25" customHeight="1" x14ac:dyDescent="0.3">
      <c r="A735" s="1" t="s">
        <v>2</v>
      </c>
      <c r="B735" s="1" t="s">
        <v>589</v>
      </c>
      <c r="C735" s="1" t="s">
        <v>589</v>
      </c>
      <c r="D735" s="1" t="s">
        <v>590</v>
      </c>
      <c r="E735" s="1" t="s">
        <v>337</v>
      </c>
      <c r="F735" s="1">
        <v>14205</v>
      </c>
      <c r="G735" s="1">
        <v>74205</v>
      </c>
      <c r="H735" s="1">
        <v>12306.6</v>
      </c>
      <c r="I735" s="1">
        <v>47693.399999999987</v>
      </c>
      <c r="J735" s="1">
        <v>26511.600000000009</v>
      </c>
      <c r="K735" s="1">
        <v>108</v>
      </c>
      <c r="L735" s="1">
        <v>68.135242718446577</v>
      </c>
      <c r="M735" s="1">
        <v>418.54673102237808</v>
      </c>
      <c r="N735" s="7">
        <v>45947</v>
      </c>
      <c r="O735" s="1">
        <v>60000</v>
      </c>
      <c r="P735" s="7">
        <v>46365.546731018519</v>
      </c>
      <c r="Q735" s="1" t="s">
        <v>330</v>
      </c>
      <c r="W735" s="3"/>
      <c r="X735" s="3">
        <v>0</v>
      </c>
      <c r="Y735" s="1" t="str">
        <f>VLOOKUP(A735,[1]Detalle!$D$2:$CR$484,93,FALSE)</f>
        <v>Unilever - Unilever de Arg. S.A.</v>
      </c>
    </row>
    <row r="736" spans="1:25" ht="14.25" customHeight="1" x14ac:dyDescent="0.3">
      <c r="A736" s="1" t="s">
        <v>192</v>
      </c>
      <c r="B736" s="1" t="s">
        <v>589</v>
      </c>
      <c r="C736" s="1" t="s">
        <v>589</v>
      </c>
      <c r="D736" s="1" t="s">
        <v>590</v>
      </c>
      <c r="E736" s="1" t="s">
        <v>337</v>
      </c>
      <c r="F736" s="1">
        <v>135569</v>
      </c>
      <c r="G736" s="1">
        <v>195569</v>
      </c>
      <c r="H736" s="1">
        <v>0.4</v>
      </c>
      <c r="I736" s="1">
        <v>59999.6</v>
      </c>
      <c r="J736" s="1">
        <v>135569.4</v>
      </c>
      <c r="K736" s="1">
        <v>108</v>
      </c>
      <c r="L736" s="1">
        <v>9.0852830188679246</v>
      </c>
      <c r="M736" s="1">
        <v>16199892</v>
      </c>
      <c r="N736" s="7">
        <v>45947</v>
      </c>
      <c r="O736" s="1">
        <v>60000</v>
      </c>
      <c r="P736" s="7">
        <v>46174</v>
      </c>
      <c r="Q736" s="1" t="s">
        <v>330</v>
      </c>
      <c r="W736" s="3"/>
      <c r="X736" s="3">
        <v>0</v>
      </c>
      <c r="Y736" s="1" t="str">
        <f>VLOOKUP(A736,[1]Detalle!$D$2:$CR$484,93,FALSE)</f>
        <v>Sin Operación</v>
      </c>
    </row>
    <row r="737" spans="1:25" ht="14.25" customHeight="1" x14ac:dyDescent="0.3">
      <c r="A737" s="1" t="s">
        <v>197</v>
      </c>
      <c r="B737" s="1" t="s">
        <v>589</v>
      </c>
      <c r="C737" s="1" t="s">
        <v>589</v>
      </c>
      <c r="D737" s="1" t="s">
        <v>590</v>
      </c>
      <c r="E737" s="1" t="s">
        <v>337</v>
      </c>
      <c r="F737" s="1">
        <v>166036</v>
      </c>
      <c r="G737" s="1">
        <v>226036</v>
      </c>
      <c r="H737" s="1">
        <v>0.4</v>
      </c>
      <c r="I737" s="1">
        <v>59999.6</v>
      </c>
      <c r="J737" s="1">
        <v>166036.4</v>
      </c>
      <c r="K737" s="1">
        <v>108</v>
      </c>
      <c r="L737" s="1">
        <v>3.1153992395437262</v>
      </c>
      <c r="M737" s="1">
        <v>16199892</v>
      </c>
      <c r="N737" s="7">
        <v>45947</v>
      </c>
      <c r="O737" s="1">
        <v>60000</v>
      </c>
      <c r="P737" s="7">
        <v>46174</v>
      </c>
      <c r="Q737" s="1" t="s">
        <v>330</v>
      </c>
      <c r="W737" s="3"/>
      <c r="X737" s="3">
        <v>0</v>
      </c>
      <c r="Y737" s="1" t="str">
        <f>VLOOKUP(A737,[1]Detalle!$D$2:$CR$484,93,FALSE)</f>
        <v>Sin Operación</v>
      </c>
    </row>
    <row r="738" spans="1:25" ht="14.25" customHeight="1" x14ac:dyDescent="0.3">
      <c r="A738" s="1" t="s">
        <v>206</v>
      </c>
      <c r="B738" s="1" t="s">
        <v>589</v>
      </c>
      <c r="C738" s="1" t="s">
        <v>589</v>
      </c>
      <c r="D738" s="1" t="s">
        <v>590</v>
      </c>
      <c r="E738" s="1" t="s">
        <v>337</v>
      </c>
      <c r="F738" s="1">
        <v>220694</v>
      </c>
      <c r="G738" s="1">
        <v>280694</v>
      </c>
      <c r="H738" s="1">
        <v>1856</v>
      </c>
      <c r="I738" s="1">
        <v>58144</v>
      </c>
      <c r="J738" s="1">
        <v>222550</v>
      </c>
      <c r="K738" s="1">
        <v>108</v>
      </c>
      <c r="L738" s="1">
        <v>9.7282442748091569</v>
      </c>
      <c r="M738" s="1">
        <v>3383.3793103448288</v>
      </c>
      <c r="N738" s="7">
        <v>45947</v>
      </c>
      <c r="O738" s="1">
        <v>60000</v>
      </c>
      <c r="P738" s="7">
        <v>46174</v>
      </c>
      <c r="Q738" s="1" t="s">
        <v>330</v>
      </c>
      <c r="W738" s="3"/>
      <c r="X738" s="3">
        <v>0</v>
      </c>
      <c r="Y738" s="1" t="str">
        <f>VLOOKUP(A738,[1]Detalle!$D$2:$CR$484,93,FALSE)</f>
        <v>Sin Operación</v>
      </c>
    </row>
    <row r="739" spans="1:25" ht="14.25" customHeight="1" x14ac:dyDescent="0.3">
      <c r="A739" s="1" t="s">
        <v>236</v>
      </c>
      <c r="B739" s="1" t="s">
        <v>589</v>
      </c>
      <c r="C739" s="1" t="s">
        <v>589</v>
      </c>
      <c r="D739" s="1" t="s">
        <v>590</v>
      </c>
      <c r="E739" s="1" t="s">
        <v>337</v>
      </c>
      <c r="F739" s="1">
        <v>1016980</v>
      </c>
      <c r="G739" s="1">
        <v>1076980</v>
      </c>
      <c r="H739" s="1">
        <v>34026.300000000003</v>
      </c>
      <c r="I739" s="1">
        <v>25973.7</v>
      </c>
      <c r="J739" s="1">
        <v>1051006.3</v>
      </c>
      <c r="K739" s="1">
        <v>108</v>
      </c>
      <c r="L739" s="1">
        <v>455.32846441947561</v>
      </c>
      <c r="M739" s="1">
        <v>82.440923638479632</v>
      </c>
      <c r="N739" s="7">
        <v>45947</v>
      </c>
      <c r="O739" s="1">
        <v>60000</v>
      </c>
      <c r="P739" s="7">
        <v>46029.440923634262</v>
      </c>
      <c r="Q739" s="1" t="s">
        <v>330</v>
      </c>
      <c r="W739" s="3"/>
      <c r="X739" s="3">
        <v>0</v>
      </c>
      <c r="Y739" s="1" t="str">
        <f>VLOOKUP(A739,[1]Detalle!$D$2:$CR$484,93,FALSE)</f>
        <v>CENCOMLD - Cencosud SA - Mendoza</v>
      </c>
    </row>
    <row r="740" spans="1:25" ht="14.25" customHeight="1" x14ac:dyDescent="0.3">
      <c r="A740" s="1" t="s">
        <v>235</v>
      </c>
      <c r="B740" s="1" t="s">
        <v>589</v>
      </c>
      <c r="C740" s="1" t="s">
        <v>589</v>
      </c>
      <c r="D740" s="1" t="s">
        <v>590</v>
      </c>
      <c r="E740" s="1" t="s">
        <v>337</v>
      </c>
      <c r="F740" s="1">
        <v>1000081</v>
      </c>
      <c r="G740" s="1">
        <v>1060081</v>
      </c>
      <c r="H740" s="1">
        <v>32109.700000000012</v>
      </c>
      <c r="I740" s="1">
        <v>27890.299999999988</v>
      </c>
      <c r="J740" s="1">
        <v>1032190.7</v>
      </c>
      <c r="K740" s="1">
        <v>108</v>
      </c>
      <c r="L740" s="1">
        <v>263.69237037037038</v>
      </c>
      <c r="M740" s="1">
        <v>93.808176345465654</v>
      </c>
      <c r="N740" s="7">
        <v>45947</v>
      </c>
      <c r="O740" s="1">
        <v>60000</v>
      </c>
      <c r="P740" s="7">
        <v>46040.808176342587</v>
      </c>
      <c r="Q740" s="1" t="s">
        <v>330</v>
      </c>
      <c r="W740" s="3"/>
      <c r="X740" s="3">
        <v>0</v>
      </c>
      <c r="Y740" s="1" t="str">
        <f>VLOOKUP(A740,[1]Detalle!$D$2:$CR$484,93,FALSE)</f>
        <v>CENCOMLD - Cencosud SA - Mendoza</v>
      </c>
    </row>
    <row r="741" spans="1:25" ht="14.25" customHeight="1" x14ac:dyDescent="0.3">
      <c r="A741" s="1" t="s">
        <v>237</v>
      </c>
      <c r="B741" s="1" t="s">
        <v>589</v>
      </c>
      <c r="C741" s="1" t="s">
        <v>589</v>
      </c>
      <c r="D741" s="1" t="s">
        <v>590</v>
      </c>
      <c r="E741" s="1" t="s">
        <v>337</v>
      </c>
      <c r="F741" s="1">
        <v>806260</v>
      </c>
      <c r="G741" s="1">
        <v>866260</v>
      </c>
      <c r="H741" s="1">
        <v>21786.3</v>
      </c>
      <c r="I741" s="1">
        <v>38213.699999999997</v>
      </c>
      <c r="J741" s="1">
        <v>828046.3</v>
      </c>
      <c r="K741" s="1">
        <v>108</v>
      </c>
      <c r="L741" s="1">
        <v>518.64529411764704</v>
      </c>
      <c r="M741" s="1">
        <v>189.43462634775071</v>
      </c>
      <c r="N741" s="7">
        <v>45947</v>
      </c>
      <c r="O741" s="1">
        <v>60000</v>
      </c>
      <c r="P741" s="7">
        <v>46136.43462634259</v>
      </c>
      <c r="Q741" s="1" t="s">
        <v>330</v>
      </c>
      <c r="W741" s="3"/>
      <c r="X741" s="3">
        <v>0</v>
      </c>
      <c r="Y741" s="1" t="str">
        <f>VLOOKUP(A741,[1]Detalle!$D$2:$CR$484,93,FALSE)</f>
        <v>CENCOMLD - Cencosud SA - Mendoza</v>
      </c>
    </row>
    <row r="742" spans="1:25" ht="14.25" customHeight="1" x14ac:dyDescent="0.3">
      <c r="A742" s="1" t="s">
        <v>225</v>
      </c>
      <c r="B742" s="1" t="s">
        <v>589</v>
      </c>
      <c r="C742" s="1" t="s">
        <v>589</v>
      </c>
      <c r="D742" s="1" t="s">
        <v>590</v>
      </c>
      <c r="E742" s="1" t="s">
        <v>337</v>
      </c>
      <c r="F742" s="1">
        <v>163523</v>
      </c>
      <c r="G742" s="1">
        <v>223523</v>
      </c>
      <c r="H742" s="1">
        <v>2.1</v>
      </c>
      <c r="I742" s="1">
        <v>59997.9</v>
      </c>
      <c r="J742" s="1">
        <v>163525.1</v>
      </c>
      <c r="K742" s="1">
        <v>108</v>
      </c>
      <c r="L742" s="1">
        <v>5.6607954545454557</v>
      </c>
      <c r="M742" s="1">
        <v>3085606.2857142859</v>
      </c>
      <c r="N742" s="7">
        <v>45947</v>
      </c>
      <c r="O742" s="1">
        <v>60000</v>
      </c>
      <c r="P742" s="7">
        <v>46174</v>
      </c>
      <c r="Q742" s="1" t="s">
        <v>330</v>
      </c>
      <c r="W742" s="3"/>
      <c r="X742" s="3">
        <v>0</v>
      </c>
      <c r="Y742" s="1" t="str">
        <f>VLOOKUP(A742,[1]Detalle!$D$2:$CR$484,93,FALSE)</f>
        <v>Sin Operación</v>
      </c>
    </row>
    <row r="743" spans="1:25" ht="14.25" customHeight="1" x14ac:dyDescent="0.3">
      <c r="A743" s="1" t="s">
        <v>148</v>
      </c>
      <c r="B743" s="1" t="s">
        <v>589</v>
      </c>
      <c r="C743" s="1" t="s">
        <v>589</v>
      </c>
      <c r="D743" s="1" t="s">
        <v>590</v>
      </c>
      <c r="E743" s="1" t="s">
        <v>337</v>
      </c>
      <c r="F743" s="1">
        <v>802722</v>
      </c>
      <c r="G743" s="1">
        <v>862722</v>
      </c>
      <c r="H743" s="1">
        <v>14655.30000000001</v>
      </c>
      <c r="I743" s="1">
        <v>45344.69999999999</v>
      </c>
      <c r="J743" s="1">
        <v>817377.3</v>
      </c>
      <c r="K743" s="1">
        <v>108</v>
      </c>
      <c r="L743" s="1">
        <v>100.27773026315791</v>
      </c>
      <c r="M743" s="1">
        <v>334.16085648195502</v>
      </c>
      <c r="N743" s="7">
        <v>45947</v>
      </c>
      <c r="O743" s="1">
        <v>60000</v>
      </c>
      <c r="P743" s="7">
        <v>46281.160856481481</v>
      </c>
      <c r="Q743" s="1" t="s">
        <v>330</v>
      </c>
      <c r="W743" s="3"/>
      <c r="X743" s="3">
        <v>0</v>
      </c>
      <c r="Y743" s="1" t="str">
        <f>VLOOKUP(A743,[1]Detalle!$D$2:$CR$484,93,FALSE)</f>
        <v>Unilever - Unilever de Arg. S.A.</v>
      </c>
    </row>
    <row r="744" spans="1:25" ht="14.25" customHeight="1" x14ac:dyDescent="0.3">
      <c r="A744" s="1" t="s">
        <v>174</v>
      </c>
      <c r="B744" s="1" t="s">
        <v>589</v>
      </c>
      <c r="C744" s="1" t="s">
        <v>589</v>
      </c>
      <c r="D744" s="1" t="s">
        <v>590</v>
      </c>
      <c r="E744" s="1" t="s">
        <v>337</v>
      </c>
      <c r="F744" s="1">
        <v>23487.8</v>
      </c>
      <c r="G744" s="1">
        <v>83487.8</v>
      </c>
      <c r="H744" s="1">
        <v>11983.499999999991</v>
      </c>
      <c r="I744" s="1">
        <v>48016.500000000007</v>
      </c>
      <c r="J744" s="1">
        <v>35471.300000000003</v>
      </c>
      <c r="K744" s="1">
        <v>108</v>
      </c>
      <c r="L744" s="1">
        <v>71.271935483870948</v>
      </c>
      <c r="M744" s="1">
        <v>432.7435223432222</v>
      </c>
      <c r="N744" s="7">
        <v>45947</v>
      </c>
      <c r="O744" s="1">
        <v>60000</v>
      </c>
      <c r="P744" s="7">
        <v>46379.743522337973</v>
      </c>
      <c r="Q744" s="1" t="s">
        <v>330</v>
      </c>
      <c r="W744" s="3"/>
      <c r="X744" s="3">
        <v>0</v>
      </c>
      <c r="Y744" s="1" t="str">
        <f>VLOOKUP(A744,[1]Detalle!$D$2:$CR$484,93,FALSE)</f>
        <v>Unilever - Unilever de Arg. S.A.</v>
      </c>
    </row>
    <row r="745" spans="1:25" ht="14.25" customHeight="1" x14ac:dyDescent="0.3">
      <c r="A745" s="1" t="s">
        <v>92</v>
      </c>
      <c r="B745" s="1" t="s">
        <v>589</v>
      </c>
      <c r="C745" s="1" t="s">
        <v>589</v>
      </c>
      <c r="D745" s="1" t="s">
        <v>590</v>
      </c>
      <c r="E745" s="1" t="s">
        <v>337</v>
      </c>
      <c r="F745" s="1">
        <v>23673.5</v>
      </c>
      <c r="G745" s="1">
        <v>83673.5</v>
      </c>
      <c r="H745" s="1">
        <v>12164.1</v>
      </c>
      <c r="I745" s="1">
        <v>47835.9</v>
      </c>
      <c r="J745" s="1">
        <v>35837.599999999999</v>
      </c>
      <c r="K745" s="1">
        <v>108</v>
      </c>
      <c r="L745" s="1">
        <v>65.871929260450116</v>
      </c>
      <c r="M745" s="1">
        <v>424.71512072409803</v>
      </c>
      <c r="N745" s="7">
        <v>45947</v>
      </c>
      <c r="O745" s="1">
        <v>60000</v>
      </c>
      <c r="P745" s="7">
        <v>46371.715120729168</v>
      </c>
      <c r="Q745" s="1" t="s">
        <v>330</v>
      </c>
      <c r="W745" s="3"/>
      <c r="X745" s="3">
        <v>0</v>
      </c>
      <c r="Y745" s="1" t="str">
        <f>VLOOKUP(A745,[1]Detalle!$D$2:$CR$484,93,FALSE)</f>
        <v>Unilever - Unilever de Arg. S.A.</v>
      </c>
    </row>
    <row r="746" spans="1:25" ht="14.25" customHeight="1" x14ac:dyDescent="0.3">
      <c r="A746" s="1" t="s">
        <v>121</v>
      </c>
      <c r="B746" s="1" t="s">
        <v>591</v>
      </c>
      <c r="C746" s="1" t="s">
        <v>591</v>
      </c>
      <c r="D746" s="1" t="s">
        <v>592</v>
      </c>
      <c r="E746" s="1" t="s">
        <v>337</v>
      </c>
      <c r="F746" s="1">
        <v>288895</v>
      </c>
      <c r="G746" s="1">
        <v>528895</v>
      </c>
      <c r="H746" s="1">
        <v>323.89999999999998</v>
      </c>
      <c r="I746" s="1">
        <v>239676.1</v>
      </c>
      <c r="J746" s="1">
        <v>289218.90000000002</v>
      </c>
      <c r="K746" s="1">
        <v>108</v>
      </c>
      <c r="L746" s="1">
        <v>10.97267741935484</v>
      </c>
      <c r="M746" s="1">
        <v>79916.698981167036</v>
      </c>
      <c r="N746" s="7">
        <v>45947</v>
      </c>
      <c r="O746" s="1">
        <v>240000</v>
      </c>
      <c r="P746" s="7">
        <v>46174</v>
      </c>
      <c r="Q746" s="1" t="s">
        <v>330</v>
      </c>
      <c r="T746" s="1" t="s">
        <v>593</v>
      </c>
      <c r="U746" s="1" t="s">
        <v>594</v>
      </c>
      <c r="V746" s="1">
        <v>1</v>
      </c>
      <c r="W746" s="3">
        <v>57788.33</v>
      </c>
      <c r="X746" s="3">
        <v>57788.33</v>
      </c>
      <c r="Y746" s="1" t="str">
        <f>VLOOKUP(A746,[1]Detalle!$D$2:$CR$484,93,FALSE)</f>
        <v>CCUCoAZA</v>
      </c>
    </row>
    <row r="747" spans="1:25" ht="14.25" customHeight="1" x14ac:dyDescent="0.3">
      <c r="A747" s="1" t="s">
        <v>133</v>
      </c>
      <c r="B747" s="1" t="s">
        <v>591</v>
      </c>
      <c r="C747" s="1" t="s">
        <v>591</v>
      </c>
      <c r="D747" s="1" t="s">
        <v>592</v>
      </c>
      <c r="E747" s="1" t="s">
        <v>337</v>
      </c>
      <c r="G747" s="1">
        <v>1077815</v>
      </c>
      <c r="H747" s="1">
        <v>100</v>
      </c>
      <c r="I747" s="1">
        <v>239900</v>
      </c>
      <c r="J747" s="1">
        <v>837915</v>
      </c>
      <c r="L747" s="1">
        <v>846.93875000000003</v>
      </c>
      <c r="N747" s="7">
        <v>45947</v>
      </c>
      <c r="O747" s="1">
        <v>240000</v>
      </c>
      <c r="P747" s="7">
        <v>46230.373502511567</v>
      </c>
      <c r="Q747" s="1" t="s">
        <v>330</v>
      </c>
      <c r="T747" s="1" t="s">
        <v>593</v>
      </c>
      <c r="U747" s="1" t="s">
        <v>594</v>
      </c>
      <c r="V747" s="1">
        <v>1</v>
      </c>
      <c r="W747" s="3">
        <v>57788.33</v>
      </c>
      <c r="X747" s="3">
        <v>57788.33</v>
      </c>
      <c r="Y747" s="1" t="str">
        <f>VLOOKUP(A747,[1]Detalle!$D$2:$CR$484,93,FALSE)</f>
        <v>CENCOMLD - Cencosud SA - Mendoza</v>
      </c>
    </row>
    <row r="748" spans="1:25" ht="14.25" customHeight="1" x14ac:dyDescent="0.3">
      <c r="A748" s="1" t="s">
        <v>51</v>
      </c>
      <c r="B748" s="1" t="s">
        <v>591</v>
      </c>
      <c r="C748" s="1" t="s">
        <v>591</v>
      </c>
      <c r="D748" s="1" t="s">
        <v>592</v>
      </c>
      <c r="E748" s="1" t="s">
        <v>337</v>
      </c>
      <c r="F748" s="1">
        <v>62508.4</v>
      </c>
      <c r="G748" s="1">
        <v>302508.40000000002</v>
      </c>
      <c r="H748" s="1">
        <v>2224.6</v>
      </c>
      <c r="I748" s="1">
        <v>237775.4</v>
      </c>
      <c r="J748" s="1">
        <v>64733</v>
      </c>
      <c r="K748" s="1">
        <v>108</v>
      </c>
      <c r="L748" s="1">
        <v>21.44832713754645</v>
      </c>
      <c r="M748" s="1">
        <v>11543.53285983997</v>
      </c>
      <c r="N748" s="7">
        <v>45947</v>
      </c>
      <c r="O748" s="1">
        <v>240000</v>
      </c>
      <c r="P748" s="7">
        <v>46174</v>
      </c>
      <c r="Q748" s="1" t="s">
        <v>330</v>
      </c>
      <c r="T748" s="1" t="s">
        <v>593</v>
      </c>
      <c r="U748" s="1" t="s">
        <v>594</v>
      </c>
      <c r="V748" s="1">
        <v>1</v>
      </c>
      <c r="W748" s="3">
        <v>57788.33</v>
      </c>
      <c r="X748" s="3">
        <v>57788.33</v>
      </c>
      <c r="Y748" s="1" t="str">
        <f>VLOOKUP(A748,[1]Detalle!$D$2:$CR$484,93,FALSE)</f>
        <v>CMQ_TTE - QUILMES TTE</v>
      </c>
    </row>
    <row r="749" spans="1:25" ht="14.25" customHeight="1" x14ac:dyDescent="0.3">
      <c r="A749" s="1" t="s">
        <v>54</v>
      </c>
      <c r="B749" s="1" t="s">
        <v>591</v>
      </c>
      <c r="C749" s="1" t="s">
        <v>591</v>
      </c>
      <c r="D749" s="1" t="s">
        <v>592</v>
      </c>
      <c r="E749" s="1" t="s">
        <v>337</v>
      </c>
      <c r="F749" s="1">
        <v>46127.5</v>
      </c>
      <c r="G749" s="1">
        <v>286127.5</v>
      </c>
      <c r="H749" s="1">
        <v>2810.9</v>
      </c>
      <c r="I749" s="1">
        <v>237189.1</v>
      </c>
      <c r="J749" s="1">
        <v>48938.400000000001</v>
      </c>
      <c r="K749" s="1">
        <v>108</v>
      </c>
      <c r="L749" s="1">
        <v>37.059548872180457</v>
      </c>
      <c r="M749" s="1">
        <v>9113.2458643139216</v>
      </c>
      <c r="N749" s="7">
        <v>45947</v>
      </c>
      <c r="O749" s="1">
        <v>240000</v>
      </c>
      <c r="P749" s="7">
        <v>46174</v>
      </c>
      <c r="Q749" s="1" t="s">
        <v>330</v>
      </c>
      <c r="T749" s="1" t="s">
        <v>593</v>
      </c>
      <c r="U749" s="1" t="s">
        <v>594</v>
      </c>
      <c r="V749" s="1">
        <v>1</v>
      </c>
      <c r="W749" s="3">
        <v>57788.33</v>
      </c>
      <c r="X749" s="3">
        <v>57788.33</v>
      </c>
      <c r="Y749" s="1" t="str">
        <f>VLOOKUP(A749,[1]Detalle!$D$2:$CR$484,93,FALSE)</f>
        <v>CMQ_TTE - QUILMES TTE</v>
      </c>
    </row>
    <row r="750" spans="1:25" ht="14.25" customHeight="1" x14ac:dyDescent="0.3">
      <c r="A750" s="1" t="s">
        <v>67</v>
      </c>
      <c r="B750" s="1" t="s">
        <v>591</v>
      </c>
      <c r="C750" s="1" t="s">
        <v>591</v>
      </c>
      <c r="D750" s="1" t="s">
        <v>592</v>
      </c>
      <c r="E750" s="1" t="s">
        <v>337</v>
      </c>
      <c r="F750" s="1">
        <v>52756</v>
      </c>
      <c r="G750" s="1">
        <v>292756</v>
      </c>
      <c r="H750" s="1">
        <v>3546.400000000001</v>
      </c>
      <c r="I750" s="1">
        <v>236453.6</v>
      </c>
      <c r="J750" s="1">
        <v>56302.400000000001</v>
      </c>
      <c r="K750" s="1">
        <v>108</v>
      </c>
      <c r="L750" s="1">
        <v>24.52509293680297</v>
      </c>
      <c r="M750" s="1">
        <v>7200.8202120460164</v>
      </c>
      <c r="N750" s="7">
        <v>45947</v>
      </c>
      <c r="O750" s="1">
        <v>240000</v>
      </c>
      <c r="P750" s="7">
        <v>46174</v>
      </c>
      <c r="Q750" s="1" t="s">
        <v>330</v>
      </c>
      <c r="T750" s="1" t="s">
        <v>593</v>
      </c>
      <c r="U750" s="1" t="s">
        <v>594</v>
      </c>
      <c r="V750" s="1">
        <v>1</v>
      </c>
      <c r="W750" s="3">
        <v>57788.33</v>
      </c>
      <c r="X750" s="3">
        <v>57788.33</v>
      </c>
      <c r="Y750" s="1" t="str">
        <f>VLOOKUP(A750,[1]Detalle!$D$2:$CR$484,93,FALSE)</f>
        <v>CMQ_TTE - QUILMES TTE</v>
      </c>
    </row>
    <row r="751" spans="1:25" ht="14.25" customHeight="1" x14ac:dyDescent="0.3">
      <c r="A751" s="1" t="s">
        <v>192</v>
      </c>
      <c r="B751" s="1" t="s">
        <v>591</v>
      </c>
      <c r="C751" s="1" t="s">
        <v>591</v>
      </c>
      <c r="D751" s="1" t="s">
        <v>592</v>
      </c>
      <c r="E751" s="1" t="s">
        <v>337</v>
      </c>
      <c r="F751" s="1">
        <v>135569</v>
      </c>
      <c r="G751" s="1">
        <v>375569</v>
      </c>
      <c r="H751" s="1">
        <v>0.4</v>
      </c>
      <c r="I751" s="1">
        <v>239999.6</v>
      </c>
      <c r="J751" s="1">
        <v>135569.4</v>
      </c>
      <c r="K751" s="1">
        <v>108</v>
      </c>
      <c r="L751" s="1">
        <v>9.0852830188679246</v>
      </c>
      <c r="M751" s="1">
        <v>64799892</v>
      </c>
      <c r="N751" s="7">
        <v>45947</v>
      </c>
      <c r="O751" s="1">
        <v>240000</v>
      </c>
      <c r="P751" s="7">
        <v>46174</v>
      </c>
      <c r="Q751" s="1" t="s">
        <v>330</v>
      </c>
      <c r="T751" s="1" t="s">
        <v>593</v>
      </c>
      <c r="U751" s="1" t="s">
        <v>594</v>
      </c>
      <c r="V751" s="1">
        <v>1</v>
      </c>
      <c r="W751" s="3">
        <v>57788.33</v>
      </c>
      <c r="X751" s="3">
        <v>57788.33</v>
      </c>
      <c r="Y751" s="1" t="str">
        <f>VLOOKUP(A751,[1]Detalle!$D$2:$CR$484,93,FALSE)</f>
        <v>Sin Operación</v>
      </c>
    </row>
    <row r="752" spans="1:25" ht="14.25" customHeight="1" x14ac:dyDescent="0.3">
      <c r="A752" s="1" t="s">
        <v>197</v>
      </c>
      <c r="B752" s="1" t="s">
        <v>591</v>
      </c>
      <c r="C752" s="1" t="s">
        <v>591</v>
      </c>
      <c r="D752" s="1" t="s">
        <v>592</v>
      </c>
      <c r="E752" s="1" t="s">
        <v>337</v>
      </c>
      <c r="F752" s="1">
        <v>166036</v>
      </c>
      <c r="G752" s="1">
        <v>406036</v>
      </c>
      <c r="H752" s="1">
        <v>0.4</v>
      </c>
      <c r="I752" s="1">
        <v>239999.6</v>
      </c>
      <c r="J752" s="1">
        <v>166036.4</v>
      </c>
      <c r="K752" s="1">
        <v>108</v>
      </c>
      <c r="L752" s="1">
        <v>3.1153992395437262</v>
      </c>
      <c r="M752" s="1">
        <v>64799892</v>
      </c>
      <c r="N752" s="7">
        <v>45947</v>
      </c>
      <c r="O752" s="1">
        <v>240000</v>
      </c>
      <c r="P752" s="7">
        <v>46174</v>
      </c>
      <c r="Q752" s="1" t="s">
        <v>330</v>
      </c>
      <c r="T752" s="1" t="s">
        <v>593</v>
      </c>
      <c r="U752" s="1" t="s">
        <v>594</v>
      </c>
      <c r="V752" s="1">
        <v>1</v>
      </c>
      <c r="W752" s="3">
        <v>57788.33</v>
      </c>
      <c r="X752" s="3">
        <v>57788.33</v>
      </c>
      <c r="Y752" s="1" t="str">
        <f>VLOOKUP(A752,[1]Detalle!$D$2:$CR$484,93,FALSE)</f>
        <v>Sin Operación</v>
      </c>
    </row>
    <row r="753" spans="1:25" ht="14.25" customHeight="1" x14ac:dyDescent="0.3">
      <c r="A753" s="1" t="s">
        <v>206</v>
      </c>
      <c r="B753" s="1" t="s">
        <v>591</v>
      </c>
      <c r="C753" s="1" t="s">
        <v>591</v>
      </c>
      <c r="D753" s="1" t="s">
        <v>592</v>
      </c>
      <c r="E753" s="1" t="s">
        <v>337</v>
      </c>
      <c r="F753" s="1">
        <v>220694</v>
      </c>
      <c r="G753" s="1">
        <v>460694</v>
      </c>
      <c r="H753" s="1">
        <v>1856</v>
      </c>
      <c r="I753" s="1">
        <v>238144</v>
      </c>
      <c r="J753" s="1">
        <v>222550</v>
      </c>
      <c r="K753" s="1">
        <v>108</v>
      </c>
      <c r="L753" s="1">
        <v>9.7282442748091569</v>
      </c>
      <c r="M753" s="1">
        <v>13857.517241379321</v>
      </c>
      <c r="N753" s="7">
        <v>45947</v>
      </c>
      <c r="O753" s="1">
        <v>240000</v>
      </c>
      <c r="P753" s="7">
        <v>46174</v>
      </c>
      <c r="Q753" s="1" t="s">
        <v>330</v>
      </c>
      <c r="T753" s="1" t="s">
        <v>593</v>
      </c>
      <c r="U753" s="1" t="s">
        <v>594</v>
      </c>
      <c r="V753" s="1">
        <v>1</v>
      </c>
      <c r="W753" s="3">
        <v>57788.33</v>
      </c>
      <c r="X753" s="3">
        <v>57788.33</v>
      </c>
      <c r="Y753" s="1" t="str">
        <f>VLOOKUP(A753,[1]Detalle!$D$2:$CR$484,93,FALSE)</f>
        <v>Sin Operación</v>
      </c>
    </row>
    <row r="754" spans="1:25" ht="14.25" customHeight="1" x14ac:dyDescent="0.3">
      <c r="A754" s="1" t="s">
        <v>225</v>
      </c>
      <c r="B754" s="1" t="s">
        <v>591</v>
      </c>
      <c r="C754" s="1" t="s">
        <v>591</v>
      </c>
      <c r="D754" s="1" t="s">
        <v>592</v>
      </c>
      <c r="E754" s="1" t="s">
        <v>337</v>
      </c>
      <c r="F754" s="1">
        <v>163523</v>
      </c>
      <c r="G754" s="1">
        <v>403523</v>
      </c>
      <c r="H754" s="1">
        <v>2.1</v>
      </c>
      <c r="I754" s="1">
        <v>239997.9</v>
      </c>
      <c r="J754" s="1">
        <v>163525.1</v>
      </c>
      <c r="K754" s="1">
        <v>108</v>
      </c>
      <c r="L754" s="1">
        <v>5.6607954545454557</v>
      </c>
      <c r="M754" s="1">
        <v>12342749.14285714</v>
      </c>
      <c r="N754" s="7">
        <v>45947</v>
      </c>
      <c r="O754" s="1">
        <v>240000</v>
      </c>
      <c r="P754" s="7">
        <v>46174</v>
      </c>
      <c r="Q754" s="1" t="s">
        <v>330</v>
      </c>
      <c r="T754" s="1" t="s">
        <v>593</v>
      </c>
      <c r="U754" s="1" t="s">
        <v>594</v>
      </c>
      <c r="V754" s="1">
        <v>1</v>
      </c>
      <c r="W754" s="3">
        <v>57788.33</v>
      </c>
      <c r="X754" s="3">
        <v>57788.33</v>
      </c>
      <c r="Y754" s="1" t="str">
        <f>VLOOKUP(A754,[1]Detalle!$D$2:$CR$484,93,FALSE)</f>
        <v>Sin Operación</v>
      </c>
    </row>
    <row r="755" spans="1:25" ht="14.25" customHeight="1" x14ac:dyDescent="0.3">
      <c r="A755" s="1" t="s">
        <v>126</v>
      </c>
      <c r="B755" s="1" t="s">
        <v>591</v>
      </c>
      <c r="C755" s="1" t="s">
        <v>591</v>
      </c>
      <c r="D755" s="1" t="s">
        <v>592</v>
      </c>
      <c r="E755" s="1" t="s">
        <v>337</v>
      </c>
      <c r="F755" s="1">
        <v>605714</v>
      </c>
      <c r="G755" s="1">
        <v>845714</v>
      </c>
      <c r="H755" s="1">
        <v>544.80000000000007</v>
      </c>
      <c r="I755" s="1">
        <v>239455.2</v>
      </c>
      <c r="J755" s="1">
        <v>606258.80000000005</v>
      </c>
      <c r="K755" s="1">
        <v>108</v>
      </c>
      <c r="L755" s="1">
        <v>2.7549668874172188</v>
      </c>
      <c r="M755" s="1">
        <v>47469.092511013208</v>
      </c>
      <c r="N755" s="7">
        <v>45947</v>
      </c>
      <c r="O755" s="1">
        <v>240000</v>
      </c>
      <c r="P755" s="7">
        <v>46174</v>
      </c>
      <c r="Q755" s="1" t="s">
        <v>330</v>
      </c>
      <c r="T755" s="1" t="s">
        <v>593</v>
      </c>
      <c r="U755" s="1" t="s">
        <v>594</v>
      </c>
      <c r="V755" s="1">
        <v>1</v>
      </c>
      <c r="W755" s="3">
        <v>57788.33</v>
      </c>
      <c r="X755" s="3">
        <v>57788.33</v>
      </c>
      <c r="Y755" s="1" t="str">
        <f>VLOOKUP(A755,[1]Detalle!$D$2:$CR$484,93,FALSE)</f>
        <v>Sin Operación</v>
      </c>
    </row>
    <row r="756" spans="1:25" ht="14.25" customHeight="1" x14ac:dyDescent="0.3">
      <c r="A756" s="1" t="s">
        <v>138</v>
      </c>
      <c r="B756" s="1" t="s">
        <v>595</v>
      </c>
      <c r="C756" s="1" t="s">
        <v>595</v>
      </c>
      <c r="D756" s="1" t="s">
        <v>596</v>
      </c>
      <c r="E756" s="1" t="s">
        <v>337</v>
      </c>
      <c r="F756" s="1">
        <v>36774</v>
      </c>
      <c r="G756" s="1">
        <v>136774</v>
      </c>
      <c r="H756" s="1">
        <v>20906.099999999999</v>
      </c>
      <c r="I756" s="1">
        <v>79093.899999999994</v>
      </c>
      <c r="J756" s="1">
        <v>57680.1</v>
      </c>
      <c r="K756" s="1">
        <v>108</v>
      </c>
      <c r="L756" s="1">
        <v>129.25862179487169</v>
      </c>
      <c r="M756" s="1">
        <v>408.59563476688618</v>
      </c>
      <c r="N756" s="7">
        <v>45947</v>
      </c>
      <c r="O756" s="1">
        <v>100000</v>
      </c>
      <c r="P756" s="7">
        <v>46355.595634768521</v>
      </c>
      <c r="Q756" s="1" t="s">
        <v>330</v>
      </c>
      <c r="W756" s="3"/>
      <c r="X756" s="3">
        <v>0</v>
      </c>
      <c r="Y756" s="1" t="str">
        <f>VLOOKUP(A756,[1]Detalle!$D$2:$CR$484,93,FALSE)</f>
        <v>SUC_MEN - Sucursal Mendoza</v>
      </c>
    </row>
    <row r="757" spans="1:25" ht="14.25" customHeight="1" x14ac:dyDescent="0.3">
      <c r="A757" s="1" t="s">
        <v>121</v>
      </c>
      <c r="B757" s="1" t="s">
        <v>595</v>
      </c>
      <c r="C757" s="1" t="s">
        <v>595</v>
      </c>
      <c r="D757" s="1" t="s">
        <v>596</v>
      </c>
      <c r="E757" s="1" t="s">
        <v>337</v>
      </c>
      <c r="F757" s="1">
        <v>288895</v>
      </c>
      <c r="G757" s="1">
        <v>388895</v>
      </c>
      <c r="H757" s="1">
        <v>323.89999999999998</v>
      </c>
      <c r="I757" s="1">
        <v>99676.1</v>
      </c>
      <c r="J757" s="1">
        <v>289218.90000000002</v>
      </c>
      <c r="K757" s="1">
        <v>108</v>
      </c>
      <c r="L757" s="1">
        <v>10.97267741935484</v>
      </c>
      <c r="M757" s="1">
        <v>33235.624575486268</v>
      </c>
      <c r="N757" s="7">
        <v>45947</v>
      </c>
      <c r="O757" s="1">
        <v>100000</v>
      </c>
      <c r="P757" s="7">
        <v>46174</v>
      </c>
      <c r="Q757" s="1" t="s">
        <v>330</v>
      </c>
      <c r="W757" s="3"/>
      <c r="X757" s="3">
        <v>0</v>
      </c>
      <c r="Y757" s="1" t="str">
        <f>VLOOKUP(A757,[1]Detalle!$D$2:$CR$484,93,FALSE)</f>
        <v>CCUCoAZA</v>
      </c>
    </row>
    <row r="758" spans="1:25" ht="14.25" customHeight="1" x14ac:dyDescent="0.3">
      <c r="A758" s="1" t="s">
        <v>153</v>
      </c>
      <c r="B758" s="1" t="s">
        <v>595</v>
      </c>
      <c r="C758" s="1" t="s">
        <v>595</v>
      </c>
      <c r="D758" s="1" t="s">
        <v>596</v>
      </c>
      <c r="E758" s="1" t="s">
        <v>337</v>
      </c>
      <c r="F758" s="1">
        <v>62342.400000000001</v>
      </c>
      <c r="G758" s="1">
        <v>162342.39999999999</v>
      </c>
      <c r="H758" s="1">
        <v>32041</v>
      </c>
      <c r="I758" s="1">
        <v>67959</v>
      </c>
      <c r="J758" s="1">
        <v>94383.4</v>
      </c>
      <c r="K758" s="1">
        <v>108</v>
      </c>
      <c r="L758" s="1">
        <v>215.45547231270371</v>
      </c>
      <c r="M758" s="1">
        <v>229.06813145657131</v>
      </c>
      <c r="N758" s="7">
        <v>45947</v>
      </c>
      <c r="O758" s="1">
        <v>100000</v>
      </c>
      <c r="P758" s="7">
        <v>46176.068131458327</v>
      </c>
      <c r="Q758" s="1" t="s">
        <v>330</v>
      </c>
      <c r="W758" s="3"/>
      <c r="X758" s="3">
        <v>0</v>
      </c>
      <c r="Y758" s="1" t="str">
        <f>VLOOKUP(A758,[1]Detalle!$D$2:$CR$484,93,FALSE)</f>
        <v>SUC_CTC - Sucursal Buenos Aires</v>
      </c>
    </row>
    <row r="759" spans="1:25" ht="14.25" customHeight="1" x14ac:dyDescent="0.3">
      <c r="A759" s="1" t="s">
        <v>79</v>
      </c>
      <c r="B759" s="1" t="s">
        <v>595</v>
      </c>
      <c r="C759" s="1" t="s">
        <v>595</v>
      </c>
      <c r="D759" s="1" t="s">
        <v>596</v>
      </c>
      <c r="E759" s="1" t="s">
        <v>337</v>
      </c>
      <c r="F759" s="1">
        <v>62983.8</v>
      </c>
      <c r="G759" s="1">
        <v>162983.79999999999</v>
      </c>
      <c r="H759" s="1">
        <v>20504.400000000009</v>
      </c>
      <c r="I759" s="1">
        <v>79495.599999999991</v>
      </c>
      <c r="J759" s="1">
        <v>83488.200000000012</v>
      </c>
      <c r="K759" s="1">
        <v>108</v>
      </c>
      <c r="L759" s="1">
        <v>94.269867549668859</v>
      </c>
      <c r="M759" s="1">
        <v>418.71621700708118</v>
      </c>
      <c r="N759" s="7">
        <v>45947</v>
      </c>
      <c r="O759" s="1">
        <v>100000</v>
      </c>
      <c r="P759" s="7">
        <v>46365.716217002308</v>
      </c>
      <c r="Q759" s="1" t="s">
        <v>330</v>
      </c>
      <c r="W759" s="3"/>
      <c r="X759" s="3">
        <v>0</v>
      </c>
      <c r="Y759" s="1" t="str">
        <f>VLOOKUP(A759,[1]Detalle!$D$2:$CR$484,93,FALSE)</f>
        <v>Papelera - Papelera del Plata S.A.</v>
      </c>
    </row>
    <row r="760" spans="1:25" ht="14.25" customHeight="1" x14ac:dyDescent="0.3">
      <c r="A760" s="1" t="s">
        <v>75</v>
      </c>
      <c r="B760" s="1" t="s">
        <v>595</v>
      </c>
      <c r="C760" s="1" t="s">
        <v>595</v>
      </c>
      <c r="D760" s="1" t="s">
        <v>596</v>
      </c>
      <c r="E760" s="1" t="s">
        <v>337</v>
      </c>
      <c r="F760" s="1">
        <v>49220.5</v>
      </c>
      <c r="G760" s="1">
        <v>149220.5</v>
      </c>
      <c r="H760" s="1">
        <v>20551.500000000011</v>
      </c>
      <c r="I760" s="1">
        <v>79448.499999999985</v>
      </c>
      <c r="J760" s="1">
        <v>69772.000000000015</v>
      </c>
      <c r="K760" s="1">
        <v>108</v>
      </c>
      <c r="L760" s="1">
        <v>83.847709677419346</v>
      </c>
      <c r="M760" s="1">
        <v>417.50908692796122</v>
      </c>
      <c r="N760" s="7">
        <v>45947</v>
      </c>
      <c r="O760" s="1">
        <v>100000</v>
      </c>
      <c r="P760" s="7">
        <v>46364.509086932871</v>
      </c>
      <c r="Q760" s="1" t="s">
        <v>330</v>
      </c>
      <c r="W760" s="3"/>
      <c r="X760" s="3">
        <v>0</v>
      </c>
      <c r="Y760" s="1" t="str">
        <f>VLOOKUP(A760,[1]Detalle!$D$2:$CR$484,93,FALSE)</f>
        <v>Papelera - Papelera del Plata S.A.</v>
      </c>
    </row>
    <row r="761" spans="1:25" ht="14.25" customHeight="1" x14ac:dyDescent="0.3">
      <c r="A761" s="1" t="s">
        <v>15</v>
      </c>
      <c r="B761" s="1" t="s">
        <v>595</v>
      </c>
      <c r="C761" s="1" t="s">
        <v>595</v>
      </c>
      <c r="D761" s="1" t="s">
        <v>596</v>
      </c>
      <c r="E761" s="1" t="s">
        <v>337</v>
      </c>
      <c r="F761" s="1">
        <v>686509</v>
      </c>
      <c r="G761" s="1">
        <v>786509</v>
      </c>
      <c r="H761" s="1">
        <v>39429.399999999987</v>
      </c>
      <c r="I761" s="1">
        <v>60570.600000000013</v>
      </c>
      <c r="J761" s="1">
        <v>725938.4</v>
      </c>
      <c r="K761" s="1">
        <v>108</v>
      </c>
      <c r="L761" s="1">
        <v>2357.9716911764699</v>
      </c>
      <c r="M761" s="1">
        <v>165.90728745555359</v>
      </c>
      <c r="N761" s="7">
        <v>45947</v>
      </c>
      <c r="O761" s="1">
        <v>100000</v>
      </c>
      <c r="P761" s="7">
        <v>46112.907287453701</v>
      </c>
      <c r="Q761" s="1" t="s">
        <v>330</v>
      </c>
      <c r="W761" s="3"/>
      <c r="X761" s="3">
        <v>0</v>
      </c>
      <c r="Y761" s="1" t="str">
        <f>VLOOKUP(A761,[1]Detalle!$D$2:$CR$484,93,FALSE)</f>
        <v>CENCOMLD - Cencosud SA - Mendoza</v>
      </c>
    </row>
    <row r="762" spans="1:25" ht="14.25" customHeight="1" x14ac:dyDescent="0.3">
      <c r="A762" s="1" t="s">
        <v>133</v>
      </c>
      <c r="B762" s="1" t="s">
        <v>595</v>
      </c>
      <c r="C762" s="1" t="s">
        <v>595</v>
      </c>
      <c r="D762" s="1" t="s">
        <v>596</v>
      </c>
      <c r="E762" s="1" t="s">
        <v>337</v>
      </c>
      <c r="G762" s="1">
        <v>937815</v>
      </c>
      <c r="H762" s="1">
        <v>100</v>
      </c>
      <c r="I762" s="1">
        <v>99900</v>
      </c>
      <c r="J762" s="1">
        <v>837915</v>
      </c>
      <c r="L762" s="1">
        <v>846.93875000000003</v>
      </c>
      <c r="N762" s="7">
        <v>45947</v>
      </c>
      <c r="O762" s="1">
        <v>100000</v>
      </c>
      <c r="P762" s="7">
        <v>46065.072292708333</v>
      </c>
      <c r="Q762" s="1" t="s">
        <v>330</v>
      </c>
      <c r="W762" s="3"/>
      <c r="X762" s="3">
        <v>0</v>
      </c>
      <c r="Y762" s="1" t="str">
        <f>VLOOKUP(A762,[1]Detalle!$D$2:$CR$484,93,FALSE)</f>
        <v>CENCOMLD - Cencosud SA - Mendoza</v>
      </c>
    </row>
    <row r="763" spans="1:25" ht="14.25" customHeight="1" x14ac:dyDescent="0.3">
      <c r="A763" s="1" t="s">
        <v>51</v>
      </c>
      <c r="B763" s="1" t="s">
        <v>595</v>
      </c>
      <c r="C763" s="1" t="s">
        <v>595</v>
      </c>
      <c r="D763" s="1" t="s">
        <v>596</v>
      </c>
      <c r="E763" s="1" t="s">
        <v>337</v>
      </c>
      <c r="F763" s="1">
        <v>62508.4</v>
      </c>
      <c r="G763" s="1">
        <v>162508.4</v>
      </c>
      <c r="H763" s="1">
        <v>2224.6</v>
      </c>
      <c r="I763" s="1">
        <v>97775.4</v>
      </c>
      <c r="J763" s="1">
        <v>64733</v>
      </c>
      <c r="K763" s="1">
        <v>108</v>
      </c>
      <c r="L763" s="1">
        <v>21.44832713754645</v>
      </c>
      <c r="M763" s="1">
        <v>4746.8053582666544</v>
      </c>
      <c r="N763" s="7">
        <v>45947</v>
      </c>
      <c r="O763" s="1">
        <v>100000</v>
      </c>
      <c r="P763" s="7">
        <v>46174</v>
      </c>
      <c r="Q763" s="1" t="s">
        <v>330</v>
      </c>
      <c r="W763" s="3"/>
      <c r="X763" s="3">
        <v>0</v>
      </c>
      <c r="Y763" s="1" t="str">
        <f>VLOOKUP(A763,[1]Detalle!$D$2:$CR$484,93,FALSE)</f>
        <v>CMQ_TTE - QUILMES TTE</v>
      </c>
    </row>
    <row r="764" spans="1:25" ht="14.25" customHeight="1" x14ac:dyDescent="0.3">
      <c r="A764" s="1" t="s">
        <v>54</v>
      </c>
      <c r="B764" s="1" t="s">
        <v>595</v>
      </c>
      <c r="C764" s="1" t="s">
        <v>595</v>
      </c>
      <c r="D764" s="1" t="s">
        <v>596</v>
      </c>
      <c r="E764" s="1" t="s">
        <v>337</v>
      </c>
      <c r="F764" s="1">
        <v>46127.5</v>
      </c>
      <c r="G764" s="1">
        <v>146127.5</v>
      </c>
      <c r="H764" s="1">
        <v>2810.9</v>
      </c>
      <c r="I764" s="1">
        <v>97189.1</v>
      </c>
      <c r="J764" s="1">
        <v>48938.400000000001</v>
      </c>
      <c r="K764" s="1">
        <v>108</v>
      </c>
      <c r="L764" s="1">
        <v>37.059548872180457</v>
      </c>
      <c r="M764" s="1">
        <v>3734.185776797467</v>
      </c>
      <c r="N764" s="7">
        <v>45947</v>
      </c>
      <c r="O764" s="1">
        <v>100000</v>
      </c>
      <c r="P764" s="7">
        <v>46174</v>
      </c>
      <c r="Q764" s="1" t="s">
        <v>330</v>
      </c>
      <c r="W764" s="3"/>
      <c r="X764" s="3">
        <v>0</v>
      </c>
      <c r="Y764" s="1" t="str">
        <f>VLOOKUP(A764,[1]Detalle!$D$2:$CR$484,93,FALSE)</f>
        <v>CMQ_TTE - QUILMES TTE</v>
      </c>
    </row>
    <row r="765" spans="1:25" ht="14.25" customHeight="1" x14ac:dyDescent="0.3">
      <c r="A765" s="1" t="s">
        <v>67</v>
      </c>
      <c r="B765" s="1" t="s">
        <v>595</v>
      </c>
      <c r="C765" s="1" t="s">
        <v>595</v>
      </c>
      <c r="D765" s="1" t="s">
        <v>596</v>
      </c>
      <c r="E765" s="1" t="s">
        <v>337</v>
      </c>
      <c r="F765" s="1">
        <v>52756</v>
      </c>
      <c r="G765" s="1">
        <v>152756</v>
      </c>
      <c r="H765" s="1">
        <v>3546.400000000001</v>
      </c>
      <c r="I765" s="1">
        <v>96453.6</v>
      </c>
      <c r="J765" s="1">
        <v>56302.400000000001</v>
      </c>
      <c r="K765" s="1">
        <v>108</v>
      </c>
      <c r="L765" s="1">
        <v>24.52509293680297</v>
      </c>
      <c r="M765" s="1">
        <v>2937.341755019173</v>
      </c>
      <c r="N765" s="7">
        <v>45947</v>
      </c>
      <c r="O765" s="1">
        <v>100000</v>
      </c>
      <c r="P765" s="7">
        <v>46174</v>
      </c>
      <c r="Q765" s="1" t="s">
        <v>330</v>
      </c>
      <c r="W765" s="3"/>
      <c r="X765" s="3">
        <v>0</v>
      </c>
      <c r="Y765" s="1" t="str">
        <f>VLOOKUP(A765,[1]Detalle!$D$2:$CR$484,93,FALSE)</f>
        <v>CMQ_TTE - QUILMES TTE</v>
      </c>
    </row>
    <row r="766" spans="1:25" ht="14.25" customHeight="1" x14ac:dyDescent="0.3">
      <c r="A766" s="1" t="s">
        <v>192</v>
      </c>
      <c r="B766" s="1" t="s">
        <v>595</v>
      </c>
      <c r="C766" s="1" t="s">
        <v>595</v>
      </c>
      <c r="D766" s="1" t="s">
        <v>596</v>
      </c>
      <c r="E766" s="1" t="s">
        <v>337</v>
      </c>
      <c r="F766" s="1">
        <v>135569</v>
      </c>
      <c r="G766" s="1">
        <v>235569</v>
      </c>
      <c r="H766" s="1">
        <v>0.4</v>
      </c>
      <c r="I766" s="1">
        <v>99999.6</v>
      </c>
      <c r="J766" s="1">
        <v>135569.4</v>
      </c>
      <c r="K766" s="1">
        <v>108</v>
      </c>
      <c r="L766" s="1">
        <v>9.0852830188679246</v>
      </c>
      <c r="M766" s="1">
        <v>26999892</v>
      </c>
      <c r="N766" s="7">
        <v>45947</v>
      </c>
      <c r="O766" s="1">
        <v>100000</v>
      </c>
      <c r="P766" s="7">
        <v>46174</v>
      </c>
      <c r="Q766" s="1" t="s">
        <v>330</v>
      </c>
      <c r="W766" s="3"/>
      <c r="X766" s="3">
        <v>0</v>
      </c>
      <c r="Y766" s="1" t="str">
        <f>VLOOKUP(A766,[1]Detalle!$D$2:$CR$484,93,FALSE)</f>
        <v>Sin Operación</v>
      </c>
    </row>
    <row r="767" spans="1:25" ht="14.25" customHeight="1" x14ac:dyDescent="0.3">
      <c r="A767" s="1" t="s">
        <v>197</v>
      </c>
      <c r="B767" s="1" t="s">
        <v>595</v>
      </c>
      <c r="C767" s="1" t="s">
        <v>595</v>
      </c>
      <c r="D767" s="1" t="s">
        <v>596</v>
      </c>
      <c r="E767" s="1" t="s">
        <v>337</v>
      </c>
      <c r="F767" s="1">
        <v>166036</v>
      </c>
      <c r="G767" s="1">
        <v>266036</v>
      </c>
      <c r="H767" s="1">
        <v>0.4</v>
      </c>
      <c r="I767" s="1">
        <v>99999.6</v>
      </c>
      <c r="J767" s="1">
        <v>166036.4</v>
      </c>
      <c r="K767" s="1">
        <v>108</v>
      </c>
      <c r="L767" s="1">
        <v>3.1153992395437262</v>
      </c>
      <c r="M767" s="1">
        <v>26999892</v>
      </c>
      <c r="N767" s="7">
        <v>45947</v>
      </c>
      <c r="O767" s="1">
        <v>100000</v>
      </c>
      <c r="P767" s="7">
        <v>46174</v>
      </c>
      <c r="Q767" s="1" t="s">
        <v>330</v>
      </c>
      <c r="W767" s="3"/>
      <c r="X767" s="3">
        <v>0</v>
      </c>
      <c r="Y767" s="1" t="str">
        <f>VLOOKUP(A767,[1]Detalle!$D$2:$CR$484,93,FALSE)</f>
        <v>Sin Operación</v>
      </c>
    </row>
    <row r="768" spans="1:25" ht="14.25" customHeight="1" x14ac:dyDescent="0.3">
      <c r="A768" s="1" t="s">
        <v>206</v>
      </c>
      <c r="B768" s="1" t="s">
        <v>595</v>
      </c>
      <c r="C768" s="1" t="s">
        <v>595</v>
      </c>
      <c r="D768" s="1" t="s">
        <v>596</v>
      </c>
      <c r="E768" s="1" t="s">
        <v>337</v>
      </c>
      <c r="F768" s="1">
        <v>220694</v>
      </c>
      <c r="G768" s="1">
        <v>320694</v>
      </c>
      <c r="H768" s="1">
        <v>1856</v>
      </c>
      <c r="I768" s="1">
        <v>98144</v>
      </c>
      <c r="J768" s="1">
        <v>222550</v>
      </c>
      <c r="K768" s="1">
        <v>108</v>
      </c>
      <c r="L768" s="1">
        <v>9.7282442748091569</v>
      </c>
      <c r="M768" s="1">
        <v>5710.9655172413813</v>
      </c>
      <c r="N768" s="7">
        <v>45947</v>
      </c>
      <c r="O768" s="1">
        <v>100000</v>
      </c>
      <c r="P768" s="7">
        <v>46174</v>
      </c>
      <c r="Q768" s="1" t="s">
        <v>330</v>
      </c>
      <c r="W768" s="3"/>
      <c r="X768" s="3">
        <v>0</v>
      </c>
      <c r="Y768" s="1" t="str">
        <f>VLOOKUP(A768,[1]Detalle!$D$2:$CR$484,93,FALSE)</f>
        <v>Sin Operación</v>
      </c>
    </row>
    <row r="769" spans="1:25" ht="14.25" customHeight="1" x14ac:dyDescent="0.3">
      <c r="A769" s="1" t="s">
        <v>236</v>
      </c>
      <c r="B769" s="1" t="s">
        <v>595</v>
      </c>
      <c r="C769" s="1" t="s">
        <v>595</v>
      </c>
      <c r="D769" s="1" t="s">
        <v>596</v>
      </c>
      <c r="E769" s="1" t="s">
        <v>337</v>
      </c>
      <c r="F769" s="1">
        <v>1016980</v>
      </c>
      <c r="G769" s="1">
        <v>1116980</v>
      </c>
      <c r="H769" s="1">
        <v>34026.300000000003</v>
      </c>
      <c r="I769" s="1">
        <v>65973.7</v>
      </c>
      <c r="J769" s="1">
        <v>1051006.3</v>
      </c>
      <c r="K769" s="1">
        <v>108</v>
      </c>
      <c r="L769" s="1">
        <v>455.32846441947561</v>
      </c>
      <c r="M769" s="1">
        <v>209.40153939746611</v>
      </c>
      <c r="N769" s="7">
        <v>45947</v>
      </c>
      <c r="O769" s="1">
        <v>100000</v>
      </c>
      <c r="P769" s="7">
        <v>46156.401539398154</v>
      </c>
      <c r="Q769" s="1" t="s">
        <v>330</v>
      </c>
      <c r="W769" s="3"/>
      <c r="X769" s="3">
        <v>0</v>
      </c>
      <c r="Y769" s="1" t="str">
        <f>VLOOKUP(A769,[1]Detalle!$D$2:$CR$484,93,FALSE)</f>
        <v>CENCOMLD - Cencosud SA - Mendoza</v>
      </c>
    </row>
    <row r="770" spans="1:25" ht="14.25" customHeight="1" x14ac:dyDescent="0.3">
      <c r="A770" s="1" t="s">
        <v>235</v>
      </c>
      <c r="B770" s="1" t="s">
        <v>595</v>
      </c>
      <c r="C770" s="1" t="s">
        <v>595</v>
      </c>
      <c r="D770" s="1" t="s">
        <v>596</v>
      </c>
      <c r="E770" s="1" t="s">
        <v>337</v>
      </c>
      <c r="F770" s="1">
        <v>1000081</v>
      </c>
      <c r="G770" s="1">
        <v>1100081</v>
      </c>
      <c r="H770" s="1">
        <v>32109.700000000012</v>
      </c>
      <c r="I770" s="1">
        <v>67890.299999999988</v>
      </c>
      <c r="J770" s="1">
        <v>1032190.7</v>
      </c>
      <c r="K770" s="1">
        <v>108</v>
      </c>
      <c r="L770" s="1">
        <v>263.69237037037038</v>
      </c>
      <c r="M770" s="1">
        <v>228.34696057577611</v>
      </c>
      <c r="N770" s="7">
        <v>45947</v>
      </c>
      <c r="O770" s="1">
        <v>100000</v>
      </c>
      <c r="P770" s="7">
        <v>46175.346960578703</v>
      </c>
      <c r="Q770" s="1" t="s">
        <v>330</v>
      </c>
      <c r="W770" s="3"/>
      <c r="X770" s="3">
        <v>0</v>
      </c>
      <c r="Y770" s="1" t="str">
        <f>VLOOKUP(A770,[1]Detalle!$D$2:$CR$484,93,FALSE)</f>
        <v>CENCOMLD - Cencosud SA - Mendoza</v>
      </c>
    </row>
    <row r="771" spans="1:25" ht="14.25" customHeight="1" x14ac:dyDescent="0.3">
      <c r="A771" s="1" t="s">
        <v>237</v>
      </c>
      <c r="B771" s="1" t="s">
        <v>595</v>
      </c>
      <c r="C771" s="1" t="s">
        <v>595</v>
      </c>
      <c r="D771" s="1" t="s">
        <v>596</v>
      </c>
      <c r="E771" s="1" t="s">
        <v>337</v>
      </c>
      <c r="F771" s="1">
        <v>806260</v>
      </c>
      <c r="G771" s="1">
        <v>906260</v>
      </c>
      <c r="H771" s="1">
        <v>21786.3</v>
      </c>
      <c r="I771" s="1">
        <v>78213.7</v>
      </c>
      <c r="J771" s="1">
        <v>828046.3</v>
      </c>
      <c r="K771" s="1">
        <v>108</v>
      </c>
      <c r="L771" s="1">
        <v>518.64529411764704</v>
      </c>
      <c r="M771" s="1">
        <v>387.72437724625109</v>
      </c>
      <c r="N771" s="7">
        <v>45947</v>
      </c>
      <c r="O771" s="1">
        <v>100000</v>
      </c>
      <c r="P771" s="7">
        <v>46334.724377245373</v>
      </c>
      <c r="Q771" s="1" t="s">
        <v>330</v>
      </c>
      <c r="W771" s="3"/>
      <c r="X771" s="3">
        <v>0</v>
      </c>
      <c r="Y771" s="1" t="str">
        <f>VLOOKUP(A771,[1]Detalle!$D$2:$CR$484,93,FALSE)</f>
        <v>CENCOMLD - Cencosud SA - Mendoza</v>
      </c>
    </row>
    <row r="772" spans="1:25" ht="14.25" customHeight="1" x14ac:dyDescent="0.3">
      <c r="A772" s="1" t="s">
        <v>225</v>
      </c>
      <c r="B772" s="1" t="s">
        <v>595</v>
      </c>
      <c r="C772" s="1" t="s">
        <v>595</v>
      </c>
      <c r="D772" s="1" t="s">
        <v>596</v>
      </c>
      <c r="E772" s="1" t="s">
        <v>337</v>
      </c>
      <c r="F772" s="1">
        <v>163523</v>
      </c>
      <c r="G772" s="1">
        <v>263523</v>
      </c>
      <c r="H772" s="1">
        <v>2.1</v>
      </c>
      <c r="I772" s="1">
        <v>99997.9</v>
      </c>
      <c r="J772" s="1">
        <v>163525.1</v>
      </c>
      <c r="K772" s="1">
        <v>108</v>
      </c>
      <c r="L772" s="1">
        <v>5.6607954545454557</v>
      </c>
      <c r="M772" s="1">
        <v>5142749.1428571427</v>
      </c>
      <c r="N772" s="7">
        <v>45947</v>
      </c>
      <c r="O772" s="1">
        <v>100000</v>
      </c>
      <c r="P772" s="7">
        <v>46174</v>
      </c>
      <c r="Q772" s="1" t="s">
        <v>330</v>
      </c>
      <c r="W772" s="3"/>
      <c r="X772" s="3">
        <v>0</v>
      </c>
      <c r="Y772" s="1" t="str">
        <f>VLOOKUP(A772,[1]Detalle!$D$2:$CR$484,93,FALSE)</f>
        <v>Sin Operación</v>
      </c>
    </row>
    <row r="773" spans="1:25" ht="14.25" customHeight="1" x14ac:dyDescent="0.3">
      <c r="A773" s="1" t="s">
        <v>138</v>
      </c>
      <c r="B773" s="1" t="s">
        <v>597</v>
      </c>
      <c r="C773" s="1" t="s">
        <v>597</v>
      </c>
      <c r="D773" s="1" t="s">
        <v>598</v>
      </c>
      <c r="E773" s="1" t="s">
        <v>337</v>
      </c>
      <c r="F773" s="1">
        <v>36774</v>
      </c>
      <c r="G773" s="1">
        <v>136774</v>
      </c>
      <c r="H773" s="1">
        <v>20906.099999999999</v>
      </c>
      <c r="I773" s="1">
        <v>79093.899999999994</v>
      </c>
      <c r="J773" s="1">
        <v>57680.1</v>
      </c>
      <c r="K773" s="1">
        <v>108</v>
      </c>
      <c r="L773" s="1">
        <v>129.25862179487169</v>
      </c>
      <c r="M773" s="1">
        <v>408.59563476688618</v>
      </c>
      <c r="N773" s="7">
        <v>45947</v>
      </c>
      <c r="O773" s="1">
        <v>100000</v>
      </c>
      <c r="P773" s="7">
        <v>46355.595634768521</v>
      </c>
      <c r="Q773" s="1" t="s">
        <v>330</v>
      </c>
      <c r="W773" s="3"/>
      <c r="X773" s="3">
        <v>0</v>
      </c>
      <c r="Y773" s="1" t="str">
        <f>VLOOKUP(A773,[1]Detalle!$D$2:$CR$484,93,FALSE)</f>
        <v>SUC_MEN - Sucursal Mendoza</v>
      </c>
    </row>
    <row r="774" spans="1:25" ht="14.25" customHeight="1" x14ac:dyDescent="0.3">
      <c r="A774" s="1" t="s">
        <v>121</v>
      </c>
      <c r="B774" s="1" t="s">
        <v>597</v>
      </c>
      <c r="C774" s="1" t="s">
        <v>597</v>
      </c>
      <c r="D774" s="1" t="s">
        <v>598</v>
      </c>
      <c r="E774" s="1" t="s">
        <v>337</v>
      </c>
      <c r="F774" s="1">
        <v>288895</v>
      </c>
      <c r="G774" s="1">
        <v>388895</v>
      </c>
      <c r="H774" s="1">
        <v>323.89999999999998</v>
      </c>
      <c r="I774" s="1">
        <v>99676.1</v>
      </c>
      <c r="J774" s="1">
        <v>289218.90000000002</v>
      </c>
      <c r="K774" s="1">
        <v>108</v>
      </c>
      <c r="L774" s="1">
        <v>10.97267741935484</v>
      </c>
      <c r="M774" s="1">
        <v>33235.624575486268</v>
      </c>
      <c r="N774" s="7">
        <v>45947</v>
      </c>
      <c r="O774" s="1">
        <v>100000</v>
      </c>
      <c r="P774" s="7">
        <v>46174</v>
      </c>
      <c r="Q774" s="1" t="s">
        <v>330</v>
      </c>
      <c r="W774" s="3"/>
      <c r="X774" s="3">
        <v>0</v>
      </c>
      <c r="Y774" s="1" t="str">
        <f>VLOOKUP(A774,[1]Detalle!$D$2:$CR$484,93,FALSE)</f>
        <v>CCUCoAZA</v>
      </c>
    </row>
    <row r="775" spans="1:25" ht="14.25" customHeight="1" x14ac:dyDescent="0.3">
      <c r="A775" s="1" t="s">
        <v>153</v>
      </c>
      <c r="B775" s="1" t="s">
        <v>597</v>
      </c>
      <c r="C775" s="1" t="s">
        <v>597</v>
      </c>
      <c r="D775" s="1" t="s">
        <v>598</v>
      </c>
      <c r="E775" s="1" t="s">
        <v>337</v>
      </c>
      <c r="F775" s="1">
        <v>62342.400000000001</v>
      </c>
      <c r="G775" s="1">
        <v>162342.39999999999</v>
      </c>
      <c r="H775" s="1">
        <v>32041</v>
      </c>
      <c r="I775" s="1">
        <v>67959</v>
      </c>
      <c r="J775" s="1">
        <v>94383.4</v>
      </c>
      <c r="K775" s="1">
        <v>108</v>
      </c>
      <c r="L775" s="1">
        <v>215.45547231270371</v>
      </c>
      <c r="M775" s="1">
        <v>229.06813145657131</v>
      </c>
      <c r="N775" s="7">
        <v>45947</v>
      </c>
      <c r="O775" s="1">
        <v>100000</v>
      </c>
      <c r="P775" s="7">
        <v>46176.068131458327</v>
      </c>
      <c r="Q775" s="1" t="s">
        <v>330</v>
      </c>
      <c r="W775" s="3"/>
      <c r="X775" s="3">
        <v>0</v>
      </c>
      <c r="Y775" s="1" t="str">
        <f>VLOOKUP(A775,[1]Detalle!$D$2:$CR$484,93,FALSE)</f>
        <v>SUC_CTC - Sucursal Buenos Aires</v>
      </c>
    </row>
    <row r="776" spans="1:25" ht="14.25" customHeight="1" x14ac:dyDescent="0.3">
      <c r="A776" s="1" t="s">
        <v>79</v>
      </c>
      <c r="B776" s="1" t="s">
        <v>597</v>
      </c>
      <c r="C776" s="1" t="s">
        <v>597</v>
      </c>
      <c r="D776" s="1" t="s">
        <v>598</v>
      </c>
      <c r="E776" s="1" t="s">
        <v>337</v>
      </c>
      <c r="F776" s="1">
        <v>62983.8</v>
      </c>
      <c r="G776" s="1">
        <v>162983.79999999999</v>
      </c>
      <c r="H776" s="1">
        <v>20504.400000000009</v>
      </c>
      <c r="I776" s="1">
        <v>79495.599999999991</v>
      </c>
      <c r="J776" s="1">
        <v>83488.200000000012</v>
      </c>
      <c r="K776" s="1">
        <v>108</v>
      </c>
      <c r="L776" s="1">
        <v>94.269867549668859</v>
      </c>
      <c r="M776" s="1">
        <v>418.71621700708118</v>
      </c>
      <c r="N776" s="7">
        <v>45947</v>
      </c>
      <c r="O776" s="1">
        <v>100000</v>
      </c>
      <c r="P776" s="7">
        <v>46365.716217002308</v>
      </c>
      <c r="Q776" s="1" t="s">
        <v>330</v>
      </c>
      <c r="W776" s="3"/>
      <c r="X776" s="3">
        <v>0</v>
      </c>
      <c r="Y776" s="1" t="str">
        <f>VLOOKUP(A776,[1]Detalle!$D$2:$CR$484,93,FALSE)</f>
        <v>Papelera - Papelera del Plata S.A.</v>
      </c>
    </row>
    <row r="777" spans="1:25" ht="14.25" customHeight="1" x14ac:dyDescent="0.3">
      <c r="A777" s="1" t="s">
        <v>75</v>
      </c>
      <c r="B777" s="1" t="s">
        <v>597</v>
      </c>
      <c r="C777" s="1" t="s">
        <v>597</v>
      </c>
      <c r="D777" s="1" t="s">
        <v>598</v>
      </c>
      <c r="E777" s="1" t="s">
        <v>337</v>
      </c>
      <c r="F777" s="1">
        <v>49220.5</v>
      </c>
      <c r="G777" s="1">
        <v>149220.5</v>
      </c>
      <c r="H777" s="1">
        <v>20551.500000000011</v>
      </c>
      <c r="I777" s="1">
        <v>79448.499999999985</v>
      </c>
      <c r="J777" s="1">
        <v>69772.000000000015</v>
      </c>
      <c r="K777" s="1">
        <v>108</v>
      </c>
      <c r="L777" s="1">
        <v>83.847709677419346</v>
      </c>
      <c r="M777" s="1">
        <v>417.50908692796122</v>
      </c>
      <c r="N777" s="7">
        <v>45947</v>
      </c>
      <c r="O777" s="1">
        <v>100000</v>
      </c>
      <c r="P777" s="7">
        <v>46364.509086932871</v>
      </c>
      <c r="Q777" s="1" t="s">
        <v>330</v>
      </c>
      <c r="W777" s="3"/>
      <c r="X777" s="3">
        <v>0</v>
      </c>
      <c r="Y777" s="1" t="str">
        <f>VLOOKUP(A777,[1]Detalle!$D$2:$CR$484,93,FALSE)</f>
        <v>Papelera - Papelera del Plata S.A.</v>
      </c>
    </row>
    <row r="778" spans="1:25" ht="14.25" customHeight="1" x14ac:dyDescent="0.3">
      <c r="A778" s="1" t="s">
        <v>15</v>
      </c>
      <c r="B778" s="1" t="s">
        <v>597</v>
      </c>
      <c r="C778" s="1" t="s">
        <v>597</v>
      </c>
      <c r="D778" s="1" t="s">
        <v>598</v>
      </c>
      <c r="E778" s="1" t="s">
        <v>337</v>
      </c>
      <c r="F778" s="1">
        <v>686509</v>
      </c>
      <c r="G778" s="1">
        <v>786509</v>
      </c>
      <c r="H778" s="1">
        <v>39429.399999999987</v>
      </c>
      <c r="I778" s="1">
        <v>60570.600000000013</v>
      </c>
      <c r="J778" s="1">
        <v>725938.4</v>
      </c>
      <c r="K778" s="1">
        <v>108</v>
      </c>
      <c r="L778" s="1">
        <v>2357.9716911764699</v>
      </c>
      <c r="M778" s="1">
        <v>165.90728745555359</v>
      </c>
      <c r="N778" s="7">
        <v>45947</v>
      </c>
      <c r="O778" s="1">
        <v>100000</v>
      </c>
      <c r="P778" s="7">
        <v>46112.907287453701</v>
      </c>
      <c r="Q778" s="1" t="s">
        <v>330</v>
      </c>
      <c r="W778" s="3"/>
      <c r="X778" s="3">
        <v>0</v>
      </c>
      <c r="Y778" s="1" t="str">
        <f>VLOOKUP(A778,[1]Detalle!$D$2:$CR$484,93,FALSE)</f>
        <v>CENCOMLD - Cencosud SA - Mendoza</v>
      </c>
    </row>
    <row r="779" spans="1:25" ht="14.25" customHeight="1" x14ac:dyDescent="0.3">
      <c r="A779" s="1" t="s">
        <v>133</v>
      </c>
      <c r="B779" s="1" t="s">
        <v>597</v>
      </c>
      <c r="C779" s="1" t="s">
        <v>597</v>
      </c>
      <c r="D779" s="1" t="s">
        <v>598</v>
      </c>
      <c r="E779" s="1" t="s">
        <v>337</v>
      </c>
      <c r="G779" s="1">
        <v>937815</v>
      </c>
      <c r="H779" s="1">
        <v>100</v>
      </c>
      <c r="I779" s="1">
        <v>99900</v>
      </c>
      <c r="J779" s="1">
        <v>837915</v>
      </c>
      <c r="L779" s="1">
        <v>846.93875000000003</v>
      </c>
      <c r="N779" s="7">
        <v>45947</v>
      </c>
      <c r="O779" s="1">
        <v>100000</v>
      </c>
      <c r="P779" s="7">
        <v>46065.072292708333</v>
      </c>
      <c r="Q779" s="1" t="s">
        <v>330</v>
      </c>
      <c r="W779" s="3"/>
      <c r="X779" s="3">
        <v>0</v>
      </c>
      <c r="Y779" s="1" t="str">
        <f>VLOOKUP(A779,[1]Detalle!$D$2:$CR$484,93,FALSE)</f>
        <v>CENCOMLD - Cencosud SA - Mendoza</v>
      </c>
    </row>
    <row r="780" spans="1:25" ht="14.25" customHeight="1" x14ac:dyDescent="0.3">
      <c r="A780" s="1" t="s">
        <v>51</v>
      </c>
      <c r="B780" s="1" t="s">
        <v>597</v>
      </c>
      <c r="C780" s="1" t="s">
        <v>597</v>
      </c>
      <c r="D780" s="1" t="s">
        <v>598</v>
      </c>
      <c r="E780" s="1" t="s">
        <v>337</v>
      </c>
      <c r="F780" s="1">
        <v>62508.4</v>
      </c>
      <c r="G780" s="1">
        <v>162508.4</v>
      </c>
      <c r="H780" s="1">
        <v>2224.6</v>
      </c>
      <c r="I780" s="1">
        <v>97775.4</v>
      </c>
      <c r="J780" s="1">
        <v>64733</v>
      </c>
      <c r="K780" s="1">
        <v>108</v>
      </c>
      <c r="L780" s="1">
        <v>21.44832713754645</v>
      </c>
      <c r="M780" s="1">
        <v>4746.8053582666544</v>
      </c>
      <c r="N780" s="7">
        <v>45947</v>
      </c>
      <c r="O780" s="1">
        <v>100000</v>
      </c>
      <c r="P780" s="7">
        <v>46174</v>
      </c>
      <c r="Q780" s="1" t="s">
        <v>330</v>
      </c>
      <c r="W780" s="3"/>
      <c r="X780" s="3">
        <v>0</v>
      </c>
      <c r="Y780" s="1" t="str">
        <f>VLOOKUP(A780,[1]Detalle!$D$2:$CR$484,93,FALSE)</f>
        <v>CMQ_TTE - QUILMES TTE</v>
      </c>
    </row>
    <row r="781" spans="1:25" ht="14.25" customHeight="1" x14ac:dyDescent="0.3">
      <c r="A781" s="1" t="s">
        <v>54</v>
      </c>
      <c r="B781" s="1" t="s">
        <v>597</v>
      </c>
      <c r="C781" s="1" t="s">
        <v>597</v>
      </c>
      <c r="D781" s="1" t="s">
        <v>598</v>
      </c>
      <c r="E781" s="1" t="s">
        <v>337</v>
      </c>
      <c r="F781" s="1">
        <v>46127.5</v>
      </c>
      <c r="G781" s="1">
        <v>146127.5</v>
      </c>
      <c r="H781" s="1">
        <v>2810.9</v>
      </c>
      <c r="I781" s="1">
        <v>97189.1</v>
      </c>
      <c r="J781" s="1">
        <v>48938.400000000001</v>
      </c>
      <c r="K781" s="1">
        <v>108</v>
      </c>
      <c r="L781" s="1">
        <v>37.059548872180457</v>
      </c>
      <c r="M781" s="1">
        <v>3734.185776797467</v>
      </c>
      <c r="N781" s="7">
        <v>45947</v>
      </c>
      <c r="O781" s="1">
        <v>100000</v>
      </c>
      <c r="P781" s="7">
        <v>46174</v>
      </c>
      <c r="Q781" s="1" t="s">
        <v>330</v>
      </c>
      <c r="W781" s="3"/>
      <c r="X781" s="3">
        <v>0</v>
      </c>
      <c r="Y781" s="1" t="str">
        <f>VLOOKUP(A781,[1]Detalle!$D$2:$CR$484,93,FALSE)</f>
        <v>CMQ_TTE - QUILMES TTE</v>
      </c>
    </row>
    <row r="782" spans="1:25" ht="14.25" customHeight="1" x14ac:dyDescent="0.3">
      <c r="A782" s="1" t="s">
        <v>67</v>
      </c>
      <c r="B782" s="1" t="s">
        <v>597</v>
      </c>
      <c r="C782" s="1" t="s">
        <v>597</v>
      </c>
      <c r="D782" s="1" t="s">
        <v>598</v>
      </c>
      <c r="E782" s="1" t="s">
        <v>337</v>
      </c>
      <c r="F782" s="1">
        <v>52756</v>
      </c>
      <c r="G782" s="1">
        <v>152756</v>
      </c>
      <c r="H782" s="1">
        <v>3546.400000000001</v>
      </c>
      <c r="I782" s="1">
        <v>96453.6</v>
      </c>
      <c r="J782" s="1">
        <v>56302.400000000001</v>
      </c>
      <c r="K782" s="1">
        <v>108</v>
      </c>
      <c r="L782" s="1">
        <v>24.52509293680297</v>
      </c>
      <c r="M782" s="1">
        <v>2937.341755019173</v>
      </c>
      <c r="N782" s="7">
        <v>45947</v>
      </c>
      <c r="O782" s="1">
        <v>100000</v>
      </c>
      <c r="P782" s="7">
        <v>46174</v>
      </c>
      <c r="Q782" s="1" t="s">
        <v>330</v>
      </c>
      <c r="W782" s="3"/>
      <c r="X782" s="3">
        <v>0</v>
      </c>
      <c r="Y782" s="1" t="str">
        <f>VLOOKUP(A782,[1]Detalle!$D$2:$CR$484,93,FALSE)</f>
        <v>CMQ_TTE - QUILMES TTE</v>
      </c>
    </row>
    <row r="783" spans="1:25" ht="14.25" customHeight="1" x14ac:dyDescent="0.3">
      <c r="A783" s="1" t="s">
        <v>192</v>
      </c>
      <c r="B783" s="1" t="s">
        <v>597</v>
      </c>
      <c r="C783" s="1" t="s">
        <v>597</v>
      </c>
      <c r="D783" s="1" t="s">
        <v>598</v>
      </c>
      <c r="E783" s="1" t="s">
        <v>337</v>
      </c>
      <c r="F783" s="1">
        <v>135569</v>
      </c>
      <c r="G783" s="1">
        <v>235569</v>
      </c>
      <c r="H783" s="1">
        <v>0.4</v>
      </c>
      <c r="I783" s="1">
        <v>99999.6</v>
      </c>
      <c r="J783" s="1">
        <v>135569.4</v>
      </c>
      <c r="K783" s="1">
        <v>108</v>
      </c>
      <c r="L783" s="1">
        <v>9.0852830188679246</v>
      </c>
      <c r="M783" s="1">
        <v>26999892</v>
      </c>
      <c r="N783" s="7">
        <v>45947</v>
      </c>
      <c r="O783" s="1">
        <v>100000</v>
      </c>
      <c r="P783" s="7">
        <v>46174</v>
      </c>
      <c r="Q783" s="1" t="s">
        <v>330</v>
      </c>
      <c r="W783" s="3"/>
      <c r="X783" s="3">
        <v>0</v>
      </c>
      <c r="Y783" s="1" t="str">
        <f>VLOOKUP(A783,[1]Detalle!$D$2:$CR$484,93,FALSE)</f>
        <v>Sin Operación</v>
      </c>
    </row>
    <row r="784" spans="1:25" ht="14.25" customHeight="1" x14ac:dyDescent="0.3">
      <c r="A784" s="1" t="s">
        <v>197</v>
      </c>
      <c r="B784" s="1" t="s">
        <v>597</v>
      </c>
      <c r="C784" s="1" t="s">
        <v>597</v>
      </c>
      <c r="D784" s="1" t="s">
        <v>598</v>
      </c>
      <c r="E784" s="6">
        <v>45742</v>
      </c>
      <c r="F784" s="1">
        <v>165564</v>
      </c>
      <c r="G784" s="1">
        <v>265564</v>
      </c>
      <c r="H784" s="1">
        <v>454.69999999999987</v>
      </c>
      <c r="I784" s="1">
        <v>99545.3</v>
      </c>
      <c r="J784" s="1">
        <v>166018.70000000001</v>
      </c>
      <c r="K784" s="1">
        <v>205</v>
      </c>
      <c r="L784" s="1">
        <v>3.1153992395437262</v>
      </c>
      <c r="M784" s="1">
        <v>44879.671211788002</v>
      </c>
      <c r="N784" s="7">
        <v>45947</v>
      </c>
      <c r="O784" s="1">
        <v>100000</v>
      </c>
      <c r="P784" s="7">
        <v>46174</v>
      </c>
      <c r="Q784" s="1" t="s">
        <v>330</v>
      </c>
      <c r="W784" s="3"/>
      <c r="X784" s="3">
        <v>0</v>
      </c>
      <c r="Y784" s="1" t="str">
        <f>VLOOKUP(A784,[1]Detalle!$D$2:$CR$484,93,FALSE)</f>
        <v>Sin Operación</v>
      </c>
    </row>
    <row r="785" spans="1:25" ht="14.25" customHeight="1" x14ac:dyDescent="0.3">
      <c r="A785" s="1" t="s">
        <v>206</v>
      </c>
      <c r="B785" s="1" t="s">
        <v>597</v>
      </c>
      <c r="C785" s="1" t="s">
        <v>597</v>
      </c>
      <c r="D785" s="1" t="s">
        <v>598</v>
      </c>
      <c r="E785" s="6">
        <v>45629</v>
      </c>
      <c r="F785" s="1">
        <v>219185</v>
      </c>
      <c r="G785" s="1">
        <v>319185</v>
      </c>
      <c r="H785" s="1">
        <v>3311.199999999998</v>
      </c>
      <c r="I785" s="1">
        <v>96688.8</v>
      </c>
      <c r="J785" s="1">
        <v>222496.2</v>
      </c>
      <c r="K785" s="1">
        <v>318</v>
      </c>
      <c r="L785" s="1">
        <v>9.7282442748091569</v>
      </c>
      <c r="M785" s="1">
        <v>9285.7690263348686</v>
      </c>
      <c r="N785" s="7">
        <v>45947</v>
      </c>
      <c r="O785" s="1">
        <v>100000</v>
      </c>
      <c r="P785" s="7">
        <v>46174</v>
      </c>
      <c r="Q785" s="1" t="s">
        <v>330</v>
      </c>
      <c r="W785" s="3"/>
      <c r="X785" s="3">
        <v>0</v>
      </c>
      <c r="Y785" s="1" t="str">
        <f>VLOOKUP(A785,[1]Detalle!$D$2:$CR$484,93,FALSE)</f>
        <v>Sin Operación</v>
      </c>
    </row>
    <row r="786" spans="1:25" ht="14.25" customHeight="1" x14ac:dyDescent="0.3">
      <c r="A786" s="1" t="s">
        <v>236</v>
      </c>
      <c r="B786" s="1" t="s">
        <v>597</v>
      </c>
      <c r="C786" s="1" t="s">
        <v>597</v>
      </c>
      <c r="D786" s="1" t="s">
        <v>598</v>
      </c>
      <c r="E786" s="1" t="s">
        <v>337</v>
      </c>
      <c r="F786" s="1">
        <v>1016980</v>
      </c>
      <c r="G786" s="1">
        <v>1116980</v>
      </c>
      <c r="H786" s="1">
        <v>34026.300000000003</v>
      </c>
      <c r="I786" s="1">
        <v>65973.7</v>
      </c>
      <c r="J786" s="1">
        <v>1051006.3</v>
      </c>
      <c r="K786" s="1">
        <v>108</v>
      </c>
      <c r="L786" s="1">
        <v>455.32846441947561</v>
      </c>
      <c r="M786" s="1">
        <v>209.40153939746611</v>
      </c>
      <c r="N786" s="7">
        <v>45947</v>
      </c>
      <c r="O786" s="1">
        <v>100000</v>
      </c>
      <c r="P786" s="7">
        <v>46156.401539398154</v>
      </c>
      <c r="Q786" s="1" t="s">
        <v>330</v>
      </c>
      <c r="W786" s="3"/>
      <c r="X786" s="3">
        <v>0</v>
      </c>
      <c r="Y786" s="1" t="str">
        <f>VLOOKUP(A786,[1]Detalle!$D$2:$CR$484,93,FALSE)</f>
        <v>CENCOMLD - Cencosud SA - Mendoza</v>
      </c>
    </row>
    <row r="787" spans="1:25" ht="14.25" customHeight="1" x14ac:dyDescent="0.3">
      <c r="A787" s="1" t="s">
        <v>235</v>
      </c>
      <c r="B787" s="1" t="s">
        <v>597</v>
      </c>
      <c r="C787" s="1" t="s">
        <v>597</v>
      </c>
      <c r="D787" s="1" t="s">
        <v>598</v>
      </c>
      <c r="E787" s="1" t="s">
        <v>337</v>
      </c>
      <c r="F787" s="1">
        <v>1000081</v>
      </c>
      <c r="G787" s="1">
        <v>1100081</v>
      </c>
      <c r="H787" s="1">
        <v>32109.700000000012</v>
      </c>
      <c r="I787" s="1">
        <v>67890.299999999988</v>
      </c>
      <c r="J787" s="1">
        <v>1032190.7</v>
      </c>
      <c r="K787" s="1">
        <v>108</v>
      </c>
      <c r="L787" s="1">
        <v>263.69237037037038</v>
      </c>
      <c r="M787" s="1">
        <v>228.34696057577611</v>
      </c>
      <c r="N787" s="7">
        <v>45947</v>
      </c>
      <c r="O787" s="1">
        <v>100000</v>
      </c>
      <c r="P787" s="7">
        <v>46175.346960578703</v>
      </c>
      <c r="Q787" s="1" t="s">
        <v>330</v>
      </c>
      <c r="W787" s="3"/>
      <c r="X787" s="3">
        <v>0</v>
      </c>
      <c r="Y787" s="1" t="str">
        <f>VLOOKUP(A787,[1]Detalle!$D$2:$CR$484,93,FALSE)</f>
        <v>CENCOMLD - Cencosud SA - Mendoza</v>
      </c>
    </row>
    <row r="788" spans="1:25" ht="14.25" customHeight="1" x14ac:dyDescent="0.3">
      <c r="A788" s="1" t="s">
        <v>237</v>
      </c>
      <c r="B788" s="1" t="s">
        <v>597</v>
      </c>
      <c r="C788" s="1" t="s">
        <v>597</v>
      </c>
      <c r="D788" s="1" t="s">
        <v>598</v>
      </c>
      <c r="E788" s="1" t="s">
        <v>337</v>
      </c>
      <c r="F788" s="1">
        <v>806260</v>
      </c>
      <c r="G788" s="1">
        <v>906260</v>
      </c>
      <c r="H788" s="1">
        <v>21786.3</v>
      </c>
      <c r="I788" s="1">
        <v>78213.7</v>
      </c>
      <c r="J788" s="1">
        <v>828046.3</v>
      </c>
      <c r="K788" s="1">
        <v>108</v>
      </c>
      <c r="L788" s="1">
        <v>518.64529411764704</v>
      </c>
      <c r="M788" s="1">
        <v>387.72437724625109</v>
      </c>
      <c r="N788" s="7">
        <v>45947</v>
      </c>
      <c r="O788" s="1">
        <v>100000</v>
      </c>
      <c r="P788" s="7">
        <v>46334.724377245373</v>
      </c>
      <c r="Q788" s="1" t="s">
        <v>330</v>
      </c>
      <c r="W788" s="3"/>
      <c r="X788" s="3">
        <v>0</v>
      </c>
      <c r="Y788" s="1" t="str">
        <f>VLOOKUP(A788,[1]Detalle!$D$2:$CR$484,93,FALSE)</f>
        <v>CENCOMLD - Cencosud SA - Mendoza</v>
      </c>
    </row>
    <row r="789" spans="1:25" ht="14.25" customHeight="1" x14ac:dyDescent="0.3">
      <c r="A789" s="1" t="s">
        <v>225</v>
      </c>
      <c r="B789" s="1" t="s">
        <v>597</v>
      </c>
      <c r="C789" s="1" t="s">
        <v>597</v>
      </c>
      <c r="D789" s="1" t="s">
        <v>598</v>
      </c>
      <c r="E789" s="1" t="s">
        <v>337</v>
      </c>
      <c r="F789" s="1">
        <v>163523</v>
      </c>
      <c r="G789" s="1">
        <v>263523</v>
      </c>
      <c r="H789" s="1">
        <v>2.1</v>
      </c>
      <c r="I789" s="1">
        <v>99997.9</v>
      </c>
      <c r="J789" s="1">
        <v>163525.1</v>
      </c>
      <c r="K789" s="1">
        <v>108</v>
      </c>
      <c r="L789" s="1">
        <v>5.6607954545454557</v>
      </c>
      <c r="M789" s="1">
        <v>5142749.1428571427</v>
      </c>
      <c r="N789" s="7">
        <v>45947</v>
      </c>
      <c r="O789" s="1">
        <v>100000</v>
      </c>
      <c r="P789" s="7">
        <v>46174</v>
      </c>
      <c r="Q789" s="1" t="s">
        <v>330</v>
      </c>
      <c r="W789" s="3"/>
      <c r="X789" s="3">
        <v>0</v>
      </c>
      <c r="Y789" s="1" t="str">
        <f>VLOOKUP(A789,[1]Detalle!$D$2:$CR$484,93,FALSE)</f>
        <v>Sin Operación</v>
      </c>
    </row>
    <row r="790" spans="1:25" ht="14.25" customHeight="1" x14ac:dyDescent="0.3">
      <c r="A790" s="1" t="s">
        <v>138</v>
      </c>
      <c r="B790" s="1" t="s">
        <v>599</v>
      </c>
      <c r="C790" s="1" t="s">
        <v>599</v>
      </c>
      <c r="D790" s="1" t="s">
        <v>600</v>
      </c>
      <c r="E790" s="1" t="s">
        <v>337</v>
      </c>
      <c r="F790" s="1">
        <v>36774</v>
      </c>
      <c r="G790" s="1">
        <v>96774</v>
      </c>
      <c r="H790" s="1">
        <v>20906.099999999999</v>
      </c>
      <c r="I790" s="1">
        <v>39093.9</v>
      </c>
      <c r="J790" s="1">
        <v>57680.1</v>
      </c>
      <c r="K790" s="1">
        <v>108</v>
      </c>
      <c r="L790" s="1">
        <v>129.25862179487169</v>
      </c>
      <c r="M790" s="1">
        <v>201.95738086013179</v>
      </c>
      <c r="N790" s="7">
        <v>45947</v>
      </c>
      <c r="O790" s="1">
        <v>60000</v>
      </c>
      <c r="P790" s="7">
        <v>46148.957380856482</v>
      </c>
      <c r="Q790" s="1" t="s">
        <v>330</v>
      </c>
      <c r="W790" s="3"/>
      <c r="X790" s="3">
        <v>0</v>
      </c>
      <c r="Y790" s="1" t="str">
        <f>VLOOKUP(A790,[1]Detalle!$D$2:$CR$484,93,FALSE)</f>
        <v>SUC_MEN - Sucursal Mendoza</v>
      </c>
    </row>
    <row r="791" spans="1:25" ht="14.25" customHeight="1" x14ac:dyDescent="0.3">
      <c r="A791" s="1" t="s">
        <v>121</v>
      </c>
      <c r="B791" s="1" t="s">
        <v>599</v>
      </c>
      <c r="C791" s="1" t="s">
        <v>599</v>
      </c>
      <c r="D791" s="1" t="s">
        <v>600</v>
      </c>
      <c r="E791" s="1" t="s">
        <v>337</v>
      </c>
      <c r="F791" s="1">
        <v>288895</v>
      </c>
      <c r="G791" s="1">
        <v>348895</v>
      </c>
      <c r="H791" s="1">
        <v>323.89999999999998</v>
      </c>
      <c r="I791" s="1">
        <v>59676.1</v>
      </c>
      <c r="J791" s="1">
        <v>289218.90000000002</v>
      </c>
      <c r="K791" s="1">
        <v>108</v>
      </c>
      <c r="L791" s="1">
        <v>10.97267741935484</v>
      </c>
      <c r="M791" s="1">
        <v>19898.174745291759</v>
      </c>
      <c r="N791" s="7">
        <v>45947</v>
      </c>
      <c r="O791" s="1">
        <v>60000</v>
      </c>
      <c r="P791" s="7">
        <v>46174</v>
      </c>
      <c r="Q791" s="1" t="s">
        <v>330</v>
      </c>
      <c r="W791" s="3"/>
      <c r="X791" s="3">
        <v>0</v>
      </c>
      <c r="Y791" s="1" t="str">
        <f>VLOOKUP(A791,[1]Detalle!$D$2:$CR$484,93,FALSE)</f>
        <v>CCUCoAZA</v>
      </c>
    </row>
    <row r="792" spans="1:25" ht="14.25" customHeight="1" x14ac:dyDescent="0.3">
      <c r="A792" s="1" t="s">
        <v>111</v>
      </c>
      <c r="B792" s="1" t="s">
        <v>599</v>
      </c>
      <c r="C792" s="1" t="s">
        <v>599</v>
      </c>
      <c r="D792" s="1" t="s">
        <v>600</v>
      </c>
      <c r="E792" s="1" t="s">
        <v>337</v>
      </c>
      <c r="F792" s="1">
        <v>29376</v>
      </c>
      <c r="G792" s="1">
        <v>89376</v>
      </c>
      <c r="H792" s="1">
        <v>18480.600000000009</v>
      </c>
      <c r="I792" s="1">
        <v>41519.399999999987</v>
      </c>
      <c r="J792" s="1">
        <v>47856.600000000013</v>
      </c>
      <c r="K792" s="1">
        <v>108</v>
      </c>
      <c r="L792" s="1">
        <v>104.473717948718</v>
      </c>
      <c r="M792" s="1">
        <v>242.63796629979529</v>
      </c>
      <c r="N792" s="7">
        <v>45947</v>
      </c>
      <c r="O792" s="1">
        <v>60000</v>
      </c>
      <c r="P792" s="7">
        <v>46189.637966296294</v>
      </c>
      <c r="Q792" s="1" t="s">
        <v>330</v>
      </c>
      <c r="W792" s="3"/>
      <c r="X792" s="3">
        <v>0</v>
      </c>
      <c r="Y792" s="1" t="str">
        <f>VLOOKUP(A792,[1]Detalle!$D$2:$CR$484,93,FALSE)</f>
        <v>SUC_MEN - Sucursal Mendoza</v>
      </c>
    </row>
    <row r="793" spans="1:25" ht="14.25" customHeight="1" x14ac:dyDescent="0.3">
      <c r="A793" s="1" t="s">
        <v>153</v>
      </c>
      <c r="B793" s="1" t="s">
        <v>599</v>
      </c>
      <c r="C793" s="1" t="s">
        <v>599</v>
      </c>
      <c r="D793" s="1" t="s">
        <v>600</v>
      </c>
      <c r="E793" s="1" t="s">
        <v>337</v>
      </c>
      <c r="F793" s="1">
        <v>62342.400000000001</v>
      </c>
      <c r="G793" s="1">
        <v>122342.39999999999</v>
      </c>
      <c r="H793" s="1">
        <v>32041</v>
      </c>
      <c r="I793" s="1">
        <v>27959</v>
      </c>
      <c r="J793" s="1">
        <v>94383.4</v>
      </c>
      <c r="K793" s="1">
        <v>108</v>
      </c>
      <c r="L793" s="1">
        <v>215.45547231270371</v>
      </c>
      <c r="M793" s="1">
        <v>94.240878873942762</v>
      </c>
      <c r="N793" s="7">
        <v>45947</v>
      </c>
      <c r="O793" s="1">
        <v>60000</v>
      </c>
      <c r="P793" s="7">
        <v>46041.240878877317</v>
      </c>
      <c r="Q793" s="1" t="s">
        <v>330</v>
      </c>
      <c r="W793" s="3"/>
      <c r="X793" s="3">
        <v>0</v>
      </c>
      <c r="Y793" s="1" t="str">
        <f>VLOOKUP(A793,[1]Detalle!$D$2:$CR$484,93,FALSE)</f>
        <v>SUC_CTC - Sucursal Buenos Aires</v>
      </c>
    </row>
    <row r="794" spans="1:25" ht="14.25" customHeight="1" x14ac:dyDescent="0.3">
      <c r="A794" s="1" t="s">
        <v>120</v>
      </c>
      <c r="B794" s="1" t="s">
        <v>599</v>
      </c>
      <c r="C794" s="1" t="s">
        <v>599</v>
      </c>
      <c r="D794" s="1" t="s">
        <v>600</v>
      </c>
      <c r="E794" s="1" t="s">
        <v>337</v>
      </c>
      <c r="F794" s="1">
        <v>34907.699999999997</v>
      </c>
      <c r="G794" s="1">
        <v>94907.7</v>
      </c>
      <c r="H794" s="1">
        <v>12143.5</v>
      </c>
      <c r="I794" s="1">
        <v>47856.5</v>
      </c>
      <c r="J794" s="1">
        <v>47051.199999999997</v>
      </c>
      <c r="K794" s="1">
        <v>108</v>
      </c>
      <c r="L794" s="1">
        <v>86.918456591639867</v>
      </c>
      <c r="M794" s="1">
        <v>425.61880841602499</v>
      </c>
      <c r="N794" s="7">
        <v>45947</v>
      </c>
      <c r="O794" s="1">
        <v>60000</v>
      </c>
      <c r="P794" s="7">
        <v>46372.61880841435</v>
      </c>
      <c r="Q794" s="1" t="s">
        <v>330</v>
      </c>
      <c r="W794" s="3"/>
      <c r="X794" s="3">
        <v>0</v>
      </c>
      <c r="Y794" s="1" t="str">
        <f>VLOOKUP(A794,[1]Detalle!$D$2:$CR$484,93,FALSE)</f>
        <v>SUC_MEN - Sucursal Mendoza</v>
      </c>
    </row>
    <row r="795" spans="1:25" ht="14.25" customHeight="1" x14ac:dyDescent="0.3">
      <c r="A795" s="1" t="s">
        <v>141</v>
      </c>
      <c r="B795" s="1" t="s">
        <v>599</v>
      </c>
      <c r="C795" s="1" t="s">
        <v>599</v>
      </c>
      <c r="D795" s="1" t="s">
        <v>600</v>
      </c>
      <c r="E795" s="1" t="s">
        <v>337</v>
      </c>
      <c r="F795" s="1">
        <v>479305</v>
      </c>
      <c r="G795" s="1">
        <v>539305</v>
      </c>
      <c r="H795" s="1">
        <v>12745.8</v>
      </c>
      <c r="I795" s="1">
        <v>47254.2</v>
      </c>
      <c r="J795" s="1">
        <v>492050.8</v>
      </c>
      <c r="K795" s="1">
        <v>108</v>
      </c>
      <c r="L795" s="1">
        <v>131.1199356913184</v>
      </c>
      <c r="M795" s="1">
        <v>400.4027679706258</v>
      </c>
      <c r="N795" s="7">
        <v>45947</v>
      </c>
      <c r="O795" s="1">
        <v>60000</v>
      </c>
      <c r="P795" s="7">
        <v>46347.402767974527</v>
      </c>
      <c r="Q795" s="1" t="s">
        <v>330</v>
      </c>
      <c r="W795" s="3"/>
      <c r="X795" s="3">
        <v>0</v>
      </c>
      <c r="Y795" s="1" t="str">
        <f>VLOOKUP(A795,[1]Detalle!$D$2:$CR$484,93,FALSE)</f>
        <v>Unilever - Unilever de Arg. S.A.</v>
      </c>
    </row>
    <row r="796" spans="1:25" ht="14.25" customHeight="1" x14ac:dyDescent="0.3">
      <c r="A796" s="1" t="s">
        <v>150</v>
      </c>
      <c r="B796" s="1" t="s">
        <v>599</v>
      </c>
      <c r="C796" s="1" t="s">
        <v>599</v>
      </c>
      <c r="D796" s="1" t="s">
        <v>600</v>
      </c>
      <c r="E796" s="1" t="s">
        <v>337</v>
      </c>
      <c r="F796" s="1">
        <v>721574</v>
      </c>
      <c r="G796" s="1">
        <v>781574</v>
      </c>
      <c r="H796" s="1">
        <v>18803.3</v>
      </c>
      <c r="I796" s="1">
        <v>41196.699999999997</v>
      </c>
      <c r="J796" s="1">
        <v>740377.3</v>
      </c>
      <c r="K796" s="1">
        <v>108</v>
      </c>
      <c r="L796" s="1">
        <v>143.50707395498381</v>
      </c>
      <c r="M796" s="1">
        <v>236.62035919226949</v>
      </c>
      <c r="N796" s="7">
        <v>45947</v>
      </c>
      <c r="O796" s="1">
        <v>60000</v>
      </c>
      <c r="P796" s="7">
        <v>46183.620359189823</v>
      </c>
      <c r="Q796" s="1" t="s">
        <v>330</v>
      </c>
      <c r="W796" s="3"/>
      <c r="X796" s="3">
        <v>0</v>
      </c>
      <c r="Y796" s="1" t="str">
        <f>VLOOKUP(A796,[1]Detalle!$D$2:$CR$484,93,FALSE)</f>
        <v>Papelera - Papelera del Plata S.A.</v>
      </c>
    </row>
    <row r="797" spans="1:25" ht="14.25" customHeight="1" x14ac:dyDescent="0.3">
      <c r="A797" s="1" t="s">
        <v>79</v>
      </c>
      <c r="B797" s="1" t="s">
        <v>599</v>
      </c>
      <c r="C797" s="1" t="s">
        <v>599</v>
      </c>
      <c r="D797" s="1" t="s">
        <v>600</v>
      </c>
      <c r="E797" s="1" t="s">
        <v>337</v>
      </c>
      <c r="F797" s="1">
        <v>62983.8</v>
      </c>
      <c r="G797" s="1">
        <v>122983.8</v>
      </c>
      <c r="H797" s="1">
        <v>20504.400000000009</v>
      </c>
      <c r="I797" s="1">
        <v>39495.599999999991</v>
      </c>
      <c r="J797" s="1">
        <v>83488.200000000012</v>
      </c>
      <c r="K797" s="1">
        <v>108</v>
      </c>
      <c r="L797" s="1">
        <v>94.269867549668859</v>
      </c>
      <c r="M797" s="1">
        <v>208.02973020424881</v>
      </c>
      <c r="N797" s="7">
        <v>45947</v>
      </c>
      <c r="O797" s="1">
        <v>60000</v>
      </c>
      <c r="P797" s="7">
        <v>46155.029730208327</v>
      </c>
      <c r="Q797" s="1" t="s">
        <v>330</v>
      </c>
      <c r="W797" s="3"/>
      <c r="X797" s="3">
        <v>0</v>
      </c>
      <c r="Y797" s="1" t="str">
        <f>VLOOKUP(A797,[1]Detalle!$D$2:$CR$484,93,FALSE)</f>
        <v>Papelera - Papelera del Plata S.A.</v>
      </c>
    </row>
    <row r="798" spans="1:25" ht="14.25" customHeight="1" x14ac:dyDescent="0.3">
      <c r="A798" s="1" t="s">
        <v>75</v>
      </c>
      <c r="B798" s="1" t="s">
        <v>599</v>
      </c>
      <c r="C798" s="1" t="s">
        <v>599</v>
      </c>
      <c r="D798" s="1" t="s">
        <v>600</v>
      </c>
      <c r="E798" s="1" t="s">
        <v>337</v>
      </c>
      <c r="F798" s="1">
        <v>49220.5</v>
      </c>
      <c r="G798" s="1">
        <v>109220.5</v>
      </c>
      <c r="H798" s="1">
        <v>20551.500000000011</v>
      </c>
      <c r="I798" s="1">
        <v>39448.499999999993</v>
      </c>
      <c r="J798" s="1">
        <v>69772.000000000015</v>
      </c>
      <c r="K798" s="1">
        <v>108</v>
      </c>
      <c r="L798" s="1">
        <v>83.847709677419346</v>
      </c>
      <c r="M798" s="1">
        <v>207.30545215677671</v>
      </c>
      <c r="N798" s="7">
        <v>45947</v>
      </c>
      <c r="O798" s="1">
        <v>60000</v>
      </c>
      <c r="P798" s="7">
        <v>46154.305452152781</v>
      </c>
      <c r="Q798" s="1" t="s">
        <v>330</v>
      </c>
      <c r="W798" s="3"/>
      <c r="X798" s="3">
        <v>0</v>
      </c>
      <c r="Y798" s="1" t="str">
        <f>VLOOKUP(A798,[1]Detalle!$D$2:$CR$484,93,FALSE)</f>
        <v>Papelera - Papelera del Plata S.A.</v>
      </c>
    </row>
    <row r="799" spans="1:25" ht="14.25" customHeight="1" x14ac:dyDescent="0.3">
      <c r="A799" s="1" t="s">
        <v>149</v>
      </c>
      <c r="B799" s="1" t="s">
        <v>599</v>
      </c>
      <c r="C799" s="1" t="s">
        <v>599</v>
      </c>
      <c r="D799" s="1" t="s">
        <v>600</v>
      </c>
      <c r="E799" s="1" t="s">
        <v>337</v>
      </c>
      <c r="F799" s="1">
        <v>666910</v>
      </c>
      <c r="G799" s="1">
        <v>726910</v>
      </c>
      <c r="H799" s="1">
        <v>11874.4</v>
      </c>
      <c r="I799" s="1">
        <v>48125.600000000013</v>
      </c>
      <c r="J799" s="1">
        <v>678784.4</v>
      </c>
      <c r="K799" s="1">
        <v>108</v>
      </c>
      <c r="L799" s="1">
        <v>113.6646794871796</v>
      </c>
      <c r="M799" s="1">
        <v>437.71178333221059</v>
      </c>
      <c r="N799" s="7">
        <v>45947</v>
      </c>
      <c r="O799" s="1">
        <v>60000</v>
      </c>
      <c r="P799" s="7">
        <v>46384.711783333332</v>
      </c>
      <c r="Q799" s="1" t="s">
        <v>330</v>
      </c>
      <c r="W799" s="3"/>
      <c r="X799" s="3">
        <v>0</v>
      </c>
      <c r="Y799" s="1" t="str">
        <f>VLOOKUP(A799,[1]Detalle!$D$2:$CR$484,93,FALSE)</f>
        <v>Papelera - Papelera del Plata S.A.</v>
      </c>
    </row>
    <row r="800" spans="1:25" ht="14.25" customHeight="1" x14ac:dyDescent="0.3">
      <c r="A800" s="1" t="s">
        <v>161</v>
      </c>
      <c r="B800" s="1" t="s">
        <v>599</v>
      </c>
      <c r="C800" s="1" t="s">
        <v>599</v>
      </c>
      <c r="D800" s="1" t="s">
        <v>600</v>
      </c>
      <c r="E800" s="1" t="s">
        <v>337</v>
      </c>
      <c r="F800" s="1">
        <v>657691</v>
      </c>
      <c r="G800" s="1">
        <v>717691</v>
      </c>
      <c r="H800" s="1">
        <v>12471.9</v>
      </c>
      <c r="I800" s="1">
        <v>47528.100000000013</v>
      </c>
      <c r="J800" s="1">
        <v>670162.9</v>
      </c>
      <c r="K800" s="1">
        <v>108</v>
      </c>
      <c r="L800" s="1">
        <v>112.4813870967742</v>
      </c>
      <c r="M800" s="1">
        <v>411.56798883891003</v>
      </c>
      <c r="N800" s="7">
        <v>45947</v>
      </c>
      <c r="O800" s="1">
        <v>60000</v>
      </c>
      <c r="P800" s="7">
        <v>46358.567988842588</v>
      </c>
      <c r="Q800" s="1" t="s">
        <v>330</v>
      </c>
      <c r="W800" s="3"/>
      <c r="X800" s="3">
        <v>0</v>
      </c>
      <c r="Y800" s="1" t="str">
        <f>VLOOKUP(A800,[1]Detalle!$D$2:$CR$484,93,FALSE)</f>
        <v>Unilever - Unilever de Arg. S.A.</v>
      </c>
    </row>
    <row r="801" spans="1:25" ht="14.25" customHeight="1" x14ac:dyDescent="0.3">
      <c r="A801" s="1" t="s">
        <v>152</v>
      </c>
      <c r="B801" s="1" t="s">
        <v>599</v>
      </c>
      <c r="C801" s="1" t="s">
        <v>599</v>
      </c>
      <c r="D801" s="1" t="s">
        <v>600</v>
      </c>
      <c r="E801" s="1" t="s">
        <v>337</v>
      </c>
      <c r="F801" s="1">
        <v>953293</v>
      </c>
      <c r="G801" s="1">
        <v>1013293</v>
      </c>
      <c r="H801" s="1">
        <v>19115</v>
      </c>
      <c r="I801" s="1">
        <v>40885</v>
      </c>
      <c r="J801" s="1">
        <v>972408</v>
      </c>
      <c r="K801" s="1">
        <v>108</v>
      </c>
      <c r="L801" s="1">
        <v>132.10963696369629</v>
      </c>
      <c r="M801" s="1">
        <v>231.00078472403879</v>
      </c>
      <c r="N801" s="7">
        <v>45947</v>
      </c>
      <c r="O801" s="1">
        <v>60000</v>
      </c>
      <c r="P801" s="7">
        <v>46178.000784722222</v>
      </c>
      <c r="Q801" s="1" t="s">
        <v>330</v>
      </c>
      <c r="W801" s="3"/>
      <c r="X801" s="3">
        <v>0</v>
      </c>
      <c r="Y801" s="1" t="str">
        <f>VLOOKUP(A801,[1]Detalle!$D$2:$CR$484,93,FALSE)</f>
        <v>SUC_REA - Sucursal Realicó</v>
      </c>
    </row>
    <row r="802" spans="1:25" ht="14.25" customHeight="1" x14ac:dyDescent="0.3">
      <c r="A802" s="1" t="s">
        <v>15</v>
      </c>
      <c r="B802" s="1" t="s">
        <v>599</v>
      </c>
      <c r="C802" s="1" t="s">
        <v>599</v>
      </c>
      <c r="D802" s="1" t="s">
        <v>600</v>
      </c>
      <c r="E802" s="1" t="s">
        <v>337</v>
      </c>
      <c r="F802" s="1">
        <v>686509</v>
      </c>
      <c r="G802" s="1">
        <v>746509</v>
      </c>
      <c r="H802" s="1">
        <v>39429.399999999987</v>
      </c>
      <c r="I802" s="1">
        <v>20570.600000000009</v>
      </c>
      <c r="J802" s="1">
        <v>725938.4</v>
      </c>
      <c r="K802" s="1">
        <v>108</v>
      </c>
      <c r="L802" s="1">
        <v>2357.9716911764699</v>
      </c>
      <c r="M802" s="1">
        <v>56.344372473332143</v>
      </c>
      <c r="N802" s="7">
        <v>45947</v>
      </c>
      <c r="O802" s="1">
        <v>60000</v>
      </c>
      <c r="P802" s="7">
        <v>46028.789970578713</v>
      </c>
      <c r="Q802" s="1" t="s">
        <v>330</v>
      </c>
      <c r="W802" s="3"/>
      <c r="X802" s="3">
        <v>0</v>
      </c>
      <c r="Y802" s="1" t="str">
        <f>VLOOKUP(A802,[1]Detalle!$D$2:$CR$484,93,FALSE)</f>
        <v>CENCOMLD - Cencosud SA - Mendoza</v>
      </c>
    </row>
    <row r="803" spans="1:25" ht="14.25" customHeight="1" x14ac:dyDescent="0.3">
      <c r="A803" s="1" t="s">
        <v>164</v>
      </c>
      <c r="B803" s="1" t="s">
        <v>599</v>
      </c>
      <c r="C803" s="1" t="s">
        <v>599</v>
      </c>
      <c r="D803" s="1" t="s">
        <v>600</v>
      </c>
      <c r="E803" s="1" t="s">
        <v>337</v>
      </c>
      <c r="F803" s="1">
        <v>2152173</v>
      </c>
      <c r="G803" s="1">
        <v>2212173</v>
      </c>
      <c r="H803" s="1">
        <v>12169.1</v>
      </c>
      <c r="I803" s="1">
        <v>47830.899999999987</v>
      </c>
      <c r="J803" s="1">
        <v>2164342.1</v>
      </c>
      <c r="K803" s="1">
        <v>108</v>
      </c>
      <c r="L803" s="1">
        <v>69.022379421221856</v>
      </c>
      <c r="M803" s="1">
        <v>424.49624047793162</v>
      </c>
      <c r="N803" s="7">
        <v>45947</v>
      </c>
      <c r="O803" s="1">
        <v>60000</v>
      </c>
      <c r="P803" s="7">
        <v>46371.496240474538</v>
      </c>
      <c r="Q803" s="1" t="s">
        <v>330</v>
      </c>
      <c r="W803" s="3"/>
      <c r="X803" s="3">
        <v>0</v>
      </c>
      <c r="Y803" s="1" t="str">
        <f>VLOOKUP(A803,[1]Detalle!$D$2:$CR$484,93,FALSE)</f>
        <v>SUC_MEN - Sucursal Mendoza</v>
      </c>
    </row>
    <row r="804" spans="1:25" ht="14.25" customHeight="1" x14ac:dyDescent="0.3">
      <c r="A804" s="1" t="s">
        <v>133</v>
      </c>
      <c r="B804" s="1" t="s">
        <v>599</v>
      </c>
      <c r="C804" s="1" t="s">
        <v>599</v>
      </c>
      <c r="D804" s="1" t="s">
        <v>600</v>
      </c>
      <c r="E804" s="1" t="s">
        <v>337</v>
      </c>
      <c r="G804" s="1">
        <v>897815</v>
      </c>
      <c r="H804" s="1">
        <v>100</v>
      </c>
      <c r="I804" s="1">
        <v>59900</v>
      </c>
      <c r="J804" s="1">
        <v>837915</v>
      </c>
      <c r="L804" s="1">
        <v>846.93875000000003</v>
      </c>
      <c r="N804" s="7">
        <v>45947</v>
      </c>
      <c r="O804" s="1">
        <v>60000</v>
      </c>
      <c r="P804" s="7">
        <v>46088.686751250003</v>
      </c>
      <c r="Q804" s="1" t="s">
        <v>330</v>
      </c>
      <c r="R804" s="6">
        <v>46088.686751250003</v>
      </c>
      <c r="W804" s="3"/>
      <c r="X804" s="3">
        <v>0</v>
      </c>
      <c r="Y804" s="1" t="str">
        <f>VLOOKUP(A804,[1]Detalle!$D$2:$CR$484,93,FALSE)</f>
        <v>CENCOMLD - Cencosud SA - Mendoza</v>
      </c>
    </row>
    <row r="805" spans="1:25" ht="14.25" customHeight="1" x14ac:dyDescent="0.3">
      <c r="A805" s="1" t="s">
        <v>171</v>
      </c>
      <c r="B805" s="1" t="s">
        <v>599</v>
      </c>
      <c r="C805" s="1" t="s">
        <v>599</v>
      </c>
      <c r="D805" s="1" t="s">
        <v>600</v>
      </c>
      <c r="E805" s="1" t="s">
        <v>337</v>
      </c>
      <c r="F805" s="1">
        <v>33664.800000000003</v>
      </c>
      <c r="G805" s="1">
        <v>93664.8</v>
      </c>
      <c r="H805" s="1">
        <v>15342.8</v>
      </c>
      <c r="I805" s="1">
        <v>44657.2</v>
      </c>
      <c r="J805" s="1">
        <v>49007.600000000013</v>
      </c>
      <c r="K805" s="1">
        <v>108</v>
      </c>
      <c r="L805" s="1">
        <v>130.96596721311471</v>
      </c>
      <c r="M805" s="1">
        <v>314.34794170555563</v>
      </c>
      <c r="N805" s="7">
        <v>45947</v>
      </c>
      <c r="O805" s="1">
        <v>60000</v>
      </c>
      <c r="P805" s="7">
        <v>46261.347941701388</v>
      </c>
      <c r="Q805" s="1" t="s">
        <v>330</v>
      </c>
      <c r="W805" s="3"/>
      <c r="X805" s="3">
        <v>0</v>
      </c>
      <c r="Y805" s="1" t="str">
        <f>VLOOKUP(A805,[1]Detalle!$D$2:$CR$484,93,FALSE)</f>
        <v>CENCO_MZ - Cencosud SA - Mendoza</v>
      </c>
    </row>
    <row r="806" spans="1:25" ht="14.25" customHeight="1" x14ac:dyDescent="0.3">
      <c r="A806" s="1" t="s">
        <v>51</v>
      </c>
      <c r="B806" s="1" t="s">
        <v>599</v>
      </c>
      <c r="C806" s="1" t="s">
        <v>599</v>
      </c>
      <c r="D806" s="1" t="s">
        <v>600</v>
      </c>
      <c r="E806" s="1" t="s">
        <v>337</v>
      </c>
      <c r="F806" s="1">
        <v>62508.4</v>
      </c>
      <c r="G806" s="1">
        <v>122508.4</v>
      </c>
      <c r="H806" s="1">
        <v>2224.6</v>
      </c>
      <c r="I806" s="1">
        <v>57775.4</v>
      </c>
      <c r="J806" s="1">
        <v>64733</v>
      </c>
      <c r="K806" s="1">
        <v>108</v>
      </c>
      <c r="L806" s="1">
        <v>21.44832713754645</v>
      </c>
      <c r="M806" s="1">
        <v>2804.883214959993</v>
      </c>
      <c r="N806" s="7">
        <v>45947</v>
      </c>
      <c r="O806" s="1">
        <v>60000</v>
      </c>
      <c r="P806" s="7">
        <v>46174</v>
      </c>
      <c r="Q806" s="1" t="s">
        <v>330</v>
      </c>
      <c r="W806" s="3"/>
      <c r="X806" s="3">
        <v>0</v>
      </c>
      <c r="Y806" s="1" t="str">
        <f>VLOOKUP(A806,[1]Detalle!$D$2:$CR$484,93,FALSE)</f>
        <v>CMQ_TTE - QUILMES TTE</v>
      </c>
    </row>
    <row r="807" spans="1:25" ht="14.25" customHeight="1" x14ac:dyDescent="0.3">
      <c r="A807" s="1" t="s">
        <v>54</v>
      </c>
      <c r="B807" s="1" t="s">
        <v>599</v>
      </c>
      <c r="C807" s="1" t="s">
        <v>599</v>
      </c>
      <c r="D807" s="1" t="s">
        <v>600</v>
      </c>
      <c r="E807" s="1" t="s">
        <v>337</v>
      </c>
      <c r="F807" s="1">
        <v>46127.5</v>
      </c>
      <c r="G807" s="1">
        <v>106127.5</v>
      </c>
      <c r="H807" s="1">
        <v>2810.9</v>
      </c>
      <c r="I807" s="1">
        <v>57189.1</v>
      </c>
      <c r="J807" s="1">
        <v>48938.400000000001</v>
      </c>
      <c r="K807" s="1">
        <v>108</v>
      </c>
      <c r="L807" s="1">
        <v>37.059548872180457</v>
      </c>
      <c r="M807" s="1">
        <v>2197.31146607848</v>
      </c>
      <c r="N807" s="7">
        <v>45947</v>
      </c>
      <c r="O807" s="1">
        <v>60000</v>
      </c>
      <c r="P807" s="7">
        <v>46174</v>
      </c>
      <c r="Q807" s="1" t="s">
        <v>330</v>
      </c>
      <c r="W807" s="3"/>
      <c r="X807" s="3">
        <v>0</v>
      </c>
      <c r="Y807" s="1" t="str">
        <f>VLOOKUP(A807,[1]Detalle!$D$2:$CR$484,93,FALSE)</f>
        <v>CMQ_TTE - QUILMES TTE</v>
      </c>
    </row>
    <row r="808" spans="1:25" ht="14.25" customHeight="1" x14ac:dyDescent="0.3">
      <c r="A808" s="1" t="s">
        <v>67</v>
      </c>
      <c r="B808" s="1" t="s">
        <v>599</v>
      </c>
      <c r="C808" s="1" t="s">
        <v>599</v>
      </c>
      <c r="D808" s="1" t="s">
        <v>600</v>
      </c>
      <c r="E808" s="1" t="s">
        <v>337</v>
      </c>
      <c r="F808" s="1">
        <v>52756</v>
      </c>
      <c r="G808" s="1">
        <v>112756</v>
      </c>
      <c r="H808" s="1">
        <v>3546.400000000001</v>
      </c>
      <c r="I808" s="1">
        <v>56453.599999999999</v>
      </c>
      <c r="J808" s="1">
        <v>56302.400000000001</v>
      </c>
      <c r="K808" s="1">
        <v>108</v>
      </c>
      <c r="L808" s="1">
        <v>24.52509293680297</v>
      </c>
      <c r="M808" s="1">
        <v>1719.2050530115041</v>
      </c>
      <c r="N808" s="7">
        <v>45947</v>
      </c>
      <c r="O808" s="1">
        <v>60000</v>
      </c>
      <c r="P808" s="7">
        <v>46174</v>
      </c>
      <c r="Q808" s="1" t="s">
        <v>330</v>
      </c>
      <c r="W808" s="3"/>
      <c r="X808" s="3">
        <v>0</v>
      </c>
      <c r="Y808" s="1" t="str">
        <f>VLOOKUP(A808,[1]Detalle!$D$2:$CR$484,93,FALSE)</f>
        <v>CMQ_TTE - QUILMES TTE</v>
      </c>
    </row>
    <row r="809" spans="1:25" ht="14.25" customHeight="1" x14ac:dyDescent="0.3">
      <c r="A809" s="1" t="s">
        <v>2</v>
      </c>
      <c r="B809" s="1" t="s">
        <v>599</v>
      </c>
      <c r="C809" s="1" t="s">
        <v>599</v>
      </c>
      <c r="D809" s="1" t="s">
        <v>600</v>
      </c>
      <c r="E809" s="1" t="s">
        <v>337</v>
      </c>
      <c r="F809" s="1">
        <v>14205</v>
      </c>
      <c r="G809" s="1">
        <v>74205</v>
      </c>
      <c r="H809" s="1">
        <v>12306.6</v>
      </c>
      <c r="I809" s="1">
        <v>47693.399999999987</v>
      </c>
      <c r="J809" s="1">
        <v>26511.600000000009</v>
      </c>
      <c r="K809" s="1">
        <v>108</v>
      </c>
      <c r="L809" s="1">
        <v>68.135242718446577</v>
      </c>
      <c r="M809" s="1">
        <v>418.54673102237808</v>
      </c>
      <c r="N809" s="7">
        <v>45947</v>
      </c>
      <c r="O809" s="1">
        <v>60000</v>
      </c>
      <c r="P809" s="7">
        <v>46365.546731018519</v>
      </c>
      <c r="Q809" s="1" t="s">
        <v>330</v>
      </c>
      <c r="W809" s="3"/>
      <c r="X809" s="3">
        <v>0</v>
      </c>
      <c r="Y809" s="1" t="str">
        <f>VLOOKUP(A809,[1]Detalle!$D$2:$CR$484,93,FALSE)</f>
        <v>Unilever - Unilever de Arg. S.A.</v>
      </c>
    </row>
    <row r="810" spans="1:25" ht="14.25" customHeight="1" x14ac:dyDescent="0.3">
      <c r="A810" s="1" t="s">
        <v>192</v>
      </c>
      <c r="B810" s="1" t="s">
        <v>599</v>
      </c>
      <c r="C810" s="1" t="s">
        <v>599</v>
      </c>
      <c r="D810" s="1" t="s">
        <v>600</v>
      </c>
      <c r="E810" s="1" t="s">
        <v>337</v>
      </c>
      <c r="F810" s="1">
        <v>135569</v>
      </c>
      <c r="G810" s="1">
        <v>195569</v>
      </c>
      <c r="H810" s="1">
        <v>0.4</v>
      </c>
      <c r="I810" s="1">
        <v>59999.6</v>
      </c>
      <c r="J810" s="1">
        <v>135569.4</v>
      </c>
      <c r="K810" s="1">
        <v>108</v>
      </c>
      <c r="L810" s="1">
        <v>9.0852830188679246</v>
      </c>
      <c r="M810" s="1">
        <v>16199892</v>
      </c>
      <c r="N810" s="7">
        <v>45947</v>
      </c>
      <c r="O810" s="1">
        <v>60000</v>
      </c>
      <c r="P810" s="7">
        <v>46174</v>
      </c>
      <c r="Q810" s="1" t="s">
        <v>330</v>
      </c>
      <c r="W810" s="3"/>
      <c r="X810" s="3">
        <v>0</v>
      </c>
      <c r="Y810" s="1" t="str">
        <f>VLOOKUP(A810,[1]Detalle!$D$2:$CR$484,93,FALSE)</f>
        <v>Sin Operación</v>
      </c>
    </row>
    <row r="811" spans="1:25" ht="14.25" customHeight="1" x14ac:dyDescent="0.3">
      <c r="A811" s="1" t="s">
        <v>197</v>
      </c>
      <c r="B811" s="1" t="s">
        <v>599</v>
      </c>
      <c r="C811" s="1" t="s">
        <v>599</v>
      </c>
      <c r="D811" s="1" t="s">
        <v>600</v>
      </c>
      <c r="E811" s="1" t="s">
        <v>337</v>
      </c>
      <c r="F811" s="1">
        <v>166036</v>
      </c>
      <c r="G811" s="1">
        <v>226036</v>
      </c>
      <c r="H811" s="1">
        <v>0.4</v>
      </c>
      <c r="I811" s="1">
        <v>59999.6</v>
      </c>
      <c r="J811" s="1">
        <v>166036.4</v>
      </c>
      <c r="K811" s="1">
        <v>108</v>
      </c>
      <c r="L811" s="1">
        <v>3.1153992395437262</v>
      </c>
      <c r="M811" s="1">
        <v>16199892</v>
      </c>
      <c r="N811" s="7">
        <v>45947</v>
      </c>
      <c r="O811" s="1">
        <v>60000</v>
      </c>
      <c r="P811" s="7">
        <v>46174</v>
      </c>
      <c r="Q811" s="1" t="s">
        <v>330</v>
      </c>
      <c r="W811" s="3"/>
      <c r="X811" s="3">
        <v>0</v>
      </c>
      <c r="Y811" s="1" t="str">
        <f>VLOOKUP(A811,[1]Detalle!$D$2:$CR$484,93,FALSE)</f>
        <v>Sin Operación</v>
      </c>
    </row>
    <row r="812" spans="1:25" ht="14.25" customHeight="1" x14ac:dyDescent="0.3">
      <c r="A812" s="1" t="s">
        <v>206</v>
      </c>
      <c r="B812" s="1" t="s">
        <v>599</v>
      </c>
      <c r="C812" s="1" t="s">
        <v>599</v>
      </c>
      <c r="D812" s="1" t="s">
        <v>600</v>
      </c>
      <c r="E812" s="1" t="s">
        <v>337</v>
      </c>
      <c r="F812" s="1">
        <v>220694</v>
      </c>
      <c r="G812" s="1">
        <v>280694</v>
      </c>
      <c r="H812" s="1">
        <v>1856</v>
      </c>
      <c r="I812" s="1">
        <v>58144</v>
      </c>
      <c r="J812" s="1">
        <v>222550</v>
      </c>
      <c r="K812" s="1">
        <v>108</v>
      </c>
      <c r="L812" s="1">
        <v>9.7282442748091569</v>
      </c>
      <c r="M812" s="1">
        <v>3383.3793103448288</v>
      </c>
      <c r="N812" s="7">
        <v>45947</v>
      </c>
      <c r="O812" s="1">
        <v>60000</v>
      </c>
      <c r="P812" s="7">
        <v>46174</v>
      </c>
      <c r="Q812" s="1" t="s">
        <v>330</v>
      </c>
      <c r="W812" s="3"/>
      <c r="X812" s="3">
        <v>0</v>
      </c>
      <c r="Y812" s="1" t="str">
        <f>VLOOKUP(A812,[1]Detalle!$D$2:$CR$484,93,FALSE)</f>
        <v>Sin Operación</v>
      </c>
    </row>
    <row r="813" spans="1:25" ht="14.25" customHeight="1" x14ac:dyDescent="0.3">
      <c r="A813" s="1" t="s">
        <v>236</v>
      </c>
      <c r="B813" s="1" t="s">
        <v>599</v>
      </c>
      <c r="C813" s="1" t="s">
        <v>599</v>
      </c>
      <c r="D813" s="1" t="s">
        <v>600</v>
      </c>
      <c r="E813" s="1" t="s">
        <v>337</v>
      </c>
      <c r="F813" s="1">
        <v>1016980</v>
      </c>
      <c r="G813" s="1">
        <v>1076980</v>
      </c>
      <c r="H813" s="1">
        <v>34026.300000000003</v>
      </c>
      <c r="I813" s="1">
        <v>25973.7</v>
      </c>
      <c r="J813" s="1">
        <v>1051006.3</v>
      </c>
      <c r="K813" s="1">
        <v>108</v>
      </c>
      <c r="L813" s="1">
        <v>455.32846441947561</v>
      </c>
      <c r="M813" s="1">
        <v>82.440923638479632</v>
      </c>
      <c r="N813" s="7">
        <v>45947</v>
      </c>
      <c r="O813" s="1">
        <v>60000</v>
      </c>
      <c r="P813" s="7">
        <v>46029.440923634262</v>
      </c>
      <c r="Q813" s="1" t="s">
        <v>330</v>
      </c>
      <c r="W813" s="3"/>
      <c r="X813" s="3">
        <v>0</v>
      </c>
      <c r="Y813" s="1" t="str">
        <f>VLOOKUP(A813,[1]Detalle!$D$2:$CR$484,93,FALSE)</f>
        <v>CENCOMLD - Cencosud SA - Mendoza</v>
      </c>
    </row>
    <row r="814" spans="1:25" ht="14.25" customHeight="1" x14ac:dyDescent="0.3">
      <c r="A814" s="1" t="s">
        <v>235</v>
      </c>
      <c r="B814" s="1" t="s">
        <v>599</v>
      </c>
      <c r="C814" s="1" t="s">
        <v>599</v>
      </c>
      <c r="D814" s="1" t="s">
        <v>600</v>
      </c>
      <c r="E814" s="1" t="s">
        <v>337</v>
      </c>
      <c r="F814" s="1">
        <v>1000081</v>
      </c>
      <c r="G814" s="1">
        <v>1060081</v>
      </c>
      <c r="H814" s="1">
        <v>32109.700000000012</v>
      </c>
      <c r="I814" s="1">
        <v>27890.299999999988</v>
      </c>
      <c r="J814" s="1">
        <v>1032190.7</v>
      </c>
      <c r="K814" s="1">
        <v>108</v>
      </c>
      <c r="L814" s="1">
        <v>263.69237037037038</v>
      </c>
      <c r="M814" s="1">
        <v>93.808176345465654</v>
      </c>
      <c r="N814" s="7">
        <v>45947</v>
      </c>
      <c r="O814" s="1">
        <v>60000</v>
      </c>
      <c r="P814" s="7">
        <v>46040.808176342587</v>
      </c>
      <c r="Q814" s="1" t="s">
        <v>330</v>
      </c>
      <c r="W814" s="3"/>
      <c r="X814" s="3">
        <v>0</v>
      </c>
      <c r="Y814" s="1" t="str">
        <f>VLOOKUP(A814,[1]Detalle!$D$2:$CR$484,93,FALSE)</f>
        <v>CENCOMLD - Cencosud SA - Mendoza</v>
      </c>
    </row>
    <row r="815" spans="1:25" ht="14.25" customHeight="1" x14ac:dyDescent="0.3">
      <c r="A815" s="1" t="s">
        <v>237</v>
      </c>
      <c r="B815" s="1" t="s">
        <v>599</v>
      </c>
      <c r="C815" s="1" t="s">
        <v>599</v>
      </c>
      <c r="D815" s="1" t="s">
        <v>600</v>
      </c>
      <c r="E815" s="1" t="s">
        <v>337</v>
      </c>
      <c r="F815" s="1">
        <v>806260</v>
      </c>
      <c r="G815" s="1">
        <v>866260</v>
      </c>
      <c r="H815" s="1">
        <v>21786.3</v>
      </c>
      <c r="I815" s="1">
        <v>38213.699999999997</v>
      </c>
      <c r="J815" s="1">
        <v>828046.3</v>
      </c>
      <c r="K815" s="1">
        <v>108</v>
      </c>
      <c r="L815" s="1">
        <v>518.64529411764704</v>
      </c>
      <c r="M815" s="1">
        <v>189.43462634775071</v>
      </c>
      <c r="N815" s="7">
        <v>45947</v>
      </c>
      <c r="O815" s="1">
        <v>60000</v>
      </c>
      <c r="P815" s="7">
        <v>46136.43462634259</v>
      </c>
      <c r="Q815" s="1" t="s">
        <v>330</v>
      </c>
      <c r="W815" s="3"/>
      <c r="X815" s="3">
        <v>0</v>
      </c>
      <c r="Y815" s="1" t="str">
        <f>VLOOKUP(A815,[1]Detalle!$D$2:$CR$484,93,FALSE)</f>
        <v>CENCOMLD - Cencosud SA - Mendoza</v>
      </c>
    </row>
    <row r="816" spans="1:25" ht="14.25" customHeight="1" x14ac:dyDescent="0.3">
      <c r="A816" s="1" t="s">
        <v>225</v>
      </c>
      <c r="B816" s="1" t="s">
        <v>599</v>
      </c>
      <c r="C816" s="1" t="s">
        <v>599</v>
      </c>
      <c r="D816" s="1" t="s">
        <v>600</v>
      </c>
      <c r="E816" s="1" t="s">
        <v>337</v>
      </c>
      <c r="F816" s="1">
        <v>163523</v>
      </c>
      <c r="G816" s="1">
        <v>223523</v>
      </c>
      <c r="H816" s="1">
        <v>2.1</v>
      </c>
      <c r="I816" s="1">
        <v>59997.9</v>
      </c>
      <c r="J816" s="1">
        <v>163525.1</v>
      </c>
      <c r="K816" s="1">
        <v>108</v>
      </c>
      <c r="L816" s="1">
        <v>5.6607954545454557</v>
      </c>
      <c r="M816" s="1">
        <v>3085606.2857142859</v>
      </c>
      <c r="N816" s="7">
        <v>45947</v>
      </c>
      <c r="O816" s="1">
        <v>60000</v>
      </c>
      <c r="P816" s="7">
        <v>46174</v>
      </c>
      <c r="Q816" s="1" t="s">
        <v>330</v>
      </c>
      <c r="W816" s="3"/>
      <c r="X816" s="3">
        <v>0</v>
      </c>
      <c r="Y816" s="1" t="str">
        <f>VLOOKUP(A816,[1]Detalle!$D$2:$CR$484,93,FALSE)</f>
        <v>Sin Operación</v>
      </c>
    </row>
    <row r="817" spans="1:25" ht="14.25" customHeight="1" x14ac:dyDescent="0.3">
      <c r="A817" s="1" t="s">
        <v>148</v>
      </c>
      <c r="B817" s="1" t="s">
        <v>599</v>
      </c>
      <c r="C817" s="1" t="s">
        <v>599</v>
      </c>
      <c r="D817" s="1" t="s">
        <v>600</v>
      </c>
      <c r="E817" s="1" t="s">
        <v>337</v>
      </c>
      <c r="F817" s="1">
        <v>802722</v>
      </c>
      <c r="G817" s="1">
        <v>862722</v>
      </c>
      <c r="H817" s="1">
        <v>14655.30000000001</v>
      </c>
      <c r="I817" s="1">
        <v>45344.69999999999</v>
      </c>
      <c r="J817" s="1">
        <v>817377.3</v>
      </c>
      <c r="K817" s="1">
        <v>108</v>
      </c>
      <c r="L817" s="1">
        <v>100.27773026315791</v>
      </c>
      <c r="M817" s="1">
        <v>334.16085648195502</v>
      </c>
      <c r="N817" s="7">
        <v>45947</v>
      </c>
      <c r="O817" s="1">
        <v>60000</v>
      </c>
      <c r="P817" s="7">
        <v>46281.160856481481</v>
      </c>
      <c r="Q817" s="1" t="s">
        <v>330</v>
      </c>
      <c r="W817" s="3"/>
      <c r="X817" s="3">
        <v>0</v>
      </c>
      <c r="Y817" s="1" t="str">
        <f>VLOOKUP(A817,[1]Detalle!$D$2:$CR$484,93,FALSE)</f>
        <v>Unilever - Unilever de Arg. S.A.</v>
      </c>
    </row>
    <row r="818" spans="1:25" ht="14.25" customHeight="1" x14ac:dyDescent="0.3">
      <c r="A818" s="1" t="s">
        <v>174</v>
      </c>
      <c r="B818" s="1" t="s">
        <v>599</v>
      </c>
      <c r="C818" s="1" t="s">
        <v>599</v>
      </c>
      <c r="D818" s="1" t="s">
        <v>600</v>
      </c>
      <c r="E818" s="1" t="s">
        <v>337</v>
      </c>
      <c r="F818" s="1">
        <v>23487.8</v>
      </c>
      <c r="G818" s="1">
        <v>83487.8</v>
      </c>
      <c r="H818" s="1">
        <v>11983.499999999991</v>
      </c>
      <c r="I818" s="1">
        <v>48016.500000000007</v>
      </c>
      <c r="J818" s="1">
        <v>35471.300000000003</v>
      </c>
      <c r="K818" s="1">
        <v>108</v>
      </c>
      <c r="L818" s="1">
        <v>71.271935483870948</v>
      </c>
      <c r="M818" s="1">
        <v>432.7435223432222</v>
      </c>
      <c r="N818" s="7">
        <v>45947</v>
      </c>
      <c r="O818" s="1">
        <v>60000</v>
      </c>
      <c r="P818" s="7">
        <v>46379.743522337973</v>
      </c>
      <c r="Q818" s="1" t="s">
        <v>330</v>
      </c>
      <c r="W818" s="3"/>
      <c r="X818" s="3">
        <v>0</v>
      </c>
      <c r="Y818" s="1" t="str">
        <f>VLOOKUP(A818,[1]Detalle!$D$2:$CR$484,93,FALSE)</f>
        <v>Unilever - Unilever de Arg. S.A.</v>
      </c>
    </row>
    <row r="819" spans="1:25" ht="14.25" customHeight="1" x14ac:dyDescent="0.3">
      <c r="A819" s="1" t="s">
        <v>92</v>
      </c>
      <c r="B819" s="1" t="s">
        <v>599</v>
      </c>
      <c r="C819" s="1" t="s">
        <v>599</v>
      </c>
      <c r="D819" s="1" t="s">
        <v>600</v>
      </c>
      <c r="E819" s="1" t="s">
        <v>337</v>
      </c>
      <c r="F819" s="1">
        <v>23673.5</v>
      </c>
      <c r="G819" s="1">
        <v>83673.5</v>
      </c>
      <c r="H819" s="1">
        <v>12164.1</v>
      </c>
      <c r="I819" s="1">
        <v>47835.9</v>
      </c>
      <c r="J819" s="1">
        <v>35837.599999999999</v>
      </c>
      <c r="K819" s="1">
        <v>108</v>
      </c>
      <c r="L819" s="1">
        <v>65.871929260450116</v>
      </c>
      <c r="M819" s="1">
        <v>424.71512072409803</v>
      </c>
      <c r="N819" s="7">
        <v>45947</v>
      </c>
      <c r="O819" s="1">
        <v>60000</v>
      </c>
      <c r="P819" s="7">
        <v>46371.715120729168</v>
      </c>
      <c r="Q819" s="1" t="s">
        <v>330</v>
      </c>
      <c r="W819" s="3"/>
      <c r="X819" s="3">
        <v>0</v>
      </c>
      <c r="Y819" s="1" t="str">
        <f>VLOOKUP(A819,[1]Detalle!$D$2:$CR$484,93,FALSE)</f>
        <v>Unilever - Unilever de Arg. S.A.</v>
      </c>
    </row>
    <row r="820" spans="1:25" ht="14.25" customHeight="1" x14ac:dyDescent="0.3">
      <c r="A820" s="1" t="s">
        <v>121</v>
      </c>
      <c r="B820" s="1" t="s">
        <v>601</v>
      </c>
      <c r="C820" s="1" t="s">
        <v>601</v>
      </c>
      <c r="D820" s="1" t="s">
        <v>602</v>
      </c>
      <c r="E820" s="1" t="s">
        <v>337</v>
      </c>
      <c r="F820" s="1">
        <v>288895</v>
      </c>
      <c r="G820" s="1">
        <v>648895</v>
      </c>
      <c r="H820" s="1">
        <v>323.89999999999998</v>
      </c>
      <c r="I820" s="1">
        <v>359676.1</v>
      </c>
      <c r="J820" s="1">
        <v>289218.90000000002</v>
      </c>
      <c r="K820" s="1">
        <v>108</v>
      </c>
      <c r="L820" s="1">
        <v>10.97267741935484</v>
      </c>
      <c r="M820" s="1">
        <v>119929.0484717505</v>
      </c>
      <c r="N820" s="7">
        <v>45947</v>
      </c>
      <c r="O820" s="1">
        <v>360000</v>
      </c>
      <c r="P820" s="7">
        <v>46174</v>
      </c>
      <c r="Q820" s="1" t="s">
        <v>330</v>
      </c>
      <c r="W820" s="3"/>
      <c r="X820" s="3">
        <v>0</v>
      </c>
      <c r="Y820" s="1" t="str">
        <f>VLOOKUP(A820,[1]Detalle!$D$2:$CR$484,93,FALSE)</f>
        <v>CCUCoAZA</v>
      </c>
    </row>
    <row r="821" spans="1:25" ht="14.25" customHeight="1" x14ac:dyDescent="0.3">
      <c r="A821" s="1" t="s">
        <v>133</v>
      </c>
      <c r="B821" s="1" t="s">
        <v>601</v>
      </c>
      <c r="C821" s="1" t="s">
        <v>601</v>
      </c>
      <c r="D821" s="1" t="s">
        <v>602</v>
      </c>
      <c r="E821" s="1" t="s">
        <v>337</v>
      </c>
      <c r="G821" s="1">
        <v>1197815</v>
      </c>
      <c r="H821" s="1">
        <v>100</v>
      </c>
      <c r="I821" s="1">
        <v>359900</v>
      </c>
      <c r="J821" s="1">
        <v>837915</v>
      </c>
      <c r="L821" s="1">
        <v>846.93875000000003</v>
      </c>
      <c r="N821" s="7">
        <v>45947</v>
      </c>
      <c r="O821" s="1">
        <v>360000</v>
      </c>
      <c r="P821" s="7">
        <v>46372.06025376157</v>
      </c>
      <c r="Q821" s="1" t="s">
        <v>330</v>
      </c>
      <c r="W821" s="3"/>
      <c r="X821" s="3">
        <v>0</v>
      </c>
      <c r="Y821" s="1" t="str">
        <f>VLOOKUP(A821,[1]Detalle!$D$2:$CR$484,93,FALSE)</f>
        <v>CENCOMLD - Cencosud SA - Mendoza</v>
      </c>
    </row>
    <row r="822" spans="1:25" ht="14.25" customHeight="1" x14ac:dyDescent="0.3">
      <c r="A822" s="1" t="s">
        <v>51</v>
      </c>
      <c r="B822" s="1" t="s">
        <v>601</v>
      </c>
      <c r="C822" s="1" t="s">
        <v>601</v>
      </c>
      <c r="D822" s="1" t="s">
        <v>602</v>
      </c>
      <c r="E822" s="1" t="s">
        <v>337</v>
      </c>
      <c r="F822" s="1">
        <v>62508.4</v>
      </c>
      <c r="G822" s="1">
        <v>422508.4</v>
      </c>
      <c r="H822" s="1">
        <v>2224.6</v>
      </c>
      <c r="I822" s="1">
        <v>357775.4</v>
      </c>
      <c r="J822" s="1">
        <v>64733</v>
      </c>
      <c r="K822" s="1">
        <v>108</v>
      </c>
      <c r="L822" s="1">
        <v>21.44832713754645</v>
      </c>
      <c r="M822" s="1">
        <v>17369.299289759962</v>
      </c>
      <c r="N822" s="7">
        <v>45947</v>
      </c>
      <c r="O822" s="1">
        <v>360000</v>
      </c>
      <c r="P822" s="7">
        <v>46174</v>
      </c>
      <c r="Q822" s="1" t="s">
        <v>330</v>
      </c>
      <c r="W822" s="3"/>
      <c r="X822" s="3">
        <v>0</v>
      </c>
      <c r="Y822" s="1" t="str">
        <f>VLOOKUP(A822,[1]Detalle!$D$2:$CR$484,93,FALSE)</f>
        <v>CMQ_TTE - QUILMES TTE</v>
      </c>
    </row>
    <row r="823" spans="1:25" ht="14.25" customHeight="1" x14ac:dyDescent="0.3">
      <c r="A823" s="1" t="s">
        <v>54</v>
      </c>
      <c r="B823" s="1" t="s">
        <v>601</v>
      </c>
      <c r="C823" s="1" t="s">
        <v>601</v>
      </c>
      <c r="D823" s="1" t="s">
        <v>602</v>
      </c>
      <c r="E823" s="1" t="s">
        <v>337</v>
      </c>
      <c r="F823" s="1">
        <v>46127.5</v>
      </c>
      <c r="G823" s="1">
        <v>406127.5</v>
      </c>
      <c r="H823" s="1">
        <v>2810.9</v>
      </c>
      <c r="I823" s="1">
        <v>357189.1</v>
      </c>
      <c r="J823" s="1">
        <v>48938.400000000001</v>
      </c>
      <c r="K823" s="1">
        <v>108</v>
      </c>
      <c r="L823" s="1">
        <v>37.059548872180457</v>
      </c>
      <c r="M823" s="1">
        <v>13723.868796470881</v>
      </c>
      <c r="N823" s="7">
        <v>45947</v>
      </c>
      <c r="O823" s="1">
        <v>360000</v>
      </c>
      <c r="P823" s="7">
        <v>46174</v>
      </c>
      <c r="Q823" s="1" t="s">
        <v>330</v>
      </c>
      <c r="W823" s="3"/>
      <c r="X823" s="3">
        <v>0</v>
      </c>
      <c r="Y823" s="1" t="str">
        <f>VLOOKUP(A823,[1]Detalle!$D$2:$CR$484,93,FALSE)</f>
        <v>CMQ_TTE - QUILMES TTE</v>
      </c>
    </row>
    <row r="824" spans="1:25" ht="14.25" customHeight="1" x14ac:dyDescent="0.3">
      <c r="A824" s="1" t="s">
        <v>67</v>
      </c>
      <c r="B824" s="1" t="s">
        <v>601</v>
      </c>
      <c r="C824" s="1" t="s">
        <v>601</v>
      </c>
      <c r="D824" s="1" t="s">
        <v>602</v>
      </c>
      <c r="E824" s="1" t="s">
        <v>337</v>
      </c>
      <c r="F824" s="1">
        <v>52756</v>
      </c>
      <c r="G824" s="1">
        <v>412756</v>
      </c>
      <c r="H824" s="1">
        <v>3546.400000000001</v>
      </c>
      <c r="I824" s="1">
        <v>356453.6</v>
      </c>
      <c r="J824" s="1">
        <v>56302.400000000001</v>
      </c>
      <c r="K824" s="1">
        <v>108</v>
      </c>
      <c r="L824" s="1">
        <v>24.52509293680297</v>
      </c>
      <c r="M824" s="1">
        <v>10855.23031806902</v>
      </c>
      <c r="N824" s="7">
        <v>45947</v>
      </c>
      <c r="O824" s="1">
        <v>360000</v>
      </c>
      <c r="P824" s="7">
        <v>46174</v>
      </c>
      <c r="Q824" s="1" t="s">
        <v>330</v>
      </c>
      <c r="W824" s="3"/>
      <c r="X824" s="3">
        <v>0</v>
      </c>
      <c r="Y824" s="1" t="str">
        <f>VLOOKUP(A824,[1]Detalle!$D$2:$CR$484,93,FALSE)</f>
        <v>CMQ_TTE - QUILMES TTE</v>
      </c>
    </row>
    <row r="825" spans="1:25" ht="14.25" customHeight="1" x14ac:dyDescent="0.3">
      <c r="A825" s="1" t="s">
        <v>192</v>
      </c>
      <c r="B825" s="1" t="s">
        <v>601</v>
      </c>
      <c r="C825" s="1" t="s">
        <v>601</v>
      </c>
      <c r="D825" s="1" t="s">
        <v>602</v>
      </c>
      <c r="E825" s="1" t="s">
        <v>337</v>
      </c>
      <c r="F825" s="1">
        <v>135569</v>
      </c>
      <c r="G825" s="1">
        <v>495569</v>
      </c>
      <c r="H825" s="1">
        <v>0.4</v>
      </c>
      <c r="I825" s="1">
        <v>359999.6</v>
      </c>
      <c r="J825" s="1">
        <v>135569.4</v>
      </c>
      <c r="K825" s="1">
        <v>108</v>
      </c>
      <c r="L825" s="1">
        <v>9.0852830188679246</v>
      </c>
      <c r="M825" s="1">
        <v>97199891.999999985</v>
      </c>
      <c r="N825" s="7">
        <v>45947</v>
      </c>
      <c r="O825" s="1">
        <v>360000</v>
      </c>
      <c r="P825" s="7">
        <v>46174</v>
      </c>
      <c r="Q825" s="1" t="s">
        <v>330</v>
      </c>
      <c r="W825" s="3"/>
      <c r="X825" s="3">
        <v>0</v>
      </c>
      <c r="Y825" s="1" t="str">
        <f>VLOOKUP(A825,[1]Detalle!$D$2:$CR$484,93,FALSE)</f>
        <v>Sin Operación</v>
      </c>
    </row>
    <row r="826" spans="1:25" ht="14.25" customHeight="1" x14ac:dyDescent="0.3">
      <c r="A826" s="1" t="s">
        <v>197</v>
      </c>
      <c r="B826" s="1" t="s">
        <v>601</v>
      </c>
      <c r="C826" s="1" t="s">
        <v>601</v>
      </c>
      <c r="D826" s="1" t="s">
        <v>602</v>
      </c>
      <c r="E826" s="1" t="s">
        <v>337</v>
      </c>
      <c r="F826" s="1">
        <v>166036</v>
      </c>
      <c r="G826" s="1">
        <v>526036</v>
      </c>
      <c r="H826" s="1">
        <v>0.4</v>
      </c>
      <c r="I826" s="1">
        <v>359999.6</v>
      </c>
      <c r="J826" s="1">
        <v>166036.4</v>
      </c>
      <c r="K826" s="1">
        <v>108</v>
      </c>
      <c r="L826" s="1">
        <v>3.1153992395437262</v>
      </c>
      <c r="M826" s="1">
        <v>97199891.999999985</v>
      </c>
      <c r="N826" s="7">
        <v>45947</v>
      </c>
      <c r="O826" s="1">
        <v>360000</v>
      </c>
      <c r="P826" s="7">
        <v>46174</v>
      </c>
      <c r="Q826" s="1" t="s">
        <v>330</v>
      </c>
      <c r="W826" s="3"/>
      <c r="X826" s="3">
        <v>0</v>
      </c>
      <c r="Y826" s="1" t="str">
        <f>VLOOKUP(A826,[1]Detalle!$D$2:$CR$484,93,FALSE)</f>
        <v>Sin Operación</v>
      </c>
    </row>
    <row r="827" spans="1:25" ht="14.25" customHeight="1" x14ac:dyDescent="0.3">
      <c r="A827" s="1" t="s">
        <v>206</v>
      </c>
      <c r="B827" s="1" t="s">
        <v>601</v>
      </c>
      <c r="C827" s="1" t="s">
        <v>601</v>
      </c>
      <c r="D827" s="1" t="s">
        <v>602</v>
      </c>
      <c r="E827" s="1" t="s">
        <v>337</v>
      </c>
      <c r="F827" s="1">
        <v>220694</v>
      </c>
      <c r="G827" s="1">
        <v>580694</v>
      </c>
      <c r="H827" s="1">
        <v>1856</v>
      </c>
      <c r="I827" s="1">
        <v>358144</v>
      </c>
      <c r="J827" s="1">
        <v>222550</v>
      </c>
      <c r="K827" s="1">
        <v>108</v>
      </c>
      <c r="L827" s="1">
        <v>9.7282442748091569</v>
      </c>
      <c r="M827" s="1">
        <v>20840.275862068971</v>
      </c>
      <c r="N827" s="7">
        <v>45947</v>
      </c>
      <c r="O827" s="1">
        <v>360000</v>
      </c>
      <c r="P827" s="7">
        <v>46174</v>
      </c>
      <c r="Q827" s="1" t="s">
        <v>330</v>
      </c>
      <c r="W827" s="3"/>
      <c r="X827" s="3">
        <v>0</v>
      </c>
      <c r="Y827" s="1" t="str">
        <f>VLOOKUP(A827,[1]Detalle!$D$2:$CR$484,93,FALSE)</f>
        <v>Sin Operación</v>
      </c>
    </row>
    <row r="828" spans="1:25" ht="14.25" customHeight="1" x14ac:dyDescent="0.3">
      <c r="A828" s="1" t="s">
        <v>225</v>
      </c>
      <c r="B828" s="1" t="s">
        <v>601</v>
      </c>
      <c r="C828" s="1" t="s">
        <v>601</v>
      </c>
      <c r="D828" s="1" t="s">
        <v>602</v>
      </c>
      <c r="E828" s="1" t="s">
        <v>337</v>
      </c>
      <c r="F828" s="1">
        <v>163523</v>
      </c>
      <c r="G828" s="1">
        <v>523523</v>
      </c>
      <c r="H828" s="1">
        <v>2.1</v>
      </c>
      <c r="I828" s="1">
        <v>359997.9</v>
      </c>
      <c r="J828" s="1">
        <v>163525.1</v>
      </c>
      <c r="K828" s="1">
        <v>108</v>
      </c>
      <c r="L828" s="1">
        <v>5.6607954545454557</v>
      </c>
      <c r="M828" s="1">
        <v>18514177.71428572</v>
      </c>
      <c r="N828" s="7">
        <v>45947</v>
      </c>
      <c r="O828" s="1">
        <v>360000</v>
      </c>
      <c r="P828" s="7">
        <v>46174</v>
      </c>
      <c r="Q828" s="1" t="s">
        <v>330</v>
      </c>
      <c r="W828" s="3"/>
      <c r="X828" s="3">
        <v>0</v>
      </c>
      <c r="Y828" s="1" t="str">
        <f>VLOOKUP(A828,[1]Detalle!$D$2:$CR$484,93,FALSE)</f>
        <v>Sin Operación</v>
      </c>
    </row>
    <row r="829" spans="1:25" ht="14.25" customHeight="1" x14ac:dyDescent="0.3">
      <c r="A829" s="1" t="s">
        <v>126</v>
      </c>
      <c r="B829" s="1" t="s">
        <v>601</v>
      </c>
      <c r="C829" s="1" t="s">
        <v>601</v>
      </c>
      <c r="D829" s="1" t="s">
        <v>602</v>
      </c>
      <c r="E829" s="1" t="s">
        <v>337</v>
      </c>
      <c r="F829" s="1">
        <v>605714</v>
      </c>
      <c r="G829" s="1">
        <v>965714</v>
      </c>
      <c r="H829" s="1">
        <v>544.80000000000007</v>
      </c>
      <c r="I829" s="1">
        <v>359455.2</v>
      </c>
      <c r="J829" s="1">
        <v>606258.80000000005</v>
      </c>
      <c r="K829" s="1">
        <v>108</v>
      </c>
      <c r="L829" s="1">
        <v>2.7549668874172188</v>
      </c>
      <c r="M829" s="1">
        <v>71257.638766519813</v>
      </c>
      <c r="N829" s="7">
        <v>45947</v>
      </c>
      <c r="O829" s="1">
        <v>360000</v>
      </c>
      <c r="P829" s="7">
        <v>46174</v>
      </c>
      <c r="Q829" s="1" t="s">
        <v>330</v>
      </c>
      <c r="W829" s="3"/>
      <c r="X829" s="3">
        <v>0</v>
      </c>
      <c r="Y829" s="1" t="str">
        <f>VLOOKUP(A829,[1]Detalle!$D$2:$CR$484,93,FALSE)</f>
        <v>Sin Operación</v>
      </c>
    </row>
    <row r="830" spans="1:25" ht="14.25" customHeight="1" x14ac:dyDescent="0.3">
      <c r="A830" s="1" t="s">
        <v>138</v>
      </c>
      <c r="B830" s="1" t="s">
        <v>603</v>
      </c>
      <c r="C830" s="1" t="s">
        <v>603</v>
      </c>
      <c r="D830" s="1" t="s">
        <v>604</v>
      </c>
      <c r="E830" s="1" t="s">
        <v>337</v>
      </c>
      <c r="F830" s="1">
        <v>36774</v>
      </c>
      <c r="G830" s="1">
        <v>96774</v>
      </c>
      <c r="H830" s="1">
        <v>20906.099999999999</v>
      </c>
      <c r="I830" s="1">
        <v>39093.9</v>
      </c>
      <c r="J830" s="1">
        <v>57680.1</v>
      </c>
      <c r="K830" s="1">
        <v>108</v>
      </c>
      <c r="L830" s="1">
        <v>129.25862179487169</v>
      </c>
      <c r="M830" s="1">
        <v>201.95738086013179</v>
      </c>
      <c r="N830" s="7">
        <v>45947</v>
      </c>
      <c r="O830" s="1">
        <v>60000</v>
      </c>
      <c r="P830" s="7">
        <v>46148.957380856482</v>
      </c>
      <c r="Q830" s="1" t="s">
        <v>330</v>
      </c>
      <c r="W830" s="3"/>
      <c r="X830" s="3">
        <v>0</v>
      </c>
      <c r="Y830" s="1" t="str">
        <f>VLOOKUP(A830,[1]Detalle!$D$2:$CR$484,93,FALSE)</f>
        <v>SUC_MEN - Sucursal Mendoza</v>
      </c>
    </row>
    <row r="831" spans="1:25" ht="14.25" customHeight="1" x14ac:dyDescent="0.3">
      <c r="A831" s="1" t="s">
        <v>121</v>
      </c>
      <c r="B831" s="1" t="s">
        <v>603</v>
      </c>
      <c r="C831" s="1" t="s">
        <v>603</v>
      </c>
      <c r="D831" s="1" t="s">
        <v>604</v>
      </c>
      <c r="E831" s="1" t="s">
        <v>337</v>
      </c>
      <c r="F831" s="1">
        <v>288895</v>
      </c>
      <c r="G831" s="1">
        <v>348895</v>
      </c>
      <c r="H831" s="1">
        <v>323.89999999999998</v>
      </c>
      <c r="I831" s="1">
        <v>59676.1</v>
      </c>
      <c r="J831" s="1">
        <v>289218.90000000002</v>
      </c>
      <c r="K831" s="1">
        <v>108</v>
      </c>
      <c r="L831" s="1">
        <v>10.97267741935484</v>
      </c>
      <c r="M831" s="1">
        <v>19898.174745291759</v>
      </c>
      <c r="N831" s="7">
        <v>45947</v>
      </c>
      <c r="O831" s="1">
        <v>60000</v>
      </c>
      <c r="P831" s="7">
        <v>46174</v>
      </c>
      <c r="Q831" s="1" t="s">
        <v>330</v>
      </c>
      <c r="W831" s="3"/>
      <c r="X831" s="3">
        <v>0</v>
      </c>
      <c r="Y831" s="1" t="str">
        <f>VLOOKUP(A831,[1]Detalle!$D$2:$CR$484,93,FALSE)</f>
        <v>CCUCoAZA</v>
      </c>
    </row>
    <row r="832" spans="1:25" ht="14.25" customHeight="1" x14ac:dyDescent="0.3">
      <c r="A832" s="1" t="s">
        <v>111</v>
      </c>
      <c r="B832" s="1" t="s">
        <v>603</v>
      </c>
      <c r="C832" s="1" t="s">
        <v>603</v>
      </c>
      <c r="D832" s="1" t="s">
        <v>604</v>
      </c>
      <c r="E832" s="1" t="s">
        <v>337</v>
      </c>
      <c r="F832" s="1">
        <v>29376</v>
      </c>
      <c r="G832" s="1">
        <v>89376</v>
      </c>
      <c r="H832" s="1">
        <v>18480.600000000009</v>
      </c>
      <c r="I832" s="1">
        <v>41519.399999999987</v>
      </c>
      <c r="J832" s="1">
        <v>47856.600000000013</v>
      </c>
      <c r="K832" s="1">
        <v>108</v>
      </c>
      <c r="L832" s="1">
        <v>104.473717948718</v>
      </c>
      <c r="M832" s="1">
        <v>242.63796629979529</v>
      </c>
      <c r="N832" s="7">
        <v>45947</v>
      </c>
      <c r="O832" s="1">
        <v>60000</v>
      </c>
      <c r="P832" s="7">
        <v>46189.637966296294</v>
      </c>
      <c r="Q832" s="1" t="s">
        <v>330</v>
      </c>
      <c r="W832" s="3"/>
      <c r="X832" s="3">
        <v>0</v>
      </c>
      <c r="Y832" s="1" t="str">
        <f>VLOOKUP(A832,[1]Detalle!$D$2:$CR$484,93,FALSE)</f>
        <v>SUC_MEN - Sucursal Mendoza</v>
      </c>
    </row>
    <row r="833" spans="1:25" ht="14.25" customHeight="1" x14ac:dyDescent="0.3">
      <c r="A833" s="1" t="s">
        <v>153</v>
      </c>
      <c r="B833" s="1" t="s">
        <v>603</v>
      </c>
      <c r="C833" s="1" t="s">
        <v>603</v>
      </c>
      <c r="D833" s="1" t="s">
        <v>604</v>
      </c>
      <c r="E833" s="1" t="s">
        <v>337</v>
      </c>
      <c r="F833" s="1">
        <v>62342.400000000001</v>
      </c>
      <c r="G833" s="1">
        <v>122342.39999999999</v>
      </c>
      <c r="H833" s="1">
        <v>32041</v>
      </c>
      <c r="I833" s="1">
        <v>27959</v>
      </c>
      <c r="J833" s="1">
        <v>94383.4</v>
      </c>
      <c r="K833" s="1">
        <v>108</v>
      </c>
      <c r="L833" s="1">
        <v>215.45547231270371</v>
      </c>
      <c r="M833" s="1">
        <v>94.240878873942762</v>
      </c>
      <c r="N833" s="7">
        <v>45947</v>
      </c>
      <c r="O833" s="1">
        <v>60000</v>
      </c>
      <c r="P833" s="7">
        <v>46041.240878877317</v>
      </c>
      <c r="Q833" s="1" t="s">
        <v>330</v>
      </c>
      <c r="W833" s="3"/>
      <c r="X833" s="3">
        <v>0</v>
      </c>
      <c r="Y833" s="1" t="str">
        <f>VLOOKUP(A833,[1]Detalle!$D$2:$CR$484,93,FALSE)</f>
        <v>SUC_CTC - Sucursal Buenos Aires</v>
      </c>
    </row>
    <row r="834" spans="1:25" ht="14.25" customHeight="1" x14ac:dyDescent="0.3">
      <c r="A834" s="1" t="s">
        <v>120</v>
      </c>
      <c r="B834" s="1" t="s">
        <v>603</v>
      </c>
      <c r="C834" s="1" t="s">
        <v>603</v>
      </c>
      <c r="D834" s="1" t="s">
        <v>604</v>
      </c>
      <c r="E834" s="1" t="s">
        <v>337</v>
      </c>
      <c r="F834" s="1">
        <v>34907.699999999997</v>
      </c>
      <c r="G834" s="1">
        <v>94907.7</v>
      </c>
      <c r="H834" s="1">
        <v>12143.5</v>
      </c>
      <c r="I834" s="1">
        <v>47856.5</v>
      </c>
      <c r="J834" s="1">
        <v>47051.199999999997</v>
      </c>
      <c r="K834" s="1">
        <v>108</v>
      </c>
      <c r="L834" s="1">
        <v>86.918456591639867</v>
      </c>
      <c r="M834" s="1">
        <v>425.61880841602499</v>
      </c>
      <c r="N834" s="7">
        <v>45947</v>
      </c>
      <c r="O834" s="1">
        <v>60000</v>
      </c>
      <c r="P834" s="7">
        <v>46372.61880841435</v>
      </c>
      <c r="Q834" s="1" t="s">
        <v>330</v>
      </c>
      <c r="W834" s="3"/>
      <c r="X834" s="3">
        <v>0</v>
      </c>
      <c r="Y834" s="1" t="str">
        <f>VLOOKUP(A834,[1]Detalle!$D$2:$CR$484,93,FALSE)</f>
        <v>SUC_MEN - Sucursal Mendoza</v>
      </c>
    </row>
    <row r="835" spans="1:25" ht="14.25" customHeight="1" x14ac:dyDescent="0.3">
      <c r="A835" s="1" t="s">
        <v>141</v>
      </c>
      <c r="B835" s="1" t="s">
        <v>603</v>
      </c>
      <c r="C835" s="1" t="s">
        <v>603</v>
      </c>
      <c r="D835" s="1" t="s">
        <v>604</v>
      </c>
      <c r="E835" s="1" t="s">
        <v>337</v>
      </c>
      <c r="F835" s="1">
        <v>479305</v>
      </c>
      <c r="G835" s="1">
        <v>539305</v>
      </c>
      <c r="H835" s="1">
        <v>12745.8</v>
      </c>
      <c r="I835" s="1">
        <v>47254.2</v>
      </c>
      <c r="J835" s="1">
        <v>492050.8</v>
      </c>
      <c r="K835" s="1">
        <v>108</v>
      </c>
      <c r="L835" s="1">
        <v>131.1199356913184</v>
      </c>
      <c r="M835" s="1">
        <v>400.4027679706258</v>
      </c>
      <c r="N835" s="7">
        <v>45947</v>
      </c>
      <c r="O835" s="1">
        <v>60000</v>
      </c>
      <c r="P835" s="7">
        <v>46347.402767974527</v>
      </c>
      <c r="Q835" s="1" t="s">
        <v>330</v>
      </c>
      <c r="W835" s="3"/>
      <c r="X835" s="3">
        <v>0</v>
      </c>
      <c r="Y835" s="1" t="str">
        <f>VLOOKUP(A835,[1]Detalle!$D$2:$CR$484,93,FALSE)</f>
        <v>Unilever - Unilever de Arg. S.A.</v>
      </c>
    </row>
    <row r="836" spans="1:25" ht="14.25" customHeight="1" x14ac:dyDescent="0.3">
      <c r="A836" s="1" t="s">
        <v>150</v>
      </c>
      <c r="B836" s="1" t="s">
        <v>603</v>
      </c>
      <c r="C836" s="1" t="s">
        <v>603</v>
      </c>
      <c r="D836" s="1" t="s">
        <v>604</v>
      </c>
      <c r="E836" s="1" t="s">
        <v>337</v>
      </c>
      <c r="F836" s="1">
        <v>721574</v>
      </c>
      <c r="G836" s="1">
        <v>781574</v>
      </c>
      <c r="H836" s="1">
        <v>18803.3</v>
      </c>
      <c r="I836" s="1">
        <v>41196.699999999997</v>
      </c>
      <c r="J836" s="1">
        <v>740377.3</v>
      </c>
      <c r="K836" s="1">
        <v>108</v>
      </c>
      <c r="L836" s="1">
        <v>143.50707395498381</v>
      </c>
      <c r="M836" s="1">
        <v>236.62035919226949</v>
      </c>
      <c r="N836" s="7">
        <v>45947</v>
      </c>
      <c r="O836" s="1">
        <v>60000</v>
      </c>
      <c r="P836" s="7">
        <v>46183.620359189823</v>
      </c>
      <c r="Q836" s="1" t="s">
        <v>330</v>
      </c>
      <c r="W836" s="3"/>
      <c r="X836" s="3">
        <v>0</v>
      </c>
      <c r="Y836" s="1" t="str">
        <f>VLOOKUP(A836,[1]Detalle!$D$2:$CR$484,93,FALSE)</f>
        <v>Papelera - Papelera del Plata S.A.</v>
      </c>
    </row>
    <row r="837" spans="1:25" ht="14.25" customHeight="1" x14ac:dyDescent="0.3">
      <c r="A837" s="1" t="s">
        <v>79</v>
      </c>
      <c r="B837" s="1" t="s">
        <v>603</v>
      </c>
      <c r="C837" s="1" t="s">
        <v>603</v>
      </c>
      <c r="D837" s="1" t="s">
        <v>604</v>
      </c>
      <c r="E837" s="1" t="s">
        <v>337</v>
      </c>
      <c r="F837" s="1">
        <v>62983.8</v>
      </c>
      <c r="G837" s="1">
        <v>122983.8</v>
      </c>
      <c r="H837" s="1">
        <v>20504.400000000009</v>
      </c>
      <c r="I837" s="1">
        <v>39495.599999999991</v>
      </c>
      <c r="J837" s="1">
        <v>83488.200000000012</v>
      </c>
      <c r="K837" s="1">
        <v>108</v>
      </c>
      <c r="L837" s="1">
        <v>94.269867549668859</v>
      </c>
      <c r="M837" s="1">
        <v>208.02973020424881</v>
      </c>
      <c r="N837" s="7">
        <v>45947</v>
      </c>
      <c r="O837" s="1">
        <v>60000</v>
      </c>
      <c r="P837" s="7">
        <v>46155.029730208327</v>
      </c>
      <c r="Q837" s="1" t="s">
        <v>330</v>
      </c>
      <c r="W837" s="3"/>
      <c r="X837" s="3">
        <v>0</v>
      </c>
      <c r="Y837" s="1" t="str">
        <f>VLOOKUP(A837,[1]Detalle!$D$2:$CR$484,93,FALSE)</f>
        <v>Papelera - Papelera del Plata S.A.</v>
      </c>
    </row>
    <row r="838" spans="1:25" ht="14.25" customHeight="1" x14ac:dyDescent="0.3">
      <c r="A838" s="1" t="s">
        <v>75</v>
      </c>
      <c r="B838" s="1" t="s">
        <v>603</v>
      </c>
      <c r="C838" s="1" t="s">
        <v>603</v>
      </c>
      <c r="D838" s="1" t="s">
        <v>604</v>
      </c>
      <c r="E838" s="1" t="s">
        <v>337</v>
      </c>
      <c r="F838" s="1">
        <v>49220.5</v>
      </c>
      <c r="G838" s="1">
        <v>109220.5</v>
      </c>
      <c r="H838" s="1">
        <v>20551.500000000011</v>
      </c>
      <c r="I838" s="1">
        <v>39448.499999999993</v>
      </c>
      <c r="J838" s="1">
        <v>69772.000000000015</v>
      </c>
      <c r="K838" s="1">
        <v>108</v>
      </c>
      <c r="L838" s="1">
        <v>83.847709677419346</v>
      </c>
      <c r="M838" s="1">
        <v>207.30545215677671</v>
      </c>
      <c r="N838" s="7">
        <v>45947</v>
      </c>
      <c r="O838" s="1">
        <v>60000</v>
      </c>
      <c r="P838" s="7">
        <v>46154.305452152781</v>
      </c>
      <c r="Q838" s="1" t="s">
        <v>330</v>
      </c>
      <c r="W838" s="3"/>
      <c r="X838" s="3">
        <v>0</v>
      </c>
      <c r="Y838" s="1" t="str">
        <f>VLOOKUP(A838,[1]Detalle!$D$2:$CR$484,93,FALSE)</f>
        <v>Papelera - Papelera del Plata S.A.</v>
      </c>
    </row>
    <row r="839" spans="1:25" ht="14.25" customHeight="1" x14ac:dyDescent="0.3">
      <c r="A839" s="1" t="s">
        <v>149</v>
      </c>
      <c r="B839" s="1" t="s">
        <v>603</v>
      </c>
      <c r="C839" s="1" t="s">
        <v>603</v>
      </c>
      <c r="D839" s="1" t="s">
        <v>604</v>
      </c>
      <c r="E839" s="1" t="s">
        <v>337</v>
      </c>
      <c r="F839" s="1">
        <v>666910</v>
      </c>
      <c r="G839" s="1">
        <v>726910</v>
      </c>
      <c r="H839" s="1">
        <v>11874.4</v>
      </c>
      <c r="I839" s="1">
        <v>48125.600000000013</v>
      </c>
      <c r="J839" s="1">
        <v>678784.4</v>
      </c>
      <c r="K839" s="1">
        <v>108</v>
      </c>
      <c r="L839" s="1">
        <v>113.6646794871796</v>
      </c>
      <c r="M839" s="1">
        <v>437.71178333221059</v>
      </c>
      <c r="N839" s="7">
        <v>45947</v>
      </c>
      <c r="O839" s="1">
        <v>60000</v>
      </c>
      <c r="P839" s="7">
        <v>46384.711783333332</v>
      </c>
      <c r="Q839" s="1" t="s">
        <v>330</v>
      </c>
      <c r="W839" s="3"/>
      <c r="X839" s="3">
        <v>0</v>
      </c>
      <c r="Y839" s="1" t="str">
        <f>VLOOKUP(A839,[1]Detalle!$D$2:$CR$484,93,FALSE)</f>
        <v>Papelera - Papelera del Plata S.A.</v>
      </c>
    </row>
    <row r="840" spans="1:25" ht="14.25" customHeight="1" x14ac:dyDescent="0.3">
      <c r="A840" s="1" t="s">
        <v>161</v>
      </c>
      <c r="B840" s="1" t="s">
        <v>603</v>
      </c>
      <c r="C840" s="1" t="s">
        <v>603</v>
      </c>
      <c r="D840" s="1" t="s">
        <v>604</v>
      </c>
      <c r="E840" s="1" t="s">
        <v>337</v>
      </c>
      <c r="F840" s="1">
        <v>657691</v>
      </c>
      <c r="G840" s="1">
        <v>717691</v>
      </c>
      <c r="H840" s="1">
        <v>12471.9</v>
      </c>
      <c r="I840" s="1">
        <v>47528.100000000013</v>
      </c>
      <c r="J840" s="1">
        <v>670162.9</v>
      </c>
      <c r="K840" s="1">
        <v>108</v>
      </c>
      <c r="L840" s="1">
        <v>112.4813870967742</v>
      </c>
      <c r="M840" s="1">
        <v>411.56798883891003</v>
      </c>
      <c r="N840" s="7">
        <v>45947</v>
      </c>
      <c r="O840" s="1">
        <v>60000</v>
      </c>
      <c r="P840" s="7">
        <v>46358.567988842588</v>
      </c>
      <c r="Q840" s="1" t="s">
        <v>330</v>
      </c>
      <c r="W840" s="3"/>
      <c r="X840" s="3">
        <v>0</v>
      </c>
      <c r="Y840" s="1" t="str">
        <f>VLOOKUP(A840,[1]Detalle!$D$2:$CR$484,93,FALSE)</f>
        <v>Unilever - Unilever de Arg. S.A.</v>
      </c>
    </row>
    <row r="841" spans="1:25" ht="14.25" customHeight="1" x14ac:dyDescent="0.3">
      <c r="A841" s="1" t="s">
        <v>152</v>
      </c>
      <c r="B841" s="1" t="s">
        <v>603</v>
      </c>
      <c r="C841" s="1" t="s">
        <v>603</v>
      </c>
      <c r="D841" s="1" t="s">
        <v>604</v>
      </c>
      <c r="E841" s="1" t="s">
        <v>337</v>
      </c>
      <c r="F841" s="1">
        <v>953293</v>
      </c>
      <c r="G841" s="1">
        <v>1013293</v>
      </c>
      <c r="H841" s="1">
        <v>19115</v>
      </c>
      <c r="I841" s="1">
        <v>40885</v>
      </c>
      <c r="J841" s="1">
        <v>972408</v>
      </c>
      <c r="K841" s="1">
        <v>108</v>
      </c>
      <c r="L841" s="1">
        <v>132.10963696369629</v>
      </c>
      <c r="M841" s="1">
        <v>231.00078472403879</v>
      </c>
      <c r="N841" s="7">
        <v>45947</v>
      </c>
      <c r="O841" s="1">
        <v>60000</v>
      </c>
      <c r="P841" s="7">
        <v>46178.000784722222</v>
      </c>
      <c r="Q841" s="1" t="s">
        <v>330</v>
      </c>
      <c r="W841" s="3"/>
      <c r="X841" s="3">
        <v>0</v>
      </c>
      <c r="Y841" s="1" t="str">
        <f>VLOOKUP(A841,[1]Detalle!$D$2:$CR$484,93,FALSE)</f>
        <v>SUC_REA - Sucursal Realicó</v>
      </c>
    </row>
    <row r="842" spans="1:25" ht="14.25" customHeight="1" x14ac:dyDescent="0.3">
      <c r="A842" s="1" t="s">
        <v>15</v>
      </c>
      <c r="B842" s="1" t="s">
        <v>603</v>
      </c>
      <c r="C842" s="1" t="s">
        <v>603</v>
      </c>
      <c r="D842" s="1" t="s">
        <v>604</v>
      </c>
      <c r="E842" s="1" t="s">
        <v>337</v>
      </c>
      <c r="F842" s="1">
        <v>686509</v>
      </c>
      <c r="G842" s="1">
        <v>746509</v>
      </c>
      <c r="H842" s="1">
        <v>39429.399999999987</v>
      </c>
      <c r="I842" s="1">
        <v>20570.600000000009</v>
      </c>
      <c r="J842" s="1">
        <v>725938.4</v>
      </c>
      <c r="K842" s="1">
        <v>108</v>
      </c>
      <c r="L842" s="1">
        <v>2357.9716911764699</v>
      </c>
      <c r="M842" s="1">
        <v>56.344372473332143</v>
      </c>
      <c r="N842" s="7">
        <v>45947</v>
      </c>
      <c r="O842" s="1">
        <v>60000</v>
      </c>
      <c r="P842" s="7">
        <v>46028.789970578713</v>
      </c>
      <c r="Q842" s="1" t="s">
        <v>330</v>
      </c>
      <c r="W842" s="3"/>
      <c r="X842" s="3">
        <v>0</v>
      </c>
      <c r="Y842" s="1" t="str">
        <f>VLOOKUP(A842,[1]Detalle!$D$2:$CR$484,93,FALSE)</f>
        <v>CENCOMLD - Cencosud SA - Mendoza</v>
      </c>
    </row>
    <row r="843" spans="1:25" ht="14.25" customHeight="1" x14ac:dyDescent="0.3">
      <c r="A843" s="1" t="s">
        <v>164</v>
      </c>
      <c r="B843" s="1" t="s">
        <v>603</v>
      </c>
      <c r="C843" s="1" t="s">
        <v>603</v>
      </c>
      <c r="D843" s="1" t="s">
        <v>604</v>
      </c>
      <c r="E843" s="1" t="s">
        <v>337</v>
      </c>
      <c r="F843" s="1">
        <v>2152173</v>
      </c>
      <c r="G843" s="1">
        <v>2212173</v>
      </c>
      <c r="H843" s="1">
        <v>12169.1</v>
      </c>
      <c r="I843" s="1">
        <v>47830.899999999987</v>
      </c>
      <c r="J843" s="1">
        <v>2164342.1</v>
      </c>
      <c r="K843" s="1">
        <v>108</v>
      </c>
      <c r="L843" s="1">
        <v>69.022379421221856</v>
      </c>
      <c r="M843" s="1">
        <v>424.49624047793162</v>
      </c>
      <c r="N843" s="7">
        <v>45947</v>
      </c>
      <c r="O843" s="1">
        <v>60000</v>
      </c>
      <c r="P843" s="7">
        <v>46371.496240474538</v>
      </c>
      <c r="Q843" s="1" t="s">
        <v>330</v>
      </c>
      <c r="W843" s="3"/>
      <c r="X843" s="3">
        <v>0</v>
      </c>
      <c r="Y843" s="1" t="str">
        <f>VLOOKUP(A843,[1]Detalle!$D$2:$CR$484,93,FALSE)</f>
        <v>SUC_MEN - Sucursal Mendoza</v>
      </c>
    </row>
    <row r="844" spans="1:25" ht="14.25" customHeight="1" x14ac:dyDescent="0.3">
      <c r="A844" s="1" t="s">
        <v>133</v>
      </c>
      <c r="B844" s="1" t="s">
        <v>603</v>
      </c>
      <c r="C844" s="1" t="s">
        <v>603</v>
      </c>
      <c r="D844" s="1" t="s">
        <v>604</v>
      </c>
      <c r="E844" s="1" t="s">
        <v>337</v>
      </c>
      <c r="G844" s="1">
        <v>897815</v>
      </c>
      <c r="H844" s="1">
        <v>100</v>
      </c>
      <c r="I844" s="1">
        <v>59900</v>
      </c>
      <c r="J844" s="1">
        <v>837915</v>
      </c>
      <c r="L844" s="1">
        <v>846.93875000000003</v>
      </c>
      <c r="N844" s="7">
        <v>45947</v>
      </c>
      <c r="O844" s="1">
        <v>60000</v>
      </c>
      <c r="P844" s="7">
        <v>46088.686751250003</v>
      </c>
      <c r="Q844" s="1" t="s">
        <v>330</v>
      </c>
      <c r="R844" s="6">
        <v>46088.686751250003</v>
      </c>
      <c r="W844" s="3"/>
      <c r="X844" s="3">
        <v>0</v>
      </c>
      <c r="Y844" s="1" t="str">
        <f>VLOOKUP(A844,[1]Detalle!$D$2:$CR$484,93,FALSE)</f>
        <v>CENCOMLD - Cencosud SA - Mendoza</v>
      </c>
    </row>
    <row r="845" spans="1:25" ht="14.25" customHeight="1" x14ac:dyDescent="0.3">
      <c r="A845" s="1" t="s">
        <v>171</v>
      </c>
      <c r="B845" s="1" t="s">
        <v>603</v>
      </c>
      <c r="C845" s="1" t="s">
        <v>603</v>
      </c>
      <c r="D845" s="1" t="s">
        <v>604</v>
      </c>
      <c r="E845" s="1" t="s">
        <v>337</v>
      </c>
      <c r="F845" s="1">
        <v>33664.800000000003</v>
      </c>
      <c r="G845" s="1">
        <v>93664.8</v>
      </c>
      <c r="H845" s="1">
        <v>15342.8</v>
      </c>
      <c r="I845" s="1">
        <v>44657.2</v>
      </c>
      <c r="J845" s="1">
        <v>49007.600000000013</v>
      </c>
      <c r="K845" s="1">
        <v>108</v>
      </c>
      <c r="L845" s="1">
        <v>130.96596721311471</v>
      </c>
      <c r="M845" s="1">
        <v>314.34794170555563</v>
      </c>
      <c r="N845" s="7">
        <v>45947</v>
      </c>
      <c r="O845" s="1">
        <v>60000</v>
      </c>
      <c r="P845" s="7">
        <v>46261.347941701388</v>
      </c>
      <c r="Q845" s="1" t="s">
        <v>330</v>
      </c>
      <c r="W845" s="3"/>
      <c r="X845" s="3">
        <v>0</v>
      </c>
      <c r="Y845" s="1" t="str">
        <f>VLOOKUP(A845,[1]Detalle!$D$2:$CR$484,93,FALSE)</f>
        <v>CENCO_MZ - Cencosud SA - Mendoza</v>
      </c>
    </row>
    <row r="846" spans="1:25" ht="14.25" customHeight="1" x14ac:dyDescent="0.3">
      <c r="A846" s="1" t="s">
        <v>51</v>
      </c>
      <c r="B846" s="1" t="s">
        <v>603</v>
      </c>
      <c r="C846" s="1" t="s">
        <v>603</v>
      </c>
      <c r="D846" s="1" t="s">
        <v>604</v>
      </c>
      <c r="E846" s="1" t="s">
        <v>337</v>
      </c>
      <c r="F846" s="1">
        <v>62508.4</v>
      </c>
      <c r="G846" s="1">
        <v>122508.4</v>
      </c>
      <c r="H846" s="1">
        <v>2224.6</v>
      </c>
      <c r="I846" s="1">
        <v>57775.4</v>
      </c>
      <c r="J846" s="1">
        <v>64733</v>
      </c>
      <c r="K846" s="1">
        <v>108</v>
      </c>
      <c r="L846" s="1">
        <v>21.44832713754645</v>
      </c>
      <c r="M846" s="1">
        <v>2804.883214959993</v>
      </c>
      <c r="N846" s="7">
        <v>45947</v>
      </c>
      <c r="O846" s="1">
        <v>60000</v>
      </c>
      <c r="P846" s="7">
        <v>46174</v>
      </c>
      <c r="Q846" s="1" t="s">
        <v>330</v>
      </c>
      <c r="W846" s="3"/>
      <c r="X846" s="3">
        <v>0</v>
      </c>
      <c r="Y846" s="1" t="str">
        <f>VLOOKUP(A846,[1]Detalle!$D$2:$CR$484,93,FALSE)</f>
        <v>CMQ_TTE - QUILMES TTE</v>
      </c>
    </row>
    <row r="847" spans="1:25" ht="14.25" customHeight="1" x14ac:dyDescent="0.3">
      <c r="A847" s="1" t="s">
        <v>54</v>
      </c>
      <c r="B847" s="1" t="s">
        <v>603</v>
      </c>
      <c r="C847" s="1" t="s">
        <v>603</v>
      </c>
      <c r="D847" s="1" t="s">
        <v>604</v>
      </c>
      <c r="E847" s="1" t="s">
        <v>337</v>
      </c>
      <c r="F847" s="1">
        <v>46127.5</v>
      </c>
      <c r="G847" s="1">
        <v>106127.5</v>
      </c>
      <c r="H847" s="1">
        <v>2810.9</v>
      </c>
      <c r="I847" s="1">
        <v>57189.1</v>
      </c>
      <c r="J847" s="1">
        <v>48938.400000000001</v>
      </c>
      <c r="K847" s="1">
        <v>108</v>
      </c>
      <c r="L847" s="1">
        <v>37.059548872180457</v>
      </c>
      <c r="M847" s="1">
        <v>2197.31146607848</v>
      </c>
      <c r="N847" s="7">
        <v>45947</v>
      </c>
      <c r="O847" s="1">
        <v>60000</v>
      </c>
      <c r="P847" s="7">
        <v>46174</v>
      </c>
      <c r="Q847" s="1" t="s">
        <v>330</v>
      </c>
      <c r="W847" s="3"/>
      <c r="X847" s="3">
        <v>0</v>
      </c>
      <c r="Y847" s="1" t="str">
        <f>VLOOKUP(A847,[1]Detalle!$D$2:$CR$484,93,FALSE)</f>
        <v>CMQ_TTE - QUILMES TTE</v>
      </c>
    </row>
    <row r="848" spans="1:25" ht="14.25" customHeight="1" x14ac:dyDescent="0.3">
      <c r="A848" s="1" t="s">
        <v>67</v>
      </c>
      <c r="B848" s="1" t="s">
        <v>603</v>
      </c>
      <c r="C848" s="1" t="s">
        <v>603</v>
      </c>
      <c r="D848" s="1" t="s">
        <v>604</v>
      </c>
      <c r="E848" s="1" t="s">
        <v>337</v>
      </c>
      <c r="F848" s="1">
        <v>52756</v>
      </c>
      <c r="G848" s="1">
        <v>112756</v>
      </c>
      <c r="H848" s="1">
        <v>3546.400000000001</v>
      </c>
      <c r="I848" s="1">
        <v>56453.599999999999</v>
      </c>
      <c r="J848" s="1">
        <v>56302.400000000001</v>
      </c>
      <c r="K848" s="1">
        <v>108</v>
      </c>
      <c r="L848" s="1">
        <v>24.52509293680297</v>
      </c>
      <c r="M848" s="1">
        <v>1719.2050530115041</v>
      </c>
      <c r="N848" s="7">
        <v>45947</v>
      </c>
      <c r="O848" s="1">
        <v>60000</v>
      </c>
      <c r="P848" s="7">
        <v>46174</v>
      </c>
      <c r="Q848" s="1" t="s">
        <v>330</v>
      </c>
      <c r="W848" s="3"/>
      <c r="X848" s="3">
        <v>0</v>
      </c>
      <c r="Y848" s="1" t="str">
        <f>VLOOKUP(A848,[1]Detalle!$D$2:$CR$484,93,FALSE)</f>
        <v>CMQ_TTE - QUILMES TTE</v>
      </c>
    </row>
    <row r="849" spans="1:25" ht="14.25" customHeight="1" x14ac:dyDescent="0.3">
      <c r="A849" s="1" t="s">
        <v>2</v>
      </c>
      <c r="B849" s="1" t="s">
        <v>603</v>
      </c>
      <c r="C849" s="1" t="s">
        <v>603</v>
      </c>
      <c r="D849" s="1" t="s">
        <v>604</v>
      </c>
      <c r="E849" s="1" t="s">
        <v>337</v>
      </c>
      <c r="F849" s="1">
        <v>14205</v>
      </c>
      <c r="G849" s="1">
        <v>74205</v>
      </c>
      <c r="H849" s="1">
        <v>12306.6</v>
      </c>
      <c r="I849" s="1">
        <v>47693.399999999987</v>
      </c>
      <c r="J849" s="1">
        <v>26511.600000000009</v>
      </c>
      <c r="K849" s="1">
        <v>108</v>
      </c>
      <c r="L849" s="1">
        <v>68.135242718446577</v>
      </c>
      <c r="M849" s="1">
        <v>418.54673102237808</v>
      </c>
      <c r="N849" s="7">
        <v>45947</v>
      </c>
      <c r="O849" s="1">
        <v>60000</v>
      </c>
      <c r="P849" s="7">
        <v>46365.546731018519</v>
      </c>
      <c r="Q849" s="1" t="s">
        <v>330</v>
      </c>
      <c r="W849" s="3"/>
      <c r="X849" s="3">
        <v>0</v>
      </c>
      <c r="Y849" s="1" t="str">
        <f>VLOOKUP(A849,[1]Detalle!$D$2:$CR$484,93,FALSE)</f>
        <v>Unilever - Unilever de Arg. S.A.</v>
      </c>
    </row>
    <row r="850" spans="1:25" ht="14.25" customHeight="1" x14ac:dyDescent="0.3">
      <c r="A850" s="1" t="s">
        <v>192</v>
      </c>
      <c r="B850" s="1" t="s">
        <v>603</v>
      </c>
      <c r="C850" s="1" t="s">
        <v>603</v>
      </c>
      <c r="D850" s="1" t="s">
        <v>604</v>
      </c>
      <c r="E850" s="1" t="s">
        <v>337</v>
      </c>
      <c r="F850" s="1">
        <v>135569</v>
      </c>
      <c r="G850" s="1">
        <v>195569</v>
      </c>
      <c r="H850" s="1">
        <v>0.4</v>
      </c>
      <c r="I850" s="1">
        <v>59999.6</v>
      </c>
      <c r="J850" s="1">
        <v>135569.4</v>
      </c>
      <c r="K850" s="1">
        <v>108</v>
      </c>
      <c r="L850" s="1">
        <v>9.0852830188679246</v>
      </c>
      <c r="M850" s="1">
        <v>16199892</v>
      </c>
      <c r="N850" s="7">
        <v>45947</v>
      </c>
      <c r="O850" s="1">
        <v>60000</v>
      </c>
      <c r="P850" s="7">
        <v>46174</v>
      </c>
      <c r="Q850" s="1" t="s">
        <v>330</v>
      </c>
      <c r="W850" s="3"/>
      <c r="X850" s="3">
        <v>0</v>
      </c>
      <c r="Y850" s="1" t="str">
        <f>VLOOKUP(A850,[1]Detalle!$D$2:$CR$484,93,FALSE)</f>
        <v>Sin Operación</v>
      </c>
    </row>
    <row r="851" spans="1:25" ht="14.25" customHeight="1" x14ac:dyDescent="0.3">
      <c r="A851" s="1" t="s">
        <v>197</v>
      </c>
      <c r="B851" s="1" t="s">
        <v>603</v>
      </c>
      <c r="C851" s="1" t="s">
        <v>603</v>
      </c>
      <c r="D851" s="1" t="s">
        <v>604</v>
      </c>
      <c r="E851" s="1" t="s">
        <v>337</v>
      </c>
      <c r="F851" s="1">
        <v>166036</v>
      </c>
      <c r="G851" s="1">
        <v>226036</v>
      </c>
      <c r="H851" s="1">
        <v>0.4</v>
      </c>
      <c r="I851" s="1">
        <v>59999.6</v>
      </c>
      <c r="J851" s="1">
        <v>166036.4</v>
      </c>
      <c r="K851" s="1">
        <v>108</v>
      </c>
      <c r="L851" s="1">
        <v>3.1153992395437262</v>
      </c>
      <c r="M851" s="1">
        <v>16199892</v>
      </c>
      <c r="N851" s="7">
        <v>45947</v>
      </c>
      <c r="O851" s="1">
        <v>60000</v>
      </c>
      <c r="P851" s="7">
        <v>46174</v>
      </c>
      <c r="Q851" s="1" t="s">
        <v>330</v>
      </c>
      <c r="W851" s="3"/>
      <c r="X851" s="3">
        <v>0</v>
      </c>
      <c r="Y851" s="1" t="str">
        <f>VLOOKUP(A851,[1]Detalle!$D$2:$CR$484,93,FALSE)</f>
        <v>Sin Operación</v>
      </c>
    </row>
    <row r="852" spans="1:25" ht="14.25" customHeight="1" x14ac:dyDescent="0.3">
      <c r="A852" s="1" t="s">
        <v>206</v>
      </c>
      <c r="B852" s="1" t="s">
        <v>603</v>
      </c>
      <c r="C852" s="1" t="s">
        <v>603</v>
      </c>
      <c r="D852" s="1" t="s">
        <v>604</v>
      </c>
      <c r="E852" s="1" t="s">
        <v>337</v>
      </c>
      <c r="F852" s="1">
        <v>220694</v>
      </c>
      <c r="G852" s="1">
        <v>280694</v>
      </c>
      <c r="H852" s="1">
        <v>1856</v>
      </c>
      <c r="I852" s="1">
        <v>58144</v>
      </c>
      <c r="J852" s="1">
        <v>222550</v>
      </c>
      <c r="K852" s="1">
        <v>108</v>
      </c>
      <c r="L852" s="1">
        <v>9.7282442748091569</v>
      </c>
      <c r="M852" s="1">
        <v>3383.3793103448288</v>
      </c>
      <c r="N852" s="7">
        <v>45947</v>
      </c>
      <c r="O852" s="1">
        <v>60000</v>
      </c>
      <c r="P852" s="7">
        <v>46174</v>
      </c>
      <c r="Q852" s="1" t="s">
        <v>330</v>
      </c>
      <c r="W852" s="3"/>
      <c r="X852" s="3">
        <v>0</v>
      </c>
      <c r="Y852" s="1" t="str">
        <f>VLOOKUP(A852,[1]Detalle!$D$2:$CR$484,93,FALSE)</f>
        <v>Sin Operación</v>
      </c>
    </row>
    <row r="853" spans="1:25" ht="14.25" customHeight="1" x14ac:dyDescent="0.3">
      <c r="A853" s="1" t="s">
        <v>236</v>
      </c>
      <c r="B853" s="1" t="s">
        <v>603</v>
      </c>
      <c r="C853" s="1" t="s">
        <v>603</v>
      </c>
      <c r="D853" s="1" t="s">
        <v>604</v>
      </c>
      <c r="E853" s="1" t="s">
        <v>337</v>
      </c>
      <c r="F853" s="1">
        <v>1016980</v>
      </c>
      <c r="G853" s="1">
        <v>1076980</v>
      </c>
      <c r="H853" s="1">
        <v>34026.300000000003</v>
      </c>
      <c r="I853" s="1">
        <v>25973.7</v>
      </c>
      <c r="J853" s="1">
        <v>1051006.3</v>
      </c>
      <c r="K853" s="1">
        <v>108</v>
      </c>
      <c r="L853" s="1">
        <v>455.32846441947561</v>
      </c>
      <c r="M853" s="1">
        <v>82.440923638479632</v>
      </c>
      <c r="N853" s="7">
        <v>45947</v>
      </c>
      <c r="O853" s="1">
        <v>60000</v>
      </c>
      <c r="P853" s="7">
        <v>46029.440923634262</v>
      </c>
      <c r="Q853" s="1" t="s">
        <v>330</v>
      </c>
      <c r="W853" s="3"/>
      <c r="X853" s="3">
        <v>0</v>
      </c>
      <c r="Y853" s="1" t="str">
        <f>VLOOKUP(A853,[1]Detalle!$D$2:$CR$484,93,FALSE)</f>
        <v>CENCOMLD - Cencosud SA - Mendoza</v>
      </c>
    </row>
    <row r="854" spans="1:25" ht="14.25" customHeight="1" x14ac:dyDescent="0.3">
      <c r="A854" s="1" t="s">
        <v>235</v>
      </c>
      <c r="B854" s="1" t="s">
        <v>603</v>
      </c>
      <c r="C854" s="1" t="s">
        <v>603</v>
      </c>
      <c r="D854" s="1" t="s">
        <v>604</v>
      </c>
      <c r="E854" s="1" t="s">
        <v>337</v>
      </c>
      <c r="F854" s="1">
        <v>1000081</v>
      </c>
      <c r="G854" s="1">
        <v>1060081</v>
      </c>
      <c r="H854" s="1">
        <v>32109.700000000012</v>
      </c>
      <c r="I854" s="1">
        <v>27890.299999999988</v>
      </c>
      <c r="J854" s="1">
        <v>1032190.7</v>
      </c>
      <c r="K854" s="1">
        <v>108</v>
      </c>
      <c r="L854" s="1">
        <v>263.69237037037038</v>
      </c>
      <c r="M854" s="1">
        <v>93.808176345465654</v>
      </c>
      <c r="N854" s="7">
        <v>45947</v>
      </c>
      <c r="O854" s="1">
        <v>60000</v>
      </c>
      <c r="P854" s="7">
        <v>46040.808176342587</v>
      </c>
      <c r="Q854" s="1" t="s">
        <v>330</v>
      </c>
      <c r="W854" s="3"/>
      <c r="X854" s="3">
        <v>0</v>
      </c>
      <c r="Y854" s="1" t="str">
        <f>VLOOKUP(A854,[1]Detalle!$D$2:$CR$484,93,FALSE)</f>
        <v>CENCOMLD - Cencosud SA - Mendoza</v>
      </c>
    </row>
    <row r="855" spans="1:25" ht="14.25" customHeight="1" x14ac:dyDescent="0.3">
      <c r="A855" s="1" t="s">
        <v>237</v>
      </c>
      <c r="B855" s="1" t="s">
        <v>603</v>
      </c>
      <c r="C855" s="1" t="s">
        <v>603</v>
      </c>
      <c r="D855" s="1" t="s">
        <v>604</v>
      </c>
      <c r="E855" s="1" t="s">
        <v>337</v>
      </c>
      <c r="F855" s="1">
        <v>806260</v>
      </c>
      <c r="G855" s="1">
        <v>866260</v>
      </c>
      <c r="H855" s="1">
        <v>21786.3</v>
      </c>
      <c r="I855" s="1">
        <v>38213.699999999997</v>
      </c>
      <c r="J855" s="1">
        <v>828046.3</v>
      </c>
      <c r="K855" s="1">
        <v>108</v>
      </c>
      <c r="L855" s="1">
        <v>518.64529411764704</v>
      </c>
      <c r="M855" s="1">
        <v>189.43462634775071</v>
      </c>
      <c r="N855" s="7">
        <v>45947</v>
      </c>
      <c r="O855" s="1">
        <v>60000</v>
      </c>
      <c r="P855" s="7">
        <v>46136.43462634259</v>
      </c>
      <c r="Q855" s="1" t="s">
        <v>330</v>
      </c>
      <c r="W855" s="3"/>
      <c r="X855" s="3">
        <v>0</v>
      </c>
      <c r="Y855" s="1" t="str">
        <f>VLOOKUP(A855,[1]Detalle!$D$2:$CR$484,93,FALSE)</f>
        <v>CENCOMLD - Cencosud SA - Mendoza</v>
      </c>
    </row>
    <row r="856" spans="1:25" ht="14.25" customHeight="1" x14ac:dyDescent="0.3">
      <c r="A856" s="1" t="s">
        <v>225</v>
      </c>
      <c r="B856" s="1" t="s">
        <v>603</v>
      </c>
      <c r="C856" s="1" t="s">
        <v>603</v>
      </c>
      <c r="D856" s="1" t="s">
        <v>604</v>
      </c>
      <c r="E856" s="1" t="s">
        <v>337</v>
      </c>
      <c r="F856" s="1">
        <v>163523</v>
      </c>
      <c r="G856" s="1">
        <v>223523</v>
      </c>
      <c r="H856" s="1">
        <v>2.1</v>
      </c>
      <c r="I856" s="1">
        <v>59997.9</v>
      </c>
      <c r="J856" s="1">
        <v>163525.1</v>
      </c>
      <c r="K856" s="1">
        <v>108</v>
      </c>
      <c r="L856" s="1">
        <v>5.6607954545454557</v>
      </c>
      <c r="M856" s="1">
        <v>3085606.2857142859</v>
      </c>
      <c r="N856" s="7">
        <v>45947</v>
      </c>
      <c r="O856" s="1">
        <v>60000</v>
      </c>
      <c r="P856" s="7">
        <v>46174</v>
      </c>
      <c r="Q856" s="1" t="s">
        <v>330</v>
      </c>
      <c r="W856" s="3"/>
      <c r="X856" s="3">
        <v>0</v>
      </c>
      <c r="Y856" s="1" t="str">
        <f>VLOOKUP(A856,[1]Detalle!$D$2:$CR$484,93,FALSE)</f>
        <v>Sin Operación</v>
      </c>
    </row>
    <row r="857" spans="1:25" ht="14.25" customHeight="1" x14ac:dyDescent="0.3">
      <c r="A857" s="1" t="s">
        <v>148</v>
      </c>
      <c r="B857" s="1" t="s">
        <v>603</v>
      </c>
      <c r="C857" s="1" t="s">
        <v>603</v>
      </c>
      <c r="D857" s="1" t="s">
        <v>604</v>
      </c>
      <c r="E857" s="1" t="s">
        <v>337</v>
      </c>
      <c r="F857" s="1">
        <v>802722</v>
      </c>
      <c r="G857" s="1">
        <v>862722</v>
      </c>
      <c r="H857" s="1">
        <v>14655.30000000001</v>
      </c>
      <c r="I857" s="1">
        <v>45344.69999999999</v>
      </c>
      <c r="J857" s="1">
        <v>817377.3</v>
      </c>
      <c r="K857" s="1">
        <v>108</v>
      </c>
      <c r="L857" s="1">
        <v>100.27773026315791</v>
      </c>
      <c r="M857" s="1">
        <v>334.16085648195502</v>
      </c>
      <c r="N857" s="7">
        <v>45947</v>
      </c>
      <c r="O857" s="1">
        <v>60000</v>
      </c>
      <c r="P857" s="7">
        <v>46281.160856481481</v>
      </c>
      <c r="Q857" s="1" t="s">
        <v>330</v>
      </c>
      <c r="W857" s="3"/>
      <c r="X857" s="3">
        <v>0</v>
      </c>
      <c r="Y857" s="1" t="str">
        <f>VLOOKUP(A857,[1]Detalle!$D$2:$CR$484,93,FALSE)</f>
        <v>Unilever - Unilever de Arg. S.A.</v>
      </c>
    </row>
    <row r="858" spans="1:25" ht="14.25" customHeight="1" x14ac:dyDescent="0.3">
      <c r="A858" s="1" t="s">
        <v>174</v>
      </c>
      <c r="B858" s="1" t="s">
        <v>603</v>
      </c>
      <c r="C858" s="1" t="s">
        <v>603</v>
      </c>
      <c r="D858" s="1" t="s">
        <v>604</v>
      </c>
      <c r="E858" s="1" t="s">
        <v>337</v>
      </c>
      <c r="F858" s="1">
        <v>23487.8</v>
      </c>
      <c r="G858" s="1">
        <v>83487.8</v>
      </c>
      <c r="H858" s="1">
        <v>11983.499999999991</v>
      </c>
      <c r="I858" s="1">
        <v>48016.500000000007</v>
      </c>
      <c r="J858" s="1">
        <v>35471.300000000003</v>
      </c>
      <c r="K858" s="1">
        <v>108</v>
      </c>
      <c r="L858" s="1">
        <v>71.271935483870948</v>
      </c>
      <c r="M858" s="1">
        <v>432.7435223432222</v>
      </c>
      <c r="N858" s="7">
        <v>45947</v>
      </c>
      <c r="O858" s="1">
        <v>60000</v>
      </c>
      <c r="P858" s="7">
        <v>46379.743522337973</v>
      </c>
      <c r="Q858" s="1" t="s">
        <v>330</v>
      </c>
      <c r="W858" s="3"/>
      <c r="X858" s="3">
        <v>0</v>
      </c>
      <c r="Y858" s="1" t="str">
        <f>VLOOKUP(A858,[1]Detalle!$D$2:$CR$484,93,FALSE)</f>
        <v>Unilever - Unilever de Arg. S.A.</v>
      </c>
    </row>
    <row r="859" spans="1:25" ht="14.25" customHeight="1" x14ac:dyDescent="0.3">
      <c r="A859" s="1" t="s">
        <v>92</v>
      </c>
      <c r="B859" s="1" t="s">
        <v>603</v>
      </c>
      <c r="C859" s="1" t="s">
        <v>603</v>
      </c>
      <c r="D859" s="1" t="s">
        <v>604</v>
      </c>
      <c r="E859" s="1" t="s">
        <v>337</v>
      </c>
      <c r="F859" s="1">
        <v>23673.5</v>
      </c>
      <c r="G859" s="1">
        <v>83673.5</v>
      </c>
      <c r="H859" s="1">
        <v>12164.1</v>
      </c>
      <c r="I859" s="1">
        <v>47835.9</v>
      </c>
      <c r="J859" s="1">
        <v>35837.599999999999</v>
      </c>
      <c r="K859" s="1">
        <v>108</v>
      </c>
      <c r="L859" s="1">
        <v>65.871929260450116</v>
      </c>
      <c r="M859" s="1">
        <v>424.71512072409803</v>
      </c>
      <c r="N859" s="7">
        <v>45947</v>
      </c>
      <c r="O859" s="1">
        <v>60000</v>
      </c>
      <c r="P859" s="7">
        <v>46371.715120729168</v>
      </c>
      <c r="Q859" s="1" t="s">
        <v>330</v>
      </c>
      <c r="W859" s="3"/>
      <c r="X859" s="3">
        <v>0</v>
      </c>
      <c r="Y859" s="1" t="str">
        <f>VLOOKUP(A859,[1]Detalle!$D$2:$CR$484,93,FALSE)</f>
        <v>Unilever - Unilever de Arg. S.A.</v>
      </c>
    </row>
    <row r="860" spans="1:25" ht="14.25" customHeight="1" x14ac:dyDescent="0.3">
      <c r="A860" s="1" t="s">
        <v>221</v>
      </c>
      <c r="B860" s="1" t="s">
        <v>605</v>
      </c>
      <c r="C860" s="1" t="s">
        <v>605</v>
      </c>
      <c r="D860" s="1" t="s">
        <v>606</v>
      </c>
      <c r="E860" s="1" t="s">
        <v>337</v>
      </c>
      <c r="F860" s="1">
        <v>6252</v>
      </c>
      <c r="G860" s="1">
        <v>6617</v>
      </c>
      <c r="H860" s="1">
        <v>57915.23</v>
      </c>
      <c r="I860" s="1">
        <v>-57550.23</v>
      </c>
      <c r="J860" s="1">
        <v>64167.23</v>
      </c>
      <c r="K860" s="1">
        <v>349</v>
      </c>
      <c r="L860" s="1">
        <v>165.946217765043</v>
      </c>
      <c r="M860" s="1">
        <v>-346.80049220213749</v>
      </c>
      <c r="N860" s="7">
        <v>45947</v>
      </c>
      <c r="O860" s="1">
        <v>365</v>
      </c>
      <c r="P860" s="7">
        <v>46312</v>
      </c>
      <c r="Q860" s="1" t="s">
        <v>330</v>
      </c>
      <c r="T860" s="1" t="s">
        <v>607</v>
      </c>
      <c r="U860" s="1" t="s">
        <v>608</v>
      </c>
      <c r="V860" s="1">
        <v>1</v>
      </c>
      <c r="W860" s="3">
        <v>271670.34999999998</v>
      </c>
      <c r="X860" s="3">
        <v>271670.34999999998</v>
      </c>
      <c r="Y860" s="1" t="str">
        <f>VLOOKUP(A860,[1]Detalle!$D$2:$CR$484,93,FALSE)</f>
        <v>ADA_CH - Danone Arg. S.A. - Chascomus</v>
      </c>
    </row>
    <row r="861" spans="1:25" ht="14.25" customHeight="1" x14ac:dyDescent="0.3">
      <c r="A861" s="1" t="s">
        <v>214</v>
      </c>
      <c r="B861" s="1" t="s">
        <v>605</v>
      </c>
      <c r="C861" s="1" t="s">
        <v>605</v>
      </c>
      <c r="D861" s="1" t="s">
        <v>606</v>
      </c>
      <c r="E861" s="1" t="s">
        <v>337</v>
      </c>
      <c r="F861" s="1">
        <v>42357.3</v>
      </c>
      <c r="G861" s="1">
        <v>42722.3</v>
      </c>
      <c r="H861" s="1">
        <v>1217.5</v>
      </c>
      <c r="I861" s="1">
        <v>-852.5</v>
      </c>
      <c r="J861" s="1">
        <v>43574.8</v>
      </c>
      <c r="K861" s="1">
        <v>93</v>
      </c>
      <c r="L861" s="1">
        <v>13.09139784946237</v>
      </c>
      <c r="M861" s="1">
        <v>-65.119096509240251</v>
      </c>
      <c r="N861" s="7">
        <v>45947</v>
      </c>
      <c r="O861" s="1">
        <v>365</v>
      </c>
      <c r="P861" s="7">
        <v>46203</v>
      </c>
      <c r="Q861" s="1" t="s">
        <v>330</v>
      </c>
      <c r="T861" s="1" t="s">
        <v>607</v>
      </c>
      <c r="U861" s="1" t="s">
        <v>608</v>
      </c>
      <c r="V861" s="1">
        <v>1</v>
      </c>
      <c r="W861" s="3">
        <v>271670.34999999998</v>
      </c>
      <c r="X861" s="3">
        <v>271670.34999999998</v>
      </c>
      <c r="Y861" s="1" t="str">
        <f>VLOOKUP(A861,[1]Detalle!$D$2:$CR$484,93,FALSE)</f>
        <v>Expreso - Servicios Troncales</v>
      </c>
    </row>
    <row r="862" spans="1:25" ht="14.25" customHeight="1" x14ac:dyDescent="0.3">
      <c r="A862" s="1" t="s">
        <v>5</v>
      </c>
      <c r="B862" s="1" t="s">
        <v>605</v>
      </c>
      <c r="C862" s="1" t="s">
        <v>605</v>
      </c>
      <c r="D862" s="1" t="s">
        <v>606</v>
      </c>
      <c r="E862" s="1" t="s">
        <v>337</v>
      </c>
      <c r="F862" s="1">
        <v>690966</v>
      </c>
      <c r="G862" s="1">
        <v>691331</v>
      </c>
      <c r="H862" s="1">
        <v>25694.5</v>
      </c>
      <c r="I862" s="1">
        <v>-25329.5</v>
      </c>
      <c r="J862" s="1">
        <v>716660.5</v>
      </c>
      <c r="K862" s="1">
        <v>93</v>
      </c>
      <c r="L862" s="1">
        <v>276.28494623655922</v>
      </c>
      <c r="M862" s="1">
        <v>-91.678900153729387</v>
      </c>
      <c r="N862" s="7">
        <v>45947</v>
      </c>
      <c r="O862" s="1">
        <v>365</v>
      </c>
      <c r="P862" s="7">
        <v>46203</v>
      </c>
      <c r="Q862" s="1" t="s">
        <v>330</v>
      </c>
      <c r="T862" s="1" t="s">
        <v>607</v>
      </c>
      <c r="U862" s="1" t="s">
        <v>608</v>
      </c>
      <c r="V862" s="1">
        <v>1</v>
      </c>
      <c r="W862" s="3">
        <v>271670.34999999998</v>
      </c>
      <c r="X862" s="3">
        <v>271670.34999999998</v>
      </c>
      <c r="Y862" s="1" t="str">
        <f>VLOOKUP(A862,[1]Detalle!$D$2:$CR$484,93,FALSE)</f>
        <v>ADA_CH - Danone Arg. S.A. - Chascomus</v>
      </c>
    </row>
    <row r="863" spans="1:25" ht="14.25" customHeight="1" x14ac:dyDescent="0.3">
      <c r="A863" s="1" t="s">
        <v>8</v>
      </c>
      <c r="B863" s="1" t="s">
        <v>605</v>
      </c>
      <c r="C863" s="1" t="s">
        <v>605</v>
      </c>
      <c r="D863" s="1" t="s">
        <v>606</v>
      </c>
      <c r="E863" s="6">
        <v>45673</v>
      </c>
      <c r="F863" s="1">
        <v>682824</v>
      </c>
      <c r="G863" s="1">
        <v>683189</v>
      </c>
      <c r="H863" s="1">
        <v>73069.600000000035</v>
      </c>
      <c r="I863" s="1">
        <v>-72704.600000000035</v>
      </c>
      <c r="J863" s="1">
        <v>755893.60000000009</v>
      </c>
      <c r="K863" s="1">
        <v>274</v>
      </c>
      <c r="L863" s="1">
        <v>266.67737226277387</v>
      </c>
      <c r="M863" s="1">
        <v>-272.63130494761162</v>
      </c>
      <c r="N863" s="7">
        <v>45947</v>
      </c>
      <c r="O863" s="1">
        <v>365</v>
      </c>
      <c r="P863" s="7">
        <v>46038</v>
      </c>
      <c r="Q863" s="1" t="s">
        <v>330</v>
      </c>
      <c r="T863" s="1" t="s">
        <v>607</v>
      </c>
      <c r="U863" s="1" t="s">
        <v>608</v>
      </c>
      <c r="V863" s="1">
        <v>1</v>
      </c>
      <c r="W863" s="3">
        <v>271670.34999999998</v>
      </c>
      <c r="X863" s="3">
        <v>271670.34999999998</v>
      </c>
      <c r="Y863" s="1" t="str">
        <f>VLOOKUP(A863,[1]Detalle!$D$2:$CR$484,93,FALSE)</f>
        <v>ADA_CH - Danone Arg. S.A. - Chascomus</v>
      </c>
    </row>
    <row r="864" spans="1:25" ht="14.25" customHeight="1" x14ac:dyDescent="0.3">
      <c r="A864" s="1" t="s">
        <v>11</v>
      </c>
      <c r="B864" s="1" t="s">
        <v>605</v>
      </c>
      <c r="C864" s="1" t="s">
        <v>605</v>
      </c>
      <c r="D864" s="1" t="s">
        <v>606</v>
      </c>
      <c r="E864" s="1" t="s">
        <v>337</v>
      </c>
      <c r="F864" s="1">
        <v>765628</v>
      </c>
      <c r="G864" s="1">
        <v>765993</v>
      </c>
      <c r="H864" s="1">
        <v>28548.900000000009</v>
      </c>
      <c r="I864" s="1">
        <v>-28183.900000000009</v>
      </c>
      <c r="J864" s="1">
        <v>794176.9</v>
      </c>
      <c r="K864" s="1">
        <v>93</v>
      </c>
      <c r="L864" s="1">
        <v>306.97741935483879</v>
      </c>
      <c r="M864" s="1">
        <v>-91.810987463615064</v>
      </c>
      <c r="N864" s="7">
        <v>45947</v>
      </c>
      <c r="O864" s="1">
        <v>365</v>
      </c>
      <c r="P864" s="7">
        <v>46203</v>
      </c>
      <c r="Q864" s="1" t="s">
        <v>330</v>
      </c>
      <c r="T864" s="1" t="s">
        <v>607</v>
      </c>
      <c r="U864" s="1" t="s">
        <v>608</v>
      </c>
      <c r="V864" s="1">
        <v>1</v>
      </c>
      <c r="W864" s="3">
        <v>271670.34999999998</v>
      </c>
      <c r="X864" s="3">
        <v>271670.34999999998</v>
      </c>
      <c r="Y864" s="1" t="str">
        <f>VLOOKUP(A864,[1]Detalle!$D$2:$CR$484,93,FALSE)</f>
        <v>ADA_CH - Danone Arg. S.A. - Chascomus</v>
      </c>
    </row>
    <row r="865" spans="1:25" ht="14.25" customHeight="1" x14ac:dyDescent="0.3">
      <c r="A865" s="1" t="s">
        <v>10</v>
      </c>
      <c r="B865" s="1" t="s">
        <v>605</v>
      </c>
      <c r="C865" s="1" t="s">
        <v>605</v>
      </c>
      <c r="D865" s="1" t="s">
        <v>606</v>
      </c>
      <c r="E865" s="1" t="s">
        <v>337</v>
      </c>
      <c r="F865" s="1">
        <v>691593</v>
      </c>
      <c r="G865" s="1">
        <v>691958</v>
      </c>
      <c r="H865" s="1">
        <v>21650.30000000001</v>
      </c>
      <c r="I865" s="1">
        <v>-21285.30000000001</v>
      </c>
      <c r="J865" s="1">
        <v>713243.3</v>
      </c>
      <c r="K865" s="1">
        <v>93</v>
      </c>
      <c r="L865" s="1">
        <v>232.79892473118289</v>
      </c>
      <c r="M865" s="1">
        <v>-91.432123342401724</v>
      </c>
      <c r="N865" s="7">
        <v>45947</v>
      </c>
      <c r="O865" s="1">
        <v>365</v>
      </c>
      <c r="P865" s="7">
        <v>46203</v>
      </c>
      <c r="Q865" s="1" t="s">
        <v>330</v>
      </c>
      <c r="T865" s="1" t="s">
        <v>607</v>
      </c>
      <c r="U865" s="1" t="s">
        <v>608</v>
      </c>
      <c r="V865" s="1">
        <v>1</v>
      </c>
      <c r="W865" s="3">
        <v>271670.34999999998</v>
      </c>
      <c r="X865" s="3">
        <v>271670.34999999998</v>
      </c>
      <c r="Y865" s="1" t="str">
        <f>VLOOKUP(A865,[1]Detalle!$D$2:$CR$484,93,FALSE)</f>
        <v>ADA_CH - Danone Arg. S.A. - Chascomus</v>
      </c>
    </row>
    <row r="866" spans="1:25" ht="14.25" customHeight="1" x14ac:dyDescent="0.3">
      <c r="A866" s="1" t="s">
        <v>14</v>
      </c>
      <c r="B866" s="1" t="s">
        <v>605</v>
      </c>
      <c r="C866" s="1" t="s">
        <v>605</v>
      </c>
      <c r="D866" s="1" t="s">
        <v>606</v>
      </c>
      <c r="E866" s="1" t="s">
        <v>337</v>
      </c>
      <c r="F866" s="1">
        <v>752778</v>
      </c>
      <c r="G866" s="1">
        <v>753143</v>
      </c>
      <c r="H866" s="1">
        <v>22757.200000000019</v>
      </c>
      <c r="I866" s="1">
        <v>-22392.200000000019</v>
      </c>
      <c r="J866" s="1">
        <v>775535.20000000007</v>
      </c>
      <c r="K866" s="1">
        <v>93</v>
      </c>
      <c r="L866" s="1">
        <v>244.70107526881739</v>
      </c>
      <c r="M866" s="1">
        <v>-91.508384159738455</v>
      </c>
      <c r="N866" s="7">
        <v>45947</v>
      </c>
      <c r="O866" s="1">
        <v>365</v>
      </c>
      <c r="P866" s="7">
        <v>46203</v>
      </c>
      <c r="Q866" s="1" t="s">
        <v>330</v>
      </c>
      <c r="T866" s="1" t="s">
        <v>607</v>
      </c>
      <c r="U866" s="1" t="s">
        <v>608</v>
      </c>
      <c r="V866" s="1">
        <v>1</v>
      </c>
      <c r="W866" s="3">
        <v>271670.34999999998</v>
      </c>
      <c r="X866" s="3">
        <v>271670.34999999998</v>
      </c>
      <c r="Y866" s="1" t="str">
        <f>VLOOKUP(A866,[1]Detalle!$D$2:$CR$484,93,FALSE)</f>
        <v>ADA_CH - Danone Arg. S.A. - Chascomus</v>
      </c>
    </row>
    <row r="867" spans="1:25" ht="14.25" customHeight="1" x14ac:dyDescent="0.3">
      <c r="A867" s="1" t="s">
        <v>12</v>
      </c>
      <c r="B867" s="1" t="s">
        <v>605</v>
      </c>
      <c r="C867" s="1" t="s">
        <v>605</v>
      </c>
      <c r="D867" s="1" t="s">
        <v>606</v>
      </c>
      <c r="E867" s="1" t="s">
        <v>337</v>
      </c>
      <c r="F867" s="1">
        <v>845528</v>
      </c>
      <c r="G867" s="1">
        <v>845893</v>
      </c>
      <c r="H867" s="1">
        <v>33411.699999999997</v>
      </c>
      <c r="I867" s="1">
        <v>-33046.699999999997</v>
      </c>
      <c r="J867" s="1">
        <v>878939.7</v>
      </c>
      <c r="K867" s="1">
        <v>93</v>
      </c>
      <c r="L867" s="1">
        <v>359.26559139784951</v>
      </c>
      <c r="M867" s="1">
        <v>-91.984038525426726</v>
      </c>
      <c r="N867" s="7">
        <v>45947</v>
      </c>
      <c r="O867" s="1">
        <v>365</v>
      </c>
      <c r="P867" s="7">
        <v>46203</v>
      </c>
      <c r="Q867" s="1" t="s">
        <v>330</v>
      </c>
      <c r="T867" s="1" t="s">
        <v>607</v>
      </c>
      <c r="U867" s="1" t="s">
        <v>608</v>
      </c>
      <c r="V867" s="1">
        <v>1</v>
      </c>
      <c r="W867" s="3">
        <v>271670.34999999998</v>
      </c>
      <c r="X867" s="3">
        <v>271670.34999999998</v>
      </c>
      <c r="Y867" s="1" t="str">
        <f>VLOOKUP(A867,[1]Detalle!$D$2:$CR$484,93,FALSE)</f>
        <v>ADA_CH - Danone Arg. S.A. - Chascomus</v>
      </c>
    </row>
    <row r="868" spans="1:25" ht="14.25" customHeight="1" x14ac:dyDescent="0.3">
      <c r="A868" s="1" t="s">
        <v>13</v>
      </c>
      <c r="B868" s="1" t="s">
        <v>605</v>
      </c>
      <c r="C868" s="1" t="s">
        <v>605</v>
      </c>
      <c r="D868" s="1" t="s">
        <v>606</v>
      </c>
      <c r="E868" s="1" t="s">
        <v>337</v>
      </c>
      <c r="F868" s="1">
        <v>683868</v>
      </c>
      <c r="G868" s="1">
        <v>684233</v>
      </c>
      <c r="H868" s="1">
        <v>105004.58</v>
      </c>
      <c r="I868" s="1">
        <v>-104639.58</v>
      </c>
      <c r="J868" s="1">
        <v>788872.58000000007</v>
      </c>
      <c r="K868" s="1">
        <v>345</v>
      </c>
      <c r="L868" s="1">
        <v>304.3611014492754</v>
      </c>
      <c r="M868" s="1">
        <v>-343.80076659513333</v>
      </c>
      <c r="N868" s="7">
        <v>45947</v>
      </c>
      <c r="O868" s="1">
        <v>365</v>
      </c>
      <c r="P868" s="7">
        <v>46203</v>
      </c>
      <c r="Q868" s="1" t="s">
        <v>330</v>
      </c>
      <c r="T868" s="1" t="s">
        <v>607</v>
      </c>
      <c r="U868" s="1" t="s">
        <v>608</v>
      </c>
      <c r="V868" s="1">
        <v>1</v>
      </c>
      <c r="W868" s="3">
        <v>271670.34999999998</v>
      </c>
      <c r="X868" s="3">
        <v>271670.34999999998</v>
      </c>
      <c r="Y868" s="1" t="str">
        <f>VLOOKUP(A868,[1]Detalle!$D$2:$CR$484,93,FALSE)</f>
        <v>ADA_CH - Danone Arg. S.A. - Chascomus</v>
      </c>
    </row>
    <row r="869" spans="1:25" ht="14.25" customHeight="1" x14ac:dyDescent="0.3">
      <c r="A869" s="1" t="s">
        <v>6</v>
      </c>
      <c r="B869" s="1" t="s">
        <v>605</v>
      </c>
      <c r="C869" s="1" t="s">
        <v>605</v>
      </c>
      <c r="D869" s="1" t="s">
        <v>606</v>
      </c>
      <c r="E869" s="1" t="s">
        <v>337</v>
      </c>
      <c r="F869" s="1">
        <v>726661</v>
      </c>
      <c r="G869" s="1">
        <v>727026</v>
      </c>
      <c r="H869" s="1">
        <v>25667.200000000001</v>
      </c>
      <c r="I869" s="1">
        <v>-25302.2</v>
      </c>
      <c r="J869" s="1">
        <v>752328.2</v>
      </c>
      <c r="K869" s="1">
        <v>93</v>
      </c>
      <c r="L869" s="1">
        <v>275.99139784946237</v>
      </c>
      <c r="M869" s="1">
        <v>-91.677495013090635</v>
      </c>
      <c r="N869" s="7">
        <v>45947</v>
      </c>
      <c r="O869" s="1">
        <v>365</v>
      </c>
      <c r="P869" s="7">
        <v>46203</v>
      </c>
      <c r="Q869" s="1" t="s">
        <v>330</v>
      </c>
      <c r="T869" s="1" t="s">
        <v>607</v>
      </c>
      <c r="U869" s="1" t="s">
        <v>608</v>
      </c>
      <c r="V869" s="1">
        <v>1</v>
      </c>
      <c r="W869" s="3">
        <v>271670.34999999998</v>
      </c>
      <c r="X869" s="3">
        <v>271670.34999999998</v>
      </c>
      <c r="Y869" s="1" t="str">
        <f>VLOOKUP(A869,[1]Detalle!$D$2:$CR$484,93,FALSE)</f>
        <v>ADA_CH - Danone Arg. S.A. - Chascomus</v>
      </c>
    </row>
    <row r="870" spans="1:25" ht="14.25" customHeight="1" x14ac:dyDescent="0.3">
      <c r="A870" s="1" t="s">
        <v>7</v>
      </c>
      <c r="B870" s="1" t="s">
        <v>605</v>
      </c>
      <c r="C870" s="1" t="s">
        <v>605</v>
      </c>
      <c r="D870" s="1" t="s">
        <v>606</v>
      </c>
      <c r="E870" s="1" t="s">
        <v>337</v>
      </c>
      <c r="F870" s="1">
        <v>739044</v>
      </c>
      <c r="G870" s="1">
        <v>739409</v>
      </c>
      <c r="H870" s="1">
        <v>30463.299999999988</v>
      </c>
      <c r="I870" s="1">
        <v>-30098.299999999988</v>
      </c>
      <c r="J870" s="1">
        <v>769507.3</v>
      </c>
      <c r="K870" s="1">
        <v>93</v>
      </c>
      <c r="L870" s="1">
        <v>327.56236559139768</v>
      </c>
      <c r="M870" s="1">
        <v>-91.88570837696507</v>
      </c>
      <c r="N870" s="7">
        <v>45947</v>
      </c>
      <c r="O870" s="1">
        <v>365</v>
      </c>
      <c r="P870" s="7">
        <v>46203</v>
      </c>
      <c r="Q870" s="1" t="s">
        <v>330</v>
      </c>
      <c r="T870" s="1" t="s">
        <v>607</v>
      </c>
      <c r="U870" s="1" t="s">
        <v>608</v>
      </c>
      <c r="V870" s="1">
        <v>1</v>
      </c>
      <c r="W870" s="3">
        <v>271670.34999999998</v>
      </c>
      <c r="X870" s="3">
        <v>271670.34999999998</v>
      </c>
      <c r="Y870" s="1" t="str">
        <f>VLOOKUP(A870,[1]Detalle!$D$2:$CR$484,93,FALSE)</f>
        <v>ADA_CH - Danone Arg. S.A. - Chascomus</v>
      </c>
    </row>
    <row r="871" spans="1:25" ht="14.25" customHeight="1" x14ac:dyDescent="0.3">
      <c r="A871" s="1" t="s">
        <v>9</v>
      </c>
      <c r="B871" s="1" t="s">
        <v>605</v>
      </c>
      <c r="C871" s="1" t="s">
        <v>605</v>
      </c>
      <c r="D871" s="1" t="s">
        <v>606</v>
      </c>
      <c r="E871" s="1" t="s">
        <v>337</v>
      </c>
      <c r="F871" s="1">
        <v>837188</v>
      </c>
      <c r="G871" s="1">
        <v>837553</v>
      </c>
      <c r="H871" s="1">
        <v>32995.300000000003</v>
      </c>
      <c r="I871" s="1">
        <v>-32630.3</v>
      </c>
      <c r="J871" s="1">
        <v>870183.3</v>
      </c>
      <c r="K871" s="1">
        <v>93</v>
      </c>
      <c r="L871" s="1">
        <v>354.78817204301077</v>
      </c>
      <c r="M871" s="1">
        <v>-91.971217112740305</v>
      </c>
      <c r="N871" s="7">
        <v>45947</v>
      </c>
      <c r="O871" s="1">
        <v>365</v>
      </c>
      <c r="P871" s="7">
        <v>46203</v>
      </c>
      <c r="Q871" s="1" t="s">
        <v>330</v>
      </c>
      <c r="T871" s="1" t="s">
        <v>607</v>
      </c>
      <c r="U871" s="1" t="s">
        <v>608</v>
      </c>
      <c r="V871" s="1">
        <v>1</v>
      </c>
      <c r="W871" s="3">
        <v>271670.34999999998</v>
      </c>
      <c r="X871" s="3">
        <v>271670.34999999998</v>
      </c>
      <c r="Y871" s="1" t="str">
        <f>VLOOKUP(A871,[1]Detalle!$D$2:$CR$484,93,FALSE)</f>
        <v>ADA_CH - Danone Arg. S.A. - Chascomus</v>
      </c>
    </row>
    <row r="872" spans="1:25" ht="14.25" customHeight="1" x14ac:dyDescent="0.3">
      <c r="A872" s="1" t="s">
        <v>30</v>
      </c>
      <c r="B872" s="1" t="s">
        <v>605</v>
      </c>
      <c r="C872" s="1" t="s">
        <v>605</v>
      </c>
      <c r="D872" s="1" t="s">
        <v>606</v>
      </c>
      <c r="E872" s="1" t="s">
        <v>337</v>
      </c>
      <c r="F872" s="1">
        <v>426924</v>
      </c>
      <c r="G872" s="1">
        <v>427289</v>
      </c>
      <c r="H872" s="1">
        <v>23224.2</v>
      </c>
      <c r="I872" s="1">
        <v>-22859.200000000001</v>
      </c>
      <c r="J872" s="1">
        <v>450148.2</v>
      </c>
      <c r="K872" s="1">
        <v>93</v>
      </c>
      <c r="L872" s="1">
        <v>249.72258064516129</v>
      </c>
      <c r="M872" s="1">
        <v>-91.538378071149921</v>
      </c>
      <c r="N872" s="7">
        <v>45947</v>
      </c>
      <c r="O872" s="1">
        <v>365</v>
      </c>
      <c r="P872" s="7">
        <v>46203</v>
      </c>
      <c r="Q872" s="1" t="s">
        <v>330</v>
      </c>
      <c r="T872" s="1" t="s">
        <v>607</v>
      </c>
      <c r="U872" s="1" t="s">
        <v>608</v>
      </c>
      <c r="V872" s="1">
        <v>1</v>
      </c>
      <c r="W872" s="3">
        <v>271670.34999999998</v>
      </c>
      <c r="X872" s="3">
        <v>271670.34999999998</v>
      </c>
      <c r="Y872" s="1" t="str">
        <f>VLOOKUP(A872,[1]Detalle!$D$2:$CR$484,93,FALSE)</f>
        <v>ADA_CH - Danone Arg. S.A. - Chascomus</v>
      </c>
    </row>
    <row r="873" spans="1:25" ht="14.25" customHeight="1" x14ac:dyDescent="0.3">
      <c r="A873" s="1" t="s">
        <v>32</v>
      </c>
      <c r="B873" s="1" t="s">
        <v>605</v>
      </c>
      <c r="C873" s="1" t="s">
        <v>605</v>
      </c>
      <c r="D873" s="1" t="s">
        <v>606</v>
      </c>
      <c r="E873" s="1" t="s">
        <v>337</v>
      </c>
      <c r="F873" s="1">
        <v>326462</v>
      </c>
      <c r="G873" s="1">
        <v>326827</v>
      </c>
      <c r="H873" s="1">
        <v>9048.3000000000011</v>
      </c>
      <c r="I873" s="1">
        <v>-8683.3000000000011</v>
      </c>
      <c r="J873" s="1">
        <v>335510.3</v>
      </c>
      <c r="K873" s="1">
        <v>93</v>
      </c>
      <c r="L873" s="1">
        <v>97.293548387096791</v>
      </c>
      <c r="M873" s="1">
        <v>-89.24846656277974</v>
      </c>
      <c r="N873" s="7">
        <v>45947</v>
      </c>
      <c r="O873" s="1">
        <v>365</v>
      </c>
      <c r="P873" s="7">
        <v>46203</v>
      </c>
      <c r="Q873" s="1" t="s">
        <v>330</v>
      </c>
      <c r="T873" s="1" t="s">
        <v>607</v>
      </c>
      <c r="U873" s="1" t="s">
        <v>608</v>
      </c>
      <c r="V873" s="1">
        <v>1</v>
      </c>
      <c r="W873" s="3">
        <v>271670.34999999998</v>
      </c>
      <c r="X873" s="3">
        <v>271670.34999999998</v>
      </c>
      <c r="Y873" s="1" t="str">
        <f>VLOOKUP(A873,[1]Detalle!$D$2:$CR$484,93,FALSE)</f>
        <v>ADA_CH - Danone Arg. S.A. - Chascomus</v>
      </c>
    </row>
    <row r="874" spans="1:25" ht="14.25" customHeight="1" x14ac:dyDescent="0.3">
      <c r="A874" s="1" t="s">
        <v>514</v>
      </c>
      <c r="B874" s="1" t="s">
        <v>605</v>
      </c>
      <c r="C874" s="1" t="s">
        <v>605</v>
      </c>
      <c r="D874" s="1" t="s">
        <v>606</v>
      </c>
      <c r="E874" s="1" t="s">
        <v>337</v>
      </c>
      <c r="F874" s="1">
        <v>1635872</v>
      </c>
      <c r="G874" s="1">
        <v>1636237</v>
      </c>
      <c r="H874" s="1">
        <v>21621.200000000001</v>
      </c>
      <c r="I874" s="1">
        <v>-21256.2</v>
      </c>
      <c r="J874" s="1">
        <v>1657493.2</v>
      </c>
      <c r="K874" s="1">
        <v>93</v>
      </c>
      <c r="L874" s="1">
        <v>232.48602150537641</v>
      </c>
      <c r="M874" s="1">
        <v>-91.430013135256132</v>
      </c>
      <c r="N874" s="7">
        <v>45947</v>
      </c>
      <c r="O874" s="1">
        <v>365</v>
      </c>
      <c r="P874" s="7">
        <v>46203</v>
      </c>
      <c r="Q874" s="1" t="s">
        <v>330</v>
      </c>
      <c r="T874" s="1" t="s">
        <v>607</v>
      </c>
      <c r="U874" s="1" t="s">
        <v>608</v>
      </c>
      <c r="V874" s="1">
        <v>1</v>
      </c>
      <c r="W874" s="3">
        <v>271670.34999999998</v>
      </c>
      <c r="X874" s="3">
        <v>271670.34999999998</v>
      </c>
      <c r="Y874" s="1" t="str">
        <f>VLOOKUP(A874,[1]Detalle!$D$2:$CR$484,93,FALSE)</f>
        <v>Expreso - Servicios Troncales</v>
      </c>
    </row>
    <row r="875" spans="1:25" ht="14.25" customHeight="1" x14ac:dyDescent="0.3">
      <c r="A875" s="1" t="s">
        <v>510</v>
      </c>
      <c r="B875" s="1" t="s">
        <v>605</v>
      </c>
      <c r="C875" s="1" t="s">
        <v>605</v>
      </c>
      <c r="D875" s="1" t="s">
        <v>606</v>
      </c>
      <c r="E875" s="1" t="s">
        <v>337</v>
      </c>
      <c r="F875" s="1">
        <v>1787728</v>
      </c>
      <c r="G875" s="1">
        <v>1788093</v>
      </c>
      <c r="H875" s="1">
        <v>32949.399999999987</v>
      </c>
      <c r="I875" s="1">
        <v>-32584.399999999991</v>
      </c>
      <c r="J875" s="1">
        <v>1820677.4</v>
      </c>
      <c r="K875" s="1">
        <v>93</v>
      </c>
      <c r="L875" s="1">
        <v>354.29462365591388</v>
      </c>
      <c r="M875" s="1">
        <v>-91.969783971787038</v>
      </c>
      <c r="N875" s="7">
        <v>45947</v>
      </c>
      <c r="O875" s="1">
        <v>365</v>
      </c>
      <c r="P875" s="7">
        <v>46203</v>
      </c>
      <c r="Q875" s="1" t="s">
        <v>330</v>
      </c>
      <c r="T875" s="1" t="s">
        <v>607</v>
      </c>
      <c r="U875" s="1" t="s">
        <v>608</v>
      </c>
      <c r="V875" s="1">
        <v>1</v>
      </c>
      <c r="W875" s="3">
        <v>271670.34999999998</v>
      </c>
      <c r="X875" s="3">
        <v>271670.34999999998</v>
      </c>
      <c r="Y875" s="1" t="str">
        <f>VLOOKUP(A875,[1]Detalle!$D$2:$CR$484,93,FALSE)</f>
        <v>Expreso - Servicios Troncales</v>
      </c>
    </row>
    <row r="876" spans="1:25" ht="14.25" customHeight="1" x14ac:dyDescent="0.3">
      <c r="A876" s="1" t="s">
        <v>511</v>
      </c>
      <c r="B876" s="1" t="s">
        <v>605</v>
      </c>
      <c r="C876" s="1" t="s">
        <v>605</v>
      </c>
      <c r="D876" s="1" t="s">
        <v>606</v>
      </c>
      <c r="E876" s="1" t="s">
        <v>337</v>
      </c>
      <c r="F876" s="1">
        <v>1647061</v>
      </c>
      <c r="G876" s="1">
        <v>1647426</v>
      </c>
      <c r="H876" s="1">
        <v>57890.199999999917</v>
      </c>
      <c r="I876" s="1">
        <v>-57525.199999999917</v>
      </c>
      <c r="J876" s="1">
        <v>1704951.2</v>
      </c>
      <c r="K876" s="1">
        <v>152</v>
      </c>
      <c r="L876" s="1">
        <v>380.85657894736789</v>
      </c>
      <c r="M876" s="1">
        <v>-151.04163398986361</v>
      </c>
      <c r="N876" s="7">
        <v>45947</v>
      </c>
      <c r="O876" s="1">
        <v>365</v>
      </c>
      <c r="P876" s="7">
        <v>46203</v>
      </c>
      <c r="Q876" s="1" t="s">
        <v>330</v>
      </c>
      <c r="T876" s="1" t="s">
        <v>607</v>
      </c>
      <c r="U876" s="1" t="s">
        <v>608</v>
      </c>
      <c r="V876" s="1">
        <v>1</v>
      </c>
      <c r="W876" s="3">
        <v>271670.34999999998</v>
      </c>
      <c r="X876" s="3">
        <v>271670.34999999998</v>
      </c>
      <c r="Y876" s="1" t="str">
        <f>VLOOKUP(A876,[1]Detalle!$D$2:$CR$484,93,FALSE)</f>
        <v>Expreso - Servicios Troncales</v>
      </c>
    </row>
    <row r="877" spans="1:25" ht="14.25" customHeight="1" x14ac:dyDescent="0.3">
      <c r="A877" s="1" t="s">
        <v>512</v>
      </c>
      <c r="B877" s="1" t="s">
        <v>605</v>
      </c>
      <c r="C877" s="1" t="s">
        <v>605</v>
      </c>
      <c r="D877" s="1" t="s">
        <v>606</v>
      </c>
      <c r="E877" s="1" t="s">
        <v>337</v>
      </c>
      <c r="F877" s="1">
        <v>1740401</v>
      </c>
      <c r="G877" s="1">
        <v>1740766</v>
      </c>
      <c r="H877" s="1">
        <v>23216.7</v>
      </c>
      <c r="I877" s="1">
        <v>-22851.7</v>
      </c>
      <c r="J877" s="1">
        <v>1763617.7</v>
      </c>
      <c r="K877" s="1">
        <v>93</v>
      </c>
      <c r="L877" s="1">
        <v>249.64193548387101</v>
      </c>
      <c r="M877" s="1">
        <v>-91.53790590393983</v>
      </c>
      <c r="N877" s="7">
        <v>45947</v>
      </c>
      <c r="O877" s="1">
        <v>365</v>
      </c>
      <c r="P877" s="7">
        <v>46203</v>
      </c>
      <c r="Q877" s="1" t="s">
        <v>330</v>
      </c>
      <c r="T877" s="1" t="s">
        <v>607</v>
      </c>
      <c r="U877" s="1" t="s">
        <v>608</v>
      </c>
      <c r="V877" s="1">
        <v>1</v>
      </c>
      <c r="W877" s="3">
        <v>271670.34999999998</v>
      </c>
      <c r="X877" s="3">
        <v>271670.34999999998</v>
      </c>
      <c r="Y877" s="1" t="str">
        <f>VLOOKUP(A877,[1]Detalle!$D$2:$CR$484,93,FALSE)</f>
        <v>Expreso - Servicios Troncales</v>
      </c>
    </row>
    <row r="878" spans="1:25" ht="14.25" customHeight="1" x14ac:dyDescent="0.3">
      <c r="A878" s="1" t="s">
        <v>513</v>
      </c>
      <c r="B878" s="1" t="s">
        <v>605</v>
      </c>
      <c r="C878" s="1" t="s">
        <v>605</v>
      </c>
      <c r="D878" s="1" t="s">
        <v>606</v>
      </c>
      <c r="E878" s="1" t="s">
        <v>337</v>
      </c>
      <c r="F878" s="1">
        <v>1522461</v>
      </c>
      <c r="G878" s="1">
        <v>1522826</v>
      </c>
      <c r="H878" s="1">
        <v>30847.3</v>
      </c>
      <c r="I878" s="1">
        <v>-30482.3</v>
      </c>
      <c r="J878" s="1">
        <v>1553308.3</v>
      </c>
      <c r="K878" s="1">
        <v>93</v>
      </c>
      <c r="L878" s="1">
        <v>331.69139784946242</v>
      </c>
      <c r="M878" s="1">
        <v>-91.899579541807555</v>
      </c>
      <c r="N878" s="7">
        <v>45947</v>
      </c>
      <c r="O878" s="1">
        <v>365</v>
      </c>
      <c r="P878" s="7">
        <v>46203</v>
      </c>
      <c r="Q878" s="1" t="s">
        <v>330</v>
      </c>
      <c r="T878" s="1" t="s">
        <v>607</v>
      </c>
      <c r="U878" s="1" t="s">
        <v>608</v>
      </c>
      <c r="V878" s="1">
        <v>1</v>
      </c>
      <c r="W878" s="3">
        <v>271670.34999999998</v>
      </c>
      <c r="X878" s="3">
        <v>271670.34999999998</v>
      </c>
      <c r="Y878" s="1" t="str">
        <f>VLOOKUP(A878,[1]Detalle!$D$2:$CR$484,93,FALSE)</f>
        <v>Expreso - Servicios Troncales</v>
      </c>
    </row>
    <row r="879" spans="1:25" ht="14.25" customHeight="1" x14ac:dyDescent="0.3">
      <c r="A879" s="1" t="s">
        <v>270</v>
      </c>
      <c r="B879" s="1" t="s">
        <v>605</v>
      </c>
      <c r="C879" s="1" t="s">
        <v>605</v>
      </c>
      <c r="D879" s="1" t="s">
        <v>606</v>
      </c>
      <c r="E879" s="1" t="s">
        <v>337</v>
      </c>
      <c r="F879" s="1">
        <v>28759.5</v>
      </c>
      <c r="G879" s="1">
        <v>29124.5</v>
      </c>
      <c r="H879" s="1">
        <v>545764.48299999989</v>
      </c>
      <c r="I879" s="1">
        <v>-545399.48299999989</v>
      </c>
      <c r="J879" s="1">
        <v>574523.98299999989</v>
      </c>
      <c r="K879" s="1">
        <v>439</v>
      </c>
      <c r="L879" s="1">
        <v>1243.199277904328</v>
      </c>
      <c r="M879" s="1">
        <v>-438.70640266087082</v>
      </c>
      <c r="N879" s="7">
        <v>45947</v>
      </c>
      <c r="O879" s="1">
        <v>365</v>
      </c>
      <c r="P879" s="7">
        <v>46312</v>
      </c>
      <c r="Q879" s="1" t="s">
        <v>330</v>
      </c>
      <c r="T879" s="1" t="s">
        <v>607</v>
      </c>
      <c r="U879" s="1" t="s">
        <v>608</v>
      </c>
      <c r="V879" s="1">
        <v>1</v>
      </c>
      <c r="W879" s="3">
        <v>271670.34999999998</v>
      </c>
      <c r="X879" s="3">
        <v>271670.34999999998</v>
      </c>
      <c r="Y879" s="1" t="str">
        <f>VLOOKUP(A879,[1]Detalle!$D$2:$CR$484,93,FALSE)</f>
        <v>Expreso - Servicios Troncales</v>
      </c>
    </row>
    <row r="880" spans="1:25" ht="14.25" customHeight="1" x14ac:dyDescent="0.3">
      <c r="A880" s="1" t="s">
        <v>17</v>
      </c>
      <c r="B880" s="1" t="s">
        <v>605</v>
      </c>
      <c r="C880" s="1" t="s">
        <v>605</v>
      </c>
      <c r="D880" s="1" t="s">
        <v>606</v>
      </c>
      <c r="E880" s="1" t="s">
        <v>337</v>
      </c>
      <c r="F880" s="1">
        <v>690382</v>
      </c>
      <c r="G880" s="1">
        <v>690747</v>
      </c>
      <c r="H880" s="1">
        <v>33880.100000000013</v>
      </c>
      <c r="I880" s="1">
        <v>-33515.100000000013</v>
      </c>
      <c r="J880" s="1">
        <v>724262.1</v>
      </c>
      <c r="K880" s="1">
        <v>93</v>
      </c>
      <c r="L880" s="1">
        <v>364.30215053763447</v>
      </c>
      <c r="M880" s="1">
        <v>-91.998084421238431</v>
      </c>
      <c r="N880" s="7">
        <v>45947</v>
      </c>
      <c r="O880" s="1">
        <v>365</v>
      </c>
      <c r="P880" s="7">
        <v>46203</v>
      </c>
      <c r="Q880" s="1" t="s">
        <v>330</v>
      </c>
      <c r="T880" s="1" t="s">
        <v>607</v>
      </c>
      <c r="U880" s="1" t="s">
        <v>608</v>
      </c>
      <c r="V880" s="1">
        <v>1</v>
      </c>
      <c r="W880" s="3">
        <v>271670.34999999998</v>
      </c>
      <c r="X880" s="3">
        <v>271670.34999999998</v>
      </c>
      <c r="Y880" s="1" t="str">
        <f>VLOOKUP(A880,[1]Detalle!$D$2:$CR$484,93,FALSE)</f>
        <v>Expreso - Servicios Troncales</v>
      </c>
    </row>
    <row r="881" spans="1:25" ht="14.25" customHeight="1" x14ac:dyDescent="0.3">
      <c r="A881" s="1" t="s">
        <v>18</v>
      </c>
      <c r="B881" s="1" t="s">
        <v>605</v>
      </c>
      <c r="C881" s="1" t="s">
        <v>605</v>
      </c>
      <c r="D881" s="1" t="s">
        <v>606</v>
      </c>
      <c r="E881" s="1" t="s">
        <v>337</v>
      </c>
      <c r="F881" s="1">
        <v>649466</v>
      </c>
      <c r="G881" s="1">
        <v>649831</v>
      </c>
      <c r="H881" s="1">
        <v>31704.400000000009</v>
      </c>
      <c r="I881" s="1">
        <v>-31339.400000000009</v>
      </c>
      <c r="J881" s="1">
        <v>681170.4</v>
      </c>
      <c r="K881" s="1">
        <v>93</v>
      </c>
      <c r="L881" s="1">
        <v>340.90752688172063</v>
      </c>
      <c r="M881" s="1">
        <v>-91.929328421291686</v>
      </c>
      <c r="N881" s="7">
        <v>45947</v>
      </c>
      <c r="O881" s="1">
        <v>365</v>
      </c>
      <c r="P881" s="7">
        <v>46203</v>
      </c>
      <c r="Q881" s="1" t="s">
        <v>330</v>
      </c>
      <c r="T881" s="1" t="s">
        <v>607</v>
      </c>
      <c r="U881" s="1" t="s">
        <v>608</v>
      </c>
      <c r="V881" s="1">
        <v>1</v>
      </c>
      <c r="W881" s="3">
        <v>271670.34999999998</v>
      </c>
      <c r="X881" s="3">
        <v>271670.34999999998</v>
      </c>
      <c r="Y881" s="1" t="str">
        <f>VLOOKUP(A881,[1]Detalle!$D$2:$CR$484,93,FALSE)</f>
        <v>Expreso - Servicios Troncales</v>
      </c>
    </row>
    <row r="882" spans="1:25" ht="14.25" customHeight="1" x14ac:dyDescent="0.3">
      <c r="A882" s="1" t="s">
        <v>176</v>
      </c>
      <c r="B882" s="1" t="s">
        <v>605</v>
      </c>
      <c r="C882" s="1" t="s">
        <v>605</v>
      </c>
      <c r="D882" s="1" t="s">
        <v>606</v>
      </c>
      <c r="E882" s="1" t="s">
        <v>337</v>
      </c>
      <c r="F882" s="1">
        <v>1858293</v>
      </c>
      <c r="G882" s="1">
        <v>1858658</v>
      </c>
      <c r="H882" s="1">
        <v>573559.41900000046</v>
      </c>
      <c r="I882" s="1">
        <v>-573194.41900000046</v>
      </c>
      <c r="J882" s="1">
        <v>2431852.4190000012</v>
      </c>
      <c r="K882" s="1">
        <v>257</v>
      </c>
      <c r="L882" s="1">
        <v>2231.7487120622591</v>
      </c>
      <c r="M882" s="1">
        <v>-256.83645112103022</v>
      </c>
      <c r="N882" s="7">
        <v>45947</v>
      </c>
      <c r="O882" s="1">
        <v>365</v>
      </c>
      <c r="P882" s="7">
        <v>46312</v>
      </c>
      <c r="Q882" s="1" t="s">
        <v>330</v>
      </c>
      <c r="T882" s="1" t="s">
        <v>607</v>
      </c>
      <c r="U882" s="1" t="s">
        <v>608</v>
      </c>
      <c r="V882" s="1">
        <v>1</v>
      </c>
      <c r="W882" s="3">
        <v>271670.34999999998</v>
      </c>
      <c r="X882" s="3">
        <v>271670.34999999998</v>
      </c>
      <c r="Y882" s="1" t="str">
        <f>VLOOKUP(A882,[1]Detalle!$D$2:$CR$484,93,FALSE)</f>
        <v>Expreso - Servicios Troncales</v>
      </c>
    </row>
    <row r="883" spans="1:25" ht="14.25" customHeight="1" x14ac:dyDescent="0.3">
      <c r="A883" s="1" t="s">
        <v>186</v>
      </c>
      <c r="B883" s="1" t="s">
        <v>605</v>
      </c>
      <c r="C883" s="1" t="s">
        <v>605</v>
      </c>
      <c r="D883" s="1" t="s">
        <v>606</v>
      </c>
      <c r="E883" s="1" t="s">
        <v>337</v>
      </c>
      <c r="F883" s="1">
        <v>462884</v>
      </c>
      <c r="G883" s="1">
        <v>463249</v>
      </c>
      <c r="H883" s="1">
        <v>34735.899999999987</v>
      </c>
      <c r="I883" s="1">
        <v>-34370.899999999987</v>
      </c>
      <c r="J883" s="1">
        <v>497619.9</v>
      </c>
      <c r="K883" s="1">
        <v>93</v>
      </c>
      <c r="L883" s="1">
        <v>373.50430107526881</v>
      </c>
      <c r="M883" s="1">
        <v>-92.022768950854882</v>
      </c>
      <c r="N883" s="7">
        <v>45947</v>
      </c>
      <c r="O883" s="1">
        <v>365</v>
      </c>
      <c r="P883" s="7">
        <v>46203</v>
      </c>
      <c r="Q883" s="1" t="s">
        <v>330</v>
      </c>
      <c r="T883" s="1" t="s">
        <v>607</v>
      </c>
      <c r="U883" s="1" t="s">
        <v>608</v>
      </c>
      <c r="V883" s="1">
        <v>1</v>
      </c>
      <c r="W883" s="3">
        <v>271670.34999999998</v>
      </c>
      <c r="X883" s="3">
        <v>271670.34999999998</v>
      </c>
      <c r="Y883" s="1" t="str">
        <f>VLOOKUP(A883,[1]Detalle!$D$2:$CR$484,93,FALSE)</f>
        <v>Expreso - Servicios Troncales</v>
      </c>
    </row>
    <row r="884" spans="1:25" ht="14.25" customHeight="1" x14ac:dyDescent="0.3">
      <c r="A884" s="1" t="s">
        <v>201</v>
      </c>
      <c r="B884" s="1" t="s">
        <v>605</v>
      </c>
      <c r="C884" s="1" t="s">
        <v>605</v>
      </c>
      <c r="D884" s="1" t="s">
        <v>606</v>
      </c>
      <c r="E884" s="1" t="s">
        <v>337</v>
      </c>
      <c r="F884" s="1">
        <v>1842119</v>
      </c>
      <c r="G884" s="1">
        <v>1842484</v>
      </c>
      <c r="H884" s="1">
        <v>30174.499999999989</v>
      </c>
      <c r="I884" s="1">
        <v>-29809.499999999989</v>
      </c>
      <c r="J884" s="1">
        <v>1872293.5</v>
      </c>
      <c r="K884" s="1">
        <v>93</v>
      </c>
      <c r="L884" s="1">
        <v>324.45698924731181</v>
      </c>
      <c r="M884" s="1">
        <v>-91.87504349699249</v>
      </c>
      <c r="N884" s="7">
        <v>45947</v>
      </c>
      <c r="O884" s="1">
        <v>365</v>
      </c>
      <c r="P884" s="7">
        <v>46203</v>
      </c>
      <c r="Q884" s="1" t="s">
        <v>330</v>
      </c>
      <c r="T884" s="1" t="s">
        <v>607</v>
      </c>
      <c r="U884" s="1" t="s">
        <v>608</v>
      </c>
      <c r="V884" s="1">
        <v>1</v>
      </c>
      <c r="W884" s="3">
        <v>271670.34999999998</v>
      </c>
      <c r="X884" s="3">
        <v>271670.34999999998</v>
      </c>
      <c r="Y884" s="1" t="str">
        <f>VLOOKUP(A884,[1]Detalle!$D$2:$CR$484,93,FALSE)</f>
        <v>SUC_CTC - Sucursal Buenos Aires</v>
      </c>
    </row>
    <row r="885" spans="1:25" ht="14.25" customHeight="1" x14ac:dyDescent="0.3">
      <c r="A885" s="1" t="s">
        <v>280</v>
      </c>
      <c r="B885" s="1" t="s">
        <v>605</v>
      </c>
      <c r="C885" s="1" t="s">
        <v>605</v>
      </c>
      <c r="D885" s="1" t="s">
        <v>606</v>
      </c>
      <c r="E885" s="1" t="s">
        <v>337</v>
      </c>
      <c r="F885" s="1">
        <v>57342.6</v>
      </c>
      <c r="G885" s="1">
        <v>57707.6</v>
      </c>
      <c r="H885" s="1">
        <v>846.69999999999993</v>
      </c>
      <c r="I885" s="1">
        <v>-481.69999999999987</v>
      </c>
      <c r="J885" s="1">
        <v>58189.3</v>
      </c>
      <c r="K885" s="1">
        <v>93</v>
      </c>
      <c r="L885" s="1">
        <v>9.1043010752688165</v>
      </c>
      <c r="M885" s="1">
        <v>-52.909058698476443</v>
      </c>
      <c r="N885" s="7">
        <v>45947</v>
      </c>
      <c r="O885" s="1">
        <v>365</v>
      </c>
      <c r="P885" s="7">
        <v>46203</v>
      </c>
      <c r="Q885" s="1" t="s">
        <v>330</v>
      </c>
      <c r="T885" s="1" t="s">
        <v>607</v>
      </c>
      <c r="U885" s="1" t="s">
        <v>608</v>
      </c>
      <c r="V885" s="1">
        <v>1</v>
      </c>
      <c r="W885" s="3">
        <v>271670.34999999998</v>
      </c>
      <c r="X885" s="3">
        <v>271670.34999999998</v>
      </c>
      <c r="Y885" s="1" t="str">
        <f>VLOOKUP(A885,[1]Detalle!$D$2:$CR$484,93,FALSE)</f>
        <v>Expreso - Servicios Troncales</v>
      </c>
    </row>
    <row r="886" spans="1:25" ht="14.25" customHeight="1" x14ac:dyDescent="0.3">
      <c r="A886" s="1" t="s">
        <v>278</v>
      </c>
      <c r="B886" s="1" t="s">
        <v>605</v>
      </c>
      <c r="C886" s="1" t="s">
        <v>605</v>
      </c>
      <c r="D886" s="1" t="s">
        <v>606</v>
      </c>
      <c r="E886" s="1" t="s">
        <v>337</v>
      </c>
      <c r="F886" s="1">
        <v>12677.1</v>
      </c>
      <c r="G886" s="1">
        <v>13042.1</v>
      </c>
      <c r="H886" s="1">
        <v>0</v>
      </c>
      <c r="I886" s="1">
        <v>365</v>
      </c>
      <c r="J886" s="1">
        <v>12677.1</v>
      </c>
      <c r="K886" s="1">
        <v>93</v>
      </c>
      <c r="L886" s="1">
        <v>100</v>
      </c>
      <c r="M886" s="1">
        <v>3.65</v>
      </c>
      <c r="N886" s="7">
        <v>45947</v>
      </c>
      <c r="O886" s="1">
        <v>365</v>
      </c>
      <c r="P886" s="7">
        <v>46203</v>
      </c>
      <c r="Q886" s="1" t="s">
        <v>330</v>
      </c>
      <c r="T886" s="1" t="s">
        <v>607</v>
      </c>
      <c r="U886" s="1" t="s">
        <v>608</v>
      </c>
      <c r="V886" s="1">
        <v>1</v>
      </c>
      <c r="W886" s="3">
        <v>271670.34999999998</v>
      </c>
      <c r="X886" s="3">
        <v>271670.34999999998</v>
      </c>
      <c r="Y886" s="1" t="str">
        <f>VLOOKUP(A886,[1]Detalle!$D$2:$CR$484,93,FALSE)</f>
        <v>Expreso - Servicios Troncales</v>
      </c>
    </row>
    <row r="887" spans="1:25" ht="14.25" customHeight="1" x14ac:dyDescent="0.3">
      <c r="A887" s="1" t="s">
        <v>279</v>
      </c>
      <c r="B887" s="1" t="s">
        <v>605</v>
      </c>
      <c r="C887" s="1" t="s">
        <v>605</v>
      </c>
      <c r="D887" s="1" t="s">
        <v>606</v>
      </c>
      <c r="E887" s="1" t="s">
        <v>337</v>
      </c>
      <c r="F887" s="1">
        <v>32515.599999999999</v>
      </c>
      <c r="G887" s="1">
        <v>32880.6</v>
      </c>
      <c r="H887" s="1">
        <v>54186.459999999977</v>
      </c>
      <c r="I887" s="1">
        <v>-53821.459999999977</v>
      </c>
      <c r="J887" s="1">
        <v>86702.059999999983</v>
      </c>
      <c r="K887" s="1">
        <v>278</v>
      </c>
      <c r="L887" s="1">
        <v>194.91532374100709</v>
      </c>
      <c r="M887" s="1">
        <v>-276.12739197209038</v>
      </c>
      <c r="N887" s="7">
        <v>45947</v>
      </c>
      <c r="O887" s="1">
        <v>365</v>
      </c>
      <c r="P887" s="7">
        <v>46312</v>
      </c>
      <c r="Q887" s="1" t="s">
        <v>330</v>
      </c>
      <c r="T887" s="1" t="s">
        <v>607</v>
      </c>
      <c r="U887" s="1" t="s">
        <v>608</v>
      </c>
      <c r="V887" s="1">
        <v>1</v>
      </c>
      <c r="W887" s="3">
        <v>271670.34999999998</v>
      </c>
      <c r="X887" s="3">
        <v>271670.34999999998</v>
      </c>
      <c r="Y887" s="1" t="str">
        <f>VLOOKUP(A887,[1]Detalle!$D$2:$CR$484,93,FALSE)</f>
        <v>Expreso - Servicios Troncales</v>
      </c>
    </row>
    <row r="888" spans="1:25" ht="14.25" customHeight="1" x14ac:dyDescent="0.3">
      <c r="A888" s="1" t="s">
        <v>277</v>
      </c>
      <c r="B888" s="1" t="s">
        <v>605</v>
      </c>
      <c r="C888" s="1" t="s">
        <v>605</v>
      </c>
      <c r="D888" s="1" t="s">
        <v>606</v>
      </c>
      <c r="E888" s="1" t="s">
        <v>337</v>
      </c>
      <c r="F888" s="1">
        <v>32422.3</v>
      </c>
      <c r="G888" s="1">
        <v>32787.300000000003</v>
      </c>
      <c r="H888" s="1">
        <v>1342.7</v>
      </c>
      <c r="I888" s="1">
        <v>-977.69999999999982</v>
      </c>
      <c r="J888" s="1">
        <v>33765</v>
      </c>
      <c r="K888" s="1">
        <v>93</v>
      </c>
      <c r="L888" s="1">
        <v>14.43763440860215</v>
      </c>
      <c r="M888" s="1">
        <v>-67.718850078200632</v>
      </c>
      <c r="N888" s="7">
        <v>45947</v>
      </c>
      <c r="O888" s="1">
        <v>365</v>
      </c>
      <c r="P888" s="7">
        <v>46203</v>
      </c>
      <c r="Q888" s="1" t="s">
        <v>330</v>
      </c>
      <c r="T888" s="1" t="s">
        <v>607</v>
      </c>
      <c r="U888" s="1" t="s">
        <v>608</v>
      </c>
      <c r="V888" s="1">
        <v>1</v>
      </c>
      <c r="W888" s="3">
        <v>271670.34999999998</v>
      </c>
      <c r="X888" s="3">
        <v>271670.34999999998</v>
      </c>
      <c r="Y888" s="1" t="str">
        <f>VLOOKUP(A888,[1]Detalle!$D$2:$CR$484,93,FALSE)</f>
        <v>Expreso - Servicios Troncales</v>
      </c>
    </row>
    <row r="889" spans="1:25" ht="14.25" customHeight="1" x14ac:dyDescent="0.3">
      <c r="A889" s="1" t="s">
        <v>228</v>
      </c>
      <c r="B889" s="1" t="s">
        <v>605</v>
      </c>
      <c r="C889" s="1" t="s">
        <v>605</v>
      </c>
      <c r="D889" s="1" t="s">
        <v>606</v>
      </c>
      <c r="E889" s="1" t="s">
        <v>337</v>
      </c>
      <c r="F889" s="1">
        <v>827590</v>
      </c>
      <c r="G889" s="1">
        <v>827955</v>
      </c>
      <c r="H889" s="1">
        <v>36422.1</v>
      </c>
      <c r="I889" s="1">
        <v>-36057.1</v>
      </c>
      <c r="J889" s="1">
        <v>864012.1</v>
      </c>
      <c r="K889" s="1">
        <v>158</v>
      </c>
      <c r="L889" s="1">
        <v>230.51962025316459</v>
      </c>
      <c r="M889" s="1">
        <v>-156.41662067810481</v>
      </c>
      <c r="N889" s="7">
        <v>45947</v>
      </c>
      <c r="O889" s="1">
        <v>365</v>
      </c>
      <c r="P889" s="7">
        <v>46312</v>
      </c>
      <c r="Q889" s="1" t="s">
        <v>330</v>
      </c>
      <c r="T889" s="1" t="s">
        <v>607</v>
      </c>
      <c r="U889" s="1" t="s">
        <v>608</v>
      </c>
      <c r="V889" s="1">
        <v>1</v>
      </c>
      <c r="W889" s="3">
        <v>271670.34999999998</v>
      </c>
      <c r="X889" s="3">
        <v>271670.34999999998</v>
      </c>
      <c r="Y889" s="1" t="str">
        <f>VLOOKUP(A889,[1]Detalle!$D$2:$CR$484,93,FALSE)</f>
        <v>Expreso - Servicios Troncales</v>
      </c>
    </row>
    <row r="890" spans="1:25" ht="14.25" customHeight="1" x14ac:dyDescent="0.3">
      <c r="A890" s="1" t="s">
        <v>229</v>
      </c>
      <c r="B890" s="1" t="s">
        <v>605</v>
      </c>
      <c r="C890" s="1" t="s">
        <v>605</v>
      </c>
      <c r="D890" s="1" t="s">
        <v>606</v>
      </c>
      <c r="E890" s="1" t="s">
        <v>337</v>
      </c>
      <c r="F890" s="1">
        <v>1778309</v>
      </c>
      <c r="G890" s="1">
        <v>1778674</v>
      </c>
      <c r="H890" s="1">
        <v>27121.999999999989</v>
      </c>
      <c r="I890" s="1">
        <v>-26756.999999999989</v>
      </c>
      <c r="J890" s="1">
        <v>1805431</v>
      </c>
      <c r="K890" s="1">
        <v>93</v>
      </c>
      <c r="L890" s="1">
        <v>291.63440860215047</v>
      </c>
      <c r="M890" s="1">
        <v>-91.748433006415453</v>
      </c>
      <c r="N890" s="7">
        <v>45947</v>
      </c>
      <c r="O890" s="1">
        <v>365</v>
      </c>
      <c r="P890" s="7">
        <v>46203</v>
      </c>
      <c r="Q890" s="1" t="s">
        <v>330</v>
      </c>
      <c r="T890" s="1" t="s">
        <v>607</v>
      </c>
      <c r="U890" s="1" t="s">
        <v>608</v>
      </c>
      <c r="V890" s="1">
        <v>1</v>
      </c>
      <c r="W890" s="3">
        <v>271670.34999999998</v>
      </c>
      <c r="X890" s="3">
        <v>271670.34999999998</v>
      </c>
      <c r="Y890" s="1" t="str">
        <f>VLOOKUP(A890,[1]Detalle!$D$2:$CR$484,93,FALSE)</f>
        <v>Expreso - Servicios Troncales</v>
      </c>
    </row>
    <row r="891" spans="1:25" ht="14.25" customHeight="1" x14ac:dyDescent="0.3">
      <c r="A891" s="1" t="s">
        <v>230</v>
      </c>
      <c r="B891" s="1" t="s">
        <v>605</v>
      </c>
      <c r="C891" s="1" t="s">
        <v>605</v>
      </c>
      <c r="D891" s="1" t="s">
        <v>606</v>
      </c>
      <c r="E891" s="1" t="s">
        <v>337</v>
      </c>
      <c r="F891" s="1">
        <v>1727727</v>
      </c>
      <c r="G891" s="1">
        <v>1728092</v>
      </c>
      <c r="H891" s="1">
        <v>101818.48</v>
      </c>
      <c r="I891" s="1">
        <v>-101453.48</v>
      </c>
      <c r="J891" s="1">
        <v>1829545.48</v>
      </c>
      <c r="K891" s="1">
        <v>347</v>
      </c>
      <c r="L891" s="1">
        <v>293.42501440922177</v>
      </c>
      <c r="M891" s="1">
        <v>-345.75607060722177</v>
      </c>
      <c r="N891" s="7">
        <v>45947</v>
      </c>
      <c r="O891" s="1">
        <v>365</v>
      </c>
      <c r="P891" s="7">
        <v>46312</v>
      </c>
      <c r="Q891" s="1" t="s">
        <v>330</v>
      </c>
      <c r="T891" s="1" t="s">
        <v>607</v>
      </c>
      <c r="U891" s="1" t="s">
        <v>608</v>
      </c>
      <c r="V891" s="1">
        <v>1</v>
      </c>
      <c r="W891" s="3">
        <v>271670.34999999998</v>
      </c>
      <c r="X891" s="3">
        <v>271670.34999999998</v>
      </c>
      <c r="Y891" s="1" t="str">
        <f>VLOOKUP(A891,[1]Detalle!$D$2:$CR$484,93,FALSE)</f>
        <v>Expreso - Servicios Troncales</v>
      </c>
    </row>
    <row r="892" spans="1:25" ht="14.25" customHeight="1" x14ac:dyDescent="0.3">
      <c r="A892" s="1" t="s">
        <v>231</v>
      </c>
      <c r="B892" s="1" t="s">
        <v>605</v>
      </c>
      <c r="C892" s="1" t="s">
        <v>605</v>
      </c>
      <c r="D892" s="1" t="s">
        <v>606</v>
      </c>
      <c r="E892" s="1" t="s">
        <v>337</v>
      </c>
      <c r="F892" s="1">
        <v>1836513</v>
      </c>
      <c r="G892" s="1">
        <v>1836878</v>
      </c>
      <c r="H892" s="1">
        <v>31732.5</v>
      </c>
      <c r="I892" s="1">
        <v>-31367.5</v>
      </c>
      <c r="J892" s="1">
        <v>1868245.5</v>
      </c>
      <c r="K892" s="1">
        <v>93</v>
      </c>
      <c r="L892" s="1">
        <v>341.20967741935482</v>
      </c>
      <c r="M892" s="1">
        <v>-91.930276530371074</v>
      </c>
      <c r="N892" s="7">
        <v>45947</v>
      </c>
      <c r="O892" s="1">
        <v>365</v>
      </c>
      <c r="P892" s="7">
        <v>46203</v>
      </c>
      <c r="Q892" s="1" t="s">
        <v>330</v>
      </c>
      <c r="T892" s="1" t="s">
        <v>607</v>
      </c>
      <c r="U892" s="1" t="s">
        <v>608</v>
      </c>
      <c r="V892" s="1">
        <v>1</v>
      </c>
      <c r="W892" s="3">
        <v>271670.34999999998</v>
      </c>
      <c r="X892" s="3">
        <v>271670.34999999998</v>
      </c>
      <c r="Y892" s="1" t="str">
        <f>VLOOKUP(A892,[1]Detalle!$D$2:$CR$484,93,FALSE)</f>
        <v>Expreso - Servicios Troncales</v>
      </c>
    </row>
    <row r="893" spans="1:25" ht="14.25" customHeight="1" x14ac:dyDescent="0.3">
      <c r="A893" s="1" t="s">
        <v>232</v>
      </c>
      <c r="B893" s="1" t="s">
        <v>605</v>
      </c>
      <c r="C893" s="1" t="s">
        <v>605</v>
      </c>
      <c r="D893" s="1" t="s">
        <v>606</v>
      </c>
      <c r="E893" s="1" t="s">
        <v>337</v>
      </c>
      <c r="F893" s="1">
        <v>1808945</v>
      </c>
      <c r="G893" s="1">
        <v>1809310</v>
      </c>
      <c r="H893" s="1">
        <v>783482.29999999993</v>
      </c>
      <c r="I893" s="1">
        <v>-783117.29999999993</v>
      </c>
      <c r="J893" s="1">
        <v>2592427.2999999998</v>
      </c>
      <c r="K893" s="1">
        <v>457</v>
      </c>
      <c r="L893" s="1">
        <v>1714.403282275711</v>
      </c>
      <c r="M893" s="1">
        <v>-456.7870979344396</v>
      </c>
      <c r="N893" s="7">
        <v>45947</v>
      </c>
      <c r="O893" s="1">
        <v>365</v>
      </c>
      <c r="P893" s="7">
        <v>46312</v>
      </c>
      <c r="Q893" s="1" t="s">
        <v>330</v>
      </c>
      <c r="T893" s="1" t="s">
        <v>607</v>
      </c>
      <c r="U893" s="1" t="s">
        <v>608</v>
      </c>
      <c r="V893" s="1">
        <v>1</v>
      </c>
      <c r="W893" s="3">
        <v>271670.34999999998</v>
      </c>
      <c r="X893" s="3">
        <v>271670.34999999998</v>
      </c>
      <c r="Y893" s="1" t="str">
        <f>VLOOKUP(A893,[1]Detalle!$D$2:$CR$484,93,FALSE)</f>
        <v>Expreso - Servicios Troncales</v>
      </c>
    </row>
    <row r="894" spans="1:25" ht="14.25" customHeight="1" x14ac:dyDescent="0.3">
      <c r="A894" s="1" t="s">
        <v>233</v>
      </c>
      <c r="B894" s="1" t="s">
        <v>605</v>
      </c>
      <c r="C894" s="1" t="s">
        <v>605</v>
      </c>
      <c r="D894" s="1" t="s">
        <v>606</v>
      </c>
      <c r="E894" s="1" t="s">
        <v>337</v>
      </c>
      <c r="F894" s="1">
        <v>1936091</v>
      </c>
      <c r="G894" s="1">
        <v>1936456</v>
      </c>
      <c r="H894" s="1">
        <v>33750.9</v>
      </c>
      <c r="I894" s="1">
        <v>-33385.9</v>
      </c>
      <c r="J894" s="1">
        <v>1969841.9</v>
      </c>
      <c r="K894" s="1">
        <v>93</v>
      </c>
      <c r="L894" s="1">
        <v>362.91290322580647</v>
      </c>
      <c r="M894" s="1">
        <v>-91.994249042247759</v>
      </c>
      <c r="N894" s="7">
        <v>45947</v>
      </c>
      <c r="O894" s="1">
        <v>365</v>
      </c>
      <c r="P894" s="7">
        <v>46203</v>
      </c>
      <c r="Q894" s="1" t="s">
        <v>330</v>
      </c>
      <c r="T894" s="1" t="s">
        <v>607</v>
      </c>
      <c r="U894" s="1" t="s">
        <v>608</v>
      </c>
      <c r="V894" s="1">
        <v>1</v>
      </c>
      <c r="W894" s="3">
        <v>271670.34999999998</v>
      </c>
      <c r="X894" s="3">
        <v>271670.34999999998</v>
      </c>
      <c r="Y894" s="1" t="str">
        <f>VLOOKUP(A894,[1]Detalle!$D$2:$CR$484,93,FALSE)</f>
        <v>Expreso - Servicios Troncales</v>
      </c>
    </row>
    <row r="895" spans="1:25" ht="14.25" customHeight="1" x14ac:dyDescent="0.3">
      <c r="A895" s="1" t="s">
        <v>234</v>
      </c>
      <c r="B895" s="1" t="s">
        <v>605</v>
      </c>
      <c r="C895" s="1" t="s">
        <v>605</v>
      </c>
      <c r="D895" s="1" t="s">
        <v>606</v>
      </c>
      <c r="E895" s="1" t="s">
        <v>337</v>
      </c>
      <c r="F895" s="1">
        <v>1922871</v>
      </c>
      <c r="G895" s="1">
        <v>1923236</v>
      </c>
      <c r="H895" s="1">
        <v>38533.900000000009</v>
      </c>
      <c r="I895" s="1">
        <v>-38168.900000000009</v>
      </c>
      <c r="J895" s="1">
        <v>1961404.9</v>
      </c>
      <c r="K895" s="1">
        <v>93</v>
      </c>
      <c r="L895" s="1">
        <v>414.34301075268831</v>
      </c>
      <c r="M895" s="1">
        <v>-92.119087349061473</v>
      </c>
      <c r="N895" s="7">
        <v>45947</v>
      </c>
      <c r="O895" s="1">
        <v>365</v>
      </c>
      <c r="P895" s="7">
        <v>46203</v>
      </c>
      <c r="Q895" s="1" t="s">
        <v>330</v>
      </c>
      <c r="T895" s="1" t="s">
        <v>607</v>
      </c>
      <c r="U895" s="1" t="s">
        <v>608</v>
      </c>
      <c r="V895" s="1">
        <v>1</v>
      </c>
      <c r="W895" s="3">
        <v>271670.34999999998</v>
      </c>
      <c r="X895" s="3">
        <v>271670.34999999998</v>
      </c>
      <c r="Y895" s="1" t="str">
        <f>VLOOKUP(A895,[1]Detalle!$D$2:$CR$484,93,FALSE)</f>
        <v>Expreso - Servicios Troncales</v>
      </c>
    </row>
    <row r="896" spans="1:25" ht="14.25" customHeight="1" x14ac:dyDescent="0.3">
      <c r="A896" s="1" t="s">
        <v>70</v>
      </c>
      <c r="B896" s="1" t="s">
        <v>605</v>
      </c>
      <c r="C896" s="1" t="s">
        <v>605</v>
      </c>
      <c r="D896" s="1" t="s">
        <v>606</v>
      </c>
      <c r="E896" s="1" t="s">
        <v>337</v>
      </c>
      <c r="F896" s="1">
        <v>331634</v>
      </c>
      <c r="G896" s="1">
        <v>331999</v>
      </c>
      <c r="H896" s="1">
        <v>24149.499999999989</v>
      </c>
      <c r="I896" s="1">
        <v>-23784.499999999989</v>
      </c>
      <c r="J896" s="1">
        <v>355783.5</v>
      </c>
      <c r="K896" s="1">
        <v>93</v>
      </c>
      <c r="L896" s="1">
        <v>259.67204301075259</v>
      </c>
      <c r="M896" s="1">
        <v>-91.594380836042149</v>
      </c>
      <c r="N896" s="7">
        <v>45947</v>
      </c>
      <c r="O896" s="1">
        <v>365</v>
      </c>
      <c r="P896" s="7">
        <v>46203</v>
      </c>
      <c r="Q896" s="1" t="s">
        <v>330</v>
      </c>
      <c r="T896" s="1" t="s">
        <v>607</v>
      </c>
      <c r="U896" s="1" t="s">
        <v>608</v>
      </c>
      <c r="V896" s="1">
        <v>1</v>
      </c>
      <c r="W896" s="3">
        <v>271670.34999999998</v>
      </c>
      <c r="X896" s="3">
        <v>271670.34999999998</v>
      </c>
      <c r="Y896" s="1" t="str">
        <f>VLOOKUP(A896,[1]Detalle!$D$2:$CR$484,93,FALSE)</f>
        <v>ADA_CH - Danone Arg. S.A. - Chascomus</v>
      </c>
    </row>
    <row r="897" spans="1:25" ht="14.25" customHeight="1" x14ac:dyDescent="0.3">
      <c r="A897" s="1" t="s">
        <v>97</v>
      </c>
      <c r="B897" s="1" t="s">
        <v>605</v>
      </c>
      <c r="C897" s="1" t="s">
        <v>605</v>
      </c>
      <c r="D897" s="1" t="s">
        <v>606</v>
      </c>
      <c r="E897" s="1" t="s">
        <v>337</v>
      </c>
      <c r="F897" s="1">
        <v>190237</v>
      </c>
      <c r="G897" s="1">
        <v>190602</v>
      </c>
      <c r="H897" s="1">
        <v>24028.9</v>
      </c>
      <c r="I897" s="1">
        <v>-23663.9</v>
      </c>
      <c r="J897" s="1">
        <v>214265.9</v>
      </c>
      <c r="K897" s="1">
        <v>93</v>
      </c>
      <c r="L897" s="1">
        <v>258.3752688172043</v>
      </c>
      <c r="M897" s="1">
        <v>-91.587326094827475</v>
      </c>
      <c r="N897" s="7">
        <v>45947</v>
      </c>
      <c r="O897" s="1">
        <v>365</v>
      </c>
      <c r="P897" s="7">
        <v>46203</v>
      </c>
      <c r="Q897" s="1" t="s">
        <v>330</v>
      </c>
      <c r="T897" s="1" t="s">
        <v>607</v>
      </c>
      <c r="U897" s="1" t="s">
        <v>608</v>
      </c>
      <c r="V897" s="1">
        <v>1</v>
      </c>
      <c r="W897" s="3">
        <v>271670.34999999998</v>
      </c>
      <c r="X897" s="3">
        <v>271670.34999999998</v>
      </c>
      <c r="Y897" s="1" t="str">
        <f>VLOOKUP(A897,[1]Detalle!$D$2:$CR$484,93,FALSE)</f>
        <v>Expreso - Servicios Troncales</v>
      </c>
    </row>
    <row r="898" spans="1:25" ht="14.25" customHeight="1" x14ac:dyDescent="0.3">
      <c r="A898" s="1" t="s">
        <v>221</v>
      </c>
      <c r="B898" s="1" t="s">
        <v>609</v>
      </c>
      <c r="C898" s="1" t="s">
        <v>609</v>
      </c>
      <c r="D898" s="1" t="s">
        <v>610</v>
      </c>
      <c r="E898" s="1" t="s">
        <v>337</v>
      </c>
      <c r="F898" s="1">
        <v>1515615</v>
      </c>
      <c r="G898" s="1">
        <v>1515980</v>
      </c>
      <c r="H898" s="1">
        <v>11308.8</v>
      </c>
      <c r="I898" s="1">
        <v>-10943.8</v>
      </c>
      <c r="J898" s="1">
        <v>1526923.8</v>
      </c>
      <c r="K898" s="1">
        <v>93</v>
      </c>
      <c r="L898" s="1">
        <v>121.6</v>
      </c>
      <c r="M898" s="1">
        <v>-89.99835526315789</v>
      </c>
      <c r="N898" s="7">
        <v>45947</v>
      </c>
      <c r="O898" s="1">
        <v>365</v>
      </c>
      <c r="P898" s="7">
        <v>46203</v>
      </c>
      <c r="Q898" s="1" t="s">
        <v>330</v>
      </c>
      <c r="T898" s="1" t="s">
        <v>611</v>
      </c>
      <c r="U898" s="1" t="s">
        <v>612</v>
      </c>
      <c r="V898" s="1">
        <v>1</v>
      </c>
      <c r="W898" s="3">
        <v>215243.86</v>
      </c>
      <c r="X898" s="3">
        <v>215243.86</v>
      </c>
      <c r="Y898" s="1" t="str">
        <f>VLOOKUP(A898,[1]Detalle!$D$2:$CR$484,93,FALSE)</f>
        <v>ADA_CH - Danone Arg. S.A. - Chascomus</v>
      </c>
    </row>
    <row r="899" spans="1:25" ht="14.25" customHeight="1" x14ac:dyDescent="0.3">
      <c r="A899" s="1" t="s">
        <v>214</v>
      </c>
      <c r="B899" s="1" t="s">
        <v>609</v>
      </c>
      <c r="C899" s="1" t="s">
        <v>609</v>
      </c>
      <c r="D899" s="1" t="s">
        <v>610</v>
      </c>
      <c r="E899" s="1" t="s">
        <v>337</v>
      </c>
      <c r="F899" s="1">
        <v>42357.3</v>
      </c>
      <c r="G899" s="1">
        <v>42722.3</v>
      </c>
      <c r="H899" s="1">
        <v>1217.5</v>
      </c>
      <c r="I899" s="1">
        <v>-852.5</v>
      </c>
      <c r="J899" s="1">
        <v>43574.8</v>
      </c>
      <c r="K899" s="1">
        <v>93</v>
      </c>
      <c r="L899" s="1">
        <v>13.09139784946237</v>
      </c>
      <c r="M899" s="1">
        <v>-65.119096509240251</v>
      </c>
      <c r="N899" s="7">
        <v>45947</v>
      </c>
      <c r="O899" s="1">
        <v>365</v>
      </c>
      <c r="P899" s="7">
        <v>46203</v>
      </c>
      <c r="Q899" s="1" t="s">
        <v>330</v>
      </c>
      <c r="T899" s="1" t="s">
        <v>611</v>
      </c>
      <c r="U899" s="1" t="s">
        <v>612</v>
      </c>
      <c r="V899" s="1">
        <v>1</v>
      </c>
      <c r="W899" s="3">
        <v>215243.86</v>
      </c>
      <c r="X899" s="3">
        <v>215243.86</v>
      </c>
      <c r="Y899" s="1" t="str">
        <f>VLOOKUP(A899,[1]Detalle!$D$2:$CR$484,93,FALSE)</f>
        <v>Expreso - Servicios Troncales</v>
      </c>
    </row>
    <row r="900" spans="1:25" ht="14.25" customHeight="1" x14ac:dyDescent="0.3">
      <c r="A900" s="1" t="s">
        <v>5</v>
      </c>
      <c r="B900" s="1" t="s">
        <v>609</v>
      </c>
      <c r="C900" s="1" t="s">
        <v>609</v>
      </c>
      <c r="D900" s="1" t="s">
        <v>610</v>
      </c>
      <c r="E900" s="1" t="s">
        <v>337</v>
      </c>
      <c r="F900" s="1">
        <v>690966</v>
      </c>
      <c r="G900" s="1">
        <v>691331</v>
      </c>
      <c r="H900" s="1">
        <v>25694.5</v>
      </c>
      <c r="I900" s="1">
        <v>-25329.5</v>
      </c>
      <c r="J900" s="1">
        <v>716660.5</v>
      </c>
      <c r="K900" s="1">
        <v>93</v>
      </c>
      <c r="L900" s="1">
        <v>276.28494623655922</v>
      </c>
      <c r="M900" s="1">
        <v>-91.678900153729387</v>
      </c>
      <c r="N900" s="7">
        <v>45947</v>
      </c>
      <c r="O900" s="1">
        <v>365</v>
      </c>
      <c r="P900" s="7">
        <v>46203</v>
      </c>
      <c r="Q900" s="1" t="s">
        <v>330</v>
      </c>
      <c r="T900" s="1" t="s">
        <v>611</v>
      </c>
      <c r="U900" s="1" t="s">
        <v>612</v>
      </c>
      <c r="V900" s="1">
        <v>1</v>
      </c>
      <c r="W900" s="3">
        <v>215243.86</v>
      </c>
      <c r="X900" s="3">
        <v>215243.86</v>
      </c>
      <c r="Y900" s="1" t="str">
        <f>VLOOKUP(A900,[1]Detalle!$D$2:$CR$484,93,FALSE)</f>
        <v>ADA_CH - Danone Arg. S.A. - Chascomus</v>
      </c>
    </row>
    <row r="901" spans="1:25" ht="14.25" customHeight="1" x14ac:dyDescent="0.3">
      <c r="A901" s="1" t="s">
        <v>8</v>
      </c>
      <c r="B901" s="1" t="s">
        <v>609</v>
      </c>
      <c r="C901" s="1" t="s">
        <v>609</v>
      </c>
      <c r="D901" s="1" t="s">
        <v>610</v>
      </c>
      <c r="E901" s="1" t="s">
        <v>337</v>
      </c>
      <c r="F901" s="1">
        <v>722255</v>
      </c>
      <c r="G901" s="1">
        <v>722620</v>
      </c>
      <c r="H901" s="1">
        <v>28085.099999999991</v>
      </c>
      <c r="I901" s="1">
        <v>-27720.099999999991</v>
      </c>
      <c r="J901" s="1">
        <v>750340.1</v>
      </c>
      <c r="K901" s="1">
        <v>93</v>
      </c>
      <c r="L901" s="1">
        <v>301.99032258064511</v>
      </c>
      <c r="M901" s="1">
        <v>-91.791351998034543</v>
      </c>
      <c r="N901" s="7">
        <v>45947</v>
      </c>
      <c r="O901" s="1">
        <v>365</v>
      </c>
      <c r="P901" s="7">
        <v>46203</v>
      </c>
      <c r="Q901" s="1" t="s">
        <v>330</v>
      </c>
      <c r="T901" s="1" t="s">
        <v>611</v>
      </c>
      <c r="U901" s="1" t="s">
        <v>612</v>
      </c>
      <c r="V901" s="1">
        <v>1</v>
      </c>
      <c r="W901" s="3">
        <v>215243.86</v>
      </c>
      <c r="X901" s="3">
        <v>215243.86</v>
      </c>
      <c r="Y901" s="1" t="str">
        <f>VLOOKUP(A901,[1]Detalle!$D$2:$CR$484,93,FALSE)</f>
        <v>ADA_CH - Danone Arg. S.A. - Chascomus</v>
      </c>
    </row>
    <row r="902" spans="1:25" ht="14.25" customHeight="1" x14ac:dyDescent="0.3">
      <c r="A902" s="1" t="s">
        <v>11</v>
      </c>
      <c r="B902" s="1" t="s">
        <v>609</v>
      </c>
      <c r="C902" s="1" t="s">
        <v>609</v>
      </c>
      <c r="D902" s="1" t="s">
        <v>610</v>
      </c>
      <c r="E902" s="1" t="s">
        <v>337</v>
      </c>
      <c r="F902" s="1">
        <v>765628</v>
      </c>
      <c r="G902" s="1">
        <v>765993</v>
      </c>
      <c r="H902" s="1">
        <v>28548.900000000009</v>
      </c>
      <c r="I902" s="1">
        <v>-28183.900000000009</v>
      </c>
      <c r="J902" s="1">
        <v>794176.9</v>
      </c>
      <c r="K902" s="1">
        <v>93</v>
      </c>
      <c r="L902" s="1">
        <v>306.97741935483879</v>
      </c>
      <c r="M902" s="1">
        <v>-91.810987463615064</v>
      </c>
      <c r="N902" s="7">
        <v>45947</v>
      </c>
      <c r="O902" s="1">
        <v>365</v>
      </c>
      <c r="P902" s="7">
        <v>46203</v>
      </c>
      <c r="Q902" s="1" t="s">
        <v>330</v>
      </c>
      <c r="T902" s="1" t="s">
        <v>611</v>
      </c>
      <c r="U902" s="1" t="s">
        <v>612</v>
      </c>
      <c r="V902" s="1">
        <v>1</v>
      </c>
      <c r="W902" s="3">
        <v>215243.86</v>
      </c>
      <c r="X902" s="3">
        <v>215243.86</v>
      </c>
      <c r="Y902" s="1" t="str">
        <f>VLOOKUP(A902,[1]Detalle!$D$2:$CR$484,93,FALSE)</f>
        <v>ADA_CH - Danone Arg. S.A. - Chascomus</v>
      </c>
    </row>
    <row r="903" spans="1:25" ht="14.25" customHeight="1" x14ac:dyDescent="0.3">
      <c r="A903" s="1" t="s">
        <v>10</v>
      </c>
      <c r="B903" s="1" t="s">
        <v>609</v>
      </c>
      <c r="C903" s="1" t="s">
        <v>609</v>
      </c>
      <c r="D903" s="1" t="s">
        <v>610</v>
      </c>
      <c r="E903" s="1" t="s">
        <v>337</v>
      </c>
      <c r="F903" s="1">
        <v>691593</v>
      </c>
      <c r="G903" s="1">
        <v>691958</v>
      </c>
      <c r="H903" s="1">
        <v>21650.30000000001</v>
      </c>
      <c r="I903" s="1">
        <v>-21285.30000000001</v>
      </c>
      <c r="J903" s="1">
        <v>713243.3</v>
      </c>
      <c r="K903" s="1">
        <v>93</v>
      </c>
      <c r="L903" s="1">
        <v>232.79892473118289</v>
      </c>
      <c r="M903" s="1">
        <v>-91.432123342401724</v>
      </c>
      <c r="N903" s="7">
        <v>45947</v>
      </c>
      <c r="O903" s="1">
        <v>365</v>
      </c>
      <c r="P903" s="7">
        <v>46203</v>
      </c>
      <c r="Q903" s="1" t="s">
        <v>330</v>
      </c>
      <c r="T903" s="1" t="s">
        <v>611</v>
      </c>
      <c r="U903" s="1" t="s">
        <v>612</v>
      </c>
      <c r="V903" s="1">
        <v>1</v>
      </c>
      <c r="W903" s="3">
        <v>215243.86</v>
      </c>
      <c r="X903" s="3">
        <v>215243.86</v>
      </c>
      <c r="Y903" s="1" t="str">
        <f>VLOOKUP(A903,[1]Detalle!$D$2:$CR$484,93,FALSE)</f>
        <v>ADA_CH - Danone Arg. S.A. - Chascomus</v>
      </c>
    </row>
    <row r="904" spans="1:25" ht="14.25" customHeight="1" x14ac:dyDescent="0.3">
      <c r="A904" s="1" t="s">
        <v>14</v>
      </c>
      <c r="B904" s="1" t="s">
        <v>609</v>
      </c>
      <c r="C904" s="1" t="s">
        <v>609</v>
      </c>
      <c r="D904" s="1" t="s">
        <v>610</v>
      </c>
      <c r="E904" s="1" t="s">
        <v>337</v>
      </c>
      <c r="F904" s="1">
        <v>752778</v>
      </c>
      <c r="G904" s="1">
        <v>753143</v>
      </c>
      <c r="H904" s="1">
        <v>22757.200000000019</v>
      </c>
      <c r="I904" s="1">
        <v>-22392.200000000019</v>
      </c>
      <c r="J904" s="1">
        <v>775535.20000000007</v>
      </c>
      <c r="K904" s="1">
        <v>93</v>
      </c>
      <c r="L904" s="1">
        <v>244.70107526881739</v>
      </c>
      <c r="M904" s="1">
        <v>-91.508384159738455</v>
      </c>
      <c r="N904" s="7">
        <v>45947</v>
      </c>
      <c r="O904" s="1">
        <v>365</v>
      </c>
      <c r="P904" s="7">
        <v>46203</v>
      </c>
      <c r="Q904" s="1" t="s">
        <v>330</v>
      </c>
      <c r="T904" s="1" t="s">
        <v>611</v>
      </c>
      <c r="U904" s="1" t="s">
        <v>612</v>
      </c>
      <c r="V904" s="1">
        <v>1</v>
      </c>
      <c r="W904" s="3">
        <v>215243.86</v>
      </c>
      <c r="X904" s="3">
        <v>215243.86</v>
      </c>
      <c r="Y904" s="1" t="str">
        <f>VLOOKUP(A904,[1]Detalle!$D$2:$CR$484,93,FALSE)</f>
        <v>ADA_CH - Danone Arg. S.A. - Chascomus</v>
      </c>
    </row>
    <row r="905" spans="1:25" ht="14.25" customHeight="1" x14ac:dyDescent="0.3">
      <c r="A905" s="1" t="s">
        <v>12</v>
      </c>
      <c r="B905" s="1" t="s">
        <v>609</v>
      </c>
      <c r="C905" s="1" t="s">
        <v>609</v>
      </c>
      <c r="D905" s="1" t="s">
        <v>610</v>
      </c>
      <c r="E905" s="1" t="s">
        <v>337</v>
      </c>
      <c r="F905" s="1">
        <v>845528</v>
      </c>
      <c r="G905" s="1">
        <v>845893</v>
      </c>
      <c r="H905" s="1">
        <v>33411.699999999997</v>
      </c>
      <c r="I905" s="1">
        <v>-33046.699999999997</v>
      </c>
      <c r="J905" s="1">
        <v>878939.7</v>
      </c>
      <c r="K905" s="1">
        <v>93</v>
      </c>
      <c r="L905" s="1">
        <v>359.26559139784951</v>
      </c>
      <c r="M905" s="1">
        <v>-91.984038525426726</v>
      </c>
      <c r="N905" s="7">
        <v>45947</v>
      </c>
      <c r="O905" s="1">
        <v>365</v>
      </c>
      <c r="P905" s="7">
        <v>46203</v>
      </c>
      <c r="Q905" s="1" t="s">
        <v>330</v>
      </c>
      <c r="T905" s="1" t="s">
        <v>611</v>
      </c>
      <c r="U905" s="1" t="s">
        <v>612</v>
      </c>
      <c r="V905" s="1">
        <v>1</v>
      </c>
      <c r="W905" s="3">
        <v>215243.86</v>
      </c>
      <c r="X905" s="3">
        <v>215243.86</v>
      </c>
      <c r="Y905" s="1" t="str">
        <f>VLOOKUP(A905,[1]Detalle!$D$2:$CR$484,93,FALSE)</f>
        <v>ADA_CH - Danone Arg. S.A. - Chascomus</v>
      </c>
    </row>
    <row r="906" spans="1:25" ht="14.25" customHeight="1" x14ac:dyDescent="0.3">
      <c r="A906" s="1" t="s">
        <v>13</v>
      </c>
      <c r="B906" s="1" t="s">
        <v>609</v>
      </c>
      <c r="C906" s="1" t="s">
        <v>609</v>
      </c>
      <c r="D906" s="1" t="s">
        <v>610</v>
      </c>
      <c r="E906" s="1" t="s">
        <v>337</v>
      </c>
      <c r="F906" s="1">
        <v>757999</v>
      </c>
      <c r="G906" s="1">
        <v>758364</v>
      </c>
      <c r="H906" s="1">
        <v>29429.700000000012</v>
      </c>
      <c r="I906" s="1">
        <v>-29064.700000000012</v>
      </c>
      <c r="J906" s="1">
        <v>787428.7</v>
      </c>
      <c r="K906" s="1">
        <v>93</v>
      </c>
      <c r="L906" s="1">
        <v>316.4483870967743</v>
      </c>
      <c r="M906" s="1">
        <v>-91.846573359565326</v>
      </c>
      <c r="N906" s="7">
        <v>45947</v>
      </c>
      <c r="O906" s="1">
        <v>365</v>
      </c>
      <c r="P906" s="7">
        <v>46203</v>
      </c>
      <c r="Q906" s="1" t="s">
        <v>330</v>
      </c>
      <c r="T906" s="1" t="s">
        <v>611</v>
      </c>
      <c r="U906" s="1" t="s">
        <v>612</v>
      </c>
      <c r="V906" s="1">
        <v>1</v>
      </c>
      <c r="W906" s="3">
        <v>215243.86</v>
      </c>
      <c r="X906" s="3">
        <v>215243.86</v>
      </c>
      <c r="Y906" s="1" t="str">
        <f>VLOOKUP(A906,[1]Detalle!$D$2:$CR$484,93,FALSE)</f>
        <v>ADA_CH - Danone Arg. S.A. - Chascomus</v>
      </c>
    </row>
    <row r="907" spans="1:25" ht="14.25" customHeight="1" x14ac:dyDescent="0.3">
      <c r="A907" s="1" t="s">
        <v>6</v>
      </c>
      <c r="B907" s="1" t="s">
        <v>609</v>
      </c>
      <c r="C907" s="1" t="s">
        <v>609</v>
      </c>
      <c r="D907" s="1" t="s">
        <v>610</v>
      </c>
      <c r="E907" s="1" t="s">
        <v>337</v>
      </c>
      <c r="F907" s="1">
        <v>726661</v>
      </c>
      <c r="G907" s="1">
        <v>727026</v>
      </c>
      <c r="H907" s="1">
        <v>25667.200000000001</v>
      </c>
      <c r="I907" s="1">
        <v>-25302.2</v>
      </c>
      <c r="J907" s="1">
        <v>752328.2</v>
      </c>
      <c r="K907" s="1">
        <v>93</v>
      </c>
      <c r="L907" s="1">
        <v>275.99139784946237</v>
      </c>
      <c r="M907" s="1">
        <v>-91.677495013090635</v>
      </c>
      <c r="N907" s="7">
        <v>45947</v>
      </c>
      <c r="O907" s="1">
        <v>365</v>
      </c>
      <c r="P907" s="7">
        <v>46203</v>
      </c>
      <c r="Q907" s="1" t="s">
        <v>330</v>
      </c>
      <c r="T907" s="1" t="s">
        <v>611</v>
      </c>
      <c r="U907" s="1" t="s">
        <v>612</v>
      </c>
      <c r="V907" s="1">
        <v>1</v>
      </c>
      <c r="W907" s="3">
        <v>215243.86</v>
      </c>
      <c r="X907" s="3">
        <v>215243.86</v>
      </c>
      <c r="Y907" s="1" t="str">
        <f>VLOOKUP(A907,[1]Detalle!$D$2:$CR$484,93,FALSE)</f>
        <v>ADA_CH - Danone Arg. S.A. - Chascomus</v>
      </c>
    </row>
    <row r="908" spans="1:25" ht="14.25" customHeight="1" x14ac:dyDescent="0.3">
      <c r="A908" s="1" t="s">
        <v>7</v>
      </c>
      <c r="B908" s="1" t="s">
        <v>609</v>
      </c>
      <c r="C908" s="1" t="s">
        <v>609</v>
      </c>
      <c r="D908" s="1" t="s">
        <v>610</v>
      </c>
      <c r="E908" s="1" t="s">
        <v>337</v>
      </c>
      <c r="F908" s="1">
        <v>739044</v>
      </c>
      <c r="G908" s="1">
        <v>739409</v>
      </c>
      <c r="H908" s="1">
        <v>30956.999999999989</v>
      </c>
      <c r="I908" s="1">
        <v>-30591.999999999989</v>
      </c>
      <c r="J908" s="1">
        <v>770001</v>
      </c>
      <c r="K908" s="1">
        <v>97</v>
      </c>
      <c r="L908" s="1">
        <v>319.1443298969071</v>
      </c>
      <c r="M908" s="1">
        <v>-95.856316826565887</v>
      </c>
      <c r="N908" s="7">
        <v>45947</v>
      </c>
      <c r="O908" s="1">
        <v>365</v>
      </c>
      <c r="P908" s="7">
        <v>46312</v>
      </c>
      <c r="Q908" s="1" t="s">
        <v>330</v>
      </c>
      <c r="T908" s="1" t="s">
        <v>611</v>
      </c>
      <c r="U908" s="1" t="s">
        <v>612</v>
      </c>
      <c r="V908" s="1">
        <v>1</v>
      </c>
      <c r="W908" s="3">
        <v>215243.86</v>
      </c>
      <c r="X908" s="3">
        <v>215243.86</v>
      </c>
      <c r="Y908" s="1" t="str">
        <f>VLOOKUP(A908,[1]Detalle!$D$2:$CR$484,93,FALSE)</f>
        <v>ADA_CH - Danone Arg. S.A. - Chascomus</v>
      </c>
    </row>
    <row r="909" spans="1:25" ht="14.25" customHeight="1" x14ac:dyDescent="0.3">
      <c r="A909" s="1" t="s">
        <v>9</v>
      </c>
      <c r="B909" s="1" t="s">
        <v>609</v>
      </c>
      <c r="C909" s="1" t="s">
        <v>609</v>
      </c>
      <c r="D909" s="1" t="s">
        <v>610</v>
      </c>
      <c r="E909" s="1" t="s">
        <v>337</v>
      </c>
      <c r="F909" s="1">
        <v>837188</v>
      </c>
      <c r="G909" s="1">
        <v>837553</v>
      </c>
      <c r="H909" s="1">
        <v>32995.300000000003</v>
      </c>
      <c r="I909" s="1">
        <v>-32630.3</v>
      </c>
      <c r="J909" s="1">
        <v>870183.3</v>
      </c>
      <c r="K909" s="1">
        <v>93</v>
      </c>
      <c r="L909" s="1">
        <v>354.78817204301077</v>
      </c>
      <c r="M909" s="1">
        <v>-91.971217112740305</v>
      </c>
      <c r="N909" s="7">
        <v>45947</v>
      </c>
      <c r="O909" s="1">
        <v>365</v>
      </c>
      <c r="P909" s="7">
        <v>46203</v>
      </c>
      <c r="Q909" s="1" t="s">
        <v>330</v>
      </c>
      <c r="T909" s="1" t="s">
        <v>611</v>
      </c>
      <c r="U909" s="1" t="s">
        <v>612</v>
      </c>
      <c r="V909" s="1">
        <v>1</v>
      </c>
      <c r="W909" s="3">
        <v>215243.86</v>
      </c>
      <c r="X909" s="3">
        <v>215243.86</v>
      </c>
      <c r="Y909" s="1" t="str">
        <f>VLOOKUP(A909,[1]Detalle!$D$2:$CR$484,93,FALSE)</f>
        <v>ADA_CH - Danone Arg. S.A. - Chascomus</v>
      </c>
    </row>
    <row r="910" spans="1:25" ht="14.25" customHeight="1" x14ac:dyDescent="0.3">
      <c r="A910" s="1" t="s">
        <v>30</v>
      </c>
      <c r="B910" s="1" t="s">
        <v>609</v>
      </c>
      <c r="C910" s="1" t="s">
        <v>609</v>
      </c>
      <c r="D910" s="1" t="s">
        <v>610</v>
      </c>
      <c r="E910" s="1" t="s">
        <v>337</v>
      </c>
      <c r="F910" s="1">
        <v>426924</v>
      </c>
      <c r="G910" s="1">
        <v>427289</v>
      </c>
      <c r="H910" s="1">
        <v>23224.2</v>
      </c>
      <c r="I910" s="1">
        <v>-22859.200000000001</v>
      </c>
      <c r="J910" s="1">
        <v>450148.2</v>
      </c>
      <c r="K910" s="1">
        <v>93</v>
      </c>
      <c r="L910" s="1">
        <v>249.72258064516129</v>
      </c>
      <c r="M910" s="1">
        <v>-91.538378071149921</v>
      </c>
      <c r="N910" s="7">
        <v>45947</v>
      </c>
      <c r="O910" s="1">
        <v>365</v>
      </c>
      <c r="P910" s="7">
        <v>46203</v>
      </c>
      <c r="Q910" s="1" t="s">
        <v>330</v>
      </c>
      <c r="T910" s="1" t="s">
        <v>611</v>
      </c>
      <c r="U910" s="1" t="s">
        <v>612</v>
      </c>
      <c r="V910" s="1">
        <v>1</v>
      </c>
      <c r="W910" s="3">
        <v>215243.86</v>
      </c>
      <c r="X910" s="3">
        <v>215243.86</v>
      </c>
      <c r="Y910" s="1" t="str">
        <f>VLOOKUP(A910,[1]Detalle!$D$2:$CR$484,93,FALSE)</f>
        <v>ADA_CH - Danone Arg. S.A. - Chascomus</v>
      </c>
    </row>
    <row r="911" spans="1:25" ht="14.25" customHeight="1" x14ac:dyDescent="0.3">
      <c r="A911" s="1" t="s">
        <v>32</v>
      </c>
      <c r="B911" s="1" t="s">
        <v>609</v>
      </c>
      <c r="C911" s="1" t="s">
        <v>609</v>
      </c>
      <c r="D911" s="1" t="s">
        <v>610</v>
      </c>
      <c r="E911" s="1" t="s">
        <v>337</v>
      </c>
      <c r="F911" s="1">
        <v>326462</v>
      </c>
      <c r="G911" s="1">
        <v>326827</v>
      </c>
      <c r="H911" s="1">
        <v>9048.3000000000011</v>
      </c>
      <c r="I911" s="1">
        <v>-8683.3000000000011</v>
      </c>
      <c r="J911" s="1">
        <v>335510.3</v>
      </c>
      <c r="K911" s="1">
        <v>93</v>
      </c>
      <c r="L911" s="1">
        <v>97.293548387096791</v>
      </c>
      <c r="M911" s="1">
        <v>-89.24846656277974</v>
      </c>
      <c r="N911" s="7">
        <v>45947</v>
      </c>
      <c r="O911" s="1">
        <v>365</v>
      </c>
      <c r="P911" s="7">
        <v>46203</v>
      </c>
      <c r="Q911" s="1" t="s">
        <v>330</v>
      </c>
      <c r="T911" s="1" t="s">
        <v>611</v>
      </c>
      <c r="U911" s="1" t="s">
        <v>612</v>
      </c>
      <c r="V911" s="1">
        <v>1</v>
      </c>
      <c r="W911" s="3">
        <v>215243.86</v>
      </c>
      <c r="X911" s="3">
        <v>215243.86</v>
      </c>
      <c r="Y911" s="1" t="str">
        <f>VLOOKUP(A911,[1]Detalle!$D$2:$CR$484,93,FALSE)</f>
        <v>ADA_CH - Danone Arg. S.A. - Chascomus</v>
      </c>
    </row>
    <row r="912" spans="1:25" ht="14.25" customHeight="1" x14ac:dyDescent="0.3">
      <c r="A912" s="1" t="s">
        <v>514</v>
      </c>
      <c r="B912" s="1" t="s">
        <v>609</v>
      </c>
      <c r="C912" s="1" t="s">
        <v>609</v>
      </c>
      <c r="D912" s="1" t="s">
        <v>610</v>
      </c>
      <c r="E912" s="1" t="s">
        <v>337</v>
      </c>
      <c r="F912" s="1">
        <v>1635872</v>
      </c>
      <c r="G912" s="1">
        <v>1636237</v>
      </c>
      <c r="H912" s="1">
        <v>21621.200000000001</v>
      </c>
      <c r="I912" s="1">
        <v>-21256.2</v>
      </c>
      <c r="J912" s="1">
        <v>1657493.2</v>
      </c>
      <c r="K912" s="1">
        <v>93</v>
      </c>
      <c r="L912" s="1">
        <v>232.48602150537641</v>
      </c>
      <c r="M912" s="1">
        <v>-91.430013135256132</v>
      </c>
      <c r="N912" s="7">
        <v>45947</v>
      </c>
      <c r="O912" s="1">
        <v>365</v>
      </c>
      <c r="P912" s="7">
        <v>46203</v>
      </c>
      <c r="Q912" s="1" t="s">
        <v>330</v>
      </c>
      <c r="T912" s="1" t="s">
        <v>611</v>
      </c>
      <c r="U912" s="1" t="s">
        <v>612</v>
      </c>
      <c r="V912" s="1">
        <v>1</v>
      </c>
      <c r="W912" s="3">
        <v>215243.86</v>
      </c>
      <c r="X912" s="3">
        <v>215243.86</v>
      </c>
      <c r="Y912" s="1" t="str">
        <f>VLOOKUP(A912,[1]Detalle!$D$2:$CR$484,93,FALSE)</f>
        <v>Expreso - Servicios Troncales</v>
      </c>
    </row>
    <row r="913" spans="1:25" ht="14.25" customHeight="1" x14ac:dyDescent="0.3">
      <c r="A913" s="1" t="s">
        <v>510</v>
      </c>
      <c r="B913" s="1" t="s">
        <v>609</v>
      </c>
      <c r="C913" s="1" t="s">
        <v>609</v>
      </c>
      <c r="D913" s="1" t="s">
        <v>610</v>
      </c>
      <c r="E913" s="1" t="s">
        <v>337</v>
      </c>
      <c r="F913" s="1">
        <v>1787728</v>
      </c>
      <c r="G913" s="1">
        <v>1788093</v>
      </c>
      <c r="H913" s="1">
        <v>32949.399999999987</v>
      </c>
      <c r="I913" s="1">
        <v>-32584.399999999991</v>
      </c>
      <c r="J913" s="1">
        <v>1820677.4</v>
      </c>
      <c r="K913" s="1">
        <v>93</v>
      </c>
      <c r="L913" s="1">
        <v>354.29462365591388</v>
      </c>
      <c r="M913" s="1">
        <v>-91.969783971787038</v>
      </c>
      <c r="N913" s="7">
        <v>45947</v>
      </c>
      <c r="O913" s="1">
        <v>365</v>
      </c>
      <c r="P913" s="7">
        <v>46203</v>
      </c>
      <c r="Q913" s="1" t="s">
        <v>330</v>
      </c>
      <c r="T913" s="1" t="s">
        <v>611</v>
      </c>
      <c r="U913" s="1" t="s">
        <v>612</v>
      </c>
      <c r="V913" s="1">
        <v>1</v>
      </c>
      <c r="W913" s="3">
        <v>215243.86</v>
      </c>
      <c r="X913" s="3">
        <v>215243.86</v>
      </c>
      <c r="Y913" s="1" t="str">
        <f>VLOOKUP(A913,[1]Detalle!$D$2:$CR$484,93,FALSE)</f>
        <v>Expreso - Servicios Troncales</v>
      </c>
    </row>
    <row r="914" spans="1:25" ht="14.25" customHeight="1" x14ac:dyDescent="0.3">
      <c r="A914" s="1" t="s">
        <v>511</v>
      </c>
      <c r="B914" s="1" t="s">
        <v>609</v>
      </c>
      <c r="C914" s="1" t="s">
        <v>609</v>
      </c>
      <c r="D914" s="1" t="s">
        <v>610</v>
      </c>
      <c r="E914" s="1" t="s">
        <v>337</v>
      </c>
      <c r="F914" s="1">
        <v>1667106</v>
      </c>
      <c r="G914" s="1">
        <v>1667471</v>
      </c>
      <c r="H914" s="1">
        <v>32762.399999999991</v>
      </c>
      <c r="I914" s="1">
        <v>-32397.399999999991</v>
      </c>
      <c r="J914" s="1">
        <v>1699868.4</v>
      </c>
      <c r="K914" s="1">
        <v>93</v>
      </c>
      <c r="L914" s="1">
        <v>352.28387096774179</v>
      </c>
      <c r="M914" s="1">
        <v>-91.963903743315512</v>
      </c>
      <c r="N914" s="7">
        <v>45947</v>
      </c>
      <c r="O914" s="1">
        <v>365</v>
      </c>
      <c r="P914" s="7">
        <v>46203</v>
      </c>
      <c r="Q914" s="1" t="s">
        <v>330</v>
      </c>
      <c r="T914" s="1" t="s">
        <v>611</v>
      </c>
      <c r="U914" s="1" t="s">
        <v>612</v>
      </c>
      <c r="V914" s="1">
        <v>1</v>
      </c>
      <c r="W914" s="3">
        <v>215243.86</v>
      </c>
      <c r="X914" s="3">
        <v>215243.86</v>
      </c>
      <c r="Y914" s="1" t="str">
        <f>VLOOKUP(A914,[1]Detalle!$D$2:$CR$484,93,FALSE)</f>
        <v>Expreso - Servicios Troncales</v>
      </c>
    </row>
    <row r="915" spans="1:25" ht="14.25" customHeight="1" x14ac:dyDescent="0.3">
      <c r="A915" s="1" t="s">
        <v>512</v>
      </c>
      <c r="B915" s="1" t="s">
        <v>609</v>
      </c>
      <c r="C915" s="1" t="s">
        <v>609</v>
      </c>
      <c r="D915" s="1" t="s">
        <v>610</v>
      </c>
      <c r="E915" s="1" t="s">
        <v>337</v>
      </c>
      <c r="F915" s="1">
        <v>1740401</v>
      </c>
      <c r="G915" s="1">
        <v>1740766</v>
      </c>
      <c r="H915" s="1">
        <v>23216.7</v>
      </c>
      <c r="I915" s="1">
        <v>-22851.7</v>
      </c>
      <c r="J915" s="1">
        <v>1763617.7</v>
      </c>
      <c r="K915" s="1">
        <v>93</v>
      </c>
      <c r="L915" s="1">
        <v>249.64193548387101</v>
      </c>
      <c r="M915" s="1">
        <v>-91.53790590393983</v>
      </c>
      <c r="N915" s="7">
        <v>45947</v>
      </c>
      <c r="O915" s="1">
        <v>365</v>
      </c>
      <c r="P915" s="7">
        <v>46203</v>
      </c>
      <c r="Q915" s="1" t="s">
        <v>330</v>
      </c>
      <c r="T915" s="1" t="s">
        <v>611</v>
      </c>
      <c r="U915" s="1" t="s">
        <v>612</v>
      </c>
      <c r="V915" s="1">
        <v>1</v>
      </c>
      <c r="W915" s="3">
        <v>215243.86</v>
      </c>
      <c r="X915" s="3">
        <v>215243.86</v>
      </c>
      <c r="Y915" s="1" t="str">
        <f>VLOOKUP(A915,[1]Detalle!$D$2:$CR$484,93,FALSE)</f>
        <v>Expreso - Servicios Troncales</v>
      </c>
    </row>
    <row r="916" spans="1:25" ht="14.25" customHeight="1" x14ac:dyDescent="0.3">
      <c r="A916" s="1" t="s">
        <v>513</v>
      </c>
      <c r="B916" s="1" t="s">
        <v>609</v>
      </c>
      <c r="C916" s="1" t="s">
        <v>609</v>
      </c>
      <c r="D916" s="1" t="s">
        <v>610</v>
      </c>
      <c r="E916" s="1" t="s">
        <v>337</v>
      </c>
      <c r="F916" s="1">
        <v>1522461</v>
      </c>
      <c r="G916" s="1">
        <v>1522826</v>
      </c>
      <c r="H916" s="1">
        <v>30847.3</v>
      </c>
      <c r="I916" s="1">
        <v>-30482.3</v>
      </c>
      <c r="J916" s="1">
        <v>1553308.3</v>
      </c>
      <c r="K916" s="1">
        <v>93</v>
      </c>
      <c r="L916" s="1">
        <v>331.69139784946242</v>
      </c>
      <c r="M916" s="1">
        <v>-91.899579541807555</v>
      </c>
      <c r="N916" s="7">
        <v>45947</v>
      </c>
      <c r="O916" s="1">
        <v>365</v>
      </c>
      <c r="P916" s="7">
        <v>46203</v>
      </c>
      <c r="Q916" s="1" t="s">
        <v>330</v>
      </c>
      <c r="T916" s="1" t="s">
        <v>611</v>
      </c>
      <c r="U916" s="1" t="s">
        <v>612</v>
      </c>
      <c r="V916" s="1">
        <v>1</v>
      </c>
      <c r="W916" s="3">
        <v>215243.86</v>
      </c>
      <c r="X916" s="3">
        <v>215243.86</v>
      </c>
      <c r="Y916" s="1" t="str">
        <f>VLOOKUP(A916,[1]Detalle!$D$2:$CR$484,93,FALSE)</f>
        <v>Expreso - Servicios Troncales</v>
      </c>
    </row>
    <row r="917" spans="1:25" ht="14.25" customHeight="1" x14ac:dyDescent="0.3">
      <c r="A917" s="1" t="s">
        <v>270</v>
      </c>
      <c r="B917" s="1" t="s">
        <v>609</v>
      </c>
      <c r="C917" s="1" t="s">
        <v>609</v>
      </c>
      <c r="D917" s="1" t="s">
        <v>610</v>
      </c>
      <c r="E917" s="1" t="s">
        <v>337</v>
      </c>
      <c r="F917" s="1">
        <v>1715107</v>
      </c>
      <c r="G917" s="1">
        <v>1715472</v>
      </c>
      <c r="H917" s="1">
        <v>38111.200000000012</v>
      </c>
      <c r="I917" s="1">
        <v>-37746.200000000012</v>
      </c>
      <c r="J917" s="1">
        <v>1753218.2</v>
      </c>
      <c r="K917" s="1">
        <v>93</v>
      </c>
      <c r="L917" s="1">
        <v>409.79784946236572</v>
      </c>
      <c r="M917" s="1">
        <v>-92.109316946199542</v>
      </c>
      <c r="N917" s="7">
        <v>45947</v>
      </c>
      <c r="O917" s="1">
        <v>365</v>
      </c>
      <c r="P917" s="7">
        <v>46203</v>
      </c>
      <c r="Q917" s="1" t="s">
        <v>330</v>
      </c>
      <c r="T917" s="1" t="s">
        <v>611</v>
      </c>
      <c r="U917" s="1" t="s">
        <v>612</v>
      </c>
      <c r="V917" s="1">
        <v>1</v>
      </c>
      <c r="W917" s="3">
        <v>215243.86</v>
      </c>
      <c r="X917" s="3">
        <v>215243.86</v>
      </c>
      <c r="Y917" s="1" t="str">
        <f>VLOOKUP(A917,[1]Detalle!$D$2:$CR$484,93,FALSE)</f>
        <v>Expreso - Servicios Troncales</v>
      </c>
    </row>
    <row r="918" spans="1:25" ht="14.25" customHeight="1" x14ac:dyDescent="0.3">
      <c r="A918" s="1" t="s">
        <v>17</v>
      </c>
      <c r="B918" s="1" t="s">
        <v>609</v>
      </c>
      <c r="C918" s="1" t="s">
        <v>609</v>
      </c>
      <c r="D918" s="1" t="s">
        <v>610</v>
      </c>
      <c r="E918" s="1" t="s">
        <v>337</v>
      </c>
      <c r="F918" s="1">
        <v>690382</v>
      </c>
      <c r="G918" s="1">
        <v>690747</v>
      </c>
      <c r="H918" s="1">
        <v>33880.100000000013</v>
      </c>
      <c r="I918" s="1">
        <v>-33515.100000000013</v>
      </c>
      <c r="J918" s="1">
        <v>724262.1</v>
      </c>
      <c r="K918" s="1">
        <v>93</v>
      </c>
      <c r="L918" s="1">
        <v>364.30215053763447</v>
      </c>
      <c r="M918" s="1">
        <v>-91.998084421238431</v>
      </c>
      <c r="N918" s="7">
        <v>45947</v>
      </c>
      <c r="O918" s="1">
        <v>365</v>
      </c>
      <c r="P918" s="7">
        <v>46203</v>
      </c>
      <c r="Q918" s="1" t="s">
        <v>330</v>
      </c>
      <c r="T918" s="1" t="s">
        <v>611</v>
      </c>
      <c r="U918" s="1" t="s">
        <v>612</v>
      </c>
      <c r="V918" s="1">
        <v>1</v>
      </c>
      <c r="W918" s="3">
        <v>215243.86</v>
      </c>
      <c r="X918" s="3">
        <v>215243.86</v>
      </c>
      <c r="Y918" s="1" t="str">
        <f>VLOOKUP(A918,[1]Detalle!$D$2:$CR$484,93,FALSE)</f>
        <v>Expreso - Servicios Troncales</v>
      </c>
    </row>
    <row r="919" spans="1:25" ht="14.25" customHeight="1" x14ac:dyDescent="0.3">
      <c r="A919" s="1" t="s">
        <v>18</v>
      </c>
      <c r="B919" s="1" t="s">
        <v>609</v>
      </c>
      <c r="C919" s="1" t="s">
        <v>609</v>
      </c>
      <c r="D919" s="1" t="s">
        <v>610</v>
      </c>
      <c r="E919" s="1" t="s">
        <v>337</v>
      </c>
      <c r="F919" s="1">
        <v>649466</v>
      </c>
      <c r="G919" s="1">
        <v>649831</v>
      </c>
      <c r="H919" s="1">
        <v>31704.400000000009</v>
      </c>
      <c r="I919" s="1">
        <v>-31339.400000000009</v>
      </c>
      <c r="J919" s="1">
        <v>681170.4</v>
      </c>
      <c r="K919" s="1">
        <v>93</v>
      </c>
      <c r="L919" s="1">
        <v>340.90752688172063</v>
      </c>
      <c r="M919" s="1">
        <v>-91.929328421291686</v>
      </c>
      <c r="N919" s="7">
        <v>45947</v>
      </c>
      <c r="O919" s="1">
        <v>365</v>
      </c>
      <c r="P919" s="7">
        <v>46203</v>
      </c>
      <c r="Q919" s="1" t="s">
        <v>330</v>
      </c>
      <c r="T919" s="1" t="s">
        <v>611</v>
      </c>
      <c r="U919" s="1" t="s">
        <v>612</v>
      </c>
      <c r="V919" s="1">
        <v>1</v>
      </c>
      <c r="W919" s="3">
        <v>215243.86</v>
      </c>
      <c r="X919" s="3">
        <v>215243.86</v>
      </c>
      <c r="Y919" s="1" t="str">
        <f>VLOOKUP(A919,[1]Detalle!$D$2:$CR$484,93,FALSE)</f>
        <v>Expreso - Servicios Troncales</v>
      </c>
    </row>
    <row r="920" spans="1:25" ht="14.25" customHeight="1" x14ac:dyDescent="0.3">
      <c r="A920" s="1" t="s">
        <v>176</v>
      </c>
      <c r="B920" s="1" t="s">
        <v>609</v>
      </c>
      <c r="C920" s="1" t="s">
        <v>609</v>
      </c>
      <c r="D920" s="1" t="s">
        <v>610</v>
      </c>
      <c r="E920" s="1" t="s">
        <v>337</v>
      </c>
      <c r="F920" s="1">
        <v>1896134</v>
      </c>
      <c r="G920" s="1">
        <v>1896499</v>
      </c>
      <c r="H920" s="1">
        <v>75596.5</v>
      </c>
      <c r="I920" s="1">
        <v>-75231.5</v>
      </c>
      <c r="J920" s="1">
        <v>1971730.5</v>
      </c>
      <c r="K920" s="1">
        <v>167</v>
      </c>
      <c r="L920" s="1">
        <v>452.67365269461078</v>
      </c>
      <c r="M920" s="1">
        <v>-166.19367960156879</v>
      </c>
      <c r="N920" s="7">
        <v>45947</v>
      </c>
      <c r="O920" s="1">
        <v>365</v>
      </c>
      <c r="P920" s="7">
        <v>46312</v>
      </c>
      <c r="Q920" s="1" t="s">
        <v>330</v>
      </c>
      <c r="T920" s="1" t="s">
        <v>611</v>
      </c>
      <c r="U920" s="1" t="s">
        <v>612</v>
      </c>
      <c r="V920" s="1">
        <v>1</v>
      </c>
      <c r="W920" s="3">
        <v>215243.86</v>
      </c>
      <c r="X920" s="3">
        <v>215243.86</v>
      </c>
      <c r="Y920" s="1" t="str">
        <f>VLOOKUP(A920,[1]Detalle!$D$2:$CR$484,93,FALSE)</f>
        <v>Expreso - Servicios Troncales</v>
      </c>
    </row>
    <row r="921" spans="1:25" ht="14.25" customHeight="1" x14ac:dyDescent="0.3">
      <c r="A921" s="1" t="s">
        <v>186</v>
      </c>
      <c r="B921" s="1" t="s">
        <v>609</v>
      </c>
      <c r="C921" s="1" t="s">
        <v>609</v>
      </c>
      <c r="D921" s="1" t="s">
        <v>610</v>
      </c>
      <c r="E921" s="1" t="s">
        <v>337</v>
      </c>
      <c r="F921" s="1">
        <v>462884</v>
      </c>
      <c r="G921" s="1">
        <v>463249</v>
      </c>
      <c r="H921" s="1">
        <v>34735.899999999987</v>
      </c>
      <c r="I921" s="1">
        <v>-34370.899999999987</v>
      </c>
      <c r="J921" s="1">
        <v>497619.9</v>
      </c>
      <c r="K921" s="1">
        <v>93</v>
      </c>
      <c r="L921" s="1">
        <v>373.50430107526881</v>
      </c>
      <c r="M921" s="1">
        <v>-92.022768950854882</v>
      </c>
      <c r="N921" s="7">
        <v>45947</v>
      </c>
      <c r="O921" s="1">
        <v>365</v>
      </c>
      <c r="P921" s="7">
        <v>46203</v>
      </c>
      <c r="Q921" s="1" t="s">
        <v>330</v>
      </c>
      <c r="T921" s="1" t="s">
        <v>611</v>
      </c>
      <c r="U921" s="1" t="s">
        <v>612</v>
      </c>
      <c r="V921" s="1">
        <v>1</v>
      </c>
      <c r="W921" s="3">
        <v>215243.86</v>
      </c>
      <c r="X921" s="3">
        <v>215243.86</v>
      </c>
      <c r="Y921" s="1" t="str">
        <f>VLOOKUP(A921,[1]Detalle!$D$2:$CR$484,93,FALSE)</f>
        <v>Expreso - Servicios Troncales</v>
      </c>
    </row>
    <row r="922" spans="1:25" ht="14.25" customHeight="1" x14ac:dyDescent="0.3">
      <c r="A922" s="1" t="s">
        <v>201</v>
      </c>
      <c r="B922" s="1" t="s">
        <v>609</v>
      </c>
      <c r="C922" s="1" t="s">
        <v>609</v>
      </c>
      <c r="D922" s="1" t="s">
        <v>610</v>
      </c>
      <c r="E922" s="1" t="s">
        <v>337</v>
      </c>
      <c r="F922" s="1">
        <v>1842119</v>
      </c>
      <c r="G922" s="1">
        <v>1842484</v>
      </c>
      <c r="H922" s="1">
        <v>30174.499999999989</v>
      </c>
      <c r="I922" s="1">
        <v>-29809.499999999989</v>
      </c>
      <c r="J922" s="1">
        <v>1872293.5</v>
      </c>
      <c r="K922" s="1">
        <v>93</v>
      </c>
      <c r="L922" s="1">
        <v>324.45698924731181</v>
      </c>
      <c r="M922" s="1">
        <v>-91.87504349699249</v>
      </c>
      <c r="N922" s="7">
        <v>45947</v>
      </c>
      <c r="O922" s="1">
        <v>365</v>
      </c>
      <c r="P922" s="7">
        <v>46203</v>
      </c>
      <c r="Q922" s="1" t="s">
        <v>330</v>
      </c>
      <c r="T922" s="1" t="s">
        <v>611</v>
      </c>
      <c r="U922" s="1" t="s">
        <v>612</v>
      </c>
      <c r="V922" s="1">
        <v>1</v>
      </c>
      <c r="W922" s="3">
        <v>215243.86</v>
      </c>
      <c r="X922" s="3">
        <v>215243.86</v>
      </c>
      <c r="Y922" s="1" t="str">
        <f>VLOOKUP(A922,[1]Detalle!$D$2:$CR$484,93,FALSE)</f>
        <v>SUC_CTC - Sucursal Buenos Aires</v>
      </c>
    </row>
    <row r="923" spans="1:25" ht="14.25" customHeight="1" x14ac:dyDescent="0.3">
      <c r="A923" s="1" t="s">
        <v>280</v>
      </c>
      <c r="B923" s="1" t="s">
        <v>609</v>
      </c>
      <c r="C923" s="1" t="s">
        <v>609</v>
      </c>
      <c r="D923" s="1" t="s">
        <v>610</v>
      </c>
      <c r="E923" s="1" t="s">
        <v>337</v>
      </c>
      <c r="F923" s="1">
        <v>57342.6</v>
      </c>
      <c r="G923" s="1">
        <v>57707.6</v>
      </c>
      <c r="H923" s="1">
        <v>846.69999999999993</v>
      </c>
      <c r="I923" s="1">
        <v>-481.69999999999987</v>
      </c>
      <c r="J923" s="1">
        <v>58189.3</v>
      </c>
      <c r="K923" s="1">
        <v>93</v>
      </c>
      <c r="L923" s="1">
        <v>9.1043010752688165</v>
      </c>
      <c r="M923" s="1">
        <v>-52.909058698476443</v>
      </c>
      <c r="N923" s="7">
        <v>45947</v>
      </c>
      <c r="O923" s="1">
        <v>365</v>
      </c>
      <c r="P923" s="7">
        <v>46203</v>
      </c>
      <c r="Q923" s="1" t="s">
        <v>330</v>
      </c>
      <c r="T923" s="1" t="s">
        <v>611</v>
      </c>
      <c r="U923" s="1" t="s">
        <v>612</v>
      </c>
      <c r="V923" s="1">
        <v>1</v>
      </c>
      <c r="W923" s="3">
        <v>215243.86</v>
      </c>
      <c r="X923" s="3">
        <v>215243.86</v>
      </c>
      <c r="Y923" s="1" t="str">
        <f>VLOOKUP(A923,[1]Detalle!$D$2:$CR$484,93,FALSE)</f>
        <v>Expreso - Servicios Troncales</v>
      </c>
    </row>
    <row r="924" spans="1:25" ht="14.25" customHeight="1" x14ac:dyDescent="0.3">
      <c r="A924" s="1" t="s">
        <v>278</v>
      </c>
      <c r="B924" s="1" t="s">
        <v>609</v>
      </c>
      <c r="C924" s="1" t="s">
        <v>609</v>
      </c>
      <c r="D924" s="1" t="s">
        <v>610</v>
      </c>
      <c r="E924" s="1" t="s">
        <v>337</v>
      </c>
      <c r="F924" s="1">
        <v>12677.1</v>
      </c>
      <c r="G924" s="1">
        <v>13042.1</v>
      </c>
      <c r="H924" s="1">
        <v>0</v>
      </c>
      <c r="I924" s="1">
        <v>365</v>
      </c>
      <c r="J924" s="1">
        <v>12677.1</v>
      </c>
      <c r="K924" s="1">
        <v>93</v>
      </c>
      <c r="L924" s="1">
        <v>100</v>
      </c>
      <c r="M924" s="1">
        <v>3.65</v>
      </c>
      <c r="N924" s="7">
        <v>45947</v>
      </c>
      <c r="O924" s="1">
        <v>365</v>
      </c>
      <c r="P924" s="7">
        <v>46203</v>
      </c>
      <c r="Q924" s="1" t="s">
        <v>330</v>
      </c>
      <c r="T924" s="1" t="s">
        <v>611</v>
      </c>
      <c r="U924" s="1" t="s">
        <v>612</v>
      </c>
      <c r="V924" s="1">
        <v>1</v>
      </c>
      <c r="W924" s="3">
        <v>215243.86</v>
      </c>
      <c r="X924" s="3">
        <v>215243.86</v>
      </c>
      <c r="Y924" s="1" t="str">
        <f>VLOOKUP(A924,[1]Detalle!$D$2:$CR$484,93,FALSE)</f>
        <v>Expreso - Servicios Troncales</v>
      </c>
    </row>
    <row r="925" spans="1:25" ht="14.25" customHeight="1" x14ac:dyDescent="0.3">
      <c r="A925" s="1" t="s">
        <v>279</v>
      </c>
      <c r="B925" s="1" t="s">
        <v>609</v>
      </c>
      <c r="C925" s="1" t="s">
        <v>609</v>
      </c>
      <c r="D925" s="1" t="s">
        <v>610</v>
      </c>
      <c r="E925" s="1" t="s">
        <v>337</v>
      </c>
      <c r="F925" s="1">
        <v>12677.1</v>
      </c>
      <c r="G925" s="1">
        <v>13042.1</v>
      </c>
      <c r="H925" s="1">
        <v>4122</v>
      </c>
      <c r="I925" s="1">
        <v>-3757</v>
      </c>
      <c r="J925" s="1">
        <v>16799.099999999999</v>
      </c>
      <c r="K925" s="1">
        <v>93</v>
      </c>
      <c r="L925" s="1">
        <v>44.322580645161288</v>
      </c>
      <c r="M925" s="1">
        <v>-84.764919941775844</v>
      </c>
      <c r="N925" s="7">
        <v>45947</v>
      </c>
      <c r="O925" s="1">
        <v>365</v>
      </c>
      <c r="P925" s="7">
        <v>46203</v>
      </c>
      <c r="Q925" s="1" t="s">
        <v>330</v>
      </c>
      <c r="T925" s="1" t="s">
        <v>611</v>
      </c>
      <c r="U925" s="1" t="s">
        <v>612</v>
      </c>
      <c r="V925" s="1">
        <v>1</v>
      </c>
      <c r="W925" s="3">
        <v>215243.86</v>
      </c>
      <c r="X925" s="3">
        <v>215243.86</v>
      </c>
      <c r="Y925" s="1" t="str">
        <f>VLOOKUP(A925,[1]Detalle!$D$2:$CR$484,93,FALSE)</f>
        <v>Expreso - Servicios Troncales</v>
      </c>
    </row>
    <row r="926" spans="1:25" ht="14.25" customHeight="1" x14ac:dyDescent="0.3">
      <c r="A926" s="1" t="s">
        <v>277</v>
      </c>
      <c r="B926" s="1" t="s">
        <v>609</v>
      </c>
      <c r="C926" s="1" t="s">
        <v>609</v>
      </c>
      <c r="D926" s="1" t="s">
        <v>610</v>
      </c>
      <c r="E926" s="1" t="s">
        <v>337</v>
      </c>
      <c r="F926" s="1">
        <v>32422.3</v>
      </c>
      <c r="G926" s="1">
        <v>32787.300000000003</v>
      </c>
      <c r="H926" s="1">
        <v>1342.7</v>
      </c>
      <c r="I926" s="1">
        <v>-977.69999999999982</v>
      </c>
      <c r="J926" s="1">
        <v>33765</v>
      </c>
      <c r="K926" s="1">
        <v>93</v>
      </c>
      <c r="L926" s="1">
        <v>14.43763440860215</v>
      </c>
      <c r="M926" s="1">
        <v>-67.718850078200632</v>
      </c>
      <c r="N926" s="7">
        <v>45947</v>
      </c>
      <c r="O926" s="1">
        <v>365</v>
      </c>
      <c r="P926" s="7">
        <v>46203</v>
      </c>
      <c r="Q926" s="1" t="s">
        <v>330</v>
      </c>
      <c r="T926" s="1" t="s">
        <v>611</v>
      </c>
      <c r="U926" s="1" t="s">
        <v>612</v>
      </c>
      <c r="V926" s="1">
        <v>1</v>
      </c>
      <c r="W926" s="3">
        <v>215243.86</v>
      </c>
      <c r="X926" s="3">
        <v>215243.86</v>
      </c>
      <c r="Y926" s="1" t="str">
        <f>VLOOKUP(A926,[1]Detalle!$D$2:$CR$484,93,FALSE)</f>
        <v>Expreso - Servicios Troncales</v>
      </c>
    </row>
    <row r="927" spans="1:25" ht="14.25" customHeight="1" x14ac:dyDescent="0.3">
      <c r="A927" s="1" t="s">
        <v>228</v>
      </c>
      <c r="B927" s="1" t="s">
        <v>609</v>
      </c>
      <c r="C927" s="1" t="s">
        <v>609</v>
      </c>
      <c r="D927" s="1" t="s">
        <v>610</v>
      </c>
      <c r="E927" s="1" t="s">
        <v>337</v>
      </c>
      <c r="F927" s="1">
        <v>829725</v>
      </c>
      <c r="G927" s="1">
        <v>830090</v>
      </c>
      <c r="H927" s="1">
        <v>27658.399999999991</v>
      </c>
      <c r="I927" s="1">
        <v>-27293.399999999991</v>
      </c>
      <c r="J927" s="1">
        <v>857383.4</v>
      </c>
      <c r="K927" s="1">
        <v>93</v>
      </c>
      <c r="L927" s="1">
        <v>297.40215053763433</v>
      </c>
      <c r="M927" s="1">
        <v>-91.772705579498449</v>
      </c>
      <c r="N927" s="7">
        <v>45947</v>
      </c>
      <c r="O927" s="1">
        <v>365</v>
      </c>
      <c r="P927" s="7">
        <v>46203</v>
      </c>
      <c r="Q927" s="1" t="s">
        <v>330</v>
      </c>
      <c r="T927" s="1" t="s">
        <v>611</v>
      </c>
      <c r="U927" s="1" t="s">
        <v>612</v>
      </c>
      <c r="V927" s="1">
        <v>1</v>
      </c>
      <c r="W927" s="3">
        <v>215243.86</v>
      </c>
      <c r="X927" s="3">
        <v>215243.86</v>
      </c>
      <c r="Y927" s="1" t="str">
        <f>VLOOKUP(A927,[1]Detalle!$D$2:$CR$484,93,FALSE)</f>
        <v>Expreso - Servicios Troncales</v>
      </c>
    </row>
    <row r="928" spans="1:25" ht="14.25" customHeight="1" x14ac:dyDescent="0.3">
      <c r="A928" s="1" t="s">
        <v>229</v>
      </c>
      <c r="B928" s="1" t="s">
        <v>609</v>
      </c>
      <c r="C928" s="1" t="s">
        <v>609</v>
      </c>
      <c r="D928" s="1" t="s">
        <v>610</v>
      </c>
      <c r="E928" s="1" t="s">
        <v>337</v>
      </c>
      <c r="F928" s="1">
        <v>1771425</v>
      </c>
      <c r="G928" s="1">
        <v>1771790</v>
      </c>
      <c r="H928" s="1">
        <v>51123.39999999998</v>
      </c>
      <c r="I928" s="1">
        <v>-50758.39999999998</v>
      </c>
      <c r="J928" s="1">
        <v>1822548.4</v>
      </c>
      <c r="K928" s="1">
        <v>140</v>
      </c>
      <c r="L928" s="1">
        <v>365.16714285714272</v>
      </c>
      <c r="M928" s="1">
        <v>-139.0004577160361</v>
      </c>
      <c r="N928" s="7">
        <v>45947</v>
      </c>
      <c r="O928" s="1">
        <v>365</v>
      </c>
      <c r="P928" s="7">
        <v>46312</v>
      </c>
      <c r="Q928" s="1" t="s">
        <v>330</v>
      </c>
      <c r="T928" s="1" t="s">
        <v>611</v>
      </c>
      <c r="U928" s="1" t="s">
        <v>612</v>
      </c>
      <c r="V928" s="1">
        <v>1</v>
      </c>
      <c r="W928" s="3">
        <v>215243.86</v>
      </c>
      <c r="X928" s="3">
        <v>215243.86</v>
      </c>
      <c r="Y928" s="1" t="str">
        <f>VLOOKUP(A928,[1]Detalle!$D$2:$CR$484,93,FALSE)</f>
        <v>Expreso - Servicios Troncales</v>
      </c>
    </row>
    <row r="929" spans="1:25" ht="14.25" customHeight="1" x14ac:dyDescent="0.3">
      <c r="A929" s="1" t="s">
        <v>230</v>
      </c>
      <c r="B929" s="1" t="s">
        <v>609</v>
      </c>
      <c r="C929" s="1" t="s">
        <v>609</v>
      </c>
      <c r="D929" s="1" t="s">
        <v>610</v>
      </c>
      <c r="E929" s="1" t="s">
        <v>337</v>
      </c>
      <c r="F929" s="1">
        <v>1787246</v>
      </c>
      <c r="G929" s="1">
        <v>1787611</v>
      </c>
      <c r="H929" s="1">
        <v>27616.2</v>
      </c>
      <c r="I929" s="1">
        <v>-27251.200000000001</v>
      </c>
      <c r="J929" s="1">
        <v>1814862.2</v>
      </c>
      <c r="K929" s="1">
        <v>93</v>
      </c>
      <c r="L929" s="1">
        <v>296.94838709677418</v>
      </c>
      <c r="M929" s="1">
        <v>-91.770830164903202</v>
      </c>
      <c r="N929" s="7">
        <v>45947</v>
      </c>
      <c r="O929" s="1">
        <v>365</v>
      </c>
      <c r="P929" s="7">
        <v>46203</v>
      </c>
      <c r="Q929" s="1" t="s">
        <v>330</v>
      </c>
      <c r="T929" s="1" t="s">
        <v>611</v>
      </c>
      <c r="U929" s="1" t="s">
        <v>612</v>
      </c>
      <c r="V929" s="1">
        <v>1</v>
      </c>
      <c r="W929" s="3">
        <v>215243.86</v>
      </c>
      <c r="X929" s="3">
        <v>215243.86</v>
      </c>
      <c r="Y929" s="1" t="str">
        <f>VLOOKUP(A929,[1]Detalle!$D$2:$CR$484,93,FALSE)</f>
        <v>Expreso - Servicios Troncales</v>
      </c>
    </row>
    <row r="930" spans="1:25" ht="14.25" customHeight="1" x14ac:dyDescent="0.3">
      <c r="A930" s="1" t="s">
        <v>231</v>
      </c>
      <c r="B930" s="1" t="s">
        <v>609</v>
      </c>
      <c r="C930" s="1" t="s">
        <v>609</v>
      </c>
      <c r="D930" s="1" t="s">
        <v>610</v>
      </c>
      <c r="E930" s="1" t="s">
        <v>337</v>
      </c>
      <c r="F930" s="1">
        <v>1836513</v>
      </c>
      <c r="G930" s="1">
        <v>1836878</v>
      </c>
      <c r="H930" s="1">
        <v>31732.5</v>
      </c>
      <c r="I930" s="1">
        <v>-31367.5</v>
      </c>
      <c r="J930" s="1">
        <v>1868245.5</v>
      </c>
      <c r="K930" s="1">
        <v>93</v>
      </c>
      <c r="L930" s="1">
        <v>341.20967741935482</v>
      </c>
      <c r="M930" s="1">
        <v>-91.930276530371074</v>
      </c>
      <c r="N930" s="7">
        <v>45947</v>
      </c>
      <c r="O930" s="1">
        <v>365</v>
      </c>
      <c r="P930" s="7">
        <v>46203</v>
      </c>
      <c r="Q930" s="1" t="s">
        <v>330</v>
      </c>
      <c r="T930" s="1" t="s">
        <v>611</v>
      </c>
      <c r="U930" s="1" t="s">
        <v>612</v>
      </c>
      <c r="V930" s="1">
        <v>1</v>
      </c>
      <c r="W930" s="3">
        <v>215243.86</v>
      </c>
      <c r="X930" s="3">
        <v>215243.86</v>
      </c>
      <c r="Y930" s="1" t="str">
        <f>VLOOKUP(A930,[1]Detalle!$D$2:$CR$484,93,FALSE)</f>
        <v>Expreso - Servicios Troncales</v>
      </c>
    </row>
    <row r="931" spans="1:25" ht="14.25" customHeight="1" x14ac:dyDescent="0.3">
      <c r="A931" s="1" t="s">
        <v>232</v>
      </c>
      <c r="B931" s="1" t="s">
        <v>609</v>
      </c>
      <c r="C931" s="1" t="s">
        <v>609</v>
      </c>
      <c r="D931" s="1" t="s">
        <v>610</v>
      </c>
      <c r="E931" s="1" t="s">
        <v>337</v>
      </c>
      <c r="F931" s="1">
        <v>1933394</v>
      </c>
      <c r="G931" s="1">
        <v>1933759</v>
      </c>
      <c r="H931" s="1">
        <v>31533.599999999999</v>
      </c>
      <c r="I931" s="1">
        <v>-31168.6</v>
      </c>
      <c r="J931" s="1">
        <v>1964927.6</v>
      </c>
      <c r="K931" s="1">
        <v>93</v>
      </c>
      <c r="L931" s="1">
        <v>339.07096774193548</v>
      </c>
      <c r="M931" s="1">
        <v>-91.923529187913843</v>
      </c>
      <c r="N931" s="7">
        <v>45947</v>
      </c>
      <c r="O931" s="1">
        <v>365</v>
      </c>
      <c r="P931" s="7">
        <v>46203</v>
      </c>
      <c r="Q931" s="1" t="s">
        <v>330</v>
      </c>
      <c r="T931" s="1" t="s">
        <v>611</v>
      </c>
      <c r="U931" s="1" t="s">
        <v>612</v>
      </c>
      <c r="V931" s="1">
        <v>1</v>
      </c>
      <c r="W931" s="3">
        <v>215243.86</v>
      </c>
      <c r="X931" s="3">
        <v>215243.86</v>
      </c>
      <c r="Y931" s="1" t="str">
        <f>VLOOKUP(A931,[1]Detalle!$D$2:$CR$484,93,FALSE)</f>
        <v>Expreso - Servicios Troncales</v>
      </c>
    </row>
    <row r="932" spans="1:25" ht="14.25" customHeight="1" x14ac:dyDescent="0.3">
      <c r="A932" s="1" t="s">
        <v>233</v>
      </c>
      <c r="B932" s="1" t="s">
        <v>609</v>
      </c>
      <c r="C932" s="1" t="s">
        <v>609</v>
      </c>
      <c r="D932" s="1" t="s">
        <v>610</v>
      </c>
      <c r="E932" s="1" t="s">
        <v>337</v>
      </c>
      <c r="F932" s="1">
        <v>1936091</v>
      </c>
      <c r="G932" s="1">
        <v>1936456</v>
      </c>
      <c r="H932" s="1">
        <v>33750.9</v>
      </c>
      <c r="I932" s="1">
        <v>-33385.9</v>
      </c>
      <c r="J932" s="1">
        <v>1969841.9</v>
      </c>
      <c r="K932" s="1">
        <v>93</v>
      </c>
      <c r="L932" s="1">
        <v>362.91290322580647</v>
      </c>
      <c r="M932" s="1">
        <v>-91.994249042247759</v>
      </c>
      <c r="N932" s="7">
        <v>45947</v>
      </c>
      <c r="O932" s="1">
        <v>365</v>
      </c>
      <c r="P932" s="7">
        <v>46203</v>
      </c>
      <c r="Q932" s="1" t="s">
        <v>330</v>
      </c>
      <c r="T932" s="1" t="s">
        <v>611</v>
      </c>
      <c r="U932" s="1" t="s">
        <v>612</v>
      </c>
      <c r="V932" s="1">
        <v>1</v>
      </c>
      <c r="W932" s="3">
        <v>215243.86</v>
      </c>
      <c r="X932" s="3">
        <v>215243.86</v>
      </c>
      <c r="Y932" s="1" t="str">
        <f>VLOOKUP(A932,[1]Detalle!$D$2:$CR$484,93,FALSE)</f>
        <v>Expreso - Servicios Troncales</v>
      </c>
    </row>
    <row r="933" spans="1:25" ht="14.25" customHeight="1" x14ac:dyDescent="0.3">
      <c r="A933" s="1" t="s">
        <v>234</v>
      </c>
      <c r="B933" s="1" t="s">
        <v>609</v>
      </c>
      <c r="C933" s="1" t="s">
        <v>609</v>
      </c>
      <c r="D933" s="1" t="s">
        <v>610</v>
      </c>
      <c r="E933" s="1" t="s">
        <v>337</v>
      </c>
      <c r="F933" s="1">
        <v>1922871</v>
      </c>
      <c r="G933" s="1">
        <v>1923236</v>
      </c>
      <c r="H933" s="1">
        <v>38533.900000000009</v>
      </c>
      <c r="I933" s="1">
        <v>-38168.900000000009</v>
      </c>
      <c r="J933" s="1">
        <v>1961404.9</v>
      </c>
      <c r="K933" s="1">
        <v>93</v>
      </c>
      <c r="L933" s="1">
        <v>414.34301075268831</v>
      </c>
      <c r="M933" s="1">
        <v>-92.119087349061473</v>
      </c>
      <c r="N933" s="7">
        <v>45947</v>
      </c>
      <c r="O933" s="1">
        <v>365</v>
      </c>
      <c r="P933" s="7">
        <v>46203</v>
      </c>
      <c r="Q933" s="1" t="s">
        <v>330</v>
      </c>
      <c r="T933" s="1" t="s">
        <v>611</v>
      </c>
      <c r="U933" s="1" t="s">
        <v>612</v>
      </c>
      <c r="V933" s="1">
        <v>1</v>
      </c>
      <c r="W933" s="3">
        <v>215243.86</v>
      </c>
      <c r="X933" s="3">
        <v>215243.86</v>
      </c>
      <c r="Y933" s="1" t="str">
        <f>VLOOKUP(A933,[1]Detalle!$D$2:$CR$484,93,FALSE)</f>
        <v>Expreso - Servicios Troncales</v>
      </c>
    </row>
    <row r="934" spans="1:25" ht="14.25" customHeight="1" x14ac:dyDescent="0.3">
      <c r="A934" s="1" t="s">
        <v>70</v>
      </c>
      <c r="B934" s="1" t="s">
        <v>609</v>
      </c>
      <c r="C934" s="1" t="s">
        <v>609</v>
      </c>
      <c r="D934" s="1" t="s">
        <v>610</v>
      </c>
      <c r="E934" s="1" t="s">
        <v>337</v>
      </c>
      <c r="F934" s="1">
        <v>331634</v>
      </c>
      <c r="G934" s="1">
        <v>331999</v>
      </c>
      <c r="H934" s="1">
        <v>24149.499999999989</v>
      </c>
      <c r="I934" s="1">
        <v>-23784.499999999989</v>
      </c>
      <c r="J934" s="1">
        <v>355783.5</v>
      </c>
      <c r="K934" s="1">
        <v>93</v>
      </c>
      <c r="L934" s="1">
        <v>259.67204301075259</v>
      </c>
      <c r="M934" s="1">
        <v>-91.594380836042149</v>
      </c>
      <c r="N934" s="7">
        <v>45947</v>
      </c>
      <c r="O934" s="1">
        <v>365</v>
      </c>
      <c r="P934" s="7">
        <v>46203</v>
      </c>
      <c r="Q934" s="1" t="s">
        <v>330</v>
      </c>
      <c r="T934" s="1" t="s">
        <v>611</v>
      </c>
      <c r="U934" s="1" t="s">
        <v>612</v>
      </c>
      <c r="V934" s="1">
        <v>1</v>
      </c>
      <c r="W934" s="3">
        <v>215243.86</v>
      </c>
      <c r="X934" s="3">
        <v>215243.86</v>
      </c>
      <c r="Y934" s="1" t="str">
        <f>VLOOKUP(A934,[1]Detalle!$D$2:$CR$484,93,FALSE)</f>
        <v>ADA_CH - Danone Arg. S.A. - Chascomus</v>
      </c>
    </row>
    <row r="935" spans="1:25" ht="14.25" customHeight="1" x14ac:dyDescent="0.3">
      <c r="A935" s="1" t="s">
        <v>97</v>
      </c>
      <c r="B935" s="1" t="s">
        <v>609</v>
      </c>
      <c r="C935" s="1" t="s">
        <v>609</v>
      </c>
      <c r="D935" s="1" t="s">
        <v>610</v>
      </c>
      <c r="E935" s="1" t="s">
        <v>337</v>
      </c>
      <c r="F935" s="1">
        <v>190237</v>
      </c>
      <c r="G935" s="1">
        <v>190602</v>
      </c>
      <c r="H935" s="1">
        <v>24028.9</v>
      </c>
      <c r="I935" s="1">
        <v>-23663.9</v>
      </c>
      <c r="J935" s="1">
        <v>214265.9</v>
      </c>
      <c r="K935" s="1">
        <v>93</v>
      </c>
      <c r="L935" s="1">
        <v>258.3752688172043</v>
      </c>
      <c r="M935" s="1">
        <v>-91.587326094827475</v>
      </c>
      <c r="N935" s="7">
        <v>45947</v>
      </c>
      <c r="O935" s="1">
        <v>365</v>
      </c>
      <c r="P935" s="7">
        <v>46203</v>
      </c>
      <c r="Q935" s="1" t="s">
        <v>330</v>
      </c>
      <c r="T935" s="1" t="s">
        <v>611</v>
      </c>
      <c r="U935" s="1" t="s">
        <v>612</v>
      </c>
      <c r="V935" s="1">
        <v>1</v>
      </c>
      <c r="W935" s="3">
        <v>215243.86</v>
      </c>
      <c r="X935" s="3">
        <v>215243.86</v>
      </c>
      <c r="Y935" s="1" t="str">
        <f>VLOOKUP(A935,[1]Detalle!$D$2:$CR$484,93,FALSE)</f>
        <v>Expreso - Servicios Troncales</v>
      </c>
    </row>
    <row r="936" spans="1:25" ht="14.25" customHeight="1" x14ac:dyDescent="0.3">
      <c r="A936" s="1" t="s">
        <v>613</v>
      </c>
      <c r="B936" s="1" t="s">
        <v>614</v>
      </c>
      <c r="C936" s="1" t="s">
        <v>614</v>
      </c>
      <c r="D936" s="1" t="s">
        <v>615</v>
      </c>
      <c r="E936" s="1" t="s">
        <v>337</v>
      </c>
      <c r="N936" s="7">
        <v>45947</v>
      </c>
      <c r="O936" s="1">
        <v>365</v>
      </c>
      <c r="P936" s="7">
        <v>46312</v>
      </c>
      <c r="Q936" s="1" t="s">
        <v>330</v>
      </c>
      <c r="T936" s="1" t="s">
        <v>616</v>
      </c>
      <c r="U936" s="1" t="s">
        <v>617</v>
      </c>
      <c r="V936" s="1">
        <v>10</v>
      </c>
      <c r="W936" s="3">
        <v>3407.49</v>
      </c>
      <c r="X936" s="3">
        <v>34074.899999999994</v>
      </c>
      <c r="Y936" s="1" t="str">
        <f>VLOOKUP(A936,[1]Detalle!$D$2:$CR$484,93,FALSE)</f>
        <v>ADA_CH - Danone Arg. S.A. - Chascomus</v>
      </c>
    </row>
    <row r="937" spans="1:25" ht="14.25" customHeight="1" x14ac:dyDescent="0.3">
      <c r="A937" s="1" t="s">
        <v>613</v>
      </c>
      <c r="B937" s="1" t="s">
        <v>614</v>
      </c>
      <c r="C937" s="1" t="s">
        <v>614</v>
      </c>
      <c r="D937" s="1" t="s">
        <v>615</v>
      </c>
      <c r="E937" s="1" t="s">
        <v>337</v>
      </c>
      <c r="N937" s="7">
        <v>45947</v>
      </c>
      <c r="O937" s="1">
        <v>365</v>
      </c>
      <c r="P937" s="7">
        <v>46312</v>
      </c>
      <c r="Q937" s="1" t="s">
        <v>330</v>
      </c>
      <c r="T937" s="1" t="s">
        <v>618</v>
      </c>
      <c r="U937" s="1" t="s">
        <v>619</v>
      </c>
      <c r="V937" s="1">
        <v>1</v>
      </c>
      <c r="W937" s="3">
        <v>5567.32</v>
      </c>
      <c r="X937" s="3">
        <v>5567.32</v>
      </c>
      <c r="Y937" s="1" t="str">
        <f>VLOOKUP(A937,[1]Detalle!$D$2:$CR$484,93,FALSE)</f>
        <v>ADA_CH - Danone Arg. S.A. - Chascomus</v>
      </c>
    </row>
    <row r="938" spans="1:25" ht="14.25" customHeight="1" x14ac:dyDescent="0.3">
      <c r="A938" s="1" t="s">
        <v>16</v>
      </c>
      <c r="B938" s="1" t="s">
        <v>614</v>
      </c>
      <c r="C938" s="1" t="s">
        <v>614</v>
      </c>
      <c r="D938" s="1" t="s">
        <v>615</v>
      </c>
      <c r="E938" s="1" t="s">
        <v>337</v>
      </c>
      <c r="N938" s="7">
        <v>45947</v>
      </c>
      <c r="O938" s="1">
        <v>365</v>
      </c>
      <c r="P938" s="7">
        <v>46312</v>
      </c>
      <c r="Q938" s="1" t="s">
        <v>330</v>
      </c>
      <c r="T938" s="1" t="s">
        <v>616</v>
      </c>
      <c r="U938" s="1" t="s">
        <v>617</v>
      </c>
      <c r="V938" s="1">
        <v>10</v>
      </c>
      <c r="W938" s="3">
        <v>3407.49</v>
      </c>
      <c r="X938" s="3">
        <v>34074.899999999994</v>
      </c>
      <c r="Y938" s="1" t="str">
        <f>VLOOKUP(A938,[1]Detalle!$D$2:$CR$484,93,FALSE)</f>
        <v>CMQ_TTE - QUILMES TTE</v>
      </c>
    </row>
    <row r="939" spans="1:25" ht="14.25" customHeight="1" x14ac:dyDescent="0.3">
      <c r="A939" s="1" t="s">
        <v>16</v>
      </c>
      <c r="B939" s="1" t="s">
        <v>614</v>
      </c>
      <c r="C939" s="1" t="s">
        <v>614</v>
      </c>
      <c r="D939" s="1" t="s">
        <v>615</v>
      </c>
      <c r="E939" s="1" t="s">
        <v>337</v>
      </c>
      <c r="N939" s="7">
        <v>45947</v>
      </c>
      <c r="O939" s="1">
        <v>365</v>
      </c>
      <c r="P939" s="7">
        <v>46312</v>
      </c>
      <c r="Q939" s="1" t="s">
        <v>330</v>
      </c>
      <c r="T939" s="1" t="s">
        <v>618</v>
      </c>
      <c r="U939" s="1" t="s">
        <v>619</v>
      </c>
      <c r="V939" s="1">
        <v>1</v>
      </c>
      <c r="W939" s="3">
        <v>5567.32</v>
      </c>
      <c r="X939" s="3">
        <v>5567.32</v>
      </c>
      <c r="Y939" s="1" t="str">
        <f>VLOOKUP(A939,[1]Detalle!$D$2:$CR$484,93,FALSE)</f>
        <v>CMQ_TTE - QUILMES TTE</v>
      </c>
    </row>
    <row r="940" spans="1:25" ht="14.25" customHeight="1" x14ac:dyDescent="0.3">
      <c r="A940" s="1" t="s">
        <v>171</v>
      </c>
      <c r="B940" s="1" t="s">
        <v>614</v>
      </c>
      <c r="C940" s="1" t="s">
        <v>614</v>
      </c>
      <c r="D940" s="1" t="s">
        <v>615</v>
      </c>
      <c r="E940" s="1" t="s">
        <v>337</v>
      </c>
      <c r="N940" s="7">
        <v>45947</v>
      </c>
      <c r="O940" s="1">
        <v>365</v>
      </c>
      <c r="P940" s="7">
        <v>46312</v>
      </c>
      <c r="Q940" s="1" t="s">
        <v>330</v>
      </c>
      <c r="T940" s="1" t="s">
        <v>616</v>
      </c>
      <c r="U940" s="1" t="s">
        <v>617</v>
      </c>
      <c r="V940" s="1">
        <v>10</v>
      </c>
      <c r="W940" s="3">
        <v>3407.49</v>
      </c>
      <c r="X940" s="3">
        <v>34074.899999999994</v>
      </c>
      <c r="Y940" s="1" t="str">
        <f>VLOOKUP(A940,[1]Detalle!$D$2:$CR$484,93,FALSE)</f>
        <v>CENCO_MZ - Cencosud SA - Mendoza</v>
      </c>
    </row>
    <row r="941" spans="1:25" ht="14.25" customHeight="1" x14ac:dyDescent="0.3">
      <c r="A941" s="1" t="s">
        <v>171</v>
      </c>
      <c r="B941" s="1" t="s">
        <v>614</v>
      </c>
      <c r="C941" s="1" t="s">
        <v>614</v>
      </c>
      <c r="D941" s="1" t="s">
        <v>615</v>
      </c>
      <c r="E941" s="1" t="s">
        <v>337</v>
      </c>
      <c r="N941" s="7">
        <v>45947</v>
      </c>
      <c r="O941" s="1">
        <v>365</v>
      </c>
      <c r="P941" s="7">
        <v>46312</v>
      </c>
      <c r="Q941" s="1" t="s">
        <v>330</v>
      </c>
      <c r="T941" s="1" t="s">
        <v>618</v>
      </c>
      <c r="U941" s="1" t="s">
        <v>619</v>
      </c>
      <c r="V941" s="1">
        <v>1</v>
      </c>
      <c r="W941" s="3">
        <v>5567.32</v>
      </c>
      <c r="X941" s="3">
        <v>5567.32</v>
      </c>
      <c r="Y941" s="1" t="str">
        <f>VLOOKUP(A941,[1]Detalle!$D$2:$CR$484,93,FALSE)</f>
        <v>CENCO_MZ - Cencosud SA - Mendoza</v>
      </c>
    </row>
    <row r="942" spans="1:25" ht="14.25" customHeight="1" x14ac:dyDescent="0.3">
      <c r="A942" s="1" t="s">
        <v>172</v>
      </c>
      <c r="B942" s="1" t="s">
        <v>614</v>
      </c>
      <c r="C942" s="1" t="s">
        <v>614</v>
      </c>
      <c r="D942" s="1" t="s">
        <v>615</v>
      </c>
      <c r="E942" s="1" t="s">
        <v>337</v>
      </c>
      <c r="N942" s="7">
        <v>45947</v>
      </c>
      <c r="O942" s="1">
        <v>365</v>
      </c>
      <c r="P942" s="7">
        <v>46312</v>
      </c>
      <c r="Q942" s="1" t="s">
        <v>330</v>
      </c>
      <c r="T942" s="1" t="s">
        <v>616</v>
      </c>
      <c r="U942" s="1" t="s">
        <v>617</v>
      </c>
      <c r="V942" s="1">
        <v>10</v>
      </c>
      <c r="W942" s="3">
        <v>3407.49</v>
      </c>
      <c r="X942" s="3">
        <v>34074.899999999994</v>
      </c>
      <c r="Y942" s="1" t="str">
        <f>VLOOKUP(A942,[1]Detalle!$D$2:$CR$484,93,FALSE)</f>
        <v>CENCO_MZ - Cencosud SA - Mendoza</v>
      </c>
    </row>
    <row r="943" spans="1:25" ht="14.25" customHeight="1" x14ac:dyDescent="0.3">
      <c r="A943" s="1" t="s">
        <v>172</v>
      </c>
      <c r="B943" s="1" t="s">
        <v>614</v>
      </c>
      <c r="C943" s="1" t="s">
        <v>614</v>
      </c>
      <c r="D943" s="1" t="s">
        <v>615</v>
      </c>
      <c r="E943" s="1" t="s">
        <v>337</v>
      </c>
      <c r="N943" s="7">
        <v>45947</v>
      </c>
      <c r="O943" s="1">
        <v>365</v>
      </c>
      <c r="P943" s="7">
        <v>46312</v>
      </c>
      <c r="Q943" s="1" t="s">
        <v>330</v>
      </c>
      <c r="T943" s="1" t="s">
        <v>618</v>
      </c>
      <c r="U943" s="1" t="s">
        <v>619</v>
      </c>
      <c r="V943" s="1">
        <v>1</v>
      </c>
      <c r="W943" s="3">
        <v>5567.32</v>
      </c>
      <c r="X943" s="3">
        <v>5567.32</v>
      </c>
      <c r="Y943" s="1" t="str">
        <f>VLOOKUP(A943,[1]Detalle!$D$2:$CR$484,93,FALSE)</f>
        <v>CENCO_MZ - Cencosud SA - Mendoza</v>
      </c>
    </row>
    <row r="944" spans="1:25" ht="14.25" customHeight="1" x14ac:dyDescent="0.3">
      <c r="A944" s="1" t="s">
        <v>173</v>
      </c>
      <c r="B944" s="1" t="s">
        <v>614</v>
      </c>
      <c r="C944" s="1" t="s">
        <v>614</v>
      </c>
      <c r="D944" s="1" t="s">
        <v>615</v>
      </c>
      <c r="E944" s="1" t="s">
        <v>337</v>
      </c>
      <c r="N944" s="7">
        <v>45947</v>
      </c>
      <c r="O944" s="1">
        <v>365</v>
      </c>
      <c r="P944" s="7">
        <v>46312</v>
      </c>
      <c r="Q944" s="1" t="s">
        <v>330</v>
      </c>
      <c r="T944" s="1" t="s">
        <v>616</v>
      </c>
      <c r="U944" s="1" t="s">
        <v>617</v>
      </c>
      <c r="V944" s="1">
        <v>10</v>
      </c>
      <c r="W944" s="3">
        <v>3407.49</v>
      </c>
      <c r="X944" s="3">
        <v>34074.899999999994</v>
      </c>
      <c r="Y944" s="1" t="str">
        <f>VLOOKUP(A944,[1]Detalle!$D$2:$CR$484,93,FALSE)</f>
        <v>CENCO_MZ - Cencosud SA - Mendoza</v>
      </c>
    </row>
    <row r="945" spans="1:25" ht="14.25" customHeight="1" x14ac:dyDescent="0.3">
      <c r="A945" s="1" t="s">
        <v>173</v>
      </c>
      <c r="B945" s="1" t="s">
        <v>614</v>
      </c>
      <c r="C945" s="1" t="s">
        <v>614</v>
      </c>
      <c r="D945" s="1" t="s">
        <v>615</v>
      </c>
      <c r="E945" s="1" t="s">
        <v>337</v>
      </c>
      <c r="N945" s="7">
        <v>45947</v>
      </c>
      <c r="O945" s="1">
        <v>365</v>
      </c>
      <c r="P945" s="7">
        <v>46312</v>
      </c>
      <c r="Q945" s="1" t="s">
        <v>330</v>
      </c>
      <c r="T945" s="1" t="s">
        <v>618</v>
      </c>
      <c r="U945" s="1" t="s">
        <v>619</v>
      </c>
      <c r="V945" s="1">
        <v>1</v>
      </c>
      <c r="W945" s="3">
        <v>5567.32</v>
      </c>
      <c r="X945" s="3">
        <v>5567.32</v>
      </c>
      <c r="Y945" s="1" t="str">
        <f>VLOOKUP(A945,[1]Detalle!$D$2:$CR$484,93,FALSE)</f>
        <v>CENCO_MZ - Cencosud SA - Mendoza</v>
      </c>
    </row>
    <row r="946" spans="1:25" ht="14.25" customHeight="1" x14ac:dyDescent="0.3">
      <c r="A946" s="1" t="s">
        <v>209</v>
      </c>
      <c r="B946" s="1" t="s">
        <v>614</v>
      </c>
      <c r="C946" s="1" t="s">
        <v>614</v>
      </c>
      <c r="D946" s="1" t="s">
        <v>615</v>
      </c>
      <c r="E946" s="1" t="s">
        <v>337</v>
      </c>
      <c r="N946" s="7">
        <v>45947</v>
      </c>
      <c r="O946" s="1">
        <v>365</v>
      </c>
      <c r="P946" s="7">
        <v>46312</v>
      </c>
      <c r="Q946" s="1" t="s">
        <v>330</v>
      </c>
      <c r="T946" s="1" t="s">
        <v>616</v>
      </c>
      <c r="U946" s="1" t="s">
        <v>617</v>
      </c>
      <c r="V946" s="1">
        <v>10</v>
      </c>
      <c r="W946" s="3">
        <v>3407.49</v>
      </c>
      <c r="X946" s="3">
        <v>34074.899999999994</v>
      </c>
      <c r="Y946" s="1" t="str">
        <f>VLOOKUP(A946,[1]Detalle!$D$2:$CR$484,93,FALSE)</f>
        <v>CENCO_MZ - Cencosud SA - Mendoza</v>
      </c>
    </row>
    <row r="947" spans="1:25" ht="14.25" customHeight="1" x14ac:dyDescent="0.3">
      <c r="A947" s="1" t="s">
        <v>209</v>
      </c>
      <c r="B947" s="1" t="s">
        <v>614</v>
      </c>
      <c r="C947" s="1" t="s">
        <v>614</v>
      </c>
      <c r="D947" s="1" t="s">
        <v>615</v>
      </c>
      <c r="E947" s="1" t="s">
        <v>337</v>
      </c>
      <c r="N947" s="7">
        <v>45947</v>
      </c>
      <c r="O947" s="1">
        <v>365</v>
      </c>
      <c r="P947" s="7">
        <v>46312</v>
      </c>
      <c r="Q947" s="1" t="s">
        <v>330</v>
      </c>
      <c r="T947" s="1" t="s">
        <v>618</v>
      </c>
      <c r="U947" s="1" t="s">
        <v>619</v>
      </c>
      <c r="V947" s="1">
        <v>1</v>
      </c>
      <c r="W947" s="3">
        <v>5567.32</v>
      </c>
      <c r="X947" s="3">
        <v>5567.32</v>
      </c>
      <c r="Y947" s="1" t="str">
        <f>VLOOKUP(A947,[1]Detalle!$D$2:$CR$484,93,FALSE)</f>
        <v>CENCO_MZ - Cencosud SA - Mendoza</v>
      </c>
    </row>
    <row r="948" spans="1:25" ht="14.25" customHeight="1" x14ac:dyDescent="0.3">
      <c r="A948" s="1" t="s">
        <v>74</v>
      </c>
      <c r="B948" s="1" t="s">
        <v>614</v>
      </c>
      <c r="C948" s="1" t="s">
        <v>614</v>
      </c>
      <c r="D948" s="1" t="s">
        <v>615</v>
      </c>
      <c r="E948" s="1" t="s">
        <v>337</v>
      </c>
      <c r="N948" s="7">
        <v>45947</v>
      </c>
      <c r="O948" s="1">
        <v>365</v>
      </c>
      <c r="P948" s="7">
        <v>46312</v>
      </c>
      <c r="Q948" s="1" t="s">
        <v>330</v>
      </c>
      <c r="T948" s="1" t="s">
        <v>616</v>
      </c>
      <c r="U948" s="1" t="s">
        <v>617</v>
      </c>
      <c r="V948" s="1">
        <v>10</v>
      </c>
      <c r="W948" s="3">
        <v>3407.49</v>
      </c>
      <c r="X948" s="3">
        <v>34074.899999999994</v>
      </c>
      <c r="Y948" s="1" t="str">
        <f>VLOOKUP(A948,[1]Detalle!$D$2:$CR$484,93,FALSE)</f>
        <v>CENCO_MZ - Cencosud SA - Mendoza</v>
      </c>
    </row>
    <row r="949" spans="1:25" ht="14.25" customHeight="1" x14ac:dyDescent="0.3">
      <c r="A949" s="1" t="s">
        <v>74</v>
      </c>
      <c r="B949" s="1" t="s">
        <v>614</v>
      </c>
      <c r="C949" s="1" t="s">
        <v>614</v>
      </c>
      <c r="D949" s="1" t="s">
        <v>615</v>
      </c>
      <c r="E949" s="1" t="s">
        <v>337</v>
      </c>
      <c r="N949" s="7">
        <v>45947</v>
      </c>
      <c r="O949" s="1">
        <v>365</v>
      </c>
      <c r="P949" s="7">
        <v>46312</v>
      </c>
      <c r="Q949" s="1" t="s">
        <v>330</v>
      </c>
      <c r="T949" s="1" t="s">
        <v>618</v>
      </c>
      <c r="U949" s="1" t="s">
        <v>619</v>
      </c>
      <c r="V949" s="1">
        <v>1</v>
      </c>
      <c r="W949" s="3">
        <v>5567.32</v>
      </c>
      <c r="X949" s="3">
        <v>5567.32</v>
      </c>
      <c r="Y949" s="1" t="str">
        <f>VLOOKUP(A949,[1]Detalle!$D$2:$CR$484,93,FALSE)</f>
        <v>CENCO_MZ - Cencosud SA - Mendoza</v>
      </c>
    </row>
    <row r="950" spans="1:25" ht="14.25" customHeight="1" x14ac:dyDescent="0.3">
      <c r="A950" s="1" t="s">
        <v>82</v>
      </c>
      <c r="B950" s="1" t="s">
        <v>614</v>
      </c>
      <c r="C950" s="1" t="s">
        <v>614</v>
      </c>
      <c r="D950" s="1" t="s">
        <v>615</v>
      </c>
      <c r="E950" s="1" t="s">
        <v>337</v>
      </c>
      <c r="N950" s="7">
        <v>45947</v>
      </c>
      <c r="O950" s="1">
        <v>365</v>
      </c>
      <c r="P950" s="7">
        <v>46312</v>
      </c>
      <c r="Q950" s="1" t="s">
        <v>330</v>
      </c>
      <c r="T950" s="1" t="s">
        <v>616</v>
      </c>
      <c r="U950" s="1" t="s">
        <v>617</v>
      </c>
      <c r="V950" s="1">
        <v>10</v>
      </c>
      <c r="W950" s="3">
        <v>3407.49</v>
      </c>
      <c r="X950" s="3">
        <v>34074.899999999994</v>
      </c>
      <c r="Y950" s="1" t="str">
        <f>VLOOKUP(A950,[1]Detalle!$D$2:$CR$484,93,FALSE)</f>
        <v>CENCO_MZ - Cencosud SA - Mendoza</v>
      </c>
    </row>
    <row r="951" spans="1:25" ht="14.25" customHeight="1" x14ac:dyDescent="0.3">
      <c r="A951" s="1" t="s">
        <v>82</v>
      </c>
      <c r="B951" s="1" t="s">
        <v>614</v>
      </c>
      <c r="C951" s="1" t="s">
        <v>614</v>
      </c>
      <c r="D951" s="1" t="s">
        <v>615</v>
      </c>
      <c r="E951" s="1" t="s">
        <v>337</v>
      </c>
      <c r="N951" s="7">
        <v>45947</v>
      </c>
      <c r="O951" s="1">
        <v>365</v>
      </c>
      <c r="P951" s="7">
        <v>46312</v>
      </c>
      <c r="Q951" s="1" t="s">
        <v>330</v>
      </c>
      <c r="T951" s="1" t="s">
        <v>618</v>
      </c>
      <c r="U951" s="1" t="s">
        <v>619</v>
      </c>
      <c r="V951" s="1">
        <v>1</v>
      </c>
      <c r="W951" s="3">
        <v>5567.32</v>
      </c>
      <c r="X951" s="3">
        <v>5567.32</v>
      </c>
      <c r="Y951" s="1" t="str">
        <f>VLOOKUP(A951,[1]Detalle!$D$2:$CR$484,93,FALSE)</f>
        <v>CENCO_MZ - Cencosud SA - Mendoza</v>
      </c>
    </row>
    <row r="952" spans="1:25" ht="14.25" customHeight="1" x14ac:dyDescent="0.3">
      <c r="A952" s="1" t="s">
        <v>160</v>
      </c>
      <c r="B952" s="1" t="s">
        <v>614</v>
      </c>
      <c r="C952" s="1" t="s">
        <v>614</v>
      </c>
      <c r="D952" s="1" t="s">
        <v>615</v>
      </c>
      <c r="E952" s="1" t="s">
        <v>337</v>
      </c>
      <c r="N952" s="7">
        <v>45947</v>
      </c>
      <c r="O952" s="1">
        <v>365</v>
      </c>
      <c r="P952" s="7">
        <v>46312</v>
      </c>
      <c r="Q952" s="1" t="s">
        <v>330</v>
      </c>
      <c r="T952" s="1" t="s">
        <v>616</v>
      </c>
      <c r="U952" s="1" t="s">
        <v>617</v>
      </c>
      <c r="V952" s="1">
        <v>10</v>
      </c>
      <c r="W952" s="3">
        <v>3407.49</v>
      </c>
      <c r="X952" s="3">
        <v>34074.899999999994</v>
      </c>
      <c r="Y952" s="1" t="str">
        <f>VLOOKUP(A952,[1]Detalle!$D$2:$CR$484,93,FALSE)</f>
        <v>CENCO_SJ - Cencosud SA - San Juan</v>
      </c>
    </row>
    <row r="953" spans="1:25" ht="14.25" customHeight="1" x14ac:dyDescent="0.3">
      <c r="A953" s="1" t="s">
        <v>160</v>
      </c>
      <c r="B953" s="1" t="s">
        <v>614</v>
      </c>
      <c r="C953" s="1" t="s">
        <v>614</v>
      </c>
      <c r="D953" s="1" t="s">
        <v>615</v>
      </c>
      <c r="E953" s="1" t="s">
        <v>337</v>
      </c>
      <c r="N953" s="7">
        <v>45947</v>
      </c>
      <c r="O953" s="1">
        <v>365</v>
      </c>
      <c r="P953" s="7">
        <v>46312</v>
      </c>
      <c r="Q953" s="1" t="s">
        <v>330</v>
      </c>
      <c r="T953" s="1" t="s">
        <v>618</v>
      </c>
      <c r="U953" s="1" t="s">
        <v>619</v>
      </c>
      <c r="V953" s="1">
        <v>1</v>
      </c>
      <c r="W953" s="3">
        <v>5567.32</v>
      </c>
      <c r="X953" s="3">
        <v>5567.32</v>
      </c>
      <c r="Y953" s="1" t="str">
        <f>VLOOKUP(A953,[1]Detalle!$D$2:$CR$484,93,FALSE)</f>
        <v>CENCO_SJ - Cencosud SA - San Juan</v>
      </c>
    </row>
    <row r="954" spans="1:25" ht="14.25" customHeight="1" x14ac:dyDescent="0.3">
      <c r="A954" s="1" t="s">
        <v>185</v>
      </c>
      <c r="B954" s="1" t="s">
        <v>614</v>
      </c>
      <c r="C954" s="1" t="s">
        <v>614</v>
      </c>
      <c r="D954" s="1" t="s">
        <v>615</v>
      </c>
      <c r="E954" s="1" t="s">
        <v>337</v>
      </c>
      <c r="N954" s="7">
        <v>45947</v>
      </c>
      <c r="O954" s="1">
        <v>365</v>
      </c>
      <c r="P954" s="7">
        <v>46312</v>
      </c>
      <c r="Q954" s="1" t="s">
        <v>330</v>
      </c>
      <c r="T954" s="1" t="s">
        <v>616</v>
      </c>
      <c r="U954" s="1" t="s">
        <v>617</v>
      </c>
      <c r="V954" s="1">
        <v>10</v>
      </c>
      <c r="W954" s="3">
        <v>3407.49</v>
      </c>
      <c r="X954" s="3">
        <v>34074.899999999994</v>
      </c>
      <c r="Y954" s="1" t="str">
        <f>VLOOKUP(A954,[1]Detalle!$D$2:$CR$484,93,FALSE)</f>
        <v>CENCO_SJ - Cencosud SA - San Juan</v>
      </c>
    </row>
    <row r="955" spans="1:25" ht="14.25" customHeight="1" x14ac:dyDescent="0.3">
      <c r="A955" s="1" t="s">
        <v>185</v>
      </c>
      <c r="B955" s="1" t="s">
        <v>614</v>
      </c>
      <c r="C955" s="1" t="s">
        <v>614</v>
      </c>
      <c r="D955" s="1" t="s">
        <v>615</v>
      </c>
      <c r="E955" s="1" t="s">
        <v>337</v>
      </c>
      <c r="N955" s="7">
        <v>45947</v>
      </c>
      <c r="O955" s="1">
        <v>365</v>
      </c>
      <c r="P955" s="7">
        <v>46312</v>
      </c>
      <c r="Q955" s="1" t="s">
        <v>330</v>
      </c>
      <c r="T955" s="1" t="s">
        <v>618</v>
      </c>
      <c r="U955" s="1" t="s">
        <v>619</v>
      </c>
      <c r="V955" s="1">
        <v>1</v>
      </c>
      <c r="W955" s="3">
        <v>5567.32</v>
      </c>
      <c r="X955" s="3">
        <v>5567.32</v>
      </c>
      <c r="Y955" s="1" t="str">
        <f>VLOOKUP(A955,[1]Detalle!$D$2:$CR$484,93,FALSE)</f>
        <v>CENCO_SJ - Cencosud SA - San Juan</v>
      </c>
    </row>
    <row r="956" spans="1:25" ht="14.25" customHeight="1" x14ac:dyDescent="0.3">
      <c r="A956" s="1" t="s">
        <v>620</v>
      </c>
      <c r="B956" s="1" t="s">
        <v>614</v>
      </c>
      <c r="C956" s="1" t="s">
        <v>614</v>
      </c>
      <c r="D956" s="1" t="s">
        <v>615</v>
      </c>
      <c r="E956" s="1" t="s">
        <v>337</v>
      </c>
      <c r="N956" s="7">
        <v>45947</v>
      </c>
      <c r="O956" s="1">
        <v>365</v>
      </c>
      <c r="P956" s="7">
        <v>46312</v>
      </c>
      <c r="Q956" s="1" t="s">
        <v>330</v>
      </c>
      <c r="T956" s="1" t="s">
        <v>616</v>
      </c>
      <c r="U956" s="1" t="s">
        <v>617</v>
      </c>
      <c r="V956" s="1">
        <v>10</v>
      </c>
      <c r="W956" s="3">
        <v>3407.49</v>
      </c>
      <c r="X956" s="3">
        <v>34074.899999999994</v>
      </c>
      <c r="Y956" s="1" t="str">
        <f>VLOOKUP(A956,[1]Detalle!$D$2:$CR$484,93,FALSE)</f>
        <v>CENCOMLD - Cencosud SA - Mendoza</v>
      </c>
    </row>
    <row r="957" spans="1:25" ht="14.25" customHeight="1" x14ac:dyDescent="0.3">
      <c r="A957" s="1" t="s">
        <v>620</v>
      </c>
      <c r="B957" s="1" t="s">
        <v>614</v>
      </c>
      <c r="C957" s="1" t="s">
        <v>614</v>
      </c>
      <c r="D957" s="1" t="s">
        <v>615</v>
      </c>
      <c r="E957" s="1" t="s">
        <v>337</v>
      </c>
      <c r="N957" s="7">
        <v>45947</v>
      </c>
      <c r="O957" s="1">
        <v>365</v>
      </c>
      <c r="P957" s="7">
        <v>46312</v>
      </c>
      <c r="Q957" s="1" t="s">
        <v>330</v>
      </c>
      <c r="T957" s="1" t="s">
        <v>618</v>
      </c>
      <c r="U957" s="1" t="s">
        <v>619</v>
      </c>
      <c r="V957" s="1">
        <v>1</v>
      </c>
      <c r="W957" s="3">
        <v>5567.32</v>
      </c>
      <c r="X957" s="3">
        <v>5567.32</v>
      </c>
      <c r="Y957" s="1" t="str">
        <f>VLOOKUP(A957,[1]Detalle!$D$2:$CR$484,93,FALSE)</f>
        <v>CENCOMLD - Cencosud SA - Mendoza</v>
      </c>
    </row>
    <row r="958" spans="1:25" ht="14.25" customHeight="1" x14ac:dyDescent="0.3">
      <c r="A958" s="1" t="s">
        <v>621</v>
      </c>
      <c r="B958" s="1" t="s">
        <v>614</v>
      </c>
      <c r="C958" s="1" t="s">
        <v>614</v>
      </c>
      <c r="D958" s="1" t="s">
        <v>615</v>
      </c>
      <c r="E958" s="1" t="s">
        <v>337</v>
      </c>
      <c r="N958" s="7">
        <v>45947</v>
      </c>
      <c r="O958" s="1">
        <v>365</v>
      </c>
      <c r="P958" s="7">
        <v>46312</v>
      </c>
      <c r="Q958" s="1" t="s">
        <v>330</v>
      </c>
      <c r="T958" s="1" t="s">
        <v>616</v>
      </c>
      <c r="U958" s="1" t="s">
        <v>617</v>
      </c>
      <c r="V958" s="1">
        <v>10</v>
      </c>
      <c r="W958" s="3">
        <v>3407.49</v>
      </c>
      <c r="X958" s="3">
        <v>34074.899999999994</v>
      </c>
      <c r="Y958" s="1" t="str">
        <f>VLOOKUP(A958,[1]Detalle!$D$2:$CR$484,93,FALSE)</f>
        <v>CENCOMLD - Cencosud SA - Mendoza</v>
      </c>
    </row>
    <row r="959" spans="1:25" ht="14.25" customHeight="1" x14ac:dyDescent="0.3">
      <c r="A959" s="1" t="s">
        <v>621</v>
      </c>
      <c r="B959" s="1" t="s">
        <v>614</v>
      </c>
      <c r="C959" s="1" t="s">
        <v>614</v>
      </c>
      <c r="D959" s="1" t="s">
        <v>615</v>
      </c>
      <c r="E959" s="1" t="s">
        <v>337</v>
      </c>
      <c r="N959" s="7">
        <v>45947</v>
      </c>
      <c r="O959" s="1">
        <v>365</v>
      </c>
      <c r="P959" s="7">
        <v>46312</v>
      </c>
      <c r="Q959" s="1" t="s">
        <v>330</v>
      </c>
      <c r="T959" s="1" t="s">
        <v>618</v>
      </c>
      <c r="U959" s="1" t="s">
        <v>619</v>
      </c>
      <c r="V959" s="1">
        <v>1</v>
      </c>
      <c r="W959" s="3">
        <v>5567.32</v>
      </c>
      <c r="X959" s="3">
        <v>5567.32</v>
      </c>
      <c r="Y959" s="1" t="str">
        <f>VLOOKUP(A959,[1]Detalle!$D$2:$CR$484,93,FALSE)</f>
        <v>CENCOMLD - Cencosud SA - Mendoza</v>
      </c>
    </row>
    <row r="960" spans="1:25" ht="14.25" customHeight="1" x14ac:dyDescent="0.3">
      <c r="A960" s="1" t="s">
        <v>273</v>
      </c>
      <c r="B960" s="1" t="s">
        <v>614</v>
      </c>
      <c r="C960" s="1" t="s">
        <v>614</v>
      </c>
      <c r="D960" s="1" t="s">
        <v>615</v>
      </c>
      <c r="E960" s="1" t="s">
        <v>337</v>
      </c>
      <c r="N960" s="7">
        <v>45947</v>
      </c>
      <c r="O960" s="1">
        <v>365</v>
      </c>
      <c r="P960" s="7">
        <v>46312</v>
      </c>
      <c r="Q960" s="1" t="s">
        <v>330</v>
      </c>
      <c r="T960" s="1" t="s">
        <v>616</v>
      </c>
      <c r="U960" s="1" t="s">
        <v>617</v>
      </c>
      <c r="V960" s="1">
        <v>10</v>
      </c>
      <c r="W960" s="3">
        <v>3407.49</v>
      </c>
      <c r="X960" s="3">
        <v>34074.899999999994</v>
      </c>
      <c r="Y960" s="1" t="str">
        <f>VLOOKUP(A960,[1]Detalle!$D$2:$CR$484,93,FALSE)</f>
        <v>CENCO_MZ - Cencosud SA - Mendoza</v>
      </c>
    </row>
    <row r="961" spans="1:25" ht="14.25" customHeight="1" x14ac:dyDescent="0.3">
      <c r="A961" s="1" t="s">
        <v>273</v>
      </c>
      <c r="B961" s="1" t="s">
        <v>614</v>
      </c>
      <c r="C961" s="1" t="s">
        <v>614</v>
      </c>
      <c r="D961" s="1" t="s">
        <v>615</v>
      </c>
      <c r="E961" s="1" t="s">
        <v>337</v>
      </c>
      <c r="N961" s="7">
        <v>45947</v>
      </c>
      <c r="O961" s="1">
        <v>365</v>
      </c>
      <c r="P961" s="7">
        <v>46312</v>
      </c>
      <c r="Q961" s="1" t="s">
        <v>330</v>
      </c>
      <c r="T961" s="1" t="s">
        <v>618</v>
      </c>
      <c r="U961" s="1" t="s">
        <v>619</v>
      </c>
      <c r="V961" s="1">
        <v>1</v>
      </c>
      <c r="W961" s="3">
        <v>5567.32</v>
      </c>
      <c r="X961" s="3">
        <v>5567.32</v>
      </c>
      <c r="Y961" s="1" t="str">
        <f>VLOOKUP(A961,[1]Detalle!$D$2:$CR$484,93,FALSE)</f>
        <v>CENCO_MZ - Cencosud SA - Mendoza</v>
      </c>
    </row>
    <row r="962" spans="1:25" ht="14.25" customHeight="1" x14ac:dyDescent="0.3">
      <c r="A962" s="1" t="s">
        <v>162</v>
      </c>
      <c r="B962" s="1" t="s">
        <v>614</v>
      </c>
      <c r="C962" s="1" t="s">
        <v>614</v>
      </c>
      <c r="D962" s="1" t="s">
        <v>615</v>
      </c>
      <c r="E962" s="1" t="s">
        <v>337</v>
      </c>
      <c r="N962" s="7">
        <v>45947</v>
      </c>
      <c r="O962" s="1">
        <v>365</v>
      </c>
      <c r="P962" s="7">
        <v>46312</v>
      </c>
      <c r="Q962" s="1" t="s">
        <v>330</v>
      </c>
      <c r="T962" s="1" t="s">
        <v>616</v>
      </c>
      <c r="U962" s="1" t="s">
        <v>617</v>
      </c>
      <c r="V962" s="1">
        <v>10</v>
      </c>
      <c r="W962" s="3">
        <v>3407.49</v>
      </c>
      <c r="X962" s="3">
        <v>34074.899999999994</v>
      </c>
      <c r="Y962" s="1" t="str">
        <f>VLOOKUP(A962,[1]Detalle!$D$2:$CR$484,93,FALSE)</f>
        <v>SUC_SRA - Sucursal San Rafael</v>
      </c>
    </row>
    <row r="963" spans="1:25" ht="14.25" customHeight="1" x14ac:dyDescent="0.3">
      <c r="A963" s="1" t="s">
        <v>162</v>
      </c>
      <c r="B963" s="1" t="s">
        <v>614</v>
      </c>
      <c r="C963" s="1" t="s">
        <v>614</v>
      </c>
      <c r="D963" s="1" t="s">
        <v>615</v>
      </c>
      <c r="E963" s="1" t="s">
        <v>337</v>
      </c>
      <c r="N963" s="7">
        <v>45947</v>
      </c>
      <c r="O963" s="1">
        <v>365</v>
      </c>
      <c r="P963" s="7">
        <v>46312</v>
      </c>
      <c r="Q963" s="1" t="s">
        <v>330</v>
      </c>
      <c r="T963" s="1" t="s">
        <v>618</v>
      </c>
      <c r="U963" s="1" t="s">
        <v>619</v>
      </c>
      <c r="V963" s="1">
        <v>1</v>
      </c>
      <c r="W963" s="3">
        <v>5567.32</v>
      </c>
      <c r="X963" s="3">
        <v>5567.32</v>
      </c>
      <c r="Y963" s="1" t="str">
        <f>VLOOKUP(A963,[1]Detalle!$D$2:$CR$484,93,FALSE)</f>
        <v>SUC_SRA - Sucursal San Rafael</v>
      </c>
    </row>
    <row r="964" spans="1:25" ht="14.25" customHeight="1" x14ac:dyDescent="0.3">
      <c r="A964" s="1" t="s">
        <v>240</v>
      </c>
      <c r="B964" s="1" t="s">
        <v>614</v>
      </c>
      <c r="C964" s="1" t="s">
        <v>614</v>
      </c>
      <c r="D964" s="1" t="s">
        <v>615</v>
      </c>
      <c r="E964" s="1" t="s">
        <v>337</v>
      </c>
      <c r="N964" s="7">
        <v>45947</v>
      </c>
      <c r="O964" s="1">
        <v>365</v>
      </c>
      <c r="P964" s="7">
        <v>46312</v>
      </c>
      <c r="Q964" s="1" t="s">
        <v>330</v>
      </c>
      <c r="T964" s="1" t="s">
        <v>616</v>
      </c>
      <c r="U964" s="1" t="s">
        <v>617</v>
      </c>
      <c r="V964" s="1">
        <v>10</v>
      </c>
      <c r="W964" s="3">
        <v>3407.49</v>
      </c>
      <c r="X964" s="3">
        <v>34074.899999999994</v>
      </c>
      <c r="Y964" s="1" t="str">
        <f>VLOOKUP(A964,[1]Detalle!$D$2:$CR$484,93,FALSE)</f>
        <v>Papelera - Papelera del Plata S.A.</v>
      </c>
    </row>
    <row r="965" spans="1:25" ht="14.25" customHeight="1" x14ac:dyDescent="0.3">
      <c r="A965" s="1" t="s">
        <v>240</v>
      </c>
      <c r="B965" s="1" t="s">
        <v>614</v>
      </c>
      <c r="C965" s="1" t="s">
        <v>614</v>
      </c>
      <c r="D965" s="1" t="s">
        <v>615</v>
      </c>
      <c r="E965" s="1" t="s">
        <v>337</v>
      </c>
      <c r="N965" s="7">
        <v>45947</v>
      </c>
      <c r="O965" s="1">
        <v>365</v>
      </c>
      <c r="P965" s="7">
        <v>46312</v>
      </c>
      <c r="Q965" s="1" t="s">
        <v>330</v>
      </c>
      <c r="T965" s="1" t="s">
        <v>618</v>
      </c>
      <c r="U965" s="1" t="s">
        <v>619</v>
      </c>
      <c r="V965" s="1">
        <v>1</v>
      </c>
      <c r="W965" s="3">
        <v>5567.32</v>
      </c>
      <c r="X965" s="3">
        <v>5567.32</v>
      </c>
      <c r="Y965" s="1" t="str">
        <f>VLOOKUP(A965,[1]Detalle!$D$2:$CR$484,93,FALSE)</f>
        <v>Papelera - Papelera del Plata S.A.</v>
      </c>
    </row>
    <row r="966" spans="1:25" ht="14.25" customHeight="1" x14ac:dyDescent="0.3">
      <c r="A966" s="1" t="s">
        <v>246</v>
      </c>
      <c r="B966" s="1" t="s">
        <v>614</v>
      </c>
      <c r="C966" s="1" t="s">
        <v>614</v>
      </c>
      <c r="D966" s="1" t="s">
        <v>615</v>
      </c>
      <c r="E966" s="1" t="s">
        <v>337</v>
      </c>
      <c r="N966" s="7">
        <v>45947</v>
      </c>
      <c r="O966" s="1">
        <v>365</v>
      </c>
      <c r="P966" s="7">
        <v>46312</v>
      </c>
      <c r="Q966" s="1" t="s">
        <v>330</v>
      </c>
      <c r="T966" s="1" t="s">
        <v>616</v>
      </c>
      <c r="U966" s="1" t="s">
        <v>617</v>
      </c>
      <c r="V966" s="1">
        <v>10</v>
      </c>
      <c r="W966" s="3">
        <v>3407.49</v>
      </c>
      <c r="X966" s="3">
        <v>34074.899999999994</v>
      </c>
      <c r="Y966" s="1" t="str">
        <f>VLOOKUP(A966,[1]Detalle!$D$2:$CR$484,93,FALSE)</f>
        <v>Papelera - Papelera del Plata S.A.</v>
      </c>
    </row>
    <row r="967" spans="1:25" ht="14.25" customHeight="1" x14ac:dyDescent="0.3">
      <c r="A967" s="1" t="s">
        <v>246</v>
      </c>
      <c r="B967" s="1" t="s">
        <v>614</v>
      </c>
      <c r="C967" s="1" t="s">
        <v>614</v>
      </c>
      <c r="D967" s="1" t="s">
        <v>615</v>
      </c>
      <c r="E967" s="1" t="s">
        <v>337</v>
      </c>
      <c r="N967" s="7">
        <v>45947</v>
      </c>
      <c r="O967" s="1">
        <v>365</v>
      </c>
      <c r="P967" s="7">
        <v>46312</v>
      </c>
      <c r="Q967" s="1" t="s">
        <v>330</v>
      </c>
      <c r="T967" s="1" t="s">
        <v>618</v>
      </c>
      <c r="U967" s="1" t="s">
        <v>619</v>
      </c>
      <c r="V967" s="1">
        <v>1</v>
      </c>
      <c r="W967" s="3">
        <v>5567.32</v>
      </c>
      <c r="X967" s="3">
        <v>5567.32</v>
      </c>
      <c r="Y967" s="1" t="str">
        <f>VLOOKUP(A967,[1]Detalle!$D$2:$CR$484,93,FALSE)</f>
        <v>Papelera - Papelera del Plata S.A.</v>
      </c>
    </row>
    <row r="968" spans="1:25" ht="14.25" customHeight="1" x14ac:dyDescent="0.3">
      <c r="A968" s="1" t="s">
        <v>242</v>
      </c>
      <c r="B968" s="1" t="s">
        <v>614</v>
      </c>
      <c r="C968" s="1" t="s">
        <v>614</v>
      </c>
      <c r="D968" s="1" t="s">
        <v>615</v>
      </c>
      <c r="E968" s="1" t="s">
        <v>337</v>
      </c>
      <c r="N968" s="7">
        <v>45947</v>
      </c>
      <c r="O968" s="1">
        <v>365</v>
      </c>
      <c r="P968" s="7">
        <v>46312</v>
      </c>
      <c r="Q968" s="1" t="s">
        <v>330</v>
      </c>
      <c r="T968" s="1" t="s">
        <v>616</v>
      </c>
      <c r="U968" s="1" t="s">
        <v>617</v>
      </c>
      <c r="V968" s="1">
        <v>10</v>
      </c>
      <c r="W968" s="3">
        <v>3407.49</v>
      </c>
      <c r="X968" s="3">
        <v>34074.899999999994</v>
      </c>
      <c r="Y968" s="1" t="str">
        <f>VLOOKUP(A968,[1]Detalle!$D$2:$CR$484,93,FALSE)</f>
        <v>Papelera - Papelera del Plata S.A.</v>
      </c>
    </row>
    <row r="969" spans="1:25" ht="14.25" customHeight="1" x14ac:dyDescent="0.3">
      <c r="A969" s="1" t="s">
        <v>242</v>
      </c>
      <c r="B969" s="1" t="s">
        <v>614</v>
      </c>
      <c r="C969" s="1" t="s">
        <v>614</v>
      </c>
      <c r="D969" s="1" t="s">
        <v>615</v>
      </c>
      <c r="E969" s="1" t="s">
        <v>337</v>
      </c>
      <c r="N969" s="7">
        <v>45947</v>
      </c>
      <c r="O969" s="1">
        <v>365</v>
      </c>
      <c r="P969" s="7">
        <v>46312</v>
      </c>
      <c r="Q969" s="1" t="s">
        <v>330</v>
      </c>
      <c r="T969" s="1" t="s">
        <v>618</v>
      </c>
      <c r="U969" s="1" t="s">
        <v>619</v>
      </c>
      <c r="V969" s="1">
        <v>1</v>
      </c>
      <c r="W969" s="3">
        <v>5567.32</v>
      </c>
      <c r="X969" s="3">
        <v>5567.32</v>
      </c>
      <c r="Y969" s="1" t="str">
        <f>VLOOKUP(A969,[1]Detalle!$D$2:$CR$484,93,FALSE)</f>
        <v>Papelera - Papelera del Plata S.A.</v>
      </c>
    </row>
    <row r="970" spans="1:25" ht="14.25" customHeight="1" x14ac:dyDescent="0.3">
      <c r="A970" s="1" t="s">
        <v>71</v>
      </c>
      <c r="B970" s="1" t="s">
        <v>614</v>
      </c>
      <c r="C970" s="1" t="s">
        <v>614</v>
      </c>
      <c r="D970" s="1" t="s">
        <v>615</v>
      </c>
      <c r="E970" s="1" t="s">
        <v>337</v>
      </c>
      <c r="N970" s="7">
        <v>45947</v>
      </c>
      <c r="O970" s="1">
        <v>365</v>
      </c>
      <c r="P970" s="7">
        <v>46312</v>
      </c>
      <c r="Q970" s="1" t="s">
        <v>330</v>
      </c>
      <c r="T970" s="1" t="s">
        <v>616</v>
      </c>
      <c r="U970" s="1" t="s">
        <v>617</v>
      </c>
      <c r="V970" s="1">
        <v>10</v>
      </c>
      <c r="W970" s="3">
        <v>3407.49</v>
      </c>
      <c r="X970" s="3">
        <v>34074.899999999994</v>
      </c>
      <c r="Y970" s="1" t="str">
        <f>VLOOKUP(A970,[1]Detalle!$D$2:$CR$484,93,FALSE)</f>
        <v>CMQ_TTE - QUILMES TTE</v>
      </c>
    </row>
    <row r="971" spans="1:25" ht="14.25" customHeight="1" x14ac:dyDescent="0.3">
      <c r="A971" s="1" t="s">
        <v>71</v>
      </c>
      <c r="B971" s="1" t="s">
        <v>614</v>
      </c>
      <c r="C971" s="1" t="s">
        <v>614</v>
      </c>
      <c r="D971" s="1" t="s">
        <v>615</v>
      </c>
      <c r="E971" s="1" t="s">
        <v>337</v>
      </c>
      <c r="N971" s="7">
        <v>45947</v>
      </c>
      <c r="O971" s="1">
        <v>365</v>
      </c>
      <c r="P971" s="7">
        <v>46312</v>
      </c>
      <c r="Q971" s="1" t="s">
        <v>330</v>
      </c>
      <c r="T971" s="1" t="s">
        <v>618</v>
      </c>
      <c r="U971" s="1" t="s">
        <v>619</v>
      </c>
      <c r="V971" s="1">
        <v>1</v>
      </c>
      <c r="W971" s="3">
        <v>5567.32</v>
      </c>
      <c r="X971" s="3">
        <v>5567.32</v>
      </c>
      <c r="Y971" s="1" t="str">
        <f>VLOOKUP(A971,[1]Detalle!$D$2:$CR$484,93,FALSE)</f>
        <v>CMQ_TTE - QUILMES TTE</v>
      </c>
    </row>
    <row r="972" spans="1:25" ht="14.25" customHeight="1" x14ac:dyDescent="0.3">
      <c r="A972" s="1" t="s">
        <v>622</v>
      </c>
      <c r="B972" s="1" t="s">
        <v>623</v>
      </c>
      <c r="C972" s="1" t="s">
        <v>623</v>
      </c>
      <c r="D972" s="1" t="s">
        <v>624</v>
      </c>
      <c r="E972" s="1" t="s">
        <v>337</v>
      </c>
      <c r="F972" s="1">
        <v>22731.7</v>
      </c>
      <c r="G972" s="1">
        <v>23096.7</v>
      </c>
      <c r="H972" s="1">
        <v>0</v>
      </c>
      <c r="I972" s="1">
        <v>365</v>
      </c>
      <c r="J972" s="1">
        <v>22731.7</v>
      </c>
      <c r="K972" s="1">
        <v>148</v>
      </c>
      <c r="L972" s="1">
        <v>100</v>
      </c>
      <c r="M972" s="1">
        <v>3.65</v>
      </c>
      <c r="N972" s="7">
        <v>45947</v>
      </c>
      <c r="O972" s="1">
        <v>365</v>
      </c>
      <c r="P972" s="7">
        <v>46312</v>
      </c>
      <c r="Q972" s="1" t="s">
        <v>330</v>
      </c>
      <c r="T972" s="1" t="s">
        <v>625</v>
      </c>
      <c r="U972" s="1" t="s">
        <v>626</v>
      </c>
      <c r="V972" s="1">
        <v>1</v>
      </c>
      <c r="W972" s="3">
        <v>57923.55</v>
      </c>
      <c r="X972" s="3">
        <v>57923.55</v>
      </c>
      <c r="Y972" s="1" t="str">
        <f>VLOOKUP(A972,[1]Detalle!$D$2:$CR$484,93,FALSE)</f>
        <v>Arcor S.A.I.C.</v>
      </c>
    </row>
    <row r="973" spans="1:25" ht="14.25" customHeight="1" x14ac:dyDescent="0.3">
      <c r="A973" s="1" t="s">
        <v>622</v>
      </c>
      <c r="B973" s="1" t="s">
        <v>623</v>
      </c>
      <c r="C973" s="1" t="s">
        <v>623</v>
      </c>
      <c r="D973" s="1" t="s">
        <v>624</v>
      </c>
      <c r="E973" s="1" t="s">
        <v>337</v>
      </c>
      <c r="F973" s="1">
        <v>22731.7</v>
      </c>
      <c r="G973" s="1">
        <v>23096.7</v>
      </c>
      <c r="H973" s="1">
        <v>0</v>
      </c>
      <c r="I973" s="1">
        <v>365</v>
      </c>
      <c r="J973" s="1">
        <v>22731.7</v>
      </c>
      <c r="K973" s="1">
        <v>148</v>
      </c>
      <c r="L973" s="1">
        <v>100</v>
      </c>
      <c r="M973" s="1">
        <v>3.65</v>
      </c>
      <c r="N973" s="7">
        <v>45947</v>
      </c>
      <c r="O973" s="1">
        <v>365</v>
      </c>
      <c r="P973" s="7">
        <v>46312</v>
      </c>
      <c r="Q973" s="1" t="s">
        <v>330</v>
      </c>
      <c r="T973" s="1" t="s">
        <v>627</v>
      </c>
      <c r="U973" s="1" t="s">
        <v>628</v>
      </c>
      <c r="V973" s="1">
        <v>1</v>
      </c>
      <c r="W973" s="3">
        <v>14370.83</v>
      </c>
      <c r="X973" s="3">
        <v>14370.83</v>
      </c>
      <c r="Y973" s="1" t="str">
        <f>VLOOKUP(A973,[1]Detalle!$D$2:$CR$484,93,FALSE)</f>
        <v>Arcor S.A.I.C.</v>
      </c>
    </row>
    <row r="974" spans="1:25" ht="14.25" customHeight="1" x14ac:dyDescent="0.3">
      <c r="A974" s="1" t="s">
        <v>622</v>
      </c>
      <c r="B974" s="1" t="s">
        <v>623</v>
      </c>
      <c r="C974" s="1" t="s">
        <v>623</v>
      </c>
      <c r="D974" s="1" t="s">
        <v>624</v>
      </c>
      <c r="E974" s="1" t="s">
        <v>337</v>
      </c>
      <c r="F974" s="1">
        <v>22731.7</v>
      </c>
      <c r="G974" s="1">
        <v>23096.7</v>
      </c>
      <c r="H974" s="1">
        <v>0</v>
      </c>
      <c r="I974" s="1">
        <v>365</v>
      </c>
      <c r="J974" s="1">
        <v>22731.7</v>
      </c>
      <c r="K974" s="1">
        <v>148</v>
      </c>
      <c r="L974" s="1">
        <v>100</v>
      </c>
      <c r="M974" s="1">
        <v>3.65</v>
      </c>
      <c r="N974" s="7">
        <v>45947</v>
      </c>
      <c r="O974" s="1">
        <v>365</v>
      </c>
      <c r="P974" s="7">
        <v>46312</v>
      </c>
      <c r="Q974" s="1" t="s">
        <v>330</v>
      </c>
      <c r="T974" s="1" t="s">
        <v>629</v>
      </c>
      <c r="U974" s="1" t="s">
        <v>630</v>
      </c>
      <c r="V974" s="1">
        <v>1</v>
      </c>
      <c r="W974" s="3">
        <v>7200</v>
      </c>
      <c r="X974" s="3">
        <v>7200</v>
      </c>
      <c r="Y974" s="1" t="str">
        <f>VLOOKUP(A974,[1]Detalle!$D$2:$CR$484,93,FALSE)</f>
        <v>Arcor S.A.I.C.</v>
      </c>
    </row>
    <row r="975" spans="1:25" ht="14.25" customHeight="1" x14ac:dyDescent="0.3">
      <c r="A975" s="1" t="s">
        <v>622</v>
      </c>
      <c r="B975" s="1" t="s">
        <v>623</v>
      </c>
      <c r="C975" s="1" t="s">
        <v>623</v>
      </c>
      <c r="D975" s="1" t="s">
        <v>624</v>
      </c>
      <c r="E975" s="1" t="s">
        <v>337</v>
      </c>
      <c r="F975" s="1">
        <v>22731.7</v>
      </c>
      <c r="G975" s="1">
        <v>23096.7</v>
      </c>
      <c r="H975" s="1">
        <v>0</v>
      </c>
      <c r="I975" s="1">
        <v>365</v>
      </c>
      <c r="J975" s="1">
        <v>22731.7</v>
      </c>
      <c r="K975" s="1">
        <v>148</v>
      </c>
      <c r="L975" s="1">
        <v>100</v>
      </c>
      <c r="M975" s="1">
        <v>3.65</v>
      </c>
      <c r="N975" s="7">
        <v>45947</v>
      </c>
      <c r="O975" s="1">
        <v>365</v>
      </c>
      <c r="P975" s="7">
        <v>46312</v>
      </c>
      <c r="Q975" s="1" t="s">
        <v>330</v>
      </c>
      <c r="T975" s="1" t="s">
        <v>631</v>
      </c>
      <c r="U975" s="1" t="s">
        <v>632</v>
      </c>
      <c r="V975" s="1">
        <v>1</v>
      </c>
      <c r="W975" s="3">
        <v>7286.36</v>
      </c>
      <c r="X975" s="3">
        <v>7286.36</v>
      </c>
      <c r="Y975" s="1" t="str">
        <f>VLOOKUP(A975,[1]Detalle!$D$2:$CR$484,93,FALSE)</f>
        <v>Arcor S.A.I.C.</v>
      </c>
    </row>
    <row r="976" spans="1:25" ht="14.25" customHeight="1" x14ac:dyDescent="0.3">
      <c r="A976" s="1" t="s">
        <v>622</v>
      </c>
      <c r="B976" s="1" t="s">
        <v>623</v>
      </c>
      <c r="C976" s="1" t="s">
        <v>623</v>
      </c>
      <c r="D976" s="1" t="s">
        <v>624</v>
      </c>
      <c r="E976" s="1" t="s">
        <v>337</v>
      </c>
      <c r="F976" s="1">
        <v>22731.7</v>
      </c>
      <c r="G976" s="1">
        <v>23096.7</v>
      </c>
      <c r="H976" s="1">
        <v>0</v>
      </c>
      <c r="I976" s="1">
        <v>365</v>
      </c>
      <c r="J976" s="1">
        <v>22731.7</v>
      </c>
      <c r="K976" s="1">
        <v>148</v>
      </c>
      <c r="L976" s="1">
        <v>100</v>
      </c>
      <c r="M976" s="1">
        <v>3.65</v>
      </c>
      <c r="N976" s="7">
        <v>45947</v>
      </c>
      <c r="O976" s="1">
        <v>365</v>
      </c>
      <c r="P976" s="7">
        <v>46312</v>
      </c>
      <c r="Q976" s="1" t="s">
        <v>330</v>
      </c>
      <c r="T976" s="1" t="s">
        <v>633</v>
      </c>
      <c r="U976" s="1" t="s">
        <v>634</v>
      </c>
      <c r="V976" s="1">
        <v>4</v>
      </c>
      <c r="W976" s="3">
        <v>153102.49</v>
      </c>
      <c r="X976" s="3">
        <v>612409.96</v>
      </c>
      <c r="Y976" s="1" t="str">
        <f>VLOOKUP(A976,[1]Detalle!$D$2:$CR$484,93,FALSE)</f>
        <v>Arcor S.A.I.C.</v>
      </c>
    </row>
    <row r="977" spans="1:25" ht="14.25" customHeight="1" x14ac:dyDescent="0.3">
      <c r="A977" s="1" t="s">
        <v>635</v>
      </c>
      <c r="B977" s="1" t="s">
        <v>623</v>
      </c>
      <c r="C977" s="1" t="s">
        <v>623</v>
      </c>
      <c r="D977" s="1" t="s">
        <v>624</v>
      </c>
      <c r="E977" s="1" t="s">
        <v>337</v>
      </c>
      <c r="N977" s="7">
        <v>45947</v>
      </c>
      <c r="O977" s="1">
        <v>365</v>
      </c>
      <c r="P977" s="7">
        <v>46312</v>
      </c>
      <c r="Q977" s="1" t="s">
        <v>330</v>
      </c>
      <c r="T977" s="1" t="s">
        <v>625</v>
      </c>
      <c r="U977" s="1" t="s">
        <v>626</v>
      </c>
      <c r="V977" s="1">
        <v>1</v>
      </c>
      <c r="W977" s="3">
        <v>57923.55</v>
      </c>
      <c r="X977" s="3">
        <v>57923.55</v>
      </c>
      <c r="Y977" s="1" t="str">
        <f>VLOOKUP(A977,[1]Detalle!$D$2:$CR$484,93,FALSE)</f>
        <v>Arcor S.A.I.C.</v>
      </c>
    </row>
    <row r="978" spans="1:25" ht="14.25" customHeight="1" x14ac:dyDescent="0.3">
      <c r="A978" s="1" t="s">
        <v>635</v>
      </c>
      <c r="B978" s="1" t="s">
        <v>623</v>
      </c>
      <c r="C978" s="1" t="s">
        <v>623</v>
      </c>
      <c r="D978" s="1" t="s">
        <v>624</v>
      </c>
      <c r="E978" s="1" t="s">
        <v>337</v>
      </c>
      <c r="N978" s="7">
        <v>45947</v>
      </c>
      <c r="O978" s="1">
        <v>365</v>
      </c>
      <c r="P978" s="7">
        <v>46312</v>
      </c>
      <c r="Q978" s="1" t="s">
        <v>330</v>
      </c>
      <c r="T978" s="1" t="s">
        <v>627</v>
      </c>
      <c r="U978" s="1" t="s">
        <v>628</v>
      </c>
      <c r="V978" s="1">
        <v>1</v>
      </c>
      <c r="W978" s="3">
        <v>14370.83</v>
      </c>
      <c r="X978" s="3">
        <v>14370.83</v>
      </c>
      <c r="Y978" s="1" t="str">
        <f>VLOOKUP(A978,[1]Detalle!$D$2:$CR$484,93,FALSE)</f>
        <v>Arcor S.A.I.C.</v>
      </c>
    </row>
    <row r="979" spans="1:25" ht="14.25" customHeight="1" x14ac:dyDescent="0.3">
      <c r="A979" s="1" t="s">
        <v>635</v>
      </c>
      <c r="B979" s="1" t="s">
        <v>623</v>
      </c>
      <c r="C979" s="1" t="s">
        <v>623</v>
      </c>
      <c r="D979" s="1" t="s">
        <v>624</v>
      </c>
      <c r="E979" s="1" t="s">
        <v>337</v>
      </c>
      <c r="N979" s="7">
        <v>45947</v>
      </c>
      <c r="O979" s="1">
        <v>365</v>
      </c>
      <c r="P979" s="7">
        <v>46312</v>
      </c>
      <c r="Q979" s="1" t="s">
        <v>330</v>
      </c>
      <c r="T979" s="1" t="s">
        <v>629</v>
      </c>
      <c r="U979" s="1" t="s">
        <v>630</v>
      </c>
      <c r="V979" s="1">
        <v>1</v>
      </c>
      <c r="W979" s="3">
        <v>7200</v>
      </c>
      <c r="X979" s="3">
        <v>7200</v>
      </c>
      <c r="Y979" s="1" t="str">
        <f>VLOOKUP(A979,[1]Detalle!$D$2:$CR$484,93,FALSE)</f>
        <v>Arcor S.A.I.C.</v>
      </c>
    </row>
    <row r="980" spans="1:25" ht="14.25" customHeight="1" x14ac:dyDescent="0.3">
      <c r="A980" s="1" t="s">
        <v>635</v>
      </c>
      <c r="B980" s="1" t="s">
        <v>623</v>
      </c>
      <c r="C980" s="1" t="s">
        <v>623</v>
      </c>
      <c r="D980" s="1" t="s">
        <v>624</v>
      </c>
      <c r="E980" s="1" t="s">
        <v>337</v>
      </c>
      <c r="N980" s="7">
        <v>45947</v>
      </c>
      <c r="O980" s="1">
        <v>365</v>
      </c>
      <c r="P980" s="7">
        <v>46312</v>
      </c>
      <c r="Q980" s="1" t="s">
        <v>330</v>
      </c>
      <c r="T980" s="1" t="s">
        <v>631</v>
      </c>
      <c r="U980" s="1" t="s">
        <v>632</v>
      </c>
      <c r="V980" s="1">
        <v>1</v>
      </c>
      <c r="W980" s="3">
        <v>7286.36</v>
      </c>
      <c r="X980" s="3">
        <v>7286.36</v>
      </c>
      <c r="Y980" s="1" t="str">
        <f>VLOOKUP(A980,[1]Detalle!$D$2:$CR$484,93,FALSE)</f>
        <v>Arcor S.A.I.C.</v>
      </c>
    </row>
    <row r="981" spans="1:25" ht="14.25" customHeight="1" x14ac:dyDescent="0.3">
      <c r="A981" s="1" t="s">
        <v>635</v>
      </c>
      <c r="B981" s="1" t="s">
        <v>623</v>
      </c>
      <c r="C981" s="1" t="s">
        <v>623</v>
      </c>
      <c r="D981" s="1" t="s">
        <v>624</v>
      </c>
      <c r="E981" s="1" t="s">
        <v>337</v>
      </c>
      <c r="N981" s="7">
        <v>45947</v>
      </c>
      <c r="O981" s="1">
        <v>365</v>
      </c>
      <c r="P981" s="7">
        <v>46312</v>
      </c>
      <c r="Q981" s="1" t="s">
        <v>330</v>
      </c>
      <c r="T981" s="1" t="s">
        <v>633</v>
      </c>
      <c r="U981" s="1" t="s">
        <v>634</v>
      </c>
      <c r="V981" s="1">
        <v>4</v>
      </c>
      <c r="W981" s="3">
        <v>153102.49</v>
      </c>
      <c r="X981" s="3">
        <v>612409.96</v>
      </c>
      <c r="Y981" s="1" t="str">
        <f>VLOOKUP(A981,[1]Detalle!$D$2:$CR$484,93,FALSE)</f>
        <v>Arcor S.A.I.C.</v>
      </c>
    </row>
    <row r="982" spans="1:25" ht="14.25" customHeight="1" x14ac:dyDescent="0.3">
      <c r="A982" s="1" t="s">
        <v>636</v>
      </c>
      <c r="B982" s="1" t="s">
        <v>623</v>
      </c>
      <c r="C982" s="1" t="s">
        <v>623</v>
      </c>
      <c r="D982" s="1" t="s">
        <v>624</v>
      </c>
      <c r="E982" s="1" t="s">
        <v>337</v>
      </c>
      <c r="F982" s="1">
        <v>22337.7</v>
      </c>
      <c r="G982" s="1">
        <v>22702.7</v>
      </c>
      <c r="H982" s="1">
        <v>0</v>
      </c>
      <c r="I982" s="1">
        <v>365</v>
      </c>
      <c r="J982" s="1">
        <v>22337.7</v>
      </c>
      <c r="K982" s="1">
        <v>146</v>
      </c>
      <c r="L982" s="1">
        <v>100</v>
      </c>
      <c r="M982" s="1">
        <v>3.65</v>
      </c>
      <c r="N982" s="7">
        <v>45947</v>
      </c>
      <c r="O982" s="1">
        <v>365</v>
      </c>
      <c r="P982" s="7">
        <v>46312</v>
      </c>
      <c r="Q982" s="1" t="s">
        <v>330</v>
      </c>
      <c r="T982" s="1" t="s">
        <v>625</v>
      </c>
      <c r="U982" s="1" t="s">
        <v>626</v>
      </c>
      <c r="V982" s="1">
        <v>1</v>
      </c>
      <c r="W982" s="3">
        <v>57923.55</v>
      </c>
      <c r="X982" s="3">
        <v>57923.55</v>
      </c>
      <c r="Y982" s="1" t="str">
        <f>VLOOKUP(A982,[1]Detalle!$D$2:$CR$484,93,FALSE)</f>
        <v>Arcor S.A.I.C.</v>
      </c>
    </row>
    <row r="983" spans="1:25" ht="14.25" customHeight="1" x14ac:dyDescent="0.3">
      <c r="A983" s="1" t="s">
        <v>636</v>
      </c>
      <c r="B983" s="1" t="s">
        <v>623</v>
      </c>
      <c r="C983" s="1" t="s">
        <v>623</v>
      </c>
      <c r="D983" s="1" t="s">
        <v>624</v>
      </c>
      <c r="E983" s="1" t="s">
        <v>337</v>
      </c>
      <c r="F983" s="1">
        <v>22337.7</v>
      </c>
      <c r="G983" s="1">
        <v>22702.7</v>
      </c>
      <c r="H983" s="1">
        <v>0</v>
      </c>
      <c r="I983" s="1">
        <v>365</v>
      </c>
      <c r="J983" s="1">
        <v>22337.7</v>
      </c>
      <c r="K983" s="1">
        <v>146</v>
      </c>
      <c r="L983" s="1">
        <v>100</v>
      </c>
      <c r="M983" s="1">
        <v>3.65</v>
      </c>
      <c r="N983" s="7">
        <v>45947</v>
      </c>
      <c r="O983" s="1">
        <v>365</v>
      </c>
      <c r="P983" s="7">
        <v>46312</v>
      </c>
      <c r="Q983" s="1" t="s">
        <v>330</v>
      </c>
      <c r="T983" s="1" t="s">
        <v>627</v>
      </c>
      <c r="U983" s="1" t="s">
        <v>628</v>
      </c>
      <c r="V983" s="1">
        <v>1</v>
      </c>
      <c r="W983" s="3">
        <v>14370.83</v>
      </c>
      <c r="X983" s="3">
        <v>14370.83</v>
      </c>
      <c r="Y983" s="1" t="str">
        <f>VLOOKUP(A983,[1]Detalle!$D$2:$CR$484,93,FALSE)</f>
        <v>Arcor S.A.I.C.</v>
      </c>
    </row>
    <row r="984" spans="1:25" ht="14.25" customHeight="1" x14ac:dyDescent="0.3">
      <c r="A984" s="1" t="s">
        <v>636</v>
      </c>
      <c r="B984" s="1" t="s">
        <v>623</v>
      </c>
      <c r="C984" s="1" t="s">
        <v>623</v>
      </c>
      <c r="D984" s="1" t="s">
        <v>624</v>
      </c>
      <c r="E984" s="1" t="s">
        <v>337</v>
      </c>
      <c r="F984" s="1">
        <v>22337.7</v>
      </c>
      <c r="G984" s="1">
        <v>22702.7</v>
      </c>
      <c r="H984" s="1">
        <v>0</v>
      </c>
      <c r="I984" s="1">
        <v>365</v>
      </c>
      <c r="J984" s="1">
        <v>22337.7</v>
      </c>
      <c r="K984" s="1">
        <v>146</v>
      </c>
      <c r="L984" s="1">
        <v>100</v>
      </c>
      <c r="M984" s="1">
        <v>3.65</v>
      </c>
      <c r="N984" s="7">
        <v>45947</v>
      </c>
      <c r="O984" s="1">
        <v>365</v>
      </c>
      <c r="P984" s="7">
        <v>46312</v>
      </c>
      <c r="Q984" s="1" t="s">
        <v>330</v>
      </c>
      <c r="T984" s="1" t="s">
        <v>629</v>
      </c>
      <c r="U984" s="1" t="s">
        <v>630</v>
      </c>
      <c r="V984" s="1">
        <v>1</v>
      </c>
      <c r="W984" s="3">
        <v>7200</v>
      </c>
      <c r="X984" s="3">
        <v>7200</v>
      </c>
      <c r="Y984" s="1" t="str">
        <f>VLOOKUP(A984,[1]Detalle!$D$2:$CR$484,93,FALSE)</f>
        <v>Arcor S.A.I.C.</v>
      </c>
    </row>
    <row r="985" spans="1:25" ht="14.25" customHeight="1" x14ac:dyDescent="0.3">
      <c r="A985" s="1" t="s">
        <v>636</v>
      </c>
      <c r="B985" s="1" t="s">
        <v>623</v>
      </c>
      <c r="C985" s="1" t="s">
        <v>623</v>
      </c>
      <c r="D985" s="1" t="s">
        <v>624</v>
      </c>
      <c r="E985" s="1" t="s">
        <v>337</v>
      </c>
      <c r="F985" s="1">
        <v>22337.7</v>
      </c>
      <c r="G985" s="1">
        <v>22702.7</v>
      </c>
      <c r="H985" s="1">
        <v>0</v>
      </c>
      <c r="I985" s="1">
        <v>365</v>
      </c>
      <c r="J985" s="1">
        <v>22337.7</v>
      </c>
      <c r="K985" s="1">
        <v>146</v>
      </c>
      <c r="L985" s="1">
        <v>100</v>
      </c>
      <c r="M985" s="1">
        <v>3.65</v>
      </c>
      <c r="N985" s="7">
        <v>45947</v>
      </c>
      <c r="O985" s="1">
        <v>365</v>
      </c>
      <c r="P985" s="7">
        <v>46312</v>
      </c>
      <c r="Q985" s="1" t="s">
        <v>330</v>
      </c>
      <c r="T985" s="1" t="s">
        <v>631</v>
      </c>
      <c r="U985" s="1" t="s">
        <v>632</v>
      </c>
      <c r="V985" s="1">
        <v>1</v>
      </c>
      <c r="W985" s="3">
        <v>7286.36</v>
      </c>
      <c r="X985" s="3">
        <v>7286.36</v>
      </c>
      <c r="Y985" s="1" t="str">
        <f>VLOOKUP(A985,[1]Detalle!$D$2:$CR$484,93,FALSE)</f>
        <v>Arcor S.A.I.C.</v>
      </c>
    </row>
    <row r="986" spans="1:25" ht="14.25" customHeight="1" x14ac:dyDescent="0.3">
      <c r="A986" s="1" t="s">
        <v>636</v>
      </c>
      <c r="B986" s="1" t="s">
        <v>623</v>
      </c>
      <c r="C986" s="1" t="s">
        <v>623</v>
      </c>
      <c r="D986" s="1" t="s">
        <v>624</v>
      </c>
      <c r="E986" s="1" t="s">
        <v>337</v>
      </c>
      <c r="F986" s="1">
        <v>22337.7</v>
      </c>
      <c r="G986" s="1">
        <v>22702.7</v>
      </c>
      <c r="H986" s="1">
        <v>0</v>
      </c>
      <c r="I986" s="1">
        <v>365</v>
      </c>
      <c r="J986" s="1">
        <v>22337.7</v>
      </c>
      <c r="K986" s="1">
        <v>146</v>
      </c>
      <c r="L986" s="1">
        <v>100</v>
      </c>
      <c r="M986" s="1">
        <v>3.65</v>
      </c>
      <c r="N986" s="7">
        <v>45947</v>
      </c>
      <c r="O986" s="1">
        <v>365</v>
      </c>
      <c r="P986" s="7">
        <v>46312</v>
      </c>
      <c r="Q986" s="1" t="s">
        <v>330</v>
      </c>
      <c r="T986" s="1" t="s">
        <v>633</v>
      </c>
      <c r="U986" s="1" t="s">
        <v>634</v>
      </c>
      <c r="V986" s="1">
        <v>4</v>
      </c>
      <c r="W986" s="3">
        <v>153102.49</v>
      </c>
      <c r="X986" s="3">
        <v>612409.96</v>
      </c>
      <c r="Y986" s="1" t="str">
        <f>VLOOKUP(A986,[1]Detalle!$D$2:$CR$484,93,FALSE)</f>
        <v>Arcor S.A.I.C.</v>
      </c>
    </row>
    <row r="987" spans="1:25" ht="14.25" customHeight="1" x14ac:dyDescent="0.3">
      <c r="A987" s="1" t="s">
        <v>637</v>
      </c>
      <c r="B987" s="1" t="s">
        <v>623</v>
      </c>
      <c r="C987" s="1" t="s">
        <v>623</v>
      </c>
      <c r="D987" s="1" t="s">
        <v>624</v>
      </c>
      <c r="E987" s="1" t="s">
        <v>337</v>
      </c>
      <c r="F987" s="1">
        <v>25682</v>
      </c>
      <c r="G987" s="1">
        <v>26047</v>
      </c>
      <c r="H987" s="1">
        <v>8943.2999999999975</v>
      </c>
      <c r="I987" s="1">
        <v>-8578.2999999999975</v>
      </c>
      <c r="J987" s="1">
        <v>34625.300000000003</v>
      </c>
      <c r="K987" s="1">
        <v>149</v>
      </c>
      <c r="L987" s="1">
        <v>60.022147651006698</v>
      </c>
      <c r="M987" s="1">
        <v>-142.9189113638142</v>
      </c>
      <c r="N987" s="7">
        <v>45947</v>
      </c>
      <c r="O987" s="1">
        <v>365</v>
      </c>
      <c r="P987" s="7">
        <v>46312</v>
      </c>
      <c r="Q987" s="1" t="s">
        <v>330</v>
      </c>
      <c r="T987" s="1" t="s">
        <v>625</v>
      </c>
      <c r="U987" s="1" t="s">
        <v>626</v>
      </c>
      <c r="V987" s="1">
        <v>1</v>
      </c>
      <c r="W987" s="3">
        <v>57923.55</v>
      </c>
      <c r="X987" s="3">
        <v>57923.55</v>
      </c>
      <c r="Y987" s="1" t="str">
        <f>VLOOKUP(A987,[1]Detalle!$D$2:$CR$484,93,FALSE)</f>
        <v>Arcor S.A.I.C.</v>
      </c>
    </row>
    <row r="988" spans="1:25" ht="14.25" customHeight="1" x14ac:dyDescent="0.3">
      <c r="A988" s="1" t="s">
        <v>637</v>
      </c>
      <c r="B988" s="1" t="s">
        <v>623</v>
      </c>
      <c r="C988" s="1" t="s">
        <v>623</v>
      </c>
      <c r="D988" s="1" t="s">
        <v>624</v>
      </c>
      <c r="E988" s="1" t="s">
        <v>337</v>
      </c>
      <c r="F988" s="1">
        <v>25682</v>
      </c>
      <c r="G988" s="1">
        <v>26047</v>
      </c>
      <c r="H988" s="1">
        <v>8943.2999999999975</v>
      </c>
      <c r="I988" s="1">
        <v>-8578.2999999999975</v>
      </c>
      <c r="J988" s="1">
        <v>34625.300000000003</v>
      </c>
      <c r="K988" s="1">
        <v>149</v>
      </c>
      <c r="L988" s="1">
        <v>60.022147651006698</v>
      </c>
      <c r="M988" s="1">
        <v>-142.9189113638142</v>
      </c>
      <c r="N988" s="7">
        <v>45947</v>
      </c>
      <c r="O988" s="1">
        <v>365</v>
      </c>
      <c r="P988" s="7">
        <v>46312</v>
      </c>
      <c r="Q988" s="1" t="s">
        <v>330</v>
      </c>
      <c r="T988" s="1" t="s">
        <v>627</v>
      </c>
      <c r="U988" s="1" t="s">
        <v>628</v>
      </c>
      <c r="V988" s="1">
        <v>1</v>
      </c>
      <c r="W988" s="3">
        <v>14370.83</v>
      </c>
      <c r="X988" s="3">
        <v>14370.83</v>
      </c>
      <c r="Y988" s="1" t="str">
        <f>VLOOKUP(A988,[1]Detalle!$D$2:$CR$484,93,FALSE)</f>
        <v>Arcor S.A.I.C.</v>
      </c>
    </row>
    <row r="989" spans="1:25" ht="14.25" customHeight="1" x14ac:dyDescent="0.3">
      <c r="A989" s="1" t="s">
        <v>637</v>
      </c>
      <c r="B989" s="1" t="s">
        <v>623</v>
      </c>
      <c r="C989" s="1" t="s">
        <v>623</v>
      </c>
      <c r="D989" s="1" t="s">
        <v>624</v>
      </c>
      <c r="E989" s="1" t="s">
        <v>337</v>
      </c>
      <c r="F989" s="1">
        <v>25682</v>
      </c>
      <c r="G989" s="1">
        <v>26047</v>
      </c>
      <c r="H989" s="1">
        <v>8943.2999999999975</v>
      </c>
      <c r="I989" s="1">
        <v>-8578.2999999999975</v>
      </c>
      <c r="J989" s="1">
        <v>34625.300000000003</v>
      </c>
      <c r="K989" s="1">
        <v>149</v>
      </c>
      <c r="L989" s="1">
        <v>60.022147651006698</v>
      </c>
      <c r="M989" s="1">
        <v>-142.9189113638142</v>
      </c>
      <c r="N989" s="7">
        <v>45947</v>
      </c>
      <c r="O989" s="1">
        <v>365</v>
      </c>
      <c r="P989" s="7">
        <v>46312</v>
      </c>
      <c r="Q989" s="1" t="s">
        <v>330</v>
      </c>
      <c r="T989" s="1" t="s">
        <v>629</v>
      </c>
      <c r="U989" s="1" t="s">
        <v>630</v>
      </c>
      <c r="V989" s="1">
        <v>1</v>
      </c>
      <c r="W989" s="3">
        <v>7200</v>
      </c>
      <c r="X989" s="3">
        <v>7200</v>
      </c>
      <c r="Y989" s="1" t="str">
        <f>VLOOKUP(A989,[1]Detalle!$D$2:$CR$484,93,FALSE)</f>
        <v>Arcor S.A.I.C.</v>
      </c>
    </row>
    <row r="990" spans="1:25" ht="14.25" customHeight="1" x14ac:dyDescent="0.3">
      <c r="A990" s="1" t="s">
        <v>637</v>
      </c>
      <c r="B990" s="1" t="s">
        <v>623</v>
      </c>
      <c r="C990" s="1" t="s">
        <v>623</v>
      </c>
      <c r="D990" s="1" t="s">
        <v>624</v>
      </c>
      <c r="E990" s="1" t="s">
        <v>337</v>
      </c>
      <c r="F990" s="1">
        <v>25682</v>
      </c>
      <c r="G990" s="1">
        <v>26047</v>
      </c>
      <c r="H990" s="1">
        <v>8943.2999999999975</v>
      </c>
      <c r="I990" s="1">
        <v>-8578.2999999999975</v>
      </c>
      <c r="J990" s="1">
        <v>34625.300000000003</v>
      </c>
      <c r="K990" s="1">
        <v>149</v>
      </c>
      <c r="L990" s="1">
        <v>60.022147651006698</v>
      </c>
      <c r="M990" s="1">
        <v>-142.9189113638142</v>
      </c>
      <c r="N990" s="7">
        <v>45947</v>
      </c>
      <c r="O990" s="1">
        <v>365</v>
      </c>
      <c r="P990" s="7">
        <v>46312</v>
      </c>
      <c r="Q990" s="1" t="s">
        <v>330</v>
      </c>
      <c r="T990" s="1" t="s">
        <v>631</v>
      </c>
      <c r="U990" s="1" t="s">
        <v>632</v>
      </c>
      <c r="V990" s="1">
        <v>1</v>
      </c>
      <c r="W990" s="3">
        <v>7286.36</v>
      </c>
      <c r="X990" s="3">
        <v>7286.36</v>
      </c>
      <c r="Y990" s="1" t="str">
        <f>VLOOKUP(A990,[1]Detalle!$D$2:$CR$484,93,FALSE)</f>
        <v>Arcor S.A.I.C.</v>
      </c>
    </row>
    <row r="991" spans="1:25" ht="14.25" customHeight="1" x14ac:dyDescent="0.3">
      <c r="A991" s="1" t="s">
        <v>637</v>
      </c>
      <c r="B991" s="1" t="s">
        <v>623</v>
      </c>
      <c r="C991" s="1" t="s">
        <v>623</v>
      </c>
      <c r="D991" s="1" t="s">
        <v>624</v>
      </c>
      <c r="E991" s="1" t="s">
        <v>337</v>
      </c>
      <c r="F991" s="1">
        <v>25682</v>
      </c>
      <c r="G991" s="1">
        <v>26047</v>
      </c>
      <c r="H991" s="1">
        <v>8943.2999999999975</v>
      </c>
      <c r="I991" s="1">
        <v>-8578.2999999999975</v>
      </c>
      <c r="J991" s="1">
        <v>34625.300000000003</v>
      </c>
      <c r="K991" s="1">
        <v>149</v>
      </c>
      <c r="L991" s="1">
        <v>60.022147651006698</v>
      </c>
      <c r="M991" s="1">
        <v>-142.9189113638142</v>
      </c>
      <c r="N991" s="7">
        <v>45947</v>
      </c>
      <c r="O991" s="1">
        <v>365</v>
      </c>
      <c r="P991" s="7">
        <v>46312</v>
      </c>
      <c r="Q991" s="1" t="s">
        <v>330</v>
      </c>
      <c r="T991" s="1" t="s">
        <v>633</v>
      </c>
      <c r="U991" s="1" t="s">
        <v>634</v>
      </c>
      <c r="V991" s="1">
        <v>4</v>
      </c>
      <c r="W991" s="3">
        <v>153102.49</v>
      </c>
      <c r="X991" s="3">
        <v>612409.96</v>
      </c>
      <c r="Y991" s="1" t="str">
        <f>VLOOKUP(A991,[1]Detalle!$D$2:$CR$484,93,FALSE)</f>
        <v>Arcor S.A.I.C.</v>
      </c>
    </row>
    <row r="992" spans="1:25" ht="14.25" customHeight="1" x14ac:dyDescent="0.3">
      <c r="A992" s="1" t="s">
        <v>638</v>
      </c>
      <c r="B992" s="1" t="s">
        <v>623</v>
      </c>
      <c r="C992" s="1" t="s">
        <v>623</v>
      </c>
      <c r="D992" s="1" t="s">
        <v>624</v>
      </c>
      <c r="E992" s="1" t="s">
        <v>337</v>
      </c>
      <c r="F992" s="1">
        <v>22616.400000000001</v>
      </c>
      <c r="G992" s="1">
        <v>22981.4</v>
      </c>
      <c r="H992" s="1">
        <v>0</v>
      </c>
      <c r="I992" s="1">
        <v>365</v>
      </c>
      <c r="J992" s="1">
        <v>22616.400000000001</v>
      </c>
      <c r="K992" s="1">
        <v>141</v>
      </c>
      <c r="L992" s="1">
        <v>100</v>
      </c>
      <c r="M992" s="1">
        <v>3.65</v>
      </c>
      <c r="N992" s="7">
        <v>45947</v>
      </c>
      <c r="O992" s="1">
        <v>365</v>
      </c>
      <c r="P992" s="7">
        <v>46312</v>
      </c>
      <c r="Q992" s="1" t="s">
        <v>330</v>
      </c>
      <c r="T992" s="1" t="s">
        <v>625</v>
      </c>
      <c r="U992" s="1" t="s">
        <v>626</v>
      </c>
      <c r="V992" s="1">
        <v>1</v>
      </c>
      <c r="W992" s="3">
        <v>57923.55</v>
      </c>
      <c r="X992" s="3">
        <v>57923.55</v>
      </c>
      <c r="Y992" s="1" t="str">
        <f>VLOOKUP(A992,[1]Detalle!$D$2:$CR$484,93,FALSE)</f>
        <v>Arcor S.A.I.C.</v>
      </c>
    </row>
    <row r="993" spans="1:25" ht="14.25" customHeight="1" x14ac:dyDescent="0.3">
      <c r="A993" s="1" t="s">
        <v>638</v>
      </c>
      <c r="B993" s="1" t="s">
        <v>623</v>
      </c>
      <c r="C993" s="1" t="s">
        <v>623</v>
      </c>
      <c r="D993" s="1" t="s">
        <v>624</v>
      </c>
      <c r="E993" s="1" t="s">
        <v>337</v>
      </c>
      <c r="F993" s="1">
        <v>22616.400000000001</v>
      </c>
      <c r="G993" s="1">
        <v>22981.4</v>
      </c>
      <c r="H993" s="1">
        <v>0</v>
      </c>
      <c r="I993" s="1">
        <v>365</v>
      </c>
      <c r="J993" s="1">
        <v>22616.400000000001</v>
      </c>
      <c r="K993" s="1">
        <v>141</v>
      </c>
      <c r="L993" s="1">
        <v>100</v>
      </c>
      <c r="M993" s="1">
        <v>3.65</v>
      </c>
      <c r="N993" s="7">
        <v>45947</v>
      </c>
      <c r="O993" s="1">
        <v>365</v>
      </c>
      <c r="P993" s="7">
        <v>46312</v>
      </c>
      <c r="Q993" s="1" t="s">
        <v>330</v>
      </c>
      <c r="T993" s="1" t="s">
        <v>627</v>
      </c>
      <c r="U993" s="1" t="s">
        <v>628</v>
      </c>
      <c r="V993" s="1">
        <v>1</v>
      </c>
      <c r="W993" s="3">
        <v>14370.83</v>
      </c>
      <c r="X993" s="3">
        <v>14370.83</v>
      </c>
      <c r="Y993" s="1" t="str">
        <f>VLOOKUP(A993,[1]Detalle!$D$2:$CR$484,93,FALSE)</f>
        <v>Arcor S.A.I.C.</v>
      </c>
    </row>
    <row r="994" spans="1:25" ht="14.25" customHeight="1" x14ac:dyDescent="0.3">
      <c r="A994" s="1" t="s">
        <v>638</v>
      </c>
      <c r="B994" s="1" t="s">
        <v>623</v>
      </c>
      <c r="C994" s="1" t="s">
        <v>623</v>
      </c>
      <c r="D994" s="1" t="s">
        <v>624</v>
      </c>
      <c r="E994" s="1" t="s">
        <v>337</v>
      </c>
      <c r="F994" s="1">
        <v>22616.400000000001</v>
      </c>
      <c r="G994" s="1">
        <v>22981.4</v>
      </c>
      <c r="H994" s="1">
        <v>0</v>
      </c>
      <c r="I994" s="1">
        <v>365</v>
      </c>
      <c r="J994" s="1">
        <v>22616.400000000001</v>
      </c>
      <c r="K994" s="1">
        <v>141</v>
      </c>
      <c r="L994" s="1">
        <v>100</v>
      </c>
      <c r="M994" s="1">
        <v>3.65</v>
      </c>
      <c r="N994" s="7">
        <v>45947</v>
      </c>
      <c r="O994" s="1">
        <v>365</v>
      </c>
      <c r="P994" s="7">
        <v>46312</v>
      </c>
      <c r="Q994" s="1" t="s">
        <v>330</v>
      </c>
      <c r="T994" s="1" t="s">
        <v>629</v>
      </c>
      <c r="U994" s="1" t="s">
        <v>630</v>
      </c>
      <c r="V994" s="1">
        <v>1</v>
      </c>
      <c r="W994" s="3">
        <v>7200</v>
      </c>
      <c r="X994" s="3">
        <v>7200</v>
      </c>
      <c r="Y994" s="1" t="str">
        <f>VLOOKUP(A994,[1]Detalle!$D$2:$CR$484,93,FALSE)</f>
        <v>Arcor S.A.I.C.</v>
      </c>
    </row>
    <row r="995" spans="1:25" ht="14.25" customHeight="1" x14ac:dyDescent="0.3">
      <c r="A995" s="1" t="s">
        <v>638</v>
      </c>
      <c r="B995" s="1" t="s">
        <v>623</v>
      </c>
      <c r="C995" s="1" t="s">
        <v>623</v>
      </c>
      <c r="D995" s="1" t="s">
        <v>624</v>
      </c>
      <c r="E995" s="1" t="s">
        <v>337</v>
      </c>
      <c r="F995" s="1">
        <v>22616.400000000001</v>
      </c>
      <c r="G995" s="1">
        <v>22981.4</v>
      </c>
      <c r="H995" s="1">
        <v>0</v>
      </c>
      <c r="I995" s="1">
        <v>365</v>
      </c>
      <c r="J995" s="1">
        <v>22616.400000000001</v>
      </c>
      <c r="K995" s="1">
        <v>141</v>
      </c>
      <c r="L995" s="1">
        <v>100</v>
      </c>
      <c r="M995" s="1">
        <v>3.65</v>
      </c>
      <c r="N995" s="7">
        <v>45947</v>
      </c>
      <c r="O995" s="1">
        <v>365</v>
      </c>
      <c r="P995" s="7">
        <v>46312</v>
      </c>
      <c r="Q995" s="1" t="s">
        <v>330</v>
      </c>
      <c r="T995" s="1" t="s">
        <v>631</v>
      </c>
      <c r="U995" s="1" t="s">
        <v>632</v>
      </c>
      <c r="V995" s="1">
        <v>1</v>
      </c>
      <c r="W995" s="3">
        <v>7286.36</v>
      </c>
      <c r="X995" s="3">
        <v>7286.36</v>
      </c>
      <c r="Y995" s="1" t="str">
        <f>VLOOKUP(A995,[1]Detalle!$D$2:$CR$484,93,FALSE)</f>
        <v>Arcor S.A.I.C.</v>
      </c>
    </row>
    <row r="996" spans="1:25" ht="14.25" customHeight="1" x14ac:dyDescent="0.3">
      <c r="A996" s="1" t="s">
        <v>638</v>
      </c>
      <c r="B996" s="1" t="s">
        <v>623</v>
      </c>
      <c r="C996" s="1" t="s">
        <v>623</v>
      </c>
      <c r="D996" s="1" t="s">
        <v>624</v>
      </c>
      <c r="E996" s="1" t="s">
        <v>337</v>
      </c>
      <c r="F996" s="1">
        <v>22616.400000000001</v>
      </c>
      <c r="G996" s="1">
        <v>22981.4</v>
      </c>
      <c r="H996" s="1">
        <v>0</v>
      </c>
      <c r="I996" s="1">
        <v>365</v>
      </c>
      <c r="J996" s="1">
        <v>22616.400000000001</v>
      </c>
      <c r="K996" s="1">
        <v>141</v>
      </c>
      <c r="L996" s="1">
        <v>100</v>
      </c>
      <c r="M996" s="1">
        <v>3.65</v>
      </c>
      <c r="N996" s="7">
        <v>45947</v>
      </c>
      <c r="O996" s="1">
        <v>365</v>
      </c>
      <c r="P996" s="7">
        <v>46312</v>
      </c>
      <c r="Q996" s="1" t="s">
        <v>330</v>
      </c>
      <c r="T996" s="1" t="s">
        <v>633</v>
      </c>
      <c r="U996" s="1" t="s">
        <v>634</v>
      </c>
      <c r="V996" s="1">
        <v>4</v>
      </c>
      <c r="W996" s="3">
        <v>153102.49</v>
      </c>
      <c r="X996" s="3">
        <v>612409.96</v>
      </c>
      <c r="Y996" s="1" t="str">
        <f>VLOOKUP(A996,[1]Detalle!$D$2:$CR$484,93,FALSE)</f>
        <v>Arcor S.A.I.C.</v>
      </c>
    </row>
    <row r="997" spans="1:25" ht="14.25" customHeight="1" x14ac:dyDescent="0.3">
      <c r="A997" s="1" t="s">
        <v>620</v>
      </c>
      <c r="B997" s="1" t="s">
        <v>623</v>
      </c>
      <c r="C997" s="1" t="s">
        <v>623</v>
      </c>
      <c r="D997" s="1" t="s">
        <v>624</v>
      </c>
      <c r="E997" s="1" t="s">
        <v>337</v>
      </c>
      <c r="N997" s="7">
        <v>45947</v>
      </c>
      <c r="O997" s="1">
        <v>365</v>
      </c>
      <c r="P997" s="7">
        <v>46312</v>
      </c>
      <c r="Q997" s="1" t="s">
        <v>330</v>
      </c>
      <c r="T997" s="1" t="s">
        <v>625</v>
      </c>
      <c r="U997" s="1" t="s">
        <v>626</v>
      </c>
      <c r="V997" s="1">
        <v>1</v>
      </c>
      <c r="W997" s="3">
        <v>57923.55</v>
      </c>
      <c r="X997" s="3">
        <v>57923.55</v>
      </c>
      <c r="Y997" s="1" t="str">
        <f>VLOOKUP(A997,[1]Detalle!$D$2:$CR$484,93,FALSE)</f>
        <v>CENCOMLD - Cencosud SA - Mendoza</v>
      </c>
    </row>
    <row r="998" spans="1:25" ht="14.25" customHeight="1" x14ac:dyDescent="0.3">
      <c r="A998" s="1" t="s">
        <v>620</v>
      </c>
      <c r="B998" s="1" t="s">
        <v>623</v>
      </c>
      <c r="C998" s="1" t="s">
        <v>623</v>
      </c>
      <c r="D998" s="1" t="s">
        <v>624</v>
      </c>
      <c r="E998" s="1" t="s">
        <v>337</v>
      </c>
      <c r="N998" s="7">
        <v>45947</v>
      </c>
      <c r="O998" s="1">
        <v>365</v>
      </c>
      <c r="P998" s="7">
        <v>46312</v>
      </c>
      <c r="Q998" s="1" t="s">
        <v>330</v>
      </c>
      <c r="T998" s="1" t="s">
        <v>627</v>
      </c>
      <c r="U998" s="1" t="s">
        <v>628</v>
      </c>
      <c r="V998" s="1">
        <v>1</v>
      </c>
      <c r="W998" s="3">
        <v>14370.83</v>
      </c>
      <c r="X998" s="3">
        <v>14370.83</v>
      </c>
      <c r="Y998" s="1" t="str">
        <f>VLOOKUP(A998,[1]Detalle!$D$2:$CR$484,93,FALSE)</f>
        <v>CENCOMLD - Cencosud SA - Mendoza</v>
      </c>
    </row>
    <row r="999" spans="1:25" ht="14.25" customHeight="1" x14ac:dyDescent="0.3">
      <c r="A999" s="1" t="s">
        <v>620</v>
      </c>
      <c r="B999" s="1" t="s">
        <v>623</v>
      </c>
      <c r="C999" s="1" t="s">
        <v>623</v>
      </c>
      <c r="D999" s="1" t="s">
        <v>624</v>
      </c>
      <c r="E999" s="1" t="s">
        <v>337</v>
      </c>
      <c r="N999" s="7">
        <v>45947</v>
      </c>
      <c r="O999" s="1">
        <v>365</v>
      </c>
      <c r="P999" s="7">
        <v>46312</v>
      </c>
      <c r="Q999" s="1" t="s">
        <v>330</v>
      </c>
      <c r="T999" s="1" t="s">
        <v>629</v>
      </c>
      <c r="U999" s="1" t="s">
        <v>630</v>
      </c>
      <c r="V999" s="1">
        <v>1</v>
      </c>
      <c r="W999" s="3">
        <v>7200</v>
      </c>
      <c r="X999" s="3">
        <v>7200</v>
      </c>
      <c r="Y999" s="1" t="str">
        <f>VLOOKUP(A999,[1]Detalle!$D$2:$CR$484,93,FALSE)</f>
        <v>CENCOMLD - Cencosud SA - Mendoza</v>
      </c>
    </row>
    <row r="1000" spans="1:25" ht="14.25" customHeight="1" x14ac:dyDescent="0.3">
      <c r="A1000" s="1" t="s">
        <v>620</v>
      </c>
      <c r="B1000" s="1" t="s">
        <v>623</v>
      </c>
      <c r="C1000" s="1" t="s">
        <v>623</v>
      </c>
      <c r="D1000" s="1" t="s">
        <v>624</v>
      </c>
      <c r="E1000" s="1" t="s">
        <v>337</v>
      </c>
      <c r="N1000" s="7">
        <v>45947</v>
      </c>
      <c r="O1000" s="1">
        <v>365</v>
      </c>
      <c r="P1000" s="7">
        <v>46312</v>
      </c>
      <c r="Q1000" s="1" t="s">
        <v>330</v>
      </c>
      <c r="T1000" s="1" t="s">
        <v>631</v>
      </c>
      <c r="U1000" s="1" t="s">
        <v>632</v>
      </c>
      <c r="V1000" s="1">
        <v>1</v>
      </c>
      <c r="W1000" s="3">
        <v>7286.36</v>
      </c>
      <c r="X1000" s="3">
        <v>7286.36</v>
      </c>
      <c r="Y1000" s="1" t="str">
        <f>VLOOKUP(A1000,[1]Detalle!$D$2:$CR$484,93,FALSE)</f>
        <v>CENCOMLD - Cencosud SA - Mendoza</v>
      </c>
    </row>
    <row r="1001" spans="1:25" ht="14.25" customHeight="1" x14ac:dyDescent="0.3">
      <c r="A1001" s="1" t="s">
        <v>620</v>
      </c>
      <c r="B1001" s="1" t="s">
        <v>623</v>
      </c>
      <c r="C1001" s="1" t="s">
        <v>623</v>
      </c>
      <c r="D1001" s="1" t="s">
        <v>624</v>
      </c>
      <c r="E1001" s="1" t="s">
        <v>337</v>
      </c>
      <c r="N1001" s="7">
        <v>45947</v>
      </c>
      <c r="O1001" s="1">
        <v>365</v>
      </c>
      <c r="P1001" s="7">
        <v>46312</v>
      </c>
      <c r="Q1001" s="1" t="s">
        <v>330</v>
      </c>
      <c r="T1001" s="1" t="s">
        <v>633</v>
      </c>
      <c r="U1001" s="1" t="s">
        <v>634</v>
      </c>
      <c r="V1001" s="1">
        <v>4</v>
      </c>
      <c r="W1001" s="3">
        <v>153102.49</v>
      </c>
      <c r="X1001" s="3">
        <v>612409.96</v>
      </c>
      <c r="Y1001" s="1" t="str">
        <f>VLOOKUP(A1001,[1]Detalle!$D$2:$CR$484,93,FALSE)</f>
        <v>CENCOMLD - Cencosud SA - Mendoza</v>
      </c>
    </row>
    <row r="1002" spans="1:25" ht="14.25" customHeight="1" x14ac:dyDescent="0.3">
      <c r="A1002" s="1" t="s">
        <v>639</v>
      </c>
      <c r="B1002" s="1" t="s">
        <v>623</v>
      </c>
      <c r="C1002" s="1" t="s">
        <v>623</v>
      </c>
      <c r="D1002" s="1" t="s">
        <v>624</v>
      </c>
      <c r="E1002" s="1" t="s">
        <v>337</v>
      </c>
      <c r="N1002" s="7">
        <v>45947</v>
      </c>
      <c r="O1002" s="1">
        <v>365</v>
      </c>
      <c r="P1002" s="7">
        <v>46312</v>
      </c>
      <c r="Q1002" s="1" t="s">
        <v>330</v>
      </c>
      <c r="T1002" s="1" t="s">
        <v>625</v>
      </c>
      <c r="U1002" s="1" t="s">
        <v>626</v>
      </c>
      <c r="V1002" s="1">
        <v>1</v>
      </c>
      <c r="W1002" s="3">
        <v>57923.55</v>
      </c>
      <c r="X1002" s="3">
        <v>57923.55</v>
      </c>
      <c r="Y1002" s="1" t="str">
        <f>VLOOKUP(A1002,[1]Detalle!$D$2:$CR$484,93,FALSE)</f>
        <v>CENCOMLD - Cencosud SA - Mendoza</v>
      </c>
    </row>
    <row r="1003" spans="1:25" ht="14.25" customHeight="1" x14ac:dyDescent="0.3">
      <c r="A1003" s="1" t="s">
        <v>639</v>
      </c>
      <c r="B1003" s="1" t="s">
        <v>623</v>
      </c>
      <c r="C1003" s="1" t="s">
        <v>623</v>
      </c>
      <c r="D1003" s="1" t="s">
        <v>624</v>
      </c>
      <c r="E1003" s="1" t="s">
        <v>337</v>
      </c>
      <c r="N1003" s="7">
        <v>45947</v>
      </c>
      <c r="O1003" s="1">
        <v>365</v>
      </c>
      <c r="P1003" s="7">
        <v>46312</v>
      </c>
      <c r="Q1003" s="1" t="s">
        <v>330</v>
      </c>
      <c r="T1003" s="1" t="s">
        <v>627</v>
      </c>
      <c r="U1003" s="1" t="s">
        <v>628</v>
      </c>
      <c r="V1003" s="1">
        <v>1</v>
      </c>
      <c r="W1003" s="3">
        <v>14370.83</v>
      </c>
      <c r="X1003" s="3">
        <v>14370.83</v>
      </c>
      <c r="Y1003" s="1" t="str">
        <f>VLOOKUP(A1003,[1]Detalle!$D$2:$CR$484,93,FALSE)</f>
        <v>CENCOMLD - Cencosud SA - Mendoza</v>
      </c>
    </row>
    <row r="1004" spans="1:25" ht="14.25" customHeight="1" x14ac:dyDescent="0.3">
      <c r="A1004" s="1" t="s">
        <v>639</v>
      </c>
      <c r="B1004" s="1" t="s">
        <v>623</v>
      </c>
      <c r="C1004" s="1" t="s">
        <v>623</v>
      </c>
      <c r="D1004" s="1" t="s">
        <v>624</v>
      </c>
      <c r="E1004" s="1" t="s">
        <v>337</v>
      </c>
      <c r="N1004" s="7">
        <v>45947</v>
      </c>
      <c r="O1004" s="1">
        <v>365</v>
      </c>
      <c r="P1004" s="7">
        <v>46312</v>
      </c>
      <c r="Q1004" s="1" t="s">
        <v>330</v>
      </c>
      <c r="T1004" s="1" t="s">
        <v>629</v>
      </c>
      <c r="U1004" s="1" t="s">
        <v>630</v>
      </c>
      <c r="V1004" s="1">
        <v>1</v>
      </c>
      <c r="W1004" s="3">
        <v>7200</v>
      </c>
      <c r="X1004" s="3">
        <v>7200</v>
      </c>
      <c r="Y1004" s="1" t="str">
        <f>VLOOKUP(A1004,[1]Detalle!$D$2:$CR$484,93,FALSE)</f>
        <v>CENCOMLD - Cencosud SA - Mendoza</v>
      </c>
    </row>
    <row r="1005" spans="1:25" ht="14.25" customHeight="1" x14ac:dyDescent="0.3">
      <c r="A1005" s="1" t="s">
        <v>639</v>
      </c>
      <c r="B1005" s="1" t="s">
        <v>623</v>
      </c>
      <c r="C1005" s="1" t="s">
        <v>623</v>
      </c>
      <c r="D1005" s="1" t="s">
        <v>624</v>
      </c>
      <c r="E1005" s="1" t="s">
        <v>337</v>
      </c>
      <c r="N1005" s="7">
        <v>45947</v>
      </c>
      <c r="O1005" s="1">
        <v>365</v>
      </c>
      <c r="P1005" s="7">
        <v>46312</v>
      </c>
      <c r="Q1005" s="1" t="s">
        <v>330</v>
      </c>
      <c r="T1005" s="1" t="s">
        <v>631</v>
      </c>
      <c r="U1005" s="1" t="s">
        <v>632</v>
      </c>
      <c r="V1005" s="1">
        <v>1</v>
      </c>
      <c r="W1005" s="3">
        <v>7286.36</v>
      </c>
      <c r="X1005" s="3">
        <v>7286.36</v>
      </c>
      <c r="Y1005" s="1" t="str">
        <f>VLOOKUP(A1005,[1]Detalle!$D$2:$CR$484,93,FALSE)</f>
        <v>CENCOMLD - Cencosud SA - Mendoza</v>
      </c>
    </row>
    <row r="1006" spans="1:25" ht="14.25" customHeight="1" x14ac:dyDescent="0.3">
      <c r="A1006" s="1" t="s">
        <v>639</v>
      </c>
      <c r="B1006" s="1" t="s">
        <v>623</v>
      </c>
      <c r="C1006" s="1" t="s">
        <v>623</v>
      </c>
      <c r="D1006" s="1" t="s">
        <v>624</v>
      </c>
      <c r="E1006" s="1" t="s">
        <v>337</v>
      </c>
      <c r="N1006" s="7">
        <v>45947</v>
      </c>
      <c r="O1006" s="1">
        <v>365</v>
      </c>
      <c r="P1006" s="7">
        <v>46312</v>
      </c>
      <c r="Q1006" s="1" t="s">
        <v>330</v>
      </c>
      <c r="T1006" s="1" t="s">
        <v>633</v>
      </c>
      <c r="U1006" s="1" t="s">
        <v>634</v>
      </c>
      <c r="V1006" s="1">
        <v>4</v>
      </c>
      <c r="W1006" s="3">
        <v>153102.49</v>
      </c>
      <c r="X1006" s="3">
        <v>612409.96</v>
      </c>
      <c r="Y1006" s="1" t="str">
        <f>VLOOKUP(A1006,[1]Detalle!$D$2:$CR$484,93,FALSE)</f>
        <v>CENCOMLD - Cencosud SA - Mendoza</v>
      </c>
    </row>
    <row r="1007" spans="1:25" ht="14.25" customHeight="1" x14ac:dyDescent="0.3">
      <c r="A1007" s="1" t="s">
        <v>640</v>
      </c>
      <c r="B1007" s="1" t="s">
        <v>623</v>
      </c>
      <c r="C1007" s="1" t="s">
        <v>623</v>
      </c>
      <c r="D1007" s="1" t="s">
        <v>624</v>
      </c>
      <c r="E1007" s="1" t="s">
        <v>337</v>
      </c>
      <c r="N1007" s="7">
        <v>45947</v>
      </c>
      <c r="O1007" s="1">
        <v>365</v>
      </c>
      <c r="P1007" s="7">
        <v>46312</v>
      </c>
      <c r="Q1007" s="1" t="s">
        <v>330</v>
      </c>
      <c r="T1007" s="1" t="s">
        <v>625</v>
      </c>
      <c r="U1007" s="1" t="s">
        <v>626</v>
      </c>
      <c r="V1007" s="1">
        <v>1</v>
      </c>
      <c r="W1007" s="3">
        <v>57923.55</v>
      </c>
      <c r="X1007" s="3">
        <v>57923.55</v>
      </c>
      <c r="Y1007" s="1" t="str">
        <f>VLOOKUP(A1007,[1]Detalle!$D$2:$CR$484,93,FALSE)</f>
        <v>Expreso - Servicios Troncales</v>
      </c>
    </row>
    <row r="1008" spans="1:25" ht="14.25" customHeight="1" x14ac:dyDescent="0.3">
      <c r="A1008" s="1" t="s">
        <v>640</v>
      </c>
      <c r="B1008" s="1" t="s">
        <v>623</v>
      </c>
      <c r="C1008" s="1" t="s">
        <v>623</v>
      </c>
      <c r="D1008" s="1" t="s">
        <v>624</v>
      </c>
      <c r="E1008" s="1" t="s">
        <v>337</v>
      </c>
      <c r="N1008" s="7">
        <v>45947</v>
      </c>
      <c r="O1008" s="1">
        <v>365</v>
      </c>
      <c r="P1008" s="7">
        <v>46312</v>
      </c>
      <c r="Q1008" s="1" t="s">
        <v>330</v>
      </c>
      <c r="T1008" s="1" t="s">
        <v>627</v>
      </c>
      <c r="U1008" s="1" t="s">
        <v>628</v>
      </c>
      <c r="V1008" s="1">
        <v>1</v>
      </c>
      <c r="W1008" s="3">
        <v>14370.83</v>
      </c>
      <c r="X1008" s="3">
        <v>14370.83</v>
      </c>
      <c r="Y1008" s="1" t="str">
        <f>VLOOKUP(A1008,[1]Detalle!$D$2:$CR$484,93,FALSE)</f>
        <v>Expreso - Servicios Troncales</v>
      </c>
    </row>
    <row r="1009" spans="1:25" ht="14.25" customHeight="1" x14ac:dyDescent="0.3">
      <c r="A1009" s="1" t="s">
        <v>640</v>
      </c>
      <c r="B1009" s="1" t="s">
        <v>623</v>
      </c>
      <c r="C1009" s="1" t="s">
        <v>623</v>
      </c>
      <c r="D1009" s="1" t="s">
        <v>624</v>
      </c>
      <c r="E1009" s="1" t="s">
        <v>337</v>
      </c>
      <c r="N1009" s="7">
        <v>45947</v>
      </c>
      <c r="O1009" s="1">
        <v>365</v>
      </c>
      <c r="P1009" s="7">
        <v>46312</v>
      </c>
      <c r="Q1009" s="1" t="s">
        <v>330</v>
      </c>
      <c r="T1009" s="1" t="s">
        <v>629</v>
      </c>
      <c r="U1009" s="1" t="s">
        <v>630</v>
      </c>
      <c r="V1009" s="1">
        <v>1</v>
      </c>
      <c r="W1009" s="3">
        <v>7200</v>
      </c>
      <c r="X1009" s="3">
        <v>7200</v>
      </c>
      <c r="Y1009" s="1" t="str">
        <f>VLOOKUP(A1009,[1]Detalle!$D$2:$CR$484,93,FALSE)</f>
        <v>Expreso - Servicios Troncales</v>
      </c>
    </row>
    <row r="1010" spans="1:25" ht="14.25" customHeight="1" x14ac:dyDescent="0.3">
      <c r="A1010" s="1" t="s">
        <v>640</v>
      </c>
      <c r="B1010" s="1" t="s">
        <v>623</v>
      </c>
      <c r="C1010" s="1" t="s">
        <v>623</v>
      </c>
      <c r="D1010" s="1" t="s">
        <v>624</v>
      </c>
      <c r="E1010" s="1" t="s">
        <v>337</v>
      </c>
      <c r="N1010" s="7">
        <v>45947</v>
      </c>
      <c r="O1010" s="1">
        <v>365</v>
      </c>
      <c r="P1010" s="7">
        <v>46312</v>
      </c>
      <c r="Q1010" s="1" t="s">
        <v>330</v>
      </c>
      <c r="T1010" s="1" t="s">
        <v>631</v>
      </c>
      <c r="U1010" s="1" t="s">
        <v>632</v>
      </c>
      <c r="V1010" s="1">
        <v>1</v>
      </c>
      <c r="W1010" s="3">
        <v>7286.36</v>
      </c>
      <c r="X1010" s="3">
        <v>7286.36</v>
      </c>
      <c r="Y1010" s="1" t="str">
        <f>VLOOKUP(A1010,[1]Detalle!$D$2:$CR$484,93,FALSE)</f>
        <v>Expreso - Servicios Troncales</v>
      </c>
    </row>
    <row r="1011" spans="1:25" ht="14.25" customHeight="1" x14ac:dyDescent="0.3">
      <c r="A1011" s="1" t="s">
        <v>640</v>
      </c>
      <c r="B1011" s="1" t="s">
        <v>623</v>
      </c>
      <c r="C1011" s="1" t="s">
        <v>623</v>
      </c>
      <c r="D1011" s="1" t="s">
        <v>624</v>
      </c>
      <c r="E1011" s="1" t="s">
        <v>337</v>
      </c>
      <c r="N1011" s="7">
        <v>45947</v>
      </c>
      <c r="O1011" s="1">
        <v>365</v>
      </c>
      <c r="P1011" s="7">
        <v>46312</v>
      </c>
      <c r="Q1011" s="1" t="s">
        <v>330</v>
      </c>
      <c r="T1011" s="1" t="s">
        <v>633</v>
      </c>
      <c r="U1011" s="1" t="s">
        <v>634</v>
      </c>
      <c r="V1011" s="1">
        <v>4</v>
      </c>
      <c r="W1011" s="3">
        <v>153102.49</v>
      </c>
      <c r="X1011" s="3">
        <v>612409.96</v>
      </c>
      <c r="Y1011" s="1" t="str">
        <f>VLOOKUP(A1011,[1]Detalle!$D$2:$CR$484,93,FALSE)</f>
        <v>Expreso - Servicios Troncales</v>
      </c>
    </row>
    <row r="1012" spans="1:25" ht="14.25" customHeight="1" x14ac:dyDescent="0.3">
      <c r="A1012" s="1" t="s">
        <v>621</v>
      </c>
      <c r="B1012" s="1" t="s">
        <v>623</v>
      </c>
      <c r="C1012" s="1" t="s">
        <v>623</v>
      </c>
      <c r="D1012" s="1" t="s">
        <v>624</v>
      </c>
      <c r="E1012" s="1" t="s">
        <v>337</v>
      </c>
      <c r="N1012" s="7">
        <v>45947</v>
      </c>
      <c r="O1012" s="1">
        <v>365</v>
      </c>
      <c r="P1012" s="7">
        <v>46312</v>
      </c>
      <c r="Q1012" s="1" t="s">
        <v>330</v>
      </c>
      <c r="T1012" s="1" t="s">
        <v>625</v>
      </c>
      <c r="U1012" s="1" t="s">
        <v>626</v>
      </c>
      <c r="V1012" s="1">
        <v>1</v>
      </c>
      <c r="W1012" s="3">
        <v>57923.55</v>
      </c>
      <c r="X1012" s="3">
        <v>57923.55</v>
      </c>
      <c r="Y1012" s="1" t="str">
        <f>VLOOKUP(A1012,[1]Detalle!$D$2:$CR$484,93,FALSE)</f>
        <v>CENCOMLD - Cencosud SA - Mendoza</v>
      </c>
    </row>
    <row r="1013" spans="1:25" ht="14.25" customHeight="1" x14ac:dyDescent="0.3">
      <c r="A1013" s="1" t="s">
        <v>621</v>
      </c>
      <c r="B1013" s="1" t="s">
        <v>623</v>
      </c>
      <c r="C1013" s="1" t="s">
        <v>623</v>
      </c>
      <c r="D1013" s="1" t="s">
        <v>624</v>
      </c>
      <c r="E1013" s="1" t="s">
        <v>337</v>
      </c>
      <c r="N1013" s="7">
        <v>45947</v>
      </c>
      <c r="O1013" s="1">
        <v>365</v>
      </c>
      <c r="P1013" s="7">
        <v>46312</v>
      </c>
      <c r="Q1013" s="1" t="s">
        <v>330</v>
      </c>
      <c r="T1013" s="1" t="s">
        <v>627</v>
      </c>
      <c r="U1013" s="1" t="s">
        <v>628</v>
      </c>
      <c r="V1013" s="1">
        <v>1</v>
      </c>
      <c r="W1013" s="3">
        <v>14370.83</v>
      </c>
      <c r="X1013" s="3">
        <v>14370.83</v>
      </c>
      <c r="Y1013" s="1" t="str">
        <f>VLOOKUP(A1013,[1]Detalle!$D$2:$CR$484,93,FALSE)</f>
        <v>CENCOMLD - Cencosud SA - Mendoza</v>
      </c>
    </row>
    <row r="1014" spans="1:25" ht="14.25" customHeight="1" x14ac:dyDescent="0.3">
      <c r="A1014" s="1" t="s">
        <v>621</v>
      </c>
      <c r="B1014" s="1" t="s">
        <v>623</v>
      </c>
      <c r="C1014" s="1" t="s">
        <v>623</v>
      </c>
      <c r="D1014" s="1" t="s">
        <v>624</v>
      </c>
      <c r="E1014" s="1" t="s">
        <v>337</v>
      </c>
      <c r="N1014" s="7">
        <v>45947</v>
      </c>
      <c r="O1014" s="1">
        <v>365</v>
      </c>
      <c r="P1014" s="7">
        <v>46312</v>
      </c>
      <c r="Q1014" s="1" t="s">
        <v>330</v>
      </c>
      <c r="T1014" s="1" t="s">
        <v>629</v>
      </c>
      <c r="U1014" s="1" t="s">
        <v>630</v>
      </c>
      <c r="V1014" s="1">
        <v>1</v>
      </c>
      <c r="W1014" s="3">
        <v>7200</v>
      </c>
      <c r="X1014" s="3">
        <v>7200</v>
      </c>
      <c r="Y1014" s="1" t="str">
        <f>VLOOKUP(A1014,[1]Detalle!$D$2:$CR$484,93,FALSE)</f>
        <v>CENCOMLD - Cencosud SA - Mendoza</v>
      </c>
    </row>
    <row r="1015" spans="1:25" ht="14.25" customHeight="1" x14ac:dyDescent="0.3">
      <c r="A1015" s="1" t="s">
        <v>621</v>
      </c>
      <c r="B1015" s="1" t="s">
        <v>623</v>
      </c>
      <c r="C1015" s="1" t="s">
        <v>623</v>
      </c>
      <c r="D1015" s="1" t="s">
        <v>624</v>
      </c>
      <c r="E1015" s="1" t="s">
        <v>337</v>
      </c>
      <c r="N1015" s="7">
        <v>45947</v>
      </c>
      <c r="O1015" s="1">
        <v>365</v>
      </c>
      <c r="P1015" s="7">
        <v>46312</v>
      </c>
      <c r="Q1015" s="1" t="s">
        <v>330</v>
      </c>
      <c r="T1015" s="1" t="s">
        <v>631</v>
      </c>
      <c r="U1015" s="1" t="s">
        <v>632</v>
      </c>
      <c r="V1015" s="1">
        <v>1</v>
      </c>
      <c r="W1015" s="3">
        <v>7286.36</v>
      </c>
      <c r="X1015" s="3">
        <v>7286.36</v>
      </c>
      <c r="Y1015" s="1" t="str">
        <f>VLOOKUP(A1015,[1]Detalle!$D$2:$CR$484,93,FALSE)</f>
        <v>CENCOMLD - Cencosud SA - Mendoza</v>
      </c>
    </row>
    <row r="1016" spans="1:25" ht="14.25" customHeight="1" x14ac:dyDescent="0.3">
      <c r="A1016" s="1" t="s">
        <v>621</v>
      </c>
      <c r="B1016" s="1" t="s">
        <v>623</v>
      </c>
      <c r="C1016" s="1" t="s">
        <v>623</v>
      </c>
      <c r="D1016" s="1" t="s">
        <v>624</v>
      </c>
      <c r="E1016" s="1" t="s">
        <v>337</v>
      </c>
      <c r="N1016" s="7">
        <v>45947</v>
      </c>
      <c r="O1016" s="1">
        <v>365</v>
      </c>
      <c r="P1016" s="7">
        <v>46312</v>
      </c>
      <c r="Q1016" s="1" t="s">
        <v>330</v>
      </c>
      <c r="T1016" s="1" t="s">
        <v>633</v>
      </c>
      <c r="U1016" s="1" t="s">
        <v>634</v>
      </c>
      <c r="V1016" s="1">
        <v>4</v>
      </c>
      <c r="W1016" s="3">
        <v>153102.49</v>
      </c>
      <c r="X1016" s="3">
        <v>612409.96</v>
      </c>
      <c r="Y1016" s="1" t="str">
        <f>VLOOKUP(A1016,[1]Detalle!$D$2:$CR$484,93,FALSE)</f>
        <v>CENCOMLD - Cencosud SA - Mendoza</v>
      </c>
    </row>
    <row r="1017" spans="1:25" ht="14.25" customHeight="1" x14ac:dyDescent="0.3">
      <c r="A1017" s="1" t="s">
        <v>641</v>
      </c>
      <c r="B1017" s="1" t="s">
        <v>623</v>
      </c>
      <c r="C1017" s="1" t="s">
        <v>623</v>
      </c>
      <c r="D1017" s="1" t="s">
        <v>624</v>
      </c>
      <c r="E1017" s="1" t="s">
        <v>337</v>
      </c>
      <c r="N1017" s="7">
        <v>45947</v>
      </c>
      <c r="O1017" s="1">
        <v>365</v>
      </c>
      <c r="P1017" s="7">
        <v>46312</v>
      </c>
      <c r="Q1017" s="1" t="s">
        <v>330</v>
      </c>
      <c r="T1017" s="1" t="s">
        <v>625</v>
      </c>
      <c r="U1017" s="1" t="s">
        <v>626</v>
      </c>
      <c r="V1017" s="1">
        <v>1</v>
      </c>
      <c r="W1017" s="3">
        <v>57923.55</v>
      </c>
      <c r="X1017" s="3">
        <v>57923.55</v>
      </c>
      <c r="Y1017" s="1" t="str">
        <f>VLOOKUP(A1017,[1]Detalle!$D$2:$CR$484,93,FALSE)</f>
        <v>CENCOMLD - Cencosud SA - Mendoza</v>
      </c>
    </row>
    <row r="1018" spans="1:25" ht="14.25" customHeight="1" x14ac:dyDescent="0.3">
      <c r="A1018" s="1" t="s">
        <v>641</v>
      </c>
      <c r="B1018" s="1" t="s">
        <v>623</v>
      </c>
      <c r="C1018" s="1" t="s">
        <v>623</v>
      </c>
      <c r="D1018" s="1" t="s">
        <v>624</v>
      </c>
      <c r="E1018" s="1" t="s">
        <v>337</v>
      </c>
      <c r="N1018" s="7">
        <v>45947</v>
      </c>
      <c r="O1018" s="1">
        <v>365</v>
      </c>
      <c r="P1018" s="7">
        <v>46312</v>
      </c>
      <c r="Q1018" s="1" t="s">
        <v>330</v>
      </c>
      <c r="T1018" s="1" t="s">
        <v>627</v>
      </c>
      <c r="U1018" s="1" t="s">
        <v>628</v>
      </c>
      <c r="V1018" s="1">
        <v>1</v>
      </c>
      <c r="W1018" s="3">
        <v>14370.83</v>
      </c>
      <c r="X1018" s="3">
        <v>14370.83</v>
      </c>
      <c r="Y1018" s="1" t="str">
        <f>VLOOKUP(A1018,[1]Detalle!$D$2:$CR$484,93,FALSE)</f>
        <v>CENCOMLD - Cencosud SA - Mendoza</v>
      </c>
    </row>
    <row r="1019" spans="1:25" ht="14.25" customHeight="1" x14ac:dyDescent="0.3">
      <c r="A1019" s="1" t="s">
        <v>641</v>
      </c>
      <c r="B1019" s="1" t="s">
        <v>623</v>
      </c>
      <c r="C1019" s="1" t="s">
        <v>623</v>
      </c>
      <c r="D1019" s="1" t="s">
        <v>624</v>
      </c>
      <c r="E1019" s="1" t="s">
        <v>337</v>
      </c>
      <c r="N1019" s="7">
        <v>45947</v>
      </c>
      <c r="O1019" s="1">
        <v>365</v>
      </c>
      <c r="P1019" s="7">
        <v>46312</v>
      </c>
      <c r="Q1019" s="1" t="s">
        <v>330</v>
      </c>
      <c r="T1019" s="1" t="s">
        <v>629</v>
      </c>
      <c r="U1019" s="1" t="s">
        <v>630</v>
      </c>
      <c r="V1019" s="1">
        <v>1</v>
      </c>
      <c r="W1019" s="3">
        <v>7200</v>
      </c>
      <c r="X1019" s="3">
        <v>7200</v>
      </c>
      <c r="Y1019" s="1" t="str">
        <f>VLOOKUP(A1019,[1]Detalle!$D$2:$CR$484,93,FALSE)</f>
        <v>CENCOMLD - Cencosud SA - Mendoza</v>
      </c>
    </row>
    <row r="1020" spans="1:25" ht="14.25" customHeight="1" x14ac:dyDescent="0.3">
      <c r="A1020" s="1" t="s">
        <v>641</v>
      </c>
      <c r="B1020" s="1" t="s">
        <v>623</v>
      </c>
      <c r="C1020" s="1" t="s">
        <v>623</v>
      </c>
      <c r="D1020" s="1" t="s">
        <v>624</v>
      </c>
      <c r="E1020" s="1" t="s">
        <v>337</v>
      </c>
      <c r="N1020" s="7">
        <v>45947</v>
      </c>
      <c r="O1020" s="1">
        <v>365</v>
      </c>
      <c r="P1020" s="7">
        <v>46312</v>
      </c>
      <c r="Q1020" s="1" t="s">
        <v>330</v>
      </c>
      <c r="T1020" s="1" t="s">
        <v>631</v>
      </c>
      <c r="U1020" s="1" t="s">
        <v>632</v>
      </c>
      <c r="V1020" s="1">
        <v>1</v>
      </c>
      <c r="W1020" s="3">
        <v>7286.36</v>
      </c>
      <c r="X1020" s="3">
        <v>7286.36</v>
      </c>
      <c r="Y1020" s="1" t="str">
        <f>VLOOKUP(A1020,[1]Detalle!$D$2:$CR$484,93,FALSE)</f>
        <v>CENCOMLD - Cencosud SA - Mendoza</v>
      </c>
    </row>
    <row r="1021" spans="1:25" ht="14.25" customHeight="1" x14ac:dyDescent="0.3">
      <c r="A1021" s="1" t="s">
        <v>641</v>
      </c>
      <c r="B1021" s="1" t="s">
        <v>623</v>
      </c>
      <c r="C1021" s="1" t="s">
        <v>623</v>
      </c>
      <c r="D1021" s="1" t="s">
        <v>624</v>
      </c>
      <c r="E1021" s="1" t="s">
        <v>337</v>
      </c>
      <c r="N1021" s="7">
        <v>45947</v>
      </c>
      <c r="O1021" s="1">
        <v>365</v>
      </c>
      <c r="P1021" s="7">
        <v>46312</v>
      </c>
      <c r="Q1021" s="1" t="s">
        <v>330</v>
      </c>
      <c r="T1021" s="1" t="s">
        <v>633</v>
      </c>
      <c r="U1021" s="1" t="s">
        <v>634</v>
      </c>
      <c r="V1021" s="1">
        <v>4</v>
      </c>
      <c r="W1021" s="3">
        <v>153102.49</v>
      </c>
      <c r="X1021" s="3">
        <v>612409.96</v>
      </c>
      <c r="Y1021" s="1" t="str">
        <f>VLOOKUP(A1021,[1]Detalle!$D$2:$CR$484,93,FALSE)</f>
        <v>CENCOMLD - Cencosud SA - Mendoza</v>
      </c>
    </row>
    <row r="1022" spans="1:25" ht="14.25" customHeight="1" x14ac:dyDescent="0.3">
      <c r="A1022" s="1" t="s">
        <v>642</v>
      </c>
      <c r="B1022" s="1" t="s">
        <v>623</v>
      </c>
      <c r="C1022" s="1" t="s">
        <v>623</v>
      </c>
      <c r="D1022" s="1" t="s">
        <v>624</v>
      </c>
      <c r="E1022" s="1" t="s">
        <v>337</v>
      </c>
      <c r="N1022" s="7">
        <v>45947</v>
      </c>
      <c r="O1022" s="1">
        <v>365</v>
      </c>
      <c r="P1022" s="7">
        <v>46312</v>
      </c>
      <c r="Q1022" s="1" t="s">
        <v>330</v>
      </c>
      <c r="T1022" s="1" t="s">
        <v>625</v>
      </c>
      <c r="U1022" s="1" t="s">
        <v>626</v>
      </c>
      <c r="V1022" s="1">
        <v>1</v>
      </c>
      <c r="W1022" s="3">
        <v>57923.55</v>
      </c>
      <c r="X1022" s="3">
        <v>57923.55</v>
      </c>
      <c r="Y1022" s="1" t="str">
        <f>VLOOKUP(A1022,[1]Detalle!$D$2:$CR$484,93,FALSE)</f>
        <v>CENCOMLD - Cencosud SA - Mendoza</v>
      </c>
    </row>
    <row r="1023" spans="1:25" ht="14.25" customHeight="1" x14ac:dyDescent="0.3">
      <c r="A1023" s="1" t="s">
        <v>642</v>
      </c>
      <c r="B1023" s="1" t="s">
        <v>623</v>
      </c>
      <c r="C1023" s="1" t="s">
        <v>623</v>
      </c>
      <c r="D1023" s="1" t="s">
        <v>624</v>
      </c>
      <c r="E1023" s="1" t="s">
        <v>337</v>
      </c>
      <c r="N1023" s="7">
        <v>45947</v>
      </c>
      <c r="O1023" s="1">
        <v>365</v>
      </c>
      <c r="P1023" s="7">
        <v>46312</v>
      </c>
      <c r="Q1023" s="1" t="s">
        <v>330</v>
      </c>
      <c r="T1023" s="1" t="s">
        <v>627</v>
      </c>
      <c r="U1023" s="1" t="s">
        <v>628</v>
      </c>
      <c r="V1023" s="1">
        <v>1</v>
      </c>
      <c r="W1023" s="3">
        <v>14370.83</v>
      </c>
      <c r="X1023" s="3">
        <v>14370.83</v>
      </c>
      <c r="Y1023" s="1" t="str">
        <f>VLOOKUP(A1023,[1]Detalle!$D$2:$CR$484,93,FALSE)</f>
        <v>CENCOMLD - Cencosud SA - Mendoza</v>
      </c>
    </row>
    <row r="1024" spans="1:25" ht="14.25" customHeight="1" x14ac:dyDescent="0.3">
      <c r="A1024" s="1" t="s">
        <v>642</v>
      </c>
      <c r="B1024" s="1" t="s">
        <v>623</v>
      </c>
      <c r="C1024" s="1" t="s">
        <v>623</v>
      </c>
      <c r="D1024" s="1" t="s">
        <v>624</v>
      </c>
      <c r="E1024" s="1" t="s">
        <v>337</v>
      </c>
      <c r="N1024" s="7">
        <v>45947</v>
      </c>
      <c r="O1024" s="1">
        <v>365</v>
      </c>
      <c r="P1024" s="7">
        <v>46312</v>
      </c>
      <c r="Q1024" s="1" t="s">
        <v>330</v>
      </c>
      <c r="T1024" s="1" t="s">
        <v>629</v>
      </c>
      <c r="U1024" s="1" t="s">
        <v>630</v>
      </c>
      <c r="V1024" s="1">
        <v>1</v>
      </c>
      <c r="W1024" s="3">
        <v>7200</v>
      </c>
      <c r="X1024" s="3">
        <v>7200</v>
      </c>
      <c r="Y1024" s="1" t="str">
        <f>VLOOKUP(A1024,[1]Detalle!$D$2:$CR$484,93,FALSE)</f>
        <v>CENCOMLD - Cencosud SA - Mendoza</v>
      </c>
    </row>
    <row r="1025" spans="1:25" ht="14.25" customHeight="1" x14ac:dyDescent="0.3">
      <c r="A1025" s="1" t="s">
        <v>642</v>
      </c>
      <c r="B1025" s="1" t="s">
        <v>623</v>
      </c>
      <c r="C1025" s="1" t="s">
        <v>623</v>
      </c>
      <c r="D1025" s="1" t="s">
        <v>624</v>
      </c>
      <c r="E1025" s="1" t="s">
        <v>337</v>
      </c>
      <c r="N1025" s="7">
        <v>45947</v>
      </c>
      <c r="O1025" s="1">
        <v>365</v>
      </c>
      <c r="P1025" s="7">
        <v>46312</v>
      </c>
      <c r="Q1025" s="1" t="s">
        <v>330</v>
      </c>
      <c r="T1025" s="1" t="s">
        <v>631</v>
      </c>
      <c r="U1025" s="1" t="s">
        <v>632</v>
      </c>
      <c r="V1025" s="1">
        <v>1</v>
      </c>
      <c r="W1025" s="3">
        <v>7286.36</v>
      </c>
      <c r="X1025" s="3">
        <v>7286.36</v>
      </c>
      <c r="Y1025" s="1" t="str">
        <f>VLOOKUP(A1025,[1]Detalle!$D$2:$CR$484,93,FALSE)</f>
        <v>CENCOMLD - Cencosud SA - Mendoza</v>
      </c>
    </row>
    <row r="1026" spans="1:25" ht="14.25" customHeight="1" x14ac:dyDescent="0.3">
      <c r="A1026" s="1" t="s">
        <v>642</v>
      </c>
      <c r="B1026" s="1" t="s">
        <v>623</v>
      </c>
      <c r="C1026" s="1" t="s">
        <v>623</v>
      </c>
      <c r="D1026" s="1" t="s">
        <v>624</v>
      </c>
      <c r="E1026" s="1" t="s">
        <v>337</v>
      </c>
      <c r="N1026" s="7">
        <v>45947</v>
      </c>
      <c r="O1026" s="1">
        <v>365</v>
      </c>
      <c r="P1026" s="7">
        <v>46312</v>
      </c>
      <c r="Q1026" s="1" t="s">
        <v>330</v>
      </c>
      <c r="T1026" s="1" t="s">
        <v>633</v>
      </c>
      <c r="U1026" s="1" t="s">
        <v>634</v>
      </c>
      <c r="V1026" s="1">
        <v>4</v>
      </c>
      <c r="W1026" s="3">
        <v>153102.49</v>
      </c>
      <c r="X1026" s="3">
        <v>612409.96</v>
      </c>
      <c r="Y1026" s="1" t="str">
        <f>VLOOKUP(A1026,[1]Detalle!$D$2:$CR$484,93,FALSE)</f>
        <v>CENCOMLD - Cencosud SA - Mendoza</v>
      </c>
    </row>
    <row r="1027" spans="1:25" ht="14.25" customHeight="1" x14ac:dyDescent="0.3">
      <c r="A1027" s="1" t="s">
        <v>643</v>
      </c>
      <c r="B1027" s="1" t="s">
        <v>623</v>
      </c>
      <c r="C1027" s="1" t="s">
        <v>623</v>
      </c>
      <c r="D1027" s="1" t="s">
        <v>624</v>
      </c>
      <c r="E1027" s="1" t="s">
        <v>337</v>
      </c>
      <c r="N1027" s="7">
        <v>45947</v>
      </c>
      <c r="O1027" s="1">
        <v>365</v>
      </c>
      <c r="P1027" s="7">
        <v>46312</v>
      </c>
      <c r="Q1027" s="1" t="s">
        <v>330</v>
      </c>
      <c r="T1027" s="1" t="s">
        <v>625</v>
      </c>
      <c r="U1027" s="1" t="s">
        <v>626</v>
      </c>
      <c r="V1027" s="1">
        <v>1</v>
      </c>
      <c r="W1027" s="3">
        <v>57923.55</v>
      </c>
      <c r="X1027" s="3">
        <v>57923.55</v>
      </c>
      <c r="Y1027" s="1" t="str">
        <f>VLOOKUP(A1027,[1]Detalle!$D$2:$CR$484,93,FALSE)</f>
        <v>SUC_MEN - Sucursal Mendoza</v>
      </c>
    </row>
    <row r="1028" spans="1:25" ht="14.25" customHeight="1" x14ac:dyDescent="0.3">
      <c r="A1028" s="1" t="s">
        <v>643</v>
      </c>
      <c r="B1028" s="1" t="s">
        <v>623</v>
      </c>
      <c r="C1028" s="1" t="s">
        <v>623</v>
      </c>
      <c r="D1028" s="1" t="s">
        <v>624</v>
      </c>
      <c r="E1028" s="1" t="s">
        <v>337</v>
      </c>
      <c r="N1028" s="7">
        <v>45947</v>
      </c>
      <c r="O1028" s="1">
        <v>365</v>
      </c>
      <c r="P1028" s="7">
        <v>46312</v>
      </c>
      <c r="Q1028" s="1" t="s">
        <v>330</v>
      </c>
      <c r="T1028" s="1" t="s">
        <v>627</v>
      </c>
      <c r="U1028" s="1" t="s">
        <v>628</v>
      </c>
      <c r="V1028" s="1">
        <v>1</v>
      </c>
      <c r="W1028" s="3">
        <v>14370.83</v>
      </c>
      <c r="X1028" s="3">
        <v>14370.83</v>
      </c>
      <c r="Y1028" s="1" t="str">
        <f>VLOOKUP(A1028,[1]Detalle!$D$2:$CR$484,93,FALSE)</f>
        <v>SUC_MEN - Sucursal Mendoza</v>
      </c>
    </row>
    <row r="1029" spans="1:25" ht="14.25" customHeight="1" x14ac:dyDescent="0.3">
      <c r="A1029" s="1" t="s">
        <v>643</v>
      </c>
      <c r="B1029" s="1" t="s">
        <v>623</v>
      </c>
      <c r="C1029" s="1" t="s">
        <v>623</v>
      </c>
      <c r="D1029" s="1" t="s">
        <v>624</v>
      </c>
      <c r="E1029" s="1" t="s">
        <v>337</v>
      </c>
      <c r="N1029" s="7">
        <v>45947</v>
      </c>
      <c r="O1029" s="1">
        <v>365</v>
      </c>
      <c r="P1029" s="7">
        <v>46312</v>
      </c>
      <c r="Q1029" s="1" t="s">
        <v>330</v>
      </c>
      <c r="T1029" s="1" t="s">
        <v>629</v>
      </c>
      <c r="U1029" s="1" t="s">
        <v>630</v>
      </c>
      <c r="V1029" s="1">
        <v>1</v>
      </c>
      <c r="W1029" s="3">
        <v>7200</v>
      </c>
      <c r="X1029" s="3">
        <v>7200</v>
      </c>
      <c r="Y1029" s="1" t="str">
        <f>VLOOKUP(A1029,[1]Detalle!$D$2:$CR$484,93,FALSE)</f>
        <v>SUC_MEN - Sucursal Mendoza</v>
      </c>
    </row>
    <row r="1030" spans="1:25" ht="14.25" customHeight="1" x14ac:dyDescent="0.3">
      <c r="A1030" s="1" t="s">
        <v>643</v>
      </c>
      <c r="B1030" s="1" t="s">
        <v>623</v>
      </c>
      <c r="C1030" s="1" t="s">
        <v>623</v>
      </c>
      <c r="D1030" s="1" t="s">
        <v>624</v>
      </c>
      <c r="E1030" s="1" t="s">
        <v>337</v>
      </c>
      <c r="N1030" s="7">
        <v>45947</v>
      </c>
      <c r="O1030" s="1">
        <v>365</v>
      </c>
      <c r="P1030" s="7">
        <v>46312</v>
      </c>
      <c r="Q1030" s="1" t="s">
        <v>330</v>
      </c>
      <c r="T1030" s="1" t="s">
        <v>631</v>
      </c>
      <c r="U1030" s="1" t="s">
        <v>632</v>
      </c>
      <c r="V1030" s="1">
        <v>1</v>
      </c>
      <c r="W1030" s="3">
        <v>7286.36</v>
      </c>
      <c r="X1030" s="3">
        <v>7286.36</v>
      </c>
      <c r="Y1030" s="1" t="str">
        <f>VLOOKUP(A1030,[1]Detalle!$D$2:$CR$484,93,FALSE)</f>
        <v>SUC_MEN - Sucursal Mendoza</v>
      </c>
    </row>
    <row r="1031" spans="1:25" ht="14.25" customHeight="1" x14ac:dyDescent="0.3">
      <c r="A1031" s="1" t="s">
        <v>643</v>
      </c>
      <c r="B1031" s="1" t="s">
        <v>623</v>
      </c>
      <c r="C1031" s="1" t="s">
        <v>623</v>
      </c>
      <c r="D1031" s="1" t="s">
        <v>624</v>
      </c>
      <c r="E1031" s="1" t="s">
        <v>337</v>
      </c>
      <c r="N1031" s="7">
        <v>45947</v>
      </c>
      <c r="O1031" s="1">
        <v>365</v>
      </c>
      <c r="P1031" s="7">
        <v>46312</v>
      </c>
      <c r="Q1031" s="1" t="s">
        <v>330</v>
      </c>
      <c r="T1031" s="1" t="s">
        <v>633</v>
      </c>
      <c r="U1031" s="1" t="s">
        <v>634</v>
      </c>
      <c r="V1031" s="1">
        <v>4</v>
      </c>
      <c r="W1031" s="3">
        <v>153102.49</v>
      </c>
      <c r="X1031" s="3">
        <v>612409.96</v>
      </c>
      <c r="Y1031" s="1" t="str">
        <f>VLOOKUP(A1031,[1]Detalle!$D$2:$CR$484,93,FALSE)</f>
        <v>SUC_MEN - Sucursal Mendoza</v>
      </c>
    </row>
    <row r="1032" spans="1:25" ht="14.25" customHeight="1" x14ac:dyDescent="0.3">
      <c r="A1032" s="1" t="s">
        <v>644</v>
      </c>
      <c r="B1032" s="1" t="s">
        <v>623</v>
      </c>
      <c r="C1032" s="1" t="s">
        <v>623</v>
      </c>
      <c r="D1032" s="1" t="s">
        <v>624</v>
      </c>
      <c r="E1032" s="1" t="s">
        <v>337</v>
      </c>
      <c r="N1032" s="7">
        <v>45947</v>
      </c>
      <c r="O1032" s="1">
        <v>365</v>
      </c>
      <c r="P1032" s="7">
        <v>46312</v>
      </c>
      <c r="Q1032" s="1" t="s">
        <v>330</v>
      </c>
      <c r="T1032" s="1" t="s">
        <v>625</v>
      </c>
      <c r="U1032" s="1" t="s">
        <v>626</v>
      </c>
      <c r="V1032" s="1">
        <v>1</v>
      </c>
      <c r="W1032" s="3">
        <v>57923.55</v>
      </c>
      <c r="X1032" s="3">
        <v>57923.55</v>
      </c>
      <c r="Y1032" s="1" t="str">
        <f>VLOOKUP(A1032,[1]Detalle!$D$2:$CR$484,93,FALSE)</f>
        <v>CENCOMLD - Cencosud SA - Mendoza</v>
      </c>
    </row>
    <row r="1033" spans="1:25" ht="14.25" customHeight="1" x14ac:dyDescent="0.3">
      <c r="A1033" s="1" t="s">
        <v>644</v>
      </c>
      <c r="B1033" s="1" t="s">
        <v>623</v>
      </c>
      <c r="C1033" s="1" t="s">
        <v>623</v>
      </c>
      <c r="D1033" s="1" t="s">
        <v>624</v>
      </c>
      <c r="E1033" s="1" t="s">
        <v>337</v>
      </c>
      <c r="N1033" s="7">
        <v>45947</v>
      </c>
      <c r="O1033" s="1">
        <v>365</v>
      </c>
      <c r="P1033" s="7">
        <v>46312</v>
      </c>
      <c r="Q1033" s="1" t="s">
        <v>330</v>
      </c>
      <c r="T1033" s="1" t="s">
        <v>627</v>
      </c>
      <c r="U1033" s="1" t="s">
        <v>628</v>
      </c>
      <c r="V1033" s="1">
        <v>1</v>
      </c>
      <c r="W1033" s="3">
        <v>14370.83</v>
      </c>
      <c r="X1033" s="3">
        <v>14370.83</v>
      </c>
      <c r="Y1033" s="1" t="str">
        <f>VLOOKUP(A1033,[1]Detalle!$D$2:$CR$484,93,FALSE)</f>
        <v>CENCOMLD - Cencosud SA - Mendoza</v>
      </c>
    </row>
    <row r="1034" spans="1:25" ht="14.25" customHeight="1" x14ac:dyDescent="0.3">
      <c r="A1034" s="1" t="s">
        <v>644</v>
      </c>
      <c r="B1034" s="1" t="s">
        <v>623</v>
      </c>
      <c r="C1034" s="1" t="s">
        <v>623</v>
      </c>
      <c r="D1034" s="1" t="s">
        <v>624</v>
      </c>
      <c r="E1034" s="1" t="s">
        <v>337</v>
      </c>
      <c r="N1034" s="7">
        <v>45947</v>
      </c>
      <c r="O1034" s="1">
        <v>365</v>
      </c>
      <c r="P1034" s="7">
        <v>46312</v>
      </c>
      <c r="Q1034" s="1" t="s">
        <v>330</v>
      </c>
      <c r="T1034" s="1" t="s">
        <v>629</v>
      </c>
      <c r="U1034" s="1" t="s">
        <v>630</v>
      </c>
      <c r="V1034" s="1">
        <v>1</v>
      </c>
      <c r="W1034" s="3">
        <v>7200</v>
      </c>
      <c r="X1034" s="3">
        <v>7200</v>
      </c>
      <c r="Y1034" s="1" t="str">
        <f>VLOOKUP(A1034,[1]Detalle!$D$2:$CR$484,93,FALSE)</f>
        <v>CENCOMLD - Cencosud SA - Mendoza</v>
      </c>
    </row>
    <row r="1035" spans="1:25" ht="14.25" customHeight="1" x14ac:dyDescent="0.3">
      <c r="A1035" s="1" t="s">
        <v>644</v>
      </c>
      <c r="B1035" s="1" t="s">
        <v>623</v>
      </c>
      <c r="C1035" s="1" t="s">
        <v>623</v>
      </c>
      <c r="D1035" s="1" t="s">
        <v>624</v>
      </c>
      <c r="E1035" s="1" t="s">
        <v>337</v>
      </c>
      <c r="N1035" s="7">
        <v>45947</v>
      </c>
      <c r="O1035" s="1">
        <v>365</v>
      </c>
      <c r="P1035" s="7">
        <v>46312</v>
      </c>
      <c r="Q1035" s="1" t="s">
        <v>330</v>
      </c>
      <c r="T1035" s="1" t="s">
        <v>631</v>
      </c>
      <c r="U1035" s="1" t="s">
        <v>632</v>
      </c>
      <c r="V1035" s="1">
        <v>1</v>
      </c>
      <c r="W1035" s="3">
        <v>7286.36</v>
      </c>
      <c r="X1035" s="3">
        <v>7286.36</v>
      </c>
      <c r="Y1035" s="1" t="str">
        <f>VLOOKUP(A1035,[1]Detalle!$D$2:$CR$484,93,FALSE)</f>
        <v>CENCOMLD - Cencosud SA - Mendoza</v>
      </c>
    </row>
    <row r="1036" spans="1:25" ht="14.25" customHeight="1" x14ac:dyDescent="0.3">
      <c r="A1036" s="1" t="s">
        <v>644</v>
      </c>
      <c r="B1036" s="1" t="s">
        <v>623</v>
      </c>
      <c r="C1036" s="1" t="s">
        <v>623</v>
      </c>
      <c r="D1036" s="1" t="s">
        <v>624</v>
      </c>
      <c r="E1036" s="1" t="s">
        <v>337</v>
      </c>
      <c r="N1036" s="7">
        <v>45947</v>
      </c>
      <c r="O1036" s="1">
        <v>365</v>
      </c>
      <c r="P1036" s="7">
        <v>46312</v>
      </c>
      <c r="Q1036" s="1" t="s">
        <v>330</v>
      </c>
      <c r="T1036" s="1" t="s">
        <v>633</v>
      </c>
      <c r="U1036" s="1" t="s">
        <v>634</v>
      </c>
      <c r="V1036" s="1">
        <v>4</v>
      </c>
      <c r="W1036" s="3">
        <v>153102.49</v>
      </c>
      <c r="X1036" s="3">
        <v>612409.96</v>
      </c>
      <c r="Y1036" s="1" t="str">
        <f>VLOOKUP(A1036,[1]Detalle!$D$2:$CR$484,93,FALSE)</f>
        <v>CENCOMLD - Cencosud SA - Mendoza</v>
      </c>
    </row>
    <row r="1037" spans="1:25" ht="14.25" customHeight="1" x14ac:dyDescent="0.3">
      <c r="A1037" s="1" t="s">
        <v>645</v>
      </c>
      <c r="B1037" s="1" t="s">
        <v>623</v>
      </c>
      <c r="C1037" s="1" t="s">
        <v>623</v>
      </c>
      <c r="D1037" s="1" t="s">
        <v>624</v>
      </c>
      <c r="E1037" s="1" t="s">
        <v>337</v>
      </c>
      <c r="N1037" s="7">
        <v>45947</v>
      </c>
      <c r="O1037" s="1">
        <v>365</v>
      </c>
      <c r="P1037" s="7">
        <v>46312</v>
      </c>
      <c r="Q1037" s="1" t="s">
        <v>330</v>
      </c>
      <c r="T1037" s="1" t="s">
        <v>625</v>
      </c>
      <c r="U1037" s="1" t="s">
        <v>626</v>
      </c>
      <c r="V1037" s="1">
        <v>1</v>
      </c>
      <c r="W1037" s="3">
        <v>57923.55</v>
      </c>
      <c r="X1037" s="3">
        <v>57923.55</v>
      </c>
      <c r="Y1037" s="1" t="str">
        <f>VLOOKUP(A1037,[1]Detalle!$D$2:$CR$484,93,FALSE)</f>
        <v>CENCOMLD - Cencosud SA - Mendoza</v>
      </c>
    </row>
    <row r="1038" spans="1:25" ht="14.25" customHeight="1" x14ac:dyDescent="0.3">
      <c r="A1038" s="1" t="s">
        <v>645</v>
      </c>
      <c r="B1038" s="1" t="s">
        <v>623</v>
      </c>
      <c r="C1038" s="1" t="s">
        <v>623</v>
      </c>
      <c r="D1038" s="1" t="s">
        <v>624</v>
      </c>
      <c r="E1038" s="1" t="s">
        <v>337</v>
      </c>
      <c r="N1038" s="7">
        <v>45947</v>
      </c>
      <c r="O1038" s="1">
        <v>365</v>
      </c>
      <c r="P1038" s="7">
        <v>46312</v>
      </c>
      <c r="Q1038" s="1" t="s">
        <v>330</v>
      </c>
      <c r="T1038" s="1" t="s">
        <v>627</v>
      </c>
      <c r="U1038" s="1" t="s">
        <v>628</v>
      </c>
      <c r="V1038" s="1">
        <v>1</v>
      </c>
      <c r="W1038" s="3">
        <v>14370.83</v>
      </c>
      <c r="X1038" s="3">
        <v>14370.83</v>
      </c>
      <c r="Y1038" s="1" t="str">
        <f>VLOOKUP(A1038,[1]Detalle!$D$2:$CR$484,93,FALSE)</f>
        <v>CENCOMLD - Cencosud SA - Mendoza</v>
      </c>
    </row>
    <row r="1039" spans="1:25" ht="14.25" customHeight="1" x14ac:dyDescent="0.3">
      <c r="A1039" s="1" t="s">
        <v>645</v>
      </c>
      <c r="B1039" s="1" t="s">
        <v>623</v>
      </c>
      <c r="C1039" s="1" t="s">
        <v>623</v>
      </c>
      <c r="D1039" s="1" t="s">
        <v>624</v>
      </c>
      <c r="E1039" s="1" t="s">
        <v>337</v>
      </c>
      <c r="N1039" s="7">
        <v>45947</v>
      </c>
      <c r="O1039" s="1">
        <v>365</v>
      </c>
      <c r="P1039" s="7">
        <v>46312</v>
      </c>
      <c r="Q1039" s="1" t="s">
        <v>330</v>
      </c>
      <c r="T1039" s="1" t="s">
        <v>629</v>
      </c>
      <c r="U1039" s="1" t="s">
        <v>630</v>
      </c>
      <c r="V1039" s="1">
        <v>1</v>
      </c>
      <c r="W1039" s="3">
        <v>7200</v>
      </c>
      <c r="X1039" s="3">
        <v>7200</v>
      </c>
      <c r="Y1039" s="1" t="str">
        <f>VLOOKUP(A1039,[1]Detalle!$D$2:$CR$484,93,FALSE)</f>
        <v>CENCOMLD - Cencosud SA - Mendoza</v>
      </c>
    </row>
    <row r="1040" spans="1:25" ht="14.25" customHeight="1" x14ac:dyDescent="0.3">
      <c r="A1040" s="1" t="s">
        <v>645</v>
      </c>
      <c r="B1040" s="1" t="s">
        <v>623</v>
      </c>
      <c r="C1040" s="1" t="s">
        <v>623</v>
      </c>
      <c r="D1040" s="1" t="s">
        <v>624</v>
      </c>
      <c r="E1040" s="1" t="s">
        <v>337</v>
      </c>
      <c r="N1040" s="7">
        <v>45947</v>
      </c>
      <c r="O1040" s="1">
        <v>365</v>
      </c>
      <c r="P1040" s="7">
        <v>46312</v>
      </c>
      <c r="Q1040" s="1" t="s">
        <v>330</v>
      </c>
      <c r="T1040" s="1" t="s">
        <v>631</v>
      </c>
      <c r="U1040" s="1" t="s">
        <v>632</v>
      </c>
      <c r="V1040" s="1">
        <v>1</v>
      </c>
      <c r="W1040" s="3">
        <v>7286.36</v>
      </c>
      <c r="X1040" s="3">
        <v>7286.36</v>
      </c>
      <c r="Y1040" s="1" t="str">
        <f>VLOOKUP(A1040,[1]Detalle!$D$2:$CR$484,93,FALSE)</f>
        <v>CENCOMLD - Cencosud SA - Mendoza</v>
      </c>
    </row>
    <row r="1041" spans="1:25" ht="14.25" customHeight="1" x14ac:dyDescent="0.3">
      <c r="A1041" s="1" t="s">
        <v>645</v>
      </c>
      <c r="B1041" s="1" t="s">
        <v>623</v>
      </c>
      <c r="C1041" s="1" t="s">
        <v>623</v>
      </c>
      <c r="D1041" s="1" t="s">
        <v>624</v>
      </c>
      <c r="E1041" s="1" t="s">
        <v>337</v>
      </c>
      <c r="N1041" s="7">
        <v>45947</v>
      </c>
      <c r="O1041" s="1">
        <v>365</v>
      </c>
      <c r="P1041" s="7">
        <v>46312</v>
      </c>
      <c r="Q1041" s="1" t="s">
        <v>330</v>
      </c>
      <c r="T1041" s="1" t="s">
        <v>633</v>
      </c>
      <c r="U1041" s="1" t="s">
        <v>634</v>
      </c>
      <c r="V1041" s="1">
        <v>4</v>
      </c>
      <c r="W1041" s="3">
        <v>153102.49</v>
      </c>
      <c r="X1041" s="3">
        <v>612409.96</v>
      </c>
      <c r="Y1041" s="1" t="str">
        <f>VLOOKUP(A1041,[1]Detalle!$D$2:$CR$484,93,FALSE)</f>
        <v>CENCOMLD - Cencosud SA - Mendoza</v>
      </c>
    </row>
    <row r="1042" spans="1:25" ht="14.25" customHeight="1" x14ac:dyDescent="0.3">
      <c r="A1042" s="1" t="s">
        <v>646</v>
      </c>
      <c r="B1042" s="1" t="s">
        <v>623</v>
      </c>
      <c r="C1042" s="1" t="s">
        <v>623</v>
      </c>
      <c r="D1042" s="1" t="s">
        <v>624</v>
      </c>
      <c r="E1042" s="1" t="s">
        <v>337</v>
      </c>
      <c r="N1042" s="7">
        <v>45947</v>
      </c>
      <c r="O1042" s="1">
        <v>365</v>
      </c>
      <c r="P1042" s="7">
        <v>46312</v>
      </c>
      <c r="Q1042" s="1" t="s">
        <v>330</v>
      </c>
      <c r="T1042" s="1" t="s">
        <v>625</v>
      </c>
      <c r="U1042" s="1" t="s">
        <v>626</v>
      </c>
      <c r="V1042" s="1">
        <v>1</v>
      </c>
      <c r="W1042" s="3">
        <v>57923.55</v>
      </c>
      <c r="X1042" s="3">
        <v>57923.55</v>
      </c>
      <c r="Y1042" s="1" t="str">
        <f>VLOOKUP(A1042,[1]Detalle!$D$2:$CR$484,93,FALSE)</f>
        <v>CENCOMLD - Cencosud SA - Mendoza</v>
      </c>
    </row>
    <row r="1043" spans="1:25" ht="14.25" customHeight="1" x14ac:dyDescent="0.3">
      <c r="A1043" s="1" t="s">
        <v>646</v>
      </c>
      <c r="B1043" s="1" t="s">
        <v>623</v>
      </c>
      <c r="C1043" s="1" t="s">
        <v>623</v>
      </c>
      <c r="D1043" s="1" t="s">
        <v>624</v>
      </c>
      <c r="E1043" s="1" t="s">
        <v>337</v>
      </c>
      <c r="N1043" s="7">
        <v>45947</v>
      </c>
      <c r="O1043" s="1">
        <v>365</v>
      </c>
      <c r="P1043" s="7">
        <v>46312</v>
      </c>
      <c r="Q1043" s="1" t="s">
        <v>330</v>
      </c>
      <c r="T1043" s="1" t="s">
        <v>627</v>
      </c>
      <c r="U1043" s="1" t="s">
        <v>628</v>
      </c>
      <c r="V1043" s="1">
        <v>1</v>
      </c>
      <c r="W1043" s="3">
        <v>14370.83</v>
      </c>
      <c r="X1043" s="3">
        <v>14370.83</v>
      </c>
      <c r="Y1043" s="1" t="str">
        <f>VLOOKUP(A1043,[1]Detalle!$D$2:$CR$484,93,FALSE)</f>
        <v>CENCOMLD - Cencosud SA - Mendoza</v>
      </c>
    </row>
    <row r="1044" spans="1:25" ht="14.25" customHeight="1" x14ac:dyDescent="0.3">
      <c r="A1044" s="1" t="s">
        <v>646</v>
      </c>
      <c r="B1044" s="1" t="s">
        <v>623</v>
      </c>
      <c r="C1044" s="1" t="s">
        <v>623</v>
      </c>
      <c r="D1044" s="1" t="s">
        <v>624</v>
      </c>
      <c r="E1044" s="1" t="s">
        <v>337</v>
      </c>
      <c r="N1044" s="7">
        <v>45947</v>
      </c>
      <c r="O1044" s="1">
        <v>365</v>
      </c>
      <c r="P1044" s="7">
        <v>46312</v>
      </c>
      <c r="Q1044" s="1" t="s">
        <v>330</v>
      </c>
      <c r="T1044" s="1" t="s">
        <v>629</v>
      </c>
      <c r="U1044" s="1" t="s">
        <v>630</v>
      </c>
      <c r="V1044" s="1">
        <v>1</v>
      </c>
      <c r="W1044" s="3">
        <v>7200</v>
      </c>
      <c r="X1044" s="3">
        <v>7200</v>
      </c>
      <c r="Y1044" s="1" t="str">
        <f>VLOOKUP(A1044,[1]Detalle!$D$2:$CR$484,93,FALSE)</f>
        <v>CENCOMLD - Cencosud SA - Mendoza</v>
      </c>
    </row>
    <row r="1045" spans="1:25" ht="14.25" customHeight="1" x14ac:dyDescent="0.3">
      <c r="A1045" s="1" t="s">
        <v>646</v>
      </c>
      <c r="B1045" s="1" t="s">
        <v>623</v>
      </c>
      <c r="C1045" s="1" t="s">
        <v>623</v>
      </c>
      <c r="D1045" s="1" t="s">
        <v>624</v>
      </c>
      <c r="E1045" s="1" t="s">
        <v>337</v>
      </c>
      <c r="N1045" s="7">
        <v>45947</v>
      </c>
      <c r="O1045" s="1">
        <v>365</v>
      </c>
      <c r="P1045" s="7">
        <v>46312</v>
      </c>
      <c r="Q1045" s="1" t="s">
        <v>330</v>
      </c>
      <c r="T1045" s="1" t="s">
        <v>631</v>
      </c>
      <c r="U1045" s="1" t="s">
        <v>632</v>
      </c>
      <c r="V1045" s="1">
        <v>1</v>
      </c>
      <c r="W1045" s="3">
        <v>7286.36</v>
      </c>
      <c r="X1045" s="3">
        <v>7286.36</v>
      </c>
      <c r="Y1045" s="1" t="str">
        <f>VLOOKUP(A1045,[1]Detalle!$D$2:$CR$484,93,FALSE)</f>
        <v>CENCOMLD - Cencosud SA - Mendoza</v>
      </c>
    </row>
    <row r="1046" spans="1:25" ht="14.25" customHeight="1" x14ac:dyDescent="0.3">
      <c r="A1046" s="1" t="s">
        <v>646</v>
      </c>
      <c r="B1046" s="1" t="s">
        <v>623</v>
      </c>
      <c r="C1046" s="1" t="s">
        <v>623</v>
      </c>
      <c r="D1046" s="1" t="s">
        <v>624</v>
      </c>
      <c r="E1046" s="1" t="s">
        <v>337</v>
      </c>
      <c r="N1046" s="7">
        <v>45947</v>
      </c>
      <c r="O1046" s="1">
        <v>365</v>
      </c>
      <c r="P1046" s="7">
        <v>46312</v>
      </c>
      <c r="Q1046" s="1" t="s">
        <v>330</v>
      </c>
      <c r="T1046" s="1" t="s">
        <v>633</v>
      </c>
      <c r="U1046" s="1" t="s">
        <v>634</v>
      </c>
      <c r="V1046" s="1">
        <v>4</v>
      </c>
      <c r="W1046" s="3">
        <v>153102.49</v>
      </c>
      <c r="X1046" s="3">
        <v>612409.96</v>
      </c>
      <c r="Y1046" s="1" t="str">
        <f>VLOOKUP(A1046,[1]Detalle!$D$2:$CR$484,93,FALSE)</f>
        <v>CENCOMLD - Cencosud SA - Mendoza</v>
      </c>
    </row>
    <row r="1047" spans="1:25" ht="14.25" customHeight="1" x14ac:dyDescent="0.3">
      <c r="A1047" s="1" t="s">
        <v>647</v>
      </c>
      <c r="B1047" s="1" t="s">
        <v>623</v>
      </c>
      <c r="C1047" s="1" t="s">
        <v>623</v>
      </c>
      <c r="D1047" s="1" t="s">
        <v>624</v>
      </c>
      <c r="E1047" s="1" t="s">
        <v>337</v>
      </c>
      <c r="N1047" s="7">
        <v>45947</v>
      </c>
      <c r="O1047" s="1">
        <v>365</v>
      </c>
      <c r="P1047" s="7">
        <v>46312</v>
      </c>
      <c r="Q1047" s="1" t="s">
        <v>330</v>
      </c>
      <c r="T1047" s="1" t="s">
        <v>625</v>
      </c>
      <c r="U1047" s="1" t="s">
        <v>626</v>
      </c>
      <c r="V1047" s="1">
        <v>1</v>
      </c>
      <c r="W1047" s="3">
        <v>57923.55</v>
      </c>
      <c r="X1047" s="3">
        <v>57923.55</v>
      </c>
      <c r="Y1047" s="1" t="str">
        <f>VLOOKUP(A1047,[1]Detalle!$D$2:$CR$484,93,FALSE)</f>
        <v>CENCOMLD - Cencosud SA - Mendoza</v>
      </c>
    </row>
    <row r="1048" spans="1:25" ht="14.25" customHeight="1" x14ac:dyDescent="0.3">
      <c r="A1048" s="1" t="s">
        <v>647</v>
      </c>
      <c r="B1048" s="1" t="s">
        <v>623</v>
      </c>
      <c r="C1048" s="1" t="s">
        <v>623</v>
      </c>
      <c r="D1048" s="1" t="s">
        <v>624</v>
      </c>
      <c r="E1048" s="1" t="s">
        <v>337</v>
      </c>
      <c r="N1048" s="7">
        <v>45947</v>
      </c>
      <c r="O1048" s="1">
        <v>365</v>
      </c>
      <c r="P1048" s="7">
        <v>46312</v>
      </c>
      <c r="Q1048" s="1" t="s">
        <v>330</v>
      </c>
      <c r="T1048" s="1" t="s">
        <v>627</v>
      </c>
      <c r="U1048" s="1" t="s">
        <v>628</v>
      </c>
      <c r="V1048" s="1">
        <v>1</v>
      </c>
      <c r="W1048" s="3">
        <v>14370.83</v>
      </c>
      <c r="X1048" s="3">
        <v>14370.83</v>
      </c>
      <c r="Y1048" s="1" t="str">
        <f>VLOOKUP(A1048,[1]Detalle!$D$2:$CR$484,93,FALSE)</f>
        <v>CENCOMLD - Cencosud SA - Mendoza</v>
      </c>
    </row>
    <row r="1049" spans="1:25" ht="14.25" customHeight="1" x14ac:dyDescent="0.3">
      <c r="A1049" s="1" t="s">
        <v>647</v>
      </c>
      <c r="B1049" s="1" t="s">
        <v>623</v>
      </c>
      <c r="C1049" s="1" t="s">
        <v>623</v>
      </c>
      <c r="D1049" s="1" t="s">
        <v>624</v>
      </c>
      <c r="E1049" s="1" t="s">
        <v>337</v>
      </c>
      <c r="N1049" s="7">
        <v>45947</v>
      </c>
      <c r="O1049" s="1">
        <v>365</v>
      </c>
      <c r="P1049" s="7">
        <v>46312</v>
      </c>
      <c r="Q1049" s="1" t="s">
        <v>330</v>
      </c>
      <c r="T1049" s="1" t="s">
        <v>629</v>
      </c>
      <c r="U1049" s="1" t="s">
        <v>630</v>
      </c>
      <c r="V1049" s="1">
        <v>1</v>
      </c>
      <c r="W1049" s="3">
        <v>7200</v>
      </c>
      <c r="X1049" s="3">
        <v>7200</v>
      </c>
      <c r="Y1049" s="1" t="str">
        <f>VLOOKUP(A1049,[1]Detalle!$D$2:$CR$484,93,FALSE)</f>
        <v>CENCOMLD - Cencosud SA - Mendoza</v>
      </c>
    </row>
    <row r="1050" spans="1:25" ht="14.25" customHeight="1" x14ac:dyDescent="0.3">
      <c r="A1050" s="1" t="s">
        <v>647</v>
      </c>
      <c r="B1050" s="1" t="s">
        <v>623</v>
      </c>
      <c r="C1050" s="1" t="s">
        <v>623</v>
      </c>
      <c r="D1050" s="1" t="s">
        <v>624</v>
      </c>
      <c r="E1050" s="1" t="s">
        <v>337</v>
      </c>
      <c r="N1050" s="7">
        <v>45947</v>
      </c>
      <c r="O1050" s="1">
        <v>365</v>
      </c>
      <c r="P1050" s="7">
        <v>46312</v>
      </c>
      <c r="Q1050" s="1" t="s">
        <v>330</v>
      </c>
      <c r="T1050" s="1" t="s">
        <v>631</v>
      </c>
      <c r="U1050" s="1" t="s">
        <v>632</v>
      </c>
      <c r="V1050" s="1">
        <v>1</v>
      </c>
      <c r="W1050" s="3">
        <v>7286.36</v>
      </c>
      <c r="X1050" s="3">
        <v>7286.36</v>
      </c>
      <c r="Y1050" s="1" t="str">
        <f>VLOOKUP(A1050,[1]Detalle!$D$2:$CR$484,93,FALSE)</f>
        <v>CENCOMLD - Cencosud SA - Mendoza</v>
      </c>
    </row>
    <row r="1051" spans="1:25" ht="14.25" customHeight="1" x14ac:dyDescent="0.3">
      <c r="A1051" s="1" t="s">
        <v>647</v>
      </c>
      <c r="B1051" s="1" t="s">
        <v>623</v>
      </c>
      <c r="C1051" s="1" t="s">
        <v>623</v>
      </c>
      <c r="D1051" s="1" t="s">
        <v>624</v>
      </c>
      <c r="E1051" s="1" t="s">
        <v>337</v>
      </c>
      <c r="N1051" s="7">
        <v>45947</v>
      </c>
      <c r="O1051" s="1">
        <v>365</v>
      </c>
      <c r="P1051" s="7">
        <v>46312</v>
      </c>
      <c r="Q1051" s="1" t="s">
        <v>330</v>
      </c>
      <c r="T1051" s="1" t="s">
        <v>633</v>
      </c>
      <c r="U1051" s="1" t="s">
        <v>634</v>
      </c>
      <c r="V1051" s="1">
        <v>4</v>
      </c>
      <c r="W1051" s="3">
        <v>153102.49</v>
      </c>
      <c r="X1051" s="3">
        <v>612409.96</v>
      </c>
      <c r="Y1051" s="1" t="str">
        <f>VLOOKUP(A1051,[1]Detalle!$D$2:$CR$484,93,FALSE)</f>
        <v>CENCOMLD - Cencosud SA - Mendoza</v>
      </c>
    </row>
    <row r="1052" spans="1:25" ht="14.25" customHeight="1" x14ac:dyDescent="0.3">
      <c r="A1052" s="1" t="s">
        <v>648</v>
      </c>
      <c r="B1052" s="1" t="s">
        <v>623</v>
      </c>
      <c r="C1052" s="1" t="s">
        <v>623</v>
      </c>
      <c r="D1052" s="1" t="s">
        <v>624</v>
      </c>
      <c r="E1052" s="1" t="s">
        <v>337</v>
      </c>
      <c r="N1052" s="7">
        <v>45947</v>
      </c>
      <c r="O1052" s="1">
        <v>365</v>
      </c>
      <c r="P1052" s="7">
        <v>46312</v>
      </c>
      <c r="Q1052" s="1" t="s">
        <v>330</v>
      </c>
      <c r="T1052" s="1" t="s">
        <v>625</v>
      </c>
      <c r="U1052" s="1" t="s">
        <v>626</v>
      </c>
      <c r="V1052" s="1">
        <v>1</v>
      </c>
      <c r="W1052" s="3">
        <v>57923.55</v>
      </c>
      <c r="X1052" s="3">
        <v>57923.55</v>
      </c>
      <c r="Y1052" s="1" t="str">
        <f>VLOOKUP(A1052,[1]Detalle!$D$2:$CR$484,93,FALSE)</f>
        <v>CENCOMLD - Cencosud SA - Mendoza</v>
      </c>
    </row>
    <row r="1053" spans="1:25" ht="14.25" customHeight="1" x14ac:dyDescent="0.3">
      <c r="A1053" s="1" t="s">
        <v>648</v>
      </c>
      <c r="B1053" s="1" t="s">
        <v>623</v>
      </c>
      <c r="C1053" s="1" t="s">
        <v>623</v>
      </c>
      <c r="D1053" s="1" t="s">
        <v>624</v>
      </c>
      <c r="E1053" s="1" t="s">
        <v>337</v>
      </c>
      <c r="N1053" s="7">
        <v>45947</v>
      </c>
      <c r="O1053" s="1">
        <v>365</v>
      </c>
      <c r="P1053" s="7">
        <v>46312</v>
      </c>
      <c r="Q1053" s="1" t="s">
        <v>330</v>
      </c>
      <c r="T1053" s="1" t="s">
        <v>627</v>
      </c>
      <c r="U1053" s="1" t="s">
        <v>628</v>
      </c>
      <c r="V1053" s="1">
        <v>1</v>
      </c>
      <c r="W1053" s="3">
        <v>14370.83</v>
      </c>
      <c r="X1053" s="3">
        <v>14370.83</v>
      </c>
      <c r="Y1053" s="1" t="str">
        <f>VLOOKUP(A1053,[1]Detalle!$D$2:$CR$484,93,FALSE)</f>
        <v>CENCOMLD - Cencosud SA - Mendoza</v>
      </c>
    </row>
    <row r="1054" spans="1:25" ht="14.25" customHeight="1" x14ac:dyDescent="0.3">
      <c r="A1054" s="1" t="s">
        <v>648</v>
      </c>
      <c r="B1054" s="1" t="s">
        <v>623</v>
      </c>
      <c r="C1054" s="1" t="s">
        <v>623</v>
      </c>
      <c r="D1054" s="1" t="s">
        <v>624</v>
      </c>
      <c r="E1054" s="1" t="s">
        <v>337</v>
      </c>
      <c r="N1054" s="7">
        <v>45947</v>
      </c>
      <c r="O1054" s="1">
        <v>365</v>
      </c>
      <c r="P1054" s="7">
        <v>46312</v>
      </c>
      <c r="Q1054" s="1" t="s">
        <v>330</v>
      </c>
      <c r="T1054" s="1" t="s">
        <v>629</v>
      </c>
      <c r="U1054" s="1" t="s">
        <v>630</v>
      </c>
      <c r="V1054" s="1">
        <v>1</v>
      </c>
      <c r="W1054" s="3">
        <v>7200</v>
      </c>
      <c r="X1054" s="3">
        <v>7200</v>
      </c>
      <c r="Y1054" s="1" t="str">
        <f>VLOOKUP(A1054,[1]Detalle!$D$2:$CR$484,93,FALSE)</f>
        <v>CENCOMLD - Cencosud SA - Mendoza</v>
      </c>
    </row>
    <row r="1055" spans="1:25" ht="14.25" customHeight="1" x14ac:dyDescent="0.3">
      <c r="A1055" s="1" t="s">
        <v>648</v>
      </c>
      <c r="B1055" s="1" t="s">
        <v>623</v>
      </c>
      <c r="C1055" s="1" t="s">
        <v>623</v>
      </c>
      <c r="D1055" s="1" t="s">
        <v>624</v>
      </c>
      <c r="E1055" s="1" t="s">
        <v>337</v>
      </c>
      <c r="N1055" s="7">
        <v>45947</v>
      </c>
      <c r="O1055" s="1">
        <v>365</v>
      </c>
      <c r="P1055" s="7">
        <v>46312</v>
      </c>
      <c r="Q1055" s="1" t="s">
        <v>330</v>
      </c>
      <c r="T1055" s="1" t="s">
        <v>631</v>
      </c>
      <c r="U1055" s="1" t="s">
        <v>632</v>
      </c>
      <c r="V1055" s="1">
        <v>1</v>
      </c>
      <c r="W1055" s="3">
        <v>7286.36</v>
      </c>
      <c r="X1055" s="3">
        <v>7286.36</v>
      </c>
      <c r="Y1055" s="1" t="str">
        <f>VLOOKUP(A1055,[1]Detalle!$D$2:$CR$484,93,FALSE)</f>
        <v>CENCOMLD - Cencosud SA - Mendoza</v>
      </c>
    </row>
    <row r="1056" spans="1:25" ht="14.25" customHeight="1" x14ac:dyDescent="0.3">
      <c r="A1056" s="1" t="s">
        <v>648</v>
      </c>
      <c r="B1056" s="1" t="s">
        <v>623</v>
      </c>
      <c r="C1056" s="1" t="s">
        <v>623</v>
      </c>
      <c r="D1056" s="1" t="s">
        <v>624</v>
      </c>
      <c r="E1056" s="1" t="s">
        <v>337</v>
      </c>
      <c r="N1056" s="7">
        <v>45947</v>
      </c>
      <c r="O1056" s="1">
        <v>365</v>
      </c>
      <c r="P1056" s="7">
        <v>46312</v>
      </c>
      <c r="Q1056" s="1" t="s">
        <v>330</v>
      </c>
      <c r="T1056" s="1" t="s">
        <v>633</v>
      </c>
      <c r="U1056" s="1" t="s">
        <v>634</v>
      </c>
      <c r="V1056" s="1">
        <v>4</v>
      </c>
      <c r="W1056" s="3">
        <v>153102.49</v>
      </c>
      <c r="X1056" s="3">
        <v>612409.96</v>
      </c>
      <c r="Y1056" s="1" t="str">
        <f>VLOOKUP(A1056,[1]Detalle!$D$2:$CR$484,93,FALSE)</f>
        <v>CENCOMLD - Cencosud SA - Mendoza</v>
      </c>
    </row>
    <row r="1057" spans="1:25" ht="14.25" customHeight="1" x14ac:dyDescent="0.3">
      <c r="A1057" s="1" t="s">
        <v>649</v>
      </c>
      <c r="B1057" s="1" t="s">
        <v>623</v>
      </c>
      <c r="C1057" s="1" t="s">
        <v>623</v>
      </c>
      <c r="D1057" s="1" t="s">
        <v>624</v>
      </c>
      <c r="E1057" s="1" t="s">
        <v>337</v>
      </c>
      <c r="N1057" s="7">
        <v>45947</v>
      </c>
      <c r="O1057" s="1">
        <v>365</v>
      </c>
      <c r="P1057" s="7">
        <v>46312</v>
      </c>
      <c r="Q1057" s="1" t="s">
        <v>330</v>
      </c>
      <c r="T1057" s="1" t="s">
        <v>625</v>
      </c>
      <c r="U1057" s="1" t="s">
        <v>626</v>
      </c>
      <c r="V1057" s="1">
        <v>1</v>
      </c>
      <c r="W1057" s="3">
        <v>57923.55</v>
      </c>
      <c r="X1057" s="3">
        <v>57923.55</v>
      </c>
      <c r="Y1057" s="1" t="str">
        <f>VLOOKUP(A1057,[1]Detalle!$D$2:$CR$484,93,FALSE)</f>
        <v>CMQ_TTE - QUILMES TTE</v>
      </c>
    </row>
    <row r="1058" spans="1:25" ht="14.25" customHeight="1" x14ac:dyDescent="0.3">
      <c r="A1058" s="1" t="s">
        <v>649</v>
      </c>
      <c r="B1058" s="1" t="s">
        <v>623</v>
      </c>
      <c r="C1058" s="1" t="s">
        <v>623</v>
      </c>
      <c r="D1058" s="1" t="s">
        <v>624</v>
      </c>
      <c r="E1058" s="1" t="s">
        <v>337</v>
      </c>
      <c r="N1058" s="7">
        <v>45947</v>
      </c>
      <c r="O1058" s="1">
        <v>365</v>
      </c>
      <c r="P1058" s="7">
        <v>46312</v>
      </c>
      <c r="Q1058" s="1" t="s">
        <v>330</v>
      </c>
      <c r="T1058" s="1" t="s">
        <v>627</v>
      </c>
      <c r="U1058" s="1" t="s">
        <v>628</v>
      </c>
      <c r="V1058" s="1">
        <v>1</v>
      </c>
      <c r="W1058" s="3">
        <v>14370.83</v>
      </c>
      <c r="X1058" s="3">
        <v>14370.83</v>
      </c>
      <c r="Y1058" s="1" t="str">
        <f>VLOOKUP(A1058,[1]Detalle!$D$2:$CR$484,93,FALSE)</f>
        <v>CMQ_TTE - QUILMES TTE</v>
      </c>
    </row>
    <row r="1059" spans="1:25" ht="14.25" customHeight="1" x14ac:dyDescent="0.3">
      <c r="A1059" s="1" t="s">
        <v>649</v>
      </c>
      <c r="B1059" s="1" t="s">
        <v>623</v>
      </c>
      <c r="C1059" s="1" t="s">
        <v>623</v>
      </c>
      <c r="D1059" s="1" t="s">
        <v>624</v>
      </c>
      <c r="E1059" s="1" t="s">
        <v>337</v>
      </c>
      <c r="N1059" s="7">
        <v>45947</v>
      </c>
      <c r="O1059" s="1">
        <v>365</v>
      </c>
      <c r="P1059" s="7">
        <v>46312</v>
      </c>
      <c r="Q1059" s="1" t="s">
        <v>330</v>
      </c>
      <c r="T1059" s="1" t="s">
        <v>629</v>
      </c>
      <c r="U1059" s="1" t="s">
        <v>630</v>
      </c>
      <c r="V1059" s="1">
        <v>1</v>
      </c>
      <c r="W1059" s="3">
        <v>7200</v>
      </c>
      <c r="X1059" s="3">
        <v>7200</v>
      </c>
      <c r="Y1059" s="1" t="str">
        <f>VLOOKUP(A1059,[1]Detalle!$D$2:$CR$484,93,FALSE)</f>
        <v>CMQ_TTE - QUILMES TTE</v>
      </c>
    </row>
    <row r="1060" spans="1:25" ht="14.25" customHeight="1" x14ac:dyDescent="0.3">
      <c r="A1060" s="1" t="s">
        <v>649</v>
      </c>
      <c r="B1060" s="1" t="s">
        <v>623</v>
      </c>
      <c r="C1060" s="1" t="s">
        <v>623</v>
      </c>
      <c r="D1060" s="1" t="s">
        <v>624</v>
      </c>
      <c r="E1060" s="1" t="s">
        <v>337</v>
      </c>
      <c r="N1060" s="7">
        <v>45947</v>
      </c>
      <c r="O1060" s="1">
        <v>365</v>
      </c>
      <c r="P1060" s="7">
        <v>46312</v>
      </c>
      <c r="Q1060" s="1" t="s">
        <v>330</v>
      </c>
      <c r="T1060" s="1" t="s">
        <v>631</v>
      </c>
      <c r="U1060" s="1" t="s">
        <v>632</v>
      </c>
      <c r="V1060" s="1">
        <v>1</v>
      </c>
      <c r="W1060" s="3">
        <v>7286.36</v>
      </c>
      <c r="X1060" s="3">
        <v>7286.36</v>
      </c>
      <c r="Y1060" s="1" t="str">
        <f>VLOOKUP(A1060,[1]Detalle!$D$2:$CR$484,93,FALSE)</f>
        <v>CMQ_TTE - QUILMES TTE</v>
      </c>
    </row>
    <row r="1061" spans="1:25" ht="14.25" customHeight="1" x14ac:dyDescent="0.3">
      <c r="A1061" s="1" t="s">
        <v>649</v>
      </c>
      <c r="B1061" s="1" t="s">
        <v>623</v>
      </c>
      <c r="C1061" s="1" t="s">
        <v>623</v>
      </c>
      <c r="D1061" s="1" t="s">
        <v>624</v>
      </c>
      <c r="E1061" s="1" t="s">
        <v>337</v>
      </c>
      <c r="N1061" s="7">
        <v>45947</v>
      </c>
      <c r="O1061" s="1">
        <v>365</v>
      </c>
      <c r="P1061" s="7">
        <v>46312</v>
      </c>
      <c r="Q1061" s="1" t="s">
        <v>330</v>
      </c>
      <c r="T1061" s="1" t="s">
        <v>633</v>
      </c>
      <c r="U1061" s="1" t="s">
        <v>634</v>
      </c>
      <c r="V1061" s="1">
        <v>4</v>
      </c>
      <c r="W1061" s="3">
        <v>153102.49</v>
      </c>
      <c r="X1061" s="3">
        <v>612409.96</v>
      </c>
      <c r="Y1061" s="1" t="str">
        <f>VLOOKUP(A1061,[1]Detalle!$D$2:$CR$484,93,FALSE)</f>
        <v>CMQ_TTE - QUILMES TTE</v>
      </c>
    </row>
    <row r="1062" spans="1:25" ht="14.25" customHeight="1" x14ac:dyDescent="0.3">
      <c r="A1062" s="1" t="s">
        <v>650</v>
      </c>
      <c r="B1062" s="1" t="s">
        <v>623</v>
      </c>
      <c r="C1062" s="1" t="s">
        <v>623</v>
      </c>
      <c r="D1062" s="1" t="s">
        <v>624</v>
      </c>
      <c r="E1062" s="1" t="s">
        <v>337</v>
      </c>
      <c r="F1062" s="1">
        <v>0</v>
      </c>
      <c r="G1062" s="1">
        <v>365</v>
      </c>
      <c r="H1062" s="1">
        <v>2692.8</v>
      </c>
      <c r="I1062" s="1">
        <v>-2327.8000000000002</v>
      </c>
      <c r="J1062" s="1">
        <v>2692.8</v>
      </c>
      <c r="K1062" s="1">
        <v>93</v>
      </c>
      <c r="L1062" s="1">
        <v>28.954838709677421</v>
      </c>
      <c r="M1062" s="1">
        <v>-80.394162210338678</v>
      </c>
      <c r="N1062" s="7">
        <v>45947</v>
      </c>
      <c r="O1062" s="1">
        <v>365</v>
      </c>
      <c r="P1062" s="7">
        <v>46312</v>
      </c>
      <c r="Q1062" s="1" t="s">
        <v>330</v>
      </c>
      <c r="T1062" s="1" t="s">
        <v>625</v>
      </c>
      <c r="U1062" s="1" t="s">
        <v>626</v>
      </c>
      <c r="V1062" s="1">
        <v>1</v>
      </c>
      <c r="W1062" s="3">
        <v>57923.55</v>
      </c>
      <c r="X1062" s="3">
        <v>57923.55</v>
      </c>
      <c r="Y1062" s="1" t="str">
        <f>VLOOKUP(A1062,[1]Detalle!$D$2:$CR$484,93,FALSE)</f>
        <v>CMQ_TTE - QUILMES TTE</v>
      </c>
    </row>
    <row r="1063" spans="1:25" ht="14.25" customHeight="1" x14ac:dyDescent="0.3">
      <c r="A1063" s="1" t="s">
        <v>650</v>
      </c>
      <c r="B1063" s="1" t="s">
        <v>623</v>
      </c>
      <c r="C1063" s="1" t="s">
        <v>623</v>
      </c>
      <c r="D1063" s="1" t="s">
        <v>624</v>
      </c>
      <c r="E1063" s="1" t="s">
        <v>337</v>
      </c>
      <c r="F1063" s="1">
        <v>0</v>
      </c>
      <c r="G1063" s="1">
        <v>365</v>
      </c>
      <c r="H1063" s="1">
        <v>2692.8</v>
      </c>
      <c r="I1063" s="1">
        <v>-2327.8000000000002</v>
      </c>
      <c r="J1063" s="1">
        <v>2692.8</v>
      </c>
      <c r="K1063" s="1">
        <v>93</v>
      </c>
      <c r="L1063" s="1">
        <v>28.954838709677421</v>
      </c>
      <c r="M1063" s="1">
        <v>-80.394162210338678</v>
      </c>
      <c r="N1063" s="7">
        <v>45947</v>
      </c>
      <c r="O1063" s="1">
        <v>365</v>
      </c>
      <c r="P1063" s="7">
        <v>46312</v>
      </c>
      <c r="Q1063" s="1" t="s">
        <v>330</v>
      </c>
      <c r="T1063" s="1" t="s">
        <v>627</v>
      </c>
      <c r="U1063" s="1" t="s">
        <v>628</v>
      </c>
      <c r="V1063" s="1">
        <v>1</v>
      </c>
      <c r="W1063" s="3">
        <v>14370.83</v>
      </c>
      <c r="X1063" s="3">
        <v>14370.83</v>
      </c>
      <c r="Y1063" s="1" t="str">
        <f>VLOOKUP(A1063,[1]Detalle!$D$2:$CR$484,93,FALSE)</f>
        <v>CMQ_TTE - QUILMES TTE</v>
      </c>
    </row>
    <row r="1064" spans="1:25" ht="14.25" customHeight="1" x14ac:dyDescent="0.3">
      <c r="A1064" s="1" t="s">
        <v>650</v>
      </c>
      <c r="B1064" s="1" t="s">
        <v>623</v>
      </c>
      <c r="C1064" s="1" t="s">
        <v>623</v>
      </c>
      <c r="D1064" s="1" t="s">
        <v>624</v>
      </c>
      <c r="E1064" s="1" t="s">
        <v>337</v>
      </c>
      <c r="F1064" s="1">
        <v>0</v>
      </c>
      <c r="G1064" s="1">
        <v>365</v>
      </c>
      <c r="H1064" s="1">
        <v>2692.8</v>
      </c>
      <c r="I1064" s="1">
        <v>-2327.8000000000002</v>
      </c>
      <c r="J1064" s="1">
        <v>2692.8</v>
      </c>
      <c r="K1064" s="1">
        <v>93</v>
      </c>
      <c r="L1064" s="1">
        <v>28.954838709677421</v>
      </c>
      <c r="M1064" s="1">
        <v>-80.394162210338678</v>
      </c>
      <c r="N1064" s="7">
        <v>45947</v>
      </c>
      <c r="O1064" s="1">
        <v>365</v>
      </c>
      <c r="P1064" s="7">
        <v>46312</v>
      </c>
      <c r="Q1064" s="1" t="s">
        <v>330</v>
      </c>
      <c r="T1064" s="1" t="s">
        <v>629</v>
      </c>
      <c r="U1064" s="1" t="s">
        <v>630</v>
      </c>
      <c r="V1064" s="1">
        <v>1</v>
      </c>
      <c r="W1064" s="3">
        <v>7200</v>
      </c>
      <c r="X1064" s="3">
        <v>7200</v>
      </c>
      <c r="Y1064" s="1" t="str">
        <f>VLOOKUP(A1064,[1]Detalle!$D$2:$CR$484,93,FALSE)</f>
        <v>CMQ_TTE - QUILMES TTE</v>
      </c>
    </row>
    <row r="1065" spans="1:25" ht="14.25" customHeight="1" x14ac:dyDescent="0.3">
      <c r="A1065" s="1" t="s">
        <v>650</v>
      </c>
      <c r="B1065" s="1" t="s">
        <v>623</v>
      </c>
      <c r="C1065" s="1" t="s">
        <v>623</v>
      </c>
      <c r="D1065" s="1" t="s">
        <v>624</v>
      </c>
      <c r="E1065" s="1" t="s">
        <v>337</v>
      </c>
      <c r="F1065" s="1">
        <v>0</v>
      </c>
      <c r="G1065" s="1">
        <v>365</v>
      </c>
      <c r="H1065" s="1">
        <v>2692.8</v>
      </c>
      <c r="I1065" s="1">
        <v>-2327.8000000000002</v>
      </c>
      <c r="J1065" s="1">
        <v>2692.8</v>
      </c>
      <c r="K1065" s="1">
        <v>93</v>
      </c>
      <c r="L1065" s="1">
        <v>28.954838709677421</v>
      </c>
      <c r="M1065" s="1">
        <v>-80.394162210338678</v>
      </c>
      <c r="N1065" s="7">
        <v>45947</v>
      </c>
      <c r="O1065" s="1">
        <v>365</v>
      </c>
      <c r="P1065" s="7">
        <v>46312</v>
      </c>
      <c r="Q1065" s="1" t="s">
        <v>330</v>
      </c>
      <c r="T1065" s="1" t="s">
        <v>631</v>
      </c>
      <c r="U1065" s="1" t="s">
        <v>632</v>
      </c>
      <c r="V1065" s="1">
        <v>1</v>
      </c>
      <c r="W1065" s="3">
        <v>7286.36</v>
      </c>
      <c r="X1065" s="3">
        <v>7286.36</v>
      </c>
      <c r="Y1065" s="1" t="str">
        <f>VLOOKUP(A1065,[1]Detalle!$D$2:$CR$484,93,FALSE)</f>
        <v>CMQ_TTE - QUILMES TTE</v>
      </c>
    </row>
    <row r="1066" spans="1:25" ht="14.25" customHeight="1" x14ac:dyDescent="0.3">
      <c r="A1066" s="1" t="s">
        <v>650</v>
      </c>
      <c r="B1066" s="1" t="s">
        <v>623</v>
      </c>
      <c r="C1066" s="1" t="s">
        <v>623</v>
      </c>
      <c r="D1066" s="1" t="s">
        <v>624</v>
      </c>
      <c r="E1066" s="1" t="s">
        <v>337</v>
      </c>
      <c r="F1066" s="1">
        <v>0</v>
      </c>
      <c r="G1066" s="1">
        <v>365</v>
      </c>
      <c r="H1066" s="1">
        <v>2692.8</v>
      </c>
      <c r="I1066" s="1">
        <v>-2327.8000000000002</v>
      </c>
      <c r="J1066" s="1">
        <v>2692.8</v>
      </c>
      <c r="K1066" s="1">
        <v>93</v>
      </c>
      <c r="L1066" s="1">
        <v>28.954838709677421</v>
      </c>
      <c r="M1066" s="1">
        <v>-80.394162210338678</v>
      </c>
      <c r="N1066" s="7">
        <v>45947</v>
      </c>
      <c r="O1066" s="1">
        <v>365</v>
      </c>
      <c r="P1066" s="7">
        <v>46312</v>
      </c>
      <c r="Q1066" s="1" t="s">
        <v>330</v>
      </c>
      <c r="T1066" s="1" t="s">
        <v>633</v>
      </c>
      <c r="U1066" s="1" t="s">
        <v>634</v>
      </c>
      <c r="V1066" s="1">
        <v>4</v>
      </c>
      <c r="W1066" s="3">
        <v>153102.49</v>
      </c>
      <c r="X1066" s="3">
        <v>612409.96</v>
      </c>
      <c r="Y1066" s="1" t="str">
        <f>VLOOKUP(A1066,[1]Detalle!$D$2:$CR$484,93,FALSE)</f>
        <v>CMQ_TTE - QUILMES TTE</v>
      </c>
    </row>
    <row r="1067" spans="1:25" ht="14.25" customHeight="1" x14ac:dyDescent="0.3">
      <c r="A1067" s="1" t="s">
        <v>651</v>
      </c>
      <c r="B1067" s="1" t="s">
        <v>623</v>
      </c>
      <c r="C1067" s="1" t="s">
        <v>623</v>
      </c>
      <c r="D1067" s="1" t="s">
        <v>624</v>
      </c>
      <c r="E1067" s="1" t="s">
        <v>337</v>
      </c>
      <c r="N1067" s="7">
        <v>45947</v>
      </c>
      <c r="O1067" s="1">
        <v>365</v>
      </c>
      <c r="P1067" s="7">
        <v>46312</v>
      </c>
      <c r="Q1067" s="1" t="s">
        <v>330</v>
      </c>
      <c r="T1067" s="1" t="s">
        <v>625</v>
      </c>
      <c r="U1067" s="1" t="s">
        <v>626</v>
      </c>
      <c r="V1067" s="1">
        <v>1</v>
      </c>
      <c r="W1067" s="3">
        <v>57923.55</v>
      </c>
      <c r="X1067" s="3">
        <v>57923.55</v>
      </c>
      <c r="Y1067" s="1" t="str">
        <f>VLOOKUP(A1067,[1]Detalle!$D$2:$CR$484,93,FALSE)</f>
        <v>CMQ_TTE - QUILMES TTE</v>
      </c>
    </row>
    <row r="1068" spans="1:25" ht="14.25" customHeight="1" x14ac:dyDescent="0.3">
      <c r="A1068" s="1" t="s">
        <v>651</v>
      </c>
      <c r="B1068" s="1" t="s">
        <v>623</v>
      </c>
      <c r="C1068" s="1" t="s">
        <v>623</v>
      </c>
      <c r="D1068" s="1" t="s">
        <v>624</v>
      </c>
      <c r="E1068" s="1" t="s">
        <v>337</v>
      </c>
      <c r="N1068" s="7">
        <v>45947</v>
      </c>
      <c r="O1068" s="1">
        <v>365</v>
      </c>
      <c r="P1068" s="7">
        <v>46312</v>
      </c>
      <c r="Q1068" s="1" t="s">
        <v>330</v>
      </c>
      <c r="T1068" s="1" t="s">
        <v>627</v>
      </c>
      <c r="U1068" s="1" t="s">
        <v>628</v>
      </c>
      <c r="V1068" s="1">
        <v>1</v>
      </c>
      <c r="W1068" s="3">
        <v>14370.83</v>
      </c>
      <c r="X1068" s="3">
        <v>14370.83</v>
      </c>
      <c r="Y1068" s="1" t="str">
        <f>VLOOKUP(A1068,[1]Detalle!$D$2:$CR$484,93,FALSE)</f>
        <v>CMQ_TTE - QUILMES TTE</v>
      </c>
    </row>
    <row r="1069" spans="1:25" ht="14.25" customHeight="1" x14ac:dyDescent="0.3">
      <c r="A1069" s="1" t="s">
        <v>651</v>
      </c>
      <c r="B1069" s="1" t="s">
        <v>623</v>
      </c>
      <c r="C1069" s="1" t="s">
        <v>623</v>
      </c>
      <c r="D1069" s="1" t="s">
        <v>624</v>
      </c>
      <c r="E1069" s="1" t="s">
        <v>337</v>
      </c>
      <c r="N1069" s="7">
        <v>45947</v>
      </c>
      <c r="O1069" s="1">
        <v>365</v>
      </c>
      <c r="P1069" s="7">
        <v>46312</v>
      </c>
      <c r="Q1069" s="1" t="s">
        <v>330</v>
      </c>
      <c r="T1069" s="1" t="s">
        <v>629</v>
      </c>
      <c r="U1069" s="1" t="s">
        <v>630</v>
      </c>
      <c r="V1069" s="1">
        <v>1</v>
      </c>
      <c r="W1069" s="3">
        <v>7200</v>
      </c>
      <c r="X1069" s="3">
        <v>7200</v>
      </c>
      <c r="Y1069" s="1" t="str">
        <f>VLOOKUP(A1069,[1]Detalle!$D$2:$CR$484,93,FALSE)</f>
        <v>CMQ_TTE - QUILMES TTE</v>
      </c>
    </row>
    <row r="1070" spans="1:25" ht="14.25" customHeight="1" x14ac:dyDescent="0.3">
      <c r="A1070" s="1" t="s">
        <v>651</v>
      </c>
      <c r="B1070" s="1" t="s">
        <v>623</v>
      </c>
      <c r="C1070" s="1" t="s">
        <v>623</v>
      </c>
      <c r="D1070" s="1" t="s">
        <v>624</v>
      </c>
      <c r="E1070" s="1" t="s">
        <v>337</v>
      </c>
      <c r="N1070" s="7">
        <v>45947</v>
      </c>
      <c r="O1070" s="1">
        <v>365</v>
      </c>
      <c r="P1070" s="7">
        <v>46312</v>
      </c>
      <c r="Q1070" s="1" t="s">
        <v>330</v>
      </c>
      <c r="T1070" s="1" t="s">
        <v>631</v>
      </c>
      <c r="U1070" s="1" t="s">
        <v>632</v>
      </c>
      <c r="V1070" s="1">
        <v>1</v>
      </c>
      <c r="W1070" s="3">
        <v>7286.36</v>
      </c>
      <c r="X1070" s="3">
        <v>7286.36</v>
      </c>
      <c r="Y1070" s="1" t="str">
        <f>VLOOKUP(A1070,[1]Detalle!$D$2:$CR$484,93,FALSE)</f>
        <v>CMQ_TTE - QUILMES TTE</v>
      </c>
    </row>
    <row r="1071" spans="1:25" ht="14.25" customHeight="1" x14ac:dyDescent="0.3">
      <c r="A1071" s="1" t="s">
        <v>651</v>
      </c>
      <c r="B1071" s="1" t="s">
        <v>623</v>
      </c>
      <c r="C1071" s="1" t="s">
        <v>623</v>
      </c>
      <c r="D1071" s="1" t="s">
        <v>624</v>
      </c>
      <c r="E1071" s="1" t="s">
        <v>337</v>
      </c>
      <c r="N1071" s="7">
        <v>45947</v>
      </c>
      <c r="O1071" s="1">
        <v>365</v>
      </c>
      <c r="P1071" s="7">
        <v>46312</v>
      </c>
      <c r="Q1071" s="1" t="s">
        <v>330</v>
      </c>
      <c r="T1071" s="1" t="s">
        <v>633</v>
      </c>
      <c r="U1071" s="1" t="s">
        <v>634</v>
      </c>
      <c r="V1071" s="1">
        <v>4</v>
      </c>
      <c r="W1071" s="3">
        <v>153102.49</v>
      </c>
      <c r="X1071" s="3">
        <v>612409.96</v>
      </c>
      <c r="Y1071" s="1" t="str">
        <f>VLOOKUP(A1071,[1]Detalle!$D$2:$CR$484,93,FALSE)</f>
        <v>CMQ_TTE - QUILMES TTE</v>
      </c>
    </row>
    <row r="1072" spans="1:25" ht="14.25" customHeight="1" x14ac:dyDescent="0.3">
      <c r="A1072" s="1" t="s">
        <v>652</v>
      </c>
      <c r="B1072" s="1" t="s">
        <v>623</v>
      </c>
      <c r="C1072" s="1" t="s">
        <v>623</v>
      </c>
      <c r="D1072" s="1" t="s">
        <v>624</v>
      </c>
      <c r="E1072" s="1" t="s">
        <v>337</v>
      </c>
      <c r="N1072" s="7">
        <v>45947</v>
      </c>
      <c r="O1072" s="1">
        <v>365</v>
      </c>
      <c r="P1072" s="7">
        <v>46312</v>
      </c>
      <c r="Q1072" s="1" t="s">
        <v>330</v>
      </c>
      <c r="T1072" s="1" t="s">
        <v>625</v>
      </c>
      <c r="U1072" s="1" t="s">
        <v>626</v>
      </c>
      <c r="V1072" s="1">
        <v>1</v>
      </c>
      <c r="W1072" s="3">
        <v>57923.55</v>
      </c>
      <c r="X1072" s="3">
        <v>57923.55</v>
      </c>
      <c r="Y1072" s="1" t="str">
        <f>VLOOKUP(A1072,[1]Detalle!$D$2:$CR$484,93,FALSE)</f>
        <v>Expreso - Servicios Troncales</v>
      </c>
    </row>
    <row r="1073" spans="1:25" ht="14.25" customHeight="1" x14ac:dyDescent="0.3">
      <c r="A1073" s="1" t="s">
        <v>652</v>
      </c>
      <c r="B1073" s="1" t="s">
        <v>623</v>
      </c>
      <c r="C1073" s="1" t="s">
        <v>623</v>
      </c>
      <c r="D1073" s="1" t="s">
        <v>624</v>
      </c>
      <c r="E1073" s="1" t="s">
        <v>337</v>
      </c>
      <c r="N1073" s="7">
        <v>45947</v>
      </c>
      <c r="O1073" s="1">
        <v>365</v>
      </c>
      <c r="P1073" s="7">
        <v>46312</v>
      </c>
      <c r="Q1073" s="1" t="s">
        <v>330</v>
      </c>
      <c r="T1073" s="1" t="s">
        <v>627</v>
      </c>
      <c r="U1073" s="1" t="s">
        <v>628</v>
      </c>
      <c r="V1073" s="1">
        <v>1</v>
      </c>
      <c r="W1073" s="3">
        <v>14370.83</v>
      </c>
      <c r="X1073" s="3">
        <v>14370.83</v>
      </c>
      <c r="Y1073" s="1" t="str">
        <f>VLOOKUP(A1073,[1]Detalle!$D$2:$CR$484,93,FALSE)</f>
        <v>Expreso - Servicios Troncales</v>
      </c>
    </row>
    <row r="1074" spans="1:25" ht="14.25" customHeight="1" x14ac:dyDescent="0.3">
      <c r="A1074" s="1" t="s">
        <v>652</v>
      </c>
      <c r="B1074" s="1" t="s">
        <v>623</v>
      </c>
      <c r="C1074" s="1" t="s">
        <v>623</v>
      </c>
      <c r="D1074" s="1" t="s">
        <v>624</v>
      </c>
      <c r="E1074" s="1" t="s">
        <v>337</v>
      </c>
      <c r="N1074" s="7">
        <v>45947</v>
      </c>
      <c r="O1074" s="1">
        <v>365</v>
      </c>
      <c r="P1074" s="7">
        <v>46312</v>
      </c>
      <c r="Q1074" s="1" t="s">
        <v>330</v>
      </c>
      <c r="T1074" s="1" t="s">
        <v>629</v>
      </c>
      <c r="U1074" s="1" t="s">
        <v>630</v>
      </c>
      <c r="V1074" s="1">
        <v>1</v>
      </c>
      <c r="W1074" s="3">
        <v>7200</v>
      </c>
      <c r="X1074" s="3">
        <v>7200</v>
      </c>
      <c r="Y1074" s="1" t="str">
        <f>VLOOKUP(A1074,[1]Detalle!$D$2:$CR$484,93,FALSE)</f>
        <v>Expreso - Servicios Troncales</v>
      </c>
    </row>
    <row r="1075" spans="1:25" ht="14.25" customHeight="1" x14ac:dyDescent="0.3">
      <c r="A1075" s="1" t="s">
        <v>652</v>
      </c>
      <c r="B1075" s="1" t="s">
        <v>623</v>
      </c>
      <c r="C1075" s="1" t="s">
        <v>623</v>
      </c>
      <c r="D1075" s="1" t="s">
        <v>624</v>
      </c>
      <c r="E1075" s="1" t="s">
        <v>337</v>
      </c>
      <c r="N1075" s="7">
        <v>45947</v>
      </c>
      <c r="O1075" s="1">
        <v>365</v>
      </c>
      <c r="P1075" s="7">
        <v>46312</v>
      </c>
      <c r="Q1075" s="1" t="s">
        <v>330</v>
      </c>
      <c r="T1075" s="1" t="s">
        <v>631</v>
      </c>
      <c r="U1075" s="1" t="s">
        <v>632</v>
      </c>
      <c r="V1075" s="1">
        <v>1</v>
      </c>
      <c r="W1075" s="3">
        <v>7286.36</v>
      </c>
      <c r="X1075" s="3">
        <v>7286.36</v>
      </c>
      <c r="Y1075" s="1" t="str">
        <f>VLOOKUP(A1075,[1]Detalle!$D$2:$CR$484,93,FALSE)</f>
        <v>Expreso - Servicios Troncales</v>
      </c>
    </row>
    <row r="1076" spans="1:25" ht="14.25" customHeight="1" x14ac:dyDescent="0.3">
      <c r="A1076" s="1" t="s">
        <v>652</v>
      </c>
      <c r="B1076" s="1" t="s">
        <v>623</v>
      </c>
      <c r="C1076" s="1" t="s">
        <v>623</v>
      </c>
      <c r="D1076" s="1" t="s">
        <v>624</v>
      </c>
      <c r="E1076" s="1" t="s">
        <v>337</v>
      </c>
      <c r="N1076" s="7">
        <v>45947</v>
      </c>
      <c r="O1076" s="1">
        <v>365</v>
      </c>
      <c r="P1076" s="7">
        <v>46312</v>
      </c>
      <c r="Q1076" s="1" t="s">
        <v>330</v>
      </c>
      <c r="T1076" s="1" t="s">
        <v>633</v>
      </c>
      <c r="U1076" s="1" t="s">
        <v>634</v>
      </c>
      <c r="V1076" s="1">
        <v>4</v>
      </c>
      <c r="W1076" s="3">
        <v>153102.49</v>
      </c>
      <c r="X1076" s="3">
        <v>612409.96</v>
      </c>
      <c r="Y1076" s="1" t="str">
        <f>VLOOKUP(A1076,[1]Detalle!$D$2:$CR$484,93,FALSE)</f>
        <v>Expreso - Servicios Troncales</v>
      </c>
    </row>
    <row r="1077" spans="1:25" ht="14.25" customHeight="1" x14ac:dyDescent="0.3">
      <c r="A1077" s="1" t="s">
        <v>653</v>
      </c>
      <c r="B1077" s="1" t="s">
        <v>623</v>
      </c>
      <c r="C1077" s="1" t="s">
        <v>623</v>
      </c>
      <c r="D1077" s="1" t="s">
        <v>624</v>
      </c>
      <c r="E1077" s="1" t="s">
        <v>337</v>
      </c>
      <c r="N1077" s="7">
        <v>45947</v>
      </c>
      <c r="O1077" s="1">
        <v>365</v>
      </c>
      <c r="P1077" s="7">
        <v>46312</v>
      </c>
      <c r="Q1077" s="1" t="s">
        <v>330</v>
      </c>
      <c r="T1077" s="1" t="s">
        <v>625</v>
      </c>
      <c r="U1077" s="1" t="s">
        <v>626</v>
      </c>
      <c r="V1077" s="1">
        <v>1</v>
      </c>
      <c r="W1077" s="3">
        <v>57923.55</v>
      </c>
      <c r="X1077" s="3">
        <v>57923.55</v>
      </c>
      <c r="Y1077" s="1" t="str">
        <f>VLOOKUP(A1077,[1]Detalle!$D$2:$CR$484,93,FALSE)</f>
        <v>Expreso - Servicios Troncales</v>
      </c>
    </row>
    <row r="1078" spans="1:25" ht="14.25" customHeight="1" x14ac:dyDescent="0.3">
      <c r="A1078" s="1" t="s">
        <v>653</v>
      </c>
      <c r="B1078" s="1" t="s">
        <v>623</v>
      </c>
      <c r="C1078" s="1" t="s">
        <v>623</v>
      </c>
      <c r="D1078" s="1" t="s">
        <v>624</v>
      </c>
      <c r="E1078" s="1" t="s">
        <v>337</v>
      </c>
      <c r="N1078" s="7">
        <v>45947</v>
      </c>
      <c r="O1078" s="1">
        <v>365</v>
      </c>
      <c r="P1078" s="7">
        <v>46312</v>
      </c>
      <c r="Q1078" s="1" t="s">
        <v>330</v>
      </c>
      <c r="T1078" s="1" t="s">
        <v>627</v>
      </c>
      <c r="U1078" s="1" t="s">
        <v>628</v>
      </c>
      <c r="V1078" s="1">
        <v>1</v>
      </c>
      <c r="W1078" s="3">
        <v>14370.83</v>
      </c>
      <c r="X1078" s="3">
        <v>14370.83</v>
      </c>
      <c r="Y1078" s="1" t="str">
        <f>VLOOKUP(A1078,[1]Detalle!$D$2:$CR$484,93,FALSE)</f>
        <v>Expreso - Servicios Troncales</v>
      </c>
    </row>
    <row r="1079" spans="1:25" ht="14.25" customHeight="1" x14ac:dyDescent="0.3">
      <c r="A1079" s="1" t="s">
        <v>653</v>
      </c>
      <c r="B1079" s="1" t="s">
        <v>623</v>
      </c>
      <c r="C1079" s="1" t="s">
        <v>623</v>
      </c>
      <c r="D1079" s="1" t="s">
        <v>624</v>
      </c>
      <c r="E1079" s="1" t="s">
        <v>337</v>
      </c>
      <c r="N1079" s="7">
        <v>45947</v>
      </c>
      <c r="O1079" s="1">
        <v>365</v>
      </c>
      <c r="P1079" s="7">
        <v>46312</v>
      </c>
      <c r="Q1079" s="1" t="s">
        <v>330</v>
      </c>
      <c r="T1079" s="1" t="s">
        <v>629</v>
      </c>
      <c r="U1079" s="1" t="s">
        <v>630</v>
      </c>
      <c r="V1079" s="1">
        <v>1</v>
      </c>
      <c r="W1079" s="3">
        <v>7200</v>
      </c>
      <c r="X1079" s="3">
        <v>7200</v>
      </c>
      <c r="Y1079" s="1" t="str">
        <f>VLOOKUP(A1079,[1]Detalle!$D$2:$CR$484,93,FALSE)</f>
        <v>Expreso - Servicios Troncales</v>
      </c>
    </row>
    <row r="1080" spans="1:25" ht="14.25" customHeight="1" x14ac:dyDescent="0.3">
      <c r="A1080" s="1" t="s">
        <v>653</v>
      </c>
      <c r="B1080" s="1" t="s">
        <v>623</v>
      </c>
      <c r="C1080" s="1" t="s">
        <v>623</v>
      </c>
      <c r="D1080" s="1" t="s">
        <v>624</v>
      </c>
      <c r="E1080" s="1" t="s">
        <v>337</v>
      </c>
      <c r="N1080" s="7">
        <v>45947</v>
      </c>
      <c r="O1080" s="1">
        <v>365</v>
      </c>
      <c r="P1080" s="7">
        <v>46312</v>
      </c>
      <c r="Q1080" s="1" t="s">
        <v>330</v>
      </c>
      <c r="T1080" s="1" t="s">
        <v>631</v>
      </c>
      <c r="U1080" s="1" t="s">
        <v>632</v>
      </c>
      <c r="V1080" s="1">
        <v>1</v>
      </c>
      <c r="W1080" s="3">
        <v>7286.36</v>
      </c>
      <c r="X1080" s="3">
        <v>7286.36</v>
      </c>
      <c r="Y1080" s="1" t="str">
        <f>VLOOKUP(A1080,[1]Detalle!$D$2:$CR$484,93,FALSE)</f>
        <v>Expreso - Servicios Troncales</v>
      </c>
    </row>
    <row r="1081" spans="1:25" ht="14.25" customHeight="1" x14ac:dyDescent="0.3">
      <c r="A1081" s="1" t="s">
        <v>653</v>
      </c>
      <c r="B1081" s="1" t="s">
        <v>623</v>
      </c>
      <c r="C1081" s="1" t="s">
        <v>623</v>
      </c>
      <c r="D1081" s="1" t="s">
        <v>624</v>
      </c>
      <c r="E1081" s="1" t="s">
        <v>337</v>
      </c>
      <c r="N1081" s="7">
        <v>45947</v>
      </c>
      <c r="O1081" s="1">
        <v>365</v>
      </c>
      <c r="P1081" s="7">
        <v>46312</v>
      </c>
      <c r="Q1081" s="1" t="s">
        <v>330</v>
      </c>
      <c r="T1081" s="1" t="s">
        <v>633</v>
      </c>
      <c r="U1081" s="1" t="s">
        <v>634</v>
      </c>
      <c r="V1081" s="1">
        <v>4</v>
      </c>
      <c r="W1081" s="3">
        <v>153102.49</v>
      </c>
      <c r="X1081" s="3">
        <v>612409.96</v>
      </c>
      <c r="Y1081" s="1" t="str">
        <f>VLOOKUP(A1081,[1]Detalle!$D$2:$CR$484,93,FALSE)</f>
        <v>Expreso - Servicios Troncales</v>
      </c>
    </row>
    <row r="1082" spans="1:25" ht="14.25" customHeight="1" x14ac:dyDescent="0.3">
      <c r="A1082" s="1" t="s">
        <v>654</v>
      </c>
      <c r="B1082" s="1" t="s">
        <v>623</v>
      </c>
      <c r="C1082" s="1" t="s">
        <v>623</v>
      </c>
      <c r="D1082" s="1" t="s">
        <v>624</v>
      </c>
      <c r="E1082" s="1" t="s">
        <v>337</v>
      </c>
      <c r="N1082" s="7">
        <v>45947</v>
      </c>
      <c r="O1082" s="1">
        <v>365</v>
      </c>
      <c r="P1082" s="7">
        <v>46312</v>
      </c>
      <c r="Q1082" s="1" t="s">
        <v>330</v>
      </c>
      <c r="T1082" s="1" t="s">
        <v>625</v>
      </c>
      <c r="U1082" s="1" t="s">
        <v>626</v>
      </c>
      <c r="V1082" s="1">
        <v>1</v>
      </c>
      <c r="W1082" s="3">
        <v>57923.55</v>
      </c>
      <c r="X1082" s="3">
        <v>57923.55</v>
      </c>
      <c r="Y1082" s="1" t="str">
        <f>VLOOKUP(A1082,[1]Detalle!$D$2:$CR$484,93,FALSE)</f>
        <v>Expreso - Servicios Troncales</v>
      </c>
    </row>
    <row r="1083" spans="1:25" ht="14.25" customHeight="1" x14ac:dyDescent="0.3">
      <c r="A1083" s="1" t="s">
        <v>654</v>
      </c>
      <c r="B1083" s="1" t="s">
        <v>623</v>
      </c>
      <c r="C1083" s="1" t="s">
        <v>623</v>
      </c>
      <c r="D1083" s="1" t="s">
        <v>624</v>
      </c>
      <c r="E1083" s="1" t="s">
        <v>337</v>
      </c>
      <c r="N1083" s="7">
        <v>45947</v>
      </c>
      <c r="O1083" s="1">
        <v>365</v>
      </c>
      <c r="P1083" s="7">
        <v>46312</v>
      </c>
      <c r="Q1083" s="1" t="s">
        <v>330</v>
      </c>
      <c r="T1083" s="1" t="s">
        <v>627</v>
      </c>
      <c r="U1083" s="1" t="s">
        <v>628</v>
      </c>
      <c r="V1083" s="1">
        <v>1</v>
      </c>
      <c r="W1083" s="3">
        <v>14370.83</v>
      </c>
      <c r="X1083" s="3">
        <v>14370.83</v>
      </c>
      <c r="Y1083" s="1" t="str">
        <f>VLOOKUP(A1083,[1]Detalle!$D$2:$CR$484,93,FALSE)</f>
        <v>Expreso - Servicios Troncales</v>
      </c>
    </row>
    <row r="1084" spans="1:25" ht="14.25" customHeight="1" x14ac:dyDescent="0.3">
      <c r="A1084" s="1" t="s">
        <v>654</v>
      </c>
      <c r="B1084" s="1" t="s">
        <v>623</v>
      </c>
      <c r="C1084" s="1" t="s">
        <v>623</v>
      </c>
      <c r="D1084" s="1" t="s">
        <v>624</v>
      </c>
      <c r="E1084" s="1" t="s">
        <v>337</v>
      </c>
      <c r="N1084" s="7">
        <v>45947</v>
      </c>
      <c r="O1084" s="1">
        <v>365</v>
      </c>
      <c r="P1084" s="7">
        <v>46312</v>
      </c>
      <c r="Q1084" s="1" t="s">
        <v>330</v>
      </c>
      <c r="T1084" s="1" t="s">
        <v>629</v>
      </c>
      <c r="U1084" s="1" t="s">
        <v>630</v>
      </c>
      <c r="V1084" s="1">
        <v>1</v>
      </c>
      <c r="W1084" s="3">
        <v>7200</v>
      </c>
      <c r="X1084" s="3">
        <v>7200</v>
      </c>
      <c r="Y1084" s="1" t="str">
        <f>VLOOKUP(A1084,[1]Detalle!$D$2:$CR$484,93,FALSE)</f>
        <v>Expreso - Servicios Troncales</v>
      </c>
    </row>
    <row r="1085" spans="1:25" ht="14.25" customHeight="1" x14ac:dyDescent="0.3">
      <c r="A1085" s="1" t="s">
        <v>654</v>
      </c>
      <c r="B1085" s="1" t="s">
        <v>623</v>
      </c>
      <c r="C1085" s="1" t="s">
        <v>623</v>
      </c>
      <c r="D1085" s="1" t="s">
        <v>624</v>
      </c>
      <c r="E1085" s="1" t="s">
        <v>337</v>
      </c>
      <c r="N1085" s="7">
        <v>45947</v>
      </c>
      <c r="O1085" s="1">
        <v>365</v>
      </c>
      <c r="P1085" s="7">
        <v>46312</v>
      </c>
      <c r="Q1085" s="1" t="s">
        <v>330</v>
      </c>
      <c r="T1085" s="1" t="s">
        <v>631</v>
      </c>
      <c r="U1085" s="1" t="s">
        <v>632</v>
      </c>
      <c r="V1085" s="1">
        <v>1</v>
      </c>
      <c r="W1085" s="3">
        <v>7286.36</v>
      </c>
      <c r="X1085" s="3">
        <v>7286.36</v>
      </c>
      <c r="Y1085" s="1" t="str">
        <f>VLOOKUP(A1085,[1]Detalle!$D$2:$CR$484,93,FALSE)</f>
        <v>Expreso - Servicios Troncales</v>
      </c>
    </row>
    <row r="1086" spans="1:25" ht="14.25" customHeight="1" x14ac:dyDescent="0.3">
      <c r="A1086" s="1" t="s">
        <v>654</v>
      </c>
      <c r="B1086" s="1" t="s">
        <v>623</v>
      </c>
      <c r="C1086" s="1" t="s">
        <v>623</v>
      </c>
      <c r="D1086" s="1" t="s">
        <v>624</v>
      </c>
      <c r="E1086" s="1" t="s">
        <v>337</v>
      </c>
      <c r="N1086" s="7">
        <v>45947</v>
      </c>
      <c r="O1086" s="1">
        <v>365</v>
      </c>
      <c r="P1086" s="7">
        <v>46312</v>
      </c>
      <c r="Q1086" s="1" t="s">
        <v>330</v>
      </c>
      <c r="T1086" s="1" t="s">
        <v>633</v>
      </c>
      <c r="U1086" s="1" t="s">
        <v>634</v>
      </c>
      <c r="V1086" s="1">
        <v>4</v>
      </c>
      <c r="W1086" s="3">
        <v>153102.49</v>
      </c>
      <c r="X1086" s="3">
        <v>612409.96</v>
      </c>
      <c r="Y1086" s="1" t="str">
        <f>VLOOKUP(A1086,[1]Detalle!$D$2:$CR$484,93,FALSE)</f>
        <v>Expreso - Servicios Troncales</v>
      </c>
    </row>
    <row r="1087" spans="1:25" ht="14.25" customHeight="1" x14ac:dyDescent="0.3">
      <c r="A1087" s="1" t="s">
        <v>655</v>
      </c>
      <c r="B1087" s="1" t="s">
        <v>623</v>
      </c>
      <c r="C1087" s="1" t="s">
        <v>623</v>
      </c>
      <c r="D1087" s="1" t="s">
        <v>624</v>
      </c>
      <c r="E1087" s="1" t="s">
        <v>337</v>
      </c>
      <c r="N1087" s="7">
        <v>45947</v>
      </c>
      <c r="O1087" s="1">
        <v>365</v>
      </c>
      <c r="P1087" s="7">
        <v>46312</v>
      </c>
      <c r="Q1087" s="1" t="s">
        <v>330</v>
      </c>
      <c r="T1087" s="1" t="s">
        <v>625</v>
      </c>
      <c r="U1087" s="1" t="s">
        <v>626</v>
      </c>
      <c r="V1087" s="1">
        <v>1</v>
      </c>
      <c r="W1087" s="3">
        <v>57923.55</v>
      </c>
      <c r="X1087" s="3">
        <v>57923.55</v>
      </c>
      <c r="Y1087" s="1" t="str">
        <f>VLOOKUP(A1087,[1]Detalle!$D$2:$CR$484,93,FALSE)</f>
        <v>Expreso - Servicios Troncales</v>
      </c>
    </row>
    <row r="1088" spans="1:25" ht="14.25" customHeight="1" x14ac:dyDescent="0.3">
      <c r="A1088" s="1" t="s">
        <v>655</v>
      </c>
      <c r="B1088" s="1" t="s">
        <v>623</v>
      </c>
      <c r="C1088" s="1" t="s">
        <v>623</v>
      </c>
      <c r="D1088" s="1" t="s">
        <v>624</v>
      </c>
      <c r="E1088" s="1" t="s">
        <v>337</v>
      </c>
      <c r="N1088" s="7">
        <v>45947</v>
      </c>
      <c r="O1088" s="1">
        <v>365</v>
      </c>
      <c r="P1088" s="7">
        <v>46312</v>
      </c>
      <c r="Q1088" s="1" t="s">
        <v>330</v>
      </c>
      <c r="T1088" s="1" t="s">
        <v>627</v>
      </c>
      <c r="U1088" s="1" t="s">
        <v>628</v>
      </c>
      <c r="V1088" s="1">
        <v>1</v>
      </c>
      <c r="W1088" s="3">
        <v>14370.83</v>
      </c>
      <c r="X1088" s="3">
        <v>14370.83</v>
      </c>
      <c r="Y1088" s="1" t="str">
        <f>VLOOKUP(A1088,[1]Detalle!$D$2:$CR$484,93,FALSE)</f>
        <v>Expreso - Servicios Troncales</v>
      </c>
    </row>
    <row r="1089" spans="1:25" ht="14.25" customHeight="1" x14ac:dyDescent="0.3">
      <c r="A1089" s="1" t="s">
        <v>655</v>
      </c>
      <c r="B1089" s="1" t="s">
        <v>623</v>
      </c>
      <c r="C1089" s="1" t="s">
        <v>623</v>
      </c>
      <c r="D1089" s="1" t="s">
        <v>624</v>
      </c>
      <c r="E1089" s="1" t="s">
        <v>337</v>
      </c>
      <c r="N1089" s="7">
        <v>45947</v>
      </c>
      <c r="O1089" s="1">
        <v>365</v>
      </c>
      <c r="P1089" s="7">
        <v>46312</v>
      </c>
      <c r="Q1089" s="1" t="s">
        <v>330</v>
      </c>
      <c r="T1089" s="1" t="s">
        <v>629</v>
      </c>
      <c r="U1089" s="1" t="s">
        <v>630</v>
      </c>
      <c r="V1089" s="1">
        <v>1</v>
      </c>
      <c r="W1089" s="3">
        <v>7200</v>
      </c>
      <c r="X1089" s="3">
        <v>7200</v>
      </c>
      <c r="Y1089" s="1" t="str">
        <f>VLOOKUP(A1089,[1]Detalle!$D$2:$CR$484,93,FALSE)</f>
        <v>Expreso - Servicios Troncales</v>
      </c>
    </row>
    <row r="1090" spans="1:25" ht="14.25" customHeight="1" x14ac:dyDescent="0.3">
      <c r="A1090" s="1" t="s">
        <v>655</v>
      </c>
      <c r="B1090" s="1" t="s">
        <v>623</v>
      </c>
      <c r="C1090" s="1" t="s">
        <v>623</v>
      </c>
      <c r="D1090" s="1" t="s">
        <v>624</v>
      </c>
      <c r="E1090" s="1" t="s">
        <v>337</v>
      </c>
      <c r="N1090" s="7">
        <v>45947</v>
      </c>
      <c r="O1090" s="1">
        <v>365</v>
      </c>
      <c r="P1090" s="7">
        <v>46312</v>
      </c>
      <c r="Q1090" s="1" t="s">
        <v>330</v>
      </c>
      <c r="T1090" s="1" t="s">
        <v>631</v>
      </c>
      <c r="U1090" s="1" t="s">
        <v>632</v>
      </c>
      <c r="V1090" s="1">
        <v>1</v>
      </c>
      <c r="W1090" s="3">
        <v>7286.36</v>
      </c>
      <c r="X1090" s="3">
        <v>7286.36</v>
      </c>
      <c r="Y1090" s="1" t="str">
        <f>VLOOKUP(A1090,[1]Detalle!$D$2:$CR$484,93,FALSE)</f>
        <v>Expreso - Servicios Troncales</v>
      </c>
    </row>
    <row r="1091" spans="1:25" ht="14.25" customHeight="1" x14ac:dyDescent="0.3">
      <c r="A1091" s="1" t="s">
        <v>655</v>
      </c>
      <c r="B1091" s="1" t="s">
        <v>623</v>
      </c>
      <c r="C1091" s="1" t="s">
        <v>623</v>
      </c>
      <c r="D1091" s="1" t="s">
        <v>624</v>
      </c>
      <c r="E1091" s="1" t="s">
        <v>337</v>
      </c>
      <c r="N1091" s="7">
        <v>45947</v>
      </c>
      <c r="O1091" s="1">
        <v>365</v>
      </c>
      <c r="P1091" s="7">
        <v>46312</v>
      </c>
      <c r="Q1091" s="1" t="s">
        <v>330</v>
      </c>
      <c r="T1091" s="1" t="s">
        <v>633</v>
      </c>
      <c r="U1091" s="1" t="s">
        <v>634</v>
      </c>
      <c r="V1091" s="1">
        <v>4</v>
      </c>
      <c r="W1091" s="3">
        <v>153102.49</v>
      </c>
      <c r="X1091" s="3">
        <v>612409.96</v>
      </c>
      <c r="Y1091" s="1" t="str">
        <f>VLOOKUP(A1091,[1]Detalle!$D$2:$CR$484,93,FALSE)</f>
        <v>Expreso - Servicios Troncales</v>
      </c>
    </row>
    <row r="1092" spans="1:25" ht="14.25" customHeight="1" x14ac:dyDescent="0.3">
      <c r="A1092" s="1" t="s">
        <v>656</v>
      </c>
      <c r="B1092" s="1" t="s">
        <v>623</v>
      </c>
      <c r="C1092" s="1" t="s">
        <v>623</v>
      </c>
      <c r="D1092" s="1" t="s">
        <v>624</v>
      </c>
      <c r="E1092" s="1" t="s">
        <v>337</v>
      </c>
      <c r="N1092" s="7">
        <v>45947</v>
      </c>
      <c r="O1092" s="1">
        <v>365</v>
      </c>
      <c r="P1092" s="7">
        <v>46312</v>
      </c>
      <c r="Q1092" s="1" t="s">
        <v>330</v>
      </c>
      <c r="T1092" s="1" t="s">
        <v>625</v>
      </c>
      <c r="U1092" s="1" t="s">
        <v>626</v>
      </c>
      <c r="V1092" s="1">
        <v>1</v>
      </c>
      <c r="W1092" s="3">
        <v>57923.55</v>
      </c>
      <c r="X1092" s="3">
        <v>57923.55</v>
      </c>
      <c r="Y1092" s="1" t="str">
        <f>VLOOKUP(A1092,[1]Detalle!$D$2:$CR$484,93,FALSE)</f>
        <v>Expreso - Servicios Troncales</v>
      </c>
    </row>
    <row r="1093" spans="1:25" ht="14.25" customHeight="1" x14ac:dyDescent="0.3">
      <c r="A1093" s="1" t="s">
        <v>656</v>
      </c>
      <c r="B1093" s="1" t="s">
        <v>623</v>
      </c>
      <c r="C1093" s="1" t="s">
        <v>623</v>
      </c>
      <c r="D1093" s="1" t="s">
        <v>624</v>
      </c>
      <c r="E1093" s="1" t="s">
        <v>337</v>
      </c>
      <c r="N1093" s="7">
        <v>45947</v>
      </c>
      <c r="O1093" s="1">
        <v>365</v>
      </c>
      <c r="P1093" s="7">
        <v>46312</v>
      </c>
      <c r="Q1093" s="1" t="s">
        <v>330</v>
      </c>
      <c r="T1093" s="1" t="s">
        <v>627</v>
      </c>
      <c r="U1093" s="1" t="s">
        <v>628</v>
      </c>
      <c r="V1093" s="1">
        <v>1</v>
      </c>
      <c r="W1093" s="3">
        <v>14370.83</v>
      </c>
      <c r="X1093" s="3">
        <v>14370.83</v>
      </c>
      <c r="Y1093" s="1" t="str">
        <f>VLOOKUP(A1093,[1]Detalle!$D$2:$CR$484,93,FALSE)</f>
        <v>Expreso - Servicios Troncales</v>
      </c>
    </row>
    <row r="1094" spans="1:25" ht="14.25" customHeight="1" x14ac:dyDescent="0.3">
      <c r="A1094" s="1" t="s">
        <v>656</v>
      </c>
      <c r="B1094" s="1" t="s">
        <v>623</v>
      </c>
      <c r="C1094" s="1" t="s">
        <v>623</v>
      </c>
      <c r="D1094" s="1" t="s">
        <v>624</v>
      </c>
      <c r="E1094" s="1" t="s">
        <v>337</v>
      </c>
      <c r="N1094" s="7">
        <v>45947</v>
      </c>
      <c r="O1094" s="1">
        <v>365</v>
      </c>
      <c r="P1094" s="7">
        <v>46312</v>
      </c>
      <c r="Q1094" s="1" t="s">
        <v>330</v>
      </c>
      <c r="T1094" s="1" t="s">
        <v>629</v>
      </c>
      <c r="U1094" s="1" t="s">
        <v>630</v>
      </c>
      <c r="V1094" s="1">
        <v>1</v>
      </c>
      <c r="W1094" s="3">
        <v>7200</v>
      </c>
      <c r="X1094" s="3">
        <v>7200</v>
      </c>
      <c r="Y1094" s="1" t="str">
        <f>VLOOKUP(A1094,[1]Detalle!$D$2:$CR$484,93,FALSE)</f>
        <v>Expreso - Servicios Troncales</v>
      </c>
    </row>
    <row r="1095" spans="1:25" ht="14.25" customHeight="1" x14ac:dyDescent="0.3">
      <c r="A1095" s="1" t="s">
        <v>656</v>
      </c>
      <c r="B1095" s="1" t="s">
        <v>623</v>
      </c>
      <c r="C1095" s="1" t="s">
        <v>623</v>
      </c>
      <c r="D1095" s="1" t="s">
        <v>624</v>
      </c>
      <c r="E1095" s="1" t="s">
        <v>337</v>
      </c>
      <c r="N1095" s="7">
        <v>45947</v>
      </c>
      <c r="O1095" s="1">
        <v>365</v>
      </c>
      <c r="P1095" s="7">
        <v>46312</v>
      </c>
      <c r="Q1095" s="1" t="s">
        <v>330</v>
      </c>
      <c r="T1095" s="1" t="s">
        <v>631</v>
      </c>
      <c r="U1095" s="1" t="s">
        <v>632</v>
      </c>
      <c r="V1095" s="1">
        <v>1</v>
      </c>
      <c r="W1095" s="3">
        <v>7286.36</v>
      </c>
      <c r="X1095" s="3">
        <v>7286.36</v>
      </c>
      <c r="Y1095" s="1" t="str">
        <f>VLOOKUP(A1095,[1]Detalle!$D$2:$CR$484,93,FALSE)</f>
        <v>Expreso - Servicios Troncales</v>
      </c>
    </row>
    <row r="1096" spans="1:25" ht="14.25" customHeight="1" x14ac:dyDescent="0.3">
      <c r="A1096" s="1" t="s">
        <v>656</v>
      </c>
      <c r="B1096" s="1" t="s">
        <v>623</v>
      </c>
      <c r="C1096" s="1" t="s">
        <v>623</v>
      </c>
      <c r="D1096" s="1" t="s">
        <v>624</v>
      </c>
      <c r="E1096" s="1" t="s">
        <v>337</v>
      </c>
      <c r="N1096" s="7">
        <v>45947</v>
      </c>
      <c r="O1096" s="1">
        <v>365</v>
      </c>
      <c r="P1096" s="7">
        <v>46312</v>
      </c>
      <c r="Q1096" s="1" t="s">
        <v>330</v>
      </c>
      <c r="T1096" s="1" t="s">
        <v>633</v>
      </c>
      <c r="U1096" s="1" t="s">
        <v>634</v>
      </c>
      <c r="V1096" s="1">
        <v>4</v>
      </c>
      <c r="W1096" s="3">
        <v>153102.49</v>
      </c>
      <c r="X1096" s="3">
        <v>612409.96</v>
      </c>
      <c r="Y1096" s="1" t="str">
        <f>VLOOKUP(A1096,[1]Detalle!$D$2:$CR$484,93,FALSE)</f>
        <v>Expreso - Servicios Troncales</v>
      </c>
    </row>
    <row r="1097" spans="1:25" ht="14.25" customHeight="1" x14ac:dyDescent="0.3">
      <c r="A1097" s="1" t="s">
        <v>657</v>
      </c>
      <c r="B1097" s="1" t="s">
        <v>623</v>
      </c>
      <c r="C1097" s="1" t="s">
        <v>623</v>
      </c>
      <c r="D1097" s="1" t="s">
        <v>624</v>
      </c>
      <c r="E1097" s="1" t="s">
        <v>337</v>
      </c>
      <c r="N1097" s="7">
        <v>45947</v>
      </c>
      <c r="O1097" s="1">
        <v>365</v>
      </c>
      <c r="P1097" s="7">
        <v>46312</v>
      </c>
      <c r="Q1097" s="1" t="s">
        <v>330</v>
      </c>
      <c r="T1097" s="1" t="s">
        <v>625</v>
      </c>
      <c r="U1097" s="1" t="s">
        <v>626</v>
      </c>
      <c r="V1097" s="1">
        <v>1</v>
      </c>
      <c r="W1097" s="3">
        <v>57923.55</v>
      </c>
      <c r="X1097" s="3">
        <v>57923.55</v>
      </c>
      <c r="Y1097" s="1" t="str">
        <f>VLOOKUP(A1097,[1]Detalle!$D$2:$CR$484,93,FALSE)</f>
        <v>Expreso - Servicios Troncales</v>
      </c>
    </row>
    <row r="1098" spans="1:25" ht="14.25" customHeight="1" x14ac:dyDescent="0.3">
      <c r="A1098" s="1" t="s">
        <v>657</v>
      </c>
      <c r="B1098" s="1" t="s">
        <v>623</v>
      </c>
      <c r="C1098" s="1" t="s">
        <v>623</v>
      </c>
      <c r="D1098" s="1" t="s">
        <v>624</v>
      </c>
      <c r="E1098" s="1" t="s">
        <v>337</v>
      </c>
      <c r="N1098" s="7">
        <v>45947</v>
      </c>
      <c r="O1098" s="1">
        <v>365</v>
      </c>
      <c r="P1098" s="7">
        <v>46312</v>
      </c>
      <c r="Q1098" s="1" t="s">
        <v>330</v>
      </c>
      <c r="T1098" s="1" t="s">
        <v>627</v>
      </c>
      <c r="U1098" s="1" t="s">
        <v>628</v>
      </c>
      <c r="V1098" s="1">
        <v>1</v>
      </c>
      <c r="W1098" s="3">
        <v>14370.83</v>
      </c>
      <c r="X1098" s="3">
        <v>14370.83</v>
      </c>
      <c r="Y1098" s="1" t="str">
        <f>VLOOKUP(A1098,[1]Detalle!$D$2:$CR$484,93,FALSE)</f>
        <v>Expreso - Servicios Troncales</v>
      </c>
    </row>
    <row r="1099" spans="1:25" ht="14.25" customHeight="1" x14ac:dyDescent="0.3">
      <c r="A1099" s="1" t="s">
        <v>657</v>
      </c>
      <c r="B1099" s="1" t="s">
        <v>623</v>
      </c>
      <c r="C1099" s="1" t="s">
        <v>623</v>
      </c>
      <c r="D1099" s="1" t="s">
        <v>624</v>
      </c>
      <c r="E1099" s="1" t="s">
        <v>337</v>
      </c>
      <c r="N1099" s="7">
        <v>45947</v>
      </c>
      <c r="O1099" s="1">
        <v>365</v>
      </c>
      <c r="P1099" s="7">
        <v>46312</v>
      </c>
      <c r="Q1099" s="1" t="s">
        <v>330</v>
      </c>
      <c r="T1099" s="1" t="s">
        <v>629</v>
      </c>
      <c r="U1099" s="1" t="s">
        <v>630</v>
      </c>
      <c r="V1099" s="1">
        <v>1</v>
      </c>
      <c r="W1099" s="3">
        <v>7200</v>
      </c>
      <c r="X1099" s="3">
        <v>7200</v>
      </c>
      <c r="Y1099" s="1" t="str">
        <f>VLOOKUP(A1099,[1]Detalle!$D$2:$CR$484,93,FALSE)</f>
        <v>Expreso - Servicios Troncales</v>
      </c>
    </row>
    <row r="1100" spans="1:25" ht="14.25" customHeight="1" x14ac:dyDescent="0.3">
      <c r="A1100" s="1" t="s">
        <v>657</v>
      </c>
      <c r="B1100" s="1" t="s">
        <v>623</v>
      </c>
      <c r="C1100" s="1" t="s">
        <v>623</v>
      </c>
      <c r="D1100" s="1" t="s">
        <v>624</v>
      </c>
      <c r="E1100" s="1" t="s">
        <v>337</v>
      </c>
      <c r="N1100" s="7">
        <v>45947</v>
      </c>
      <c r="O1100" s="1">
        <v>365</v>
      </c>
      <c r="P1100" s="7">
        <v>46312</v>
      </c>
      <c r="Q1100" s="1" t="s">
        <v>330</v>
      </c>
      <c r="T1100" s="1" t="s">
        <v>631</v>
      </c>
      <c r="U1100" s="1" t="s">
        <v>632</v>
      </c>
      <c r="V1100" s="1">
        <v>1</v>
      </c>
      <c r="W1100" s="3">
        <v>7286.36</v>
      </c>
      <c r="X1100" s="3">
        <v>7286.36</v>
      </c>
      <c r="Y1100" s="1" t="str">
        <f>VLOOKUP(A1100,[1]Detalle!$D$2:$CR$484,93,FALSE)</f>
        <v>Expreso - Servicios Troncales</v>
      </c>
    </row>
    <row r="1101" spans="1:25" ht="14.25" customHeight="1" x14ac:dyDescent="0.3">
      <c r="A1101" s="1" t="s">
        <v>657</v>
      </c>
      <c r="B1101" s="1" t="s">
        <v>623</v>
      </c>
      <c r="C1101" s="1" t="s">
        <v>623</v>
      </c>
      <c r="D1101" s="1" t="s">
        <v>624</v>
      </c>
      <c r="E1101" s="1" t="s">
        <v>337</v>
      </c>
      <c r="N1101" s="7">
        <v>45947</v>
      </c>
      <c r="O1101" s="1">
        <v>365</v>
      </c>
      <c r="P1101" s="7">
        <v>46312</v>
      </c>
      <c r="Q1101" s="1" t="s">
        <v>330</v>
      </c>
      <c r="T1101" s="1" t="s">
        <v>633</v>
      </c>
      <c r="U1101" s="1" t="s">
        <v>634</v>
      </c>
      <c r="V1101" s="1">
        <v>4</v>
      </c>
      <c r="W1101" s="3">
        <v>153102.49</v>
      </c>
      <c r="X1101" s="3">
        <v>612409.96</v>
      </c>
      <c r="Y1101" s="1" t="str">
        <f>VLOOKUP(A1101,[1]Detalle!$D$2:$CR$484,93,FALSE)</f>
        <v>Expreso - Servicios Troncales</v>
      </c>
    </row>
    <row r="1102" spans="1:25" ht="14.25" customHeight="1" x14ac:dyDescent="0.3">
      <c r="A1102" s="1" t="s">
        <v>658</v>
      </c>
      <c r="B1102" s="1" t="s">
        <v>623</v>
      </c>
      <c r="C1102" s="1" t="s">
        <v>623</v>
      </c>
      <c r="D1102" s="1" t="s">
        <v>624</v>
      </c>
      <c r="E1102" s="1" t="s">
        <v>337</v>
      </c>
      <c r="N1102" s="7">
        <v>45947</v>
      </c>
      <c r="O1102" s="1">
        <v>365</v>
      </c>
      <c r="P1102" s="7">
        <v>46312</v>
      </c>
      <c r="Q1102" s="1" t="s">
        <v>330</v>
      </c>
      <c r="T1102" s="1" t="s">
        <v>625</v>
      </c>
      <c r="U1102" s="1" t="s">
        <v>626</v>
      </c>
      <c r="V1102" s="1">
        <v>1</v>
      </c>
      <c r="W1102" s="3">
        <v>57923.55</v>
      </c>
      <c r="X1102" s="3">
        <v>57923.55</v>
      </c>
      <c r="Y1102" s="1" t="str">
        <f>VLOOKUP(A1102,[1]Detalle!$D$2:$CR$484,93,FALSE)</f>
        <v>Expreso - Servicios Troncales</v>
      </c>
    </row>
    <row r="1103" spans="1:25" ht="14.25" customHeight="1" x14ac:dyDescent="0.3">
      <c r="A1103" s="1" t="s">
        <v>658</v>
      </c>
      <c r="B1103" s="1" t="s">
        <v>623</v>
      </c>
      <c r="C1103" s="1" t="s">
        <v>623</v>
      </c>
      <c r="D1103" s="1" t="s">
        <v>624</v>
      </c>
      <c r="E1103" s="1" t="s">
        <v>337</v>
      </c>
      <c r="N1103" s="7">
        <v>45947</v>
      </c>
      <c r="O1103" s="1">
        <v>365</v>
      </c>
      <c r="P1103" s="7">
        <v>46312</v>
      </c>
      <c r="Q1103" s="1" t="s">
        <v>330</v>
      </c>
      <c r="T1103" s="1" t="s">
        <v>627</v>
      </c>
      <c r="U1103" s="1" t="s">
        <v>628</v>
      </c>
      <c r="V1103" s="1">
        <v>1</v>
      </c>
      <c r="W1103" s="3">
        <v>14370.83</v>
      </c>
      <c r="X1103" s="3">
        <v>14370.83</v>
      </c>
      <c r="Y1103" s="1" t="str">
        <f>VLOOKUP(A1103,[1]Detalle!$D$2:$CR$484,93,FALSE)</f>
        <v>Expreso - Servicios Troncales</v>
      </c>
    </row>
    <row r="1104" spans="1:25" ht="14.25" customHeight="1" x14ac:dyDescent="0.3">
      <c r="A1104" s="1" t="s">
        <v>658</v>
      </c>
      <c r="B1104" s="1" t="s">
        <v>623</v>
      </c>
      <c r="C1104" s="1" t="s">
        <v>623</v>
      </c>
      <c r="D1104" s="1" t="s">
        <v>624</v>
      </c>
      <c r="E1104" s="1" t="s">
        <v>337</v>
      </c>
      <c r="N1104" s="7">
        <v>45947</v>
      </c>
      <c r="O1104" s="1">
        <v>365</v>
      </c>
      <c r="P1104" s="7">
        <v>46312</v>
      </c>
      <c r="Q1104" s="1" t="s">
        <v>330</v>
      </c>
      <c r="T1104" s="1" t="s">
        <v>629</v>
      </c>
      <c r="U1104" s="1" t="s">
        <v>630</v>
      </c>
      <c r="V1104" s="1">
        <v>1</v>
      </c>
      <c r="W1104" s="3">
        <v>7200</v>
      </c>
      <c r="X1104" s="3">
        <v>7200</v>
      </c>
      <c r="Y1104" s="1" t="str">
        <f>VLOOKUP(A1104,[1]Detalle!$D$2:$CR$484,93,FALSE)</f>
        <v>Expreso - Servicios Troncales</v>
      </c>
    </row>
    <row r="1105" spans="1:25" ht="14.25" customHeight="1" x14ac:dyDescent="0.3">
      <c r="A1105" s="1" t="s">
        <v>658</v>
      </c>
      <c r="B1105" s="1" t="s">
        <v>623</v>
      </c>
      <c r="C1105" s="1" t="s">
        <v>623</v>
      </c>
      <c r="D1105" s="1" t="s">
        <v>624</v>
      </c>
      <c r="E1105" s="1" t="s">
        <v>337</v>
      </c>
      <c r="N1105" s="7">
        <v>45947</v>
      </c>
      <c r="O1105" s="1">
        <v>365</v>
      </c>
      <c r="P1105" s="7">
        <v>46312</v>
      </c>
      <c r="Q1105" s="1" t="s">
        <v>330</v>
      </c>
      <c r="T1105" s="1" t="s">
        <v>631</v>
      </c>
      <c r="U1105" s="1" t="s">
        <v>632</v>
      </c>
      <c r="V1105" s="1">
        <v>1</v>
      </c>
      <c r="W1105" s="3">
        <v>7286.36</v>
      </c>
      <c r="X1105" s="3">
        <v>7286.36</v>
      </c>
      <c r="Y1105" s="1" t="str">
        <f>VLOOKUP(A1105,[1]Detalle!$D$2:$CR$484,93,FALSE)</f>
        <v>Expreso - Servicios Troncales</v>
      </c>
    </row>
    <row r="1106" spans="1:25" ht="14.25" customHeight="1" x14ac:dyDescent="0.3">
      <c r="A1106" s="1" t="s">
        <v>658</v>
      </c>
      <c r="B1106" s="1" t="s">
        <v>623</v>
      </c>
      <c r="C1106" s="1" t="s">
        <v>623</v>
      </c>
      <c r="D1106" s="1" t="s">
        <v>624</v>
      </c>
      <c r="E1106" s="1" t="s">
        <v>337</v>
      </c>
      <c r="N1106" s="7">
        <v>45947</v>
      </c>
      <c r="O1106" s="1">
        <v>365</v>
      </c>
      <c r="P1106" s="7">
        <v>46312</v>
      </c>
      <c r="Q1106" s="1" t="s">
        <v>330</v>
      </c>
      <c r="T1106" s="1" t="s">
        <v>633</v>
      </c>
      <c r="U1106" s="1" t="s">
        <v>634</v>
      </c>
      <c r="V1106" s="1">
        <v>4</v>
      </c>
      <c r="W1106" s="3">
        <v>153102.49</v>
      </c>
      <c r="X1106" s="3">
        <v>612409.96</v>
      </c>
      <c r="Y1106" s="1" t="str">
        <f>VLOOKUP(A1106,[1]Detalle!$D$2:$CR$484,93,FALSE)</f>
        <v>Expreso - Servicios Troncales</v>
      </c>
    </row>
    <row r="1107" spans="1:25" ht="14.25" customHeight="1" x14ac:dyDescent="0.3">
      <c r="A1107" s="1" t="s">
        <v>659</v>
      </c>
      <c r="B1107" s="1" t="s">
        <v>623</v>
      </c>
      <c r="C1107" s="1" t="s">
        <v>623</v>
      </c>
      <c r="D1107" s="1" t="s">
        <v>624</v>
      </c>
      <c r="E1107" s="1" t="s">
        <v>337</v>
      </c>
      <c r="N1107" s="7">
        <v>45947</v>
      </c>
      <c r="O1107" s="1">
        <v>365</v>
      </c>
      <c r="P1107" s="7">
        <v>46312</v>
      </c>
      <c r="Q1107" s="1" t="s">
        <v>330</v>
      </c>
      <c r="T1107" s="1" t="s">
        <v>625</v>
      </c>
      <c r="U1107" s="1" t="s">
        <v>626</v>
      </c>
      <c r="V1107" s="1">
        <v>1</v>
      </c>
      <c r="W1107" s="3">
        <v>57923.55</v>
      </c>
      <c r="X1107" s="3">
        <v>57923.55</v>
      </c>
      <c r="Y1107" s="1" t="str">
        <f>VLOOKUP(A1107,[1]Detalle!$D$2:$CR$484,93,FALSE)</f>
        <v>Expreso - Servicios Troncales</v>
      </c>
    </row>
    <row r="1108" spans="1:25" ht="14.25" customHeight="1" x14ac:dyDescent="0.3">
      <c r="A1108" s="1" t="s">
        <v>659</v>
      </c>
      <c r="B1108" s="1" t="s">
        <v>623</v>
      </c>
      <c r="C1108" s="1" t="s">
        <v>623</v>
      </c>
      <c r="D1108" s="1" t="s">
        <v>624</v>
      </c>
      <c r="E1108" s="1" t="s">
        <v>337</v>
      </c>
      <c r="N1108" s="7">
        <v>45947</v>
      </c>
      <c r="O1108" s="1">
        <v>365</v>
      </c>
      <c r="P1108" s="7">
        <v>46312</v>
      </c>
      <c r="Q1108" s="1" t="s">
        <v>330</v>
      </c>
      <c r="T1108" s="1" t="s">
        <v>627</v>
      </c>
      <c r="U1108" s="1" t="s">
        <v>628</v>
      </c>
      <c r="V1108" s="1">
        <v>1</v>
      </c>
      <c r="W1108" s="3">
        <v>14370.83</v>
      </c>
      <c r="X1108" s="3">
        <v>14370.83</v>
      </c>
      <c r="Y1108" s="1" t="str">
        <f>VLOOKUP(A1108,[1]Detalle!$D$2:$CR$484,93,FALSE)</f>
        <v>Expreso - Servicios Troncales</v>
      </c>
    </row>
    <row r="1109" spans="1:25" ht="14.25" customHeight="1" x14ac:dyDescent="0.3">
      <c r="A1109" s="1" t="s">
        <v>659</v>
      </c>
      <c r="B1109" s="1" t="s">
        <v>623</v>
      </c>
      <c r="C1109" s="1" t="s">
        <v>623</v>
      </c>
      <c r="D1109" s="1" t="s">
        <v>624</v>
      </c>
      <c r="E1109" s="1" t="s">
        <v>337</v>
      </c>
      <c r="N1109" s="7">
        <v>45947</v>
      </c>
      <c r="O1109" s="1">
        <v>365</v>
      </c>
      <c r="P1109" s="7">
        <v>46312</v>
      </c>
      <c r="Q1109" s="1" t="s">
        <v>330</v>
      </c>
      <c r="T1109" s="1" t="s">
        <v>629</v>
      </c>
      <c r="U1109" s="1" t="s">
        <v>630</v>
      </c>
      <c r="V1109" s="1">
        <v>1</v>
      </c>
      <c r="W1109" s="3">
        <v>7200</v>
      </c>
      <c r="X1109" s="3">
        <v>7200</v>
      </c>
      <c r="Y1109" s="1" t="str">
        <f>VLOOKUP(A1109,[1]Detalle!$D$2:$CR$484,93,FALSE)</f>
        <v>Expreso - Servicios Troncales</v>
      </c>
    </row>
    <row r="1110" spans="1:25" ht="14.25" customHeight="1" x14ac:dyDescent="0.3">
      <c r="A1110" s="1" t="s">
        <v>659</v>
      </c>
      <c r="B1110" s="1" t="s">
        <v>623</v>
      </c>
      <c r="C1110" s="1" t="s">
        <v>623</v>
      </c>
      <c r="D1110" s="1" t="s">
        <v>624</v>
      </c>
      <c r="E1110" s="1" t="s">
        <v>337</v>
      </c>
      <c r="N1110" s="7">
        <v>45947</v>
      </c>
      <c r="O1110" s="1">
        <v>365</v>
      </c>
      <c r="P1110" s="7">
        <v>46312</v>
      </c>
      <c r="Q1110" s="1" t="s">
        <v>330</v>
      </c>
      <c r="T1110" s="1" t="s">
        <v>631</v>
      </c>
      <c r="U1110" s="1" t="s">
        <v>632</v>
      </c>
      <c r="V1110" s="1">
        <v>1</v>
      </c>
      <c r="W1110" s="3">
        <v>7286.36</v>
      </c>
      <c r="X1110" s="3">
        <v>7286.36</v>
      </c>
      <c r="Y1110" s="1" t="str">
        <f>VLOOKUP(A1110,[1]Detalle!$D$2:$CR$484,93,FALSE)</f>
        <v>Expreso - Servicios Troncales</v>
      </c>
    </row>
    <row r="1111" spans="1:25" ht="14.25" customHeight="1" x14ac:dyDescent="0.3">
      <c r="A1111" s="1" t="s">
        <v>659</v>
      </c>
      <c r="B1111" s="1" t="s">
        <v>623</v>
      </c>
      <c r="C1111" s="1" t="s">
        <v>623</v>
      </c>
      <c r="D1111" s="1" t="s">
        <v>624</v>
      </c>
      <c r="E1111" s="1" t="s">
        <v>337</v>
      </c>
      <c r="N1111" s="7">
        <v>45947</v>
      </c>
      <c r="O1111" s="1">
        <v>365</v>
      </c>
      <c r="P1111" s="7">
        <v>46312</v>
      </c>
      <c r="Q1111" s="1" t="s">
        <v>330</v>
      </c>
      <c r="T1111" s="1" t="s">
        <v>633</v>
      </c>
      <c r="U1111" s="1" t="s">
        <v>634</v>
      </c>
      <c r="V1111" s="1">
        <v>4</v>
      </c>
      <c r="W1111" s="3">
        <v>153102.49</v>
      </c>
      <c r="X1111" s="3">
        <v>612409.96</v>
      </c>
      <c r="Y1111" s="1" t="str">
        <f>VLOOKUP(A1111,[1]Detalle!$D$2:$CR$484,93,FALSE)</f>
        <v>Expreso - Servicios Troncales</v>
      </c>
    </row>
    <row r="1112" spans="1:25" ht="14.25" customHeight="1" x14ac:dyDescent="0.3">
      <c r="A1112" s="1" t="s">
        <v>660</v>
      </c>
      <c r="B1112" s="1" t="s">
        <v>623</v>
      </c>
      <c r="C1112" s="1" t="s">
        <v>623</v>
      </c>
      <c r="D1112" s="1" t="s">
        <v>624</v>
      </c>
      <c r="E1112" s="1" t="s">
        <v>337</v>
      </c>
      <c r="N1112" s="7">
        <v>45947</v>
      </c>
      <c r="O1112" s="1">
        <v>365</v>
      </c>
      <c r="P1112" s="7">
        <v>46312</v>
      </c>
      <c r="Q1112" s="1" t="s">
        <v>330</v>
      </c>
      <c r="T1112" s="1" t="s">
        <v>625</v>
      </c>
      <c r="U1112" s="1" t="s">
        <v>626</v>
      </c>
      <c r="V1112" s="1">
        <v>1</v>
      </c>
      <c r="W1112" s="3">
        <v>57923.55</v>
      </c>
      <c r="X1112" s="3">
        <v>57923.55</v>
      </c>
      <c r="Y1112" s="1" t="str">
        <f>VLOOKUP(A1112,[1]Detalle!$D$2:$CR$484,93,FALSE)</f>
        <v>Expreso - Servicios Troncales</v>
      </c>
    </row>
    <row r="1113" spans="1:25" ht="14.25" customHeight="1" x14ac:dyDescent="0.3">
      <c r="A1113" s="1" t="s">
        <v>660</v>
      </c>
      <c r="B1113" s="1" t="s">
        <v>623</v>
      </c>
      <c r="C1113" s="1" t="s">
        <v>623</v>
      </c>
      <c r="D1113" s="1" t="s">
        <v>624</v>
      </c>
      <c r="E1113" s="1" t="s">
        <v>337</v>
      </c>
      <c r="N1113" s="7">
        <v>45947</v>
      </c>
      <c r="O1113" s="1">
        <v>365</v>
      </c>
      <c r="P1113" s="7">
        <v>46312</v>
      </c>
      <c r="Q1113" s="1" t="s">
        <v>330</v>
      </c>
      <c r="T1113" s="1" t="s">
        <v>627</v>
      </c>
      <c r="U1113" s="1" t="s">
        <v>628</v>
      </c>
      <c r="V1113" s="1">
        <v>1</v>
      </c>
      <c r="W1113" s="3">
        <v>14370.83</v>
      </c>
      <c r="X1113" s="3">
        <v>14370.83</v>
      </c>
      <c r="Y1113" s="1" t="str">
        <f>VLOOKUP(A1113,[1]Detalle!$D$2:$CR$484,93,FALSE)</f>
        <v>Expreso - Servicios Troncales</v>
      </c>
    </row>
    <row r="1114" spans="1:25" ht="14.25" customHeight="1" x14ac:dyDescent="0.3">
      <c r="A1114" s="1" t="s">
        <v>660</v>
      </c>
      <c r="B1114" s="1" t="s">
        <v>623</v>
      </c>
      <c r="C1114" s="1" t="s">
        <v>623</v>
      </c>
      <c r="D1114" s="1" t="s">
        <v>624</v>
      </c>
      <c r="E1114" s="1" t="s">
        <v>337</v>
      </c>
      <c r="N1114" s="7">
        <v>45947</v>
      </c>
      <c r="O1114" s="1">
        <v>365</v>
      </c>
      <c r="P1114" s="7">
        <v>46312</v>
      </c>
      <c r="Q1114" s="1" t="s">
        <v>330</v>
      </c>
      <c r="T1114" s="1" t="s">
        <v>629</v>
      </c>
      <c r="U1114" s="1" t="s">
        <v>630</v>
      </c>
      <c r="V1114" s="1">
        <v>1</v>
      </c>
      <c r="W1114" s="3">
        <v>7200</v>
      </c>
      <c r="X1114" s="3">
        <v>7200</v>
      </c>
      <c r="Y1114" s="1" t="str">
        <f>VLOOKUP(A1114,[1]Detalle!$D$2:$CR$484,93,FALSE)</f>
        <v>Expreso - Servicios Troncales</v>
      </c>
    </row>
    <row r="1115" spans="1:25" ht="14.25" customHeight="1" x14ac:dyDescent="0.3">
      <c r="A1115" s="1" t="s">
        <v>660</v>
      </c>
      <c r="B1115" s="1" t="s">
        <v>623</v>
      </c>
      <c r="C1115" s="1" t="s">
        <v>623</v>
      </c>
      <c r="D1115" s="1" t="s">
        <v>624</v>
      </c>
      <c r="E1115" s="1" t="s">
        <v>337</v>
      </c>
      <c r="N1115" s="7">
        <v>45947</v>
      </c>
      <c r="O1115" s="1">
        <v>365</v>
      </c>
      <c r="P1115" s="7">
        <v>46312</v>
      </c>
      <c r="Q1115" s="1" t="s">
        <v>330</v>
      </c>
      <c r="T1115" s="1" t="s">
        <v>631</v>
      </c>
      <c r="U1115" s="1" t="s">
        <v>632</v>
      </c>
      <c r="V1115" s="1">
        <v>1</v>
      </c>
      <c r="W1115" s="3">
        <v>7286.36</v>
      </c>
      <c r="X1115" s="3">
        <v>7286.36</v>
      </c>
      <c r="Y1115" s="1" t="str">
        <f>VLOOKUP(A1115,[1]Detalle!$D$2:$CR$484,93,FALSE)</f>
        <v>Expreso - Servicios Troncales</v>
      </c>
    </row>
    <row r="1116" spans="1:25" ht="14.25" customHeight="1" x14ac:dyDescent="0.3">
      <c r="A1116" s="1" t="s">
        <v>660</v>
      </c>
      <c r="B1116" s="1" t="s">
        <v>623</v>
      </c>
      <c r="C1116" s="1" t="s">
        <v>623</v>
      </c>
      <c r="D1116" s="1" t="s">
        <v>624</v>
      </c>
      <c r="E1116" s="1" t="s">
        <v>337</v>
      </c>
      <c r="N1116" s="7">
        <v>45947</v>
      </c>
      <c r="O1116" s="1">
        <v>365</v>
      </c>
      <c r="P1116" s="7">
        <v>46312</v>
      </c>
      <c r="Q1116" s="1" t="s">
        <v>330</v>
      </c>
      <c r="T1116" s="1" t="s">
        <v>633</v>
      </c>
      <c r="U1116" s="1" t="s">
        <v>634</v>
      </c>
      <c r="V1116" s="1">
        <v>4</v>
      </c>
      <c r="W1116" s="3">
        <v>153102.49</v>
      </c>
      <c r="X1116" s="3">
        <v>612409.96</v>
      </c>
      <c r="Y1116" s="1" t="str">
        <f>VLOOKUP(A1116,[1]Detalle!$D$2:$CR$484,93,FALSE)</f>
        <v>Expreso - Servicios Troncales</v>
      </c>
    </row>
    <row r="1117" spans="1:25" ht="14.25" customHeight="1" x14ac:dyDescent="0.3">
      <c r="A1117" s="1" t="s">
        <v>661</v>
      </c>
      <c r="B1117" s="1" t="s">
        <v>623</v>
      </c>
      <c r="C1117" s="1" t="s">
        <v>623</v>
      </c>
      <c r="D1117" s="1" t="s">
        <v>624</v>
      </c>
      <c r="E1117" s="1" t="s">
        <v>337</v>
      </c>
      <c r="N1117" s="7">
        <v>45947</v>
      </c>
      <c r="O1117" s="1">
        <v>365</v>
      </c>
      <c r="P1117" s="7">
        <v>46312</v>
      </c>
      <c r="Q1117" s="1" t="s">
        <v>330</v>
      </c>
      <c r="T1117" s="1" t="s">
        <v>625</v>
      </c>
      <c r="U1117" s="1" t="s">
        <v>626</v>
      </c>
      <c r="V1117" s="1">
        <v>1</v>
      </c>
      <c r="W1117" s="3">
        <v>57923.55</v>
      </c>
      <c r="X1117" s="3">
        <v>57923.55</v>
      </c>
      <c r="Y1117" s="1" t="str">
        <f>VLOOKUP(A1117,[1]Detalle!$D$2:$CR$484,93,FALSE)</f>
        <v>Expreso - Servicios Troncales</v>
      </c>
    </row>
    <row r="1118" spans="1:25" ht="14.25" customHeight="1" x14ac:dyDescent="0.3">
      <c r="A1118" s="1" t="s">
        <v>661</v>
      </c>
      <c r="B1118" s="1" t="s">
        <v>623</v>
      </c>
      <c r="C1118" s="1" t="s">
        <v>623</v>
      </c>
      <c r="D1118" s="1" t="s">
        <v>624</v>
      </c>
      <c r="E1118" s="1" t="s">
        <v>337</v>
      </c>
      <c r="N1118" s="7">
        <v>45947</v>
      </c>
      <c r="O1118" s="1">
        <v>365</v>
      </c>
      <c r="P1118" s="7">
        <v>46312</v>
      </c>
      <c r="Q1118" s="1" t="s">
        <v>330</v>
      </c>
      <c r="T1118" s="1" t="s">
        <v>627</v>
      </c>
      <c r="U1118" s="1" t="s">
        <v>628</v>
      </c>
      <c r="V1118" s="1">
        <v>1</v>
      </c>
      <c r="W1118" s="3">
        <v>14370.83</v>
      </c>
      <c r="X1118" s="3">
        <v>14370.83</v>
      </c>
      <c r="Y1118" s="1" t="str">
        <f>VLOOKUP(A1118,[1]Detalle!$D$2:$CR$484,93,FALSE)</f>
        <v>Expreso - Servicios Troncales</v>
      </c>
    </row>
    <row r="1119" spans="1:25" ht="14.25" customHeight="1" x14ac:dyDescent="0.3">
      <c r="A1119" s="1" t="s">
        <v>661</v>
      </c>
      <c r="B1119" s="1" t="s">
        <v>623</v>
      </c>
      <c r="C1119" s="1" t="s">
        <v>623</v>
      </c>
      <c r="D1119" s="1" t="s">
        <v>624</v>
      </c>
      <c r="E1119" s="1" t="s">
        <v>337</v>
      </c>
      <c r="N1119" s="7">
        <v>45947</v>
      </c>
      <c r="O1119" s="1">
        <v>365</v>
      </c>
      <c r="P1119" s="7">
        <v>46312</v>
      </c>
      <c r="Q1119" s="1" t="s">
        <v>330</v>
      </c>
      <c r="T1119" s="1" t="s">
        <v>629</v>
      </c>
      <c r="U1119" s="1" t="s">
        <v>630</v>
      </c>
      <c r="V1119" s="1">
        <v>1</v>
      </c>
      <c r="W1119" s="3">
        <v>7200</v>
      </c>
      <c r="X1119" s="3">
        <v>7200</v>
      </c>
      <c r="Y1119" s="1" t="str">
        <f>VLOOKUP(A1119,[1]Detalle!$D$2:$CR$484,93,FALSE)</f>
        <v>Expreso - Servicios Troncales</v>
      </c>
    </row>
    <row r="1120" spans="1:25" ht="14.25" customHeight="1" x14ac:dyDescent="0.3">
      <c r="A1120" s="1" t="s">
        <v>661</v>
      </c>
      <c r="B1120" s="1" t="s">
        <v>623</v>
      </c>
      <c r="C1120" s="1" t="s">
        <v>623</v>
      </c>
      <c r="D1120" s="1" t="s">
        <v>624</v>
      </c>
      <c r="E1120" s="1" t="s">
        <v>337</v>
      </c>
      <c r="N1120" s="7">
        <v>45947</v>
      </c>
      <c r="O1120" s="1">
        <v>365</v>
      </c>
      <c r="P1120" s="7">
        <v>46312</v>
      </c>
      <c r="Q1120" s="1" t="s">
        <v>330</v>
      </c>
      <c r="T1120" s="1" t="s">
        <v>631</v>
      </c>
      <c r="U1120" s="1" t="s">
        <v>632</v>
      </c>
      <c r="V1120" s="1">
        <v>1</v>
      </c>
      <c r="W1120" s="3">
        <v>7286.36</v>
      </c>
      <c r="X1120" s="3">
        <v>7286.36</v>
      </c>
      <c r="Y1120" s="1" t="str">
        <f>VLOOKUP(A1120,[1]Detalle!$D$2:$CR$484,93,FALSE)</f>
        <v>Expreso - Servicios Troncales</v>
      </c>
    </row>
    <row r="1121" spans="1:25" ht="14.25" customHeight="1" x14ac:dyDescent="0.3">
      <c r="A1121" s="1" t="s">
        <v>661</v>
      </c>
      <c r="B1121" s="1" t="s">
        <v>623</v>
      </c>
      <c r="C1121" s="1" t="s">
        <v>623</v>
      </c>
      <c r="D1121" s="1" t="s">
        <v>624</v>
      </c>
      <c r="E1121" s="1" t="s">
        <v>337</v>
      </c>
      <c r="N1121" s="7">
        <v>45947</v>
      </c>
      <c r="O1121" s="1">
        <v>365</v>
      </c>
      <c r="P1121" s="7">
        <v>46312</v>
      </c>
      <c r="Q1121" s="1" t="s">
        <v>330</v>
      </c>
      <c r="T1121" s="1" t="s">
        <v>633</v>
      </c>
      <c r="U1121" s="1" t="s">
        <v>634</v>
      </c>
      <c r="V1121" s="1">
        <v>4</v>
      </c>
      <c r="W1121" s="3">
        <v>153102.49</v>
      </c>
      <c r="X1121" s="3">
        <v>612409.96</v>
      </c>
      <c r="Y1121" s="1" t="str">
        <f>VLOOKUP(A1121,[1]Detalle!$D$2:$CR$484,93,FALSE)</f>
        <v>Expreso - Servicios Troncales</v>
      </c>
    </row>
    <row r="1122" spans="1:25" ht="14.25" customHeight="1" x14ac:dyDescent="0.3">
      <c r="A1122" s="1" t="s">
        <v>662</v>
      </c>
      <c r="B1122" s="1" t="s">
        <v>623</v>
      </c>
      <c r="C1122" s="1" t="s">
        <v>623</v>
      </c>
      <c r="D1122" s="1" t="s">
        <v>624</v>
      </c>
      <c r="E1122" s="1" t="s">
        <v>337</v>
      </c>
      <c r="N1122" s="7">
        <v>45947</v>
      </c>
      <c r="O1122" s="1">
        <v>365</v>
      </c>
      <c r="P1122" s="7">
        <v>46312</v>
      </c>
      <c r="Q1122" s="1" t="s">
        <v>330</v>
      </c>
      <c r="T1122" s="1" t="s">
        <v>625</v>
      </c>
      <c r="U1122" s="1" t="s">
        <v>626</v>
      </c>
      <c r="V1122" s="1">
        <v>1</v>
      </c>
      <c r="W1122" s="3">
        <v>57923.55</v>
      </c>
      <c r="X1122" s="3">
        <v>57923.55</v>
      </c>
      <c r="Y1122" s="1" t="str">
        <f>VLOOKUP(A1122,[1]Detalle!$D$2:$CR$484,93,FALSE)</f>
        <v>Expreso - Servicios Troncales</v>
      </c>
    </row>
    <row r="1123" spans="1:25" ht="14.25" customHeight="1" x14ac:dyDescent="0.3">
      <c r="A1123" s="1" t="s">
        <v>662</v>
      </c>
      <c r="B1123" s="1" t="s">
        <v>623</v>
      </c>
      <c r="C1123" s="1" t="s">
        <v>623</v>
      </c>
      <c r="D1123" s="1" t="s">
        <v>624</v>
      </c>
      <c r="E1123" s="1" t="s">
        <v>337</v>
      </c>
      <c r="N1123" s="7">
        <v>45947</v>
      </c>
      <c r="O1123" s="1">
        <v>365</v>
      </c>
      <c r="P1123" s="7">
        <v>46312</v>
      </c>
      <c r="Q1123" s="1" t="s">
        <v>330</v>
      </c>
      <c r="T1123" s="1" t="s">
        <v>627</v>
      </c>
      <c r="U1123" s="1" t="s">
        <v>628</v>
      </c>
      <c r="V1123" s="1">
        <v>1</v>
      </c>
      <c r="W1123" s="3">
        <v>14370.83</v>
      </c>
      <c r="X1123" s="3">
        <v>14370.83</v>
      </c>
      <c r="Y1123" s="1" t="str">
        <f>VLOOKUP(A1123,[1]Detalle!$D$2:$CR$484,93,FALSE)</f>
        <v>Expreso - Servicios Troncales</v>
      </c>
    </row>
    <row r="1124" spans="1:25" ht="14.25" customHeight="1" x14ac:dyDescent="0.3">
      <c r="A1124" s="1" t="s">
        <v>662</v>
      </c>
      <c r="B1124" s="1" t="s">
        <v>623</v>
      </c>
      <c r="C1124" s="1" t="s">
        <v>623</v>
      </c>
      <c r="D1124" s="1" t="s">
        <v>624</v>
      </c>
      <c r="E1124" s="1" t="s">
        <v>337</v>
      </c>
      <c r="N1124" s="7">
        <v>45947</v>
      </c>
      <c r="O1124" s="1">
        <v>365</v>
      </c>
      <c r="P1124" s="7">
        <v>46312</v>
      </c>
      <c r="Q1124" s="1" t="s">
        <v>330</v>
      </c>
      <c r="T1124" s="1" t="s">
        <v>629</v>
      </c>
      <c r="U1124" s="1" t="s">
        <v>630</v>
      </c>
      <c r="V1124" s="1">
        <v>1</v>
      </c>
      <c r="W1124" s="3">
        <v>7200</v>
      </c>
      <c r="X1124" s="3">
        <v>7200</v>
      </c>
      <c r="Y1124" s="1" t="str">
        <f>VLOOKUP(A1124,[1]Detalle!$D$2:$CR$484,93,FALSE)</f>
        <v>Expreso - Servicios Troncales</v>
      </c>
    </row>
    <row r="1125" spans="1:25" ht="14.25" customHeight="1" x14ac:dyDescent="0.3">
      <c r="A1125" s="1" t="s">
        <v>662</v>
      </c>
      <c r="B1125" s="1" t="s">
        <v>623</v>
      </c>
      <c r="C1125" s="1" t="s">
        <v>623</v>
      </c>
      <c r="D1125" s="1" t="s">
        <v>624</v>
      </c>
      <c r="E1125" s="1" t="s">
        <v>337</v>
      </c>
      <c r="N1125" s="7">
        <v>45947</v>
      </c>
      <c r="O1125" s="1">
        <v>365</v>
      </c>
      <c r="P1125" s="7">
        <v>46312</v>
      </c>
      <c r="Q1125" s="1" t="s">
        <v>330</v>
      </c>
      <c r="T1125" s="1" t="s">
        <v>631</v>
      </c>
      <c r="U1125" s="1" t="s">
        <v>632</v>
      </c>
      <c r="V1125" s="1">
        <v>1</v>
      </c>
      <c r="W1125" s="3">
        <v>7286.36</v>
      </c>
      <c r="X1125" s="3">
        <v>7286.36</v>
      </c>
      <c r="Y1125" s="1" t="str">
        <f>VLOOKUP(A1125,[1]Detalle!$D$2:$CR$484,93,FALSE)</f>
        <v>Expreso - Servicios Troncales</v>
      </c>
    </row>
    <row r="1126" spans="1:25" ht="14.25" customHeight="1" x14ac:dyDescent="0.3">
      <c r="A1126" s="1" t="s">
        <v>662</v>
      </c>
      <c r="B1126" s="1" t="s">
        <v>623</v>
      </c>
      <c r="C1126" s="1" t="s">
        <v>623</v>
      </c>
      <c r="D1126" s="1" t="s">
        <v>624</v>
      </c>
      <c r="E1126" s="1" t="s">
        <v>337</v>
      </c>
      <c r="N1126" s="7">
        <v>45947</v>
      </c>
      <c r="O1126" s="1">
        <v>365</v>
      </c>
      <c r="P1126" s="7">
        <v>46312</v>
      </c>
      <c r="Q1126" s="1" t="s">
        <v>330</v>
      </c>
      <c r="T1126" s="1" t="s">
        <v>633</v>
      </c>
      <c r="U1126" s="1" t="s">
        <v>634</v>
      </c>
      <c r="V1126" s="1">
        <v>4</v>
      </c>
      <c r="W1126" s="3">
        <v>153102.49</v>
      </c>
      <c r="X1126" s="3">
        <v>612409.96</v>
      </c>
      <c r="Y1126" s="1" t="str">
        <f>VLOOKUP(A1126,[1]Detalle!$D$2:$CR$484,93,FALSE)</f>
        <v>Expreso - Servicios Troncales</v>
      </c>
    </row>
    <row r="1127" spans="1:25" ht="14.25" customHeight="1" x14ac:dyDescent="0.3">
      <c r="A1127" s="1" t="s">
        <v>663</v>
      </c>
      <c r="B1127" s="1" t="s">
        <v>623</v>
      </c>
      <c r="C1127" s="1" t="s">
        <v>623</v>
      </c>
      <c r="D1127" s="1" t="s">
        <v>624</v>
      </c>
      <c r="E1127" s="1" t="s">
        <v>337</v>
      </c>
      <c r="N1127" s="7">
        <v>45947</v>
      </c>
      <c r="O1127" s="1">
        <v>365</v>
      </c>
      <c r="P1127" s="7">
        <v>46312</v>
      </c>
      <c r="Q1127" s="1" t="s">
        <v>330</v>
      </c>
      <c r="T1127" s="1" t="s">
        <v>625</v>
      </c>
      <c r="U1127" s="1" t="s">
        <v>626</v>
      </c>
      <c r="V1127" s="1">
        <v>1</v>
      </c>
      <c r="W1127" s="3">
        <v>57923.55</v>
      </c>
      <c r="X1127" s="3">
        <v>57923.55</v>
      </c>
      <c r="Y1127" s="1" t="str">
        <f>VLOOKUP(A1127,[1]Detalle!$D$2:$CR$484,93,FALSE)</f>
        <v>Expreso - Servicios Troncales</v>
      </c>
    </row>
    <row r="1128" spans="1:25" ht="14.25" customHeight="1" x14ac:dyDescent="0.3">
      <c r="A1128" s="1" t="s">
        <v>663</v>
      </c>
      <c r="B1128" s="1" t="s">
        <v>623</v>
      </c>
      <c r="C1128" s="1" t="s">
        <v>623</v>
      </c>
      <c r="D1128" s="1" t="s">
        <v>624</v>
      </c>
      <c r="E1128" s="1" t="s">
        <v>337</v>
      </c>
      <c r="N1128" s="7">
        <v>45947</v>
      </c>
      <c r="O1128" s="1">
        <v>365</v>
      </c>
      <c r="P1128" s="7">
        <v>46312</v>
      </c>
      <c r="Q1128" s="1" t="s">
        <v>330</v>
      </c>
      <c r="T1128" s="1" t="s">
        <v>627</v>
      </c>
      <c r="U1128" s="1" t="s">
        <v>628</v>
      </c>
      <c r="V1128" s="1">
        <v>1</v>
      </c>
      <c r="W1128" s="3">
        <v>14370.83</v>
      </c>
      <c r="X1128" s="3">
        <v>14370.83</v>
      </c>
      <c r="Y1128" s="1" t="str">
        <f>VLOOKUP(A1128,[1]Detalle!$D$2:$CR$484,93,FALSE)</f>
        <v>Expreso - Servicios Troncales</v>
      </c>
    </row>
    <row r="1129" spans="1:25" ht="14.25" customHeight="1" x14ac:dyDescent="0.3">
      <c r="A1129" s="1" t="s">
        <v>663</v>
      </c>
      <c r="B1129" s="1" t="s">
        <v>623</v>
      </c>
      <c r="C1129" s="1" t="s">
        <v>623</v>
      </c>
      <c r="D1129" s="1" t="s">
        <v>624</v>
      </c>
      <c r="E1129" s="1" t="s">
        <v>337</v>
      </c>
      <c r="N1129" s="7">
        <v>45947</v>
      </c>
      <c r="O1129" s="1">
        <v>365</v>
      </c>
      <c r="P1129" s="7">
        <v>46312</v>
      </c>
      <c r="Q1129" s="1" t="s">
        <v>330</v>
      </c>
      <c r="T1129" s="1" t="s">
        <v>629</v>
      </c>
      <c r="U1129" s="1" t="s">
        <v>630</v>
      </c>
      <c r="V1129" s="1">
        <v>1</v>
      </c>
      <c r="W1129" s="3">
        <v>7200</v>
      </c>
      <c r="X1129" s="3">
        <v>7200</v>
      </c>
      <c r="Y1129" s="1" t="str">
        <f>VLOOKUP(A1129,[1]Detalle!$D$2:$CR$484,93,FALSE)</f>
        <v>Expreso - Servicios Troncales</v>
      </c>
    </row>
    <row r="1130" spans="1:25" ht="14.25" customHeight="1" x14ac:dyDescent="0.3">
      <c r="A1130" s="1" t="s">
        <v>663</v>
      </c>
      <c r="B1130" s="1" t="s">
        <v>623</v>
      </c>
      <c r="C1130" s="1" t="s">
        <v>623</v>
      </c>
      <c r="D1130" s="1" t="s">
        <v>624</v>
      </c>
      <c r="E1130" s="1" t="s">
        <v>337</v>
      </c>
      <c r="N1130" s="7">
        <v>45947</v>
      </c>
      <c r="O1130" s="1">
        <v>365</v>
      </c>
      <c r="P1130" s="7">
        <v>46312</v>
      </c>
      <c r="Q1130" s="1" t="s">
        <v>330</v>
      </c>
      <c r="T1130" s="1" t="s">
        <v>631</v>
      </c>
      <c r="U1130" s="1" t="s">
        <v>632</v>
      </c>
      <c r="V1130" s="1">
        <v>1</v>
      </c>
      <c r="W1130" s="3">
        <v>7286.36</v>
      </c>
      <c r="X1130" s="3">
        <v>7286.36</v>
      </c>
      <c r="Y1130" s="1" t="str">
        <f>VLOOKUP(A1130,[1]Detalle!$D$2:$CR$484,93,FALSE)</f>
        <v>Expreso - Servicios Troncales</v>
      </c>
    </row>
    <row r="1131" spans="1:25" ht="14.25" customHeight="1" x14ac:dyDescent="0.3">
      <c r="A1131" s="1" t="s">
        <v>663</v>
      </c>
      <c r="B1131" s="1" t="s">
        <v>623</v>
      </c>
      <c r="C1131" s="1" t="s">
        <v>623</v>
      </c>
      <c r="D1131" s="1" t="s">
        <v>624</v>
      </c>
      <c r="E1131" s="1" t="s">
        <v>337</v>
      </c>
      <c r="N1131" s="7">
        <v>45947</v>
      </c>
      <c r="O1131" s="1">
        <v>365</v>
      </c>
      <c r="P1131" s="7">
        <v>46312</v>
      </c>
      <c r="Q1131" s="1" t="s">
        <v>330</v>
      </c>
      <c r="T1131" s="1" t="s">
        <v>633</v>
      </c>
      <c r="U1131" s="1" t="s">
        <v>634</v>
      </c>
      <c r="V1131" s="1">
        <v>4</v>
      </c>
      <c r="W1131" s="3">
        <v>153102.49</v>
      </c>
      <c r="X1131" s="3">
        <v>612409.96</v>
      </c>
      <c r="Y1131" s="1" t="str">
        <f>VLOOKUP(A1131,[1]Detalle!$D$2:$CR$484,93,FALSE)</f>
        <v>Expreso - Servicios Troncales</v>
      </c>
    </row>
    <row r="1132" spans="1:25" ht="14.25" customHeight="1" x14ac:dyDescent="0.3">
      <c r="A1132" s="1" t="s">
        <v>664</v>
      </c>
      <c r="B1132" s="1" t="s">
        <v>623</v>
      </c>
      <c r="C1132" s="1" t="s">
        <v>623</v>
      </c>
      <c r="D1132" s="1" t="s">
        <v>624</v>
      </c>
      <c r="E1132" s="1" t="s">
        <v>337</v>
      </c>
      <c r="N1132" s="7">
        <v>45947</v>
      </c>
      <c r="O1132" s="1">
        <v>365</v>
      </c>
      <c r="P1132" s="7">
        <v>46312</v>
      </c>
      <c r="Q1132" s="1" t="s">
        <v>330</v>
      </c>
      <c r="T1132" s="1" t="s">
        <v>625</v>
      </c>
      <c r="U1132" s="1" t="s">
        <v>626</v>
      </c>
      <c r="V1132" s="1">
        <v>1</v>
      </c>
      <c r="W1132" s="3">
        <v>57923.55</v>
      </c>
      <c r="X1132" s="3">
        <v>57923.55</v>
      </c>
      <c r="Y1132" s="1" t="str">
        <f>VLOOKUP(A1132,[1]Detalle!$D$2:$CR$484,93,FALSE)</f>
        <v>Expreso - Servicios Troncales</v>
      </c>
    </row>
    <row r="1133" spans="1:25" ht="14.25" customHeight="1" x14ac:dyDescent="0.3">
      <c r="A1133" s="1" t="s">
        <v>664</v>
      </c>
      <c r="B1133" s="1" t="s">
        <v>623</v>
      </c>
      <c r="C1133" s="1" t="s">
        <v>623</v>
      </c>
      <c r="D1133" s="1" t="s">
        <v>624</v>
      </c>
      <c r="E1133" s="1" t="s">
        <v>337</v>
      </c>
      <c r="N1133" s="7">
        <v>45947</v>
      </c>
      <c r="O1133" s="1">
        <v>365</v>
      </c>
      <c r="P1133" s="7">
        <v>46312</v>
      </c>
      <c r="Q1133" s="1" t="s">
        <v>330</v>
      </c>
      <c r="T1133" s="1" t="s">
        <v>627</v>
      </c>
      <c r="U1133" s="1" t="s">
        <v>628</v>
      </c>
      <c r="V1133" s="1">
        <v>1</v>
      </c>
      <c r="W1133" s="3">
        <v>14370.83</v>
      </c>
      <c r="X1133" s="3">
        <v>14370.83</v>
      </c>
      <c r="Y1133" s="1" t="str">
        <f>VLOOKUP(A1133,[1]Detalle!$D$2:$CR$484,93,FALSE)</f>
        <v>Expreso - Servicios Troncales</v>
      </c>
    </row>
    <row r="1134" spans="1:25" ht="14.25" customHeight="1" x14ac:dyDescent="0.3">
      <c r="A1134" s="1" t="s">
        <v>664</v>
      </c>
      <c r="B1134" s="1" t="s">
        <v>623</v>
      </c>
      <c r="C1134" s="1" t="s">
        <v>623</v>
      </c>
      <c r="D1134" s="1" t="s">
        <v>624</v>
      </c>
      <c r="E1134" s="1" t="s">
        <v>337</v>
      </c>
      <c r="N1134" s="7">
        <v>45947</v>
      </c>
      <c r="O1134" s="1">
        <v>365</v>
      </c>
      <c r="P1134" s="7">
        <v>46312</v>
      </c>
      <c r="Q1134" s="1" t="s">
        <v>330</v>
      </c>
      <c r="T1134" s="1" t="s">
        <v>629</v>
      </c>
      <c r="U1134" s="1" t="s">
        <v>630</v>
      </c>
      <c r="V1134" s="1">
        <v>1</v>
      </c>
      <c r="W1134" s="3">
        <v>7200</v>
      </c>
      <c r="X1134" s="3">
        <v>7200</v>
      </c>
      <c r="Y1134" s="1" t="str">
        <f>VLOOKUP(A1134,[1]Detalle!$D$2:$CR$484,93,FALSE)</f>
        <v>Expreso - Servicios Troncales</v>
      </c>
    </row>
    <row r="1135" spans="1:25" ht="14.25" customHeight="1" x14ac:dyDescent="0.3">
      <c r="A1135" s="1" t="s">
        <v>664</v>
      </c>
      <c r="B1135" s="1" t="s">
        <v>623</v>
      </c>
      <c r="C1135" s="1" t="s">
        <v>623</v>
      </c>
      <c r="D1135" s="1" t="s">
        <v>624</v>
      </c>
      <c r="E1135" s="1" t="s">
        <v>337</v>
      </c>
      <c r="N1135" s="7">
        <v>45947</v>
      </c>
      <c r="O1135" s="1">
        <v>365</v>
      </c>
      <c r="P1135" s="7">
        <v>46312</v>
      </c>
      <c r="Q1135" s="1" t="s">
        <v>330</v>
      </c>
      <c r="T1135" s="1" t="s">
        <v>631</v>
      </c>
      <c r="U1135" s="1" t="s">
        <v>632</v>
      </c>
      <c r="V1135" s="1">
        <v>1</v>
      </c>
      <c r="W1135" s="3">
        <v>7286.36</v>
      </c>
      <c r="X1135" s="3">
        <v>7286.36</v>
      </c>
      <c r="Y1135" s="1" t="str">
        <f>VLOOKUP(A1135,[1]Detalle!$D$2:$CR$484,93,FALSE)</f>
        <v>Expreso - Servicios Troncales</v>
      </c>
    </row>
    <row r="1136" spans="1:25" ht="14.25" customHeight="1" x14ac:dyDescent="0.3">
      <c r="A1136" s="1" t="s">
        <v>664</v>
      </c>
      <c r="B1136" s="1" t="s">
        <v>623</v>
      </c>
      <c r="C1136" s="1" t="s">
        <v>623</v>
      </c>
      <c r="D1136" s="1" t="s">
        <v>624</v>
      </c>
      <c r="E1136" s="1" t="s">
        <v>337</v>
      </c>
      <c r="N1136" s="7">
        <v>45947</v>
      </c>
      <c r="O1136" s="1">
        <v>365</v>
      </c>
      <c r="P1136" s="7">
        <v>46312</v>
      </c>
      <c r="Q1136" s="1" t="s">
        <v>330</v>
      </c>
      <c r="T1136" s="1" t="s">
        <v>633</v>
      </c>
      <c r="U1136" s="1" t="s">
        <v>634</v>
      </c>
      <c r="V1136" s="1">
        <v>4</v>
      </c>
      <c r="W1136" s="3">
        <v>153102.49</v>
      </c>
      <c r="X1136" s="3">
        <v>612409.96</v>
      </c>
      <c r="Y1136" s="1" t="str">
        <f>VLOOKUP(A1136,[1]Detalle!$D$2:$CR$484,93,FALSE)</f>
        <v>Expreso - Servicios Troncales</v>
      </c>
    </row>
    <row r="1137" spans="1:25" ht="14.25" customHeight="1" x14ac:dyDescent="0.3">
      <c r="A1137" s="1" t="s">
        <v>665</v>
      </c>
      <c r="B1137" s="1" t="s">
        <v>623</v>
      </c>
      <c r="C1137" s="1" t="s">
        <v>623</v>
      </c>
      <c r="D1137" s="1" t="s">
        <v>624</v>
      </c>
      <c r="E1137" s="1" t="s">
        <v>337</v>
      </c>
      <c r="N1137" s="7">
        <v>45947</v>
      </c>
      <c r="O1137" s="1">
        <v>365</v>
      </c>
      <c r="P1137" s="7">
        <v>46312</v>
      </c>
      <c r="Q1137" s="1" t="s">
        <v>330</v>
      </c>
      <c r="T1137" s="1" t="s">
        <v>625</v>
      </c>
      <c r="U1137" s="1" t="s">
        <v>626</v>
      </c>
      <c r="V1137" s="1">
        <v>1</v>
      </c>
      <c r="W1137" s="3">
        <v>57923.55</v>
      </c>
      <c r="X1137" s="3">
        <v>57923.55</v>
      </c>
      <c r="Y1137" s="1" t="str">
        <f>VLOOKUP(A1137,[1]Detalle!$D$2:$CR$484,93,FALSE)</f>
        <v>Expreso - Servicios Troncales</v>
      </c>
    </row>
    <row r="1138" spans="1:25" ht="14.25" customHeight="1" x14ac:dyDescent="0.3">
      <c r="A1138" s="1" t="s">
        <v>665</v>
      </c>
      <c r="B1138" s="1" t="s">
        <v>623</v>
      </c>
      <c r="C1138" s="1" t="s">
        <v>623</v>
      </c>
      <c r="D1138" s="1" t="s">
        <v>624</v>
      </c>
      <c r="E1138" s="1" t="s">
        <v>337</v>
      </c>
      <c r="N1138" s="7">
        <v>45947</v>
      </c>
      <c r="O1138" s="1">
        <v>365</v>
      </c>
      <c r="P1138" s="7">
        <v>46312</v>
      </c>
      <c r="Q1138" s="1" t="s">
        <v>330</v>
      </c>
      <c r="T1138" s="1" t="s">
        <v>627</v>
      </c>
      <c r="U1138" s="1" t="s">
        <v>628</v>
      </c>
      <c r="V1138" s="1">
        <v>1</v>
      </c>
      <c r="W1138" s="3">
        <v>14370.83</v>
      </c>
      <c r="X1138" s="3">
        <v>14370.83</v>
      </c>
      <c r="Y1138" s="1" t="str">
        <f>VLOOKUP(A1138,[1]Detalle!$D$2:$CR$484,93,FALSE)</f>
        <v>Expreso - Servicios Troncales</v>
      </c>
    </row>
    <row r="1139" spans="1:25" ht="14.25" customHeight="1" x14ac:dyDescent="0.3">
      <c r="A1139" s="1" t="s">
        <v>665</v>
      </c>
      <c r="B1139" s="1" t="s">
        <v>623</v>
      </c>
      <c r="C1139" s="1" t="s">
        <v>623</v>
      </c>
      <c r="D1139" s="1" t="s">
        <v>624</v>
      </c>
      <c r="E1139" s="1" t="s">
        <v>337</v>
      </c>
      <c r="N1139" s="7">
        <v>45947</v>
      </c>
      <c r="O1139" s="1">
        <v>365</v>
      </c>
      <c r="P1139" s="7">
        <v>46312</v>
      </c>
      <c r="Q1139" s="1" t="s">
        <v>330</v>
      </c>
      <c r="T1139" s="1" t="s">
        <v>629</v>
      </c>
      <c r="U1139" s="1" t="s">
        <v>630</v>
      </c>
      <c r="V1139" s="1">
        <v>1</v>
      </c>
      <c r="W1139" s="3">
        <v>7200</v>
      </c>
      <c r="X1139" s="3">
        <v>7200</v>
      </c>
      <c r="Y1139" s="1" t="str">
        <f>VLOOKUP(A1139,[1]Detalle!$D$2:$CR$484,93,FALSE)</f>
        <v>Expreso - Servicios Troncales</v>
      </c>
    </row>
    <row r="1140" spans="1:25" ht="14.25" customHeight="1" x14ac:dyDescent="0.3">
      <c r="A1140" s="1" t="s">
        <v>665</v>
      </c>
      <c r="B1140" s="1" t="s">
        <v>623</v>
      </c>
      <c r="C1140" s="1" t="s">
        <v>623</v>
      </c>
      <c r="D1140" s="1" t="s">
        <v>624</v>
      </c>
      <c r="E1140" s="1" t="s">
        <v>337</v>
      </c>
      <c r="N1140" s="7">
        <v>45947</v>
      </c>
      <c r="O1140" s="1">
        <v>365</v>
      </c>
      <c r="P1140" s="7">
        <v>46312</v>
      </c>
      <c r="Q1140" s="1" t="s">
        <v>330</v>
      </c>
      <c r="T1140" s="1" t="s">
        <v>631</v>
      </c>
      <c r="U1140" s="1" t="s">
        <v>632</v>
      </c>
      <c r="V1140" s="1">
        <v>1</v>
      </c>
      <c r="W1140" s="3">
        <v>7286.36</v>
      </c>
      <c r="X1140" s="3">
        <v>7286.36</v>
      </c>
      <c r="Y1140" s="1" t="str">
        <f>VLOOKUP(A1140,[1]Detalle!$D$2:$CR$484,93,FALSE)</f>
        <v>Expreso - Servicios Troncales</v>
      </c>
    </row>
    <row r="1141" spans="1:25" ht="14.25" customHeight="1" x14ac:dyDescent="0.3">
      <c r="A1141" s="1" t="s">
        <v>665</v>
      </c>
      <c r="B1141" s="1" t="s">
        <v>623</v>
      </c>
      <c r="C1141" s="1" t="s">
        <v>623</v>
      </c>
      <c r="D1141" s="1" t="s">
        <v>624</v>
      </c>
      <c r="E1141" s="1" t="s">
        <v>337</v>
      </c>
      <c r="N1141" s="7">
        <v>45947</v>
      </c>
      <c r="O1141" s="1">
        <v>365</v>
      </c>
      <c r="P1141" s="7">
        <v>46312</v>
      </c>
      <c r="Q1141" s="1" t="s">
        <v>330</v>
      </c>
      <c r="T1141" s="1" t="s">
        <v>633</v>
      </c>
      <c r="U1141" s="1" t="s">
        <v>634</v>
      </c>
      <c r="V1141" s="1">
        <v>4</v>
      </c>
      <c r="W1141" s="3">
        <v>153102.49</v>
      </c>
      <c r="X1141" s="3">
        <v>612409.96</v>
      </c>
      <c r="Y1141" s="1" t="str">
        <f>VLOOKUP(A1141,[1]Detalle!$D$2:$CR$484,93,FALSE)</f>
        <v>Expreso - Servicios Troncales</v>
      </c>
    </row>
    <row r="1142" spans="1:25" ht="14.25" customHeight="1" x14ac:dyDescent="0.3">
      <c r="A1142" s="1" t="s">
        <v>666</v>
      </c>
      <c r="B1142" s="1" t="s">
        <v>623</v>
      </c>
      <c r="C1142" s="1" t="s">
        <v>623</v>
      </c>
      <c r="D1142" s="1" t="s">
        <v>624</v>
      </c>
      <c r="E1142" s="1" t="s">
        <v>337</v>
      </c>
      <c r="N1142" s="7">
        <v>45947</v>
      </c>
      <c r="O1142" s="1">
        <v>365</v>
      </c>
      <c r="P1142" s="7">
        <v>46312</v>
      </c>
      <c r="Q1142" s="1" t="s">
        <v>330</v>
      </c>
      <c r="T1142" s="1" t="s">
        <v>625</v>
      </c>
      <c r="U1142" s="1" t="s">
        <v>626</v>
      </c>
      <c r="V1142" s="1">
        <v>1</v>
      </c>
      <c r="W1142" s="3">
        <v>57923.55</v>
      </c>
      <c r="X1142" s="3">
        <v>57923.55</v>
      </c>
      <c r="Y1142" s="1" t="str">
        <f>VLOOKUP(A1142,[1]Detalle!$D$2:$CR$484,93,FALSE)</f>
        <v>Expreso - Servicios Troncales</v>
      </c>
    </row>
    <row r="1143" spans="1:25" ht="14.25" customHeight="1" x14ac:dyDescent="0.3">
      <c r="A1143" s="1" t="s">
        <v>666</v>
      </c>
      <c r="B1143" s="1" t="s">
        <v>623</v>
      </c>
      <c r="C1143" s="1" t="s">
        <v>623</v>
      </c>
      <c r="D1143" s="1" t="s">
        <v>624</v>
      </c>
      <c r="E1143" s="1" t="s">
        <v>337</v>
      </c>
      <c r="N1143" s="7">
        <v>45947</v>
      </c>
      <c r="O1143" s="1">
        <v>365</v>
      </c>
      <c r="P1143" s="7">
        <v>46312</v>
      </c>
      <c r="Q1143" s="1" t="s">
        <v>330</v>
      </c>
      <c r="T1143" s="1" t="s">
        <v>627</v>
      </c>
      <c r="U1143" s="1" t="s">
        <v>628</v>
      </c>
      <c r="V1143" s="1">
        <v>1</v>
      </c>
      <c r="W1143" s="3">
        <v>14370.83</v>
      </c>
      <c r="X1143" s="3">
        <v>14370.83</v>
      </c>
      <c r="Y1143" s="1" t="str">
        <f>VLOOKUP(A1143,[1]Detalle!$D$2:$CR$484,93,FALSE)</f>
        <v>Expreso - Servicios Troncales</v>
      </c>
    </row>
    <row r="1144" spans="1:25" ht="14.25" customHeight="1" x14ac:dyDescent="0.3">
      <c r="A1144" s="1" t="s">
        <v>666</v>
      </c>
      <c r="B1144" s="1" t="s">
        <v>623</v>
      </c>
      <c r="C1144" s="1" t="s">
        <v>623</v>
      </c>
      <c r="D1144" s="1" t="s">
        <v>624</v>
      </c>
      <c r="E1144" s="1" t="s">
        <v>337</v>
      </c>
      <c r="N1144" s="7">
        <v>45947</v>
      </c>
      <c r="O1144" s="1">
        <v>365</v>
      </c>
      <c r="P1144" s="7">
        <v>46312</v>
      </c>
      <c r="Q1144" s="1" t="s">
        <v>330</v>
      </c>
      <c r="T1144" s="1" t="s">
        <v>629</v>
      </c>
      <c r="U1144" s="1" t="s">
        <v>630</v>
      </c>
      <c r="V1144" s="1">
        <v>1</v>
      </c>
      <c r="W1144" s="3">
        <v>7200</v>
      </c>
      <c r="X1144" s="3">
        <v>7200</v>
      </c>
      <c r="Y1144" s="1" t="str">
        <f>VLOOKUP(A1144,[1]Detalle!$D$2:$CR$484,93,FALSE)</f>
        <v>Expreso - Servicios Troncales</v>
      </c>
    </row>
    <row r="1145" spans="1:25" ht="14.25" customHeight="1" x14ac:dyDescent="0.3">
      <c r="A1145" s="1" t="s">
        <v>666</v>
      </c>
      <c r="B1145" s="1" t="s">
        <v>623</v>
      </c>
      <c r="C1145" s="1" t="s">
        <v>623</v>
      </c>
      <c r="D1145" s="1" t="s">
        <v>624</v>
      </c>
      <c r="E1145" s="1" t="s">
        <v>337</v>
      </c>
      <c r="N1145" s="7">
        <v>45947</v>
      </c>
      <c r="O1145" s="1">
        <v>365</v>
      </c>
      <c r="P1145" s="7">
        <v>46312</v>
      </c>
      <c r="Q1145" s="1" t="s">
        <v>330</v>
      </c>
      <c r="T1145" s="1" t="s">
        <v>631</v>
      </c>
      <c r="U1145" s="1" t="s">
        <v>632</v>
      </c>
      <c r="V1145" s="1">
        <v>1</v>
      </c>
      <c r="W1145" s="3">
        <v>7286.36</v>
      </c>
      <c r="X1145" s="3">
        <v>7286.36</v>
      </c>
      <c r="Y1145" s="1" t="str">
        <f>VLOOKUP(A1145,[1]Detalle!$D$2:$CR$484,93,FALSE)</f>
        <v>Expreso - Servicios Troncales</v>
      </c>
    </row>
    <row r="1146" spans="1:25" ht="14.25" customHeight="1" x14ac:dyDescent="0.3">
      <c r="A1146" s="1" t="s">
        <v>666</v>
      </c>
      <c r="B1146" s="1" t="s">
        <v>623</v>
      </c>
      <c r="C1146" s="1" t="s">
        <v>623</v>
      </c>
      <c r="D1146" s="1" t="s">
        <v>624</v>
      </c>
      <c r="E1146" s="1" t="s">
        <v>337</v>
      </c>
      <c r="N1146" s="7">
        <v>45947</v>
      </c>
      <c r="O1146" s="1">
        <v>365</v>
      </c>
      <c r="P1146" s="7">
        <v>46312</v>
      </c>
      <c r="Q1146" s="1" t="s">
        <v>330</v>
      </c>
      <c r="T1146" s="1" t="s">
        <v>633</v>
      </c>
      <c r="U1146" s="1" t="s">
        <v>634</v>
      </c>
      <c r="V1146" s="1">
        <v>4</v>
      </c>
      <c r="W1146" s="3">
        <v>153102.49</v>
      </c>
      <c r="X1146" s="3">
        <v>612409.96</v>
      </c>
      <c r="Y1146" s="1" t="str">
        <f>VLOOKUP(A1146,[1]Detalle!$D$2:$CR$484,93,FALSE)</f>
        <v>Expreso - Servicios Troncales</v>
      </c>
    </row>
    <row r="1147" spans="1:25" ht="14.25" customHeight="1" x14ac:dyDescent="0.3">
      <c r="A1147" s="1" t="s">
        <v>667</v>
      </c>
      <c r="B1147" s="1" t="s">
        <v>623</v>
      </c>
      <c r="C1147" s="1" t="s">
        <v>623</v>
      </c>
      <c r="D1147" s="1" t="s">
        <v>624</v>
      </c>
      <c r="E1147" s="1" t="s">
        <v>337</v>
      </c>
      <c r="N1147" s="7">
        <v>45947</v>
      </c>
      <c r="O1147" s="1">
        <v>365</v>
      </c>
      <c r="P1147" s="7">
        <v>46312</v>
      </c>
      <c r="Q1147" s="1" t="s">
        <v>330</v>
      </c>
      <c r="T1147" s="1" t="s">
        <v>625</v>
      </c>
      <c r="U1147" s="1" t="s">
        <v>626</v>
      </c>
      <c r="V1147" s="1">
        <v>1</v>
      </c>
      <c r="W1147" s="3">
        <v>57923.55</v>
      </c>
      <c r="X1147" s="3">
        <v>57923.55</v>
      </c>
      <c r="Y1147" s="1" t="str">
        <f>VLOOKUP(A1147,[1]Detalle!$D$2:$CR$484,93,FALSE)</f>
        <v>Arcor S.A.I.C.</v>
      </c>
    </row>
    <row r="1148" spans="1:25" ht="14.25" customHeight="1" x14ac:dyDescent="0.3">
      <c r="A1148" s="1" t="s">
        <v>667</v>
      </c>
      <c r="B1148" s="1" t="s">
        <v>623</v>
      </c>
      <c r="C1148" s="1" t="s">
        <v>623</v>
      </c>
      <c r="D1148" s="1" t="s">
        <v>624</v>
      </c>
      <c r="E1148" s="1" t="s">
        <v>337</v>
      </c>
      <c r="N1148" s="7">
        <v>45947</v>
      </c>
      <c r="O1148" s="1">
        <v>365</v>
      </c>
      <c r="P1148" s="7">
        <v>46312</v>
      </c>
      <c r="Q1148" s="1" t="s">
        <v>330</v>
      </c>
      <c r="T1148" s="1" t="s">
        <v>627</v>
      </c>
      <c r="U1148" s="1" t="s">
        <v>628</v>
      </c>
      <c r="V1148" s="1">
        <v>1</v>
      </c>
      <c r="W1148" s="3">
        <v>14370.83</v>
      </c>
      <c r="X1148" s="3">
        <v>14370.83</v>
      </c>
      <c r="Y1148" s="1" t="str">
        <f>VLOOKUP(A1148,[1]Detalle!$D$2:$CR$484,93,FALSE)</f>
        <v>Arcor S.A.I.C.</v>
      </c>
    </row>
    <row r="1149" spans="1:25" ht="14.25" customHeight="1" x14ac:dyDescent="0.3">
      <c r="A1149" s="1" t="s">
        <v>667</v>
      </c>
      <c r="B1149" s="1" t="s">
        <v>623</v>
      </c>
      <c r="C1149" s="1" t="s">
        <v>623</v>
      </c>
      <c r="D1149" s="1" t="s">
        <v>624</v>
      </c>
      <c r="E1149" s="1" t="s">
        <v>337</v>
      </c>
      <c r="N1149" s="7">
        <v>45947</v>
      </c>
      <c r="O1149" s="1">
        <v>365</v>
      </c>
      <c r="P1149" s="7">
        <v>46312</v>
      </c>
      <c r="Q1149" s="1" t="s">
        <v>330</v>
      </c>
      <c r="T1149" s="1" t="s">
        <v>629</v>
      </c>
      <c r="U1149" s="1" t="s">
        <v>630</v>
      </c>
      <c r="V1149" s="1">
        <v>1</v>
      </c>
      <c r="W1149" s="3">
        <v>7200</v>
      </c>
      <c r="X1149" s="3">
        <v>7200</v>
      </c>
      <c r="Y1149" s="1" t="str">
        <f>VLOOKUP(A1149,[1]Detalle!$D$2:$CR$484,93,FALSE)</f>
        <v>Arcor S.A.I.C.</v>
      </c>
    </row>
    <row r="1150" spans="1:25" ht="14.25" customHeight="1" x14ac:dyDescent="0.3">
      <c r="A1150" s="1" t="s">
        <v>667</v>
      </c>
      <c r="B1150" s="1" t="s">
        <v>623</v>
      </c>
      <c r="C1150" s="1" t="s">
        <v>623</v>
      </c>
      <c r="D1150" s="1" t="s">
        <v>624</v>
      </c>
      <c r="E1150" s="1" t="s">
        <v>337</v>
      </c>
      <c r="N1150" s="7">
        <v>45947</v>
      </c>
      <c r="O1150" s="1">
        <v>365</v>
      </c>
      <c r="P1150" s="7">
        <v>46312</v>
      </c>
      <c r="Q1150" s="1" t="s">
        <v>330</v>
      </c>
      <c r="T1150" s="1" t="s">
        <v>631</v>
      </c>
      <c r="U1150" s="1" t="s">
        <v>632</v>
      </c>
      <c r="V1150" s="1">
        <v>1</v>
      </c>
      <c r="W1150" s="3">
        <v>7286.36</v>
      </c>
      <c r="X1150" s="3">
        <v>7286.36</v>
      </c>
      <c r="Y1150" s="1" t="str">
        <f>VLOOKUP(A1150,[1]Detalle!$D$2:$CR$484,93,FALSE)</f>
        <v>Arcor S.A.I.C.</v>
      </c>
    </row>
    <row r="1151" spans="1:25" ht="14.25" customHeight="1" x14ac:dyDescent="0.3">
      <c r="A1151" s="1" t="s">
        <v>667</v>
      </c>
      <c r="B1151" s="1" t="s">
        <v>623</v>
      </c>
      <c r="C1151" s="1" t="s">
        <v>623</v>
      </c>
      <c r="D1151" s="1" t="s">
        <v>624</v>
      </c>
      <c r="E1151" s="1" t="s">
        <v>337</v>
      </c>
      <c r="N1151" s="7">
        <v>45947</v>
      </c>
      <c r="O1151" s="1">
        <v>365</v>
      </c>
      <c r="P1151" s="7">
        <v>46312</v>
      </c>
      <c r="Q1151" s="1" t="s">
        <v>330</v>
      </c>
      <c r="T1151" s="1" t="s">
        <v>633</v>
      </c>
      <c r="U1151" s="1" t="s">
        <v>634</v>
      </c>
      <c r="V1151" s="1">
        <v>4</v>
      </c>
      <c r="W1151" s="3">
        <v>153102.49</v>
      </c>
      <c r="X1151" s="3">
        <v>612409.96</v>
      </c>
      <c r="Y1151" s="1" t="str">
        <f>VLOOKUP(A1151,[1]Detalle!$D$2:$CR$484,93,FALSE)</f>
        <v>Arcor S.A.I.C.</v>
      </c>
    </row>
    <row r="1152" spans="1:25" ht="14.25" customHeight="1" x14ac:dyDescent="0.3">
      <c r="A1152" s="1" t="s">
        <v>668</v>
      </c>
      <c r="B1152" s="1" t="s">
        <v>623</v>
      </c>
      <c r="C1152" s="1" t="s">
        <v>623</v>
      </c>
      <c r="D1152" s="1" t="s">
        <v>624</v>
      </c>
      <c r="E1152" s="1" t="s">
        <v>337</v>
      </c>
      <c r="N1152" s="7">
        <v>45947</v>
      </c>
      <c r="O1152" s="1">
        <v>365</v>
      </c>
      <c r="P1152" s="7">
        <v>46312</v>
      </c>
      <c r="Q1152" s="1" t="s">
        <v>330</v>
      </c>
      <c r="T1152" s="1" t="s">
        <v>625</v>
      </c>
      <c r="U1152" s="1" t="s">
        <v>626</v>
      </c>
      <c r="V1152" s="1">
        <v>1</v>
      </c>
      <c r="W1152" s="3">
        <v>57923.55</v>
      </c>
      <c r="X1152" s="3">
        <v>57923.55</v>
      </c>
      <c r="Y1152" s="1" t="str">
        <f>VLOOKUP(A1152,[1]Detalle!$D$2:$CR$484,93,FALSE)</f>
        <v>JOHNSON - SC JOHNSON DE ARGENTINA SAIC</v>
      </c>
    </row>
    <row r="1153" spans="1:25" ht="14.25" customHeight="1" x14ac:dyDescent="0.3">
      <c r="A1153" s="1" t="s">
        <v>668</v>
      </c>
      <c r="B1153" s="1" t="s">
        <v>623</v>
      </c>
      <c r="C1153" s="1" t="s">
        <v>623</v>
      </c>
      <c r="D1153" s="1" t="s">
        <v>624</v>
      </c>
      <c r="E1153" s="1" t="s">
        <v>337</v>
      </c>
      <c r="N1153" s="7">
        <v>45947</v>
      </c>
      <c r="O1153" s="1">
        <v>365</v>
      </c>
      <c r="P1153" s="7">
        <v>46312</v>
      </c>
      <c r="Q1153" s="1" t="s">
        <v>330</v>
      </c>
      <c r="T1153" s="1" t="s">
        <v>627</v>
      </c>
      <c r="U1153" s="1" t="s">
        <v>628</v>
      </c>
      <c r="V1153" s="1">
        <v>1</v>
      </c>
      <c r="W1153" s="3">
        <v>14370.83</v>
      </c>
      <c r="X1153" s="3">
        <v>14370.83</v>
      </c>
      <c r="Y1153" s="1" t="str">
        <f>VLOOKUP(A1153,[1]Detalle!$D$2:$CR$484,93,FALSE)</f>
        <v>JOHNSON - SC JOHNSON DE ARGENTINA SAIC</v>
      </c>
    </row>
    <row r="1154" spans="1:25" ht="14.25" customHeight="1" x14ac:dyDescent="0.3">
      <c r="A1154" s="1" t="s">
        <v>668</v>
      </c>
      <c r="B1154" s="1" t="s">
        <v>623</v>
      </c>
      <c r="C1154" s="1" t="s">
        <v>623</v>
      </c>
      <c r="D1154" s="1" t="s">
        <v>624</v>
      </c>
      <c r="E1154" s="1" t="s">
        <v>337</v>
      </c>
      <c r="N1154" s="7">
        <v>45947</v>
      </c>
      <c r="O1154" s="1">
        <v>365</v>
      </c>
      <c r="P1154" s="7">
        <v>46312</v>
      </c>
      <c r="Q1154" s="1" t="s">
        <v>330</v>
      </c>
      <c r="T1154" s="1" t="s">
        <v>629</v>
      </c>
      <c r="U1154" s="1" t="s">
        <v>630</v>
      </c>
      <c r="V1154" s="1">
        <v>1</v>
      </c>
      <c r="W1154" s="3">
        <v>7200</v>
      </c>
      <c r="X1154" s="3">
        <v>7200</v>
      </c>
      <c r="Y1154" s="1" t="str">
        <f>VLOOKUP(A1154,[1]Detalle!$D$2:$CR$484,93,FALSE)</f>
        <v>JOHNSON - SC JOHNSON DE ARGENTINA SAIC</v>
      </c>
    </row>
    <row r="1155" spans="1:25" ht="14.25" customHeight="1" x14ac:dyDescent="0.3">
      <c r="A1155" s="1" t="s">
        <v>668</v>
      </c>
      <c r="B1155" s="1" t="s">
        <v>623</v>
      </c>
      <c r="C1155" s="1" t="s">
        <v>623</v>
      </c>
      <c r="D1155" s="1" t="s">
        <v>624</v>
      </c>
      <c r="E1155" s="1" t="s">
        <v>337</v>
      </c>
      <c r="N1155" s="7">
        <v>45947</v>
      </c>
      <c r="O1155" s="1">
        <v>365</v>
      </c>
      <c r="P1155" s="7">
        <v>46312</v>
      </c>
      <c r="Q1155" s="1" t="s">
        <v>330</v>
      </c>
      <c r="T1155" s="1" t="s">
        <v>631</v>
      </c>
      <c r="U1155" s="1" t="s">
        <v>632</v>
      </c>
      <c r="V1155" s="1">
        <v>1</v>
      </c>
      <c r="W1155" s="3">
        <v>7286.36</v>
      </c>
      <c r="X1155" s="3">
        <v>7286.36</v>
      </c>
      <c r="Y1155" s="1" t="str">
        <f>VLOOKUP(A1155,[1]Detalle!$D$2:$CR$484,93,FALSE)</f>
        <v>JOHNSON - SC JOHNSON DE ARGENTINA SAIC</v>
      </c>
    </row>
    <row r="1156" spans="1:25" ht="14.25" customHeight="1" x14ac:dyDescent="0.3">
      <c r="A1156" s="1" t="s">
        <v>668</v>
      </c>
      <c r="B1156" s="1" t="s">
        <v>623</v>
      </c>
      <c r="C1156" s="1" t="s">
        <v>623</v>
      </c>
      <c r="D1156" s="1" t="s">
        <v>624</v>
      </c>
      <c r="E1156" s="1" t="s">
        <v>337</v>
      </c>
      <c r="N1156" s="7">
        <v>45947</v>
      </c>
      <c r="O1156" s="1">
        <v>365</v>
      </c>
      <c r="P1156" s="7">
        <v>46312</v>
      </c>
      <c r="Q1156" s="1" t="s">
        <v>330</v>
      </c>
      <c r="T1156" s="1" t="s">
        <v>633</v>
      </c>
      <c r="U1156" s="1" t="s">
        <v>634</v>
      </c>
      <c r="V1156" s="1">
        <v>4</v>
      </c>
      <c r="W1156" s="3">
        <v>153102.49</v>
      </c>
      <c r="X1156" s="3">
        <v>612409.96</v>
      </c>
      <c r="Y1156" s="1" t="str">
        <f>VLOOKUP(A1156,[1]Detalle!$D$2:$CR$484,93,FALSE)</f>
        <v>JOHNSON - SC JOHNSON DE ARGENTINA SAIC</v>
      </c>
    </row>
    <row r="1157" spans="1:25" ht="14.25" customHeight="1" x14ac:dyDescent="0.3">
      <c r="A1157" s="1" t="s">
        <v>669</v>
      </c>
      <c r="B1157" s="1" t="s">
        <v>623</v>
      </c>
      <c r="C1157" s="1" t="s">
        <v>623</v>
      </c>
      <c r="D1157" s="1" t="s">
        <v>624</v>
      </c>
      <c r="E1157" s="1" t="s">
        <v>337</v>
      </c>
      <c r="N1157" s="7">
        <v>45947</v>
      </c>
      <c r="O1157" s="1">
        <v>365</v>
      </c>
      <c r="P1157" s="7">
        <v>46312</v>
      </c>
      <c r="Q1157" s="1" t="s">
        <v>330</v>
      </c>
      <c r="T1157" s="1" t="s">
        <v>625</v>
      </c>
      <c r="U1157" s="1" t="s">
        <v>626</v>
      </c>
      <c r="V1157" s="1">
        <v>1</v>
      </c>
      <c r="W1157" s="3">
        <v>57923.55</v>
      </c>
      <c r="X1157" s="3">
        <v>57923.55</v>
      </c>
      <c r="Y1157" s="1" t="str">
        <f>VLOOKUP(A1157,[1]Detalle!$D$2:$CR$484,93,FALSE)</f>
        <v>Expreso - Servicios Troncales</v>
      </c>
    </row>
    <row r="1158" spans="1:25" ht="14.25" customHeight="1" x14ac:dyDescent="0.3">
      <c r="A1158" s="1" t="s">
        <v>669</v>
      </c>
      <c r="B1158" s="1" t="s">
        <v>623</v>
      </c>
      <c r="C1158" s="1" t="s">
        <v>623</v>
      </c>
      <c r="D1158" s="1" t="s">
        <v>624</v>
      </c>
      <c r="E1158" s="1" t="s">
        <v>337</v>
      </c>
      <c r="N1158" s="7">
        <v>45947</v>
      </c>
      <c r="O1158" s="1">
        <v>365</v>
      </c>
      <c r="P1158" s="7">
        <v>46312</v>
      </c>
      <c r="Q1158" s="1" t="s">
        <v>330</v>
      </c>
      <c r="T1158" s="1" t="s">
        <v>627</v>
      </c>
      <c r="U1158" s="1" t="s">
        <v>628</v>
      </c>
      <c r="V1158" s="1">
        <v>1</v>
      </c>
      <c r="W1158" s="3">
        <v>14370.83</v>
      </c>
      <c r="X1158" s="3">
        <v>14370.83</v>
      </c>
      <c r="Y1158" s="1" t="str">
        <f>VLOOKUP(A1158,[1]Detalle!$D$2:$CR$484,93,FALSE)</f>
        <v>Expreso - Servicios Troncales</v>
      </c>
    </row>
    <row r="1159" spans="1:25" ht="14.25" customHeight="1" x14ac:dyDescent="0.3">
      <c r="A1159" s="1" t="s">
        <v>669</v>
      </c>
      <c r="B1159" s="1" t="s">
        <v>623</v>
      </c>
      <c r="C1159" s="1" t="s">
        <v>623</v>
      </c>
      <c r="D1159" s="1" t="s">
        <v>624</v>
      </c>
      <c r="E1159" s="1" t="s">
        <v>337</v>
      </c>
      <c r="N1159" s="7">
        <v>45947</v>
      </c>
      <c r="O1159" s="1">
        <v>365</v>
      </c>
      <c r="P1159" s="7">
        <v>46312</v>
      </c>
      <c r="Q1159" s="1" t="s">
        <v>330</v>
      </c>
      <c r="T1159" s="1" t="s">
        <v>629</v>
      </c>
      <c r="U1159" s="1" t="s">
        <v>630</v>
      </c>
      <c r="V1159" s="1">
        <v>1</v>
      </c>
      <c r="W1159" s="3">
        <v>7200</v>
      </c>
      <c r="X1159" s="3">
        <v>7200</v>
      </c>
      <c r="Y1159" s="1" t="str">
        <f>VLOOKUP(A1159,[1]Detalle!$D$2:$CR$484,93,FALSE)</f>
        <v>Expreso - Servicios Troncales</v>
      </c>
    </row>
    <row r="1160" spans="1:25" ht="14.25" customHeight="1" x14ac:dyDescent="0.3">
      <c r="A1160" s="1" t="s">
        <v>669</v>
      </c>
      <c r="B1160" s="1" t="s">
        <v>623</v>
      </c>
      <c r="C1160" s="1" t="s">
        <v>623</v>
      </c>
      <c r="D1160" s="1" t="s">
        <v>624</v>
      </c>
      <c r="E1160" s="1" t="s">
        <v>337</v>
      </c>
      <c r="N1160" s="7">
        <v>45947</v>
      </c>
      <c r="O1160" s="1">
        <v>365</v>
      </c>
      <c r="P1160" s="7">
        <v>46312</v>
      </c>
      <c r="Q1160" s="1" t="s">
        <v>330</v>
      </c>
      <c r="T1160" s="1" t="s">
        <v>631</v>
      </c>
      <c r="U1160" s="1" t="s">
        <v>632</v>
      </c>
      <c r="V1160" s="1">
        <v>1</v>
      </c>
      <c r="W1160" s="3">
        <v>7286.36</v>
      </c>
      <c r="X1160" s="3">
        <v>7286.36</v>
      </c>
      <c r="Y1160" s="1" t="str">
        <f>VLOOKUP(A1160,[1]Detalle!$D$2:$CR$484,93,FALSE)</f>
        <v>Expreso - Servicios Troncales</v>
      </c>
    </row>
    <row r="1161" spans="1:25" ht="14.25" customHeight="1" x14ac:dyDescent="0.3">
      <c r="A1161" s="1" t="s">
        <v>669</v>
      </c>
      <c r="B1161" s="1" t="s">
        <v>623</v>
      </c>
      <c r="C1161" s="1" t="s">
        <v>623</v>
      </c>
      <c r="D1161" s="1" t="s">
        <v>624</v>
      </c>
      <c r="E1161" s="1" t="s">
        <v>337</v>
      </c>
      <c r="N1161" s="7">
        <v>45947</v>
      </c>
      <c r="O1161" s="1">
        <v>365</v>
      </c>
      <c r="P1161" s="7">
        <v>46312</v>
      </c>
      <c r="Q1161" s="1" t="s">
        <v>330</v>
      </c>
      <c r="T1161" s="1" t="s">
        <v>633</v>
      </c>
      <c r="U1161" s="1" t="s">
        <v>634</v>
      </c>
      <c r="V1161" s="1">
        <v>4</v>
      </c>
      <c r="W1161" s="3">
        <v>153102.49</v>
      </c>
      <c r="X1161" s="3">
        <v>612409.96</v>
      </c>
      <c r="Y1161" s="1" t="str">
        <f>VLOOKUP(A1161,[1]Detalle!$D$2:$CR$484,93,FALSE)</f>
        <v>Expreso - Servicios Troncales</v>
      </c>
    </row>
    <row r="1162" spans="1:25" ht="14.25" customHeight="1" x14ac:dyDescent="0.3">
      <c r="A1162" s="1" t="s">
        <v>670</v>
      </c>
      <c r="B1162" s="1" t="s">
        <v>623</v>
      </c>
      <c r="C1162" s="1" t="s">
        <v>623</v>
      </c>
      <c r="D1162" s="1" t="s">
        <v>624</v>
      </c>
      <c r="E1162" s="1" t="s">
        <v>337</v>
      </c>
      <c r="N1162" s="7">
        <v>45947</v>
      </c>
      <c r="O1162" s="1">
        <v>365</v>
      </c>
      <c r="P1162" s="7">
        <v>46312</v>
      </c>
      <c r="Q1162" s="1" t="s">
        <v>330</v>
      </c>
      <c r="T1162" s="1" t="s">
        <v>625</v>
      </c>
      <c r="U1162" s="1" t="s">
        <v>626</v>
      </c>
      <c r="V1162" s="1">
        <v>1</v>
      </c>
      <c r="W1162" s="3">
        <v>57923.55</v>
      </c>
      <c r="X1162" s="3">
        <v>57923.55</v>
      </c>
      <c r="Y1162" s="1" t="str">
        <f>VLOOKUP(A1162,[1]Detalle!$D$2:$CR$484,93,FALSE)</f>
        <v>Expreso - Servicios Troncales</v>
      </c>
    </row>
    <row r="1163" spans="1:25" ht="14.25" customHeight="1" x14ac:dyDescent="0.3">
      <c r="A1163" s="1" t="s">
        <v>670</v>
      </c>
      <c r="B1163" s="1" t="s">
        <v>623</v>
      </c>
      <c r="C1163" s="1" t="s">
        <v>623</v>
      </c>
      <c r="D1163" s="1" t="s">
        <v>624</v>
      </c>
      <c r="E1163" s="1" t="s">
        <v>337</v>
      </c>
      <c r="N1163" s="7">
        <v>45947</v>
      </c>
      <c r="O1163" s="1">
        <v>365</v>
      </c>
      <c r="P1163" s="7">
        <v>46312</v>
      </c>
      <c r="Q1163" s="1" t="s">
        <v>330</v>
      </c>
      <c r="T1163" s="1" t="s">
        <v>627</v>
      </c>
      <c r="U1163" s="1" t="s">
        <v>628</v>
      </c>
      <c r="V1163" s="1">
        <v>1</v>
      </c>
      <c r="W1163" s="3">
        <v>14370.83</v>
      </c>
      <c r="X1163" s="3">
        <v>14370.83</v>
      </c>
      <c r="Y1163" s="1" t="str">
        <f>VLOOKUP(A1163,[1]Detalle!$D$2:$CR$484,93,FALSE)</f>
        <v>Expreso - Servicios Troncales</v>
      </c>
    </row>
    <row r="1164" spans="1:25" ht="14.25" customHeight="1" x14ac:dyDescent="0.3">
      <c r="A1164" s="1" t="s">
        <v>670</v>
      </c>
      <c r="B1164" s="1" t="s">
        <v>623</v>
      </c>
      <c r="C1164" s="1" t="s">
        <v>623</v>
      </c>
      <c r="D1164" s="1" t="s">
        <v>624</v>
      </c>
      <c r="E1164" s="1" t="s">
        <v>337</v>
      </c>
      <c r="N1164" s="7">
        <v>45947</v>
      </c>
      <c r="O1164" s="1">
        <v>365</v>
      </c>
      <c r="P1164" s="7">
        <v>46312</v>
      </c>
      <c r="Q1164" s="1" t="s">
        <v>330</v>
      </c>
      <c r="T1164" s="1" t="s">
        <v>629</v>
      </c>
      <c r="U1164" s="1" t="s">
        <v>630</v>
      </c>
      <c r="V1164" s="1">
        <v>1</v>
      </c>
      <c r="W1164" s="3">
        <v>7200</v>
      </c>
      <c r="X1164" s="3">
        <v>7200</v>
      </c>
      <c r="Y1164" s="1" t="str">
        <f>VLOOKUP(A1164,[1]Detalle!$D$2:$CR$484,93,FALSE)</f>
        <v>Expreso - Servicios Troncales</v>
      </c>
    </row>
    <row r="1165" spans="1:25" ht="14.25" customHeight="1" x14ac:dyDescent="0.3">
      <c r="A1165" s="1" t="s">
        <v>670</v>
      </c>
      <c r="B1165" s="1" t="s">
        <v>623</v>
      </c>
      <c r="C1165" s="1" t="s">
        <v>623</v>
      </c>
      <c r="D1165" s="1" t="s">
        <v>624</v>
      </c>
      <c r="E1165" s="1" t="s">
        <v>337</v>
      </c>
      <c r="N1165" s="7">
        <v>45947</v>
      </c>
      <c r="O1165" s="1">
        <v>365</v>
      </c>
      <c r="P1165" s="7">
        <v>46312</v>
      </c>
      <c r="Q1165" s="1" t="s">
        <v>330</v>
      </c>
      <c r="T1165" s="1" t="s">
        <v>631</v>
      </c>
      <c r="U1165" s="1" t="s">
        <v>632</v>
      </c>
      <c r="V1165" s="1">
        <v>1</v>
      </c>
      <c r="W1165" s="3">
        <v>7286.36</v>
      </c>
      <c r="X1165" s="3">
        <v>7286.36</v>
      </c>
      <c r="Y1165" s="1" t="str">
        <f>VLOOKUP(A1165,[1]Detalle!$D$2:$CR$484,93,FALSE)</f>
        <v>Expreso - Servicios Troncales</v>
      </c>
    </row>
    <row r="1166" spans="1:25" ht="14.25" customHeight="1" x14ac:dyDescent="0.3">
      <c r="A1166" s="1" t="s">
        <v>670</v>
      </c>
      <c r="B1166" s="1" t="s">
        <v>623</v>
      </c>
      <c r="C1166" s="1" t="s">
        <v>623</v>
      </c>
      <c r="D1166" s="1" t="s">
        <v>624</v>
      </c>
      <c r="E1166" s="1" t="s">
        <v>337</v>
      </c>
      <c r="N1166" s="7">
        <v>45947</v>
      </c>
      <c r="O1166" s="1">
        <v>365</v>
      </c>
      <c r="P1166" s="7">
        <v>46312</v>
      </c>
      <c r="Q1166" s="1" t="s">
        <v>330</v>
      </c>
      <c r="T1166" s="1" t="s">
        <v>633</v>
      </c>
      <c r="U1166" s="1" t="s">
        <v>634</v>
      </c>
      <c r="V1166" s="1">
        <v>4</v>
      </c>
      <c r="W1166" s="3">
        <v>153102.49</v>
      </c>
      <c r="X1166" s="3">
        <v>612409.96</v>
      </c>
      <c r="Y1166" s="1" t="str">
        <f>VLOOKUP(A1166,[1]Detalle!$D$2:$CR$484,93,FALSE)</f>
        <v>Expreso - Servicios Troncales</v>
      </c>
    </row>
    <row r="1167" spans="1:25" ht="14.25" customHeight="1" x14ac:dyDescent="0.3">
      <c r="A1167" s="1" t="s">
        <v>671</v>
      </c>
      <c r="B1167" s="1" t="s">
        <v>623</v>
      </c>
      <c r="C1167" s="1" t="s">
        <v>623</v>
      </c>
      <c r="D1167" s="1" t="s">
        <v>624</v>
      </c>
      <c r="E1167" s="1" t="s">
        <v>337</v>
      </c>
      <c r="N1167" s="7">
        <v>45947</v>
      </c>
      <c r="O1167" s="1">
        <v>365</v>
      </c>
      <c r="P1167" s="7">
        <v>46312</v>
      </c>
      <c r="Q1167" s="1" t="s">
        <v>330</v>
      </c>
      <c r="T1167" s="1" t="s">
        <v>625</v>
      </c>
      <c r="U1167" s="1" t="s">
        <v>626</v>
      </c>
      <c r="V1167" s="1">
        <v>1</v>
      </c>
      <c r="W1167" s="3">
        <v>57923.55</v>
      </c>
      <c r="X1167" s="3">
        <v>57923.55</v>
      </c>
      <c r="Y1167" s="1" t="str">
        <f>VLOOKUP(A1167,[1]Detalle!$D$2:$CR$484,93,FALSE)</f>
        <v>Expreso - Servicios Troncales</v>
      </c>
    </row>
    <row r="1168" spans="1:25" ht="14.25" customHeight="1" x14ac:dyDescent="0.3">
      <c r="A1168" s="1" t="s">
        <v>671</v>
      </c>
      <c r="B1168" s="1" t="s">
        <v>623</v>
      </c>
      <c r="C1168" s="1" t="s">
        <v>623</v>
      </c>
      <c r="D1168" s="1" t="s">
        <v>624</v>
      </c>
      <c r="E1168" s="1" t="s">
        <v>337</v>
      </c>
      <c r="N1168" s="7">
        <v>45947</v>
      </c>
      <c r="O1168" s="1">
        <v>365</v>
      </c>
      <c r="P1168" s="7">
        <v>46312</v>
      </c>
      <c r="Q1168" s="1" t="s">
        <v>330</v>
      </c>
      <c r="T1168" s="1" t="s">
        <v>627</v>
      </c>
      <c r="U1168" s="1" t="s">
        <v>628</v>
      </c>
      <c r="V1168" s="1">
        <v>1</v>
      </c>
      <c r="W1168" s="3">
        <v>14370.83</v>
      </c>
      <c r="X1168" s="3">
        <v>14370.83</v>
      </c>
      <c r="Y1168" s="1" t="str">
        <f>VLOOKUP(A1168,[1]Detalle!$D$2:$CR$484,93,FALSE)</f>
        <v>Expreso - Servicios Troncales</v>
      </c>
    </row>
    <row r="1169" spans="1:25" ht="14.25" customHeight="1" x14ac:dyDescent="0.3">
      <c r="A1169" s="1" t="s">
        <v>671</v>
      </c>
      <c r="B1169" s="1" t="s">
        <v>623</v>
      </c>
      <c r="C1169" s="1" t="s">
        <v>623</v>
      </c>
      <c r="D1169" s="1" t="s">
        <v>624</v>
      </c>
      <c r="E1169" s="1" t="s">
        <v>337</v>
      </c>
      <c r="N1169" s="7">
        <v>45947</v>
      </c>
      <c r="O1169" s="1">
        <v>365</v>
      </c>
      <c r="P1169" s="7">
        <v>46312</v>
      </c>
      <c r="Q1169" s="1" t="s">
        <v>330</v>
      </c>
      <c r="T1169" s="1" t="s">
        <v>629</v>
      </c>
      <c r="U1169" s="1" t="s">
        <v>630</v>
      </c>
      <c r="V1169" s="1">
        <v>1</v>
      </c>
      <c r="W1169" s="3">
        <v>7200</v>
      </c>
      <c r="X1169" s="3">
        <v>7200</v>
      </c>
      <c r="Y1169" s="1" t="str">
        <f>VLOOKUP(A1169,[1]Detalle!$D$2:$CR$484,93,FALSE)</f>
        <v>Expreso - Servicios Troncales</v>
      </c>
    </row>
    <row r="1170" spans="1:25" ht="14.25" customHeight="1" x14ac:dyDescent="0.3">
      <c r="A1170" s="1" t="s">
        <v>671</v>
      </c>
      <c r="B1170" s="1" t="s">
        <v>623</v>
      </c>
      <c r="C1170" s="1" t="s">
        <v>623</v>
      </c>
      <c r="D1170" s="1" t="s">
        <v>624</v>
      </c>
      <c r="E1170" s="1" t="s">
        <v>337</v>
      </c>
      <c r="N1170" s="7">
        <v>45947</v>
      </c>
      <c r="O1170" s="1">
        <v>365</v>
      </c>
      <c r="P1170" s="7">
        <v>46312</v>
      </c>
      <c r="Q1170" s="1" t="s">
        <v>330</v>
      </c>
      <c r="T1170" s="1" t="s">
        <v>631</v>
      </c>
      <c r="U1170" s="1" t="s">
        <v>632</v>
      </c>
      <c r="V1170" s="1">
        <v>1</v>
      </c>
      <c r="W1170" s="3">
        <v>7286.36</v>
      </c>
      <c r="X1170" s="3">
        <v>7286.36</v>
      </c>
      <c r="Y1170" s="1" t="str">
        <f>VLOOKUP(A1170,[1]Detalle!$D$2:$CR$484,93,FALSE)</f>
        <v>Expreso - Servicios Troncales</v>
      </c>
    </row>
    <row r="1171" spans="1:25" ht="14.25" customHeight="1" x14ac:dyDescent="0.3">
      <c r="A1171" s="1" t="s">
        <v>671</v>
      </c>
      <c r="B1171" s="1" t="s">
        <v>623</v>
      </c>
      <c r="C1171" s="1" t="s">
        <v>623</v>
      </c>
      <c r="D1171" s="1" t="s">
        <v>624</v>
      </c>
      <c r="E1171" s="1" t="s">
        <v>337</v>
      </c>
      <c r="N1171" s="7">
        <v>45947</v>
      </c>
      <c r="O1171" s="1">
        <v>365</v>
      </c>
      <c r="P1171" s="7">
        <v>46312</v>
      </c>
      <c r="Q1171" s="1" t="s">
        <v>330</v>
      </c>
      <c r="T1171" s="1" t="s">
        <v>633</v>
      </c>
      <c r="U1171" s="1" t="s">
        <v>634</v>
      </c>
      <c r="V1171" s="1">
        <v>4</v>
      </c>
      <c r="W1171" s="3">
        <v>153102.49</v>
      </c>
      <c r="X1171" s="3">
        <v>612409.96</v>
      </c>
      <c r="Y1171" s="1" t="str">
        <f>VLOOKUP(A1171,[1]Detalle!$D$2:$CR$484,93,FALSE)</f>
        <v>Expreso - Servicios Troncales</v>
      </c>
    </row>
    <row r="1172" spans="1:25" ht="14.25" customHeight="1" x14ac:dyDescent="0.3">
      <c r="A1172" s="1" t="s">
        <v>672</v>
      </c>
      <c r="B1172" s="1" t="s">
        <v>623</v>
      </c>
      <c r="C1172" s="1" t="s">
        <v>623</v>
      </c>
      <c r="D1172" s="1" t="s">
        <v>624</v>
      </c>
      <c r="E1172" s="1" t="s">
        <v>337</v>
      </c>
      <c r="N1172" s="7">
        <v>45947</v>
      </c>
      <c r="O1172" s="1">
        <v>365</v>
      </c>
      <c r="P1172" s="7">
        <v>46312</v>
      </c>
      <c r="Q1172" s="1" t="s">
        <v>330</v>
      </c>
      <c r="T1172" s="1" t="s">
        <v>625</v>
      </c>
      <c r="U1172" s="1" t="s">
        <v>626</v>
      </c>
      <c r="V1172" s="1">
        <v>1</v>
      </c>
      <c r="W1172" s="3">
        <v>57923.55</v>
      </c>
      <c r="X1172" s="3">
        <v>57923.55</v>
      </c>
      <c r="Y1172" s="1" t="str">
        <f>VLOOKUP(A1172,[1]Detalle!$D$2:$CR$484,93,FALSE)</f>
        <v>Expreso - Servicios Troncales</v>
      </c>
    </row>
    <row r="1173" spans="1:25" ht="14.25" customHeight="1" x14ac:dyDescent="0.3">
      <c r="A1173" s="1" t="s">
        <v>672</v>
      </c>
      <c r="B1173" s="1" t="s">
        <v>623</v>
      </c>
      <c r="C1173" s="1" t="s">
        <v>623</v>
      </c>
      <c r="D1173" s="1" t="s">
        <v>624</v>
      </c>
      <c r="E1173" s="1" t="s">
        <v>337</v>
      </c>
      <c r="N1173" s="7">
        <v>45947</v>
      </c>
      <c r="O1173" s="1">
        <v>365</v>
      </c>
      <c r="P1173" s="7">
        <v>46312</v>
      </c>
      <c r="Q1173" s="1" t="s">
        <v>330</v>
      </c>
      <c r="T1173" s="1" t="s">
        <v>627</v>
      </c>
      <c r="U1173" s="1" t="s">
        <v>628</v>
      </c>
      <c r="V1173" s="1">
        <v>1</v>
      </c>
      <c r="W1173" s="3">
        <v>14370.83</v>
      </c>
      <c r="X1173" s="3">
        <v>14370.83</v>
      </c>
      <c r="Y1173" s="1" t="str">
        <f>VLOOKUP(A1173,[1]Detalle!$D$2:$CR$484,93,FALSE)</f>
        <v>Expreso - Servicios Troncales</v>
      </c>
    </row>
    <row r="1174" spans="1:25" ht="14.25" customHeight="1" x14ac:dyDescent="0.3">
      <c r="A1174" s="1" t="s">
        <v>672</v>
      </c>
      <c r="B1174" s="1" t="s">
        <v>623</v>
      </c>
      <c r="C1174" s="1" t="s">
        <v>623</v>
      </c>
      <c r="D1174" s="1" t="s">
        <v>624</v>
      </c>
      <c r="E1174" s="1" t="s">
        <v>337</v>
      </c>
      <c r="N1174" s="7">
        <v>45947</v>
      </c>
      <c r="O1174" s="1">
        <v>365</v>
      </c>
      <c r="P1174" s="7">
        <v>46312</v>
      </c>
      <c r="Q1174" s="1" t="s">
        <v>330</v>
      </c>
      <c r="T1174" s="1" t="s">
        <v>629</v>
      </c>
      <c r="U1174" s="1" t="s">
        <v>630</v>
      </c>
      <c r="V1174" s="1">
        <v>1</v>
      </c>
      <c r="W1174" s="3">
        <v>7200</v>
      </c>
      <c r="X1174" s="3">
        <v>7200</v>
      </c>
      <c r="Y1174" s="1" t="str">
        <f>VLOOKUP(A1174,[1]Detalle!$D$2:$CR$484,93,FALSE)</f>
        <v>Expreso - Servicios Troncales</v>
      </c>
    </row>
    <row r="1175" spans="1:25" ht="14.25" customHeight="1" x14ac:dyDescent="0.3">
      <c r="A1175" s="1" t="s">
        <v>672</v>
      </c>
      <c r="B1175" s="1" t="s">
        <v>623</v>
      </c>
      <c r="C1175" s="1" t="s">
        <v>623</v>
      </c>
      <c r="D1175" s="1" t="s">
        <v>624</v>
      </c>
      <c r="E1175" s="1" t="s">
        <v>337</v>
      </c>
      <c r="N1175" s="7">
        <v>45947</v>
      </c>
      <c r="O1175" s="1">
        <v>365</v>
      </c>
      <c r="P1175" s="7">
        <v>46312</v>
      </c>
      <c r="Q1175" s="1" t="s">
        <v>330</v>
      </c>
      <c r="T1175" s="1" t="s">
        <v>631</v>
      </c>
      <c r="U1175" s="1" t="s">
        <v>632</v>
      </c>
      <c r="V1175" s="1">
        <v>1</v>
      </c>
      <c r="W1175" s="3">
        <v>7286.36</v>
      </c>
      <c r="X1175" s="3">
        <v>7286.36</v>
      </c>
      <c r="Y1175" s="1" t="str">
        <f>VLOOKUP(A1175,[1]Detalle!$D$2:$CR$484,93,FALSE)</f>
        <v>Expreso - Servicios Troncales</v>
      </c>
    </row>
    <row r="1176" spans="1:25" ht="14.25" customHeight="1" x14ac:dyDescent="0.3">
      <c r="A1176" s="1" t="s">
        <v>672</v>
      </c>
      <c r="B1176" s="1" t="s">
        <v>623</v>
      </c>
      <c r="C1176" s="1" t="s">
        <v>623</v>
      </c>
      <c r="D1176" s="1" t="s">
        <v>624</v>
      </c>
      <c r="E1176" s="1" t="s">
        <v>337</v>
      </c>
      <c r="N1176" s="7">
        <v>45947</v>
      </c>
      <c r="O1176" s="1">
        <v>365</v>
      </c>
      <c r="P1176" s="7">
        <v>46312</v>
      </c>
      <c r="Q1176" s="1" t="s">
        <v>330</v>
      </c>
      <c r="T1176" s="1" t="s">
        <v>633</v>
      </c>
      <c r="U1176" s="1" t="s">
        <v>634</v>
      </c>
      <c r="V1176" s="1">
        <v>4</v>
      </c>
      <c r="W1176" s="3">
        <v>153102.49</v>
      </c>
      <c r="X1176" s="3">
        <v>612409.96</v>
      </c>
      <c r="Y1176" s="1" t="str">
        <f>VLOOKUP(A1176,[1]Detalle!$D$2:$CR$484,93,FALSE)</f>
        <v>Expreso - Servicios Troncales</v>
      </c>
    </row>
    <row r="1177" spans="1:25" ht="14.25" customHeight="1" x14ac:dyDescent="0.3">
      <c r="A1177" s="1" t="s">
        <v>673</v>
      </c>
      <c r="B1177" s="1" t="s">
        <v>623</v>
      </c>
      <c r="C1177" s="1" t="s">
        <v>623</v>
      </c>
      <c r="D1177" s="1" t="s">
        <v>624</v>
      </c>
      <c r="E1177" s="1" t="s">
        <v>337</v>
      </c>
      <c r="N1177" s="7">
        <v>45947</v>
      </c>
      <c r="O1177" s="1">
        <v>365</v>
      </c>
      <c r="P1177" s="7">
        <v>46312</v>
      </c>
      <c r="Q1177" s="1" t="s">
        <v>330</v>
      </c>
      <c r="T1177" s="1" t="s">
        <v>625</v>
      </c>
      <c r="U1177" s="1" t="s">
        <v>626</v>
      </c>
      <c r="V1177" s="1">
        <v>1</v>
      </c>
      <c r="W1177" s="3">
        <v>57923.55</v>
      </c>
      <c r="X1177" s="3">
        <v>57923.55</v>
      </c>
      <c r="Y1177" s="1" t="str">
        <f>VLOOKUP(A1177,[1]Detalle!$D$2:$CR$484,93,FALSE)</f>
        <v>Expreso - Servicios Troncales</v>
      </c>
    </row>
    <row r="1178" spans="1:25" ht="14.25" customHeight="1" x14ac:dyDescent="0.3">
      <c r="A1178" s="1" t="s">
        <v>673</v>
      </c>
      <c r="B1178" s="1" t="s">
        <v>623</v>
      </c>
      <c r="C1178" s="1" t="s">
        <v>623</v>
      </c>
      <c r="D1178" s="1" t="s">
        <v>624</v>
      </c>
      <c r="E1178" s="1" t="s">
        <v>337</v>
      </c>
      <c r="N1178" s="7">
        <v>45947</v>
      </c>
      <c r="O1178" s="1">
        <v>365</v>
      </c>
      <c r="P1178" s="7">
        <v>46312</v>
      </c>
      <c r="Q1178" s="1" t="s">
        <v>330</v>
      </c>
      <c r="T1178" s="1" t="s">
        <v>627</v>
      </c>
      <c r="U1178" s="1" t="s">
        <v>628</v>
      </c>
      <c r="V1178" s="1">
        <v>1</v>
      </c>
      <c r="W1178" s="3">
        <v>14370.83</v>
      </c>
      <c r="X1178" s="3">
        <v>14370.83</v>
      </c>
      <c r="Y1178" s="1" t="str">
        <f>VLOOKUP(A1178,[1]Detalle!$D$2:$CR$484,93,FALSE)</f>
        <v>Expreso - Servicios Troncales</v>
      </c>
    </row>
    <row r="1179" spans="1:25" ht="14.25" customHeight="1" x14ac:dyDescent="0.3">
      <c r="A1179" s="1" t="s">
        <v>673</v>
      </c>
      <c r="B1179" s="1" t="s">
        <v>623</v>
      </c>
      <c r="C1179" s="1" t="s">
        <v>623</v>
      </c>
      <c r="D1179" s="1" t="s">
        <v>624</v>
      </c>
      <c r="E1179" s="1" t="s">
        <v>337</v>
      </c>
      <c r="N1179" s="7">
        <v>45947</v>
      </c>
      <c r="O1179" s="1">
        <v>365</v>
      </c>
      <c r="P1179" s="7">
        <v>46312</v>
      </c>
      <c r="Q1179" s="1" t="s">
        <v>330</v>
      </c>
      <c r="T1179" s="1" t="s">
        <v>629</v>
      </c>
      <c r="U1179" s="1" t="s">
        <v>630</v>
      </c>
      <c r="V1179" s="1">
        <v>1</v>
      </c>
      <c r="W1179" s="3">
        <v>7200</v>
      </c>
      <c r="X1179" s="3">
        <v>7200</v>
      </c>
      <c r="Y1179" s="1" t="str">
        <f>VLOOKUP(A1179,[1]Detalle!$D$2:$CR$484,93,FALSE)</f>
        <v>Expreso - Servicios Troncales</v>
      </c>
    </row>
    <row r="1180" spans="1:25" ht="14.25" customHeight="1" x14ac:dyDescent="0.3">
      <c r="A1180" s="1" t="s">
        <v>673</v>
      </c>
      <c r="B1180" s="1" t="s">
        <v>623</v>
      </c>
      <c r="C1180" s="1" t="s">
        <v>623</v>
      </c>
      <c r="D1180" s="1" t="s">
        <v>624</v>
      </c>
      <c r="E1180" s="1" t="s">
        <v>337</v>
      </c>
      <c r="N1180" s="7">
        <v>45947</v>
      </c>
      <c r="O1180" s="1">
        <v>365</v>
      </c>
      <c r="P1180" s="7">
        <v>46312</v>
      </c>
      <c r="Q1180" s="1" t="s">
        <v>330</v>
      </c>
      <c r="T1180" s="1" t="s">
        <v>631</v>
      </c>
      <c r="U1180" s="1" t="s">
        <v>632</v>
      </c>
      <c r="V1180" s="1">
        <v>1</v>
      </c>
      <c r="W1180" s="3">
        <v>7286.36</v>
      </c>
      <c r="X1180" s="3">
        <v>7286.36</v>
      </c>
      <c r="Y1180" s="1" t="str">
        <f>VLOOKUP(A1180,[1]Detalle!$D$2:$CR$484,93,FALSE)</f>
        <v>Expreso - Servicios Troncales</v>
      </c>
    </row>
    <row r="1181" spans="1:25" ht="14.25" customHeight="1" x14ac:dyDescent="0.3">
      <c r="A1181" s="1" t="s">
        <v>673</v>
      </c>
      <c r="B1181" s="1" t="s">
        <v>623</v>
      </c>
      <c r="C1181" s="1" t="s">
        <v>623</v>
      </c>
      <c r="D1181" s="1" t="s">
        <v>624</v>
      </c>
      <c r="E1181" s="1" t="s">
        <v>337</v>
      </c>
      <c r="N1181" s="7">
        <v>45947</v>
      </c>
      <c r="O1181" s="1">
        <v>365</v>
      </c>
      <c r="P1181" s="7">
        <v>46312</v>
      </c>
      <c r="Q1181" s="1" t="s">
        <v>330</v>
      </c>
      <c r="T1181" s="1" t="s">
        <v>633</v>
      </c>
      <c r="U1181" s="1" t="s">
        <v>634</v>
      </c>
      <c r="V1181" s="1">
        <v>4</v>
      </c>
      <c r="W1181" s="3">
        <v>153102.49</v>
      </c>
      <c r="X1181" s="3">
        <v>612409.96</v>
      </c>
      <c r="Y1181" s="1" t="str">
        <f>VLOOKUP(A1181,[1]Detalle!$D$2:$CR$484,93,FALSE)</f>
        <v>Expreso - Servicios Troncales</v>
      </c>
    </row>
    <row r="1182" spans="1:25" ht="14.25" customHeight="1" x14ac:dyDescent="0.3">
      <c r="A1182" s="1" t="s">
        <v>674</v>
      </c>
      <c r="B1182" s="1" t="s">
        <v>623</v>
      </c>
      <c r="C1182" s="1" t="s">
        <v>623</v>
      </c>
      <c r="D1182" s="1" t="s">
        <v>624</v>
      </c>
      <c r="E1182" s="1" t="s">
        <v>337</v>
      </c>
      <c r="N1182" s="7">
        <v>45947</v>
      </c>
      <c r="O1182" s="1">
        <v>365</v>
      </c>
      <c r="P1182" s="7">
        <v>46312</v>
      </c>
      <c r="Q1182" s="1" t="s">
        <v>330</v>
      </c>
      <c r="T1182" s="1" t="s">
        <v>625</v>
      </c>
      <c r="U1182" s="1" t="s">
        <v>626</v>
      </c>
      <c r="V1182" s="1">
        <v>1</v>
      </c>
      <c r="W1182" s="3">
        <v>57923.55</v>
      </c>
      <c r="X1182" s="3">
        <v>57923.55</v>
      </c>
      <c r="Y1182" s="1" t="str">
        <f>VLOOKUP(A1182,[1]Detalle!$D$2:$CR$484,93,FALSE)</f>
        <v>Expreso - Servicios Troncales</v>
      </c>
    </row>
    <row r="1183" spans="1:25" ht="14.25" customHeight="1" x14ac:dyDescent="0.3">
      <c r="A1183" s="1" t="s">
        <v>674</v>
      </c>
      <c r="B1183" s="1" t="s">
        <v>623</v>
      </c>
      <c r="C1183" s="1" t="s">
        <v>623</v>
      </c>
      <c r="D1183" s="1" t="s">
        <v>624</v>
      </c>
      <c r="E1183" s="1" t="s">
        <v>337</v>
      </c>
      <c r="N1183" s="7">
        <v>45947</v>
      </c>
      <c r="O1183" s="1">
        <v>365</v>
      </c>
      <c r="P1183" s="7">
        <v>46312</v>
      </c>
      <c r="Q1183" s="1" t="s">
        <v>330</v>
      </c>
      <c r="T1183" s="1" t="s">
        <v>627</v>
      </c>
      <c r="U1183" s="1" t="s">
        <v>628</v>
      </c>
      <c r="V1183" s="1">
        <v>1</v>
      </c>
      <c r="W1183" s="3">
        <v>14370.83</v>
      </c>
      <c r="X1183" s="3">
        <v>14370.83</v>
      </c>
      <c r="Y1183" s="1" t="str">
        <f>VLOOKUP(A1183,[1]Detalle!$D$2:$CR$484,93,FALSE)</f>
        <v>Expreso - Servicios Troncales</v>
      </c>
    </row>
    <row r="1184" spans="1:25" ht="14.25" customHeight="1" x14ac:dyDescent="0.3">
      <c r="A1184" s="1" t="s">
        <v>674</v>
      </c>
      <c r="B1184" s="1" t="s">
        <v>623</v>
      </c>
      <c r="C1184" s="1" t="s">
        <v>623</v>
      </c>
      <c r="D1184" s="1" t="s">
        <v>624</v>
      </c>
      <c r="E1184" s="1" t="s">
        <v>337</v>
      </c>
      <c r="N1184" s="7">
        <v>45947</v>
      </c>
      <c r="O1184" s="1">
        <v>365</v>
      </c>
      <c r="P1184" s="7">
        <v>46312</v>
      </c>
      <c r="Q1184" s="1" t="s">
        <v>330</v>
      </c>
      <c r="T1184" s="1" t="s">
        <v>629</v>
      </c>
      <c r="U1184" s="1" t="s">
        <v>630</v>
      </c>
      <c r="V1184" s="1">
        <v>1</v>
      </c>
      <c r="W1184" s="3">
        <v>7200</v>
      </c>
      <c r="X1184" s="3">
        <v>7200</v>
      </c>
      <c r="Y1184" s="1" t="str">
        <f>VLOOKUP(A1184,[1]Detalle!$D$2:$CR$484,93,FALSE)</f>
        <v>Expreso - Servicios Troncales</v>
      </c>
    </row>
    <row r="1185" spans="1:25" ht="14.25" customHeight="1" x14ac:dyDescent="0.3">
      <c r="A1185" s="1" t="s">
        <v>674</v>
      </c>
      <c r="B1185" s="1" t="s">
        <v>623</v>
      </c>
      <c r="C1185" s="1" t="s">
        <v>623</v>
      </c>
      <c r="D1185" s="1" t="s">
        <v>624</v>
      </c>
      <c r="E1185" s="1" t="s">
        <v>337</v>
      </c>
      <c r="N1185" s="7">
        <v>45947</v>
      </c>
      <c r="O1185" s="1">
        <v>365</v>
      </c>
      <c r="P1185" s="7">
        <v>46312</v>
      </c>
      <c r="Q1185" s="1" t="s">
        <v>330</v>
      </c>
      <c r="T1185" s="1" t="s">
        <v>631</v>
      </c>
      <c r="U1185" s="1" t="s">
        <v>632</v>
      </c>
      <c r="V1185" s="1">
        <v>1</v>
      </c>
      <c r="W1185" s="3">
        <v>7286.36</v>
      </c>
      <c r="X1185" s="3">
        <v>7286.36</v>
      </c>
      <c r="Y1185" s="1" t="str">
        <f>VLOOKUP(A1185,[1]Detalle!$D$2:$CR$484,93,FALSE)</f>
        <v>Expreso - Servicios Troncales</v>
      </c>
    </row>
    <row r="1186" spans="1:25" ht="14.25" customHeight="1" x14ac:dyDescent="0.3">
      <c r="A1186" s="1" t="s">
        <v>674</v>
      </c>
      <c r="B1186" s="1" t="s">
        <v>623</v>
      </c>
      <c r="C1186" s="1" t="s">
        <v>623</v>
      </c>
      <c r="D1186" s="1" t="s">
        <v>624</v>
      </c>
      <c r="E1186" s="1" t="s">
        <v>337</v>
      </c>
      <c r="N1186" s="7">
        <v>45947</v>
      </c>
      <c r="O1186" s="1">
        <v>365</v>
      </c>
      <c r="P1186" s="7">
        <v>46312</v>
      </c>
      <c r="Q1186" s="1" t="s">
        <v>330</v>
      </c>
      <c r="T1186" s="1" t="s">
        <v>633</v>
      </c>
      <c r="U1186" s="1" t="s">
        <v>634</v>
      </c>
      <c r="V1186" s="1">
        <v>4</v>
      </c>
      <c r="W1186" s="3">
        <v>153102.49</v>
      </c>
      <c r="X1186" s="3">
        <v>612409.96</v>
      </c>
      <c r="Y1186" s="1" t="str">
        <f>VLOOKUP(A1186,[1]Detalle!$D$2:$CR$484,93,FALSE)</f>
        <v>Expreso - Servicios Troncales</v>
      </c>
    </row>
    <row r="1187" spans="1:25" ht="14.25" customHeight="1" x14ac:dyDescent="0.3">
      <c r="A1187" s="1" t="s">
        <v>675</v>
      </c>
      <c r="B1187" s="1" t="s">
        <v>623</v>
      </c>
      <c r="C1187" s="1" t="s">
        <v>623</v>
      </c>
      <c r="D1187" s="1" t="s">
        <v>624</v>
      </c>
      <c r="E1187" s="1" t="s">
        <v>337</v>
      </c>
      <c r="N1187" s="7">
        <v>45947</v>
      </c>
      <c r="O1187" s="1">
        <v>365</v>
      </c>
      <c r="P1187" s="7">
        <v>46312</v>
      </c>
      <c r="Q1187" s="1" t="s">
        <v>330</v>
      </c>
      <c r="T1187" s="1" t="s">
        <v>625</v>
      </c>
      <c r="U1187" s="1" t="s">
        <v>626</v>
      </c>
      <c r="V1187" s="1">
        <v>1</v>
      </c>
      <c r="W1187" s="3">
        <v>57923.55</v>
      </c>
      <c r="X1187" s="3">
        <v>57923.55</v>
      </c>
      <c r="Y1187" s="1" t="str">
        <f>VLOOKUP(A1187,[1]Detalle!$D$2:$CR$484,93,FALSE)</f>
        <v>Expreso - Servicios Troncales</v>
      </c>
    </row>
    <row r="1188" spans="1:25" ht="14.25" customHeight="1" x14ac:dyDescent="0.3">
      <c r="A1188" s="1" t="s">
        <v>675</v>
      </c>
      <c r="B1188" s="1" t="s">
        <v>623</v>
      </c>
      <c r="C1188" s="1" t="s">
        <v>623</v>
      </c>
      <c r="D1188" s="1" t="s">
        <v>624</v>
      </c>
      <c r="E1188" s="1" t="s">
        <v>337</v>
      </c>
      <c r="N1188" s="7">
        <v>45947</v>
      </c>
      <c r="O1188" s="1">
        <v>365</v>
      </c>
      <c r="P1188" s="7">
        <v>46312</v>
      </c>
      <c r="Q1188" s="1" t="s">
        <v>330</v>
      </c>
      <c r="T1188" s="1" t="s">
        <v>627</v>
      </c>
      <c r="U1188" s="1" t="s">
        <v>628</v>
      </c>
      <c r="V1188" s="1">
        <v>1</v>
      </c>
      <c r="W1188" s="3">
        <v>14370.83</v>
      </c>
      <c r="X1188" s="3">
        <v>14370.83</v>
      </c>
      <c r="Y1188" s="1" t="str">
        <f>VLOOKUP(A1188,[1]Detalle!$D$2:$CR$484,93,FALSE)</f>
        <v>Expreso - Servicios Troncales</v>
      </c>
    </row>
    <row r="1189" spans="1:25" ht="14.25" customHeight="1" x14ac:dyDescent="0.3">
      <c r="A1189" s="1" t="s">
        <v>675</v>
      </c>
      <c r="B1189" s="1" t="s">
        <v>623</v>
      </c>
      <c r="C1189" s="1" t="s">
        <v>623</v>
      </c>
      <c r="D1189" s="1" t="s">
        <v>624</v>
      </c>
      <c r="E1189" s="1" t="s">
        <v>337</v>
      </c>
      <c r="N1189" s="7">
        <v>45947</v>
      </c>
      <c r="O1189" s="1">
        <v>365</v>
      </c>
      <c r="P1189" s="7">
        <v>46312</v>
      </c>
      <c r="Q1189" s="1" t="s">
        <v>330</v>
      </c>
      <c r="T1189" s="1" t="s">
        <v>629</v>
      </c>
      <c r="U1189" s="1" t="s">
        <v>630</v>
      </c>
      <c r="V1189" s="1">
        <v>1</v>
      </c>
      <c r="W1189" s="3">
        <v>7200</v>
      </c>
      <c r="X1189" s="3">
        <v>7200</v>
      </c>
      <c r="Y1189" s="1" t="str">
        <f>VLOOKUP(A1189,[1]Detalle!$D$2:$CR$484,93,FALSE)</f>
        <v>Expreso - Servicios Troncales</v>
      </c>
    </row>
    <row r="1190" spans="1:25" ht="14.25" customHeight="1" x14ac:dyDescent="0.3">
      <c r="A1190" s="1" t="s">
        <v>675</v>
      </c>
      <c r="B1190" s="1" t="s">
        <v>623</v>
      </c>
      <c r="C1190" s="1" t="s">
        <v>623</v>
      </c>
      <c r="D1190" s="1" t="s">
        <v>624</v>
      </c>
      <c r="E1190" s="1" t="s">
        <v>337</v>
      </c>
      <c r="N1190" s="7">
        <v>45947</v>
      </c>
      <c r="O1190" s="1">
        <v>365</v>
      </c>
      <c r="P1190" s="7">
        <v>46312</v>
      </c>
      <c r="Q1190" s="1" t="s">
        <v>330</v>
      </c>
      <c r="T1190" s="1" t="s">
        <v>631</v>
      </c>
      <c r="U1190" s="1" t="s">
        <v>632</v>
      </c>
      <c r="V1190" s="1">
        <v>1</v>
      </c>
      <c r="W1190" s="3">
        <v>7286.36</v>
      </c>
      <c r="X1190" s="3">
        <v>7286.36</v>
      </c>
      <c r="Y1190" s="1" t="str">
        <f>VLOOKUP(A1190,[1]Detalle!$D$2:$CR$484,93,FALSE)</f>
        <v>Expreso - Servicios Troncales</v>
      </c>
    </row>
    <row r="1191" spans="1:25" ht="14.25" customHeight="1" x14ac:dyDescent="0.3">
      <c r="A1191" s="1" t="s">
        <v>675</v>
      </c>
      <c r="B1191" s="1" t="s">
        <v>623</v>
      </c>
      <c r="C1191" s="1" t="s">
        <v>623</v>
      </c>
      <c r="D1191" s="1" t="s">
        <v>624</v>
      </c>
      <c r="E1191" s="1" t="s">
        <v>337</v>
      </c>
      <c r="N1191" s="7">
        <v>45947</v>
      </c>
      <c r="O1191" s="1">
        <v>365</v>
      </c>
      <c r="P1191" s="7">
        <v>46312</v>
      </c>
      <c r="Q1191" s="1" t="s">
        <v>330</v>
      </c>
      <c r="T1191" s="1" t="s">
        <v>633</v>
      </c>
      <c r="U1191" s="1" t="s">
        <v>634</v>
      </c>
      <c r="V1191" s="1">
        <v>4</v>
      </c>
      <c r="W1191" s="3">
        <v>153102.49</v>
      </c>
      <c r="X1191" s="3">
        <v>612409.96</v>
      </c>
      <c r="Y1191" s="1" t="str">
        <f>VLOOKUP(A1191,[1]Detalle!$D$2:$CR$484,93,FALSE)</f>
        <v>Expreso - Servicios Troncales</v>
      </c>
    </row>
    <row r="1192" spans="1:25" ht="14.25" customHeight="1" x14ac:dyDescent="0.3">
      <c r="A1192" s="1" t="s">
        <v>676</v>
      </c>
      <c r="B1192" s="1" t="s">
        <v>623</v>
      </c>
      <c r="C1192" s="1" t="s">
        <v>623</v>
      </c>
      <c r="D1192" s="1" t="s">
        <v>624</v>
      </c>
      <c r="E1192" s="1" t="s">
        <v>337</v>
      </c>
      <c r="N1192" s="7">
        <v>45947</v>
      </c>
      <c r="O1192" s="1">
        <v>365</v>
      </c>
      <c r="P1192" s="7">
        <v>46312</v>
      </c>
      <c r="Q1192" s="1" t="s">
        <v>330</v>
      </c>
      <c r="T1192" s="1" t="s">
        <v>625</v>
      </c>
      <c r="U1192" s="1" t="s">
        <v>626</v>
      </c>
      <c r="V1192" s="1">
        <v>1</v>
      </c>
      <c r="W1192" s="3">
        <v>57923.55</v>
      </c>
      <c r="X1192" s="3">
        <v>57923.55</v>
      </c>
      <c r="Y1192" s="1" t="str">
        <f>VLOOKUP(A1192,[1]Detalle!$D$2:$CR$484,93,FALSE)</f>
        <v>Expreso - Servicios Troncales</v>
      </c>
    </row>
    <row r="1193" spans="1:25" ht="14.25" customHeight="1" x14ac:dyDescent="0.3">
      <c r="A1193" s="1" t="s">
        <v>676</v>
      </c>
      <c r="B1193" s="1" t="s">
        <v>623</v>
      </c>
      <c r="C1193" s="1" t="s">
        <v>623</v>
      </c>
      <c r="D1193" s="1" t="s">
        <v>624</v>
      </c>
      <c r="E1193" s="1" t="s">
        <v>337</v>
      </c>
      <c r="N1193" s="7">
        <v>45947</v>
      </c>
      <c r="O1193" s="1">
        <v>365</v>
      </c>
      <c r="P1193" s="7">
        <v>46312</v>
      </c>
      <c r="Q1193" s="1" t="s">
        <v>330</v>
      </c>
      <c r="T1193" s="1" t="s">
        <v>627</v>
      </c>
      <c r="U1193" s="1" t="s">
        <v>628</v>
      </c>
      <c r="V1193" s="1">
        <v>1</v>
      </c>
      <c r="W1193" s="3">
        <v>14370.83</v>
      </c>
      <c r="X1193" s="3">
        <v>14370.83</v>
      </c>
      <c r="Y1193" s="1" t="str">
        <f>VLOOKUP(A1193,[1]Detalle!$D$2:$CR$484,93,FALSE)</f>
        <v>Expreso - Servicios Troncales</v>
      </c>
    </row>
    <row r="1194" spans="1:25" ht="14.25" customHeight="1" x14ac:dyDescent="0.3">
      <c r="A1194" s="1" t="s">
        <v>676</v>
      </c>
      <c r="B1194" s="1" t="s">
        <v>623</v>
      </c>
      <c r="C1194" s="1" t="s">
        <v>623</v>
      </c>
      <c r="D1194" s="1" t="s">
        <v>624</v>
      </c>
      <c r="E1194" s="1" t="s">
        <v>337</v>
      </c>
      <c r="N1194" s="7">
        <v>45947</v>
      </c>
      <c r="O1194" s="1">
        <v>365</v>
      </c>
      <c r="P1194" s="7">
        <v>46312</v>
      </c>
      <c r="Q1194" s="1" t="s">
        <v>330</v>
      </c>
      <c r="T1194" s="1" t="s">
        <v>629</v>
      </c>
      <c r="U1194" s="1" t="s">
        <v>630</v>
      </c>
      <c r="V1194" s="1">
        <v>1</v>
      </c>
      <c r="W1194" s="3">
        <v>7200</v>
      </c>
      <c r="X1194" s="3">
        <v>7200</v>
      </c>
      <c r="Y1194" s="1" t="str">
        <f>VLOOKUP(A1194,[1]Detalle!$D$2:$CR$484,93,FALSE)</f>
        <v>Expreso - Servicios Troncales</v>
      </c>
    </row>
    <row r="1195" spans="1:25" ht="14.25" customHeight="1" x14ac:dyDescent="0.3">
      <c r="A1195" s="1" t="s">
        <v>676</v>
      </c>
      <c r="B1195" s="1" t="s">
        <v>623</v>
      </c>
      <c r="C1195" s="1" t="s">
        <v>623</v>
      </c>
      <c r="D1195" s="1" t="s">
        <v>624</v>
      </c>
      <c r="E1195" s="1" t="s">
        <v>337</v>
      </c>
      <c r="N1195" s="7">
        <v>45947</v>
      </c>
      <c r="O1195" s="1">
        <v>365</v>
      </c>
      <c r="P1195" s="7">
        <v>46312</v>
      </c>
      <c r="Q1195" s="1" t="s">
        <v>330</v>
      </c>
      <c r="T1195" s="1" t="s">
        <v>631</v>
      </c>
      <c r="U1195" s="1" t="s">
        <v>632</v>
      </c>
      <c r="V1195" s="1">
        <v>1</v>
      </c>
      <c r="W1195" s="3">
        <v>7286.36</v>
      </c>
      <c r="X1195" s="3">
        <v>7286.36</v>
      </c>
      <c r="Y1195" s="1" t="str">
        <f>VLOOKUP(A1195,[1]Detalle!$D$2:$CR$484,93,FALSE)</f>
        <v>Expreso - Servicios Troncales</v>
      </c>
    </row>
    <row r="1196" spans="1:25" ht="14.25" customHeight="1" x14ac:dyDescent="0.3">
      <c r="A1196" s="1" t="s">
        <v>676</v>
      </c>
      <c r="B1196" s="1" t="s">
        <v>623</v>
      </c>
      <c r="C1196" s="1" t="s">
        <v>623</v>
      </c>
      <c r="D1196" s="1" t="s">
        <v>624</v>
      </c>
      <c r="E1196" s="1" t="s">
        <v>337</v>
      </c>
      <c r="N1196" s="7">
        <v>45947</v>
      </c>
      <c r="O1196" s="1">
        <v>365</v>
      </c>
      <c r="P1196" s="7">
        <v>46312</v>
      </c>
      <c r="Q1196" s="1" t="s">
        <v>330</v>
      </c>
      <c r="T1196" s="1" t="s">
        <v>633</v>
      </c>
      <c r="U1196" s="1" t="s">
        <v>634</v>
      </c>
      <c r="V1196" s="1">
        <v>4</v>
      </c>
      <c r="W1196" s="3">
        <v>153102.49</v>
      </c>
      <c r="X1196" s="3">
        <v>612409.96</v>
      </c>
      <c r="Y1196" s="1" t="str">
        <f>VLOOKUP(A1196,[1]Detalle!$D$2:$CR$484,93,FALSE)</f>
        <v>Expreso - Servicios Troncales</v>
      </c>
    </row>
    <row r="1197" spans="1:25" ht="14.25" customHeight="1" x14ac:dyDescent="0.3">
      <c r="A1197" s="1" t="s">
        <v>677</v>
      </c>
      <c r="B1197" s="1" t="s">
        <v>623</v>
      </c>
      <c r="C1197" s="1" t="s">
        <v>623</v>
      </c>
      <c r="D1197" s="1" t="s">
        <v>624</v>
      </c>
      <c r="E1197" s="1" t="s">
        <v>337</v>
      </c>
      <c r="N1197" s="7">
        <v>45947</v>
      </c>
      <c r="O1197" s="1">
        <v>365</v>
      </c>
      <c r="P1197" s="7">
        <v>46312</v>
      </c>
      <c r="Q1197" s="1" t="s">
        <v>330</v>
      </c>
      <c r="T1197" s="1" t="s">
        <v>625</v>
      </c>
      <c r="U1197" s="1" t="s">
        <v>626</v>
      </c>
      <c r="V1197" s="1">
        <v>1</v>
      </c>
      <c r="W1197" s="3">
        <v>57923.55</v>
      </c>
      <c r="X1197" s="3">
        <v>57923.55</v>
      </c>
      <c r="Y1197" s="1" t="str">
        <f>VLOOKUP(A1197,[1]Detalle!$D$2:$CR$484,93,FALSE)</f>
        <v>Expreso - Servicios Troncales</v>
      </c>
    </row>
    <row r="1198" spans="1:25" ht="14.25" customHeight="1" x14ac:dyDescent="0.3">
      <c r="A1198" s="1" t="s">
        <v>677</v>
      </c>
      <c r="B1198" s="1" t="s">
        <v>623</v>
      </c>
      <c r="C1198" s="1" t="s">
        <v>623</v>
      </c>
      <c r="D1198" s="1" t="s">
        <v>624</v>
      </c>
      <c r="E1198" s="1" t="s">
        <v>337</v>
      </c>
      <c r="N1198" s="7">
        <v>45947</v>
      </c>
      <c r="O1198" s="1">
        <v>365</v>
      </c>
      <c r="P1198" s="7">
        <v>46312</v>
      </c>
      <c r="Q1198" s="1" t="s">
        <v>330</v>
      </c>
      <c r="T1198" s="1" t="s">
        <v>627</v>
      </c>
      <c r="U1198" s="1" t="s">
        <v>628</v>
      </c>
      <c r="V1198" s="1">
        <v>1</v>
      </c>
      <c r="W1198" s="3">
        <v>14370.83</v>
      </c>
      <c r="X1198" s="3">
        <v>14370.83</v>
      </c>
      <c r="Y1198" s="1" t="str">
        <f>VLOOKUP(A1198,[1]Detalle!$D$2:$CR$484,93,FALSE)</f>
        <v>Expreso - Servicios Troncales</v>
      </c>
    </row>
    <row r="1199" spans="1:25" ht="14.25" customHeight="1" x14ac:dyDescent="0.3">
      <c r="A1199" s="1" t="s">
        <v>677</v>
      </c>
      <c r="B1199" s="1" t="s">
        <v>623</v>
      </c>
      <c r="C1199" s="1" t="s">
        <v>623</v>
      </c>
      <c r="D1199" s="1" t="s">
        <v>624</v>
      </c>
      <c r="E1199" s="1" t="s">
        <v>337</v>
      </c>
      <c r="N1199" s="7">
        <v>45947</v>
      </c>
      <c r="O1199" s="1">
        <v>365</v>
      </c>
      <c r="P1199" s="7">
        <v>46312</v>
      </c>
      <c r="Q1199" s="1" t="s">
        <v>330</v>
      </c>
      <c r="T1199" s="1" t="s">
        <v>629</v>
      </c>
      <c r="U1199" s="1" t="s">
        <v>630</v>
      </c>
      <c r="V1199" s="1">
        <v>1</v>
      </c>
      <c r="W1199" s="3">
        <v>7200</v>
      </c>
      <c r="X1199" s="3">
        <v>7200</v>
      </c>
      <c r="Y1199" s="1" t="str">
        <f>VLOOKUP(A1199,[1]Detalle!$D$2:$CR$484,93,FALSE)</f>
        <v>Expreso - Servicios Troncales</v>
      </c>
    </row>
    <row r="1200" spans="1:25" ht="14.25" customHeight="1" x14ac:dyDescent="0.3">
      <c r="A1200" s="1" t="s">
        <v>677</v>
      </c>
      <c r="B1200" s="1" t="s">
        <v>623</v>
      </c>
      <c r="C1200" s="1" t="s">
        <v>623</v>
      </c>
      <c r="D1200" s="1" t="s">
        <v>624</v>
      </c>
      <c r="E1200" s="1" t="s">
        <v>337</v>
      </c>
      <c r="N1200" s="7">
        <v>45947</v>
      </c>
      <c r="O1200" s="1">
        <v>365</v>
      </c>
      <c r="P1200" s="7">
        <v>46312</v>
      </c>
      <c r="Q1200" s="1" t="s">
        <v>330</v>
      </c>
      <c r="T1200" s="1" t="s">
        <v>631</v>
      </c>
      <c r="U1200" s="1" t="s">
        <v>632</v>
      </c>
      <c r="V1200" s="1">
        <v>1</v>
      </c>
      <c r="W1200" s="3">
        <v>7286.36</v>
      </c>
      <c r="X1200" s="3">
        <v>7286.36</v>
      </c>
      <c r="Y1200" s="1" t="str">
        <f>VLOOKUP(A1200,[1]Detalle!$D$2:$CR$484,93,FALSE)</f>
        <v>Expreso - Servicios Troncales</v>
      </c>
    </row>
    <row r="1201" spans="1:25" ht="14.25" customHeight="1" x14ac:dyDescent="0.3">
      <c r="A1201" s="1" t="s">
        <v>677</v>
      </c>
      <c r="B1201" s="1" t="s">
        <v>623</v>
      </c>
      <c r="C1201" s="1" t="s">
        <v>623</v>
      </c>
      <c r="D1201" s="1" t="s">
        <v>624</v>
      </c>
      <c r="E1201" s="1" t="s">
        <v>337</v>
      </c>
      <c r="N1201" s="7">
        <v>45947</v>
      </c>
      <c r="O1201" s="1">
        <v>365</v>
      </c>
      <c r="P1201" s="7">
        <v>46312</v>
      </c>
      <c r="Q1201" s="1" t="s">
        <v>330</v>
      </c>
      <c r="T1201" s="1" t="s">
        <v>633</v>
      </c>
      <c r="U1201" s="1" t="s">
        <v>634</v>
      </c>
      <c r="V1201" s="1">
        <v>4</v>
      </c>
      <c r="W1201" s="3">
        <v>153102.49</v>
      </c>
      <c r="X1201" s="3">
        <v>612409.96</v>
      </c>
      <c r="Y1201" s="1" t="str">
        <f>VLOOKUP(A1201,[1]Detalle!$D$2:$CR$484,93,FALSE)</f>
        <v>Expreso - Servicios Troncales</v>
      </c>
    </row>
    <row r="1202" spans="1:25" ht="14.25" customHeight="1" x14ac:dyDescent="0.3">
      <c r="A1202" s="1" t="s">
        <v>678</v>
      </c>
      <c r="B1202" s="1" t="s">
        <v>623</v>
      </c>
      <c r="C1202" s="1" t="s">
        <v>623</v>
      </c>
      <c r="D1202" s="1" t="s">
        <v>624</v>
      </c>
      <c r="E1202" s="1" t="s">
        <v>337</v>
      </c>
      <c r="N1202" s="7">
        <v>45947</v>
      </c>
      <c r="O1202" s="1">
        <v>365</v>
      </c>
      <c r="P1202" s="7">
        <v>46312</v>
      </c>
      <c r="Q1202" s="1" t="s">
        <v>330</v>
      </c>
      <c r="T1202" s="1" t="s">
        <v>625</v>
      </c>
      <c r="U1202" s="1" t="s">
        <v>626</v>
      </c>
      <c r="V1202" s="1">
        <v>1</v>
      </c>
      <c r="W1202" s="3">
        <v>57923.55</v>
      </c>
      <c r="X1202" s="3">
        <v>57923.55</v>
      </c>
      <c r="Y1202" s="1" t="str">
        <f>VLOOKUP(A1202,[1]Detalle!$D$2:$CR$484,93,FALSE)</f>
        <v>Expreso - Servicios Troncales</v>
      </c>
    </row>
    <row r="1203" spans="1:25" ht="14.25" customHeight="1" x14ac:dyDescent="0.3">
      <c r="A1203" s="1" t="s">
        <v>678</v>
      </c>
      <c r="B1203" s="1" t="s">
        <v>623</v>
      </c>
      <c r="C1203" s="1" t="s">
        <v>623</v>
      </c>
      <c r="D1203" s="1" t="s">
        <v>624</v>
      </c>
      <c r="E1203" s="1" t="s">
        <v>337</v>
      </c>
      <c r="N1203" s="7">
        <v>45947</v>
      </c>
      <c r="O1203" s="1">
        <v>365</v>
      </c>
      <c r="P1203" s="7">
        <v>46312</v>
      </c>
      <c r="Q1203" s="1" t="s">
        <v>330</v>
      </c>
      <c r="T1203" s="1" t="s">
        <v>627</v>
      </c>
      <c r="U1203" s="1" t="s">
        <v>628</v>
      </c>
      <c r="V1203" s="1">
        <v>1</v>
      </c>
      <c r="W1203" s="3">
        <v>14370.83</v>
      </c>
      <c r="X1203" s="3">
        <v>14370.83</v>
      </c>
      <c r="Y1203" s="1" t="str">
        <f>VLOOKUP(A1203,[1]Detalle!$D$2:$CR$484,93,FALSE)</f>
        <v>Expreso - Servicios Troncales</v>
      </c>
    </row>
    <row r="1204" spans="1:25" ht="14.25" customHeight="1" x14ac:dyDescent="0.3">
      <c r="A1204" s="1" t="s">
        <v>678</v>
      </c>
      <c r="B1204" s="1" t="s">
        <v>623</v>
      </c>
      <c r="C1204" s="1" t="s">
        <v>623</v>
      </c>
      <c r="D1204" s="1" t="s">
        <v>624</v>
      </c>
      <c r="E1204" s="1" t="s">
        <v>337</v>
      </c>
      <c r="N1204" s="7">
        <v>45947</v>
      </c>
      <c r="O1204" s="1">
        <v>365</v>
      </c>
      <c r="P1204" s="7">
        <v>46312</v>
      </c>
      <c r="Q1204" s="1" t="s">
        <v>330</v>
      </c>
      <c r="T1204" s="1" t="s">
        <v>629</v>
      </c>
      <c r="U1204" s="1" t="s">
        <v>630</v>
      </c>
      <c r="V1204" s="1">
        <v>1</v>
      </c>
      <c r="W1204" s="3">
        <v>7200</v>
      </c>
      <c r="X1204" s="3">
        <v>7200</v>
      </c>
      <c r="Y1204" s="1" t="str">
        <f>VLOOKUP(A1204,[1]Detalle!$D$2:$CR$484,93,FALSE)</f>
        <v>Expreso - Servicios Troncales</v>
      </c>
    </row>
    <row r="1205" spans="1:25" ht="14.25" customHeight="1" x14ac:dyDescent="0.3">
      <c r="A1205" s="1" t="s">
        <v>678</v>
      </c>
      <c r="B1205" s="1" t="s">
        <v>623</v>
      </c>
      <c r="C1205" s="1" t="s">
        <v>623</v>
      </c>
      <c r="D1205" s="1" t="s">
        <v>624</v>
      </c>
      <c r="E1205" s="1" t="s">
        <v>337</v>
      </c>
      <c r="N1205" s="7">
        <v>45947</v>
      </c>
      <c r="O1205" s="1">
        <v>365</v>
      </c>
      <c r="P1205" s="7">
        <v>46312</v>
      </c>
      <c r="Q1205" s="1" t="s">
        <v>330</v>
      </c>
      <c r="T1205" s="1" t="s">
        <v>631</v>
      </c>
      <c r="U1205" s="1" t="s">
        <v>632</v>
      </c>
      <c r="V1205" s="1">
        <v>1</v>
      </c>
      <c r="W1205" s="3">
        <v>7286.36</v>
      </c>
      <c r="X1205" s="3">
        <v>7286.36</v>
      </c>
      <c r="Y1205" s="1" t="str">
        <f>VLOOKUP(A1205,[1]Detalle!$D$2:$CR$484,93,FALSE)</f>
        <v>Expreso - Servicios Troncales</v>
      </c>
    </row>
    <row r="1206" spans="1:25" ht="14.25" customHeight="1" x14ac:dyDescent="0.3">
      <c r="A1206" s="1" t="s">
        <v>678</v>
      </c>
      <c r="B1206" s="1" t="s">
        <v>623</v>
      </c>
      <c r="C1206" s="1" t="s">
        <v>623</v>
      </c>
      <c r="D1206" s="1" t="s">
        <v>624</v>
      </c>
      <c r="E1206" s="1" t="s">
        <v>337</v>
      </c>
      <c r="N1206" s="7">
        <v>45947</v>
      </c>
      <c r="O1206" s="1">
        <v>365</v>
      </c>
      <c r="P1206" s="7">
        <v>46312</v>
      </c>
      <c r="Q1206" s="1" t="s">
        <v>330</v>
      </c>
      <c r="T1206" s="1" t="s">
        <v>633</v>
      </c>
      <c r="U1206" s="1" t="s">
        <v>634</v>
      </c>
      <c r="V1206" s="1">
        <v>4</v>
      </c>
      <c r="W1206" s="3">
        <v>153102.49</v>
      </c>
      <c r="X1206" s="3">
        <v>612409.96</v>
      </c>
      <c r="Y1206" s="1" t="str">
        <f>VLOOKUP(A1206,[1]Detalle!$D$2:$CR$484,93,FALSE)</f>
        <v>Expreso - Servicios Troncales</v>
      </c>
    </row>
    <row r="1207" spans="1:25" ht="14.25" customHeight="1" x14ac:dyDescent="0.3">
      <c r="A1207" s="1" t="s">
        <v>679</v>
      </c>
      <c r="B1207" s="1" t="s">
        <v>623</v>
      </c>
      <c r="C1207" s="1" t="s">
        <v>623</v>
      </c>
      <c r="D1207" s="1" t="s">
        <v>624</v>
      </c>
      <c r="E1207" s="1" t="s">
        <v>337</v>
      </c>
      <c r="N1207" s="7">
        <v>45947</v>
      </c>
      <c r="O1207" s="1">
        <v>365</v>
      </c>
      <c r="P1207" s="7">
        <v>46312</v>
      </c>
      <c r="Q1207" s="1" t="s">
        <v>330</v>
      </c>
      <c r="T1207" s="1" t="s">
        <v>625</v>
      </c>
      <c r="U1207" s="1" t="s">
        <v>626</v>
      </c>
      <c r="V1207" s="1">
        <v>1</v>
      </c>
      <c r="W1207" s="3">
        <v>57923.55</v>
      </c>
      <c r="X1207" s="3">
        <v>57923.55</v>
      </c>
      <c r="Y1207" s="1" t="str">
        <f>VLOOKUP(A1207,[1]Detalle!$D$2:$CR$484,93,FALSE)</f>
        <v>Expreso - Servicios Troncales</v>
      </c>
    </row>
    <row r="1208" spans="1:25" ht="14.25" customHeight="1" x14ac:dyDescent="0.3">
      <c r="A1208" s="1" t="s">
        <v>679</v>
      </c>
      <c r="B1208" s="1" t="s">
        <v>623</v>
      </c>
      <c r="C1208" s="1" t="s">
        <v>623</v>
      </c>
      <c r="D1208" s="1" t="s">
        <v>624</v>
      </c>
      <c r="E1208" s="1" t="s">
        <v>337</v>
      </c>
      <c r="N1208" s="7">
        <v>45947</v>
      </c>
      <c r="O1208" s="1">
        <v>365</v>
      </c>
      <c r="P1208" s="7">
        <v>46312</v>
      </c>
      <c r="Q1208" s="1" t="s">
        <v>330</v>
      </c>
      <c r="T1208" s="1" t="s">
        <v>627</v>
      </c>
      <c r="U1208" s="1" t="s">
        <v>628</v>
      </c>
      <c r="V1208" s="1">
        <v>1</v>
      </c>
      <c r="W1208" s="3">
        <v>14370.83</v>
      </c>
      <c r="X1208" s="3">
        <v>14370.83</v>
      </c>
      <c r="Y1208" s="1" t="str">
        <f>VLOOKUP(A1208,[1]Detalle!$D$2:$CR$484,93,FALSE)</f>
        <v>Expreso - Servicios Troncales</v>
      </c>
    </row>
    <row r="1209" spans="1:25" ht="14.25" customHeight="1" x14ac:dyDescent="0.3">
      <c r="A1209" s="1" t="s">
        <v>679</v>
      </c>
      <c r="B1209" s="1" t="s">
        <v>623</v>
      </c>
      <c r="C1209" s="1" t="s">
        <v>623</v>
      </c>
      <c r="D1209" s="1" t="s">
        <v>624</v>
      </c>
      <c r="E1209" s="1" t="s">
        <v>337</v>
      </c>
      <c r="N1209" s="7">
        <v>45947</v>
      </c>
      <c r="O1209" s="1">
        <v>365</v>
      </c>
      <c r="P1209" s="7">
        <v>46312</v>
      </c>
      <c r="Q1209" s="1" t="s">
        <v>330</v>
      </c>
      <c r="T1209" s="1" t="s">
        <v>629</v>
      </c>
      <c r="U1209" s="1" t="s">
        <v>630</v>
      </c>
      <c r="V1209" s="1">
        <v>1</v>
      </c>
      <c r="W1209" s="3">
        <v>7200</v>
      </c>
      <c r="X1209" s="3">
        <v>7200</v>
      </c>
      <c r="Y1209" s="1" t="str">
        <f>VLOOKUP(A1209,[1]Detalle!$D$2:$CR$484,93,FALSE)</f>
        <v>Expreso - Servicios Troncales</v>
      </c>
    </row>
    <row r="1210" spans="1:25" ht="14.25" customHeight="1" x14ac:dyDescent="0.3">
      <c r="A1210" s="1" t="s">
        <v>679</v>
      </c>
      <c r="B1210" s="1" t="s">
        <v>623</v>
      </c>
      <c r="C1210" s="1" t="s">
        <v>623</v>
      </c>
      <c r="D1210" s="1" t="s">
        <v>624</v>
      </c>
      <c r="E1210" s="1" t="s">
        <v>337</v>
      </c>
      <c r="N1210" s="7">
        <v>45947</v>
      </c>
      <c r="O1210" s="1">
        <v>365</v>
      </c>
      <c r="P1210" s="7">
        <v>46312</v>
      </c>
      <c r="Q1210" s="1" t="s">
        <v>330</v>
      </c>
      <c r="T1210" s="1" t="s">
        <v>631</v>
      </c>
      <c r="U1210" s="1" t="s">
        <v>632</v>
      </c>
      <c r="V1210" s="1">
        <v>1</v>
      </c>
      <c r="W1210" s="3">
        <v>7286.36</v>
      </c>
      <c r="X1210" s="3">
        <v>7286.36</v>
      </c>
      <c r="Y1210" s="1" t="str">
        <f>VLOOKUP(A1210,[1]Detalle!$D$2:$CR$484,93,FALSE)</f>
        <v>Expreso - Servicios Troncales</v>
      </c>
    </row>
    <row r="1211" spans="1:25" ht="14.25" customHeight="1" x14ac:dyDescent="0.3">
      <c r="A1211" s="1" t="s">
        <v>679</v>
      </c>
      <c r="B1211" s="1" t="s">
        <v>623</v>
      </c>
      <c r="C1211" s="1" t="s">
        <v>623</v>
      </c>
      <c r="D1211" s="1" t="s">
        <v>624</v>
      </c>
      <c r="E1211" s="1" t="s">
        <v>337</v>
      </c>
      <c r="N1211" s="7">
        <v>45947</v>
      </c>
      <c r="O1211" s="1">
        <v>365</v>
      </c>
      <c r="P1211" s="7">
        <v>46312</v>
      </c>
      <c r="Q1211" s="1" t="s">
        <v>330</v>
      </c>
      <c r="T1211" s="1" t="s">
        <v>633</v>
      </c>
      <c r="U1211" s="1" t="s">
        <v>634</v>
      </c>
      <c r="V1211" s="1">
        <v>4</v>
      </c>
      <c r="W1211" s="3">
        <v>153102.49</v>
      </c>
      <c r="X1211" s="3">
        <v>612409.96</v>
      </c>
      <c r="Y1211" s="1" t="str">
        <f>VLOOKUP(A1211,[1]Detalle!$D$2:$CR$484,93,FALSE)</f>
        <v>Expreso - Servicios Troncales</v>
      </c>
    </row>
    <row r="1212" spans="1:25" ht="14.25" customHeight="1" x14ac:dyDescent="0.3">
      <c r="A1212" s="1" t="s">
        <v>680</v>
      </c>
      <c r="B1212" s="1" t="s">
        <v>623</v>
      </c>
      <c r="C1212" s="1" t="s">
        <v>623</v>
      </c>
      <c r="D1212" s="1" t="s">
        <v>624</v>
      </c>
      <c r="E1212" s="1" t="s">
        <v>337</v>
      </c>
      <c r="N1212" s="7">
        <v>45947</v>
      </c>
      <c r="O1212" s="1">
        <v>365</v>
      </c>
      <c r="P1212" s="7">
        <v>46312</v>
      </c>
      <c r="Q1212" s="1" t="s">
        <v>330</v>
      </c>
      <c r="T1212" s="1" t="s">
        <v>625</v>
      </c>
      <c r="U1212" s="1" t="s">
        <v>626</v>
      </c>
      <c r="V1212" s="1">
        <v>1</v>
      </c>
      <c r="W1212" s="3">
        <v>57923.55</v>
      </c>
      <c r="X1212" s="3">
        <v>57923.55</v>
      </c>
      <c r="Y1212" s="1" t="str">
        <f>VLOOKUP(A1212,[1]Detalle!$D$2:$CR$484,93,FALSE)</f>
        <v>Expreso - Servicios Troncales</v>
      </c>
    </row>
    <row r="1213" spans="1:25" ht="14.25" customHeight="1" x14ac:dyDescent="0.3">
      <c r="A1213" s="1" t="s">
        <v>680</v>
      </c>
      <c r="B1213" s="1" t="s">
        <v>623</v>
      </c>
      <c r="C1213" s="1" t="s">
        <v>623</v>
      </c>
      <c r="D1213" s="1" t="s">
        <v>624</v>
      </c>
      <c r="E1213" s="1" t="s">
        <v>337</v>
      </c>
      <c r="N1213" s="7">
        <v>45947</v>
      </c>
      <c r="O1213" s="1">
        <v>365</v>
      </c>
      <c r="P1213" s="7">
        <v>46312</v>
      </c>
      <c r="Q1213" s="1" t="s">
        <v>330</v>
      </c>
      <c r="T1213" s="1" t="s">
        <v>627</v>
      </c>
      <c r="U1213" s="1" t="s">
        <v>628</v>
      </c>
      <c r="V1213" s="1">
        <v>1</v>
      </c>
      <c r="W1213" s="3">
        <v>14370.83</v>
      </c>
      <c r="X1213" s="3">
        <v>14370.83</v>
      </c>
      <c r="Y1213" s="1" t="str">
        <f>VLOOKUP(A1213,[1]Detalle!$D$2:$CR$484,93,FALSE)</f>
        <v>Expreso - Servicios Troncales</v>
      </c>
    </row>
    <row r="1214" spans="1:25" ht="14.25" customHeight="1" x14ac:dyDescent="0.3">
      <c r="A1214" s="1" t="s">
        <v>680</v>
      </c>
      <c r="B1214" s="1" t="s">
        <v>623</v>
      </c>
      <c r="C1214" s="1" t="s">
        <v>623</v>
      </c>
      <c r="D1214" s="1" t="s">
        <v>624</v>
      </c>
      <c r="E1214" s="1" t="s">
        <v>337</v>
      </c>
      <c r="N1214" s="7">
        <v>45947</v>
      </c>
      <c r="O1214" s="1">
        <v>365</v>
      </c>
      <c r="P1214" s="7">
        <v>46312</v>
      </c>
      <c r="Q1214" s="1" t="s">
        <v>330</v>
      </c>
      <c r="T1214" s="1" t="s">
        <v>629</v>
      </c>
      <c r="U1214" s="1" t="s">
        <v>630</v>
      </c>
      <c r="V1214" s="1">
        <v>1</v>
      </c>
      <c r="W1214" s="3">
        <v>7200</v>
      </c>
      <c r="X1214" s="3">
        <v>7200</v>
      </c>
      <c r="Y1214" s="1" t="str">
        <f>VLOOKUP(A1214,[1]Detalle!$D$2:$CR$484,93,FALSE)</f>
        <v>Expreso - Servicios Troncales</v>
      </c>
    </row>
    <row r="1215" spans="1:25" ht="14.25" customHeight="1" x14ac:dyDescent="0.3">
      <c r="A1215" s="1" t="s">
        <v>680</v>
      </c>
      <c r="B1215" s="1" t="s">
        <v>623</v>
      </c>
      <c r="C1215" s="1" t="s">
        <v>623</v>
      </c>
      <c r="D1215" s="1" t="s">
        <v>624</v>
      </c>
      <c r="E1215" s="1" t="s">
        <v>337</v>
      </c>
      <c r="N1215" s="7">
        <v>45947</v>
      </c>
      <c r="O1215" s="1">
        <v>365</v>
      </c>
      <c r="P1215" s="7">
        <v>46312</v>
      </c>
      <c r="Q1215" s="1" t="s">
        <v>330</v>
      </c>
      <c r="T1215" s="1" t="s">
        <v>631</v>
      </c>
      <c r="U1215" s="1" t="s">
        <v>632</v>
      </c>
      <c r="V1215" s="1">
        <v>1</v>
      </c>
      <c r="W1215" s="3">
        <v>7286.36</v>
      </c>
      <c r="X1215" s="3">
        <v>7286.36</v>
      </c>
      <c r="Y1215" s="1" t="str">
        <f>VLOOKUP(A1215,[1]Detalle!$D$2:$CR$484,93,FALSE)</f>
        <v>Expreso - Servicios Troncales</v>
      </c>
    </row>
    <row r="1216" spans="1:25" ht="14.25" customHeight="1" x14ac:dyDescent="0.3">
      <c r="A1216" s="1" t="s">
        <v>680</v>
      </c>
      <c r="B1216" s="1" t="s">
        <v>623</v>
      </c>
      <c r="C1216" s="1" t="s">
        <v>623</v>
      </c>
      <c r="D1216" s="1" t="s">
        <v>624</v>
      </c>
      <c r="E1216" s="1" t="s">
        <v>337</v>
      </c>
      <c r="N1216" s="7">
        <v>45947</v>
      </c>
      <c r="O1216" s="1">
        <v>365</v>
      </c>
      <c r="P1216" s="7">
        <v>46312</v>
      </c>
      <c r="Q1216" s="1" t="s">
        <v>330</v>
      </c>
      <c r="T1216" s="1" t="s">
        <v>633</v>
      </c>
      <c r="U1216" s="1" t="s">
        <v>634</v>
      </c>
      <c r="V1216" s="1">
        <v>4</v>
      </c>
      <c r="W1216" s="3">
        <v>153102.49</v>
      </c>
      <c r="X1216" s="3">
        <v>612409.96</v>
      </c>
      <c r="Y1216" s="1" t="str">
        <f>VLOOKUP(A1216,[1]Detalle!$D$2:$CR$484,93,FALSE)</f>
        <v>Expreso - Servicios Troncales</v>
      </c>
    </row>
    <row r="1217" spans="1:25" ht="14.25" customHeight="1" x14ac:dyDescent="0.3">
      <c r="A1217" s="1" t="s">
        <v>681</v>
      </c>
      <c r="B1217" s="1" t="s">
        <v>623</v>
      </c>
      <c r="C1217" s="1" t="s">
        <v>623</v>
      </c>
      <c r="D1217" s="1" t="s">
        <v>624</v>
      </c>
      <c r="E1217" s="1" t="s">
        <v>337</v>
      </c>
      <c r="N1217" s="7">
        <v>45947</v>
      </c>
      <c r="O1217" s="1">
        <v>365</v>
      </c>
      <c r="P1217" s="7">
        <v>46312</v>
      </c>
      <c r="Q1217" s="1" t="s">
        <v>330</v>
      </c>
      <c r="T1217" s="1" t="s">
        <v>625</v>
      </c>
      <c r="U1217" s="1" t="s">
        <v>626</v>
      </c>
      <c r="V1217" s="1">
        <v>1</v>
      </c>
      <c r="W1217" s="3">
        <v>57923.55</v>
      </c>
      <c r="X1217" s="3">
        <v>57923.55</v>
      </c>
      <c r="Y1217" s="1" t="str">
        <f>VLOOKUP(A1217,[1]Detalle!$D$2:$CR$484,93,FALSE)</f>
        <v>Expreso - Servicios Troncales</v>
      </c>
    </row>
    <row r="1218" spans="1:25" ht="14.25" customHeight="1" x14ac:dyDescent="0.3">
      <c r="A1218" s="1" t="s">
        <v>681</v>
      </c>
      <c r="B1218" s="1" t="s">
        <v>623</v>
      </c>
      <c r="C1218" s="1" t="s">
        <v>623</v>
      </c>
      <c r="D1218" s="1" t="s">
        <v>624</v>
      </c>
      <c r="E1218" s="1" t="s">
        <v>337</v>
      </c>
      <c r="N1218" s="7">
        <v>45947</v>
      </c>
      <c r="O1218" s="1">
        <v>365</v>
      </c>
      <c r="P1218" s="7">
        <v>46312</v>
      </c>
      <c r="Q1218" s="1" t="s">
        <v>330</v>
      </c>
      <c r="T1218" s="1" t="s">
        <v>627</v>
      </c>
      <c r="U1218" s="1" t="s">
        <v>628</v>
      </c>
      <c r="V1218" s="1">
        <v>1</v>
      </c>
      <c r="W1218" s="3">
        <v>14370.83</v>
      </c>
      <c r="X1218" s="3">
        <v>14370.83</v>
      </c>
      <c r="Y1218" s="1" t="str">
        <f>VLOOKUP(A1218,[1]Detalle!$D$2:$CR$484,93,FALSE)</f>
        <v>Expreso - Servicios Troncales</v>
      </c>
    </row>
    <row r="1219" spans="1:25" ht="14.25" customHeight="1" x14ac:dyDescent="0.3">
      <c r="A1219" s="1" t="s">
        <v>681</v>
      </c>
      <c r="B1219" s="1" t="s">
        <v>623</v>
      </c>
      <c r="C1219" s="1" t="s">
        <v>623</v>
      </c>
      <c r="D1219" s="1" t="s">
        <v>624</v>
      </c>
      <c r="E1219" s="1" t="s">
        <v>337</v>
      </c>
      <c r="N1219" s="7">
        <v>45947</v>
      </c>
      <c r="O1219" s="1">
        <v>365</v>
      </c>
      <c r="P1219" s="7">
        <v>46312</v>
      </c>
      <c r="Q1219" s="1" t="s">
        <v>330</v>
      </c>
      <c r="T1219" s="1" t="s">
        <v>629</v>
      </c>
      <c r="U1219" s="1" t="s">
        <v>630</v>
      </c>
      <c r="V1219" s="1">
        <v>1</v>
      </c>
      <c r="W1219" s="3">
        <v>7200</v>
      </c>
      <c r="X1219" s="3">
        <v>7200</v>
      </c>
      <c r="Y1219" s="1" t="str">
        <f>VLOOKUP(A1219,[1]Detalle!$D$2:$CR$484,93,FALSE)</f>
        <v>Expreso - Servicios Troncales</v>
      </c>
    </row>
    <row r="1220" spans="1:25" ht="14.25" customHeight="1" x14ac:dyDescent="0.3">
      <c r="A1220" s="1" t="s">
        <v>681</v>
      </c>
      <c r="B1220" s="1" t="s">
        <v>623</v>
      </c>
      <c r="C1220" s="1" t="s">
        <v>623</v>
      </c>
      <c r="D1220" s="1" t="s">
        <v>624</v>
      </c>
      <c r="E1220" s="1" t="s">
        <v>337</v>
      </c>
      <c r="N1220" s="7">
        <v>45947</v>
      </c>
      <c r="O1220" s="1">
        <v>365</v>
      </c>
      <c r="P1220" s="7">
        <v>46312</v>
      </c>
      <c r="Q1220" s="1" t="s">
        <v>330</v>
      </c>
      <c r="T1220" s="1" t="s">
        <v>631</v>
      </c>
      <c r="U1220" s="1" t="s">
        <v>632</v>
      </c>
      <c r="V1220" s="1">
        <v>1</v>
      </c>
      <c r="W1220" s="3">
        <v>7286.36</v>
      </c>
      <c r="X1220" s="3">
        <v>7286.36</v>
      </c>
      <c r="Y1220" s="1" t="str">
        <f>VLOOKUP(A1220,[1]Detalle!$D$2:$CR$484,93,FALSE)</f>
        <v>Expreso - Servicios Troncales</v>
      </c>
    </row>
    <row r="1221" spans="1:25" ht="14.25" customHeight="1" x14ac:dyDescent="0.3">
      <c r="A1221" s="1" t="s">
        <v>681</v>
      </c>
      <c r="B1221" s="1" t="s">
        <v>623</v>
      </c>
      <c r="C1221" s="1" t="s">
        <v>623</v>
      </c>
      <c r="D1221" s="1" t="s">
        <v>624</v>
      </c>
      <c r="E1221" s="1" t="s">
        <v>337</v>
      </c>
      <c r="N1221" s="7">
        <v>45947</v>
      </c>
      <c r="O1221" s="1">
        <v>365</v>
      </c>
      <c r="P1221" s="7">
        <v>46312</v>
      </c>
      <c r="Q1221" s="1" t="s">
        <v>330</v>
      </c>
      <c r="T1221" s="1" t="s">
        <v>633</v>
      </c>
      <c r="U1221" s="1" t="s">
        <v>634</v>
      </c>
      <c r="V1221" s="1">
        <v>4</v>
      </c>
      <c r="W1221" s="3">
        <v>153102.49</v>
      </c>
      <c r="X1221" s="3">
        <v>612409.96</v>
      </c>
      <c r="Y1221" s="1" t="str">
        <f>VLOOKUP(A1221,[1]Detalle!$D$2:$CR$484,93,FALSE)</f>
        <v>Expreso - Servicios Troncales</v>
      </c>
    </row>
    <row r="1222" spans="1:25" ht="14.25" customHeight="1" x14ac:dyDescent="0.3">
      <c r="A1222" s="1" t="s">
        <v>682</v>
      </c>
      <c r="B1222" s="1" t="s">
        <v>623</v>
      </c>
      <c r="C1222" s="1" t="s">
        <v>623</v>
      </c>
      <c r="D1222" s="1" t="s">
        <v>624</v>
      </c>
      <c r="E1222" s="1" t="s">
        <v>337</v>
      </c>
      <c r="F1222" s="1">
        <v>0</v>
      </c>
      <c r="G1222" s="1">
        <v>365</v>
      </c>
      <c r="H1222" s="1">
        <v>8764.4000000000015</v>
      </c>
      <c r="I1222" s="1">
        <v>-8399.4000000000015</v>
      </c>
      <c r="J1222" s="1">
        <v>8764.4000000000015</v>
      </c>
      <c r="K1222" s="1">
        <v>93</v>
      </c>
      <c r="L1222" s="1">
        <v>94.240860215053786</v>
      </c>
      <c r="M1222" s="1">
        <v>-89.126945369905528</v>
      </c>
      <c r="N1222" s="7">
        <v>45947</v>
      </c>
      <c r="O1222" s="1">
        <v>365</v>
      </c>
      <c r="P1222" s="7">
        <v>46312</v>
      </c>
      <c r="Q1222" s="1" t="s">
        <v>330</v>
      </c>
      <c r="T1222" s="1" t="s">
        <v>625</v>
      </c>
      <c r="U1222" s="1" t="s">
        <v>626</v>
      </c>
      <c r="V1222" s="1">
        <v>1</v>
      </c>
      <c r="W1222" s="3">
        <v>57923.55</v>
      </c>
      <c r="X1222" s="3">
        <v>57923.55</v>
      </c>
      <c r="Y1222" s="1" t="str">
        <f>VLOOKUP(A1222,[1]Detalle!$D$2:$CR$484,93,FALSE)</f>
        <v>Expreso - Servicios Troncales</v>
      </c>
    </row>
    <row r="1223" spans="1:25" ht="14.25" customHeight="1" x14ac:dyDescent="0.3">
      <c r="A1223" s="1" t="s">
        <v>682</v>
      </c>
      <c r="B1223" s="1" t="s">
        <v>623</v>
      </c>
      <c r="C1223" s="1" t="s">
        <v>623</v>
      </c>
      <c r="D1223" s="1" t="s">
        <v>624</v>
      </c>
      <c r="E1223" s="1" t="s">
        <v>337</v>
      </c>
      <c r="F1223" s="1">
        <v>0</v>
      </c>
      <c r="G1223" s="1">
        <v>365</v>
      </c>
      <c r="H1223" s="1">
        <v>8764.4000000000015</v>
      </c>
      <c r="I1223" s="1">
        <v>-8399.4000000000015</v>
      </c>
      <c r="J1223" s="1">
        <v>8764.4000000000015</v>
      </c>
      <c r="K1223" s="1">
        <v>93</v>
      </c>
      <c r="L1223" s="1">
        <v>94.240860215053786</v>
      </c>
      <c r="M1223" s="1">
        <v>-89.126945369905528</v>
      </c>
      <c r="N1223" s="7">
        <v>45947</v>
      </c>
      <c r="O1223" s="1">
        <v>365</v>
      </c>
      <c r="P1223" s="7">
        <v>46312</v>
      </c>
      <c r="Q1223" s="1" t="s">
        <v>330</v>
      </c>
      <c r="T1223" s="1" t="s">
        <v>627</v>
      </c>
      <c r="U1223" s="1" t="s">
        <v>628</v>
      </c>
      <c r="V1223" s="1">
        <v>1</v>
      </c>
      <c r="W1223" s="3">
        <v>14370.83</v>
      </c>
      <c r="X1223" s="3">
        <v>14370.83</v>
      </c>
      <c r="Y1223" s="1" t="str">
        <f>VLOOKUP(A1223,[1]Detalle!$D$2:$CR$484,93,FALSE)</f>
        <v>Expreso - Servicios Troncales</v>
      </c>
    </row>
    <row r="1224" spans="1:25" ht="14.25" customHeight="1" x14ac:dyDescent="0.3">
      <c r="A1224" s="1" t="s">
        <v>682</v>
      </c>
      <c r="B1224" s="1" t="s">
        <v>623</v>
      </c>
      <c r="C1224" s="1" t="s">
        <v>623</v>
      </c>
      <c r="D1224" s="1" t="s">
        <v>624</v>
      </c>
      <c r="E1224" s="1" t="s">
        <v>337</v>
      </c>
      <c r="F1224" s="1">
        <v>0</v>
      </c>
      <c r="G1224" s="1">
        <v>365</v>
      </c>
      <c r="H1224" s="1">
        <v>8764.4000000000015</v>
      </c>
      <c r="I1224" s="1">
        <v>-8399.4000000000015</v>
      </c>
      <c r="J1224" s="1">
        <v>8764.4000000000015</v>
      </c>
      <c r="K1224" s="1">
        <v>93</v>
      </c>
      <c r="L1224" s="1">
        <v>94.240860215053786</v>
      </c>
      <c r="M1224" s="1">
        <v>-89.126945369905528</v>
      </c>
      <c r="N1224" s="7">
        <v>45947</v>
      </c>
      <c r="O1224" s="1">
        <v>365</v>
      </c>
      <c r="P1224" s="7">
        <v>46312</v>
      </c>
      <c r="Q1224" s="1" t="s">
        <v>330</v>
      </c>
      <c r="T1224" s="1" t="s">
        <v>629</v>
      </c>
      <c r="U1224" s="1" t="s">
        <v>630</v>
      </c>
      <c r="V1224" s="1">
        <v>1</v>
      </c>
      <c r="W1224" s="3">
        <v>7200</v>
      </c>
      <c r="X1224" s="3">
        <v>7200</v>
      </c>
      <c r="Y1224" s="1" t="str">
        <f>VLOOKUP(A1224,[1]Detalle!$D$2:$CR$484,93,FALSE)</f>
        <v>Expreso - Servicios Troncales</v>
      </c>
    </row>
    <row r="1225" spans="1:25" ht="14.25" customHeight="1" x14ac:dyDescent="0.3">
      <c r="A1225" s="1" t="s">
        <v>682</v>
      </c>
      <c r="B1225" s="1" t="s">
        <v>623</v>
      </c>
      <c r="C1225" s="1" t="s">
        <v>623</v>
      </c>
      <c r="D1225" s="1" t="s">
        <v>624</v>
      </c>
      <c r="E1225" s="1" t="s">
        <v>337</v>
      </c>
      <c r="F1225" s="1">
        <v>0</v>
      </c>
      <c r="G1225" s="1">
        <v>365</v>
      </c>
      <c r="H1225" s="1">
        <v>8764.4000000000015</v>
      </c>
      <c r="I1225" s="1">
        <v>-8399.4000000000015</v>
      </c>
      <c r="J1225" s="1">
        <v>8764.4000000000015</v>
      </c>
      <c r="K1225" s="1">
        <v>93</v>
      </c>
      <c r="L1225" s="1">
        <v>94.240860215053786</v>
      </c>
      <c r="M1225" s="1">
        <v>-89.126945369905528</v>
      </c>
      <c r="N1225" s="7">
        <v>45947</v>
      </c>
      <c r="O1225" s="1">
        <v>365</v>
      </c>
      <c r="P1225" s="7">
        <v>46312</v>
      </c>
      <c r="Q1225" s="1" t="s">
        <v>330</v>
      </c>
      <c r="T1225" s="1" t="s">
        <v>631</v>
      </c>
      <c r="U1225" s="1" t="s">
        <v>632</v>
      </c>
      <c r="V1225" s="1">
        <v>1</v>
      </c>
      <c r="W1225" s="3">
        <v>7286.36</v>
      </c>
      <c r="X1225" s="3">
        <v>7286.36</v>
      </c>
      <c r="Y1225" s="1" t="str">
        <f>VLOOKUP(A1225,[1]Detalle!$D$2:$CR$484,93,FALSE)</f>
        <v>Expreso - Servicios Troncales</v>
      </c>
    </row>
    <row r="1226" spans="1:25" ht="14.25" customHeight="1" x14ac:dyDescent="0.3">
      <c r="A1226" s="1" t="s">
        <v>682</v>
      </c>
      <c r="B1226" s="1" t="s">
        <v>623</v>
      </c>
      <c r="C1226" s="1" t="s">
        <v>623</v>
      </c>
      <c r="D1226" s="1" t="s">
        <v>624</v>
      </c>
      <c r="E1226" s="1" t="s">
        <v>337</v>
      </c>
      <c r="F1226" s="1">
        <v>0</v>
      </c>
      <c r="G1226" s="1">
        <v>365</v>
      </c>
      <c r="H1226" s="1">
        <v>8764.4000000000015</v>
      </c>
      <c r="I1226" s="1">
        <v>-8399.4000000000015</v>
      </c>
      <c r="J1226" s="1">
        <v>8764.4000000000015</v>
      </c>
      <c r="K1226" s="1">
        <v>93</v>
      </c>
      <c r="L1226" s="1">
        <v>94.240860215053786</v>
      </c>
      <c r="M1226" s="1">
        <v>-89.126945369905528</v>
      </c>
      <c r="N1226" s="7">
        <v>45947</v>
      </c>
      <c r="O1226" s="1">
        <v>365</v>
      </c>
      <c r="P1226" s="7">
        <v>46312</v>
      </c>
      <c r="Q1226" s="1" t="s">
        <v>330</v>
      </c>
      <c r="T1226" s="1" t="s">
        <v>633</v>
      </c>
      <c r="U1226" s="1" t="s">
        <v>634</v>
      </c>
      <c r="V1226" s="1">
        <v>4</v>
      </c>
      <c r="W1226" s="3">
        <v>153102.49</v>
      </c>
      <c r="X1226" s="3">
        <v>612409.96</v>
      </c>
      <c r="Y1226" s="1" t="str">
        <f>VLOOKUP(A1226,[1]Detalle!$D$2:$CR$484,93,FALSE)</f>
        <v>Expreso - Servicios Troncales</v>
      </c>
    </row>
    <row r="1227" spans="1:25" ht="14.25" customHeight="1" x14ac:dyDescent="0.3">
      <c r="A1227" s="1" t="s">
        <v>683</v>
      </c>
      <c r="B1227" s="1" t="s">
        <v>623</v>
      </c>
      <c r="C1227" s="1" t="s">
        <v>623</v>
      </c>
      <c r="D1227" s="1" t="s">
        <v>624</v>
      </c>
      <c r="E1227" s="1" t="s">
        <v>337</v>
      </c>
      <c r="N1227" s="7">
        <v>45947</v>
      </c>
      <c r="O1227" s="1">
        <v>365</v>
      </c>
      <c r="P1227" s="7">
        <v>46312</v>
      </c>
      <c r="Q1227" s="1" t="s">
        <v>330</v>
      </c>
      <c r="T1227" s="1" t="s">
        <v>625</v>
      </c>
      <c r="U1227" s="1" t="s">
        <v>626</v>
      </c>
      <c r="V1227" s="1">
        <v>1</v>
      </c>
      <c r="W1227" s="3">
        <v>57923.55</v>
      </c>
      <c r="X1227" s="3">
        <v>57923.55</v>
      </c>
      <c r="Y1227" s="1" t="str">
        <f>VLOOKUP(A1227,[1]Detalle!$D$2:$CR$484,93,FALSE)</f>
        <v>Expreso - Servicios Troncales</v>
      </c>
    </row>
    <row r="1228" spans="1:25" ht="14.25" customHeight="1" x14ac:dyDescent="0.3">
      <c r="A1228" s="1" t="s">
        <v>683</v>
      </c>
      <c r="B1228" s="1" t="s">
        <v>623</v>
      </c>
      <c r="C1228" s="1" t="s">
        <v>623</v>
      </c>
      <c r="D1228" s="1" t="s">
        <v>624</v>
      </c>
      <c r="E1228" s="1" t="s">
        <v>337</v>
      </c>
      <c r="N1228" s="7">
        <v>45947</v>
      </c>
      <c r="O1228" s="1">
        <v>365</v>
      </c>
      <c r="P1228" s="7">
        <v>46312</v>
      </c>
      <c r="Q1228" s="1" t="s">
        <v>330</v>
      </c>
      <c r="T1228" s="1" t="s">
        <v>627</v>
      </c>
      <c r="U1228" s="1" t="s">
        <v>628</v>
      </c>
      <c r="V1228" s="1">
        <v>1</v>
      </c>
      <c r="W1228" s="3">
        <v>14370.83</v>
      </c>
      <c r="X1228" s="3">
        <v>14370.83</v>
      </c>
      <c r="Y1228" s="1" t="str">
        <f>VLOOKUP(A1228,[1]Detalle!$D$2:$CR$484,93,FALSE)</f>
        <v>Expreso - Servicios Troncales</v>
      </c>
    </row>
    <row r="1229" spans="1:25" ht="14.25" customHeight="1" x14ac:dyDescent="0.3">
      <c r="A1229" s="1" t="s">
        <v>683</v>
      </c>
      <c r="B1229" s="1" t="s">
        <v>623</v>
      </c>
      <c r="C1229" s="1" t="s">
        <v>623</v>
      </c>
      <c r="D1229" s="1" t="s">
        <v>624</v>
      </c>
      <c r="E1229" s="1" t="s">
        <v>337</v>
      </c>
      <c r="N1229" s="7">
        <v>45947</v>
      </c>
      <c r="O1229" s="1">
        <v>365</v>
      </c>
      <c r="P1229" s="7">
        <v>46312</v>
      </c>
      <c r="Q1229" s="1" t="s">
        <v>330</v>
      </c>
      <c r="T1229" s="1" t="s">
        <v>629</v>
      </c>
      <c r="U1229" s="1" t="s">
        <v>630</v>
      </c>
      <c r="V1229" s="1">
        <v>1</v>
      </c>
      <c r="W1229" s="3">
        <v>7200</v>
      </c>
      <c r="X1229" s="3">
        <v>7200</v>
      </c>
      <c r="Y1229" s="1" t="str">
        <f>VLOOKUP(A1229,[1]Detalle!$D$2:$CR$484,93,FALSE)</f>
        <v>Expreso - Servicios Troncales</v>
      </c>
    </row>
    <row r="1230" spans="1:25" ht="14.25" customHeight="1" x14ac:dyDescent="0.3">
      <c r="A1230" s="1" t="s">
        <v>683</v>
      </c>
      <c r="B1230" s="1" t="s">
        <v>623</v>
      </c>
      <c r="C1230" s="1" t="s">
        <v>623</v>
      </c>
      <c r="D1230" s="1" t="s">
        <v>624</v>
      </c>
      <c r="E1230" s="1" t="s">
        <v>337</v>
      </c>
      <c r="N1230" s="7">
        <v>45947</v>
      </c>
      <c r="O1230" s="1">
        <v>365</v>
      </c>
      <c r="P1230" s="7">
        <v>46312</v>
      </c>
      <c r="Q1230" s="1" t="s">
        <v>330</v>
      </c>
      <c r="T1230" s="1" t="s">
        <v>631</v>
      </c>
      <c r="U1230" s="1" t="s">
        <v>632</v>
      </c>
      <c r="V1230" s="1">
        <v>1</v>
      </c>
      <c r="W1230" s="3">
        <v>7286.36</v>
      </c>
      <c r="X1230" s="3">
        <v>7286.36</v>
      </c>
      <c r="Y1230" s="1" t="str">
        <f>VLOOKUP(A1230,[1]Detalle!$D$2:$CR$484,93,FALSE)</f>
        <v>Expreso - Servicios Troncales</v>
      </c>
    </row>
    <row r="1231" spans="1:25" ht="14.25" customHeight="1" x14ac:dyDescent="0.3">
      <c r="A1231" s="1" t="s">
        <v>683</v>
      </c>
      <c r="B1231" s="1" t="s">
        <v>623</v>
      </c>
      <c r="C1231" s="1" t="s">
        <v>623</v>
      </c>
      <c r="D1231" s="1" t="s">
        <v>624</v>
      </c>
      <c r="E1231" s="1" t="s">
        <v>337</v>
      </c>
      <c r="N1231" s="7">
        <v>45947</v>
      </c>
      <c r="O1231" s="1">
        <v>365</v>
      </c>
      <c r="P1231" s="7">
        <v>46312</v>
      </c>
      <c r="Q1231" s="1" t="s">
        <v>330</v>
      </c>
      <c r="T1231" s="1" t="s">
        <v>633</v>
      </c>
      <c r="U1231" s="1" t="s">
        <v>634</v>
      </c>
      <c r="V1231" s="1">
        <v>4</v>
      </c>
      <c r="W1231" s="3">
        <v>153102.49</v>
      </c>
      <c r="X1231" s="3">
        <v>612409.96</v>
      </c>
      <c r="Y1231" s="1" t="str">
        <f>VLOOKUP(A1231,[1]Detalle!$D$2:$CR$484,93,FALSE)</f>
        <v>Expreso - Servicios Troncales</v>
      </c>
    </row>
    <row r="1232" spans="1:25" ht="14.25" customHeight="1" x14ac:dyDescent="0.3">
      <c r="A1232" s="1" t="s">
        <v>684</v>
      </c>
      <c r="B1232" s="1" t="s">
        <v>623</v>
      </c>
      <c r="C1232" s="1" t="s">
        <v>623</v>
      </c>
      <c r="D1232" s="1" t="s">
        <v>624</v>
      </c>
      <c r="E1232" s="1" t="s">
        <v>337</v>
      </c>
      <c r="N1232" s="7">
        <v>45947</v>
      </c>
      <c r="O1232" s="1">
        <v>365</v>
      </c>
      <c r="P1232" s="7">
        <v>46312</v>
      </c>
      <c r="Q1232" s="1" t="s">
        <v>330</v>
      </c>
      <c r="T1232" s="1" t="s">
        <v>625</v>
      </c>
      <c r="U1232" s="1" t="s">
        <v>626</v>
      </c>
      <c r="V1232" s="1">
        <v>1</v>
      </c>
      <c r="W1232" s="3">
        <v>57923.55</v>
      </c>
      <c r="X1232" s="3">
        <v>57923.55</v>
      </c>
      <c r="Y1232" s="1" t="str">
        <f>VLOOKUP(A1232,[1]Detalle!$D$2:$CR$484,93,FALSE)</f>
        <v>Expreso - Servicios Troncales</v>
      </c>
    </row>
    <row r="1233" spans="1:25" ht="14.25" customHeight="1" x14ac:dyDescent="0.3">
      <c r="A1233" s="1" t="s">
        <v>684</v>
      </c>
      <c r="B1233" s="1" t="s">
        <v>623</v>
      </c>
      <c r="C1233" s="1" t="s">
        <v>623</v>
      </c>
      <c r="D1233" s="1" t="s">
        <v>624</v>
      </c>
      <c r="E1233" s="1" t="s">
        <v>337</v>
      </c>
      <c r="N1233" s="7">
        <v>45947</v>
      </c>
      <c r="O1233" s="1">
        <v>365</v>
      </c>
      <c r="P1233" s="7">
        <v>46312</v>
      </c>
      <c r="Q1233" s="1" t="s">
        <v>330</v>
      </c>
      <c r="T1233" s="1" t="s">
        <v>627</v>
      </c>
      <c r="U1233" s="1" t="s">
        <v>628</v>
      </c>
      <c r="V1233" s="1">
        <v>1</v>
      </c>
      <c r="W1233" s="3">
        <v>14370.83</v>
      </c>
      <c r="X1233" s="3">
        <v>14370.83</v>
      </c>
      <c r="Y1233" s="1" t="str">
        <f>VLOOKUP(A1233,[1]Detalle!$D$2:$CR$484,93,FALSE)</f>
        <v>Expreso - Servicios Troncales</v>
      </c>
    </row>
    <row r="1234" spans="1:25" ht="14.25" customHeight="1" x14ac:dyDescent="0.3">
      <c r="A1234" s="1" t="s">
        <v>684</v>
      </c>
      <c r="B1234" s="1" t="s">
        <v>623</v>
      </c>
      <c r="C1234" s="1" t="s">
        <v>623</v>
      </c>
      <c r="D1234" s="1" t="s">
        <v>624</v>
      </c>
      <c r="E1234" s="1" t="s">
        <v>337</v>
      </c>
      <c r="N1234" s="7">
        <v>45947</v>
      </c>
      <c r="O1234" s="1">
        <v>365</v>
      </c>
      <c r="P1234" s="7">
        <v>46312</v>
      </c>
      <c r="Q1234" s="1" t="s">
        <v>330</v>
      </c>
      <c r="T1234" s="1" t="s">
        <v>629</v>
      </c>
      <c r="U1234" s="1" t="s">
        <v>630</v>
      </c>
      <c r="V1234" s="1">
        <v>1</v>
      </c>
      <c r="W1234" s="3">
        <v>7200</v>
      </c>
      <c r="X1234" s="3">
        <v>7200</v>
      </c>
      <c r="Y1234" s="1" t="str">
        <f>VLOOKUP(A1234,[1]Detalle!$D$2:$CR$484,93,FALSE)</f>
        <v>Expreso - Servicios Troncales</v>
      </c>
    </row>
    <row r="1235" spans="1:25" ht="14.25" customHeight="1" x14ac:dyDescent="0.3">
      <c r="A1235" s="1" t="s">
        <v>684</v>
      </c>
      <c r="B1235" s="1" t="s">
        <v>623</v>
      </c>
      <c r="C1235" s="1" t="s">
        <v>623</v>
      </c>
      <c r="D1235" s="1" t="s">
        <v>624</v>
      </c>
      <c r="E1235" s="1" t="s">
        <v>337</v>
      </c>
      <c r="N1235" s="7">
        <v>45947</v>
      </c>
      <c r="O1235" s="1">
        <v>365</v>
      </c>
      <c r="P1235" s="7">
        <v>46312</v>
      </c>
      <c r="Q1235" s="1" t="s">
        <v>330</v>
      </c>
      <c r="T1235" s="1" t="s">
        <v>631</v>
      </c>
      <c r="U1235" s="1" t="s">
        <v>632</v>
      </c>
      <c r="V1235" s="1">
        <v>1</v>
      </c>
      <c r="W1235" s="3">
        <v>7286.36</v>
      </c>
      <c r="X1235" s="3">
        <v>7286.36</v>
      </c>
      <c r="Y1235" s="1" t="str">
        <f>VLOOKUP(A1235,[1]Detalle!$D$2:$CR$484,93,FALSE)</f>
        <v>Expreso - Servicios Troncales</v>
      </c>
    </row>
    <row r="1236" spans="1:25" ht="14.25" customHeight="1" x14ac:dyDescent="0.3">
      <c r="A1236" s="1" t="s">
        <v>684</v>
      </c>
      <c r="B1236" s="1" t="s">
        <v>623</v>
      </c>
      <c r="C1236" s="1" t="s">
        <v>623</v>
      </c>
      <c r="D1236" s="1" t="s">
        <v>624</v>
      </c>
      <c r="E1236" s="1" t="s">
        <v>337</v>
      </c>
      <c r="N1236" s="7">
        <v>45947</v>
      </c>
      <c r="O1236" s="1">
        <v>365</v>
      </c>
      <c r="P1236" s="7">
        <v>46312</v>
      </c>
      <c r="Q1236" s="1" t="s">
        <v>330</v>
      </c>
      <c r="T1236" s="1" t="s">
        <v>633</v>
      </c>
      <c r="U1236" s="1" t="s">
        <v>634</v>
      </c>
      <c r="V1236" s="1">
        <v>4</v>
      </c>
      <c r="W1236" s="3">
        <v>153102.49</v>
      </c>
      <c r="X1236" s="3">
        <v>612409.96</v>
      </c>
      <c r="Y1236" s="1" t="str">
        <f>VLOOKUP(A1236,[1]Detalle!$D$2:$CR$484,93,FALSE)</f>
        <v>Expreso - Servicios Troncales</v>
      </c>
    </row>
    <row r="1237" spans="1:25" ht="14.25" customHeight="1" x14ac:dyDescent="0.3">
      <c r="A1237" s="1" t="s">
        <v>685</v>
      </c>
      <c r="B1237" s="1" t="s">
        <v>623</v>
      </c>
      <c r="C1237" s="1" t="s">
        <v>623</v>
      </c>
      <c r="D1237" s="1" t="s">
        <v>624</v>
      </c>
      <c r="E1237" s="1" t="s">
        <v>337</v>
      </c>
      <c r="N1237" s="7">
        <v>45947</v>
      </c>
      <c r="O1237" s="1">
        <v>365</v>
      </c>
      <c r="P1237" s="7">
        <v>46312</v>
      </c>
      <c r="Q1237" s="1" t="s">
        <v>330</v>
      </c>
      <c r="T1237" s="1" t="s">
        <v>625</v>
      </c>
      <c r="U1237" s="1" t="s">
        <v>626</v>
      </c>
      <c r="V1237" s="1">
        <v>1</v>
      </c>
      <c r="W1237" s="3">
        <v>57923.55</v>
      </c>
      <c r="X1237" s="3">
        <v>57923.55</v>
      </c>
      <c r="Y1237" s="1" t="str">
        <f>VLOOKUP(A1237,[1]Detalle!$D$2:$CR$484,93,FALSE)</f>
        <v>Expreso - Servicios Troncales</v>
      </c>
    </row>
    <row r="1238" spans="1:25" ht="14.25" customHeight="1" x14ac:dyDescent="0.3">
      <c r="A1238" s="1" t="s">
        <v>685</v>
      </c>
      <c r="B1238" s="1" t="s">
        <v>623</v>
      </c>
      <c r="C1238" s="1" t="s">
        <v>623</v>
      </c>
      <c r="D1238" s="1" t="s">
        <v>624</v>
      </c>
      <c r="E1238" s="1" t="s">
        <v>337</v>
      </c>
      <c r="N1238" s="7">
        <v>45947</v>
      </c>
      <c r="O1238" s="1">
        <v>365</v>
      </c>
      <c r="P1238" s="7">
        <v>46312</v>
      </c>
      <c r="Q1238" s="1" t="s">
        <v>330</v>
      </c>
      <c r="T1238" s="1" t="s">
        <v>627</v>
      </c>
      <c r="U1238" s="1" t="s">
        <v>628</v>
      </c>
      <c r="V1238" s="1">
        <v>1</v>
      </c>
      <c r="W1238" s="3">
        <v>14370.83</v>
      </c>
      <c r="X1238" s="3">
        <v>14370.83</v>
      </c>
      <c r="Y1238" s="1" t="str">
        <f>VLOOKUP(A1238,[1]Detalle!$D$2:$CR$484,93,FALSE)</f>
        <v>Expreso - Servicios Troncales</v>
      </c>
    </row>
    <row r="1239" spans="1:25" ht="14.25" customHeight="1" x14ac:dyDescent="0.3">
      <c r="A1239" s="1" t="s">
        <v>685</v>
      </c>
      <c r="B1239" s="1" t="s">
        <v>623</v>
      </c>
      <c r="C1239" s="1" t="s">
        <v>623</v>
      </c>
      <c r="D1239" s="1" t="s">
        <v>624</v>
      </c>
      <c r="E1239" s="1" t="s">
        <v>337</v>
      </c>
      <c r="N1239" s="7">
        <v>45947</v>
      </c>
      <c r="O1239" s="1">
        <v>365</v>
      </c>
      <c r="P1239" s="7">
        <v>46312</v>
      </c>
      <c r="Q1239" s="1" t="s">
        <v>330</v>
      </c>
      <c r="T1239" s="1" t="s">
        <v>629</v>
      </c>
      <c r="U1239" s="1" t="s">
        <v>630</v>
      </c>
      <c r="V1239" s="1">
        <v>1</v>
      </c>
      <c r="W1239" s="3">
        <v>7200</v>
      </c>
      <c r="X1239" s="3">
        <v>7200</v>
      </c>
      <c r="Y1239" s="1" t="str">
        <f>VLOOKUP(A1239,[1]Detalle!$D$2:$CR$484,93,FALSE)</f>
        <v>Expreso - Servicios Troncales</v>
      </c>
    </row>
    <row r="1240" spans="1:25" ht="14.25" customHeight="1" x14ac:dyDescent="0.3">
      <c r="A1240" s="1" t="s">
        <v>685</v>
      </c>
      <c r="B1240" s="1" t="s">
        <v>623</v>
      </c>
      <c r="C1240" s="1" t="s">
        <v>623</v>
      </c>
      <c r="D1240" s="1" t="s">
        <v>624</v>
      </c>
      <c r="E1240" s="1" t="s">
        <v>337</v>
      </c>
      <c r="N1240" s="7">
        <v>45947</v>
      </c>
      <c r="O1240" s="1">
        <v>365</v>
      </c>
      <c r="P1240" s="7">
        <v>46312</v>
      </c>
      <c r="Q1240" s="1" t="s">
        <v>330</v>
      </c>
      <c r="T1240" s="1" t="s">
        <v>631</v>
      </c>
      <c r="U1240" s="1" t="s">
        <v>632</v>
      </c>
      <c r="V1240" s="1">
        <v>1</v>
      </c>
      <c r="W1240" s="3">
        <v>7286.36</v>
      </c>
      <c r="X1240" s="3">
        <v>7286.36</v>
      </c>
      <c r="Y1240" s="1" t="str">
        <f>VLOOKUP(A1240,[1]Detalle!$D$2:$CR$484,93,FALSE)</f>
        <v>Expreso - Servicios Troncales</v>
      </c>
    </row>
    <row r="1241" spans="1:25" ht="14.25" customHeight="1" x14ac:dyDescent="0.3">
      <c r="A1241" s="1" t="s">
        <v>685</v>
      </c>
      <c r="B1241" s="1" t="s">
        <v>623</v>
      </c>
      <c r="C1241" s="1" t="s">
        <v>623</v>
      </c>
      <c r="D1241" s="1" t="s">
        <v>624</v>
      </c>
      <c r="E1241" s="1" t="s">
        <v>337</v>
      </c>
      <c r="N1241" s="7">
        <v>45947</v>
      </c>
      <c r="O1241" s="1">
        <v>365</v>
      </c>
      <c r="P1241" s="7">
        <v>46312</v>
      </c>
      <c r="Q1241" s="1" t="s">
        <v>330</v>
      </c>
      <c r="T1241" s="1" t="s">
        <v>633</v>
      </c>
      <c r="U1241" s="1" t="s">
        <v>634</v>
      </c>
      <c r="V1241" s="1">
        <v>4</v>
      </c>
      <c r="W1241" s="3">
        <v>153102.49</v>
      </c>
      <c r="X1241" s="3">
        <v>612409.96</v>
      </c>
      <c r="Y1241" s="1" t="str">
        <f>VLOOKUP(A1241,[1]Detalle!$D$2:$CR$484,93,FALSE)</f>
        <v>Expreso - Servicios Troncales</v>
      </c>
    </row>
    <row r="1242" spans="1:25" ht="14.25" customHeight="1" x14ac:dyDescent="0.3">
      <c r="A1242" s="1" t="s">
        <v>686</v>
      </c>
      <c r="B1242" s="1" t="s">
        <v>623</v>
      </c>
      <c r="C1242" s="1" t="s">
        <v>623</v>
      </c>
      <c r="D1242" s="1" t="s">
        <v>624</v>
      </c>
      <c r="E1242" s="1" t="s">
        <v>337</v>
      </c>
      <c r="N1242" s="7">
        <v>45947</v>
      </c>
      <c r="O1242" s="1">
        <v>365</v>
      </c>
      <c r="P1242" s="7">
        <v>46312</v>
      </c>
      <c r="Q1242" s="1" t="s">
        <v>330</v>
      </c>
      <c r="T1242" s="1" t="s">
        <v>625</v>
      </c>
      <c r="U1242" s="1" t="s">
        <v>626</v>
      </c>
      <c r="V1242" s="1">
        <v>1</v>
      </c>
      <c r="W1242" s="3">
        <v>57923.55</v>
      </c>
      <c r="X1242" s="3">
        <v>57923.55</v>
      </c>
      <c r="Y1242" s="1" t="str">
        <f>VLOOKUP(A1242,[1]Detalle!$D$2:$CR$484,93,FALSE)</f>
        <v>Expreso - Servicios Troncales</v>
      </c>
    </row>
    <row r="1243" spans="1:25" ht="14.25" customHeight="1" x14ac:dyDescent="0.3">
      <c r="A1243" s="1" t="s">
        <v>686</v>
      </c>
      <c r="B1243" s="1" t="s">
        <v>623</v>
      </c>
      <c r="C1243" s="1" t="s">
        <v>623</v>
      </c>
      <c r="D1243" s="1" t="s">
        <v>624</v>
      </c>
      <c r="E1243" s="1" t="s">
        <v>337</v>
      </c>
      <c r="N1243" s="7">
        <v>45947</v>
      </c>
      <c r="O1243" s="1">
        <v>365</v>
      </c>
      <c r="P1243" s="7">
        <v>46312</v>
      </c>
      <c r="Q1243" s="1" t="s">
        <v>330</v>
      </c>
      <c r="T1243" s="1" t="s">
        <v>627</v>
      </c>
      <c r="U1243" s="1" t="s">
        <v>628</v>
      </c>
      <c r="V1243" s="1">
        <v>1</v>
      </c>
      <c r="W1243" s="3">
        <v>14370.83</v>
      </c>
      <c r="X1243" s="3">
        <v>14370.83</v>
      </c>
      <c r="Y1243" s="1" t="str">
        <f>VLOOKUP(A1243,[1]Detalle!$D$2:$CR$484,93,FALSE)</f>
        <v>Expreso - Servicios Troncales</v>
      </c>
    </row>
    <row r="1244" spans="1:25" ht="14.25" customHeight="1" x14ac:dyDescent="0.3">
      <c r="A1244" s="1" t="s">
        <v>686</v>
      </c>
      <c r="B1244" s="1" t="s">
        <v>623</v>
      </c>
      <c r="C1244" s="1" t="s">
        <v>623</v>
      </c>
      <c r="D1244" s="1" t="s">
        <v>624</v>
      </c>
      <c r="E1244" s="1" t="s">
        <v>337</v>
      </c>
      <c r="N1244" s="7">
        <v>45947</v>
      </c>
      <c r="O1244" s="1">
        <v>365</v>
      </c>
      <c r="P1244" s="7">
        <v>46312</v>
      </c>
      <c r="Q1244" s="1" t="s">
        <v>330</v>
      </c>
      <c r="T1244" s="1" t="s">
        <v>629</v>
      </c>
      <c r="U1244" s="1" t="s">
        <v>630</v>
      </c>
      <c r="V1244" s="1">
        <v>1</v>
      </c>
      <c r="W1244" s="3">
        <v>7200</v>
      </c>
      <c r="X1244" s="3">
        <v>7200</v>
      </c>
      <c r="Y1244" s="1" t="str">
        <f>VLOOKUP(A1244,[1]Detalle!$D$2:$CR$484,93,FALSE)</f>
        <v>Expreso - Servicios Troncales</v>
      </c>
    </row>
    <row r="1245" spans="1:25" ht="14.25" customHeight="1" x14ac:dyDescent="0.3">
      <c r="A1245" s="1" t="s">
        <v>686</v>
      </c>
      <c r="B1245" s="1" t="s">
        <v>623</v>
      </c>
      <c r="C1245" s="1" t="s">
        <v>623</v>
      </c>
      <c r="D1245" s="1" t="s">
        <v>624</v>
      </c>
      <c r="E1245" s="1" t="s">
        <v>337</v>
      </c>
      <c r="N1245" s="7">
        <v>45947</v>
      </c>
      <c r="O1245" s="1">
        <v>365</v>
      </c>
      <c r="P1245" s="7">
        <v>46312</v>
      </c>
      <c r="Q1245" s="1" t="s">
        <v>330</v>
      </c>
      <c r="T1245" s="1" t="s">
        <v>631</v>
      </c>
      <c r="U1245" s="1" t="s">
        <v>632</v>
      </c>
      <c r="V1245" s="1">
        <v>1</v>
      </c>
      <c r="W1245" s="3">
        <v>7286.36</v>
      </c>
      <c r="X1245" s="3">
        <v>7286.36</v>
      </c>
      <c r="Y1245" s="1" t="str">
        <f>VLOOKUP(A1245,[1]Detalle!$D$2:$CR$484,93,FALSE)</f>
        <v>Expreso - Servicios Troncales</v>
      </c>
    </row>
    <row r="1246" spans="1:25" ht="14.25" customHeight="1" x14ac:dyDescent="0.3">
      <c r="A1246" s="1" t="s">
        <v>686</v>
      </c>
      <c r="B1246" s="1" t="s">
        <v>623</v>
      </c>
      <c r="C1246" s="1" t="s">
        <v>623</v>
      </c>
      <c r="D1246" s="1" t="s">
        <v>624</v>
      </c>
      <c r="E1246" s="1" t="s">
        <v>337</v>
      </c>
      <c r="N1246" s="7">
        <v>45947</v>
      </c>
      <c r="O1246" s="1">
        <v>365</v>
      </c>
      <c r="P1246" s="7">
        <v>46312</v>
      </c>
      <c r="Q1246" s="1" t="s">
        <v>330</v>
      </c>
      <c r="T1246" s="1" t="s">
        <v>633</v>
      </c>
      <c r="U1246" s="1" t="s">
        <v>634</v>
      </c>
      <c r="V1246" s="1">
        <v>4</v>
      </c>
      <c r="W1246" s="3">
        <v>153102.49</v>
      </c>
      <c r="X1246" s="3">
        <v>612409.96</v>
      </c>
      <c r="Y1246" s="1" t="str">
        <f>VLOOKUP(A1246,[1]Detalle!$D$2:$CR$484,93,FALSE)</f>
        <v>Expreso - Servicios Troncales</v>
      </c>
    </row>
    <row r="1247" spans="1:25" ht="14.25" customHeight="1" x14ac:dyDescent="0.3">
      <c r="A1247" s="1" t="s">
        <v>687</v>
      </c>
      <c r="B1247" s="1" t="s">
        <v>623</v>
      </c>
      <c r="C1247" s="1" t="s">
        <v>623</v>
      </c>
      <c r="D1247" s="1" t="s">
        <v>624</v>
      </c>
      <c r="E1247" s="1" t="s">
        <v>337</v>
      </c>
      <c r="N1247" s="7">
        <v>45947</v>
      </c>
      <c r="O1247" s="1">
        <v>365</v>
      </c>
      <c r="P1247" s="7">
        <v>46312</v>
      </c>
      <c r="Q1247" s="1" t="s">
        <v>330</v>
      </c>
      <c r="T1247" s="1" t="s">
        <v>625</v>
      </c>
      <c r="U1247" s="1" t="s">
        <v>626</v>
      </c>
      <c r="V1247" s="1">
        <v>1</v>
      </c>
      <c r="W1247" s="3">
        <v>57923.55</v>
      </c>
      <c r="X1247" s="3">
        <v>57923.55</v>
      </c>
      <c r="Y1247" s="1" t="str">
        <f>VLOOKUP(A1247,[1]Detalle!$D$2:$CR$484,93,FALSE)</f>
        <v>Expreso - Servicios Troncales</v>
      </c>
    </row>
    <row r="1248" spans="1:25" ht="14.25" customHeight="1" x14ac:dyDescent="0.3">
      <c r="A1248" s="1" t="s">
        <v>687</v>
      </c>
      <c r="B1248" s="1" t="s">
        <v>623</v>
      </c>
      <c r="C1248" s="1" t="s">
        <v>623</v>
      </c>
      <c r="D1248" s="1" t="s">
        <v>624</v>
      </c>
      <c r="E1248" s="1" t="s">
        <v>337</v>
      </c>
      <c r="N1248" s="7">
        <v>45947</v>
      </c>
      <c r="O1248" s="1">
        <v>365</v>
      </c>
      <c r="P1248" s="7">
        <v>46312</v>
      </c>
      <c r="Q1248" s="1" t="s">
        <v>330</v>
      </c>
      <c r="T1248" s="1" t="s">
        <v>627</v>
      </c>
      <c r="U1248" s="1" t="s">
        <v>628</v>
      </c>
      <c r="V1248" s="1">
        <v>1</v>
      </c>
      <c r="W1248" s="3">
        <v>14370.83</v>
      </c>
      <c r="X1248" s="3">
        <v>14370.83</v>
      </c>
      <c r="Y1248" s="1" t="str">
        <f>VLOOKUP(A1248,[1]Detalle!$D$2:$CR$484,93,FALSE)</f>
        <v>Expreso - Servicios Troncales</v>
      </c>
    </row>
    <row r="1249" spans="1:25" ht="14.25" customHeight="1" x14ac:dyDescent="0.3">
      <c r="A1249" s="1" t="s">
        <v>687</v>
      </c>
      <c r="B1249" s="1" t="s">
        <v>623</v>
      </c>
      <c r="C1249" s="1" t="s">
        <v>623</v>
      </c>
      <c r="D1249" s="1" t="s">
        <v>624</v>
      </c>
      <c r="E1249" s="1" t="s">
        <v>337</v>
      </c>
      <c r="N1249" s="7">
        <v>45947</v>
      </c>
      <c r="O1249" s="1">
        <v>365</v>
      </c>
      <c r="P1249" s="7">
        <v>46312</v>
      </c>
      <c r="Q1249" s="1" t="s">
        <v>330</v>
      </c>
      <c r="T1249" s="1" t="s">
        <v>629</v>
      </c>
      <c r="U1249" s="1" t="s">
        <v>630</v>
      </c>
      <c r="V1249" s="1">
        <v>1</v>
      </c>
      <c r="W1249" s="3">
        <v>7200</v>
      </c>
      <c r="X1249" s="3">
        <v>7200</v>
      </c>
      <c r="Y1249" s="1" t="str">
        <f>VLOOKUP(A1249,[1]Detalle!$D$2:$CR$484,93,FALSE)</f>
        <v>Expreso - Servicios Troncales</v>
      </c>
    </row>
    <row r="1250" spans="1:25" ht="14.25" customHeight="1" x14ac:dyDescent="0.3">
      <c r="A1250" s="1" t="s">
        <v>687</v>
      </c>
      <c r="B1250" s="1" t="s">
        <v>623</v>
      </c>
      <c r="C1250" s="1" t="s">
        <v>623</v>
      </c>
      <c r="D1250" s="1" t="s">
        <v>624</v>
      </c>
      <c r="E1250" s="1" t="s">
        <v>337</v>
      </c>
      <c r="N1250" s="7">
        <v>45947</v>
      </c>
      <c r="O1250" s="1">
        <v>365</v>
      </c>
      <c r="P1250" s="7">
        <v>46312</v>
      </c>
      <c r="Q1250" s="1" t="s">
        <v>330</v>
      </c>
      <c r="T1250" s="1" t="s">
        <v>631</v>
      </c>
      <c r="U1250" s="1" t="s">
        <v>632</v>
      </c>
      <c r="V1250" s="1">
        <v>1</v>
      </c>
      <c r="W1250" s="3">
        <v>7286.36</v>
      </c>
      <c r="X1250" s="3">
        <v>7286.36</v>
      </c>
      <c r="Y1250" s="1" t="str">
        <f>VLOOKUP(A1250,[1]Detalle!$D$2:$CR$484,93,FALSE)</f>
        <v>Expreso - Servicios Troncales</v>
      </c>
    </row>
    <row r="1251" spans="1:25" ht="14.25" customHeight="1" x14ac:dyDescent="0.3">
      <c r="A1251" s="1" t="s">
        <v>687</v>
      </c>
      <c r="B1251" s="1" t="s">
        <v>623</v>
      </c>
      <c r="C1251" s="1" t="s">
        <v>623</v>
      </c>
      <c r="D1251" s="1" t="s">
        <v>624</v>
      </c>
      <c r="E1251" s="1" t="s">
        <v>337</v>
      </c>
      <c r="N1251" s="7">
        <v>45947</v>
      </c>
      <c r="O1251" s="1">
        <v>365</v>
      </c>
      <c r="P1251" s="7">
        <v>46312</v>
      </c>
      <c r="Q1251" s="1" t="s">
        <v>330</v>
      </c>
      <c r="T1251" s="1" t="s">
        <v>633</v>
      </c>
      <c r="U1251" s="1" t="s">
        <v>634</v>
      </c>
      <c r="V1251" s="1">
        <v>4</v>
      </c>
      <c r="W1251" s="3">
        <v>153102.49</v>
      </c>
      <c r="X1251" s="3">
        <v>612409.96</v>
      </c>
      <c r="Y1251" s="1" t="str">
        <f>VLOOKUP(A1251,[1]Detalle!$D$2:$CR$484,93,FALSE)</f>
        <v>Expreso - Servicios Troncales</v>
      </c>
    </row>
    <row r="1252" spans="1:25" ht="14.25" customHeight="1" x14ac:dyDescent="0.3">
      <c r="A1252" s="1" t="s">
        <v>688</v>
      </c>
      <c r="B1252" s="1" t="s">
        <v>623</v>
      </c>
      <c r="C1252" s="1" t="s">
        <v>623</v>
      </c>
      <c r="D1252" s="1" t="s">
        <v>624</v>
      </c>
      <c r="E1252" s="1" t="s">
        <v>337</v>
      </c>
      <c r="N1252" s="7">
        <v>45947</v>
      </c>
      <c r="O1252" s="1">
        <v>365</v>
      </c>
      <c r="P1252" s="7">
        <v>46312</v>
      </c>
      <c r="Q1252" s="1" t="s">
        <v>330</v>
      </c>
      <c r="T1252" s="1" t="s">
        <v>625</v>
      </c>
      <c r="U1252" s="1" t="s">
        <v>626</v>
      </c>
      <c r="V1252" s="1">
        <v>1</v>
      </c>
      <c r="W1252" s="3">
        <v>57923.55</v>
      </c>
      <c r="X1252" s="3">
        <v>57923.55</v>
      </c>
      <c r="Y1252" s="1" t="str">
        <f>VLOOKUP(A1252,[1]Detalle!$D$2:$CR$484,93,FALSE)</f>
        <v>Expreso - Servicios Troncales</v>
      </c>
    </row>
    <row r="1253" spans="1:25" ht="14.25" customHeight="1" x14ac:dyDescent="0.3">
      <c r="A1253" s="1" t="s">
        <v>688</v>
      </c>
      <c r="B1253" s="1" t="s">
        <v>623</v>
      </c>
      <c r="C1253" s="1" t="s">
        <v>623</v>
      </c>
      <c r="D1253" s="1" t="s">
        <v>624</v>
      </c>
      <c r="E1253" s="1" t="s">
        <v>337</v>
      </c>
      <c r="N1253" s="7">
        <v>45947</v>
      </c>
      <c r="O1253" s="1">
        <v>365</v>
      </c>
      <c r="P1253" s="7">
        <v>46312</v>
      </c>
      <c r="Q1253" s="1" t="s">
        <v>330</v>
      </c>
      <c r="T1253" s="1" t="s">
        <v>627</v>
      </c>
      <c r="U1253" s="1" t="s">
        <v>628</v>
      </c>
      <c r="V1253" s="1">
        <v>1</v>
      </c>
      <c r="W1253" s="3">
        <v>14370.83</v>
      </c>
      <c r="X1253" s="3">
        <v>14370.83</v>
      </c>
      <c r="Y1253" s="1" t="str">
        <f>VLOOKUP(A1253,[1]Detalle!$D$2:$CR$484,93,FALSE)</f>
        <v>Expreso - Servicios Troncales</v>
      </c>
    </row>
    <row r="1254" spans="1:25" ht="14.25" customHeight="1" x14ac:dyDescent="0.3">
      <c r="A1254" s="1" t="s">
        <v>688</v>
      </c>
      <c r="B1254" s="1" t="s">
        <v>623</v>
      </c>
      <c r="C1254" s="1" t="s">
        <v>623</v>
      </c>
      <c r="D1254" s="1" t="s">
        <v>624</v>
      </c>
      <c r="E1254" s="1" t="s">
        <v>337</v>
      </c>
      <c r="N1254" s="7">
        <v>45947</v>
      </c>
      <c r="O1254" s="1">
        <v>365</v>
      </c>
      <c r="P1254" s="7">
        <v>46312</v>
      </c>
      <c r="Q1254" s="1" t="s">
        <v>330</v>
      </c>
      <c r="T1254" s="1" t="s">
        <v>629</v>
      </c>
      <c r="U1254" s="1" t="s">
        <v>630</v>
      </c>
      <c r="V1254" s="1">
        <v>1</v>
      </c>
      <c r="W1254" s="3">
        <v>7200</v>
      </c>
      <c r="X1254" s="3">
        <v>7200</v>
      </c>
      <c r="Y1254" s="1" t="str">
        <f>VLOOKUP(A1254,[1]Detalle!$D$2:$CR$484,93,FALSE)</f>
        <v>Expreso - Servicios Troncales</v>
      </c>
    </row>
    <row r="1255" spans="1:25" ht="14.25" customHeight="1" x14ac:dyDescent="0.3">
      <c r="A1255" s="1" t="s">
        <v>688</v>
      </c>
      <c r="B1255" s="1" t="s">
        <v>623</v>
      </c>
      <c r="C1255" s="1" t="s">
        <v>623</v>
      </c>
      <c r="D1255" s="1" t="s">
        <v>624</v>
      </c>
      <c r="E1255" s="1" t="s">
        <v>337</v>
      </c>
      <c r="N1255" s="7">
        <v>45947</v>
      </c>
      <c r="O1255" s="1">
        <v>365</v>
      </c>
      <c r="P1255" s="7">
        <v>46312</v>
      </c>
      <c r="Q1255" s="1" t="s">
        <v>330</v>
      </c>
      <c r="T1255" s="1" t="s">
        <v>631</v>
      </c>
      <c r="U1255" s="1" t="s">
        <v>632</v>
      </c>
      <c r="V1255" s="1">
        <v>1</v>
      </c>
      <c r="W1255" s="3">
        <v>7286.36</v>
      </c>
      <c r="X1255" s="3">
        <v>7286.36</v>
      </c>
      <c r="Y1255" s="1" t="str">
        <f>VLOOKUP(A1255,[1]Detalle!$D$2:$CR$484,93,FALSE)</f>
        <v>Expreso - Servicios Troncales</v>
      </c>
    </row>
    <row r="1256" spans="1:25" ht="14.25" customHeight="1" x14ac:dyDescent="0.3">
      <c r="A1256" s="1" t="s">
        <v>688</v>
      </c>
      <c r="B1256" s="1" t="s">
        <v>623</v>
      </c>
      <c r="C1256" s="1" t="s">
        <v>623</v>
      </c>
      <c r="D1256" s="1" t="s">
        <v>624</v>
      </c>
      <c r="E1256" s="1" t="s">
        <v>337</v>
      </c>
      <c r="N1256" s="7">
        <v>45947</v>
      </c>
      <c r="O1256" s="1">
        <v>365</v>
      </c>
      <c r="P1256" s="7">
        <v>46312</v>
      </c>
      <c r="Q1256" s="1" t="s">
        <v>330</v>
      </c>
      <c r="T1256" s="1" t="s">
        <v>633</v>
      </c>
      <c r="U1256" s="1" t="s">
        <v>634</v>
      </c>
      <c r="V1256" s="1">
        <v>4</v>
      </c>
      <c r="W1256" s="3">
        <v>153102.49</v>
      </c>
      <c r="X1256" s="3">
        <v>612409.96</v>
      </c>
      <c r="Y1256" s="1" t="str">
        <f>VLOOKUP(A1256,[1]Detalle!$D$2:$CR$484,93,FALSE)</f>
        <v>Expreso - Servicios Troncales</v>
      </c>
    </row>
    <row r="1257" spans="1:25" ht="14.25" customHeight="1" x14ac:dyDescent="0.3">
      <c r="A1257" s="1" t="s">
        <v>689</v>
      </c>
      <c r="B1257" s="1" t="s">
        <v>623</v>
      </c>
      <c r="C1257" s="1" t="s">
        <v>623</v>
      </c>
      <c r="D1257" s="1" t="s">
        <v>624</v>
      </c>
      <c r="E1257" s="1" t="s">
        <v>337</v>
      </c>
      <c r="F1257" s="1">
        <v>0</v>
      </c>
      <c r="G1257" s="1">
        <v>365</v>
      </c>
      <c r="H1257" s="1">
        <v>5</v>
      </c>
      <c r="I1257" s="1">
        <v>365</v>
      </c>
      <c r="J1257" s="1">
        <v>5</v>
      </c>
      <c r="K1257" s="1">
        <v>3</v>
      </c>
      <c r="L1257" s="1">
        <v>1.666666666666667</v>
      </c>
      <c r="M1257" s="1">
        <v>219</v>
      </c>
      <c r="N1257" s="7">
        <v>45947</v>
      </c>
      <c r="O1257" s="1">
        <v>365</v>
      </c>
      <c r="P1257" s="7">
        <v>46312</v>
      </c>
      <c r="Q1257" s="1" t="s">
        <v>578</v>
      </c>
      <c r="T1257" s="1" t="s">
        <v>625</v>
      </c>
      <c r="U1257" s="1" t="s">
        <v>626</v>
      </c>
      <c r="V1257" s="1">
        <v>1</v>
      </c>
      <c r="W1257" s="3">
        <v>57923.55</v>
      </c>
      <c r="X1257" s="3">
        <v>57923.55</v>
      </c>
      <c r="Y1257" s="1" t="str">
        <f>VLOOKUP(A1257,[1]Detalle!$D$2:$CR$484,93,FALSE)</f>
        <v>INACTIVO</v>
      </c>
    </row>
    <row r="1258" spans="1:25" ht="14.25" customHeight="1" x14ac:dyDescent="0.3">
      <c r="A1258" s="1" t="s">
        <v>689</v>
      </c>
      <c r="B1258" s="1" t="s">
        <v>623</v>
      </c>
      <c r="C1258" s="1" t="s">
        <v>623</v>
      </c>
      <c r="D1258" s="1" t="s">
        <v>624</v>
      </c>
      <c r="E1258" s="1" t="s">
        <v>337</v>
      </c>
      <c r="F1258" s="1">
        <v>0</v>
      </c>
      <c r="G1258" s="1">
        <v>365</v>
      </c>
      <c r="H1258" s="1">
        <v>5</v>
      </c>
      <c r="I1258" s="1">
        <v>365</v>
      </c>
      <c r="J1258" s="1">
        <v>5</v>
      </c>
      <c r="K1258" s="1">
        <v>3</v>
      </c>
      <c r="L1258" s="1">
        <v>1.666666666666667</v>
      </c>
      <c r="M1258" s="1">
        <v>219</v>
      </c>
      <c r="N1258" s="7">
        <v>45947</v>
      </c>
      <c r="O1258" s="1">
        <v>365</v>
      </c>
      <c r="P1258" s="7">
        <v>46312</v>
      </c>
      <c r="Q1258" s="1" t="s">
        <v>578</v>
      </c>
      <c r="T1258" s="1" t="s">
        <v>627</v>
      </c>
      <c r="U1258" s="1" t="s">
        <v>628</v>
      </c>
      <c r="V1258" s="1">
        <v>1</v>
      </c>
      <c r="W1258" s="3">
        <v>14370.83</v>
      </c>
      <c r="X1258" s="3">
        <v>14370.83</v>
      </c>
      <c r="Y1258" s="1" t="str">
        <f>VLOOKUP(A1258,[1]Detalle!$D$2:$CR$484,93,FALSE)</f>
        <v>INACTIVO</v>
      </c>
    </row>
    <row r="1259" spans="1:25" ht="14.25" customHeight="1" x14ac:dyDescent="0.3">
      <c r="A1259" s="1" t="s">
        <v>689</v>
      </c>
      <c r="B1259" s="1" t="s">
        <v>623</v>
      </c>
      <c r="C1259" s="1" t="s">
        <v>623</v>
      </c>
      <c r="D1259" s="1" t="s">
        <v>624</v>
      </c>
      <c r="E1259" s="1" t="s">
        <v>337</v>
      </c>
      <c r="F1259" s="1">
        <v>0</v>
      </c>
      <c r="G1259" s="1">
        <v>365</v>
      </c>
      <c r="H1259" s="1">
        <v>5</v>
      </c>
      <c r="I1259" s="1">
        <v>365</v>
      </c>
      <c r="J1259" s="1">
        <v>5</v>
      </c>
      <c r="K1259" s="1">
        <v>3</v>
      </c>
      <c r="L1259" s="1">
        <v>1.666666666666667</v>
      </c>
      <c r="M1259" s="1">
        <v>219</v>
      </c>
      <c r="N1259" s="7">
        <v>45947</v>
      </c>
      <c r="O1259" s="1">
        <v>365</v>
      </c>
      <c r="P1259" s="7">
        <v>46312</v>
      </c>
      <c r="Q1259" s="1" t="s">
        <v>578</v>
      </c>
      <c r="T1259" s="1" t="s">
        <v>629</v>
      </c>
      <c r="U1259" s="1" t="s">
        <v>630</v>
      </c>
      <c r="V1259" s="1">
        <v>1</v>
      </c>
      <c r="W1259" s="3">
        <v>7200</v>
      </c>
      <c r="X1259" s="3">
        <v>7200</v>
      </c>
      <c r="Y1259" s="1" t="str">
        <f>VLOOKUP(A1259,[1]Detalle!$D$2:$CR$484,93,FALSE)</f>
        <v>INACTIVO</v>
      </c>
    </row>
    <row r="1260" spans="1:25" ht="14.25" customHeight="1" x14ac:dyDescent="0.3">
      <c r="A1260" s="1" t="s">
        <v>689</v>
      </c>
      <c r="B1260" s="1" t="s">
        <v>623</v>
      </c>
      <c r="C1260" s="1" t="s">
        <v>623</v>
      </c>
      <c r="D1260" s="1" t="s">
        <v>624</v>
      </c>
      <c r="E1260" s="1" t="s">
        <v>337</v>
      </c>
      <c r="F1260" s="1">
        <v>0</v>
      </c>
      <c r="G1260" s="1">
        <v>365</v>
      </c>
      <c r="H1260" s="1">
        <v>5</v>
      </c>
      <c r="I1260" s="1">
        <v>365</v>
      </c>
      <c r="J1260" s="1">
        <v>5</v>
      </c>
      <c r="K1260" s="1">
        <v>3</v>
      </c>
      <c r="L1260" s="1">
        <v>1.666666666666667</v>
      </c>
      <c r="M1260" s="1">
        <v>219</v>
      </c>
      <c r="N1260" s="7">
        <v>45947</v>
      </c>
      <c r="O1260" s="1">
        <v>365</v>
      </c>
      <c r="P1260" s="7">
        <v>46312</v>
      </c>
      <c r="Q1260" s="1" t="s">
        <v>578</v>
      </c>
      <c r="T1260" s="1" t="s">
        <v>631</v>
      </c>
      <c r="U1260" s="1" t="s">
        <v>632</v>
      </c>
      <c r="V1260" s="1">
        <v>1</v>
      </c>
      <c r="W1260" s="3">
        <v>7286.36</v>
      </c>
      <c r="X1260" s="3">
        <v>7286.36</v>
      </c>
      <c r="Y1260" s="1" t="str">
        <f>VLOOKUP(A1260,[1]Detalle!$D$2:$CR$484,93,FALSE)</f>
        <v>INACTIVO</v>
      </c>
    </row>
    <row r="1261" spans="1:25" ht="14.25" customHeight="1" x14ac:dyDescent="0.3">
      <c r="A1261" s="1" t="s">
        <v>689</v>
      </c>
      <c r="B1261" s="1" t="s">
        <v>623</v>
      </c>
      <c r="C1261" s="1" t="s">
        <v>623</v>
      </c>
      <c r="D1261" s="1" t="s">
        <v>624</v>
      </c>
      <c r="E1261" s="1" t="s">
        <v>337</v>
      </c>
      <c r="F1261" s="1">
        <v>0</v>
      </c>
      <c r="G1261" s="1">
        <v>365</v>
      </c>
      <c r="H1261" s="1">
        <v>5</v>
      </c>
      <c r="I1261" s="1">
        <v>365</v>
      </c>
      <c r="J1261" s="1">
        <v>5</v>
      </c>
      <c r="K1261" s="1">
        <v>3</v>
      </c>
      <c r="L1261" s="1">
        <v>1.666666666666667</v>
      </c>
      <c r="M1261" s="1">
        <v>219</v>
      </c>
      <c r="N1261" s="7">
        <v>45947</v>
      </c>
      <c r="O1261" s="1">
        <v>365</v>
      </c>
      <c r="P1261" s="7">
        <v>46312</v>
      </c>
      <c r="Q1261" s="1" t="s">
        <v>578</v>
      </c>
      <c r="T1261" s="1" t="s">
        <v>633</v>
      </c>
      <c r="U1261" s="1" t="s">
        <v>634</v>
      </c>
      <c r="V1261" s="1">
        <v>4</v>
      </c>
      <c r="W1261" s="3">
        <v>153102.49</v>
      </c>
      <c r="X1261" s="3">
        <v>612409.96</v>
      </c>
      <c r="Y1261" s="1" t="str">
        <f>VLOOKUP(A1261,[1]Detalle!$D$2:$CR$484,93,FALSE)</f>
        <v>INACTIVO</v>
      </c>
    </row>
    <row r="1262" spans="1:25" ht="14.25" customHeight="1" x14ac:dyDescent="0.3">
      <c r="A1262" s="1" t="s">
        <v>690</v>
      </c>
      <c r="B1262" s="1" t="s">
        <v>623</v>
      </c>
      <c r="C1262" s="1" t="s">
        <v>623</v>
      </c>
      <c r="D1262" s="1" t="s">
        <v>624</v>
      </c>
      <c r="E1262" s="1" t="s">
        <v>337</v>
      </c>
      <c r="F1262" s="1">
        <v>0</v>
      </c>
      <c r="G1262" s="1">
        <v>365</v>
      </c>
      <c r="H1262" s="1">
        <v>5</v>
      </c>
      <c r="I1262" s="1">
        <v>365</v>
      </c>
      <c r="J1262" s="1">
        <v>5</v>
      </c>
      <c r="K1262" s="1">
        <v>3</v>
      </c>
      <c r="L1262" s="1">
        <v>1.666666666666667</v>
      </c>
      <c r="M1262" s="1">
        <v>219</v>
      </c>
      <c r="N1262" s="7">
        <v>45947</v>
      </c>
      <c r="O1262" s="1">
        <v>365</v>
      </c>
      <c r="P1262" s="7">
        <v>46312</v>
      </c>
      <c r="Q1262" s="1" t="s">
        <v>578</v>
      </c>
      <c r="T1262" s="1" t="s">
        <v>625</v>
      </c>
      <c r="U1262" s="1" t="s">
        <v>626</v>
      </c>
      <c r="V1262" s="1">
        <v>1</v>
      </c>
      <c r="W1262" s="3">
        <v>57923.55</v>
      </c>
      <c r="X1262" s="3">
        <v>57923.55</v>
      </c>
      <c r="Y1262" s="1" t="str">
        <f>VLOOKUP(A1262,[1]Detalle!$D$2:$CR$484,93,FALSE)</f>
        <v>INACTIVO</v>
      </c>
    </row>
    <row r="1263" spans="1:25" ht="14.25" customHeight="1" x14ac:dyDescent="0.3">
      <c r="A1263" s="1" t="s">
        <v>690</v>
      </c>
      <c r="B1263" s="1" t="s">
        <v>623</v>
      </c>
      <c r="C1263" s="1" t="s">
        <v>623</v>
      </c>
      <c r="D1263" s="1" t="s">
        <v>624</v>
      </c>
      <c r="E1263" s="1" t="s">
        <v>337</v>
      </c>
      <c r="F1263" s="1">
        <v>0</v>
      </c>
      <c r="G1263" s="1">
        <v>365</v>
      </c>
      <c r="H1263" s="1">
        <v>5</v>
      </c>
      <c r="I1263" s="1">
        <v>365</v>
      </c>
      <c r="J1263" s="1">
        <v>5</v>
      </c>
      <c r="K1263" s="1">
        <v>3</v>
      </c>
      <c r="L1263" s="1">
        <v>1.666666666666667</v>
      </c>
      <c r="M1263" s="1">
        <v>219</v>
      </c>
      <c r="N1263" s="7">
        <v>45947</v>
      </c>
      <c r="O1263" s="1">
        <v>365</v>
      </c>
      <c r="P1263" s="7">
        <v>46312</v>
      </c>
      <c r="Q1263" s="1" t="s">
        <v>578</v>
      </c>
      <c r="T1263" s="1" t="s">
        <v>627</v>
      </c>
      <c r="U1263" s="1" t="s">
        <v>628</v>
      </c>
      <c r="V1263" s="1">
        <v>1</v>
      </c>
      <c r="W1263" s="3">
        <v>14370.83</v>
      </c>
      <c r="X1263" s="3">
        <v>14370.83</v>
      </c>
      <c r="Y1263" s="1" t="str">
        <f>VLOOKUP(A1263,[1]Detalle!$D$2:$CR$484,93,FALSE)</f>
        <v>INACTIVO</v>
      </c>
    </row>
    <row r="1264" spans="1:25" ht="14.25" customHeight="1" x14ac:dyDescent="0.3">
      <c r="A1264" s="1" t="s">
        <v>690</v>
      </c>
      <c r="B1264" s="1" t="s">
        <v>623</v>
      </c>
      <c r="C1264" s="1" t="s">
        <v>623</v>
      </c>
      <c r="D1264" s="1" t="s">
        <v>624</v>
      </c>
      <c r="E1264" s="1" t="s">
        <v>337</v>
      </c>
      <c r="F1264" s="1">
        <v>0</v>
      </c>
      <c r="G1264" s="1">
        <v>365</v>
      </c>
      <c r="H1264" s="1">
        <v>5</v>
      </c>
      <c r="I1264" s="1">
        <v>365</v>
      </c>
      <c r="J1264" s="1">
        <v>5</v>
      </c>
      <c r="K1264" s="1">
        <v>3</v>
      </c>
      <c r="L1264" s="1">
        <v>1.666666666666667</v>
      </c>
      <c r="M1264" s="1">
        <v>219</v>
      </c>
      <c r="N1264" s="7">
        <v>45947</v>
      </c>
      <c r="O1264" s="1">
        <v>365</v>
      </c>
      <c r="P1264" s="7">
        <v>46312</v>
      </c>
      <c r="Q1264" s="1" t="s">
        <v>578</v>
      </c>
      <c r="T1264" s="1" t="s">
        <v>629</v>
      </c>
      <c r="U1264" s="1" t="s">
        <v>630</v>
      </c>
      <c r="V1264" s="1">
        <v>1</v>
      </c>
      <c r="W1264" s="3">
        <v>7200</v>
      </c>
      <c r="X1264" s="3">
        <v>7200</v>
      </c>
      <c r="Y1264" s="1" t="str">
        <f>VLOOKUP(A1264,[1]Detalle!$D$2:$CR$484,93,FALSE)</f>
        <v>INACTIVO</v>
      </c>
    </row>
    <row r="1265" spans="1:25" ht="14.25" customHeight="1" x14ac:dyDescent="0.3">
      <c r="A1265" s="1" t="s">
        <v>690</v>
      </c>
      <c r="B1265" s="1" t="s">
        <v>623</v>
      </c>
      <c r="C1265" s="1" t="s">
        <v>623</v>
      </c>
      <c r="D1265" s="1" t="s">
        <v>624</v>
      </c>
      <c r="E1265" s="1" t="s">
        <v>337</v>
      </c>
      <c r="F1265" s="1">
        <v>0</v>
      </c>
      <c r="G1265" s="1">
        <v>365</v>
      </c>
      <c r="H1265" s="1">
        <v>5</v>
      </c>
      <c r="I1265" s="1">
        <v>365</v>
      </c>
      <c r="J1265" s="1">
        <v>5</v>
      </c>
      <c r="K1265" s="1">
        <v>3</v>
      </c>
      <c r="L1265" s="1">
        <v>1.666666666666667</v>
      </c>
      <c r="M1265" s="1">
        <v>219</v>
      </c>
      <c r="N1265" s="7">
        <v>45947</v>
      </c>
      <c r="O1265" s="1">
        <v>365</v>
      </c>
      <c r="P1265" s="7">
        <v>46312</v>
      </c>
      <c r="Q1265" s="1" t="s">
        <v>578</v>
      </c>
      <c r="T1265" s="1" t="s">
        <v>631</v>
      </c>
      <c r="U1265" s="1" t="s">
        <v>632</v>
      </c>
      <c r="V1265" s="1">
        <v>1</v>
      </c>
      <c r="W1265" s="3">
        <v>7286.36</v>
      </c>
      <c r="X1265" s="3">
        <v>7286.36</v>
      </c>
      <c r="Y1265" s="1" t="str">
        <f>VLOOKUP(A1265,[1]Detalle!$D$2:$CR$484,93,FALSE)</f>
        <v>INACTIVO</v>
      </c>
    </row>
    <row r="1266" spans="1:25" ht="14.25" customHeight="1" x14ac:dyDescent="0.3">
      <c r="A1266" s="1" t="s">
        <v>690</v>
      </c>
      <c r="B1266" s="1" t="s">
        <v>623</v>
      </c>
      <c r="C1266" s="1" t="s">
        <v>623</v>
      </c>
      <c r="D1266" s="1" t="s">
        <v>624</v>
      </c>
      <c r="E1266" s="1" t="s">
        <v>337</v>
      </c>
      <c r="F1266" s="1">
        <v>0</v>
      </c>
      <c r="G1266" s="1">
        <v>365</v>
      </c>
      <c r="H1266" s="1">
        <v>5</v>
      </c>
      <c r="I1266" s="1">
        <v>365</v>
      </c>
      <c r="J1266" s="1">
        <v>5</v>
      </c>
      <c r="K1266" s="1">
        <v>3</v>
      </c>
      <c r="L1266" s="1">
        <v>1.666666666666667</v>
      </c>
      <c r="M1266" s="1">
        <v>219</v>
      </c>
      <c r="N1266" s="7">
        <v>45947</v>
      </c>
      <c r="O1266" s="1">
        <v>365</v>
      </c>
      <c r="P1266" s="7">
        <v>46312</v>
      </c>
      <c r="Q1266" s="1" t="s">
        <v>578</v>
      </c>
      <c r="T1266" s="1" t="s">
        <v>633</v>
      </c>
      <c r="U1266" s="1" t="s">
        <v>634</v>
      </c>
      <c r="V1266" s="1">
        <v>4</v>
      </c>
      <c r="W1266" s="3">
        <v>153102.49</v>
      </c>
      <c r="X1266" s="3">
        <v>612409.96</v>
      </c>
      <c r="Y1266" s="1" t="str">
        <f>VLOOKUP(A1266,[1]Detalle!$D$2:$CR$484,93,FALSE)</f>
        <v>INACTIVO</v>
      </c>
    </row>
    <row r="1267" spans="1:25" ht="14.25" customHeight="1" x14ac:dyDescent="0.3">
      <c r="A1267" s="1" t="s">
        <v>691</v>
      </c>
      <c r="B1267" s="1" t="s">
        <v>623</v>
      </c>
      <c r="C1267" s="1" t="s">
        <v>623</v>
      </c>
      <c r="D1267" s="1" t="s">
        <v>624</v>
      </c>
      <c r="E1267" s="1" t="s">
        <v>337</v>
      </c>
      <c r="F1267" s="1">
        <v>0</v>
      </c>
      <c r="G1267" s="1">
        <v>365</v>
      </c>
      <c r="H1267" s="1">
        <v>5</v>
      </c>
      <c r="I1267" s="1">
        <v>365</v>
      </c>
      <c r="J1267" s="1">
        <v>5</v>
      </c>
      <c r="K1267" s="1">
        <v>3</v>
      </c>
      <c r="L1267" s="1">
        <v>1.666666666666667</v>
      </c>
      <c r="M1267" s="1">
        <v>219</v>
      </c>
      <c r="N1267" s="7">
        <v>45947</v>
      </c>
      <c r="O1267" s="1">
        <v>365</v>
      </c>
      <c r="P1267" s="7">
        <v>46312</v>
      </c>
      <c r="Q1267" s="1" t="s">
        <v>578</v>
      </c>
      <c r="T1267" s="1" t="s">
        <v>625</v>
      </c>
      <c r="U1267" s="1" t="s">
        <v>626</v>
      </c>
      <c r="V1267" s="1">
        <v>1</v>
      </c>
      <c r="W1267" s="3">
        <v>57923.55</v>
      </c>
      <c r="X1267" s="3">
        <v>57923.55</v>
      </c>
      <c r="Y1267" s="1" t="str">
        <f>VLOOKUP(A1267,[1]Detalle!$D$2:$CR$484,93,FALSE)</f>
        <v>INACTIVO</v>
      </c>
    </row>
    <row r="1268" spans="1:25" ht="14.25" customHeight="1" x14ac:dyDescent="0.3">
      <c r="A1268" s="1" t="s">
        <v>691</v>
      </c>
      <c r="B1268" s="1" t="s">
        <v>623</v>
      </c>
      <c r="C1268" s="1" t="s">
        <v>623</v>
      </c>
      <c r="D1268" s="1" t="s">
        <v>624</v>
      </c>
      <c r="E1268" s="1" t="s">
        <v>337</v>
      </c>
      <c r="F1268" s="1">
        <v>0</v>
      </c>
      <c r="G1268" s="1">
        <v>365</v>
      </c>
      <c r="H1268" s="1">
        <v>5</v>
      </c>
      <c r="I1268" s="1">
        <v>365</v>
      </c>
      <c r="J1268" s="1">
        <v>5</v>
      </c>
      <c r="K1268" s="1">
        <v>3</v>
      </c>
      <c r="L1268" s="1">
        <v>1.666666666666667</v>
      </c>
      <c r="M1268" s="1">
        <v>219</v>
      </c>
      <c r="N1268" s="7">
        <v>45947</v>
      </c>
      <c r="O1268" s="1">
        <v>365</v>
      </c>
      <c r="P1268" s="7">
        <v>46312</v>
      </c>
      <c r="Q1268" s="1" t="s">
        <v>578</v>
      </c>
      <c r="T1268" s="1" t="s">
        <v>627</v>
      </c>
      <c r="U1268" s="1" t="s">
        <v>628</v>
      </c>
      <c r="V1268" s="1">
        <v>1</v>
      </c>
      <c r="W1268" s="3">
        <v>14370.83</v>
      </c>
      <c r="X1268" s="3">
        <v>14370.83</v>
      </c>
      <c r="Y1268" s="1" t="str">
        <f>VLOOKUP(A1268,[1]Detalle!$D$2:$CR$484,93,FALSE)</f>
        <v>INACTIVO</v>
      </c>
    </row>
    <row r="1269" spans="1:25" ht="14.25" customHeight="1" x14ac:dyDescent="0.3">
      <c r="A1269" s="1" t="s">
        <v>691</v>
      </c>
      <c r="B1269" s="1" t="s">
        <v>623</v>
      </c>
      <c r="C1269" s="1" t="s">
        <v>623</v>
      </c>
      <c r="D1269" s="1" t="s">
        <v>624</v>
      </c>
      <c r="E1269" s="1" t="s">
        <v>337</v>
      </c>
      <c r="F1269" s="1">
        <v>0</v>
      </c>
      <c r="G1269" s="1">
        <v>365</v>
      </c>
      <c r="H1269" s="1">
        <v>5</v>
      </c>
      <c r="I1269" s="1">
        <v>365</v>
      </c>
      <c r="J1269" s="1">
        <v>5</v>
      </c>
      <c r="K1269" s="1">
        <v>3</v>
      </c>
      <c r="L1269" s="1">
        <v>1.666666666666667</v>
      </c>
      <c r="M1269" s="1">
        <v>219</v>
      </c>
      <c r="N1269" s="7">
        <v>45947</v>
      </c>
      <c r="O1269" s="1">
        <v>365</v>
      </c>
      <c r="P1269" s="7">
        <v>46312</v>
      </c>
      <c r="Q1269" s="1" t="s">
        <v>578</v>
      </c>
      <c r="T1269" s="1" t="s">
        <v>629</v>
      </c>
      <c r="U1269" s="1" t="s">
        <v>630</v>
      </c>
      <c r="V1269" s="1">
        <v>1</v>
      </c>
      <c r="W1269" s="3">
        <v>7200</v>
      </c>
      <c r="X1269" s="3">
        <v>7200</v>
      </c>
      <c r="Y1269" s="1" t="str">
        <f>VLOOKUP(A1269,[1]Detalle!$D$2:$CR$484,93,FALSE)</f>
        <v>INACTIVO</v>
      </c>
    </row>
    <row r="1270" spans="1:25" ht="14.25" customHeight="1" x14ac:dyDescent="0.3">
      <c r="A1270" s="1" t="s">
        <v>691</v>
      </c>
      <c r="B1270" s="1" t="s">
        <v>623</v>
      </c>
      <c r="C1270" s="1" t="s">
        <v>623</v>
      </c>
      <c r="D1270" s="1" t="s">
        <v>624</v>
      </c>
      <c r="E1270" s="1" t="s">
        <v>337</v>
      </c>
      <c r="F1270" s="1">
        <v>0</v>
      </c>
      <c r="G1270" s="1">
        <v>365</v>
      </c>
      <c r="H1270" s="1">
        <v>5</v>
      </c>
      <c r="I1270" s="1">
        <v>365</v>
      </c>
      <c r="J1270" s="1">
        <v>5</v>
      </c>
      <c r="K1270" s="1">
        <v>3</v>
      </c>
      <c r="L1270" s="1">
        <v>1.666666666666667</v>
      </c>
      <c r="M1270" s="1">
        <v>219</v>
      </c>
      <c r="N1270" s="7">
        <v>45947</v>
      </c>
      <c r="O1270" s="1">
        <v>365</v>
      </c>
      <c r="P1270" s="7">
        <v>46312</v>
      </c>
      <c r="Q1270" s="1" t="s">
        <v>578</v>
      </c>
      <c r="T1270" s="1" t="s">
        <v>631</v>
      </c>
      <c r="U1270" s="1" t="s">
        <v>632</v>
      </c>
      <c r="V1270" s="1">
        <v>1</v>
      </c>
      <c r="W1270" s="3">
        <v>7286.36</v>
      </c>
      <c r="X1270" s="3">
        <v>7286.36</v>
      </c>
      <c r="Y1270" s="1" t="str">
        <f>VLOOKUP(A1270,[1]Detalle!$D$2:$CR$484,93,FALSE)</f>
        <v>INACTIVO</v>
      </c>
    </row>
    <row r="1271" spans="1:25" ht="14.25" customHeight="1" x14ac:dyDescent="0.3">
      <c r="A1271" s="1" t="s">
        <v>691</v>
      </c>
      <c r="B1271" s="1" t="s">
        <v>623</v>
      </c>
      <c r="C1271" s="1" t="s">
        <v>623</v>
      </c>
      <c r="D1271" s="1" t="s">
        <v>624</v>
      </c>
      <c r="E1271" s="1" t="s">
        <v>337</v>
      </c>
      <c r="F1271" s="1">
        <v>0</v>
      </c>
      <c r="G1271" s="1">
        <v>365</v>
      </c>
      <c r="H1271" s="1">
        <v>5</v>
      </c>
      <c r="I1271" s="1">
        <v>365</v>
      </c>
      <c r="J1271" s="1">
        <v>5</v>
      </c>
      <c r="K1271" s="1">
        <v>3</v>
      </c>
      <c r="L1271" s="1">
        <v>1.666666666666667</v>
      </c>
      <c r="M1271" s="1">
        <v>219</v>
      </c>
      <c r="N1271" s="7">
        <v>45947</v>
      </c>
      <c r="O1271" s="1">
        <v>365</v>
      </c>
      <c r="P1271" s="7">
        <v>46312</v>
      </c>
      <c r="Q1271" s="1" t="s">
        <v>578</v>
      </c>
      <c r="T1271" s="1" t="s">
        <v>633</v>
      </c>
      <c r="U1271" s="1" t="s">
        <v>634</v>
      </c>
      <c r="V1271" s="1">
        <v>4</v>
      </c>
      <c r="W1271" s="3">
        <v>153102.49</v>
      </c>
      <c r="X1271" s="3">
        <v>612409.96</v>
      </c>
      <c r="Y1271" s="1" t="str">
        <f>VLOOKUP(A1271,[1]Detalle!$D$2:$CR$484,93,FALSE)</f>
        <v>INACTIVO</v>
      </c>
    </row>
    <row r="1272" spans="1:25" ht="14.25" customHeight="1" x14ac:dyDescent="0.3">
      <c r="A1272" s="1" t="s">
        <v>692</v>
      </c>
      <c r="B1272" s="1" t="s">
        <v>623</v>
      </c>
      <c r="C1272" s="1" t="s">
        <v>623</v>
      </c>
      <c r="D1272" s="1" t="s">
        <v>624</v>
      </c>
      <c r="E1272" s="1" t="s">
        <v>337</v>
      </c>
      <c r="F1272" s="1">
        <v>0</v>
      </c>
      <c r="G1272" s="1">
        <v>365</v>
      </c>
      <c r="H1272" s="1">
        <v>5</v>
      </c>
      <c r="I1272" s="1">
        <v>365</v>
      </c>
      <c r="J1272" s="1">
        <v>5</v>
      </c>
      <c r="K1272" s="1">
        <v>3</v>
      </c>
      <c r="L1272" s="1">
        <v>1.666666666666667</v>
      </c>
      <c r="M1272" s="1">
        <v>219</v>
      </c>
      <c r="N1272" s="7">
        <v>45947</v>
      </c>
      <c r="O1272" s="1">
        <v>365</v>
      </c>
      <c r="P1272" s="7">
        <v>46312</v>
      </c>
      <c r="Q1272" s="1" t="s">
        <v>578</v>
      </c>
      <c r="T1272" s="1" t="s">
        <v>625</v>
      </c>
      <c r="U1272" s="1" t="s">
        <v>626</v>
      </c>
      <c r="V1272" s="1">
        <v>1</v>
      </c>
      <c r="W1272" s="3">
        <v>57923.55</v>
      </c>
      <c r="X1272" s="3">
        <v>57923.55</v>
      </c>
      <c r="Y1272" s="1" t="str">
        <f>VLOOKUP(A1272,[1]Detalle!$D$2:$CR$484,93,FALSE)</f>
        <v>INACTIVO</v>
      </c>
    </row>
    <row r="1273" spans="1:25" ht="14.25" customHeight="1" x14ac:dyDescent="0.3">
      <c r="A1273" s="1" t="s">
        <v>692</v>
      </c>
      <c r="B1273" s="1" t="s">
        <v>623</v>
      </c>
      <c r="C1273" s="1" t="s">
        <v>623</v>
      </c>
      <c r="D1273" s="1" t="s">
        <v>624</v>
      </c>
      <c r="E1273" s="1" t="s">
        <v>337</v>
      </c>
      <c r="F1273" s="1">
        <v>0</v>
      </c>
      <c r="G1273" s="1">
        <v>365</v>
      </c>
      <c r="H1273" s="1">
        <v>5</v>
      </c>
      <c r="I1273" s="1">
        <v>365</v>
      </c>
      <c r="J1273" s="1">
        <v>5</v>
      </c>
      <c r="K1273" s="1">
        <v>3</v>
      </c>
      <c r="L1273" s="1">
        <v>1.666666666666667</v>
      </c>
      <c r="M1273" s="1">
        <v>219</v>
      </c>
      <c r="N1273" s="7">
        <v>45947</v>
      </c>
      <c r="O1273" s="1">
        <v>365</v>
      </c>
      <c r="P1273" s="7">
        <v>46312</v>
      </c>
      <c r="Q1273" s="1" t="s">
        <v>578</v>
      </c>
      <c r="T1273" s="1" t="s">
        <v>627</v>
      </c>
      <c r="U1273" s="1" t="s">
        <v>628</v>
      </c>
      <c r="V1273" s="1">
        <v>1</v>
      </c>
      <c r="W1273" s="3">
        <v>14370.83</v>
      </c>
      <c r="X1273" s="3">
        <v>14370.83</v>
      </c>
      <c r="Y1273" s="1" t="str">
        <f>VLOOKUP(A1273,[1]Detalle!$D$2:$CR$484,93,FALSE)</f>
        <v>INACTIVO</v>
      </c>
    </row>
    <row r="1274" spans="1:25" ht="14.25" customHeight="1" x14ac:dyDescent="0.3">
      <c r="A1274" s="1" t="s">
        <v>692</v>
      </c>
      <c r="B1274" s="1" t="s">
        <v>623</v>
      </c>
      <c r="C1274" s="1" t="s">
        <v>623</v>
      </c>
      <c r="D1274" s="1" t="s">
        <v>624</v>
      </c>
      <c r="E1274" s="1" t="s">
        <v>337</v>
      </c>
      <c r="F1274" s="1">
        <v>0</v>
      </c>
      <c r="G1274" s="1">
        <v>365</v>
      </c>
      <c r="H1274" s="1">
        <v>5</v>
      </c>
      <c r="I1274" s="1">
        <v>365</v>
      </c>
      <c r="J1274" s="1">
        <v>5</v>
      </c>
      <c r="K1274" s="1">
        <v>3</v>
      </c>
      <c r="L1274" s="1">
        <v>1.666666666666667</v>
      </c>
      <c r="M1274" s="1">
        <v>219</v>
      </c>
      <c r="N1274" s="7">
        <v>45947</v>
      </c>
      <c r="O1274" s="1">
        <v>365</v>
      </c>
      <c r="P1274" s="7">
        <v>46312</v>
      </c>
      <c r="Q1274" s="1" t="s">
        <v>578</v>
      </c>
      <c r="T1274" s="1" t="s">
        <v>629</v>
      </c>
      <c r="U1274" s="1" t="s">
        <v>630</v>
      </c>
      <c r="V1274" s="1">
        <v>1</v>
      </c>
      <c r="W1274" s="3">
        <v>7200</v>
      </c>
      <c r="X1274" s="3">
        <v>7200</v>
      </c>
      <c r="Y1274" s="1" t="str">
        <f>VLOOKUP(A1274,[1]Detalle!$D$2:$CR$484,93,FALSE)</f>
        <v>INACTIVO</v>
      </c>
    </row>
    <row r="1275" spans="1:25" ht="14.25" customHeight="1" x14ac:dyDescent="0.3">
      <c r="A1275" s="1" t="s">
        <v>692</v>
      </c>
      <c r="B1275" s="1" t="s">
        <v>623</v>
      </c>
      <c r="C1275" s="1" t="s">
        <v>623</v>
      </c>
      <c r="D1275" s="1" t="s">
        <v>624</v>
      </c>
      <c r="E1275" s="1" t="s">
        <v>337</v>
      </c>
      <c r="F1275" s="1">
        <v>0</v>
      </c>
      <c r="G1275" s="1">
        <v>365</v>
      </c>
      <c r="H1275" s="1">
        <v>5</v>
      </c>
      <c r="I1275" s="1">
        <v>365</v>
      </c>
      <c r="J1275" s="1">
        <v>5</v>
      </c>
      <c r="K1275" s="1">
        <v>3</v>
      </c>
      <c r="L1275" s="1">
        <v>1.666666666666667</v>
      </c>
      <c r="M1275" s="1">
        <v>219</v>
      </c>
      <c r="N1275" s="7">
        <v>45947</v>
      </c>
      <c r="O1275" s="1">
        <v>365</v>
      </c>
      <c r="P1275" s="7">
        <v>46312</v>
      </c>
      <c r="Q1275" s="1" t="s">
        <v>578</v>
      </c>
      <c r="T1275" s="1" t="s">
        <v>631</v>
      </c>
      <c r="U1275" s="1" t="s">
        <v>632</v>
      </c>
      <c r="V1275" s="1">
        <v>1</v>
      </c>
      <c r="W1275" s="3">
        <v>7286.36</v>
      </c>
      <c r="X1275" s="3">
        <v>7286.36</v>
      </c>
      <c r="Y1275" s="1" t="str">
        <f>VLOOKUP(A1275,[1]Detalle!$D$2:$CR$484,93,FALSE)</f>
        <v>INACTIVO</v>
      </c>
    </row>
    <row r="1276" spans="1:25" ht="14.25" customHeight="1" x14ac:dyDescent="0.3">
      <c r="A1276" s="1" t="s">
        <v>692</v>
      </c>
      <c r="B1276" s="1" t="s">
        <v>623</v>
      </c>
      <c r="C1276" s="1" t="s">
        <v>623</v>
      </c>
      <c r="D1276" s="1" t="s">
        <v>624</v>
      </c>
      <c r="E1276" s="1" t="s">
        <v>337</v>
      </c>
      <c r="F1276" s="1">
        <v>0</v>
      </c>
      <c r="G1276" s="1">
        <v>365</v>
      </c>
      <c r="H1276" s="1">
        <v>5</v>
      </c>
      <c r="I1276" s="1">
        <v>365</v>
      </c>
      <c r="J1276" s="1">
        <v>5</v>
      </c>
      <c r="K1276" s="1">
        <v>3</v>
      </c>
      <c r="L1276" s="1">
        <v>1.666666666666667</v>
      </c>
      <c r="M1276" s="1">
        <v>219</v>
      </c>
      <c r="N1276" s="7">
        <v>45947</v>
      </c>
      <c r="O1276" s="1">
        <v>365</v>
      </c>
      <c r="P1276" s="7">
        <v>46312</v>
      </c>
      <c r="Q1276" s="1" t="s">
        <v>578</v>
      </c>
      <c r="T1276" s="1" t="s">
        <v>633</v>
      </c>
      <c r="U1276" s="1" t="s">
        <v>634</v>
      </c>
      <c r="V1276" s="1">
        <v>4</v>
      </c>
      <c r="W1276" s="3">
        <v>153102.49</v>
      </c>
      <c r="X1276" s="3">
        <v>612409.96</v>
      </c>
      <c r="Y1276" s="1" t="str">
        <f>VLOOKUP(A1276,[1]Detalle!$D$2:$CR$484,93,FALSE)</f>
        <v>INACTIVO</v>
      </c>
    </row>
    <row r="1277" spans="1:25" ht="14.25" customHeight="1" x14ac:dyDescent="0.3">
      <c r="A1277" s="1" t="s">
        <v>693</v>
      </c>
      <c r="B1277" s="1" t="s">
        <v>623</v>
      </c>
      <c r="C1277" s="1" t="s">
        <v>623</v>
      </c>
      <c r="D1277" s="1" t="s">
        <v>624</v>
      </c>
      <c r="E1277" s="1" t="s">
        <v>337</v>
      </c>
      <c r="N1277" s="7">
        <v>45947</v>
      </c>
      <c r="O1277" s="1">
        <v>365</v>
      </c>
      <c r="P1277" s="7">
        <v>46312</v>
      </c>
      <c r="Q1277" s="1" t="s">
        <v>330</v>
      </c>
      <c r="T1277" s="1" t="s">
        <v>625</v>
      </c>
      <c r="U1277" s="1" t="s">
        <v>626</v>
      </c>
      <c r="V1277" s="1">
        <v>1</v>
      </c>
      <c r="W1277" s="3">
        <v>57923.55</v>
      </c>
      <c r="X1277" s="3">
        <v>57923.55</v>
      </c>
      <c r="Y1277" s="1" t="str">
        <f>VLOOKUP(A1277,[1]Detalle!$D$2:$CR$484,93,FALSE)</f>
        <v>Arcor S.A.I.C.</v>
      </c>
    </row>
    <row r="1278" spans="1:25" ht="14.25" customHeight="1" x14ac:dyDescent="0.3">
      <c r="A1278" s="1" t="s">
        <v>693</v>
      </c>
      <c r="B1278" s="1" t="s">
        <v>623</v>
      </c>
      <c r="C1278" s="1" t="s">
        <v>623</v>
      </c>
      <c r="D1278" s="1" t="s">
        <v>624</v>
      </c>
      <c r="E1278" s="1" t="s">
        <v>337</v>
      </c>
      <c r="N1278" s="7">
        <v>45947</v>
      </c>
      <c r="O1278" s="1">
        <v>365</v>
      </c>
      <c r="P1278" s="7">
        <v>46312</v>
      </c>
      <c r="Q1278" s="1" t="s">
        <v>330</v>
      </c>
      <c r="T1278" s="1" t="s">
        <v>627</v>
      </c>
      <c r="U1278" s="1" t="s">
        <v>628</v>
      </c>
      <c r="V1278" s="1">
        <v>1</v>
      </c>
      <c r="W1278" s="3">
        <v>14370.83</v>
      </c>
      <c r="X1278" s="3">
        <v>14370.83</v>
      </c>
      <c r="Y1278" s="1" t="str">
        <f>VLOOKUP(A1278,[1]Detalle!$D$2:$CR$484,93,FALSE)</f>
        <v>Arcor S.A.I.C.</v>
      </c>
    </row>
    <row r="1279" spans="1:25" ht="14.25" customHeight="1" x14ac:dyDescent="0.3">
      <c r="A1279" s="1" t="s">
        <v>693</v>
      </c>
      <c r="B1279" s="1" t="s">
        <v>623</v>
      </c>
      <c r="C1279" s="1" t="s">
        <v>623</v>
      </c>
      <c r="D1279" s="1" t="s">
        <v>624</v>
      </c>
      <c r="E1279" s="1" t="s">
        <v>337</v>
      </c>
      <c r="N1279" s="7">
        <v>45947</v>
      </c>
      <c r="O1279" s="1">
        <v>365</v>
      </c>
      <c r="P1279" s="7">
        <v>46312</v>
      </c>
      <c r="Q1279" s="1" t="s">
        <v>330</v>
      </c>
      <c r="T1279" s="1" t="s">
        <v>629</v>
      </c>
      <c r="U1279" s="1" t="s">
        <v>630</v>
      </c>
      <c r="V1279" s="1">
        <v>1</v>
      </c>
      <c r="W1279" s="3">
        <v>7200</v>
      </c>
      <c r="X1279" s="3">
        <v>7200</v>
      </c>
      <c r="Y1279" s="1" t="str">
        <f>VLOOKUP(A1279,[1]Detalle!$D$2:$CR$484,93,FALSE)</f>
        <v>Arcor S.A.I.C.</v>
      </c>
    </row>
    <row r="1280" spans="1:25" ht="14.25" customHeight="1" x14ac:dyDescent="0.3">
      <c r="A1280" s="1" t="s">
        <v>693</v>
      </c>
      <c r="B1280" s="1" t="s">
        <v>623</v>
      </c>
      <c r="C1280" s="1" t="s">
        <v>623</v>
      </c>
      <c r="D1280" s="1" t="s">
        <v>624</v>
      </c>
      <c r="E1280" s="1" t="s">
        <v>337</v>
      </c>
      <c r="N1280" s="7">
        <v>45947</v>
      </c>
      <c r="O1280" s="1">
        <v>365</v>
      </c>
      <c r="P1280" s="7">
        <v>46312</v>
      </c>
      <c r="Q1280" s="1" t="s">
        <v>330</v>
      </c>
      <c r="T1280" s="1" t="s">
        <v>631</v>
      </c>
      <c r="U1280" s="1" t="s">
        <v>632</v>
      </c>
      <c r="V1280" s="1">
        <v>1</v>
      </c>
      <c r="W1280" s="3">
        <v>7286.36</v>
      </c>
      <c r="X1280" s="3">
        <v>7286.36</v>
      </c>
      <c r="Y1280" s="1" t="str">
        <f>VLOOKUP(A1280,[1]Detalle!$D$2:$CR$484,93,FALSE)</f>
        <v>Arcor S.A.I.C.</v>
      </c>
    </row>
    <row r="1281" spans="1:25" ht="14.25" customHeight="1" x14ac:dyDescent="0.3">
      <c r="A1281" s="1" t="s">
        <v>693</v>
      </c>
      <c r="B1281" s="1" t="s">
        <v>623</v>
      </c>
      <c r="C1281" s="1" t="s">
        <v>623</v>
      </c>
      <c r="D1281" s="1" t="s">
        <v>624</v>
      </c>
      <c r="E1281" s="1" t="s">
        <v>337</v>
      </c>
      <c r="N1281" s="7">
        <v>45947</v>
      </c>
      <c r="O1281" s="1">
        <v>365</v>
      </c>
      <c r="P1281" s="7">
        <v>46312</v>
      </c>
      <c r="Q1281" s="1" t="s">
        <v>330</v>
      </c>
      <c r="T1281" s="1" t="s">
        <v>633</v>
      </c>
      <c r="U1281" s="1" t="s">
        <v>634</v>
      </c>
      <c r="V1281" s="1">
        <v>4</v>
      </c>
      <c r="W1281" s="3">
        <v>153102.49</v>
      </c>
      <c r="X1281" s="3">
        <v>612409.96</v>
      </c>
      <c r="Y1281" s="1" t="str">
        <f>VLOOKUP(A1281,[1]Detalle!$D$2:$CR$484,93,FALSE)</f>
        <v>Arcor S.A.I.C.</v>
      </c>
    </row>
    <row r="1282" spans="1:25" ht="14.25" customHeight="1" x14ac:dyDescent="0.3">
      <c r="A1282" s="1" t="s">
        <v>694</v>
      </c>
      <c r="B1282" s="1" t="s">
        <v>623</v>
      </c>
      <c r="C1282" s="1" t="s">
        <v>623</v>
      </c>
      <c r="D1282" s="1" t="s">
        <v>624</v>
      </c>
      <c r="E1282" s="1" t="s">
        <v>337</v>
      </c>
      <c r="N1282" s="7">
        <v>45947</v>
      </c>
      <c r="O1282" s="1">
        <v>365</v>
      </c>
      <c r="P1282" s="7">
        <v>46312</v>
      </c>
      <c r="Q1282" s="1" t="s">
        <v>330</v>
      </c>
      <c r="T1282" s="1" t="s">
        <v>625</v>
      </c>
      <c r="U1282" s="1" t="s">
        <v>626</v>
      </c>
      <c r="V1282" s="1">
        <v>1</v>
      </c>
      <c r="W1282" s="3">
        <v>57923.55</v>
      </c>
      <c r="X1282" s="3">
        <v>57923.55</v>
      </c>
      <c r="Y1282" s="1" t="str">
        <f>VLOOKUP(A1282,[1]Detalle!$D$2:$CR$484,93,FALSE)</f>
        <v>Arcor S.A.I.C.</v>
      </c>
    </row>
    <row r="1283" spans="1:25" ht="14.25" customHeight="1" x14ac:dyDescent="0.3">
      <c r="A1283" s="1" t="s">
        <v>694</v>
      </c>
      <c r="B1283" s="1" t="s">
        <v>623</v>
      </c>
      <c r="C1283" s="1" t="s">
        <v>623</v>
      </c>
      <c r="D1283" s="1" t="s">
        <v>624</v>
      </c>
      <c r="E1283" s="1" t="s">
        <v>337</v>
      </c>
      <c r="N1283" s="7">
        <v>45947</v>
      </c>
      <c r="O1283" s="1">
        <v>365</v>
      </c>
      <c r="P1283" s="7">
        <v>46312</v>
      </c>
      <c r="Q1283" s="1" t="s">
        <v>330</v>
      </c>
      <c r="T1283" s="1" t="s">
        <v>627</v>
      </c>
      <c r="U1283" s="1" t="s">
        <v>628</v>
      </c>
      <c r="V1283" s="1">
        <v>1</v>
      </c>
      <c r="W1283" s="3">
        <v>14370.83</v>
      </c>
      <c r="X1283" s="3">
        <v>14370.83</v>
      </c>
      <c r="Y1283" s="1" t="str">
        <f>VLOOKUP(A1283,[1]Detalle!$D$2:$CR$484,93,FALSE)</f>
        <v>Arcor S.A.I.C.</v>
      </c>
    </row>
    <row r="1284" spans="1:25" ht="14.25" customHeight="1" x14ac:dyDescent="0.3">
      <c r="A1284" s="1" t="s">
        <v>694</v>
      </c>
      <c r="B1284" s="1" t="s">
        <v>623</v>
      </c>
      <c r="C1284" s="1" t="s">
        <v>623</v>
      </c>
      <c r="D1284" s="1" t="s">
        <v>624</v>
      </c>
      <c r="E1284" s="1" t="s">
        <v>337</v>
      </c>
      <c r="N1284" s="7">
        <v>45947</v>
      </c>
      <c r="O1284" s="1">
        <v>365</v>
      </c>
      <c r="P1284" s="7">
        <v>46312</v>
      </c>
      <c r="Q1284" s="1" t="s">
        <v>330</v>
      </c>
      <c r="T1284" s="1" t="s">
        <v>629</v>
      </c>
      <c r="U1284" s="1" t="s">
        <v>630</v>
      </c>
      <c r="V1284" s="1">
        <v>1</v>
      </c>
      <c r="W1284" s="3">
        <v>7200</v>
      </c>
      <c r="X1284" s="3">
        <v>7200</v>
      </c>
      <c r="Y1284" s="1" t="str">
        <f>VLOOKUP(A1284,[1]Detalle!$D$2:$CR$484,93,FALSE)</f>
        <v>Arcor S.A.I.C.</v>
      </c>
    </row>
    <row r="1285" spans="1:25" ht="14.25" customHeight="1" x14ac:dyDescent="0.3">
      <c r="A1285" s="1" t="s">
        <v>694</v>
      </c>
      <c r="B1285" s="1" t="s">
        <v>623</v>
      </c>
      <c r="C1285" s="1" t="s">
        <v>623</v>
      </c>
      <c r="D1285" s="1" t="s">
        <v>624</v>
      </c>
      <c r="E1285" s="1" t="s">
        <v>337</v>
      </c>
      <c r="N1285" s="7">
        <v>45947</v>
      </c>
      <c r="O1285" s="1">
        <v>365</v>
      </c>
      <c r="P1285" s="7">
        <v>46312</v>
      </c>
      <c r="Q1285" s="1" t="s">
        <v>330</v>
      </c>
      <c r="T1285" s="1" t="s">
        <v>631</v>
      </c>
      <c r="U1285" s="1" t="s">
        <v>632</v>
      </c>
      <c r="V1285" s="1">
        <v>1</v>
      </c>
      <c r="W1285" s="3">
        <v>7286.36</v>
      </c>
      <c r="X1285" s="3">
        <v>7286.36</v>
      </c>
      <c r="Y1285" s="1" t="str">
        <f>VLOOKUP(A1285,[1]Detalle!$D$2:$CR$484,93,FALSE)</f>
        <v>Arcor S.A.I.C.</v>
      </c>
    </row>
    <row r="1286" spans="1:25" ht="14.25" customHeight="1" x14ac:dyDescent="0.3">
      <c r="A1286" s="1" t="s">
        <v>694</v>
      </c>
      <c r="B1286" s="1" t="s">
        <v>623</v>
      </c>
      <c r="C1286" s="1" t="s">
        <v>623</v>
      </c>
      <c r="D1286" s="1" t="s">
        <v>624</v>
      </c>
      <c r="E1286" s="1" t="s">
        <v>337</v>
      </c>
      <c r="N1286" s="7">
        <v>45947</v>
      </c>
      <c r="O1286" s="1">
        <v>365</v>
      </c>
      <c r="P1286" s="7">
        <v>46312</v>
      </c>
      <c r="Q1286" s="1" t="s">
        <v>330</v>
      </c>
      <c r="T1286" s="1" t="s">
        <v>633</v>
      </c>
      <c r="U1286" s="1" t="s">
        <v>634</v>
      </c>
      <c r="V1286" s="1">
        <v>4</v>
      </c>
      <c r="W1286" s="3">
        <v>153102.49</v>
      </c>
      <c r="X1286" s="3">
        <v>612409.96</v>
      </c>
      <c r="Y1286" s="1" t="str">
        <f>VLOOKUP(A1286,[1]Detalle!$D$2:$CR$484,93,FALSE)</f>
        <v>Arcor S.A.I.C.</v>
      </c>
    </row>
    <row r="1287" spans="1:25" ht="14.25" customHeight="1" x14ac:dyDescent="0.3">
      <c r="A1287" s="1" t="s">
        <v>695</v>
      </c>
      <c r="B1287" s="1" t="s">
        <v>623</v>
      </c>
      <c r="C1287" s="1" t="s">
        <v>623</v>
      </c>
      <c r="D1287" s="1" t="s">
        <v>624</v>
      </c>
      <c r="E1287" s="1" t="s">
        <v>337</v>
      </c>
      <c r="N1287" s="7">
        <v>45947</v>
      </c>
      <c r="O1287" s="1">
        <v>365</v>
      </c>
      <c r="P1287" s="7">
        <v>46312</v>
      </c>
      <c r="Q1287" s="1" t="s">
        <v>330</v>
      </c>
      <c r="T1287" s="1" t="s">
        <v>625</v>
      </c>
      <c r="U1287" s="1" t="s">
        <v>626</v>
      </c>
      <c r="V1287" s="1">
        <v>1</v>
      </c>
      <c r="W1287" s="3">
        <v>57923.55</v>
      </c>
      <c r="X1287" s="3">
        <v>57923.55</v>
      </c>
      <c r="Y1287" s="1" t="str">
        <f>VLOOKUP(A1287,[1]Detalle!$D$2:$CR$484,93,FALSE)</f>
        <v>Expreso - Servicios Troncales</v>
      </c>
    </row>
    <row r="1288" spans="1:25" ht="14.25" customHeight="1" x14ac:dyDescent="0.3">
      <c r="A1288" s="1" t="s">
        <v>695</v>
      </c>
      <c r="B1288" s="1" t="s">
        <v>623</v>
      </c>
      <c r="C1288" s="1" t="s">
        <v>623</v>
      </c>
      <c r="D1288" s="1" t="s">
        <v>624</v>
      </c>
      <c r="E1288" s="1" t="s">
        <v>337</v>
      </c>
      <c r="N1288" s="7">
        <v>45947</v>
      </c>
      <c r="O1288" s="1">
        <v>365</v>
      </c>
      <c r="P1288" s="7">
        <v>46312</v>
      </c>
      <c r="Q1288" s="1" t="s">
        <v>330</v>
      </c>
      <c r="T1288" s="1" t="s">
        <v>627</v>
      </c>
      <c r="U1288" s="1" t="s">
        <v>628</v>
      </c>
      <c r="V1288" s="1">
        <v>1</v>
      </c>
      <c r="W1288" s="3">
        <v>14370.83</v>
      </c>
      <c r="X1288" s="3">
        <v>14370.83</v>
      </c>
      <c r="Y1288" s="1" t="str">
        <f>VLOOKUP(A1288,[1]Detalle!$D$2:$CR$484,93,FALSE)</f>
        <v>Expreso - Servicios Troncales</v>
      </c>
    </row>
    <row r="1289" spans="1:25" ht="14.25" customHeight="1" x14ac:dyDescent="0.3">
      <c r="A1289" s="1" t="s">
        <v>695</v>
      </c>
      <c r="B1289" s="1" t="s">
        <v>623</v>
      </c>
      <c r="C1289" s="1" t="s">
        <v>623</v>
      </c>
      <c r="D1289" s="1" t="s">
        <v>624</v>
      </c>
      <c r="E1289" s="1" t="s">
        <v>337</v>
      </c>
      <c r="N1289" s="7">
        <v>45947</v>
      </c>
      <c r="O1289" s="1">
        <v>365</v>
      </c>
      <c r="P1289" s="7">
        <v>46312</v>
      </c>
      <c r="Q1289" s="1" t="s">
        <v>330</v>
      </c>
      <c r="T1289" s="1" t="s">
        <v>629</v>
      </c>
      <c r="U1289" s="1" t="s">
        <v>630</v>
      </c>
      <c r="V1289" s="1">
        <v>1</v>
      </c>
      <c r="W1289" s="3">
        <v>7200</v>
      </c>
      <c r="X1289" s="3">
        <v>7200</v>
      </c>
      <c r="Y1289" s="1" t="str">
        <f>VLOOKUP(A1289,[1]Detalle!$D$2:$CR$484,93,FALSE)</f>
        <v>Expreso - Servicios Troncales</v>
      </c>
    </row>
    <row r="1290" spans="1:25" ht="14.25" customHeight="1" x14ac:dyDescent="0.3">
      <c r="A1290" s="1" t="s">
        <v>695</v>
      </c>
      <c r="B1290" s="1" t="s">
        <v>623</v>
      </c>
      <c r="C1290" s="1" t="s">
        <v>623</v>
      </c>
      <c r="D1290" s="1" t="s">
        <v>624</v>
      </c>
      <c r="E1290" s="1" t="s">
        <v>337</v>
      </c>
      <c r="N1290" s="7">
        <v>45947</v>
      </c>
      <c r="O1290" s="1">
        <v>365</v>
      </c>
      <c r="P1290" s="7">
        <v>46312</v>
      </c>
      <c r="Q1290" s="1" t="s">
        <v>330</v>
      </c>
      <c r="T1290" s="1" t="s">
        <v>631</v>
      </c>
      <c r="U1290" s="1" t="s">
        <v>632</v>
      </c>
      <c r="V1290" s="1">
        <v>1</v>
      </c>
      <c r="W1290" s="3">
        <v>7286.36</v>
      </c>
      <c r="X1290" s="3">
        <v>7286.36</v>
      </c>
      <c r="Y1290" s="1" t="str">
        <f>VLOOKUP(A1290,[1]Detalle!$D$2:$CR$484,93,FALSE)</f>
        <v>Expreso - Servicios Troncales</v>
      </c>
    </row>
    <row r="1291" spans="1:25" ht="14.25" customHeight="1" x14ac:dyDescent="0.3">
      <c r="A1291" s="1" t="s">
        <v>695</v>
      </c>
      <c r="B1291" s="1" t="s">
        <v>623</v>
      </c>
      <c r="C1291" s="1" t="s">
        <v>623</v>
      </c>
      <c r="D1291" s="1" t="s">
        <v>624</v>
      </c>
      <c r="E1291" s="1" t="s">
        <v>337</v>
      </c>
      <c r="N1291" s="7">
        <v>45947</v>
      </c>
      <c r="O1291" s="1">
        <v>365</v>
      </c>
      <c r="P1291" s="7">
        <v>46312</v>
      </c>
      <c r="Q1291" s="1" t="s">
        <v>330</v>
      </c>
      <c r="T1291" s="1" t="s">
        <v>633</v>
      </c>
      <c r="U1291" s="1" t="s">
        <v>634</v>
      </c>
      <c r="V1291" s="1">
        <v>4</v>
      </c>
      <c r="W1291" s="3">
        <v>153102.49</v>
      </c>
      <c r="X1291" s="3">
        <v>612409.96</v>
      </c>
      <c r="Y1291" s="1" t="str">
        <f>VLOOKUP(A1291,[1]Detalle!$D$2:$CR$484,93,FALSE)</f>
        <v>Expreso - Servicios Troncales</v>
      </c>
    </row>
    <row r="1292" spans="1:25" ht="14.25" customHeight="1" x14ac:dyDescent="0.3">
      <c r="A1292" s="1" t="s">
        <v>696</v>
      </c>
      <c r="B1292" s="1" t="s">
        <v>623</v>
      </c>
      <c r="C1292" s="1" t="s">
        <v>623</v>
      </c>
      <c r="D1292" s="1" t="s">
        <v>624</v>
      </c>
      <c r="E1292" s="1" t="s">
        <v>337</v>
      </c>
      <c r="N1292" s="7">
        <v>45947</v>
      </c>
      <c r="O1292" s="1">
        <v>365</v>
      </c>
      <c r="P1292" s="7">
        <v>46312</v>
      </c>
      <c r="Q1292" s="1" t="s">
        <v>330</v>
      </c>
      <c r="T1292" s="1" t="s">
        <v>625</v>
      </c>
      <c r="U1292" s="1" t="s">
        <v>626</v>
      </c>
      <c r="V1292" s="1">
        <v>1</v>
      </c>
      <c r="W1292" s="3">
        <v>57923.55</v>
      </c>
      <c r="X1292" s="3">
        <v>57923.55</v>
      </c>
      <c r="Y1292" s="1" t="str">
        <f>VLOOKUP(A1292,[1]Detalle!$D$2:$CR$484,93,FALSE)</f>
        <v>Expreso - Servicios Troncales</v>
      </c>
    </row>
    <row r="1293" spans="1:25" ht="14.25" customHeight="1" x14ac:dyDescent="0.3">
      <c r="A1293" s="1" t="s">
        <v>696</v>
      </c>
      <c r="B1293" s="1" t="s">
        <v>623</v>
      </c>
      <c r="C1293" s="1" t="s">
        <v>623</v>
      </c>
      <c r="D1293" s="1" t="s">
        <v>624</v>
      </c>
      <c r="E1293" s="1" t="s">
        <v>337</v>
      </c>
      <c r="N1293" s="7">
        <v>45947</v>
      </c>
      <c r="O1293" s="1">
        <v>365</v>
      </c>
      <c r="P1293" s="7">
        <v>46312</v>
      </c>
      <c r="Q1293" s="1" t="s">
        <v>330</v>
      </c>
      <c r="T1293" s="1" t="s">
        <v>627</v>
      </c>
      <c r="U1293" s="1" t="s">
        <v>628</v>
      </c>
      <c r="V1293" s="1">
        <v>1</v>
      </c>
      <c r="W1293" s="3">
        <v>14370.83</v>
      </c>
      <c r="X1293" s="3">
        <v>14370.83</v>
      </c>
      <c r="Y1293" s="1" t="str">
        <f>VLOOKUP(A1293,[1]Detalle!$D$2:$CR$484,93,FALSE)</f>
        <v>Expreso - Servicios Troncales</v>
      </c>
    </row>
    <row r="1294" spans="1:25" ht="14.25" customHeight="1" x14ac:dyDescent="0.3">
      <c r="A1294" s="1" t="s">
        <v>696</v>
      </c>
      <c r="B1294" s="1" t="s">
        <v>623</v>
      </c>
      <c r="C1294" s="1" t="s">
        <v>623</v>
      </c>
      <c r="D1294" s="1" t="s">
        <v>624</v>
      </c>
      <c r="E1294" s="1" t="s">
        <v>337</v>
      </c>
      <c r="N1294" s="7">
        <v>45947</v>
      </c>
      <c r="O1294" s="1">
        <v>365</v>
      </c>
      <c r="P1294" s="7">
        <v>46312</v>
      </c>
      <c r="Q1294" s="1" t="s">
        <v>330</v>
      </c>
      <c r="T1294" s="1" t="s">
        <v>629</v>
      </c>
      <c r="U1294" s="1" t="s">
        <v>630</v>
      </c>
      <c r="V1294" s="1">
        <v>1</v>
      </c>
      <c r="W1294" s="3">
        <v>7200</v>
      </c>
      <c r="X1294" s="3">
        <v>7200</v>
      </c>
      <c r="Y1294" s="1" t="str">
        <f>VLOOKUP(A1294,[1]Detalle!$D$2:$CR$484,93,FALSE)</f>
        <v>Expreso - Servicios Troncales</v>
      </c>
    </row>
    <row r="1295" spans="1:25" ht="14.25" customHeight="1" x14ac:dyDescent="0.3">
      <c r="A1295" s="1" t="s">
        <v>696</v>
      </c>
      <c r="B1295" s="1" t="s">
        <v>623</v>
      </c>
      <c r="C1295" s="1" t="s">
        <v>623</v>
      </c>
      <c r="D1295" s="1" t="s">
        <v>624</v>
      </c>
      <c r="E1295" s="1" t="s">
        <v>337</v>
      </c>
      <c r="N1295" s="7">
        <v>45947</v>
      </c>
      <c r="O1295" s="1">
        <v>365</v>
      </c>
      <c r="P1295" s="7">
        <v>46312</v>
      </c>
      <c r="Q1295" s="1" t="s">
        <v>330</v>
      </c>
      <c r="T1295" s="1" t="s">
        <v>631</v>
      </c>
      <c r="U1295" s="1" t="s">
        <v>632</v>
      </c>
      <c r="V1295" s="1">
        <v>1</v>
      </c>
      <c r="W1295" s="3">
        <v>7286.36</v>
      </c>
      <c r="X1295" s="3">
        <v>7286.36</v>
      </c>
      <c r="Y1295" s="1" t="str">
        <f>VLOOKUP(A1295,[1]Detalle!$D$2:$CR$484,93,FALSE)</f>
        <v>Expreso - Servicios Troncales</v>
      </c>
    </row>
    <row r="1296" spans="1:25" ht="14.25" customHeight="1" x14ac:dyDescent="0.3">
      <c r="A1296" s="1" t="s">
        <v>696</v>
      </c>
      <c r="B1296" s="1" t="s">
        <v>623</v>
      </c>
      <c r="C1296" s="1" t="s">
        <v>623</v>
      </c>
      <c r="D1296" s="1" t="s">
        <v>624</v>
      </c>
      <c r="E1296" s="1" t="s">
        <v>337</v>
      </c>
      <c r="N1296" s="7">
        <v>45947</v>
      </c>
      <c r="O1296" s="1">
        <v>365</v>
      </c>
      <c r="P1296" s="7">
        <v>46312</v>
      </c>
      <c r="Q1296" s="1" t="s">
        <v>330</v>
      </c>
      <c r="T1296" s="1" t="s">
        <v>633</v>
      </c>
      <c r="U1296" s="1" t="s">
        <v>634</v>
      </c>
      <c r="V1296" s="1">
        <v>4</v>
      </c>
      <c r="W1296" s="3">
        <v>153102.49</v>
      </c>
      <c r="X1296" s="3">
        <v>612409.96</v>
      </c>
      <c r="Y1296" s="1" t="str">
        <f>VLOOKUP(A1296,[1]Detalle!$D$2:$CR$484,93,FALSE)</f>
        <v>Expreso - Servicios Troncales</v>
      </c>
    </row>
    <row r="1297" spans="1:25" ht="14.25" customHeight="1" x14ac:dyDescent="0.3">
      <c r="A1297" s="1" t="s">
        <v>697</v>
      </c>
      <c r="B1297" s="1" t="s">
        <v>623</v>
      </c>
      <c r="C1297" s="1" t="s">
        <v>623</v>
      </c>
      <c r="D1297" s="1" t="s">
        <v>624</v>
      </c>
      <c r="E1297" s="1" t="s">
        <v>337</v>
      </c>
      <c r="F1297" s="1">
        <v>23956.1</v>
      </c>
      <c r="G1297" s="1">
        <v>24321.1</v>
      </c>
      <c r="H1297" s="1">
        <v>12105.600000000009</v>
      </c>
      <c r="I1297" s="1">
        <v>-11740.600000000009</v>
      </c>
      <c r="J1297" s="1">
        <v>36061.699999999997</v>
      </c>
      <c r="K1297" s="1">
        <v>141</v>
      </c>
      <c r="L1297" s="1">
        <v>85.855319148936218</v>
      </c>
      <c r="M1297" s="1">
        <v>-136.74866177636801</v>
      </c>
      <c r="N1297" s="7">
        <v>45947</v>
      </c>
      <c r="O1297" s="1">
        <v>365</v>
      </c>
      <c r="P1297" s="7">
        <v>46312</v>
      </c>
      <c r="Q1297" s="1" t="s">
        <v>330</v>
      </c>
      <c r="T1297" s="1" t="s">
        <v>625</v>
      </c>
      <c r="U1297" s="1" t="s">
        <v>626</v>
      </c>
      <c r="V1297" s="1">
        <v>1</v>
      </c>
      <c r="W1297" s="3">
        <v>57923.55</v>
      </c>
      <c r="X1297" s="3">
        <v>57923.55</v>
      </c>
      <c r="Y1297" s="1" t="str">
        <f>VLOOKUP(A1297,[1]Detalle!$D$2:$CR$484,93,FALSE)</f>
        <v>Arcor S.A.I.C.</v>
      </c>
    </row>
    <row r="1298" spans="1:25" ht="14.25" customHeight="1" x14ac:dyDescent="0.3">
      <c r="A1298" s="1" t="s">
        <v>697</v>
      </c>
      <c r="B1298" s="1" t="s">
        <v>623</v>
      </c>
      <c r="C1298" s="1" t="s">
        <v>623</v>
      </c>
      <c r="D1298" s="1" t="s">
        <v>624</v>
      </c>
      <c r="E1298" s="1" t="s">
        <v>337</v>
      </c>
      <c r="F1298" s="1">
        <v>23956.1</v>
      </c>
      <c r="G1298" s="1">
        <v>24321.1</v>
      </c>
      <c r="H1298" s="1">
        <v>12105.600000000009</v>
      </c>
      <c r="I1298" s="1">
        <v>-11740.600000000009</v>
      </c>
      <c r="J1298" s="1">
        <v>36061.699999999997</v>
      </c>
      <c r="K1298" s="1">
        <v>141</v>
      </c>
      <c r="L1298" s="1">
        <v>85.855319148936218</v>
      </c>
      <c r="M1298" s="1">
        <v>-136.74866177636801</v>
      </c>
      <c r="N1298" s="7">
        <v>45947</v>
      </c>
      <c r="O1298" s="1">
        <v>365</v>
      </c>
      <c r="P1298" s="7">
        <v>46312</v>
      </c>
      <c r="Q1298" s="1" t="s">
        <v>330</v>
      </c>
      <c r="T1298" s="1" t="s">
        <v>627</v>
      </c>
      <c r="U1298" s="1" t="s">
        <v>628</v>
      </c>
      <c r="V1298" s="1">
        <v>1</v>
      </c>
      <c r="W1298" s="3">
        <v>14370.83</v>
      </c>
      <c r="X1298" s="3">
        <v>14370.83</v>
      </c>
      <c r="Y1298" s="1" t="str">
        <f>VLOOKUP(A1298,[1]Detalle!$D$2:$CR$484,93,FALSE)</f>
        <v>Arcor S.A.I.C.</v>
      </c>
    </row>
    <row r="1299" spans="1:25" ht="14.25" customHeight="1" x14ac:dyDescent="0.3">
      <c r="A1299" s="1" t="s">
        <v>697</v>
      </c>
      <c r="B1299" s="1" t="s">
        <v>623</v>
      </c>
      <c r="C1299" s="1" t="s">
        <v>623</v>
      </c>
      <c r="D1299" s="1" t="s">
        <v>624</v>
      </c>
      <c r="E1299" s="1" t="s">
        <v>337</v>
      </c>
      <c r="F1299" s="1">
        <v>23956.1</v>
      </c>
      <c r="G1299" s="1">
        <v>24321.1</v>
      </c>
      <c r="H1299" s="1">
        <v>12105.600000000009</v>
      </c>
      <c r="I1299" s="1">
        <v>-11740.600000000009</v>
      </c>
      <c r="J1299" s="1">
        <v>36061.699999999997</v>
      </c>
      <c r="K1299" s="1">
        <v>141</v>
      </c>
      <c r="L1299" s="1">
        <v>85.855319148936218</v>
      </c>
      <c r="M1299" s="1">
        <v>-136.74866177636801</v>
      </c>
      <c r="N1299" s="7">
        <v>45947</v>
      </c>
      <c r="O1299" s="1">
        <v>365</v>
      </c>
      <c r="P1299" s="7">
        <v>46312</v>
      </c>
      <c r="Q1299" s="1" t="s">
        <v>330</v>
      </c>
      <c r="T1299" s="1" t="s">
        <v>629</v>
      </c>
      <c r="U1299" s="1" t="s">
        <v>630</v>
      </c>
      <c r="V1299" s="1">
        <v>1</v>
      </c>
      <c r="W1299" s="3">
        <v>7200</v>
      </c>
      <c r="X1299" s="3">
        <v>7200</v>
      </c>
      <c r="Y1299" s="1" t="str">
        <f>VLOOKUP(A1299,[1]Detalle!$D$2:$CR$484,93,FALSE)</f>
        <v>Arcor S.A.I.C.</v>
      </c>
    </row>
    <row r="1300" spans="1:25" ht="14.25" customHeight="1" x14ac:dyDescent="0.3">
      <c r="A1300" s="1" t="s">
        <v>697</v>
      </c>
      <c r="B1300" s="1" t="s">
        <v>623</v>
      </c>
      <c r="C1300" s="1" t="s">
        <v>623</v>
      </c>
      <c r="D1300" s="1" t="s">
        <v>624</v>
      </c>
      <c r="E1300" s="1" t="s">
        <v>337</v>
      </c>
      <c r="F1300" s="1">
        <v>23956.1</v>
      </c>
      <c r="G1300" s="1">
        <v>24321.1</v>
      </c>
      <c r="H1300" s="1">
        <v>12105.600000000009</v>
      </c>
      <c r="I1300" s="1">
        <v>-11740.600000000009</v>
      </c>
      <c r="J1300" s="1">
        <v>36061.699999999997</v>
      </c>
      <c r="K1300" s="1">
        <v>141</v>
      </c>
      <c r="L1300" s="1">
        <v>85.855319148936218</v>
      </c>
      <c r="M1300" s="1">
        <v>-136.74866177636801</v>
      </c>
      <c r="N1300" s="7">
        <v>45947</v>
      </c>
      <c r="O1300" s="1">
        <v>365</v>
      </c>
      <c r="P1300" s="7">
        <v>46312</v>
      </c>
      <c r="Q1300" s="1" t="s">
        <v>330</v>
      </c>
      <c r="T1300" s="1" t="s">
        <v>631</v>
      </c>
      <c r="U1300" s="1" t="s">
        <v>632</v>
      </c>
      <c r="V1300" s="1">
        <v>1</v>
      </c>
      <c r="W1300" s="3">
        <v>7286.36</v>
      </c>
      <c r="X1300" s="3">
        <v>7286.36</v>
      </c>
      <c r="Y1300" s="1" t="str">
        <f>VLOOKUP(A1300,[1]Detalle!$D$2:$CR$484,93,FALSE)</f>
        <v>Arcor S.A.I.C.</v>
      </c>
    </row>
    <row r="1301" spans="1:25" ht="14.25" customHeight="1" x14ac:dyDescent="0.3">
      <c r="A1301" s="1" t="s">
        <v>697</v>
      </c>
      <c r="B1301" s="1" t="s">
        <v>623</v>
      </c>
      <c r="C1301" s="1" t="s">
        <v>623</v>
      </c>
      <c r="D1301" s="1" t="s">
        <v>624</v>
      </c>
      <c r="E1301" s="1" t="s">
        <v>337</v>
      </c>
      <c r="F1301" s="1">
        <v>23956.1</v>
      </c>
      <c r="G1301" s="1">
        <v>24321.1</v>
      </c>
      <c r="H1301" s="1">
        <v>12105.600000000009</v>
      </c>
      <c r="I1301" s="1">
        <v>-11740.600000000009</v>
      </c>
      <c r="J1301" s="1">
        <v>36061.699999999997</v>
      </c>
      <c r="K1301" s="1">
        <v>141</v>
      </c>
      <c r="L1301" s="1">
        <v>85.855319148936218</v>
      </c>
      <c r="M1301" s="1">
        <v>-136.74866177636801</v>
      </c>
      <c r="N1301" s="7">
        <v>45947</v>
      </c>
      <c r="O1301" s="1">
        <v>365</v>
      </c>
      <c r="P1301" s="7">
        <v>46312</v>
      </c>
      <c r="Q1301" s="1" t="s">
        <v>330</v>
      </c>
      <c r="T1301" s="1" t="s">
        <v>633</v>
      </c>
      <c r="U1301" s="1" t="s">
        <v>634</v>
      </c>
      <c r="V1301" s="1">
        <v>4</v>
      </c>
      <c r="W1301" s="3">
        <v>153102.49</v>
      </c>
      <c r="X1301" s="3">
        <v>612409.96</v>
      </c>
      <c r="Y1301" s="1" t="str">
        <f>VLOOKUP(A1301,[1]Detalle!$D$2:$CR$484,93,FALSE)</f>
        <v>Arcor S.A.I.C.</v>
      </c>
    </row>
    <row r="1302" spans="1:25" ht="14.25" customHeight="1" x14ac:dyDescent="0.3">
      <c r="A1302" s="1" t="s">
        <v>698</v>
      </c>
      <c r="B1302" s="1" t="s">
        <v>623</v>
      </c>
      <c r="C1302" s="1" t="s">
        <v>623</v>
      </c>
      <c r="D1302" s="1" t="s">
        <v>624</v>
      </c>
      <c r="E1302" s="1" t="s">
        <v>337</v>
      </c>
      <c r="F1302" s="1">
        <v>26656.799999999999</v>
      </c>
      <c r="G1302" s="1">
        <v>27021.8</v>
      </c>
      <c r="H1302" s="1">
        <v>12148.2</v>
      </c>
      <c r="I1302" s="1">
        <v>-11783.2</v>
      </c>
      <c r="J1302" s="1">
        <v>38804.999999999993</v>
      </c>
      <c r="K1302" s="1">
        <v>140</v>
      </c>
      <c r="L1302" s="1">
        <v>86.772857142857106</v>
      </c>
      <c r="M1302" s="1">
        <v>-135.79361551505571</v>
      </c>
      <c r="N1302" s="7">
        <v>45947</v>
      </c>
      <c r="O1302" s="1">
        <v>365</v>
      </c>
      <c r="P1302" s="7">
        <v>46312</v>
      </c>
      <c r="Q1302" s="1" t="s">
        <v>330</v>
      </c>
      <c r="T1302" s="1" t="s">
        <v>625</v>
      </c>
      <c r="U1302" s="1" t="s">
        <v>626</v>
      </c>
      <c r="V1302" s="1">
        <v>1</v>
      </c>
      <c r="W1302" s="3">
        <v>57923.55</v>
      </c>
      <c r="X1302" s="3">
        <v>57923.55</v>
      </c>
      <c r="Y1302" s="1" t="str">
        <f>VLOOKUP(A1302,[1]Detalle!$D$2:$CR$484,93,FALSE)</f>
        <v>Arcor S.A.I.C.</v>
      </c>
    </row>
    <row r="1303" spans="1:25" ht="14.25" customHeight="1" x14ac:dyDescent="0.3">
      <c r="A1303" s="1" t="s">
        <v>698</v>
      </c>
      <c r="B1303" s="1" t="s">
        <v>623</v>
      </c>
      <c r="C1303" s="1" t="s">
        <v>623</v>
      </c>
      <c r="D1303" s="1" t="s">
        <v>624</v>
      </c>
      <c r="E1303" s="1" t="s">
        <v>337</v>
      </c>
      <c r="F1303" s="1">
        <v>26656.799999999999</v>
      </c>
      <c r="G1303" s="1">
        <v>27021.8</v>
      </c>
      <c r="H1303" s="1">
        <v>12148.2</v>
      </c>
      <c r="I1303" s="1">
        <v>-11783.2</v>
      </c>
      <c r="J1303" s="1">
        <v>38804.999999999993</v>
      </c>
      <c r="K1303" s="1">
        <v>140</v>
      </c>
      <c r="L1303" s="1">
        <v>86.772857142857106</v>
      </c>
      <c r="M1303" s="1">
        <v>-135.79361551505571</v>
      </c>
      <c r="N1303" s="7">
        <v>45947</v>
      </c>
      <c r="O1303" s="1">
        <v>365</v>
      </c>
      <c r="P1303" s="7">
        <v>46312</v>
      </c>
      <c r="Q1303" s="1" t="s">
        <v>330</v>
      </c>
      <c r="T1303" s="1" t="s">
        <v>627</v>
      </c>
      <c r="U1303" s="1" t="s">
        <v>628</v>
      </c>
      <c r="V1303" s="1">
        <v>1</v>
      </c>
      <c r="W1303" s="3">
        <v>14370.83</v>
      </c>
      <c r="X1303" s="3">
        <v>14370.83</v>
      </c>
      <c r="Y1303" s="1" t="str">
        <f>VLOOKUP(A1303,[1]Detalle!$D$2:$CR$484,93,FALSE)</f>
        <v>Arcor S.A.I.C.</v>
      </c>
    </row>
    <row r="1304" spans="1:25" ht="14.25" customHeight="1" x14ac:dyDescent="0.3">
      <c r="A1304" s="1" t="s">
        <v>698</v>
      </c>
      <c r="B1304" s="1" t="s">
        <v>623</v>
      </c>
      <c r="C1304" s="1" t="s">
        <v>623</v>
      </c>
      <c r="D1304" s="1" t="s">
        <v>624</v>
      </c>
      <c r="E1304" s="1" t="s">
        <v>337</v>
      </c>
      <c r="F1304" s="1">
        <v>26656.799999999999</v>
      </c>
      <c r="G1304" s="1">
        <v>27021.8</v>
      </c>
      <c r="H1304" s="1">
        <v>12148.2</v>
      </c>
      <c r="I1304" s="1">
        <v>-11783.2</v>
      </c>
      <c r="J1304" s="1">
        <v>38804.999999999993</v>
      </c>
      <c r="K1304" s="1">
        <v>140</v>
      </c>
      <c r="L1304" s="1">
        <v>86.772857142857106</v>
      </c>
      <c r="M1304" s="1">
        <v>-135.79361551505571</v>
      </c>
      <c r="N1304" s="7">
        <v>45947</v>
      </c>
      <c r="O1304" s="1">
        <v>365</v>
      </c>
      <c r="P1304" s="7">
        <v>46312</v>
      </c>
      <c r="Q1304" s="1" t="s">
        <v>330</v>
      </c>
      <c r="T1304" s="1" t="s">
        <v>629</v>
      </c>
      <c r="U1304" s="1" t="s">
        <v>630</v>
      </c>
      <c r="V1304" s="1">
        <v>1</v>
      </c>
      <c r="W1304" s="3">
        <v>7200</v>
      </c>
      <c r="X1304" s="3">
        <v>7200</v>
      </c>
      <c r="Y1304" s="1" t="str">
        <f>VLOOKUP(A1304,[1]Detalle!$D$2:$CR$484,93,FALSE)</f>
        <v>Arcor S.A.I.C.</v>
      </c>
    </row>
    <row r="1305" spans="1:25" ht="14.25" customHeight="1" x14ac:dyDescent="0.3">
      <c r="A1305" s="1" t="s">
        <v>698</v>
      </c>
      <c r="B1305" s="1" t="s">
        <v>623</v>
      </c>
      <c r="C1305" s="1" t="s">
        <v>623</v>
      </c>
      <c r="D1305" s="1" t="s">
        <v>624</v>
      </c>
      <c r="E1305" s="1" t="s">
        <v>337</v>
      </c>
      <c r="F1305" s="1">
        <v>26656.799999999999</v>
      </c>
      <c r="G1305" s="1">
        <v>27021.8</v>
      </c>
      <c r="H1305" s="1">
        <v>12148.2</v>
      </c>
      <c r="I1305" s="1">
        <v>-11783.2</v>
      </c>
      <c r="J1305" s="1">
        <v>38804.999999999993</v>
      </c>
      <c r="K1305" s="1">
        <v>140</v>
      </c>
      <c r="L1305" s="1">
        <v>86.772857142857106</v>
      </c>
      <c r="M1305" s="1">
        <v>-135.79361551505571</v>
      </c>
      <c r="N1305" s="7">
        <v>45947</v>
      </c>
      <c r="O1305" s="1">
        <v>365</v>
      </c>
      <c r="P1305" s="7">
        <v>46312</v>
      </c>
      <c r="Q1305" s="1" t="s">
        <v>330</v>
      </c>
      <c r="T1305" s="1" t="s">
        <v>631</v>
      </c>
      <c r="U1305" s="1" t="s">
        <v>632</v>
      </c>
      <c r="V1305" s="1">
        <v>1</v>
      </c>
      <c r="W1305" s="3">
        <v>7286.36</v>
      </c>
      <c r="X1305" s="3">
        <v>7286.36</v>
      </c>
      <c r="Y1305" s="1" t="str">
        <f>VLOOKUP(A1305,[1]Detalle!$D$2:$CR$484,93,FALSE)</f>
        <v>Arcor S.A.I.C.</v>
      </c>
    </row>
    <row r="1306" spans="1:25" ht="14.25" customHeight="1" x14ac:dyDescent="0.3">
      <c r="A1306" s="1" t="s">
        <v>698</v>
      </c>
      <c r="B1306" s="1" t="s">
        <v>623</v>
      </c>
      <c r="C1306" s="1" t="s">
        <v>623</v>
      </c>
      <c r="D1306" s="1" t="s">
        <v>624</v>
      </c>
      <c r="E1306" s="1" t="s">
        <v>337</v>
      </c>
      <c r="F1306" s="1">
        <v>26656.799999999999</v>
      </c>
      <c r="G1306" s="1">
        <v>27021.8</v>
      </c>
      <c r="H1306" s="1">
        <v>12148.2</v>
      </c>
      <c r="I1306" s="1">
        <v>-11783.2</v>
      </c>
      <c r="J1306" s="1">
        <v>38804.999999999993</v>
      </c>
      <c r="K1306" s="1">
        <v>140</v>
      </c>
      <c r="L1306" s="1">
        <v>86.772857142857106</v>
      </c>
      <c r="M1306" s="1">
        <v>-135.79361551505571</v>
      </c>
      <c r="N1306" s="7">
        <v>45947</v>
      </c>
      <c r="O1306" s="1">
        <v>365</v>
      </c>
      <c r="P1306" s="7">
        <v>46312</v>
      </c>
      <c r="Q1306" s="1" t="s">
        <v>330</v>
      </c>
      <c r="T1306" s="1" t="s">
        <v>633</v>
      </c>
      <c r="U1306" s="1" t="s">
        <v>634</v>
      </c>
      <c r="V1306" s="1">
        <v>4</v>
      </c>
      <c r="W1306" s="3">
        <v>153102.49</v>
      </c>
      <c r="X1306" s="3">
        <v>612409.96</v>
      </c>
      <c r="Y1306" s="1" t="str">
        <f>VLOOKUP(A1306,[1]Detalle!$D$2:$CR$484,93,FALSE)</f>
        <v>Arcor S.A.I.C.</v>
      </c>
    </row>
    <row r="1307" spans="1:25" ht="14.25" customHeight="1" x14ac:dyDescent="0.3">
      <c r="A1307" s="1" t="s">
        <v>699</v>
      </c>
      <c r="B1307" s="1" t="s">
        <v>623</v>
      </c>
      <c r="C1307" s="1" t="s">
        <v>623</v>
      </c>
      <c r="D1307" s="1" t="s">
        <v>624</v>
      </c>
      <c r="E1307" s="1" t="s">
        <v>337</v>
      </c>
      <c r="N1307" s="7">
        <v>45947</v>
      </c>
      <c r="O1307" s="1">
        <v>365</v>
      </c>
      <c r="P1307" s="7">
        <v>46312</v>
      </c>
      <c r="Q1307" s="1" t="s">
        <v>330</v>
      </c>
      <c r="T1307" s="1" t="s">
        <v>625</v>
      </c>
      <c r="U1307" s="1" t="s">
        <v>626</v>
      </c>
      <c r="V1307" s="1">
        <v>1</v>
      </c>
      <c r="W1307" s="3">
        <v>57923.55</v>
      </c>
      <c r="X1307" s="3">
        <v>57923.55</v>
      </c>
      <c r="Y1307" s="1" t="str">
        <f>VLOOKUP(A1307,[1]Detalle!$D$2:$CR$484,93,FALSE)</f>
        <v>Unilever - Unilever de Arg. S.A.</v>
      </c>
    </row>
    <row r="1308" spans="1:25" ht="14.25" customHeight="1" x14ac:dyDescent="0.3">
      <c r="A1308" s="1" t="s">
        <v>699</v>
      </c>
      <c r="B1308" s="1" t="s">
        <v>623</v>
      </c>
      <c r="C1308" s="1" t="s">
        <v>623</v>
      </c>
      <c r="D1308" s="1" t="s">
        <v>624</v>
      </c>
      <c r="E1308" s="1" t="s">
        <v>337</v>
      </c>
      <c r="N1308" s="7">
        <v>45947</v>
      </c>
      <c r="O1308" s="1">
        <v>365</v>
      </c>
      <c r="P1308" s="7">
        <v>46312</v>
      </c>
      <c r="Q1308" s="1" t="s">
        <v>330</v>
      </c>
      <c r="T1308" s="1" t="s">
        <v>627</v>
      </c>
      <c r="U1308" s="1" t="s">
        <v>628</v>
      </c>
      <c r="V1308" s="1">
        <v>1</v>
      </c>
      <c r="W1308" s="3">
        <v>14370.83</v>
      </c>
      <c r="X1308" s="3">
        <v>14370.83</v>
      </c>
      <c r="Y1308" s="1" t="str">
        <f>VLOOKUP(A1308,[1]Detalle!$D$2:$CR$484,93,FALSE)</f>
        <v>Unilever - Unilever de Arg. S.A.</v>
      </c>
    </row>
    <row r="1309" spans="1:25" ht="14.25" customHeight="1" x14ac:dyDescent="0.3">
      <c r="A1309" s="1" t="s">
        <v>699</v>
      </c>
      <c r="B1309" s="1" t="s">
        <v>623</v>
      </c>
      <c r="C1309" s="1" t="s">
        <v>623</v>
      </c>
      <c r="D1309" s="1" t="s">
        <v>624</v>
      </c>
      <c r="E1309" s="1" t="s">
        <v>337</v>
      </c>
      <c r="N1309" s="7">
        <v>45947</v>
      </c>
      <c r="O1309" s="1">
        <v>365</v>
      </c>
      <c r="P1309" s="7">
        <v>46312</v>
      </c>
      <c r="Q1309" s="1" t="s">
        <v>330</v>
      </c>
      <c r="T1309" s="1" t="s">
        <v>629</v>
      </c>
      <c r="U1309" s="1" t="s">
        <v>630</v>
      </c>
      <c r="V1309" s="1">
        <v>1</v>
      </c>
      <c r="W1309" s="3">
        <v>7200</v>
      </c>
      <c r="X1309" s="3">
        <v>7200</v>
      </c>
      <c r="Y1309" s="1" t="str">
        <f>VLOOKUP(A1309,[1]Detalle!$D$2:$CR$484,93,FALSE)</f>
        <v>Unilever - Unilever de Arg. S.A.</v>
      </c>
    </row>
    <row r="1310" spans="1:25" ht="14.25" customHeight="1" x14ac:dyDescent="0.3">
      <c r="A1310" s="1" t="s">
        <v>699</v>
      </c>
      <c r="B1310" s="1" t="s">
        <v>623</v>
      </c>
      <c r="C1310" s="1" t="s">
        <v>623</v>
      </c>
      <c r="D1310" s="1" t="s">
        <v>624</v>
      </c>
      <c r="E1310" s="1" t="s">
        <v>337</v>
      </c>
      <c r="N1310" s="7">
        <v>45947</v>
      </c>
      <c r="O1310" s="1">
        <v>365</v>
      </c>
      <c r="P1310" s="7">
        <v>46312</v>
      </c>
      <c r="Q1310" s="1" t="s">
        <v>330</v>
      </c>
      <c r="T1310" s="1" t="s">
        <v>631</v>
      </c>
      <c r="U1310" s="1" t="s">
        <v>632</v>
      </c>
      <c r="V1310" s="1">
        <v>1</v>
      </c>
      <c r="W1310" s="3">
        <v>7286.36</v>
      </c>
      <c r="X1310" s="3">
        <v>7286.36</v>
      </c>
      <c r="Y1310" s="1" t="str">
        <f>VLOOKUP(A1310,[1]Detalle!$D$2:$CR$484,93,FALSE)</f>
        <v>Unilever - Unilever de Arg. S.A.</v>
      </c>
    </row>
    <row r="1311" spans="1:25" ht="14.25" customHeight="1" x14ac:dyDescent="0.3">
      <c r="A1311" s="1" t="s">
        <v>699</v>
      </c>
      <c r="B1311" s="1" t="s">
        <v>623</v>
      </c>
      <c r="C1311" s="1" t="s">
        <v>623</v>
      </c>
      <c r="D1311" s="1" t="s">
        <v>624</v>
      </c>
      <c r="E1311" s="1" t="s">
        <v>337</v>
      </c>
      <c r="N1311" s="7">
        <v>45947</v>
      </c>
      <c r="O1311" s="1">
        <v>365</v>
      </c>
      <c r="P1311" s="7">
        <v>46312</v>
      </c>
      <c r="Q1311" s="1" t="s">
        <v>330</v>
      </c>
      <c r="T1311" s="1" t="s">
        <v>633</v>
      </c>
      <c r="U1311" s="1" t="s">
        <v>634</v>
      </c>
      <c r="V1311" s="1">
        <v>4</v>
      </c>
      <c r="W1311" s="3">
        <v>153102.49</v>
      </c>
      <c r="X1311" s="3">
        <v>612409.96</v>
      </c>
      <c r="Y1311" s="1" t="str">
        <f>VLOOKUP(A1311,[1]Detalle!$D$2:$CR$484,93,FALSE)</f>
        <v>Unilever - Unilever de Arg. S.A.</v>
      </c>
    </row>
    <row r="1312" spans="1:25" ht="14.25" customHeight="1" x14ac:dyDescent="0.3">
      <c r="A1312" s="1" t="s">
        <v>613</v>
      </c>
      <c r="B1312" s="1" t="s">
        <v>700</v>
      </c>
      <c r="C1312" s="1" t="s">
        <v>700</v>
      </c>
      <c r="D1312" s="1" t="s">
        <v>624</v>
      </c>
      <c r="E1312" s="1" t="s">
        <v>337</v>
      </c>
      <c r="N1312" s="7">
        <v>45947</v>
      </c>
      <c r="O1312" s="1">
        <v>180</v>
      </c>
      <c r="P1312" s="7">
        <v>46127</v>
      </c>
      <c r="Q1312" s="1" t="s">
        <v>330</v>
      </c>
      <c r="T1312" s="1" t="s">
        <v>625</v>
      </c>
      <c r="U1312" s="1" t="s">
        <v>626</v>
      </c>
      <c r="V1312" s="1">
        <v>1</v>
      </c>
      <c r="W1312" s="3">
        <v>57923.55</v>
      </c>
      <c r="X1312" s="3">
        <v>57923.55</v>
      </c>
      <c r="Y1312" s="1" t="str">
        <f>VLOOKUP(A1312,[1]Detalle!$D$2:$CR$484,93,FALSE)</f>
        <v>ADA_CH - Danone Arg. S.A. - Chascomus</v>
      </c>
    </row>
    <row r="1313" spans="1:25" ht="14.25" customHeight="1" x14ac:dyDescent="0.3">
      <c r="A1313" s="1" t="s">
        <v>613</v>
      </c>
      <c r="B1313" s="1" t="s">
        <v>700</v>
      </c>
      <c r="C1313" s="1" t="s">
        <v>700</v>
      </c>
      <c r="D1313" s="1" t="s">
        <v>624</v>
      </c>
      <c r="E1313" s="1" t="s">
        <v>337</v>
      </c>
      <c r="N1313" s="7">
        <v>45947</v>
      </c>
      <c r="O1313" s="1">
        <v>180</v>
      </c>
      <c r="P1313" s="7">
        <v>46127</v>
      </c>
      <c r="Q1313" s="1" t="s">
        <v>330</v>
      </c>
      <c r="T1313" s="1" t="s">
        <v>627</v>
      </c>
      <c r="U1313" s="1" t="s">
        <v>628</v>
      </c>
      <c r="V1313" s="1">
        <v>1</v>
      </c>
      <c r="W1313" s="3">
        <v>14370.83</v>
      </c>
      <c r="X1313" s="3">
        <v>14370.83</v>
      </c>
      <c r="Y1313" s="1" t="str">
        <f>VLOOKUP(A1313,[1]Detalle!$D$2:$CR$484,93,FALSE)</f>
        <v>ADA_CH - Danone Arg. S.A. - Chascomus</v>
      </c>
    </row>
    <row r="1314" spans="1:25" ht="14.25" customHeight="1" x14ac:dyDescent="0.3">
      <c r="A1314" s="1" t="s">
        <v>613</v>
      </c>
      <c r="B1314" s="1" t="s">
        <v>700</v>
      </c>
      <c r="C1314" s="1" t="s">
        <v>700</v>
      </c>
      <c r="D1314" s="1" t="s">
        <v>624</v>
      </c>
      <c r="E1314" s="1" t="s">
        <v>337</v>
      </c>
      <c r="N1314" s="7">
        <v>45947</v>
      </c>
      <c r="O1314" s="1">
        <v>180</v>
      </c>
      <c r="P1314" s="7">
        <v>46127</v>
      </c>
      <c r="Q1314" s="1" t="s">
        <v>330</v>
      </c>
      <c r="T1314" s="1" t="s">
        <v>629</v>
      </c>
      <c r="U1314" s="1" t="s">
        <v>630</v>
      </c>
      <c r="V1314" s="1">
        <v>1</v>
      </c>
      <c r="W1314" s="3">
        <v>7200</v>
      </c>
      <c r="X1314" s="3">
        <v>7200</v>
      </c>
      <c r="Y1314" s="1" t="str">
        <f>VLOOKUP(A1314,[1]Detalle!$D$2:$CR$484,93,FALSE)</f>
        <v>ADA_CH - Danone Arg. S.A. - Chascomus</v>
      </c>
    </row>
    <row r="1315" spans="1:25" ht="14.25" customHeight="1" x14ac:dyDescent="0.3">
      <c r="A1315" s="1" t="s">
        <v>613</v>
      </c>
      <c r="B1315" s="1" t="s">
        <v>700</v>
      </c>
      <c r="C1315" s="1" t="s">
        <v>700</v>
      </c>
      <c r="D1315" s="1" t="s">
        <v>624</v>
      </c>
      <c r="E1315" s="1" t="s">
        <v>337</v>
      </c>
      <c r="N1315" s="7">
        <v>45947</v>
      </c>
      <c r="O1315" s="1">
        <v>180</v>
      </c>
      <c r="P1315" s="7">
        <v>46127</v>
      </c>
      <c r="Q1315" s="1" t="s">
        <v>330</v>
      </c>
      <c r="T1315" s="1" t="s">
        <v>631</v>
      </c>
      <c r="U1315" s="1" t="s">
        <v>632</v>
      </c>
      <c r="V1315" s="1">
        <v>1</v>
      </c>
      <c r="W1315" s="3">
        <v>7286.36</v>
      </c>
      <c r="X1315" s="3">
        <v>7286.36</v>
      </c>
      <c r="Y1315" s="1" t="str">
        <f>VLOOKUP(A1315,[1]Detalle!$D$2:$CR$484,93,FALSE)</f>
        <v>ADA_CH - Danone Arg. S.A. - Chascomus</v>
      </c>
    </row>
    <row r="1316" spans="1:25" ht="14.25" customHeight="1" x14ac:dyDescent="0.3">
      <c r="A1316" s="1" t="s">
        <v>613</v>
      </c>
      <c r="B1316" s="1" t="s">
        <v>700</v>
      </c>
      <c r="C1316" s="1" t="s">
        <v>700</v>
      </c>
      <c r="D1316" s="1" t="s">
        <v>624</v>
      </c>
      <c r="E1316" s="1" t="s">
        <v>337</v>
      </c>
      <c r="N1316" s="7">
        <v>45947</v>
      </c>
      <c r="O1316" s="1">
        <v>180</v>
      </c>
      <c r="P1316" s="7">
        <v>46127</v>
      </c>
      <c r="Q1316" s="1" t="s">
        <v>330</v>
      </c>
      <c r="T1316" s="1" t="s">
        <v>633</v>
      </c>
      <c r="U1316" s="1" t="s">
        <v>634</v>
      </c>
      <c r="V1316" s="1">
        <v>4</v>
      </c>
      <c r="W1316" s="3">
        <v>153102.49</v>
      </c>
      <c r="X1316" s="3">
        <v>612409.96</v>
      </c>
      <c r="Y1316" s="1" t="str">
        <f>VLOOKUP(A1316,[1]Detalle!$D$2:$CR$484,93,FALSE)</f>
        <v>ADA_CH - Danone Arg. S.A. - Chascomus</v>
      </c>
    </row>
    <row r="1317" spans="1:25" ht="14.25" customHeight="1" x14ac:dyDescent="0.3">
      <c r="A1317" s="1" t="s">
        <v>701</v>
      </c>
      <c r="B1317" s="1" t="s">
        <v>700</v>
      </c>
      <c r="C1317" s="1" t="s">
        <v>700</v>
      </c>
      <c r="D1317" s="1" t="s">
        <v>624</v>
      </c>
      <c r="E1317" s="1" t="s">
        <v>337</v>
      </c>
      <c r="N1317" s="7">
        <v>45947</v>
      </c>
      <c r="O1317" s="1">
        <v>180</v>
      </c>
      <c r="P1317" s="7">
        <v>46127</v>
      </c>
      <c r="Q1317" s="1" t="s">
        <v>330</v>
      </c>
      <c r="T1317" s="1" t="s">
        <v>625</v>
      </c>
      <c r="U1317" s="1" t="s">
        <v>626</v>
      </c>
      <c r="V1317" s="1">
        <v>1</v>
      </c>
      <c r="W1317" s="3">
        <v>57923.55</v>
      </c>
      <c r="X1317" s="3">
        <v>57923.55</v>
      </c>
      <c r="Y1317" s="1" t="str">
        <f>VLOOKUP(A1317,[1]Detalle!$D$2:$CR$484,93,FALSE)</f>
        <v>ADA_CH - Danone Arg. S.A. - Chascomus</v>
      </c>
    </row>
    <row r="1318" spans="1:25" ht="14.25" customHeight="1" x14ac:dyDescent="0.3">
      <c r="A1318" s="1" t="s">
        <v>701</v>
      </c>
      <c r="B1318" s="1" t="s">
        <v>700</v>
      </c>
      <c r="C1318" s="1" t="s">
        <v>700</v>
      </c>
      <c r="D1318" s="1" t="s">
        <v>624</v>
      </c>
      <c r="E1318" s="1" t="s">
        <v>337</v>
      </c>
      <c r="N1318" s="7">
        <v>45947</v>
      </c>
      <c r="O1318" s="1">
        <v>180</v>
      </c>
      <c r="P1318" s="7">
        <v>46127</v>
      </c>
      <c r="Q1318" s="1" t="s">
        <v>330</v>
      </c>
      <c r="T1318" s="1" t="s">
        <v>627</v>
      </c>
      <c r="U1318" s="1" t="s">
        <v>628</v>
      </c>
      <c r="V1318" s="1">
        <v>1</v>
      </c>
      <c r="W1318" s="3">
        <v>14370.83</v>
      </c>
      <c r="X1318" s="3">
        <v>14370.83</v>
      </c>
      <c r="Y1318" s="1" t="str">
        <f>VLOOKUP(A1318,[1]Detalle!$D$2:$CR$484,93,FALSE)</f>
        <v>ADA_CH - Danone Arg. S.A. - Chascomus</v>
      </c>
    </row>
    <row r="1319" spans="1:25" ht="14.25" customHeight="1" x14ac:dyDescent="0.3">
      <c r="A1319" s="1" t="s">
        <v>701</v>
      </c>
      <c r="B1319" s="1" t="s">
        <v>700</v>
      </c>
      <c r="C1319" s="1" t="s">
        <v>700</v>
      </c>
      <c r="D1319" s="1" t="s">
        <v>624</v>
      </c>
      <c r="E1319" s="1" t="s">
        <v>337</v>
      </c>
      <c r="N1319" s="7">
        <v>45947</v>
      </c>
      <c r="O1319" s="1">
        <v>180</v>
      </c>
      <c r="P1319" s="7">
        <v>46127</v>
      </c>
      <c r="Q1319" s="1" t="s">
        <v>330</v>
      </c>
      <c r="T1319" s="1" t="s">
        <v>629</v>
      </c>
      <c r="U1319" s="1" t="s">
        <v>630</v>
      </c>
      <c r="V1319" s="1">
        <v>1</v>
      </c>
      <c r="W1319" s="3">
        <v>7200</v>
      </c>
      <c r="X1319" s="3">
        <v>7200</v>
      </c>
      <c r="Y1319" s="1" t="str">
        <f>VLOOKUP(A1319,[1]Detalle!$D$2:$CR$484,93,FALSE)</f>
        <v>ADA_CH - Danone Arg. S.A. - Chascomus</v>
      </c>
    </row>
    <row r="1320" spans="1:25" ht="14.25" customHeight="1" x14ac:dyDescent="0.3">
      <c r="A1320" s="1" t="s">
        <v>701</v>
      </c>
      <c r="B1320" s="1" t="s">
        <v>700</v>
      </c>
      <c r="C1320" s="1" t="s">
        <v>700</v>
      </c>
      <c r="D1320" s="1" t="s">
        <v>624</v>
      </c>
      <c r="E1320" s="1" t="s">
        <v>337</v>
      </c>
      <c r="N1320" s="7">
        <v>45947</v>
      </c>
      <c r="O1320" s="1">
        <v>180</v>
      </c>
      <c r="P1320" s="7">
        <v>46127</v>
      </c>
      <c r="Q1320" s="1" t="s">
        <v>330</v>
      </c>
      <c r="T1320" s="1" t="s">
        <v>631</v>
      </c>
      <c r="U1320" s="1" t="s">
        <v>632</v>
      </c>
      <c r="V1320" s="1">
        <v>1</v>
      </c>
      <c r="W1320" s="3">
        <v>7286.36</v>
      </c>
      <c r="X1320" s="3">
        <v>7286.36</v>
      </c>
      <c r="Y1320" s="1" t="str">
        <f>VLOOKUP(A1320,[1]Detalle!$D$2:$CR$484,93,FALSE)</f>
        <v>ADA_CH - Danone Arg. S.A. - Chascomus</v>
      </c>
    </row>
    <row r="1321" spans="1:25" ht="14.25" customHeight="1" x14ac:dyDescent="0.3">
      <c r="A1321" s="1" t="s">
        <v>701</v>
      </c>
      <c r="B1321" s="1" t="s">
        <v>700</v>
      </c>
      <c r="C1321" s="1" t="s">
        <v>700</v>
      </c>
      <c r="D1321" s="1" t="s">
        <v>624</v>
      </c>
      <c r="E1321" s="1" t="s">
        <v>337</v>
      </c>
      <c r="N1321" s="7">
        <v>45947</v>
      </c>
      <c r="O1321" s="1">
        <v>180</v>
      </c>
      <c r="P1321" s="7">
        <v>46127</v>
      </c>
      <c r="Q1321" s="1" t="s">
        <v>330</v>
      </c>
      <c r="T1321" s="1" t="s">
        <v>633</v>
      </c>
      <c r="U1321" s="1" t="s">
        <v>634</v>
      </c>
      <c r="V1321" s="1">
        <v>4</v>
      </c>
      <c r="W1321" s="3">
        <v>153102.49</v>
      </c>
      <c r="X1321" s="3">
        <v>612409.96</v>
      </c>
      <c r="Y1321" s="1" t="str">
        <f>VLOOKUP(A1321,[1]Detalle!$D$2:$CR$484,93,FALSE)</f>
        <v>ADA_CH - Danone Arg. S.A. - Chascomus</v>
      </c>
    </row>
    <row r="1322" spans="1:25" ht="14.25" customHeight="1" x14ac:dyDescent="0.3">
      <c r="A1322" s="1" t="s">
        <v>702</v>
      </c>
      <c r="B1322" s="1" t="s">
        <v>700</v>
      </c>
      <c r="C1322" s="1" t="s">
        <v>700</v>
      </c>
      <c r="D1322" s="1" t="s">
        <v>624</v>
      </c>
      <c r="E1322" s="1" t="s">
        <v>337</v>
      </c>
      <c r="F1322" s="1">
        <v>1</v>
      </c>
      <c r="G1322" s="1">
        <v>181</v>
      </c>
      <c r="H1322" s="1">
        <v>32124.799999999999</v>
      </c>
      <c r="I1322" s="1">
        <v>-31944.799999999999</v>
      </c>
      <c r="J1322" s="1">
        <v>32125.8</v>
      </c>
      <c r="K1322" s="1">
        <v>93</v>
      </c>
      <c r="L1322" s="1">
        <v>345.42795698924732</v>
      </c>
      <c r="M1322" s="1">
        <v>-92.478907261679453</v>
      </c>
      <c r="N1322" s="7">
        <v>45947</v>
      </c>
      <c r="O1322" s="1">
        <v>180</v>
      </c>
      <c r="P1322" s="7">
        <v>46127</v>
      </c>
      <c r="Q1322" s="1" t="s">
        <v>330</v>
      </c>
      <c r="T1322" s="1" t="s">
        <v>625</v>
      </c>
      <c r="U1322" s="1" t="s">
        <v>626</v>
      </c>
      <c r="V1322" s="1">
        <v>1</v>
      </c>
      <c r="W1322" s="3">
        <v>57923.55</v>
      </c>
      <c r="X1322" s="3">
        <v>57923.55</v>
      </c>
      <c r="Y1322" s="1" t="str">
        <f>VLOOKUP(A1322,[1]Detalle!$D$2:$CR$484,93,FALSE)</f>
        <v>ADA_CH - Danone Arg. S.A. - Chascomus</v>
      </c>
    </row>
    <row r="1323" spans="1:25" ht="14.25" customHeight="1" x14ac:dyDescent="0.3">
      <c r="A1323" s="1" t="s">
        <v>702</v>
      </c>
      <c r="B1323" s="1" t="s">
        <v>700</v>
      </c>
      <c r="C1323" s="1" t="s">
        <v>700</v>
      </c>
      <c r="D1323" s="1" t="s">
        <v>624</v>
      </c>
      <c r="E1323" s="1" t="s">
        <v>337</v>
      </c>
      <c r="F1323" s="1">
        <v>1</v>
      </c>
      <c r="G1323" s="1">
        <v>181</v>
      </c>
      <c r="H1323" s="1">
        <v>32124.799999999999</v>
      </c>
      <c r="I1323" s="1">
        <v>-31944.799999999999</v>
      </c>
      <c r="J1323" s="1">
        <v>32125.8</v>
      </c>
      <c r="K1323" s="1">
        <v>93</v>
      </c>
      <c r="L1323" s="1">
        <v>345.42795698924732</v>
      </c>
      <c r="M1323" s="1">
        <v>-92.478907261679453</v>
      </c>
      <c r="N1323" s="7">
        <v>45947</v>
      </c>
      <c r="O1323" s="1">
        <v>180</v>
      </c>
      <c r="P1323" s="7">
        <v>46127</v>
      </c>
      <c r="Q1323" s="1" t="s">
        <v>330</v>
      </c>
      <c r="T1323" s="1" t="s">
        <v>627</v>
      </c>
      <c r="U1323" s="1" t="s">
        <v>628</v>
      </c>
      <c r="V1323" s="1">
        <v>1</v>
      </c>
      <c r="W1323" s="3">
        <v>14370.83</v>
      </c>
      <c r="X1323" s="3">
        <v>14370.83</v>
      </c>
      <c r="Y1323" s="1" t="str">
        <f>VLOOKUP(A1323,[1]Detalle!$D$2:$CR$484,93,FALSE)</f>
        <v>ADA_CH - Danone Arg. S.A. - Chascomus</v>
      </c>
    </row>
    <row r="1324" spans="1:25" ht="14.25" customHeight="1" x14ac:dyDescent="0.3">
      <c r="A1324" s="1" t="s">
        <v>702</v>
      </c>
      <c r="B1324" s="1" t="s">
        <v>700</v>
      </c>
      <c r="C1324" s="1" t="s">
        <v>700</v>
      </c>
      <c r="D1324" s="1" t="s">
        <v>624</v>
      </c>
      <c r="E1324" s="1" t="s">
        <v>337</v>
      </c>
      <c r="F1324" s="1">
        <v>1</v>
      </c>
      <c r="G1324" s="1">
        <v>181</v>
      </c>
      <c r="H1324" s="1">
        <v>32124.799999999999</v>
      </c>
      <c r="I1324" s="1">
        <v>-31944.799999999999</v>
      </c>
      <c r="J1324" s="1">
        <v>32125.8</v>
      </c>
      <c r="K1324" s="1">
        <v>93</v>
      </c>
      <c r="L1324" s="1">
        <v>345.42795698924732</v>
      </c>
      <c r="M1324" s="1">
        <v>-92.478907261679453</v>
      </c>
      <c r="N1324" s="7">
        <v>45947</v>
      </c>
      <c r="O1324" s="1">
        <v>180</v>
      </c>
      <c r="P1324" s="7">
        <v>46127</v>
      </c>
      <c r="Q1324" s="1" t="s">
        <v>330</v>
      </c>
      <c r="T1324" s="1" t="s">
        <v>629</v>
      </c>
      <c r="U1324" s="1" t="s">
        <v>630</v>
      </c>
      <c r="V1324" s="1">
        <v>1</v>
      </c>
      <c r="W1324" s="3">
        <v>7200</v>
      </c>
      <c r="X1324" s="3">
        <v>7200</v>
      </c>
      <c r="Y1324" s="1" t="str">
        <f>VLOOKUP(A1324,[1]Detalle!$D$2:$CR$484,93,FALSE)</f>
        <v>ADA_CH - Danone Arg. S.A. - Chascomus</v>
      </c>
    </row>
    <row r="1325" spans="1:25" ht="14.25" customHeight="1" x14ac:dyDescent="0.3">
      <c r="A1325" s="1" t="s">
        <v>702</v>
      </c>
      <c r="B1325" s="1" t="s">
        <v>700</v>
      </c>
      <c r="C1325" s="1" t="s">
        <v>700</v>
      </c>
      <c r="D1325" s="1" t="s">
        <v>624</v>
      </c>
      <c r="E1325" s="1" t="s">
        <v>337</v>
      </c>
      <c r="F1325" s="1">
        <v>1</v>
      </c>
      <c r="G1325" s="1">
        <v>181</v>
      </c>
      <c r="H1325" s="1">
        <v>32124.799999999999</v>
      </c>
      <c r="I1325" s="1">
        <v>-31944.799999999999</v>
      </c>
      <c r="J1325" s="1">
        <v>32125.8</v>
      </c>
      <c r="K1325" s="1">
        <v>93</v>
      </c>
      <c r="L1325" s="1">
        <v>345.42795698924732</v>
      </c>
      <c r="M1325" s="1">
        <v>-92.478907261679453</v>
      </c>
      <c r="N1325" s="7">
        <v>45947</v>
      </c>
      <c r="O1325" s="1">
        <v>180</v>
      </c>
      <c r="P1325" s="7">
        <v>46127</v>
      </c>
      <c r="Q1325" s="1" t="s">
        <v>330</v>
      </c>
      <c r="T1325" s="1" t="s">
        <v>631</v>
      </c>
      <c r="U1325" s="1" t="s">
        <v>632</v>
      </c>
      <c r="V1325" s="1">
        <v>1</v>
      </c>
      <c r="W1325" s="3">
        <v>7286.36</v>
      </c>
      <c r="X1325" s="3">
        <v>7286.36</v>
      </c>
      <c r="Y1325" s="1" t="str">
        <f>VLOOKUP(A1325,[1]Detalle!$D$2:$CR$484,93,FALSE)</f>
        <v>ADA_CH - Danone Arg. S.A. - Chascomus</v>
      </c>
    </row>
    <row r="1326" spans="1:25" ht="14.25" customHeight="1" x14ac:dyDescent="0.3">
      <c r="A1326" s="1" t="s">
        <v>702</v>
      </c>
      <c r="B1326" s="1" t="s">
        <v>700</v>
      </c>
      <c r="C1326" s="1" t="s">
        <v>700</v>
      </c>
      <c r="D1326" s="1" t="s">
        <v>624</v>
      </c>
      <c r="E1326" s="1" t="s">
        <v>337</v>
      </c>
      <c r="F1326" s="1">
        <v>1</v>
      </c>
      <c r="G1326" s="1">
        <v>181</v>
      </c>
      <c r="H1326" s="1">
        <v>32124.799999999999</v>
      </c>
      <c r="I1326" s="1">
        <v>-31944.799999999999</v>
      </c>
      <c r="J1326" s="1">
        <v>32125.8</v>
      </c>
      <c r="K1326" s="1">
        <v>93</v>
      </c>
      <c r="L1326" s="1">
        <v>345.42795698924732</v>
      </c>
      <c r="M1326" s="1">
        <v>-92.478907261679453</v>
      </c>
      <c r="N1326" s="7">
        <v>45947</v>
      </c>
      <c r="O1326" s="1">
        <v>180</v>
      </c>
      <c r="P1326" s="7">
        <v>46127</v>
      </c>
      <c r="Q1326" s="1" t="s">
        <v>330</v>
      </c>
      <c r="T1326" s="1" t="s">
        <v>633</v>
      </c>
      <c r="U1326" s="1" t="s">
        <v>634</v>
      </c>
      <c r="V1326" s="1">
        <v>4</v>
      </c>
      <c r="W1326" s="3">
        <v>153102.49</v>
      </c>
      <c r="X1326" s="3">
        <v>612409.96</v>
      </c>
      <c r="Y1326" s="1" t="str">
        <f>VLOOKUP(A1326,[1]Detalle!$D$2:$CR$484,93,FALSE)</f>
        <v>ADA_CH - Danone Arg. S.A. - Chascomus</v>
      </c>
    </row>
    <row r="1327" spans="1:25" ht="14.25" customHeight="1" x14ac:dyDescent="0.3">
      <c r="A1327" s="1" t="s">
        <v>703</v>
      </c>
      <c r="B1327" s="1" t="s">
        <v>700</v>
      </c>
      <c r="C1327" s="1" t="s">
        <v>700</v>
      </c>
      <c r="D1327" s="1" t="s">
        <v>624</v>
      </c>
      <c r="E1327" s="1" t="s">
        <v>337</v>
      </c>
      <c r="N1327" s="7">
        <v>45947</v>
      </c>
      <c r="O1327" s="1">
        <v>180</v>
      </c>
      <c r="P1327" s="7">
        <v>46127</v>
      </c>
      <c r="Q1327" s="1" t="s">
        <v>330</v>
      </c>
      <c r="T1327" s="1" t="s">
        <v>625</v>
      </c>
      <c r="U1327" s="1" t="s">
        <v>626</v>
      </c>
      <c r="V1327" s="1">
        <v>1</v>
      </c>
      <c r="W1327" s="3">
        <v>57923.55</v>
      </c>
      <c r="X1327" s="3">
        <v>57923.55</v>
      </c>
      <c r="Y1327" s="1" t="str">
        <f>VLOOKUP(A1327,[1]Detalle!$D$2:$CR$484,93,FALSE)</f>
        <v>ADA_CH - Danone Arg. S.A. - Chascomus</v>
      </c>
    </row>
    <row r="1328" spans="1:25" ht="14.25" customHeight="1" x14ac:dyDescent="0.3">
      <c r="A1328" s="1" t="s">
        <v>703</v>
      </c>
      <c r="B1328" s="1" t="s">
        <v>700</v>
      </c>
      <c r="C1328" s="1" t="s">
        <v>700</v>
      </c>
      <c r="D1328" s="1" t="s">
        <v>624</v>
      </c>
      <c r="E1328" s="1" t="s">
        <v>337</v>
      </c>
      <c r="N1328" s="7">
        <v>45947</v>
      </c>
      <c r="O1328" s="1">
        <v>180</v>
      </c>
      <c r="P1328" s="7">
        <v>46127</v>
      </c>
      <c r="Q1328" s="1" t="s">
        <v>330</v>
      </c>
      <c r="T1328" s="1" t="s">
        <v>627</v>
      </c>
      <c r="U1328" s="1" t="s">
        <v>628</v>
      </c>
      <c r="V1328" s="1">
        <v>1</v>
      </c>
      <c r="W1328" s="3">
        <v>14370.83</v>
      </c>
      <c r="X1328" s="3">
        <v>14370.83</v>
      </c>
      <c r="Y1328" s="1" t="str">
        <f>VLOOKUP(A1328,[1]Detalle!$D$2:$CR$484,93,FALSE)</f>
        <v>ADA_CH - Danone Arg. S.A. - Chascomus</v>
      </c>
    </row>
    <row r="1329" spans="1:25" ht="14.25" customHeight="1" x14ac:dyDescent="0.3">
      <c r="A1329" s="1" t="s">
        <v>703</v>
      </c>
      <c r="B1329" s="1" t="s">
        <v>700</v>
      </c>
      <c r="C1329" s="1" t="s">
        <v>700</v>
      </c>
      <c r="D1329" s="1" t="s">
        <v>624</v>
      </c>
      <c r="E1329" s="1" t="s">
        <v>337</v>
      </c>
      <c r="N1329" s="7">
        <v>45947</v>
      </c>
      <c r="O1329" s="1">
        <v>180</v>
      </c>
      <c r="P1329" s="7">
        <v>46127</v>
      </c>
      <c r="Q1329" s="1" t="s">
        <v>330</v>
      </c>
      <c r="T1329" s="1" t="s">
        <v>629</v>
      </c>
      <c r="U1329" s="1" t="s">
        <v>630</v>
      </c>
      <c r="V1329" s="1">
        <v>1</v>
      </c>
      <c r="W1329" s="3">
        <v>7200</v>
      </c>
      <c r="X1329" s="3">
        <v>7200</v>
      </c>
      <c r="Y1329" s="1" t="str">
        <f>VLOOKUP(A1329,[1]Detalle!$D$2:$CR$484,93,FALSE)</f>
        <v>ADA_CH - Danone Arg. S.A. - Chascomus</v>
      </c>
    </row>
    <row r="1330" spans="1:25" ht="14.25" customHeight="1" x14ac:dyDescent="0.3">
      <c r="A1330" s="1" t="s">
        <v>703</v>
      </c>
      <c r="B1330" s="1" t="s">
        <v>700</v>
      </c>
      <c r="C1330" s="1" t="s">
        <v>700</v>
      </c>
      <c r="D1330" s="1" t="s">
        <v>624</v>
      </c>
      <c r="E1330" s="1" t="s">
        <v>337</v>
      </c>
      <c r="N1330" s="7">
        <v>45947</v>
      </c>
      <c r="O1330" s="1">
        <v>180</v>
      </c>
      <c r="P1330" s="7">
        <v>46127</v>
      </c>
      <c r="Q1330" s="1" t="s">
        <v>330</v>
      </c>
      <c r="T1330" s="1" t="s">
        <v>631</v>
      </c>
      <c r="U1330" s="1" t="s">
        <v>632</v>
      </c>
      <c r="V1330" s="1">
        <v>1</v>
      </c>
      <c r="W1330" s="3">
        <v>7286.36</v>
      </c>
      <c r="X1330" s="3">
        <v>7286.36</v>
      </c>
      <c r="Y1330" s="1" t="str">
        <f>VLOOKUP(A1330,[1]Detalle!$D$2:$CR$484,93,FALSE)</f>
        <v>ADA_CH - Danone Arg. S.A. - Chascomus</v>
      </c>
    </row>
    <row r="1331" spans="1:25" ht="14.25" customHeight="1" x14ac:dyDescent="0.3">
      <c r="A1331" s="1" t="s">
        <v>703</v>
      </c>
      <c r="B1331" s="1" t="s">
        <v>700</v>
      </c>
      <c r="C1331" s="1" t="s">
        <v>700</v>
      </c>
      <c r="D1331" s="1" t="s">
        <v>624</v>
      </c>
      <c r="E1331" s="1" t="s">
        <v>337</v>
      </c>
      <c r="N1331" s="7">
        <v>45947</v>
      </c>
      <c r="O1331" s="1">
        <v>180</v>
      </c>
      <c r="P1331" s="7">
        <v>46127</v>
      </c>
      <c r="Q1331" s="1" t="s">
        <v>330</v>
      </c>
      <c r="T1331" s="1" t="s">
        <v>633</v>
      </c>
      <c r="U1331" s="1" t="s">
        <v>634</v>
      </c>
      <c r="V1331" s="1">
        <v>4</v>
      </c>
      <c r="W1331" s="3">
        <v>153102.49</v>
      </c>
      <c r="X1331" s="3">
        <v>612409.96</v>
      </c>
      <c r="Y1331" s="1" t="str">
        <f>VLOOKUP(A1331,[1]Detalle!$D$2:$CR$484,93,FALSE)</f>
        <v>ADA_CH - Danone Arg. S.A. - Chascomus</v>
      </c>
    </row>
    <row r="1332" spans="1:25" ht="14.25" customHeight="1" x14ac:dyDescent="0.3">
      <c r="A1332" s="1" t="s">
        <v>704</v>
      </c>
      <c r="B1332" s="1" t="s">
        <v>700</v>
      </c>
      <c r="C1332" s="1" t="s">
        <v>700</v>
      </c>
      <c r="D1332" s="1" t="s">
        <v>624</v>
      </c>
      <c r="E1332" s="1" t="s">
        <v>337</v>
      </c>
      <c r="N1332" s="7">
        <v>45947</v>
      </c>
      <c r="O1332" s="1">
        <v>180</v>
      </c>
      <c r="P1332" s="7">
        <v>46127</v>
      </c>
      <c r="Q1332" s="1" t="s">
        <v>330</v>
      </c>
      <c r="T1332" s="1" t="s">
        <v>625</v>
      </c>
      <c r="U1332" s="1" t="s">
        <v>626</v>
      </c>
      <c r="V1332" s="1">
        <v>1</v>
      </c>
      <c r="W1332" s="3">
        <v>57923.55</v>
      </c>
      <c r="X1332" s="3">
        <v>57923.55</v>
      </c>
      <c r="Y1332" s="1" t="str">
        <f>VLOOKUP(A1332,[1]Detalle!$D$2:$CR$484,93,FALSE)</f>
        <v>ADA_CH - Danone Arg. S.A. - Chascomus</v>
      </c>
    </row>
    <row r="1333" spans="1:25" ht="14.25" customHeight="1" x14ac:dyDescent="0.3">
      <c r="A1333" s="1" t="s">
        <v>704</v>
      </c>
      <c r="B1333" s="1" t="s">
        <v>700</v>
      </c>
      <c r="C1333" s="1" t="s">
        <v>700</v>
      </c>
      <c r="D1333" s="1" t="s">
        <v>624</v>
      </c>
      <c r="E1333" s="1" t="s">
        <v>337</v>
      </c>
      <c r="N1333" s="7">
        <v>45947</v>
      </c>
      <c r="O1333" s="1">
        <v>180</v>
      </c>
      <c r="P1333" s="7">
        <v>46127</v>
      </c>
      <c r="Q1333" s="1" t="s">
        <v>330</v>
      </c>
      <c r="T1333" s="1" t="s">
        <v>627</v>
      </c>
      <c r="U1333" s="1" t="s">
        <v>628</v>
      </c>
      <c r="V1333" s="1">
        <v>1</v>
      </c>
      <c r="W1333" s="3">
        <v>14370.83</v>
      </c>
      <c r="X1333" s="3">
        <v>14370.83</v>
      </c>
      <c r="Y1333" s="1" t="str">
        <f>VLOOKUP(A1333,[1]Detalle!$D$2:$CR$484,93,FALSE)</f>
        <v>ADA_CH - Danone Arg. S.A. - Chascomus</v>
      </c>
    </row>
    <row r="1334" spans="1:25" ht="14.25" customHeight="1" x14ac:dyDescent="0.3">
      <c r="A1334" s="1" t="s">
        <v>704</v>
      </c>
      <c r="B1334" s="1" t="s">
        <v>700</v>
      </c>
      <c r="C1334" s="1" t="s">
        <v>700</v>
      </c>
      <c r="D1334" s="1" t="s">
        <v>624</v>
      </c>
      <c r="E1334" s="1" t="s">
        <v>337</v>
      </c>
      <c r="N1334" s="7">
        <v>45947</v>
      </c>
      <c r="O1334" s="1">
        <v>180</v>
      </c>
      <c r="P1334" s="7">
        <v>46127</v>
      </c>
      <c r="Q1334" s="1" t="s">
        <v>330</v>
      </c>
      <c r="T1334" s="1" t="s">
        <v>629</v>
      </c>
      <c r="U1334" s="1" t="s">
        <v>630</v>
      </c>
      <c r="V1334" s="1">
        <v>1</v>
      </c>
      <c r="W1334" s="3">
        <v>7200</v>
      </c>
      <c r="X1334" s="3">
        <v>7200</v>
      </c>
      <c r="Y1334" s="1" t="str">
        <f>VLOOKUP(A1334,[1]Detalle!$D$2:$CR$484,93,FALSE)</f>
        <v>ADA_CH - Danone Arg. S.A. - Chascomus</v>
      </c>
    </row>
    <row r="1335" spans="1:25" ht="14.25" customHeight="1" x14ac:dyDescent="0.3">
      <c r="A1335" s="1" t="s">
        <v>704</v>
      </c>
      <c r="B1335" s="1" t="s">
        <v>700</v>
      </c>
      <c r="C1335" s="1" t="s">
        <v>700</v>
      </c>
      <c r="D1335" s="1" t="s">
        <v>624</v>
      </c>
      <c r="E1335" s="1" t="s">
        <v>337</v>
      </c>
      <c r="N1335" s="7">
        <v>45947</v>
      </c>
      <c r="O1335" s="1">
        <v>180</v>
      </c>
      <c r="P1335" s="7">
        <v>46127</v>
      </c>
      <c r="Q1335" s="1" t="s">
        <v>330</v>
      </c>
      <c r="T1335" s="1" t="s">
        <v>631</v>
      </c>
      <c r="U1335" s="1" t="s">
        <v>632</v>
      </c>
      <c r="V1335" s="1">
        <v>1</v>
      </c>
      <c r="W1335" s="3">
        <v>7286.36</v>
      </c>
      <c r="X1335" s="3">
        <v>7286.36</v>
      </c>
      <c r="Y1335" s="1" t="str">
        <f>VLOOKUP(A1335,[1]Detalle!$D$2:$CR$484,93,FALSE)</f>
        <v>ADA_CH - Danone Arg. S.A. - Chascomus</v>
      </c>
    </row>
    <row r="1336" spans="1:25" ht="14.25" customHeight="1" x14ac:dyDescent="0.3">
      <c r="A1336" s="1" t="s">
        <v>704</v>
      </c>
      <c r="B1336" s="1" t="s">
        <v>700</v>
      </c>
      <c r="C1336" s="1" t="s">
        <v>700</v>
      </c>
      <c r="D1336" s="1" t="s">
        <v>624</v>
      </c>
      <c r="E1336" s="1" t="s">
        <v>337</v>
      </c>
      <c r="N1336" s="7">
        <v>45947</v>
      </c>
      <c r="O1336" s="1">
        <v>180</v>
      </c>
      <c r="P1336" s="7">
        <v>46127</v>
      </c>
      <c r="Q1336" s="1" t="s">
        <v>330</v>
      </c>
      <c r="T1336" s="1" t="s">
        <v>633</v>
      </c>
      <c r="U1336" s="1" t="s">
        <v>634</v>
      </c>
      <c r="V1336" s="1">
        <v>4</v>
      </c>
      <c r="W1336" s="3">
        <v>153102.49</v>
      </c>
      <c r="X1336" s="3">
        <v>612409.96</v>
      </c>
      <c r="Y1336" s="1" t="str">
        <f>VLOOKUP(A1336,[1]Detalle!$D$2:$CR$484,93,FALSE)</f>
        <v>ADA_CH - Danone Arg. S.A. - Chascomus</v>
      </c>
    </row>
    <row r="1337" spans="1:25" ht="14.25" customHeight="1" x14ac:dyDescent="0.3">
      <c r="A1337" s="1" t="s">
        <v>705</v>
      </c>
      <c r="B1337" s="1" t="s">
        <v>700</v>
      </c>
      <c r="C1337" s="1" t="s">
        <v>700</v>
      </c>
      <c r="D1337" s="1" t="s">
        <v>624</v>
      </c>
      <c r="E1337" s="1" t="s">
        <v>337</v>
      </c>
      <c r="N1337" s="7">
        <v>45947</v>
      </c>
      <c r="O1337" s="1">
        <v>180</v>
      </c>
      <c r="P1337" s="7">
        <v>46127</v>
      </c>
      <c r="Q1337" s="1" t="s">
        <v>330</v>
      </c>
      <c r="T1337" s="1" t="s">
        <v>625</v>
      </c>
      <c r="U1337" s="1" t="s">
        <v>626</v>
      </c>
      <c r="V1337" s="1">
        <v>1</v>
      </c>
      <c r="W1337" s="3">
        <v>57923.55</v>
      </c>
      <c r="X1337" s="3">
        <v>57923.55</v>
      </c>
      <c r="Y1337" s="1" t="str">
        <f>VLOOKUP(A1337,[1]Detalle!$D$2:$CR$484,93,FALSE)</f>
        <v>ADA_CH - Danone Arg. S.A. - Chascomus</v>
      </c>
    </row>
    <row r="1338" spans="1:25" ht="14.25" customHeight="1" x14ac:dyDescent="0.3">
      <c r="A1338" s="1" t="s">
        <v>705</v>
      </c>
      <c r="B1338" s="1" t="s">
        <v>700</v>
      </c>
      <c r="C1338" s="1" t="s">
        <v>700</v>
      </c>
      <c r="D1338" s="1" t="s">
        <v>624</v>
      </c>
      <c r="E1338" s="1" t="s">
        <v>337</v>
      </c>
      <c r="N1338" s="7">
        <v>45947</v>
      </c>
      <c r="O1338" s="1">
        <v>180</v>
      </c>
      <c r="P1338" s="7">
        <v>46127</v>
      </c>
      <c r="Q1338" s="1" t="s">
        <v>330</v>
      </c>
      <c r="T1338" s="1" t="s">
        <v>627</v>
      </c>
      <c r="U1338" s="1" t="s">
        <v>628</v>
      </c>
      <c r="V1338" s="1">
        <v>1</v>
      </c>
      <c r="W1338" s="3">
        <v>14370.83</v>
      </c>
      <c r="X1338" s="3">
        <v>14370.83</v>
      </c>
      <c r="Y1338" s="1" t="str">
        <f>VLOOKUP(A1338,[1]Detalle!$D$2:$CR$484,93,FALSE)</f>
        <v>ADA_CH - Danone Arg. S.A. - Chascomus</v>
      </c>
    </row>
    <row r="1339" spans="1:25" ht="14.25" customHeight="1" x14ac:dyDescent="0.3">
      <c r="A1339" s="1" t="s">
        <v>705</v>
      </c>
      <c r="B1339" s="1" t="s">
        <v>700</v>
      </c>
      <c r="C1339" s="1" t="s">
        <v>700</v>
      </c>
      <c r="D1339" s="1" t="s">
        <v>624</v>
      </c>
      <c r="E1339" s="1" t="s">
        <v>337</v>
      </c>
      <c r="N1339" s="7">
        <v>45947</v>
      </c>
      <c r="O1339" s="1">
        <v>180</v>
      </c>
      <c r="P1339" s="7">
        <v>46127</v>
      </c>
      <c r="Q1339" s="1" t="s">
        <v>330</v>
      </c>
      <c r="T1339" s="1" t="s">
        <v>629</v>
      </c>
      <c r="U1339" s="1" t="s">
        <v>630</v>
      </c>
      <c r="V1339" s="1">
        <v>1</v>
      </c>
      <c r="W1339" s="3">
        <v>7200</v>
      </c>
      <c r="X1339" s="3">
        <v>7200</v>
      </c>
      <c r="Y1339" s="1" t="str">
        <f>VLOOKUP(A1339,[1]Detalle!$D$2:$CR$484,93,FALSE)</f>
        <v>ADA_CH - Danone Arg. S.A. - Chascomus</v>
      </c>
    </row>
    <row r="1340" spans="1:25" ht="14.25" customHeight="1" x14ac:dyDescent="0.3">
      <c r="A1340" s="1" t="s">
        <v>705</v>
      </c>
      <c r="B1340" s="1" t="s">
        <v>700</v>
      </c>
      <c r="C1340" s="1" t="s">
        <v>700</v>
      </c>
      <c r="D1340" s="1" t="s">
        <v>624</v>
      </c>
      <c r="E1340" s="1" t="s">
        <v>337</v>
      </c>
      <c r="N1340" s="7">
        <v>45947</v>
      </c>
      <c r="O1340" s="1">
        <v>180</v>
      </c>
      <c r="P1340" s="7">
        <v>46127</v>
      </c>
      <c r="Q1340" s="1" t="s">
        <v>330</v>
      </c>
      <c r="T1340" s="1" t="s">
        <v>631</v>
      </c>
      <c r="U1340" s="1" t="s">
        <v>632</v>
      </c>
      <c r="V1340" s="1">
        <v>1</v>
      </c>
      <c r="W1340" s="3">
        <v>7286.36</v>
      </c>
      <c r="X1340" s="3">
        <v>7286.36</v>
      </c>
      <c r="Y1340" s="1" t="str">
        <f>VLOOKUP(A1340,[1]Detalle!$D$2:$CR$484,93,FALSE)</f>
        <v>ADA_CH - Danone Arg. S.A. - Chascomus</v>
      </c>
    </row>
    <row r="1341" spans="1:25" ht="14.25" customHeight="1" x14ac:dyDescent="0.3">
      <c r="A1341" s="1" t="s">
        <v>705</v>
      </c>
      <c r="B1341" s="1" t="s">
        <v>700</v>
      </c>
      <c r="C1341" s="1" t="s">
        <v>700</v>
      </c>
      <c r="D1341" s="1" t="s">
        <v>624</v>
      </c>
      <c r="E1341" s="1" t="s">
        <v>337</v>
      </c>
      <c r="N1341" s="7">
        <v>45947</v>
      </c>
      <c r="O1341" s="1">
        <v>180</v>
      </c>
      <c r="P1341" s="7">
        <v>46127</v>
      </c>
      <c r="Q1341" s="1" t="s">
        <v>330</v>
      </c>
      <c r="T1341" s="1" t="s">
        <v>633</v>
      </c>
      <c r="U1341" s="1" t="s">
        <v>634</v>
      </c>
      <c r="V1341" s="1">
        <v>4</v>
      </c>
      <c r="W1341" s="3">
        <v>153102.49</v>
      </c>
      <c r="X1341" s="3">
        <v>612409.96</v>
      </c>
      <c r="Y1341" s="1" t="str">
        <f>VLOOKUP(A1341,[1]Detalle!$D$2:$CR$484,93,FALSE)</f>
        <v>ADA_CH - Danone Arg. S.A. - Chascomus</v>
      </c>
    </row>
    <row r="1342" spans="1:25" ht="14.25" customHeight="1" x14ac:dyDescent="0.3">
      <c r="A1342" s="1" t="s">
        <v>706</v>
      </c>
      <c r="B1342" s="1" t="s">
        <v>700</v>
      </c>
      <c r="C1342" s="1" t="s">
        <v>700</v>
      </c>
      <c r="D1342" s="1" t="s">
        <v>624</v>
      </c>
      <c r="E1342" s="1" t="s">
        <v>337</v>
      </c>
      <c r="N1342" s="7">
        <v>45947</v>
      </c>
      <c r="O1342" s="1">
        <v>180</v>
      </c>
      <c r="P1342" s="7">
        <v>46127</v>
      </c>
      <c r="Q1342" s="1" t="s">
        <v>330</v>
      </c>
      <c r="T1342" s="1" t="s">
        <v>625</v>
      </c>
      <c r="U1342" s="1" t="s">
        <v>626</v>
      </c>
      <c r="V1342" s="1">
        <v>1</v>
      </c>
      <c r="W1342" s="3">
        <v>57923.55</v>
      </c>
      <c r="X1342" s="3">
        <v>57923.55</v>
      </c>
      <c r="Y1342" s="1" t="str">
        <f>VLOOKUP(A1342,[1]Detalle!$D$2:$CR$484,93,FALSE)</f>
        <v>ADA_CH - Danone Arg. S.A. - Chascomus</v>
      </c>
    </row>
    <row r="1343" spans="1:25" ht="14.25" customHeight="1" x14ac:dyDescent="0.3">
      <c r="A1343" s="1" t="s">
        <v>706</v>
      </c>
      <c r="B1343" s="1" t="s">
        <v>700</v>
      </c>
      <c r="C1343" s="1" t="s">
        <v>700</v>
      </c>
      <c r="D1343" s="1" t="s">
        <v>624</v>
      </c>
      <c r="E1343" s="1" t="s">
        <v>337</v>
      </c>
      <c r="N1343" s="7">
        <v>45947</v>
      </c>
      <c r="O1343" s="1">
        <v>180</v>
      </c>
      <c r="P1343" s="7">
        <v>46127</v>
      </c>
      <c r="Q1343" s="1" t="s">
        <v>330</v>
      </c>
      <c r="T1343" s="1" t="s">
        <v>627</v>
      </c>
      <c r="U1343" s="1" t="s">
        <v>628</v>
      </c>
      <c r="V1343" s="1">
        <v>1</v>
      </c>
      <c r="W1343" s="3">
        <v>14370.83</v>
      </c>
      <c r="X1343" s="3">
        <v>14370.83</v>
      </c>
      <c r="Y1343" s="1" t="str">
        <f>VLOOKUP(A1343,[1]Detalle!$D$2:$CR$484,93,FALSE)</f>
        <v>ADA_CH - Danone Arg. S.A. - Chascomus</v>
      </c>
    </row>
    <row r="1344" spans="1:25" ht="14.25" customHeight="1" x14ac:dyDescent="0.3">
      <c r="A1344" s="1" t="s">
        <v>706</v>
      </c>
      <c r="B1344" s="1" t="s">
        <v>700</v>
      </c>
      <c r="C1344" s="1" t="s">
        <v>700</v>
      </c>
      <c r="D1344" s="1" t="s">
        <v>624</v>
      </c>
      <c r="E1344" s="1" t="s">
        <v>337</v>
      </c>
      <c r="N1344" s="7">
        <v>45947</v>
      </c>
      <c r="O1344" s="1">
        <v>180</v>
      </c>
      <c r="P1344" s="7">
        <v>46127</v>
      </c>
      <c r="Q1344" s="1" t="s">
        <v>330</v>
      </c>
      <c r="T1344" s="1" t="s">
        <v>629</v>
      </c>
      <c r="U1344" s="1" t="s">
        <v>630</v>
      </c>
      <c r="V1344" s="1">
        <v>1</v>
      </c>
      <c r="W1344" s="3">
        <v>7200</v>
      </c>
      <c r="X1344" s="3">
        <v>7200</v>
      </c>
      <c r="Y1344" s="1" t="str">
        <f>VLOOKUP(A1344,[1]Detalle!$D$2:$CR$484,93,FALSE)</f>
        <v>ADA_CH - Danone Arg. S.A. - Chascomus</v>
      </c>
    </row>
    <row r="1345" spans="1:25" ht="14.25" customHeight="1" x14ac:dyDescent="0.3">
      <c r="A1345" s="1" t="s">
        <v>706</v>
      </c>
      <c r="B1345" s="1" t="s">
        <v>700</v>
      </c>
      <c r="C1345" s="1" t="s">
        <v>700</v>
      </c>
      <c r="D1345" s="1" t="s">
        <v>624</v>
      </c>
      <c r="E1345" s="1" t="s">
        <v>337</v>
      </c>
      <c r="N1345" s="7">
        <v>45947</v>
      </c>
      <c r="O1345" s="1">
        <v>180</v>
      </c>
      <c r="P1345" s="7">
        <v>46127</v>
      </c>
      <c r="Q1345" s="1" t="s">
        <v>330</v>
      </c>
      <c r="T1345" s="1" t="s">
        <v>631</v>
      </c>
      <c r="U1345" s="1" t="s">
        <v>632</v>
      </c>
      <c r="V1345" s="1">
        <v>1</v>
      </c>
      <c r="W1345" s="3">
        <v>7286.36</v>
      </c>
      <c r="X1345" s="3">
        <v>7286.36</v>
      </c>
      <c r="Y1345" s="1" t="str">
        <f>VLOOKUP(A1345,[1]Detalle!$D$2:$CR$484,93,FALSE)</f>
        <v>ADA_CH - Danone Arg. S.A. - Chascomus</v>
      </c>
    </row>
    <row r="1346" spans="1:25" ht="14.25" customHeight="1" x14ac:dyDescent="0.3">
      <c r="A1346" s="1" t="s">
        <v>706</v>
      </c>
      <c r="B1346" s="1" t="s">
        <v>700</v>
      </c>
      <c r="C1346" s="1" t="s">
        <v>700</v>
      </c>
      <c r="D1346" s="1" t="s">
        <v>624</v>
      </c>
      <c r="E1346" s="1" t="s">
        <v>337</v>
      </c>
      <c r="N1346" s="7">
        <v>45947</v>
      </c>
      <c r="O1346" s="1">
        <v>180</v>
      </c>
      <c r="P1346" s="7">
        <v>46127</v>
      </c>
      <c r="Q1346" s="1" t="s">
        <v>330</v>
      </c>
      <c r="T1346" s="1" t="s">
        <v>633</v>
      </c>
      <c r="U1346" s="1" t="s">
        <v>634</v>
      </c>
      <c r="V1346" s="1">
        <v>4</v>
      </c>
      <c r="W1346" s="3">
        <v>153102.49</v>
      </c>
      <c r="X1346" s="3">
        <v>612409.96</v>
      </c>
      <c r="Y1346" s="1" t="str">
        <f>VLOOKUP(A1346,[1]Detalle!$D$2:$CR$484,93,FALSE)</f>
        <v>ADA_CH - Danone Arg. S.A. - Chascomus</v>
      </c>
    </row>
    <row r="1347" spans="1:25" ht="14.25" customHeight="1" x14ac:dyDescent="0.3">
      <c r="A1347" s="1" t="s">
        <v>707</v>
      </c>
      <c r="B1347" s="1" t="s">
        <v>700</v>
      </c>
      <c r="C1347" s="1" t="s">
        <v>700</v>
      </c>
      <c r="D1347" s="1" t="s">
        <v>624</v>
      </c>
      <c r="E1347" s="1" t="s">
        <v>337</v>
      </c>
      <c r="N1347" s="7">
        <v>45947</v>
      </c>
      <c r="O1347" s="1">
        <v>180</v>
      </c>
      <c r="P1347" s="7">
        <v>46127</v>
      </c>
      <c r="Q1347" s="1" t="s">
        <v>330</v>
      </c>
      <c r="T1347" s="1" t="s">
        <v>625</v>
      </c>
      <c r="U1347" s="1" t="s">
        <v>626</v>
      </c>
      <c r="V1347" s="1">
        <v>1</v>
      </c>
      <c r="W1347" s="3">
        <v>57923.55</v>
      </c>
      <c r="X1347" s="3">
        <v>57923.55</v>
      </c>
      <c r="Y1347" s="1" t="str">
        <f>VLOOKUP(A1347,[1]Detalle!$D$2:$CR$484,93,FALSE)</f>
        <v>ADA_CH - Danone Arg. S.A. - Chascomus</v>
      </c>
    </row>
    <row r="1348" spans="1:25" ht="14.25" customHeight="1" x14ac:dyDescent="0.3">
      <c r="A1348" s="1" t="s">
        <v>707</v>
      </c>
      <c r="B1348" s="1" t="s">
        <v>700</v>
      </c>
      <c r="C1348" s="1" t="s">
        <v>700</v>
      </c>
      <c r="D1348" s="1" t="s">
        <v>624</v>
      </c>
      <c r="E1348" s="1" t="s">
        <v>337</v>
      </c>
      <c r="N1348" s="7">
        <v>45947</v>
      </c>
      <c r="O1348" s="1">
        <v>180</v>
      </c>
      <c r="P1348" s="7">
        <v>46127</v>
      </c>
      <c r="Q1348" s="1" t="s">
        <v>330</v>
      </c>
      <c r="T1348" s="1" t="s">
        <v>627</v>
      </c>
      <c r="U1348" s="1" t="s">
        <v>628</v>
      </c>
      <c r="V1348" s="1">
        <v>1</v>
      </c>
      <c r="W1348" s="3">
        <v>14370.83</v>
      </c>
      <c r="X1348" s="3">
        <v>14370.83</v>
      </c>
      <c r="Y1348" s="1" t="str">
        <f>VLOOKUP(A1348,[1]Detalle!$D$2:$CR$484,93,FALSE)</f>
        <v>ADA_CH - Danone Arg. S.A. - Chascomus</v>
      </c>
    </row>
    <row r="1349" spans="1:25" ht="14.25" customHeight="1" x14ac:dyDescent="0.3">
      <c r="A1349" s="1" t="s">
        <v>707</v>
      </c>
      <c r="B1349" s="1" t="s">
        <v>700</v>
      </c>
      <c r="C1349" s="1" t="s">
        <v>700</v>
      </c>
      <c r="D1349" s="1" t="s">
        <v>624</v>
      </c>
      <c r="E1349" s="1" t="s">
        <v>337</v>
      </c>
      <c r="N1349" s="7">
        <v>45947</v>
      </c>
      <c r="O1349" s="1">
        <v>180</v>
      </c>
      <c r="P1349" s="7">
        <v>46127</v>
      </c>
      <c r="Q1349" s="1" t="s">
        <v>330</v>
      </c>
      <c r="T1349" s="1" t="s">
        <v>629</v>
      </c>
      <c r="U1349" s="1" t="s">
        <v>630</v>
      </c>
      <c r="V1349" s="1">
        <v>1</v>
      </c>
      <c r="W1349" s="3">
        <v>7200</v>
      </c>
      <c r="X1349" s="3">
        <v>7200</v>
      </c>
      <c r="Y1349" s="1" t="str">
        <f>VLOOKUP(A1349,[1]Detalle!$D$2:$CR$484,93,FALSE)</f>
        <v>ADA_CH - Danone Arg. S.A. - Chascomus</v>
      </c>
    </row>
    <row r="1350" spans="1:25" ht="14.25" customHeight="1" x14ac:dyDescent="0.3">
      <c r="A1350" s="1" t="s">
        <v>707</v>
      </c>
      <c r="B1350" s="1" t="s">
        <v>700</v>
      </c>
      <c r="C1350" s="1" t="s">
        <v>700</v>
      </c>
      <c r="D1350" s="1" t="s">
        <v>624</v>
      </c>
      <c r="E1350" s="1" t="s">
        <v>337</v>
      </c>
      <c r="N1350" s="7">
        <v>45947</v>
      </c>
      <c r="O1350" s="1">
        <v>180</v>
      </c>
      <c r="P1350" s="7">
        <v>46127</v>
      </c>
      <c r="Q1350" s="1" t="s">
        <v>330</v>
      </c>
      <c r="T1350" s="1" t="s">
        <v>631</v>
      </c>
      <c r="U1350" s="1" t="s">
        <v>632</v>
      </c>
      <c r="V1350" s="1">
        <v>1</v>
      </c>
      <c r="W1350" s="3">
        <v>7286.36</v>
      </c>
      <c r="X1350" s="3">
        <v>7286.36</v>
      </c>
      <c r="Y1350" s="1" t="str">
        <f>VLOOKUP(A1350,[1]Detalle!$D$2:$CR$484,93,FALSE)</f>
        <v>ADA_CH - Danone Arg. S.A. - Chascomus</v>
      </c>
    </row>
    <row r="1351" spans="1:25" ht="14.25" customHeight="1" x14ac:dyDescent="0.3">
      <c r="A1351" s="1" t="s">
        <v>707</v>
      </c>
      <c r="B1351" s="1" t="s">
        <v>700</v>
      </c>
      <c r="C1351" s="1" t="s">
        <v>700</v>
      </c>
      <c r="D1351" s="1" t="s">
        <v>624</v>
      </c>
      <c r="E1351" s="1" t="s">
        <v>337</v>
      </c>
      <c r="N1351" s="7">
        <v>45947</v>
      </c>
      <c r="O1351" s="1">
        <v>180</v>
      </c>
      <c r="P1351" s="7">
        <v>46127</v>
      </c>
      <c r="Q1351" s="1" t="s">
        <v>330</v>
      </c>
      <c r="T1351" s="1" t="s">
        <v>633</v>
      </c>
      <c r="U1351" s="1" t="s">
        <v>634</v>
      </c>
      <c r="V1351" s="1">
        <v>4</v>
      </c>
      <c r="W1351" s="3">
        <v>153102.49</v>
      </c>
      <c r="X1351" s="3">
        <v>612409.96</v>
      </c>
      <c r="Y1351" s="1" t="str">
        <f>VLOOKUP(A1351,[1]Detalle!$D$2:$CR$484,93,FALSE)</f>
        <v>ADA_CH - Danone Arg. S.A. - Chascomus</v>
      </c>
    </row>
    <row r="1352" spans="1:25" ht="14.25" customHeight="1" x14ac:dyDescent="0.3">
      <c r="A1352" s="1" t="s">
        <v>708</v>
      </c>
      <c r="B1352" s="1" t="s">
        <v>700</v>
      </c>
      <c r="C1352" s="1" t="s">
        <v>700</v>
      </c>
      <c r="D1352" s="1" t="s">
        <v>624</v>
      </c>
      <c r="E1352" s="1" t="s">
        <v>337</v>
      </c>
      <c r="N1352" s="7">
        <v>45947</v>
      </c>
      <c r="O1352" s="1">
        <v>180</v>
      </c>
      <c r="P1352" s="7">
        <v>46127</v>
      </c>
      <c r="Q1352" s="1" t="s">
        <v>330</v>
      </c>
      <c r="T1352" s="1" t="s">
        <v>625</v>
      </c>
      <c r="U1352" s="1" t="s">
        <v>626</v>
      </c>
      <c r="V1352" s="1">
        <v>1</v>
      </c>
      <c r="W1352" s="3">
        <v>57923.55</v>
      </c>
      <c r="X1352" s="3">
        <v>57923.55</v>
      </c>
      <c r="Y1352" s="1" t="str">
        <f>VLOOKUP(A1352,[1]Detalle!$D$2:$CR$484,93,FALSE)</f>
        <v>ADA_CH - Danone Arg. S.A. - Chascomus</v>
      </c>
    </row>
    <row r="1353" spans="1:25" ht="14.25" customHeight="1" x14ac:dyDescent="0.3">
      <c r="A1353" s="1" t="s">
        <v>708</v>
      </c>
      <c r="B1353" s="1" t="s">
        <v>700</v>
      </c>
      <c r="C1353" s="1" t="s">
        <v>700</v>
      </c>
      <c r="D1353" s="1" t="s">
        <v>624</v>
      </c>
      <c r="E1353" s="1" t="s">
        <v>337</v>
      </c>
      <c r="N1353" s="7">
        <v>45947</v>
      </c>
      <c r="O1353" s="1">
        <v>180</v>
      </c>
      <c r="P1353" s="7">
        <v>46127</v>
      </c>
      <c r="Q1353" s="1" t="s">
        <v>330</v>
      </c>
      <c r="T1353" s="1" t="s">
        <v>627</v>
      </c>
      <c r="U1353" s="1" t="s">
        <v>628</v>
      </c>
      <c r="V1353" s="1">
        <v>1</v>
      </c>
      <c r="W1353" s="3">
        <v>14370.83</v>
      </c>
      <c r="X1353" s="3">
        <v>14370.83</v>
      </c>
      <c r="Y1353" s="1" t="str">
        <f>VLOOKUP(A1353,[1]Detalle!$D$2:$CR$484,93,FALSE)</f>
        <v>ADA_CH - Danone Arg. S.A. - Chascomus</v>
      </c>
    </row>
    <row r="1354" spans="1:25" ht="14.25" customHeight="1" x14ac:dyDescent="0.3">
      <c r="A1354" s="1" t="s">
        <v>708</v>
      </c>
      <c r="B1354" s="1" t="s">
        <v>700</v>
      </c>
      <c r="C1354" s="1" t="s">
        <v>700</v>
      </c>
      <c r="D1354" s="1" t="s">
        <v>624</v>
      </c>
      <c r="E1354" s="1" t="s">
        <v>337</v>
      </c>
      <c r="N1354" s="7">
        <v>45947</v>
      </c>
      <c r="O1354" s="1">
        <v>180</v>
      </c>
      <c r="P1354" s="7">
        <v>46127</v>
      </c>
      <c r="Q1354" s="1" t="s">
        <v>330</v>
      </c>
      <c r="T1354" s="1" t="s">
        <v>629</v>
      </c>
      <c r="U1354" s="1" t="s">
        <v>630</v>
      </c>
      <c r="V1354" s="1">
        <v>1</v>
      </c>
      <c r="W1354" s="3">
        <v>7200</v>
      </c>
      <c r="X1354" s="3">
        <v>7200</v>
      </c>
      <c r="Y1354" s="1" t="str">
        <f>VLOOKUP(A1354,[1]Detalle!$D$2:$CR$484,93,FALSE)</f>
        <v>ADA_CH - Danone Arg. S.A. - Chascomus</v>
      </c>
    </row>
    <row r="1355" spans="1:25" ht="14.25" customHeight="1" x14ac:dyDescent="0.3">
      <c r="A1355" s="1" t="s">
        <v>708</v>
      </c>
      <c r="B1355" s="1" t="s">
        <v>700</v>
      </c>
      <c r="C1355" s="1" t="s">
        <v>700</v>
      </c>
      <c r="D1355" s="1" t="s">
        <v>624</v>
      </c>
      <c r="E1355" s="1" t="s">
        <v>337</v>
      </c>
      <c r="N1355" s="7">
        <v>45947</v>
      </c>
      <c r="O1355" s="1">
        <v>180</v>
      </c>
      <c r="P1355" s="7">
        <v>46127</v>
      </c>
      <c r="Q1355" s="1" t="s">
        <v>330</v>
      </c>
      <c r="T1355" s="1" t="s">
        <v>631</v>
      </c>
      <c r="U1355" s="1" t="s">
        <v>632</v>
      </c>
      <c r="V1355" s="1">
        <v>1</v>
      </c>
      <c r="W1355" s="3">
        <v>7286.36</v>
      </c>
      <c r="X1355" s="3">
        <v>7286.36</v>
      </c>
      <c r="Y1355" s="1" t="str">
        <f>VLOOKUP(A1355,[1]Detalle!$D$2:$CR$484,93,FALSE)</f>
        <v>ADA_CH - Danone Arg. S.A. - Chascomus</v>
      </c>
    </row>
    <row r="1356" spans="1:25" ht="14.25" customHeight="1" x14ac:dyDescent="0.3">
      <c r="A1356" s="1" t="s">
        <v>708</v>
      </c>
      <c r="B1356" s="1" t="s">
        <v>700</v>
      </c>
      <c r="C1356" s="1" t="s">
        <v>700</v>
      </c>
      <c r="D1356" s="1" t="s">
        <v>624</v>
      </c>
      <c r="E1356" s="1" t="s">
        <v>337</v>
      </c>
      <c r="N1356" s="7">
        <v>45947</v>
      </c>
      <c r="O1356" s="1">
        <v>180</v>
      </c>
      <c r="P1356" s="7">
        <v>46127</v>
      </c>
      <c r="Q1356" s="1" t="s">
        <v>330</v>
      </c>
      <c r="T1356" s="1" t="s">
        <v>633</v>
      </c>
      <c r="U1356" s="1" t="s">
        <v>634</v>
      </c>
      <c r="V1356" s="1">
        <v>4</v>
      </c>
      <c r="W1356" s="3">
        <v>153102.49</v>
      </c>
      <c r="X1356" s="3">
        <v>612409.96</v>
      </c>
      <c r="Y1356" s="1" t="str">
        <f>VLOOKUP(A1356,[1]Detalle!$D$2:$CR$484,93,FALSE)</f>
        <v>ADA_CH - Danone Arg. S.A. - Chascomus</v>
      </c>
    </row>
    <row r="1357" spans="1:25" ht="14.25" customHeight="1" x14ac:dyDescent="0.3">
      <c r="A1357" s="1" t="s">
        <v>709</v>
      </c>
      <c r="B1357" s="1" t="s">
        <v>700</v>
      </c>
      <c r="C1357" s="1" t="s">
        <v>700</v>
      </c>
      <c r="D1357" s="1" t="s">
        <v>624</v>
      </c>
      <c r="E1357" s="1" t="s">
        <v>337</v>
      </c>
      <c r="N1357" s="7">
        <v>45947</v>
      </c>
      <c r="O1357" s="1">
        <v>180</v>
      </c>
      <c r="P1357" s="7">
        <v>46127</v>
      </c>
      <c r="Q1357" s="1" t="s">
        <v>330</v>
      </c>
      <c r="T1357" s="1" t="s">
        <v>625</v>
      </c>
      <c r="U1357" s="1" t="s">
        <v>626</v>
      </c>
      <c r="V1357" s="1">
        <v>1</v>
      </c>
      <c r="W1357" s="3">
        <v>57923.55</v>
      </c>
      <c r="X1357" s="3">
        <v>57923.55</v>
      </c>
      <c r="Y1357" s="1" t="str">
        <f>VLOOKUP(A1357,[1]Detalle!$D$2:$CR$484,93,FALSE)</f>
        <v>ADA_CH - Danone Arg. S.A. - Chascomus</v>
      </c>
    </row>
    <row r="1358" spans="1:25" ht="14.25" customHeight="1" x14ac:dyDescent="0.3">
      <c r="A1358" s="1" t="s">
        <v>709</v>
      </c>
      <c r="B1358" s="1" t="s">
        <v>700</v>
      </c>
      <c r="C1358" s="1" t="s">
        <v>700</v>
      </c>
      <c r="D1358" s="1" t="s">
        <v>624</v>
      </c>
      <c r="E1358" s="1" t="s">
        <v>337</v>
      </c>
      <c r="N1358" s="7">
        <v>45947</v>
      </c>
      <c r="O1358" s="1">
        <v>180</v>
      </c>
      <c r="P1358" s="7">
        <v>46127</v>
      </c>
      <c r="Q1358" s="1" t="s">
        <v>330</v>
      </c>
      <c r="T1358" s="1" t="s">
        <v>627</v>
      </c>
      <c r="U1358" s="1" t="s">
        <v>628</v>
      </c>
      <c r="V1358" s="1">
        <v>1</v>
      </c>
      <c r="W1358" s="3">
        <v>14370.83</v>
      </c>
      <c r="X1358" s="3">
        <v>14370.83</v>
      </c>
      <c r="Y1358" s="1" t="str">
        <f>VLOOKUP(A1358,[1]Detalle!$D$2:$CR$484,93,FALSE)</f>
        <v>ADA_CH - Danone Arg. S.A. - Chascomus</v>
      </c>
    </row>
    <row r="1359" spans="1:25" ht="14.25" customHeight="1" x14ac:dyDescent="0.3">
      <c r="A1359" s="1" t="s">
        <v>709</v>
      </c>
      <c r="B1359" s="1" t="s">
        <v>700</v>
      </c>
      <c r="C1359" s="1" t="s">
        <v>700</v>
      </c>
      <c r="D1359" s="1" t="s">
        <v>624</v>
      </c>
      <c r="E1359" s="1" t="s">
        <v>337</v>
      </c>
      <c r="N1359" s="7">
        <v>45947</v>
      </c>
      <c r="O1359" s="1">
        <v>180</v>
      </c>
      <c r="P1359" s="7">
        <v>46127</v>
      </c>
      <c r="Q1359" s="1" t="s">
        <v>330</v>
      </c>
      <c r="T1359" s="1" t="s">
        <v>629</v>
      </c>
      <c r="U1359" s="1" t="s">
        <v>630</v>
      </c>
      <c r="V1359" s="1">
        <v>1</v>
      </c>
      <c r="W1359" s="3">
        <v>7200</v>
      </c>
      <c r="X1359" s="3">
        <v>7200</v>
      </c>
      <c r="Y1359" s="1" t="str">
        <f>VLOOKUP(A1359,[1]Detalle!$D$2:$CR$484,93,FALSE)</f>
        <v>ADA_CH - Danone Arg. S.A. - Chascomus</v>
      </c>
    </row>
    <row r="1360" spans="1:25" ht="14.25" customHeight="1" x14ac:dyDescent="0.3">
      <c r="A1360" s="1" t="s">
        <v>709</v>
      </c>
      <c r="B1360" s="1" t="s">
        <v>700</v>
      </c>
      <c r="C1360" s="1" t="s">
        <v>700</v>
      </c>
      <c r="D1360" s="1" t="s">
        <v>624</v>
      </c>
      <c r="E1360" s="1" t="s">
        <v>337</v>
      </c>
      <c r="N1360" s="7">
        <v>45947</v>
      </c>
      <c r="O1360" s="1">
        <v>180</v>
      </c>
      <c r="P1360" s="7">
        <v>46127</v>
      </c>
      <c r="Q1360" s="1" t="s">
        <v>330</v>
      </c>
      <c r="T1360" s="1" t="s">
        <v>631</v>
      </c>
      <c r="U1360" s="1" t="s">
        <v>632</v>
      </c>
      <c r="V1360" s="1">
        <v>1</v>
      </c>
      <c r="W1360" s="3">
        <v>7286.36</v>
      </c>
      <c r="X1360" s="3">
        <v>7286.36</v>
      </c>
      <c r="Y1360" s="1" t="str">
        <f>VLOOKUP(A1360,[1]Detalle!$D$2:$CR$484,93,FALSE)</f>
        <v>ADA_CH - Danone Arg. S.A. - Chascomus</v>
      </c>
    </row>
    <row r="1361" spans="1:25" ht="14.25" customHeight="1" x14ac:dyDescent="0.3">
      <c r="A1361" s="1" t="s">
        <v>709</v>
      </c>
      <c r="B1361" s="1" t="s">
        <v>700</v>
      </c>
      <c r="C1361" s="1" t="s">
        <v>700</v>
      </c>
      <c r="D1361" s="1" t="s">
        <v>624</v>
      </c>
      <c r="E1361" s="1" t="s">
        <v>337</v>
      </c>
      <c r="N1361" s="7">
        <v>45947</v>
      </c>
      <c r="O1361" s="1">
        <v>180</v>
      </c>
      <c r="P1361" s="7">
        <v>46127</v>
      </c>
      <c r="Q1361" s="1" t="s">
        <v>330</v>
      </c>
      <c r="T1361" s="1" t="s">
        <v>633</v>
      </c>
      <c r="U1361" s="1" t="s">
        <v>634</v>
      </c>
      <c r="V1361" s="1">
        <v>4</v>
      </c>
      <c r="W1361" s="3">
        <v>153102.49</v>
      </c>
      <c r="X1361" s="3">
        <v>612409.96</v>
      </c>
      <c r="Y1361" s="1" t="str">
        <f>VLOOKUP(A1361,[1]Detalle!$D$2:$CR$484,93,FALSE)</f>
        <v>ADA_CH - Danone Arg. S.A. - Chascomus</v>
      </c>
    </row>
    <row r="1362" spans="1:25" ht="14.25" customHeight="1" x14ac:dyDescent="0.3">
      <c r="A1362" s="1" t="s">
        <v>710</v>
      </c>
      <c r="B1362" s="1" t="s">
        <v>700</v>
      </c>
      <c r="C1362" s="1" t="s">
        <v>700</v>
      </c>
      <c r="D1362" s="1" t="s">
        <v>624</v>
      </c>
      <c r="E1362" s="1" t="s">
        <v>337</v>
      </c>
      <c r="N1362" s="7">
        <v>45947</v>
      </c>
      <c r="O1362" s="1">
        <v>180</v>
      </c>
      <c r="P1362" s="7">
        <v>46127</v>
      </c>
      <c r="Q1362" s="1" t="s">
        <v>330</v>
      </c>
      <c r="T1362" s="1" t="s">
        <v>625</v>
      </c>
      <c r="U1362" s="1" t="s">
        <v>626</v>
      </c>
      <c r="V1362" s="1">
        <v>1</v>
      </c>
      <c r="W1362" s="3">
        <v>57923.55</v>
      </c>
      <c r="X1362" s="3">
        <v>57923.55</v>
      </c>
      <c r="Y1362" s="1" t="str">
        <f>VLOOKUP(A1362,[1]Detalle!$D$2:$CR$484,93,FALSE)</f>
        <v>ADA_CH - Danone Arg. S.A. - Chascomus</v>
      </c>
    </row>
    <row r="1363" spans="1:25" ht="14.25" customHeight="1" x14ac:dyDescent="0.3">
      <c r="A1363" s="1" t="s">
        <v>710</v>
      </c>
      <c r="B1363" s="1" t="s">
        <v>700</v>
      </c>
      <c r="C1363" s="1" t="s">
        <v>700</v>
      </c>
      <c r="D1363" s="1" t="s">
        <v>624</v>
      </c>
      <c r="E1363" s="1" t="s">
        <v>337</v>
      </c>
      <c r="N1363" s="7">
        <v>45947</v>
      </c>
      <c r="O1363" s="1">
        <v>180</v>
      </c>
      <c r="P1363" s="7">
        <v>46127</v>
      </c>
      <c r="Q1363" s="1" t="s">
        <v>330</v>
      </c>
      <c r="T1363" s="1" t="s">
        <v>627</v>
      </c>
      <c r="U1363" s="1" t="s">
        <v>628</v>
      </c>
      <c r="V1363" s="1">
        <v>1</v>
      </c>
      <c r="W1363" s="3">
        <v>14370.83</v>
      </c>
      <c r="X1363" s="3">
        <v>14370.83</v>
      </c>
      <c r="Y1363" s="1" t="str">
        <f>VLOOKUP(A1363,[1]Detalle!$D$2:$CR$484,93,FALSE)</f>
        <v>ADA_CH - Danone Arg. S.A. - Chascomus</v>
      </c>
    </row>
    <row r="1364" spans="1:25" ht="14.25" customHeight="1" x14ac:dyDescent="0.3">
      <c r="A1364" s="1" t="s">
        <v>710</v>
      </c>
      <c r="B1364" s="1" t="s">
        <v>700</v>
      </c>
      <c r="C1364" s="1" t="s">
        <v>700</v>
      </c>
      <c r="D1364" s="1" t="s">
        <v>624</v>
      </c>
      <c r="E1364" s="1" t="s">
        <v>337</v>
      </c>
      <c r="N1364" s="7">
        <v>45947</v>
      </c>
      <c r="O1364" s="1">
        <v>180</v>
      </c>
      <c r="P1364" s="7">
        <v>46127</v>
      </c>
      <c r="Q1364" s="1" t="s">
        <v>330</v>
      </c>
      <c r="T1364" s="1" t="s">
        <v>629</v>
      </c>
      <c r="U1364" s="1" t="s">
        <v>630</v>
      </c>
      <c r="V1364" s="1">
        <v>1</v>
      </c>
      <c r="W1364" s="3">
        <v>7200</v>
      </c>
      <c r="X1364" s="3">
        <v>7200</v>
      </c>
      <c r="Y1364" s="1" t="str">
        <f>VLOOKUP(A1364,[1]Detalle!$D$2:$CR$484,93,FALSE)</f>
        <v>ADA_CH - Danone Arg. S.A. - Chascomus</v>
      </c>
    </row>
    <row r="1365" spans="1:25" ht="14.25" customHeight="1" x14ac:dyDescent="0.3">
      <c r="A1365" s="1" t="s">
        <v>710</v>
      </c>
      <c r="B1365" s="1" t="s">
        <v>700</v>
      </c>
      <c r="C1365" s="1" t="s">
        <v>700</v>
      </c>
      <c r="D1365" s="1" t="s">
        <v>624</v>
      </c>
      <c r="E1365" s="1" t="s">
        <v>337</v>
      </c>
      <c r="N1365" s="7">
        <v>45947</v>
      </c>
      <c r="O1365" s="1">
        <v>180</v>
      </c>
      <c r="P1365" s="7">
        <v>46127</v>
      </c>
      <c r="Q1365" s="1" t="s">
        <v>330</v>
      </c>
      <c r="T1365" s="1" t="s">
        <v>631</v>
      </c>
      <c r="U1365" s="1" t="s">
        <v>632</v>
      </c>
      <c r="V1365" s="1">
        <v>1</v>
      </c>
      <c r="W1365" s="3">
        <v>7286.36</v>
      </c>
      <c r="X1365" s="3">
        <v>7286.36</v>
      </c>
      <c r="Y1365" s="1" t="str">
        <f>VLOOKUP(A1365,[1]Detalle!$D$2:$CR$484,93,FALSE)</f>
        <v>ADA_CH - Danone Arg. S.A. - Chascomus</v>
      </c>
    </row>
    <row r="1366" spans="1:25" ht="14.25" customHeight="1" x14ac:dyDescent="0.3">
      <c r="A1366" s="1" t="s">
        <v>710</v>
      </c>
      <c r="B1366" s="1" t="s">
        <v>700</v>
      </c>
      <c r="C1366" s="1" t="s">
        <v>700</v>
      </c>
      <c r="D1366" s="1" t="s">
        <v>624</v>
      </c>
      <c r="E1366" s="1" t="s">
        <v>337</v>
      </c>
      <c r="N1366" s="7">
        <v>45947</v>
      </c>
      <c r="O1366" s="1">
        <v>180</v>
      </c>
      <c r="P1366" s="7">
        <v>46127</v>
      </c>
      <c r="Q1366" s="1" t="s">
        <v>330</v>
      </c>
      <c r="T1366" s="1" t="s">
        <v>633</v>
      </c>
      <c r="U1366" s="1" t="s">
        <v>634</v>
      </c>
      <c r="V1366" s="1">
        <v>4</v>
      </c>
      <c r="W1366" s="3">
        <v>153102.49</v>
      </c>
      <c r="X1366" s="3">
        <v>612409.96</v>
      </c>
      <c r="Y1366" s="1" t="str">
        <f>VLOOKUP(A1366,[1]Detalle!$D$2:$CR$484,93,FALSE)</f>
        <v>ADA_CH - Danone Arg. S.A. - Chascomus</v>
      </c>
    </row>
    <row r="1367" spans="1:25" ht="14.25" customHeight="1" x14ac:dyDescent="0.3">
      <c r="A1367" s="1" t="s">
        <v>711</v>
      </c>
      <c r="B1367" s="1" t="s">
        <v>700</v>
      </c>
      <c r="C1367" s="1" t="s">
        <v>700</v>
      </c>
      <c r="D1367" s="1" t="s">
        <v>624</v>
      </c>
      <c r="E1367" s="1" t="s">
        <v>337</v>
      </c>
      <c r="N1367" s="7">
        <v>45947</v>
      </c>
      <c r="O1367" s="1">
        <v>180</v>
      </c>
      <c r="P1367" s="7">
        <v>46127</v>
      </c>
      <c r="Q1367" s="1" t="s">
        <v>330</v>
      </c>
      <c r="T1367" s="1" t="s">
        <v>625</v>
      </c>
      <c r="U1367" s="1" t="s">
        <v>626</v>
      </c>
      <c r="V1367" s="1">
        <v>1</v>
      </c>
      <c r="W1367" s="3">
        <v>57923.55</v>
      </c>
      <c r="X1367" s="3">
        <v>57923.55</v>
      </c>
      <c r="Y1367" s="1" t="str">
        <f>VLOOKUP(A1367,[1]Detalle!$D$2:$CR$484,93,FALSE)</f>
        <v>ADA_CH - Danone Arg. S.A. - Chascomus</v>
      </c>
    </row>
    <row r="1368" spans="1:25" ht="14.25" customHeight="1" x14ac:dyDescent="0.3">
      <c r="A1368" s="1" t="s">
        <v>711</v>
      </c>
      <c r="B1368" s="1" t="s">
        <v>700</v>
      </c>
      <c r="C1368" s="1" t="s">
        <v>700</v>
      </c>
      <c r="D1368" s="1" t="s">
        <v>624</v>
      </c>
      <c r="E1368" s="1" t="s">
        <v>337</v>
      </c>
      <c r="N1368" s="7">
        <v>45947</v>
      </c>
      <c r="O1368" s="1">
        <v>180</v>
      </c>
      <c r="P1368" s="7">
        <v>46127</v>
      </c>
      <c r="Q1368" s="1" t="s">
        <v>330</v>
      </c>
      <c r="T1368" s="1" t="s">
        <v>627</v>
      </c>
      <c r="U1368" s="1" t="s">
        <v>628</v>
      </c>
      <c r="V1368" s="1">
        <v>1</v>
      </c>
      <c r="W1368" s="3">
        <v>14370.83</v>
      </c>
      <c r="X1368" s="3">
        <v>14370.83</v>
      </c>
      <c r="Y1368" s="1" t="str">
        <f>VLOOKUP(A1368,[1]Detalle!$D$2:$CR$484,93,FALSE)</f>
        <v>ADA_CH - Danone Arg. S.A. - Chascomus</v>
      </c>
    </row>
    <row r="1369" spans="1:25" ht="14.25" customHeight="1" x14ac:dyDescent="0.3">
      <c r="A1369" s="1" t="s">
        <v>711</v>
      </c>
      <c r="B1369" s="1" t="s">
        <v>700</v>
      </c>
      <c r="C1369" s="1" t="s">
        <v>700</v>
      </c>
      <c r="D1369" s="1" t="s">
        <v>624</v>
      </c>
      <c r="E1369" s="1" t="s">
        <v>337</v>
      </c>
      <c r="N1369" s="7">
        <v>45947</v>
      </c>
      <c r="O1369" s="1">
        <v>180</v>
      </c>
      <c r="P1369" s="7">
        <v>46127</v>
      </c>
      <c r="Q1369" s="1" t="s">
        <v>330</v>
      </c>
      <c r="T1369" s="1" t="s">
        <v>629</v>
      </c>
      <c r="U1369" s="1" t="s">
        <v>630</v>
      </c>
      <c r="V1369" s="1">
        <v>1</v>
      </c>
      <c r="W1369" s="3">
        <v>7200</v>
      </c>
      <c r="X1369" s="3">
        <v>7200</v>
      </c>
      <c r="Y1369" s="1" t="str">
        <f>VLOOKUP(A1369,[1]Detalle!$D$2:$CR$484,93,FALSE)</f>
        <v>ADA_CH - Danone Arg. S.A. - Chascomus</v>
      </c>
    </row>
    <row r="1370" spans="1:25" ht="14.25" customHeight="1" x14ac:dyDescent="0.3">
      <c r="A1370" s="1" t="s">
        <v>711</v>
      </c>
      <c r="B1370" s="1" t="s">
        <v>700</v>
      </c>
      <c r="C1370" s="1" t="s">
        <v>700</v>
      </c>
      <c r="D1370" s="1" t="s">
        <v>624</v>
      </c>
      <c r="E1370" s="1" t="s">
        <v>337</v>
      </c>
      <c r="N1370" s="7">
        <v>45947</v>
      </c>
      <c r="O1370" s="1">
        <v>180</v>
      </c>
      <c r="P1370" s="7">
        <v>46127</v>
      </c>
      <c r="Q1370" s="1" t="s">
        <v>330</v>
      </c>
      <c r="T1370" s="1" t="s">
        <v>631</v>
      </c>
      <c r="U1370" s="1" t="s">
        <v>632</v>
      </c>
      <c r="V1370" s="1">
        <v>1</v>
      </c>
      <c r="W1370" s="3">
        <v>7286.36</v>
      </c>
      <c r="X1370" s="3">
        <v>7286.36</v>
      </c>
      <c r="Y1370" s="1" t="str">
        <f>VLOOKUP(A1370,[1]Detalle!$D$2:$CR$484,93,FALSE)</f>
        <v>ADA_CH - Danone Arg. S.A. - Chascomus</v>
      </c>
    </row>
    <row r="1371" spans="1:25" ht="14.25" customHeight="1" x14ac:dyDescent="0.3">
      <c r="A1371" s="1" t="s">
        <v>711</v>
      </c>
      <c r="B1371" s="1" t="s">
        <v>700</v>
      </c>
      <c r="C1371" s="1" t="s">
        <v>700</v>
      </c>
      <c r="D1371" s="1" t="s">
        <v>624</v>
      </c>
      <c r="E1371" s="1" t="s">
        <v>337</v>
      </c>
      <c r="N1371" s="7">
        <v>45947</v>
      </c>
      <c r="O1371" s="1">
        <v>180</v>
      </c>
      <c r="P1371" s="7">
        <v>46127</v>
      </c>
      <c r="Q1371" s="1" t="s">
        <v>330</v>
      </c>
      <c r="T1371" s="1" t="s">
        <v>633</v>
      </c>
      <c r="U1371" s="1" t="s">
        <v>634</v>
      </c>
      <c r="V1371" s="1">
        <v>4</v>
      </c>
      <c r="W1371" s="3">
        <v>153102.49</v>
      </c>
      <c r="X1371" s="3">
        <v>612409.96</v>
      </c>
      <c r="Y1371" s="1" t="str">
        <f>VLOOKUP(A1371,[1]Detalle!$D$2:$CR$484,93,FALSE)</f>
        <v>ADA_CH - Danone Arg. S.A. - Chascomus</v>
      </c>
    </row>
    <row r="1372" spans="1:25" ht="14.25" customHeight="1" x14ac:dyDescent="0.3">
      <c r="A1372" s="1" t="s">
        <v>712</v>
      </c>
      <c r="B1372" s="1" t="s">
        <v>700</v>
      </c>
      <c r="C1372" s="1" t="s">
        <v>700</v>
      </c>
      <c r="D1372" s="1" t="s">
        <v>624</v>
      </c>
      <c r="E1372" s="1" t="s">
        <v>337</v>
      </c>
      <c r="N1372" s="7">
        <v>45947</v>
      </c>
      <c r="O1372" s="1">
        <v>180</v>
      </c>
      <c r="P1372" s="7">
        <v>46127</v>
      </c>
      <c r="Q1372" s="1" t="s">
        <v>330</v>
      </c>
      <c r="T1372" s="1" t="s">
        <v>625</v>
      </c>
      <c r="U1372" s="1" t="s">
        <v>626</v>
      </c>
      <c r="V1372" s="1">
        <v>1</v>
      </c>
      <c r="W1372" s="3">
        <v>57923.55</v>
      </c>
      <c r="X1372" s="3">
        <v>57923.55</v>
      </c>
      <c r="Y1372" s="1" t="str">
        <f>VLOOKUP(A1372,[1]Detalle!$D$2:$CR$484,93,FALSE)</f>
        <v>ADA_CH - Danone Arg. S.A. - Chascomus</v>
      </c>
    </row>
    <row r="1373" spans="1:25" ht="14.25" customHeight="1" x14ac:dyDescent="0.3">
      <c r="A1373" s="1" t="s">
        <v>712</v>
      </c>
      <c r="B1373" s="1" t="s">
        <v>700</v>
      </c>
      <c r="C1373" s="1" t="s">
        <v>700</v>
      </c>
      <c r="D1373" s="1" t="s">
        <v>624</v>
      </c>
      <c r="E1373" s="1" t="s">
        <v>337</v>
      </c>
      <c r="N1373" s="7">
        <v>45947</v>
      </c>
      <c r="O1373" s="1">
        <v>180</v>
      </c>
      <c r="P1373" s="7">
        <v>46127</v>
      </c>
      <c r="Q1373" s="1" t="s">
        <v>330</v>
      </c>
      <c r="T1373" s="1" t="s">
        <v>627</v>
      </c>
      <c r="U1373" s="1" t="s">
        <v>628</v>
      </c>
      <c r="V1373" s="1">
        <v>1</v>
      </c>
      <c r="W1373" s="3">
        <v>14370.83</v>
      </c>
      <c r="X1373" s="3">
        <v>14370.83</v>
      </c>
      <c r="Y1373" s="1" t="str">
        <f>VLOOKUP(A1373,[1]Detalle!$D$2:$CR$484,93,FALSE)</f>
        <v>ADA_CH - Danone Arg. S.A. - Chascomus</v>
      </c>
    </row>
    <row r="1374" spans="1:25" ht="14.25" customHeight="1" x14ac:dyDescent="0.3">
      <c r="A1374" s="1" t="s">
        <v>712</v>
      </c>
      <c r="B1374" s="1" t="s">
        <v>700</v>
      </c>
      <c r="C1374" s="1" t="s">
        <v>700</v>
      </c>
      <c r="D1374" s="1" t="s">
        <v>624</v>
      </c>
      <c r="E1374" s="1" t="s">
        <v>337</v>
      </c>
      <c r="N1374" s="7">
        <v>45947</v>
      </c>
      <c r="O1374" s="1">
        <v>180</v>
      </c>
      <c r="P1374" s="7">
        <v>46127</v>
      </c>
      <c r="Q1374" s="1" t="s">
        <v>330</v>
      </c>
      <c r="T1374" s="1" t="s">
        <v>629</v>
      </c>
      <c r="U1374" s="1" t="s">
        <v>630</v>
      </c>
      <c r="V1374" s="1">
        <v>1</v>
      </c>
      <c r="W1374" s="3">
        <v>7200</v>
      </c>
      <c r="X1374" s="3">
        <v>7200</v>
      </c>
      <c r="Y1374" s="1" t="str">
        <f>VLOOKUP(A1374,[1]Detalle!$D$2:$CR$484,93,FALSE)</f>
        <v>ADA_CH - Danone Arg. S.A. - Chascomus</v>
      </c>
    </row>
    <row r="1375" spans="1:25" ht="14.25" customHeight="1" x14ac:dyDescent="0.3">
      <c r="A1375" s="1" t="s">
        <v>712</v>
      </c>
      <c r="B1375" s="1" t="s">
        <v>700</v>
      </c>
      <c r="C1375" s="1" t="s">
        <v>700</v>
      </c>
      <c r="D1375" s="1" t="s">
        <v>624</v>
      </c>
      <c r="E1375" s="1" t="s">
        <v>337</v>
      </c>
      <c r="N1375" s="7">
        <v>45947</v>
      </c>
      <c r="O1375" s="1">
        <v>180</v>
      </c>
      <c r="P1375" s="7">
        <v>46127</v>
      </c>
      <c r="Q1375" s="1" t="s">
        <v>330</v>
      </c>
      <c r="T1375" s="1" t="s">
        <v>631</v>
      </c>
      <c r="U1375" s="1" t="s">
        <v>632</v>
      </c>
      <c r="V1375" s="1">
        <v>1</v>
      </c>
      <c r="W1375" s="3">
        <v>7286.36</v>
      </c>
      <c r="X1375" s="3">
        <v>7286.36</v>
      </c>
      <c r="Y1375" s="1" t="str">
        <f>VLOOKUP(A1375,[1]Detalle!$D$2:$CR$484,93,FALSE)</f>
        <v>ADA_CH - Danone Arg. S.A. - Chascomus</v>
      </c>
    </row>
    <row r="1376" spans="1:25" ht="14.25" customHeight="1" x14ac:dyDescent="0.3">
      <c r="A1376" s="1" t="s">
        <v>712</v>
      </c>
      <c r="B1376" s="1" t="s">
        <v>700</v>
      </c>
      <c r="C1376" s="1" t="s">
        <v>700</v>
      </c>
      <c r="D1376" s="1" t="s">
        <v>624</v>
      </c>
      <c r="E1376" s="1" t="s">
        <v>337</v>
      </c>
      <c r="N1376" s="7">
        <v>45947</v>
      </c>
      <c r="O1376" s="1">
        <v>180</v>
      </c>
      <c r="P1376" s="7">
        <v>46127</v>
      </c>
      <c r="Q1376" s="1" t="s">
        <v>330</v>
      </c>
      <c r="T1376" s="1" t="s">
        <v>633</v>
      </c>
      <c r="U1376" s="1" t="s">
        <v>634</v>
      </c>
      <c r="V1376" s="1">
        <v>4</v>
      </c>
      <c r="W1376" s="3">
        <v>153102.49</v>
      </c>
      <c r="X1376" s="3">
        <v>612409.96</v>
      </c>
      <c r="Y1376" s="1" t="str">
        <f>VLOOKUP(A1376,[1]Detalle!$D$2:$CR$484,93,FALSE)</f>
        <v>ADA_CH - Danone Arg. S.A. - Chascomus</v>
      </c>
    </row>
    <row r="1377" spans="1:25" ht="14.25" customHeight="1" x14ac:dyDescent="0.3">
      <c r="A1377" s="1" t="s">
        <v>713</v>
      </c>
      <c r="B1377" s="1" t="s">
        <v>700</v>
      </c>
      <c r="C1377" s="1" t="s">
        <v>700</v>
      </c>
      <c r="D1377" s="1" t="s">
        <v>624</v>
      </c>
      <c r="E1377" s="1" t="s">
        <v>337</v>
      </c>
      <c r="G1377" s="1">
        <v>181</v>
      </c>
      <c r="H1377" s="1">
        <v>100</v>
      </c>
      <c r="I1377" s="1">
        <v>80</v>
      </c>
      <c r="J1377" s="1">
        <v>101</v>
      </c>
      <c r="N1377" s="7">
        <v>45947</v>
      </c>
      <c r="O1377" s="1">
        <v>180</v>
      </c>
      <c r="P1377" s="7">
        <v>46127</v>
      </c>
      <c r="Q1377" s="1" t="s">
        <v>330</v>
      </c>
      <c r="T1377" s="1" t="s">
        <v>625</v>
      </c>
      <c r="U1377" s="1" t="s">
        <v>626</v>
      </c>
      <c r="V1377" s="1">
        <v>1</v>
      </c>
      <c r="W1377" s="3">
        <v>57923.55</v>
      </c>
      <c r="X1377" s="3">
        <v>57923.55</v>
      </c>
      <c r="Y1377" s="1" t="str">
        <f>VLOOKUP(A1377,[1]Detalle!$D$2:$CR$484,93,FALSE)</f>
        <v>ADA_CH - Danone Arg. S.A. - Chascomus</v>
      </c>
    </row>
    <row r="1378" spans="1:25" ht="14.25" customHeight="1" x14ac:dyDescent="0.3">
      <c r="A1378" s="1" t="s">
        <v>713</v>
      </c>
      <c r="B1378" s="1" t="s">
        <v>700</v>
      </c>
      <c r="C1378" s="1" t="s">
        <v>700</v>
      </c>
      <c r="D1378" s="1" t="s">
        <v>624</v>
      </c>
      <c r="E1378" s="1" t="s">
        <v>337</v>
      </c>
      <c r="G1378" s="1">
        <v>181</v>
      </c>
      <c r="H1378" s="1">
        <v>100</v>
      </c>
      <c r="I1378" s="1">
        <v>80</v>
      </c>
      <c r="J1378" s="1">
        <v>101</v>
      </c>
      <c r="N1378" s="7">
        <v>45947</v>
      </c>
      <c r="O1378" s="1">
        <v>180</v>
      </c>
      <c r="P1378" s="7">
        <v>46127</v>
      </c>
      <c r="Q1378" s="1" t="s">
        <v>330</v>
      </c>
      <c r="T1378" s="1" t="s">
        <v>627</v>
      </c>
      <c r="U1378" s="1" t="s">
        <v>628</v>
      </c>
      <c r="V1378" s="1">
        <v>1</v>
      </c>
      <c r="W1378" s="3">
        <v>14370.83</v>
      </c>
      <c r="X1378" s="3">
        <v>14370.83</v>
      </c>
      <c r="Y1378" s="1" t="str">
        <f>VLOOKUP(A1378,[1]Detalle!$D$2:$CR$484,93,FALSE)</f>
        <v>ADA_CH - Danone Arg. S.A. - Chascomus</v>
      </c>
    </row>
    <row r="1379" spans="1:25" ht="14.25" customHeight="1" x14ac:dyDescent="0.3">
      <c r="A1379" s="1" t="s">
        <v>713</v>
      </c>
      <c r="B1379" s="1" t="s">
        <v>700</v>
      </c>
      <c r="C1379" s="1" t="s">
        <v>700</v>
      </c>
      <c r="D1379" s="1" t="s">
        <v>624</v>
      </c>
      <c r="E1379" s="1" t="s">
        <v>337</v>
      </c>
      <c r="G1379" s="1">
        <v>181</v>
      </c>
      <c r="H1379" s="1">
        <v>100</v>
      </c>
      <c r="I1379" s="1">
        <v>80</v>
      </c>
      <c r="J1379" s="1">
        <v>101</v>
      </c>
      <c r="N1379" s="7">
        <v>45947</v>
      </c>
      <c r="O1379" s="1">
        <v>180</v>
      </c>
      <c r="P1379" s="7">
        <v>46127</v>
      </c>
      <c r="Q1379" s="1" t="s">
        <v>330</v>
      </c>
      <c r="T1379" s="1" t="s">
        <v>629</v>
      </c>
      <c r="U1379" s="1" t="s">
        <v>630</v>
      </c>
      <c r="V1379" s="1">
        <v>1</v>
      </c>
      <c r="W1379" s="3">
        <v>7200</v>
      </c>
      <c r="X1379" s="3">
        <v>7200</v>
      </c>
      <c r="Y1379" s="1" t="str">
        <f>VLOOKUP(A1379,[1]Detalle!$D$2:$CR$484,93,FALSE)</f>
        <v>ADA_CH - Danone Arg. S.A. - Chascomus</v>
      </c>
    </row>
    <row r="1380" spans="1:25" ht="14.25" customHeight="1" x14ac:dyDescent="0.3">
      <c r="A1380" s="1" t="s">
        <v>713</v>
      </c>
      <c r="B1380" s="1" t="s">
        <v>700</v>
      </c>
      <c r="C1380" s="1" t="s">
        <v>700</v>
      </c>
      <c r="D1380" s="1" t="s">
        <v>624</v>
      </c>
      <c r="E1380" s="1" t="s">
        <v>337</v>
      </c>
      <c r="G1380" s="1">
        <v>181</v>
      </c>
      <c r="H1380" s="1">
        <v>100</v>
      </c>
      <c r="I1380" s="1">
        <v>80</v>
      </c>
      <c r="J1380" s="1">
        <v>101</v>
      </c>
      <c r="N1380" s="7">
        <v>45947</v>
      </c>
      <c r="O1380" s="1">
        <v>180</v>
      </c>
      <c r="P1380" s="7">
        <v>46127</v>
      </c>
      <c r="Q1380" s="1" t="s">
        <v>330</v>
      </c>
      <c r="T1380" s="1" t="s">
        <v>631</v>
      </c>
      <c r="U1380" s="1" t="s">
        <v>632</v>
      </c>
      <c r="V1380" s="1">
        <v>1</v>
      </c>
      <c r="W1380" s="3">
        <v>7286.36</v>
      </c>
      <c r="X1380" s="3">
        <v>7286.36</v>
      </c>
      <c r="Y1380" s="1" t="str">
        <f>VLOOKUP(A1380,[1]Detalle!$D$2:$CR$484,93,FALSE)</f>
        <v>ADA_CH - Danone Arg. S.A. - Chascomus</v>
      </c>
    </row>
    <row r="1381" spans="1:25" ht="14.25" customHeight="1" x14ac:dyDescent="0.3">
      <c r="A1381" s="1" t="s">
        <v>713</v>
      </c>
      <c r="B1381" s="1" t="s">
        <v>700</v>
      </c>
      <c r="C1381" s="1" t="s">
        <v>700</v>
      </c>
      <c r="D1381" s="1" t="s">
        <v>624</v>
      </c>
      <c r="E1381" s="1" t="s">
        <v>337</v>
      </c>
      <c r="G1381" s="1">
        <v>181</v>
      </c>
      <c r="H1381" s="1">
        <v>100</v>
      </c>
      <c r="I1381" s="1">
        <v>80</v>
      </c>
      <c r="J1381" s="1">
        <v>101</v>
      </c>
      <c r="N1381" s="7">
        <v>45947</v>
      </c>
      <c r="O1381" s="1">
        <v>180</v>
      </c>
      <c r="P1381" s="7">
        <v>46127</v>
      </c>
      <c r="Q1381" s="1" t="s">
        <v>330</v>
      </c>
      <c r="T1381" s="1" t="s">
        <v>633</v>
      </c>
      <c r="U1381" s="1" t="s">
        <v>634</v>
      </c>
      <c r="V1381" s="1">
        <v>4</v>
      </c>
      <c r="W1381" s="3">
        <v>153102.49</v>
      </c>
      <c r="X1381" s="3">
        <v>612409.96</v>
      </c>
      <c r="Y1381" s="1" t="str">
        <f>VLOOKUP(A1381,[1]Detalle!$D$2:$CR$484,93,FALSE)</f>
        <v>ADA_CH - Danone Arg. S.A. - Chascomus</v>
      </c>
    </row>
    <row r="1382" spans="1:25" ht="14.25" customHeight="1" x14ac:dyDescent="0.3">
      <c r="A1382" s="1" t="s">
        <v>128</v>
      </c>
      <c r="B1382" s="1" t="s">
        <v>714</v>
      </c>
      <c r="C1382" s="1" t="s">
        <v>714</v>
      </c>
      <c r="D1382" s="1" t="s">
        <v>715</v>
      </c>
      <c r="E1382" s="1" t="s">
        <v>337</v>
      </c>
      <c r="N1382" s="7">
        <v>45947</v>
      </c>
      <c r="O1382" s="1">
        <v>180</v>
      </c>
      <c r="P1382" s="7">
        <v>46127</v>
      </c>
      <c r="Q1382" s="1" t="s">
        <v>330</v>
      </c>
      <c r="T1382" s="1" t="s">
        <v>716</v>
      </c>
      <c r="U1382" s="1" t="s">
        <v>717</v>
      </c>
      <c r="V1382" s="1">
        <v>1</v>
      </c>
      <c r="W1382" s="3">
        <v>17073.78</v>
      </c>
      <c r="X1382" s="3">
        <v>17073.78</v>
      </c>
      <c r="Y1382" s="1" t="str">
        <f>VLOOKUP(A1382,[1]Detalle!$D$2:$CR$484,93,FALSE)</f>
        <v>Arcor S.A.I.C.</v>
      </c>
    </row>
    <row r="1383" spans="1:25" ht="14.25" customHeight="1" x14ac:dyDescent="0.3">
      <c r="A1383" s="1" t="s">
        <v>128</v>
      </c>
      <c r="B1383" s="1" t="s">
        <v>714</v>
      </c>
      <c r="C1383" s="1" t="s">
        <v>714</v>
      </c>
      <c r="D1383" s="1" t="s">
        <v>715</v>
      </c>
      <c r="E1383" s="1" t="s">
        <v>337</v>
      </c>
      <c r="N1383" s="7">
        <v>45947</v>
      </c>
      <c r="O1383" s="1">
        <v>180</v>
      </c>
      <c r="P1383" s="7">
        <v>46127</v>
      </c>
      <c r="Q1383" s="1" t="s">
        <v>330</v>
      </c>
      <c r="T1383" s="1" t="s">
        <v>718</v>
      </c>
      <c r="U1383" s="1" t="s">
        <v>719</v>
      </c>
      <c r="V1383" s="1">
        <v>1</v>
      </c>
      <c r="W1383" s="3">
        <v>13800</v>
      </c>
      <c r="X1383" s="3">
        <v>13800</v>
      </c>
      <c r="Y1383" s="1" t="str">
        <f>VLOOKUP(A1383,[1]Detalle!$D$2:$CR$484,93,FALSE)</f>
        <v>Arcor S.A.I.C.</v>
      </c>
    </row>
    <row r="1384" spans="1:25" ht="14.25" customHeight="1" x14ac:dyDescent="0.3">
      <c r="A1384" s="1" t="s">
        <v>128</v>
      </c>
      <c r="B1384" s="1" t="s">
        <v>714</v>
      </c>
      <c r="C1384" s="1" t="s">
        <v>714</v>
      </c>
      <c r="D1384" s="1" t="s">
        <v>715</v>
      </c>
      <c r="E1384" s="1" t="s">
        <v>337</v>
      </c>
      <c r="N1384" s="7">
        <v>45947</v>
      </c>
      <c r="O1384" s="1">
        <v>180</v>
      </c>
      <c r="P1384" s="7">
        <v>46127</v>
      </c>
      <c r="Q1384" s="1" t="s">
        <v>330</v>
      </c>
      <c r="T1384" s="1" t="s">
        <v>616</v>
      </c>
      <c r="U1384" s="1" t="s">
        <v>617</v>
      </c>
      <c r="V1384" s="1">
        <v>4</v>
      </c>
      <c r="W1384" s="3">
        <v>3407.49</v>
      </c>
      <c r="X1384" s="3">
        <v>13629.96</v>
      </c>
      <c r="Y1384" s="1" t="str">
        <f>VLOOKUP(A1384,[1]Detalle!$D$2:$CR$484,93,FALSE)</f>
        <v>Arcor S.A.I.C.</v>
      </c>
    </row>
    <row r="1385" spans="1:25" ht="14.25" customHeight="1" x14ac:dyDescent="0.3">
      <c r="A1385" s="1" t="s">
        <v>207</v>
      </c>
      <c r="B1385" s="1" t="s">
        <v>714</v>
      </c>
      <c r="C1385" s="1" t="s">
        <v>714</v>
      </c>
      <c r="D1385" s="1" t="s">
        <v>715</v>
      </c>
      <c r="E1385" s="1" t="s">
        <v>337</v>
      </c>
      <c r="F1385" s="1">
        <v>331282</v>
      </c>
      <c r="G1385" s="1">
        <v>331462</v>
      </c>
      <c r="H1385" s="1">
        <v>13312.400000000011</v>
      </c>
      <c r="I1385" s="1">
        <v>-13132.400000000011</v>
      </c>
      <c r="J1385" s="1">
        <v>344594.4</v>
      </c>
      <c r="K1385" s="1">
        <v>145</v>
      </c>
      <c r="L1385" s="1">
        <v>91.809655172413841</v>
      </c>
      <c r="M1385" s="1">
        <v>-143.039421892371</v>
      </c>
      <c r="N1385" s="7">
        <v>45947</v>
      </c>
      <c r="O1385" s="1">
        <v>180</v>
      </c>
      <c r="P1385" s="7">
        <v>46127</v>
      </c>
      <c r="Q1385" s="1" t="s">
        <v>330</v>
      </c>
      <c r="T1385" s="1" t="s">
        <v>716</v>
      </c>
      <c r="U1385" s="1" t="s">
        <v>717</v>
      </c>
      <c r="V1385" s="1">
        <v>1</v>
      </c>
      <c r="W1385" s="3">
        <v>17073.78</v>
      </c>
      <c r="X1385" s="3">
        <v>17073.78</v>
      </c>
      <c r="Y1385" s="1" t="str">
        <f>VLOOKUP(A1385,[1]Detalle!$D$2:$CR$484,93,FALSE)</f>
        <v>Arcor S.A.I.C.</v>
      </c>
    </row>
    <row r="1386" spans="1:25" ht="14.25" customHeight="1" x14ac:dyDescent="0.3">
      <c r="A1386" s="1" t="s">
        <v>207</v>
      </c>
      <c r="B1386" s="1" t="s">
        <v>714</v>
      </c>
      <c r="C1386" s="1" t="s">
        <v>714</v>
      </c>
      <c r="D1386" s="1" t="s">
        <v>715</v>
      </c>
      <c r="E1386" s="1" t="s">
        <v>337</v>
      </c>
      <c r="F1386" s="1">
        <v>331282</v>
      </c>
      <c r="G1386" s="1">
        <v>331462</v>
      </c>
      <c r="H1386" s="1">
        <v>13312.400000000011</v>
      </c>
      <c r="I1386" s="1">
        <v>-13132.400000000011</v>
      </c>
      <c r="J1386" s="1">
        <v>344594.4</v>
      </c>
      <c r="K1386" s="1">
        <v>145</v>
      </c>
      <c r="L1386" s="1">
        <v>91.809655172413841</v>
      </c>
      <c r="M1386" s="1">
        <v>-143.039421892371</v>
      </c>
      <c r="N1386" s="7">
        <v>45947</v>
      </c>
      <c r="O1386" s="1">
        <v>180</v>
      </c>
      <c r="P1386" s="7">
        <v>46127</v>
      </c>
      <c r="Q1386" s="1" t="s">
        <v>330</v>
      </c>
      <c r="T1386" s="1" t="s">
        <v>718</v>
      </c>
      <c r="U1386" s="1" t="s">
        <v>719</v>
      </c>
      <c r="V1386" s="1">
        <v>1</v>
      </c>
      <c r="W1386" s="3">
        <v>13800</v>
      </c>
      <c r="X1386" s="3">
        <v>13800</v>
      </c>
      <c r="Y1386" s="1" t="str">
        <f>VLOOKUP(A1386,[1]Detalle!$D$2:$CR$484,93,FALSE)</f>
        <v>Arcor S.A.I.C.</v>
      </c>
    </row>
    <row r="1387" spans="1:25" ht="14.25" customHeight="1" x14ac:dyDescent="0.3">
      <c r="A1387" s="1" t="s">
        <v>207</v>
      </c>
      <c r="B1387" s="1" t="s">
        <v>714</v>
      </c>
      <c r="C1387" s="1" t="s">
        <v>714</v>
      </c>
      <c r="D1387" s="1" t="s">
        <v>715</v>
      </c>
      <c r="E1387" s="1" t="s">
        <v>337</v>
      </c>
      <c r="F1387" s="1">
        <v>331282</v>
      </c>
      <c r="G1387" s="1">
        <v>331462</v>
      </c>
      <c r="H1387" s="1">
        <v>13312.400000000011</v>
      </c>
      <c r="I1387" s="1">
        <v>-13132.400000000011</v>
      </c>
      <c r="J1387" s="1">
        <v>344594.4</v>
      </c>
      <c r="K1387" s="1">
        <v>145</v>
      </c>
      <c r="L1387" s="1">
        <v>91.809655172413841</v>
      </c>
      <c r="M1387" s="1">
        <v>-143.039421892371</v>
      </c>
      <c r="N1387" s="7">
        <v>45947</v>
      </c>
      <c r="O1387" s="1">
        <v>180</v>
      </c>
      <c r="P1387" s="7">
        <v>46127</v>
      </c>
      <c r="Q1387" s="1" t="s">
        <v>330</v>
      </c>
      <c r="T1387" s="1" t="s">
        <v>616</v>
      </c>
      <c r="U1387" s="1" t="s">
        <v>617</v>
      </c>
      <c r="V1387" s="1">
        <v>4</v>
      </c>
      <c r="W1387" s="3">
        <v>3407.49</v>
      </c>
      <c r="X1387" s="3">
        <v>13629.96</v>
      </c>
      <c r="Y1387" s="1" t="str">
        <f>VLOOKUP(A1387,[1]Detalle!$D$2:$CR$484,93,FALSE)</f>
        <v>Arcor S.A.I.C.</v>
      </c>
    </row>
    <row r="1388" spans="1:25" ht="14.25" customHeight="1" x14ac:dyDescent="0.3">
      <c r="A1388" s="1" t="s">
        <v>208</v>
      </c>
      <c r="B1388" s="1" t="s">
        <v>714</v>
      </c>
      <c r="C1388" s="1" t="s">
        <v>714</v>
      </c>
      <c r="D1388" s="1" t="s">
        <v>715</v>
      </c>
      <c r="E1388" s="1" t="s">
        <v>337</v>
      </c>
      <c r="F1388" s="1">
        <v>269635</v>
      </c>
      <c r="G1388" s="1">
        <v>269815</v>
      </c>
      <c r="H1388" s="1">
        <v>12945.19999999999</v>
      </c>
      <c r="I1388" s="1">
        <v>-12765.19999999999</v>
      </c>
      <c r="J1388" s="1">
        <v>282580.2</v>
      </c>
      <c r="K1388" s="1">
        <v>149</v>
      </c>
      <c r="L1388" s="1">
        <v>86.880536912751623</v>
      </c>
      <c r="M1388" s="1">
        <v>-146.92818959923369</v>
      </c>
      <c r="N1388" s="7">
        <v>45947</v>
      </c>
      <c r="O1388" s="1">
        <v>180</v>
      </c>
      <c r="P1388" s="7">
        <v>46127</v>
      </c>
      <c r="Q1388" s="1" t="s">
        <v>330</v>
      </c>
      <c r="T1388" s="1" t="s">
        <v>716</v>
      </c>
      <c r="U1388" s="1" t="s">
        <v>717</v>
      </c>
      <c r="V1388" s="1">
        <v>1</v>
      </c>
      <c r="W1388" s="3">
        <v>17073.78</v>
      </c>
      <c r="X1388" s="3">
        <v>17073.78</v>
      </c>
      <c r="Y1388" s="1" t="str">
        <f>VLOOKUP(A1388,[1]Detalle!$D$2:$CR$484,93,FALSE)</f>
        <v>Arcor S.A.I.C.</v>
      </c>
    </row>
    <row r="1389" spans="1:25" ht="14.25" customHeight="1" x14ac:dyDescent="0.3">
      <c r="A1389" s="1" t="s">
        <v>208</v>
      </c>
      <c r="B1389" s="1" t="s">
        <v>714</v>
      </c>
      <c r="C1389" s="1" t="s">
        <v>714</v>
      </c>
      <c r="D1389" s="1" t="s">
        <v>715</v>
      </c>
      <c r="E1389" s="1" t="s">
        <v>337</v>
      </c>
      <c r="F1389" s="1">
        <v>269635</v>
      </c>
      <c r="G1389" s="1">
        <v>269815</v>
      </c>
      <c r="H1389" s="1">
        <v>12945.19999999999</v>
      </c>
      <c r="I1389" s="1">
        <v>-12765.19999999999</v>
      </c>
      <c r="J1389" s="1">
        <v>282580.2</v>
      </c>
      <c r="K1389" s="1">
        <v>149</v>
      </c>
      <c r="L1389" s="1">
        <v>86.880536912751623</v>
      </c>
      <c r="M1389" s="1">
        <v>-146.92818959923369</v>
      </c>
      <c r="N1389" s="7">
        <v>45947</v>
      </c>
      <c r="O1389" s="1">
        <v>180</v>
      </c>
      <c r="P1389" s="7">
        <v>46127</v>
      </c>
      <c r="Q1389" s="1" t="s">
        <v>330</v>
      </c>
      <c r="T1389" s="1" t="s">
        <v>718</v>
      </c>
      <c r="U1389" s="1" t="s">
        <v>719</v>
      </c>
      <c r="V1389" s="1">
        <v>1</v>
      </c>
      <c r="W1389" s="3">
        <v>13800</v>
      </c>
      <c r="X1389" s="3">
        <v>13800</v>
      </c>
      <c r="Y1389" s="1" t="str">
        <f>VLOOKUP(A1389,[1]Detalle!$D$2:$CR$484,93,FALSE)</f>
        <v>Arcor S.A.I.C.</v>
      </c>
    </row>
    <row r="1390" spans="1:25" ht="14.25" customHeight="1" x14ac:dyDescent="0.3">
      <c r="A1390" s="1" t="s">
        <v>208</v>
      </c>
      <c r="B1390" s="1" t="s">
        <v>714</v>
      </c>
      <c r="C1390" s="1" t="s">
        <v>714</v>
      </c>
      <c r="D1390" s="1" t="s">
        <v>715</v>
      </c>
      <c r="E1390" s="1" t="s">
        <v>337</v>
      </c>
      <c r="F1390" s="1">
        <v>269635</v>
      </c>
      <c r="G1390" s="1">
        <v>269815</v>
      </c>
      <c r="H1390" s="1">
        <v>12945.19999999999</v>
      </c>
      <c r="I1390" s="1">
        <v>-12765.19999999999</v>
      </c>
      <c r="J1390" s="1">
        <v>282580.2</v>
      </c>
      <c r="K1390" s="1">
        <v>149</v>
      </c>
      <c r="L1390" s="1">
        <v>86.880536912751623</v>
      </c>
      <c r="M1390" s="1">
        <v>-146.92818959923369</v>
      </c>
      <c r="N1390" s="7">
        <v>45947</v>
      </c>
      <c r="O1390" s="1">
        <v>180</v>
      </c>
      <c r="P1390" s="7">
        <v>46127</v>
      </c>
      <c r="Q1390" s="1" t="s">
        <v>330</v>
      </c>
      <c r="T1390" s="1" t="s">
        <v>616</v>
      </c>
      <c r="U1390" s="1" t="s">
        <v>617</v>
      </c>
      <c r="V1390" s="1">
        <v>4</v>
      </c>
      <c r="W1390" s="3">
        <v>3407.49</v>
      </c>
      <c r="X1390" s="3">
        <v>13629.96</v>
      </c>
      <c r="Y1390" s="1" t="str">
        <f>VLOOKUP(A1390,[1]Detalle!$D$2:$CR$484,93,FALSE)</f>
        <v>Arcor S.A.I.C.</v>
      </c>
    </row>
    <row r="1391" spans="1:25" ht="14.25" customHeight="1" x14ac:dyDescent="0.3">
      <c r="A1391" s="1" t="s">
        <v>622</v>
      </c>
      <c r="B1391" s="1" t="s">
        <v>714</v>
      </c>
      <c r="C1391" s="1" t="s">
        <v>714</v>
      </c>
      <c r="D1391" s="1" t="s">
        <v>715</v>
      </c>
      <c r="E1391" s="1" t="s">
        <v>337</v>
      </c>
      <c r="F1391" s="1">
        <v>22731.7</v>
      </c>
      <c r="G1391" s="1">
        <v>22911.7</v>
      </c>
      <c r="H1391" s="1">
        <v>0</v>
      </c>
      <c r="I1391" s="1">
        <v>180</v>
      </c>
      <c r="J1391" s="1">
        <v>22731.7</v>
      </c>
      <c r="K1391" s="1">
        <v>148</v>
      </c>
      <c r="L1391" s="1">
        <v>100</v>
      </c>
      <c r="M1391" s="1">
        <v>1.8</v>
      </c>
      <c r="N1391" s="7">
        <v>45947</v>
      </c>
      <c r="O1391" s="1">
        <v>180</v>
      </c>
      <c r="P1391" s="7">
        <v>46127</v>
      </c>
      <c r="Q1391" s="1" t="s">
        <v>330</v>
      </c>
      <c r="T1391" s="1" t="s">
        <v>716</v>
      </c>
      <c r="U1391" s="1" t="s">
        <v>717</v>
      </c>
      <c r="V1391" s="1">
        <v>1</v>
      </c>
      <c r="W1391" s="3">
        <v>17073.78</v>
      </c>
      <c r="X1391" s="3">
        <v>17073.78</v>
      </c>
      <c r="Y1391" s="1" t="str">
        <f>VLOOKUP(A1391,[1]Detalle!$D$2:$CR$484,93,FALSE)</f>
        <v>Arcor S.A.I.C.</v>
      </c>
    </row>
    <row r="1392" spans="1:25" ht="14.25" customHeight="1" x14ac:dyDescent="0.3">
      <c r="A1392" s="1" t="s">
        <v>622</v>
      </c>
      <c r="B1392" s="1" t="s">
        <v>714</v>
      </c>
      <c r="C1392" s="1" t="s">
        <v>714</v>
      </c>
      <c r="D1392" s="1" t="s">
        <v>715</v>
      </c>
      <c r="E1392" s="1" t="s">
        <v>337</v>
      </c>
      <c r="F1392" s="1">
        <v>22731.7</v>
      </c>
      <c r="G1392" s="1">
        <v>22911.7</v>
      </c>
      <c r="H1392" s="1">
        <v>0</v>
      </c>
      <c r="I1392" s="1">
        <v>180</v>
      </c>
      <c r="J1392" s="1">
        <v>22731.7</v>
      </c>
      <c r="K1392" s="1">
        <v>148</v>
      </c>
      <c r="L1392" s="1">
        <v>100</v>
      </c>
      <c r="M1392" s="1">
        <v>1.8</v>
      </c>
      <c r="N1392" s="7">
        <v>45947</v>
      </c>
      <c r="O1392" s="1">
        <v>180</v>
      </c>
      <c r="P1392" s="7">
        <v>46127</v>
      </c>
      <c r="Q1392" s="1" t="s">
        <v>330</v>
      </c>
      <c r="T1392" s="1" t="s">
        <v>718</v>
      </c>
      <c r="U1392" s="1" t="s">
        <v>719</v>
      </c>
      <c r="V1392" s="1">
        <v>1</v>
      </c>
      <c r="W1392" s="3">
        <v>13800</v>
      </c>
      <c r="X1392" s="3">
        <v>13800</v>
      </c>
      <c r="Y1392" s="1" t="str">
        <f>VLOOKUP(A1392,[1]Detalle!$D$2:$CR$484,93,FALSE)</f>
        <v>Arcor S.A.I.C.</v>
      </c>
    </row>
    <row r="1393" spans="1:25" ht="14.25" customHeight="1" x14ac:dyDescent="0.3">
      <c r="A1393" s="1" t="s">
        <v>622</v>
      </c>
      <c r="B1393" s="1" t="s">
        <v>714</v>
      </c>
      <c r="C1393" s="1" t="s">
        <v>714</v>
      </c>
      <c r="D1393" s="1" t="s">
        <v>715</v>
      </c>
      <c r="E1393" s="1" t="s">
        <v>337</v>
      </c>
      <c r="F1393" s="1">
        <v>22731.7</v>
      </c>
      <c r="G1393" s="1">
        <v>22911.7</v>
      </c>
      <c r="H1393" s="1">
        <v>0</v>
      </c>
      <c r="I1393" s="1">
        <v>180</v>
      </c>
      <c r="J1393" s="1">
        <v>22731.7</v>
      </c>
      <c r="K1393" s="1">
        <v>148</v>
      </c>
      <c r="L1393" s="1">
        <v>100</v>
      </c>
      <c r="M1393" s="1">
        <v>1.8</v>
      </c>
      <c r="N1393" s="7">
        <v>45947</v>
      </c>
      <c r="O1393" s="1">
        <v>180</v>
      </c>
      <c r="P1393" s="7">
        <v>46127</v>
      </c>
      <c r="Q1393" s="1" t="s">
        <v>330</v>
      </c>
      <c r="T1393" s="1" t="s">
        <v>616</v>
      </c>
      <c r="U1393" s="1" t="s">
        <v>617</v>
      </c>
      <c r="V1393" s="1">
        <v>4</v>
      </c>
      <c r="W1393" s="3">
        <v>3407.49</v>
      </c>
      <c r="X1393" s="3">
        <v>13629.96</v>
      </c>
      <c r="Y1393" s="1" t="str">
        <f>VLOOKUP(A1393,[1]Detalle!$D$2:$CR$484,93,FALSE)</f>
        <v>Arcor S.A.I.C.</v>
      </c>
    </row>
    <row r="1394" spans="1:25" ht="14.25" customHeight="1" x14ac:dyDescent="0.3">
      <c r="A1394" s="1" t="s">
        <v>635</v>
      </c>
      <c r="B1394" s="1" t="s">
        <v>714</v>
      </c>
      <c r="C1394" s="1" t="s">
        <v>714</v>
      </c>
      <c r="D1394" s="1" t="s">
        <v>715</v>
      </c>
      <c r="E1394" s="1" t="s">
        <v>337</v>
      </c>
      <c r="N1394" s="7">
        <v>45947</v>
      </c>
      <c r="O1394" s="1">
        <v>180</v>
      </c>
      <c r="P1394" s="7">
        <v>46127</v>
      </c>
      <c r="Q1394" s="1" t="s">
        <v>330</v>
      </c>
      <c r="T1394" s="1" t="s">
        <v>716</v>
      </c>
      <c r="U1394" s="1" t="s">
        <v>717</v>
      </c>
      <c r="V1394" s="1">
        <v>1</v>
      </c>
      <c r="W1394" s="3">
        <v>17073.78</v>
      </c>
      <c r="X1394" s="3">
        <v>17073.78</v>
      </c>
      <c r="Y1394" s="1" t="str">
        <f>VLOOKUP(A1394,[1]Detalle!$D$2:$CR$484,93,FALSE)</f>
        <v>Arcor S.A.I.C.</v>
      </c>
    </row>
    <row r="1395" spans="1:25" ht="14.25" customHeight="1" x14ac:dyDescent="0.3">
      <c r="A1395" s="1" t="s">
        <v>635</v>
      </c>
      <c r="B1395" s="1" t="s">
        <v>714</v>
      </c>
      <c r="C1395" s="1" t="s">
        <v>714</v>
      </c>
      <c r="D1395" s="1" t="s">
        <v>715</v>
      </c>
      <c r="E1395" s="1" t="s">
        <v>337</v>
      </c>
      <c r="N1395" s="7">
        <v>45947</v>
      </c>
      <c r="O1395" s="1">
        <v>180</v>
      </c>
      <c r="P1395" s="7">
        <v>46127</v>
      </c>
      <c r="Q1395" s="1" t="s">
        <v>330</v>
      </c>
      <c r="T1395" s="1" t="s">
        <v>718</v>
      </c>
      <c r="U1395" s="1" t="s">
        <v>719</v>
      </c>
      <c r="V1395" s="1">
        <v>1</v>
      </c>
      <c r="W1395" s="3">
        <v>13800</v>
      </c>
      <c r="X1395" s="3">
        <v>13800</v>
      </c>
      <c r="Y1395" s="1" t="str">
        <f>VLOOKUP(A1395,[1]Detalle!$D$2:$CR$484,93,FALSE)</f>
        <v>Arcor S.A.I.C.</v>
      </c>
    </row>
    <row r="1396" spans="1:25" ht="14.25" customHeight="1" x14ac:dyDescent="0.3">
      <c r="A1396" s="1" t="s">
        <v>635</v>
      </c>
      <c r="B1396" s="1" t="s">
        <v>714</v>
      </c>
      <c r="C1396" s="1" t="s">
        <v>714</v>
      </c>
      <c r="D1396" s="1" t="s">
        <v>715</v>
      </c>
      <c r="E1396" s="1" t="s">
        <v>337</v>
      </c>
      <c r="N1396" s="7">
        <v>45947</v>
      </c>
      <c r="O1396" s="1">
        <v>180</v>
      </c>
      <c r="P1396" s="7">
        <v>46127</v>
      </c>
      <c r="Q1396" s="1" t="s">
        <v>330</v>
      </c>
      <c r="T1396" s="1" t="s">
        <v>616</v>
      </c>
      <c r="U1396" s="1" t="s">
        <v>617</v>
      </c>
      <c r="V1396" s="1">
        <v>4</v>
      </c>
      <c r="W1396" s="3">
        <v>3407.49</v>
      </c>
      <c r="X1396" s="3">
        <v>13629.96</v>
      </c>
      <c r="Y1396" s="1" t="str">
        <f>VLOOKUP(A1396,[1]Detalle!$D$2:$CR$484,93,FALSE)</f>
        <v>Arcor S.A.I.C.</v>
      </c>
    </row>
    <row r="1397" spans="1:25" ht="14.25" customHeight="1" x14ac:dyDescent="0.3">
      <c r="A1397" s="1" t="s">
        <v>87</v>
      </c>
      <c r="B1397" s="1" t="s">
        <v>714</v>
      </c>
      <c r="C1397" s="1" t="s">
        <v>714</v>
      </c>
      <c r="D1397" s="1" t="s">
        <v>715</v>
      </c>
      <c r="E1397" s="1" t="s">
        <v>337</v>
      </c>
      <c r="F1397" s="1">
        <v>43699.7</v>
      </c>
      <c r="G1397" s="1">
        <v>43879.7</v>
      </c>
      <c r="H1397" s="1">
        <v>0</v>
      </c>
      <c r="I1397" s="1">
        <v>180</v>
      </c>
      <c r="J1397" s="1">
        <v>43699.7</v>
      </c>
      <c r="K1397" s="1">
        <v>145</v>
      </c>
      <c r="L1397" s="1">
        <v>100</v>
      </c>
      <c r="M1397" s="1">
        <v>1.8</v>
      </c>
      <c r="N1397" s="7">
        <v>45947</v>
      </c>
      <c r="O1397" s="1">
        <v>180</v>
      </c>
      <c r="P1397" s="7">
        <v>46127</v>
      </c>
      <c r="Q1397" s="1" t="s">
        <v>330</v>
      </c>
      <c r="T1397" s="1" t="s">
        <v>716</v>
      </c>
      <c r="U1397" s="1" t="s">
        <v>717</v>
      </c>
      <c r="V1397" s="1">
        <v>1</v>
      </c>
      <c r="W1397" s="3">
        <v>17073.78</v>
      </c>
      <c r="X1397" s="3">
        <v>17073.78</v>
      </c>
      <c r="Y1397" s="1" t="str">
        <f>VLOOKUP(A1397,[1]Detalle!$D$2:$CR$484,93,FALSE)</f>
        <v>Arcor S.A.I.C.</v>
      </c>
    </row>
    <row r="1398" spans="1:25" ht="14.25" customHeight="1" x14ac:dyDescent="0.3">
      <c r="A1398" s="1" t="s">
        <v>87</v>
      </c>
      <c r="B1398" s="1" t="s">
        <v>714</v>
      </c>
      <c r="C1398" s="1" t="s">
        <v>714</v>
      </c>
      <c r="D1398" s="1" t="s">
        <v>715</v>
      </c>
      <c r="E1398" s="1" t="s">
        <v>337</v>
      </c>
      <c r="F1398" s="1">
        <v>43699.7</v>
      </c>
      <c r="G1398" s="1">
        <v>43879.7</v>
      </c>
      <c r="H1398" s="1">
        <v>0</v>
      </c>
      <c r="I1398" s="1">
        <v>180</v>
      </c>
      <c r="J1398" s="1">
        <v>43699.7</v>
      </c>
      <c r="K1398" s="1">
        <v>145</v>
      </c>
      <c r="L1398" s="1">
        <v>100</v>
      </c>
      <c r="M1398" s="1">
        <v>1.8</v>
      </c>
      <c r="N1398" s="7">
        <v>45947</v>
      </c>
      <c r="O1398" s="1">
        <v>180</v>
      </c>
      <c r="P1398" s="7">
        <v>46127</v>
      </c>
      <c r="Q1398" s="1" t="s">
        <v>330</v>
      </c>
      <c r="T1398" s="1" t="s">
        <v>718</v>
      </c>
      <c r="U1398" s="1" t="s">
        <v>719</v>
      </c>
      <c r="V1398" s="1">
        <v>1</v>
      </c>
      <c r="W1398" s="3">
        <v>13800</v>
      </c>
      <c r="X1398" s="3">
        <v>13800</v>
      </c>
      <c r="Y1398" s="1" t="str">
        <f>VLOOKUP(A1398,[1]Detalle!$D$2:$CR$484,93,FALSE)</f>
        <v>Arcor S.A.I.C.</v>
      </c>
    </row>
    <row r="1399" spans="1:25" ht="14.25" customHeight="1" x14ac:dyDescent="0.3">
      <c r="A1399" s="1" t="s">
        <v>87</v>
      </c>
      <c r="B1399" s="1" t="s">
        <v>714</v>
      </c>
      <c r="C1399" s="1" t="s">
        <v>714</v>
      </c>
      <c r="D1399" s="1" t="s">
        <v>715</v>
      </c>
      <c r="E1399" s="1" t="s">
        <v>337</v>
      </c>
      <c r="F1399" s="1">
        <v>43699.7</v>
      </c>
      <c r="G1399" s="1">
        <v>43879.7</v>
      </c>
      <c r="H1399" s="1">
        <v>0</v>
      </c>
      <c r="I1399" s="1">
        <v>180</v>
      </c>
      <c r="J1399" s="1">
        <v>43699.7</v>
      </c>
      <c r="K1399" s="1">
        <v>145</v>
      </c>
      <c r="L1399" s="1">
        <v>100</v>
      </c>
      <c r="M1399" s="1">
        <v>1.8</v>
      </c>
      <c r="N1399" s="7">
        <v>45947</v>
      </c>
      <c r="O1399" s="1">
        <v>180</v>
      </c>
      <c r="P1399" s="7">
        <v>46127</v>
      </c>
      <c r="Q1399" s="1" t="s">
        <v>330</v>
      </c>
      <c r="T1399" s="1" t="s">
        <v>616</v>
      </c>
      <c r="U1399" s="1" t="s">
        <v>617</v>
      </c>
      <c r="V1399" s="1">
        <v>4</v>
      </c>
      <c r="W1399" s="3">
        <v>3407.49</v>
      </c>
      <c r="X1399" s="3">
        <v>13629.96</v>
      </c>
      <c r="Y1399" s="1" t="str">
        <f>VLOOKUP(A1399,[1]Detalle!$D$2:$CR$484,93,FALSE)</f>
        <v>Arcor S.A.I.C.</v>
      </c>
    </row>
    <row r="1400" spans="1:25" ht="14.25" customHeight="1" x14ac:dyDescent="0.3">
      <c r="A1400" s="1" t="s">
        <v>636</v>
      </c>
      <c r="B1400" s="1" t="s">
        <v>714</v>
      </c>
      <c r="C1400" s="1" t="s">
        <v>714</v>
      </c>
      <c r="D1400" s="1" t="s">
        <v>715</v>
      </c>
      <c r="E1400" s="1" t="s">
        <v>337</v>
      </c>
      <c r="F1400" s="1">
        <v>22337.7</v>
      </c>
      <c r="G1400" s="1">
        <v>22517.7</v>
      </c>
      <c r="H1400" s="1">
        <v>0</v>
      </c>
      <c r="I1400" s="1">
        <v>180</v>
      </c>
      <c r="J1400" s="1">
        <v>22337.7</v>
      </c>
      <c r="K1400" s="1">
        <v>146</v>
      </c>
      <c r="L1400" s="1">
        <v>100</v>
      </c>
      <c r="M1400" s="1">
        <v>1.8</v>
      </c>
      <c r="N1400" s="7">
        <v>45947</v>
      </c>
      <c r="O1400" s="1">
        <v>180</v>
      </c>
      <c r="P1400" s="7">
        <v>46127</v>
      </c>
      <c r="Q1400" s="1" t="s">
        <v>330</v>
      </c>
      <c r="T1400" s="1" t="s">
        <v>716</v>
      </c>
      <c r="U1400" s="1" t="s">
        <v>717</v>
      </c>
      <c r="V1400" s="1">
        <v>1</v>
      </c>
      <c r="W1400" s="3">
        <v>17073.78</v>
      </c>
      <c r="X1400" s="3">
        <v>17073.78</v>
      </c>
      <c r="Y1400" s="1" t="str">
        <f>VLOOKUP(A1400,[1]Detalle!$D$2:$CR$484,93,FALSE)</f>
        <v>Arcor S.A.I.C.</v>
      </c>
    </row>
    <row r="1401" spans="1:25" ht="14.25" customHeight="1" x14ac:dyDescent="0.3">
      <c r="A1401" s="1" t="s">
        <v>636</v>
      </c>
      <c r="B1401" s="1" t="s">
        <v>714</v>
      </c>
      <c r="C1401" s="1" t="s">
        <v>714</v>
      </c>
      <c r="D1401" s="1" t="s">
        <v>715</v>
      </c>
      <c r="E1401" s="1" t="s">
        <v>337</v>
      </c>
      <c r="F1401" s="1">
        <v>22337.7</v>
      </c>
      <c r="G1401" s="1">
        <v>22517.7</v>
      </c>
      <c r="H1401" s="1">
        <v>0</v>
      </c>
      <c r="I1401" s="1">
        <v>180</v>
      </c>
      <c r="J1401" s="1">
        <v>22337.7</v>
      </c>
      <c r="K1401" s="1">
        <v>146</v>
      </c>
      <c r="L1401" s="1">
        <v>100</v>
      </c>
      <c r="M1401" s="1">
        <v>1.8</v>
      </c>
      <c r="N1401" s="7">
        <v>45947</v>
      </c>
      <c r="O1401" s="1">
        <v>180</v>
      </c>
      <c r="P1401" s="7">
        <v>46127</v>
      </c>
      <c r="Q1401" s="1" t="s">
        <v>330</v>
      </c>
      <c r="T1401" s="1" t="s">
        <v>718</v>
      </c>
      <c r="U1401" s="1" t="s">
        <v>719</v>
      </c>
      <c r="V1401" s="1">
        <v>1</v>
      </c>
      <c r="W1401" s="3">
        <v>13800</v>
      </c>
      <c r="X1401" s="3">
        <v>13800</v>
      </c>
      <c r="Y1401" s="1" t="str">
        <f>VLOOKUP(A1401,[1]Detalle!$D$2:$CR$484,93,FALSE)</f>
        <v>Arcor S.A.I.C.</v>
      </c>
    </row>
    <row r="1402" spans="1:25" ht="14.25" customHeight="1" x14ac:dyDescent="0.3">
      <c r="A1402" s="1" t="s">
        <v>636</v>
      </c>
      <c r="B1402" s="1" t="s">
        <v>714</v>
      </c>
      <c r="C1402" s="1" t="s">
        <v>714</v>
      </c>
      <c r="D1402" s="1" t="s">
        <v>715</v>
      </c>
      <c r="E1402" s="1" t="s">
        <v>337</v>
      </c>
      <c r="F1402" s="1">
        <v>22337.7</v>
      </c>
      <c r="G1402" s="1">
        <v>22517.7</v>
      </c>
      <c r="H1402" s="1">
        <v>0</v>
      </c>
      <c r="I1402" s="1">
        <v>180</v>
      </c>
      <c r="J1402" s="1">
        <v>22337.7</v>
      </c>
      <c r="K1402" s="1">
        <v>146</v>
      </c>
      <c r="L1402" s="1">
        <v>100</v>
      </c>
      <c r="M1402" s="1">
        <v>1.8</v>
      </c>
      <c r="N1402" s="7">
        <v>45947</v>
      </c>
      <c r="O1402" s="1">
        <v>180</v>
      </c>
      <c r="P1402" s="7">
        <v>46127</v>
      </c>
      <c r="Q1402" s="1" t="s">
        <v>330</v>
      </c>
      <c r="T1402" s="1" t="s">
        <v>616</v>
      </c>
      <c r="U1402" s="1" t="s">
        <v>617</v>
      </c>
      <c r="V1402" s="1">
        <v>4</v>
      </c>
      <c r="W1402" s="3">
        <v>3407.49</v>
      </c>
      <c r="X1402" s="3">
        <v>13629.96</v>
      </c>
      <c r="Y1402" s="1" t="str">
        <f>VLOOKUP(A1402,[1]Detalle!$D$2:$CR$484,93,FALSE)</f>
        <v>Arcor S.A.I.C.</v>
      </c>
    </row>
    <row r="1403" spans="1:25" ht="14.25" customHeight="1" x14ac:dyDescent="0.3">
      <c r="A1403" s="1" t="s">
        <v>637</v>
      </c>
      <c r="B1403" s="1" t="s">
        <v>714</v>
      </c>
      <c r="C1403" s="1" t="s">
        <v>714</v>
      </c>
      <c r="D1403" s="1" t="s">
        <v>715</v>
      </c>
      <c r="E1403" s="1" t="s">
        <v>337</v>
      </c>
      <c r="F1403" s="1">
        <v>25682</v>
      </c>
      <c r="G1403" s="1">
        <v>25862</v>
      </c>
      <c r="H1403" s="1">
        <v>8943.2999999999975</v>
      </c>
      <c r="I1403" s="1">
        <v>-8763.2999999999975</v>
      </c>
      <c r="J1403" s="1">
        <v>34625.300000000003</v>
      </c>
      <c r="K1403" s="1">
        <v>149</v>
      </c>
      <c r="L1403" s="1">
        <v>60.022147651006698</v>
      </c>
      <c r="M1403" s="1">
        <v>-146.0011069739358</v>
      </c>
      <c r="N1403" s="7">
        <v>45947</v>
      </c>
      <c r="O1403" s="1">
        <v>180</v>
      </c>
      <c r="P1403" s="7">
        <v>46127</v>
      </c>
      <c r="Q1403" s="1" t="s">
        <v>330</v>
      </c>
      <c r="T1403" s="1" t="s">
        <v>716</v>
      </c>
      <c r="U1403" s="1" t="s">
        <v>717</v>
      </c>
      <c r="V1403" s="1">
        <v>1</v>
      </c>
      <c r="W1403" s="3">
        <v>17073.78</v>
      </c>
      <c r="X1403" s="3">
        <v>17073.78</v>
      </c>
      <c r="Y1403" s="1" t="str">
        <f>VLOOKUP(A1403,[1]Detalle!$D$2:$CR$484,93,FALSE)</f>
        <v>Arcor S.A.I.C.</v>
      </c>
    </row>
    <row r="1404" spans="1:25" ht="14.25" customHeight="1" x14ac:dyDescent="0.3">
      <c r="A1404" s="1" t="s">
        <v>637</v>
      </c>
      <c r="B1404" s="1" t="s">
        <v>714</v>
      </c>
      <c r="C1404" s="1" t="s">
        <v>714</v>
      </c>
      <c r="D1404" s="1" t="s">
        <v>715</v>
      </c>
      <c r="E1404" s="1" t="s">
        <v>337</v>
      </c>
      <c r="F1404" s="1">
        <v>25682</v>
      </c>
      <c r="G1404" s="1">
        <v>25862</v>
      </c>
      <c r="H1404" s="1">
        <v>8943.2999999999975</v>
      </c>
      <c r="I1404" s="1">
        <v>-8763.2999999999975</v>
      </c>
      <c r="J1404" s="1">
        <v>34625.300000000003</v>
      </c>
      <c r="K1404" s="1">
        <v>149</v>
      </c>
      <c r="L1404" s="1">
        <v>60.022147651006698</v>
      </c>
      <c r="M1404" s="1">
        <v>-146.0011069739358</v>
      </c>
      <c r="N1404" s="7">
        <v>45947</v>
      </c>
      <c r="O1404" s="1">
        <v>180</v>
      </c>
      <c r="P1404" s="7">
        <v>46127</v>
      </c>
      <c r="Q1404" s="1" t="s">
        <v>330</v>
      </c>
      <c r="T1404" s="1" t="s">
        <v>718</v>
      </c>
      <c r="U1404" s="1" t="s">
        <v>719</v>
      </c>
      <c r="V1404" s="1">
        <v>1</v>
      </c>
      <c r="W1404" s="3">
        <v>13800</v>
      </c>
      <c r="X1404" s="3">
        <v>13800</v>
      </c>
      <c r="Y1404" s="1" t="str">
        <f>VLOOKUP(A1404,[1]Detalle!$D$2:$CR$484,93,FALSE)</f>
        <v>Arcor S.A.I.C.</v>
      </c>
    </row>
    <row r="1405" spans="1:25" ht="14.25" customHeight="1" x14ac:dyDescent="0.3">
      <c r="A1405" s="1" t="s">
        <v>637</v>
      </c>
      <c r="B1405" s="1" t="s">
        <v>714</v>
      </c>
      <c r="C1405" s="1" t="s">
        <v>714</v>
      </c>
      <c r="D1405" s="1" t="s">
        <v>715</v>
      </c>
      <c r="E1405" s="1" t="s">
        <v>337</v>
      </c>
      <c r="F1405" s="1">
        <v>25682</v>
      </c>
      <c r="G1405" s="1">
        <v>25862</v>
      </c>
      <c r="H1405" s="1">
        <v>8943.2999999999975</v>
      </c>
      <c r="I1405" s="1">
        <v>-8763.2999999999975</v>
      </c>
      <c r="J1405" s="1">
        <v>34625.300000000003</v>
      </c>
      <c r="K1405" s="1">
        <v>149</v>
      </c>
      <c r="L1405" s="1">
        <v>60.022147651006698</v>
      </c>
      <c r="M1405" s="1">
        <v>-146.0011069739358</v>
      </c>
      <c r="N1405" s="7">
        <v>45947</v>
      </c>
      <c r="O1405" s="1">
        <v>180</v>
      </c>
      <c r="P1405" s="7">
        <v>46127</v>
      </c>
      <c r="Q1405" s="1" t="s">
        <v>330</v>
      </c>
      <c r="T1405" s="1" t="s">
        <v>616</v>
      </c>
      <c r="U1405" s="1" t="s">
        <v>617</v>
      </c>
      <c r="V1405" s="1">
        <v>4</v>
      </c>
      <c r="W1405" s="3">
        <v>3407.49</v>
      </c>
      <c r="X1405" s="3">
        <v>13629.96</v>
      </c>
      <c r="Y1405" s="1" t="str">
        <f>VLOOKUP(A1405,[1]Detalle!$D$2:$CR$484,93,FALSE)</f>
        <v>Arcor S.A.I.C.</v>
      </c>
    </row>
    <row r="1406" spans="1:25" ht="14.25" customHeight="1" x14ac:dyDescent="0.3">
      <c r="A1406" s="1" t="s">
        <v>638</v>
      </c>
      <c r="B1406" s="1" t="s">
        <v>714</v>
      </c>
      <c r="C1406" s="1" t="s">
        <v>714</v>
      </c>
      <c r="D1406" s="1" t="s">
        <v>715</v>
      </c>
      <c r="E1406" s="1" t="s">
        <v>337</v>
      </c>
      <c r="F1406" s="1">
        <v>22616.400000000001</v>
      </c>
      <c r="G1406" s="1">
        <v>22796.400000000001</v>
      </c>
      <c r="H1406" s="1">
        <v>0</v>
      </c>
      <c r="I1406" s="1">
        <v>180</v>
      </c>
      <c r="J1406" s="1">
        <v>22616.400000000001</v>
      </c>
      <c r="K1406" s="1">
        <v>141</v>
      </c>
      <c r="L1406" s="1">
        <v>100</v>
      </c>
      <c r="M1406" s="1">
        <v>1.8</v>
      </c>
      <c r="N1406" s="7">
        <v>45947</v>
      </c>
      <c r="O1406" s="1">
        <v>180</v>
      </c>
      <c r="P1406" s="7">
        <v>46127</v>
      </c>
      <c r="Q1406" s="1" t="s">
        <v>330</v>
      </c>
      <c r="T1406" s="1" t="s">
        <v>716</v>
      </c>
      <c r="U1406" s="1" t="s">
        <v>717</v>
      </c>
      <c r="V1406" s="1">
        <v>1</v>
      </c>
      <c r="W1406" s="3">
        <v>17073.78</v>
      </c>
      <c r="X1406" s="3">
        <v>17073.78</v>
      </c>
      <c r="Y1406" s="1" t="str">
        <f>VLOOKUP(A1406,[1]Detalle!$D$2:$CR$484,93,FALSE)</f>
        <v>Arcor S.A.I.C.</v>
      </c>
    </row>
    <row r="1407" spans="1:25" ht="14.25" customHeight="1" x14ac:dyDescent="0.3">
      <c r="A1407" s="1" t="s">
        <v>638</v>
      </c>
      <c r="B1407" s="1" t="s">
        <v>714</v>
      </c>
      <c r="C1407" s="1" t="s">
        <v>714</v>
      </c>
      <c r="D1407" s="1" t="s">
        <v>715</v>
      </c>
      <c r="E1407" s="1" t="s">
        <v>337</v>
      </c>
      <c r="F1407" s="1">
        <v>22616.400000000001</v>
      </c>
      <c r="G1407" s="1">
        <v>22796.400000000001</v>
      </c>
      <c r="H1407" s="1">
        <v>0</v>
      </c>
      <c r="I1407" s="1">
        <v>180</v>
      </c>
      <c r="J1407" s="1">
        <v>22616.400000000001</v>
      </c>
      <c r="K1407" s="1">
        <v>141</v>
      </c>
      <c r="L1407" s="1">
        <v>100</v>
      </c>
      <c r="M1407" s="1">
        <v>1.8</v>
      </c>
      <c r="N1407" s="7">
        <v>45947</v>
      </c>
      <c r="O1407" s="1">
        <v>180</v>
      </c>
      <c r="P1407" s="7">
        <v>46127</v>
      </c>
      <c r="Q1407" s="1" t="s">
        <v>330</v>
      </c>
      <c r="T1407" s="1" t="s">
        <v>718</v>
      </c>
      <c r="U1407" s="1" t="s">
        <v>719</v>
      </c>
      <c r="V1407" s="1">
        <v>1</v>
      </c>
      <c r="W1407" s="3">
        <v>13800</v>
      </c>
      <c r="X1407" s="3">
        <v>13800</v>
      </c>
      <c r="Y1407" s="1" t="str">
        <f>VLOOKUP(A1407,[1]Detalle!$D$2:$CR$484,93,FALSE)</f>
        <v>Arcor S.A.I.C.</v>
      </c>
    </row>
    <row r="1408" spans="1:25" ht="14.25" customHeight="1" x14ac:dyDescent="0.3">
      <c r="A1408" s="1" t="s">
        <v>638</v>
      </c>
      <c r="B1408" s="1" t="s">
        <v>714</v>
      </c>
      <c r="C1408" s="1" t="s">
        <v>714</v>
      </c>
      <c r="D1408" s="1" t="s">
        <v>715</v>
      </c>
      <c r="E1408" s="1" t="s">
        <v>337</v>
      </c>
      <c r="F1408" s="1">
        <v>22616.400000000001</v>
      </c>
      <c r="G1408" s="1">
        <v>22796.400000000001</v>
      </c>
      <c r="H1408" s="1">
        <v>0</v>
      </c>
      <c r="I1408" s="1">
        <v>180</v>
      </c>
      <c r="J1408" s="1">
        <v>22616.400000000001</v>
      </c>
      <c r="K1408" s="1">
        <v>141</v>
      </c>
      <c r="L1408" s="1">
        <v>100</v>
      </c>
      <c r="M1408" s="1">
        <v>1.8</v>
      </c>
      <c r="N1408" s="7">
        <v>45947</v>
      </c>
      <c r="O1408" s="1">
        <v>180</v>
      </c>
      <c r="P1408" s="7">
        <v>46127</v>
      </c>
      <c r="Q1408" s="1" t="s">
        <v>330</v>
      </c>
      <c r="T1408" s="1" t="s">
        <v>616</v>
      </c>
      <c r="U1408" s="1" t="s">
        <v>617</v>
      </c>
      <c r="V1408" s="1">
        <v>4</v>
      </c>
      <c r="W1408" s="3">
        <v>3407.49</v>
      </c>
      <c r="X1408" s="3">
        <v>13629.96</v>
      </c>
      <c r="Y1408" s="1" t="str">
        <f>VLOOKUP(A1408,[1]Detalle!$D$2:$CR$484,93,FALSE)</f>
        <v>Arcor S.A.I.C.</v>
      </c>
    </row>
    <row r="1409" spans="1:25" ht="14.25" customHeight="1" x14ac:dyDescent="0.3">
      <c r="A1409" s="1" t="s">
        <v>171</v>
      </c>
      <c r="B1409" s="1" t="s">
        <v>714</v>
      </c>
      <c r="C1409" s="1" t="s">
        <v>714</v>
      </c>
      <c r="D1409" s="1" t="s">
        <v>715</v>
      </c>
      <c r="E1409" s="1" t="s">
        <v>337</v>
      </c>
      <c r="N1409" s="7">
        <v>45947</v>
      </c>
      <c r="O1409" s="1">
        <v>180</v>
      </c>
      <c r="P1409" s="7">
        <v>46127</v>
      </c>
      <c r="Q1409" s="1" t="s">
        <v>330</v>
      </c>
      <c r="T1409" s="1" t="s">
        <v>716</v>
      </c>
      <c r="U1409" s="1" t="s">
        <v>717</v>
      </c>
      <c r="V1409" s="1">
        <v>1</v>
      </c>
      <c r="W1409" s="3">
        <v>17073.78</v>
      </c>
      <c r="X1409" s="3">
        <v>17073.78</v>
      </c>
      <c r="Y1409" s="1" t="str">
        <f>VLOOKUP(A1409,[1]Detalle!$D$2:$CR$484,93,FALSE)</f>
        <v>CENCO_MZ - Cencosud SA - Mendoza</v>
      </c>
    </row>
    <row r="1410" spans="1:25" ht="14.25" customHeight="1" x14ac:dyDescent="0.3">
      <c r="A1410" s="1" t="s">
        <v>171</v>
      </c>
      <c r="B1410" s="1" t="s">
        <v>714</v>
      </c>
      <c r="C1410" s="1" t="s">
        <v>714</v>
      </c>
      <c r="D1410" s="1" t="s">
        <v>715</v>
      </c>
      <c r="E1410" s="1" t="s">
        <v>337</v>
      </c>
      <c r="N1410" s="7">
        <v>45947</v>
      </c>
      <c r="O1410" s="1">
        <v>180</v>
      </c>
      <c r="P1410" s="7">
        <v>46127</v>
      </c>
      <c r="Q1410" s="1" t="s">
        <v>330</v>
      </c>
      <c r="T1410" s="1" t="s">
        <v>718</v>
      </c>
      <c r="U1410" s="1" t="s">
        <v>719</v>
      </c>
      <c r="V1410" s="1">
        <v>1</v>
      </c>
      <c r="W1410" s="3">
        <v>13800</v>
      </c>
      <c r="X1410" s="3">
        <v>13800</v>
      </c>
      <c r="Y1410" s="1" t="str">
        <f>VLOOKUP(A1410,[1]Detalle!$D$2:$CR$484,93,FALSE)</f>
        <v>CENCO_MZ - Cencosud SA - Mendoza</v>
      </c>
    </row>
    <row r="1411" spans="1:25" ht="14.25" customHeight="1" x14ac:dyDescent="0.3">
      <c r="A1411" s="1" t="s">
        <v>171</v>
      </c>
      <c r="B1411" s="1" t="s">
        <v>714</v>
      </c>
      <c r="C1411" s="1" t="s">
        <v>714</v>
      </c>
      <c r="D1411" s="1" t="s">
        <v>715</v>
      </c>
      <c r="E1411" s="1" t="s">
        <v>337</v>
      </c>
      <c r="N1411" s="7">
        <v>45947</v>
      </c>
      <c r="O1411" s="1">
        <v>180</v>
      </c>
      <c r="P1411" s="7">
        <v>46127</v>
      </c>
      <c r="Q1411" s="1" t="s">
        <v>330</v>
      </c>
      <c r="T1411" s="1" t="s">
        <v>616</v>
      </c>
      <c r="U1411" s="1" t="s">
        <v>617</v>
      </c>
      <c r="V1411" s="1">
        <v>4</v>
      </c>
      <c r="W1411" s="3">
        <v>3407.49</v>
      </c>
      <c r="X1411" s="3">
        <v>13629.96</v>
      </c>
      <c r="Y1411" s="1" t="str">
        <f>VLOOKUP(A1411,[1]Detalle!$D$2:$CR$484,93,FALSE)</f>
        <v>CENCO_MZ - Cencosud SA - Mendoza</v>
      </c>
    </row>
    <row r="1412" spans="1:25" ht="14.25" customHeight="1" x14ac:dyDescent="0.3">
      <c r="A1412" s="1" t="s">
        <v>172</v>
      </c>
      <c r="B1412" s="1" t="s">
        <v>714</v>
      </c>
      <c r="C1412" s="1" t="s">
        <v>714</v>
      </c>
      <c r="D1412" s="1" t="s">
        <v>715</v>
      </c>
      <c r="E1412" s="1" t="s">
        <v>337</v>
      </c>
      <c r="N1412" s="7">
        <v>45947</v>
      </c>
      <c r="O1412" s="1">
        <v>180</v>
      </c>
      <c r="P1412" s="7">
        <v>46127</v>
      </c>
      <c r="Q1412" s="1" t="s">
        <v>330</v>
      </c>
      <c r="T1412" s="1" t="s">
        <v>716</v>
      </c>
      <c r="U1412" s="1" t="s">
        <v>717</v>
      </c>
      <c r="V1412" s="1">
        <v>1</v>
      </c>
      <c r="W1412" s="3">
        <v>17073.78</v>
      </c>
      <c r="X1412" s="3">
        <v>17073.78</v>
      </c>
      <c r="Y1412" s="1" t="str">
        <f>VLOOKUP(A1412,[1]Detalle!$D$2:$CR$484,93,FALSE)</f>
        <v>CENCO_MZ - Cencosud SA - Mendoza</v>
      </c>
    </row>
    <row r="1413" spans="1:25" ht="14.25" customHeight="1" x14ac:dyDescent="0.3">
      <c r="A1413" s="1" t="s">
        <v>172</v>
      </c>
      <c r="B1413" s="1" t="s">
        <v>714</v>
      </c>
      <c r="C1413" s="1" t="s">
        <v>714</v>
      </c>
      <c r="D1413" s="1" t="s">
        <v>715</v>
      </c>
      <c r="E1413" s="1" t="s">
        <v>337</v>
      </c>
      <c r="N1413" s="7">
        <v>45947</v>
      </c>
      <c r="O1413" s="1">
        <v>180</v>
      </c>
      <c r="P1413" s="7">
        <v>46127</v>
      </c>
      <c r="Q1413" s="1" t="s">
        <v>330</v>
      </c>
      <c r="T1413" s="1" t="s">
        <v>718</v>
      </c>
      <c r="U1413" s="1" t="s">
        <v>719</v>
      </c>
      <c r="V1413" s="1">
        <v>1</v>
      </c>
      <c r="W1413" s="3">
        <v>13800</v>
      </c>
      <c r="X1413" s="3">
        <v>13800</v>
      </c>
      <c r="Y1413" s="1" t="str">
        <f>VLOOKUP(A1413,[1]Detalle!$D$2:$CR$484,93,FALSE)</f>
        <v>CENCO_MZ - Cencosud SA - Mendoza</v>
      </c>
    </row>
    <row r="1414" spans="1:25" ht="14.25" customHeight="1" x14ac:dyDescent="0.3">
      <c r="A1414" s="1" t="s">
        <v>172</v>
      </c>
      <c r="B1414" s="1" t="s">
        <v>714</v>
      </c>
      <c r="C1414" s="1" t="s">
        <v>714</v>
      </c>
      <c r="D1414" s="1" t="s">
        <v>715</v>
      </c>
      <c r="E1414" s="1" t="s">
        <v>337</v>
      </c>
      <c r="N1414" s="7">
        <v>45947</v>
      </c>
      <c r="O1414" s="1">
        <v>180</v>
      </c>
      <c r="P1414" s="7">
        <v>46127</v>
      </c>
      <c r="Q1414" s="1" t="s">
        <v>330</v>
      </c>
      <c r="T1414" s="1" t="s">
        <v>616</v>
      </c>
      <c r="U1414" s="1" t="s">
        <v>617</v>
      </c>
      <c r="V1414" s="1">
        <v>4</v>
      </c>
      <c r="W1414" s="3">
        <v>3407.49</v>
      </c>
      <c r="X1414" s="3">
        <v>13629.96</v>
      </c>
      <c r="Y1414" s="1" t="str">
        <f>VLOOKUP(A1414,[1]Detalle!$D$2:$CR$484,93,FALSE)</f>
        <v>CENCO_MZ - Cencosud SA - Mendoza</v>
      </c>
    </row>
    <row r="1415" spans="1:25" ht="14.25" customHeight="1" x14ac:dyDescent="0.3">
      <c r="A1415" s="1" t="s">
        <v>209</v>
      </c>
      <c r="B1415" s="1" t="s">
        <v>714</v>
      </c>
      <c r="C1415" s="1" t="s">
        <v>714</v>
      </c>
      <c r="D1415" s="1" t="s">
        <v>715</v>
      </c>
      <c r="E1415" s="1" t="s">
        <v>337</v>
      </c>
      <c r="N1415" s="7">
        <v>45947</v>
      </c>
      <c r="O1415" s="1">
        <v>180</v>
      </c>
      <c r="P1415" s="7">
        <v>46127</v>
      </c>
      <c r="Q1415" s="1" t="s">
        <v>330</v>
      </c>
      <c r="T1415" s="1" t="s">
        <v>716</v>
      </c>
      <c r="U1415" s="1" t="s">
        <v>717</v>
      </c>
      <c r="V1415" s="1">
        <v>1</v>
      </c>
      <c r="W1415" s="3">
        <v>17073.78</v>
      </c>
      <c r="X1415" s="3">
        <v>17073.78</v>
      </c>
      <c r="Y1415" s="1" t="str">
        <f>VLOOKUP(A1415,[1]Detalle!$D$2:$CR$484,93,FALSE)</f>
        <v>CENCO_MZ - Cencosud SA - Mendoza</v>
      </c>
    </row>
    <row r="1416" spans="1:25" ht="14.25" customHeight="1" x14ac:dyDescent="0.3">
      <c r="A1416" s="1" t="s">
        <v>209</v>
      </c>
      <c r="B1416" s="1" t="s">
        <v>714</v>
      </c>
      <c r="C1416" s="1" t="s">
        <v>714</v>
      </c>
      <c r="D1416" s="1" t="s">
        <v>715</v>
      </c>
      <c r="E1416" s="1" t="s">
        <v>337</v>
      </c>
      <c r="N1416" s="7">
        <v>45947</v>
      </c>
      <c r="O1416" s="1">
        <v>180</v>
      </c>
      <c r="P1416" s="7">
        <v>46127</v>
      </c>
      <c r="Q1416" s="1" t="s">
        <v>330</v>
      </c>
      <c r="T1416" s="1" t="s">
        <v>718</v>
      </c>
      <c r="U1416" s="1" t="s">
        <v>719</v>
      </c>
      <c r="V1416" s="1">
        <v>1</v>
      </c>
      <c r="W1416" s="3">
        <v>13800</v>
      </c>
      <c r="X1416" s="3">
        <v>13800</v>
      </c>
      <c r="Y1416" s="1" t="str">
        <f>VLOOKUP(A1416,[1]Detalle!$D$2:$CR$484,93,FALSE)</f>
        <v>CENCO_MZ - Cencosud SA - Mendoza</v>
      </c>
    </row>
    <row r="1417" spans="1:25" ht="14.25" customHeight="1" x14ac:dyDescent="0.3">
      <c r="A1417" s="1" t="s">
        <v>209</v>
      </c>
      <c r="B1417" s="1" t="s">
        <v>714</v>
      </c>
      <c r="C1417" s="1" t="s">
        <v>714</v>
      </c>
      <c r="D1417" s="1" t="s">
        <v>715</v>
      </c>
      <c r="E1417" s="1" t="s">
        <v>337</v>
      </c>
      <c r="N1417" s="7">
        <v>45947</v>
      </c>
      <c r="O1417" s="1">
        <v>180</v>
      </c>
      <c r="P1417" s="7">
        <v>46127</v>
      </c>
      <c r="Q1417" s="1" t="s">
        <v>330</v>
      </c>
      <c r="T1417" s="1" t="s">
        <v>616</v>
      </c>
      <c r="U1417" s="1" t="s">
        <v>617</v>
      </c>
      <c r="V1417" s="1">
        <v>4</v>
      </c>
      <c r="W1417" s="3">
        <v>3407.49</v>
      </c>
      <c r="X1417" s="3">
        <v>13629.96</v>
      </c>
      <c r="Y1417" s="1" t="str">
        <f>VLOOKUP(A1417,[1]Detalle!$D$2:$CR$484,93,FALSE)</f>
        <v>CENCO_MZ - Cencosud SA - Mendoza</v>
      </c>
    </row>
    <row r="1418" spans="1:25" ht="14.25" customHeight="1" x14ac:dyDescent="0.3">
      <c r="A1418" s="1" t="s">
        <v>74</v>
      </c>
      <c r="B1418" s="1" t="s">
        <v>714</v>
      </c>
      <c r="C1418" s="1" t="s">
        <v>714</v>
      </c>
      <c r="D1418" s="1" t="s">
        <v>715</v>
      </c>
      <c r="E1418" s="1" t="s">
        <v>337</v>
      </c>
      <c r="N1418" s="7">
        <v>45947</v>
      </c>
      <c r="O1418" s="1">
        <v>180</v>
      </c>
      <c r="P1418" s="7">
        <v>46127</v>
      </c>
      <c r="Q1418" s="1" t="s">
        <v>330</v>
      </c>
      <c r="T1418" s="1" t="s">
        <v>716</v>
      </c>
      <c r="U1418" s="1" t="s">
        <v>717</v>
      </c>
      <c r="V1418" s="1">
        <v>1</v>
      </c>
      <c r="W1418" s="3">
        <v>17073.78</v>
      </c>
      <c r="X1418" s="3">
        <v>17073.78</v>
      </c>
      <c r="Y1418" s="1" t="str">
        <f>VLOOKUP(A1418,[1]Detalle!$D$2:$CR$484,93,FALSE)</f>
        <v>CENCO_MZ - Cencosud SA - Mendoza</v>
      </c>
    </row>
    <row r="1419" spans="1:25" ht="14.25" customHeight="1" x14ac:dyDescent="0.3">
      <c r="A1419" s="1" t="s">
        <v>74</v>
      </c>
      <c r="B1419" s="1" t="s">
        <v>714</v>
      </c>
      <c r="C1419" s="1" t="s">
        <v>714</v>
      </c>
      <c r="D1419" s="1" t="s">
        <v>715</v>
      </c>
      <c r="E1419" s="1" t="s">
        <v>337</v>
      </c>
      <c r="N1419" s="7">
        <v>45947</v>
      </c>
      <c r="O1419" s="1">
        <v>180</v>
      </c>
      <c r="P1419" s="7">
        <v>46127</v>
      </c>
      <c r="Q1419" s="1" t="s">
        <v>330</v>
      </c>
      <c r="T1419" s="1" t="s">
        <v>718</v>
      </c>
      <c r="U1419" s="1" t="s">
        <v>719</v>
      </c>
      <c r="V1419" s="1">
        <v>1</v>
      </c>
      <c r="W1419" s="3">
        <v>13800</v>
      </c>
      <c r="X1419" s="3">
        <v>13800</v>
      </c>
      <c r="Y1419" s="1" t="str">
        <f>VLOOKUP(A1419,[1]Detalle!$D$2:$CR$484,93,FALSE)</f>
        <v>CENCO_MZ - Cencosud SA - Mendoza</v>
      </c>
    </row>
    <row r="1420" spans="1:25" ht="14.25" customHeight="1" x14ac:dyDescent="0.3">
      <c r="A1420" s="1" t="s">
        <v>74</v>
      </c>
      <c r="B1420" s="1" t="s">
        <v>714</v>
      </c>
      <c r="C1420" s="1" t="s">
        <v>714</v>
      </c>
      <c r="D1420" s="1" t="s">
        <v>715</v>
      </c>
      <c r="E1420" s="1" t="s">
        <v>337</v>
      </c>
      <c r="N1420" s="7">
        <v>45947</v>
      </c>
      <c r="O1420" s="1">
        <v>180</v>
      </c>
      <c r="P1420" s="7">
        <v>46127</v>
      </c>
      <c r="Q1420" s="1" t="s">
        <v>330</v>
      </c>
      <c r="T1420" s="1" t="s">
        <v>616</v>
      </c>
      <c r="U1420" s="1" t="s">
        <v>617</v>
      </c>
      <c r="V1420" s="1">
        <v>4</v>
      </c>
      <c r="W1420" s="3">
        <v>3407.49</v>
      </c>
      <c r="X1420" s="3">
        <v>13629.96</v>
      </c>
      <c r="Y1420" s="1" t="str">
        <f>VLOOKUP(A1420,[1]Detalle!$D$2:$CR$484,93,FALSE)</f>
        <v>CENCO_MZ - Cencosud SA - Mendoza</v>
      </c>
    </row>
    <row r="1421" spans="1:25" ht="14.25" customHeight="1" x14ac:dyDescent="0.3">
      <c r="A1421" s="1" t="s">
        <v>82</v>
      </c>
      <c r="B1421" s="1" t="s">
        <v>714</v>
      </c>
      <c r="C1421" s="1" t="s">
        <v>714</v>
      </c>
      <c r="D1421" s="1" t="s">
        <v>715</v>
      </c>
      <c r="E1421" s="1" t="s">
        <v>337</v>
      </c>
      <c r="F1421" s="1">
        <v>68994</v>
      </c>
      <c r="G1421" s="1">
        <v>69174</v>
      </c>
      <c r="H1421" s="1">
        <v>0</v>
      </c>
      <c r="I1421" s="1">
        <v>180</v>
      </c>
      <c r="J1421" s="1">
        <v>68994</v>
      </c>
      <c r="K1421" s="1">
        <v>133</v>
      </c>
      <c r="L1421" s="1">
        <v>100</v>
      </c>
      <c r="M1421" s="1">
        <v>1.8</v>
      </c>
      <c r="N1421" s="7">
        <v>45947</v>
      </c>
      <c r="O1421" s="1">
        <v>180</v>
      </c>
      <c r="P1421" s="7">
        <v>46127</v>
      </c>
      <c r="Q1421" s="1" t="s">
        <v>330</v>
      </c>
      <c r="T1421" s="1" t="s">
        <v>716</v>
      </c>
      <c r="U1421" s="1" t="s">
        <v>717</v>
      </c>
      <c r="V1421" s="1">
        <v>1</v>
      </c>
      <c r="W1421" s="3">
        <v>17073.78</v>
      </c>
      <c r="X1421" s="3">
        <v>17073.78</v>
      </c>
      <c r="Y1421" s="1" t="str">
        <f>VLOOKUP(A1421,[1]Detalle!$D$2:$CR$484,93,FALSE)</f>
        <v>CENCO_MZ - Cencosud SA - Mendoza</v>
      </c>
    </row>
    <row r="1422" spans="1:25" ht="14.25" customHeight="1" x14ac:dyDescent="0.3">
      <c r="A1422" s="1" t="s">
        <v>82</v>
      </c>
      <c r="B1422" s="1" t="s">
        <v>714</v>
      </c>
      <c r="C1422" s="1" t="s">
        <v>714</v>
      </c>
      <c r="D1422" s="1" t="s">
        <v>715</v>
      </c>
      <c r="E1422" s="1" t="s">
        <v>337</v>
      </c>
      <c r="F1422" s="1">
        <v>68994</v>
      </c>
      <c r="G1422" s="1">
        <v>69174</v>
      </c>
      <c r="H1422" s="1">
        <v>0</v>
      </c>
      <c r="I1422" s="1">
        <v>180</v>
      </c>
      <c r="J1422" s="1">
        <v>68994</v>
      </c>
      <c r="K1422" s="1">
        <v>133</v>
      </c>
      <c r="L1422" s="1">
        <v>100</v>
      </c>
      <c r="M1422" s="1">
        <v>1.8</v>
      </c>
      <c r="N1422" s="7">
        <v>45947</v>
      </c>
      <c r="O1422" s="1">
        <v>180</v>
      </c>
      <c r="P1422" s="7">
        <v>46127</v>
      </c>
      <c r="Q1422" s="1" t="s">
        <v>330</v>
      </c>
      <c r="T1422" s="1" t="s">
        <v>718</v>
      </c>
      <c r="U1422" s="1" t="s">
        <v>719</v>
      </c>
      <c r="V1422" s="1">
        <v>1</v>
      </c>
      <c r="W1422" s="3">
        <v>13800</v>
      </c>
      <c r="X1422" s="3">
        <v>13800</v>
      </c>
      <c r="Y1422" s="1" t="str">
        <f>VLOOKUP(A1422,[1]Detalle!$D$2:$CR$484,93,FALSE)</f>
        <v>CENCO_MZ - Cencosud SA - Mendoza</v>
      </c>
    </row>
    <row r="1423" spans="1:25" ht="14.25" customHeight="1" x14ac:dyDescent="0.3">
      <c r="A1423" s="1" t="s">
        <v>82</v>
      </c>
      <c r="B1423" s="1" t="s">
        <v>714</v>
      </c>
      <c r="C1423" s="1" t="s">
        <v>714</v>
      </c>
      <c r="D1423" s="1" t="s">
        <v>715</v>
      </c>
      <c r="E1423" s="1" t="s">
        <v>337</v>
      </c>
      <c r="F1423" s="1">
        <v>68994</v>
      </c>
      <c r="G1423" s="1">
        <v>69174</v>
      </c>
      <c r="H1423" s="1">
        <v>0</v>
      </c>
      <c r="I1423" s="1">
        <v>180</v>
      </c>
      <c r="J1423" s="1">
        <v>68994</v>
      </c>
      <c r="K1423" s="1">
        <v>133</v>
      </c>
      <c r="L1423" s="1">
        <v>100</v>
      </c>
      <c r="M1423" s="1">
        <v>1.8</v>
      </c>
      <c r="N1423" s="7">
        <v>45947</v>
      </c>
      <c r="O1423" s="1">
        <v>180</v>
      </c>
      <c r="P1423" s="7">
        <v>46127</v>
      </c>
      <c r="Q1423" s="1" t="s">
        <v>330</v>
      </c>
      <c r="T1423" s="1" t="s">
        <v>616</v>
      </c>
      <c r="U1423" s="1" t="s">
        <v>617</v>
      </c>
      <c r="V1423" s="1">
        <v>4</v>
      </c>
      <c r="W1423" s="3">
        <v>3407.49</v>
      </c>
      <c r="X1423" s="3">
        <v>13629.96</v>
      </c>
      <c r="Y1423" s="1" t="str">
        <f>VLOOKUP(A1423,[1]Detalle!$D$2:$CR$484,93,FALSE)</f>
        <v>CENCO_MZ - Cencosud SA - Mendoza</v>
      </c>
    </row>
    <row r="1424" spans="1:25" ht="14.25" customHeight="1" x14ac:dyDescent="0.3">
      <c r="A1424" s="1" t="s">
        <v>160</v>
      </c>
      <c r="B1424" s="1" t="s">
        <v>714</v>
      </c>
      <c r="C1424" s="1" t="s">
        <v>714</v>
      </c>
      <c r="D1424" s="1" t="s">
        <v>715</v>
      </c>
      <c r="E1424" s="1" t="s">
        <v>337</v>
      </c>
      <c r="N1424" s="7">
        <v>45947</v>
      </c>
      <c r="O1424" s="1">
        <v>180</v>
      </c>
      <c r="P1424" s="7">
        <v>46127</v>
      </c>
      <c r="Q1424" s="1" t="s">
        <v>330</v>
      </c>
      <c r="T1424" s="1" t="s">
        <v>716</v>
      </c>
      <c r="U1424" s="1" t="s">
        <v>717</v>
      </c>
      <c r="V1424" s="1">
        <v>1</v>
      </c>
      <c r="W1424" s="3">
        <v>17073.78</v>
      </c>
      <c r="X1424" s="3">
        <v>17073.78</v>
      </c>
      <c r="Y1424" s="1" t="str">
        <f>VLOOKUP(A1424,[1]Detalle!$D$2:$CR$484,93,FALSE)</f>
        <v>CENCO_SJ - Cencosud SA - San Juan</v>
      </c>
    </row>
    <row r="1425" spans="1:25" ht="14.25" customHeight="1" x14ac:dyDescent="0.3">
      <c r="A1425" s="1" t="s">
        <v>160</v>
      </c>
      <c r="B1425" s="1" t="s">
        <v>714</v>
      </c>
      <c r="C1425" s="1" t="s">
        <v>714</v>
      </c>
      <c r="D1425" s="1" t="s">
        <v>715</v>
      </c>
      <c r="E1425" s="1" t="s">
        <v>337</v>
      </c>
      <c r="N1425" s="7">
        <v>45947</v>
      </c>
      <c r="O1425" s="1">
        <v>180</v>
      </c>
      <c r="P1425" s="7">
        <v>46127</v>
      </c>
      <c r="Q1425" s="1" t="s">
        <v>330</v>
      </c>
      <c r="T1425" s="1" t="s">
        <v>718</v>
      </c>
      <c r="U1425" s="1" t="s">
        <v>719</v>
      </c>
      <c r="V1425" s="1">
        <v>1</v>
      </c>
      <c r="W1425" s="3">
        <v>13800</v>
      </c>
      <c r="X1425" s="3">
        <v>13800</v>
      </c>
      <c r="Y1425" s="1" t="str">
        <f>VLOOKUP(A1425,[1]Detalle!$D$2:$CR$484,93,FALSE)</f>
        <v>CENCO_SJ - Cencosud SA - San Juan</v>
      </c>
    </row>
    <row r="1426" spans="1:25" ht="14.25" customHeight="1" x14ac:dyDescent="0.3">
      <c r="A1426" s="1" t="s">
        <v>160</v>
      </c>
      <c r="B1426" s="1" t="s">
        <v>714</v>
      </c>
      <c r="C1426" s="1" t="s">
        <v>714</v>
      </c>
      <c r="D1426" s="1" t="s">
        <v>715</v>
      </c>
      <c r="E1426" s="1" t="s">
        <v>337</v>
      </c>
      <c r="N1426" s="7">
        <v>45947</v>
      </c>
      <c r="O1426" s="1">
        <v>180</v>
      </c>
      <c r="P1426" s="7">
        <v>46127</v>
      </c>
      <c r="Q1426" s="1" t="s">
        <v>330</v>
      </c>
      <c r="T1426" s="1" t="s">
        <v>616</v>
      </c>
      <c r="U1426" s="1" t="s">
        <v>617</v>
      </c>
      <c r="V1426" s="1">
        <v>4</v>
      </c>
      <c r="W1426" s="3">
        <v>3407.49</v>
      </c>
      <c r="X1426" s="3">
        <v>13629.96</v>
      </c>
      <c r="Y1426" s="1" t="str">
        <f>VLOOKUP(A1426,[1]Detalle!$D$2:$CR$484,93,FALSE)</f>
        <v>CENCO_SJ - Cencosud SA - San Juan</v>
      </c>
    </row>
    <row r="1427" spans="1:25" ht="14.25" customHeight="1" x14ac:dyDescent="0.3">
      <c r="A1427" s="1" t="s">
        <v>185</v>
      </c>
      <c r="B1427" s="1" t="s">
        <v>714</v>
      </c>
      <c r="C1427" s="1" t="s">
        <v>714</v>
      </c>
      <c r="D1427" s="1" t="s">
        <v>715</v>
      </c>
      <c r="E1427" s="1" t="s">
        <v>337</v>
      </c>
      <c r="N1427" s="7">
        <v>45947</v>
      </c>
      <c r="O1427" s="1">
        <v>180</v>
      </c>
      <c r="P1427" s="7">
        <v>46127</v>
      </c>
      <c r="Q1427" s="1" t="s">
        <v>330</v>
      </c>
      <c r="T1427" s="1" t="s">
        <v>716</v>
      </c>
      <c r="U1427" s="1" t="s">
        <v>717</v>
      </c>
      <c r="V1427" s="1">
        <v>1</v>
      </c>
      <c r="W1427" s="3">
        <v>17073.78</v>
      </c>
      <c r="X1427" s="3">
        <v>17073.78</v>
      </c>
      <c r="Y1427" s="1" t="str">
        <f>VLOOKUP(A1427,[1]Detalle!$D$2:$CR$484,93,FALSE)</f>
        <v>CENCO_SJ - Cencosud SA - San Juan</v>
      </c>
    </row>
    <row r="1428" spans="1:25" ht="14.25" customHeight="1" x14ac:dyDescent="0.3">
      <c r="A1428" s="1" t="s">
        <v>185</v>
      </c>
      <c r="B1428" s="1" t="s">
        <v>714</v>
      </c>
      <c r="C1428" s="1" t="s">
        <v>714</v>
      </c>
      <c r="D1428" s="1" t="s">
        <v>715</v>
      </c>
      <c r="E1428" s="1" t="s">
        <v>337</v>
      </c>
      <c r="N1428" s="7">
        <v>45947</v>
      </c>
      <c r="O1428" s="1">
        <v>180</v>
      </c>
      <c r="P1428" s="7">
        <v>46127</v>
      </c>
      <c r="Q1428" s="1" t="s">
        <v>330</v>
      </c>
      <c r="T1428" s="1" t="s">
        <v>718</v>
      </c>
      <c r="U1428" s="1" t="s">
        <v>719</v>
      </c>
      <c r="V1428" s="1">
        <v>1</v>
      </c>
      <c r="W1428" s="3">
        <v>13800</v>
      </c>
      <c r="X1428" s="3">
        <v>13800</v>
      </c>
      <c r="Y1428" s="1" t="str">
        <f>VLOOKUP(A1428,[1]Detalle!$D$2:$CR$484,93,FALSE)</f>
        <v>CENCO_SJ - Cencosud SA - San Juan</v>
      </c>
    </row>
    <row r="1429" spans="1:25" ht="14.25" customHeight="1" x14ac:dyDescent="0.3">
      <c r="A1429" s="1" t="s">
        <v>185</v>
      </c>
      <c r="B1429" s="1" t="s">
        <v>714</v>
      </c>
      <c r="C1429" s="1" t="s">
        <v>714</v>
      </c>
      <c r="D1429" s="1" t="s">
        <v>715</v>
      </c>
      <c r="E1429" s="1" t="s">
        <v>337</v>
      </c>
      <c r="N1429" s="7">
        <v>45947</v>
      </c>
      <c r="O1429" s="1">
        <v>180</v>
      </c>
      <c r="P1429" s="7">
        <v>46127</v>
      </c>
      <c r="Q1429" s="1" t="s">
        <v>330</v>
      </c>
      <c r="T1429" s="1" t="s">
        <v>616</v>
      </c>
      <c r="U1429" s="1" t="s">
        <v>617</v>
      </c>
      <c r="V1429" s="1">
        <v>4</v>
      </c>
      <c r="W1429" s="3">
        <v>3407.49</v>
      </c>
      <c r="X1429" s="3">
        <v>13629.96</v>
      </c>
      <c r="Y1429" s="1" t="str">
        <f>VLOOKUP(A1429,[1]Detalle!$D$2:$CR$484,93,FALSE)</f>
        <v>CENCO_SJ - Cencosud SA - San Juan</v>
      </c>
    </row>
    <row r="1430" spans="1:25" ht="14.25" customHeight="1" x14ac:dyDescent="0.3">
      <c r="A1430" s="1" t="s">
        <v>15</v>
      </c>
      <c r="B1430" s="1" t="s">
        <v>714</v>
      </c>
      <c r="C1430" s="1" t="s">
        <v>714</v>
      </c>
      <c r="D1430" s="1" t="s">
        <v>715</v>
      </c>
      <c r="E1430" s="1" t="s">
        <v>337</v>
      </c>
      <c r="N1430" s="7">
        <v>45947</v>
      </c>
      <c r="O1430" s="1">
        <v>180</v>
      </c>
      <c r="P1430" s="7">
        <v>46127</v>
      </c>
      <c r="Q1430" s="1" t="s">
        <v>330</v>
      </c>
      <c r="T1430" s="1" t="s">
        <v>716</v>
      </c>
      <c r="U1430" s="1" t="s">
        <v>717</v>
      </c>
      <c r="V1430" s="1">
        <v>1</v>
      </c>
      <c r="W1430" s="3">
        <v>17073.78</v>
      </c>
      <c r="X1430" s="3">
        <v>17073.78</v>
      </c>
      <c r="Y1430" s="1" t="str">
        <f>VLOOKUP(A1430,[1]Detalle!$D$2:$CR$484,93,FALSE)</f>
        <v>CENCOMLD - Cencosud SA - Mendoza</v>
      </c>
    </row>
    <row r="1431" spans="1:25" ht="14.25" customHeight="1" x14ac:dyDescent="0.3">
      <c r="A1431" s="1" t="s">
        <v>15</v>
      </c>
      <c r="B1431" s="1" t="s">
        <v>714</v>
      </c>
      <c r="C1431" s="1" t="s">
        <v>714</v>
      </c>
      <c r="D1431" s="1" t="s">
        <v>715</v>
      </c>
      <c r="E1431" s="1" t="s">
        <v>337</v>
      </c>
      <c r="N1431" s="7">
        <v>45947</v>
      </c>
      <c r="O1431" s="1">
        <v>180</v>
      </c>
      <c r="P1431" s="7">
        <v>46127</v>
      </c>
      <c r="Q1431" s="1" t="s">
        <v>330</v>
      </c>
      <c r="T1431" s="1" t="s">
        <v>718</v>
      </c>
      <c r="U1431" s="1" t="s">
        <v>719</v>
      </c>
      <c r="V1431" s="1">
        <v>1</v>
      </c>
      <c r="W1431" s="3">
        <v>13800</v>
      </c>
      <c r="X1431" s="3">
        <v>13800</v>
      </c>
      <c r="Y1431" s="1" t="str">
        <f>VLOOKUP(A1431,[1]Detalle!$D$2:$CR$484,93,FALSE)</f>
        <v>CENCOMLD - Cencosud SA - Mendoza</v>
      </c>
    </row>
    <row r="1432" spans="1:25" ht="14.25" customHeight="1" x14ac:dyDescent="0.3">
      <c r="A1432" s="1" t="s">
        <v>15</v>
      </c>
      <c r="B1432" s="1" t="s">
        <v>714</v>
      </c>
      <c r="C1432" s="1" t="s">
        <v>714</v>
      </c>
      <c r="D1432" s="1" t="s">
        <v>715</v>
      </c>
      <c r="E1432" s="1" t="s">
        <v>337</v>
      </c>
      <c r="N1432" s="7">
        <v>45947</v>
      </c>
      <c r="O1432" s="1">
        <v>180</v>
      </c>
      <c r="P1432" s="7">
        <v>46127</v>
      </c>
      <c r="Q1432" s="1" t="s">
        <v>330</v>
      </c>
      <c r="T1432" s="1" t="s">
        <v>616</v>
      </c>
      <c r="U1432" s="1" t="s">
        <v>617</v>
      </c>
      <c r="V1432" s="1">
        <v>4</v>
      </c>
      <c r="W1432" s="3">
        <v>3407.49</v>
      </c>
      <c r="X1432" s="3">
        <v>13629.96</v>
      </c>
      <c r="Y1432" s="1" t="str">
        <f>VLOOKUP(A1432,[1]Detalle!$D$2:$CR$484,93,FALSE)</f>
        <v>CENCOMLD - Cencosud SA - Mendoza</v>
      </c>
    </row>
    <row r="1433" spans="1:25" ht="14.25" customHeight="1" x14ac:dyDescent="0.3">
      <c r="A1433" s="1" t="s">
        <v>133</v>
      </c>
      <c r="B1433" s="1" t="s">
        <v>714</v>
      </c>
      <c r="C1433" s="1" t="s">
        <v>714</v>
      </c>
      <c r="D1433" s="1" t="s">
        <v>715</v>
      </c>
      <c r="E1433" s="1" t="s">
        <v>337</v>
      </c>
      <c r="N1433" s="7">
        <v>45947</v>
      </c>
      <c r="O1433" s="1">
        <v>180</v>
      </c>
      <c r="P1433" s="7">
        <v>46127</v>
      </c>
      <c r="Q1433" s="1" t="s">
        <v>330</v>
      </c>
      <c r="T1433" s="1" t="s">
        <v>716</v>
      </c>
      <c r="U1433" s="1" t="s">
        <v>717</v>
      </c>
      <c r="V1433" s="1">
        <v>1</v>
      </c>
      <c r="W1433" s="3">
        <v>17073.78</v>
      </c>
      <c r="X1433" s="3">
        <v>17073.78</v>
      </c>
      <c r="Y1433" s="1" t="str">
        <f>VLOOKUP(A1433,[1]Detalle!$D$2:$CR$484,93,FALSE)</f>
        <v>CENCOMLD - Cencosud SA - Mendoza</v>
      </c>
    </row>
    <row r="1434" spans="1:25" ht="14.25" customHeight="1" x14ac:dyDescent="0.3">
      <c r="A1434" s="1" t="s">
        <v>133</v>
      </c>
      <c r="B1434" s="1" t="s">
        <v>714</v>
      </c>
      <c r="C1434" s="1" t="s">
        <v>714</v>
      </c>
      <c r="D1434" s="1" t="s">
        <v>715</v>
      </c>
      <c r="E1434" s="1" t="s">
        <v>337</v>
      </c>
      <c r="N1434" s="7">
        <v>45947</v>
      </c>
      <c r="O1434" s="1">
        <v>180</v>
      </c>
      <c r="P1434" s="7">
        <v>46127</v>
      </c>
      <c r="Q1434" s="1" t="s">
        <v>330</v>
      </c>
      <c r="T1434" s="1" t="s">
        <v>718</v>
      </c>
      <c r="U1434" s="1" t="s">
        <v>719</v>
      </c>
      <c r="V1434" s="1">
        <v>1</v>
      </c>
      <c r="W1434" s="3">
        <v>13800</v>
      </c>
      <c r="X1434" s="3">
        <v>13800</v>
      </c>
      <c r="Y1434" s="1" t="str">
        <f>VLOOKUP(A1434,[1]Detalle!$D$2:$CR$484,93,FALSE)</f>
        <v>CENCOMLD - Cencosud SA - Mendoza</v>
      </c>
    </row>
    <row r="1435" spans="1:25" ht="14.25" customHeight="1" x14ac:dyDescent="0.3">
      <c r="A1435" s="1" t="s">
        <v>133</v>
      </c>
      <c r="B1435" s="1" t="s">
        <v>714</v>
      </c>
      <c r="C1435" s="1" t="s">
        <v>714</v>
      </c>
      <c r="D1435" s="1" t="s">
        <v>715</v>
      </c>
      <c r="E1435" s="1" t="s">
        <v>337</v>
      </c>
      <c r="N1435" s="7">
        <v>45947</v>
      </c>
      <c r="O1435" s="1">
        <v>180</v>
      </c>
      <c r="P1435" s="7">
        <v>46127</v>
      </c>
      <c r="Q1435" s="1" t="s">
        <v>330</v>
      </c>
      <c r="T1435" s="1" t="s">
        <v>616</v>
      </c>
      <c r="U1435" s="1" t="s">
        <v>617</v>
      </c>
      <c r="V1435" s="1">
        <v>4</v>
      </c>
      <c r="W1435" s="3">
        <v>3407.49</v>
      </c>
      <c r="X1435" s="3">
        <v>13629.96</v>
      </c>
      <c r="Y1435" s="1" t="str">
        <f>VLOOKUP(A1435,[1]Detalle!$D$2:$CR$484,93,FALSE)</f>
        <v>CENCOMLD - Cencosud SA - Mendoza</v>
      </c>
    </row>
    <row r="1436" spans="1:25" ht="14.25" customHeight="1" x14ac:dyDescent="0.3">
      <c r="A1436" s="1" t="s">
        <v>621</v>
      </c>
      <c r="B1436" s="1" t="s">
        <v>714</v>
      </c>
      <c r="C1436" s="1" t="s">
        <v>714</v>
      </c>
      <c r="D1436" s="1" t="s">
        <v>715</v>
      </c>
      <c r="E1436" s="1" t="s">
        <v>337</v>
      </c>
      <c r="N1436" s="7">
        <v>45947</v>
      </c>
      <c r="O1436" s="1">
        <v>180</v>
      </c>
      <c r="P1436" s="7">
        <v>46127</v>
      </c>
      <c r="Q1436" s="1" t="s">
        <v>330</v>
      </c>
      <c r="T1436" s="1" t="s">
        <v>716</v>
      </c>
      <c r="U1436" s="1" t="s">
        <v>717</v>
      </c>
      <c r="V1436" s="1">
        <v>1</v>
      </c>
      <c r="W1436" s="3">
        <v>17073.78</v>
      </c>
      <c r="X1436" s="3">
        <v>17073.78</v>
      </c>
      <c r="Y1436" s="1" t="str">
        <f>VLOOKUP(A1436,[1]Detalle!$D$2:$CR$484,93,FALSE)</f>
        <v>CENCOMLD - Cencosud SA - Mendoza</v>
      </c>
    </row>
    <row r="1437" spans="1:25" ht="14.25" customHeight="1" x14ac:dyDescent="0.3">
      <c r="A1437" s="1" t="s">
        <v>621</v>
      </c>
      <c r="B1437" s="1" t="s">
        <v>714</v>
      </c>
      <c r="C1437" s="1" t="s">
        <v>714</v>
      </c>
      <c r="D1437" s="1" t="s">
        <v>715</v>
      </c>
      <c r="E1437" s="1" t="s">
        <v>337</v>
      </c>
      <c r="N1437" s="7">
        <v>45947</v>
      </c>
      <c r="O1437" s="1">
        <v>180</v>
      </c>
      <c r="P1437" s="7">
        <v>46127</v>
      </c>
      <c r="Q1437" s="1" t="s">
        <v>330</v>
      </c>
      <c r="T1437" s="1" t="s">
        <v>718</v>
      </c>
      <c r="U1437" s="1" t="s">
        <v>719</v>
      </c>
      <c r="V1437" s="1">
        <v>1</v>
      </c>
      <c r="W1437" s="3">
        <v>13800</v>
      </c>
      <c r="X1437" s="3">
        <v>13800</v>
      </c>
      <c r="Y1437" s="1" t="str">
        <f>VLOOKUP(A1437,[1]Detalle!$D$2:$CR$484,93,FALSE)</f>
        <v>CENCOMLD - Cencosud SA - Mendoza</v>
      </c>
    </row>
    <row r="1438" spans="1:25" ht="14.25" customHeight="1" x14ac:dyDescent="0.3">
      <c r="A1438" s="1" t="s">
        <v>621</v>
      </c>
      <c r="B1438" s="1" t="s">
        <v>714</v>
      </c>
      <c r="C1438" s="1" t="s">
        <v>714</v>
      </c>
      <c r="D1438" s="1" t="s">
        <v>715</v>
      </c>
      <c r="E1438" s="1" t="s">
        <v>337</v>
      </c>
      <c r="N1438" s="7">
        <v>45947</v>
      </c>
      <c r="O1438" s="1">
        <v>180</v>
      </c>
      <c r="P1438" s="7">
        <v>46127</v>
      </c>
      <c r="Q1438" s="1" t="s">
        <v>330</v>
      </c>
      <c r="T1438" s="1" t="s">
        <v>616</v>
      </c>
      <c r="U1438" s="1" t="s">
        <v>617</v>
      </c>
      <c r="V1438" s="1">
        <v>4</v>
      </c>
      <c r="W1438" s="3">
        <v>3407.49</v>
      </c>
      <c r="X1438" s="3">
        <v>13629.96</v>
      </c>
      <c r="Y1438" s="1" t="str">
        <f>VLOOKUP(A1438,[1]Detalle!$D$2:$CR$484,93,FALSE)</f>
        <v>CENCOMLD - Cencosud SA - Mendoza</v>
      </c>
    </row>
    <row r="1439" spans="1:25" ht="14.25" customHeight="1" x14ac:dyDescent="0.3">
      <c r="A1439" s="1" t="s">
        <v>641</v>
      </c>
      <c r="B1439" s="1" t="s">
        <v>714</v>
      </c>
      <c r="C1439" s="1" t="s">
        <v>714</v>
      </c>
      <c r="D1439" s="1" t="s">
        <v>715</v>
      </c>
      <c r="E1439" s="1" t="s">
        <v>337</v>
      </c>
      <c r="N1439" s="7">
        <v>45947</v>
      </c>
      <c r="O1439" s="1">
        <v>180</v>
      </c>
      <c r="P1439" s="7">
        <v>46127</v>
      </c>
      <c r="Q1439" s="1" t="s">
        <v>330</v>
      </c>
      <c r="T1439" s="1" t="s">
        <v>716</v>
      </c>
      <c r="U1439" s="1" t="s">
        <v>717</v>
      </c>
      <c r="V1439" s="1">
        <v>1</v>
      </c>
      <c r="W1439" s="3">
        <v>17073.78</v>
      </c>
      <c r="X1439" s="3">
        <v>17073.78</v>
      </c>
      <c r="Y1439" s="1" t="str">
        <f>VLOOKUP(A1439,[1]Detalle!$D$2:$CR$484,93,FALSE)</f>
        <v>CENCOMLD - Cencosud SA - Mendoza</v>
      </c>
    </row>
    <row r="1440" spans="1:25" ht="14.25" customHeight="1" x14ac:dyDescent="0.3">
      <c r="A1440" s="1" t="s">
        <v>641</v>
      </c>
      <c r="B1440" s="1" t="s">
        <v>714</v>
      </c>
      <c r="C1440" s="1" t="s">
        <v>714</v>
      </c>
      <c r="D1440" s="1" t="s">
        <v>715</v>
      </c>
      <c r="E1440" s="1" t="s">
        <v>337</v>
      </c>
      <c r="N1440" s="7">
        <v>45947</v>
      </c>
      <c r="O1440" s="1">
        <v>180</v>
      </c>
      <c r="P1440" s="7">
        <v>46127</v>
      </c>
      <c r="Q1440" s="1" t="s">
        <v>330</v>
      </c>
      <c r="T1440" s="1" t="s">
        <v>718</v>
      </c>
      <c r="U1440" s="1" t="s">
        <v>719</v>
      </c>
      <c r="V1440" s="1">
        <v>1</v>
      </c>
      <c r="W1440" s="3">
        <v>13800</v>
      </c>
      <c r="X1440" s="3">
        <v>13800</v>
      </c>
      <c r="Y1440" s="1" t="str">
        <f>VLOOKUP(A1440,[1]Detalle!$D$2:$CR$484,93,FALSE)</f>
        <v>CENCOMLD - Cencosud SA - Mendoza</v>
      </c>
    </row>
    <row r="1441" spans="1:25" ht="14.25" customHeight="1" x14ac:dyDescent="0.3">
      <c r="A1441" s="1" t="s">
        <v>641</v>
      </c>
      <c r="B1441" s="1" t="s">
        <v>714</v>
      </c>
      <c r="C1441" s="1" t="s">
        <v>714</v>
      </c>
      <c r="D1441" s="1" t="s">
        <v>715</v>
      </c>
      <c r="E1441" s="1" t="s">
        <v>337</v>
      </c>
      <c r="N1441" s="7">
        <v>45947</v>
      </c>
      <c r="O1441" s="1">
        <v>180</v>
      </c>
      <c r="P1441" s="7">
        <v>46127</v>
      </c>
      <c r="Q1441" s="1" t="s">
        <v>330</v>
      </c>
      <c r="T1441" s="1" t="s">
        <v>616</v>
      </c>
      <c r="U1441" s="1" t="s">
        <v>617</v>
      </c>
      <c r="V1441" s="1">
        <v>4</v>
      </c>
      <c r="W1441" s="3">
        <v>3407.49</v>
      </c>
      <c r="X1441" s="3">
        <v>13629.96</v>
      </c>
      <c r="Y1441" s="1" t="str">
        <f>VLOOKUP(A1441,[1]Detalle!$D$2:$CR$484,93,FALSE)</f>
        <v>CENCOMLD - Cencosud SA - Mendoza</v>
      </c>
    </row>
    <row r="1442" spans="1:25" ht="14.25" customHeight="1" x14ac:dyDescent="0.3">
      <c r="A1442" s="1" t="s">
        <v>236</v>
      </c>
      <c r="B1442" s="1" t="s">
        <v>714</v>
      </c>
      <c r="C1442" s="1" t="s">
        <v>714</v>
      </c>
      <c r="D1442" s="1" t="s">
        <v>715</v>
      </c>
      <c r="E1442" s="1" t="s">
        <v>337</v>
      </c>
      <c r="N1442" s="7">
        <v>45947</v>
      </c>
      <c r="O1442" s="1">
        <v>180</v>
      </c>
      <c r="P1442" s="7">
        <v>46127</v>
      </c>
      <c r="Q1442" s="1" t="s">
        <v>330</v>
      </c>
      <c r="T1442" s="1" t="s">
        <v>716</v>
      </c>
      <c r="U1442" s="1" t="s">
        <v>717</v>
      </c>
      <c r="V1442" s="1">
        <v>1</v>
      </c>
      <c r="W1442" s="3">
        <v>17073.78</v>
      </c>
      <c r="X1442" s="3">
        <v>17073.78</v>
      </c>
      <c r="Y1442" s="1" t="str">
        <f>VLOOKUP(A1442,[1]Detalle!$D$2:$CR$484,93,FALSE)</f>
        <v>CENCOMLD - Cencosud SA - Mendoza</v>
      </c>
    </row>
    <row r="1443" spans="1:25" ht="14.25" customHeight="1" x14ac:dyDescent="0.3">
      <c r="A1443" s="1" t="s">
        <v>236</v>
      </c>
      <c r="B1443" s="1" t="s">
        <v>714</v>
      </c>
      <c r="C1443" s="1" t="s">
        <v>714</v>
      </c>
      <c r="D1443" s="1" t="s">
        <v>715</v>
      </c>
      <c r="E1443" s="1" t="s">
        <v>337</v>
      </c>
      <c r="N1443" s="7">
        <v>45947</v>
      </c>
      <c r="O1443" s="1">
        <v>180</v>
      </c>
      <c r="P1443" s="7">
        <v>46127</v>
      </c>
      <c r="Q1443" s="1" t="s">
        <v>330</v>
      </c>
      <c r="T1443" s="1" t="s">
        <v>718</v>
      </c>
      <c r="U1443" s="1" t="s">
        <v>719</v>
      </c>
      <c r="V1443" s="1">
        <v>1</v>
      </c>
      <c r="W1443" s="3">
        <v>13800</v>
      </c>
      <c r="X1443" s="3">
        <v>13800</v>
      </c>
      <c r="Y1443" s="1" t="str">
        <f>VLOOKUP(A1443,[1]Detalle!$D$2:$CR$484,93,FALSE)</f>
        <v>CENCOMLD - Cencosud SA - Mendoza</v>
      </c>
    </row>
    <row r="1444" spans="1:25" ht="14.25" customHeight="1" x14ac:dyDescent="0.3">
      <c r="A1444" s="1" t="s">
        <v>236</v>
      </c>
      <c r="B1444" s="1" t="s">
        <v>714</v>
      </c>
      <c r="C1444" s="1" t="s">
        <v>714</v>
      </c>
      <c r="D1444" s="1" t="s">
        <v>715</v>
      </c>
      <c r="E1444" s="1" t="s">
        <v>337</v>
      </c>
      <c r="N1444" s="7">
        <v>45947</v>
      </c>
      <c r="O1444" s="1">
        <v>180</v>
      </c>
      <c r="P1444" s="7">
        <v>46127</v>
      </c>
      <c r="Q1444" s="1" t="s">
        <v>330</v>
      </c>
      <c r="T1444" s="1" t="s">
        <v>616</v>
      </c>
      <c r="U1444" s="1" t="s">
        <v>617</v>
      </c>
      <c r="V1444" s="1">
        <v>4</v>
      </c>
      <c r="W1444" s="3">
        <v>3407.49</v>
      </c>
      <c r="X1444" s="3">
        <v>13629.96</v>
      </c>
      <c r="Y1444" s="1" t="str">
        <f>VLOOKUP(A1444,[1]Detalle!$D$2:$CR$484,93,FALSE)</f>
        <v>CENCOMLD - Cencosud SA - Mendoza</v>
      </c>
    </row>
    <row r="1445" spans="1:25" ht="14.25" customHeight="1" x14ac:dyDescent="0.3">
      <c r="A1445" s="1" t="s">
        <v>235</v>
      </c>
      <c r="B1445" s="1" t="s">
        <v>714</v>
      </c>
      <c r="C1445" s="1" t="s">
        <v>714</v>
      </c>
      <c r="D1445" s="1" t="s">
        <v>715</v>
      </c>
      <c r="E1445" s="1" t="s">
        <v>337</v>
      </c>
      <c r="N1445" s="7">
        <v>45947</v>
      </c>
      <c r="O1445" s="1">
        <v>180</v>
      </c>
      <c r="P1445" s="7">
        <v>46127</v>
      </c>
      <c r="Q1445" s="1" t="s">
        <v>330</v>
      </c>
      <c r="T1445" s="1" t="s">
        <v>716</v>
      </c>
      <c r="U1445" s="1" t="s">
        <v>717</v>
      </c>
      <c r="V1445" s="1">
        <v>1</v>
      </c>
      <c r="W1445" s="3">
        <v>17073.78</v>
      </c>
      <c r="X1445" s="3">
        <v>17073.78</v>
      </c>
      <c r="Y1445" s="1" t="str">
        <f>VLOOKUP(A1445,[1]Detalle!$D$2:$CR$484,93,FALSE)</f>
        <v>CENCOMLD - Cencosud SA - Mendoza</v>
      </c>
    </row>
    <row r="1446" spans="1:25" ht="14.25" customHeight="1" x14ac:dyDescent="0.3">
      <c r="A1446" s="1" t="s">
        <v>235</v>
      </c>
      <c r="B1446" s="1" t="s">
        <v>714</v>
      </c>
      <c r="C1446" s="1" t="s">
        <v>714</v>
      </c>
      <c r="D1446" s="1" t="s">
        <v>715</v>
      </c>
      <c r="E1446" s="1" t="s">
        <v>337</v>
      </c>
      <c r="N1446" s="7">
        <v>45947</v>
      </c>
      <c r="O1446" s="1">
        <v>180</v>
      </c>
      <c r="P1446" s="7">
        <v>46127</v>
      </c>
      <c r="Q1446" s="1" t="s">
        <v>330</v>
      </c>
      <c r="T1446" s="1" t="s">
        <v>718</v>
      </c>
      <c r="U1446" s="1" t="s">
        <v>719</v>
      </c>
      <c r="V1446" s="1">
        <v>1</v>
      </c>
      <c r="W1446" s="3">
        <v>13800</v>
      </c>
      <c r="X1446" s="3">
        <v>13800</v>
      </c>
      <c r="Y1446" s="1" t="str">
        <f>VLOOKUP(A1446,[1]Detalle!$D$2:$CR$484,93,FALSE)</f>
        <v>CENCOMLD - Cencosud SA - Mendoza</v>
      </c>
    </row>
    <row r="1447" spans="1:25" ht="14.25" customHeight="1" x14ac:dyDescent="0.3">
      <c r="A1447" s="1" t="s">
        <v>235</v>
      </c>
      <c r="B1447" s="1" t="s">
        <v>714</v>
      </c>
      <c r="C1447" s="1" t="s">
        <v>714</v>
      </c>
      <c r="D1447" s="1" t="s">
        <v>715</v>
      </c>
      <c r="E1447" s="1" t="s">
        <v>337</v>
      </c>
      <c r="N1447" s="7">
        <v>45947</v>
      </c>
      <c r="O1447" s="1">
        <v>180</v>
      </c>
      <c r="P1447" s="7">
        <v>46127</v>
      </c>
      <c r="Q1447" s="1" t="s">
        <v>330</v>
      </c>
      <c r="T1447" s="1" t="s">
        <v>616</v>
      </c>
      <c r="U1447" s="1" t="s">
        <v>617</v>
      </c>
      <c r="V1447" s="1">
        <v>4</v>
      </c>
      <c r="W1447" s="3">
        <v>3407.49</v>
      </c>
      <c r="X1447" s="3">
        <v>13629.96</v>
      </c>
      <c r="Y1447" s="1" t="str">
        <f>VLOOKUP(A1447,[1]Detalle!$D$2:$CR$484,93,FALSE)</f>
        <v>CENCOMLD - Cencosud SA - Mendoza</v>
      </c>
    </row>
    <row r="1448" spans="1:25" ht="14.25" customHeight="1" x14ac:dyDescent="0.3">
      <c r="A1448" s="1" t="s">
        <v>273</v>
      </c>
      <c r="B1448" s="1" t="s">
        <v>714</v>
      </c>
      <c r="C1448" s="1" t="s">
        <v>714</v>
      </c>
      <c r="D1448" s="1" t="s">
        <v>715</v>
      </c>
      <c r="E1448" s="1" t="s">
        <v>337</v>
      </c>
      <c r="N1448" s="7">
        <v>45947</v>
      </c>
      <c r="O1448" s="1">
        <v>180</v>
      </c>
      <c r="P1448" s="7">
        <v>46127</v>
      </c>
      <c r="Q1448" s="1" t="s">
        <v>330</v>
      </c>
      <c r="T1448" s="1" t="s">
        <v>716</v>
      </c>
      <c r="U1448" s="1" t="s">
        <v>717</v>
      </c>
      <c r="V1448" s="1">
        <v>1</v>
      </c>
      <c r="W1448" s="3">
        <v>17073.78</v>
      </c>
      <c r="X1448" s="3">
        <v>17073.78</v>
      </c>
      <c r="Y1448" s="1" t="str">
        <f>VLOOKUP(A1448,[1]Detalle!$D$2:$CR$484,93,FALSE)</f>
        <v>CENCO_MZ - Cencosud SA - Mendoza</v>
      </c>
    </row>
    <row r="1449" spans="1:25" ht="14.25" customHeight="1" x14ac:dyDescent="0.3">
      <c r="A1449" s="1" t="s">
        <v>273</v>
      </c>
      <c r="B1449" s="1" t="s">
        <v>714</v>
      </c>
      <c r="C1449" s="1" t="s">
        <v>714</v>
      </c>
      <c r="D1449" s="1" t="s">
        <v>715</v>
      </c>
      <c r="E1449" s="1" t="s">
        <v>337</v>
      </c>
      <c r="N1449" s="7">
        <v>45947</v>
      </c>
      <c r="O1449" s="1">
        <v>180</v>
      </c>
      <c r="P1449" s="7">
        <v>46127</v>
      </c>
      <c r="Q1449" s="1" t="s">
        <v>330</v>
      </c>
      <c r="T1449" s="1" t="s">
        <v>718</v>
      </c>
      <c r="U1449" s="1" t="s">
        <v>719</v>
      </c>
      <c r="V1449" s="1">
        <v>1</v>
      </c>
      <c r="W1449" s="3">
        <v>13800</v>
      </c>
      <c r="X1449" s="3">
        <v>13800</v>
      </c>
      <c r="Y1449" s="1" t="str">
        <f>VLOOKUP(A1449,[1]Detalle!$D$2:$CR$484,93,FALSE)</f>
        <v>CENCO_MZ - Cencosud SA - Mendoza</v>
      </c>
    </row>
    <row r="1450" spans="1:25" ht="14.25" customHeight="1" x14ac:dyDescent="0.3">
      <c r="A1450" s="1" t="s">
        <v>273</v>
      </c>
      <c r="B1450" s="1" t="s">
        <v>714</v>
      </c>
      <c r="C1450" s="1" t="s">
        <v>714</v>
      </c>
      <c r="D1450" s="1" t="s">
        <v>715</v>
      </c>
      <c r="E1450" s="1" t="s">
        <v>337</v>
      </c>
      <c r="N1450" s="7">
        <v>45947</v>
      </c>
      <c r="O1450" s="1">
        <v>180</v>
      </c>
      <c r="P1450" s="7">
        <v>46127</v>
      </c>
      <c r="Q1450" s="1" t="s">
        <v>330</v>
      </c>
      <c r="T1450" s="1" t="s">
        <v>616</v>
      </c>
      <c r="U1450" s="1" t="s">
        <v>617</v>
      </c>
      <c r="V1450" s="1">
        <v>4</v>
      </c>
      <c r="W1450" s="3">
        <v>3407.49</v>
      </c>
      <c r="X1450" s="3">
        <v>13629.96</v>
      </c>
      <c r="Y1450" s="1" t="str">
        <f>VLOOKUP(A1450,[1]Detalle!$D$2:$CR$484,93,FALSE)</f>
        <v>CENCO_MZ - Cencosud SA - Mendoza</v>
      </c>
    </row>
    <row r="1451" spans="1:25" ht="14.25" customHeight="1" x14ac:dyDescent="0.3">
      <c r="A1451" s="1" t="s">
        <v>646</v>
      </c>
      <c r="B1451" s="1" t="s">
        <v>714</v>
      </c>
      <c r="C1451" s="1" t="s">
        <v>714</v>
      </c>
      <c r="D1451" s="1" t="s">
        <v>715</v>
      </c>
      <c r="E1451" s="1" t="s">
        <v>337</v>
      </c>
      <c r="N1451" s="7">
        <v>45947</v>
      </c>
      <c r="O1451" s="1">
        <v>180</v>
      </c>
      <c r="P1451" s="7">
        <v>46127</v>
      </c>
      <c r="Q1451" s="1" t="s">
        <v>330</v>
      </c>
      <c r="T1451" s="1" t="s">
        <v>716</v>
      </c>
      <c r="U1451" s="1" t="s">
        <v>717</v>
      </c>
      <c r="V1451" s="1">
        <v>1</v>
      </c>
      <c r="W1451" s="3">
        <v>17073.78</v>
      </c>
      <c r="X1451" s="3">
        <v>17073.78</v>
      </c>
      <c r="Y1451" s="1" t="str">
        <f>VLOOKUP(A1451,[1]Detalle!$D$2:$CR$484,93,FALSE)</f>
        <v>CENCOMLD - Cencosud SA - Mendoza</v>
      </c>
    </row>
    <row r="1452" spans="1:25" ht="14.25" customHeight="1" x14ac:dyDescent="0.3">
      <c r="A1452" s="1" t="s">
        <v>646</v>
      </c>
      <c r="B1452" s="1" t="s">
        <v>714</v>
      </c>
      <c r="C1452" s="1" t="s">
        <v>714</v>
      </c>
      <c r="D1452" s="1" t="s">
        <v>715</v>
      </c>
      <c r="E1452" s="1" t="s">
        <v>337</v>
      </c>
      <c r="N1452" s="7">
        <v>45947</v>
      </c>
      <c r="O1452" s="1">
        <v>180</v>
      </c>
      <c r="P1452" s="7">
        <v>46127</v>
      </c>
      <c r="Q1452" s="1" t="s">
        <v>330</v>
      </c>
      <c r="T1452" s="1" t="s">
        <v>718</v>
      </c>
      <c r="U1452" s="1" t="s">
        <v>719</v>
      </c>
      <c r="V1452" s="1">
        <v>1</v>
      </c>
      <c r="W1452" s="3">
        <v>13800</v>
      </c>
      <c r="X1452" s="3">
        <v>13800</v>
      </c>
      <c r="Y1452" s="1" t="str">
        <f>VLOOKUP(A1452,[1]Detalle!$D$2:$CR$484,93,FALSE)</f>
        <v>CENCOMLD - Cencosud SA - Mendoza</v>
      </c>
    </row>
    <row r="1453" spans="1:25" ht="14.25" customHeight="1" x14ac:dyDescent="0.3">
      <c r="A1453" s="1" t="s">
        <v>646</v>
      </c>
      <c r="B1453" s="1" t="s">
        <v>714</v>
      </c>
      <c r="C1453" s="1" t="s">
        <v>714</v>
      </c>
      <c r="D1453" s="1" t="s">
        <v>715</v>
      </c>
      <c r="E1453" s="1" t="s">
        <v>337</v>
      </c>
      <c r="N1453" s="7">
        <v>45947</v>
      </c>
      <c r="O1453" s="1">
        <v>180</v>
      </c>
      <c r="P1453" s="7">
        <v>46127</v>
      </c>
      <c r="Q1453" s="1" t="s">
        <v>330</v>
      </c>
      <c r="T1453" s="1" t="s">
        <v>616</v>
      </c>
      <c r="U1453" s="1" t="s">
        <v>617</v>
      </c>
      <c r="V1453" s="1">
        <v>4</v>
      </c>
      <c r="W1453" s="3">
        <v>3407.49</v>
      </c>
      <c r="X1453" s="3">
        <v>13629.96</v>
      </c>
      <c r="Y1453" s="1" t="str">
        <f>VLOOKUP(A1453,[1]Detalle!$D$2:$CR$484,93,FALSE)</f>
        <v>CENCOMLD - Cencosud SA - Mendoza</v>
      </c>
    </row>
    <row r="1454" spans="1:25" ht="14.25" customHeight="1" x14ac:dyDescent="0.3">
      <c r="A1454" s="1" t="s">
        <v>647</v>
      </c>
      <c r="B1454" s="1" t="s">
        <v>714</v>
      </c>
      <c r="C1454" s="1" t="s">
        <v>714</v>
      </c>
      <c r="D1454" s="1" t="s">
        <v>715</v>
      </c>
      <c r="E1454" s="1" t="s">
        <v>337</v>
      </c>
      <c r="N1454" s="7">
        <v>45947</v>
      </c>
      <c r="O1454" s="1">
        <v>180</v>
      </c>
      <c r="P1454" s="7">
        <v>46127</v>
      </c>
      <c r="Q1454" s="1" t="s">
        <v>330</v>
      </c>
      <c r="T1454" s="1" t="s">
        <v>716</v>
      </c>
      <c r="U1454" s="1" t="s">
        <v>717</v>
      </c>
      <c r="V1454" s="1">
        <v>1</v>
      </c>
      <c r="W1454" s="3">
        <v>17073.78</v>
      </c>
      <c r="X1454" s="3">
        <v>17073.78</v>
      </c>
      <c r="Y1454" s="1" t="str">
        <f>VLOOKUP(A1454,[1]Detalle!$D$2:$CR$484,93,FALSE)</f>
        <v>CENCOMLD - Cencosud SA - Mendoza</v>
      </c>
    </row>
    <row r="1455" spans="1:25" ht="14.25" customHeight="1" x14ac:dyDescent="0.3">
      <c r="A1455" s="1" t="s">
        <v>647</v>
      </c>
      <c r="B1455" s="1" t="s">
        <v>714</v>
      </c>
      <c r="C1455" s="1" t="s">
        <v>714</v>
      </c>
      <c r="D1455" s="1" t="s">
        <v>715</v>
      </c>
      <c r="E1455" s="1" t="s">
        <v>337</v>
      </c>
      <c r="N1455" s="7">
        <v>45947</v>
      </c>
      <c r="O1455" s="1">
        <v>180</v>
      </c>
      <c r="P1455" s="7">
        <v>46127</v>
      </c>
      <c r="Q1455" s="1" t="s">
        <v>330</v>
      </c>
      <c r="T1455" s="1" t="s">
        <v>718</v>
      </c>
      <c r="U1455" s="1" t="s">
        <v>719</v>
      </c>
      <c r="V1455" s="1">
        <v>1</v>
      </c>
      <c r="W1455" s="3">
        <v>13800</v>
      </c>
      <c r="X1455" s="3">
        <v>13800</v>
      </c>
      <c r="Y1455" s="1" t="str">
        <f>VLOOKUP(A1455,[1]Detalle!$D$2:$CR$484,93,FALSE)</f>
        <v>CENCOMLD - Cencosud SA - Mendoza</v>
      </c>
    </row>
    <row r="1456" spans="1:25" ht="14.25" customHeight="1" x14ac:dyDescent="0.3">
      <c r="A1456" s="1" t="s">
        <v>647</v>
      </c>
      <c r="B1456" s="1" t="s">
        <v>714</v>
      </c>
      <c r="C1456" s="1" t="s">
        <v>714</v>
      </c>
      <c r="D1456" s="1" t="s">
        <v>715</v>
      </c>
      <c r="E1456" s="1" t="s">
        <v>337</v>
      </c>
      <c r="N1456" s="7">
        <v>45947</v>
      </c>
      <c r="O1456" s="1">
        <v>180</v>
      </c>
      <c r="P1456" s="7">
        <v>46127</v>
      </c>
      <c r="Q1456" s="1" t="s">
        <v>330</v>
      </c>
      <c r="T1456" s="1" t="s">
        <v>616</v>
      </c>
      <c r="U1456" s="1" t="s">
        <v>617</v>
      </c>
      <c r="V1456" s="1">
        <v>4</v>
      </c>
      <c r="W1456" s="3">
        <v>3407.49</v>
      </c>
      <c r="X1456" s="3">
        <v>13629.96</v>
      </c>
      <c r="Y1456" s="1" t="str">
        <f>VLOOKUP(A1456,[1]Detalle!$D$2:$CR$484,93,FALSE)</f>
        <v>CENCOMLD - Cencosud SA - Mendoza</v>
      </c>
    </row>
    <row r="1457" spans="1:25" ht="14.25" customHeight="1" x14ac:dyDescent="0.3">
      <c r="A1457" s="1" t="s">
        <v>648</v>
      </c>
      <c r="B1457" s="1" t="s">
        <v>714</v>
      </c>
      <c r="C1457" s="1" t="s">
        <v>714</v>
      </c>
      <c r="D1457" s="1" t="s">
        <v>715</v>
      </c>
      <c r="E1457" s="1" t="s">
        <v>337</v>
      </c>
      <c r="N1457" s="7">
        <v>45947</v>
      </c>
      <c r="O1457" s="1">
        <v>180</v>
      </c>
      <c r="P1457" s="7">
        <v>46127</v>
      </c>
      <c r="Q1457" s="1" t="s">
        <v>330</v>
      </c>
      <c r="T1457" s="1" t="s">
        <v>716</v>
      </c>
      <c r="U1457" s="1" t="s">
        <v>717</v>
      </c>
      <c r="V1457" s="1">
        <v>1</v>
      </c>
      <c r="W1457" s="3">
        <v>17073.78</v>
      </c>
      <c r="X1457" s="3">
        <v>17073.78</v>
      </c>
      <c r="Y1457" s="1" t="str">
        <f>VLOOKUP(A1457,[1]Detalle!$D$2:$CR$484,93,FALSE)</f>
        <v>CENCOMLD - Cencosud SA - Mendoza</v>
      </c>
    </row>
    <row r="1458" spans="1:25" ht="14.25" customHeight="1" x14ac:dyDescent="0.3">
      <c r="A1458" s="1" t="s">
        <v>648</v>
      </c>
      <c r="B1458" s="1" t="s">
        <v>714</v>
      </c>
      <c r="C1458" s="1" t="s">
        <v>714</v>
      </c>
      <c r="D1458" s="1" t="s">
        <v>715</v>
      </c>
      <c r="E1458" s="1" t="s">
        <v>337</v>
      </c>
      <c r="N1458" s="7">
        <v>45947</v>
      </c>
      <c r="O1458" s="1">
        <v>180</v>
      </c>
      <c r="P1458" s="7">
        <v>46127</v>
      </c>
      <c r="Q1458" s="1" t="s">
        <v>330</v>
      </c>
      <c r="T1458" s="1" t="s">
        <v>718</v>
      </c>
      <c r="U1458" s="1" t="s">
        <v>719</v>
      </c>
      <c r="V1458" s="1">
        <v>1</v>
      </c>
      <c r="W1458" s="3">
        <v>13800</v>
      </c>
      <c r="X1458" s="3">
        <v>13800</v>
      </c>
      <c r="Y1458" s="1" t="str">
        <f>VLOOKUP(A1458,[1]Detalle!$D$2:$CR$484,93,FALSE)</f>
        <v>CENCOMLD - Cencosud SA - Mendoza</v>
      </c>
    </row>
    <row r="1459" spans="1:25" ht="14.25" customHeight="1" x14ac:dyDescent="0.3">
      <c r="A1459" s="1" t="s">
        <v>648</v>
      </c>
      <c r="B1459" s="1" t="s">
        <v>714</v>
      </c>
      <c r="C1459" s="1" t="s">
        <v>714</v>
      </c>
      <c r="D1459" s="1" t="s">
        <v>715</v>
      </c>
      <c r="E1459" s="1" t="s">
        <v>337</v>
      </c>
      <c r="N1459" s="7">
        <v>45947</v>
      </c>
      <c r="O1459" s="1">
        <v>180</v>
      </c>
      <c r="P1459" s="7">
        <v>46127</v>
      </c>
      <c r="Q1459" s="1" t="s">
        <v>330</v>
      </c>
      <c r="T1459" s="1" t="s">
        <v>616</v>
      </c>
      <c r="U1459" s="1" t="s">
        <v>617</v>
      </c>
      <c r="V1459" s="1">
        <v>4</v>
      </c>
      <c r="W1459" s="3">
        <v>3407.49</v>
      </c>
      <c r="X1459" s="3">
        <v>13629.96</v>
      </c>
      <c r="Y1459" s="1" t="str">
        <f>VLOOKUP(A1459,[1]Detalle!$D$2:$CR$484,93,FALSE)</f>
        <v>CENCOMLD - Cencosud SA - Mendoza</v>
      </c>
    </row>
    <row r="1460" spans="1:25" ht="14.25" customHeight="1" x14ac:dyDescent="0.3">
      <c r="A1460" s="1" t="s">
        <v>143</v>
      </c>
      <c r="B1460" s="1" t="s">
        <v>714</v>
      </c>
      <c r="C1460" s="1" t="s">
        <v>714</v>
      </c>
      <c r="D1460" s="1" t="s">
        <v>715</v>
      </c>
      <c r="E1460" s="1" t="s">
        <v>337</v>
      </c>
      <c r="F1460" s="1">
        <v>713216</v>
      </c>
      <c r="G1460" s="1">
        <v>713396</v>
      </c>
      <c r="H1460" s="1">
        <v>0</v>
      </c>
      <c r="I1460" s="1">
        <v>180</v>
      </c>
      <c r="J1460" s="1">
        <v>713216</v>
      </c>
      <c r="K1460" s="1">
        <v>142</v>
      </c>
      <c r="L1460" s="1">
        <v>100</v>
      </c>
      <c r="M1460" s="1">
        <v>1.8</v>
      </c>
      <c r="N1460" s="7">
        <v>45947</v>
      </c>
      <c r="O1460" s="1">
        <v>180</v>
      </c>
      <c r="P1460" s="7">
        <v>46127</v>
      </c>
      <c r="Q1460" s="1" t="s">
        <v>330</v>
      </c>
      <c r="T1460" s="1" t="s">
        <v>716</v>
      </c>
      <c r="U1460" s="1" t="s">
        <v>717</v>
      </c>
      <c r="V1460" s="1">
        <v>1</v>
      </c>
      <c r="W1460" s="3">
        <v>17073.78</v>
      </c>
      <c r="X1460" s="3">
        <v>17073.78</v>
      </c>
      <c r="Y1460" s="1" t="str">
        <f>VLOOKUP(A1460,[1]Detalle!$D$2:$CR$484,93,FALSE)</f>
        <v>Arcor S.A.I.C.</v>
      </c>
    </row>
    <row r="1461" spans="1:25" ht="14.25" customHeight="1" x14ac:dyDescent="0.3">
      <c r="A1461" s="1" t="s">
        <v>143</v>
      </c>
      <c r="B1461" s="1" t="s">
        <v>714</v>
      </c>
      <c r="C1461" s="1" t="s">
        <v>714</v>
      </c>
      <c r="D1461" s="1" t="s">
        <v>715</v>
      </c>
      <c r="E1461" s="1" t="s">
        <v>337</v>
      </c>
      <c r="F1461" s="1">
        <v>713216</v>
      </c>
      <c r="G1461" s="1">
        <v>713396</v>
      </c>
      <c r="H1461" s="1">
        <v>0</v>
      </c>
      <c r="I1461" s="1">
        <v>180</v>
      </c>
      <c r="J1461" s="1">
        <v>713216</v>
      </c>
      <c r="K1461" s="1">
        <v>142</v>
      </c>
      <c r="L1461" s="1">
        <v>100</v>
      </c>
      <c r="M1461" s="1">
        <v>1.8</v>
      </c>
      <c r="N1461" s="7">
        <v>45947</v>
      </c>
      <c r="O1461" s="1">
        <v>180</v>
      </c>
      <c r="P1461" s="7">
        <v>46127</v>
      </c>
      <c r="Q1461" s="1" t="s">
        <v>330</v>
      </c>
      <c r="T1461" s="1" t="s">
        <v>718</v>
      </c>
      <c r="U1461" s="1" t="s">
        <v>719</v>
      </c>
      <c r="V1461" s="1">
        <v>1</v>
      </c>
      <c r="W1461" s="3">
        <v>13800</v>
      </c>
      <c r="X1461" s="3">
        <v>13800</v>
      </c>
      <c r="Y1461" s="1" t="str">
        <f>VLOOKUP(A1461,[1]Detalle!$D$2:$CR$484,93,FALSE)</f>
        <v>Arcor S.A.I.C.</v>
      </c>
    </row>
    <row r="1462" spans="1:25" ht="14.25" customHeight="1" x14ac:dyDescent="0.3">
      <c r="A1462" s="1" t="s">
        <v>143</v>
      </c>
      <c r="B1462" s="1" t="s">
        <v>714</v>
      </c>
      <c r="C1462" s="1" t="s">
        <v>714</v>
      </c>
      <c r="D1462" s="1" t="s">
        <v>715</v>
      </c>
      <c r="E1462" s="1" t="s">
        <v>337</v>
      </c>
      <c r="F1462" s="1">
        <v>713216</v>
      </c>
      <c r="G1462" s="1">
        <v>713396</v>
      </c>
      <c r="H1462" s="1">
        <v>0</v>
      </c>
      <c r="I1462" s="1">
        <v>180</v>
      </c>
      <c r="J1462" s="1">
        <v>713216</v>
      </c>
      <c r="K1462" s="1">
        <v>142</v>
      </c>
      <c r="L1462" s="1">
        <v>100</v>
      </c>
      <c r="M1462" s="1">
        <v>1.8</v>
      </c>
      <c r="N1462" s="7">
        <v>45947</v>
      </c>
      <c r="O1462" s="1">
        <v>180</v>
      </c>
      <c r="P1462" s="7">
        <v>46127</v>
      </c>
      <c r="Q1462" s="1" t="s">
        <v>330</v>
      </c>
      <c r="T1462" s="1" t="s">
        <v>616</v>
      </c>
      <c r="U1462" s="1" t="s">
        <v>617</v>
      </c>
      <c r="V1462" s="1">
        <v>4</v>
      </c>
      <c r="W1462" s="3">
        <v>3407.49</v>
      </c>
      <c r="X1462" s="3">
        <v>13629.96</v>
      </c>
      <c r="Y1462" s="1" t="str">
        <f>VLOOKUP(A1462,[1]Detalle!$D$2:$CR$484,93,FALSE)</f>
        <v>Arcor S.A.I.C.</v>
      </c>
    </row>
    <row r="1463" spans="1:25" ht="14.25" customHeight="1" x14ac:dyDescent="0.3">
      <c r="A1463" s="1" t="s">
        <v>697</v>
      </c>
      <c r="B1463" s="1" t="s">
        <v>714</v>
      </c>
      <c r="C1463" s="1" t="s">
        <v>714</v>
      </c>
      <c r="D1463" s="1" t="s">
        <v>715</v>
      </c>
      <c r="E1463" s="1" t="s">
        <v>337</v>
      </c>
      <c r="F1463" s="1">
        <v>23956.1</v>
      </c>
      <c r="G1463" s="1">
        <v>24136.1</v>
      </c>
      <c r="H1463" s="1">
        <v>12105.600000000009</v>
      </c>
      <c r="I1463" s="1">
        <v>-11925.600000000009</v>
      </c>
      <c r="J1463" s="1">
        <v>36061.699999999997</v>
      </c>
      <c r="K1463" s="1">
        <v>141</v>
      </c>
      <c r="L1463" s="1">
        <v>85.855319148936218</v>
      </c>
      <c r="M1463" s="1">
        <v>-138.90344964314039</v>
      </c>
      <c r="N1463" s="7">
        <v>45947</v>
      </c>
      <c r="O1463" s="1">
        <v>180</v>
      </c>
      <c r="P1463" s="7">
        <v>46127</v>
      </c>
      <c r="Q1463" s="1" t="s">
        <v>330</v>
      </c>
      <c r="T1463" s="1" t="s">
        <v>716</v>
      </c>
      <c r="U1463" s="1" t="s">
        <v>717</v>
      </c>
      <c r="V1463" s="1">
        <v>1</v>
      </c>
      <c r="W1463" s="3">
        <v>17073.78</v>
      </c>
      <c r="X1463" s="3">
        <v>17073.78</v>
      </c>
      <c r="Y1463" s="1" t="str">
        <f>VLOOKUP(A1463,[1]Detalle!$D$2:$CR$484,93,FALSE)</f>
        <v>Arcor S.A.I.C.</v>
      </c>
    </row>
    <row r="1464" spans="1:25" ht="14.25" customHeight="1" x14ac:dyDescent="0.3">
      <c r="A1464" s="1" t="s">
        <v>697</v>
      </c>
      <c r="B1464" s="1" t="s">
        <v>714</v>
      </c>
      <c r="C1464" s="1" t="s">
        <v>714</v>
      </c>
      <c r="D1464" s="1" t="s">
        <v>715</v>
      </c>
      <c r="E1464" s="1" t="s">
        <v>337</v>
      </c>
      <c r="F1464" s="1">
        <v>23956.1</v>
      </c>
      <c r="G1464" s="1">
        <v>24136.1</v>
      </c>
      <c r="H1464" s="1">
        <v>12105.600000000009</v>
      </c>
      <c r="I1464" s="1">
        <v>-11925.600000000009</v>
      </c>
      <c r="J1464" s="1">
        <v>36061.699999999997</v>
      </c>
      <c r="K1464" s="1">
        <v>141</v>
      </c>
      <c r="L1464" s="1">
        <v>85.855319148936218</v>
      </c>
      <c r="M1464" s="1">
        <v>-138.90344964314039</v>
      </c>
      <c r="N1464" s="7">
        <v>45947</v>
      </c>
      <c r="O1464" s="1">
        <v>180</v>
      </c>
      <c r="P1464" s="7">
        <v>46127</v>
      </c>
      <c r="Q1464" s="1" t="s">
        <v>330</v>
      </c>
      <c r="T1464" s="1" t="s">
        <v>718</v>
      </c>
      <c r="U1464" s="1" t="s">
        <v>719</v>
      </c>
      <c r="V1464" s="1">
        <v>1</v>
      </c>
      <c r="W1464" s="3">
        <v>13800</v>
      </c>
      <c r="X1464" s="3">
        <v>13800</v>
      </c>
      <c r="Y1464" s="1" t="str">
        <f>VLOOKUP(A1464,[1]Detalle!$D$2:$CR$484,93,FALSE)</f>
        <v>Arcor S.A.I.C.</v>
      </c>
    </row>
    <row r="1465" spans="1:25" ht="14.25" customHeight="1" x14ac:dyDescent="0.3">
      <c r="A1465" s="1" t="s">
        <v>697</v>
      </c>
      <c r="B1465" s="1" t="s">
        <v>714</v>
      </c>
      <c r="C1465" s="1" t="s">
        <v>714</v>
      </c>
      <c r="D1465" s="1" t="s">
        <v>715</v>
      </c>
      <c r="E1465" s="1" t="s">
        <v>337</v>
      </c>
      <c r="F1465" s="1">
        <v>23956.1</v>
      </c>
      <c r="G1465" s="1">
        <v>24136.1</v>
      </c>
      <c r="H1465" s="1">
        <v>12105.600000000009</v>
      </c>
      <c r="I1465" s="1">
        <v>-11925.600000000009</v>
      </c>
      <c r="J1465" s="1">
        <v>36061.699999999997</v>
      </c>
      <c r="K1465" s="1">
        <v>141</v>
      </c>
      <c r="L1465" s="1">
        <v>85.855319148936218</v>
      </c>
      <c r="M1465" s="1">
        <v>-138.90344964314039</v>
      </c>
      <c r="N1465" s="7">
        <v>45947</v>
      </c>
      <c r="O1465" s="1">
        <v>180</v>
      </c>
      <c r="P1465" s="7">
        <v>46127</v>
      </c>
      <c r="Q1465" s="1" t="s">
        <v>330</v>
      </c>
      <c r="T1465" s="1" t="s">
        <v>616</v>
      </c>
      <c r="U1465" s="1" t="s">
        <v>617</v>
      </c>
      <c r="V1465" s="1">
        <v>4</v>
      </c>
      <c r="W1465" s="3">
        <v>3407.49</v>
      </c>
      <c r="X1465" s="3">
        <v>13629.96</v>
      </c>
      <c r="Y1465" s="1" t="str">
        <f>VLOOKUP(A1465,[1]Detalle!$D$2:$CR$484,93,FALSE)</f>
        <v>Arcor S.A.I.C.</v>
      </c>
    </row>
    <row r="1466" spans="1:25" ht="14.25" customHeight="1" x14ac:dyDescent="0.3">
      <c r="A1466" s="1" t="s">
        <v>698</v>
      </c>
      <c r="B1466" s="1" t="s">
        <v>714</v>
      </c>
      <c r="C1466" s="1" t="s">
        <v>714</v>
      </c>
      <c r="D1466" s="1" t="s">
        <v>715</v>
      </c>
      <c r="E1466" s="1" t="s">
        <v>337</v>
      </c>
      <c r="F1466" s="1">
        <v>26656.799999999999</v>
      </c>
      <c r="G1466" s="1">
        <v>26836.799999999999</v>
      </c>
      <c r="H1466" s="1">
        <v>12148.2</v>
      </c>
      <c r="I1466" s="1">
        <v>-11968.2</v>
      </c>
      <c r="J1466" s="1">
        <v>38804.999999999993</v>
      </c>
      <c r="K1466" s="1">
        <v>140</v>
      </c>
      <c r="L1466" s="1">
        <v>86.772857142857106</v>
      </c>
      <c r="M1466" s="1">
        <v>-137.92561861016449</v>
      </c>
      <c r="N1466" s="7">
        <v>45947</v>
      </c>
      <c r="O1466" s="1">
        <v>180</v>
      </c>
      <c r="P1466" s="7">
        <v>46127</v>
      </c>
      <c r="Q1466" s="1" t="s">
        <v>330</v>
      </c>
      <c r="T1466" s="1" t="s">
        <v>716</v>
      </c>
      <c r="U1466" s="1" t="s">
        <v>717</v>
      </c>
      <c r="V1466" s="1">
        <v>1</v>
      </c>
      <c r="W1466" s="3">
        <v>17073.78</v>
      </c>
      <c r="X1466" s="3">
        <v>17073.78</v>
      </c>
      <c r="Y1466" s="1" t="str">
        <f>VLOOKUP(A1466,[1]Detalle!$D$2:$CR$484,93,FALSE)</f>
        <v>Arcor S.A.I.C.</v>
      </c>
    </row>
    <row r="1467" spans="1:25" ht="14.25" customHeight="1" x14ac:dyDescent="0.3">
      <c r="A1467" s="1" t="s">
        <v>698</v>
      </c>
      <c r="B1467" s="1" t="s">
        <v>714</v>
      </c>
      <c r="C1467" s="1" t="s">
        <v>714</v>
      </c>
      <c r="D1467" s="1" t="s">
        <v>715</v>
      </c>
      <c r="E1467" s="1" t="s">
        <v>337</v>
      </c>
      <c r="F1467" s="1">
        <v>26656.799999999999</v>
      </c>
      <c r="G1467" s="1">
        <v>26836.799999999999</v>
      </c>
      <c r="H1467" s="1">
        <v>12148.2</v>
      </c>
      <c r="I1467" s="1">
        <v>-11968.2</v>
      </c>
      <c r="J1467" s="1">
        <v>38804.999999999993</v>
      </c>
      <c r="K1467" s="1">
        <v>140</v>
      </c>
      <c r="L1467" s="1">
        <v>86.772857142857106</v>
      </c>
      <c r="M1467" s="1">
        <v>-137.92561861016449</v>
      </c>
      <c r="N1467" s="7">
        <v>45947</v>
      </c>
      <c r="O1467" s="1">
        <v>180</v>
      </c>
      <c r="P1467" s="7">
        <v>46127</v>
      </c>
      <c r="Q1467" s="1" t="s">
        <v>330</v>
      </c>
      <c r="T1467" s="1" t="s">
        <v>718</v>
      </c>
      <c r="U1467" s="1" t="s">
        <v>719</v>
      </c>
      <c r="V1467" s="1">
        <v>1</v>
      </c>
      <c r="W1467" s="3">
        <v>13800</v>
      </c>
      <c r="X1467" s="3">
        <v>13800</v>
      </c>
      <c r="Y1467" s="1" t="str">
        <f>VLOOKUP(A1467,[1]Detalle!$D$2:$CR$484,93,FALSE)</f>
        <v>Arcor S.A.I.C.</v>
      </c>
    </row>
    <row r="1468" spans="1:25" ht="14.25" customHeight="1" x14ac:dyDescent="0.3">
      <c r="A1468" s="1" t="s">
        <v>698</v>
      </c>
      <c r="B1468" s="1" t="s">
        <v>714</v>
      </c>
      <c r="C1468" s="1" t="s">
        <v>714</v>
      </c>
      <c r="D1468" s="1" t="s">
        <v>715</v>
      </c>
      <c r="E1468" s="1" t="s">
        <v>337</v>
      </c>
      <c r="F1468" s="1">
        <v>26656.799999999999</v>
      </c>
      <c r="G1468" s="1">
        <v>26836.799999999999</v>
      </c>
      <c r="H1468" s="1">
        <v>12148.2</v>
      </c>
      <c r="I1468" s="1">
        <v>-11968.2</v>
      </c>
      <c r="J1468" s="1">
        <v>38804.999999999993</v>
      </c>
      <c r="K1468" s="1">
        <v>140</v>
      </c>
      <c r="L1468" s="1">
        <v>86.772857142857106</v>
      </c>
      <c r="M1468" s="1">
        <v>-137.92561861016449</v>
      </c>
      <c r="N1468" s="7">
        <v>45947</v>
      </c>
      <c r="O1468" s="1">
        <v>180</v>
      </c>
      <c r="P1468" s="7">
        <v>46127</v>
      </c>
      <c r="Q1468" s="1" t="s">
        <v>330</v>
      </c>
      <c r="T1468" s="1" t="s">
        <v>616</v>
      </c>
      <c r="U1468" s="1" t="s">
        <v>617</v>
      </c>
      <c r="V1468" s="1">
        <v>4</v>
      </c>
      <c r="W1468" s="3">
        <v>3407.49</v>
      </c>
      <c r="X1468" s="3">
        <v>13629.96</v>
      </c>
      <c r="Y1468" s="1" t="str">
        <f>VLOOKUP(A1468,[1]Detalle!$D$2:$CR$484,93,FALSE)</f>
        <v>Arcor S.A.I.C.</v>
      </c>
    </row>
    <row r="1469" spans="1:25" ht="14.25" customHeight="1" x14ac:dyDescent="0.3">
      <c r="A1469" s="1" t="s">
        <v>128</v>
      </c>
      <c r="B1469" s="1" t="s">
        <v>720</v>
      </c>
      <c r="C1469" s="1" t="s">
        <v>720</v>
      </c>
      <c r="D1469" s="1" t="s">
        <v>715</v>
      </c>
      <c r="E1469" s="1" t="s">
        <v>337</v>
      </c>
      <c r="N1469" s="7">
        <v>45947</v>
      </c>
      <c r="O1469" s="1">
        <v>365</v>
      </c>
      <c r="P1469" s="7">
        <v>46312</v>
      </c>
      <c r="Q1469" s="1" t="s">
        <v>330</v>
      </c>
      <c r="T1469" s="1" t="s">
        <v>721</v>
      </c>
      <c r="U1469" s="1" t="s">
        <v>722</v>
      </c>
      <c r="V1469" s="1">
        <v>1</v>
      </c>
      <c r="W1469" s="3">
        <v>21135.1</v>
      </c>
      <c r="X1469" s="3">
        <v>21135.1</v>
      </c>
      <c r="Y1469" s="1" t="str">
        <f>VLOOKUP(A1469,[1]Detalle!$D$2:$CR$484,93,FALSE)</f>
        <v>Arcor S.A.I.C.</v>
      </c>
    </row>
    <row r="1470" spans="1:25" ht="14.25" customHeight="1" x14ac:dyDescent="0.3">
      <c r="A1470" s="1" t="s">
        <v>128</v>
      </c>
      <c r="B1470" s="1" t="s">
        <v>720</v>
      </c>
      <c r="C1470" s="1" t="s">
        <v>720</v>
      </c>
      <c r="D1470" s="1" t="s">
        <v>715</v>
      </c>
      <c r="E1470" s="1" t="s">
        <v>337</v>
      </c>
      <c r="N1470" s="7">
        <v>45947</v>
      </c>
      <c r="O1470" s="1">
        <v>365</v>
      </c>
      <c r="P1470" s="7">
        <v>46312</v>
      </c>
      <c r="Q1470" s="1" t="s">
        <v>330</v>
      </c>
      <c r="T1470" s="1" t="s">
        <v>723</v>
      </c>
      <c r="U1470" s="1" t="s">
        <v>724</v>
      </c>
      <c r="V1470" s="1">
        <v>1</v>
      </c>
      <c r="W1470" s="3">
        <v>61500</v>
      </c>
      <c r="X1470" s="3">
        <v>61500</v>
      </c>
      <c r="Y1470" s="1" t="str">
        <f>VLOOKUP(A1470,[1]Detalle!$D$2:$CR$484,93,FALSE)</f>
        <v>Arcor S.A.I.C.</v>
      </c>
    </row>
    <row r="1471" spans="1:25" ht="14.25" customHeight="1" x14ac:dyDescent="0.3">
      <c r="A1471" s="1" t="s">
        <v>128</v>
      </c>
      <c r="B1471" s="1" t="s">
        <v>720</v>
      </c>
      <c r="C1471" s="1" t="s">
        <v>720</v>
      </c>
      <c r="D1471" s="1" t="s">
        <v>715</v>
      </c>
      <c r="E1471" s="1" t="s">
        <v>337</v>
      </c>
      <c r="N1471" s="7">
        <v>45947</v>
      </c>
      <c r="O1471" s="1">
        <v>365</v>
      </c>
      <c r="P1471" s="7">
        <v>46312</v>
      </c>
      <c r="Q1471" s="1" t="s">
        <v>330</v>
      </c>
      <c r="T1471" s="1" t="s">
        <v>331</v>
      </c>
      <c r="U1471" s="1" t="s">
        <v>332</v>
      </c>
      <c r="V1471" s="1">
        <v>12</v>
      </c>
      <c r="W1471" s="3">
        <v>3389.9</v>
      </c>
      <c r="X1471" s="3">
        <v>40678.800000000003</v>
      </c>
      <c r="Y1471" s="1" t="str">
        <f>VLOOKUP(A1471,[1]Detalle!$D$2:$CR$484,93,FALSE)</f>
        <v>Arcor S.A.I.C.</v>
      </c>
    </row>
    <row r="1472" spans="1:25" ht="14.25" customHeight="1" x14ac:dyDescent="0.3">
      <c r="A1472" s="1" t="s">
        <v>128</v>
      </c>
      <c r="B1472" s="1" t="s">
        <v>720</v>
      </c>
      <c r="C1472" s="1" t="s">
        <v>720</v>
      </c>
      <c r="D1472" s="1" t="s">
        <v>715</v>
      </c>
      <c r="E1472" s="1" t="s">
        <v>337</v>
      </c>
      <c r="N1472" s="7">
        <v>45947</v>
      </c>
      <c r="O1472" s="1">
        <v>365</v>
      </c>
      <c r="P1472" s="7">
        <v>46312</v>
      </c>
      <c r="Q1472" s="1" t="s">
        <v>330</v>
      </c>
      <c r="T1472" s="1" t="s">
        <v>725</v>
      </c>
      <c r="U1472" s="1" t="s">
        <v>726</v>
      </c>
      <c r="V1472" s="1">
        <v>1</v>
      </c>
      <c r="W1472" s="3">
        <v>14869.65</v>
      </c>
      <c r="X1472" s="3">
        <v>14869.65</v>
      </c>
      <c r="Y1472" s="1" t="str">
        <f>VLOOKUP(A1472,[1]Detalle!$D$2:$CR$484,93,FALSE)</f>
        <v>Arcor S.A.I.C.</v>
      </c>
    </row>
    <row r="1473" spans="1:25" ht="14.25" customHeight="1" x14ac:dyDescent="0.3">
      <c r="A1473" s="1" t="s">
        <v>207</v>
      </c>
      <c r="B1473" s="1" t="s">
        <v>720</v>
      </c>
      <c r="C1473" s="1" t="s">
        <v>720</v>
      </c>
      <c r="D1473" s="1" t="s">
        <v>715</v>
      </c>
      <c r="E1473" s="1" t="s">
        <v>337</v>
      </c>
      <c r="F1473" s="1">
        <v>331282</v>
      </c>
      <c r="G1473" s="1">
        <v>331647</v>
      </c>
      <c r="H1473" s="1">
        <v>13312.400000000011</v>
      </c>
      <c r="I1473" s="1">
        <v>-12947.400000000011</v>
      </c>
      <c r="J1473" s="1">
        <v>344594.4</v>
      </c>
      <c r="K1473" s="1">
        <v>145</v>
      </c>
      <c r="L1473" s="1">
        <v>91.809655172413841</v>
      </c>
      <c r="M1473" s="1">
        <v>-141.02438328175239</v>
      </c>
      <c r="N1473" s="7">
        <v>45947</v>
      </c>
      <c r="O1473" s="1">
        <v>365</v>
      </c>
      <c r="P1473" s="7">
        <v>46312</v>
      </c>
      <c r="Q1473" s="1" t="s">
        <v>330</v>
      </c>
      <c r="T1473" s="1" t="s">
        <v>721</v>
      </c>
      <c r="U1473" s="1" t="s">
        <v>722</v>
      </c>
      <c r="V1473" s="1">
        <v>1</v>
      </c>
      <c r="W1473" s="3">
        <v>21135.1</v>
      </c>
      <c r="X1473" s="3">
        <v>21135.1</v>
      </c>
      <c r="Y1473" s="1" t="str">
        <f>VLOOKUP(A1473,[1]Detalle!$D$2:$CR$484,93,FALSE)</f>
        <v>Arcor S.A.I.C.</v>
      </c>
    </row>
    <row r="1474" spans="1:25" ht="14.25" customHeight="1" x14ac:dyDescent="0.3">
      <c r="A1474" s="1" t="s">
        <v>207</v>
      </c>
      <c r="B1474" s="1" t="s">
        <v>720</v>
      </c>
      <c r="C1474" s="1" t="s">
        <v>720</v>
      </c>
      <c r="D1474" s="1" t="s">
        <v>715</v>
      </c>
      <c r="E1474" s="1" t="s">
        <v>337</v>
      </c>
      <c r="F1474" s="1">
        <v>331282</v>
      </c>
      <c r="G1474" s="1">
        <v>331647</v>
      </c>
      <c r="H1474" s="1">
        <v>13312.400000000011</v>
      </c>
      <c r="I1474" s="1">
        <v>-12947.400000000011</v>
      </c>
      <c r="J1474" s="1">
        <v>344594.4</v>
      </c>
      <c r="K1474" s="1">
        <v>145</v>
      </c>
      <c r="L1474" s="1">
        <v>91.809655172413841</v>
      </c>
      <c r="M1474" s="1">
        <v>-141.02438328175239</v>
      </c>
      <c r="N1474" s="7">
        <v>45947</v>
      </c>
      <c r="O1474" s="1">
        <v>365</v>
      </c>
      <c r="P1474" s="7">
        <v>46312</v>
      </c>
      <c r="Q1474" s="1" t="s">
        <v>330</v>
      </c>
      <c r="T1474" s="1" t="s">
        <v>723</v>
      </c>
      <c r="U1474" s="1" t="s">
        <v>724</v>
      </c>
      <c r="V1474" s="1">
        <v>1</v>
      </c>
      <c r="W1474" s="3">
        <v>61500</v>
      </c>
      <c r="X1474" s="3">
        <v>61500</v>
      </c>
      <c r="Y1474" s="1" t="str">
        <f>VLOOKUP(A1474,[1]Detalle!$D$2:$CR$484,93,FALSE)</f>
        <v>Arcor S.A.I.C.</v>
      </c>
    </row>
    <row r="1475" spans="1:25" ht="14.25" customHeight="1" x14ac:dyDescent="0.3">
      <c r="A1475" s="1" t="s">
        <v>207</v>
      </c>
      <c r="B1475" s="1" t="s">
        <v>720</v>
      </c>
      <c r="C1475" s="1" t="s">
        <v>720</v>
      </c>
      <c r="D1475" s="1" t="s">
        <v>715</v>
      </c>
      <c r="E1475" s="1" t="s">
        <v>337</v>
      </c>
      <c r="F1475" s="1">
        <v>331282</v>
      </c>
      <c r="G1475" s="1">
        <v>331647</v>
      </c>
      <c r="H1475" s="1">
        <v>13312.400000000011</v>
      </c>
      <c r="I1475" s="1">
        <v>-12947.400000000011</v>
      </c>
      <c r="J1475" s="1">
        <v>344594.4</v>
      </c>
      <c r="K1475" s="1">
        <v>145</v>
      </c>
      <c r="L1475" s="1">
        <v>91.809655172413841</v>
      </c>
      <c r="M1475" s="1">
        <v>-141.02438328175239</v>
      </c>
      <c r="N1475" s="7">
        <v>45947</v>
      </c>
      <c r="O1475" s="1">
        <v>365</v>
      </c>
      <c r="P1475" s="7">
        <v>46312</v>
      </c>
      <c r="Q1475" s="1" t="s">
        <v>330</v>
      </c>
      <c r="T1475" s="1" t="s">
        <v>331</v>
      </c>
      <c r="U1475" s="1" t="s">
        <v>332</v>
      </c>
      <c r="V1475" s="1">
        <v>12</v>
      </c>
      <c r="W1475" s="3">
        <v>3389.9</v>
      </c>
      <c r="X1475" s="3">
        <v>40678.800000000003</v>
      </c>
      <c r="Y1475" s="1" t="str">
        <f>VLOOKUP(A1475,[1]Detalle!$D$2:$CR$484,93,FALSE)</f>
        <v>Arcor S.A.I.C.</v>
      </c>
    </row>
    <row r="1476" spans="1:25" ht="14.25" customHeight="1" x14ac:dyDescent="0.3">
      <c r="A1476" s="1" t="s">
        <v>207</v>
      </c>
      <c r="B1476" s="1" t="s">
        <v>720</v>
      </c>
      <c r="C1476" s="1" t="s">
        <v>720</v>
      </c>
      <c r="D1476" s="1" t="s">
        <v>715</v>
      </c>
      <c r="E1476" s="1" t="s">
        <v>337</v>
      </c>
      <c r="F1476" s="1">
        <v>331282</v>
      </c>
      <c r="G1476" s="1">
        <v>331647</v>
      </c>
      <c r="H1476" s="1">
        <v>13312.400000000011</v>
      </c>
      <c r="I1476" s="1">
        <v>-12947.400000000011</v>
      </c>
      <c r="J1476" s="1">
        <v>344594.4</v>
      </c>
      <c r="K1476" s="1">
        <v>145</v>
      </c>
      <c r="L1476" s="1">
        <v>91.809655172413841</v>
      </c>
      <c r="M1476" s="1">
        <v>-141.02438328175239</v>
      </c>
      <c r="N1476" s="7">
        <v>45947</v>
      </c>
      <c r="O1476" s="1">
        <v>365</v>
      </c>
      <c r="P1476" s="7">
        <v>46312</v>
      </c>
      <c r="Q1476" s="1" t="s">
        <v>330</v>
      </c>
      <c r="T1476" s="1" t="s">
        <v>725</v>
      </c>
      <c r="U1476" s="1" t="s">
        <v>726</v>
      </c>
      <c r="V1476" s="1">
        <v>1</v>
      </c>
      <c r="W1476" s="3">
        <v>14869.65</v>
      </c>
      <c r="X1476" s="3">
        <v>14869.65</v>
      </c>
      <c r="Y1476" s="1" t="str">
        <f>VLOOKUP(A1476,[1]Detalle!$D$2:$CR$484,93,FALSE)</f>
        <v>Arcor S.A.I.C.</v>
      </c>
    </row>
    <row r="1477" spans="1:25" ht="14.25" customHeight="1" x14ac:dyDescent="0.3">
      <c r="A1477" s="1" t="s">
        <v>208</v>
      </c>
      <c r="B1477" s="1" t="s">
        <v>720</v>
      </c>
      <c r="C1477" s="1" t="s">
        <v>720</v>
      </c>
      <c r="D1477" s="1" t="s">
        <v>715</v>
      </c>
      <c r="E1477" s="1" t="s">
        <v>337</v>
      </c>
      <c r="F1477" s="1">
        <v>269635</v>
      </c>
      <c r="G1477" s="1">
        <v>270000</v>
      </c>
      <c r="H1477" s="1">
        <v>12945.19999999999</v>
      </c>
      <c r="I1477" s="1">
        <v>-12580.19999999999</v>
      </c>
      <c r="J1477" s="1">
        <v>282580.2</v>
      </c>
      <c r="K1477" s="1">
        <v>149</v>
      </c>
      <c r="L1477" s="1">
        <v>86.880536912751623</v>
      </c>
      <c r="M1477" s="1">
        <v>-144.79882890955719</v>
      </c>
      <c r="N1477" s="7">
        <v>45947</v>
      </c>
      <c r="O1477" s="1">
        <v>365</v>
      </c>
      <c r="P1477" s="7">
        <v>46312</v>
      </c>
      <c r="Q1477" s="1" t="s">
        <v>330</v>
      </c>
      <c r="T1477" s="1" t="s">
        <v>721</v>
      </c>
      <c r="U1477" s="1" t="s">
        <v>722</v>
      </c>
      <c r="V1477" s="1">
        <v>1</v>
      </c>
      <c r="W1477" s="3">
        <v>21135.1</v>
      </c>
      <c r="X1477" s="3">
        <v>21135.1</v>
      </c>
      <c r="Y1477" s="1" t="str">
        <f>VLOOKUP(A1477,[1]Detalle!$D$2:$CR$484,93,FALSE)</f>
        <v>Arcor S.A.I.C.</v>
      </c>
    </row>
    <row r="1478" spans="1:25" ht="14.25" customHeight="1" x14ac:dyDescent="0.3">
      <c r="A1478" s="1" t="s">
        <v>208</v>
      </c>
      <c r="B1478" s="1" t="s">
        <v>720</v>
      </c>
      <c r="C1478" s="1" t="s">
        <v>720</v>
      </c>
      <c r="D1478" s="1" t="s">
        <v>715</v>
      </c>
      <c r="E1478" s="1" t="s">
        <v>337</v>
      </c>
      <c r="F1478" s="1">
        <v>269635</v>
      </c>
      <c r="G1478" s="1">
        <v>270000</v>
      </c>
      <c r="H1478" s="1">
        <v>12945.19999999999</v>
      </c>
      <c r="I1478" s="1">
        <v>-12580.19999999999</v>
      </c>
      <c r="J1478" s="1">
        <v>282580.2</v>
      </c>
      <c r="K1478" s="1">
        <v>149</v>
      </c>
      <c r="L1478" s="1">
        <v>86.880536912751623</v>
      </c>
      <c r="M1478" s="1">
        <v>-144.79882890955719</v>
      </c>
      <c r="N1478" s="7">
        <v>45947</v>
      </c>
      <c r="O1478" s="1">
        <v>365</v>
      </c>
      <c r="P1478" s="7">
        <v>46312</v>
      </c>
      <c r="Q1478" s="1" t="s">
        <v>330</v>
      </c>
      <c r="T1478" s="1" t="s">
        <v>723</v>
      </c>
      <c r="U1478" s="1" t="s">
        <v>724</v>
      </c>
      <c r="V1478" s="1">
        <v>1</v>
      </c>
      <c r="W1478" s="3">
        <v>61500</v>
      </c>
      <c r="X1478" s="3">
        <v>61500</v>
      </c>
      <c r="Y1478" s="1" t="str">
        <f>VLOOKUP(A1478,[1]Detalle!$D$2:$CR$484,93,FALSE)</f>
        <v>Arcor S.A.I.C.</v>
      </c>
    </row>
    <row r="1479" spans="1:25" ht="14.25" customHeight="1" x14ac:dyDescent="0.3">
      <c r="A1479" s="1" t="s">
        <v>208</v>
      </c>
      <c r="B1479" s="1" t="s">
        <v>720</v>
      </c>
      <c r="C1479" s="1" t="s">
        <v>720</v>
      </c>
      <c r="D1479" s="1" t="s">
        <v>715</v>
      </c>
      <c r="E1479" s="1" t="s">
        <v>337</v>
      </c>
      <c r="F1479" s="1">
        <v>269635</v>
      </c>
      <c r="G1479" s="1">
        <v>270000</v>
      </c>
      <c r="H1479" s="1">
        <v>12945.19999999999</v>
      </c>
      <c r="I1479" s="1">
        <v>-12580.19999999999</v>
      </c>
      <c r="J1479" s="1">
        <v>282580.2</v>
      </c>
      <c r="K1479" s="1">
        <v>149</v>
      </c>
      <c r="L1479" s="1">
        <v>86.880536912751623</v>
      </c>
      <c r="M1479" s="1">
        <v>-144.79882890955719</v>
      </c>
      <c r="N1479" s="7">
        <v>45947</v>
      </c>
      <c r="O1479" s="1">
        <v>365</v>
      </c>
      <c r="P1479" s="7">
        <v>46312</v>
      </c>
      <c r="Q1479" s="1" t="s">
        <v>330</v>
      </c>
      <c r="T1479" s="1" t="s">
        <v>331</v>
      </c>
      <c r="U1479" s="1" t="s">
        <v>332</v>
      </c>
      <c r="V1479" s="1">
        <v>12</v>
      </c>
      <c r="W1479" s="3">
        <v>3389.9</v>
      </c>
      <c r="X1479" s="3">
        <v>40678.800000000003</v>
      </c>
      <c r="Y1479" s="1" t="str">
        <f>VLOOKUP(A1479,[1]Detalle!$D$2:$CR$484,93,FALSE)</f>
        <v>Arcor S.A.I.C.</v>
      </c>
    </row>
    <row r="1480" spans="1:25" ht="14.25" customHeight="1" x14ac:dyDescent="0.3">
      <c r="A1480" s="1" t="s">
        <v>208</v>
      </c>
      <c r="B1480" s="1" t="s">
        <v>720</v>
      </c>
      <c r="C1480" s="1" t="s">
        <v>720</v>
      </c>
      <c r="D1480" s="1" t="s">
        <v>715</v>
      </c>
      <c r="E1480" s="1" t="s">
        <v>337</v>
      </c>
      <c r="F1480" s="1">
        <v>269635</v>
      </c>
      <c r="G1480" s="1">
        <v>270000</v>
      </c>
      <c r="H1480" s="1">
        <v>12945.19999999999</v>
      </c>
      <c r="I1480" s="1">
        <v>-12580.19999999999</v>
      </c>
      <c r="J1480" s="1">
        <v>282580.2</v>
      </c>
      <c r="K1480" s="1">
        <v>149</v>
      </c>
      <c r="L1480" s="1">
        <v>86.880536912751623</v>
      </c>
      <c r="M1480" s="1">
        <v>-144.79882890955719</v>
      </c>
      <c r="N1480" s="7">
        <v>45947</v>
      </c>
      <c r="O1480" s="1">
        <v>365</v>
      </c>
      <c r="P1480" s="7">
        <v>46312</v>
      </c>
      <c r="Q1480" s="1" t="s">
        <v>330</v>
      </c>
      <c r="T1480" s="1" t="s">
        <v>725</v>
      </c>
      <c r="U1480" s="1" t="s">
        <v>726</v>
      </c>
      <c r="V1480" s="1">
        <v>1</v>
      </c>
      <c r="W1480" s="3">
        <v>14869.65</v>
      </c>
      <c r="X1480" s="3">
        <v>14869.65</v>
      </c>
      <c r="Y1480" s="1" t="str">
        <f>VLOOKUP(A1480,[1]Detalle!$D$2:$CR$484,93,FALSE)</f>
        <v>Arcor S.A.I.C.</v>
      </c>
    </row>
    <row r="1481" spans="1:25" ht="14.25" customHeight="1" x14ac:dyDescent="0.3">
      <c r="A1481" s="1" t="s">
        <v>622</v>
      </c>
      <c r="B1481" s="1" t="s">
        <v>720</v>
      </c>
      <c r="C1481" s="1" t="s">
        <v>720</v>
      </c>
      <c r="D1481" s="1" t="s">
        <v>715</v>
      </c>
      <c r="E1481" s="1" t="s">
        <v>337</v>
      </c>
      <c r="F1481" s="1">
        <v>22731.7</v>
      </c>
      <c r="G1481" s="1">
        <v>23096.7</v>
      </c>
      <c r="H1481" s="1">
        <v>0</v>
      </c>
      <c r="I1481" s="1">
        <v>365</v>
      </c>
      <c r="J1481" s="1">
        <v>22731.7</v>
      </c>
      <c r="K1481" s="1">
        <v>148</v>
      </c>
      <c r="L1481" s="1">
        <v>100</v>
      </c>
      <c r="M1481" s="1">
        <v>3.65</v>
      </c>
      <c r="N1481" s="7">
        <v>45947</v>
      </c>
      <c r="O1481" s="1">
        <v>365</v>
      </c>
      <c r="P1481" s="7">
        <v>46312</v>
      </c>
      <c r="Q1481" s="1" t="s">
        <v>330</v>
      </c>
      <c r="T1481" s="1" t="s">
        <v>721</v>
      </c>
      <c r="U1481" s="1" t="s">
        <v>722</v>
      </c>
      <c r="V1481" s="1">
        <v>1</v>
      </c>
      <c r="W1481" s="3">
        <v>21135.1</v>
      </c>
      <c r="X1481" s="3">
        <v>21135.1</v>
      </c>
      <c r="Y1481" s="1" t="str">
        <f>VLOOKUP(A1481,[1]Detalle!$D$2:$CR$484,93,FALSE)</f>
        <v>Arcor S.A.I.C.</v>
      </c>
    </row>
    <row r="1482" spans="1:25" ht="14.25" customHeight="1" x14ac:dyDescent="0.3">
      <c r="A1482" s="1" t="s">
        <v>622</v>
      </c>
      <c r="B1482" s="1" t="s">
        <v>720</v>
      </c>
      <c r="C1482" s="1" t="s">
        <v>720</v>
      </c>
      <c r="D1482" s="1" t="s">
        <v>715</v>
      </c>
      <c r="E1482" s="1" t="s">
        <v>337</v>
      </c>
      <c r="F1482" s="1">
        <v>22731.7</v>
      </c>
      <c r="G1482" s="1">
        <v>23096.7</v>
      </c>
      <c r="H1482" s="1">
        <v>0</v>
      </c>
      <c r="I1482" s="1">
        <v>365</v>
      </c>
      <c r="J1482" s="1">
        <v>22731.7</v>
      </c>
      <c r="K1482" s="1">
        <v>148</v>
      </c>
      <c r="L1482" s="1">
        <v>100</v>
      </c>
      <c r="M1482" s="1">
        <v>3.65</v>
      </c>
      <c r="N1482" s="7">
        <v>45947</v>
      </c>
      <c r="O1482" s="1">
        <v>365</v>
      </c>
      <c r="P1482" s="7">
        <v>46312</v>
      </c>
      <c r="Q1482" s="1" t="s">
        <v>330</v>
      </c>
      <c r="T1482" s="1" t="s">
        <v>723</v>
      </c>
      <c r="U1482" s="1" t="s">
        <v>724</v>
      </c>
      <c r="V1482" s="1">
        <v>1</v>
      </c>
      <c r="W1482" s="3">
        <v>61500</v>
      </c>
      <c r="X1482" s="3">
        <v>61500</v>
      </c>
      <c r="Y1482" s="1" t="str">
        <f>VLOOKUP(A1482,[1]Detalle!$D$2:$CR$484,93,FALSE)</f>
        <v>Arcor S.A.I.C.</v>
      </c>
    </row>
    <row r="1483" spans="1:25" ht="14.25" customHeight="1" x14ac:dyDescent="0.3">
      <c r="A1483" s="1" t="s">
        <v>622</v>
      </c>
      <c r="B1483" s="1" t="s">
        <v>720</v>
      </c>
      <c r="C1483" s="1" t="s">
        <v>720</v>
      </c>
      <c r="D1483" s="1" t="s">
        <v>715</v>
      </c>
      <c r="E1483" s="1" t="s">
        <v>337</v>
      </c>
      <c r="F1483" s="1">
        <v>22731.7</v>
      </c>
      <c r="G1483" s="1">
        <v>23096.7</v>
      </c>
      <c r="H1483" s="1">
        <v>0</v>
      </c>
      <c r="I1483" s="1">
        <v>365</v>
      </c>
      <c r="J1483" s="1">
        <v>22731.7</v>
      </c>
      <c r="K1483" s="1">
        <v>148</v>
      </c>
      <c r="L1483" s="1">
        <v>100</v>
      </c>
      <c r="M1483" s="1">
        <v>3.65</v>
      </c>
      <c r="N1483" s="7">
        <v>45947</v>
      </c>
      <c r="O1483" s="1">
        <v>365</v>
      </c>
      <c r="P1483" s="7">
        <v>46312</v>
      </c>
      <c r="Q1483" s="1" t="s">
        <v>330</v>
      </c>
      <c r="T1483" s="1" t="s">
        <v>331</v>
      </c>
      <c r="U1483" s="1" t="s">
        <v>332</v>
      </c>
      <c r="V1483" s="1">
        <v>12</v>
      </c>
      <c r="W1483" s="3">
        <v>3389.9</v>
      </c>
      <c r="X1483" s="3">
        <v>40678.800000000003</v>
      </c>
      <c r="Y1483" s="1" t="str">
        <f>VLOOKUP(A1483,[1]Detalle!$D$2:$CR$484,93,FALSE)</f>
        <v>Arcor S.A.I.C.</v>
      </c>
    </row>
    <row r="1484" spans="1:25" ht="14.25" customHeight="1" x14ac:dyDescent="0.3">
      <c r="A1484" s="1" t="s">
        <v>622</v>
      </c>
      <c r="B1484" s="1" t="s">
        <v>720</v>
      </c>
      <c r="C1484" s="1" t="s">
        <v>720</v>
      </c>
      <c r="D1484" s="1" t="s">
        <v>715</v>
      </c>
      <c r="E1484" s="1" t="s">
        <v>337</v>
      </c>
      <c r="F1484" s="1">
        <v>22731.7</v>
      </c>
      <c r="G1484" s="1">
        <v>23096.7</v>
      </c>
      <c r="H1484" s="1">
        <v>0</v>
      </c>
      <c r="I1484" s="1">
        <v>365</v>
      </c>
      <c r="J1484" s="1">
        <v>22731.7</v>
      </c>
      <c r="K1484" s="1">
        <v>148</v>
      </c>
      <c r="L1484" s="1">
        <v>100</v>
      </c>
      <c r="M1484" s="1">
        <v>3.65</v>
      </c>
      <c r="N1484" s="7">
        <v>45947</v>
      </c>
      <c r="O1484" s="1">
        <v>365</v>
      </c>
      <c r="P1484" s="7">
        <v>46312</v>
      </c>
      <c r="Q1484" s="1" t="s">
        <v>330</v>
      </c>
      <c r="T1484" s="1" t="s">
        <v>725</v>
      </c>
      <c r="U1484" s="1" t="s">
        <v>726</v>
      </c>
      <c r="V1484" s="1">
        <v>1</v>
      </c>
      <c r="W1484" s="3">
        <v>14869.65</v>
      </c>
      <c r="X1484" s="3">
        <v>14869.65</v>
      </c>
      <c r="Y1484" s="1" t="str">
        <f>VLOOKUP(A1484,[1]Detalle!$D$2:$CR$484,93,FALSE)</f>
        <v>Arcor S.A.I.C.</v>
      </c>
    </row>
    <row r="1485" spans="1:25" ht="14.25" customHeight="1" x14ac:dyDescent="0.3">
      <c r="A1485" s="1" t="s">
        <v>635</v>
      </c>
      <c r="B1485" s="1" t="s">
        <v>720</v>
      </c>
      <c r="C1485" s="1" t="s">
        <v>720</v>
      </c>
      <c r="D1485" s="1" t="s">
        <v>715</v>
      </c>
      <c r="E1485" s="1" t="s">
        <v>337</v>
      </c>
      <c r="N1485" s="7">
        <v>45947</v>
      </c>
      <c r="O1485" s="1">
        <v>365</v>
      </c>
      <c r="P1485" s="7">
        <v>46312</v>
      </c>
      <c r="Q1485" s="1" t="s">
        <v>330</v>
      </c>
      <c r="T1485" s="1" t="s">
        <v>721</v>
      </c>
      <c r="U1485" s="1" t="s">
        <v>722</v>
      </c>
      <c r="V1485" s="1">
        <v>1</v>
      </c>
      <c r="W1485" s="3">
        <v>21135.1</v>
      </c>
      <c r="X1485" s="3">
        <v>21135.1</v>
      </c>
      <c r="Y1485" s="1" t="str">
        <f>VLOOKUP(A1485,[1]Detalle!$D$2:$CR$484,93,FALSE)</f>
        <v>Arcor S.A.I.C.</v>
      </c>
    </row>
    <row r="1486" spans="1:25" ht="14.25" customHeight="1" x14ac:dyDescent="0.3">
      <c r="A1486" s="1" t="s">
        <v>635</v>
      </c>
      <c r="B1486" s="1" t="s">
        <v>720</v>
      </c>
      <c r="C1486" s="1" t="s">
        <v>720</v>
      </c>
      <c r="D1486" s="1" t="s">
        <v>715</v>
      </c>
      <c r="E1486" s="1" t="s">
        <v>337</v>
      </c>
      <c r="N1486" s="7">
        <v>45947</v>
      </c>
      <c r="O1486" s="1">
        <v>365</v>
      </c>
      <c r="P1486" s="7">
        <v>46312</v>
      </c>
      <c r="Q1486" s="1" t="s">
        <v>330</v>
      </c>
      <c r="T1486" s="1" t="s">
        <v>723</v>
      </c>
      <c r="U1486" s="1" t="s">
        <v>724</v>
      </c>
      <c r="V1486" s="1">
        <v>1</v>
      </c>
      <c r="W1486" s="3">
        <v>61500</v>
      </c>
      <c r="X1486" s="3">
        <v>61500</v>
      </c>
      <c r="Y1486" s="1" t="str">
        <f>VLOOKUP(A1486,[1]Detalle!$D$2:$CR$484,93,FALSE)</f>
        <v>Arcor S.A.I.C.</v>
      </c>
    </row>
    <row r="1487" spans="1:25" ht="14.25" customHeight="1" x14ac:dyDescent="0.3">
      <c r="A1487" s="1" t="s">
        <v>635</v>
      </c>
      <c r="B1487" s="1" t="s">
        <v>720</v>
      </c>
      <c r="C1487" s="1" t="s">
        <v>720</v>
      </c>
      <c r="D1487" s="1" t="s">
        <v>715</v>
      </c>
      <c r="E1487" s="1" t="s">
        <v>337</v>
      </c>
      <c r="N1487" s="7">
        <v>45947</v>
      </c>
      <c r="O1487" s="1">
        <v>365</v>
      </c>
      <c r="P1487" s="7">
        <v>46312</v>
      </c>
      <c r="Q1487" s="1" t="s">
        <v>330</v>
      </c>
      <c r="T1487" s="1" t="s">
        <v>331</v>
      </c>
      <c r="U1487" s="1" t="s">
        <v>332</v>
      </c>
      <c r="V1487" s="1">
        <v>12</v>
      </c>
      <c r="W1487" s="3">
        <v>3389.9</v>
      </c>
      <c r="X1487" s="3">
        <v>40678.800000000003</v>
      </c>
      <c r="Y1487" s="1" t="str">
        <f>VLOOKUP(A1487,[1]Detalle!$D$2:$CR$484,93,FALSE)</f>
        <v>Arcor S.A.I.C.</v>
      </c>
    </row>
    <row r="1488" spans="1:25" ht="14.25" customHeight="1" x14ac:dyDescent="0.3">
      <c r="A1488" s="1" t="s">
        <v>635</v>
      </c>
      <c r="B1488" s="1" t="s">
        <v>720</v>
      </c>
      <c r="C1488" s="1" t="s">
        <v>720</v>
      </c>
      <c r="D1488" s="1" t="s">
        <v>715</v>
      </c>
      <c r="E1488" s="1" t="s">
        <v>337</v>
      </c>
      <c r="N1488" s="7">
        <v>45947</v>
      </c>
      <c r="O1488" s="1">
        <v>365</v>
      </c>
      <c r="P1488" s="7">
        <v>46312</v>
      </c>
      <c r="Q1488" s="1" t="s">
        <v>330</v>
      </c>
      <c r="T1488" s="1" t="s">
        <v>725</v>
      </c>
      <c r="U1488" s="1" t="s">
        <v>726</v>
      </c>
      <c r="V1488" s="1">
        <v>1</v>
      </c>
      <c r="W1488" s="3">
        <v>14869.65</v>
      </c>
      <c r="X1488" s="3">
        <v>14869.65</v>
      </c>
      <c r="Y1488" s="1" t="str">
        <f>VLOOKUP(A1488,[1]Detalle!$D$2:$CR$484,93,FALSE)</f>
        <v>Arcor S.A.I.C.</v>
      </c>
    </row>
    <row r="1489" spans="1:25" ht="14.25" customHeight="1" x14ac:dyDescent="0.3">
      <c r="A1489" s="1" t="s">
        <v>87</v>
      </c>
      <c r="B1489" s="1" t="s">
        <v>720</v>
      </c>
      <c r="C1489" s="1" t="s">
        <v>720</v>
      </c>
      <c r="D1489" s="1" t="s">
        <v>715</v>
      </c>
      <c r="E1489" s="1" t="s">
        <v>337</v>
      </c>
      <c r="F1489" s="1">
        <v>43699.7</v>
      </c>
      <c r="G1489" s="1">
        <v>44064.7</v>
      </c>
      <c r="H1489" s="1">
        <v>0</v>
      </c>
      <c r="I1489" s="1">
        <v>365</v>
      </c>
      <c r="J1489" s="1">
        <v>43699.7</v>
      </c>
      <c r="K1489" s="1">
        <v>145</v>
      </c>
      <c r="L1489" s="1">
        <v>100</v>
      </c>
      <c r="M1489" s="1">
        <v>3.65</v>
      </c>
      <c r="N1489" s="7">
        <v>45947</v>
      </c>
      <c r="O1489" s="1">
        <v>365</v>
      </c>
      <c r="P1489" s="7">
        <v>46312</v>
      </c>
      <c r="Q1489" s="1" t="s">
        <v>330</v>
      </c>
      <c r="T1489" s="1" t="s">
        <v>721</v>
      </c>
      <c r="U1489" s="1" t="s">
        <v>722</v>
      </c>
      <c r="V1489" s="1">
        <v>1</v>
      </c>
      <c r="W1489" s="3">
        <v>21135.1</v>
      </c>
      <c r="X1489" s="3">
        <v>21135.1</v>
      </c>
      <c r="Y1489" s="1" t="str">
        <f>VLOOKUP(A1489,[1]Detalle!$D$2:$CR$484,93,FALSE)</f>
        <v>Arcor S.A.I.C.</v>
      </c>
    </row>
    <row r="1490" spans="1:25" ht="14.25" customHeight="1" x14ac:dyDescent="0.3">
      <c r="A1490" s="1" t="s">
        <v>87</v>
      </c>
      <c r="B1490" s="1" t="s">
        <v>720</v>
      </c>
      <c r="C1490" s="1" t="s">
        <v>720</v>
      </c>
      <c r="D1490" s="1" t="s">
        <v>715</v>
      </c>
      <c r="E1490" s="1" t="s">
        <v>337</v>
      </c>
      <c r="F1490" s="1">
        <v>43699.7</v>
      </c>
      <c r="G1490" s="1">
        <v>44064.7</v>
      </c>
      <c r="H1490" s="1">
        <v>0</v>
      </c>
      <c r="I1490" s="1">
        <v>365</v>
      </c>
      <c r="J1490" s="1">
        <v>43699.7</v>
      </c>
      <c r="K1490" s="1">
        <v>145</v>
      </c>
      <c r="L1490" s="1">
        <v>100</v>
      </c>
      <c r="M1490" s="1">
        <v>3.65</v>
      </c>
      <c r="N1490" s="7">
        <v>45947</v>
      </c>
      <c r="O1490" s="1">
        <v>365</v>
      </c>
      <c r="P1490" s="7">
        <v>46312</v>
      </c>
      <c r="Q1490" s="1" t="s">
        <v>330</v>
      </c>
      <c r="T1490" s="1" t="s">
        <v>723</v>
      </c>
      <c r="U1490" s="1" t="s">
        <v>724</v>
      </c>
      <c r="V1490" s="1">
        <v>1</v>
      </c>
      <c r="W1490" s="3">
        <v>61500</v>
      </c>
      <c r="X1490" s="3">
        <v>61500</v>
      </c>
      <c r="Y1490" s="1" t="str">
        <f>VLOOKUP(A1490,[1]Detalle!$D$2:$CR$484,93,FALSE)</f>
        <v>Arcor S.A.I.C.</v>
      </c>
    </row>
    <row r="1491" spans="1:25" ht="14.25" customHeight="1" x14ac:dyDescent="0.3">
      <c r="A1491" s="1" t="s">
        <v>87</v>
      </c>
      <c r="B1491" s="1" t="s">
        <v>720</v>
      </c>
      <c r="C1491" s="1" t="s">
        <v>720</v>
      </c>
      <c r="D1491" s="1" t="s">
        <v>715</v>
      </c>
      <c r="E1491" s="1" t="s">
        <v>337</v>
      </c>
      <c r="F1491" s="1">
        <v>43699.7</v>
      </c>
      <c r="G1491" s="1">
        <v>44064.7</v>
      </c>
      <c r="H1491" s="1">
        <v>0</v>
      </c>
      <c r="I1491" s="1">
        <v>365</v>
      </c>
      <c r="J1491" s="1">
        <v>43699.7</v>
      </c>
      <c r="K1491" s="1">
        <v>145</v>
      </c>
      <c r="L1491" s="1">
        <v>100</v>
      </c>
      <c r="M1491" s="1">
        <v>3.65</v>
      </c>
      <c r="N1491" s="7">
        <v>45947</v>
      </c>
      <c r="O1491" s="1">
        <v>365</v>
      </c>
      <c r="P1491" s="7">
        <v>46312</v>
      </c>
      <c r="Q1491" s="1" t="s">
        <v>330</v>
      </c>
      <c r="T1491" s="1" t="s">
        <v>331</v>
      </c>
      <c r="U1491" s="1" t="s">
        <v>332</v>
      </c>
      <c r="V1491" s="1">
        <v>12</v>
      </c>
      <c r="W1491" s="3">
        <v>3389.9</v>
      </c>
      <c r="X1491" s="3">
        <v>40678.800000000003</v>
      </c>
      <c r="Y1491" s="1" t="str">
        <f>VLOOKUP(A1491,[1]Detalle!$D$2:$CR$484,93,FALSE)</f>
        <v>Arcor S.A.I.C.</v>
      </c>
    </row>
    <row r="1492" spans="1:25" ht="14.25" customHeight="1" x14ac:dyDescent="0.3">
      <c r="A1492" s="1" t="s">
        <v>87</v>
      </c>
      <c r="B1492" s="1" t="s">
        <v>720</v>
      </c>
      <c r="C1492" s="1" t="s">
        <v>720</v>
      </c>
      <c r="D1492" s="1" t="s">
        <v>715</v>
      </c>
      <c r="E1492" s="1" t="s">
        <v>337</v>
      </c>
      <c r="F1492" s="1">
        <v>43699.7</v>
      </c>
      <c r="G1492" s="1">
        <v>44064.7</v>
      </c>
      <c r="H1492" s="1">
        <v>0</v>
      </c>
      <c r="I1492" s="1">
        <v>365</v>
      </c>
      <c r="J1492" s="1">
        <v>43699.7</v>
      </c>
      <c r="K1492" s="1">
        <v>145</v>
      </c>
      <c r="L1492" s="1">
        <v>100</v>
      </c>
      <c r="M1492" s="1">
        <v>3.65</v>
      </c>
      <c r="N1492" s="7">
        <v>45947</v>
      </c>
      <c r="O1492" s="1">
        <v>365</v>
      </c>
      <c r="P1492" s="7">
        <v>46312</v>
      </c>
      <c r="Q1492" s="1" t="s">
        <v>330</v>
      </c>
      <c r="T1492" s="1" t="s">
        <v>725</v>
      </c>
      <c r="U1492" s="1" t="s">
        <v>726</v>
      </c>
      <c r="V1492" s="1">
        <v>1</v>
      </c>
      <c r="W1492" s="3">
        <v>14869.65</v>
      </c>
      <c r="X1492" s="3">
        <v>14869.65</v>
      </c>
      <c r="Y1492" s="1" t="str">
        <f>VLOOKUP(A1492,[1]Detalle!$D$2:$CR$484,93,FALSE)</f>
        <v>Arcor S.A.I.C.</v>
      </c>
    </row>
    <row r="1493" spans="1:25" ht="14.25" customHeight="1" x14ac:dyDescent="0.3">
      <c r="A1493" s="1" t="s">
        <v>636</v>
      </c>
      <c r="B1493" s="1" t="s">
        <v>720</v>
      </c>
      <c r="C1493" s="1" t="s">
        <v>720</v>
      </c>
      <c r="D1493" s="1" t="s">
        <v>715</v>
      </c>
      <c r="E1493" s="1" t="s">
        <v>337</v>
      </c>
      <c r="F1493" s="1">
        <v>22337.7</v>
      </c>
      <c r="G1493" s="1">
        <v>22702.7</v>
      </c>
      <c r="H1493" s="1">
        <v>0</v>
      </c>
      <c r="I1493" s="1">
        <v>365</v>
      </c>
      <c r="J1493" s="1">
        <v>22337.7</v>
      </c>
      <c r="K1493" s="1">
        <v>146</v>
      </c>
      <c r="L1493" s="1">
        <v>100</v>
      </c>
      <c r="M1493" s="1">
        <v>3.65</v>
      </c>
      <c r="N1493" s="7">
        <v>45947</v>
      </c>
      <c r="O1493" s="1">
        <v>365</v>
      </c>
      <c r="P1493" s="7">
        <v>46312</v>
      </c>
      <c r="Q1493" s="1" t="s">
        <v>330</v>
      </c>
      <c r="T1493" s="1" t="s">
        <v>721</v>
      </c>
      <c r="U1493" s="1" t="s">
        <v>722</v>
      </c>
      <c r="V1493" s="1">
        <v>1</v>
      </c>
      <c r="W1493" s="3">
        <v>21135.1</v>
      </c>
      <c r="X1493" s="3">
        <v>21135.1</v>
      </c>
      <c r="Y1493" s="1" t="str">
        <f>VLOOKUP(A1493,[1]Detalle!$D$2:$CR$484,93,FALSE)</f>
        <v>Arcor S.A.I.C.</v>
      </c>
    </row>
    <row r="1494" spans="1:25" ht="14.25" customHeight="1" x14ac:dyDescent="0.3">
      <c r="A1494" s="1" t="s">
        <v>636</v>
      </c>
      <c r="B1494" s="1" t="s">
        <v>720</v>
      </c>
      <c r="C1494" s="1" t="s">
        <v>720</v>
      </c>
      <c r="D1494" s="1" t="s">
        <v>715</v>
      </c>
      <c r="E1494" s="1" t="s">
        <v>337</v>
      </c>
      <c r="F1494" s="1">
        <v>22337.7</v>
      </c>
      <c r="G1494" s="1">
        <v>22702.7</v>
      </c>
      <c r="H1494" s="1">
        <v>0</v>
      </c>
      <c r="I1494" s="1">
        <v>365</v>
      </c>
      <c r="J1494" s="1">
        <v>22337.7</v>
      </c>
      <c r="K1494" s="1">
        <v>146</v>
      </c>
      <c r="L1494" s="1">
        <v>100</v>
      </c>
      <c r="M1494" s="1">
        <v>3.65</v>
      </c>
      <c r="N1494" s="7">
        <v>45947</v>
      </c>
      <c r="O1494" s="1">
        <v>365</v>
      </c>
      <c r="P1494" s="7">
        <v>46312</v>
      </c>
      <c r="Q1494" s="1" t="s">
        <v>330</v>
      </c>
      <c r="T1494" s="1" t="s">
        <v>723</v>
      </c>
      <c r="U1494" s="1" t="s">
        <v>724</v>
      </c>
      <c r="V1494" s="1">
        <v>1</v>
      </c>
      <c r="W1494" s="3">
        <v>61500</v>
      </c>
      <c r="X1494" s="3">
        <v>61500</v>
      </c>
      <c r="Y1494" s="1" t="str">
        <f>VLOOKUP(A1494,[1]Detalle!$D$2:$CR$484,93,FALSE)</f>
        <v>Arcor S.A.I.C.</v>
      </c>
    </row>
    <row r="1495" spans="1:25" ht="14.25" customHeight="1" x14ac:dyDescent="0.3">
      <c r="A1495" s="1" t="s">
        <v>636</v>
      </c>
      <c r="B1495" s="1" t="s">
        <v>720</v>
      </c>
      <c r="C1495" s="1" t="s">
        <v>720</v>
      </c>
      <c r="D1495" s="1" t="s">
        <v>715</v>
      </c>
      <c r="E1495" s="1" t="s">
        <v>337</v>
      </c>
      <c r="F1495" s="1">
        <v>22337.7</v>
      </c>
      <c r="G1495" s="1">
        <v>22702.7</v>
      </c>
      <c r="H1495" s="1">
        <v>0</v>
      </c>
      <c r="I1495" s="1">
        <v>365</v>
      </c>
      <c r="J1495" s="1">
        <v>22337.7</v>
      </c>
      <c r="K1495" s="1">
        <v>146</v>
      </c>
      <c r="L1495" s="1">
        <v>100</v>
      </c>
      <c r="M1495" s="1">
        <v>3.65</v>
      </c>
      <c r="N1495" s="7">
        <v>45947</v>
      </c>
      <c r="O1495" s="1">
        <v>365</v>
      </c>
      <c r="P1495" s="7">
        <v>46312</v>
      </c>
      <c r="Q1495" s="1" t="s">
        <v>330</v>
      </c>
      <c r="T1495" s="1" t="s">
        <v>331</v>
      </c>
      <c r="U1495" s="1" t="s">
        <v>332</v>
      </c>
      <c r="V1495" s="1">
        <v>12</v>
      </c>
      <c r="W1495" s="3">
        <v>3389.9</v>
      </c>
      <c r="X1495" s="3">
        <v>40678.800000000003</v>
      </c>
      <c r="Y1495" s="1" t="str">
        <f>VLOOKUP(A1495,[1]Detalle!$D$2:$CR$484,93,FALSE)</f>
        <v>Arcor S.A.I.C.</v>
      </c>
    </row>
    <row r="1496" spans="1:25" ht="14.25" customHeight="1" x14ac:dyDescent="0.3">
      <c r="A1496" s="1" t="s">
        <v>636</v>
      </c>
      <c r="B1496" s="1" t="s">
        <v>720</v>
      </c>
      <c r="C1496" s="1" t="s">
        <v>720</v>
      </c>
      <c r="D1496" s="1" t="s">
        <v>715</v>
      </c>
      <c r="E1496" s="1" t="s">
        <v>337</v>
      </c>
      <c r="F1496" s="1">
        <v>22337.7</v>
      </c>
      <c r="G1496" s="1">
        <v>22702.7</v>
      </c>
      <c r="H1496" s="1">
        <v>0</v>
      </c>
      <c r="I1496" s="1">
        <v>365</v>
      </c>
      <c r="J1496" s="1">
        <v>22337.7</v>
      </c>
      <c r="K1496" s="1">
        <v>146</v>
      </c>
      <c r="L1496" s="1">
        <v>100</v>
      </c>
      <c r="M1496" s="1">
        <v>3.65</v>
      </c>
      <c r="N1496" s="7">
        <v>45947</v>
      </c>
      <c r="O1496" s="1">
        <v>365</v>
      </c>
      <c r="P1496" s="7">
        <v>46312</v>
      </c>
      <c r="Q1496" s="1" t="s">
        <v>330</v>
      </c>
      <c r="T1496" s="1" t="s">
        <v>725</v>
      </c>
      <c r="U1496" s="1" t="s">
        <v>726</v>
      </c>
      <c r="V1496" s="1">
        <v>1</v>
      </c>
      <c r="W1496" s="3">
        <v>14869.65</v>
      </c>
      <c r="X1496" s="3">
        <v>14869.65</v>
      </c>
      <c r="Y1496" s="1" t="str">
        <f>VLOOKUP(A1496,[1]Detalle!$D$2:$CR$484,93,FALSE)</f>
        <v>Arcor S.A.I.C.</v>
      </c>
    </row>
    <row r="1497" spans="1:25" ht="14.25" customHeight="1" x14ac:dyDescent="0.3">
      <c r="A1497" s="1" t="s">
        <v>637</v>
      </c>
      <c r="B1497" s="1" t="s">
        <v>720</v>
      </c>
      <c r="C1497" s="1" t="s">
        <v>720</v>
      </c>
      <c r="D1497" s="1" t="s">
        <v>715</v>
      </c>
      <c r="E1497" s="1" t="s">
        <v>337</v>
      </c>
      <c r="F1497" s="1">
        <v>25682</v>
      </c>
      <c r="G1497" s="1">
        <v>26047</v>
      </c>
      <c r="H1497" s="1">
        <v>8943.2999999999975</v>
      </c>
      <c r="I1497" s="1">
        <v>-8578.2999999999975</v>
      </c>
      <c r="J1497" s="1">
        <v>34625.300000000003</v>
      </c>
      <c r="K1497" s="1">
        <v>149</v>
      </c>
      <c r="L1497" s="1">
        <v>60.022147651006698</v>
      </c>
      <c r="M1497" s="1">
        <v>-142.9189113638142</v>
      </c>
      <c r="N1497" s="7">
        <v>45947</v>
      </c>
      <c r="O1497" s="1">
        <v>365</v>
      </c>
      <c r="P1497" s="7">
        <v>46312</v>
      </c>
      <c r="Q1497" s="1" t="s">
        <v>330</v>
      </c>
      <c r="T1497" s="1" t="s">
        <v>721</v>
      </c>
      <c r="U1497" s="1" t="s">
        <v>722</v>
      </c>
      <c r="V1497" s="1">
        <v>1</v>
      </c>
      <c r="W1497" s="3">
        <v>21135.1</v>
      </c>
      <c r="X1497" s="3">
        <v>21135.1</v>
      </c>
      <c r="Y1497" s="1" t="str">
        <f>VLOOKUP(A1497,[1]Detalle!$D$2:$CR$484,93,FALSE)</f>
        <v>Arcor S.A.I.C.</v>
      </c>
    </row>
    <row r="1498" spans="1:25" ht="14.25" customHeight="1" x14ac:dyDescent="0.3">
      <c r="A1498" s="1" t="s">
        <v>637</v>
      </c>
      <c r="B1498" s="1" t="s">
        <v>720</v>
      </c>
      <c r="C1498" s="1" t="s">
        <v>720</v>
      </c>
      <c r="D1498" s="1" t="s">
        <v>715</v>
      </c>
      <c r="E1498" s="1" t="s">
        <v>337</v>
      </c>
      <c r="F1498" s="1">
        <v>25682</v>
      </c>
      <c r="G1498" s="1">
        <v>26047</v>
      </c>
      <c r="H1498" s="1">
        <v>8943.2999999999975</v>
      </c>
      <c r="I1498" s="1">
        <v>-8578.2999999999975</v>
      </c>
      <c r="J1498" s="1">
        <v>34625.300000000003</v>
      </c>
      <c r="K1498" s="1">
        <v>149</v>
      </c>
      <c r="L1498" s="1">
        <v>60.022147651006698</v>
      </c>
      <c r="M1498" s="1">
        <v>-142.9189113638142</v>
      </c>
      <c r="N1498" s="7">
        <v>45947</v>
      </c>
      <c r="O1498" s="1">
        <v>365</v>
      </c>
      <c r="P1498" s="7">
        <v>46312</v>
      </c>
      <c r="Q1498" s="1" t="s">
        <v>330</v>
      </c>
      <c r="T1498" s="1" t="s">
        <v>723</v>
      </c>
      <c r="U1498" s="1" t="s">
        <v>724</v>
      </c>
      <c r="V1498" s="1">
        <v>1</v>
      </c>
      <c r="W1498" s="3">
        <v>61500</v>
      </c>
      <c r="X1498" s="3">
        <v>61500</v>
      </c>
      <c r="Y1498" s="1" t="str">
        <f>VLOOKUP(A1498,[1]Detalle!$D$2:$CR$484,93,FALSE)</f>
        <v>Arcor S.A.I.C.</v>
      </c>
    </row>
    <row r="1499" spans="1:25" ht="14.25" customHeight="1" x14ac:dyDescent="0.3">
      <c r="A1499" s="1" t="s">
        <v>637</v>
      </c>
      <c r="B1499" s="1" t="s">
        <v>720</v>
      </c>
      <c r="C1499" s="1" t="s">
        <v>720</v>
      </c>
      <c r="D1499" s="1" t="s">
        <v>715</v>
      </c>
      <c r="E1499" s="1" t="s">
        <v>337</v>
      </c>
      <c r="F1499" s="1">
        <v>25682</v>
      </c>
      <c r="G1499" s="1">
        <v>26047</v>
      </c>
      <c r="H1499" s="1">
        <v>8943.2999999999975</v>
      </c>
      <c r="I1499" s="1">
        <v>-8578.2999999999975</v>
      </c>
      <c r="J1499" s="1">
        <v>34625.300000000003</v>
      </c>
      <c r="K1499" s="1">
        <v>149</v>
      </c>
      <c r="L1499" s="1">
        <v>60.022147651006698</v>
      </c>
      <c r="M1499" s="1">
        <v>-142.9189113638142</v>
      </c>
      <c r="N1499" s="7">
        <v>45947</v>
      </c>
      <c r="O1499" s="1">
        <v>365</v>
      </c>
      <c r="P1499" s="7">
        <v>46312</v>
      </c>
      <c r="Q1499" s="1" t="s">
        <v>330</v>
      </c>
      <c r="T1499" s="1" t="s">
        <v>331</v>
      </c>
      <c r="U1499" s="1" t="s">
        <v>332</v>
      </c>
      <c r="V1499" s="1">
        <v>12</v>
      </c>
      <c r="W1499" s="3">
        <v>3389.9</v>
      </c>
      <c r="X1499" s="3">
        <v>40678.800000000003</v>
      </c>
      <c r="Y1499" s="1" t="str">
        <f>VLOOKUP(A1499,[1]Detalle!$D$2:$CR$484,93,FALSE)</f>
        <v>Arcor S.A.I.C.</v>
      </c>
    </row>
    <row r="1500" spans="1:25" ht="14.25" customHeight="1" x14ac:dyDescent="0.3">
      <c r="A1500" s="1" t="s">
        <v>637</v>
      </c>
      <c r="B1500" s="1" t="s">
        <v>720</v>
      </c>
      <c r="C1500" s="1" t="s">
        <v>720</v>
      </c>
      <c r="D1500" s="1" t="s">
        <v>715</v>
      </c>
      <c r="E1500" s="1" t="s">
        <v>337</v>
      </c>
      <c r="F1500" s="1">
        <v>25682</v>
      </c>
      <c r="G1500" s="1">
        <v>26047</v>
      </c>
      <c r="H1500" s="1">
        <v>8943.2999999999975</v>
      </c>
      <c r="I1500" s="1">
        <v>-8578.2999999999975</v>
      </c>
      <c r="J1500" s="1">
        <v>34625.300000000003</v>
      </c>
      <c r="K1500" s="1">
        <v>149</v>
      </c>
      <c r="L1500" s="1">
        <v>60.022147651006698</v>
      </c>
      <c r="M1500" s="1">
        <v>-142.9189113638142</v>
      </c>
      <c r="N1500" s="7">
        <v>45947</v>
      </c>
      <c r="O1500" s="1">
        <v>365</v>
      </c>
      <c r="P1500" s="7">
        <v>46312</v>
      </c>
      <c r="Q1500" s="1" t="s">
        <v>330</v>
      </c>
      <c r="T1500" s="1" t="s">
        <v>725</v>
      </c>
      <c r="U1500" s="1" t="s">
        <v>726</v>
      </c>
      <c r="V1500" s="1">
        <v>1</v>
      </c>
      <c r="W1500" s="3">
        <v>14869.65</v>
      </c>
      <c r="X1500" s="3">
        <v>14869.65</v>
      </c>
      <c r="Y1500" s="1" t="str">
        <f>VLOOKUP(A1500,[1]Detalle!$D$2:$CR$484,93,FALSE)</f>
        <v>Arcor S.A.I.C.</v>
      </c>
    </row>
    <row r="1501" spans="1:25" ht="14.25" customHeight="1" x14ac:dyDescent="0.3">
      <c r="A1501" s="1" t="s">
        <v>638</v>
      </c>
      <c r="B1501" s="1" t="s">
        <v>720</v>
      </c>
      <c r="C1501" s="1" t="s">
        <v>720</v>
      </c>
      <c r="D1501" s="1" t="s">
        <v>715</v>
      </c>
      <c r="E1501" s="1" t="s">
        <v>337</v>
      </c>
      <c r="F1501" s="1">
        <v>22616.400000000001</v>
      </c>
      <c r="G1501" s="1">
        <v>22981.4</v>
      </c>
      <c r="H1501" s="1">
        <v>0</v>
      </c>
      <c r="I1501" s="1">
        <v>365</v>
      </c>
      <c r="J1501" s="1">
        <v>22616.400000000001</v>
      </c>
      <c r="K1501" s="1">
        <v>141</v>
      </c>
      <c r="L1501" s="1">
        <v>100</v>
      </c>
      <c r="M1501" s="1">
        <v>3.65</v>
      </c>
      <c r="N1501" s="7">
        <v>45947</v>
      </c>
      <c r="O1501" s="1">
        <v>365</v>
      </c>
      <c r="P1501" s="7">
        <v>46312</v>
      </c>
      <c r="Q1501" s="1" t="s">
        <v>330</v>
      </c>
      <c r="T1501" s="1" t="s">
        <v>721</v>
      </c>
      <c r="U1501" s="1" t="s">
        <v>722</v>
      </c>
      <c r="V1501" s="1">
        <v>1</v>
      </c>
      <c r="W1501" s="3">
        <v>21135.1</v>
      </c>
      <c r="X1501" s="3">
        <v>21135.1</v>
      </c>
      <c r="Y1501" s="1" t="str">
        <f>VLOOKUP(A1501,[1]Detalle!$D$2:$CR$484,93,FALSE)</f>
        <v>Arcor S.A.I.C.</v>
      </c>
    </row>
    <row r="1502" spans="1:25" ht="14.25" customHeight="1" x14ac:dyDescent="0.3">
      <c r="A1502" s="1" t="s">
        <v>638</v>
      </c>
      <c r="B1502" s="1" t="s">
        <v>720</v>
      </c>
      <c r="C1502" s="1" t="s">
        <v>720</v>
      </c>
      <c r="D1502" s="1" t="s">
        <v>715</v>
      </c>
      <c r="E1502" s="1" t="s">
        <v>337</v>
      </c>
      <c r="F1502" s="1">
        <v>22616.400000000001</v>
      </c>
      <c r="G1502" s="1">
        <v>22981.4</v>
      </c>
      <c r="H1502" s="1">
        <v>0</v>
      </c>
      <c r="I1502" s="1">
        <v>365</v>
      </c>
      <c r="J1502" s="1">
        <v>22616.400000000001</v>
      </c>
      <c r="K1502" s="1">
        <v>141</v>
      </c>
      <c r="L1502" s="1">
        <v>100</v>
      </c>
      <c r="M1502" s="1">
        <v>3.65</v>
      </c>
      <c r="N1502" s="7">
        <v>45947</v>
      </c>
      <c r="O1502" s="1">
        <v>365</v>
      </c>
      <c r="P1502" s="7">
        <v>46312</v>
      </c>
      <c r="Q1502" s="1" t="s">
        <v>330</v>
      </c>
      <c r="T1502" s="1" t="s">
        <v>723</v>
      </c>
      <c r="U1502" s="1" t="s">
        <v>724</v>
      </c>
      <c r="V1502" s="1">
        <v>1</v>
      </c>
      <c r="W1502" s="3">
        <v>61500</v>
      </c>
      <c r="X1502" s="3">
        <v>61500</v>
      </c>
      <c r="Y1502" s="1" t="str">
        <f>VLOOKUP(A1502,[1]Detalle!$D$2:$CR$484,93,FALSE)</f>
        <v>Arcor S.A.I.C.</v>
      </c>
    </row>
    <row r="1503" spans="1:25" ht="14.25" customHeight="1" x14ac:dyDescent="0.3">
      <c r="A1503" s="1" t="s">
        <v>638</v>
      </c>
      <c r="B1503" s="1" t="s">
        <v>720</v>
      </c>
      <c r="C1503" s="1" t="s">
        <v>720</v>
      </c>
      <c r="D1503" s="1" t="s">
        <v>715</v>
      </c>
      <c r="E1503" s="1" t="s">
        <v>337</v>
      </c>
      <c r="F1503" s="1">
        <v>22616.400000000001</v>
      </c>
      <c r="G1503" s="1">
        <v>22981.4</v>
      </c>
      <c r="H1503" s="1">
        <v>0</v>
      </c>
      <c r="I1503" s="1">
        <v>365</v>
      </c>
      <c r="J1503" s="1">
        <v>22616.400000000001</v>
      </c>
      <c r="K1503" s="1">
        <v>141</v>
      </c>
      <c r="L1503" s="1">
        <v>100</v>
      </c>
      <c r="M1503" s="1">
        <v>3.65</v>
      </c>
      <c r="N1503" s="7">
        <v>45947</v>
      </c>
      <c r="O1503" s="1">
        <v>365</v>
      </c>
      <c r="P1503" s="7">
        <v>46312</v>
      </c>
      <c r="Q1503" s="1" t="s">
        <v>330</v>
      </c>
      <c r="T1503" s="1" t="s">
        <v>331</v>
      </c>
      <c r="U1503" s="1" t="s">
        <v>332</v>
      </c>
      <c r="V1503" s="1">
        <v>12</v>
      </c>
      <c r="W1503" s="3">
        <v>3389.9</v>
      </c>
      <c r="X1503" s="3">
        <v>40678.800000000003</v>
      </c>
      <c r="Y1503" s="1" t="str">
        <f>VLOOKUP(A1503,[1]Detalle!$D$2:$CR$484,93,FALSE)</f>
        <v>Arcor S.A.I.C.</v>
      </c>
    </row>
    <row r="1504" spans="1:25" ht="14.25" customHeight="1" x14ac:dyDescent="0.3">
      <c r="A1504" s="1" t="s">
        <v>638</v>
      </c>
      <c r="B1504" s="1" t="s">
        <v>720</v>
      </c>
      <c r="C1504" s="1" t="s">
        <v>720</v>
      </c>
      <c r="D1504" s="1" t="s">
        <v>715</v>
      </c>
      <c r="E1504" s="1" t="s">
        <v>337</v>
      </c>
      <c r="F1504" s="1">
        <v>22616.400000000001</v>
      </c>
      <c r="G1504" s="1">
        <v>22981.4</v>
      </c>
      <c r="H1504" s="1">
        <v>0</v>
      </c>
      <c r="I1504" s="1">
        <v>365</v>
      </c>
      <c r="J1504" s="1">
        <v>22616.400000000001</v>
      </c>
      <c r="K1504" s="1">
        <v>141</v>
      </c>
      <c r="L1504" s="1">
        <v>100</v>
      </c>
      <c r="M1504" s="1">
        <v>3.65</v>
      </c>
      <c r="N1504" s="7">
        <v>45947</v>
      </c>
      <c r="O1504" s="1">
        <v>365</v>
      </c>
      <c r="P1504" s="7">
        <v>46312</v>
      </c>
      <c r="Q1504" s="1" t="s">
        <v>330</v>
      </c>
      <c r="T1504" s="1" t="s">
        <v>725</v>
      </c>
      <c r="U1504" s="1" t="s">
        <v>726</v>
      </c>
      <c r="V1504" s="1">
        <v>1</v>
      </c>
      <c r="W1504" s="3">
        <v>14869.65</v>
      </c>
      <c r="X1504" s="3">
        <v>14869.65</v>
      </c>
      <c r="Y1504" s="1" t="str">
        <f>VLOOKUP(A1504,[1]Detalle!$D$2:$CR$484,93,FALSE)</f>
        <v>Arcor S.A.I.C.</v>
      </c>
    </row>
    <row r="1505" spans="1:25" ht="14.25" customHeight="1" x14ac:dyDescent="0.3">
      <c r="A1505" s="1" t="s">
        <v>171</v>
      </c>
      <c r="B1505" s="1" t="s">
        <v>720</v>
      </c>
      <c r="C1505" s="1" t="s">
        <v>720</v>
      </c>
      <c r="D1505" s="1" t="s">
        <v>715</v>
      </c>
      <c r="E1505" s="1" t="s">
        <v>337</v>
      </c>
      <c r="N1505" s="7">
        <v>45947</v>
      </c>
      <c r="O1505" s="1">
        <v>365</v>
      </c>
      <c r="P1505" s="7">
        <v>46312</v>
      </c>
      <c r="Q1505" s="1" t="s">
        <v>330</v>
      </c>
      <c r="T1505" s="1" t="s">
        <v>721</v>
      </c>
      <c r="U1505" s="1" t="s">
        <v>722</v>
      </c>
      <c r="V1505" s="1">
        <v>1</v>
      </c>
      <c r="W1505" s="3">
        <v>21135.1</v>
      </c>
      <c r="X1505" s="3">
        <v>21135.1</v>
      </c>
      <c r="Y1505" s="1" t="str">
        <f>VLOOKUP(A1505,[1]Detalle!$D$2:$CR$484,93,FALSE)</f>
        <v>CENCO_MZ - Cencosud SA - Mendoza</v>
      </c>
    </row>
    <row r="1506" spans="1:25" ht="14.25" customHeight="1" x14ac:dyDescent="0.3">
      <c r="A1506" s="1" t="s">
        <v>171</v>
      </c>
      <c r="B1506" s="1" t="s">
        <v>720</v>
      </c>
      <c r="C1506" s="1" t="s">
        <v>720</v>
      </c>
      <c r="D1506" s="1" t="s">
        <v>715</v>
      </c>
      <c r="E1506" s="1" t="s">
        <v>337</v>
      </c>
      <c r="N1506" s="7">
        <v>45947</v>
      </c>
      <c r="O1506" s="1">
        <v>365</v>
      </c>
      <c r="P1506" s="7">
        <v>46312</v>
      </c>
      <c r="Q1506" s="1" t="s">
        <v>330</v>
      </c>
      <c r="T1506" s="1" t="s">
        <v>723</v>
      </c>
      <c r="U1506" s="1" t="s">
        <v>724</v>
      </c>
      <c r="V1506" s="1">
        <v>1</v>
      </c>
      <c r="W1506" s="3">
        <v>61500</v>
      </c>
      <c r="X1506" s="3">
        <v>61500</v>
      </c>
      <c r="Y1506" s="1" t="str">
        <f>VLOOKUP(A1506,[1]Detalle!$D$2:$CR$484,93,FALSE)</f>
        <v>CENCO_MZ - Cencosud SA - Mendoza</v>
      </c>
    </row>
    <row r="1507" spans="1:25" ht="14.25" customHeight="1" x14ac:dyDescent="0.3">
      <c r="A1507" s="1" t="s">
        <v>171</v>
      </c>
      <c r="B1507" s="1" t="s">
        <v>720</v>
      </c>
      <c r="C1507" s="1" t="s">
        <v>720</v>
      </c>
      <c r="D1507" s="1" t="s">
        <v>715</v>
      </c>
      <c r="E1507" s="1" t="s">
        <v>337</v>
      </c>
      <c r="N1507" s="7">
        <v>45947</v>
      </c>
      <c r="O1507" s="1">
        <v>365</v>
      </c>
      <c r="P1507" s="7">
        <v>46312</v>
      </c>
      <c r="Q1507" s="1" t="s">
        <v>330</v>
      </c>
      <c r="T1507" s="1" t="s">
        <v>331</v>
      </c>
      <c r="U1507" s="1" t="s">
        <v>332</v>
      </c>
      <c r="V1507" s="1">
        <v>12</v>
      </c>
      <c r="W1507" s="3">
        <v>3389.9</v>
      </c>
      <c r="X1507" s="3">
        <v>40678.800000000003</v>
      </c>
      <c r="Y1507" s="1" t="str">
        <f>VLOOKUP(A1507,[1]Detalle!$D$2:$CR$484,93,FALSE)</f>
        <v>CENCO_MZ - Cencosud SA - Mendoza</v>
      </c>
    </row>
    <row r="1508" spans="1:25" ht="14.25" customHeight="1" x14ac:dyDescent="0.3">
      <c r="A1508" s="1" t="s">
        <v>171</v>
      </c>
      <c r="B1508" s="1" t="s">
        <v>720</v>
      </c>
      <c r="C1508" s="1" t="s">
        <v>720</v>
      </c>
      <c r="D1508" s="1" t="s">
        <v>715</v>
      </c>
      <c r="E1508" s="1" t="s">
        <v>337</v>
      </c>
      <c r="N1508" s="7">
        <v>45947</v>
      </c>
      <c r="O1508" s="1">
        <v>365</v>
      </c>
      <c r="P1508" s="7">
        <v>46312</v>
      </c>
      <c r="Q1508" s="1" t="s">
        <v>330</v>
      </c>
      <c r="T1508" s="1" t="s">
        <v>725</v>
      </c>
      <c r="U1508" s="1" t="s">
        <v>726</v>
      </c>
      <c r="V1508" s="1">
        <v>1</v>
      </c>
      <c r="W1508" s="3">
        <v>14869.65</v>
      </c>
      <c r="X1508" s="3">
        <v>14869.65</v>
      </c>
      <c r="Y1508" s="1" t="str">
        <f>VLOOKUP(A1508,[1]Detalle!$D$2:$CR$484,93,FALSE)</f>
        <v>CENCO_MZ - Cencosud SA - Mendoza</v>
      </c>
    </row>
    <row r="1509" spans="1:25" ht="14.25" customHeight="1" x14ac:dyDescent="0.3">
      <c r="A1509" s="1" t="s">
        <v>172</v>
      </c>
      <c r="B1509" s="1" t="s">
        <v>720</v>
      </c>
      <c r="C1509" s="1" t="s">
        <v>720</v>
      </c>
      <c r="D1509" s="1" t="s">
        <v>715</v>
      </c>
      <c r="E1509" s="1" t="s">
        <v>337</v>
      </c>
      <c r="N1509" s="7">
        <v>45947</v>
      </c>
      <c r="O1509" s="1">
        <v>365</v>
      </c>
      <c r="P1509" s="7">
        <v>46312</v>
      </c>
      <c r="Q1509" s="1" t="s">
        <v>330</v>
      </c>
      <c r="T1509" s="1" t="s">
        <v>721</v>
      </c>
      <c r="U1509" s="1" t="s">
        <v>722</v>
      </c>
      <c r="V1509" s="1">
        <v>1</v>
      </c>
      <c r="W1509" s="3">
        <v>21135.1</v>
      </c>
      <c r="X1509" s="3">
        <v>21135.1</v>
      </c>
      <c r="Y1509" s="1" t="str">
        <f>VLOOKUP(A1509,[1]Detalle!$D$2:$CR$484,93,FALSE)</f>
        <v>CENCO_MZ - Cencosud SA - Mendoza</v>
      </c>
    </row>
    <row r="1510" spans="1:25" ht="14.25" customHeight="1" x14ac:dyDescent="0.3">
      <c r="A1510" s="1" t="s">
        <v>172</v>
      </c>
      <c r="B1510" s="1" t="s">
        <v>720</v>
      </c>
      <c r="C1510" s="1" t="s">
        <v>720</v>
      </c>
      <c r="D1510" s="1" t="s">
        <v>715</v>
      </c>
      <c r="E1510" s="1" t="s">
        <v>337</v>
      </c>
      <c r="N1510" s="7">
        <v>45947</v>
      </c>
      <c r="O1510" s="1">
        <v>365</v>
      </c>
      <c r="P1510" s="7">
        <v>46312</v>
      </c>
      <c r="Q1510" s="1" t="s">
        <v>330</v>
      </c>
      <c r="T1510" s="1" t="s">
        <v>723</v>
      </c>
      <c r="U1510" s="1" t="s">
        <v>724</v>
      </c>
      <c r="V1510" s="1">
        <v>1</v>
      </c>
      <c r="W1510" s="3">
        <v>61500</v>
      </c>
      <c r="X1510" s="3">
        <v>61500</v>
      </c>
      <c r="Y1510" s="1" t="str">
        <f>VLOOKUP(A1510,[1]Detalle!$D$2:$CR$484,93,FALSE)</f>
        <v>CENCO_MZ - Cencosud SA - Mendoza</v>
      </c>
    </row>
    <row r="1511" spans="1:25" ht="14.25" customHeight="1" x14ac:dyDescent="0.3">
      <c r="A1511" s="1" t="s">
        <v>172</v>
      </c>
      <c r="B1511" s="1" t="s">
        <v>720</v>
      </c>
      <c r="C1511" s="1" t="s">
        <v>720</v>
      </c>
      <c r="D1511" s="1" t="s">
        <v>715</v>
      </c>
      <c r="E1511" s="1" t="s">
        <v>337</v>
      </c>
      <c r="N1511" s="7">
        <v>45947</v>
      </c>
      <c r="O1511" s="1">
        <v>365</v>
      </c>
      <c r="P1511" s="7">
        <v>46312</v>
      </c>
      <c r="Q1511" s="1" t="s">
        <v>330</v>
      </c>
      <c r="T1511" s="1" t="s">
        <v>331</v>
      </c>
      <c r="U1511" s="1" t="s">
        <v>332</v>
      </c>
      <c r="V1511" s="1">
        <v>12</v>
      </c>
      <c r="W1511" s="3">
        <v>3389.9</v>
      </c>
      <c r="X1511" s="3">
        <v>40678.800000000003</v>
      </c>
      <c r="Y1511" s="1" t="str">
        <f>VLOOKUP(A1511,[1]Detalle!$D$2:$CR$484,93,FALSE)</f>
        <v>CENCO_MZ - Cencosud SA - Mendoza</v>
      </c>
    </row>
    <row r="1512" spans="1:25" ht="14.25" customHeight="1" x14ac:dyDescent="0.3">
      <c r="A1512" s="1" t="s">
        <v>172</v>
      </c>
      <c r="B1512" s="1" t="s">
        <v>720</v>
      </c>
      <c r="C1512" s="1" t="s">
        <v>720</v>
      </c>
      <c r="D1512" s="1" t="s">
        <v>715</v>
      </c>
      <c r="E1512" s="1" t="s">
        <v>337</v>
      </c>
      <c r="N1512" s="7">
        <v>45947</v>
      </c>
      <c r="O1512" s="1">
        <v>365</v>
      </c>
      <c r="P1512" s="7">
        <v>46312</v>
      </c>
      <c r="Q1512" s="1" t="s">
        <v>330</v>
      </c>
      <c r="T1512" s="1" t="s">
        <v>725</v>
      </c>
      <c r="U1512" s="1" t="s">
        <v>726</v>
      </c>
      <c r="V1512" s="1">
        <v>1</v>
      </c>
      <c r="W1512" s="3">
        <v>14869.65</v>
      </c>
      <c r="X1512" s="3">
        <v>14869.65</v>
      </c>
      <c r="Y1512" s="1" t="str">
        <f>VLOOKUP(A1512,[1]Detalle!$D$2:$CR$484,93,FALSE)</f>
        <v>CENCO_MZ - Cencosud SA - Mendoza</v>
      </c>
    </row>
    <row r="1513" spans="1:25" ht="14.25" customHeight="1" x14ac:dyDescent="0.3">
      <c r="A1513" s="1" t="s">
        <v>209</v>
      </c>
      <c r="B1513" s="1" t="s">
        <v>720</v>
      </c>
      <c r="C1513" s="1" t="s">
        <v>720</v>
      </c>
      <c r="D1513" s="1" t="s">
        <v>715</v>
      </c>
      <c r="E1513" s="1" t="s">
        <v>337</v>
      </c>
      <c r="N1513" s="7">
        <v>45947</v>
      </c>
      <c r="O1513" s="1">
        <v>365</v>
      </c>
      <c r="P1513" s="7">
        <v>46312</v>
      </c>
      <c r="Q1513" s="1" t="s">
        <v>330</v>
      </c>
      <c r="T1513" s="1" t="s">
        <v>721</v>
      </c>
      <c r="U1513" s="1" t="s">
        <v>722</v>
      </c>
      <c r="V1513" s="1">
        <v>1</v>
      </c>
      <c r="W1513" s="3">
        <v>21135.1</v>
      </c>
      <c r="X1513" s="3">
        <v>21135.1</v>
      </c>
      <c r="Y1513" s="1" t="str">
        <f>VLOOKUP(A1513,[1]Detalle!$D$2:$CR$484,93,FALSE)</f>
        <v>CENCO_MZ - Cencosud SA - Mendoza</v>
      </c>
    </row>
    <row r="1514" spans="1:25" ht="14.25" customHeight="1" x14ac:dyDescent="0.3">
      <c r="A1514" s="1" t="s">
        <v>209</v>
      </c>
      <c r="B1514" s="1" t="s">
        <v>720</v>
      </c>
      <c r="C1514" s="1" t="s">
        <v>720</v>
      </c>
      <c r="D1514" s="1" t="s">
        <v>715</v>
      </c>
      <c r="E1514" s="1" t="s">
        <v>337</v>
      </c>
      <c r="N1514" s="7">
        <v>45947</v>
      </c>
      <c r="O1514" s="1">
        <v>365</v>
      </c>
      <c r="P1514" s="7">
        <v>46312</v>
      </c>
      <c r="Q1514" s="1" t="s">
        <v>330</v>
      </c>
      <c r="T1514" s="1" t="s">
        <v>723</v>
      </c>
      <c r="U1514" s="1" t="s">
        <v>724</v>
      </c>
      <c r="V1514" s="1">
        <v>1</v>
      </c>
      <c r="W1514" s="3">
        <v>61500</v>
      </c>
      <c r="X1514" s="3">
        <v>61500</v>
      </c>
      <c r="Y1514" s="1" t="str">
        <f>VLOOKUP(A1514,[1]Detalle!$D$2:$CR$484,93,FALSE)</f>
        <v>CENCO_MZ - Cencosud SA - Mendoza</v>
      </c>
    </row>
    <row r="1515" spans="1:25" ht="14.25" customHeight="1" x14ac:dyDescent="0.3">
      <c r="A1515" s="1" t="s">
        <v>209</v>
      </c>
      <c r="B1515" s="1" t="s">
        <v>720</v>
      </c>
      <c r="C1515" s="1" t="s">
        <v>720</v>
      </c>
      <c r="D1515" s="1" t="s">
        <v>715</v>
      </c>
      <c r="E1515" s="1" t="s">
        <v>337</v>
      </c>
      <c r="N1515" s="7">
        <v>45947</v>
      </c>
      <c r="O1515" s="1">
        <v>365</v>
      </c>
      <c r="P1515" s="7">
        <v>46312</v>
      </c>
      <c r="Q1515" s="1" t="s">
        <v>330</v>
      </c>
      <c r="T1515" s="1" t="s">
        <v>331</v>
      </c>
      <c r="U1515" s="1" t="s">
        <v>332</v>
      </c>
      <c r="V1515" s="1">
        <v>12</v>
      </c>
      <c r="W1515" s="3">
        <v>3389.9</v>
      </c>
      <c r="X1515" s="3">
        <v>40678.800000000003</v>
      </c>
      <c r="Y1515" s="1" t="str">
        <f>VLOOKUP(A1515,[1]Detalle!$D$2:$CR$484,93,FALSE)</f>
        <v>CENCO_MZ - Cencosud SA - Mendoza</v>
      </c>
    </row>
    <row r="1516" spans="1:25" ht="14.25" customHeight="1" x14ac:dyDescent="0.3">
      <c r="A1516" s="1" t="s">
        <v>209</v>
      </c>
      <c r="B1516" s="1" t="s">
        <v>720</v>
      </c>
      <c r="C1516" s="1" t="s">
        <v>720</v>
      </c>
      <c r="D1516" s="1" t="s">
        <v>715</v>
      </c>
      <c r="E1516" s="1" t="s">
        <v>337</v>
      </c>
      <c r="N1516" s="7">
        <v>45947</v>
      </c>
      <c r="O1516" s="1">
        <v>365</v>
      </c>
      <c r="P1516" s="7">
        <v>46312</v>
      </c>
      <c r="Q1516" s="1" t="s">
        <v>330</v>
      </c>
      <c r="T1516" s="1" t="s">
        <v>725</v>
      </c>
      <c r="U1516" s="1" t="s">
        <v>726</v>
      </c>
      <c r="V1516" s="1">
        <v>1</v>
      </c>
      <c r="W1516" s="3">
        <v>14869.65</v>
      </c>
      <c r="X1516" s="3">
        <v>14869.65</v>
      </c>
      <c r="Y1516" s="1" t="str">
        <f>VLOOKUP(A1516,[1]Detalle!$D$2:$CR$484,93,FALSE)</f>
        <v>CENCO_MZ - Cencosud SA - Mendoza</v>
      </c>
    </row>
    <row r="1517" spans="1:25" ht="14.25" customHeight="1" x14ac:dyDescent="0.3">
      <c r="A1517" s="1" t="s">
        <v>74</v>
      </c>
      <c r="B1517" s="1" t="s">
        <v>720</v>
      </c>
      <c r="C1517" s="1" t="s">
        <v>720</v>
      </c>
      <c r="D1517" s="1" t="s">
        <v>715</v>
      </c>
      <c r="E1517" s="1" t="s">
        <v>337</v>
      </c>
      <c r="N1517" s="7">
        <v>45947</v>
      </c>
      <c r="O1517" s="1">
        <v>365</v>
      </c>
      <c r="P1517" s="7">
        <v>46312</v>
      </c>
      <c r="Q1517" s="1" t="s">
        <v>330</v>
      </c>
      <c r="T1517" s="1" t="s">
        <v>721</v>
      </c>
      <c r="U1517" s="1" t="s">
        <v>722</v>
      </c>
      <c r="V1517" s="1">
        <v>1</v>
      </c>
      <c r="W1517" s="3">
        <v>21135.1</v>
      </c>
      <c r="X1517" s="3">
        <v>21135.1</v>
      </c>
      <c r="Y1517" s="1" t="str">
        <f>VLOOKUP(A1517,[1]Detalle!$D$2:$CR$484,93,FALSE)</f>
        <v>CENCO_MZ - Cencosud SA - Mendoza</v>
      </c>
    </row>
    <row r="1518" spans="1:25" ht="14.25" customHeight="1" x14ac:dyDescent="0.3">
      <c r="A1518" s="1" t="s">
        <v>74</v>
      </c>
      <c r="B1518" s="1" t="s">
        <v>720</v>
      </c>
      <c r="C1518" s="1" t="s">
        <v>720</v>
      </c>
      <c r="D1518" s="1" t="s">
        <v>715</v>
      </c>
      <c r="E1518" s="1" t="s">
        <v>337</v>
      </c>
      <c r="N1518" s="7">
        <v>45947</v>
      </c>
      <c r="O1518" s="1">
        <v>365</v>
      </c>
      <c r="P1518" s="7">
        <v>46312</v>
      </c>
      <c r="Q1518" s="1" t="s">
        <v>330</v>
      </c>
      <c r="T1518" s="1" t="s">
        <v>723</v>
      </c>
      <c r="U1518" s="1" t="s">
        <v>724</v>
      </c>
      <c r="V1518" s="1">
        <v>1</v>
      </c>
      <c r="W1518" s="3">
        <v>61500</v>
      </c>
      <c r="X1518" s="3">
        <v>61500</v>
      </c>
      <c r="Y1518" s="1" t="str">
        <f>VLOOKUP(A1518,[1]Detalle!$D$2:$CR$484,93,FALSE)</f>
        <v>CENCO_MZ - Cencosud SA - Mendoza</v>
      </c>
    </row>
    <row r="1519" spans="1:25" ht="14.25" customHeight="1" x14ac:dyDescent="0.3">
      <c r="A1519" s="1" t="s">
        <v>74</v>
      </c>
      <c r="B1519" s="1" t="s">
        <v>720</v>
      </c>
      <c r="C1519" s="1" t="s">
        <v>720</v>
      </c>
      <c r="D1519" s="1" t="s">
        <v>715</v>
      </c>
      <c r="E1519" s="1" t="s">
        <v>337</v>
      </c>
      <c r="N1519" s="7">
        <v>45947</v>
      </c>
      <c r="O1519" s="1">
        <v>365</v>
      </c>
      <c r="P1519" s="7">
        <v>46312</v>
      </c>
      <c r="Q1519" s="1" t="s">
        <v>330</v>
      </c>
      <c r="T1519" s="1" t="s">
        <v>331</v>
      </c>
      <c r="U1519" s="1" t="s">
        <v>332</v>
      </c>
      <c r="V1519" s="1">
        <v>12</v>
      </c>
      <c r="W1519" s="3">
        <v>3389.9</v>
      </c>
      <c r="X1519" s="3">
        <v>40678.800000000003</v>
      </c>
      <c r="Y1519" s="1" t="str">
        <f>VLOOKUP(A1519,[1]Detalle!$D$2:$CR$484,93,FALSE)</f>
        <v>CENCO_MZ - Cencosud SA - Mendoza</v>
      </c>
    </row>
    <row r="1520" spans="1:25" ht="14.25" customHeight="1" x14ac:dyDescent="0.3">
      <c r="A1520" s="1" t="s">
        <v>74</v>
      </c>
      <c r="B1520" s="1" t="s">
        <v>720</v>
      </c>
      <c r="C1520" s="1" t="s">
        <v>720</v>
      </c>
      <c r="D1520" s="1" t="s">
        <v>715</v>
      </c>
      <c r="E1520" s="1" t="s">
        <v>337</v>
      </c>
      <c r="N1520" s="7">
        <v>45947</v>
      </c>
      <c r="O1520" s="1">
        <v>365</v>
      </c>
      <c r="P1520" s="7">
        <v>46312</v>
      </c>
      <c r="Q1520" s="1" t="s">
        <v>330</v>
      </c>
      <c r="T1520" s="1" t="s">
        <v>725</v>
      </c>
      <c r="U1520" s="1" t="s">
        <v>726</v>
      </c>
      <c r="V1520" s="1">
        <v>1</v>
      </c>
      <c r="W1520" s="3">
        <v>14869.65</v>
      </c>
      <c r="X1520" s="3">
        <v>14869.65</v>
      </c>
      <c r="Y1520" s="1" t="str">
        <f>VLOOKUP(A1520,[1]Detalle!$D$2:$CR$484,93,FALSE)</f>
        <v>CENCO_MZ - Cencosud SA - Mendoza</v>
      </c>
    </row>
    <row r="1521" spans="1:25" ht="14.25" customHeight="1" x14ac:dyDescent="0.3">
      <c r="A1521" s="1" t="s">
        <v>82</v>
      </c>
      <c r="B1521" s="1" t="s">
        <v>720</v>
      </c>
      <c r="C1521" s="1" t="s">
        <v>720</v>
      </c>
      <c r="D1521" s="1" t="s">
        <v>715</v>
      </c>
      <c r="E1521" s="1" t="s">
        <v>337</v>
      </c>
      <c r="F1521" s="1">
        <v>68994</v>
      </c>
      <c r="G1521" s="1">
        <v>69359</v>
      </c>
      <c r="H1521" s="1">
        <v>0</v>
      </c>
      <c r="I1521" s="1">
        <v>365</v>
      </c>
      <c r="J1521" s="1">
        <v>68994</v>
      </c>
      <c r="K1521" s="1">
        <v>133</v>
      </c>
      <c r="L1521" s="1">
        <v>100</v>
      </c>
      <c r="M1521" s="1">
        <v>3.65</v>
      </c>
      <c r="N1521" s="7">
        <v>45947</v>
      </c>
      <c r="O1521" s="1">
        <v>365</v>
      </c>
      <c r="P1521" s="7">
        <v>46312</v>
      </c>
      <c r="Q1521" s="1" t="s">
        <v>330</v>
      </c>
      <c r="T1521" s="1" t="s">
        <v>721</v>
      </c>
      <c r="U1521" s="1" t="s">
        <v>722</v>
      </c>
      <c r="V1521" s="1">
        <v>1</v>
      </c>
      <c r="W1521" s="3">
        <v>21135.1</v>
      </c>
      <c r="X1521" s="3">
        <v>21135.1</v>
      </c>
      <c r="Y1521" s="1" t="str">
        <f>VLOOKUP(A1521,[1]Detalle!$D$2:$CR$484,93,FALSE)</f>
        <v>CENCO_MZ - Cencosud SA - Mendoza</v>
      </c>
    </row>
    <row r="1522" spans="1:25" ht="14.25" customHeight="1" x14ac:dyDescent="0.3">
      <c r="A1522" s="1" t="s">
        <v>82</v>
      </c>
      <c r="B1522" s="1" t="s">
        <v>720</v>
      </c>
      <c r="C1522" s="1" t="s">
        <v>720</v>
      </c>
      <c r="D1522" s="1" t="s">
        <v>715</v>
      </c>
      <c r="E1522" s="1" t="s">
        <v>337</v>
      </c>
      <c r="F1522" s="1">
        <v>68994</v>
      </c>
      <c r="G1522" s="1">
        <v>69359</v>
      </c>
      <c r="H1522" s="1">
        <v>0</v>
      </c>
      <c r="I1522" s="1">
        <v>365</v>
      </c>
      <c r="J1522" s="1">
        <v>68994</v>
      </c>
      <c r="K1522" s="1">
        <v>133</v>
      </c>
      <c r="L1522" s="1">
        <v>100</v>
      </c>
      <c r="M1522" s="1">
        <v>3.65</v>
      </c>
      <c r="N1522" s="7">
        <v>45947</v>
      </c>
      <c r="O1522" s="1">
        <v>365</v>
      </c>
      <c r="P1522" s="7">
        <v>46312</v>
      </c>
      <c r="Q1522" s="1" t="s">
        <v>330</v>
      </c>
      <c r="T1522" s="1" t="s">
        <v>723</v>
      </c>
      <c r="U1522" s="1" t="s">
        <v>724</v>
      </c>
      <c r="V1522" s="1">
        <v>1</v>
      </c>
      <c r="W1522" s="3">
        <v>61500</v>
      </c>
      <c r="X1522" s="3">
        <v>61500</v>
      </c>
      <c r="Y1522" s="1" t="str">
        <f>VLOOKUP(A1522,[1]Detalle!$D$2:$CR$484,93,FALSE)</f>
        <v>CENCO_MZ - Cencosud SA - Mendoza</v>
      </c>
    </row>
    <row r="1523" spans="1:25" ht="14.25" customHeight="1" x14ac:dyDescent="0.3">
      <c r="A1523" s="1" t="s">
        <v>82</v>
      </c>
      <c r="B1523" s="1" t="s">
        <v>720</v>
      </c>
      <c r="C1523" s="1" t="s">
        <v>720</v>
      </c>
      <c r="D1523" s="1" t="s">
        <v>715</v>
      </c>
      <c r="E1523" s="1" t="s">
        <v>337</v>
      </c>
      <c r="F1523" s="1">
        <v>68994</v>
      </c>
      <c r="G1523" s="1">
        <v>69359</v>
      </c>
      <c r="H1523" s="1">
        <v>0</v>
      </c>
      <c r="I1523" s="1">
        <v>365</v>
      </c>
      <c r="J1523" s="1">
        <v>68994</v>
      </c>
      <c r="K1523" s="1">
        <v>133</v>
      </c>
      <c r="L1523" s="1">
        <v>100</v>
      </c>
      <c r="M1523" s="1">
        <v>3.65</v>
      </c>
      <c r="N1523" s="7">
        <v>45947</v>
      </c>
      <c r="O1523" s="1">
        <v>365</v>
      </c>
      <c r="P1523" s="7">
        <v>46312</v>
      </c>
      <c r="Q1523" s="1" t="s">
        <v>330</v>
      </c>
      <c r="T1523" s="1" t="s">
        <v>331</v>
      </c>
      <c r="U1523" s="1" t="s">
        <v>332</v>
      </c>
      <c r="V1523" s="1">
        <v>12</v>
      </c>
      <c r="W1523" s="3">
        <v>3389.9</v>
      </c>
      <c r="X1523" s="3">
        <v>40678.800000000003</v>
      </c>
      <c r="Y1523" s="1" t="str">
        <f>VLOOKUP(A1523,[1]Detalle!$D$2:$CR$484,93,FALSE)</f>
        <v>CENCO_MZ - Cencosud SA - Mendoza</v>
      </c>
    </row>
    <row r="1524" spans="1:25" ht="14.25" customHeight="1" x14ac:dyDescent="0.3">
      <c r="A1524" s="1" t="s">
        <v>82</v>
      </c>
      <c r="B1524" s="1" t="s">
        <v>720</v>
      </c>
      <c r="C1524" s="1" t="s">
        <v>720</v>
      </c>
      <c r="D1524" s="1" t="s">
        <v>715</v>
      </c>
      <c r="E1524" s="1" t="s">
        <v>337</v>
      </c>
      <c r="F1524" s="1">
        <v>68994</v>
      </c>
      <c r="G1524" s="1">
        <v>69359</v>
      </c>
      <c r="H1524" s="1">
        <v>0</v>
      </c>
      <c r="I1524" s="1">
        <v>365</v>
      </c>
      <c r="J1524" s="1">
        <v>68994</v>
      </c>
      <c r="K1524" s="1">
        <v>133</v>
      </c>
      <c r="L1524" s="1">
        <v>100</v>
      </c>
      <c r="M1524" s="1">
        <v>3.65</v>
      </c>
      <c r="N1524" s="7">
        <v>45947</v>
      </c>
      <c r="O1524" s="1">
        <v>365</v>
      </c>
      <c r="P1524" s="7">
        <v>46312</v>
      </c>
      <c r="Q1524" s="1" t="s">
        <v>330</v>
      </c>
      <c r="T1524" s="1" t="s">
        <v>725</v>
      </c>
      <c r="U1524" s="1" t="s">
        <v>726</v>
      </c>
      <c r="V1524" s="1">
        <v>1</v>
      </c>
      <c r="W1524" s="3">
        <v>14869.65</v>
      </c>
      <c r="X1524" s="3">
        <v>14869.65</v>
      </c>
      <c r="Y1524" s="1" t="str">
        <f>VLOOKUP(A1524,[1]Detalle!$D$2:$CR$484,93,FALSE)</f>
        <v>CENCO_MZ - Cencosud SA - Mendoza</v>
      </c>
    </row>
    <row r="1525" spans="1:25" ht="14.25" customHeight="1" x14ac:dyDescent="0.3">
      <c r="A1525" s="1" t="s">
        <v>160</v>
      </c>
      <c r="B1525" s="1" t="s">
        <v>720</v>
      </c>
      <c r="C1525" s="1" t="s">
        <v>720</v>
      </c>
      <c r="D1525" s="1" t="s">
        <v>715</v>
      </c>
      <c r="E1525" s="1" t="s">
        <v>337</v>
      </c>
      <c r="N1525" s="7">
        <v>45947</v>
      </c>
      <c r="O1525" s="1">
        <v>365</v>
      </c>
      <c r="P1525" s="7">
        <v>46312</v>
      </c>
      <c r="Q1525" s="1" t="s">
        <v>330</v>
      </c>
      <c r="T1525" s="1" t="s">
        <v>721</v>
      </c>
      <c r="U1525" s="1" t="s">
        <v>722</v>
      </c>
      <c r="V1525" s="1">
        <v>1</v>
      </c>
      <c r="W1525" s="3">
        <v>21135.1</v>
      </c>
      <c r="X1525" s="3">
        <v>21135.1</v>
      </c>
      <c r="Y1525" s="1" t="str">
        <f>VLOOKUP(A1525,[1]Detalle!$D$2:$CR$484,93,FALSE)</f>
        <v>CENCO_SJ - Cencosud SA - San Juan</v>
      </c>
    </row>
    <row r="1526" spans="1:25" ht="14.25" customHeight="1" x14ac:dyDescent="0.3">
      <c r="A1526" s="1" t="s">
        <v>160</v>
      </c>
      <c r="B1526" s="1" t="s">
        <v>720</v>
      </c>
      <c r="C1526" s="1" t="s">
        <v>720</v>
      </c>
      <c r="D1526" s="1" t="s">
        <v>715</v>
      </c>
      <c r="E1526" s="1" t="s">
        <v>337</v>
      </c>
      <c r="N1526" s="7">
        <v>45947</v>
      </c>
      <c r="O1526" s="1">
        <v>365</v>
      </c>
      <c r="P1526" s="7">
        <v>46312</v>
      </c>
      <c r="Q1526" s="1" t="s">
        <v>330</v>
      </c>
      <c r="T1526" s="1" t="s">
        <v>723</v>
      </c>
      <c r="U1526" s="1" t="s">
        <v>724</v>
      </c>
      <c r="V1526" s="1">
        <v>1</v>
      </c>
      <c r="W1526" s="3">
        <v>61500</v>
      </c>
      <c r="X1526" s="3">
        <v>61500</v>
      </c>
      <c r="Y1526" s="1" t="str">
        <f>VLOOKUP(A1526,[1]Detalle!$D$2:$CR$484,93,FALSE)</f>
        <v>CENCO_SJ - Cencosud SA - San Juan</v>
      </c>
    </row>
    <row r="1527" spans="1:25" ht="14.25" customHeight="1" x14ac:dyDescent="0.3">
      <c r="A1527" s="1" t="s">
        <v>160</v>
      </c>
      <c r="B1527" s="1" t="s">
        <v>720</v>
      </c>
      <c r="C1527" s="1" t="s">
        <v>720</v>
      </c>
      <c r="D1527" s="1" t="s">
        <v>715</v>
      </c>
      <c r="E1527" s="1" t="s">
        <v>337</v>
      </c>
      <c r="N1527" s="7">
        <v>45947</v>
      </c>
      <c r="O1527" s="1">
        <v>365</v>
      </c>
      <c r="P1527" s="7">
        <v>46312</v>
      </c>
      <c r="Q1527" s="1" t="s">
        <v>330</v>
      </c>
      <c r="T1527" s="1" t="s">
        <v>331</v>
      </c>
      <c r="U1527" s="1" t="s">
        <v>332</v>
      </c>
      <c r="V1527" s="1">
        <v>12</v>
      </c>
      <c r="W1527" s="3">
        <v>3389.9</v>
      </c>
      <c r="X1527" s="3">
        <v>40678.800000000003</v>
      </c>
      <c r="Y1527" s="1" t="str">
        <f>VLOOKUP(A1527,[1]Detalle!$D$2:$CR$484,93,FALSE)</f>
        <v>CENCO_SJ - Cencosud SA - San Juan</v>
      </c>
    </row>
    <row r="1528" spans="1:25" ht="14.25" customHeight="1" x14ac:dyDescent="0.3">
      <c r="A1528" s="1" t="s">
        <v>160</v>
      </c>
      <c r="B1528" s="1" t="s">
        <v>720</v>
      </c>
      <c r="C1528" s="1" t="s">
        <v>720</v>
      </c>
      <c r="D1528" s="1" t="s">
        <v>715</v>
      </c>
      <c r="E1528" s="1" t="s">
        <v>337</v>
      </c>
      <c r="N1528" s="7">
        <v>45947</v>
      </c>
      <c r="O1528" s="1">
        <v>365</v>
      </c>
      <c r="P1528" s="7">
        <v>46312</v>
      </c>
      <c r="Q1528" s="1" t="s">
        <v>330</v>
      </c>
      <c r="T1528" s="1" t="s">
        <v>725</v>
      </c>
      <c r="U1528" s="1" t="s">
        <v>726</v>
      </c>
      <c r="V1528" s="1">
        <v>1</v>
      </c>
      <c r="W1528" s="3">
        <v>14869.65</v>
      </c>
      <c r="X1528" s="3">
        <v>14869.65</v>
      </c>
      <c r="Y1528" s="1" t="str">
        <f>VLOOKUP(A1528,[1]Detalle!$D$2:$CR$484,93,FALSE)</f>
        <v>CENCO_SJ - Cencosud SA - San Juan</v>
      </c>
    </row>
    <row r="1529" spans="1:25" ht="14.25" customHeight="1" x14ac:dyDescent="0.3">
      <c r="A1529" s="1" t="s">
        <v>185</v>
      </c>
      <c r="B1529" s="1" t="s">
        <v>720</v>
      </c>
      <c r="C1529" s="1" t="s">
        <v>720</v>
      </c>
      <c r="D1529" s="1" t="s">
        <v>715</v>
      </c>
      <c r="E1529" s="1" t="s">
        <v>337</v>
      </c>
      <c r="N1529" s="7">
        <v>45947</v>
      </c>
      <c r="O1529" s="1">
        <v>365</v>
      </c>
      <c r="P1529" s="7">
        <v>46312</v>
      </c>
      <c r="Q1529" s="1" t="s">
        <v>330</v>
      </c>
      <c r="T1529" s="1" t="s">
        <v>721</v>
      </c>
      <c r="U1529" s="1" t="s">
        <v>722</v>
      </c>
      <c r="V1529" s="1">
        <v>1</v>
      </c>
      <c r="W1529" s="3">
        <v>21135.1</v>
      </c>
      <c r="X1529" s="3">
        <v>21135.1</v>
      </c>
      <c r="Y1529" s="1" t="str">
        <f>VLOOKUP(A1529,[1]Detalle!$D$2:$CR$484,93,FALSE)</f>
        <v>CENCO_SJ - Cencosud SA - San Juan</v>
      </c>
    </row>
    <row r="1530" spans="1:25" ht="14.25" customHeight="1" x14ac:dyDescent="0.3">
      <c r="A1530" s="1" t="s">
        <v>185</v>
      </c>
      <c r="B1530" s="1" t="s">
        <v>720</v>
      </c>
      <c r="C1530" s="1" t="s">
        <v>720</v>
      </c>
      <c r="D1530" s="1" t="s">
        <v>715</v>
      </c>
      <c r="E1530" s="1" t="s">
        <v>337</v>
      </c>
      <c r="N1530" s="7">
        <v>45947</v>
      </c>
      <c r="O1530" s="1">
        <v>365</v>
      </c>
      <c r="P1530" s="7">
        <v>46312</v>
      </c>
      <c r="Q1530" s="1" t="s">
        <v>330</v>
      </c>
      <c r="T1530" s="1" t="s">
        <v>723</v>
      </c>
      <c r="U1530" s="1" t="s">
        <v>724</v>
      </c>
      <c r="V1530" s="1">
        <v>1</v>
      </c>
      <c r="W1530" s="3">
        <v>61500</v>
      </c>
      <c r="X1530" s="3">
        <v>61500</v>
      </c>
      <c r="Y1530" s="1" t="str">
        <f>VLOOKUP(A1530,[1]Detalle!$D$2:$CR$484,93,FALSE)</f>
        <v>CENCO_SJ - Cencosud SA - San Juan</v>
      </c>
    </row>
    <row r="1531" spans="1:25" ht="14.25" customHeight="1" x14ac:dyDescent="0.3">
      <c r="A1531" s="1" t="s">
        <v>185</v>
      </c>
      <c r="B1531" s="1" t="s">
        <v>720</v>
      </c>
      <c r="C1531" s="1" t="s">
        <v>720</v>
      </c>
      <c r="D1531" s="1" t="s">
        <v>715</v>
      </c>
      <c r="E1531" s="1" t="s">
        <v>337</v>
      </c>
      <c r="N1531" s="7">
        <v>45947</v>
      </c>
      <c r="O1531" s="1">
        <v>365</v>
      </c>
      <c r="P1531" s="7">
        <v>46312</v>
      </c>
      <c r="Q1531" s="1" t="s">
        <v>330</v>
      </c>
      <c r="T1531" s="1" t="s">
        <v>331</v>
      </c>
      <c r="U1531" s="1" t="s">
        <v>332</v>
      </c>
      <c r="V1531" s="1">
        <v>12</v>
      </c>
      <c r="W1531" s="3">
        <v>3389.9</v>
      </c>
      <c r="X1531" s="3">
        <v>40678.800000000003</v>
      </c>
      <c r="Y1531" s="1" t="str">
        <f>VLOOKUP(A1531,[1]Detalle!$D$2:$CR$484,93,FALSE)</f>
        <v>CENCO_SJ - Cencosud SA - San Juan</v>
      </c>
    </row>
    <row r="1532" spans="1:25" ht="14.25" customHeight="1" x14ac:dyDescent="0.3">
      <c r="A1532" s="1" t="s">
        <v>185</v>
      </c>
      <c r="B1532" s="1" t="s">
        <v>720</v>
      </c>
      <c r="C1532" s="1" t="s">
        <v>720</v>
      </c>
      <c r="D1532" s="1" t="s">
        <v>715</v>
      </c>
      <c r="E1532" s="1" t="s">
        <v>337</v>
      </c>
      <c r="N1532" s="7">
        <v>45947</v>
      </c>
      <c r="O1532" s="1">
        <v>365</v>
      </c>
      <c r="P1532" s="7">
        <v>46312</v>
      </c>
      <c r="Q1532" s="1" t="s">
        <v>330</v>
      </c>
      <c r="T1532" s="1" t="s">
        <v>725</v>
      </c>
      <c r="U1532" s="1" t="s">
        <v>726</v>
      </c>
      <c r="V1532" s="1">
        <v>1</v>
      </c>
      <c r="W1532" s="3">
        <v>14869.65</v>
      </c>
      <c r="X1532" s="3">
        <v>14869.65</v>
      </c>
      <c r="Y1532" s="1" t="str">
        <f>VLOOKUP(A1532,[1]Detalle!$D$2:$CR$484,93,FALSE)</f>
        <v>CENCO_SJ - Cencosud SA - San Juan</v>
      </c>
    </row>
    <row r="1533" spans="1:25" ht="14.25" customHeight="1" x14ac:dyDescent="0.3">
      <c r="A1533" s="1" t="s">
        <v>15</v>
      </c>
      <c r="B1533" s="1" t="s">
        <v>720</v>
      </c>
      <c r="C1533" s="1" t="s">
        <v>720</v>
      </c>
      <c r="D1533" s="1" t="s">
        <v>715</v>
      </c>
      <c r="E1533" s="1" t="s">
        <v>337</v>
      </c>
      <c r="N1533" s="7">
        <v>45947</v>
      </c>
      <c r="O1533" s="1">
        <v>365</v>
      </c>
      <c r="P1533" s="7">
        <v>46312</v>
      </c>
      <c r="Q1533" s="1" t="s">
        <v>330</v>
      </c>
      <c r="T1533" s="1" t="s">
        <v>721</v>
      </c>
      <c r="U1533" s="1" t="s">
        <v>722</v>
      </c>
      <c r="V1533" s="1">
        <v>1</v>
      </c>
      <c r="W1533" s="3">
        <v>21135.1</v>
      </c>
      <c r="X1533" s="3">
        <v>21135.1</v>
      </c>
      <c r="Y1533" s="1" t="str">
        <f>VLOOKUP(A1533,[1]Detalle!$D$2:$CR$484,93,FALSE)</f>
        <v>CENCOMLD - Cencosud SA - Mendoza</v>
      </c>
    </row>
    <row r="1534" spans="1:25" ht="14.25" customHeight="1" x14ac:dyDescent="0.3">
      <c r="A1534" s="1" t="s">
        <v>15</v>
      </c>
      <c r="B1534" s="1" t="s">
        <v>720</v>
      </c>
      <c r="C1534" s="1" t="s">
        <v>720</v>
      </c>
      <c r="D1534" s="1" t="s">
        <v>715</v>
      </c>
      <c r="E1534" s="1" t="s">
        <v>337</v>
      </c>
      <c r="N1534" s="7">
        <v>45947</v>
      </c>
      <c r="O1534" s="1">
        <v>365</v>
      </c>
      <c r="P1534" s="7">
        <v>46312</v>
      </c>
      <c r="Q1534" s="1" t="s">
        <v>330</v>
      </c>
      <c r="T1534" s="1" t="s">
        <v>723</v>
      </c>
      <c r="U1534" s="1" t="s">
        <v>724</v>
      </c>
      <c r="V1534" s="1">
        <v>1</v>
      </c>
      <c r="W1534" s="3">
        <v>61500</v>
      </c>
      <c r="X1534" s="3">
        <v>61500</v>
      </c>
      <c r="Y1534" s="1" t="str">
        <f>VLOOKUP(A1534,[1]Detalle!$D$2:$CR$484,93,FALSE)</f>
        <v>CENCOMLD - Cencosud SA - Mendoza</v>
      </c>
    </row>
    <row r="1535" spans="1:25" ht="14.25" customHeight="1" x14ac:dyDescent="0.3">
      <c r="A1535" s="1" t="s">
        <v>15</v>
      </c>
      <c r="B1535" s="1" t="s">
        <v>720</v>
      </c>
      <c r="C1535" s="1" t="s">
        <v>720</v>
      </c>
      <c r="D1535" s="1" t="s">
        <v>715</v>
      </c>
      <c r="E1535" s="1" t="s">
        <v>337</v>
      </c>
      <c r="N1535" s="7">
        <v>45947</v>
      </c>
      <c r="O1535" s="1">
        <v>365</v>
      </c>
      <c r="P1535" s="7">
        <v>46312</v>
      </c>
      <c r="Q1535" s="1" t="s">
        <v>330</v>
      </c>
      <c r="T1535" s="1" t="s">
        <v>331</v>
      </c>
      <c r="U1535" s="1" t="s">
        <v>332</v>
      </c>
      <c r="V1535" s="1">
        <v>12</v>
      </c>
      <c r="W1535" s="3">
        <v>3389.9</v>
      </c>
      <c r="X1535" s="3">
        <v>40678.800000000003</v>
      </c>
      <c r="Y1535" s="1" t="str">
        <f>VLOOKUP(A1535,[1]Detalle!$D$2:$CR$484,93,FALSE)</f>
        <v>CENCOMLD - Cencosud SA - Mendoza</v>
      </c>
    </row>
    <row r="1536" spans="1:25" ht="14.25" customHeight="1" x14ac:dyDescent="0.3">
      <c r="A1536" s="1" t="s">
        <v>15</v>
      </c>
      <c r="B1536" s="1" t="s">
        <v>720</v>
      </c>
      <c r="C1536" s="1" t="s">
        <v>720</v>
      </c>
      <c r="D1536" s="1" t="s">
        <v>715</v>
      </c>
      <c r="E1536" s="1" t="s">
        <v>337</v>
      </c>
      <c r="N1536" s="7">
        <v>45947</v>
      </c>
      <c r="O1536" s="1">
        <v>365</v>
      </c>
      <c r="P1536" s="7">
        <v>46312</v>
      </c>
      <c r="Q1536" s="1" t="s">
        <v>330</v>
      </c>
      <c r="T1536" s="1" t="s">
        <v>725</v>
      </c>
      <c r="U1536" s="1" t="s">
        <v>726</v>
      </c>
      <c r="V1536" s="1">
        <v>1</v>
      </c>
      <c r="W1536" s="3">
        <v>14869.65</v>
      </c>
      <c r="X1536" s="3">
        <v>14869.65</v>
      </c>
      <c r="Y1536" s="1" t="str">
        <f>VLOOKUP(A1536,[1]Detalle!$D$2:$CR$484,93,FALSE)</f>
        <v>CENCOMLD - Cencosud SA - Mendoza</v>
      </c>
    </row>
    <row r="1537" spans="1:25" ht="14.25" customHeight="1" x14ac:dyDescent="0.3">
      <c r="A1537" s="1" t="s">
        <v>133</v>
      </c>
      <c r="B1537" s="1" t="s">
        <v>720</v>
      </c>
      <c r="C1537" s="1" t="s">
        <v>720</v>
      </c>
      <c r="D1537" s="1" t="s">
        <v>715</v>
      </c>
      <c r="E1537" s="1" t="s">
        <v>337</v>
      </c>
      <c r="N1537" s="7">
        <v>45947</v>
      </c>
      <c r="O1537" s="1">
        <v>365</v>
      </c>
      <c r="P1537" s="7">
        <v>46312</v>
      </c>
      <c r="Q1537" s="1" t="s">
        <v>330</v>
      </c>
      <c r="T1537" s="1" t="s">
        <v>721</v>
      </c>
      <c r="U1537" s="1" t="s">
        <v>722</v>
      </c>
      <c r="V1537" s="1">
        <v>1</v>
      </c>
      <c r="W1537" s="3">
        <v>21135.1</v>
      </c>
      <c r="X1537" s="3">
        <v>21135.1</v>
      </c>
      <c r="Y1537" s="1" t="str">
        <f>VLOOKUP(A1537,[1]Detalle!$D$2:$CR$484,93,FALSE)</f>
        <v>CENCOMLD - Cencosud SA - Mendoza</v>
      </c>
    </row>
    <row r="1538" spans="1:25" ht="14.25" customHeight="1" x14ac:dyDescent="0.3">
      <c r="A1538" s="1" t="s">
        <v>133</v>
      </c>
      <c r="B1538" s="1" t="s">
        <v>720</v>
      </c>
      <c r="C1538" s="1" t="s">
        <v>720</v>
      </c>
      <c r="D1538" s="1" t="s">
        <v>715</v>
      </c>
      <c r="E1538" s="1" t="s">
        <v>337</v>
      </c>
      <c r="N1538" s="7">
        <v>45947</v>
      </c>
      <c r="O1538" s="1">
        <v>365</v>
      </c>
      <c r="P1538" s="7">
        <v>46312</v>
      </c>
      <c r="Q1538" s="1" t="s">
        <v>330</v>
      </c>
      <c r="T1538" s="1" t="s">
        <v>723</v>
      </c>
      <c r="U1538" s="1" t="s">
        <v>724</v>
      </c>
      <c r="V1538" s="1">
        <v>1</v>
      </c>
      <c r="W1538" s="3">
        <v>61500</v>
      </c>
      <c r="X1538" s="3">
        <v>61500</v>
      </c>
      <c r="Y1538" s="1" t="str">
        <f>VLOOKUP(A1538,[1]Detalle!$D$2:$CR$484,93,FALSE)</f>
        <v>CENCOMLD - Cencosud SA - Mendoza</v>
      </c>
    </row>
    <row r="1539" spans="1:25" ht="14.25" customHeight="1" x14ac:dyDescent="0.3">
      <c r="A1539" s="1" t="s">
        <v>133</v>
      </c>
      <c r="B1539" s="1" t="s">
        <v>720</v>
      </c>
      <c r="C1539" s="1" t="s">
        <v>720</v>
      </c>
      <c r="D1539" s="1" t="s">
        <v>715</v>
      </c>
      <c r="E1539" s="1" t="s">
        <v>337</v>
      </c>
      <c r="N1539" s="7">
        <v>45947</v>
      </c>
      <c r="O1539" s="1">
        <v>365</v>
      </c>
      <c r="P1539" s="7">
        <v>46312</v>
      </c>
      <c r="Q1539" s="1" t="s">
        <v>330</v>
      </c>
      <c r="T1539" s="1" t="s">
        <v>331</v>
      </c>
      <c r="U1539" s="1" t="s">
        <v>332</v>
      </c>
      <c r="V1539" s="1">
        <v>12</v>
      </c>
      <c r="W1539" s="3">
        <v>3389.9</v>
      </c>
      <c r="X1539" s="3">
        <v>40678.800000000003</v>
      </c>
      <c r="Y1539" s="1" t="str">
        <f>VLOOKUP(A1539,[1]Detalle!$D$2:$CR$484,93,FALSE)</f>
        <v>CENCOMLD - Cencosud SA - Mendoza</v>
      </c>
    </row>
    <row r="1540" spans="1:25" ht="14.25" customHeight="1" x14ac:dyDescent="0.3">
      <c r="A1540" s="1" t="s">
        <v>133</v>
      </c>
      <c r="B1540" s="1" t="s">
        <v>720</v>
      </c>
      <c r="C1540" s="1" t="s">
        <v>720</v>
      </c>
      <c r="D1540" s="1" t="s">
        <v>715</v>
      </c>
      <c r="E1540" s="1" t="s">
        <v>337</v>
      </c>
      <c r="N1540" s="7">
        <v>45947</v>
      </c>
      <c r="O1540" s="1">
        <v>365</v>
      </c>
      <c r="P1540" s="7">
        <v>46312</v>
      </c>
      <c r="Q1540" s="1" t="s">
        <v>330</v>
      </c>
      <c r="T1540" s="1" t="s">
        <v>725</v>
      </c>
      <c r="U1540" s="1" t="s">
        <v>726</v>
      </c>
      <c r="V1540" s="1">
        <v>1</v>
      </c>
      <c r="W1540" s="3">
        <v>14869.65</v>
      </c>
      <c r="X1540" s="3">
        <v>14869.65</v>
      </c>
      <c r="Y1540" s="1" t="str">
        <f>VLOOKUP(A1540,[1]Detalle!$D$2:$CR$484,93,FALSE)</f>
        <v>CENCOMLD - Cencosud SA - Mendoza</v>
      </c>
    </row>
    <row r="1541" spans="1:25" ht="14.25" customHeight="1" x14ac:dyDescent="0.3">
      <c r="A1541" s="1" t="s">
        <v>621</v>
      </c>
      <c r="B1541" s="1" t="s">
        <v>720</v>
      </c>
      <c r="C1541" s="1" t="s">
        <v>720</v>
      </c>
      <c r="D1541" s="1" t="s">
        <v>715</v>
      </c>
      <c r="E1541" s="1" t="s">
        <v>337</v>
      </c>
      <c r="N1541" s="7">
        <v>45947</v>
      </c>
      <c r="O1541" s="1">
        <v>365</v>
      </c>
      <c r="P1541" s="7">
        <v>46312</v>
      </c>
      <c r="Q1541" s="1" t="s">
        <v>330</v>
      </c>
      <c r="T1541" s="1" t="s">
        <v>721</v>
      </c>
      <c r="U1541" s="1" t="s">
        <v>722</v>
      </c>
      <c r="V1541" s="1">
        <v>1</v>
      </c>
      <c r="W1541" s="3">
        <v>21135.1</v>
      </c>
      <c r="X1541" s="3">
        <v>21135.1</v>
      </c>
      <c r="Y1541" s="1" t="str">
        <f>VLOOKUP(A1541,[1]Detalle!$D$2:$CR$484,93,FALSE)</f>
        <v>CENCOMLD - Cencosud SA - Mendoza</v>
      </c>
    </row>
    <row r="1542" spans="1:25" ht="14.25" customHeight="1" x14ac:dyDescent="0.3">
      <c r="A1542" s="1" t="s">
        <v>621</v>
      </c>
      <c r="B1542" s="1" t="s">
        <v>720</v>
      </c>
      <c r="C1542" s="1" t="s">
        <v>720</v>
      </c>
      <c r="D1542" s="1" t="s">
        <v>715</v>
      </c>
      <c r="E1542" s="1" t="s">
        <v>337</v>
      </c>
      <c r="N1542" s="7">
        <v>45947</v>
      </c>
      <c r="O1542" s="1">
        <v>365</v>
      </c>
      <c r="P1542" s="7">
        <v>46312</v>
      </c>
      <c r="Q1542" s="1" t="s">
        <v>330</v>
      </c>
      <c r="T1542" s="1" t="s">
        <v>723</v>
      </c>
      <c r="U1542" s="1" t="s">
        <v>724</v>
      </c>
      <c r="V1542" s="1">
        <v>1</v>
      </c>
      <c r="W1542" s="3">
        <v>61500</v>
      </c>
      <c r="X1542" s="3">
        <v>61500</v>
      </c>
      <c r="Y1542" s="1" t="str">
        <f>VLOOKUP(A1542,[1]Detalle!$D$2:$CR$484,93,FALSE)</f>
        <v>CENCOMLD - Cencosud SA - Mendoza</v>
      </c>
    </row>
    <row r="1543" spans="1:25" ht="14.25" customHeight="1" x14ac:dyDescent="0.3">
      <c r="A1543" s="1" t="s">
        <v>621</v>
      </c>
      <c r="B1543" s="1" t="s">
        <v>720</v>
      </c>
      <c r="C1543" s="1" t="s">
        <v>720</v>
      </c>
      <c r="D1543" s="1" t="s">
        <v>715</v>
      </c>
      <c r="E1543" s="1" t="s">
        <v>337</v>
      </c>
      <c r="N1543" s="7">
        <v>45947</v>
      </c>
      <c r="O1543" s="1">
        <v>365</v>
      </c>
      <c r="P1543" s="7">
        <v>46312</v>
      </c>
      <c r="Q1543" s="1" t="s">
        <v>330</v>
      </c>
      <c r="T1543" s="1" t="s">
        <v>331</v>
      </c>
      <c r="U1543" s="1" t="s">
        <v>332</v>
      </c>
      <c r="V1543" s="1">
        <v>12</v>
      </c>
      <c r="W1543" s="3">
        <v>3389.9</v>
      </c>
      <c r="X1543" s="3">
        <v>40678.800000000003</v>
      </c>
      <c r="Y1543" s="1" t="str">
        <f>VLOOKUP(A1543,[1]Detalle!$D$2:$CR$484,93,FALSE)</f>
        <v>CENCOMLD - Cencosud SA - Mendoza</v>
      </c>
    </row>
    <row r="1544" spans="1:25" ht="14.25" customHeight="1" x14ac:dyDescent="0.3">
      <c r="A1544" s="1" t="s">
        <v>621</v>
      </c>
      <c r="B1544" s="1" t="s">
        <v>720</v>
      </c>
      <c r="C1544" s="1" t="s">
        <v>720</v>
      </c>
      <c r="D1544" s="1" t="s">
        <v>715</v>
      </c>
      <c r="E1544" s="1" t="s">
        <v>337</v>
      </c>
      <c r="N1544" s="7">
        <v>45947</v>
      </c>
      <c r="O1544" s="1">
        <v>365</v>
      </c>
      <c r="P1544" s="7">
        <v>46312</v>
      </c>
      <c r="Q1544" s="1" t="s">
        <v>330</v>
      </c>
      <c r="T1544" s="1" t="s">
        <v>725</v>
      </c>
      <c r="U1544" s="1" t="s">
        <v>726</v>
      </c>
      <c r="V1544" s="1">
        <v>1</v>
      </c>
      <c r="W1544" s="3">
        <v>14869.65</v>
      </c>
      <c r="X1544" s="3">
        <v>14869.65</v>
      </c>
      <c r="Y1544" s="1" t="str">
        <f>VLOOKUP(A1544,[1]Detalle!$D$2:$CR$484,93,FALSE)</f>
        <v>CENCOMLD - Cencosud SA - Mendoza</v>
      </c>
    </row>
    <row r="1545" spans="1:25" ht="14.25" customHeight="1" x14ac:dyDescent="0.3">
      <c r="A1545" s="1" t="s">
        <v>641</v>
      </c>
      <c r="B1545" s="1" t="s">
        <v>720</v>
      </c>
      <c r="C1545" s="1" t="s">
        <v>720</v>
      </c>
      <c r="D1545" s="1" t="s">
        <v>715</v>
      </c>
      <c r="E1545" s="1" t="s">
        <v>337</v>
      </c>
      <c r="N1545" s="7">
        <v>45947</v>
      </c>
      <c r="O1545" s="1">
        <v>365</v>
      </c>
      <c r="P1545" s="7">
        <v>46312</v>
      </c>
      <c r="Q1545" s="1" t="s">
        <v>330</v>
      </c>
      <c r="T1545" s="1" t="s">
        <v>721</v>
      </c>
      <c r="U1545" s="1" t="s">
        <v>722</v>
      </c>
      <c r="V1545" s="1">
        <v>1</v>
      </c>
      <c r="W1545" s="3">
        <v>21135.1</v>
      </c>
      <c r="X1545" s="3">
        <v>21135.1</v>
      </c>
      <c r="Y1545" s="1" t="str">
        <f>VLOOKUP(A1545,[1]Detalle!$D$2:$CR$484,93,FALSE)</f>
        <v>CENCOMLD - Cencosud SA - Mendoza</v>
      </c>
    </row>
    <row r="1546" spans="1:25" ht="14.25" customHeight="1" x14ac:dyDescent="0.3">
      <c r="A1546" s="1" t="s">
        <v>641</v>
      </c>
      <c r="B1546" s="1" t="s">
        <v>720</v>
      </c>
      <c r="C1546" s="1" t="s">
        <v>720</v>
      </c>
      <c r="D1546" s="1" t="s">
        <v>715</v>
      </c>
      <c r="E1546" s="1" t="s">
        <v>337</v>
      </c>
      <c r="N1546" s="7">
        <v>45947</v>
      </c>
      <c r="O1546" s="1">
        <v>365</v>
      </c>
      <c r="P1546" s="7">
        <v>46312</v>
      </c>
      <c r="Q1546" s="1" t="s">
        <v>330</v>
      </c>
      <c r="T1546" s="1" t="s">
        <v>723</v>
      </c>
      <c r="U1546" s="1" t="s">
        <v>724</v>
      </c>
      <c r="V1546" s="1">
        <v>1</v>
      </c>
      <c r="W1546" s="3">
        <v>61500</v>
      </c>
      <c r="X1546" s="3">
        <v>61500</v>
      </c>
      <c r="Y1546" s="1" t="str">
        <f>VLOOKUP(A1546,[1]Detalle!$D$2:$CR$484,93,FALSE)</f>
        <v>CENCOMLD - Cencosud SA - Mendoza</v>
      </c>
    </row>
    <row r="1547" spans="1:25" ht="14.25" customHeight="1" x14ac:dyDescent="0.3">
      <c r="A1547" s="1" t="s">
        <v>641</v>
      </c>
      <c r="B1547" s="1" t="s">
        <v>720</v>
      </c>
      <c r="C1547" s="1" t="s">
        <v>720</v>
      </c>
      <c r="D1547" s="1" t="s">
        <v>715</v>
      </c>
      <c r="E1547" s="1" t="s">
        <v>337</v>
      </c>
      <c r="N1547" s="7">
        <v>45947</v>
      </c>
      <c r="O1547" s="1">
        <v>365</v>
      </c>
      <c r="P1547" s="7">
        <v>46312</v>
      </c>
      <c r="Q1547" s="1" t="s">
        <v>330</v>
      </c>
      <c r="T1547" s="1" t="s">
        <v>331</v>
      </c>
      <c r="U1547" s="1" t="s">
        <v>332</v>
      </c>
      <c r="V1547" s="1">
        <v>12</v>
      </c>
      <c r="W1547" s="3">
        <v>3389.9</v>
      </c>
      <c r="X1547" s="3">
        <v>40678.800000000003</v>
      </c>
      <c r="Y1547" s="1" t="str">
        <f>VLOOKUP(A1547,[1]Detalle!$D$2:$CR$484,93,FALSE)</f>
        <v>CENCOMLD - Cencosud SA - Mendoza</v>
      </c>
    </row>
    <row r="1548" spans="1:25" ht="14.25" customHeight="1" x14ac:dyDescent="0.3">
      <c r="A1548" s="1" t="s">
        <v>641</v>
      </c>
      <c r="B1548" s="1" t="s">
        <v>720</v>
      </c>
      <c r="C1548" s="1" t="s">
        <v>720</v>
      </c>
      <c r="D1548" s="1" t="s">
        <v>715</v>
      </c>
      <c r="E1548" s="1" t="s">
        <v>337</v>
      </c>
      <c r="N1548" s="7">
        <v>45947</v>
      </c>
      <c r="O1548" s="1">
        <v>365</v>
      </c>
      <c r="P1548" s="7">
        <v>46312</v>
      </c>
      <c r="Q1548" s="1" t="s">
        <v>330</v>
      </c>
      <c r="T1548" s="1" t="s">
        <v>725</v>
      </c>
      <c r="U1548" s="1" t="s">
        <v>726</v>
      </c>
      <c r="V1548" s="1">
        <v>1</v>
      </c>
      <c r="W1548" s="3">
        <v>14869.65</v>
      </c>
      <c r="X1548" s="3">
        <v>14869.65</v>
      </c>
      <c r="Y1548" s="1" t="str">
        <f>VLOOKUP(A1548,[1]Detalle!$D$2:$CR$484,93,FALSE)</f>
        <v>CENCOMLD - Cencosud SA - Mendoza</v>
      </c>
    </row>
    <row r="1549" spans="1:25" ht="14.25" customHeight="1" x14ac:dyDescent="0.3">
      <c r="A1549" s="1" t="s">
        <v>236</v>
      </c>
      <c r="B1549" s="1" t="s">
        <v>720</v>
      </c>
      <c r="C1549" s="1" t="s">
        <v>720</v>
      </c>
      <c r="D1549" s="1" t="s">
        <v>715</v>
      </c>
      <c r="E1549" s="1" t="s">
        <v>337</v>
      </c>
      <c r="N1549" s="7">
        <v>45947</v>
      </c>
      <c r="O1549" s="1">
        <v>365</v>
      </c>
      <c r="P1549" s="7">
        <v>46312</v>
      </c>
      <c r="Q1549" s="1" t="s">
        <v>330</v>
      </c>
      <c r="T1549" s="1" t="s">
        <v>721</v>
      </c>
      <c r="U1549" s="1" t="s">
        <v>722</v>
      </c>
      <c r="V1549" s="1">
        <v>1</v>
      </c>
      <c r="W1549" s="3">
        <v>21135.1</v>
      </c>
      <c r="X1549" s="3">
        <v>21135.1</v>
      </c>
      <c r="Y1549" s="1" t="str">
        <f>VLOOKUP(A1549,[1]Detalle!$D$2:$CR$484,93,FALSE)</f>
        <v>CENCOMLD - Cencosud SA - Mendoza</v>
      </c>
    </row>
    <row r="1550" spans="1:25" ht="14.25" customHeight="1" x14ac:dyDescent="0.3">
      <c r="A1550" s="1" t="s">
        <v>236</v>
      </c>
      <c r="B1550" s="1" t="s">
        <v>720</v>
      </c>
      <c r="C1550" s="1" t="s">
        <v>720</v>
      </c>
      <c r="D1550" s="1" t="s">
        <v>715</v>
      </c>
      <c r="E1550" s="1" t="s">
        <v>337</v>
      </c>
      <c r="N1550" s="7">
        <v>45947</v>
      </c>
      <c r="O1550" s="1">
        <v>365</v>
      </c>
      <c r="P1550" s="7">
        <v>46312</v>
      </c>
      <c r="Q1550" s="1" t="s">
        <v>330</v>
      </c>
      <c r="T1550" s="1" t="s">
        <v>723</v>
      </c>
      <c r="U1550" s="1" t="s">
        <v>724</v>
      </c>
      <c r="V1550" s="1">
        <v>1</v>
      </c>
      <c r="W1550" s="3">
        <v>61500</v>
      </c>
      <c r="X1550" s="3">
        <v>61500</v>
      </c>
      <c r="Y1550" s="1" t="str">
        <f>VLOOKUP(A1550,[1]Detalle!$D$2:$CR$484,93,FALSE)</f>
        <v>CENCOMLD - Cencosud SA - Mendoza</v>
      </c>
    </row>
    <row r="1551" spans="1:25" ht="14.25" customHeight="1" x14ac:dyDescent="0.3">
      <c r="A1551" s="1" t="s">
        <v>236</v>
      </c>
      <c r="B1551" s="1" t="s">
        <v>720</v>
      </c>
      <c r="C1551" s="1" t="s">
        <v>720</v>
      </c>
      <c r="D1551" s="1" t="s">
        <v>715</v>
      </c>
      <c r="E1551" s="1" t="s">
        <v>337</v>
      </c>
      <c r="N1551" s="7">
        <v>45947</v>
      </c>
      <c r="O1551" s="1">
        <v>365</v>
      </c>
      <c r="P1551" s="7">
        <v>46312</v>
      </c>
      <c r="Q1551" s="1" t="s">
        <v>330</v>
      </c>
      <c r="T1551" s="1" t="s">
        <v>331</v>
      </c>
      <c r="U1551" s="1" t="s">
        <v>332</v>
      </c>
      <c r="V1551" s="1">
        <v>12</v>
      </c>
      <c r="W1551" s="3">
        <v>3389.9</v>
      </c>
      <c r="X1551" s="3">
        <v>40678.800000000003</v>
      </c>
      <c r="Y1551" s="1" t="str">
        <f>VLOOKUP(A1551,[1]Detalle!$D$2:$CR$484,93,FALSE)</f>
        <v>CENCOMLD - Cencosud SA - Mendoza</v>
      </c>
    </row>
    <row r="1552" spans="1:25" ht="14.25" customHeight="1" x14ac:dyDescent="0.3">
      <c r="A1552" s="1" t="s">
        <v>236</v>
      </c>
      <c r="B1552" s="1" t="s">
        <v>720</v>
      </c>
      <c r="C1552" s="1" t="s">
        <v>720</v>
      </c>
      <c r="D1552" s="1" t="s">
        <v>715</v>
      </c>
      <c r="E1552" s="1" t="s">
        <v>337</v>
      </c>
      <c r="N1552" s="7">
        <v>45947</v>
      </c>
      <c r="O1552" s="1">
        <v>365</v>
      </c>
      <c r="P1552" s="7">
        <v>46312</v>
      </c>
      <c r="Q1552" s="1" t="s">
        <v>330</v>
      </c>
      <c r="T1552" s="1" t="s">
        <v>725</v>
      </c>
      <c r="U1552" s="1" t="s">
        <v>726</v>
      </c>
      <c r="V1552" s="1">
        <v>1</v>
      </c>
      <c r="W1552" s="3">
        <v>14869.65</v>
      </c>
      <c r="X1552" s="3">
        <v>14869.65</v>
      </c>
      <c r="Y1552" s="1" t="str">
        <f>VLOOKUP(A1552,[1]Detalle!$D$2:$CR$484,93,FALSE)</f>
        <v>CENCOMLD - Cencosud SA - Mendoza</v>
      </c>
    </row>
    <row r="1553" spans="1:25" ht="14.25" customHeight="1" x14ac:dyDescent="0.3">
      <c r="A1553" s="1" t="s">
        <v>235</v>
      </c>
      <c r="B1553" s="1" t="s">
        <v>720</v>
      </c>
      <c r="C1553" s="1" t="s">
        <v>720</v>
      </c>
      <c r="D1553" s="1" t="s">
        <v>715</v>
      </c>
      <c r="E1553" s="1" t="s">
        <v>337</v>
      </c>
      <c r="N1553" s="7">
        <v>45947</v>
      </c>
      <c r="O1553" s="1">
        <v>365</v>
      </c>
      <c r="P1553" s="7">
        <v>46312</v>
      </c>
      <c r="Q1553" s="1" t="s">
        <v>330</v>
      </c>
      <c r="T1553" s="1" t="s">
        <v>721</v>
      </c>
      <c r="U1553" s="1" t="s">
        <v>722</v>
      </c>
      <c r="V1553" s="1">
        <v>1</v>
      </c>
      <c r="W1553" s="3">
        <v>21135.1</v>
      </c>
      <c r="X1553" s="3">
        <v>21135.1</v>
      </c>
      <c r="Y1553" s="1" t="str">
        <f>VLOOKUP(A1553,[1]Detalle!$D$2:$CR$484,93,FALSE)</f>
        <v>CENCOMLD - Cencosud SA - Mendoza</v>
      </c>
    </row>
    <row r="1554" spans="1:25" ht="14.25" customHeight="1" x14ac:dyDescent="0.3">
      <c r="A1554" s="1" t="s">
        <v>235</v>
      </c>
      <c r="B1554" s="1" t="s">
        <v>720</v>
      </c>
      <c r="C1554" s="1" t="s">
        <v>720</v>
      </c>
      <c r="D1554" s="1" t="s">
        <v>715</v>
      </c>
      <c r="E1554" s="1" t="s">
        <v>337</v>
      </c>
      <c r="N1554" s="7">
        <v>45947</v>
      </c>
      <c r="O1554" s="1">
        <v>365</v>
      </c>
      <c r="P1554" s="7">
        <v>46312</v>
      </c>
      <c r="Q1554" s="1" t="s">
        <v>330</v>
      </c>
      <c r="T1554" s="1" t="s">
        <v>723</v>
      </c>
      <c r="U1554" s="1" t="s">
        <v>724</v>
      </c>
      <c r="V1554" s="1">
        <v>1</v>
      </c>
      <c r="W1554" s="3">
        <v>61500</v>
      </c>
      <c r="X1554" s="3">
        <v>61500</v>
      </c>
      <c r="Y1554" s="1" t="str">
        <f>VLOOKUP(A1554,[1]Detalle!$D$2:$CR$484,93,FALSE)</f>
        <v>CENCOMLD - Cencosud SA - Mendoza</v>
      </c>
    </row>
    <row r="1555" spans="1:25" ht="14.25" customHeight="1" x14ac:dyDescent="0.3">
      <c r="A1555" s="1" t="s">
        <v>235</v>
      </c>
      <c r="B1555" s="1" t="s">
        <v>720</v>
      </c>
      <c r="C1555" s="1" t="s">
        <v>720</v>
      </c>
      <c r="D1555" s="1" t="s">
        <v>715</v>
      </c>
      <c r="E1555" s="1" t="s">
        <v>337</v>
      </c>
      <c r="N1555" s="7">
        <v>45947</v>
      </c>
      <c r="O1555" s="1">
        <v>365</v>
      </c>
      <c r="P1555" s="7">
        <v>46312</v>
      </c>
      <c r="Q1555" s="1" t="s">
        <v>330</v>
      </c>
      <c r="T1555" s="1" t="s">
        <v>331</v>
      </c>
      <c r="U1555" s="1" t="s">
        <v>332</v>
      </c>
      <c r="V1555" s="1">
        <v>12</v>
      </c>
      <c r="W1555" s="3">
        <v>3389.9</v>
      </c>
      <c r="X1555" s="3">
        <v>40678.800000000003</v>
      </c>
      <c r="Y1555" s="1" t="str">
        <f>VLOOKUP(A1555,[1]Detalle!$D$2:$CR$484,93,FALSE)</f>
        <v>CENCOMLD - Cencosud SA - Mendoza</v>
      </c>
    </row>
    <row r="1556" spans="1:25" ht="14.25" customHeight="1" x14ac:dyDescent="0.3">
      <c r="A1556" s="1" t="s">
        <v>235</v>
      </c>
      <c r="B1556" s="1" t="s">
        <v>720</v>
      </c>
      <c r="C1556" s="1" t="s">
        <v>720</v>
      </c>
      <c r="D1556" s="1" t="s">
        <v>715</v>
      </c>
      <c r="E1556" s="1" t="s">
        <v>337</v>
      </c>
      <c r="N1556" s="7">
        <v>45947</v>
      </c>
      <c r="O1556" s="1">
        <v>365</v>
      </c>
      <c r="P1556" s="7">
        <v>46312</v>
      </c>
      <c r="Q1556" s="1" t="s">
        <v>330</v>
      </c>
      <c r="T1556" s="1" t="s">
        <v>725</v>
      </c>
      <c r="U1556" s="1" t="s">
        <v>726</v>
      </c>
      <c r="V1556" s="1">
        <v>1</v>
      </c>
      <c r="W1556" s="3">
        <v>14869.65</v>
      </c>
      <c r="X1556" s="3">
        <v>14869.65</v>
      </c>
      <c r="Y1556" s="1" t="str">
        <f>VLOOKUP(A1556,[1]Detalle!$D$2:$CR$484,93,FALSE)</f>
        <v>CENCOMLD - Cencosud SA - Mendoza</v>
      </c>
    </row>
    <row r="1557" spans="1:25" ht="14.25" customHeight="1" x14ac:dyDescent="0.3">
      <c r="A1557" s="1" t="s">
        <v>273</v>
      </c>
      <c r="B1557" s="1" t="s">
        <v>720</v>
      </c>
      <c r="C1557" s="1" t="s">
        <v>720</v>
      </c>
      <c r="D1557" s="1" t="s">
        <v>715</v>
      </c>
      <c r="E1557" s="1" t="s">
        <v>337</v>
      </c>
      <c r="N1557" s="7">
        <v>45947</v>
      </c>
      <c r="O1557" s="1">
        <v>365</v>
      </c>
      <c r="P1557" s="7">
        <v>46312</v>
      </c>
      <c r="Q1557" s="1" t="s">
        <v>330</v>
      </c>
      <c r="T1557" s="1" t="s">
        <v>721</v>
      </c>
      <c r="U1557" s="1" t="s">
        <v>722</v>
      </c>
      <c r="V1557" s="1">
        <v>1</v>
      </c>
      <c r="W1557" s="3">
        <v>21135.1</v>
      </c>
      <c r="X1557" s="3">
        <v>21135.1</v>
      </c>
      <c r="Y1557" s="1" t="str">
        <f>VLOOKUP(A1557,[1]Detalle!$D$2:$CR$484,93,FALSE)</f>
        <v>CENCO_MZ - Cencosud SA - Mendoza</v>
      </c>
    </row>
    <row r="1558" spans="1:25" ht="14.25" customHeight="1" x14ac:dyDescent="0.3">
      <c r="A1558" s="1" t="s">
        <v>273</v>
      </c>
      <c r="B1558" s="1" t="s">
        <v>720</v>
      </c>
      <c r="C1558" s="1" t="s">
        <v>720</v>
      </c>
      <c r="D1558" s="1" t="s">
        <v>715</v>
      </c>
      <c r="E1558" s="1" t="s">
        <v>337</v>
      </c>
      <c r="N1558" s="7">
        <v>45947</v>
      </c>
      <c r="O1558" s="1">
        <v>365</v>
      </c>
      <c r="P1558" s="7">
        <v>46312</v>
      </c>
      <c r="Q1558" s="1" t="s">
        <v>330</v>
      </c>
      <c r="T1558" s="1" t="s">
        <v>723</v>
      </c>
      <c r="U1558" s="1" t="s">
        <v>724</v>
      </c>
      <c r="V1558" s="1">
        <v>1</v>
      </c>
      <c r="W1558" s="3">
        <v>61500</v>
      </c>
      <c r="X1558" s="3">
        <v>61500</v>
      </c>
      <c r="Y1558" s="1" t="str">
        <f>VLOOKUP(A1558,[1]Detalle!$D$2:$CR$484,93,FALSE)</f>
        <v>CENCO_MZ - Cencosud SA - Mendoza</v>
      </c>
    </row>
    <row r="1559" spans="1:25" ht="14.25" customHeight="1" x14ac:dyDescent="0.3">
      <c r="A1559" s="1" t="s">
        <v>273</v>
      </c>
      <c r="B1559" s="1" t="s">
        <v>720</v>
      </c>
      <c r="C1559" s="1" t="s">
        <v>720</v>
      </c>
      <c r="D1559" s="1" t="s">
        <v>715</v>
      </c>
      <c r="E1559" s="1" t="s">
        <v>337</v>
      </c>
      <c r="N1559" s="7">
        <v>45947</v>
      </c>
      <c r="O1559" s="1">
        <v>365</v>
      </c>
      <c r="P1559" s="7">
        <v>46312</v>
      </c>
      <c r="Q1559" s="1" t="s">
        <v>330</v>
      </c>
      <c r="T1559" s="1" t="s">
        <v>331</v>
      </c>
      <c r="U1559" s="1" t="s">
        <v>332</v>
      </c>
      <c r="V1559" s="1">
        <v>12</v>
      </c>
      <c r="W1559" s="3">
        <v>3389.9</v>
      </c>
      <c r="X1559" s="3">
        <v>40678.800000000003</v>
      </c>
      <c r="Y1559" s="1" t="str">
        <f>VLOOKUP(A1559,[1]Detalle!$D$2:$CR$484,93,FALSE)</f>
        <v>CENCO_MZ - Cencosud SA - Mendoza</v>
      </c>
    </row>
    <row r="1560" spans="1:25" ht="14.25" customHeight="1" x14ac:dyDescent="0.3">
      <c r="A1560" s="1" t="s">
        <v>273</v>
      </c>
      <c r="B1560" s="1" t="s">
        <v>720</v>
      </c>
      <c r="C1560" s="1" t="s">
        <v>720</v>
      </c>
      <c r="D1560" s="1" t="s">
        <v>715</v>
      </c>
      <c r="E1560" s="1" t="s">
        <v>337</v>
      </c>
      <c r="N1560" s="7">
        <v>45947</v>
      </c>
      <c r="O1560" s="1">
        <v>365</v>
      </c>
      <c r="P1560" s="7">
        <v>46312</v>
      </c>
      <c r="Q1560" s="1" t="s">
        <v>330</v>
      </c>
      <c r="T1560" s="1" t="s">
        <v>725</v>
      </c>
      <c r="U1560" s="1" t="s">
        <v>726</v>
      </c>
      <c r="V1560" s="1">
        <v>1</v>
      </c>
      <c r="W1560" s="3">
        <v>14869.65</v>
      </c>
      <c r="X1560" s="3">
        <v>14869.65</v>
      </c>
      <c r="Y1560" s="1" t="str">
        <f>VLOOKUP(A1560,[1]Detalle!$D$2:$CR$484,93,FALSE)</f>
        <v>CENCO_MZ - Cencosud SA - Mendoza</v>
      </c>
    </row>
    <row r="1561" spans="1:25" ht="14.25" customHeight="1" x14ac:dyDescent="0.3">
      <c r="A1561" s="1" t="s">
        <v>646</v>
      </c>
      <c r="B1561" s="1" t="s">
        <v>720</v>
      </c>
      <c r="C1561" s="1" t="s">
        <v>720</v>
      </c>
      <c r="D1561" s="1" t="s">
        <v>715</v>
      </c>
      <c r="E1561" s="1" t="s">
        <v>337</v>
      </c>
      <c r="N1561" s="7">
        <v>45947</v>
      </c>
      <c r="O1561" s="1">
        <v>365</v>
      </c>
      <c r="P1561" s="7">
        <v>46312</v>
      </c>
      <c r="Q1561" s="1" t="s">
        <v>330</v>
      </c>
      <c r="T1561" s="1" t="s">
        <v>721</v>
      </c>
      <c r="U1561" s="1" t="s">
        <v>722</v>
      </c>
      <c r="V1561" s="1">
        <v>1</v>
      </c>
      <c r="W1561" s="3">
        <v>21135.1</v>
      </c>
      <c r="X1561" s="3">
        <v>21135.1</v>
      </c>
      <c r="Y1561" s="1" t="str">
        <f>VLOOKUP(A1561,[1]Detalle!$D$2:$CR$484,93,FALSE)</f>
        <v>CENCOMLD - Cencosud SA - Mendoza</v>
      </c>
    </row>
    <row r="1562" spans="1:25" ht="14.25" customHeight="1" x14ac:dyDescent="0.3">
      <c r="A1562" s="1" t="s">
        <v>646</v>
      </c>
      <c r="B1562" s="1" t="s">
        <v>720</v>
      </c>
      <c r="C1562" s="1" t="s">
        <v>720</v>
      </c>
      <c r="D1562" s="1" t="s">
        <v>715</v>
      </c>
      <c r="E1562" s="1" t="s">
        <v>337</v>
      </c>
      <c r="N1562" s="7">
        <v>45947</v>
      </c>
      <c r="O1562" s="1">
        <v>365</v>
      </c>
      <c r="P1562" s="7">
        <v>46312</v>
      </c>
      <c r="Q1562" s="1" t="s">
        <v>330</v>
      </c>
      <c r="T1562" s="1" t="s">
        <v>723</v>
      </c>
      <c r="U1562" s="1" t="s">
        <v>724</v>
      </c>
      <c r="V1562" s="1">
        <v>1</v>
      </c>
      <c r="W1562" s="3">
        <v>61500</v>
      </c>
      <c r="X1562" s="3">
        <v>61500</v>
      </c>
      <c r="Y1562" s="1" t="str">
        <f>VLOOKUP(A1562,[1]Detalle!$D$2:$CR$484,93,FALSE)</f>
        <v>CENCOMLD - Cencosud SA - Mendoza</v>
      </c>
    </row>
    <row r="1563" spans="1:25" ht="14.25" customHeight="1" x14ac:dyDescent="0.3">
      <c r="A1563" s="1" t="s">
        <v>646</v>
      </c>
      <c r="B1563" s="1" t="s">
        <v>720</v>
      </c>
      <c r="C1563" s="1" t="s">
        <v>720</v>
      </c>
      <c r="D1563" s="1" t="s">
        <v>715</v>
      </c>
      <c r="E1563" s="1" t="s">
        <v>337</v>
      </c>
      <c r="N1563" s="7">
        <v>45947</v>
      </c>
      <c r="O1563" s="1">
        <v>365</v>
      </c>
      <c r="P1563" s="7">
        <v>46312</v>
      </c>
      <c r="Q1563" s="1" t="s">
        <v>330</v>
      </c>
      <c r="T1563" s="1" t="s">
        <v>331</v>
      </c>
      <c r="U1563" s="1" t="s">
        <v>332</v>
      </c>
      <c r="V1563" s="1">
        <v>12</v>
      </c>
      <c r="W1563" s="3">
        <v>3389.9</v>
      </c>
      <c r="X1563" s="3">
        <v>40678.800000000003</v>
      </c>
      <c r="Y1563" s="1" t="str">
        <f>VLOOKUP(A1563,[1]Detalle!$D$2:$CR$484,93,FALSE)</f>
        <v>CENCOMLD - Cencosud SA - Mendoza</v>
      </c>
    </row>
    <row r="1564" spans="1:25" ht="14.25" customHeight="1" x14ac:dyDescent="0.3">
      <c r="A1564" s="1" t="s">
        <v>646</v>
      </c>
      <c r="B1564" s="1" t="s">
        <v>720</v>
      </c>
      <c r="C1564" s="1" t="s">
        <v>720</v>
      </c>
      <c r="D1564" s="1" t="s">
        <v>715</v>
      </c>
      <c r="E1564" s="1" t="s">
        <v>337</v>
      </c>
      <c r="N1564" s="7">
        <v>45947</v>
      </c>
      <c r="O1564" s="1">
        <v>365</v>
      </c>
      <c r="P1564" s="7">
        <v>46312</v>
      </c>
      <c r="Q1564" s="1" t="s">
        <v>330</v>
      </c>
      <c r="T1564" s="1" t="s">
        <v>725</v>
      </c>
      <c r="U1564" s="1" t="s">
        <v>726</v>
      </c>
      <c r="V1564" s="1">
        <v>1</v>
      </c>
      <c r="W1564" s="3">
        <v>14869.65</v>
      </c>
      <c r="X1564" s="3">
        <v>14869.65</v>
      </c>
      <c r="Y1564" s="1" t="str">
        <f>VLOOKUP(A1564,[1]Detalle!$D$2:$CR$484,93,FALSE)</f>
        <v>CENCOMLD - Cencosud SA - Mendoza</v>
      </c>
    </row>
    <row r="1565" spans="1:25" ht="14.25" customHeight="1" x14ac:dyDescent="0.3">
      <c r="A1565" s="1" t="s">
        <v>647</v>
      </c>
      <c r="B1565" s="1" t="s">
        <v>720</v>
      </c>
      <c r="C1565" s="1" t="s">
        <v>720</v>
      </c>
      <c r="D1565" s="1" t="s">
        <v>715</v>
      </c>
      <c r="E1565" s="1" t="s">
        <v>337</v>
      </c>
      <c r="N1565" s="7">
        <v>45947</v>
      </c>
      <c r="O1565" s="1">
        <v>365</v>
      </c>
      <c r="P1565" s="7">
        <v>46312</v>
      </c>
      <c r="Q1565" s="1" t="s">
        <v>330</v>
      </c>
      <c r="T1565" s="1" t="s">
        <v>721</v>
      </c>
      <c r="U1565" s="1" t="s">
        <v>722</v>
      </c>
      <c r="V1565" s="1">
        <v>1</v>
      </c>
      <c r="W1565" s="3">
        <v>21135.1</v>
      </c>
      <c r="X1565" s="3">
        <v>21135.1</v>
      </c>
      <c r="Y1565" s="1" t="str">
        <f>VLOOKUP(A1565,[1]Detalle!$D$2:$CR$484,93,FALSE)</f>
        <v>CENCOMLD - Cencosud SA - Mendoza</v>
      </c>
    </row>
    <row r="1566" spans="1:25" ht="14.25" customHeight="1" x14ac:dyDescent="0.3">
      <c r="A1566" s="1" t="s">
        <v>647</v>
      </c>
      <c r="B1566" s="1" t="s">
        <v>720</v>
      </c>
      <c r="C1566" s="1" t="s">
        <v>720</v>
      </c>
      <c r="D1566" s="1" t="s">
        <v>715</v>
      </c>
      <c r="E1566" s="1" t="s">
        <v>337</v>
      </c>
      <c r="N1566" s="7">
        <v>45947</v>
      </c>
      <c r="O1566" s="1">
        <v>365</v>
      </c>
      <c r="P1566" s="7">
        <v>46312</v>
      </c>
      <c r="Q1566" s="1" t="s">
        <v>330</v>
      </c>
      <c r="T1566" s="1" t="s">
        <v>723</v>
      </c>
      <c r="U1566" s="1" t="s">
        <v>724</v>
      </c>
      <c r="V1566" s="1">
        <v>1</v>
      </c>
      <c r="W1566" s="3">
        <v>61500</v>
      </c>
      <c r="X1566" s="3">
        <v>61500</v>
      </c>
      <c r="Y1566" s="1" t="str">
        <f>VLOOKUP(A1566,[1]Detalle!$D$2:$CR$484,93,FALSE)</f>
        <v>CENCOMLD - Cencosud SA - Mendoza</v>
      </c>
    </row>
    <row r="1567" spans="1:25" ht="14.25" customHeight="1" x14ac:dyDescent="0.3">
      <c r="A1567" s="1" t="s">
        <v>647</v>
      </c>
      <c r="B1567" s="1" t="s">
        <v>720</v>
      </c>
      <c r="C1567" s="1" t="s">
        <v>720</v>
      </c>
      <c r="D1567" s="1" t="s">
        <v>715</v>
      </c>
      <c r="E1567" s="1" t="s">
        <v>337</v>
      </c>
      <c r="N1567" s="7">
        <v>45947</v>
      </c>
      <c r="O1567" s="1">
        <v>365</v>
      </c>
      <c r="P1567" s="7">
        <v>46312</v>
      </c>
      <c r="Q1567" s="1" t="s">
        <v>330</v>
      </c>
      <c r="T1567" s="1" t="s">
        <v>331</v>
      </c>
      <c r="U1567" s="1" t="s">
        <v>332</v>
      </c>
      <c r="V1567" s="1">
        <v>12</v>
      </c>
      <c r="W1567" s="3">
        <v>3389.9</v>
      </c>
      <c r="X1567" s="3">
        <v>40678.800000000003</v>
      </c>
      <c r="Y1567" s="1" t="str">
        <f>VLOOKUP(A1567,[1]Detalle!$D$2:$CR$484,93,FALSE)</f>
        <v>CENCOMLD - Cencosud SA - Mendoza</v>
      </c>
    </row>
    <row r="1568" spans="1:25" ht="14.25" customHeight="1" x14ac:dyDescent="0.3">
      <c r="A1568" s="1" t="s">
        <v>647</v>
      </c>
      <c r="B1568" s="1" t="s">
        <v>720</v>
      </c>
      <c r="C1568" s="1" t="s">
        <v>720</v>
      </c>
      <c r="D1568" s="1" t="s">
        <v>715</v>
      </c>
      <c r="E1568" s="1" t="s">
        <v>337</v>
      </c>
      <c r="N1568" s="7">
        <v>45947</v>
      </c>
      <c r="O1568" s="1">
        <v>365</v>
      </c>
      <c r="P1568" s="7">
        <v>46312</v>
      </c>
      <c r="Q1568" s="1" t="s">
        <v>330</v>
      </c>
      <c r="T1568" s="1" t="s">
        <v>725</v>
      </c>
      <c r="U1568" s="1" t="s">
        <v>726</v>
      </c>
      <c r="V1568" s="1">
        <v>1</v>
      </c>
      <c r="W1568" s="3">
        <v>14869.65</v>
      </c>
      <c r="X1568" s="3">
        <v>14869.65</v>
      </c>
      <c r="Y1568" s="1" t="str">
        <f>VLOOKUP(A1568,[1]Detalle!$D$2:$CR$484,93,FALSE)</f>
        <v>CENCOMLD - Cencosud SA - Mendoza</v>
      </c>
    </row>
    <row r="1569" spans="1:25" ht="14.25" customHeight="1" x14ac:dyDescent="0.3">
      <c r="A1569" s="1" t="s">
        <v>648</v>
      </c>
      <c r="B1569" s="1" t="s">
        <v>720</v>
      </c>
      <c r="C1569" s="1" t="s">
        <v>720</v>
      </c>
      <c r="D1569" s="1" t="s">
        <v>715</v>
      </c>
      <c r="E1569" s="1" t="s">
        <v>337</v>
      </c>
      <c r="N1569" s="7">
        <v>45947</v>
      </c>
      <c r="O1569" s="1">
        <v>365</v>
      </c>
      <c r="P1569" s="7">
        <v>46312</v>
      </c>
      <c r="Q1569" s="1" t="s">
        <v>330</v>
      </c>
      <c r="T1569" s="1" t="s">
        <v>721</v>
      </c>
      <c r="U1569" s="1" t="s">
        <v>722</v>
      </c>
      <c r="V1569" s="1">
        <v>1</v>
      </c>
      <c r="W1569" s="3">
        <v>21135.1</v>
      </c>
      <c r="X1569" s="3">
        <v>21135.1</v>
      </c>
      <c r="Y1569" s="1" t="str">
        <f>VLOOKUP(A1569,[1]Detalle!$D$2:$CR$484,93,FALSE)</f>
        <v>CENCOMLD - Cencosud SA - Mendoza</v>
      </c>
    </row>
    <row r="1570" spans="1:25" ht="14.25" customHeight="1" x14ac:dyDescent="0.3">
      <c r="A1570" s="1" t="s">
        <v>648</v>
      </c>
      <c r="B1570" s="1" t="s">
        <v>720</v>
      </c>
      <c r="C1570" s="1" t="s">
        <v>720</v>
      </c>
      <c r="D1570" s="1" t="s">
        <v>715</v>
      </c>
      <c r="E1570" s="1" t="s">
        <v>337</v>
      </c>
      <c r="N1570" s="7">
        <v>45947</v>
      </c>
      <c r="O1570" s="1">
        <v>365</v>
      </c>
      <c r="P1570" s="7">
        <v>46312</v>
      </c>
      <c r="Q1570" s="1" t="s">
        <v>330</v>
      </c>
      <c r="T1570" s="1" t="s">
        <v>723</v>
      </c>
      <c r="U1570" s="1" t="s">
        <v>724</v>
      </c>
      <c r="V1570" s="1">
        <v>1</v>
      </c>
      <c r="W1570" s="3">
        <v>61500</v>
      </c>
      <c r="X1570" s="3">
        <v>61500</v>
      </c>
      <c r="Y1570" s="1" t="str">
        <f>VLOOKUP(A1570,[1]Detalle!$D$2:$CR$484,93,FALSE)</f>
        <v>CENCOMLD - Cencosud SA - Mendoza</v>
      </c>
    </row>
    <row r="1571" spans="1:25" ht="14.25" customHeight="1" x14ac:dyDescent="0.3">
      <c r="A1571" s="1" t="s">
        <v>648</v>
      </c>
      <c r="B1571" s="1" t="s">
        <v>720</v>
      </c>
      <c r="C1571" s="1" t="s">
        <v>720</v>
      </c>
      <c r="D1571" s="1" t="s">
        <v>715</v>
      </c>
      <c r="E1571" s="1" t="s">
        <v>337</v>
      </c>
      <c r="N1571" s="7">
        <v>45947</v>
      </c>
      <c r="O1571" s="1">
        <v>365</v>
      </c>
      <c r="P1571" s="7">
        <v>46312</v>
      </c>
      <c r="Q1571" s="1" t="s">
        <v>330</v>
      </c>
      <c r="T1571" s="1" t="s">
        <v>331</v>
      </c>
      <c r="U1571" s="1" t="s">
        <v>332</v>
      </c>
      <c r="V1571" s="1">
        <v>12</v>
      </c>
      <c r="W1571" s="3">
        <v>3389.9</v>
      </c>
      <c r="X1571" s="3">
        <v>40678.800000000003</v>
      </c>
      <c r="Y1571" s="1" t="str">
        <f>VLOOKUP(A1571,[1]Detalle!$D$2:$CR$484,93,FALSE)</f>
        <v>CENCOMLD - Cencosud SA - Mendoza</v>
      </c>
    </row>
    <row r="1572" spans="1:25" ht="14.25" customHeight="1" x14ac:dyDescent="0.3">
      <c r="A1572" s="1" t="s">
        <v>648</v>
      </c>
      <c r="B1572" s="1" t="s">
        <v>720</v>
      </c>
      <c r="C1572" s="1" t="s">
        <v>720</v>
      </c>
      <c r="D1572" s="1" t="s">
        <v>715</v>
      </c>
      <c r="E1572" s="1" t="s">
        <v>337</v>
      </c>
      <c r="N1572" s="7">
        <v>45947</v>
      </c>
      <c r="O1572" s="1">
        <v>365</v>
      </c>
      <c r="P1572" s="7">
        <v>46312</v>
      </c>
      <c r="Q1572" s="1" t="s">
        <v>330</v>
      </c>
      <c r="T1572" s="1" t="s">
        <v>725</v>
      </c>
      <c r="U1572" s="1" t="s">
        <v>726</v>
      </c>
      <c r="V1572" s="1">
        <v>1</v>
      </c>
      <c r="W1572" s="3">
        <v>14869.65</v>
      </c>
      <c r="X1572" s="3">
        <v>14869.65</v>
      </c>
      <c r="Y1572" s="1" t="str">
        <f>VLOOKUP(A1572,[1]Detalle!$D$2:$CR$484,93,FALSE)</f>
        <v>CENCOMLD - Cencosud SA - Mendoza</v>
      </c>
    </row>
    <row r="1573" spans="1:25" ht="14.25" customHeight="1" x14ac:dyDescent="0.3">
      <c r="A1573" s="1" t="s">
        <v>143</v>
      </c>
      <c r="B1573" s="1" t="s">
        <v>720</v>
      </c>
      <c r="C1573" s="1" t="s">
        <v>720</v>
      </c>
      <c r="D1573" s="1" t="s">
        <v>715</v>
      </c>
      <c r="E1573" s="1" t="s">
        <v>337</v>
      </c>
      <c r="F1573" s="1">
        <v>713216</v>
      </c>
      <c r="G1573" s="1">
        <v>713581</v>
      </c>
      <c r="H1573" s="1">
        <v>0</v>
      </c>
      <c r="I1573" s="1">
        <v>365</v>
      </c>
      <c r="J1573" s="1">
        <v>713216</v>
      </c>
      <c r="K1573" s="1">
        <v>142</v>
      </c>
      <c r="L1573" s="1">
        <v>100</v>
      </c>
      <c r="M1573" s="1">
        <v>3.65</v>
      </c>
      <c r="N1573" s="7">
        <v>45947</v>
      </c>
      <c r="O1573" s="1">
        <v>365</v>
      </c>
      <c r="P1573" s="7">
        <v>46312</v>
      </c>
      <c r="Q1573" s="1" t="s">
        <v>330</v>
      </c>
      <c r="T1573" s="1" t="s">
        <v>721</v>
      </c>
      <c r="U1573" s="1" t="s">
        <v>722</v>
      </c>
      <c r="V1573" s="1">
        <v>1</v>
      </c>
      <c r="W1573" s="3">
        <v>21135.1</v>
      </c>
      <c r="X1573" s="3">
        <v>21135.1</v>
      </c>
      <c r="Y1573" s="1" t="str">
        <f>VLOOKUP(A1573,[1]Detalle!$D$2:$CR$484,93,FALSE)</f>
        <v>Arcor S.A.I.C.</v>
      </c>
    </row>
    <row r="1574" spans="1:25" ht="14.25" customHeight="1" x14ac:dyDescent="0.3">
      <c r="A1574" s="1" t="s">
        <v>143</v>
      </c>
      <c r="B1574" s="1" t="s">
        <v>720</v>
      </c>
      <c r="C1574" s="1" t="s">
        <v>720</v>
      </c>
      <c r="D1574" s="1" t="s">
        <v>715</v>
      </c>
      <c r="E1574" s="1" t="s">
        <v>337</v>
      </c>
      <c r="F1574" s="1">
        <v>713216</v>
      </c>
      <c r="G1574" s="1">
        <v>713581</v>
      </c>
      <c r="H1574" s="1">
        <v>0</v>
      </c>
      <c r="I1574" s="1">
        <v>365</v>
      </c>
      <c r="J1574" s="1">
        <v>713216</v>
      </c>
      <c r="K1574" s="1">
        <v>142</v>
      </c>
      <c r="L1574" s="1">
        <v>100</v>
      </c>
      <c r="M1574" s="1">
        <v>3.65</v>
      </c>
      <c r="N1574" s="7">
        <v>45947</v>
      </c>
      <c r="O1574" s="1">
        <v>365</v>
      </c>
      <c r="P1574" s="7">
        <v>46312</v>
      </c>
      <c r="Q1574" s="1" t="s">
        <v>330</v>
      </c>
      <c r="T1574" s="1" t="s">
        <v>723</v>
      </c>
      <c r="U1574" s="1" t="s">
        <v>724</v>
      </c>
      <c r="V1574" s="1">
        <v>1</v>
      </c>
      <c r="W1574" s="3">
        <v>61500</v>
      </c>
      <c r="X1574" s="3">
        <v>61500</v>
      </c>
      <c r="Y1574" s="1" t="str">
        <f>VLOOKUP(A1574,[1]Detalle!$D$2:$CR$484,93,FALSE)</f>
        <v>Arcor S.A.I.C.</v>
      </c>
    </row>
    <row r="1575" spans="1:25" ht="14.25" customHeight="1" x14ac:dyDescent="0.3">
      <c r="A1575" s="1" t="s">
        <v>143</v>
      </c>
      <c r="B1575" s="1" t="s">
        <v>720</v>
      </c>
      <c r="C1575" s="1" t="s">
        <v>720</v>
      </c>
      <c r="D1575" s="1" t="s">
        <v>715</v>
      </c>
      <c r="E1575" s="1" t="s">
        <v>337</v>
      </c>
      <c r="F1575" s="1">
        <v>713216</v>
      </c>
      <c r="G1575" s="1">
        <v>713581</v>
      </c>
      <c r="H1575" s="1">
        <v>0</v>
      </c>
      <c r="I1575" s="1">
        <v>365</v>
      </c>
      <c r="J1575" s="1">
        <v>713216</v>
      </c>
      <c r="K1575" s="1">
        <v>142</v>
      </c>
      <c r="L1575" s="1">
        <v>100</v>
      </c>
      <c r="M1575" s="1">
        <v>3.65</v>
      </c>
      <c r="N1575" s="7">
        <v>45947</v>
      </c>
      <c r="O1575" s="1">
        <v>365</v>
      </c>
      <c r="P1575" s="7">
        <v>46312</v>
      </c>
      <c r="Q1575" s="1" t="s">
        <v>330</v>
      </c>
      <c r="T1575" s="1" t="s">
        <v>331</v>
      </c>
      <c r="U1575" s="1" t="s">
        <v>332</v>
      </c>
      <c r="V1575" s="1">
        <v>12</v>
      </c>
      <c r="W1575" s="3">
        <v>3389.9</v>
      </c>
      <c r="X1575" s="3">
        <v>40678.800000000003</v>
      </c>
      <c r="Y1575" s="1" t="str">
        <f>VLOOKUP(A1575,[1]Detalle!$D$2:$CR$484,93,FALSE)</f>
        <v>Arcor S.A.I.C.</v>
      </c>
    </row>
    <row r="1576" spans="1:25" ht="14.25" customHeight="1" x14ac:dyDescent="0.3">
      <c r="A1576" s="1" t="s">
        <v>143</v>
      </c>
      <c r="B1576" s="1" t="s">
        <v>720</v>
      </c>
      <c r="C1576" s="1" t="s">
        <v>720</v>
      </c>
      <c r="D1576" s="1" t="s">
        <v>715</v>
      </c>
      <c r="E1576" s="1" t="s">
        <v>337</v>
      </c>
      <c r="F1576" s="1">
        <v>713216</v>
      </c>
      <c r="G1576" s="1">
        <v>713581</v>
      </c>
      <c r="H1576" s="1">
        <v>0</v>
      </c>
      <c r="I1576" s="1">
        <v>365</v>
      </c>
      <c r="J1576" s="1">
        <v>713216</v>
      </c>
      <c r="K1576" s="1">
        <v>142</v>
      </c>
      <c r="L1576" s="1">
        <v>100</v>
      </c>
      <c r="M1576" s="1">
        <v>3.65</v>
      </c>
      <c r="N1576" s="7">
        <v>45947</v>
      </c>
      <c r="O1576" s="1">
        <v>365</v>
      </c>
      <c r="P1576" s="7">
        <v>46312</v>
      </c>
      <c r="Q1576" s="1" t="s">
        <v>330</v>
      </c>
      <c r="T1576" s="1" t="s">
        <v>725</v>
      </c>
      <c r="U1576" s="1" t="s">
        <v>726</v>
      </c>
      <c r="V1576" s="1">
        <v>1</v>
      </c>
      <c r="W1576" s="3">
        <v>14869.65</v>
      </c>
      <c r="X1576" s="3">
        <v>14869.65</v>
      </c>
      <c r="Y1576" s="1" t="str">
        <f>VLOOKUP(A1576,[1]Detalle!$D$2:$CR$484,93,FALSE)</f>
        <v>Arcor S.A.I.C.</v>
      </c>
    </row>
    <row r="1577" spans="1:25" ht="14.25" customHeight="1" x14ac:dyDescent="0.3">
      <c r="A1577" s="1" t="s">
        <v>697</v>
      </c>
      <c r="B1577" s="1" t="s">
        <v>720</v>
      </c>
      <c r="C1577" s="1" t="s">
        <v>720</v>
      </c>
      <c r="D1577" s="1" t="s">
        <v>715</v>
      </c>
      <c r="E1577" s="1" t="s">
        <v>337</v>
      </c>
      <c r="F1577" s="1">
        <v>23956.1</v>
      </c>
      <c r="G1577" s="1">
        <v>24321.1</v>
      </c>
      <c r="H1577" s="1">
        <v>12105.600000000009</v>
      </c>
      <c r="I1577" s="1">
        <v>-11740.600000000009</v>
      </c>
      <c r="J1577" s="1">
        <v>36061.699999999997</v>
      </c>
      <c r="K1577" s="1">
        <v>141</v>
      </c>
      <c r="L1577" s="1">
        <v>85.855319148936218</v>
      </c>
      <c r="M1577" s="1">
        <v>-136.74866177636801</v>
      </c>
      <c r="N1577" s="7">
        <v>45947</v>
      </c>
      <c r="O1577" s="1">
        <v>365</v>
      </c>
      <c r="P1577" s="7">
        <v>46312</v>
      </c>
      <c r="Q1577" s="1" t="s">
        <v>330</v>
      </c>
      <c r="T1577" s="1" t="s">
        <v>721</v>
      </c>
      <c r="U1577" s="1" t="s">
        <v>722</v>
      </c>
      <c r="V1577" s="1">
        <v>1</v>
      </c>
      <c r="W1577" s="3">
        <v>21135.1</v>
      </c>
      <c r="X1577" s="3">
        <v>21135.1</v>
      </c>
      <c r="Y1577" s="1" t="str">
        <f>VLOOKUP(A1577,[1]Detalle!$D$2:$CR$484,93,FALSE)</f>
        <v>Arcor S.A.I.C.</v>
      </c>
    </row>
    <row r="1578" spans="1:25" ht="14.25" customHeight="1" x14ac:dyDescent="0.3">
      <c r="A1578" s="1" t="s">
        <v>697</v>
      </c>
      <c r="B1578" s="1" t="s">
        <v>720</v>
      </c>
      <c r="C1578" s="1" t="s">
        <v>720</v>
      </c>
      <c r="D1578" s="1" t="s">
        <v>715</v>
      </c>
      <c r="E1578" s="1" t="s">
        <v>337</v>
      </c>
      <c r="F1578" s="1">
        <v>23956.1</v>
      </c>
      <c r="G1578" s="1">
        <v>24321.1</v>
      </c>
      <c r="H1578" s="1">
        <v>12105.600000000009</v>
      </c>
      <c r="I1578" s="1">
        <v>-11740.600000000009</v>
      </c>
      <c r="J1578" s="1">
        <v>36061.699999999997</v>
      </c>
      <c r="K1578" s="1">
        <v>141</v>
      </c>
      <c r="L1578" s="1">
        <v>85.855319148936218</v>
      </c>
      <c r="M1578" s="1">
        <v>-136.74866177636801</v>
      </c>
      <c r="N1578" s="7">
        <v>45947</v>
      </c>
      <c r="O1578" s="1">
        <v>365</v>
      </c>
      <c r="P1578" s="7">
        <v>46312</v>
      </c>
      <c r="Q1578" s="1" t="s">
        <v>330</v>
      </c>
      <c r="T1578" s="1" t="s">
        <v>723</v>
      </c>
      <c r="U1578" s="1" t="s">
        <v>724</v>
      </c>
      <c r="V1578" s="1">
        <v>1</v>
      </c>
      <c r="W1578" s="3">
        <v>61500</v>
      </c>
      <c r="X1578" s="3">
        <v>61500</v>
      </c>
      <c r="Y1578" s="1" t="str">
        <f>VLOOKUP(A1578,[1]Detalle!$D$2:$CR$484,93,FALSE)</f>
        <v>Arcor S.A.I.C.</v>
      </c>
    </row>
    <row r="1579" spans="1:25" ht="14.25" customHeight="1" x14ac:dyDescent="0.3">
      <c r="A1579" s="1" t="s">
        <v>697</v>
      </c>
      <c r="B1579" s="1" t="s">
        <v>720</v>
      </c>
      <c r="C1579" s="1" t="s">
        <v>720</v>
      </c>
      <c r="D1579" s="1" t="s">
        <v>715</v>
      </c>
      <c r="E1579" s="1" t="s">
        <v>337</v>
      </c>
      <c r="F1579" s="1">
        <v>23956.1</v>
      </c>
      <c r="G1579" s="1">
        <v>24321.1</v>
      </c>
      <c r="H1579" s="1">
        <v>12105.600000000009</v>
      </c>
      <c r="I1579" s="1">
        <v>-11740.600000000009</v>
      </c>
      <c r="J1579" s="1">
        <v>36061.699999999997</v>
      </c>
      <c r="K1579" s="1">
        <v>141</v>
      </c>
      <c r="L1579" s="1">
        <v>85.855319148936218</v>
      </c>
      <c r="M1579" s="1">
        <v>-136.74866177636801</v>
      </c>
      <c r="N1579" s="7">
        <v>45947</v>
      </c>
      <c r="O1579" s="1">
        <v>365</v>
      </c>
      <c r="P1579" s="7">
        <v>46312</v>
      </c>
      <c r="Q1579" s="1" t="s">
        <v>330</v>
      </c>
      <c r="T1579" s="1" t="s">
        <v>331</v>
      </c>
      <c r="U1579" s="1" t="s">
        <v>332</v>
      </c>
      <c r="V1579" s="1">
        <v>12</v>
      </c>
      <c r="W1579" s="3">
        <v>3389.9</v>
      </c>
      <c r="X1579" s="3">
        <v>40678.800000000003</v>
      </c>
      <c r="Y1579" s="1" t="str">
        <f>VLOOKUP(A1579,[1]Detalle!$D$2:$CR$484,93,FALSE)</f>
        <v>Arcor S.A.I.C.</v>
      </c>
    </row>
    <row r="1580" spans="1:25" ht="14.25" customHeight="1" x14ac:dyDescent="0.3">
      <c r="A1580" s="1" t="s">
        <v>697</v>
      </c>
      <c r="B1580" s="1" t="s">
        <v>720</v>
      </c>
      <c r="C1580" s="1" t="s">
        <v>720</v>
      </c>
      <c r="D1580" s="1" t="s">
        <v>715</v>
      </c>
      <c r="E1580" s="1" t="s">
        <v>337</v>
      </c>
      <c r="F1580" s="1">
        <v>23956.1</v>
      </c>
      <c r="G1580" s="1">
        <v>24321.1</v>
      </c>
      <c r="H1580" s="1">
        <v>12105.600000000009</v>
      </c>
      <c r="I1580" s="1">
        <v>-11740.600000000009</v>
      </c>
      <c r="J1580" s="1">
        <v>36061.699999999997</v>
      </c>
      <c r="K1580" s="1">
        <v>141</v>
      </c>
      <c r="L1580" s="1">
        <v>85.855319148936218</v>
      </c>
      <c r="M1580" s="1">
        <v>-136.74866177636801</v>
      </c>
      <c r="N1580" s="7">
        <v>45947</v>
      </c>
      <c r="O1580" s="1">
        <v>365</v>
      </c>
      <c r="P1580" s="7">
        <v>46312</v>
      </c>
      <c r="Q1580" s="1" t="s">
        <v>330</v>
      </c>
      <c r="T1580" s="1" t="s">
        <v>725</v>
      </c>
      <c r="U1580" s="1" t="s">
        <v>726</v>
      </c>
      <c r="V1580" s="1">
        <v>1</v>
      </c>
      <c r="W1580" s="3">
        <v>14869.65</v>
      </c>
      <c r="X1580" s="3">
        <v>14869.65</v>
      </c>
      <c r="Y1580" s="1" t="str">
        <f>VLOOKUP(A1580,[1]Detalle!$D$2:$CR$484,93,FALSE)</f>
        <v>Arcor S.A.I.C.</v>
      </c>
    </row>
    <row r="1581" spans="1:25" ht="14.25" customHeight="1" x14ac:dyDescent="0.3">
      <c r="A1581" s="1" t="s">
        <v>698</v>
      </c>
      <c r="B1581" s="1" t="s">
        <v>720</v>
      </c>
      <c r="C1581" s="1" t="s">
        <v>720</v>
      </c>
      <c r="D1581" s="1" t="s">
        <v>715</v>
      </c>
      <c r="E1581" s="1" t="s">
        <v>337</v>
      </c>
      <c r="F1581" s="1">
        <v>26656.799999999999</v>
      </c>
      <c r="G1581" s="1">
        <v>27021.8</v>
      </c>
      <c r="H1581" s="1">
        <v>12148.2</v>
      </c>
      <c r="I1581" s="1">
        <v>-11783.2</v>
      </c>
      <c r="J1581" s="1">
        <v>38804.999999999993</v>
      </c>
      <c r="K1581" s="1">
        <v>140</v>
      </c>
      <c r="L1581" s="1">
        <v>86.772857142857106</v>
      </c>
      <c r="M1581" s="1">
        <v>-135.79361551505571</v>
      </c>
      <c r="N1581" s="7">
        <v>45947</v>
      </c>
      <c r="O1581" s="1">
        <v>365</v>
      </c>
      <c r="P1581" s="7">
        <v>46312</v>
      </c>
      <c r="Q1581" s="1" t="s">
        <v>330</v>
      </c>
      <c r="T1581" s="1" t="s">
        <v>721</v>
      </c>
      <c r="U1581" s="1" t="s">
        <v>722</v>
      </c>
      <c r="V1581" s="1">
        <v>1</v>
      </c>
      <c r="W1581" s="3">
        <v>21135.1</v>
      </c>
      <c r="X1581" s="3">
        <v>21135.1</v>
      </c>
      <c r="Y1581" s="1" t="str">
        <f>VLOOKUP(A1581,[1]Detalle!$D$2:$CR$484,93,FALSE)</f>
        <v>Arcor S.A.I.C.</v>
      </c>
    </row>
    <row r="1582" spans="1:25" ht="14.25" customHeight="1" x14ac:dyDescent="0.3">
      <c r="A1582" s="1" t="s">
        <v>698</v>
      </c>
      <c r="B1582" s="1" t="s">
        <v>720</v>
      </c>
      <c r="C1582" s="1" t="s">
        <v>720</v>
      </c>
      <c r="D1582" s="1" t="s">
        <v>715</v>
      </c>
      <c r="E1582" s="1" t="s">
        <v>337</v>
      </c>
      <c r="F1582" s="1">
        <v>26656.799999999999</v>
      </c>
      <c r="G1582" s="1">
        <v>27021.8</v>
      </c>
      <c r="H1582" s="1">
        <v>12148.2</v>
      </c>
      <c r="I1582" s="1">
        <v>-11783.2</v>
      </c>
      <c r="J1582" s="1">
        <v>38804.999999999993</v>
      </c>
      <c r="K1582" s="1">
        <v>140</v>
      </c>
      <c r="L1582" s="1">
        <v>86.772857142857106</v>
      </c>
      <c r="M1582" s="1">
        <v>-135.79361551505571</v>
      </c>
      <c r="N1582" s="7">
        <v>45947</v>
      </c>
      <c r="O1582" s="1">
        <v>365</v>
      </c>
      <c r="P1582" s="7">
        <v>46312</v>
      </c>
      <c r="Q1582" s="1" t="s">
        <v>330</v>
      </c>
      <c r="T1582" s="1" t="s">
        <v>723</v>
      </c>
      <c r="U1582" s="1" t="s">
        <v>724</v>
      </c>
      <c r="V1582" s="1">
        <v>1</v>
      </c>
      <c r="W1582" s="3">
        <v>61500</v>
      </c>
      <c r="X1582" s="3">
        <v>61500</v>
      </c>
      <c r="Y1582" s="1" t="str">
        <f>VLOOKUP(A1582,[1]Detalle!$D$2:$CR$484,93,FALSE)</f>
        <v>Arcor S.A.I.C.</v>
      </c>
    </row>
    <row r="1583" spans="1:25" ht="14.25" customHeight="1" x14ac:dyDescent="0.3">
      <c r="A1583" s="1" t="s">
        <v>698</v>
      </c>
      <c r="B1583" s="1" t="s">
        <v>720</v>
      </c>
      <c r="C1583" s="1" t="s">
        <v>720</v>
      </c>
      <c r="D1583" s="1" t="s">
        <v>715</v>
      </c>
      <c r="E1583" s="1" t="s">
        <v>337</v>
      </c>
      <c r="F1583" s="1">
        <v>26656.799999999999</v>
      </c>
      <c r="G1583" s="1">
        <v>27021.8</v>
      </c>
      <c r="H1583" s="1">
        <v>12148.2</v>
      </c>
      <c r="I1583" s="1">
        <v>-11783.2</v>
      </c>
      <c r="J1583" s="1">
        <v>38804.999999999993</v>
      </c>
      <c r="K1583" s="1">
        <v>140</v>
      </c>
      <c r="L1583" s="1">
        <v>86.772857142857106</v>
      </c>
      <c r="M1583" s="1">
        <v>-135.79361551505571</v>
      </c>
      <c r="N1583" s="7">
        <v>45947</v>
      </c>
      <c r="O1583" s="1">
        <v>365</v>
      </c>
      <c r="P1583" s="7">
        <v>46312</v>
      </c>
      <c r="Q1583" s="1" t="s">
        <v>330</v>
      </c>
      <c r="T1583" s="1" t="s">
        <v>331</v>
      </c>
      <c r="U1583" s="1" t="s">
        <v>332</v>
      </c>
      <c r="V1583" s="1">
        <v>12</v>
      </c>
      <c r="W1583" s="3">
        <v>3389.9</v>
      </c>
      <c r="X1583" s="3">
        <v>40678.800000000003</v>
      </c>
      <c r="Y1583" s="1" t="str">
        <f>VLOOKUP(A1583,[1]Detalle!$D$2:$CR$484,93,FALSE)</f>
        <v>Arcor S.A.I.C.</v>
      </c>
    </row>
    <row r="1584" spans="1:25" ht="14.25" customHeight="1" x14ac:dyDescent="0.3">
      <c r="A1584" s="1" t="s">
        <v>698</v>
      </c>
      <c r="B1584" s="1" t="s">
        <v>720</v>
      </c>
      <c r="C1584" s="1" t="s">
        <v>720</v>
      </c>
      <c r="D1584" s="1" t="s">
        <v>715</v>
      </c>
      <c r="E1584" s="1" t="s">
        <v>337</v>
      </c>
      <c r="F1584" s="1">
        <v>26656.799999999999</v>
      </c>
      <c r="G1584" s="1">
        <v>27021.8</v>
      </c>
      <c r="H1584" s="1">
        <v>12148.2</v>
      </c>
      <c r="I1584" s="1">
        <v>-11783.2</v>
      </c>
      <c r="J1584" s="1">
        <v>38804.999999999993</v>
      </c>
      <c r="K1584" s="1">
        <v>140</v>
      </c>
      <c r="L1584" s="1">
        <v>86.772857142857106</v>
      </c>
      <c r="M1584" s="1">
        <v>-135.79361551505571</v>
      </c>
      <c r="N1584" s="7">
        <v>45947</v>
      </c>
      <c r="O1584" s="1">
        <v>365</v>
      </c>
      <c r="P1584" s="7">
        <v>46312</v>
      </c>
      <c r="Q1584" s="1" t="s">
        <v>330</v>
      </c>
      <c r="T1584" s="1" t="s">
        <v>725</v>
      </c>
      <c r="U1584" s="1" t="s">
        <v>726</v>
      </c>
      <c r="V1584" s="1">
        <v>1</v>
      </c>
      <c r="W1584" s="3">
        <v>14869.65</v>
      </c>
      <c r="X1584" s="3">
        <v>14869.65</v>
      </c>
      <c r="Y1584" s="1" t="str">
        <f>VLOOKUP(A1584,[1]Detalle!$D$2:$CR$484,93,FALSE)</f>
        <v>Arcor S.A.I.C.</v>
      </c>
    </row>
    <row r="1585" spans="1:25" ht="14.25" customHeight="1" x14ac:dyDescent="0.3">
      <c r="A1585" s="1" t="s">
        <v>128</v>
      </c>
      <c r="B1585" s="1" t="s">
        <v>727</v>
      </c>
      <c r="C1585" s="1" t="s">
        <v>727</v>
      </c>
      <c r="D1585" s="1" t="s">
        <v>728</v>
      </c>
      <c r="E1585" s="1" t="s">
        <v>337</v>
      </c>
      <c r="N1585" s="7">
        <v>45947</v>
      </c>
      <c r="O1585" s="1">
        <v>1095</v>
      </c>
      <c r="P1585" s="7">
        <v>46312</v>
      </c>
      <c r="Q1585" s="1" t="s">
        <v>330</v>
      </c>
      <c r="W1585" s="3"/>
      <c r="X1585" s="3">
        <v>0</v>
      </c>
      <c r="Y1585" s="1" t="str">
        <f>VLOOKUP(A1585,[1]Detalle!$D$2:$CR$484,93,FALSE)</f>
        <v>Arcor S.A.I.C.</v>
      </c>
    </row>
    <row r="1586" spans="1:25" ht="14.25" customHeight="1" x14ac:dyDescent="0.3">
      <c r="A1586" s="1" t="s">
        <v>207</v>
      </c>
      <c r="B1586" s="1" t="s">
        <v>727</v>
      </c>
      <c r="C1586" s="1" t="s">
        <v>727</v>
      </c>
      <c r="D1586" s="1" t="s">
        <v>728</v>
      </c>
      <c r="E1586" s="1" t="s">
        <v>337</v>
      </c>
      <c r="N1586" s="7">
        <v>45947</v>
      </c>
      <c r="O1586" s="1">
        <v>1095</v>
      </c>
      <c r="P1586" s="7">
        <v>46312</v>
      </c>
      <c r="Q1586" s="1" t="s">
        <v>330</v>
      </c>
      <c r="W1586" s="3"/>
      <c r="X1586" s="3">
        <v>0</v>
      </c>
      <c r="Y1586" s="1" t="str">
        <f>VLOOKUP(A1586,[1]Detalle!$D$2:$CR$484,93,FALSE)</f>
        <v>Arcor S.A.I.C.</v>
      </c>
    </row>
    <row r="1587" spans="1:25" ht="14.25" customHeight="1" x14ac:dyDescent="0.3">
      <c r="A1587" s="1" t="s">
        <v>208</v>
      </c>
      <c r="B1587" s="1" t="s">
        <v>727</v>
      </c>
      <c r="C1587" s="1" t="s">
        <v>727</v>
      </c>
      <c r="D1587" s="1" t="s">
        <v>728</v>
      </c>
      <c r="E1587" s="1" t="s">
        <v>337</v>
      </c>
      <c r="N1587" s="7">
        <v>45947</v>
      </c>
      <c r="O1587" s="1">
        <v>1095</v>
      </c>
      <c r="P1587" s="7">
        <v>46312</v>
      </c>
      <c r="Q1587" s="1" t="s">
        <v>330</v>
      </c>
      <c r="W1587" s="3"/>
      <c r="X1587" s="3">
        <v>0</v>
      </c>
      <c r="Y1587" s="1" t="str">
        <f>VLOOKUP(A1587,[1]Detalle!$D$2:$CR$484,93,FALSE)</f>
        <v>Arcor S.A.I.C.</v>
      </c>
    </row>
    <row r="1588" spans="1:25" ht="14.25" customHeight="1" x14ac:dyDescent="0.3">
      <c r="A1588" s="1" t="s">
        <v>622</v>
      </c>
      <c r="B1588" s="1" t="s">
        <v>727</v>
      </c>
      <c r="C1588" s="1" t="s">
        <v>727</v>
      </c>
      <c r="D1588" s="1" t="s">
        <v>728</v>
      </c>
      <c r="E1588" s="1" t="s">
        <v>337</v>
      </c>
      <c r="N1588" s="7">
        <v>45947</v>
      </c>
      <c r="O1588" s="1">
        <v>1095</v>
      </c>
      <c r="P1588" s="7">
        <v>46312</v>
      </c>
      <c r="Q1588" s="1" t="s">
        <v>330</v>
      </c>
      <c r="W1588" s="3"/>
      <c r="X1588" s="3">
        <v>0</v>
      </c>
      <c r="Y1588" s="1" t="str">
        <f>VLOOKUP(A1588,[1]Detalle!$D$2:$CR$484,93,FALSE)</f>
        <v>Arcor S.A.I.C.</v>
      </c>
    </row>
    <row r="1589" spans="1:25" ht="14.25" customHeight="1" x14ac:dyDescent="0.3">
      <c r="A1589" s="1" t="s">
        <v>635</v>
      </c>
      <c r="B1589" s="1" t="s">
        <v>727</v>
      </c>
      <c r="C1589" s="1" t="s">
        <v>727</v>
      </c>
      <c r="D1589" s="1" t="s">
        <v>728</v>
      </c>
      <c r="E1589" s="1" t="s">
        <v>337</v>
      </c>
      <c r="N1589" s="7">
        <v>45947</v>
      </c>
      <c r="O1589" s="1">
        <v>1095</v>
      </c>
      <c r="P1589" s="7">
        <v>46312</v>
      </c>
      <c r="Q1589" s="1" t="s">
        <v>330</v>
      </c>
      <c r="W1589" s="3"/>
      <c r="X1589" s="3">
        <v>0</v>
      </c>
      <c r="Y1589" s="1" t="str">
        <f>VLOOKUP(A1589,[1]Detalle!$D$2:$CR$484,93,FALSE)</f>
        <v>Arcor S.A.I.C.</v>
      </c>
    </row>
    <row r="1590" spans="1:25" ht="14.25" customHeight="1" x14ac:dyDescent="0.3">
      <c r="A1590" s="1" t="s">
        <v>87</v>
      </c>
      <c r="B1590" s="1" t="s">
        <v>727</v>
      </c>
      <c r="C1590" s="1" t="s">
        <v>727</v>
      </c>
      <c r="D1590" s="1" t="s">
        <v>728</v>
      </c>
      <c r="E1590" s="1" t="s">
        <v>337</v>
      </c>
      <c r="N1590" s="7">
        <v>45947</v>
      </c>
      <c r="O1590" s="1">
        <v>1095</v>
      </c>
      <c r="P1590" s="7">
        <v>46312</v>
      </c>
      <c r="Q1590" s="1" t="s">
        <v>330</v>
      </c>
      <c r="W1590" s="3"/>
      <c r="X1590" s="3">
        <v>0</v>
      </c>
      <c r="Y1590" s="1" t="str">
        <f>VLOOKUP(A1590,[1]Detalle!$D$2:$CR$484,93,FALSE)</f>
        <v>Arcor S.A.I.C.</v>
      </c>
    </row>
    <row r="1591" spans="1:25" ht="14.25" customHeight="1" x14ac:dyDescent="0.3">
      <c r="A1591" s="1" t="s">
        <v>636</v>
      </c>
      <c r="B1591" s="1" t="s">
        <v>727</v>
      </c>
      <c r="C1591" s="1" t="s">
        <v>727</v>
      </c>
      <c r="D1591" s="1" t="s">
        <v>728</v>
      </c>
      <c r="E1591" s="1" t="s">
        <v>337</v>
      </c>
      <c r="N1591" s="7">
        <v>45947</v>
      </c>
      <c r="O1591" s="1">
        <v>1095</v>
      </c>
      <c r="P1591" s="7">
        <v>46312</v>
      </c>
      <c r="Q1591" s="1" t="s">
        <v>330</v>
      </c>
      <c r="W1591" s="3"/>
      <c r="X1591" s="3">
        <v>0</v>
      </c>
      <c r="Y1591" s="1" t="str">
        <f>VLOOKUP(A1591,[1]Detalle!$D$2:$CR$484,93,FALSE)</f>
        <v>Arcor S.A.I.C.</v>
      </c>
    </row>
    <row r="1592" spans="1:25" ht="14.25" customHeight="1" x14ac:dyDescent="0.3">
      <c r="A1592" s="1" t="s">
        <v>637</v>
      </c>
      <c r="B1592" s="1" t="s">
        <v>727</v>
      </c>
      <c r="C1592" s="1" t="s">
        <v>727</v>
      </c>
      <c r="D1592" s="1" t="s">
        <v>728</v>
      </c>
      <c r="E1592" s="1" t="s">
        <v>337</v>
      </c>
      <c r="N1592" s="7">
        <v>45947</v>
      </c>
      <c r="O1592" s="1">
        <v>1095</v>
      </c>
      <c r="P1592" s="7">
        <v>46312</v>
      </c>
      <c r="Q1592" s="1" t="s">
        <v>330</v>
      </c>
      <c r="W1592" s="3"/>
      <c r="X1592" s="3">
        <v>0</v>
      </c>
      <c r="Y1592" s="1" t="str">
        <f>VLOOKUP(A1592,[1]Detalle!$D$2:$CR$484,93,FALSE)</f>
        <v>Arcor S.A.I.C.</v>
      </c>
    </row>
    <row r="1593" spans="1:25" ht="14.25" customHeight="1" x14ac:dyDescent="0.3">
      <c r="A1593" s="1" t="s">
        <v>638</v>
      </c>
      <c r="B1593" s="1" t="s">
        <v>727</v>
      </c>
      <c r="C1593" s="1" t="s">
        <v>727</v>
      </c>
      <c r="D1593" s="1" t="s">
        <v>728</v>
      </c>
      <c r="E1593" s="1" t="s">
        <v>337</v>
      </c>
      <c r="N1593" s="7">
        <v>45947</v>
      </c>
      <c r="O1593" s="1">
        <v>1095</v>
      </c>
      <c r="P1593" s="7">
        <v>46312</v>
      </c>
      <c r="Q1593" s="1" t="s">
        <v>330</v>
      </c>
      <c r="W1593" s="3"/>
      <c r="X1593" s="3">
        <v>0</v>
      </c>
      <c r="Y1593" s="1" t="str">
        <f>VLOOKUP(A1593,[1]Detalle!$D$2:$CR$484,93,FALSE)</f>
        <v>Arcor S.A.I.C.</v>
      </c>
    </row>
    <row r="1594" spans="1:25" ht="14.25" customHeight="1" x14ac:dyDescent="0.3">
      <c r="A1594" s="1" t="s">
        <v>171</v>
      </c>
      <c r="B1594" s="1" t="s">
        <v>727</v>
      </c>
      <c r="C1594" s="1" t="s">
        <v>727</v>
      </c>
      <c r="D1594" s="1" t="s">
        <v>728</v>
      </c>
      <c r="E1594" s="1" t="s">
        <v>337</v>
      </c>
      <c r="N1594" s="7">
        <v>45947</v>
      </c>
      <c r="O1594" s="1">
        <v>1095</v>
      </c>
      <c r="P1594" s="7">
        <v>46312</v>
      </c>
      <c r="Q1594" s="1" t="s">
        <v>330</v>
      </c>
      <c r="W1594" s="3"/>
      <c r="X1594" s="3">
        <v>0</v>
      </c>
      <c r="Y1594" s="1" t="str">
        <f>VLOOKUP(A1594,[1]Detalle!$D$2:$CR$484,93,FALSE)</f>
        <v>CENCO_MZ - Cencosud SA - Mendoza</v>
      </c>
    </row>
    <row r="1595" spans="1:25" ht="14.25" customHeight="1" x14ac:dyDescent="0.3">
      <c r="A1595" s="1" t="s">
        <v>172</v>
      </c>
      <c r="B1595" s="1" t="s">
        <v>727</v>
      </c>
      <c r="C1595" s="1" t="s">
        <v>727</v>
      </c>
      <c r="D1595" s="1" t="s">
        <v>728</v>
      </c>
      <c r="E1595" s="1" t="s">
        <v>337</v>
      </c>
      <c r="N1595" s="7">
        <v>45947</v>
      </c>
      <c r="O1595" s="1">
        <v>1095</v>
      </c>
      <c r="P1595" s="7">
        <v>46312</v>
      </c>
      <c r="Q1595" s="1" t="s">
        <v>330</v>
      </c>
      <c r="W1595" s="3"/>
      <c r="X1595" s="3">
        <v>0</v>
      </c>
      <c r="Y1595" s="1" t="str">
        <f>VLOOKUP(A1595,[1]Detalle!$D$2:$CR$484,93,FALSE)</f>
        <v>CENCO_MZ - Cencosud SA - Mendoza</v>
      </c>
    </row>
    <row r="1596" spans="1:25" ht="14.25" customHeight="1" x14ac:dyDescent="0.3">
      <c r="A1596" s="1" t="s">
        <v>209</v>
      </c>
      <c r="B1596" s="1" t="s">
        <v>727</v>
      </c>
      <c r="C1596" s="1" t="s">
        <v>727</v>
      </c>
      <c r="D1596" s="1" t="s">
        <v>728</v>
      </c>
      <c r="E1596" s="1" t="s">
        <v>337</v>
      </c>
      <c r="N1596" s="7">
        <v>45947</v>
      </c>
      <c r="O1596" s="1">
        <v>1095</v>
      </c>
      <c r="P1596" s="7">
        <v>46312</v>
      </c>
      <c r="Q1596" s="1" t="s">
        <v>330</v>
      </c>
      <c r="W1596" s="3"/>
      <c r="X1596" s="3">
        <v>0</v>
      </c>
      <c r="Y1596" s="1" t="str">
        <f>VLOOKUP(A1596,[1]Detalle!$D$2:$CR$484,93,FALSE)</f>
        <v>CENCO_MZ - Cencosud SA - Mendoza</v>
      </c>
    </row>
    <row r="1597" spans="1:25" ht="14.25" customHeight="1" x14ac:dyDescent="0.3">
      <c r="A1597" s="1" t="s">
        <v>74</v>
      </c>
      <c r="B1597" s="1" t="s">
        <v>727</v>
      </c>
      <c r="C1597" s="1" t="s">
        <v>727</v>
      </c>
      <c r="D1597" s="1" t="s">
        <v>728</v>
      </c>
      <c r="E1597" s="1" t="s">
        <v>337</v>
      </c>
      <c r="N1597" s="7">
        <v>45947</v>
      </c>
      <c r="O1597" s="1">
        <v>1095</v>
      </c>
      <c r="P1597" s="7">
        <v>46312</v>
      </c>
      <c r="Q1597" s="1" t="s">
        <v>330</v>
      </c>
      <c r="W1597" s="3"/>
      <c r="X1597" s="3">
        <v>0</v>
      </c>
      <c r="Y1597" s="1" t="str">
        <f>VLOOKUP(A1597,[1]Detalle!$D$2:$CR$484,93,FALSE)</f>
        <v>CENCO_MZ - Cencosud SA - Mendoza</v>
      </c>
    </row>
    <row r="1598" spans="1:25" ht="14.25" customHeight="1" x14ac:dyDescent="0.3">
      <c r="A1598" s="1" t="s">
        <v>82</v>
      </c>
      <c r="B1598" s="1" t="s">
        <v>727</v>
      </c>
      <c r="C1598" s="1" t="s">
        <v>727</v>
      </c>
      <c r="D1598" s="1" t="s">
        <v>728</v>
      </c>
      <c r="E1598" s="1" t="s">
        <v>337</v>
      </c>
      <c r="N1598" s="7">
        <v>45947</v>
      </c>
      <c r="O1598" s="1">
        <v>1095</v>
      </c>
      <c r="P1598" s="7">
        <v>46312</v>
      </c>
      <c r="Q1598" s="1" t="s">
        <v>330</v>
      </c>
      <c r="W1598" s="3"/>
      <c r="X1598" s="3">
        <v>0</v>
      </c>
      <c r="Y1598" s="1" t="str">
        <f>VLOOKUP(A1598,[1]Detalle!$D$2:$CR$484,93,FALSE)</f>
        <v>CENCO_MZ - Cencosud SA - Mendoza</v>
      </c>
    </row>
    <row r="1599" spans="1:25" ht="14.25" customHeight="1" x14ac:dyDescent="0.3">
      <c r="A1599" s="1" t="s">
        <v>160</v>
      </c>
      <c r="B1599" s="1" t="s">
        <v>727</v>
      </c>
      <c r="C1599" s="1" t="s">
        <v>727</v>
      </c>
      <c r="D1599" s="1" t="s">
        <v>728</v>
      </c>
      <c r="E1599" s="1" t="s">
        <v>337</v>
      </c>
      <c r="N1599" s="7">
        <v>45947</v>
      </c>
      <c r="O1599" s="1">
        <v>1095</v>
      </c>
      <c r="P1599" s="7">
        <v>46312</v>
      </c>
      <c r="Q1599" s="1" t="s">
        <v>330</v>
      </c>
      <c r="W1599" s="3"/>
      <c r="X1599" s="3">
        <v>0</v>
      </c>
      <c r="Y1599" s="1" t="str">
        <f>VLOOKUP(A1599,[1]Detalle!$D$2:$CR$484,93,FALSE)</f>
        <v>CENCO_SJ - Cencosud SA - San Juan</v>
      </c>
    </row>
    <row r="1600" spans="1:25" ht="14.25" customHeight="1" x14ac:dyDescent="0.3">
      <c r="A1600" s="1" t="s">
        <v>185</v>
      </c>
      <c r="B1600" s="1" t="s">
        <v>727</v>
      </c>
      <c r="C1600" s="1" t="s">
        <v>727</v>
      </c>
      <c r="D1600" s="1" t="s">
        <v>728</v>
      </c>
      <c r="E1600" s="1" t="s">
        <v>337</v>
      </c>
      <c r="N1600" s="7">
        <v>45947</v>
      </c>
      <c r="O1600" s="1">
        <v>1095</v>
      </c>
      <c r="P1600" s="7">
        <v>46312</v>
      </c>
      <c r="Q1600" s="1" t="s">
        <v>330</v>
      </c>
      <c r="W1600" s="3"/>
      <c r="X1600" s="3">
        <v>0</v>
      </c>
      <c r="Y1600" s="1" t="str">
        <f>VLOOKUP(A1600,[1]Detalle!$D$2:$CR$484,93,FALSE)</f>
        <v>CENCO_SJ - Cencosud SA - San Juan</v>
      </c>
    </row>
    <row r="1601" spans="1:25" ht="14.25" customHeight="1" x14ac:dyDescent="0.3">
      <c r="A1601" s="1" t="s">
        <v>15</v>
      </c>
      <c r="B1601" s="1" t="s">
        <v>727</v>
      </c>
      <c r="C1601" s="1" t="s">
        <v>727</v>
      </c>
      <c r="D1601" s="1" t="s">
        <v>728</v>
      </c>
      <c r="E1601" s="1" t="s">
        <v>337</v>
      </c>
      <c r="N1601" s="7">
        <v>45947</v>
      </c>
      <c r="O1601" s="1">
        <v>1095</v>
      </c>
      <c r="P1601" s="7">
        <v>46312</v>
      </c>
      <c r="Q1601" s="1" t="s">
        <v>330</v>
      </c>
      <c r="W1601" s="3"/>
      <c r="X1601" s="3">
        <v>0</v>
      </c>
      <c r="Y1601" s="1" t="str">
        <f>VLOOKUP(A1601,[1]Detalle!$D$2:$CR$484,93,FALSE)</f>
        <v>CENCOMLD - Cencosud SA - Mendoza</v>
      </c>
    </row>
    <row r="1602" spans="1:25" ht="14.25" customHeight="1" x14ac:dyDescent="0.3">
      <c r="A1602" s="1" t="s">
        <v>133</v>
      </c>
      <c r="B1602" s="1" t="s">
        <v>727</v>
      </c>
      <c r="C1602" s="1" t="s">
        <v>727</v>
      </c>
      <c r="D1602" s="1" t="s">
        <v>728</v>
      </c>
      <c r="E1602" s="1" t="s">
        <v>337</v>
      </c>
      <c r="N1602" s="7">
        <v>45947</v>
      </c>
      <c r="O1602" s="1">
        <v>1095</v>
      </c>
      <c r="P1602" s="7">
        <v>46312</v>
      </c>
      <c r="Q1602" s="1" t="s">
        <v>330</v>
      </c>
      <c r="W1602" s="3"/>
      <c r="X1602" s="3">
        <v>0</v>
      </c>
      <c r="Y1602" s="1" t="str">
        <f>VLOOKUP(A1602,[1]Detalle!$D$2:$CR$484,93,FALSE)</f>
        <v>CENCOMLD - Cencosud SA - Mendoza</v>
      </c>
    </row>
    <row r="1603" spans="1:25" ht="14.25" customHeight="1" x14ac:dyDescent="0.3">
      <c r="A1603" s="1" t="s">
        <v>621</v>
      </c>
      <c r="B1603" s="1" t="s">
        <v>727</v>
      </c>
      <c r="C1603" s="1" t="s">
        <v>727</v>
      </c>
      <c r="D1603" s="1" t="s">
        <v>728</v>
      </c>
      <c r="E1603" s="1" t="s">
        <v>337</v>
      </c>
      <c r="N1603" s="7">
        <v>45947</v>
      </c>
      <c r="O1603" s="1">
        <v>1095</v>
      </c>
      <c r="P1603" s="7">
        <v>46312</v>
      </c>
      <c r="Q1603" s="1" t="s">
        <v>330</v>
      </c>
      <c r="W1603" s="3"/>
      <c r="X1603" s="3">
        <v>0</v>
      </c>
      <c r="Y1603" s="1" t="str">
        <f>VLOOKUP(A1603,[1]Detalle!$D$2:$CR$484,93,FALSE)</f>
        <v>CENCOMLD - Cencosud SA - Mendoza</v>
      </c>
    </row>
    <row r="1604" spans="1:25" ht="14.25" customHeight="1" x14ac:dyDescent="0.3">
      <c r="A1604" s="1" t="s">
        <v>641</v>
      </c>
      <c r="B1604" s="1" t="s">
        <v>727</v>
      </c>
      <c r="C1604" s="1" t="s">
        <v>727</v>
      </c>
      <c r="D1604" s="1" t="s">
        <v>728</v>
      </c>
      <c r="E1604" s="1" t="s">
        <v>337</v>
      </c>
      <c r="N1604" s="7">
        <v>45947</v>
      </c>
      <c r="O1604" s="1">
        <v>1095</v>
      </c>
      <c r="P1604" s="7">
        <v>46312</v>
      </c>
      <c r="Q1604" s="1" t="s">
        <v>330</v>
      </c>
      <c r="W1604" s="3"/>
      <c r="X1604" s="3">
        <v>0</v>
      </c>
      <c r="Y1604" s="1" t="str">
        <f>VLOOKUP(A1604,[1]Detalle!$D$2:$CR$484,93,FALSE)</f>
        <v>CENCOMLD - Cencosud SA - Mendoza</v>
      </c>
    </row>
    <row r="1605" spans="1:25" ht="14.25" customHeight="1" x14ac:dyDescent="0.3">
      <c r="A1605" s="1" t="s">
        <v>236</v>
      </c>
      <c r="B1605" s="1" t="s">
        <v>727</v>
      </c>
      <c r="C1605" s="1" t="s">
        <v>727</v>
      </c>
      <c r="D1605" s="1" t="s">
        <v>728</v>
      </c>
      <c r="E1605" s="1" t="s">
        <v>337</v>
      </c>
      <c r="N1605" s="7">
        <v>45947</v>
      </c>
      <c r="O1605" s="1">
        <v>1095</v>
      </c>
      <c r="P1605" s="7">
        <v>46312</v>
      </c>
      <c r="Q1605" s="1" t="s">
        <v>330</v>
      </c>
      <c r="W1605" s="3"/>
      <c r="X1605" s="3">
        <v>0</v>
      </c>
      <c r="Y1605" s="1" t="str">
        <f>VLOOKUP(A1605,[1]Detalle!$D$2:$CR$484,93,FALSE)</f>
        <v>CENCOMLD - Cencosud SA - Mendoza</v>
      </c>
    </row>
    <row r="1606" spans="1:25" ht="14.25" customHeight="1" x14ac:dyDescent="0.3">
      <c r="A1606" s="1" t="s">
        <v>235</v>
      </c>
      <c r="B1606" s="1" t="s">
        <v>727</v>
      </c>
      <c r="C1606" s="1" t="s">
        <v>727</v>
      </c>
      <c r="D1606" s="1" t="s">
        <v>728</v>
      </c>
      <c r="E1606" s="1" t="s">
        <v>337</v>
      </c>
      <c r="N1606" s="7">
        <v>45947</v>
      </c>
      <c r="O1606" s="1">
        <v>1095</v>
      </c>
      <c r="P1606" s="7">
        <v>46312</v>
      </c>
      <c r="Q1606" s="1" t="s">
        <v>330</v>
      </c>
      <c r="W1606" s="3"/>
      <c r="X1606" s="3">
        <v>0</v>
      </c>
      <c r="Y1606" s="1" t="str">
        <f>VLOOKUP(A1606,[1]Detalle!$D$2:$CR$484,93,FALSE)</f>
        <v>CENCOMLD - Cencosud SA - Mendoza</v>
      </c>
    </row>
    <row r="1607" spans="1:25" ht="14.25" customHeight="1" x14ac:dyDescent="0.3">
      <c r="A1607" s="1" t="s">
        <v>273</v>
      </c>
      <c r="B1607" s="1" t="s">
        <v>727</v>
      </c>
      <c r="C1607" s="1" t="s">
        <v>727</v>
      </c>
      <c r="D1607" s="1" t="s">
        <v>728</v>
      </c>
      <c r="E1607" s="1" t="s">
        <v>337</v>
      </c>
      <c r="N1607" s="7">
        <v>45947</v>
      </c>
      <c r="O1607" s="1">
        <v>1095</v>
      </c>
      <c r="P1607" s="7">
        <v>46312</v>
      </c>
      <c r="Q1607" s="1" t="s">
        <v>330</v>
      </c>
      <c r="W1607" s="3"/>
      <c r="X1607" s="3">
        <v>0</v>
      </c>
      <c r="Y1607" s="1" t="str">
        <f>VLOOKUP(A1607,[1]Detalle!$D$2:$CR$484,93,FALSE)</f>
        <v>CENCO_MZ - Cencosud SA - Mendoza</v>
      </c>
    </row>
    <row r="1608" spans="1:25" ht="14.25" customHeight="1" x14ac:dyDescent="0.3">
      <c r="A1608" s="1" t="s">
        <v>646</v>
      </c>
      <c r="B1608" s="1" t="s">
        <v>727</v>
      </c>
      <c r="C1608" s="1" t="s">
        <v>727</v>
      </c>
      <c r="D1608" s="1" t="s">
        <v>728</v>
      </c>
      <c r="E1608" s="1" t="s">
        <v>337</v>
      </c>
      <c r="N1608" s="7">
        <v>45947</v>
      </c>
      <c r="O1608" s="1">
        <v>1095</v>
      </c>
      <c r="P1608" s="7">
        <v>46312</v>
      </c>
      <c r="Q1608" s="1" t="s">
        <v>330</v>
      </c>
      <c r="W1608" s="3"/>
      <c r="X1608" s="3">
        <v>0</v>
      </c>
      <c r="Y1608" s="1" t="str">
        <f>VLOOKUP(A1608,[1]Detalle!$D$2:$CR$484,93,FALSE)</f>
        <v>CENCOMLD - Cencosud SA - Mendoza</v>
      </c>
    </row>
    <row r="1609" spans="1:25" ht="14.25" customHeight="1" x14ac:dyDescent="0.3">
      <c r="A1609" s="1" t="s">
        <v>647</v>
      </c>
      <c r="B1609" s="1" t="s">
        <v>727</v>
      </c>
      <c r="C1609" s="1" t="s">
        <v>727</v>
      </c>
      <c r="D1609" s="1" t="s">
        <v>728</v>
      </c>
      <c r="E1609" s="1" t="s">
        <v>337</v>
      </c>
      <c r="N1609" s="7">
        <v>45947</v>
      </c>
      <c r="O1609" s="1">
        <v>1095</v>
      </c>
      <c r="P1609" s="7">
        <v>46312</v>
      </c>
      <c r="Q1609" s="1" t="s">
        <v>330</v>
      </c>
      <c r="W1609" s="3"/>
      <c r="X1609" s="3">
        <v>0</v>
      </c>
      <c r="Y1609" s="1" t="str">
        <f>VLOOKUP(A1609,[1]Detalle!$D$2:$CR$484,93,FALSE)</f>
        <v>CENCOMLD - Cencosud SA - Mendoza</v>
      </c>
    </row>
    <row r="1610" spans="1:25" ht="14.25" customHeight="1" x14ac:dyDescent="0.3">
      <c r="A1610" s="1" t="s">
        <v>648</v>
      </c>
      <c r="B1610" s="1" t="s">
        <v>727</v>
      </c>
      <c r="C1610" s="1" t="s">
        <v>727</v>
      </c>
      <c r="D1610" s="1" t="s">
        <v>728</v>
      </c>
      <c r="E1610" s="1" t="s">
        <v>337</v>
      </c>
      <c r="N1610" s="7">
        <v>45947</v>
      </c>
      <c r="O1610" s="1">
        <v>1095</v>
      </c>
      <c r="P1610" s="7">
        <v>46312</v>
      </c>
      <c r="Q1610" s="1" t="s">
        <v>330</v>
      </c>
      <c r="W1610" s="3"/>
      <c r="X1610" s="3">
        <v>0</v>
      </c>
      <c r="Y1610" s="1" t="str">
        <f>VLOOKUP(A1610,[1]Detalle!$D$2:$CR$484,93,FALSE)</f>
        <v>CENCOMLD - Cencosud SA - Mendoza</v>
      </c>
    </row>
    <row r="1611" spans="1:25" ht="14.25" customHeight="1" x14ac:dyDescent="0.3">
      <c r="A1611" s="1" t="s">
        <v>143</v>
      </c>
      <c r="B1611" s="1" t="s">
        <v>727</v>
      </c>
      <c r="C1611" s="1" t="s">
        <v>727</v>
      </c>
      <c r="D1611" s="1" t="s">
        <v>728</v>
      </c>
      <c r="E1611" s="1" t="s">
        <v>337</v>
      </c>
      <c r="N1611" s="7">
        <v>45947</v>
      </c>
      <c r="O1611" s="1">
        <v>1095</v>
      </c>
      <c r="P1611" s="7">
        <v>46312</v>
      </c>
      <c r="Q1611" s="1" t="s">
        <v>330</v>
      </c>
      <c r="W1611" s="3"/>
      <c r="X1611" s="3">
        <v>0</v>
      </c>
      <c r="Y1611" s="1" t="str">
        <f>VLOOKUP(A1611,[1]Detalle!$D$2:$CR$484,93,FALSE)</f>
        <v>Arcor S.A.I.C.</v>
      </c>
    </row>
    <row r="1612" spans="1:25" ht="14.25" customHeight="1" x14ac:dyDescent="0.3">
      <c r="A1612" s="1" t="s">
        <v>697</v>
      </c>
      <c r="B1612" s="1" t="s">
        <v>727</v>
      </c>
      <c r="C1612" s="1" t="s">
        <v>727</v>
      </c>
      <c r="D1612" s="1" t="s">
        <v>728</v>
      </c>
      <c r="E1612" s="1" t="s">
        <v>337</v>
      </c>
      <c r="N1612" s="7">
        <v>45947</v>
      </c>
      <c r="O1612" s="1">
        <v>1095</v>
      </c>
      <c r="P1612" s="7">
        <v>46312</v>
      </c>
      <c r="Q1612" s="1" t="s">
        <v>330</v>
      </c>
      <c r="W1612" s="3"/>
      <c r="X1612" s="3">
        <v>0</v>
      </c>
      <c r="Y1612" s="1" t="str">
        <f>VLOOKUP(A1612,[1]Detalle!$D$2:$CR$484,93,FALSE)</f>
        <v>Arcor S.A.I.C.</v>
      </c>
    </row>
    <row r="1613" spans="1:25" ht="14.25" customHeight="1" x14ac:dyDescent="0.3">
      <c r="A1613" s="1" t="s">
        <v>698</v>
      </c>
      <c r="B1613" s="1" t="s">
        <v>727</v>
      </c>
      <c r="C1613" s="1" t="s">
        <v>727</v>
      </c>
      <c r="D1613" s="1" t="s">
        <v>728</v>
      </c>
      <c r="E1613" s="1" t="s">
        <v>337</v>
      </c>
      <c r="N1613" s="7">
        <v>45947</v>
      </c>
      <c r="O1613" s="1">
        <v>1095</v>
      </c>
      <c r="P1613" s="7">
        <v>46312</v>
      </c>
      <c r="Q1613" s="1" t="s">
        <v>330</v>
      </c>
      <c r="W1613" s="3"/>
      <c r="X1613" s="3">
        <v>0</v>
      </c>
      <c r="Y1613" s="1" t="str">
        <f>VLOOKUP(A1613,[1]Detalle!$D$2:$CR$484,93,FALSE)</f>
        <v>Arcor S.A.I.C.</v>
      </c>
    </row>
    <row r="1614" spans="1:25" ht="14.25" customHeight="1" x14ac:dyDescent="0.3">
      <c r="A1614" s="1" t="s">
        <v>20</v>
      </c>
      <c r="B1614" s="1" t="s">
        <v>355</v>
      </c>
      <c r="C1614" s="1" t="s">
        <v>355</v>
      </c>
      <c r="D1614" s="1" t="s">
        <v>329</v>
      </c>
      <c r="E1614" s="6">
        <v>45923</v>
      </c>
      <c r="F1614" s="1">
        <v>139096</v>
      </c>
      <c r="G1614" s="1">
        <v>149096</v>
      </c>
      <c r="H1614" s="1">
        <v>601.90000000000009</v>
      </c>
      <c r="I1614" s="1">
        <v>9398.1</v>
      </c>
      <c r="J1614" s="1">
        <v>139697.9</v>
      </c>
      <c r="K1614" s="1">
        <v>24</v>
      </c>
      <c r="L1614" s="1">
        <v>99.244569288389528</v>
      </c>
      <c r="M1614" s="1">
        <v>374.7373317826881</v>
      </c>
      <c r="N1614" s="7">
        <v>45947</v>
      </c>
      <c r="O1614" s="1">
        <v>10000</v>
      </c>
      <c r="P1614" s="7">
        <v>46321.737331782409</v>
      </c>
      <c r="Q1614" s="1" t="s">
        <v>330</v>
      </c>
      <c r="T1614" s="1" t="s">
        <v>356</v>
      </c>
      <c r="U1614" s="1" t="s">
        <v>357</v>
      </c>
      <c r="V1614" s="1">
        <v>1</v>
      </c>
      <c r="W1614" s="3">
        <v>11782.62</v>
      </c>
      <c r="X1614" s="3">
        <v>11782.62</v>
      </c>
      <c r="Y1614" s="1" t="str">
        <f>VLOOKUP(A1614,[1]Detalle!$D$2:$CR$484,93,FALSE)</f>
        <v>SUC_MEN - Sucursal Mendoza</v>
      </c>
    </row>
    <row r="1615" spans="1:25" ht="14.25" customHeight="1" x14ac:dyDescent="0.3">
      <c r="A1615" s="1" t="s">
        <v>20</v>
      </c>
      <c r="B1615" s="1" t="s">
        <v>358</v>
      </c>
      <c r="C1615" s="1" t="s">
        <v>358</v>
      </c>
      <c r="D1615" s="1" t="s">
        <v>359</v>
      </c>
      <c r="E1615" s="6">
        <v>45923</v>
      </c>
      <c r="F1615" s="1">
        <v>139096</v>
      </c>
      <c r="G1615" s="1">
        <v>149096</v>
      </c>
      <c r="H1615" s="1">
        <v>601.90000000000009</v>
      </c>
      <c r="I1615" s="1">
        <v>9398.1</v>
      </c>
      <c r="J1615" s="1">
        <v>139697.9</v>
      </c>
      <c r="K1615" s="1">
        <v>24</v>
      </c>
      <c r="L1615" s="1">
        <v>99.244569288389528</v>
      </c>
      <c r="M1615" s="1">
        <v>374.7373317826881</v>
      </c>
      <c r="N1615" s="7">
        <v>45947</v>
      </c>
      <c r="O1615" s="1">
        <v>10000</v>
      </c>
      <c r="P1615" s="7">
        <v>46321.737331782409</v>
      </c>
      <c r="Q1615" s="1" t="s">
        <v>330</v>
      </c>
      <c r="T1615" s="1" t="s">
        <v>360</v>
      </c>
      <c r="U1615" s="1" t="s">
        <v>361</v>
      </c>
      <c r="V1615" s="1">
        <v>1</v>
      </c>
      <c r="W1615" s="3">
        <v>20353.939999999999</v>
      </c>
      <c r="X1615" s="3">
        <v>20353.939999999999</v>
      </c>
      <c r="Y1615" s="1" t="str">
        <f>VLOOKUP(A1615,[1]Detalle!$D$2:$CR$484,93,FALSE)</f>
        <v>SUC_MEN - Sucursal Mendoza</v>
      </c>
    </row>
    <row r="1616" spans="1:25" ht="14.25" customHeight="1" x14ac:dyDescent="0.3">
      <c r="A1616" s="1" t="s">
        <v>37</v>
      </c>
      <c r="B1616" s="1" t="s">
        <v>355</v>
      </c>
      <c r="C1616" s="1" t="s">
        <v>355</v>
      </c>
      <c r="D1616" s="1" t="s">
        <v>329</v>
      </c>
      <c r="E1616" s="6">
        <v>45859</v>
      </c>
      <c r="F1616" s="1">
        <v>24642.400000000001</v>
      </c>
      <c r="G1616" s="1">
        <v>34642.400000000001</v>
      </c>
      <c r="H1616" s="1">
        <v>5862.9999999999991</v>
      </c>
      <c r="I1616" s="1">
        <v>4137.0000000000009</v>
      </c>
      <c r="J1616" s="1">
        <v>30505.4</v>
      </c>
      <c r="K1616" s="1">
        <v>88</v>
      </c>
      <c r="L1616" s="1">
        <v>74.610410447761154</v>
      </c>
      <c r="M1616" s="1">
        <v>62.093808630394022</v>
      </c>
      <c r="N1616" s="7">
        <v>45947</v>
      </c>
      <c r="O1616" s="1">
        <v>10000</v>
      </c>
      <c r="P1616" s="7">
        <v>46143.123362141203</v>
      </c>
      <c r="Q1616" s="1" t="s">
        <v>330</v>
      </c>
      <c r="T1616" s="1" t="s">
        <v>363</v>
      </c>
      <c r="U1616" s="1" t="s">
        <v>364</v>
      </c>
      <c r="V1616" s="1">
        <v>1</v>
      </c>
      <c r="W1616" s="3">
        <v>12001.14</v>
      </c>
      <c r="X1616" s="3">
        <v>12001.14</v>
      </c>
      <c r="Y1616" s="1" t="str">
        <f>VLOOKUP(A1616,[1]Detalle!$D$2:$CR$484,93,FALSE)</f>
        <v>SUC_ROS - Sucursal Rosario</v>
      </c>
    </row>
    <row r="1617" spans="1:25" ht="14.25" customHeight="1" x14ac:dyDescent="0.3">
      <c r="A1617" s="1" t="s">
        <v>38</v>
      </c>
      <c r="B1617" s="1" t="s">
        <v>355</v>
      </c>
      <c r="C1617" s="1" t="s">
        <v>355</v>
      </c>
      <c r="D1617" s="1" t="s">
        <v>329</v>
      </c>
      <c r="E1617" s="1" t="s">
        <v>337</v>
      </c>
      <c r="F1617" s="1">
        <v>19099.3</v>
      </c>
      <c r="G1617" s="1">
        <v>29099.3</v>
      </c>
      <c r="H1617" s="1">
        <v>4604.5000000000009</v>
      </c>
      <c r="I1617" s="1">
        <v>5395.4999999999991</v>
      </c>
      <c r="J1617" s="1">
        <v>23703.8</v>
      </c>
      <c r="K1617" s="1">
        <v>67</v>
      </c>
      <c r="L1617" s="1">
        <v>63.391962962962928</v>
      </c>
      <c r="M1617" s="1">
        <v>78.509827342816777</v>
      </c>
      <c r="N1617" s="7">
        <v>45947</v>
      </c>
      <c r="O1617" s="1">
        <v>10000</v>
      </c>
      <c r="P1617" s="7">
        <v>46025.509827337963</v>
      </c>
      <c r="Q1617" s="1" t="s">
        <v>330</v>
      </c>
      <c r="T1617" s="1" t="s">
        <v>363</v>
      </c>
      <c r="U1617" s="1" t="s">
        <v>364</v>
      </c>
      <c r="V1617" s="1">
        <v>1</v>
      </c>
      <c r="W1617" s="3">
        <v>12001.14</v>
      </c>
      <c r="X1617" s="3">
        <v>12001.14</v>
      </c>
      <c r="Y1617" s="1" t="str">
        <f>VLOOKUP(A1617,[1]Detalle!$D$2:$CR$484,93,FALSE)</f>
        <v>SUC_SRA - Sucursal San Rafael</v>
      </c>
    </row>
    <row r="1618" spans="1:25" ht="14.25" customHeight="1" x14ac:dyDescent="0.3">
      <c r="A1618" s="1" t="s">
        <v>20</v>
      </c>
      <c r="B1618" s="1" t="s">
        <v>365</v>
      </c>
      <c r="C1618" s="1" t="s">
        <v>365</v>
      </c>
      <c r="D1618" s="1" t="s">
        <v>366</v>
      </c>
      <c r="E1618" s="6">
        <v>45923</v>
      </c>
      <c r="F1618" s="1">
        <v>139096</v>
      </c>
      <c r="G1618" s="1">
        <v>149096</v>
      </c>
      <c r="H1618" s="1">
        <v>601.90000000000009</v>
      </c>
      <c r="I1618" s="1">
        <v>9398.1</v>
      </c>
      <c r="J1618" s="1">
        <v>139697.9</v>
      </c>
      <c r="K1618" s="1">
        <v>24</v>
      </c>
      <c r="L1618" s="1">
        <v>99.244569288389528</v>
      </c>
      <c r="M1618" s="1">
        <v>374.7373317826881</v>
      </c>
      <c r="N1618" s="7">
        <v>45947</v>
      </c>
      <c r="O1618" s="1">
        <v>10000</v>
      </c>
      <c r="P1618" s="7">
        <v>46321.737331782409</v>
      </c>
      <c r="Q1618" s="1" t="s">
        <v>330</v>
      </c>
      <c r="T1618" s="1" t="s">
        <v>367</v>
      </c>
      <c r="U1618" s="1" t="s">
        <v>368</v>
      </c>
      <c r="V1618" s="1">
        <v>1</v>
      </c>
      <c r="W1618" s="3">
        <v>11957.23</v>
      </c>
      <c r="X1618" s="3">
        <v>11957.23</v>
      </c>
      <c r="Y1618" s="1" t="str">
        <f>VLOOKUP(A1618,[1]Detalle!$D$2:$CR$484,93,FALSE)</f>
        <v>SUC_MEN - Sucursal Mendoza</v>
      </c>
    </row>
    <row r="1619" spans="1:25" ht="14.25" customHeight="1" x14ac:dyDescent="0.3">
      <c r="A1619" s="1" t="s">
        <v>41</v>
      </c>
      <c r="B1619" s="1" t="s">
        <v>355</v>
      </c>
      <c r="C1619" s="1" t="s">
        <v>355</v>
      </c>
      <c r="D1619" s="1" t="s">
        <v>329</v>
      </c>
      <c r="E1619" s="1" t="s">
        <v>337</v>
      </c>
      <c r="L1619" s="1">
        <v>30.82394833948339</v>
      </c>
      <c r="N1619" s="7">
        <v>45947</v>
      </c>
      <c r="O1619" s="1">
        <v>10000</v>
      </c>
      <c r="P1619" s="7">
        <v>46271.423071631943</v>
      </c>
      <c r="Q1619" s="1" t="s">
        <v>330</v>
      </c>
      <c r="T1619" s="1" t="s">
        <v>356</v>
      </c>
      <c r="U1619" s="1" t="s">
        <v>357</v>
      </c>
      <c r="V1619" s="1">
        <v>1</v>
      </c>
      <c r="W1619" s="3">
        <v>11782.62</v>
      </c>
      <c r="X1619" s="3">
        <v>11782.62</v>
      </c>
      <c r="Y1619" s="1" t="str">
        <f>VLOOKUP(A1619,[1]Detalle!$D$2:$CR$484,93,FALSE)</f>
        <v>CMQ_TTE - QUILMES TTE</v>
      </c>
    </row>
    <row r="1620" spans="1:25" ht="14.25" customHeight="1" x14ac:dyDescent="0.3">
      <c r="A1620" s="1" t="s">
        <v>47</v>
      </c>
      <c r="B1620" s="1" t="s">
        <v>355</v>
      </c>
      <c r="C1620" s="1" t="s">
        <v>355</v>
      </c>
      <c r="D1620" s="1" t="s">
        <v>329</v>
      </c>
      <c r="E1620" s="1" t="s">
        <v>337</v>
      </c>
      <c r="L1620" s="1">
        <v>75.146865671641763</v>
      </c>
      <c r="N1620" s="7">
        <v>45947</v>
      </c>
      <c r="O1620" s="1">
        <v>10000</v>
      </c>
      <c r="P1620" s="7">
        <v>46080.072749085652</v>
      </c>
      <c r="Q1620" s="1" t="s">
        <v>330</v>
      </c>
      <c r="T1620" s="1" t="s">
        <v>363</v>
      </c>
      <c r="U1620" s="1" t="s">
        <v>364</v>
      </c>
      <c r="V1620" s="1">
        <v>1</v>
      </c>
      <c r="W1620" s="3">
        <v>12001.14</v>
      </c>
      <c r="X1620" s="3">
        <v>12001.14</v>
      </c>
      <c r="Y1620" s="1" t="str">
        <f>VLOOKUP(A1620,[1]Detalle!$D$2:$CR$484,93,FALSE)</f>
        <v>SUC_MEN - Sucursal Mendoza</v>
      </c>
    </row>
    <row r="1621" spans="1:25" ht="14.25" customHeight="1" x14ac:dyDescent="0.3">
      <c r="A1621" s="1" t="s">
        <v>48</v>
      </c>
      <c r="B1621" s="1" t="s">
        <v>355</v>
      </c>
      <c r="C1621" s="1" t="s">
        <v>355</v>
      </c>
      <c r="D1621" s="1" t="s">
        <v>329</v>
      </c>
      <c r="E1621" s="6">
        <v>45884</v>
      </c>
      <c r="F1621" s="1">
        <v>20538.5</v>
      </c>
      <c r="G1621" s="1">
        <v>30538.5</v>
      </c>
      <c r="H1621" s="1">
        <v>1841.3</v>
      </c>
      <c r="I1621" s="1">
        <v>8158.7</v>
      </c>
      <c r="J1621" s="1">
        <v>22379.8</v>
      </c>
      <c r="K1621" s="1">
        <v>63</v>
      </c>
      <c r="L1621" s="1">
        <v>55.441375464683993</v>
      </c>
      <c r="M1621" s="1">
        <v>279.14956823983061</v>
      </c>
      <c r="N1621" s="7">
        <v>45947</v>
      </c>
      <c r="O1621" s="1">
        <v>10000</v>
      </c>
      <c r="P1621" s="7">
        <v>46226.14956824074</v>
      </c>
      <c r="Q1621" s="1" t="s">
        <v>330</v>
      </c>
      <c r="T1621" s="1" t="s">
        <v>363</v>
      </c>
      <c r="U1621" s="1" t="s">
        <v>364</v>
      </c>
      <c r="V1621" s="1">
        <v>1</v>
      </c>
      <c r="W1621" s="3">
        <v>12001.14</v>
      </c>
      <c r="X1621" s="3">
        <v>12001.14</v>
      </c>
      <c r="Y1621" s="1" t="str">
        <f>VLOOKUP(A1621,[1]Detalle!$D$2:$CR$484,93,FALSE)</f>
        <v>Unilever - Unilever de Arg. S.A.</v>
      </c>
    </row>
    <row r="1622" spans="1:25" ht="14.25" customHeight="1" x14ac:dyDescent="0.3">
      <c r="A1622" s="1" t="s">
        <v>49</v>
      </c>
      <c r="B1622" s="1" t="s">
        <v>355</v>
      </c>
      <c r="C1622" s="1" t="s">
        <v>355</v>
      </c>
      <c r="D1622" s="1" t="s">
        <v>329</v>
      </c>
      <c r="E1622" s="6">
        <v>45845</v>
      </c>
      <c r="F1622" s="1">
        <v>81918.100000000006</v>
      </c>
      <c r="G1622" s="1">
        <v>91918.1</v>
      </c>
      <c r="H1622" s="1">
        <v>7752.4</v>
      </c>
      <c r="I1622" s="1">
        <v>2247.6</v>
      </c>
      <c r="J1622" s="1">
        <v>89670.5</v>
      </c>
      <c r="K1622" s="1">
        <v>102</v>
      </c>
      <c r="L1622" s="1">
        <v>82.189312977099249</v>
      </c>
      <c r="M1622" s="1">
        <v>29.572158299365359</v>
      </c>
      <c r="N1622" s="7">
        <v>45947</v>
      </c>
      <c r="O1622" s="1">
        <v>10000</v>
      </c>
      <c r="P1622" s="7">
        <v>46098.242478171298</v>
      </c>
      <c r="Q1622" s="1" t="s">
        <v>330</v>
      </c>
      <c r="T1622" s="1" t="s">
        <v>363</v>
      </c>
      <c r="U1622" s="1" t="s">
        <v>364</v>
      </c>
      <c r="V1622" s="1">
        <v>1</v>
      </c>
      <c r="W1622" s="3">
        <v>12001.14</v>
      </c>
      <c r="X1622" s="3">
        <v>12001.14</v>
      </c>
      <c r="Y1622" s="1" t="str">
        <f>VLOOKUP(A1622,[1]Detalle!$D$2:$CR$484,93,FALSE)</f>
        <v>SUC_CTC - Sucursal Buenos Aires</v>
      </c>
    </row>
    <row r="1623" spans="1:25" ht="14.25" customHeight="1" x14ac:dyDescent="0.3">
      <c r="A1623" s="1" t="s">
        <v>53</v>
      </c>
      <c r="B1623" s="1" t="s">
        <v>355</v>
      </c>
      <c r="C1623" s="1" t="s">
        <v>355</v>
      </c>
      <c r="D1623" s="1" t="s">
        <v>329</v>
      </c>
      <c r="E1623" s="6">
        <v>45820</v>
      </c>
      <c r="F1623" s="1">
        <v>22721</v>
      </c>
      <c r="G1623" s="1">
        <v>32721</v>
      </c>
      <c r="H1623" s="1">
        <v>6755.9999999999982</v>
      </c>
      <c r="I1623" s="1">
        <v>3244.0000000000018</v>
      </c>
      <c r="J1623" s="1">
        <v>29477</v>
      </c>
      <c r="K1623" s="1">
        <v>127</v>
      </c>
      <c r="L1623" s="1">
        <v>49.806715867158687</v>
      </c>
      <c r="M1623" s="1">
        <v>60.981053878034388</v>
      </c>
      <c r="N1623" s="7">
        <v>45947</v>
      </c>
      <c r="O1623" s="1">
        <v>10000</v>
      </c>
      <c r="P1623" s="7">
        <v>46208.757190706019</v>
      </c>
      <c r="Q1623" s="1" t="s">
        <v>330</v>
      </c>
      <c r="T1623" s="1" t="s">
        <v>356</v>
      </c>
      <c r="U1623" s="1" t="s">
        <v>357</v>
      </c>
      <c r="V1623" s="1">
        <v>1</v>
      </c>
      <c r="W1623" s="3">
        <v>11782.62</v>
      </c>
      <c r="X1623" s="3">
        <v>11782.62</v>
      </c>
      <c r="Y1623" s="1" t="str">
        <f>VLOOKUP(A1623,[1]Detalle!$D$2:$CR$484,93,FALSE)</f>
        <v>CIMSA_SRA</v>
      </c>
    </row>
    <row r="1624" spans="1:25" ht="14.25" customHeight="1" x14ac:dyDescent="0.3">
      <c r="A1624" s="1" t="s">
        <v>20</v>
      </c>
      <c r="B1624" s="1" t="s">
        <v>371</v>
      </c>
      <c r="C1624" s="1" t="s">
        <v>371</v>
      </c>
      <c r="D1624" s="1" t="s">
        <v>372</v>
      </c>
      <c r="E1624" s="6">
        <v>45923</v>
      </c>
      <c r="F1624" s="1">
        <v>139096</v>
      </c>
      <c r="G1624" s="1">
        <v>149096</v>
      </c>
      <c r="H1624" s="1">
        <v>601.90000000000009</v>
      </c>
      <c r="I1624" s="1">
        <v>9398.1</v>
      </c>
      <c r="J1624" s="1">
        <v>139697.9</v>
      </c>
      <c r="K1624" s="1">
        <v>24</v>
      </c>
      <c r="L1624" s="1">
        <v>99.244569288389528</v>
      </c>
      <c r="M1624" s="1">
        <v>374.7373317826881</v>
      </c>
      <c r="N1624" s="7">
        <v>45947</v>
      </c>
      <c r="O1624" s="1">
        <v>10000</v>
      </c>
      <c r="P1624" s="7">
        <v>46321.737331782409</v>
      </c>
      <c r="Q1624" s="1" t="s">
        <v>330</v>
      </c>
      <c r="T1624" s="1" t="s">
        <v>373</v>
      </c>
      <c r="U1624" s="1" t="s">
        <v>374</v>
      </c>
      <c r="V1624" s="1">
        <v>1</v>
      </c>
      <c r="W1624" s="3">
        <v>9054.85</v>
      </c>
      <c r="X1624" s="3">
        <v>9054.85</v>
      </c>
      <c r="Y1624" s="1" t="str">
        <f>VLOOKUP(A1624,[1]Detalle!$D$2:$CR$484,93,FALSE)</f>
        <v>SUC_MEN - Sucursal Mendoza</v>
      </c>
    </row>
    <row r="1625" spans="1:25" ht="14.25" customHeight="1" x14ac:dyDescent="0.3">
      <c r="A1625" s="1" t="s">
        <v>36</v>
      </c>
      <c r="B1625" s="1" t="s">
        <v>355</v>
      </c>
      <c r="C1625" s="1" t="s">
        <v>355</v>
      </c>
      <c r="D1625" s="1" t="s">
        <v>329</v>
      </c>
      <c r="E1625" s="6">
        <v>45834</v>
      </c>
      <c r="F1625" s="1">
        <v>121977</v>
      </c>
      <c r="G1625" s="1">
        <v>131977</v>
      </c>
      <c r="H1625" s="1">
        <v>5913.8999999999987</v>
      </c>
      <c r="I1625" s="1">
        <v>4086.1000000000008</v>
      </c>
      <c r="J1625" s="1">
        <v>127890.9</v>
      </c>
      <c r="K1625" s="1">
        <v>113</v>
      </c>
      <c r="L1625" s="1">
        <v>219.53927573529421</v>
      </c>
      <c r="M1625" s="1">
        <v>78.075263362586483</v>
      </c>
      <c r="N1625" s="7">
        <v>45947</v>
      </c>
      <c r="O1625" s="1">
        <v>10000</v>
      </c>
      <c r="P1625" s="7">
        <v>46025.075263368053</v>
      </c>
      <c r="Q1625" s="1" t="s">
        <v>330</v>
      </c>
      <c r="T1625" s="1" t="s">
        <v>363</v>
      </c>
      <c r="U1625" s="1" t="s">
        <v>364</v>
      </c>
      <c r="V1625" s="1">
        <v>1</v>
      </c>
      <c r="W1625" s="3">
        <v>12001.14</v>
      </c>
      <c r="X1625" s="3">
        <v>12001.14</v>
      </c>
      <c r="Y1625" s="1" t="str">
        <f>VLOOKUP(A1625,[1]Detalle!$D$2:$CR$484,93,FALSE)</f>
        <v>SUC_SLU - Sucursal San Luis</v>
      </c>
    </row>
    <row r="1626" spans="1:25" ht="14.25" customHeight="1" x14ac:dyDescent="0.3">
      <c r="A1626" s="1" t="s">
        <v>81</v>
      </c>
      <c r="B1626" s="1" t="s">
        <v>355</v>
      </c>
      <c r="C1626" s="1" t="s">
        <v>355</v>
      </c>
      <c r="D1626" s="1" t="s">
        <v>329</v>
      </c>
      <c r="E1626" s="1" t="s">
        <v>337</v>
      </c>
      <c r="L1626" s="1">
        <v>25.830369003690031</v>
      </c>
      <c r="N1626" s="7">
        <v>45947</v>
      </c>
      <c r="O1626" s="1">
        <v>10000</v>
      </c>
      <c r="P1626" s="7">
        <v>46334.141197962963</v>
      </c>
      <c r="Q1626" s="1" t="s">
        <v>330</v>
      </c>
      <c r="T1626" s="1" t="s">
        <v>356</v>
      </c>
      <c r="U1626" s="1" t="s">
        <v>357</v>
      </c>
      <c r="V1626" s="1">
        <v>1</v>
      </c>
      <c r="W1626" s="3">
        <v>11782.62</v>
      </c>
      <c r="X1626" s="3">
        <v>11782.62</v>
      </c>
      <c r="Y1626" s="1" t="str">
        <f>VLOOKUP(A1626,[1]Detalle!$D$2:$CR$484,93,FALSE)</f>
        <v>CIMSA_BS AS</v>
      </c>
    </row>
    <row r="1627" spans="1:25" ht="14.25" customHeight="1" x14ac:dyDescent="0.3">
      <c r="A1627" s="1" t="s">
        <v>36</v>
      </c>
      <c r="B1627" s="1" t="s">
        <v>358</v>
      </c>
      <c r="C1627" s="1" t="s">
        <v>358</v>
      </c>
      <c r="D1627" s="1" t="s">
        <v>359</v>
      </c>
      <c r="E1627" s="6">
        <v>45834</v>
      </c>
      <c r="F1627" s="1">
        <v>121977</v>
      </c>
      <c r="G1627" s="1">
        <v>131977</v>
      </c>
      <c r="H1627" s="1">
        <v>5913.8999999999987</v>
      </c>
      <c r="I1627" s="1">
        <v>4086.1000000000008</v>
      </c>
      <c r="J1627" s="1">
        <v>127890.9</v>
      </c>
      <c r="K1627" s="1">
        <v>113</v>
      </c>
      <c r="L1627" s="1">
        <v>219.53927573529421</v>
      </c>
      <c r="M1627" s="1">
        <v>78.075263362586483</v>
      </c>
      <c r="N1627" s="7">
        <v>45947</v>
      </c>
      <c r="O1627" s="1">
        <v>10000</v>
      </c>
      <c r="P1627" s="7">
        <v>46025.075263368053</v>
      </c>
      <c r="Q1627" s="1" t="s">
        <v>330</v>
      </c>
      <c r="T1627" s="1" t="s">
        <v>376</v>
      </c>
      <c r="U1627" s="1" t="s">
        <v>377</v>
      </c>
      <c r="V1627" s="1">
        <v>1</v>
      </c>
      <c r="W1627" s="3">
        <v>77979.94</v>
      </c>
      <c r="X1627" s="3">
        <v>77979.94</v>
      </c>
      <c r="Y1627" s="1" t="str">
        <f>VLOOKUP(A1627,[1]Detalle!$D$2:$CR$484,93,FALSE)</f>
        <v>SUC_SLU - Sucursal San Luis</v>
      </c>
    </row>
    <row r="1628" spans="1:25" ht="14.25" customHeight="1" x14ac:dyDescent="0.3">
      <c r="A1628" s="1" t="s">
        <v>36</v>
      </c>
      <c r="B1628" s="1" t="s">
        <v>365</v>
      </c>
      <c r="C1628" s="1" t="s">
        <v>365</v>
      </c>
      <c r="D1628" s="1" t="s">
        <v>366</v>
      </c>
      <c r="E1628" s="6">
        <v>45834</v>
      </c>
      <c r="F1628" s="1">
        <v>121977</v>
      </c>
      <c r="G1628" s="1">
        <v>131977</v>
      </c>
      <c r="H1628" s="1">
        <v>5913.8999999999987</v>
      </c>
      <c r="I1628" s="1">
        <v>4086.1000000000008</v>
      </c>
      <c r="J1628" s="1">
        <v>127890.9</v>
      </c>
      <c r="K1628" s="1">
        <v>113</v>
      </c>
      <c r="L1628" s="1">
        <v>219.53927573529421</v>
      </c>
      <c r="M1628" s="1">
        <v>78.075263362586483</v>
      </c>
      <c r="N1628" s="7">
        <v>45947</v>
      </c>
      <c r="O1628" s="1">
        <v>10000</v>
      </c>
      <c r="P1628" s="7">
        <v>46025.075263368053</v>
      </c>
      <c r="Q1628" s="1" t="s">
        <v>330</v>
      </c>
      <c r="T1628" s="1" t="s">
        <v>378</v>
      </c>
      <c r="U1628" s="1" t="s">
        <v>379</v>
      </c>
      <c r="V1628" s="1">
        <v>1</v>
      </c>
      <c r="W1628" s="3">
        <v>13876.18</v>
      </c>
      <c r="X1628" s="3">
        <v>13876.18</v>
      </c>
      <c r="Y1628" s="1" t="str">
        <f>VLOOKUP(A1628,[1]Detalle!$D$2:$CR$484,93,FALSE)</f>
        <v>SUC_SLU - Sucursal San Luis</v>
      </c>
    </row>
    <row r="1629" spans="1:25" ht="14.25" customHeight="1" x14ac:dyDescent="0.3">
      <c r="A1629" s="1" t="s">
        <v>36</v>
      </c>
      <c r="B1629" s="1" t="s">
        <v>371</v>
      </c>
      <c r="C1629" s="1" t="s">
        <v>371</v>
      </c>
      <c r="D1629" s="1" t="s">
        <v>372</v>
      </c>
      <c r="E1629" s="6">
        <v>45733</v>
      </c>
      <c r="F1629" s="1">
        <v>38432.199999999997</v>
      </c>
      <c r="G1629" s="1">
        <v>48432.2</v>
      </c>
      <c r="H1629" s="1">
        <v>20272.19999999999</v>
      </c>
      <c r="I1629" s="1">
        <v>-10272.19999999999</v>
      </c>
      <c r="J1629" s="1">
        <v>58704.399999999987</v>
      </c>
      <c r="K1629" s="1">
        <v>214</v>
      </c>
      <c r="L1629" s="1">
        <v>219.53927573529421</v>
      </c>
      <c r="M1629" s="1">
        <v>-108.4367162912757</v>
      </c>
      <c r="N1629" s="7">
        <v>45947</v>
      </c>
      <c r="O1629" s="1">
        <v>10000</v>
      </c>
      <c r="P1629" s="7">
        <v>46038.099872372688</v>
      </c>
      <c r="Q1629" s="1" t="s">
        <v>330</v>
      </c>
      <c r="T1629" s="1" t="s">
        <v>380</v>
      </c>
      <c r="U1629" s="1" t="s">
        <v>381</v>
      </c>
      <c r="V1629" s="1">
        <v>1</v>
      </c>
      <c r="W1629" s="3">
        <v>18045.55</v>
      </c>
      <c r="X1629" s="3">
        <v>18045.55</v>
      </c>
      <c r="Y1629" s="1" t="str">
        <f>VLOOKUP(A1629,[1]Detalle!$D$2:$CR$484,93,FALSE)</f>
        <v>SUC_SLU - Sucursal San Luis</v>
      </c>
    </row>
    <row r="1630" spans="1:25" ht="14.25" customHeight="1" x14ac:dyDescent="0.3">
      <c r="A1630" s="1" t="s">
        <v>37</v>
      </c>
      <c r="B1630" s="1" t="s">
        <v>358</v>
      </c>
      <c r="C1630" s="1" t="s">
        <v>358</v>
      </c>
      <c r="D1630" s="1" t="s">
        <v>359</v>
      </c>
      <c r="E1630" s="6">
        <v>45859</v>
      </c>
      <c r="F1630" s="1">
        <v>24642.400000000001</v>
      </c>
      <c r="G1630" s="1">
        <v>34642.400000000001</v>
      </c>
      <c r="H1630" s="1">
        <v>5862.9999999999991</v>
      </c>
      <c r="I1630" s="1">
        <v>4137.0000000000009</v>
      </c>
      <c r="J1630" s="1">
        <v>30505.4</v>
      </c>
      <c r="K1630" s="1">
        <v>88</v>
      </c>
      <c r="L1630" s="1">
        <v>74.610410447761154</v>
      </c>
      <c r="M1630" s="1">
        <v>62.093808630394022</v>
      </c>
      <c r="N1630" s="7">
        <v>45947</v>
      </c>
      <c r="O1630" s="1">
        <v>10000</v>
      </c>
      <c r="P1630" s="7">
        <v>46143.123362141203</v>
      </c>
      <c r="Q1630" s="1" t="s">
        <v>330</v>
      </c>
      <c r="T1630" s="1" t="s">
        <v>376</v>
      </c>
      <c r="U1630" s="1" t="s">
        <v>377</v>
      </c>
      <c r="V1630" s="1">
        <v>1</v>
      </c>
      <c r="W1630" s="3">
        <v>77979.94</v>
      </c>
      <c r="X1630" s="3">
        <v>77979.94</v>
      </c>
      <c r="Y1630" s="1" t="str">
        <f>VLOOKUP(A1630,[1]Detalle!$D$2:$CR$484,93,FALSE)</f>
        <v>SUC_ROS - Sucursal Rosario</v>
      </c>
    </row>
    <row r="1631" spans="1:25" ht="14.25" customHeight="1" x14ac:dyDescent="0.3">
      <c r="A1631" s="1" t="s">
        <v>38</v>
      </c>
      <c r="B1631" s="1" t="s">
        <v>358</v>
      </c>
      <c r="C1631" s="1" t="s">
        <v>358</v>
      </c>
      <c r="D1631" s="1" t="s">
        <v>359</v>
      </c>
      <c r="E1631" s="1" t="s">
        <v>337</v>
      </c>
      <c r="F1631" s="1">
        <v>19099.3</v>
      </c>
      <c r="G1631" s="1">
        <v>29099.3</v>
      </c>
      <c r="H1631" s="1">
        <v>4604.5000000000009</v>
      </c>
      <c r="I1631" s="1">
        <v>5395.4999999999991</v>
      </c>
      <c r="J1631" s="1">
        <v>23703.8</v>
      </c>
      <c r="K1631" s="1">
        <v>67</v>
      </c>
      <c r="L1631" s="1">
        <v>63.391962962962928</v>
      </c>
      <c r="M1631" s="1">
        <v>78.509827342816777</v>
      </c>
      <c r="N1631" s="7">
        <v>45947</v>
      </c>
      <c r="O1631" s="1">
        <v>10000</v>
      </c>
      <c r="P1631" s="7">
        <v>46025.509827337963</v>
      </c>
      <c r="Q1631" s="1" t="s">
        <v>330</v>
      </c>
      <c r="T1631" s="1" t="s">
        <v>376</v>
      </c>
      <c r="U1631" s="1" t="s">
        <v>377</v>
      </c>
      <c r="V1631" s="1">
        <v>1</v>
      </c>
      <c r="W1631" s="3">
        <v>77979.94</v>
      </c>
      <c r="X1631" s="3">
        <v>77979.94</v>
      </c>
      <c r="Y1631" s="1" t="str">
        <f>VLOOKUP(A1631,[1]Detalle!$D$2:$CR$484,93,FALSE)</f>
        <v>SUC_SRA - Sucursal San Rafael</v>
      </c>
    </row>
    <row r="1632" spans="1:25" ht="14.25" customHeight="1" x14ac:dyDescent="0.3">
      <c r="A1632" s="1" t="s">
        <v>39</v>
      </c>
      <c r="B1632" s="1" t="s">
        <v>355</v>
      </c>
      <c r="C1632" s="1" t="s">
        <v>355</v>
      </c>
      <c r="D1632" s="1" t="s">
        <v>329</v>
      </c>
      <c r="E1632" s="6">
        <v>45832</v>
      </c>
      <c r="F1632" s="1">
        <v>137406</v>
      </c>
      <c r="G1632" s="1">
        <v>147406</v>
      </c>
      <c r="H1632" s="1">
        <v>8671.7000000000007</v>
      </c>
      <c r="I1632" s="1">
        <v>1328.299999999999</v>
      </c>
      <c r="J1632" s="1">
        <v>146077.70000000001</v>
      </c>
      <c r="K1632" s="1">
        <v>115</v>
      </c>
      <c r="L1632" s="1">
        <v>93.793905109489017</v>
      </c>
      <c r="M1632" s="1">
        <v>17.615288813035491</v>
      </c>
      <c r="N1632" s="7">
        <v>45947</v>
      </c>
      <c r="O1632" s="1">
        <v>10000</v>
      </c>
      <c r="P1632" s="7">
        <v>46071.232024606477</v>
      </c>
      <c r="Q1632" s="1" t="s">
        <v>330</v>
      </c>
      <c r="T1632" s="1" t="s">
        <v>363</v>
      </c>
      <c r="U1632" s="1" t="s">
        <v>364</v>
      </c>
      <c r="V1632" s="1">
        <v>1</v>
      </c>
      <c r="W1632" s="3">
        <v>12001.14</v>
      </c>
      <c r="X1632" s="3">
        <v>12001.14</v>
      </c>
      <c r="Y1632" s="1" t="str">
        <f>VLOOKUP(A1632,[1]Detalle!$D$2:$CR$484,93,FALSE)</f>
        <v>SUC_MEN - Sucursal Mendoza</v>
      </c>
    </row>
    <row r="1633" spans="1:25" ht="14.25" customHeight="1" x14ac:dyDescent="0.3">
      <c r="A1633" s="1" t="s">
        <v>41</v>
      </c>
      <c r="B1633" s="1" t="s">
        <v>358</v>
      </c>
      <c r="C1633" s="1" t="s">
        <v>358</v>
      </c>
      <c r="D1633" s="1" t="s">
        <v>359</v>
      </c>
      <c r="E1633" s="1" t="s">
        <v>337</v>
      </c>
      <c r="L1633" s="1">
        <v>30.82394833948339</v>
      </c>
      <c r="N1633" s="7">
        <v>45947</v>
      </c>
      <c r="O1633" s="1">
        <v>10000</v>
      </c>
      <c r="P1633" s="7">
        <v>46271.423071631943</v>
      </c>
      <c r="Q1633" s="1" t="s">
        <v>330</v>
      </c>
      <c r="T1633" s="1" t="s">
        <v>382</v>
      </c>
      <c r="U1633" s="1" t="s">
        <v>383</v>
      </c>
      <c r="V1633" s="1">
        <v>1</v>
      </c>
      <c r="W1633" s="3">
        <v>5676.69</v>
      </c>
      <c r="X1633" s="3">
        <v>5676.69</v>
      </c>
      <c r="Y1633" s="1" t="str">
        <f>VLOOKUP(A1633,[1]Detalle!$D$2:$CR$484,93,FALSE)</f>
        <v>CMQ_TTE - QUILMES TTE</v>
      </c>
    </row>
    <row r="1634" spans="1:25" ht="14.25" customHeight="1" x14ac:dyDescent="0.3">
      <c r="A1634" s="1" t="s">
        <v>47</v>
      </c>
      <c r="B1634" s="1" t="s">
        <v>358</v>
      </c>
      <c r="C1634" s="1" t="s">
        <v>358</v>
      </c>
      <c r="D1634" s="1" t="s">
        <v>359</v>
      </c>
      <c r="E1634" s="1" t="s">
        <v>337</v>
      </c>
      <c r="L1634" s="1">
        <v>75.146865671641763</v>
      </c>
      <c r="N1634" s="7">
        <v>45947</v>
      </c>
      <c r="O1634" s="1">
        <v>10000</v>
      </c>
      <c r="P1634" s="7">
        <v>46080.072749085652</v>
      </c>
      <c r="Q1634" s="1" t="s">
        <v>330</v>
      </c>
      <c r="T1634" s="1" t="s">
        <v>376</v>
      </c>
      <c r="U1634" s="1" t="s">
        <v>377</v>
      </c>
      <c r="V1634" s="1">
        <v>1</v>
      </c>
      <c r="W1634" s="3">
        <v>77979.94</v>
      </c>
      <c r="X1634" s="3">
        <v>77979.94</v>
      </c>
      <c r="Y1634" s="1" t="str">
        <f>VLOOKUP(A1634,[1]Detalle!$D$2:$CR$484,93,FALSE)</f>
        <v>SUC_MEN - Sucursal Mendoza</v>
      </c>
    </row>
    <row r="1635" spans="1:25" ht="14.25" customHeight="1" x14ac:dyDescent="0.3">
      <c r="A1635" s="1" t="s">
        <v>48</v>
      </c>
      <c r="B1635" s="1" t="s">
        <v>358</v>
      </c>
      <c r="C1635" s="1" t="s">
        <v>358</v>
      </c>
      <c r="D1635" s="1" t="s">
        <v>359</v>
      </c>
      <c r="E1635" s="6">
        <v>45884</v>
      </c>
      <c r="F1635" s="1">
        <v>20538.5</v>
      </c>
      <c r="G1635" s="1">
        <v>30538.5</v>
      </c>
      <c r="H1635" s="1">
        <v>1841.3</v>
      </c>
      <c r="I1635" s="1">
        <v>8158.7</v>
      </c>
      <c r="J1635" s="1">
        <v>22379.8</v>
      </c>
      <c r="K1635" s="1">
        <v>63</v>
      </c>
      <c r="L1635" s="1">
        <v>55.441375464683993</v>
      </c>
      <c r="M1635" s="1">
        <v>279.14956823983061</v>
      </c>
      <c r="N1635" s="7">
        <v>45947</v>
      </c>
      <c r="O1635" s="1">
        <v>10000</v>
      </c>
      <c r="P1635" s="7">
        <v>46226.14956824074</v>
      </c>
      <c r="Q1635" s="1" t="s">
        <v>330</v>
      </c>
      <c r="T1635" s="1" t="s">
        <v>376</v>
      </c>
      <c r="U1635" s="1" t="s">
        <v>377</v>
      </c>
      <c r="V1635" s="1">
        <v>1</v>
      </c>
      <c r="W1635" s="3">
        <v>77979.94</v>
      </c>
      <c r="X1635" s="3">
        <v>77979.94</v>
      </c>
      <c r="Y1635" s="1" t="str">
        <f>VLOOKUP(A1635,[1]Detalle!$D$2:$CR$484,93,FALSE)</f>
        <v>Unilever - Unilever de Arg. S.A.</v>
      </c>
    </row>
    <row r="1636" spans="1:25" ht="14.25" customHeight="1" x14ac:dyDescent="0.3">
      <c r="A1636" s="1" t="s">
        <v>49</v>
      </c>
      <c r="B1636" s="1" t="s">
        <v>358</v>
      </c>
      <c r="C1636" s="1" t="s">
        <v>358</v>
      </c>
      <c r="D1636" s="1" t="s">
        <v>359</v>
      </c>
      <c r="E1636" s="6">
        <v>45845</v>
      </c>
      <c r="F1636" s="1">
        <v>81918.100000000006</v>
      </c>
      <c r="G1636" s="1">
        <v>91918.1</v>
      </c>
      <c r="H1636" s="1">
        <v>7752.4</v>
      </c>
      <c r="I1636" s="1">
        <v>2247.6</v>
      </c>
      <c r="J1636" s="1">
        <v>89670.5</v>
      </c>
      <c r="K1636" s="1">
        <v>102</v>
      </c>
      <c r="L1636" s="1">
        <v>82.189312977099249</v>
      </c>
      <c r="M1636" s="1">
        <v>29.572158299365359</v>
      </c>
      <c r="N1636" s="7">
        <v>45947</v>
      </c>
      <c r="O1636" s="1">
        <v>10000</v>
      </c>
      <c r="P1636" s="7">
        <v>46098.242478171298</v>
      </c>
      <c r="Q1636" s="1" t="s">
        <v>330</v>
      </c>
      <c r="T1636" s="1" t="s">
        <v>376</v>
      </c>
      <c r="U1636" s="1" t="s">
        <v>377</v>
      </c>
      <c r="V1636" s="1">
        <v>1</v>
      </c>
      <c r="W1636" s="3">
        <v>77979.94</v>
      </c>
      <c r="X1636" s="3">
        <v>77979.94</v>
      </c>
      <c r="Y1636" s="1" t="str">
        <f>VLOOKUP(A1636,[1]Detalle!$D$2:$CR$484,93,FALSE)</f>
        <v>SUC_CTC - Sucursal Buenos Aires</v>
      </c>
    </row>
    <row r="1637" spans="1:25" ht="14.25" customHeight="1" x14ac:dyDescent="0.3">
      <c r="A1637" s="1" t="s">
        <v>53</v>
      </c>
      <c r="B1637" s="1" t="s">
        <v>358</v>
      </c>
      <c r="C1637" s="1" t="s">
        <v>358</v>
      </c>
      <c r="D1637" s="1" t="s">
        <v>359</v>
      </c>
      <c r="E1637" s="6">
        <v>45820</v>
      </c>
      <c r="F1637" s="1">
        <v>22721</v>
      </c>
      <c r="G1637" s="1">
        <v>32721</v>
      </c>
      <c r="H1637" s="1">
        <v>6755.9999999999982</v>
      </c>
      <c r="I1637" s="1">
        <v>3244.0000000000018</v>
      </c>
      <c r="J1637" s="1">
        <v>29477</v>
      </c>
      <c r="K1637" s="1">
        <v>127</v>
      </c>
      <c r="L1637" s="1">
        <v>49.806715867158687</v>
      </c>
      <c r="M1637" s="1">
        <v>60.981053878034388</v>
      </c>
      <c r="N1637" s="7">
        <v>45947</v>
      </c>
      <c r="O1637" s="1">
        <v>10000</v>
      </c>
      <c r="P1637" s="7">
        <v>46208.757190706019</v>
      </c>
      <c r="Q1637" s="1" t="s">
        <v>330</v>
      </c>
      <c r="T1637" s="1" t="s">
        <v>384</v>
      </c>
      <c r="U1637" s="1" t="s">
        <v>385</v>
      </c>
      <c r="V1637" s="1">
        <v>1</v>
      </c>
      <c r="W1637" s="3">
        <v>17040.349999999999</v>
      </c>
      <c r="X1637" s="3">
        <v>17040.349999999999</v>
      </c>
      <c r="Y1637" s="1" t="str">
        <f>VLOOKUP(A1637,[1]Detalle!$D$2:$CR$484,93,FALSE)</f>
        <v>CIMSA_SRA</v>
      </c>
    </row>
    <row r="1638" spans="1:25" ht="14.25" customHeight="1" x14ac:dyDescent="0.3">
      <c r="A1638" s="1" t="s">
        <v>39</v>
      </c>
      <c r="B1638" s="1" t="s">
        <v>358</v>
      </c>
      <c r="C1638" s="1" t="s">
        <v>358</v>
      </c>
      <c r="D1638" s="1" t="s">
        <v>359</v>
      </c>
      <c r="E1638" s="6">
        <v>45832</v>
      </c>
      <c r="F1638" s="1">
        <v>137406</v>
      </c>
      <c r="G1638" s="1">
        <v>147406</v>
      </c>
      <c r="H1638" s="1">
        <v>8671.7000000000007</v>
      </c>
      <c r="I1638" s="1">
        <v>1328.299999999999</v>
      </c>
      <c r="J1638" s="1">
        <v>146077.70000000001</v>
      </c>
      <c r="K1638" s="1">
        <v>115</v>
      </c>
      <c r="L1638" s="1">
        <v>93.793905109489017</v>
      </c>
      <c r="M1638" s="1">
        <v>17.615288813035491</v>
      </c>
      <c r="N1638" s="7">
        <v>45947</v>
      </c>
      <c r="O1638" s="1">
        <v>10000</v>
      </c>
      <c r="P1638" s="7">
        <v>46071.232024606477</v>
      </c>
      <c r="Q1638" s="1" t="s">
        <v>330</v>
      </c>
      <c r="T1638" s="1" t="s">
        <v>376</v>
      </c>
      <c r="U1638" s="1" t="s">
        <v>377</v>
      </c>
      <c r="V1638" s="1">
        <v>1</v>
      </c>
      <c r="W1638" s="3">
        <v>77979.94</v>
      </c>
      <c r="X1638" s="3">
        <v>77979.94</v>
      </c>
      <c r="Y1638" s="1" t="str">
        <f>VLOOKUP(A1638,[1]Detalle!$D$2:$CR$484,93,FALSE)</f>
        <v>SUC_MEN - Sucursal Mendoza</v>
      </c>
    </row>
    <row r="1639" spans="1:25" ht="14.25" customHeight="1" x14ac:dyDescent="0.3">
      <c r="A1639" s="1" t="s">
        <v>39</v>
      </c>
      <c r="B1639" s="1" t="s">
        <v>365</v>
      </c>
      <c r="C1639" s="1" t="s">
        <v>365</v>
      </c>
      <c r="D1639" s="1" t="s">
        <v>366</v>
      </c>
      <c r="E1639" s="6">
        <v>45832</v>
      </c>
      <c r="F1639" s="1">
        <v>137406</v>
      </c>
      <c r="G1639" s="1">
        <v>147406</v>
      </c>
      <c r="H1639" s="1">
        <v>8671.7000000000007</v>
      </c>
      <c r="I1639" s="1">
        <v>1328.299999999999</v>
      </c>
      <c r="J1639" s="1">
        <v>146077.70000000001</v>
      </c>
      <c r="K1639" s="1">
        <v>115</v>
      </c>
      <c r="L1639" s="1">
        <v>93.793905109489017</v>
      </c>
      <c r="M1639" s="1">
        <v>17.615288813035491</v>
      </c>
      <c r="N1639" s="7">
        <v>45947</v>
      </c>
      <c r="O1639" s="1">
        <v>10000</v>
      </c>
      <c r="P1639" s="7">
        <v>46071.232024606477</v>
      </c>
      <c r="Q1639" s="1" t="s">
        <v>330</v>
      </c>
      <c r="T1639" s="1" t="s">
        <v>378</v>
      </c>
      <c r="U1639" s="1" t="s">
        <v>379</v>
      </c>
      <c r="V1639" s="1">
        <v>1</v>
      </c>
      <c r="W1639" s="3">
        <v>13876.18</v>
      </c>
      <c r="X1639" s="3">
        <v>13876.18</v>
      </c>
      <c r="Y1639" s="1" t="str">
        <f>VLOOKUP(A1639,[1]Detalle!$D$2:$CR$484,93,FALSE)</f>
        <v>SUC_MEN - Sucursal Mendoza</v>
      </c>
    </row>
    <row r="1640" spans="1:25" ht="14.25" customHeight="1" x14ac:dyDescent="0.3">
      <c r="A1640" s="1" t="s">
        <v>81</v>
      </c>
      <c r="B1640" s="1" t="s">
        <v>358</v>
      </c>
      <c r="C1640" s="1" t="s">
        <v>358</v>
      </c>
      <c r="D1640" s="1" t="s">
        <v>359</v>
      </c>
      <c r="E1640" s="1" t="s">
        <v>337</v>
      </c>
      <c r="L1640" s="1">
        <v>25.830369003690031</v>
      </c>
      <c r="N1640" s="7">
        <v>45947</v>
      </c>
      <c r="O1640" s="1">
        <v>10000</v>
      </c>
      <c r="P1640" s="7">
        <v>46334.141197962963</v>
      </c>
      <c r="Q1640" s="1" t="s">
        <v>330</v>
      </c>
      <c r="T1640" s="1" t="s">
        <v>384</v>
      </c>
      <c r="U1640" s="1" t="s">
        <v>385</v>
      </c>
      <c r="V1640" s="1">
        <v>1</v>
      </c>
      <c r="W1640" s="3">
        <v>17040.349999999999</v>
      </c>
      <c r="X1640" s="3">
        <v>17040.349999999999</v>
      </c>
      <c r="Y1640" s="1" t="str">
        <f>VLOOKUP(A1640,[1]Detalle!$D$2:$CR$484,93,FALSE)</f>
        <v>CIMSA_BS AS</v>
      </c>
    </row>
    <row r="1641" spans="1:25" ht="14.25" customHeight="1" x14ac:dyDescent="0.3">
      <c r="A1641" s="1" t="s">
        <v>39</v>
      </c>
      <c r="B1641" s="1" t="s">
        <v>371</v>
      </c>
      <c r="C1641" s="1" t="s">
        <v>371</v>
      </c>
      <c r="D1641" s="1" t="s">
        <v>372</v>
      </c>
      <c r="E1641" s="6">
        <v>45733</v>
      </c>
      <c r="F1641" s="1">
        <v>129724</v>
      </c>
      <c r="G1641" s="1">
        <v>139724</v>
      </c>
      <c r="H1641" s="1">
        <v>18618.900000000001</v>
      </c>
      <c r="I1641" s="1">
        <v>-8618.9000000000015</v>
      </c>
      <c r="J1641" s="1">
        <v>148342.9</v>
      </c>
      <c r="K1641" s="1">
        <v>214</v>
      </c>
      <c r="L1641" s="1">
        <v>93.793905109489017</v>
      </c>
      <c r="M1641" s="1">
        <v>-99.063027353925307</v>
      </c>
      <c r="N1641" s="7">
        <v>45947</v>
      </c>
      <c r="O1641" s="1">
        <v>10000</v>
      </c>
      <c r="P1641" s="7">
        <v>46053.616735787044</v>
      </c>
      <c r="Q1641" s="1" t="s">
        <v>330</v>
      </c>
      <c r="T1641" s="1" t="s">
        <v>380</v>
      </c>
      <c r="U1641" s="1" t="s">
        <v>381</v>
      </c>
      <c r="V1641" s="1">
        <v>1</v>
      </c>
      <c r="W1641" s="3">
        <v>18045.55</v>
      </c>
      <c r="X1641" s="3">
        <v>18045.55</v>
      </c>
      <c r="Y1641" s="1" t="str">
        <f>VLOOKUP(A1641,[1]Detalle!$D$2:$CR$484,93,FALSE)</f>
        <v>SUC_MEN - Sucursal Mendoza</v>
      </c>
    </row>
    <row r="1642" spans="1:25" ht="14.25" customHeight="1" x14ac:dyDescent="0.3">
      <c r="A1642" s="1" t="s">
        <v>56</v>
      </c>
      <c r="B1642" s="1" t="s">
        <v>355</v>
      </c>
      <c r="C1642" s="1" t="s">
        <v>355</v>
      </c>
      <c r="D1642" s="1" t="s">
        <v>329</v>
      </c>
      <c r="E1642" s="6">
        <v>45751</v>
      </c>
      <c r="F1642" s="1">
        <v>39540</v>
      </c>
      <c r="G1642" s="1">
        <v>49540</v>
      </c>
      <c r="H1642" s="1">
        <v>3261.9</v>
      </c>
      <c r="I1642" s="1">
        <v>6738.1</v>
      </c>
      <c r="J1642" s="1">
        <v>42801.9</v>
      </c>
      <c r="K1642" s="1">
        <v>196</v>
      </c>
      <c r="L1642" s="1">
        <v>19.356900369003689</v>
      </c>
      <c r="M1642" s="1">
        <v>404.87678960115272</v>
      </c>
      <c r="N1642" s="7">
        <v>45947</v>
      </c>
      <c r="O1642" s="1">
        <v>10000</v>
      </c>
      <c r="P1642" s="7">
        <v>46351.876789606482</v>
      </c>
      <c r="Q1642" s="1" t="s">
        <v>330</v>
      </c>
      <c r="T1642" s="1" t="s">
        <v>356</v>
      </c>
      <c r="U1642" s="1" t="s">
        <v>357</v>
      </c>
      <c r="V1642" s="1">
        <v>1</v>
      </c>
      <c r="W1642" s="3">
        <v>11782.62</v>
      </c>
      <c r="X1642" s="3">
        <v>11782.62</v>
      </c>
      <c r="Y1642" s="1" t="str">
        <f>VLOOKUP(A1642,[1]Detalle!$D$2:$CR$484,93,FALSE)</f>
        <v>LlavDioc</v>
      </c>
    </row>
    <row r="1643" spans="1:25" ht="14.25" customHeight="1" x14ac:dyDescent="0.3">
      <c r="A1643" s="1" t="s">
        <v>56</v>
      </c>
      <c r="B1643" s="1" t="s">
        <v>358</v>
      </c>
      <c r="C1643" s="1" t="s">
        <v>358</v>
      </c>
      <c r="D1643" s="1" t="s">
        <v>359</v>
      </c>
      <c r="E1643" s="6">
        <v>45751</v>
      </c>
      <c r="F1643" s="1">
        <v>39540</v>
      </c>
      <c r="G1643" s="1">
        <v>49540</v>
      </c>
      <c r="H1643" s="1">
        <v>3261.9</v>
      </c>
      <c r="I1643" s="1">
        <v>6738.1</v>
      </c>
      <c r="J1643" s="1">
        <v>42801.9</v>
      </c>
      <c r="K1643" s="1">
        <v>196</v>
      </c>
      <c r="L1643" s="1">
        <v>19.356900369003689</v>
      </c>
      <c r="M1643" s="1">
        <v>404.87678960115272</v>
      </c>
      <c r="N1643" s="7">
        <v>45947</v>
      </c>
      <c r="O1643" s="1">
        <v>10000</v>
      </c>
      <c r="P1643" s="7">
        <v>46351.876789606482</v>
      </c>
      <c r="Q1643" s="1" t="s">
        <v>330</v>
      </c>
      <c r="T1643" s="1" t="s">
        <v>360</v>
      </c>
      <c r="U1643" s="1" t="s">
        <v>361</v>
      </c>
      <c r="V1643" s="1">
        <v>1</v>
      </c>
      <c r="W1643" s="3">
        <v>20353.939999999999</v>
      </c>
      <c r="X1643" s="3">
        <v>20353.939999999999</v>
      </c>
      <c r="Y1643" s="1" t="str">
        <f>VLOOKUP(A1643,[1]Detalle!$D$2:$CR$484,93,FALSE)</f>
        <v>LlavDioc</v>
      </c>
    </row>
    <row r="1644" spans="1:25" ht="14.25" customHeight="1" x14ac:dyDescent="0.3">
      <c r="A1644" s="1" t="s">
        <v>37</v>
      </c>
      <c r="B1644" s="1" t="s">
        <v>365</v>
      </c>
      <c r="C1644" s="1" t="s">
        <v>365</v>
      </c>
      <c r="D1644" s="1" t="s">
        <v>366</v>
      </c>
      <c r="E1644" s="6">
        <v>45859</v>
      </c>
      <c r="F1644" s="1">
        <v>24642.400000000001</v>
      </c>
      <c r="G1644" s="1">
        <v>34642.400000000001</v>
      </c>
      <c r="H1644" s="1">
        <v>5862.9999999999991</v>
      </c>
      <c r="I1644" s="1">
        <v>4137.0000000000009</v>
      </c>
      <c r="J1644" s="1">
        <v>30505.4</v>
      </c>
      <c r="K1644" s="1">
        <v>88</v>
      </c>
      <c r="L1644" s="1">
        <v>74.610410447761154</v>
      </c>
      <c r="M1644" s="1">
        <v>62.093808630394022</v>
      </c>
      <c r="N1644" s="7">
        <v>45947</v>
      </c>
      <c r="O1644" s="1">
        <v>10000</v>
      </c>
      <c r="P1644" s="7">
        <v>46143.123362141203</v>
      </c>
      <c r="Q1644" s="1" t="s">
        <v>330</v>
      </c>
      <c r="T1644" s="1" t="s">
        <v>378</v>
      </c>
      <c r="U1644" s="1" t="s">
        <v>379</v>
      </c>
      <c r="V1644" s="1">
        <v>1</v>
      </c>
      <c r="W1644" s="3">
        <v>13876.18</v>
      </c>
      <c r="X1644" s="3">
        <v>13876.18</v>
      </c>
      <c r="Y1644" s="1" t="str">
        <f>VLOOKUP(A1644,[1]Detalle!$D$2:$CR$484,93,FALSE)</f>
        <v>SUC_ROS - Sucursal Rosario</v>
      </c>
    </row>
    <row r="1645" spans="1:25" ht="14.25" customHeight="1" x14ac:dyDescent="0.3">
      <c r="A1645" s="1" t="s">
        <v>38</v>
      </c>
      <c r="B1645" s="1" t="s">
        <v>365</v>
      </c>
      <c r="C1645" s="1" t="s">
        <v>365</v>
      </c>
      <c r="D1645" s="1" t="s">
        <v>366</v>
      </c>
      <c r="E1645" s="1" t="s">
        <v>337</v>
      </c>
      <c r="F1645" s="1">
        <v>19099.3</v>
      </c>
      <c r="G1645" s="1">
        <v>29099.3</v>
      </c>
      <c r="H1645" s="1">
        <v>4604.5000000000009</v>
      </c>
      <c r="I1645" s="1">
        <v>5395.4999999999991</v>
      </c>
      <c r="J1645" s="1">
        <v>23703.8</v>
      </c>
      <c r="K1645" s="1">
        <v>67</v>
      </c>
      <c r="L1645" s="1">
        <v>63.391962962962928</v>
      </c>
      <c r="M1645" s="1">
        <v>78.509827342816777</v>
      </c>
      <c r="N1645" s="7">
        <v>45947</v>
      </c>
      <c r="O1645" s="1">
        <v>10000</v>
      </c>
      <c r="P1645" s="7">
        <v>46025.509827337963</v>
      </c>
      <c r="Q1645" s="1" t="s">
        <v>330</v>
      </c>
      <c r="T1645" s="1" t="s">
        <v>378</v>
      </c>
      <c r="U1645" s="1" t="s">
        <v>379</v>
      </c>
      <c r="V1645" s="1">
        <v>1</v>
      </c>
      <c r="W1645" s="3">
        <v>13876.18</v>
      </c>
      <c r="X1645" s="3">
        <v>13876.18</v>
      </c>
      <c r="Y1645" s="1" t="str">
        <f>VLOOKUP(A1645,[1]Detalle!$D$2:$CR$484,93,FALSE)</f>
        <v>SUC_SRA - Sucursal San Rafael</v>
      </c>
    </row>
    <row r="1646" spans="1:25" ht="14.25" customHeight="1" x14ac:dyDescent="0.3">
      <c r="A1646" s="1" t="s">
        <v>56</v>
      </c>
      <c r="B1646" s="1" t="s">
        <v>371</v>
      </c>
      <c r="C1646" s="1" t="s">
        <v>371</v>
      </c>
      <c r="D1646" s="1" t="s">
        <v>372</v>
      </c>
      <c r="E1646" s="6">
        <v>45751</v>
      </c>
      <c r="F1646" s="1">
        <v>39540</v>
      </c>
      <c r="G1646" s="1">
        <v>49540</v>
      </c>
      <c r="H1646" s="1">
        <v>3261.9</v>
      </c>
      <c r="I1646" s="1">
        <v>6738.1</v>
      </c>
      <c r="J1646" s="1">
        <v>42801.9</v>
      </c>
      <c r="K1646" s="1">
        <v>196</v>
      </c>
      <c r="L1646" s="1">
        <v>19.356900369003689</v>
      </c>
      <c r="M1646" s="1">
        <v>404.87678960115272</v>
      </c>
      <c r="N1646" s="7">
        <v>45947</v>
      </c>
      <c r="O1646" s="1">
        <v>10000</v>
      </c>
      <c r="P1646" s="7">
        <v>46351.876789606482</v>
      </c>
      <c r="Q1646" s="1" t="s">
        <v>330</v>
      </c>
      <c r="T1646" s="1" t="s">
        <v>373</v>
      </c>
      <c r="U1646" s="1" t="s">
        <v>374</v>
      </c>
      <c r="V1646" s="1">
        <v>1</v>
      </c>
      <c r="W1646" s="3">
        <v>9054.85</v>
      </c>
      <c r="X1646" s="3">
        <v>9054.85</v>
      </c>
      <c r="Y1646" s="1" t="str">
        <f>VLOOKUP(A1646,[1]Detalle!$D$2:$CR$484,93,FALSE)</f>
        <v>LlavDioc</v>
      </c>
    </row>
    <row r="1647" spans="1:25" ht="14.25" customHeight="1" x14ac:dyDescent="0.3">
      <c r="A1647" s="1" t="s">
        <v>41</v>
      </c>
      <c r="B1647" s="1" t="s">
        <v>365</v>
      </c>
      <c r="C1647" s="1" t="s">
        <v>365</v>
      </c>
      <c r="D1647" s="1" t="s">
        <v>366</v>
      </c>
      <c r="E1647" s="1" t="s">
        <v>337</v>
      </c>
      <c r="L1647" s="1">
        <v>30.82394833948339</v>
      </c>
      <c r="N1647" s="7">
        <v>45947</v>
      </c>
      <c r="O1647" s="1">
        <v>10000</v>
      </c>
      <c r="P1647" s="7">
        <v>46271.423071631943</v>
      </c>
      <c r="Q1647" s="1" t="s">
        <v>330</v>
      </c>
      <c r="T1647" s="1" t="s">
        <v>387</v>
      </c>
      <c r="U1647" s="1" t="s">
        <v>388</v>
      </c>
      <c r="V1647" s="1">
        <v>1</v>
      </c>
      <c r="W1647" s="3">
        <v>8857.74</v>
      </c>
      <c r="X1647" s="3">
        <v>8857.74</v>
      </c>
      <c r="Y1647" s="1" t="str">
        <f>VLOOKUP(A1647,[1]Detalle!$D$2:$CR$484,93,FALSE)</f>
        <v>CMQ_TTE - QUILMES TTE</v>
      </c>
    </row>
    <row r="1648" spans="1:25" ht="14.25" customHeight="1" x14ac:dyDescent="0.3">
      <c r="A1648" s="1" t="s">
        <v>47</v>
      </c>
      <c r="B1648" s="1" t="s">
        <v>365</v>
      </c>
      <c r="C1648" s="1" t="s">
        <v>365</v>
      </c>
      <c r="D1648" s="1" t="s">
        <v>366</v>
      </c>
      <c r="E1648" s="1" t="s">
        <v>337</v>
      </c>
      <c r="L1648" s="1">
        <v>75.146865671641763</v>
      </c>
      <c r="N1648" s="7">
        <v>45947</v>
      </c>
      <c r="O1648" s="1">
        <v>10000</v>
      </c>
      <c r="P1648" s="7">
        <v>46080.072749085652</v>
      </c>
      <c r="Q1648" s="1" t="s">
        <v>330</v>
      </c>
      <c r="T1648" s="1" t="s">
        <v>378</v>
      </c>
      <c r="U1648" s="1" t="s">
        <v>379</v>
      </c>
      <c r="V1648" s="1">
        <v>1</v>
      </c>
      <c r="W1648" s="3">
        <v>13876.18</v>
      </c>
      <c r="X1648" s="3">
        <v>13876.18</v>
      </c>
      <c r="Y1648" s="1" t="str">
        <f>VLOOKUP(A1648,[1]Detalle!$D$2:$CR$484,93,FALSE)</f>
        <v>SUC_MEN - Sucursal Mendoza</v>
      </c>
    </row>
    <row r="1649" spans="1:25" ht="14.25" customHeight="1" x14ac:dyDescent="0.3">
      <c r="A1649" s="1" t="s">
        <v>48</v>
      </c>
      <c r="B1649" s="1" t="s">
        <v>365</v>
      </c>
      <c r="C1649" s="1" t="s">
        <v>365</v>
      </c>
      <c r="D1649" s="1" t="s">
        <v>366</v>
      </c>
      <c r="E1649" s="6">
        <v>45884</v>
      </c>
      <c r="F1649" s="1">
        <v>20538.5</v>
      </c>
      <c r="G1649" s="1">
        <v>30538.5</v>
      </c>
      <c r="H1649" s="1">
        <v>1841.3</v>
      </c>
      <c r="I1649" s="1">
        <v>8158.7</v>
      </c>
      <c r="J1649" s="1">
        <v>22379.8</v>
      </c>
      <c r="K1649" s="1">
        <v>63</v>
      </c>
      <c r="L1649" s="1">
        <v>55.441375464683993</v>
      </c>
      <c r="M1649" s="1">
        <v>279.14956823983061</v>
      </c>
      <c r="N1649" s="7">
        <v>45947</v>
      </c>
      <c r="O1649" s="1">
        <v>10000</v>
      </c>
      <c r="P1649" s="7">
        <v>46226.14956824074</v>
      </c>
      <c r="Q1649" s="1" t="s">
        <v>330</v>
      </c>
      <c r="T1649" s="1" t="s">
        <v>378</v>
      </c>
      <c r="U1649" s="1" t="s">
        <v>379</v>
      </c>
      <c r="V1649" s="1">
        <v>1</v>
      </c>
      <c r="W1649" s="3">
        <v>13876.18</v>
      </c>
      <c r="X1649" s="3">
        <v>13876.18</v>
      </c>
      <c r="Y1649" s="1" t="str">
        <f>VLOOKUP(A1649,[1]Detalle!$D$2:$CR$484,93,FALSE)</f>
        <v>Unilever - Unilever de Arg. S.A.</v>
      </c>
    </row>
    <row r="1650" spans="1:25" ht="14.25" customHeight="1" x14ac:dyDescent="0.3">
      <c r="A1650" s="1" t="s">
        <v>49</v>
      </c>
      <c r="B1650" s="1" t="s">
        <v>365</v>
      </c>
      <c r="C1650" s="1" t="s">
        <v>365</v>
      </c>
      <c r="D1650" s="1" t="s">
        <v>366</v>
      </c>
      <c r="E1650" s="6">
        <v>45845</v>
      </c>
      <c r="F1650" s="1">
        <v>81918.100000000006</v>
      </c>
      <c r="G1650" s="1">
        <v>91918.1</v>
      </c>
      <c r="H1650" s="1">
        <v>7752.4</v>
      </c>
      <c r="I1650" s="1">
        <v>2247.6</v>
      </c>
      <c r="J1650" s="1">
        <v>89670.5</v>
      </c>
      <c r="K1650" s="1">
        <v>102</v>
      </c>
      <c r="L1650" s="1">
        <v>82.189312977099249</v>
      </c>
      <c r="M1650" s="1">
        <v>29.572158299365359</v>
      </c>
      <c r="N1650" s="7">
        <v>45947</v>
      </c>
      <c r="O1650" s="1">
        <v>10000</v>
      </c>
      <c r="P1650" s="7">
        <v>46098.242478171298</v>
      </c>
      <c r="Q1650" s="1" t="s">
        <v>330</v>
      </c>
      <c r="T1650" s="1" t="s">
        <v>378</v>
      </c>
      <c r="U1650" s="1" t="s">
        <v>379</v>
      </c>
      <c r="V1650" s="1">
        <v>1</v>
      </c>
      <c r="W1650" s="3">
        <v>13876.18</v>
      </c>
      <c r="X1650" s="3">
        <v>13876.18</v>
      </c>
      <c r="Y1650" s="1" t="str">
        <f>VLOOKUP(A1650,[1]Detalle!$D$2:$CR$484,93,FALSE)</f>
        <v>SUC_CTC - Sucursal Buenos Aires</v>
      </c>
    </row>
    <row r="1651" spans="1:25" ht="14.25" customHeight="1" x14ac:dyDescent="0.3">
      <c r="A1651" s="1" t="s">
        <v>53</v>
      </c>
      <c r="B1651" s="1" t="s">
        <v>365</v>
      </c>
      <c r="C1651" s="1" t="s">
        <v>365</v>
      </c>
      <c r="D1651" s="1" t="s">
        <v>366</v>
      </c>
      <c r="E1651" s="1" t="s">
        <v>337</v>
      </c>
      <c r="F1651" s="1">
        <v>22721</v>
      </c>
      <c r="G1651" s="1">
        <v>32721</v>
      </c>
      <c r="H1651" s="1">
        <v>6755.9999999999982</v>
      </c>
      <c r="I1651" s="1">
        <v>3244.0000000000018</v>
      </c>
      <c r="J1651" s="1">
        <v>29477</v>
      </c>
      <c r="K1651" s="1">
        <v>111</v>
      </c>
      <c r="L1651" s="1">
        <v>49.806715867158687</v>
      </c>
      <c r="M1651" s="1">
        <v>53.298401420959188</v>
      </c>
      <c r="N1651" s="7">
        <v>45947</v>
      </c>
      <c r="O1651" s="1">
        <v>10000</v>
      </c>
      <c r="P1651" s="7">
        <v>46201.074538252316</v>
      </c>
      <c r="Q1651" s="1" t="s">
        <v>330</v>
      </c>
      <c r="T1651" s="1" t="s">
        <v>387</v>
      </c>
      <c r="U1651" s="1" t="s">
        <v>388</v>
      </c>
      <c r="V1651" s="1">
        <v>1</v>
      </c>
      <c r="W1651" s="3">
        <v>8857.74</v>
      </c>
      <c r="X1651" s="3">
        <v>8857.74</v>
      </c>
      <c r="Y1651" s="1" t="str">
        <f>VLOOKUP(A1651,[1]Detalle!$D$2:$CR$484,93,FALSE)</f>
        <v>CIMSA_SRA</v>
      </c>
    </row>
    <row r="1652" spans="1:25" ht="14.25" customHeight="1" x14ac:dyDescent="0.3">
      <c r="A1652" s="1" t="s">
        <v>56</v>
      </c>
      <c r="B1652" s="1" t="s">
        <v>365</v>
      </c>
      <c r="C1652" s="1" t="s">
        <v>365</v>
      </c>
      <c r="D1652" s="1" t="s">
        <v>366</v>
      </c>
      <c r="E1652" s="1" t="s">
        <v>337</v>
      </c>
      <c r="F1652" s="1">
        <v>39540</v>
      </c>
      <c r="G1652" s="1">
        <v>49540</v>
      </c>
      <c r="H1652" s="1">
        <v>3261.9</v>
      </c>
      <c r="I1652" s="1">
        <v>6738.1</v>
      </c>
      <c r="J1652" s="1">
        <v>42801.9</v>
      </c>
      <c r="K1652" s="1">
        <v>180</v>
      </c>
      <c r="L1652" s="1">
        <v>19.356900369003689</v>
      </c>
      <c r="M1652" s="1">
        <v>371.82562310309947</v>
      </c>
      <c r="N1652" s="7">
        <v>45947</v>
      </c>
      <c r="O1652" s="1">
        <v>10000</v>
      </c>
      <c r="P1652" s="7">
        <v>46318.825623101853</v>
      </c>
      <c r="Q1652" s="1" t="s">
        <v>330</v>
      </c>
      <c r="T1652" s="1" t="s">
        <v>367</v>
      </c>
      <c r="U1652" s="1" t="s">
        <v>368</v>
      </c>
      <c r="V1652" s="1">
        <v>1</v>
      </c>
      <c r="W1652" s="3">
        <v>11957.23</v>
      </c>
      <c r="X1652" s="3">
        <v>11957.23</v>
      </c>
      <c r="Y1652" s="1" t="str">
        <f>VLOOKUP(A1652,[1]Detalle!$D$2:$CR$484,93,FALSE)</f>
        <v>LlavDioc</v>
      </c>
    </row>
    <row r="1653" spans="1:25" ht="14.25" customHeight="1" x14ac:dyDescent="0.3">
      <c r="A1653" s="1" t="s">
        <v>57</v>
      </c>
      <c r="B1653" s="1" t="s">
        <v>355</v>
      </c>
      <c r="C1653" s="1" t="s">
        <v>355</v>
      </c>
      <c r="D1653" s="1" t="s">
        <v>329</v>
      </c>
      <c r="E1653" s="6">
        <v>45817</v>
      </c>
      <c r="F1653" s="1">
        <v>27690</v>
      </c>
      <c r="G1653" s="1">
        <v>37690</v>
      </c>
      <c r="H1653" s="1">
        <v>4680.9999999999991</v>
      </c>
      <c r="I1653" s="1">
        <v>5319.0000000000009</v>
      </c>
      <c r="J1653" s="1">
        <v>32371</v>
      </c>
      <c r="K1653" s="1">
        <v>130</v>
      </c>
      <c r="L1653" s="1">
        <v>63.689854014598552</v>
      </c>
      <c r="M1653" s="1">
        <v>147.71843623157449</v>
      </c>
      <c r="N1653" s="7">
        <v>45947</v>
      </c>
      <c r="O1653" s="1">
        <v>10000</v>
      </c>
      <c r="P1653" s="7">
        <v>46094.718436226853</v>
      </c>
      <c r="Q1653" s="1" t="s">
        <v>330</v>
      </c>
      <c r="T1653" s="1" t="s">
        <v>356</v>
      </c>
      <c r="U1653" s="1" t="s">
        <v>357</v>
      </c>
      <c r="V1653" s="1">
        <v>1</v>
      </c>
      <c r="W1653" s="3">
        <v>11782.62</v>
      </c>
      <c r="X1653" s="3">
        <v>11782.62</v>
      </c>
      <c r="Y1653" s="1" t="str">
        <f>VLOOKUP(A1653,[1]Detalle!$D$2:$CR$484,93,FALSE)</f>
        <v>LlaveLay</v>
      </c>
    </row>
    <row r="1654" spans="1:25" ht="14.25" customHeight="1" x14ac:dyDescent="0.3">
      <c r="A1654" s="1" t="s">
        <v>81</v>
      </c>
      <c r="B1654" s="1" t="s">
        <v>365</v>
      </c>
      <c r="C1654" s="1" t="s">
        <v>365</v>
      </c>
      <c r="D1654" s="1" t="s">
        <v>366</v>
      </c>
      <c r="E1654" s="1" t="s">
        <v>337</v>
      </c>
      <c r="L1654" s="1">
        <v>25.830369003690031</v>
      </c>
      <c r="N1654" s="7">
        <v>45947</v>
      </c>
      <c r="O1654" s="1">
        <v>10000</v>
      </c>
      <c r="P1654" s="7">
        <v>46334.141197962963</v>
      </c>
      <c r="Q1654" s="1" t="s">
        <v>330</v>
      </c>
      <c r="T1654" s="1" t="s">
        <v>387</v>
      </c>
      <c r="U1654" s="1" t="s">
        <v>388</v>
      </c>
      <c r="V1654" s="1">
        <v>1</v>
      </c>
      <c r="W1654" s="3">
        <v>8857.74</v>
      </c>
      <c r="X1654" s="3">
        <v>8857.74</v>
      </c>
      <c r="Y1654" s="1" t="str">
        <f>VLOOKUP(A1654,[1]Detalle!$D$2:$CR$484,93,FALSE)</f>
        <v>CIMSA_BS AS</v>
      </c>
    </row>
    <row r="1655" spans="1:25" ht="14.25" customHeight="1" x14ac:dyDescent="0.3">
      <c r="A1655" s="1" t="s">
        <v>178</v>
      </c>
      <c r="B1655" s="1" t="s">
        <v>365</v>
      </c>
      <c r="C1655" s="1" t="s">
        <v>365</v>
      </c>
      <c r="D1655" s="1" t="s">
        <v>366</v>
      </c>
      <c r="E1655" s="6">
        <v>45915</v>
      </c>
      <c r="F1655" s="1">
        <v>317907</v>
      </c>
      <c r="G1655" s="1">
        <v>327907</v>
      </c>
      <c r="H1655" s="1">
        <v>0</v>
      </c>
      <c r="I1655" s="1">
        <v>10000</v>
      </c>
      <c r="J1655" s="1">
        <v>317907</v>
      </c>
      <c r="K1655" s="1">
        <v>32</v>
      </c>
      <c r="L1655" s="1">
        <v>182.42433333333329</v>
      </c>
      <c r="M1655" s="1">
        <v>100</v>
      </c>
      <c r="N1655" s="7">
        <v>45947</v>
      </c>
      <c r="O1655" s="1">
        <v>10000</v>
      </c>
      <c r="P1655" s="7">
        <v>46047</v>
      </c>
      <c r="Q1655" s="1" t="s">
        <v>330</v>
      </c>
      <c r="T1655" s="1" t="s">
        <v>390</v>
      </c>
      <c r="U1655" s="1" t="s">
        <v>391</v>
      </c>
      <c r="V1655" s="1">
        <v>1</v>
      </c>
      <c r="W1655" s="3">
        <v>16936.61</v>
      </c>
      <c r="X1655" s="3">
        <v>16936.61</v>
      </c>
      <c r="Y1655" s="1" t="str">
        <f>VLOOKUP(A1655,[1]Detalle!$D$2:$CR$484,93,FALSE)</f>
        <v>SUC_CTC - Sucursal Buenos Aires</v>
      </c>
    </row>
    <row r="1656" spans="1:25" ht="14.25" customHeight="1" x14ac:dyDescent="0.3">
      <c r="A1656" s="1" t="s">
        <v>57</v>
      </c>
      <c r="B1656" s="1" t="s">
        <v>358</v>
      </c>
      <c r="C1656" s="1" t="s">
        <v>358</v>
      </c>
      <c r="D1656" s="1" t="s">
        <v>359</v>
      </c>
      <c r="E1656" s="6">
        <v>45664</v>
      </c>
      <c r="F1656" s="1">
        <v>15788</v>
      </c>
      <c r="G1656" s="1">
        <v>25788</v>
      </c>
      <c r="H1656" s="1">
        <v>17010.12</v>
      </c>
      <c r="I1656" s="1">
        <v>-7010.1199999999953</v>
      </c>
      <c r="J1656" s="1">
        <v>32798.120000000003</v>
      </c>
      <c r="K1656" s="1">
        <v>283</v>
      </c>
      <c r="L1656" s="1">
        <v>63.689854014598552</v>
      </c>
      <c r="M1656" s="1">
        <v>-116.6284517687118</v>
      </c>
      <c r="N1656" s="7">
        <v>45947</v>
      </c>
      <c r="O1656" s="1">
        <v>10000</v>
      </c>
      <c r="P1656" s="7">
        <v>46104.010879594913</v>
      </c>
      <c r="Q1656" s="1" t="s">
        <v>330</v>
      </c>
      <c r="T1656" s="1" t="s">
        <v>360</v>
      </c>
      <c r="U1656" s="1" t="s">
        <v>361</v>
      </c>
      <c r="V1656" s="1">
        <v>1</v>
      </c>
      <c r="W1656" s="3">
        <v>20353.939999999999</v>
      </c>
      <c r="X1656" s="3">
        <v>20353.939999999999</v>
      </c>
      <c r="Y1656" s="1" t="str">
        <f>VLOOKUP(A1656,[1]Detalle!$D$2:$CR$484,93,FALSE)</f>
        <v>LlaveLay</v>
      </c>
    </row>
    <row r="1657" spans="1:25" ht="14.25" customHeight="1" x14ac:dyDescent="0.3">
      <c r="A1657" s="1" t="s">
        <v>34</v>
      </c>
      <c r="B1657" s="1" t="s">
        <v>371</v>
      </c>
      <c r="C1657" s="1" t="s">
        <v>371</v>
      </c>
      <c r="D1657" s="1" t="s">
        <v>372</v>
      </c>
      <c r="E1657" s="1" t="s">
        <v>337</v>
      </c>
      <c r="L1657" s="1">
        <v>42.663308823529412</v>
      </c>
      <c r="N1657" s="7">
        <v>45947</v>
      </c>
      <c r="O1657" s="1">
        <v>10000</v>
      </c>
      <c r="P1657" s="7">
        <v>46181.393446631948</v>
      </c>
      <c r="Q1657" s="1" t="s">
        <v>330</v>
      </c>
      <c r="T1657" s="1" t="s">
        <v>380</v>
      </c>
      <c r="U1657" s="1" t="s">
        <v>381</v>
      </c>
      <c r="V1657" s="1">
        <v>1</v>
      </c>
      <c r="W1657" s="3">
        <v>18045.55</v>
      </c>
      <c r="X1657" s="3">
        <v>18045.55</v>
      </c>
      <c r="Y1657" s="1" t="str">
        <f>VLOOKUP(A1657,[1]Detalle!$D$2:$CR$484,93,FALSE)</f>
        <v>CMQ_TTE - QUILMES TTE</v>
      </c>
    </row>
    <row r="1658" spans="1:25" ht="14.25" customHeight="1" x14ac:dyDescent="0.3">
      <c r="A1658" s="1" t="s">
        <v>57</v>
      </c>
      <c r="B1658" s="1" t="s">
        <v>365</v>
      </c>
      <c r="C1658" s="1" t="s">
        <v>365</v>
      </c>
      <c r="D1658" s="1" t="s">
        <v>366</v>
      </c>
      <c r="E1658" s="6">
        <v>45817</v>
      </c>
      <c r="F1658" s="1">
        <v>27690</v>
      </c>
      <c r="G1658" s="1">
        <v>37690</v>
      </c>
      <c r="H1658" s="1">
        <v>4680.9999999999991</v>
      </c>
      <c r="I1658" s="1">
        <v>5319.0000000000009</v>
      </c>
      <c r="J1658" s="1">
        <v>32371</v>
      </c>
      <c r="K1658" s="1">
        <v>130</v>
      </c>
      <c r="L1658" s="1">
        <v>63.689854014598552</v>
      </c>
      <c r="M1658" s="1">
        <v>147.71843623157449</v>
      </c>
      <c r="N1658" s="7">
        <v>45947</v>
      </c>
      <c r="O1658" s="1">
        <v>10000</v>
      </c>
      <c r="P1658" s="7">
        <v>46094.718436226853</v>
      </c>
      <c r="Q1658" s="1" t="s">
        <v>330</v>
      </c>
      <c r="T1658" s="1" t="s">
        <v>367</v>
      </c>
      <c r="U1658" s="1" t="s">
        <v>368</v>
      </c>
      <c r="V1658" s="1">
        <v>1</v>
      </c>
      <c r="W1658" s="3">
        <v>11957.23</v>
      </c>
      <c r="X1658" s="3">
        <v>11957.23</v>
      </c>
      <c r="Y1658" s="1" t="str">
        <f>VLOOKUP(A1658,[1]Detalle!$D$2:$CR$484,93,FALSE)</f>
        <v>LlaveLay</v>
      </c>
    </row>
    <row r="1659" spans="1:25" ht="14.25" customHeight="1" x14ac:dyDescent="0.3">
      <c r="A1659" s="1" t="s">
        <v>37</v>
      </c>
      <c r="B1659" s="1" t="s">
        <v>371</v>
      </c>
      <c r="C1659" s="1" t="s">
        <v>371</v>
      </c>
      <c r="D1659" s="1" t="s">
        <v>372</v>
      </c>
      <c r="E1659" s="1" t="s">
        <v>337</v>
      </c>
      <c r="F1659" s="1">
        <v>24642.400000000001</v>
      </c>
      <c r="G1659" s="1">
        <v>34642.400000000001</v>
      </c>
      <c r="H1659" s="1">
        <v>5862.9999999999991</v>
      </c>
      <c r="I1659" s="1">
        <v>4137.0000000000009</v>
      </c>
      <c r="J1659" s="1">
        <v>30505.4</v>
      </c>
      <c r="K1659" s="1">
        <v>72</v>
      </c>
      <c r="L1659" s="1">
        <v>74.610410447761154</v>
      </c>
      <c r="M1659" s="1">
        <v>50.804025243049651</v>
      </c>
      <c r="N1659" s="7">
        <v>45947</v>
      </c>
      <c r="O1659" s="1">
        <v>10000</v>
      </c>
      <c r="P1659" s="7">
        <v>46131.833578761572</v>
      </c>
      <c r="Q1659" s="1" t="s">
        <v>330</v>
      </c>
      <c r="T1659" s="1" t="s">
        <v>380</v>
      </c>
      <c r="U1659" s="1" t="s">
        <v>381</v>
      </c>
      <c r="V1659" s="1">
        <v>1</v>
      </c>
      <c r="W1659" s="3">
        <v>18045.55</v>
      </c>
      <c r="X1659" s="3">
        <v>18045.55</v>
      </c>
      <c r="Y1659" s="1" t="str">
        <f>VLOOKUP(A1659,[1]Detalle!$D$2:$CR$484,93,FALSE)</f>
        <v>SUC_ROS - Sucursal Rosario</v>
      </c>
    </row>
    <row r="1660" spans="1:25" ht="14.25" customHeight="1" x14ac:dyDescent="0.3">
      <c r="A1660" s="1" t="s">
        <v>38</v>
      </c>
      <c r="B1660" s="1" t="s">
        <v>371</v>
      </c>
      <c r="C1660" s="1" t="s">
        <v>371</v>
      </c>
      <c r="D1660" s="1" t="s">
        <v>372</v>
      </c>
      <c r="E1660" s="1" t="s">
        <v>337</v>
      </c>
      <c r="F1660" s="1">
        <v>19099.3</v>
      </c>
      <c r="G1660" s="1">
        <v>29099.3</v>
      </c>
      <c r="H1660" s="1">
        <v>4604.5000000000009</v>
      </c>
      <c r="I1660" s="1">
        <v>5395.4999999999991</v>
      </c>
      <c r="J1660" s="1">
        <v>23703.8</v>
      </c>
      <c r="K1660" s="1">
        <v>67</v>
      </c>
      <c r="L1660" s="1">
        <v>63.391962962962928</v>
      </c>
      <c r="M1660" s="1">
        <v>78.509827342816777</v>
      </c>
      <c r="N1660" s="7">
        <v>45947</v>
      </c>
      <c r="O1660" s="1">
        <v>10000</v>
      </c>
      <c r="P1660" s="7">
        <v>46025.509827337963</v>
      </c>
      <c r="Q1660" s="1" t="s">
        <v>330</v>
      </c>
      <c r="W1660" s="3"/>
      <c r="X1660" s="3">
        <v>0</v>
      </c>
      <c r="Y1660" s="1" t="str">
        <f>VLOOKUP(A1660,[1]Detalle!$D$2:$CR$484,93,FALSE)</f>
        <v>SUC_SRA - Sucursal San Rafael</v>
      </c>
    </row>
    <row r="1661" spans="1:25" ht="14.25" customHeight="1" x14ac:dyDescent="0.3">
      <c r="A1661" s="1" t="s">
        <v>178</v>
      </c>
      <c r="B1661" s="1" t="s">
        <v>355</v>
      </c>
      <c r="C1661" s="1" t="s">
        <v>355</v>
      </c>
      <c r="D1661" s="1" t="s">
        <v>329</v>
      </c>
      <c r="E1661" s="6">
        <v>45915</v>
      </c>
      <c r="F1661" s="1">
        <v>317907</v>
      </c>
      <c r="G1661" s="1">
        <v>327907</v>
      </c>
      <c r="H1661" s="1">
        <v>0</v>
      </c>
      <c r="I1661" s="1">
        <v>10000</v>
      </c>
      <c r="J1661" s="1">
        <v>317907</v>
      </c>
      <c r="K1661" s="1">
        <v>32</v>
      </c>
      <c r="L1661" s="1">
        <v>182.42433333333329</v>
      </c>
      <c r="M1661" s="1">
        <v>100</v>
      </c>
      <c r="N1661" s="7">
        <v>45947</v>
      </c>
      <c r="O1661" s="1">
        <v>10000</v>
      </c>
      <c r="P1661" s="7">
        <v>46047</v>
      </c>
      <c r="Q1661" s="1" t="s">
        <v>330</v>
      </c>
      <c r="T1661" s="1" t="s">
        <v>363</v>
      </c>
      <c r="U1661" s="1" t="s">
        <v>364</v>
      </c>
      <c r="V1661" s="1">
        <v>1</v>
      </c>
      <c r="W1661" s="3">
        <v>12001.14</v>
      </c>
      <c r="X1661" s="3">
        <v>12001.14</v>
      </c>
      <c r="Y1661" s="1" t="str">
        <f>VLOOKUP(A1661,[1]Detalle!$D$2:$CR$484,93,FALSE)</f>
        <v>SUC_CTC - Sucursal Buenos Aires</v>
      </c>
    </row>
    <row r="1662" spans="1:25" ht="14.25" customHeight="1" x14ac:dyDescent="0.3">
      <c r="A1662" s="1" t="s">
        <v>41</v>
      </c>
      <c r="B1662" s="1" t="s">
        <v>371</v>
      </c>
      <c r="C1662" s="1" t="s">
        <v>371</v>
      </c>
      <c r="D1662" s="1" t="s">
        <v>372</v>
      </c>
      <c r="E1662" s="1" t="s">
        <v>337</v>
      </c>
      <c r="L1662" s="1">
        <v>30.82394833948339</v>
      </c>
      <c r="N1662" s="7">
        <v>45947</v>
      </c>
      <c r="O1662" s="1">
        <v>10000</v>
      </c>
      <c r="P1662" s="7">
        <v>46271.423071631943</v>
      </c>
      <c r="Q1662" s="1" t="s">
        <v>330</v>
      </c>
      <c r="T1662" s="1" t="s">
        <v>392</v>
      </c>
      <c r="U1662" s="1" t="s">
        <v>393</v>
      </c>
      <c r="V1662" s="1">
        <v>1</v>
      </c>
      <c r="W1662" s="3">
        <v>7060.88</v>
      </c>
      <c r="X1662" s="3">
        <v>7060.88</v>
      </c>
      <c r="Y1662" s="1" t="str">
        <f>VLOOKUP(A1662,[1]Detalle!$D$2:$CR$484,93,FALSE)</f>
        <v>CMQ_TTE - QUILMES TTE</v>
      </c>
    </row>
    <row r="1663" spans="1:25" ht="14.25" customHeight="1" x14ac:dyDescent="0.3">
      <c r="A1663" s="1" t="s">
        <v>47</v>
      </c>
      <c r="B1663" s="1" t="s">
        <v>371</v>
      </c>
      <c r="C1663" s="1" t="s">
        <v>371</v>
      </c>
      <c r="D1663" s="1" t="s">
        <v>372</v>
      </c>
      <c r="E1663" s="1" t="s">
        <v>337</v>
      </c>
      <c r="L1663" s="1">
        <v>75.146865671641763</v>
      </c>
      <c r="N1663" s="7">
        <v>45947</v>
      </c>
      <c r="O1663" s="1">
        <v>10000</v>
      </c>
      <c r="P1663" s="7">
        <v>46080.072749085652</v>
      </c>
      <c r="Q1663" s="1" t="s">
        <v>330</v>
      </c>
      <c r="T1663" s="1" t="s">
        <v>380</v>
      </c>
      <c r="U1663" s="1" t="s">
        <v>381</v>
      </c>
      <c r="V1663" s="1">
        <v>1</v>
      </c>
      <c r="W1663" s="3">
        <v>18045.55</v>
      </c>
      <c r="X1663" s="3">
        <v>18045.55</v>
      </c>
      <c r="Y1663" s="1" t="str">
        <f>VLOOKUP(A1663,[1]Detalle!$D$2:$CR$484,93,FALSE)</f>
        <v>SUC_MEN - Sucursal Mendoza</v>
      </c>
    </row>
    <row r="1664" spans="1:25" ht="14.25" customHeight="1" x14ac:dyDescent="0.3">
      <c r="A1664" s="1" t="s">
        <v>48</v>
      </c>
      <c r="B1664" s="1" t="s">
        <v>371</v>
      </c>
      <c r="C1664" s="1" t="s">
        <v>371</v>
      </c>
      <c r="D1664" s="1" t="s">
        <v>372</v>
      </c>
      <c r="E1664" s="6">
        <v>45884</v>
      </c>
      <c r="F1664" s="1">
        <v>20538.5</v>
      </c>
      <c r="G1664" s="1">
        <v>30538.5</v>
      </c>
      <c r="H1664" s="1">
        <v>1841.3</v>
      </c>
      <c r="I1664" s="1">
        <v>8158.7</v>
      </c>
      <c r="J1664" s="1">
        <v>22379.8</v>
      </c>
      <c r="K1664" s="1">
        <v>63</v>
      </c>
      <c r="L1664" s="1">
        <v>55.441375464683993</v>
      </c>
      <c r="M1664" s="1">
        <v>279.14956823983061</v>
      </c>
      <c r="N1664" s="7">
        <v>45947</v>
      </c>
      <c r="O1664" s="1">
        <v>10000</v>
      </c>
      <c r="P1664" s="7">
        <v>46226.14956824074</v>
      </c>
      <c r="Q1664" s="1" t="s">
        <v>330</v>
      </c>
      <c r="T1664" s="1" t="s">
        <v>380</v>
      </c>
      <c r="U1664" s="1" t="s">
        <v>381</v>
      </c>
      <c r="V1664" s="1">
        <v>1</v>
      </c>
      <c r="W1664" s="3">
        <v>18045.55</v>
      </c>
      <c r="X1664" s="3">
        <v>18045.55</v>
      </c>
      <c r="Y1664" s="1" t="str">
        <f>VLOOKUP(A1664,[1]Detalle!$D$2:$CR$484,93,FALSE)</f>
        <v>Unilever - Unilever de Arg. S.A.</v>
      </c>
    </row>
    <row r="1665" spans="1:25" ht="14.25" customHeight="1" x14ac:dyDescent="0.3">
      <c r="A1665" s="1" t="s">
        <v>49</v>
      </c>
      <c r="B1665" s="1" t="s">
        <v>371</v>
      </c>
      <c r="C1665" s="1" t="s">
        <v>371</v>
      </c>
      <c r="D1665" s="1" t="s">
        <v>372</v>
      </c>
      <c r="E1665" s="6">
        <v>45845</v>
      </c>
      <c r="F1665" s="1">
        <v>81918.100000000006</v>
      </c>
      <c r="G1665" s="1">
        <v>91918.1</v>
      </c>
      <c r="H1665" s="1">
        <v>7752.4</v>
      </c>
      <c r="I1665" s="1">
        <v>2247.6</v>
      </c>
      <c r="J1665" s="1">
        <v>89670.5</v>
      </c>
      <c r="K1665" s="1">
        <v>102</v>
      </c>
      <c r="L1665" s="1">
        <v>82.189312977099249</v>
      </c>
      <c r="M1665" s="1">
        <v>29.572158299365359</v>
      </c>
      <c r="N1665" s="7">
        <v>45947</v>
      </c>
      <c r="O1665" s="1">
        <v>10000</v>
      </c>
      <c r="P1665" s="7">
        <v>46098.242478171298</v>
      </c>
      <c r="Q1665" s="1" t="s">
        <v>330</v>
      </c>
      <c r="T1665" s="1" t="s">
        <v>380</v>
      </c>
      <c r="U1665" s="1" t="s">
        <v>381</v>
      </c>
      <c r="V1665" s="1">
        <v>1</v>
      </c>
      <c r="W1665" s="3">
        <v>18045.55</v>
      </c>
      <c r="X1665" s="3">
        <v>18045.55</v>
      </c>
      <c r="Y1665" s="1" t="str">
        <f>VLOOKUP(A1665,[1]Detalle!$D$2:$CR$484,93,FALSE)</f>
        <v>SUC_CTC - Sucursal Buenos Aires</v>
      </c>
    </row>
    <row r="1666" spans="1:25" ht="14.25" customHeight="1" x14ac:dyDescent="0.3">
      <c r="A1666" s="1" t="s">
        <v>53</v>
      </c>
      <c r="B1666" s="1" t="s">
        <v>371</v>
      </c>
      <c r="C1666" s="1" t="s">
        <v>371</v>
      </c>
      <c r="D1666" s="1" t="s">
        <v>372</v>
      </c>
      <c r="E1666" s="1" t="s">
        <v>337</v>
      </c>
      <c r="F1666" s="1">
        <v>22721</v>
      </c>
      <c r="G1666" s="1">
        <v>32721</v>
      </c>
      <c r="H1666" s="1">
        <v>6755.9999999999982</v>
      </c>
      <c r="I1666" s="1">
        <v>3244.0000000000018</v>
      </c>
      <c r="J1666" s="1">
        <v>29477</v>
      </c>
      <c r="K1666" s="1">
        <v>111</v>
      </c>
      <c r="L1666" s="1">
        <v>49.806715867158687</v>
      </c>
      <c r="M1666" s="1">
        <v>53.298401420959188</v>
      </c>
      <c r="N1666" s="7">
        <v>45947</v>
      </c>
      <c r="O1666" s="1">
        <v>10000</v>
      </c>
      <c r="P1666" s="7">
        <v>46201.074538252316</v>
      </c>
      <c r="Q1666" s="1" t="s">
        <v>330</v>
      </c>
      <c r="T1666" s="1" t="s">
        <v>392</v>
      </c>
      <c r="U1666" s="1" t="s">
        <v>393</v>
      </c>
      <c r="V1666" s="1">
        <v>1</v>
      </c>
      <c r="W1666" s="3">
        <v>7060.88</v>
      </c>
      <c r="X1666" s="3">
        <v>7060.88</v>
      </c>
      <c r="Y1666" s="1" t="str">
        <f>VLOOKUP(A1666,[1]Detalle!$D$2:$CR$484,93,FALSE)</f>
        <v>CIMSA_SRA</v>
      </c>
    </row>
    <row r="1667" spans="1:25" ht="14.25" customHeight="1" x14ac:dyDescent="0.3">
      <c r="A1667" s="1" t="s">
        <v>178</v>
      </c>
      <c r="B1667" s="1" t="s">
        <v>358</v>
      </c>
      <c r="C1667" s="1" t="s">
        <v>358</v>
      </c>
      <c r="D1667" s="1" t="s">
        <v>359</v>
      </c>
      <c r="E1667" s="6">
        <v>45915</v>
      </c>
      <c r="F1667" s="1">
        <v>317907</v>
      </c>
      <c r="G1667" s="1">
        <v>327907</v>
      </c>
      <c r="H1667" s="1">
        <v>0</v>
      </c>
      <c r="I1667" s="1">
        <v>10000</v>
      </c>
      <c r="J1667" s="1">
        <v>317907</v>
      </c>
      <c r="K1667" s="1">
        <v>32</v>
      </c>
      <c r="L1667" s="1">
        <v>182.42433333333329</v>
      </c>
      <c r="M1667" s="1">
        <v>100</v>
      </c>
      <c r="N1667" s="7">
        <v>45947</v>
      </c>
      <c r="O1667" s="1">
        <v>10000</v>
      </c>
      <c r="P1667" s="7">
        <v>46047</v>
      </c>
      <c r="Q1667" s="1" t="s">
        <v>330</v>
      </c>
      <c r="T1667" s="1" t="s">
        <v>394</v>
      </c>
      <c r="U1667" s="1" t="s">
        <v>395</v>
      </c>
      <c r="V1667" s="1">
        <v>1</v>
      </c>
      <c r="W1667" s="3">
        <v>20014.55</v>
      </c>
      <c r="X1667" s="3">
        <v>20014.55</v>
      </c>
      <c r="Y1667" s="1" t="str">
        <f>VLOOKUP(A1667,[1]Detalle!$D$2:$CR$484,93,FALSE)</f>
        <v>SUC_CTC - Sucursal Buenos Aires</v>
      </c>
    </row>
    <row r="1668" spans="1:25" ht="14.25" customHeight="1" x14ac:dyDescent="0.3">
      <c r="A1668" s="1" t="s">
        <v>57</v>
      </c>
      <c r="B1668" s="1" t="s">
        <v>371</v>
      </c>
      <c r="C1668" s="1" t="s">
        <v>371</v>
      </c>
      <c r="D1668" s="1" t="s">
        <v>372</v>
      </c>
      <c r="E1668" s="1" t="s">
        <v>337</v>
      </c>
      <c r="F1668" s="1">
        <v>27690</v>
      </c>
      <c r="G1668" s="1">
        <v>37690</v>
      </c>
      <c r="H1668" s="1">
        <v>4680.9999999999991</v>
      </c>
      <c r="I1668" s="1">
        <v>5319.0000000000009</v>
      </c>
      <c r="J1668" s="1">
        <v>32371</v>
      </c>
      <c r="K1668" s="1">
        <v>114</v>
      </c>
      <c r="L1668" s="1">
        <v>63.689854014598552</v>
      </c>
      <c r="M1668" s="1">
        <v>129.53770561845761</v>
      </c>
      <c r="N1668" s="7">
        <v>45947</v>
      </c>
      <c r="O1668" s="1">
        <v>10000</v>
      </c>
      <c r="P1668" s="7">
        <v>46076.537705613417</v>
      </c>
      <c r="Q1668" s="1" t="s">
        <v>330</v>
      </c>
      <c r="T1668" s="1" t="s">
        <v>373</v>
      </c>
      <c r="U1668" s="1" t="s">
        <v>374</v>
      </c>
      <c r="V1668" s="1">
        <v>1</v>
      </c>
      <c r="W1668" s="3">
        <v>9054.85</v>
      </c>
      <c r="X1668" s="3">
        <v>9054.85</v>
      </c>
      <c r="Y1668" s="1" t="str">
        <f>VLOOKUP(A1668,[1]Detalle!$D$2:$CR$484,93,FALSE)</f>
        <v>LlaveLay</v>
      </c>
    </row>
    <row r="1669" spans="1:25" ht="14.25" customHeight="1" x14ac:dyDescent="0.3">
      <c r="A1669" s="1" t="s">
        <v>81</v>
      </c>
      <c r="B1669" s="1" t="s">
        <v>371</v>
      </c>
      <c r="C1669" s="1" t="s">
        <v>371</v>
      </c>
      <c r="D1669" s="1" t="s">
        <v>372</v>
      </c>
      <c r="E1669" s="1" t="s">
        <v>337</v>
      </c>
      <c r="L1669" s="1">
        <v>25.830369003690031</v>
      </c>
      <c r="N1669" s="7">
        <v>45947</v>
      </c>
      <c r="O1669" s="1">
        <v>10000</v>
      </c>
      <c r="P1669" s="7">
        <v>46334.141197962963</v>
      </c>
      <c r="Q1669" s="1" t="s">
        <v>330</v>
      </c>
      <c r="T1669" s="1" t="s">
        <v>392</v>
      </c>
      <c r="U1669" s="1" t="s">
        <v>393</v>
      </c>
      <c r="V1669" s="1">
        <v>1</v>
      </c>
      <c r="W1669" s="3">
        <v>7060.88</v>
      </c>
      <c r="X1669" s="3">
        <v>7060.88</v>
      </c>
      <c r="Y1669" s="1" t="str">
        <f>VLOOKUP(A1669,[1]Detalle!$D$2:$CR$484,93,FALSE)</f>
        <v>CIMSA_BS AS</v>
      </c>
    </row>
    <row r="1670" spans="1:25" ht="14.25" customHeight="1" x14ac:dyDescent="0.3">
      <c r="A1670" s="1" t="s">
        <v>178</v>
      </c>
      <c r="B1670" s="1" t="s">
        <v>371</v>
      </c>
      <c r="C1670" s="1" t="s">
        <v>371</v>
      </c>
      <c r="D1670" s="1" t="s">
        <v>372</v>
      </c>
      <c r="E1670" s="6">
        <v>45772</v>
      </c>
      <c r="F1670" s="1">
        <v>315468</v>
      </c>
      <c r="G1670" s="1">
        <v>325468</v>
      </c>
      <c r="H1670" s="1">
        <v>0</v>
      </c>
      <c r="I1670" s="1">
        <v>10000</v>
      </c>
      <c r="J1670" s="1">
        <v>315468</v>
      </c>
      <c r="K1670" s="1">
        <v>175</v>
      </c>
      <c r="L1670" s="1">
        <v>182.42433333333329</v>
      </c>
      <c r="M1670" s="1">
        <v>100</v>
      </c>
      <c r="N1670" s="7">
        <v>45947</v>
      </c>
      <c r="O1670" s="1">
        <v>10000</v>
      </c>
      <c r="P1670" s="7">
        <v>46047</v>
      </c>
      <c r="Q1670" s="1" t="s">
        <v>330</v>
      </c>
      <c r="T1670" s="1" t="s">
        <v>380</v>
      </c>
      <c r="U1670" s="1" t="s">
        <v>381</v>
      </c>
      <c r="V1670" s="1">
        <v>1</v>
      </c>
      <c r="W1670" s="3">
        <v>18045.55</v>
      </c>
      <c r="X1670" s="3">
        <v>18045.55</v>
      </c>
      <c r="Y1670" s="1" t="str">
        <f>VLOOKUP(A1670,[1]Detalle!$D$2:$CR$484,93,FALSE)</f>
        <v>SUC_CTC - Sucursal Buenos Aires</v>
      </c>
    </row>
    <row r="1671" spans="1:25" ht="14.25" customHeight="1" x14ac:dyDescent="0.3">
      <c r="A1671" s="1" t="s">
        <v>163</v>
      </c>
      <c r="B1671" s="1" t="s">
        <v>396</v>
      </c>
      <c r="C1671" s="1" t="s">
        <v>328</v>
      </c>
      <c r="D1671" s="1" t="s">
        <v>329</v>
      </c>
      <c r="E1671" s="6">
        <v>45845</v>
      </c>
      <c r="F1671" s="1">
        <v>656303</v>
      </c>
      <c r="G1671" s="1">
        <v>676303</v>
      </c>
      <c r="H1671" s="1">
        <v>6490.9999999999991</v>
      </c>
      <c r="I1671" s="1">
        <v>13509</v>
      </c>
      <c r="J1671" s="1">
        <v>662794</v>
      </c>
      <c r="K1671" s="1">
        <v>102</v>
      </c>
      <c r="L1671" s="1">
        <v>93.110293159609114</v>
      </c>
      <c r="M1671" s="1">
        <v>212.28131258665849</v>
      </c>
      <c r="N1671" s="7">
        <v>45947</v>
      </c>
      <c r="O1671" s="1">
        <v>20000</v>
      </c>
      <c r="P1671" s="7">
        <v>46159.281312581021</v>
      </c>
      <c r="Q1671" s="1" t="s">
        <v>330</v>
      </c>
      <c r="T1671" s="1" t="s">
        <v>331</v>
      </c>
      <c r="U1671" s="1" t="s">
        <v>332</v>
      </c>
      <c r="V1671" s="1">
        <v>16</v>
      </c>
      <c r="W1671" s="3">
        <v>3389.9</v>
      </c>
      <c r="X1671" s="3">
        <v>54238.400000000001</v>
      </c>
      <c r="Y1671" s="1" t="str">
        <f>VLOOKUP(A1671,[1]Detalle!$D$2:$CR$484,93,FALSE)</f>
        <v>Papelera - Papelera del Plata S.A.</v>
      </c>
    </row>
    <row r="1672" spans="1:25" ht="14.25" customHeight="1" x14ac:dyDescent="0.3">
      <c r="A1672" s="1" t="s">
        <v>163</v>
      </c>
      <c r="B1672" s="1" t="s">
        <v>396</v>
      </c>
      <c r="C1672" s="1" t="s">
        <v>328</v>
      </c>
      <c r="D1672" s="1" t="s">
        <v>329</v>
      </c>
      <c r="E1672" s="6">
        <v>45845</v>
      </c>
      <c r="F1672" s="1">
        <v>656303</v>
      </c>
      <c r="G1672" s="1">
        <v>676303</v>
      </c>
      <c r="H1672" s="1">
        <v>6490.9999999999991</v>
      </c>
      <c r="I1672" s="1">
        <v>13509</v>
      </c>
      <c r="J1672" s="1">
        <v>662794</v>
      </c>
      <c r="K1672" s="1">
        <v>102</v>
      </c>
      <c r="L1672" s="1">
        <v>93.110293159609114</v>
      </c>
      <c r="M1672" s="1">
        <v>212.28131258665849</v>
      </c>
      <c r="N1672" s="7">
        <v>45947</v>
      </c>
      <c r="O1672" s="1">
        <v>20000</v>
      </c>
      <c r="P1672" s="7">
        <v>46159.281312581021</v>
      </c>
      <c r="Q1672" s="1" t="s">
        <v>330</v>
      </c>
      <c r="T1672" s="1" t="s">
        <v>397</v>
      </c>
      <c r="U1672" s="1" t="s">
        <v>398</v>
      </c>
      <c r="V1672" s="1">
        <v>1</v>
      </c>
      <c r="W1672" s="3">
        <v>9737.2800000000007</v>
      </c>
      <c r="X1672" s="3">
        <v>9737.2800000000007</v>
      </c>
      <c r="Y1672" s="1" t="str">
        <f>VLOOKUP(A1672,[1]Detalle!$D$2:$CR$484,93,FALSE)</f>
        <v>Papelera - Papelera del Plata S.A.</v>
      </c>
    </row>
    <row r="1673" spans="1:25" ht="14.25" customHeight="1" x14ac:dyDescent="0.3">
      <c r="A1673" s="1" t="s">
        <v>162</v>
      </c>
      <c r="B1673" s="1" t="s">
        <v>396</v>
      </c>
      <c r="C1673" s="1" t="s">
        <v>328</v>
      </c>
      <c r="D1673" s="1" t="s">
        <v>329</v>
      </c>
      <c r="E1673" s="6">
        <v>45623</v>
      </c>
      <c r="F1673" s="1">
        <v>6340</v>
      </c>
      <c r="G1673" s="1">
        <v>26340</v>
      </c>
      <c r="H1673" s="1">
        <v>9804.4500000000044</v>
      </c>
      <c r="I1673" s="1">
        <v>10195.549999999999</v>
      </c>
      <c r="J1673" s="1">
        <v>16144.45</v>
      </c>
      <c r="K1673" s="1">
        <v>324</v>
      </c>
      <c r="L1673" s="1">
        <v>31.374080882352938</v>
      </c>
      <c r="M1673" s="1">
        <v>336.92437617612381</v>
      </c>
      <c r="N1673" s="7">
        <v>45947</v>
      </c>
      <c r="O1673" s="1">
        <v>20000</v>
      </c>
      <c r="P1673" s="7">
        <v>46283.924376180563</v>
      </c>
      <c r="Q1673" s="1" t="s">
        <v>330</v>
      </c>
      <c r="T1673" s="1" t="s">
        <v>331</v>
      </c>
      <c r="U1673" s="1" t="s">
        <v>332</v>
      </c>
      <c r="V1673" s="1">
        <v>16</v>
      </c>
      <c r="W1673" s="3">
        <v>3389.9</v>
      </c>
      <c r="X1673" s="3">
        <v>54238.400000000001</v>
      </c>
      <c r="Y1673" s="1" t="str">
        <f>VLOOKUP(A1673,[1]Detalle!$D$2:$CR$484,93,FALSE)</f>
        <v>SUC_SRA - Sucursal San Rafael</v>
      </c>
    </row>
    <row r="1674" spans="1:25" ht="14.25" customHeight="1" x14ac:dyDescent="0.3">
      <c r="A1674" s="1" t="s">
        <v>162</v>
      </c>
      <c r="B1674" s="1" t="s">
        <v>396</v>
      </c>
      <c r="C1674" s="1" t="s">
        <v>328</v>
      </c>
      <c r="D1674" s="1" t="s">
        <v>329</v>
      </c>
      <c r="E1674" s="6">
        <v>45623</v>
      </c>
      <c r="F1674" s="1">
        <v>6340</v>
      </c>
      <c r="G1674" s="1">
        <v>26340</v>
      </c>
      <c r="H1674" s="1">
        <v>9804.4500000000044</v>
      </c>
      <c r="I1674" s="1">
        <v>10195.549999999999</v>
      </c>
      <c r="J1674" s="1">
        <v>16144.45</v>
      </c>
      <c r="K1674" s="1">
        <v>324</v>
      </c>
      <c r="L1674" s="1">
        <v>31.374080882352938</v>
      </c>
      <c r="M1674" s="1">
        <v>336.92437617612381</v>
      </c>
      <c r="N1674" s="7">
        <v>45947</v>
      </c>
      <c r="O1674" s="1">
        <v>20000</v>
      </c>
      <c r="P1674" s="7">
        <v>46283.924376180563</v>
      </c>
      <c r="Q1674" s="1" t="s">
        <v>330</v>
      </c>
      <c r="T1674" s="1" t="s">
        <v>397</v>
      </c>
      <c r="U1674" s="1" t="s">
        <v>398</v>
      </c>
      <c r="V1674" s="1">
        <v>1</v>
      </c>
      <c r="W1674" s="3">
        <v>9737.2800000000007</v>
      </c>
      <c r="X1674" s="3">
        <v>9737.2800000000007</v>
      </c>
      <c r="Y1674" s="1" t="str">
        <f>VLOOKUP(A1674,[1]Detalle!$D$2:$CR$484,93,FALSE)</f>
        <v>SUC_SRA - Sucursal San Rafael</v>
      </c>
    </row>
    <row r="1675" spans="1:25" ht="14.25" customHeight="1" x14ac:dyDescent="0.3">
      <c r="A1675" s="1" t="s">
        <v>161</v>
      </c>
      <c r="B1675" s="1" t="s">
        <v>396</v>
      </c>
      <c r="C1675" s="1" t="s">
        <v>328</v>
      </c>
      <c r="D1675" s="1" t="s">
        <v>329</v>
      </c>
      <c r="E1675" s="6">
        <v>45820</v>
      </c>
      <c r="F1675" s="1">
        <v>657691</v>
      </c>
      <c r="G1675" s="1">
        <v>677691</v>
      </c>
      <c r="H1675" s="1">
        <v>12543.4</v>
      </c>
      <c r="I1675" s="1">
        <v>7456.6000000000022</v>
      </c>
      <c r="J1675" s="1">
        <v>670234.4</v>
      </c>
      <c r="K1675" s="1">
        <v>127</v>
      </c>
      <c r="L1675" s="1">
        <v>112.4813870967742</v>
      </c>
      <c r="M1675" s="1">
        <v>75.496930656759758</v>
      </c>
      <c r="N1675" s="7">
        <v>45947</v>
      </c>
      <c r="O1675" s="1">
        <v>20000</v>
      </c>
      <c r="P1675" s="7">
        <v>46200.304126284733</v>
      </c>
      <c r="Q1675" s="1" t="s">
        <v>330</v>
      </c>
      <c r="T1675" s="1" t="s">
        <v>331</v>
      </c>
      <c r="U1675" s="1" t="s">
        <v>332</v>
      </c>
      <c r="V1675" s="1">
        <v>16</v>
      </c>
      <c r="W1675" s="3">
        <v>3389.9</v>
      </c>
      <c r="X1675" s="3">
        <v>54238.400000000001</v>
      </c>
      <c r="Y1675" s="1" t="str">
        <f>VLOOKUP(A1675,[1]Detalle!$D$2:$CR$484,93,FALSE)</f>
        <v>Unilever - Unilever de Arg. S.A.</v>
      </c>
    </row>
    <row r="1676" spans="1:25" ht="14.25" customHeight="1" x14ac:dyDescent="0.3">
      <c r="A1676" s="1" t="s">
        <v>161</v>
      </c>
      <c r="B1676" s="1" t="s">
        <v>396</v>
      </c>
      <c r="C1676" s="1" t="s">
        <v>328</v>
      </c>
      <c r="D1676" s="1" t="s">
        <v>329</v>
      </c>
      <c r="E1676" s="6">
        <v>45820</v>
      </c>
      <c r="F1676" s="1">
        <v>657691</v>
      </c>
      <c r="G1676" s="1">
        <v>677691</v>
      </c>
      <c r="H1676" s="1">
        <v>12543.4</v>
      </c>
      <c r="I1676" s="1">
        <v>7456.6000000000022</v>
      </c>
      <c r="J1676" s="1">
        <v>670234.4</v>
      </c>
      <c r="K1676" s="1">
        <v>127</v>
      </c>
      <c r="L1676" s="1">
        <v>112.4813870967742</v>
      </c>
      <c r="M1676" s="1">
        <v>75.496930656759758</v>
      </c>
      <c r="N1676" s="7">
        <v>45947</v>
      </c>
      <c r="O1676" s="1">
        <v>20000</v>
      </c>
      <c r="P1676" s="7">
        <v>46200.304126284733</v>
      </c>
      <c r="Q1676" s="1" t="s">
        <v>330</v>
      </c>
      <c r="T1676" s="1" t="s">
        <v>397</v>
      </c>
      <c r="U1676" s="1" t="s">
        <v>398</v>
      </c>
      <c r="V1676" s="1">
        <v>1</v>
      </c>
      <c r="W1676" s="3">
        <v>9737.2800000000007</v>
      </c>
      <c r="X1676" s="3">
        <v>9737.2800000000007</v>
      </c>
      <c r="Y1676" s="1" t="str">
        <f>VLOOKUP(A1676,[1]Detalle!$D$2:$CR$484,93,FALSE)</f>
        <v>Unilever - Unilever de Arg. S.A.</v>
      </c>
    </row>
    <row r="1677" spans="1:25" ht="14.25" customHeight="1" x14ac:dyDescent="0.3">
      <c r="A1677" s="1" t="s">
        <v>160</v>
      </c>
      <c r="B1677" s="1" t="s">
        <v>396</v>
      </c>
      <c r="C1677" s="1" t="s">
        <v>328</v>
      </c>
      <c r="D1677" s="1" t="s">
        <v>329</v>
      </c>
      <c r="E1677" s="6">
        <v>45748</v>
      </c>
      <c r="F1677" s="1">
        <v>10362</v>
      </c>
      <c r="G1677" s="1">
        <v>30362</v>
      </c>
      <c r="H1677" s="1">
        <v>12667.1</v>
      </c>
      <c r="I1677" s="1">
        <v>7332.9000000000005</v>
      </c>
      <c r="J1677" s="1">
        <v>23029.1</v>
      </c>
      <c r="K1677" s="1">
        <v>199</v>
      </c>
      <c r="L1677" s="1">
        <v>53.990801282051272</v>
      </c>
      <c r="M1677" s="1">
        <v>115.1997773760372</v>
      </c>
      <c r="N1677" s="7">
        <v>45947</v>
      </c>
      <c r="O1677" s="1">
        <v>20000</v>
      </c>
      <c r="P1677" s="7">
        <v>46062.199777372683</v>
      </c>
      <c r="Q1677" s="1" t="s">
        <v>330</v>
      </c>
      <c r="T1677" s="1" t="s">
        <v>331</v>
      </c>
      <c r="U1677" s="1" t="s">
        <v>332</v>
      </c>
      <c r="V1677" s="1">
        <v>16</v>
      </c>
      <c r="W1677" s="3">
        <v>3389.9</v>
      </c>
      <c r="X1677" s="3">
        <v>54238.400000000001</v>
      </c>
      <c r="Y1677" s="1" t="str">
        <f>VLOOKUP(A1677,[1]Detalle!$D$2:$CR$484,93,FALSE)</f>
        <v>CENCO_SJ - Cencosud SA - San Juan</v>
      </c>
    </row>
    <row r="1678" spans="1:25" ht="14.25" customHeight="1" x14ac:dyDescent="0.3">
      <c r="A1678" s="1" t="s">
        <v>160</v>
      </c>
      <c r="B1678" s="1" t="s">
        <v>396</v>
      </c>
      <c r="C1678" s="1" t="s">
        <v>328</v>
      </c>
      <c r="D1678" s="1" t="s">
        <v>329</v>
      </c>
      <c r="E1678" s="6">
        <v>45748</v>
      </c>
      <c r="F1678" s="1">
        <v>10362</v>
      </c>
      <c r="G1678" s="1">
        <v>30362</v>
      </c>
      <c r="H1678" s="1">
        <v>12667.1</v>
      </c>
      <c r="I1678" s="1">
        <v>7332.9000000000005</v>
      </c>
      <c r="J1678" s="1">
        <v>23029.1</v>
      </c>
      <c r="K1678" s="1">
        <v>199</v>
      </c>
      <c r="L1678" s="1">
        <v>53.990801282051272</v>
      </c>
      <c r="M1678" s="1">
        <v>115.1997773760372</v>
      </c>
      <c r="N1678" s="7">
        <v>45947</v>
      </c>
      <c r="O1678" s="1">
        <v>20000</v>
      </c>
      <c r="P1678" s="7">
        <v>46062.199777372683</v>
      </c>
      <c r="Q1678" s="1" t="s">
        <v>330</v>
      </c>
      <c r="T1678" s="1" t="s">
        <v>397</v>
      </c>
      <c r="U1678" s="1" t="s">
        <v>398</v>
      </c>
      <c r="V1678" s="1">
        <v>1</v>
      </c>
      <c r="W1678" s="3">
        <v>9737.2800000000007</v>
      </c>
      <c r="X1678" s="3">
        <v>9737.2800000000007</v>
      </c>
      <c r="Y1678" s="1" t="str">
        <f>VLOOKUP(A1678,[1]Detalle!$D$2:$CR$484,93,FALSE)</f>
        <v>CENCO_SJ - Cencosud SA - San Juan</v>
      </c>
    </row>
    <row r="1679" spans="1:25" ht="14.25" customHeight="1" x14ac:dyDescent="0.3">
      <c r="A1679" s="1" t="s">
        <v>159</v>
      </c>
      <c r="B1679" s="1" t="s">
        <v>396</v>
      </c>
      <c r="C1679" s="1" t="s">
        <v>328</v>
      </c>
      <c r="D1679" s="1" t="s">
        <v>329</v>
      </c>
      <c r="E1679" s="6">
        <v>45825</v>
      </c>
      <c r="F1679" s="1">
        <v>809565</v>
      </c>
      <c r="G1679" s="1">
        <v>829565</v>
      </c>
      <c r="H1679" s="1">
        <v>8970.2999999999993</v>
      </c>
      <c r="I1679" s="1">
        <v>11029.7</v>
      </c>
      <c r="J1679" s="1">
        <v>818535.3</v>
      </c>
      <c r="K1679" s="1">
        <v>122</v>
      </c>
      <c r="L1679" s="1">
        <v>63.369638157894727</v>
      </c>
      <c r="M1679" s="1">
        <v>150.00873995295589</v>
      </c>
      <c r="N1679" s="7">
        <v>45947</v>
      </c>
      <c r="O1679" s="1">
        <v>20000</v>
      </c>
      <c r="P1679" s="7">
        <v>46097.008739953701</v>
      </c>
      <c r="Q1679" s="1" t="s">
        <v>330</v>
      </c>
      <c r="T1679" s="1" t="s">
        <v>331</v>
      </c>
      <c r="U1679" s="1" t="s">
        <v>332</v>
      </c>
      <c r="V1679" s="1">
        <v>16</v>
      </c>
      <c r="W1679" s="3">
        <v>3389.9</v>
      </c>
      <c r="X1679" s="3">
        <v>54238.400000000001</v>
      </c>
      <c r="Y1679" s="1" t="str">
        <f>VLOOKUP(A1679,[1]Detalle!$D$2:$CR$484,93,FALSE)</f>
        <v>Papelera - Papelera del Plata S.A.</v>
      </c>
    </row>
    <row r="1680" spans="1:25" ht="14.25" customHeight="1" x14ac:dyDescent="0.3">
      <c r="A1680" s="1" t="s">
        <v>159</v>
      </c>
      <c r="B1680" s="1" t="s">
        <v>396</v>
      </c>
      <c r="C1680" s="1" t="s">
        <v>328</v>
      </c>
      <c r="D1680" s="1" t="s">
        <v>329</v>
      </c>
      <c r="E1680" s="6">
        <v>45825</v>
      </c>
      <c r="F1680" s="1">
        <v>809565</v>
      </c>
      <c r="G1680" s="1">
        <v>829565</v>
      </c>
      <c r="H1680" s="1">
        <v>8970.2999999999993</v>
      </c>
      <c r="I1680" s="1">
        <v>11029.7</v>
      </c>
      <c r="J1680" s="1">
        <v>818535.3</v>
      </c>
      <c r="K1680" s="1">
        <v>122</v>
      </c>
      <c r="L1680" s="1">
        <v>63.369638157894727</v>
      </c>
      <c r="M1680" s="1">
        <v>150.00873995295589</v>
      </c>
      <c r="N1680" s="7">
        <v>45947</v>
      </c>
      <c r="O1680" s="1">
        <v>20000</v>
      </c>
      <c r="P1680" s="7">
        <v>46097.008739953701</v>
      </c>
      <c r="Q1680" s="1" t="s">
        <v>330</v>
      </c>
      <c r="T1680" s="1" t="s">
        <v>397</v>
      </c>
      <c r="U1680" s="1" t="s">
        <v>398</v>
      </c>
      <c r="V1680" s="1">
        <v>1</v>
      </c>
      <c r="W1680" s="3">
        <v>9737.2800000000007</v>
      </c>
      <c r="X1680" s="3">
        <v>9737.2800000000007</v>
      </c>
      <c r="Y1680" s="1" t="str">
        <f>VLOOKUP(A1680,[1]Detalle!$D$2:$CR$484,93,FALSE)</f>
        <v>Papelera - Papelera del Plata S.A.</v>
      </c>
    </row>
    <row r="1681" spans="1:25" ht="14.25" customHeight="1" x14ac:dyDescent="0.3">
      <c r="A1681" s="1" t="s">
        <v>158</v>
      </c>
      <c r="B1681" s="1" t="s">
        <v>396</v>
      </c>
      <c r="C1681" s="1" t="s">
        <v>328</v>
      </c>
      <c r="D1681" s="1" t="s">
        <v>329</v>
      </c>
      <c r="E1681" s="6">
        <v>45762</v>
      </c>
      <c r="F1681" s="1">
        <v>779819</v>
      </c>
      <c r="G1681" s="1">
        <v>799819</v>
      </c>
      <c r="H1681" s="1">
        <v>16921.500000000011</v>
      </c>
      <c r="I1681" s="1">
        <v>3078.4999999999932</v>
      </c>
      <c r="J1681" s="1">
        <v>796740.5</v>
      </c>
      <c r="K1681" s="1">
        <v>185</v>
      </c>
      <c r="L1681" s="1">
        <v>75.425496688741674</v>
      </c>
      <c r="M1681" s="1">
        <v>33.656738468811767</v>
      </c>
      <c r="N1681" s="7">
        <v>45947</v>
      </c>
      <c r="O1681" s="1">
        <v>20000</v>
      </c>
      <c r="P1681" s="7">
        <v>46245.819062592593</v>
      </c>
      <c r="Q1681" s="1" t="s">
        <v>330</v>
      </c>
      <c r="T1681" s="1" t="s">
        <v>331</v>
      </c>
      <c r="U1681" s="1" t="s">
        <v>332</v>
      </c>
      <c r="V1681" s="1">
        <v>16</v>
      </c>
      <c r="W1681" s="3">
        <v>3389.9</v>
      </c>
      <c r="X1681" s="3">
        <v>54238.400000000001</v>
      </c>
      <c r="Y1681" s="1" t="str">
        <f>VLOOKUP(A1681,[1]Detalle!$D$2:$CR$484,93,FALSE)</f>
        <v>JOHNSON - SC JOHNSON DE ARGENTINA SAIC</v>
      </c>
    </row>
    <row r="1682" spans="1:25" ht="14.25" customHeight="1" x14ac:dyDescent="0.3">
      <c r="A1682" s="1" t="s">
        <v>158</v>
      </c>
      <c r="B1682" s="1" t="s">
        <v>396</v>
      </c>
      <c r="C1682" s="1" t="s">
        <v>328</v>
      </c>
      <c r="D1682" s="1" t="s">
        <v>329</v>
      </c>
      <c r="E1682" s="6">
        <v>45762</v>
      </c>
      <c r="F1682" s="1">
        <v>779819</v>
      </c>
      <c r="G1682" s="1">
        <v>799819</v>
      </c>
      <c r="H1682" s="1">
        <v>16921.500000000011</v>
      </c>
      <c r="I1682" s="1">
        <v>3078.4999999999932</v>
      </c>
      <c r="J1682" s="1">
        <v>796740.5</v>
      </c>
      <c r="K1682" s="1">
        <v>185</v>
      </c>
      <c r="L1682" s="1">
        <v>75.425496688741674</v>
      </c>
      <c r="M1682" s="1">
        <v>33.656738468811767</v>
      </c>
      <c r="N1682" s="7">
        <v>45947</v>
      </c>
      <c r="O1682" s="1">
        <v>20000</v>
      </c>
      <c r="P1682" s="7">
        <v>46245.819062592593</v>
      </c>
      <c r="Q1682" s="1" t="s">
        <v>330</v>
      </c>
      <c r="T1682" s="1" t="s">
        <v>397</v>
      </c>
      <c r="U1682" s="1" t="s">
        <v>398</v>
      </c>
      <c r="V1682" s="1">
        <v>1</v>
      </c>
      <c r="W1682" s="3">
        <v>9737.2800000000007</v>
      </c>
      <c r="X1682" s="3">
        <v>9737.2800000000007</v>
      </c>
      <c r="Y1682" s="1" t="str">
        <f>VLOOKUP(A1682,[1]Detalle!$D$2:$CR$484,93,FALSE)</f>
        <v>JOHNSON - SC JOHNSON DE ARGENTINA SAIC</v>
      </c>
    </row>
    <row r="1683" spans="1:25" ht="14.25" customHeight="1" x14ac:dyDescent="0.3">
      <c r="A1683" s="1" t="s">
        <v>157</v>
      </c>
      <c r="B1683" s="1" t="s">
        <v>396</v>
      </c>
      <c r="C1683" s="1" t="s">
        <v>328</v>
      </c>
      <c r="D1683" s="1" t="s">
        <v>329</v>
      </c>
      <c r="E1683" s="6">
        <v>45870</v>
      </c>
      <c r="F1683" s="1">
        <v>24799.1</v>
      </c>
      <c r="G1683" s="1">
        <v>44799.1</v>
      </c>
      <c r="H1683" s="1">
        <v>3627.4</v>
      </c>
      <c r="I1683" s="1">
        <v>16372.6</v>
      </c>
      <c r="J1683" s="1">
        <v>28426.5</v>
      </c>
      <c r="K1683" s="1">
        <v>77</v>
      </c>
      <c r="L1683" s="1">
        <v>131.93916129032249</v>
      </c>
      <c r="M1683" s="1">
        <v>347.5465071401004</v>
      </c>
      <c r="N1683" s="7">
        <v>45947</v>
      </c>
      <c r="O1683" s="1">
        <v>20000</v>
      </c>
      <c r="P1683" s="7">
        <v>46294.546507141204</v>
      </c>
      <c r="Q1683" s="1" t="s">
        <v>330</v>
      </c>
      <c r="T1683" s="1" t="s">
        <v>331</v>
      </c>
      <c r="U1683" s="1" t="s">
        <v>332</v>
      </c>
      <c r="V1683" s="1">
        <v>16</v>
      </c>
      <c r="W1683" s="3">
        <v>3389.9</v>
      </c>
      <c r="X1683" s="3">
        <v>54238.400000000001</v>
      </c>
      <c r="Y1683" s="1" t="str">
        <f>VLOOKUP(A1683,[1]Detalle!$D$2:$CR$484,93,FALSE)</f>
        <v>Unilever - Unilever de Arg. S.A.</v>
      </c>
    </row>
    <row r="1684" spans="1:25" ht="14.25" customHeight="1" x14ac:dyDescent="0.3">
      <c r="A1684" s="1" t="s">
        <v>157</v>
      </c>
      <c r="B1684" s="1" t="s">
        <v>396</v>
      </c>
      <c r="C1684" s="1" t="s">
        <v>328</v>
      </c>
      <c r="D1684" s="1" t="s">
        <v>329</v>
      </c>
      <c r="E1684" s="6">
        <v>45870</v>
      </c>
      <c r="F1684" s="1">
        <v>24799.1</v>
      </c>
      <c r="G1684" s="1">
        <v>44799.1</v>
      </c>
      <c r="H1684" s="1">
        <v>3627.4</v>
      </c>
      <c r="I1684" s="1">
        <v>16372.6</v>
      </c>
      <c r="J1684" s="1">
        <v>28426.5</v>
      </c>
      <c r="K1684" s="1">
        <v>77</v>
      </c>
      <c r="L1684" s="1">
        <v>131.93916129032249</v>
      </c>
      <c r="M1684" s="1">
        <v>347.5465071401004</v>
      </c>
      <c r="N1684" s="7">
        <v>45947</v>
      </c>
      <c r="O1684" s="1">
        <v>20000</v>
      </c>
      <c r="P1684" s="7">
        <v>46294.546507141204</v>
      </c>
      <c r="Q1684" s="1" t="s">
        <v>330</v>
      </c>
      <c r="T1684" s="1" t="s">
        <v>397</v>
      </c>
      <c r="U1684" s="1" t="s">
        <v>398</v>
      </c>
      <c r="V1684" s="1">
        <v>1</v>
      </c>
      <c r="W1684" s="3">
        <v>9737.2800000000007</v>
      </c>
      <c r="X1684" s="3">
        <v>9737.2800000000007</v>
      </c>
      <c r="Y1684" s="1" t="str">
        <f>VLOOKUP(A1684,[1]Detalle!$D$2:$CR$484,93,FALSE)</f>
        <v>Unilever - Unilever de Arg. S.A.</v>
      </c>
    </row>
    <row r="1685" spans="1:25" ht="14.25" customHeight="1" x14ac:dyDescent="0.3">
      <c r="A1685" s="1" t="s">
        <v>156</v>
      </c>
      <c r="B1685" s="1" t="s">
        <v>396</v>
      </c>
      <c r="C1685" s="1" t="s">
        <v>328</v>
      </c>
      <c r="D1685" s="1" t="s">
        <v>329</v>
      </c>
      <c r="E1685" s="6">
        <v>45846</v>
      </c>
      <c r="F1685" s="1">
        <v>10340</v>
      </c>
      <c r="G1685" s="1">
        <v>30340</v>
      </c>
      <c r="H1685" s="1">
        <v>5338.3999999999987</v>
      </c>
      <c r="I1685" s="1">
        <v>14661.6</v>
      </c>
      <c r="J1685" s="1">
        <v>15678.4</v>
      </c>
      <c r="K1685" s="1">
        <v>101</v>
      </c>
      <c r="L1685" s="1">
        <v>29.350544871794892</v>
      </c>
      <c r="M1685" s="1">
        <v>277.39052899745252</v>
      </c>
      <c r="N1685" s="7">
        <v>45947</v>
      </c>
      <c r="O1685" s="1">
        <v>20000</v>
      </c>
      <c r="P1685" s="7">
        <v>46224.390528993063</v>
      </c>
      <c r="Q1685" s="1" t="s">
        <v>330</v>
      </c>
      <c r="T1685" s="1" t="s">
        <v>331</v>
      </c>
      <c r="U1685" s="1" t="s">
        <v>332</v>
      </c>
      <c r="V1685" s="1">
        <v>16</v>
      </c>
      <c r="W1685" s="3">
        <v>3389.9</v>
      </c>
      <c r="X1685" s="3">
        <v>54238.400000000001</v>
      </c>
      <c r="Y1685" s="1" t="str">
        <f>VLOOKUP(A1685,[1]Detalle!$D$2:$CR$484,93,FALSE)</f>
        <v>CCU_MZA - Comp. Cerv. Unidas - MZA</v>
      </c>
    </row>
    <row r="1686" spans="1:25" ht="14.25" customHeight="1" x14ac:dyDescent="0.3">
      <c r="A1686" s="1" t="s">
        <v>156</v>
      </c>
      <c r="B1686" s="1" t="s">
        <v>396</v>
      </c>
      <c r="C1686" s="1" t="s">
        <v>328</v>
      </c>
      <c r="D1686" s="1" t="s">
        <v>329</v>
      </c>
      <c r="E1686" s="6">
        <v>45846</v>
      </c>
      <c r="F1686" s="1">
        <v>10340</v>
      </c>
      <c r="G1686" s="1">
        <v>30340</v>
      </c>
      <c r="H1686" s="1">
        <v>5338.3999999999987</v>
      </c>
      <c r="I1686" s="1">
        <v>14661.6</v>
      </c>
      <c r="J1686" s="1">
        <v>15678.4</v>
      </c>
      <c r="K1686" s="1">
        <v>101</v>
      </c>
      <c r="L1686" s="1">
        <v>29.350544871794892</v>
      </c>
      <c r="M1686" s="1">
        <v>277.39052899745252</v>
      </c>
      <c r="N1686" s="7">
        <v>45947</v>
      </c>
      <c r="O1686" s="1">
        <v>20000</v>
      </c>
      <c r="P1686" s="7">
        <v>46224.390528993063</v>
      </c>
      <c r="Q1686" s="1" t="s">
        <v>330</v>
      </c>
      <c r="T1686" s="1" t="s">
        <v>397</v>
      </c>
      <c r="U1686" s="1" t="s">
        <v>398</v>
      </c>
      <c r="V1686" s="1">
        <v>1</v>
      </c>
      <c r="W1686" s="3">
        <v>9737.2800000000007</v>
      </c>
      <c r="X1686" s="3">
        <v>9737.2800000000007</v>
      </c>
      <c r="Y1686" s="1" t="str">
        <f>VLOOKUP(A1686,[1]Detalle!$D$2:$CR$484,93,FALSE)</f>
        <v>CCU_MZA - Comp. Cerv. Unidas - MZA</v>
      </c>
    </row>
    <row r="1687" spans="1:25" ht="14.25" customHeight="1" x14ac:dyDescent="0.3">
      <c r="A1687" s="1" t="s">
        <v>154</v>
      </c>
      <c r="B1687" s="1" t="s">
        <v>396</v>
      </c>
      <c r="C1687" s="1" t="s">
        <v>328</v>
      </c>
      <c r="D1687" s="1" t="s">
        <v>329</v>
      </c>
      <c r="E1687" s="6">
        <v>45772</v>
      </c>
      <c r="F1687" s="1">
        <v>264479</v>
      </c>
      <c r="G1687" s="1">
        <v>284479</v>
      </c>
      <c r="H1687" s="1">
        <v>6327.5000000000045</v>
      </c>
      <c r="I1687" s="1">
        <v>13672.499999999991</v>
      </c>
      <c r="J1687" s="1">
        <v>270806.5</v>
      </c>
      <c r="K1687" s="1">
        <v>175</v>
      </c>
      <c r="L1687" s="1">
        <v>34.372709677419373</v>
      </c>
      <c r="M1687" s="1">
        <v>378.14105096799642</v>
      </c>
      <c r="N1687" s="7">
        <v>45947</v>
      </c>
      <c r="O1687" s="1">
        <v>20000</v>
      </c>
      <c r="P1687" s="7">
        <v>46325.141050972219</v>
      </c>
      <c r="Q1687" s="1" t="s">
        <v>330</v>
      </c>
      <c r="T1687" s="1" t="s">
        <v>331</v>
      </c>
      <c r="U1687" s="1" t="s">
        <v>332</v>
      </c>
      <c r="V1687" s="1">
        <v>16</v>
      </c>
      <c r="W1687" s="3">
        <v>3389.9</v>
      </c>
      <c r="X1687" s="3">
        <v>54238.400000000001</v>
      </c>
      <c r="Y1687" s="1" t="str">
        <f>VLOOKUP(A1687,[1]Detalle!$D$2:$CR$484,93,FALSE)</f>
        <v>CCUCoAZA</v>
      </c>
    </row>
    <row r="1688" spans="1:25" ht="14.25" customHeight="1" x14ac:dyDescent="0.3">
      <c r="A1688" s="1" t="s">
        <v>154</v>
      </c>
      <c r="B1688" s="1" t="s">
        <v>396</v>
      </c>
      <c r="C1688" s="1" t="s">
        <v>328</v>
      </c>
      <c r="D1688" s="1" t="s">
        <v>329</v>
      </c>
      <c r="E1688" s="6">
        <v>45772</v>
      </c>
      <c r="F1688" s="1">
        <v>264479</v>
      </c>
      <c r="G1688" s="1">
        <v>284479</v>
      </c>
      <c r="H1688" s="1">
        <v>6327.5000000000045</v>
      </c>
      <c r="I1688" s="1">
        <v>13672.499999999991</v>
      </c>
      <c r="J1688" s="1">
        <v>270806.5</v>
      </c>
      <c r="K1688" s="1">
        <v>175</v>
      </c>
      <c r="L1688" s="1">
        <v>34.372709677419373</v>
      </c>
      <c r="M1688" s="1">
        <v>378.14105096799642</v>
      </c>
      <c r="N1688" s="7">
        <v>45947</v>
      </c>
      <c r="O1688" s="1">
        <v>20000</v>
      </c>
      <c r="P1688" s="7">
        <v>46325.141050972219</v>
      </c>
      <c r="Q1688" s="1" t="s">
        <v>330</v>
      </c>
      <c r="T1688" s="1" t="s">
        <v>397</v>
      </c>
      <c r="U1688" s="1" t="s">
        <v>398</v>
      </c>
      <c r="V1688" s="1">
        <v>1</v>
      </c>
      <c r="W1688" s="3">
        <v>9737.2800000000007</v>
      </c>
      <c r="X1688" s="3">
        <v>9737.2800000000007</v>
      </c>
      <c r="Y1688" s="1" t="str">
        <f>VLOOKUP(A1688,[1]Detalle!$D$2:$CR$484,93,FALSE)</f>
        <v>CCUCoAZA</v>
      </c>
    </row>
    <row r="1689" spans="1:25" ht="14.25" customHeight="1" x14ac:dyDescent="0.3">
      <c r="A1689" s="1" t="s">
        <v>153</v>
      </c>
      <c r="B1689" s="1" t="s">
        <v>396</v>
      </c>
      <c r="C1689" s="1" t="s">
        <v>328</v>
      </c>
      <c r="D1689" s="1" t="s">
        <v>329</v>
      </c>
      <c r="E1689" s="6">
        <v>45908</v>
      </c>
      <c r="F1689" s="1">
        <v>82173.399999999994</v>
      </c>
      <c r="G1689" s="1">
        <v>102173.4</v>
      </c>
      <c r="H1689" s="1">
        <v>5556.5</v>
      </c>
      <c r="I1689" s="1">
        <v>14443.5</v>
      </c>
      <c r="J1689" s="1">
        <v>87729.9</v>
      </c>
      <c r="K1689" s="1">
        <v>39</v>
      </c>
      <c r="L1689" s="1">
        <v>215.45547231270371</v>
      </c>
      <c r="M1689" s="1">
        <v>101.37613605687029</v>
      </c>
      <c r="N1689" s="7">
        <v>45947</v>
      </c>
      <c r="O1689" s="1">
        <v>20000</v>
      </c>
      <c r="P1689" s="7">
        <v>46048.376136053237</v>
      </c>
      <c r="Q1689" s="1" t="s">
        <v>330</v>
      </c>
      <c r="T1689" s="1" t="s">
        <v>331</v>
      </c>
      <c r="U1689" s="1" t="s">
        <v>332</v>
      </c>
      <c r="V1689" s="1">
        <v>16</v>
      </c>
      <c r="W1689" s="3">
        <v>3389.9</v>
      </c>
      <c r="X1689" s="3">
        <v>54238.400000000001</v>
      </c>
      <c r="Y1689" s="1" t="str">
        <f>VLOOKUP(A1689,[1]Detalle!$D$2:$CR$484,93,FALSE)</f>
        <v>SUC_CTC - Sucursal Buenos Aires</v>
      </c>
    </row>
    <row r="1690" spans="1:25" ht="14.25" customHeight="1" x14ac:dyDescent="0.3">
      <c r="A1690" s="1" t="s">
        <v>153</v>
      </c>
      <c r="B1690" s="1" t="s">
        <v>396</v>
      </c>
      <c r="C1690" s="1" t="s">
        <v>328</v>
      </c>
      <c r="D1690" s="1" t="s">
        <v>329</v>
      </c>
      <c r="E1690" s="6">
        <v>45908</v>
      </c>
      <c r="F1690" s="1">
        <v>82173.399999999994</v>
      </c>
      <c r="G1690" s="1">
        <v>102173.4</v>
      </c>
      <c r="H1690" s="1">
        <v>5556.5</v>
      </c>
      <c r="I1690" s="1">
        <v>14443.5</v>
      </c>
      <c r="J1690" s="1">
        <v>87729.9</v>
      </c>
      <c r="K1690" s="1">
        <v>39</v>
      </c>
      <c r="L1690" s="1">
        <v>215.45547231270371</v>
      </c>
      <c r="M1690" s="1">
        <v>101.37613605687029</v>
      </c>
      <c r="N1690" s="7">
        <v>45947</v>
      </c>
      <c r="O1690" s="1">
        <v>20000</v>
      </c>
      <c r="P1690" s="7">
        <v>46048.376136053237</v>
      </c>
      <c r="Q1690" s="1" t="s">
        <v>330</v>
      </c>
      <c r="T1690" s="1" t="s">
        <v>397</v>
      </c>
      <c r="U1690" s="1" t="s">
        <v>398</v>
      </c>
      <c r="V1690" s="1">
        <v>1</v>
      </c>
      <c r="W1690" s="3">
        <v>9737.2800000000007</v>
      </c>
      <c r="X1690" s="3">
        <v>9737.2800000000007</v>
      </c>
      <c r="Y1690" s="1" t="str">
        <f>VLOOKUP(A1690,[1]Detalle!$D$2:$CR$484,93,FALSE)</f>
        <v>SUC_CTC - Sucursal Buenos Aires</v>
      </c>
    </row>
    <row r="1691" spans="1:25" ht="14.25" customHeight="1" x14ac:dyDescent="0.3">
      <c r="A1691" s="1" t="s">
        <v>149</v>
      </c>
      <c r="B1691" s="1" t="s">
        <v>396</v>
      </c>
      <c r="C1691" s="1" t="s">
        <v>328</v>
      </c>
      <c r="D1691" s="1" t="s">
        <v>329</v>
      </c>
      <c r="E1691" s="6">
        <v>45734</v>
      </c>
      <c r="F1691" s="1">
        <v>662460</v>
      </c>
      <c r="G1691" s="1">
        <v>682460</v>
      </c>
      <c r="H1691" s="1">
        <v>20447.600000000009</v>
      </c>
      <c r="I1691" s="1">
        <v>-447.60000000000582</v>
      </c>
      <c r="J1691" s="1">
        <v>682907.6</v>
      </c>
      <c r="K1691" s="1">
        <v>213</v>
      </c>
      <c r="L1691" s="1">
        <v>113.6646794871796</v>
      </c>
      <c r="M1691" s="1">
        <v>-4.6625912087482746</v>
      </c>
      <c r="N1691" s="7">
        <v>45947</v>
      </c>
      <c r="O1691" s="1">
        <v>20000</v>
      </c>
      <c r="P1691" s="7">
        <v>46122.956155335647</v>
      </c>
      <c r="Q1691" s="1" t="s">
        <v>330</v>
      </c>
      <c r="T1691" s="1" t="s">
        <v>331</v>
      </c>
      <c r="U1691" s="1" t="s">
        <v>332</v>
      </c>
      <c r="V1691" s="1">
        <v>16</v>
      </c>
      <c r="W1691" s="3">
        <v>3389.9</v>
      </c>
      <c r="X1691" s="3">
        <v>54238.400000000001</v>
      </c>
      <c r="Y1691" s="1" t="str">
        <f>VLOOKUP(A1691,[1]Detalle!$D$2:$CR$484,93,FALSE)</f>
        <v>Papelera - Papelera del Plata S.A.</v>
      </c>
    </row>
    <row r="1692" spans="1:25" ht="14.25" customHeight="1" x14ac:dyDescent="0.3">
      <c r="A1692" s="1" t="s">
        <v>149</v>
      </c>
      <c r="B1692" s="1" t="s">
        <v>396</v>
      </c>
      <c r="C1692" s="1" t="s">
        <v>328</v>
      </c>
      <c r="D1692" s="1" t="s">
        <v>329</v>
      </c>
      <c r="E1692" s="6">
        <v>45734</v>
      </c>
      <c r="F1692" s="1">
        <v>662460</v>
      </c>
      <c r="G1692" s="1">
        <v>682460</v>
      </c>
      <c r="H1692" s="1">
        <v>20447.600000000009</v>
      </c>
      <c r="I1692" s="1">
        <v>-447.60000000000582</v>
      </c>
      <c r="J1692" s="1">
        <v>682907.6</v>
      </c>
      <c r="K1692" s="1">
        <v>213</v>
      </c>
      <c r="L1692" s="1">
        <v>113.6646794871796</v>
      </c>
      <c r="M1692" s="1">
        <v>-4.6625912087482746</v>
      </c>
      <c r="N1692" s="7">
        <v>45947</v>
      </c>
      <c r="O1692" s="1">
        <v>20000</v>
      </c>
      <c r="P1692" s="7">
        <v>46122.956155335647</v>
      </c>
      <c r="Q1692" s="1" t="s">
        <v>330</v>
      </c>
      <c r="T1692" s="1" t="s">
        <v>397</v>
      </c>
      <c r="U1692" s="1" t="s">
        <v>398</v>
      </c>
      <c r="V1692" s="1">
        <v>1</v>
      </c>
      <c r="W1692" s="3">
        <v>9737.2800000000007</v>
      </c>
      <c r="X1692" s="3">
        <v>9737.2800000000007</v>
      </c>
      <c r="Y1692" s="1" t="str">
        <f>VLOOKUP(A1692,[1]Detalle!$D$2:$CR$484,93,FALSE)</f>
        <v>Papelera - Papelera del Plata S.A.</v>
      </c>
    </row>
    <row r="1693" spans="1:25" ht="14.25" customHeight="1" x14ac:dyDescent="0.3">
      <c r="A1693" s="1" t="s">
        <v>148</v>
      </c>
      <c r="B1693" s="1" t="s">
        <v>396</v>
      </c>
      <c r="C1693" s="1" t="s">
        <v>328</v>
      </c>
      <c r="D1693" s="1" t="s">
        <v>329</v>
      </c>
      <c r="E1693" s="6">
        <v>45862</v>
      </c>
      <c r="F1693" s="1">
        <v>808028</v>
      </c>
      <c r="G1693" s="1">
        <v>828028</v>
      </c>
      <c r="H1693" s="1">
        <v>7209.7999999999984</v>
      </c>
      <c r="I1693" s="1">
        <v>12790.2</v>
      </c>
      <c r="J1693" s="1">
        <v>815237.8</v>
      </c>
      <c r="K1693" s="1">
        <v>85</v>
      </c>
      <c r="L1693" s="1">
        <v>100.27773026315791</v>
      </c>
      <c r="M1693" s="1">
        <v>150.79017448472919</v>
      </c>
      <c r="N1693" s="7">
        <v>45947</v>
      </c>
      <c r="O1693" s="1">
        <v>20000</v>
      </c>
      <c r="P1693" s="7">
        <v>46097.790174479167</v>
      </c>
      <c r="Q1693" s="1" t="s">
        <v>330</v>
      </c>
      <c r="T1693" s="1" t="s">
        <v>331</v>
      </c>
      <c r="U1693" s="1" t="s">
        <v>332</v>
      </c>
      <c r="V1693" s="1">
        <v>16</v>
      </c>
      <c r="W1693" s="3">
        <v>3389.9</v>
      </c>
      <c r="X1693" s="3">
        <v>54238.400000000001</v>
      </c>
      <c r="Y1693" s="1" t="str">
        <f>VLOOKUP(A1693,[1]Detalle!$D$2:$CR$484,93,FALSE)</f>
        <v>Unilever - Unilever de Arg. S.A.</v>
      </c>
    </row>
    <row r="1694" spans="1:25" ht="14.25" customHeight="1" x14ac:dyDescent="0.3">
      <c r="A1694" s="1" t="s">
        <v>148</v>
      </c>
      <c r="B1694" s="1" t="s">
        <v>396</v>
      </c>
      <c r="C1694" s="1" t="s">
        <v>328</v>
      </c>
      <c r="D1694" s="1" t="s">
        <v>329</v>
      </c>
      <c r="E1694" s="6">
        <v>45862</v>
      </c>
      <c r="F1694" s="1">
        <v>808028</v>
      </c>
      <c r="G1694" s="1">
        <v>828028</v>
      </c>
      <c r="H1694" s="1">
        <v>7209.7999999999984</v>
      </c>
      <c r="I1694" s="1">
        <v>12790.2</v>
      </c>
      <c r="J1694" s="1">
        <v>815237.8</v>
      </c>
      <c r="K1694" s="1">
        <v>85</v>
      </c>
      <c r="L1694" s="1">
        <v>100.27773026315791</v>
      </c>
      <c r="M1694" s="1">
        <v>150.79017448472919</v>
      </c>
      <c r="N1694" s="7">
        <v>45947</v>
      </c>
      <c r="O1694" s="1">
        <v>20000</v>
      </c>
      <c r="P1694" s="7">
        <v>46097.790174479167</v>
      </c>
      <c r="Q1694" s="1" t="s">
        <v>330</v>
      </c>
      <c r="T1694" s="1" t="s">
        <v>397</v>
      </c>
      <c r="U1694" s="1" t="s">
        <v>398</v>
      </c>
      <c r="V1694" s="1">
        <v>1</v>
      </c>
      <c r="W1694" s="3">
        <v>9737.2800000000007</v>
      </c>
      <c r="X1694" s="3">
        <v>9737.2800000000007</v>
      </c>
      <c r="Y1694" s="1" t="str">
        <f>VLOOKUP(A1694,[1]Detalle!$D$2:$CR$484,93,FALSE)</f>
        <v>Unilever - Unilever de Arg. S.A.</v>
      </c>
    </row>
    <row r="1695" spans="1:25" ht="14.25" customHeight="1" x14ac:dyDescent="0.3">
      <c r="A1695" s="1" t="s">
        <v>147</v>
      </c>
      <c r="B1695" s="1" t="s">
        <v>396</v>
      </c>
      <c r="C1695" s="1" t="s">
        <v>328</v>
      </c>
      <c r="D1695" s="1" t="s">
        <v>329</v>
      </c>
      <c r="E1695" s="6">
        <v>45723</v>
      </c>
      <c r="F1695" s="1">
        <v>27910.9</v>
      </c>
      <c r="G1695" s="1">
        <v>47910.9</v>
      </c>
      <c r="H1695" s="1">
        <v>19185.899999999991</v>
      </c>
      <c r="I1695" s="1">
        <v>814.10000000000582</v>
      </c>
      <c r="J1695" s="1">
        <v>47096.800000000003</v>
      </c>
      <c r="K1695" s="1">
        <v>224</v>
      </c>
      <c r="L1695" s="1">
        <v>76.974301470588202</v>
      </c>
      <c r="M1695" s="1">
        <v>9.5048134306965721</v>
      </c>
      <c r="N1695" s="7">
        <v>45947</v>
      </c>
      <c r="O1695" s="1">
        <v>20000</v>
      </c>
      <c r="P1695" s="7">
        <v>46216.331789675933</v>
      </c>
      <c r="Q1695" s="1" t="s">
        <v>330</v>
      </c>
      <c r="T1695" s="1" t="s">
        <v>331</v>
      </c>
      <c r="U1695" s="1" t="s">
        <v>332</v>
      </c>
      <c r="V1695" s="1">
        <v>16</v>
      </c>
      <c r="W1695" s="3">
        <v>3389.9</v>
      </c>
      <c r="X1695" s="3">
        <v>54238.400000000001</v>
      </c>
      <c r="Y1695" s="1" t="str">
        <f>VLOOKUP(A1695,[1]Detalle!$D$2:$CR$484,93,FALSE)</f>
        <v>SUC_SLU - Sucursal San Luis</v>
      </c>
    </row>
    <row r="1696" spans="1:25" ht="14.25" customHeight="1" x14ac:dyDescent="0.3">
      <c r="A1696" s="1" t="s">
        <v>147</v>
      </c>
      <c r="B1696" s="1" t="s">
        <v>396</v>
      </c>
      <c r="C1696" s="1" t="s">
        <v>328</v>
      </c>
      <c r="D1696" s="1" t="s">
        <v>329</v>
      </c>
      <c r="E1696" s="6">
        <v>45723</v>
      </c>
      <c r="F1696" s="1">
        <v>27910.9</v>
      </c>
      <c r="G1696" s="1">
        <v>47910.9</v>
      </c>
      <c r="H1696" s="1">
        <v>19185.899999999991</v>
      </c>
      <c r="I1696" s="1">
        <v>814.10000000000582</v>
      </c>
      <c r="J1696" s="1">
        <v>47096.800000000003</v>
      </c>
      <c r="K1696" s="1">
        <v>224</v>
      </c>
      <c r="L1696" s="1">
        <v>76.974301470588202</v>
      </c>
      <c r="M1696" s="1">
        <v>9.5048134306965721</v>
      </c>
      <c r="N1696" s="7">
        <v>45947</v>
      </c>
      <c r="O1696" s="1">
        <v>20000</v>
      </c>
      <c r="P1696" s="7">
        <v>46216.331789675933</v>
      </c>
      <c r="Q1696" s="1" t="s">
        <v>330</v>
      </c>
      <c r="T1696" s="1" t="s">
        <v>397</v>
      </c>
      <c r="U1696" s="1" t="s">
        <v>398</v>
      </c>
      <c r="V1696" s="1">
        <v>1</v>
      </c>
      <c r="W1696" s="3">
        <v>9737.2800000000007</v>
      </c>
      <c r="X1696" s="3">
        <v>9737.2800000000007</v>
      </c>
      <c r="Y1696" s="1" t="str">
        <f>VLOOKUP(A1696,[1]Detalle!$D$2:$CR$484,93,FALSE)</f>
        <v>SUC_SLU - Sucursal San Luis</v>
      </c>
    </row>
    <row r="1697" spans="1:25" ht="14.25" customHeight="1" x14ac:dyDescent="0.3">
      <c r="A1697" s="1" t="s">
        <v>146</v>
      </c>
      <c r="B1697" s="1" t="s">
        <v>396</v>
      </c>
      <c r="C1697" s="1" t="s">
        <v>328</v>
      </c>
      <c r="D1697" s="1" t="s">
        <v>329</v>
      </c>
      <c r="E1697" s="6">
        <v>45831</v>
      </c>
      <c r="F1697" s="1">
        <v>511084</v>
      </c>
      <c r="G1697" s="1">
        <v>531084</v>
      </c>
      <c r="H1697" s="1">
        <v>8073.1000000000013</v>
      </c>
      <c r="I1697" s="1">
        <v>11926.9</v>
      </c>
      <c r="J1697" s="1">
        <v>519157.1</v>
      </c>
      <c r="K1697" s="1">
        <v>116</v>
      </c>
      <c r="L1697" s="1">
        <v>57.283729903536972</v>
      </c>
      <c r="M1697" s="1">
        <v>171.3741189877494</v>
      </c>
      <c r="N1697" s="7">
        <v>45947</v>
      </c>
      <c r="O1697" s="1">
        <v>20000</v>
      </c>
      <c r="P1697" s="7">
        <v>46118.374118993059</v>
      </c>
      <c r="Q1697" s="1" t="s">
        <v>330</v>
      </c>
      <c r="T1697" s="1" t="s">
        <v>331</v>
      </c>
      <c r="U1697" s="1" t="s">
        <v>332</v>
      </c>
      <c r="V1697" s="1">
        <v>16</v>
      </c>
      <c r="W1697" s="3">
        <v>3389.9</v>
      </c>
      <c r="X1697" s="3">
        <v>54238.400000000001</v>
      </c>
      <c r="Y1697" s="1" t="str">
        <f>VLOOKUP(A1697,[1]Detalle!$D$2:$CR$484,93,FALSE)</f>
        <v>Unilever - Unilever de Arg. S.A.</v>
      </c>
    </row>
    <row r="1698" spans="1:25" ht="14.25" customHeight="1" x14ac:dyDescent="0.3">
      <c r="A1698" s="1" t="s">
        <v>146</v>
      </c>
      <c r="B1698" s="1" t="s">
        <v>396</v>
      </c>
      <c r="C1698" s="1" t="s">
        <v>328</v>
      </c>
      <c r="D1698" s="1" t="s">
        <v>329</v>
      </c>
      <c r="E1698" s="6">
        <v>45831</v>
      </c>
      <c r="F1698" s="1">
        <v>511084</v>
      </c>
      <c r="G1698" s="1">
        <v>531084</v>
      </c>
      <c r="H1698" s="1">
        <v>8073.1000000000013</v>
      </c>
      <c r="I1698" s="1">
        <v>11926.9</v>
      </c>
      <c r="J1698" s="1">
        <v>519157.1</v>
      </c>
      <c r="K1698" s="1">
        <v>116</v>
      </c>
      <c r="L1698" s="1">
        <v>57.283729903536972</v>
      </c>
      <c r="M1698" s="1">
        <v>171.3741189877494</v>
      </c>
      <c r="N1698" s="7">
        <v>45947</v>
      </c>
      <c r="O1698" s="1">
        <v>20000</v>
      </c>
      <c r="P1698" s="7">
        <v>46118.374118993059</v>
      </c>
      <c r="Q1698" s="1" t="s">
        <v>330</v>
      </c>
      <c r="T1698" s="1" t="s">
        <v>397</v>
      </c>
      <c r="U1698" s="1" t="s">
        <v>398</v>
      </c>
      <c r="V1698" s="1">
        <v>1</v>
      </c>
      <c r="W1698" s="3">
        <v>9737.2800000000007</v>
      </c>
      <c r="X1698" s="3">
        <v>9737.2800000000007</v>
      </c>
      <c r="Y1698" s="1" t="str">
        <f>VLOOKUP(A1698,[1]Detalle!$D$2:$CR$484,93,FALSE)</f>
        <v>Unilever - Unilever de Arg. S.A.</v>
      </c>
    </row>
    <row r="1699" spans="1:25" ht="14.25" customHeight="1" x14ac:dyDescent="0.3">
      <c r="A1699" s="1" t="s">
        <v>145</v>
      </c>
      <c r="B1699" s="1" t="s">
        <v>396</v>
      </c>
      <c r="C1699" s="1" t="s">
        <v>328</v>
      </c>
      <c r="D1699" s="1" t="s">
        <v>329</v>
      </c>
      <c r="E1699" s="6">
        <v>45848</v>
      </c>
      <c r="F1699" s="1">
        <v>234133</v>
      </c>
      <c r="G1699" s="1">
        <v>254133</v>
      </c>
      <c r="H1699" s="1">
        <v>4079.8</v>
      </c>
      <c r="I1699" s="1">
        <v>15920.2</v>
      </c>
      <c r="J1699" s="1">
        <v>238212.8</v>
      </c>
      <c r="K1699" s="1">
        <v>99</v>
      </c>
      <c r="L1699" s="1">
        <v>38.995387096774238</v>
      </c>
      <c r="M1699" s="1">
        <v>386.31790774057549</v>
      </c>
      <c r="N1699" s="7">
        <v>45947</v>
      </c>
      <c r="O1699" s="1">
        <v>20000</v>
      </c>
      <c r="P1699" s="7">
        <v>46333.317907743047</v>
      </c>
      <c r="Q1699" s="1" t="s">
        <v>330</v>
      </c>
      <c r="T1699" s="1" t="s">
        <v>331</v>
      </c>
      <c r="U1699" s="1" t="s">
        <v>332</v>
      </c>
      <c r="V1699" s="1">
        <v>16</v>
      </c>
      <c r="W1699" s="3">
        <v>3389.9</v>
      </c>
      <c r="X1699" s="3">
        <v>54238.400000000001</v>
      </c>
      <c r="Y1699" s="1" t="str">
        <f>VLOOKUP(A1699,[1]Detalle!$D$2:$CR$484,93,FALSE)</f>
        <v>CCUCoAZA</v>
      </c>
    </row>
    <row r="1700" spans="1:25" ht="14.25" customHeight="1" x14ac:dyDescent="0.3">
      <c r="A1700" s="1" t="s">
        <v>145</v>
      </c>
      <c r="B1700" s="1" t="s">
        <v>396</v>
      </c>
      <c r="C1700" s="1" t="s">
        <v>328</v>
      </c>
      <c r="D1700" s="1" t="s">
        <v>329</v>
      </c>
      <c r="E1700" s="6">
        <v>45848</v>
      </c>
      <c r="F1700" s="1">
        <v>234133</v>
      </c>
      <c r="G1700" s="1">
        <v>254133</v>
      </c>
      <c r="H1700" s="1">
        <v>4079.8</v>
      </c>
      <c r="I1700" s="1">
        <v>15920.2</v>
      </c>
      <c r="J1700" s="1">
        <v>238212.8</v>
      </c>
      <c r="K1700" s="1">
        <v>99</v>
      </c>
      <c r="L1700" s="1">
        <v>38.995387096774238</v>
      </c>
      <c r="M1700" s="1">
        <v>386.31790774057549</v>
      </c>
      <c r="N1700" s="7">
        <v>45947</v>
      </c>
      <c r="O1700" s="1">
        <v>20000</v>
      </c>
      <c r="P1700" s="7">
        <v>46333.317907743047</v>
      </c>
      <c r="Q1700" s="1" t="s">
        <v>330</v>
      </c>
      <c r="T1700" s="1" t="s">
        <v>397</v>
      </c>
      <c r="U1700" s="1" t="s">
        <v>398</v>
      </c>
      <c r="V1700" s="1">
        <v>1</v>
      </c>
      <c r="W1700" s="3">
        <v>9737.2800000000007</v>
      </c>
      <c r="X1700" s="3">
        <v>9737.2800000000007</v>
      </c>
      <c r="Y1700" s="1" t="str">
        <f>VLOOKUP(A1700,[1]Detalle!$D$2:$CR$484,93,FALSE)</f>
        <v>CCUCoAZA</v>
      </c>
    </row>
    <row r="1701" spans="1:25" ht="14.25" customHeight="1" x14ac:dyDescent="0.3">
      <c r="A1701" s="1" t="s">
        <v>144</v>
      </c>
      <c r="B1701" s="1" t="s">
        <v>396</v>
      </c>
      <c r="C1701" s="1" t="s">
        <v>328</v>
      </c>
      <c r="D1701" s="1" t="s">
        <v>329</v>
      </c>
      <c r="E1701" s="6">
        <v>45840</v>
      </c>
      <c r="F1701" s="1">
        <v>619280</v>
      </c>
      <c r="G1701" s="1">
        <v>639280</v>
      </c>
      <c r="H1701" s="1">
        <v>8001.9999999999982</v>
      </c>
      <c r="I1701" s="1">
        <v>11998</v>
      </c>
      <c r="J1701" s="1">
        <v>627282</v>
      </c>
      <c r="K1701" s="1">
        <v>107</v>
      </c>
      <c r="L1701" s="1">
        <v>80.140288461538475</v>
      </c>
      <c r="M1701" s="1">
        <v>160.43314171457141</v>
      </c>
      <c r="N1701" s="7">
        <v>45947</v>
      </c>
      <c r="O1701" s="1">
        <v>20000</v>
      </c>
      <c r="P1701" s="7">
        <v>46107.433141712972</v>
      </c>
      <c r="Q1701" s="1" t="s">
        <v>330</v>
      </c>
      <c r="T1701" s="1" t="s">
        <v>331</v>
      </c>
      <c r="U1701" s="1" t="s">
        <v>332</v>
      </c>
      <c r="V1701" s="1">
        <v>16</v>
      </c>
      <c r="W1701" s="3">
        <v>3389.9</v>
      </c>
      <c r="X1701" s="3">
        <v>54238.400000000001</v>
      </c>
      <c r="Y1701" s="1" t="str">
        <f>VLOOKUP(A1701,[1]Detalle!$D$2:$CR$484,93,FALSE)</f>
        <v>Papelera - Papelera del Plata S.A.</v>
      </c>
    </row>
    <row r="1702" spans="1:25" ht="14.25" customHeight="1" x14ac:dyDescent="0.3">
      <c r="A1702" s="1" t="s">
        <v>144</v>
      </c>
      <c r="B1702" s="1" t="s">
        <v>396</v>
      </c>
      <c r="C1702" s="1" t="s">
        <v>328</v>
      </c>
      <c r="D1702" s="1" t="s">
        <v>329</v>
      </c>
      <c r="E1702" s="6">
        <v>45840</v>
      </c>
      <c r="F1702" s="1">
        <v>619280</v>
      </c>
      <c r="G1702" s="1">
        <v>639280</v>
      </c>
      <c r="H1702" s="1">
        <v>8001.9999999999982</v>
      </c>
      <c r="I1702" s="1">
        <v>11998</v>
      </c>
      <c r="J1702" s="1">
        <v>627282</v>
      </c>
      <c r="K1702" s="1">
        <v>107</v>
      </c>
      <c r="L1702" s="1">
        <v>80.140288461538475</v>
      </c>
      <c r="M1702" s="1">
        <v>160.43314171457141</v>
      </c>
      <c r="N1702" s="7">
        <v>45947</v>
      </c>
      <c r="O1702" s="1">
        <v>20000</v>
      </c>
      <c r="P1702" s="7">
        <v>46107.433141712972</v>
      </c>
      <c r="Q1702" s="1" t="s">
        <v>330</v>
      </c>
      <c r="T1702" s="1" t="s">
        <v>397</v>
      </c>
      <c r="U1702" s="1" t="s">
        <v>398</v>
      </c>
      <c r="V1702" s="1">
        <v>1</v>
      </c>
      <c r="W1702" s="3">
        <v>9737.2800000000007</v>
      </c>
      <c r="X1702" s="3">
        <v>9737.2800000000007</v>
      </c>
      <c r="Y1702" s="1" t="str">
        <f>VLOOKUP(A1702,[1]Detalle!$D$2:$CR$484,93,FALSE)</f>
        <v>Papelera - Papelera del Plata S.A.</v>
      </c>
    </row>
    <row r="1703" spans="1:25" ht="14.25" customHeight="1" x14ac:dyDescent="0.3">
      <c r="A1703" s="1" t="s">
        <v>143</v>
      </c>
      <c r="B1703" s="1" t="s">
        <v>396</v>
      </c>
      <c r="C1703" s="1" t="s">
        <v>328</v>
      </c>
      <c r="D1703" s="1" t="s">
        <v>329</v>
      </c>
      <c r="E1703" s="6">
        <v>45912</v>
      </c>
      <c r="F1703" s="1">
        <v>723287</v>
      </c>
      <c r="G1703" s="1">
        <v>743287</v>
      </c>
      <c r="H1703" s="1">
        <v>0</v>
      </c>
      <c r="I1703" s="1">
        <v>20000</v>
      </c>
      <c r="J1703" s="1">
        <v>723287</v>
      </c>
      <c r="K1703" s="1">
        <v>35</v>
      </c>
      <c r="L1703" s="1">
        <v>1.7600651465798041</v>
      </c>
      <c r="M1703" s="1">
        <v>200</v>
      </c>
      <c r="N1703" s="7">
        <v>45947</v>
      </c>
      <c r="O1703" s="1">
        <v>20000</v>
      </c>
      <c r="P1703" s="7">
        <v>46147</v>
      </c>
      <c r="Q1703" s="1" t="s">
        <v>330</v>
      </c>
      <c r="T1703" s="1" t="s">
        <v>331</v>
      </c>
      <c r="U1703" s="1" t="s">
        <v>332</v>
      </c>
      <c r="V1703" s="1">
        <v>16</v>
      </c>
      <c r="W1703" s="3">
        <v>3389.9</v>
      </c>
      <c r="X1703" s="3">
        <v>54238.400000000001</v>
      </c>
      <c r="Y1703" s="1" t="str">
        <f>VLOOKUP(A1703,[1]Detalle!$D$2:$CR$484,93,FALSE)</f>
        <v>Arcor S.A.I.C.</v>
      </c>
    </row>
    <row r="1704" spans="1:25" ht="14.25" customHeight="1" x14ac:dyDescent="0.3">
      <c r="A1704" s="1" t="s">
        <v>143</v>
      </c>
      <c r="B1704" s="1" t="s">
        <v>396</v>
      </c>
      <c r="C1704" s="1" t="s">
        <v>328</v>
      </c>
      <c r="D1704" s="1" t="s">
        <v>329</v>
      </c>
      <c r="E1704" s="6">
        <v>45912</v>
      </c>
      <c r="F1704" s="1">
        <v>723287</v>
      </c>
      <c r="G1704" s="1">
        <v>743287</v>
      </c>
      <c r="H1704" s="1">
        <v>0</v>
      </c>
      <c r="I1704" s="1">
        <v>20000</v>
      </c>
      <c r="J1704" s="1">
        <v>723287</v>
      </c>
      <c r="K1704" s="1">
        <v>35</v>
      </c>
      <c r="L1704" s="1">
        <v>1.7600651465798041</v>
      </c>
      <c r="M1704" s="1">
        <v>200</v>
      </c>
      <c r="N1704" s="7">
        <v>45947</v>
      </c>
      <c r="O1704" s="1">
        <v>20000</v>
      </c>
      <c r="P1704" s="7">
        <v>46147</v>
      </c>
      <c r="Q1704" s="1" t="s">
        <v>330</v>
      </c>
      <c r="T1704" s="1" t="s">
        <v>397</v>
      </c>
      <c r="U1704" s="1" t="s">
        <v>398</v>
      </c>
      <c r="V1704" s="1">
        <v>1</v>
      </c>
      <c r="W1704" s="3">
        <v>9737.2800000000007</v>
      </c>
      <c r="X1704" s="3">
        <v>9737.2800000000007</v>
      </c>
      <c r="Y1704" s="1" t="str">
        <f>VLOOKUP(A1704,[1]Detalle!$D$2:$CR$484,93,FALSE)</f>
        <v>Arcor S.A.I.C.</v>
      </c>
    </row>
    <row r="1705" spans="1:25" ht="14.25" customHeight="1" x14ac:dyDescent="0.3">
      <c r="A1705" s="1" t="s">
        <v>142</v>
      </c>
      <c r="B1705" s="1" t="s">
        <v>396</v>
      </c>
      <c r="C1705" s="1" t="s">
        <v>328</v>
      </c>
      <c r="D1705" s="1" t="s">
        <v>329</v>
      </c>
      <c r="E1705" s="6">
        <v>45834</v>
      </c>
      <c r="F1705" s="1">
        <v>831926</v>
      </c>
      <c r="G1705" s="1">
        <v>851926</v>
      </c>
      <c r="H1705" s="1">
        <v>9266.100000000004</v>
      </c>
      <c r="I1705" s="1">
        <v>10733.9</v>
      </c>
      <c r="J1705" s="1">
        <v>841192.1</v>
      </c>
      <c r="K1705" s="1">
        <v>113</v>
      </c>
      <c r="L1705" s="1">
        <v>68.472829581993537</v>
      </c>
      <c r="M1705" s="1">
        <v>130.89980682271931</v>
      </c>
      <c r="N1705" s="7">
        <v>45947</v>
      </c>
      <c r="O1705" s="1">
        <v>20000</v>
      </c>
      <c r="P1705" s="7">
        <v>46077.899806817128</v>
      </c>
      <c r="Q1705" s="1" t="s">
        <v>330</v>
      </c>
      <c r="T1705" s="1" t="s">
        <v>331</v>
      </c>
      <c r="U1705" s="1" t="s">
        <v>332</v>
      </c>
      <c r="V1705" s="1">
        <v>16</v>
      </c>
      <c r="W1705" s="3">
        <v>3389.9</v>
      </c>
      <c r="X1705" s="3">
        <v>54238.400000000001</v>
      </c>
      <c r="Y1705" s="1" t="str">
        <f>VLOOKUP(A1705,[1]Detalle!$D$2:$CR$484,93,FALSE)</f>
        <v>Papelera - Papelera del Plata S.A.</v>
      </c>
    </row>
    <row r="1706" spans="1:25" ht="14.25" customHeight="1" x14ac:dyDescent="0.3">
      <c r="A1706" s="1" t="s">
        <v>142</v>
      </c>
      <c r="B1706" s="1" t="s">
        <v>396</v>
      </c>
      <c r="C1706" s="1" t="s">
        <v>328</v>
      </c>
      <c r="D1706" s="1" t="s">
        <v>329</v>
      </c>
      <c r="E1706" s="6">
        <v>45834</v>
      </c>
      <c r="F1706" s="1">
        <v>831926</v>
      </c>
      <c r="G1706" s="1">
        <v>851926</v>
      </c>
      <c r="H1706" s="1">
        <v>9266.100000000004</v>
      </c>
      <c r="I1706" s="1">
        <v>10733.9</v>
      </c>
      <c r="J1706" s="1">
        <v>841192.1</v>
      </c>
      <c r="K1706" s="1">
        <v>113</v>
      </c>
      <c r="L1706" s="1">
        <v>68.472829581993537</v>
      </c>
      <c r="M1706" s="1">
        <v>130.89980682271931</v>
      </c>
      <c r="N1706" s="7">
        <v>45947</v>
      </c>
      <c r="O1706" s="1">
        <v>20000</v>
      </c>
      <c r="P1706" s="7">
        <v>46077.899806817128</v>
      </c>
      <c r="Q1706" s="1" t="s">
        <v>330</v>
      </c>
      <c r="T1706" s="1" t="s">
        <v>397</v>
      </c>
      <c r="U1706" s="1" t="s">
        <v>398</v>
      </c>
      <c r="V1706" s="1">
        <v>1</v>
      </c>
      <c r="W1706" s="3">
        <v>9737.2800000000007</v>
      </c>
      <c r="X1706" s="3">
        <v>9737.2800000000007</v>
      </c>
      <c r="Y1706" s="1" t="str">
        <f>VLOOKUP(A1706,[1]Detalle!$D$2:$CR$484,93,FALSE)</f>
        <v>Papelera - Papelera del Plata S.A.</v>
      </c>
    </row>
    <row r="1707" spans="1:25" ht="14.25" customHeight="1" x14ac:dyDescent="0.3">
      <c r="A1707" s="1" t="s">
        <v>141</v>
      </c>
      <c r="B1707" s="1" t="s">
        <v>396</v>
      </c>
      <c r="C1707" s="1" t="s">
        <v>328</v>
      </c>
      <c r="D1707" s="1" t="s">
        <v>329</v>
      </c>
      <c r="E1707" s="6">
        <v>45862</v>
      </c>
      <c r="F1707" s="1">
        <v>484180</v>
      </c>
      <c r="G1707" s="1">
        <v>504180</v>
      </c>
      <c r="H1707" s="1">
        <v>6154.3000000000011</v>
      </c>
      <c r="I1707" s="1">
        <v>13845.7</v>
      </c>
      <c r="J1707" s="1">
        <v>490334.3</v>
      </c>
      <c r="K1707" s="1">
        <v>85</v>
      </c>
      <c r="L1707" s="1">
        <v>131.1199356913184</v>
      </c>
      <c r="M1707" s="1">
        <v>191.22962806493021</v>
      </c>
      <c r="N1707" s="7">
        <v>45947</v>
      </c>
      <c r="O1707" s="1">
        <v>20000</v>
      </c>
      <c r="P1707" s="7">
        <v>46138.229628067129</v>
      </c>
      <c r="Q1707" s="1" t="s">
        <v>330</v>
      </c>
      <c r="T1707" s="1" t="s">
        <v>331</v>
      </c>
      <c r="U1707" s="1" t="s">
        <v>332</v>
      </c>
      <c r="V1707" s="1">
        <v>16</v>
      </c>
      <c r="W1707" s="3">
        <v>3389.9</v>
      </c>
      <c r="X1707" s="3">
        <v>54238.400000000001</v>
      </c>
      <c r="Y1707" s="1" t="str">
        <f>VLOOKUP(A1707,[1]Detalle!$D$2:$CR$484,93,FALSE)</f>
        <v>Unilever - Unilever de Arg. S.A.</v>
      </c>
    </row>
    <row r="1708" spans="1:25" ht="14.25" customHeight="1" x14ac:dyDescent="0.3">
      <c r="A1708" s="1" t="s">
        <v>141</v>
      </c>
      <c r="B1708" s="1" t="s">
        <v>396</v>
      </c>
      <c r="C1708" s="1" t="s">
        <v>328</v>
      </c>
      <c r="D1708" s="1" t="s">
        <v>329</v>
      </c>
      <c r="E1708" s="6">
        <v>45862</v>
      </c>
      <c r="F1708" s="1">
        <v>484180</v>
      </c>
      <c r="G1708" s="1">
        <v>504180</v>
      </c>
      <c r="H1708" s="1">
        <v>6154.3000000000011</v>
      </c>
      <c r="I1708" s="1">
        <v>13845.7</v>
      </c>
      <c r="J1708" s="1">
        <v>490334.3</v>
      </c>
      <c r="K1708" s="1">
        <v>85</v>
      </c>
      <c r="L1708" s="1">
        <v>131.1199356913184</v>
      </c>
      <c r="M1708" s="1">
        <v>191.22962806493021</v>
      </c>
      <c r="N1708" s="7">
        <v>45947</v>
      </c>
      <c r="O1708" s="1">
        <v>20000</v>
      </c>
      <c r="P1708" s="7">
        <v>46138.229628067129</v>
      </c>
      <c r="Q1708" s="1" t="s">
        <v>330</v>
      </c>
      <c r="T1708" s="1" t="s">
        <v>397</v>
      </c>
      <c r="U1708" s="1" t="s">
        <v>398</v>
      </c>
      <c r="V1708" s="1">
        <v>1</v>
      </c>
      <c r="W1708" s="3">
        <v>9737.2800000000007</v>
      </c>
      <c r="X1708" s="3">
        <v>9737.2800000000007</v>
      </c>
      <c r="Y1708" s="1" t="str">
        <f>VLOOKUP(A1708,[1]Detalle!$D$2:$CR$484,93,FALSE)</f>
        <v>Unilever - Unilever de Arg. S.A.</v>
      </c>
    </row>
    <row r="1709" spans="1:25" ht="14.25" customHeight="1" x14ac:dyDescent="0.3">
      <c r="A1709" s="1" t="s">
        <v>140</v>
      </c>
      <c r="B1709" s="1" t="s">
        <v>396</v>
      </c>
      <c r="C1709" s="1" t="s">
        <v>328</v>
      </c>
      <c r="D1709" s="1" t="s">
        <v>329</v>
      </c>
      <c r="E1709" s="6">
        <v>45745</v>
      </c>
      <c r="F1709" s="1">
        <v>484970</v>
      </c>
      <c r="G1709" s="1">
        <v>504970</v>
      </c>
      <c r="H1709" s="1">
        <v>6360.1999999999944</v>
      </c>
      <c r="I1709" s="1">
        <v>13639.80000000001</v>
      </c>
      <c r="J1709" s="1">
        <v>491330.2</v>
      </c>
      <c r="K1709" s="1">
        <v>202</v>
      </c>
      <c r="L1709" s="1">
        <v>30.7326948051948</v>
      </c>
      <c r="M1709" s="1">
        <v>433.20015093865032</v>
      </c>
      <c r="N1709" s="7">
        <v>45947</v>
      </c>
      <c r="O1709" s="1">
        <v>20000</v>
      </c>
      <c r="P1709" s="7">
        <v>46380.200150937497</v>
      </c>
      <c r="Q1709" s="1" t="s">
        <v>330</v>
      </c>
      <c r="T1709" s="1" t="s">
        <v>331</v>
      </c>
      <c r="U1709" s="1" t="s">
        <v>332</v>
      </c>
      <c r="V1709" s="1">
        <v>16</v>
      </c>
      <c r="W1709" s="3">
        <v>3389.9</v>
      </c>
      <c r="X1709" s="3">
        <v>54238.400000000001</v>
      </c>
      <c r="Y1709" s="1" t="str">
        <f>VLOOKUP(A1709,[1]Detalle!$D$2:$CR$484,93,FALSE)</f>
        <v>CCU_MZA - Comp. Cerv. Unidas - MZA</v>
      </c>
    </row>
    <row r="1710" spans="1:25" ht="14.25" customHeight="1" x14ac:dyDescent="0.3">
      <c r="A1710" s="1" t="s">
        <v>140</v>
      </c>
      <c r="B1710" s="1" t="s">
        <v>396</v>
      </c>
      <c r="C1710" s="1" t="s">
        <v>328</v>
      </c>
      <c r="D1710" s="1" t="s">
        <v>329</v>
      </c>
      <c r="E1710" s="6">
        <v>45745</v>
      </c>
      <c r="F1710" s="1">
        <v>484970</v>
      </c>
      <c r="G1710" s="1">
        <v>504970</v>
      </c>
      <c r="H1710" s="1">
        <v>6360.1999999999944</v>
      </c>
      <c r="I1710" s="1">
        <v>13639.80000000001</v>
      </c>
      <c r="J1710" s="1">
        <v>491330.2</v>
      </c>
      <c r="K1710" s="1">
        <v>202</v>
      </c>
      <c r="L1710" s="1">
        <v>30.7326948051948</v>
      </c>
      <c r="M1710" s="1">
        <v>433.20015093865032</v>
      </c>
      <c r="N1710" s="7">
        <v>45947</v>
      </c>
      <c r="O1710" s="1">
        <v>20000</v>
      </c>
      <c r="P1710" s="7">
        <v>46380.200150937497</v>
      </c>
      <c r="Q1710" s="1" t="s">
        <v>330</v>
      </c>
      <c r="T1710" s="1" t="s">
        <v>397</v>
      </c>
      <c r="U1710" s="1" t="s">
        <v>398</v>
      </c>
      <c r="V1710" s="1">
        <v>1</v>
      </c>
      <c r="W1710" s="3">
        <v>9737.2800000000007</v>
      </c>
      <c r="X1710" s="3">
        <v>9737.2800000000007</v>
      </c>
      <c r="Y1710" s="1" t="str">
        <f>VLOOKUP(A1710,[1]Detalle!$D$2:$CR$484,93,FALSE)</f>
        <v>CCU_MZA - Comp. Cerv. Unidas - MZA</v>
      </c>
    </row>
    <row r="1711" spans="1:25" ht="14.25" customHeight="1" x14ac:dyDescent="0.3">
      <c r="A1711" s="1" t="s">
        <v>139</v>
      </c>
      <c r="B1711" s="1" t="s">
        <v>396</v>
      </c>
      <c r="C1711" s="1" t="s">
        <v>328</v>
      </c>
      <c r="D1711" s="1" t="s">
        <v>329</v>
      </c>
      <c r="E1711" s="6">
        <v>45744</v>
      </c>
      <c r="F1711" s="1">
        <v>298685</v>
      </c>
      <c r="G1711" s="1">
        <v>318685</v>
      </c>
      <c r="H1711" s="1">
        <v>8864.1</v>
      </c>
      <c r="I1711" s="1">
        <v>11135.9</v>
      </c>
      <c r="J1711" s="1">
        <v>307549.09999999998</v>
      </c>
      <c r="K1711" s="1">
        <v>203</v>
      </c>
      <c r="L1711" s="1">
        <v>39.137363344051472</v>
      </c>
      <c r="M1711" s="1">
        <v>255.02732369896549</v>
      </c>
      <c r="N1711" s="7">
        <v>45947</v>
      </c>
      <c r="O1711" s="1">
        <v>20000</v>
      </c>
      <c r="P1711" s="7">
        <v>46202.027323703704</v>
      </c>
      <c r="Q1711" s="1" t="s">
        <v>330</v>
      </c>
      <c r="T1711" s="1" t="s">
        <v>331</v>
      </c>
      <c r="U1711" s="1" t="s">
        <v>332</v>
      </c>
      <c r="V1711" s="1">
        <v>16</v>
      </c>
      <c r="W1711" s="3">
        <v>3389.9</v>
      </c>
      <c r="X1711" s="3">
        <v>54238.400000000001</v>
      </c>
      <c r="Y1711" s="1" t="str">
        <f>VLOOKUP(A1711,[1]Detalle!$D$2:$CR$484,93,FALSE)</f>
        <v>CCUDyAZA</v>
      </c>
    </row>
    <row r="1712" spans="1:25" ht="14.25" customHeight="1" x14ac:dyDescent="0.3">
      <c r="A1712" s="1" t="s">
        <v>139</v>
      </c>
      <c r="B1712" s="1" t="s">
        <v>396</v>
      </c>
      <c r="C1712" s="1" t="s">
        <v>328</v>
      </c>
      <c r="D1712" s="1" t="s">
        <v>329</v>
      </c>
      <c r="E1712" s="6">
        <v>45744</v>
      </c>
      <c r="F1712" s="1">
        <v>298685</v>
      </c>
      <c r="G1712" s="1">
        <v>318685</v>
      </c>
      <c r="H1712" s="1">
        <v>8864.1</v>
      </c>
      <c r="I1712" s="1">
        <v>11135.9</v>
      </c>
      <c r="J1712" s="1">
        <v>307549.09999999998</v>
      </c>
      <c r="K1712" s="1">
        <v>203</v>
      </c>
      <c r="L1712" s="1">
        <v>39.137363344051472</v>
      </c>
      <c r="M1712" s="1">
        <v>255.02732369896549</v>
      </c>
      <c r="N1712" s="7">
        <v>45947</v>
      </c>
      <c r="O1712" s="1">
        <v>20000</v>
      </c>
      <c r="P1712" s="7">
        <v>46202.027323703704</v>
      </c>
      <c r="Q1712" s="1" t="s">
        <v>330</v>
      </c>
      <c r="T1712" s="1" t="s">
        <v>397</v>
      </c>
      <c r="U1712" s="1" t="s">
        <v>398</v>
      </c>
      <c r="V1712" s="1">
        <v>1</v>
      </c>
      <c r="W1712" s="3">
        <v>9737.2800000000007</v>
      </c>
      <c r="X1712" s="3">
        <v>9737.2800000000007</v>
      </c>
      <c r="Y1712" s="1" t="str">
        <f>VLOOKUP(A1712,[1]Detalle!$D$2:$CR$484,93,FALSE)</f>
        <v>CCUDyAZA</v>
      </c>
    </row>
    <row r="1713" spans="1:25" ht="14.25" customHeight="1" x14ac:dyDescent="0.3">
      <c r="A1713" s="1" t="s">
        <v>138</v>
      </c>
      <c r="B1713" s="1" t="s">
        <v>396</v>
      </c>
      <c r="C1713" s="1" t="s">
        <v>328</v>
      </c>
      <c r="D1713" s="1" t="s">
        <v>329</v>
      </c>
      <c r="E1713" s="6">
        <v>45840</v>
      </c>
      <c r="F1713" s="1">
        <v>40688</v>
      </c>
      <c r="G1713" s="1">
        <v>60688</v>
      </c>
      <c r="H1713" s="1">
        <v>18559.899999999991</v>
      </c>
      <c r="I1713" s="1">
        <v>1440.100000000006</v>
      </c>
      <c r="J1713" s="1">
        <v>59247.899999999987</v>
      </c>
      <c r="K1713" s="1">
        <v>107</v>
      </c>
      <c r="L1713" s="1">
        <v>129.25862179487169</v>
      </c>
      <c r="M1713" s="1">
        <v>8.3023453790160868</v>
      </c>
      <c r="N1713" s="7">
        <v>45947</v>
      </c>
      <c r="O1713" s="1">
        <v>20000</v>
      </c>
      <c r="P1713" s="7">
        <v>46110.030902141203</v>
      </c>
      <c r="Q1713" s="1" t="s">
        <v>330</v>
      </c>
      <c r="T1713" s="1" t="s">
        <v>331</v>
      </c>
      <c r="U1713" s="1" t="s">
        <v>332</v>
      </c>
      <c r="V1713" s="1">
        <v>16</v>
      </c>
      <c r="W1713" s="3">
        <v>3389.9</v>
      </c>
      <c r="X1713" s="3">
        <v>54238.400000000001</v>
      </c>
      <c r="Y1713" s="1" t="str">
        <f>VLOOKUP(A1713,[1]Detalle!$D$2:$CR$484,93,FALSE)</f>
        <v>SUC_MEN - Sucursal Mendoza</v>
      </c>
    </row>
    <row r="1714" spans="1:25" ht="14.25" customHeight="1" x14ac:dyDescent="0.3">
      <c r="A1714" s="1" t="s">
        <v>138</v>
      </c>
      <c r="B1714" s="1" t="s">
        <v>396</v>
      </c>
      <c r="C1714" s="1" t="s">
        <v>328</v>
      </c>
      <c r="D1714" s="1" t="s">
        <v>329</v>
      </c>
      <c r="E1714" s="6">
        <v>45840</v>
      </c>
      <c r="F1714" s="1">
        <v>40688</v>
      </c>
      <c r="G1714" s="1">
        <v>60688</v>
      </c>
      <c r="H1714" s="1">
        <v>18559.899999999991</v>
      </c>
      <c r="I1714" s="1">
        <v>1440.100000000006</v>
      </c>
      <c r="J1714" s="1">
        <v>59247.899999999987</v>
      </c>
      <c r="K1714" s="1">
        <v>107</v>
      </c>
      <c r="L1714" s="1">
        <v>129.25862179487169</v>
      </c>
      <c r="M1714" s="1">
        <v>8.3023453790160868</v>
      </c>
      <c r="N1714" s="7">
        <v>45947</v>
      </c>
      <c r="O1714" s="1">
        <v>20000</v>
      </c>
      <c r="P1714" s="7">
        <v>46110.030902141203</v>
      </c>
      <c r="Q1714" s="1" t="s">
        <v>330</v>
      </c>
      <c r="T1714" s="1" t="s">
        <v>397</v>
      </c>
      <c r="U1714" s="1" t="s">
        <v>398</v>
      </c>
      <c r="V1714" s="1">
        <v>1</v>
      </c>
      <c r="W1714" s="3">
        <v>9737.2800000000007</v>
      </c>
      <c r="X1714" s="3">
        <v>9737.2800000000007</v>
      </c>
      <c r="Y1714" s="1" t="str">
        <f>VLOOKUP(A1714,[1]Detalle!$D$2:$CR$484,93,FALSE)</f>
        <v>SUC_MEN - Sucursal Mendoza</v>
      </c>
    </row>
    <row r="1715" spans="1:25" ht="14.25" customHeight="1" x14ac:dyDescent="0.3">
      <c r="A1715" s="1" t="s">
        <v>137</v>
      </c>
      <c r="B1715" s="1" t="s">
        <v>396</v>
      </c>
      <c r="C1715" s="1" t="s">
        <v>328</v>
      </c>
      <c r="D1715" s="1" t="s">
        <v>329</v>
      </c>
      <c r="E1715" s="6">
        <v>45813</v>
      </c>
      <c r="F1715" s="1">
        <v>230027</v>
      </c>
      <c r="G1715" s="1">
        <v>250027</v>
      </c>
      <c r="H1715" s="1">
        <v>5321.3000000000011</v>
      </c>
      <c r="I1715" s="1">
        <v>14678.7</v>
      </c>
      <c r="J1715" s="1">
        <v>235348.3</v>
      </c>
      <c r="K1715" s="1">
        <v>134</v>
      </c>
      <c r="L1715" s="1">
        <v>37.879290322580637</v>
      </c>
      <c r="M1715" s="1">
        <v>369.63632946836287</v>
      </c>
      <c r="N1715" s="7">
        <v>45947</v>
      </c>
      <c r="O1715" s="1">
        <v>20000</v>
      </c>
      <c r="P1715" s="7">
        <v>46316.63632946759</v>
      </c>
      <c r="Q1715" s="1" t="s">
        <v>330</v>
      </c>
      <c r="T1715" s="1" t="s">
        <v>331</v>
      </c>
      <c r="U1715" s="1" t="s">
        <v>332</v>
      </c>
      <c r="V1715" s="1">
        <v>16</v>
      </c>
      <c r="W1715" s="3">
        <v>3389.9</v>
      </c>
      <c r="X1715" s="3">
        <v>54238.400000000001</v>
      </c>
      <c r="Y1715" s="1" t="str">
        <f>VLOOKUP(A1715,[1]Detalle!$D$2:$CR$484,93,FALSE)</f>
        <v>CCUDyAZA</v>
      </c>
    </row>
    <row r="1716" spans="1:25" ht="14.25" customHeight="1" x14ac:dyDescent="0.3">
      <c r="A1716" s="1" t="s">
        <v>137</v>
      </c>
      <c r="B1716" s="1" t="s">
        <v>396</v>
      </c>
      <c r="C1716" s="1" t="s">
        <v>328</v>
      </c>
      <c r="D1716" s="1" t="s">
        <v>329</v>
      </c>
      <c r="E1716" s="6">
        <v>45813</v>
      </c>
      <c r="F1716" s="1">
        <v>230027</v>
      </c>
      <c r="G1716" s="1">
        <v>250027</v>
      </c>
      <c r="H1716" s="1">
        <v>5321.3000000000011</v>
      </c>
      <c r="I1716" s="1">
        <v>14678.7</v>
      </c>
      <c r="J1716" s="1">
        <v>235348.3</v>
      </c>
      <c r="K1716" s="1">
        <v>134</v>
      </c>
      <c r="L1716" s="1">
        <v>37.879290322580637</v>
      </c>
      <c r="M1716" s="1">
        <v>369.63632946836287</v>
      </c>
      <c r="N1716" s="7">
        <v>45947</v>
      </c>
      <c r="O1716" s="1">
        <v>20000</v>
      </c>
      <c r="P1716" s="7">
        <v>46316.63632946759</v>
      </c>
      <c r="Q1716" s="1" t="s">
        <v>330</v>
      </c>
      <c r="T1716" s="1" t="s">
        <v>397</v>
      </c>
      <c r="U1716" s="1" t="s">
        <v>398</v>
      </c>
      <c r="V1716" s="1">
        <v>1</v>
      </c>
      <c r="W1716" s="3">
        <v>9737.2800000000007</v>
      </c>
      <c r="X1716" s="3">
        <v>9737.2800000000007</v>
      </c>
      <c r="Y1716" s="1" t="str">
        <f>VLOOKUP(A1716,[1]Detalle!$D$2:$CR$484,93,FALSE)</f>
        <v>CCUDyAZA</v>
      </c>
    </row>
    <row r="1717" spans="1:25" ht="14.25" customHeight="1" x14ac:dyDescent="0.3">
      <c r="A1717" s="1" t="s">
        <v>136</v>
      </c>
      <c r="B1717" s="1" t="s">
        <v>396</v>
      </c>
      <c r="C1717" s="1" t="s">
        <v>328</v>
      </c>
      <c r="D1717" s="1" t="s">
        <v>329</v>
      </c>
      <c r="E1717" s="6">
        <v>45763</v>
      </c>
      <c r="F1717" s="1">
        <v>255203</v>
      </c>
      <c r="G1717" s="1">
        <v>275203</v>
      </c>
      <c r="H1717" s="1">
        <v>12233.500000000009</v>
      </c>
      <c r="I1717" s="1">
        <v>7766.4999999999927</v>
      </c>
      <c r="J1717" s="1">
        <v>267436.5</v>
      </c>
      <c r="K1717" s="1">
        <v>184</v>
      </c>
      <c r="L1717" s="1">
        <v>57.024096774193573</v>
      </c>
      <c r="M1717" s="1">
        <v>116.81334041770531</v>
      </c>
      <c r="N1717" s="7">
        <v>45947</v>
      </c>
      <c r="O1717" s="1">
        <v>20000</v>
      </c>
      <c r="P1717" s="7">
        <v>46063.813340416673</v>
      </c>
      <c r="Q1717" s="1" t="s">
        <v>330</v>
      </c>
      <c r="T1717" s="1" t="s">
        <v>331</v>
      </c>
      <c r="U1717" s="1" t="s">
        <v>332</v>
      </c>
      <c r="V1717" s="1">
        <v>16</v>
      </c>
      <c r="W1717" s="3">
        <v>3389.9</v>
      </c>
      <c r="X1717" s="3">
        <v>54238.400000000001</v>
      </c>
      <c r="Y1717" s="1" t="str">
        <f>VLOOKUP(A1717,[1]Detalle!$D$2:$CR$484,93,FALSE)</f>
        <v>Topacio</v>
      </c>
    </row>
    <row r="1718" spans="1:25" ht="14.25" customHeight="1" x14ac:dyDescent="0.3">
      <c r="A1718" s="1" t="s">
        <v>136</v>
      </c>
      <c r="B1718" s="1" t="s">
        <v>396</v>
      </c>
      <c r="C1718" s="1" t="s">
        <v>328</v>
      </c>
      <c r="D1718" s="1" t="s">
        <v>329</v>
      </c>
      <c r="E1718" s="6">
        <v>45763</v>
      </c>
      <c r="F1718" s="1">
        <v>255203</v>
      </c>
      <c r="G1718" s="1">
        <v>275203</v>
      </c>
      <c r="H1718" s="1">
        <v>12233.500000000009</v>
      </c>
      <c r="I1718" s="1">
        <v>7766.4999999999927</v>
      </c>
      <c r="J1718" s="1">
        <v>267436.5</v>
      </c>
      <c r="K1718" s="1">
        <v>184</v>
      </c>
      <c r="L1718" s="1">
        <v>57.024096774193573</v>
      </c>
      <c r="M1718" s="1">
        <v>116.81334041770531</v>
      </c>
      <c r="N1718" s="7">
        <v>45947</v>
      </c>
      <c r="O1718" s="1">
        <v>20000</v>
      </c>
      <c r="P1718" s="7">
        <v>46063.813340416673</v>
      </c>
      <c r="Q1718" s="1" t="s">
        <v>330</v>
      </c>
      <c r="T1718" s="1" t="s">
        <v>397</v>
      </c>
      <c r="U1718" s="1" t="s">
        <v>398</v>
      </c>
      <c r="V1718" s="1">
        <v>1</v>
      </c>
      <c r="W1718" s="3">
        <v>9737.2800000000007</v>
      </c>
      <c r="X1718" s="3">
        <v>9737.2800000000007</v>
      </c>
      <c r="Y1718" s="1" t="str">
        <f>VLOOKUP(A1718,[1]Detalle!$D$2:$CR$484,93,FALSE)</f>
        <v>Topacio</v>
      </c>
    </row>
    <row r="1719" spans="1:25" ht="14.25" customHeight="1" x14ac:dyDescent="0.3">
      <c r="A1719" s="1" t="s">
        <v>135</v>
      </c>
      <c r="B1719" s="1" t="s">
        <v>328</v>
      </c>
      <c r="C1719" s="1" t="s">
        <v>328</v>
      </c>
      <c r="D1719" s="1" t="s">
        <v>329</v>
      </c>
      <c r="E1719" s="6">
        <v>45812</v>
      </c>
      <c r="F1719" s="1">
        <v>176121</v>
      </c>
      <c r="G1719" s="1">
        <v>196121</v>
      </c>
      <c r="H1719" s="1">
        <v>5745.4000000000005</v>
      </c>
      <c r="I1719" s="1">
        <v>14254.6</v>
      </c>
      <c r="J1719" s="1">
        <v>181866.4</v>
      </c>
      <c r="K1719" s="1">
        <v>135</v>
      </c>
      <c r="L1719" s="1">
        <v>35.012605863192178</v>
      </c>
      <c r="M1719" s="1">
        <v>334.94117032756628</v>
      </c>
      <c r="N1719" s="7">
        <v>45947</v>
      </c>
      <c r="O1719" s="1">
        <v>20000</v>
      </c>
      <c r="P1719" s="7">
        <v>46281.941170324077</v>
      </c>
      <c r="Q1719" s="1" t="s">
        <v>330</v>
      </c>
      <c r="T1719" s="1" t="s">
        <v>331</v>
      </c>
      <c r="U1719" s="1" t="s">
        <v>332</v>
      </c>
      <c r="V1719" s="1">
        <v>16</v>
      </c>
      <c r="W1719" s="3">
        <v>3389.9</v>
      </c>
      <c r="X1719" s="3">
        <v>54238.400000000001</v>
      </c>
      <c r="Y1719" s="1" t="str">
        <f>VLOOKUP(A1719,[1]Detalle!$D$2:$CR$484,93,FALSE)</f>
        <v>CCUCoAZA</v>
      </c>
    </row>
    <row r="1720" spans="1:25" ht="14.25" customHeight="1" x14ac:dyDescent="0.3">
      <c r="A1720" s="1" t="s">
        <v>135</v>
      </c>
      <c r="B1720" s="1" t="s">
        <v>328</v>
      </c>
      <c r="C1720" s="1" t="s">
        <v>328</v>
      </c>
      <c r="D1720" s="1" t="s">
        <v>329</v>
      </c>
      <c r="E1720" s="6">
        <v>45812</v>
      </c>
      <c r="F1720" s="1">
        <v>176121</v>
      </c>
      <c r="G1720" s="1">
        <v>196121</v>
      </c>
      <c r="H1720" s="1">
        <v>5745.4000000000005</v>
      </c>
      <c r="I1720" s="1">
        <v>14254.6</v>
      </c>
      <c r="J1720" s="1">
        <v>181866.4</v>
      </c>
      <c r="K1720" s="1">
        <v>135</v>
      </c>
      <c r="L1720" s="1">
        <v>35.012605863192178</v>
      </c>
      <c r="M1720" s="1">
        <v>334.94117032756628</v>
      </c>
      <c r="N1720" s="7">
        <v>45947</v>
      </c>
      <c r="O1720" s="1">
        <v>20000</v>
      </c>
      <c r="P1720" s="7">
        <v>46281.941170324077</v>
      </c>
      <c r="Q1720" s="1" t="s">
        <v>330</v>
      </c>
      <c r="T1720" s="1" t="s">
        <v>333</v>
      </c>
      <c r="U1720" s="1" t="s">
        <v>334</v>
      </c>
      <c r="V1720" s="1">
        <v>1</v>
      </c>
      <c r="W1720" s="3">
        <v>8513.2800000000007</v>
      </c>
      <c r="X1720" s="3">
        <v>8513.2800000000007</v>
      </c>
      <c r="Y1720" s="1" t="str">
        <f>VLOOKUP(A1720,[1]Detalle!$D$2:$CR$484,93,FALSE)</f>
        <v>CCUCoAZA</v>
      </c>
    </row>
    <row r="1721" spans="1:25" ht="14.25" customHeight="1" x14ac:dyDescent="0.3">
      <c r="A1721" s="1" t="s">
        <v>134</v>
      </c>
      <c r="B1721" s="1" t="s">
        <v>396</v>
      </c>
      <c r="C1721" s="1" t="s">
        <v>328</v>
      </c>
      <c r="D1721" s="1" t="s">
        <v>329</v>
      </c>
      <c r="E1721" s="6">
        <v>45883</v>
      </c>
      <c r="F1721" s="1">
        <v>377434</v>
      </c>
      <c r="G1721" s="1">
        <v>397434</v>
      </c>
      <c r="H1721" s="1">
        <v>3731.5</v>
      </c>
      <c r="I1721" s="1">
        <v>16268.5</v>
      </c>
      <c r="J1721" s="1">
        <v>381165.5</v>
      </c>
      <c r="K1721" s="1">
        <v>64</v>
      </c>
      <c r="L1721" s="1">
        <v>73.269176029962509</v>
      </c>
      <c r="M1721" s="1">
        <v>279.0255929250971</v>
      </c>
      <c r="N1721" s="7">
        <v>45947</v>
      </c>
      <c r="O1721" s="1">
        <v>20000</v>
      </c>
      <c r="P1721" s="7">
        <v>46226.025592928243</v>
      </c>
      <c r="Q1721" s="1" t="s">
        <v>330</v>
      </c>
      <c r="T1721" s="1" t="s">
        <v>331</v>
      </c>
      <c r="U1721" s="1" t="s">
        <v>332</v>
      </c>
      <c r="V1721" s="1">
        <v>16</v>
      </c>
      <c r="W1721" s="3">
        <v>3389.9</v>
      </c>
      <c r="X1721" s="3">
        <v>54238.400000000001</v>
      </c>
      <c r="Y1721" s="1" t="str">
        <f>VLOOKUP(A1721,[1]Detalle!$D$2:$CR$484,93,FALSE)</f>
        <v>SUC_CTC - Sucursal Buenos Aires</v>
      </c>
    </row>
    <row r="1722" spans="1:25" ht="14.25" customHeight="1" x14ac:dyDescent="0.3">
      <c r="A1722" s="1" t="s">
        <v>134</v>
      </c>
      <c r="B1722" s="1" t="s">
        <v>396</v>
      </c>
      <c r="C1722" s="1" t="s">
        <v>328</v>
      </c>
      <c r="D1722" s="1" t="s">
        <v>329</v>
      </c>
      <c r="E1722" s="6">
        <v>45883</v>
      </c>
      <c r="F1722" s="1">
        <v>377434</v>
      </c>
      <c r="G1722" s="1">
        <v>397434</v>
      </c>
      <c r="H1722" s="1">
        <v>3731.5</v>
      </c>
      <c r="I1722" s="1">
        <v>16268.5</v>
      </c>
      <c r="J1722" s="1">
        <v>381165.5</v>
      </c>
      <c r="K1722" s="1">
        <v>64</v>
      </c>
      <c r="L1722" s="1">
        <v>73.269176029962509</v>
      </c>
      <c r="M1722" s="1">
        <v>279.0255929250971</v>
      </c>
      <c r="N1722" s="7">
        <v>45947</v>
      </c>
      <c r="O1722" s="1">
        <v>20000</v>
      </c>
      <c r="P1722" s="7">
        <v>46226.025592928243</v>
      </c>
      <c r="Q1722" s="1" t="s">
        <v>330</v>
      </c>
      <c r="T1722" s="1" t="s">
        <v>397</v>
      </c>
      <c r="U1722" s="1" t="s">
        <v>398</v>
      </c>
      <c r="V1722" s="1">
        <v>1</v>
      </c>
      <c r="W1722" s="3">
        <v>9737.2800000000007</v>
      </c>
      <c r="X1722" s="3">
        <v>9737.2800000000007</v>
      </c>
      <c r="Y1722" s="1" t="str">
        <f>VLOOKUP(A1722,[1]Detalle!$D$2:$CR$484,93,FALSE)</f>
        <v>SUC_CTC - Sucursal Buenos Aires</v>
      </c>
    </row>
    <row r="1723" spans="1:25" ht="14.25" customHeight="1" x14ac:dyDescent="0.3">
      <c r="A1723" s="1" t="s">
        <v>100</v>
      </c>
      <c r="B1723" s="1" t="s">
        <v>396</v>
      </c>
      <c r="C1723" s="1" t="s">
        <v>328</v>
      </c>
      <c r="D1723" s="1" t="s">
        <v>329</v>
      </c>
      <c r="E1723" s="6">
        <v>45768</v>
      </c>
      <c r="F1723" s="1">
        <v>13510</v>
      </c>
      <c r="G1723" s="1">
        <v>33510</v>
      </c>
      <c r="H1723" s="1">
        <v>6171.1999999999971</v>
      </c>
      <c r="I1723" s="1">
        <v>13828.8</v>
      </c>
      <c r="J1723" s="1">
        <v>19681.2</v>
      </c>
      <c r="K1723" s="1">
        <v>179</v>
      </c>
      <c r="L1723" s="1">
        <v>36.364885496183213</v>
      </c>
      <c r="M1723" s="1">
        <v>401.11407829919648</v>
      </c>
      <c r="N1723" s="7">
        <v>45947</v>
      </c>
      <c r="O1723" s="1">
        <v>20000</v>
      </c>
      <c r="P1723" s="7">
        <v>46348.114078298611</v>
      </c>
      <c r="Q1723" s="1" t="s">
        <v>330</v>
      </c>
      <c r="T1723" s="1" t="s">
        <v>331</v>
      </c>
      <c r="U1723" s="1" t="s">
        <v>332</v>
      </c>
      <c r="V1723" s="1">
        <v>16</v>
      </c>
      <c r="W1723" s="3">
        <v>3389.9</v>
      </c>
      <c r="X1723" s="3">
        <v>54238.400000000001</v>
      </c>
      <c r="Y1723" s="1" t="str">
        <f>VLOOKUP(A1723,[1]Detalle!$D$2:$CR$484,93,FALSE)</f>
        <v>CMQ_TTE - QUILMES TTE</v>
      </c>
    </row>
    <row r="1724" spans="1:25" ht="14.25" customHeight="1" x14ac:dyDescent="0.3">
      <c r="A1724" s="1" t="s">
        <v>100</v>
      </c>
      <c r="B1724" s="1" t="s">
        <v>396</v>
      </c>
      <c r="C1724" s="1" t="s">
        <v>328</v>
      </c>
      <c r="D1724" s="1" t="s">
        <v>329</v>
      </c>
      <c r="E1724" s="6">
        <v>45768</v>
      </c>
      <c r="F1724" s="1">
        <v>13510</v>
      </c>
      <c r="G1724" s="1">
        <v>33510</v>
      </c>
      <c r="H1724" s="1">
        <v>6171.1999999999971</v>
      </c>
      <c r="I1724" s="1">
        <v>13828.8</v>
      </c>
      <c r="J1724" s="1">
        <v>19681.2</v>
      </c>
      <c r="K1724" s="1">
        <v>179</v>
      </c>
      <c r="L1724" s="1">
        <v>36.364885496183213</v>
      </c>
      <c r="M1724" s="1">
        <v>401.11407829919648</v>
      </c>
      <c r="N1724" s="7">
        <v>45947</v>
      </c>
      <c r="O1724" s="1">
        <v>20000</v>
      </c>
      <c r="P1724" s="7">
        <v>46348.114078298611</v>
      </c>
      <c r="Q1724" s="1" t="s">
        <v>330</v>
      </c>
      <c r="T1724" s="1" t="s">
        <v>397</v>
      </c>
      <c r="U1724" s="1" t="s">
        <v>398</v>
      </c>
      <c r="V1724" s="1">
        <v>1</v>
      </c>
      <c r="W1724" s="3">
        <v>9737.2800000000007</v>
      </c>
      <c r="X1724" s="3">
        <v>9737.2800000000007</v>
      </c>
      <c r="Y1724" s="1" t="str">
        <f>VLOOKUP(A1724,[1]Detalle!$D$2:$CR$484,93,FALSE)</f>
        <v>CMQ_TTE - QUILMES TTE</v>
      </c>
    </row>
    <row r="1725" spans="1:25" ht="14.25" customHeight="1" x14ac:dyDescent="0.3">
      <c r="A1725" s="1" t="s">
        <v>78</v>
      </c>
      <c r="B1725" s="1" t="s">
        <v>396</v>
      </c>
      <c r="C1725" s="1" t="s">
        <v>328</v>
      </c>
      <c r="D1725" s="1" t="s">
        <v>329</v>
      </c>
      <c r="E1725" s="6">
        <v>45854</v>
      </c>
      <c r="F1725" s="1">
        <v>41395.599999999999</v>
      </c>
      <c r="G1725" s="1">
        <v>61395.6</v>
      </c>
      <c r="H1725" s="1">
        <v>3758.2999999999979</v>
      </c>
      <c r="I1725" s="1">
        <v>16241.7</v>
      </c>
      <c r="J1725" s="1">
        <v>45153.899999999987</v>
      </c>
      <c r="K1725" s="1">
        <v>93</v>
      </c>
      <c r="L1725" s="1">
        <v>36.164383116883137</v>
      </c>
      <c r="M1725" s="1">
        <v>401.90461112737171</v>
      </c>
      <c r="N1725" s="7">
        <v>45947</v>
      </c>
      <c r="O1725" s="1">
        <v>20000</v>
      </c>
      <c r="P1725" s="7">
        <v>46348.904611122693</v>
      </c>
      <c r="Q1725" s="1" t="s">
        <v>330</v>
      </c>
      <c r="T1725" s="1" t="s">
        <v>331</v>
      </c>
      <c r="U1725" s="1" t="s">
        <v>332</v>
      </c>
      <c r="V1725" s="1">
        <v>16</v>
      </c>
      <c r="W1725" s="3">
        <v>3389.9</v>
      </c>
      <c r="X1725" s="3">
        <v>54238.400000000001</v>
      </c>
      <c r="Y1725" s="1" t="str">
        <f>VLOOKUP(A1725,[1]Detalle!$D$2:$CR$484,93,FALSE)</f>
        <v>Papelera - Papelera del Plata S.A.</v>
      </c>
    </row>
    <row r="1726" spans="1:25" ht="14.25" customHeight="1" x14ac:dyDescent="0.3">
      <c r="A1726" s="1" t="s">
        <v>78</v>
      </c>
      <c r="B1726" s="1" t="s">
        <v>396</v>
      </c>
      <c r="C1726" s="1" t="s">
        <v>328</v>
      </c>
      <c r="D1726" s="1" t="s">
        <v>329</v>
      </c>
      <c r="E1726" s="6">
        <v>45854</v>
      </c>
      <c r="F1726" s="1">
        <v>41395.599999999999</v>
      </c>
      <c r="G1726" s="1">
        <v>61395.6</v>
      </c>
      <c r="H1726" s="1">
        <v>3758.2999999999979</v>
      </c>
      <c r="I1726" s="1">
        <v>16241.7</v>
      </c>
      <c r="J1726" s="1">
        <v>45153.899999999987</v>
      </c>
      <c r="K1726" s="1">
        <v>93</v>
      </c>
      <c r="L1726" s="1">
        <v>36.164383116883137</v>
      </c>
      <c r="M1726" s="1">
        <v>401.90461112737171</v>
      </c>
      <c r="N1726" s="7">
        <v>45947</v>
      </c>
      <c r="O1726" s="1">
        <v>20000</v>
      </c>
      <c r="P1726" s="7">
        <v>46348.904611122693</v>
      </c>
      <c r="Q1726" s="1" t="s">
        <v>330</v>
      </c>
      <c r="T1726" s="1" t="s">
        <v>397</v>
      </c>
      <c r="U1726" s="1" t="s">
        <v>398</v>
      </c>
      <c r="V1726" s="1">
        <v>1</v>
      </c>
      <c r="W1726" s="3">
        <v>9737.2800000000007</v>
      </c>
      <c r="X1726" s="3">
        <v>9737.2800000000007</v>
      </c>
      <c r="Y1726" s="1" t="str">
        <f>VLOOKUP(A1726,[1]Detalle!$D$2:$CR$484,93,FALSE)</f>
        <v>Papelera - Papelera del Plata S.A.</v>
      </c>
    </row>
    <row r="1727" spans="1:25" ht="14.25" customHeight="1" x14ac:dyDescent="0.3">
      <c r="A1727" s="1" t="s">
        <v>75</v>
      </c>
      <c r="B1727" s="1" t="s">
        <v>396</v>
      </c>
      <c r="C1727" s="1" t="s">
        <v>328</v>
      </c>
      <c r="D1727" s="1" t="s">
        <v>329</v>
      </c>
      <c r="E1727" s="6">
        <v>45895</v>
      </c>
      <c r="F1727" s="1">
        <v>60189.5</v>
      </c>
      <c r="G1727" s="1">
        <v>80189.5</v>
      </c>
      <c r="H1727" s="1">
        <v>4748.0999999999995</v>
      </c>
      <c r="I1727" s="1">
        <v>15251.9</v>
      </c>
      <c r="J1727" s="1">
        <v>64937.599999999999</v>
      </c>
      <c r="K1727" s="1">
        <v>52</v>
      </c>
      <c r="L1727" s="1">
        <v>83.847709677419346</v>
      </c>
      <c r="M1727" s="1">
        <v>167.03498241401829</v>
      </c>
      <c r="N1727" s="7">
        <v>45947</v>
      </c>
      <c r="O1727" s="1">
        <v>20000</v>
      </c>
      <c r="P1727" s="7">
        <v>46114.034982418983</v>
      </c>
      <c r="Q1727" s="1" t="s">
        <v>330</v>
      </c>
      <c r="T1727" s="1" t="s">
        <v>331</v>
      </c>
      <c r="U1727" s="1" t="s">
        <v>332</v>
      </c>
      <c r="V1727" s="1">
        <v>16</v>
      </c>
      <c r="W1727" s="3">
        <v>3389.9</v>
      </c>
      <c r="X1727" s="3">
        <v>54238.400000000001</v>
      </c>
      <c r="Y1727" s="1" t="str">
        <f>VLOOKUP(A1727,[1]Detalle!$D$2:$CR$484,93,FALSE)</f>
        <v>Papelera - Papelera del Plata S.A.</v>
      </c>
    </row>
    <row r="1728" spans="1:25" ht="14.25" customHeight="1" x14ac:dyDescent="0.3">
      <c r="A1728" s="1" t="s">
        <v>75</v>
      </c>
      <c r="B1728" s="1" t="s">
        <v>396</v>
      </c>
      <c r="C1728" s="1" t="s">
        <v>328</v>
      </c>
      <c r="D1728" s="1" t="s">
        <v>329</v>
      </c>
      <c r="E1728" s="6">
        <v>45895</v>
      </c>
      <c r="F1728" s="1">
        <v>60189.5</v>
      </c>
      <c r="G1728" s="1">
        <v>80189.5</v>
      </c>
      <c r="H1728" s="1">
        <v>4748.0999999999995</v>
      </c>
      <c r="I1728" s="1">
        <v>15251.9</v>
      </c>
      <c r="J1728" s="1">
        <v>64937.599999999999</v>
      </c>
      <c r="K1728" s="1">
        <v>52</v>
      </c>
      <c r="L1728" s="1">
        <v>83.847709677419346</v>
      </c>
      <c r="M1728" s="1">
        <v>167.03498241401829</v>
      </c>
      <c r="N1728" s="7">
        <v>45947</v>
      </c>
      <c r="O1728" s="1">
        <v>20000</v>
      </c>
      <c r="P1728" s="7">
        <v>46114.034982418983</v>
      </c>
      <c r="Q1728" s="1" t="s">
        <v>330</v>
      </c>
      <c r="T1728" s="1" t="s">
        <v>397</v>
      </c>
      <c r="U1728" s="1" t="s">
        <v>398</v>
      </c>
      <c r="V1728" s="1">
        <v>1</v>
      </c>
      <c r="W1728" s="3">
        <v>9737.2800000000007</v>
      </c>
      <c r="X1728" s="3">
        <v>9737.2800000000007</v>
      </c>
      <c r="Y1728" s="1" t="str">
        <f>VLOOKUP(A1728,[1]Detalle!$D$2:$CR$484,93,FALSE)</f>
        <v>Papelera - Papelera del Plata S.A.</v>
      </c>
    </row>
    <row r="1729" spans="1:25" ht="14.25" customHeight="1" x14ac:dyDescent="0.3">
      <c r="A1729" s="1" t="s">
        <v>62</v>
      </c>
      <c r="B1729" s="1" t="s">
        <v>396</v>
      </c>
      <c r="C1729" s="1" t="s">
        <v>328</v>
      </c>
      <c r="D1729" s="1" t="s">
        <v>329</v>
      </c>
      <c r="E1729" s="6">
        <v>45741</v>
      </c>
      <c r="F1729" s="1">
        <v>33326.199999999997</v>
      </c>
      <c r="G1729" s="1">
        <v>53326.2</v>
      </c>
      <c r="H1729" s="1">
        <v>7126.5000000000036</v>
      </c>
      <c r="I1729" s="1">
        <v>12873.5</v>
      </c>
      <c r="J1729" s="1">
        <v>40452.699999999997</v>
      </c>
      <c r="K1729" s="1">
        <v>206</v>
      </c>
      <c r="L1729" s="1">
        <v>38.89159259259263</v>
      </c>
      <c r="M1729" s="1">
        <v>372.12390373956327</v>
      </c>
      <c r="N1729" s="7">
        <v>45947</v>
      </c>
      <c r="O1729" s="1">
        <v>20000</v>
      </c>
      <c r="P1729" s="7">
        <v>46319.123903738429</v>
      </c>
      <c r="Q1729" s="1" t="s">
        <v>330</v>
      </c>
      <c r="T1729" s="1" t="s">
        <v>331</v>
      </c>
      <c r="U1729" s="1" t="s">
        <v>332</v>
      </c>
      <c r="V1729" s="1">
        <v>16</v>
      </c>
      <c r="W1729" s="3">
        <v>3389.9</v>
      </c>
      <c r="X1729" s="3">
        <v>54238.400000000001</v>
      </c>
      <c r="Y1729" s="1" t="str">
        <f>VLOOKUP(A1729,[1]Detalle!$D$2:$CR$484,93,FALSE)</f>
        <v>CCUDyAZA</v>
      </c>
    </row>
    <row r="1730" spans="1:25" ht="14.25" customHeight="1" x14ac:dyDescent="0.3">
      <c r="A1730" s="1" t="s">
        <v>62</v>
      </c>
      <c r="B1730" s="1" t="s">
        <v>396</v>
      </c>
      <c r="C1730" s="1" t="s">
        <v>328</v>
      </c>
      <c r="D1730" s="1" t="s">
        <v>329</v>
      </c>
      <c r="E1730" s="6">
        <v>45741</v>
      </c>
      <c r="F1730" s="1">
        <v>33326.199999999997</v>
      </c>
      <c r="G1730" s="1">
        <v>53326.2</v>
      </c>
      <c r="H1730" s="1">
        <v>7126.5000000000036</v>
      </c>
      <c r="I1730" s="1">
        <v>12873.5</v>
      </c>
      <c r="J1730" s="1">
        <v>40452.699999999997</v>
      </c>
      <c r="K1730" s="1">
        <v>206</v>
      </c>
      <c r="L1730" s="1">
        <v>38.89159259259263</v>
      </c>
      <c r="M1730" s="1">
        <v>372.12390373956327</v>
      </c>
      <c r="N1730" s="7">
        <v>45947</v>
      </c>
      <c r="O1730" s="1">
        <v>20000</v>
      </c>
      <c r="P1730" s="7">
        <v>46319.123903738429</v>
      </c>
      <c r="Q1730" s="1" t="s">
        <v>330</v>
      </c>
      <c r="T1730" s="1" t="s">
        <v>397</v>
      </c>
      <c r="U1730" s="1" t="s">
        <v>398</v>
      </c>
      <c r="V1730" s="1">
        <v>1</v>
      </c>
      <c r="W1730" s="3">
        <v>9737.2800000000007</v>
      </c>
      <c r="X1730" s="3">
        <v>9737.2800000000007</v>
      </c>
      <c r="Y1730" s="1" t="str">
        <f>VLOOKUP(A1730,[1]Detalle!$D$2:$CR$484,93,FALSE)</f>
        <v>CCUDyAZA</v>
      </c>
    </row>
    <row r="1731" spans="1:25" ht="14.25" customHeight="1" x14ac:dyDescent="0.3">
      <c r="A1731" s="1" t="s">
        <v>61</v>
      </c>
      <c r="B1731" s="1" t="s">
        <v>396</v>
      </c>
      <c r="C1731" s="1" t="s">
        <v>328</v>
      </c>
      <c r="D1731" s="1" t="s">
        <v>329</v>
      </c>
      <c r="E1731" s="6">
        <v>45702</v>
      </c>
      <c r="F1731" s="1">
        <v>44127.9</v>
      </c>
      <c r="G1731" s="1">
        <v>64127.9</v>
      </c>
      <c r="H1731" s="1">
        <v>9317.4000000000033</v>
      </c>
      <c r="I1731" s="1">
        <v>10682.6</v>
      </c>
      <c r="J1731" s="1">
        <v>53445.3</v>
      </c>
      <c r="K1731" s="1">
        <v>245</v>
      </c>
      <c r="L1731" s="1">
        <v>40.395367647058812</v>
      </c>
      <c r="M1731" s="1">
        <v>280.89778264322638</v>
      </c>
      <c r="N1731" s="7">
        <v>45947</v>
      </c>
      <c r="O1731" s="1">
        <v>20000</v>
      </c>
      <c r="P1731" s="7">
        <v>46227.897782638887</v>
      </c>
      <c r="Q1731" s="1" t="s">
        <v>330</v>
      </c>
      <c r="T1731" s="1" t="s">
        <v>331</v>
      </c>
      <c r="U1731" s="1" t="s">
        <v>332</v>
      </c>
      <c r="V1731" s="1">
        <v>16</v>
      </c>
      <c r="W1731" s="3">
        <v>3389.9</v>
      </c>
      <c r="X1731" s="3">
        <v>54238.400000000001</v>
      </c>
      <c r="Y1731" s="1" t="str">
        <f>VLOOKUP(A1731,[1]Detalle!$D$2:$CR$484,93,FALSE)</f>
        <v>CCU_MZA - Comp. Cerv. Unidas - MZA</v>
      </c>
    </row>
    <row r="1732" spans="1:25" ht="14.25" customHeight="1" x14ac:dyDescent="0.3">
      <c r="A1732" s="1" t="s">
        <v>61</v>
      </c>
      <c r="B1732" s="1" t="s">
        <v>396</v>
      </c>
      <c r="C1732" s="1" t="s">
        <v>328</v>
      </c>
      <c r="D1732" s="1" t="s">
        <v>329</v>
      </c>
      <c r="E1732" s="6">
        <v>45702</v>
      </c>
      <c r="F1732" s="1">
        <v>44127.9</v>
      </c>
      <c r="G1732" s="1">
        <v>64127.9</v>
      </c>
      <c r="H1732" s="1">
        <v>9317.4000000000033</v>
      </c>
      <c r="I1732" s="1">
        <v>10682.6</v>
      </c>
      <c r="J1732" s="1">
        <v>53445.3</v>
      </c>
      <c r="K1732" s="1">
        <v>245</v>
      </c>
      <c r="L1732" s="1">
        <v>40.395367647058812</v>
      </c>
      <c r="M1732" s="1">
        <v>280.89778264322638</v>
      </c>
      <c r="N1732" s="7">
        <v>45947</v>
      </c>
      <c r="O1732" s="1">
        <v>20000</v>
      </c>
      <c r="P1732" s="7">
        <v>46227.897782638887</v>
      </c>
      <c r="Q1732" s="1" t="s">
        <v>330</v>
      </c>
      <c r="T1732" s="1" t="s">
        <v>397</v>
      </c>
      <c r="U1732" s="1" t="s">
        <v>398</v>
      </c>
      <c r="V1732" s="1">
        <v>1</v>
      </c>
      <c r="W1732" s="3">
        <v>9737.2800000000007</v>
      </c>
      <c r="X1732" s="3">
        <v>9737.2800000000007</v>
      </c>
      <c r="Y1732" s="1" t="str">
        <f>VLOOKUP(A1732,[1]Detalle!$D$2:$CR$484,93,FALSE)</f>
        <v>CCU_MZA - Comp. Cerv. Unidas - MZA</v>
      </c>
    </row>
    <row r="1733" spans="1:25" ht="14.25" customHeight="1" x14ac:dyDescent="0.3">
      <c r="A1733" s="1" t="s">
        <v>60</v>
      </c>
      <c r="B1733" s="1" t="s">
        <v>396</v>
      </c>
      <c r="C1733" s="1" t="s">
        <v>328</v>
      </c>
      <c r="D1733" s="1" t="s">
        <v>329</v>
      </c>
      <c r="E1733" s="6">
        <v>45611</v>
      </c>
      <c r="F1733" s="1">
        <v>29476</v>
      </c>
      <c r="G1733" s="1">
        <v>49476</v>
      </c>
      <c r="H1733" s="1">
        <v>12799.580000000011</v>
      </c>
      <c r="I1733" s="1">
        <v>7200.4199999999892</v>
      </c>
      <c r="J1733" s="1">
        <v>42275.580000000009</v>
      </c>
      <c r="K1733" s="1">
        <v>336</v>
      </c>
      <c r="L1733" s="1">
        <v>40.312058823529441</v>
      </c>
      <c r="M1733" s="1">
        <v>189.0172271277647</v>
      </c>
      <c r="N1733" s="7">
        <v>45947</v>
      </c>
      <c r="O1733" s="1">
        <v>20000</v>
      </c>
      <c r="P1733" s="7">
        <v>46136.017227129632</v>
      </c>
      <c r="Q1733" s="1" t="s">
        <v>330</v>
      </c>
      <c r="T1733" s="1" t="s">
        <v>331</v>
      </c>
      <c r="U1733" s="1" t="s">
        <v>332</v>
      </c>
      <c r="V1733" s="1">
        <v>16</v>
      </c>
      <c r="W1733" s="3">
        <v>3389.9</v>
      </c>
      <c r="X1733" s="3">
        <v>54238.400000000001</v>
      </c>
      <c r="Y1733" s="1" t="str">
        <f>VLOOKUP(A1733,[1]Detalle!$D$2:$CR$484,93,FALSE)</f>
        <v>CCUDyAZA</v>
      </c>
    </row>
    <row r="1734" spans="1:25" ht="14.25" customHeight="1" x14ac:dyDescent="0.3">
      <c r="A1734" s="1" t="s">
        <v>60</v>
      </c>
      <c r="B1734" s="1" t="s">
        <v>396</v>
      </c>
      <c r="C1734" s="1" t="s">
        <v>328</v>
      </c>
      <c r="D1734" s="1" t="s">
        <v>329</v>
      </c>
      <c r="E1734" s="6">
        <v>45611</v>
      </c>
      <c r="F1734" s="1">
        <v>29476</v>
      </c>
      <c r="G1734" s="1">
        <v>49476</v>
      </c>
      <c r="H1734" s="1">
        <v>12799.580000000011</v>
      </c>
      <c r="I1734" s="1">
        <v>7200.4199999999892</v>
      </c>
      <c r="J1734" s="1">
        <v>42275.580000000009</v>
      </c>
      <c r="K1734" s="1">
        <v>336</v>
      </c>
      <c r="L1734" s="1">
        <v>40.312058823529441</v>
      </c>
      <c r="M1734" s="1">
        <v>189.0172271277647</v>
      </c>
      <c r="N1734" s="7">
        <v>45947</v>
      </c>
      <c r="O1734" s="1">
        <v>20000</v>
      </c>
      <c r="P1734" s="7">
        <v>46136.017227129632</v>
      </c>
      <c r="Q1734" s="1" t="s">
        <v>330</v>
      </c>
      <c r="T1734" s="1" t="s">
        <v>397</v>
      </c>
      <c r="U1734" s="1" t="s">
        <v>398</v>
      </c>
      <c r="V1734" s="1">
        <v>1</v>
      </c>
      <c r="W1734" s="3">
        <v>9737.2800000000007</v>
      </c>
      <c r="X1734" s="3">
        <v>9737.2800000000007</v>
      </c>
      <c r="Y1734" s="1" t="str">
        <f>VLOOKUP(A1734,[1]Detalle!$D$2:$CR$484,93,FALSE)</f>
        <v>CCUDyAZA</v>
      </c>
    </row>
    <row r="1735" spans="1:25" ht="14.25" customHeight="1" x14ac:dyDescent="0.3">
      <c r="A1735" s="1" t="s">
        <v>52</v>
      </c>
      <c r="B1735" s="1" t="s">
        <v>396</v>
      </c>
      <c r="C1735" s="1" t="s">
        <v>328</v>
      </c>
      <c r="D1735" s="1" t="s">
        <v>329</v>
      </c>
      <c r="E1735" s="6">
        <v>45545</v>
      </c>
      <c r="F1735" s="1">
        <v>42714.2</v>
      </c>
      <c r="G1735" s="1">
        <v>62714.2</v>
      </c>
      <c r="H1735" s="1">
        <v>21856.560000000001</v>
      </c>
      <c r="I1735" s="1">
        <v>-1856.5599999999979</v>
      </c>
      <c r="J1735" s="1">
        <v>64570.759999999987</v>
      </c>
      <c r="K1735" s="1">
        <v>402</v>
      </c>
      <c r="L1735" s="1">
        <v>53.502481203007598</v>
      </c>
      <c r="M1735" s="1">
        <v>-34.147053333186882</v>
      </c>
      <c r="N1735" s="7">
        <v>45947</v>
      </c>
      <c r="O1735" s="1">
        <v>20000</v>
      </c>
      <c r="P1735" s="7">
        <v>46320.814439074071</v>
      </c>
      <c r="Q1735" s="1" t="s">
        <v>330</v>
      </c>
      <c r="T1735" s="1" t="s">
        <v>331</v>
      </c>
      <c r="U1735" s="1" t="s">
        <v>332</v>
      </c>
      <c r="V1735" s="1">
        <v>16</v>
      </c>
      <c r="W1735" s="3">
        <v>3389.9</v>
      </c>
      <c r="X1735" s="3">
        <v>54238.400000000001</v>
      </c>
      <c r="Y1735" s="1" t="str">
        <f>VLOOKUP(A1735,[1]Detalle!$D$2:$CR$484,93,FALSE)</f>
        <v>CMQ_TTE - QUILMES TTE</v>
      </c>
    </row>
    <row r="1736" spans="1:25" ht="14.25" customHeight="1" x14ac:dyDescent="0.3">
      <c r="A1736" s="1" t="s">
        <v>52</v>
      </c>
      <c r="B1736" s="1" t="s">
        <v>396</v>
      </c>
      <c r="C1736" s="1" t="s">
        <v>328</v>
      </c>
      <c r="D1736" s="1" t="s">
        <v>329</v>
      </c>
      <c r="E1736" s="6">
        <v>45545</v>
      </c>
      <c r="F1736" s="1">
        <v>42714.2</v>
      </c>
      <c r="G1736" s="1">
        <v>62714.2</v>
      </c>
      <c r="H1736" s="1">
        <v>21856.560000000001</v>
      </c>
      <c r="I1736" s="1">
        <v>-1856.5599999999979</v>
      </c>
      <c r="J1736" s="1">
        <v>64570.759999999987</v>
      </c>
      <c r="K1736" s="1">
        <v>402</v>
      </c>
      <c r="L1736" s="1">
        <v>53.502481203007598</v>
      </c>
      <c r="M1736" s="1">
        <v>-34.147053333186882</v>
      </c>
      <c r="N1736" s="7">
        <v>45947</v>
      </c>
      <c r="O1736" s="1">
        <v>20000</v>
      </c>
      <c r="P1736" s="7">
        <v>46320.814439074071</v>
      </c>
      <c r="Q1736" s="1" t="s">
        <v>330</v>
      </c>
      <c r="T1736" s="1" t="s">
        <v>397</v>
      </c>
      <c r="U1736" s="1" t="s">
        <v>398</v>
      </c>
      <c r="V1736" s="1">
        <v>1</v>
      </c>
      <c r="W1736" s="3">
        <v>9737.2800000000007</v>
      </c>
      <c r="X1736" s="3">
        <v>9737.2800000000007</v>
      </c>
      <c r="Y1736" s="1" t="str">
        <f>VLOOKUP(A1736,[1]Detalle!$D$2:$CR$484,93,FALSE)</f>
        <v>CMQ_TTE - QUILMES TTE</v>
      </c>
    </row>
    <row r="1737" spans="1:25" ht="14.25" customHeight="1" x14ac:dyDescent="0.3">
      <c r="A1737" s="1" t="s">
        <v>273</v>
      </c>
      <c r="B1737" s="1" t="s">
        <v>396</v>
      </c>
      <c r="C1737" s="1" t="s">
        <v>328</v>
      </c>
      <c r="D1737" s="1" t="s">
        <v>329</v>
      </c>
      <c r="E1737" s="1" t="s">
        <v>337</v>
      </c>
      <c r="L1737" s="1">
        <v>169.51837638376381</v>
      </c>
      <c r="N1737" s="7">
        <v>45947</v>
      </c>
      <c r="O1737" s="1">
        <v>20000</v>
      </c>
      <c r="P1737" s="7">
        <v>46064.981309317132</v>
      </c>
      <c r="Q1737" s="1" t="s">
        <v>330</v>
      </c>
      <c r="T1737" s="1" t="s">
        <v>331</v>
      </c>
      <c r="U1737" s="1" t="s">
        <v>332</v>
      </c>
      <c r="V1737" s="1">
        <v>16</v>
      </c>
      <c r="W1737" s="3">
        <v>3389.9</v>
      </c>
      <c r="X1737" s="3">
        <v>54238.400000000001</v>
      </c>
      <c r="Y1737" s="1" t="str">
        <f>VLOOKUP(A1737,[1]Detalle!$D$2:$CR$484,93,FALSE)</f>
        <v>CENCO_MZ - Cencosud SA - Mendoza</v>
      </c>
    </row>
    <row r="1738" spans="1:25" ht="14.25" customHeight="1" x14ac:dyDescent="0.3">
      <c r="A1738" s="1" t="s">
        <v>273</v>
      </c>
      <c r="B1738" s="1" t="s">
        <v>396</v>
      </c>
      <c r="C1738" s="1" t="s">
        <v>328</v>
      </c>
      <c r="D1738" s="1" t="s">
        <v>329</v>
      </c>
      <c r="E1738" s="1" t="s">
        <v>337</v>
      </c>
      <c r="L1738" s="1">
        <v>169.51837638376381</v>
      </c>
      <c r="N1738" s="7">
        <v>45947</v>
      </c>
      <c r="O1738" s="1">
        <v>20000</v>
      </c>
      <c r="P1738" s="7">
        <v>46064.981309317132</v>
      </c>
      <c r="Q1738" s="1" t="s">
        <v>330</v>
      </c>
      <c r="T1738" s="1" t="s">
        <v>397</v>
      </c>
      <c r="U1738" s="1" t="s">
        <v>398</v>
      </c>
      <c r="V1738" s="1">
        <v>1</v>
      </c>
      <c r="W1738" s="3">
        <v>9737.2800000000007</v>
      </c>
      <c r="X1738" s="3">
        <v>9737.2800000000007</v>
      </c>
      <c r="Y1738" s="1" t="str">
        <f>VLOOKUP(A1738,[1]Detalle!$D$2:$CR$484,93,FALSE)</f>
        <v>CENCO_MZ - Cencosud SA - Mendoza</v>
      </c>
    </row>
    <row r="1739" spans="1:25" ht="14.25" customHeight="1" x14ac:dyDescent="0.3">
      <c r="A1739" s="1" t="s">
        <v>267</v>
      </c>
      <c r="B1739" s="1" t="s">
        <v>396</v>
      </c>
      <c r="C1739" s="1" t="s">
        <v>328</v>
      </c>
      <c r="D1739" s="1" t="s">
        <v>329</v>
      </c>
      <c r="E1739" s="1" t="s">
        <v>337</v>
      </c>
      <c r="F1739" s="1">
        <v>292381</v>
      </c>
      <c r="G1739" s="1">
        <v>312381</v>
      </c>
      <c r="H1739" s="1">
        <v>7939.1000000000049</v>
      </c>
      <c r="I1739" s="1">
        <v>12060.899999999991</v>
      </c>
      <c r="J1739" s="1">
        <v>300320.09999999998</v>
      </c>
      <c r="K1739" s="1">
        <v>222</v>
      </c>
      <c r="L1739" s="1">
        <v>30.400741935483872</v>
      </c>
      <c r="M1739" s="1">
        <v>337.25734655061621</v>
      </c>
      <c r="N1739" s="7">
        <v>45947</v>
      </c>
      <c r="O1739" s="1">
        <v>20000</v>
      </c>
      <c r="P1739" s="7">
        <v>46284.257346550927</v>
      </c>
      <c r="Q1739" s="1" t="s">
        <v>330</v>
      </c>
      <c r="T1739" s="1" t="s">
        <v>331</v>
      </c>
      <c r="U1739" s="1" t="s">
        <v>332</v>
      </c>
      <c r="V1739" s="1">
        <v>16</v>
      </c>
      <c r="W1739" s="3">
        <v>3389.9</v>
      </c>
      <c r="X1739" s="3">
        <v>54238.400000000001</v>
      </c>
      <c r="Y1739" s="1" t="str">
        <f>VLOOKUP(A1739,[1]Detalle!$D$2:$CR$484,93,FALSE)</f>
        <v>CCUDyAZA</v>
      </c>
    </row>
    <row r="1740" spans="1:25" ht="14.25" customHeight="1" x14ac:dyDescent="0.3">
      <c r="A1740" s="1" t="s">
        <v>267</v>
      </c>
      <c r="B1740" s="1" t="s">
        <v>396</v>
      </c>
      <c r="C1740" s="1" t="s">
        <v>328</v>
      </c>
      <c r="D1740" s="1" t="s">
        <v>329</v>
      </c>
      <c r="E1740" s="1" t="s">
        <v>337</v>
      </c>
      <c r="F1740" s="1">
        <v>292381</v>
      </c>
      <c r="G1740" s="1">
        <v>312381</v>
      </c>
      <c r="H1740" s="1">
        <v>7939.1000000000049</v>
      </c>
      <c r="I1740" s="1">
        <v>12060.899999999991</v>
      </c>
      <c r="J1740" s="1">
        <v>300320.09999999998</v>
      </c>
      <c r="K1740" s="1">
        <v>222</v>
      </c>
      <c r="L1740" s="1">
        <v>30.400741935483872</v>
      </c>
      <c r="M1740" s="1">
        <v>337.25734655061621</v>
      </c>
      <c r="N1740" s="7">
        <v>45947</v>
      </c>
      <c r="O1740" s="1">
        <v>20000</v>
      </c>
      <c r="P1740" s="7">
        <v>46284.257346550927</v>
      </c>
      <c r="Q1740" s="1" t="s">
        <v>330</v>
      </c>
      <c r="T1740" s="1" t="s">
        <v>397</v>
      </c>
      <c r="U1740" s="1" t="s">
        <v>398</v>
      </c>
      <c r="V1740" s="1">
        <v>1</v>
      </c>
      <c r="W1740" s="3">
        <v>9737.2800000000007</v>
      </c>
      <c r="X1740" s="3">
        <v>9737.2800000000007</v>
      </c>
      <c r="Y1740" s="1" t="str">
        <f>VLOOKUP(A1740,[1]Detalle!$D$2:$CR$484,93,FALSE)</f>
        <v>CCUDyAZA</v>
      </c>
    </row>
    <row r="1741" spans="1:25" ht="14.25" customHeight="1" x14ac:dyDescent="0.3">
      <c r="A1741" s="1" t="s">
        <v>208</v>
      </c>
      <c r="B1741" s="1" t="s">
        <v>396</v>
      </c>
      <c r="C1741" s="1" t="s">
        <v>328</v>
      </c>
      <c r="D1741" s="1" t="s">
        <v>329</v>
      </c>
      <c r="E1741" s="6">
        <v>45898</v>
      </c>
      <c r="F1741" s="1">
        <v>279340</v>
      </c>
      <c r="G1741" s="1">
        <v>299340</v>
      </c>
      <c r="H1741" s="1">
        <v>2584.1999999999998</v>
      </c>
      <c r="I1741" s="1">
        <v>17415.8</v>
      </c>
      <c r="J1741" s="1">
        <v>281924.2</v>
      </c>
      <c r="K1741" s="1">
        <v>49</v>
      </c>
      <c r="L1741" s="1">
        <v>86.131808118081167</v>
      </c>
      <c r="M1741" s="1">
        <v>330.22761396176759</v>
      </c>
      <c r="N1741" s="7">
        <v>45947</v>
      </c>
      <c r="O1741" s="1">
        <v>20000</v>
      </c>
      <c r="P1741" s="7">
        <v>46277.227613958326</v>
      </c>
      <c r="Q1741" s="1" t="s">
        <v>330</v>
      </c>
      <c r="T1741" s="1" t="s">
        <v>331</v>
      </c>
      <c r="U1741" s="1" t="s">
        <v>332</v>
      </c>
      <c r="V1741" s="1">
        <v>16</v>
      </c>
      <c r="W1741" s="3">
        <v>3389.9</v>
      </c>
      <c r="X1741" s="3">
        <v>54238.400000000001</v>
      </c>
      <c r="Y1741" s="1" t="str">
        <f>VLOOKUP(A1741,[1]Detalle!$D$2:$CR$484,93,FALSE)</f>
        <v>Arcor S.A.I.C.</v>
      </c>
    </row>
    <row r="1742" spans="1:25" ht="14.25" customHeight="1" x14ac:dyDescent="0.3">
      <c r="A1742" s="1" t="s">
        <v>208</v>
      </c>
      <c r="B1742" s="1" t="s">
        <v>396</v>
      </c>
      <c r="C1742" s="1" t="s">
        <v>328</v>
      </c>
      <c r="D1742" s="1" t="s">
        <v>329</v>
      </c>
      <c r="E1742" s="6">
        <v>45898</v>
      </c>
      <c r="F1742" s="1">
        <v>279340</v>
      </c>
      <c r="G1742" s="1">
        <v>299340</v>
      </c>
      <c r="H1742" s="1">
        <v>2584.1999999999998</v>
      </c>
      <c r="I1742" s="1">
        <v>17415.8</v>
      </c>
      <c r="J1742" s="1">
        <v>281924.2</v>
      </c>
      <c r="K1742" s="1">
        <v>49</v>
      </c>
      <c r="L1742" s="1">
        <v>86.131808118081167</v>
      </c>
      <c r="M1742" s="1">
        <v>330.22761396176759</v>
      </c>
      <c r="N1742" s="7">
        <v>45947</v>
      </c>
      <c r="O1742" s="1">
        <v>20000</v>
      </c>
      <c r="P1742" s="7">
        <v>46277.227613958326</v>
      </c>
      <c r="Q1742" s="1" t="s">
        <v>330</v>
      </c>
      <c r="T1742" s="1" t="s">
        <v>397</v>
      </c>
      <c r="U1742" s="1" t="s">
        <v>398</v>
      </c>
      <c r="V1742" s="1">
        <v>1</v>
      </c>
      <c r="W1742" s="3">
        <v>9737.2800000000007</v>
      </c>
      <c r="X1742" s="3">
        <v>9737.2800000000007</v>
      </c>
      <c r="Y1742" s="1" t="str">
        <f>VLOOKUP(A1742,[1]Detalle!$D$2:$CR$484,93,FALSE)</f>
        <v>Arcor S.A.I.C.</v>
      </c>
    </row>
    <row r="1743" spans="1:25" ht="14.25" customHeight="1" x14ac:dyDescent="0.3">
      <c r="A1743" s="1" t="s">
        <v>207</v>
      </c>
      <c r="B1743" s="1" t="s">
        <v>396</v>
      </c>
      <c r="C1743" s="1" t="s">
        <v>328</v>
      </c>
      <c r="D1743" s="1" t="s">
        <v>329</v>
      </c>
      <c r="E1743" s="6">
        <v>45786</v>
      </c>
      <c r="F1743" s="1">
        <v>331282</v>
      </c>
      <c r="G1743" s="1">
        <v>351282</v>
      </c>
      <c r="H1743" s="1">
        <v>13312.400000000011</v>
      </c>
      <c r="I1743" s="1">
        <v>6687.5999999999931</v>
      </c>
      <c r="J1743" s="1">
        <v>344594.4</v>
      </c>
      <c r="K1743" s="1">
        <v>161</v>
      </c>
      <c r="L1743" s="1">
        <v>86.162316176470569</v>
      </c>
      <c r="M1743" s="1">
        <v>80.879751209398634</v>
      </c>
      <c r="N1743" s="7">
        <v>45947</v>
      </c>
      <c r="O1743" s="1">
        <v>20000</v>
      </c>
      <c r="P1743" s="7">
        <v>46027.879751203713</v>
      </c>
      <c r="Q1743" s="1" t="s">
        <v>330</v>
      </c>
      <c r="T1743" s="1" t="s">
        <v>331</v>
      </c>
      <c r="U1743" s="1" t="s">
        <v>332</v>
      </c>
      <c r="V1743" s="1">
        <v>16</v>
      </c>
      <c r="W1743" s="3">
        <v>3389.9</v>
      </c>
      <c r="X1743" s="3">
        <v>54238.400000000001</v>
      </c>
      <c r="Y1743" s="1" t="str">
        <f>VLOOKUP(A1743,[1]Detalle!$D$2:$CR$484,93,FALSE)</f>
        <v>Arcor S.A.I.C.</v>
      </c>
    </row>
    <row r="1744" spans="1:25" ht="14.25" customHeight="1" x14ac:dyDescent="0.3">
      <c r="A1744" s="1" t="s">
        <v>207</v>
      </c>
      <c r="B1744" s="1" t="s">
        <v>396</v>
      </c>
      <c r="C1744" s="1" t="s">
        <v>328</v>
      </c>
      <c r="D1744" s="1" t="s">
        <v>329</v>
      </c>
      <c r="E1744" s="6">
        <v>45786</v>
      </c>
      <c r="F1744" s="1">
        <v>331282</v>
      </c>
      <c r="G1744" s="1">
        <v>351282</v>
      </c>
      <c r="H1744" s="1">
        <v>13312.400000000011</v>
      </c>
      <c r="I1744" s="1">
        <v>6687.5999999999931</v>
      </c>
      <c r="J1744" s="1">
        <v>344594.4</v>
      </c>
      <c r="K1744" s="1">
        <v>161</v>
      </c>
      <c r="L1744" s="1">
        <v>86.162316176470569</v>
      </c>
      <c r="M1744" s="1">
        <v>80.879751209398634</v>
      </c>
      <c r="N1744" s="7">
        <v>45947</v>
      </c>
      <c r="O1744" s="1">
        <v>20000</v>
      </c>
      <c r="P1744" s="7">
        <v>46027.879751203713</v>
      </c>
      <c r="Q1744" s="1" t="s">
        <v>330</v>
      </c>
      <c r="T1744" s="1" t="s">
        <v>397</v>
      </c>
      <c r="U1744" s="1" t="s">
        <v>398</v>
      </c>
      <c r="V1744" s="1">
        <v>1</v>
      </c>
      <c r="W1744" s="3">
        <v>9737.2800000000007</v>
      </c>
      <c r="X1744" s="3">
        <v>9737.2800000000007</v>
      </c>
      <c r="Y1744" s="1" t="str">
        <f>VLOOKUP(A1744,[1]Detalle!$D$2:$CR$484,93,FALSE)</f>
        <v>Arcor S.A.I.C.</v>
      </c>
    </row>
    <row r="1745" spans="1:25" ht="14.25" customHeight="1" x14ac:dyDescent="0.3">
      <c r="A1745" s="1" t="s">
        <v>88</v>
      </c>
      <c r="B1745" s="1" t="s">
        <v>400</v>
      </c>
      <c r="C1745" s="1" t="s">
        <v>328</v>
      </c>
      <c r="D1745" s="1" t="s">
        <v>329</v>
      </c>
      <c r="E1745" s="6">
        <v>45603</v>
      </c>
      <c r="F1745" s="1">
        <v>18877</v>
      </c>
      <c r="G1745" s="1">
        <v>38877</v>
      </c>
      <c r="H1745" s="1">
        <v>13183.70000000001</v>
      </c>
      <c r="I1745" s="1">
        <v>6816.299999999992</v>
      </c>
      <c r="J1745" s="1">
        <v>32060.700000000012</v>
      </c>
      <c r="K1745" s="1">
        <v>344</v>
      </c>
      <c r="L1745" s="1">
        <v>37.875645756457558</v>
      </c>
      <c r="M1745" s="1">
        <v>177.856534963629</v>
      </c>
      <c r="N1745" s="7">
        <v>45947</v>
      </c>
      <c r="O1745" s="1">
        <v>20000</v>
      </c>
      <c r="P1745" s="7">
        <v>46124.856534965278</v>
      </c>
      <c r="Q1745" s="1" t="s">
        <v>330</v>
      </c>
      <c r="T1745" s="1" t="s">
        <v>331</v>
      </c>
      <c r="U1745" s="1" t="s">
        <v>332</v>
      </c>
      <c r="V1745" s="1">
        <v>16</v>
      </c>
      <c r="W1745" s="3">
        <v>3389.9</v>
      </c>
      <c r="X1745" s="3">
        <v>54238.400000000001</v>
      </c>
      <c r="Y1745" s="1" t="str">
        <f>VLOOKUP(A1745,[1]Detalle!$D$2:$CR$484,93,FALSE)</f>
        <v>CMQ_TTE - QUILMES TTE</v>
      </c>
    </row>
    <row r="1746" spans="1:25" ht="14.25" customHeight="1" x14ac:dyDescent="0.3">
      <c r="A1746" s="1" t="s">
        <v>88</v>
      </c>
      <c r="B1746" s="1" t="s">
        <v>400</v>
      </c>
      <c r="C1746" s="1" t="s">
        <v>328</v>
      </c>
      <c r="D1746" s="1" t="s">
        <v>329</v>
      </c>
      <c r="E1746" s="6">
        <v>45603</v>
      </c>
      <c r="F1746" s="1">
        <v>18877</v>
      </c>
      <c r="G1746" s="1">
        <v>38877</v>
      </c>
      <c r="H1746" s="1">
        <v>13183.70000000001</v>
      </c>
      <c r="I1746" s="1">
        <v>6816.299999999992</v>
      </c>
      <c r="J1746" s="1">
        <v>32060.700000000012</v>
      </c>
      <c r="K1746" s="1">
        <v>344</v>
      </c>
      <c r="L1746" s="1">
        <v>37.875645756457558</v>
      </c>
      <c r="M1746" s="1">
        <v>177.856534963629</v>
      </c>
      <c r="N1746" s="7">
        <v>45947</v>
      </c>
      <c r="O1746" s="1">
        <v>20000</v>
      </c>
      <c r="P1746" s="7">
        <v>46124.856534965278</v>
      </c>
      <c r="Q1746" s="1" t="s">
        <v>330</v>
      </c>
      <c r="T1746" s="1" t="s">
        <v>401</v>
      </c>
      <c r="U1746" s="1" t="s">
        <v>402</v>
      </c>
      <c r="V1746" s="1">
        <v>1</v>
      </c>
      <c r="W1746" s="3">
        <v>21189.599999999999</v>
      </c>
      <c r="X1746" s="3">
        <v>21189.599999999999</v>
      </c>
      <c r="Y1746" s="1" t="str">
        <f>VLOOKUP(A1746,[1]Detalle!$D$2:$CR$484,93,FALSE)</f>
        <v>CMQ_TTE - QUILMES TTE</v>
      </c>
    </row>
    <row r="1747" spans="1:25" ht="14.25" customHeight="1" x14ac:dyDescent="0.3">
      <c r="A1747" s="1" t="s">
        <v>87</v>
      </c>
      <c r="B1747" s="1" t="s">
        <v>400</v>
      </c>
      <c r="C1747" s="1" t="s">
        <v>328</v>
      </c>
      <c r="D1747" s="1" t="s">
        <v>329</v>
      </c>
      <c r="E1747" s="6">
        <v>45905</v>
      </c>
      <c r="F1747" s="1">
        <v>52971.7</v>
      </c>
      <c r="G1747" s="1">
        <v>72971.7</v>
      </c>
      <c r="H1747" s="1">
        <v>0</v>
      </c>
      <c r="I1747" s="1">
        <v>20000</v>
      </c>
      <c r="J1747" s="1">
        <v>52971.7</v>
      </c>
      <c r="K1747" s="1">
        <v>42</v>
      </c>
      <c r="L1747" s="1">
        <v>3.001660516605166</v>
      </c>
      <c r="M1747" s="1">
        <v>200</v>
      </c>
      <c r="N1747" s="7">
        <v>45947</v>
      </c>
      <c r="O1747" s="1">
        <v>20000</v>
      </c>
      <c r="P1747" s="7">
        <v>46147</v>
      </c>
      <c r="Q1747" s="1" t="s">
        <v>330</v>
      </c>
      <c r="T1747" s="1" t="s">
        <v>331</v>
      </c>
      <c r="U1747" s="1" t="s">
        <v>332</v>
      </c>
      <c r="V1747" s="1">
        <v>16</v>
      </c>
      <c r="W1747" s="3">
        <v>3389.9</v>
      </c>
      <c r="X1747" s="3">
        <v>54238.400000000001</v>
      </c>
      <c r="Y1747" s="1" t="str">
        <f>VLOOKUP(A1747,[1]Detalle!$D$2:$CR$484,93,FALSE)</f>
        <v>Arcor S.A.I.C.</v>
      </c>
    </row>
    <row r="1748" spans="1:25" ht="14.25" customHeight="1" x14ac:dyDescent="0.3">
      <c r="A1748" s="1" t="s">
        <v>87</v>
      </c>
      <c r="B1748" s="1" t="s">
        <v>400</v>
      </c>
      <c r="C1748" s="1" t="s">
        <v>328</v>
      </c>
      <c r="D1748" s="1" t="s">
        <v>329</v>
      </c>
      <c r="E1748" s="6">
        <v>45905</v>
      </c>
      <c r="F1748" s="1">
        <v>52971.7</v>
      </c>
      <c r="G1748" s="1">
        <v>72971.7</v>
      </c>
      <c r="H1748" s="1">
        <v>0</v>
      </c>
      <c r="I1748" s="1">
        <v>20000</v>
      </c>
      <c r="J1748" s="1">
        <v>52971.7</v>
      </c>
      <c r="K1748" s="1">
        <v>42</v>
      </c>
      <c r="L1748" s="1">
        <v>3.001660516605166</v>
      </c>
      <c r="M1748" s="1">
        <v>200</v>
      </c>
      <c r="N1748" s="7">
        <v>45947</v>
      </c>
      <c r="O1748" s="1">
        <v>20000</v>
      </c>
      <c r="P1748" s="7">
        <v>46147</v>
      </c>
      <c r="Q1748" s="1" t="s">
        <v>330</v>
      </c>
      <c r="T1748" s="1" t="s">
        <v>401</v>
      </c>
      <c r="U1748" s="1" t="s">
        <v>402</v>
      </c>
      <c r="V1748" s="1">
        <v>1</v>
      </c>
      <c r="W1748" s="3">
        <v>21189.599999999999</v>
      </c>
      <c r="X1748" s="3">
        <v>21189.599999999999</v>
      </c>
      <c r="Y1748" s="1" t="str">
        <f>VLOOKUP(A1748,[1]Detalle!$D$2:$CR$484,93,FALSE)</f>
        <v>Arcor S.A.I.C.</v>
      </c>
    </row>
    <row r="1749" spans="1:25" ht="14.25" customHeight="1" x14ac:dyDescent="0.3">
      <c r="A1749" s="1" t="s">
        <v>71</v>
      </c>
      <c r="B1749" s="1" t="s">
        <v>400</v>
      </c>
      <c r="C1749" s="1" t="s">
        <v>328</v>
      </c>
      <c r="D1749" s="1" t="s">
        <v>329</v>
      </c>
      <c r="E1749" s="6">
        <v>45838</v>
      </c>
      <c r="F1749" s="1">
        <v>37932</v>
      </c>
      <c r="G1749" s="1">
        <v>57932</v>
      </c>
      <c r="H1749" s="1">
        <v>4460.9999999999991</v>
      </c>
      <c r="I1749" s="1">
        <v>15539</v>
      </c>
      <c r="J1749" s="1">
        <v>42393</v>
      </c>
      <c r="K1749" s="1">
        <v>109</v>
      </c>
      <c r="L1749" s="1">
        <v>38.195276752767562</v>
      </c>
      <c r="M1749" s="1">
        <v>379.67966823582162</v>
      </c>
      <c r="N1749" s="7">
        <v>45947</v>
      </c>
      <c r="O1749" s="1">
        <v>20000</v>
      </c>
      <c r="P1749" s="7">
        <v>46326.679668240737</v>
      </c>
      <c r="Q1749" s="1" t="s">
        <v>330</v>
      </c>
      <c r="T1749" s="1" t="s">
        <v>331</v>
      </c>
      <c r="U1749" s="1" t="s">
        <v>332</v>
      </c>
      <c r="V1749" s="1">
        <v>16</v>
      </c>
      <c r="W1749" s="3">
        <v>3389.9</v>
      </c>
      <c r="X1749" s="3">
        <v>54238.400000000001</v>
      </c>
      <c r="Y1749" s="1" t="str">
        <f>VLOOKUP(A1749,[1]Detalle!$D$2:$CR$484,93,FALSE)</f>
        <v>CMQ_TTE - QUILMES TTE</v>
      </c>
    </row>
    <row r="1750" spans="1:25" ht="14.25" customHeight="1" x14ac:dyDescent="0.3">
      <c r="A1750" s="1" t="s">
        <v>71</v>
      </c>
      <c r="B1750" s="1" t="s">
        <v>400</v>
      </c>
      <c r="C1750" s="1" t="s">
        <v>328</v>
      </c>
      <c r="D1750" s="1" t="s">
        <v>329</v>
      </c>
      <c r="E1750" s="6">
        <v>45838</v>
      </c>
      <c r="F1750" s="1">
        <v>37932</v>
      </c>
      <c r="G1750" s="1">
        <v>57932</v>
      </c>
      <c r="H1750" s="1">
        <v>4460.9999999999991</v>
      </c>
      <c r="I1750" s="1">
        <v>15539</v>
      </c>
      <c r="J1750" s="1">
        <v>42393</v>
      </c>
      <c r="K1750" s="1">
        <v>109</v>
      </c>
      <c r="L1750" s="1">
        <v>38.195276752767562</v>
      </c>
      <c r="M1750" s="1">
        <v>379.67966823582162</v>
      </c>
      <c r="N1750" s="7">
        <v>45947</v>
      </c>
      <c r="O1750" s="1">
        <v>20000</v>
      </c>
      <c r="P1750" s="7">
        <v>46326.679668240737</v>
      </c>
      <c r="Q1750" s="1" t="s">
        <v>330</v>
      </c>
      <c r="T1750" s="1" t="s">
        <v>401</v>
      </c>
      <c r="U1750" s="1" t="s">
        <v>402</v>
      </c>
      <c r="V1750" s="1">
        <v>1</v>
      </c>
      <c r="W1750" s="3">
        <v>21189.599999999999</v>
      </c>
      <c r="X1750" s="3">
        <v>21189.599999999999</v>
      </c>
      <c r="Y1750" s="1" t="str">
        <f>VLOOKUP(A1750,[1]Detalle!$D$2:$CR$484,93,FALSE)</f>
        <v>CMQ_TTE - QUILMES TTE</v>
      </c>
    </row>
    <row r="1751" spans="1:25" ht="14.25" customHeight="1" x14ac:dyDescent="0.3">
      <c r="A1751" s="1" t="s">
        <v>66</v>
      </c>
      <c r="B1751" s="1" t="s">
        <v>400</v>
      </c>
      <c r="C1751" s="1" t="s">
        <v>328</v>
      </c>
      <c r="D1751" s="1" t="s">
        <v>329</v>
      </c>
      <c r="E1751" s="6">
        <v>45586</v>
      </c>
      <c r="F1751" s="1">
        <v>14436</v>
      </c>
      <c r="G1751" s="1">
        <v>34436</v>
      </c>
      <c r="H1751" s="1">
        <v>9131.8000000000029</v>
      </c>
      <c r="I1751" s="1">
        <v>10868.2</v>
      </c>
      <c r="J1751" s="1">
        <v>23567.8</v>
      </c>
      <c r="K1751" s="1">
        <v>361</v>
      </c>
      <c r="L1751" s="1">
        <v>25.02444444444442</v>
      </c>
      <c r="M1751" s="1">
        <v>429.64368470619132</v>
      </c>
      <c r="N1751" s="7">
        <v>45947</v>
      </c>
      <c r="O1751" s="1">
        <v>20000</v>
      </c>
      <c r="P1751" s="7">
        <v>46376.643684710652</v>
      </c>
      <c r="Q1751" s="1" t="s">
        <v>330</v>
      </c>
      <c r="T1751" s="1" t="s">
        <v>331</v>
      </c>
      <c r="U1751" s="1" t="s">
        <v>332</v>
      </c>
      <c r="V1751" s="1">
        <v>16</v>
      </c>
      <c r="W1751" s="3">
        <v>3389.9</v>
      </c>
      <c r="X1751" s="3">
        <v>54238.400000000001</v>
      </c>
      <c r="Y1751" s="1" t="str">
        <f>VLOOKUP(A1751,[1]Detalle!$D$2:$CR$484,93,FALSE)</f>
        <v>CMQ_TTE - QUILMES TTE</v>
      </c>
    </row>
    <row r="1752" spans="1:25" ht="14.25" customHeight="1" x14ac:dyDescent="0.3">
      <c r="A1752" s="1" t="s">
        <v>66</v>
      </c>
      <c r="B1752" s="1" t="s">
        <v>400</v>
      </c>
      <c r="C1752" s="1" t="s">
        <v>328</v>
      </c>
      <c r="D1752" s="1" t="s">
        <v>329</v>
      </c>
      <c r="E1752" s="6">
        <v>45586</v>
      </c>
      <c r="F1752" s="1">
        <v>14436</v>
      </c>
      <c r="G1752" s="1">
        <v>34436</v>
      </c>
      <c r="H1752" s="1">
        <v>9131.8000000000029</v>
      </c>
      <c r="I1752" s="1">
        <v>10868.2</v>
      </c>
      <c r="J1752" s="1">
        <v>23567.8</v>
      </c>
      <c r="K1752" s="1">
        <v>361</v>
      </c>
      <c r="L1752" s="1">
        <v>25.02444444444442</v>
      </c>
      <c r="M1752" s="1">
        <v>429.64368470619132</v>
      </c>
      <c r="N1752" s="7">
        <v>45947</v>
      </c>
      <c r="O1752" s="1">
        <v>20000</v>
      </c>
      <c r="P1752" s="7">
        <v>46376.643684710652</v>
      </c>
      <c r="Q1752" s="1" t="s">
        <v>330</v>
      </c>
      <c r="T1752" s="1" t="s">
        <v>401</v>
      </c>
      <c r="U1752" s="1" t="s">
        <v>402</v>
      </c>
      <c r="V1752" s="1">
        <v>1</v>
      </c>
      <c r="W1752" s="3">
        <v>21189.599999999999</v>
      </c>
      <c r="X1752" s="3">
        <v>21189.599999999999</v>
      </c>
      <c r="Y1752" s="1" t="str">
        <f>VLOOKUP(A1752,[1]Detalle!$D$2:$CR$484,93,FALSE)</f>
        <v>CMQ_TTE - QUILMES TTE</v>
      </c>
    </row>
    <row r="1753" spans="1:25" ht="14.25" customHeight="1" x14ac:dyDescent="0.3">
      <c r="A1753" s="1" t="s">
        <v>46</v>
      </c>
      <c r="B1753" s="1" t="s">
        <v>400</v>
      </c>
      <c r="C1753" s="1" t="s">
        <v>328</v>
      </c>
      <c r="D1753" s="1" t="s">
        <v>329</v>
      </c>
      <c r="E1753" s="6">
        <v>45433</v>
      </c>
      <c r="F1753" s="1">
        <v>42190.455000000002</v>
      </c>
      <c r="G1753" s="1">
        <v>62190.455000000002</v>
      </c>
      <c r="H1753" s="1">
        <v>27560.459999999988</v>
      </c>
      <c r="I1753" s="1">
        <v>-7560.4599999999882</v>
      </c>
      <c r="J1753" s="1">
        <v>69750.914999999994</v>
      </c>
      <c r="K1753" s="1">
        <v>514</v>
      </c>
      <c r="L1753" s="1">
        <v>50.965294117647097</v>
      </c>
      <c r="M1753" s="1">
        <v>-141.00187152173791</v>
      </c>
      <c r="N1753" s="7">
        <v>45947</v>
      </c>
      <c r="O1753" s="1">
        <v>20000</v>
      </c>
      <c r="P1753" s="7">
        <v>46339.423910162041</v>
      </c>
      <c r="Q1753" s="1" t="s">
        <v>330</v>
      </c>
      <c r="T1753" s="1" t="s">
        <v>331</v>
      </c>
      <c r="U1753" s="1" t="s">
        <v>332</v>
      </c>
      <c r="V1753" s="1">
        <v>16</v>
      </c>
      <c r="W1753" s="3">
        <v>3389.9</v>
      </c>
      <c r="X1753" s="3">
        <v>54238.400000000001</v>
      </c>
      <c r="Y1753" s="1" t="str">
        <f>VLOOKUP(A1753,[1]Detalle!$D$2:$CR$484,93,FALSE)</f>
        <v>CMQ_TTE - QUILMES TTE</v>
      </c>
    </row>
    <row r="1754" spans="1:25" ht="14.25" customHeight="1" x14ac:dyDescent="0.3">
      <c r="A1754" s="1" t="s">
        <v>46</v>
      </c>
      <c r="B1754" s="1" t="s">
        <v>400</v>
      </c>
      <c r="C1754" s="1" t="s">
        <v>328</v>
      </c>
      <c r="D1754" s="1" t="s">
        <v>329</v>
      </c>
      <c r="E1754" s="6">
        <v>45433</v>
      </c>
      <c r="F1754" s="1">
        <v>42190.455000000002</v>
      </c>
      <c r="G1754" s="1">
        <v>62190.455000000002</v>
      </c>
      <c r="H1754" s="1">
        <v>27560.459999999988</v>
      </c>
      <c r="I1754" s="1">
        <v>-7560.4599999999882</v>
      </c>
      <c r="J1754" s="1">
        <v>69750.914999999994</v>
      </c>
      <c r="K1754" s="1">
        <v>514</v>
      </c>
      <c r="L1754" s="1">
        <v>50.965294117647097</v>
      </c>
      <c r="M1754" s="1">
        <v>-141.00187152173791</v>
      </c>
      <c r="N1754" s="7">
        <v>45947</v>
      </c>
      <c r="O1754" s="1">
        <v>20000</v>
      </c>
      <c r="P1754" s="7">
        <v>46339.423910162041</v>
      </c>
      <c r="Q1754" s="1" t="s">
        <v>330</v>
      </c>
      <c r="T1754" s="1" t="s">
        <v>401</v>
      </c>
      <c r="U1754" s="1" t="s">
        <v>402</v>
      </c>
      <c r="V1754" s="1">
        <v>1</v>
      </c>
      <c r="W1754" s="3">
        <v>21189.599999999999</v>
      </c>
      <c r="X1754" s="3">
        <v>21189.599999999999</v>
      </c>
      <c r="Y1754" s="1" t="str">
        <f>VLOOKUP(A1754,[1]Detalle!$D$2:$CR$484,93,FALSE)</f>
        <v>CMQ_TTE - QUILMES TTE</v>
      </c>
    </row>
    <row r="1755" spans="1:25" ht="14.25" customHeight="1" x14ac:dyDescent="0.3">
      <c r="A1755" s="1" t="s">
        <v>44</v>
      </c>
      <c r="B1755" s="1" t="s">
        <v>400</v>
      </c>
      <c r="C1755" s="1" t="s">
        <v>328</v>
      </c>
      <c r="D1755" s="1" t="s">
        <v>329</v>
      </c>
      <c r="E1755" s="6">
        <v>45849</v>
      </c>
      <c r="F1755" s="1">
        <v>54917</v>
      </c>
      <c r="G1755" s="1">
        <v>74917</v>
      </c>
      <c r="H1755" s="1">
        <v>4571.7000000000007</v>
      </c>
      <c r="I1755" s="1">
        <v>15428.3</v>
      </c>
      <c r="J1755" s="1">
        <v>59488.7</v>
      </c>
      <c r="K1755" s="1">
        <v>98</v>
      </c>
      <c r="L1755" s="1">
        <v>49.3882592592593</v>
      </c>
      <c r="M1755" s="1">
        <v>330.72454448017152</v>
      </c>
      <c r="N1755" s="7">
        <v>45947</v>
      </c>
      <c r="O1755" s="1">
        <v>20000</v>
      </c>
      <c r="P1755" s="7">
        <v>46277.72454447917</v>
      </c>
      <c r="Q1755" s="1" t="s">
        <v>330</v>
      </c>
      <c r="T1755" s="1" t="s">
        <v>331</v>
      </c>
      <c r="U1755" s="1" t="s">
        <v>332</v>
      </c>
      <c r="V1755" s="1">
        <v>16</v>
      </c>
      <c r="W1755" s="3">
        <v>3389.9</v>
      </c>
      <c r="X1755" s="3">
        <v>54238.400000000001</v>
      </c>
      <c r="Y1755" s="1" t="str">
        <f>VLOOKUP(A1755,[1]Detalle!$D$2:$CR$484,93,FALSE)</f>
        <v>CMQ_TTE - QUILMES TTE</v>
      </c>
    </row>
    <row r="1756" spans="1:25" ht="14.25" customHeight="1" x14ac:dyDescent="0.3">
      <c r="A1756" s="1" t="s">
        <v>44</v>
      </c>
      <c r="B1756" s="1" t="s">
        <v>400</v>
      </c>
      <c r="C1756" s="1" t="s">
        <v>328</v>
      </c>
      <c r="D1756" s="1" t="s">
        <v>329</v>
      </c>
      <c r="E1756" s="6">
        <v>45849</v>
      </c>
      <c r="F1756" s="1">
        <v>54917</v>
      </c>
      <c r="G1756" s="1">
        <v>74917</v>
      </c>
      <c r="H1756" s="1">
        <v>4571.7000000000007</v>
      </c>
      <c r="I1756" s="1">
        <v>15428.3</v>
      </c>
      <c r="J1756" s="1">
        <v>59488.7</v>
      </c>
      <c r="K1756" s="1">
        <v>98</v>
      </c>
      <c r="L1756" s="1">
        <v>49.3882592592593</v>
      </c>
      <c r="M1756" s="1">
        <v>330.72454448017152</v>
      </c>
      <c r="N1756" s="7">
        <v>45947</v>
      </c>
      <c r="O1756" s="1">
        <v>20000</v>
      </c>
      <c r="P1756" s="7">
        <v>46277.72454447917</v>
      </c>
      <c r="Q1756" s="1" t="s">
        <v>330</v>
      </c>
      <c r="T1756" s="1" t="s">
        <v>401</v>
      </c>
      <c r="U1756" s="1" t="s">
        <v>402</v>
      </c>
      <c r="V1756" s="1">
        <v>1</v>
      </c>
      <c r="W1756" s="3">
        <v>21189.599999999999</v>
      </c>
      <c r="X1756" s="3">
        <v>21189.599999999999</v>
      </c>
      <c r="Y1756" s="1" t="str">
        <f>VLOOKUP(A1756,[1]Detalle!$D$2:$CR$484,93,FALSE)</f>
        <v>CMQ_TTE - QUILMES TTE</v>
      </c>
    </row>
    <row r="1757" spans="1:25" ht="14.25" customHeight="1" x14ac:dyDescent="0.3">
      <c r="A1757" s="1" t="s">
        <v>43</v>
      </c>
      <c r="B1757" s="1" t="s">
        <v>400</v>
      </c>
      <c r="C1757" s="1" t="s">
        <v>328</v>
      </c>
      <c r="D1757" s="1" t="s">
        <v>329</v>
      </c>
      <c r="E1757" s="6">
        <v>45352</v>
      </c>
      <c r="F1757" s="1">
        <v>43619</v>
      </c>
      <c r="G1757" s="1">
        <v>63619</v>
      </c>
      <c r="H1757" s="1">
        <v>32217.59</v>
      </c>
      <c r="I1757" s="1">
        <v>-12217.59</v>
      </c>
      <c r="J1757" s="1">
        <v>75836.59</v>
      </c>
      <c r="K1757" s="1">
        <v>595</v>
      </c>
      <c r="L1757" s="1">
        <v>51.939962962962959</v>
      </c>
      <c r="M1757" s="1">
        <v>-225.63655599317011</v>
      </c>
      <c r="N1757" s="7">
        <v>45947</v>
      </c>
      <c r="O1757" s="1">
        <v>20000</v>
      </c>
      <c r="P1757" s="7">
        <v>46332.059958831022</v>
      </c>
      <c r="Q1757" s="1" t="s">
        <v>330</v>
      </c>
      <c r="T1757" s="1" t="s">
        <v>331</v>
      </c>
      <c r="U1757" s="1" t="s">
        <v>332</v>
      </c>
      <c r="V1757" s="1">
        <v>16</v>
      </c>
      <c r="W1757" s="3">
        <v>3389.9</v>
      </c>
      <c r="X1757" s="3">
        <v>54238.400000000001</v>
      </c>
      <c r="Y1757" s="1" t="str">
        <f>VLOOKUP(A1757,[1]Detalle!$D$2:$CR$484,93,FALSE)</f>
        <v>CMQ_TTE - QUILMES TTE</v>
      </c>
    </row>
    <row r="1758" spans="1:25" ht="14.25" customHeight="1" x14ac:dyDescent="0.3">
      <c r="A1758" s="1" t="s">
        <v>43</v>
      </c>
      <c r="B1758" s="1" t="s">
        <v>400</v>
      </c>
      <c r="C1758" s="1" t="s">
        <v>328</v>
      </c>
      <c r="D1758" s="1" t="s">
        <v>329</v>
      </c>
      <c r="E1758" s="6">
        <v>45352</v>
      </c>
      <c r="F1758" s="1">
        <v>43619</v>
      </c>
      <c r="G1758" s="1">
        <v>63619</v>
      </c>
      <c r="H1758" s="1">
        <v>32217.59</v>
      </c>
      <c r="I1758" s="1">
        <v>-12217.59</v>
      </c>
      <c r="J1758" s="1">
        <v>75836.59</v>
      </c>
      <c r="K1758" s="1">
        <v>595</v>
      </c>
      <c r="L1758" s="1">
        <v>51.939962962962959</v>
      </c>
      <c r="M1758" s="1">
        <v>-225.63655599317011</v>
      </c>
      <c r="N1758" s="7">
        <v>45947</v>
      </c>
      <c r="O1758" s="1">
        <v>20000</v>
      </c>
      <c r="P1758" s="7">
        <v>46332.059958831022</v>
      </c>
      <c r="Q1758" s="1" t="s">
        <v>330</v>
      </c>
      <c r="T1758" s="1" t="s">
        <v>401</v>
      </c>
      <c r="U1758" s="1" t="s">
        <v>402</v>
      </c>
      <c r="V1758" s="1">
        <v>1</v>
      </c>
      <c r="W1758" s="3">
        <v>21189.599999999999</v>
      </c>
      <c r="X1758" s="3">
        <v>21189.599999999999</v>
      </c>
      <c r="Y1758" s="1" t="str">
        <f>VLOOKUP(A1758,[1]Detalle!$D$2:$CR$484,93,FALSE)</f>
        <v>CMQ_TTE - QUILMES TTE</v>
      </c>
    </row>
    <row r="1759" spans="1:25" ht="14.25" customHeight="1" x14ac:dyDescent="0.3">
      <c r="A1759" s="1" t="s">
        <v>24</v>
      </c>
      <c r="B1759" s="1" t="s">
        <v>400</v>
      </c>
      <c r="C1759" s="1" t="s">
        <v>328</v>
      </c>
      <c r="D1759" s="1" t="s">
        <v>329</v>
      </c>
      <c r="E1759" s="6">
        <v>45827</v>
      </c>
      <c r="F1759" s="1">
        <v>70636</v>
      </c>
      <c r="G1759" s="1">
        <v>90636</v>
      </c>
      <c r="H1759" s="1">
        <v>4770.7000000000007</v>
      </c>
      <c r="I1759" s="1">
        <v>15229.3</v>
      </c>
      <c r="J1759" s="1">
        <v>75406.7</v>
      </c>
      <c r="K1759" s="1">
        <v>120</v>
      </c>
      <c r="L1759" s="1">
        <v>48.072185185185191</v>
      </c>
      <c r="M1759" s="1">
        <v>383.07082818035082</v>
      </c>
      <c r="N1759" s="7">
        <v>45947</v>
      </c>
      <c r="O1759" s="1">
        <v>20000</v>
      </c>
      <c r="P1759" s="7">
        <v>46330.07082818287</v>
      </c>
      <c r="Q1759" s="1" t="s">
        <v>330</v>
      </c>
      <c r="T1759" s="1" t="s">
        <v>331</v>
      </c>
      <c r="U1759" s="1" t="s">
        <v>332</v>
      </c>
      <c r="V1759" s="1">
        <v>16</v>
      </c>
      <c r="W1759" s="3">
        <v>3389.9</v>
      </c>
      <c r="X1759" s="3">
        <v>54238.400000000001</v>
      </c>
      <c r="Y1759" s="1" t="str">
        <f>VLOOKUP(A1759,[1]Detalle!$D$2:$CR$484,93,FALSE)</f>
        <v>CMQ_TTE - QUILMES TTE</v>
      </c>
    </row>
    <row r="1760" spans="1:25" ht="14.25" customHeight="1" x14ac:dyDescent="0.3">
      <c r="A1760" s="1" t="s">
        <v>24</v>
      </c>
      <c r="B1760" s="1" t="s">
        <v>400</v>
      </c>
      <c r="C1760" s="1" t="s">
        <v>328</v>
      </c>
      <c r="D1760" s="1" t="s">
        <v>329</v>
      </c>
      <c r="E1760" s="6">
        <v>45827</v>
      </c>
      <c r="F1760" s="1">
        <v>70636</v>
      </c>
      <c r="G1760" s="1">
        <v>90636</v>
      </c>
      <c r="H1760" s="1">
        <v>4770.7000000000007</v>
      </c>
      <c r="I1760" s="1">
        <v>15229.3</v>
      </c>
      <c r="J1760" s="1">
        <v>75406.7</v>
      </c>
      <c r="K1760" s="1">
        <v>120</v>
      </c>
      <c r="L1760" s="1">
        <v>48.072185185185191</v>
      </c>
      <c r="M1760" s="1">
        <v>383.07082818035082</v>
      </c>
      <c r="N1760" s="7">
        <v>45947</v>
      </c>
      <c r="O1760" s="1">
        <v>20000</v>
      </c>
      <c r="P1760" s="7">
        <v>46330.07082818287</v>
      </c>
      <c r="Q1760" s="1" t="s">
        <v>330</v>
      </c>
      <c r="T1760" s="1" t="s">
        <v>401</v>
      </c>
      <c r="U1760" s="1" t="s">
        <v>402</v>
      </c>
      <c r="V1760" s="1">
        <v>1</v>
      </c>
      <c r="W1760" s="3">
        <v>21189.599999999999</v>
      </c>
      <c r="X1760" s="3">
        <v>21189.599999999999</v>
      </c>
      <c r="Y1760" s="1" t="str">
        <f>VLOOKUP(A1760,[1]Detalle!$D$2:$CR$484,93,FALSE)</f>
        <v>CMQ_TTE - QUILMES TTE</v>
      </c>
    </row>
    <row r="1761" spans="1:25" ht="14.25" customHeight="1" x14ac:dyDescent="0.3">
      <c r="A1761" s="1" t="s">
        <v>22</v>
      </c>
      <c r="B1761" s="1" t="s">
        <v>400</v>
      </c>
      <c r="C1761" s="1" t="s">
        <v>328</v>
      </c>
      <c r="D1761" s="1" t="s">
        <v>329</v>
      </c>
      <c r="E1761" s="6">
        <v>45744</v>
      </c>
      <c r="F1761" s="1">
        <v>61556.800000000003</v>
      </c>
      <c r="G1761" s="1">
        <v>81556.800000000003</v>
      </c>
      <c r="H1761" s="1">
        <v>8960.2999999999975</v>
      </c>
      <c r="I1761" s="1">
        <v>11039.7</v>
      </c>
      <c r="J1761" s="1">
        <v>70517.100000000006</v>
      </c>
      <c r="K1761" s="1">
        <v>203</v>
      </c>
      <c r="L1761" s="1">
        <v>48.161180811808123</v>
      </c>
      <c r="M1761" s="1">
        <v>250.1098289119785</v>
      </c>
      <c r="N1761" s="7">
        <v>45947</v>
      </c>
      <c r="O1761" s="1">
        <v>20000</v>
      </c>
      <c r="P1761" s="7">
        <v>46197.109828912027</v>
      </c>
      <c r="Q1761" s="1" t="s">
        <v>330</v>
      </c>
      <c r="T1761" s="1" t="s">
        <v>331</v>
      </c>
      <c r="U1761" s="1" t="s">
        <v>332</v>
      </c>
      <c r="V1761" s="1">
        <v>16</v>
      </c>
      <c r="W1761" s="3">
        <v>3389.9</v>
      </c>
      <c r="X1761" s="3">
        <v>54238.400000000001</v>
      </c>
      <c r="Y1761" s="1" t="str">
        <f>VLOOKUP(A1761,[1]Detalle!$D$2:$CR$484,93,FALSE)</f>
        <v>CMQ_TTE - QUILMES TTE</v>
      </c>
    </row>
    <row r="1762" spans="1:25" ht="14.25" customHeight="1" x14ac:dyDescent="0.3">
      <c r="A1762" s="1" t="s">
        <v>22</v>
      </c>
      <c r="B1762" s="1" t="s">
        <v>400</v>
      </c>
      <c r="C1762" s="1" t="s">
        <v>328</v>
      </c>
      <c r="D1762" s="1" t="s">
        <v>329</v>
      </c>
      <c r="E1762" s="6">
        <v>45744</v>
      </c>
      <c r="F1762" s="1">
        <v>61556.800000000003</v>
      </c>
      <c r="G1762" s="1">
        <v>81556.800000000003</v>
      </c>
      <c r="H1762" s="1">
        <v>8960.2999999999975</v>
      </c>
      <c r="I1762" s="1">
        <v>11039.7</v>
      </c>
      <c r="J1762" s="1">
        <v>70517.100000000006</v>
      </c>
      <c r="K1762" s="1">
        <v>203</v>
      </c>
      <c r="L1762" s="1">
        <v>48.161180811808123</v>
      </c>
      <c r="M1762" s="1">
        <v>250.1098289119785</v>
      </c>
      <c r="N1762" s="7">
        <v>45947</v>
      </c>
      <c r="O1762" s="1">
        <v>20000</v>
      </c>
      <c r="P1762" s="7">
        <v>46197.109828912027</v>
      </c>
      <c r="Q1762" s="1" t="s">
        <v>330</v>
      </c>
      <c r="T1762" s="1" t="s">
        <v>401</v>
      </c>
      <c r="U1762" s="1" t="s">
        <v>402</v>
      </c>
      <c r="V1762" s="1">
        <v>1</v>
      </c>
      <c r="W1762" s="3">
        <v>21189.599999999999</v>
      </c>
      <c r="X1762" s="3">
        <v>21189.599999999999</v>
      </c>
      <c r="Y1762" s="1" t="str">
        <f>VLOOKUP(A1762,[1]Detalle!$D$2:$CR$484,93,FALSE)</f>
        <v>CMQ_TTE - QUILMES TTE</v>
      </c>
    </row>
    <row r="1763" spans="1:25" ht="14.25" customHeight="1" x14ac:dyDescent="0.3">
      <c r="A1763" s="1" t="s">
        <v>21</v>
      </c>
      <c r="B1763" s="1" t="s">
        <v>400</v>
      </c>
      <c r="C1763" s="1" t="s">
        <v>328</v>
      </c>
      <c r="D1763" s="1" t="s">
        <v>329</v>
      </c>
      <c r="E1763" s="6">
        <v>45652</v>
      </c>
      <c r="F1763" s="1">
        <v>59747.1</v>
      </c>
      <c r="G1763" s="1">
        <v>79747.100000000006</v>
      </c>
      <c r="H1763" s="1">
        <v>13173.82</v>
      </c>
      <c r="I1763" s="1">
        <v>6826.1800000000039</v>
      </c>
      <c r="J1763" s="1">
        <v>72920.92</v>
      </c>
      <c r="K1763" s="1">
        <v>295</v>
      </c>
      <c r="L1763" s="1">
        <v>47.570444444444483</v>
      </c>
      <c r="M1763" s="1">
        <v>152.8579485676897</v>
      </c>
      <c r="N1763" s="7">
        <v>45947</v>
      </c>
      <c r="O1763" s="1">
        <v>20000</v>
      </c>
      <c r="P1763" s="7">
        <v>46099.857948564822</v>
      </c>
      <c r="Q1763" s="1" t="s">
        <v>330</v>
      </c>
      <c r="T1763" s="1" t="s">
        <v>331</v>
      </c>
      <c r="U1763" s="1" t="s">
        <v>332</v>
      </c>
      <c r="V1763" s="1">
        <v>16</v>
      </c>
      <c r="W1763" s="3">
        <v>3389.9</v>
      </c>
      <c r="X1763" s="3">
        <v>54238.400000000001</v>
      </c>
      <c r="Y1763" s="1" t="str">
        <f>VLOOKUP(A1763,[1]Detalle!$D$2:$CR$484,93,FALSE)</f>
        <v>CMQ_TTE - QUILMES TTE</v>
      </c>
    </row>
    <row r="1764" spans="1:25" ht="14.25" customHeight="1" x14ac:dyDescent="0.3">
      <c r="A1764" s="1" t="s">
        <v>21</v>
      </c>
      <c r="B1764" s="1" t="s">
        <v>400</v>
      </c>
      <c r="C1764" s="1" t="s">
        <v>328</v>
      </c>
      <c r="D1764" s="1" t="s">
        <v>329</v>
      </c>
      <c r="E1764" s="6">
        <v>45652</v>
      </c>
      <c r="F1764" s="1">
        <v>59747.1</v>
      </c>
      <c r="G1764" s="1">
        <v>79747.100000000006</v>
      </c>
      <c r="H1764" s="1">
        <v>13173.82</v>
      </c>
      <c r="I1764" s="1">
        <v>6826.1800000000039</v>
      </c>
      <c r="J1764" s="1">
        <v>72920.92</v>
      </c>
      <c r="K1764" s="1">
        <v>295</v>
      </c>
      <c r="L1764" s="1">
        <v>47.570444444444483</v>
      </c>
      <c r="M1764" s="1">
        <v>152.8579485676897</v>
      </c>
      <c r="N1764" s="7">
        <v>45947</v>
      </c>
      <c r="O1764" s="1">
        <v>20000</v>
      </c>
      <c r="P1764" s="7">
        <v>46099.857948564822</v>
      </c>
      <c r="Q1764" s="1" t="s">
        <v>330</v>
      </c>
      <c r="T1764" s="1" t="s">
        <v>401</v>
      </c>
      <c r="U1764" s="1" t="s">
        <v>402</v>
      </c>
      <c r="V1764" s="1">
        <v>1</v>
      </c>
      <c r="W1764" s="3">
        <v>21189.599999999999</v>
      </c>
      <c r="X1764" s="3">
        <v>21189.599999999999</v>
      </c>
      <c r="Y1764" s="1" t="str">
        <f>VLOOKUP(A1764,[1]Detalle!$D$2:$CR$484,93,FALSE)</f>
        <v>CMQ_TTE - QUILMES TTE</v>
      </c>
    </row>
    <row r="1765" spans="1:25" ht="14.25" customHeight="1" x14ac:dyDescent="0.3">
      <c r="A1765" s="1" t="s">
        <v>92</v>
      </c>
      <c r="B1765" s="1" t="s">
        <v>410</v>
      </c>
      <c r="C1765" s="1" t="s">
        <v>343</v>
      </c>
      <c r="D1765" s="1" t="s">
        <v>344</v>
      </c>
      <c r="E1765" s="1" t="s">
        <v>337</v>
      </c>
      <c r="L1765" s="1">
        <v>65.871929260450116</v>
      </c>
      <c r="N1765" s="7">
        <v>45947</v>
      </c>
      <c r="O1765" s="1">
        <v>20000</v>
      </c>
      <c r="P1765" s="7">
        <v>46250.619466203701</v>
      </c>
      <c r="Q1765" s="1" t="s">
        <v>330</v>
      </c>
      <c r="T1765" s="1" t="s">
        <v>411</v>
      </c>
      <c r="U1765" s="1" t="s">
        <v>412</v>
      </c>
      <c r="V1765" s="1">
        <v>1</v>
      </c>
      <c r="W1765" s="3">
        <v>20099.439999999999</v>
      </c>
      <c r="X1765" s="3">
        <v>20099.439999999999</v>
      </c>
      <c r="Y1765" s="1" t="str">
        <f>VLOOKUP(A1765,[1]Detalle!$D$2:$CR$484,93,FALSE)</f>
        <v>Unilever - Unilever de Arg. S.A.</v>
      </c>
    </row>
    <row r="1766" spans="1:25" ht="14.25" customHeight="1" x14ac:dyDescent="0.3">
      <c r="A1766" s="1" t="s">
        <v>92</v>
      </c>
      <c r="B1766" s="1" t="s">
        <v>410</v>
      </c>
      <c r="C1766" s="1" t="s">
        <v>343</v>
      </c>
      <c r="D1766" s="1" t="s">
        <v>344</v>
      </c>
      <c r="E1766" s="1" t="s">
        <v>337</v>
      </c>
      <c r="L1766" s="1">
        <v>65.871929260450116</v>
      </c>
      <c r="N1766" s="7">
        <v>45947</v>
      </c>
      <c r="O1766" s="1">
        <v>20000</v>
      </c>
      <c r="P1766" s="7">
        <v>46250.619466203701</v>
      </c>
      <c r="Q1766" s="1" t="s">
        <v>330</v>
      </c>
      <c r="T1766" s="1" t="s">
        <v>413</v>
      </c>
      <c r="U1766" s="1" t="s">
        <v>414</v>
      </c>
      <c r="V1766" s="1">
        <v>1</v>
      </c>
      <c r="W1766" s="3">
        <v>170000</v>
      </c>
      <c r="X1766" s="3">
        <v>170000</v>
      </c>
      <c r="Y1766" s="1" t="str">
        <f>VLOOKUP(A1766,[1]Detalle!$D$2:$CR$484,93,FALSE)</f>
        <v>Unilever - Unilever de Arg. S.A.</v>
      </c>
    </row>
    <row r="1767" spans="1:25" ht="14.25" customHeight="1" x14ac:dyDescent="0.3">
      <c r="A1767" s="1" t="s">
        <v>91</v>
      </c>
      <c r="B1767" s="1" t="s">
        <v>410</v>
      </c>
      <c r="C1767" s="1" t="s">
        <v>343</v>
      </c>
      <c r="D1767" s="1" t="s">
        <v>344</v>
      </c>
      <c r="E1767" s="1" t="s">
        <v>337</v>
      </c>
      <c r="L1767" s="1">
        <v>61.470550161812312</v>
      </c>
      <c r="N1767" s="7">
        <v>45947</v>
      </c>
      <c r="O1767" s="1">
        <v>20000</v>
      </c>
      <c r="P1767" s="7">
        <v>46272.359053194443</v>
      </c>
      <c r="Q1767" s="1" t="s">
        <v>330</v>
      </c>
      <c r="T1767" s="1" t="s">
        <v>411</v>
      </c>
      <c r="U1767" s="1" t="s">
        <v>412</v>
      </c>
      <c r="V1767" s="1">
        <v>1</v>
      </c>
      <c r="W1767" s="3">
        <v>20099.439999999999</v>
      </c>
      <c r="X1767" s="3">
        <v>20099.439999999999</v>
      </c>
      <c r="Y1767" s="1" t="str">
        <f>VLOOKUP(A1767,[1]Detalle!$D$2:$CR$484,93,FALSE)</f>
        <v>Unilever - Unilever de Arg. S.A.</v>
      </c>
    </row>
    <row r="1768" spans="1:25" ht="14.25" customHeight="1" x14ac:dyDescent="0.3">
      <c r="A1768" s="1" t="s">
        <v>91</v>
      </c>
      <c r="B1768" s="1" t="s">
        <v>410</v>
      </c>
      <c r="C1768" s="1" t="s">
        <v>343</v>
      </c>
      <c r="D1768" s="1" t="s">
        <v>344</v>
      </c>
      <c r="E1768" s="1" t="s">
        <v>337</v>
      </c>
      <c r="L1768" s="1">
        <v>61.470550161812312</v>
      </c>
      <c r="N1768" s="7">
        <v>45947</v>
      </c>
      <c r="O1768" s="1">
        <v>20000</v>
      </c>
      <c r="P1768" s="7">
        <v>46272.359053194443</v>
      </c>
      <c r="Q1768" s="1" t="s">
        <v>330</v>
      </c>
      <c r="T1768" s="1" t="s">
        <v>413</v>
      </c>
      <c r="U1768" s="1" t="s">
        <v>414</v>
      </c>
      <c r="V1768" s="1">
        <v>1</v>
      </c>
      <c r="W1768" s="3">
        <v>170000</v>
      </c>
      <c r="X1768" s="3">
        <v>170000</v>
      </c>
      <c r="Y1768" s="1" t="str">
        <f>VLOOKUP(A1768,[1]Detalle!$D$2:$CR$484,93,FALSE)</f>
        <v>Unilever - Unilever de Arg. S.A.</v>
      </c>
    </row>
    <row r="1769" spans="1:25" ht="14.25" customHeight="1" x14ac:dyDescent="0.3">
      <c r="A1769" s="1" t="s">
        <v>88</v>
      </c>
      <c r="B1769" s="1" t="s">
        <v>410</v>
      </c>
      <c r="C1769" s="1" t="s">
        <v>343</v>
      </c>
      <c r="D1769" s="1" t="s">
        <v>344</v>
      </c>
      <c r="E1769" s="6">
        <v>45603</v>
      </c>
      <c r="F1769" s="1">
        <v>18877</v>
      </c>
      <c r="G1769" s="1">
        <v>38877</v>
      </c>
      <c r="H1769" s="1">
        <v>13183.70000000001</v>
      </c>
      <c r="I1769" s="1">
        <v>6816.299999999992</v>
      </c>
      <c r="J1769" s="1">
        <v>32060.700000000012</v>
      </c>
      <c r="K1769" s="1">
        <v>344</v>
      </c>
      <c r="L1769" s="1">
        <v>37.875645756457558</v>
      </c>
      <c r="M1769" s="1">
        <v>177.856534963629</v>
      </c>
      <c r="N1769" s="7">
        <v>45947</v>
      </c>
      <c r="O1769" s="1">
        <v>20000</v>
      </c>
      <c r="P1769" s="7">
        <v>46124.856534965278</v>
      </c>
      <c r="Q1769" s="1" t="s">
        <v>330</v>
      </c>
      <c r="T1769" s="1" t="s">
        <v>411</v>
      </c>
      <c r="U1769" s="1" t="s">
        <v>412</v>
      </c>
      <c r="V1769" s="1">
        <v>1</v>
      </c>
      <c r="W1769" s="3">
        <v>20099.439999999999</v>
      </c>
      <c r="X1769" s="3">
        <v>20099.439999999999</v>
      </c>
      <c r="Y1769" s="1" t="str">
        <f>VLOOKUP(A1769,[1]Detalle!$D$2:$CR$484,93,FALSE)</f>
        <v>CMQ_TTE - QUILMES TTE</v>
      </c>
    </row>
    <row r="1770" spans="1:25" ht="14.25" customHeight="1" x14ac:dyDescent="0.3">
      <c r="A1770" s="1" t="s">
        <v>88</v>
      </c>
      <c r="B1770" s="1" t="s">
        <v>410</v>
      </c>
      <c r="C1770" s="1" t="s">
        <v>343</v>
      </c>
      <c r="D1770" s="1" t="s">
        <v>344</v>
      </c>
      <c r="E1770" s="6">
        <v>45603</v>
      </c>
      <c r="F1770" s="1">
        <v>18877</v>
      </c>
      <c r="G1770" s="1">
        <v>38877</v>
      </c>
      <c r="H1770" s="1">
        <v>13183.70000000001</v>
      </c>
      <c r="I1770" s="1">
        <v>6816.299999999992</v>
      </c>
      <c r="J1770" s="1">
        <v>32060.700000000012</v>
      </c>
      <c r="K1770" s="1">
        <v>344</v>
      </c>
      <c r="L1770" s="1">
        <v>37.875645756457558</v>
      </c>
      <c r="M1770" s="1">
        <v>177.856534963629</v>
      </c>
      <c r="N1770" s="7">
        <v>45947</v>
      </c>
      <c r="O1770" s="1">
        <v>20000</v>
      </c>
      <c r="P1770" s="7">
        <v>46124.856534965278</v>
      </c>
      <c r="Q1770" s="1" t="s">
        <v>330</v>
      </c>
      <c r="T1770" s="1" t="s">
        <v>413</v>
      </c>
      <c r="U1770" s="1" t="s">
        <v>414</v>
      </c>
      <c r="V1770" s="1">
        <v>1</v>
      </c>
      <c r="W1770" s="3">
        <v>170000</v>
      </c>
      <c r="X1770" s="3">
        <v>170000</v>
      </c>
      <c r="Y1770" s="1" t="str">
        <f>VLOOKUP(A1770,[1]Detalle!$D$2:$CR$484,93,FALSE)</f>
        <v>CMQ_TTE - QUILMES TTE</v>
      </c>
    </row>
    <row r="1771" spans="1:25" ht="14.25" customHeight="1" x14ac:dyDescent="0.3">
      <c r="A1771" s="1" t="s">
        <v>87</v>
      </c>
      <c r="B1771" s="1" t="s">
        <v>410</v>
      </c>
      <c r="C1771" s="1" t="s">
        <v>343</v>
      </c>
      <c r="D1771" s="1" t="s">
        <v>344</v>
      </c>
      <c r="E1771" s="6">
        <v>45905</v>
      </c>
      <c r="F1771" s="1">
        <v>52971.7</v>
      </c>
      <c r="G1771" s="1">
        <v>72971.7</v>
      </c>
      <c r="H1771" s="1">
        <v>0</v>
      </c>
      <c r="I1771" s="1">
        <v>20000</v>
      </c>
      <c r="J1771" s="1">
        <v>52971.7</v>
      </c>
      <c r="K1771" s="1">
        <v>42</v>
      </c>
      <c r="L1771" s="1">
        <v>3.001660516605166</v>
      </c>
      <c r="M1771" s="1">
        <v>200</v>
      </c>
      <c r="N1771" s="7">
        <v>45947</v>
      </c>
      <c r="O1771" s="1">
        <v>20000</v>
      </c>
      <c r="P1771" s="7">
        <v>46147</v>
      </c>
      <c r="Q1771" s="1" t="s">
        <v>330</v>
      </c>
      <c r="T1771" s="1" t="s">
        <v>411</v>
      </c>
      <c r="U1771" s="1" t="s">
        <v>412</v>
      </c>
      <c r="V1771" s="1">
        <v>1</v>
      </c>
      <c r="W1771" s="3">
        <v>20099.439999999999</v>
      </c>
      <c r="X1771" s="3">
        <v>20099.439999999999</v>
      </c>
      <c r="Y1771" s="1" t="str">
        <f>VLOOKUP(A1771,[1]Detalle!$D$2:$CR$484,93,FALSE)</f>
        <v>Arcor S.A.I.C.</v>
      </c>
    </row>
    <row r="1772" spans="1:25" ht="14.25" customHeight="1" x14ac:dyDescent="0.3">
      <c r="A1772" s="1" t="s">
        <v>87</v>
      </c>
      <c r="B1772" s="1" t="s">
        <v>410</v>
      </c>
      <c r="C1772" s="1" t="s">
        <v>343</v>
      </c>
      <c r="D1772" s="1" t="s">
        <v>344</v>
      </c>
      <c r="E1772" s="6">
        <v>45905</v>
      </c>
      <c r="F1772" s="1">
        <v>52971.7</v>
      </c>
      <c r="G1772" s="1">
        <v>72971.7</v>
      </c>
      <c r="H1772" s="1">
        <v>0</v>
      </c>
      <c r="I1772" s="1">
        <v>20000</v>
      </c>
      <c r="J1772" s="1">
        <v>52971.7</v>
      </c>
      <c r="K1772" s="1">
        <v>42</v>
      </c>
      <c r="L1772" s="1">
        <v>3.001660516605166</v>
      </c>
      <c r="M1772" s="1">
        <v>200</v>
      </c>
      <c r="N1772" s="7">
        <v>45947</v>
      </c>
      <c r="O1772" s="1">
        <v>20000</v>
      </c>
      <c r="P1772" s="7">
        <v>46147</v>
      </c>
      <c r="Q1772" s="1" t="s">
        <v>330</v>
      </c>
      <c r="T1772" s="1" t="s">
        <v>413</v>
      </c>
      <c r="U1772" s="1" t="s">
        <v>414</v>
      </c>
      <c r="V1772" s="1">
        <v>1</v>
      </c>
      <c r="W1772" s="3">
        <v>170000</v>
      </c>
      <c r="X1772" s="3">
        <v>170000</v>
      </c>
      <c r="Y1772" s="1" t="str">
        <f>VLOOKUP(A1772,[1]Detalle!$D$2:$CR$484,93,FALSE)</f>
        <v>Arcor S.A.I.C.</v>
      </c>
    </row>
    <row r="1773" spans="1:25" ht="14.25" customHeight="1" x14ac:dyDescent="0.3">
      <c r="A1773" s="1" t="s">
        <v>71</v>
      </c>
      <c r="B1773" s="1" t="s">
        <v>410</v>
      </c>
      <c r="C1773" s="1" t="s">
        <v>343</v>
      </c>
      <c r="D1773" s="1" t="s">
        <v>344</v>
      </c>
      <c r="E1773" s="6">
        <v>45838</v>
      </c>
      <c r="F1773" s="1">
        <v>37932</v>
      </c>
      <c r="G1773" s="1">
        <v>57932</v>
      </c>
      <c r="H1773" s="1">
        <v>4460.9999999999991</v>
      </c>
      <c r="I1773" s="1">
        <v>15539</v>
      </c>
      <c r="J1773" s="1">
        <v>42393</v>
      </c>
      <c r="K1773" s="1">
        <v>109</v>
      </c>
      <c r="L1773" s="1">
        <v>38.195276752767562</v>
      </c>
      <c r="M1773" s="1">
        <v>379.67966823582162</v>
      </c>
      <c r="N1773" s="7">
        <v>45947</v>
      </c>
      <c r="O1773" s="1">
        <v>20000</v>
      </c>
      <c r="P1773" s="7">
        <v>46326.679668240737</v>
      </c>
      <c r="Q1773" s="1" t="s">
        <v>330</v>
      </c>
      <c r="T1773" s="1" t="s">
        <v>411</v>
      </c>
      <c r="U1773" s="1" t="s">
        <v>412</v>
      </c>
      <c r="V1773" s="1">
        <v>1</v>
      </c>
      <c r="W1773" s="3">
        <v>20099.439999999999</v>
      </c>
      <c r="X1773" s="3">
        <v>20099.439999999999</v>
      </c>
      <c r="Y1773" s="1" t="str">
        <f>VLOOKUP(A1773,[1]Detalle!$D$2:$CR$484,93,FALSE)</f>
        <v>CMQ_TTE - QUILMES TTE</v>
      </c>
    </row>
    <row r="1774" spans="1:25" ht="14.25" customHeight="1" x14ac:dyDescent="0.3">
      <c r="A1774" s="1" t="s">
        <v>71</v>
      </c>
      <c r="B1774" s="1" t="s">
        <v>410</v>
      </c>
      <c r="C1774" s="1" t="s">
        <v>343</v>
      </c>
      <c r="D1774" s="1" t="s">
        <v>344</v>
      </c>
      <c r="E1774" s="6">
        <v>45838</v>
      </c>
      <c r="F1774" s="1">
        <v>37932</v>
      </c>
      <c r="G1774" s="1">
        <v>57932</v>
      </c>
      <c r="H1774" s="1">
        <v>4460.9999999999991</v>
      </c>
      <c r="I1774" s="1">
        <v>15539</v>
      </c>
      <c r="J1774" s="1">
        <v>42393</v>
      </c>
      <c r="K1774" s="1">
        <v>109</v>
      </c>
      <c r="L1774" s="1">
        <v>38.195276752767562</v>
      </c>
      <c r="M1774" s="1">
        <v>379.67966823582162</v>
      </c>
      <c r="N1774" s="7">
        <v>45947</v>
      </c>
      <c r="O1774" s="1">
        <v>20000</v>
      </c>
      <c r="P1774" s="7">
        <v>46326.679668240737</v>
      </c>
      <c r="Q1774" s="1" t="s">
        <v>330</v>
      </c>
      <c r="T1774" s="1" t="s">
        <v>413</v>
      </c>
      <c r="U1774" s="1" t="s">
        <v>414</v>
      </c>
      <c r="V1774" s="1">
        <v>1</v>
      </c>
      <c r="W1774" s="3">
        <v>170000</v>
      </c>
      <c r="X1774" s="3">
        <v>170000</v>
      </c>
      <c r="Y1774" s="1" t="str">
        <f>VLOOKUP(A1774,[1]Detalle!$D$2:$CR$484,93,FALSE)</f>
        <v>CMQ_TTE - QUILMES TTE</v>
      </c>
    </row>
    <row r="1775" spans="1:25" ht="14.25" customHeight="1" x14ac:dyDescent="0.3">
      <c r="A1775" s="1" t="s">
        <v>66</v>
      </c>
      <c r="B1775" s="1" t="s">
        <v>410</v>
      </c>
      <c r="C1775" s="1" t="s">
        <v>343</v>
      </c>
      <c r="D1775" s="1" t="s">
        <v>344</v>
      </c>
      <c r="E1775" s="6">
        <v>45586</v>
      </c>
      <c r="F1775" s="1">
        <v>14436</v>
      </c>
      <c r="G1775" s="1">
        <v>34436</v>
      </c>
      <c r="H1775" s="1">
        <v>9131.8000000000029</v>
      </c>
      <c r="I1775" s="1">
        <v>10868.2</v>
      </c>
      <c r="J1775" s="1">
        <v>23567.8</v>
      </c>
      <c r="K1775" s="1">
        <v>361</v>
      </c>
      <c r="L1775" s="1">
        <v>25.02444444444442</v>
      </c>
      <c r="M1775" s="1">
        <v>429.64368470619132</v>
      </c>
      <c r="N1775" s="7">
        <v>45947</v>
      </c>
      <c r="O1775" s="1">
        <v>20000</v>
      </c>
      <c r="P1775" s="7">
        <v>46376.643684710652</v>
      </c>
      <c r="Q1775" s="1" t="s">
        <v>330</v>
      </c>
      <c r="T1775" s="1" t="s">
        <v>411</v>
      </c>
      <c r="U1775" s="1" t="s">
        <v>412</v>
      </c>
      <c r="V1775" s="1">
        <v>1</v>
      </c>
      <c r="W1775" s="3">
        <v>20099.439999999999</v>
      </c>
      <c r="X1775" s="3">
        <v>20099.439999999999</v>
      </c>
      <c r="Y1775" s="1" t="str">
        <f>VLOOKUP(A1775,[1]Detalle!$D$2:$CR$484,93,FALSE)</f>
        <v>CMQ_TTE - QUILMES TTE</v>
      </c>
    </row>
    <row r="1776" spans="1:25" ht="14.25" customHeight="1" x14ac:dyDescent="0.3">
      <c r="A1776" s="1" t="s">
        <v>66</v>
      </c>
      <c r="B1776" s="1" t="s">
        <v>410</v>
      </c>
      <c r="C1776" s="1" t="s">
        <v>343</v>
      </c>
      <c r="D1776" s="1" t="s">
        <v>344</v>
      </c>
      <c r="E1776" s="6">
        <v>45586</v>
      </c>
      <c r="F1776" s="1">
        <v>14436</v>
      </c>
      <c r="G1776" s="1">
        <v>34436</v>
      </c>
      <c r="H1776" s="1">
        <v>9131.8000000000029</v>
      </c>
      <c r="I1776" s="1">
        <v>10868.2</v>
      </c>
      <c r="J1776" s="1">
        <v>23567.8</v>
      </c>
      <c r="K1776" s="1">
        <v>361</v>
      </c>
      <c r="L1776" s="1">
        <v>25.02444444444442</v>
      </c>
      <c r="M1776" s="1">
        <v>429.64368470619132</v>
      </c>
      <c r="N1776" s="7">
        <v>45947</v>
      </c>
      <c r="O1776" s="1">
        <v>20000</v>
      </c>
      <c r="P1776" s="7">
        <v>46376.643684710652</v>
      </c>
      <c r="Q1776" s="1" t="s">
        <v>330</v>
      </c>
      <c r="T1776" s="1" t="s">
        <v>413</v>
      </c>
      <c r="U1776" s="1" t="s">
        <v>414</v>
      </c>
      <c r="V1776" s="1">
        <v>1</v>
      </c>
      <c r="W1776" s="3">
        <v>170000</v>
      </c>
      <c r="X1776" s="3">
        <v>170000</v>
      </c>
      <c r="Y1776" s="1" t="str">
        <f>VLOOKUP(A1776,[1]Detalle!$D$2:$CR$484,93,FALSE)</f>
        <v>CMQ_TTE - QUILMES TTE</v>
      </c>
    </row>
    <row r="1777" spans="1:25" ht="14.25" customHeight="1" x14ac:dyDescent="0.3">
      <c r="A1777" s="1" t="s">
        <v>46</v>
      </c>
      <c r="B1777" s="1" t="s">
        <v>410</v>
      </c>
      <c r="C1777" s="1" t="s">
        <v>343</v>
      </c>
      <c r="D1777" s="1" t="s">
        <v>344</v>
      </c>
      <c r="E1777" s="6">
        <v>45433</v>
      </c>
      <c r="F1777" s="1">
        <v>42190.455000000002</v>
      </c>
      <c r="G1777" s="1">
        <v>62190.455000000002</v>
      </c>
      <c r="H1777" s="1">
        <v>27560.459999999988</v>
      </c>
      <c r="I1777" s="1">
        <v>-7560.4599999999882</v>
      </c>
      <c r="J1777" s="1">
        <v>69750.914999999994</v>
      </c>
      <c r="K1777" s="1">
        <v>514</v>
      </c>
      <c r="L1777" s="1">
        <v>50.965294117647097</v>
      </c>
      <c r="M1777" s="1">
        <v>-141.00187152173791</v>
      </c>
      <c r="N1777" s="7">
        <v>45947</v>
      </c>
      <c r="O1777" s="1">
        <v>20000</v>
      </c>
      <c r="P1777" s="7">
        <v>46339.423910162041</v>
      </c>
      <c r="Q1777" s="1" t="s">
        <v>330</v>
      </c>
      <c r="T1777" s="1" t="s">
        <v>411</v>
      </c>
      <c r="U1777" s="1" t="s">
        <v>412</v>
      </c>
      <c r="V1777" s="1">
        <v>1</v>
      </c>
      <c r="W1777" s="3">
        <v>20099.439999999999</v>
      </c>
      <c r="X1777" s="3">
        <v>20099.439999999999</v>
      </c>
      <c r="Y1777" s="1" t="str">
        <f>VLOOKUP(A1777,[1]Detalle!$D$2:$CR$484,93,FALSE)</f>
        <v>CMQ_TTE - QUILMES TTE</v>
      </c>
    </row>
    <row r="1778" spans="1:25" ht="14.25" customHeight="1" x14ac:dyDescent="0.3">
      <c r="A1778" s="1" t="s">
        <v>46</v>
      </c>
      <c r="B1778" s="1" t="s">
        <v>410</v>
      </c>
      <c r="C1778" s="1" t="s">
        <v>343</v>
      </c>
      <c r="D1778" s="1" t="s">
        <v>344</v>
      </c>
      <c r="E1778" s="6">
        <v>45433</v>
      </c>
      <c r="F1778" s="1">
        <v>42190.455000000002</v>
      </c>
      <c r="G1778" s="1">
        <v>62190.455000000002</v>
      </c>
      <c r="H1778" s="1">
        <v>27560.459999999988</v>
      </c>
      <c r="I1778" s="1">
        <v>-7560.4599999999882</v>
      </c>
      <c r="J1778" s="1">
        <v>69750.914999999994</v>
      </c>
      <c r="K1778" s="1">
        <v>514</v>
      </c>
      <c r="L1778" s="1">
        <v>50.965294117647097</v>
      </c>
      <c r="M1778" s="1">
        <v>-141.00187152173791</v>
      </c>
      <c r="N1778" s="7">
        <v>45947</v>
      </c>
      <c r="O1778" s="1">
        <v>20000</v>
      </c>
      <c r="P1778" s="7">
        <v>46339.423910162041</v>
      </c>
      <c r="Q1778" s="1" t="s">
        <v>330</v>
      </c>
      <c r="T1778" s="1" t="s">
        <v>413</v>
      </c>
      <c r="U1778" s="1" t="s">
        <v>414</v>
      </c>
      <c r="V1778" s="1">
        <v>1</v>
      </c>
      <c r="W1778" s="3">
        <v>170000</v>
      </c>
      <c r="X1778" s="3">
        <v>170000</v>
      </c>
      <c r="Y1778" s="1" t="str">
        <f>VLOOKUP(A1778,[1]Detalle!$D$2:$CR$484,93,FALSE)</f>
        <v>CMQ_TTE - QUILMES TTE</v>
      </c>
    </row>
    <row r="1779" spans="1:25" ht="14.25" customHeight="1" x14ac:dyDescent="0.3">
      <c r="A1779" s="1" t="s">
        <v>44</v>
      </c>
      <c r="B1779" s="1" t="s">
        <v>410</v>
      </c>
      <c r="C1779" s="1" t="s">
        <v>343</v>
      </c>
      <c r="D1779" s="1" t="s">
        <v>344</v>
      </c>
      <c r="E1779" s="6">
        <v>45849</v>
      </c>
      <c r="F1779" s="1">
        <v>54917</v>
      </c>
      <c r="G1779" s="1">
        <v>74917</v>
      </c>
      <c r="H1779" s="1">
        <v>4571.7000000000007</v>
      </c>
      <c r="I1779" s="1">
        <v>15428.3</v>
      </c>
      <c r="J1779" s="1">
        <v>59488.7</v>
      </c>
      <c r="K1779" s="1">
        <v>98</v>
      </c>
      <c r="L1779" s="1">
        <v>49.3882592592593</v>
      </c>
      <c r="M1779" s="1">
        <v>330.72454448017152</v>
      </c>
      <c r="N1779" s="7">
        <v>45947</v>
      </c>
      <c r="O1779" s="1">
        <v>20000</v>
      </c>
      <c r="P1779" s="7">
        <v>46277.72454447917</v>
      </c>
      <c r="Q1779" s="1" t="s">
        <v>330</v>
      </c>
      <c r="T1779" s="1" t="s">
        <v>411</v>
      </c>
      <c r="U1779" s="1" t="s">
        <v>412</v>
      </c>
      <c r="V1779" s="1">
        <v>1</v>
      </c>
      <c r="W1779" s="3">
        <v>20099.439999999999</v>
      </c>
      <c r="X1779" s="3">
        <v>20099.439999999999</v>
      </c>
      <c r="Y1779" s="1" t="str">
        <f>VLOOKUP(A1779,[1]Detalle!$D$2:$CR$484,93,FALSE)</f>
        <v>CMQ_TTE - QUILMES TTE</v>
      </c>
    </row>
    <row r="1780" spans="1:25" ht="14.25" customHeight="1" x14ac:dyDescent="0.3">
      <c r="A1780" s="1" t="s">
        <v>44</v>
      </c>
      <c r="B1780" s="1" t="s">
        <v>410</v>
      </c>
      <c r="C1780" s="1" t="s">
        <v>343</v>
      </c>
      <c r="D1780" s="1" t="s">
        <v>344</v>
      </c>
      <c r="E1780" s="6">
        <v>45849</v>
      </c>
      <c r="F1780" s="1">
        <v>54917</v>
      </c>
      <c r="G1780" s="1">
        <v>74917</v>
      </c>
      <c r="H1780" s="1">
        <v>4571.7000000000007</v>
      </c>
      <c r="I1780" s="1">
        <v>15428.3</v>
      </c>
      <c r="J1780" s="1">
        <v>59488.7</v>
      </c>
      <c r="K1780" s="1">
        <v>98</v>
      </c>
      <c r="L1780" s="1">
        <v>49.3882592592593</v>
      </c>
      <c r="M1780" s="1">
        <v>330.72454448017152</v>
      </c>
      <c r="N1780" s="7">
        <v>45947</v>
      </c>
      <c r="O1780" s="1">
        <v>20000</v>
      </c>
      <c r="P1780" s="7">
        <v>46277.72454447917</v>
      </c>
      <c r="Q1780" s="1" t="s">
        <v>330</v>
      </c>
      <c r="T1780" s="1" t="s">
        <v>413</v>
      </c>
      <c r="U1780" s="1" t="s">
        <v>414</v>
      </c>
      <c r="V1780" s="1">
        <v>1</v>
      </c>
      <c r="W1780" s="3">
        <v>170000</v>
      </c>
      <c r="X1780" s="3">
        <v>170000</v>
      </c>
      <c r="Y1780" s="1" t="str">
        <f>VLOOKUP(A1780,[1]Detalle!$D$2:$CR$484,93,FALSE)</f>
        <v>CMQ_TTE - QUILMES TTE</v>
      </c>
    </row>
    <row r="1781" spans="1:25" ht="14.25" customHeight="1" x14ac:dyDescent="0.3">
      <c r="A1781" s="1" t="s">
        <v>43</v>
      </c>
      <c r="B1781" s="1" t="s">
        <v>410</v>
      </c>
      <c r="C1781" s="1" t="s">
        <v>343</v>
      </c>
      <c r="D1781" s="1" t="s">
        <v>344</v>
      </c>
      <c r="E1781" s="6">
        <v>45352</v>
      </c>
      <c r="F1781" s="1">
        <v>43619</v>
      </c>
      <c r="G1781" s="1">
        <v>63619</v>
      </c>
      <c r="H1781" s="1">
        <v>32217.59</v>
      </c>
      <c r="I1781" s="1">
        <v>-12217.59</v>
      </c>
      <c r="J1781" s="1">
        <v>75836.59</v>
      </c>
      <c r="K1781" s="1">
        <v>595</v>
      </c>
      <c r="L1781" s="1">
        <v>51.939962962962959</v>
      </c>
      <c r="M1781" s="1">
        <v>-225.63655599317011</v>
      </c>
      <c r="N1781" s="7">
        <v>45947</v>
      </c>
      <c r="O1781" s="1">
        <v>20000</v>
      </c>
      <c r="P1781" s="7">
        <v>46332.059958831022</v>
      </c>
      <c r="Q1781" s="1" t="s">
        <v>330</v>
      </c>
      <c r="T1781" s="1" t="s">
        <v>411</v>
      </c>
      <c r="U1781" s="1" t="s">
        <v>412</v>
      </c>
      <c r="V1781" s="1">
        <v>1</v>
      </c>
      <c r="W1781" s="3">
        <v>20099.439999999999</v>
      </c>
      <c r="X1781" s="3">
        <v>20099.439999999999</v>
      </c>
      <c r="Y1781" s="1" t="str">
        <f>VLOOKUP(A1781,[1]Detalle!$D$2:$CR$484,93,FALSE)</f>
        <v>CMQ_TTE - QUILMES TTE</v>
      </c>
    </row>
    <row r="1782" spans="1:25" ht="14.25" customHeight="1" x14ac:dyDescent="0.3">
      <c r="A1782" s="1" t="s">
        <v>43</v>
      </c>
      <c r="B1782" s="1" t="s">
        <v>410</v>
      </c>
      <c r="C1782" s="1" t="s">
        <v>343</v>
      </c>
      <c r="D1782" s="1" t="s">
        <v>344</v>
      </c>
      <c r="E1782" s="6">
        <v>45352</v>
      </c>
      <c r="F1782" s="1">
        <v>43619</v>
      </c>
      <c r="G1782" s="1">
        <v>63619</v>
      </c>
      <c r="H1782" s="1">
        <v>32217.59</v>
      </c>
      <c r="I1782" s="1">
        <v>-12217.59</v>
      </c>
      <c r="J1782" s="1">
        <v>75836.59</v>
      </c>
      <c r="K1782" s="1">
        <v>595</v>
      </c>
      <c r="L1782" s="1">
        <v>51.939962962962959</v>
      </c>
      <c r="M1782" s="1">
        <v>-225.63655599317011</v>
      </c>
      <c r="N1782" s="7">
        <v>45947</v>
      </c>
      <c r="O1782" s="1">
        <v>20000</v>
      </c>
      <c r="P1782" s="7">
        <v>46332.059958831022</v>
      </c>
      <c r="Q1782" s="1" t="s">
        <v>330</v>
      </c>
      <c r="T1782" s="1" t="s">
        <v>413</v>
      </c>
      <c r="U1782" s="1" t="s">
        <v>414</v>
      </c>
      <c r="V1782" s="1">
        <v>1</v>
      </c>
      <c r="W1782" s="3">
        <v>170000</v>
      </c>
      <c r="X1782" s="3">
        <v>170000</v>
      </c>
      <c r="Y1782" s="1" t="str">
        <f>VLOOKUP(A1782,[1]Detalle!$D$2:$CR$484,93,FALSE)</f>
        <v>CMQ_TTE - QUILMES TTE</v>
      </c>
    </row>
    <row r="1783" spans="1:25" ht="14.25" customHeight="1" x14ac:dyDescent="0.3">
      <c r="A1783" s="1" t="s">
        <v>24</v>
      </c>
      <c r="B1783" s="1" t="s">
        <v>410</v>
      </c>
      <c r="C1783" s="1" t="s">
        <v>343</v>
      </c>
      <c r="D1783" s="1" t="s">
        <v>344</v>
      </c>
      <c r="E1783" s="6">
        <v>45827</v>
      </c>
      <c r="F1783" s="1">
        <v>70636</v>
      </c>
      <c r="G1783" s="1">
        <v>90636</v>
      </c>
      <c r="H1783" s="1">
        <v>4770.7000000000007</v>
      </c>
      <c r="I1783" s="1">
        <v>15229.3</v>
      </c>
      <c r="J1783" s="1">
        <v>75406.7</v>
      </c>
      <c r="K1783" s="1">
        <v>120</v>
      </c>
      <c r="L1783" s="1">
        <v>48.072185185185191</v>
      </c>
      <c r="M1783" s="1">
        <v>383.07082818035082</v>
      </c>
      <c r="N1783" s="7">
        <v>45947</v>
      </c>
      <c r="O1783" s="1">
        <v>20000</v>
      </c>
      <c r="P1783" s="7">
        <v>46330.07082818287</v>
      </c>
      <c r="Q1783" s="1" t="s">
        <v>330</v>
      </c>
      <c r="T1783" s="1" t="s">
        <v>411</v>
      </c>
      <c r="U1783" s="1" t="s">
        <v>412</v>
      </c>
      <c r="V1783" s="1">
        <v>1</v>
      </c>
      <c r="W1783" s="3">
        <v>20099.439999999999</v>
      </c>
      <c r="X1783" s="3">
        <v>20099.439999999999</v>
      </c>
      <c r="Y1783" s="1" t="str">
        <f>VLOOKUP(A1783,[1]Detalle!$D$2:$CR$484,93,FALSE)</f>
        <v>CMQ_TTE - QUILMES TTE</v>
      </c>
    </row>
    <row r="1784" spans="1:25" ht="14.25" customHeight="1" x14ac:dyDescent="0.3">
      <c r="A1784" s="1" t="s">
        <v>24</v>
      </c>
      <c r="B1784" s="1" t="s">
        <v>410</v>
      </c>
      <c r="C1784" s="1" t="s">
        <v>343</v>
      </c>
      <c r="D1784" s="1" t="s">
        <v>344</v>
      </c>
      <c r="E1784" s="6">
        <v>45827</v>
      </c>
      <c r="F1784" s="1">
        <v>70636</v>
      </c>
      <c r="G1784" s="1">
        <v>90636</v>
      </c>
      <c r="H1784" s="1">
        <v>4770.7000000000007</v>
      </c>
      <c r="I1784" s="1">
        <v>15229.3</v>
      </c>
      <c r="J1784" s="1">
        <v>75406.7</v>
      </c>
      <c r="K1784" s="1">
        <v>120</v>
      </c>
      <c r="L1784" s="1">
        <v>48.072185185185191</v>
      </c>
      <c r="M1784" s="1">
        <v>383.07082818035082</v>
      </c>
      <c r="N1784" s="7">
        <v>45947</v>
      </c>
      <c r="O1784" s="1">
        <v>20000</v>
      </c>
      <c r="P1784" s="7">
        <v>46330.07082818287</v>
      </c>
      <c r="Q1784" s="1" t="s">
        <v>330</v>
      </c>
      <c r="T1784" s="1" t="s">
        <v>413</v>
      </c>
      <c r="U1784" s="1" t="s">
        <v>414</v>
      </c>
      <c r="V1784" s="1">
        <v>1</v>
      </c>
      <c r="W1784" s="3">
        <v>170000</v>
      </c>
      <c r="X1784" s="3">
        <v>170000</v>
      </c>
      <c r="Y1784" s="1" t="str">
        <f>VLOOKUP(A1784,[1]Detalle!$D$2:$CR$484,93,FALSE)</f>
        <v>CMQ_TTE - QUILMES TTE</v>
      </c>
    </row>
    <row r="1785" spans="1:25" ht="14.25" customHeight="1" x14ac:dyDescent="0.3">
      <c r="A1785" s="1" t="s">
        <v>22</v>
      </c>
      <c r="B1785" s="1" t="s">
        <v>410</v>
      </c>
      <c r="C1785" s="1" t="s">
        <v>343</v>
      </c>
      <c r="D1785" s="1" t="s">
        <v>344</v>
      </c>
      <c r="E1785" s="6">
        <v>45775</v>
      </c>
      <c r="F1785" s="1">
        <v>62968.800000000003</v>
      </c>
      <c r="G1785" s="1">
        <v>82968.800000000003</v>
      </c>
      <c r="H1785" s="1">
        <v>7493.2</v>
      </c>
      <c r="I1785" s="1">
        <v>12506.8</v>
      </c>
      <c r="J1785" s="1">
        <v>70462</v>
      </c>
      <c r="K1785" s="1">
        <v>172</v>
      </c>
      <c r="L1785" s="1">
        <v>48.161180811808123</v>
      </c>
      <c r="M1785" s="1">
        <v>287.08290183099342</v>
      </c>
      <c r="N1785" s="7">
        <v>45947</v>
      </c>
      <c r="O1785" s="1">
        <v>20000</v>
      </c>
      <c r="P1785" s="7">
        <v>46234.082901828697</v>
      </c>
      <c r="Q1785" s="1" t="s">
        <v>330</v>
      </c>
      <c r="T1785" s="1" t="s">
        <v>411</v>
      </c>
      <c r="U1785" s="1" t="s">
        <v>412</v>
      </c>
      <c r="V1785" s="1">
        <v>1</v>
      </c>
      <c r="W1785" s="3">
        <v>20099.439999999999</v>
      </c>
      <c r="X1785" s="3">
        <v>20099.439999999999</v>
      </c>
      <c r="Y1785" s="1" t="str">
        <f>VLOOKUP(A1785,[1]Detalle!$D$2:$CR$484,93,FALSE)</f>
        <v>CMQ_TTE - QUILMES TTE</v>
      </c>
    </row>
    <row r="1786" spans="1:25" ht="14.25" customHeight="1" x14ac:dyDescent="0.3">
      <c r="A1786" s="1" t="s">
        <v>22</v>
      </c>
      <c r="B1786" s="1" t="s">
        <v>410</v>
      </c>
      <c r="C1786" s="1" t="s">
        <v>343</v>
      </c>
      <c r="D1786" s="1" t="s">
        <v>344</v>
      </c>
      <c r="E1786" s="6">
        <v>45775</v>
      </c>
      <c r="F1786" s="1">
        <v>62968.800000000003</v>
      </c>
      <c r="G1786" s="1">
        <v>82968.800000000003</v>
      </c>
      <c r="H1786" s="1">
        <v>7493.2</v>
      </c>
      <c r="I1786" s="1">
        <v>12506.8</v>
      </c>
      <c r="J1786" s="1">
        <v>70462</v>
      </c>
      <c r="K1786" s="1">
        <v>172</v>
      </c>
      <c r="L1786" s="1">
        <v>48.161180811808123</v>
      </c>
      <c r="M1786" s="1">
        <v>287.08290183099342</v>
      </c>
      <c r="N1786" s="7">
        <v>45947</v>
      </c>
      <c r="O1786" s="1">
        <v>20000</v>
      </c>
      <c r="P1786" s="7">
        <v>46234.082901828697</v>
      </c>
      <c r="Q1786" s="1" t="s">
        <v>330</v>
      </c>
      <c r="T1786" s="1" t="s">
        <v>413</v>
      </c>
      <c r="U1786" s="1" t="s">
        <v>414</v>
      </c>
      <c r="V1786" s="1">
        <v>1</v>
      </c>
      <c r="W1786" s="3">
        <v>170000</v>
      </c>
      <c r="X1786" s="3">
        <v>170000</v>
      </c>
      <c r="Y1786" s="1" t="str">
        <f>VLOOKUP(A1786,[1]Detalle!$D$2:$CR$484,93,FALSE)</f>
        <v>CMQ_TTE - QUILMES TTE</v>
      </c>
    </row>
    <row r="1787" spans="1:25" ht="14.25" customHeight="1" x14ac:dyDescent="0.3">
      <c r="A1787" s="1" t="s">
        <v>21</v>
      </c>
      <c r="B1787" s="1" t="s">
        <v>410</v>
      </c>
      <c r="C1787" s="1" t="s">
        <v>343</v>
      </c>
      <c r="D1787" s="1" t="s">
        <v>344</v>
      </c>
      <c r="E1787" s="6">
        <v>45652</v>
      </c>
      <c r="F1787" s="1">
        <v>59747.1</v>
      </c>
      <c r="G1787" s="1">
        <v>79747.100000000006</v>
      </c>
      <c r="H1787" s="1">
        <v>13173.82</v>
      </c>
      <c r="I1787" s="1">
        <v>6826.1800000000039</v>
      </c>
      <c r="J1787" s="1">
        <v>72920.92</v>
      </c>
      <c r="K1787" s="1">
        <v>295</v>
      </c>
      <c r="L1787" s="1">
        <v>47.570444444444483</v>
      </c>
      <c r="M1787" s="1">
        <v>152.8579485676897</v>
      </c>
      <c r="N1787" s="7">
        <v>45947</v>
      </c>
      <c r="O1787" s="1">
        <v>20000</v>
      </c>
      <c r="P1787" s="7">
        <v>46099.857948564822</v>
      </c>
      <c r="Q1787" s="1" t="s">
        <v>330</v>
      </c>
      <c r="T1787" s="1" t="s">
        <v>411</v>
      </c>
      <c r="U1787" s="1" t="s">
        <v>412</v>
      </c>
      <c r="V1787" s="1">
        <v>1</v>
      </c>
      <c r="W1787" s="3">
        <v>20099.439999999999</v>
      </c>
      <c r="X1787" s="3">
        <v>20099.439999999999</v>
      </c>
      <c r="Y1787" s="1" t="str">
        <f>VLOOKUP(A1787,[1]Detalle!$D$2:$CR$484,93,FALSE)</f>
        <v>CMQ_TTE - QUILMES TTE</v>
      </c>
    </row>
    <row r="1788" spans="1:25" ht="14.25" customHeight="1" x14ac:dyDescent="0.3">
      <c r="A1788" s="1" t="s">
        <v>21</v>
      </c>
      <c r="B1788" s="1" t="s">
        <v>410</v>
      </c>
      <c r="C1788" s="1" t="s">
        <v>343</v>
      </c>
      <c r="D1788" s="1" t="s">
        <v>344</v>
      </c>
      <c r="E1788" s="6">
        <v>45652</v>
      </c>
      <c r="F1788" s="1">
        <v>59747.1</v>
      </c>
      <c r="G1788" s="1">
        <v>79747.100000000006</v>
      </c>
      <c r="H1788" s="1">
        <v>13173.82</v>
      </c>
      <c r="I1788" s="1">
        <v>6826.1800000000039</v>
      </c>
      <c r="J1788" s="1">
        <v>72920.92</v>
      </c>
      <c r="K1788" s="1">
        <v>295</v>
      </c>
      <c r="L1788" s="1">
        <v>47.570444444444483</v>
      </c>
      <c r="M1788" s="1">
        <v>152.8579485676897</v>
      </c>
      <c r="N1788" s="7">
        <v>45947</v>
      </c>
      <c r="O1788" s="1">
        <v>20000</v>
      </c>
      <c r="P1788" s="7">
        <v>46099.857948564822</v>
      </c>
      <c r="Q1788" s="1" t="s">
        <v>330</v>
      </c>
      <c r="T1788" s="1" t="s">
        <v>413</v>
      </c>
      <c r="U1788" s="1" t="s">
        <v>414</v>
      </c>
      <c r="V1788" s="1">
        <v>1</v>
      </c>
      <c r="W1788" s="3">
        <v>170000</v>
      </c>
      <c r="X1788" s="3">
        <v>170000</v>
      </c>
      <c r="Y1788" s="1" t="str">
        <f>VLOOKUP(A1788,[1]Detalle!$D$2:$CR$484,93,FALSE)</f>
        <v>CMQ_TTE - QUILMES TTE</v>
      </c>
    </row>
    <row r="1789" spans="1:25" ht="14.25" customHeight="1" x14ac:dyDescent="0.3">
      <c r="A1789" s="1" t="s">
        <v>164</v>
      </c>
      <c r="B1789" s="1" t="s">
        <v>415</v>
      </c>
      <c r="C1789" s="1" t="s">
        <v>415</v>
      </c>
      <c r="D1789" s="1" t="s">
        <v>366</v>
      </c>
      <c r="E1789" s="6">
        <v>45378</v>
      </c>
      <c r="F1789" s="1">
        <v>202420</v>
      </c>
      <c r="G1789" s="1">
        <v>222420</v>
      </c>
      <c r="H1789" s="1">
        <v>36588.559999999939</v>
      </c>
      <c r="I1789" s="1">
        <v>-16588.559999999939</v>
      </c>
      <c r="J1789" s="1">
        <v>239008.55999999991</v>
      </c>
      <c r="K1789" s="1">
        <v>569</v>
      </c>
      <c r="L1789" s="1">
        <v>69.022379421221856</v>
      </c>
      <c r="M1789" s="1">
        <v>-257.97382132557232</v>
      </c>
      <c r="N1789" s="7">
        <v>45947</v>
      </c>
      <c r="O1789" s="1">
        <v>20000</v>
      </c>
      <c r="P1789" s="7">
        <v>46236.7610915162</v>
      </c>
      <c r="Q1789" s="1" t="s">
        <v>330</v>
      </c>
      <c r="T1789" s="1" t="s">
        <v>416</v>
      </c>
      <c r="U1789" s="1" t="s">
        <v>417</v>
      </c>
      <c r="V1789" s="1">
        <v>1</v>
      </c>
      <c r="W1789" s="3">
        <v>37165.919999999998</v>
      </c>
      <c r="X1789" s="3">
        <v>37165.919999999998</v>
      </c>
      <c r="Y1789" s="1" t="str">
        <f>VLOOKUP(A1789,[1]Detalle!$D$2:$CR$484,93,FALSE)</f>
        <v>SUC_MEN - Sucursal Mendoza</v>
      </c>
    </row>
    <row r="1790" spans="1:25" ht="14.25" customHeight="1" x14ac:dyDescent="0.3">
      <c r="A1790" s="1" t="s">
        <v>111</v>
      </c>
      <c r="B1790" s="1" t="s">
        <v>415</v>
      </c>
      <c r="C1790" s="1" t="s">
        <v>415</v>
      </c>
      <c r="D1790" s="1" t="s">
        <v>366</v>
      </c>
      <c r="E1790" s="6">
        <v>45632</v>
      </c>
      <c r="F1790" s="1">
        <v>16040</v>
      </c>
      <c r="G1790" s="1">
        <v>36040</v>
      </c>
      <c r="H1790" s="1">
        <v>34694.100000000013</v>
      </c>
      <c r="I1790" s="1">
        <v>-14694.100000000009</v>
      </c>
      <c r="J1790" s="1">
        <v>50734.100000000013</v>
      </c>
      <c r="K1790" s="1">
        <v>315</v>
      </c>
      <c r="L1790" s="1">
        <v>104.473717948718</v>
      </c>
      <c r="M1790" s="1">
        <v>-133.41292899945529</v>
      </c>
      <c r="N1790" s="7">
        <v>45947</v>
      </c>
      <c r="O1790" s="1">
        <v>20000</v>
      </c>
      <c r="P1790" s="7">
        <v>46138.435706435193</v>
      </c>
      <c r="Q1790" s="1" t="s">
        <v>330</v>
      </c>
      <c r="T1790" s="1" t="s">
        <v>416</v>
      </c>
      <c r="U1790" s="1" t="s">
        <v>417</v>
      </c>
      <c r="V1790" s="1">
        <v>1</v>
      </c>
      <c r="W1790" s="3">
        <v>37165.919999999998</v>
      </c>
      <c r="X1790" s="3">
        <v>37165.919999999998</v>
      </c>
      <c r="Y1790" s="1" t="str">
        <f>VLOOKUP(A1790,[1]Detalle!$D$2:$CR$484,93,FALSE)</f>
        <v>SUC_MEN - Sucursal Mendoza</v>
      </c>
    </row>
    <row r="1791" spans="1:25" ht="14.25" customHeight="1" x14ac:dyDescent="0.3">
      <c r="A1791" s="1" t="s">
        <v>108</v>
      </c>
      <c r="B1791" s="1" t="s">
        <v>415</v>
      </c>
      <c r="C1791" s="1" t="s">
        <v>415</v>
      </c>
      <c r="D1791" s="1" t="s">
        <v>366</v>
      </c>
      <c r="E1791" s="6">
        <v>45798</v>
      </c>
      <c r="F1791" s="1">
        <v>32992.1</v>
      </c>
      <c r="G1791" s="1">
        <v>52992.1</v>
      </c>
      <c r="H1791" s="1">
        <v>9749.2999999999993</v>
      </c>
      <c r="I1791" s="1">
        <v>10250.700000000001</v>
      </c>
      <c r="J1791" s="1">
        <v>42741.399999999987</v>
      </c>
      <c r="K1791" s="1">
        <v>149</v>
      </c>
      <c r="L1791" s="1">
        <v>52.850396039603943</v>
      </c>
      <c r="M1791" s="1">
        <v>156.6629706748177</v>
      </c>
      <c r="N1791" s="7">
        <v>45947</v>
      </c>
      <c r="O1791" s="1">
        <v>20000</v>
      </c>
      <c r="P1791" s="7">
        <v>46103.662970671299</v>
      </c>
      <c r="Q1791" s="1" t="s">
        <v>330</v>
      </c>
      <c r="T1791" s="1" t="s">
        <v>416</v>
      </c>
      <c r="U1791" s="1" t="s">
        <v>417</v>
      </c>
      <c r="V1791" s="1">
        <v>1</v>
      </c>
      <c r="W1791" s="3">
        <v>37165.919999999998</v>
      </c>
      <c r="X1791" s="3">
        <v>37165.919999999998</v>
      </c>
      <c r="Y1791" s="1" t="str">
        <f>VLOOKUP(A1791,[1]Detalle!$D$2:$CR$484,93,FALSE)</f>
        <v>JOHNSON - SC JOHNSON DE ARGENTINA SAIC</v>
      </c>
    </row>
    <row r="1792" spans="1:25" ht="14.25" customHeight="1" x14ac:dyDescent="0.3">
      <c r="A1792" s="1" t="s">
        <v>106</v>
      </c>
      <c r="B1792" s="1" t="s">
        <v>415</v>
      </c>
      <c r="C1792" s="1" t="s">
        <v>415</v>
      </c>
      <c r="D1792" s="1" t="s">
        <v>366</v>
      </c>
      <c r="E1792" s="6">
        <v>45530</v>
      </c>
      <c r="F1792" s="1">
        <v>297464</v>
      </c>
      <c r="G1792" s="1">
        <v>317464</v>
      </c>
      <c r="H1792" s="1">
        <v>23030.169999999991</v>
      </c>
      <c r="I1792" s="1">
        <v>-3030.1699999999951</v>
      </c>
      <c r="J1792" s="1">
        <v>320494.17</v>
      </c>
      <c r="K1792" s="1">
        <v>417</v>
      </c>
      <c r="L1792" s="1">
        <v>48.157370129870131</v>
      </c>
      <c r="M1792" s="1">
        <v>-54.866329254191257</v>
      </c>
      <c r="N1792" s="7">
        <v>45947</v>
      </c>
      <c r="O1792" s="1">
        <v>20000</v>
      </c>
      <c r="P1792" s="7">
        <v>46362.305070567127</v>
      </c>
      <c r="Q1792" s="1" t="s">
        <v>330</v>
      </c>
      <c r="T1792" s="1" t="s">
        <v>416</v>
      </c>
      <c r="U1792" s="1" t="s">
        <v>417</v>
      </c>
      <c r="V1792" s="1">
        <v>1</v>
      </c>
      <c r="W1792" s="3">
        <v>37165.919999999998</v>
      </c>
      <c r="X1792" s="3">
        <v>37165.919999999998</v>
      </c>
      <c r="Y1792" s="1" t="str">
        <f>VLOOKUP(A1792,[1]Detalle!$D$2:$CR$484,93,FALSE)</f>
        <v>Unilever - Unilever de Arg. S.A.</v>
      </c>
    </row>
    <row r="1793" spans="1:25" ht="14.25" customHeight="1" x14ac:dyDescent="0.3">
      <c r="A1793" s="1" t="s">
        <v>109</v>
      </c>
      <c r="B1793" s="1" t="s">
        <v>415</v>
      </c>
      <c r="C1793" s="1" t="s">
        <v>415</v>
      </c>
      <c r="D1793" s="1" t="s">
        <v>366</v>
      </c>
      <c r="E1793" s="6">
        <v>45841</v>
      </c>
      <c r="F1793" s="1">
        <v>16065.4</v>
      </c>
      <c r="G1793" s="1">
        <v>36065.4</v>
      </c>
      <c r="H1793" s="1">
        <v>5233.4000000000005</v>
      </c>
      <c r="I1793" s="1">
        <v>14766.6</v>
      </c>
      <c r="J1793" s="1">
        <v>21298.799999999999</v>
      </c>
      <c r="K1793" s="1">
        <v>106</v>
      </c>
      <c r="L1793" s="1">
        <v>61.480495049504917</v>
      </c>
      <c r="M1793" s="1">
        <v>299.09038101425449</v>
      </c>
      <c r="N1793" s="7">
        <v>45947</v>
      </c>
      <c r="O1793" s="1">
        <v>20000</v>
      </c>
      <c r="P1793" s="7">
        <v>46246.090381018519</v>
      </c>
      <c r="Q1793" s="1" t="s">
        <v>330</v>
      </c>
      <c r="T1793" s="1" t="s">
        <v>416</v>
      </c>
      <c r="U1793" s="1" t="s">
        <v>417</v>
      </c>
      <c r="V1793" s="1">
        <v>1</v>
      </c>
      <c r="W1793" s="3">
        <v>37165.919999999998</v>
      </c>
      <c r="X1793" s="3">
        <v>37165.919999999998</v>
      </c>
      <c r="Y1793" s="1" t="str">
        <f>VLOOKUP(A1793,[1]Detalle!$D$2:$CR$484,93,FALSE)</f>
        <v>JOHNSON - SC JOHNSON DE ARGENTINA SAIC</v>
      </c>
    </row>
    <row r="1794" spans="1:25" ht="14.25" customHeight="1" x14ac:dyDescent="0.3">
      <c r="A1794" s="1" t="s">
        <v>120</v>
      </c>
      <c r="B1794" s="1" t="s">
        <v>415</v>
      </c>
      <c r="C1794" s="1" t="s">
        <v>415</v>
      </c>
      <c r="D1794" s="1" t="s">
        <v>366</v>
      </c>
      <c r="E1794" s="6">
        <v>45617</v>
      </c>
      <c r="F1794" s="1">
        <v>17571.7</v>
      </c>
      <c r="G1794" s="1">
        <v>37571.699999999997</v>
      </c>
      <c r="H1794" s="1">
        <v>31178.54</v>
      </c>
      <c r="I1794" s="1">
        <v>-11178.54</v>
      </c>
      <c r="J1794" s="1">
        <v>48750.239999999998</v>
      </c>
      <c r="K1794" s="1">
        <v>330</v>
      </c>
      <c r="L1794" s="1">
        <v>86.918456591639867</v>
      </c>
      <c r="M1794" s="1">
        <v>-118.3159378213348</v>
      </c>
      <c r="N1794" s="7">
        <v>45947</v>
      </c>
      <c r="O1794" s="1">
        <v>20000</v>
      </c>
      <c r="P1794" s="7">
        <v>46177.100726412027</v>
      </c>
      <c r="Q1794" s="1" t="s">
        <v>330</v>
      </c>
      <c r="T1794" s="1" t="s">
        <v>416</v>
      </c>
      <c r="U1794" s="1" t="s">
        <v>417</v>
      </c>
      <c r="V1794" s="1">
        <v>1</v>
      </c>
      <c r="W1794" s="3">
        <v>37165.919999999998</v>
      </c>
      <c r="X1794" s="3">
        <v>37165.919999999998</v>
      </c>
      <c r="Y1794" s="1" t="str">
        <f>VLOOKUP(A1794,[1]Detalle!$D$2:$CR$484,93,FALSE)</f>
        <v>SUC_MEN - Sucursal Mendoza</v>
      </c>
    </row>
    <row r="1795" spans="1:25" ht="14.25" customHeight="1" x14ac:dyDescent="0.3">
      <c r="A1795" s="1" t="s">
        <v>118</v>
      </c>
      <c r="B1795" s="1" t="s">
        <v>415</v>
      </c>
      <c r="C1795" s="1" t="s">
        <v>415</v>
      </c>
      <c r="D1795" s="1" t="s">
        <v>366</v>
      </c>
      <c r="E1795" s="6">
        <v>45769</v>
      </c>
      <c r="F1795" s="1">
        <v>302541</v>
      </c>
      <c r="G1795" s="1">
        <v>322541</v>
      </c>
      <c r="H1795" s="1">
        <v>8078.8000000000029</v>
      </c>
      <c r="I1795" s="1">
        <v>11921.2</v>
      </c>
      <c r="J1795" s="1">
        <v>310619.8</v>
      </c>
      <c r="K1795" s="1">
        <v>178</v>
      </c>
      <c r="L1795" s="1">
        <v>40.451193548387103</v>
      </c>
      <c r="M1795" s="1">
        <v>262.6595038867157</v>
      </c>
      <c r="N1795" s="7">
        <v>45947</v>
      </c>
      <c r="O1795" s="1">
        <v>20000</v>
      </c>
      <c r="P1795" s="7">
        <v>46209.659503888892</v>
      </c>
      <c r="Q1795" s="1" t="s">
        <v>330</v>
      </c>
      <c r="T1795" s="1" t="s">
        <v>416</v>
      </c>
      <c r="U1795" s="1" t="s">
        <v>417</v>
      </c>
      <c r="V1795" s="1">
        <v>1</v>
      </c>
      <c r="W1795" s="3">
        <v>37165.919999999998</v>
      </c>
      <c r="X1795" s="3">
        <v>37165.919999999998</v>
      </c>
      <c r="Y1795" s="1" t="str">
        <f>VLOOKUP(A1795,[1]Detalle!$D$2:$CR$484,93,FALSE)</f>
        <v>CCUCoAZA</v>
      </c>
    </row>
    <row r="1796" spans="1:25" ht="14.25" customHeight="1" x14ac:dyDescent="0.3">
      <c r="A1796" s="1" t="s">
        <v>101</v>
      </c>
      <c r="B1796" s="1" t="s">
        <v>415</v>
      </c>
      <c r="C1796" s="1" t="s">
        <v>415</v>
      </c>
      <c r="D1796" s="1" t="s">
        <v>366</v>
      </c>
      <c r="E1796" s="6">
        <v>45728</v>
      </c>
      <c r="F1796" s="1">
        <v>16579.5</v>
      </c>
      <c r="G1796" s="1">
        <v>36579.5</v>
      </c>
      <c r="H1796" s="1">
        <v>8515.1999999999989</v>
      </c>
      <c r="I1796" s="1">
        <v>11484.8</v>
      </c>
      <c r="J1796" s="1">
        <v>25094.7</v>
      </c>
      <c r="K1796" s="1">
        <v>219</v>
      </c>
      <c r="L1796" s="1">
        <v>35.248013245033107</v>
      </c>
      <c r="M1796" s="1">
        <v>295.37429537767758</v>
      </c>
      <c r="N1796" s="7">
        <v>45947</v>
      </c>
      <c r="O1796" s="1">
        <v>20000</v>
      </c>
      <c r="P1796" s="7">
        <v>46242.374295381953</v>
      </c>
      <c r="Q1796" s="1" t="s">
        <v>330</v>
      </c>
      <c r="T1796" s="1" t="s">
        <v>416</v>
      </c>
      <c r="U1796" s="1" t="s">
        <v>417</v>
      </c>
      <c r="V1796" s="1">
        <v>1</v>
      </c>
      <c r="W1796" s="3">
        <v>37165.919999999998</v>
      </c>
      <c r="X1796" s="3">
        <v>37165.919999999998</v>
      </c>
      <c r="Y1796" s="1" t="str">
        <f>VLOOKUP(A1796,[1]Detalle!$D$2:$CR$484,93,FALSE)</f>
        <v>CCUDyAZA</v>
      </c>
    </row>
    <row r="1797" spans="1:25" ht="14.25" customHeight="1" x14ac:dyDescent="0.3">
      <c r="A1797" s="1" t="s">
        <v>99</v>
      </c>
      <c r="B1797" s="1" t="s">
        <v>415</v>
      </c>
      <c r="C1797" s="1" t="s">
        <v>415</v>
      </c>
      <c r="D1797" s="1" t="s">
        <v>366</v>
      </c>
      <c r="E1797" s="6">
        <v>45727</v>
      </c>
      <c r="F1797" s="1">
        <v>15836.3</v>
      </c>
      <c r="G1797" s="1">
        <v>35836.300000000003</v>
      </c>
      <c r="H1797" s="1">
        <v>8775.7000000000007</v>
      </c>
      <c r="I1797" s="1">
        <v>11224.3</v>
      </c>
      <c r="J1797" s="1">
        <v>24612</v>
      </c>
      <c r="K1797" s="1">
        <v>220</v>
      </c>
      <c r="L1797" s="1">
        <v>36.572847682119232</v>
      </c>
      <c r="M1797" s="1">
        <v>281.38450493977678</v>
      </c>
      <c r="N1797" s="7">
        <v>45947</v>
      </c>
      <c r="O1797" s="1">
        <v>20000</v>
      </c>
      <c r="P1797" s="7">
        <v>46228.384504942129</v>
      </c>
      <c r="Q1797" s="1" t="s">
        <v>330</v>
      </c>
      <c r="T1797" s="1" t="s">
        <v>416</v>
      </c>
      <c r="U1797" s="1" t="s">
        <v>417</v>
      </c>
      <c r="V1797" s="1">
        <v>1</v>
      </c>
      <c r="W1797" s="3">
        <v>37165.919999999998</v>
      </c>
      <c r="X1797" s="3">
        <v>37165.919999999998</v>
      </c>
      <c r="Y1797" s="1" t="str">
        <f>VLOOKUP(A1797,[1]Detalle!$D$2:$CR$484,93,FALSE)</f>
        <v>CCUDyAZA</v>
      </c>
    </row>
    <row r="1798" spans="1:25" ht="14.25" customHeight="1" x14ac:dyDescent="0.3">
      <c r="A1798" s="1" t="s">
        <v>275</v>
      </c>
      <c r="B1798" s="1" t="s">
        <v>415</v>
      </c>
      <c r="C1798" s="1" t="s">
        <v>415</v>
      </c>
      <c r="D1798" s="1" t="s">
        <v>366</v>
      </c>
      <c r="E1798" s="6">
        <v>45736</v>
      </c>
      <c r="F1798" s="1">
        <v>126999</v>
      </c>
      <c r="G1798" s="1">
        <v>146999</v>
      </c>
      <c r="H1798" s="1">
        <v>6493.4000000000005</v>
      </c>
      <c r="I1798" s="1">
        <v>13506.6</v>
      </c>
      <c r="J1798" s="1">
        <v>133492.4</v>
      </c>
      <c r="K1798" s="1">
        <v>211</v>
      </c>
      <c r="L1798" s="1">
        <v>29.333408360128612</v>
      </c>
      <c r="M1798" s="1">
        <v>438.89065820679451</v>
      </c>
      <c r="N1798" s="7">
        <v>45947</v>
      </c>
      <c r="O1798" s="1">
        <v>20000</v>
      </c>
      <c r="P1798" s="7">
        <v>46385.890658206023</v>
      </c>
      <c r="Q1798" s="1" t="s">
        <v>330</v>
      </c>
      <c r="T1798" s="1" t="s">
        <v>416</v>
      </c>
      <c r="U1798" s="1" t="s">
        <v>417</v>
      </c>
      <c r="V1798" s="1">
        <v>1</v>
      </c>
      <c r="W1798" s="3">
        <v>37165.919999999998</v>
      </c>
      <c r="X1798" s="3">
        <v>37165.919999999998</v>
      </c>
      <c r="Y1798" s="1" t="str">
        <f>VLOOKUP(A1798,[1]Detalle!$D$2:$CR$484,93,FALSE)</f>
        <v>CCUDyAZA</v>
      </c>
    </row>
    <row r="1799" spans="1:25" ht="14.25" customHeight="1" x14ac:dyDescent="0.3">
      <c r="A1799" s="1" t="s">
        <v>274</v>
      </c>
      <c r="B1799" s="1" t="s">
        <v>415</v>
      </c>
      <c r="C1799" s="1" t="s">
        <v>415</v>
      </c>
      <c r="D1799" s="1" t="s">
        <v>366</v>
      </c>
      <c r="E1799" s="6">
        <v>45723</v>
      </c>
      <c r="F1799" s="1">
        <v>11627.1</v>
      </c>
      <c r="G1799" s="1">
        <v>31627.1</v>
      </c>
      <c r="H1799" s="1">
        <v>18411.3</v>
      </c>
      <c r="I1799" s="1">
        <v>1588.700000000001</v>
      </c>
      <c r="J1799" s="1">
        <v>30038.400000000001</v>
      </c>
      <c r="K1799" s="1">
        <v>224</v>
      </c>
      <c r="L1799" s="1">
        <v>66.921503267973904</v>
      </c>
      <c r="M1799" s="1">
        <v>19.32882523233015</v>
      </c>
      <c r="N1799" s="7">
        <v>45947</v>
      </c>
      <c r="O1799" s="1">
        <v>20000</v>
      </c>
      <c r="P1799" s="7">
        <v>46265.186427395827</v>
      </c>
      <c r="Q1799" s="1" t="s">
        <v>330</v>
      </c>
      <c r="T1799" s="1" t="s">
        <v>416</v>
      </c>
      <c r="U1799" s="1" t="s">
        <v>417</v>
      </c>
      <c r="V1799" s="1">
        <v>1</v>
      </c>
      <c r="W1799" s="3">
        <v>37165.919999999998</v>
      </c>
      <c r="X1799" s="3">
        <v>37165.919999999998</v>
      </c>
      <c r="Y1799" s="1" t="str">
        <f>VLOOKUP(A1799,[1]Detalle!$D$2:$CR$484,93,FALSE)</f>
        <v>JOHNSON - SC JOHNSON DE ARGENTINA SAIC</v>
      </c>
    </row>
    <row r="1800" spans="1:25" ht="14.25" customHeight="1" x14ac:dyDescent="0.3">
      <c r="A1800" s="1" t="s">
        <v>265</v>
      </c>
      <c r="B1800" s="1" t="s">
        <v>415</v>
      </c>
      <c r="C1800" s="1" t="s">
        <v>415</v>
      </c>
      <c r="D1800" s="1" t="s">
        <v>366</v>
      </c>
      <c r="E1800" s="6">
        <v>45859</v>
      </c>
      <c r="F1800" s="1">
        <v>117765</v>
      </c>
      <c r="G1800" s="1">
        <v>137765</v>
      </c>
      <c r="H1800" s="1">
        <v>3374.6999999999989</v>
      </c>
      <c r="I1800" s="1">
        <v>16625.3</v>
      </c>
      <c r="J1800" s="1">
        <v>121139.7</v>
      </c>
      <c r="K1800" s="1">
        <v>88</v>
      </c>
      <c r="L1800" s="1">
        <v>35.038354838709672</v>
      </c>
      <c r="M1800" s="1">
        <v>433.52783951166032</v>
      </c>
      <c r="N1800" s="7">
        <v>45947</v>
      </c>
      <c r="O1800" s="1">
        <v>20000</v>
      </c>
      <c r="P1800" s="7">
        <v>46380.527839513888</v>
      </c>
      <c r="Q1800" s="1" t="s">
        <v>330</v>
      </c>
      <c r="T1800" s="1" t="s">
        <v>416</v>
      </c>
      <c r="U1800" s="1" t="s">
        <v>417</v>
      </c>
      <c r="V1800" s="1">
        <v>1</v>
      </c>
      <c r="W1800" s="3">
        <v>37165.919999999998</v>
      </c>
      <c r="X1800" s="3">
        <v>37165.919999999998</v>
      </c>
      <c r="Y1800" s="1" t="str">
        <f>VLOOKUP(A1800,[1]Detalle!$D$2:$CR$484,93,FALSE)</f>
        <v>CCUDyAZA</v>
      </c>
    </row>
    <row r="1801" spans="1:25" ht="14.25" customHeight="1" x14ac:dyDescent="0.3">
      <c r="A1801" s="1" t="s">
        <v>264</v>
      </c>
      <c r="B1801" s="1" t="s">
        <v>415</v>
      </c>
      <c r="C1801" s="1" t="s">
        <v>415</v>
      </c>
      <c r="D1801" s="1" t="s">
        <v>366</v>
      </c>
      <c r="E1801" s="6">
        <v>45609</v>
      </c>
      <c r="F1801" s="1">
        <v>129732</v>
      </c>
      <c r="G1801" s="1">
        <v>149732</v>
      </c>
      <c r="H1801" s="1">
        <v>10886.77</v>
      </c>
      <c r="I1801" s="1">
        <v>9113.23</v>
      </c>
      <c r="J1801" s="1">
        <v>140618.76999999999</v>
      </c>
      <c r="K1801" s="1">
        <v>338</v>
      </c>
      <c r="L1801" s="1">
        <v>28.6525</v>
      </c>
      <c r="M1801" s="1">
        <v>282.93715583226242</v>
      </c>
      <c r="N1801" s="7">
        <v>45947</v>
      </c>
      <c r="O1801" s="1">
        <v>20000</v>
      </c>
      <c r="P1801" s="7">
        <v>46229.937155833337</v>
      </c>
      <c r="Q1801" s="1" t="s">
        <v>330</v>
      </c>
      <c r="T1801" s="1" t="s">
        <v>416</v>
      </c>
      <c r="U1801" s="1" t="s">
        <v>417</v>
      </c>
      <c r="V1801" s="1">
        <v>1</v>
      </c>
      <c r="W1801" s="3">
        <v>37165.919999999998</v>
      </c>
      <c r="X1801" s="3">
        <v>37165.919999999998</v>
      </c>
      <c r="Y1801" s="1" t="str">
        <f>VLOOKUP(A1801,[1]Detalle!$D$2:$CR$484,93,FALSE)</f>
        <v>CMQ_TTE - QUILMES TTE</v>
      </c>
    </row>
    <row r="1802" spans="1:25" ht="14.25" customHeight="1" x14ac:dyDescent="0.3">
      <c r="A1802" s="1" t="s">
        <v>263</v>
      </c>
      <c r="B1802" s="1" t="s">
        <v>415</v>
      </c>
      <c r="C1802" s="1" t="s">
        <v>415</v>
      </c>
      <c r="D1802" s="1" t="s">
        <v>366</v>
      </c>
      <c r="E1802" s="6">
        <v>45792</v>
      </c>
      <c r="F1802" s="1">
        <v>139668</v>
      </c>
      <c r="G1802" s="1">
        <v>159668</v>
      </c>
      <c r="H1802" s="1">
        <v>6276.5</v>
      </c>
      <c r="I1802" s="1">
        <v>13723.5</v>
      </c>
      <c r="J1802" s="1">
        <v>145944.5</v>
      </c>
      <c r="K1802" s="1">
        <v>155</v>
      </c>
      <c r="L1802" s="1">
        <v>39.350129032258081</v>
      </c>
      <c r="M1802" s="1">
        <v>338.90583924161558</v>
      </c>
      <c r="N1802" s="7">
        <v>45947</v>
      </c>
      <c r="O1802" s="1">
        <v>20000</v>
      </c>
      <c r="P1802" s="7">
        <v>46285.905839236111</v>
      </c>
      <c r="Q1802" s="1" t="s">
        <v>330</v>
      </c>
      <c r="T1802" s="1" t="s">
        <v>416</v>
      </c>
      <c r="U1802" s="1" t="s">
        <v>417</v>
      </c>
      <c r="V1802" s="1">
        <v>1</v>
      </c>
      <c r="W1802" s="3">
        <v>37165.919999999998</v>
      </c>
      <c r="X1802" s="3">
        <v>37165.919999999998</v>
      </c>
      <c r="Y1802" s="1" t="str">
        <f>VLOOKUP(A1802,[1]Detalle!$D$2:$CR$484,93,FALSE)</f>
        <v>CCUCoAZA</v>
      </c>
    </row>
    <row r="1803" spans="1:25" ht="14.25" customHeight="1" x14ac:dyDescent="0.3">
      <c r="A1803" s="1" t="s">
        <v>262</v>
      </c>
      <c r="B1803" s="1" t="s">
        <v>415</v>
      </c>
      <c r="C1803" s="1" t="s">
        <v>415</v>
      </c>
      <c r="D1803" s="1" t="s">
        <v>366</v>
      </c>
      <c r="E1803" s="6">
        <v>45750</v>
      </c>
      <c r="F1803" s="1">
        <v>135586</v>
      </c>
      <c r="G1803" s="1">
        <v>155586</v>
      </c>
      <c r="H1803" s="1">
        <v>6212.800000000002</v>
      </c>
      <c r="I1803" s="1">
        <v>13787.2</v>
      </c>
      <c r="J1803" s="1">
        <v>141798.79999999999</v>
      </c>
      <c r="K1803" s="1">
        <v>197</v>
      </c>
      <c r="L1803" s="1">
        <v>29.337411003236291</v>
      </c>
      <c r="M1803" s="1">
        <v>437.17460726242581</v>
      </c>
      <c r="N1803" s="7">
        <v>45947</v>
      </c>
      <c r="O1803" s="1">
        <v>20000</v>
      </c>
      <c r="P1803" s="7">
        <v>46384.174607256937</v>
      </c>
      <c r="Q1803" s="1" t="s">
        <v>330</v>
      </c>
      <c r="T1803" s="1" t="s">
        <v>416</v>
      </c>
      <c r="U1803" s="1" t="s">
        <v>417</v>
      </c>
      <c r="V1803" s="1">
        <v>1</v>
      </c>
      <c r="W1803" s="3">
        <v>37165.919999999998</v>
      </c>
      <c r="X1803" s="3">
        <v>37165.919999999998</v>
      </c>
      <c r="Y1803" s="1" t="str">
        <f>VLOOKUP(A1803,[1]Detalle!$D$2:$CR$484,93,FALSE)</f>
        <v>CCUDyAZA</v>
      </c>
    </row>
    <row r="1804" spans="1:25" ht="14.25" customHeight="1" x14ac:dyDescent="0.3">
      <c r="A1804" s="1" t="s">
        <v>261</v>
      </c>
      <c r="B1804" s="1" t="s">
        <v>415</v>
      </c>
      <c r="C1804" s="1" t="s">
        <v>415</v>
      </c>
      <c r="D1804" s="1" t="s">
        <v>366</v>
      </c>
      <c r="E1804" s="6">
        <v>45741</v>
      </c>
      <c r="F1804" s="1">
        <v>138994</v>
      </c>
      <c r="G1804" s="1">
        <v>158994</v>
      </c>
      <c r="H1804" s="1">
        <v>7813.9000000000042</v>
      </c>
      <c r="I1804" s="1">
        <v>12186.099999999989</v>
      </c>
      <c r="J1804" s="1">
        <v>146807.9</v>
      </c>
      <c r="K1804" s="1">
        <v>206</v>
      </c>
      <c r="L1804" s="1">
        <v>32.740519480519481</v>
      </c>
      <c r="M1804" s="1">
        <v>321.26551401988729</v>
      </c>
      <c r="N1804" s="7">
        <v>45947</v>
      </c>
      <c r="O1804" s="1">
        <v>20000</v>
      </c>
      <c r="P1804" s="7">
        <v>46268.265514016202</v>
      </c>
      <c r="Q1804" s="1" t="s">
        <v>330</v>
      </c>
      <c r="T1804" s="1" t="s">
        <v>416</v>
      </c>
      <c r="U1804" s="1" t="s">
        <v>417</v>
      </c>
      <c r="V1804" s="1">
        <v>1</v>
      </c>
      <c r="W1804" s="3">
        <v>37165.919999999998</v>
      </c>
      <c r="X1804" s="3">
        <v>37165.919999999998</v>
      </c>
      <c r="Y1804" s="1" t="str">
        <f>VLOOKUP(A1804,[1]Detalle!$D$2:$CR$484,93,FALSE)</f>
        <v>CCUDyAZA</v>
      </c>
    </row>
    <row r="1805" spans="1:25" ht="14.25" customHeight="1" x14ac:dyDescent="0.3">
      <c r="A1805" s="1" t="s">
        <v>260</v>
      </c>
      <c r="B1805" s="1" t="s">
        <v>415</v>
      </c>
      <c r="C1805" s="1" t="s">
        <v>415</v>
      </c>
      <c r="D1805" s="1" t="s">
        <v>366</v>
      </c>
      <c r="E1805" s="6">
        <v>45608</v>
      </c>
      <c r="F1805" s="1">
        <v>135670</v>
      </c>
      <c r="G1805" s="1">
        <v>155670</v>
      </c>
      <c r="H1805" s="1">
        <v>13146.66</v>
      </c>
      <c r="I1805" s="1">
        <v>6853.3399999999983</v>
      </c>
      <c r="J1805" s="1">
        <v>148816.66</v>
      </c>
      <c r="K1805" s="1">
        <v>339</v>
      </c>
      <c r="L1805" s="1">
        <v>35.350675241157553</v>
      </c>
      <c r="M1805" s="1">
        <v>176.72034265737449</v>
      </c>
      <c r="N1805" s="7">
        <v>45947</v>
      </c>
      <c r="O1805" s="1">
        <v>20000</v>
      </c>
      <c r="P1805" s="7">
        <v>46123.72034266204</v>
      </c>
      <c r="Q1805" s="1" t="s">
        <v>330</v>
      </c>
      <c r="T1805" s="1" t="s">
        <v>416</v>
      </c>
      <c r="U1805" s="1" t="s">
        <v>417</v>
      </c>
      <c r="V1805" s="1">
        <v>1</v>
      </c>
      <c r="W1805" s="3">
        <v>37165.919999999998</v>
      </c>
      <c r="X1805" s="3">
        <v>37165.919999999998</v>
      </c>
      <c r="Y1805" s="1" t="str">
        <f>VLOOKUP(A1805,[1]Detalle!$D$2:$CR$484,93,FALSE)</f>
        <v>CCUDyAZA</v>
      </c>
    </row>
    <row r="1806" spans="1:25" ht="14.25" customHeight="1" x14ac:dyDescent="0.3">
      <c r="A1806" s="1" t="s">
        <v>257</v>
      </c>
      <c r="B1806" s="1" t="s">
        <v>415</v>
      </c>
      <c r="C1806" s="1" t="s">
        <v>415</v>
      </c>
      <c r="D1806" s="1" t="s">
        <v>366</v>
      </c>
      <c r="E1806" s="6">
        <v>45929</v>
      </c>
      <c r="F1806" s="1">
        <v>241798</v>
      </c>
      <c r="G1806" s="1">
        <v>261798</v>
      </c>
      <c r="H1806" s="1">
        <v>0</v>
      </c>
      <c r="I1806" s="1">
        <v>20000</v>
      </c>
      <c r="J1806" s="1">
        <v>241798</v>
      </c>
      <c r="K1806" s="1">
        <v>18</v>
      </c>
      <c r="L1806" s="1">
        <v>32.336013071895437</v>
      </c>
      <c r="M1806" s="1">
        <v>200</v>
      </c>
      <c r="N1806" s="7">
        <v>45947</v>
      </c>
      <c r="O1806" s="1">
        <v>20000</v>
      </c>
      <c r="P1806" s="7">
        <v>46147</v>
      </c>
      <c r="Q1806" s="1" t="s">
        <v>330</v>
      </c>
      <c r="T1806" s="1" t="s">
        <v>416</v>
      </c>
      <c r="U1806" s="1" t="s">
        <v>417</v>
      </c>
      <c r="V1806" s="1">
        <v>1</v>
      </c>
      <c r="W1806" s="3">
        <v>37165.919999999998</v>
      </c>
      <c r="X1806" s="3">
        <v>37165.919999999998</v>
      </c>
      <c r="Y1806" s="1" t="str">
        <f>VLOOKUP(A1806,[1]Detalle!$D$2:$CR$484,93,FALSE)</f>
        <v>CMQ_TTE - QUILMES TTE</v>
      </c>
    </row>
    <row r="1807" spans="1:25" ht="14.25" customHeight="1" x14ac:dyDescent="0.3">
      <c r="A1807" s="1" t="s">
        <v>256</v>
      </c>
      <c r="B1807" s="1" t="s">
        <v>415</v>
      </c>
      <c r="C1807" s="1" t="s">
        <v>415</v>
      </c>
      <c r="D1807" s="1" t="s">
        <v>366</v>
      </c>
      <c r="E1807" s="6">
        <v>45733</v>
      </c>
      <c r="F1807" s="1">
        <v>175136</v>
      </c>
      <c r="G1807" s="1">
        <v>195136</v>
      </c>
      <c r="H1807" s="1">
        <v>10902.7</v>
      </c>
      <c r="I1807" s="1">
        <v>9097.2999999999993</v>
      </c>
      <c r="J1807" s="1">
        <v>186038.7</v>
      </c>
      <c r="K1807" s="1">
        <v>214</v>
      </c>
      <c r="L1807" s="1">
        <v>47.387909967845658</v>
      </c>
      <c r="M1807" s="1">
        <v>178.56331000577839</v>
      </c>
      <c r="N1807" s="7">
        <v>45947</v>
      </c>
      <c r="O1807" s="1">
        <v>20000</v>
      </c>
      <c r="P1807" s="7">
        <v>46125.563309999998</v>
      </c>
      <c r="Q1807" s="1" t="s">
        <v>330</v>
      </c>
      <c r="T1807" s="1" t="s">
        <v>416</v>
      </c>
      <c r="U1807" s="1" t="s">
        <v>417</v>
      </c>
      <c r="V1807" s="1">
        <v>1</v>
      </c>
      <c r="W1807" s="3">
        <v>37165.919999999998</v>
      </c>
      <c r="X1807" s="3">
        <v>37165.919999999998</v>
      </c>
      <c r="Y1807" s="1" t="str">
        <f>VLOOKUP(A1807,[1]Detalle!$D$2:$CR$484,93,FALSE)</f>
        <v>CCUCoAZA</v>
      </c>
    </row>
    <row r="1808" spans="1:25" ht="14.25" customHeight="1" x14ac:dyDescent="0.3">
      <c r="A1808" s="1" t="s">
        <v>255</v>
      </c>
      <c r="B1808" s="1" t="s">
        <v>415</v>
      </c>
      <c r="C1808" s="1" t="s">
        <v>415</v>
      </c>
      <c r="D1808" s="1" t="s">
        <v>366</v>
      </c>
      <c r="E1808" s="6">
        <v>45786</v>
      </c>
      <c r="F1808" s="1">
        <v>140250</v>
      </c>
      <c r="G1808" s="1">
        <v>160250</v>
      </c>
      <c r="H1808" s="1">
        <v>6502.5999999999949</v>
      </c>
      <c r="I1808" s="1">
        <v>13497.400000000011</v>
      </c>
      <c r="J1808" s="1">
        <v>146752.6</v>
      </c>
      <c r="K1808" s="1">
        <v>161</v>
      </c>
      <c r="L1808" s="1">
        <v>36.457612903225787</v>
      </c>
      <c r="M1808" s="1">
        <v>334.18654076830848</v>
      </c>
      <c r="N1808" s="7">
        <v>45947</v>
      </c>
      <c r="O1808" s="1">
        <v>20000</v>
      </c>
      <c r="P1808" s="7">
        <v>46281.186540763891</v>
      </c>
      <c r="Q1808" s="1" t="s">
        <v>330</v>
      </c>
      <c r="T1808" s="1" t="s">
        <v>416</v>
      </c>
      <c r="U1808" s="1" t="s">
        <v>417</v>
      </c>
      <c r="V1808" s="1">
        <v>1</v>
      </c>
      <c r="W1808" s="3">
        <v>37165.919999999998</v>
      </c>
      <c r="X1808" s="3">
        <v>37165.919999999998</v>
      </c>
      <c r="Y1808" s="1" t="str">
        <f>VLOOKUP(A1808,[1]Detalle!$D$2:$CR$484,93,FALSE)</f>
        <v>CCUDyAZA</v>
      </c>
    </row>
    <row r="1809" spans="1:25" ht="14.25" customHeight="1" x14ac:dyDescent="0.3">
      <c r="A1809" s="1" t="s">
        <v>254</v>
      </c>
      <c r="B1809" s="1" t="s">
        <v>415</v>
      </c>
      <c r="C1809" s="1" t="s">
        <v>415</v>
      </c>
      <c r="D1809" s="1" t="s">
        <v>366</v>
      </c>
      <c r="E1809" s="6">
        <v>45727</v>
      </c>
      <c r="F1809" s="1">
        <v>135133</v>
      </c>
      <c r="G1809" s="1">
        <v>155133</v>
      </c>
      <c r="H1809" s="1">
        <v>15205.600000000009</v>
      </c>
      <c r="I1809" s="1">
        <v>4794.3999999999915</v>
      </c>
      <c r="J1809" s="1">
        <v>150338.6</v>
      </c>
      <c r="K1809" s="1">
        <v>220</v>
      </c>
      <c r="L1809" s="1">
        <v>62.077961165048592</v>
      </c>
      <c r="M1809" s="1">
        <v>69.367075288051595</v>
      </c>
      <c r="N1809" s="7">
        <v>45947</v>
      </c>
      <c r="O1809" s="1">
        <v>20000</v>
      </c>
      <c r="P1809" s="7">
        <v>46338.542604652779</v>
      </c>
      <c r="Q1809" s="1" t="s">
        <v>330</v>
      </c>
      <c r="T1809" s="1" t="s">
        <v>416</v>
      </c>
      <c r="U1809" s="1" t="s">
        <v>417</v>
      </c>
      <c r="V1809" s="1">
        <v>1</v>
      </c>
      <c r="W1809" s="3">
        <v>37165.919999999998</v>
      </c>
      <c r="X1809" s="3">
        <v>37165.919999999998</v>
      </c>
      <c r="Y1809" s="1" t="str">
        <f>VLOOKUP(A1809,[1]Detalle!$D$2:$CR$484,93,FALSE)</f>
        <v>CCUCoAZA</v>
      </c>
    </row>
    <row r="1810" spans="1:25" ht="14.25" customHeight="1" x14ac:dyDescent="0.3">
      <c r="A1810" s="1" t="s">
        <v>252</v>
      </c>
      <c r="B1810" s="1" t="s">
        <v>415</v>
      </c>
      <c r="C1810" s="1" t="s">
        <v>415</v>
      </c>
      <c r="D1810" s="1" t="s">
        <v>366</v>
      </c>
      <c r="E1810" s="6">
        <v>45728</v>
      </c>
      <c r="F1810" s="1">
        <v>136279</v>
      </c>
      <c r="G1810" s="1">
        <v>156279</v>
      </c>
      <c r="H1810" s="1">
        <v>9392.9000000000033</v>
      </c>
      <c r="I1810" s="1">
        <v>10607.1</v>
      </c>
      <c r="J1810" s="1">
        <v>145671.9</v>
      </c>
      <c r="K1810" s="1">
        <v>219</v>
      </c>
      <c r="L1810" s="1">
        <v>39.350485436893209</v>
      </c>
      <c r="M1810" s="1">
        <v>247.309659423607</v>
      </c>
      <c r="N1810" s="7">
        <v>45947</v>
      </c>
      <c r="O1810" s="1">
        <v>20000</v>
      </c>
      <c r="P1810" s="7">
        <v>46194.309659421298</v>
      </c>
      <c r="Q1810" s="1" t="s">
        <v>330</v>
      </c>
      <c r="T1810" s="1" t="s">
        <v>416</v>
      </c>
      <c r="U1810" s="1" t="s">
        <v>417</v>
      </c>
      <c r="V1810" s="1">
        <v>1</v>
      </c>
      <c r="W1810" s="3">
        <v>37165.919999999998</v>
      </c>
      <c r="X1810" s="3">
        <v>37165.919999999998</v>
      </c>
      <c r="Y1810" s="1" t="str">
        <f>VLOOKUP(A1810,[1]Detalle!$D$2:$CR$484,93,FALSE)</f>
        <v>CCUDyAZA</v>
      </c>
    </row>
    <row r="1811" spans="1:25" ht="14.25" customHeight="1" x14ac:dyDescent="0.3">
      <c r="A1811" s="1" t="s">
        <v>251</v>
      </c>
      <c r="B1811" s="1" t="s">
        <v>415</v>
      </c>
      <c r="C1811" s="1" t="s">
        <v>415</v>
      </c>
      <c r="D1811" s="1" t="s">
        <v>366</v>
      </c>
      <c r="E1811" s="6">
        <v>45803</v>
      </c>
      <c r="F1811" s="1">
        <v>134238</v>
      </c>
      <c r="G1811" s="1">
        <v>154238</v>
      </c>
      <c r="H1811" s="1">
        <v>6883.1999999999953</v>
      </c>
      <c r="I1811" s="1">
        <v>13116.8</v>
      </c>
      <c r="J1811" s="1">
        <v>141121.20000000001</v>
      </c>
      <c r="K1811" s="1">
        <v>144</v>
      </c>
      <c r="L1811" s="1">
        <v>38.754967741935467</v>
      </c>
      <c r="M1811" s="1">
        <v>274.41004184100439</v>
      </c>
      <c r="N1811" s="7">
        <v>45947</v>
      </c>
      <c r="O1811" s="1">
        <v>20000</v>
      </c>
      <c r="P1811" s="7">
        <v>46221.410041840281</v>
      </c>
      <c r="Q1811" s="1" t="s">
        <v>330</v>
      </c>
      <c r="T1811" s="1" t="s">
        <v>416</v>
      </c>
      <c r="U1811" s="1" t="s">
        <v>417</v>
      </c>
      <c r="V1811" s="1">
        <v>1</v>
      </c>
      <c r="W1811" s="3">
        <v>37165.919999999998</v>
      </c>
      <c r="X1811" s="3">
        <v>37165.919999999998</v>
      </c>
      <c r="Y1811" s="1" t="str">
        <f>VLOOKUP(A1811,[1]Detalle!$D$2:$CR$484,93,FALSE)</f>
        <v>CCUDyAZA</v>
      </c>
    </row>
    <row r="1812" spans="1:25" ht="14.25" customHeight="1" x14ac:dyDescent="0.3">
      <c r="A1812" s="1" t="s">
        <v>248</v>
      </c>
      <c r="B1812" s="1" t="s">
        <v>415</v>
      </c>
      <c r="C1812" s="1" t="s">
        <v>415</v>
      </c>
      <c r="D1812" s="1" t="s">
        <v>366</v>
      </c>
      <c r="E1812" s="6">
        <v>45743</v>
      </c>
      <c r="F1812" s="1">
        <v>123548</v>
      </c>
      <c r="G1812" s="1">
        <v>143548</v>
      </c>
      <c r="H1812" s="1">
        <v>7382.7000000000016</v>
      </c>
      <c r="I1812" s="1">
        <v>12617.3</v>
      </c>
      <c r="J1812" s="1">
        <v>130930.7</v>
      </c>
      <c r="K1812" s="1">
        <v>204</v>
      </c>
      <c r="L1812" s="1">
        <v>33.855032679738592</v>
      </c>
      <c r="M1812" s="1">
        <v>348.64334186679662</v>
      </c>
      <c r="N1812" s="7">
        <v>45947</v>
      </c>
      <c r="O1812" s="1">
        <v>20000</v>
      </c>
      <c r="P1812" s="7">
        <v>46295.643341863433</v>
      </c>
      <c r="Q1812" s="1" t="s">
        <v>330</v>
      </c>
      <c r="T1812" s="1" t="s">
        <v>416</v>
      </c>
      <c r="U1812" s="1" t="s">
        <v>417</v>
      </c>
      <c r="V1812" s="1">
        <v>1</v>
      </c>
      <c r="W1812" s="3">
        <v>37165.919999999998</v>
      </c>
      <c r="X1812" s="3">
        <v>37165.919999999998</v>
      </c>
      <c r="Y1812" s="1" t="str">
        <f>VLOOKUP(A1812,[1]Detalle!$D$2:$CR$484,93,FALSE)</f>
        <v>CCUDyAZA</v>
      </c>
    </row>
    <row r="1813" spans="1:25" ht="14.25" customHeight="1" x14ac:dyDescent="0.3">
      <c r="A1813" s="1" t="s">
        <v>242</v>
      </c>
      <c r="B1813" s="1" t="s">
        <v>415</v>
      </c>
      <c r="C1813" s="1" t="s">
        <v>415</v>
      </c>
      <c r="D1813" s="1" t="s">
        <v>366</v>
      </c>
      <c r="E1813" s="6">
        <v>45763</v>
      </c>
      <c r="F1813" s="1">
        <v>435565</v>
      </c>
      <c r="G1813" s="1">
        <v>455565</v>
      </c>
      <c r="H1813" s="1">
        <v>16726.900000000001</v>
      </c>
      <c r="I1813" s="1">
        <v>3273.099999999999</v>
      </c>
      <c r="J1813" s="1">
        <v>452291.9</v>
      </c>
      <c r="K1813" s="1">
        <v>184</v>
      </c>
      <c r="L1813" s="1">
        <v>76.02181229773467</v>
      </c>
      <c r="M1813" s="1">
        <v>36.004902283148681</v>
      </c>
      <c r="N1813" s="7">
        <v>45947</v>
      </c>
      <c r="O1813" s="1">
        <v>20000</v>
      </c>
      <c r="P1813" s="7">
        <v>46246.087291342592</v>
      </c>
      <c r="Q1813" s="1" t="s">
        <v>330</v>
      </c>
      <c r="T1813" s="1" t="s">
        <v>416</v>
      </c>
      <c r="U1813" s="1" t="s">
        <v>417</v>
      </c>
      <c r="V1813" s="1">
        <v>1</v>
      </c>
      <c r="W1813" s="3">
        <v>37165.919999999998</v>
      </c>
      <c r="X1813" s="3">
        <v>37165.919999999998</v>
      </c>
      <c r="Y1813" s="1" t="str">
        <f>VLOOKUP(A1813,[1]Detalle!$D$2:$CR$484,93,FALSE)</f>
        <v>Papelera - Papelera del Plata S.A.</v>
      </c>
    </row>
    <row r="1814" spans="1:25" ht="14.25" customHeight="1" x14ac:dyDescent="0.3">
      <c r="A1814" s="1" t="s">
        <v>239</v>
      </c>
      <c r="B1814" s="1" t="s">
        <v>415</v>
      </c>
      <c r="C1814" s="1" t="s">
        <v>415</v>
      </c>
      <c r="D1814" s="1" t="s">
        <v>366</v>
      </c>
      <c r="E1814" s="6">
        <v>45811</v>
      </c>
      <c r="F1814" s="1">
        <v>309592</v>
      </c>
      <c r="G1814" s="1">
        <v>329592</v>
      </c>
      <c r="H1814" s="1">
        <v>5644.7999999999975</v>
      </c>
      <c r="I1814" s="1">
        <v>14355.2</v>
      </c>
      <c r="J1814" s="1">
        <v>315236.8</v>
      </c>
      <c r="K1814" s="1">
        <v>136</v>
      </c>
      <c r="L1814" s="1">
        <v>34.71594771241827</v>
      </c>
      <c r="M1814" s="1">
        <v>345.8594104308392</v>
      </c>
      <c r="N1814" s="7">
        <v>45947</v>
      </c>
      <c r="O1814" s="1">
        <v>20000</v>
      </c>
      <c r="P1814" s="7">
        <v>46292.859410428238</v>
      </c>
      <c r="Q1814" s="1" t="s">
        <v>330</v>
      </c>
      <c r="T1814" s="1" t="s">
        <v>416</v>
      </c>
      <c r="U1814" s="1" t="s">
        <v>417</v>
      </c>
      <c r="V1814" s="1">
        <v>1</v>
      </c>
      <c r="W1814" s="3">
        <v>37165.919999999998</v>
      </c>
      <c r="X1814" s="3">
        <v>37165.919999999998</v>
      </c>
      <c r="Y1814" s="1" t="str">
        <f>VLOOKUP(A1814,[1]Detalle!$D$2:$CR$484,93,FALSE)</f>
        <v>CMQ_TTE - QUILMES TTE</v>
      </c>
    </row>
    <row r="1815" spans="1:25" ht="14.25" customHeight="1" x14ac:dyDescent="0.3">
      <c r="A1815" s="1" t="s">
        <v>238</v>
      </c>
      <c r="B1815" s="1" t="s">
        <v>415</v>
      </c>
      <c r="C1815" s="1" t="s">
        <v>415</v>
      </c>
      <c r="D1815" s="1" t="s">
        <v>366</v>
      </c>
      <c r="E1815" s="6">
        <v>45587</v>
      </c>
      <c r="F1815" s="1">
        <v>502203</v>
      </c>
      <c r="G1815" s="1">
        <v>522203</v>
      </c>
      <c r="H1815" s="1">
        <v>14467.7</v>
      </c>
      <c r="I1815" s="1">
        <v>5532.3000000000047</v>
      </c>
      <c r="J1815" s="1">
        <v>516670.7</v>
      </c>
      <c r="K1815" s="1">
        <v>360</v>
      </c>
      <c r="L1815" s="1">
        <v>33.863782051282037</v>
      </c>
      <c r="M1815" s="1">
        <v>137.66030536989311</v>
      </c>
      <c r="N1815" s="7">
        <v>45947</v>
      </c>
      <c r="O1815" s="1">
        <v>20000</v>
      </c>
      <c r="P1815" s="7">
        <v>46084.660305370373</v>
      </c>
      <c r="Q1815" s="1" t="s">
        <v>330</v>
      </c>
      <c r="T1815" s="1" t="s">
        <v>416</v>
      </c>
      <c r="U1815" s="1" t="s">
        <v>417</v>
      </c>
      <c r="V1815" s="1">
        <v>1</v>
      </c>
      <c r="W1815" s="3">
        <v>37165.919999999998</v>
      </c>
      <c r="X1815" s="3">
        <v>37165.919999999998</v>
      </c>
      <c r="Y1815" s="1" t="str">
        <f>VLOOKUP(A1815,[1]Detalle!$D$2:$CR$484,93,FALSE)</f>
        <v>CMQ_TTE - QUILMES TTE</v>
      </c>
    </row>
    <row r="1816" spans="1:25" ht="14.25" customHeight="1" x14ac:dyDescent="0.3">
      <c r="A1816" s="1" t="s">
        <v>217</v>
      </c>
      <c r="B1816" s="1" t="s">
        <v>415</v>
      </c>
      <c r="C1816" s="1" t="s">
        <v>415</v>
      </c>
      <c r="D1816" s="1" t="s">
        <v>366</v>
      </c>
      <c r="E1816" s="1" t="s">
        <v>337</v>
      </c>
      <c r="F1816" s="1">
        <v>474074</v>
      </c>
      <c r="G1816" s="1">
        <v>494074</v>
      </c>
      <c r="H1816" s="1">
        <v>5983.7999999999993</v>
      </c>
      <c r="I1816" s="1">
        <v>14016.2</v>
      </c>
      <c r="J1816" s="1">
        <v>480057.8</v>
      </c>
      <c r="K1816" s="1">
        <v>68</v>
      </c>
      <c r="L1816" s="1">
        <v>63.859032258064524</v>
      </c>
      <c r="M1816" s="1">
        <v>159.28032354022531</v>
      </c>
      <c r="N1816" s="7">
        <v>45947</v>
      </c>
      <c r="O1816" s="1">
        <v>20000</v>
      </c>
      <c r="P1816" s="7">
        <v>46106.280323541658</v>
      </c>
      <c r="Q1816" s="1" t="s">
        <v>330</v>
      </c>
      <c r="T1816" s="1" t="s">
        <v>416</v>
      </c>
      <c r="U1816" s="1" t="s">
        <v>417</v>
      </c>
      <c r="V1816" s="1">
        <v>1</v>
      </c>
      <c r="W1816" s="3">
        <v>37165.919999999998</v>
      </c>
      <c r="X1816" s="3">
        <v>37165.919999999998</v>
      </c>
      <c r="Y1816" s="1" t="str">
        <f>VLOOKUP(A1816,[1]Detalle!$D$2:$CR$484,93,FALSE)</f>
        <v>Papelera - Papelera del Plata S.A.</v>
      </c>
    </row>
    <row r="1817" spans="1:25" ht="14.25" customHeight="1" x14ac:dyDescent="0.3">
      <c r="A1817" s="1" t="s">
        <v>209</v>
      </c>
      <c r="B1817" s="1" t="s">
        <v>415</v>
      </c>
      <c r="C1817" s="1" t="s">
        <v>415</v>
      </c>
      <c r="D1817" s="1" t="s">
        <v>366</v>
      </c>
      <c r="E1817" s="6">
        <v>45525</v>
      </c>
      <c r="F1817" s="1">
        <v>880145</v>
      </c>
      <c r="G1817" s="1">
        <v>900145</v>
      </c>
      <c r="H1817" s="1">
        <v>79750.570000000065</v>
      </c>
      <c r="I1817" s="1">
        <v>-59750.570000000072</v>
      </c>
      <c r="J1817" s="1">
        <v>959895.57000000007</v>
      </c>
      <c r="K1817" s="1">
        <v>422</v>
      </c>
      <c r="L1817" s="1">
        <v>249.7515064102565</v>
      </c>
      <c r="M1817" s="1">
        <v>-316.17003539912008</v>
      </c>
      <c r="N1817" s="7">
        <v>45947</v>
      </c>
      <c r="O1817" s="1">
        <v>20000</v>
      </c>
      <c r="P1817" s="7">
        <v>46027.079597071759</v>
      </c>
      <c r="Q1817" s="1" t="s">
        <v>330</v>
      </c>
      <c r="T1817" s="1" t="s">
        <v>416</v>
      </c>
      <c r="U1817" s="1" t="s">
        <v>417</v>
      </c>
      <c r="V1817" s="1">
        <v>1</v>
      </c>
      <c r="W1817" s="3">
        <v>37165.919999999998</v>
      </c>
      <c r="X1817" s="3">
        <v>37165.919999999998</v>
      </c>
      <c r="Y1817" s="1" t="str">
        <f>VLOOKUP(A1817,[1]Detalle!$D$2:$CR$484,93,FALSE)</f>
        <v>CENCO_MZ - Cencosud SA - Mendoza</v>
      </c>
    </row>
    <row r="1818" spans="1:25" ht="14.25" customHeight="1" x14ac:dyDescent="0.3">
      <c r="A1818" s="1" t="s">
        <v>205</v>
      </c>
      <c r="B1818" s="1" t="s">
        <v>415</v>
      </c>
      <c r="C1818" s="1" t="s">
        <v>415</v>
      </c>
      <c r="D1818" s="1" t="s">
        <v>366</v>
      </c>
      <c r="E1818" s="6">
        <v>45735</v>
      </c>
      <c r="F1818" s="1">
        <v>180294</v>
      </c>
      <c r="G1818" s="1">
        <v>200294</v>
      </c>
      <c r="H1818" s="1">
        <v>8568.0000000000055</v>
      </c>
      <c r="I1818" s="1">
        <v>11431.999999999991</v>
      </c>
      <c r="J1818" s="1">
        <v>188862</v>
      </c>
      <c r="K1818" s="1">
        <v>212</v>
      </c>
      <c r="L1818" s="1">
        <v>45.429777777777801</v>
      </c>
      <c r="M1818" s="1">
        <v>282.864612511671</v>
      </c>
      <c r="N1818" s="7">
        <v>45947</v>
      </c>
      <c r="O1818" s="1">
        <v>20000</v>
      </c>
      <c r="P1818" s="7">
        <v>46229.864612511577</v>
      </c>
      <c r="Q1818" s="1" t="s">
        <v>330</v>
      </c>
      <c r="T1818" s="1" t="s">
        <v>416</v>
      </c>
      <c r="U1818" s="1" t="s">
        <v>417</v>
      </c>
      <c r="V1818" s="1">
        <v>1</v>
      </c>
      <c r="W1818" s="3">
        <v>37165.919999999998</v>
      </c>
      <c r="X1818" s="3">
        <v>37165.919999999998</v>
      </c>
      <c r="Y1818" s="1" t="str">
        <f>VLOOKUP(A1818,[1]Detalle!$D$2:$CR$484,93,FALSE)</f>
        <v>CCUCoAZA</v>
      </c>
    </row>
    <row r="1819" spans="1:25" ht="14.25" customHeight="1" x14ac:dyDescent="0.3">
      <c r="A1819" s="1" t="s">
        <v>204</v>
      </c>
      <c r="B1819" s="1" t="s">
        <v>415</v>
      </c>
      <c r="C1819" s="1" t="s">
        <v>415</v>
      </c>
      <c r="D1819" s="1" t="s">
        <v>366</v>
      </c>
      <c r="E1819" s="6">
        <v>45743</v>
      </c>
      <c r="F1819" s="1">
        <v>322879</v>
      </c>
      <c r="G1819" s="1">
        <v>342879</v>
      </c>
      <c r="H1819" s="1">
        <v>7068.2</v>
      </c>
      <c r="I1819" s="1">
        <v>12931.8</v>
      </c>
      <c r="J1819" s="1">
        <v>329947.2</v>
      </c>
      <c r="K1819" s="1">
        <v>204</v>
      </c>
      <c r="L1819" s="1">
        <v>44.066703703703709</v>
      </c>
      <c r="M1819" s="1">
        <v>373.23324184375087</v>
      </c>
      <c r="N1819" s="7">
        <v>45947</v>
      </c>
      <c r="O1819" s="1">
        <v>20000</v>
      </c>
      <c r="P1819" s="7">
        <v>46320.23324184028</v>
      </c>
      <c r="Q1819" s="1" t="s">
        <v>330</v>
      </c>
      <c r="T1819" s="1" t="s">
        <v>416</v>
      </c>
      <c r="U1819" s="1" t="s">
        <v>417</v>
      </c>
      <c r="V1819" s="1">
        <v>1</v>
      </c>
      <c r="W1819" s="3">
        <v>37165.919999999998</v>
      </c>
      <c r="X1819" s="3">
        <v>37165.919999999998</v>
      </c>
      <c r="Y1819" s="1" t="str">
        <f>VLOOKUP(A1819,[1]Detalle!$D$2:$CR$484,93,FALSE)</f>
        <v>CCUCoAZA</v>
      </c>
    </row>
    <row r="1820" spans="1:25" ht="14.25" customHeight="1" x14ac:dyDescent="0.3">
      <c r="A1820" s="1" t="s">
        <v>202</v>
      </c>
      <c r="B1820" s="1" t="s">
        <v>415</v>
      </c>
      <c r="C1820" s="1" t="s">
        <v>415</v>
      </c>
      <c r="D1820" s="1" t="s">
        <v>366</v>
      </c>
      <c r="E1820" s="6">
        <v>45608</v>
      </c>
      <c r="F1820" s="1">
        <v>702674</v>
      </c>
      <c r="G1820" s="1">
        <v>722674</v>
      </c>
      <c r="H1820" s="1">
        <v>10099.13000000001</v>
      </c>
      <c r="I1820" s="1">
        <v>9900.8699999999881</v>
      </c>
      <c r="J1820" s="1">
        <v>712773.13</v>
      </c>
      <c r="K1820" s="1">
        <v>339</v>
      </c>
      <c r="L1820" s="1">
        <v>30.666407407407419</v>
      </c>
      <c r="M1820" s="1">
        <v>332.34495743692702</v>
      </c>
      <c r="N1820" s="7">
        <v>45947</v>
      </c>
      <c r="O1820" s="1">
        <v>20000</v>
      </c>
      <c r="P1820" s="7">
        <v>46279.344957442132</v>
      </c>
      <c r="Q1820" s="1" t="s">
        <v>330</v>
      </c>
      <c r="T1820" s="1" t="s">
        <v>416</v>
      </c>
      <c r="U1820" s="1" t="s">
        <v>417</v>
      </c>
      <c r="V1820" s="1">
        <v>1</v>
      </c>
      <c r="W1820" s="3">
        <v>37165.919999999998</v>
      </c>
      <c r="X1820" s="3">
        <v>37165.919999999998</v>
      </c>
      <c r="Y1820" s="1" t="str">
        <f>VLOOKUP(A1820,[1]Detalle!$D$2:$CR$484,93,FALSE)</f>
        <v>CCUDyAZA</v>
      </c>
    </row>
    <row r="1821" spans="1:25" ht="14.25" customHeight="1" x14ac:dyDescent="0.3">
      <c r="A1821" s="1" t="s">
        <v>185</v>
      </c>
      <c r="B1821" s="1" t="s">
        <v>415</v>
      </c>
      <c r="C1821" s="1" t="s">
        <v>415</v>
      </c>
      <c r="D1821" s="1" t="s">
        <v>366</v>
      </c>
      <c r="E1821" s="6">
        <v>45748</v>
      </c>
      <c r="F1821" s="1">
        <v>14041.5</v>
      </c>
      <c r="G1821" s="1">
        <v>34041.5</v>
      </c>
      <c r="H1821" s="1">
        <v>7825.0999999999995</v>
      </c>
      <c r="I1821" s="1">
        <v>12174.9</v>
      </c>
      <c r="J1821" s="1">
        <v>21866.6</v>
      </c>
      <c r="K1821" s="1">
        <v>199</v>
      </c>
      <c r="L1821" s="1">
        <v>45.164889705882352</v>
      </c>
      <c r="M1821" s="1">
        <v>309.61969815082239</v>
      </c>
      <c r="N1821" s="7">
        <v>45947</v>
      </c>
      <c r="O1821" s="1">
        <v>20000</v>
      </c>
      <c r="P1821" s="7">
        <v>46256.619698148148</v>
      </c>
      <c r="Q1821" s="1" t="s">
        <v>330</v>
      </c>
      <c r="T1821" s="1" t="s">
        <v>416</v>
      </c>
      <c r="U1821" s="1" t="s">
        <v>417</v>
      </c>
      <c r="V1821" s="1">
        <v>1</v>
      </c>
      <c r="W1821" s="3">
        <v>37165.919999999998</v>
      </c>
      <c r="X1821" s="3">
        <v>37165.919999999998</v>
      </c>
      <c r="Y1821" s="1" t="str">
        <f>VLOOKUP(A1821,[1]Detalle!$D$2:$CR$484,93,FALSE)</f>
        <v>CENCO_SJ - Cencosud SA - San Juan</v>
      </c>
    </row>
    <row r="1822" spans="1:25" ht="14.25" customHeight="1" x14ac:dyDescent="0.3">
      <c r="A1822" s="1" t="s">
        <v>174</v>
      </c>
      <c r="B1822" s="1" t="s">
        <v>415</v>
      </c>
      <c r="C1822" s="1" t="s">
        <v>415</v>
      </c>
      <c r="D1822" s="1" t="s">
        <v>366</v>
      </c>
      <c r="E1822" s="6">
        <v>45834</v>
      </c>
      <c r="F1822" s="1">
        <v>23886.799999999999</v>
      </c>
      <c r="G1822" s="1">
        <v>43886.8</v>
      </c>
      <c r="H1822" s="1">
        <v>11552.1</v>
      </c>
      <c r="I1822" s="1">
        <v>8447.9000000000033</v>
      </c>
      <c r="J1822" s="1">
        <v>35438.899999999987</v>
      </c>
      <c r="K1822" s="1">
        <v>113</v>
      </c>
      <c r="L1822" s="1">
        <v>71.271935483870948</v>
      </c>
      <c r="M1822" s="1">
        <v>82.635425593615068</v>
      </c>
      <c r="N1822" s="7">
        <v>45947</v>
      </c>
      <c r="O1822" s="1">
        <v>20000</v>
      </c>
      <c r="P1822" s="7">
        <v>46029.635425590277</v>
      </c>
      <c r="Q1822" s="1" t="s">
        <v>330</v>
      </c>
      <c r="T1822" s="1" t="s">
        <v>416</v>
      </c>
      <c r="U1822" s="1" t="s">
        <v>417</v>
      </c>
      <c r="V1822" s="1">
        <v>1</v>
      </c>
      <c r="W1822" s="3">
        <v>37165.919999999998</v>
      </c>
      <c r="X1822" s="3">
        <v>37165.919999999998</v>
      </c>
      <c r="Y1822" s="1" t="str">
        <f>VLOOKUP(A1822,[1]Detalle!$D$2:$CR$484,93,FALSE)</f>
        <v>Unilever - Unilever de Arg. S.A.</v>
      </c>
    </row>
    <row r="1823" spans="1:25" ht="14.25" customHeight="1" x14ac:dyDescent="0.3">
      <c r="A1823" s="1" t="s">
        <v>172</v>
      </c>
      <c r="B1823" s="1" t="s">
        <v>415</v>
      </c>
      <c r="C1823" s="1" t="s">
        <v>415</v>
      </c>
      <c r="D1823" s="1" t="s">
        <v>366</v>
      </c>
      <c r="E1823" s="1" t="s">
        <v>337</v>
      </c>
      <c r="F1823" s="1">
        <v>11346.4</v>
      </c>
      <c r="G1823" s="1">
        <v>31346.400000000001</v>
      </c>
      <c r="H1823" s="1">
        <v>9575.0499999999993</v>
      </c>
      <c r="I1823" s="1">
        <v>10424.950000000001</v>
      </c>
      <c r="J1823" s="1">
        <v>20921.45</v>
      </c>
      <c r="K1823" s="1">
        <v>243</v>
      </c>
      <c r="L1823" s="1">
        <v>35.996428571428567</v>
      </c>
      <c r="M1823" s="1">
        <v>264.56915107492921</v>
      </c>
      <c r="N1823" s="7">
        <v>45947</v>
      </c>
      <c r="O1823" s="1">
        <v>20000</v>
      </c>
      <c r="P1823" s="7">
        <v>46211.569151076394</v>
      </c>
      <c r="Q1823" s="1" t="s">
        <v>330</v>
      </c>
      <c r="T1823" s="1" t="s">
        <v>416</v>
      </c>
      <c r="U1823" s="1" t="s">
        <v>417</v>
      </c>
      <c r="V1823" s="1">
        <v>1</v>
      </c>
      <c r="W1823" s="3">
        <v>37165.919999999998</v>
      </c>
      <c r="X1823" s="3">
        <v>37165.919999999998</v>
      </c>
      <c r="Y1823" s="1" t="str">
        <f>VLOOKUP(A1823,[1]Detalle!$D$2:$CR$484,93,FALSE)</f>
        <v>CENCO_MZ - Cencosud SA - Mendoza</v>
      </c>
    </row>
    <row r="1824" spans="1:25" ht="14.25" customHeight="1" x14ac:dyDescent="0.3">
      <c r="A1824" s="1" t="s">
        <v>171</v>
      </c>
      <c r="B1824" s="1" t="s">
        <v>415</v>
      </c>
      <c r="C1824" s="1" t="s">
        <v>415</v>
      </c>
      <c r="D1824" s="1" t="s">
        <v>366</v>
      </c>
      <c r="E1824" s="6">
        <v>45835</v>
      </c>
      <c r="F1824" s="1">
        <v>34917.800000000003</v>
      </c>
      <c r="G1824" s="1">
        <v>54917.8</v>
      </c>
      <c r="H1824" s="1">
        <v>14084.2</v>
      </c>
      <c r="I1824" s="1">
        <v>5915.7999999999975</v>
      </c>
      <c r="J1824" s="1">
        <v>49002.000000000007</v>
      </c>
      <c r="K1824" s="1">
        <v>112</v>
      </c>
      <c r="L1824" s="1">
        <v>130.96596721311471</v>
      </c>
      <c r="M1824" s="1">
        <v>47.04346714758379</v>
      </c>
      <c r="N1824" s="7">
        <v>45947</v>
      </c>
      <c r="O1824" s="1">
        <v>20000</v>
      </c>
      <c r="P1824" s="7">
        <v>46146.754896122693</v>
      </c>
      <c r="Q1824" s="1" t="s">
        <v>330</v>
      </c>
      <c r="T1824" s="1" t="s">
        <v>416</v>
      </c>
      <c r="U1824" s="1" t="s">
        <v>417</v>
      </c>
      <c r="V1824" s="1">
        <v>1</v>
      </c>
      <c r="W1824" s="3">
        <v>37165.919999999998</v>
      </c>
      <c r="X1824" s="3">
        <v>37165.919999999998</v>
      </c>
      <c r="Y1824" s="1" t="str">
        <f>VLOOKUP(A1824,[1]Detalle!$D$2:$CR$484,93,FALSE)</f>
        <v>CENCO_MZ - Cencosud SA - Mendoza</v>
      </c>
    </row>
    <row r="1825" spans="1:25" ht="14.25" customHeight="1" x14ac:dyDescent="0.3">
      <c r="A1825" s="1" t="s">
        <v>170</v>
      </c>
      <c r="B1825" s="1" t="s">
        <v>415</v>
      </c>
      <c r="C1825" s="1" t="s">
        <v>415</v>
      </c>
      <c r="D1825" s="1" t="s">
        <v>366</v>
      </c>
      <c r="E1825" s="6">
        <v>45726</v>
      </c>
      <c r="F1825" s="1">
        <v>41546.1</v>
      </c>
      <c r="G1825" s="1">
        <v>61546.1</v>
      </c>
      <c r="H1825" s="1">
        <v>24274.80000000001</v>
      </c>
      <c r="I1825" s="1">
        <v>-4274.8000000000102</v>
      </c>
      <c r="J1825" s="1">
        <v>65820.900000000009</v>
      </c>
      <c r="K1825" s="1">
        <v>221</v>
      </c>
      <c r="L1825" s="1">
        <v>124.4065073529412</v>
      </c>
      <c r="M1825" s="1">
        <v>-38.918170283586349</v>
      </c>
      <c r="N1825" s="7">
        <v>45947</v>
      </c>
      <c r="O1825" s="1">
        <v>20000</v>
      </c>
      <c r="P1825" s="7">
        <v>46107.76329466435</v>
      </c>
      <c r="Q1825" s="1" t="s">
        <v>330</v>
      </c>
      <c r="T1825" s="1" t="s">
        <v>416</v>
      </c>
      <c r="U1825" s="1" t="s">
        <v>417</v>
      </c>
      <c r="V1825" s="1">
        <v>1</v>
      </c>
      <c r="W1825" s="3">
        <v>37165.919999999998</v>
      </c>
      <c r="X1825" s="3">
        <v>37165.919999999998</v>
      </c>
      <c r="Y1825" s="1" t="str">
        <f>VLOOKUP(A1825,[1]Detalle!$D$2:$CR$484,93,FALSE)</f>
        <v>SUC_REA - Sucursal Realicó</v>
      </c>
    </row>
    <row r="1826" spans="1:25" ht="14.25" customHeight="1" x14ac:dyDescent="0.3">
      <c r="A1826" s="1" t="s">
        <v>169</v>
      </c>
      <c r="B1826" s="1" t="s">
        <v>415</v>
      </c>
      <c r="C1826" s="1" t="s">
        <v>415</v>
      </c>
      <c r="D1826" s="1" t="s">
        <v>366</v>
      </c>
      <c r="E1826" s="6">
        <v>45751</v>
      </c>
      <c r="F1826" s="1">
        <v>477469</v>
      </c>
      <c r="G1826" s="1">
        <v>497469</v>
      </c>
      <c r="H1826" s="1">
        <v>8637.3999999999978</v>
      </c>
      <c r="I1826" s="1">
        <v>11362.6</v>
      </c>
      <c r="J1826" s="1">
        <v>486106.4</v>
      </c>
      <c r="K1826" s="1">
        <v>196</v>
      </c>
      <c r="L1826" s="1">
        <v>40.704758842443738</v>
      </c>
      <c r="M1826" s="1">
        <v>257.84027600898429</v>
      </c>
      <c r="N1826" s="7">
        <v>45947</v>
      </c>
      <c r="O1826" s="1">
        <v>20000</v>
      </c>
      <c r="P1826" s="7">
        <v>46204.840276006937</v>
      </c>
      <c r="Q1826" s="1" t="s">
        <v>330</v>
      </c>
      <c r="T1826" s="1" t="s">
        <v>416</v>
      </c>
      <c r="U1826" s="1" t="s">
        <v>417</v>
      </c>
      <c r="V1826" s="1">
        <v>1</v>
      </c>
      <c r="W1826" s="3">
        <v>37165.919999999998</v>
      </c>
      <c r="X1826" s="3">
        <v>37165.919999999998</v>
      </c>
      <c r="Y1826" s="1" t="str">
        <f>VLOOKUP(A1826,[1]Detalle!$D$2:$CR$484,93,FALSE)</f>
        <v>CCUCoAZA</v>
      </c>
    </row>
    <row r="1827" spans="1:25" ht="14.25" customHeight="1" x14ac:dyDescent="0.3">
      <c r="A1827" s="1" t="s">
        <v>168</v>
      </c>
      <c r="B1827" s="1" t="s">
        <v>415</v>
      </c>
      <c r="C1827" s="1" t="s">
        <v>415</v>
      </c>
      <c r="D1827" s="1" t="s">
        <v>366</v>
      </c>
      <c r="E1827" s="6">
        <v>45418</v>
      </c>
      <c r="F1827" s="1">
        <v>537972</v>
      </c>
      <c r="G1827" s="1">
        <v>557972</v>
      </c>
      <c r="H1827" s="1">
        <v>40674.07</v>
      </c>
      <c r="I1827" s="1">
        <v>-20674.07</v>
      </c>
      <c r="J1827" s="1">
        <v>578646.06999999995</v>
      </c>
      <c r="K1827" s="1">
        <v>529</v>
      </c>
      <c r="L1827" s="1">
        <v>80.547755775577556</v>
      </c>
      <c r="M1827" s="1">
        <v>-268.88341958402492</v>
      </c>
      <c r="N1827" s="7">
        <v>45947</v>
      </c>
      <c r="O1827" s="1">
        <v>20000</v>
      </c>
      <c r="P1827" s="7">
        <v>46195.29990366898</v>
      </c>
      <c r="Q1827" s="1" t="s">
        <v>330</v>
      </c>
      <c r="T1827" s="1" t="s">
        <v>416</v>
      </c>
      <c r="U1827" s="1" t="s">
        <v>417</v>
      </c>
      <c r="V1827" s="1">
        <v>1</v>
      </c>
      <c r="W1827" s="3">
        <v>37165.919999999998</v>
      </c>
      <c r="X1827" s="3">
        <v>37165.919999999998</v>
      </c>
      <c r="Y1827" s="1" t="str">
        <f>VLOOKUP(A1827,[1]Detalle!$D$2:$CR$484,93,FALSE)</f>
        <v>Unilever - Unilever de Arg. S.A.</v>
      </c>
    </row>
    <row r="1828" spans="1:25" ht="14.25" customHeight="1" x14ac:dyDescent="0.3">
      <c r="A1828" s="1" t="s">
        <v>167</v>
      </c>
      <c r="B1828" s="1" t="s">
        <v>415</v>
      </c>
      <c r="C1828" s="1" t="s">
        <v>415</v>
      </c>
      <c r="D1828" s="1" t="s">
        <v>366</v>
      </c>
      <c r="E1828" s="6">
        <v>45833</v>
      </c>
      <c r="F1828" s="1">
        <v>693855</v>
      </c>
      <c r="G1828" s="1">
        <v>713855</v>
      </c>
      <c r="H1828" s="1">
        <v>5947.7000000000025</v>
      </c>
      <c r="I1828" s="1">
        <v>14052.3</v>
      </c>
      <c r="J1828" s="1">
        <v>699802.7</v>
      </c>
      <c r="K1828" s="1">
        <v>114</v>
      </c>
      <c r="L1828" s="1">
        <v>54.087953795379541</v>
      </c>
      <c r="M1828" s="1">
        <v>269.34145972392668</v>
      </c>
      <c r="N1828" s="7">
        <v>45947</v>
      </c>
      <c r="O1828" s="1">
        <v>20000</v>
      </c>
      <c r="P1828" s="7">
        <v>46216.341459722222</v>
      </c>
      <c r="Q1828" s="1" t="s">
        <v>330</v>
      </c>
      <c r="T1828" s="1" t="s">
        <v>416</v>
      </c>
      <c r="U1828" s="1" t="s">
        <v>417</v>
      </c>
      <c r="V1828" s="1">
        <v>1</v>
      </c>
      <c r="W1828" s="3">
        <v>37165.919999999998</v>
      </c>
      <c r="X1828" s="3">
        <v>37165.919999999998</v>
      </c>
      <c r="Y1828" s="1" t="str">
        <f>VLOOKUP(A1828,[1]Detalle!$D$2:$CR$484,93,FALSE)</f>
        <v>Papelera - Papelera del Plata S.A.</v>
      </c>
    </row>
    <row r="1829" spans="1:25" ht="14.25" customHeight="1" x14ac:dyDescent="0.3">
      <c r="A1829" s="1" t="s">
        <v>166</v>
      </c>
      <c r="B1829" s="1" t="s">
        <v>415</v>
      </c>
      <c r="C1829" s="1" t="s">
        <v>415</v>
      </c>
      <c r="D1829" s="1" t="s">
        <v>366</v>
      </c>
      <c r="E1829" s="6">
        <v>45737</v>
      </c>
      <c r="F1829" s="1">
        <v>457869</v>
      </c>
      <c r="G1829" s="1">
        <v>477869</v>
      </c>
      <c r="H1829" s="1">
        <v>9177.2000000000044</v>
      </c>
      <c r="I1829" s="1">
        <v>10822.8</v>
      </c>
      <c r="J1829" s="1">
        <v>467046.2</v>
      </c>
      <c r="K1829" s="1">
        <v>210</v>
      </c>
      <c r="L1829" s="1">
        <v>39.232829581993563</v>
      </c>
      <c r="M1829" s="1">
        <v>247.65592991326309</v>
      </c>
      <c r="N1829" s="7">
        <v>45947</v>
      </c>
      <c r="O1829" s="1">
        <v>20000</v>
      </c>
      <c r="P1829" s="7">
        <v>46194.655929918983</v>
      </c>
      <c r="Q1829" s="1" t="s">
        <v>330</v>
      </c>
      <c r="T1829" s="1" t="s">
        <v>416</v>
      </c>
      <c r="U1829" s="1" t="s">
        <v>417</v>
      </c>
      <c r="V1829" s="1">
        <v>1</v>
      </c>
      <c r="W1829" s="3">
        <v>37165.919999999998</v>
      </c>
      <c r="X1829" s="3">
        <v>37165.919999999998</v>
      </c>
      <c r="Y1829" s="1" t="str">
        <f>VLOOKUP(A1829,[1]Detalle!$D$2:$CR$484,93,FALSE)</f>
        <v>CCUCoAZA</v>
      </c>
    </row>
    <row r="1830" spans="1:25" ht="14.25" customHeight="1" x14ac:dyDescent="0.3">
      <c r="A1830" s="1" t="s">
        <v>165</v>
      </c>
      <c r="B1830" s="1" t="s">
        <v>415</v>
      </c>
      <c r="C1830" s="1" t="s">
        <v>415</v>
      </c>
      <c r="D1830" s="1" t="s">
        <v>366</v>
      </c>
      <c r="E1830" s="6">
        <v>45825</v>
      </c>
      <c r="F1830" s="1">
        <v>860822</v>
      </c>
      <c r="G1830" s="1">
        <v>880822</v>
      </c>
      <c r="H1830" s="1">
        <v>4797.9999999999991</v>
      </c>
      <c r="I1830" s="1">
        <v>15202</v>
      </c>
      <c r="J1830" s="1">
        <v>865620</v>
      </c>
      <c r="K1830" s="1">
        <v>122</v>
      </c>
      <c r="L1830" s="1">
        <v>70.738193548387088</v>
      </c>
      <c r="M1830" s="1">
        <v>386.54522717799091</v>
      </c>
      <c r="N1830" s="7">
        <v>45947</v>
      </c>
      <c r="O1830" s="1">
        <v>20000</v>
      </c>
      <c r="P1830" s="7">
        <v>46333.545227175928</v>
      </c>
      <c r="Q1830" s="1" t="s">
        <v>330</v>
      </c>
      <c r="T1830" s="1" t="s">
        <v>416</v>
      </c>
      <c r="U1830" s="1" t="s">
        <v>417</v>
      </c>
      <c r="V1830" s="1">
        <v>1</v>
      </c>
      <c r="W1830" s="3">
        <v>37165.919999999998</v>
      </c>
      <c r="X1830" s="3">
        <v>37165.919999999998</v>
      </c>
      <c r="Y1830" s="1" t="str">
        <f>VLOOKUP(A1830,[1]Detalle!$D$2:$CR$484,93,FALSE)</f>
        <v>Papelera - Papelera del Plata S.A.</v>
      </c>
    </row>
    <row r="1831" spans="1:25" ht="14.25" customHeight="1" x14ac:dyDescent="0.3">
      <c r="A1831" s="1" t="s">
        <v>152</v>
      </c>
      <c r="B1831" s="1" t="s">
        <v>415</v>
      </c>
      <c r="C1831" s="1" t="s">
        <v>415</v>
      </c>
      <c r="D1831" s="1" t="s">
        <v>366</v>
      </c>
      <c r="E1831" s="6">
        <v>45845</v>
      </c>
      <c r="F1831" s="1">
        <v>958885</v>
      </c>
      <c r="G1831" s="1">
        <v>978885</v>
      </c>
      <c r="H1831" s="1">
        <v>14167.3</v>
      </c>
      <c r="I1831" s="1">
        <v>5832.7000000000044</v>
      </c>
      <c r="J1831" s="1">
        <v>973052.3</v>
      </c>
      <c r="K1831" s="1">
        <v>102</v>
      </c>
      <c r="L1831" s="1">
        <v>132.10963696369629</v>
      </c>
      <c r="M1831" s="1">
        <v>41.993562640729053</v>
      </c>
      <c r="N1831" s="7">
        <v>45947</v>
      </c>
      <c r="O1831" s="1">
        <v>20000</v>
      </c>
      <c r="P1831" s="7">
        <v>46140.382972673608</v>
      </c>
      <c r="Q1831" s="1" t="s">
        <v>330</v>
      </c>
      <c r="T1831" s="1" t="s">
        <v>416</v>
      </c>
      <c r="U1831" s="1" t="s">
        <v>417</v>
      </c>
      <c r="V1831" s="1">
        <v>1</v>
      </c>
      <c r="W1831" s="3">
        <v>37165.919999999998</v>
      </c>
      <c r="X1831" s="3">
        <v>37165.919999999998</v>
      </c>
      <c r="Y1831" s="1" t="str">
        <f>VLOOKUP(A1831,[1]Detalle!$D$2:$CR$484,93,FALSE)</f>
        <v>SUC_REA - Sucursal Realicó</v>
      </c>
    </row>
    <row r="1832" spans="1:25" ht="14.25" customHeight="1" x14ac:dyDescent="0.3">
      <c r="A1832" s="1" t="s">
        <v>150</v>
      </c>
      <c r="B1832" s="1" t="s">
        <v>415</v>
      </c>
      <c r="C1832" s="1" t="s">
        <v>415</v>
      </c>
      <c r="D1832" s="1" t="s">
        <v>366</v>
      </c>
      <c r="E1832" s="6">
        <v>45905</v>
      </c>
      <c r="F1832" s="1">
        <v>733433</v>
      </c>
      <c r="G1832" s="1">
        <v>753433</v>
      </c>
      <c r="H1832" s="1">
        <v>2805.7</v>
      </c>
      <c r="I1832" s="1">
        <v>17194.3</v>
      </c>
      <c r="J1832" s="1">
        <v>736238.7</v>
      </c>
      <c r="K1832" s="1">
        <v>42</v>
      </c>
      <c r="L1832" s="1">
        <v>143.50707395498381</v>
      </c>
      <c r="M1832" s="1">
        <v>257.39052642834241</v>
      </c>
      <c r="N1832" s="7">
        <v>45947</v>
      </c>
      <c r="O1832" s="1">
        <v>20000</v>
      </c>
      <c r="P1832" s="7">
        <v>46204.390526423609</v>
      </c>
      <c r="Q1832" s="1" t="s">
        <v>330</v>
      </c>
      <c r="T1832" s="1" t="s">
        <v>416</v>
      </c>
      <c r="U1832" s="1" t="s">
        <v>417</v>
      </c>
      <c r="V1832" s="1">
        <v>1</v>
      </c>
      <c r="W1832" s="3">
        <v>37165.919999999998</v>
      </c>
      <c r="X1832" s="3">
        <v>37165.919999999998</v>
      </c>
      <c r="Y1832" s="1" t="str">
        <f>VLOOKUP(A1832,[1]Detalle!$D$2:$CR$484,93,FALSE)</f>
        <v>Papelera - Papelera del Plata S.A.</v>
      </c>
    </row>
    <row r="1833" spans="1:25" ht="14.25" customHeight="1" x14ac:dyDescent="0.3">
      <c r="A1833" s="1" t="s">
        <v>132</v>
      </c>
      <c r="B1833" s="1" t="s">
        <v>418</v>
      </c>
      <c r="C1833" s="1" t="s">
        <v>415</v>
      </c>
      <c r="D1833" s="1" t="s">
        <v>366</v>
      </c>
      <c r="E1833" s="6">
        <v>45546</v>
      </c>
      <c r="F1833" s="1">
        <v>235609</v>
      </c>
      <c r="G1833" s="1">
        <v>255609</v>
      </c>
      <c r="H1833" s="1">
        <v>21825.48</v>
      </c>
      <c r="I1833" s="1">
        <v>-1825.4799999999959</v>
      </c>
      <c r="J1833" s="1">
        <v>257434.48</v>
      </c>
      <c r="K1833" s="1">
        <v>401</v>
      </c>
      <c r="L1833" s="1">
        <v>61.857388059701528</v>
      </c>
      <c r="M1833" s="1">
        <v>-33.539582176428581</v>
      </c>
      <c r="N1833" s="7">
        <v>45947</v>
      </c>
      <c r="O1833" s="1">
        <v>20000</v>
      </c>
      <c r="P1833" s="7">
        <v>46270.3243534375</v>
      </c>
      <c r="Q1833" s="1" t="s">
        <v>330</v>
      </c>
      <c r="T1833" s="1" t="s">
        <v>419</v>
      </c>
      <c r="U1833" s="1" t="s">
        <v>420</v>
      </c>
      <c r="V1833" s="1">
        <v>1</v>
      </c>
      <c r="W1833" s="3">
        <v>42474.239999999998</v>
      </c>
      <c r="X1833" s="3">
        <v>42474.239999999998</v>
      </c>
      <c r="Y1833" s="1" t="str">
        <f>VLOOKUP(A1833,[1]Detalle!$D$2:$CR$484,93,FALSE)</f>
        <v>Topacio</v>
      </c>
    </row>
    <row r="1834" spans="1:25" ht="14.25" customHeight="1" x14ac:dyDescent="0.3">
      <c r="A1834" s="1" t="s">
        <v>129</v>
      </c>
      <c r="B1834" s="1" t="s">
        <v>418</v>
      </c>
      <c r="C1834" s="1" t="s">
        <v>415</v>
      </c>
      <c r="D1834" s="1" t="s">
        <v>366</v>
      </c>
      <c r="E1834" s="6">
        <v>45882</v>
      </c>
      <c r="F1834" s="1">
        <v>289935</v>
      </c>
      <c r="G1834" s="1">
        <v>309935</v>
      </c>
      <c r="H1834" s="1">
        <v>2579.900000000001</v>
      </c>
      <c r="I1834" s="1">
        <v>17420.099999999999</v>
      </c>
      <c r="J1834" s="1">
        <v>292514.90000000002</v>
      </c>
      <c r="K1834" s="1">
        <v>65</v>
      </c>
      <c r="L1834" s="1">
        <v>56.324626865671632</v>
      </c>
      <c r="M1834" s="1">
        <v>438.89549982557452</v>
      </c>
      <c r="N1834" s="7">
        <v>45947</v>
      </c>
      <c r="O1834" s="1">
        <v>20000</v>
      </c>
      <c r="P1834" s="7">
        <v>46385.895499826387</v>
      </c>
      <c r="Q1834" s="1" t="s">
        <v>330</v>
      </c>
      <c r="T1834" s="1" t="s">
        <v>419</v>
      </c>
      <c r="U1834" s="1" t="s">
        <v>420</v>
      </c>
      <c r="V1834" s="1">
        <v>1</v>
      </c>
      <c r="W1834" s="3">
        <v>42474.239999999998</v>
      </c>
      <c r="X1834" s="3">
        <v>42474.239999999998</v>
      </c>
      <c r="Y1834" s="1" t="str">
        <f>VLOOKUP(A1834,[1]Detalle!$D$2:$CR$484,93,FALSE)</f>
        <v>Alfavinil SA</v>
      </c>
    </row>
    <row r="1835" spans="1:25" ht="14.25" customHeight="1" x14ac:dyDescent="0.3">
      <c r="A1835" s="1" t="s">
        <v>128</v>
      </c>
      <c r="B1835" s="1" t="s">
        <v>418</v>
      </c>
      <c r="C1835" s="1" t="s">
        <v>415</v>
      </c>
      <c r="D1835" s="1" t="s">
        <v>366</v>
      </c>
      <c r="E1835" s="6">
        <v>45743</v>
      </c>
      <c r="F1835" s="1">
        <v>315257</v>
      </c>
      <c r="G1835" s="1">
        <v>335257</v>
      </c>
      <c r="H1835" s="1">
        <v>0</v>
      </c>
      <c r="I1835" s="1">
        <v>20000</v>
      </c>
      <c r="J1835" s="1">
        <v>315257</v>
      </c>
      <c r="K1835" s="1">
        <v>204</v>
      </c>
      <c r="L1835" s="1">
        <v>4.0251111111111113</v>
      </c>
      <c r="M1835" s="1">
        <v>200</v>
      </c>
      <c r="N1835" s="7">
        <v>45947</v>
      </c>
      <c r="O1835" s="1">
        <v>20000</v>
      </c>
      <c r="P1835" s="7">
        <v>46147</v>
      </c>
      <c r="Q1835" s="1" t="s">
        <v>330</v>
      </c>
      <c r="T1835" s="1" t="s">
        <v>419</v>
      </c>
      <c r="U1835" s="1" t="s">
        <v>420</v>
      </c>
      <c r="V1835" s="1">
        <v>1</v>
      </c>
      <c r="W1835" s="3">
        <v>42474.239999999998</v>
      </c>
      <c r="X1835" s="3">
        <v>42474.239999999998</v>
      </c>
      <c r="Y1835" s="1" t="str">
        <f>VLOOKUP(A1835,[1]Detalle!$D$2:$CR$484,93,FALSE)</f>
        <v>Arcor S.A.I.C.</v>
      </c>
    </row>
    <row r="1836" spans="1:25" ht="14.25" customHeight="1" x14ac:dyDescent="0.3">
      <c r="A1836" s="1" t="s">
        <v>127</v>
      </c>
      <c r="B1836" s="1" t="s">
        <v>418</v>
      </c>
      <c r="C1836" s="1" t="s">
        <v>415</v>
      </c>
      <c r="D1836" s="1" t="s">
        <v>366</v>
      </c>
      <c r="E1836" s="6">
        <v>45449</v>
      </c>
      <c r="F1836" s="1">
        <v>384179.04200000002</v>
      </c>
      <c r="G1836" s="1">
        <v>404179.04200000002</v>
      </c>
      <c r="H1836" s="1">
        <v>14668.800000000019</v>
      </c>
      <c r="I1836" s="1">
        <v>5331.1999999999834</v>
      </c>
      <c r="J1836" s="1">
        <v>398847.84200000012</v>
      </c>
      <c r="K1836" s="1">
        <v>498</v>
      </c>
      <c r="L1836" s="1">
        <v>60</v>
      </c>
      <c r="M1836" s="1">
        <v>180.99214659685779</v>
      </c>
      <c r="N1836" s="7">
        <v>45947</v>
      </c>
      <c r="O1836" s="1">
        <v>20000</v>
      </c>
      <c r="P1836" s="7">
        <v>46280.333333333343</v>
      </c>
      <c r="Q1836" s="1" t="s">
        <v>330</v>
      </c>
      <c r="T1836" s="1" t="s">
        <v>419</v>
      </c>
      <c r="U1836" s="1" t="s">
        <v>420</v>
      </c>
      <c r="V1836" s="1">
        <v>1</v>
      </c>
      <c r="W1836" s="3">
        <v>42474.239999999998</v>
      </c>
      <c r="X1836" s="3">
        <v>42474.239999999998</v>
      </c>
      <c r="Y1836" s="1" t="str">
        <f>VLOOKUP(A1836,[1]Detalle!$D$2:$CR$484,93,FALSE)</f>
        <v>Sin Operación</v>
      </c>
    </row>
    <row r="1837" spans="1:25" ht="14.25" customHeight="1" x14ac:dyDescent="0.3">
      <c r="A1837" s="1" t="s">
        <v>123</v>
      </c>
      <c r="B1837" s="1" t="s">
        <v>418</v>
      </c>
      <c r="C1837" s="1" t="s">
        <v>415</v>
      </c>
      <c r="D1837" s="1" t="s">
        <v>366</v>
      </c>
      <c r="E1837" s="1" t="s">
        <v>337</v>
      </c>
      <c r="L1837" s="1">
        <v>96.824519230769212</v>
      </c>
      <c r="N1837" s="7">
        <v>45947</v>
      </c>
      <c r="O1837" s="1">
        <v>20000</v>
      </c>
      <c r="P1837" s="7">
        <v>46153.55924923611</v>
      </c>
      <c r="Q1837" s="1" t="s">
        <v>330</v>
      </c>
      <c r="T1837" s="1" t="s">
        <v>419</v>
      </c>
      <c r="U1837" s="1" t="s">
        <v>420</v>
      </c>
      <c r="V1837" s="1">
        <v>1</v>
      </c>
      <c r="W1837" s="3">
        <v>42474.239999999998</v>
      </c>
      <c r="X1837" s="3">
        <v>42474.239999999998</v>
      </c>
      <c r="Y1837" s="1" t="str">
        <f>VLOOKUP(A1837,[1]Detalle!$D$2:$CR$484,93,FALSE)</f>
        <v>SUC_SRA - Sucursal San Rafael</v>
      </c>
    </row>
    <row r="1838" spans="1:25" ht="14.25" customHeight="1" x14ac:dyDescent="0.3">
      <c r="A1838" s="1" t="s">
        <v>119</v>
      </c>
      <c r="B1838" s="1" t="s">
        <v>418</v>
      </c>
      <c r="C1838" s="1" t="s">
        <v>415</v>
      </c>
      <c r="D1838" s="1" t="s">
        <v>366</v>
      </c>
      <c r="E1838" s="6">
        <v>45831</v>
      </c>
      <c r="F1838" s="1">
        <v>358562</v>
      </c>
      <c r="G1838" s="1">
        <v>378562</v>
      </c>
      <c r="H1838" s="1">
        <v>10154.9</v>
      </c>
      <c r="I1838" s="1">
        <v>9845.1</v>
      </c>
      <c r="J1838" s="1">
        <v>368716.9</v>
      </c>
      <c r="K1838" s="1">
        <v>116</v>
      </c>
      <c r="L1838" s="1">
        <v>95.559666666666672</v>
      </c>
      <c r="M1838" s="1">
        <v>112.461136988055</v>
      </c>
      <c r="N1838" s="7">
        <v>45947</v>
      </c>
      <c r="O1838" s="1">
        <v>20000</v>
      </c>
      <c r="P1838" s="7">
        <v>46059.461136990743</v>
      </c>
      <c r="Q1838" s="1" t="s">
        <v>330</v>
      </c>
      <c r="T1838" s="1" t="s">
        <v>419</v>
      </c>
      <c r="U1838" s="1" t="s">
        <v>420</v>
      </c>
      <c r="V1838" s="1">
        <v>1</v>
      </c>
      <c r="W1838" s="3">
        <v>42474.239999999998</v>
      </c>
      <c r="X1838" s="3">
        <v>42474.239999999998</v>
      </c>
      <c r="Y1838" s="1" t="str">
        <f>VLOOKUP(A1838,[1]Detalle!$D$2:$CR$484,93,FALSE)</f>
        <v>SUC_CTC - Sucursal Buenos Aires</v>
      </c>
    </row>
    <row r="1839" spans="1:25" ht="14.25" customHeight="1" x14ac:dyDescent="0.3">
      <c r="A1839" s="1" t="s">
        <v>163</v>
      </c>
      <c r="B1839" s="1" t="s">
        <v>418</v>
      </c>
      <c r="C1839" s="1" t="s">
        <v>415</v>
      </c>
      <c r="D1839" s="1" t="s">
        <v>366</v>
      </c>
      <c r="E1839" s="6">
        <v>45845</v>
      </c>
      <c r="F1839" s="1">
        <v>656303</v>
      </c>
      <c r="G1839" s="1">
        <v>676303</v>
      </c>
      <c r="H1839" s="1">
        <v>6490.9999999999991</v>
      </c>
      <c r="I1839" s="1">
        <v>13509</v>
      </c>
      <c r="J1839" s="1">
        <v>662794</v>
      </c>
      <c r="K1839" s="1">
        <v>102</v>
      </c>
      <c r="L1839" s="1">
        <v>93.110293159609114</v>
      </c>
      <c r="M1839" s="1">
        <v>212.28131258665849</v>
      </c>
      <c r="N1839" s="7">
        <v>45947</v>
      </c>
      <c r="O1839" s="1">
        <v>20000</v>
      </c>
      <c r="P1839" s="7">
        <v>46159.281312581021</v>
      </c>
      <c r="Q1839" s="1" t="s">
        <v>330</v>
      </c>
      <c r="T1839" s="1" t="s">
        <v>419</v>
      </c>
      <c r="U1839" s="1" t="s">
        <v>420</v>
      </c>
      <c r="V1839" s="1">
        <v>1</v>
      </c>
      <c r="W1839" s="3">
        <v>42474.239999999998</v>
      </c>
      <c r="X1839" s="3">
        <v>42474.239999999998</v>
      </c>
      <c r="Y1839" s="1" t="str">
        <f>VLOOKUP(A1839,[1]Detalle!$D$2:$CR$484,93,FALSE)</f>
        <v>Papelera - Papelera del Plata S.A.</v>
      </c>
    </row>
    <row r="1840" spans="1:25" ht="14.25" customHeight="1" x14ac:dyDescent="0.3">
      <c r="A1840" s="1" t="s">
        <v>162</v>
      </c>
      <c r="B1840" s="1" t="s">
        <v>418</v>
      </c>
      <c r="C1840" s="1" t="s">
        <v>415</v>
      </c>
      <c r="D1840" s="1" t="s">
        <v>366</v>
      </c>
      <c r="E1840" s="6">
        <v>45623</v>
      </c>
      <c r="F1840" s="1">
        <v>6340</v>
      </c>
      <c r="G1840" s="1">
        <v>26340</v>
      </c>
      <c r="H1840" s="1">
        <v>9804.4500000000044</v>
      </c>
      <c r="I1840" s="1">
        <v>10195.549999999999</v>
      </c>
      <c r="J1840" s="1">
        <v>16144.45</v>
      </c>
      <c r="K1840" s="1">
        <v>324</v>
      </c>
      <c r="L1840" s="1">
        <v>31.374080882352938</v>
      </c>
      <c r="M1840" s="1">
        <v>336.92437617612381</v>
      </c>
      <c r="N1840" s="7">
        <v>45947</v>
      </c>
      <c r="O1840" s="1">
        <v>20000</v>
      </c>
      <c r="P1840" s="7">
        <v>46283.924376180563</v>
      </c>
      <c r="Q1840" s="1" t="s">
        <v>330</v>
      </c>
      <c r="T1840" s="1" t="s">
        <v>419</v>
      </c>
      <c r="U1840" s="1" t="s">
        <v>420</v>
      </c>
      <c r="V1840" s="1">
        <v>1</v>
      </c>
      <c r="W1840" s="3">
        <v>42474.239999999998</v>
      </c>
      <c r="X1840" s="3">
        <v>42474.239999999998</v>
      </c>
      <c r="Y1840" s="1" t="str">
        <f>VLOOKUP(A1840,[1]Detalle!$D$2:$CR$484,93,FALSE)</f>
        <v>SUC_SRA - Sucursal San Rafael</v>
      </c>
    </row>
    <row r="1841" spans="1:25" ht="14.25" customHeight="1" x14ac:dyDescent="0.3">
      <c r="A1841" s="1" t="s">
        <v>161</v>
      </c>
      <c r="B1841" s="1" t="s">
        <v>418</v>
      </c>
      <c r="C1841" s="1" t="s">
        <v>415</v>
      </c>
      <c r="D1841" s="1" t="s">
        <v>366</v>
      </c>
      <c r="E1841" s="6">
        <v>45820</v>
      </c>
      <c r="F1841" s="1">
        <v>657691</v>
      </c>
      <c r="G1841" s="1">
        <v>677691</v>
      </c>
      <c r="H1841" s="1">
        <v>12543.4</v>
      </c>
      <c r="I1841" s="1">
        <v>7456.6000000000022</v>
      </c>
      <c r="J1841" s="1">
        <v>670234.4</v>
      </c>
      <c r="K1841" s="1">
        <v>127</v>
      </c>
      <c r="L1841" s="1">
        <v>112.4813870967742</v>
      </c>
      <c r="M1841" s="1">
        <v>75.496930656759758</v>
      </c>
      <c r="N1841" s="7">
        <v>45947</v>
      </c>
      <c r="O1841" s="1">
        <v>20000</v>
      </c>
      <c r="P1841" s="7">
        <v>46200.304126284733</v>
      </c>
      <c r="Q1841" s="1" t="s">
        <v>330</v>
      </c>
      <c r="T1841" s="1" t="s">
        <v>419</v>
      </c>
      <c r="U1841" s="1" t="s">
        <v>420</v>
      </c>
      <c r="V1841" s="1">
        <v>1</v>
      </c>
      <c r="W1841" s="3">
        <v>42474.239999999998</v>
      </c>
      <c r="X1841" s="3">
        <v>42474.239999999998</v>
      </c>
      <c r="Y1841" s="1" t="str">
        <f>VLOOKUP(A1841,[1]Detalle!$D$2:$CR$484,93,FALSE)</f>
        <v>Unilever - Unilever de Arg. S.A.</v>
      </c>
    </row>
    <row r="1842" spans="1:25" ht="14.25" customHeight="1" x14ac:dyDescent="0.3">
      <c r="A1842" s="1" t="s">
        <v>160</v>
      </c>
      <c r="B1842" s="1" t="s">
        <v>418</v>
      </c>
      <c r="C1842" s="1" t="s">
        <v>415</v>
      </c>
      <c r="D1842" s="1" t="s">
        <v>366</v>
      </c>
      <c r="E1842" s="6">
        <v>45748</v>
      </c>
      <c r="F1842" s="1">
        <v>10362</v>
      </c>
      <c r="G1842" s="1">
        <v>30362</v>
      </c>
      <c r="H1842" s="1">
        <v>12667.1</v>
      </c>
      <c r="I1842" s="1">
        <v>7332.9000000000005</v>
      </c>
      <c r="J1842" s="1">
        <v>23029.1</v>
      </c>
      <c r="K1842" s="1">
        <v>199</v>
      </c>
      <c r="L1842" s="1">
        <v>53.990801282051272</v>
      </c>
      <c r="M1842" s="1">
        <v>115.1997773760372</v>
      </c>
      <c r="N1842" s="7">
        <v>45947</v>
      </c>
      <c r="O1842" s="1">
        <v>20000</v>
      </c>
      <c r="P1842" s="7">
        <v>46062.199777372683</v>
      </c>
      <c r="Q1842" s="1" t="s">
        <v>330</v>
      </c>
      <c r="T1842" s="1" t="s">
        <v>419</v>
      </c>
      <c r="U1842" s="1" t="s">
        <v>420</v>
      </c>
      <c r="V1842" s="1">
        <v>1</v>
      </c>
      <c r="W1842" s="3">
        <v>42474.239999999998</v>
      </c>
      <c r="X1842" s="3">
        <v>42474.239999999998</v>
      </c>
      <c r="Y1842" s="1" t="str">
        <f>VLOOKUP(A1842,[1]Detalle!$D$2:$CR$484,93,FALSE)</f>
        <v>CENCO_SJ - Cencosud SA - San Juan</v>
      </c>
    </row>
    <row r="1843" spans="1:25" ht="14.25" customHeight="1" x14ac:dyDescent="0.3">
      <c r="A1843" s="1" t="s">
        <v>159</v>
      </c>
      <c r="B1843" s="1" t="s">
        <v>418</v>
      </c>
      <c r="C1843" s="1" t="s">
        <v>415</v>
      </c>
      <c r="D1843" s="1" t="s">
        <v>366</v>
      </c>
      <c r="E1843" s="6">
        <v>45825</v>
      </c>
      <c r="F1843" s="1">
        <v>809565</v>
      </c>
      <c r="G1843" s="1">
        <v>829565</v>
      </c>
      <c r="H1843" s="1">
        <v>8970.2999999999993</v>
      </c>
      <c r="I1843" s="1">
        <v>11029.7</v>
      </c>
      <c r="J1843" s="1">
        <v>818535.3</v>
      </c>
      <c r="K1843" s="1">
        <v>122</v>
      </c>
      <c r="L1843" s="1">
        <v>63.369638157894727</v>
      </c>
      <c r="M1843" s="1">
        <v>150.00873995295589</v>
      </c>
      <c r="N1843" s="7">
        <v>45947</v>
      </c>
      <c r="O1843" s="1">
        <v>20000</v>
      </c>
      <c r="P1843" s="7">
        <v>46097.008739953701</v>
      </c>
      <c r="Q1843" s="1" t="s">
        <v>330</v>
      </c>
      <c r="T1843" s="1" t="s">
        <v>419</v>
      </c>
      <c r="U1843" s="1" t="s">
        <v>420</v>
      </c>
      <c r="V1843" s="1">
        <v>1</v>
      </c>
      <c r="W1843" s="3">
        <v>42474.239999999998</v>
      </c>
      <c r="X1843" s="3">
        <v>42474.239999999998</v>
      </c>
      <c r="Y1843" s="1" t="str">
        <f>VLOOKUP(A1843,[1]Detalle!$D$2:$CR$484,93,FALSE)</f>
        <v>Papelera - Papelera del Plata S.A.</v>
      </c>
    </row>
    <row r="1844" spans="1:25" ht="14.25" customHeight="1" x14ac:dyDescent="0.3">
      <c r="A1844" s="1" t="s">
        <v>158</v>
      </c>
      <c r="B1844" s="1" t="s">
        <v>418</v>
      </c>
      <c r="C1844" s="1" t="s">
        <v>415</v>
      </c>
      <c r="D1844" s="1" t="s">
        <v>366</v>
      </c>
      <c r="E1844" s="6">
        <v>45762</v>
      </c>
      <c r="F1844" s="1">
        <v>779819</v>
      </c>
      <c r="G1844" s="1">
        <v>799819</v>
      </c>
      <c r="H1844" s="1">
        <v>16921.500000000011</v>
      </c>
      <c r="I1844" s="1">
        <v>3078.4999999999932</v>
      </c>
      <c r="J1844" s="1">
        <v>796740.5</v>
      </c>
      <c r="K1844" s="1">
        <v>185</v>
      </c>
      <c r="L1844" s="1">
        <v>75.425496688741674</v>
      </c>
      <c r="M1844" s="1">
        <v>33.656738468811767</v>
      </c>
      <c r="N1844" s="7">
        <v>45947</v>
      </c>
      <c r="O1844" s="1">
        <v>20000</v>
      </c>
      <c r="P1844" s="7">
        <v>46245.819062592593</v>
      </c>
      <c r="Q1844" s="1" t="s">
        <v>330</v>
      </c>
      <c r="T1844" s="1" t="s">
        <v>419</v>
      </c>
      <c r="U1844" s="1" t="s">
        <v>420</v>
      </c>
      <c r="V1844" s="1">
        <v>1</v>
      </c>
      <c r="W1844" s="3">
        <v>42474.239999999998</v>
      </c>
      <c r="X1844" s="3">
        <v>42474.239999999998</v>
      </c>
      <c r="Y1844" s="1" t="str">
        <f>VLOOKUP(A1844,[1]Detalle!$D$2:$CR$484,93,FALSE)</f>
        <v>JOHNSON - SC JOHNSON DE ARGENTINA SAIC</v>
      </c>
    </row>
    <row r="1845" spans="1:25" ht="14.25" customHeight="1" x14ac:dyDescent="0.3">
      <c r="A1845" s="1" t="s">
        <v>157</v>
      </c>
      <c r="B1845" s="1" t="s">
        <v>418</v>
      </c>
      <c r="C1845" s="1" t="s">
        <v>415</v>
      </c>
      <c r="D1845" s="1" t="s">
        <v>366</v>
      </c>
      <c r="E1845" s="6">
        <v>45870</v>
      </c>
      <c r="F1845" s="1">
        <v>24799.1</v>
      </c>
      <c r="G1845" s="1">
        <v>44799.1</v>
      </c>
      <c r="H1845" s="1">
        <v>3627.4</v>
      </c>
      <c r="I1845" s="1">
        <v>16372.6</v>
      </c>
      <c r="J1845" s="1">
        <v>28426.5</v>
      </c>
      <c r="K1845" s="1">
        <v>77</v>
      </c>
      <c r="L1845" s="1">
        <v>131.93916129032249</v>
      </c>
      <c r="M1845" s="1">
        <v>347.5465071401004</v>
      </c>
      <c r="N1845" s="7">
        <v>45947</v>
      </c>
      <c r="O1845" s="1">
        <v>20000</v>
      </c>
      <c r="P1845" s="7">
        <v>46294.546507141204</v>
      </c>
      <c r="Q1845" s="1" t="s">
        <v>330</v>
      </c>
      <c r="T1845" s="1" t="s">
        <v>419</v>
      </c>
      <c r="U1845" s="1" t="s">
        <v>420</v>
      </c>
      <c r="V1845" s="1">
        <v>1</v>
      </c>
      <c r="W1845" s="3">
        <v>42474.239999999998</v>
      </c>
      <c r="X1845" s="3">
        <v>42474.239999999998</v>
      </c>
      <c r="Y1845" s="1" t="str">
        <f>VLOOKUP(A1845,[1]Detalle!$D$2:$CR$484,93,FALSE)</f>
        <v>Unilever - Unilever de Arg. S.A.</v>
      </c>
    </row>
    <row r="1846" spans="1:25" ht="14.25" customHeight="1" x14ac:dyDescent="0.3">
      <c r="A1846" s="1" t="s">
        <v>156</v>
      </c>
      <c r="B1846" s="1" t="s">
        <v>418</v>
      </c>
      <c r="C1846" s="1" t="s">
        <v>415</v>
      </c>
      <c r="D1846" s="1" t="s">
        <v>366</v>
      </c>
      <c r="E1846" s="6">
        <v>45846</v>
      </c>
      <c r="F1846" s="1">
        <v>10340</v>
      </c>
      <c r="G1846" s="1">
        <v>30340</v>
      </c>
      <c r="H1846" s="1">
        <v>5338.3999999999987</v>
      </c>
      <c r="I1846" s="1">
        <v>14661.6</v>
      </c>
      <c r="J1846" s="1">
        <v>15678.4</v>
      </c>
      <c r="K1846" s="1">
        <v>101</v>
      </c>
      <c r="L1846" s="1">
        <v>29.350544871794892</v>
      </c>
      <c r="M1846" s="1">
        <v>277.39052899745252</v>
      </c>
      <c r="N1846" s="7">
        <v>45947</v>
      </c>
      <c r="O1846" s="1">
        <v>20000</v>
      </c>
      <c r="P1846" s="7">
        <v>46224.390528993063</v>
      </c>
      <c r="Q1846" s="1" t="s">
        <v>330</v>
      </c>
      <c r="T1846" s="1" t="s">
        <v>419</v>
      </c>
      <c r="U1846" s="1" t="s">
        <v>420</v>
      </c>
      <c r="V1846" s="1">
        <v>1</v>
      </c>
      <c r="W1846" s="3">
        <v>42474.239999999998</v>
      </c>
      <c r="X1846" s="3">
        <v>42474.239999999998</v>
      </c>
      <c r="Y1846" s="1" t="str">
        <f>VLOOKUP(A1846,[1]Detalle!$D$2:$CR$484,93,FALSE)</f>
        <v>CCU_MZA - Comp. Cerv. Unidas - MZA</v>
      </c>
    </row>
    <row r="1847" spans="1:25" ht="14.25" customHeight="1" x14ac:dyDescent="0.3">
      <c r="A1847" s="1" t="s">
        <v>154</v>
      </c>
      <c r="B1847" s="1" t="s">
        <v>418</v>
      </c>
      <c r="C1847" s="1" t="s">
        <v>415</v>
      </c>
      <c r="D1847" s="1" t="s">
        <v>366</v>
      </c>
      <c r="E1847" s="6">
        <v>45772</v>
      </c>
      <c r="F1847" s="1">
        <v>264479</v>
      </c>
      <c r="G1847" s="1">
        <v>284479</v>
      </c>
      <c r="H1847" s="1">
        <v>6327.5000000000045</v>
      </c>
      <c r="I1847" s="1">
        <v>13672.499999999991</v>
      </c>
      <c r="J1847" s="1">
        <v>270806.5</v>
      </c>
      <c r="K1847" s="1">
        <v>175</v>
      </c>
      <c r="L1847" s="1">
        <v>34.372709677419373</v>
      </c>
      <c r="M1847" s="1">
        <v>378.14105096799642</v>
      </c>
      <c r="N1847" s="7">
        <v>45947</v>
      </c>
      <c r="O1847" s="1">
        <v>20000</v>
      </c>
      <c r="P1847" s="7">
        <v>46325.141050972219</v>
      </c>
      <c r="Q1847" s="1" t="s">
        <v>330</v>
      </c>
      <c r="T1847" s="1" t="s">
        <v>419</v>
      </c>
      <c r="U1847" s="1" t="s">
        <v>420</v>
      </c>
      <c r="V1847" s="1">
        <v>1</v>
      </c>
      <c r="W1847" s="3">
        <v>42474.239999999998</v>
      </c>
      <c r="X1847" s="3">
        <v>42474.239999999998</v>
      </c>
      <c r="Y1847" s="1" t="str">
        <f>VLOOKUP(A1847,[1]Detalle!$D$2:$CR$484,93,FALSE)</f>
        <v>CCUCoAZA</v>
      </c>
    </row>
    <row r="1848" spans="1:25" ht="14.25" customHeight="1" x14ac:dyDescent="0.3">
      <c r="A1848" s="1" t="s">
        <v>153</v>
      </c>
      <c r="B1848" s="1" t="s">
        <v>418</v>
      </c>
      <c r="C1848" s="1" t="s">
        <v>415</v>
      </c>
      <c r="D1848" s="1" t="s">
        <v>366</v>
      </c>
      <c r="E1848" s="6">
        <v>45908</v>
      </c>
      <c r="F1848" s="1">
        <v>82173.399999999994</v>
      </c>
      <c r="G1848" s="1">
        <v>102173.4</v>
      </c>
      <c r="H1848" s="1">
        <v>5556.5</v>
      </c>
      <c r="I1848" s="1">
        <v>14443.5</v>
      </c>
      <c r="J1848" s="1">
        <v>87729.9</v>
      </c>
      <c r="K1848" s="1">
        <v>39</v>
      </c>
      <c r="L1848" s="1">
        <v>215.45547231270371</v>
      </c>
      <c r="M1848" s="1">
        <v>101.37613605687029</v>
      </c>
      <c r="N1848" s="7">
        <v>45947</v>
      </c>
      <c r="O1848" s="1">
        <v>20000</v>
      </c>
      <c r="P1848" s="7">
        <v>46048.376136053237</v>
      </c>
      <c r="Q1848" s="1" t="s">
        <v>330</v>
      </c>
      <c r="T1848" s="1" t="s">
        <v>419</v>
      </c>
      <c r="U1848" s="1" t="s">
        <v>420</v>
      </c>
      <c r="V1848" s="1">
        <v>1</v>
      </c>
      <c r="W1848" s="3">
        <v>42474.239999999998</v>
      </c>
      <c r="X1848" s="3">
        <v>42474.239999999998</v>
      </c>
      <c r="Y1848" s="1" t="str">
        <f>VLOOKUP(A1848,[1]Detalle!$D$2:$CR$484,93,FALSE)</f>
        <v>SUC_CTC - Sucursal Buenos Aires</v>
      </c>
    </row>
    <row r="1849" spans="1:25" ht="14.25" customHeight="1" x14ac:dyDescent="0.3">
      <c r="A1849" s="1" t="s">
        <v>149</v>
      </c>
      <c r="B1849" s="1" t="s">
        <v>418</v>
      </c>
      <c r="C1849" s="1" t="s">
        <v>415</v>
      </c>
      <c r="D1849" s="1" t="s">
        <v>366</v>
      </c>
      <c r="E1849" s="1" t="s">
        <v>337</v>
      </c>
      <c r="F1849" s="1">
        <v>662460</v>
      </c>
      <c r="G1849" s="1">
        <v>682460</v>
      </c>
      <c r="H1849" s="1">
        <v>20447.600000000009</v>
      </c>
      <c r="I1849" s="1">
        <v>-447.60000000000582</v>
      </c>
      <c r="J1849" s="1">
        <v>682907.6</v>
      </c>
      <c r="K1849" s="1">
        <v>197</v>
      </c>
      <c r="L1849" s="1">
        <v>113.6646794871796</v>
      </c>
      <c r="M1849" s="1">
        <v>-4.312349615602864</v>
      </c>
      <c r="N1849" s="7">
        <v>45947</v>
      </c>
      <c r="O1849" s="1">
        <v>20000</v>
      </c>
      <c r="P1849" s="7">
        <v>46122.956155335647</v>
      </c>
      <c r="Q1849" s="1" t="s">
        <v>330</v>
      </c>
      <c r="T1849" s="1" t="s">
        <v>419</v>
      </c>
      <c r="U1849" s="1" t="s">
        <v>420</v>
      </c>
      <c r="V1849" s="1">
        <v>1</v>
      </c>
      <c r="W1849" s="3">
        <v>42474.239999999998</v>
      </c>
      <c r="X1849" s="3">
        <v>42474.239999999998</v>
      </c>
      <c r="Y1849" s="1" t="str">
        <f>VLOOKUP(A1849,[1]Detalle!$D$2:$CR$484,93,FALSE)</f>
        <v>Papelera - Papelera del Plata S.A.</v>
      </c>
    </row>
    <row r="1850" spans="1:25" ht="14.25" customHeight="1" x14ac:dyDescent="0.3">
      <c r="A1850" s="1" t="s">
        <v>148</v>
      </c>
      <c r="B1850" s="1" t="s">
        <v>418</v>
      </c>
      <c r="C1850" s="1" t="s">
        <v>415</v>
      </c>
      <c r="D1850" s="1" t="s">
        <v>366</v>
      </c>
      <c r="E1850" s="6">
        <v>45862</v>
      </c>
      <c r="F1850" s="1">
        <v>808028</v>
      </c>
      <c r="G1850" s="1">
        <v>828028</v>
      </c>
      <c r="H1850" s="1">
        <v>7209.7999999999984</v>
      </c>
      <c r="I1850" s="1">
        <v>12790.2</v>
      </c>
      <c r="J1850" s="1">
        <v>815237.8</v>
      </c>
      <c r="K1850" s="1">
        <v>85</v>
      </c>
      <c r="L1850" s="1">
        <v>100.27773026315791</v>
      </c>
      <c r="M1850" s="1">
        <v>150.79017448472919</v>
      </c>
      <c r="N1850" s="7">
        <v>45947</v>
      </c>
      <c r="O1850" s="1">
        <v>20000</v>
      </c>
      <c r="P1850" s="7">
        <v>46097.790174479167</v>
      </c>
      <c r="Q1850" s="1" t="s">
        <v>330</v>
      </c>
      <c r="T1850" s="1" t="s">
        <v>419</v>
      </c>
      <c r="U1850" s="1" t="s">
        <v>420</v>
      </c>
      <c r="V1850" s="1">
        <v>1</v>
      </c>
      <c r="W1850" s="3">
        <v>42474.239999999998</v>
      </c>
      <c r="X1850" s="3">
        <v>42474.239999999998</v>
      </c>
      <c r="Y1850" s="1" t="str">
        <f>VLOOKUP(A1850,[1]Detalle!$D$2:$CR$484,93,FALSE)</f>
        <v>Unilever - Unilever de Arg. S.A.</v>
      </c>
    </row>
    <row r="1851" spans="1:25" ht="14.25" customHeight="1" x14ac:dyDescent="0.3">
      <c r="A1851" s="1" t="s">
        <v>147</v>
      </c>
      <c r="B1851" s="1" t="s">
        <v>418</v>
      </c>
      <c r="C1851" s="1" t="s">
        <v>415</v>
      </c>
      <c r="D1851" s="1" t="s">
        <v>366</v>
      </c>
      <c r="E1851" s="6">
        <v>45723</v>
      </c>
      <c r="F1851" s="1">
        <v>27910.9</v>
      </c>
      <c r="G1851" s="1">
        <v>47910.9</v>
      </c>
      <c r="H1851" s="1">
        <v>19185.899999999991</v>
      </c>
      <c r="I1851" s="1">
        <v>814.10000000000582</v>
      </c>
      <c r="J1851" s="1">
        <v>47096.800000000003</v>
      </c>
      <c r="K1851" s="1">
        <v>224</v>
      </c>
      <c r="L1851" s="1">
        <v>76.974301470588202</v>
      </c>
      <c r="M1851" s="1">
        <v>9.5048134306965721</v>
      </c>
      <c r="N1851" s="7">
        <v>45947</v>
      </c>
      <c r="O1851" s="1">
        <v>20000</v>
      </c>
      <c r="P1851" s="7">
        <v>46216.331789675933</v>
      </c>
      <c r="Q1851" s="1" t="s">
        <v>330</v>
      </c>
      <c r="T1851" s="1" t="s">
        <v>419</v>
      </c>
      <c r="U1851" s="1" t="s">
        <v>420</v>
      </c>
      <c r="V1851" s="1">
        <v>1</v>
      </c>
      <c r="W1851" s="3">
        <v>42474.239999999998</v>
      </c>
      <c r="X1851" s="3">
        <v>42474.239999999998</v>
      </c>
      <c r="Y1851" s="1" t="str">
        <f>VLOOKUP(A1851,[1]Detalle!$D$2:$CR$484,93,FALSE)</f>
        <v>SUC_SLU - Sucursal San Luis</v>
      </c>
    </row>
    <row r="1852" spans="1:25" ht="14.25" customHeight="1" x14ac:dyDescent="0.3">
      <c r="A1852" s="1" t="s">
        <v>146</v>
      </c>
      <c r="B1852" s="1" t="s">
        <v>418</v>
      </c>
      <c r="C1852" s="1" t="s">
        <v>415</v>
      </c>
      <c r="D1852" s="1" t="s">
        <v>366</v>
      </c>
      <c r="E1852" s="6">
        <v>45831</v>
      </c>
      <c r="F1852" s="1">
        <v>511084</v>
      </c>
      <c r="G1852" s="1">
        <v>531084</v>
      </c>
      <c r="H1852" s="1">
        <v>8073.1000000000013</v>
      </c>
      <c r="I1852" s="1">
        <v>11926.9</v>
      </c>
      <c r="J1852" s="1">
        <v>519157.1</v>
      </c>
      <c r="K1852" s="1">
        <v>116</v>
      </c>
      <c r="L1852" s="1">
        <v>57.283729903536972</v>
      </c>
      <c r="M1852" s="1">
        <v>171.3741189877494</v>
      </c>
      <c r="N1852" s="7">
        <v>45947</v>
      </c>
      <c r="O1852" s="1">
        <v>20000</v>
      </c>
      <c r="P1852" s="7">
        <v>46118.374118993059</v>
      </c>
      <c r="Q1852" s="1" t="s">
        <v>330</v>
      </c>
      <c r="T1852" s="1" t="s">
        <v>419</v>
      </c>
      <c r="U1852" s="1" t="s">
        <v>420</v>
      </c>
      <c r="V1852" s="1">
        <v>1</v>
      </c>
      <c r="W1852" s="3">
        <v>42474.239999999998</v>
      </c>
      <c r="X1852" s="3">
        <v>42474.239999999998</v>
      </c>
      <c r="Y1852" s="1" t="str">
        <f>VLOOKUP(A1852,[1]Detalle!$D$2:$CR$484,93,FALSE)</f>
        <v>Unilever - Unilever de Arg. S.A.</v>
      </c>
    </row>
    <row r="1853" spans="1:25" ht="14.25" customHeight="1" x14ac:dyDescent="0.3">
      <c r="A1853" s="1" t="s">
        <v>145</v>
      </c>
      <c r="B1853" s="1" t="s">
        <v>418</v>
      </c>
      <c r="C1853" s="1" t="s">
        <v>415</v>
      </c>
      <c r="D1853" s="1" t="s">
        <v>366</v>
      </c>
      <c r="E1853" s="6">
        <v>45848</v>
      </c>
      <c r="F1853" s="1">
        <v>234133</v>
      </c>
      <c r="G1853" s="1">
        <v>254133</v>
      </c>
      <c r="H1853" s="1">
        <v>4079.8</v>
      </c>
      <c r="I1853" s="1">
        <v>15920.2</v>
      </c>
      <c r="J1853" s="1">
        <v>238212.8</v>
      </c>
      <c r="K1853" s="1">
        <v>99</v>
      </c>
      <c r="L1853" s="1">
        <v>38.995387096774238</v>
      </c>
      <c r="M1853" s="1">
        <v>386.31790774057549</v>
      </c>
      <c r="N1853" s="7">
        <v>45947</v>
      </c>
      <c r="O1853" s="1">
        <v>20000</v>
      </c>
      <c r="P1853" s="7">
        <v>46333.317907743047</v>
      </c>
      <c r="Q1853" s="1" t="s">
        <v>330</v>
      </c>
      <c r="T1853" s="1" t="s">
        <v>419</v>
      </c>
      <c r="U1853" s="1" t="s">
        <v>420</v>
      </c>
      <c r="V1853" s="1">
        <v>1</v>
      </c>
      <c r="W1853" s="3">
        <v>42474.239999999998</v>
      </c>
      <c r="X1853" s="3">
        <v>42474.239999999998</v>
      </c>
      <c r="Y1853" s="1" t="str">
        <f>VLOOKUP(A1853,[1]Detalle!$D$2:$CR$484,93,FALSE)</f>
        <v>CCUCoAZA</v>
      </c>
    </row>
    <row r="1854" spans="1:25" ht="14.25" customHeight="1" x14ac:dyDescent="0.3">
      <c r="A1854" s="1" t="s">
        <v>144</v>
      </c>
      <c r="B1854" s="1" t="s">
        <v>418</v>
      </c>
      <c r="C1854" s="1" t="s">
        <v>415</v>
      </c>
      <c r="D1854" s="1" t="s">
        <v>366</v>
      </c>
      <c r="E1854" s="6">
        <v>45840</v>
      </c>
      <c r="F1854" s="1">
        <v>619280</v>
      </c>
      <c r="G1854" s="1">
        <v>639280</v>
      </c>
      <c r="H1854" s="1">
        <v>8001.9999999999982</v>
      </c>
      <c r="I1854" s="1">
        <v>11998</v>
      </c>
      <c r="J1854" s="1">
        <v>627282</v>
      </c>
      <c r="K1854" s="1">
        <v>107</v>
      </c>
      <c r="L1854" s="1">
        <v>80.140288461538475</v>
      </c>
      <c r="M1854" s="1">
        <v>160.43314171457141</v>
      </c>
      <c r="N1854" s="7">
        <v>45947</v>
      </c>
      <c r="O1854" s="1">
        <v>20000</v>
      </c>
      <c r="P1854" s="7">
        <v>46107.433141712972</v>
      </c>
      <c r="Q1854" s="1" t="s">
        <v>330</v>
      </c>
      <c r="T1854" s="1" t="s">
        <v>419</v>
      </c>
      <c r="U1854" s="1" t="s">
        <v>420</v>
      </c>
      <c r="V1854" s="1">
        <v>1</v>
      </c>
      <c r="W1854" s="3">
        <v>42474.239999999998</v>
      </c>
      <c r="X1854" s="3">
        <v>42474.239999999998</v>
      </c>
      <c r="Y1854" s="1" t="str">
        <f>VLOOKUP(A1854,[1]Detalle!$D$2:$CR$484,93,FALSE)</f>
        <v>Papelera - Papelera del Plata S.A.</v>
      </c>
    </row>
    <row r="1855" spans="1:25" ht="14.25" customHeight="1" x14ac:dyDescent="0.3">
      <c r="A1855" s="1" t="s">
        <v>143</v>
      </c>
      <c r="B1855" s="1" t="s">
        <v>418</v>
      </c>
      <c r="C1855" s="1" t="s">
        <v>415</v>
      </c>
      <c r="D1855" s="1" t="s">
        <v>366</v>
      </c>
      <c r="E1855" s="6">
        <v>45912</v>
      </c>
      <c r="F1855" s="1">
        <v>723287</v>
      </c>
      <c r="G1855" s="1">
        <v>743287</v>
      </c>
      <c r="H1855" s="1">
        <v>0</v>
      </c>
      <c r="I1855" s="1">
        <v>20000</v>
      </c>
      <c r="J1855" s="1">
        <v>723287</v>
      </c>
      <c r="K1855" s="1">
        <v>35</v>
      </c>
      <c r="L1855" s="1">
        <v>1.7600651465798041</v>
      </c>
      <c r="M1855" s="1">
        <v>200</v>
      </c>
      <c r="N1855" s="7">
        <v>45947</v>
      </c>
      <c r="O1855" s="1">
        <v>20000</v>
      </c>
      <c r="P1855" s="7">
        <v>46147</v>
      </c>
      <c r="Q1855" s="1" t="s">
        <v>330</v>
      </c>
      <c r="T1855" s="1" t="s">
        <v>419</v>
      </c>
      <c r="U1855" s="1" t="s">
        <v>420</v>
      </c>
      <c r="V1855" s="1">
        <v>1</v>
      </c>
      <c r="W1855" s="3">
        <v>42474.239999999998</v>
      </c>
      <c r="X1855" s="3">
        <v>42474.239999999998</v>
      </c>
      <c r="Y1855" s="1" t="str">
        <f>VLOOKUP(A1855,[1]Detalle!$D$2:$CR$484,93,FALSE)</f>
        <v>Arcor S.A.I.C.</v>
      </c>
    </row>
    <row r="1856" spans="1:25" ht="14.25" customHeight="1" x14ac:dyDescent="0.3">
      <c r="A1856" s="1" t="s">
        <v>142</v>
      </c>
      <c r="B1856" s="1" t="s">
        <v>418</v>
      </c>
      <c r="C1856" s="1" t="s">
        <v>415</v>
      </c>
      <c r="D1856" s="1" t="s">
        <v>366</v>
      </c>
      <c r="E1856" s="6">
        <v>45834</v>
      </c>
      <c r="F1856" s="1">
        <v>831926</v>
      </c>
      <c r="G1856" s="1">
        <v>851926</v>
      </c>
      <c r="H1856" s="1">
        <v>9266.100000000004</v>
      </c>
      <c r="I1856" s="1">
        <v>10733.9</v>
      </c>
      <c r="J1856" s="1">
        <v>841192.1</v>
      </c>
      <c r="K1856" s="1">
        <v>113</v>
      </c>
      <c r="L1856" s="1">
        <v>68.472829581993537</v>
      </c>
      <c r="M1856" s="1">
        <v>130.89980682271931</v>
      </c>
      <c r="N1856" s="7">
        <v>45947</v>
      </c>
      <c r="O1856" s="1">
        <v>20000</v>
      </c>
      <c r="P1856" s="7">
        <v>46077.899806817128</v>
      </c>
      <c r="Q1856" s="1" t="s">
        <v>330</v>
      </c>
      <c r="T1856" s="1" t="s">
        <v>419</v>
      </c>
      <c r="U1856" s="1" t="s">
        <v>420</v>
      </c>
      <c r="V1856" s="1">
        <v>1</v>
      </c>
      <c r="W1856" s="3">
        <v>42474.239999999998</v>
      </c>
      <c r="X1856" s="3">
        <v>42474.239999999998</v>
      </c>
      <c r="Y1856" s="1" t="str">
        <f>VLOOKUP(A1856,[1]Detalle!$D$2:$CR$484,93,FALSE)</f>
        <v>Papelera - Papelera del Plata S.A.</v>
      </c>
    </row>
    <row r="1857" spans="1:25" ht="14.25" customHeight="1" x14ac:dyDescent="0.3">
      <c r="A1857" s="1" t="s">
        <v>141</v>
      </c>
      <c r="B1857" s="1" t="s">
        <v>418</v>
      </c>
      <c r="C1857" s="1" t="s">
        <v>415</v>
      </c>
      <c r="D1857" s="1" t="s">
        <v>366</v>
      </c>
      <c r="E1857" s="6">
        <v>45862</v>
      </c>
      <c r="F1857" s="1">
        <v>484180</v>
      </c>
      <c r="G1857" s="1">
        <v>504180</v>
      </c>
      <c r="H1857" s="1">
        <v>6154.3000000000011</v>
      </c>
      <c r="I1857" s="1">
        <v>13845.7</v>
      </c>
      <c r="J1857" s="1">
        <v>490334.3</v>
      </c>
      <c r="K1857" s="1">
        <v>85</v>
      </c>
      <c r="L1857" s="1">
        <v>131.1199356913184</v>
      </c>
      <c r="M1857" s="1">
        <v>191.22962806493021</v>
      </c>
      <c r="N1857" s="7">
        <v>45947</v>
      </c>
      <c r="O1857" s="1">
        <v>20000</v>
      </c>
      <c r="P1857" s="7">
        <v>46138.229628067129</v>
      </c>
      <c r="Q1857" s="1" t="s">
        <v>330</v>
      </c>
      <c r="T1857" s="1" t="s">
        <v>419</v>
      </c>
      <c r="U1857" s="1" t="s">
        <v>420</v>
      </c>
      <c r="V1857" s="1">
        <v>1</v>
      </c>
      <c r="W1857" s="3">
        <v>42474.239999999998</v>
      </c>
      <c r="X1857" s="3">
        <v>42474.239999999998</v>
      </c>
      <c r="Y1857" s="1" t="str">
        <f>VLOOKUP(A1857,[1]Detalle!$D$2:$CR$484,93,FALSE)</f>
        <v>Unilever - Unilever de Arg. S.A.</v>
      </c>
    </row>
    <row r="1858" spans="1:25" ht="14.25" customHeight="1" x14ac:dyDescent="0.3">
      <c r="A1858" s="1" t="s">
        <v>140</v>
      </c>
      <c r="B1858" s="1" t="s">
        <v>418</v>
      </c>
      <c r="C1858" s="1" t="s">
        <v>415</v>
      </c>
      <c r="D1858" s="1" t="s">
        <v>366</v>
      </c>
      <c r="E1858" s="6">
        <v>45745</v>
      </c>
      <c r="F1858" s="1">
        <v>484970</v>
      </c>
      <c r="G1858" s="1">
        <v>504970</v>
      </c>
      <c r="H1858" s="1">
        <v>6360.1999999999944</v>
      </c>
      <c r="I1858" s="1">
        <v>13639.80000000001</v>
      </c>
      <c r="J1858" s="1">
        <v>491330.2</v>
      </c>
      <c r="K1858" s="1">
        <v>202</v>
      </c>
      <c r="L1858" s="1">
        <v>30.7326948051948</v>
      </c>
      <c r="M1858" s="1">
        <v>433.20015093865032</v>
      </c>
      <c r="N1858" s="7">
        <v>45947</v>
      </c>
      <c r="O1858" s="1">
        <v>20000</v>
      </c>
      <c r="P1858" s="7">
        <v>46380.200150937497</v>
      </c>
      <c r="Q1858" s="1" t="s">
        <v>330</v>
      </c>
      <c r="T1858" s="1" t="s">
        <v>419</v>
      </c>
      <c r="U1858" s="1" t="s">
        <v>420</v>
      </c>
      <c r="V1858" s="1">
        <v>1</v>
      </c>
      <c r="W1858" s="3">
        <v>42474.239999999998</v>
      </c>
      <c r="X1858" s="3">
        <v>42474.239999999998</v>
      </c>
      <c r="Y1858" s="1" t="str">
        <f>VLOOKUP(A1858,[1]Detalle!$D$2:$CR$484,93,FALSE)</f>
        <v>CCU_MZA - Comp. Cerv. Unidas - MZA</v>
      </c>
    </row>
    <row r="1859" spans="1:25" ht="14.25" customHeight="1" x14ac:dyDescent="0.3">
      <c r="A1859" s="1" t="s">
        <v>139</v>
      </c>
      <c r="B1859" s="1" t="s">
        <v>418</v>
      </c>
      <c r="C1859" s="1" t="s">
        <v>415</v>
      </c>
      <c r="D1859" s="1" t="s">
        <v>366</v>
      </c>
      <c r="E1859" s="6">
        <v>45744</v>
      </c>
      <c r="F1859" s="1">
        <v>298685</v>
      </c>
      <c r="G1859" s="1">
        <v>318685</v>
      </c>
      <c r="H1859" s="1">
        <v>8864.1</v>
      </c>
      <c r="I1859" s="1">
        <v>11135.9</v>
      </c>
      <c r="J1859" s="1">
        <v>307549.09999999998</v>
      </c>
      <c r="K1859" s="1">
        <v>203</v>
      </c>
      <c r="L1859" s="1">
        <v>39.137363344051472</v>
      </c>
      <c r="M1859" s="1">
        <v>255.02732369896549</v>
      </c>
      <c r="N1859" s="7">
        <v>45947</v>
      </c>
      <c r="O1859" s="1">
        <v>20000</v>
      </c>
      <c r="P1859" s="7">
        <v>46202.027323703704</v>
      </c>
      <c r="Q1859" s="1" t="s">
        <v>330</v>
      </c>
      <c r="T1859" s="1" t="s">
        <v>419</v>
      </c>
      <c r="U1859" s="1" t="s">
        <v>420</v>
      </c>
      <c r="V1859" s="1">
        <v>1</v>
      </c>
      <c r="W1859" s="3">
        <v>42474.239999999998</v>
      </c>
      <c r="X1859" s="3">
        <v>42474.239999999998</v>
      </c>
      <c r="Y1859" s="1" t="str">
        <f>VLOOKUP(A1859,[1]Detalle!$D$2:$CR$484,93,FALSE)</f>
        <v>CCUDyAZA</v>
      </c>
    </row>
    <row r="1860" spans="1:25" ht="14.25" customHeight="1" x14ac:dyDescent="0.3">
      <c r="A1860" s="1" t="s">
        <v>138</v>
      </c>
      <c r="B1860" s="1" t="s">
        <v>418</v>
      </c>
      <c r="C1860" s="1" t="s">
        <v>415</v>
      </c>
      <c r="D1860" s="1" t="s">
        <v>366</v>
      </c>
      <c r="E1860" s="6">
        <v>45840</v>
      </c>
      <c r="F1860" s="1">
        <v>40688</v>
      </c>
      <c r="G1860" s="1">
        <v>60688</v>
      </c>
      <c r="H1860" s="1">
        <v>18559.899999999991</v>
      </c>
      <c r="I1860" s="1">
        <v>1440.100000000006</v>
      </c>
      <c r="J1860" s="1">
        <v>59247.899999999987</v>
      </c>
      <c r="K1860" s="1">
        <v>107</v>
      </c>
      <c r="L1860" s="1">
        <v>129.25862179487169</v>
      </c>
      <c r="M1860" s="1">
        <v>8.3023453790160868</v>
      </c>
      <c r="N1860" s="7">
        <v>45947</v>
      </c>
      <c r="O1860" s="1">
        <v>20000</v>
      </c>
      <c r="P1860" s="7">
        <v>46110.030902141203</v>
      </c>
      <c r="Q1860" s="1" t="s">
        <v>330</v>
      </c>
      <c r="T1860" s="1" t="s">
        <v>419</v>
      </c>
      <c r="U1860" s="1" t="s">
        <v>420</v>
      </c>
      <c r="V1860" s="1">
        <v>1</v>
      </c>
      <c r="W1860" s="3">
        <v>42474.239999999998</v>
      </c>
      <c r="X1860" s="3">
        <v>42474.239999999998</v>
      </c>
      <c r="Y1860" s="1" t="str">
        <f>VLOOKUP(A1860,[1]Detalle!$D$2:$CR$484,93,FALSE)</f>
        <v>SUC_MEN - Sucursal Mendoza</v>
      </c>
    </row>
    <row r="1861" spans="1:25" ht="14.25" customHeight="1" x14ac:dyDescent="0.3">
      <c r="A1861" s="1" t="s">
        <v>137</v>
      </c>
      <c r="B1861" s="1" t="s">
        <v>418</v>
      </c>
      <c r="C1861" s="1" t="s">
        <v>415</v>
      </c>
      <c r="D1861" s="1" t="s">
        <v>366</v>
      </c>
      <c r="E1861" s="6">
        <v>45813</v>
      </c>
      <c r="F1861" s="1">
        <v>230027</v>
      </c>
      <c r="G1861" s="1">
        <v>250027</v>
      </c>
      <c r="H1861" s="1">
        <v>5321.3000000000011</v>
      </c>
      <c r="I1861" s="1">
        <v>14678.7</v>
      </c>
      <c r="J1861" s="1">
        <v>235348.3</v>
      </c>
      <c r="K1861" s="1">
        <v>134</v>
      </c>
      <c r="L1861" s="1">
        <v>37.879290322580637</v>
      </c>
      <c r="M1861" s="1">
        <v>369.63632946836287</v>
      </c>
      <c r="N1861" s="7">
        <v>45947</v>
      </c>
      <c r="O1861" s="1">
        <v>20000</v>
      </c>
      <c r="P1861" s="7">
        <v>46316.63632946759</v>
      </c>
      <c r="Q1861" s="1" t="s">
        <v>330</v>
      </c>
      <c r="T1861" s="1" t="s">
        <v>419</v>
      </c>
      <c r="U1861" s="1" t="s">
        <v>420</v>
      </c>
      <c r="V1861" s="1">
        <v>1</v>
      </c>
      <c r="W1861" s="3">
        <v>42474.239999999998</v>
      </c>
      <c r="X1861" s="3">
        <v>42474.239999999998</v>
      </c>
      <c r="Y1861" s="1" t="str">
        <f>VLOOKUP(A1861,[1]Detalle!$D$2:$CR$484,93,FALSE)</f>
        <v>CCUDyAZA</v>
      </c>
    </row>
    <row r="1862" spans="1:25" ht="14.25" customHeight="1" x14ac:dyDescent="0.3">
      <c r="A1862" s="1" t="s">
        <v>136</v>
      </c>
      <c r="B1862" s="1" t="s">
        <v>418</v>
      </c>
      <c r="C1862" s="1" t="s">
        <v>415</v>
      </c>
      <c r="D1862" s="1" t="s">
        <v>366</v>
      </c>
      <c r="E1862" s="6">
        <v>45763</v>
      </c>
      <c r="F1862" s="1">
        <v>255203</v>
      </c>
      <c r="G1862" s="1">
        <v>275203</v>
      </c>
      <c r="H1862" s="1">
        <v>12233.500000000009</v>
      </c>
      <c r="I1862" s="1">
        <v>7766.4999999999927</v>
      </c>
      <c r="J1862" s="1">
        <v>267436.5</v>
      </c>
      <c r="K1862" s="1">
        <v>184</v>
      </c>
      <c r="L1862" s="1">
        <v>57.024096774193573</v>
      </c>
      <c r="M1862" s="1">
        <v>116.81334041770531</v>
      </c>
      <c r="N1862" s="7">
        <v>45947</v>
      </c>
      <c r="O1862" s="1">
        <v>20000</v>
      </c>
      <c r="P1862" s="7">
        <v>46063.813340416673</v>
      </c>
      <c r="Q1862" s="1" t="s">
        <v>330</v>
      </c>
      <c r="T1862" s="1" t="s">
        <v>419</v>
      </c>
      <c r="U1862" s="1" t="s">
        <v>420</v>
      </c>
      <c r="V1862" s="1">
        <v>1</v>
      </c>
      <c r="W1862" s="3">
        <v>42474.239999999998</v>
      </c>
      <c r="X1862" s="3">
        <v>42474.239999999998</v>
      </c>
      <c r="Y1862" s="1" t="str">
        <f>VLOOKUP(A1862,[1]Detalle!$D$2:$CR$484,93,FALSE)</f>
        <v>Topacio</v>
      </c>
    </row>
    <row r="1863" spans="1:25" ht="14.25" customHeight="1" x14ac:dyDescent="0.3">
      <c r="A1863" s="1" t="s">
        <v>135</v>
      </c>
      <c r="B1863" s="1" t="s">
        <v>418</v>
      </c>
      <c r="C1863" s="1" t="s">
        <v>415</v>
      </c>
      <c r="D1863" s="1" t="s">
        <v>366</v>
      </c>
      <c r="E1863" s="6">
        <v>45812</v>
      </c>
      <c r="F1863" s="1">
        <v>176121</v>
      </c>
      <c r="G1863" s="1">
        <v>196121</v>
      </c>
      <c r="H1863" s="1">
        <v>5745.4000000000005</v>
      </c>
      <c r="I1863" s="1">
        <v>14254.6</v>
      </c>
      <c r="J1863" s="1">
        <v>181866.4</v>
      </c>
      <c r="K1863" s="1">
        <v>135</v>
      </c>
      <c r="L1863" s="1">
        <v>35.012605863192178</v>
      </c>
      <c r="M1863" s="1">
        <v>334.94117032756628</v>
      </c>
      <c r="N1863" s="7">
        <v>45947</v>
      </c>
      <c r="O1863" s="1">
        <v>20000</v>
      </c>
      <c r="P1863" s="7">
        <v>46281.941170324077</v>
      </c>
      <c r="Q1863" s="1" t="s">
        <v>330</v>
      </c>
      <c r="T1863" s="1" t="s">
        <v>419</v>
      </c>
      <c r="U1863" s="1" t="s">
        <v>420</v>
      </c>
      <c r="V1863" s="1">
        <v>1</v>
      </c>
      <c r="W1863" s="3">
        <v>42474.239999999998</v>
      </c>
      <c r="X1863" s="3">
        <v>42474.239999999998</v>
      </c>
      <c r="Y1863" s="1" t="str">
        <f>VLOOKUP(A1863,[1]Detalle!$D$2:$CR$484,93,FALSE)</f>
        <v>CCUCoAZA</v>
      </c>
    </row>
    <row r="1864" spans="1:25" ht="14.25" customHeight="1" x14ac:dyDescent="0.3">
      <c r="A1864" s="1" t="s">
        <v>134</v>
      </c>
      <c r="B1864" s="1" t="s">
        <v>418</v>
      </c>
      <c r="C1864" s="1" t="s">
        <v>415</v>
      </c>
      <c r="D1864" s="1" t="s">
        <v>366</v>
      </c>
      <c r="E1864" s="6">
        <v>45883</v>
      </c>
      <c r="F1864" s="1">
        <v>377434</v>
      </c>
      <c r="G1864" s="1">
        <v>397434</v>
      </c>
      <c r="H1864" s="1">
        <v>3731.5</v>
      </c>
      <c r="I1864" s="1">
        <v>16268.5</v>
      </c>
      <c r="J1864" s="1">
        <v>381165.5</v>
      </c>
      <c r="K1864" s="1">
        <v>64</v>
      </c>
      <c r="L1864" s="1">
        <v>73.269176029962509</v>
      </c>
      <c r="M1864" s="1">
        <v>279.0255929250971</v>
      </c>
      <c r="N1864" s="7">
        <v>45947</v>
      </c>
      <c r="O1864" s="1">
        <v>20000</v>
      </c>
      <c r="P1864" s="7">
        <v>46226.025592928243</v>
      </c>
      <c r="Q1864" s="1" t="s">
        <v>330</v>
      </c>
      <c r="T1864" s="1" t="s">
        <v>419</v>
      </c>
      <c r="U1864" s="1" t="s">
        <v>420</v>
      </c>
      <c r="V1864" s="1">
        <v>1</v>
      </c>
      <c r="W1864" s="3">
        <v>42474.239999999998</v>
      </c>
      <c r="X1864" s="3">
        <v>42474.239999999998</v>
      </c>
      <c r="Y1864" s="1" t="str">
        <f>VLOOKUP(A1864,[1]Detalle!$D$2:$CR$484,93,FALSE)</f>
        <v>SUC_CTC - Sucursal Buenos Aires</v>
      </c>
    </row>
    <row r="1865" spans="1:25" ht="14.25" customHeight="1" x14ac:dyDescent="0.3">
      <c r="A1865" s="1" t="s">
        <v>100</v>
      </c>
      <c r="B1865" s="1" t="s">
        <v>418</v>
      </c>
      <c r="C1865" s="1" t="s">
        <v>415</v>
      </c>
      <c r="D1865" s="1" t="s">
        <v>366</v>
      </c>
      <c r="E1865" s="6">
        <v>45768</v>
      </c>
      <c r="F1865" s="1">
        <v>13510</v>
      </c>
      <c r="G1865" s="1">
        <v>33510</v>
      </c>
      <c r="H1865" s="1">
        <v>6171.1999999999971</v>
      </c>
      <c r="I1865" s="1">
        <v>13828.8</v>
      </c>
      <c r="J1865" s="1">
        <v>19681.2</v>
      </c>
      <c r="K1865" s="1">
        <v>179</v>
      </c>
      <c r="L1865" s="1">
        <v>36.364885496183213</v>
      </c>
      <c r="M1865" s="1">
        <v>401.11407829919648</v>
      </c>
      <c r="N1865" s="7">
        <v>45947</v>
      </c>
      <c r="O1865" s="1">
        <v>20000</v>
      </c>
      <c r="P1865" s="7">
        <v>46348.114078298611</v>
      </c>
      <c r="Q1865" s="1" t="s">
        <v>330</v>
      </c>
      <c r="T1865" s="1" t="s">
        <v>419</v>
      </c>
      <c r="U1865" s="1" t="s">
        <v>420</v>
      </c>
      <c r="V1865" s="1">
        <v>1</v>
      </c>
      <c r="W1865" s="3">
        <v>42474.239999999998</v>
      </c>
      <c r="X1865" s="3">
        <v>42474.239999999998</v>
      </c>
      <c r="Y1865" s="1" t="str">
        <f>VLOOKUP(A1865,[1]Detalle!$D$2:$CR$484,93,FALSE)</f>
        <v>CMQ_TTE - QUILMES TTE</v>
      </c>
    </row>
    <row r="1866" spans="1:25" ht="14.25" customHeight="1" x14ac:dyDescent="0.3">
      <c r="A1866" s="1" t="s">
        <v>78</v>
      </c>
      <c r="B1866" s="1" t="s">
        <v>418</v>
      </c>
      <c r="C1866" s="1" t="s">
        <v>415</v>
      </c>
      <c r="D1866" s="1" t="s">
        <v>366</v>
      </c>
      <c r="E1866" s="6">
        <v>45854</v>
      </c>
      <c r="F1866" s="1">
        <v>41395.599999999999</v>
      </c>
      <c r="G1866" s="1">
        <v>61395.6</v>
      </c>
      <c r="H1866" s="1">
        <v>3758.2999999999979</v>
      </c>
      <c r="I1866" s="1">
        <v>16241.7</v>
      </c>
      <c r="J1866" s="1">
        <v>45153.899999999987</v>
      </c>
      <c r="K1866" s="1">
        <v>93</v>
      </c>
      <c r="L1866" s="1">
        <v>36.164383116883137</v>
      </c>
      <c r="M1866" s="1">
        <v>401.90461112737171</v>
      </c>
      <c r="N1866" s="7">
        <v>45947</v>
      </c>
      <c r="O1866" s="1">
        <v>20000</v>
      </c>
      <c r="P1866" s="7">
        <v>46348.904611122693</v>
      </c>
      <c r="Q1866" s="1" t="s">
        <v>330</v>
      </c>
      <c r="T1866" s="1" t="s">
        <v>419</v>
      </c>
      <c r="U1866" s="1" t="s">
        <v>420</v>
      </c>
      <c r="V1866" s="1">
        <v>1</v>
      </c>
      <c r="W1866" s="3">
        <v>42474.239999999998</v>
      </c>
      <c r="X1866" s="3">
        <v>42474.239999999998</v>
      </c>
      <c r="Y1866" s="1" t="str">
        <f>VLOOKUP(A1866,[1]Detalle!$D$2:$CR$484,93,FALSE)</f>
        <v>Papelera - Papelera del Plata S.A.</v>
      </c>
    </row>
    <row r="1867" spans="1:25" ht="14.25" customHeight="1" x14ac:dyDescent="0.3">
      <c r="A1867" s="1" t="s">
        <v>75</v>
      </c>
      <c r="B1867" s="1" t="s">
        <v>418</v>
      </c>
      <c r="C1867" s="1" t="s">
        <v>415</v>
      </c>
      <c r="D1867" s="1" t="s">
        <v>366</v>
      </c>
      <c r="E1867" s="6">
        <v>45895</v>
      </c>
      <c r="F1867" s="1">
        <v>60189.5</v>
      </c>
      <c r="G1867" s="1">
        <v>80189.5</v>
      </c>
      <c r="H1867" s="1">
        <v>4748.0999999999995</v>
      </c>
      <c r="I1867" s="1">
        <v>15251.9</v>
      </c>
      <c r="J1867" s="1">
        <v>64937.599999999999</v>
      </c>
      <c r="K1867" s="1">
        <v>52</v>
      </c>
      <c r="L1867" s="1">
        <v>83.847709677419346</v>
      </c>
      <c r="M1867" s="1">
        <v>167.03498241401829</v>
      </c>
      <c r="N1867" s="7">
        <v>45947</v>
      </c>
      <c r="O1867" s="1">
        <v>20000</v>
      </c>
      <c r="P1867" s="7">
        <v>46114.034982418983</v>
      </c>
      <c r="Q1867" s="1" t="s">
        <v>330</v>
      </c>
      <c r="T1867" s="1" t="s">
        <v>419</v>
      </c>
      <c r="U1867" s="1" t="s">
        <v>420</v>
      </c>
      <c r="V1867" s="1">
        <v>1</v>
      </c>
      <c r="W1867" s="3">
        <v>42474.239999999998</v>
      </c>
      <c r="X1867" s="3">
        <v>42474.239999999998</v>
      </c>
      <c r="Y1867" s="1" t="str">
        <f>VLOOKUP(A1867,[1]Detalle!$D$2:$CR$484,93,FALSE)</f>
        <v>Papelera - Papelera del Plata S.A.</v>
      </c>
    </row>
    <row r="1868" spans="1:25" ht="14.25" customHeight="1" x14ac:dyDescent="0.3">
      <c r="A1868" s="1" t="s">
        <v>62</v>
      </c>
      <c r="B1868" s="1" t="s">
        <v>418</v>
      </c>
      <c r="C1868" s="1" t="s">
        <v>415</v>
      </c>
      <c r="D1868" s="1" t="s">
        <v>366</v>
      </c>
      <c r="E1868" s="6">
        <v>45741</v>
      </c>
      <c r="F1868" s="1">
        <v>33326.199999999997</v>
      </c>
      <c r="G1868" s="1">
        <v>53326.2</v>
      </c>
      <c r="H1868" s="1">
        <v>7126.5000000000036</v>
      </c>
      <c r="I1868" s="1">
        <v>12873.5</v>
      </c>
      <c r="J1868" s="1">
        <v>40452.699999999997</v>
      </c>
      <c r="K1868" s="1">
        <v>206</v>
      </c>
      <c r="L1868" s="1">
        <v>38.89159259259263</v>
      </c>
      <c r="M1868" s="1">
        <v>372.12390373956327</v>
      </c>
      <c r="N1868" s="7">
        <v>45947</v>
      </c>
      <c r="O1868" s="1">
        <v>20000</v>
      </c>
      <c r="P1868" s="7">
        <v>46319.123903738429</v>
      </c>
      <c r="Q1868" s="1" t="s">
        <v>330</v>
      </c>
      <c r="T1868" s="1" t="s">
        <v>419</v>
      </c>
      <c r="U1868" s="1" t="s">
        <v>420</v>
      </c>
      <c r="V1868" s="1">
        <v>1</v>
      </c>
      <c r="W1868" s="3">
        <v>42474.239999999998</v>
      </c>
      <c r="X1868" s="3">
        <v>42474.239999999998</v>
      </c>
      <c r="Y1868" s="1" t="str">
        <f>VLOOKUP(A1868,[1]Detalle!$D$2:$CR$484,93,FALSE)</f>
        <v>CCUDyAZA</v>
      </c>
    </row>
    <row r="1869" spans="1:25" ht="14.25" customHeight="1" x14ac:dyDescent="0.3">
      <c r="A1869" s="1" t="s">
        <v>61</v>
      </c>
      <c r="B1869" s="1" t="s">
        <v>418</v>
      </c>
      <c r="C1869" s="1" t="s">
        <v>415</v>
      </c>
      <c r="D1869" s="1" t="s">
        <v>366</v>
      </c>
      <c r="E1869" s="6">
        <v>45702</v>
      </c>
      <c r="F1869" s="1">
        <v>44127.9</v>
      </c>
      <c r="G1869" s="1">
        <v>64127.9</v>
      </c>
      <c r="H1869" s="1">
        <v>9317.4000000000033</v>
      </c>
      <c r="I1869" s="1">
        <v>10682.6</v>
      </c>
      <c r="J1869" s="1">
        <v>53445.3</v>
      </c>
      <c r="K1869" s="1">
        <v>245</v>
      </c>
      <c r="L1869" s="1">
        <v>40.395367647058812</v>
      </c>
      <c r="M1869" s="1">
        <v>280.89778264322638</v>
      </c>
      <c r="N1869" s="7">
        <v>45947</v>
      </c>
      <c r="O1869" s="1">
        <v>20000</v>
      </c>
      <c r="P1869" s="7">
        <v>46227.897782638887</v>
      </c>
      <c r="Q1869" s="1" t="s">
        <v>330</v>
      </c>
      <c r="T1869" s="1" t="s">
        <v>419</v>
      </c>
      <c r="U1869" s="1" t="s">
        <v>420</v>
      </c>
      <c r="V1869" s="1">
        <v>1</v>
      </c>
      <c r="W1869" s="3">
        <v>42474.239999999998</v>
      </c>
      <c r="X1869" s="3">
        <v>42474.239999999998</v>
      </c>
      <c r="Y1869" s="1" t="str">
        <f>VLOOKUP(A1869,[1]Detalle!$D$2:$CR$484,93,FALSE)</f>
        <v>CCU_MZA - Comp. Cerv. Unidas - MZA</v>
      </c>
    </row>
    <row r="1870" spans="1:25" ht="14.25" customHeight="1" x14ac:dyDescent="0.3">
      <c r="A1870" s="1" t="s">
        <v>60</v>
      </c>
      <c r="B1870" s="1" t="s">
        <v>418</v>
      </c>
      <c r="C1870" s="1" t="s">
        <v>415</v>
      </c>
      <c r="D1870" s="1" t="s">
        <v>366</v>
      </c>
      <c r="E1870" s="6">
        <v>45611</v>
      </c>
      <c r="F1870" s="1">
        <v>29476</v>
      </c>
      <c r="G1870" s="1">
        <v>49476</v>
      </c>
      <c r="H1870" s="1">
        <v>12799.580000000011</v>
      </c>
      <c r="I1870" s="1">
        <v>7200.4199999999892</v>
      </c>
      <c r="J1870" s="1">
        <v>42275.580000000009</v>
      </c>
      <c r="K1870" s="1">
        <v>336</v>
      </c>
      <c r="L1870" s="1">
        <v>40.312058823529441</v>
      </c>
      <c r="M1870" s="1">
        <v>189.0172271277647</v>
      </c>
      <c r="N1870" s="7">
        <v>45947</v>
      </c>
      <c r="O1870" s="1">
        <v>20000</v>
      </c>
      <c r="P1870" s="7">
        <v>46136.017227129632</v>
      </c>
      <c r="Q1870" s="1" t="s">
        <v>330</v>
      </c>
      <c r="T1870" s="1" t="s">
        <v>419</v>
      </c>
      <c r="U1870" s="1" t="s">
        <v>420</v>
      </c>
      <c r="V1870" s="1">
        <v>1</v>
      </c>
      <c r="W1870" s="3">
        <v>42474.239999999998</v>
      </c>
      <c r="X1870" s="3">
        <v>42474.239999999998</v>
      </c>
      <c r="Y1870" s="1" t="str">
        <f>VLOOKUP(A1870,[1]Detalle!$D$2:$CR$484,93,FALSE)</f>
        <v>CCUDyAZA</v>
      </c>
    </row>
    <row r="1871" spans="1:25" ht="14.25" customHeight="1" x14ac:dyDescent="0.3">
      <c r="A1871" s="1" t="s">
        <v>52</v>
      </c>
      <c r="B1871" s="1" t="s">
        <v>418</v>
      </c>
      <c r="C1871" s="1" t="s">
        <v>415</v>
      </c>
      <c r="D1871" s="1" t="s">
        <v>366</v>
      </c>
      <c r="E1871" s="6">
        <v>45545</v>
      </c>
      <c r="F1871" s="1">
        <v>42714.2</v>
      </c>
      <c r="G1871" s="1">
        <v>62714.2</v>
      </c>
      <c r="H1871" s="1">
        <v>21856.560000000001</v>
      </c>
      <c r="I1871" s="1">
        <v>-1856.5599999999979</v>
      </c>
      <c r="J1871" s="1">
        <v>64570.759999999987</v>
      </c>
      <c r="K1871" s="1">
        <v>402</v>
      </c>
      <c r="L1871" s="1">
        <v>53.502481203007598</v>
      </c>
      <c r="M1871" s="1">
        <v>-34.147053333186882</v>
      </c>
      <c r="N1871" s="7">
        <v>45947</v>
      </c>
      <c r="O1871" s="1">
        <v>20000</v>
      </c>
      <c r="P1871" s="7">
        <v>46320.814439074071</v>
      </c>
      <c r="Q1871" s="1" t="s">
        <v>330</v>
      </c>
      <c r="T1871" s="1" t="s">
        <v>419</v>
      </c>
      <c r="U1871" s="1" t="s">
        <v>420</v>
      </c>
      <c r="V1871" s="1">
        <v>1</v>
      </c>
      <c r="W1871" s="3">
        <v>42474.239999999998</v>
      </c>
      <c r="X1871" s="3">
        <v>42474.239999999998</v>
      </c>
      <c r="Y1871" s="1" t="str">
        <f>VLOOKUP(A1871,[1]Detalle!$D$2:$CR$484,93,FALSE)</f>
        <v>CMQ_TTE - QUILMES TTE</v>
      </c>
    </row>
    <row r="1872" spans="1:25" ht="14.25" customHeight="1" x14ac:dyDescent="0.3">
      <c r="A1872" s="1" t="s">
        <v>27</v>
      </c>
      <c r="B1872" s="1" t="s">
        <v>421</v>
      </c>
      <c r="C1872" s="1" t="s">
        <v>415</v>
      </c>
      <c r="D1872" s="1" t="s">
        <v>366</v>
      </c>
      <c r="E1872" s="6">
        <v>45827</v>
      </c>
      <c r="F1872" s="1">
        <v>68428.5</v>
      </c>
      <c r="G1872" s="1">
        <v>88428.5</v>
      </c>
      <c r="H1872" s="1">
        <v>5182.2</v>
      </c>
      <c r="I1872" s="1">
        <v>14817.8</v>
      </c>
      <c r="J1872" s="1">
        <v>73610.7</v>
      </c>
      <c r="K1872" s="1">
        <v>120</v>
      </c>
      <c r="L1872" s="1">
        <v>48.244391143911422</v>
      </c>
      <c r="M1872" s="1">
        <v>343.1237698274864</v>
      </c>
      <c r="N1872" s="7">
        <v>45947</v>
      </c>
      <c r="O1872" s="1">
        <v>20000</v>
      </c>
      <c r="P1872" s="7">
        <v>46290.123769826387</v>
      </c>
      <c r="Q1872" s="1" t="s">
        <v>330</v>
      </c>
      <c r="T1872" s="1" t="s">
        <v>422</v>
      </c>
      <c r="U1872" s="1" t="s">
        <v>423</v>
      </c>
      <c r="V1872" s="1">
        <v>1</v>
      </c>
      <c r="W1872" s="3">
        <v>49777.919999999998</v>
      </c>
      <c r="X1872" s="3">
        <v>49777.919999999998</v>
      </c>
      <c r="Y1872" s="1" t="str">
        <f>VLOOKUP(A1872,[1]Detalle!$D$2:$CR$484,93,FALSE)</f>
        <v>CMQ_TTE - QUILMES TTE</v>
      </c>
    </row>
    <row r="1873" spans="1:25" ht="14.25" customHeight="1" x14ac:dyDescent="0.3">
      <c r="A1873" s="1" t="s">
        <v>210</v>
      </c>
      <c r="B1873" s="1" t="s">
        <v>421</v>
      </c>
      <c r="C1873" s="1" t="s">
        <v>415</v>
      </c>
      <c r="D1873" s="1" t="s">
        <v>366</v>
      </c>
      <c r="E1873" s="6">
        <v>45603</v>
      </c>
      <c r="F1873" s="1">
        <v>342438</v>
      </c>
      <c r="G1873" s="1">
        <v>362438</v>
      </c>
      <c r="H1873" s="1">
        <v>22886.28</v>
      </c>
      <c r="I1873" s="1">
        <v>-2886.280000000002</v>
      </c>
      <c r="J1873" s="1">
        <v>365324.28</v>
      </c>
      <c r="K1873" s="1">
        <v>344</v>
      </c>
      <c r="L1873" s="1">
        <v>66.651970260223024</v>
      </c>
      <c r="M1873" s="1">
        <v>-43.383211251457233</v>
      </c>
      <c r="N1873" s="7">
        <v>45947</v>
      </c>
      <c r="O1873" s="1">
        <v>20000</v>
      </c>
      <c r="P1873" s="7">
        <v>46247.066148414349</v>
      </c>
      <c r="Q1873" s="1" t="s">
        <v>330</v>
      </c>
      <c r="T1873" s="1" t="s">
        <v>422</v>
      </c>
      <c r="U1873" s="1" t="s">
        <v>423</v>
      </c>
      <c r="V1873" s="1">
        <v>1</v>
      </c>
      <c r="W1873" s="3">
        <v>49777.919999999998</v>
      </c>
      <c r="X1873" s="3">
        <v>49777.919999999998</v>
      </c>
      <c r="Y1873" s="1" t="str">
        <f>VLOOKUP(A1873,[1]Detalle!$D$2:$CR$484,93,FALSE)</f>
        <v>Topacio</v>
      </c>
    </row>
    <row r="1874" spans="1:25" ht="14.25" customHeight="1" x14ac:dyDescent="0.3">
      <c r="A1874" s="1" t="s">
        <v>196</v>
      </c>
      <c r="B1874" s="1" t="s">
        <v>421</v>
      </c>
      <c r="C1874" s="1" t="s">
        <v>415</v>
      </c>
      <c r="D1874" s="1" t="s">
        <v>366</v>
      </c>
      <c r="E1874" s="6">
        <v>45656</v>
      </c>
      <c r="F1874" s="1">
        <v>216285</v>
      </c>
      <c r="G1874" s="1">
        <v>236285</v>
      </c>
      <c r="H1874" s="1">
        <v>9057.0900000000038</v>
      </c>
      <c r="I1874" s="1">
        <v>10942.91</v>
      </c>
      <c r="J1874" s="1">
        <v>225342.09</v>
      </c>
      <c r="K1874" s="1">
        <v>291</v>
      </c>
      <c r="L1874" s="1">
        <v>33.420996309963101</v>
      </c>
      <c r="M1874" s="1">
        <v>351.59050092248151</v>
      </c>
      <c r="N1874" s="7">
        <v>45947</v>
      </c>
      <c r="O1874" s="1">
        <v>20000</v>
      </c>
      <c r="P1874" s="7">
        <v>46298.59050092593</v>
      </c>
      <c r="Q1874" s="1" t="s">
        <v>330</v>
      </c>
      <c r="T1874" s="1" t="s">
        <v>422</v>
      </c>
      <c r="U1874" s="1" t="s">
        <v>423</v>
      </c>
      <c r="V1874" s="1">
        <v>1</v>
      </c>
      <c r="W1874" s="3">
        <v>49777.919999999998</v>
      </c>
      <c r="X1874" s="3">
        <v>49777.919999999998</v>
      </c>
      <c r="Y1874" s="1" t="str">
        <f>VLOOKUP(A1874,[1]Detalle!$D$2:$CR$484,93,FALSE)</f>
        <v>CCUCoAZA</v>
      </c>
    </row>
    <row r="1875" spans="1:25" ht="14.25" customHeight="1" x14ac:dyDescent="0.3">
      <c r="A1875" s="1" t="s">
        <v>190</v>
      </c>
      <c r="B1875" s="1" t="s">
        <v>421</v>
      </c>
      <c r="C1875" s="1" t="s">
        <v>415</v>
      </c>
      <c r="D1875" s="1" t="s">
        <v>366</v>
      </c>
      <c r="E1875" s="6">
        <v>45785</v>
      </c>
      <c r="F1875" s="1">
        <v>249976</v>
      </c>
      <c r="G1875" s="1">
        <v>269976</v>
      </c>
      <c r="H1875" s="1">
        <v>7170.0999999999995</v>
      </c>
      <c r="I1875" s="1">
        <v>12829.9</v>
      </c>
      <c r="J1875" s="1">
        <v>257146.1</v>
      </c>
      <c r="K1875" s="1">
        <v>162</v>
      </c>
      <c r="L1875" s="1">
        <v>37.516848874598068</v>
      </c>
      <c r="M1875" s="1">
        <v>289.876542865511</v>
      </c>
      <c r="N1875" s="7">
        <v>45947</v>
      </c>
      <c r="O1875" s="1">
        <v>20000</v>
      </c>
      <c r="P1875" s="7">
        <v>46236.87654287037</v>
      </c>
      <c r="Q1875" s="1" t="s">
        <v>330</v>
      </c>
      <c r="T1875" s="1" t="s">
        <v>422</v>
      </c>
      <c r="U1875" s="1" t="s">
        <v>423</v>
      </c>
      <c r="V1875" s="1">
        <v>1</v>
      </c>
      <c r="W1875" s="3">
        <v>49777.919999999998</v>
      </c>
      <c r="X1875" s="3">
        <v>49777.919999999998</v>
      </c>
      <c r="Y1875" s="1" t="str">
        <f>VLOOKUP(A1875,[1]Detalle!$D$2:$CR$484,93,FALSE)</f>
        <v>CCUCoAZA</v>
      </c>
    </row>
    <row r="1876" spans="1:25" ht="14.25" customHeight="1" x14ac:dyDescent="0.3">
      <c r="A1876" s="1" t="s">
        <v>189</v>
      </c>
      <c r="B1876" s="1" t="s">
        <v>421</v>
      </c>
      <c r="C1876" s="1" t="s">
        <v>415</v>
      </c>
      <c r="D1876" s="1" t="s">
        <v>366</v>
      </c>
      <c r="E1876" s="6">
        <v>45790</v>
      </c>
      <c r="F1876" s="1">
        <v>237476</v>
      </c>
      <c r="G1876" s="1">
        <v>257476</v>
      </c>
      <c r="H1876" s="1">
        <v>6287.2000000000007</v>
      </c>
      <c r="I1876" s="1">
        <v>13712.8</v>
      </c>
      <c r="J1876" s="1">
        <v>243763.20000000001</v>
      </c>
      <c r="K1876" s="1">
        <v>157</v>
      </c>
      <c r="L1876" s="1">
        <v>36.85391585760523</v>
      </c>
      <c r="M1876" s="1">
        <v>342.42740806718399</v>
      </c>
      <c r="N1876" s="7">
        <v>45947</v>
      </c>
      <c r="O1876" s="1">
        <v>20000</v>
      </c>
      <c r="P1876" s="7">
        <v>46289.427408067131</v>
      </c>
      <c r="Q1876" s="1" t="s">
        <v>330</v>
      </c>
      <c r="T1876" s="1" t="s">
        <v>422</v>
      </c>
      <c r="U1876" s="1" t="s">
        <v>423</v>
      </c>
      <c r="V1876" s="1">
        <v>1</v>
      </c>
      <c r="W1876" s="3">
        <v>49777.919999999998</v>
      </c>
      <c r="X1876" s="3">
        <v>49777.919999999998</v>
      </c>
      <c r="Y1876" s="1" t="str">
        <f>VLOOKUP(A1876,[1]Detalle!$D$2:$CR$484,93,FALSE)</f>
        <v>CCUDyAZA</v>
      </c>
    </row>
    <row r="1877" spans="1:25" ht="14.25" customHeight="1" x14ac:dyDescent="0.3">
      <c r="A1877" s="1" t="s">
        <v>180</v>
      </c>
      <c r="B1877" s="1" t="s">
        <v>421</v>
      </c>
      <c r="C1877" s="1" t="s">
        <v>415</v>
      </c>
      <c r="D1877" s="1" t="s">
        <v>366</v>
      </c>
      <c r="E1877" s="6">
        <v>45842</v>
      </c>
      <c r="F1877" s="1">
        <v>227732</v>
      </c>
      <c r="G1877" s="1">
        <v>247732</v>
      </c>
      <c r="H1877" s="1">
        <v>5333.9000000000024</v>
      </c>
      <c r="I1877" s="1">
        <v>14666.1</v>
      </c>
      <c r="J1877" s="1">
        <v>233065.9</v>
      </c>
      <c r="K1877" s="1">
        <v>105</v>
      </c>
      <c r="L1877" s="1">
        <v>40.479774193548408</v>
      </c>
      <c r="M1877" s="1">
        <v>288.70816850709599</v>
      </c>
      <c r="N1877" s="7">
        <v>45947</v>
      </c>
      <c r="O1877" s="1">
        <v>20000</v>
      </c>
      <c r="P1877" s="7">
        <v>46235.708168506942</v>
      </c>
      <c r="Q1877" s="1" t="s">
        <v>330</v>
      </c>
      <c r="T1877" s="1" t="s">
        <v>422</v>
      </c>
      <c r="U1877" s="1" t="s">
        <v>423</v>
      </c>
      <c r="V1877" s="1">
        <v>1</v>
      </c>
      <c r="W1877" s="3">
        <v>49777.919999999998</v>
      </c>
      <c r="X1877" s="3">
        <v>49777.919999999998</v>
      </c>
      <c r="Y1877" s="1" t="str">
        <f>VLOOKUP(A1877,[1]Detalle!$D$2:$CR$484,93,FALSE)</f>
        <v>CCUCoAZA</v>
      </c>
    </row>
    <row r="1878" spans="1:25" ht="14.25" customHeight="1" x14ac:dyDescent="0.3">
      <c r="A1878" s="1" t="s">
        <v>179</v>
      </c>
      <c r="B1878" s="1" t="s">
        <v>421</v>
      </c>
      <c r="C1878" s="1" t="s">
        <v>415</v>
      </c>
      <c r="D1878" s="1" t="s">
        <v>366</v>
      </c>
      <c r="E1878" s="6">
        <v>45742</v>
      </c>
      <c r="F1878" s="1">
        <v>283696</v>
      </c>
      <c r="G1878" s="1">
        <v>303696</v>
      </c>
      <c r="H1878" s="1">
        <v>7346.0000000000036</v>
      </c>
      <c r="I1878" s="1">
        <v>12654</v>
      </c>
      <c r="J1878" s="1">
        <v>291042</v>
      </c>
      <c r="K1878" s="1">
        <v>205</v>
      </c>
      <c r="L1878" s="1">
        <v>34.247774193548388</v>
      </c>
      <c r="M1878" s="1">
        <v>353.12687176694772</v>
      </c>
      <c r="N1878" s="7">
        <v>45947</v>
      </c>
      <c r="O1878" s="1">
        <v>20000</v>
      </c>
      <c r="P1878" s="7">
        <v>46300.12687177083</v>
      </c>
      <c r="Q1878" s="1" t="s">
        <v>330</v>
      </c>
      <c r="T1878" s="1" t="s">
        <v>422</v>
      </c>
      <c r="U1878" s="1" t="s">
        <v>423</v>
      </c>
      <c r="V1878" s="1">
        <v>1</v>
      </c>
      <c r="W1878" s="3">
        <v>49777.919999999998</v>
      </c>
      <c r="X1878" s="3">
        <v>49777.919999999998</v>
      </c>
      <c r="Y1878" s="1" t="str">
        <f>VLOOKUP(A1878,[1]Detalle!$D$2:$CR$484,93,FALSE)</f>
        <v>CCUCoAZA</v>
      </c>
    </row>
    <row r="1879" spans="1:25" ht="14.25" customHeight="1" x14ac:dyDescent="0.3">
      <c r="A1879" s="1" t="s">
        <v>82</v>
      </c>
      <c r="B1879" s="1" t="s">
        <v>421</v>
      </c>
      <c r="C1879" s="1" t="s">
        <v>415</v>
      </c>
      <c r="D1879" s="1" t="s">
        <v>366</v>
      </c>
      <c r="E1879" s="6">
        <v>45822</v>
      </c>
      <c r="F1879" s="1">
        <v>71797</v>
      </c>
      <c r="G1879" s="1">
        <v>91797</v>
      </c>
      <c r="H1879" s="1">
        <v>0</v>
      </c>
      <c r="I1879" s="1">
        <v>20000</v>
      </c>
      <c r="J1879" s="1">
        <v>71797</v>
      </c>
      <c r="K1879" s="1">
        <v>125</v>
      </c>
      <c r="L1879" s="1">
        <v>4.7505769230769239</v>
      </c>
      <c r="M1879" s="1">
        <v>200</v>
      </c>
      <c r="N1879" s="7">
        <v>45947</v>
      </c>
      <c r="O1879" s="1">
        <v>20000</v>
      </c>
      <c r="P1879" s="7">
        <v>46147</v>
      </c>
      <c r="Q1879" s="1" t="s">
        <v>330</v>
      </c>
      <c r="T1879" s="1" t="s">
        <v>422</v>
      </c>
      <c r="U1879" s="1" t="s">
        <v>423</v>
      </c>
      <c r="V1879" s="1">
        <v>1</v>
      </c>
      <c r="W1879" s="3">
        <v>49777.919999999998</v>
      </c>
      <c r="X1879" s="3">
        <v>49777.919999999998</v>
      </c>
      <c r="Y1879" s="1" t="str">
        <f>VLOOKUP(A1879,[1]Detalle!$D$2:$CR$484,93,FALSE)</f>
        <v>CENCO_MZ - Cencosud SA - Mendoza</v>
      </c>
    </row>
    <row r="1880" spans="1:25" ht="14.25" customHeight="1" x14ac:dyDescent="0.3">
      <c r="A1880" s="1" t="s">
        <v>42</v>
      </c>
      <c r="B1880" s="1" t="s">
        <v>421</v>
      </c>
      <c r="C1880" s="1" t="s">
        <v>415</v>
      </c>
      <c r="D1880" s="1" t="s">
        <v>366</v>
      </c>
      <c r="E1880" s="6">
        <v>45461</v>
      </c>
      <c r="F1880" s="1">
        <v>38855.1</v>
      </c>
      <c r="G1880" s="1">
        <v>58855.1</v>
      </c>
      <c r="H1880" s="1">
        <v>22989.899999999991</v>
      </c>
      <c r="I1880" s="1">
        <v>-2989.899999999991</v>
      </c>
      <c r="J1880" s="1">
        <v>61844.999999999993</v>
      </c>
      <c r="K1880" s="1">
        <v>486</v>
      </c>
      <c r="L1880" s="1">
        <v>45.422519083969469</v>
      </c>
      <c r="M1880" s="1">
        <v>-63.205642477783549</v>
      </c>
      <c r="N1880" s="7">
        <v>45947</v>
      </c>
      <c r="O1880" s="1">
        <v>20000</v>
      </c>
      <c r="P1880" s="7">
        <v>46387.310233854158</v>
      </c>
      <c r="Q1880" s="1" t="s">
        <v>330</v>
      </c>
      <c r="T1880" s="1" t="s">
        <v>422</v>
      </c>
      <c r="U1880" s="1" t="s">
        <v>423</v>
      </c>
      <c r="V1880" s="1">
        <v>1</v>
      </c>
      <c r="W1880" s="3">
        <v>49777.919999999998</v>
      </c>
      <c r="X1880" s="3">
        <v>49777.919999999998</v>
      </c>
      <c r="Y1880" s="1" t="str">
        <f>VLOOKUP(A1880,[1]Detalle!$D$2:$CR$484,93,FALSE)</f>
        <v>CMQ_TTE - QUILMES TTE</v>
      </c>
    </row>
    <row r="1881" spans="1:25" ht="14.25" customHeight="1" x14ac:dyDescent="0.3">
      <c r="A1881" s="1" t="s">
        <v>40</v>
      </c>
      <c r="B1881" s="1" t="s">
        <v>421</v>
      </c>
      <c r="C1881" s="1" t="s">
        <v>415</v>
      </c>
      <c r="D1881" s="1" t="s">
        <v>366</v>
      </c>
      <c r="E1881" s="6">
        <v>45289</v>
      </c>
      <c r="F1881" s="1">
        <v>39135</v>
      </c>
      <c r="G1881" s="1">
        <v>59135</v>
      </c>
      <c r="H1881" s="1">
        <v>34703.519999999939</v>
      </c>
      <c r="I1881" s="1">
        <v>-14703.51999999994</v>
      </c>
      <c r="J1881" s="1">
        <v>73838.519999999931</v>
      </c>
      <c r="K1881" s="1">
        <v>658</v>
      </c>
      <c r="L1881" s="1">
        <v>51.09303703703705</v>
      </c>
      <c r="M1881" s="1">
        <v>-278.78774717953621</v>
      </c>
      <c r="N1881" s="7">
        <v>45947</v>
      </c>
      <c r="O1881" s="1">
        <v>20000</v>
      </c>
      <c r="P1881" s="7">
        <v>46338.442771064823</v>
      </c>
      <c r="Q1881" s="1" t="s">
        <v>330</v>
      </c>
      <c r="T1881" s="1" t="s">
        <v>422</v>
      </c>
      <c r="U1881" s="1" t="s">
        <v>423</v>
      </c>
      <c r="V1881" s="1">
        <v>1</v>
      </c>
      <c r="W1881" s="3">
        <v>49777.919999999998</v>
      </c>
      <c r="X1881" s="3">
        <v>49777.919999999998</v>
      </c>
      <c r="Y1881" s="1" t="str">
        <f>VLOOKUP(A1881,[1]Detalle!$D$2:$CR$484,93,FALSE)</f>
        <v>CMQ_TTE - QUILMES TTE</v>
      </c>
    </row>
    <row r="1882" spans="1:25" ht="14.25" customHeight="1" x14ac:dyDescent="0.3">
      <c r="A1882" s="1" t="s">
        <v>273</v>
      </c>
      <c r="B1882" s="1" t="s">
        <v>421</v>
      </c>
      <c r="C1882" s="1" t="s">
        <v>415</v>
      </c>
      <c r="D1882" s="1" t="s">
        <v>366</v>
      </c>
      <c r="E1882" s="1" t="s">
        <v>337</v>
      </c>
      <c r="L1882" s="1">
        <v>169.51837638376381</v>
      </c>
      <c r="N1882" s="7">
        <v>45947</v>
      </c>
      <c r="O1882" s="1">
        <v>20000</v>
      </c>
      <c r="P1882" s="7">
        <v>46064.981309317132</v>
      </c>
      <c r="Q1882" s="1" t="s">
        <v>330</v>
      </c>
      <c r="T1882" s="1" t="s">
        <v>422</v>
      </c>
      <c r="U1882" s="1" t="s">
        <v>423</v>
      </c>
      <c r="V1882" s="1">
        <v>1</v>
      </c>
      <c r="W1882" s="3">
        <v>49777.919999999998</v>
      </c>
      <c r="X1882" s="3">
        <v>49777.919999999998</v>
      </c>
      <c r="Y1882" s="1" t="str">
        <f>VLOOKUP(A1882,[1]Detalle!$D$2:$CR$484,93,FALSE)</f>
        <v>CENCO_MZ - Cencosud SA - Mendoza</v>
      </c>
    </row>
    <row r="1883" spans="1:25" ht="14.25" customHeight="1" x14ac:dyDescent="0.3">
      <c r="A1883" s="1" t="s">
        <v>267</v>
      </c>
      <c r="B1883" s="1" t="s">
        <v>421</v>
      </c>
      <c r="C1883" s="1" t="s">
        <v>415</v>
      </c>
      <c r="D1883" s="1" t="s">
        <v>366</v>
      </c>
      <c r="E1883" s="1" t="s">
        <v>337</v>
      </c>
      <c r="F1883" s="1">
        <v>292381</v>
      </c>
      <c r="G1883" s="1">
        <v>312381</v>
      </c>
      <c r="H1883" s="1">
        <v>7939.1000000000049</v>
      </c>
      <c r="I1883" s="1">
        <v>12060.899999999991</v>
      </c>
      <c r="J1883" s="1">
        <v>300320.09999999998</v>
      </c>
      <c r="K1883" s="1">
        <v>222</v>
      </c>
      <c r="L1883" s="1">
        <v>30.400741935483872</v>
      </c>
      <c r="M1883" s="1">
        <v>337.25734655061621</v>
      </c>
      <c r="N1883" s="7">
        <v>45947</v>
      </c>
      <c r="O1883" s="1">
        <v>20000</v>
      </c>
      <c r="P1883" s="7">
        <v>46284.257346550927</v>
      </c>
      <c r="Q1883" s="1" t="s">
        <v>330</v>
      </c>
      <c r="T1883" s="1" t="s">
        <v>422</v>
      </c>
      <c r="U1883" s="1" t="s">
        <v>423</v>
      </c>
      <c r="V1883" s="1">
        <v>1</v>
      </c>
      <c r="W1883" s="3">
        <v>49777.919999999998</v>
      </c>
      <c r="X1883" s="3">
        <v>49777.919999999998</v>
      </c>
      <c r="Y1883" s="1" t="str">
        <f>VLOOKUP(A1883,[1]Detalle!$D$2:$CR$484,93,FALSE)</f>
        <v>CCUDyAZA</v>
      </c>
    </row>
    <row r="1884" spans="1:25" ht="14.25" customHeight="1" x14ac:dyDescent="0.3">
      <c r="A1884" s="1" t="s">
        <v>208</v>
      </c>
      <c r="B1884" s="1" t="s">
        <v>421</v>
      </c>
      <c r="C1884" s="1" t="s">
        <v>415</v>
      </c>
      <c r="D1884" s="1" t="s">
        <v>366</v>
      </c>
      <c r="E1884" s="6">
        <v>45898</v>
      </c>
      <c r="F1884" s="1">
        <v>279340</v>
      </c>
      <c r="G1884" s="1">
        <v>299340</v>
      </c>
      <c r="H1884" s="1">
        <v>2584.1999999999998</v>
      </c>
      <c r="I1884" s="1">
        <v>17415.8</v>
      </c>
      <c r="J1884" s="1">
        <v>281924.2</v>
      </c>
      <c r="K1884" s="1">
        <v>49</v>
      </c>
      <c r="L1884" s="1">
        <v>86.131808118081167</v>
      </c>
      <c r="M1884" s="1">
        <v>330.22761396176759</v>
      </c>
      <c r="N1884" s="7">
        <v>45947</v>
      </c>
      <c r="O1884" s="1">
        <v>20000</v>
      </c>
      <c r="P1884" s="7">
        <v>46277.227613958326</v>
      </c>
      <c r="Q1884" s="1" t="s">
        <v>330</v>
      </c>
      <c r="T1884" s="1" t="s">
        <v>422</v>
      </c>
      <c r="U1884" s="1" t="s">
        <v>423</v>
      </c>
      <c r="V1884" s="1">
        <v>1</v>
      </c>
      <c r="W1884" s="3">
        <v>49777.919999999998</v>
      </c>
      <c r="X1884" s="3">
        <v>49777.919999999998</v>
      </c>
      <c r="Y1884" s="1" t="str">
        <f>VLOOKUP(A1884,[1]Detalle!$D$2:$CR$484,93,FALSE)</f>
        <v>Arcor S.A.I.C.</v>
      </c>
    </row>
    <row r="1885" spans="1:25" ht="14.25" customHeight="1" x14ac:dyDescent="0.3">
      <c r="A1885" s="1" t="s">
        <v>207</v>
      </c>
      <c r="B1885" s="1" t="s">
        <v>421</v>
      </c>
      <c r="C1885" s="1" t="s">
        <v>415</v>
      </c>
      <c r="D1885" s="1" t="s">
        <v>366</v>
      </c>
      <c r="E1885" s="6">
        <v>45786</v>
      </c>
      <c r="F1885" s="1">
        <v>331282</v>
      </c>
      <c r="G1885" s="1">
        <v>351282</v>
      </c>
      <c r="H1885" s="1">
        <v>13312.400000000011</v>
      </c>
      <c r="I1885" s="1">
        <v>6687.5999999999931</v>
      </c>
      <c r="J1885" s="1">
        <v>344594.4</v>
      </c>
      <c r="K1885" s="1">
        <v>161</v>
      </c>
      <c r="L1885" s="1">
        <v>86.162316176470569</v>
      </c>
      <c r="M1885" s="1">
        <v>80.879751209398634</v>
      </c>
      <c r="N1885" s="7">
        <v>45947</v>
      </c>
      <c r="O1885" s="1">
        <v>20000</v>
      </c>
      <c r="P1885" s="7">
        <v>46027.879751203713</v>
      </c>
      <c r="Q1885" s="1" t="s">
        <v>330</v>
      </c>
      <c r="T1885" s="1" t="s">
        <v>422</v>
      </c>
      <c r="U1885" s="1" t="s">
        <v>423</v>
      </c>
      <c r="V1885" s="1">
        <v>1</v>
      </c>
      <c r="W1885" s="3">
        <v>49777.919999999998</v>
      </c>
      <c r="X1885" s="3">
        <v>49777.919999999998</v>
      </c>
      <c r="Y1885" s="1" t="str">
        <f>VLOOKUP(A1885,[1]Detalle!$D$2:$CR$484,93,FALSE)</f>
        <v>Arcor S.A.I.C.</v>
      </c>
    </row>
    <row r="1886" spans="1:25" ht="14.25" customHeight="1" x14ac:dyDescent="0.3">
      <c r="A1886" s="1" t="s">
        <v>3</v>
      </c>
      <c r="B1886" s="1" t="s">
        <v>421</v>
      </c>
      <c r="C1886" s="1" t="s">
        <v>415</v>
      </c>
      <c r="D1886" s="1" t="s">
        <v>366</v>
      </c>
      <c r="E1886" s="6">
        <v>45742</v>
      </c>
      <c r="F1886" s="1">
        <v>24483.4</v>
      </c>
      <c r="G1886" s="1">
        <v>44483.4</v>
      </c>
      <c r="H1886" s="1">
        <v>12540.3</v>
      </c>
      <c r="I1886" s="1">
        <v>7459.6999999999971</v>
      </c>
      <c r="J1886" s="1">
        <v>37023.699999999997</v>
      </c>
      <c r="K1886" s="1">
        <v>205</v>
      </c>
      <c r="L1886" s="1">
        <v>67.727480916030515</v>
      </c>
      <c r="M1886" s="1">
        <v>121.94592633350069</v>
      </c>
      <c r="N1886" s="7">
        <v>45947</v>
      </c>
      <c r="O1886" s="1">
        <v>20000</v>
      </c>
      <c r="P1886" s="7">
        <v>46068.94592633102</v>
      </c>
      <c r="Q1886" s="1" t="s">
        <v>330</v>
      </c>
      <c r="T1886" s="1" t="s">
        <v>422</v>
      </c>
      <c r="U1886" s="1" t="s">
        <v>423</v>
      </c>
      <c r="V1886" s="1">
        <v>1</v>
      </c>
      <c r="W1886" s="3">
        <v>49777.919999999998</v>
      </c>
      <c r="X1886" s="3">
        <v>49777.919999999998</v>
      </c>
      <c r="Y1886" s="1" t="str">
        <f>VLOOKUP(A1886,[1]Detalle!$D$2:$CR$484,93,FALSE)</f>
        <v>CCU_MZA - Comp. Cerv. Unidas - MZA</v>
      </c>
    </row>
    <row r="1887" spans="1:25" ht="14.25" customHeight="1" x14ac:dyDescent="0.3">
      <c r="A1887" s="1" t="s">
        <v>88</v>
      </c>
      <c r="B1887" s="1" t="s">
        <v>424</v>
      </c>
      <c r="C1887" s="1" t="s">
        <v>415</v>
      </c>
      <c r="D1887" s="1" t="s">
        <v>366</v>
      </c>
      <c r="E1887" s="6">
        <v>45603</v>
      </c>
      <c r="F1887" s="1">
        <v>18877</v>
      </c>
      <c r="G1887" s="1">
        <v>38877</v>
      </c>
      <c r="H1887" s="1">
        <v>13183.70000000001</v>
      </c>
      <c r="I1887" s="1">
        <v>6816.299999999992</v>
      </c>
      <c r="J1887" s="1">
        <v>32060.700000000012</v>
      </c>
      <c r="K1887" s="1">
        <v>344</v>
      </c>
      <c r="L1887" s="1">
        <v>37.875645756457558</v>
      </c>
      <c r="M1887" s="1">
        <v>177.856534963629</v>
      </c>
      <c r="N1887" s="7">
        <v>45947</v>
      </c>
      <c r="O1887" s="1">
        <v>20000</v>
      </c>
      <c r="P1887" s="7">
        <v>46124.856534965278</v>
      </c>
      <c r="Q1887" s="1" t="s">
        <v>330</v>
      </c>
      <c r="T1887" s="1" t="s">
        <v>425</v>
      </c>
      <c r="U1887" s="1" t="s">
        <v>426</v>
      </c>
      <c r="V1887" s="1">
        <v>1</v>
      </c>
      <c r="W1887" s="3">
        <v>126126.58</v>
      </c>
      <c r="X1887" s="3">
        <v>126126.58</v>
      </c>
      <c r="Y1887" s="1" t="str">
        <f>VLOOKUP(A1887,[1]Detalle!$D$2:$CR$484,93,FALSE)</f>
        <v>CMQ_TTE - QUILMES TTE</v>
      </c>
    </row>
    <row r="1888" spans="1:25" ht="14.25" customHeight="1" x14ac:dyDescent="0.3">
      <c r="A1888" s="1" t="s">
        <v>87</v>
      </c>
      <c r="B1888" s="1" t="s">
        <v>424</v>
      </c>
      <c r="C1888" s="1" t="s">
        <v>415</v>
      </c>
      <c r="D1888" s="1" t="s">
        <v>366</v>
      </c>
      <c r="E1888" s="6">
        <v>45905</v>
      </c>
      <c r="F1888" s="1">
        <v>52971.7</v>
      </c>
      <c r="G1888" s="1">
        <v>72971.7</v>
      </c>
      <c r="H1888" s="1">
        <v>0</v>
      </c>
      <c r="I1888" s="1">
        <v>20000</v>
      </c>
      <c r="J1888" s="1">
        <v>52971.7</v>
      </c>
      <c r="K1888" s="1">
        <v>42</v>
      </c>
      <c r="L1888" s="1">
        <v>3.001660516605166</v>
      </c>
      <c r="M1888" s="1">
        <v>200</v>
      </c>
      <c r="N1888" s="7">
        <v>45947</v>
      </c>
      <c r="O1888" s="1">
        <v>20000</v>
      </c>
      <c r="P1888" s="7">
        <v>46147</v>
      </c>
      <c r="Q1888" s="1" t="s">
        <v>330</v>
      </c>
      <c r="T1888" s="1" t="s">
        <v>425</v>
      </c>
      <c r="U1888" s="1" t="s">
        <v>426</v>
      </c>
      <c r="V1888" s="1">
        <v>1</v>
      </c>
      <c r="W1888" s="3">
        <v>126126.58</v>
      </c>
      <c r="X1888" s="3">
        <v>126126.58</v>
      </c>
      <c r="Y1888" s="1" t="str">
        <f>VLOOKUP(A1888,[1]Detalle!$D$2:$CR$484,93,FALSE)</f>
        <v>Arcor S.A.I.C.</v>
      </c>
    </row>
    <row r="1889" spans="1:25" ht="14.25" customHeight="1" x14ac:dyDescent="0.3">
      <c r="A1889" s="1" t="s">
        <v>71</v>
      </c>
      <c r="B1889" s="1" t="s">
        <v>424</v>
      </c>
      <c r="C1889" s="1" t="s">
        <v>415</v>
      </c>
      <c r="D1889" s="1" t="s">
        <v>366</v>
      </c>
      <c r="E1889" s="6">
        <v>45838</v>
      </c>
      <c r="F1889" s="1">
        <v>37932</v>
      </c>
      <c r="G1889" s="1">
        <v>57932</v>
      </c>
      <c r="H1889" s="1">
        <v>4460.9999999999991</v>
      </c>
      <c r="I1889" s="1">
        <v>15539</v>
      </c>
      <c r="J1889" s="1">
        <v>42393</v>
      </c>
      <c r="K1889" s="1">
        <v>109</v>
      </c>
      <c r="L1889" s="1">
        <v>38.195276752767562</v>
      </c>
      <c r="M1889" s="1">
        <v>379.67966823582162</v>
      </c>
      <c r="N1889" s="7">
        <v>45947</v>
      </c>
      <c r="O1889" s="1">
        <v>20000</v>
      </c>
      <c r="P1889" s="7">
        <v>46326.679668240737</v>
      </c>
      <c r="Q1889" s="1" t="s">
        <v>330</v>
      </c>
      <c r="T1889" s="1" t="s">
        <v>425</v>
      </c>
      <c r="U1889" s="1" t="s">
        <v>426</v>
      </c>
      <c r="V1889" s="1">
        <v>1</v>
      </c>
      <c r="W1889" s="3">
        <v>126126.58</v>
      </c>
      <c r="X1889" s="3">
        <v>126126.58</v>
      </c>
      <c r="Y1889" s="1" t="str">
        <f>VLOOKUP(A1889,[1]Detalle!$D$2:$CR$484,93,FALSE)</f>
        <v>CMQ_TTE - QUILMES TTE</v>
      </c>
    </row>
    <row r="1890" spans="1:25" ht="14.25" customHeight="1" x14ac:dyDescent="0.3">
      <c r="A1890" s="1" t="s">
        <v>66</v>
      </c>
      <c r="B1890" s="1" t="s">
        <v>424</v>
      </c>
      <c r="C1890" s="1" t="s">
        <v>415</v>
      </c>
      <c r="D1890" s="1" t="s">
        <v>366</v>
      </c>
      <c r="E1890" s="6">
        <v>45586</v>
      </c>
      <c r="F1890" s="1">
        <v>14436</v>
      </c>
      <c r="G1890" s="1">
        <v>34436</v>
      </c>
      <c r="H1890" s="1">
        <v>9131.8000000000029</v>
      </c>
      <c r="I1890" s="1">
        <v>10868.2</v>
      </c>
      <c r="J1890" s="1">
        <v>23567.8</v>
      </c>
      <c r="K1890" s="1">
        <v>361</v>
      </c>
      <c r="L1890" s="1">
        <v>25.02444444444442</v>
      </c>
      <c r="M1890" s="1">
        <v>429.64368470619132</v>
      </c>
      <c r="N1890" s="7">
        <v>45947</v>
      </c>
      <c r="O1890" s="1">
        <v>20000</v>
      </c>
      <c r="P1890" s="7">
        <v>46376.643684710652</v>
      </c>
      <c r="Q1890" s="1" t="s">
        <v>330</v>
      </c>
      <c r="T1890" s="1" t="s">
        <v>425</v>
      </c>
      <c r="U1890" s="1" t="s">
        <v>426</v>
      </c>
      <c r="V1890" s="1">
        <v>1</v>
      </c>
      <c r="W1890" s="3">
        <v>126126.58</v>
      </c>
      <c r="X1890" s="3">
        <v>126126.58</v>
      </c>
      <c r="Y1890" s="1" t="str">
        <f>VLOOKUP(A1890,[1]Detalle!$D$2:$CR$484,93,FALSE)</f>
        <v>CMQ_TTE - QUILMES TTE</v>
      </c>
    </row>
    <row r="1891" spans="1:25" ht="14.25" customHeight="1" x14ac:dyDescent="0.3">
      <c r="A1891" s="1" t="s">
        <v>46</v>
      </c>
      <c r="B1891" s="1" t="s">
        <v>424</v>
      </c>
      <c r="C1891" s="1" t="s">
        <v>415</v>
      </c>
      <c r="D1891" s="1" t="s">
        <v>366</v>
      </c>
      <c r="E1891" s="6">
        <v>45433</v>
      </c>
      <c r="F1891" s="1">
        <v>42190.455000000002</v>
      </c>
      <c r="G1891" s="1">
        <v>62190.455000000002</v>
      </c>
      <c r="H1891" s="1">
        <v>27560.459999999988</v>
      </c>
      <c r="I1891" s="1">
        <v>-7560.4599999999882</v>
      </c>
      <c r="J1891" s="1">
        <v>69750.914999999994</v>
      </c>
      <c r="K1891" s="1">
        <v>514</v>
      </c>
      <c r="L1891" s="1">
        <v>50.965294117647097</v>
      </c>
      <c r="M1891" s="1">
        <v>-141.00187152173791</v>
      </c>
      <c r="N1891" s="7">
        <v>45947</v>
      </c>
      <c r="O1891" s="1">
        <v>20000</v>
      </c>
      <c r="P1891" s="7">
        <v>46339.423910162041</v>
      </c>
      <c r="Q1891" s="1" t="s">
        <v>330</v>
      </c>
      <c r="T1891" s="1" t="s">
        <v>425</v>
      </c>
      <c r="U1891" s="1" t="s">
        <v>426</v>
      </c>
      <c r="V1891" s="1">
        <v>1</v>
      </c>
      <c r="W1891" s="3">
        <v>126126.58</v>
      </c>
      <c r="X1891" s="3">
        <v>126126.58</v>
      </c>
      <c r="Y1891" s="1" t="str">
        <f>VLOOKUP(A1891,[1]Detalle!$D$2:$CR$484,93,FALSE)</f>
        <v>CMQ_TTE - QUILMES TTE</v>
      </c>
    </row>
    <row r="1892" spans="1:25" ht="14.25" customHeight="1" x14ac:dyDescent="0.3">
      <c r="A1892" s="1" t="s">
        <v>44</v>
      </c>
      <c r="B1892" s="1" t="s">
        <v>424</v>
      </c>
      <c r="C1892" s="1" t="s">
        <v>415</v>
      </c>
      <c r="D1892" s="1" t="s">
        <v>366</v>
      </c>
      <c r="E1892" s="6">
        <v>45849</v>
      </c>
      <c r="F1892" s="1">
        <v>54917</v>
      </c>
      <c r="G1892" s="1">
        <v>74917</v>
      </c>
      <c r="H1892" s="1">
        <v>4571.7000000000007</v>
      </c>
      <c r="I1892" s="1">
        <v>15428.3</v>
      </c>
      <c r="J1892" s="1">
        <v>59488.7</v>
      </c>
      <c r="K1892" s="1">
        <v>98</v>
      </c>
      <c r="L1892" s="1">
        <v>49.3882592592593</v>
      </c>
      <c r="M1892" s="1">
        <v>330.72454448017152</v>
      </c>
      <c r="N1892" s="7">
        <v>45947</v>
      </c>
      <c r="O1892" s="1">
        <v>20000</v>
      </c>
      <c r="P1892" s="7">
        <v>46277.72454447917</v>
      </c>
      <c r="Q1892" s="1" t="s">
        <v>330</v>
      </c>
      <c r="T1892" s="1" t="s">
        <v>425</v>
      </c>
      <c r="U1892" s="1" t="s">
        <v>426</v>
      </c>
      <c r="V1892" s="1">
        <v>1</v>
      </c>
      <c r="W1892" s="3">
        <v>126126.58</v>
      </c>
      <c r="X1892" s="3">
        <v>126126.58</v>
      </c>
      <c r="Y1892" s="1" t="str">
        <f>VLOOKUP(A1892,[1]Detalle!$D$2:$CR$484,93,FALSE)</f>
        <v>CMQ_TTE - QUILMES TTE</v>
      </c>
    </row>
    <row r="1893" spans="1:25" ht="14.25" customHeight="1" x14ac:dyDescent="0.3">
      <c r="A1893" s="1" t="s">
        <v>43</v>
      </c>
      <c r="B1893" s="1" t="s">
        <v>424</v>
      </c>
      <c r="C1893" s="1" t="s">
        <v>415</v>
      </c>
      <c r="D1893" s="1" t="s">
        <v>366</v>
      </c>
      <c r="E1893" s="6">
        <v>45352</v>
      </c>
      <c r="F1893" s="1">
        <v>43619</v>
      </c>
      <c r="G1893" s="1">
        <v>63619</v>
      </c>
      <c r="H1893" s="1">
        <v>32217.59</v>
      </c>
      <c r="I1893" s="1">
        <v>-12217.59</v>
      </c>
      <c r="J1893" s="1">
        <v>75836.59</v>
      </c>
      <c r="K1893" s="1">
        <v>595</v>
      </c>
      <c r="L1893" s="1">
        <v>51.939962962962959</v>
      </c>
      <c r="M1893" s="1">
        <v>-225.63655599317011</v>
      </c>
      <c r="N1893" s="7">
        <v>45947</v>
      </c>
      <c r="O1893" s="1">
        <v>20000</v>
      </c>
      <c r="P1893" s="7">
        <v>46332.059958831022</v>
      </c>
      <c r="Q1893" s="1" t="s">
        <v>330</v>
      </c>
      <c r="T1893" s="1" t="s">
        <v>425</v>
      </c>
      <c r="U1893" s="1" t="s">
        <v>426</v>
      </c>
      <c r="V1893" s="1">
        <v>1</v>
      </c>
      <c r="W1893" s="3">
        <v>126126.58</v>
      </c>
      <c r="X1893" s="3">
        <v>126126.58</v>
      </c>
      <c r="Y1893" s="1" t="str">
        <f>VLOOKUP(A1893,[1]Detalle!$D$2:$CR$484,93,FALSE)</f>
        <v>CMQ_TTE - QUILMES TTE</v>
      </c>
    </row>
    <row r="1894" spans="1:25" ht="14.25" customHeight="1" x14ac:dyDescent="0.3">
      <c r="A1894" s="1" t="s">
        <v>24</v>
      </c>
      <c r="B1894" s="1" t="s">
        <v>424</v>
      </c>
      <c r="C1894" s="1" t="s">
        <v>415</v>
      </c>
      <c r="D1894" s="1" t="s">
        <v>366</v>
      </c>
      <c r="E1894" s="6">
        <v>45827</v>
      </c>
      <c r="F1894" s="1">
        <v>70636</v>
      </c>
      <c r="G1894" s="1">
        <v>90636</v>
      </c>
      <c r="H1894" s="1">
        <v>4770.7000000000007</v>
      </c>
      <c r="I1894" s="1">
        <v>15229.3</v>
      </c>
      <c r="J1894" s="1">
        <v>75406.7</v>
      </c>
      <c r="K1894" s="1">
        <v>120</v>
      </c>
      <c r="L1894" s="1">
        <v>48.072185185185191</v>
      </c>
      <c r="M1894" s="1">
        <v>383.07082818035082</v>
      </c>
      <c r="N1894" s="7">
        <v>45947</v>
      </c>
      <c r="O1894" s="1">
        <v>20000</v>
      </c>
      <c r="P1894" s="7">
        <v>46330.07082818287</v>
      </c>
      <c r="Q1894" s="1" t="s">
        <v>330</v>
      </c>
      <c r="T1894" s="1" t="s">
        <v>425</v>
      </c>
      <c r="U1894" s="1" t="s">
        <v>426</v>
      </c>
      <c r="V1894" s="1">
        <v>1</v>
      </c>
      <c r="W1894" s="3">
        <v>126126.58</v>
      </c>
      <c r="X1894" s="3">
        <v>126126.58</v>
      </c>
      <c r="Y1894" s="1" t="str">
        <f>VLOOKUP(A1894,[1]Detalle!$D$2:$CR$484,93,FALSE)</f>
        <v>CMQ_TTE - QUILMES TTE</v>
      </c>
    </row>
    <row r="1895" spans="1:25" ht="14.25" customHeight="1" x14ac:dyDescent="0.3">
      <c r="A1895" s="1" t="s">
        <v>22</v>
      </c>
      <c r="B1895" s="1" t="s">
        <v>424</v>
      </c>
      <c r="C1895" s="1" t="s">
        <v>415</v>
      </c>
      <c r="D1895" s="1" t="s">
        <v>366</v>
      </c>
      <c r="E1895" s="6">
        <v>45744</v>
      </c>
      <c r="F1895" s="1">
        <v>61556.800000000003</v>
      </c>
      <c r="G1895" s="1">
        <v>81556.800000000003</v>
      </c>
      <c r="H1895" s="1">
        <v>8960.2999999999975</v>
      </c>
      <c r="I1895" s="1">
        <v>11039.7</v>
      </c>
      <c r="J1895" s="1">
        <v>70517.100000000006</v>
      </c>
      <c r="K1895" s="1">
        <v>203</v>
      </c>
      <c r="L1895" s="1">
        <v>48.161180811808123</v>
      </c>
      <c r="M1895" s="1">
        <v>250.1098289119785</v>
      </c>
      <c r="N1895" s="7">
        <v>45947</v>
      </c>
      <c r="O1895" s="1">
        <v>20000</v>
      </c>
      <c r="P1895" s="7">
        <v>46197.109828912027</v>
      </c>
      <c r="Q1895" s="1" t="s">
        <v>330</v>
      </c>
      <c r="T1895" s="1" t="s">
        <v>425</v>
      </c>
      <c r="U1895" s="1" t="s">
        <v>426</v>
      </c>
      <c r="V1895" s="1">
        <v>1</v>
      </c>
      <c r="W1895" s="3">
        <v>126126.58</v>
      </c>
      <c r="X1895" s="3">
        <v>126126.58</v>
      </c>
      <c r="Y1895" s="1" t="str">
        <f>VLOOKUP(A1895,[1]Detalle!$D$2:$CR$484,93,FALSE)</f>
        <v>CMQ_TTE - QUILMES TTE</v>
      </c>
    </row>
    <row r="1896" spans="1:25" ht="14.25" customHeight="1" x14ac:dyDescent="0.3">
      <c r="A1896" s="1" t="s">
        <v>21</v>
      </c>
      <c r="B1896" s="1" t="s">
        <v>424</v>
      </c>
      <c r="C1896" s="1" t="s">
        <v>415</v>
      </c>
      <c r="D1896" s="1" t="s">
        <v>366</v>
      </c>
      <c r="E1896" s="6">
        <v>45652</v>
      </c>
      <c r="F1896" s="1">
        <v>59747.1</v>
      </c>
      <c r="G1896" s="1">
        <v>79747.100000000006</v>
      </c>
      <c r="H1896" s="1">
        <v>13173.82</v>
      </c>
      <c r="I1896" s="1">
        <v>6826.1800000000039</v>
      </c>
      <c r="J1896" s="1">
        <v>72920.92</v>
      </c>
      <c r="K1896" s="1">
        <v>295</v>
      </c>
      <c r="L1896" s="1">
        <v>47.570444444444483</v>
      </c>
      <c r="M1896" s="1">
        <v>152.8579485676897</v>
      </c>
      <c r="N1896" s="7">
        <v>45947</v>
      </c>
      <c r="O1896" s="1">
        <v>20000</v>
      </c>
      <c r="P1896" s="7">
        <v>46099.857948564822</v>
      </c>
      <c r="Q1896" s="1" t="s">
        <v>330</v>
      </c>
      <c r="T1896" s="1" t="s">
        <v>425</v>
      </c>
      <c r="U1896" s="1" t="s">
        <v>426</v>
      </c>
      <c r="V1896" s="1">
        <v>1</v>
      </c>
      <c r="W1896" s="3">
        <v>126126.58</v>
      </c>
      <c r="X1896" s="3">
        <v>126126.58</v>
      </c>
      <c r="Y1896" s="1" t="str">
        <f>VLOOKUP(A1896,[1]Detalle!$D$2:$CR$484,93,FALSE)</f>
        <v>CMQ_TTE - QUILMES TTE</v>
      </c>
    </row>
    <row r="1897" spans="1:25" ht="14.25" customHeight="1" x14ac:dyDescent="0.3">
      <c r="A1897" s="1" t="s">
        <v>133</v>
      </c>
      <c r="B1897" s="1" t="s">
        <v>729</v>
      </c>
      <c r="C1897" s="1" t="s">
        <v>729</v>
      </c>
      <c r="D1897" s="1" t="s">
        <v>730</v>
      </c>
      <c r="E1897" s="1" t="s">
        <v>337</v>
      </c>
      <c r="G1897" s="1">
        <v>1197815</v>
      </c>
      <c r="H1897" s="1">
        <v>100</v>
      </c>
      <c r="I1897" s="1">
        <v>359900</v>
      </c>
      <c r="J1897" s="1">
        <v>837915</v>
      </c>
      <c r="L1897" s="1">
        <v>846.93875000000003</v>
      </c>
      <c r="N1897" s="7">
        <v>45947</v>
      </c>
      <c r="O1897" s="1">
        <v>360000</v>
      </c>
      <c r="P1897" s="7">
        <v>46372.06025376157</v>
      </c>
      <c r="Q1897" s="1" t="s">
        <v>330</v>
      </c>
      <c r="W1897" s="3"/>
      <c r="X1897" s="3">
        <v>0</v>
      </c>
      <c r="Y1897" s="1" t="str">
        <f>VLOOKUP(A1897,[1]Detalle!$D$2:$CR$484,93,FALSE)</f>
        <v>CENCOMLD - Cencosud SA - Mendoza</v>
      </c>
    </row>
    <row r="1898" spans="1:25" ht="14.25" customHeight="1" x14ac:dyDescent="0.3">
      <c r="A1898" s="1" t="s">
        <v>221</v>
      </c>
      <c r="B1898" s="1" t="s">
        <v>428</v>
      </c>
      <c r="C1898" s="1" t="s">
        <v>428</v>
      </c>
      <c r="D1898" s="1" t="s">
        <v>329</v>
      </c>
      <c r="E1898" s="6">
        <v>45818</v>
      </c>
      <c r="F1898" s="1">
        <v>1516521</v>
      </c>
      <c r="G1898" s="1">
        <v>1546521</v>
      </c>
      <c r="H1898" s="1">
        <v>14102</v>
      </c>
      <c r="I1898" s="1">
        <v>15898</v>
      </c>
      <c r="J1898" s="1">
        <v>1530623</v>
      </c>
      <c r="K1898" s="1">
        <v>129</v>
      </c>
      <c r="L1898" s="1">
        <v>150.71646840148699</v>
      </c>
      <c r="M1898" s="1">
        <v>145.4291589845412</v>
      </c>
      <c r="N1898" s="7">
        <v>45947</v>
      </c>
      <c r="O1898" s="1">
        <v>30000</v>
      </c>
      <c r="P1898" s="7">
        <v>46092.429158981482</v>
      </c>
      <c r="Q1898" s="1" t="s">
        <v>330</v>
      </c>
      <c r="T1898" s="1" t="s">
        <v>331</v>
      </c>
      <c r="U1898" s="1" t="s">
        <v>332</v>
      </c>
      <c r="V1898" s="1">
        <v>30</v>
      </c>
      <c r="W1898" s="3">
        <v>3389.9</v>
      </c>
      <c r="X1898" s="3">
        <v>101697</v>
      </c>
      <c r="Y1898" s="1" t="str">
        <f>VLOOKUP(A1898,[1]Detalle!$D$2:$CR$484,93,FALSE)</f>
        <v>ADA_CH - Danone Arg. S.A. - Chascomus</v>
      </c>
    </row>
    <row r="1899" spans="1:25" ht="14.25" customHeight="1" x14ac:dyDescent="0.3">
      <c r="A1899" s="1" t="s">
        <v>221</v>
      </c>
      <c r="B1899" s="1" t="s">
        <v>428</v>
      </c>
      <c r="C1899" s="1" t="s">
        <v>428</v>
      </c>
      <c r="D1899" s="1" t="s">
        <v>329</v>
      </c>
      <c r="E1899" s="6">
        <v>45818</v>
      </c>
      <c r="F1899" s="1">
        <v>1516521</v>
      </c>
      <c r="G1899" s="1">
        <v>1546521</v>
      </c>
      <c r="H1899" s="1">
        <v>14102</v>
      </c>
      <c r="I1899" s="1">
        <v>15898</v>
      </c>
      <c r="J1899" s="1">
        <v>1530623</v>
      </c>
      <c r="K1899" s="1">
        <v>129</v>
      </c>
      <c r="L1899" s="1">
        <v>150.71646840148699</v>
      </c>
      <c r="M1899" s="1">
        <v>145.4291589845412</v>
      </c>
      <c r="N1899" s="7">
        <v>45947</v>
      </c>
      <c r="O1899" s="1">
        <v>30000</v>
      </c>
      <c r="P1899" s="7">
        <v>46092.429158981482</v>
      </c>
      <c r="Q1899" s="1" t="s">
        <v>330</v>
      </c>
      <c r="T1899" s="1" t="s">
        <v>397</v>
      </c>
      <c r="U1899" s="1" t="s">
        <v>398</v>
      </c>
      <c r="V1899" s="1">
        <v>1</v>
      </c>
      <c r="W1899" s="3">
        <v>9737.2800000000007</v>
      </c>
      <c r="X1899" s="3">
        <v>9737.2800000000007</v>
      </c>
      <c r="Y1899" s="1" t="str">
        <f>VLOOKUP(A1899,[1]Detalle!$D$2:$CR$484,93,FALSE)</f>
        <v>ADA_CH - Danone Arg. S.A. - Chascomus</v>
      </c>
    </row>
    <row r="1900" spans="1:25" ht="14.25" customHeight="1" x14ac:dyDescent="0.3">
      <c r="A1900" s="1" t="s">
        <v>30</v>
      </c>
      <c r="B1900" s="1" t="s">
        <v>428</v>
      </c>
      <c r="C1900" s="1" t="s">
        <v>428</v>
      </c>
      <c r="D1900" s="1" t="s">
        <v>329</v>
      </c>
      <c r="E1900" s="6">
        <v>45923</v>
      </c>
      <c r="F1900" s="1">
        <v>452616</v>
      </c>
      <c r="G1900" s="1">
        <v>482616</v>
      </c>
      <c r="H1900" s="1">
        <v>2109</v>
      </c>
      <c r="I1900" s="1">
        <v>27891</v>
      </c>
      <c r="J1900" s="1">
        <v>454725</v>
      </c>
      <c r="K1900" s="1">
        <v>24</v>
      </c>
      <c r="L1900" s="1">
        <v>273.98136531365333</v>
      </c>
      <c r="M1900" s="1">
        <v>317.39402560455193</v>
      </c>
      <c r="N1900" s="7">
        <v>45947</v>
      </c>
      <c r="O1900" s="1">
        <v>30000</v>
      </c>
      <c r="P1900" s="7">
        <v>46264.394025601847</v>
      </c>
      <c r="Q1900" s="1" t="s">
        <v>330</v>
      </c>
      <c r="T1900" s="1" t="s">
        <v>331</v>
      </c>
      <c r="U1900" s="1" t="s">
        <v>332</v>
      </c>
      <c r="V1900" s="1">
        <v>30</v>
      </c>
      <c r="W1900" s="3">
        <v>3389.9</v>
      </c>
      <c r="X1900" s="3">
        <v>101697</v>
      </c>
      <c r="Y1900" s="1" t="str">
        <f>VLOOKUP(A1900,[1]Detalle!$D$2:$CR$484,93,FALSE)</f>
        <v>ADA_CH - Danone Arg. S.A. - Chascomus</v>
      </c>
    </row>
    <row r="1901" spans="1:25" ht="14.25" customHeight="1" x14ac:dyDescent="0.3">
      <c r="A1901" s="1" t="s">
        <v>30</v>
      </c>
      <c r="B1901" s="1" t="s">
        <v>428</v>
      </c>
      <c r="C1901" s="1" t="s">
        <v>428</v>
      </c>
      <c r="D1901" s="1" t="s">
        <v>329</v>
      </c>
      <c r="E1901" s="6">
        <v>45923</v>
      </c>
      <c r="F1901" s="1">
        <v>452616</v>
      </c>
      <c r="G1901" s="1">
        <v>482616</v>
      </c>
      <c r="H1901" s="1">
        <v>2109</v>
      </c>
      <c r="I1901" s="1">
        <v>27891</v>
      </c>
      <c r="J1901" s="1">
        <v>454725</v>
      </c>
      <c r="K1901" s="1">
        <v>24</v>
      </c>
      <c r="L1901" s="1">
        <v>273.98136531365333</v>
      </c>
      <c r="M1901" s="1">
        <v>317.39402560455193</v>
      </c>
      <c r="N1901" s="7">
        <v>45947</v>
      </c>
      <c r="O1901" s="1">
        <v>30000</v>
      </c>
      <c r="P1901" s="7">
        <v>46264.394025601847</v>
      </c>
      <c r="Q1901" s="1" t="s">
        <v>330</v>
      </c>
      <c r="T1901" s="1" t="s">
        <v>397</v>
      </c>
      <c r="U1901" s="1" t="s">
        <v>398</v>
      </c>
      <c r="V1901" s="1">
        <v>1</v>
      </c>
      <c r="W1901" s="3">
        <v>9737.2800000000007</v>
      </c>
      <c r="X1901" s="3">
        <v>9737.2800000000007</v>
      </c>
      <c r="Y1901" s="1" t="str">
        <f>VLOOKUP(A1901,[1]Detalle!$D$2:$CR$484,93,FALSE)</f>
        <v>ADA_CH - Danone Arg. S.A. - Chascomus</v>
      </c>
    </row>
    <row r="1902" spans="1:25" ht="14.25" customHeight="1" x14ac:dyDescent="0.3">
      <c r="A1902" s="1" t="s">
        <v>32</v>
      </c>
      <c r="B1902" s="1" t="s">
        <v>428</v>
      </c>
      <c r="C1902" s="1" t="s">
        <v>428</v>
      </c>
      <c r="D1902" s="1" t="s">
        <v>329</v>
      </c>
      <c r="E1902" s="6">
        <v>45792</v>
      </c>
      <c r="F1902" s="1">
        <v>308369</v>
      </c>
      <c r="G1902" s="1">
        <v>338369</v>
      </c>
      <c r="H1902" s="1">
        <v>18849.799999999988</v>
      </c>
      <c r="I1902" s="1">
        <v>11150.20000000001</v>
      </c>
      <c r="J1902" s="1">
        <v>327218.8</v>
      </c>
      <c r="K1902" s="1">
        <v>155</v>
      </c>
      <c r="L1902" s="1">
        <v>189.65078066914509</v>
      </c>
      <c r="M1902" s="1">
        <v>91.686967500981538</v>
      </c>
      <c r="N1902" s="7">
        <v>45947</v>
      </c>
      <c r="O1902" s="1">
        <v>30000</v>
      </c>
      <c r="P1902" s="7">
        <v>46038.686967499998</v>
      </c>
      <c r="Q1902" s="1" t="s">
        <v>330</v>
      </c>
      <c r="T1902" s="1" t="s">
        <v>331</v>
      </c>
      <c r="U1902" s="1" t="s">
        <v>332</v>
      </c>
      <c r="V1902" s="1">
        <v>30</v>
      </c>
      <c r="W1902" s="3">
        <v>3389.9</v>
      </c>
      <c r="X1902" s="3">
        <v>101697</v>
      </c>
      <c r="Y1902" s="1" t="str">
        <f>VLOOKUP(A1902,[1]Detalle!$D$2:$CR$484,93,FALSE)</f>
        <v>ADA_CH - Danone Arg. S.A. - Chascomus</v>
      </c>
    </row>
    <row r="1903" spans="1:25" ht="14.25" customHeight="1" x14ac:dyDescent="0.3">
      <c r="A1903" s="1" t="s">
        <v>32</v>
      </c>
      <c r="B1903" s="1" t="s">
        <v>428</v>
      </c>
      <c r="C1903" s="1" t="s">
        <v>428</v>
      </c>
      <c r="D1903" s="1" t="s">
        <v>329</v>
      </c>
      <c r="E1903" s="6">
        <v>45792</v>
      </c>
      <c r="F1903" s="1">
        <v>308369</v>
      </c>
      <c r="G1903" s="1">
        <v>338369</v>
      </c>
      <c r="H1903" s="1">
        <v>18849.799999999988</v>
      </c>
      <c r="I1903" s="1">
        <v>11150.20000000001</v>
      </c>
      <c r="J1903" s="1">
        <v>327218.8</v>
      </c>
      <c r="K1903" s="1">
        <v>155</v>
      </c>
      <c r="L1903" s="1">
        <v>189.65078066914509</v>
      </c>
      <c r="M1903" s="1">
        <v>91.686967500981538</v>
      </c>
      <c r="N1903" s="7">
        <v>45947</v>
      </c>
      <c r="O1903" s="1">
        <v>30000</v>
      </c>
      <c r="P1903" s="7">
        <v>46038.686967499998</v>
      </c>
      <c r="Q1903" s="1" t="s">
        <v>330</v>
      </c>
      <c r="T1903" s="1" t="s">
        <v>397</v>
      </c>
      <c r="U1903" s="1" t="s">
        <v>398</v>
      </c>
      <c r="V1903" s="1">
        <v>1</v>
      </c>
      <c r="W1903" s="3">
        <v>9737.2800000000007</v>
      </c>
      <c r="X1903" s="3">
        <v>9737.2800000000007</v>
      </c>
      <c r="Y1903" s="1" t="str">
        <f>VLOOKUP(A1903,[1]Detalle!$D$2:$CR$484,93,FALSE)</f>
        <v>ADA_CH - Danone Arg. S.A. - Chascomus</v>
      </c>
    </row>
    <row r="1904" spans="1:25" ht="14.25" customHeight="1" x14ac:dyDescent="0.3">
      <c r="A1904" s="1" t="s">
        <v>70</v>
      </c>
      <c r="B1904" s="1" t="s">
        <v>428</v>
      </c>
      <c r="C1904" s="1" t="s">
        <v>428</v>
      </c>
      <c r="D1904" s="1" t="s">
        <v>329</v>
      </c>
      <c r="E1904" s="6">
        <v>45912</v>
      </c>
      <c r="F1904" s="1">
        <v>350551</v>
      </c>
      <c r="G1904" s="1">
        <v>380551</v>
      </c>
      <c r="H1904" s="1">
        <v>5928.8000000000011</v>
      </c>
      <c r="I1904" s="1">
        <v>24071.200000000001</v>
      </c>
      <c r="J1904" s="1">
        <v>356479.8</v>
      </c>
      <c r="K1904" s="1">
        <v>35</v>
      </c>
      <c r="L1904" s="1">
        <v>252.63896296296281</v>
      </c>
      <c r="M1904" s="1">
        <v>142.10160572122521</v>
      </c>
      <c r="N1904" s="7">
        <v>45947</v>
      </c>
      <c r="O1904" s="1">
        <v>30000</v>
      </c>
      <c r="P1904" s="7">
        <v>46089.101605717588</v>
      </c>
      <c r="Q1904" s="1" t="s">
        <v>330</v>
      </c>
      <c r="T1904" s="1" t="s">
        <v>331</v>
      </c>
      <c r="U1904" s="1" t="s">
        <v>332</v>
      </c>
      <c r="V1904" s="1">
        <v>30</v>
      </c>
      <c r="W1904" s="3">
        <v>3389.9</v>
      </c>
      <c r="X1904" s="3">
        <v>101697</v>
      </c>
      <c r="Y1904" s="1" t="str">
        <f>VLOOKUP(A1904,[1]Detalle!$D$2:$CR$484,93,FALSE)</f>
        <v>ADA_CH - Danone Arg. S.A. - Chascomus</v>
      </c>
    </row>
    <row r="1905" spans="1:25" ht="14.25" customHeight="1" x14ac:dyDescent="0.3">
      <c r="A1905" s="1" t="s">
        <v>70</v>
      </c>
      <c r="B1905" s="1" t="s">
        <v>428</v>
      </c>
      <c r="C1905" s="1" t="s">
        <v>428</v>
      </c>
      <c r="D1905" s="1" t="s">
        <v>329</v>
      </c>
      <c r="E1905" s="6">
        <v>45912</v>
      </c>
      <c r="F1905" s="1">
        <v>350551</v>
      </c>
      <c r="G1905" s="1">
        <v>380551</v>
      </c>
      <c r="H1905" s="1">
        <v>5928.8000000000011</v>
      </c>
      <c r="I1905" s="1">
        <v>24071.200000000001</v>
      </c>
      <c r="J1905" s="1">
        <v>356479.8</v>
      </c>
      <c r="K1905" s="1">
        <v>35</v>
      </c>
      <c r="L1905" s="1">
        <v>252.63896296296281</v>
      </c>
      <c r="M1905" s="1">
        <v>142.10160572122521</v>
      </c>
      <c r="N1905" s="7">
        <v>45947</v>
      </c>
      <c r="O1905" s="1">
        <v>30000</v>
      </c>
      <c r="P1905" s="7">
        <v>46089.101605717588</v>
      </c>
      <c r="Q1905" s="1" t="s">
        <v>330</v>
      </c>
      <c r="T1905" s="1" t="s">
        <v>397</v>
      </c>
      <c r="U1905" s="1" t="s">
        <v>398</v>
      </c>
      <c r="V1905" s="1">
        <v>1</v>
      </c>
      <c r="W1905" s="3">
        <v>9737.2800000000007</v>
      </c>
      <c r="X1905" s="3">
        <v>9737.2800000000007</v>
      </c>
      <c r="Y1905" s="1" t="str">
        <f>VLOOKUP(A1905,[1]Detalle!$D$2:$CR$484,93,FALSE)</f>
        <v>ADA_CH - Danone Arg. S.A. - Chascomus</v>
      </c>
    </row>
    <row r="1906" spans="1:25" ht="14.25" customHeight="1" x14ac:dyDescent="0.3">
      <c r="A1906" s="1" t="s">
        <v>77</v>
      </c>
      <c r="B1906" s="1" t="s">
        <v>428</v>
      </c>
      <c r="C1906" s="1" t="s">
        <v>428</v>
      </c>
      <c r="D1906" s="1" t="s">
        <v>329</v>
      </c>
      <c r="E1906" s="6">
        <v>45783</v>
      </c>
      <c r="F1906" s="1">
        <v>54070.5</v>
      </c>
      <c r="G1906" s="1">
        <v>84070.5</v>
      </c>
      <c r="H1906" s="1">
        <v>14641.70000000001</v>
      </c>
      <c r="I1906" s="1">
        <v>15358.29999999999</v>
      </c>
      <c r="J1906" s="1">
        <v>68712.200000000012</v>
      </c>
      <c r="K1906" s="1">
        <v>164</v>
      </c>
      <c r="L1906" s="1">
        <v>78.920809061488711</v>
      </c>
      <c r="M1906" s="1">
        <v>172.02655429355869</v>
      </c>
      <c r="N1906" s="7">
        <v>45947</v>
      </c>
      <c r="O1906" s="1">
        <v>30000</v>
      </c>
      <c r="P1906" s="7">
        <v>46119.026554293981</v>
      </c>
      <c r="Q1906" s="1" t="s">
        <v>330</v>
      </c>
      <c r="T1906" s="1" t="s">
        <v>331</v>
      </c>
      <c r="U1906" s="1" t="s">
        <v>332</v>
      </c>
      <c r="V1906" s="1">
        <v>30</v>
      </c>
      <c r="W1906" s="3">
        <v>3389.9</v>
      </c>
      <c r="X1906" s="3">
        <v>101697</v>
      </c>
      <c r="Y1906" s="1" t="str">
        <f>VLOOKUP(A1906,[1]Detalle!$D$2:$CR$484,93,FALSE)</f>
        <v>Arcor S.A.I.C.</v>
      </c>
    </row>
    <row r="1907" spans="1:25" ht="14.25" customHeight="1" x14ac:dyDescent="0.3">
      <c r="A1907" s="1" t="s">
        <v>77</v>
      </c>
      <c r="B1907" s="1" t="s">
        <v>428</v>
      </c>
      <c r="C1907" s="1" t="s">
        <v>428</v>
      </c>
      <c r="D1907" s="1" t="s">
        <v>329</v>
      </c>
      <c r="E1907" s="6">
        <v>45783</v>
      </c>
      <c r="F1907" s="1">
        <v>54070.5</v>
      </c>
      <c r="G1907" s="1">
        <v>84070.5</v>
      </c>
      <c r="H1907" s="1">
        <v>14641.70000000001</v>
      </c>
      <c r="I1907" s="1">
        <v>15358.29999999999</v>
      </c>
      <c r="J1907" s="1">
        <v>68712.200000000012</v>
      </c>
      <c r="K1907" s="1">
        <v>164</v>
      </c>
      <c r="L1907" s="1">
        <v>78.920809061488711</v>
      </c>
      <c r="M1907" s="1">
        <v>172.02655429355869</v>
      </c>
      <c r="N1907" s="7">
        <v>45947</v>
      </c>
      <c r="O1907" s="1">
        <v>30000</v>
      </c>
      <c r="P1907" s="7">
        <v>46119.026554293981</v>
      </c>
      <c r="Q1907" s="1" t="s">
        <v>330</v>
      </c>
      <c r="T1907" s="1" t="s">
        <v>397</v>
      </c>
      <c r="U1907" s="1" t="s">
        <v>398</v>
      </c>
      <c r="V1907" s="1">
        <v>1</v>
      </c>
      <c r="W1907" s="3">
        <v>9737.2800000000007</v>
      </c>
      <c r="X1907" s="3">
        <v>9737.2800000000007</v>
      </c>
      <c r="Y1907" s="1" t="str">
        <f>VLOOKUP(A1907,[1]Detalle!$D$2:$CR$484,93,FALSE)</f>
        <v>Arcor S.A.I.C.</v>
      </c>
    </row>
    <row r="1908" spans="1:25" ht="14.25" customHeight="1" x14ac:dyDescent="0.3">
      <c r="A1908" s="1" t="s">
        <v>86</v>
      </c>
      <c r="B1908" s="1" t="s">
        <v>428</v>
      </c>
      <c r="C1908" s="1" t="s">
        <v>428</v>
      </c>
      <c r="D1908" s="1" t="s">
        <v>329</v>
      </c>
      <c r="E1908" s="6">
        <v>45764</v>
      </c>
      <c r="F1908" s="1">
        <v>52929.7</v>
      </c>
      <c r="G1908" s="1">
        <v>82929.7</v>
      </c>
      <c r="H1908" s="1">
        <v>13599.899999999991</v>
      </c>
      <c r="I1908" s="1">
        <v>16400.100000000009</v>
      </c>
      <c r="J1908" s="1">
        <v>66529.599999999991</v>
      </c>
      <c r="K1908" s="1">
        <v>183</v>
      </c>
      <c r="L1908" s="1">
        <v>74.356479400749095</v>
      </c>
      <c r="M1908" s="1">
        <v>220.6794388194032</v>
      </c>
      <c r="N1908" s="7">
        <v>45947</v>
      </c>
      <c r="O1908" s="1">
        <v>30000</v>
      </c>
      <c r="P1908" s="7">
        <v>46167.679438819447</v>
      </c>
      <c r="Q1908" s="1" t="s">
        <v>330</v>
      </c>
      <c r="T1908" s="1" t="s">
        <v>331</v>
      </c>
      <c r="U1908" s="1" t="s">
        <v>332</v>
      </c>
      <c r="V1908" s="1">
        <v>30</v>
      </c>
      <c r="W1908" s="3">
        <v>3389.9</v>
      </c>
      <c r="X1908" s="3">
        <v>101697</v>
      </c>
      <c r="Y1908" s="1" t="str">
        <f>VLOOKUP(A1908,[1]Detalle!$D$2:$CR$484,93,FALSE)</f>
        <v>Arcor S.A.I.C.</v>
      </c>
    </row>
    <row r="1909" spans="1:25" ht="14.25" customHeight="1" x14ac:dyDescent="0.3">
      <c r="A1909" s="1" t="s">
        <v>86</v>
      </c>
      <c r="B1909" s="1" t="s">
        <v>428</v>
      </c>
      <c r="C1909" s="1" t="s">
        <v>428</v>
      </c>
      <c r="D1909" s="1" t="s">
        <v>329</v>
      </c>
      <c r="E1909" s="6">
        <v>45764</v>
      </c>
      <c r="F1909" s="1">
        <v>52929.7</v>
      </c>
      <c r="G1909" s="1">
        <v>82929.7</v>
      </c>
      <c r="H1909" s="1">
        <v>13599.899999999991</v>
      </c>
      <c r="I1909" s="1">
        <v>16400.100000000009</v>
      </c>
      <c r="J1909" s="1">
        <v>66529.599999999991</v>
      </c>
      <c r="K1909" s="1">
        <v>183</v>
      </c>
      <c r="L1909" s="1">
        <v>74.356479400749095</v>
      </c>
      <c r="M1909" s="1">
        <v>220.6794388194032</v>
      </c>
      <c r="N1909" s="7">
        <v>45947</v>
      </c>
      <c r="O1909" s="1">
        <v>30000</v>
      </c>
      <c r="P1909" s="7">
        <v>46167.679438819447</v>
      </c>
      <c r="Q1909" s="1" t="s">
        <v>330</v>
      </c>
      <c r="T1909" s="1" t="s">
        <v>397</v>
      </c>
      <c r="U1909" s="1" t="s">
        <v>398</v>
      </c>
      <c r="V1909" s="1">
        <v>1</v>
      </c>
      <c r="W1909" s="3">
        <v>9737.2800000000007</v>
      </c>
      <c r="X1909" s="3">
        <v>9737.2800000000007</v>
      </c>
      <c r="Y1909" s="1" t="str">
        <f>VLOOKUP(A1909,[1]Detalle!$D$2:$CR$484,93,FALSE)</f>
        <v>Arcor S.A.I.C.</v>
      </c>
    </row>
    <row r="1910" spans="1:25" ht="14.25" customHeight="1" x14ac:dyDescent="0.3">
      <c r="A1910" s="1" t="s">
        <v>85</v>
      </c>
      <c r="B1910" s="1" t="s">
        <v>428</v>
      </c>
      <c r="C1910" s="1" t="s">
        <v>428</v>
      </c>
      <c r="D1910" s="1" t="s">
        <v>329</v>
      </c>
      <c r="E1910" s="6">
        <v>45609</v>
      </c>
      <c r="F1910" s="1">
        <v>55539.8</v>
      </c>
      <c r="G1910" s="1">
        <v>85539.8</v>
      </c>
      <c r="H1910" s="1">
        <v>23943.03000000001</v>
      </c>
      <c r="I1910" s="1">
        <v>6056.9699999999939</v>
      </c>
      <c r="J1910" s="1">
        <v>79482.830000000016</v>
      </c>
      <c r="K1910" s="1">
        <v>338</v>
      </c>
      <c r="L1910" s="1">
        <v>78.134555555555551</v>
      </c>
      <c r="M1910" s="1">
        <v>85.505295695657452</v>
      </c>
      <c r="N1910" s="7">
        <v>45947</v>
      </c>
      <c r="O1910" s="1">
        <v>30000</v>
      </c>
      <c r="P1910" s="7">
        <v>46032.505295694442</v>
      </c>
      <c r="Q1910" s="1" t="s">
        <v>330</v>
      </c>
      <c r="T1910" s="1" t="s">
        <v>331</v>
      </c>
      <c r="U1910" s="1" t="s">
        <v>332</v>
      </c>
      <c r="V1910" s="1">
        <v>30</v>
      </c>
      <c r="W1910" s="3">
        <v>3389.9</v>
      </c>
      <c r="X1910" s="3">
        <v>101697</v>
      </c>
      <c r="Y1910" s="1" t="str">
        <f>VLOOKUP(A1910,[1]Detalle!$D$2:$CR$484,93,FALSE)</f>
        <v>Arcor S.A.I.C.</v>
      </c>
    </row>
    <row r="1911" spans="1:25" ht="14.25" customHeight="1" x14ac:dyDescent="0.3">
      <c r="A1911" s="1" t="s">
        <v>85</v>
      </c>
      <c r="B1911" s="1" t="s">
        <v>428</v>
      </c>
      <c r="C1911" s="1" t="s">
        <v>428</v>
      </c>
      <c r="D1911" s="1" t="s">
        <v>329</v>
      </c>
      <c r="E1911" s="6">
        <v>45609</v>
      </c>
      <c r="F1911" s="1">
        <v>55539.8</v>
      </c>
      <c r="G1911" s="1">
        <v>85539.8</v>
      </c>
      <c r="H1911" s="1">
        <v>23943.03000000001</v>
      </c>
      <c r="I1911" s="1">
        <v>6056.9699999999939</v>
      </c>
      <c r="J1911" s="1">
        <v>79482.830000000016</v>
      </c>
      <c r="K1911" s="1">
        <v>338</v>
      </c>
      <c r="L1911" s="1">
        <v>78.134555555555551</v>
      </c>
      <c r="M1911" s="1">
        <v>85.505295695657452</v>
      </c>
      <c r="N1911" s="7">
        <v>45947</v>
      </c>
      <c r="O1911" s="1">
        <v>30000</v>
      </c>
      <c r="P1911" s="7">
        <v>46032.505295694442</v>
      </c>
      <c r="Q1911" s="1" t="s">
        <v>330</v>
      </c>
      <c r="T1911" s="1" t="s">
        <v>397</v>
      </c>
      <c r="U1911" s="1" t="s">
        <v>398</v>
      </c>
      <c r="V1911" s="1">
        <v>1</v>
      </c>
      <c r="W1911" s="3">
        <v>9737.2800000000007</v>
      </c>
      <c r="X1911" s="3">
        <v>9737.2800000000007</v>
      </c>
      <c r="Y1911" s="1" t="str">
        <f>VLOOKUP(A1911,[1]Detalle!$D$2:$CR$484,93,FALSE)</f>
        <v>Arcor S.A.I.C.</v>
      </c>
    </row>
    <row r="1912" spans="1:25" ht="14.25" customHeight="1" x14ac:dyDescent="0.3">
      <c r="A1912" s="1" t="s">
        <v>93</v>
      </c>
      <c r="B1912" s="1" t="s">
        <v>428</v>
      </c>
      <c r="C1912" s="1" t="s">
        <v>428</v>
      </c>
      <c r="D1912" s="1" t="s">
        <v>329</v>
      </c>
      <c r="E1912" s="1" t="s">
        <v>337</v>
      </c>
      <c r="L1912" s="1">
        <v>112.049667896679</v>
      </c>
      <c r="N1912" s="7">
        <v>45947</v>
      </c>
      <c r="O1912" s="1">
        <v>30000</v>
      </c>
      <c r="P1912" s="7">
        <v>46214.738410682869</v>
      </c>
      <c r="Q1912" s="1" t="s">
        <v>330</v>
      </c>
      <c r="T1912" s="1" t="s">
        <v>331</v>
      </c>
      <c r="U1912" s="1" t="s">
        <v>332</v>
      </c>
      <c r="V1912" s="1">
        <v>30</v>
      </c>
      <c r="W1912" s="3">
        <v>3389.9</v>
      </c>
      <c r="X1912" s="3">
        <v>101697</v>
      </c>
      <c r="Y1912" s="1" t="str">
        <f>VLOOKUP(A1912,[1]Detalle!$D$2:$CR$484,93,FALSE)</f>
        <v>Arcor S.A.I.C.</v>
      </c>
    </row>
    <row r="1913" spans="1:25" ht="14.25" customHeight="1" x14ac:dyDescent="0.3">
      <c r="A1913" s="1" t="s">
        <v>93</v>
      </c>
      <c r="B1913" s="1" t="s">
        <v>428</v>
      </c>
      <c r="C1913" s="1" t="s">
        <v>428</v>
      </c>
      <c r="D1913" s="1" t="s">
        <v>329</v>
      </c>
      <c r="E1913" s="1" t="s">
        <v>337</v>
      </c>
      <c r="L1913" s="1">
        <v>112.049667896679</v>
      </c>
      <c r="N1913" s="7">
        <v>45947</v>
      </c>
      <c r="O1913" s="1">
        <v>30000</v>
      </c>
      <c r="P1913" s="7">
        <v>46214.738410682869</v>
      </c>
      <c r="Q1913" s="1" t="s">
        <v>330</v>
      </c>
      <c r="T1913" s="1" t="s">
        <v>397</v>
      </c>
      <c r="U1913" s="1" t="s">
        <v>398</v>
      </c>
      <c r="V1913" s="1">
        <v>1</v>
      </c>
      <c r="W1913" s="3">
        <v>9737.2800000000007</v>
      </c>
      <c r="X1913" s="3">
        <v>9737.2800000000007</v>
      </c>
      <c r="Y1913" s="1" t="str">
        <f>VLOOKUP(A1913,[1]Detalle!$D$2:$CR$484,93,FALSE)</f>
        <v>Arcor S.A.I.C.</v>
      </c>
    </row>
    <row r="1914" spans="1:25" ht="14.25" customHeight="1" x14ac:dyDescent="0.3">
      <c r="A1914" s="1" t="s">
        <v>19</v>
      </c>
      <c r="B1914" s="1" t="s">
        <v>428</v>
      </c>
      <c r="C1914" s="1" t="s">
        <v>428</v>
      </c>
      <c r="D1914" s="1" t="s">
        <v>329</v>
      </c>
      <c r="E1914" s="6">
        <v>45902</v>
      </c>
      <c r="F1914" s="1">
        <v>542619</v>
      </c>
      <c r="G1914" s="1">
        <v>572619</v>
      </c>
      <c r="H1914" s="1">
        <v>9864.5000000000018</v>
      </c>
      <c r="I1914" s="1">
        <v>20135.5</v>
      </c>
      <c r="J1914" s="1">
        <v>552483.5</v>
      </c>
      <c r="K1914" s="1">
        <v>45</v>
      </c>
      <c r="L1914" s="1">
        <v>844.57346863468638</v>
      </c>
      <c r="M1914" s="1">
        <v>91.85437680571745</v>
      </c>
      <c r="N1914" s="7">
        <v>45947</v>
      </c>
      <c r="O1914" s="1">
        <v>30000</v>
      </c>
      <c r="P1914" s="7">
        <v>46038.854376805553</v>
      </c>
      <c r="Q1914" s="1" t="s">
        <v>330</v>
      </c>
      <c r="T1914" s="1" t="s">
        <v>331</v>
      </c>
      <c r="U1914" s="1" t="s">
        <v>332</v>
      </c>
      <c r="V1914" s="1">
        <v>30</v>
      </c>
      <c r="W1914" s="3">
        <v>3389.9</v>
      </c>
      <c r="X1914" s="3">
        <v>101697</v>
      </c>
      <c r="Y1914" s="1" t="str">
        <f>VLOOKUP(A1914,[1]Detalle!$D$2:$CR$484,93,FALSE)</f>
        <v>CENCOMLD - Cencosud SA - Mendoza</v>
      </c>
    </row>
    <row r="1915" spans="1:25" ht="14.25" customHeight="1" x14ac:dyDescent="0.3">
      <c r="A1915" s="1" t="s">
        <v>19</v>
      </c>
      <c r="B1915" s="1" t="s">
        <v>428</v>
      </c>
      <c r="C1915" s="1" t="s">
        <v>428</v>
      </c>
      <c r="D1915" s="1" t="s">
        <v>329</v>
      </c>
      <c r="E1915" s="6">
        <v>45902</v>
      </c>
      <c r="F1915" s="1">
        <v>542619</v>
      </c>
      <c r="G1915" s="1">
        <v>572619</v>
      </c>
      <c r="H1915" s="1">
        <v>9864.5000000000018</v>
      </c>
      <c r="I1915" s="1">
        <v>20135.5</v>
      </c>
      <c r="J1915" s="1">
        <v>552483.5</v>
      </c>
      <c r="K1915" s="1">
        <v>45</v>
      </c>
      <c r="L1915" s="1">
        <v>844.57346863468638</v>
      </c>
      <c r="M1915" s="1">
        <v>91.85437680571745</v>
      </c>
      <c r="N1915" s="7">
        <v>45947</v>
      </c>
      <c r="O1915" s="1">
        <v>30000</v>
      </c>
      <c r="P1915" s="7">
        <v>46038.854376805553</v>
      </c>
      <c r="Q1915" s="1" t="s">
        <v>330</v>
      </c>
      <c r="T1915" s="1" t="s">
        <v>397</v>
      </c>
      <c r="U1915" s="1" t="s">
        <v>398</v>
      </c>
      <c r="V1915" s="1">
        <v>1</v>
      </c>
      <c r="W1915" s="3">
        <v>9737.2800000000007</v>
      </c>
      <c r="X1915" s="3">
        <v>9737.2800000000007</v>
      </c>
      <c r="Y1915" s="1" t="str">
        <f>VLOOKUP(A1915,[1]Detalle!$D$2:$CR$484,93,FALSE)</f>
        <v>CENCOMLD - Cencosud SA - Mendoza</v>
      </c>
    </row>
    <row r="1916" spans="1:25" ht="14.25" customHeight="1" x14ac:dyDescent="0.3">
      <c r="A1916" s="1" t="s">
        <v>31</v>
      </c>
      <c r="B1916" s="1" t="s">
        <v>428</v>
      </c>
      <c r="C1916" s="1" t="s">
        <v>428</v>
      </c>
      <c r="D1916" s="1" t="s">
        <v>329</v>
      </c>
      <c r="E1916" s="6">
        <v>45670</v>
      </c>
      <c r="F1916" s="1">
        <v>26955.5</v>
      </c>
      <c r="G1916" s="1">
        <v>56955.5</v>
      </c>
      <c r="H1916" s="1">
        <v>25182.46000000001</v>
      </c>
      <c r="I1916" s="1">
        <v>4817.53999999999</v>
      </c>
      <c r="J1916" s="1">
        <v>52137.960000000006</v>
      </c>
      <c r="K1916" s="1">
        <v>277</v>
      </c>
      <c r="L1916" s="1">
        <v>102.90352941176479</v>
      </c>
      <c r="M1916" s="1">
        <v>52.991589384039401</v>
      </c>
      <c r="N1916" s="7">
        <v>45947</v>
      </c>
      <c r="O1916" s="1">
        <v>30000</v>
      </c>
      <c r="P1916" s="7">
        <v>46291.526779398147</v>
      </c>
      <c r="Q1916" s="1" t="s">
        <v>330</v>
      </c>
      <c r="T1916" s="1" t="s">
        <v>331</v>
      </c>
      <c r="U1916" s="1" t="s">
        <v>332</v>
      </c>
      <c r="V1916" s="1">
        <v>30</v>
      </c>
      <c r="W1916" s="3">
        <v>3389.9</v>
      </c>
      <c r="X1916" s="3">
        <v>101697</v>
      </c>
      <c r="Y1916" s="1" t="str">
        <f>VLOOKUP(A1916,[1]Detalle!$D$2:$CR$484,93,FALSE)</f>
        <v>CENCOMLD - Cencosud SA - Mendoza</v>
      </c>
    </row>
    <row r="1917" spans="1:25" ht="14.25" customHeight="1" x14ac:dyDescent="0.3">
      <c r="A1917" s="1" t="s">
        <v>31</v>
      </c>
      <c r="B1917" s="1" t="s">
        <v>428</v>
      </c>
      <c r="C1917" s="1" t="s">
        <v>428</v>
      </c>
      <c r="D1917" s="1" t="s">
        <v>329</v>
      </c>
      <c r="E1917" s="6">
        <v>45670</v>
      </c>
      <c r="F1917" s="1">
        <v>26955.5</v>
      </c>
      <c r="G1917" s="1">
        <v>56955.5</v>
      </c>
      <c r="H1917" s="1">
        <v>25182.46000000001</v>
      </c>
      <c r="I1917" s="1">
        <v>4817.53999999999</v>
      </c>
      <c r="J1917" s="1">
        <v>52137.960000000006</v>
      </c>
      <c r="K1917" s="1">
        <v>277</v>
      </c>
      <c r="L1917" s="1">
        <v>102.90352941176479</v>
      </c>
      <c r="M1917" s="1">
        <v>52.991589384039401</v>
      </c>
      <c r="N1917" s="7">
        <v>45947</v>
      </c>
      <c r="O1917" s="1">
        <v>30000</v>
      </c>
      <c r="P1917" s="7">
        <v>46291.526779398147</v>
      </c>
      <c r="Q1917" s="1" t="s">
        <v>330</v>
      </c>
      <c r="T1917" s="1" t="s">
        <v>397</v>
      </c>
      <c r="U1917" s="1" t="s">
        <v>398</v>
      </c>
      <c r="V1917" s="1">
        <v>1</v>
      </c>
      <c r="W1917" s="3">
        <v>9737.2800000000007</v>
      </c>
      <c r="X1917" s="3">
        <v>9737.2800000000007</v>
      </c>
      <c r="Y1917" s="1" t="str">
        <f>VLOOKUP(A1917,[1]Detalle!$D$2:$CR$484,93,FALSE)</f>
        <v>CENCOMLD - Cencosud SA - Mendoza</v>
      </c>
    </row>
    <row r="1918" spans="1:25" ht="14.25" customHeight="1" x14ac:dyDescent="0.3">
      <c r="A1918" s="1" t="s">
        <v>35</v>
      </c>
      <c r="B1918" s="1" t="s">
        <v>428</v>
      </c>
      <c r="C1918" s="1" t="s">
        <v>428</v>
      </c>
      <c r="D1918" s="1" t="s">
        <v>329</v>
      </c>
      <c r="E1918" s="6">
        <v>45889</v>
      </c>
      <c r="F1918" s="1">
        <v>401776</v>
      </c>
      <c r="G1918" s="1">
        <v>431776</v>
      </c>
      <c r="H1918" s="1">
        <v>11957.5</v>
      </c>
      <c r="I1918" s="1">
        <v>18042.5</v>
      </c>
      <c r="J1918" s="1">
        <v>413733.5</v>
      </c>
      <c r="K1918" s="1">
        <v>58</v>
      </c>
      <c r="L1918" s="1">
        <v>328.18794117647042</v>
      </c>
      <c r="M1918" s="1">
        <v>87.515366924524358</v>
      </c>
      <c r="N1918" s="7">
        <v>45947</v>
      </c>
      <c r="O1918" s="1">
        <v>30000</v>
      </c>
      <c r="P1918" s="7">
        <v>46034.515366921303</v>
      </c>
      <c r="Q1918" s="1" t="s">
        <v>330</v>
      </c>
      <c r="T1918" s="1" t="s">
        <v>331</v>
      </c>
      <c r="U1918" s="1" t="s">
        <v>332</v>
      </c>
      <c r="V1918" s="1">
        <v>30</v>
      </c>
      <c r="W1918" s="3">
        <v>3389.9</v>
      </c>
      <c r="X1918" s="3">
        <v>101697</v>
      </c>
      <c r="Y1918" s="1" t="str">
        <f>VLOOKUP(A1918,[1]Detalle!$D$2:$CR$484,93,FALSE)</f>
        <v>CENCOMLD - Cencosud SA - Mendoza</v>
      </c>
    </row>
    <row r="1919" spans="1:25" ht="14.25" customHeight="1" x14ac:dyDescent="0.3">
      <c r="A1919" s="1" t="s">
        <v>35</v>
      </c>
      <c r="B1919" s="1" t="s">
        <v>428</v>
      </c>
      <c r="C1919" s="1" t="s">
        <v>428</v>
      </c>
      <c r="D1919" s="1" t="s">
        <v>329</v>
      </c>
      <c r="E1919" s="6">
        <v>45889</v>
      </c>
      <c r="F1919" s="1">
        <v>401776</v>
      </c>
      <c r="G1919" s="1">
        <v>431776</v>
      </c>
      <c r="H1919" s="1">
        <v>11957.5</v>
      </c>
      <c r="I1919" s="1">
        <v>18042.5</v>
      </c>
      <c r="J1919" s="1">
        <v>413733.5</v>
      </c>
      <c r="K1919" s="1">
        <v>58</v>
      </c>
      <c r="L1919" s="1">
        <v>328.18794117647042</v>
      </c>
      <c r="M1919" s="1">
        <v>87.515366924524358</v>
      </c>
      <c r="N1919" s="7">
        <v>45947</v>
      </c>
      <c r="O1919" s="1">
        <v>30000</v>
      </c>
      <c r="P1919" s="7">
        <v>46034.515366921303</v>
      </c>
      <c r="Q1919" s="1" t="s">
        <v>330</v>
      </c>
      <c r="T1919" s="1" t="s">
        <v>397</v>
      </c>
      <c r="U1919" s="1" t="s">
        <v>398</v>
      </c>
      <c r="V1919" s="1">
        <v>1</v>
      </c>
      <c r="W1919" s="3">
        <v>9737.2800000000007</v>
      </c>
      <c r="X1919" s="3">
        <v>9737.2800000000007</v>
      </c>
      <c r="Y1919" s="1" t="str">
        <f>VLOOKUP(A1919,[1]Detalle!$D$2:$CR$484,93,FALSE)</f>
        <v>CENCOMLD - Cencosud SA - Mendoza</v>
      </c>
    </row>
    <row r="1920" spans="1:25" ht="14.25" customHeight="1" x14ac:dyDescent="0.3">
      <c r="A1920" s="1" t="s">
        <v>95</v>
      </c>
      <c r="B1920" s="1" t="s">
        <v>428</v>
      </c>
      <c r="C1920" s="1" t="s">
        <v>428</v>
      </c>
      <c r="D1920" s="1" t="s">
        <v>329</v>
      </c>
      <c r="E1920" s="6">
        <v>45869</v>
      </c>
      <c r="F1920" s="1">
        <v>165086</v>
      </c>
      <c r="G1920" s="1">
        <v>195086</v>
      </c>
      <c r="H1920" s="1">
        <v>12624.7</v>
      </c>
      <c r="I1920" s="1">
        <v>17375.3</v>
      </c>
      <c r="J1920" s="1">
        <v>177710.7</v>
      </c>
      <c r="K1920" s="1">
        <v>78</v>
      </c>
      <c r="L1920" s="1">
        <v>266.23473282442751</v>
      </c>
      <c r="M1920" s="1">
        <v>107.3509390322146</v>
      </c>
      <c r="N1920" s="7">
        <v>45947</v>
      </c>
      <c r="O1920" s="1">
        <v>30000</v>
      </c>
      <c r="P1920" s="7">
        <v>46054.350939027783</v>
      </c>
      <c r="Q1920" s="1" t="s">
        <v>330</v>
      </c>
      <c r="T1920" s="1" t="s">
        <v>331</v>
      </c>
      <c r="U1920" s="1" t="s">
        <v>332</v>
      </c>
      <c r="V1920" s="1">
        <v>30</v>
      </c>
      <c r="W1920" s="3">
        <v>3389.9</v>
      </c>
      <c r="X1920" s="3">
        <v>101697</v>
      </c>
      <c r="Y1920" s="1" t="str">
        <f>VLOOKUP(A1920,[1]Detalle!$D$2:$CR$484,93,FALSE)</f>
        <v>CENCOMLD - Cencosud SA - Mendoza</v>
      </c>
    </row>
    <row r="1921" spans="1:25" ht="14.25" customHeight="1" x14ac:dyDescent="0.3">
      <c r="A1921" s="1" t="s">
        <v>95</v>
      </c>
      <c r="B1921" s="1" t="s">
        <v>428</v>
      </c>
      <c r="C1921" s="1" t="s">
        <v>428</v>
      </c>
      <c r="D1921" s="1" t="s">
        <v>329</v>
      </c>
      <c r="E1921" s="6">
        <v>45869</v>
      </c>
      <c r="F1921" s="1">
        <v>165086</v>
      </c>
      <c r="G1921" s="1">
        <v>195086</v>
      </c>
      <c r="H1921" s="1">
        <v>12624.7</v>
      </c>
      <c r="I1921" s="1">
        <v>17375.3</v>
      </c>
      <c r="J1921" s="1">
        <v>177710.7</v>
      </c>
      <c r="K1921" s="1">
        <v>78</v>
      </c>
      <c r="L1921" s="1">
        <v>266.23473282442751</v>
      </c>
      <c r="M1921" s="1">
        <v>107.3509390322146</v>
      </c>
      <c r="N1921" s="7">
        <v>45947</v>
      </c>
      <c r="O1921" s="1">
        <v>30000</v>
      </c>
      <c r="P1921" s="7">
        <v>46054.350939027783</v>
      </c>
      <c r="Q1921" s="1" t="s">
        <v>330</v>
      </c>
      <c r="T1921" s="1" t="s">
        <v>397</v>
      </c>
      <c r="U1921" s="1" t="s">
        <v>398</v>
      </c>
      <c r="V1921" s="1">
        <v>1</v>
      </c>
      <c r="W1921" s="3">
        <v>9737.2800000000007</v>
      </c>
      <c r="X1921" s="3">
        <v>9737.2800000000007</v>
      </c>
      <c r="Y1921" s="1" t="str">
        <f>VLOOKUP(A1921,[1]Detalle!$D$2:$CR$484,93,FALSE)</f>
        <v>CENCOMLD - Cencosud SA - Mendoza</v>
      </c>
    </row>
    <row r="1922" spans="1:25" ht="14.25" customHeight="1" x14ac:dyDescent="0.3">
      <c r="A1922" s="1" t="s">
        <v>96</v>
      </c>
      <c r="B1922" s="1" t="s">
        <v>428</v>
      </c>
      <c r="C1922" s="1" t="s">
        <v>428</v>
      </c>
      <c r="D1922" s="1" t="s">
        <v>329</v>
      </c>
      <c r="E1922" s="6">
        <v>45861</v>
      </c>
      <c r="F1922" s="1">
        <v>163295</v>
      </c>
      <c r="G1922" s="1">
        <v>193295</v>
      </c>
      <c r="H1922" s="1">
        <v>22184.6</v>
      </c>
      <c r="I1922" s="1">
        <v>7815.3999999999978</v>
      </c>
      <c r="J1922" s="1">
        <v>185479.6</v>
      </c>
      <c r="K1922" s="1">
        <v>86</v>
      </c>
      <c r="L1922" s="1">
        <v>281.98244274809178</v>
      </c>
      <c r="M1922" s="1">
        <v>30.296890635846481</v>
      </c>
      <c r="N1922" s="7">
        <v>45947</v>
      </c>
      <c r="O1922" s="1">
        <v>30000</v>
      </c>
      <c r="P1922" s="7">
        <v>46083.686493148147</v>
      </c>
      <c r="Q1922" s="1" t="s">
        <v>330</v>
      </c>
      <c r="T1922" s="1" t="s">
        <v>331</v>
      </c>
      <c r="U1922" s="1" t="s">
        <v>332</v>
      </c>
      <c r="V1922" s="1">
        <v>30</v>
      </c>
      <c r="W1922" s="3">
        <v>3389.9</v>
      </c>
      <c r="X1922" s="3">
        <v>101697</v>
      </c>
      <c r="Y1922" s="1" t="str">
        <f>VLOOKUP(A1922,[1]Detalle!$D$2:$CR$484,93,FALSE)</f>
        <v>CENCOMLD - Cencosud SA - Mendoza</v>
      </c>
    </row>
    <row r="1923" spans="1:25" ht="14.25" customHeight="1" x14ac:dyDescent="0.3">
      <c r="A1923" s="1" t="s">
        <v>96</v>
      </c>
      <c r="B1923" s="1" t="s">
        <v>428</v>
      </c>
      <c r="C1923" s="1" t="s">
        <v>428</v>
      </c>
      <c r="D1923" s="1" t="s">
        <v>329</v>
      </c>
      <c r="E1923" s="6">
        <v>45861</v>
      </c>
      <c r="F1923" s="1">
        <v>163295</v>
      </c>
      <c r="G1923" s="1">
        <v>193295</v>
      </c>
      <c r="H1923" s="1">
        <v>22184.6</v>
      </c>
      <c r="I1923" s="1">
        <v>7815.3999999999978</v>
      </c>
      <c r="J1923" s="1">
        <v>185479.6</v>
      </c>
      <c r="K1923" s="1">
        <v>86</v>
      </c>
      <c r="L1923" s="1">
        <v>281.98244274809178</v>
      </c>
      <c r="M1923" s="1">
        <v>30.296890635846481</v>
      </c>
      <c r="N1923" s="7">
        <v>45947</v>
      </c>
      <c r="O1923" s="1">
        <v>30000</v>
      </c>
      <c r="P1923" s="7">
        <v>46083.686493148147</v>
      </c>
      <c r="Q1923" s="1" t="s">
        <v>330</v>
      </c>
      <c r="T1923" s="1" t="s">
        <v>397</v>
      </c>
      <c r="U1923" s="1" t="s">
        <v>398</v>
      </c>
      <c r="V1923" s="1">
        <v>1</v>
      </c>
      <c r="W1923" s="3">
        <v>9737.2800000000007</v>
      </c>
      <c r="X1923" s="3">
        <v>9737.2800000000007</v>
      </c>
      <c r="Y1923" s="1" t="str">
        <f>VLOOKUP(A1923,[1]Detalle!$D$2:$CR$484,93,FALSE)</f>
        <v>CENCOMLD - Cencosud SA - Mendoza</v>
      </c>
    </row>
    <row r="1924" spans="1:25" ht="14.25" customHeight="1" x14ac:dyDescent="0.3">
      <c r="A1924" s="1" t="s">
        <v>215</v>
      </c>
      <c r="B1924" s="1" t="s">
        <v>428</v>
      </c>
      <c r="C1924" s="1" t="s">
        <v>428</v>
      </c>
      <c r="D1924" s="1" t="s">
        <v>329</v>
      </c>
      <c r="E1924" s="6">
        <v>45810</v>
      </c>
      <c r="F1924" s="1">
        <v>367233</v>
      </c>
      <c r="G1924" s="1">
        <v>397233</v>
      </c>
      <c r="H1924" s="1">
        <v>10569.3</v>
      </c>
      <c r="I1924" s="1">
        <v>19430.7</v>
      </c>
      <c r="J1924" s="1">
        <v>377802.3</v>
      </c>
      <c r="K1924" s="1">
        <v>137</v>
      </c>
      <c r="L1924" s="1">
        <v>68.452272727272742</v>
      </c>
      <c r="M1924" s="1">
        <v>251.8620816894213</v>
      </c>
      <c r="N1924" s="7">
        <v>45947</v>
      </c>
      <c r="O1924" s="1">
        <v>30000</v>
      </c>
      <c r="P1924" s="7">
        <v>46198.862081689818</v>
      </c>
      <c r="Q1924" s="1" t="s">
        <v>330</v>
      </c>
      <c r="T1924" s="1" t="s">
        <v>331</v>
      </c>
      <c r="U1924" s="1" t="s">
        <v>332</v>
      </c>
      <c r="V1924" s="1">
        <v>30</v>
      </c>
      <c r="W1924" s="3">
        <v>3389.9</v>
      </c>
      <c r="X1924" s="3">
        <v>101697</v>
      </c>
      <c r="Y1924" s="1" t="str">
        <f>VLOOKUP(A1924,[1]Detalle!$D$2:$CR$484,93,FALSE)</f>
        <v>Arcor S.A.I.C.</v>
      </c>
    </row>
    <row r="1925" spans="1:25" ht="14.25" customHeight="1" x14ac:dyDescent="0.3">
      <c r="A1925" s="1" t="s">
        <v>215</v>
      </c>
      <c r="B1925" s="1" t="s">
        <v>428</v>
      </c>
      <c r="C1925" s="1" t="s">
        <v>428</v>
      </c>
      <c r="D1925" s="1" t="s">
        <v>329</v>
      </c>
      <c r="E1925" s="6">
        <v>45810</v>
      </c>
      <c r="F1925" s="1">
        <v>367233</v>
      </c>
      <c r="G1925" s="1">
        <v>397233</v>
      </c>
      <c r="H1925" s="1">
        <v>10569.3</v>
      </c>
      <c r="I1925" s="1">
        <v>19430.7</v>
      </c>
      <c r="J1925" s="1">
        <v>377802.3</v>
      </c>
      <c r="K1925" s="1">
        <v>137</v>
      </c>
      <c r="L1925" s="1">
        <v>68.452272727272742</v>
      </c>
      <c r="M1925" s="1">
        <v>251.8620816894213</v>
      </c>
      <c r="N1925" s="7">
        <v>45947</v>
      </c>
      <c r="O1925" s="1">
        <v>30000</v>
      </c>
      <c r="P1925" s="7">
        <v>46198.862081689818</v>
      </c>
      <c r="Q1925" s="1" t="s">
        <v>330</v>
      </c>
      <c r="T1925" s="1" t="s">
        <v>397</v>
      </c>
      <c r="U1925" s="1" t="s">
        <v>398</v>
      </c>
      <c r="V1925" s="1">
        <v>1</v>
      </c>
      <c r="W1925" s="3">
        <v>9737.2800000000007</v>
      </c>
      <c r="X1925" s="3">
        <v>9737.2800000000007</v>
      </c>
      <c r="Y1925" s="1" t="str">
        <f>VLOOKUP(A1925,[1]Detalle!$D$2:$CR$484,93,FALSE)</f>
        <v>Arcor S.A.I.C.</v>
      </c>
    </row>
    <row r="1926" spans="1:25" ht="14.25" customHeight="1" x14ac:dyDescent="0.3">
      <c r="A1926" s="1" t="s">
        <v>214</v>
      </c>
      <c r="B1926" s="1" t="s">
        <v>428</v>
      </c>
      <c r="C1926" s="1" t="s">
        <v>428</v>
      </c>
      <c r="D1926" s="1" t="s">
        <v>329</v>
      </c>
      <c r="E1926" s="6">
        <v>45918</v>
      </c>
      <c r="F1926" s="1">
        <v>41172.300000000003</v>
      </c>
      <c r="G1926" s="1">
        <v>71172.3</v>
      </c>
      <c r="H1926" s="1">
        <v>0</v>
      </c>
      <c r="I1926" s="1">
        <v>30000</v>
      </c>
      <c r="J1926" s="1">
        <v>41172.300000000003</v>
      </c>
      <c r="K1926" s="1">
        <v>29</v>
      </c>
      <c r="L1926" s="1">
        <v>24.119335793357951</v>
      </c>
      <c r="M1926" s="1">
        <v>300</v>
      </c>
      <c r="N1926" s="7">
        <v>45947</v>
      </c>
      <c r="O1926" s="1">
        <v>30000</v>
      </c>
      <c r="P1926" s="7">
        <v>46247</v>
      </c>
      <c r="Q1926" s="1" t="s">
        <v>330</v>
      </c>
      <c r="T1926" s="1" t="s">
        <v>331</v>
      </c>
      <c r="U1926" s="1" t="s">
        <v>332</v>
      </c>
      <c r="V1926" s="1">
        <v>30</v>
      </c>
      <c r="W1926" s="3">
        <v>3389.9</v>
      </c>
      <c r="X1926" s="3">
        <v>101697</v>
      </c>
      <c r="Y1926" s="1" t="str">
        <f>VLOOKUP(A1926,[1]Detalle!$D$2:$CR$484,93,FALSE)</f>
        <v>Expreso - Servicios Troncales</v>
      </c>
    </row>
    <row r="1927" spans="1:25" ht="14.25" customHeight="1" x14ac:dyDescent="0.3">
      <c r="A1927" s="1" t="s">
        <v>214</v>
      </c>
      <c r="B1927" s="1" t="s">
        <v>428</v>
      </c>
      <c r="C1927" s="1" t="s">
        <v>428</v>
      </c>
      <c r="D1927" s="1" t="s">
        <v>329</v>
      </c>
      <c r="E1927" s="6">
        <v>45918</v>
      </c>
      <c r="F1927" s="1">
        <v>41172.300000000003</v>
      </c>
      <c r="G1927" s="1">
        <v>71172.3</v>
      </c>
      <c r="H1927" s="1">
        <v>0</v>
      </c>
      <c r="I1927" s="1">
        <v>30000</v>
      </c>
      <c r="J1927" s="1">
        <v>41172.300000000003</v>
      </c>
      <c r="K1927" s="1">
        <v>29</v>
      </c>
      <c r="L1927" s="1">
        <v>24.119335793357951</v>
      </c>
      <c r="M1927" s="1">
        <v>300</v>
      </c>
      <c r="N1927" s="7">
        <v>45947</v>
      </c>
      <c r="O1927" s="1">
        <v>30000</v>
      </c>
      <c r="P1927" s="7">
        <v>46247</v>
      </c>
      <c r="Q1927" s="1" t="s">
        <v>330</v>
      </c>
      <c r="T1927" s="1" t="s">
        <v>397</v>
      </c>
      <c r="U1927" s="1" t="s">
        <v>398</v>
      </c>
      <c r="V1927" s="1">
        <v>1</v>
      </c>
      <c r="W1927" s="3">
        <v>9737.2800000000007</v>
      </c>
      <c r="X1927" s="3">
        <v>9737.2800000000007</v>
      </c>
      <c r="Y1927" s="1" t="str">
        <f>VLOOKUP(A1927,[1]Detalle!$D$2:$CR$484,93,FALSE)</f>
        <v>Expreso - Servicios Troncales</v>
      </c>
    </row>
    <row r="1928" spans="1:25" ht="14.25" customHeight="1" x14ac:dyDescent="0.3">
      <c r="A1928" s="1" t="s">
        <v>176</v>
      </c>
      <c r="B1928" s="1" t="s">
        <v>428</v>
      </c>
      <c r="C1928" s="1" t="s">
        <v>428</v>
      </c>
      <c r="D1928" s="1" t="s">
        <v>329</v>
      </c>
      <c r="E1928" s="6">
        <v>45897</v>
      </c>
      <c r="F1928" s="1">
        <v>1944647</v>
      </c>
      <c r="G1928" s="1">
        <v>1974647</v>
      </c>
      <c r="H1928" s="1">
        <v>11028.1</v>
      </c>
      <c r="I1928" s="1">
        <v>18971.900000000001</v>
      </c>
      <c r="J1928" s="1">
        <v>1955675.1</v>
      </c>
      <c r="K1928" s="1">
        <v>50</v>
      </c>
      <c r="L1928" s="1">
        <v>1849.550539936103</v>
      </c>
      <c r="M1928" s="1">
        <v>86.016176857300891</v>
      </c>
      <c r="N1928" s="7">
        <v>45947</v>
      </c>
      <c r="O1928" s="1">
        <v>30000</v>
      </c>
      <c r="P1928" s="7">
        <v>46033.016176851852</v>
      </c>
      <c r="Q1928" s="1" t="s">
        <v>330</v>
      </c>
      <c r="T1928" s="1" t="s">
        <v>331</v>
      </c>
      <c r="U1928" s="1" t="s">
        <v>332</v>
      </c>
      <c r="V1928" s="1">
        <v>30</v>
      </c>
      <c r="W1928" s="3">
        <v>3389.9</v>
      </c>
      <c r="X1928" s="3">
        <v>101697</v>
      </c>
      <c r="Y1928" s="1" t="str">
        <f>VLOOKUP(A1928,[1]Detalle!$D$2:$CR$484,93,FALSE)</f>
        <v>Expreso - Servicios Troncales</v>
      </c>
    </row>
    <row r="1929" spans="1:25" ht="14.25" customHeight="1" x14ac:dyDescent="0.3">
      <c r="A1929" s="1" t="s">
        <v>176</v>
      </c>
      <c r="B1929" s="1" t="s">
        <v>428</v>
      </c>
      <c r="C1929" s="1" t="s">
        <v>428</v>
      </c>
      <c r="D1929" s="1" t="s">
        <v>329</v>
      </c>
      <c r="E1929" s="6">
        <v>45897</v>
      </c>
      <c r="F1929" s="1">
        <v>1944647</v>
      </c>
      <c r="G1929" s="1">
        <v>1974647</v>
      </c>
      <c r="H1929" s="1">
        <v>11028.1</v>
      </c>
      <c r="I1929" s="1">
        <v>18971.900000000001</v>
      </c>
      <c r="J1929" s="1">
        <v>1955675.1</v>
      </c>
      <c r="K1929" s="1">
        <v>50</v>
      </c>
      <c r="L1929" s="1">
        <v>1849.550539936103</v>
      </c>
      <c r="M1929" s="1">
        <v>86.016176857300891</v>
      </c>
      <c r="N1929" s="7">
        <v>45947</v>
      </c>
      <c r="O1929" s="1">
        <v>30000</v>
      </c>
      <c r="P1929" s="7">
        <v>46033.016176851852</v>
      </c>
      <c r="Q1929" s="1" t="s">
        <v>330</v>
      </c>
      <c r="T1929" s="1" t="s">
        <v>397</v>
      </c>
      <c r="U1929" s="1" t="s">
        <v>398</v>
      </c>
      <c r="V1929" s="1">
        <v>1</v>
      </c>
      <c r="W1929" s="3">
        <v>9737.2800000000007</v>
      </c>
      <c r="X1929" s="3">
        <v>9737.2800000000007</v>
      </c>
      <c r="Y1929" s="1" t="str">
        <f>VLOOKUP(A1929,[1]Detalle!$D$2:$CR$484,93,FALSE)</f>
        <v>Expreso - Servicios Troncales</v>
      </c>
    </row>
    <row r="1930" spans="1:25" ht="14.25" customHeight="1" x14ac:dyDescent="0.3">
      <c r="A1930" s="1" t="s">
        <v>177</v>
      </c>
      <c r="B1930" s="1" t="s">
        <v>428</v>
      </c>
      <c r="C1930" s="1" t="s">
        <v>428</v>
      </c>
      <c r="D1930" s="1" t="s">
        <v>329</v>
      </c>
      <c r="E1930" s="6">
        <v>45478</v>
      </c>
      <c r="F1930" s="1">
        <v>901266</v>
      </c>
      <c r="G1930" s="1">
        <v>931266</v>
      </c>
      <c r="H1930" s="1">
        <v>56774.349999999977</v>
      </c>
      <c r="I1930" s="1">
        <v>-26774.34999999998</v>
      </c>
      <c r="J1930" s="1">
        <v>958040.35</v>
      </c>
      <c r="K1930" s="1">
        <v>469</v>
      </c>
      <c r="L1930" s="1">
        <v>126.37693548387099</v>
      </c>
      <c r="M1930" s="1">
        <v>-221.17681928546949</v>
      </c>
      <c r="N1930" s="7">
        <v>45947</v>
      </c>
      <c r="O1930" s="1">
        <v>30000</v>
      </c>
      <c r="P1930" s="7">
        <v>46184.385088391202</v>
      </c>
      <c r="Q1930" s="1" t="s">
        <v>330</v>
      </c>
      <c r="T1930" s="1" t="s">
        <v>331</v>
      </c>
      <c r="U1930" s="1" t="s">
        <v>332</v>
      </c>
      <c r="V1930" s="1">
        <v>30</v>
      </c>
      <c r="W1930" s="3">
        <v>3389.9</v>
      </c>
      <c r="X1930" s="3">
        <v>101697</v>
      </c>
      <c r="Y1930" s="1" t="str">
        <f>VLOOKUP(A1930,[1]Detalle!$D$2:$CR$484,93,FALSE)</f>
        <v>Unilever - Unilever de Arg. S.A.</v>
      </c>
    </row>
    <row r="1931" spans="1:25" ht="14.25" customHeight="1" x14ac:dyDescent="0.3">
      <c r="A1931" s="1" t="s">
        <v>177</v>
      </c>
      <c r="B1931" s="1" t="s">
        <v>428</v>
      </c>
      <c r="C1931" s="1" t="s">
        <v>428</v>
      </c>
      <c r="D1931" s="1" t="s">
        <v>329</v>
      </c>
      <c r="E1931" s="6">
        <v>45478</v>
      </c>
      <c r="F1931" s="1">
        <v>901266</v>
      </c>
      <c r="G1931" s="1">
        <v>931266</v>
      </c>
      <c r="H1931" s="1">
        <v>56774.349999999977</v>
      </c>
      <c r="I1931" s="1">
        <v>-26774.34999999998</v>
      </c>
      <c r="J1931" s="1">
        <v>958040.35</v>
      </c>
      <c r="K1931" s="1">
        <v>469</v>
      </c>
      <c r="L1931" s="1">
        <v>126.37693548387099</v>
      </c>
      <c r="M1931" s="1">
        <v>-221.17681928546949</v>
      </c>
      <c r="N1931" s="7">
        <v>45947</v>
      </c>
      <c r="O1931" s="1">
        <v>30000</v>
      </c>
      <c r="P1931" s="7">
        <v>46184.385088391202</v>
      </c>
      <c r="Q1931" s="1" t="s">
        <v>330</v>
      </c>
      <c r="T1931" s="1" t="s">
        <v>397</v>
      </c>
      <c r="U1931" s="1" t="s">
        <v>398</v>
      </c>
      <c r="V1931" s="1">
        <v>1</v>
      </c>
      <c r="W1931" s="3">
        <v>9737.2800000000007</v>
      </c>
      <c r="X1931" s="3">
        <v>9737.2800000000007</v>
      </c>
      <c r="Y1931" s="1" t="str">
        <f>VLOOKUP(A1931,[1]Detalle!$D$2:$CR$484,93,FALSE)</f>
        <v>Unilever - Unilever de Arg. S.A.</v>
      </c>
    </row>
    <row r="1932" spans="1:25" ht="14.25" customHeight="1" x14ac:dyDescent="0.3">
      <c r="A1932" s="1" t="s">
        <v>186</v>
      </c>
      <c r="B1932" s="1" t="s">
        <v>428</v>
      </c>
      <c r="C1932" s="1" t="s">
        <v>428</v>
      </c>
      <c r="D1932" s="1" t="s">
        <v>329</v>
      </c>
      <c r="E1932" s="6">
        <v>45800</v>
      </c>
      <c r="F1932" s="1">
        <v>459582</v>
      </c>
      <c r="G1932" s="1">
        <v>489582</v>
      </c>
      <c r="H1932" s="1">
        <v>48012.699999999968</v>
      </c>
      <c r="I1932" s="1">
        <v>-18012.699999999972</v>
      </c>
      <c r="J1932" s="1">
        <v>507594.7</v>
      </c>
      <c r="K1932" s="1">
        <v>147</v>
      </c>
      <c r="L1932" s="1">
        <v>303.0774834437085</v>
      </c>
      <c r="M1932" s="1">
        <v>-55.149302163802432</v>
      </c>
      <c r="N1932" s="7">
        <v>45947</v>
      </c>
      <c r="O1932" s="1">
        <v>30000</v>
      </c>
      <c r="P1932" s="7">
        <v>46045.984588553241</v>
      </c>
      <c r="Q1932" s="1" t="s">
        <v>330</v>
      </c>
      <c r="T1932" s="1" t="s">
        <v>331</v>
      </c>
      <c r="U1932" s="1" t="s">
        <v>332</v>
      </c>
      <c r="V1932" s="1">
        <v>30</v>
      </c>
      <c r="W1932" s="3">
        <v>3389.9</v>
      </c>
      <c r="X1932" s="3">
        <v>101697</v>
      </c>
      <c r="Y1932" s="1" t="str">
        <f>VLOOKUP(A1932,[1]Detalle!$D$2:$CR$484,93,FALSE)</f>
        <v>Expreso - Servicios Troncales</v>
      </c>
    </row>
    <row r="1933" spans="1:25" ht="14.25" customHeight="1" x14ac:dyDescent="0.3">
      <c r="A1933" s="1" t="s">
        <v>186</v>
      </c>
      <c r="B1933" s="1" t="s">
        <v>428</v>
      </c>
      <c r="C1933" s="1" t="s">
        <v>428</v>
      </c>
      <c r="D1933" s="1" t="s">
        <v>329</v>
      </c>
      <c r="E1933" s="6">
        <v>45800</v>
      </c>
      <c r="F1933" s="1">
        <v>459582</v>
      </c>
      <c r="G1933" s="1">
        <v>489582</v>
      </c>
      <c r="H1933" s="1">
        <v>48012.699999999968</v>
      </c>
      <c r="I1933" s="1">
        <v>-18012.699999999972</v>
      </c>
      <c r="J1933" s="1">
        <v>507594.7</v>
      </c>
      <c r="K1933" s="1">
        <v>147</v>
      </c>
      <c r="L1933" s="1">
        <v>303.0774834437085</v>
      </c>
      <c r="M1933" s="1">
        <v>-55.149302163802432</v>
      </c>
      <c r="N1933" s="7">
        <v>45947</v>
      </c>
      <c r="O1933" s="1">
        <v>30000</v>
      </c>
      <c r="P1933" s="7">
        <v>46045.984588553241</v>
      </c>
      <c r="Q1933" s="1" t="s">
        <v>330</v>
      </c>
      <c r="T1933" s="1" t="s">
        <v>397</v>
      </c>
      <c r="U1933" s="1" t="s">
        <v>398</v>
      </c>
      <c r="V1933" s="1">
        <v>1</v>
      </c>
      <c r="W1933" s="3">
        <v>9737.2800000000007</v>
      </c>
      <c r="X1933" s="3">
        <v>9737.2800000000007</v>
      </c>
      <c r="Y1933" s="1" t="str">
        <f>VLOOKUP(A1933,[1]Detalle!$D$2:$CR$484,93,FALSE)</f>
        <v>Expreso - Servicios Troncales</v>
      </c>
    </row>
    <row r="1934" spans="1:25" ht="14.25" customHeight="1" x14ac:dyDescent="0.3">
      <c r="A1934" s="1" t="s">
        <v>201</v>
      </c>
      <c r="B1934" s="1" t="s">
        <v>428</v>
      </c>
      <c r="C1934" s="1" t="s">
        <v>428</v>
      </c>
      <c r="D1934" s="1" t="s">
        <v>329</v>
      </c>
      <c r="E1934" s="6">
        <v>45880</v>
      </c>
      <c r="F1934" s="1">
        <v>1839556</v>
      </c>
      <c r="G1934" s="1">
        <v>1869556</v>
      </c>
      <c r="H1934" s="1">
        <v>11612.7</v>
      </c>
      <c r="I1934" s="1">
        <v>18387.3</v>
      </c>
      <c r="J1934" s="1">
        <v>1851168.7</v>
      </c>
      <c r="K1934" s="1">
        <v>67</v>
      </c>
      <c r="L1934" s="1">
        <v>155.41622516556279</v>
      </c>
      <c r="M1934" s="1">
        <v>106.0863623446744</v>
      </c>
      <c r="N1934" s="7">
        <v>45947</v>
      </c>
      <c r="O1934" s="1">
        <v>30000</v>
      </c>
      <c r="P1934" s="7">
        <v>46053.086362349539</v>
      </c>
      <c r="Q1934" s="1" t="s">
        <v>330</v>
      </c>
      <c r="T1934" s="1" t="s">
        <v>331</v>
      </c>
      <c r="U1934" s="1" t="s">
        <v>332</v>
      </c>
      <c r="V1934" s="1">
        <v>30</v>
      </c>
      <c r="W1934" s="3">
        <v>3389.9</v>
      </c>
      <c r="X1934" s="3">
        <v>101697</v>
      </c>
      <c r="Y1934" s="1" t="str">
        <f>VLOOKUP(A1934,[1]Detalle!$D$2:$CR$484,93,FALSE)</f>
        <v>SUC_CTC - Sucursal Buenos Aires</v>
      </c>
    </row>
    <row r="1935" spans="1:25" ht="14.25" customHeight="1" x14ac:dyDescent="0.3">
      <c r="A1935" s="1" t="s">
        <v>201</v>
      </c>
      <c r="B1935" s="1" t="s">
        <v>428</v>
      </c>
      <c r="C1935" s="1" t="s">
        <v>428</v>
      </c>
      <c r="D1935" s="1" t="s">
        <v>329</v>
      </c>
      <c r="E1935" s="6">
        <v>45880</v>
      </c>
      <c r="F1935" s="1">
        <v>1839556</v>
      </c>
      <c r="G1935" s="1">
        <v>1869556</v>
      </c>
      <c r="H1935" s="1">
        <v>11612.7</v>
      </c>
      <c r="I1935" s="1">
        <v>18387.3</v>
      </c>
      <c r="J1935" s="1">
        <v>1851168.7</v>
      </c>
      <c r="K1935" s="1">
        <v>67</v>
      </c>
      <c r="L1935" s="1">
        <v>155.41622516556279</v>
      </c>
      <c r="M1935" s="1">
        <v>106.0863623446744</v>
      </c>
      <c r="N1935" s="7">
        <v>45947</v>
      </c>
      <c r="O1935" s="1">
        <v>30000</v>
      </c>
      <c r="P1935" s="7">
        <v>46053.086362349539</v>
      </c>
      <c r="Q1935" s="1" t="s">
        <v>330</v>
      </c>
      <c r="T1935" s="1" t="s">
        <v>397</v>
      </c>
      <c r="U1935" s="1" t="s">
        <v>398</v>
      </c>
      <c r="V1935" s="1">
        <v>1</v>
      </c>
      <c r="W1935" s="3">
        <v>9737.2800000000007</v>
      </c>
      <c r="X1935" s="3">
        <v>9737.2800000000007</v>
      </c>
      <c r="Y1935" s="1" t="str">
        <f>VLOOKUP(A1935,[1]Detalle!$D$2:$CR$484,93,FALSE)</f>
        <v>SUC_CTC - Sucursal Buenos Aires</v>
      </c>
    </row>
    <row r="1936" spans="1:25" ht="14.25" customHeight="1" x14ac:dyDescent="0.3">
      <c r="A1936" s="1" t="s">
        <v>230</v>
      </c>
      <c r="B1936" s="1" t="s">
        <v>428</v>
      </c>
      <c r="C1936" s="1" t="s">
        <v>428</v>
      </c>
      <c r="D1936" s="1" t="s">
        <v>329</v>
      </c>
      <c r="E1936" s="6">
        <v>45922</v>
      </c>
      <c r="F1936" s="1">
        <v>1817011</v>
      </c>
      <c r="G1936" s="1">
        <v>1847011</v>
      </c>
      <c r="H1936" s="1">
        <v>3227.7</v>
      </c>
      <c r="I1936" s="1">
        <v>26772.3</v>
      </c>
      <c r="J1936" s="1">
        <v>1820238.7</v>
      </c>
      <c r="K1936" s="1">
        <v>25</v>
      </c>
      <c r="L1936" s="1">
        <v>289.98935849056602</v>
      </c>
      <c r="M1936" s="1">
        <v>207.3636025652942</v>
      </c>
      <c r="N1936" s="7">
        <v>45947</v>
      </c>
      <c r="O1936" s="1">
        <v>30000</v>
      </c>
      <c r="P1936" s="7">
        <v>46154.363602569443</v>
      </c>
      <c r="Q1936" s="1" t="s">
        <v>330</v>
      </c>
      <c r="T1936" s="1" t="s">
        <v>331</v>
      </c>
      <c r="U1936" s="1" t="s">
        <v>332</v>
      </c>
      <c r="V1936" s="1">
        <v>30</v>
      </c>
      <c r="W1936" s="3">
        <v>3389.9</v>
      </c>
      <c r="X1936" s="3">
        <v>101697</v>
      </c>
      <c r="Y1936" s="1" t="str">
        <f>VLOOKUP(A1936,[1]Detalle!$D$2:$CR$484,93,FALSE)</f>
        <v>Expreso - Servicios Troncales</v>
      </c>
    </row>
    <row r="1937" spans="1:25" ht="14.25" customHeight="1" x14ac:dyDescent="0.3">
      <c r="A1937" s="1" t="s">
        <v>230</v>
      </c>
      <c r="B1937" s="1" t="s">
        <v>428</v>
      </c>
      <c r="C1937" s="1" t="s">
        <v>428</v>
      </c>
      <c r="D1937" s="1" t="s">
        <v>329</v>
      </c>
      <c r="E1937" s="6">
        <v>45922</v>
      </c>
      <c r="F1937" s="1">
        <v>1817011</v>
      </c>
      <c r="G1937" s="1">
        <v>1847011</v>
      </c>
      <c r="H1937" s="1">
        <v>3227.7</v>
      </c>
      <c r="I1937" s="1">
        <v>26772.3</v>
      </c>
      <c r="J1937" s="1">
        <v>1820238.7</v>
      </c>
      <c r="K1937" s="1">
        <v>25</v>
      </c>
      <c r="L1937" s="1">
        <v>289.98935849056602</v>
      </c>
      <c r="M1937" s="1">
        <v>207.3636025652942</v>
      </c>
      <c r="N1937" s="7">
        <v>45947</v>
      </c>
      <c r="O1937" s="1">
        <v>30000</v>
      </c>
      <c r="P1937" s="7">
        <v>46154.363602569443</v>
      </c>
      <c r="Q1937" s="1" t="s">
        <v>330</v>
      </c>
      <c r="T1937" s="1" t="s">
        <v>397</v>
      </c>
      <c r="U1937" s="1" t="s">
        <v>398</v>
      </c>
      <c r="V1937" s="1">
        <v>1</v>
      </c>
      <c r="W1937" s="3">
        <v>9737.2800000000007</v>
      </c>
      <c r="X1937" s="3">
        <v>9737.2800000000007</v>
      </c>
      <c r="Y1937" s="1" t="str">
        <f>VLOOKUP(A1937,[1]Detalle!$D$2:$CR$484,93,FALSE)</f>
        <v>Expreso - Servicios Troncales</v>
      </c>
    </row>
    <row r="1938" spans="1:25" ht="14.25" customHeight="1" x14ac:dyDescent="0.3">
      <c r="A1938" s="1" t="s">
        <v>175</v>
      </c>
      <c r="B1938" s="1" t="s">
        <v>428</v>
      </c>
      <c r="C1938" s="1" t="s">
        <v>428</v>
      </c>
      <c r="D1938" s="1" t="s">
        <v>329</v>
      </c>
      <c r="E1938" s="6">
        <v>45763</v>
      </c>
      <c r="F1938" s="1">
        <v>1556403</v>
      </c>
      <c r="G1938" s="1">
        <v>1586403</v>
      </c>
      <c r="H1938" s="1">
        <v>17285.8</v>
      </c>
      <c r="I1938" s="1">
        <v>12714.2</v>
      </c>
      <c r="J1938" s="1">
        <v>1573688.8</v>
      </c>
      <c r="K1938" s="1">
        <v>184</v>
      </c>
      <c r="L1938" s="1">
        <v>81.249174917491729</v>
      </c>
      <c r="M1938" s="1">
        <v>135.33725948466369</v>
      </c>
      <c r="N1938" s="7">
        <v>45947</v>
      </c>
      <c r="O1938" s="1">
        <v>30000</v>
      </c>
      <c r="P1938" s="7">
        <v>46082.337259479173</v>
      </c>
      <c r="Q1938" s="1" t="s">
        <v>330</v>
      </c>
      <c r="T1938" s="1" t="s">
        <v>331</v>
      </c>
      <c r="U1938" s="1" t="s">
        <v>332</v>
      </c>
      <c r="V1938" s="1">
        <v>30</v>
      </c>
      <c r="W1938" s="3">
        <v>3389.9</v>
      </c>
      <c r="X1938" s="3">
        <v>101697</v>
      </c>
      <c r="Y1938" s="1" t="str">
        <f>VLOOKUP(A1938,[1]Detalle!$D$2:$CR$484,93,FALSE)</f>
        <v>JOHNSON - SC JOHNSON DE ARGENTINA SAIC</v>
      </c>
    </row>
    <row r="1939" spans="1:25" ht="14.25" customHeight="1" x14ac:dyDescent="0.3">
      <c r="A1939" s="1" t="s">
        <v>175</v>
      </c>
      <c r="B1939" s="1" t="s">
        <v>428</v>
      </c>
      <c r="C1939" s="1" t="s">
        <v>428</v>
      </c>
      <c r="D1939" s="1" t="s">
        <v>329</v>
      </c>
      <c r="E1939" s="6">
        <v>45763</v>
      </c>
      <c r="F1939" s="1">
        <v>1556403</v>
      </c>
      <c r="G1939" s="1">
        <v>1586403</v>
      </c>
      <c r="H1939" s="1">
        <v>17285.8</v>
      </c>
      <c r="I1939" s="1">
        <v>12714.2</v>
      </c>
      <c r="J1939" s="1">
        <v>1573688.8</v>
      </c>
      <c r="K1939" s="1">
        <v>184</v>
      </c>
      <c r="L1939" s="1">
        <v>81.249174917491729</v>
      </c>
      <c r="M1939" s="1">
        <v>135.33725948466369</v>
      </c>
      <c r="N1939" s="7">
        <v>45947</v>
      </c>
      <c r="O1939" s="1">
        <v>30000</v>
      </c>
      <c r="P1939" s="7">
        <v>46082.337259479173</v>
      </c>
      <c r="Q1939" s="1" t="s">
        <v>330</v>
      </c>
      <c r="T1939" s="1" t="s">
        <v>397</v>
      </c>
      <c r="U1939" s="1" t="s">
        <v>398</v>
      </c>
      <c r="V1939" s="1">
        <v>1</v>
      </c>
      <c r="W1939" s="3">
        <v>9737.2800000000007</v>
      </c>
      <c r="X1939" s="3">
        <v>9737.2800000000007</v>
      </c>
      <c r="Y1939" s="1" t="str">
        <f>VLOOKUP(A1939,[1]Detalle!$D$2:$CR$484,93,FALSE)</f>
        <v>JOHNSON - SC JOHNSON DE ARGENTINA SAIC</v>
      </c>
    </row>
    <row r="1940" spans="1:25" ht="14.25" customHeight="1" x14ac:dyDescent="0.3">
      <c r="A1940" s="1" t="s">
        <v>216</v>
      </c>
      <c r="B1940" s="1" t="s">
        <v>428</v>
      </c>
      <c r="C1940" s="1" t="s">
        <v>428</v>
      </c>
      <c r="D1940" s="1" t="s">
        <v>329</v>
      </c>
      <c r="E1940" s="6">
        <v>45859</v>
      </c>
      <c r="F1940" s="1">
        <v>1612281</v>
      </c>
      <c r="G1940" s="1">
        <v>1642281</v>
      </c>
      <c r="H1940" s="1">
        <v>5237.8999999999996</v>
      </c>
      <c r="I1940" s="1">
        <v>24762.1</v>
      </c>
      <c r="J1940" s="1">
        <v>1617518.9</v>
      </c>
      <c r="K1940" s="1">
        <v>88</v>
      </c>
      <c r="L1940" s="1">
        <v>69.384019292604506</v>
      </c>
      <c r="M1940" s="1">
        <v>416.0187861547567</v>
      </c>
      <c r="N1940" s="7">
        <v>45947</v>
      </c>
      <c r="O1940" s="1">
        <v>30000</v>
      </c>
      <c r="P1940" s="7">
        <v>46363.018786157409</v>
      </c>
      <c r="Q1940" s="1" t="s">
        <v>330</v>
      </c>
      <c r="T1940" s="1" t="s">
        <v>331</v>
      </c>
      <c r="U1940" s="1" t="s">
        <v>332</v>
      </c>
      <c r="V1940" s="1">
        <v>30</v>
      </c>
      <c r="W1940" s="3">
        <v>3389.9</v>
      </c>
      <c r="X1940" s="3">
        <v>101697</v>
      </c>
      <c r="Y1940" s="1" t="str">
        <f>VLOOKUP(A1940,[1]Detalle!$D$2:$CR$484,93,FALSE)</f>
        <v>Arcor S.A.I.C.</v>
      </c>
    </row>
    <row r="1941" spans="1:25" ht="14.25" customHeight="1" x14ac:dyDescent="0.3">
      <c r="A1941" s="1" t="s">
        <v>216</v>
      </c>
      <c r="B1941" s="1" t="s">
        <v>428</v>
      </c>
      <c r="C1941" s="1" t="s">
        <v>428</v>
      </c>
      <c r="D1941" s="1" t="s">
        <v>329</v>
      </c>
      <c r="E1941" s="6">
        <v>45859</v>
      </c>
      <c r="F1941" s="1">
        <v>1612281</v>
      </c>
      <c r="G1941" s="1">
        <v>1642281</v>
      </c>
      <c r="H1941" s="1">
        <v>5237.8999999999996</v>
      </c>
      <c r="I1941" s="1">
        <v>24762.1</v>
      </c>
      <c r="J1941" s="1">
        <v>1617518.9</v>
      </c>
      <c r="K1941" s="1">
        <v>88</v>
      </c>
      <c r="L1941" s="1">
        <v>69.384019292604506</v>
      </c>
      <c r="M1941" s="1">
        <v>416.0187861547567</v>
      </c>
      <c r="N1941" s="7">
        <v>45947</v>
      </c>
      <c r="O1941" s="1">
        <v>30000</v>
      </c>
      <c r="P1941" s="7">
        <v>46363.018786157409</v>
      </c>
      <c r="Q1941" s="1" t="s">
        <v>330</v>
      </c>
      <c r="T1941" s="1" t="s">
        <v>397</v>
      </c>
      <c r="U1941" s="1" t="s">
        <v>398</v>
      </c>
      <c r="V1941" s="1">
        <v>1</v>
      </c>
      <c r="W1941" s="3">
        <v>9737.2800000000007</v>
      </c>
      <c r="X1941" s="3">
        <v>9737.2800000000007</v>
      </c>
      <c r="Y1941" s="1" t="str">
        <f>VLOOKUP(A1941,[1]Detalle!$D$2:$CR$484,93,FALSE)</f>
        <v>Arcor S.A.I.C.</v>
      </c>
    </row>
    <row r="1942" spans="1:25" ht="14.25" customHeight="1" x14ac:dyDescent="0.3">
      <c r="A1942" s="1" t="s">
        <v>98</v>
      </c>
      <c r="B1942" s="1" t="s">
        <v>428</v>
      </c>
      <c r="C1942" s="1" t="s">
        <v>428</v>
      </c>
      <c r="D1942" s="1" t="s">
        <v>329</v>
      </c>
      <c r="E1942" s="6">
        <v>45799</v>
      </c>
      <c r="F1942" s="1">
        <v>34072.6</v>
      </c>
      <c r="G1942" s="1">
        <v>64072.6</v>
      </c>
      <c r="H1942" s="1">
        <v>9725.4000000000015</v>
      </c>
      <c r="I1942" s="1">
        <v>20274.599999999999</v>
      </c>
      <c r="J1942" s="1">
        <v>43798</v>
      </c>
      <c r="K1942" s="1">
        <v>148</v>
      </c>
      <c r="L1942" s="1">
        <v>61.669847328244273</v>
      </c>
      <c r="M1942" s="1">
        <v>308.53649207230552</v>
      </c>
      <c r="N1942" s="7">
        <v>45947</v>
      </c>
      <c r="O1942" s="1">
        <v>30000</v>
      </c>
      <c r="P1942" s="7">
        <v>46255.536492071762</v>
      </c>
      <c r="Q1942" s="1" t="s">
        <v>330</v>
      </c>
      <c r="T1942" s="1" t="s">
        <v>331</v>
      </c>
      <c r="U1942" s="1" t="s">
        <v>332</v>
      </c>
      <c r="V1942" s="1">
        <v>30</v>
      </c>
      <c r="W1942" s="3">
        <v>3389.9</v>
      </c>
      <c r="X1942" s="3">
        <v>101697</v>
      </c>
      <c r="Y1942" s="1" t="str">
        <f>VLOOKUP(A1942,[1]Detalle!$D$2:$CR$484,93,FALSE)</f>
        <v>Arcor S.A.I.C.</v>
      </c>
    </row>
    <row r="1943" spans="1:25" ht="14.25" customHeight="1" x14ac:dyDescent="0.3">
      <c r="A1943" s="1" t="s">
        <v>98</v>
      </c>
      <c r="B1943" s="1" t="s">
        <v>428</v>
      </c>
      <c r="C1943" s="1" t="s">
        <v>428</v>
      </c>
      <c r="D1943" s="1" t="s">
        <v>329</v>
      </c>
      <c r="E1943" s="6">
        <v>45799</v>
      </c>
      <c r="F1943" s="1">
        <v>34072.6</v>
      </c>
      <c r="G1943" s="1">
        <v>64072.6</v>
      </c>
      <c r="H1943" s="1">
        <v>9725.4000000000015</v>
      </c>
      <c r="I1943" s="1">
        <v>20274.599999999999</v>
      </c>
      <c r="J1943" s="1">
        <v>43798</v>
      </c>
      <c r="K1943" s="1">
        <v>148</v>
      </c>
      <c r="L1943" s="1">
        <v>61.669847328244273</v>
      </c>
      <c r="M1943" s="1">
        <v>308.53649207230552</v>
      </c>
      <c r="N1943" s="7">
        <v>45947</v>
      </c>
      <c r="O1943" s="1">
        <v>30000</v>
      </c>
      <c r="P1943" s="7">
        <v>46255.536492071762</v>
      </c>
      <c r="Q1943" s="1" t="s">
        <v>330</v>
      </c>
      <c r="T1943" s="1" t="s">
        <v>397</v>
      </c>
      <c r="U1943" s="1" t="s">
        <v>398</v>
      </c>
      <c r="V1943" s="1">
        <v>1</v>
      </c>
      <c r="W1943" s="3">
        <v>9737.2800000000007</v>
      </c>
      <c r="X1943" s="3">
        <v>9737.2800000000007</v>
      </c>
      <c r="Y1943" s="1" t="str">
        <f>VLOOKUP(A1943,[1]Detalle!$D$2:$CR$484,93,FALSE)</f>
        <v>Arcor S.A.I.C.</v>
      </c>
    </row>
    <row r="1944" spans="1:25" ht="14.25" customHeight="1" x14ac:dyDescent="0.3">
      <c r="A1944" s="1" t="s">
        <v>5</v>
      </c>
      <c r="B1944" s="1" t="s">
        <v>436</v>
      </c>
      <c r="C1944" s="1" t="s">
        <v>428</v>
      </c>
      <c r="D1944" s="1" t="s">
        <v>329</v>
      </c>
      <c r="E1944" s="6">
        <v>45910</v>
      </c>
      <c r="F1944" s="1">
        <v>710185</v>
      </c>
      <c r="G1944" s="1">
        <v>740185</v>
      </c>
      <c r="H1944" s="1">
        <v>5358.4999999999991</v>
      </c>
      <c r="I1944" s="1">
        <v>24641.5</v>
      </c>
      <c r="J1944" s="1">
        <v>715543.5</v>
      </c>
      <c r="K1944" s="1">
        <v>37</v>
      </c>
      <c r="L1944" s="1">
        <v>276.33435114503811</v>
      </c>
      <c r="M1944" s="1">
        <v>170.14752262760101</v>
      </c>
      <c r="N1944" s="7">
        <v>45947</v>
      </c>
      <c r="O1944" s="1">
        <v>30000</v>
      </c>
      <c r="P1944" s="7">
        <v>46117.147522627318</v>
      </c>
      <c r="Q1944" s="1" t="s">
        <v>330</v>
      </c>
      <c r="T1944" s="1" t="s">
        <v>331</v>
      </c>
      <c r="U1944" s="1" t="s">
        <v>332</v>
      </c>
      <c r="V1944" s="1">
        <v>39</v>
      </c>
      <c r="W1944" s="3">
        <v>3389.9</v>
      </c>
      <c r="X1944" s="3">
        <v>132206.1</v>
      </c>
      <c r="Y1944" s="1" t="str">
        <f>VLOOKUP(A1944,[1]Detalle!$D$2:$CR$484,93,FALSE)</f>
        <v>ADA_CH - Danone Arg. S.A. - Chascomus</v>
      </c>
    </row>
    <row r="1945" spans="1:25" ht="14.25" customHeight="1" x14ac:dyDescent="0.3">
      <c r="A1945" s="1" t="s">
        <v>5</v>
      </c>
      <c r="B1945" s="1" t="s">
        <v>436</v>
      </c>
      <c r="C1945" s="1" t="s">
        <v>428</v>
      </c>
      <c r="D1945" s="1" t="s">
        <v>329</v>
      </c>
      <c r="E1945" s="6">
        <v>45910</v>
      </c>
      <c r="F1945" s="1">
        <v>710185</v>
      </c>
      <c r="G1945" s="1">
        <v>740185</v>
      </c>
      <c r="H1945" s="1">
        <v>5358.4999999999991</v>
      </c>
      <c r="I1945" s="1">
        <v>24641.5</v>
      </c>
      <c r="J1945" s="1">
        <v>715543.5</v>
      </c>
      <c r="K1945" s="1">
        <v>37</v>
      </c>
      <c r="L1945" s="1">
        <v>276.33435114503811</v>
      </c>
      <c r="M1945" s="1">
        <v>170.14752262760101</v>
      </c>
      <c r="N1945" s="7">
        <v>45947</v>
      </c>
      <c r="O1945" s="1">
        <v>30000</v>
      </c>
      <c r="P1945" s="7">
        <v>46117.147522627318</v>
      </c>
      <c r="Q1945" s="1" t="s">
        <v>330</v>
      </c>
      <c r="T1945" s="1" t="s">
        <v>437</v>
      </c>
      <c r="U1945" s="1" t="s">
        <v>438</v>
      </c>
      <c r="V1945" s="1">
        <v>1</v>
      </c>
      <c r="W1945" s="3">
        <v>22064.98</v>
      </c>
      <c r="X1945" s="3">
        <v>22064.98</v>
      </c>
      <c r="Y1945" s="1" t="str">
        <f>VLOOKUP(A1945,[1]Detalle!$D$2:$CR$484,93,FALSE)</f>
        <v>ADA_CH - Danone Arg. S.A. - Chascomus</v>
      </c>
    </row>
    <row r="1946" spans="1:25" ht="14.25" customHeight="1" x14ac:dyDescent="0.3">
      <c r="A1946" s="1" t="s">
        <v>8</v>
      </c>
      <c r="B1946" s="1" t="s">
        <v>436</v>
      </c>
      <c r="C1946" s="1" t="s">
        <v>428</v>
      </c>
      <c r="D1946" s="1" t="s">
        <v>329</v>
      </c>
      <c r="E1946" s="6">
        <v>45880</v>
      </c>
      <c r="F1946" s="1">
        <v>722255</v>
      </c>
      <c r="G1946" s="1">
        <v>752255</v>
      </c>
      <c r="H1946" s="1">
        <v>15317.7</v>
      </c>
      <c r="I1946" s="1">
        <v>14682.3</v>
      </c>
      <c r="J1946" s="1">
        <v>737572.7</v>
      </c>
      <c r="K1946" s="1">
        <v>67</v>
      </c>
      <c r="L1946" s="1">
        <v>286.50848708487092</v>
      </c>
      <c r="M1946" s="1">
        <v>64.220744628762787</v>
      </c>
      <c r="N1946" s="7">
        <v>45947</v>
      </c>
      <c r="O1946" s="1">
        <v>30000</v>
      </c>
      <c r="P1946" s="7">
        <v>46115.9296846875</v>
      </c>
      <c r="Q1946" s="1" t="s">
        <v>330</v>
      </c>
      <c r="T1946" s="1" t="s">
        <v>331</v>
      </c>
      <c r="U1946" s="1" t="s">
        <v>332</v>
      </c>
      <c r="V1946" s="1">
        <v>39</v>
      </c>
      <c r="W1946" s="3">
        <v>3389.9</v>
      </c>
      <c r="X1946" s="3">
        <v>132206.1</v>
      </c>
      <c r="Y1946" s="1" t="str">
        <f>VLOOKUP(A1946,[1]Detalle!$D$2:$CR$484,93,FALSE)</f>
        <v>ADA_CH - Danone Arg. S.A. - Chascomus</v>
      </c>
    </row>
    <row r="1947" spans="1:25" ht="14.25" customHeight="1" x14ac:dyDescent="0.3">
      <c r="A1947" s="1" t="s">
        <v>8</v>
      </c>
      <c r="B1947" s="1" t="s">
        <v>436</v>
      </c>
      <c r="C1947" s="1" t="s">
        <v>428</v>
      </c>
      <c r="D1947" s="1" t="s">
        <v>329</v>
      </c>
      <c r="E1947" s="6">
        <v>45880</v>
      </c>
      <c r="F1947" s="1">
        <v>722255</v>
      </c>
      <c r="G1947" s="1">
        <v>752255</v>
      </c>
      <c r="H1947" s="1">
        <v>15317.7</v>
      </c>
      <c r="I1947" s="1">
        <v>14682.3</v>
      </c>
      <c r="J1947" s="1">
        <v>737572.7</v>
      </c>
      <c r="K1947" s="1">
        <v>67</v>
      </c>
      <c r="L1947" s="1">
        <v>286.50848708487092</v>
      </c>
      <c r="M1947" s="1">
        <v>64.220744628762787</v>
      </c>
      <c r="N1947" s="7">
        <v>45947</v>
      </c>
      <c r="O1947" s="1">
        <v>30000</v>
      </c>
      <c r="P1947" s="7">
        <v>46115.9296846875</v>
      </c>
      <c r="Q1947" s="1" t="s">
        <v>330</v>
      </c>
      <c r="T1947" s="1" t="s">
        <v>437</v>
      </c>
      <c r="U1947" s="1" t="s">
        <v>438</v>
      </c>
      <c r="V1947" s="1">
        <v>1</v>
      </c>
      <c r="W1947" s="3">
        <v>22064.98</v>
      </c>
      <c r="X1947" s="3">
        <v>22064.98</v>
      </c>
      <c r="Y1947" s="1" t="str">
        <f>VLOOKUP(A1947,[1]Detalle!$D$2:$CR$484,93,FALSE)</f>
        <v>ADA_CH - Danone Arg. S.A. - Chascomus</v>
      </c>
    </row>
    <row r="1948" spans="1:25" ht="14.25" customHeight="1" x14ac:dyDescent="0.3">
      <c r="A1948" s="1" t="s">
        <v>11</v>
      </c>
      <c r="B1948" s="1" t="s">
        <v>436</v>
      </c>
      <c r="C1948" s="1" t="s">
        <v>428</v>
      </c>
      <c r="D1948" s="1" t="s">
        <v>329</v>
      </c>
      <c r="E1948" s="6">
        <v>45853</v>
      </c>
      <c r="F1948" s="1">
        <v>769430</v>
      </c>
      <c r="G1948" s="1">
        <v>799430</v>
      </c>
      <c r="H1948" s="1">
        <v>24465.80000000001</v>
      </c>
      <c r="I1948" s="1">
        <v>5534.1999999999935</v>
      </c>
      <c r="J1948" s="1">
        <v>793895.8</v>
      </c>
      <c r="K1948" s="1">
        <v>94</v>
      </c>
      <c r="L1948" s="1">
        <v>323.09338235294098</v>
      </c>
      <c r="M1948" s="1">
        <v>21.262938469210049</v>
      </c>
      <c r="N1948" s="7">
        <v>45947</v>
      </c>
      <c r="O1948" s="1">
        <v>30000</v>
      </c>
      <c r="P1948" s="7">
        <v>46061.115350925917</v>
      </c>
      <c r="Q1948" s="1" t="s">
        <v>330</v>
      </c>
      <c r="T1948" s="1" t="s">
        <v>331</v>
      </c>
      <c r="U1948" s="1" t="s">
        <v>332</v>
      </c>
      <c r="V1948" s="1">
        <v>39</v>
      </c>
      <c r="W1948" s="3">
        <v>3389.9</v>
      </c>
      <c r="X1948" s="3">
        <v>132206.1</v>
      </c>
      <c r="Y1948" s="1" t="str">
        <f>VLOOKUP(A1948,[1]Detalle!$D$2:$CR$484,93,FALSE)</f>
        <v>ADA_CH - Danone Arg. S.A. - Chascomus</v>
      </c>
    </row>
    <row r="1949" spans="1:25" ht="14.25" customHeight="1" x14ac:dyDescent="0.3">
      <c r="A1949" s="1" t="s">
        <v>11</v>
      </c>
      <c r="B1949" s="1" t="s">
        <v>436</v>
      </c>
      <c r="C1949" s="1" t="s">
        <v>428</v>
      </c>
      <c r="D1949" s="1" t="s">
        <v>329</v>
      </c>
      <c r="E1949" s="6">
        <v>45853</v>
      </c>
      <c r="F1949" s="1">
        <v>769430</v>
      </c>
      <c r="G1949" s="1">
        <v>799430</v>
      </c>
      <c r="H1949" s="1">
        <v>24465.80000000001</v>
      </c>
      <c r="I1949" s="1">
        <v>5534.1999999999935</v>
      </c>
      <c r="J1949" s="1">
        <v>793895.8</v>
      </c>
      <c r="K1949" s="1">
        <v>94</v>
      </c>
      <c r="L1949" s="1">
        <v>323.09338235294098</v>
      </c>
      <c r="M1949" s="1">
        <v>21.262938469210049</v>
      </c>
      <c r="N1949" s="7">
        <v>45947</v>
      </c>
      <c r="O1949" s="1">
        <v>30000</v>
      </c>
      <c r="P1949" s="7">
        <v>46061.115350925917</v>
      </c>
      <c r="Q1949" s="1" t="s">
        <v>330</v>
      </c>
      <c r="T1949" s="1" t="s">
        <v>437</v>
      </c>
      <c r="U1949" s="1" t="s">
        <v>438</v>
      </c>
      <c r="V1949" s="1">
        <v>1</v>
      </c>
      <c r="W1949" s="3">
        <v>22064.98</v>
      </c>
      <c r="X1949" s="3">
        <v>22064.98</v>
      </c>
      <c r="Y1949" s="1" t="str">
        <f>VLOOKUP(A1949,[1]Detalle!$D$2:$CR$484,93,FALSE)</f>
        <v>ADA_CH - Danone Arg. S.A. - Chascomus</v>
      </c>
    </row>
    <row r="1950" spans="1:25" ht="14.25" customHeight="1" x14ac:dyDescent="0.3">
      <c r="A1950" s="1" t="s">
        <v>10</v>
      </c>
      <c r="B1950" s="1" t="s">
        <v>436</v>
      </c>
      <c r="C1950" s="1" t="s">
        <v>428</v>
      </c>
      <c r="D1950" s="1" t="s">
        <v>329</v>
      </c>
      <c r="E1950" s="6">
        <v>45866</v>
      </c>
      <c r="F1950" s="1">
        <v>685467</v>
      </c>
      <c r="G1950" s="1">
        <v>715467</v>
      </c>
      <c r="H1950" s="1">
        <v>14311.7</v>
      </c>
      <c r="I1950" s="1">
        <v>15688.3</v>
      </c>
      <c r="J1950" s="1">
        <v>699778.7</v>
      </c>
      <c r="K1950" s="1">
        <v>81</v>
      </c>
      <c r="L1950" s="1">
        <v>266.81618518518519</v>
      </c>
      <c r="M1950" s="1">
        <v>88.79114989833495</v>
      </c>
      <c r="N1950" s="7">
        <v>45947</v>
      </c>
      <c r="O1950" s="1">
        <v>30000</v>
      </c>
      <c r="P1950" s="7">
        <v>46035.791149895827</v>
      </c>
      <c r="Q1950" s="1" t="s">
        <v>330</v>
      </c>
      <c r="T1950" s="1" t="s">
        <v>331</v>
      </c>
      <c r="U1950" s="1" t="s">
        <v>332</v>
      </c>
      <c r="V1950" s="1">
        <v>39</v>
      </c>
      <c r="W1950" s="3">
        <v>3389.9</v>
      </c>
      <c r="X1950" s="3">
        <v>132206.1</v>
      </c>
      <c r="Y1950" s="1" t="str">
        <f>VLOOKUP(A1950,[1]Detalle!$D$2:$CR$484,93,FALSE)</f>
        <v>ADA_CH - Danone Arg. S.A. - Chascomus</v>
      </c>
    </row>
    <row r="1951" spans="1:25" ht="14.25" customHeight="1" x14ac:dyDescent="0.3">
      <c r="A1951" s="1" t="s">
        <v>10</v>
      </c>
      <c r="B1951" s="1" t="s">
        <v>436</v>
      </c>
      <c r="C1951" s="1" t="s">
        <v>428</v>
      </c>
      <c r="D1951" s="1" t="s">
        <v>329</v>
      </c>
      <c r="E1951" s="6">
        <v>45866</v>
      </c>
      <c r="F1951" s="1">
        <v>685467</v>
      </c>
      <c r="G1951" s="1">
        <v>715467</v>
      </c>
      <c r="H1951" s="1">
        <v>14311.7</v>
      </c>
      <c r="I1951" s="1">
        <v>15688.3</v>
      </c>
      <c r="J1951" s="1">
        <v>699778.7</v>
      </c>
      <c r="K1951" s="1">
        <v>81</v>
      </c>
      <c r="L1951" s="1">
        <v>266.81618518518519</v>
      </c>
      <c r="M1951" s="1">
        <v>88.79114989833495</v>
      </c>
      <c r="N1951" s="7">
        <v>45947</v>
      </c>
      <c r="O1951" s="1">
        <v>30000</v>
      </c>
      <c r="P1951" s="7">
        <v>46035.791149895827</v>
      </c>
      <c r="Q1951" s="1" t="s">
        <v>330</v>
      </c>
      <c r="T1951" s="1" t="s">
        <v>437</v>
      </c>
      <c r="U1951" s="1" t="s">
        <v>438</v>
      </c>
      <c r="V1951" s="1">
        <v>1</v>
      </c>
      <c r="W1951" s="3">
        <v>22064.98</v>
      </c>
      <c r="X1951" s="3">
        <v>22064.98</v>
      </c>
      <c r="Y1951" s="1" t="str">
        <f>VLOOKUP(A1951,[1]Detalle!$D$2:$CR$484,93,FALSE)</f>
        <v>ADA_CH - Danone Arg. S.A. - Chascomus</v>
      </c>
    </row>
    <row r="1952" spans="1:25" ht="14.25" customHeight="1" x14ac:dyDescent="0.3">
      <c r="A1952" s="1" t="s">
        <v>14</v>
      </c>
      <c r="B1952" s="1" t="s">
        <v>436</v>
      </c>
      <c r="C1952" s="1" t="s">
        <v>428</v>
      </c>
      <c r="D1952" s="1" t="s">
        <v>329</v>
      </c>
      <c r="E1952" s="6">
        <v>45877</v>
      </c>
      <c r="F1952" s="1">
        <v>770332</v>
      </c>
      <c r="G1952" s="1">
        <v>800332</v>
      </c>
      <c r="H1952" s="1">
        <v>13259.4</v>
      </c>
      <c r="I1952" s="1">
        <v>16740.599999999999</v>
      </c>
      <c r="J1952" s="1">
        <v>783591.4</v>
      </c>
      <c r="K1952" s="1">
        <v>70</v>
      </c>
      <c r="L1952" s="1">
        <v>276.97442748091589</v>
      </c>
      <c r="M1952" s="1">
        <v>88.378207158694963</v>
      </c>
      <c r="N1952" s="7">
        <v>45947</v>
      </c>
      <c r="O1952" s="1">
        <v>30000</v>
      </c>
      <c r="P1952" s="7">
        <v>46035.378207164351</v>
      </c>
      <c r="Q1952" s="1" t="s">
        <v>330</v>
      </c>
      <c r="T1952" s="1" t="s">
        <v>331</v>
      </c>
      <c r="U1952" s="1" t="s">
        <v>332</v>
      </c>
      <c r="V1952" s="1">
        <v>39</v>
      </c>
      <c r="W1952" s="3">
        <v>3389.9</v>
      </c>
      <c r="X1952" s="3">
        <v>132206.1</v>
      </c>
      <c r="Y1952" s="1" t="str">
        <f>VLOOKUP(A1952,[1]Detalle!$D$2:$CR$484,93,FALSE)</f>
        <v>ADA_CH - Danone Arg. S.A. - Chascomus</v>
      </c>
    </row>
    <row r="1953" spans="1:25" ht="14.25" customHeight="1" x14ac:dyDescent="0.3">
      <c r="A1953" s="1" t="s">
        <v>14</v>
      </c>
      <c r="B1953" s="1" t="s">
        <v>436</v>
      </c>
      <c r="C1953" s="1" t="s">
        <v>428</v>
      </c>
      <c r="D1953" s="1" t="s">
        <v>329</v>
      </c>
      <c r="E1953" s="6">
        <v>45877</v>
      </c>
      <c r="F1953" s="1">
        <v>770332</v>
      </c>
      <c r="G1953" s="1">
        <v>800332</v>
      </c>
      <c r="H1953" s="1">
        <v>13259.4</v>
      </c>
      <c r="I1953" s="1">
        <v>16740.599999999999</v>
      </c>
      <c r="J1953" s="1">
        <v>783591.4</v>
      </c>
      <c r="K1953" s="1">
        <v>70</v>
      </c>
      <c r="L1953" s="1">
        <v>276.97442748091589</v>
      </c>
      <c r="M1953" s="1">
        <v>88.378207158694963</v>
      </c>
      <c r="N1953" s="7">
        <v>45947</v>
      </c>
      <c r="O1953" s="1">
        <v>30000</v>
      </c>
      <c r="P1953" s="7">
        <v>46035.378207164351</v>
      </c>
      <c r="Q1953" s="1" t="s">
        <v>330</v>
      </c>
      <c r="T1953" s="1" t="s">
        <v>437</v>
      </c>
      <c r="U1953" s="1" t="s">
        <v>438</v>
      </c>
      <c r="V1953" s="1">
        <v>1</v>
      </c>
      <c r="W1953" s="3">
        <v>22064.98</v>
      </c>
      <c r="X1953" s="3">
        <v>22064.98</v>
      </c>
      <c r="Y1953" s="1" t="str">
        <f>VLOOKUP(A1953,[1]Detalle!$D$2:$CR$484,93,FALSE)</f>
        <v>ADA_CH - Danone Arg. S.A. - Chascomus</v>
      </c>
    </row>
    <row r="1954" spans="1:25" ht="14.25" customHeight="1" x14ac:dyDescent="0.3">
      <c r="A1954" s="1" t="s">
        <v>12</v>
      </c>
      <c r="B1954" s="1" t="s">
        <v>436</v>
      </c>
      <c r="C1954" s="1" t="s">
        <v>428</v>
      </c>
      <c r="D1954" s="1" t="s">
        <v>329</v>
      </c>
      <c r="E1954" s="6">
        <v>45930</v>
      </c>
      <c r="F1954" s="1">
        <v>845528</v>
      </c>
      <c r="G1954" s="1">
        <v>875528</v>
      </c>
      <c r="H1954" s="1">
        <v>0</v>
      </c>
      <c r="I1954" s="1">
        <v>30000</v>
      </c>
      <c r="J1954" s="1">
        <v>845528</v>
      </c>
      <c r="K1954" s="1">
        <v>17</v>
      </c>
      <c r="L1954" s="1">
        <v>323.35572519083951</v>
      </c>
      <c r="M1954" s="1">
        <v>300</v>
      </c>
      <c r="N1954" s="7">
        <v>45947</v>
      </c>
      <c r="O1954" s="1">
        <v>30000</v>
      </c>
      <c r="P1954" s="7">
        <v>46247</v>
      </c>
      <c r="Q1954" s="1" t="s">
        <v>330</v>
      </c>
      <c r="T1954" s="1" t="s">
        <v>331</v>
      </c>
      <c r="U1954" s="1" t="s">
        <v>332</v>
      </c>
      <c r="V1954" s="1">
        <v>39</v>
      </c>
      <c r="W1954" s="3">
        <v>3389.9</v>
      </c>
      <c r="X1954" s="3">
        <v>132206.1</v>
      </c>
      <c r="Y1954" s="1" t="str">
        <f>VLOOKUP(A1954,[1]Detalle!$D$2:$CR$484,93,FALSE)</f>
        <v>ADA_CH - Danone Arg. S.A. - Chascomus</v>
      </c>
    </row>
    <row r="1955" spans="1:25" ht="14.25" customHeight="1" x14ac:dyDescent="0.3">
      <c r="A1955" s="1" t="s">
        <v>12</v>
      </c>
      <c r="B1955" s="1" t="s">
        <v>436</v>
      </c>
      <c r="C1955" s="1" t="s">
        <v>428</v>
      </c>
      <c r="D1955" s="1" t="s">
        <v>329</v>
      </c>
      <c r="E1955" s="6">
        <v>45930</v>
      </c>
      <c r="F1955" s="1">
        <v>845528</v>
      </c>
      <c r="G1955" s="1">
        <v>875528</v>
      </c>
      <c r="H1955" s="1">
        <v>0</v>
      </c>
      <c r="I1955" s="1">
        <v>30000</v>
      </c>
      <c r="J1955" s="1">
        <v>845528</v>
      </c>
      <c r="K1955" s="1">
        <v>17</v>
      </c>
      <c r="L1955" s="1">
        <v>323.35572519083951</v>
      </c>
      <c r="M1955" s="1">
        <v>300</v>
      </c>
      <c r="N1955" s="7">
        <v>45947</v>
      </c>
      <c r="O1955" s="1">
        <v>30000</v>
      </c>
      <c r="P1955" s="7">
        <v>46247</v>
      </c>
      <c r="Q1955" s="1" t="s">
        <v>330</v>
      </c>
      <c r="T1955" s="1" t="s">
        <v>437</v>
      </c>
      <c r="U1955" s="1" t="s">
        <v>438</v>
      </c>
      <c r="V1955" s="1">
        <v>1</v>
      </c>
      <c r="W1955" s="3">
        <v>22064.98</v>
      </c>
      <c r="X1955" s="3">
        <v>22064.98</v>
      </c>
      <c r="Y1955" s="1" t="str">
        <f>VLOOKUP(A1955,[1]Detalle!$D$2:$CR$484,93,FALSE)</f>
        <v>ADA_CH - Danone Arg. S.A. - Chascomus</v>
      </c>
    </row>
    <row r="1956" spans="1:25" ht="14.25" customHeight="1" x14ac:dyDescent="0.3">
      <c r="A1956" s="1" t="s">
        <v>13</v>
      </c>
      <c r="B1956" s="1" t="s">
        <v>436</v>
      </c>
      <c r="C1956" s="1" t="s">
        <v>428</v>
      </c>
      <c r="D1956" s="1" t="s">
        <v>329</v>
      </c>
      <c r="E1956" s="6">
        <v>45831</v>
      </c>
      <c r="F1956" s="1">
        <v>751112</v>
      </c>
      <c r="G1956" s="1">
        <v>781112</v>
      </c>
      <c r="H1956" s="1">
        <v>30284.500000000011</v>
      </c>
      <c r="I1956" s="1">
        <v>-284.50000000000728</v>
      </c>
      <c r="J1956" s="1">
        <v>781396.5</v>
      </c>
      <c r="K1956" s="1">
        <v>116</v>
      </c>
      <c r="L1956" s="1">
        <v>303.34772058823529</v>
      </c>
      <c r="M1956" s="1">
        <v>-1.089732371345105</v>
      </c>
      <c r="N1956" s="7">
        <v>45947</v>
      </c>
      <c r="O1956" s="1">
        <v>30000</v>
      </c>
      <c r="P1956" s="7">
        <v>46045.896408194443</v>
      </c>
      <c r="Q1956" s="1" t="s">
        <v>330</v>
      </c>
      <c r="T1956" s="1" t="s">
        <v>331</v>
      </c>
      <c r="U1956" s="1" t="s">
        <v>332</v>
      </c>
      <c r="V1956" s="1">
        <v>39</v>
      </c>
      <c r="W1956" s="3">
        <v>3389.9</v>
      </c>
      <c r="X1956" s="3">
        <v>132206.1</v>
      </c>
      <c r="Y1956" s="1" t="str">
        <f>VLOOKUP(A1956,[1]Detalle!$D$2:$CR$484,93,FALSE)</f>
        <v>ADA_CH - Danone Arg. S.A. - Chascomus</v>
      </c>
    </row>
    <row r="1957" spans="1:25" ht="14.25" customHeight="1" x14ac:dyDescent="0.3">
      <c r="A1957" s="1" t="s">
        <v>13</v>
      </c>
      <c r="B1957" s="1" t="s">
        <v>436</v>
      </c>
      <c r="C1957" s="1" t="s">
        <v>428</v>
      </c>
      <c r="D1957" s="1" t="s">
        <v>329</v>
      </c>
      <c r="E1957" s="6">
        <v>45831</v>
      </c>
      <c r="F1957" s="1">
        <v>751112</v>
      </c>
      <c r="G1957" s="1">
        <v>781112</v>
      </c>
      <c r="H1957" s="1">
        <v>30284.500000000011</v>
      </c>
      <c r="I1957" s="1">
        <v>-284.50000000000728</v>
      </c>
      <c r="J1957" s="1">
        <v>781396.5</v>
      </c>
      <c r="K1957" s="1">
        <v>116</v>
      </c>
      <c r="L1957" s="1">
        <v>303.34772058823529</v>
      </c>
      <c r="M1957" s="1">
        <v>-1.089732371345105</v>
      </c>
      <c r="N1957" s="7">
        <v>45947</v>
      </c>
      <c r="O1957" s="1">
        <v>30000</v>
      </c>
      <c r="P1957" s="7">
        <v>46045.896408194443</v>
      </c>
      <c r="Q1957" s="1" t="s">
        <v>330</v>
      </c>
      <c r="T1957" s="1" t="s">
        <v>437</v>
      </c>
      <c r="U1957" s="1" t="s">
        <v>438</v>
      </c>
      <c r="V1957" s="1">
        <v>1</v>
      </c>
      <c r="W1957" s="3">
        <v>22064.98</v>
      </c>
      <c r="X1957" s="3">
        <v>22064.98</v>
      </c>
      <c r="Y1957" s="1" t="str">
        <f>VLOOKUP(A1957,[1]Detalle!$D$2:$CR$484,93,FALSE)</f>
        <v>ADA_CH - Danone Arg. S.A. - Chascomus</v>
      </c>
    </row>
    <row r="1958" spans="1:25" ht="14.25" customHeight="1" x14ac:dyDescent="0.3">
      <c r="A1958" s="1" t="s">
        <v>6</v>
      </c>
      <c r="B1958" s="1" t="s">
        <v>436</v>
      </c>
      <c r="C1958" s="1" t="s">
        <v>428</v>
      </c>
      <c r="D1958" s="1" t="s">
        <v>329</v>
      </c>
      <c r="E1958" s="6">
        <v>45845</v>
      </c>
      <c r="F1958" s="1">
        <v>726661</v>
      </c>
      <c r="G1958" s="1">
        <v>756661</v>
      </c>
      <c r="H1958" s="1">
        <v>24602.2</v>
      </c>
      <c r="I1958" s="1">
        <v>5397.7999999999956</v>
      </c>
      <c r="J1958" s="1">
        <v>751263.2</v>
      </c>
      <c r="K1958" s="1">
        <v>102</v>
      </c>
      <c r="L1958" s="1">
        <v>306.8559191176472</v>
      </c>
      <c r="M1958" s="1">
        <v>22.379120566453381</v>
      </c>
      <c r="N1958" s="7">
        <v>45947</v>
      </c>
      <c r="O1958" s="1">
        <v>30000</v>
      </c>
      <c r="P1958" s="7">
        <v>46067.14487358796</v>
      </c>
      <c r="Q1958" s="1" t="s">
        <v>330</v>
      </c>
      <c r="T1958" s="1" t="s">
        <v>331</v>
      </c>
      <c r="U1958" s="1" t="s">
        <v>332</v>
      </c>
      <c r="V1958" s="1">
        <v>39</v>
      </c>
      <c r="W1958" s="3">
        <v>3389.9</v>
      </c>
      <c r="X1958" s="3">
        <v>132206.1</v>
      </c>
      <c r="Y1958" s="1" t="str">
        <f>VLOOKUP(A1958,[1]Detalle!$D$2:$CR$484,93,FALSE)</f>
        <v>ADA_CH - Danone Arg. S.A. - Chascomus</v>
      </c>
    </row>
    <row r="1959" spans="1:25" ht="14.25" customHeight="1" x14ac:dyDescent="0.3">
      <c r="A1959" s="1" t="s">
        <v>6</v>
      </c>
      <c r="B1959" s="1" t="s">
        <v>436</v>
      </c>
      <c r="C1959" s="1" t="s">
        <v>428</v>
      </c>
      <c r="D1959" s="1" t="s">
        <v>329</v>
      </c>
      <c r="E1959" s="6">
        <v>45845</v>
      </c>
      <c r="F1959" s="1">
        <v>726661</v>
      </c>
      <c r="G1959" s="1">
        <v>756661</v>
      </c>
      <c r="H1959" s="1">
        <v>24602.2</v>
      </c>
      <c r="I1959" s="1">
        <v>5397.7999999999956</v>
      </c>
      <c r="J1959" s="1">
        <v>751263.2</v>
      </c>
      <c r="K1959" s="1">
        <v>102</v>
      </c>
      <c r="L1959" s="1">
        <v>306.8559191176472</v>
      </c>
      <c r="M1959" s="1">
        <v>22.379120566453381</v>
      </c>
      <c r="N1959" s="7">
        <v>45947</v>
      </c>
      <c r="O1959" s="1">
        <v>30000</v>
      </c>
      <c r="P1959" s="7">
        <v>46067.14487358796</v>
      </c>
      <c r="Q1959" s="1" t="s">
        <v>330</v>
      </c>
      <c r="T1959" s="1" t="s">
        <v>437</v>
      </c>
      <c r="U1959" s="1" t="s">
        <v>438</v>
      </c>
      <c r="V1959" s="1">
        <v>1</v>
      </c>
      <c r="W1959" s="3">
        <v>22064.98</v>
      </c>
      <c r="X1959" s="3">
        <v>22064.98</v>
      </c>
      <c r="Y1959" s="1" t="str">
        <f>VLOOKUP(A1959,[1]Detalle!$D$2:$CR$484,93,FALSE)</f>
        <v>ADA_CH - Danone Arg. S.A. - Chascomus</v>
      </c>
    </row>
    <row r="1960" spans="1:25" ht="14.25" customHeight="1" x14ac:dyDescent="0.3">
      <c r="A1960" s="1" t="s">
        <v>7</v>
      </c>
      <c r="B1960" s="1" t="s">
        <v>436</v>
      </c>
      <c r="C1960" s="1" t="s">
        <v>428</v>
      </c>
      <c r="D1960" s="1" t="s">
        <v>329</v>
      </c>
      <c r="E1960" s="6">
        <v>45835</v>
      </c>
      <c r="F1960" s="1">
        <v>743648</v>
      </c>
      <c r="G1960" s="1">
        <v>773648</v>
      </c>
      <c r="H1960" s="1">
        <v>30763.099999999991</v>
      </c>
      <c r="I1960" s="1">
        <v>-763.09999999998763</v>
      </c>
      <c r="J1960" s="1">
        <v>774411.1</v>
      </c>
      <c r="K1960" s="1">
        <v>112</v>
      </c>
      <c r="L1960" s="1">
        <v>282.61870229007633</v>
      </c>
      <c r="M1960" s="1">
        <v>-2.77823756383455</v>
      </c>
      <c r="N1960" s="7">
        <v>45947</v>
      </c>
      <c r="O1960" s="1">
        <v>30000</v>
      </c>
      <c r="P1960" s="7">
        <v>46053.150087581023</v>
      </c>
      <c r="Q1960" s="1" t="s">
        <v>330</v>
      </c>
      <c r="T1960" s="1" t="s">
        <v>331</v>
      </c>
      <c r="U1960" s="1" t="s">
        <v>332</v>
      </c>
      <c r="V1960" s="1">
        <v>39</v>
      </c>
      <c r="W1960" s="3">
        <v>3389.9</v>
      </c>
      <c r="X1960" s="3">
        <v>132206.1</v>
      </c>
      <c r="Y1960" s="1" t="str">
        <f>VLOOKUP(A1960,[1]Detalle!$D$2:$CR$484,93,FALSE)</f>
        <v>ADA_CH - Danone Arg. S.A. - Chascomus</v>
      </c>
    </row>
    <row r="1961" spans="1:25" ht="14.25" customHeight="1" x14ac:dyDescent="0.3">
      <c r="A1961" s="1" t="s">
        <v>7</v>
      </c>
      <c r="B1961" s="1" t="s">
        <v>436</v>
      </c>
      <c r="C1961" s="1" t="s">
        <v>428</v>
      </c>
      <c r="D1961" s="1" t="s">
        <v>329</v>
      </c>
      <c r="E1961" s="6">
        <v>45835</v>
      </c>
      <c r="F1961" s="1">
        <v>743648</v>
      </c>
      <c r="G1961" s="1">
        <v>773648</v>
      </c>
      <c r="H1961" s="1">
        <v>30763.099999999991</v>
      </c>
      <c r="I1961" s="1">
        <v>-763.09999999998763</v>
      </c>
      <c r="J1961" s="1">
        <v>774411.1</v>
      </c>
      <c r="K1961" s="1">
        <v>112</v>
      </c>
      <c r="L1961" s="1">
        <v>282.61870229007633</v>
      </c>
      <c r="M1961" s="1">
        <v>-2.77823756383455</v>
      </c>
      <c r="N1961" s="7">
        <v>45947</v>
      </c>
      <c r="O1961" s="1">
        <v>30000</v>
      </c>
      <c r="P1961" s="7">
        <v>46053.150087581023</v>
      </c>
      <c r="Q1961" s="1" t="s">
        <v>330</v>
      </c>
      <c r="T1961" s="1" t="s">
        <v>437</v>
      </c>
      <c r="U1961" s="1" t="s">
        <v>438</v>
      </c>
      <c r="V1961" s="1">
        <v>1</v>
      </c>
      <c r="W1961" s="3">
        <v>22064.98</v>
      </c>
      <c r="X1961" s="3">
        <v>22064.98</v>
      </c>
      <c r="Y1961" s="1" t="str">
        <f>VLOOKUP(A1961,[1]Detalle!$D$2:$CR$484,93,FALSE)</f>
        <v>ADA_CH - Danone Arg. S.A. - Chascomus</v>
      </c>
    </row>
    <row r="1962" spans="1:25" ht="14.25" customHeight="1" x14ac:dyDescent="0.3">
      <c r="A1962" s="1" t="s">
        <v>9</v>
      </c>
      <c r="B1962" s="1" t="s">
        <v>436</v>
      </c>
      <c r="C1962" s="1" t="s">
        <v>428</v>
      </c>
      <c r="D1962" s="1" t="s">
        <v>329</v>
      </c>
      <c r="E1962" s="6">
        <v>45789</v>
      </c>
      <c r="F1962" s="1">
        <v>828813</v>
      </c>
      <c r="G1962" s="1">
        <v>858813</v>
      </c>
      <c r="H1962" s="1">
        <v>52575.80000000001</v>
      </c>
      <c r="I1962" s="1">
        <v>-22575.80000000001</v>
      </c>
      <c r="J1962" s="1">
        <v>881388.8</v>
      </c>
      <c r="K1962" s="1">
        <v>158</v>
      </c>
      <c r="L1962" s="1">
        <v>352.51014814814829</v>
      </c>
      <c r="M1962" s="1">
        <v>-67.844453151449926</v>
      </c>
      <c r="N1962" s="7">
        <v>45947</v>
      </c>
      <c r="O1962" s="1">
        <v>30000</v>
      </c>
      <c r="P1962" s="7">
        <v>46032.103932916667</v>
      </c>
      <c r="Q1962" s="1" t="s">
        <v>330</v>
      </c>
      <c r="T1962" s="1" t="s">
        <v>331</v>
      </c>
      <c r="U1962" s="1" t="s">
        <v>332</v>
      </c>
      <c r="V1962" s="1">
        <v>39</v>
      </c>
      <c r="W1962" s="3">
        <v>3389.9</v>
      </c>
      <c r="X1962" s="3">
        <v>132206.1</v>
      </c>
      <c r="Y1962" s="1" t="str">
        <f>VLOOKUP(A1962,[1]Detalle!$D$2:$CR$484,93,FALSE)</f>
        <v>ADA_CH - Danone Arg. S.A. - Chascomus</v>
      </c>
    </row>
    <row r="1963" spans="1:25" ht="14.25" customHeight="1" x14ac:dyDescent="0.3">
      <c r="A1963" s="1" t="s">
        <v>9</v>
      </c>
      <c r="B1963" s="1" t="s">
        <v>436</v>
      </c>
      <c r="C1963" s="1" t="s">
        <v>428</v>
      </c>
      <c r="D1963" s="1" t="s">
        <v>329</v>
      </c>
      <c r="E1963" s="6">
        <v>45789</v>
      </c>
      <c r="F1963" s="1">
        <v>828813</v>
      </c>
      <c r="G1963" s="1">
        <v>858813</v>
      </c>
      <c r="H1963" s="1">
        <v>52575.80000000001</v>
      </c>
      <c r="I1963" s="1">
        <v>-22575.80000000001</v>
      </c>
      <c r="J1963" s="1">
        <v>881388.8</v>
      </c>
      <c r="K1963" s="1">
        <v>158</v>
      </c>
      <c r="L1963" s="1">
        <v>352.51014814814829</v>
      </c>
      <c r="M1963" s="1">
        <v>-67.844453151449926</v>
      </c>
      <c r="N1963" s="7">
        <v>45947</v>
      </c>
      <c r="O1963" s="1">
        <v>30000</v>
      </c>
      <c r="P1963" s="7">
        <v>46032.103932916667</v>
      </c>
      <c r="Q1963" s="1" t="s">
        <v>330</v>
      </c>
      <c r="T1963" s="1" t="s">
        <v>437</v>
      </c>
      <c r="U1963" s="1" t="s">
        <v>438</v>
      </c>
      <c r="V1963" s="1">
        <v>1</v>
      </c>
      <c r="W1963" s="3">
        <v>22064.98</v>
      </c>
      <c r="X1963" s="3">
        <v>22064.98</v>
      </c>
      <c r="Y1963" s="1" t="str">
        <f>VLOOKUP(A1963,[1]Detalle!$D$2:$CR$484,93,FALSE)</f>
        <v>ADA_CH - Danone Arg. S.A. - Chascomus</v>
      </c>
    </row>
    <row r="1964" spans="1:25" ht="14.25" customHeight="1" x14ac:dyDescent="0.3">
      <c r="A1964" s="1" t="s">
        <v>17</v>
      </c>
      <c r="B1964" s="1" t="s">
        <v>436</v>
      </c>
      <c r="C1964" s="1" t="s">
        <v>428</v>
      </c>
      <c r="D1964" s="1" t="s">
        <v>329</v>
      </c>
      <c r="E1964" s="6">
        <v>45776</v>
      </c>
      <c r="F1964" s="1">
        <v>664392</v>
      </c>
      <c r="G1964" s="1">
        <v>694392</v>
      </c>
      <c r="H1964" s="1">
        <v>62703.799999999981</v>
      </c>
      <c r="I1964" s="1">
        <v>-32703.799999999981</v>
      </c>
      <c r="J1964" s="1">
        <v>727095.79999999993</v>
      </c>
      <c r="K1964" s="1">
        <v>171</v>
      </c>
      <c r="L1964" s="1">
        <v>382.02855555555578</v>
      </c>
      <c r="M1964" s="1">
        <v>-89.186776558996399</v>
      </c>
      <c r="N1964" s="7">
        <v>45947</v>
      </c>
      <c r="O1964" s="1">
        <v>30000</v>
      </c>
      <c r="P1964" s="7">
        <v>46025.528161215283</v>
      </c>
      <c r="Q1964" s="1" t="s">
        <v>330</v>
      </c>
      <c r="T1964" s="1" t="s">
        <v>331</v>
      </c>
      <c r="U1964" s="1" t="s">
        <v>332</v>
      </c>
      <c r="V1964" s="1">
        <v>39</v>
      </c>
      <c r="W1964" s="3">
        <v>3389.9</v>
      </c>
      <c r="X1964" s="3">
        <v>132206.1</v>
      </c>
      <c r="Y1964" s="1" t="str">
        <f>VLOOKUP(A1964,[1]Detalle!$D$2:$CR$484,93,FALSE)</f>
        <v>Expreso - Servicios Troncales</v>
      </c>
    </row>
    <row r="1965" spans="1:25" ht="14.25" customHeight="1" x14ac:dyDescent="0.3">
      <c r="A1965" s="1" t="s">
        <v>17</v>
      </c>
      <c r="B1965" s="1" t="s">
        <v>436</v>
      </c>
      <c r="C1965" s="1" t="s">
        <v>428</v>
      </c>
      <c r="D1965" s="1" t="s">
        <v>329</v>
      </c>
      <c r="E1965" s="6">
        <v>45776</v>
      </c>
      <c r="F1965" s="1">
        <v>664392</v>
      </c>
      <c r="G1965" s="1">
        <v>694392</v>
      </c>
      <c r="H1965" s="1">
        <v>62703.799999999981</v>
      </c>
      <c r="I1965" s="1">
        <v>-32703.799999999981</v>
      </c>
      <c r="J1965" s="1">
        <v>727095.79999999993</v>
      </c>
      <c r="K1965" s="1">
        <v>171</v>
      </c>
      <c r="L1965" s="1">
        <v>382.02855555555578</v>
      </c>
      <c r="M1965" s="1">
        <v>-89.186776558996399</v>
      </c>
      <c r="N1965" s="7">
        <v>45947</v>
      </c>
      <c r="O1965" s="1">
        <v>30000</v>
      </c>
      <c r="P1965" s="7">
        <v>46025.528161215283</v>
      </c>
      <c r="Q1965" s="1" t="s">
        <v>330</v>
      </c>
      <c r="T1965" s="1" t="s">
        <v>437</v>
      </c>
      <c r="U1965" s="1" t="s">
        <v>438</v>
      </c>
      <c r="V1965" s="1">
        <v>1</v>
      </c>
      <c r="W1965" s="3">
        <v>22064.98</v>
      </c>
      <c r="X1965" s="3">
        <v>22064.98</v>
      </c>
      <c r="Y1965" s="1" t="str">
        <f>VLOOKUP(A1965,[1]Detalle!$D$2:$CR$484,93,FALSE)</f>
        <v>Expreso - Servicios Troncales</v>
      </c>
    </row>
    <row r="1966" spans="1:25" ht="14.25" customHeight="1" x14ac:dyDescent="0.3">
      <c r="A1966" s="1" t="s">
        <v>18</v>
      </c>
      <c r="B1966" s="1" t="s">
        <v>436</v>
      </c>
      <c r="C1966" s="1" t="s">
        <v>428</v>
      </c>
      <c r="D1966" s="1" t="s">
        <v>329</v>
      </c>
      <c r="E1966" s="6">
        <v>45852</v>
      </c>
      <c r="F1966" s="1">
        <v>654972</v>
      </c>
      <c r="G1966" s="1">
        <v>684972</v>
      </c>
      <c r="H1966" s="1">
        <v>26383.500000000011</v>
      </c>
      <c r="I1966" s="1">
        <v>3616.4999999999932</v>
      </c>
      <c r="J1966" s="1">
        <v>681355.5</v>
      </c>
      <c r="K1966" s="1">
        <v>95</v>
      </c>
      <c r="L1966" s="1">
        <v>381.04202205882348</v>
      </c>
      <c r="M1966" s="1">
        <v>13.02205924157141</v>
      </c>
      <c r="N1966" s="7">
        <v>45947</v>
      </c>
      <c r="O1966" s="1">
        <v>30000</v>
      </c>
      <c r="P1966" s="7">
        <v>46038.753533101852</v>
      </c>
      <c r="Q1966" s="1" t="s">
        <v>330</v>
      </c>
      <c r="T1966" s="1" t="s">
        <v>331</v>
      </c>
      <c r="U1966" s="1" t="s">
        <v>332</v>
      </c>
      <c r="V1966" s="1">
        <v>39</v>
      </c>
      <c r="W1966" s="3">
        <v>3389.9</v>
      </c>
      <c r="X1966" s="3">
        <v>132206.1</v>
      </c>
      <c r="Y1966" s="1" t="str">
        <f>VLOOKUP(A1966,[1]Detalle!$D$2:$CR$484,93,FALSE)</f>
        <v>Expreso - Servicios Troncales</v>
      </c>
    </row>
    <row r="1967" spans="1:25" ht="14.25" customHeight="1" x14ac:dyDescent="0.3">
      <c r="A1967" s="1" t="s">
        <v>18</v>
      </c>
      <c r="B1967" s="1" t="s">
        <v>436</v>
      </c>
      <c r="C1967" s="1" t="s">
        <v>428</v>
      </c>
      <c r="D1967" s="1" t="s">
        <v>329</v>
      </c>
      <c r="E1967" s="6">
        <v>45852</v>
      </c>
      <c r="F1967" s="1">
        <v>654972</v>
      </c>
      <c r="G1967" s="1">
        <v>684972</v>
      </c>
      <c r="H1967" s="1">
        <v>26383.500000000011</v>
      </c>
      <c r="I1967" s="1">
        <v>3616.4999999999932</v>
      </c>
      <c r="J1967" s="1">
        <v>681355.5</v>
      </c>
      <c r="K1967" s="1">
        <v>95</v>
      </c>
      <c r="L1967" s="1">
        <v>381.04202205882348</v>
      </c>
      <c r="M1967" s="1">
        <v>13.02205924157141</v>
      </c>
      <c r="N1967" s="7">
        <v>45947</v>
      </c>
      <c r="O1967" s="1">
        <v>30000</v>
      </c>
      <c r="P1967" s="7">
        <v>46038.753533101852</v>
      </c>
      <c r="Q1967" s="1" t="s">
        <v>330</v>
      </c>
      <c r="T1967" s="1" t="s">
        <v>437</v>
      </c>
      <c r="U1967" s="1" t="s">
        <v>438</v>
      </c>
      <c r="V1967" s="1">
        <v>1</v>
      </c>
      <c r="W1967" s="3">
        <v>22064.98</v>
      </c>
      <c r="X1967" s="3">
        <v>22064.98</v>
      </c>
      <c r="Y1967" s="1" t="str">
        <f>VLOOKUP(A1967,[1]Detalle!$D$2:$CR$484,93,FALSE)</f>
        <v>Expreso - Servicios Troncales</v>
      </c>
    </row>
    <row r="1968" spans="1:25" ht="14.25" customHeight="1" x14ac:dyDescent="0.3">
      <c r="A1968" s="1" t="s">
        <v>231</v>
      </c>
      <c r="B1968" s="1" t="s">
        <v>436</v>
      </c>
      <c r="C1968" s="1" t="s">
        <v>428</v>
      </c>
      <c r="D1968" s="1" t="s">
        <v>329</v>
      </c>
      <c r="E1968" s="6">
        <v>45889</v>
      </c>
      <c r="F1968" s="1">
        <v>1836513</v>
      </c>
      <c r="G1968" s="1">
        <v>1866513</v>
      </c>
      <c r="H1968" s="1">
        <v>14116.4</v>
      </c>
      <c r="I1968" s="1">
        <v>15883.6</v>
      </c>
      <c r="J1968" s="1">
        <v>1850629.4</v>
      </c>
      <c r="K1968" s="1">
        <v>58</v>
      </c>
      <c r="L1968" s="1">
        <v>332.5574264705881</v>
      </c>
      <c r="M1968" s="1">
        <v>65.260888045110633</v>
      </c>
      <c r="N1968" s="7">
        <v>45947</v>
      </c>
      <c r="O1968" s="1">
        <v>30000</v>
      </c>
      <c r="P1968" s="7">
        <v>46102.470871678241</v>
      </c>
      <c r="Q1968" s="1" t="s">
        <v>330</v>
      </c>
      <c r="T1968" s="1" t="s">
        <v>331</v>
      </c>
      <c r="U1968" s="1" t="s">
        <v>332</v>
      </c>
      <c r="V1968" s="1">
        <v>39</v>
      </c>
      <c r="W1968" s="3">
        <v>3389.9</v>
      </c>
      <c r="X1968" s="3">
        <v>132206.1</v>
      </c>
      <c r="Y1968" s="1" t="str">
        <f>VLOOKUP(A1968,[1]Detalle!$D$2:$CR$484,93,FALSE)</f>
        <v>Expreso - Servicios Troncales</v>
      </c>
    </row>
    <row r="1969" spans="1:25" ht="14.25" customHeight="1" x14ac:dyDescent="0.3">
      <c r="A1969" s="1" t="s">
        <v>231</v>
      </c>
      <c r="B1969" s="1" t="s">
        <v>436</v>
      </c>
      <c r="C1969" s="1" t="s">
        <v>428</v>
      </c>
      <c r="D1969" s="1" t="s">
        <v>329</v>
      </c>
      <c r="E1969" s="6">
        <v>45889</v>
      </c>
      <c r="F1969" s="1">
        <v>1836513</v>
      </c>
      <c r="G1969" s="1">
        <v>1866513</v>
      </c>
      <c r="H1969" s="1">
        <v>14116.4</v>
      </c>
      <c r="I1969" s="1">
        <v>15883.6</v>
      </c>
      <c r="J1969" s="1">
        <v>1850629.4</v>
      </c>
      <c r="K1969" s="1">
        <v>58</v>
      </c>
      <c r="L1969" s="1">
        <v>332.5574264705881</v>
      </c>
      <c r="M1969" s="1">
        <v>65.260888045110633</v>
      </c>
      <c r="N1969" s="7">
        <v>45947</v>
      </c>
      <c r="O1969" s="1">
        <v>30000</v>
      </c>
      <c r="P1969" s="7">
        <v>46102.470871678241</v>
      </c>
      <c r="Q1969" s="1" t="s">
        <v>330</v>
      </c>
      <c r="T1969" s="1" t="s">
        <v>437</v>
      </c>
      <c r="U1969" s="1" t="s">
        <v>438</v>
      </c>
      <c r="V1969" s="1">
        <v>1</v>
      </c>
      <c r="W1969" s="3">
        <v>22064.98</v>
      </c>
      <c r="X1969" s="3">
        <v>22064.98</v>
      </c>
      <c r="Y1969" s="1" t="str">
        <f>VLOOKUP(A1969,[1]Detalle!$D$2:$CR$484,93,FALSE)</f>
        <v>Expreso - Servicios Troncales</v>
      </c>
    </row>
    <row r="1970" spans="1:25" ht="14.25" customHeight="1" x14ac:dyDescent="0.3">
      <c r="A1970" s="1" t="s">
        <v>232</v>
      </c>
      <c r="B1970" s="1" t="s">
        <v>436</v>
      </c>
      <c r="C1970" s="1" t="s">
        <v>428</v>
      </c>
      <c r="D1970" s="1" t="s">
        <v>329</v>
      </c>
      <c r="E1970" s="6">
        <v>45919</v>
      </c>
      <c r="F1970" s="1">
        <v>1973725</v>
      </c>
      <c r="G1970" s="1">
        <v>2003725</v>
      </c>
      <c r="H1970" s="1">
        <v>3275.4</v>
      </c>
      <c r="I1970" s="1">
        <v>26724.6</v>
      </c>
      <c r="J1970" s="1">
        <v>1977000.4</v>
      </c>
      <c r="K1970" s="1">
        <v>28</v>
      </c>
      <c r="L1970" s="1">
        <v>2668.176102941175</v>
      </c>
      <c r="M1970" s="1">
        <v>228.45722659827811</v>
      </c>
      <c r="N1970" s="7">
        <v>45947</v>
      </c>
      <c r="O1970" s="1">
        <v>30000</v>
      </c>
      <c r="P1970" s="7">
        <v>46175.457226597217</v>
      </c>
      <c r="Q1970" s="1" t="s">
        <v>330</v>
      </c>
      <c r="T1970" s="1" t="s">
        <v>331</v>
      </c>
      <c r="U1970" s="1" t="s">
        <v>332</v>
      </c>
      <c r="V1970" s="1">
        <v>39</v>
      </c>
      <c r="W1970" s="3">
        <v>3389.9</v>
      </c>
      <c r="X1970" s="3">
        <v>132206.1</v>
      </c>
      <c r="Y1970" s="1" t="str">
        <f>VLOOKUP(A1970,[1]Detalle!$D$2:$CR$484,93,FALSE)</f>
        <v>Expreso - Servicios Troncales</v>
      </c>
    </row>
    <row r="1971" spans="1:25" ht="14.25" customHeight="1" x14ac:dyDescent="0.3">
      <c r="A1971" s="1" t="s">
        <v>232</v>
      </c>
      <c r="B1971" s="1" t="s">
        <v>436</v>
      </c>
      <c r="C1971" s="1" t="s">
        <v>428</v>
      </c>
      <c r="D1971" s="1" t="s">
        <v>329</v>
      </c>
      <c r="E1971" s="6">
        <v>45919</v>
      </c>
      <c r="F1971" s="1">
        <v>1973725</v>
      </c>
      <c r="G1971" s="1">
        <v>2003725</v>
      </c>
      <c r="H1971" s="1">
        <v>3275.4</v>
      </c>
      <c r="I1971" s="1">
        <v>26724.6</v>
      </c>
      <c r="J1971" s="1">
        <v>1977000.4</v>
      </c>
      <c r="K1971" s="1">
        <v>28</v>
      </c>
      <c r="L1971" s="1">
        <v>2668.176102941175</v>
      </c>
      <c r="M1971" s="1">
        <v>228.45722659827811</v>
      </c>
      <c r="N1971" s="7">
        <v>45947</v>
      </c>
      <c r="O1971" s="1">
        <v>30000</v>
      </c>
      <c r="P1971" s="7">
        <v>46175.457226597217</v>
      </c>
      <c r="Q1971" s="1" t="s">
        <v>330</v>
      </c>
      <c r="T1971" s="1" t="s">
        <v>437</v>
      </c>
      <c r="U1971" s="1" t="s">
        <v>438</v>
      </c>
      <c r="V1971" s="1">
        <v>1</v>
      </c>
      <c r="W1971" s="3">
        <v>22064.98</v>
      </c>
      <c r="X1971" s="3">
        <v>22064.98</v>
      </c>
      <c r="Y1971" s="1" t="str">
        <f>VLOOKUP(A1971,[1]Detalle!$D$2:$CR$484,93,FALSE)</f>
        <v>Expreso - Servicios Troncales</v>
      </c>
    </row>
    <row r="1972" spans="1:25" ht="14.25" customHeight="1" x14ac:dyDescent="0.3">
      <c r="A1972" s="1" t="s">
        <v>233</v>
      </c>
      <c r="B1972" s="1" t="s">
        <v>436</v>
      </c>
      <c r="C1972" s="1" t="s">
        <v>428</v>
      </c>
      <c r="D1972" s="1" t="s">
        <v>329</v>
      </c>
      <c r="E1972" s="6">
        <v>45852</v>
      </c>
      <c r="F1972" s="1">
        <v>1942302</v>
      </c>
      <c r="G1972" s="1">
        <v>1972302</v>
      </c>
      <c r="H1972" s="1">
        <v>28066.80000000001</v>
      </c>
      <c r="I1972" s="1">
        <v>1933.1999999999859</v>
      </c>
      <c r="J1972" s="1">
        <v>1970368.8</v>
      </c>
      <c r="K1972" s="1">
        <v>95</v>
      </c>
      <c r="L1972" s="1">
        <v>373</v>
      </c>
      <c r="M1972" s="1">
        <v>6.5434606011372356</v>
      </c>
      <c r="N1972" s="7">
        <v>45947</v>
      </c>
      <c r="O1972" s="1">
        <v>30000</v>
      </c>
      <c r="P1972" s="7">
        <v>46056.589041099527</v>
      </c>
      <c r="Q1972" s="1" t="s">
        <v>330</v>
      </c>
      <c r="R1972" s="6">
        <v>46137.017995520837</v>
      </c>
      <c r="T1972" s="1" t="s">
        <v>331</v>
      </c>
      <c r="U1972" s="1" t="s">
        <v>332</v>
      </c>
      <c r="V1972" s="1">
        <v>39</v>
      </c>
      <c r="W1972" s="3">
        <v>3389.9</v>
      </c>
      <c r="X1972" s="3">
        <v>132206.1</v>
      </c>
      <c r="Y1972" s="1" t="str">
        <f>VLOOKUP(A1972,[1]Detalle!$D$2:$CR$484,93,FALSE)</f>
        <v>Expreso - Servicios Troncales</v>
      </c>
    </row>
    <row r="1973" spans="1:25" ht="14.25" customHeight="1" x14ac:dyDescent="0.3">
      <c r="A1973" s="1" t="s">
        <v>233</v>
      </c>
      <c r="B1973" s="1" t="s">
        <v>436</v>
      </c>
      <c r="C1973" s="1" t="s">
        <v>428</v>
      </c>
      <c r="D1973" s="1" t="s">
        <v>329</v>
      </c>
      <c r="E1973" s="6">
        <v>45852</v>
      </c>
      <c r="F1973" s="1">
        <v>1942302</v>
      </c>
      <c r="G1973" s="1">
        <v>1972302</v>
      </c>
      <c r="H1973" s="1">
        <v>28066.80000000001</v>
      </c>
      <c r="I1973" s="1">
        <v>1933.1999999999859</v>
      </c>
      <c r="J1973" s="1">
        <v>1970368.8</v>
      </c>
      <c r="K1973" s="1">
        <v>95</v>
      </c>
      <c r="L1973" s="1">
        <v>373</v>
      </c>
      <c r="M1973" s="1">
        <v>6.5434606011372356</v>
      </c>
      <c r="N1973" s="7">
        <v>45947</v>
      </c>
      <c r="O1973" s="1">
        <v>30000</v>
      </c>
      <c r="P1973" s="7">
        <v>46056.589041099527</v>
      </c>
      <c r="Q1973" s="1" t="s">
        <v>330</v>
      </c>
      <c r="R1973" s="6">
        <v>46137.017995520837</v>
      </c>
      <c r="T1973" s="1" t="s">
        <v>437</v>
      </c>
      <c r="U1973" s="1" t="s">
        <v>438</v>
      </c>
      <c r="V1973" s="1">
        <v>1</v>
      </c>
      <c r="W1973" s="3">
        <v>22064.98</v>
      </c>
      <c r="X1973" s="3">
        <v>22064.98</v>
      </c>
      <c r="Y1973" s="1" t="str">
        <f>VLOOKUP(A1973,[1]Detalle!$D$2:$CR$484,93,FALSE)</f>
        <v>Expreso - Servicios Troncales</v>
      </c>
    </row>
    <row r="1974" spans="1:25" ht="14.25" customHeight="1" x14ac:dyDescent="0.3">
      <c r="A1974" s="1" t="s">
        <v>234</v>
      </c>
      <c r="B1974" s="1" t="s">
        <v>436</v>
      </c>
      <c r="C1974" s="1" t="s">
        <v>428</v>
      </c>
      <c r="D1974" s="1" t="s">
        <v>329</v>
      </c>
      <c r="E1974" s="6">
        <v>45845</v>
      </c>
      <c r="F1974" s="1">
        <v>1934926</v>
      </c>
      <c r="G1974" s="1">
        <v>1964926</v>
      </c>
      <c r="H1974" s="1">
        <v>35672.900000000009</v>
      </c>
      <c r="I1974" s="1">
        <v>-5672.9000000000087</v>
      </c>
      <c r="J1974" s="1">
        <v>1970598.9</v>
      </c>
      <c r="K1974" s="1">
        <v>102</v>
      </c>
      <c r="L1974" s="1">
        <v>120</v>
      </c>
      <c r="M1974" s="1">
        <v>-16.220598829924139</v>
      </c>
      <c r="N1974" s="7">
        <v>45947</v>
      </c>
      <c r="O1974" s="1">
        <v>30000</v>
      </c>
      <c r="P1974" s="7">
        <v>46056.589041099527</v>
      </c>
      <c r="Q1974" s="1" t="s">
        <v>330</v>
      </c>
      <c r="R1974" s="6">
        <v>46306.589041099527</v>
      </c>
      <c r="T1974" s="1" t="s">
        <v>331</v>
      </c>
      <c r="U1974" s="1" t="s">
        <v>332</v>
      </c>
      <c r="V1974" s="1">
        <v>39</v>
      </c>
      <c r="W1974" s="3">
        <v>3389.9</v>
      </c>
      <c r="X1974" s="3">
        <v>132206.1</v>
      </c>
      <c r="Y1974" s="1" t="str">
        <f>VLOOKUP(A1974,[1]Detalle!$D$2:$CR$484,93,FALSE)</f>
        <v>Expreso - Servicios Troncales</v>
      </c>
    </row>
    <row r="1975" spans="1:25" ht="14.25" customHeight="1" x14ac:dyDescent="0.3">
      <c r="A1975" s="1" t="s">
        <v>234</v>
      </c>
      <c r="B1975" s="1" t="s">
        <v>436</v>
      </c>
      <c r="C1975" s="1" t="s">
        <v>428</v>
      </c>
      <c r="D1975" s="1" t="s">
        <v>329</v>
      </c>
      <c r="E1975" s="6">
        <v>45845</v>
      </c>
      <c r="F1975" s="1">
        <v>1934926</v>
      </c>
      <c r="G1975" s="1">
        <v>1964926</v>
      </c>
      <c r="H1975" s="1">
        <v>35672.900000000009</v>
      </c>
      <c r="I1975" s="1">
        <v>-5672.9000000000087</v>
      </c>
      <c r="J1975" s="1">
        <v>1970598.9</v>
      </c>
      <c r="K1975" s="1">
        <v>102</v>
      </c>
      <c r="L1975" s="1">
        <v>120</v>
      </c>
      <c r="M1975" s="1">
        <v>-16.220598829924139</v>
      </c>
      <c r="N1975" s="7">
        <v>45947</v>
      </c>
      <c r="O1975" s="1">
        <v>30000</v>
      </c>
      <c r="P1975" s="7">
        <v>46056.589041099527</v>
      </c>
      <c r="Q1975" s="1" t="s">
        <v>330</v>
      </c>
      <c r="R1975" s="6">
        <v>46306.589041099527</v>
      </c>
      <c r="T1975" s="1" t="s">
        <v>437</v>
      </c>
      <c r="U1975" s="1" t="s">
        <v>438</v>
      </c>
      <c r="V1975" s="1">
        <v>1</v>
      </c>
      <c r="W1975" s="3">
        <v>22064.98</v>
      </c>
      <c r="X1975" s="3">
        <v>22064.98</v>
      </c>
      <c r="Y1975" s="1" t="str">
        <f>VLOOKUP(A1975,[1]Detalle!$D$2:$CR$484,93,FALSE)</f>
        <v>Expreso - Servicios Troncales</v>
      </c>
    </row>
    <row r="1976" spans="1:25" ht="14.25" customHeight="1" x14ac:dyDescent="0.3">
      <c r="A1976" s="1" t="s">
        <v>97</v>
      </c>
      <c r="B1976" s="1" t="s">
        <v>436</v>
      </c>
      <c r="C1976" s="1" t="s">
        <v>428</v>
      </c>
      <c r="D1976" s="1" t="s">
        <v>329</v>
      </c>
      <c r="E1976" s="6">
        <v>45918</v>
      </c>
      <c r="F1976" s="1">
        <v>227028</v>
      </c>
      <c r="G1976" s="1">
        <v>257028</v>
      </c>
      <c r="H1976" s="1">
        <v>3811.8</v>
      </c>
      <c r="I1976" s="1">
        <v>26188.2</v>
      </c>
      <c r="J1976" s="1">
        <v>230839.8</v>
      </c>
      <c r="K1976" s="1">
        <v>29</v>
      </c>
      <c r="L1976" s="1">
        <v>310.79992700729929</v>
      </c>
      <c r="M1976" s="1">
        <v>199.2386274201165</v>
      </c>
      <c r="N1976" s="7">
        <v>45947</v>
      </c>
      <c r="O1976" s="1">
        <v>30000</v>
      </c>
      <c r="P1976" s="7">
        <v>46146.238627418978</v>
      </c>
      <c r="Q1976" s="1" t="s">
        <v>330</v>
      </c>
      <c r="T1976" s="1" t="s">
        <v>331</v>
      </c>
      <c r="U1976" s="1" t="s">
        <v>332</v>
      </c>
      <c r="V1976" s="1">
        <v>39</v>
      </c>
      <c r="W1976" s="3">
        <v>3389.9</v>
      </c>
      <c r="X1976" s="3">
        <v>132206.1</v>
      </c>
      <c r="Y1976" s="1" t="str">
        <f>VLOOKUP(A1976,[1]Detalle!$D$2:$CR$484,93,FALSE)</f>
        <v>Expreso - Servicios Troncales</v>
      </c>
    </row>
    <row r="1977" spans="1:25" ht="14.25" customHeight="1" x14ac:dyDescent="0.3">
      <c r="A1977" s="1" t="s">
        <v>97</v>
      </c>
      <c r="B1977" s="1" t="s">
        <v>436</v>
      </c>
      <c r="C1977" s="1" t="s">
        <v>428</v>
      </c>
      <c r="D1977" s="1" t="s">
        <v>329</v>
      </c>
      <c r="E1977" s="6">
        <v>45918</v>
      </c>
      <c r="F1977" s="1">
        <v>227028</v>
      </c>
      <c r="G1977" s="1">
        <v>257028</v>
      </c>
      <c r="H1977" s="1">
        <v>3811.8</v>
      </c>
      <c r="I1977" s="1">
        <v>26188.2</v>
      </c>
      <c r="J1977" s="1">
        <v>230839.8</v>
      </c>
      <c r="K1977" s="1">
        <v>29</v>
      </c>
      <c r="L1977" s="1">
        <v>310.79992700729929</v>
      </c>
      <c r="M1977" s="1">
        <v>199.2386274201165</v>
      </c>
      <c r="N1977" s="7">
        <v>45947</v>
      </c>
      <c r="O1977" s="1">
        <v>30000</v>
      </c>
      <c r="P1977" s="7">
        <v>46146.238627418978</v>
      </c>
      <c r="Q1977" s="1" t="s">
        <v>330</v>
      </c>
      <c r="T1977" s="1" t="s">
        <v>437</v>
      </c>
      <c r="U1977" s="1" t="s">
        <v>438</v>
      </c>
      <c r="V1977" s="1">
        <v>1</v>
      </c>
      <c r="W1977" s="3">
        <v>22064.98</v>
      </c>
      <c r="X1977" s="3">
        <v>22064.98</v>
      </c>
      <c r="Y1977" s="1" t="str">
        <f>VLOOKUP(A1977,[1]Detalle!$D$2:$CR$484,93,FALSE)</f>
        <v>Expreso - Servicios Troncales</v>
      </c>
    </row>
    <row r="1978" spans="1:25" ht="14.25" customHeight="1" x14ac:dyDescent="0.3">
      <c r="A1978" s="1" t="s">
        <v>279</v>
      </c>
      <c r="B1978" s="1" t="s">
        <v>443</v>
      </c>
      <c r="C1978" s="1" t="s">
        <v>428</v>
      </c>
      <c r="D1978" s="1" t="s">
        <v>329</v>
      </c>
      <c r="E1978" s="6">
        <v>45688</v>
      </c>
      <c r="F1978" s="1">
        <v>35081.599999999999</v>
      </c>
      <c r="G1978" s="1">
        <v>65081.599999999999</v>
      </c>
      <c r="H1978" s="1">
        <v>51895.159999999982</v>
      </c>
      <c r="I1978" s="1">
        <v>-21895.159999999982</v>
      </c>
      <c r="J1978" s="1">
        <v>86976.75999999998</v>
      </c>
      <c r="K1978" s="1">
        <v>259</v>
      </c>
      <c r="L1978" s="1">
        <v>197.99579335793359</v>
      </c>
      <c r="M1978" s="1">
        <v>-109.2750545522935</v>
      </c>
      <c r="N1978" s="7">
        <v>45947</v>
      </c>
      <c r="O1978" s="1">
        <v>30000</v>
      </c>
      <c r="P1978" s="7">
        <v>46098.518370625003</v>
      </c>
      <c r="Q1978" s="1" t="s">
        <v>330</v>
      </c>
      <c r="T1978" s="1" t="s">
        <v>331</v>
      </c>
      <c r="U1978" s="1" t="s">
        <v>332</v>
      </c>
      <c r="V1978" s="1">
        <v>29</v>
      </c>
      <c r="W1978" s="3">
        <v>3389.9</v>
      </c>
      <c r="X1978" s="3">
        <v>98307.1</v>
      </c>
      <c r="Y1978" s="1" t="str">
        <f>VLOOKUP(A1978,[1]Detalle!$D$2:$CR$484,93,FALSE)</f>
        <v>Expreso - Servicios Troncales</v>
      </c>
    </row>
    <row r="1979" spans="1:25" ht="14.25" customHeight="1" x14ac:dyDescent="0.3">
      <c r="A1979" s="1" t="s">
        <v>279</v>
      </c>
      <c r="B1979" s="1" t="s">
        <v>443</v>
      </c>
      <c r="C1979" s="1" t="s">
        <v>428</v>
      </c>
      <c r="D1979" s="1" t="s">
        <v>329</v>
      </c>
      <c r="E1979" s="6">
        <v>45688</v>
      </c>
      <c r="F1979" s="1">
        <v>35081.599999999999</v>
      </c>
      <c r="G1979" s="1">
        <v>65081.599999999999</v>
      </c>
      <c r="H1979" s="1">
        <v>51895.159999999982</v>
      </c>
      <c r="I1979" s="1">
        <v>-21895.159999999982</v>
      </c>
      <c r="J1979" s="1">
        <v>86976.75999999998</v>
      </c>
      <c r="K1979" s="1">
        <v>259</v>
      </c>
      <c r="L1979" s="1">
        <v>197.99579335793359</v>
      </c>
      <c r="M1979" s="1">
        <v>-109.2750545522935</v>
      </c>
      <c r="N1979" s="7">
        <v>45947</v>
      </c>
      <c r="O1979" s="1">
        <v>30000</v>
      </c>
      <c r="P1979" s="7">
        <v>46098.518370625003</v>
      </c>
      <c r="Q1979" s="1" t="s">
        <v>330</v>
      </c>
      <c r="T1979" s="1" t="s">
        <v>444</v>
      </c>
      <c r="U1979" s="1" t="s">
        <v>445</v>
      </c>
      <c r="V1979" s="1">
        <v>1</v>
      </c>
      <c r="W1979" s="3">
        <v>42100</v>
      </c>
      <c r="X1979" s="3">
        <v>42100</v>
      </c>
      <c r="Y1979" s="1" t="str">
        <f>VLOOKUP(A1979,[1]Detalle!$D$2:$CR$484,93,FALSE)</f>
        <v>Expreso - Servicios Troncales</v>
      </c>
    </row>
    <row r="1980" spans="1:25" ht="14.25" customHeight="1" x14ac:dyDescent="0.3">
      <c r="A1980" s="1" t="s">
        <v>228</v>
      </c>
      <c r="B1980" s="1" t="s">
        <v>443</v>
      </c>
      <c r="C1980" s="1" t="s">
        <v>428</v>
      </c>
      <c r="D1980" s="1" t="s">
        <v>329</v>
      </c>
      <c r="E1980" s="6">
        <v>45678</v>
      </c>
      <c r="F1980" s="1">
        <v>799717</v>
      </c>
      <c r="G1980" s="1">
        <v>829717</v>
      </c>
      <c r="H1980" s="1">
        <v>57283.27</v>
      </c>
      <c r="I1980" s="1">
        <v>-27283.27</v>
      </c>
      <c r="J1980" s="1">
        <v>857000.27</v>
      </c>
      <c r="K1980" s="1">
        <v>269</v>
      </c>
      <c r="L1980" s="1">
        <v>232.68261029411761</v>
      </c>
      <c r="M1980" s="1">
        <v>-128.12117098063709</v>
      </c>
      <c r="N1980" s="7">
        <v>45947</v>
      </c>
      <c r="O1980" s="1">
        <v>30000</v>
      </c>
      <c r="P1980" s="7">
        <v>46075.930993009257</v>
      </c>
      <c r="Q1980" s="1" t="s">
        <v>330</v>
      </c>
      <c r="T1980" s="1" t="s">
        <v>331</v>
      </c>
      <c r="U1980" s="1" t="s">
        <v>332</v>
      </c>
      <c r="V1980" s="1">
        <v>29</v>
      </c>
      <c r="W1980" s="3">
        <v>3389.9</v>
      </c>
      <c r="X1980" s="3">
        <v>98307.1</v>
      </c>
      <c r="Y1980" s="1" t="str">
        <f>VLOOKUP(A1980,[1]Detalle!$D$2:$CR$484,93,FALSE)</f>
        <v>Expreso - Servicios Troncales</v>
      </c>
    </row>
    <row r="1981" spans="1:25" ht="14.25" customHeight="1" x14ac:dyDescent="0.3">
      <c r="A1981" s="1" t="s">
        <v>228</v>
      </c>
      <c r="B1981" s="1" t="s">
        <v>443</v>
      </c>
      <c r="C1981" s="1" t="s">
        <v>428</v>
      </c>
      <c r="D1981" s="1" t="s">
        <v>329</v>
      </c>
      <c r="E1981" s="6">
        <v>45678</v>
      </c>
      <c r="F1981" s="1">
        <v>799717</v>
      </c>
      <c r="G1981" s="1">
        <v>829717</v>
      </c>
      <c r="H1981" s="1">
        <v>57283.27</v>
      </c>
      <c r="I1981" s="1">
        <v>-27283.27</v>
      </c>
      <c r="J1981" s="1">
        <v>857000.27</v>
      </c>
      <c r="K1981" s="1">
        <v>269</v>
      </c>
      <c r="L1981" s="1">
        <v>232.68261029411761</v>
      </c>
      <c r="M1981" s="1">
        <v>-128.12117098063709</v>
      </c>
      <c r="N1981" s="7">
        <v>45947</v>
      </c>
      <c r="O1981" s="1">
        <v>30000</v>
      </c>
      <c r="P1981" s="7">
        <v>46075.930993009257</v>
      </c>
      <c r="Q1981" s="1" t="s">
        <v>330</v>
      </c>
      <c r="T1981" s="1" t="s">
        <v>444</v>
      </c>
      <c r="U1981" s="1" t="s">
        <v>445</v>
      </c>
      <c r="V1981" s="1">
        <v>1</v>
      </c>
      <c r="W1981" s="3">
        <v>42100</v>
      </c>
      <c r="X1981" s="3">
        <v>42100</v>
      </c>
      <c r="Y1981" s="1" t="str">
        <f>VLOOKUP(A1981,[1]Detalle!$D$2:$CR$484,93,FALSE)</f>
        <v>Expreso - Servicios Troncales</v>
      </c>
    </row>
    <row r="1982" spans="1:25" ht="14.25" customHeight="1" x14ac:dyDescent="0.3">
      <c r="A1982" s="1" t="s">
        <v>510</v>
      </c>
      <c r="B1982" s="1" t="s">
        <v>448</v>
      </c>
      <c r="C1982" s="1" t="s">
        <v>428</v>
      </c>
      <c r="D1982" s="1" t="s">
        <v>329</v>
      </c>
      <c r="E1982" s="6">
        <v>45901</v>
      </c>
      <c r="F1982" s="1">
        <v>1811240</v>
      </c>
      <c r="G1982" s="1">
        <v>1841240</v>
      </c>
      <c r="H1982" s="1">
        <v>9997.7999999999975</v>
      </c>
      <c r="I1982" s="1">
        <v>20002.2</v>
      </c>
      <c r="J1982" s="1">
        <v>1821237.8</v>
      </c>
      <c r="K1982" s="1">
        <v>46</v>
      </c>
      <c r="L1982" s="1">
        <v>2480.570318518518</v>
      </c>
      <c r="M1982" s="1">
        <v>92.030366680669786</v>
      </c>
      <c r="N1982" s="7">
        <v>45947</v>
      </c>
      <c r="O1982" s="1">
        <v>30000</v>
      </c>
      <c r="P1982" s="7">
        <v>46039.030366678242</v>
      </c>
      <c r="Q1982" s="1" t="s">
        <v>330</v>
      </c>
      <c r="T1982" s="1" t="s">
        <v>331</v>
      </c>
      <c r="U1982" s="1" t="s">
        <v>332</v>
      </c>
      <c r="V1982" s="1">
        <v>39</v>
      </c>
      <c r="W1982" s="3">
        <v>3389.9</v>
      </c>
      <c r="X1982" s="3">
        <v>132206.1</v>
      </c>
      <c r="Y1982" s="1" t="str">
        <f>VLOOKUP(A1982,[1]Detalle!$D$2:$CR$484,93,FALSE)</f>
        <v>Expreso - Servicios Troncales</v>
      </c>
    </row>
    <row r="1983" spans="1:25" ht="14.25" customHeight="1" x14ac:dyDescent="0.3">
      <c r="A1983" s="1" t="s">
        <v>510</v>
      </c>
      <c r="B1983" s="1" t="s">
        <v>448</v>
      </c>
      <c r="C1983" s="1" t="s">
        <v>428</v>
      </c>
      <c r="D1983" s="1" t="s">
        <v>329</v>
      </c>
      <c r="E1983" s="6">
        <v>45901</v>
      </c>
      <c r="F1983" s="1">
        <v>1811240</v>
      </c>
      <c r="G1983" s="1">
        <v>1841240</v>
      </c>
      <c r="H1983" s="1">
        <v>9997.7999999999975</v>
      </c>
      <c r="I1983" s="1">
        <v>20002.2</v>
      </c>
      <c r="J1983" s="1">
        <v>1821237.8</v>
      </c>
      <c r="K1983" s="1">
        <v>46</v>
      </c>
      <c r="L1983" s="1">
        <v>2480.570318518518</v>
      </c>
      <c r="M1983" s="1">
        <v>92.030366680669786</v>
      </c>
      <c r="N1983" s="7">
        <v>45947</v>
      </c>
      <c r="O1983" s="1">
        <v>30000</v>
      </c>
      <c r="P1983" s="7">
        <v>46039.030366678242</v>
      </c>
      <c r="Q1983" s="1" t="s">
        <v>330</v>
      </c>
      <c r="T1983" s="1" t="s">
        <v>449</v>
      </c>
      <c r="U1983" s="1" t="s">
        <v>450</v>
      </c>
      <c r="V1983" s="1">
        <v>1</v>
      </c>
      <c r="W1983" s="3">
        <v>17623.68</v>
      </c>
      <c r="X1983" s="3">
        <v>17623.68</v>
      </c>
      <c r="Y1983" s="1" t="str">
        <f>VLOOKUP(A1983,[1]Detalle!$D$2:$CR$484,93,FALSE)</f>
        <v>Expreso - Servicios Troncales</v>
      </c>
    </row>
    <row r="1984" spans="1:25" ht="14.25" customHeight="1" x14ac:dyDescent="0.3">
      <c r="A1984" s="1" t="s">
        <v>511</v>
      </c>
      <c r="B1984" s="1" t="s">
        <v>448</v>
      </c>
      <c r="C1984" s="1" t="s">
        <v>428</v>
      </c>
      <c r="D1984" s="1" t="s">
        <v>329</v>
      </c>
      <c r="E1984" s="6">
        <v>45889</v>
      </c>
      <c r="F1984" s="1">
        <v>1658262</v>
      </c>
      <c r="G1984" s="1">
        <v>1688262</v>
      </c>
      <c r="H1984" s="1">
        <v>12851.9</v>
      </c>
      <c r="I1984" s="1">
        <v>17148.099999999999</v>
      </c>
      <c r="J1984" s="1">
        <v>1671113.9</v>
      </c>
      <c r="K1984" s="1">
        <v>58</v>
      </c>
      <c r="L1984" s="1">
        <v>411.92981617647058</v>
      </c>
      <c r="M1984" s="1">
        <v>77.38854177203369</v>
      </c>
      <c r="N1984" s="7">
        <v>45947</v>
      </c>
      <c r="O1984" s="1">
        <v>30000</v>
      </c>
      <c r="P1984" s="7">
        <v>46024.38854177083</v>
      </c>
      <c r="Q1984" s="1" t="s">
        <v>330</v>
      </c>
      <c r="T1984" s="1" t="s">
        <v>331</v>
      </c>
      <c r="U1984" s="1" t="s">
        <v>332</v>
      </c>
      <c r="V1984" s="1">
        <v>39</v>
      </c>
      <c r="W1984" s="3">
        <v>3389.9</v>
      </c>
      <c r="X1984" s="3">
        <v>132206.1</v>
      </c>
      <c r="Y1984" s="1" t="str">
        <f>VLOOKUP(A1984,[1]Detalle!$D$2:$CR$484,93,FALSE)</f>
        <v>Expreso - Servicios Troncales</v>
      </c>
    </row>
    <row r="1985" spans="1:25" ht="14.25" customHeight="1" x14ac:dyDescent="0.3">
      <c r="A1985" s="1" t="s">
        <v>511</v>
      </c>
      <c r="B1985" s="1" t="s">
        <v>448</v>
      </c>
      <c r="C1985" s="1" t="s">
        <v>428</v>
      </c>
      <c r="D1985" s="1" t="s">
        <v>329</v>
      </c>
      <c r="E1985" s="6">
        <v>45889</v>
      </c>
      <c r="F1985" s="1">
        <v>1658262</v>
      </c>
      <c r="G1985" s="1">
        <v>1688262</v>
      </c>
      <c r="H1985" s="1">
        <v>12851.9</v>
      </c>
      <c r="I1985" s="1">
        <v>17148.099999999999</v>
      </c>
      <c r="J1985" s="1">
        <v>1671113.9</v>
      </c>
      <c r="K1985" s="1">
        <v>58</v>
      </c>
      <c r="L1985" s="1">
        <v>411.92981617647058</v>
      </c>
      <c r="M1985" s="1">
        <v>77.38854177203369</v>
      </c>
      <c r="N1985" s="7">
        <v>45947</v>
      </c>
      <c r="O1985" s="1">
        <v>30000</v>
      </c>
      <c r="P1985" s="7">
        <v>46024.38854177083</v>
      </c>
      <c r="Q1985" s="1" t="s">
        <v>330</v>
      </c>
      <c r="T1985" s="1" t="s">
        <v>449</v>
      </c>
      <c r="U1985" s="1" t="s">
        <v>450</v>
      </c>
      <c r="V1985" s="1">
        <v>1</v>
      </c>
      <c r="W1985" s="3">
        <v>17623.68</v>
      </c>
      <c r="X1985" s="3">
        <v>17623.68</v>
      </c>
      <c r="Y1985" s="1" t="str">
        <f>VLOOKUP(A1985,[1]Detalle!$D$2:$CR$484,93,FALSE)</f>
        <v>Expreso - Servicios Troncales</v>
      </c>
    </row>
    <row r="1986" spans="1:25" ht="14.25" customHeight="1" x14ac:dyDescent="0.3">
      <c r="A1986" s="1" t="s">
        <v>512</v>
      </c>
      <c r="B1986" s="1" t="s">
        <v>448</v>
      </c>
      <c r="C1986" s="1" t="s">
        <v>428</v>
      </c>
      <c r="D1986" s="1" t="s">
        <v>329</v>
      </c>
      <c r="E1986" s="6">
        <v>45880</v>
      </c>
      <c r="F1986" s="1">
        <v>1751581</v>
      </c>
      <c r="G1986" s="1">
        <v>1781581</v>
      </c>
      <c r="H1986" s="1">
        <v>12241.1</v>
      </c>
      <c r="I1986" s="1">
        <v>17758.900000000001</v>
      </c>
      <c r="J1986" s="1">
        <v>1763822.1</v>
      </c>
      <c r="K1986" s="1">
        <v>67</v>
      </c>
      <c r="L1986" s="1">
        <v>4494.815091575093</v>
      </c>
      <c r="M1986" s="1">
        <v>97.200929655014633</v>
      </c>
      <c r="N1986" s="7">
        <v>45947</v>
      </c>
      <c r="O1986" s="1">
        <v>30000</v>
      </c>
      <c r="P1986" s="7">
        <v>46044.200929652783</v>
      </c>
      <c r="Q1986" s="1" t="s">
        <v>330</v>
      </c>
      <c r="T1986" s="1" t="s">
        <v>331</v>
      </c>
      <c r="U1986" s="1" t="s">
        <v>332</v>
      </c>
      <c r="V1986" s="1">
        <v>39</v>
      </c>
      <c r="W1986" s="3">
        <v>3389.9</v>
      </c>
      <c r="X1986" s="3">
        <v>132206.1</v>
      </c>
      <c r="Y1986" s="1" t="str">
        <f>VLOOKUP(A1986,[1]Detalle!$D$2:$CR$484,93,FALSE)</f>
        <v>Expreso - Servicios Troncales</v>
      </c>
    </row>
    <row r="1987" spans="1:25" ht="14.25" customHeight="1" x14ac:dyDescent="0.3">
      <c r="A1987" s="1" t="s">
        <v>512</v>
      </c>
      <c r="B1987" s="1" t="s">
        <v>448</v>
      </c>
      <c r="C1987" s="1" t="s">
        <v>428</v>
      </c>
      <c r="D1987" s="1" t="s">
        <v>329</v>
      </c>
      <c r="E1987" s="6">
        <v>45880</v>
      </c>
      <c r="F1987" s="1">
        <v>1751581</v>
      </c>
      <c r="G1987" s="1">
        <v>1781581</v>
      </c>
      <c r="H1987" s="1">
        <v>12241.1</v>
      </c>
      <c r="I1987" s="1">
        <v>17758.900000000001</v>
      </c>
      <c r="J1987" s="1">
        <v>1763822.1</v>
      </c>
      <c r="K1987" s="1">
        <v>67</v>
      </c>
      <c r="L1987" s="1">
        <v>4494.815091575093</v>
      </c>
      <c r="M1987" s="1">
        <v>97.200929655014633</v>
      </c>
      <c r="N1987" s="7">
        <v>45947</v>
      </c>
      <c r="O1987" s="1">
        <v>30000</v>
      </c>
      <c r="P1987" s="7">
        <v>46044.200929652783</v>
      </c>
      <c r="Q1987" s="1" t="s">
        <v>330</v>
      </c>
      <c r="T1987" s="1" t="s">
        <v>449</v>
      </c>
      <c r="U1987" s="1" t="s">
        <v>450</v>
      </c>
      <c r="V1987" s="1">
        <v>1</v>
      </c>
      <c r="W1987" s="3">
        <v>17623.68</v>
      </c>
      <c r="X1987" s="3">
        <v>17623.68</v>
      </c>
      <c r="Y1987" s="1" t="str">
        <f>VLOOKUP(A1987,[1]Detalle!$D$2:$CR$484,93,FALSE)</f>
        <v>Expreso - Servicios Troncales</v>
      </c>
    </row>
    <row r="1988" spans="1:25" ht="14.25" customHeight="1" x14ac:dyDescent="0.3">
      <c r="A1988" s="1" t="s">
        <v>513</v>
      </c>
      <c r="B1988" s="1" t="s">
        <v>448</v>
      </c>
      <c r="C1988" s="1" t="s">
        <v>428</v>
      </c>
      <c r="D1988" s="1" t="s">
        <v>329</v>
      </c>
      <c r="E1988" s="6">
        <v>45887</v>
      </c>
      <c r="F1988" s="1">
        <v>1522461</v>
      </c>
      <c r="G1988" s="1">
        <v>1552461</v>
      </c>
      <c r="H1988" s="1">
        <v>14993.7</v>
      </c>
      <c r="I1988" s="1">
        <v>15006.3</v>
      </c>
      <c r="J1988" s="1">
        <v>1537454.7</v>
      </c>
      <c r="K1988" s="1">
        <v>60</v>
      </c>
      <c r="L1988" s="1">
        <v>2328.6221402214019</v>
      </c>
      <c r="M1988" s="1">
        <v>60.050421176894289</v>
      </c>
      <c r="N1988" s="7">
        <v>45947</v>
      </c>
      <c r="O1988" s="1">
        <v>30000</v>
      </c>
      <c r="P1988" s="7">
        <v>46032.816731203697</v>
      </c>
      <c r="Q1988" s="1" t="s">
        <v>330</v>
      </c>
      <c r="T1988" s="1" t="s">
        <v>331</v>
      </c>
      <c r="U1988" s="1" t="s">
        <v>332</v>
      </c>
      <c r="V1988" s="1">
        <v>39</v>
      </c>
      <c r="W1988" s="3">
        <v>3389.9</v>
      </c>
      <c r="X1988" s="3">
        <v>132206.1</v>
      </c>
      <c r="Y1988" s="1" t="str">
        <f>VLOOKUP(A1988,[1]Detalle!$D$2:$CR$484,93,FALSE)</f>
        <v>Expreso - Servicios Troncales</v>
      </c>
    </row>
    <row r="1989" spans="1:25" ht="14.25" customHeight="1" x14ac:dyDescent="0.3">
      <c r="A1989" s="1" t="s">
        <v>513</v>
      </c>
      <c r="B1989" s="1" t="s">
        <v>448</v>
      </c>
      <c r="C1989" s="1" t="s">
        <v>428</v>
      </c>
      <c r="D1989" s="1" t="s">
        <v>329</v>
      </c>
      <c r="E1989" s="6">
        <v>45887</v>
      </c>
      <c r="F1989" s="1">
        <v>1522461</v>
      </c>
      <c r="G1989" s="1">
        <v>1552461</v>
      </c>
      <c r="H1989" s="1">
        <v>14993.7</v>
      </c>
      <c r="I1989" s="1">
        <v>15006.3</v>
      </c>
      <c r="J1989" s="1">
        <v>1537454.7</v>
      </c>
      <c r="K1989" s="1">
        <v>60</v>
      </c>
      <c r="L1989" s="1">
        <v>2328.6221402214019</v>
      </c>
      <c r="M1989" s="1">
        <v>60.050421176894289</v>
      </c>
      <c r="N1989" s="7">
        <v>45947</v>
      </c>
      <c r="O1989" s="1">
        <v>30000</v>
      </c>
      <c r="P1989" s="7">
        <v>46032.816731203697</v>
      </c>
      <c r="Q1989" s="1" t="s">
        <v>330</v>
      </c>
      <c r="T1989" s="1" t="s">
        <v>449</v>
      </c>
      <c r="U1989" s="1" t="s">
        <v>450</v>
      </c>
      <c r="V1989" s="1">
        <v>1</v>
      </c>
      <c r="W1989" s="3">
        <v>17623.68</v>
      </c>
      <c r="X1989" s="3">
        <v>17623.68</v>
      </c>
      <c r="Y1989" s="1" t="str">
        <f>VLOOKUP(A1989,[1]Detalle!$D$2:$CR$484,93,FALSE)</f>
        <v>Expreso - Servicios Troncales</v>
      </c>
    </row>
    <row r="1990" spans="1:25" ht="14.25" customHeight="1" x14ac:dyDescent="0.3">
      <c r="A1990" s="1" t="s">
        <v>270</v>
      </c>
      <c r="B1990" s="1" t="s">
        <v>448</v>
      </c>
      <c r="C1990" s="1" t="s">
        <v>428</v>
      </c>
      <c r="D1990" s="1" t="s">
        <v>329</v>
      </c>
      <c r="E1990" s="6">
        <v>45891</v>
      </c>
      <c r="F1990" s="1">
        <v>1737584</v>
      </c>
      <c r="G1990" s="1">
        <v>1767584</v>
      </c>
      <c r="H1990" s="1">
        <v>15736.9</v>
      </c>
      <c r="I1990" s="1">
        <v>14263.1</v>
      </c>
      <c r="J1990" s="1">
        <v>1753320.9</v>
      </c>
      <c r="K1990" s="1">
        <v>56</v>
      </c>
      <c r="L1990" s="1">
        <v>1736.2685719557189</v>
      </c>
      <c r="M1990" s="1">
        <v>50.755460096969557</v>
      </c>
      <c r="N1990" s="7">
        <v>45947</v>
      </c>
      <c r="O1990" s="1">
        <v>30000</v>
      </c>
      <c r="P1990" s="7">
        <v>46032.312325879633</v>
      </c>
      <c r="Q1990" s="1" t="s">
        <v>330</v>
      </c>
      <c r="T1990" s="1" t="s">
        <v>331</v>
      </c>
      <c r="U1990" s="1" t="s">
        <v>332</v>
      </c>
      <c r="V1990" s="1">
        <v>39</v>
      </c>
      <c r="W1990" s="3">
        <v>3389.9</v>
      </c>
      <c r="X1990" s="3">
        <v>132206.1</v>
      </c>
      <c r="Y1990" s="1" t="str">
        <f>VLOOKUP(A1990,[1]Detalle!$D$2:$CR$484,93,FALSE)</f>
        <v>Expreso - Servicios Troncales</v>
      </c>
    </row>
    <row r="1991" spans="1:25" ht="14.25" customHeight="1" x14ac:dyDescent="0.3">
      <c r="A1991" s="1" t="s">
        <v>270</v>
      </c>
      <c r="B1991" s="1" t="s">
        <v>448</v>
      </c>
      <c r="C1991" s="1" t="s">
        <v>428</v>
      </c>
      <c r="D1991" s="1" t="s">
        <v>329</v>
      </c>
      <c r="E1991" s="6">
        <v>45891</v>
      </c>
      <c r="F1991" s="1">
        <v>1737584</v>
      </c>
      <c r="G1991" s="1">
        <v>1767584</v>
      </c>
      <c r="H1991" s="1">
        <v>15736.9</v>
      </c>
      <c r="I1991" s="1">
        <v>14263.1</v>
      </c>
      <c r="J1991" s="1">
        <v>1753320.9</v>
      </c>
      <c r="K1991" s="1">
        <v>56</v>
      </c>
      <c r="L1991" s="1">
        <v>1736.2685719557189</v>
      </c>
      <c r="M1991" s="1">
        <v>50.755460096969557</v>
      </c>
      <c r="N1991" s="7">
        <v>45947</v>
      </c>
      <c r="O1991" s="1">
        <v>30000</v>
      </c>
      <c r="P1991" s="7">
        <v>46032.312325879633</v>
      </c>
      <c r="Q1991" s="1" t="s">
        <v>330</v>
      </c>
      <c r="T1991" s="1" t="s">
        <v>449</v>
      </c>
      <c r="U1991" s="1" t="s">
        <v>450</v>
      </c>
      <c r="V1991" s="1">
        <v>1</v>
      </c>
      <c r="W1991" s="3">
        <v>17623.68</v>
      </c>
      <c r="X1991" s="3">
        <v>17623.68</v>
      </c>
      <c r="Y1991" s="1" t="str">
        <f>VLOOKUP(A1991,[1]Detalle!$D$2:$CR$484,93,FALSE)</f>
        <v>Expreso - Servicios Troncales</v>
      </c>
    </row>
    <row r="1992" spans="1:25" ht="14.25" customHeight="1" x14ac:dyDescent="0.3">
      <c r="A1992" s="1" t="s">
        <v>221</v>
      </c>
      <c r="B1992" s="1" t="s">
        <v>451</v>
      </c>
      <c r="C1992" s="1" t="s">
        <v>451</v>
      </c>
      <c r="D1992" s="1" t="s">
        <v>344</v>
      </c>
      <c r="E1992" s="6">
        <v>45818</v>
      </c>
      <c r="F1992" s="1">
        <v>1516521</v>
      </c>
      <c r="G1992" s="1">
        <v>1546521</v>
      </c>
      <c r="H1992" s="1">
        <v>14102</v>
      </c>
      <c r="I1992" s="1">
        <v>15898</v>
      </c>
      <c r="J1992" s="1">
        <v>1530623</v>
      </c>
      <c r="K1992" s="1">
        <v>129</v>
      </c>
      <c r="L1992" s="1">
        <v>150.71646840148699</v>
      </c>
      <c r="M1992" s="1">
        <v>145.4291589845412</v>
      </c>
      <c r="N1992" s="7">
        <v>45947</v>
      </c>
      <c r="O1992" s="1">
        <v>30000</v>
      </c>
      <c r="P1992" s="7">
        <v>46092.429158981482</v>
      </c>
      <c r="Q1992" s="1" t="s">
        <v>330</v>
      </c>
      <c r="T1992" s="1" t="s">
        <v>345</v>
      </c>
      <c r="U1992" s="1" t="s">
        <v>346</v>
      </c>
      <c r="V1992" s="1">
        <v>1</v>
      </c>
      <c r="W1992" s="3">
        <v>10535.04</v>
      </c>
      <c r="X1992" s="3">
        <v>10535.04</v>
      </c>
      <c r="Y1992" s="1" t="str">
        <f>VLOOKUP(A1992,[1]Detalle!$D$2:$CR$484,93,FALSE)</f>
        <v>ADA_CH - Danone Arg. S.A. - Chascomus</v>
      </c>
    </row>
    <row r="1993" spans="1:25" ht="14.25" customHeight="1" x14ac:dyDescent="0.3">
      <c r="A1993" s="1" t="s">
        <v>221</v>
      </c>
      <c r="B1993" s="1" t="s">
        <v>451</v>
      </c>
      <c r="C1993" s="1" t="s">
        <v>451</v>
      </c>
      <c r="D1993" s="1" t="s">
        <v>344</v>
      </c>
      <c r="E1993" s="6">
        <v>45818</v>
      </c>
      <c r="F1993" s="1">
        <v>1516521</v>
      </c>
      <c r="G1993" s="1">
        <v>1546521</v>
      </c>
      <c r="H1993" s="1">
        <v>14102</v>
      </c>
      <c r="I1993" s="1">
        <v>15898</v>
      </c>
      <c r="J1993" s="1">
        <v>1530623</v>
      </c>
      <c r="K1993" s="1">
        <v>129</v>
      </c>
      <c r="L1993" s="1">
        <v>150.71646840148699</v>
      </c>
      <c r="M1993" s="1">
        <v>145.4291589845412</v>
      </c>
      <c r="N1993" s="7">
        <v>45947</v>
      </c>
      <c r="O1993" s="1">
        <v>30000</v>
      </c>
      <c r="P1993" s="7">
        <v>46092.429158981482</v>
      </c>
      <c r="Q1993" s="1" t="s">
        <v>330</v>
      </c>
      <c r="T1993" s="1" t="s">
        <v>452</v>
      </c>
      <c r="U1993" s="1" t="s">
        <v>453</v>
      </c>
      <c r="V1993" s="1">
        <v>1</v>
      </c>
      <c r="W1993" s="3">
        <v>13118.81</v>
      </c>
      <c r="X1993" s="3">
        <v>13118.81</v>
      </c>
      <c r="Y1993" s="1" t="str">
        <f>VLOOKUP(A1993,[1]Detalle!$D$2:$CR$484,93,FALSE)</f>
        <v>ADA_CH - Danone Arg. S.A. - Chascomus</v>
      </c>
    </row>
    <row r="1994" spans="1:25" ht="14.25" customHeight="1" x14ac:dyDescent="0.3">
      <c r="A1994" s="1" t="s">
        <v>30</v>
      </c>
      <c r="B1994" s="1" t="s">
        <v>451</v>
      </c>
      <c r="C1994" s="1" t="s">
        <v>451</v>
      </c>
      <c r="D1994" s="1" t="s">
        <v>344</v>
      </c>
      <c r="E1994" s="6">
        <v>45923</v>
      </c>
      <c r="F1994" s="1">
        <v>452616</v>
      </c>
      <c r="G1994" s="1">
        <v>482616</v>
      </c>
      <c r="H1994" s="1">
        <v>2109</v>
      </c>
      <c r="I1994" s="1">
        <v>27891</v>
      </c>
      <c r="J1994" s="1">
        <v>454725</v>
      </c>
      <c r="K1994" s="1">
        <v>24</v>
      </c>
      <c r="L1994" s="1">
        <v>273.98136531365333</v>
      </c>
      <c r="M1994" s="1">
        <v>317.39402560455193</v>
      </c>
      <c r="N1994" s="7">
        <v>45947</v>
      </c>
      <c r="O1994" s="1">
        <v>30000</v>
      </c>
      <c r="P1994" s="7">
        <v>46264.394025601847</v>
      </c>
      <c r="Q1994" s="1" t="s">
        <v>330</v>
      </c>
      <c r="T1994" s="1" t="s">
        <v>345</v>
      </c>
      <c r="U1994" s="1" t="s">
        <v>346</v>
      </c>
      <c r="V1994" s="1">
        <v>1</v>
      </c>
      <c r="W1994" s="3">
        <v>10535.04</v>
      </c>
      <c r="X1994" s="3">
        <v>10535.04</v>
      </c>
      <c r="Y1994" s="1" t="str">
        <f>VLOOKUP(A1994,[1]Detalle!$D$2:$CR$484,93,FALSE)</f>
        <v>ADA_CH - Danone Arg. S.A. - Chascomus</v>
      </c>
    </row>
    <row r="1995" spans="1:25" ht="14.25" customHeight="1" x14ac:dyDescent="0.3">
      <c r="A1995" s="1" t="s">
        <v>30</v>
      </c>
      <c r="B1995" s="1" t="s">
        <v>451</v>
      </c>
      <c r="C1995" s="1" t="s">
        <v>451</v>
      </c>
      <c r="D1995" s="1" t="s">
        <v>344</v>
      </c>
      <c r="E1995" s="6">
        <v>45923</v>
      </c>
      <c r="F1995" s="1">
        <v>452616</v>
      </c>
      <c r="G1995" s="1">
        <v>482616</v>
      </c>
      <c r="H1995" s="1">
        <v>2109</v>
      </c>
      <c r="I1995" s="1">
        <v>27891</v>
      </c>
      <c r="J1995" s="1">
        <v>454725</v>
      </c>
      <c r="K1995" s="1">
        <v>24</v>
      </c>
      <c r="L1995" s="1">
        <v>273.98136531365333</v>
      </c>
      <c r="M1995" s="1">
        <v>317.39402560455193</v>
      </c>
      <c r="N1995" s="7">
        <v>45947</v>
      </c>
      <c r="O1995" s="1">
        <v>30000</v>
      </c>
      <c r="P1995" s="7">
        <v>46264.394025601847</v>
      </c>
      <c r="Q1995" s="1" t="s">
        <v>330</v>
      </c>
      <c r="T1995" s="1" t="s">
        <v>452</v>
      </c>
      <c r="U1995" s="1" t="s">
        <v>453</v>
      </c>
      <c r="V1995" s="1">
        <v>1</v>
      </c>
      <c r="W1995" s="3">
        <v>13118.81</v>
      </c>
      <c r="X1995" s="3">
        <v>13118.81</v>
      </c>
      <c r="Y1995" s="1" t="str">
        <f>VLOOKUP(A1995,[1]Detalle!$D$2:$CR$484,93,FALSE)</f>
        <v>ADA_CH - Danone Arg. S.A. - Chascomus</v>
      </c>
    </row>
    <row r="1996" spans="1:25" ht="14.25" customHeight="1" x14ac:dyDescent="0.3">
      <c r="A1996" s="1" t="s">
        <v>32</v>
      </c>
      <c r="B1996" s="1" t="s">
        <v>451</v>
      </c>
      <c r="C1996" s="1" t="s">
        <v>451</v>
      </c>
      <c r="D1996" s="1" t="s">
        <v>344</v>
      </c>
      <c r="E1996" s="6">
        <v>45792</v>
      </c>
      <c r="F1996" s="1">
        <v>308369</v>
      </c>
      <c r="G1996" s="1">
        <v>338369</v>
      </c>
      <c r="H1996" s="1">
        <v>18849.799999999988</v>
      </c>
      <c r="I1996" s="1">
        <v>11150.20000000001</v>
      </c>
      <c r="J1996" s="1">
        <v>327218.8</v>
      </c>
      <c r="K1996" s="1">
        <v>155</v>
      </c>
      <c r="L1996" s="1">
        <v>189.65078066914509</v>
      </c>
      <c r="M1996" s="1">
        <v>91.686967500981538</v>
      </c>
      <c r="N1996" s="7">
        <v>45947</v>
      </c>
      <c r="O1996" s="1">
        <v>30000</v>
      </c>
      <c r="P1996" s="7">
        <v>46038.686967499998</v>
      </c>
      <c r="Q1996" s="1" t="s">
        <v>330</v>
      </c>
      <c r="T1996" s="1" t="s">
        <v>345</v>
      </c>
      <c r="U1996" s="1" t="s">
        <v>346</v>
      </c>
      <c r="V1996" s="1">
        <v>1</v>
      </c>
      <c r="W1996" s="3">
        <v>10535.04</v>
      </c>
      <c r="X1996" s="3">
        <v>10535.04</v>
      </c>
      <c r="Y1996" s="1" t="str">
        <f>VLOOKUP(A1996,[1]Detalle!$D$2:$CR$484,93,FALSE)</f>
        <v>ADA_CH - Danone Arg. S.A. - Chascomus</v>
      </c>
    </row>
    <row r="1997" spans="1:25" ht="14.25" customHeight="1" x14ac:dyDescent="0.3">
      <c r="A1997" s="1" t="s">
        <v>32</v>
      </c>
      <c r="B1997" s="1" t="s">
        <v>451</v>
      </c>
      <c r="C1997" s="1" t="s">
        <v>451</v>
      </c>
      <c r="D1997" s="1" t="s">
        <v>344</v>
      </c>
      <c r="E1997" s="6">
        <v>45792</v>
      </c>
      <c r="F1997" s="1">
        <v>308369</v>
      </c>
      <c r="G1997" s="1">
        <v>338369</v>
      </c>
      <c r="H1997" s="1">
        <v>18849.799999999988</v>
      </c>
      <c r="I1997" s="1">
        <v>11150.20000000001</v>
      </c>
      <c r="J1997" s="1">
        <v>327218.8</v>
      </c>
      <c r="K1997" s="1">
        <v>155</v>
      </c>
      <c r="L1997" s="1">
        <v>189.65078066914509</v>
      </c>
      <c r="M1997" s="1">
        <v>91.686967500981538</v>
      </c>
      <c r="N1997" s="7">
        <v>45947</v>
      </c>
      <c r="O1997" s="1">
        <v>30000</v>
      </c>
      <c r="P1997" s="7">
        <v>46038.686967499998</v>
      </c>
      <c r="Q1997" s="1" t="s">
        <v>330</v>
      </c>
      <c r="T1997" s="1" t="s">
        <v>452</v>
      </c>
      <c r="U1997" s="1" t="s">
        <v>453</v>
      </c>
      <c r="V1997" s="1">
        <v>1</v>
      </c>
      <c r="W1997" s="3">
        <v>13118.81</v>
      </c>
      <c r="X1997" s="3">
        <v>13118.81</v>
      </c>
      <c r="Y1997" s="1" t="str">
        <f>VLOOKUP(A1997,[1]Detalle!$D$2:$CR$484,93,FALSE)</f>
        <v>ADA_CH - Danone Arg. S.A. - Chascomus</v>
      </c>
    </row>
    <row r="1998" spans="1:25" ht="14.25" customHeight="1" x14ac:dyDescent="0.3">
      <c r="A1998" s="1" t="s">
        <v>70</v>
      </c>
      <c r="B1998" s="1" t="s">
        <v>451</v>
      </c>
      <c r="C1998" s="1" t="s">
        <v>451</v>
      </c>
      <c r="D1998" s="1" t="s">
        <v>344</v>
      </c>
      <c r="E1998" s="6">
        <v>45912</v>
      </c>
      <c r="F1998" s="1">
        <v>350551</v>
      </c>
      <c r="G1998" s="1">
        <v>380551</v>
      </c>
      <c r="H1998" s="1">
        <v>5928.8000000000011</v>
      </c>
      <c r="I1998" s="1">
        <v>24071.200000000001</v>
      </c>
      <c r="J1998" s="1">
        <v>356479.8</v>
      </c>
      <c r="K1998" s="1">
        <v>35</v>
      </c>
      <c r="L1998" s="1">
        <v>252.63896296296281</v>
      </c>
      <c r="M1998" s="1">
        <v>142.10160572122521</v>
      </c>
      <c r="N1998" s="7">
        <v>45947</v>
      </c>
      <c r="O1998" s="1">
        <v>30000</v>
      </c>
      <c r="P1998" s="7">
        <v>46089.101605717588</v>
      </c>
      <c r="Q1998" s="1" t="s">
        <v>330</v>
      </c>
      <c r="T1998" s="1" t="s">
        <v>345</v>
      </c>
      <c r="U1998" s="1" t="s">
        <v>346</v>
      </c>
      <c r="V1998" s="1">
        <v>1</v>
      </c>
      <c r="W1998" s="3">
        <v>10535.04</v>
      </c>
      <c r="X1998" s="3">
        <v>10535.04</v>
      </c>
      <c r="Y1998" s="1" t="str">
        <f>VLOOKUP(A1998,[1]Detalle!$D$2:$CR$484,93,FALSE)</f>
        <v>ADA_CH - Danone Arg. S.A. - Chascomus</v>
      </c>
    </row>
    <row r="1999" spans="1:25" ht="14.25" customHeight="1" x14ac:dyDescent="0.3">
      <c r="A1999" s="1" t="s">
        <v>70</v>
      </c>
      <c r="B1999" s="1" t="s">
        <v>451</v>
      </c>
      <c r="C1999" s="1" t="s">
        <v>451</v>
      </c>
      <c r="D1999" s="1" t="s">
        <v>344</v>
      </c>
      <c r="E1999" s="6">
        <v>45912</v>
      </c>
      <c r="F1999" s="1">
        <v>350551</v>
      </c>
      <c r="G1999" s="1">
        <v>380551</v>
      </c>
      <c r="H1999" s="1">
        <v>5928.8000000000011</v>
      </c>
      <c r="I1999" s="1">
        <v>24071.200000000001</v>
      </c>
      <c r="J1999" s="1">
        <v>356479.8</v>
      </c>
      <c r="K1999" s="1">
        <v>35</v>
      </c>
      <c r="L1999" s="1">
        <v>252.63896296296281</v>
      </c>
      <c r="M1999" s="1">
        <v>142.10160572122521</v>
      </c>
      <c r="N1999" s="7">
        <v>45947</v>
      </c>
      <c r="O1999" s="1">
        <v>30000</v>
      </c>
      <c r="P1999" s="7">
        <v>46089.101605717588</v>
      </c>
      <c r="Q1999" s="1" t="s">
        <v>330</v>
      </c>
      <c r="T1999" s="1" t="s">
        <v>452</v>
      </c>
      <c r="U1999" s="1" t="s">
        <v>453</v>
      </c>
      <c r="V1999" s="1">
        <v>1</v>
      </c>
      <c r="W1999" s="3">
        <v>13118.81</v>
      </c>
      <c r="X1999" s="3">
        <v>13118.81</v>
      </c>
      <c r="Y1999" s="1" t="str">
        <f>VLOOKUP(A1999,[1]Detalle!$D$2:$CR$484,93,FALSE)</f>
        <v>ADA_CH - Danone Arg. S.A. - Chascomus</v>
      </c>
    </row>
    <row r="2000" spans="1:25" ht="14.25" customHeight="1" x14ac:dyDescent="0.3">
      <c r="A2000" s="1" t="s">
        <v>77</v>
      </c>
      <c r="B2000" s="1" t="s">
        <v>451</v>
      </c>
      <c r="C2000" s="1" t="s">
        <v>451</v>
      </c>
      <c r="D2000" s="1" t="s">
        <v>344</v>
      </c>
      <c r="E2000" s="6">
        <v>45783</v>
      </c>
      <c r="F2000" s="1">
        <v>54070.5</v>
      </c>
      <c r="G2000" s="1">
        <v>84070.5</v>
      </c>
      <c r="H2000" s="1">
        <v>14641.70000000001</v>
      </c>
      <c r="I2000" s="1">
        <v>15358.29999999999</v>
      </c>
      <c r="J2000" s="1">
        <v>68712.200000000012</v>
      </c>
      <c r="K2000" s="1">
        <v>164</v>
      </c>
      <c r="L2000" s="1">
        <v>78.920809061488711</v>
      </c>
      <c r="M2000" s="1">
        <v>172.02655429355869</v>
      </c>
      <c r="N2000" s="7">
        <v>45947</v>
      </c>
      <c r="O2000" s="1">
        <v>30000</v>
      </c>
      <c r="P2000" s="7">
        <v>46119.026554293981</v>
      </c>
      <c r="Q2000" s="1" t="s">
        <v>330</v>
      </c>
      <c r="T2000" s="1" t="s">
        <v>345</v>
      </c>
      <c r="U2000" s="1" t="s">
        <v>346</v>
      </c>
      <c r="V2000" s="1">
        <v>1</v>
      </c>
      <c r="W2000" s="3">
        <v>10535.04</v>
      </c>
      <c r="X2000" s="3">
        <v>10535.04</v>
      </c>
      <c r="Y2000" s="1" t="str">
        <f>VLOOKUP(A2000,[1]Detalle!$D$2:$CR$484,93,FALSE)</f>
        <v>Arcor S.A.I.C.</v>
      </c>
    </row>
    <row r="2001" spans="1:25" ht="14.25" customHeight="1" x14ac:dyDescent="0.3">
      <c r="A2001" s="1" t="s">
        <v>77</v>
      </c>
      <c r="B2001" s="1" t="s">
        <v>451</v>
      </c>
      <c r="C2001" s="1" t="s">
        <v>451</v>
      </c>
      <c r="D2001" s="1" t="s">
        <v>344</v>
      </c>
      <c r="E2001" s="6">
        <v>45783</v>
      </c>
      <c r="F2001" s="1">
        <v>54070.5</v>
      </c>
      <c r="G2001" s="1">
        <v>84070.5</v>
      </c>
      <c r="H2001" s="1">
        <v>14641.70000000001</v>
      </c>
      <c r="I2001" s="1">
        <v>15358.29999999999</v>
      </c>
      <c r="J2001" s="1">
        <v>68712.200000000012</v>
      </c>
      <c r="K2001" s="1">
        <v>164</v>
      </c>
      <c r="L2001" s="1">
        <v>78.920809061488711</v>
      </c>
      <c r="M2001" s="1">
        <v>172.02655429355869</v>
      </c>
      <c r="N2001" s="7">
        <v>45947</v>
      </c>
      <c r="O2001" s="1">
        <v>30000</v>
      </c>
      <c r="P2001" s="7">
        <v>46119.026554293981</v>
      </c>
      <c r="Q2001" s="1" t="s">
        <v>330</v>
      </c>
      <c r="T2001" s="1" t="s">
        <v>452</v>
      </c>
      <c r="U2001" s="1" t="s">
        <v>453</v>
      </c>
      <c r="V2001" s="1">
        <v>1</v>
      </c>
      <c r="W2001" s="3">
        <v>13118.81</v>
      </c>
      <c r="X2001" s="3">
        <v>13118.81</v>
      </c>
      <c r="Y2001" s="1" t="str">
        <f>VLOOKUP(A2001,[1]Detalle!$D$2:$CR$484,93,FALSE)</f>
        <v>Arcor S.A.I.C.</v>
      </c>
    </row>
    <row r="2002" spans="1:25" ht="14.25" customHeight="1" x14ac:dyDescent="0.3">
      <c r="A2002" s="1" t="s">
        <v>86</v>
      </c>
      <c r="B2002" s="1" t="s">
        <v>451</v>
      </c>
      <c r="C2002" s="1" t="s">
        <v>451</v>
      </c>
      <c r="D2002" s="1" t="s">
        <v>344</v>
      </c>
      <c r="E2002" s="6">
        <v>45764</v>
      </c>
      <c r="F2002" s="1">
        <v>52929.7</v>
      </c>
      <c r="G2002" s="1">
        <v>82929.7</v>
      </c>
      <c r="H2002" s="1">
        <v>13599.899999999991</v>
      </c>
      <c r="I2002" s="1">
        <v>16400.100000000009</v>
      </c>
      <c r="J2002" s="1">
        <v>66529.599999999991</v>
      </c>
      <c r="K2002" s="1">
        <v>183</v>
      </c>
      <c r="L2002" s="1">
        <v>74.356479400749095</v>
      </c>
      <c r="M2002" s="1">
        <v>220.6794388194032</v>
      </c>
      <c r="N2002" s="7">
        <v>45947</v>
      </c>
      <c r="O2002" s="1">
        <v>30000</v>
      </c>
      <c r="P2002" s="7">
        <v>46167.679438819447</v>
      </c>
      <c r="Q2002" s="1" t="s">
        <v>330</v>
      </c>
      <c r="T2002" s="1" t="s">
        <v>345</v>
      </c>
      <c r="U2002" s="1" t="s">
        <v>346</v>
      </c>
      <c r="V2002" s="1">
        <v>1</v>
      </c>
      <c r="W2002" s="3">
        <v>10535.04</v>
      </c>
      <c r="X2002" s="3">
        <v>10535.04</v>
      </c>
      <c r="Y2002" s="1" t="str">
        <f>VLOOKUP(A2002,[1]Detalle!$D$2:$CR$484,93,FALSE)</f>
        <v>Arcor S.A.I.C.</v>
      </c>
    </row>
    <row r="2003" spans="1:25" ht="14.25" customHeight="1" x14ac:dyDescent="0.3">
      <c r="A2003" s="1" t="s">
        <v>86</v>
      </c>
      <c r="B2003" s="1" t="s">
        <v>451</v>
      </c>
      <c r="C2003" s="1" t="s">
        <v>451</v>
      </c>
      <c r="D2003" s="1" t="s">
        <v>344</v>
      </c>
      <c r="E2003" s="6">
        <v>45764</v>
      </c>
      <c r="F2003" s="1">
        <v>52929.7</v>
      </c>
      <c r="G2003" s="1">
        <v>82929.7</v>
      </c>
      <c r="H2003" s="1">
        <v>13599.899999999991</v>
      </c>
      <c r="I2003" s="1">
        <v>16400.100000000009</v>
      </c>
      <c r="J2003" s="1">
        <v>66529.599999999991</v>
      </c>
      <c r="K2003" s="1">
        <v>183</v>
      </c>
      <c r="L2003" s="1">
        <v>74.356479400749095</v>
      </c>
      <c r="M2003" s="1">
        <v>220.6794388194032</v>
      </c>
      <c r="N2003" s="7">
        <v>45947</v>
      </c>
      <c r="O2003" s="1">
        <v>30000</v>
      </c>
      <c r="P2003" s="7">
        <v>46167.679438819447</v>
      </c>
      <c r="Q2003" s="1" t="s">
        <v>330</v>
      </c>
      <c r="T2003" s="1" t="s">
        <v>452</v>
      </c>
      <c r="U2003" s="1" t="s">
        <v>453</v>
      </c>
      <c r="V2003" s="1">
        <v>1</v>
      </c>
      <c r="W2003" s="3">
        <v>13118.81</v>
      </c>
      <c r="X2003" s="3">
        <v>13118.81</v>
      </c>
      <c r="Y2003" s="1" t="str">
        <f>VLOOKUP(A2003,[1]Detalle!$D$2:$CR$484,93,FALSE)</f>
        <v>Arcor S.A.I.C.</v>
      </c>
    </row>
    <row r="2004" spans="1:25" ht="14.25" customHeight="1" x14ac:dyDescent="0.3">
      <c r="A2004" s="1" t="s">
        <v>85</v>
      </c>
      <c r="B2004" s="1" t="s">
        <v>451</v>
      </c>
      <c r="C2004" s="1" t="s">
        <v>451</v>
      </c>
      <c r="D2004" s="1" t="s">
        <v>344</v>
      </c>
      <c r="E2004" s="6">
        <v>45609</v>
      </c>
      <c r="F2004" s="1">
        <v>55539.8</v>
      </c>
      <c r="G2004" s="1">
        <v>85539.8</v>
      </c>
      <c r="H2004" s="1">
        <v>23943.03000000001</v>
      </c>
      <c r="I2004" s="1">
        <v>6056.9699999999939</v>
      </c>
      <c r="J2004" s="1">
        <v>79482.830000000016</v>
      </c>
      <c r="K2004" s="1">
        <v>338</v>
      </c>
      <c r="L2004" s="1">
        <v>78.134555555555551</v>
      </c>
      <c r="M2004" s="1">
        <v>85.505295695657452</v>
      </c>
      <c r="N2004" s="7">
        <v>45947</v>
      </c>
      <c r="O2004" s="1">
        <v>30000</v>
      </c>
      <c r="P2004" s="7">
        <v>46032.505295694442</v>
      </c>
      <c r="Q2004" s="1" t="s">
        <v>330</v>
      </c>
      <c r="T2004" s="1" t="s">
        <v>345</v>
      </c>
      <c r="U2004" s="1" t="s">
        <v>346</v>
      </c>
      <c r="V2004" s="1">
        <v>1</v>
      </c>
      <c r="W2004" s="3">
        <v>10535.04</v>
      </c>
      <c r="X2004" s="3">
        <v>10535.04</v>
      </c>
      <c r="Y2004" s="1" t="str">
        <f>VLOOKUP(A2004,[1]Detalle!$D$2:$CR$484,93,FALSE)</f>
        <v>Arcor S.A.I.C.</v>
      </c>
    </row>
    <row r="2005" spans="1:25" ht="14.25" customHeight="1" x14ac:dyDescent="0.3">
      <c r="A2005" s="1" t="s">
        <v>85</v>
      </c>
      <c r="B2005" s="1" t="s">
        <v>451</v>
      </c>
      <c r="C2005" s="1" t="s">
        <v>451</v>
      </c>
      <c r="D2005" s="1" t="s">
        <v>344</v>
      </c>
      <c r="E2005" s="6">
        <v>45609</v>
      </c>
      <c r="F2005" s="1">
        <v>55539.8</v>
      </c>
      <c r="G2005" s="1">
        <v>85539.8</v>
      </c>
      <c r="H2005" s="1">
        <v>23943.03000000001</v>
      </c>
      <c r="I2005" s="1">
        <v>6056.9699999999939</v>
      </c>
      <c r="J2005" s="1">
        <v>79482.830000000016</v>
      </c>
      <c r="K2005" s="1">
        <v>338</v>
      </c>
      <c r="L2005" s="1">
        <v>78.134555555555551</v>
      </c>
      <c r="M2005" s="1">
        <v>85.505295695657452</v>
      </c>
      <c r="N2005" s="7">
        <v>45947</v>
      </c>
      <c r="O2005" s="1">
        <v>30000</v>
      </c>
      <c r="P2005" s="7">
        <v>46032.505295694442</v>
      </c>
      <c r="Q2005" s="1" t="s">
        <v>330</v>
      </c>
      <c r="T2005" s="1" t="s">
        <v>452</v>
      </c>
      <c r="U2005" s="1" t="s">
        <v>453</v>
      </c>
      <c r="V2005" s="1">
        <v>1</v>
      </c>
      <c r="W2005" s="3">
        <v>13118.81</v>
      </c>
      <c r="X2005" s="3">
        <v>13118.81</v>
      </c>
      <c r="Y2005" s="1" t="str">
        <f>VLOOKUP(A2005,[1]Detalle!$D$2:$CR$484,93,FALSE)</f>
        <v>Arcor S.A.I.C.</v>
      </c>
    </row>
    <row r="2006" spans="1:25" ht="14.25" customHeight="1" x14ac:dyDescent="0.3">
      <c r="A2006" s="1" t="s">
        <v>93</v>
      </c>
      <c r="B2006" s="1" t="s">
        <v>451</v>
      </c>
      <c r="C2006" s="1" t="s">
        <v>451</v>
      </c>
      <c r="D2006" s="1" t="s">
        <v>344</v>
      </c>
      <c r="E2006" s="1" t="s">
        <v>337</v>
      </c>
      <c r="L2006" s="1">
        <v>112.049667896679</v>
      </c>
      <c r="N2006" s="7">
        <v>45947</v>
      </c>
      <c r="O2006" s="1">
        <v>30000</v>
      </c>
      <c r="P2006" s="7">
        <v>46214.738410682869</v>
      </c>
      <c r="Q2006" s="1" t="s">
        <v>330</v>
      </c>
      <c r="T2006" s="1" t="s">
        <v>345</v>
      </c>
      <c r="U2006" s="1" t="s">
        <v>346</v>
      </c>
      <c r="V2006" s="1">
        <v>1</v>
      </c>
      <c r="W2006" s="3">
        <v>10535.04</v>
      </c>
      <c r="X2006" s="3">
        <v>10535.04</v>
      </c>
      <c r="Y2006" s="1" t="str">
        <f>VLOOKUP(A2006,[1]Detalle!$D$2:$CR$484,93,FALSE)</f>
        <v>Arcor S.A.I.C.</v>
      </c>
    </row>
    <row r="2007" spans="1:25" ht="14.25" customHeight="1" x14ac:dyDescent="0.3">
      <c r="A2007" s="1" t="s">
        <v>93</v>
      </c>
      <c r="B2007" s="1" t="s">
        <v>451</v>
      </c>
      <c r="C2007" s="1" t="s">
        <v>451</v>
      </c>
      <c r="D2007" s="1" t="s">
        <v>344</v>
      </c>
      <c r="E2007" s="1" t="s">
        <v>337</v>
      </c>
      <c r="L2007" s="1">
        <v>112.049667896679</v>
      </c>
      <c r="N2007" s="7">
        <v>45947</v>
      </c>
      <c r="O2007" s="1">
        <v>30000</v>
      </c>
      <c r="P2007" s="7">
        <v>46214.738410682869</v>
      </c>
      <c r="Q2007" s="1" t="s">
        <v>330</v>
      </c>
      <c r="T2007" s="1" t="s">
        <v>452</v>
      </c>
      <c r="U2007" s="1" t="s">
        <v>453</v>
      </c>
      <c r="V2007" s="1">
        <v>1</v>
      </c>
      <c r="W2007" s="3">
        <v>13118.81</v>
      </c>
      <c r="X2007" s="3">
        <v>13118.81</v>
      </c>
      <c r="Y2007" s="1" t="str">
        <f>VLOOKUP(A2007,[1]Detalle!$D$2:$CR$484,93,FALSE)</f>
        <v>Arcor S.A.I.C.</v>
      </c>
    </row>
    <row r="2008" spans="1:25" ht="14.25" customHeight="1" x14ac:dyDescent="0.3">
      <c r="A2008" s="1" t="s">
        <v>19</v>
      </c>
      <c r="B2008" s="1" t="s">
        <v>451</v>
      </c>
      <c r="C2008" s="1" t="s">
        <v>451</v>
      </c>
      <c r="D2008" s="1" t="s">
        <v>344</v>
      </c>
      <c r="E2008" s="6">
        <v>45902</v>
      </c>
      <c r="F2008" s="1">
        <v>542619</v>
      </c>
      <c r="G2008" s="1">
        <v>572619</v>
      </c>
      <c r="H2008" s="1">
        <v>9864.5000000000018</v>
      </c>
      <c r="I2008" s="1">
        <v>20135.5</v>
      </c>
      <c r="J2008" s="1">
        <v>552483.5</v>
      </c>
      <c r="K2008" s="1">
        <v>45</v>
      </c>
      <c r="L2008" s="1">
        <v>844.57346863468638</v>
      </c>
      <c r="M2008" s="1">
        <v>91.85437680571745</v>
      </c>
      <c r="N2008" s="7">
        <v>45947</v>
      </c>
      <c r="O2008" s="1">
        <v>30000</v>
      </c>
      <c r="P2008" s="7">
        <v>46038.854376805553</v>
      </c>
      <c r="Q2008" s="1" t="s">
        <v>330</v>
      </c>
      <c r="T2008" s="1" t="s">
        <v>345</v>
      </c>
      <c r="U2008" s="1" t="s">
        <v>346</v>
      </c>
      <c r="V2008" s="1">
        <v>1</v>
      </c>
      <c r="W2008" s="3">
        <v>10535.04</v>
      </c>
      <c r="X2008" s="3">
        <v>10535.04</v>
      </c>
      <c r="Y2008" s="1" t="str">
        <f>VLOOKUP(A2008,[1]Detalle!$D$2:$CR$484,93,FALSE)</f>
        <v>CENCOMLD - Cencosud SA - Mendoza</v>
      </c>
    </row>
    <row r="2009" spans="1:25" ht="14.25" customHeight="1" x14ac:dyDescent="0.3">
      <c r="A2009" s="1" t="s">
        <v>19</v>
      </c>
      <c r="B2009" s="1" t="s">
        <v>451</v>
      </c>
      <c r="C2009" s="1" t="s">
        <v>451</v>
      </c>
      <c r="D2009" s="1" t="s">
        <v>344</v>
      </c>
      <c r="E2009" s="6">
        <v>45902</v>
      </c>
      <c r="F2009" s="1">
        <v>542619</v>
      </c>
      <c r="G2009" s="1">
        <v>572619</v>
      </c>
      <c r="H2009" s="1">
        <v>9864.5000000000018</v>
      </c>
      <c r="I2009" s="1">
        <v>20135.5</v>
      </c>
      <c r="J2009" s="1">
        <v>552483.5</v>
      </c>
      <c r="K2009" s="1">
        <v>45</v>
      </c>
      <c r="L2009" s="1">
        <v>844.57346863468638</v>
      </c>
      <c r="M2009" s="1">
        <v>91.85437680571745</v>
      </c>
      <c r="N2009" s="7">
        <v>45947</v>
      </c>
      <c r="O2009" s="1">
        <v>30000</v>
      </c>
      <c r="P2009" s="7">
        <v>46038.854376805553</v>
      </c>
      <c r="Q2009" s="1" t="s">
        <v>330</v>
      </c>
      <c r="T2009" s="1" t="s">
        <v>452</v>
      </c>
      <c r="U2009" s="1" t="s">
        <v>453</v>
      </c>
      <c r="V2009" s="1">
        <v>1</v>
      </c>
      <c r="W2009" s="3">
        <v>13118.81</v>
      </c>
      <c r="X2009" s="3">
        <v>13118.81</v>
      </c>
      <c r="Y2009" s="1" t="str">
        <f>VLOOKUP(A2009,[1]Detalle!$D$2:$CR$484,93,FALSE)</f>
        <v>CENCOMLD - Cencosud SA - Mendoza</v>
      </c>
    </row>
    <row r="2010" spans="1:25" ht="14.25" customHeight="1" x14ac:dyDescent="0.3">
      <c r="A2010" s="1" t="s">
        <v>31</v>
      </c>
      <c r="B2010" s="1" t="s">
        <v>451</v>
      </c>
      <c r="C2010" s="1" t="s">
        <v>451</v>
      </c>
      <c r="D2010" s="1" t="s">
        <v>344</v>
      </c>
      <c r="E2010" s="6">
        <v>45670</v>
      </c>
      <c r="F2010" s="1">
        <v>26955.5</v>
      </c>
      <c r="G2010" s="1">
        <v>56955.5</v>
      </c>
      <c r="H2010" s="1">
        <v>25182.46000000001</v>
      </c>
      <c r="I2010" s="1">
        <v>4817.53999999999</v>
      </c>
      <c r="J2010" s="1">
        <v>52137.960000000006</v>
      </c>
      <c r="K2010" s="1">
        <v>277</v>
      </c>
      <c r="L2010" s="1">
        <v>102.90352941176479</v>
      </c>
      <c r="M2010" s="1">
        <v>52.991589384039401</v>
      </c>
      <c r="N2010" s="7">
        <v>45947</v>
      </c>
      <c r="O2010" s="1">
        <v>30000</v>
      </c>
      <c r="P2010" s="7">
        <v>46291.526779398147</v>
      </c>
      <c r="Q2010" s="1" t="s">
        <v>330</v>
      </c>
      <c r="T2010" s="1" t="s">
        <v>345</v>
      </c>
      <c r="U2010" s="1" t="s">
        <v>346</v>
      </c>
      <c r="V2010" s="1">
        <v>1</v>
      </c>
      <c r="W2010" s="3">
        <v>10535.04</v>
      </c>
      <c r="X2010" s="3">
        <v>10535.04</v>
      </c>
      <c r="Y2010" s="1" t="str">
        <f>VLOOKUP(A2010,[1]Detalle!$D$2:$CR$484,93,FALSE)</f>
        <v>CENCOMLD - Cencosud SA - Mendoza</v>
      </c>
    </row>
    <row r="2011" spans="1:25" ht="14.25" customHeight="1" x14ac:dyDescent="0.3">
      <c r="A2011" s="1" t="s">
        <v>31</v>
      </c>
      <c r="B2011" s="1" t="s">
        <v>451</v>
      </c>
      <c r="C2011" s="1" t="s">
        <v>451</v>
      </c>
      <c r="D2011" s="1" t="s">
        <v>344</v>
      </c>
      <c r="E2011" s="6">
        <v>45670</v>
      </c>
      <c r="F2011" s="1">
        <v>26955.5</v>
      </c>
      <c r="G2011" s="1">
        <v>56955.5</v>
      </c>
      <c r="H2011" s="1">
        <v>25182.46000000001</v>
      </c>
      <c r="I2011" s="1">
        <v>4817.53999999999</v>
      </c>
      <c r="J2011" s="1">
        <v>52137.960000000006</v>
      </c>
      <c r="K2011" s="1">
        <v>277</v>
      </c>
      <c r="L2011" s="1">
        <v>102.90352941176479</v>
      </c>
      <c r="M2011" s="1">
        <v>52.991589384039401</v>
      </c>
      <c r="N2011" s="7">
        <v>45947</v>
      </c>
      <c r="O2011" s="1">
        <v>30000</v>
      </c>
      <c r="P2011" s="7">
        <v>46291.526779398147</v>
      </c>
      <c r="Q2011" s="1" t="s">
        <v>330</v>
      </c>
      <c r="T2011" s="1" t="s">
        <v>452</v>
      </c>
      <c r="U2011" s="1" t="s">
        <v>453</v>
      </c>
      <c r="V2011" s="1">
        <v>1</v>
      </c>
      <c r="W2011" s="3">
        <v>13118.81</v>
      </c>
      <c r="X2011" s="3">
        <v>13118.81</v>
      </c>
      <c r="Y2011" s="1" t="str">
        <f>VLOOKUP(A2011,[1]Detalle!$D$2:$CR$484,93,FALSE)</f>
        <v>CENCOMLD - Cencosud SA - Mendoza</v>
      </c>
    </row>
    <row r="2012" spans="1:25" ht="14.25" customHeight="1" x14ac:dyDescent="0.3">
      <c r="A2012" s="1" t="s">
        <v>35</v>
      </c>
      <c r="B2012" s="1" t="s">
        <v>451</v>
      </c>
      <c r="C2012" s="1" t="s">
        <v>451</v>
      </c>
      <c r="D2012" s="1" t="s">
        <v>344</v>
      </c>
      <c r="E2012" s="6">
        <v>45889</v>
      </c>
      <c r="F2012" s="1">
        <v>401776</v>
      </c>
      <c r="G2012" s="1">
        <v>431776</v>
      </c>
      <c r="H2012" s="1">
        <v>11957.5</v>
      </c>
      <c r="I2012" s="1">
        <v>18042.5</v>
      </c>
      <c r="J2012" s="1">
        <v>413733.5</v>
      </c>
      <c r="K2012" s="1">
        <v>58</v>
      </c>
      <c r="L2012" s="1">
        <v>328.18794117647042</v>
      </c>
      <c r="M2012" s="1">
        <v>87.515366924524358</v>
      </c>
      <c r="N2012" s="7">
        <v>45947</v>
      </c>
      <c r="O2012" s="1">
        <v>30000</v>
      </c>
      <c r="P2012" s="7">
        <v>46034.515366921303</v>
      </c>
      <c r="Q2012" s="1" t="s">
        <v>330</v>
      </c>
      <c r="T2012" s="1" t="s">
        <v>345</v>
      </c>
      <c r="U2012" s="1" t="s">
        <v>346</v>
      </c>
      <c r="V2012" s="1">
        <v>1</v>
      </c>
      <c r="W2012" s="3">
        <v>10535.04</v>
      </c>
      <c r="X2012" s="3">
        <v>10535.04</v>
      </c>
      <c r="Y2012" s="1" t="str">
        <f>VLOOKUP(A2012,[1]Detalle!$D$2:$CR$484,93,FALSE)</f>
        <v>CENCOMLD - Cencosud SA - Mendoza</v>
      </c>
    </row>
    <row r="2013" spans="1:25" ht="14.25" customHeight="1" x14ac:dyDescent="0.3">
      <c r="A2013" s="1" t="s">
        <v>35</v>
      </c>
      <c r="B2013" s="1" t="s">
        <v>451</v>
      </c>
      <c r="C2013" s="1" t="s">
        <v>451</v>
      </c>
      <c r="D2013" s="1" t="s">
        <v>344</v>
      </c>
      <c r="E2013" s="6">
        <v>45889</v>
      </c>
      <c r="F2013" s="1">
        <v>401776</v>
      </c>
      <c r="G2013" s="1">
        <v>431776</v>
      </c>
      <c r="H2013" s="1">
        <v>11957.5</v>
      </c>
      <c r="I2013" s="1">
        <v>18042.5</v>
      </c>
      <c r="J2013" s="1">
        <v>413733.5</v>
      </c>
      <c r="K2013" s="1">
        <v>58</v>
      </c>
      <c r="L2013" s="1">
        <v>328.18794117647042</v>
      </c>
      <c r="M2013" s="1">
        <v>87.515366924524358</v>
      </c>
      <c r="N2013" s="7">
        <v>45947</v>
      </c>
      <c r="O2013" s="1">
        <v>30000</v>
      </c>
      <c r="P2013" s="7">
        <v>46034.515366921303</v>
      </c>
      <c r="Q2013" s="1" t="s">
        <v>330</v>
      </c>
      <c r="T2013" s="1" t="s">
        <v>452</v>
      </c>
      <c r="U2013" s="1" t="s">
        <v>453</v>
      </c>
      <c r="V2013" s="1">
        <v>1</v>
      </c>
      <c r="W2013" s="3">
        <v>13118.81</v>
      </c>
      <c r="X2013" s="3">
        <v>13118.81</v>
      </c>
      <c r="Y2013" s="1" t="str">
        <f>VLOOKUP(A2013,[1]Detalle!$D$2:$CR$484,93,FALSE)</f>
        <v>CENCOMLD - Cencosud SA - Mendoza</v>
      </c>
    </row>
    <row r="2014" spans="1:25" ht="14.25" customHeight="1" x14ac:dyDescent="0.3">
      <c r="A2014" s="1" t="s">
        <v>95</v>
      </c>
      <c r="B2014" s="1" t="s">
        <v>451</v>
      </c>
      <c r="C2014" s="1" t="s">
        <v>451</v>
      </c>
      <c r="D2014" s="1" t="s">
        <v>344</v>
      </c>
      <c r="E2014" s="6">
        <v>45869</v>
      </c>
      <c r="F2014" s="1">
        <v>165086</v>
      </c>
      <c r="G2014" s="1">
        <v>195086</v>
      </c>
      <c r="H2014" s="1">
        <v>12624.7</v>
      </c>
      <c r="I2014" s="1">
        <v>17375.3</v>
      </c>
      <c r="J2014" s="1">
        <v>177710.7</v>
      </c>
      <c r="K2014" s="1">
        <v>78</v>
      </c>
      <c r="L2014" s="1">
        <v>266.23473282442751</v>
      </c>
      <c r="M2014" s="1">
        <v>107.3509390322146</v>
      </c>
      <c r="N2014" s="7">
        <v>45947</v>
      </c>
      <c r="O2014" s="1">
        <v>30000</v>
      </c>
      <c r="P2014" s="7">
        <v>46054.350939027783</v>
      </c>
      <c r="Q2014" s="1" t="s">
        <v>330</v>
      </c>
      <c r="T2014" s="1" t="s">
        <v>345</v>
      </c>
      <c r="U2014" s="1" t="s">
        <v>346</v>
      </c>
      <c r="V2014" s="1">
        <v>1</v>
      </c>
      <c r="W2014" s="3">
        <v>10535.04</v>
      </c>
      <c r="X2014" s="3">
        <v>10535.04</v>
      </c>
      <c r="Y2014" s="1" t="str">
        <f>VLOOKUP(A2014,[1]Detalle!$D$2:$CR$484,93,FALSE)</f>
        <v>CENCOMLD - Cencosud SA - Mendoza</v>
      </c>
    </row>
    <row r="2015" spans="1:25" ht="14.25" customHeight="1" x14ac:dyDescent="0.3">
      <c r="A2015" s="1" t="s">
        <v>95</v>
      </c>
      <c r="B2015" s="1" t="s">
        <v>451</v>
      </c>
      <c r="C2015" s="1" t="s">
        <v>451</v>
      </c>
      <c r="D2015" s="1" t="s">
        <v>344</v>
      </c>
      <c r="E2015" s="6">
        <v>45869</v>
      </c>
      <c r="F2015" s="1">
        <v>165086</v>
      </c>
      <c r="G2015" s="1">
        <v>195086</v>
      </c>
      <c r="H2015" s="1">
        <v>12624.7</v>
      </c>
      <c r="I2015" s="1">
        <v>17375.3</v>
      </c>
      <c r="J2015" s="1">
        <v>177710.7</v>
      </c>
      <c r="K2015" s="1">
        <v>78</v>
      </c>
      <c r="L2015" s="1">
        <v>266.23473282442751</v>
      </c>
      <c r="M2015" s="1">
        <v>107.3509390322146</v>
      </c>
      <c r="N2015" s="7">
        <v>45947</v>
      </c>
      <c r="O2015" s="1">
        <v>30000</v>
      </c>
      <c r="P2015" s="7">
        <v>46054.350939027783</v>
      </c>
      <c r="Q2015" s="1" t="s">
        <v>330</v>
      </c>
      <c r="T2015" s="1" t="s">
        <v>452</v>
      </c>
      <c r="U2015" s="1" t="s">
        <v>453</v>
      </c>
      <c r="V2015" s="1">
        <v>1</v>
      </c>
      <c r="W2015" s="3">
        <v>13118.81</v>
      </c>
      <c r="X2015" s="3">
        <v>13118.81</v>
      </c>
      <c r="Y2015" s="1" t="str">
        <f>VLOOKUP(A2015,[1]Detalle!$D$2:$CR$484,93,FALSE)</f>
        <v>CENCOMLD - Cencosud SA - Mendoza</v>
      </c>
    </row>
    <row r="2016" spans="1:25" ht="14.25" customHeight="1" x14ac:dyDescent="0.3">
      <c r="A2016" s="1" t="s">
        <v>96</v>
      </c>
      <c r="B2016" s="1" t="s">
        <v>451</v>
      </c>
      <c r="C2016" s="1" t="s">
        <v>451</v>
      </c>
      <c r="D2016" s="1" t="s">
        <v>344</v>
      </c>
      <c r="E2016" s="6">
        <v>45861</v>
      </c>
      <c r="F2016" s="1">
        <v>163295</v>
      </c>
      <c r="G2016" s="1">
        <v>193295</v>
      </c>
      <c r="H2016" s="1">
        <v>22184.6</v>
      </c>
      <c r="I2016" s="1">
        <v>7815.3999999999978</v>
      </c>
      <c r="J2016" s="1">
        <v>185479.6</v>
      </c>
      <c r="K2016" s="1">
        <v>86</v>
      </c>
      <c r="L2016" s="1">
        <v>281.98244274809178</v>
      </c>
      <c r="M2016" s="1">
        <v>30.296890635846481</v>
      </c>
      <c r="N2016" s="7">
        <v>45947</v>
      </c>
      <c r="O2016" s="1">
        <v>30000</v>
      </c>
      <c r="P2016" s="7">
        <v>46083.686493148147</v>
      </c>
      <c r="Q2016" s="1" t="s">
        <v>330</v>
      </c>
      <c r="T2016" s="1" t="s">
        <v>345</v>
      </c>
      <c r="U2016" s="1" t="s">
        <v>346</v>
      </c>
      <c r="V2016" s="1">
        <v>1</v>
      </c>
      <c r="W2016" s="3">
        <v>10535.04</v>
      </c>
      <c r="X2016" s="3">
        <v>10535.04</v>
      </c>
      <c r="Y2016" s="1" t="str">
        <f>VLOOKUP(A2016,[1]Detalle!$D$2:$CR$484,93,FALSE)</f>
        <v>CENCOMLD - Cencosud SA - Mendoza</v>
      </c>
    </row>
    <row r="2017" spans="1:25" ht="14.25" customHeight="1" x14ac:dyDescent="0.3">
      <c r="A2017" s="1" t="s">
        <v>96</v>
      </c>
      <c r="B2017" s="1" t="s">
        <v>451</v>
      </c>
      <c r="C2017" s="1" t="s">
        <v>451</v>
      </c>
      <c r="D2017" s="1" t="s">
        <v>344</v>
      </c>
      <c r="E2017" s="6">
        <v>45861</v>
      </c>
      <c r="F2017" s="1">
        <v>163295</v>
      </c>
      <c r="G2017" s="1">
        <v>193295</v>
      </c>
      <c r="H2017" s="1">
        <v>22184.6</v>
      </c>
      <c r="I2017" s="1">
        <v>7815.3999999999978</v>
      </c>
      <c r="J2017" s="1">
        <v>185479.6</v>
      </c>
      <c r="K2017" s="1">
        <v>86</v>
      </c>
      <c r="L2017" s="1">
        <v>281.98244274809178</v>
      </c>
      <c r="M2017" s="1">
        <v>30.296890635846481</v>
      </c>
      <c r="N2017" s="7">
        <v>45947</v>
      </c>
      <c r="O2017" s="1">
        <v>30000</v>
      </c>
      <c r="P2017" s="7">
        <v>46083.686493148147</v>
      </c>
      <c r="Q2017" s="1" t="s">
        <v>330</v>
      </c>
      <c r="T2017" s="1" t="s">
        <v>452</v>
      </c>
      <c r="U2017" s="1" t="s">
        <v>453</v>
      </c>
      <c r="V2017" s="1">
        <v>1</v>
      </c>
      <c r="W2017" s="3">
        <v>13118.81</v>
      </c>
      <c r="X2017" s="3">
        <v>13118.81</v>
      </c>
      <c r="Y2017" s="1" t="str">
        <f>VLOOKUP(A2017,[1]Detalle!$D$2:$CR$484,93,FALSE)</f>
        <v>CENCOMLD - Cencosud SA - Mendoza</v>
      </c>
    </row>
    <row r="2018" spans="1:25" ht="14.25" customHeight="1" x14ac:dyDescent="0.3">
      <c r="A2018" s="1" t="s">
        <v>215</v>
      </c>
      <c r="B2018" s="1" t="s">
        <v>451</v>
      </c>
      <c r="C2018" s="1" t="s">
        <v>451</v>
      </c>
      <c r="D2018" s="1" t="s">
        <v>344</v>
      </c>
      <c r="E2018" s="6">
        <v>45810</v>
      </c>
      <c r="F2018" s="1">
        <v>367233</v>
      </c>
      <c r="G2018" s="1">
        <v>397233</v>
      </c>
      <c r="H2018" s="1">
        <v>10569.3</v>
      </c>
      <c r="I2018" s="1">
        <v>19430.7</v>
      </c>
      <c r="J2018" s="1">
        <v>377802.3</v>
      </c>
      <c r="K2018" s="1">
        <v>137</v>
      </c>
      <c r="L2018" s="1">
        <v>68.452272727272742</v>
      </c>
      <c r="M2018" s="1">
        <v>251.8620816894213</v>
      </c>
      <c r="N2018" s="7">
        <v>45947</v>
      </c>
      <c r="O2018" s="1">
        <v>30000</v>
      </c>
      <c r="P2018" s="7">
        <v>46198.862081689818</v>
      </c>
      <c r="Q2018" s="1" t="s">
        <v>330</v>
      </c>
      <c r="T2018" s="1" t="s">
        <v>345</v>
      </c>
      <c r="U2018" s="1" t="s">
        <v>346</v>
      </c>
      <c r="V2018" s="1">
        <v>1</v>
      </c>
      <c r="W2018" s="3">
        <v>10535.04</v>
      </c>
      <c r="X2018" s="3">
        <v>10535.04</v>
      </c>
      <c r="Y2018" s="1" t="str">
        <f>VLOOKUP(A2018,[1]Detalle!$D$2:$CR$484,93,FALSE)</f>
        <v>Arcor S.A.I.C.</v>
      </c>
    </row>
    <row r="2019" spans="1:25" ht="14.25" customHeight="1" x14ac:dyDescent="0.3">
      <c r="A2019" s="1" t="s">
        <v>215</v>
      </c>
      <c r="B2019" s="1" t="s">
        <v>451</v>
      </c>
      <c r="C2019" s="1" t="s">
        <v>451</v>
      </c>
      <c r="D2019" s="1" t="s">
        <v>344</v>
      </c>
      <c r="E2019" s="6">
        <v>45810</v>
      </c>
      <c r="F2019" s="1">
        <v>367233</v>
      </c>
      <c r="G2019" s="1">
        <v>397233</v>
      </c>
      <c r="H2019" s="1">
        <v>10569.3</v>
      </c>
      <c r="I2019" s="1">
        <v>19430.7</v>
      </c>
      <c r="J2019" s="1">
        <v>377802.3</v>
      </c>
      <c r="K2019" s="1">
        <v>137</v>
      </c>
      <c r="L2019" s="1">
        <v>68.452272727272742</v>
      </c>
      <c r="M2019" s="1">
        <v>251.8620816894213</v>
      </c>
      <c r="N2019" s="7">
        <v>45947</v>
      </c>
      <c r="O2019" s="1">
        <v>30000</v>
      </c>
      <c r="P2019" s="7">
        <v>46198.862081689818</v>
      </c>
      <c r="Q2019" s="1" t="s">
        <v>330</v>
      </c>
      <c r="T2019" s="1" t="s">
        <v>452</v>
      </c>
      <c r="U2019" s="1" t="s">
        <v>453</v>
      </c>
      <c r="V2019" s="1">
        <v>1</v>
      </c>
      <c r="W2019" s="3">
        <v>13118.81</v>
      </c>
      <c r="X2019" s="3">
        <v>13118.81</v>
      </c>
      <c r="Y2019" s="1" t="str">
        <f>VLOOKUP(A2019,[1]Detalle!$D$2:$CR$484,93,FALSE)</f>
        <v>Arcor S.A.I.C.</v>
      </c>
    </row>
    <row r="2020" spans="1:25" ht="14.25" customHeight="1" x14ac:dyDescent="0.3">
      <c r="A2020" s="1" t="s">
        <v>214</v>
      </c>
      <c r="B2020" s="1" t="s">
        <v>451</v>
      </c>
      <c r="C2020" s="1" t="s">
        <v>451</v>
      </c>
      <c r="D2020" s="1" t="s">
        <v>344</v>
      </c>
      <c r="E2020" s="6">
        <v>45918</v>
      </c>
      <c r="F2020" s="1">
        <v>41172.300000000003</v>
      </c>
      <c r="G2020" s="1">
        <v>71172.3</v>
      </c>
      <c r="H2020" s="1">
        <v>0</v>
      </c>
      <c r="I2020" s="1">
        <v>30000</v>
      </c>
      <c r="J2020" s="1">
        <v>41172.300000000003</v>
      </c>
      <c r="K2020" s="1">
        <v>29</v>
      </c>
      <c r="L2020" s="1">
        <v>24.119335793357951</v>
      </c>
      <c r="M2020" s="1">
        <v>300</v>
      </c>
      <c r="N2020" s="7">
        <v>45947</v>
      </c>
      <c r="O2020" s="1">
        <v>30000</v>
      </c>
      <c r="P2020" s="7">
        <v>46247</v>
      </c>
      <c r="Q2020" s="1" t="s">
        <v>330</v>
      </c>
      <c r="T2020" s="1" t="s">
        <v>345</v>
      </c>
      <c r="U2020" s="1" t="s">
        <v>346</v>
      </c>
      <c r="V2020" s="1">
        <v>1</v>
      </c>
      <c r="W2020" s="3">
        <v>10535.04</v>
      </c>
      <c r="X2020" s="3">
        <v>10535.04</v>
      </c>
      <c r="Y2020" s="1" t="str">
        <f>VLOOKUP(A2020,[1]Detalle!$D$2:$CR$484,93,FALSE)</f>
        <v>Expreso - Servicios Troncales</v>
      </c>
    </row>
    <row r="2021" spans="1:25" ht="14.25" customHeight="1" x14ac:dyDescent="0.3">
      <c r="A2021" s="1" t="s">
        <v>214</v>
      </c>
      <c r="B2021" s="1" t="s">
        <v>451</v>
      </c>
      <c r="C2021" s="1" t="s">
        <v>451</v>
      </c>
      <c r="D2021" s="1" t="s">
        <v>344</v>
      </c>
      <c r="E2021" s="6">
        <v>45918</v>
      </c>
      <c r="F2021" s="1">
        <v>41172.300000000003</v>
      </c>
      <c r="G2021" s="1">
        <v>71172.3</v>
      </c>
      <c r="H2021" s="1">
        <v>0</v>
      </c>
      <c r="I2021" s="1">
        <v>30000</v>
      </c>
      <c r="J2021" s="1">
        <v>41172.300000000003</v>
      </c>
      <c r="K2021" s="1">
        <v>29</v>
      </c>
      <c r="L2021" s="1">
        <v>24.119335793357951</v>
      </c>
      <c r="M2021" s="1">
        <v>300</v>
      </c>
      <c r="N2021" s="7">
        <v>45947</v>
      </c>
      <c r="O2021" s="1">
        <v>30000</v>
      </c>
      <c r="P2021" s="7">
        <v>46247</v>
      </c>
      <c r="Q2021" s="1" t="s">
        <v>330</v>
      </c>
      <c r="T2021" s="1" t="s">
        <v>452</v>
      </c>
      <c r="U2021" s="1" t="s">
        <v>453</v>
      </c>
      <c r="V2021" s="1">
        <v>1</v>
      </c>
      <c r="W2021" s="3">
        <v>13118.81</v>
      </c>
      <c r="X2021" s="3">
        <v>13118.81</v>
      </c>
      <c r="Y2021" s="1" t="str">
        <f>VLOOKUP(A2021,[1]Detalle!$D$2:$CR$484,93,FALSE)</f>
        <v>Expreso - Servicios Troncales</v>
      </c>
    </row>
    <row r="2022" spans="1:25" ht="14.25" customHeight="1" x14ac:dyDescent="0.3">
      <c r="A2022" s="1" t="s">
        <v>176</v>
      </c>
      <c r="B2022" s="1" t="s">
        <v>451</v>
      </c>
      <c r="C2022" s="1" t="s">
        <v>451</v>
      </c>
      <c r="D2022" s="1" t="s">
        <v>344</v>
      </c>
      <c r="E2022" s="6">
        <v>45897</v>
      </c>
      <c r="F2022" s="1">
        <v>1944647</v>
      </c>
      <c r="G2022" s="1">
        <v>1974647</v>
      </c>
      <c r="H2022" s="1">
        <v>11028.1</v>
      </c>
      <c r="I2022" s="1">
        <v>18971.900000000001</v>
      </c>
      <c r="J2022" s="1">
        <v>1955675.1</v>
      </c>
      <c r="K2022" s="1">
        <v>50</v>
      </c>
      <c r="L2022" s="1">
        <v>1849.550539936103</v>
      </c>
      <c r="M2022" s="1">
        <v>86.016176857300891</v>
      </c>
      <c r="N2022" s="7">
        <v>45947</v>
      </c>
      <c r="O2022" s="1">
        <v>30000</v>
      </c>
      <c r="P2022" s="7">
        <v>46033.016176851852</v>
      </c>
      <c r="Q2022" s="1" t="s">
        <v>330</v>
      </c>
      <c r="T2022" s="1" t="s">
        <v>345</v>
      </c>
      <c r="U2022" s="1" t="s">
        <v>346</v>
      </c>
      <c r="V2022" s="1">
        <v>1</v>
      </c>
      <c r="W2022" s="3">
        <v>10535.04</v>
      </c>
      <c r="X2022" s="3">
        <v>10535.04</v>
      </c>
      <c r="Y2022" s="1" t="str">
        <f>VLOOKUP(A2022,[1]Detalle!$D$2:$CR$484,93,FALSE)</f>
        <v>Expreso - Servicios Troncales</v>
      </c>
    </row>
    <row r="2023" spans="1:25" ht="14.25" customHeight="1" x14ac:dyDescent="0.3">
      <c r="A2023" s="1" t="s">
        <v>176</v>
      </c>
      <c r="B2023" s="1" t="s">
        <v>451</v>
      </c>
      <c r="C2023" s="1" t="s">
        <v>451</v>
      </c>
      <c r="D2023" s="1" t="s">
        <v>344</v>
      </c>
      <c r="E2023" s="6">
        <v>45897</v>
      </c>
      <c r="F2023" s="1">
        <v>1944647</v>
      </c>
      <c r="G2023" s="1">
        <v>1974647</v>
      </c>
      <c r="H2023" s="1">
        <v>11028.1</v>
      </c>
      <c r="I2023" s="1">
        <v>18971.900000000001</v>
      </c>
      <c r="J2023" s="1">
        <v>1955675.1</v>
      </c>
      <c r="K2023" s="1">
        <v>50</v>
      </c>
      <c r="L2023" s="1">
        <v>1849.550539936103</v>
      </c>
      <c r="M2023" s="1">
        <v>86.016176857300891</v>
      </c>
      <c r="N2023" s="7">
        <v>45947</v>
      </c>
      <c r="O2023" s="1">
        <v>30000</v>
      </c>
      <c r="P2023" s="7">
        <v>46033.016176851852</v>
      </c>
      <c r="Q2023" s="1" t="s">
        <v>330</v>
      </c>
      <c r="T2023" s="1" t="s">
        <v>452</v>
      </c>
      <c r="U2023" s="1" t="s">
        <v>453</v>
      </c>
      <c r="V2023" s="1">
        <v>1</v>
      </c>
      <c r="W2023" s="3">
        <v>13118.81</v>
      </c>
      <c r="X2023" s="3">
        <v>13118.81</v>
      </c>
      <c r="Y2023" s="1" t="str">
        <f>VLOOKUP(A2023,[1]Detalle!$D$2:$CR$484,93,FALSE)</f>
        <v>Expreso - Servicios Troncales</v>
      </c>
    </row>
    <row r="2024" spans="1:25" ht="14.25" customHeight="1" x14ac:dyDescent="0.3">
      <c r="A2024" s="1" t="s">
        <v>177</v>
      </c>
      <c r="B2024" s="1" t="s">
        <v>451</v>
      </c>
      <c r="C2024" s="1" t="s">
        <v>451</v>
      </c>
      <c r="D2024" s="1" t="s">
        <v>344</v>
      </c>
      <c r="E2024" s="6">
        <v>45478</v>
      </c>
      <c r="F2024" s="1">
        <v>901266</v>
      </c>
      <c r="G2024" s="1">
        <v>931266</v>
      </c>
      <c r="H2024" s="1">
        <v>56774.349999999977</v>
      </c>
      <c r="I2024" s="1">
        <v>-26774.34999999998</v>
      </c>
      <c r="J2024" s="1">
        <v>958040.35</v>
      </c>
      <c r="K2024" s="1">
        <v>469</v>
      </c>
      <c r="L2024" s="1">
        <v>126.37693548387099</v>
      </c>
      <c r="M2024" s="1">
        <v>-221.17681928546949</v>
      </c>
      <c r="N2024" s="7">
        <v>45947</v>
      </c>
      <c r="O2024" s="1">
        <v>30000</v>
      </c>
      <c r="P2024" s="7">
        <v>46184.385088391202</v>
      </c>
      <c r="Q2024" s="1" t="s">
        <v>330</v>
      </c>
      <c r="T2024" s="1" t="s">
        <v>345</v>
      </c>
      <c r="U2024" s="1" t="s">
        <v>346</v>
      </c>
      <c r="V2024" s="1">
        <v>1</v>
      </c>
      <c r="W2024" s="3">
        <v>10535.04</v>
      </c>
      <c r="X2024" s="3">
        <v>10535.04</v>
      </c>
      <c r="Y2024" s="1" t="str">
        <f>VLOOKUP(A2024,[1]Detalle!$D$2:$CR$484,93,FALSE)</f>
        <v>Unilever - Unilever de Arg. S.A.</v>
      </c>
    </row>
    <row r="2025" spans="1:25" ht="14.25" customHeight="1" x14ac:dyDescent="0.3">
      <c r="A2025" s="1" t="s">
        <v>177</v>
      </c>
      <c r="B2025" s="1" t="s">
        <v>451</v>
      </c>
      <c r="C2025" s="1" t="s">
        <v>451</v>
      </c>
      <c r="D2025" s="1" t="s">
        <v>344</v>
      </c>
      <c r="E2025" s="6">
        <v>45478</v>
      </c>
      <c r="F2025" s="1">
        <v>901266</v>
      </c>
      <c r="G2025" s="1">
        <v>931266</v>
      </c>
      <c r="H2025" s="1">
        <v>56774.349999999977</v>
      </c>
      <c r="I2025" s="1">
        <v>-26774.34999999998</v>
      </c>
      <c r="J2025" s="1">
        <v>958040.35</v>
      </c>
      <c r="K2025" s="1">
        <v>469</v>
      </c>
      <c r="L2025" s="1">
        <v>126.37693548387099</v>
      </c>
      <c r="M2025" s="1">
        <v>-221.17681928546949</v>
      </c>
      <c r="N2025" s="7">
        <v>45947</v>
      </c>
      <c r="O2025" s="1">
        <v>30000</v>
      </c>
      <c r="P2025" s="7">
        <v>46184.385088391202</v>
      </c>
      <c r="Q2025" s="1" t="s">
        <v>330</v>
      </c>
      <c r="T2025" s="1" t="s">
        <v>452</v>
      </c>
      <c r="U2025" s="1" t="s">
        <v>453</v>
      </c>
      <c r="V2025" s="1">
        <v>1</v>
      </c>
      <c r="W2025" s="3">
        <v>13118.81</v>
      </c>
      <c r="X2025" s="3">
        <v>13118.81</v>
      </c>
      <c r="Y2025" s="1" t="str">
        <f>VLOOKUP(A2025,[1]Detalle!$D$2:$CR$484,93,FALSE)</f>
        <v>Unilever - Unilever de Arg. S.A.</v>
      </c>
    </row>
    <row r="2026" spans="1:25" ht="14.25" customHeight="1" x14ac:dyDescent="0.3">
      <c r="A2026" s="1" t="s">
        <v>186</v>
      </c>
      <c r="B2026" s="1" t="s">
        <v>451</v>
      </c>
      <c r="C2026" s="1" t="s">
        <v>451</v>
      </c>
      <c r="D2026" s="1" t="s">
        <v>344</v>
      </c>
      <c r="E2026" s="6">
        <v>45800</v>
      </c>
      <c r="F2026" s="1">
        <v>459582</v>
      </c>
      <c r="G2026" s="1">
        <v>489582</v>
      </c>
      <c r="H2026" s="1">
        <v>48012.699999999968</v>
      </c>
      <c r="I2026" s="1">
        <v>-18012.699999999972</v>
      </c>
      <c r="J2026" s="1">
        <v>507594.7</v>
      </c>
      <c r="K2026" s="1">
        <v>147</v>
      </c>
      <c r="L2026" s="1">
        <v>303.0774834437085</v>
      </c>
      <c r="M2026" s="1">
        <v>-55.149302163802432</v>
      </c>
      <c r="N2026" s="7">
        <v>45947</v>
      </c>
      <c r="O2026" s="1">
        <v>30000</v>
      </c>
      <c r="P2026" s="7">
        <v>46045.984588553241</v>
      </c>
      <c r="Q2026" s="1" t="s">
        <v>330</v>
      </c>
      <c r="T2026" s="1" t="s">
        <v>345</v>
      </c>
      <c r="U2026" s="1" t="s">
        <v>346</v>
      </c>
      <c r="V2026" s="1">
        <v>1</v>
      </c>
      <c r="W2026" s="3">
        <v>10535.04</v>
      </c>
      <c r="X2026" s="3">
        <v>10535.04</v>
      </c>
      <c r="Y2026" s="1" t="str">
        <f>VLOOKUP(A2026,[1]Detalle!$D$2:$CR$484,93,FALSE)</f>
        <v>Expreso - Servicios Troncales</v>
      </c>
    </row>
    <row r="2027" spans="1:25" ht="14.25" customHeight="1" x14ac:dyDescent="0.3">
      <c r="A2027" s="1" t="s">
        <v>186</v>
      </c>
      <c r="B2027" s="1" t="s">
        <v>451</v>
      </c>
      <c r="C2027" s="1" t="s">
        <v>451</v>
      </c>
      <c r="D2027" s="1" t="s">
        <v>344</v>
      </c>
      <c r="E2027" s="6">
        <v>45800</v>
      </c>
      <c r="F2027" s="1">
        <v>459582</v>
      </c>
      <c r="G2027" s="1">
        <v>489582</v>
      </c>
      <c r="H2027" s="1">
        <v>48012.699999999968</v>
      </c>
      <c r="I2027" s="1">
        <v>-18012.699999999972</v>
      </c>
      <c r="J2027" s="1">
        <v>507594.7</v>
      </c>
      <c r="K2027" s="1">
        <v>147</v>
      </c>
      <c r="L2027" s="1">
        <v>303.0774834437085</v>
      </c>
      <c r="M2027" s="1">
        <v>-55.149302163802432</v>
      </c>
      <c r="N2027" s="7">
        <v>45947</v>
      </c>
      <c r="O2027" s="1">
        <v>30000</v>
      </c>
      <c r="P2027" s="7">
        <v>46045.984588553241</v>
      </c>
      <c r="Q2027" s="1" t="s">
        <v>330</v>
      </c>
      <c r="T2027" s="1" t="s">
        <v>452</v>
      </c>
      <c r="U2027" s="1" t="s">
        <v>453</v>
      </c>
      <c r="V2027" s="1">
        <v>1</v>
      </c>
      <c r="W2027" s="3">
        <v>13118.81</v>
      </c>
      <c r="X2027" s="3">
        <v>13118.81</v>
      </c>
      <c r="Y2027" s="1" t="str">
        <f>VLOOKUP(A2027,[1]Detalle!$D$2:$CR$484,93,FALSE)</f>
        <v>Expreso - Servicios Troncales</v>
      </c>
    </row>
    <row r="2028" spans="1:25" ht="14.25" customHeight="1" x14ac:dyDescent="0.3">
      <c r="A2028" s="1" t="s">
        <v>201</v>
      </c>
      <c r="B2028" s="1" t="s">
        <v>451</v>
      </c>
      <c r="C2028" s="1" t="s">
        <v>451</v>
      </c>
      <c r="D2028" s="1" t="s">
        <v>344</v>
      </c>
      <c r="E2028" s="6">
        <v>45880</v>
      </c>
      <c r="F2028" s="1">
        <v>1839556</v>
      </c>
      <c r="G2028" s="1">
        <v>1869556</v>
      </c>
      <c r="H2028" s="1">
        <v>11612.7</v>
      </c>
      <c r="I2028" s="1">
        <v>18387.3</v>
      </c>
      <c r="J2028" s="1">
        <v>1851168.7</v>
      </c>
      <c r="K2028" s="1">
        <v>67</v>
      </c>
      <c r="L2028" s="1">
        <v>155.41622516556279</v>
      </c>
      <c r="M2028" s="1">
        <v>106.0863623446744</v>
      </c>
      <c r="N2028" s="7">
        <v>45947</v>
      </c>
      <c r="O2028" s="1">
        <v>30000</v>
      </c>
      <c r="P2028" s="7">
        <v>46053.086362349539</v>
      </c>
      <c r="Q2028" s="1" t="s">
        <v>330</v>
      </c>
      <c r="T2028" s="1" t="s">
        <v>345</v>
      </c>
      <c r="U2028" s="1" t="s">
        <v>346</v>
      </c>
      <c r="V2028" s="1">
        <v>1</v>
      </c>
      <c r="W2028" s="3">
        <v>10535.04</v>
      </c>
      <c r="X2028" s="3">
        <v>10535.04</v>
      </c>
      <c r="Y2028" s="1" t="str">
        <f>VLOOKUP(A2028,[1]Detalle!$D$2:$CR$484,93,FALSE)</f>
        <v>SUC_CTC - Sucursal Buenos Aires</v>
      </c>
    </row>
    <row r="2029" spans="1:25" ht="14.25" customHeight="1" x14ac:dyDescent="0.3">
      <c r="A2029" s="1" t="s">
        <v>201</v>
      </c>
      <c r="B2029" s="1" t="s">
        <v>451</v>
      </c>
      <c r="C2029" s="1" t="s">
        <v>451</v>
      </c>
      <c r="D2029" s="1" t="s">
        <v>344</v>
      </c>
      <c r="E2029" s="6">
        <v>45880</v>
      </c>
      <c r="F2029" s="1">
        <v>1839556</v>
      </c>
      <c r="G2029" s="1">
        <v>1869556</v>
      </c>
      <c r="H2029" s="1">
        <v>11612.7</v>
      </c>
      <c r="I2029" s="1">
        <v>18387.3</v>
      </c>
      <c r="J2029" s="1">
        <v>1851168.7</v>
      </c>
      <c r="K2029" s="1">
        <v>67</v>
      </c>
      <c r="L2029" s="1">
        <v>155.41622516556279</v>
      </c>
      <c r="M2029" s="1">
        <v>106.0863623446744</v>
      </c>
      <c r="N2029" s="7">
        <v>45947</v>
      </c>
      <c r="O2029" s="1">
        <v>30000</v>
      </c>
      <c r="P2029" s="7">
        <v>46053.086362349539</v>
      </c>
      <c r="Q2029" s="1" t="s">
        <v>330</v>
      </c>
      <c r="T2029" s="1" t="s">
        <v>452</v>
      </c>
      <c r="U2029" s="1" t="s">
        <v>453</v>
      </c>
      <c r="V2029" s="1">
        <v>1</v>
      </c>
      <c r="W2029" s="3">
        <v>13118.81</v>
      </c>
      <c r="X2029" s="3">
        <v>13118.81</v>
      </c>
      <c r="Y2029" s="1" t="str">
        <f>VLOOKUP(A2029,[1]Detalle!$D$2:$CR$484,93,FALSE)</f>
        <v>SUC_CTC - Sucursal Buenos Aires</v>
      </c>
    </row>
    <row r="2030" spans="1:25" ht="14.25" customHeight="1" x14ac:dyDescent="0.3">
      <c r="A2030" s="1" t="s">
        <v>230</v>
      </c>
      <c r="B2030" s="1" t="s">
        <v>451</v>
      </c>
      <c r="C2030" s="1" t="s">
        <v>451</v>
      </c>
      <c r="D2030" s="1" t="s">
        <v>344</v>
      </c>
      <c r="E2030" s="6">
        <v>45922</v>
      </c>
      <c r="F2030" s="1">
        <v>1817011</v>
      </c>
      <c r="G2030" s="1">
        <v>1847011</v>
      </c>
      <c r="H2030" s="1">
        <v>3227.7</v>
      </c>
      <c r="I2030" s="1">
        <v>26772.3</v>
      </c>
      <c r="J2030" s="1">
        <v>1820238.7</v>
      </c>
      <c r="K2030" s="1">
        <v>25</v>
      </c>
      <c r="L2030" s="1">
        <v>289.98935849056602</v>
      </c>
      <c r="M2030" s="1">
        <v>207.3636025652942</v>
      </c>
      <c r="N2030" s="7">
        <v>45947</v>
      </c>
      <c r="O2030" s="1">
        <v>30000</v>
      </c>
      <c r="P2030" s="7">
        <v>46154.363602569443</v>
      </c>
      <c r="Q2030" s="1" t="s">
        <v>330</v>
      </c>
      <c r="T2030" s="1" t="s">
        <v>345</v>
      </c>
      <c r="U2030" s="1" t="s">
        <v>346</v>
      </c>
      <c r="V2030" s="1">
        <v>1</v>
      </c>
      <c r="W2030" s="3">
        <v>10535.04</v>
      </c>
      <c r="X2030" s="3">
        <v>10535.04</v>
      </c>
      <c r="Y2030" s="1" t="str">
        <f>VLOOKUP(A2030,[1]Detalle!$D$2:$CR$484,93,FALSE)</f>
        <v>Expreso - Servicios Troncales</v>
      </c>
    </row>
    <row r="2031" spans="1:25" ht="14.25" customHeight="1" x14ac:dyDescent="0.3">
      <c r="A2031" s="1" t="s">
        <v>230</v>
      </c>
      <c r="B2031" s="1" t="s">
        <v>451</v>
      </c>
      <c r="C2031" s="1" t="s">
        <v>451</v>
      </c>
      <c r="D2031" s="1" t="s">
        <v>344</v>
      </c>
      <c r="E2031" s="6">
        <v>45922</v>
      </c>
      <c r="F2031" s="1">
        <v>1817011</v>
      </c>
      <c r="G2031" s="1">
        <v>1847011</v>
      </c>
      <c r="H2031" s="1">
        <v>3227.7</v>
      </c>
      <c r="I2031" s="1">
        <v>26772.3</v>
      </c>
      <c r="J2031" s="1">
        <v>1820238.7</v>
      </c>
      <c r="K2031" s="1">
        <v>25</v>
      </c>
      <c r="L2031" s="1">
        <v>289.98935849056602</v>
      </c>
      <c r="M2031" s="1">
        <v>207.3636025652942</v>
      </c>
      <c r="N2031" s="7">
        <v>45947</v>
      </c>
      <c r="O2031" s="1">
        <v>30000</v>
      </c>
      <c r="P2031" s="7">
        <v>46154.363602569443</v>
      </c>
      <c r="Q2031" s="1" t="s">
        <v>330</v>
      </c>
      <c r="T2031" s="1" t="s">
        <v>452</v>
      </c>
      <c r="U2031" s="1" t="s">
        <v>453</v>
      </c>
      <c r="V2031" s="1">
        <v>1</v>
      </c>
      <c r="W2031" s="3">
        <v>13118.81</v>
      </c>
      <c r="X2031" s="3">
        <v>13118.81</v>
      </c>
      <c r="Y2031" s="1" t="str">
        <f>VLOOKUP(A2031,[1]Detalle!$D$2:$CR$484,93,FALSE)</f>
        <v>Expreso - Servicios Troncales</v>
      </c>
    </row>
    <row r="2032" spans="1:25" ht="14.25" customHeight="1" x14ac:dyDescent="0.3">
      <c r="A2032" s="1" t="s">
        <v>175</v>
      </c>
      <c r="B2032" s="1" t="s">
        <v>451</v>
      </c>
      <c r="C2032" s="1" t="s">
        <v>451</v>
      </c>
      <c r="D2032" s="1" t="s">
        <v>344</v>
      </c>
      <c r="E2032" s="6">
        <v>45763</v>
      </c>
      <c r="F2032" s="1">
        <v>1556403</v>
      </c>
      <c r="G2032" s="1">
        <v>1586403</v>
      </c>
      <c r="H2032" s="1">
        <v>17285.8</v>
      </c>
      <c r="I2032" s="1">
        <v>12714.2</v>
      </c>
      <c r="J2032" s="1">
        <v>1573688.8</v>
      </c>
      <c r="K2032" s="1">
        <v>184</v>
      </c>
      <c r="L2032" s="1">
        <v>81.249174917491729</v>
      </c>
      <c r="M2032" s="1">
        <v>135.33725948466369</v>
      </c>
      <c r="N2032" s="7">
        <v>45947</v>
      </c>
      <c r="O2032" s="1">
        <v>30000</v>
      </c>
      <c r="P2032" s="7">
        <v>46082.337259479173</v>
      </c>
      <c r="Q2032" s="1" t="s">
        <v>330</v>
      </c>
      <c r="T2032" s="1" t="s">
        <v>345</v>
      </c>
      <c r="U2032" s="1" t="s">
        <v>346</v>
      </c>
      <c r="V2032" s="1">
        <v>1</v>
      </c>
      <c r="W2032" s="3">
        <v>10535.04</v>
      </c>
      <c r="X2032" s="3">
        <v>10535.04</v>
      </c>
      <c r="Y2032" s="1" t="str">
        <f>VLOOKUP(A2032,[1]Detalle!$D$2:$CR$484,93,FALSE)</f>
        <v>JOHNSON - SC JOHNSON DE ARGENTINA SAIC</v>
      </c>
    </row>
    <row r="2033" spans="1:25" ht="14.25" customHeight="1" x14ac:dyDescent="0.3">
      <c r="A2033" s="1" t="s">
        <v>175</v>
      </c>
      <c r="B2033" s="1" t="s">
        <v>451</v>
      </c>
      <c r="C2033" s="1" t="s">
        <v>451</v>
      </c>
      <c r="D2033" s="1" t="s">
        <v>344</v>
      </c>
      <c r="E2033" s="6">
        <v>45763</v>
      </c>
      <c r="F2033" s="1">
        <v>1556403</v>
      </c>
      <c r="G2033" s="1">
        <v>1586403</v>
      </c>
      <c r="H2033" s="1">
        <v>17285.8</v>
      </c>
      <c r="I2033" s="1">
        <v>12714.2</v>
      </c>
      <c r="J2033" s="1">
        <v>1573688.8</v>
      </c>
      <c r="K2033" s="1">
        <v>184</v>
      </c>
      <c r="L2033" s="1">
        <v>81.249174917491729</v>
      </c>
      <c r="M2033" s="1">
        <v>135.33725948466369</v>
      </c>
      <c r="N2033" s="7">
        <v>45947</v>
      </c>
      <c r="O2033" s="1">
        <v>30000</v>
      </c>
      <c r="P2033" s="7">
        <v>46082.337259479173</v>
      </c>
      <c r="Q2033" s="1" t="s">
        <v>330</v>
      </c>
      <c r="T2033" s="1" t="s">
        <v>452</v>
      </c>
      <c r="U2033" s="1" t="s">
        <v>453</v>
      </c>
      <c r="V2033" s="1">
        <v>1</v>
      </c>
      <c r="W2033" s="3">
        <v>13118.81</v>
      </c>
      <c r="X2033" s="3">
        <v>13118.81</v>
      </c>
      <c r="Y2033" s="1" t="str">
        <f>VLOOKUP(A2033,[1]Detalle!$D$2:$CR$484,93,FALSE)</f>
        <v>JOHNSON - SC JOHNSON DE ARGENTINA SAIC</v>
      </c>
    </row>
    <row r="2034" spans="1:25" ht="14.25" customHeight="1" x14ac:dyDescent="0.3">
      <c r="A2034" s="1" t="s">
        <v>216</v>
      </c>
      <c r="B2034" s="1" t="s">
        <v>451</v>
      </c>
      <c r="C2034" s="1" t="s">
        <v>451</v>
      </c>
      <c r="D2034" s="1" t="s">
        <v>344</v>
      </c>
      <c r="E2034" s="6">
        <v>45859</v>
      </c>
      <c r="F2034" s="1">
        <v>1612281</v>
      </c>
      <c r="G2034" s="1">
        <v>1642281</v>
      </c>
      <c r="H2034" s="1">
        <v>5237.8999999999996</v>
      </c>
      <c r="I2034" s="1">
        <v>24762.1</v>
      </c>
      <c r="J2034" s="1">
        <v>1617518.9</v>
      </c>
      <c r="K2034" s="1">
        <v>88</v>
      </c>
      <c r="L2034" s="1">
        <v>69.384019292604506</v>
      </c>
      <c r="M2034" s="1">
        <v>416.0187861547567</v>
      </c>
      <c r="N2034" s="7">
        <v>45947</v>
      </c>
      <c r="O2034" s="1">
        <v>30000</v>
      </c>
      <c r="P2034" s="7">
        <v>46363.018786157409</v>
      </c>
      <c r="Q2034" s="1" t="s">
        <v>330</v>
      </c>
      <c r="T2034" s="1" t="s">
        <v>345</v>
      </c>
      <c r="U2034" s="1" t="s">
        <v>346</v>
      </c>
      <c r="V2034" s="1">
        <v>1</v>
      </c>
      <c r="W2034" s="3">
        <v>10535.04</v>
      </c>
      <c r="X2034" s="3">
        <v>10535.04</v>
      </c>
      <c r="Y2034" s="1" t="str">
        <f>VLOOKUP(A2034,[1]Detalle!$D$2:$CR$484,93,FALSE)</f>
        <v>Arcor S.A.I.C.</v>
      </c>
    </row>
    <row r="2035" spans="1:25" ht="14.25" customHeight="1" x14ac:dyDescent="0.3">
      <c r="A2035" s="1" t="s">
        <v>216</v>
      </c>
      <c r="B2035" s="1" t="s">
        <v>451</v>
      </c>
      <c r="C2035" s="1" t="s">
        <v>451</v>
      </c>
      <c r="D2035" s="1" t="s">
        <v>344</v>
      </c>
      <c r="E2035" s="6">
        <v>45859</v>
      </c>
      <c r="F2035" s="1">
        <v>1612281</v>
      </c>
      <c r="G2035" s="1">
        <v>1642281</v>
      </c>
      <c r="H2035" s="1">
        <v>5237.8999999999996</v>
      </c>
      <c r="I2035" s="1">
        <v>24762.1</v>
      </c>
      <c r="J2035" s="1">
        <v>1617518.9</v>
      </c>
      <c r="K2035" s="1">
        <v>88</v>
      </c>
      <c r="L2035" s="1">
        <v>69.384019292604506</v>
      </c>
      <c r="M2035" s="1">
        <v>416.0187861547567</v>
      </c>
      <c r="N2035" s="7">
        <v>45947</v>
      </c>
      <c r="O2035" s="1">
        <v>30000</v>
      </c>
      <c r="P2035" s="7">
        <v>46363.018786157409</v>
      </c>
      <c r="Q2035" s="1" t="s">
        <v>330</v>
      </c>
      <c r="T2035" s="1" t="s">
        <v>452</v>
      </c>
      <c r="U2035" s="1" t="s">
        <v>453</v>
      </c>
      <c r="V2035" s="1">
        <v>1</v>
      </c>
      <c r="W2035" s="3">
        <v>13118.81</v>
      </c>
      <c r="X2035" s="3">
        <v>13118.81</v>
      </c>
      <c r="Y2035" s="1" t="str">
        <f>VLOOKUP(A2035,[1]Detalle!$D$2:$CR$484,93,FALSE)</f>
        <v>Arcor S.A.I.C.</v>
      </c>
    </row>
    <row r="2036" spans="1:25" ht="14.25" customHeight="1" x14ac:dyDescent="0.3">
      <c r="A2036" s="1" t="s">
        <v>98</v>
      </c>
      <c r="B2036" s="1" t="s">
        <v>451</v>
      </c>
      <c r="C2036" s="1" t="s">
        <v>451</v>
      </c>
      <c r="D2036" s="1" t="s">
        <v>344</v>
      </c>
      <c r="E2036" s="6">
        <v>45799</v>
      </c>
      <c r="F2036" s="1">
        <v>34072.6</v>
      </c>
      <c r="G2036" s="1">
        <v>64072.6</v>
      </c>
      <c r="H2036" s="1">
        <v>9725.4000000000015</v>
      </c>
      <c r="I2036" s="1">
        <v>20274.599999999999</v>
      </c>
      <c r="J2036" s="1">
        <v>43798</v>
      </c>
      <c r="K2036" s="1">
        <v>148</v>
      </c>
      <c r="L2036" s="1">
        <v>61.669847328244273</v>
      </c>
      <c r="M2036" s="1">
        <v>308.53649207230552</v>
      </c>
      <c r="N2036" s="7">
        <v>45947</v>
      </c>
      <c r="O2036" s="1">
        <v>30000</v>
      </c>
      <c r="P2036" s="7">
        <v>46255.536492071762</v>
      </c>
      <c r="Q2036" s="1" t="s">
        <v>330</v>
      </c>
      <c r="T2036" s="1" t="s">
        <v>345</v>
      </c>
      <c r="U2036" s="1" t="s">
        <v>346</v>
      </c>
      <c r="V2036" s="1">
        <v>1</v>
      </c>
      <c r="W2036" s="3">
        <v>10535.04</v>
      </c>
      <c r="X2036" s="3">
        <v>10535.04</v>
      </c>
      <c r="Y2036" s="1" t="str">
        <f>VLOOKUP(A2036,[1]Detalle!$D$2:$CR$484,93,FALSE)</f>
        <v>Arcor S.A.I.C.</v>
      </c>
    </row>
    <row r="2037" spans="1:25" ht="14.25" customHeight="1" x14ac:dyDescent="0.3">
      <c r="A2037" s="1" t="s">
        <v>98</v>
      </c>
      <c r="B2037" s="1" t="s">
        <v>451</v>
      </c>
      <c r="C2037" s="1" t="s">
        <v>451</v>
      </c>
      <c r="D2037" s="1" t="s">
        <v>344</v>
      </c>
      <c r="E2037" s="6">
        <v>45799</v>
      </c>
      <c r="F2037" s="1">
        <v>34072.6</v>
      </c>
      <c r="G2037" s="1">
        <v>64072.6</v>
      </c>
      <c r="H2037" s="1">
        <v>9725.4000000000015</v>
      </c>
      <c r="I2037" s="1">
        <v>20274.599999999999</v>
      </c>
      <c r="J2037" s="1">
        <v>43798</v>
      </c>
      <c r="K2037" s="1">
        <v>148</v>
      </c>
      <c r="L2037" s="1">
        <v>61.669847328244273</v>
      </c>
      <c r="M2037" s="1">
        <v>308.53649207230552</v>
      </c>
      <c r="N2037" s="7">
        <v>45947</v>
      </c>
      <c r="O2037" s="1">
        <v>30000</v>
      </c>
      <c r="P2037" s="7">
        <v>46255.536492071762</v>
      </c>
      <c r="Q2037" s="1" t="s">
        <v>330</v>
      </c>
      <c r="T2037" s="1" t="s">
        <v>452</v>
      </c>
      <c r="U2037" s="1" t="s">
        <v>453</v>
      </c>
      <c r="V2037" s="1">
        <v>1</v>
      </c>
      <c r="W2037" s="3">
        <v>13118.81</v>
      </c>
      <c r="X2037" s="3">
        <v>13118.81</v>
      </c>
      <c r="Y2037" s="1" t="str">
        <f>VLOOKUP(A2037,[1]Detalle!$D$2:$CR$484,93,FALSE)</f>
        <v>Arcor S.A.I.C.</v>
      </c>
    </row>
    <row r="2038" spans="1:25" ht="14.25" customHeight="1" x14ac:dyDescent="0.3">
      <c r="A2038" s="1" t="s">
        <v>5</v>
      </c>
      <c r="B2038" s="1" t="s">
        <v>454</v>
      </c>
      <c r="C2038" s="1" t="s">
        <v>451</v>
      </c>
      <c r="D2038" s="1" t="s">
        <v>344</v>
      </c>
      <c r="E2038" s="6">
        <v>45910</v>
      </c>
      <c r="F2038" s="1">
        <v>710185</v>
      </c>
      <c r="G2038" s="1">
        <v>740185</v>
      </c>
      <c r="H2038" s="1">
        <v>5358.4999999999991</v>
      </c>
      <c r="I2038" s="1">
        <v>24641.5</v>
      </c>
      <c r="J2038" s="1">
        <v>715543.5</v>
      </c>
      <c r="K2038" s="1">
        <v>37</v>
      </c>
      <c r="L2038" s="1">
        <v>276.33435114503811</v>
      </c>
      <c r="M2038" s="1">
        <v>170.14752262760101</v>
      </c>
      <c r="N2038" s="7">
        <v>45947</v>
      </c>
      <c r="O2038" s="1">
        <v>30000</v>
      </c>
      <c r="P2038" s="7">
        <v>46117.147522627318</v>
      </c>
      <c r="Q2038" s="1" t="s">
        <v>330</v>
      </c>
      <c r="T2038" s="1" t="s">
        <v>455</v>
      </c>
      <c r="U2038" s="1" t="s">
        <v>456</v>
      </c>
      <c r="V2038" s="1">
        <v>1</v>
      </c>
      <c r="W2038" s="3">
        <v>19823.39</v>
      </c>
      <c r="X2038" s="3">
        <v>19823.39</v>
      </c>
      <c r="Y2038" s="1" t="str">
        <f>VLOOKUP(A2038,[1]Detalle!$D$2:$CR$484,93,FALSE)</f>
        <v>ADA_CH - Danone Arg. S.A. - Chascomus</v>
      </c>
    </row>
    <row r="2039" spans="1:25" ht="14.25" customHeight="1" x14ac:dyDescent="0.3">
      <c r="A2039" s="1" t="s">
        <v>5</v>
      </c>
      <c r="B2039" s="1" t="s">
        <v>454</v>
      </c>
      <c r="C2039" s="1" t="s">
        <v>451</v>
      </c>
      <c r="D2039" s="1" t="s">
        <v>344</v>
      </c>
      <c r="E2039" s="6">
        <v>45910</v>
      </c>
      <c r="F2039" s="1">
        <v>710185</v>
      </c>
      <c r="G2039" s="1">
        <v>740185</v>
      </c>
      <c r="H2039" s="1">
        <v>5358.4999999999991</v>
      </c>
      <c r="I2039" s="1">
        <v>24641.5</v>
      </c>
      <c r="J2039" s="1">
        <v>715543.5</v>
      </c>
      <c r="K2039" s="1">
        <v>37</v>
      </c>
      <c r="L2039" s="1">
        <v>276.33435114503811</v>
      </c>
      <c r="M2039" s="1">
        <v>170.14752262760101</v>
      </c>
      <c r="N2039" s="7">
        <v>45947</v>
      </c>
      <c r="O2039" s="1">
        <v>30000</v>
      </c>
      <c r="P2039" s="7">
        <v>46117.147522627318</v>
      </c>
      <c r="Q2039" s="1" t="s">
        <v>330</v>
      </c>
      <c r="T2039" s="1" t="s">
        <v>452</v>
      </c>
      <c r="U2039" s="1" t="s">
        <v>453</v>
      </c>
      <c r="V2039" s="1">
        <v>1</v>
      </c>
      <c r="W2039" s="3">
        <v>13118.81</v>
      </c>
      <c r="X2039" s="3">
        <v>13118.81</v>
      </c>
      <c r="Y2039" s="1" t="str">
        <f>VLOOKUP(A2039,[1]Detalle!$D$2:$CR$484,93,FALSE)</f>
        <v>ADA_CH - Danone Arg. S.A. - Chascomus</v>
      </c>
    </row>
    <row r="2040" spans="1:25" ht="14.25" customHeight="1" x14ac:dyDescent="0.3">
      <c r="A2040" s="1" t="s">
        <v>8</v>
      </c>
      <c r="B2040" s="1" t="s">
        <v>454</v>
      </c>
      <c r="C2040" s="1" t="s">
        <v>451</v>
      </c>
      <c r="D2040" s="1" t="s">
        <v>344</v>
      </c>
      <c r="E2040" s="6">
        <v>45880</v>
      </c>
      <c r="F2040" s="1">
        <v>722255</v>
      </c>
      <c r="G2040" s="1">
        <v>752255</v>
      </c>
      <c r="H2040" s="1">
        <v>15317.7</v>
      </c>
      <c r="I2040" s="1">
        <v>14682.3</v>
      </c>
      <c r="J2040" s="1">
        <v>737572.7</v>
      </c>
      <c r="K2040" s="1">
        <v>67</v>
      </c>
      <c r="L2040" s="1">
        <v>286.50848708487092</v>
      </c>
      <c r="M2040" s="1">
        <v>64.220744628762787</v>
      </c>
      <c r="N2040" s="7">
        <v>45947</v>
      </c>
      <c r="O2040" s="1">
        <v>30000</v>
      </c>
      <c r="P2040" s="7">
        <v>46115.9296846875</v>
      </c>
      <c r="Q2040" s="1" t="s">
        <v>330</v>
      </c>
      <c r="T2040" s="1" t="s">
        <v>455</v>
      </c>
      <c r="U2040" s="1" t="s">
        <v>456</v>
      </c>
      <c r="V2040" s="1">
        <v>1</v>
      </c>
      <c r="W2040" s="3">
        <v>19823.39</v>
      </c>
      <c r="X2040" s="3">
        <v>19823.39</v>
      </c>
      <c r="Y2040" s="1" t="str">
        <f>VLOOKUP(A2040,[1]Detalle!$D$2:$CR$484,93,FALSE)</f>
        <v>ADA_CH - Danone Arg. S.A. - Chascomus</v>
      </c>
    </row>
    <row r="2041" spans="1:25" ht="14.25" customHeight="1" x14ac:dyDescent="0.3">
      <c r="A2041" s="1" t="s">
        <v>8</v>
      </c>
      <c r="B2041" s="1" t="s">
        <v>454</v>
      </c>
      <c r="C2041" s="1" t="s">
        <v>451</v>
      </c>
      <c r="D2041" s="1" t="s">
        <v>344</v>
      </c>
      <c r="E2041" s="6">
        <v>45880</v>
      </c>
      <c r="F2041" s="1">
        <v>722255</v>
      </c>
      <c r="G2041" s="1">
        <v>752255</v>
      </c>
      <c r="H2041" s="1">
        <v>15317.7</v>
      </c>
      <c r="I2041" s="1">
        <v>14682.3</v>
      </c>
      <c r="J2041" s="1">
        <v>737572.7</v>
      </c>
      <c r="K2041" s="1">
        <v>67</v>
      </c>
      <c r="L2041" s="1">
        <v>286.50848708487092</v>
      </c>
      <c r="M2041" s="1">
        <v>64.220744628762787</v>
      </c>
      <c r="N2041" s="7">
        <v>45947</v>
      </c>
      <c r="O2041" s="1">
        <v>30000</v>
      </c>
      <c r="P2041" s="7">
        <v>46115.9296846875</v>
      </c>
      <c r="Q2041" s="1" t="s">
        <v>330</v>
      </c>
      <c r="T2041" s="1" t="s">
        <v>452</v>
      </c>
      <c r="U2041" s="1" t="s">
        <v>453</v>
      </c>
      <c r="V2041" s="1">
        <v>1</v>
      </c>
      <c r="W2041" s="3">
        <v>13118.81</v>
      </c>
      <c r="X2041" s="3">
        <v>13118.81</v>
      </c>
      <c r="Y2041" s="1" t="str">
        <f>VLOOKUP(A2041,[1]Detalle!$D$2:$CR$484,93,FALSE)</f>
        <v>ADA_CH - Danone Arg. S.A. - Chascomus</v>
      </c>
    </row>
    <row r="2042" spans="1:25" ht="14.25" customHeight="1" x14ac:dyDescent="0.3">
      <c r="A2042" s="1" t="s">
        <v>11</v>
      </c>
      <c r="B2042" s="1" t="s">
        <v>454</v>
      </c>
      <c r="C2042" s="1" t="s">
        <v>451</v>
      </c>
      <c r="D2042" s="1" t="s">
        <v>344</v>
      </c>
      <c r="E2042" s="6">
        <v>45853</v>
      </c>
      <c r="F2042" s="1">
        <v>769430</v>
      </c>
      <c r="G2042" s="1">
        <v>799430</v>
      </c>
      <c r="H2042" s="1">
        <v>24465.80000000001</v>
      </c>
      <c r="I2042" s="1">
        <v>5534.1999999999935</v>
      </c>
      <c r="J2042" s="1">
        <v>793895.8</v>
      </c>
      <c r="K2042" s="1">
        <v>94</v>
      </c>
      <c r="L2042" s="1">
        <v>323.09338235294098</v>
      </c>
      <c r="M2042" s="1">
        <v>21.262938469210049</v>
      </c>
      <c r="N2042" s="7">
        <v>45947</v>
      </c>
      <c r="O2042" s="1">
        <v>30000</v>
      </c>
      <c r="P2042" s="7">
        <v>46061.115350925917</v>
      </c>
      <c r="Q2042" s="1" t="s">
        <v>330</v>
      </c>
      <c r="T2042" s="1" t="s">
        <v>455</v>
      </c>
      <c r="U2042" s="1" t="s">
        <v>456</v>
      </c>
      <c r="V2042" s="1">
        <v>1</v>
      </c>
      <c r="W2042" s="3">
        <v>19823.39</v>
      </c>
      <c r="X2042" s="3">
        <v>19823.39</v>
      </c>
      <c r="Y2042" s="1" t="str">
        <f>VLOOKUP(A2042,[1]Detalle!$D$2:$CR$484,93,FALSE)</f>
        <v>ADA_CH - Danone Arg. S.A. - Chascomus</v>
      </c>
    </row>
    <row r="2043" spans="1:25" ht="14.25" customHeight="1" x14ac:dyDescent="0.3">
      <c r="A2043" s="1" t="s">
        <v>11</v>
      </c>
      <c r="B2043" s="1" t="s">
        <v>454</v>
      </c>
      <c r="C2043" s="1" t="s">
        <v>451</v>
      </c>
      <c r="D2043" s="1" t="s">
        <v>344</v>
      </c>
      <c r="E2043" s="6">
        <v>45853</v>
      </c>
      <c r="F2043" s="1">
        <v>769430</v>
      </c>
      <c r="G2043" s="1">
        <v>799430</v>
      </c>
      <c r="H2043" s="1">
        <v>24465.80000000001</v>
      </c>
      <c r="I2043" s="1">
        <v>5534.1999999999935</v>
      </c>
      <c r="J2043" s="1">
        <v>793895.8</v>
      </c>
      <c r="K2043" s="1">
        <v>94</v>
      </c>
      <c r="L2043" s="1">
        <v>323.09338235294098</v>
      </c>
      <c r="M2043" s="1">
        <v>21.262938469210049</v>
      </c>
      <c r="N2043" s="7">
        <v>45947</v>
      </c>
      <c r="O2043" s="1">
        <v>30000</v>
      </c>
      <c r="P2043" s="7">
        <v>46061.115350925917</v>
      </c>
      <c r="Q2043" s="1" t="s">
        <v>330</v>
      </c>
      <c r="T2043" s="1" t="s">
        <v>452</v>
      </c>
      <c r="U2043" s="1" t="s">
        <v>453</v>
      </c>
      <c r="V2043" s="1">
        <v>1</v>
      </c>
      <c r="W2043" s="3">
        <v>13118.81</v>
      </c>
      <c r="X2043" s="3">
        <v>13118.81</v>
      </c>
      <c r="Y2043" s="1" t="str">
        <f>VLOOKUP(A2043,[1]Detalle!$D$2:$CR$484,93,FALSE)</f>
        <v>ADA_CH - Danone Arg. S.A. - Chascomus</v>
      </c>
    </row>
    <row r="2044" spans="1:25" ht="14.25" customHeight="1" x14ac:dyDescent="0.3">
      <c r="A2044" s="1" t="s">
        <v>10</v>
      </c>
      <c r="B2044" s="1" t="s">
        <v>454</v>
      </c>
      <c r="C2044" s="1" t="s">
        <v>451</v>
      </c>
      <c r="D2044" s="1" t="s">
        <v>344</v>
      </c>
      <c r="E2044" s="6">
        <v>45864</v>
      </c>
      <c r="F2044" s="1">
        <v>699069</v>
      </c>
      <c r="G2044" s="1">
        <v>729069</v>
      </c>
      <c r="H2044" s="1">
        <v>14311.7</v>
      </c>
      <c r="I2044" s="1">
        <v>15688.3</v>
      </c>
      <c r="J2044" s="1">
        <v>713380.7</v>
      </c>
      <c r="K2044" s="1">
        <v>83</v>
      </c>
      <c r="L2044" s="1">
        <v>266.81618518518519</v>
      </c>
      <c r="M2044" s="1">
        <v>90.983523969898769</v>
      </c>
      <c r="N2044" s="7">
        <v>45947</v>
      </c>
      <c r="O2044" s="1">
        <v>30000</v>
      </c>
      <c r="P2044" s="7">
        <v>46037.98352396991</v>
      </c>
      <c r="Q2044" s="1" t="s">
        <v>330</v>
      </c>
      <c r="T2044" s="1" t="s">
        <v>455</v>
      </c>
      <c r="U2044" s="1" t="s">
        <v>456</v>
      </c>
      <c r="V2044" s="1">
        <v>1</v>
      </c>
      <c r="W2044" s="3">
        <v>19823.39</v>
      </c>
      <c r="X2044" s="3">
        <v>19823.39</v>
      </c>
      <c r="Y2044" s="1" t="str">
        <f>VLOOKUP(A2044,[1]Detalle!$D$2:$CR$484,93,FALSE)</f>
        <v>ADA_CH - Danone Arg. S.A. - Chascomus</v>
      </c>
    </row>
    <row r="2045" spans="1:25" ht="14.25" customHeight="1" x14ac:dyDescent="0.3">
      <c r="A2045" s="1" t="s">
        <v>10</v>
      </c>
      <c r="B2045" s="1" t="s">
        <v>454</v>
      </c>
      <c r="C2045" s="1" t="s">
        <v>451</v>
      </c>
      <c r="D2045" s="1" t="s">
        <v>344</v>
      </c>
      <c r="E2045" s="6">
        <v>45864</v>
      </c>
      <c r="F2045" s="1">
        <v>699069</v>
      </c>
      <c r="G2045" s="1">
        <v>729069</v>
      </c>
      <c r="H2045" s="1">
        <v>14311.7</v>
      </c>
      <c r="I2045" s="1">
        <v>15688.3</v>
      </c>
      <c r="J2045" s="1">
        <v>713380.7</v>
      </c>
      <c r="K2045" s="1">
        <v>83</v>
      </c>
      <c r="L2045" s="1">
        <v>266.81618518518519</v>
      </c>
      <c r="M2045" s="1">
        <v>90.983523969898769</v>
      </c>
      <c r="N2045" s="7">
        <v>45947</v>
      </c>
      <c r="O2045" s="1">
        <v>30000</v>
      </c>
      <c r="P2045" s="7">
        <v>46037.98352396991</v>
      </c>
      <c r="Q2045" s="1" t="s">
        <v>330</v>
      </c>
      <c r="T2045" s="1" t="s">
        <v>452</v>
      </c>
      <c r="U2045" s="1" t="s">
        <v>453</v>
      </c>
      <c r="V2045" s="1">
        <v>1</v>
      </c>
      <c r="W2045" s="3">
        <v>13118.81</v>
      </c>
      <c r="X2045" s="3">
        <v>13118.81</v>
      </c>
      <c r="Y2045" s="1" t="str">
        <f>VLOOKUP(A2045,[1]Detalle!$D$2:$CR$484,93,FALSE)</f>
        <v>ADA_CH - Danone Arg. S.A. - Chascomus</v>
      </c>
    </row>
    <row r="2046" spans="1:25" ht="14.25" customHeight="1" x14ac:dyDescent="0.3">
      <c r="A2046" s="1" t="s">
        <v>14</v>
      </c>
      <c r="B2046" s="1" t="s">
        <v>454</v>
      </c>
      <c r="C2046" s="1" t="s">
        <v>451</v>
      </c>
      <c r="D2046" s="1" t="s">
        <v>344</v>
      </c>
      <c r="E2046" s="6">
        <v>45877</v>
      </c>
      <c r="F2046" s="1">
        <v>770332</v>
      </c>
      <c r="G2046" s="1">
        <v>800332</v>
      </c>
      <c r="H2046" s="1">
        <v>13259.4</v>
      </c>
      <c r="I2046" s="1">
        <v>16740.599999999999</v>
      </c>
      <c r="J2046" s="1">
        <v>783591.4</v>
      </c>
      <c r="K2046" s="1">
        <v>70</v>
      </c>
      <c r="L2046" s="1">
        <v>276.97442748091589</v>
      </c>
      <c r="M2046" s="1">
        <v>88.378207158694963</v>
      </c>
      <c r="N2046" s="7">
        <v>45947</v>
      </c>
      <c r="O2046" s="1">
        <v>30000</v>
      </c>
      <c r="P2046" s="7">
        <v>46035.378207164351</v>
      </c>
      <c r="Q2046" s="1" t="s">
        <v>330</v>
      </c>
      <c r="T2046" s="1" t="s">
        <v>455</v>
      </c>
      <c r="U2046" s="1" t="s">
        <v>456</v>
      </c>
      <c r="V2046" s="1">
        <v>1</v>
      </c>
      <c r="W2046" s="3">
        <v>19823.39</v>
      </c>
      <c r="X2046" s="3">
        <v>19823.39</v>
      </c>
      <c r="Y2046" s="1" t="str">
        <f>VLOOKUP(A2046,[1]Detalle!$D$2:$CR$484,93,FALSE)</f>
        <v>ADA_CH - Danone Arg. S.A. - Chascomus</v>
      </c>
    </row>
    <row r="2047" spans="1:25" ht="14.25" customHeight="1" x14ac:dyDescent="0.3">
      <c r="A2047" s="1" t="s">
        <v>14</v>
      </c>
      <c r="B2047" s="1" t="s">
        <v>454</v>
      </c>
      <c r="C2047" s="1" t="s">
        <v>451</v>
      </c>
      <c r="D2047" s="1" t="s">
        <v>344</v>
      </c>
      <c r="E2047" s="6">
        <v>45877</v>
      </c>
      <c r="F2047" s="1">
        <v>770332</v>
      </c>
      <c r="G2047" s="1">
        <v>800332</v>
      </c>
      <c r="H2047" s="1">
        <v>13259.4</v>
      </c>
      <c r="I2047" s="1">
        <v>16740.599999999999</v>
      </c>
      <c r="J2047" s="1">
        <v>783591.4</v>
      </c>
      <c r="K2047" s="1">
        <v>70</v>
      </c>
      <c r="L2047" s="1">
        <v>276.97442748091589</v>
      </c>
      <c r="M2047" s="1">
        <v>88.378207158694963</v>
      </c>
      <c r="N2047" s="7">
        <v>45947</v>
      </c>
      <c r="O2047" s="1">
        <v>30000</v>
      </c>
      <c r="P2047" s="7">
        <v>46035.378207164351</v>
      </c>
      <c r="Q2047" s="1" t="s">
        <v>330</v>
      </c>
      <c r="T2047" s="1" t="s">
        <v>452</v>
      </c>
      <c r="U2047" s="1" t="s">
        <v>453</v>
      </c>
      <c r="V2047" s="1">
        <v>1</v>
      </c>
      <c r="W2047" s="3">
        <v>13118.81</v>
      </c>
      <c r="X2047" s="3">
        <v>13118.81</v>
      </c>
      <c r="Y2047" s="1" t="str">
        <f>VLOOKUP(A2047,[1]Detalle!$D$2:$CR$484,93,FALSE)</f>
        <v>ADA_CH - Danone Arg. S.A. - Chascomus</v>
      </c>
    </row>
    <row r="2048" spans="1:25" ht="14.25" customHeight="1" x14ac:dyDescent="0.3">
      <c r="A2048" s="1" t="s">
        <v>12</v>
      </c>
      <c r="B2048" s="1" t="s">
        <v>454</v>
      </c>
      <c r="C2048" s="1" t="s">
        <v>451</v>
      </c>
      <c r="D2048" s="1" t="s">
        <v>344</v>
      </c>
      <c r="E2048" s="6">
        <v>45930</v>
      </c>
      <c r="F2048" s="1">
        <v>845528</v>
      </c>
      <c r="G2048" s="1">
        <v>875528</v>
      </c>
      <c r="H2048" s="1">
        <v>0</v>
      </c>
      <c r="I2048" s="1">
        <v>30000</v>
      </c>
      <c r="J2048" s="1">
        <v>845528</v>
      </c>
      <c r="K2048" s="1">
        <v>17</v>
      </c>
      <c r="L2048" s="1">
        <v>323.35572519083951</v>
      </c>
      <c r="M2048" s="1">
        <v>300</v>
      </c>
      <c r="N2048" s="7">
        <v>45947</v>
      </c>
      <c r="O2048" s="1">
        <v>30000</v>
      </c>
      <c r="P2048" s="7">
        <v>46247</v>
      </c>
      <c r="Q2048" s="1" t="s">
        <v>330</v>
      </c>
      <c r="T2048" s="1" t="s">
        <v>455</v>
      </c>
      <c r="U2048" s="1" t="s">
        <v>456</v>
      </c>
      <c r="V2048" s="1">
        <v>1</v>
      </c>
      <c r="W2048" s="3">
        <v>19823.39</v>
      </c>
      <c r="X2048" s="3">
        <v>19823.39</v>
      </c>
      <c r="Y2048" s="1" t="str">
        <f>VLOOKUP(A2048,[1]Detalle!$D$2:$CR$484,93,FALSE)</f>
        <v>ADA_CH - Danone Arg. S.A. - Chascomus</v>
      </c>
    </row>
    <row r="2049" spans="1:25" ht="14.25" customHeight="1" x14ac:dyDescent="0.3">
      <c r="A2049" s="1" t="s">
        <v>12</v>
      </c>
      <c r="B2049" s="1" t="s">
        <v>454</v>
      </c>
      <c r="C2049" s="1" t="s">
        <v>451</v>
      </c>
      <c r="D2049" s="1" t="s">
        <v>344</v>
      </c>
      <c r="E2049" s="6">
        <v>45930</v>
      </c>
      <c r="F2049" s="1">
        <v>845528</v>
      </c>
      <c r="G2049" s="1">
        <v>875528</v>
      </c>
      <c r="H2049" s="1">
        <v>0</v>
      </c>
      <c r="I2049" s="1">
        <v>30000</v>
      </c>
      <c r="J2049" s="1">
        <v>845528</v>
      </c>
      <c r="K2049" s="1">
        <v>17</v>
      </c>
      <c r="L2049" s="1">
        <v>323.35572519083951</v>
      </c>
      <c r="M2049" s="1">
        <v>300</v>
      </c>
      <c r="N2049" s="7">
        <v>45947</v>
      </c>
      <c r="O2049" s="1">
        <v>30000</v>
      </c>
      <c r="P2049" s="7">
        <v>46247</v>
      </c>
      <c r="Q2049" s="1" t="s">
        <v>330</v>
      </c>
      <c r="T2049" s="1" t="s">
        <v>452</v>
      </c>
      <c r="U2049" s="1" t="s">
        <v>453</v>
      </c>
      <c r="V2049" s="1">
        <v>1</v>
      </c>
      <c r="W2049" s="3">
        <v>13118.81</v>
      </c>
      <c r="X2049" s="3">
        <v>13118.81</v>
      </c>
      <c r="Y2049" s="1" t="str">
        <f>VLOOKUP(A2049,[1]Detalle!$D$2:$CR$484,93,FALSE)</f>
        <v>ADA_CH - Danone Arg. S.A. - Chascomus</v>
      </c>
    </row>
    <row r="2050" spans="1:25" ht="14.25" customHeight="1" x14ac:dyDescent="0.3">
      <c r="A2050" s="1" t="s">
        <v>13</v>
      </c>
      <c r="B2050" s="1" t="s">
        <v>454</v>
      </c>
      <c r="C2050" s="1" t="s">
        <v>451</v>
      </c>
      <c r="D2050" s="1" t="s">
        <v>344</v>
      </c>
      <c r="E2050" s="6">
        <v>45831</v>
      </c>
      <c r="F2050" s="1">
        <v>751112</v>
      </c>
      <c r="G2050" s="1">
        <v>781112</v>
      </c>
      <c r="H2050" s="1">
        <v>30284.500000000011</v>
      </c>
      <c r="I2050" s="1">
        <v>-284.50000000000728</v>
      </c>
      <c r="J2050" s="1">
        <v>781396.5</v>
      </c>
      <c r="K2050" s="1">
        <v>116</v>
      </c>
      <c r="L2050" s="1">
        <v>303.34772058823529</v>
      </c>
      <c r="M2050" s="1">
        <v>-1.089732371345105</v>
      </c>
      <c r="N2050" s="7">
        <v>45947</v>
      </c>
      <c r="O2050" s="1">
        <v>30000</v>
      </c>
      <c r="P2050" s="7">
        <v>46045.896408194443</v>
      </c>
      <c r="Q2050" s="1" t="s">
        <v>330</v>
      </c>
      <c r="T2050" s="1" t="s">
        <v>455</v>
      </c>
      <c r="U2050" s="1" t="s">
        <v>456</v>
      </c>
      <c r="V2050" s="1">
        <v>1</v>
      </c>
      <c r="W2050" s="3">
        <v>19823.39</v>
      </c>
      <c r="X2050" s="3">
        <v>19823.39</v>
      </c>
      <c r="Y2050" s="1" t="str">
        <f>VLOOKUP(A2050,[1]Detalle!$D$2:$CR$484,93,FALSE)</f>
        <v>ADA_CH - Danone Arg. S.A. - Chascomus</v>
      </c>
    </row>
    <row r="2051" spans="1:25" ht="14.25" customHeight="1" x14ac:dyDescent="0.3">
      <c r="A2051" s="1" t="s">
        <v>13</v>
      </c>
      <c r="B2051" s="1" t="s">
        <v>454</v>
      </c>
      <c r="C2051" s="1" t="s">
        <v>451</v>
      </c>
      <c r="D2051" s="1" t="s">
        <v>344</v>
      </c>
      <c r="E2051" s="6">
        <v>45831</v>
      </c>
      <c r="F2051" s="1">
        <v>751112</v>
      </c>
      <c r="G2051" s="1">
        <v>781112</v>
      </c>
      <c r="H2051" s="1">
        <v>30284.500000000011</v>
      </c>
      <c r="I2051" s="1">
        <v>-284.50000000000728</v>
      </c>
      <c r="J2051" s="1">
        <v>781396.5</v>
      </c>
      <c r="K2051" s="1">
        <v>116</v>
      </c>
      <c r="L2051" s="1">
        <v>303.34772058823529</v>
      </c>
      <c r="M2051" s="1">
        <v>-1.089732371345105</v>
      </c>
      <c r="N2051" s="7">
        <v>45947</v>
      </c>
      <c r="O2051" s="1">
        <v>30000</v>
      </c>
      <c r="P2051" s="7">
        <v>46045.896408194443</v>
      </c>
      <c r="Q2051" s="1" t="s">
        <v>330</v>
      </c>
      <c r="T2051" s="1" t="s">
        <v>452</v>
      </c>
      <c r="U2051" s="1" t="s">
        <v>453</v>
      </c>
      <c r="V2051" s="1">
        <v>1</v>
      </c>
      <c r="W2051" s="3">
        <v>13118.81</v>
      </c>
      <c r="X2051" s="3">
        <v>13118.81</v>
      </c>
      <c r="Y2051" s="1" t="str">
        <f>VLOOKUP(A2051,[1]Detalle!$D$2:$CR$484,93,FALSE)</f>
        <v>ADA_CH - Danone Arg. S.A. - Chascomus</v>
      </c>
    </row>
    <row r="2052" spans="1:25" ht="14.25" customHeight="1" x14ac:dyDescent="0.3">
      <c r="A2052" s="1" t="s">
        <v>6</v>
      </c>
      <c r="B2052" s="1" t="s">
        <v>454</v>
      </c>
      <c r="C2052" s="1" t="s">
        <v>451</v>
      </c>
      <c r="D2052" s="1" t="s">
        <v>344</v>
      </c>
      <c r="E2052" s="6">
        <v>45845</v>
      </c>
      <c r="F2052" s="1">
        <v>726661</v>
      </c>
      <c r="G2052" s="1">
        <v>756661</v>
      </c>
      <c r="H2052" s="1">
        <v>24602.2</v>
      </c>
      <c r="I2052" s="1">
        <v>5397.7999999999956</v>
      </c>
      <c r="J2052" s="1">
        <v>751263.2</v>
      </c>
      <c r="K2052" s="1">
        <v>102</v>
      </c>
      <c r="L2052" s="1">
        <v>306.8559191176472</v>
      </c>
      <c r="M2052" s="1">
        <v>22.379120566453381</v>
      </c>
      <c r="N2052" s="7">
        <v>45947</v>
      </c>
      <c r="O2052" s="1">
        <v>30000</v>
      </c>
      <c r="P2052" s="7">
        <v>46067.14487358796</v>
      </c>
      <c r="Q2052" s="1" t="s">
        <v>330</v>
      </c>
      <c r="T2052" s="1" t="s">
        <v>455</v>
      </c>
      <c r="U2052" s="1" t="s">
        <v>456</v>
      </c>
      <c r="V2052" s="1">
        <v>1</v>
      </c>
      <c r="W2052" s="3">
        <v>19823.39</v>
      </c>
      <c r="X2052" s="3">
        <v>19823.39</v>
      </c>
      <c r="Y2052" s="1" t="str">
        <f>VLOOKUP(A2052,[1]Detalle!$D$2:$CR$484,93,FALSE)</f>
        <v>ADA_CH - Danone Arg. S.A. - Chascomus</v>
      </c>
    </row>
    <row r="2053" spans="1:25" ht="14.25" customHeight="1" x14ac:dyDescent="0.3">
      <c r="A2053" s="1" t="s">
        <v>6</v>
      </c>
      <c r="B2053" s="1" t="s">
        <v>454</v>
      </c>
      <c r="C2053" s="1" t="s">
        <v>451</v>
      </c>
      <c r="D2053" s="1" t="s">
        <v>344</v>
      </c>
      <c r="E2053" s="6">
        <v>45845</v>
      </c>
      <c r="F2053" s="1">
        <v>726661</v>
      </c>
      <c r="G2053" s="1">
        <v>756661</v>
      </c>
      <c r="H2053" s="1">
        <v>24602.2</v>
      </c>
      <c r="I2053" s="1">
        <v>5397.7999999999956</v>
      </c>
      <c r="J2053" s="1">
        <v>751263.2</v>
      </c>
      <c r="K2053" s="1">
        <v>102</v>
      </c>
      <c r="L2053" s="1">
        <v>306.8559191176472</v>
      </c>
      <c r="M2053" s="1">
        <v>22.379120566453381</v>
      </c>
      <c r="N2053" s="7">
        <v>45947</v>
      </c>
      <c r="O2053" s="1">
        <v>30000</v>
      </c>
      <c r="P2053" s="7">
        <v>46067.14487358796</v>
      </c>
      <c r="Q2053" s="1" t="s">
        <v>330</v>
      </c>
      <c r="T2053" s="1" t="s">
        <v>452</v>
      </c>
      <c r="U2053" s="1" t="s">
        <v>453</v>
      </c>
      <c r="V2053" s="1">
        <v>1</v>
      </c>
      <c r="W2053" s="3">
        <v>13118.81</v>
      </c>
      <c r="X2053" s="3">
        <v>13118.81</v>
      </c>
      <c r="Y2053" s="1" t="str">
        <f>VLOOKUP(A2053,[1]Detalle!$D$2:$CR$484,93,FALSE)</f>
        <v>ADA_CH - Danone Arg. S.A. - Chascomus</v>
      </c>
    </row>
    <row r="2054" spans="1:25" ht="14.25" customHeight="1" x14ac:dyDescent="0.3">
      <c r="A2054" s="1" t="s">
        <v>7</v>
      </c>
      <c r="B2054" s="1" t="s">
        <v>454</v>
      </c>
      <c r="C2054" s="1" t="s">
        <v>451</v>
      </c>
      <c r="D2054" s="1" t="s">
        <v>344</v>
      </c>
      <c r="E2054" s="6">
        <v>45835</v>
      </c>
      <c r="F2054" s="1">
        <v>743648</v>
      </c>
      <c r="G2054" s="1">
        <v>773648</v>
      </c>
      <c r="H2054" s="1">
        <v>30763.099999999991</v>
      </c>
      <c r="I2054" s="1">
        <v>-763.09999999998763</v>
      </c>
      <c r="J2054" s="1">
        <v>774411.1</v>
      </c>
      <c r="K2054" s="1">
        <v>112</v>
      </c>
      <c r="L2054" s="1">
        <v>282.61870229007633</v>
      </c>
      <c r="M2054" s="1">
        <v>-2.77823756383455</v>
      </c>
      <c r="N2054" s="7">
        <v>45947</v>
      </c>
      <c r="O2054" s="1">
        <v>30000</v>
      </c>
      <c r="P2054" s="7">
        <v>46053.150087581023</v>
      </c>
      <c r="Q2054" s="1" t="s">
        <v>330</v>
      </c>
      <c r="T2054" s="1" t="s">
        <v>455</v>
      </c>
      <c r="U2054" s="1" t="s">
        <v>456</v>
      </c>
      <c r="V2054" s="1">
        <v>1</v>
      </c>
      <c r="W2054" s="3">
        <v>19823.39</v>
      </c>
      <c r="X2054" s="3">
        <v>19823.39</v>
      </c>
      <c r="Y2054" s="1" t="str">
        <f>VLOOKUP(A2054,[1]Detalle!$D$2:$CR$484,93,FALSE)</f>
        <v>ADA_CH - Danone Arg. S.A. - Chascomus</v>
      </c>
    </row>
    <row r="2055" spans="1:25" ht="14.25" customHeight="1" x14ac:dyDescent="0.3">
      <c r="A2055" s="1" t="s">
        <v>7</v>
      </c>
      <c r="B2055" s="1" t="s">
        <v>454</v>
      </c>
      <c r="C2055" s="1" t="s">
        <v>451</v>
      </c>
      <c r="D2055" s="1" t="s">
        <v>344</v>
      </c>
      <c r="E2055" s="6">
        <v>45835</v>
      </c>
      <c r="F2055" s="1">
        <v>743648</v>
      </c>
      <c r="G2055" s="1">
        <v>773648</v>
      </c>
      <c r="H2055" s="1">
        <v>30763.099999999991</v>
      </c>
      <c r="I2055" s="1">
        <v>-763.09999999998763</v>
      </c>
      <c r="J2055" s="1">
        <v>774411.1</v>
      </c>
      <c r="K2055" s="1">
        <v>112</v>
      </c>
      <c r="L2055" s="1">
        <v>282.61870229007633</v>
      </c>
      <c r="M2055" s="1">
        <v>-2.77823756383455</v>
      </c>
      <c r="N2055" s="7">
        <v>45947</v>
      </c>
      <c r="O2055" s="1">
        <v>30000</v>
      </c>
      <c r="P2055" s="7">
        <v>46053.150087581023</v>
      </c>
      <c r="Q2055" s="1" t="s">
        <v>330</v>
      </c>
      <c r="T2055" s="1" t="s">
        <v>452</v>
      </c>
      <c r="U2055" s="1" t="s">
        <v>453</v>
      </c>
      <c r="V2055" s="1">
        <v>1</v>
      </c>
      <c r="W2055" s="3">
        <v>13118.81</v>
      </c>
      <c r="X2055" s="3">
        <v>13118.81</v>
      </c>
      <c r="Y2055" s="1" t="str">
        <f>VLOOKUP(A2055,[1]Detalle!$D$2:$CR$484,93,FALSE)</f>
        <v>ADA_CH - Danone Arg. S.A. - Chascomus</v>
      </c>
    </row>
    <row r="2056" spans="1:25" ht="14.25" customHeight="1" x14ac:dyDescent="0.3">
      <c r="A2056" s="1" t="s">
        <v>9</v>
      </c>
      <c r="B2056" s="1" t="s">
        <v>454</v>
      </c>
      <c r="C2056" s="1" t="s">
        <v>451</v>
      </c>
      <c r="D2056" s="1" t="s">
        <v>344</v>
      </c>
      <c r="E2056" s="6">
        <v>45789</v>
      </c>
      <c r="F2056" s="1">
        <v>828813</v>
      </c>
      <c r="G2056" s="1">
        <v>858813</v>
      </c>
      <c r="H2056" s="1">
        <v>52575.80000000001</v>
      </c>
      <c r="I2056" s="1">
        <v>-22575.80000000001</v>
      </c>
      <c r="J2056" s="1">
        <v>881388.8</v>
      </c>
      <c r="K2056" s="1">
        <v>158</v>
      </c>
      <c r="L2056" s="1">
        <v>352.51014814814829</v>
      </c>
      <c r="M2056" s="1">
        <v>-67.844453151449926</v>
      </c>
      <c r="N2056" s="7">
        <v>45947</v>
      </c>
      <c r="O2056" s="1">
        <v>30000</v>
      </c>
      <c r="P2056" s="7">
        <v>46032.103932916667</v>
      </c>
      <c r="Q2056" s="1" t="s">
        <v>330</v>
      </c>
      <c r="T2056" s="1" t="s">
        <v>455</v>
      </c>
      <c r="U2056" s="1" t="s">
        <v>456</v>
      </c>
      <c r="V2056" s="1">
        <v>1</v>
      </c>
      <c r="W2056" s="3">
        <v>19823.39</v>
      </c>
      <c r="X2056" s="3">
        <v>19823.39</v>
      </c>
      <c r="Y2056" s="1" t="str">
        <f>VLOOKUP(A2056,[1]Detalle!$D$2:$CR$484,93,FALSE)</f>
        <v>ADA_CH - Danone Arg. S.A. - Chascomus</v>
      </c>
    </row>
    <row r="2057" spans="1:25" ht="14.25" customHeight="1" x14ac:dyDescent="0.3">
      <c r="A2057" s="1" t="s">
        <v>9</v>
      </c>
      <c r="B2057" s="1" t="s">
        <v>454</v>
      </c>
      <c r="C2057" s="1" t="s">
        <v>451</v>
      </c>
      <c r="D2057" s="1" t="s">
        <v>344</v>
      </c>
      <c r="E2057" s="6">
        <v>45789</v>
      </c>
      <c r="F2057" s="1">
        <v>828813</v>
      </c>
      <c r="G2057" s="1">
        <v>858813</v>
      </c>
      <c r="H2057" s="1">
        <v>52575.80000000001</v>
      </c>
      <c r="I2057" s="1">
        <v>-22575.80000000001</v>
      </c>
      <c r="J2057" s="1">
        <v>881388.8</v>
      </c>
      <c r="K2057" s="1">
        <v>158</v>
      </c>
      <c r="L2057" s="1">
        <v>352.51014814814829</v>
      </c>
      <c r="M2057" s="1">
        <v>-67.844453151449926</v>
      </c>
      <c r="N2057" s="7">
        <v>45947</v>
      </c>
      <c r="O2057" s="1">
        <v>30000</v>
      </c>
      <c r="P2057" s="7">
        <v>46032.103932916667</v>
      </c>
      <c r="Q2057" s="1" t="s">
        <v>330</v>
      </c>
      <c r="T2057" s="1" t="s">
        <v>452</v>
      </c>
      <c r="U2057" s="1" t="s">
        <v>453</v>
      </c>
      <c r="V2057" s="1">
        <v>1</v>
      </c>
      <c r="W2057" s="3">
        <v>13118.81</v>
      </c>
      <c r="X2057" s="3">
        <v>13118.81</v>
      </c>
      <c r="Y2057" s="1" t="str">
        <f>VLOOKUP(A2057,[1]Detalle!$D$2:$CR$484,93,FALSE)</f>
        <v>ADA_CH - Danone Arg. S.A. - Chascomus</v>
      </c>
    </row>
    <row r="2058" spans="1:25" ht="14.25" customHeight="1" x14ac:dyDescent="0.3">
      <c r="A2058" s="1" t="s">
        <v>17</v>
      </c>
      <c r="B2058" s="1" t="s">
        <v>454</v>
      </c>
      <c r="C2058" s="1" t="s">
        <v>451</v>
      </c>
      <c r="D2058" s="1" t="s">
        <v>344</v>
      </c>
      <c r="E2058" s="6">
        <v>45776</v>
      </c>
      <c r="F2058" s="1">
        <v>664392</v>
      </c>
      <c r="G2058" s="1">
        <v>694392</v>
      </c>
      <c r="H2058" s="1">
        <v>62703.799999999981</v>
      </c>
      <c r="I2058" s="1">
        <v>-32703.799999999981</v>
      </c>
      <c r="J2058" s="1">
        <v>727095.79999999993</v>
      </c>
      <c r="K2058" s="1">
        <v>171</v>
      </c>
      <c r="L2058" s="1">
        <v>382.02855555555578</v>
      </c>
      <c r="M2058" s="1">
        <v>-89.186776558996399</v>
      </c>
      <c r="N2058" s="7">
        <v>45947</v>
      </c>
      <c r="O2058" s="1">
        <v>30000</v>
      </c>
      <c r="P2058" s="7">
        <v>46025.528161215283</v>
      </c>
      <c r="Q2058" s="1" t="s">
        <v>330</v>
      </c>
      <c r="T2058" s="1" t="s">
        <v>455</v>
      </c>
      <c r="U2058" s="1" t="s">
        <v>456</v>
      </c>
      <c r="V2058" s="1">
        <v>1</v>
      </c>
      <c r="W2058" s="3">
        <v>19823.39</v>
      </c>
      <c r="X2058" s="3">
        <v>19823.39</v>
      </c>
      <c r="Y2058" s="1" t="str">
        <f>VLOOKUP(A2058,[1]Detalle!$D$2:$CR$484,93,FALSE)</f>
        <v>Expreso - Servicios Troncales</v>
      </c>
    </row>
    <row r="2059" spans="1:25" ht="14.25" customHeight="1" x14ac:dyDescent="0.3">
      <c r="A2059" s="1" t="s">
        <v>17</v>
      </c>
      <c r="B2059" s="1" t="s">
        <v>454</v>
      </c>
      <c r="C2059" s="1" t="s">
        <v>451</v>
      </c>
      <c r="D2059" s="1" t="s">
        <v>344</v>
      </c>
      <c r="E2059" s="6">
        <v>45776</v>
      </c>
      <c r="F2059" s="1">
        <v>664392</v>
      </c>
      <c r="G2059" s="1">
        <v>694392</v>
      </c>
      <c r="H2059" s="1">
        <v>62703.799999999981</v>
      </c>
      <c r="I2059" s="1">
        <v>-32703.799999999981</v>
      </c>
      <c r="J2059" s="1">
        <v>727095.79999999993</v>
      </c>
      <c r="K2059" s="1">
        <v>171</v>
      </c>
      <c r="L2059" s="1">
        <v>382.02855555555578</v>
      </c>
      <c r="M2059" s="1">
        <v>-89.186776558996399</v>
      </c>
      <c r="N2059" s="7">
        <v>45947</v>
      </c>
      <c r="O2059" s="1">
        <v>30000</v>
      </c>
      <c r="P2059" s="7">
        <v>46025.528161215283</v>
      </c>
      <c r="Q2059" s="1" t="s">
        <v>330</v>
      </c>
      <c r="T2059" s="1" t="s">
        <v>452</v>
      </c>
      <c r="U2059" s="1" t="s">
        <v>453</v>
      </c>
      <c r="V2059" s="1">
        <v>1</v>
      </c>
      <c r="W2059" s="3">
        <v>13118.81</v>
      </c>
      <c r="X2059" s="3">
        <v>13118.81</v>
      </c>
      <c r="Y2059" s="1" t="str">
        <f>VLOOKUP(A2059,[1]Detalle!$D$2:$CR$484,93,FALSE)</f>
        <v>Expreso - Servicios Troncales</v>
      </c>
    </row>
    <row r="2060" spans="1:25" ht="14.25" customHeight="1" x14ac:dyDescent="0.3">
      <c r="A2060" s="1" t="s">
        <v>18</v>
      </c>
      <c r="B2060" s="1" t="s">
        <v>454</v>
      </c>
      <c r="C2060" s="1" t="s">
        <v>451</v>
      </c>
      <c r="D2060" s="1" t="s">
        <v>344</v>
      </c>
      <c r="E2060" s="6">
        <v>45852</v>
      </c>
      <c r="F2060" s="1">
        <v>654972</v>
      </c>
      <c r="G2060" s="1">
        <v>684972</v>
      </c>
      <c r="H2060" s="1">
        <v>26383.500000000011</v>
      </c>
      <c r="I2060" s="1">
        <v>3616.4999999999932</v>
      </c>
      <c r="J2060" s="1">
        <v>681355.5</v>
      </c>
      <c r="K2060" s="1">
        <v>95</v>
      </c>
      <c r="L2060" s="1">
        <v>381.04202205882348</v>
      </c>
      <c r="M2060" s="1">
        <v>13.02205924157141</v>
      </c>
      <c r="N2060" s="7">
        <v>45947</v>
      </c>
      <c r="O2060" s="1">
        <v>30000</v>
      </c>
      <c r="P2060" s="7">
        <v>46038.753533101852</v>
      </c>
      <c r="Q2060" s="1" t="s">
        <v>330</v>
      </c>
      <c r="T2060" s="1" t="s">
        <v>455</v>
      </c>
      <c r="U2060" s="1" t="s">
        <v>456</v>
      </c>
      <c r="V2060" s="1">
        <v>1</v>
      </c>
      <c r="W2060" s="3">
        <v>19823.39</v>
      </c>
      <c r="X2060" s="3">
        <v>19823.39</v>
      </c>
      <c r="Y2060" s="1" t="str">
        <f>VLOOKUP(A2060,[1]Detalle!$D$2:$CR$484,93,FALSE)</f>
        <v>Expreso - Servicios Troncales</v>
      </c>
    </row>
    <row r="2061" spans="1:25" ht="14.25" customHeight="1" x14ac:dyDescent="0.3">
      <c r="A2061" s="1" t="s">
        <v>18</v>
      </c>
      <c r="B2061" s="1" t="s">
        <v>454</v>
      </c>
      <c r="C2061" s="1" t="s">
        <v>451</v>
      </c>
      <c r="D2061" s="1" t="s">
        <v>344</v>
      </c>
      <c r="E2061" s="6">
        <v>45852</v>
      </c>
      <c r="F2061" s="1">
        <v>654972</v>
      </c>
      <c r="G2061" s="1">
        <v>684972</v>
      </c>
      <c r="H2061" s="1">
        <v>26383.500000000011</v>
      </c>
      <c r="I2061" s="1">
        <v>3616.4999999999932</v>
      </c>
      <c r="J2061" s="1">
        <v>681355.5</v>
      </c>
      <c r="K2061" s="1">
        <v>95</v>
      </c>
      <c r="L2061" s="1">
        <v>381.04202205882348</v>
      </c>
      <c r="M2061" s="1">
        <v>13.02205924157141</v>
      </c>
      <c r="N2061" s="7">
        <v>45947</v>
      </c>
      <c r="O2061" s="1">
        <v>30000</v>
      </c>
      <c r="P2061" s="7">
        <v>46038.753533101852</v>
      </c>
      <c r="Q2061" s="1" t="s">
        <v>330</v>
      </c>
      <c r="T2061" s="1" t="s">
        <v>452</v>
      </c>
      <c r="U2061" s="1" t="s">
        <v>453</v>
      </c>
      <c r="V2061" s="1">
        <v>1</v>
      </c>
      <c r="W2061" s="3">
        <v>13118.81</v>
      </c>
      <c r="X2061" s="3">
        <v>13118.81</v>
      </c>
      <c r="Y2061" s="1" t="str">
        <f>VLOOKUP(A2061,[1]Detalle!$D$2:$CR$484,93,FALSE)</f>
        <v>Expreso - Servicios Troncales</v>
      </c>
    </row>
    <row r="2062" spans="1:25" ht="14.25" customHeight="1" x14ac:dyDescent="0.3">
      <c r="A2062" s="1" t="s">
        <v>231</v>
      </c>
      <c r="B2062" s="1" t="s">
        <v>454</v>
      </c>
      <c r="C2062" s="1" t="s">
        <v>451</v>
      </c>
      <c r="D2062" s="1" t="s">
        <v>344</v>
      </c>
      <c r="E2062" s="6">
        <v>45889</v>
      </c>
      <c r="F2062" s="1">
        <v>1836513</v>
      </c>
      <c r="G2062" s="1">
        <v>1866513</v>
      </c>
      <c r="H2062" s="1">
        <v>14116.4</v>
      </c>
      <c r="I2062" s="1">
        <v>15883.6</v>
      </c>
      <c r="J2062" s="1">
        <v>1850629.4</v>
      </c>
      <c r="K2062" s="1">
        <v>58</v>
      </c>
      <c r="L2062" s="1">
        <v>332.5574264705881</v>
      </c>
      <c r="M2062" s="1">
        <v>65.260888045110633</v>
      </c>
      <c r="N2062" s="7">
        <v>45947</v>
      </c>
      <c r="O2062" s="1">
        <v>30000</v>
      </c>
      <c r="P2062" s="7">
        <v>46102.470871678241</v>
      </c>
      <c r="Q2062" s="1" t="s">
        <v>330</v>
      </c>
      <c r="T2062" s="1" t="s">
        <v>455</v>
      </c>
      <c r="U2062" s="1" t="s">
        <v>456</v>
      </c>
      <c r="V2062" s="1">
        <v>1</v>
      </c>
      <c r="W2062" s="3">
        <v>19823.39</v>
      </c>
      <c r="X2062" s="3">
        <v>19823.39</v>
      </c>
      <c r="Y2062" s="1" t="str">
        <f>VLOOKUP(A2062,[1]Detalle!$D$2:$CR$484,93,FALSE)</f>
        <v>Expreso - Servicios Troncales</v>
      </c>
    </row>
    <row r="2063" spans="1:25" ht="14.25" customHeight="1" x14ac:dyDescent="0.3">
      <c r="A2063" s="1" t="s">
        <v>231</v>
      </c>
      <c r="B2063" s="1" t="s">
        <v>454</v>
      </c>
      <c r="C2063" s="1" t="s">
        <v>451</v>
      </c>
      <c r="D2063" s="1" t="s">
        <v>344</v>
      </c>
      <c r="E2063" s="6">
        <v>45889</v>
      </c>
      <c r="F2063" s="1">
        <v>1836513</v>
      </c>
      <c r="G2063" s="1">
        <v>1866513</v>
      </c>
      <c r="H2063" s="1">
        <v>14116.4</v>
      </c>
      <c r="I2063" s="1">
        <v>15883.6</v>
      </c>
      <c r="J2063" s="1">
        <v>1850629.4</v>
      </c>
      <c r="K2063" s="1">
        <v>58</v>
      </c>
      <c r="L2063" s="1">
        <v>332.5574264705881</v>
      </c>
      <c r="M2063" s="1">
        <v>65.260888045110633</v>
      </c>
      <c r="N2063" s="7">
        <v>45947</v>
      </c>
      <c r="O2063" s="1">
        <v>30000</v>
      </c>
      <c r="P2063" s="7">
        <v>46102.470871678241</v>
      </c>
      <c r="Q2063" s="1" t="s">
        <v>330</v>
      </c>
      <c r="T2063" s="1" t="s">
        <v>452</v>
      </c>
      <c r="U2063" s="1" t="s">
        <v>453</v>
      </c>
      <c r="V2063" s="1">
        <v>1</v>
      </c>
      <c r="W2063" s="3">
        <v>13118.81</v>
      </c>
      <c r="X2063" s="3">
        <v>13118.81</v>
      </c>
      <c r="Y2063" s="1" t="str">
        <f>VLOOKUP(A2063,[1]Detalle!$D$2:$CR$484,93,FALSE)</f>
        <v>Expreso - Servicios Troncales</v>
      </c>
    </row>
    <row r="2064" spans="1:25" ht="14.25" customHeight="1" x14ac:dyDescent="0.3">
      <c r="A2064" s="1" t="s">
        <v>232</v>
      </c>
      <c r="B2064" s="1" t="s">
        <v>454</v>
      </c>
      <c r="C2064" s="1" t="s">
        <v>451</v>
      </c>
      <c r="D2064" s="1" t="s">
        <v>344</v>
      </c>
      <c r="E2064" s="6">
        <v>45919</v>
      </c>
      <c r="F2064" s="1">
        <v>1973725</v>
      </c>
      <c r="G2064" s="1">
        <v>2003725</v>
      </c>
      <c r="H2064" s="1">
        <v>3275.4</v>
      </c>
      <c r="I2064" s="1">
        <v>26724.6</v>
      </c>
      <c r="J2064" s="1">
        <v>1977000.4</v>
      </c>
      <c r="K2064" s="1">
        <v>28</v>
      </c>
      <c r="L2064" s="1">
        <v>2668.176102941175</v>
      </c>
      <c r="M2064" s="1">
        <v>228.45722659827811</v>
      </c>
      <c r="N2064" s="7">
        <v>45947</v>
      </c>
      <c r="O2064" s="1">
        <v>30000</v>
      </c>
      <c r="P2064" s="7">
        <v>46175.457226597217</v>
      </c>
      <c r="Q2064" s="1" t="s">
        <v>330</v>
      </c>
      <c r="T2064" s="1" t="s">
        <v>455</v>
      </c>
      <c r="U2064" s="1" t="s">
        <v>456</v>
      </c>
      <c r="V2064" s="1">
        <v>1</v>
      </c>
      <c r="W2064" s="3">
        <v>19823.39</v>
      </c>
      <c r="X2064" s="3">
        <v>19823.39</v>
      </c>
      <c r="Y2064" s="1" t="str">
        <f>VLOOKUP(A2064,[1]Detalle!$D$2:$CR$484,93,FALSE)</f>
        <v>Expreso - Servicios Troncales</v>
      </c>
    </row>
    <row r="2065" spans="1:25" ht="14.25" customHeight="1" x14ac:dyDescent="0.3">
      <c r="A2065" s="1" t="s">
        <v>232</v>
      </c>
      <c r="B2065" s="1" t="s">
        <v>454</v>
      </c>
      <c r="C2065" s="1" t="s">
        <v>451</v>
      </c>
      <c r="D2065" s="1" t="s">
        <v>344</v>
      </c>
      <c r="E2065" s="6">
        <v>45919</v>
      </c>
      <c r="F2065" s="1">
        <v>1973725</v>
      </c>
      <c r="G2065" s="1">
        <v>2003725</v>
      </c>
      <c r="H2065" s="1">
        <v>3275.4</v>
      </c>
      <c r="I2065" s="1">
        <v>26724.6</v>
      </c>
      <c r="J2065" s="1">
        <v>1977000.4</v>
      </c>
      <c r="K2065" s="1">
        <v>28</v>
      </c>
      <c r="L2065" s="1">
        <v>2668.176102941175</v>
      </c>
      <c r="M2065" s="1">
        <v>228.45722659827811</v>
      </c>
      <c r="N2065" s="7">
        <v>45947</v>
      </c>
      <c r="O2065" s="1">
        <v>30000</v>
      </c>
      <c r="P2065" s="7">
        <v>46175.457226597217</v>
      </c>
      <c r="Q2065" s="1" t="s">
        <v>330</v>
      </c>
      <c r="T2065" s="1" t="s">
        <v>452</v>
      </c>
      <c r="U2065" s="1" t="s">
        <v>453</v>
      </c>
      <c r="V2065" s="1">
        <v>1</v>
      </c>
      <c r="W2065" s="3">
        <v>13118.81</v>
      </c>
      <c r="X2065" s="3">
        <v>13118.81</v>
      </c>
      <c r="Y2065" s="1" t="str">
        <f>VLOOKUP(A2065,[1]Detalle!$D$2:$CR$484,93,FALSE)</f>
        <v>Expreso - Servicios Troncales</v>
      </c>
    </row>
    <row r="2066" spans="1:25" ht="14.25" customHeight="1" x14ac:dyDescent="0.3">
      <c r="A2066" s="1" t="s">
        <v>233</v>
      </c>
      <c r="B2066" s="1" t="s">
        <v>454</v>
      </c>
      <c r="C2066" s="1" t="s">
        <v>451</v>
      </c>
      <c r="D2066" s="1" t="s">
        <v>344</v>
      </c>
      <c r="E2066" s="6">
        <v>45852</v>
      </c>
      <c r="F2066" s="1">
        <v>1942302</v>
      </c>
      <c r="G2066" s="1">
        <v>1972302</v>
      </c>
      <c r="H2066" s="1">
        <v>28066.80000000001</v>
      </c>
      <c r="I2066" s="1">
        <v>1933.1999999999859</v>
      </c>
      <c r="J2066" s="1">
        <v>1970368.8</v>
      </c>
      <c r="K2066" s="1">
        <v>95</v>
      </c>
      <c r="L2066" s="1">
        <v>372</v>
      </c>
      <c r="M2066" s="1">
        <v>6.5434606011372356</v>
      </c>
      <c r="N2066" s="7">
        <v>45947</v>
      </c>
      <c r="O2066" s="1">
        <v>30000</v>
      </c>
      <c r="P2066" s="7">
        <v>46056.589041099527</v>
      </c>
      <c r="Q2066" s="1" t="s">
        <v>330</v>
      </c>
      <c r="R2066" s="6">
        <v>46137.234202384258</v>
      </c>
      <c r="T2066" s="1" t="s">
        <v>455</v>
      </c>
      <c r="U2066" s="1" t="s">
        <v>456</v>
      </c>
      <c r="V2066" s="1">
        <v>1</v>
      </c>
      <c r="W2066" s="3">
        <v>19823.39</v>
      </c>
      <c r="X2066" s="3">
        <v>19823.39</v>
      </c>
      <c r="Y2066" s="1" t="str">
        <f>VLOOKUP(A2066,[1]Detalle!$D$2:$CR$484,93,FALSE)</f>
        <v>Expreso - Servicios Troncales</v>
      </c>
    </row>
    <row r="2067" spans="1:25" ht="14.25" customHeight="1" x14ac:dyDescent="0.3">
      <c r="A2067" s="1" t="s">
        <v>233</v>
      </c>
      <c r="B2067" s="1" t="s">
        <v>454</v>
      </c>
      <c r="C2067" s="1" t="s">
        <v>451</v>
      </c>
      <c r="D2067" s="1" t="s">
        <v>344</v>
      </c>
      <c r="E2067" s="6">
        <v>45852</v>
      </c>
      <c r="F2067" s="1">
        <v>1942302</v>
      </c>
      <c r="G2067" s="1">
        <v>1972302</v>
      </c>
      <c r="H2067" s="1">
        <v>28066.80000000001</v>
      </c>
      <c r="I2067" s="1">
        <v>1933.1999999999859</v>
      </c>
      <c r="J2067" s="1">
        <v>1970368.8</v>
      </c>
      <c r="K2067" s="1">
        <v>95</v>
      </c>
      <c r="L2067" s="1">
        <v>372</v>
      </c>
      <c r="M2067" s="1">
        <v>6.5434606011372356</v>
      </c>
      <c r="N2067" s="7">
        <v>45947</v>
      </c>
      <c r="O2067" s="1">
        <v>30000</v>
      </c>
      <c r="P2067" s="7">
        <v>46056.589041099527</v>
      </c>
      <c r="Q2067" s="1" t="s">
        <v>330</v>
      </c>
      <c r="R2067" s="6">
        <v>46137.234202384258</v>
      </c>
      <c r="T2067" s="1" t="s">
        <v>452</v>
      </c>
      <c r="U2067" s="1" t="s">
        <v>453</v>
      </c>
      <c r="V2067" s="1">
        <v>1</v>
      </c>
      <c r="W2067" s="3">
        <v>13118.81</v>
      </c>
      <c r="X2067" s="3">
        <v>13118.81</v>
      </c>
      <c r="Y2067" s="1" t="str">
        <f>VLOOKUP(A2067,[1]Detalle!$D$2:$CR$484,93,FALSE)</f>
        <v>Expreso - Servicios Troncales</v>
      </c>
    </row>
    <row r="2068" spans="1:25" ht="14.25" customHeight="1" x14ac:dyDescent="0.3">
      <c r="A2068" s="1" t="s">
        <v>234</v>
      </c>
      <c r="B2068" s="1" t="s">
        <v>454</v>
      </c>
      <c r="C2068" s="1" t="s">
        <v>451</v>
      </c>
      <c r="D2068" s="1" t="s">
        <v>344</v>
      </c>
      <c r="E2068" s="6">
        <v>45845</v>
      </c>
      <c r="F2068" s="1">
        <v>1934926</v>
      </c>
      <c r="G2068" s="1">
        <v>1964926</v>
      </c>
      <c r="H2068" s="1">
        <v>35672.900000000009</v>
      </c>
      <c r="I2068" s="1">
        <v>-5672.9000000000087</v>
      </c>
      <c r="J2068" s="1">
        <v>1970598.9</v>
      </c>
      <c r="K2068" s="1">
        <v>102</v>
      </c>
      <c r="L2068" s="1">
        <v>93</v>
      </c>
      <c r="M2068" s="1">
        <v>-16.220598829924139</v>
      </c>
      <c r="N2068" s="7">
        <v>45947</v>
      </c>
      <c r="O2068" s="1">
        <v>30000</v>
      </c>
      <c r="P2068" s="7">
        <v>46056.589041099527</v>
      </c>
      <c r="Q2068" s="1" t="s">
        <v>330</v>
      </c>
      <c r="R2068" s="6">
        <v>46379.169686261572</v>
      </c>
      <c r="T2068" s="1" t="s">
        <v>455</v>
      </c>
      <c r="U2068" s="1" t="s">
        <v>456</v>
      </c>
      <c r="V2068" s="1">
        <v>1</v>
      </c>
      <c r="W2068" s="3">
        <v>19823.39</v>
      </c>
      <c r="X2068" s="3">
        <v>19823.39</v>
      </c>
      <c r="Y2068" s="1" t="str">
        <f>VLOOKUP(A2068,[1]Detalle!$D$2:$CR$484,93,FALSE)</f>
        <v>Expreso - Servicios Troncales</v>
      </c>
    </row>
    <row r="2069" spans="1:25" ht="14.25" customHeight="1" x14ac:dyDescent="0.3">
      <c r="A2069" s="1" t="s">
        <v>234</v>
      </c>
      <c r="B2069" s="1" t="s">
        <v>454</v>
      </c>
      <c r="C2069" s="1" t="s">
        <v>451</v>
      </c>
      <c r="D2069" s="1" t="s">
        <v>344</v>
      </c>
      <c r="E2069" s="6">
        <v>45845</v>
      </c>
      <c r="F2069" s="1">
        <v>1934926</v>
      </c>
      <c r="G2069" s="1">
        <v>1964926</v>
      </c>
      <c r="H2069" s="1">
        <v>35672.900000000009</v>
      </c>
      <c r="I2069" s="1">
        <v>-5672.9000000000087</v>
      </c>
      <c r="J2069" s="1">
        <v>1970598.9</v>
      </c>
      <c r="K2069" s="1">
        <v>102</v>
      </c>
      <c r="L2069" s="1">
        <v>93</v>
      </c>
      <c r="M2069" s="1">
        <v>-16.220598829924139</v>
      </c>
      <c r="N2069" s="7">
        <v>45947</v>
      </c>
      <c r="O2069" s="1">
        <v>30000</v>
      </c>
      <c r="P2069" s="7">
        <v>46056.589041099527</v>
      </c>
      <c r="Q2069" s="1" t="s">
        <v>330</v>
      </c>
      <c r="R2069" s="6">
        <v>46379.169686261572</v>
      </c>
      <c r="T2069" s="1" t="s">
        <v>452</v>
      </c>
      <c r="U2069" s="1" t="s">
        <v>453</v>
      </c>
      <c r="V2069" s="1">
        <v>1</v>
      </c>
      <c r="W2069" s="3">
        <v>13118.81</v>
      </c>
      <c r="X2069" s="3">
        <v>13118.81</v>
      </c>
      <c r="Y2069" s="1" t="str">
        <f>VLOOKUP(A2069,[1]Detalle!$D$2:$CR$484,93,FALSE)</f>
        <v>Expreso - Servicios Troncales</v>
      </c>
    </row>
    <row r="2070" spans="1:25" ht="14.25" customHeight="1" x14ac:dyDescent="0.3">
      <c r="A2070" s="1" t="s">
        <v>97</v>
      </c>
      <c r="B2070" s="1" t="s">
        <v>454</v>
      </c>
      <c r="C2070" s="1" t="s">
        <v>451</v>
      </c>
      <c r="D2070" s="1" t="s">
        <v>344</v>
      </c>
      <c r="E2070" s="6">
        <v>45918</v>
      </c>
      <c r="F2070" s="1">
        <v>227028</v>
      </c>
      <c r="G2070" s="1">
        <v>257028</v>
      </c>
      <c r="H2070" s="1">
        <v>3811.8</v>
      </c>
      <c r="I2070" s="1">
        <v>26188.2</v>
      </c>
      <c r="J2070" s="1">
        <v>230839.8</v>
      </c>
      <c r="K2070" s="1">
        <v>29</v>
      </c>
      <c r="L2070" s="1">
        <v>310.79992700729929</v>
      </c>
      <c r="M2070" s="1">
        <v>199.2386274201165</v>
      </c>
      <c r="N2070" s="7">
        <v>45947</v>
      </c>
      <c r="O2070" s="1">
        <v>30000</v>
      </c>
      <c r="P2070" s="7">
        <v>46146.238627418978</v>
      </c>
      <c r="Q2070" s="1" t="s">
        <v>330</v>
      </c>
      <c r="T2070" s="1" t="s">
        <v>455</v>
      </c>
      <c r="U2070" s="1" t="s">
        <v>456</v>
      </c>
      <c r="V2070" s="1">
        <v>1</v>
      </c>
      <c r="W2070" s="3">
        <v>19823.39</v>
      </c>
      <c r="X2070" s="3">
        <v>19823.39</v>
      </c>
      <c r="Y2070" s="1" t="str">
        <f>VLOOKUP(A2070,[1]Detalle!$D$2:$CR$484,93,FALSE)</f>
        <v>Expreso - Servicios Troncales</v>
      </c>
    </row>
    <row r="2071" spans="1:25" ht="14.25" customHeight="1" x14ac:dyDescent="0.3">
      <c r="A2071" s="1" t="s">
        <v>97</v>
      </c>
      <c r="B2071" s="1" t="s">
        <v>454</v>
      </c>
      <c r="C2071" s="1" t="s">
        <v>451</v>
      </c>
      <c r="D2071" s="1" t="s">
        <v>344</v>
      </c>
      <c r="E2071" s="6">
        <v>45918</v>
      </c>
      <c r="F2071" s="1">
        <v>227028</v>
      </c>
      <c r="G2071" s="1">
        <v>257028</v>
      </c>
      <c r="H2071" s="1">
        <v>3811.8</v>
      </c>
      <c r="I2071" s="1">
        <v>26188.2</v>
      </c>
      <c r="J2071" s="1">
        <v>230839.8</v>
      </c>
      <c r="K2071" s="1">
        <v>29</v>
      </c>
      <c r="L2071" s="1">
        <v>310.79992700729929</v>
      </c>
      <c r="M2071" s="1">
        <v>199.2386274201165</v>
      </c>
      <c r="N2071" s="7">
        <v>45947</v>
      </c>
      <c r="O2071" s="1">
        <v>30000</v>
      </c>
      <c r="P2071" s="7">
        <v>46146.238627418978</v>
      </c>
      <c r="Q2071" s="1" t="s">
        <v>330</v>
      </c>
      <c r="T2071" s="1" t="s">
        <v>452</v>
      </c>
      <c r="U2071" s="1" t="s">
        <v>453</v>
      </c>
      <c r="V2071" s="1">
        <v>1</v>
      </c>
      <c r="W2071" s="3">
        <v>13118.81</v>
      </c>
      <c r="X2071" s="3">
        <v>13118.81</v>
      </c>
      <c r="Y2071" s="1" t="str">
        <f>VLOOKUP(A2071,[1]Detalle!$D$2:$CR$484,93,FALSE)</f>
        <v>Expreso - Servicios Troncales</v>
      </c>
    </row>
    <row r="2072" spans="1:25" ht="14.25" customHeight="1" x14ac:dyDescent="0.3">
      <c r="A2072" s="1" t="s">
        <v>279</v>
      </c>
      <c r="B2072" s="1" t="s">
        <v>457</v>
      </c>
      <c r="C2072" s="1" t="s">
        <v>451</v>
      </c>
      <c r="D2072" s="1" t="s">
        <v>344</v>
      </c>
      <c r="E2072" s="6">
        <v>45688</v>
      </c>
      <c r="F2072" s="1">
        <v>35081.599999999999</v>
      </c>
      <c r="G2072" s="1">
        <v>65081.599999999999</v>
      </c>
      <c r="H2072" s="1">
        <v>51895.159999999982</v>
      </c>
      <c r="I2072" s="1">
        <v>-21895.159999999982</v>
      </c>
      <c r="J2072" s="1">
        <v>86976.75999999998</v>
      </c>
      <c r="K2072" s="1">
        <v>259</v>
      </c>
      <c r="L2072" s="1">
        <v>197.99579335793359</v>
      </c>
      <c r="M2072" s="1">
        <v>-109.2750545522935</v>
      </c>
      <c r="N2072" s="7">
        <v>45947</v>
      </c>
      <c r="O2072" s="1">
        <v>30000</v>
      </c>
      <c r="P2072" s="7">
        <v>46098.518370625003</v>
      </c>
      <c r="Q2072" s="1" t="s">
        <v>330</v>
      </c>
      <c r="T2072" s="1" t="s">
        <v>458</v>
      </c>
      <c r="U2072" s="1" t="s">
        <v>459</v>
      </c>
      <c r="V2072" s="1">
        <v>1</v>
      </c>
      <c r="W2072" s="3">
        <v>23207.05</v>
      </c>
      <c r="X2072" s="3">
        <v>23207.05</v>
      </c>
      <c r="Y2072" s="1" t="str">
        <f>VLOOKUP(A2072,[1]Detalle!$D$2:$CR$484,93,FALSE)</f>
        <v>Expreso - Servicios Troncales</v>
      </c>
    </row>
    <row r="2073" spans="1:25" ht="14.25" customHeight="1" x14ac:dyDescent="0.3">
      <c r="A2073" s="1" t="s">
        <v>279</v>
      </c>
      <c r="B2073" s="1" t="s">
        <v>457</v>
      </c>
      <c r="C2073" s="1" t="s">
        <v>451</v>
      </c>
      <c r="D2073" s="1" t="s">
        <v>344</v>
      </c>
      <c r="E2073" s="6">
        <v>45688</v>
      </c>
      <c r="F2073" s="1">
        <v>35081.599999999999</v>
      </c>
      <c r="G2073" s="1">
        <v>65081.599999999999</v>
      </c>
      <c r="H2073" s="1">
        <v>51895.159999999982</v>
      </c>
      <c r="I2073" s="1">
        <v>-21895.159999999982</v>
      </c>
      <c r="J2073" s="1">
        <v>86976.75999999998</v>
      </c>
      <c r="K2073" s="1">
        <v>259</v>
      </c>
      <c r="L2073" s="1">
        <v>197.99579335793359</v>
      </c>
      <c r="M2073" s="1">
        <v>-109.2750545522935</v>
      </c>
      <c r="N2073" s="7">
        <v>45947</v>
      </c>
      <c r="O2073" s="1">
        <v>30000</v>
      </c>
      <c r="P2073" s="7">
        <v>46098.518370625003</v>
      </c>
      <c r="Q2073" s="1" t="s">
        <v>330</v>
      </c>
      <c r="T2073" s="1" t="s">
        <v>460</v>
      </c>
      <c r="U2073" s="1" t="s">
        <v>461</v>
      </c>
      <c r="V2073" s="1">
        <v>1</v>
      </c>
      <c r="W2073" s="3">
        <v>53100</v>
      </c>
      <c r="X2073" s="3">
        <v>53100</v>
      </c>
      <c r="Y2073" s="1" t="str">
        <f>VLOOKUP(A2073,[1]Detalle!$D$2:$CR$484,93,FALSE)</f>
        <v>Expreso - Servicios Troncales</v>
      </c>
    </row>
    <row r="2074" spans="1:25" ht="14.25" customHeight="1" x14ac:dyDescent="0.3">
      <c r="A2074" s="1" t="s">
        <v>228</v>
      </c>
      <c r="B2074" s="1" t="s">
        <v>457</v>
      </c>
      <c r="C2074" s="1" t="s">
        <v>451</v>
      </c>
      <c r="D2074" s="1" t="s">
        <v>344</v>
      </c>
      <c r="E2074" s="6">
        <v>45678</v>
      </c>
      <c r="F2074" s="1">
        <v>799717</v>
      </c>
      <c r="G2074" s="1">
        <v>829717</v>
      </c>
      <c r="H2074" s="1">
        <v>57283.27</v>
      </c>
      <c r="I2074" s="1">
        <v>-27283.27</v>
      </c>
      <c r="J2074" s="1">
        <v>857000.27</v>
      </c>
      <c r="K2074" s="1">
        <v>269</v>
      </c>
      <c r="L2074" s="1">
        <v>232.68261029411761</v>
      </c>
      <c r="M2074" s="1">
        <v>-128.12117098063709</v>
      </c>
      <c r="N2074" s="7">
        <v>45947</v>
      </c>
      <c r="O2074" s="1">
        <v>30000</v>
      </c>
      <c r="P2074" s="7">
        <v>46075.930993009257</v>
      </c>
      <c r="Q2074" s="1" t="s">
        <v>330</v>
      </c>
      <c r="T2074" s="1" t="s">
        <v>458</v>
      </c>
      <c r="U2074" s="1" t="s">
        <v>459</v>
      </c>
      <c r="V2074" s="1">
        <v>1</v>
      </c>
      <c r="W2074" s="3">
        <v>23207.05</v>
      </c>
      <c r="X2074" s="3">
        <v>23207.05</v>
      </c>
      <c r="Y2074" s="1" t="str">
        <f>VLOOKUP(A2074,[1]Detalle!$D$2:$CR$484,93,FALSE)</f>
        <v>Expreso - Servicios Troncales</v>
      </c>
    </row>
    <row r="2075" spans="1:25" ht="14.25" customHeight="1" x14ac:dyDescent="0.3">
      <c r="A2075" s="1" t="s">
        <v>228</v>
      </c>
      <c r="B2075" s="1" t="s">
        <v>457</v>
      </c>
      <c r="C2075" s="1" t="s">
        <v>451</v>
      </c>
      <c r="D2075" s="1" t="s">
        <v>344</v>
      </c>
      <c r="E2075" s="6">
        <v>45678</v>
      </c>
      <c r="F2075" s="1">
        <v>799717</v>
      </c>
      <c r="G2075" s="1">
        <v>829717</v>
      </c>
      <c r="H2075" s="1">
        <v>57283.27</v>
      </c>
      <c r="I2075" s="1">
        <v>-27283.27</v>
      </c>
      <c r="J2075" s="1">
        <v>857000.27</v>
      </c>
      <c r="K2075" s="1">
        <v>269</v>
      </c>
      <c r="L2075" s="1">
        <v>232.68261029411761</v>
      </c>
      <c r="M2075" s="1">
        <v>-128.12117098063709</v>
      </c>
      <c r="N2075" s="7">
        <v>45947</v>
      </c>
      <c r="O2075" s="1">
        <v>30000</v>
      </c>
      <c r="P2075" s="7">
        <v>46075.930993009257</v>
      </c>
      <c r="Q2075" s="1" t="s">
        <v>330</v>
      </c>
      <c r="T2075" s="1" t="s">
        <v>460</v>
      </c>
      <c r="U2075" s="1" t="s">
        <v>461</v>
      </c>
      <c r="V2075" s="1">
        <v>1</v>
      </c>
      <c r="W2075" s="3">
        <v>53100</v>
      </c>
      <c r="X2075" s="3">
        <v>53100</v>
      </c>
      <c r="Y2075" s="1" t="str">
        <f>VLOOKUP(A2075,[1]Detalle!$D$2:$CR$484,93,FALSE)</f>
        <v>Expreso - Servicios Troncales</v>
      </c>
    </row>
    <row r="2076" spans="1:25" ht="14.25" customHeight="1" x14ac:dyDescent="0.3">
      <c r="A2076" s="1" t="s">
        <v>510</v>
      </c>
      <c r="B2076" s="1" t="s">
        <v>462</v>
      </c>
      <c r="C2076" s="1" t="s">
        <v>451</v>
      </c>
      <c r="D2076" s="1" t="s">
        <v>344</v>
      </c>
      <c r="E2076" s="6">
        <v>45901</v>
      </c>
      <c r="F2076" s="1">
        <v>1811240</v>
      </c>
      <c r="G2076" s="1">
        <v>1841240</v>
      </c>
      <c r="H2076" s="1">
        <v>9997.7999999999975</v>
      </c>
      <c r="I2076" s="1">
        <v>20002.2</v>
      </c>
      <c r="J2076" s="1">
        <v>1821237.8</v>
      </c>
      <c r="K2076" s="1">
        <v>46</v>
      </c>
      <c r="L2076" s="1">
        <v>2480.570318518518</v>
      </c>
      <c r="M2076" s="1">
        <v>92.030366680669786</v>
      </c>
      <c r="N2076" s="7">
        <v>45947</v>
      </c>
      <c r="O2076" s="1">
        <v>30000</v>
      </c>
      <c r="P2076" s="7">
        <v>46039.030366678242</v>
      </c>
      <c r="Q2076" s="1" t="s">
        <v>330</v>
      </c>
      <c r="T2076" s="1" t="s">
        <v>463</v>
      </c>
      <c r="U2076" s="1" t="s">
        <v>464</v>
      </c>
      <c r="V2076" s="1">
        <v>1</v>
      </c>
      <c r="W2076" s="3">
        <v>28215.439999999999</v>
      </c>
      <c r="X2076" s="3">
        <v>28215.439999999999</v>
      </c>
      <c r="Y2076" s="1" t="str">
        <f>VLOOKUP(A2076,[1]Detalle!$D$2:$CR$484,93,FALSE)</f>
        <v>Expreso - Servicios Troncales</v>
      </c>
    </row>
    <row r="2077" spans="1:25" ht="14.25" customHeight="1" x14ac:dyDescent="0.3">
      <c r="A2077" s="1" t="s">
        <v>510</v>
      </c>
      <c r="B2077" s="1" t="s">
        <v>462</v>
      </c>
      <c r="C2077" s="1" t="s">
        <v>451</v>
      </c>
      <c r="D2077" s="1" t="s">
        <v>344</v>
      </c>
      <c r="E2077" s="6">
        <v>45901</v>
      </c>
      <c r="F2077" s="1">
        <v>1811240</v>
      </c>
      <c r="G2077" s="1">
        <v>1841240</v>
      </c>
      <c r="H2077" s="1">
        <v>9997.7999999999975</v>
      </c>
      <c r="I2077" s="1">
        <v>20002.2</v>
      </c>
      <c r="J2077" s="1">
        <v>1821237.8</v>
      </c>
      <c r="K2077" s="1">
        <v>46</v>
      </c>
      <c r="L2077" s="1">
        <v>2480.570318518518</v>
      </c>
      <c r="M2077" s="1">
        <v>92.030366680669786</v>
      </c>
      <c r="N2077" s="7">
        <v>45947</v>
      </c>
      <c r="O2077" s="1">
        <v>30000</v>
      </c>
      <c r="P2077" s="7">
        <v>46039.030366678242</v>
      </c>
      <c r="Q2077" s="1" t="s">
        <v>330</v>
      </c>
      <c r="T2077" s="1" t="s">
        <v>465</v>
      </c>
      <c r="U2077" s="1" t="s">
        <v>466</v>
      </c>
      <c r="V2077" s="1">
        <v>1</v>
      </c>
      <c r="W2077" s="3">
        <v>15875.81</v>
      </c>
      <c r="X2077" s="3">
        <v>15875.81</v>
      </c>
      <c r="Y2077" s="1" t="str">
        <f>VLOOKUP(A2077,[1]Detalle!$D$2:$CR$484,93,FALSE)</f>
        <v>Expreso - Servicios Troncales</v>
      </c>
    </row>
    <row r="2078" spans="1:25" ht="14.25" customHeight="1" x14ac:dyDescent="0.3">
      <c r="A2078" s="1" t="s">
        <v>511</v>
      </c>
      <c r="B2078" s="1" t="s">
        <v>462</v>
      </c>
      <c r="C2078" s="1" t="s">
        <v>451</v>
      </c>
      <c r="D2078" s="1" t="s">
        <v>344</v>
      </c>
      <c r="E2078" s="6">
        <v>45889</v>
      </c>
      <c r="F2078" s="1">
        <v>1658262</v>
      </c>
      <c r="G2078" s="1">
        <v>1688262</v>
      </c>
      <c r="H2078" s="1">
        <v>12851.9</v>
      </c>
      <c r="I2078" s="1">
        <v>17148.099999999999</v>
      </c>
      <c r="J2078" s="1">
        <v>1671113.9</v>
      </c>
      <c r="K2078" s="1">
        <v>58</v>
      </c>
      <c r="L2078" s="1">
        <v>411.92981617647058</v>
      </c>
      <c r="M2078" s="1">
        <v>77.38854177203369</v>
      </c>
      <c r="N2078" s="7">
        <v>45947</v>
      </c>
      <c r="O2078" s="1">
        <v>30000</v>
      </c>
      <c r="P2078" s="7">
        <v>46024.38854177083</v>
      </c>
      <c r="Q2078" s="1" t="s">
        <v>330</v>
      </c>
      <c r="T2078" s="1" t="s">
        <v>463</v>
      </c>
      <c r="U2078" s="1" t="s">
        <v>464</v>
      </c>
      <c r="V2078" s="1">
        <v>1</v>
      </c>
      <c r="W2078" s="3">
        <v>28215.439999999999</v>
      </c>
      <c r="X2078" s="3">
        <v>28215.439999999999</v>
      </c>
      <c r="Y2078" s="1" t="str">
        <f>VLOOKUP(A2078,[1]Detalle!$D$2:$CR$484,93,FALSE)</f>
        <v>Expreso - Servicios Troncales</v>
      </c>
    </row>
    <row r="2079" spans="1:25" ht="14.25" customHeight="1" x14ac:dyDescent="0.3">
      <c r="A2079" s="1" t="s">
        <v>511</v>
      </c>
      <c r="B2079" s="1" t="s">
        <v>462</v>
      </c>
      <c r="C2079" s="1" t="s">
        <v>451</v>
      </c>
      <c r="D2079" s="1" t="s">
        <v>344</v>
      </c>
      <c r="E2079" s="6">
        <v>45889</v>
      </c>
      <c r="F2079" s="1">
        <v>1658262</v>
      </c>
      <c r="G2079" s="1">
        <v>1688262</v>
      </c>
      <c r="H2079" s="1">
        <v>12851.9</v>
      </c>
      <c r="I2079" s="1">
        <v>17148.099999999999</v>
      </c>
      <c r="J2079" s="1">
        <v>1671113.9</v>
      </c>
      <c r="K2079" s="1">
        <v>58</v>
      </c>
      <c r="L2079" s="1">
        <v>411.92981617647058</v>
      </c>
      <c r="M2079" s="1">
        <v>77.38854177203369</v>
      </c>
      <c r="N2079" s="7">
        <v>45947</v>
      </c>
      <c r="O2079" s="1">
        <v>30000</v>
      </c>
      <c r="P2079" s="7">
        <v>46024.38854177083</v>
      </c>
      <c r="Q2079" s="1" t="s">
        <v>330</v>
      </c>
      <c r="T2079" s="1" t="s">
        <v>465</v>
      </c>
      <c r="U2079" s="1" t="s">
        <v>466</v>
      </c>
      <c r="V2079" s="1">
        <v>1</v>
      </c>
      <c r="W2079" s="3">
        <v>15875.81</v>
      </c>
      <c r="X2079" s="3">
        <v>15875.81</v>
      </c>
      <c r="Y2079" s="1" t="str">
        <f>VLOOKUP(A2079,[1]Detalle!$D$2:$CR$484,93,FALSE)</f>
        <v>Expreso - Servicios Troncales</v>
      </c>
    </row>
    <row r="2080" spans="1:25" ht="14.25" customHeight="1" x14ac:dyDescent="0.3">
      <c r="A2080" s="1" t="s">
        <v>512</v>
      </c>
      <c r="B2080" s="1" t="s">
        <v>462</v>
      </c>
      <c r="C2080" s="1" t="s">
        <v>451</v>
      </c>
      <c r="D2080" s="1" t="s">
        <v>344</v>
      </c>
      <c r="E2080" s="6">
        <v>45880</v>
      </c>
      <c r="F2080" s="1">
        <v>1751581</v>
      </c>
      <c r="G2080" s="1">
        <v>1781581</v>
      </c>
      <c r="H2080" s="1">
        <v>12241.1</v>
      </c>
      <c r="I2080" s="1">
        <v>17758.900000000001</v>
      </c>
      <c r="J2080" s="1">
        <v>1763822.1</v>
      </c>
      <c r="K2080" s="1">
        <v>67</v>
      </c>
      <c r="L2080" s="1">
        <v>4494.815091575093</v>
      </c>
      <c r="M2080" s="1">
        <v>97.200929655014633</v>
      </c>
      <c r="N2080" s="7">
        <v>45947</v>
      </c>
      <c r="O2080" s="1">
        <v>30000</v>
      </c>
      <c r="P2080" s="7">
        <v>46044.200929652783</v>
      </c>
      <c r="Q2080" s="1" t="s">
        <v>330</v>
      </c>
      <c r="T2080" s="1" t="s">
        <v>463</v>
      </c>
      <c r="U2080" s="1" t="s">
        <v>464</v>
      </c>
      <c r="V2080" s="1">
        <v>1</v>
      </c>
      <c r="W2080" s="3">
        <v>28215.439999999999</v>
      </c>
      <c r="X2080" s="3">
        <v>28215.439999999999</v>
      </c>
      <c r="Y2080" s="1" t="str">
        <f>VLOOKUP(A2080,[1]Detalle!$D$2:$CR$484,93,FALSE)</f>
        <v>Expreso - Servicios Troncales</v>
      </c>
    </row>
    <row r="2081" spans="1:25" ht="14.25" customHeight="1" x14ac:dyDescent="0.3">
      <c r="A2081" s="1" t="s">
        <v>512</v>
      </c>
      <c r="B2081" s="1" t="s">
        <v>462</v>
      </c>
      <c r="C2081" s="1" t="s">
        <v>451</v>
      </c>
      <c r="D2081" s="1" t="s">
        <v>344</v>
      </c>
      <c r="E2081" s="6">
        <v>45880</v>
      </c>
      <c r="F2081" s="1">
        <v>1751581</v>
      </c>
      <c r="G2081" s="1">
        <v>1781581</v>
      </c>
      <c r="H2081" s="1">
        <v>12241.1</v>
      </c>
      <c r="I2081" s="1">
        <v>17758.900000000001</v>
      </c>
      <c r="J2081" s="1">
        <v>1763822.1</v>
      </c>
      <c r="K2081" s="1">
        <v>67</v>
      </c>
      <c r="L2081" s="1">
        <v>4494.815091575093</v>
      </c>
      <c r="M2081" s="1">
        <v>97.200929655014633</v>
      </c>
      <c r="N2081" s="7">
        <v>45947</v>
      </c>
      <c r="O2081" s="1">
        <v>30000</v>
      </c>
      <c r="P2081" s="7">
        <v>46044.200929652783</v>
      </c>
      <c r="Q2081" s="1" t="s">
        <v>330</v>
      </c>
      <c r="T2081" s="1" t="s">
        <v>465</v>
      </c>
      <c r="U2081" s="1" t="s">
        <v>466</v>
      </c>
      <c r="V2081" s="1">
        <v>1</v>
      </c>
      <c r="W2081" s="3">
        <v>15875.81</v>
      </c>
      <c r="X2081" s="3">
        <v>15875.81</v>
      </c>
      <c r="Y2081" s="1" t="str">
        <f>VLOOKUP(A2081,[1]Detalle!$D$2:$CR$484,93,FALSE)</f>
        <v>Expreso - Servicios Troncales</v>
      </c>
    </row>
    <row r="2082" spans="1:25" ht="14.25" customHeight="1" x14ac:dyDescent="0.3">
      <c r="A2082" s="1" t="s">
        <v>513</v>
      </c>
      <c r="B2082" s="1" t="s">
        <v>462</v>
      </c>
      <c r="C2082" s="1" t="s">
        <v>451</v>
      </c>
      <c r="D2082" s="1" t="s">
        <v>344</v>
      </c>
      <c r="E2082" s="6">
        <v>45887</v>
      </c>
      <c r="F2082" s="1">
        <v>1522461</v>
      </c>
      <c r="G2082" s="1">
        <v>1552461</v>
      </c>
      <c r="H2082" s="1">
        <v>14993.7</v>
      </c>
      <c r="I2082" s="1">
        <v>15006.3</v>
      </c>
      <c r="J2082" s="1">
        <v>1537454.7</v>
      </c>
      <c r="K2082" s="1">
        <v>60</v>
      </c>
      <c r="L2082" s="1">
        <v>2328.6221402214019</v>
      </c>
      <c r="M2082" s="1">
        <v>60.050421176894289</v>
      </c>
      <c r="N2082" s="7">
        <v>45947</v>
      </c>
      <c r="O2082" s="1">
        <v>30000</v>
      </c>
      <c r="P2082" s="7">
        <v>46032.816731203697</v>
      </c>
      <c r="Q2082" s="1" t="s">
        <v>330</v>
      </c>
      <c r="T2082" s="1" t="s">
        <v>463</v>
      </c>
      <c r="U2082" s="1" t="s">
        <v>464</v>
      </c>
      <c r="V2082" s="1">
        <v>1</v>
      </c>
      <c r="W2082" s="3">
        <v>28215.439999999999</v>
      </c>
      <c r="X2082" s="3">
        <v>28215.439999999999</v>
      </c>
      <c r="Y2082" s="1" t="str">
        <f>VLOOKUP(A2082,[1]Detalle!$D$2:$CR$484,93,FALSE)</f>
        <v>Expreso - Servicios Troncales</v>
      </c>
    </row>
    <row r="2083" spans="1:25" ht="14.25" customHeight="1" x14ac:dyDescent="0.3">
      <c r="A2083" s="1" t="s">
        <v>513</v>
      </c>
      <c r="B2083" s="1" t="s">
        <v>462</v>
      </c>
      <c r="C2083" s="1" t="s">
        <v>451</v>
      </c>
      <c r="D2083" s="1" t="s">
        <v>344</v>
      </c>
      <c r="E2083" s="6">
        <v>45887</v>
      </c>
      <c r="F2083" s="1">
        <v>1522461</v>
      </c>
      <c r="G2083" s="1">
        <v>1552461</v>
      </c>
      <c r="H2083" s="1">
        <v>14993.7</v>
      </c>
      <c r="I2083" s="1">
        <v>15006.3</v>
      </c>
      <c r="J2083" s="1">
        <v>1537454.7</v>
      </c>
      <c r="K2083" s="1">
        <v>60</v>
      </c>
      <c r="L2083" s="1">
        <v>2328.6221402214019</v>
      </c>
      <c r="M2083" s="1">
        <v>60.050421176894289</v>
      </c>
      <c r="N2083" s="7">
        <v>45947</v>
      </c>
      <c r="O2083" s="1">
        <v>30000</v>
      </c>
      <c r="P2083" s="7">
        <v>46032.816731203697</v>
      </c>
      <c r="Q2083" s="1" t="s">
        <v>330</v>
      </c>
      <c r="T2083" s="1" t="s">
        <v>465</v>
      </c>
      <c r="U2083" s="1" t="s">
        <v>466</v>
      </c>
      <c r="V2083" s="1">
        <v>1</v>
      </c>
      <c r="W2083" s="3">
        <v>15875.81</v>
      </c>
      <c r="X2083" s="3">
        <v>15875.81</v>
      </c>
      <c r="Y2083" s="1" t="str">
        <f>VLOOKUP(A2083,[1]Detalle!$D$2:$CR$484,93,FALSE)</f>
        <v>Expreso - Servicios Troncales</v>
      </c>
    </row>
    <row r="2084" spans="1:25" ht="14.25" customHeight="1" x14ac:dyDescent="0.3">
      <c r="A2084" s="1" t="s">
        <v>270</v>
      </c>
      <c r="B2084" s="1" t="s">
        <v>462</v>
      </c>
      <c r="C2084" s="1" t="s">
        <v>451</v>
      </c>
      <c r="D2084" s="1" t="s">
        <v>344</v>
      </c>
      <c r="E2084" s="6">
        <v>45891</v>
      </c>
      <c r="F2084" s="1">
        <v>1737584</v>
      </c>
      <c r="G2084" s="1">
        <v>1767584</v>
      </c>
      <c r="H2084" s="1">
        <v>15736.9</v>
      </c>
      <c r="I2084" s="1">
        <v>14263.1</v>
      </c>
      <c r="J2084" s="1">
        <v>1753320.9</v>
      </c>
      <c r="K2084" s="1">
        <v>56</v>
      </c>
      <c r="L2084" s="1">
        <v>1736.2685719557189</v>
      </c>
      <c r="M2084" s="1">
        <v>50.755460096969557</v>
      </c>
      <c r="N2084" s="7">
        <v>45947</v>
      </c>
      <c r="O2084" s="1">
        <v>30000</v>
      </c>
      <c r="P2084" s="7">
        <v>46032.312325879633</v>
      </c>
      <c r="Q2084" s="1" t="s">
        <v>330</v>
      </c>
      <c r="T2084" s="1" t="s">
        <v>463</v>
      </c>
      <c r="U2084" s="1" t="s">
        <v>464</v>
      </c>
      <c r="V2084" s="1">
        <v>1</v>
      </c>
      <c r="W2084" s="3">
        <v>28215.439999999999</v>
      </c>
      <c r="X2084" s="3">
        <v>28215.439999999999</v>
      </c>
      <c r="Y2084" s="1" t="str">
        <f>VLOOKUP(A2084,[1]Detalle!$D$2:$CR$484,93,FALSE)</f>
        <v>Expreso - Servicios Troncales</v>
      </c>
    </row>
    <row r="2085" spans="1:25" ht="14.25" customHeight="1" x14ac:dyDescent="0.3">
      <c r="A2085" s="1" t="s">
        <v>270</v>
      </c>
      <c r="B2085" s="1" t="s">
        <v>462</v>
      </c>
      <c r="C2085" s="1" t="s">
        <v>451</v>
      </c>
      <c r="D2085" s="1" t="s">
        <v>344</v>
      </c>
      <c r="E2085" s="6">
        <v>45891</v>
      </c>
      <c r="F2085" s="1">
        <v>1737584</v>
      </c>
      <c r="G2085" s="1">
        <v>1767584</v>
      </c>
      <c r="H2085" s="1">
        <v>15736.9</v>
      </c>
      <c r="I2085" s="1">
        <v>14263.1</v>
      </c>
      <c r="J2085" s="1">
        <v>1753320.9</v>
      </c>
      <c r="K2085" s="1">
        <v>56</v>
      </c>
      <c r="L2085" s="1">
        <v>1736.2685719557189</v>
      </c>
      <c r="M2085" s="1">
        <v>50.755460096969557</v>
      </c>
      <c r="N2085" s="7">
        <v>45947</v>
      </c>
      <c r="O2085" s="1">
        <v>30000</v>
      </c>
      <c r="P2085" s="7">
        <v>46032.312325879633</v>
      </c>
      <c r="Q2085" s="1" t="s">
        <v>330</v>
      </c>
      <c r="T2085" s="1" t="s">
        <v>465</v>
      </c>
      <c r="U2085" s="1" t="s">
        <v>466</v>
      </c>
      <c r="V2085" s="1">
        <v>1</v>
      </c>
      <c r="W2085" s="3">
        <v>15875.81</v>
      </c>
      <c r="X2085" s="3">
        <v>15875.81</v>
      </c>
      <c r="Y2085" s="1" t="str">
        <f>VLOOKUP(A2085,[1]Detalle!$D$2:$CR$484,93,FALSE)</f>
        <v>Expreso - Servicios Troncales</v>
      </c>
    </row>
    <row r="2086" spans="1:25" ht="14.25" customHeight="1" x14ac:dyDescent="0.3">
      <c r="A2086" s="1" t="s">
        <v>221</v>
      </c>
      <c r="B2086" s="1" t="s">
        <v>467</v>
      </c>
      <c r="C2086" s="1" t="s">
        <v>467</v>
      </c>
      <c r="D2086" s="1" t="s">
        <v>366</v>
      </c>
      <c r="E2086" s="6">
        <v>45818</v>
      </c>
      <c r="F2086" s="1">
        <v>1516521</v>
      </c>
      <c r="G2086" s="1">
        <v>1546521</v>
      </c>
      <c r="H2086" s="1">
        <v>14102</v>
      </c>
      <c r="I2086" s="1">
        <v>15898</v>
      </c>
      <c r="J2086" s="1">
        <v>1530623</v>
      </c>
      <c r="K2086" s="1">
        <v>129</v>
      </c>
      <c r="L2086" s="1">
        <v>150.71646840148699</v>
      </c>
      <c r="M2086" s="1">
        <v>145.4291589845412</v>
      </c>
      <c r="N2086" s="7">
        <v>45947</v>
      </c>
      <c r="O2086" s="1">
        <v>30000</v>
      </c>
      <c r="P2086" s="7">
        <v>46092.429158981482</v>
      </c>
      <c r="Q2086" s="1" t="s">
        <v>330</v>
      </c>
      <c r="T2086" s="1" t="s">
        <v>422</v>
      </c>
      <c r="U2086" s="1" t="s">
        <v>423</v>
      </c>
      <c r="V2086" s="1">
        <v>1</v>
      </c>
      <c r="W2086" s="3">
        <v>49777.919999999998</v>
      </c>
      <c r="X2086" s="3">
        <v>49777.919999999998</v>
      </c>
      <c r="Y2086" s="1" t="str">
        <f>VLOOKUP(A2086,[1]Detalle!$D$2:$CR$484,93,FALSE)</f>
        <v>ADA_CH - Danone Arg. S.A. - Chascomus</v>
      </c>
    </row>
    <row r="2087" spans="1:25" ht="14.25" customHeight="1" x14ac:dyDescent="0.3">
      <c r="A2087" s="1" t="s">
        <v>30</v>
      </c>
      <c r="B2087" s="1" t="s">
        <v>467</v>
      </c>
      <c r="C2087" s="1" t="s">
        <v>467</v>
      </c>
      <c r="D2087" s="1" t="s">
        <v>366</v>
      </c>
      <c r="E2087" s="6">
        <v>45923</v>
      </c>
      <c r="F2087" s="1">
        <v>452616</v>
      </c>
      <c r="G2087" s="1">
        <v>482616</v>
      </c>
      <c r="H2087" s="1">
        <v>2109</v>
      </c>
      <c r="I2087" s="1">
        <v>27891</v>
      </c>
      <c r="J2087" s="1">
        <v>454725</v>
      </c>
      <c r="K2087" s="1">
        <v>24</v>
      </c>
      <c r="L2087" s="1">
        <v>273.98136531365333</v>
      </c>
      <c r="M2087" s="1">
        <v>317.39402560455193</v>
      </c>
      <c r="N2087" s="7">
        <v>45947</v>
      </c>
      <c r="O2087" s="1">
        <v>30000</v>
      </c>
      <c r="P2087" s="7">
        <v>46264.394025601847</v>
      </c>
      <c r="Q2087" s="1" t="s">
        <v>330</v>
      </c>
      <c r="T2087" s="1" t="s">
        <v>422</v>
      </c>
      <c r="U2087" s="1" t="s">
        <v>423</v>
      </c>
      <c r="V2087" s="1">
        <v>1</v>
      </c>
      <c r="W2087" s="3">
        <v>49777.919999999998</v>
      </c>
      <c r="X2087" s="3">
        <v>49777.919999999998</v>
      </c>
      <c r="Y2087" s="1" t="str">
        <f>VLOOKUP(A2087,[1]Detalle!$D$2:$CR$484,93,FALSE)</f>
        <v>ADA_CH - Danone Arg. S.A. - Chascomus</v>
      </c>
    </row>
    <row r="2088" spans="1:25" ht="14.25" customHeight="1" x14ac:dyDescent="0.3">
      <c r="A2088" s="1" t="s">
        <v>32</v>
      </c>
      <c r="B2088" s="1" t="s">
        <v>467</v>
      </c>
      <c r="C2088" s="1" t="s">
        <v>467</v>
      </c>
      <c r="D2088" s="1" t="s">
        <v>366</v>
      </c>
      <c r="E2088" s="6">
        <v>45792</v>
      </c>
      <c r="F2088" s="1">
        <v>308369</v>
      </c>
      <c r="G2088" s="1">
        <v>338369</v>
      </c>
      <c r="H2088" s="1">
        <v>18849.799999999988</v>
      </c>
      <c r="I2088" s="1">
        <v>11150.20000000001</v>
      </c>
      <c r="J2088" s="1">
        <v>327218.8</v>
      </c>
      <c r="K2088" s="1">
        <v>155</v>
      </c>
      <c r="L2088" s="1">
        <v>189.65078066914509</v>
      </c>
      <c r="M2088" s="1">
        <v>91.686967500981538</v>
      </c>
      <c r="N2088" s="7">
        <v>45947</v>
      </c>
      <c r="O2088" s="1">
        <v>30000</v>
      </c>
      <c r="P2088" s="7">
        <v>46038.686967499998</v>
      </c>
      <c r="Q2088" s="1" t="s">
        <v>330</v>
      </c>
      <c r="T2088" s="1" t="s">
        <v>422</v>
      </c>
      <c r="U2088" s="1" t="s">
        <v>423</v>
      </c>
      <c r="V2088" s="1">
        <v>1</v>
      </c>
      <c r="W2088" s="3">
        <v>49777.919999999998</v>
      </c>
      <c r="X2088" s="3">
        <v>49777.919999999998</v>
      </c>
      <c r="Y2088" s="1" t="str">
        <f>VLOOKUP(A2088,[1]Detalle!$D$2:$CR$484,93,FALSE)</f>
        <v>ADA_CH - Danone Arg. S.A. - Chascomus</v>
      </c>
    </row>
    <row r="2089" spans="1:25" ht="14.25" customHeight="1" x14ac:dyDescent="0.3">
      <c r="A2089" s="1" t="s">
        <v>70</v>
      </c>
      <c r="B2089" s="1" t="s">
        <v>467</v>
      </c>
      <c r="C2089" s="1" t="s">
        <v>467</v>
      </c>
      <c r="D2089" s="1" t="s">
        <v>366</v>
      </c>
      <c r="E2089" s="6">
        <v>45912</v>
      </c>
      <c r="F2089" s="1">
        <v>350551</v>
      </c>
      <c r="G2089" s="1">
        <v>380551</v>
      </c>
      <c r="H2089" s="1">
        <v>5928.8000000000011</v>
      </c>
      <c r="I2089" s="1">
        <v>24071.200000000001</v>
      </c>
      <c r="J2089" s="1">
        <v>356479.8</v>
      </c>
      <c r="K2089" s="1">
        <v>35</v>
      </c>
      <c r="L2089" s="1">
        <v>252.63896296296281</v>
      </c>
      <c r="M2089" s="1">
        <v>142.10160572122521</v>
      </c>
      <c r="N2089" s="7">
        <v>45947</v>
      </c>
      <c r="O2089" s="1">
        <v>30000</v>
      </c>
      <c r="P2089" s="7">
        <v>46089.101605717588</v>
      </c>
      <c r="Q2089" s="1" t="s">
        <v>330</v>
      </c>
      <c r="T2089" s="1" t="s">
        <v>422</v>
      </c>
      <c r="U2089" s="1" t="s">
        <v>423</v>
      </c>
      <c r="V2089" s="1">
        <v>1</v>
      </c>
      <c r="W2089" s="3">
        <v>49777.919999999998</v>
      </c>
      <c r="X2089" s="3">
        <v>49777.919999999998</v>
      </c>
      <c r="Y2089" s="1" t="str">
        <f>VLOOKUP(A2089,[1]Detalle!$D$2:$CR$484,93,FALSE)</f>
        <v>ADA_CH - Danone Arg. S.A. - Chascomus</v>
      </c>
    </row>
    <row r="2090" spans="1:25" ht="14.25" customHeight="1" x14ac:dyDescent="0.3">
      <c r="A2090" s="1" t="s">
        <v>77</v>
      </c>
      <c r="B2090" s="1" t="s">
        <v>467</v>
      </c>
      <c r="C2090" s="1" t="s">
        <v>467</v>
      </c>
      <c r="D2090" s="1" t="s">
        <v>366</v>
      </c>
      <c r="E2090" s="6">
        <v>45783</v>
      </c>
      <c r="F2090" s="1">
        <v>54070.5</v>
      </c>
      <c r="G2090" s="1">
        <v>84070.5</v>
      </c>
      <c r="H2090" s="1">
        <v>14641.70000000001</v>
      </c>
      <c r="I2090" s="1">
        <v>15358.29999999999</v>
      </c>
      <c r="J2090" s="1">
        <v>68712.200000000012</v>
      </c>
      <c r="K2090" s="1">
        <v>164</v>
      </c>
      <c r="L2090" s="1">
        <v>78.920809061488711</v>
      </c>
      <c r="M2090" s="1">
        <v>172.02655429355869</v>
      </c>
      <c r="N2090" s="7">
        <v>45947</v>
      </c>
      <c r="O2090" s="1">
        <v>30000</v>
      </c>
      <c r="P2090" s="7">
        <v>46119.026554293981</v>
      </c>
      <c r="Q2090" s="1" t="s">
        <v>330</v>
      </c>
      <c r="T2090" s="1" t="s">
        <v>422</v>
      </c>
      <c r="U2090" s="1" t="s">
        <v>423</v>
      </c>
      <c r="V2090" s="1">
        <v>1</v>
      </c>
      <c r="W2090" s="3">
        <v>49777.919999999998</v>
      </c>
      <c r="X2090" s="3">
        <v>49777.919999999998</v>
      </c>
      <c r="Y2090" s="1" t="str">
        <f>VLOOKUP(A2090,[1]Detalle!$D$2:$CR$484,93,FALSE)</f>
        <v>Arcor S.A.I.C.</v>
      </c>
    </row>
    <row r="2091" spans="1:25" ht="14.25" customHeight="1" x14ac:dyDescent="0.3">
      <c r="A2091" s="1" t="s">
        <v>86</v>
      </c>
      <c r="B2091" s="1" t="s">
        <v>467</v>
      </c>
      <c r="C2091" s="1" t="s">
        <v>467</v>
      </c>
      <c r="D2091" s="1" t="s">
        <v>366</v>
      </c>
      <c r="E2091" s="6">
        <v>45764</v>
      </c>
      <c r="F2091" s="1">
        <v>52929.7</v>
      </c>
      <c r="G2091" s="1">
        <v>82929.7</v>
      </c>
      <c r="H2091" s="1">
        <v>13599.899999999991</v>
      </c>
      <c r="I2091" s="1">
        <v>16400.100000000009</v>
      </c>
      <c r="J2091" s="1">
        <v>66529.599999999991</v>
      </c>
      <c r="K2091" s="1">
        <v>183</v>
      </c>
      <c r="L2091" s="1">
        <v>74.356479400749095</v>
      </c>
      <c r="M2091" s="1">
        <v>220.6794388194032</v>
      </c>
      <c r="N2091" s="7">
        <v>45947</v>
      </c>
      <c r="O2091" s="1">
        <v>30000</v>
      </c>
      <c r="P2091" s="7">
        <v>46167.679438819447</v>
      </c>
      <c r="Q2091" s="1" t="s">
        <v>330</v>
      </c>
      <c r="T2091" s="1" t="s">
        <v>422</v>
      </c>
      <c r="U2091" s="1" t="s">
        <v>423</v>
      </c>
      <c r="V2091" s="1">
        <v>1</v>
      </c>
      <c r="W2091" s="3">
        <v>49777.919999999998</v>
      </c>
      <c r="X2091" s="3">
        <v>49777.919999999998</v>
      </c>
      <c r="Y2091" s="1" t="str">
        <f>VLOOKUP(A2091,[1]Detalle!$D$2:$CR$484,93,FALSE)</f>
        <v>Arcor S.A.I.C.</v>
      </c>
    </row>
    <row r="2092" spans="1:25" ht="14.25" customHeight="1" x14ac:dyDescent="0.3">
      <c r="A2092" s="1" t="s">
        <v>85</v>
      </c>
      <c r="B2092" s="1" t="s">
        <v>467</v>
      </c>
      <c r="C2092" s="1" t="s">
        <v>467</v>
      </c>
      <c r="D2092" s="1" t="s">
        <v>366</v>
      </c>
      <c r="E2092" s="6">
        <v>45609</v>
      </c>
      <c r="F2092" s="1">
        <v>55539.8</v>
      </c>
      <c r="G2092" s="1">
        <v>85539.8</v>
      </c>
      <c r="H2092" s="1">
        <v>23943.03000000001</v>
      </c>
      <c r="I2092" s="1">
        <v>6056.9699999999939</v>
      </c>
      <c r="J2092" s="1">
        <v>79482.830000000016</v>
      </c>
      <c r="K2092" s="1">
        <v>338</v>
      </c>
      <c r="L2092" s="1">
        <v>78.134555555555551</v>
      </c>
      <c r="M2092" s="1">
        <v>85.505295695657452</v>
      </c>
      <c r="N2092" s="7">
        <v>45947</v>
      </c>
      <c r="O2092" s="1">
        <v>30000</v>
      </c>
      <c r="P2092" s="7">
        <v>46032.505295694442</v>
      </c>
      <c r="Q2092" s="1" t="s">
        <v>330</v>
      </c>
      <c r="T2092" s="1" t="s">
        <v>422</v>
      </c>
      <c r="U2092" s="1" t="s">
        <v>423</v>
      </c>
      <c r="V2092" s="1">
        <v>1</v>
      </c>
      <c r="W2092" s="3">
        <v>49777.919999999998</v>
      </c>
      <c r="X2092" s="3">
        <v>49777.919999999998</v>
      </c>
      <c r="Y2092" s="1" t="str">
        <f>VLOOKUP(A2092,[1]Detalle!$D$2:$CR$484,93,FALSE)</f>
        <v>Arcor S.A.I.C.</v>
      </c>
    </row>
    <row r="2093" spans="1:25" ht="14.25" customHeight="1" x14ac:dyDescent="0.3">
      <c r="A2093" s="1" t="s">
        <v>93</v>
      </c>
      <c r="B2093" s="1" t="s">
        <v>467</v>
      </c>
      <c r="C2093" s="1" t="s">
        <v>467</v>
      </c>
      <c r="D2093" s="1" t="s">
        <v>366</v>
      </c>
      <c r="E2093" s="1" t="s">
        <v>337</v>
      </c>
      <c r="L2093" s="1">
        <v>112.049667896679</v>
      </c>
      <c r="N2093" s="7">
        <v>45947</v>
      </c>
      <c r="O2093" s="1">
        <v>30000</v>
      </c>
      <c r="P2093" s="7">
        <v>46214.738410682869</v>
      </c>
      <c r="Q2093" s="1" t="s">
        <v>330</v>
      </c>
      <c r="T2093" s="1" t="s">
        <v>422</v>
      </c>
      <c r="U2093" s="1" t="s">
        <v>423</v>
      </c>
      <c r="V2093" s="1">
        <v>1</v>
      </c>
      <c r="W2093" s="3">
        <v>49777.919999999998</v>
      </c>
      <c r="X2093" s="3">
        <v>49777.919999999998</v>
      </c>
      <c r="Y2093" s="1" t="str">
        <f>VLOOKUP(A2093,[1]Detalle!$D$2:$CR$484,93,FALSE)</f>
        <v>Arcor S.A.I.C.</v>
      </c>
    </row>
    <row r="2094" spans="1:25" ht="14.25" customHeight="1" x14ac:dyDescent="0.3">
      <c r="A2094" s="1" t="s">
        <v>19</v>
      </c>
      <c r="B2094" s="1" t="s">
        <v>467</v>
      </c>
      <c r="C2094" s="1" t="s">
        <v>467</v>
      </c>
      <c r="D2094" s="1" t="s">
        <v>366</v>
      </c>
      <c r="E2094" s="6">
        <v>45902</v>
      </c>
      <c r="F2094" s="1">
        <v>542619</v>
      </c>
      <c r="G2094" s="1">
        <v>572619</v>
      </c>
      <c r="H2094" s="1">
        <v>9864.5000000000018</v>
      </c>
      <c r="I2094" s="1">
        <v>20135.5</v>
      </c>
      <c r="J2094" s="1">
        <v>552483.5</v>
      </c>
      <c r="K2094" s="1">
        <v>45</v>
      </c>
      <c r="L2094" s="1">
        <v>844.57346863468638</v>
      </c>
      <c r="M2094" s="1">
        <v>91.85437680571745</v>
      </c>
      <c r="N2094" s="7">
        <v>45947</v>
      </c>
      <c r="O2094" s="1">
        <v>30000</v>
      </c>
      <c r="P2094" s="7">
        <v>46038.854376805553</v>
      </c>
      <c r="Q2094" s="1" t="s">
        <v>330</v>
      </c>
      <c r="T2094" s="1" t="s">
        <v>422</v>
      </c>
      <c r="U2094" s="1" t="s">
        <v>423</v>
      </c>
      <c r="V2094" s="1">
        <v>1</v>
      </c>
      <c r="W2094" s="3">
        <v>49777.919999999998</v>
      </c>
      <c r="X2094" s="3">
        <v>49777.919999999998</v>
      </c>
      <c r="Y2094" s="1" t="str">
        <f>VLOOKUP(A2094,[1]Detalle!$D$2:$CR$484,93,FALSE)</f>
        <v>CENCOMLD - Cencosud SA - Mendoza</v>
      </c>
    </row>
    <row r="2095" spans="1:25" ht="14.25" customHeight="1" x14ac:dyDescent="0.3">
      <c r="A2095" s="1" t="s">
        <v>31</v>
      </c>
      <c r="B2095" s="1" t="s">
        <v>467</v>
      </c>
      <c r="C2095" s="1" t="s">
        <v>467</v>
      </c>
      <c r="D2095" s="1" t="s">
        <v>366</v>
      </c>
      <c r="E2095" s="6">
        <v>45670</v>
      </c>
      <c r="F2095" s="1">
        <v>26955.5</v>
      </c>
      <c r="G2095" s="1">
        <v>56955.5</v>
      </c>
      <c r="H2095" s="1">
        <v>25182.46000000001</v>
      </c>
      <c r="I2095" s="1">
        <v>4817.53999999999</v>
      </c>
      <c r="J2095" s="1">
        <v>52137.960000000006</v>
      </c>
      <c r="K2095" s="1">
        <v>277</v>
      </c>
      <c r="L2095" s="1">
        <v>102.90352941176479</v>
      </c>
      <c r="M2095" s="1">
        <v>52.991589384039401</v>
      </c>
      <c r="N2095" s="7">
        <v>45947</v>
      </c>
      <c r="O2095" s="1">
        <v>30000</v>
      </c>
      <c r="P2095" s="7">
        <v>46291.526779398147</v>
      </c>
      <c r="Q2095" s="1" t="s">
        <v>330</v>
      </c>
      <c r="T2095" s="1" t="s">
        <v>422</v>
      </c>
      <c r="U2095" s="1" t="s">
        <v>423</v>
      </c>
      <c r="V2095" s="1">
        <v>1</v>
      </c>
      <c r="W2095" s="3">
        <v>49777.919999999998</v>
      </c>
      <c r="X2095" s="3">
        <v>49777.919999999998</v>
      </c>
      <c r="Y2095" s="1" t="str">
        <f>VLOOKUP(A2095,[1]Detalle!$D$2:$CR$484,93,FALSE)</f>
        <v>CENCOMLD - Cencosud SA - Mendoza</v>
      </c>
    </row>
    <row r="2096" spans="1:25" ht="14.25" customHeight="1" x14ac:dyDescent="0.3">
      <c r="A2096" s="1" t="s">
        <v>35</v>
      </c>
      <c r="B2096" s="1" t="s">
        <v>467</v>
      </c>
      <c r="C2096" s="1" t="s">
        <v>467</v>
      </c>
      <c r="D2096" s="1" t="s">
        <v>366</v>
      </c>
      <c r="E2096" s="6">
        <v>45889</v>
      </c>
      <c r="F2096" s="1">
        <v>401776</v>
      </c>
      <c r="G2096" s="1">
        <v>431776</v>
      </c>
      <c r="H2096" s="1">
        <v>11957.5</v>
      </c>
      <c r="I2096" s="1">
        <v>18042.5</v>
      </c>
      <c r="J2096" s="1">
        <v>413733.5</v>
      </c>
      <c r="K2096" s="1">
        <v>58</v>
      </c>
      <c r="L2096" s="1">
        <v>328.18794117647042</v>
      </c>
      <c r="M2096" s="1">
        <v>87.515366924524358</v>
      </c>
      <c r="N2096" s="7">
        <v>45947</v>
      </c>
      <c r="O2096" s="1">
        <v>30000</v>
      </c>
      <c r="P2096" s="7">
        <v>46034.515366921303</v>
      </c>
      <c r="Q2096" s="1" t="s">
        <v>330</v>
      </c>
      <c r="T2096" s="1" t="s">
        <v>422</v>
      </c>
      <c r="U2096" s="1" t="s">
        <v>423</v>
      </c>
      <c r="V2096" s="1">
        <v>1</v>
      </c>
      <c r="W2096" s="3">
        <v>49777.919999999998</v>
      </c>
      <c r="X2096" s="3">
        <v>49777.919999999998</v>
      </c>
      <c r="Y2096" s="1" t="str">
        <f>VLOOKUP(A2096,[1]Detalle!$D$2:$CR$484,93,FALSE)</f>
        <v>CENCOMLD - Cencosud SA - Mendoza</v>
      </c>
    </row>
    <row r="2097" spans="1:25" ht="14.25" customHeight="1" x14ac:dyDescent="0.3">
      <c r="A2097" s="1" t="s">
        <v>95</v>
      </c>
      <c r="B2097" s="1" t="s">
        <v>467</v>
      </c>
      <c r="C2097" s="1" t="s">
        <v>467</v>
      </c>
      <c r="D2097" s="1" t="s">
        <v>366</v>
      </c>
      <c r="E2097" s="6">
        <v>45869</v>
      </c>
      <c r="F2097" s="1">
        <v>165086</v>
      </c>
      <c r="G2097" s="1">
        <v>195086</v>
      </c>
      <c r="H2097" s="1">
        <v>12624.7</v>
      </c>
      <c r="I2097" s="1">
        <v>17375.3</v>
      </c>
      <c r="J2097" s="1">
        <v>177710.7</v>
      </c>
      <c r="K2097" s="1">
        <v>78</v>
      </c>
      <c r="L2097" s="1">
        <v>266.23473282442751</v>
      </c>
      <c r="M2097" s="1">
        <v>107.3509390322146</v>
      </c>
      <c r="N2097" s="7">
        <v>45947</v>
      </c>
      <c r="O2097" s="1">
        <v>30000</v>
      </c>
      <c r="P2097" s="7">
        <v>46054.350939027783</v>
      </c>
      <c r="Q2097" s="1" t="s">
        <v>330</v>
      </c>
      <c r="T2097" s="1" t="s">
        <v>422</v>
      </c>
      <c r="U2097" s="1" t="s">
        <v>423</v>
      </c>
      <c r="V2097" s="1">
        <v>1</v>
      </c>
      <c r="W2097" s="3">
        <v>49777.919999999998</v>
      </c>
      <c r="X2097" s="3">
        <v>49777.919999999998</v>
      </c>
      <c r="Y2097" s="1" t="str">
        <f>VLOOKUP(A2097,[1]Detalle!$D$2:$CR$484,93,FALSE)</f>
        <v>CENCOMLD - Cencosud SA - Mendoza</v>
      </c>
    </row>
    <row r="2098" spans="1:25" ht="14.25" customHeight="1" x14ac:dyDescent="0.3">
      <c r="A2098" s="1" t="s">
        <v>96</v>
      </c>
      <c r="B2098" s="1" t="s">
        <v>467</v>
      </c>
      <c r="C2098" s="1" t="s">
        <v>467</v>
      </c>
      <c r="D2098" s="1" t="s">
        <v>366</v>
      </c>
      <c r="E2098" s="6">
        <v>45861</v>
      </c>
      <c r="F2098" s="1">
        <v>163295</v>
      </c>
      <c r="G2098" s="1">
        <v>193295</v>
      </c>
      <c r="H2098" s="1">
        <v>22184.6</v>
      </c>
      <c r="I2098" s="1">
        <v>7815.3999999999978</v>
      </c>
      <c r="J2098" s="1">
        <v>185479.6</v>
      </c>
      <c r="K2098" s="1">
        <v>86</v>
      </c>
      <c r="L2098" s="1">
        <v>281.98244274809178</v>
      </c>
      <c r="M2098" s="1">
        <v>30.296890635846481</v>
      </c>
      <c r="N2098" s="7">
        <v>45947</v>
      </c>
      <c r="O2098" s="1">
        <v>30000</v>
      </c>
      <c r="P2098" s="7">
        <v>46083.686493148147</v>
      </c>
      <c r="Q2098" s="1" t="s">
        <v>330</v>
      </c>
      <c r="T2098" s="1" t="s">
        <v>422</v>
      </c>
      <c r="U2098" s="1" t="s">
        <v>423</v>
      </c>
      <c r="V2098" s="1">
        <v>1</v>
      </c>
      <c r="W2098" s="3">
        <v>49777.919999999998</v>
      </c>
      <c r="X2098" s="3">
        <v>49777.919999999998</v>
      </c>
      <c r="Y2098" s="1" t="str">
        <f>VLOOKUP(A2098,[1]Detalle!$D$2:$CR$484,93,FALSE)</f>
        <v>CENCOMLD - Cencosud SA - Mendoza</v>
      </c>
    </row>
    <row r="2099" spans="1:25" ht="14.25" customHeight="1" x14ac:dyDescent="0.3">
      <c r="A2099" s="1" t="s">
        <v>215</v>
      </c>
      <c r="B2099" s="1" t="s">
        <v>467</v>
      </c>
      <c r="C2099" s="1" t="s">
        <v>467</v>
      </c>
      <c r="D2099" s="1" t="s">
        <v>366</v>
      </c>
      <c r="E2099" s="6">
        <v>45810</v>
      </c>
      <c r="F2099" s="1">
        <v>367233</v>
      </c>
      <c r="G2099" s="1">
        <v>397233</v>
      </c>
      <c r="H2099" s="1">
        <v>10569.3</v>
      </c>
      <c r="I2099" s="1">
        <v>19430.7</v>
      </c>
      <c r="J2099" s="1">
        <v>377802.3</v>
      </c>
      <c r="K2099" s="1">
        <v>137</v>
      </c>
      <c r="L2099" s="1">
        <v>68.452272727272742</v>
      </c>
      <c r="M2099" s="1">
        <v>251.8620816894213</v>
      </c>
      <c r="N2099" s="7">
        <v>45947</v>
      </c>
      <c r="O2099" s="1">
        <v>30000</v>
      </c>
      <c r="P2099" s="7">
        <v>46198.862081689818</v>
      </c>
      <c r="Q2099" s="1" t="s">
        <v>330</v>
      </c>
      <c r="T2099" s="1" t="s">
        <v>422</v>
      </c>
      <c r="U2099" s="1" t="s">
        <v>423</v>
      </c>
      <c r="V2099" s="1">
        <v>1</v>
      </c>
      <c r="W2099" s="3">
        <v>49777.919999999998</v>
      </c>
      <c r="X2099" s="3">
        <v>49777.919999999998</v>
      </c>
      <c r="Y2099" s="1" t="str">
        <f>VLOOKUP(A2099,[1]Detalle!$D$2:$CR$484,93,FALSE)</f>
        <v>Arcor S.A.I.C.</v>
      </c>
    </row>
    <row r="2100" spans="1:25" ht="14.25" customHeight="1" x14ac:dyDescent="0.3">
      <c r="A2100" s="1" t="s">
        <v>214</v>
      </c>
      <c r="B2100" s="1" t="s">
        <v>467</v>
      </c>
      <c r="C2100" s="1" t="s">
        <v>467</v>
      </c>
      <c r="D2100" s="1" t="s">
        <v>366</v>
      </c>
      <c r="E2100" s="6">
        <v>45918</v>
      </c>
      <c r="F2100" s="1">
        <v>41172.300000000003</v>
      </c>
      <c r="G2100" s="1">
        <v>71172.3</v>
      </c>
      <c r="H2100" s="1">
        <v>0</v>
      </c>
      <c r="I2100" s="1">
        <v>30000</v>
      </c>
      <c r="J2100" s="1">
        <v>41172.300000000003</v>
      </c>
      <c r="K2100" s="1">
        <v>29</v>
      </c>
      <c r="L2100" s="1">
        <v>24.119335793357951</v>
      </c>
      <c r="M2100" s="1">
        <v>300</v>
      </c>
      <c r="N2100" s="7">
        <v>45947</v>
      </c>
      <c r="O2100" s="1">
        <v>30000</v>
      </c>
      <c r="P2100" s="7">
        <v>46247</v>
      </c>
      <c r="Q2100" s="1" t="s">
        <v>330</v>
      </c>
      <c r="T2100" s="1" t="s">
        <v>422</v>
      </c>
      <c r="U2100" s="1" t="s">
        <v>423</v>
      </c>
      <c r="V2100" s="1">
        <v>1</v>
      </c>
      <c r="W2100" s="3">
        <v>49777.919999999998</v>
      </c>
      <c r="X2100" s="3">
        <v>49777.919999999998</v>
      </c>
      <c r="Y2100" s="1" t="str">
        <f>VLOOKUP(A2100,[1]Detalle!$D$2:$CR$484,93,FALSE)</f>
        <v>Expreso - Servicios Troncales</v>
      </c>
    </row>
    <row r="2101" spans="1:25" ht="14.25" customHeight="1" x14ac:dyDescent="0.3">
      <c r="A2101" s="1" t="s">
        <v>176</v>
      </c>
      <c r="B2101" s="1" t="s">
        <v>467</v>
      </c>
      <c r="C2101" s="1" t="s">
        <v>467</v>
      </c>
      <c r="D2101" s="1" t="s">
        <v>366</v>
      </c>
      <c r="E2101" s="6">
        <v>45897</v>
      </c>
      <c r="F2101" s="1">
        <v>1944647</v>
      </c>
      <c r="G2101" s="1">
        <v>1974647</v>
      </c>
      <c r="H2101" s="1">
        <v>11028.1</v>
      </c>
      <c r="I2101" s="1">
        <v>18971.900000000001</v>
      </c>
      <c r="J2101" s="1">
        <v>1955675.1</v>
      </c>
      <c r="K2101" s="1">
        <v>50</v>
      </c>
      <c r="L2101" s="1">
        <v>1849.550539936103</v>
      </c>
      <c r="M2101" s="1">
        <v>86.016176857300891</v>
      </c>
      <c r="N2101" s="7">
        <v>45947</v>
      </c>
      <c r="O2101" s="1">
        <v>30000</v>
      </c>
      <c r="P2101" s="7">
        <v>46033.016176851852</v>
      </c>
      <c r="Q2101" s="1" t="s">
        <v>330</v>
      </c>
      <c r="T2101" s="1" t="s">
        <v>422</v>
      </c>
      <c r="U2101" s="1" t="s">
        <v>423</v>
      </c>
      <c r="V2101" s="1">
        <v>1</v>
      </c>
      <c r="W2101" s="3">
        <v>49777.919999999998</v>
      </c>
      <c r="X2101" s="3">
        <v>49777.919999999998</v>
      </c>
      <c r="Y2101" s="1" t="str">
        <f>VLOOKUP(A2101,[1]Detalle!$D$2:$CR$484,93,FALSE)</f>
        <v>Expreso - Servicios Troncales</v>
      </c>
    </row>
    <row r="2102" spans="1:25" ht="14.25" customHeight="1" x14ac:dyDescent="0.3">
      <c r="A2102" s="1" t="s">
        <v>177</v>
      </c>
      <c r="B2102" s="1" t="s">
        <v>467</v>
      </c>
      <c r="C2102" s="1" t="s">
        <v>467</v>
      </c>
      <c r="D2102" s="1" t="s">
        <v>366</v>
      </c>
      <c r="E2102" s="1" t="s">
        <v>337</v>
      </c>
      <c r="L2102" s="1">
        <v>126.37693548387099</v>
      </c>
      <c r="N2102" s="7">
        <v>45947</v>
      </c>
      <c r="O2102" s="1">
        <v>30000</v>
      </c>
      <c r="P2102" s="7">
        <v>46184.385088391202</v>
      </c>
      <c r="Q2102" s="1" t="s">
        <v>330</v>
      </c>
      <c r="T2102" s="1" t="s">
        <v>422</v>
      </c>
      <c r="U2102" s="1" t="s">
        <v>423</v>
      </c>
      <c r="V2102" s="1">
        <v>1</v>
      </c>
      <c r="W2102" s="3">
        <v>49777.919999999998</v>
      </c>
      <c r="X2102" s="3">
        <v>49777.919999999998</v>
      </c>
      <c r="Y2102" s="1" t="str">
        <f>VLOOKUP(A2102,[1]Detalle!$D$2:$CR$484,93,FALSE)</f>
        <v>Unilever - Unilever de Arg. S.A.</v>
      </c>
    </row>
    <row r="2103" spans="1:25" ht="14.25" customHeight="1" x14ac:dyDescent="0.3">
      <c r="A2103" s="1" t="s">
        <v>186</v>
      </c>
      <c r="B2103" s="1" t="s">
        <v>467</v>
      </c>
      <c r="C2103" s="1" t="s">
        <v>467</v>
      </c>
      <c r="D2103" s="1" t="s">
        <v>366</v>
      </c>
      <c r="E2103" s="6">
        <v>45800</v>
      </c>
      <c r="F2103" s="1">
        <v>459582</v>
      </c>
      <c r="G2103" s="1">
        <v>489582</v>
      </c>
      <c r="H2103" s="1">
        <v>48012.699999999968</v>
      </c>
      <c r="I2103" s="1">
        <v>-18012.699999999972</v>
      </c>
      <c r="J2103" s="1">
        <v>507594.7</v>
      </c>
      <c r="K2103" s="1">
        <v>147</v>
      </c>
      <c r="L2103" s="1">
        <v>303.0774834437085</v>
      </c>
      <c r="M2103" s="1">
        <v>-55.149302163802432</v>
      </c>
      <c r="N2103" s="7">
        <v>45947</v>
      </c>
      <c r="O2103" s="1">
        <v>30000</v>
      </c>
      <c r="P2103" s="7">
        <v>46045.984588553241</v>
      </c>
      <c r="Q2103" s="1" t="s">
        <v>330</v>
      </c>
      <c r="T2103" s="1" t="s">
        <v>422</v>
      </c>
      <c r="U2103" s="1" t="s">
        <v>423</v>
      </c>
      <c r="V2103" s="1">
        <v>1</v>
      </c>
      <c r="W2103" s="3">
        <v>49777.919999999998</v>
      </c>
      <c r="X2103" s="3">
        <v>49777.919999999998</v>
      </c>
      <c r="Y2103" s="1" t="str">
        <f>VLOOKUP(A2103,[1]Detalle!$D$2:$CR$484,93,FALSE)</f>
        <v>Expreso - Servicios Troncales</v>
      </c>
    </row>
    <row r="2104" spans="1:25" ht="14.25" customHeight="1" x14ac:dyDescent="0.3">
      <c r="A2104" s="1" t="s">
        <v>201</v>
      </c>
      <c r="B2104" s="1" t="s">
        <v>467</v>
      </c>
      <c r="C2104" s="1" t="s">
        <v>467</v>
      </c>
      <c r="D2104" s="1" t="s">
        <v>366</v>
      </c>
      <c r="E2104" s="6">
        <v>45880</v>
      </c>
      <c r="F2104" s="1">
        <v>1839556</v>
      </c>
      <c r="G2104" s="1">
        <v>1869556</v>
      </c>
      <c r="H2104" s="1">
        <v>11612.7</v>
      </c>
      <c r="I2104" s="1">
        <v>18387.3</v>
      </c>
      <c r="J2104" s="1">
        <v>1851168.7</v>
      </c>
      <c r="K2104" s="1">
        <v>67</v>
      </c>
      <c r="L2104" s="1">
        <v>155.41622516556279</v>
      </c>
      <c r="M2104" s="1">
        <v>106.0863623446744</v>
      </c>
      <c r="N2104" s="7">
        <v>45947</v>
      </c>
      <c r="O2104" s="1">
        <v>30000</v>
      </c>
      <c r="P2104" s="7">
        <v>46053.086362349539</v>
      </c>
      <c r="Q2104" s="1" t="s">
        <v>330</v>
      </c>
      <c r="T2104" s="1" t="s">
        <v>422</v>
      </c>
      <c r="U2104" s="1" t="s">
        <v>423</v>
      </c>
      <c r="V2104" s="1">
        <v>1</v>
      </c>
      <c r="W2104" s="3">
        <v>49777.919999999998</v>
      </c>
      <c r="X2104" s="3">
        <v>49777.919999999998</v>
      </c>
      <c r="Y2104" s="1" t="str">
        <f>VLOOKUP(A2104,[1]Detalle!$D$2:$CR$484,93,FALSE)</f>
        <v>SUC_CTC - Sucursal Buenos Aires</v>
      </c>
    </row>
    <row r="2105" spans="1:25" ht="14.25" customHeight="1" x14ac:dyDescent="0.3">
      <c r="A2105" s="1" t="s">
        <v>230</v>
      </c>
      <c r="B2105" s="1" t="s">
        <v>467</v>
      </c>
      <c r="C2105" s="1" t="s">
        <v>467</v>
      </c>
      <c r="D2105" s="1" t="s">
        <v>366</v>
      </c>
      <c r="E2105" s="6">
        <v>45922</v>
      </c>
      <c r="F2105" s="1">
        <v>1817011</v>
      </c>
      <c r="G2105" s="1">
        <v>1847011</v>
      </c>
      <c r="H2105" s="1">
        <v>3227.7</v>
      </c>
      <c r="I2105" s="1">
        <v>26772.3</v>
      </c>
      <c r="J2105" s="1">
        <v>1820238.7</v>
      </c>
      <c r="K2105" s="1">
        <v>25</v>
      </c>
      <c r="L2105" s="1">
        <v>289.98935849056602</v>
      </c>
      <c r="M2105" s="1">
        <v>207.3636025652942</v>
      </c>
      <c r="N2105" s="7">
        <v>45947</v>
      </c>
      <c r="O2105" s="1">
        <v>30000</v>
      </c>
      <c r="P2105" s="7">
        <v>46154.363602569443</v>
      </c>
      <c r="Q2105" s="1" t="s">
        <v>330</v>
      </c>
      <c r="T2105" s="1" t="s">
        <v>422</v>
      </c>
      <c r="U2105" s="1" t="s">
        <v>423</v>
      </c>
      <c r="V2105" s="1">
        <v>1</v>
      </c>
      <c r="W2105" s="3">
        <v>49777.919999999998</v>
      </c>
      <c r="X2105" s="3">
        <v>49777.919999999998</v>
      </c>
      <c r="Y2105" s="1" t="str">
        <f>VLOOKUP(A2105,[1]Detalle!$D$2:$CR$484,93,FALSE)</f>
        <v>Expreso - Servicios Troncales</v>
      </c>
    </row>
    <row r="2106" spans="1:25" ht="14.25" customHeight="1" x14ac:dyDescent="0.3">
      <c r="A2106" s="1" t="s">
        <v>175</v>
      </c>
      <c r="B2106" s="1" t="s">
        <v>467</v>
      </c>
      <c r="C2106" s="1" t="s">
        <v>467</v>
      </c>
      <c r="D2106" s="1" t="s">
        <v>366</v>
      </c>
      <c r="E2106" s="6">
        <v>45763</v>
      </c>
      <c r="F2106" s="1">
        <v>1556403</v>
      </c>
      <c r="G2106" s="1">
        <v>1586403</v>
      </c>
      <c r="H2106" s="1">
        <v>17285.8</v>
      </c>
      <c r="I2106" s="1">
        <v>12714.2</v>
      </c>
      <c r="J2106" s="1">
        <v>1573688.8</v>
      </c>
      <c r="K2106" s="1">
        <v>184</v>
      </c>
      <c r="L2106" s="1">
        <v>81.249174917491729</v>
      </c>
      <c r="M2106" s="1">
        <v>135.33725948466369</v>
      </c>
      <c r="N2106" s="7">
        <v>45947</v>
      </c>
      <c r="O2106" s="1">
        <v>30000</v>
      </c>
      <c r="P2106" s="7">
        <v>46082.337259479173</v>
      </c>
      <c r="Q2106" s="1" t="s">
        <v>330</v>
      </c>
      <c r="T2106" s="1" t="s">
        <v>422</v>
      </c>
      <c r="U2106" s="1" t="s">
        <v>423</v>
      </c>
      <c r="V2106" s="1">
        <v>1</v>
      </c>
      <c r="W2106" s="3">
        <v>49777.919999999998</v>
      </c>
      <c r="X2106" s="3">
        <v>49777.919999999998</v>
      </c>
      <c r="Y2106" s="1" t="str">
        <f>VLOOKUP(A2106,[1]Detalle!$D$2:$CR$484,93,FALSE)</f>
        <v>JOHNSON - SC JOHNSON DE ARGENTINA SAIC</v>
      </c>
    </row>
    <row r="2107" spans="1:25" ht="14.25" customHeight="1" x14ac:dyDescent="0.3">
      <c r="A2107" s="1" t="s">
        <v>216</v>
      </c>
      <c r="B2107" s="1" t="s">
        <v>467</v>
      </c>
      <c r="C2107" s="1" t="s">
        <v>467</v>
      </c>
      <c r="D2107" s="1" t="s">
        <v>366</v>
      </c>
      <c r="E2107" s="6">
        <v>45859</v>
      </c>
      <c r="F2107" s="1">
        <v>1612281</v>
      </c>
      <c r="G2107" s="1">
        <v>1642281</v>
      </c>
      <c r="H2107" s="1">
        <v>5237.8999999999996</v>
      </c>
      <c r="I2107" s="1">
        <v>24762.1</v>
      </c>
      <c r="J2107" s="1">
        <v>1617518.9</v>
      </c>
      <c r="K2107" s="1">
        <v>88</v>
      </c>
      <c r="L2107" s="1">
        <v>69.384019292604506</v>
      </c>
      <c r="M2107" s="1">
        <v>416.0187861547567</v>
      </c>
      <c r="N2107" s="7">
        <v>45947</v>
      </c>
      <c r="O2107" s="1">
        <v>30000</v>
      </c>
      <c r="P2107" s="7">
        <v>46363.018786157409</v>
      </c>
      <c r="Q2107" s="1" t="s">
        <v>330</v>
      </c>
      <c r="T2107" s="1" t="s">
        <v>422</v>
      </c>
      <c r="U2107" s="1" t="s">
        <v>423</v>
      </c>
      <c r="V2107" s="1">
        <v>1</v>
      </c>
      <c r="W2107" s="3">
        <v>49777.919999999998</v>
      </c>
      <c r="X2107" s="3">
        <v>49777.919999999998</v>
      </c>
      <c r="Y2107" s="1" t="str">
        <f>VLOOKUP(A2107,[1]Detalle!$D$2:$CR$484,93,FALSE)</f>
        <v>Arcor S.A.I.C.</v>
      </c>
    </row>
    <row r="2108" spans="1:25" ht="14.25" customHeight="1" x14ac:dyDescent="0.3">
      <c r="A2108" s="1" t="s">
        <v>98</v>
      </c>
      <c r="B2108" s="1" t="s">
        <v>467</v>
      </c>
      <c r="C2108" s="1" t="s">
        <v>467</v>
      </c>
      <c r="D2108" s="1" t="s">
        <v>366</v>
      </c>
      <c r="E2108" s="6">
        <v>45799</v>
      </c>
      <c r="F2108" s="1">
        <v>34072.6</v>
      </c>
      <c r="G2108" s="1">
        <v>64072.6</v>
      </c>
      <c r="H2108" s="1">
        <v>9725.4000000000015</v>
      </c>
      <c r="I2108" s="1">
        <v>20274.599999999999</v>
      </c>
      <c r="J2108" s="1">
        <v>43798</v>
      </c>
      <c r="K2108" s="1">
        <v>148</v>
      </c>
      <c r="L2108" s="1">
        <v>61.669847328244273</v>
      </c>
      <c r="M2108" s="1">
        <v>308.53649207230552</v>
      </c>
      <c r="N2108" s="7">
        <v>45947</v>
      </c>
      <c r="O2108" s="1">
        <v>30000</v>
      </c>
      <c r="P2108" s="7">
        <v>46255.536492071762</v>
      </c>
      <c r="Q2108" s="1" t="s">
        <v>330</v>
      </c>
      <c r="T2108" s="1" t="s">
        <v>422</v>
      </c>
      <c r="U2108" s="1" t="s">
        <v>423</v>
      </c>
      <c r="V2108" s="1">
        <v>1</v>
      </c>
      <c r="W2108" s="3">
        <v>49777.919999999998</v>
      </c>
      <c r="X2108" s="3">
        <v>49777.919999999998</v>
      </c>
      <c r="Y2108" s="1" t="str">
        <f>VLOOKUP(A2108,[1]Detalle!$D$2:$CR$484,93,FALSE)</f>
        <v>Arcor S.A.I.C.</v>
      </c>
    </row>
    <row r="2109" spans="1:25" ht="14.25" customHeight="1" x14ac:dyDescent="0.3">
      <c r="A2109" s="1" t="s">
        <v>5</v>
      </c>
      <c r="B2109" s="1" t="s">
        <v>468</v>
      </c>
      <c r="C2109" s="1" t="s">
        <v>467</v>
      </c>
      <c r="D2109" s="1" t="s">
        <v>366</v>
      </c>
      <c r="E2109" s="6">
        <v>45910</v>
      </c>
      <c r="F2109" s="1">
        <v>710185</v>
      </c>
      <c r="G2109" s="1">
        <v>740185</v>
      </c>
      <c r="H2109" s="1">
        <v>5358.4999999999991</v>
      </c>
      <c r="I2109" s="1">
        <v>24641.5</v>
      </c>
      <c r="J2109" s="1">
        <v>715543.5</v>
      </c>
      <c r="K2109" s="1">
        <v>37</v>
      </c>
      <c r="L2109" s="1">
        <v>276.33435114503811</v>
      </c>
      <c r="M2109" s="1">
        <v>170.14752262760101</v>
      </c>
      <c r="N2109" s="7">
        <v>45947</v>
      </c>
      <c r="O2109" s="1">
        <v>30000</v>
      </c>
      <c r="P2109" s="7">
        <v>46117.147522627318</v>
      </c>
      <c r="Q2109" s="1" t="s">
        <v>330</v>
      </c>
      <c r="T2109" s="1" t="s">
        <v>469</v>
      </c>
      <c r="U2109" s="1" t="s">
        <v>470</v>
      </c>
      <c r="V2109" s="1">
        <v>1</v>
      </c>
      <c r="W2109" s="3">
        <v>58063</v>
      </c>
      <c r="X2109" s="3">
        <v>58063</v>
      </c>
      <c r="Y2109" s="1" t="str">
        <f>VLOOKUP(A2109,[1]Detalle!$D$2:$CR$484,93,FALSE)</f>
        <v>ADA_CH - Danone Arg. S.A. - Chascomus</v>
      </c>
    </row>
    <row r="2110" spans="1:25" ht="14.25" customHeight="1" x14ac:dyDescent="0.3">
      <c r="A2110" s="1" t="s">
        <v>8</v>
      </c>
      <c r="B2110" s="1" t="s">
        <v>468</v>
      </c>
      <c r="C2110" s="1" t="s">
        <v>467</v>
      </c>
      <c r="D2110" s="1" t="s">
        <v>366</v>
      </c>
      <c r="E2110" s="6">
        <v>45880</v>
      </c>
      <c r="F2110" s="1">
        <v>722255</v>
      </c>
      <c r="G2110" s="1">
        <v>752255</v>
      </c>
      <c r="H2110" s="1">
        <v>15317.7</v>
      </c>
      <c r="I2110" s="1">
        <v>14682.3</v>
      </c>
      <c r="J2110" s="1">
        <v>737572.7</v>
      </c>
      <c r="K2110" s="1">
        <v>67</v>
      </c>
      <c r="L2110" s="1">
        <v>286.50848708487092</v>
      </c>
      <c r="M2110" s="1">
        <v>64.220744628762787</v>
      </c>
      <c r="N2110" s="7">
        <v>45947</v>
      </c>
      <c r="O2110" s="1">
        <v>30000</v>
      </c>
      <c r="P2110" s="7">
        <v>46115.9296846875</v>
      </c>
      <c r="Q2110" s="1" t="s">
        <v>330</v>
      </c>
      <c r="T2110" s="1" t="s">
        <v>469</v>
      </c>
      <c r="U2110" s="1" t="s">
        <v>470</v>
      </c>
      <c r="V2110" s="1">
        <v>1</v>
      </c>
      <c r="W2110" s="3">
        <v>58063</v>
      </c>
      <c r="X2110" s="3">
        <v>58063</v>
      </c>
      <c r="Y2110" s="1" t="str">
        <f>VLOOKUP(A2110,[1]Detalle!$D$2:$CR$484,93,FALSE)</f>
        <v>ADA_CH - Danone Arg. S.A. - Chascomus</v>
      </c>
    </row>
    <row r="2111" spans="1:25" ht="14.25" customHeight="1" x14ac:dyDescent="0.3">
      <c r="A2111" s="1" t="s">
        <v>11</v>
      </c>
      <c r="B2111" s="1" t="s">
        <v>468</v>
      </c>
      <c r="C2111" s="1" t="s">
        <v>467</v>
      </c>
      <c r="D2111" s="1" t="s">
        <v>366</v>
      </c>
      <c r="E2111" s="6">
        <v>45853</v>
      </c>
      <c r="F2111" s="1">
        <v>769430</v>
      </c>
      <c r="G2111" s="1">
        <v>799430</v>
      </c>
      <c r="H2111" s="1">
        <v>24465.80000000001</v>
      </c>
      <c r="I2111" s="1">
        <v>5534.1999999999935</v>
      </c>
      <c r="J2111" s="1">
        <v>793895.8</v>
      </c>
      <c r="K2111" s="1">
        <v>94</v>
      </c>
      <c r="L2111" s="1">
        <v>323.09338235294098</v>
      </c>
      <c r="M2111" s="1">
        <v>21.262938469210049</v>
      </c>
      <c r="N2111" s="7">
        <v>45947</v>
      </c>
      <c r="O2111" s="1">
        <v>30000</v>
      </c>
      <c r="P2111" s="7">
        <v>46061.115350925917</v>
      </c>
      <c r="Q2111" s="1" t="s">
        <v>330</v>
      </c>
      <c r="T2111" s="1" t="s">
        <v>469</v>
      </c>
      <c r="U2111" s="1" t="s">
        <v>470</v>
      </c>
      <c r="V2111" s="1">
        <v>1</v>
      </c>
      <c r="W2111" s="3">
        <v>58063</v>
      </c>
      <c r="X2111" s="3">
        <v>58063</v>
      </c>
      <c r="Y2111" s="1" t="str">
        <f>VLOOKUP(A2111,[1]Detalle!$D$2:$CR$484,93,FALSE)</f>
        <v>ADA_CH - Danone Arg. S.A. - Chascomus</v>
      </c>
    </row>
    <row r="2112" spans="1:25" ht="14.25" customHeight="1" x14ac:dyDescent="0.3">
      <c r="A2112" s="1" t="s">
        <v>10</v>
      </c>
      <c r="B2112" s="1" t="s">
        <v>468</v>
      </c>
      <c r="C2112" s="1" t="s">
        <v>467</v>
      </c>
      <c r="D2112" s="1" t="s">
        <v>366</v>
      </c>
      <c r="E2112" s="6">
        <v>45864</v>
      </c>
      <c r="F2112" s="1">
        <v>699069</v>
      </c>
      <c r="G2112" s="1">
        <v>729069</v>
      </c>
      <c r="H2112" s="1">
        <v>14311.7</v>
      </c>
      <c r="I2112" s="1">
        <v>15688.3</v>
      </c>
      <c r="J2112" s="1">
        <v>713380.7</v>
      </c>
      <c r="K2112" s="1">
        <v>83</v>
      </c>
      <c r="L2112" s="1">
        <v>266.81618518518519</v>
      </c>
      <c r="M2112" s="1">
        <v>90.983523969898769</v>
      </c>
      <c r="N2112" s="7">
        <v>45947</v>
      </c>
      <c r="O2112" s="1">
        <v>30000</v>
      </c>
      <c r="P2112" s="7">
        <v>46037.98352396991</v>
      </c>
      <c r="Q2112" s="1" t="s">
        <v>330</v>
      </c>
      <c r="T2112" s="1" t="s">
        <v>469</v>
      </c>
      <c r="U2112" s="1" t="s">
        <v>470</v>
      </c>
      <c r="V2112" s="1">
        <v>1</v>
      </c>
      <c r="W2112" s="3">
        <v>58063</v>
      </c>
      <c r="X2112" s="3">
        <v>58063</v>
      </c>
      <c r="Y2112" s="1" t="str">
        <f>VLOOKUP(A2112,[1]Detalle!$D$2:$CR$484,93,FALSE)</f>
        <v>ADA_CH - Danone Arg. S.A. - Chascomus</v>
      </c>
    </row>
    <row r="2113" spans="1:25" ht="14.25" customHeight="1" x14ac:dyDescent="0.3">
      <c r="A2113" s="1" t="s">
        <v>14</v>
      </c>
      <c r="B2113" s="1" t="s">
        <v>468</v>
      </c>
      <c r="C2113" s="1" t="s">
        <v>467</v>
      </c>
      <c r="D2113" s="1" t="s">
        <v>366</v>
      </c>
      <c r="E2113" s="6">
        <v>45877</v>
      </c>
      <c r="F2113" s="1">
        <v>770332</v>
      </c>
      <c r="G2113" s="1">
        <v>800332</v>
      </c>
      <c r="H2113" s="1">
        <v>13259.4</v>
      </c>
      <c r="I2113" s="1">
        <v>16740.599999999999</v>
      </c>
      <c r="J2113" s="1">
        <v>783591.4</v>
      </c>
      <c r="K2113" s="1">
        <v>70</v>
      </c>
      <c r="L2113" s="1">
        <v>276.97442748091589</v>
      </c>
      <c r="M2113" s="1">
        <v>88.378207158694963</v>
      </c>
      <c r="N2113" s="7">
        <v>45947</v>
      </c>
      <c r="O2113" s="1">
        <v>30000</v>
      </c>
      <c r="P2113" s="7">
        <v>46035.378207164351</v>
      </c>
      <c r="Q2113" s="1" t="s">
        <v>330</v>
      </c>
      <c r="T2113" s="1" t="s">
        <v>469</v>
      </c>
      <c r="U2113" s="1" t="s">
        <v>470</v>
      </c>
      <c r="V2113" s="1">
        <v>1</v>
      </c>
      <c r="W2113" s="3">
        <v>58063</v>
      </c>
      <c r="X2113" s="3">
        <v>58063</v>
      </c>
      <c r="Y2113" s="1" t="str">
        <f>VLOOKUP(A2113,[1]Detalle!$D$2:$CR$484,93,FALSE)</f>
        <v>ADA_CH - Danone Arg. S.A. - Chascomus</v>
      </c>
    </row>
    <row r="2114" spans="1:25" ht="14.25" customHeight="1" x14ac:dyDescent="0.3">
      <c r="A2114" s="1" t="s">
        <v>12</v>
      </c>
      <c r="B2114" s="1" t="s">
        <v>468</v>
      </c>
      <c r="C2114" s="1" t="s">
        <v>467</v>
      </c>
      <c r="D2114" s="1" t="s">
        <v>366</v>
      </c>
      <c r="E2114" s="6">
        <v>45930</v>
      </c>
      <c r="F2114" s="1">
        <v>845528</v>
      </c>
      <c r="G2114" s="1">
        <v>875528</v>
      </c>
      <c r="H2114" s="1">
        <v>0</v>
      </c>
      <c r="I2114" s="1">
        <v>30000</v>
      </c>
      <c r="J2114" s="1">
        <v>845528</v>
      </c>
      <c r="K2114" s="1">
        <v>17</v>
      </c>
      <c r="L2114" s="1">
        <v>323.35572519083951</v>
      </c>
      <c r="M2114" s="1">
        <v>300</v>
      </c>
      <c r="N2114" s="7">
        <v>45947</v>
      </c>
      <c r="O2114" s="1">
        <v>30000</v>
      </c>
      <c r="P2114" s="7">
        <v>46247</v>
      </c>
      <c r="Q2114" s="1" t="s">
        <v>330</v>
      </c>
      <c r="T2114" s="1" t="s">
        <v>469</v>
      </c>
      <c r="U2114" s="1" t="s">
        <v>470</v>
      </c>
      <c r="V2114" s="1">
        <v>1</v>
      </c>
      <c r="W2114" s="3">
        <v>58063</v>
      </c>
      <c r="X2114" s="3">
        <v>58063</v>
      </c>
      <c r="Y2114" s="1" t="str">
        <f>VLOOKUP(A2114,[1]Detalle!$D$2:$CR$484,93,FALSE)</f>
        <v>ADA_CH - Danone Arg. S.A. - Chascomus</v>
      </c>
    </row>
    <row r="2115" spans="1:25" ht="14.25" customHeight="1" x14ac:dyDescent="0.3">
      <c r="A2115" s="1" t="s">
        <v>13</v>
      </c>
      <c r="B2115" s="1" t="s">
        <v>468</v>
      </c>
      <c r="C2115" s="1" t="s">
        <v>467</v>
      </c>
      <c r="D2115" s="1" t="s">
        <v>366</v>
      </c>
      <c r="E2115" s="6">
        <v>45831</v>
      </c>
      <c r="F2115" s="1">
        <v>751112</v>
      </c>
      <c r="G2115" s="1">
        <v>781112</v>
      </c>
      <c r="H2115" s="1">
        <v>30284.500000000011</v>
      </c>
      <c r="I2115" s="1">
        <v>-284.50000000000728</v>
      </c>
      <c r="J2115" s="1">
        <v>781396.5</v>
      </c>
      <c r="K2115" s="1">
        <v>116</v>
      </c>
      <c r="L2115" s="1">
        <v>303.34772058823529</v>
      </c>
      <c r="M2115" s="1">
        <v>-1.089732371345105</v>
      </c>
      <c r="N2115" s="7">
        <v>45947</v>
      </c>
      <c r="O2115" s="1">
        <v>30000</v>
      </c>
      <c r="P2115" s="7">
        <v>46045.896408194443</v>
      </c>
      <c r="Q2115" s="1" t="s">
        <v>330</v>
      </c>
      <c r="T2115" s="1" t="s">
        <v>469</v>
      </c>
      <c r="U2115" s="1" t="s">
        <v>470</v>
      </c>
      <c r="V2115" s="1">
        <v>1</v>
      </c>
      <c r="W2115" s="3">
        <v>58063</v>
      </c>
      <c r="X2115" s="3">
        <v>58063</v>
      </c>
      <c r="Y2115" s="1" t="str">
        <f>VLOOKUP(A2115,[1]Detalle!$D$2:$CR$484,93,FALSE)</f>
        <v>ADA_CH - Danone Arg. S.A. - Chascomus</v>
      </c>
    </row>
    <row r="2116" spans="1:25" ht="14.25" customHeight="1" x14ac:dyDescent="0.3">
      <c r="A2116" s="1" t="s">
        <v>6</v>
      </c>
      <c r="B2116" s="1" t="s">
        <v>468</v>
      </c>
      <c r="C2116" s="1" t="s">
        <v>467</v>
      </c>
      <c r="D2116" s="1" t="s">
        <v>366</v>
      </c>
      <c r="E2116" s="6">
        <v>45845</v>
      </c>
      <c r="F2116" s="1">
        <v>726661</v>
      </c>
      <c r="G2116" s="1">
        <v>756661</v>
      </c>
      <c r="H2116" s="1">
        <v>24602.2</v>
      </c>
      <c r="I2116" s="1">
        <v>5397.7999999999956</v>
      </c>
      <c r="J2116" s="1">
        <v>751263.2</v>
      </c>
      <c r="K2116" s="1">
        <v>102</v>
      </c>
      <c r="L2116" s="1">
        <v>306.8559191176472</v>
      </c>
      <c r="M2116" s="1">
        <v>22.379120566453381</v>
      </c>
      <c r="N2116" s="7">
        <v>45947</v>
      </c>
      <c r="O2116" s="1">
        <v>30000</v>
      </c>
      <c r="P2116" s="7">
        <v>46067.14487358796</v>
      </c>
      <c r="Q2116" s="1" t="s">
        <v>330</v>
      </c>
      <c r="T2116" s="1" t="s">
        <v>469</v>
      </c>
      <c r="U2116" s="1" t="s">
        <v>470</v>
      </c>
      <c r="V2116" s="1">
        <v>1</v>
      </c>
      <c r="W2116" s="3">
        <v>58063</v>
      </c>
      <c r="X2116" s="3">
        <v>58063</v>
      </c>
      <c r="Y2116" s="1" t="str">
        <f>VLOOKUP(A2116,[1]Detalle!$D$2:$CR$484,93,FALSE)</f>
        <v>ADA_CH - Danone Arg. S.A. - Chascomus</v>
      </c>
    </row>
    <row r="2117" spans="1:25" ht="14.25" customHeight="1" x14ac:dyDescent="0.3">
      <c r="A2117" s="1" t="s">
        <v>7</v>
      </c>
      <c r="B2117" s="1" t="s">
        <v>468</v>
      </c>
      <c r="C2117" s="1" t="s">
        <v>467</v>
      </c>
      <c r="D2117" s="1" t="s">
        <v>366</v>
      </c>
      <c r="E2117" s="6">
        <v>45835</v>
      </c>
      <c r="F2117" s="1">
        <v>743648</v>
      </c>
      <c r="G2117" s="1">
        <v>773648</v>
      </c>
      <c r="H2117" s="1">
        <v>30763.099999999991</v>
      </c>
      <c r="I2117" s="1">
        <v>-763.09999999998763</v>
      </c>
      <c r="J2117" s="1">
        <v>774411.1</v>
      </c>
      <c r="K2117" s="1">
        <v>112</v>
      </c>
      <c r="L2117" s="1">
        <v>282.61870229007633</v>
      </c>
      <c r="M2117" s="1">
        <v>-2.77823756383455</v>
      </c>
      <c r="N2117" s="7">
        <v>45947</v>
      </c>
      <c r="O2117" s="1">
        <v>30000</v>
      </c>
      <c r="P2117" s="7">
        <v>46053.150087581023</v>
      </c>
      <c r="Q2117" s="1" t="s">
        <v>330</v>
      </c>
      <c r="T2117" s="1" t="s">
        <v>469</v>
      </c>
      <c r="U2117" s="1" t="s">
        <v>470</v>
      </c>
      <c r="V2117" s="1">
        <v>1</v>
      </c>
      <c r="W2117" s="3">
        <v>58063</v>
      </c>
      <c r="X2117" s="3">
        <v>58063</v>
      </c>
      <c r="Y2117" s="1" t="str">
        <f>VLOOKUP(A2117,[1]Detalle!$D$2:$CR$484,93,FALSE)</f>
        <v>ADA_CH - Danone Arg. S.A. - Chascomus</v>
      </c>
    </row>
    <row r="2118" spans="1:25" ht="14.25" customHeight="1" x14ac:dyDescent="0.3">
      <c r="A2118" s="1" t="s">
        <v>9</v>
      </c>
      <c r="B2118" s="1" t="s">
        <v>468</v>
      </c>
      <c r="C2118" s="1" t="s">
        <v>467</v>
      </c>
      <c r="D2118" s="1" t="s">
        <v>366</v>
      </c>
      <c r="E2118" s="6">
        <v>45789</v>
      </c>
      <c r="F2118" s="1">
        <v>828813</v>
      </c>
      <c r="G2118" s="1">
        <v>858813</v>
      </c>
      <c r="H2118" s="1">
        <v>52575.80000000001</v>
      </c>
      <c r="I2118" s="1">
        <v>-22575.80000000001</v>
      </c>
      <c r="J2118" s="1">
        <v>881388.8</v>
      </c>
      <c r="K2118" s="1">
        <v>158</v>
      </c>
      <c r="L2118" s="1">
        <v>352.51014814814829</v>
      </c>
      <c r="M2118" s="1">
        <v>-67.844453151449926</v>
      </c>
      <c r="N2118" s="7">
        <v>45947</v>
      </c>
      <c r="O2118" s="1">
        <v>30000</v>
      </c>
      <c r="P2118" s="7">
        <v>46032.103932916667</v>
      </c>
      <c r="Q2118" s="1" t="s">
        <v>330</v>
      </c>
      <c r="T2118" s="1" t="s">
        <v>469</v>
      </c>
      <c r="U2118" s="1" t="s">
        <v>470</v>
      </c>
      <c r="V2118" s="1">
        <v>1</v>
      </c>
      <c r="W2118" s="3">
        <v>58063</v>
      </c>
      <c r="X2118" s="3">
        <v>58063</v>
      </c>
      <c r="Y2118" s="1" t="str">
        <f>VLOOKUP(A2118,[1]Detalle!$D$2:$CR$484,93,FALSE)</f>
        <v>ADA_CH - Danone Arg. S.A. - Chascomus</v>
      </c>
    </row>
    <row r="2119" spans="1:25" ht="14.25" customHeight="1" x14ac:dyDescent="0.3">
      <c r="A2119" s="1" t="s">
        <v>17</v>
      </c>
      <c r="B2119" s="1" t="s">
        <v>468</v>
      </c>
      <c r="C2119" s="1" t="s">
        <v>467</v>
      </c>
      <c r="D2119" s="1" t="s">
        <v>366</v>
      </c>
      <c r="E2119" s="6">
        <v>45776</v>
      </c>
      <c r="F2119" s="1">
        <v>664392</v>
      </c>
      <c r="G2119" s="1">
        <v>694392</v>
      </c>
      <c r="H2119" s="1">
        <v>62703.799999999981</v>
      </c>
      <c r="I2119" s="1">
        <v>-32703.799999999981</v>
      </c>
      <c r="J2119" s="1">
        <v>727095.79999999993</v>
      </c>
      <c r="K2119" s="1">
        <v>171</v>
      </c>
      <c r="L2119" s="1">
        <v>382.02855555555578</v>
      </c>
      <c r="M2119" s="1">
        <v>-89.186776558996399</v>
      </c>
      <c r="N2119" s="7">
        <v>45947</v>
      </c>
      <c r="O2119" s="1">
        <v>30000</v>
      </c>
      <c r="P2119" s="7">
        <v>46025.528161215283</v>
      </c>
      <c r="Q2119" s="1" t="s">
        <v>330</v>
      </c>
      <c r="T2119" s="1" t="s">
        <v>469</v>
      </c>
      <c r="U2119" s="1" t="s">
        <v>470</v>
      </c>
      <c r="V2119" s="1">
        <v>1</v>
      </c>
      <c r="W2119" s="3">
        <v>58063</v>
      </c>
      <c r="X2119" s="3">
        <v>58063</v>
      </c>
      <c r="Y2119" s="1" t="str">
        <f>VLOOKUP(A2119,[1]Detalle!$D$2:$CR$484,93,FALSE)</f>
        <v>Expreso - Servicios Troncales</v>
      </c>
    </row>
    <row r="2120" spans="1:25" ht="14.25" customHeight="1" x14ac:dyDescent="0.3">
      <c r="A2120" s="1" t="s">
        <v>18</v>
      </c>
      <c r="B2120" s="1" t="s">
        <v>468</v>
      </c>
      <c r="C2120" s="1" t="s">
        <v>467</v>
      </c>
      <c r="D2120" s="1" t="s">
        <v>366</v>
      </c>
      <c r="E2120" s="6">
        <v>45852</v>
      </c>
      <c r="F2120" s="1">
        <v>654972</v>
      </c>
      <c r="G2120" s="1">
        <v>684972</v>
      </c>
      <c r="H2120" s="1">
        <v>26383.500000000011</v>
      </c>
      <c r="I2120" s="1">
        <v>3616.4999999999932</v>
      </c>
      <c r="J2120" s="1">
        <v>681355.5</v>
      </c>
      <c r="K2120" s="1">
        <v>95</v>
      </c>
      <c r="L2120" s="1">
        <v>381.04202205882348</v>
      </c>
      <c r="M2120" s="1">
        <v>13.02205924157141</v>
      </c>
      <c r="N2120" s="7">
        <v>45947</v>
      </c>
      <c r="O2120" s="1">
        <v>30000</v>
      </c>
      <c r="P2120" s="7">
        <v>46038.753533101852</v>
      </c>
      <c r="Q2120" s="1" t="s">
        <v>330</v>
      </c>
      <c r="T2120" s="1" t="s">
        <v>469</v>
      </c>
      <c r="U2120" s="1" t="s">
        <v>470</v>
      </c>
      <c r="V2120" s="1">
        <v>1</v>
      </c>
      <c r="W2120" s="3">
        <v>58063</v>
      </c>
      <c r="X2120" s="3">
        <v>58063</v>
      </c>
      <c r="Y2120" s="1" t="str">
        <f>VLOOKUP(A2120,[1]Detalle!$D$2:$CR$484,93,FALSE)</f>
        <v>Expreso - Servicios Troncales</v>
      </c>
    </row>
    <row r="2121" spans="1:25" ht="14.25" customHeight="1" x14ac:dyDescent="0.3">
      <c r="A2121" s="1" t="s">
        <v>231</v>
      </c>
      <c r="B2121" s="1" t="s">
        <v>468</v>
      </c>
      <c r="C2121" s="1" t="s">
        <v>467</v>
      </c>
      <c r="D2121" s="1" t="s">
        <v>366</v>
      </c>
      <c r="E2121" s="6">
        <v>45889</v>
      </c>
      <c r="F2121" s="1">
        <v>1836513</v>
      </c>
      <c r="G2121" s="1">
        <v>1866513</v>
      </c>
      <c r="H2121" s="1">
        <v>14116.4</v>
      </c>
      <c r="I2121" s="1">
        <v>15883.6</v>
      </c>
      <c r="J2121" s="1">
        <v>1850629.4</v>
      </c>
      <c r="K2121" s="1">
        <v>58</v>
      </c>
      <c r="L2121" s="1">
        <v>332.5574264705881</v>
      </c>
      <c r="M2121" s="1">
        <v>65.260888045110633</v>
      </c>
      <c r="N2121" s="7">
        <v>45947</v>
      </c>
      <c r="O2121" s="1">
        <v>30000</v>
      </c>
      <c r="P2121" s="7">
        <v>46102.470871678241</v>
      </c>
      <c r="Q2121" s="1" t="s">
        <v>330</v>
      </c>
      <c r="T2121" s="1" t="s">
        <v>469</v>
      </c>
      <c r="U2121" s="1" t="s">
        <v>470</v>
      </c>
      <c r="V2121" s="1">
        <v>1</v>
      </c>
      <c r="W2121" s="3">
        <v>58063</v>
      </c>
      <c r="X2121" s="3">
        <v>58063</v>
      </c>
      <c r="Y2121" s="1" t="str">
        <f>VLOOKUP(A2121,[1]Detalle!$D$2:$CR$484,93,FALSE)</f>
        <v>Expreso - Servicios Troncales</v>
      </c>
    </row>
    <row r="2122" spans="1:25" ht="14.25" customHeight="1" x14ac:dyDescent="0.3">
      <c r="A2122" s="1" t="s">
        <v>232</v>
      </c>
      <c r="B2122" s="1" t="s">
        <v>468</v>
      </c>
      <c r="C2122" s="1" t="s">
        <v>467</v>
      </c>
      <c r="D2122" s="1" t="s">
        <v>366</v>
      </c>
      <c r="E2122" s="6">
        <v>45919</v>
      </c>
      <c r="F2122" s="1">
        <v>1973725</v>
      </c>
      <c r="G2122" s="1">
        <v>2003725</v>
      </c>
      <c r="H2122" s="1">
        <v>3275.4</v>
      </c>
      <c r="I2122" s="1">
        <v>26724.6</v>
      </c>
      <c r="J2122" s="1">
        <v>1977000.4</v>
      </c>
      <c r="K2122" s="1">
        <v>28</v>
      </c>
      <c r="L2122" s="1">
        <v>2668.176102941175</v>
      </c>
      <c r="M2122" s="1">
        <v>228.45722659827811</v>
      </c>
      <c r="N2122" s="7">
        <v>45947</v>
      </c>
      <c r="O2122" s="1">
        <v>30000</v>
      </c>
      <c r="P2122" s="7">
        <v>46175.457226597217</v>
      </c>
      <c r="Q2122" s="1" t="s">
        <v>330</v>
      </c>
      <c r="T2122" s="1" t="s">
        <v>469</v>
      </c>
      <c r="U2122" s="1" t="s">
        <v>470</v>
      </c>
      <c r="V2122" s="1">
        <v>1</v>
      </c>
      <c r="W2122" s="3">
        <v>58063</v>
      </c>
      <c r="X2122" s="3">
        <v>58063</v>
      </c>
      <c r="Y2122" s="1" t="str">
        <f>VLOOKUP(A2122,[1]Detalle!$D$2:$CR$484,93,FALSE)</f>
        <v>Expreso - Servicios Troncales</v>
      </c>
    </row>
    <row r="2123" spans="1:25" ht="14.25" customHeight="1" x14ac:dyDescent="0.3">
      <c r="A2123" s="1" t="s">
        <v>233</v>
      </c>
      <c r="B2123" s="1" t="s">
        <v>468</v>
      </c>
      <c r="C2123" s="1" t="s">
        <v>467</v>
      </c>
      <c r="D2123" s="1" t="s">
        <v>366</v>
      </c>
      <c r="E2123" s="6">
        <v>45852</v>
      </c>
      <c r="F2123" s="1">
        <v>1942302</v>
      </c>
      <c r="G2123" s="1">
        <v>1972302</v>
      </c>
      <c r="H2123" s="1">
        <v>28066.80000000001</v>
      </c>
      <c r="I2123" s="1">
        <v>1933.1999999999859</v>
      </c>
      <c r="J2123" s="1">
        <v>1970368.8</v>
      </c>
      <c r="K2123" s="1">
        <v>95</v>
      </c>
      <c r="L2123" s="1">
        <v>373</v>
      </c>
      <c r="M2123" s="1">
        <v>6.5434606011372356</v>
      </c>
      <c r="N2123" s="7">
        <v>45947</v>
      </c>
      <c r="O2123" s="1">
        <v>30000</v>
      </c>
      <c r="P2123" s="7">
        <v>46056.589041099527</v>
      </c>
      <c r="Q2123" s="1" t="s">
        <v>330</v>
      </c>
      <c r="R2123" s="6">
        <v>46137.017995520837</v>
      </c>
      <c r="T2123" s="1" t="s">
        <v>469</v>
      </c>
      <c r="U2123" s="1" t="s">
        <v>470</v>
      </c>
      <c r="V2123" s="1">
        <v>1</v>
      </c>
      <c r="W2123" s="3">
        <v>58063</v>
      </c>
      <c r="X2123" s="3">
        <v>58063</v>
      </c>
      <c r="Y2123" s="1" t="str">
        <f>VLOOKUP(A2123,[1]Detalle!$D$2:$CR$484,93,FALSE)</f>
        <v>Expreso - Servicios Troncales</v>
      </c>
    </row>
    <row r="2124" spans="1:25" ht="14.25" customHeight="1" x14ac:dyDescent="0.3">
      <c r="A2124" s="1" t="s">
        <v>234</v>
      </c>
      <c r="B2124" s="1" t="s">
        <v>468</v>
      </c>
      <c r="C2124" s="1" t="s">
        <v>467</v>
      </c>
      <c r="D2124" s="1" t="s">
        <v>366</v>
      </c>
      <c r="E2124" s="6">
        <v>45845</v>
      </c>
      <c r="F2124" s="1">
        <v>1934926</v>
      </c>
      <c r="G2124" s="1">
        <v>1964926</v>
      </c>
      <c r="H2124" s="1">
        <v>35672.900000000009</v>
      </c>
      <c r="I2124" s="1">
        <v>-5672.9000000000087</v>
      </c>
      <c r="J2124" s="1">
        <v>1970598.9</v>
      </c>
      <c r="K2124" s="1">
        <v>102</v>
      </c>
      <c r="L2124" s="1">
        <v>120</v>
      </c>
      <c r="M2124" s="1">
        <v>-16.220598829924139</v>
      </c>
      <c r="N2124" s="7">
        <v>45947</v>
      </c>
      <c r="O2124" s="1">
        <v>30000</v>
      </c>
      <c r="P2124" s="7">
        <v>46056.589041099527</v>
      </c>
      <c r="Q2124" s="1" t="s">
        <v>330</v>
      </c>
      <c r="R2124" s="6">
        <v>46306.589041099527</v>
      </c>
      <c r="T2124" s="1" t="s">
        <v>469</v>
      </c>
      <c r="U2124" s="1" t="s">
        <v>470</v>
      </c>
      <c r="V2124" s="1">
        <v>1</v>
      </c>
      <c r="W2124" s="3">
        <v>58063</v>
      </c>
      <c r="X2124" s="3">
        <v>58063</v>
      </c>
      <c r="Y2124" s="1" t="str">
        <f>VLOOKUP(A2124,[1]Detalle!$D$2:$CR$484,93,FALSE)</f>
        <v>Expreso - Servicios Troncales</v>
      </c>
    </row>
    <row r="2125" spans="1:25" ht="14.25" customHeight="1" x14ac:dyDescent="0.3">
      <c r="A2125" s="1" t="s">
        <v>97</v>
      </c>
      <c r="B2125" s="1" t="s">
        <v>468</v>
      </c>
      <c r="C2125" s="1" t="s">
        <v>467</v>
      </c>
      <c r="D2125" s="1" t="s">
        <v>366</v>
      </c>
      <c r="E2125" s="6">
        <v>45918</v>
      </c>
      <c r="F2125" s="1">
        <v>227028</v>
      </c>
      <c r="G2125" s="1">
        <v>257028</v>
      </c>
      <c r="H2125" s="1">
        <v>3811.8</v>
      </c>
      <c r="I2125" s="1">
        <v>26188.2</v>
      </c>
      <c r="J2125" s="1">
        <v>230839.8</v>
      </c>
      <c r="K2125" s="1">
        <v>29</v>
      </c>
      <c r="L2125" s="1">
        <v>310.79992700729929</v>
      </c>
      <c r="M2125" s="1">
        <v>199.2386274201165</v>
      </c>
      <c r="N2125" s="7">
        <v>45947</v>
      </c>
      <c r="O2125" s="1">
        <v>30000</v>
      </c>
      <c r="P2125" s="7">
        <v>46146.238627418978</v>
      </c>
      <c r="Q2125" s="1" t="s">
        <v>330</v>
      </c>
      <c r="T2125" s="1" t="s">
        <v>469</v>
      </c>
      <c r="U2125" s="1" t="s">
        <v>470</v>
      </c>
      <c r="V2125" s="1">
        <v>1</v>
      </c>
      <c r="W2125" s="3">
        <v>58063</v>
      </c>
      <c r="X2125" s="3">
        <v>58063</v>
      </c>
      <c r="Y2125" s="1" t="str">
        <f>VLOOKUP(A2125,[1]Detalle!$D$2:$CR$484,93,FALSE)</f>
        <v>Expreso - Servicios Troncales</v>
      </c>
    </row>
    <row r="2126" spans="1:25" ht="14.25" customHeight="1" x14ac:dyDescent="0.3">
      <c r="A2126" s="1" t="s">
        <v>279</v>
      </c>
      <c r="B2126" s="1" t="s">
        <v>471</v>
      </c>
      <c r="C2126" s="1" t="s">
        <v>467</v>
      </c>
      <c r="D2126" s="1" t="s">
        <v>366</v>
      </c>
      <c r="E2126" s="1" t="s">
        <v>337</v>
      </c>
      <c r="F2126" s="1">
        <v>35081.599999999999</v>
      </c>
      <c r="G2126" s="1">
        <v>65081.599999999999</v>
      </c>
      <c r="H2126" s="1">
        <v>51895.159999999982</v>
      </c>
      <c r="I2126" s="1">
        <v>-21895.159999999982</v>
      </c>
      <c r="J2126" s="1">
        <v>86976.75999999998</v>
      </c>
      <c r="K2126" s="1">
        <v>243</v>
      </c>
      <c r="L2126" s="1">
        <v>197.99579335793359</v>
      </c>
      <c r="M2126" s="1">
        <v>-102.5244720316885</v>
      </c>
      <c r="N2126" s="7">
        <v>45947</v>
      </c>
      <c r="O2126" s="1">
        <v>30000</v>
      </c>
      <c r="P2126" s="7">
        <v>46098.518370625003</v>
      </c>
      <c r="Q2126" s="1" t="s">
        <v>330</v>
      </c>
      <c r="T2126" s="1" t="s">
        <v>472</v>
      </c>
      <c r="U2126" s="1" t="s">
        <v>473</v>
      </c>
      <c r="V2126" s="1">
        <v>1</v>
      </c>
      <c r="W2126" s="3">
        <v>35911.769999999997</v>
      </c>
      <c r="X2126" s="3">
        <v>35911.769999999997</v>
      </c>
      <c r="Y2126" s="1" t="str">
        <f>VLOOKUP(A2126,[1]Detalle!$D$2:$CR$484,93,FALSE)</f>
        <v>Expreso - Servicios Troncales</v>
      </c>
    </row>
    <row r="2127" spans="1:25" ht="14.25" customHeight="1" x14ac:dyDescent="0.3">
      <c r="A2127" s="1" t="s">
        <v>228</v>
      </c>
      <c r="B2127" s="1" t="s">
        <v>471</v>
      </c>
      <c r="C2127" s="1" t="s">
        <v>467</v>
      </c>
      <c r="D2127" s="1" t="s">
        <v>366</v>
      </c>
      <c r="E2127" s="1" t="s">
        <v>337</v>
      </c>
      <c r="F2127" s="1">
        <v>799717</v>
      </c>
      <c r="G2127" s="1">
        <v>829717</v>
      </c>
      <c r="H2127" s="1">
        <v>57283.27</v>
      </c>
      <c r="I2127" s="1">
        <v>-27283.27</v>
      </c>
      <c r="J2127" s="1">
        <v>857000.27</v>
      </c>
      <c r="K2127" s="1">
        <v>253</v>
      </c>
      <c r="L2127" s="1">
        <v>232.68261029411761</v>
      </c>
      <c r="M2127" s="1">
        <v>-120.5005808851345</v>
      </c>
      <c r="N2127" s="7">
        <v>45947</v>
      </c>
      <c r="O2127" s="1">
        <v>30000</v>
      </c>
      <c r="P2127" s="7">
        <v>46075.930993009257</v>
      </c>
      <c r="Q2127" s="1" t="s">
        <v>330</v>
      </c>
      <c r="T2127" s="1" t="s">
        <v>472</v>
      </c>
      <c r="U2127" s="1" t="s">
        <v>473</v>
      </c>
      <c r="V2127" s="1">
        <v>1</v>
      </c>
      <c r="W2127" s="3">
        <v>35911.769999999997</v>
      </c>
      <c r="X2127" s="3">
        <v>35911.769999999997</v>
      </c>
      <c r="Y2127" s="1" t="str">
        <f>VLOOKUP(A2127,[1]Detalle!$D$2:$CR$484,93,FALSE)</f>
        <v>Expreso - Servicios Troncales</v>
      </c>
    </row>
    <row r="2128" spans="1:25" ht="14.25" customHeight="1" x14ac:dyDescent="0.3">
      <c r="A2128" s="1" t="s">
        <v>514</v>
      </c>
      <c r="B2128" s="1" t="s">
        <v>474</v>
      </c>
      <c r="C2128" s="1" t="s">
        <v>467</v>
      </c>
      <c r="D2128" s="1" t="s">
        <v>366</v>
      </c>
      <c r="E2128" s="6">
        <v>45853</v>
      </c>
      <c r="F2128" s="1">
        <v>1696264</v>
      </c>
      <c r="G2128" s="1">
        <v>1726264</v>
      </c>
      <c r="H2128" s="1">
        <v>21621.200000000001</v>
      </c>
      <c r="I2128" s="1">
        <v>8378.7999999999993</v>
      </c>
      <c r="J2128" s="1">
        <v>1717885.2</v>
      </c>
      <c r="K2128" s="1">
        <v>94</v>
      </c>
      <c r="L2128" s="1">
        <v>298.17575757575747</v>
      </c>
      <c r="M2128" s="1">
        <v>36.427543337095067</v>
      </c>
      <c r="N2128" s="7">
        <v>45947</v>
      </c>
      <c r="O2128" s="1">
        <v>30000</v>
      </c>
      <c r="P2128" s="7">
        <v>46084.039344386583</v>
      </c>
      <c r="Q2128" s="1" t="s">
        <v>330</v>
      </c>
      <c r="T2128" s="1" t="s">
        <v>475</v>
      </c>
      <c r="U2128" s="1" t="s">
        <v>476</v>
      </c>
      <c r="V2128" s="1">
        <v>1</v>
      </c>
      <c r="W2128" s="3">
        <v>48687.99</v>
      </c>
      <c r="X2128" s="3">
        <v>48687.99</v>
      </c>
      <c r="Y2128" s="1" t="str">
        <f>VLOOKUP(A2128,[1]Detalle!$D$2:$CR$484,93,FALSE)</f>
        <v>Expreso - Servicios Troncales</v>
      </c>
    </row>
    <row r="2129" spans="1:25" ht="14.25" customHeight="1" x14ac:dyDescent="0.3">
      <c r="A2129" s="1" t="s">
        <v>510</v>
      </c>
      <c r="B2129" s="1" t="s">
        <v>474</v>
      </c>
      <c r="C2129" s="1" t="s">
        <v>467</v>
      </c>
      <c r="D2129" s="1" t="s">
        <v>366</v>
      </c>
      <c r="E2129" s="6">
        <v>45901</v>
      </c>
      <c r="F2129" s="1">
        <v>1811240</v>
      </c>
      <c r="G2129" s="1">
        <v>1841240</v>
      </c>
      <c r="H2129" s="1">
        <v>9997.7999999999975</v>
      </c>
      <c r="I2129" s="1">
        <v>20002.2</v>
      </c>
      <c r="J2129" s="1">
        <v>1821237.8</v>
      </c>
      <c r="K2129" s="1">
        <v>46</v>
      </c>
      <c r="L2129" s="1">
        <v>2480.570318518518</v>
      </c>
      <c r="M2129" s="1">
        <v>92.030366680669786</v>
      </c>
      <c r="N2129" s="7">
        <v>45947</v>
      </c>
      <c r="O2129" s="1">
        <v>30000</v>
      </c>
      <c r="P2129" s="7">
        <v>46039.030366678242</v>
      </c>
      <c r="Q2129" s="1" t="s">
        <v>330</v>
      </c>
      <c r="T2129" s="1" t="s">
        <v>475</v>
      </c>
      <c r="U2129" s="1" t="s">
        <v>476</v>
      </c>
      <c r="V2129" s="1">
        <v>1</v>
      </c>
      <c r="W2129" s="3">
        <v>48687.99</v>
      </c>
      <c r="X2129" s="3">
        <v>48687.99</v>
      </c>
      <c r="Y2129" s="1" t="str">
        <f>VLOOKUP(A2129,[1]Detalle!$D$2:$CR$484,93,FALSE)</f>
        <v>Expreso - Servicios Troncales</v>
      </c>
    </row>
    <row r="2130" spans="1:25" ht="14.25" customHeight="1" x14ac:dyDescent="0.3">
      <c r="A2130" s="1" t="s">
        <v>511</v>
      </c>
      <c r="B2130" s="1" t="s">
        <v>474</v>
      </c>
      <c r="C2130" s="1" t="s">
        <v>467</v>
      </c>
      <c r="D2130" s="1" t="s">
        <v>366</v>
      </c>
      <c r="E2130" s="6">
        <v>45889</v>
      </c>
      <c r="F2130" s="1">
        <v>1658262</v>
      </c>
      <c r="G2130" s="1">
        <v>1688262</v>
      </c>
      <c r="H2130" s="1">
        <v>12851.9</v>
      </c>
      <c r="I2130" s="1">
        <v>17148.099999999999</v>
      </c>
      <c r="J2130" s="1">
        <v>1671113.9</v>
      </c>
      <c r="K2130" s="1">
        <v>58</v>
      </c>
      <c r="L2130" s="1">
        <v>411.92981617647058</v>
      </c>
      <c r="M2130" s="1">
        <v>77.38854177203369</v>
      </c>
      <c r="N2130" s="7">
        <v>45947</v>
      </c>
      <c r="O2130" s="1">
        <v>30000</v>
      </c>
      <c r="P2130" s="7">
        <v>46024.38854177083</v>
      </c>
      <c r="Q2130" s="1" t="s">
        <v>330</v>
      </c>
      <c r="T2130" s="1" t="s">
        <v>475</v>
      </c>
      <c r="U2130" s="1" t="s">
        <v>476</v>
      </c>
      <c r="V2130" s="1">
        <v>1</v>
      </c>
      <c r="W2130" s="3">
        <v>48687.99</v>
      </c>
      <c r="X2130" s="3">
        <v>48687.99</v>
      </c>
      <c r="Y2130" s="1" t="str">
        <f>VLOOKUP(A2130,[1]Detalle!$D$2:$CR$484,93,FALSE)</f>
        <v>Expreso - Servicios Troncales</v>
      </c>
    </row>
    <row r="2131" spans="1:25" ht="14.25" customHeight="1" x14ac:dyDescent="0.3">
      <c r="A2131" s="1" t="s">
        <v>512</v>
      </c>
      <c r="B2131" s="1" t="s">
        <v>474</v>
      </c>
      <c r="C2131" s="1" t="s">
        <v>467</v>
      </c>
      <c r="D2131" s="1" t="s">
        <v>366</v>
      </c>
      <c r="E2131" s="6">
        <v>45880</v>
      </c>
      <c r="F2131" s="1">
        <v>1751581</v>
      </c>
      <c r="G2131" s="1">
        <v>1781581</v>
      </c>
      <c r="H2131" s="1">
        <v>12241.1</v>
      </c>
      <c r="I2131" s="1">
        <v>17758.900000000001</v>
      </c>
      <c r="J2131" s="1">
        <v>1763822.1</v>
      </c>
      <c r="K2131" s="1">
        <v>67</v>
      </c>
      <c r="L2131" s="1">
        <v>4494.815091575093</v>
      </c>
      <c r="M2131" s="1">
        <v>97.200929655014633</v>
      </c>
      <c r="N2131" s="7">
        <v>45947</v>
      </c>
      <c r="O2131" s="1">
        <v>30000</v>
      </c>
      <c r="P2131" s="7">
        <v>46044.200929652783</v>
      </c>
      <c r="Q2131" s="1" t="s">
        <v>330</v>
      </c>
      <c r="T2131" s="1" t="s">
        <v>475</v>
      </c>
      <c r="U2131" s="1" t="s">
        <v>476</v>
      </c>
      <c r="V2131" s="1">
        <v>1</v>
      </c>
      <c r="W2131" s="3">
        <v>48687.99</v>
      </c>
      <c r="X2131" s="3">
        <v>48687.99</v>
      </c>
      <c r="Y2131" s="1" t="str">
        <f>VLOOKUP(A2131,[1]Detalle!$D$2:$CR$484,93,FALSE)</f>
        <v>Expreso - Servicios Troncales</v>
      </c>
    </row>
    <row r="2132" spans="1:25" ht="14.25" customHeight="1" x14ac:dyDescent="0.3">
      <c r="A2132" s="1" t="s">
        <v>513</v>
      </c>
      <c r="B2132" s="1" t="s">
        <v>474</v>
      </c>
      <c r="C2132" s="1" t="s">
        <v>467</v>
      </c>
      <c r="D2132" s="1" t="s">
        <v>366</v>
      </c>
      <c r="E2132" s="6">
        <v>45887</v>
      </c>
      <c r="F2132" s="1">
        <v>1522461</v>
      </c>
      <c r="G2132" s="1">
        <v>1552461</v>
      </c>
      <c r="H2132" s="1">
        <v>14993.7</v>
      </c>
      <c r="I2132" s="1">
        <v>15006.3</v>
      </c>
      <c r="J2132" s="1">
        <v>1537454.7</v>
      </c>
      <c r="K2132" s="1">
        <v>60</v>
      </c>
      <c r="L2132" s="1">
        <v>2328.6221402214019</v>
      </c>
      <c r="M2132" s="1">
        <v>60.050421176894289</v>
      </c>
      <c r="N2132" s="7">
        <v>45947</v>
      </c>
      <c r="O2132" s="1">
        <v>30000</v>
      </c>
      <c r="P2132" s="7">
        <v>46032.816731203697</v>
      </c>
      <c r="Q2132" s="1" t="s">
        <v>330</v>
      </c>
      <c r="T2132" s="1" t="s">
        <v>475</v>
      </c>
      <c r="U2132" s="1" t="s">
        <v>476</v>
      </c>
      <c r="V2132" s="1">
        <v>1</v>
      </c>
      <c r="W2132" s="3">
        <v>48687.99</v>
      </c>
      <c r="X2132" s="3">
        <v>48687.99</v>
      </c>
      <c r="Y2132" s="1" t="str">
        <f>VLOOKUP(A2132,[1]Detalle!$D$2:$CR$484,93,FALSE)</f>
        <v>Expreso - Servicios Troncales</v>
      </c>
    </row>
    <row r="2133" spans="1:25" ht="14.25" customHeight="1" x14ac:dyDescent="0.3">
      <c r="A2133" s="1" t="s">
        <v>270</v>
      </c>
      <c r="B2133" s="1" t="s">
        <v>474</v>
      </c>
      <c r="C2133" s="1" t="s">
        <v>467</v>
      </c>
      <c r="D2133" s="1" t="s">
        <v>366</v>
      </c>
      <c r="E2133" s="6">
        <v>45891</v>
      </c>
      <c r="F2133" s="1">
        <v>1737584</v>
      </c>
      <c r="G2133" s="1">
        <v>1767584</v>
      </c>
      <c r="H2133" s="1">
        <v>15736.9</v>
      </c>
      <c r="I2133" s="1">
        <v>14263.1</v>
      </c>
      <c r="J2133" s="1">
        <v>1753320.9</v>
      </c>
      <c r="K2133" s="1">
        <v>56</v>
      </c>
      <c r="L2133" s="1">
        <v>1736.2685719557189</v>
      </c>
      <c r="M2133" s="1">
        <v>50.755460096969557</v>
      </c>
      <c r="N2133" s="7">
        <v>45947</v>
      </c>
      <c r="O2133" s="1">
        <v>30000</v>
      </c>
      <c r="P2133" s="7">
        <v>46032.312325879633</v>
      </c>
      <c r="Q2133" s="1" t="s">
        <v>330</v>
      </c>
      <c r="T2133" s="1" t="s">
        <v>475</v>
      </c>
      <c r="U2133" s="1" t="s">
        <v>476</v>
      </c>
      <c r="V2133" s="1">
        <v>1</v>
      </c>
      <c r="W2133" s="3">
        <v>48687.99</v>
      </c>
      <c r="X2133" s="3">
        <v>48687.99</v>
      </c>
      <c r="Y2133" s="1" t="str">
        <f>VLOOKUP(A2133,[1]Detalle!$D$2:$CR$484,93,FALSE)</f>
        <v>Expreso - Servicios Troncales</v>
      </c>
    </row>
    <row r="2134" spans="1:25" ht="14.25" customHeight="1" x14ac:dyDescent="0.3">
      <c r="A2134" s="1" t="s">
        <v>234</v>
      </c>
      <c r="B2134" s="1" t="s">
        <v>731</v>
      </c>
      <c r="C2134" s="1" t="s">
        <v>731</v>
      </c>
      <c r="D2134" s="1" t="s">
        <v>732</v>
      </c>
      <c r="E2134" s="1" t="s">
        <v>337</v>
      </c>
      <c r="F2134" s="1">
        <v>1840047</v>
      </c>
      <c r="G2134" s="1">
        <v>2290047</v>
      </c>
      <c r="H2134" s="1">
        <v>781341.13799999922</v>
      </c>
      <c r="I2134" s="1">
        <v>-331341.13799999922</v>
      </c>
      <c r="J2134" s="1">
        <v>2621388.1379999989</v>
      </c>
      <c r="K2134" s="1">
        <v>380</v>
      </c>
      <c r="L2134" s="1">
        <v>2691.3734963503648</v>
      </c>
      <c r="M2134" s="1">
        <v>-161.1455308270225</v>
      </c>
      <c r="N2134" s="7">
        <v>45947</v>
      </c>
      <c r="O2134" s="1">
        <v>450000</v>
      </c>
      <c r="P2134" s="7">
        <v>46114.200873680558</v>
      </c>
      <c r="Q2134" s="1" t="s">
        <v>330</v>
      </c>
      <c r="T2134" s="1" t="s">
        <v>733</v>
      </c>
      <c r="U2134" s="1" t="s">
        <v>734</v>
      </c>
      <c r="V2134" s="1">
        <v>1</v>
      </c>
      <c r="W2134" s="3">
        <v>1924160.32</v>
      </c>
      <c r="X2134" s="3">
        <v>1924160.32</v>
      </c>
      <c r="Y2134" s="1" t="str">
        <f>VLOOKUP(A2134,[1]Detalle!$D$2:$CR$484,93,FALSE)</f>
        <v>Expreso - Servicios Troncales</v>
      </c>
    </row>
    <row r="2135" spans="1:25" ht="14.25" customHeight="1" x14ac:dyDescent="0.3">
      <c r="A2135" s="1" t="s">
        <v>512</v>
      </c>
      <c r="B2135" s="1" t="s">
        <v>735</v>
      </c>
      <c r="C2135" s="1" t="s">
        <v>731</v>
      </c>
      <c r="D2135" s="1" t="s">
        <v>732</v>
      </c>
      <c r="E2135" s="1" t="s">
        <v>337</v>
      </c>
      <c r="F2135" s="1">
        <v>1574733</v>
      </c>
      <c r="G2135" s="1">
        <v>2024733</v>
      </c>
      <c r="H2135" s="1">
        <v>1334059.92</v>
      </c>
      <c r="I2135" s="1">
        <v>-884059.91999999993</v>
      </c>
      <c r="J2135" s="1">
        <v>2908792.92</v>
      </c>
      <c r="K2135" s="1">
        <v>579</v>
      </c>
      <c r="L2135" s="1">
        <v>4494.815091575093</v>
      </c>
      <c r="M2135" s="1">
        <v>-383.69393008973691</v>
      </c>
      <c r="N2135" s="7">
        <v>45947</v>
      </c>
      <c r="O2135" s="1">
        <v>450000</v>
      </c>
      <c r="P2135" s="7">
        <v>46047.11535310185</v>
      </c>
      <c r="Q2135" s="1" t="s">
        <v>330</v>
      </c>
      <c r="T2135" s="1" t="s">
        <v>736</v>
      </c>
      <c r="U2135" s="1" t="s">
        <v>737</v>
      </c>
      <c r="V2135" s="1">
        <v>1</v>
      </c>
      <c r="W2135" s="3">
        <v>1650000</v>
      </c>
      <c r="X2135" s="3">
        <v>1650000</v>
      </c>
      <c r="Y2135" s="1" t="str">
        <f>VLOOKUP(A2135,[1]Detalle!$D$2:$CR$484,93,FALSE)</f>
        <v>Expreso - Servicios Troncales</v>
      </c>
    </row>
    <row r="2136" spans="1:25" ht="14.25" customHeight="1" x14ac:dyDescent="0.3">
      <c r="A2136" s="1" t="s">
        <v>513</v>
      </c>
      <c r="B2136" s="1" t="s">
        <v>735</v>
      </c>
      <c r="C2136" s="1" t="s">
        <v>731</v>
      </c>
      <c r="D2136" s="1" t="s">
        <v>732</v>
      </c>
      <c r="E2136" s="6">
        <v>45610</v>
      </c>
      <c r="F2136" s="1">
        <v>1458189</v>
      </c>
      <c r="G2136" s="1">
        <v>1908189</v>
      </c>
      <c r="H2136" s="1">
        <v>649623.80000000005</v>
      </c>
      <c r="I2136" s="1">
        <v>-199623.8</v>
      </c>
      <c r="J2136" s="1">
        <v>2107812.7999999998</v>
      </c>
      <c r="K2136" s="1">
        <v>337</v>
      </c>
      <c r="L2136" s="1">
        <v>2328.6221402214019</v>
      </c>
      <c r="M2136" s="1">
        <v>-103.5571981814706</v>
      </c>
      <c r="N2136" s="7">
        <v>45947</v>
      </c>
      <c r="O2136" s="1">
        <v>450000</v>
      </c>
      <c r="P2136" s="7">
        <v>46140.24732519676</v>
      </c>
      <c r="Q2136" s="1" t="s">
        <v>330</v>
      </c>
      <c r="T2136" s="1" t="s">
        <v>736</v>
      </c>
      <c r="U2136" s="1" t="s">
        <v>737</v>
      </c>
      <c r="V2136" s="1">
        <v>1</v>
      </c>
      <c r="W2136" s="3">
        <v>1650000</v>
      </c>
      <c r="X2136" s="3">
        <v>1650000</v>
      </c>
      <c r="Y2136" s="1" t="str">
        <f>VLOOKUP(A2136,[1]Detalle!$D$2:$CR$484,93,FALSE)</f>
        <v>Expreso - Servicios Troncales</v>
      </c>
    </row>
    <row r="2137" spans="1:25" ht="14.25" customHeight="1" x14ac:dyDescent="0.3">
      <c r="A2137" s="1" t="s">
        <v>236</v>
      </c>
      <c r="B2137" s="1" t="s">
        <v>328</v>
      </c>
      <c r="C2137" s="1" t="s">
        <v>328</v>
      </c>
      <c r="D2137" s="1" t="s">
        <v>329</v>
      </c>
      <c r="E2137" s="6">
        <v>45817</v>
      </c>
      <c r="F2137" s="1">
        <v>1015308</v>
      </c>
      <c r="G2137" s="1">
        <v>1035308</v>
      </c>
      <c r="H2137" s="1">
        <v>35709.500000000007</v>
      </c>
      <c r="I2137" s="1">
        <v>-15709.500000000009</v>
      </c>
      <c r="J2137" s="1">
        <v>1051017.5</v>
      </c>
      <c r="K2137" s="1">
        <v>130</v>
      </c>
      <c r="L2137" s="1">
        <v>455.32846441947561</v>
      </c>
      <c r="M2137" s="1">
        <v>-57.190243492628028</v>
      </c>
      <c r="N2137" s="7">
        <v>45947</v>
      </c>
      <c r="O2137" s="1">
        <v>20000</v>
      </c>
      <c r="P2137" s="7">
        <v>46034.848669976847</v>
      </c>
      <c r="Q2137" s="1" t="s">
        <v>330</v>
      </c>
      <c r="T2137" s="1" t="s">
        <v>331</v>
      </c>
      <c r="U2137" s="1" t="s">
        <v>332</v>
      </c>
      <c r="V2137" s="1">
        <v>16</v>
      </c>
      <c r="W2137" s="3">
        <v>3389.9</v>
      </c>
      <c r="X2137" s="3">
        <v>54238.400000000001</v>
      </c>
      <c r="Y2137" s="1" t="str">
        <f>VLOOKUP(A2137,[1]Detalle!$D$2:$CR$484,93,FALSE)</f>
        <v>CENCOMLD - Cencosud SA - Mendoza</v>
      </c>
    </row>
    <row r="2138" spans="1:25" ht="14.25" customHeight="1" x14ac:dyDescent="0.3">
      <c r="A2138" s="1" t="s">
        <v>236</v>
      </c>
      <c r="B2138" s="1" t="s">
        <v>328</v>
      </c>
      <c r="C2138" s="1" t="s">
        <v>328</v>
      </c>
      <c r="D2138" s="1" t="s">
        <v>329</v>
      </c>
      <c r="E2138" s="6">
        <v>45817</v>
      </c>
      <c r="F2138" s="1">
        <v>1015308</v>
      </c>
      <c r="G2138" s="1">
        <v>1035308</v>
      </c>
      <c r="H2138" s="1">
        <v>35709.500000000007</v>
      </c>
      <c r="I2138" s="1">
        <v>-15709.500000000009</v>
      </c>
      <c r="J2138" s="1">
        <v>1051017.5</v>
      </c>
      <c r="K2138" s="1">
        <v>130</v>
      </c>
      <c r="L2138" s="1">
        <v>455.32846441947561</v>
      </c>
      <c r="M2138" s="1">
        <v>-57.190243492628028</v>
      </c>
      <c r="N2138" s="7">
        <v>45947</v>
      </c>
      <c r="O2138" s="1">
        <v>20000</v>
      </c>
      <c r="P2138" s="7">
        <v>46034.848669976847</v>
      </c>
      <c r="Q2138" s="1" t="s">
        <v>330</v>
      </c>
      <c r="T2138" s="1" t="s">
        <v>333</v>
      </c>
      <c r="U2138" s="1" t="s">
        <v>334</v>
      </c>
      <c r="V2138" s="1">
        <v>1</v>
      </c>
      <c r="W2138" s="3">
        <v>8513.2800000000007</v>
      </c>
      <c r="X2138" s="3">
        <v>8513.2800000000007</v>
      </c>
      <c r="Y2138" s="1" t="str">
        <f>VLOOKUP(A2138,[1]Detalle!$D$2:$CR$484,93,FALSE)</f>
        <v>CENCOMLD - Cencosud SA - Mendoza</v>
      </c>
    </row>
    <row r="2139" spans="1:25" ht="14.25" customHeight="1" x14ac:dyDescent="0.3">
      <c r="A2139" s="1" t="s">
        <v>236</v>
      </c>
      <c r="B2139" s="1" t="s">
        <v>421</v>
      </c>
      <c r="C2139" s="1" t="s">
        <v>415</v>
      </c>
      <c r="D2139" s="1" t="s">
        <v>366</v>
      </c>
      <c r="E2139" s="6">
        <v>45817</v>
      </c>
      <c r="F2139" s="1">
        <v>1015308</v>
      </c>
      <c r="G2139" s="1">
        <v>1035308</v>
      </c>
      <c r="H2139" s="1">
        <v>35709.500000000007</v>
      </c>
      <c r="I2139" s="1">
        <v>-15709.500000000009</v>
      </c>
      <c r="J2139" s="1">
        <v>1051017.5</v>
      </c>
      <c r="K2139" s="1">
        <v>130</v>
      </c>
      <c r="L2139" s="1">
        <v>455.32846441947561</v>
      </c>
      <c r="M2139" s="1">
        <v>-57.190243492628028</v>
      </c>
      <c r="N2139" s="7">
        <v>45947</v>
      </c>
      <c r="O2139" s="1">
        <v>20000</v>
      </c>
      <c r="P2139" s="7">
        <v>46034.848669976847</v>
      </c>
      <c r="Q2139" s="1" t="s">
        <v>330</v>
      </c>
      <c r="T2139" s="1" t="s">
        <v>422</v>
      </c>
      <c r="U2139" s="1" t="s">
        <v>423</v>
      </c>
      <c r="V2139" s="1">
        <v>1</v>
      </c>
      <c r="W2139" s="3">
        <v>49777.919999999998</v>
      </c>
      <c r="X2139" s="3">
        <v>49777.919999999998</v>
      </c>
      <c r="Y2139" s="1" t="str">
        <f>VLOOKUP(A2139,[1]Detalle!$D$2:$CR$484,93,FALSE)</f>
        <v>CENCOMLD - Cencosud SA - Mendoza</v>
      </c>
    </row>
    <row r="2140" spans="1:25" ht="14.25" customHeight="1" x14ac:dyDescent="0.3">
      <c r="A2140" s="1" t="s">
        <v>111</v>
      </c>
      <c r="B2140" s="1" t="s">
        <v>328</v>
      </c>
      <c r="C2140" s="1" t="s">
        <v>328</v>
      </c>
      <c r="D2140" s="1" t="s">
        <v>329</v>
      </c>
      <c r="E2140" s="6">
        <v>45632</v>
      </c>
      <c r="F2140" s="1">
        <v>16040</v>
      </c>
      <c r="G2140" s="1">
        <v>36040</v>
      </c>
      <c r="H2140" s="1">
        <v>34694.100000000013</v>
      </c>
      <c r="I2140" s="1">
        <v>-14694.100000000009</v>
      </c>
      <c r="J2140" s="1">
        <v>50734.100000000013</v>
      </c>
      <c r="K2140" s="1">
        <v>315</v>
      </c>
      <c r="L2140" s="1">
        <v>104.473717948718</v>
      </c>
      <c r="M2140" s="1">
        <v>-133.41292899945529</v>
      </c>
      <c r="N2140" s="7">
        <v>45947</v>
      </c>
      <c r="O2140" s="1">
        <v>20000</v>
      </c>
      <c r="P2140" s="7">
        <v>46329.871412881941</v>
      </c>
      <c r="T2140" s="1" t="s">
        <v>331</v>
      </c>
      <c r="U2140" s="1" t="s">
        <v>332</v>
      </c>
      <c r="V2140" s="1">
        <v>16</v>
      </c>
      <c r="W2140" s="3">
        <v>3389.9</v>
      </c>
      <c r="X2140" s="3">
        <v>54238.400000000001</v>
      </c>
      <c r="Y2140" s="1" t="str">
        <f>VLOOKUP(A2140,[1]Detalle!$D$2:$CR$484,93,FALSE)</f>
        <v>SUC_MEN - Sucursal Mendoza</v>
      </c>
    </row>
    <row r="2141" spans="1:25" ht="14.25" customHeight="1" x14ac:dyDescent="0.3">
      <c r="A2141" s="1" t="s">
        <v>111</v>
      </c>
      <c r="B2141" s="1" t="s">
        <v>328</v>
      </c>
      <c r="C2141" s="1" t="s">
        <v>328</v>
      </c>
      <c r="D2141" s="1" t="s">
        <v>329</v>
      </c>
      <c r="E2141" s="6">
        <v>45632</v>
      </c>
      <c r="F2141" s="1">
        <v>16040</v>
      </c>
      <c r="G2141" s="1">
        <v>36040</v>
      </c>
      <c r="H2141" s="1">
        <v>34694.100000000013</v>
      </c>
      <c r="I2141" s="1">
        <v>-14694.100000000009</v>
      </c>
      <c r="J2141" s="1">
        <v>50734.100000000013</v>
      </c>
      <c r="K2141" s="1">
        <v>315</v>
      </c>
      <c r="L2141" s="1">
        <v>104.473717948718</v>
      </c>
      <c r="M2141" s="1">
        <v>-133.41292899945529</v>
      </c>
      <c r="N2141" s="7">
        <v>45947</v>
      </c>
      <c r="O2141" s="1">
        <v>20000</v>
      </c>
      <c r="P2141" s="7">
        <v>46329.871412881941</v>
      </c>
      <c r="T2141" s="1" t="s">
        <v>333</v>
      </c>
      <c r="U2141" s="1" t="s">
        <v>334</v>
      </c>
      <c r="V2141" s="1">
        <v>1</v>
      </c>
      <c r="W2141" s="3">
        <v>8513.2800000000007</v>
      </c>
      <c r="X2141" s="3">
        <v>8513.2800000000007</v>
      </c>
      <c r="Y2141" s="1" t="str">
        <f>VLOOKUP(A2141,[1]Detalle!$D$2:$CR$484,93,FALSE)</f>
        <v>SUC_MEN - Sucursal Mendoza</v>
      </c>
    </row>
    <row r="2142" spans="1:25" ht="14.25" customHeight="1" x14ac:dyDescent="0.3">
      <c r="A2142" s="1" t="s">
        <v>209</v>
      </c>
      <c r="B2142" s="1" t="s">
        <v>328</v>
      </c>
      <c r="C2142" s="1" t="s">
        <v>328</v>
      </c>
      <c r="D2142" s="1" t="s">
        <v>329</v>
      </c>
      <c r="E2142" s="6">
        <v>45525</v>
      </c>
      <c r="F2142" s="1">
        <v>880145</v>
      </c>
      <c r="G2142" s="1">
        <v>900145</v>
      </c>
      <c r="H2142" s="1">
        <v>79750.570000000065</v>
      </c>
      <c r="I2142" s="1">
        <v>-59750.570000000072</v>
      </c>
      <c r="J2142" s="1">
        <v>959895.57000000007</v>
      </c>
      <c r="K2142" s="1">
        <v>422</v>
      </c>
      <c r="L2142" s="1">
        <v>249.7515064102565</v>
      </c>
      <c r="M2142" s="1">
        <v>-316.17003539912008</v>
      </c>
      <c r="N2142" s="7">
        <v>45947</v>
      </c>
      <c r="O2142" s="1">
        <v>20000</v>
      </c>
      <c r="P2142" s="7">
        <v>46107.159194131942</v>
      </c>
      <c r="T2142" s="1" t="s">
        <v>331</v>
      </c>
      <c r="U2142" s="1" t="s">
        <v>332</v>
      </c>
      <c r="V2142" s="1">
        <v>16</v>
      </c>
      <c r="W2142" s="3">
        <v>3389.9</v>
      </c>
      <c r="X2142" s="3">
        <v>54238.400000000001</v>
      </c>
      <c r="Y2142" s="1" t="str">
        <f>VLOOKUP(A2142,[1]Detalle!$D$2:$CR$484,93,FALSE)</f>
        <v>CENCO_MZ - Cencosud SA - Mendoza</v>
      </c>
    </row>
    <row r="2143" spans="1:25" ht="14.25" customHeight="1" x14ac:dyDescent="0.3">
      <c r="A2143" s="1" t="s">
        <v>209</v>
      </c>
      <c r="B2143" s="1" t="s">
        <v>328</v>
      </c>
      <c r="C2143" s="1" t="s">
        <v>328</v>
      </c>
      <c r="D2143" s="1" t="s">
        <v>329</v>
      </c>
      <c r="E2143" s="6">
        <v>45525</v>
      </c>
      <c r="F2143" s="1">
        <v>880145</v>
      </c>
      <c r="G2143" s="1">
        <v>900145</v>
      </c>
      <c r="H2143" s="1">
        <v>79750.570000000065</v>
      </c>
      <c r="I2143" s="1">
        <v>-59750.570000000072</v>
      </c>
      <c r="J2143" s="1">
        <v>959895.57000000007</v>
      </c>
      <c r="K2143" s="1">
        <v>422</v>
      </c>
      <c r="L2143" s="1">
        <v>249.7515064102565</v>
      </c>
      <c r="M2143" s="1">
        <v>-316.17003539912008</v>
      </c>
      <c r="N2143" s="7">
        <v>45947</v>
      </c>
      <c r="O2143" s="1">
        <v>20000</v>
      </c>
      <c r="P2143" s="7">
        <v>46107.159194131942</v>
      </c>
      <c r="T2143" s="1" t="s">
        <v>333</v>
      </c>
      <c r="U2143" s="1" t="s">
        <v>334</v>
      </c>
      <c r="V2143" s="1">
        <v>1</v>
      </c>
      <c r="W2143" s="3">
        <v>8513.2800000000007</v>
      </c>
      <c r="X2143" s="3">
        <v>8513.2800000000007</v>
      </c>
      <c r="Y2143" s="1" t="str">
        <f>VLOOKUP(A2143,[1]Detalle!$D$2:$CR$484,93,FALSE)</f>
        <v>CENCO_MZ - Cencosud SA - Mendoza</v>
      </c>
    </row>
    <row r="2144" spans="1:25" ht="14.25" customHeight="1" x14ac:dyDescent="0.3">
      <c r="A2144" s="1" t="s">
        <v>138</v>
      </c>
      <c r="B2144" s="1" t="s">
        <v>343</v>
      </c>
      <c r="C2144" s="1" t="s">
        <v>343</v>
      </c>
      <c r="D2144" s="1" t="s">
        <v>344</v>
      </c>
      <c r="E2144" s="6">
        <v>45840</v>
      </c>
      <c r="F2144" s="1">
        <v>40688</v>
      </c>
      <c r="G2144" s="1">
        <v>60688</v>
      </c>
      <c r="H2144" s="1">
        <v>18559.899999999991</v>
      </c>
      <c r="I2144" s="1">
        <v>1440.100000000006</v>
      </c>
      <c r="J2144" s="1">
        <v>59247.899999999987</v>
      </c>
      <c r="K2144" s="1">
        <v>107</v>
      </c>
      <c r="L2144" s="1">
        <v>129.25862179487169</v>
      </c>
      <c r="M2144" s="1">
        <v>8.3023453790160868</v>
      </c>
      <c r="N2144" s="7">
        <v>45947</v>
      </c>
      <c r="O2144" s="1">
        <v>20000</v>
      </c>
      <c r="P2144" s="7">
        <v>46264.759458912027</v>
      </c>
      <c r="T2144" s="1" t="s">
        <v>345</v>
      </c>
      <c r="U2144" s="1" t="s">
        <v>346</v>
      </c>
      <c r="V2144" s="1">
        <v>1</v>
      </c>
      <c r="W2144" s="3">
        <v>10535.04</v>
      </c>
      <c r="X2144" s="3">
        <v>10535.04</v>
      </c>
      <c r="Y2144" s="1" t="str">
        <f>VLOOKUP(A2144,[1]Detalle!$D$2:$CR$484,93,FALSE)</f>
        <v>SUC_MEN - Sucursal Mendoza</v>
      </c>
    </row>
    <row r="2145" spans="1:25" ht="14.25" customHeight="1" x14ac:dyDescent="0.3">
      <c r="A2145" s="1" t="s">
        <v>138</v>
      </c>
      <c r="B2145" s="1" t="s">
        <v>343</v>
      </c>
      <c r="C2145" s="1" t="s">
        <v>343</v>
      </c>
      <c r="D2145" s="1" t="s">
        <v>344</v>
      </c>
      <c r="E2145" s="6">
        <v>45840</v>
      </c>
      <c r="F2145" s="1">
        <v>40688</v>
      </c>
      <c r="G2145" s="1">
        <v>60688</v>
      </c>
      <c r="H2145" s="1">
        <v>18559.899999999991</v>
      </c>
      <c r="I2145" s="1">
        <v>1440.100000000006</v>
      </c>
      <c r="J2145" s="1">
        <v>59247.899999999987</v>
      </c>
      <c r="K2145" s="1">
        <v>107</v>
      </c>
      <c r="L2145" s="1">
        <v>129.25862179487169</v>
      </c>
      <c r="M2145" s="1">
        <v>8.3023453790160868</v>
      </c>
      <c r="N2145" s="7">
        <v>45947</v>
      </c>
      <c r="O2145" s="1">
        <v>20000</v>
      </c>
      <c r="P2145" s="7">
        <v>46264.759458912027</v>
      </c>
      <c r="T2145" s="1" t="s">
        <v>347</v>
      </c>
      <c r="U2145" s="1" t="s">
        <v>348</v>
      </c>
      <c r="V2145" s="1">
        <v>1</v>
      </c>
      <c r="W2145" s="3">
        <v>19410.240000000002</v>
      </c>
      <c r="X2145" s="3">
        <v>19410.240000000002</v>
      </c>
      <c r="Y2145" s="1" t="str">
        <f>VLOOKUP(A2145,[1]Detalle!$D$2:$CR$484,93,FALSE)</f>
        <v>SUC_MEN - Sucursal Mendoza</v>
      </c>
    </row>
    <row r="2146" spans="1:25" ht="14.25" customHeight="1" x14ac:dyDescent="0.3">
      <c r="A2146" s="1" t="s">
        <v>123</v>
      </c>
      <c r="B2146" s="1" t="s">
        <v>343</v>
      </c>
      <c r="C2146" s="1" t="s">
        <v>343</v>
      </c>
      <c r="D2146" s="1" t="s">
        <v>344</v>
      </c>
      <c r="E2146" s="6">
        <v>45364</v>
      </c>
      <c r="F2146" s="1">
        <v>289070</v>
      </c>
      <c r="G2146" s="1">
        <v>309070</v>
      </c>
      <c r="H2146" s="1">
        <v>33400.049999999952</v>
      </c>
      <c r="I2146" s="1">
        <v>-13400.04999999995</v>
      </c>
      <c r="J2146" s="1">
        <v>322470.04999999987</v>
      </c>
      <c r="K2146" s="1">
        <v>583</v>
      </c>
      <c r="L2146" s="1">
        <v>96.824519230769212</v>
      </c>
      <c r="M2146" s="1">
        <v>-233.8987261995112</v>
      </c>
      <c r="N2146" s="7">
        <v>45947</v>
      </c>
      <c r="O2146" s="1">
        <v>20000</v>
      </c>
      <c r="P2146" s="7">
        <v>46360.11849847222</v>
      </c>
      <c r="T2146" s="1" t="s">
        <v>345</v>
      </c>
      <c r="U2146" s="1" t="s">
        <v>346</v>
      </c>
      <c r="V2146" s="1">
        <v>1</v>
      </c>
      <c r="W2146" s="3">
        <v>10535.04</v>
      </c>
      <c r="X2146" s="3">
        <v>10535.04</v>
      </c>
      <c r="Y2146" s="1" t="str">
        <f>VLOOKUP(A2146,[1]Detalle!$D$2:$CR$484,93,FALSE)</f>
        <v>SUC_SRA - Sucursal San Rafael</v>
      </c>
    </row>
    <row r="2147" spans="1:25" ht="14.25" customHeight="1" x14ac:dyDescent="0.3">
      <c r="A2147" s="1" t="s">
        <v>123</v>
      </c>
      <c r="B2147" s="1" t="s">
        <v>343</v>
      </c>
      <c r="C2147" s="1" t="s">
        <v>343</v>
      </c>
      <c r="D2147" s="1" t="s">
        <v>344</v>
      </c>
      <c r="E2147" s="6">
        <v>45364</v>
      </c>
      <c r="F2147" s="1">
        <v>289070</v>
      </c>
      <c r="G2147" s="1">
        <v>309070</v>
      </c>
      <c r="H2147" s="1">
        <v>33400.049999999952</v>
      </c>
      <c r="I2147" s="1">
        <v>-13400.04999999995</v>
      </c>
      <c r="J2147" s="1">
        <v>322470.04999999987</v>
      </c>
      <c r="K2147" s="1">
        <v>583</v>
      </c>
      <c r="L2147" s="1">
        <v>96.824519230769212</v>
      </c>
      <c r="M2147" s="1">
        <v>-233.8987261995112</v>
      </c>
      <c r="N2147" s="7">
        <v>45947</v>
      </c>
      <c r="O2147" s="1">
        <v>20000</v>
      </c>
      <c r="P2147" s="7">
        <v>46360.11849847222</v>
      </c>
      <c r="T2147" s="1" t="s">
        <v>347</v>
      </c>
      <c r="U2147" s="1" t="s">
        <v>348</v>
      </c>
      <c r="V2147" s="1">
        <v>1</v>
      </c>
      <c r="W2147" s="3">
        <v>19410.240000000002</v>
      </c>
      <c r="X2147" s="3">
        <v>19410.240000000002</v>
      </c>
      <c r="Y2147" s="1" t="str">
        <f>VLOOKUP(A2147,[1]Detalle!$D$2:$CR$484,93,FALSE)</f>
        <v>SUC_SRA - Sucursal San Rafael</v>
      </c>
    </row>
    <row r="2148" spans="1:25" ht="14.25" customHeight="1" x14ac:dyDescent="0.3">
      <c r="A2148" s="1" t="s">
        <v>111</v>
      </c>
      <c r="B2148" s="1" t="s">
        <v>343</v>
      </c>
      <c r="C2148" s="1" t="s">
        <v>343</v>
      </c>
      <c r="D2148" s="1" t="s">
        <v>344</v>
      </c>
      <c r="E2148" s="6">
        <v>45632</v>
      </c>
      <c r="F2148" s="1">
        <v>16040</v>
      </c>
      <c r="G2148" s="1">
        <v>36040</v>
      </c>
      <c r="H2148" s="1">
        <v>34694.100000000013</v>
      </c>
      <c r="I2148" s="1">
        <v>-14694.100000000009</v>
      </c>
      <c r="J2148" s="1">
        <v>50734.100000000013</v>
      </c>
      <c r="K2148" s="1">
        <v>315</v>
      </c>
      <c r="L2148" s="1">
        <v>104.473717948718</v>
      </c>
      <c r="M2148" s="1">
        <v>-133.41292899945529</v>
      </c>
      <c r="N2148" s="7">
        <v>45947</v>
      </c>
      <c r="O2148" s="1">
        <v>20000</v>
      </c>
      <c r="P2148" s="7">
        <v>46329.871412881941</v>
      </c>
      <c r="T2148" s="1" t="s">
        <v>345</v>
      </c>
      <c r="U2148" s="1" t="s">
        <v>346</v>
      </c>
      <c r="V2148" s="1">
        <v>1</v>
      </c>
      <c r="W2148" s="3">
        <v>10535.04</v>
      </c>
      <c r="X2148" s="3">
        <v>10535.04</v>
      </c>
      <c r="Y2148" s="1" t="str">
        <f>VLOOKUP(A2148,[1]Detalle!$D$2:$CR$484,93,FALSE)</f>
        <v>SUC_MEN - Sucursal Mendoza</v>
      </c>
    </row>
    <row r="2149" spans="1:25" ht="14.25" customHeight="1" x14ac:dyDescent="0.3">
      <c r="A2149" s="1" t="s">
        <v>111</v>
      </c>
      <c r="B2149" s="1" t="s">
        <v>343</v>
      </c>
      <c r="C2149" s="1" t="s">
        <v>343</v>
      </c>
      <c r="D2149" s="1" t="s">
        <v>344</v>
      </c>
      <c r="E2149" s="6">
        <v>45632</v>
      </c>
      <c r="F2149" s="1">
        <v>16040</v>
      </c>
      <c r="G2149" s="1">
        <v>36040</v>
      </c>
      <c r="H2149" s="1">
        <v>34694.100000000013</v>
      </c>
      <c r="I2149" s="1">
        <v>-14694.100000000009</v>
      </c>
      <c r="J2149" s="1">
        <v>50734.100000000013</v>
      </c>
      <c r="K2149" s="1">
        <v>315</v>
      </c>
      <c r="L2149" s="1">
        <v>104.473717948718</v>
      </c>
      <c r="M2149" s="1">
        <v>-133.41292899945529</v>
      </c>
      <c r="N2149" s="7">
        <v>45947</v>
      </c>
      <c r="O2149" s="1">
        <v>20000</v>
      </c>
      <c r="P2149" s="7">
        <v>46329.871412881941</v>
      </c>
      <c r="T2149" s="1" t="s">
        <v>347</v>
      </c>
      <c r="U2149" s="1" t="s">
        <v>348</v>
      </c>
      <c r="V2149" s="1">
        <v>1</v>
      </c>
      <c r="W2149" s="3">
        <v>19410.240000000002</v>
      </c>
      <c r="X2149" s="3">
        <v>19410.240000000002</v>
      </c>
      <c r="Y2149" s="1" t="str">
        <f>VLOOKUP(A2149,[1]Detalle!$D$2:$CR$484,93,FALSE)</f>
        <v>SUC_MEN - Sucursal Mendoza</v>
      </c>
    </row>
    <row r="2150" spans="1:25" ht="14.25" customHeight="1" x14ac:dyDescent="0.3">
      <c r="A2150" s="1" t="s">
        <v>149</v>
      </c>
      <c r="B2150" s="1" t="s">
        <v>343</v>
      </c>
      <c r="C2150" s="1" t="s">
        <v>343</v>
      </c>
      <c r="D2150" s="1" t="s">
        <v>344</v>
      </c>
      <c r="E2150" s="6">
        <v>45734</v>
      </c>
      <c r="F2150" s="1">
        <v>662460</v>
      </c>
      <c r="G2150" s="1">
        <v>682460</v>
      </c>
      <c r="H2150" s="1">
        <v>20447.600000000009</v>
      </c>
      <c r="I2150" s="1">
        <v>-447.60000000000582</v>
      </c>
      <c r="J2150" s="1">
        <v>682907.6</v>
      </c>
      <c r="K2150" s="1">
        <v>213</v>
      </c>
      <c r="L2150" s="1">
        <v>113.6646794871796</v>
      </c>
      <c r="M2150" s="1">
        <v>-4.6625912087482746</v>
      </c>
      <c r="N2150" s="7">
        <v>45947</v>
      </c>
      <c r="O2150" s="1">
        <v>20000</v>
      </c>
      <c r="P2150" s="7">
        <v>46298.912310671287</v>
      </c>
      <c r="T2150" s="1" t="s">
        <v>345</v>
      </c>
      <c r="U2150" s="1" t="s">
        <v>346</v>
      </c>
      <c r="V2150" s="1">
        <v>1</v>
      </c>
      <c r="W2150" s="3">
        <v>10535.04</v>
      </c>
      <c r="X2150" s="3">
        <v>10535.04</v>
      </c>
      <c r="Y2150" s="1" t="str">
        <f>VLOOKUP(A2150,[1]Detalle!$D$2:$CR$484,93,FALSE)</f>
        <v>Papelera - Papelera del Plata S.A.</v>
      </c>
    </row>
    <row r="2151" spans="1:25" ht="14.25" customHeight="1" x14ac:dyDescent="0.3">
      <c r="A2151" s="1" t="s">
        <v>149</v>
      </c>
      <c r="B2151" s="1" t="s">
        <v>343</v>
      </c>
      <c r="C2151" s="1" t="s">
        <v>343</v>
      </c>
      <c r="D2151" s="1" t="s">
        <v>344</v>
      </c>
      <c r="E2151" s="6">
        <v>45734</v>
      </c>
      <c r="F2151" s="1">
        <v>662460</v>
      </c>
      <c r="G2151" s="1">
        <v>682460</v>
      </c>
      <c r="H2151" s="1">
        <v>20447.600000000009</v>
      </c>
      <c r="I2151" s="1">
        <v>-447.60000000000582</v>
      </c>
      <c r="J2151" s="1">
        <v>682907.6</v>
      </c>
      <c r="K2151" s="1">
        <v>213</v>
      </c>
      <c r="L2151" s="1">
        <v>113.6646794871796</v>
      </c>
      <c r="M2151" s="1">
        <v>-4.6625912087482746</v>
      </c>
      <c r="N2151" s="7">
        <v>45947</v>
      </c>
      <c r="O2151" s="1">
        <v>20000</v>
      </c>
      <c r="P2151" s="7">
        <v>46298.912310671287</v>
      </c>
      <c r="T2151" s="1" t="s">
        <v>347</v>
      </c>
      <c r="U2151" s="1" t="s">
        <v>348</v>
      </c>
      <c r="V2151" s="1">
        <v>1</v>
      </c>
      <c r="W2151" s="3">
        <v>19410.240000000002</v>
      </c>
      <c r="X2151" s="3">
        <v>19410.240000000002</v>
      </c>
      <c r="Y2151" s="1" t="str">
        <f>VLOOKUP(A2151,[1]Detalle!$D$2:$CR$484,93,FALSE)</f>
        <v>Papelera - Papelera del Plata S.A.</v>
      </c>
    </row>
    <row r="2152" spans="1:25" ht="14.25" customHeight="1" x14ac:dyDescent="0.3">
      <c r="A2152" s="1" t="s">
        <v>161</v>
      </c>
      <c r="B2152" s="1" t="s">
        <v>343</v>
      </c>
      <c r="C2152" s="1" t="s">
        <v>343</v>
      </c>
      <c r="D2152" s="1" t="s">
        <v>344</v>
      </c>
      <c r="E2152" s="6">
        <v>45820</v>
      </c>
      <c r="F2152" s="1">
        <v>657691</v>
      </c>
      <c r="G2152" s="1">
        <v>677691</v>
      </c>
      <c r="H2152" s="1">
        <v>12543.4</v>
      </c>
      <c r="I2152" s="1">
        <v>7456.6000000000022</v>
      </c>
      <c r="J2152" s="1">
        <v>670234.4</v>
      </c>
      <c r="K2152" s="1">
        <v>127</v>
      </c>
      <c r="L2152" s="1">
        <v>112.4813870967742</v>
      </c>
      <c r="M2152" s="1">
        <v>75.496930656759758</v>
      </c>
      <c r="N2152" s="7">
        <v>45947</v>
      </c>
      <c r="O2152" s="1">
        <v>20000</v>
      </c>
      <c r="P2152" s="7">
        <v>46378.111321909717</v>
      </c>
      <c r="T2152" s="1" t="s">
        <v>345</v>
      </c>
      <c r="U2152" s="1" t="s">
        <v>346</v>
      </c>
      <c r="V2152" s="1">
        <v>1</v>
      </c>
      <c r="W2152" s="3">
        <v>10535.04</v>
      </c>
      <c r="X2152" s="3">
        <v>10535.04</v>
      </c>
      <c r="Y2152" s="1" t="str">
        <f>VLOOKUP(A2152,[1]Detalle!$D$2:$CR$484,93,FALSE)</f>
        <v>Unilever - Unilever de Arg. S.A.</v>
      </c>
    </row>
    <row r="2153" spans="1:25" ht="14.25" customHeight="1" x14ac:dyDescent="0.3">
      <c r="A2153" s="1" t="s">
        <v>161</v>
      </c>
      <c r="B2153" s="1" t="s">
        <v>343</v>
      </c>
      <c r="C2153" s="1" t="s">
        <v>343</v>
      </c>
      <c r="D2153" s="1" t="s">
        <v>344</v>
      </c>
      <c r="E2153" s="6">
        <v>45820</v>
      </c>
      <c r="F2153" s="1">
        <v>657691</v>
      </c>
      <c r="G2153" s="1">
        <v>677691</v>
      </c>
      <c r="H2153" s="1">
        <v>12543.4</v>
      </c>
      <c r="I2153" s="1">
        <v>7456.6000000000022</v>
      </c>
      <c r="J2153" s="1">
        <v>670234.4</v>
      </c>
      <c r="K2153" s="1">
        <v>127</v>
      </c>
      <c r="L2153" s="1">
        <v>112.4813870967742</v>
      </c>
      <c r="M2153" s="1">
        <v>75.496930656759758</v>
      </c>
      <c r="N2153" s="7">
        <v>45947</v>
      </c>
      <c r="O2153" s="1">
        <v>20000</v>
      </c>
      <c r="P2153" s="7">
        <v>46378.111321909717</v>
      </c>
      <c r="T2153" s="1" t="s">
        <v>347</v>
      </c>
      <c r="U2153" s="1" t="s">
        <v>348</v>
      </c>
      <c r="V2153" s="1">
        <v>1</v>
      </c>
      <c r="W2153" s="3">
        <v>19410.240000000002</v>
      </c>
      <c r="X2153" s="3">
        <v>19410.240000000002</v>
      </c>
      <c r="Y2153" s="1" t="str">
        <f>VLOOKUP(A2153,[1]Detalle!$D$2:$CR$484,93,FALSE)</f>
        <v>Unilever - Unilever de Arg. S.A.</v>
      </c>
    </row>
    <row r="2154" spans="1:25" ht="14.25" customHeight="1" x14ac:dyDescent="0.3">
      <c r="A2154" s="1" t="s">
        <v>152</v>
      </c>
      <c r="B2154" s="1" t="s">
        <v>343</v>
      </c>
      <c r="C2154" s="1" t="s">
        <v>343</v>
      </c>
      <c r="D2154" s="1" t="s">
        <v>344</v>
      </c>
      <c r="E2154" s="6">
        <v>45845</v>
      </c>
      <c r="F2154" s="1">
        <v>958885</v>
      </c>
      <c r="G2154" s="1">
        <v>978885</v>
      </c>
      <c r="H2154" s="1">
        <v>14167.3</v>
      </c>
      <c r="I2154" s="1">
        <v>5832.7000000000044</v>
      </c>
      <c r="J2154" s="1">
        <v>973052.3</v>
      </c>
      <c r="K2154" s="1">
        <v>102</v>
      </c>
      <c r="L2154" s="1">
        <v>132.10963696369629</v>
      </c>
      <c r="M2154" s="1">
        <v>41.993562640729053</v>
      </c>
      <c r="N2154" s="7">
        <v>45947</v>
      </c>
      <c r="O2154" s="1">
        <v>20000</v>
      </c>
      <c r="P2154" s="7">
        <v>46291.772382708332</v>
      </c>
      <c r="T2154" s="1" t="s">
        <v>345</v>
      </c>
      <c r="U2154" s="1" t="s">
        <v>346</v>
      </c>
      <c r="V2154" s="1">
        <v>1</v>
      </c>
      <c r="W2154" s="3">
        <v>10535.04</v>
      </c>
      <c r="X2154" s="3">
        <v>10535.04</v>
      </c>
      <c r="Y2154" s="1" t="str">
        <f>VLOOKUP(A2154,[1]Detalle!$D$2:$CR$484,93,FALSE)</f>
        <v>SUC_REA - Sucursal Realicó</v>
      </c>
    </row>
    <row r="2155" spans="1:25" ht="14.25" customHeight="1" x14ac:dyDescent="0.3">
      <c r="A2155" s="1" t="s">
        <v>152</v>
      </c>
      <c r="B2155" s="1" t="s">
        <v>343</v>
      </c>
      <c r="C2155" s="1" t="s">
        <v>343</v>
      </c>
      <c r="D2155" s="1" t="s">
        <v>344</v>
      </c>
      <c r="E2155" s="6">
        <v>45845</v>
      </c>
      <c r="F2155" s="1">
        <v>958885</v>
      </c>
      <c r="G2155" s="1">
        <v>978885</v>
      </c>
      <c r="H2155" s="1">
        <v>14167.3</v>
      </c>
      <c r="I2155" s="1">
        <v>5832.7000000000044</v>
      </c>
      <c r="J2155" s="1">
        <v>973052.3</v>
      </c>
      <c r="K2155" s="1">
        <v>102</v>
      </c>
      <c r="L2155" s="1">
        <v>132.10963696369629</v>
      </c>
      <c r="M2155" s="1">
        <v>41.993562640729053</v>
      </c>
      <c r="N2155" s="7">
        <v>45947</v>
      </c>
      <c r="O2155" s="1">
        <v>20000</v>
      </c>
      <c r="P2155" s="7">
        <v>46291.772382708332</v>
      </c>
      <c r="T2155" s="1" t="s">
        <v>347</v>
      </c>
      <c r="U2155" s="1" t="s">
        <v>348</v>
      </c>
      <c r="V2155" s="1">
        <v>1</v>
      </c>
      <c r="W2155" s="3">
        <v>19410.240000000002</v>
      </c>
      <c r="X2155" s="3">
        <v>19410.240000000002</v>
      </c>
      <c r="Y2155" s="1" t="str">
        <f>VLOOKUP(A2155,[1]Detalle!$D$2:$CR$484,93,FALSE)</f>
        <v>SUC_REA - Sucursal Realicó</v>
      </c>
    </row>
    <row r="2156" spans="1:25" ht="14.25" customHeight="1" x14ac:dyDescent="0.3">
      <c r="A2156" s="1" t="s">
        <v>15</v>
      </c>
      <c r="B2156" s="1" t="s">
        <v>343</v>
      </c>
      <c r="C2156" s="1" t="s">
        <v>343</v>
      </c>
      <c r="D2156" s="1" t="s">
        <v>344</v>
      </c>
      <c r="E2156" s="6">
        <v>45848</v>
      </c>
      <c r="F2156" s="1">
        <v>697850</v>
      </c>
      <c r="G2156" s="1">
        <v>717850</v>
      </c>
      <c r="H2156" s="1">
        <v>28772.999999999989</v>
      </c>
      <c r="I2156" s="1">
        <v>-8772.9999999999891</v>
      </c>
      <c r="J2156" s="1">
        <v>726623</v>
      </c>
      <c r="K2156" s="1">
        <v>99</v>
      </c>
      <c r="L2156" s="1">
        <v>365</v>
      </c>
      <c r="M2156" s="1">
        <v>-30.185486393493871</v>
      </c>
      <c r="N2156" s="7">
        <v>45947</v>
      </c>
      <c r="O2156" s="1">
        <v>20000</v>
      </c>
      <c r="P2156" s="7">
        <v>46056.589039351849</v>
      </c>
      <c r="T2156" s="1" t="s">
        <v>345</v>
      </c>
      <c r="U2156" s="1" t="s">
        <v>346</v>
      </c>
      <c r="V2156" s="1">
        <v>1</v>
      </c>
      <c r="W2156" s="3">
        <v>10535.04</v>
      </c>
      <c r="X2156" s="3">
        <v>10535.04</v>
      </c>
      <c r="Y2156" s="1" t="str">
        <f>VLOOKUP(A2156,[1]Detalle!$D$2:$CR$484,93,FALSE)</f>
        <v>CENCOMLD - Cencosud SA - Mendoza</v>
      </c>
    </row>
    <row r="2157" spans="1:25" ht="14.25" customHeight="1" x14ac:dyDescent="0.3">
      <c r="A2157" s="1" t="s">
        <v>15</v>
      </c>
      <c r="B2157" s="1" t="s">
        <v>343</v>
      </c>
      <c r="C2157" s="1" t="s">
        <v>343</v>
      </c>
      <c r="D2157" s="1" t="s">
        <v>344</v>
      </c>
      <c r="E2157" s="6">
        <v>45848</v>
      </c>
      <c r="F2157" s="1">
        <v>697850</v>
      </c>
      <c r="G2157" s="1">
        <v>717850</v>
      </c>
      <c r="H2157" s="1">
        <v>28772.999999999989</v>
      </c>
      <c r="I2157" s="1">
        <v>-8772.9999999999891</v>
      </c>
      <c r="J2157" s="1">
        <v>726623</v>
      </c>
      <c r="K2157" s="1">
        <v>99</v>
      </c>
      <c r="L2157" s="1">
        <v>365</v>
      </c>
      <c r="M2157" s="1">
        <v>-30.185486393493871</v>
      </c>
      <c r="N2157" s="7">
        <v>45947</v>
      </c>
      <c r="O2157" s="1">
        <v>20000</v>
      </c>
      <c r="P2157" s="7">
        <v>46056.589039351849</v>
      </c>
      <c r="T2157" s="1" t="s">
        <v>347</v>
      </c>
      <c r="U2157" s="1" t="s">
        <v>348</v>
      </c>
      <c r="V2157" s="1">
        <v>1</v>
      </c>
      <c r="W2157" s="3">
        <v>19410.240000000002</v>
      </c>
      <c r="X2157" s="3">
        <v>19410.240000000002</v>
      </c>
      <c r="Y2157" s="1" t="str">
        <f>VLOOKUP(A2157,[1]Detalle!$D$2:$CR$484,93,FALSE)</f>
        <v>CENCOMLD - Cencosud SA - Mendoza</v>
      </c>
    </row>
    <row r="2158" spans="1:25" ht="14.25" customHeight="1" x14ac:dyDescent="0.3">
      <c r="A2158" s="1" t="s">
        <v>171</v>
      </c>
      <c r="B2158" s="1" t="s">
        <v>343</v>
      </c>
      <c r="C2158" s="1" t="s">
        <v>343</v>
      </c>
      <c r="D2158" s="1" t="s">
        <v>344</v>
      </c>
      <c r="E2158" s="6">
        <v>45835</v>
      </c>
      <c r="F2158" s="1">
        <v>34917.800000000003</v>
      </c>
      <c r="G2158" s="1">
        <v>54917.8</v>
      </c>
      <c r="H2158" s="1">
        <v>14084.2</v>
      </c>
      <c r="I2158" s="1">
        <v>5915.7999999999975</v>
      </c>
      <c r="J2158" s="1">
        <v>49002.000000000007</v>
      </c>
      <c r="K2158" s="1">
        <v>112</v>
      </c>
      <c r="L2158" s="1">
        <v>130.96596721311471</v>
      </c>
      <c r="M2158" s="1">
        <v>47.04346714758379</v>
      </c>
      <c r="N2158" s="7">
        <v>45947</v>
      </c>
      <c r="O2158" s="1">
        <v>20000</v>
      </c>
      <c r="P2158" s="7">
        <v>46299.466325092602</v>
      </c>
      <c r="T2158" s="1" t="s">
        <v>345</v>
      </c>
      <c r="U2158" s="1" t="s">
        <v>346</v>
      </c>
      <c r="V2158" s="1">
        <v>1</v>
      </c>
      <c r="W2158" s="3">
        <v>10535.04</v>
      </c>
      <c r="X2158" s="3">
        <v>10535.04</v>
      </c>
      <c r="Y2158" s="1" t="str">
        <f>VLOOKUP(A2158,[1]Detalle!$D$2:$CR$484,93,FALSE)</f>
        <v>CENCO_MZ - Cencosud SA - Mendoza</v>
      </c>
    </row>
    <row r="2159" spans="1:25" ht="14.25" customHeight="1" x14ac:dyDescent="0.3">
      <c r="A2159" s="1" t="s">
        <v>171</v>
      </c>
      <c r="B2159" s="1" t="s">
        <v>343</v>
      </c>
      <c r="C2159" s="1" t="s">
        <v>343</v>
      </c>
      <c r="D2159" s="1" t="s">
        <v>344</v>
      </c>
      <c r="E2159" s="6">
        <v>45835</v>
      </c>
      <c r="F2159" s="1">
        <v>34917.800000000003</v>
      </c>
      <c r="G2159" s="1">
        <v>54917.8</v>
      </c>
      <c r="H2159" s="1">
        <v>14084.2</v>
      </c>
      <c r="I2159" s="1">
        <v>5915.7999999999975</v>
      </c>
      <c r="J2159" s="1">
        <v>49002.000000000007</v>
      </c>
      <c r="K2159" s="1">
        <v>112</v>
      </c>
      <c r="L2159" s="1">
        <v>130.96596721311471</v>
      </c>
      <c r="M2159" s="1">
        <v>47.04346714758379</v>
      </c>
      <c r="N2159" s="7">
        <v>45947</v>
      </c>
      <c r="O2159" s="1">
        <v>20000</v>
      </c>
      <c r="P2159" s="7">
        <v>46299.466325092602</v>
      </c>
      <c r="T2159" s="1" t="s">
        <v>347</v>
      </c>
      <c r="U2159" s="1" t="s">
        <v>348</v>
      </c>
      <c r="V2159" s="1">
        <v>1</v>
      </c>
      <c r="W2159" s="3">
        <v>19410.240000000002</v>
      </c>
      <c r="X2159" s="3">
        <v>19410.240000000002</v>
      </c>
      <c r="Y2159" s="1" t="str">
        <f>VLOOKUP(A2159,[1]Detalle!$D$2:$CR$484,93,FALSE)</f>
        <v>CENCO_MZ - Cencosud SA - Mendoza</v>
      </c>
    </row>
    <row r="2160" spans="1:25" ht="14.25" customHeight="1" x14ac:dyDescent="0.3">
      <c r="A2160" s="1" t="s">
        <v>209</v>
      </c>
      <c r="B2160" s="1" t="s">
        <v>343</v>
      </c>
      <c r="C2160" s="1" t="s">
        <v>343</v>
      </c>
      <c r="D2160" s="1" t="s">
        <v>344</v>
      </c>
      <c r="E2160" s="6">
        <v>45525</v>
      </c>
      <c r="F2160" s="1">
        <v>880145</v>
      </c>
      <c r="G2160" s="1">
        <v>900145</v>
      </c>
      <c r="H2160" s="1">
        <v>79750.570000000065</v>
      </c>
      <c r="I2160" s="1">
        <v>-59750.570000000072</v>
      </c>
      <c r="J2160" s="1">
        <v>959895.57000000007</v>
      </c>
      <c r="K2160" s="1">
        <v>422</v>
      </c>
      <c r="L2160" s="1">
        <v>249.7515064102565</v>
      </c>
      <c r="M2160" s="1">
        <v>-316.17003539912008</v>
      </c>
      <c r="N2160" s="7">
        <v>45947</v>
      </c>
      <c r="O2160" s="1">
        <v>20000</v>
      </c>
      <c r="P2160" s="7">
        <v>46107.159194131942</v>
      </c>
      <c r="T2160" s="1" t="s">
        <v>345</v>
      </c>
      <c r="U2160" s="1" t="s">
        <v>346</v>
      </c>
      <c r="V2160" s="1">
        <v>1</v>
      </c>
      <c r="W2160" s="3">
        <v>10535.04</v>
      </c>
      <c r="X2160" s="3">
        <v>10535.04</v>
      </c>
      <c r="Y2160" s="1" t="str">
        <f>VLOOKUP(A2160,[1]Detalle!$D$2:$CR$484,93,FALSE)</f>
        <v>CENCO_MZ - Cencosud SA - Mendoza</v>
      </c>
    </row>
    <row r="2161" spans="1:25" ht="14.25" customHeight="1" x14ac:dyDescent="0.3">
      <c r="A2161" s="1" t="s">
        <v>209</v>
      </c>
      <c r="B2161" s="1" t="s">
        <v>343</v>
      </c>
      <c r="C2161" s="1" t="s">
        <v>343</v>
      </c>
      <c r="D2161" s="1" t="s">
        <v>344</v>
      </c>
      <c r="E2161" s="6">
        <v>45525</v>
      </c>
      <c r="F2161" s="1">
        <v>880145</v>
      </c>
      <c r="G2161" s="1">
        <v>900145</v>
      </c>
      <c r="H2161" s="1">
        <v>79750.570000000065</v>
      </c>
      <c r="I2161" s="1">
        <v>-59750.570000000072</v>
      </c>
      <c r="J2161" s="1">
        <v>959895.57000000007</v>
      </c>
      <c r="K2161" s="1">
        <v>422</v>
      </c>
      <c r="L2161" s="1">
        <v>249.7515064102565</v>
      </c>
      <c r="M2161" s="1">
        <v>-316.17003539912008</v>
      </c>
      <c r="N2161" s="7">
        <v>45947</v>
      </c>
      <c r="O2161" s="1">
        <v>20000</v>
      </c>
      <c r="P2161" s="7">
        <v>46107.159194131942</v>
      </c>
      <c r="T2161" s="1" t="s">
        <v>347</v>
      </c>
      <c r="U2161" s="1" t="s">
        <v>348</v>
      </c>
      <c r="V2161" s="1">
        <v>1</v>
      </c>
      <c r="W2161" s="3">
        <v>19410.240000000002</v>
      </c>
      <c r="X2161" s="3">
        <v>19410.240000000002</v>
      </c>
      <c r="Y2161" s="1" t="str">
        <f>VLOOKUP(A2161,[1]Detalle!$D$2:$CR$484,93,FALSE)</f>
        <v>CENCO_MZ - Cencosud SA - Mendoza</v>
      </c>
    </row>
    <row r="2162" spans="1:25" ht="14.25" customHeight="1" x14ac:dyDescent="0.3">
      <c r="A2162" s="1" t="s">
        <v>273</v>
      </c>
      <c r="B2162" s="1" t="s">
        <v>343</v>
      </c>
      <c r="C2162" s="1" t="s">
        <v>343</v>
      </c>
      <c r="D2162" s="1" t="s">
        <v>344</v>
      </c>
      <c r="E2162" s="1" t="s">
        <v>337</v>
      </c>
      <c r="L2162" s="1">
        <v>169.51837638376381</v>
      </c>
      <c r="N2162" s="7">
        <v>45947</v>
      </c>
      <c r="O2162" s="1">
        <v>20000</v>
      </c>
      <c r="P2162" s="7">
        <v>46182.962618645834</v>
      </c>
      <c r="T2162" s="1" t="s">
        <v>345</v>
      </c>
      <c r="U2162" s="1" t="s">
        <v>346</v>
      </c>
      <c r="V2162" s="1">
        <v>1</v>
      </c>
      <c r="W2162" s="3">
        <v>10535.04</v>
      </c>
      <c r="X2162" s="3">
        <v>10535.04</v>
      </c>
      <c r="Y2162" s="1" t="str">
        <f>VLOOKUP(A2162,[1]Detalle!$D$2:$CR$484,93,FALSE)</f>
        <v>CENCO_MZ - Cencosud SA - Mendoza</v>
      </c>
    </row>
    <row r="2163" spans="1:25" ht="14.25" customHeight="1" x14ac:dyDescent="0.3">
      <c r="A2163" s="1" t="s">
        <v>273</v>
      </c>
      <c r="B2163" s="1" t="s">
        <v>343</v>
      </c>
      <c r="C2163" s="1" t="s">
        <v>343</v>
      </c>
      <c r="D2163" s="1" t="s">
        <v>344</v>
      </c>
      <c r="E2163" s="1" t="s">
        <v>337</v>
      </c>
      <c r="L2163" s="1">
        <v>169.51837638376381</v>
      </c>
      <c r="N2163" s="7">
        <v>45947</v>
      </c>
      <c r="O2163" s="1">
        <v>20000</v>
      </c>
      <c r="P2163" s="7">
        <v>46182.962618645834</v>
      </c>
      <c r="T2163" s="1" t="s">
        <v>347</v>
      </c>
      <c r="U2163" s="1" t="s">
        <v>348</v>
      </c>
      <c r="V2163" s="1">
        <v>1</v>
      </c>
      <c r="W2163" s="3">
        <v>19410.240000000002</v>
      </c>
      <c r="X2163" s="3">
        <v>19410.240000000002</v>
      </c>
      <c r="Y2163" s="1" t="str">
        <f>VLOOKUP(A2163,[1]Detalle!$D$2:$CR$484,93,FALSE)</f>
        <v>CENCO_MZ - Cencosud SA - Mendoza</v>
      </c>
    </row>
    <row r="2164" spans="1:25" ht="14.25" customHeight="1" x14ac:dyDescent="0.3">
      <c r="A2164" s="1" t="s">
        <v>37</v>
      </c>
      <c r="B2164" s="1" t="s">
        <v>355</v>
      </c>
      <c r="C2164" s="1" t="s">
        <v>355</v>
      </c>
      <c r="D2164" s="1" t="s">
        <v>329</v>
      </c>
      <c r="E2164" s="6">
        <v>45859</v>
      </c>
      <c r="F2164" s="1">
        <v>24642.400000000001</v>
      </c>
      <c r="G2164" s="1">
        <v>34642.400000000001</v>
      </c>
      <c r="H2164" s="1">
        <v>5862.9999999999991</v>
      </c>
      <c r="I2164" s="1">
        <v>4137.0000000000009</v>
      </c>
      <c r="J2164" s="1">
        <v>30505.4</v>
      </c>
      <c r="K2164" s="1">
        <v>88</v>
      </c>
      <c r="L2164" s="1">
        <v>74.610410447761154</v>
      </c>
      <c r="M2164" s="1">
        <v>62.093808630394022</v>
      </c>
      <c r="N2164" s="7">
        <v>45947</v>
      </c>
      <c r="O2164" s="1">
        <v>10000</v>
      </c>
      <c r="P2164" s="7">
        <v>46277.152915659717</v>
      </c>
      <c r="T2164" s="1" t="s">
        <v>363</v>
      </c>
      <c r="U2164" s="1" t="s">
        <v>364</v>
      </c>
      <c r="V2164" s="1">
        <v>1</v>
      </c>
      <c r="W2164" s="3">
        <v>12001.14</v>
      </c>
      <c r="X2164" s="3">
        <v>12001.14</v>
      </c>
      <c r="Y2164" s="1" t="str">
        <f>VLOOKUP(A2164,[1]Detalle!$D$2:$CR$484,93,FALSE)</f>
        <v>SUC_ROS - Sucursal Rosario</v>
      </c>
    </row>
    <row r="2165" spans="1:25" ht="14.25" customHeight="1" x14ac:dyDescent="0.3">
      <c r="A2165" s="1" t="s">
        <v>47</v>
      </c>
      <c r="B2165" s="1" t="s">
        <v>355</v>
      </c>
      <c r="C2165" s="1" t="s">
        <v>355</v>
      </c>
      <c r="D2165" s="1" t="s">
        <v>329</v>
      </c>
      <c r="E2165" s="1" t="s">
        <v>337</v>
      </c>
      <c r="L2165" s="1">
        <v>75.146865671641763</v>
      </c>
      <c r="N2165" s="7">
        <v>45947</v>
      </c>
      <c r="O2165" s="1">
        <v>10000</v>
      </c>
      <c r="P2165" s="7">
        <v>46213.145498171303</v>
      </c>
      <c r="T2165" s="1" t="s">
        <v>363</v>
      </c>
      <c r="U2165" s="1" t="s">
        <v>364</v>
      </c>
      <c r="V2165" s="1">
        <v>1</v>
      </c>
      <c r="W2165" s="3">
        <v>12001.14</v>
      </c>
      <c r="X2165" s="3">
        <v>12001.14</v>
      </c>
      <c r="Y2165" s="1" t="str">
        <f>VLOOKUP(A2165,[1]Detalle!$D$2:$CR$484,93,FALSE)</f>
        <v>SUC_MEN - Sucursal Mendoza</v>
      </c>
    </row>
    <row r="2166" spans="1:25" ht="14.25" customHeight="1" x14ac:dyDescent="0.3">
      <c r="A2166" s="1" t="s">
        <v>49</v>
      </c>
      <c r="B2166" s="1" t="s">
        <v>355</v>
      </c>
      <c r="C2166" s="1" t="s">
        <v>355</v>
      </c>
      <c r="D2166" s="1" t="s">
        <v>329</v>
      </c>
      <c r="E2166" s="6">
        <v>45845</v>
      </c>
      <c r="F2166" s="1">
        <v>81918.100000000006</v>
      </c>
      <c r="G2166" s="1">
        <v>91918.1</v>
      </c>
      <c r="H2166" s="1">
        <v>7752.4</v>
      </c>
      <c r="I2166" s="1">
        <v>2247.6</v>
      </c>
      <c r="J2166" s="1">
        <v>89670.5</v>
      </c>
      <c r="K2166" s="1">
        <v>102</v>
      </c>
      <c r="L2166" s="1">
        <v>82.189312977099249</v>
      </c>
      <c r="M2166" s="1">
        <v>29.572158299365359</v>
      </c>
      <c r="N2166" s="7">
        <v>45947</v>
      </c>
      <c r="O2166" s="1">
        <v>10000</v>
      </c>
      <c r="P2166" s="7">
        <v>46219.912798043981</v>
      </c>
      <c r="T2166" s="1" t="s">
        <v>363</v>
      </c>
      <c r="U2166" s="1" t="s">
        <v>364</v>
      </c>
      <c r="V2166" s="1">
        <v>1</v>
      </c>
      <c r="W2166" s="3">
        <v>12001.14</v>
      </c>
      <c r="X2166" s="3">
        <v>12001.14</v>
      </c>
      <c r="Y2166" s="1" t="str">
        <f>VLOOKUP(A2166,[1]Detalle!$D$2:$CR$484,93,FALSE)</f>
        <v>SUC_CTC - Sucursal Buenos Aires</v>
      </c>
    </row>
    <row r="2167" spans="1:25" ht="14.25" customHeight="1" x14ac:dyDescent="0.3">
      <c r="A2167" s="1" t="s">
        <v>37</v>
      </c>
      <c r="B2167" s="1" t="s">
        <v>358</v>
      </c>
      <c r="C2167" s="1" t="s">
        <v>358</v>
      </c>
      <c r="D2167" s="1" t="s">
        <v>359</v>
      </c>
      <c r="E2167" s="6">
        <v>45859</v>
      </c>
      <c r="F2167" s="1">
        <v>24642.400000000001</v>
      </c>
      <c r="G2167" s="1">
        <v>34642.400000000001</v>
      </c>
      <c r="H2167" s="1">
        <v>5862.9999999999991</v>
      </c>
      <c r="I2167" s="1">
        <v>4137.0000000000009</v>
      </c>
      <c r="J2167" s="1">
        <v>30505.4</v>
      </c>
      <c r="K2167" s="1">
        <v>88</v>
      </c>
      <c r="L2167" s="1">
        <v>74.610410447761154</v>
      </c>
      <c r="M2167" s="1">
        <v>62.093808630394022</v>
      </c>
      <c r="N2167" s="7">
        <v>45947</v>
      </c>
      <c r="O2167" s="1">
        <v>10000</v>
      </c>
      <c r="P2167" s="7">
        <v>46277.152915659717</v>
      </c>
      <c r="T2167" s="1" t="s">
        <v>376</v>
      </c>
      <c r="U2167" s="1" t="s">
        <v>377</v>
      </c>
      <c r="V2167" s="1">
        <v>1</v>
      </c>
      <c r="W2167" s="3">
        <v>77979.94</v>
      </c>
      <c r="X2167" s="3">
        <v>77979.94</v>
      </c>
      <c r="Y2167" s="1" t="str">
        <f>VLOOKUP(A2167,[1]Detalle!$D$2:$CR$484,93,FALSE)</f>
        <v>SUC_ROS - Sucursal Rosario</v>
      </c>
    </row>
    <row r="2168" spans="1:25" ht="14.25" customHeight="1" x14ac:dyDescent="0.3">
      <c r="A2168" s="1" t="s">
        <v>39</v>
      </c>
      <c r="B2168" s="1" t="s">
        <v>355</v>
      </c>
      <c r="C2168" s="1" t="s">
        <v>355</v>
      </c>
      <c r="D2168" s="1" t="s">
        <v>329</v>
      </c>
      <c r="E2168" s="6">
        <v>45832</v>
      </c>
      <c r="F2168" s="1">
        <v>137406</v>
      </c>
      <c r="G2168" s="1">
        <v>147406</v>
      </c>
      <c r="H2168" s="1">
        <v>8671.7000000000007</v>
      </c>
      <c r="I2168" s="1">
        <v>1328.299999999999</v>
      </c>
      <c r="J2168" s="1">
        <v>146077.70000000001</v>
      </c>
      <c r="K2168" s="1">
        <v>115</v>
      </c>
      <c r="L2168" s="1">
        <v>93.793905109489017</v>
      </c>
      <c r="M2168" s="1">
        <v>17.615288813035491</v>
      </c>
      <c r="N2168" s="7">
        <v>45947</v>
      </c>
      <c r="O2168" s="1">
        <v>10000</v>
      </c>
      <c r="P2168" s="7">
        <v>46177.848760393521</v>
      </c>
      <c r="T2168" s="1" t="s">
        <v>363</v>
      </c>
      <c r="U2168" s="1" t="s">
        <v>364</v>
      </c>
      <c r="V2168" s="1">
        <v>1</v>
      </c>
      <c r="W2168" s="3">
        <v>12001.14</v>
      </c>
      <c r="X2168" s="3">
        <v>12001.14</v>
      </c>
      <c r="Y2168" s="1" t="str">
        <f>VLOOKUP(A2168,[1]Detalle!$D$2:$CR$484,93,FALSE)</f>
        <v>SUC_MEN - Sucursal Mendoza</v>
      </c>
    </row>
    <row r="2169" spans="1:25" ht="14.25" customHeight="1" x14ac:dyDescent="0.3">
      <c r="A2169" s="1" t="s">
        <v>47</v>
      </c>
      <c r="B2169" s="1" t="s">
        <v>358</v>
      </c>
      <c r="C2169" s="1" t="s">
        <v>358</v>
      </c>
      <c r="D2169" s="1" t="s">
        <v>359</v>
      </c>
      <c r="E2169" s="1" t="s">
        <v>337</v>
      </c>
      <c r="L2169" s="1">
        <v>75.146865671641763</v>
      </c>
      <c r="N2169" s="7">
        <v>45947</v>
      </c>
      <c r="O2169" s="1">
        <v>10000</v>
      </c>
      <c r="P2169" s="7">
        <v>46213.145498171303</v>
      </c>
      <c r="T2169" s="1" t="s">
        <v>376</v>
      </c>
      <c r="U2169" s="1" t="s">
        <v>377</v>
      </c>
      <c r="V2169" s="1">
        <v>1</v>
      </c>
      <c r="W2169" s="3">
        <v>77979.94</v>
      </c>
      <c r="X2169" s="3">
        <v>77979.94</v>
      </c>
      <c r="Y2169" s="1" t="str">
        <f>VLOOKUP(A2169,[1]Detalle!$D$2:$CR$484,93,FALSE)</f>
        <v>SUC_MEN - Sucursal Mendoza</v>
      </c>
    </row>
    <row r="2170" spans="1:25" ht="14.25" customHeight="1" x14ac:dyDescent="0.3">
      <c r="A2170" s="1" t="s">
        <v>49</v>
      </c>
      <c r="B2170" s="1" t="s">
        <v>358</v>
      </c>
      <c r="C2170" s="1" t="s">
        <v>358</v>
      </c>
      <c r="D2170" s="1" t="s">
        <v>359</v>
      </c>
      <c r="E2170" s="6">
        <v>45845</v>
      </c>
      <c r="F2170" s="1">
        <v>81918.100000000006</v>
      </c>
      <c r="G2170" s="1">
        <v>91918.1</v>
      </c>
      <c r="H2170" s="1">
        <v>7752.4</v>
      </c>
      <c r="I2170" s="1">
        <v>2247.6</v>
      </c>
      <c r="J2170" s="1">
        <v>89670.5</v>
      </c>
      <c r="K2170" s="1">
        <v>102</v>
      </c>
      <c r="L2170" s="1">
        <v>82.189312977099249</v>
      </c>
      <c r="M2170" s="1">
        <v>29.572158299365359</v>
      </c>
      <c r="N2170" s="7">
        <v>45947</v>
      </c>
      <c r="O2170" s="1">
        <v>10000</v>
      </c>
      <c r="P2170" s="7">
        <v>46219.912798043981</v>
      </c>
      <c r="T2170" s="1" t="s">
        <v>376</v>
      </c>
      <c r="U2170" s="1" t="s">
        <v>377</v>
      </c>
      <c r="V2170" s="1">
        <v>1</v>
      </c>
      <c r="W2170" s="3">
        <v>77979.94</v>
      </c>
      <c r="X2170" s="3">
        <v>77979.94</v>
      </c>
      <c r="Y2170" s="1" t="str">
        <f>VLOOKUP(A2170,[1]Detalle!$D$2:$CR$484,93,FALSE)</f>
        <v>SUC_CTC - Sucursal Buenos Aires</v>
      </c>
    </row>
    <row r="2171" spans="1:25" ht="14.25" customHeight="1" x14ac:dyDescent="0.3">
      <c r="A2171" s="1" t="s">
        <v>39</v>
      </c>
      <c r="B2171" s="1" t="s">
        <v>358</v>
      </c>
      <c r="C2171" s="1" t="s">
        <v>358</v>
      </c>
      <c r="D2171" s="1" t="s">
        <v>359</v>
      </c>
      <c r="E2171" s="6">
        <v>45832</v>
      </c>
      <c r="F2171" s="1">
        <v>137406</v>
      </c>
      <c r="G2171" s="1">
        <v>147406</v>
      </c>
      <c r="H2171" s="1">
        <v>8671.7000000000007</v>
      </c>
      <c r="I2171" s="1">
        <v>1328.299999999999</v>
      </c>
      <c r="J2171" s="1">
        <v>146077.70000000001</v>
      </c>
      <c r="K2171" s="1">
        <v>115</v>
      </c>
      <c r="L2171" s="1">
        <v>93.793905109489017</v>
      </c>
      <c r="M2171" s="1">
        <v>17.615288813035491</v>
      </c>
      <c r="N2171" s="7">
        <v>45947</v>
      </c>
      <c r="O2171" s="1">
        <v>10000</v>
      </c>
      <c r="P2171" s="7">
        <v>46177.848760393521</v>
      </c>
      <c r="T2171" s="1" t="s">
        <v>376</v>
      </c>
      <c r="U2171" s="1" t="s">
        <v>377</v>
      </c>
      <c r="V2171" s="1">
        <v>1</v>
      </c>
      <c r="W2171" s="3">
        <v>77979.94</v>
      </c>
      <c r="X2171" s="3">
        <v>77979.94</v>
      </c>
      <c r="Y2171" s="1" t="str">
        <f>VLOOKUP(A2171,[1]Detalle!$D$2:$CR$484,93,FALSE)</f>
        <v>SUC_MEN - Sucursal Mendoza</v>
      </c>
    </row>
    <row r="2172" spans="1:25" ht="14.25" customHeight="1" x14ac:dyDescent="0.3">
      <c r="A2172" s="1" t="s">
        <v>39</v>
      </c>
      <c r="B2172" s="1" t="s">
        <v>371</v>
      </c>
      <c r="C2172" s="1" t="s">
        <v>371</v>
      </c>
      <c r="D2172" s="1" t="s">
        <v>372</v>
      </c>
      <c r="E2172" s="6">
        <v>45733</v>
      </c>
      <c r="F2172" s="1">
        <v>129724</v>
      </c>
      <c r="G2172" s="1">
        <v>139724</v>
      </c>
      <c r="H2172" s="1">
        <v>18618.900000000001</v>
      </c>
      <c r="I2172" s="1">
        <v>-8618.9000000000015</v>
      </c>
      <c r="J2172" s="1">
        <v>148342.9</v>
      </c>
      <c r="K2172" s="1">
        <v>214</v>
      </c>
      <c r="L2172" s="1">
        <v>93.793905109489017</v>
      </c>
      <c r="M2172" s="1">
        <v>-99.063027353925307</v>
      </c>
      <c r="N2172" s="7">
        <v>45947</v>
      </c>
      <c r="O2172" s="1">
        <v>10000</v>
      </c>
      <c r="P2172" s="7">
        <v>46160.233471585649</v>
      </c>
      <c r="T2172" s="1" t="s">
        <v>380</v>
      </c>
      <c r="U2172" s="1" t="s">
        <v>381</v>
      </c>
      <c r="V2172" s="1">
        <v>1</v>
      </c>
      <c r="W2172" s="3">
        <v>18045.55</v>
      </c>
      <c r="X2172" s="3">
        <v>18045.55</v>
      </c>
      <c r="Y2172" s="1" t="str">
        <f>VLOOKUP(A2172,[1]Detalle!$D$2:$CR$484,93,FALSE)</f>
        <v>SUC_MEN - Sucursal Mendoza</v>
      </c>
    </row>
    <row r="2173" spans="1:25" ht="14.25" customHeight="1" x14ac:dyDescent="0.3">
      <c r="A2173" s="1" t="s">
        <v>57</v>
      </c>
      <c r="B2173" s="1" t="s">
        <v>358</v>
      </c>
      <c r="C2173" s="1" t="s">
        <v>358</v>
      </c>
      <c r="D2173" s="1" t="s">
        <v>359</v>
      </c>
      <c r="E2173" s="6">
        <v>45664</v>
      </c>
      <c r="F2173" s="1">
        <v>15788</v>
      </c>
      <c r="G2173" s="1">
        <v>25788</v>
      </c>
      <c r="H2173" s="1">
        <v>17010.12</v>
      </c>
      <c r="I2173" s="1">
        <v>-7010.1199999999953</v>
      </c>
      <c r="J2173" s="1">
        <v>32798.120000000003</v>
      </c>
      <c r="K2173" s="1">
        <v>283</v>
      </c>
      <c r="L2173" s="1">
        <v>63.689854014598552</v>
      </c>
      <c r="M2173" s="1">
        <v>-116.6284517687118</v>
      </c>
      <c r="N2173" s="7">
        <v>45947</v>
      </c>
      <c r="O2173" s="1">
        <v>10000</v>
      </c>
      <c r="P2173" s="7">
        <v>46261.021759189818</v>
      </c>
      <c r="T2173" s="1" t="s">
        <v>360</v>
      </c>
      <c r="U2173" s="1" t="s">
        <v>361</v>
      </c>
      <c r="V2173" s="1">
        <v>1</v>
      </c>
      <c r="W2173" s="3">
        <v>20353.939999999999</v>
      </c>
      <c r="X2173" s="3">
        <v>20353.939999999999</v>
      </c>
      <c r="Y2173" s="1" t="str">
        <f>VLOOKUP(A2173,[1]Detalle!$D$2:$CR$484,93,FALSE)</f>
        <v>LlaveLay</v>
      </c>
    </row>
    <row r="2174" spans="1:25" ht="14.25" customHeight="1" x14ac:dyDescent="0.3">
      <c r="A2174" s="1" t="s">
        <v>37</v>
      </c>
      <c r="B2174" s="1" t="s">
        <v>371</v>
      </c>
      <c r="C2174" s="1" t="s">
        <v>371</v>
      </c>
      <c r="D2174" s="1" t="s">
        <v>372</v>
      </c>
      <c r="E2174" s="1" t="s">
        <v>337</v>
      </c>
      <c r="F2174" s="1">
        <v>24642.400000000001</v>
      </c>
      <c r="G2174" s="1">
        <v>34642.400000000001</v>
      </c>
      <c r="H2174" s="1">
        <v>5862.9999999999991</v>
      </c>
      <c r="I2174" s="1">
        <v>4137.0000000000009</v>
      </c>
      <c r="J2174" s="1">
        <v>30505.4</v>
      </c>
      <c r="K2174" s="1">
        <v>72</v>
      </c>
      <c r="L2174" s="1">
        <v>74.610410447761154</v>
      </c>
      <c r="M2174" s="1">
        <v>50.804025243049651</v>
      </c>
      <c r="N2174" s="7">
        <v>45947</v>
      </c>
      <c r="O2174" s="1">
        <v>10000</v>
      </c>
      <c r="P2174" s="7">
        <v>46265.863132280087</v>
      </c>
      <c r="T2174" s="1" t="s">
        <v>380</v>
      </c>
      <c r="U2174" s="1" t="s">
        <v>381</v>
      </c>
      <c r="V2174" s="1">
        <v>1</v>
      </c>
      <c r="W2174" s="3">
        <v>18045.55</v>
      </c>
      <c r="X2174" s="3">
        <v>18045.55</v>
      </c>
      <c r="Y2174" s="1" t="str">
        <f>VLOOKUP(A2174,[1]Detalle!$D$2:$CR$484,93,FALSE)</f>
        <v>SUC_ROS - Sucursal Rosario</v>
      </c>
    </row>
    <row r="2175" spans="1:25" ht="14.25" customHeight="1" x14ac:dyDescent="0.3">
      <c r="A2175" s="1" t="s">
        <v>47</v>
      </c>
      <c r="B2175" s="1" t="s">
        <v>371</v>
      </c>
      <c r="C2175" s="1" t="s">
        <v>371</v>
      </c>
      <c r="D2175" s="1" t="s">
        <v>372</v>
      </c>
      <c r="E2175" s="1" t="s">
        <v>337</v>
      </c>
      <c r="L2175" s="1">
        <v>75.146865671641763</v>
      </c>
      <c r="N2175" s="7">
        <v>45947</v>
      </c>
      <c r="O2175" s="1">
        <v>10000</v>
      </c>
      <c r="P2175" s="7">
        <v>46213.145498171303</v>
      </c>
      <c r="T2175" s="1" t="s">
        <v>380</v>
      </c>
      <c r="U2175" s="1" t="s">
        <v>381</v>
      </c>
      <c r="V2175" s="1">
        <v>1</v>
      </c>
      <c r="W2175" s="3">
        <v>18045.55</v>
      </c>
      <c r="X2175" s="3">
        <v>18045.55</v>
      </c>
      <c r="Y2175" s="1" t="str">
        <f>VLOOKUP(A2175,[1]Detalle!$D$2:$CR$484,93,FALSE)</f>
        <v>SUC_MEN - Sucursal Mendoza</v>
      </c>
    </row>
    <row r="2176" spans="1:25" ht="14.25" customHeight="1" x14ac:dyDescent="0.3">
      <c r="A2176" s="1" t="s">
        <v>49</v>
      </c>
      <c r="B2176" s="1" t="s">
        <v>371</v>
      </c>
      <c r="C2176" s="1" t="s">
        <v>371</v>
      </c>
      <c r="D2176" s="1" t="s">
        <v>372</v>
      </c>
      <c r="E2176" s="6">
        <v>45845</v>
      </c>
      <c r="F2176" s="1">
        <v>81918.100000000006</v>
      </c>
      <c r="G2176" s="1">
        <v>91918.1</v>
      </c>
      <c r="H2176" s="1">
        <v>7752.4</v>
      </c>
      <c r="I2176" s="1">
        <v>2247.6</v>
      </c>
      <c r="J2176" s="1">
        <v>89670.5</v>
      </c>
      <c r="K2176" s="1">
        <v>102</v>
      </c>
      <c r="L2176" s="1">
        <v>82.189312977099249</v>
      </c>
      <c r="M2176" s="1">
        <v>29.572158299365359</v>
      </c>
      <c r="N2176" s="7">
        <v>45947</v>
      </c>
      <c r="O2176" s="1">
        <v>10000</v>
      </c>
      <c r="P2176" s="7">
        <v>46219.912798043981</v>
      </c>
      <c r="T2176" s="1" t="s">
        <v>380</v>
      </c>
      <c r="U2176" s="1" t="s">
        <v>381</v>
      </c>
      <c r="V2176" s="1">
        <v>1</v>
      </c>
      <c r="W2176" s="3">
        <v>18045.55</v>
      </c>
      <c r="X2176" s="3">
        <v>18045.55</v>
      </c>
      <c r="Y2176" s="1" t="str">
        <f>VLOOKUP(A2176,[1]Detalle!$D$2:$CR$484,93,FALSE)</f>
        <v>SUC_CTC - Sucursal Buenos Aires</v>
      </c>
    </row>
    <row r="2177" spans="1:25" ht="14.25" customHeight="1" x14ac:dyDescent="0.3">
      <c r="A2177" s="1" t="s">
        <v>161</v>
      </c>
      <c r="B2177" s="1" t="s">
        <v>396</v>
      </c>
      <c r="C2177" s="1" t="s">
        <v>328</v>
      </c>
      <c r="D2177" s="1" t="s">
        <v>329</v>
      </c>
      <c r="E2177" s="6">
        <v>45820</v>
      </c>
      <c r="F2177" s="1">
        <v>657691</v>
      </c>
      <c r="G2177" s="1">
        <v>677691</v>
      </c>
      <c r="H2177" s="1">
        <v>12543.4</v>
      </c>
      <c r="I2177" s="1">
        <v>7456.6000000000022</v>
      </c>
      <c r="J2177" s="1">
        <v>670234.4</v>
      </c>
      <c r="K2177" s="1">
        <v>127</v>
      </c>
      <c r="L2177" s="1">
        <v>112.4813870967742</v>
      </c>
      <c r="M2177" s="1">
        <v>75.496930656759758</v>
      </c>
      <c r="N2177" s="7">
        <v>45947</v>
      </c>
      <c r="O2177" s="1">
        <v>20000</v>
      </c>
      <c r="P2177" s="7">
        <v>46378.111321909717</v>
      </c>
      <c r="T2177" s="1" t="s">
        <v>331</v>
      </c>
      <c r="U2177" s="1" t="s">
        <v>332</v>
      </c>
      <c r="V2177" s="1">
        <v>16</v>
      </c>
      <c r="W2177" s="3">
        <v>3389.9</v>
      </c>
      <c r="X2177" s="3">
        <v>54238.400000000001</v>
      </c>
      <c r="Y2177" s="1" t="str">
        <f>VLOOKUP(A2177,[1]Detalle!$D$2:$CR$484,93,FALSE)</f>
        <v>Unilever - Unilever de Arg. S.A.</v>
      </c>
    </row>
    <row r="2178" spans="1:25" ht="14.25" customHeight="1" x14ac:dyDescent="0.3">
      <c r="A2178" s="1" t="s">
        <v>161</v>
      </c>
      <c r="B2178" s="1" t="s">
        <v>396</v>
      </c>
      <c r="C2178" s="1" t="s">
        <v>328</v>
      </c>
      <c r="D2178" s="1" t="s">
        <v>329</v>
      </c>
      <c r="E2178" s="6">
        <v>45820</v>
      </c>
      <c r="F2178" s="1">
        <v>657691</v>
      </c>
      <c r="G2178" s="1">
        <v>677691</v>
      </c>
      <c r="H2178" s="1">
        <v>12543.4</v>
      </c>
      <c r="I2178" s="1">
        <v>7456.6000000000022</v>
      </c>
      <c r="J2178" s="1">
        <v>670234.4</v>
      </c>
      <c r="K2178" s="1">
        <v>127</v>
      </c>
      <c r="L2178" s="1">
        <v>112.4813870967742</v>
      </c>
      <c r="M2178" s="1">
        <v>75.496930656759758</v>
      </c>
      <c r="N2178" s="7">
        <v>45947</v>
      </c>
      <c r="O2178" s="1">
        <v>20000</v>
      </c>
      <c r="P2178" s="7">
        <v>46378.111321909717</v>
      </c>
      <c r="T2178" s="1" t="s">
        <v>397</v>
      </c>
      <c r="U2178" s="1" t="s">
        <v>398</v>
      </c>
      <c r="V2178" s="1">
        <v>1</v>
      </c>
      <c r="W2178" s="3">
        <v>9737.2800000000007</v>
      </c>
      <c r="X2178" s="3">
        <v>9737.2800000000007</v>
      </c>
      <c r="Y2178" s="1" t="str">
        <f>VLOOKUP(A2178,[1]Detalle!$D$2:$CR$484,93,FALSE)</f>
        <v>Unilever - Unilever de Arg. S.A.</v>
      </c>
    </row>
    <row r="2179" spans="1:25" ht="14.25" customHeight="1" x14ac:dyDescent="0.3">
      <c r="A2179" s="1" t="s">
        <v>149</v>
      </c>
      <c r="B2179" s="1" t="s">
        <v>396</v>
      </c>
      <c r="C2179" s="1" t="s">
        <v>328</v>
      </c>
      <c r="D2179" s="1" t="s">
        <v>329</v>
      </c>
      <c r="E2179" s="6">
        <v>45734</v>
      </c>
      <c r="F2179" s="1">
        <v>662460</v>
      </c>
      <c r="G2179" s="1">
        <v>682460</v>
      </c>
      <c r="H2179" s="1">
        <v>20447.600000000009</v>
      </c>
      <c r="I2179" s="1">
        <v>-447.60000000000582</v>
      </c>
      <c r="J2179" s="1">
        <v>682907.6</v>
      </c>
      <c r="K2179" s="1">
        <v>213</v>
      </c>
      <c r="L2179" s="1">
        <v>113.6646794871796</v>
      </c>
      <c r="M2179" s="1">
        <v>-4.6625912087482746</v>
      </c>
      <c r="N2179" s="7">
        <v>45947</v>
      </c>
      <c r="O2179" s="1">
        <v>20000</v>
      </c>
      <c r="P2179" s="7">
        <v>46298.912310671287</v>
      </c>
      <c r="T2179" s="1" t="s">
        <v>331</v>
      </c>
      <c r="U2179" s="1" t="s">
        <v>332</v>
      </c>
      <c r="V2179" s="1">
        <v>16</v>
      </c>
      <c r="W2179" s="3">
        <v>3389.9</v>
      </c>
      <c r="X2179" s="3">
        <v>54238.400000000001</v>
      </c>
      <c r="Y2179" s="1" t="str">
        <f>VLOOKUP(A2179,[1]Detalle!$D$2:$CR$484,93,FALSE)</f>
        <v>Papelera - Papelera del Plata S.A.</v>
      </c>
    </row>
    <row r="2180" spans="1:25" ht="14.25" customHeight="1" x14ac:dyDescent="0.3">
      <c r="A2180" s="1" t="s">
        <v>149</v>
      </c>
      <c r="B2180" s="1" t="s">
        <v>396</v>
      </c>
      <c r="C2180" s="1" t="s">
        <v>328</v>
      </c>
      <c r="D2180" s="1" t="s">
        <v>329</v>
      </c>
      <c r="E2180" s="6">
        <v>45734</v>
      </c>
      <c r="F2180" s="1">
        <v>662460</v>
      </c>
      <c r="G2180" s="1">
        <v>682460</v>
      </c>
      <c r="H2180" s="1">
        <v>20447.600000000009</v>
      </c>
      <c r="I2180" s="1">
        <v>-447.60000000000582</v>
      </c>
      <c r="J2180" s="1">
        <v>682907.6</v>
      </c>
      <c r="K2180" s="1">
        <v>213</v>
      </c>
      <c r="L2180" s="1">
        <v>113.6646794871796</v>
      </c>
      <c r="M2180" s="1">
        <v>-4.6625912087482746</v>
      </c>
      <c r="N2180" s="7">
        <v>45947</v>
      </c>
      <c r="O2180" s="1">
        <v>20000</v>
      </c>
      <c r="P2180" s="7">
        <v>46298.912310671287</v>
      </c>
      <c r="T2180" s="1" t="s">
        <v>397</v>
      </c>
      <c r="U2180" s="1" t="s">
        <v>398</v>
      </c>
      <c r="V2180" s="1">
        <v>1</v>
      </c>
      <c r="W2180" s="3">
        <v>9737.2800000000007</v>
      </c>
      <c r="X2180" s="3">
        <v>9737.2800000000007</v>
      </c>
      <c r="Y2180" s="1" t="str">
        <f>VLOOKUP(A2180,[1]Detalle!$D$2:$CR$484,93,FALSE)</f>
        <v>Papelera - Papelera del Plata S.A.</v>
      </c>
    </row>
    <row r="2181" spans="1:25" ht="14.25" customHeight="1" x14ac:dyDescent="0.3">
      <c r="A2181" s="1" t="s">
        <v>138</v>
      </c>
      <c r="B2181" s="1" t="s">
        <v>396</v>
      </c>
      <c r="C2181" s="1" t="s">
        <v>328</v>
      </c>
      <c r="D2181" s="1" t="s">
        <v>329</v>
      </c>
      <c r="E2181" s="6">
        <v>45840</v>
      </c>
      <c r="F2181" s="1">
        <v>40688</v>
      </c>
      <c r="G2181" s="1">
        <v>60688</v>
      </c>
      <c r="H2181" s="1">
        <v>18559.899999999991</v>
      </c>
      <c r="I2181" s="1">
        <v>1440.100000000006</v>
      </c>
      <c r="J2181" s="1">
        <v>59247.899999999987</v>
      </c>
      <c r="K2181" s="1">
        <v>107</v>
      </c>
      <c r="L2181" s="1">
        <v>129.25862179487169</v>
      </c>
      <c r="M2181" s="1">
        <v>8.3023453790160868</v>
      </c>
      <c r="N2181" s="7">
        <v>45947</v>
      </c>
      <c r="O2181" s="1">
        <v>20000</v>
      </c>
      <c r="P2181" s="7">
        <v>46264.759458912027</v>
      </c>
      <c r="T2181" s="1" t="s">
        <v>331</v>
      </c>
      <c r="U2181" s="1" t="s">
        <v>332</v>
      </c>
      <c r="V2181" s="1">
        <v>16</v>
      </c>
      <c r="W2181" s="3">
        <v>3389.9</v>
      </c>
      <c r="X2181" s="3">
        <v>54238.400000000001</v>
      </c>
      <c r="Y2181" s="1" t="str">
        <f>VLOOKUP(A2181,[1]Detalle!$D$2:$CR$484,93,FALSE)</f>
        <v>SUC_MEN - Sucursal Mendoza</v>
      </c>
    </row>
    <row r="2182" spans="1:25" ht="14.25" customHeight="1" x14ac:dyDescent="0.3">
      <c r="A2182" s="1" t="s">
        <v>138</v>
      </c>
      <c r="B2182" s="1" t="s">
        <v>396</v>
      </c>
      <c r="C2182" s="1" t="s">
        <v>328</v>
      </c>
      <c r="D2182" s="1" t="s">
        <v>329</v>
      </c>
      <c r="E2182" s="6">
        <v>45840</v>
      </c>
      <c r="F2182" s="1">
        <v>40688</v>
      </c>
      <c r="G2182" s="1">
        <v>60688</v>
      </c>
      <c r="H2182" s="1">
        <v>18559.899999999991</v>
      </c>
      <c r="I2182" s="1">
        <v>1440.100000000006</v>
      </c>
      <c r="J2182" s="1">
        <v>59247.899999999987</v>
      </c>
      <c r="K2182" s="1">
        <v>107</v>
      </c>
      <c r="L2182" s="1">
        <v>129.25862179487169</v>
      </c>
      <c r="M2182" s="1">
        <v>8.3023453790160868</v>
      </c>
      <c r="N2182" s="7">
        <v>45947</v>
      </c>
      <c r="O2182" s="1">
        <v>20000</v>
      </c>
      <c r="P2182" s="7">
        <v>46264.759458912027</v>
      </c>
      <c r="T2182" s="1" t="s">
        <v>397</v>
      </c>
      <c r="U2182" s="1" t="s">
        <v>398</v>
      </c>
      <c r="V2182" s="1">
        <v>1</v>
      </c>
      <c r="W2182" s="3">
        <v>9737.2800000000007</v>
      </c>
      <c r="X2182" s="3">
        <v>9737.2800000000007</v>
      </c>
      <c r="Y2182" s="1" t="str">
        <f>VLOOKUP(A2182,[1]Detalle!$D$2:$CR$484,93,FALSE)</f>
        <v>SUC_MEN - Sucursal Mendoza</v>
      </c>
    </row>
    <row r="2183" spans="1:25" ht="14.25" customHeight="1" x14ac:dyDescent="0.3">
      <c r="A2183" s="1" t="s">
        <v>273</v>
      </c>
      <c r="B2183" s="1" t="s">
        <v>396</v>
      </c>
      <c r="C2183" s="1" t="s">
        <v>328</v>
      </c>
      <c r="D2183" s="1" t="s">
        <v>329</v>
      </c>
      <c r="E2183" s="1" t="s">
        <v>337</v>
      </c>
      <c r="L2183" s="1">
        <v>169.51837638376381</v>
      </c>
      <c r="N2183" s="7">
        <v>45947</v>
      </c>
      <c r="O2183" s="1">
        <v>20000</v>
      </c>
      <c r="P2183" s="7">
        <v>46182.962618645834</v>
      </c>
      <c r="T2183" s="1" t="s">
        <v>331</v>
      </c>
      <c r="U2183" s="1" t="s">
        <v>332</v>
      </c>
      <c r="V2183" s="1">
        <v>16</v>
      </c>
      <c r="W2183" s="3">
        <v>3389.9</v>
      </c>
      <c r="X2183" s="3">
        <v>54238.400000000001</v>
      </c>
      <c r="Y2183" s="1" t="str">
        <f>VLOOKUP(A2183,[1]Detalle!$D$2:$CR$484,93,FALSE)</f>
        <v>CENCO_MZ - Cencosud SA - Mendoza</v>
      </c>
    </row>
    <row r="2184" spans="1:25" ht="14.25" customHeight="1" x14ac:dyDescent="0.3">
      <c r="A2184" s="1" t="s">
        <v>273</v>
      </c>
      <c r="B2184" s="1" t="s">
        <v>396</v>
      </c>
      <c r="C2184" s="1" t="s">
        <v>328</v>
      </c>
      <c r="D2184" s="1" t="s">
        <v>329</v>
      </c>
      <c r="E2184" s="1" t="s">
        <v>337</v>
      </c>
      <c r="L2184" s="1">
        <v>169.51837638376381</v>
      </c>
      <c r="N2184" s="7">
        <v>45947</v>
      </c>
      <c r="O2184" s="1">
        <v>20000</v>
      </c>
      <c r="P2184" s="7">
        <v>46182.962618645834</v>
      </c>
      <c r="T2184" s="1" t="s">
        <v>397</v>
      </c>
      <c r="U2184" s="1" t="s">
        <v>398</v>
      </c>
      <c r="V2184" s="1">
        <v>1</v>
      </c>
      <c r="W2184" s="3">
        <v>9737.2800000000007</v>
      </c>
      <c r="X2184" s="3">
        <v>9737.2800000000007</v>
      </c>
      <c r="Y2184" s="1" t="str">
        <f>VLOOKUP(A2184,[1]Detalle!$D$2:$CR$484,93,FALSE)</f>
        <v>CENCO_MZ - Cencosud SA - Mendoza</v>
      </c>
    </row>
    <row r="2185" spans="1:25" ht="14.25" customHeight="1" x14ac:dyDescent="0.3">
      <c r="A2185" s="1" t="s">
        <v>111</v>
      </c>
      <c r="B2185" s="1" t="s">
        <v>415</v>
      </c>
      <c r="C2185" s="1" t="s">
        <v>415</v>
      </c>
      <c r="D2185" s="1" t="s">
        <v>366</v>
      </c>
      <c r="E2185" s="6">
        <v>45632</v>
      </c>
      <c r="F2185" s="1">
        <v>16040</v>
      </c>
      <c r="G2185" s="1">
        <v>36040</v>
      </c>
      <c r="H2185" s="1">
        <v>34694.100000000013</v>
      </c>
      <c r="I2185" s="1">
        <v>-14694.100000000009</v>
      </c>
      <c r="J2185" s="1">
        <v>50734.100000000013</v>
      </c>
      <c r="K2185" s="1">
        <v>315</v>
      </c>
      <c r="L2185" s="1">
        <v>104.473717948718</v>
      </c>
      <c r="M2185" s="1">
        <v>-133.41292899945529</v>
      </c>
      <c r="N2185" s="7">
        <v>45947</v>
      </c>
      <c r="O2185" s="1">
        <v>20000</v>
      </c>
      <c r="P2185" s="7">
        <v>46329.871412881941</v>
      </c>
      <c r="T2185" s="1" t="s">
        <v>416</v>
      </c>
      <c r="U2185" s="1" t="s">
        <v>417</v>
      </c>
      <c r="V2185" s="1">
        <v>1</v>
      </c>
      <c r="W2185" s="3">
        <v>37165.919999999998</v>
      </c>
      <c r="X2185" s="3">
        <v>37165.919999999998</v>
      </c>
      <c r="Y2185" s="1" t="str">
        <f>VLOOKUP(A2185,[1]Detalle!$D$2:$CR$484,93,FALSE)</f>
        <v>SUC_MEN - Sucursal Mendoza</v>
      </c>
    </row>
    <row r="2186" spans="1:25" ht="14.25" customHeight="1" x14ac:dyDescent="0.3">
      <c r="A2186" s="1" t="s">
        <v>209</v>
      </c>
      <c r="B2186" s="1" t="s">
        <v>415</v>
      </c>
      <c r="C2186" s="1" t="s">
        <v>415</v>
      </c>
      <c r="D2186" s="1" t="s">
        <v>366</v>
      </c>
      <c r="E2186" s="6">
        <v>45525</v>
      </c>
      <c r="F2186" s="1">
        <v>880145</v>
      </c>
      <c r="G2186" s="1">
        <v>900145</v>
      </c>
      <c r="H2186" s="1">
        <v>79750.570000000065</v>
      </c>
      <c r="I2186" s="1">
        <v>-59750.570000000072</v>
      </c>
      <c r="J2186" s="1">
        <v>959895.57000000007</v>
      </c>
      <c r="K2186" s="1">
        <v>422</v>
      </c>
      <c r="L2186" s="1">
        <v>249.7515064102565</v>
      </c>
      <c r="M2186" s="1">
        <v>-316.17003539912008</v>
      </c>
      <c r="N2186" s="7">
        <v>45947</v>
      </c>
      <c r="O2186" s="1">
        <v>20000</v>
      </c>
      <c r="P2186" s="7">
        <v>46107.159194131942</v>
      </c>
      <c r="T2186" s="1" t="s">
        <v>416</v>
      </c>
      <c r="U2186" s="1" t="s">
        <v>417</v>
      </c>
      <c r="V2186" s="1">
        <v>1</v>
      </c>
      <c r="W2186" s="3">
        <v>37165.919999999998</v>
      </c>
      <c r="X2186" s="3">
        <v>37165.919999999998</v>
      </c>
      <c r="Y2186" s="1" t="str">
        <f>VLOOKUP(A2186,[1]Detalle!$D$2:$CR$484,93,FALSE)</f>
        <v>CENCO_MZ - Cencosud SA - Mendoza</v>
      </c>
    </row>
    <row r="2187" spans="1:25" ht="14.25" customHeight="1" x14ac:dyDescent="0.3">
      <c r="A2187" s="1" t="s">
        <v>171</v>
      </c>
      <c r="B2187" s="1" t="s">
        <v>415</v>
      </c>
      <c r="C2187" s="1" t="s">
        <v>415</v>
      </c>
      <c r="D2187" s="1" t="s">
        <v>366</v>
      </c>
      <c r="E2187" s="6">
        <v>45835</v>
      </c>
      <c r="F2187" s="1">
        <v>34917.800000000003</v>
      </c>
      <c r="G2187" s="1">
        <v>54917.8</v>
      </c>
      <c r="H2187" s="1">
        <v>14084.2</v>
      </c>
      <c r="I2187" s="1">
        <v>5915.7999999999975</v>
      </c>
      <c r="J2187" s="1">
        <v>49002.000000000007</v>
      </c>
      <c r="K2187" s="1">
        <v>112</v>
      </c>
      <c r="L2187" s="1">
        <v>130.96596721311471</v>
      </c>
      <c r="M2187" s="1">
        <v>47.04346714758379</v>
      </c>
      <c r="N2187" s="7">
        <v>45947</v>
      </c>
      <c r="O2187" s="1">
        <v>20000</v>
      </c>
      <c r="P2187" s="7">
        <v>46299.466325092602</v>
      </c>
      <c r="T2187" s="1" t="s">
        <v>416</v>
      </c>
      <c r="U2187" s="1" t="s">
        <v>417</v>
      </c>
      <c r="V2187" s="1">
        <v>1</v>
      </c>
      <c r="W2187" s="3">
        <v>37165.919999999998</v>
      </c>
      <c r="X2187" s="3">
        <v>37165.919999999998</v>
      </c>
      <c r="Y2187" s="1" t="str">
        <f>VLOOKUP(A2187,[1]Detalle!$D$2:$CR$484,93,FALSE)</f>
        <v>CENCO_MZ - Cencosud SA - Mendoza</v>
      </c>
    </row>
    <row r="2188" spans="1:25" ht="14.25" customHeight="1" x14ac:dyDescent="0.3">
      <c r="A2188" s="1" t="s">
        <v>170</v>
      </c>
      <c r="B2188" s="1" t="s">
        <v>415</v>
      </c>
      <c r="C2188" s="1" t="s">
        <v>415</v>
      </c>
      <c r="D2188" s="1" t="s">
        <v>366</v>
      </c>
      <c r="E2188" s="6">
        <v>45726</v>
      </c>
      <c r="F2188" s="1">
        <v>41546.1</v>
      </c>
      <c r="G2188" s="1">
        <v>61546.1</v>
      </c>
      <c r="H2188" s="1">
        <v>24274.80000000001</v>
      </c>
      <c r="I2188" s="1">
        <v>-4274.8000000000102</v>
      </c>
      <c r="J2188" s="1">
        <v>65820.900000000009</v>
      </c>
      <c r="K2188" s="1">
        <v>221</v>
      </c>
      <c r="L2188" s="1">
        <v>124.4065073529412</v>
      </c>
      <c r="M2188" s="1">
        <v>-38.918170283586349</v>
      </c>
      <c r="N2188" s="7">
        <v>45947</v>
      </c>
      <c r="O2188" s="1">
        <v>20000</v>
      </c>
      <c r="P2188" s="7">
        <v>46268.526589328707</v>
      </c>
      <c r="T2188" s="1" t="s">
        <v>416</v>
      </c>
      <c r="U2188" s="1" t="s">
        <v>417</v>
      </c>
      <c r="V2188" s="1">
        <v>1</v>
      </c>
      <c r="W2188" s="3">
        <v>37165.919999999998</v>
      </c>
      <c r="X2188" s="3">
        <v>37165.919999999998</v>
      </c>
      <c r="Y2188" s="1" t="str">
        <f>VLOOKUP(A2188,[1]Detalle!$D$2:$CR$484,93,FALSE)</f>
        <v>SUC_REA - Sucursal Realicó</v>
      </c>
    </row>
    <row r="2189" spans="1:25" ht="14.25" customHeight="1" x14ac:dyDescent="0.3">
      <c r="A2189" s="1" t="s">
        <v>152</v>
      </c>
      <c r="B2189" s="1" t="s">
        <v>415</v>
      </c>
      <c r="C2189" s="1" t="s">
        <v>415</v>
      </c>
      <c r="D2189" s="1" t="s">
        <v>366</v>
      </c>
      <c r="E2189" s="6">
        <v>45845</v>
      </c>
      <c r="F2189" s="1">
        <v>958885</v>
      </c>
      <c r="G2189" s="1">
        <v>978885</v>
      </c>
      <c r="H2189" s="1">
        <v>14167.3</v>
      </c>
      <c r="I2189" s="1">
        <v>5832.7000000000044</v>
      </c>
      <c r="J2189" s="1">
        <v>973052.3</v>
      </c>
      <c r="K2189" s="1">
        <v>102</v>
      </c>
      <c r="L2189" s="1">
        <v>132.10963696369629</v>
      </c>
      <c r="M2189" s="1">
        <v>41.993562640729053</v>
      </c>
      <c r="N2189" s="7">
        <v>45947</v>
      </c>
      <c r="O2189" s="1">
        <v>20000</v>
      </c>
      <c r="P2189" s="7">
        <v>46291.772382708332</v>
      </c>
      <c r="T2189" s="1" t="s">
        <v>416</v>
      </c>
      <c r="U2189" s="1" t="s">
        <v>417</v>
      </c>
      <c r="V2189" s="1">
        <v>1</v>
      </c>
      <c r="W2189" s="3">
        <v>37165.919999999998</v>
      </c>
      <c r="X2189" s="3">
        <v>37165.919999999998</v>
      </c>
      <c r="Y2189" s="1" t="str">
        <f>VLOOKUP(A2189,[1]Detalle!$D$2:$CR$484,93,FALSE)</f>
        <v>SUC_REA - Sucursal Realicó</v>
      </c>
    </row>
    <row r="2190" spans="1:25" ht="14.25" customHeight="1" x14ac:dyDescent="0.3">
      <c r="A2190" s="1" t="s">
        <v>123</v>
      </c>
      <c r="B2190" s="1" t="s">
        <v>418</v>
      </c>
      <c r="C2190" s="1" t="s">
        <v>415</v>
      </c>
      <c r="D2190" s="1" t="s">
        <v>366</v>
      </c>
      <c r="E2190" s="1" t="s">
        <v>337</v>
      </c>
      <c r="L2190" s="1">
        <v>96.824519230769212</v>
      </c>
      <c r="N2190" s="7">
        <v>45947</v>
      </c>
      <c r="O2190" s="1">
        <v>20000</v>
      </c>
      <c r="P2190" s="7">
        <v>46360.11849847222</v>
      </c>
      <c r="T2190" s="1" t="s">
        <v>419</v>
      </c>
      <c r="U2190" s="1" t="s">
        <v>420</v>
      </c>
      <c r="V2190" s="1">
        <v>1</v>
      </c>
      <c r="W2190" s="3">
        <v>42474.239999999998</v>
      </c>
      <c r="X2190" s="3">
        <v>42474.239999999998</v>
      </c>
      <c r="Y2190" s="1" t="str">
        <f>VLOOKUP(A2190,[1]Detalle!$D$2:$CR$484,93,FALSE)</f>
        <v>SUC_SRA - Sucursal San Rafael</v>
      </c>
    </row>
    <row r="2191" spans="1:25" ht="14.25" customHeight="1" x14ac:dyDescent="0.3">
      <c r="A2191" s="1" t="s">
        <v>161</v>
      </c>
      <c r="B2191" s="1" t="s">
        <v>418</v>
      </c>
      <c r="C2191" s="1" t="s">
        <v>415</v>
      </c>
      <c r="D2191" s="1" t="s">
        <v>366</v>
      </c>
      <c r="E2191" s="6">
        <v>45820</v>
      </c>
      <c r="F2191" s="1">
        <v>657691</v>
      </c>
      <c r="G2191" s="1">
        <v>677691</v>
      </c>
      <c r="H2191" s="1">
        <v>12543.4</v>
      </c>
      <c r="I2191" s="1">
        <v>7456.6000000000022</v>
      </c>
      <c r="J2191" s="1">
        <v>670234.4</v>
      </c>
      <c r="K2191" s="1">
        <v>127</v>
      </c>
      <c r="L2191" s="1">
        <v>112.4813870967742</v>
      </c>
      <c r="M2191" s="1">
        <v>75.496930656759758</v>
      </c>
      <c r="N2191" s="7">
        <v>45947</v>
      </c>
      <c r="O2191" s="1">
        <v>20000</v>
      </c>
      <c r="P2191" s="7">
        <v>46378.111321909717</v>
      </c>
      <c r="T2191" s="1" t="s">
        <v>419</v>
      </c>
      <c r="U2191" s="1" t="s">
        <v>420</v>
      </c>
      <c r="V2191" s="1">
        <v>1</v>
      </c>
      <c r="W2191" s="3">
        <v>42474.239999999998</v>
      </c>
      <c r="X2191" s="3">
        <v>42474.239999999998</v>
      </c>
      <c r="Y2191" s="1" t="str">
        <f>VLOOKUP(A2191,[1]Detalle!$D$2:$CR$484,93,FALSE)</f>
        <v>Unilever - Unilever de Arg. S.A.</v>
      </c>
    </row>
    <row r="2192" spans="1:25" ht="14.25" customHeight="1" x14ac:dyDescent="0.3">
      <c r="A2192" s="1" t="s">
        <v>149</v>
      </c>
      <c r="B2192" s="1" t="s">
        <v>418</v>
      </c>
      <c r="C2192" s="1" t="s">
        <v>415</v>
      </c>
      <c r="D2192" s="1" t="s">
        <v>366</v>
      </c>
      <c r="E2192" s="1" t="s">
        <v>337</v>
      </c>
      <c r="F2192" s="1">
        <v>662460</v>
      </c>
      <c r="G2192" s="1">
        <v>682460</v>
      </c>
      <c r="H2192" s="1">
        <v>20447.600000000009</v>
      </c>
      <c r="I2192" s="1">
        <v>-447.60000000000582</v>
      </c>
      <c r="J2192" s="1">
        <v>682907.6</v>
      </c>
      <c r="K2192" s="1">
        <v>197</v>
      </c>
      <c r="L2192" s="1">
        <v>113.6646794871796</v>
      </c>
      <c r="M2192" s="1">
        <v>-4.312349615602864</v>
      </c>
      <c r="N2192" s="7">
        <v>45947</v>
      </c>
      <c r="O2192" s="1">
        <v>20000</v>
      </c>
      <c r="P2192" s="7">
        <v>46298.912310671287</v>
      </c>
      <c r="T2192" s="1" t="s">
        <v>419</v>
      </c>
      <c r="U2192" s="1" t="s">
        <v>420</v>
      </c>
      <c r="V2192" s="1">
        <v>1</v>
      </c>
      <c r="W2192" s="3">
        <v>42474.239999999998</v>
      </c>
      <c r="X2192" s="3">
        <v>42474.239999999998</v>
      </c>
      <c r="Y2192" s="1" t="str">
        <f>VLOOKUP(A2192,[1]Detalle!$D$2:$CR$484,93,FALSE)</f>
        <v>Papelera - Papelera del Plata S.A.</v>
      </c>
    </row>
    <row r="2193" spans="1:25" ht="14.25" customHeight="1" x14ac:dyDescent="0.3">
      <c r="A2193" s="1" t="s">
        <v>138</v>
      </c>
      <c r="B2193" s="1" t="s">
        <v>418</v>
      </c>
      <c r="C2193" s="1" t="s">
        <v>415</v>
      </c>
      <c r="D2193" s="1" t="s">
        <v>366</v>
      </c>
      <c r="E2193" s="6">
        <v>45840</v>
      </c>
      <c r="F2193" s="1">
        <v>40688</v>
      </c>
      <c r="G2193" s="1">
        <v>60688</v>
      </c>
      <c r="H2193" s="1">
        <v>18559.899999999991</v>
      </c>
      <c r="I2193" s="1">
        <v>1440.100000000006</v>
      </c>
      <c r="J2193" s="1">
        <v>59247.899999999987</v>
      </c>
      <c r="K2193" s="1">
        <v>107</v>
      </c>
      <c r="L2193" s="1">
        <v>129.25862179487169</v>
      </c>
      <c r="M2193" s="1">
        <v>8.3023453790160868</v>
      </c>
      <c r="N2193" s="7">
        <v>45947</v>
      </c>
      <c r="O2193" s="1">
        <v>20000</v>
      </c>
      <c r="P2193" s="7">
        <v>46264.759458912027</v>
      </c>
      <c r="T2193" s="1" t="s">
        <v>419</v>
      </c>
      <c r="U2193" s="1" t="s">
        <v>420</v>
      </c>
      <c r="V2193" s="1">
        <v>1</v>
      </c>
      <c r="W2193" s="3">
        <v>42474.239999999998</v>
      </c>
      <c r="X2193" s="3">
        <v>42474.239999999998</v>
      </c>
      <c r="Y2193" s="1" t="str">
        <f>VLOOKUP(A2193,[1]Detalle!$D$2:$CR$484,93,FALSE)</f>
        <v>SUC_MEN - Sucursal Mendoza</v>
      </c>
    </row>
    <row r="2194" spans="1:25" ht="14.25" customHeight="1" x14ac:dyDescent="0.3">
      <c r="A2194" s="1" t="s">
        <v>273</v>
      </c>
      <c r="B2194" s="1" t="s">
        <v>421</v>
      </c>
      <c r="C2194" s="1" t="s">
        <v>415</v>
      </c>
      <c r="D2194" s="1" t="s">
        <v>366</v>
      </c>
      <c r="E2194" s="1" t="s">
        <v>337</v>
      </c>
      <c r="L2194" s="1">
        <v>169.51837638376381</v>
      </c>
      <c r="N2194" s="7">
        <v>45947</v>
      </c>
      <c r="O2194" s="1">
        <v>20000</v>
      </c>
      <c r="P2194" s="7">
        <v>46182.962618645834</v>
      </c>
      <c r="T2194" s="1" t="s">
        <v>422</v>
      </c>
      <c r="U2194" s="1" t="s">
        <v>423</v>
      </c>
      <c r="V2194" s="1">
        <v>1</v>
      </c>
      <c r="W2194" s="3">
        <v>49777.919999999998</v>
      </c>
      <c r="X2194" s="3">
        <v>49777.919999999998</v>
      </c>
      <c r="Y2194" s="1" t="str">
        <f>VLOOKUP(A2194,[1]Detalle!$D$2:$CR$484,93,FALSE)</f>
        <v>CENCO_MZ - Cencosud SA - Mendoza</v>
      </c>
    </row>
    <row r="2195" spans="1:25" ht="14.25" customHeight="1" x14ac:dyDescent="0.3">
      <c r="A2195" s="1" t="s">
        <v>96</v>
      </c>
      <c r="B2195" s="1" t="s">
        <v>428</v>
      </c>
      <c r="C2195" s="1" t="s">
        <v>428</v>
      </c>
      <c r="D2195" s="1" t="s">
        <v>329</v>
      </c>
      <c r="E2195" s="6">
        <v>45861</v>
      </c>
      <c r="F2195" s="1">
        <v>163295</v>
      </c>
      <c r="G2195" s="1">
        <v>193295</v>
      </c>
      <c r="H2195" s="1">
        <v>22184.6</v>
      </c>
      <c r="I2195" s="1">
        <v>7815.3999999999978</v>
      </c>
      <c r="J2195" s="1">
        <v>185479.6</v>
      </c>
      <c r="K2195" s="1">
        <v>86</v>
      </c>
      <c r="L2195" s="1">
        <v>281.98244274809178</v>
      </c>
      <c r="M2195" s="1">
        <v>30.296890635846481</v>
      </c>
      <c r="N2195" s="7">
        <v>45947</v>
      </c>
      <c r="O2195" s="1">
        <v>30000</v>
      </c>
      <c r="P2195" s="7">
        <v>46190.076095659722</v>
      </c>
      <c r="T2195" s="1" t="s">
        <v>331</v>
      </c>
      <c r="U2195" s="1" t="s">
        <v>332</v>
      </c>
      <c r="V2195" s="1">
        <v>30</v>
      </c>
      <c r="W2195" s="3">
        <v>3389.9</v>
      </c>
      <c r="X2195" s="3">
        <v>101697</v>
      </c>
      <c r="Y2195" s="1" t="str">
        <f>VLOOKUP(A2195,[1]Detalle!$D$2:$CR$484,93,FALSE)</f>
        <v>CENCOMLD - Cencosud SA - Mendoza</v>
      </c>
    </row>
    <row r="2196" spans="1:25" ht="14.25" customHeight="1" x14ac:dyDescent="0.3">
      <c r="A2196" s="1" t="s">
        <v>96</v>
      </c>
      <c r="B2196" s="1" t="s">
        <v>428</v>
      </c>
      <c r="C2196" s="1" t="s">
        <v>428</v>
      </c>
      <c r="D2196" s="1" t="s">
        <v>329</v>
      </c>
      <c r="E2196" s="6">
        <v>45861</v>
      </c>
      <c r="F2196" s="1">
        <v>163295</v>
      </c>
      <c r="G2196" s="1">
        <v>193295</v>
      </c>
      <c r="H2196" s="1">
        <v>22184.6</v>
      </c>
      <c r="I2196" s="1">
        <v>7815.3999999999978</v>
      </c>
      <c r="J2196" s="1">
        <v>185479.6</v>
      </c>
      <c r="K2196" s="1">
        <v>86</v>
      </c>
      <c r="L2196" s="1">
        <v>281.98244274809178</v>
      </c>
      <c r="M2196" s="1">
        <v>30.296890635846481</v>
      </c>
      <c r="N2196" s="7">
        <v>45947</v>
      </c>
      <c r="O2196" s="1">
        <v>30000</v>
      </c>
      <c r="P2196" s="7">
        <v>46190.076095659722</v>
      </c>
      <c r="T2196" s="1" t="s">
        <v>397</v>
      </c>
      <c r="U2196" s="1" t="s">
        <v>398</v>
      </c>
      <c r="V2196" s="1">
        <v>1</v>
      </c>
      <c r="W2196" s="3">
        <v>9737.2800000000007</v>
      </c>
      <c r="X2196" s="3">
        <v>9737.2800000000007</v>
      </c>
      <c r="Y2196" s="1" t="str">
        <f>VLOOKUP(A2196,[1]Detalle!$D$2:$CR$484,93,FALSE)</f>
        <v>CENCOMLD - Cencosud SA - Mendoza</v>
      </c>
    </row>
    <row r="2197" spans="1:25" ht="14.25" customHeight="1" x14ac:dyDescent="0.3">
      <c r="A2197" s="1" t="s">
        <v>186</v>
      </c>
      <c r="B2197" s="1" t="s">
        <v>428</v>
      </c>
      <c r="C2197" s="1" t="s">
        <v>428</v>
      </c>
      <c r="D2197" s="1" t="s">
        <v>329</v>
      </c>
      <c r="E2197" s="6">
        <v>45800</v>
      </c>
      <c r="F2197" s="1">
        <v>459582</v>
      </c>
      <c r="G2197" s="1">
        <v>489582</v>
      </c>
      <c r="H2197" s="1">
        <v>48012.699999999968</v>
      </c>
      <c r="I2197" s="1">
        <v>-18012.699999999972</v>
      </c>
      <c r="J2197" s="1">
        <v>507594.7</v>
      </c>
      <c r="K2197" s="1">
        <v>147</v>
      </c>
      <c r="L2197" s="1">
        <v>303.0774834437085</v>
      </c>
      <c r="M2197" s="1">
        <v>-55.149302163802432</v>
      </c>
      <c r="N2197" s="7">
        <v>45947</v>
      </c>
      <c r="O2197" s="1">
        <v>30000</v>
      </c>
      <c r="P2197" s="7">
        <v>46144.969177118059</v>
      </c>
      <c r="T2197" s="1" t="s">
        <v>331</v>
      </c>
      <c r="U2197" s="1" t="s">
        <v>332</v>
      </c>
      <c r="V2197" s="1">
        <v>30</v>
      </c>
      <c r="W2197" s="3">
        <v>3389.9</v>
      </c>
      <c r="X2197" s="3">
        <v>101697</v>
      </c>
      <c r="Y2197" s="1" t="str">
        <f>VLOOKUP(A2197,[1]Detalle!$D$2:$CR$484,93,FALSE)</f>
        <v>Expreso - Servicios Troncales</v>
      </c>
    </row>
    <row r="2198" spans="1:25" ht="14.25" customHeight="1" x14ac:dyDescent="0.3">
      <c r="A2198" s="1" t="s">
        <v>186</v>
      </c>
      <c r="B2198" s="1" t="s">
        <v>428</v>
      </c>
      <c r="C2198" s="1" t="s">
        <v>428</v>
      </c>
      <c r="D2198" s="1" t="s">
        <v>329</v>
      </c>
      <c r="E2198" s="6">
        <v>45800</v>
      </c>
      <c r="F2198" s="1">
        <v>459582</v>
      </c>
      <c r="G2198" s="1">
        <v>489582</v>
      </c>
      <c r="H2198" s="1">
        <v>48012.699999999968</v>
      </c>
      <c r="I2198" s="1">
        <v>-18012.699999999972</v>
      </c>
      <c r="J2198" s="1">
        <v>507594.7</v>
      </c>
      <c r="K2198" s="1">
        <v>147</v>
      </c>
      <c r="L2198" s="1">
        <v>303.0774834437085</v>
      </c>
      <c r="M2198" s="1">
        <v>-55.149302163802432</v>
      </c>
      <c r="N2198" s="7">
        <v>45947</v>
      </c>
      <c r="O2198" s="1">
        <v>30000</v>
      </c>
      <c r="P2198" s="7">
        <v>46144.969177118059</v>
      </c>
      <c r="T2198" s="1" t="s">
        <v>397</v>
      </c>
      <c r="U2198" s="1" t="s">
        <v>398</v>
      </c>
      <c r="V2198" s="1">
        <v>1</v>
      </c>
      <c r="W2198" s="3">
        <v>9737.2800000000007</v>
      </c>
      <c r="X2198" s="3">
        <v>9737.2800000000007</v>
      </c>
      <c r="Y2198" s="1" t="str">
        <f>VLOOKUP(A2198,[1]Detalle!$D$2:$CR$484,93,FALSE)</f>
        <v>Expreso - Servicios Troncales</v>
      </c>
    </row>
    <row r="2199" spans="1:25" ht="14.25" customHeight="1" x14ac:dyDescent="0.3">
      <c r="A2199" s="1" t="s">
        <v>8</v>
      </c>
      <c r="B2199" s="1" t="s">
        <v>436</v>
      </c>
      <c r="C2199" s="1" t="s">
        <v>428</v>
      </c>
      <c r="D2199" s="1" t="s">
        <v>329</v>
      </c>
      <c r="E2199" s="6">
        <v>45880</v>
      </c>
      <c r="F2199" s="1">
        <v>722255</v>
      </c>
      <c r="G2199" s="1">
        <v>752255</v>
      </c>
      <c r="H2199" s="1">
        <v>15317.7</v>
      </c>
      <c r="I2199" s="1">
        <v>14682.3</v>
      </c>
      <c r="J2199" s="1">
        <v>737572.7</v>
      </c>
      <c r="K2199" s="1">
        <v>67</v>
      </c>
      <c r="L2199" s="1">
        <v>286.50848708487092</v>
      </c>
      <c r="M2199" s="1">
        <v>64.220744628762787</v>
      </c>
      <c r="N2199" s="7">
        <v>45947</v>
      </c>
      <c r="O2199" s="1">
        <v>30000</v>
      </c>
      <c r="P2199" s="7">
        <v>46220.63862474537</v>
      </c>
      <c r="T2199" s="1" t="s">
        <v>331</v>
      </c>
      <c r="U2199" s="1" t="s">
        <v>332</v>
      </c>
      <c r="V2199" s="1">
        <v>39</v>
      </c>
      <c r="W2199" s="3">
        <v>3389.9</v>
      </c>
      <c r="X2199" s="3">
        <v>132206.1</v>
      </c>
      <c r="Y2199" s="1" t="str">
        <f>VLOOKUP(A2199,[1]Detalle!$D$2:$CR$484,93,FALSE)</f>
        <v>ADA_CH - Danone Arg. S.A. - Chascomus</v>
      </c>
    </row>
    <row r="2200" spans="1:25" ht="14.25" customHeight="1" x14ac:dyDescent="0.3">
      <c r="A2200" s="1" t="s">
        <v>8</v>
      </c>
      <c r="B2200" s="1" t="s">
        <v>436</v>
      </c>
      <c r="C2200" s="1" t="s">
        <v>428</v>
      </c>
      <c r="D2200" s="1" t="s">
        <v>329</v>
      </c>
      <c r="E2200" s="6">
        <v>45880</v>
      </c>
      <c r="F2200" s="1">
        <v>722255</v>
      </c>
      <c r="G2200" s="1">
        <v>752255</v>
      </c>
      <c r="H2200" s="1">
        <v>15317.7</v>
      </c>
      <c r="I2200" s="1">
        <v>14682.3</v>
      </c>
      <c r="J2200" s="1">
        <v>737572.7</v>
      </c>
      <c r="K2200" s="1">
        <v>67</v>
      </c>
      <c r="L2200" s="1">
        <v>286.50848708487092</v>
      </c>
      <c r="M2200" s="1">
        <v>64.220744628762787</v>
      </c>
      <c r="N2200" s="7">
        <v>45947</v>
      </c>
      <c r="O2200" s="1">
        <v>30000</v>
      </c>
      <c r="P2200" s="7">
        <v>46220.63862474537</v>
      </c>
      <c r="T2200" s="1" t="s">
        <v>437</v>
      </c>
      <c r="U2200" s="1" t="s">
        <v>438</v>
      </c>
      <c r="V2200" s="1">
        <v>1</v>
      </c>
      <c r="W2200" s="3">
        <v>22064.98</v>
      </c>
      <c r="X2200" s="3">
        <v>22064.98</v>
      </c>
      <c r="Y2200" s="1" t="str">
        <f>VLOOKUP(A2200,[1]Detalle!$D$2:$CR$484,93,FALSE)</f>
        <v>ADA_CH - Danone Arg. S.A. - Chascomus</v>
      </c>
    </row>
    <row r="2201" spans="1:25" ht="14.25" customHeight="1" x14ac:dyDescent="0.3">
      <c r="A2201" s="1" t="s">
        <v>11</v>
      </c>
      <c r="B2201" s="1" t="s">
        <v>436</v>
      </c>
      <c r="C2201" s="1" t="s">
        <v>428</v>
      </c>
      <c r="D2201" s="1" t="s">
        <v>329</v>
      </c>
      <c r="E2201" s="6">
        <v>45853</v>
      </c>
      <c r="F2201" s="1">
        <v>769430</v>
      </c>
      <c r="G2201" s="1">
        <v>799430</v>
      </c>
      <c r="H2201" s="1">
        <v>24465.80000000001</v>
      </c>
      <c r="I2201" s="1">
        <v>5534.1999999999935</v>
      </c>
      <c r="J2201" s="1">
        <v>793895.8</v>
      </c>
      <c r="K2201" s="1">
        <v>94</v>
      </c>
      <c r="L2201" s="1">
        <v>323.09338235294098</v>
      </c>
      <c r="M2201" s="1">
        <v>21.262938469210049</v>
      </c>
      <c r="N2201" s="7">
        <v>45947</v>
      </c>
      <c r="O2201" s="1">
        <v>30000</v>
      </c>
      <c r="P2201" s="7">
        <v>46153.967763379631</v>
      </c>
      <c r="T2201" s="1" t="s">
        <v>331</v>
      </c>
      <c r="U2201" s="1" t="s">
        <v>332</v>
      </c>
      <c r="V2201" s="1">
        <v>39</v>
      </c>
      <c r="W2201" s="3">
        <v>3389.9</v>
      </c>
      <c r="X2201" s="3">
        <v>132206.1</v>
      </c>
      <c r="Y2201" s="1" t="str">
        <f>VLOOKUP(A2201,[1]Detalle!$D$2:$CR$484,93,FALSE)</f>
        <v>ADA_CH - Danone Arg. S.A. - Chascomus</v>
      </c>
    </row>
    <row r="2202" spans="1:25" ht="14.25" customHeight="1" x14ac:dyDescent="0.3">
      <c r="A2202" s="1" t="s">
        <v>11</v>
      </c>
      <c r="B2202" s="1" t="s">
        <v>436</v>
      </c>
      <c r="C2202" s="1" t="s">
        <v>428</v>
      </c>
      <c r="D2202" s="1" t="s">
        <v>329</v>
      </c>
      <c r="E2202" s="6">
        <v>45853</v>
      </c>
      <c r="F2202" s="1">
        <v>769430</v>
      </c>
      <c r="G2202" s="1">
        <v>799430</v>
      </c>
      <c r="H2202" s="1">
        <v>24465.80000000001</v>
      </c>
      <c r="I2202" s="1">
        <v>5534.1999999999935</v>
      </c>
      <c r="J2202" s="1">
        <v>793895.8</v>
      </c>
      <c r="K2202" s="1">
        <v>94</v>
      </c>
      <c r="L2202" s="1">
        <v>323.09338235294098</v>
      </c>
      <c r="M2202" s="1">
        <v>21.262938469210049</v>
      </c>
      <c r="N2202" s="7">
        <v>45947</v>
      </c>
      <c r="O2202" s="1">
        <v>30000</v>
      </c>
      <c r="P2202" s="7">
        <v>46153.967763379631</v>
      </c>
      <c r="T2202" s="1" t="s">
        <v>437</v>
      </c>
      <c r="U2202" s="1" t="s">
        <v>438</v>
      </c>
      <c r="V2202" s="1">
        <v>1</v>
      </c>
      <c r="W2202" s="3">
        <v>22064.98</v>
      </c>
      <c r="X2202" s="3">
        <v>22064.98</v>
      </c>
      <c r="Y2202" s="1" t="str">
        <f>VLOOKUP(A2202,[1]Detalle!$D$2:$CR$484,93,FALSE)</f>
        <v>ADA_CH - Danone Arg. S.A. - Chascomus</v>
      </c>
    </row>
    <row r="2203" spans="1:25" ht="14.25" customHeight="1" x14ac:dyDescent="0.3">
      <c r="A2203" s="1" t="s">
        <v>13</v>
      </c>
      <c r="B2203" s="1" t="s">
        <v>436</v>
      </c>
      <c r="C2203" s="1" t="s">
        <v>428</v>
      </c>
      <c r="D2203" s="1" t="s">
        <v>329</v>
      </c>
      <c r="E2203" s="6">
        <v>45831</v>
      </c>
      <c r="F2203" s="1">
        <v>751112</v>
      </c>
      <c r="G2203" s="1">
        <v>781112</v>
      </c>
      <c r="H2203" s="1">
        <v>30284.500000000011</v>
      </c>
      <c r="I2203" s="1">
        <v>-284.50000000000728</v>
      </c>
      <c r="J2203" s="1">
        <v>781396.5</v>
      </c>
      <c r="K2203" s="1">
        <v>116</v>
      </c>
      <c r="L2203" s="1">
        <v>303.34772058823529</v>
      </c>
      <c r="M2203" s="1">
        <v>-1.089732371345105</v>
      </c>
      <c r="N2203" s="7">
        <v>45947</v>
      </c>
      <c r="O2203" s="1">
        <v>30000</v>
      </c>
      <c r="P2203" s="7">
        <v>46144.792816388886</v>
      </c>
      <c r="T2203" s="1" t="s">
        <v>331</v>
      </c>
      <c r="U2203" s="1" t="s">
        <v>332</v>
      </c>
      <c r="V2203" s="1">
        <v>39</v>
      </c>
      <c r="W2203" s="3">
        <v>3389.9</v>
      </c>
      <c r="X2203" s="3">
        <v>132206.1</v>
      </c>
      <c r="Y2203" s="1" t="str">
        <f>VLOOKUP(A2203,[1]Detalle!$D$2:$CR$484,93,FALSE)</f>
        <v>ADA_CH - Danone Arg. S.A. - Chascomus</v>
      </c>
    </row>
    <row r="2204" spans="1:25" ht="14.25" customHeight="1" x14ac:dyDescent="0.3">
      <c r="A2204" s="1" t="s">
        <v>13</v>
      </c>
      <c r="B2204" s="1" t="s">
        <v>436</v>
      </c>
      <c r="C2204" s="1" t="s">
        <v>428</v>
      </c>
      <c r="D2204" s="1" t="s">
        <v>329</v>
      </c>
      <c r="E2204" s="6">
        <v>45831</v>
      </c>
      <c r="F2204" s="1">
        <v>751112</v>
      </c>
      <c r="G2204" s="1">
        <v>781112</v>
      </c>
      <c r="H2204" s="1">
        <v>30284.500000000011</v>
      </c>
      <c r="I2204" s="1">
        <v>-284.50000000000728</v>
      </c>
      <c r="J2204" s="1">
        <v>781396.5</v>
      </c>
      <c r="K2204" s="1">
        <v>116</v>
      </c>
      <c r="L2204" s="1">
        <v>303.34772058823529</v>
      </c>
      <c r="M2204" s="1">
        <v>-1.089732371345105</v>
      </c>
      <c r="N2204" s="7">
        <v>45947</v>
      </c>
      <c r="O2204" s="1">
        <v>30000</v>
      </c>
      <c r="P2204" s="7">
        <v>46144.792816388886</v>
      </c>
      <c r="T2204" s="1" t="s">
        <v>437</v>
      </c>
      <c r="U2204" s="1" t="s">
        <v>438</v>
      </c>
      <c r="V2204" s="1">
        <v>1</v>
      </c>
      <c r="W2204" s="3">
        <v>22064.98</v>
      </c>
      <c r="X2204" s="3">
        <v>22064.98</v>
      </c>
      <c r="Y2204" s="1" t="str">
        <f>VLOOKUP(A2204,[1]Detalle!$D$2:$CR$484,93,FALSE)</f>
        <v>ADA_CH - Danone Arg. S.A. - Chascomus</v>
      </c>
    </row>
    <row r="2205" spans="1:25" ht="14.25" customHeight="1" x14ac:dyDescent="0.3">
      <c r="A2205" s="1" t="s">
        <v>6</v>
      </c>
      <c r="B2205" s="1" t="s">
        <v>436</v>
      </c>
      <c r="C2205" s="1" t="s">
        <v>428</v>
      </c>
      <c r="D2205" s="1" t="s">
        <v>329</v>
      </c>
      <c r="E2205" s="6">
        <v>45845</v>
      </c>
      <c r="F2205" s="1">
        <v>726661</v>
      </c>
      <c r="G2205" s="1">
        <v>756661</v>
      </c>
      <c r="H2205" s="1">
        <v>24602.2</v>
      </c>
      <c r="I2205" s="1">
        <v>5397.7999999999956</v>
      </c>
      <c r="J2205" s="1">
        <v>751263.2</v>
      </c>
      <c r="K2205" s="1">
        <v>102</v>
      </c>
      <c r="L2205" s="1">
        <v>306.8559191176472</v>
      </c>
      <c r="M2205" s="1">
        <v>22.379120566453381</v>
      </c>
      <c r="N2205" s="7">
        <v>45947</v>
      </c>
      <c r="O2205" s="1">
        <v>30000</v>
      </c>
      <c r="P2205" s="7">
        <v>46164.910626597222</v>
      </c>
      <c r="T2205" s="1" t="s">
        <v>331</v>
      </c>
      <c r="U2205" s="1" t="s">
        <v>332</v>
      </c>
      <c r="V2205" s="1">
        <v>39</v>
      </c>
      <c r="W2205" s="3">
        <v>3389.9</v>
      </c>
      <c r="X2205" s="3">
        <v>132206.1</v>
      </c>
      <c r="Y2205" s="1" t="str">
        <f>VLOOKUP(A2205,[1]Detalle!$D$2:$CR$484,93,FALSE)</f>
        <v>ADA_CH - Danone Arg. S.A. - Chascomus</v>
      </c>
    </row>
    <row r="2206" spans="1:25" ht="14.25" customHeight="1" x14ac:dyDescent="0.3">
      <c r="A2206" s="1" t="s">
        <v>6</v>
      </c>
      <c r="B2206" s="1" t="s">
        <v>436</v>
      </c>
      <c r="C2206" s="1" t="s">
        <v>428</v>
      </c>
      <c r="D2206" s="1" t="s">
        <v>329</v>
      </c>
      <c r="E2206" s="6">
        <v>45845</v>
      </c>
      <c r="F2206" s="1">
        <v>726661</v>
      </c>
      <c r="G2206" s="1">
        <v>756661</v>
      </c>
      <c r="H2206" s="1">
        <v>24602.2</v>
      </c>
      <c r="I2206" s="1">
        <v>5397.7999999999956</v>
      </c>
      <c r="J2206" s="1">
        <v>751263.2</v>
      </c>
      <c r="K2206" s="1">
        <v>102</v>
      </c>
      <c r="L2206" s="1">
        <v>306.8559191176472</v>
      </c>
      <c r="M2206" s="1">
        <v>22.379120566453381</v>
      </c>
      <c r="N2206" s="7">
        <v>45947</v>
      </c>
      <c r="O2206" s="1">
        <v>30000</v>
      </c>
      <c r="P2206" s="7">
        <v>46164.910626597222</v>
      </c>
      <c r="T2206" s="1" t="s">
        <v>437</v>
      </c>
      <c r="U2206" s="1" t="s">
        <v>438</v>
      </c>
      <c r="V2206" s="1">
        <v>1</v>
      </c>
      <c r="W2206" s="3">
        <v>22064.98</v>
      </c>
      <c r="X2206" s="3">
        <v>22064.98</v>
      </c>
      <c r="Y2206" s="1" t="str">
        <f>VLOOKUP(A2206,[1]Detalle!$D$2:$CR$484,93,FALSE)</f>
        <v>ADA_CH - Danone Arg. S.A. - Chascomus</v>
      </c>
    </row>
    <row r="2207" spans="1:25" ht="14.25" customHeight="1" x14ac:dyDescent="0.3">
      <c r="A2207" s="1" t="s">
        <v>7</v>
      </c>
      <c r="B2207" s="1" t="s">
        <v>436</v>
      </c>
      <c r="C2207" s="1" t="s">
        <v>428</v>
      </c>
      <c r="D2207" s="1" t="s">
        <v>329</v>
      </c>
      <c r="E2207" s="6">
        <v>45835</v>
      </c>
      <c r="F2207" s="1">
        <v>743648</v>
      </c>
      <c r="G2207" s="1">
        <v>773648</v>
      </c>
      <c r="H2207" s="1">
        <v>30763.099999999991</v>
      </c>
      <c r="I2207" s="1">
        <v>-763.09999999998763</v>
      </c>
      <c r="J2207" s="1">
        <v>774411.1</v>
      </c>
      <c r="K2207" s="1">
        <v>112</v>
      </c>
      <c r="L2207" s="1">
        <v>282.61870229007633</v>
      </c>
      <c r="M2207" s="1">
        <v>-2.77823756383455</v>
      </c>
      <c r="N2207" s="7">
        <v>45947</v>
      </c>
      <c r="O2207" s="1">
        <v>30000</v>
      </c>
      <c r="P2207" s="7">
        <v>46159.30017516204</v>
      </c>
      <c r="T2207" s="1" t="s">
        <v>331</v>
      </c>
      <c r="U2207" s="1" t="s">
        <v>332</v>
      </c>
      <c r="V2207" s="1">
        <v>39</v>
      </c>
      <c r="W2207" s="3">
        <v>3389.9</v>
      </c>
      <c r="X2207" s="3">
        <v>132206.1</v>
      </c>
      <c r="Y2207" s="1" t="str">
        <f>VLOOKUP(A2207,[1]Detalle!$D$2:$CR$484,93,FALSE)</f>
        <v>ADA_CH - Danone Arg. S.A. - Chascomus</v>
      </c>
    </row>
    <row r="2208" spans="1:25" ht="14.25" customHeight="1" x14ac:dyDescent="0.3">
      <c r="A2208" s="1" t="s">
        <v>7</v>
      </c>
      <c r="B2208" s="1" t="s">
        <v>436</v>
      </c>
      <c r="C2208" s="1" t="s">
        <v>428</v>
      </c>
      <c r="D2208" s="1" t="s">
        <v>329</v>
      </c>
      <c r="E2208" s="6">
        <v>45835</v>
      </c>
      <c r="F2208" s="1">
        <v>743648</v>
      </c>
      <c r="G2208" s="1">
        <v>773648</v>
      </c>
      <c r="H2208" s="1">
        <v>30763.099999999991</v>
      </c>
      <c r="I2208" s="1">
        <v>-763.09999999998763</v>
      </c>
      <c r="J2208" s="1">
        <v>774411.1</v>
      </c>
      <c r="K2208" s="1">
        <v>112</v>
      </c>
      <c r="L2208" s="1">
        <v>282.61870229007633</v>
      </c>
      <c r="M2208" s="1">
        <v>-2.77823756383455</v>
      </c>
      <c r="N2208" s="7">
        <v>45947</v>
      </c>
      <c r="O2208" s="1">
        <v>30000</v>
      </c>
      <c r="P2208" s="7">
        <v>46159.30017516204</v>
      </c>
      <c r="T2208" s="1" t="s">
        <v>437</v>
      </c>
      <c r="U2208" s="1" t="s">
        <v>438</v>
      </c>
      <c r="V2208" s="1">
        <v>1</v>
      </c>
      <c r="W2208" s="3">
        <v>22064.98</v>
      </c>
      <c r="X2208" s="3">
        <v>22064.98</v>
      </c>
      <c r="Y2208" s="1" t="str">
        <f>VLOOKUP(A2208,[1]Detalle!$D$2:$CR$484,93,FALSE)</f>
        <v>ADA_CH - Danone Arg. S.A. - Chascomus</v>
      </c>
    </row>
    <row r="2209" spans="1:25" ht="14.25" customHeight="1" x14ac:dyDescent="0.3">
      <c r="A2209" s="1" t="s">
        <v>9</v>
      </c>
      <c r="B2209" s="1" t="s">
        <v>436</v>
      </c>
      <c r="C2209" s="1" t="s">
        <v>428</v>
      </c>
      <c r="D2209" s="1" t="s">
        <v>329</v>
      </c>
      <c r="E2209" s="6">
        <v>45789</v>
      </c>
      <c r="F2209" s="1">
        <v>828813</v>
      </c>
      <c r="G2209" s="1">
        <v>858813</v>
      </c>
      <c r="H2209" s="1">
        <v>52575.80000000001</v>
      </c>
      <c r="I2209" s="1">
        <v>-22575.80000000001</v>
      </c>
      <c r="J2209" s="1">
        <v>881388.8</v>
      </c>
      <c r="K2209" s="1">
        <v>158</v>
      </c>
      <c r="L2209" s="1">
        <v>352.51014814814829</v>
      </c>
      <c r="M2209" s="1">
        <v>-67.844453151449926</v>
      </c>
      <c r="N2209" s="7">
        <v>45947</v>
      </c>
      <c r="O2209" s="1">
        <v>30000</v>
      </c>
      <c r="P2209" s="7">
        <v>46117.207865833327</v>
      </c>
      <c r="T2209" s="1" t="s">
        <v>331</v>
      </c>
      <c r="U2209" s="1" t="s">
        <v>332</v>
      </c>
      <c r="V2209" s="1">
        <v>39</v>
      </c>
      <c r="W2209" s="3">
        <v>3389.9</v>
      </c>
      <c r="X2209" s="3">
        <v>132206.1</v>
      </c>
      <c r="Y2209" s="1" t="str">
        <f>VLOOKUP(A2209,[1]Detalle!$D$2:$CR$484,93,FALSE)</f>
        <v>ADA_CH - Danone Arg. S.A. - Chascomus</v>
      </c>
    </row>
    <row r="2210" spans="1:25" ht="14.25" customHeight="1" x14ac:dyDescent="0.3">
      <c r="A2210" s="1" t="s">
        <v>9</v>
      </c>
      <c r="B2210" s="1" t="s">
        <v>436</v>
      </c>
      <c r="C2210" s="1" t="s">
        <v>428</v>
      </c>
      <c r="D2210" s="1" t="s">
        <v>329</v>
      </c>
      <c r="E2210" s="6">
        <v>45789</v>
      </c>
      <c r="F2210" s="1">
        <v>828813</v>
      </c>
      <c r="G2210" s="1">
        <v>858813</v>
      </c>
      <c r="H2210" s="1">
        <v>52575.80000000001</v>
      </c>
      <c r="I2210" s="1">
        <v>-22575.80000000001</v>
      </c>
      <c r="J2210" s="1">
        <v>881388.8</v>
      </c>
      <c r="K2210" s="1">
        <v>158</v>
      </c>
      <c r="L2210" s="1">
        <v>352.51014814814829</v>
      </c>
      <c r="M2210" s="1">
        <v>-67.844453151449926</v>
      </c>
      <c r="N2210" s="7">
        <v>45947</v>
      </c>
      <c r="O2210" s="1">
        <v>30000</v>
      </c>
      <c r="P2210" s="7">
        <v>46117.207865833327</v>
      </c>
      <c r="T2210" s="1" t="s">
        <v>437</v>
      </c>
      <c r="U2210" s="1" t="s">
        <v>438</v>
      </c>
      <c r="V2210" s="1">
        <v>1</v>
      </c>
      <c r="W2210" s="3">
        <v>22064.98</v>
      </c>
      <c r="X2210" s="3">
        <v>22064.98</v>
      </c>
      <c r="Y2210" s="1" t="str">
        <f>VLOOKUP(A2210,[1]Detalle!$D$2:$CR$484,93,FALSE)</f>
        <v>ADA_CH - Danone Arg. S.A. - Chascomus</v>
      </c>
    </row>
    <row r="2211" spans="1:25" ht="14.25" customHeight="1" x14ac:dyDescent="0.3">
      <c r="A2211" s="1" t="s">
        <v>17</v>
      </c>
      <c r="B2211" s="1" t="s">
        <v>436</v>
      </c>
      <c r="C2211" s="1" t="s">
        <v>428</v>
      </c>
      <c r="D2211" s="1" t="s">
        <v>329</v>
      </c>
      <c r="E2211" s="6">
        <v>45776</v>
      </c>
      <c r="F2211" s="1">
        <v>664392</v>
      </c>
      <c r="G2211" s="1">
        <v>694392</v>
      </c>
      <c r="H2211" s="1">
        <v>62703.799999999981</v>
      </c>
      <c r="I2211" s="1">
        <v>-32703.799999999981</v>
      </c>
      <c r="J2211" s="1">
        <v>727095.79999999993</v>
      </c>
      <c r="K2211" s="1">
        <v>171</v>
      </c>
      <c r="L2211" s="1">
        <v>382.02855555555578</v>
      </c>
      <c r="M2211" s="1">
        <v>-89.186776558996399</v>
      </c>
      <c r="N2211" s="7">
        <v>45947</v>
      </c>
      <c r="O2211" s="1">
        <v>30000</v>
      </c>
      <c r="P2211" s="7">
        <v>46104.056322430559</v>
      </c>
      <c r="T2211" s="1" t="s">
        <v>331</v>
      </c>
      <c r="U2211" s="1" t="s">
        <v>332</v>
      </c>
      <c r="V2211" s="1">
        <v>39</v>
      </c>
      <c r="W2211" s="3">
        <v>3389.9</v>
      </c>
      <c r="X2211" s="3">
        <v>132206.1</v>
      </c>
      <c r="Y2211" s="1" t="str">
        <f>VLOOKUP(A2211,[1]Detalle!$D$2:$CR$484,93,FALSE)</f>
        <v>Expreso - Servicios Troncales</v>
      </c>
    </row>
    <row r="2212" spans="1:25" ht="14.25" customHeight="1" x14ac:dyDescent="0.3">
      <c r="A2212" s="1" t="s">
        <v>17</v>
      </c>
      <c r="B2212" s="1" t="s">
        <v>436</v>
      </c>
      <c r="C2212" s="1" t="s">
        <v>428</v>
      </c>
      <c r="D2212" s="1" t="s">
        <v>329</v>
      </c>
      <c r="E2212" s="6">
        <v>45776</v>
      </c>
      <c r="F2212" s="1">
        <v>664392</v>
      </c>
      <c r="G2212" s="1">
        <v>694392</v>
      </c>
      <c r="H2212" s="1">
        <v>62703.799999999981</v>
      </c>
      <c r="I2212" s="1">
        <v>-32703.799999999981</v>
      </c>
      <c r="J2212" s="1">
        <v>727095.79999999993</v>
      </c>
      <c r="K2212" s="1">
        <v>171</v>
      </c>
      <c r="L2212" s="1">
        <v>382.02855555555578</v>
      </c>
      <c r="M2212" s="1">
        <v>-89.186776558996399</v>
      </c>
      <c r="N2212" s="7">
        <v>45947</v>
      </c>
      <c r="O2212" s="1">
        <v>30000</v>
      </c>
      <c r="P2212" s="7">
        <v>46104.056322430559</v>
      </c>
      <c r="T2212" s="1" t="s">
        <v>437</v>
      </c>
      <c r="U2212" s="1" t="s">
        <v>438</v>
      </c>
      <c r="V2212" s="1">
        <v>1</v>
      </c>
      <c r="W2212" s="3">
        <v>22064.98</v>
      </c>
      <c r="X2212" s="3">
        <v>22064.98</v>
      </c>
      <c r="Y2212" s="1" t="str">
        <f>VLOOKUP(A2212,[1]Detalle!$D$2:$CR$484,93,FALSE)</f>
        <v>Expreso - Servicios Troncales</v>
      </c>
    </row>
    <row r="2213" spans="1:25" ht="14.25" customHeight="1" x14ac:dyDescent="0.3">
      <c r="A2213" s="1" t="s">
        <v>18</v>
      </c>
      <c r="B2213" s="1" t="s">
        <v>436</v>
      </c>
      <c r="C2213" s="1" t="s">
        <v>428</v>
      </c>
      <c r="D2213" s="1" t="s">
        <v>329</v>
      </c>
      <c r="E2213" s="6">
        <v>45852</v>
      </c>
      <c r="F2213" s="1">
        <v>654972</v>
      </c>
      <c r="G2213" s="1">
        <v>684972</v>
      </c>
      <c r="H2213" s="1">
        <v>26383.500000000011</v>
      </c>
      <c r="I2213" s="1">
        <v>3616.4999999999932</v>
      </c>
      <c r="J2213" s="1">
        <v>681355.5</v>
      </c>
      <c r="K2213" s="1">
        <v>95</v>
      </c>
      <c r="L2213" s="1">
        <v>381.04202205882348</v>
      </c>
      <c r="M2213" s="1">
        <v>13.02205924157141</v>
      </c>
      <c r="N2213" s="7">
        <v>45947</v>
      </c>
      <c r="O2213" s="1">
        <v>30000</v>
      </c>
      <c r="P2213" s="7">
        <v>46117.485006967603</v>
      </c>
      <c r="T2213" s="1" t="s">
        <v>331</v>
      </c>
      <c r="U2213" s="1" t="s">
        <v>332</v>
      </c>
      <c r="V2213" s="1">
        <v>39</v>
      </c>
      <c r="W2213" s="3">
        <v>3389.9</v>
      </c>
      <c r="X2213" s="3">
        <v>132206.1</v>
      </c>
      <c r="Y2213" s="1" t="str">
        <f>VLOOKUP(A2213,[1]Detalle!$D$2:$CR$484,93,FALSE)</f>
        <v>Expreso - Servicios Troncales</v>
      </c>
    </row>
    <row r="2214" spans="1:25" ht="14.25" customHeight="1" x14ac:dyDescent="0.3">
      <c r="A2214" s="1" t="s">
        <v>18</v>
      </c>
      <c r="B2214" s="1" t="s">
        <v>436</v>
      </c>
      <c r="C2214" s="1" t="s">
        <v>428</v>
      </c>
      <c r="D2214" s="1" t="s">
        <v>329</v>
      </c>
      <c r="E2214" s="6">
        <v>45852</v>
      </c>
      <c r="F2214" s="1">
        <v>654972</v>
      </c>
      <c r="G2214" s="1">
        <v>684972</v>
      </c>
      <c r="H2214" s="1">
        <v>26383.500000000011</v>
      </c>
      <c r="I2214" s="1">
        <v>3616.4999999999932</v>
      </c>
      <c r="J2214" s="1">
        <v>681355.5</v>
      </c>
      <c r="K2214" s="1">
        <v>95</v>
      </c>
      <c r="L2214" s="1">
        <v>381.04202205882348</v>
      </c>
      <c r="M2214" s="1">
        <v>13.02205924157141</v>
      </c>
      <c r="N2214" s="7">
        <v>45947</v>
      </c>
      <c r="O2214" s="1">
        <v>30000</v>
      </c>
      <c r="P2214" s="7">
        <v>46117.485006967603</v>
      </c>
      <c r="T2214" s="1" t="s">
        <v>437</v>
      </c>
      <c r="U2214" s="1" t="s">
        <v>438</v>
      </c>
      <c r="V2214" s="1">
        <v>1</v>
      </c>
      <c r="W2214" s="3">
        <v>22064.98</v>
      </c>
      <c r="X2214" s="3">
        <v>22064.98</v>
      </c>
      <c r="Y2214" s="1" t="str">
        <f>VLOOKUP(A2214,[1]Detalle!$D$2:$CR$484,93,FALSE)</f>
        <v>Expreso - Servicios Troncales</v>
      </c>
    </row>
    <row r="2215" spans="1:25" ht="14.25" customHeight="1" x14ac:dyDescent="0.3">
      <c r="A2215" s="1" t="s">
        <v>231</v>
      </c>
      <c r="B2215" s="1" t="s">
        <v>436</v>
      </c>
      <c r="C2215" s="1" t="s">
        <v>428</v>
      </c>
      <c r="D2215" s="1" t="s">
        <v>329</v>
      </c>
      <c r="E2215" s="6">
        <v>45889</v>
      </c>
      <c r="F2215" s="1">
        <v>1836513</v>
      </c>
      <c r="G2215" s="1">
        <v>1866513</v>
      </c>
      <c r="H2215" s="1">
        <v>14116.4</v>
      </c>
      <c r="I2215" s="1">
        <v>15883.6</v>
      </c>
      <c r="J2215" s="1">
        <v>1850629.4</v>
      </c>
      <c r="K2215" s="1">
        <v>58</v>
      </c>
      <c r="L2215" s="1">
        <v>332.5574264705881</v>
      </c>
      <c r="M2215" s="1">
        <v>65.260888045110633</v>
      </c>
      <c r="N2215" s="7">
        <v>45947</v>
      </c>
      <c r="O2215" s="1">
        <v>30000</v>
      </c>
      <c r="P2215" s="7">
        <v>46192.680855312501</v>
      </c>
      <c r="T2215" s="1" t="s">
        <v>331</v>
      </c>
      <c r="U2215" s="1" t="s">
        <v>332</v>
      </c>
      <c r="V2215" s="1">
        <v>39</v>
      </c>
      <c r="W2215" s="3">
        <v>3389.9</v>
      </c>
      <c r="X2215" s="3">
        <v>132206.1</v>
      </c>
      <c r="Y2215" s="1" t="str">
        <f>VLOOKUP(A2215,[1]Detalle!$D$2:$CR$484,93,FALSE)</f>
        <v>Expreso - Servicios Troncales</v>
      </c>
    </row>
    <row r="2216" spans="1:25" ht="14.25" customHeight="1" x14ac:dyDescent="0.3">
      <c r="A2216" s="1" t="s">
        <v>231</v>
      </c>
      <c r="B2216" s="1" t="s">
        <v>436</v>
      </c>
      <c r="C2216" s="1" t="s">
        <v>428</v>
      </c>
      <c r="D2216" s="1" t="s">
        <v>329</v>
      </c>
      <c r="E2216" s="6">
        <v>45889</v>
      </c>
      <c r="F2216" s="1">
        <v>1836513</v>
      </c>
      <c r="G2216" s="1">
        <v>1866513</v>
      </c>
      <c r="H2216" s="1">
        <v>14116.4</v>
      </c>
      <c r="I2216" s="1">
        <v>15883.6</v>
      </c>
      <c r="J2216" s="1">
        <v>1850629.4</v>
      </c>
      <c r="K2216" s="1">
        <v>58</v>
      </c>
      <c r="L2216" s="1">
        <v>332.5574264705881</v>
      </c>
      <c r="M2216" s="1">
        <v>65.260888045110633</v>
      </c>
      <c r="N2216" s="7">
        <v>45947</v>
      </c>
      <c r="O2216" s="1">
        <v>30000</v>
      </c>
      <c r="P2216" s="7">
        <v>46192.680855312501</v>
      </c>
      <c r="T2216" s="1" t="s">
        <v>437</v>
      </c>
      <c r="U2216" s="1" t="s">
        <v>438</v>
      </c>
      <c r="V2216" s="1">
        <v>1</v>
      </c>
      <c r="W2216" s="3">
        <v>22064.98</v>
      </c>
      <c r="X2216" s="3">
        <v>22064.98</v>
      </c>
      <c r="Y2216" s="1" t="str">
        <f>VLOOKUP(A2216,[1]Detalle!$D$2:$CR$484,93,FALSE)</f>
        <v>Expreso - Servicios Troncales</v>
      </c>
    </row>
    <row r="2217" spans="1:25" ht="14.25" customHeight="1" x14ac:dyDescent="0.3">
      <c r="A2217" s="1" t="s">
        <v>279</v>
      </c>
      <c r="B2217" s="1" t="s">
        <v>443</v>
      </c>
      <c r="C2217" s="1" t="s">
        <v>428</v>
      </c>
      <c r="D2217" s="1" t="s">
        <v>329</v>
      </c>
      <c r="E2217" s="6">
        <v>45688</v>
      </c>
      <c r="F2217" s="1">
        <v>35081.599999999999</v>
      </c>
      <c r="G2217" s="1">
        <v>65081.599999999999</v>
      </c>
      <c r="H2217" s="1">
        <v>51895.159999999982</v>
      </c>
      <c r="I2217" s="1">
        <v>-21895.159999999982</v>
      </c>
      <c r="J2217" s="1">
        <v>86976.75999999998</v>
      </c>
      <c r="K2217" s="1">
        <v>259</v>
      </c>
      <c r="L2217" s="1">
        <v>197.99579335793359</v>
      </c>
      <c r="M2217" s="1">
        <v>-109.2750545522935</v>
      </c>
      <c r="N2217" s="7">
        <v>45947</v>
      </c>
      <c r="O2217" s="1">
        <v>30000</v>
      </c>
      <c r="P2217" s="7">
        <v>46250.036741249998</v>
      </c>
      <c r="T2217" s="1" t="s">
        <v>331</v>
      </c>
      <c r="U2217" s="1" t="s">
        <v>332</v>
      </c>
      <c r="V2217" s="1">
        <v>29</v>
      </c>
      <c r="W2217" s="3">
        <v>3389.9</v>
      </c>
      <c r="X2217" s="3">
        <v>98307.1</v>
      </c>
      <c r="Y2217" s="1" t="str">
        <f>VLOOKUP(A2217,[1]Detalle!$D$2:$CR$484,93,FALSE)</f>
        <v>Expreso - Servicios Troncales</v>
      </c>
    </row>
    <row r="2218" spans="1:25" ht="14.25" customHeight="1" x14ac:dyDescent="0.3">
      <c r="A2218" s="1" t="s">
        <v>279</v>
      </c>
      <c r="B2218" s="1" t="s">
        <v>443</v>
      </c>
      <c r="C2218" s="1" t="s">
        <v>428</v>
      </c>
      <c r="D2218" s="1" t="s">
        <v>329</v>
      </c>
      <c r="E2218" s="6">
        <v>45688</v>
      </c>
      <c r="F2218" s="1">
        <v>35081.599999999999</v>
      </c>
      <c r="G2218" s="1">
        <v>65081.599999999999</v>
      </c>
      <c r="H2218" s="1">
        <v>51895.159999999982</v>
      </c>
      <c r="I2218" s="1">
        <v>-21895.159999999982</v>
      </c>
      <c r="J2218" s="1">
        <v>86976.75999999998</v>
      </c>
      <c r="K2218" s="1">
        <v>259</v>
      </c>
      <c r="L2218" s="1">
        <v>197.99579335793359</v>
      </c>
      <c r="M2218" s="1">
        <v>-109.2750545522935</v>
      </c>
      <c r="N2218" s="7">
        <v>45947</v>
      </c>
      <c r="O2218" s="1">
        <v>30000</v>
      </c>
      <c r="P2218" s="7">
        <v>46250.036741249998</v>
      </c>
      <c r="T2218" s="1" t="s">
        <v>444</v>
      </c>
      <c r="U2218" s="1" t="s">
        <v>445</v>
      </c>
      <c r="V2218" s="1">
        <v>1</v>
      </c>
      <c r="W2218" s="3">
        <v>42100</v>
      </c>
      <c r="X2218" s="3">
        <v>42100</v>
      </c>
      <c r="Y2218" s="1" t="str">
        <f>VLOOKUP(A2218,[1]Detalle!$D$2:$CR$484,93,FALSE)</f>
        <v>Expreso - Servicios Troncales</v>
      </c>
    </row>
    <row r="2219" spans="1:25" ht="14.25" customHeight="1" x14ac:dyDescent="0.3">
      <c r="A2219" s="1" t="s">
        <v>228</v>
      </c>
      <c r="B2219" s="1" t="s">
        <v>443</v>
      </c>
      <c r="C2219" s="1" t="s">
        <v>428</v>
      </c>
      <c r="D2219" s="1" t="s">
        <v>329</v>
      </c>
      <c r="E2219" s="6">
        <v>45678</v>
      </c>
      <c r="F2219" s="1">
        <v>799717</v>
      </c>
      <c r="G2219" s="1">
        <v>829717</v>
      </c>
      <c r="H2219" s="1">
        <v>57283.27</v>
      </c>
      <c r="I2219" s="1">
        <v>-27283.27</v>
      </c>
      <c r="J2219" s="1">
        <v>857000.27</v>
      </c>
      <c r="K2219" s="1">
        <v>269</v>
      </c>
      <c r="L2219" s="1">
        <v>232.68261029411761</v>
      </c>
      <c r="M2219" s="1">
        <v>-128.12117098063709</v>
      </c>
      <c r="N2219" s="7">
        <v>45947</v>
      </c>
      <c r="O2219" s="1">
        <v>30000</v>
      </c>
      <c r="P2219" s="7">
        <v>46204.861986006938</v>
      </c>
      <c r="T2219" s="1" t="s">
        <v>331</v>
      </c>
      <c r="U2219" s="1" t="s">
        <v>332</v>
      </c>
      <c r="V2219" s="1">
        <v>29</v>
      </c>
      <c r="W2219" s="3">
        <v>3389.9</v>
      </c>
      <c r="X2219" s="3">
        <v>98307.1</v>
      </c>
      <c r="Y2219" s="1" t="str">
        <f>VLOOKUP(A2219,[1]Detalle!$D$2:$CR$484,93,FALSE)</f>
        <v>Expreso - Servicios Troncales</v>
      </c>
    </row>
    <row r="2220" spans="1:25" ht="14.25" customHeight="1" x14ac:dyDescent="0.3">
      <c r="A2220" s="1" t="s">
        <v>228</v>
      </c>
      <c r="B2220" s="1" t="s">
        <v>443</v>
      </c>
      <c r="C2220" s="1" t="s">
        <v>428</v>
      </c>
      <c r="D2220" s="1" t="s">
        <v>329</v>
      </c>
      <c r="E2220" s="6">
        <v>45678</v>
      </c>
      <c r="F2220" s="1">
        <v>799717</v>
      </c>
      <c r="G2220" s="1">
        <v>829717</v>
      </c>
      <c r="H2220" s="1">
        <v>57283.27</v>
      </c>
      <c r="I2220" s="1">
        <v>-27283.27</v>
      </c>
      <c r="J2220" s="1">
        <v>857000.27</v>
      </c>
      <c r="K2220" s="1">
        <v>269</v>
      </c>
      <c r="L2220" s="1">
        <v>232.68261029411761</v>
      </c>
      <c r="M2220" s="1">
        <v>-128.12117098063709</v>
      </c>
      <c r="N2220" s="7">
        <v>45947</v>
      </c>
      <c r="O2220" s="1">
        <v>30000</v>
      </c>
      <c r="P2220" s="7">
        <v>46204.861986006938</v>
      </c>
      <c r="T2220" s="1" t="s">
        <v>444</v>
      </c>
      <c r="U2220" s="1" t="s">
        <v>445</v>
      </c>
      <c r="V2220" s="1">
        <v>1</v>
      </c>
      <c r="W2220" s="3">
        <v>42100</v>
      </c>
      <c r="X2220" s="3">
        <v>42100</v>
      </c>
      <c r="Y2220" s="1" t="str">
        <f>VLOOKUP(A2220,[1]Detalle!$D$2:$CR$484,93,FALSE)</f>
        <v>Expreso - Servicios Troncales</v>
      </c>
    </row>
    <row r="2221" spans="1:25" ht="14.25" customHeight="1" x14ac:dyDescent="0.3">
      <c r="A2221" s="1" t="s">
        <v>96</v>
      </c>
      <c r="B2221" s="1" t="s">
        <v>451</v>
      </c>
      <c r="C2221" s="1" t="s">
        <v>451</v>
      </c>
      <c r="D2221" s="1" t="s">
        <v>344</v>
      </c>
      <c r="E2221" s="6">
        <v>45861</v>
      </c>
      <c r="F2221" s="1">
        <v>163295</v>
      </c>
      <c r="G2221" s="1">
        <v>193295</v>
      </c>
      <c r="H2221" s="1">
        <v>22184.6</v>
      </c>
      <c r="I2221" s="1">
        <v>7815.3999999999978</v>
      </c>
      <c r="J2221" s="1">
        <v>185479.6</v>
      </c>
      <c r="K2221" s="1">
        <v>86</v>
      </c>
      <c r="L2221" s="1">
        <v>281.98244274809178</v>
      </c>
      <c r="M2221" s="1">
        <v>30.296890635846481</v>
      </c>
      <c r="N2221" s="7">
        <v>45947</v>
      </c>
      <c r="O2221" s="1">
        <v>30000</v>
      </c>
      <c r="P2221" s="7">
        <v>46190.076095659722</v>
      </c>
      <c r="T2221" s="1" t="s">
        <v>345</v>
      </c>
      <c r="U2221" s="1" t="s">
        <v>346</v>
      </c>
      <c r="V2221" s="1">
        <v>1</v>
      </c>
      <c r="W2221" s="3">
        <v>10535.04</v>
      </c>
      <c r="X2221" s="3">
        <v>10535.04</v>
      </c>
      <c r="Y2221" s="1" t="str">
        <f>VLOOKUP(A2221,[1]Detalle!$D$2:$CR$484,93,FALSE)</f>
        <v>CENCOMLD - Cencosud SA - Mendoza</v>
      </c>
    </row>
    <row r="2222" spans="1:25" ht="14.25" customHeight="1" x14ac:dyDescent="0.3">
      <c r="A2222" s="1" t="s">
        <v>96</v>
      </c>
      <c r="B2222" s="1" t="s">
        <v>451</v>
      </c>
      <c r="C2222" s="1" t="s">
        <v>451</v>
      </c>
      <c r="D2222" s="1" t="s">
        <v>344</v>
      </c>
      <c r="E2222" s="6">
        <v>45861</v>
      </c>
      <c r="F2222" s="1">
        <v>163295</v>
      </c>
      <c r="G2222" s="1">
        <v>193295</v>
      </c>
      <c r="H2222" s="1">
        <v>22184.6</v>
      </c>
      <c r="I2222" s="1">
        <v>7815.3999999999978</v>
      </c>
      <c r="J2222" s="1">
        <v>185479.6</v>
      </c>
      <c r="K2222" s="1">
        <v>86</v>
      </c>
      <c r="L2222" s="1">
        <v>281.98244274809178</v>
      </c>
      <c r="M2222" s="1">
        <v>30.296890635846481</v>
      </c>
      <c r="N2222" s="7">
        <v>45947</v>
      </c>
      <c r="O2222" s="1">
        <v>30000</v>
      </c>
      <c r="P2222" s="7">
        <v>46190.076095659722</v>
      </c>
      <c r="T2222" s="1" t="s">
        <v>452</v>
      </c>
      <c r="U2222" s="1" t="s">
        <v>453</v>
      </c>
      <c r="V2222" s="1">
        <v>1</v>
      </c>
      <c r="W2222" s="3">
        <v>13118.81</v>
      </c>
      <c r="X2222" s="3">
        <v>13118.81</v>
      </c>
      <c r="Y2222" s="1" t="str">
        <f>VLOOKUP(A2222,[1]Detalle!$D$2:$CR$484,93,FALSE)</f>
        <v>CENCOMLD - Cencosud SA - Mendoza</v>
      </c>
    </row>
    <row r="2223" spans="1:25" ht="14.25" customHeight="1" x14ac:dyDescent="0.3">
      <c r="A2223" s="1" t="s">
        <v>186</v>
      </c>
      <c r="B2223" s="1" t="s">
        <v>451</v>
      </c>
      <c r="C2223" s="1" t="s">
        <v>451</v>
      </c>
      <c r="D2223" s="1" t="s">
        <v>344</v>
      </c>
      <c r="E2223" s="6">
        <v>45800</v>
      </c>
      <c r="F2223" s="1">
        <v>459582</v>
      </c>
      <c r="G2223" s="1">
        <v>489582</v>
      </c>
      <c r="H2223" s="1">
        <v>48012.699999999968</v>
      </c>
      <c r="I2223" s="1">
        <v>-18012.699999999972</v>
      </c>
      <c r="J2223" s="1">
        <v>507594.7</v>
      </c>
      <c r="K2223" s="1">
        <v>147</v>
      </c>
      <c r="L2223" s="1">
        <v>303.0774834437085</v>
      </c>
      <c r="M2223" s="1">
        <v>-55.149302163802432</v>
      </c>
      <c r="N2223" s="7">
        <v>45947</v>
      </c>
      <c r="O2223" s="1">
        <v>30000</v>
      </c>
      <c r="P2223" s="7">
        <v>46144.969177118059</v>
      </c>
      <c r="T2223" s="1" t="s">
        <v>345</v>
      </c>
      <c r="U2223" s="1" t="s">
        <v>346</v>
      </c>
      <c r="V2223" s="1">
        <v>1</v>
      </c>
      <c r="W2223" s="3">
        <v>10535.04</v>
      </c>
      <c r="X2223" s="3">
        <v>10535.04</v>
      </c>
      <c r="Y2223" s="1" t="str">
        <f>VLOOKUP(A2223,[1]Detalle!$D$2:$CR$484,93,FALSE)</f>
        <v>Expreso - Servicios Troncales</v>
      </c>
    </row>
    <row r="2224" spans="1:25" ht="14.25" customHeight="1" x14ac:dyDescent="0.3">
      <c r="A2224" s="1" t="s">
        <v>186</v>
      </c>
      <c r="B2224" s="1" t="s">
        <v>451</v>
      </c>
      <c r="C2224" s="1" t="s">
        <v>451</v>
      </c>
      <c r="D2224" s="1" t="s">
        <v>344</v>
      </c>
      <c r="E2224" s="6">
        <v>45800</v>
      </c>
      <c r="F2224" s="1">
        <v>459582</v>
      </c>
      <c r="G2224" s="1">
        <v>489582</v>
      </c>
      <c r="H2224" s="1">
        <v>48012.699999999968</v>
      </c>
      <c r="I2224" s="1">
        <v>-18012.699999999972</v>
      </c>
      <c r="J2224" s="1">
        <v>507594.7</v>
      </c>
      <c r="K2224" s="1">
        <v>147</v>
      </c>
      <c r="L2224" s="1">
        <v>303.0774834437085</v>
      </c>
      <c r="M2224" s="1">
        <v>-55.149302163802432</v>
      </c>
      <c r="N2224" s="7">
        <v>45947</v>
      </c>
      <c r="O2224" s="1">
        <v>30000</v>
      </c>
      <c r="P2224" s="7">
        <v>46144.969177118059</v>
      </c>
      <c r="T2224" s="1" t="s">
        <v>452</v>
      </c>
      <c r="U2224" s="1" t="s">
        <v>453</v>
      </c>
      <c r="V2224" s="1">
        <v>1</v>
      </c>
      <c r="W2224" s="3">
        <v>13118.81</v>
      </c>
      <c r="X2224" s="3">
        <v>13118.81</v>
      </c>
      <c r="Y2224" s="1" t="str">
        <f>VLOOKUP(A2224,[1]Detalle!$D$2:$CR$484,93,FALSE)</f>
        <v>Expreso - Servicios Troncales</v>
      </c>
    </row>
    <row r="2225" spans="1:25" ht="14.25" customHeight="1" x14ac:dyDescent="0.3">
      <c r="A2225" s="1" t="s">
        <v>8</v>
      </c>
      <c r="B2225" s="1" t="s">
        <v>454</v>
      </c>
      <c r="C2225" s="1" t="s">
        <v>451</v>
      </c>
      <c r="D2225" s="1" t="s">
        <v>344</v>
      </c>
      <c r="E2225" s="6">
        <v>45880</v>
      </c>
      <c r="F2225" s="1">
        <v>722255</v>
      </c>
      <c r="G2225" s="1">
        <v>752255</v>
      </c>
      <c r="H2225" s="1">
        <v>15317.7</v>
      </c>
      <c r="I2225" s="1">
        <v>14682.3</v>
      </c>
      <c r="J2225" s="1">
        <v>737572.7</v>
      </c>
      <c r="K2225" s="1">
        <v>67</v>
      </c>
      <c r="L2225" s="1">
        <v>286.50848708487092</v>
      </c>
      <c r="M2225" s="1">
        <v>64.220744628762787</v>
      </c>
      <c r="N2225" s="7">
        <v>45947</v>
      </c>
      <c r="O2225" s="1">
        <v>30000</v>
      </c>
      <c r="P2225" s="7">
        <v>46220.63862474537</v>
      </c>
      <c r="T2225" s="1" t="s">
        <v>455</v>
      </c>
      <c r="U2225" s="1" t="s">
        <v>456</v>
      </c>
      <c r="V2225" s="1">
        <v>1</v>
      </c>
      <c r="W2225" s="3">
        <v>19823.39</v>
      </c>
      <c r="X2225" s="3">
        <v>19823.39</v>
      </c>
      <c r="Y2225" s="1" t="str">
        <f>VLOOKUP(A2225,[1]Detalle!$D$2:$CR$484,93,FALSE)</f>
        <v>ADA_CH - Danone Arg. S.A. - Chascomus</v>
      </c>
    </row>
    <row r="2226" spans="1:25" ht="14.25" customHeight="1" x14ac:dyDescent="0.3">
      <c r="A2226" s="1" t="s">
        <v>8</v>
      </c>
      <c r="B2226" s="1" t="s">
        <v>454</v>
      </c>
      <c r="C2226" s="1" t="s">
        <v>451</v>
      </c>
      <c r="D2226" s="1" t="s">
        <v>344</v>
      </c>
      <c r="E2226" s="6">
        <v>45880</v>
      </c>
      <c r="F2226" s="1">
        <v>722255</v>
      </c>
      <c r="G2226" s="1">
        <v>752255</v>
      </c>
      <c r="H2226" s="1">
        <v>15317.7</v>
      </c>
      <c r="I2226" s="1">
        <v>14682.3</v>
      </c>
      <c r="J2226" s="1">
        <v>737572.7</v>
      </c>
      <c r="K2226" s="1">
        <v>67</v>
      </c>
      <c r="L2226" s="1">
        <v>286.50848708487092</v>
      </c>
      <c r="M2226" s="1">
        <v>64.220744628762787</v>
      </c>
      <c r="N2226" s="7">
        <v>45947</v>
      </c>
      <c r="O2226" s="1">
        <v>30000</v>
      </c>
      <c r="P2226" s="7">
        <v>46220.63862474537</v>
      </c>
      <c r="T2226" s="1" t="s">
        <v>452</v>
      </c>
      <c r="U2226" s="1" t="s">
        <v>453</v>
      </c>
      <c r="V2226" s="1">
        <v>1</v>
      </c>
      <c r="W2226" s="3">
        <v>13118.81</v>
      </c>
      <c r="X2226" s="3">
        <v>13118.81</v>
      </c>
      <c r="Y2226" s="1" t="str">
        <f>VLOOKUP(A2226,[1]Detalle!$D$2:$CR$484,93,FALSE)</f>
        <v>ADA_CH - Danone Arg. S.A. - Chascomus</v>
      </c>
    </row>
    <row r="2227" spans="1:25" ht="14.25" customHeight="1" x14ac:dyDescent="0.3">
      <c r="A2227" s="1" t="s">
        <v>11</v>
      </c>
      <c r="B2227" s="1" t="s">
        <v>454</v>
      </c>
      <c r="C2227" s="1" t="s">
        <v>451</v>
      </c>
      <c r="D2227" s="1" t="s">
        <v>344</v>
      </c>
      <c r="E2227" s="6">
        <v>45853</v>
      </c>
      <c r="F2227" s="1">
        <v>769430</v>
      </c>
      <c r="G2227" s="1">
        <v>799430</v>
      </c>
      <c r="H2227" s="1">
        <v>24465.80000000001</v>
      </c>
      <c r="I2227" s="1">
        <v>5534.1999999999935</v>
      </c>
      <c r="J2227" s="1">
        <v>793895.8</v>
      </c>
      <c r="K2227" s="1">
        <v>94</v>
      </c>
      <c r="L2227" s="1">
        <v>323.09338235294098</v>
      </c>
      <c r="M2227" s="1">
        <v>21.262938469210049</v>
      </c>
      <c r="N2227" s="7">
        <v>45947</v>
      </c>
      <c r="O2227" s="1">
        <v>30000</v>
      </c>
      <c r="P2227" s="7">
        <v>46153.967763379631</v>
      </c>
      <c r="T2227" s="1" t="s">
        <v>455</v>
      </c>
      <c r="U2227" s="1" t="s">
        <v>456</v>
      </c>
      <c r="V2227" s="1">
        <v>1</v>
      </c>
      <c r="W2227" s="3">
        <v>19823.39</v>
      </c>
      <c r="X2227" s="3">
        <v>19823.39</v>
      </c>
      <c r="Y2227" s="1" t="str">
        <f>VLOOKUP(A2227,[1]Detalle!$D$2:$CR$484,93,FALSE)</f>
        <v>ADA_CH - Danone Arg. S.A. - Chascomus</v>
      </c>
    </row>
    <row r="2228" spans="1:25" ht="14.25" customHeight="1" x14ac:dyDescent="0.3">
      <c r="A2228" s="1" t="s">
        <v>11</v>
      </c>
      <c r="B2228" s="1" t="s">
        <v>454</v>
      </c>
      <c r="C2228" s="1" t="s">
        <v>451</v>
      </c>
      <c r="D2228" s="1" t="s">
        <v>344</v>
      </c>
      <c r="E2228" s="6">
        <v>45853</v>
      </c>
      <c r="F2228" s="1">
        <v>769430</v>
      </c>
      <c r="G2228" s="1">
        <v>799430</v>
      </c>
      <c r="H2228" s="1">
        <v>24465.80000000001</v>
      </c>
      <c r="I2228" s="1">
        <v>5534.1999999999935</v>
      </c>
      <c r="J2228" s="1">
        <v>793895.8</v>
      </c>
      <c r="K2228" s="1">
        <v>94</v>
      </c>
      <c r="L2228" s="1">
        <v>323.09338235294098</v>
      </c>
      <c r="M2228" s="1">
        <v>21.262938469210049</v>
      </c>
      <c r="N2228" s="7">
        <v>45947</v>
      </c>
      <c r="O2228" s="1">
        <v>30000</v>
      </c>
      <c r="P2228" s="7">
        <v>46153.967763379631</v>
      </c>
      <c r="T2228" s="1" t="s">
        <v>452</v>
      </c>
      <c r="U2228" s="1" t="s">
        <v>453</v>
      </c>
      <c r="V2228" s="1">
        <v>1</v>
      </c>
      <c r="W2228" s="3">
        <v>13118.81</v>
      </c>
      <c r="X2228" s="3">
        <v>13118.81</v>
      </c>
      <c r="Y2228" s="1" t="str">
        <f>VLOOKUP(A2228,[1]Detalle!$D$2:$CR$484,93,FALSE)</f>
        <v>ADA_CH - Danone Arg. S.A. - Chascomus</v>
      </c>
    </row>
    <row r="2229" spans="1:25" ht="14.25" customHeight="1" x14ac:dyDescent="0.3">
      <c r="A2229" s="1" t="s">
        <v>13</v>
      </c>
      <c r="B2229" s="1" t="s">
        <v>454</v>
      </c>
      <c r="C2229" s="1" t="s">
        <v>451</v>
      </c>
      <c r="D2229" s="1" t="s">
        <v>344</v>
      </c>
      <c r="E2229" s="6">
        <v>45831</v>
      </c>
      <c r="F2229" s="1">
        <v>751112</v>
      </c>
      <c r="G2229" s="1">
        <v>781112</v>
      </c>
      <c r="H2229" s="1">
        <v>30284.500000000011</v>
      </c>
      <c r="I2229" s="1">
        <v>-284.50000000000728</v>
      </c>
      <c r="J2229" s="1">
        <v>781396.5</v>
      </c>
      <c r="K2229" s="1">
        <v>116</v>
      </c>
      <c r="L2229" s="1">
        <v>303.34772058823529</v>
      </c>
      <c r="M2229" s="1">
        <v>-1.089732371345105</v>
      </c>
      <c r="N2229" s="7">
        <v>45947</v>
      </c>
      <c r="O2229" s="1">
        <v>30000</v>
      </c>
      <c r="P2229" s="7">
        <v>46144.792816388886</v>
      </c>
      <c r="T2229" s="1" t="s">
        <v>455</v>
      </c>
      <c r="U2229" s="1" t="s">
        <v>456</v>
      </c>
      <c r="V2229" s="1">
        <v>1</v>
      </c>
      <c r="W2229" s="3">
        <v>19823.39</v>
      </c>
      <c r="X2229" s="3">
        <v>19823.39</v>
      </c>
      <c r="Y2229" s="1" t="str">
        <f>VLOOKUP(A2229,[1]Detalle!$D$2:$CR$484,93,FALSE)</f>
        <v>ADA_CH - Danone Arg. S.A. - Chascomus</v>
      </c>
    </row>
    <row r="2230" spans="1:25" ht="14.25" customHeight="1" x14ac:dyDescent="0.3">
      <c r="A2230" s="1" t="s">
        <v>13</v>
      </c>
      <c r="B2230" s="1" t="s">
        <v>454</v>
      </c>
      <c r="C2230" s="1" t="s">
        <v>451</v>
      </c>
      <c r="D2230" s="1" t="s">
        <v>344</v>
      </c>
      <c r="E2230" s="6">
        <v>45831</v>
      </c>
      <c r="F2230" s="1">
        <v>751112</v>
      </c>
      <c r="G2230" s="1">
        <v>781112</v>
      </c>
      <c r="H2230" s="1">
        <v>30284.500000000011</v>
      </c>
      <c r="I2230" s="1">
        <v>-284.50000000000728</v>
      </c>
      <c r="J2230" s="1">
        <v>781396.5</v>
      </c>
      <c r="K2230" s="1">
        <v>116</v>
      </c>
      <c r="L2230" s="1">
        <v>303.34772058823529</v>
      </c>
      <c r="M2230" s="1">
        <v>-1.089732371345105</v>
      </c>
      <c r="N2230" s="7">
        <v>45947</v>
      </c>
      <c r="O2230" s="1">
        <v>30000</v>
      </c>
      <c r="P2230" s="7">
        <v>46144.792816388886</v>
      </c>
      <c r="T2230" s="1" t="s">
        <v>452</v>
      </c>
      <c r="U2230" s="1" t="s">
        <v>453</v>
      </c>
      <c r="V2230" s="1">
        <v>1</v>
      </c>
      <c r="W2230" s="3">
        <v>13118.81</v>
      </c>
      <c r="X2230" s="3">
        <v>13118.81</v>
      </c>
      <c r="Y2230" s="1" t="str">
        <f>VLOOKUP(A2230,[1]Detalle!$D$2:$CR$484,93,FALSE)</f>
        <v>ADA_CH - Danone Arg. S.A. - Chascomus</v>
      </c>
    </row>
    <row r="2231" spans="1:25" ht="14.25" customHeight="1" x14ac:dyDescent="0.3">
      <c r="A2231" s="1" t="s">
        <v>6</v>
      </c>
      <c r="B2231" s="1" t="s">
        <v>454</v>
      </c>
      <c r="C2231" s="1" t="s">
        <v>451</v>
      </c>
      <c r="D2231" s="1" t="s">
        <v>344</v>
      </c>
      <c r="E2231" s="6">
        <v>45845</v>
      </c>
      <c r="F2231" s="1">
        <v>726661</v>
      </c>
      <c r="G2231" s="1">
        <v>756661</v>
      </c>
      <c r="H2231" s="1">
        <v>24602.2</v>
      </c>
      <c r="I2231" s="1">
        <v>5397.7999999999956</v>
      </c>
      <c r="J2231" s="1">
        <v>751263.2</v>
      </c>
      <c r="K2231" s="1">
        <v>102</v>
      </c>
      <c r="L2231" s="1">
        <v>306.8559191176472</v>
      </c>
      <c r="M2231" s="1">
        <v>22.379120566453381</v>
      </c>
      <c r="N2231" s="7">
        <v>45947</v>
      </c>
      <c r="O2231" s="1">
        <v>30000</v>
      </c>
      <c r="P2231" s="7">
        <v>46164.910626597222</v>
      </c>
      <c r="T2231" s="1" t="s">
        <v>455</v>
      </c>
      <c r="U2231" s="1" t="s">
        <v>456</v>
      </c>
      <c r="V2231" s="1">
        <v>1</v>
      </c>
      <c r="W2231" s="3">
        <v>19823.39</v>
      </c>
      <c r="X2231" s="3">
        <v>19823.39</v>
      </c>
      <c r="Y2231" s="1" t="str">
        <f>VLOOKUP(A2231,[1]Detalle!$D$2:$CR$484,93,FALSE)</f>
        <v>ADA_CH - Danone Arg. S.A. - Chascomus</v>
      </c>
    </row>
    <row r="2232" spans="1:25" ht="14.25" customHeight="1" x14ac:dyDescent="0.3">
      <c r="A2232" s="1" t="s">
        <v>6</v>
      </c>
      <c r="B2232" s="1" t="s">
        <v>454</v>
      </c>
      <c r="C2232" s="1" t="s">
        <v>451</v>
      </c>
      <c r="D2232" s="1" t="s">
        <v>344</v>
      </c>
      <c r="E2232" s="6">
        <v>45845</v>
      </c>
      <c r="F2232" s="1">
        <v>726661</v>
      </c>
      <c r="G2232" s="1">
        <v>756661</v>
      </c>
      <c r="H2232" s="1">
        <v>24602.2</v>
      </c>
      <c r="I2232" s="1">
        <v>5397.7999999999956</v>
      </c>
      <c r="J2232" s="1">
        <v>751263.2</v>
      </c>
      <c r="K2232" s="1">
        <v>102</v>
      </c>
      <c r="L2232" s="1">
        <v>306.8559191176472</v>
      </c>
      <c r="M2232" s="1">
        <v>22.379120566453381</v>
      </c>
      <c r="N2232" s="7">
        <v>45947</v>
      </c>
      <c r="O2232" s="1">
        <v>30000</v>
      </c>
      <c r="P2232" s="7">
        <v>46164.910626597222</v>
      </c>
      <c r="T2232" s="1" t="s">
        <v>452</v>
      </c>
      <c r="U2232" s="1" t="s">
        <v>453</v>
      </c>
      <c r="V2232" s="1">
        <v>1</v>
      </c>
      <c r="W2232" s="3">
        <v>13118.81</v>
      </c>
      <c r="X2232" s="3">
        <v>13118.81</v>
      </c>
      <c r="Y2232" s="1" t="str">
        <f>VLOOKUP(A2232,[1]Detalle!$D$2:$CR$484,93,FALSE)</f>
        <v>ADA_CH - Danone Arg. S.A. - Chascomus</v>
      </c>
    </row>
    <row r="2233" spans="1:25" ht="14.25" customHeight="1" x14ac:dyDescent="0.3">
      <c r="A2233" s="1" t="s">
        <v>7</v>
      </c>
      <c r="B2233" s="1" t="s">
        <v>454</v>
      </c>
      <c r="C2233" s="1" t="s">
        <v>451</v>
      </c>
      <c r="D2233" s="1" t="s">
        <v>344</v>
      </c>
      <c r="E2233" s="6">
        <v>45835</v>
      </c>
      <c r="F2233" s="1">
        <v>743648</v>
      </c>
      <c r="G2233" s="1">
        <v>773648</v>
      </c>
      <c r="H2233" s="1">
        <v>30763.099999999991</v>
      </c>
      <c r="I2233" s="1">
        <v>-763.09999999998763</v>
      </c>
      <c r="J2233" s="1">
        <v>774411.1</v>
      </c>
      <c r="K2233" s="1">
        <v>112</v>
      </c>
      <c r="L2233" s="1">
        <v>282.61870229007633</v>
      </c>
      <c r="M2233" s="1">
        <v>-2.77823756383455</v>
      </c>
      <c r="N2233" s="7">
        <v>45947</v>
      </c>
      <c r="O2233" s="1">
        <v>30000</v>
      </c>
      <c r="P2233" s="7">
        <v>46159.30017516204</v>
      </c>
      <c r="T2233" s="1" t="s">
        <v>455</v>
      </c>
      <c r="U2233" s="1" t="s">
        <v>456</v>
      </c>
      <c r="V2233" s="1">
        <v>1</v>
      </c>
      <c r="W2233" s="3">
        <v>19823.39</v>
      </c>
      <c r="X2233" s="3">
        <v>19823.39</v>
      </c>
      <c r="Y2233" s="1" t="str">
        <f>VLOOKUP(A2233,[1]Detalle!$D$2:$CR$484,93,FALSE)</f>
        <v>ADA_CH - Danone Arg. S.A. - Chascomus</v>
      </c>
    </row>
    <row r="2234" spans="1:25" ht="14.25" customHeight="1" x14ac:dyDescent="0.3">
      <c r="A2234" s="1" t="s">
        <v>7</v>
      </c>
      <c r="B2234" s="1" t="s">
        <v>454</v>
      </c>
      <c r="C2234" s="1" t="s">
        <v>451</v>
      </c>
      <c r="D2234" s="1" t="s">
        <v>344</v>
      </c>
      <c r="E2234" s="6">
        <v>45835</v>
      </c>
      <c r="F2234" s="1">
        <v>743648</v>
      </c>
      <c r="G2234" s="1">
        <v>773648</v>
      </c>
      <c r="H2234" s="1">
        <v>30763.099999999991</v>
      </c>
      <c r="I2234" s="1">
        <v>-763.09999999998763</v>
      </c>
      <c r="J2234" s="1">
        <v>774411.1</v>
      </c>
      <c r="K2234" s="1">
        <v>112</v>
      </c>
      <c r="L2234" s="1">
        <v>282.61870229007633</v>
      </c>
      <c r="M2234" s="1">
        <v>-2.77823756383455</v>
      </c>
      <c r="N2234" s="7">
        <v>45947</v>
      </c>
      <c r="O2234" s="1">
        <v>30000</v>
      </c>
      <c r="P2234" s="7">
        <v>46159.30017516204</v>
      </c>
      <c r="T2234" s="1" t="s">
        <v>452</v>
      </c>
      <c r="U2234" s="1" t="s">
        <v>453</v>
      </c>
      <c r="V2234" s="1">
        <v>1</v>
      </c>
      <c r="W2234" s="3">
        <v>13118.81</v>
      </c>
      <c r="X2234" s="3">
        <v>13118.81</v>
      </c>
      <c r="Y2234" s="1" t="str">
        <f>VLOOKUP(A2234,[1]Detalle!$D$2:$CR$484,93,FALSE)</f>
        <v>ADA_CH - Danone Arg. S.A. - Chascomus</v>
      </c>
    </row>
    <row r="2235" spans="1:25" ht="14.25" customHeight="1" x14ac:dyDescent="0.3">
      <c r="A2235" s="1" t="s">
        <v>9</v>
      </c>
      <c r="B2235" s="1" t="s">
        <v>454</v>
      </c>
      <c r="C2235" s="1" t="s">
        <v>451</v>
      </c>
      <c r="D2235" s="1" t="s">
        <v>344</v>
      </c>
      <c r="E2235" s="6">
        <v>45789</v>
      </c>
      <c r="F2235" s="1">
        <v>828813</v>
      </c>
      <c r="G2235" s="1">
        <v>858813</v>
      </c>
      <c r="H2235" s="1">
        <v>52575.80000000001</v>
      </c>
      <c r="I2235" s="1">
        <v>-22575.80000000001</v>
      </c>
      <c r="J2235" s="1">
        <v>881388.8</v>
      </c>
      <c r="K2235" s="1">
        <v>158</v>
      </c>
      <c r="L2235" s="1">
        <v>352.51014814814829</v>
      </c>
      <c r="M2235" s="1">
        <v>-67.844453151449926</v>
      </c>
      <c r="N2235" s="7">
        <v>45947</v>
      </c>
      <c r="O2235" s="1">
        <v>30000</v>
      </c>
      <c r="P2235" s="7">
        <v>46117.207865833327</v>
      </c>
      <c r="T2235" s="1" t="s">
        <v>455</v>
      </c>
      <c r="U2235" s="1" t="s">
        <v>456</v>
      </c>
      <c r="V2235" s="1">
        <v>1</v>
      </c>
      <c r="W2235" s="3">
        <v>19823.39</v>
      </c>
      <c r="X2235" s="3">
        <v>19823.39</v>
      </c>
      <c r="Y2235" s="1" t="str">
        <f>VLOOKUP(A2235,[1]Detalle!$D$2:$CR$484,93,FALSE)</f>
        <v>ADA_CH - Danone Arg. S.A. - Chascomus</v>
      </c>
    </row>
    <row r="2236" spans="1:25" ht="14.25" customHeight="1" x14ac:dyDescent="0.3">
      <c r="A2236" s="1" t="s">
        <v>9</v>
      </c>
      <c r="B2236" s="1" t="s">
        <v>454</v>
      </c>
      <c r="C2236" s="1" t="s">
        <v>451</v>
      </c>
      <c r="D2236" s="1" t="s">
        <v>344</v>
      </c>
      <c r="E2236" s="6">
        <v>45789</v>
      </c>
      <c r="F2236" s="1">
        <v>828813</v>
      </c>
      <c r="G2236" s="1">
        <v>858813</v>
      </c>
      <c r="H2236" s="1">
        <v>52575.80000000001</v>
      </c>
      <c r="I2236" s="1">
        <v>-22575.80000000001</v>
      </c>
      <c r="J2236" s="1">
        <v>881388.8</v>
      </c>
      <c r="K2236" s="1">
        <v>158</v>
      </c>
      <c r="L2236" s="1">
        <v>352.51014814814829</v>
      </c>
      <c r="M2236" s="1">
        <v>-67.844453151449926</v>
      </c>
      <c r="N2236" s="7">
        <v>45947</v>
      </c>
      <c r="O2236" s="1">
        <v>30000</v>
      </c>
      <c r="P2236" s="7">
        <v>46117.207865833327</v>
      </c>
      <c r="T2236" s="1" t="s">
        <v>452</v>
      </c>
      <c r="U2236" s="1" t="s">
        <v>453</v>
      </c>
      <c r="V2236" s="1">
        <v>1</v>
      </c>
      <c r="W2236" s="3">
        <v>13118.81</v>
      </c>
      <c r="X2236" s="3">
        <v>13118.81</v>
      </c>
      <c r="Y2236" s="1" t="str">
        <f>VLOOKUP(A2236,[1]Detalle!$D$2:$CR$484,93,FALSE)</f>
        <v>ADA_CH - Danone Arg. S.A. - Chascomus</v>
      </c>
    </row>
    <row r="2237" spans="1:25" ht="14.25" customHeight="1" x14ac:dyDescent="0.3">
      <c r="A2237" s="1" t="s">
        <v>17</v>
      </c>
      <c r="B2237" s="1" t="s">
        <v>454</v>
      </c>
      <c r="C2237" s="1" t="s">
        <v>451</v>
      </c>
      <c r="D2237" s="1" t="s">
        <v>344</v>
      </c>
      <c r="E2237" s="6">
        <v>45776</v>
      </c>
      <c r="F2237" s="1">
        <v>664392</v>
      </c>
      <c r="G2237" s="1">
        <v>694392</v>
      </c>
      <c r="H2237" s="1">
        <v>62703.799999999981</v>
      </c>
      <c r="I2237" s="1">
        <v>-32703.799999999981</v>
      </c>
      <c r="J2237" s="1">
        <v>727095.79999999993</v>
      </c>
      <c r="K2237" s="1">
        <v>171</v>
      </c>
      <c r="L2237" s="1">
        <v>382.02855555555578</v>
      </c>
      <c r="M2237" s="1">
        <v>-89.186776558996399</v>
      </c>
      <c r="N2237" s="7">
        <v>45947</v>
      </c>
      <c r="O2237" s="1">
        <v>30000</v>
      </c>
      <c r="P2237" s="7">
        <v>46104.056322430559</v>
      </c>
      <c r="T2237" s="1" t="s">
        <v>455</v>
      </c>
      <c r="U2237" s="1" t="s">
        <v>456</v>
      </c>
      <c r="V2237" s="1">
        <v>1</v>
      </c>
      <c r="W2237" s="3">
        <v>19823.39</v>
      </c>
      <c r="X2237" s="3">
        <v>19823.39</v>
      </c>
      <c r="Y2237" s="1" t="str">
        <f>VLOOKUP(A2237,[1]Detalle!$D$2:$CR$484,93,FALSE)</f>
        <v>Expreso - Servicios Troncales</v>
      </c>
    </row>
    <row r="2238" spans="1:25" ht="14.25" customHeight="1" x14ac:dyDescent="0.3">
      <c r="A2238" s="1" t="s">
        <v>17</v>
      </c>
      <c r="B2238" s="1" t="s">
        <v>454</v>
      </c>
      <c r="C2238" s="1" t="s">
        <v>451</v>
      </c>
      <c r="D2238" s="1" t="s">
        <v>344</v>
      </c>
      <c r="E2238" s="6">
        <v>45776</v>
      </c>
      <c r="F2238" s="1">
        <v>664392</v>
      </c>
      <c r="G2238" s="1">
        <v>694392</v>
      </c>
      <c r="H2238" s="1">
        <v>62703.799999999981</v>
      </c>
      <c r="I2238" s="1">
        <v>-32703.799999999981</v>
      </c>
      <c r="J2238" s="1">
        <v>727095.79999999993</v>
      </c>
      <c r="K2238" s="1">
        <v>171</v>
      </c>
      <c r="L2238" s="1">
        <v>382.02855555555578</v>
      </c>
      <c r="M2238" s="1">
        <v>-89.186776558996399</v>
      </c>
      <c r="N2238" s="7">
        <v>45947</v>
      </c>
      <c r="O2238" s="1">
        <v>30000</v>
      </c>
      <c r="P2238" s="7">
        <v>46104.056322430559</v>
      </c>
      <c r="T2238" s="1" t="s">
        <v>452</v>
      </c>
      <c r="U2238" s="1" t="s">
        <v>453</v>
      </c>
      <c r="V2238" s="1">
        <v>1</v>
      </c>
      <c r="W2238" s="3">
        <v>13118.81</v>
      </c>
      <c r="X2238" s="3">
        <v>13118.81</v>
      </c>
      <c r="Y2238" s="1" t="str">
        <f>VLOOKUP(A2238,[1]Detalle!$D$2:$CR$484,93,FALSE)</f>
        <v>Expreso - Servicios Troncales</v>
      </c>
    </row>
    <row r="2239" spans="1:25" ht="14.25" customHeight="1" x14ac:dyDescent="0.3">
      <c r="A2239" s="1" t="s">
        <v>18</v>
      </c>
      <c r="B2239" s="1" t="s">
        <v>454</v>
      </c>
      <c r="C2239" s="1" t="s">
        <v>451</v>
      </c>
      <c r="D2239" s="1" t="s">
        <v>344</v>
      </c>
      <c r="E2239" s="6">
        <v>45852</v>
      </c>
      <c r="F2239" s="1">
        <v>654972</v>
      </c>
      <c r="G2239" s="1">
        <v>684972</v>
      </c>
      <c r="H2239" s="1">
        <v>26383.500000000011</v>
      </c>
      <c r="I2239" s="1">
        <v>3616.4999999999932</v>
      </c>
      <c r="J2239" s="1">
        <v>681355.5</v>
      </c>
      <c r="K2239" s="1">
        <v>95</v>
      </c>
      <c r="L2239" s="1">
        <v>381.04202205882348</v>
      </c>
      <c r="M2239" s="1">
        <v>13.02205924157141</v>
      </c>
      <c r="N2239" s="7">
        <v>45947</v>
      </c>
      <c r="O2239" s="1">
        <v>30000</v>
      </c>
      <c r="P2239" s="7">
        <v>46117.485006967603</v>
      </c>
      <c r="T2239" s="1" t="s">
        <v>455</v>
      </c>
      <c r="U2239" s="1" t="s">
        <v>456</v>
      </c>
      <c r="V2239" s="1">
        <v>1</v>
      </c>
      <c r="W2239" s="3">
        <v>19823.39</v>
      </c>
      <c r="X2239" s="3">
        <v>19823.39</v>
      </c>
      <c r="Y2239" s="1" t="str">
        <f>VLOOKUP(A2239,[1]Detalle!$D$2:$CR$484,93,FALSE)</f>
        <v>Expreso - Servicios Troncales</v>
      </c>
    </row>
    <row r="2240" spans="1:25" ht="14.25" customHeight="1" x14ac:dyDescent="0.3">
      <c r="A2240" s="1" t="s">
        <v>18</v>
      </c>
      <c r="B2240" s="1" t="s">
        <v>454</v>
      </c>
      <c r="C2240" s="1" t="s">
        <v>451</v>
      </c>
      <c r="D2240" s="1" t="s">
        <v>344</v>
      </c>
      <c r="E2240" s="6">
        <v>45852</v>
      </c>
      <c r="F2240" s="1">
        <v>654972</v>
      </c>
      <c r="G2240" s="1">
        <v>684972</v>
      </c>
      <c r="H2240" s="1">
        <v>26383.500000000011</v>
      </c>
      <c r="I2240" s="1">
        <v>3616.4999999999932</v>
      </c>
      <c r="J2240" s="1">
        <v>681355.5</v>
      </c>
      <c r="K2240" s="1">
        <v>95</v>
      </c>
      <c r="L2240" s="1">
        <v>381.04202205882348</v>
      </c>
      <c r="M2240" s="1">
        <v>13.02205924157141</v>
      </c>
      <c r="N2240" s="7">
        <v>45947</v>
      </c>
      <c r="O2240" s="1">
        <v>30000</v>
      </c>
      <c r="P2240" s="7">
        <v>46117.485006967603</v>
      </c>
      <c r="T2240" s="1" t="s">
        <v>452</v>
      </c>
      <c r="U2240" s="1" t="s">
        <v>453</v>
      </c>
      <c r="V2240" s="1">
        <v>1</v>
      </c>
      <c r="W2240" s="3">
        <v>13118.81</v>
      </c>
      <c r="X2240" s="3">
        <v>13118.81</v>
      </c>
      <c r="Y2240" s="1" t="str">
        <f>VLOOKUP(A2240,[1]Detalle!$D$2:$CR$484,93,FALSE)</f>
        <v>Expreso - Servicios Troncales</v>
      </c>
    </row>
    <row r="2241" spans="1:25" ht="14.25" customHeight="1" x14ac:dyDescent="0.3">
      <c r="A2241" s="1" t="s">
        <v>231</v>
      </c>
      <c r="B2241" s="1" t="s">
        <v>454</v>
      </c>
      <c r="C2241" s="1" t="s">
        <v>451</v>
      </c>
      <c r="D2241" s="1" t="s">
        <v>344</v>
      </c>
      <c r="E2241" s="6">
        <v>45889</v>
      </c>
      <c r="F2241" s="1">
        <v>1836513</v>
      </c>
      <c r="G2241" s="1">
        <v>1866513</v>
      </c>
      <c r="H2241" s="1">
        <v>14116.4</v>
      </c>
      <c r="I2241" s="1">
        <v>15883.6</v>
      </c>
      <c r="J2241" s="1">
        <v>1850629.4</v>
      </c>
      <c r="K2241" s="1">
        <v>58</v>
      </c>
      <c r="L2241" s="1">
        <v>332.5574264705881</v>
      </c>
      <c r="M2241" s="1">
        <v>65.260888045110633</v>
      </c>
      <c r="N2241" s="7">
        <v>45947</v>
      </c>
      <c r="O2241" s="1">
        <v>30000</v>
      </c>
      <c r="P2241" s="7">
        <v>46192.680855312501</v>
      </c>
      <c r="T2241" s="1" t="s">
        <v>455</v>
      </c>
      <c r="U2241" s="1" t="s">
        <v>456</v>
      </c>
      <c r="V2241" s="1">
        <v>1</v>
      </c>
      <c r="W2241" s="3">
        <v>19823.39</v>
      </c>
      <c r="X2241" s="3">
        <v>19823.39</v>
      </c>
      <c r="Y2241" s="1" t="str">
        <f>VLOOKUP(A2241,[1]Detalle!$D$2:$CR$484,93,FALSE)</f>
        <v>Expreso - Servicios Troncales</v>
      </c>
    </row>
    <row r="2242" spans="1:25" ht="14.25" customHeight="1" x14ac:dyDescent="0.3">
      <c r="A2242" s="1" t="s">
        <v>231</v>
      </c>
      <c r="B2242" s="1" t="s">
        <v>454</v>
      </c>
      <c r="C2242" s="1" t="s">
        <v>451</v>
      </c>
      <c r="D2242" s="1" t="s">
        <v>344</v>
      </c>
      <c r="E2242" s="6">
        <v>45889</v>
      </c>
      <c r="F2242" s="1">
        <v>1836513</v>
      </c>
      <c r="G2242" s="1">
        <v>1866513</v>
      </c>
      <c r="H2242" s="1">
        <v>14116.4</v>
      </c>
      <c r="I2242" s="1">
        <v>15883.6</v>
      </c>
      <c r="J2242" s="1">
        <v>1850629.4</v>
      </c>
      <c r="K2242" s="1">
        <v>58</v>
      </c>
      <c r="L2242" s="1">
        <v>332.5574264705881</v>
      </c>
      <c r="M2242" s="1">
        <v>65.260888045110633</v>
      </c>
      <c r="N2242" s="7">
        <v>45947</v>
      </c>
      <c r="O2242" s="1">
        <v>30000</v>
      </c>
      <c r="P2242" s="7">
        <v>46192.680855312501</v>
      </c>
      <c r="T2242" s="1" t="s">
        <v>452</v>
      </c>
      <c r="U2242" s="1" t="s">
        <v>453</v>
      </c>
      <c r="V2242" s="1">
        <v>1</v>
      </c>
      <c r="W2242" s="3">
        <v>13118.81</v>
      </c>
      <c r="X2242" s="3">
        <v>13118.81</v>
      </c>
      <c r="Y2242" s="1" t="str">
        <f>VLOOKUP(A2242,[1]Detalle!$D$2:$CR$484,93,FALSE)</f>
        <v>Expreso - Servicios Troncales</v>
      </c>
    </row>
    <row r="2243" spans="1:25" ht="14.25" customHeight="1" x14ac:dyDescent="0.3">
      <c r="A2243" s="1" t="s">
        <v>279</v>
      </c>
      <c r="B2243" s="1" t="s">
        <v>457</v>
      </c>
      <c r="C2243" s="1" t="s">
        <v>451</v>
      </c>
      <c r="D2243" s="1" t="s">
        <v>344</v>
      </c>
      <c r="E2243" s="6">
        <v>45688</v>
      </c>
      <c r="F2243" s="1">
        <v>35081.599999999999</v>
      </c>
      <c r="G2243" s="1">
        <v>65081.599999999999</v>
      </c>
      <c r="H2243" s="1">
        <v>51895.159999999982</v>
      </c>
      <c r="I2243" s="1">
        <v>-21895.159999999982</v>
      </c>
      <c r="J2243" s="1">
        <v>86976.75999999998</v>
      </c>
      <c r="K2243" s="1">
        <v>259</v>
      </c>
      <c r="L2243" s="1">
        <v>197.99579335793359</v>
      </c>
      <c r="M2243" s="1">
        <v>-109.2750545522935</v>
      </c>
      <c r="N2243" s="7">
        <v>45947</v>
      </c>
      <c r="O2243" s="1">
        <v>30000</v>
      </c>
      <c r="P2243" s="7">
        <v>46250.036741249998</v>
      </c>
      <c r="T2243" s="1" t="s">
        <v>458</v>
      </c>
      <c r="U2243" s="1" t="s">
        <v>459</v>
      </c>
      <c r="V2243" s="1">
        <v>1</v>
      </c>
      <c r="W2243" s="3">
        <v>23207.05</v>
      </c>
      <c r="X2243" s="3">
        <v>23207.05</v>
      </c>
      <c r="Y2243" s="1" t="str">
        <f>VLOOKUP(A2243,[1]Detalle!$D$2:$CR$484,93,FALSE)</f>
        <v>Expreso - Servicios Troncales</v>
      </c>
    </row>
    <row r="2244" spans="1:25" ht="14.25" customHeight="1" x14ac:dyDescent="0.3">
      <c r="A2244" s="1" t="s">
        <v>279</v>
      </c>
      <c r="B2244" s="1" t="s">
        <v>457</v>
      </c>
      <c r="C2244" s="1" t="s">
        <v>451</v>
      </c>
      <c r="D2244" s="1" t="s">
        <v>344</v>
      </c>
      <c r="E2244" s="6">
        <v>45688</v>
      </c>
      <c r="F2244" s="1">
        <v>35081.599999999999</v>
      </c>
      <c r="G2244" s="1">
        <v>65081.599999999999</v>
      </c>
      <c r="H2244" s="1">
        <v>51895.159999999982</v>
      </c>
      <c r="I2244" s="1">
        <v>-21895.159999999982</v>
      </c>
      <c r="J2244" s="1">
        <v>86976.75999999998</v>
      </c>
      <c r="K2244" s="1">
        <v>259</v>
      </c>
      <c r="L2244" s="1">
        <v>197.99579335793359</v>
      </c>
      <c r="M2244" s="1">
        <v>-109.2750545522935</v>
      </c>
      <c r="N2244" s="7">
        <v>45947</v>
      </c>
      <c r="O2244" s="1">
        <v>30000</v>
      </c>
      <c r="P2244" s="7">
        <v>46250.036741249998</v>
      </c>
      <c r="T2244" s="1" t="s">
        <v>460</v>
      </c>
      <c r="U2244" s="1" t="s">
        <v>461</v>
      </c>
      <c r="V2244" s="1">
        <v>1</v>
      </c>
      <c r="W2244" s="3">
        <v>53100</v>
      </c>
      <c r="X2244" s="3">
        <v>53100</v>
      </c>
      <c r="Y2244" s="1" t="str">
        <f>VLOOKUP(A2244,[1]Detalle!$D$2:$CR$484,93,FALSE)</f>
        <v>Expreso - Servicios Troncales</v>
      </c>
    </row>
    <row r="2245" spans="1:25" ht="14.25" customHeight="1" x14ac:dyDescent="0.3">
      <c r="A2245" s="1" t="s">
        <v>228</v>
      </c>
      <c r="B2245" s="1" t="s">
        <v>457</v>
      </c>
      <c r="C2245" s="1" t="s">
        <v>451</v>
      </c>
      <c r="D2245" s="1" t="s">
        <v>344</v>
      </c>
      <c r="E2245" s="6">
        <v>45678</v>
      </c>
      <c r="F2245" s="1">
        <v>799717</v>
      </c>
      <c r="G2245" s="1">
        <v>829717</v>
      </c>
      <c r="H2245" s="1">
        <v>57283.27</v>
      </c>
      <c r="I2245" s="1">
        <v>-27283.27</v>
      </c>
      <c r="J2245" s="1">
        <v>857000.27</v>
      </c>
      <c r="K2245" s="1">
        <v>269</v>
      </c>
      <c r="L2245" s="1">
        <v>232.68261029411761</v>
      </c>
      <c r="M2245" s="1">
        <v>-128.12117098063709</v>
      </c>
      <c r="N2245" s="7">
        <v>45947</v>
      </c>
      <c r="O2245" s="1">
        <v>30000</v>
      </c>
      <c r="P2245" s="7">
        <v>46204.861986006938</v>
      </c>
      <c r="T2245" s="1" t="s">
        <v>458</v>
      </c>
      <c r="U2245" s="1" t="s">
        <v>459</v>
      </c>
      <c r="V2245" s="1">
        <v>1</v>
      </c>
      <c r="W2245" s="3">
        <v>23207.05</v>
      </c>
      <c r="X2245" s="3">
        <v>23207.05</v>
      </c>
      <c r="Y2245" s="1" t="str">
        <f>VLOOKUP(A2245,[1]Detalle!$D$2:$CR$484,93,FALSE)</f>
        <v>Expreso - Servicios Troncales</v>
      </c>
    </row>
    <row r="2246" spans="1:25" ht="14.25" customHeight="1" x14ac:dyDescent="0.3">
      <c r="A2246" s="1" t="s">
        <v>228</v>
      </c>
      <c r="B2246" s="1" t="s">
        <v>457</v>
      </c>
      <c r="C2246" s="1" t="s">
        <v>451</v>
      </c>
      <c r="D2246" s="1" t="s">
        <v>344</v>
      </c>
      <c r="E2246" s="6">
        <v>45678</v>
      </c>
      <c r="F2246" s="1">
        <v>799717</v>
      </c>
      <c r="G2246" s="1">
        <v>829717</v>
      </c>
      <c r="H2246" s="1">
        <v>57283.27</v>
      </c>
      <c r="I2246" s="1">
        <v>-27283.27</v>
      </c>
      <c r="J2246" s="1">
        <v>857000.27</v>
      </c>
      <c r="K2246" s="1">
        <v>269</v>
      </c>
      <c r="L2246" s="1">
        <v>232.68261029411761</v>
      </c>
      <c r="M2246" s="1">
        <v>-128.12117098063709</v>
      </c>
      <c r="N2246" s="7">
        <v>45947</v>
      </c>
      <c r="O2246" s="1">
        <v>30000</v>
      </c>
      <c r="P2246" s="7">
        <v>46204.861986006938</v>
      </c>
      <c r="T2246" s="1" t="s">
        <v>460</v>
      </c>
      <c r="U2246" s="1" t="s">
        <v>461</v>
      </c>
      <c r="V2246" s="1">
        <v>1</v>
      </c>
      <c r="W2246" s="3">
        <v>53100</v>
      </c>
      <c r="X2246" s="3">
        <v>53100</v>
      </c>
      <c r="Y2246" s="1" t="str">
        <f>VLOOKUP(A2246,[1]Detalle!$D$2:$CR$484,93,FALSE)</f>
        <v>Expreso - Servicios Troncales</v>
      </c>
    </row>
    <row r="2247" spans="1:25" ht="14.25" customHeight="1" x14ac:dyDescent="0.3">
      <c r="A2247" s="1" t="s">
        <v>96</v>
      </c>
      <c r="B2247" s="1" t="s">
        <v>467</v>
      </c>
      <c r="C2247" s="1" t="s">
        <v>467</v>
      </c>
      <c r="D2247" s="1" t="s">
        <v>366</v>
      </c>
      <c r="E2247" s="6">
        <v>45861</v>
      </c>
      <c r="F2247" s="1">
        <v>163295</v>
      </c>
      <c r="G2247" s="1">
        <v>193295</v>
      </c>
      <c r="H2247" s="1">
        <v>22184.6</v>
      </c>
      <c r="I2247" s="1">
        <v>7815.3999999999978</v>
      </c>
      <c r="J2247" s="1">
        <v>185479.6</v>
      </c>
      <c r="K2247" s="1">
        <v>86</v>
      </c>
      <c r="L2247" s="1">
        <v>281.98244274809178</v>
      </c>
      <c r="M2247" s="1">
        <v>30.296890635846481</v>
      </c>
      <c r="N2247" s="7">
        <v>45947</v>
      </c>
      <c r="O2247" s="1">
        <v>30000</v>
      </c>
      <c r="P2247" s="7">
        <v>46190.076095659722</v>
      </c>
      <c r="T2247" s="1" t="s">
        <v>422</v>
      </c>
      <c r="U2247" s="1" t="s">
        <v>423</v>
      </c>
      <c r="V2247" s="1">
        <v>1</v>
      </c>
      <c r="W2247" s="3">
        <v>49777.919999999998</v>
      </c>
      <c r="X2247" s="3">
        <v>49777.919999999998</v>
      </c>
      <c r="Y2247" s="1" t="str">
        <f>VLOOKUP(A2247,[1]Detalle!$D$2:$CR$484,93,FALSE)</f>
        <v>CENCOMLD - Cencosud SA - Mendoza</v>
      </c>
    </row>
    <row r="2248" spans="1:25" ht="14.25" customHeight="1" x14ac:dyDescent="0.3">
      <c r="A2248" s="1" t="s">
        <v>186</v>
      </c>
      <c r="B2248" s="1" t="s">
        <v>467</v>
      </c>
      <c r="C2248" s="1" t="s">
        <v>467</v>
      </c>
      <c r="D2248" s="1" t="s">
        <v>366</v>
      </c>
      <c r="E2248" s="6">
        <v>45800</v>
      </c>
      <c r="F2248" s="1">
        <v>459582</v>
      </c>
      <c r="G2248" s="1">
        <v>489582</v>
      </c>
      <c r="H2248" s="1">
        <v>48012.699999999968</v>
      </c>
      <c r="I2248" s="1">
        <v>-18012.699999999972</v>
      </c>
      <c r="J2248" s="1">
        <v>507594.7</v>
      </c>
      <c r="K2248" s="1">
        <v>147</v>
      </c>
      <c r="L2248" s="1">
        <v>303.0774834437085</v>
      </c>
      <c r="M2248" s="1">
        <v>-55.149302163802432</v>
      </c>
      <c r="N2248" s="7">
        <v>45947</v>
      </c>
      <c r="O2248" s="1">
        <v>30000</v>
      </c>
      <c r="P2248" s="7">
        <v>46144.969177118059</v>
      </c>
      <c r="T2248" s="1" t="s">
        <v>422</v>
      </c>
      <c r="U2248" s="1" t="s">
        <v>423</v>
      </c>
      <c r="V2248" s="1">
        <v>1</v>
      </c>
      <c r="W2248" s="3">
        <v>49777.919999999998</v>
      </c>
      <c r="X2248" s="3">
        <v>49777.919999999998</v>
      </c>
      <c r="Y2248" s="1" t="str">
        <f>VLOOKUP(A2248,[1]Detalle!$D$2:$CR$484,93,FALSE)</f>
        <v>Expreso - Servicios Troncales</v>
      </c>
    </row>
    <row r="2249" spans="1:25" ht="14.25" customHeight="1" x14ac:dyDescent="0.3">
      <c r="A2249" s="1" t="s">
        <v>8</v>
      </c>
      <c r="B2249" s="1" t="s">
        <v>468</v>
      </c>
      <c r="C2249" s="1" t="s">
        <v>467</v>
      </c>
      <c r="D2249" s="1" t="s">
        <v>366</v>
      </c>
      <c r="E2249" s="6">
        <v>45880</v>
      </c>
      <c r="F2249" s="1">
        <v>722255</v>
      </c>
      <c r="G2249" s="1">
        <v>752255</v>
      </c>
      <c r="H2249" s="1">
        <v>15317.7</v>
      </c>
      <c r="I2249" s="1">
        <v>14682.3</v>
      </c>
      <c r="J2249" s="1">
        <v>737572.7</v>
      </c>
      <c r="K2249" s="1">
        <v>67</v>
      </c>
      <c r="L2249" s="1">
        <v>286.50848708487092</v>
      </c>
      <c r="M2249" s="1">
        <v>64.220744628762787</v>
      </c>
      <c r="N2249" s="7">
        <v>45947</v>
      </c>
      <c r="O2249" s="1">
        <v>30000</v>
      </c>
      <c r="P2249" s="7">
        <v>46220.63862474537</v>
      </c>
      <c r="T2249" s="1" t="s">
        <v>469</v>
      </c>
      <c r="U2249" s="1" t="s">
        <v>470</v>
      </c>
      <c r="V2249" s="1">
        <v>1</v>
      </c>
      <c r="W2249" s="3">
        <v>58063</v>
      </c>
      <c r="X2249" s="3">
        <v>58063</v>
      </c>
      <c r="Y2249" s="1" t="str">
        <f>VLOOKUP(A2249,[1]Detalle!$D$2:$CR$484,93,FALSE)</f>
        <v>ADA_CH - Danone Arg. S.A. - Chascomus</v>
      </c>
    </row>
    <row r="2250" spans="1:25" ht="14.25" customHeight="1" x14ac:dyDescent="0.3">
      <c r="A2250" s="1" t="s">
        <v>11</v>
      </c>
      <c r="B2250" s="1" t="s">
        <v>468</v>
      </c>
      <c r="C2250" s="1" t="s">
        <v>467</v>
      </c>
      <c r="D2250" s="1" t="s">
        <v>366</v>
      </c>
      <c r="E2250" s="6">
        <v>45853</v>
      </c>
      <c r="F2250" s="1">
        <v>769430</v>
      </c>
      <c r="G2250" s="1">
        <v>799430</v>
      </c>
      <c r="H2250" s="1">
        <v>24465.80000000001</v>
      </c>
      <c r="I2250" s="1">
        <v>5534.1999999999935</v>
      </c>
      <c r="J2250" s="1">
        <v>793895.8</v>
      </c>
      <c r="K2250" s="1">
        <v>94</v>
      </c>
      <c r="L2250" s="1">
        <v>323.09338235294098</v>
      </c>
      <c r="M2250" s="1">
        <v>21.262938469210049</v>
      </c>
      <c r="N2250" s="7">
        <v>45947</v>
      </c>
      <c r="O2250" s="1">
        <v>30000</v>
      </c>
      <c r="P2250" s="7">
        <v>46153.967763379631</v>
      </c>
      <c r="T2250" s="1" t="s">
        <v>469</v>
      </c>
      <c r="U2250" s="1" t="s">
        <v>470</v>
      </c>
      <c r="V2250" s="1">
        <v>1</v>
      </c>
      <c r="W2250" s="3">
        <v>58063</v>
      </c>
      <c r="X2250" s="3">
        <v>58063</v>
      </c>
      <c r="Y2250" s="1" t="str">
        <f>VLOOKUP(A2250,[1]Detalle!$D$2:$CR$484,93,FALSE)</f>
        <v>ADA_CH - Danone Arg. S.A. - Chascomus</v>
      </c>
    </row>
    <row r="2251" spans="1:25" ht="14.25" customHeight="1" x14ac:dyDescent="0.3">
      <c r="A2251" s="1" t="s">
        <v>13</v>
      </c>
      <c r="B2251" s="1" t="s">
        <v>468</v>
      </c>
      <c r="C2251" s="1" t="s">
        <v>467</v>
      </c>
      <c r="D2251" s="1" t="s">
        <v>366</v>
      </c>
      <c r="E2251" s="6">
        <v>45831</v>
      </c>
      <c r="F2251" s="1">
        <v>751112</v>
      </c>
      <c r="G2251" s="1">
        <v>781112</v>
      </c>
      <c r="H2251" s="1">
        <v>30284.500000000011</v>
      </c>
      <c r="I2251" s="1">
        <v>-284.50000000000728</v>
      </c>
      <c r="J2251" s="1">
        <v>781396.5</v>
      </c>
      <c r="K2251" s="1">
        <v>116</v>
      </c>
      <c r="L2251" s="1">
        <v>303.34772058823529</v>
      </c>
      <c r="M2251" s="1">
        <v>-1.089732371345105</v>
      </c>
      <c r="N2251" s="7">
        <v>45947</v>
      </c>
      <c r="O2251" s="1">
        <v>30000</v>
      </c>
      <c r="P2251" s="7">
        <v>46144.792816388886</v>
      </c>
      <c r="T2251" s="1" t="s">
        <v>469</v>
      </c>
      <c r="U2251" s="1" t="s">
        <v>470</v>
      </c>
      <c r="V2251" s="1">
        <v>1</v>
      </c>
      <c r="W2251" s="3">
        <v>58063</v>
      </c>
      <c r="X2251" s="3">
        <v>58063</v>
      </c>
      <c r="Y2251" s="1" t="str">
        <f>VLOOKUP(A2251,[1]Detalle!$D$2:$CR$484,93,FALSE)</f>
        <v>ADA_CH - Danone Arg. S.A. - Chascomus</v>
      </c>
    </row>
    <row r="2252" spans="1:25" ht="14.25" customHeight="1" x14ac:dyDescent="0.3">
      <c r="A2252" s="1" t="s">
        <v>6</v>
      </c>
      <c r="B2252" s="1" t="s">
        <v>468</v>
      </c>
      <c r="C2252" s="1" t="s">
        <v>467</v>
      </c>
      <c r="D2252" s="1" t="s">
        <v>366</v>
      </c>
      <c r="E2252" s="6">
        <v>45845</v>
      </c>
      <c r="F2252" s="1">
        <v>726661</v>
      </c>
      <c r="G2252" s="1">
        <v>756661</v>
      </c>
      <c r="H2252" s="1">
        <v>24602.2</v>
      </c>
      <c r="I2252" s="1">
        <v>5397.7999999999956</v>
      </c>
      <c r="J2252" s="1">
        <v>751263.2</v>
      </c>
      <c r="K2252" s="1">
        <v>102</v>
      </c>
      <c r="L2252" s="1">
        <v>306.8559191176472</v>
      </c>
      <c r="M2252" s="1">
        <v>22.379120566453381</v>
      </c>
      <c r="N2252" s="7">
        <v>45947</v>
      </c>
      <c r="O2252" s="1">
        <v>30000</v>
      </c>
      <c r="P2252" s="7">
        <v>46164.910626597222</v>
      </c>
      <c r="T2252" s="1" t="s">
        <v>469</v>
      </c>
      <c r="U2252" s="1" t="s">
        <v>470</v>
      </c>
      <c r="V2252" s="1">
        <v>1</v>
      </c>
      <c r="W2252" s="3">
        <v>58063</v>
      </c>
      <c r="X2252" s="3">
        <v>58063</v>
      </c>
      <c r="Y2252" s="1" t="str">
        <f>VLOOKUP(A2252,[1]Detalle!$D$2:$CR$484,93,FALSE)</f>
        <v>ADA_CH - Danone Arg. S.A. - Chascomus</v>
      </c>
    </row>
    <row r="2253" spans="1:25" ht="14.25" customHeight="1" x14ac:dyDescent="0.3">
      <c r="A2253" s="1" t="s">
        <v>7</v>
      </c>
      <c r="B2253" s="1" t="s">
        <v>468</v>
      </c>
      <c r="C2253" s="1" t="s">
        <v>467</v>
      </c>
      <c r="D2253" s="1" t="s">
        <v>366</v>
      </c>
      <c r="E2253" s="6">
        <v>45835</v>
      </c>
      <c r="F2253" s="1">
        <v>743648</v>
      </c>
      <c r="G2253" s="1">
        <v>773648</v>
      </c>
      <c r="H2253" s="1">
        <v>30763.099999999991</v>
      </c>
      <c r="I2253" s="1">
        <v>-763.09999999998763</v>
      </c>
      <c r="J2253" s="1">
        <v>774411.1</v>
      </c>
      <c r="K2253" s="1">
        <v>112</v>
      </c>
      <c r="L2253" s="1">
        <v>282.61870229007633</v>
      </c>
      <c r="M2253" s="1">
        <v>-2.77823756383455</v>
      </c>
      <c r="N2253" s="7">
        <v>45947</v>
      </c>
      <c r="O2253" s="1">
        <v>30000</v>
      </c>
      <c r="P2253" s="7">
        <v>46159.30017516204</v>
      </c>
      <c r="T2253" s="1" t="s">
        <v>469</v>
      </c>
      <c r="U2253" s="1" t="s">
        <v>470</v>
      </c>
      <c r="V2253" s="1">
        <v>1</v>
      </c>
      <c r="W2253" s="3">
        <v>58063</v>
      </c>
      <c r="X2253" s="3">
        <v>58063</v>
      </c>
      <c r="Y2253" s="1" t="str">
        <f>VLOOKUP(A2253,[1]Detalle!$D$2:$CR$484,93,FALSE)</f>
        <v>ADA_CH - Danone Arg. S.A. - Chascomus</v>
      </c>
    </row>
    <row r="2254" spans="1:25" ht="14.25" customHeight="1" x14ac:dyDescent="0.3">
      <c r="A2254" s="1" t="s">
        <v>9</v>
      </c>
      <c r="B2254" s="1" t="s">
        <v>468</v>
      </c>
      <c r="C2254" s="1" t="s">
        <v>467</v>
      </c>
      <c r="D2254" s="1" t="s">
        <v>366</v>
      </c>
      <c r="E2254" s="6">
        <v>45789</v>
      </c>
      <c r="F2254" s="1">
        <v>828813</v>
      </c>
      <c r="G2254" s="1">
        <v>858813</v>
      </c>
      <c r="H2254" s="1">
        <v>52575.80000000001</v>
      </c>
      <c r="I2254" s="1">
        <v>-22575.80000000001</v>
      </c>
      <c r="J2254" s="1">
        <v>881388.8</v>
      </c>
      <c r="K2254" s="1">
        <v>158</v>
      </c>
      <c r="L2254" s="1">
        <v>352.51014814814829</v>
      </c>
      <c r="M2254" s="1">
        <v>-67.844453151449926</v>
      </c>
      <c r="N2254" s="7">
        <v>45947</v>
      </c>
      <c r="O2254" s="1">
        <v>30000</v>
      </c>
      <c r="P2254" s="7">
        <v>46117.207865833327</v>
      </c>
      <c r="T2254" s="1" t="s">
        <v>469</v>
      </c>
      <c r="U2254" s="1" t="s">
        <v>470</v>
      </c>
      <c r="V2254" s="1">
        <v>1</v>
      </c>
      <c r="W2254" s="3">
        <v>58063</v>
      </c>
      <c r="X2254" s="3">
        <v>58063</v>
      </c>
      <c r="Y2254" s="1" t="str">
        <f>VLOOKUP(A2254,[1]Detalle!$D$2:$CR$484,93,FALSE)</f>
        <v>ADA_CH - Danone Arg. S.A. - Chascomus</v>
      </c>
    </row>
    <row r="2255" spans="1:25" ht="14.25" customHeight="1" x14ac:dyDescent="0.3">
      <c r="A2255" s="1" t="s">
        <v>17</v>
      </c>
      <c r="B2255" s="1" t="s">
        <v>468</v>
      </c>
      <c r="C2255" s="1" t="s">
        <v>467</v>
      </c>
      <c r="D2255" s="1" t="s">
        <v>366</v>
      </c>
      <c r="E2255" s="6">
        <v>45776</v>
      </c>
      <c r="F2255" s="1">
        <v>664392</v>
      </c>
      <c r="G2255" s="1">
        <v>694392</v>
      </c>
      <c r="H2255" s="1">
        <v>62703.799999999981</v>
      </c>
      <c r="I2255" s="1">
        <v>-32703.799999999981</v>
      </c>
      <c r="J2255" s="1">
        <v>727095.79999999993</v>
      </c>
      <c r="K2255" s="1">
        <v>171</v>
      </c>
      <c r="L2255" s="1">
        <v>382.02855555555578</v>
      </c>
      <c r="M2255" s="1">
        <v>-89.186776558996399</v>
      </c>
      <c r="N2255" s="7">
        <v>45947</v>
      </c>
      <c r="O2255" s="1">
        <v>30000</v>
      </c>
      <c r="P2255" s="7">
        <v>46104.056322430559</v>
      </c>
      <c r="T2255" s="1" t="s">
        <v>469</v>
      </c>
      <c r="U2255" s="1" t="s">
        <v>470</v>
      </c>
      <c r="V2255" s="1">
        <v>1</v>
      </c>
      <c r="W2255" s="3">
        <v>58063</v>
      </c>
      <c r="X2255" s="3">
        <v>58063</v>
      </c>
      <c r="Y2255" s="1" t="str">
        <f>VLOOKUP(A2255,[1]Detalle!$D$2:$CR$484,93,FALSE)</f>
        <v>Expreso - Servicios Troncales</v>
      </c>
    </row>
    <row r="2256" spans="1:25" ht="14.25" customHeight="1" x14ac:dyDescent="0.3">
      <c r="A2256" s="1" t="s">
        <v>18</v>
      </c>
      <c r="B2256" s="1" t="s">
        <v>468</v>
      </c>
      <c r="C2256" s="1" t="s">
        <v>467</v>
      </c>
      <c r="D2256" s="1" t="s">
        <v>366</v>
      </c>
      <c r="E2256" s="6">
        <v>45852</v>
      </c>
      <c r="F2256" s="1">
        <v>654972</v>
      </c>
      <c r="G2256" s="1">
        <v>684972</v>
      </c>
      <c r="H2256" s="1">
        <v>26383.500000000011</v>
      </c>
      <c r="I2256" s="1">
        <v>3616.4999999999932</v>
      </c>
      <c r="J2256" s="1">
        <v>681355.5</v>
      </c>
      <c r="K2256" s="1">
        <v>95</v>
      </c>
      <c r="L2256" s="1">
        <v>381.04202205882348</v>
      </c>
      <c r="M2256" s="1">
        <v>13.02205924157141</v>
      </c>
      <c r="N2256" s="7">
        <v>45947</v>
      </c>
      <c r="O2256" s="1">
        <v>30000</v>
      </c>
      <c r="P2256" s="7">
        <v>46117.485006967603</v>
      </c>
      <c r="T2256" s="1" t="s">
        <v>469</v>
      </c>
      <c r="U2256" s="1" t="s">
        <v>470</v>
      </c>
      <c r="V2256" s="1">
        <v>1</v>
      </c>
      <c r="W2256" s="3">
        <v>58063</v>
      </c>
      <c r="X2256" s="3">
        <v>58063</v>
      </c>
      <c r="Y2256" s="1" t="str">
        <f>VLOOKUP(A2256,[1]Detalle!$D$2:$CR$484,93,FALSE)</f>
        <v>Expreso - Servicios Troncales</v>
      </c>
    </row>
    <row r="2257" spans="1:25" ht="14.25" customHeight="1" x14ac:dyDescent="0.3">
      <c r="A2257" s="1" t="s">
        <v>231</v>
      </c>
      <c r="B2257" s="1" t="s">
        <v>468</v>
      </c>
      <c r="C2257" s="1" t="s">
        <v>467</v>
      </c>
      <c r="D2257" s="1" t="s">
        <v>366</v>
      </c>
      <c r="E2257" s="6">
        <v>45889</v>
      </c>
      <c r="F2257" s="1">
        <v>1836513</v>
      </c>
      <c r="G2257" s="1">
        <v>1866513</v>
      </c>
      <c r="H2257" s="1">
        <v>14116.4</v>
      </c>
      <c r="I2257" s="1">
        <v>15883.6</v>
      </c>
      <c r="J2257" s="1">
        <v>1850629.4</v>
      </c>
      <c r="K2257" s="1">
        <v>58</v>
      </c>
      <c r="L2257" s="1">
        <v>332.5574264705881</v>
      </c>
      <c r="M2257" s="1">
        <v>65.260888045110633</v>
      </c>
      <c r="N2257" s="7">
        <v>45947</v>
      </c>
      <c r="O2257" s="1">
        <v>30000</v>
      </c>
      <c r="P2257" s="7">
        <v>46192.680855312501</v>
      </c>
      <c r="T2257" s="1" t="s">
        <v>469</v>
      </c>
      <c r="U2257" s="1" t="s">
        <v>470</v>
      </c>
      <c r="V2257" s="1">
        <v>1</v>
      </c>
      <c r="W2257" s="3">
        <v>58063</v>
      </c>
      <c r="X2257" s="3">
        <v>58063</v>
      </c>
      <c r="Y2257" s="1" t="str">
        <f>VLOOKUP(A2257,[1]Detalle!$D$2:$CR$484,93,FALSE)</f>
        <v>Expreso - Servicios Troncales</v>
      </c>
    </row>
    <row r="2258" spans="1:25" ht="14.25" customHeight="1" x14ac:dyDescent="0.3">
      <c r="A2258" s="1" t="s">
        <v>279</v>
      </c>
      <c r="B2258" s="1" t="s">
        <v>471</v>
      </c>
      <c r="C2258" s="1" t="s">
        <v>467</v>
      </c>
      <c r="D2258" s="1" t="s">
        <v>366</v>
      </c>
      <c r="E2258" s="1" t="s">
        <v>337</v>
      </c>
      <c r="F2258" s="1">
        <v>35081.599999999999</v>
      </c>
      <c r="G2258" s="1">
        <v>65081.599999999999</v>
      </c>
      <c r="H2258" s="1">
        <v>51895.159999999982</v>
      </c>
      <c r="I2258" s="1">
        <v>-21895.159999999982</v>
      </c>
      <c r="J2258" s="1">
        <v>86976.75999999998</v>
      </c>
      <c r="K2258" s="1">
        <v>243</v>
      </c>
      <c r="L2258" s="1">
        <v>197.99579335793359</v>
      </c>
      <c r="M2258" s="1">
        <v>-102.5244720316885</v>
      </c>
      <c r="N2258" s="7">
        <v>45947</v>
      </c>
      <c r="O2258" s="1">
        <v>30000</v>
      </c>
      <c r="P2258" s="7">
        <v>46250.036741249998</v>
      </c>
      <c r="T2258" s="1" t="s">
        <v>472</v>
      </c>
      <c r="U2258" s="1" t="s">
        <v>473</v>
      </c>
      <c r="V2258" s="1">
        <v>1</v>
      </c>
      <c r="W2258" s="3">
        <v>35911.769999999997</v>
      </c>
      <c r="X2258" s="3">
        <v>35911.769999999997</v>
      </c>
      <c r="Y2258" s="1" t="str">
        <f>VLOOKUP(A2258,[1]Detalle!$D$2:$CR$484,93,FALSE)</f>
        <v>Expreso - Servicios Troncales</v>
      </c>
    </row>
    <row r="2259" spans="1:25" ht="14.25" customHeight="1" x14ac:dyDescent="0.3">
      <c r="A2259" s="1" t="s">
        <v>228</v>
      </c>
      <c r="B2259" s="1" t="s">
        <v>471</v>
      </c>
      <c r="C2259" s="1" t="s">
        <v>467</v>
      </c>
      <c r="D2259" s="1" t="s">
        <v>366</v>
      </c>
      <c r="E2259" s="1" t="s">
        <v>337</v>
      </c>
      <c r="F2259" s="1">
        <v>799717</v>
      </c>
      <c r="G2259" s="1">
        <v>829717</v>
      </c>
      <c r="H2259" s="1">
        <v>57283.27</v>
      </c>
      <c r="I2259" s="1">
        <v>-27283.27</v>
      </c>
      <c r="J2259" s="1">
        <v>857000.27</v>
      </c>
      <c r="K2259" s="1">
        <v>253</v>
      </c>
      <c r="L2259" s="1">
        <v>232.68261029411761</v>
      </c>
      <c r="M2259" s="1">
        <v>-120.5005808851345</v>
      </c>
      <c r="N2259" s="7">
        <v>45947</v>
      </c>
      <c r="O2259" s="1">
        <v>30000</v>
      </c>
      <c r="P2259" s="7">
        <v>46204.861986006938</v>
      </c>
      <c r="T2259" s="1" t="s">
        <v>472</v>
      </c>
      <c r="U2259" s="1" t="s">
        <v>473</v>
      </c>
      <c r="V2259" s="1">
        <v>1</v>
      </c>
      <c r="W2259" s="3">
        <v>35911.769999999997</v>
      </c>
      <c r="X2259" s="3">
        <v>35911.769999999997</v>
      </c>
      <c r="Y2259" s="1" t="str">
        <f>VLOOKUP(A2259,[1]Detalle!$D$2:$CR$484,93,FALSE)</f>
        <v>Expreso - Servicios Troncales</v>
      </c>
    </row>
    <row r="2260" spans="1:25" ht="14.25" customHeight="1" x14ac:dyDescent="0.3">
      <c r="A2260" s="1" t="s">
        <v>514</v>
      </c>
      <c r="B2260" s="1" t="s">
        <v>474</v>
      </c>
      <c r="C2260" s="1" t="s">
        <v>467</v>
      </c>
      <c r="D2260" s="1" t="s">
        <v>366</v>
      </c>
      <c r="E2260" s="6">
        <v>45853</v>
      </c>
      <c r="F2260" s="1">
        <v>1696264</v>
      </c>
      <c r="G2260" s="1">
        <v>1726264</v>
      </c>
      <c r="H2260" s="1">
        <v>21621.200000000001</v>
      </c>
      <c r="I2260" s="1">
        <v>8378.7999999999993</v>
      </c>
      <c r="J2260" s="1">
        <v>1717885.2</v>
      </c>
      <c r="K2260" s="1">
        <v>94</v>
      </c>
      <c r="L2260" s="1">
        <v>298.17575757575747</v>
      </c>
      <c r="M2260" s="1">
        <v>36.427543337095067</v>
      </c>
      <c r="N2260" s="7">
        <v>45947</v>
      </c>
      <c r="O2260" s="1">
        <v>30000</v>
      </c>
      <c r="P2260" s="7">
        <v>46184.651145439813</v>
      </c>
      <c r="T2260" s="1" t="s">
        <v>475</v>
      </c>
      <c r="U2260" s="1" t="s">
        <v>476</v>
      </c>
      <c r="V2260" s="1">
        <v>1</v>
      </c>
      <c r="W2260" s="3">
        <v>48687.99</v>
      </c>
      <c r="X2260" s="3">
        <v>48687.99</v>
      </c>
      <c r="Y2260" s="1" t="str">
        <f>VLOOKUP(A2260,[1]Detalle!$D$2:$CR$484,93,FALSE)</f>
        <v>Expreso - Servicios Troncales</v>
      </c>
    </row>
    <row r="2261" spans="1:25" ht="14.25" customHeight="1" x14ac:dyDescent="0.3">
      <c r="A2261" s="1" t="s">
        <v>613</v>
      </c>
      <c r="B2261" s="1" t="s">
        <v>700</v>
      </c>
      <c r="C2261" s="1" t="s">
        <v>700</v>
      </c>
      <c r="D2261" s="1" t="s">
        <v>624</v>
      </c>
      <c r="E2261" s="1" t="s">
        <v>337</v>
      </c>
      <c r="N2261" s="7">
        <v>45947</v>
      </c>
      <c r="O2261" s="1">
        <v>180</v>
      </c>
      <c r="P2261" s="7">
        <v>46307</v>
      </c>
      <c r="Q2261" s="1" t="s">
        <v>330</v>
      </c>
      <c r="T2261" s="1" t="s">
        <v>625</v>
      </c>
      <c r="U2261" s="1" t="s">
        <v>626</v>
      </c>
      <c r="V2261" s="1">
        <v>1</v>
      </c>
      <c r="W2261" s="3">
        <v>57923.55</v>
      </c>
      <c r="X2261" s="3">
        <v>57923.55</v>
      </c>
      <c r="Y2261" s="1" t="str">
        <f>VLOOKUP(A2261,[1]Detalle!$D$2:$CR$484,93,FALSE)</f>
        <v>ADA_CH - Danone Arg. S.A. - Chascomus</v>
      </c>
    </row>
    <row r="2262" spans="1:25" ht="14.25" customHeight="1" x14ac:dyDescent="0.3">
      <c r="A2262" s="1" t="s">
        <v>613</v>
      </c>
      <c r="B2262" s="1" t="s">
        <v>700</v>
      </c>
      <c r="C2262" s="1" t="s">
        <v>700</v>
      </c>
      <c r="D2262" s="1" t="s">
        <v>624</v>
      </c>
      <c r="E2262" s="1" t="s">
        <v>337</v>
      </c>
      <c r="N2262" s="7">
        <v>45947</v>
      </c>
      <c r="O2262" s="1">
        <v>180</v>
      </c>
      <c r="P2262" s="7">
        <v>46307</v>
      </c>
      <c r="Q2262" s="1" t="s">
        <v>330</v>
      </c>
      <c r="T2262" s="1" t="s">
        <v>627</v>
      </c>
      <c r="U2262" s="1" t="s">
        <v>628</v>
      </c>
      <c r="V2262" s="1">
        <v>1</v>
      </c>
      <c r="W2262" s="3">
        <v>14370.83</v>
      </c>
      <c r="X2262" s="3">
        <v>14370.83</v>
      </c>
      <c r="Y2262" s="1" t="str">
        <f>VLOOKUP(A2262,[1]Detalle!$D$2:$CR$484,93,FALSE)</f>
        <v>ADA_CH - Danone Arg. S.A. - Chascomus</v>
      </c>
    </row>
    <row r="2263" spans="1:25" ht="14.25" customHeight="1" x14ac:dyDescent="0.3">
      <c r="A2263" s="1" t="s">
        <v>613</v>
      </c>
      <c r="B2263" s="1" t="s">
        <v>700</v>
      </c>
      <c r="C2263" s="1" t="s">
        <v>700</v>
      </c>
      <c r="D2263" s="1" t="s">
        <v>624</v>
      </c>
      <c r="E2263" s="1" t="s">
        <v>337</v>
      </c>
      <c r="N2263" s="7">
        <v>45947</v>
      </c>
      <c r="O2263" s="1">
        <v>180</v>
      </c>
      <c r="P2263" s="7">
        <v>46307</v>
      </c>
      <c r="Q2263" s="1" t="s">
        <v>330</v>
      </c>
      <c r="T2263" s="1" t="s">
        <v>629</v>
      </c>
      <c r="U2263" s="1" t="s">
        <v>630</v>
      </c>
      <c r="V2263" s="1">
        <v>1</v>
      </c>
      <c r="W2263" s="3">
        <v>7200</v>
      </c>
      <c r="X2263" s="3">
        <v>7200</v>
      </c>
      <c r="Y2263" s="1" t="str">
        <f>VLOOKUP(A2263,[1]Detalle!$D$2:$CR$484,93,FALSE)</f>
        <v>ADA_CH - Danone Arg. S.A. - Chascomus</v>
      </c>
    </row>
    <row r="2264" spans="1:25" ht="14.25" customHeight="1" x14ac:dyDescent="0.3">
      <c r="A2264" s="1" t="s">
        <v>613</v>
      </c>
      <c r="B2264" s="1" t="s">
        <v>700</v>
      </c>
      <c r="C2264" s="1" t="s">
        <v>700</v>
      </c>
      <c r="D2264" s="1" t="s">
        <v>624</v>
      </c>
      <c r="E2264" s="1" t="s">
        <v>337</v>
      </c>
      <c r="N2264" s="7">
        <v>45947</v>
      </c>
      <c r="O2264" s="1">
        <v>180</v>
      </c>
      <c r="P2264" s="7">
        <v>46307</v>
      </c>
      <c r="Q2264" s="1" t="s">
        <v>330</v>
      </c>
      <c r="T2264" s="1" t="s">
        <v>631</v>
      </c>
      <c r="U2264" s="1" t="s">
        <v>632</v>
      </c>
      <c r="V2264" s="1">
        <v>1</v>
      </c>
      <c r="W2264" s="3">
        <v>7286.36</v>
      </c>
      <c r="X2264" s="3">
        <v>7286.36</v>
      </c>
      <c r="Y2264" s="1" t="str">
        <f>VLOOKUP(A2264,[1]Detalle!$D$2:$CR$484,93,FALSE)</f>
        <v>ADA_CH - Danone Arg. S.A. - Chascomus</v>
      </c>
    </row>
    <row r="2265" spans="1:25" ht="14.25" customHeight="1" x14ac:dyDescent="0.3">
      <c r="A2265" s="1" t="s">
        <v>613</v>
      </c>
      <c r="B2265" s="1" t="s">
        <v>700</v>
      </c>
      <c r="C2265" s="1" t="s">
        <v>700</v>
      </c>
      <c r="D2265" s="1" t="s">
        <v>624</v>
      </c>
      <c r="E2265" s="1" t="s">
        <v>337</v>
      </c>
      <c r="N2265" s="7">
        <v>45947</v>
      </c>
      <c r="O2265" s="1">
        <v>180</v>
      </c>
      <c r="P2265" s="7">
        <v>46307</v>
      </c>
      <c r="Q2265" s="1" t="s">
        <v>330</v>
      </c>
      <c r="T2265" s="1" t="s">
        <v>633</v>
      </c>
      <c r="U2265" s="1" t="s">
        <v>634</v>
      </c>
      <c r="V2265" s="1">
        <v>4</v>
      </c>
      <c r="W2265" s="3">
        <v>153102.49</v>
      </c>
      <c r="X2265" s="3">
        <v>612409.96</v>
      </c>
      <c r="Y2265" s="1" t="str">
        <f>VLOOKUP(A2265,[1]Detalle!$D$2:$CR$484,93,FALSE)</f>
        <v>ADA_CH - Danone Arg. S.A. - Chascomus</v>
      </c>
    </row>
    <row r="2266" spans="1:25" ht="14.25" customHeight="1" x14ac:dyDescent="0.3">
      <c r="A2266" s="1" t="s">
        <v>701</v>
      </c>
      <c r="B2266" s="1" t="s">
        <v>700</v>
      </c>
      <c r="C2266" s="1" t="s">
        <v>700</v>
      </c>
      <c r="D2266" s="1" t="s">
        <v>624</v>
      </c>
      <c r="E2266" s="1" t="s">
        <v>337</v>
      </c>
      <c r="N2266" s="7">
        <v>45947</v>
      </c>
      <c r="O2266" s="1">
        <v>180</v>
      </c>
      <c r="P2266" s="7">
        <v>46307</v>
      </c>
      <c r="Q2266" s="1" t="s">
        <v>330</v>
      </c>
      <c r="T2266" s="1" t="s">
        <v>625</v>
      </c>
      <c r="U2266" s="1" t="s">
        <v>626</v>
      </c>
      <c r="V2266" s="1">
        <v>1</v>
      </c>
      <c r="W2266" s="3">
        <v>57923.55</v>
      </c>
      <c r="X2266" s="3">
        <v>57923.55</v>
      </c>
      <c r="Y2266" s="1" t="str">
        <f>VLOOKUP(A2266,[1]Detalle!$D$2:$CR$484,93,FALSE)</f>
        <v>ADA_CH - Danone Arg. S.A. - Chascomus</v>
      </c>
    </row>
    <row r="2267" spans="1:25" ht="14.25" customHeight="1" x14ac:dyDescent="0.3">
      <c r="A2267" s="1" t="s">
        <v>701</v>
      </c>
      <c r="B2267" s="1" t="s">
        <v>700</v>
      </c>
      <c r="C2267" s="1" t="s">
        <v>700</v>
      </c>
      <c r="D2267" s="1" t="s">
        <v>624</v>
      </c>
      <c r="E2267" s="1" t="s">
        <v>337</v>
      </c>
      <c r="N2267" s="7">
        <v>45947</v>
      </c>
      <c r="O2267" s="1">
        <v>180</v>
      </c>
      <c r="P2267" s="7">
        <v>46307</v>
      </c>
      <c r="Q2267" s="1" t="s">
        <v>330</v>
      </c>
      <c r="T2267" s="1" t="s">
        <v>627</v>
      </c>
      <c r="U2267" s="1" t="s">
        <v>628</v>
      </c>
      <c r="V2267" s="1">
        <v>1</v>
      </c>
      <c r="W2267" s="3">
        <v>14370.83</v>
      </c>
      <c r="X2267" s="3">
        <v>14370.83</v>
      </c>
      <c r="Y2267" s="1" t="str">
        <f>VLOOKUP(A2267,[1]Detalle!$D$2:$CR$484,93,FALSE)</f>
        <v>ADA_CH - Danone Arg. S.A. - Chascomus</v>
      </c>
    </row>
    <row r="2268" spans="1:25" ht="14.25" customHeight="1" x14ac:dyDescent="0.3">
      <c r="A2268" s="1" t="s">
        <v>701</v>
      </c>
      <c r="B2268" s="1" t="s">
        <v>700</v>
      </c>
      <c r="C2268" s="1" t="s">
        <v>700</v>
      </c>
      <c r="D2268" s="1" t="s">
        <v>624</v>
      </c>
      <c r="E2268" s="1" t="s">
        <v>337</v>
      </c>
      <c r="N2268" s="7">
        <v>45947</v>
      </c>
      <c r="O2268" s="1">
        <v>180</v>
      </c>
      <c r="P2268" s="7">
        <v>46307</v>
      </c>
      <c r="Q2268" s="1" t="s">
        <v>330</v>
      </c>
      <c r="T2268" s="1" t="s">
        <v>629</v>
      </c>
      <c r="U2268" s="1" t="s">
        <v>630</v>
      </c>
      <c r="V2268" s="1">
        <v>1</v>
      </c>
      <c r="W2268" s="3">
        <v>7200</v>
      </c>
      <c r="X2268" s="3">
        <v>7200</v>
      </c>
      <c r="Y2268" s="1" t="str">
        <f>VLOOKUP(A2268,[1]Detalle!$D$2:$CR$484,93,FALSE)</f>
        <v>ADA_CH - Danone Arg. S.A. - Chascomus</v>
      </c>
    </row>
    <row r="2269" spans="1:25" ht="14.25" customHeight="1" x14ac:dyDescent="0.3">
      <c r="A2269" s="1" t="s">
        <v>701</v>
      </c>
      <c r="B2269" s="1" t="s">
        <v>700</v>
      </c>
      <c r="C2269" s="1" t="s">
        <v>700</v>
      </c>
      <c r="D2269" s="1" t="s">
        <v>624</v>
      </c>
      <c r="E2269" s="1" t="s">
        <v>337</v>
      </c>
      <c r="N2269" s="7">
        <v>45947</v>
      </c>
      <c r="O2269" s="1">
        <v>180</v>
      </c>
      <c r="P2269" s="7">
        <v>46307</v>
      </c>
      <c r="Q2269" s="1" t="s">
        <v>330</v>
      </c>
      <c r="T2269" s="1" t="s">
        <v>631</v>
      </c>
      <c r="U2269" s="1" t="s">
        <v>632</v>
      </c>
      <c r="V2269" s="1">
        <v>1</v>
      </c>
      <c r="W2269" s="3">
        <v>7286.36</v>
      </c>
      <c r="X2269" s="3">
        <v>7286.36</v>
      </c>
      <c r="Y2269" s="1" t="str">
        <f>VLOOKUP(A2269,[1]Detalle!$D$2:$CR$484,93,FALSE)</f>
        <v>ADA_CH - Danone Arg. S.A. - Chascomus</v>
      </c>
    </row>
    <row r="2270" spans="1:25" ht="14.25" customHeight="1" x14ac:dyDescent="0.3">
      <c r="A2270" s="1" t="s">
        <v>701</v>
      </c>
      <c r="B2270" s="1" t="s">
        <v>700</v>
      </c>
      <c r="C2270" s="1" t="s">
        <v>700</v>
      </c>
      <c r="D2270" s="1" t="s">
        <v>624</v>
      </c>
      <c r="E2270" s="1" t="s">
        <v>337</v>
      </c>
      <c r="N2270" s="7">
        <v>45947</v>
      </c>
      <c r="O2270" s="1">
        <v>180</v>
      </c>
      <c r="P2270" s="7">
        <v>46307</v>
      </c>
      <c r="Q2270" s="1" t="s">
        <v>330</v>
      </c>
      <c r="T2270" s="1" t="s">
        <v>633</v>
      </c>
      <c r="U2270" s="1" t="s">
        <v>634</v>
      </c>
      <c r="V2270" s="1">
        <v>4</v>
      </c>
      <c r="W2270" s="3">
        <v>153102.49</v>
      </c>
      <c r="X2270" s="3">
        <v>612409.96</v>
      </c>
      <c r="Y2270" s="1" t="str">
        <f>VLOOKUP(A2270,[1]Detalle!$D$2:$CR$484,93,FALSE)</f>
        <v>ADA_CH - Danone Arg. S.A. - Chascomus</v>
      </c>
    </row>
    <row r="2271" spans="1:25" ht="14.25" customHeight="1" x14ac:dyDescent="0.3">
      <c r="A2271" s="1" t="s">
        <v>702</v>
      </c>
      <c r="B2271" s="1" t="s">
        <v>700</v>
      </c>
      <c r="C2271" s="1" t="s">
        <v>700</v>
      </c>
      <c r="D2271" s="1" t="s">
        <v>624</v>
      </c>
      <c r="E2271" s="1" t="s">
        <v>337</v>
      </c>
      <c r="F2271" s="1">
        <v>1</v>
      </c>
      <c r="G2271" s="1">
        <v>181</v>
      </c>
      <c r="H2271" s="1">
        <v>32124.799999999999</v>
      </c>
      <c r="I2271" s="1">
        <v>-31944.799999999999</v>
      </c>
      <c r="J2271" s="1">
        <v>32125.8</v>
      </c>
      <c r="K2271" s="1">
        <v>93</v>
      </c>
      <c r="L2271" s="1">
        <v>345.42795698924732</v>
      </c>
      <c r="M2271" s="1">
        <v>-92.478907261679453</v>
      </c>
      <c r="N2271" s="7">
        <v>45947</v>
      </c>
      <c r="O2271" s="1">
        <v>180</v>
      </c>
      <c r="P2271" s="7">
        <v>46307</v>
      </c>
      <c r="Q2271" s="1" t="s">
        <v>330</v>
      </c>
      <c r="T2271" s="1" t="s">
        <v>625</v>
      </c>
      <c r="U2271" s="1" t="s">
        <v>626</v>
      </c>
      <c r="V2271" s="1">
        <v>1</v>
      </c>
      <c r="W2271" s="3">
        <v>57923.55</v>
      </c>
      <c r="X2271" s="3">
        <v>57923.55</v>
      </c>
      <c r="Y2271" s="1" t="str">
        <f>VLOOKUP(A2271,[1]Detalle!$D$2:$CR$484,93,FALSE)</f>
        <v>ADA_CH - Danone Arg. S.A. - Chascomus</v>
      </c>
    </row>
    <row r="2272" spans="1:25" ht="14.25" customHeight="1" x14ac:dyDescent="0.3">
      <c r="A2272" s="1" t="s">
        <v>702</v>
      </c>
      <c r="B2272" s="1" t="s">
        <v>700</v>
      </c>
      <c r="C2272" s="1" t="s">
        <v>700</v>
      </c>
      <c r="D2272" s="1" t="s">
        <v>624</v>
      </c>
      <c r="E2272" s="1" t="s">
        <v>337</v>
      </c>
      <c r="F2272" s="1">
        <v>1</v>
      </c>
      <c r="G2272" s="1">
        <v>181</v>
      </c>
      <c r="H2272" s="1">
        <v>32124.799999999999</v>
      </c>
      <c r="I2272" s="1">
        <v>-31944.799999999999</v>
      </c>
      <c r="J2272" s="1">
        <v>32125.8</v>
      </c>
      <c r="K2272" s="1">
        <v>93</v>
      </c>
      <c r="L2272" s="1">
        <v>345.42795698924732</v>
      </c>
      <c r="M2272" s="1">
        <v>-92.478907261679453</v>
      </c>
      <c r="N2272" s="7">
        <v>45947</v>
      </c>
      <c r="O2272" s="1">
        <v>180</v>
      </c>
      <c r="P2272" s="7">
        <v>46307</v>
      </c>
      <c r="Q2272" s="1" t="s">
        <v>330</v>
      </c>
      <c r="T2272" s="1" t="s">
        <v>627</v>
      </c>
      <c r="U2272" s="1" t="s">
        <v>628</v>
      </c>
      <c r="V2272" s="1">
        <v>1</v>
      </c>
      <c r="W2272" s="3">
        <v>14370.83</v>
      </c>
      <c r="X2272" s="3">
        <v>14370.83</v>
      </c>
      <c r="Y2272" s="1" t="str">
        <f>VLOOKUP(A2272,[1]Detalle!$D$2:$CR$484,93,FALSE)</f>
        <v>ADA_CH - Danone Arg. S.A. - Chascomus</v>
      </c>
    </row>
    <row r="2273" spans="1:25" ht="14.25" customHeight="1" x14ac:dyDescent="0.3">
      <c r="A2273" s="1" t="s">
        <v>702</v>
      </c>
      <c r="B2273" s="1" t="s">
        <v>700</v>
      </c>
      <c r="C2273" s="1" t="s">
        <v>700</v>
      </c>
      <c r="D2273" s="1" t="s">
        <v>624</v>
      </c>
      <c r="E2273" s="1" t="s">
        <v>337</v>
      </c>
      <c r="F2273" s="1">
        <v>1</v>
      </c>
      <c r="G2273" s="1">
        <v>181</v>
      </c>
      <c r="H2273" s="1">
        <v>32124.799999999999</v>
      </c>
      <c r="I2273" s="1">
        <v>-31944.799999999999</v>
      </c>
      <c r="J2273" s="1">
        <v>32125.8</v>
      </c>
      <c r="K2273" s="1">
        <v>93</v>
      </c>
      <c r="L2273" s="1">
        <v>345.42795698924732</v>
      </c>
      <c r="M2273" s="1">
        <v>-92.478907261679453</v>
      </c>
      <c r="N2273" s="7">
        <v>45947</v>
      </c>
      <c r="O2273" s="1">
        <v>180</v>
      </c>
      <c r="P2273" s="7">
        <v>46307</v>
      </c>
      <c r="Q2273" s="1" t="s">
        <v>330</v>
      </c>
      <c r="T2273" s="1" t="s">
        <v>629</v>
      </c>
      <c r="U2273" s="1" t="s">
        <v>630</v>
      </c>
      <c r="V2273" s="1">
        <v>1</v>
      </c>
      <c r="W2273" s="3">
        <v>7200</v>
      </c>
      <c r="X2273" s="3">
        <v>7200</v>
      </c>
      <c r="Y2273" s="1" t="str">
        <f>VLOOKUP(A2273,[1]Detalle!$D$2:$CR$484,93,FALSE)</f>
        <v>ADA_CH - Danone Arg. S.A. - Chascomus</v>
      </c>
    </row>
    <row r="2274" spans="1:25" ht="14.25" customHeight="1" x14ac:dyDescent="0.3">
      <c r="A2274" s="1" t="s">
        <v>702</v>
      </c>
      <c r="B2274" s="1" t="s">
        <v>700</v>
      </c>
      <c r="C2274" s="1" t="s">
        <v>700</v>
      </c>
      <c r="D2274" s="1" t="s">
        <v>624</v>
      </c>
      <c r="E2274" s="1" t="s">
        <v>337</v>
      </c>
      <c r="F2274" s="1">
        <v>1</v>
      </c>
      <c r="G2274" s="1">
        <v>181</v>
      </c>
      <c r="H2274" s="1">
        <v>32124.799999999999</v>
      </c>
      <c r="I2274" s="1">
        <v>-31944.799999999999</v>
      </c>
      <c r="J2274" s="1">
        <v>32125.8</v>
      </c>
      <c r="K2274" s="1">
        <v>93</v>
      </c>
      <c r="L2274" s="1">
        <v>345.42795698924732</v>
      </c>
      <c r="M2274" s="1">
        <v>-92.478907261679453</v>
      </c>
      <c r="N2274" s="7">
        <v>45947</v>
      </c>
      <c r="O2274" s="1">
        <v>180</v>
      </c>
      <c r="P2274" s="7">
        <v>46307</v>
      </c>
      <c r="Q2274" s="1" t="s">
        <v>330</v>
      </c>
      <c r="T2274" s="1" t="s">
        <v>631</v>
      </c>
      <c r="U2274" s="1" t="s">
        <v>632</v>
      </c>
      <c r="V2274" s="1">
        <v>1</v>
      </c>
      <c r="W2274" s="3">
        <v>7286.36</v>
      </c>
      <c r="X2274" s="3">
        <v>7286.36</v>
      </c>
      <c r="Y2274" s="1" t="str">
        <f>VLOOKUP(A2274,[1]Detalle!$D$2:$CR$484,93,FALSE)</f>
        <v>ADA_CH - Danone Arg. S.A. - Chascomus</v>
      </c>
    </row>
    <row r="2275" spans="1:25" ht="14.25" customHeight="1" x14ac:dyDescent="0.3">
      <c r="A2275" s="1" t="s">
        <v>702</v>
      </c>
      <c r="B2275" s="1" t="s">
        <v>700</v>
      </c>
      <c r="C2275" s="1" t="s">
        <v>700</v>
      </c>
      <c r="D2275" s="1" t="s">
        <v>624</v>
      </c>
      <c r="E2275" s="1" t="s">
        <v>337</v>
      </c>
      <c r="F2275" s="1">
        <v>1</v>
      </c>
      <c r="G2275" s="1">
        <v>181</v>
      </c>
      <c r="H2275" s="1">
        <v>32124.799999999999</v>
      </c>
      <c r="I2275" s="1">
        <v>-31944.799999999999</v>
      </c>
      <c r="J2275" s="1">
        <v>32125.8</v>
      </c>
      <c r="K2275" s="1">
        <v>93</v>
      </c>
      <c r="L2275" s="1">
        <v>345.42795698924732</v>
      </c>
      <c r="M2275" s="1">
        <v>-92.478907261679453</v>
      </c>
      <c r="N2275" s="7">
        <v>45947</v>
      </c>
      <c r="O2275" s="1">
        <v>180</v>
      </c>
      <c r="P2275" s="7">
        <v>46307</v>
      </c>
      <c r="Q2275" s="1" t="s">
        <v>330</v>
      </c>
      <c r="T2275" s="1" t="s">
        <v>633</v>
      </c>
      <c r="U2275" s="1" t="s">
        <v>634</v>
      </c>
      <c r="V2275" s="1">
        <v>4</v>
      </c>
      <c r="W2275" s="3">
        <v>153102.49</v>
      </c>
      <c r="X2275" s="3">
        <v>612409.96</v>
      </c>
      <c r="Y2275" s="1" t="str">
        <f>VLOOKUP(A2275,[1]Detalle!$D$2:$CR$484,93,FALSE)</f>
        <v>ADA_CH - Danone Arg. S.A. - Chascomus</v>
      </c>
    </row>
    <row r="2276" spans="1:25" ht="14.25" customHeight="1" x14ac:dyDescent="0.3">
      <c r="A2276" s="1" t="s">
        <v>703</v>
      </c>
      <c r="B2276" s="1" t="s">
        <v>700</v>
      </c>
      <c r="C2276" s="1" t="s">
        <v>700</v>
      </c>
      <c r="D2276" s="1" t="s">
        <v>624</v>
      </c>
      <c r="E2276" s="1" t="s">
        <v>337</v>
      </c>
      <c r="N2276" s="7">
        <v>45947</v>
      </c>
      <c r="O2276" s="1">
        <v>180</v>
      </c>
      <c r="P2276" s="7">
        <v>46307</v>
      </c>
      <c r="Q2276" s="1" t="s">
        <v>330</v>
      </c>
      <c r="T2276" s="1" t="s">
        <v>625</v>
      </c>
      <c r="U2276" s="1" t="s">
        <v>626</v>
      </c>
      <c r="V2276" s="1">
        <v>1</v>
      </c>
      <c r="W2276" s="3">
        <v>57923.55</v>
      </c>
      <c r="X2276" s="3">
        <v>57923.55</v>
      </c>
      <c r="Y2276" s="1" t="str">
        <f>VLOOKUP(A2276,[1]Detalle!$D$2:$CR$484,93,FALSE)</f>
        <v>ADA_CH - Danone Arg. S.A. - Chascomus</v>
      </c>
    </row>
    <row r="2277" spans="1:25" ht="14.25" customHeight="1" x14ac:dyDescent="0.3">
      <c r="A2277" s="1" t="s">
        <v>703</v>
      </c>
      <c r="B2277" s="1" t="s">
        <v>700</v>
      </c>
      <c r="C2277" s="1" t="s">
        <v>700</v>
      </c>
      <c r="D2277" s="1" t="s">
        <v>624</v>
      </c>
      <c r="E2277" s="1" t="s">
        <v>337</v>
      </c>
      <c r="N2277" s="7">
        <v>45947</v>
      </c>
      <c r="O2277" s="1">
        <v>180</v>
      </c>
      <c r="P2277" s="7">
        <v>46307</v>
      </c>
      <c r="Q2277" s="1" t="s">
        <v>330</v>
      </c>
      <c r="T2277" s="1" t="s">
        <v>627</v>
      </c>
      <c r="U2277" s="1" t="s">
        <v>628</v>
      </c>
      <c r="V2277" s="1">
        <v>1</v>
      </c>
      <c r="W2277" s="3">
        <v>14370.83</v>
      </c>
      <c r="X2277" s="3">
        <v>14370.83</v>
      </c>
      <c r="Y2277" s="1" t="str">
        <f>VLOOKUP(A2277,[1]Detalle!$D$2:$CR$484,93,FALSE)</f>
        <v>ADA_CH - Danone Arg. S.A. - Chascomus</v>
      </c>
    </row>
    <row r="2278" spans="1:25" ht="14.25" customHeight="1" x14ac:dyDescent="0.3">
      <c r="A2278" s="1" t="s">
        <v>703</v>
      </c>
      <c r="B2278" s="1" t="s">
        <v>700</v>
      </c>
      <c r="C2278" s="1" t="s">
        <v>700</v>
      </c>
      <c r="D2278" s="1" t="s">
        <v>624</v>
      </c>
      <c r="E2278" s="1" t="s">
        <v>337</v>
      </c>
      <c r="N2278" s="7">
        <v>45947</v>
      </c>
      <c r="O2278" s="1">
        <v>180</v>
      </c>
      <c r="P2278" s="7">
        <v>46307</v>
      </c>
      <c r="Q2278" s="1" t="s">
        <v>330</v>
      </c>
      <c r="T2278" s="1" t="s">
        <v>629</v>
      </c>
      <c r="U2278" s="1" t="s">
        <v>630</v>
      </c>
      <c r="V2278" s="1">
        <v>1</v>
      </c>
      <c r="W2278" s="3">
        <v>7200</v>
      </c>
      <c r="X2278" s="3">
        <v>7200</v>
      </c>
      <c r="Y2278" s="1" t="str">
        <f>VLOOKUP(A2278,[1]Detalle!$D$2:$CR$484,93,FALSE)</f>
        <v>ADA_CH - Danone Arg. S.A. - Chascomus</v>
      </c>
    </row>
    <row r="2279" spans="1:25" ht="14.25" customHeight="1" x14ac:dyDescent="0.3">
      <c r="A2279" s="1" t="s">
        <v>703</v>
      </c>
      <c r="B2279" s="1" t="s">
        <v>700</v>
      </c>
      <c r="C2279" s="1" t="s">
        <v>700</v>
      </c>
      <c r="D2279" s="1" t="s">
        <v>624</v>
      </c>
      <c r="E2279" s="1" t="s">
        <v>337</v>
      </c>
      <c r="N2279" s="7">
        <v>45947</v>
      </c>
      <c r="O2279" s="1">
        <v>180</v>
      </c>
      <c r="P2279" s="7">
        <v>46307</v>
      </c>
      <c r="Q2279" s="1" t="s">
        <v>330</v>
      </c>
      <c r="T2279" s="1" t="s">
        <v>631</v>
      </c>
      <c r="U2279" s="1" t="s">
        <v>632</v>
      </c>
      <c r="V2279" s="1">
        <v>1</v>
      </c>
      <c r="W2279" s="3">
        <v>7286.36</v>
      </c>
      <c r="X2279" s="3">
        <v>7286.36</v>
      </c>
      <c r="Y2279" s="1" t="str">
        <f>VLOOKUP(A2279,[1]Detalle!$D$2:$CR$484,93,FALSE)</f>
        <v>ADA_CH - Danone Arg. S.A. - Chascomus</v>
      </c>
    </row>
    <row r="2280" spans="1:25" ht="14.25" customHeight="1" x14ac:dyDescent="0.3">
      <c r="A2280" s="1" t="s">
        <v>703</v>
      </c>
      <c r="B2280" s="1" t="s">
        <v>700</v>
      </c>
      <c r="C2280" s="1" t="s">
        <v>700</v>
      </c>
      <c r="D2280" s="1" t="s">
        <v>624</v>
      </c>
      <c r="E2280" s="1" t="s">
        <v>337</v>
      </c>
      <c r="N2280" s="7">
        <v>45947</v>
      </c>
      <c r="O2280" s="1">
        <v>180</v>
      </c>
      <c r="P2280" s="7">
        <v>46307</v>
      </c>
      <c r="Q2280" s="1" t="s">
        <v>330</v>
      </c>
      <c r="T2280" s="1" t="s">
        <v>633</v>
      </c>
      <c r="U2280" s="1" t="s">
        <v>634</v>
      </c>
      <c r="V2280" s="1">
        <v>4</v>
      </c>
      <c r="W2280" s="3">
        <v>153102.49</v>
      </c>
      <c r="X2280" s="3">
        <v>612409.96</v>
      </c>
      <c r="Y2280" s="1" t="str">
        <f>VLOOKUP(A2280,[1]Detalle!$D$2:$CR$484,93,FALSE)</f>
        <v>ADA_CH - Danone Arg. S.A. - Chascomus</v>
      </c>
    </row>
    <row r="2281" spans="1:25" ht="14.25" customHeight="1" x14ac:dyDescent="0.3">
      <c r="A2281" s="1" t="s">
        <v>704</v>
      </c>
      <c r="B2281" s="1" t="s">
        <v>700</v>
      </c>
      <c r="C2281" s="1" t="s">
        <v>700</v>
      </c>
      <c r="D2281" s="1" t="s">
        <v>624</v>
      </c>
      <c r="E2281" s="1" t="s">
        <v>337</v>
      </c>
      <c r="N2281" s="7">
        <v>45947</v>
      </c>
      <c r="O2281" s="1">
        <v>180</v>
      </c>
      <c r="P2281" s="7">
        <v>46307</v>
      </c>
      <c r="Q2281" s="1" t="s">
        <v>330</v>
      </c>
      <c r="T2281" s="1" t="s">
        <v>625</v>
      </c>
      <c r="U2281" s="1" t="s">
        <v>626</v>
      </c>
      <c r="V2281" s="1">
        <v>1</v>
      </c>
      <c r="W2281" s="3">
        <v>57923.55</v>
      </c>
      <c r="X2281" s="3">
        <v>57923.55</v>
      </c>
      <c r="Y2281" s="1" t="str">
        <f>VLOOKUP(A2281,[1]Detalle!$D$2:$CR$484,93,FALSE)</f>
        <v>ADA_CH - Danone Arg. S.A. - Chascomus</v>
      </c>
    </row>
    <row r="2282" spans="1:25" ht="14.25" customHeight="1" x14ac:dyDescent="0.3">
      <c r="A2282" s="1" t="s">
        <v>704</v>
      </c>
      <c r="B2282" s="1" t="s">
        <v>700</v>
      </c>
      <c r="C2282" s="1" t="s">
        <v>700</v>
      </c>
      <c r="D2282" s="1" t="s">
        <v>624</v>
      </c>
      <c r="E2282" s="1" t="s">
        <v>337</v>
      </c>
      <c r="N2282" s="7">
        <v>45947</v>
      </c>
      <c r="O2282" s="1">
        <v>180</v>
      </c>
      <c r="P2282" s="7">
        <v>46307</v>
      </c>
      <c r="Q2282" s="1" t="s">
        <v>330</v>
      </c>
      <c r="T2282" s="1" t="s">
        <v>627</v>
      </c>
      <c r="U2282" s="1" t="s">
        <v>628</v>
      </c>
      <c r="V2282" s="1">
        <v>1</v>
      </c>
      <c r="W2282" s="3">
        <v>14370.83</v>
      </c>
      <c r="X2282" s="3">
        <v>14370.83</v>
      </c>
      <c r="Y2282" s="1" t="str">
        <f>VLOOKUP(A2282,[1]Detalle!$D$2:$CR$484,93,FALSE)</f>
        <v>ADA_CH - Danone Arg. S.A. - Chascomus</v>
      </c>
    </row>
    <row r="2283" spans="1:25" ht="14.25" customHeight="1" x14ac:dyDescent="0.3">
      <c r="A2283" s="1" t="s">
        <v>704</v>
      </c>
      <c r="B2283" s="1" t="s">
        <v>700</v>
      </c>
      <c r="C2283" s="1" t="s">
        <v>700</v>
      </c>
      <c r="D2283" s="1" t="s">
        <v>624</v>
      </c>
      <c r="E2283" s="1" t="s">
        <v>337</v>
      </c>
      <c r="N2283" s="7">
        <v>45947</v>
      </c>
      <c r="O2283" s="1">
        <v>180</v>
      </c>
      <c r="P2283" s="7">
        <v>46307</v>
      </c>
      <c r="Q2283" s="1" t="s">
        <v>330</v>
      </c>
      <c r="T2283" s="1" t="s">
        <v>629</v>
      </c>
      <c r="U2283" s="1" t="s">
        <v>630</v>
      </c>
      <c r="V2283" s="1">
        <v>1</v>
      </c>
      <c r="W2283" s="3">
        <v>7200</v>
      </c>
      <c r="X2283" s="3">
        <v>7200</v>
      </c>
      <c r="Y2283" s="1" t="str">
        <f>VLOOKUP(A2283,[1]Detalle!$D$2:$CR$484,93,FALSE)</f>
        <v>ADA_CH - Danone Arg. S.A. - Chascomus</v>
      </c>
    </row>
    <row r="2284" spans="1:25" ht="14.25" customHeight="1" x14ac:dyDescent="0.3">
      <c r="A2284" s="1" t="s">
        <v>704</v>
      </c>
      <c r="B2284" s="1" t="s">
        <v>700</v>
      </c>
      <c r="C2284" s="1" t="s">
        <v>700</v>
      </c>
      <c r="D2284" s="1" t="s">
        <v>624</v>
      </c>
      <c r="E2284" s="1" t="s">
        <v>337</v>
      </c>
      <c r="N2284" s="7">
        <v>45947</v>
      </c>
      <c r="O2284" s="1">
        <v>180</v>
      </c>
      <c r="P2284" s="7">
        <v>46307</v>
      </c>
      <c r="Q2284" s="1" t="s">
        <v>330</v>
      </c>
      <c r="T2284" s="1" t="s">
        <v>631</v>
      </c>
      <c r="U2284" s="1" t="s">
        <v>632</v>
      </c>
      <c r="V2284" s="1">
        <v>1</v>
      </c>
      <c r="W2284" s="3">
        <v>7286.36</v>
      </c>
      <c r="X2284" s="3">
        <v>7286.36</v>
      </c>
      <c r="Y2284" s="1" t="str">
        <f>VLOOKUP(A2284,[1]Detalle!$D$2:$CR$484,93,FALSE)</f>
        <v>ADA_CH - Danone Arg. S.A. - Chascomus</v>
      </c>
    </row>
    <row r="2285" spans="1:25" ht="14.25" customHeight="1" x14ac:dyDescent="0.3">
      <c r="A2285" s="1" t="s">
        <v>704</v>
      </c>
      <c r="B2285" s="1" t="s">
        <v>700</v>
      </c>
      <c r="C2285" s="1" t="s">
        <v>700</v>
      </c>
      <c r="D2285" s="1" t="s">
        <v>624</v>
      </c>
      <c r="E2285" s="1" t="s">
        <v>337</v>
      </c>
      <c r="N2285" s="7">
        <v>45947</v>
      </c>
      <c r="O2285" s="1">
        <v>180</v>
      </c>
      <c r="P2285" s="7">
        <v>46307</v>
      </c>
      <c r="Q2285" s="1" t="s">
        <v>330</v>
      </c>
      <c r="T2285" s="1" t="s">
        <v>633</v>
      </c>
      <c r="U2285" s="1" t="s">
        <v>634</v>
      </c>
      <c r="V2285" s="1">
        <v>4</v>
      </c>
      <c r="W2285" s="3">
        <v>153102.49</v>
      </c>
      <c r="X2285" s="3">
        <v>612409.96</v>
      </c>
      <c r="Y2285" s="1" t="str">
        <f>VLOOKUP(A2285,[1]Detalle!$D$2:$CR$484,93,FALSE)</f>
        <v>ADA_CH - Danone Arg. S.A. - Chascomus</v>
      </c>
    </row>
    <row r="2286" spans="1:25" ht="14.25" customHeight="1" x14ac:dyDescent="0.3">
      <c r="A2286" s="1" t="s">
        <v>705</v>
      </c>
      <c r="B2286" s="1" t="s">
        <v>700</v>
      </c>
      <c r="C2286" s="1" t="s">
        <v>700</v>
      </c>
      <c r="D2286" s="1" t="s">
        <v>624</v>
      </c>
      <c r="E2286" s="1" t="s">
        <v>337</v>
      </c>
      <c r="N2286" s="7">
        <v>45947</v>
      </c>
      <c r="O2286" s="1">
        <v>180</v>
      </c>
      <c r="P2286" s="7">
        <v>46307</v>
      </c>
      <c r="Q2286" s="1" t="s">
        <v>330</v>
      </c>
      <c r="T2286" s="1" t="s">
        <v>625</v>
      </c>
      <c r="U2286" s="1" t="s">
        <v>626</v>
      </c>
      <c r="V2286" s="1">
        <v>1</v>
      </c>
      <c r="W2286" s="3">
        <v>57923.55</v>
      </c>
      <c r="X2286" s="3">
        <v>57923.55</v>
      </c>
      <c r="Y2286" s="1" t="str">
        <f>VLOOKUP(A2286,[1]Detalle!$D$2:$CR$484,93,FALSE)</f>
        <v>ADA_CH - Danone Arg. S.A. - Chascomus</v>
      </c>
    </row>
    <row r="2287" spans="1:25" ht="14.25" customHeight="1" x14ac:dyDescent="0.3">
      <c r="A2287" s="1" t="s">
        <v>705</v>
      </c>
      <c r="B2287" s="1" t="s">
        <v>700</v>
      </c>
      <c r="C2287" s="1" t="s">
        <v>700</v>
      </c>
      <c r="D2287" s="1" t="s">
        <v>624</v>
      </c>
      <c r="E2287" s="1" t="s">
        <v>337</v>
      </c>
      <c r="N2287" s="7">
        <v>45947</v>
      </c>
      <c r="O2287" s="1">
        <v>180</v>
      </c>
      <c r="P2287" s="7">
        <v>46307</v>
      </c>
      <c r="Q2287" s="1" t="s">
        <v>330</v>
      </c>
      <c r="T2287" s="1" t="s">
        <v>627</v>
      </c>
      <c r="U2287" s="1" t="s">
        <v>628</v>
      </c>
      <c r="V2287" s="1">
        <v>1</v>
      </c>
      <c r="W2287" s="3">
        <v>14370.83</v>
      </c>
      <c r="X2287" s="3">
        <v>14370.83</v>
      </c>
      <c r="Y2287" s="1" t="str">
        <f>VLOOKUP(A2287,[1]Detalle!$D$2:$CR$484,93,FALSE)</f>
        <v>ADA_CH - Danone Arg. S.A. - Chascomus</v>
      </c>
    </row>
    <row r="2288" spans="1:25" ht="14.25" customHeight="1" x14ac:dyDescent="0.3">
      <c r="A2288" s="1" t="s">
        <v>705</v>
      </c>
      <c r="B2288" s="1" t="s">
        <v>700</v>
      </c>
      <c r="C2288" s="1" t="s">
        <v>700</v>
      </c>
      <c r="D2288" s="1" t="s">
        <v>624</v>
      </c>
      <c r="E2288" s="1" t="s">
        <v>337</v>
      </c>
      <c r="N2288" s="7">
        <v>45947</v>
      </c>
      <c r="O2288" s="1">
        <v>180</v>
      </c>
      <c r="P2288" s="7">
        <v>46307</v>
      </c>
      <c r="Q2288" s="1" t="s">
        <v>330</v>
      </c>
      <c r="T2288" s="1" t="s">
        <v>629</v>
      </c>
      <c r="U2288" s="1" t="s">
        <v>630</v>
      </c>
      <c r="V2288" s="1">
        <v>1</v>
      </c>
      <c r="W2288" s="3">
        <v>7200</v>
      </c>
      <c r="X2288" s="3">
        <v>7200</v>
      </c>
      <c r="Y2288" s="1" t="str">
        <f>VLOOKUP(A2288,[1]Detalle!$D$2:$CR$484,93,FALSE)</f>
        <v>ADA_CH - Danone Arg. S.A. - Chascomus</v>
      </c>
    </row>
    <row r="2289" spans="1:25" ht="14.25" customHeight="1" x14ac:dyDescent="0.3">
      <c r="A2289" s="1" t="s">
        <v>705</v>
      </c>
      <c r="B2289" s="1" t="s">
        <v>700</v>
      </c>
      <c r="C2289" s="1" t="s">
        <v>700</v>
      </c>
      <c r="D2289" s="1" t="s">
        <v>624</v>
      </c>
      <c r="E2289" s="1" t="s">
        <v>337</v>
      </c>
      <c r="N2289" s="7">
        <v>45947</v>
      </c>
      <c r="O2289" s="1">
        <v>180</v>
      </c>
      <c r="P2289" s="7">
        <v>46307</v>
      </c>
      <c r="Q2289" s="1" t="s">
        <v>330</v>
      </c>
      <c r="T2289" s="1" t="s">
        <v>631</v>
      </c>
      <c r="U2289" s="1" t="s">
        <v>632</v>
      </c>
      <c r="V2289" s="1">
        <v>1</v>
      </c>
      <c r="W2289" s="3">
        <v>7286.36</v>
      </c>
      <c r="X2289" s="3">
        <v>7286.36</v>
      </c>
      <c r="Y2289" s="1" t="str">
        <f>VLOOKUP(A2289,[1]Detalle!$D$2:$CR$484,93,FALSE)</f>
        <v>ADA_CH - Danone Arg. S.A. - Chascomus</v>
      </c>
    </row>
    <row r="2290" spans="1:25" ht="14.25" customHeight="1" x14ac:dyDescent="0.3">
      <c r="A2290" s="1" t="s">
        <v>705</v>
      </c>
      <c r="B2290" s="1" t="s">
        <v>700</v>
      </c>
      <c r="C2290" s="1" t="s">
        <v>700</v>
      </c>
      <c r="D2290" s="1" t="s">
        <v>624</v>
      </c>
      <c r="E2290" s="1" t="s">
        <v>337</v>
      </c>
      <c r="N2290" s="7">
        <v>45947</v>
      </c>
      <c r="O2290" s="1">
        <v>180</v>
      </c>
      <c r="P2290" s="7">
        <v>46307</v>
      </c>
      <c r="Q2290" s="1" t="s">
        <v>330</v>
      </c>
      <c r="T2290" s="1" t="s">
        <v>633</v>
      </c>
      <c r="U2290" s="1" t="s">
        <v>634</v>
      </c>
      <c r="V2290" s="1">
        <v>4</v>
      </c>
      <c r="W2290" s="3">
        <v>153102.49</v>
      </c>
      <c r="X2290" s="3">
        <v>612409.96</v>
      </c>
      <c r="Y2290" s="1" t="str">
        <f>VLOOKUP(A2290,[1]Detalle!$D$2:$CR$484,93,FALSE)</f>
        <v>ADA_CH - Danone Arg. S.A. - Chascomus</v>
      </c>
    </row>
    <row r="2291" spans="1:25" ht="14.25" customHeight="1" x14ac:dyDescent="0.3">
      <c r="A2291" s="1" t="s">
        <v>706</v>
      </c>
      <c r="B2291" s="1" t="s">
        <v>700</v>
      </c>
      <c r="C2291" s="1" t="s">
        <v>700</v>
      </c>
      <c r="D2291" s="1" t="s">
        <v>624</v>
      </c>
      <c r="E2291" s="1" t="s">
        <v>337</v>
      </c>
      <c r="N2291" s="7">
        <v>45947</v>
      </c>
      <c r="O2291" s="1">
        <v>180</v>
      </c>
      <c r="P2291" s="7">
        <v>46307</v>
      </c>
      <c r="Q2291" s="1" t="s">
        <v>330</v>
      </c>
      <c r="T2291" s="1" t="s">
        <v>625</v>
      </c>
      <c r="U2291" s="1" t="s">
        <v>626</v>
      </c>
      <c r="V2291" s="1">
        <v>1</v>
      </c>
      <c r="W2291" s="3">
        <v>57923.55</v>
      </c>
      <c r="X2291" s="3">
        <v>57923.55</v>
      </c>
      <c r="Y2291" s="1" t="str">
        <f>VLOOKUP(A2291,[1]Detalle!$D$2:$CR$484,93,FALSE)</f>
        <v>ADA_CH - Danone Arg. S.A. - Chascomus</v>
      </c>
    </row>
    <row r="2292" spans="1:25" ht="14.25" customHeight="1" x14ac:dyDescent="0.3">
      <c r="A2292" s="1" t="s">
        <v>706</v>
      </c>
      <c r="B2292" s="1" t="s">
        <v>700</v>
      </c>
      <c r="C2292" s="1" t="s">
        <v>700</v>
      </c>
      <c r="D2292" s="1" t="s">
        <v>624</v>
      </c>
      <c r="E2292" s="1" t="s">
        <v>337</v>
      </c>
      <c r="N2292" s="7">
        <v>45947</v>
      </c>
      <c r="O2292" s="1">
        <v>180</v>
      </c>
      <c r="P2292" s="7">
        <v>46307</v>
      </c>
      <c r="Q2292" s="1" t="s">
        <v>330</v>
      </c>
      <c r="T2292" s="1" t="s">
        <v>627</v>
      </c>
      <c r="U2292" s="1" t="s">
        <v>628</v>
      </c>
      <c r="V2292" s="1">
        <v>1</v>
      </c>
      <c r="W2292" s="3">
        <v>14370.83</v>
      </c>
      <c r="X2292" s="3">
        <v>14370.83</v>
      </c>
      <c r="Y2292" s="1" t="str">
        <f>VLOOKUP(A2292,[1]Detalle!$D$2:$CR$484,93,FALSE)</f>
        <v>ADA_CH - Danone Arg. S.A. - Chascomus</v>
      </c>
    </row>
    <row r="2293" spans="1:25" ht="14.25" customHeight="1" x14ac:dyDescent="0.3">
      <c r="A2293" s="1" t="s">
        <v>706</v>
      </c>
      <c r="B2293" s="1" t="s">
        <v>700</v>
      </c>
      <c r="C2293" s="1" t="s">
        <v>700</v>
      </c>
      <c r="D2293" s="1" t="s">
        <v>624</v>
      </c>
      <c r="E2293" s="1" t="s">
        <v>337</v>
      </c>
      <c r="N2293" s="7">
        <v>45947</v>
      </c>
      <c r="O2293" s="1">
        <v>180</v>
      </c>
      <c r="P2293" s="7">
        <v>46307</v>
      </c>
      <c r="Q2293" s="1" t="s">
        <v>330</v>
      </c>
      <c r="T2293" s="1" t="s">
        <v>629</v>
      </c>
      <c r="U2293" s="1" t="s">
        <v>630</v>
      </c>
      <c r="V2293" s="1">
        <v>1</v>
      </c>
      <c r="W2293" s="3">
        <v>7200</v>
      </c>
      <c r="X2293" s="3">
        <v>7200</v>
      </c>
      <c r="Y2293" s="1" t="str">
        <f>VLOOKUP(A2293,[1]Detalle!$D$2:$CR$484,93,FALSE)</f>
        <v>ADA_CH - Danone Arg. S.A. - Chascomus</v>
      </c>
    </row>
    <row r="2294" spans="1:25" ht="14.25" customHeight="1" x14ac:dyDescent="0.3">
      <c r="A2294" s="1" t="s">
        <v>706</v>
      </c>
      <c r="B2294" s="1" t="s">
        <v>700</v>
      </c>
      <c r="C2294" s="1" t="s">
        <v>700</v>
      </c>
      <c r="D2294" s="1" t="s">
        <v>624</v>
      </c>
      <c r="E2294" s="1" t="s">
        <v>337</v>
      </c>
      <c r="N2294" s="7">
        <v>45947</v>
      </c>
      <c r="O2294" s="1">
        <v>180</v>
      </c>
      <c r="P2294" s="7">
        <v>46307</v>
      </c>
      <c r="Q2294" s="1" t="s">
        <v>330</v>
      </c>
      <c r="T2294" s="1" t="s">
        <v>631</v>
      </c>
      <c r="U2294" s="1" t="s">
        <v>632</v>
      </c>
      <c r="V2294" s="1">
        <v>1</v>
      </c>
      <c r="W2294" s="3">
        <v>7286.36</v>
      </c>
      <c r="X2294" s="3">
        <v>7286.36</v>
      </c>
      <c r="Y2294" s="1" t="str">
        <f>VLOOKUP(A2294,[1]Detalle!$D$2:$CR$484,93,FALSE)</f>
        <v>ADA_CH - Danone Arg. S.A. - Chascomus</v>
      </c>
    </row>
    <row r="2295" spans="1:25" ht="14.25" customHeight="1" x14ac:dyDescent="0.3">
      <c r="A2295" s="1" t="s">
        <v>706</v>
      </c>
      <c r="B2295" s="1" t="s">
        <v>700</v>
      </c>
      <c r="C2295" s="1" t="s">
        <v>700</v>
      </c>
      <c r="D2295" s="1" t="s">
        <v>624</v>
      </c>
      <c r="E2295" s="1" t="s">
        <v>337</v>
      </c>
      <c r="N2295" s="7">
        <v>45947</v>
      </c>
      <c r="O2295" s="1">
        <v>180</v>
      </c>
      <c r="P2295" s="7">
        <v>46307</v>
      </c>
      <c r="Q2295" s="1" t="s">
        <v>330</v>
      </c>
      <c r="T2295" s="1" t="s">
        <v>633</v>
      </c>
      <c r="U2295" s="1" t="s">
        <v>634</v>
      </c>
      <c r="V2295" s="1">
        <v>4</v>
      </c>
      <c r="W2295" s="3">
        <v>153102.49</v>
      </c>
      <c r="X2295" s="3">
        <v>612409.96</v>
      </c>
      <c r="Y2295" s="1" t="str">
        <f>VLOOKUP(A2295,[1]Detalle!$D$2:$CR$484,93,FALSE)</f>
        <v>ADA_CH - Danone Arg. S.A. - Chascomus</v>
      </c>
    </row>
    <row r="2296" spans="1:25" ht="14.25" customHeight="1" x14ac:dyDescent="0.3">
      <c r="A2296" s="1" t="s">
        <v>707</v>
      </c>
      <c r="B2296" s="1" t="s">
        <v>700</v>
      </c>
      <c r="C2296" s="1" t="s">
        <v>700</v>
      </c>
      <c r="D2296" s="1" t="s">
        <v>624</v>
      </c>
      <c r="E2296" s="1" t="s">
        <v>337</v>
      </c>
      <c r="N2296" s="7">
        <v>45947</v>
      </c>
      <c r="O2296" s="1">
        <v>180</v>
      </c>
      <c r="P2296" s="7">
        <v>46307</v>
      </c>
      <c r="Q2296" s="1" t="s">
        <v>330</v>
      </c>
      <c r="T2296" s="1" t="s">
        <v>625</v>
      </c>
      <c r="U2296" s="1" t="s">
        <v>626</v>
      </c>
      <c r="V2296" s="1">
        <v>1</v>
      </c>
      <c r="W2296" s="3">
        <v>57923.55</v>
      </c>
      <c r="X2296" s="3">
        <v>57923.55</v>
      </c>
      <c r="Y2296" s="1" t="str">
        <f>VLOOKUP(A2296,[1]Detalle!$D$2:$CR$484,93,FALSE)</f>
        <v>ADA_CH - Danone Arg. S.A. - Chascomus</v>
      </c>
    </row>
    <row r="2297" spans="1:25" ht="14.25" customHeight="1" x14ac:dyDescent="0.3">
      <c r="A2297" s="1" t="s">
        <v>707</v>
      </c>
      <c r="B2297" s="1" t="s">
        <v>700</v>
      </c>
      <c r="C2297" s="1" t="s">
        <v>700</v>
      </c>
      <c r="D2297" s="1" t="s">
        <v>624</v>
      </c>
      <c r="E2297" s="1" t="s">
        <v>337</v>
      </c>
      <c r="N2297" s="7">
        <v>45947</v>
      </c>
      <c r="O2297" s="1">
        <v>180</v>
      </c>
      <c r="P2297" s="7">
        <v>46307</v>
      </c>
      <c r="Q2297" s="1" t="s">
        <v>330</v>
      </c>
      <c r="T2297" s="1" t="s">
        <v>627</v>
      </c>
      <c r="U2297" s="1" t="s">
        <v>628</v>
      </c>
      <c r="V2297" s="1">
        <v>1</v>
      </c>
      <c r="W2297" s="3">
        <v>14370.83</v>
      </c>
      <c r="X2297" s="3">
        <v>14370.83</v>
      </c>
      <c r="Y2297" s="1" t="str">
        <f>VLOOKUP(A2297,[1]Detalle!$D$2:$CR$484,93,FALSE)</f>
        <v>ADA_CH - Danone Arg. S.A. - Chascomus</v>
      </c>
    </row>
    <row r="2298" spans="1:25" ht="14.25" customHeight="1" x14ac:dyDescent="0.3">
      <c r="A2298" s="1" t="s">
        <v>707</v>
      </c>
      <c r="B2298" s="1" t="s">
        <v>700</v>
      </c>
      <c r="C2298" s="1" t="s">
        <v>700</v>
      </c>
      <c r="D2298" s="1" t="s">
        <v>624</v>
      </c>
      <c r="E2298" s="1" t="s">
        <v>337</v>
      </c>
      <c r="N2298" s="7">
        <v>45947</v>
      </c>
      <c r="O2298" s="1">
        <v>180</v>
      </c>
      <c r="P2298" s="7">
        <v>46307</v>
      </c>
      <c r="Q2298" s="1" t="s">
        <v>330</v>
      </c>
      <c r="T2298" s="1" t="s">
        <v>629</v>
      </c>
      <c r="U2298" s="1" t="s">
        <v>630</v>
      </c>
      <c r="V2298" s="1">
        <v>1</v>
      </c>
      <c r="W2298" s="3">
        <v>7200</v>
      </c>
      <c r="X2298" s="3">
        <v>7200</v>
      </c>
      <c r="Y2298" s="1" t="str">
        <f>VLOOKUP(A2298,[1]Detalle!$D$2:$CR$484,93,FALSE)</f>
        <v>ADA_CH - Danone Arg. S.A. - Chascomus</v>
      </c>
    </row>
    <row r="2299" spans="1:25" ht="14.25" customHeight="1" x14ac:dyDescent="0.3">
      <c r="A2299" s="1" t="s">
        <v>707</v>
      </c>
      <c r="B2299" s="1" t="s">
        <v>700</v>
      </c>
      <c r="C2299" s="1" t="s">
        <v>700</v>
      </c>
      <c r="D2299" s="1" t="s">
        <v>624</v>
      </c>
      <c r="E2299" s="1" t="s">
        <v>337</v>
      </c>
      <c r="N2299" s="7">
        <v>45947</v>
      </c>
      <c r="O2299" s="1">
        <v>180</v>
      </c>
      <c r="P2299" s="7">
        <v>46307</v>
      </c>
      <c r="Q2299" s="1" t="s">
        <v>330</v>
      </c>
      <c r="T2299" s="1" t="s">
        <v>631</v>
      </c>
      <c r="U2299" s="1" t="s">
        <v>632</v>
      </c>
      <c r="V2299" s="1">
        <v>1</v>
      </c>
      <c r="W2299" s="3">
        <v>7286.36</v>
      </c>
      <c r="X2299" s="3">
        <v>7286.36</v>
      </c>
      <c r="Y2299" s="1" t="str">
        <f>VLOOKUP(A2299,[1]Detalle!$D$2:$CR$484,93,FALSE)</f>
        <v>ADA_CH - Danone Arg. S.A. - Chascomus</v>
      </c>
    </row>
    <row r="2300" spans="1:25" ht="14.25" customHeight="1" x14ac:dyDescent="0.3">
      <c r="A2300" s="1" t="s">
        <v>707</v>
      </c>
      <c r="B2300" s="1" t="s">
        <v>700</v>
      </c>
      <c r="C2300" s="1" t="s">
        <v>700</v>
      </c>
      <c r="D2300" s="1" t="s">
        <v>624</v>
      </c>
      <c r="E2300" s="1" t="s">
        <v>337</v>
      </c>
      <c r="N2300" s="7">
        <v>45947</v>
      </c>
      <c r="O2300" s="1">
        <v>180</v>
      </c>
      <c r="P2300" s="7">
        <v>46307</v>
      </c>
      <c r="Q2300" s="1" t="s">
        <v>330</v>
      </c>
      <c r="T2300" s="1" t="s">
        <v>633</v>
      </c>
      <c r="U2300" s="1" t="s">
        <v>634</v>
      </c>
      <c r="V2300" s="1">
        <v>4</v>
      </c>
      <c r="W2300" s="3">
        <v>153102.49</v>
      </c>
      <c r="X2300" s="3">
        <v>612409.96</v>
      </c>
      <c r="Y2300" s="1" t="str">
        <f>VLOOKUP(A2300,[1]Detalle!$D$2:$CR$484,93,FALSE)</f>
        <v>ADA_CH - Danone Arg. S.A. - Chascomus</v>
      </c>
    </row>
    <row r="2301" spans="1:25" ht="14.25" customHeight="1" x14ac:dyDescent="0.3">
      <c r="A2301" s="1" t="s">
        <v>708</v>
      </c>
      <c r="B2301" s="1" t="s">
        <v>700</v>
      </c>
      <c r="C2301" s="1" t="s">
        <v>700</v>
      </c>
      <c r="D2301" s="1" t="s">
        <v>624</v>
      </c>
      <c r="E2301" s="1" t="s">
        <v>337</v>
      </c>
      <c r="N2301" s="7">
        <v>45947</v>
      </c>
      <c r="O2301" s="1">
        <v>180</v>
      </c>
      <c r="P2301" s="7">
        <v>46307</v>
      </c>
      <c r="Q2301" s="1" t="s">
        <v>330</v>
      </c>
      <c r="T2301" s="1" t="s">
        <v>625</v>
      </c>
      <c r="U2301" s="1" t="s">
        <v>626</v>
      </c>
      <c r="V2301" s="1">
        <v>1</v>
      </c>
      <c r="W2301" s="3">
        <v>57923.55</v>
      </c>
      <c r="X2301" s="3">
        <v>57923.55</v>
      </c>
      <c r="Y2301" s="1" t="str">
        <f>VLOOKUP(A2301,[1]Detalle!$D$2:$CR$484,93,FALSE)</f>
        <v>ADA_CH - Danone Arg. S.A. - Chascomus</v>
      </c>
    </row>
    <row r="2302" spans="1:25" ht="14.25" customHeight="1" x14ac:dyDescent="0.3">
      <c r="A2302" s="1" t="s">
        <v>708</v>
      </c>
      <c r="B2302" s="1" t="s">
        <v>700</v>
      </c>
      <c r="C2302" s="1" t="s">
        <v>700</v>
      </c>
      <c r="D2302" s="1" t="s">
        <v>624</v>
      </c>
      <c r="E2302" s="1" t="s">
        <v>337</v>
      </c>
      <c r="N2302" s="7">
        <v>45947</v>
      </c>
      <c r="O2302" s="1">
        <v>180</v>
      </c>
      <c r="P2302" s="7">
        <v>46307</v>
      </c>
      <c r="Q2302" s="1" t="s">
        <v>330</v>
      </c>
      <c r="T2302" s="1" t="s">
        <v>627</v>
      </c>
      <c r="U2302" s="1" t="s">
        <v>628</v>
      </c>
      <c r="V2302" s="1">
        <v>1</v>
      </c>
      <c r="W2302" s="3">
        <v>14370.83</v>
      </c>
      <c r="X2302" s="3">
        <v>14370.83</v>
      </c>
      <c r="Y2302" s="1" t="str">
        <f>VLOOKUP(A2302,[1]Detalle!$D$2:$CR$484,93,FALSE)</f>
        <v>ADA_CH - Danone Arg. S.A. - Chascomus</v>
      </c>
    </row>
    <row r="2303" spans="1:25" ht="14.25" customHeight="1" x14ac:dyDescent="0.3">
      <c r="A2303" s="1" t="s">
        <v>708</v>
      </c>
      <c r="B2303" s="1" t="s">
        <v>700</v>
      </c>
      <c r="C2303" s="1" t="s">
        <v>700</v>
      </c>
      <c r="D2303" s="1" t="s">
        <v>624</v>
      </c>
      <c r="E2303" s="1" t="s">
        <v>337</v>
      </c>
      <c r="N2303" s="7">
        <v>45947</v>
      </c>
      <c r="O2303" s="1">
        <v>180</v>
      </c>
      <c r="P2303" s="7">
        <v>46307</v>
      </c>
      <c r="Q2303" s="1" t="s">
        <v>330</v>
      </c>
      <c r="T2303" s="1" t="s">
        <v>629</v>
      </c>
      <c r="U2303" s="1" t="s">
        <v>630</v>
      </c>
      <c r="V2303" s="1">
        <v>1</v>
      </c>
      <c r="W2303" s="3">
        <v>7200</v>
      </c>
      <c r="X2303" s="3">
        <v>7200</v>
      </c>
      <c r="Y2303" s="1" t="str">
        <f>VLOOKUP(A2303,[1]Detalle!$D$2:$CR$484,93,FALSE)</f>
        <v>ADA_CH - Danone Arg. S.A. - Chascomus</v>
      </c>
    </row>
    <row r="2304" spans="1:25" ht="14.25" customHeight="1" x14ac:dyDescent="0.3">
      <c r="A2304" s="1" t="s">
        <v>708</v>
      </c>
      <c r="B2304" s="1" t="s">
        <v>700</v>
      </c>
      <c r="C2304" s="1" t="s">
        <v>700</v>
      </c>
      <c r="D2304" s="1" t="s">
        <v>624</v>
      </c>
      <c r="E2304" s="1" t="s">
        <v>337</v>
      </c>
      <c r="N2304" s="7">
        <v>45947</v>
      </c>
      <c r="O2304" s="1">
        <v>180</v>
      </c>
      <c r="P2304" s="7">
        <v>46307</v>
      </c>
      <c r="Q2304" s="1" t="s">
        <v>330</v>
      </c>
      <c r="T2304" s="1" t="s">
        <v>631</v>
      </c>
      <c r="U2304" s="1" t="s">
        <v>632</v>
      </c>
      <c r="V2304" s="1">
        <v>1</v>
      </c>
      <c r="W2304" s="3">
        <v>7286.36</v>
      </c>
      <c r="X2304" s="3">
        <v>7286.36</v>
      </c>
      <c r="Y2304" s="1" t="str">
        <f>VLOOKUP(A2304,[1]Detalle!$D$2:$CR$484,93,FALSE)</f>
        <v>ADA_CH - Danone Arg. S.A. - Chascomus</v>
      </c>
    </row>
    <row r="2305" spans="1:25" ht="14.25" customHeight="1" x14ac:dyDescent="0.3">
      <c r="A2305" s="1" t="s">
        <v>708</v>
      </c>
      <c r="B2305" s="1" t="s">
        <v>700</v>
      </c>
      <c r="C2305" s="1" t="s">
        <v>700</v>
      </c>
      <c r="D2305" s="1" t="s">
        <v>624</v>
      </c>
      <c r="E2305" s="1" t="s">
        <v>337</v>
      </c>
      <c r="N2305" s="7">
        <v>45947</v>
      </c>
      <c r="O2305" s="1">
        <v>180</v>
      </c>
      <c r="P2305" s="7">
        <v>46307</v>
      </c>
      <c r="Q2305" s="1" t="s">
        <v>330</v>
      </c>
      <c r="T2305" s="1" t="s">
        <v>633</v>
      </c>
      <c r="U2305" s="1" t="s">
        <v>634</v>
      </c>
      <c r="V2305" s="1">
        <v>4</v>
      </c>
      <c r="W2305" s="3">
        <v>153102.49</v>
      </c>
      <c r="X2305" s="3">
        <v>612409.96</v>
      </c>
      <c r="Y2305" s="1" t="str">
        <f>VLOOKUP(A2305,[1]Detalle!$D$2:$CR$484,93,FALSE)</f>
        <v>ADA_CH - Danone Arg. S.A. - Chascomus</v>
      </c>
    </row>
    <row r="2306" spans="1:25" ht="14.25" customHeight="1" x14ac:dyDescent="0.3">
      <c r="A2306" s="1" t="s">
        <v>709</v>
      </c>
      <c r="B2306" s="1" t="s">
        <v>700</v>
      </c>
      <c r="C2306" s="1" t="s">
        <v>700</v>
      </c>
      <c r="D2306" s="1" t="s">
        <v>624</v>
      </c>
      <c r="E2306" s="1" t="s">
        <v>337</v>
      </c>
      <c r="N2306" s="7">
        <v>45947</v>
      </c>
      <c r="O2306" s="1">
        <v>180</v>
      </c>
      <c r="P2306" s="7">
        <v>46307</v>
      </c>
      <c r="Q2306" s="1" t="s">
        <v>330</v>
      </c>
      <c r="T2306" s="1" t="s">
        <v>625</v>
      </c>
      <c r="U2306" s="1" t="s">
        <v>626</v>
      </c>
      <c r="V2306" s="1">
        <v>1</v>
      </c>
      <c r="W2306" s="3">
        <v>57923.55</v>
      </c>
      <c r="X2306" s="3">
        <v>57923.55</v>
      </c>
      <c r="Y2306" s="1" t="str">
        <f>VLOOKUP(A2306,[1]Detalle!$D$2:$CR$484,93,FALSE)</f>
        <v>ADA_CH - Danone Arg. S.A. - Chascomus</v>
      </c>
    </row>
    <row r="2307" spans="1:25" ht="14.25" customHeight="1" x14ac:dyDescent="0.3">
      <c r="A2307" s="1" t="s">
        <v>709</v>
      </c>
      <c r="B2307" s="1" t="s">
        <v>700</v>
      </c>
      <c r="C2307" s="1" t="s">
        <v>700</v>
      </c>
      <c r="D2307" s="1" t="s">
        <v>624</v>
      </c>
      <c r="E2307" s="1" t="s">
        <v>337</v>
      </c>
      <c r="N2307" s="7">
        <v>45947</v>
      </c>
      <c r="O2307" s="1">
        <v>180</v>
      </c>
      <c r="P2307" s="7">
        <v>46307</v>
      </c>
      <c r="Q2307" s="1" t="s">
        <v>330</v>
      </c>
      <c r="T2307" s="1" t="s">
        <v>627</v>
      </c>
      <c r="U2307" s="1" t="s">
        <v>628</v>
      </c>
      <c r="V2307" s="1">
        <v>1</v>
      </c>
      <c r="W2307" s="3">
        <v>14370.83</v>
      </c>
      <c r="X2307" s="3">
        <v>14370.83</v>
      </c>
      <c r="Y2307" s="1" t="str">
        <f>VLOOKUP(A2307,[1]Detalle!$D$2:$CR$484,93,FALSE)</f>
        <v>ADA_CH - Danone Arg. S.A. - Chascomus</v>
      </c>
    </row>
    <row r="2308" spans="1:25" ht="14.25" customHeight="1" x14ac:dyDescent="0.3">
      <c r="A2308" s="1" t="s">
        <v>709</v>
      </c>
      <c r="B2308" s="1" t="s">
        <v>700</v>
      </c>
      <c r="C2308" s="1" t="s">
        <v>700</v>
      </c>
      <c r="D2308" s="1" t="s">
        <v>624</v>
      </c>
      <c r="E2308" s="1" t="s">
        <v>337</v>
      </c>
      <c r="N2308" s="7">
        <v>45947</v>
      </c>
      <c r="O2308" s="1">
        <v>180</v>
      </c>
      <c r="P2308" s="7">
        <v>46307</v>
      </c>
      <c r="Q2308" s="1" t="s">
        <v>330</v>
      </c>
      <c r="T2308" s="1" t="s">
        <v>629</v>
      </c>
      <c r="U2308" s="1" t="s">
        <v>630</v>
      </c>
      <c r="V2308" s="1">
        <v>1</v>
      </c>
      <c r="W2308" s="3">
        <v>7200</v>
      </c>
      <c r="X2308" s="3">
        <v>7200</v>
      </c>
      <c r="Y2308" s="1" t="str">
        <f>VLOOKUP(A2308,[1]Detalle!$D$2:$CR$484,93,FALSE)</f>
        <v>ADA_CH - Danone Arg. S.A. - Chascomus</v>
      </c>
    </row>
    <row r="2309" spans="1:25" ht="14.25" customHeight="1" x14ac:dyDescent="0.3">
      <c r="A2309" s="1" t="s">
        <v>709</v>
      </c>
      <c r="B2309" s="1" t="s">
        <v>700</v>
      </c>
      <c r="C2309" s="1" t="s">
        <v>700</v>
      </c>
      <c r="D2309" s="1" t="s">
        <v>624</v>
      </c>
      <c r="E2309" s="1" t="s">
        <v>337</v>
      </c>
      <c r="N2309" s="7">
        <v>45947</v>
      </c>
      <c r="O2309" s="1">
        <v>180</v>
      </c>
      <c r="P2309" s="7">
        <v>46307</v>
      </c>
      <c r="Q2309" s="1" t="s">
        <v>330</v>
      </c>
      <c r="T2309" s="1" t="s">
        <v>631</v>
      </c>
      <c r="U2309" s="1" t="s">
        <v>632</v>
      </c>
      <c r="V2309" s="1">
        <v>1</v>
      </c>
      <c r="W2309" s="3">
        <v>7286.36</v>
      </c>
      <c r="X2309" s="3">
        <v>7286.36</v>
      </c>
      <c r="Y2309" s="1" t="str">
        <f>VLOOKUP(A2309,[1]Detalle!$D$2:$CR$484,93,FALSE)</f>
        <v>ADA_CH - Danone Arg. S.A. - Chascomus</v>
      </c>
    </row>
    <row r="2310" spans="1:25" ht="14.25" customHeight="1" x14ac:dyDescent="0.3">
      <c r="A2310" s="1" t="s">
        <v>709</v>
      </c>
      <c r="B2310" s="1" t="s">
        <v>700</v>
      </c>
      <c r="C2310" s="1" t="s">
        <v>700</v>
      </c>
      <c r="D2310" s="1" t="s">
        <v>624</v>
      </c>
      <c r="E2310" s="1" t="s">
        <v>337</v>
      </c>
      <c r="N2310" s="7">
        <v>45947</v>
      </c>
      <c r="O2310" s="1">
        <v>180</v>
      </c>
      <c r="P2310" s="7">
        <v>46307</v>
      </c>
      <c r="Q2310" s="1" t="s">
        <v>330</v>
      </c>
      <c r="T2310" s="1" t="s">
        <v>633</v>
      </c>
      <c r="U2310" s="1" t="s">
        <v>634</v>
      </c>
      <c r="V2310" s="1">
        <v>4</v>
      </c>
      <c r="W2310" s="3">
        <v>153102.49</v>
      </c>
      <c r="X2310" s="3">
        <v>612409.96</v>
      </c>
      <c r="Y2310" s="1" t="str">
        <f>VLOOKUP(A2310,[1]Detalle!$D$2:$CR$484,93,FALSE)</f>
        <v>ADA_CH - Danone Arg. S.A. - Chascomus</v>
      </c>
    </row>
    <row r="2311" spans="1:25" ht="14.25" customHeight="1" x14ac:dyDescent="0.3">
      <c r="A2311" s="1" t="s">
        <v>710</v>
      </c>
      <c r="B2311" s="1" t="s">
        <v>700</v>
      </c>
      <c r="C2311" s="1" t="s">
        <v>700</v>
      </c>
      <c r="D2311" s="1" t="s">
        <v>624</v>
      </c>
      <c r="E2311" s="1" t="s">
        <v>337</v>
      </c>
      <c r="N2311" s="7">
        <v>45947</v>
      </c>
      <c r="O2311" s="1">
        <v>180</v>
      </c>
      <c r="P2311" s="7">
        <v>46307</v>
      </c>
      <c r="Q2311" s="1" t="s">
        <v>330</v>
      </c>
      <c r="T2311" s="1" t="s">
        <v>625</v>
      </c>
      <c r="U2311" s="1" t="s">
        <v>626</v>
      </c>
      <c r="V2311" s="1">
        <v>1</v>
      </c>
      <c r="W2311" s="3">
        <v>57923.55</v>
      </c>
      <c r="X2311" s="3">
        <v>57923.55</v>
      </c>
      <c r="Y2311" s="1" t="str">
        <f>VLOOKUP(A2311,[1]Detalle!$D$2:$CR$484,93,FALSE)</f>
        <v>ADA_CH - Danone Arg. S.A. - Chascomus</v>
      </c>
    </row>
    <row r="2312" spans="1:25" ht="14.25" customHeight="1" x14ac:dyDescent="0.3">
      <c r="A2312" s="1" t="s">
        <v>710</v>
      </c>
      <c r="B2312" s="1" t="s">
        <v>700</v>
      </c>
      <c r="C2312" s="1" t="s">
        <v>700</v>
      </c>
      <c r="D2312" s="1" t="s">
        <v>624</v>
      </c>
      <c r="E2312" s="1" t="s">
        <v>337</v>
      </c>
      <c r="N2312" s="7">
        <v>45947</v>
      </c>
      <c r="O2312" s="1">
        <v>180</v>
      </c>
      <c r="P2312" s="7">
        <v>46307</v>
      </c>
      <c r="Q2312" s="1" t="s">
        <v>330</v>
      </c>
      <c r="T2312" s="1" t="s">
        <v>627</v>
      </c>
      <c r="U2312" s="1" t="s">
        <v>628</v>
      </c>
      <c r="V2312" s="1">
        <v>1</v>
      </c>
      <c r="W2312" s="3">
        <v>14370.83</v>
      </c>
      <c r="X2312" s="3">
        <v>14370.83</v>
      </c>
      <c r="Y2312" s="1" t="str">
        <f>VLOOKUP(A2312,[1]Detalle!$D$2:$CR$484,93,FALSE)</f>
        <v>ADA_CH - Danone Arg. S.A. - Chascomus</v>
      </c>
    </row>
    <row r="2313" spans="1:25" ht="14.25" customHeight="1" x14ac:dyDescent="0.3">
      <c r="A2313" s="1" t="s">
        <v>710</v>
      </c>
      <c r="B2313" s="1" t="s">
        <v>700</v>
      </c>
      <c r="C2313" s="1" t="s">
        <v>700</v>
      </c>
      <c r="D2313" s="1" t="s">
        <v>624</v>
      </c>
      <c r="E2313" s="1" t="s">
        <v>337</v>
      </c>
      <c r="N2313" s="7">
        <v>45947</v>
      </c>
      <c r="O2313" s="1">
        <v>180</v>
      </c>
      <c r="P2313" s="7">
        <v>46307</v>
      </c>
      <c r="Q2313" s="1" t="s">
        <v>330</v>
      </c>
      <c r="T2313" s="1" t="s">
        <v>629</v>
      </c>
      <c r="U2313" s="1" t="s">
        <v>630</v>
      </c>
      <c r="V2313" s="1">
        <v>1</v>
      </c>
      <c r="W2313" s="3">
        <v>7200</v>
      </c>
      <c r="X2313" s="3">
        <v>7200</v>
      </c>
      <c r="Y2313" s="1" t="str">
        <f>VLOOKUP(A2313,[1]Detalle!$D$2:$CR$484,93,FALSE)</f>
        <v>ADA_CH - Danone Arg. S.A. - Chascomus</v>
      </c>
    </row>
    <row r="2314" spans="1:25" ht="14.25" customHeight="1" x14ac:dyDescent="0.3">
      <c r="A2314" s="1" t="s">
        <v>710</v>
      </c>
      <c r="B2314" s="1" t="s">
        <v>700</v>
      </c>
      <c r="C2314" s="1" t="s">
        <v>700</v>
      </c>
      <c r="D2314" s="1" t="s">
        <v>624</v>
      </c>
      <c r="E2314" s="1" t="s">
        <v>337</v>
      </c>
      <c r="N2314" s="7">
        <v>45947</v>
      </c>
      <c r="O2314" s="1">
        <v>180</v>
      </c>
      <c r="P2314" s="7">
        <v>46307</v>
      </c>
      <c r="Q2314" s="1" t="s">
        <v>330</v>
      </c>
      <c r="T2314" s="1" t="s">
        <v>631</v>
      </c>
      <c r="U2314" s="1" t="s">
        <v>632</v>
      </c>
      <c r="V2314" s="1">
        <v>1</v>
      </c>
      <c r="W2314" s="3">
        <v>7286.36</v>
      </c>
      <c r="X2314" s="3">
        <v>7286.36</v>
      </c>
      <c r="Y2314" s="1" t="str">
        <f>VLOOKUP(A2314,[1]Detalle!$D$2:$CR$484,93,FALSE)</f>
        <v>ADA_CH - Danone Arg. S.A. - Chascomus</v>
      </c>
    </row>
    <row r="2315" spans="1:25" ht="14.25" customHeight="1" x14ac:dyDescent="0.3">
      <c r="A2315" s="1" t="s">
        <v>710</v>
      </c>
      <c r="B2315" s="1" t="s">
        <v>700</v>
      </c>
      <c r="C2315" s="1" t="s">
        <v>700</v>
      </c>
      <c r="D2315" s="1" t="s">
        <v>624</v>
      </c>
      <c r="E2315" s="1" t="s">
        <v>337</v>
      </c>
      <c r="N2315" s="7">
        <v>45947</v>
      </c>
      <c r="O2315" s="1">
        <v>180</v>
      </c>
      <c r="P2315" s="7">
        <v>46307</v>
      </c>
      <c r="Q2315" s="1" t="s">
        <v>330</v>
      </c>
      <c r="T2315" s="1" t="s">
        <v>633</v>
      </c>
      <c r="U2315" s="1" t="s">
        <v>634</v>
      </c>
      <c r="V2315" s="1">
        <v>4</v>
      </c>
      <c r="W2315" s="3">
        <v>153102.49</v>
      </c>
      <c r="X2315" s="3">
        <v>612409.96</v>
      </c>
      <c r="Y2315" s="1" t="str">
        <f>VLOOKUP(A2315,[1]Detalle!$D$2:$CR$484,93,FALSE)</f>
        <v>ADA_CH - Danone Arg. S.A. - Chascomus</v>
      </c>
    </row>
    <row r="2316" spans="1:25" ht="14.25" customHeight="1" x14ac:dyDescent="0.3">
      <c r="A2316" s="1" t="s">
        <v>711</v>
      </c>
      <c r="B2316" s="1" t="s">
        <v>700</v>
      </c>
      <c r="C2316" s="1" t="s">
        <v>700</v>
      </c>
      <c r="D2316" s="1" t="s">
        <v>624</v>
      </c>
      <c r="E2316" s="1" t="s">
        <v>337</v>
      </c>
      <c r="N2316" s="7">
        <v>45947</v>
      </c>
      <c r="O2316" s="1">
        <v>180</v>
      </c>
      <c r="P2316" s="7">
        <v>46307</v>
      </c>
      <c r="Q2316" s="1" t="s">
        <v>330</v>
      </c>
      <c r="T2316" s="1" t="s">
        <v>625</v>
      </c>
      <c r="U2316" s="1" t="s">
        <v>626</v>
      </c>
      <c r="V2316" s="1">
        <v>1</v>
      </c>
      <c r="W2316" s="3">
        <v>57923.55</v>
      </c>
      <c r="X2316" s="3">
        <v>57923.55</v>
      </c>
      <c r="Y2316" s="1" t="str">
        <f>VLOOKUP(A2316,[1]Detalle!$D$2:$CR$484,93,FALSE)</f>
        <v>ADA_CH - Danone Arg. S.A. - Chascomus</v>
      </c>
    </row>
    <row r="2317" spans="1:25" ht="14.25" customHeight="1" x14ac:dyDescent="0.3">
      <c r="A2317" s="1" t="s">
        <v>711</v>
      </c>
      <c r="B2317" s="1" t="s">
        <v>700</v>
      </c>
      <c r="C2317" s="1" t="s">
        <v>700</v>
      </c>
      <c r="D2317" s="1" t="s">
        <v>624</v>
      </c>
      <c r="E2317" s="1" t="s">
        <v>337</v>
      </c>
      <c r="N2317" s="7">
        <v>45947</v>
      </c>
      <c r="O2317" s="1">
        <v>180</v>
      </c>
      <c r="P2317" s="7">
        <v>46307</v>
      </c>
      <c r="Q2317" s="1" t="s">
        <v>330</v>
      </c>
      <c r="T2317" s="1" t="s">
        <v>627</v>
      </c>
      <c r="U2317" s="1" t="s">
        <v>628</v>
      </c>
      <c r="V2317" s="1">
        <v>1</v>
      </c>
      <c r="W2317" s="3">
        <v>14370.83</v>
      </c>
      <c r="X2317" s="3">
        <v>14370.83</v>
      </c>
      <c r="Y2317" s="1" t="str">
        <f>VLOOKUP(A2317,[1]Detalle!$D$2:$CR$484,93,FALSE)</f>
        <v>ADA_CH - Danone Arg. S.A. - Chascomus</v>
      </c>
    </row>
    <row r="2318" spans="1:25" ht="14.25" customHeight="1" x14ac:dyDescent="0.3">
      <c r="A2318" s="1" t="s">
        <v>711</v>
      </c>
      <c r="B2318" s="1" t="s">
        <v>700</v>
      </c>
      <c r="C2318" s="1" t="s">
        <v>700</v>
      </c>
      <c r="D2318" s="1" t="s">
        <v>624</v>
      </c>
      <c r="E2318" s="1" t="s">
        <v>337</v>
      </c>
      <c r="N2318" s="7">
        <v>45947</v>
      </c>
      <c r="O2318" s="1">
        <v>180</v>
      </c>
      <c r="P2318" s="7">
        <v>46307</v>
      </c>
      <c r="Q2318" s="1" t="s">
        <v>330</v>
      </c>
      <c r="T2318" s="1" t="s">
        <v>629</v>
      </c>
      <c r="U2318" s="1" t="s">
        <v>630</v>
      </c>
      <c r="V2318" s="1">
        <v>1</v>
      </c>
      <c r="W2318" s="3">
        <v>7200</v>
      </c>
      <c r="X2318" s="3">
        <v>7200</v>
      </c>
      <c r="Y2318" s="1" t="str">
        <f>VLOOKUP(A2318,[1]Detalle!$D$2:$CR$484,93,FALSE)</f>
        <v>ADA_CH - Danone Arg. S.A. - Chascomus</v>
      </c>
    </row>
    <row r="2319" spans="1:25" ht="14.25" customHeight="1" x14ac:dyDescent="0.3">
      <c r="A2319" s="1" t="s">
        <v>711</v>
      </c>
      <c r="B2319" s="1" t="s">
        <v>700</v>
      </c>
      <c r="C2319" s="1" t="s">
        <v>700</v>
      </c>
      <c r="D2319" s="1" t="s">
        <v>624</v>
      </c>
      <c r="E2319" s="1" t="s">
        <v>337</v>
      </c>
      <c r="N2319" s="7">
        <v>45947</v>
      </c>
      <c r="O2319" s="1">
        <v>180</v>
      </c>
      <c r="P2319" s="7">
        <v>46307</v>
      </c>
      <c r="Q2319" s="1" t="s">
        <v>330</v>
      </c>
      <c r="T2319" s="1" t="s">
        <v>631</v>
      </c>
      <c r="U2319" s="1" t="s">
        <v>632</v>
      </c>
      <c r="V2319" s="1">
        <v>1</v>
      </c>
      <c r="W2319" s="3">
        <v>7286.36</v>
      </c>
      <c r="X2319" s="3">
        <v>7286.36</v>
      </c>
      <c r="Y2319" s="1" t="str">
        <f>VLOOKUP(A2319,[1]Detalle!$D$2:$CR$484,93,FALSE)</f>
        <v>ADA_CH - Danone Arg. S.A. - Chascomus</v>
      </c>
    </row>
    <row r="2320" spans="1:25" ht="14.25" customHeight="1" x14ac:dyDescent="0.3">
      <c r="A2320" s="1" t="s">
        <v>711</v>
      </c>
      <c r="B2320" s="1" t="s">
        <v>700</v>
      </c>
      <c r="C2320" s="1" t="s">
        <v>700</v>
      </c>
      <c r="D2320" s="1" t="s">
        <v>624</v>
      </c>
      <c r="E2320" s="1" t="s">
        <v>337</v>
      </c>
      <c r="N2320" s="7">
        <v>45947</v>
      </c>
      <c r="O2320" s="1">
        <v>180</v>
      </c>
      <c r="P2320" s="7">
        <v>46307</v>
      </c>
      <c r="Q2320" s="1" t="s">
        <v>330</v>
      </c>
      <c r="T2320" s="1" t="s">
        <v>633</v>
      </c>
      <c r="U2320" s="1" t="s">
        <v>634</v>
      </c>
      <c r="V2320" s="1">
        <v>4</v>
      </c>
      <c r="W2320" s="3">
        <v>153102.49</v>
      </c>
      <c r="X2320" s="3">
        <v>612409.96</v>
      </c>
      <c r="Y2320" s="1" t="str">
        <f>VLOOKUP(A2320,[1]Detalle!$D$2:$CR$484,93,FALSE)</f>
        <v>ADA_CH - Danone Arg. S.A. - Chascomus</v>
      </c>
    </row>
    <row r="2321" spans="1:25" ht="14.25" customHeight="1" x14ac:dyDescent="0.3">
      <c r="A2321" s="1" t="s">
        <v>712</v>
      </c>
      <c r="B2321" s="1" t="s">
        <v>700</v>
      </c>
      <c r="C2321" s="1" t="s">
        <v>700</v>
      </c>
      <c r="D2321" s="1" t="s">
        <v>624</v>
      </c>
      <c r="E2321" s="1" t="s">
        <v>337</v>
      </c>
      <c r="N2321" s="7">
        <v>45947</v>
      </c>
      <c r="O2321" s="1">
        <v>180</v>
      </c>
      <c r="P2321" s="7">
        <v>46307</v>
      </c>
      <c r="Q2321" s="1" t="s">
        <v>330</v>
      </c>
      <c r="T2321" s="1" t="s">
        <v>625</v>
      </c>
      <c r="U2321" s="1" t="s">
        <v>626</v>
      </c>
      <c r="V2321" s="1">
        <v>1</v>
      </c>
      <c r="W2321" s="3">
        <v>57923.55</v>
      </c>
      <c r="X2321" s="3">
        <v>57923.55</v>
      </c>
      <c r="Y2321" s="1" t="str">
        <f>VLOOKUP(A2321,[1]Detalle!$D$2:$CR$484,93,FALSE)</f>
        <v>ADA_CH - Danone Arg. S.A. - Chascomus</v>
      </c>
    </row>
    <row r="2322" spans="1:25" ht="14.25" customHeight="1" x14ac:dyDescent="0.3">
      <c r="A2322" s="1" t="s">
        <v>712</v>
      </c>
      <c r="B2322" s="1" t="s">
        <v>700</v>
      </c>
      <c r="C2322" s="1" t="s">
        <v>700</v>
      </c>
      <c r="D2322" s="1" t="s">
        <v>624</v>
      </c>
      <c r="E2322" s="1" t="s">
        <v>337</v>
      </c>
      <c r="N2322" s="7">
        <v>45947</v>
      </c>
      <c r="O2322" s="1">
        <v>180</v>
      </c>
      <c r="P2322" s="7">
        <v>46307</v>
      </c>
      <c r="Q2322" s="1" t="s">
        <v>330</v>
      </c>
      <c r="T2322" s="1" t="s">
        <v>627</v>
      </c>
      <c r="U2322" s="1" t="s">
        <v>628</v>
      </c>
      <c r="V2322" s="1">
        <v>1</v>
      </c>
      <c r="W2322" s="3">
        <v>14370.83</v>
      </c>
      <c r="X2322" s="3">
        <v>14370.83</v>
      </c>
      <c r="Y2322" s="1" t="str">
        <f>VLOOKUP(A2322,[1]Detalle!$D$2:$CR$484,93,FALSE)</f>
        <v>ADA_CH - Danone Arg. S.A. - Chascomus</v>
      </c>
    </row>
    <row r="2323" spans="1:25" ht="14.25" customHeight="1" x14ac:dyDescent="0.3">
      <c r="A2323" s="1" t="s">
        <v>712</v>
      </c>
      <c r="B2323" s="1" t="s">
        <v>700</v>
      </c>
      <c r="C2323" s="1" t="s">
        <v>700</v>
      </c>
      <c r="D2323" s="1" t="s">
        <v>624</v>
      </c>
      <c r="E2323" s="1" t="s">
        <v>337</v>
      </c>
      <c r="N2323" s="7">
        <v>45947</v>
      </c>
      <c r="O2323" s="1">
        <v>180</v>
      </c>
      <c r="P2323" s="7">
        <v>46307</v>
      </c>
      <c r="Q2323" s="1" t="s">
        <v>330</v>
      </c>
      <c r="T2323" s="1" t="s">
        <v>629</v>
      </c>
      <c r="U2323" s="1" t="s">
        <v>630</v>
      </c>
      <c r="V2323" s="1">
        <v>1</v>
      </c>
      <c r="W2323" s="3">
        <v>7200</v>
      </c>
      <c r="X2323" s="3">
        <v>7200</v>
      </c>
      <c r="Y2323" s="1" t="str">
        <f>VLOOKUP(A2323,[1]Detalle!$D$2:$CR$484,93,FALSE)</f>
        <v>ADA_CH - Danone Arg. S.A. - Chascomus</v>
      </c>
    </row>
    <row r="2324" spans="1:25" ht="14.25" customHeight="1" x14ac:dyDescent="0.3">
      <c r="A2324" s="1" t="s">
        <v>712</v>
      </c>
      <c r="B2324" s="1" t="s">
        <v>700</v>
      </c>
      <c r="C2324" s="1" t="s">
        <v>700</v>
      </c>
      <c r="D2324" s="1" t="s">
        <v>624</v>
      </c>
      <c r="E2324" s="1" t="s">
        <v>337</v>
      </c>
      <c r="N2324" s="7">
        <v>45947</v>
      </c>
      <c r="O2324" s="1">
        <v>180</v>
      </c>
      <c r="P2324" s="7">
        <v>46307</v>
      </c>
      <c r="Q2324" s="1" t="s">
        <v>330</v>
      </c>
      <c r="T2324" s="1" t="s">
        <v>631</v>
      </c>
      <c r="U2324" s="1" t="s">
        <v>632</v>
      </c>
      <c r="V2324" s="1">
        <v>1</v>
      </c>
      <c r="W2324" s="3">
        <v>7286.36</v>
      </c>
      <c r="X2324" s="3">
        <v>7286.36</v>
      </c>
      <c r="Y2324" s="1" t="str">
        <f>VLOOKUP(A2324,[1]Detalle!$D$2:$CR$484,93,FALSE)</f>
        <v>ADA_CH - Danone Arg. S.A. - Chascomus</v>
      </c>
    </row>
    <row r="2325" spans="1:25" ht="14.25" customHeight="1" x14ac:dyDescent="0.3">
      <c r="A2325" s="1" t="s">
        <v>712</v>
      </c>
      <c r="B2325" s="1" t="s">
        <v>700</v>
      </c>
      <c r="C2325" s="1" t="s">
        <v>700</v>
      </c>
      <c r="D2325" s="1" t="s">
        <v>624</v>
      </c>
      <c r="E2325" s="1" t="s">
        <v>337</v>
      </c>
      <c r="N2325" s="7">
        <v>45947</v>
      </c>
      <c r="O2325" s="1">
        <v>180</v>
      </c>
      <c r="P2325" s="7">
        <v>46307</v>
      </c>
      <c r="Q2325" s="1" t="s">
        <v>330</v>
      </c>
      <c r="T2325" s="1" t="s">
        <v>633</v>
      </c>
      <c r="U2325" s="1" t="s">
        <v>634</v>
      </c>
      <c r="V2325" s="1">
        <v>4</v>
      </c>
      <c r="W2325" s="3">
        <v>153102.49</v>
      </c>
      <c r="X2325" s="3">
        <v>612409.96</v>
      </c>
      <c r="Y2325" s="1" t="str">
        <f>VLOOKUP(A2325,[1]Detalle!$D$2:$CR$484,93,FALSE)</f>
        <v>ADA_CH - Danone Arg. S.A. - Chascomus</v>
      </c>
    </row>
    <row r="2326" spans="1:25" ht="14.25" customHeight="1" x14ac:dyDescent="0.3">
      <c r="A2326" s="1" t="s">
        <v>713</v>
      </c>
      <c r="B2326" s="1" t="s">
        <v>700</v>
      </c>
      <c r="C2326" s="1" t="s">
        <v>700</v>
      </c>
      <c r="D2326" s="1" t="s">
        <v>624</v>
      </c>
      <c r="E2326" s="1" t="s">
        <v>337</v>
      </c>
      <c r="G2326" s="1">
        <v>181</v>
      </c>
      <c r="H2326" s="1">
        <v>100</v>
      </c>
      <c r="I2326" s="1">
        <v>80</v>
      </c>
      <c r="J2326" s="1">
        <v>101</v>
      </c>
      <c r="N2326" s="7">
        <v>45947</v>
      </c>
      <c r="O2326" s="1">
        <v>180</v>
      </c>
      <c r="P2326" s="7">
        <v>46307</v>
      </c>
      <c r="Q2326" s="1" t="s">
        <v>330</v>
      </c>
      <c r="T2326" s="1" t="s">
        <v>625</v>
      </c>
      <c r="U2326" s="1" t="s">
        <v>626</v>
      </c>
      <c r="V2326" s="1">
        <v>1</v>
      </c>
      <c r="W2326" s="3">
        <v>57923.55</v>
      </c>
      <c r="X2326" s="3">
        <v>57923.55</v>
      </c>
      <c r="Y2326" s="1" t="str">
        <f>VLOOKUP(A2326,[1]Detalle!$D$2:$CR$484,93,FALSE)</f>
        <v>ADA_CH - Danone Arg. S.A. - Chascomus</v>
      </c>
    </row>
    <row r="2327" spans="1:25" ht="14.25" customHeight="1" x14ac:dyDescent="0.3">
      <c r="A2327" s="1" t="s">
        <v>713</v>
      </c>
      <c r="B2327" s="1" t="s">
        <v>700</v>
      </c>
      <c r="C2327" s="1" t="s">
        <v>700</v>
      </c>
      <c r="D2327" s="1" t="s">
        <v>624</v>
      </c>
      <c r="E2327" s="1" t="s">
        <v>337</v>
      </c>
      <c r="G2327" s="1">
        <v>181</v>
      </c>
      <c r="H2327" s="1">
        <v>100</v>
      </c>
      <c r="I2327" s="1">
        <v>80</v>
      </c>
      <c r="J2327" s="1">
        <v>101</v>
      </c>
      <c r="N2327" s="7">
        <v>45947</v>
      </c>
      <c r="O2327" s="1">
        <v>180</v>
      </c>
      <c r="P2327" s="7">
        <v>46307</v>
      </c>
      <c r="Q2327" s="1" t="s">
        <v>330</v>
      </c>
      <c r="T2327" s="1" t="s">
        <v>627</v>
      </c>
      <c r="U2327" s="1" t="s">
        <v>628</v>
      </c>
      <c r="V2327" s="1">
        <v>1</v>
      </c>
      <c r="W2327" s="3">
        <v>14370.83</v>
      </c>
      <c r="X2327" s="3">
        <v>14370.83</v>
      </c>
      <c r="Y2327" s="1" t="str">
        <f>VLOOKUP(A2327,[1]Detalle!$D$2:$CR$484,93,FALSE)</f>
        <v>ADA_CH - Danone Arg. S.A. - Chascomus</v>
      </c>
    </row>
    <row r="2328" spans="1:25" ht="14.25" customHeight="1" x14ac:dyDescent="0.3">
      <c r="A2328" s="1" t="s">
        <v>713</v>
      </c>
      <c r="B2328" s="1" t="s">
        <v>700</v>
      </c>
      <c r="C2328" s="1" t="s">
        <v>700</v>
      </c>
      <c r="D2328" s="1" t="s">
        <v>624</v>
      </c>
      <c r="E2328" s="1" t="s">
        <v>337</v>
      </c>
      <c r="G2328" s="1">
        <v>181</v>
      </c>
      <c r="H2328" s="1">
        <v>100</v>
      </c>
      <c r="I2328" s="1">
        <v>80</v>
      </c>
      <c r="J2328" s="1">
        <v>101</v>
      </c>
      <c r="N2328" s="7">
        <v>45947</v>
      </c>
      <c r="O2328" s="1">
        <v>180</v>
      </c>
      <c r="P2328" s="7">
        <v>46307</v>
      </c>
      <c r="Q2328" s="1" t="s">
        <v>330</v>
      </c>
      <c r="T2328" s="1" t="s">
        <v>629</v>
      </c>
      <c r="U2328" s="1" t="s">
        <v>630</v>
      </c>
      <c r="V2328" s="1">
        <v>1</v>
      </c>
      <c r="W2328" s="3">
        <v>7200</v>
      </c>
      <c r="X2328" s="3">
        <v>7200</v>
      </c>
      <c r="Y2328" s="1" t="str">
        <f>VLOOKUP(A2328,[1]Detalle!$D$2:$CR$484,93,FALSE)</f>
        <v>ADA_CH - Danone Arg. S.A. - Chascomus</v>
      </c>
    </row>
    <row r="2329" spans="1:25" ht="14.25" customHeight="1" x14ac:dyDescent="0.3">
      <c r="A2329" s="1" t="s">
        <v>713</v>
      </c>
      <c r="B2329" s="1" t="s">
        <v>700</v>
      </c>
      <c r="C2329" s="1" t="s">
        <v>700</v>
      </c>
      <c r="D2329" s="1" t="s">
        <v>624</v>
      </c>
      <c r="E2329" s="1" t="s">
        <v>337</v>
      </c>
      <c r="G2329" s="1">
        <v>181</v>
      </c>
      <c r="H2329" s="1">
        <v>100</v>
      </c>
      <c r="I2329" s="1">
        <v>80</v>
      </c>
      <c r="J2329" s="1">
        <v>101</v>
      </c>
      <c r="N2329" s="7">
        <v>45947</v>
      </c>
      <c r="O2329" s="1">
        <v>180</v>
      </c>
      <c r="P2329" s="7">
        <v>46307</v>
      </c>
      <c r="Q2329" s="1" t="s">
        <v>330</v>
      </c>
      <c r="T2329" s="1" t="s">
        <v>631</v>
      </c>
      <c r="U2329" s="1" t="s">
        <v>632</v>
      </c>
      <c r="V2329" s="1">
        <v>1</v>
      </c>
      <c r="W2329" s="3">
        <v>7286.36</v>
      </c>
      <c r="X2329" s="3">
        <v>7286.36</v>
      </c>
      <c r="Y2329" s="1" t="str">
        <f>VLOOKUP(A2329,[1]Detalle!$D$2:$CR$484,93,FALSE)</f>
        <v>ADA_CH - Danone Arg. S.A. - Chascomus</v>
      </c>
    </row>
    <row r="2330" spans="1:25" ht="14.25" customHeight="1" x14ac:dyDescent="0.3">
      <c r="A2330" s="1" t="s">
        <v>713</v>
      </c>
      <c r="B2330" s="1" t="s">
        <v>700</v>
      </c>
      <c r="C2330" s="1" t="s">
        <v>700</v>
      </c>
      <c r="D2330" s="1" t="s">
        <v>624</v>
      </c>
      <c r="E2330" s="1" t="s">
        <v>337</v>
      </c>
      <c r="G2330" s="1">
        <v>181</v>
      </c>
      <c r="H2330" s="1">
        <v>100</v>
      </c>
      <c r="I2330" s="1">
        <v>80</v>
      </c>
      <c r="J2330" s="1">
        <v>101</v>
      </c>
      <c r="N2330" s="7">
        <v>45947</v>
      </c>
      <c r="O2330" s="1">
        <v>180</v>
      </c>
      <c r="P2330" s="7">
        <v>46307</v>
      </c>
      <c r="Q2330" s="1" t="s">
        <v>330</v>
      </c>
      <c r="T2330" s="1" t="s">
        <v>633</v>
      </c>
      <c r="U2330" s="1" t="s">
        <v>634</v>
      </c>
      <c r="V2330" s="1">
        <v>4</v>
      </c>
      <c r="W2330" s="3">
        <v>153102.49</v>
      </c>
      <c r="X2330" s="3">
        <v>612409.96</v>
      </c>
      <c r="Y2330" s="1" t="str">
        <f>VLOOKUP(A2330,[1]Detalle!$D$2:$CR$484,93,FALSE)</f>
        <v>ADA_CH - Danone Arg. S.A. - Chascomus</v>
      </c>
    </row>
    <row r="2331" spans="1:25" ht="14.25" customHeight="1" x14ac:dyDescent="0.3">
      <c r="A2331" s="1" t="s">
        <v>128</v>
      </c>
      <c r="B2331" s="1" t="s">
        <v>714</v>
      </c>
      <c r="C2331" s="1" t="s">
        <v>714</v>
      </c>
      <c r="D2331" s="1" t="s">
        <v>715</v>
      </c>
      <c r="E2331" s="1" t="s">
        <v>337</v>
      </c>
      <c r="N2331" s="7">
        <v>45947</v>
      </c>
      <c r="O2331" s="1">
        <v>180</v>
      </c>
      <c r="P2331" s="7">
        <v>46307</v>
      </c>
      <c r="Q2331" s="1" t="s">
        <v>330</v>
      </c>
      <c r="T2331" s="1" t="s">
        <v>716</v>
      </c>
      <c r="U2331" s="1" t="s">
        <v>717</v>
      </c>
      <c r="V2331" s="1">
        <v>1</v>
      </c>
      <c r="W2331" s="3">
        <v>17073.78</v>
      </c>
      <c r="X2331" s="3">
        <v>17073.78</v>
      </c>
      <c r="Y2331" s="1" t="str">
        <f>VLOOKUP(A2331,[1]Detalle!$D$2:$CR$484,93,FALSE)</f>
        <v>Arcor S.A.I.C.</v>
      </c>
    </row>
    <row r="2332" spans="1:25" ht="14.25" customHeight="1" x14ac:dyDescent="0.3">
      <c r="A2332" s="1" t="s">
        <v>128</v>
      </c>
      <c r="B2332" s="1" t="s">
        <v>714</v>
      </c>
      <c r="C2332" s="1" t="s">
        <v>714</v>
      </c>
      <c r="D2332" s="1" t="s">
        <v>715</v>
      </c>
      <c r="E2332" s="1" t="s">
        <v>337</v>
      </c>
      <c r="N2332" s="7">
        <v>45947</v>
      </c>
      <c r="O2332" s="1">
        <v>180</v>
      </c>
      <c r="P2332" s="7">
        <v>46307</v>
      </c>
      <c r="Q2332" s="1" t="s">
        <v>330</v>
      </c>
      <c r="T2332" s="1" t="s">
        <v>718</v>
      </c>
      <c r="U2332" s="1" t="s">
        <v>719</v>
      </c>
      <c r="V2332" s="1">
        <v>1</v>
      </c>
      <c r="W2332" s="3">
        <v>13800</v>
      </c>
      <c r="X2332" s="3">
        <v>13800</v>
      </c>
      <c r="Y2332" s="1" t="str">
        <f>VLOOKUP(A2332,[1]Detalle!$D$2:$CR$484,93,FALSE)</f>
        <v>Arcor S.A.I.C.</v>
      </c>
    </row>
    <row r="2333" spans="1:25" ht="14.25" customHeight="1" x14ac:dyDescent="0.3">
      <c r="A2333" s="1" t="s">
        <v>128</v>
      </c>
      <c r="B2333" s="1" t="s">
        <v>714</v>
      </c>
      <c r="C2333" s="1" t="s">
        <v>714</v>
      </c>
      <c r="D2333" s="1" t="s">
        <v>715</v>
      </c>
      <c r="E2333" s="1" t="s">
        <v>337</v>
      </c>
      <c r="N2333" s="7">
        <v>45947</v>
      </c>
      <c r="O2333" s="1">
        <v>180</v>
      </c>
      <c r="P2333" s="7">
        <v>46307</v>
      </c>
      <c r="Q2333" s="1" t="s">
        <v>330</v>
      </c>
      <c r="T2333" s="1" t="s">
        <v>616</v>
      </c>
      <c r="U2333" s="1" t="s">
        <v>617</v>
      </c>
      <c r="V2333" s="1">
        <v>4</v>
      </c>
      <c r="W2333" s="3">
        <v>3407.49</v>
      </c>
      <c r="X2333" s="3">
        <v>13629.96</v>
      </c>
      <c r="Y2333" s="1" t="str">
        <f>VLOOKUP(A2333,[1]Detalle!$D$2:$CR$484,93,FALSE)</f>
        <v>Arcor S.A.I.C.</v>
      </c>
    </row>
    <row r="2334" spans="1:25" ht="14.25" customHeight="1" x14ac:dyDescent="0.3">
      <c r="A2334" s="1" t="s">
        <v>207</v>
      </c>
      <c r="B2334" s="1" t="s">
        <v>714</v>
      </c>
      <c r="C2334" s="1" t="s">
        <v>714</v>
      </c>
      <c r="D2334" s="1" t="s">
        <v>715</v>
      </c>
      <c r="E2334" s="1" t="s">
        <v>337</v>
      </c>
      <c r="F2334" s="1">
        <v>331282</v>
      </c>
      <c r="G2334" s="1">
        <v>331462</v>
      </c>
      <c r="H2334" s="1">
        <v>13312.400000000011</v>
      </c>
      <c r="I2334" s="1">
        <v>-13132.400000000011</v>
      </c>
      <c r="J2334" s="1">
        <v>344594.4</v>
      </c>
      <c r="K2334" s="1">
        <v>145</v>
      </c>
      <c r="L2334" s="1">
        <v>91.809655172413841</v>
      </c>
      <c r="M2334" s="1">
        <v>-143.039421892371</v>
      </c>
      <c r="N2334" s="7">
        <v>45947</v>
      </c>
      <c r="O2334" s="1">
        <v>180</v>
      </c>
      <c r="P2334" s="7">
        <v>46307</v>
      </c>
      <c r="Q2334" s="1" t="s">
        <v>330</v>
      </c>
      <c r="T2334" s="1" t="s">
        <v>716</v>
      </c>
      <c r="U2334" s="1" t="s">
        <v>717</v>
      </c>
      <c r="V2334" s="1">
        <v>1</v>
      </c>
      <c r="W2334" s="3">
        <v>17073.78</v>
      </c>
      <c r="X2334" s="3">
        <v>17073.78</v>
      </c>
      <c r="Y2334" s="1" t="str">
        <f>VLOOKUP(A2334,[1]Detalle!$D$2:$CR$484,93,FALSE)</f>
        <v>Arcor S.A.I.C.</v>
      </c>
    </row>
    <row r="2335" spans="1:25" ht="14.25" customHeight="1" x14ac:dyDescent="0.3">
      <c r="A2335" s="1" t="s">
        <v>207</v>
      </c>
      <c r="B2335" s="1" t="s">
        <v>714</v>
      </c>
      <c r="C2335" s="1" t="s">
        <v>714</v>
      </c>
      <c r="D2335" s="1" t="s">
        <v>715</v>
      </c>
      <c r="E2335" s="1" t="s">
        <v>337</v>
      </c>
      <c r="F2335" s="1">
        <v>331282</v>
      </c>
      <c r="G2335" s="1">
        <v>331462</v>
      </c>
      <c r="H2335" s="1">
        <v>13312.400000000011</v>
      </c>
      <c r="I2335" s="1">
        <v>-13132.400000000011</v>
      </c>
      <c r="J2335" s="1">
        <v>344594.4</v>
      </c>
      <c r="K2335" s="1">
        <v>145</v>
      </c>
      <c r="L2335" s="1">
        <v>91.809655172413841</v>
      </c>
      <c r="M2335" s="1">
        <v>-143.039421892371</v>
      </c>
      <c r="N2335" s="7">
        <v>45947</v>
      </c>
      <c r="O2335" s="1">
        <v>180</v>
      </c>
      <c r="P2335" s="7">
        <v>46307</v>
      </c>
      <c r="Q2335" s="1" t="s">
        <v>330</v>
      </c>
      <c r="T2335" s="1" t="s">
        <v>718</v>
      </c>
      <c r="U2335" s="1" t="s">
        <v>719</v>
      </c>
      <c r="V2335" s="1">
        <v>1</v>
      </c>
      <c r="W2335" s="3">
        <v>13800</v>
      </c>
      <c r="X2335" s="3">
        <v>13800</v>
      </c>
      <c r="Y2335" s="1" t="str">
        <f>VLOOKUP(A2335,[1]Detalle!$D$2:$CR$484,93,FALSE)</f>
        <v>Arcor S.A.I.C.</v>
      </c>
    </row>
    <row r="2336" spans="1:25" ht="14.25" customHeight="1" x14ac:dyDescent="0.3">
      <c r="A2336" s="1" t="s">
        <v>207</v>
      </c>
      <c r="B2336" s="1" t="s">
        <v>714</v>
      </c>
      <c r="C2336" s="1" t="s">
        <v>714</v>
      </c>
      <c r="D2336" s="1" t="s">
        <v>715</v>
      </c>
      <c r="E2336" s="1" t="s">
        <v>337</v>
      </c>
      <c r="F2336" s="1">
        <v>331282</v>
      </c>
      <c r="G2336" s="1">
        <v>331462</v>
      </c>
      <c r="H2336" s="1">
        <v>13312.400000000011</v>
      </c>
      <c r="I2336" s="1">
        <v>-13132.400000000011</v>
      </c>
      <c r="J2336" s="1">
        <v>344594.4</v>
      </c>
      <c r="K2336" s="1">
        <v>145</v>
      </c>
      <c r="L2336" s="1">
        <v>91.809655172413841</v>
      </c>
      <c r="M2336" s="1">
        <v>-143.039421892371</v>
      </c>
      <c r="N2336" s="7">
        <v>45947</v>
      </c>
      <c r="O2336" s="1">
        <v>180</v>
      </c>
      <c r="P2336" s="7">
        <v>46307</v>
      </c>
      <c r="Q2336" s="1" t="s">
        <v>330</v>
      </c>
      <c r="T2336" s="1" t="s">
        <v>616</v>
      </c>
      <c r="U2336" s="1" t="s">
        <v>617</v>
      </c>
      <c r="V2336" s="1">
        <v>4</v>
      </c>
      <c r="W2336" s="3">
        <v>3407.49</v>
      </c>
      <c r="X2336" s="3">
        <v>13629.96</v>
      </c>
      <c r="Y2336" s="1" t="str">
        <f>VLOOKUP(A2336,[1]Detalle!$D$2:$CR$484,93,FALSE)</f>
        <v>Arcor S.A.I.C.</v>
      </c>
    </row>
    <row r="2337" spans="1:25" ht="14.25" customHeight="1" x14ac:dyDescent="0.3">
      <c r="A2337" s="1" t="s">
        <v>208</v>
      </c>
      <c r="B2337" s="1" t="s">
        <v>714</v>
      </c>
      <c r="C2337" s="1" t="s">
        <v>714</v>
      </c>
      <c r="D2337" s="1" t="s">
        <v>715</v>
      </c>
      <c r="E2337" s="1" t="s">
        <v>337</v>
      </c>
      <c r="F2337" s="1">
        <v>269635</v>
      </c>
      <c r="G2337" s="1">
        <v>269815</v>
      </c>
      <c r="H2337" s="1">
        <v>12945.19999999999</v>
      </c>
      <c r="I2337" s="1">
        <v>-12765.19999999999</v>
      </c>
      <c r="J2337" s="1">
        <v>282580.2</v>
      </c>
      <c r="K2337" s="1">
        <v>149</v>
      </c>
      <c r="L2337" s="1">
        <v>86.880536912751623</v>
      </c>
      <c r="M2337" s="1">
        <v>-146.92818959923369</v>
      </c>
      <c r="N2337" s="7">
        <v>45947</v>
      </c>
      <c r="O2337" s="1">
        <v>180</v>
      </c>
      <c r="P2337" s="7">
        <v>46307</v>
      </c>
      <c r="Q2337" s="1" t="s">
        <v>330</v>
      </c>
      <c r="T2337" s="1" t="s">
        <v>716</v>
      </c>
      <c r="U2337" s="1" t="s">
        <v>717</v>
      </c>
      <c r="V2337" s="1">
        <v>1</v>
      </c>
      <c r="W2337" s="3">
        <v>17073.78</v>
      </c>
      <c r="X2337" s="3">
        <v>17073.78</v>
      </c>
      <c r="Y2337" s="1" t="str">
        <f>VLOOKUP(A2337,[1]Detalle!$D$2:$CR$484,93,FALSE)</f>
        <v>Arcor S.A.I.C.</v>
      </c>
    </row>
    <row r="2338" spans="1:25" ht="14.25" customHeight="1" x14ac:dyDescent="0.3">
      <c r="A2338" s="1" t="s">
        <v>208</v>
      </c>
      <c r="B2338" s="1" t="s">
        <v>714</v>
      </c>
      <c r="C2338" s="1" t="s">
        <v>714</v>
      </c>
      <c r="D2338" s="1" t="s">
        <v>715</v>
      </c>
      <c r="E2338" s="1" t="s">
        <v>337</v>
      </c>
      <c r="F2338" s="1">
        <v>269635</v>
      </c>
      <c r="G2338" s="1">
        <v>269815</v>
      </c>
      <c r="H2338" s="1">
        <v>12945.19999999999</v>
      </c>
      <c r="I2338" s="1">
        <v>-12765.19999999999</v>
      </c>
      <c r="J2338" s="1">
        <v>282580.2</v>
      </c>
      <c r="K2338" s="1">
        <v>149</v>
      </c>
      <c r="L2338" s="1">
        <v>86.880536912751623</v>
      </c>
      <c r="M2338" s="1">
        <v>-146.92818959923369</v>
      </c>
      <c r="N2338" s="7">
        <v>45947</v>
      </c>
      <c r="O2338" s="1">
        <v>180</v>
      </c>
      <c r="P2338" s="7">
        <v>46307</v>
      </c>
      <c r="Q2338" s="1" t="s">
        <v>330</v>
      </c>
      <c r="T2338" s="1" t="s">
        <v>718</v>
      </c>
      <c r="U2338" s="1" t="s">
        <v>719</v>
      </c>
      <c r="V2338" s="1">
        <v>1</v>
      </c>
      <c r="W2338" s="3">
        <v>13800</v>
      </c>
      <c r="X2338" s="3">
        <v>13800</v>
      </c>
      <c r="Y2338" s="1" t="str">
        <f>VLOOKUP(A2338,[1]Detalle!$D$2:$CR$484,93,FALSE)</f>
        <v>Arcor S.A.I.C.</v>
      </c>
    </row>
    <row r="2339" spans="1:25" ht="14.25" customHeight="1" x14ac:dyDescent="0.3">
      <c r="A2339" s="1" t="s">
        <v>208</v>
      </c>
      <c r="B2339" s="1" t="s">
        <v>714</v>
      </c>
      <c r="C2339" s="1" t="s">
        <v>714</v>
      </c>
      <c r="D2339" s="1" t="s">
        <v>715</v>
      </c>
      <c r="E2339" s="1" t="s">
        <v>337</v>
      </c>
      <c r="F2339" s="1">
        <v>269635</v>
      </c>
      <c r="G2339" s="1">
        <v>269815</v>
      </c>
      <c r="H2339" s="1">
        <v>12945.19999999999</v>
      </c>
      <c r="I2339" s="1">
        <v>-12765.19999999999</v>
      </c>
      <c r="J2339" s="1">
        <v>282580.2</v>
      </c>
      <c r="K2339" s="1">
        <v>149</v>
      </c>
      <c r="L2339" s="1">
        <v>86.880536912751623</v>
      </c>
      <c r="M2339" s="1">
        <v>-146.92818959923369</v>
      </c>
      <c r="N2339" s="7">
        <v>45947</v>
      </c>
      <c r="O2339" s="1">
        <v>180</v>
      </c>
      <c r="P2339" s="7">
        <v>46307</v>
      </c>
      <c r="Q2339" s="1" t="s">
        <v>330</v>
      </c>
      <c r="T2339" s="1" t="s">
        <v>616</v>
      </c>
      <c r="U2339" s="1" t="s">
        <v>617</v>
      </c>
      <c r="V2339" s="1">
        <v>4</v>
      </c>
      <c r="W2339" s="3">
        <v>3407.49</v>
      </c>
      <c r="X2339" s="3">
        <v>13629.96</v>
      </c>
      <c r="Y2339" s="1" t="str">
        <f>VLOOKUP(A2339,[1]Detalle!$D$2:$CR$484,93,FALSE)</f>
        <v>Arcor S.A.I.C.</v>
      </c>
    </row>
    <row r="2340" spans="1:25" ht="14.25" customHeight="1" x14ac:dyDescent="0.3">
      <c r="A2340" s="1" t="s">
        <v>622</v>
      </c>
      <c r="B2340" s="1" t="s">
        <v>714</v>
      </c>
      <c r="C2340" s="1" t="s">
        <v>714</v>
      </c>
      <c r="D2340" s="1" t="s">
        <v>715</v>
      </c>
      <c r="E2340" s="1" t="s">
        <v>337</v>
      </c>
      <c r="F2340" s="1">
        <v>22731.7</v>
      </c>
      <c r="G2340" s="1">
        <v>22911.7</v>
      </c>
      <c r="H2340" s="1">
        <v>0</v>
      </c>
      <c r="I2340" s="1">
        <v>180</v>
      </c>
      <c r="J2340" s="1">
        <v>22731.7</v>
      </c>
      <c r="K2340" s="1">
        <v>148</v>
      </c>
      <c r="L2340" s="1">
        <v>100</v>
      </c>
      <c r="M2340" s="1">
        <v>1.8</v>
      </c>
      <c r="N2340" s="7">
        <v>45947</v>
      </c>
      <c r="O2340" s="1">
        <v>180</v>
      </c>
      <c r="P2340" s="7">
        <v>46307</v>
      </c>
      <c r="Q2340" s="1" t="s">
        <v>330</v>
      </c>
      <c r="T2340" s="1" t="s">
        <v>716</v>
      </c>
      <c r="U2340" s="1" t="s">
        <v>717</v>
      </c>
      <c r="V2340" s="1">
        <v>1</v>
      </c>
      <c r="W2340" s="3">
        <v>17073.78</v>
      </c>
      <c r="X2340" s="3">
        <v>17073.78</v>
      </c>
      <c r="Y2340" s="1" t="str">
        <f>VLOOKUP(A2340,[1]Detalle!$D$2:$CR$484,93,FALSE)</f>
        <v>Arcor S.A.I.C.</v>
      </c>
    </row>
    <row r="2341" spans="1:25" ht="14.25" customHeight="1" x14ac:dyDescent="0.3">
      <c r="A2341" s="1" t="s">
        <v>622</v>
      </c>
      <c r="B2341" s="1" t="s">
        <v>714</v>
      </c>
      <c r="C2341" s="1" t="s">
        <v>714</v>
      </c>
      <c r="D2341" s="1" t="s">
        <v>715</v>
      </c>
      <c r="E2341" s="1" t="s">
        <v>337</v>
      </c>
      <c r="F2341" s="1">
        <v>22731.7</v>
      </c>
      <c r="G2341" s="1">
        <v>22911.7</v>
      </c>
      <c r="H2341" s="1">
        <v>0</v>
      </c>
      <c r="I2341" s="1">
        <v>180</v>
      </c>
      <c r="J2341" s="1">
        <v>22731.7</v>
      </c>
      <c r="K2341" s="1">
        <v>148</v>
      </c>
      <c r="L2341" s="1">
        <v>100</v>
      </c>
      <c r="M2341" s="1">
        <v>1.8</v>
      </c>
      <c r="N2341" s="7">
        <v>45947</v>
      </c>
      <c r="O2341" s="1">
        <v>180</v>
      </c>
      <c r="P2341" s="7">
        <v>46307</v>
      </c>
      <c r="Q2341" s="1" t="s">
        <v>330</v>
      </c>
      <c r="T2341" s="1" t="s">
        <v>718</v>
      </c>
      <c r="U2341" s="1" t="s">
        <v>719</v>
      </c>
      <c r="V2341" s="1">
        <v>1</v>
      </c>
      <c r="W2341" s="3">
        <v>13800</v>
      </c>
      <c r="X2341" s="3">
        <v>13800</v>
      </c>
      <c r="Y2341" s="1" t="str">
        <f>VLOOKUP(A2341,[1]Detalle!$D$2:$CR$484,93,FALSE)</f>
        <v>Arcor S.A.I.C.</v>
      </c>
    </row>
    <row r="2342" spans="1:25" ht="14.25" customHeight="1" x14ac:dyDescent="0.3">
      <c r="A2342" s="1" t="s">
        <v>622</v>
      </c>
      <c r="B2342" s="1" t="s">
        <v>714</v>
      </c>
      <c r="C2342" s="1" t="s">
        <v>714</v>
      </c>
      <c r="D2342" s="1" t="s">
        <v>715</v>
      </c>
      <c r="E2342" s="1" t="s">
        <v>337</v>
      </c>
      <c r="F2342" s="1">
        <v>22731.7</v>
      </c>
      <c r="G2342" s="1">
        <v>22911.7</v>
      </c>
      <c r="H2342" s="1">
        <v>0</v>
      </c>
      <c r="I2342" s="1">
        <v>180</v>
      </c>
      <c r="J2342" s="1">
        <v>22731.7</v>
      </c>
      <c r="K2342" s="1">
        <v>148</v>
      </c>
      <c r="L2342" s="1">
        <v>100</v>
      </c>
      <c r="M2342" s="1">
        <v>1.8</v>
      </c>
      <c r="N2342" s="7">
        <v>45947</v>
      </c>
      <c r="O2342" s="1">
        <v>180</v>
      </c>
      <c r="P2342" s="7">
        <v>46307</v>
      </c>
      <c r="Q2342" s="1" t="s">
        <v>330</v>
      </c>
      <c r="T2342" s="1" t="s">
        <v>616</v>
      </c>
      <c r="U2342" s="1" t="s">
        <v>617</v>
      </c>
      <c r="V2342" s="1">
        <v>4</v>
      </c>
      <c r="W2342" s="3">
        <v>3407.49</v>
      </c>
      <c r="X2342" s="3">
        <v>13629.96</v>
      </c>
      <c r="Y2342" s="1" t="str">
        <f>VLOOKUP(A2342,[1]Detalle!$D$2:$CR$484,93,FALSE)</f>
        <v>Arcor S.A.I.C.</v>
      </c>
    </row>
    <row r="2343" spans="1:25" ht="14.25" customHeight="1" x14ac:dyDescent="0.3">
      <c r="A2343" s="1" t="s">
        <v>635</v>
      </c>
      <c r="B2343" s="1" t="s">
        <v>714</v>
      </c>
      <c r="C2343" s="1" t="s">
        <v>714</v>
      </c>
      <c r="D2343" s="1" t="s">
        <v>715</v>
      </c>
      <c r="E2343" s="1" t="s">
        <v>337</v>
      </c>
      <c r="N2343" s="7">
        <v>45947</v>
      </c>
      <c r="O2343" s="1">
        <v>180</v>
      </c>
      <c r="P2343" s="7">
        <v>46307</v>
      </c>
      <c r="Q2343" s="1" t="s">
        <v>330</v>
      </c>
      <c r="T2343" s="1" t="s">
        <v>716</v>
      </c>
      <c r="U2343" s="1" t="s">
        <v>717</v>
      </c>
      <c r="V2343" s="1">
        <v>1</v>
      </c>
      <c r="W2343" s="3">
        <v>17073.78</v>
      </c>
      <c r="X2343" s="3">
        <v>17073.78</v>
      </c>
      <c r="Y2343" s="1" t="str">
        <f>VLOOKUP(A2343,[1]Detalle!$D$2:$CR$484,93,FALSE)</f>
        <v>Arcor S.A.I.C.</v>
      </c>
    </row>
    <row r="2344" spans="1:25" ht="14.25" customHeight="1" x14ac:dyDescent="0.3">
      <c r="A2344" s="1" t="s">
        <v>635</v>
      </c>
      <c r="B2344" s="1" t="s">
        <v>714</v>
      </c>
      <c r="C2344" s="1" t="s">
        <v>714</v>
      </c>
      <c r="D2344" s="1" t="s">
        <v>715</v>
      </c>
      <c r="E2344" s="1" t="s">
        <v>337</v>
      </c>
      <c r="N2344" s="7">
        <v>45947</v>
      </c>
      <c r="O2344" s="1">
        <v>180</v>
      </c>
      <c r="P2344" s="7">
        <v>46307</v>
      </c>
      <c r="Q2344" s="1" t="s">
        <v>330</v>
      </c>
      <c r="T2344" s="1" t="s">
        <v>718</v>
      </c>
      <c r="U2344" s="1" t="s">
        <v>719</v>
      </c>
      <c r="V2344" s="1">
        <v>1</v>
      </c>
      <c r="W2344" s="3">
        <v>13800</v>
      </c>
      <c r="X2344" s="3">
        <v>13800</v>
      </c>
      <c r="Y2344" s="1" t="str">
        <f>VLOOKUP(A2344,[1]Detalle!$D$2:$CR$484,93,FALSE)</f>
        <v>Arcor S.A.I.C.</v>
      </c>
    </row>
    <row r="2345" spans="1:25" ht="14.25" customHeight="1" x14ac:dyDescent="0.3">
      <c r="A2345" s="1" t="s">
        <v>635</v>
      </c>
      <c r="B2345" s="1" t="s">
        <v>714</v>
      </c>
      <c r="C2345" s="1" t="s">
        <v>714</v>
      </c>
      <c r="D2345" s="1" t="s">
        <v>715</v>
      </c>
      <c r="E2345" s="1" t="s">
        <v>337</v>
      </c>
      <c r="N2345" s="7">
        <v>45947</v>
      </c>
      <c r="O2345" s="1">
        <v>180</v>
      </c>
      <c r="P2345" s="7">
        <v>46307</v>
      </c>
      <c r="Q2345" s="1" t="s">
        <v>330</v>
      </c>
      <c r="T2345" s="1" t="s">
        <v>616</v>
      </c>
      <c r="U2345" s="1" t="s">
        <v>617</v>
      </c>
      <c r="V2345" s="1">
        <v>4</v>
      </c>
      <c r="W2345" s="3">
        <v>3407.49</v>
      </c>
      <c r="X2345" s="3">
        <v>13629.96</v>
      </c>
      <c r="Y2345" s="1" t="str">
        <f>VLOOKUP(A2345,[1]Detalle!$D$2:$CR$484,93,FALSE)</f>
        <v>Arcor S.A.I.C.</v>
      </c>
    </row>
    <row r="2346" spans="1:25" ht="14.25" customHeight="1" x14ac:dyDescent="0.3">
      <c r="A2346" s="1" t="s">
        <v>87</v>
      </c>
      <c r="B2346" s="1" t="s">
        <v>714</v>
      </c>
      <c r="C2346" s="1" t="s">
        <v>714</v>
      </c>
      <c r="D2346" s="1" t="s">
        <v>715</v>
      </c>
      <c r="E2346" s="1" t="s">
        <v>337</v>
      </c>
      <c r="F2346" s="1">
        <v>43699.7</v>
      </c>
      <c r="G2346" s="1">
        <v>43879.7</v>
      </c>
      <c r="H2346" s="1">
        <v>0</v>
      </c>
      <c r="I2346" s="1">
        <v>180</v>
      </c>
      <c r="J2346" s="1">
        <v>43699.7</v>
      </c>
      <c r="K2346" s="1">
        <v>145</v>
      </c>
      <c r="L2346" s="1">
        <v>100</v>
      </c>
      <c r="M2346" s="1">
        <v>1.8</v>
      </c>
      <c r="N2346" s="7">
        <v>45947</v>
      </c>
      <c r="O2346" s="1">
        <v>180</v>
      </c>
      <c r="P2346" s="7">
        <v>46307</v>
      </c>
      <c r="Q2346" s="1" t="s">
        <v>330</v>
      </c>
      <c r="T2346" s="1" t="s">
        <v>716</v>
      </c>
      <c r="U2346" s="1" t="s">
        <v>717</v>
      </c>
      <c r="V2346" s="1">
        <v>1</v>
      </c>
      <c r="W2346" s="3">
        <v>17073.78</v>
      </c>
      <c r="X2346" s="3">
        <v>17073.78</v>
      </c>
      <c r="Y2346" s="1" t="str">
        <f>VLOOKUP(A2346,[1]Detalle!$D$2:$CR$484,93,FALSE)</f>
        <v>Arcor S.A.I.C.</v>
      </c>
    </row>
    <row r="2347" spans="1:25" ht="14.25" customHeight="1" x14ac:dyDescent="0.3">
      <c r="A2347" s="1" t="s">
        <v>87</v>
      </c>
      <c r="B2347" s="1" t="s">
        <v>714</v>
      </c>
      <c r="C2347" s="1" t="s">
        <v>714</v>
      </c>
      <c r="D2347" s="1" t="s">
        <v>715</v>
      </c>
      <c r="E2347" s="1" t="s">
        <v>337</v>
      </c>
      <c r="F2347" s="1">
        <v>43699.7</v>
      </c>
      <c r="G2347" s="1">
        <v>43879.7</v>
      </c>
      <c r="H2347" s="1">
        <v>0</v>
      </c>
      <c r="I2347" s="1">
        <v>180</v>
      </c>
      <c r="J2347" s="1">
        <v>43699.7</v>
      </c>
      <c r="K2347" s="1">
        <v>145</v>
      </c>
      <c r="L2347" s="1">
        <v>100</v>
      </c>
      <c r="M2347" s="1">
        <v>1.8</v>
      </c>
      <c r="N2347" s="7">
        <v>45947</v>
      </c>
      <c r="O2347" s="1">
        <v>180</v>
      </c>
      <c r="P2347" s="7">
        <v>46307</v>
      </c>
      <c r="Q2347" s="1" t="s">
        <v>330</v>
      </c>
      <c r="T2347" s="1" t="s">
        <v>718</v>
      </c>
      <c r="U2347" s="1" t="s">
        <v>719</v>
      </c>
      <c r="V2347" s="1">
        <v>1</v>
      </c>
      <c r="W2347" s="3">
        <v>13800</v>
      </c>
      <c r="X2347" s="3">
        <v>13800</v>
      </c>
      <c r="Y2347" s="1" t="str">
        <f>VLOOKUP(A2347,[1]Detalle!$D$2:$CR$484,93,FALSE)</f>
        <v>Arcor S.A.I.C.</v>
      </c>
    </row>
    <row r="2348" spans="1:25" ht="14.25" customHeight="1" x14ac:dyDescent="0.3">
      <c r="A2348" s="1" t="s">
        <v>87</v>
      </c>
      <c r="B2348" s="1" t="s">
        <v>714</v>
      </c>
      <c r="C2348" s="1" t="s">
        <v>714</v>
      </c>
      <c r="D2348" s="1" t="s">
        <v>715</v>
      </c>
      <c r="E2348" s="1" t="s">
        <v>337</v>
      </c>
      <c r="F2348" s="1">
        <v>43699.7</v>
      </c>
      <c r="G2348" s="1">
        <v>43879.7</v>
      </c>
      <c r="H2348" s="1">
        <v>0</v>
      </c>
      <c r="I2348" s="1">
        <v>180</v>
      </c>
      <c r="J2348" s="1">
        <v>43699.7</v>
      </c>
      <c r="K2348" s="1">
        <v>145</v>
      </c>
      <c r="L2348" s="1">
        <v>100</v>
      </c>
      <c r="M2348" s="1">
        <v>1.8</v>
      </c>
      <c r="N2348" s="7">
        <v>45947</v>
      </c>
      <c r="O2348" s="1">
        <v>180</v>
      </c>
      <c r="P2348" s="7">
        <v>46307</v>
      </c>
      <c r="Q2348" s="1" t="s">
        <v>330</v>
      </c>
      <c r="T2348" s="1" t="s">
        <v>616</v>
      </c>
      <c r="U2348" s="1" t="s">
        <v>617</v>
      </c>
      <c r="V2348" s="1">
        <v>4</v>
      </c>
      <c r="W2348" s="3">
        <v>3407.49</v>
      </c>
      <c r="X2348" s="3">
        <v>13629.96</v>
      </c>
      <c r="Y2348" s="1" t="str">
        <f>VLOOKUP(A2348,[1]Detalle!$D$2:$CR$484,93,FALSE)</f>
        <v>Arcor S.A.I.C.</v>
      </c>
    </row>
    <row r="2349" spans="1:25" ht="14.25" customHeight="1" x14ac:dyDescent="0.3">
      <c r="A2349" s="1" t="s">
        <v>636</v>
      </c>
      <c r="B2349" s="1" t="s">
        <v>714</v>
      </c>
      <c r="C2349" s="1" t="s">
        <v>714</v>
      </c>
      <c r="D2349" s="1" t="s">
        <v>715</v>
      </c>
      <c r="E2349" s="1" t="s">
        <v>337</v>
      </c>
      <c r="F2349" s="1">
        <v>22337.7</v>
      </c>
      <c r="G2349" s="1">
        <v>22517.7</v>
      </c>
      <c r="H2349" s="1">
        <v>0</v>
      </c>
      <c r="I2349" s="1">
        <v>180</v>
      </c>
      <c r="J2349" s="1">
        <v>22337.7</v>
      </c>
      <c r="K2349" s="1">
        <v>146</v>
      </c>
      <c r="L2349" s="1">
        <v>100</v>
      </c>
      <c r="M2349" s="1">
        <v>1.8</v>
      </c>
      <c r="N2349" s="7">
        <v>45947</v>
      </c>
      <c r="O2349" s="1">
        <v>180</v>
      </c>
      <c r="P2349" s="7">
        <v>46307</v>
      </c>
      <c r="Q2349" s="1" t="s">
        <v>330</v>
      </c>
      <c r="T2349" s="1" t="s">
        <v>716</v>
      </c>
      <c r="U2349" s="1" t="s">
        <v>717</v>
      </c>
      <c r="V2349" s="1">
        <v>1</v>
      </c>
      <c r="W2349" s="3">
        <v>17073.78</v>
      </c>
      <c r="X2349" s="3">
        <v>17073.78</v>
      </c>
      <c r="Y2349" s="1" t="str">
        <f>VLOOKUP(A2349,[1]Detalle!$D$2:$CR$484,93,FALSE)</f>
        <v>Arcor S.A.I.C.</v>
      </c>
    </row>
    <row r="2350" spans="1:25" ht="14.25" customHeight="1" x14ac:dyDescent="0.3">
      <c r="A2350" s="1" t="s">
        <v>636</v>
      </c>
      <c r="B2350" s="1" t="s">
        <v>714</v>
      </c>
      <c r="C2350" s="1" t="s">
        <v>714</v>
      </c>
      <c r="D2350" s="1" t="s">
        <v>715</v>
      </c>
      <c r="E2350" s="1" t="s">
        <v>337</v>
      </c>
      <c r="F2350" s="1">
        <v>22337.7</v>
      </c>
      <c r="G2350" s="1">
        <v>22517.7</v>
      </c>
      <c r="H2350" s="1">
        <v>0</v>
      </c>
      <c r="I2350" s="1">
        <v>180</v>
      </c>
      <c r="J2350" s="1">
        <v>22337.7</v>
      </c>
      <c r="K2350" s="1">
        <v>146</v>
      </c>
      <c r="L2350" s="1">
        <v>100</v>
      </c>
      <c r="M2350" s="1">
        <v>1.8</v>
      </c>
      <c r="N2350" s="7">
        <v>45947</v>
      </c>
      <c r="O2350" s="1">
        <v>180</v>
      </c>
      <c r="P2350" s="7">
        <v>46307</v>
      </c>
      <c r="Q2350" s="1" t="s">
        <v>330</v>
      </c>
      <c r="T2350" s="1" t="s">
        <v>718</v>
      </c>
      <c r="U2350" s="1" t="s">
        <v>719</v>
      </c>
      <c r="V2350" s="1">
        <v>1</v>
      </c>
      <c r="W2350" s="3">
        <v>13800</v>
      </c>
      <c r="X2350" s="3">
        <v>13800</v>
      </c>
      <c r="Y2350" s="1" t="str">
        <f>VLOOKUP(A2350,[1]Detalle!$D$2:$CR$484,93,FALSE)</f>
        <v>Arcor S.A.I.C.</v>
      </c>
    </row>
    <row r="2351" spans="1:25" ht="14.25" customHeight="1" x14ac:dyDescent="0.3">
      <c r="A2351" s="1" t="s">
        <v>636</v>
      </c>
      <c r="B2351" s="1" t="s">
        <v>714</v>
      </c>
      <c r="C2351" s="1" t="s">
        <v>714</v>
      </c>
      <c r="D2351" s="1" t="s">
        <v>715</v>
      </c>
      <c r="E2351" s="1" t="s">
        <v>337</v>
      </c>
      <c r="F2351" s="1">
        <v>22337.7</v>
      </c>
      <c r="G2351" s="1">
        <v>22517.7</v>
      </c>
      <c r="H2351" s="1">
        <v>0</v>
      </c>
      <c r="I2351" s="1">
        <v>180</v>
      </c>
      <c r="J2351" s="1">
        <v>22337.7</v>
      </c>
      <c r="K2351" s="1">
        <v>146</v>
      </c>
      <c r="L2351" s="1">
        <v>100</v>
      </c>
      <c r="M2351" s="1">
        <v>1.8</v>
      </c>
      <c r="N2351" s="7">
        <v>45947</v>
      </c>
      <c r="O2351" s="1">
        <v>180</v>
      </c>
      <c r="P2351" s="7">
        <v>46307</v>
      </c>
      <c r="Q2351" s="1" t="s">
        <v>330</v>
      </c>
      <c r="T2351" s="1" t="s">
        <v>616</v>
      </c>
      <c r="U2351" s="1" t="s">
        <v>617</v>
      </c>
      <c r="V2351" s="1">
        <v>4</v>
      </c>
      <c r="W2351" s="3">
        <v>3407.49</v>
      </c>
      <c r="X2351" s="3">
        <v>13629.96</v>
      </c>
      <c r="Y2351" s="1" t="str">
        <f>VLOOKUP(A2351,[1]Detalle!$D$2:$CR$484,93,FALSE)</f>
        <v>Arcor S.A.I.C.</v>
      </c>
    </row>
    <row r="2352" spans="1:25" ht="14.25" customHeight="1" x14ac:dyDescent="0.3">
      <c r="A2352" s="1" t="s">
        <v>637</v>
      </c>
      <c r="B2352" s="1" t="s">
        <v>714</v>
      </c>
      <c r="C2352" s="1" t="s">
        <v>714</v>
      </c>
      <c r="D2352" s="1" t="s">
        <v>715</v>
      </c>
      <c r="E2352" s="1" t="s">
        <v>337</v>
      </c>
      <c r="F2352" s="1">
        <v>25682</v>
      </c>
      <c r="G2352" s="1">
        <v>25862</v>
      </c>
      <c r="H2352" s="1">
        <v>8943.2999999999975</v>
      </c>
      <c r="I2352" s="1">
        <v>-8763.2999999999975</v>
      </c>
      <c r="J2352" s="1">
        <v>34625.300000000003</v>
      </c>
      <c r="K2352" s="1">
        <v>149</v>
      </c>
      <c r="L2352" s="1">
        <v>60.022147651006698</v>
      </c>
      <c r="M2352" s="1">
        <v>-146.0011069739358</v>
      </c>
      <c r="N2352" s="7">
        <v>45947</v>
      </c>
      <c r="O2352" s="1">
        <v>180</v>
      </c>
      <c r="P2352" s="7">
        <v>46307</v>
      </c>
      <c r="Q2352" s="1" t="s">
        <v>330</v>
      </c>
      <c r="T2352" s="1" t="s">
        <v>716</v>
      </c>
      <c r="U2352" s="1" t="s">
        <v>717</v>
      </c>
      <c r="V2352" s="1">
        <v>1</v>
      </c>
      <c r="W2352" s="3">
        <v>17073.78</v>
      </c>
      <c r="X2352" s="3">
        <v>17073.78</v>
      </c>
      <c r="Y2352" s="1" t="str">
        <f>VLOOKUP(A2352,[1]Detalle!$D$2:$CR$484,93,FALSE)</f>
        <v>Arcor S.A.I.C.</v>
      </c>
    </row>
    <row r="2353" spans="1:25" ht="14.25" customHeight="1" x14ac:dyDescent="0.3">
      <c r="A2353" s="1" t="s">
        <v>637</v>
      </c>
      <c r="B2353" s="1" t="s">
        <v>714</v>
      </c>
      <c r="C2353" s="1" t="s">
        <v>714</v>
      </c>
      <c r="D2353" s="1" t="s">
        <v>715</v>
      </c>
      <c r="E2353" s="1" t="s">
        <v>337</v>
      </c>
      <c r="F2353" s="1">
        <v>25682</v>
      </c>
      <c r="G2353" s="1">
        <v>25862</v>
      </c>
      <c r="H2353" s="1">
        <v>8943.2999999999975</v>
      </c>
      <c r="I2353" s="1">
        <v>-8763.2999999999975</v>
      </c>
      <c r="J2353" s="1">
        <v>34625.300000000003</v>
      </c>
      <c r="K2353" s="1">
        <v>149</v>
      </c>
      <c r="L2353" s="1">
        <v>60.022147651006698</v>
      </c>
      <c r="M2353" s="1">
        <v>-146.0011069739358</v>
      </c>
      <c r="N2353" s="7">
        <v>45947</v>
      </c>
      <c r="O2353" s="1">
        <v>180</v>
      </c>
      <c r="P2353" s="7">
        <v>46307</v>
      </c>
      <c r="Q2353" s="1" t="s">
        <v>330</v>
      </c>
      <c r="T2353" s="1" t="s">
        <v>718</v>
      </c>
      <c r="U2353" s="1" t="s">
        <v>719</v>
      </c>
      <c r="V2353" s="1">
        <v>1</v>
      </c>
      <c r="W2353" s="3">
        <v>13800</v>
      </c>
      <c r="X2353" s="3">
        <v>13800</v>
      </c>
      <c r="Y2353" s="1" t="str">
        <f>VLOOKUP(A2353,[1]Detalle!$D$2:$CR$484,93,FALSE)</f>
        <v>Arcor S.A.I.C.</v>
      </c>
    </row>
    <row r="2354" spans="1:25" ht="14.25" customHeight="1" x14ac:dyDescent="0.3">
      <c r="A2354" s="1" t="s">
        <v>637</v>
      </c>
      <c r="B2354" s="1" t="s">
        <v>714</v>
      </c>
      <c r="C2354" s="1" t="s">
        <v>714</v>
      </c>
      <c r="D2354" s="1" t="s">
        <v>715</v>
      </c>
      <c r="E2354" s="1" t="s">
        <v>337</v>
      </c>
      <c r="F2354" s="1">
        <v>25682</v>
      </c>
      <c r="G2354" s="1">
        <v>25862</v>
      </c>
      <c r="H2354" s="1">
        <v>8943.2999999999975</v>
      </c>
      <c r="I2354" s="1">
        <v>-8763.2999999999975</v>
      </c>
      <c r="J2354" s="1">
        <v>34625.300000000003</v>
      </c>
      <c r="K2354" s="1">
        <v>149</v>
      </c>
      <c r="L2354" s="1">
        <v>60.022147651006698</v>
      </c>
      <c r="M2354" s="1">
        <v>-146.0011069739358</v>
      </c>
      <c r="N2354" s="7">
        <v>45947</v>
      </c>
      <c r="O2354" s="1">
        <v>180</v>
      </c>
      <c r="P2354" s="7">
        <v>46307</v>
      </c>
      <c r="Q2354" s="1" t="s">
        <v>330</v>
      </c>
      <c r="T2354" s="1" t="s">
        <v>616</v>
      </c>
      <c r="U2354" s="1" t="s">
        <v>617</v>
      </c>
      <c r="V2354" s="1">
        <v>4</v>
      </c>
      <c r="W2354" s="3">
        <v>3407.49</v>
      </c>
      <c r="X2354" s="3">
        <v>13629.96</v>
      </c>
      <c r="Y2354" s="1" t="str">
        <f>VLOOKUP(A2354,[1]Detalle!$D$2:$CR$484,93,FALSE)</f>
        <v>Arcor S.A.I.C.</v>
      </c>
    </row>
    <row r="2355" spans="1:25" ht="14.25" customHeight="1" x14ac:dyDescent="0.3">
      <c r="A2355" s="1" t="s">
        <v>638</v>
      </c>
      <c r="B2355" s="1" t="s">
        <v>714</v>
      </c>
      <c r="C2355" s="1" t="s">
        <v>714</v>
      </c>
      <c r="D2355" s="1" t="s">
        <v>715</v>
      </c>
      <c r="E2355" s="1" t="s">
        <v>337</v>
      </c>
      <c r="F2355" s="1">
        <v>22616.400000000001</v>
      </c>
      <c r="G2355" s="1">
        <v>22796.400000000001</v>
      </c>
      <c r="H2355" s="1">
        <v>0</v>
      </c>
      <c r="I2355" s="1">
        <v>180</v>
      </c>
      <c r="J2355" s="1">
        <v>22616.400000000001</v>
      </c>
      <c r="K2355" s="1">
        <v>141</v>
      </c>
      <c r="L2355" s="1">
        <v>100</v>
      </c>
      <c r="M2355" s="1">
        <v>1.8</v>
      </c>
      <c r="N2355" s="7">
        <v>45947</v>
      </c>
      <c r="O2355" s="1">
        <v>180</v>
      </c>
      <c r="P2355" s="7">
        <v>46307</v>
      </c>
      <c r="Q2355" s="1" t="s">
        <v>330</v>
      </c>
      <c r="T2355" s="1" t="s">
        <v>716</v>
      </c>
      <c r="U2355" s="1" t="s">
        <v>717</v>
      </c>
      <c r="V2355" s="1">
        <v>1</v>
      </c>
      <c r="W2355" s="3">
        <v>17073.78</v>
      </c>
      <c r="X2355" s="3">
        <v>17073.78</v>
      </c>
      <c r="Y2355" s="1" t="str">
        <f>VLOOKUP(A2355,[1]Detalle!$D$2:$CR$484,93,FALSE)</f>
        <v>Arcor S.A.I.C.</v>
      </c>
    </row>
    <row r="2356" spans="1:25" ht="14.25" customHeight="1" x14ac:dyDescent="0.3">
      <c r="A2356" s="1" t="s">
        <v>638</v>
      </c>
      <c r="B2356" s="1" t="s">
        <v>714</v>
      </c>
      <c r="C2356" s="1" t="s">
        <v>714</v>
      </c>
      <c r="D2356" s="1" t="s">
        <v>715</v>
      </c>
      <c r="E2356" s="1" t="s">
        <v>337</v>
      </c>
      <c r="F2356" s="1">
        <v>22616.400000000001</v>
      </c>
      <c r="G2356" s="1">
        <v>22796.400000000001</v>
      </c>
      <c r="H2356" s="1">
        <v>0</v>
      </c>
      <c r="I2356" s="1">
        <v>180</v>
      </c>
      <c r="J2356" s="1">
        <v>22616.400000000001</v>
      </c>
      <c r="K2356" s="1">
        <v>141</v>
      </c>
      <c r="L2356" s="1">
        <v>100</v>
      </c>
      <c r="M2356" s="1">
        <v>1.8</v>
      </c>
      <c r="N2356" s="7">
        <v>45947</v>
      </c>
      <c r="O2356" s="1">
        <v>180</v>
      </c>
      <c r="P2356" s="7">
        <v>46307</v>
      </c>
      <c r="Q2356" s="1" t="s">
        <v>330</v>
      </c>
      <c r="T2356" s="1" t="s">
        <v>718</v>
      </c>
      <c r="U2356" s="1" t="s">
        <v>719</v>
      </c>
      <c r="V2356" s="1">
        <v>1</v>
      </c>
      <c r="W2356" s="3">
        <v>13800</v>
      </c>
      <c r="X2356" s="3">
        <v>13800</v>
      </c>
      <c r="Y2356" s="1" t="str">
        <f>VLOOKUP(A2356,[1]Detalle!$D$2:$CR$484,93,FALSE)</f>
        <v>Arcor S.A.I.C.</v>
      </c>
    </row>
    <row r="2357" spans="1:25" ht="14.25" customHeight="1" x14ac:dyDescent="0.3">
      <c r="A2357" s="1" t="s">
        <v>638</v>
      </c>
      <c r="B2357" s="1" t="s">
        <v>714</v>
      </c>
      <c r="C2357" s="1" t="s">
        <v>714</v>
      </c>
      <c r="D2357" s="1" t="s">
        <v>715</v>
      </c>
      <c r="E2357" s="1" t="s">
        <v>337</v>
      </c>
      <c r="F2357" s="1">
        <v>22616.400000000001</v>
      </c>
      <c r="G2357" s="1">
        <v>22796.400000000001</v>
      </c>
      <c r="H2357" s="1">
        <v>0</v>
      </c>
      <c r="I2357" s="1">
        <v>180</v>
      </c>
      <c r="J2357" s="1">
        <v>22616.400000000001</v>
      </c>
      <c r="K2357" s="1">
        <v>141</v>
      </c>
      <c r="L2357" s="1">
        <v>100</v>
      </c>
      <c r="M2357" s="1">
        <v>1.8</v>
      </c>
      <c r="N2357" s="7">
        <v>45947</v>
      </c>
      <c r="O2357" s="1">
        <v>180</v>
      </c>
      <c r="P2357" s="7">
        <v>46307</v>
      </c>
      <c r="Q2357" s="1" t="s">
        <v>330</v>
      </c>
      <c r="T2357" s="1" t="s">
        <v>616</v>
      </c>
      <c r="U2357" s="1" t="s">
        <v>617</v>
      </c>
      <c r="V2357" s="1">
        <v>4</v>
      </c>
      <c r="W2357" s="3">
        <v>3407.49</v>
      </c>
      <c r="X2357" s="3">
        <v>13629.96</v>
      </c>
      <c r="Y2357" s="1" t="str">
        <f>VLOOKUP(A2357,[1]Detalle!$D$2:$CR$484,93,FALSE)</f>
        <v>Arcor S.A.I.C.</v>
      </c>
    </row>
    <row r="2358" spans="1:25" ht="14.25" customHeight="1" x14ac:dyDescent="0.3">
      <c r="A2358" s="1" t="s">
        <v>171</v>
      </c>
      <c r="B2358" s="1" t="s">
        <v>714</v>
      </c>
      <c r="C2358" s="1" t="s">
        <v>714</v>
      </c>
      <c r="D2358" s="1" t="s">
        <v>715</v>
      </c>
      <c r="E2358" s="1" t="s">
        <v>337</v>
      </c>
      <c r="N2358" s="7">
        <v>45947</v>
      </c>
      <c r="O2358" s="1">
        <v>180</v>
      </c>
      <c r="P2358" s="7">
        <v>46307</v>
      </c>
      <c r="Q2358" s="1" t="s">
        <v>330</v>
      </c>
      <c r="T2358" s="1" t="s">
        <v>716</v>
      </c>
      <c r="U2358" s="1" t="s">
        <v>717</v>
      </c>
      <c r="V2358" s="1">
        <v>1</v>
      </c>
      <c r="W2358" s="3">
        <v>17073.78</v>
      </c>
      <c r="X2358" s="3">
        <v>17073.78</v>
      </c>
      <c r="Y2358" s="1" t="str">
        <f>VLOOKUP(A2358,[1]Detalle!$D$2:$CR$484,93,FALSE)</f>
        <v>CENCO_MZ - Cencosud SA - Mendoza</v>
      </c>
    </row>
    <row r="2359" spans="1:25" ht="14.25" customHeight="1" x14ac:dyDescent="0.3">
      <c r="A2359" s="1" t="s">
        <v>171</v>
      </c>
      <c r="B2359" s="1" t="s">
        <v>714</v>
      </c>
      <c r="C2359" s="1" t="s">
        <v>714</v>
      </c>
      <c r="D2359" s="1" t="s">
        <v>715</v>
      </c>
      <c r="E2359" s="1" t="s">
        <v>337</v>
      </c>
      <c r="N2359" s="7">
        <v>45947</v>
      </c>
      <c r="O2359" s="1">
        <v>180</v>
      </c>
      <c r="P2359" s="7">
        <v>46307</v>
      </c>
      <c r="Q2359" s="1" t="s">
        <v>330</v>
      </c>
      <c r="T2359" s="1" t="s">
        <v>718</v>
      </c>
      <c r="U2359" s="1" t="s">
        <v>719</v>
      </c>
      <c r="V2359" s="1">
        <v>1</v>
      </c>
      <c r="W2359" s="3">
        <v>13800</v>
      </c>
      <c r="X2359" s="3">
        <v>13800</v>
      </c>
      <c r="Y2359" s="1" t="str">
        <f>VLOOKUP(A2359,[1]Detalle!$D$2:$CR$484,93,FALSE)</f>
        <v>CENCO_MZ - Cencosud SA - Mendoza</v>
      </c>
    </row>
    <row r="2360" spans="1:25" ht="14.25" customHeight="1" x14ac:dyDescent="0.3">
      <c r="A2360" s="1" t="s">
        <v>171</v>
      </c>
      <c r="B2360" s="1" t="s">
        <v>714</v>
      </c>
      <c r="C2360" s="1" t="s">
        <v>714</v>
      </c>
      <c r="D2360" s="1" t="s">
        <v>715</v>
      </c>
      <c r="E2360" s="1" t="s">
        <v>337</v>
      </c>
      <c r="N2360" s="7">
        <v>45947</v>
      </c>
      <c r="O2360" s="1">
        <v>180</v>
      </c>
      <c r="P2360" s="7">
        <v>46307</v>
      </c>
      <c r="Q2360" s="1" t="s">
        <v>330</v>
      </c>
      <c r="T2360" s="1" t="s">
        <v>616</v>
      </c>
      <c r="U2360" s="1" t="s">
        <v>617</v>
      </c>
      <c r="V2360" s="1">
        <v>4</v>
      </c>
      <c r="W2360" s="3">
        <v>3407.49</v>
      </c>
      <c r="X2360" s="3">
        <v>13629.96</v>
      </c>
      <c r="Y2360" s="1" t="str">
        <f>VLOOKUP(A2360,[1]Detalle!$D$2:$CR$484,93,FALSE)</f>
        <v>CENCO_MZ - Cencosud SA - Mendoza</v>
      </c>
    </row>
    <row r="2361" spans="1:25" ht="14.25" customHeight="1" x14ac:dyDescent="0.3">
      <c r="A2361" s="1" t="s">
        <v>172</v>
      </c>
      <c r="B2361" s="1" t="s">
        <v>714</v>
      </c>
      <c r="C2361" s="1" t="s">
        <v>714</v>
      </c>
      <c r="D2361" s="1" t="s">
        <v>715</v>
      </c>
      <c r="E2361" s="1" t="s">
        <v>337</v>
      </c>
      <c r="N2361" s="7">
        <v>45947</v>
      </c>
      <c r="O2361" s="1">
        <v>180</v>
      </c>
      <c r="P2361" s="7">
        <v>46307</v>
      </c>
      <c r="Q2361" s="1" t="s">
        <v>330</v>
      </c>
      <c r="T2361" s="1" t="s">
        <v>716</v>
      </c>
      <c r="U2361" s="1" t="s">
        <v>717</v>
      </c>
      <c r="V2361" s="1">
        <v>1</v>
      </c>
      <c r="W2361" s="3">
        <v>17073.78</v>
      </c>
      <c r="X2361" s="3">
        <v>17073.78</v>
      </c>
      <c r="Y2361" s="1" t="str">
        <f>VLOOKUP(A2361,[1]Detalle!$D$2:$CR$484,93,FALSE)</f>
        <v>CENCO_MZ - Cencosud SA - Mendoza</v>
      </c>
    </row>
    <row r="2362" spans="1:25" ht="14.25" customHeight="1" x14ac:dyDescent="0.3">
      <c r="A2362" s="1" t="s">
        <v>172</v>
      </c>
      <c r="B2362" s="1" t="s">
        <v>714</v>
      </c>
      <c r="C2362" s="1" t="s">
        <v>714</v>
      </c>
      <c r="D2362" s="1" t="s">
        <v>715</v>
      </c>
      <c r="E2362" s="1" t="s">
        <v>337</v>
      </c>
      <c r="N2362" s="7">
        <v>45947</v>
      </c>
      <c r="O2362" s="1">
        <v>180</v>
      </c>
      <c r="P2362" s="7">
        <v>46307</v>
      </c>
      <c r="Q2362" s="1" t="s">
        <v>330</v>
      </c>
      <c r="T2362" s="1" t="s">
        <v>718</v>
      </c>
      <c r="U2362" s="1" t="s">
        <v>719</v>
      </c>
      <c r="V2362" s="1">
        <v>1</v>
      </c>
      <c r="W2362" s="3">
        <v>13800</v>
      </c>
      <c r="X2362" s="3">
        <v>13800</v>
      </c>
      <c r="Y2362" s="1" t="str">
        <f>VLOOKUP(A2362,[1]Detalle!$D$2:$CR$484,93,FALSE)</f>
        <v>CENCO_MZ - Cencosud SA - Mendoza</v>
      </c>
    </row>
    <row r="2363" spans="1:25" ht="14.25" customHeight="1" x14ac:dyDescent="0.3">
      <c r="A2363" s="1" t="s">
        <v>172</v>
      </c>
      <c r="B2363" s="1" t="s">
        <v>714</v>
      </c>
      <c r="C2363" s="1" t="s">
        <v>714</v>
      </c>
      <c r="D2363" s="1" t="s">
        <v>715</v>
      </c>
      <c r="E2363" s="1" t="s">
        <v>337</v>
      </c>
      <c r="N2363" s="7">
        <v>45947</v>
      </c>
      <c r="O2363" s="1">
        <v>180</v>
      </c>
      <c r="P2363" s="7">
        <v>46307</v>
      </c>
      <c r="Q2363" s="1" t="s">
        <v>330</v>
      </c>
      <c r="T2363" s="1" t="s">
        <v>616</v>
      </c>
      <c r="U2363" s="1" t="s">
        <v>617</v>
      </c>
      <c r="V2363" s="1">
        <v>4</v>
      </c>
      <c r="W2363" s="3">
        <v>3407.49</v>
      </c>
      <c r="X2363" s="3">
        <v>13629.96</v>
      </c>
      <c r="Y2363" s="1" t="str">
        <f>VLOOKUP(A2363,[1]Detalle!$D$2:$CR$484,93,FALSE)</f>
        <v>CENCO_MZ - Cencosud SA - Mendoza</v>
      </c>
    </row>
    <row r="2364" spans="1:25" ht="14.25" customHeight="1" x14ac:dyDescent="0.3">
      <c r="A2364" s="1" t="s">
        <v>209</v>
      </c>
      <c r="B2364" s="1" t="s">
        <v>714</v>
      </c>
      <c r="C2364" s="1" t="s">
        <v>714</v>
      </c>
      <c r="D2364" s="1" t="s">
        <v>715</v>
      </c>
      <c r="E2364" s="1" t="s">
        <v>337</v>
      </c>
      <c r="N2364" s="7">
        <v>45947</v>
      </c>
      <c r="O2364" s="1">
        <v>180</v>
      </c>
      <c r="P2364" s="7">
        <v>46307</v>
      </c>
      <c r="Q2364" s="1" t="s">
        <v>330</v>
      </c>
      <c r="T2364" s="1" t="s">
        <v>716</v>
      </c>
      <c r="U2364" s="1" t="s">
        <v>717</v>
      </c>
      <c r="V2364" s="1">
        <v>1</v>
      </c>
      <c r="W2364" s="3">
        <v>17073.78</v>
      </c>
      <c r="X2364" s="3">
        <v>17073.78</v>
      </c>
      <c r="Y2364" s="1" t="str">
        <f>VLOOKUP(A2364,[1]Detalle!$D$2:$CR$484,93,FALSE)</f>
        <v>CENCO_MZ - Cencosud SA - Mendoza</v>
      </c>
    </row>
    <row r="2365" spans="1:25" ht="14.25" customHeight="1" x14ac:dyDescent="0.3">
      <c r="A2365" s="1" t="s">
        <v>209</v>
      </c>
      <c r="B2365" s="1" t="s">
        <v>714</v>
      </c>
      <c r="C2365" s="1" t="s">
        <v>714</v>
      </c>
      <c r="D2365" s="1" t="s">
        <v>715</v>
      </c>
      <c r="E2365" s="1" t="s">
        <v>337</v>
      </c>
      <c r="N2365" s="7">
        <v>45947</v>
      </c>
      <c r="O2365" s="1">
        <v>180</v>
      </c>
      <c r="P2365" s="7">
        <v>46307</v>
      </c>
      <c r="Q2365" s="1" t="s">
        <v>330</v>
      </c>
      <c r="T2365" s="1" t="s">
        <v>718</v>
      </c>
      <c r="U2365" s="1" t="s">
        <v>719</v>
      </c>
      <c r="V2365" s="1">
        <v>1</v>
      </c>
      <c r="W2365" s="3">
        <v>13800</v>
      </c>
      <c r="X2365" s="3">
        <v>13800</v>
      </c>
      <c r="Y2365" s="1" t="str">
        <f>VLOOKUP(A2365,[1]Detalle!$D$2:$CR$484,93,FALSE)</f>
        <v>CENCO_MZ - Cencosud SA - Mendoza</v>
      </c>
    </row>
    <row r="2366" spans="1:25" ht="14.25" customHeight="1" x14ac:dyDescent="0.3">
      <c r="A2366" s="1" t="s">
        <v>209</v>
      </c>
      <c r="B2366" s="1" t="s">
        <v>714</v>
      </c>
      <c r="C2366" s="1" t="s">
        <v>714</v>
      </c>
      <c r="D2366" s="1" t="s">
        <v>715</v>
      </c>
      <c r="E2366" s="1" t="s">
        <v>337</v>
      </c>
      <c r="N2366" s="7">
        <v>45947</v>
      </c>
      <c r="O2366" s="1">
        <v>180</v>
      </c>
      <c r="P2366" s="7">
        <v>46307</v>
      </c>
      <c r="Q2366" s="1" t="s">
        <v>330</v>
      </c>
      <c r="T2366" s="1" t="s">
        <v>616</v>
      </c>
      <c r="U2366" s="1" t="s">
        <v>617</v>
      </c>
      <c r="V2366" s="1">
        <v>4</v>
      </c>
      <c r="W2366" s="3">
        <v>3407.49</v>
      </c>
      <c r="X2366" s="3">
        <v>13629.96</v>
      </c>
      <c r="Y2366" s="1" t="str">
        <f>VLOOKUP(A2366,[1]Detalle!$D$2:$CR$484,93,FALSE)</f>
        <v>CENCO_MZ - Cencosud SA - Mendoza</v>
      </c>
    </row>
    <row r="2367" spans="1:25" ht="14.25" customHeight="1" x14ac:dyDescent="0.3">
      <c r="A2367" s="1" t="s">
        <v>74</v>
      </c>
      <c r="B2367" s="1" t="s">
        <v>714</v>
      </c>
      <c r="C2367" s="1" t="s">
        <v>714</v>
      </c>
      <c r="D2367" s="1" t="s">
        <v>715</v>
      </c>
      <c r="E2367" s="1" t="s">
        <v>337</v>
      </c>
      <c r="N2367" s="7">
        <v>45947</v>
      </c>
      <c r="O2367" s="1">
        <v>180</v>
      </c>
      <c r="P2367" s="7">
        <v>46307</v>
      </c>
      <c r="Q2367" s="1" t="s">
        <v>330</v>
      </c>
      <c r="T2367" s="1" t="s">
        <v>716</v>
      </c>
      <c r="U2367" s="1" t="s">
        <v>717</v>
      </c>
      <c r="V2367" s="1">
        <v>1</v>
      </c>
      <c r="W2367" s="3">
        <v>17073.78</v>
      </c>
      <c r="X2367" s="3">
        <v>17073.78</v>
      </c>
      <c r="Y2367" s="1" t="str">
        <f>VLOOKUP(A2367,[1]Detalle!$D$2:$CR$484,93,FALSE)</f>
        <v>CENCO_MZ - Cencosud SA - Mendoza</v>
      </c>
    </row>
    <row r="2368" spans="1:25" ht="14.25" customHeight="1" x14ac:dyDescent="0.3">
      <c r="A2368" s="1" t="s">
        <v>74</v>
      </c>
      <c r="B2368" s="1" t="s">
        <v>714</v>
      </c>
      <c r="C2368" s="1" t="s">
        <v>714</v>
      </c>
      <c r="D2368" s="1" t="s">
        <v>715</v>
      </c>
      <c r="E2368" s="1" t="s">
        <v>337</v>
      </c>
      <c r="N2368" s="7">
        <v>45947</v>
      </c>
      <c r="O2368" s="1">
        <v>180</v>
      </c>
      <c r="P2368" s="7">
        <v>46307</v>
      </c>
      <c r="Q2368" s="1" t="s">
        <v>330</v>
      </c>
      <c r="T2368" s="1" t="s">
        <v>718</v>
      </c>
      <c r="U2368" s="1" t="s">
        <v>719</v>
      </c>
      <c r="V2368" s="1">
        <v>1</v>
      </c>
      <c r="W2368" s="3">
        <v>13800</v>
      </c>
      <c r="X2368" s="3">
        <v>13800</v>
      </c>
      <c r="Y2368" s="1" t="str">
        <f>VLOOKUP(A2368,[1]Detalle!$D$2:$CR$484,93,FALSE)</f>
        <v>CENCO_MZ - Cencosud SA - Mendoza</v>
      </c>
    </row>
    <row r="2369" spans="1:25" ht="14.25" customHeight="1" x14ac:dyDescent="0.3">
      <c r="A2369" s="1" t="s">
        <v>74</v>
      </c>
      <c r="B2369" s="1" t="s">
        <v>714</v>
      </c>
      <c r="C2369" s="1" t="s">
        <v>714</v>
      </c>
      <c r="D2369" s="1" t="s">
        <v>715</v>
      </c>
      <c r="E2369" s="1" t="s">
        <v>337</v>
      </c>
      <c r="N2369" s="7">
        <v>45947</v>
      </c>
      <c r="O2369" s="1">
        <v>180</v>
      </c>
      <c r="P2369" s="7">
        <v>46307</v>
      </c>
      <c r="Q2369" s="1" t="s">
        <v>330</v>
      </c>
      <c r="T2369" s="1" t="s">
        <v>616</v>
      </c>
      <c r="U2369" s="1" t="s">
        <v>617</v>
      </c>
      <c r="V2369" s="1">
        <v>4</v>
      </c>
      <c r="W2369" s="3">
        <v>3407.49</v>
      </c>
      <c r="X2369" s="3">
        <v>13629.96</v>
      </c>
      <c r="Y2369" s="1" t="str">
        <f>VLOOKUP(A2369,[1]Detalle!$D$2:$CR$484,93,FALSE)</f>
        <v>CENCO_MZ - Cencosud SA - Mendoza</v>
      </c>
    </row>
    <row r="2370" spans="1:25" ht="14.25" customHeight="1" x14ac:dyDescent="0.3">
      <c r="A2370" s="1" t="s">
        <v>82</v>
      </c>
      <c r="B2370" s="1" t="s">
        <v>714</v>
      </c>
      <c r="C2370" s="1" t="s">
        <v>714</v>
      </c>
      <c r="D2370" s="1" t="s">
        <v>715</v>
      </c>
      <c r="E2370" s="1" t="s">
        <v>337</v>
      </c>
      <c r="F2370" s="1">
        <v>68994</v>
      </c>
      <c r="G2370" s="1">
        <v>69174</v>
      </c>
      <c r="H2370" s="1">
        <v>0</v>
      </c>
      <c r="I2370" s="1">
        <v>180</v>
      </c>
      <c r="J2370" s="1">
        <v>68994</v>
      </c>
      <c r="K2370" s="1">
        <v>133</v>
      </c>
      <c r="L2370" s="1">
        <v>100</v>
      </c>
      <c r="M2370" s="1">
        <v>1.8</v>
      </c>
      <c r="N2370" s="7">
        <v>45947</v>
      </c>
      <c r="O2370" s="1">
        <v>180</v>
      </c>
      <c r="P2370" s="7">
        <v>46307</v>
      </c>
      <c r="Q2370" s="1" t="s">
        <v>330</v>
      </c>
      <c r="T2370" s="1" t="s">
        <v>716</v>
      </c>
      <c r="U2370" s="1" t="s">
        <v>717</v>
      </c>
      <c r="V2370" s="1">
        <v>1</v>
      </c>
      <c r="W2370" s="3">
        <v>17073.78</v>
      </c>
      <c r="X2370" s="3">
        <v>17073.78</v>
      </c>
      <c r="Y2370" s="1" t="str">
        <f>VLOOKUP(A2370,[1]Detalle!$D$2:$CR$484,93,FALSE)</f>
        <v>CENCO_MZ - Cencosud SA - Mendoza</v>
      </c>
    </row>
    <row r="2371" spans="1:25" ht="14.25" customHeight="1" x14ac:dyDescent="0.3">
      <c r="A2371" s="1" t="s">
        <v>82</v>
      </c>
      <c r="B2371" s="1" t="s">
        <v>714</v>
      </c>
      <c r="C2371" s="1" t="s">
        <v>714</v>
      </c>
      <c r="D2371" s="1" t="s">
        <v>715</v>
      </c>
      <c r="E2371" s="1" t="s">
        <v>337</v>
      </c>
      <c r="F2371" s="1">
        <v>68994</v>
      </c>
      <c r="G2371" s="1">
        <v>69174</v>
      </c>
      <c r="H2371" s="1">
        <v>0</v>
      </c>
      <c r="I2371" s="1">
        <v>180</v>
      </c>
      <c r="J2371" s="1">
        <v>68994</v>
      </c>
      <c r="K2371" s="1">
        <v>133</v>
      </c>
      <c r="L2371" s="1">
        <v>100</v>
      </c>
      <c r="M2371" s="1">
        <v>1.8</v>
      </c>
      <c r="N2371" s="7">
        <v>45947</v>
      </c>
      <c r="O2371" s="1">
        <v>180</v>
      </c>
      <c r="P2371" s="7">
        <v>46307</v>
      </c>
      <c r="Q2371" s="1" t="s">
        <v>330</v>
      </c>
      <c r="T2371" s="1" t="s">
        <v>718</v>
      </c>
      <c r="U2371" s="1" t="s">
        <v>719</v>
      </c>
      <c r="V2371" s="1">
        <v>1</v>
      </c>
      <c r="W2371" s="3">
        <v>13800</v>
      </c>
      <c r="X2371" s="3">
        <v>13800</v>
      </c>
      <c r="Y2371" s="1" t="str">
        <f>VLOOKUP(A2371,[1]Detalle!$D$2:$CR$484,93,FALSE)</f>
        <v>CENCO_MZ - Cencosud SA - Mendoza</v>
      </c>
    </row>
    <row r="2372" spans="1:25" ht="14.25" customHeight="1" x14ac:dyDescent="0.3">
      <c r="A2372" s="1" t="s">
        <v>82</v>
      </c>
      <c r="B2372" s="1" t="s">
        <v>714</v>
      </c>
      <c r="C2372" s="1" t="s">
        <v>714</v>
      </c>
      <c r="D2372" s="1" t="s">
        <v>715</v>
      </c>
      <c r="E2372" s="1" t="s">
        <v>337</v>
      </c>
      <c r="F2372" s="1">
        <v>68994</v>
      </c>
      <c r="G2372" s="1">
        <v>69174</v>
      </c>
      <c r="H2372" s="1">
        <v>0</v>
      </c>
      <c r="I2372" s="1">
        <v>180</v>
      </c>
      <c r="J2372" s="1">
        <v>68994</v>
      </c>
      <c r="K2372" s="1">
        <v>133</v>
      </c>
      <c r="L2372" s="1">
        <v>100</v>
      </c>
      <c r="M2372" s="1">
        <v>1.8</v>
      </c>
      <c r="N2372" s="7">
        <v>45947</v>
      </c>
      <c r="O2372" s="1">
        <v>180</v>
      </c>
      <c r="P2372" s="7">
        <v>46307</v>
      </c>
      <c r="Q2372" s="1" t="s">
        <v>330</v>
      </c>
      <c r="T2372" s="1" t="s">
        <v>616</v>
      </c>
      <c r="U2372" s="1" t="s">
        <v>617</v>
      </c>
      <c r="V2372" s="1">
        <v>4</v>
      </c>
      <c r="W2372" s="3">
        <v>3407.49</v>
      </c>
      <c r="X2372" s="3">
        <v>13629.96</v>
      </c>
      <c r="Y2372" s="1" t="str">
        <f>VLOOKUP(A2372,[1]Detalle!$D$2:$CR$484,93,FALSE)</f>
        <v>CENCO_MZ - Cencosud SA - Mendoza</v>
      </c>
    </row>
    <row r="2373" spans="1:25" ht="14.25" customHeight="1" x14ac:dyDescent="0.3">
      <c r="A2373" s="1" t="s">
        <v>160</v>
      </c>
      <c r="B2373" s="1" t="s">
        <v>714</v>
      </c>
      <c r="C2373" s="1" t="s">
        <v>714</v>
      </c>
      <c r="D2373" s="1" t="s">
        <v>715</v>
      </c>
      <c r="E2373" s="1" t="s">
        <v>337</v>
      </c>
      <c r="N2373" s="7">
        <v>45947</v>
      </c>
      <c r="O2373" s="1">
        <v>180</v>
      </c>
      <c r="P2373" s="7">
        <v>46307</v>
      </c>
      <c r="Q2373" s="1" t="s">
        <v>330</v>
      </c>
      <c r="T2373" s="1" t="s">
        <v>716</v>
      </c>
      <c r="U2373" s="1" t="s">
        <v>717</v>
      </c>
      <c r="V2373" s="1">
        <v>1</v>
      </c>
      <c r="W2373" s="3">
        <v>17073.78</v>
      </c>
      <c r="X2373" s="3">
        <v>17073.78</v>
      </c>
      <c r="Y2373" s="1" t="str">
        <f>VLOOKUP(A2373,[1]Detalle!$D$2:$CR$484,93,FALSE)</f>
        <v>CENCO_SJ - Cencosud SA - San Juan</v>
      </c>
    </row>
    <row r="2374" spans="1:25" ht="14.25" customHeight="1" x14ac:dyDescent="0.3">
      <c r="A2374" s="1" t="s">
        <v>160</v>
      </c>
      <c r="B2374" s="1" t="s">
        <v>714</v>
      </c>
      <c r="C2374" s="1" t="s">
        <v>714</v>
      </c>
      <c r="D2374" s="1" t="s">
        <v>715</v>
      </c>
      <c r="E2374" s="1" t="s">
        <v>337</v>
      </c>
      <c r="N2374" s="7">
        <v>45947</v>
      </c>
      <c r="O2374" s="1">
        <v>180</v>
      </c>
      <c r="P2374" s="7">
        <v>46307</v>
      </c>
      <c r="Q2374" s="1" t="s">
        <v>330</v>
      </c>
      <c r="T2374" s="1" t="s">
        <v>718</v>
      </c>
      <c r="U2374" s="1" t="s">
        <v>719</v>
      </c>
      <c r="V2374" s="1">
        <v>1</v>
      </c>
      <c r="W2374" s="3">
        <v>13800</v>
      </c>
      <c r="X2374" s="3">
        <v>13800</v>
      </c>
      <c r="Y2374" s="1" t="str">
        <f>VLOOKUP(A2374,[1]Detalle!$D$2:$CR$484,93,FALSE)</f>
        <v>CENCO_SJ - Cencosud SA - San Juan</v>
      </c>
    </row>
    <row r="2375" spans="1:25" ht="14.25" customHeight="1" x14ac:dyDescent="0.3">
      <c r="A2375" s="1" t="s">
        <v>160</v>
      </c>
      <c r="B2375" s="1" t="s">
        <v>714</v>
      </c>
      <c r="C2375" s="1" t="s">
        <v>714</v>
      </c>
      <c r="D2375" s="1" t="s">
        <v>715</v>
      </c>
      <c r="E2375" s="1" t="s">
        <v>337</v>
      </c>
      <c r="N2375" s="7">
        <v>45947</v>
      </c>
      <c r="O2375" s="1">
        <v>180</v>
      </c>
      <c r="P2375" s="7">
        <v>46307</v>
      </c>
      <c r="Q2375" s="1" t="s">
        <v>330</v>
      </c>
      <c r="T2375" s="1" t="s">
        <v>616</v>
      </c>
      <c r="U2375" s="1" t="s">
        <v>617</v>
      </c>
      <c r="V2375" s="1">
        <v>4</v>
      </c>
      <c r="W2375" s="3">
        <v>3407.49</v>
      </c>
      <c r="X2375" s="3">
        <v>13629.96</v>
      </c>
      <c r="Y2375" s="1" t="str">
        <f>VLOOKUP(A2375,[1]Detalle!$D$2:$CR$484,93,FALSE)</f>
        <v>CENCO_SJ - Cencosud SA - San Juan</v>
      </c>
    </row>
    <row r="2376" spans="1:25" ht="14.25" customHeight="1" x14ac:dyDescent="0.3">
      <c r="A2376" s="1" t="s">
        <v>185</v>
      </c>
      <c r="B2376" s="1" t="s">
        <v>714</v>
      </c>
      <c r="C2376" s="1" t="s">
        <v>714</v>
      </c>
      <c r="D2376" s="1" t="s">
        <v>715</v>
      </c>
      <c r="E2376" s="1" t="s">
        <v>337</v>
      </c>
      <c r="N2376" s="7">
        <v>45947</v>
      </c>
      <c r="O2376" s="1">
        <v>180</v>
      </c>
      <c r="P2376" s="7">
        <v>46307</v>
      </c>
      <c r="Q2376" s="1" t="s">
        <v>330</v>
      </c>
      <c r="T2376" s="1" t="s">
        <v>716</v>
      </c>
      <c r="U2376" s="1" t="s">
        <v>717</v>
      </c>
      <c r="V2376" s="1">
        <v>1</v>
      </c>
      <c r="W2376" s="3">
        <v>17073.78</v>
      </c>
      <c r="X2376" s="3">
        <v>17073.78</v>
      </c>
      <c r="Y2376" s="1" t="str">
        <f>VLOOKUP(A2376,[1]Detalle!$D$2:$CR$484,93,FALSE)</f>
        <v>CENCO_SJ - Cencosud SA - San Juan</v>
      </c>
    </row>
    <row r="2377" spans="1:25" ht="14.25" customHeight="1" x14ac:dyDescent="0.3">
      <c r="A2377" s="1" t="s">
        <v>185</v>
      </c>
      <c r="B2377" s="1" t="s">
        <v>714</v>
      </c>
      <c r="C2377" s="1" t="s">
        <v>714</v>
      </c>
      <c r="D2377" s="1" t="s">
        <v>715</v>
      </c>
      <c r="E2377" s="1" t="s">
        <v>337</v>
      </c>
      <c r="N2377" s="7">
        <v>45947</v>
      </c>
      <c r="O2377" s="1">
        <v>180</v>
      </c>
      <c r="P2377" s="7">
        <v>46307</v>
      </c>
      <c r="Q2377" s="1" t="s">
        <v>330</v>
      </c>
      <c r="T2377" s="1" t="s">
        <v>718</v>
      </c>
      <c r="U2377" s="1" t="s">
        <v>719</v>
      </c>
      <c r="V2377" s="1">
        <v>1</v>
      </c>
      <c r="W2377" s="3">
        <v>13800</v>
      </c>
      <c r="X2377" s="3">
        <v>13800</v>
      </c>
      <c r="Y2377" s="1" t="str">
        <f>VLOOKUP(A2377,[1]Detalle!$D$2:$CR$484,93,FALSE)</f>
        <v>CENCO_SJ - Cencosud SA - San Juan</v>
      </c>
    </row>
    <row r="2378" spans="1:25" ht="14.25" customHeight="1" x14ac:dyDescent="0.3">
      <c r="A2378" s="1" t="s">
        <v>185</v>
      </c>
      <c r="B2378" s="1" t="s">
        <v>714</v>
      </c>
      <c r="C2378" s="1" t="s">
        <v>714</v>
      </c>
      <c r="D2378" s="1" t="s">
        <v>715</v>
      </c>
      <c r="E2378" s="1" t="s">
        <v>337</v>
      </c>
      <c r="N2378" s="7">
        <v>45947</v>
      </c>
      <c r="O2378" s="1">
        <v>180</v>
      </c>
      <c r="P2378" s="7">
        <v>46307</v>
      </c>
      <c r="Q2378" s="1" t="s">
        <v>330</v>
      </c>
      <c r="T2378" s="1" t="s">
        <v>616</v>
      </c>
      <c r="U2378" s="1" t="s">
        <v>617</v>
      </c>
      <c r="V2378" s="1">
        <v>4</v>
      </c>
      <c r="W2378" s="3">
        <v>3407.49</v>
      </c>
      <c r="X2378" s="3">
        <v>13629.96</v>
      </c>
      <c r="Y2378" s="1" t="str">
        <f>VLOOKUP(A2378,[1]Detalle!$D$2:$CR$484,93,FALSE)</f>
        <v>CENCO_SJ - Cencosud SA - San Juan</v>
      </c>
    </row>
    <row r="2379" spans="1:25" ht="14.25" customHeight="1" x14ac:dyDescent="0.3">
      <c r="A2379" s="1" t="s">
        <v>15</v>
      </c>
      <c r="B2379" s="1" t="s">
        <v>714</v>
      </c>
      <c r="C2379" s="1" t="s">
        <v>714</v>
      </c>
      <c r="D2379" s="1" t="s">
        <v>715</v>
      </c>
      <c r="E2379" s="1" t="s">
        <v>337</v>
      </c>
      <c r="N2379" s="7">
        <v>45947</v>
      </c>
      <c r="O2379" s="1">
        <v>180</v>
      </c>
      <c r="P2379" s="7">
        <v>46307</v>
      </c>
      <c r="Q2379" s="1" t="s">
        <v>330</v>
      </c>
      <c r="T2379" s="1" t="s">
        <v>716</v>
      </c>
      <c r="U2379" s="1" t="s">
        <v>717</v>
      </c>
      <c r="V2379" s="1">
        <v>1</v>
      </c>
      <c r="W2379" s="3">
        <v>17073.78</v>
      </c>
      <c r="X2379" s="3">
        <v>17073.78</v>
      </c>
      <c r="Y2379" s="1" t="str">
        <f>VLOOKUP(A2379,[1]Detalle!$D$2:$CR$484,93,FALSE)</f>
        <v>CENCOMLD - Cencosud SA - Mendoza</v>
      </c>
    </row>
    <row r="2380" spans="1:25" ht="14.25" customHeight="1" x14ac:dyDescent="0.3">
      <c r="A2380" s="1" t="s">
        <v>15</v>
      </c>
      <c r="B2380" s="1" t="s">
        <v>714</v>
      </c>
      <c r="C2380" s="1" t="s">
        <v>714</v>
      </c>
      <c r="D2380" s="1" t="s">
        <v>715</v>
      </c>
      <c r="E2380" s="1" t="s">
        <v>337</v>
      </c>
      <c r="N2380" s="7">
        <v>45947</v>
      </c>
      <c r="O2380" s="1">
        <v>180</v>
      </c>
      <c r="P2380" s="7">
        <v>46307</v>
      </c>
      <c r="Q2380" s="1" t="s">
        <v>330</v>
      </c>
      <c r="T2380" s="1" t="s">
        <v>718</v>
      </c>
      <c r="U2380" s="1" t="s">
        <v>719</v>
      </c>
      <c r="V2380" s="1">
        <v>1</v>
      </c>
      <c r="W2380" s="3">
        <v>13800</v>
      </c>
      <c r="X2380" s="3">
        <v>13800</v>
      </c>
      <c r="Y2380" s="1" t="str">
        <f>VLOOKUP(A2380,[1]Detalle!$D$2:$CR$484,93,FALSE)</f>
        <v>CENCOMLD - Cencosud SA - Mendoza</v>
      </c>
    </row>
    <row r="2381" spans="1:25" ht="14.25" customHeight="1" x14ac:dyDescent="0.3">
      <c r="A2381" s="1" t="s">
        <v>15</v>
      </c>
      <c r="B2381" s="1" t="s">
        <v>714</v>
      </c>
      <c r="C2381" s="1" t="s">
        <v>714</v>
      </c>
      <c r="D2381" s="1" t="s">
        <v>715</v>
      </c>
      <c r="E2381" s="1" t="s">
        <v>337</v>
      </c>
      <c r="N2381" s="7">
        <v>45947</v>
      </c>
      <c r="O2381" s="1">
        <v>180</v>
      </c>
      <c r="P2381" s="7">
        <v>46307</v>
      </c>
      <c r="Q2381" s="1" t="s">
        <v>330</v>
      </c>
      <c r="T2381" s="1" t="s">
        <v>616</v>
      </c>
      <c r="U2381" s="1" t="s">
        <v>617</v>
      </c>
      <c r="V2381" s="1">
        <v>4</v>
      </c>
      <c r="W2381" s="3">
        <v>3407.49</v>
      </c>
      <c r="X2381" s="3">
        <v>13629.96</v>
      </c>
      <c r="Y2381" s="1" t="str">
        <f>VLOOKUP(A2381,[1]Detalle!$D$2:$CR$484,93,FALSE)</f>
        <v>CENCOMLD - Cencosud SA - Mendoza</v>
      </c>
    </row>
    <row r="2382" spans="1:25" ht="14.25" customHeight="1" x14ac:dyDescent="0.3">
      <c r="A2382" s="1" t="s">
        <v>133</v>
      </c>
      <c r="B2382" s="1" t="s">
        <v>714</v>
      </c>
      <c r="C2382" s="1" t="s">
        <v>714</v>
      </c>
      <c r="D2382" s="1" t="s">
        <v>715</v>
      </c>
      <c r="E2382" s="1" t="s">
        <v>337</v>
      </c>
      <c r="N2382" s="7">
        <v>45947</v>
      </c>
      <c r="O2382" s="1">
        <v>180</v>
      </c>
      <c r="P2382" s="7">
        <v>46307</v>
      </c>
      <c r="Q2382" s="1" t="s">
        <v>330</v>
      </c>
      <c r="T2382" s="1" t="s">
        <v>716</v>
      </c>
      <c r="U2382" s="1" t="s">
        <v>717</v>
      </c>
      <c r="V2382" s="1">
        <v>1</v>
      </c>
      <c r="W2382" s="3">
        <v>17073.78</v>
      </c>
      <c r="X2382" s="3">
        <v>17073.78</v>
      </c>
      <c r="Y2382" s="1" t="str">
        <f>VLOOKUP(A2382,[1]Detalle!$D$2:$CR$484,93,FALSE)</f>
        <v>CENCOMLD - Cencosud SA - Mendoza</v>
      </c>
    </row>
    <row r="2383" spans="1:25" ht="14.25" customHeight="1" x14ac:dyDescent="0.3">
      <c r="A2383" s="1" t="s">
        <v>133</v>
      </c>
      <c r="B2383" s="1" t="s">
        <v>714</v>
      </c>
      <c r="C2383" s="1" t="s">
        <v>714</v>
      </c>
      <c r="D2383" s="1" t="s">
        <v>715</v>
      </c>
      <c r="E2383" s="1" t="s">
        <v>337</v>
      </c>
      <c r="N2383" s="7">
        <v>45947</v>
      </c>
      <c r="O2383" s="1">
        <v>180</v>
      </c>
      <c r="P2383" s="7">
        <v>46307</v>
      </c>
      <c r="Q2383" s="1" t="s">
        <v>330</v>
      </c>
      <c r="T2383" s="1" t="s">
        <v>718</v>
      </c>
      <c r="U2383" s="1" t="s">
        <v>719</v>
      </c>
      <c r="V2383" s="1">
        <v>1</v>
      </c>
      <c r="W2383" s="3">
        <v>13800</v>
      </c>
      <c r="X2383" s="3">
        <v>13800</v>
      </c>
      <c r="Y2383" s="1" t="str">
        <f>VLOOKUP(A2383,[1]Detalle!$D$2:$CR$484,93,FALSE)</f>
        <v>CENCOMLD - Cencosud SA - Mendoza</v>
      </c>
    </row>
    <row r="2384" spans="1:25" ht="14.25" customHeight="1" x14ac:dyDescent="0.3">
      <c r="A2384" s="1" t="s">
        <v>133</v>
      </c>
      <c r="B2384" s="1" t="s">
        <v>714</v>
      </c>
      <c r="C2384" s="1" t="s">
        <v>714</v>
      </c>
      <c r="D2384" s="1" t="s">
        <v>715</v>
      </c>
      <c r="E2384" s="1" t="s">
        <v>337</v>
      </c>
      <c r="N2384" s="7">
        <v>45947</v>
      </c>
      <c r="O2384" s="1">
        <v>180</v>
      </c>
      <c r="P2384" s="7">
        <v>46307</v>
      </c>
      <c r="Q2384" s="1" t="s">
        <v>330</v>
      </c>
      <c r="T2384" s="1" t="s">
        <v>616</v>
      </c>
      <c r="U2384" s="1" t="s">
        <v>617</v>
      </c>
      <c r="V2384" s="1">
        <v>4</v>
      </c>
      <c r="W2384" s="3">
        <v>3407.49</v>
      </c>
      <c r="X2384" s="3">
        <v>13629.96</v>
      </c>
      <c r="Y2384" s="1" t="str">
        <f>VLOOKUP(A2384,[1]Detalle!$D$2:$CR$484,93,FALSE)</f>
        <v>CENCOMLD - Cencosud SA - Mendoza</v>
      </c>
    </row>
    <row r="2385" spans="1:25" ht="14.25" customHeight="1" x14ac:dyDescent="0.3">
      <c r="A2385" s="1" t="s">
        <v>621</v>
      </c>
      <c r="B2385" s="1" t="s">
        <v>714</v>
      </c>
      <c r="C2385" s="1" t="s">
        <v>714</v>
      </c>
      <c r="D2385" s="1" t="s">
        <v>715</v>
      </c>
      <c r="E2385" s="1" t="s">
        <v>337</v>
      </c>
      <c r="N2385" s="7">
        <v>45947</v>
      </c>
      <c r="O2385" s="1">
        <v>180</v>
      </c>
      <c r="P2385" s="7">
        <v>46307</v>
      </c>
      <c r="Q2385" s="1" t="s">
        <v>330</v>
      </c>
      <c r="T2385" s="1" t="s">
        <v>716</v>
      </c>
      <c r="U2385" s="1" t="s">
        <v>717</v>
      </c>
      <c r="V2385" s="1">
        <v>1</v>
      </c>
      <c r="W2385" s="3">
        <v>17073.78</v>
      </c>
      <c r="X2385" s="3">
        <v>17073.78</v>
      </c>
      <c r="Y2385" s="1" t="str">
        <f>VLOOKUP(A2385,[1]Detalle!$D$2:$CR$484,93,FALSE)</f>
        <v>CENCOMLD - Cencosud SA - Mendoza</v>
      </c>
    </row>
    <row r="2386" spans="1:25" ht="14.25" customHeight="1" x14ac:dyDescent="0.3">
      <c r="A2386" s="1" t="s">
        <v>621</v>
      </c>
      <c r="B2386" s="1" t="s">
        <v>714</v>
      </c>
      <c r="C2386" s="1" t="s">
        <v>714</v>
      </c>
      <c r="D2386" s="1" t="s">
        <v>715</v>
      </c>
      <c r="E2386" s="1" t="s">
        <v>337</v>
      </c>
      <c r="N2386" s="7">
        <v>45947</v>
      </c>
      <c r="O2386" s="1">
        <v>180</v>
      </c>
      <c r="P2386" s="7">
        <v>46307</v>
      </c>
      <c r="Q2386" s="1" t="s">
        <v>330</v>
      </c>
      <c r="T2386" s="1" t="s">
        <v>718</v>
      </c>
      <c r="U2386" s="1" t="s">
        <v>719</v>
      </c>
      <c r="V2386" s="1">
        <v>1</v>
      </c>
      <c r="W2386" s="3">
        <v>13800</v>
      </c>
      <c r="X2386" s="3">
        <v>13800</v>
      </c>
      <c r="Y2386" s="1" t="str">
        <f>VLOOKUP(A2386,[1]Detalle!$D$2:$CR$484,93,FALSE)</f>
        <v>CENCOMLD - Cencosud SA - Mendoza</v>
      </c>
    </row>
    <row r="2387" spans="1:25" ht="14.25" customHeight="1" x14ac:dyDescent="0.3">
      <c r="A2387" s="1" t="s">
        <v>621</v>
      </c>
      <c r="B2387" s="1" t="s">
        <v>714</v>
      </c>
      <c r="C2387" s="1" t="s">
        <v>714</v>
      </c>
      <c r="D2387" s="1" t="s">
        <v>715</v>
      </c>
      <c r="E2387" s="1" t="s">
        <v>337</v>
      </c>
      <c r="N2387" s="7">
        <v>45947</v>
      </c>
      <c r="O2387" s="1">
        <v>180</v>
      </c>
      <c r="P2387" s="7">
        <v>46307</v>
      </c>
      <c r="Q2387" s="1" t="s">
        <v>330</v>
      </c>
      <c r="T2387" s="1" t="s">
        <v>616</v>
      </c>
      <c r="U2387" s="1" t="s">
        <v>617</v>
      </c>
      <c r="V2387" s="1">
        <v>4</v>
      </c>
      <c r="W2387" s="3">
        <v>3407.49</v>
      </c>
      <c r="X2387" s="3">
        <v>13629.96</v>
      </c>
      <c r="Y2387" s="1" t="str">
        <f>VLOOKUP(A2387,[1]Detalle!$D$2:$CR$484,93,FALSE)</f>
        <v>CENCOMLD - Cencosud SA - Mendoza</v>
      </c>
    </row>
    <row r="2388" spans="1:25" ht="14.25" customHeight="1" x14ac:dyDescent="0.3">
      <c r="A2388" s="1" t="s">
        <v>641</v>
      </c>
      <c r="B2388" s="1" t="s">
        <v>714</v>
      </c>
      <c r="C2388" s="1" t="s">
        <v>714</v>
      </c>
      <c r="D2388" s="1" t="s">
        <v>715</v>
      </c>
      <c r="E2388" s="1" t="s">
        <v>337</v>
      </c>
      <c r="N2388" s="7">
        <v>45947</v>
      </c>
      <c r="O2388" s="1">
        <v>180</v>
      </c>
      <c r="P2388" s="7">
        <v>46307</v>
      </c>
      <c r="Q2388" s="1" t="s">
        <v>330</v>
      </c>
      <c r="T2388" s="1" t="s">
        <v>716</v>
      </c>
      <c r="U2388" s="1" t="s">
        <v>717</v>
      </c>
      <c r="V2388" s="1">
        <v>1</v>
      </c>
      <c r="W2388" s="3">
        <v>17073.78</v>
      </c>
      <c r="X2388" s="3">
        <v>17073.78</v>
      </c>
      <c r="Y2388" s="1" t="str">
        <f>VLOOKUP(A2388,[1]Detalle!$D$2:$CR$484,93,FALSE)</f>
        <v>CENCOMLD - Cencosud SA - Mendoza</v>
      </c>
    </row>
    <row r="2389" spans="1:25" ht="14.25" customHeight="1" x14ac:dyDescent="0.3">
      <c r="A2389" s="1" t="s">
        <v>641</v>
      </c>
      <c r="B2389" s="1" t="s">
        <v>714</v>
      </c>
      <c r="C2389" s="1" t="s">
        <v>714</v>
      </c>
      <c r="D2389" s="1" t="s">
        <v>715</v>
      </c>
      <c r="E2389" s="1" t="s">
        <v>337</v>
      </c>
      <c r="N2389" s="7">
        <v>45947</v>
      </c>
      <c r="O2389" s="1">
        <v>180</v>
      </c>
      <c r="P2389" s="7">
        <v>46307</v>
      </c>
      <c r="Q2389" s="1" t="s">
        <v>330</v>
      </c>
      <c r="T2389" s="1" t="s">
        <v>718</v>
      </c>
      <c r="U2389" s="1" t="s">
        <v>719</v>
      </c>
      <c r="V2389" s="1">
        <v>1</v>
      </c>
      <c r="W2389" s="3">
        <v>13800</v>
      </c>
      <c r="X2389" s="3">
        <v>13800</v>
      </c>
      <c r="Y2389" s="1" t="str">
        <f>VLOOKUP(A2389,[1]Detalle!$D$2:$CR$484,93,FALSE)</f>
        <v>CENCOMLD - Cencosud SA - Mendoza</v>
      </c>
    </row>
    <row r="2390" spans="1:25" ht="14.25" customHeight="1" x14ac:dyDescent="0.3">
      <c r="A2390" s="1" t="s">
        <v>641</v>
      </c>
      <c r="B2390" s="1" t="s">
        <v>714</v>
      </c>
      <c r="C2390" s="1" t="s">
        <v>714</v>
      </c>
      <c r="D2390" s="1" t="s">
        <v>715</v>
      </c>
      <c r="E2390" s="1" t="s">
        <v>337</v>
      </c>
      <c r="N2390" s="7">
        <v>45947</v>
      </c>
      <c r="O2390" s="1">
        <v>180</v>
      </c>
      <c r="P2390" s="7">
        <v>46307</v>
      </c>
      <c r="Q2390" s="1" t="s">
        <v>330</v>
      </c>
      <c r="T2390" s="1" t="s">
        <v>616</v>
      </c>
      <c r="U2390" s="1" t="s">
        <v>617</v>
      </c>
      <c r="V2390" s="1">
        <v>4</v>
      </c>
      <c r="W2390" s="3">
        <v>3407.49</v>
      </c>
      <c r="X2390" s="3">
        <v>13629.96</v>
      </c>
      <c r="Y2390" s="1" t="str">
        <f>VLOOKUP(A2390,[1]Detalle!$D$2:$CR$484,93,FALSE)</f>
        <v>CENCOMLD - Cencosud SA - Mendoza</v>
      </c>
    </row>
    <row r="2391" spans="1:25" ht="14.25" customHeight="1" x14ac:dyDescent="0.3">
      <c r="A2391" s="1" t="s">
        <v>236</v>
      </c>
      <c r="B2391" s="1" t="s">
        <v>714</v>
      </c>
      <c r="C2391" s="1" t="s">
        <v>714</v>
      </c>
      <c r="D2391" s="1" t="s">
        <v>715</v>
      </c>
      <c r="E2391" s="1" t="s">
        <v>337</v>
      </c>
      <c r="N2391" s="7">
        <v>45947</v>
      </c>
      <c r="O2391" s="1">
        <v>180</v>
      </c>
      <c r="P2391" s="7">
        <v>46307</v>
      </c>
      <c r="Q2391" s="1" t="s">
        <v>330</v>
      </c>
      <c r="T2391" s="1" t="s">
        <v>716</v>
      </c>
      <c r="U2391" s="1" t="s">
        <v>717</v>
      </c>
      <c r="V2391" s="1">
        <v>1</v>
      </c>
      <c r="W2391" s="3">
        <v>17073.78</v>
      </c>
      <c r="X2391" s="3">
        <v>17073.78</v>
      </c>
      <c r="Y2391" s="1" t="str">
        <f>VLOOKUP(A2391,[1]Detalle!$D$2:$CR$484,93,FALSE)</f>
        <v>CENCOMLD - Cencosud SA - Mendoza</v>
      </c>
    </row>
    <row r="2392" spans="1:25" ht="14.25" customHeight="1" x14ac:dyDescent="0.3">
      <c r="A2392" s="1" t="s">
        <v>236</v>
      </c>
      <c r="B2392" s="1" t="s">
        <v>714</v>
      </c>
      <c r="C2392" s="1" t="s">
        <v>714</v>
      </c>
      <c r="D2392" s="1" t="s">
        <v>715</v>
      </c>
      <c r="E2392" s="1" t="s">
        <v>337</v>
      </c>
      <c r="N2392" s="7">
        <v>45947</v>
      </c>
      <c r="O2392" s="1">
        <v>180</v>
      </c>
      <c r="P2392" s="7">
        <v>46307</v>
      </c>
      <c r="Q2392" s="1" t="s">
        <v>330</v>
      </c>
      <c r="T2392" s="1" t="s">
        <v>718</v>
      </c>
      <c r="U2392" s="1" t="s">
        <v>719</v>
      </c>
      <c r="V2392" s="1">
        <v>1</v>
      </c>
      <c r="W2392" s="3">
        <v>13800</v>
      </c>
      <c r="X2392" s="3">
        <v>13800</v>
      </c>
      <c r="Y2392" s="1" t="str">
        <f>VLOOKUP(A2392,[1]Detalle!$D$2:$CR$484,93,FALSE)</f>
        <v>CENCOMLD - Cencosud SA - Mendoza</v>
      </c>
    </row>
    <row r="2393" spans="1:25" ht="14.25" customHeight="1" x14ac:dyDescent="0.3">
      <c r="A2393" s="1" t="s">
        <v>236</v>
      </c>
      <c r="B2393" s="1" t="s">
        <v>714</v>
      </c>
      <c r="C2393" s="1" t="s">
        <v>714</v>
      </c>
      <c r="D2393" s="1" t="s">
        <v>715</v>
      </c>
      <c r="E2393" s="1" t="s">
        <v>337</v>
      </c>
      <c r="N2393" s="7">
        <v>45947</v>
      </c>
      <c r="O2393" s="1">
        <v>180</v>
      </c>
      <c r="P2393" s="7">
        <v>46307</v>
      </c>
      <c r="Q2393" s="1" t="s">
        <v>330</v>
      </c>
      <c r="T2393" s="1" t="s">
        <v>616</v>
      </c>
      <c r="U2393" s="1" t="s">
        <v>617</v>
      </c>
      <c r="V2393" s="1">
        <v>4</v>
      </c>
      <c r="W2393" s="3">
        <v>3407.49</v>
      </c>
      <c r="X2393" s="3">
        <v>13629.96</v>
      </c>
      <c r="Y2393" s="1" t="str">
        <f>VLOOKUP(A2393,[1]Detalle!$D$2:$CR$484,93,FALSE)</f>
        <v>CENCOMLD - Cencosud SA - Mendoza</v>
      </c>
    </row>
    <row r="2394" spans="1:25" ht="14.25" customHeight="1" x14ac:dyDescent="0.3">
      <c r="A2394" s="1" t="s">
        <v>235</v>
      </c>
      <c r="B2394" s="1" t="s">
        <v>714</v>
      </c>
      <c r="C2394" s="1" t="s">
        <v>714</v>
      </c>
      <c r="D2394" s="1" t="s">
        <v>715</v>
      </c>
      <c r="E2394" s="1" t="s">
        <v>337</v>
      </c>
      <c r="N2394" s="7">
        <v>45947</v>
      </c>
      <c r="O2394" s="1">
        <v>180</v>
      </c>
      <c r="P2394" s="7">
        <v>46307</v>
      </c>
      <c r="Q2394" s="1" t="s">
        <v>330</v>
      </c>
      <c r="T2394" s="1" t="s">
        <v>716</v>
      </c>
      <c r="U2394" s="1" t="s">
        <v>717</v>
      </c>
      <c r="V2394" s="1">
        <v>1</v>
      </c>
      <c r="W2394" s="3">
        <v>17073.78</v>
      </c>
      <c r="X2394" s="3">
        <v>17073.78</v>
      </c>
      <c r="Y2394" s="1" t="str">
        <f>VLOOKUP(A2394,[1]Detalle!$D$2:$CR$484,93,FALSE)</f>
        <v>CENCOMLD - Cencosud SA - Mendoza</v>
      </c>
    </row>
    <row r="2395" spans="1:25" ht="14.25" customHeight="1" x14ac:dyDescent="0.3">
      <c r="A2395" s="1" t="s">
        <v>235</v>
      </c>
      <c r="B2395" s="1" t="s">
        <v>714</v>
      </c>
      <c r="C2395" s="1" t="s">
        <v>714</v>
      </c>
      <c r="D2395" s="1" t="s">
        <v>715</v>
      </c>
      <c r="E2395" s="1" t="s">
        <v>337</v>
      </c>
      <c r="N2395" s="7">
        <v>45947</v>
      </c>
      <c r="O2395" s="1">
        <v>180</v>
      </c>
      <c r="P2395" s="7">
        <v>46307</v>
      </c>
      <c r="Q2395" s="1" t="s">
        <v>330</v>
      </c>
      <c r="T2395" s="1" t="s">
        <v>718</v>
      </c>
      <c r="U2395" s="1" t="s">
        <v>719</v>
      </c>
      <c r="V2395" s="1">
        <v>1</v>
      </c>
      <c r="W2395" s="3">
        <v>13800</v>
      </c>
      <c r="X2395" s="3">
        <v>13800</v>
      </c>
      <c r="Y2395" s="1" t="str">
        <f>VLOOKUP(A2395,[1]Detalle!$D$2:$CR$484,93,FALSE)</f>
        <v>CENCOMLD - Cencosud SA - Mendoza</v>
      </c>
    </row>
    <row r="2396" spans="1:25" ht="14.25" customHeight="1" x14ac:dyDescent="0.3">
      <c r="A2396" s="1" t="s">
        <v>235</v>
      </c>
      <c r="B2396" s="1" t="s">
        <v>714</v>
      </c>
      <c r="C2396" s="1" t="s">
        <v>714</v>
      </c>
      <c r="D2396" s="1" t="s">
        <v>715</v>
      </c>
      <c r="E2396" s="1" t="s">
        <v>337</v>
      </c>
      <c r="N2396" s="7">
        <v>45947</v>
      </c>
      <c r="O2396" s="1">
        <v>180</v>
      </c>
      <c r="P2396" s="7">
        <v>46307</v>
      </c>
      <c r="Q2396" s="1" t="s">
        <v>330</v>
      </c>
      <c r="T2396" s="1" t="s">
        <v>616</v>
      </c>
      <c r="U2396" s="1" t="s">
        <v>617</v>
      </c>
      <c r="V2396" s="1">
        <v>4</v>
      </c>
      <c r="W2396" s="3">
        <v>3407.49</v>
      </c>
      <c r="X2396" s="3">
        <v>13629.96</v>
      </c>
      <c r="Y2396" s="1" t="str">
        <f>VLOOKUP(A2396,[1]Detalle!$D$2:$CR$484,93,FALSE)</f>
        <v>CENCOMLD - Cencosud SA - Mendoza</v>
      </c>
    </row>
    <row r="2397" spans="1:25" ht="14.25" customHeight="1" x14ac:dyDescent="0.3">
      <c r="A2397" s="1" t="s">
        <v>273</v>
      </c>
      <c r="B2397" s="1" t="s">
        <v>714</v>
      </c>
      <c r="C2397" s="1" t="s">
        <v>714</v>
      </c>
      <c r="D2397" s="1" t="s">
        <v>715</v>
      </c>
      <c r="E2397" s="1" t="s">
        <v>337</v>
      </c>
      <c r="N2397" s="7">
        <v>45947</v>
      </c>
      <c r="O2397" s="1">
        <v>180</v>
      </c>
      <c r="P2397" s="7">
        <v>46307</v>
      </c>
      <c r="Q2397" s="1" t="s">
        <v>330</v>
      </c>
      <c r="T2397" s="1" t="s">
        <v>716</v>
      </c>
      <c r="U2397" s="1" t="s">
        <v>717</v>
      </c>
      <c r="V2397" s="1">
        <v>1</v>
      </c>
      <c r="W2397" s="3">
        <v>17073.78</v>
      </c>
      <c r="X2397" s="3">
        <v>17073.78</v>
      </c>
      <c r="Y2397" s="1" t="str">
        <f>VLOOKUP(A2397,[1]Detalle!$D$2:$CR$484,93,FALSE)</f>
        <v>CENCO_MZ - Cencosud SA - Mendoza</v>
      </c>
    </row>
    <row r="2398" spans="1:25" ht="14.25" customHeight="1" x14ac:dyDescent="0.3">
      <c r="A2398" s="1" t="s">
        <v>273</v>
      </c>
      <c r="B2398" s="1" t="s">
        <v>714</v>
      </c>
      <c r="C2398" s="1" t="s">
        <v>714</v>
      </c>
      <c r="D2398" s="1" t="s">
        <v>715</v>
      </c>
      <c r="E2398" s="1" t="s">
        <v>337</v>
      </c>
      <c r="N2398" s="7">
        <v>45947</v>
      </c>
      <c r="O2398" s="1">
        <v>180</v>
      </c>
      <c r="P2398" s="7">
        <v>46307</v>
      </c>
      <c r="Q2398" s="1" t="s">
        <v>330</v>
      </c>
      <c r="T2398" s="1" t="s">
        <v>718</v>
      </c>
      <c r="U2398" s="1" t="s">
        <v>719</v>
      </c>
      <c r="V2398" s="1">
        <v>1</v>
      </c>
      <c r="W2398" s="3">
        <v>13800</v>
      </c>
      <c r="X2398" s="3">
        <v>13800</v>
      </c>
      <c r="Y2398" s="1" t="str">
        <f>VLOOKUP(A2398,[1]Detalle!$D$2:$CR$484,93,FALSE)</f>
        <v>CENCO_MZ - Cencosud SA - Mendoza</v>
      </c>
    </row>
    <row r="2399" spans="1:25" ht="14.25" customHeight="1" x14ac:dyDescent="0.3">
      <c r="A2399" s="1" t="s">
        <v>273</v>
      </c>
      <c r="B2399" s="1" t="s">
        <v>714</v>
      </c>
      <c r="C2399" s="1" t="s">
        <v>714</v>
      </c>
      <c r="D2399" s="1" t="s">
        <v>715</v>
      </c>
      <c r="E2399" s="1" t="s">
        <v>337</v>
      </c>
      <c r="N2399" s="7">
        <v>45947</v>
      </c>
      <c r="O2399" s="1">
        <v>180</v>
      </c>
      <c r="P2399" s="7">
        <v>46307</v>
      </c>
      <c r="Q2399" s="1" t="s">
        <v>330</v>
      </c>
      <c r="T2399" s="1" t="s">
        <v>616</v>
      </c>
      <c r="U2399" s="1" t="s">
        <v>617</v>
      </c>
      <c r="V2399" s="1">
        <v>4</v>
      </c>
      <c r="W2399" s="3">
        <v>3407.49</v>
      </c>
      <c r="X2399" s="3">
        <v>13629.96</v>
      </c>
      <c r="Y2399" s="1" t="str">
        <f>VLOOKUP(A2399,[1]Detalle!$D$2:$CR$484,93,FALSE)</f>
        <v>CENCO_MZ - Cencosud SA - Mendoza</v>
      </c>
    </row>
    <row r="2400" spans="1:25" ht="14.25" customHeight="1" x14ac:dyDescent="0.3">
      <c r="A2400" s="1" t="s">
        <v>646</v>
      </c>
      <c r="B2400" s="1" t="s">
        <v>714</v>
      </c>
      <c r="C2400" s="1" t="s">
        <v>714</v>
      </c>
      <c r="D2400" s="1" t="s">
        <v>715</v>
      </c>
      <c r="E2400" s="1" t="s">
        <v>337</v>
      </c>
      <c r="N2400" s="7">
        <v>45947</v>
      </c>
      <c r="O2400" s="1">
        <v>180</v>
      </c>
      <c r="P2400" s="7">
        <v>46307</v>
      </c>
      <c r="Q2400" s="1" t="s">
        <v>330</v>
      </c>
      <c r="T2400" s="1" t="s">
        <v>716</v>
      </c>
      <c r="U2400" s="1" t="s">
        <v>717</v>
      </c>
      <c r="V2400" s="1">
        <v>1</v>
      </c>
      <c r="W2400" s="3">
        <v>17073.78</v>
      </c>
      <c r="X2400" s="3">
        <v>17073.78</v>
      </c>
      <c r="Y2400" s="1" t="str">
        <f>VLOOKUP(A2400,[1]Detalle!$D$2:$CR$484,93,FALSE)</f>
        <v>CENCOMLD - Cencosud SA - Mendoza</v>
      </c>
    </row>
    <row r="2401" spans="1:25" ht="14.25" customHeight="1" x14ac:dyDescent="0.3">
      <c r="A2401" s="1" t="s">
        <v>646</v>
      </c>
      <c r="B2401" s="1" t="s">
        <v>714</v>
      </c>
      <c r="C2401" s="1" t="s">
        <v>714</v>
      </c>
      <c r="D2401" s="1" t="s">
        <v>715</v>
      </c>
      <c r="E2401" s="1" t="s">
        <v>337</v>
      </c>
      <c r="N2401" s="7">
        <v>45947</v>
      </c>
      <c r="O2401" s="1">
        <v>180</v>
      </c>
      <c r="P2401" s="7">
        <v>46307</v>
      </c>
      <c r="Q2401" s="1" t="s">
        <v>330</v>
      </c>
      <c r="T2401" s="1" t="s">
        <v>718</v>
      </c>
      <c r="U2401" s="1" t="s">
        <v>719</v>
      </c>
      <c r="V2401" s="1">
        <v>1</v>
      </c>
      <c r="W2401" s="3">
        <v>13800</v>
      </c>
      <c r="X2401" s="3">
        <v>13800</v>
      </c>
      <c r="Y2401" s="1" t="str">
        <f>VLOOKUP(A2401,[1]Detalle!$D$2:$CR$484,93,FALSE)</f>
        <v>CENCOMLD - Cencosud SA - Mendoza</v>
      </c>
    </row>
    <row r="2402" spans="1:25" ht="14.25" customHeight="1" x14ac:dyDescent="0.3">
      <c r="A2402" s="1" t="s">
        <v>646</v>
      </c>
      <c r="B2402" s="1" t="s">
        <v>714</v>
      </c>
      <c r="C2402" s="1" t="s">
        <v>714</v>
      </c>
      <c r="D2402" s="1" t="s">
        <v>715</v>
      </c>
      <c r="E2402" s="1" t="s">
        <v>337</v>
      </c>
      <c r="N2402" s="7">
        <v>45947</v>
      </c>
      <c r="O2402" s="1">
        <v>180</v>
      </c>
      <c r="P2402" s="7">
        <v>46307</v>
      </c>
      <c r="Q2402" s="1" t="s">
        <v>330</v>
      </c>
      <c r="T2402" s="1" t="s">
        <v>616</v>
      </c>
      <c r="U2402" s="1" t="s">
        <v>617</v>
      </c>
      <c r="V2402" s="1">
        <v>4</v>
      </c>
      <c r="W2402" s="3">
        <v>3407.49</v>
      </c>
      <c r="X2402" s="3">
        <v>13629.96</v>
      </c>
      <c r="Y2402" s="1" t="str">
        <f>VLOOKUP(A2402,[1]Detalle!$D$2:$CR$484,93,FALSE)</f>
        <v>CENCOMLD - Cencosud SA - Mendoza</v>
      </c>
    </row>
    <row r="2403" spans="1:25" ht="14.25" customHeight="1" x14ac:dyDescent="0.3">
      <c r="A2403" s="1" t="s">
        <v>647</v>
      </c>
      <c r="B2403" s="1" t="s">
        <v>714</v>
      </c>
      <c r="C2403" s="1" t="s">
        <v>714</v>
      </c>
      <c r="D2403" s="1" t="s">
        <v>715</v>
      </c>
      <c r="E2403" s="1" t="s">
        <v>337</v>
      </c>
      <c r="N2403" s="7">
        <v>45947</v>
      </c>
      <c r="O2403" s="1">
        <v>180</v>
      </c>
      <c r="P2403" s="7">
        <v>46307</v>
      </c>
      <c r="Q2403" s="1" t="s">
        <v>330</v>
      </c>
      <c r="T2403" s="1" t="s">
        <v>716</v>
      </c>
      <c r="U2403" s="1" t="s">
        <v>717</v>
      </c>
      <c r="V2403" s="1">
        <v>1</v>
      </c>
      <c r="W2403" s="3">
        <v>17073.78</v>
      </c>
      <c r="X2403" s="3">
        <v>17073.78</v>
      </c>
      <c r="Y2403" s="1" t="str">
        <f>VLOOKUP(A2403,[1]Detalle!$D$2:$CR$484,93,FALSE)</f>
        <v>CENCOMLD - Cencosud SA - Mendoza</v>
      </c>
    </row>
    <row r="2404" spans="1:25" ht="14.25" customHeight="1" x14ac:dyDescent="0.3">
      <c r="A2404" s="1" t="s">
        <v>647</v>
      </c>
      <c r="B2404" s="1" t="s">
        <v>714</v>
      </c>
      <c r="C2404" s="1" t="s">
        <v>714</v>
      </c>
      <c r="D2404" s="1" t="s">
        <v>715</v>
      </c>
      <c r="E2404" s="1" t="s">
        <v>337</v>
      </c>
      <c r="N2404" s="7">
        <v>45947</v>
      </c>
      <c r="O2404" s="1">
        <v>180</v>
      </c>
      <c r="P2404" s="7">
        <v>46307</v>
      </c>
      <c r="Q2404" s="1" t="s">
        <v>330</v>
      </c>
      <c r="T2404" s="1" t="s">
        <v>718</v>
      </c>
      <c r="U2404" s="1" t="s">
        <v>719</v>
      </c>
      <c r="V2404" s="1">
        <v>1</v>
      </c>
      <c r="W2404" s="3">
        <v>13800</v>
      </c>
      <c r="X2404" s="3">
        <v>13800</v>
      </c>
      <c r="Y2404" s="1" t="str">
        <f>VLOOKUP(A2404,[1]Detalle!$D$2:$CR$484,93,FALSE)</f>
        <v>CENCOMLD - Cencosud SA - Mendoza</v>
      </c>
    </row>
    <row r="2405" spans="1:25" ht="14.25" customHeight="1" x14ac:dyDescent="0.3">
      <c r="A2405" s="1" t="s">
        <v>647</v>
      </c>
      <c r="B2405" s="1" t="s">
        <v>714</v>
      </c>
      <c r="C2405" s="1" t="s">
        <v>714</v>
      </c>
      <c r="D2405" s="1" t="s">
        <v>715</v>
      </c>
      <c r="E2405" s="1" t="s">
        <v>337</v>
      </c>
      <c r="N2405" s="7">
        <v>45947</v>
      </c>
      <c r="O2405" s="1">
        <v>180</v>
      </c>
      <c r="P2405" s="7">
        <v>46307</v>
      </c>
      <c r="Q2405" s="1" t="s">
        <v>330</v>
      </c>
      <c r="T2405" s="1" t="s">
        <v>616</v>
      </c>
      <c r="U2405" s="1" t="s">
        <v>617</v>
      </c>
      <c r="V2405" s="1">
        <v>4</v>
      </c>
      <c r="W2405" s="3">
        <v>3407.49</v>
      </c>
      <c r="X2405" s="3">
        <v>13629.96</v>
      </c>
      <c r="Y2405" s="1" t="str">
        <f>VLOOKUP(A2405,[1]Detalle!$D$2:$CR$484,93,FALSE)</f>
        <v>CENCOMLD - Cencosud SA - Mendoza</v>
      </c>
    </row>
    <row r="2406" spans="1:25" ht="14.25" customHeight="1" x14ac:dyDescent="0.3">
      <c r="A2406" s="1" t="s">
        <v>648</v>
      </c>
      <c r="B2406" s="1" t="s">
        <v>714</v>
      </c>
      <c r="C2406" s="1" t="s">
        <v>714</v>
      </c>
      <c r="D2406" s="1" t="s">
        <v>715</v>
      </c>
      <c r="E2406" s="1" t="s">
        <v>337</v>
      </c>
      <c r="N2406" s="7">
        <v>45947</v>
      </c>
      <c r="O2406" s="1">
        <v>180</v>
      </c>
      <c r="P2406" s="7">
        <v>46307</v>
      </c>
      <c r="Q2406" s="1" t="s">
        <v>330</v>
      </c>
      <c r="T2406" s="1" t="s">
        <v>716</v>
      </c>
      <c r="U2406" s="1" t="s">
        <v>717</v>
      </c>
      <c r="V2406" s="1">
        <v>1</v>
      </c>
      <c r="W2406" s="3">
        <v>17073.78</v>
      </c>
      <c r="X2406" s="3">
        <v>17073.78</v>
      </c>
      <c r="Y2406" s="1" t="str">
        <f>VLOOKUP(A2406,[1]Detalle!$D$2:$CR$484,93,FALSE)</f>
        <v>CENCOMLD - Cencosud SA - Mendoza</v>
      </c>
    </row>
    <row r="2407" spans="1:25" ht="14.25" customHeight="1" x14ac:dyDescent="0.3">
      <c r="A2407" s="1" t="s">
        <v>648</v>
      </c>
      <c r="B2407" s="1" t="s">
        <v>714</v>
      </c>
      <c r="C2407" s="1" t="s">
        <v>714</v>
      </c>
      <c r="D2407" s="1" t="s">
        <v>715</v>
      </c>
      <c r="E2407" s="1" t="s">
        <v>337</v>
      </c>
      <c r="N2407" s="7">
        <v>45947</v>
      </c>
      <c r="O2407" s="1">
        <v>180</v>
      </c>
      <c r="P2407" s="7">
        <v>46307</v>
      </c>
      <c r="Q2407" s="1" t="s">
        <v>330</v>
      </c>
      <c r="T2407" s="1" t="s">
        <v>718</v>
      </c>
      <c r="U2407" s="1" t="s">
        <v>719</v>
      </c>
      <c r="V2407" s="1">
        <v>1</v>
      </c>
      <c r="W2407" s="3">
        <v>13800</v>
      </c>
      <c r="X2407" s="3">
        <v>13800</v>
      </c>
      <c r="Y2407" s="1" t="str">
        <f>VLOOKUP(A2407,[1]Detalle!$D$2:$CR$484,93,FALSE)</f>
        <v>CENCOMLD - Cencosud SA - Mendoza</v>
      </c>
    </row>
    <row r="2408" spans="1:25" ht="14.25" customHeight="1" x14ac:dyDescent="0.3">
      <c r="A2408" s="1" t="s">
        <v>648</v>
      </c>
      <c r="B2408" s="1" t="s">
        <v>714</v>
      </c>
      <c r="C2408" s="1" t="s">
        <v>714</v>
      </c>
      <c r="D2408" s="1" t="s">
        <v>715</v>
      </c>
      <c r="E2408" s="1" t="s">
        <v>337</v>
      </c>
      <c r="N2408" s="7">
        <v>45947</v>
      </c>
      <c r="O2408" s="1">
        <v>180</v>
      </c>
      <c r="P2408" s="7">
        <v>46307</v>
      </c>
      <c r="Q2408" s="1" t="s">
        <v>330</v>
      </c>
      <c r="T2408" s="1" t="s">
        <v>616</v>
      </c>
      <c r="U2408" s="1" t="s">
        <v>617</v>
      </c>
      <c r="V2408" s="1">
        <v>4</v>
      </c>
      <c r="W2408" s="3">
        <v>3407.49</v>
      </c>
      <c r="X2408" s="3">
        <v>13629.96</v>
      </c>
      <c r="Y2408" s="1" t="str">
        <f>VLOOKUP(A2408,[1]Detalle!$D$2:$CR$484,93,FALSE)</f>
        <v>CENCOMLD - Cencosud SA - Mendoza</v>
      </c>
    </row>
    <row r="2409" spans="1:25" ht="14.25" customHeight="1" x14ac:dyDescent="0.3">
      <c r="A2409" s="1" t="s">
        <v>143</v>
      </c>
      <c r="B2409" s="1" t="s">
        <v>714</v>
      </c>
      <c r="C2409" s="1" t="s">
        <v>714</v>
      </c>
      <c r="D2409" s="1" t="s">
        <v>715</v>
      </c>
      <c r="E2409" s="1" t="s">
        <v>337</v>
      </c>
      <c r="F2409" s="1">
        <v>713216</v>
      </c>
      <c r="G2409" s="1">
        <v>713396</v>
      </c>
      <c r="H2409" s="1">
        <v>0</v>
      </c>
      <c r="I2409" s="1">
        <v>180</v>
      </c>
      <c r="J2409" s="1">
        <v>713216</v>
      </c>
      <c r="K2409" s="1">
        <v>142</v>
      </c>
      <c r="L2409" s="1">
        <v>100</v>
      </c>
      <c r="M2409" s="1">
        <v>1.8</v>
      </c>
      <c r="N2409" s="7">
        <v>45947</v>
      </c>
      <c r="O2409" s="1">
        <v>180</v>
      </c>
      <c r="P2409" s="7">
        <v>46307</v>
      </c>
      <c r="Q2409" s="1" t="s">
        <v>330</v>
      </c>
      <c r="T2409" s="1" t="s">
        <v>716</v>
      </c>
      <c r="U2409" s="1" t="s">
        <v>717</v>
      </c>
      <c r="V2409" s="1">
        <v>1</v>
      </c>
      <c r="W2409" s="3">
        <v>17073.78</v>
      </c>
      <c r="X2409" s="3">
        <v>17073.78</v>
      </c>
      <c r="Y2409" s="1" t="str">
        <f>VLOOKUP(A2409,[1]Detalle!$D$2:$CR$484,93,FALSE)</f>
        <v>Arcor S.A.I.C.</v>
      </c>
    </row>
    <row r="2410" spans="1:25" ht="14.25" customHeight="1" x14ac:dyDescent="0.3">
      <c r="A2410" s="1" t="s">
        <v>143</v>
      </c>
      <c r="B2410" s="1" t="s">
        <v>714</v>
      </c>
      <c r="C2410" s="1" t="s">
        <v>714</v>
      </c>
      <c r="D2410" s="1" t="s">
        <v>715</v>
      </c>
      <c r="E2410" s="1" t="s">
        <v>337</v>
      </c>
      <c r="F2410" s="1">
        <v>713216</v>
      </c>
      <c r="G2410" s="1">
        <v>713396</v>
      </c>
      <c r="H2410" s="1">
        <v>0</v>
      </c>
      <c r="I2410" s="1">
        <v>180</v>
      </c>
      <c r="J2410" s="1">
        <v>713216</v>
      </c>
      <c r="K2410" s="1">
        <v>142</v>
      </c>
      <c r="L2410" s="1">
        <v>100</v>
      </c>
      <c r="M2410" s="1">
        <v>1.8</v>
      </c>
      <c r="N2410" s="7">
        <v>45947</v>
      </c>
      <c r="O2410" s="1">
        <v>180</v>
      </c>
      <c r="P2410" s="7">
        <v>46307</v>
      </c>
      <c r="Q2410" s="1" t="s">
        <v>330</v>
      </c>
      <c r="T2410" s="1" t="s">
        <v>718</v>
      </c>
      <c r="U2410" s="1" t="s">
        <v>719</v>
      </c>
      <c r="V2410" s="1">
        <v>1</v>
      </c>
      <c r="W2410" s="3">
        <v>13800</v>
      </c>
      <c r="X2410" s="3">
        <v>13800</v>
      </c>
      <c r="Y2410" s="1" t="str">
        <f>VLOOKUP(A2410,[1]Detalle!$D$2:$CR$484,93,FALSE)</f>
        <v>Arcor S.A.I.C.</v>
      </c>
    </row>
    <row r="2411" spans="1:25" ht="14.25" customHeight="1" x14ac:dyDescent="0.3">
      <c r="A2411" s="1" t="s">
        <v>143</v>
      </c>
      <c r="B2411" s="1" t="s">
        <v>714</v>
      </c>
      <c r="C2411" s="1" t="s">
        <v>714</v>
      </c>
      <c r="D2411" s="1" t="s">
        <v>715</v>
      </c>
      <c r="E2411" s="1" t="s">
        <v>337</v>
      </c>
      <c r="F2411" s="1">
        <v>713216</v>
      </c>
      <c r="G2411" s="1">
        <v>713396</v>
      </c>
      <c r="H2411" s="1">
        <v>0</v>
      </c>
      <c r="I2411" s="1">
        <v>180</v>
      </c>
      <c r="J2411" s="1">
        <v>713216</v>
      </c>
      <c r="K2411" s="1">
        <v>142</v>
      </c>
      <c r="L2411" s="1">
        <v>100</v>
      </c>
      <c r="M2411" s="1">
        <v>1.8</v>
      </c>
      <c r="N2411" s="7">
        <v>45947</v>
      </c>
      <c r="O2411" s="1">
        <v>180</v>
      </c>
      <c r="P2411" s="7">
        <v>46307</v>
      </c>
      <c r="Q2411" s="1" t="s">
        <v>330</v>
      </c>
      <c r="T2411" s="1" t="s">
        <v>616</v>
      </c>
      <c r="U2411" s="1" t="s">
        <v>617</v>
      </c>
      <c r="V2411" s="1">
        <v>4</v>
      </c>
      <c r="W2411" s="3">
        <v>3407.49</v>
      </c>
      <c r="X2411" s="3">
        <v>13629.96</v>
      </c>
      <c r="Y2411" s="1" t="str">
        <f>VLOOKUP(A2411,[1]Detalle!$D$2:$CR$484,93,FALSE)</f>
        <v>Arcor S.A.I.C.</v>
      </c>
    </row>
    <row r="2412" spans="1:25" ht="14.25" customHeight="1" x14ac:dyDescent="0.3">
      <c r="A2412" s="1" t="s">
        <v>697</v>
      </c>
      <c r="B2412" s="1" t="s">
        <v>714</v>
      </c>
      <c r="C2412" s="1" t="s">
        <v>714</v>
      </c>
      <c r="D2412" s="1" t="s">
        <v>715</v>
      </c>
      <c r="E2412" s="1" t="s">
        <v>337</v>
      </c>
      <c r="F2412" s="1">
        <v>23956.1</v>
      </c>
      <c r="G2412" s="1">
        <v>24136.1</v>
      </c>
      <c r="H2412" s="1">
        <v>12105.600000000009</v>
      </c>
      <c r="I2412" s="1">
        <v>-11925.600000000009</v>
      </c>
      <c r="J2412" s="1">
        <v>36061.699999999997</v>
      </c>
      <c r="K2412" s="1">
        <v>141</v>
      </c>
      <c r="L2412" s="1">
        <v>85.855319148936218</v>
      </c>
      <c r="M2412" s="1">
        <v>-138.90344964314039</v>
      </c>
      <c r="N2412" s="7">
        <v>45947</v>
      </c>
      <c r="O2412" s="1">
        <v>180</v>
      </c>
      <c r="P2412" s="7">
        <v>46307</v>
      </c>
      <c r="Q2412" s="1" t="s">
        <v>330</v>
      </c>
      <c r="T2412" s="1" t="s">
        <v>716</v>
      </c>
      <c r="U2412" s="1" t="s">
        <v>717</v>
      </c>
      <c r="V2412" s="1">
        <v>1</v>
      </c>
      <c r="W2412" s="3">
        <v>17073.78</v>
      </c>
      <c r="X2412" s="3">
        <v>17073.78</v>
      </c>
      <c r="Y2412" s="1" t="str">
        <f>VLOOKUP(A2412,[1]Detalle!$D$2:$CR$484,93,FALSE)</f>
        <v>Arcor S.A.I.C.</v>
      </c>
    </row>
    <row r="2413" spans="1:25" ht="14.25" customHeight="1" x14ac:dyDescent="0.3">
      <c r="A2413" s="1" t="s">
        <v>697</v>
      </c>
      <c r="B2413" s="1" t="s">
        <v>714</v>
      </c>
      <c r="C2413" s="1" t="s">
        <v>714</v>
      </c>
      <c r="D2413" s="1" t="s">
        <v>715</v>
      </c>
      <c r="E2413" s="1" t="s">
        <v>337</v>
      </c>
      <c r="F2413" s="1">
        <v>23956.1</v>
      </c>
      <c r="G2413" s="1">
        <v>24136.1</v>
      </c>
      <c r="H2413" s="1">
        <v>12105.600000000009</v>
      </c>
      <c r="I2413" s="1">
        <v>-11925.600000000009</v>
      </c>
      <c r="J2413" s="1">
        <v>36061.699999999997</v>
      </c>
      <c r="K2413" s="1">
        <v>141</v>
      </c>
      <c r="L2413" s="1">
        <v>85.855319148936218</v>
      </c>
      <c r="M2413" s="1">
        <v>-138.90344964314039</v>
      </c>
      <c r="N2413" s="7">
        <v>45947</v>
      </c>
      <c r="O2413" s="1">
        <v>180</v>
      </c>
      <c r="P2413" s="7">
        <v>46307</v>
      </c>
      <c r="Q2413" s="1" t="s">
        <v>330</v>
      </c>
      <c r="T2413" s="1" t="s">
        <v>718</v>
      </c>
      <c r="U2413" s="1" t="s">
        <v>719</v>
      </c>
      <c r="V2413" s="1">
        <v>1</v>
      </c>
      <c r="W2413" s="3">
        <v>13800</v>
      </c>
      <c r="X2413" s="3">
        <v>13800</v>
      </c>
      <c r="Y2413" s="1" t="str">
        <f>VLOOKUP(A2413,[1]Detalle!$D$2:$CR$484,93,FALSE)</f>
        <v>Arcor S.A.I.C.</v>
      </c>
    </row>
    <row r="2414" spans="1:25" ht="14.25" customHeight="1" x14ac:dyDescent="0.3">
      <c r="A2414" s="1" t="s">
        <v>697</v>
      </c>
      <c r="B2414" s="1" t="s">
        <v>714</v>
      </c>
      <c r="C2414" s="1" t="s">
        <v>714</v>
      </c>
      <c r="D2414" s="1" t="s">
        <v>715</v>
      </c>
      <c r="E2414" s="1" t="s">
        <v>337</v>
      </c>
      <c r="F2414" s="1">
        <v>23956.1</v>
      </c>
      <c r="G2414" s="1">
        <v>24136.1</v>
      </c>
      <c r="H2414" s="1">
        <v>12105.600000000009</v>
      </c>
      <c r="I2414" s="1">
        <v>-11925.600000000009</v>
      </c>
      <c r="J2414" s="1">
        <v>36061.699999999997</v>
      </c>
      <c r="K2414" s="1">
        <v>141</v>
      </c>
      <c r="L2414" s="1">
        <v>85.855319148936218</v>
      </c>
      <c r="M2414" s="1">
        <v>-138.90344964314039</v>
      </c>
      <c r="N2414" s="7">
        <v>45947</v>
      </c>
      <c r="O2414" s="1">
        <v>180</v>
      </c>
      <c r="P2414" s="7">
        <v>46307</v>
      </c>
      <c r="Q2414" s="1" t="s">
        <v>330</v>
      </c>
      <c r="T2414" s="1" t="s">
        <v>616</v>
      </c>
      <c r="U2414" s="1" t="s">
        <v>617</v>
      </c>
      <c r="V2414" s="1">
        <v>4</v>
      </c>
      <c r="W2414" s="3">
        <v>3407.49</v>
      </c>
      <c r="X2414" s="3">
        <v>13629.96</v>
      </c>
      <c r="Y2414" s="1" t="str">
        <f>VLOOKUP(A2414,[1]Detalle!$D$2:$CR$484,93,FALSE)</f>
        <v>Arcor S.A.I.C.</v>
      </c>
    </row>
    <row r="2415" spans="1:25" ht="14.25" customHeight="1" x14ac:dyDescent="0.3">
      <c r="A2415" s="1" t="s">
        <v>698</v>
      </c>
      <c r="B2415" s="1" t="s">
        <v>714</v>
      </c>
      <c r="C2415" s="1" t="s">
        <v>714</v>
      </c>
      <c r="D2415" s="1" t="s">
        <v>715</v>
      </c>
      <c r="E2415" s="1" t="s">
        <v>337</v>
      </c>
      <c r="F2415" s="1">
        <v>26656.799999999999</v>
      </c>
      <c r="G2415" s="1">
        <v>26836.799999999999</v>
      </c>
      <c r="H2415" s="1">
        <v>12148.2</v>
      </c>
      <c r="I2415" s="1">
        <v>-11968.2</v>
      </c>
      <c r="J2415" s="1">
        <v>38804.999999999993</v>
      </c>
      <c r="K2415" s="1">
        <v>140</v>
      </c>
      <c r="L2415" s="1">
        <v>86.772857142857106</v>
      </c>
      <c r="M2415" s="1">
        <v>-137.92561861016449</v>
      </c>
      <c r="N2415" s="7">
        <v>45947</v>
      </c>
      <c r="O2415" s="1">
        <v>180</v>
      </c>
      <c r="P2415" s="7">
        <v>46307</v>
      </c>
      <c r="Q2415" s="1" t="s">
        <v>330</v>
      </c>
      <c r="T2415" s="1" t="s">
        <v>716</v>
      </c>
      <c r="U2415" s="1" t="s">
        <v>717</v>
      </c>
      <c r="V2415" s="1">
        <v>1</v>
      </c>
      <c r="W2415" s="3">
        <v>17073.78</v>
      </c>
      <c r="X2415" s="3">
        <v>17073.78</v>
      </c>
      <c r="Y2415" s="1" t="str">
        <f>VLOOKUP(A2415,[1]Detalle!$D$2:$CR$484,93,FALSE)</f>
        <v>Arcor S.A.I.C.</v>
      </c>
    </row>
    <row r="2416" spans="1:25" ht="14.25" customHeight="1" x14ac:dyDescent="0.3">
      <c r="A2416" s="1" t="s">
        <v>698</v>
      </c>
      <c r="B2416" s="1" t="s">
        <v>714</v>
      </c>
      <c r="C2416" s="1" t="s">
        <v>714</v>
      </c>
      <c r="D2416" s="1" t="s">
        <v>715</v>
      </c>
      <c r="E2416" s="1" t="s">
        <v>337</v>
      </c>
      <c r="F2416" s="1">
        <v>26656.799999999999</v>
      </c>
      <c r="G2416" s="1">
        <v>26836.799999999999</v>
      </c>
      <c r="H2416" s="1">
        <v>12148.2</v>
      </c>
      <c r="I2416" s="1">
        <v>-11968.2</v>
      </c>
      <c r="J2416" s="1">
        <v>38804.999999999993</v>
      </c>
      <c r="K2416" s="1">
        <v>140</v>
      </c>
      <c r="L2416" s="1">
        <v>86.772857142857106</v>
      </c>
      <c r="M2416" s="1">
        <v>-137.92561861016449</v>
      </c>
      <c r="N2416" s="7">
        <v>45947</v>
      </c>
      <c r="O2416" s="1">
        <v>180</v>
      </c>
      <c r="P2416" s="7">
        <v>46307</v>
      </c>
      <c r="Q2416" s="1" t="s">
        <v>330</v>
      </c>
      <c r="T2416" s="1" t="s">
        <v>718</v>
      </c>
      <c r="U2416" s="1" t="s">
        <v>719</v>
      </c>
      <c r="V2416" s="1">
        <v>1</v>
      </c>
      <c r="W2416" s="3">
        <v>13800</v>
      </c>
      <c r="X2416" s="3">
        <v>13800</v>
      </c>
      <c r="Y2416" s="1" t="str">
        <f>VLOOKUP(A2416,[1]Detalle!$D$2:$CR$484,93,FALSE)</f>
        <v>Arcor S.A.I.C.</v>
      </c>
    </row>
    <row r="2417" spans="1:25" ht="14.25" customHeight="1" x14ac:dyDescent="0.3">
      <c r="A2417" s="1" t="s">
        <v>698</v>
      </c>
      <c r="B2417" s="1" t="s">
        <v>714</v>
      </c>
      <c r="C2417" s="1" t="s">
        <v>714</v>
      </c>
      <c r="D2417" s="1" t="s">
        <v>715</v>
      </c>
      <c r="E2417" s="1" t="s">
        <v>337</v>
      </c>
      <c r="F2417" s="1">
        <v>26656.799999999999</v>
      </c>
      <c r="G2417" s="1">
        <v>26836.799999999999</v>
      </c>
      <c r="H2417" s="1">
        <v>12148.2</v>
      </c>
      <c r="I2417" s="1">
        <v>-11968.2</v>
      </c>
      <c r="J2417" s="1">
        <v>38804.999999999993</v>
      </c>
      <c r="K2417" s="1">
        <v>140</v>
      </c>
      <c r="L2417" s="1">
        <v>86.772857142857106</v>
      </c>
      <c r="M2417" s="1">
        <v>-137.92561861016449</v>
      </c>
      <c r="N2417" s="7">
        <v>45947</v>
      </c>
      <c r="O2417" s="1">
        <v>180</v>
      </c>
      <c r="P2417" s="7">
        <v>46307</v>
      </c>
      <c r="Q2417" s="1" t="s">
        <v>330</v>
      </c>
      <c r="T2417" s="1" t="s">
        <v>616</v>
      </c>
      <c r="U2417" s="1" t="s">
        <v>617</v>
      </c>
      <c r="V2417" s="1">
        <v>4</v>
      </c>
      <c r="W2417" s="3">
        <v>3407.49</v>
      </c>
      <c r="X2417" s="3">
        <v>13629.96</v>
      </c>
      <c r="Y2417" s="1" t="str">
        <f>VLOOKUP(A2417,[1]Detalle!$D$2:$CR$484,93,FALSE)</f>
        <v>Arcor S.A.I.C.</v>
      </c>
    </row>
    <row r="2418" spans="1:25" ht="14.25" customHeight="1" x14ac:dyDescent="0.3">
      <c r="A2418" s="1" t="s">
        <v>105</v>
      </c>
      <c r="B2418" s="1" t="s">
        <v>328</v>
      </c>
      <c r="C2418" s="1" t="s">
        <v>328</v>
      </c>
      <c r="D2418" s="1" t="s">
        <v>329</v>
      </c>
      <c r="E2418" s="1">
        <v>40688</v>
      </c>
      <c r="F2418" s="1">
        <v>60688</v>
      </c>
      <c r="G2418" s="1">
        <v>18559.899999999991</v>
      </c>
      <c r="H2418" s="1">
        <v>1440.100000000006</v>
      </c>
      <c r="I2418" s="1">
        <v>59247.899999999987</v>
      </c>
      <c r="J2418" s="1">
        <v>107</v>
      </c>
      <c r="K2418" s="1">
        <v>129.25862179487169</v>
      </c>
      <c r="L2418" s="1">
        <v>8.3023453790160868</v>
      </c>
      <c r="N2418" s="7">
        <v>45677</v>
      </c>
      <c r="P2418" s="7">
        <v>46042</v>
      </c>
      <c r="T2418" s="1" t="s">
        <v>333</v>
      </c>
      <c r="U2418" s="1" t="s">
        <v>334</v>
      </c>
      <c r="V2418" s="1">
        <v>1</v>
      </c>
      <c r="W2418" s="3">
        <v>8513.2800000000007</v>
      </c>
      <c r="X2418" s="3">
        <v>8513.2800000000007</v>
      </c>
      <c r="Y2418" s="1" t="str">
        <f>VLOOKUP(A2418,[1]Detalle!$D$2:$CR$484,93,FALSE)</f>
        <v>SUC_MAL - Sucursal Malargüe</v>
      </c>
    </row>
    <row r="2419" spans="1:25" ht="14.25" customHeight="1" x14ac:dyDescent="0.3">
      <c r="A2419" s="1" t="s">
        <v>38</v>
      </c>
      <c r="B2419" s="1" t="s">
        <v>328</v>
      </c>
      <c r="C2419" s="1" t="s">
        <v>328</v>
      </c>
      <c r="D2419" s="1" t="s">
        <v>329</v>
      </c>
      <c r="E2419" s="1">
        <v>40688</v>
      </c>
      <c r="F2419" s="1">
        <v>60688</v>
      </c>
      <c r="G2419" s="1">
        <v>18559.899999999991</v>
      </c>
      <c r="H2419" s="1">
        <v>1440.100000000006</v>
      </c>
      <c r="I2419" s="1">
        <v>59247.899999999987</v>
      </c>
      <c r="J2419" s="1">
        <v>107</v>
      </c>
      <c r="K2419" s="1">
        <v>129.25862179487169</v>
      </c>
      <c r="L2419" s="1">
        <v>8.3023453790160868</v>
      </c>
      <c r="N2419" s="7">
        <v>45679</v>
      </c>
      <c r="P2419" s="7">
        <v>46044</v>
      </c>
      <c r="T2419" s="1" t="s">
        <v>333</v>
      </c>
      <c r="U2419" s="1" t="s">
        <v>334</v>
      </c>
      <c r="V2419" s="1">
        <v>1</v>
      </c>
      <c r="W2419" s="3">
        <v>8513.2800000000007</v>
      </c>
      <c r="X2419" s="3">
        <v>8513.2800000000007</v>
      </c>
      <c r="Y2419" s="1" t="str">
        <f>VLOOKUP(A2419,[1]Detalle!$D$2:$CR$484,93,FALSE)</f>
        <v>SUC_SRA - Sucursal San Rafael</v>
      </c>
    </row>
    <row r="2420" spans="1:25" ht="14.25" customHeight="1" x14ac:dyDescent="0.3">
      <c r="A2420" s="1" t="s">
        <v>74</v>
      </c>
      <c r="B2420" s="1" t="s">
        <v>328</v>
      </c>
      <c r="C2420" s="1" t="s">
        <v>328</v>
      </c>
      <c r="D2420" s="1" t="s">
        <v>329</v>
      </c>
      <c r="E2420" s="1">
        <v>40688</v>
      </c>
      <c r="F2420" s="1">
        <v>60688</v>
      </c>
      <c r="G2420" s="1">
        <v>18559.899999999991</v>
      </c>
      <c r="H2420" s="1">
        <v>1440.100000000006</v>
      </c>
      <c r="I2420" s="1">
        <v>59247.899999999987</v>
      </c>
      <c r="J2420" s="1">
        <v>107</v>
      </c>
      <c r="K2420" s="1">
        <v>129.25862179487169</v>
      </c>
      <c r="L2420" s="1">
        <v>8.3023453790160868</v>
      </c>
      <c r="N2420" s="7">
        <v>45681</v>
      </c>
      <c r="P2420" s="7">
        <v>46046</v>
      </c>
      <c r="T2420" s="1" t="s">
        <v>333</v>
      </c>
      <c r="U2420" s="1" t="s">
        <v>334</v>
      </c>
      <c r="V2420" s="1">
        <v>1</v>
      </c>
      <c r="W2420" s="3">
        <v>8513.2800000000007</v>
      </c>
      <c r="X2420" s="3">
        <v>8513.2800000000007</v>
      </c>
      <c r="Y2420" s="1" t="str">
        <f>VLOOKUP(A2420,[1]Detalle!$D$2:$CR$484,93,FALSE)</f>
        <v>CENCO_MZ - Cencosud SA - Mendoza</v>
      </c>
    </row>
    <row r="2421" spans="1:25" ht="14.25" customHeight="1" x14ac:dyDescent="0.3">
      <c r="A2421" s="1" t="s">
        <v>172</v>
      </c>
      <c r="B2421" s="1" t="s">
        <v>328</v>
      </c>
      <c r="C2421" s="1" t="s">
        <v>328</v>
      </c>
      <c r="D2421" s="1" t="s">
        <v>329</v>
      </c>
      <c r="E2421" s="1">
        <v>40688</v>
      </c>
      <c r="F2421" s="1">
        <v>60688</v>
      </c>
      <c r="G2421" s="1">
        <v>18559.899999999991</v>
      </c>
      <c r="H2421" s="1">
        <v>1440.100000000006</v>
      </c>
      <c r="I2421" s="1">
        <v>59247.899999999987</v>
      </c>
      <c r="J2421" s="1">
        <v>107</v>
      </c>
      <c r="K2421" s="1">
        <v>129.25862179487169</v>
      </c>
      <c r="L2421" s="1">
        <v>8.3023453790160868</v>
      </c>
      <c r="N2421" s="7">
        <v>45688</v>
      </c>
      <c r="P2421" s="7">
        <v>46053</v>
      </c>
      <c r="T2421" s="1" t="s">
        <v>333</v>
      </c>
      <c r="U2421" s="1" t="s">
        <v>334</v>
      </c>
      <c r="V2421" s="1">
        <v>1</v>
      </c>
      <c r="W2421" s="3">
        <v>8513.2800000000007</v>
      </c>
      <c r="X2421" s="3">
        <v>8513.2800000000007</v>
      </c>
      <c r="Y2421" s="1" t="str">
        <f>VLOOKUP(A2421,[1]Detalle!$D$2:$CR$484,93,FALSE)</f>
        <v>CENCO_MZ - Cencosud SA - Mendoza</v>
      </c>
    </row>
    <row r="2422" spans="1:25" ht="14.25" customHeight="1" x14ac:dyDescent="0.3">
      <c r="A2422" s="1" t="s">
        <v>152</v>
      </c>
      <c r="B2422" s="1" t="s">
        <v>328</v>
      </c>
      <c r="C2422" s="1" t="s">
        <v>328</v>
      </c>
      <c r="D2422" s="1" t="s">
        <v>329</v>
      </c>
      <c r="E2422" s="1">
        <v>40688</v>
      </c>
      <c r="F2422" s="1">
        <v>60688</v>
      </c>
      <c r="G2422" s="1">
        <v>18559.899999999991</v>
      </c>
      <c r="H2422" s="1">
        <v>1440.100000000006</v>
      </c>
      <c r="I2422" s="1">
        <v>59247.899999999987</v>
      </c>
      <c r="J2422" s="1">
        <v>107</v>
      </c>
      <c r="K2422" s="1">
        <v>129.25862179487169</v>
      </c>
      <c r="L2422" s="1">
        <v>8.3023453790160868</v>
      </c>
      <c r="N2422" s="7">
        <v>45693</v>
      </c>
      <c r="P2422" s="7">
        <v>46058</v>
      </c>
      <c r="T2422" s="1" t="s">
        <v>333</v>
      </c>
      <c r="U2422" s="1" t="s">
        <v>334</v>
      </c>
      <c r="V2422" s="1">
        <v>1</v>
      </c>
      <c r="W2422" s="3">
        <v>8513.2800000000007</v>
      </c>
      <c r="X2422" s="3">
        <v>8513.2800000000007</v>
      </c>
      <c r="Y2422" s="1" t="str">
        <f>VLOOKUP(A2422,[1]Detalle!$D$2:$CR$484,93,FALSE)</f>
        <v>SUC_REA - Sucursal Realicó</v>
      </c>
    </row>
    <row r="2423" spans="1:25" ht="14.25" customHeight="1" x14ac:dyDescent="0.3">
      <c r="A2423" s="1" t="s">
        <v>243</v>
      </c>
      <c r="B2423" s="1" t="s">
        <v>328</v>
      </c>
      <c r="C2423" s="1" t="s">
        <v>328</v>
      </c>
      <c r="D2423" s="1" t="s">
        <v>329</v>
      </c>
      <c r="E2423" s="1">
        <v>40688</v>
      </c>
      <c r="F2423" s="1">
        <v>60688</v>
      </c>
      <c r="G2423" s="1">
        <v>18559.899999999991</v>
      </c>
      <c r="H2423" s="1">
        <v>1440.100000000006</v>
      </c>
      <c r="I2423" s="1">
        <v>59247.899999999987</v>
      </c>
      <c r="J2423" s="1">
        <v>107</v>
      </c>
      <c r="K2423" s="1">
        <v>129.25862179487169</v>
      </c>
      <c r="L2423" s="1">
        <v>8.3023453790160868</v>
      </c>
      <c r="N2423" s="7">
        <v>45699</v>
      </c>
      <c r="P2423" s="7">
        <v>46064</v>
      </c>
      <c r="T2423" s="1" t="s">
        <v>333</v>
      </c>
      <c r="U2423" s="1" t="s">
        <v>334</v>
      </c>
      <c r="V2423" s="1">
        <v>1</v>
      </c>
      <c r="W2423" s="3">
        <v>8513.2800000000007</v>
      </c>
      <c r="X2423" s="3">
        <v>8513.2800000000007</v>
      </c>
      <c r="Y2423" s="1" t="str">
        <f>VLOOKUP(A2423,[1]Detalle!$D$2:$CR$484,93,FALSE)</f>
        <v>CMQ_TTE - QUILMES TTE</v>
      </c>
    </row>
    <row r="2424" spans="1:25" ht="14.25" customHeight="1" x14ac:dyDescent="0.3">
      <c r="A2424" s="1" t="s">
        <v>258</v>
      </c>
      <c r="B2424" s="1" t="s">
        <v>328</v>
      </c>
      <c r="C2424" s="1" t="s">
        <v>328</v>
      </c>
      <c r="D2424" s="1" t="s">
        <v>329</v>
      </c>
      <c r="E2424" s="1">
        <v>40688</v>
      </c>
      <c r="F2424" s="1">
        <v>60688</v>
      </c>
      <c r="G2424" s="1">
        <v>18559.899999999991</v>
      </c>
      <c r="H2424" s="1">
        <v>1440.100000000006</v>
      </c>
      <c r="I2424" s="1">
        <v>59247.899999999987</v>
      </c>
      <c r="J2424" s="1">
        <v>107</v>
      </c>
      <c r="K2424" s="1">
        <v>129.25862179487169</v>
      </c>
      <c r="L2424" s="1">
        <v>8.3023453790160868</v>
      </c>
      <c r="N2424" s="7">
        <v>45722</v>
      </c>
      <c r="P2424" s="7">
        <v>46087</v>
      </c>
      <c r="T2424" s="1" t="s">
        <v>333</v>
      </c>
      <c r="U2424" s="1" t="s">
        <v>334</v>
      </c>
      <c r="V2424" s="1">
        <v>1</v>
      </c>
      <c r="W2424" s="3">
        <v>8513.2800000000007</v>
      </c>
      <c r="X2424" s="3">
        <v>8513.2800000000007</v>
      </c>
      <c r="Y2424" s="1" t="str">
        <f>VLOOKUP(A2424,[1]Detalle!$D$2:$CR$484,93,FALSE)</f>
        <v>CCUDyAZA</v>
      </c>
    </row>
    <row r="2425" spans="1:25" ht="14.25" customHeight="1" x14ac:dyDescent="0.3">
      <c r="A2425" s="1" t="s">
        <v>280</v>
      </c>
      <c r="B2425" s="1" t="s">
        <v>328</v>
      </c>
      <c r="C2425" s="1" t="s">
        <v>328</v>
      </c>
      <c r="D2425" s="1" t="s">
        <v>329</v>
      </c>
      <c r="E2425" s="1">
        <v>40688</v>
      </c>
      <c r="F2425" s="1">
        <v>60688</v>
      </c>
      <c r="G2425" s="1">
        <v>18559.899999999991</v>
      </c>
      <c r="H2425" s="1">
        <v>1440.100000000006</v>
      </c>
      <c r="I2425" s="1">
        <v>59247.899999999987</v>
      </c>
      <c r="J2425" s="1">
        <v>107</v>
      </c>
      <c r="K2425" s="1">
        <v>129.25862179487169</v>
      </c>
      <c r="L2425" s="1">
        <v>8.3023453790160868</v>
      </c>
      <c r="N2425" s="7">
        <v>45735</v>
      </c>
      <c r="P2425" s="7">
        <v>46100</v>
      </c>
      <c r="T2425" s="1" t="s">
        <v>333</v>
      </c>
      <c r="U2425" s="1" t="s">
        <v>334</v>
      </c>
      <c r="V2425" s="1">
        <v>1</v>
      </c>
      <c r="W2425" s="3">
        <v>8513.2800000000007</v>
      </c>
      <c r="X2425" s="3">
        <v>8513.2800000000007</v>
      </c>
      <c r="Y2425" s="1" t="str">
        <f>VLOOKUP(A2425,[1]Detalle!$D$2:$CR$484,93,FALSE)</f>
        <v>Expreso - Servicios Troncales</v>
      </c>
    </row>
    <row r="2426" spans="1:25" ht="14.25" customHeight="1" x14ac:dyDescent="0.3">
      <c r="A2426" s="1" t="s">
        <v>205</v>
      </c>
      <c r="B2426" s="1" t="s">
        <v>328</v>
      </c>
      <c r="C2426" s="1" t="s">
        <v>328</v>
      </c>
      <c r="D2426" s="1" t="s">
        <v>329</v>
      </c>
      <c r="E2426" s="1">
        <v>40688</v>
      </c>
      <c r="F2426" s="1">
        <v>60688</v>
      </c>
      <c r="G2426" s="1">
        <v>18559.899999999991</v>
      </c>
      <c r="H2426" s="1">
        <v>1440.100000000006</v>
      </c>
      <c r="I2426" s="1">
        <v>59247.899999999987</v>
      </c>
      <c r="J2426" s="1">
        <v>107</v>
      </c>
      <c r="K2426" s="1">
        <v>129.25862179487169</v>
      </c>
      <c r="L2426" s="1">
        <v>8.3023453790160868</v>
      </c>
      <c r="N2426" s="7">
        <v>45735</v>
      </c>
      <c r="P2426" s="7">
        <v>46100</v>
      </c>
      <c r="T2426" s="1" t="s">
        <v>333</v>
      </c>
      <c r="U2426" s="1" t="s">
        <v>334</v>
      </c>
      <c r="V2426" s="1">
        <v>1</v>
      </c>
      <c r="W2426" s="3">
        <v>8513.2800000000007</v>
      </c>
      <c r="X2426" s="3">
        <v>8513.2800000000007</v>
      </c>
      <c r="Y2426" s="1" t="str">
        <f>VLOOKUP(A2426,[1]Detalle!$D$2:$CR$484,93,FALSE)</f>
        <v>CCUCoAZA</v>
      </c>
    </row>
    <row r="2427" spans="1:25" ht="14.25" customHeight="1" x14ac:dyDescent="0.3">
      <c r="A2427" s="1" t="s">
        <v>272</v>
      </c>
      <c r="B2427" s="1" t="s">
        <v>328</v>
      </c>
      <c r="C2427" s="1" t="s">
        <v>328</v>
      </c>
      <c r="D2427" s="1" t="s">
        <v>329</v>
      </c>
      <c r="E2427" s="1">
        <v>40688</v>
      </c>
      <c r="F2427" s="1">
        <v>60688</v>
      </c>
      <c r="G2427" s="1">
        <v>18559.899999999991</v>
      </c>
      <c r="H2427" s="1">
        <v>1440.100000000006</v>
      </c>
      <c r="I2427" s="1">
        <v>59247.899999999987</v>
      </c>
      <c r="J2427" s="1">
        <v>107</v>
      </c>
      <c r="K2427" s="1">
        <v>129.25862179487169</v>
      </c>
      <c r="L2427" s="1">
        <v>8.3023453790160868</v>
      </c>
      <c r="N2427" s="7">
        <v>45734</v>
      </c>
      <c r="P2427" s="7">
        <v>46099</v>
      </c>
      <c r="T2427" s="1" t="s">
        <v>333</v>
      </c>
      <c r="U2427" s="1" t="s">
        <v>334</v>
      </c>
      <c r="V2427" s="1">
        <v>1</v>
      </c>
      <c r="W2427" s="3">
        <v>8513.2800000000007</v>
      </c>
      <c r="X2427" s="3">
        <v>8513.2800000000007</v>
      </c>
      <c r="Y2427" s="1" t="str">
        <f>VLOOKUP(A2427,[1]Detalle!$D$2:$CR$484,93,FALSE)</f>
        <v>CCUDyAZA</v>
      </c>
    </row>
    <row r="2428" spans="1:25" ht="14.25" customHeight="1" x14ac:dyDescent="0.3">
      <c r="A2428" s="1" t="s">
        <v>114</v>
      </c>
      <c r="B2428" s="1" t="s">
        <v>328</v>
      </c>
      <c r="C2428" s="1" t="s">
        <v>328</v>
      </c>
      <c r="D2428" s="1" t="s">
        <v>329</v>
      </c>
      <c r="E2428" s="1">
        <v>40688</v>
      </c>
      <c r="F2428" s="1">
        <v>60688</v>
      </c>
      <c r="G2428" s="1">
        <v>18559.899999999991</v>
      </c>
      <c r="H2428" s="1">
        <v>1440.100000000006</v>
      </c>
      <c r="I2428" s="1">
        <v>59247.899999999987</v>
      </c>
      <c r="J2428" s="1">
        <v>107</v>
      </c>
      <c r="K2428" s="1">
        <v>129.25862179487169</v>
      </c>
      <c r="L2428" s="1">
        <v>8.3023453790160868</v>
      </c>
      <c r="N2428" s="7">
        <v>45741</v>
      </c>
      <c r="P2428" s="7">
        <v>46106</v>
      </c>
      <c r="T2428" s="1" t="s">
        <v>333</v>
      </c>
      <c r="U2428" s="1" t="s">
        <v>334</v>
      </c>
      <c r="V2428" s="1">
        <v>1</v>
      </c>
      <c r="W2428" s="3">
        <v>8513.2800000000007</v>
      </c>
      <c r="X2428" s="3">
        <v>8513.2800000000007</v>
      </c>
      <c r="Y2428" s="1" t="str">
        <f>VLOOKUP(A2428,[1]Detalle!$D$2:$CR$484,93,FALSE)</f>
        <v>CCU_MZA - Comp. Cerv. Unidas - MZA</v>
      </c>
    </row>
    <row r="2429" spans="1:25" ht="14.25" customHeight="1" x14ac:dyDescent="0.3">
      <c r="A2429" s="1" t="s">
        <v>166</v>
      </c>
      <c r="B2429" s="1" t="s">
        <v>328</v>
      </c>
      <c r="C2429" s="1" t="s">
        <v>328</v>
      </c>
      <c r="D2429" s="1" t="s">
        <v>329</v>
      </c>
      <c r="E2429" s="1">
        <v>40688</v>
      </c>
      <c r="F2429" s="1">
        <v>60688</v>
      </c>
      <c r="G2429" s="1">
        <v>18559.899999999991</v>
      </c>
      <c r="H2429" s="1">
        <v>1440.100000000006</v>
      </c>
      <c r="I2429" s="1">
        <v>59247.899999999987</v>
      </c>
      <c r="J2429" s="1">
        <v>107</v>
      </c>
      <c r="K2429" s="1">
        <v>129.25862179487169</v>
      </c>
      <c r="L2429" s="1">
        <v>8.3023453790160868</v>
      </c>
      <c r="N2429" s="7">
        <v>45737</v>
      </c>
      <c r="P2429" s="7">
        <v>46102</v>
      </c>
      <c r="T2429" s="1" t="s">
        <v>333</v>
      </c>
      <c r="U2429" s="1" t="s">
        <v>334</v>
      </c>
      <c r="V2429" s="1">
        <v>1</v>
      </c>
      <c r="W2429" s="3">
        <v>8513.2800000000007</v>
      </c>
      <c r="X2429" s="3">
        <v>8513.2800000000007</v>
      </c>
      <c r="Y2429" s="1" t="str">
        <f>VLOOKUP(A2429,[1]Detalle!$D$2:$CR$484,93,FALSE)</f>
        <v>CCUCoAZA</v>
      </c>
    </row>
    <row r="2430" spans="1:25" ht="14.25" customHeight="1" x14ac:dyDescent="0.3">
      <c r="A2430" s="1" t="s">
        <v>258</v>
      </c>
      <c r="B2430" s="1" t="s">
        <v>328</v>
      </c>
      <c r="C2430" s="1" t="s">
        <v>328</v>
      </c>
      <c r="D2430" s="1" t="s">
        <v>329</v>
      </c>
      <c r="E2430" s="1">
        <v>40688</v>
      </c>
      <c r="F2430" s="1">
        <v>60688</v>
      </c>
      <c r="G2430" s="1">
        <v>18559.899999999991</v>
      </c>
      <c r="H2430" s="1">
        <v>1440.100000000006</v>
      </c>
      <c r="I2430" s="1">
        <v>59247.899999999987</v>
      </c>
      <c r="J2430" s="1">
        <v>107</v>
      </c>
      <c r="K2430" s="1">
        <v>129.25862179487169</v>
      </c>
      <c r="L2430" s="1">
        <v>8.3023453790160868</v>
      </c>
      <c r="N2430" s="7">
        <v>45744</v>
      </c>
      <c r="P2430" s="7">
        <v>46109</v>
      </c>
      <c r="T2430" s="1" t="s">
        <v>333</v>
      </c>
      <c r="U2430" s="1" t="s">
        <v>334</v>
      </c>
      <c r="V2430" s="1">
        <v>1</v>
      </c>
      <c r="W2430" s="3">
        <v>8513.2800000000007</v>
      </c>
      <c r="X2430" s="3">
        <v>8513.2800000000007</v>
      </c>
      <c r="Y2430" s="1" t="str">
        <f>VLOOKUP(A2430,[1]Detalle!$D$2:$CR$484,93,FALSE)</f>
        <v>CCUDyAZA</v>
      </c>
    </row>
    <row r="2431" spans="1:25" ht="14.25" customHeight="1" x14ac:dyDescent="0.3">
      <c r="A2431" s="1" t="s">
        <v>204</v>
      </c>
      <c r="B2431" s="1" t="s">
        <v>328</v>
      </c>
      <c r="C2431" s="1" t="s">
        <v>328</v>
      </c>
      <c r="D2431" s="1" t="s">
        <v>329</v>
      </c>
      <c r="E2431" s="1">
        <v>40688</v>
      </c>
      <c r="F2431" s="1">
        <v>60688</v>
      </c>
      <c r="G2431" s="1">
        <v>18559.899999999991</v>
      </c>
      <c r="H2431" s="1">
        <v>1440.100000000006</v>
      </c>
      <c r="I2431" s="1">
        <v>59247.899999999987</v>
      </c>
      <c r="J2431" s="1">
        <v>107</v>
      </c>
      <c r="K2431" s="1">
        <v>129.25862179487169</v>
      </c>
      <c r="L2431" s="1">
        <v>8.3023453790160868</v>
      </c>
      <c r="N2431" s="7">
        <v>45743</v>
      </c>
      <c r="P2431" s="7">
        <v>46108</v>
      </c>
      <c r="T2431" s="1" t="s">
        <v>333</v>
      </c>
      <c r="U2431" s="1" t="s">
        <v>334</v>
      </c>
      <c r="V2431" s="1">
        <v>1</v>
      </c>
      <c r="W2431" s="3">
        <v>8513.2800000000007</v>
      </c>
      <c r="X2431" s="3">
        <v>8513.2800000000007</v>
      </c>
      <c r="Y2431" s="1" t="str">
        <f>VLOOKUP(A2431,[1]Detalle!$D$2:$CR$484,93,FALSE)</f>
        <v>CCUCoAZA</v>
      </c>
    </row>
    <row r="2432" spans="1:25" ht="14.25" customHeight="1" x14ac:dyDescent="0.3">
      <c r="A2432" s="1" t="s">
        <v>271</v>
      </c>
      <c r="B2432" s="1" t="s">
        <v>328</v>
      </c>
      <c r="C2432" s="1" t="s">
        <v>328</v>
      </c>
      <c r="D2432" s="1" t="s">
        <v>329</v>
      </c>
      <c r="E2432" s="1">
        <v>40688</v>
      </c>
      <c r="F2432" s="1">
        <v>60688</v>
      </c>
      <c r="G2432" s="1">
        <v>18559.899999999991</v>
      </c>
      <c r="H2432" s="1">
        <v>1440.100000000006</v>
      </c>
      <c r="I2432" s="1">
        <v>59247.899999999987</v>
      </c>
      <c r="J2432" s="1">
        <v>107</v>
      </c>
      <c r="K2432" s="1">
        <v>129.25862179487169</v>
      </c>
      <c r="L2432" s="1">
        <v>8.3023453790160868</v>
      </c>
      <c r="N2432" s="7">
        <v>45743</v>
      </c>
      <c r="P2432" s="7">
        <v>46108</v>
      </c>
      <c r="T2432" s="1" t="s">
        <v>333</v>
      </c>
      <c r="U2432" s="1" t="s">
        <v>334</v>
      </c>
      <c r="V2432" s="1">
        <v>1</v>
      </c>
      <c r="W2432" s="3">
        <v>8513.2800000000007</v>
      </c>
      <c r="X2432" s="3">
        <v>8513.2800000000007</v>
      </c>
      <c r="Y2432" s="1" t="str">
        <f>VLOOKUP(A2432,[1]Detalle!$D$2:$CR$484,93,FALSE)</f>
        <v>CCUDyAZA</v>
      </c>
    </row>
    <row r="2433" spans="1:25" ht="14.25" customHeight="1" x14ac:dyDescent="0.3">
      <c r="A2433" s="1" t="s">
        <v>128</v>
      </c>
      <c r="B2433" s="1" t="s">
        <v>328</v>
      </c>
      <c r="C2433" s="1" t="s">
        <v>328</v>
      </c>
      <c r="D2433" s="1" t="s">
        <v>329</v>
      </c>
      <c r="E2433" s="1">
        <v>40688</v>
      </c>
      <c r="F2433" s="1">
        <v>60688</v>
      </c>
      <c r="G2433" s="1">
        <v>18559.899999999991</v>
      </c>
      <c r="H2433" s="1">
        <v>1440.100000000006</v>
      </c>
      <c r="I2433" s="1">
        <v>59247.899999999987</v>
      </c>
      <c r="J2433" s="1">
        <v>107</v>
      </c>
      <c r="K2433" s="1">
        <v>129.25862179487169</v>
      </c>
      <c r="L2433" s="1">
        <v>8.3023453790160868</v>
      </c>
      <c r="N2433" s="7">
        <v>45743</v>
      </c>
      <c r="P2433" s="7">
        <v>46108</v>
      </c>
      <c r="T2433" s="1" t="s">
        <v>333</v>
      </c>
      <c r="U2433" s="1" t="s">
        <v>334</v>
      </c>
      <c r="V2433" s="1">
        <v>1</v>
      </c>
      <c r="W2433" s="3">
        <v>8513.2800000000007</v>
      </c>
      <c r="X2433" s="3">
        <v>8513.2800000000007</v>
      </c>
      <c r="Y2433" s="1" t="str">
        <f>VLOOKUP(A2433,[1]Detalle!$D$2:$CR$484,93,FALSE)</f>
        <v>Arcor S.A.I.C.</v>
      </c>
    </row>
    <row r="2434" spans="1:25" ht="14.25" customHeight="1" x14ac:dyDescent="0.3">
      <c r="A2434" s="1" t="s">
        <v>182</v>
      </c>
      <c r="B2434" s="1" t="s">
        <v>328</v>
      </c>
      <c r="C2434" s="1" t="s">
        <v>328</v>
      </c>
      <c r="D2434" s="1" t="s">
        <v>329</v>
      </c>
      <c r="E2434" s="1">
        <v>40688</v>
      </c>
      <c r="F2434" s="1">
        <v>60688</v>
      </c>
      <c r="G2434" s="1">
        <v>18559.899999999991</v>
      </c>
      <c r="H2434" s="1">
        <v>1440.100000000006</v>
      </c>
      <c r="I2434" s="1">
        <v>59247.899999999987</v>
      </c>
      <c r="J2434" s="1">
        <v>107</v>
      </c>
      <c r="K2434" s="1">
        <v>129.25862179487169</v>
      </c>
      <c r="L2434" s="1">
        <v>8.3023453790160868</v>
      </c>
      <c r="N2434" s="7">
        <v>45748</v>
      </c>
      <c r="P2434" s="7">
        <v>46113</v>
      </c>
      <c r="T2434" s="1" t="s">
        <v>333</v>
      </c>
      <c r="U2434" s="1" t="s">
        <v>334</v>
      </c>
      <c r="V2434" s="1">
        <v>1</v>
      </c>
      <c r="W2434" s="3">
        <v>8513.2800000000007</v>
      </c>
      <c r="X2434" s="3">
        <v>8513.2800000000007</v>
      </c>
      <c r="Y2434" s="1" t="str">
        <f>VLOOKUP(A2434,[1]Detalle!$D$2:$CR$484,93,FALSE)</f>
        <v>CCU_MZA - Comp. Cerv. Unidas - MZA</v>
      </c>
    </row>
    <row r="2435" spans="1:25" ht="14.25" customHeight="1" x14ac:dyDescent="0.3">
      <c r="A2435" s="1" t="s">
        <v>185</v>
      </c>
      <c r="B2435" s="1" t="s">
        <v>328</v>
      </c>
      <c r="C2435" s="1" t="s">
        <v>328</v>
      </c>
      <c r="D2435" s="1" t="s">
        <v>329</v>
      </c>
      <c r="E2435" s="1">
        <v>40688</v>
      </c>
      <c r="F2435" s="1">
        <v>60688</v>
      </c>
      <c r="G2435" s="1">
        <v>18559.899999999991</v>
      </c>
      <c r="H2435" s="1">
        <v>1440.100000000006</v>
      </c>
      <c r="I2435" s="1">
        <v>59247.899999999987</v>
      </c>
      <c r="J2435" s="1">
        <v>107</v>
      </c>
      <c r="K2435" s="1">
        <v>129.25862179487169</v>
      </c>
      <c r="L2435" s="1">
        <v>8.3023453790160868</v>
      </c>
      <c r="N2435" s="7">
        <v>45748</v>
      </c>
      <c r="P2435" s="7">
        <v>46113</v>
      </c>
      <c r="T2435" s="1" t="s">
        <v>333</v>
      </c>
      <c r="U2435" s="1" t="s">
        <v>334</v>
      </c>
      <c r="V2435" s="1">
        <v>1</v>
      </c>
      <c r="W2435" s="3">
        <v>8513.2800000000007</v>
      </c>
      <c r="X2435" s="3">
        <v>8513.2800000000007</v>
      </c>
      <c r="Y2435" s="1" t="str">
        <f>VLOOKUP(A2435,[1]Detalle!$D$2:$CR$484,93,FALSE)</f>
        <v>CENCO_SJ - Cencosud SA - San Juan</v>
      </c>
    </row>
    <row r="2436" spans="1:25" ht="14.25" customHeight="1" x14ac:dyDescent="0.3">
      <c r="A2436" s="1" t="s">
        <v>272</v>
      </c>
      <c r="B2436" s="1" t="s">
        <v>328</v>
      </c>
      <c r="C2436" s="1" t="s">
        <v>328</v>
      </c>
      <c r="D2436" s="1" t="s">
        <v>329</v>
      </c>
      <c r="E2436" s="1">
        <v>40688</v>
      </c>
      <c r="F2436" s="1">
        <v>60688</v>
      </c>
      <c r="G2436" s="1">
        <v>18559.899999999991</v>
      </c>
      <c r="H2436" s="1">
        <v>1440.100000000006</v>
      </c>
      <c r="I2436" s="1">
        <v>59247.899999999987</v>
      </c>
      <c r="J2436" s="1">
        <v>107</v>
      </c>
      <c r="K2436" s="1">
        <v>129.25862179487169</v>
      </c>
      <c r="L2436" s="1">
        <v>8.3023453790160868</v>
      </c>
      <c r="N2436" s="7">
        <v>45750</v>
      </c>
      <c r="P2436" s="7">
        <v>46115</v>
      </c>
      <c r="T2436" s="1" t="s">
        <v>333</v>
      </c>
      <c r="U2436" s="1" t="s">
        <v>334</v>
      </c>
      <c r="V2436" s="1">
        <v>1</v>
      </c>
      <c r="W2436" s="3">
        <v>8513.2800000000007</v>
      </c>
      <c r="X2436" s="3">
        <v>8513.2800000000007</v>
      </c>
      <c r="Y2436" s="1" t="str">
        <f>VLOOKUP(A2436,[1]Detalle!$D$2:$CR$484,93,FALSE)</f>
        <v>CCUDyAZA</v>
      </c>
    </row>
    <row r="2437" spans="1:25" ht="14.25" customHeight="1" x14ac:dyDescent="0.3">
      <c r="A2437" s="1" t="s">
        <v>54</v>
      </c>
      <c r="B2437" s="1" t="s">
        <v>400</v>
      </c>
      <c r="C2437" s="1" t="s">
        <v>328</v>
      </c>
      <c r="D2437" s="1" t="s">
        <v>329</v>
      </c>
      <c r="E2437" s="1">
        <v>40688</v>
      </c>
      <c r="F2437" s="1">
        <v>60688</v>
      </c>
      <c r="G2437" s="1">
        <v>18559.899999999991</v>
      </c>
      <c r="H2437" s="1">
        <v>1440.100000000006</v>
      </c>
      <c r="I2437" s="1">
        <v>59247.899999999987</v>
      </c>
      <c r="J2437" s="1">
        <v>107</v>
      </c>
      <c r="K2437" s="1">
        <v>129.25862179487169</v>
      </c>
      <c r="L2437" s="1">
        <v>8.3023453790160868</v>
      </c>
      <c r="N2437" s="7">
        <v>45769</v>
      </c>
      <c r="P2437" s="7">
        <v>46134</v>
      </c>
      <c r="T2437" s="1" t="s">
        <v>401</v>
      </c>
      <c r="U2437" s="1" t="s">
        <v>402</v>
      </c>
      <c r="V2437" s="1">
        <v>1</v>
      </c>
      <c r="W2437" s="3">
        <v>21189.599999999999</v>
      </c>
      <c r="X2437" s="3">
        <v>21189.599999999999</v>
      </c>
      <c r="Y2437" s="1" t="str">
        <f>VLOOKUP(A2437,[1]Detalle!$D$2:$CR$484,93,FALSE)</f>
        <v>CMQ_TTE - QUILMES TTE</v>
      </c>
    </row>
    <row r="2438" spans="1:25" ht="14.25" customHeight="1" x14ac:dyDescent="0.3">
      <c r="A2438" s="1" t="s">
        <v>192</v>
      </c>
      <c r="B2438" s="1" t="s">
        <v>328</v>
      </c>
      <c r="C2438" s="1" t="s">
        <v>328</v>
      </c>
      <c r="D2438" s="1" t="s">
        <v>329</v>
      </c>
      <c r="E2438" s="1">
        <v>40688</v>
      </c>
      <c r="F2438" s="1">
        <v>60688</v>
      </c>
      <c r="G2438" s="1">
        <v>18559.899999999991</v>
      </c>
      <c r="H2438" s="1">
        <v>1440.100000000006</v>
      </c>
      <c r="I2438" s="1">
        <v>59247.899999999987</v>
      </c>
      <c r="J2438" s="1">
        <v>107</v>
      </c>
      <c r="K2438" s="1">
        <v>129.25862179487169</v>
      </c>
      <c r="L2438" s="1">
        <v>8.3023453790160868</v>
      </c>
      <c r="N2438" s="7">
        <v>45771</v>
      </c>
      <c r="P2438" s="7">
        <v>46136</v>
      </c>
      <c r="T2438" s="1" t="s">
        <v>333</v>
      </c>
      <c r="U2438" s="1" t="s">
        <v>334</v>
      </c>
      <c r="V2438" s="1">
        <v>1</v>
      </c>
      <c r="W2438" s="3">
        <v>8513.2800000000007</v>
      </c>
      <c r="X2438" s="3">
        <v>8513.2800000000007</v>
      </c>
      <c r="Y2438" s="1" t="str">
        <f>VLOOKUP(A2438,[1]Detalle!$D$2:$CR$484,93,FALSE)</f>
        <v>Sin Operación</v>
      </c>
    </row>
    <row r="2439" spans="1:25" ht="14.25" customHeight="1" x14ac:dyDescent="0.3">
      <c r="A2439" s="1" t="s">
        <v>76</v>
      </c>
      <c r="B2439" s="1" t="s">
        <v>328</v>
      </c>
      <c r="C2439" s="1" t="s">
        <v>328</v>
      </c>
      <c r="D2439" s="1" t="s">
        <v>329</v>
      </c>
      <c r="E2439" s="1">
        <v>40688</v>
      </c>
      <c r="F2439" s="1">
        <v>60688</v>
      </c>
      <c r="G2439" s="1">
        <v>18559.899999999991</v>
      </c>
      <c r="H2439" s="1">
        <v>1440.100000000006</v>
      </c>
      <c r="I2439" s="1">
        <v>59247.899999999987</v>
      </c>
      <c r="J2439" s="1">
        <v>107</v>
      </c>
      <c r="K2439" s="1">
        <v>129.25862179487169</v>
      </c>
      <c r="L2439" s="1">
        <v>8.3023453790160868</v>
      </c>
      <c r="N2439" s="7">
        <v>45785</v>
      </c>
      <c r="P2439" s="7">
        <v>46150</v>
      </c>
      <c r="T2439" s="1" t="s">
        <v>333</v>
      </c>
      <c r="U2439" s="1" t="s">
        <v>334</v>
      </c>
      <c r="V2439" s="1">
        <v>1</v>
      </c>
      <c r="W2439" s="3">
        <v>8513.2800000000007</v>
      </c>
      <c r="X2439" s="3">
        <v>8513.2800000000007</v>
      </c>
      <c r="Y2439" s="1" t="str">
        <f>VLOOKUP(A2439,[1]Detalle!$D$2:$CR$484,93,FALSE)</f>
        <v>CCU_MZA - Comp. Cerv. Unidas - MZA</v>
      </c>
    </row>
    <row r="2440" spans="1:25" ht="14.25" customHeight="1" x14ac:dyDescent="0.3">
      <c r="A2440" s="1" t="s">
        <v>268</v>
      </c>
      <c r="B2440" s="1" t="s">
        <v>328</v>
      </c>
      <c r="C2440" s="1" t="s">
        <v>328</v>
      </c>
      <c r="D2440" s="1" t="s">
        <v>329</v>
      </c>
      <c r="E2440" s="1">
        <v>40688</v>
      </c>
      <c r="F2440" s="1">
        <v>60688</v>
      </c>
      <c r="G2440" s="1">
        <v>18559.899999999991</v>
      </c>
      <c r="H2440" s="1">
        <v>1440.100000000006</v>
      </c>
      <c r="I2440" s="1">
        <v>59247.899999999987</v>
      </c>
      <c r="J2440" s="1">
        <v>107</v>
      </c>
      <c r="K2440" s="1">
        <v>129.25862179487169</v>
      </c>
      <c r="L2440" s="1">
        <v>8.3023453790160868</v>
      </c>
      <c r="N2440" s="7">
        <v>45785</v>
      </c>
      <c r="P2440" s="7">
        <v>46150</v>
      </c>
      <c r="T2440" s="1" t="s">
        <v>333</v>
      </c>
      <c r="U2440" s="1" t="s">
        <v>334</v>
      </c>
      <c r="V2440" s="1">
        <v>1</v>
      </c>
      <c r="W2440" s="3">
        <v>8513.2800000000007</v>
      </c>
      <c r="X2440" s="3">
        <v>8513.2800000000007</v>
      </c>
      <c r="Y2440" s="1" t="str">
        <f>VLOOKUP(A2440,[1]Detalle!$D$2:$CR$484,93,FALSE)</f>
        <v>CCUDyAZA</v>
      </c>
    </row>
    <row r="2441" spans="1:25" ht="14.25" customHeight="1" x14ac:dyDescent="0.3">
      <c r="A2441" s="1" t="s">
        <v>266</v>
      </c>
      <c r="B2441" s="1" t="s">
        <v>328</v>
      </c>
      <c r="C2441" s="1" t="s">
        <v>328</v>
      </c>
      <c r="D2441" s="1" t="s">
        <v>329</v>
      </c>
      <c r="E2441" s="1">
        <v>40688</v>
      </c>
      <c r="F2441" s="1">
        <v>60688</v>
      </c>
      <c r="G2441" s="1">
        <v>18559.899999999991</v>
      </c>
      <c r="H2441" s="1">
        <v>1440.100000000006</v>
      </c>
      <c r="I2441" s="1">
        <v>59247.899999999987</v>
      </c>
      <c r="J2441" s="1">
        <v>107</v>
      </c>
      <c r="K2441" s="1">
        <v>129.25862179487169</v>
      </c>
      <c r="L2441" s="1">
        <v>8.3023453790160868</v>
      </c>
      <c r="N2441" s="7">
        <v>45786</v>
      </c>
      <c r="P2441" s="7">
        <v>46151</v>
      </c>
      <c r="T2441" s="1" t="s">
        <v>333</v>
      </c>
      <c r="U2441" s="1" t="s">
        <v>334</v>
      </c>
      <c r="V2441" s="1">
        <v>1</v>
      </c>
      <c r="W2441" s="3">
        <v>8513.2800000000007</v>
      </c>
      <c r="X2441" s="3">
        <v>8513.2800000000007</v>
      </c>
      <c r="Y2441" s="1" t="str">
        <f>VLOOKUP(A2441,[1]Detalle!$D$2:$CR$484,93,FALSE)</f>
        <v>CCUDyAZA</v>
      </c>
    </row>
    <row r="2442" spans="1:25" ht="14.25" customHeight="1" x14ac:dyDescent="0.3">
      <c r="A2442" s="1" t="s">
        <v>15</v>
      </c>
      <c r="B2442" s="1" t="s">
        <v>328</v>
      </c>
      <c r="C2442" s="1" t="s">
        <v>328</v>
      </c>
      <c r="D2442" s="1" t="s">
        <v>329</v>
      </c>
      <c r="E2442" s="1">
        <v>40688</v>
      </c>
      <c r="F2442" s="1">
        <v>60688</v>
      </c>
      <c r="G2442" s="1">
        <v>18559.899999999991</v>
      </c>
      <c r="H2442" s="1">
        <v>1440.100000000006</v>
      </c>
      <c r="I2442" s="1">
        <v>59247.899999999987</v>
      </c>
      <c r="J2442" s="1">
        <v>107</v>
      </c>
      <c r="K2442" s="1">
        <v>129.25862179487169</v>
      </c>
      <c r="L2442" s="1">
        <v>8.3023453790160868</v>
      </c>
      <c r="N2442" s="7">
        <v>45789</v>
      </c>
      <c r="P2442" s="7">
        <v>46154</v>
      </c>
      <c r="T2442" s="1" t="s">
        <v>333</v>
      </c>
      <c r="U2442" s="1" t="s">
        <v>334</v>
      </c>
      <c r="V2442" s="1">
        <v>1</v>
      </c>
      <c r="W2442" s="3">
        <v>8513.2800000000007</v>
      </c>
      <c r="X2442" s="3">
        <v>8513.2800000000007</v>
      </c>
      <c r="Y2442" s="1" t="str">
        <f>VLOOKUP(A2442,[1]Detalle!$D$2:$CR$484,93,FALSE)</f>
        <v>CENCOMLD - Cencosud SA - Mendoza</v>
      </c>
    </row>
    <row r="2443" spans="1:25" ht="14.25" customHeight="1" x14ac:dyDescent="0.3">
      <c r="A2443" s="1" t="s">
        <v>237</v>
      </c>
      <c r="B2443" s="1" t="s">
        <v>328</v>
      </c>
      <c r="C2443" s="1" t="s">
        <v>328</v>
      </c>
      <c r="D2443" s="1" t="s">
        <v>329</v>
      </c>
      <c r="E2443" s="1">
        <v>40688</v>
      </c>
      <c r="F2443" s="1">
        <v>60688</v>
      </c>
      <c r="G2443" s="1">
        <v>18559.899999999991</v>
      </c>
      <c r="H2443" s="1">
        <v>1440.100000000006</v>
      </c>
      <c r="I2443" s="1">
        <v>59247.899999999987</v>
      </c>
      <c r="J2443" s="1">
        <v>107</v>
      </c>
      <c r="K2443" s="1">
        <v>129.25862179487169</v>
      </c>
      <c r="L2443" s="1">
        <v>8.3023453790160868</v>
      </c>
      <c r="N2443" s="7">
        <v>45790</v>
      </c>
      <c r="P2443" s="7">
        <v>46155</v>
      </c>
      <c r="T2443" s="1" t="s">
        <v>333</v>
      </c>
      <c r="U2443" s="1" t="s">
        <v>334</v>
      </c>
      <c r="V2443" s="1">
        <v>1</v>
      </c>
      <c r="W2443" s="3">
        <v>8513.2800000000007</v>
      </c>
      <c r="X2443" s="3">
        <v>8513.2800000000007</v>
      </c>
      <c r="Y2443" s="1" t="str">
        <f>VLOOKUP(A2443,[1]Detalle!$D$2:$CR$484,93,FALSE)</f>
        <v>CENCOMLD - Cencosud SA - Mendoza</v>
      </c>
    </row>
    <row r="2444" spans="1:25" ht="14.25" customHeight="1" x14ac:dyDescent="0.3">
      <c r="A2444" s="1" t="s">
        <v>235</v>
      </c>
      <c r="B2444" s="1" t="s">
        <v>328</v>
      </c>
      <c r="C2444" s="1" t="s">
        <v>328</v>
      </c>
      <c r="D2444" s="1" t="s">
        <v>329</v>
      </c>
      <c r="E2444" s="1">
        <v>40688</v>
      </c>
      <c r="F2444" s="1">
        <v>60688</v>
      </c>
      <c r="G2444" s="1">
        <v>18559.899999999991</v>
      </c>
      <c r="H2444" s="1">
        <v>1440.100000000006</v>
      </c>
      <c r="I2444" s="1">
        <v>59247.899999999987</v>
      </c>
      <c r="J2444" s="1">
        <v>107</v>
      </c>
      <c r="K2444" s="1">
        <v>129.25862179487169</v>
      </c>
      <c r="L2444" s="1">
        <v>8.3023453790160868</v>
      </c>
      <c r="N2444" s="7">
        <v>45797</v>
      </c>
      <c r="P2444" s="7">
        <v>46162</v>
      </c>
      <c r="T2444" s="1" t="s">
        <v>333</v>
      </c>
      <c r="U2444" s="1" t="s">
        <v>334</v>
      </c>
      <c r="V2444" s="1">
        <v>1</v>
      </c>
      <c r="W2444" s="3">
        <v>8513.2800000000007</v>
      </c>
      <c r="X2444" s="3">
        <v>8513.2800000000007</v>
      </c>
      <c r="Y2444" s="1" t="str">
        <f>VLOOKUP(A2444,[1]Detalle!$D$2:$CR$484,93,FALSE)</f>
        <v>CENCOMLD - Cencosud SA - Mendoza</v>
      </c>
    </row>
    <row r="2445" spans="1:25" ht="14.25" customHeight="1" x14ac:dyDescent="0.3">
      <c r="A2445" s="1" t="s">
        <v>227</v>
      </c>
      <c r="B2445" s="1" t="s">
        <v>328</v>
      </c>
      <c r="C2445" s="1" t="s">
        <v>328</v>
      </c>
      <c r="D2445" s="1" t="s">
        <v>329</v>
      </c>
      <c r="E2445" s="1">
        <v>40688</v>
      </c>
      <c r="F2445" s="1">
        <v>60688</v>
      </c>
      <c r="G2445" s="1">
        <v>18559.899999999991</v>
      </c>
      <c r="H2445" s="1">
        <v>1440.100000000006</v>
      </c>
      <c r="I2445" s="1">
        <v>59247.899999999987</v>
      </c>
      <c r="J2445" s="1">
        <v>107</v>
      </c>
      <c r="K2445" s="1">
        <v>129.25862179487169</v>
      </c>
      <c r="L2445" s="1">
        <v>8.3023453790160868</v>
      </c>
      <c r="N2445" s="7">
        <v>45793</v>
      </c>
      <c r="P2445" s="7">
        <v>46158</v>
      </c>
      <c r="T2445" s="1" t="s">
        <v>333</v>
      </c>
      <c r="U2445" s="1" t="s">
        <v>334</v>
      </c>
      <c r="V2445" s="1">
        <v>1</v>
      </c>
      <c r="W2445" s="3">
        <v>8513.2800000000007</v>
      </c>
      <c r="X2445" s="3">
        <v>8513.2800000000007</v>
      </c>
      <c r="Y2445" s="1" t="str">
        <f>VLOOKUP(A2445,[1]Detalle!$D$2:$CR$484,93,FALSE)</f>
        <v>CCUCoAZA</v>
      </c>
    </row>
    <row r="2446" spans="1:25" ht="14.25" customHeight="1" x14ac:dyDescent="0.3">
      <c r="A2446" s="1" t="s">
        <v>269</v>
      </c>
      <c r="B2446" s="1" t="s">
        <v>328</v>
      </c>
      <c r="C2446" s="1" t="s">
        <v>328</v>
      </c>
      <c r="D2446" s="1" t="s">
        <v>329</v>
      </c>
      <c r="E2446" s="1">
        <v>40688</v>
      </c>
      <c r="F2446" s="1">
        <v>60688</v>
      </c>
      <c r="G2446" s="1">
        <v>18559.899999999991</v>
      </c>
      <c r="H2446" s="1">
        <v>1440.100000000006</v>
      </c>
      <c r="I2446" s="1">
        <v>59247.899999999987</v>
      </c>
      <c r="J2446" s="1">
        <v>107</v>
      </c>
      <c r="K2446" s="1">
        <v>129.25862179487169</v>
      </c>
      <c r="L2446" s="1">
        <v>8.3023453790160868</v>
      </c>
      <c r="N2446" s="7">
        <v>45799</v>
      </c>
      <c r="P2446" s="7">
        <v>46164</v>
      </c>
      <c r="T2446" s="1" t="s">
        <v>333</v>
      </c>
      <c r="U2446" s="1" t="s">
        <v>334</v>
      </c>
      <c r="V2446" s="1">
        <v>1</v>
      </c>
      <c r="W2446" s="3">
        <v>8513.2800000000007</v>
      </c>
      <c r="X2446" s="3">
        <v>8513.2800000000007</v>
      </c>
      <c r="Y2446" s="1" t="str">
        <f>VLOOKUP(A2446,[1]Detalle!$D$2:$CR$484,93,FALSE)</f>
        <v>CCUDyAZA</v>
      </c>
    </row>
    <row r="2447" spans="1:25" ht="14.25" customHeight="1" x14ac:dyDescent="0.3">
      <c r="A2447" s="1" t="s">
        <v>203</v>
      </c>
      <c r="B2447" s="1" t="s">
        <v>328</v>
      </c>
      <c r="C2447" s="1" t="s">
        <v>328</v>
      </c>
      <c r="D2447" s="1" t="s">
        <v>329</v>
      </c>
      <c r="E2447" s="1">
        <v>40688</v>
      </c>
      <c r="F2447" s="1">
        <v>60688</v>
      </c>
      <c r="G2447" s="1">
        <v>18559.899999999991</v>
      </c>
      <c r="H2447" s="1">
        <v>1440.100000000006</v>
      </c>
      <c r="I2447" s="1">
        <v>59247.899999999987</v>
      </c>
      <c r="J2447" s="1">
        <v>107</v>
      </c>
      <c r="K2447" s="1">
        <v>129.25862179487169</v>
      </c>
      <c r="L2447" s="1">
        <v>8.3023453790160868</v>
      </c>
      <c r="N2447" s="7">
        <v>45799</v>
      </c>
      <c r="P2447" s="7">
        <v>46164</v>
      </c>
      <c r="T2447" s="1" t="s">
        <v>333</v>
      </c>
      <c r="U2447" s="1" t="s">
        <v>334</v>
      </c>
      <c r="V2447" s="1">
        <v>1</v>
      </c>
      <c r="W2447" s="3">
        <v>8513.2800000000007</v>
      </c>
      <c r="X2447" s="3">
        <v>8513.2800000000007</v>
      </c>
      <c r="Y2447" s="1" t="str">
        <f>VLOOKUP(A2447,[1]Detalle!$D$2:$CR$484,93,FALSE)</f>
        <v>CCUDyAZA</v>
      </c>
    </row>
    <row r="2448" spans="1:25" ht="14.25" customHeight="1" x14ac:dyDescent="0.3">
      <c r="A2448" s="1" t="s">
        <v>130</v>
      </c>
      <c r="B2448" s="1" t="s">
        <v>328</v>
      </c>
      <c r="C2448" s="1" t="s">
        <v>328</v>
      </c>
      <c r="D2448" s="1" t="s">
        <v>329</v>
      </c>
      <c r="E2448" s="1">
        <v>40688</v>
      </c>
      <c r="F2448" s="1">
        <v>60688</v>
      </c>
      <c r="G2448" s="1">
        <v>18559.899999999991</v>
      </c>
      <c r="H2448" s="1">
        <v>1440.100000000006</v>
      </c>
      <c r="I2448" s="1">
        <v>59247.899999999987</v>
      </c>
      <c r="J2448" s="1">
        <v>107</v>
      </c>
      <c r="K2448" s="1">
        <v>129.25862179487169</v>
      </c>
      <c r="L2448" s="1">
        <v>8.3023453790160868</v>
      </c>
      <c r="N2448" s="7">
        <v>45800</v>
      </c>
      <c r="P2448" s="7">
        <v>46165</v>
      </c>
      <c r="T2448" s="1" t="s">
        <v>333</v>
      </c>
      <c r="U2448" s="1" t="s">
        <v>334</v>
      </c>
      <c r="V2448" s="1">
        <v>1</v>
      </c>
      <c r="W2448" s="3">
        <v>8513.2800000000007</v>
      </c>
      <c r="X2448" s="3">
        <v>8513.2800000000007</v>
      </c>
      <c r="Y2448" s="1" t="str">
        <f>VLOOKUP(A2448,[1]Detalle!$D$2:$CR$484,93,FALSE)</f>
        <v>CMQ_TTE - QUILMES TTE</v>
      </c>
    </row>
    <row r="2449" spans="1:25" ht="14.25" customHeight="1" x14ac:dyDescent="0.3">
      <c r="A2449" s="1" t="s">
        <v>55</v>
      </c>
      <c r="B2449" s="1" t="s">
        <v>328</v>
      </c>
      <c r="C2449" s="1" t="s">
        <v>328</v>
      </c>
      <c r="D2449" s="1" t="s">
        <v>329</v>
      </c>
      <c r="E2449" s="1">
        <v>40688</v>
      </c>
      <c r="F2449" s="1">
        <v>60688</v>
      </c>
      <c r="G2449" s="1">
        <v>18559.899999999991</v>
      </c>
      <c r="H2449" s="1">
        <v>1440.100000000006</v>
      </c>
      <c r="I2449" s="1">
        <v>59247.899999999987</v>
      </c>
      <c r="J2449" s="1">
        <v>107</v>
      </c>
      <c r="K2449" s="1">
        <v>129.25862179487169</v>
      </c>
      <c r="L2449" s="1">
        <v>8.3023453790160868</v>
      </c>
      <c r="N2449" s="7">
        <v>45800</v>
      </c>
      <c r="P2449" s="7">
        <v>46165</v>
      </c>
      <c r="T2449" s="1" t="s">
        <v>333</v>
      </c>
      <c r="U2449" s="1" t="s">
        <v>334</v>
      </c>
      <c r="V2449" s="1">
        <v>1</v>
      </c>
      <c r="W2449" s="3">
        <v>8513.2800000000007</v>
      </c>
      <c r="X2449" s="3">
        <v>8513.2800000000007</v>
      </c>
      <c r="Y2449" s="1" t="str">
        <f>VLOOKUP(A2449,[1]Detalle!$D$2:$CR$484,93,FALSE)</f>
        <v>CMQ_TTE - QUILMES TTE</v>
      </c>
    </row>
    <row r="2450" spans="1:25" ht="14.25" customHeight="1" x14ac:dyDescent="0.3">
      <c r="A2450" s="1" t="s">
        <v>198</v>
      </c>
      <c r="B2450" s="1" t="s">
        <v>328</v>
      </c>
      <c r="C2450" s="1" t="s">
        <v>328</v>
      </c>
      <c r="D2450" s="1" t="s">
        <v>329</v>
      </c>
      <c r="E2450" s="1">
        <v>40688</v>
      </c>
      <c r="F2450" s="1">
        <v>60688</v>
      </c>
      <c r="G2450" s="1">
        <v>18559.899999999991</v>
      </c>
      <c r="H2450" s="1">
        <v>1440.100000000006</v>
      </c>
      <c r="I2450" s="1">
        <v>59247.899999999987</v>
      </c>
      <c r="J2450" s="1">
        <v>107</v>
      </c>
      <c r="K2450" s="1">
        <v>129.25862179487169</v>
      </c>
      <c r="L2450" s="1">
        <v>8.3023453790160868</v>
      </c>
      <c r="N2450" s="7">
        <v>45801</v>
      </c>
      <c r="P2450" s="7">
        <v>46166</v>
      </c>
      <c r="T2450" s="1" t="s">
        <v>333</v>
      </c>
      <c r="U2450" s="1" t="s">
        <v>334</v>
      </c>
      <c r="V2450" s="1">
        <v>1</v>
      </c>
      <c r="W2450" s="3">
        <v>8513.2800000000007</v>
      </c>
      <c r="X2450" s="3">
        <v>8513.2800000000007</v>
      </c>
      <c r="Y2450" s="1" t="str">
        <f>VLOOKUP(A2450,[1]Detalle!$D$2:$CR$484,93,FALSE)</f>
        <v>Sin Operación</v>
      </c>
    </row>
    <row r="2451" spans="1:25" ht="14.25" customHeight="1" x14ac:dyDescent="0.3">
      <c r="A2451" s="1" t="s">
        <v>212</v>
      </c>
      <c r="B2451" s="1" t="s">
        <v>328</v>
      </c>
      <c r="C2451" s="1" t="s">
        <v>328</v>
      </c>
      <c r="D2451" s="1" t="s">
        <v>329</v>
      </c>
      <c r="E2451" s="1">
        <v>40688</v>
      </c>
      <c r="F2451" s="1">
        <v>60688</v>
      </c>
      <c r="G2451" s="1">
        <v>18559.899999999991</v>
      </c>
      <c r="H2451" s="1">
        <v>1440.100000000006</v>
      </c>
      <c r="I2451" s="1">
        <v>59247.899999999987</v>
      </c>
      <c r="J2451" s="1">
        <v>107</v>
      </c>
      <c r="K2451" s="1">
        <v>129.25862179487169</v>
      </c>
      <c r="L2451" s="1">
        <v>8.3023453790160868</v>
      </c>
      <c r="N2451" s="7">
        <v>45803</v>
      </c>
      <c r="P2451" s="7">
        <v>46168</v>
      </c>
      <c r="T2451" s="1" t="s">
        <v>333</v>
      </c>
      <c r="U2451" s="1" t="s">
        <v>334</v>
      </c>
      <c r="V2451" s="1">
        <v>1</v>
      </c>
      <c r="W2451" s="3">
        <v>8513.2800000000007</v>
      </c>
      <c r="X2451" s="3">
        <v>8513.2800000000007</v>
      </c>
      <c r="Y2451" s="1" t="str">
        <f>VLOOKUP(A2451,[1]Detalle!$D$2:$CR$484,93,FALSE)</f>
        <v>Sin Operación</v>
      </c>
    </row>
    <row r="2452" spans="1:25" ht="14.25" customHeight="1" x14ac:dyDescent="0.3">
      <c r="A2452" s="1" t="s">
        <v>14</v>
      </c>
      <c r="B2452" s="1" t="s">
        <v>328</v>
      </c>
      <c r="C2452" s="1" t="s">
        <v>328</v>
      </c>
      <c r="D2452" s="1" t="s">
        <v>329</v>
      </c>
      <c r="E2452" s="1">
        <v>40688</v>
      </c>
      <c r="F2452" s="1">
        <v>60688</v>
      </c>
      <c r="G2452" s="1">
        <v>18559.899999999991</v>
      </c>
      <c r="H2452" s="1">
        <v>1440.100000000006</v>
      </c>
      <c r="I2452" s="1">
        <v>59247.899999999987</v>
      </c>
      <c r="J2452" s="1">
        <v>107</v>
      </c>
      <c r="K2452" s="1">
        <v>129.25862179487169</v>
      </c>
      <c r="L2452" s="1">
        <v>8.3023453790160868</v>
      </c>
      <c r="N2452" s="7">
        <v>45803</v>
      </c>
      <c r="P2452" s="7">
        <v>46168</v>
      </c>
      <c r="T2452" s="1" t="s">
        <v>333</v>
      </c>
      <c r="U2452" s="1" t="s">
        <v>334</v>
      </c>
      <c r="V2452" s="1">
        <v>1</v>
      </c>
      <c r="W2452" s="3">
        <v>8513.2800000000007</v>
      </c>
      <c r="X2452" s="3">
        <v>8513.2800000000007</v>
      </c>
      <c r="Y2452" s="1" t="str">
        <f>VLOOKUP(A2452,[1]Detalle!$D$2:$CR$484,93,FALSE)</f>
        <v>ADA_CH - Danone Arg. S.A. - Chascomus</v>
      </c>
    </row>
    <row r="2453" spans="1:25" ht="14.25" customHeight="1" x14ac:dyDescent="0.3">
      <c r="A2453" s="1" t="s">
        <v>259</v>
      </c>
      <c r="B2453" s="1" t="s">
        <v>328</v>
      </c>
      <c r="C2453" s="1" t="s">
        <v>328</v>
      </c>
      <c r="D2453" s="1" t="s">
        <v>329</v>
      </c>
      <c r="E2453" s="1">
        <v>40688</v>
      </c>
      <c r="F2453" s="1">
        <v>60688</v>
      </c>
      <c r="G2453" s="1">
        <v>18559.899999999991</v>
      </c>
      <c r="H2453" s="1">
        <v>1440.100000000006</v>
      </c>
      <c r="I2453" s="1">
        <v>59247.899999999987</v>
      </c>
      <c r="J2453" s="1">
        <v>107</v>
      </c>
      <c r="K2453" s="1">
        <v>129.25862179487169</v>
      </c>
      <c r="L2453" s="1">
        <v>8.3023453790160868</v>
      </c>
      <c r="N2453" s="7">
        <v>45812</v>
      </c>
      <c r="P2453" s="7">
        <v>46177</v>
      </c>
      <c r="T2453" s="1" t="s">
        <v>333</v>
      </c>
      <c r="U2453" s="1" t="s">
        <v>334</v>
      </c>
      <c r="V2453" s="1">
        <v>1</v>
      </c>
      <c r="W2453" s="3">
        <v>8513.2800000000007</v>
      </c>
      <c r="X2453" s="3">
        <v>8513.2800000000007</v>
      </c>
      <c r="Y2453" s="1" t="str">
        <f>VLOOKUP(A2453,[1]Detalle!$D$2:$CR$484,93,FALSE)</f>
        <v>CCUDyAZA</v>
      </c>
    </row>
    <row r="2454" spans="1:25" ht="14.25" customHeight="1" x14ac:dyDescent="0.3">
      <c r="A2454" s="1" t="s">
        <v>73</v>
      </c>
      <c r="B2454" s="1" t="s">
        <v>328</v>
      </c>
      <c r="C2454" s="1" t="s">
        <v>328</v>
      </c>
      <c r="D2454" s="1" t="s">
        <v>329</v>
      </c>
      <c r="E2454" s="1">
        <v>40688</v>
      </c>
      <c r="F2454" s="1">
        <v>60688</v>
      </c>
      <c r="G2454" s="1">
        <v>18559.899999999991</v>
      </c>
      <c r="H2454" s="1">
        <v>1440.100000000006</v>
      </c>
      <c r="I2454" s="1">
        <v>59247.899999999987</v>
      </c>
      <c r="J2454" s="1">
        <v>107</v>
      </c>
      <c r="K2454" s="1">
        <v>129.25862179487169</v>
      </c>
      <c r="L2454" s="1">
        <v>8.3023453790160868</v>
      </c>
      <c r="N2454" s="7">
        <v>45814</v>
      </c>
      <c r="P2454" s="7">
        <v>46179</v>
      </c>
      <c r="T2454" s="1" t="s">
        <v>333</v>
      </c>
      <c r="U2454" s="1" t="s">
        <v>334</v>
      </c>
      <c r="V2454" s="1">
        <v>1</v>
      </c>
      <c r="W2454" s="3">
        <v>8513.2800000000007</v>
      </c>
      <c r="X2454" s="3">
        <v>8513.2800000000007</v>
      </c>
      <c r="Y2454" s="1" t="str">
        <f>VLOOKUP(A2454,[1]Detalle!$D$2:$CR$484,93,FALSE)</f>
        <v>CMQ_TTE - QUILMES TTE</v>
      </c>
    </row>
    <row r="2455" spans="1:25" ht="14.25" customHeight="1" x14ac:dyDescent="0.3">
      <c r="A2455" s="1" t="s">
        <v>245</v>
      </c>
      <c r="B2455" s="1" t="s">
        <v>328</v>
      </c>
      <c r="C2455" s="1" t="s">
        <v>328</v>
      </c>
      <c r="D2455" s="1" t="s">
        <v>329</v>
      </c>
      <c r="E2455" s="1">
        <v>40688</v>
      </c>
      <c r="F2455" s="1">
        <v>60688</v>
      </c>
      <c r="G2455" s="1">
        <v>18559.899999999991</v>
      </c>
      <c r="H2455" s="1">
        <v>1440.100000000006</v>
      </c>
      <c r="I2455" s="1">
        <v>59247.899999999987</v>
      </c>
      <c r="J2455" s="1">
        <v>107</v>
      </c>
      <c r="K2455" s="1">
        <v>129.25862179487169</v>
      </c>
      <c r="L2455" s="1">
        <v>8.3023453790160868</v>
      </c>
      <c r="N2455" s="7">
        <v>45817</v>
      </c>
      <c r="P2455" s="7">
        <v>46182</v>
      </c>
      <c r="T2455" s="1" t="s">
        <v>333</v>
      </c>
      <c r="U2455" s="1" t="s">
        <v>334</v>
      </c>
      <c r="V2455" s="1">
        <v>1</v>
      </c>
      <c r="W2455" s="3">
        <v>8513.2800000000007</v>
      </c>
      <c r="X2455" s="3">
        <v>8513.2800000000007</v>
      </c>
      <c r="Y2455" s="1" t="str">
        <f>VLOOKUP(A2455,[1]Detalle!$D$2:$CR$484,93,FALSE)</f>
        <v>CMQ_TTE - QUILMES TTE</v>
      </c>
    </row>
    <row r="2456" spans="1:25" ht="14.25" customHeight="1" x14ac:dyDescent="0.3">
      <c r="A2456" s="1" t="s">
        <v>222</v>
      </c>
      <c r="B2456" s="1" t="s">
        <v>328</v>
      </c>
      <c r="C2456" s="1" t="s">
        <v>328</v>
      </c>
      <c r="D2456" s="1" t="s">
        <v>329</v>
      </c>
      <c r="E2456" s="1">
        <v>40688</v>
      </c>
      <c r="F2456" s="1">
        <v>60688</v>
      </c>
      <c r="G2456" s="1">
        <v>18559.899999999991</v>
      </c>
      <c r="H2456" s="1">
        <v>1440.100000000006</v>
      </c>
      <c r="I2456" s="1">
        <v>59247.899999999987</v>
      </c>
      <c r="J2456" s="1">
        <v>107</v>
      </c>
      <c r="K2456" s="1">
        <v>129.25862179487169</v>
      </c>
      <c r="L2456" s="1">
        <v>8.3023453790160868</v>
      </c>
      <c r="N2456" s="7">
        <v>45820</v>
      </c>
      <c r="P2456" s="7">
        <v>46185</v>
      </c>
      <c r="T2456" s="1" t="s">
        <v>333</v>
      </c>
      <c r="U2456" s="1" t="s">
        <v>334</v>
      </c>
      <c r="V2456" s="1">
        <v>1</v>
      </c>
      <c r="W2456" s="3">
        <v>8513.2800000000007</v>
      </c>
      <c r="X2456" s="3">
        <v>8513.2800000000007</v>
      </c>
      <c r="Y2456" s="1" t="str">
        <f>VLOOKUP(A2456,[1]Detalle!$D$2:$CR$484,93,FALSE)</f>
        <v>Sin Operación</v>
      </c>
    </row>
    <row r="2457" spans="1:25" ht="14.25" customHeight="1" x14ac:dyDescent="0.3">
      <c r="A2457" s="1" t="s">
        <v>173</v>
      </c>
      <c r="B2457" s="1" t="s">
        <v>328</v>
      </c>
      <c r="C2457" s="1" t="s">
        <v>328</v>
      </c>
      <c r="D2457" s="1" t="s">
        <v>329</v>
      </c>
      <c r="E2457" s="1">
        <v>40688</v>
      </c>
      <c r="F2457" s="1">
        <v>60688</v>
      </c>
      <c r="G2457" s="1">
        <v>18559.899999999991</v>
      </c>
      <c r="H2457" s="1">
        <v>1440.100000000006</v>
      </c>
      <c r="I2457" s="1">
        <v>59247.899999999987</v>
      </c>
      <c r="J2457" s="1">
        <v>107</v>
      </c>
      <c r="K2457" s="1">
        <v>129.25862179487169</v>
      </c>
      <c r="L2457" s="1">
        <v>8.3023453790160868</v>
      </c>
      <c r="N2457" s="7">
        <v>45821</v>
      </c>
      <c r="P2457" s="7">
        <v>46186</v>
      </c>
      <c r="T2457" s="1" t="s">
        <v>333</v>
      </c>
      <c r="U2457" s="1" t="s">
        <v>334</v>
      </c>
      <c r="V2457" s="1">
        <v>1</v>
      </c>
      <c r="W2457" s="3">
        <v>8513.2800000000007</v>
      </c>
      <c r="X2457" s="3">
        <v>8513.2800000000007</v>
      </c>
      <c r="Y2457" s="1" t="str">
        <f>VLOOKUP(A2457,[1]Detalle!$D$2:$CR$484,93,FALSE)</f>
        <v>CENCO_MZ - Cencosud SA - Mendoza</v>
      </c>
    </row>
    <row r="2458" spans="1:25" ht="14.25" customHeight="1" x14ac:dyDescent="0.3">
      <c r="A2458" s="1" t="s">
        <v>165</v>
      </c>
      <c r="B2458" s="1" t="s">
        <v>328</v>
      </c>
      <c r="C2458" s="1" t="s">
        <v>328</v>
      </c>
      <c r="D2458" s="1" t="s">
        <v>329</v>
      </c>
      <c r="E2458" s="1">
        <v>40688</v>
      </c>
      <c r="F2458" s="1">
        <v>60688</v>
      </c>
      <c r="G2458" s="1">
        <v>18559.899999999991</v>
      </c>
      <c r="H2458" s="1">
        <v>1440.100000000006</v>
      </c>
      <c r="I2458" s="1">
        <v>59247.899999999987</v>
      </c>
      <c r="J2458" s="1">
        <v>107</v>
      </c>
      <c r="K2458" s="1">
        <v>129.25862179487169</v>
      </c>
      <c r="L2458" s="1">
        <v>8.3023453790160868</v>
      </c>
      <c r="N2458" s="7">
        <v>45825</v>
      </c>
      <c r="P2458" s="7">
        <v>46190</v>
      </c>
      <c r="T2458" s="1" t="s">
        <v>333</v>
      </c>
      <c r="U2458" s="1" t="s">
        <v>334</v>
      </c>
      <c r="V2458" s="1">
        <v>1</v>
      </c>
      <c r="W2458" s="3">
        <v>8513.2800000000007</v>
      </c>
      <c r="X2458" s="3">
        <v>8513.2800000000007</v>
      </c>
      <c r="Y2458" s="1" t="str">
        <f>VLOOKUP(A2458,[1]Detalle!$D$2:$CR$484,93,FALSE)</f>
        <v>Papelera - Papelera del Plata S.A.</v>
      </c>
    </row>
    <row r="2459" spans="1:25" ht="14.25" customHeight="1" x14ac:dyDescent="0.3">
      <c r="A2459" s="1" t="s">
        <v>224</v>
      </c>
      <c r="B2459" s="1" t="s">
        <v>328</v>
      </c>
      <c r="C2459" s="1" t="s">
        <v>328</v>
      </c>
      <c r="D2459" s="1" t="s">
        <v>329</v>
      </c>
      <c r="E2459" s="1">
        <v>40688</v>
      </c>
      <c r="F2459" s="1">
        <v>60688</v>
      </c>
      <c r="G2459" s="1">
        <v>18559.899999999991</v>
      </c>
      <c r="H2459" s="1">
        <v>1440.100000000006</v>
      </c>
      <c r="I2459" s="1">
        <v>59247.899999999987</v>
      </c>
      <c r="J2459" s="1">
        <v>107</v>
      </c>
      <c r="K2459" s="1">
        <v>129.25862179487169</v>
      </c>
      <c r="L2459" s="1">
        <v>8.3023453790160868</v>
      </c>
      <c r="N2459" s="7">
        <v>45825</v>
      </c>
      <c r="P2459" s="7">
        <v>46190</v>
      </c>
      <c r="T2459" s="1" t="s">
        <v>333</v>
      </c>
      <c r="U2459" s="1" t="s">
        <v>334</v>
      </c>
      <c r="V2459" s="1">
        <v>1</v>
      </c>
      <c r="W2459" s="3">
        <v>8513.2800000000007</v>
      </c>
      <c r="X2459" s="3">
        <v>8513.2800000000007</v>
      </c>
      <c r="Y2459" s="1" t="str">
        <f>VLOOKUP(A2459,[1]Detalle!$D$2:$CR$484,93,FALSE)</f>
        <v>Sin Operación</v>
      </c>
    </row>
    <row r="2460" spans="1:25" ht="14.25" customHeight="1" x14ac:dyDescent="0.3">
      <c r="A2460" s="1" t="s">
        <v>79</v>
      </c>
      <c r="B2460" s="1" t="s">
        <v>396</v>
      </c>
      <c r="C2460" s="1" t="s">
        <v>328</v>
      </c>
      <c r="D2460" s="1" t="s">
        <v>329</v>
      </c>
      <c r="E2460" s="1">
        <v>40688</v>
      </c>
      <c r="F2460" s="1">
        <v>60688</v>
      </c>
      <c r="G2460" s="1">
        <v>18559.899999999991</v>
      </c>
      <c r="H2460" s="1">
        <v>1440.100000000006</v>
      </c>
      <c r="I2460" s="1">
        <v>59247.899999999987</v>
      </c>
      <c r="J2460" s="1">
        <v>107</v>
      </c>
      <c r="K2460" s="1">
        <v>129.25862179487169</v>
      </c>
      <c r="L2460" s="1">
        <v>8.3023453790160868</v>
      </c>
      <c r="N2460" s="7">
        <v>45826</v>
      </c>
      <c r="P2460" s="7">
        <v>46191</v>
      </c>
      <c r="T2460" s="1" t="s">
        <v>397</v>
      </c>
      <c r="U2460" s="1" t="s">
        <v>398</v>
      </c>
      <c r="V2460" s="1">
        <v>1</v>
      </c>
      <c r="W2460" s="3">
        <v>9737.2800000000007</v>
      </c>
      <c r="X2460" s="3">
        <v>9737.2800000000007</v>
      </c>
      <c r="Y2460" s="1" t="str">
        <f>VLOOKUP(A2460,[1]Detalle!$D$2:$CR$484,93,FALSE)</f>
        <v>Papelera - Papelera del Plata S.A.</v>
      </c>
    </row>
    <row r="2461" spans="1:25" ht="14.25" customHeight="1" x14ac:dyDescent="0.3">
      <c r="A2461" s="1" t="s">
        <v>119</v>
      </c>
      <c r="B2461" s="1" t="s">
        <v>328</v>
      </c>
      <c r="C2461" s="1" t="s">
        <v>328</v>
      </c>
      <c r="D2461" s="1" t="s">
        <v>329</v>
      </c>
      <c r="E2461" s="1">
        <v>40688</v>
      </c>
      <c r="F2461" s="1">
        <v>60688</v>
      </c>
      <c r="G2461" s="1">
        <v>18559.899999999991</v>
      </c>
      <c r="H2461" s="1">
        <v>1440.100000000006</v>
      </c>
      <c r="I2461" s="1">
        <v>59247.899999999987</v>
      </c>
      <c r="J2461" s="1">
        <v>107</v>
      </c>
      <c r="K2461" s="1">
        <v>129.25862179487169</v>
      </c>
      <c r="L2461" s="1">
        <v>8.3023453790160868</v>
      </c>
      <c r="N2461" s="7">
        <v>45831</v>
      </c>
      <c r="P2461" s="7">
        <v>46196</v>
      </c>
      <c r="T2461" s="1" t="s">
        <v>333</v>
      </c>
      <c r="U2461" s="1" t="s">
        <v>334</v>
      </c>
      <c r="V2461" s="1">
        <v>1</v>
      </c>
      <c r="W2461" s="3">
        <v>8513.2800000000007</v>
      </c>
      <c r="X2461" s="3">
        <v>8513.2800000000007</v>
      </c>
      <c r="Y2461" s="1" t="str">
        <f>VLOOKUP(A2461,[1]Detalle!$D$2:$CR$484,93,FALSE)</f>
        <v>SUC_CTC - Sucursal Buenos Aires</v>
      </c>
    </row>
    <row r="2462" spans="1:25" ht="14.25" customHeight="1" x14ac:dyDescent="0.3">
      <c r="A2462" s="1" t="s">
        <v>168</v>
      </c>
      <c r="B2462" s="1" t="s">
        <v>328</v>
      </c>
      <c r="C2462" s="1" t="s">
        <v>328</v>
      </c>
      <c r="D2462" s="1" t="s">
        <v>329</v>
      </c>
      <c r="E2462" s="1">
        <v>40688</v>
      </c>
      <c r="F2462" s="1">
        <v>60688</v>
      </c>
      <c r="G2462" s="1">
        <v>18559.899999999991</v>
      </c>
      <c r="H2462" s="1">
        <v>1440.100000000006</v>
      </c>
      <c r="I2462" s="1">
        <v>59247.899999999987</v>
      </c>
      <c r="J2462" s="1">
        <v>107</v>
      </c>
      <c r="K2462" s="1">
        <v>129.25862179487169</v>
      </c>
      <c r="L2462" s="1">
        <v>8.3023453790160868</v>
      </c>
      <c r="N2462" s="7">
        <v>45831</v>
      </c>
      <c r="P2462" s="7">
        <v>46196</v>
      </c>
      <c r="T2462" s="1" t="s">
        <v>333</v>
      </c>
      <c r="U2462" s="1" t="s">
        <v>334</v>
      </c>
      <c r="V2462" s="1">
        <v>1</v>
      </c>
      <c r="W2462" s="3">
        <v>8513.2800000000007</v>
      </c>
      <c r="X2462" s="3">
        <v>8513.2800000000007</v>
      </c>
      <c r="Y2462" s="1" t="str">
        <f>VLOOKUP(A2462,[1]Detalle!$D$2:$CR$484,93,FALSE)</f>
        <v>Unilever - Unilever de Arg. S.A.</v>
      </c>
    </row>
    <row r="2463" spans="1:25" ht="14.25" customHeight="1" x14ac:dyDescent="0.3">
      <c r="A2463" s="1" t="s">
        <v>223</v>
      </c>
      <c r="B2463" s="1" t="s">
        <v>328</v>
      </c>
      <c r="C2463" s="1" t="s">
        <v>328</v>
      </c>
      <c r="D2463" s="1" t="s">
        <v>329</v>
      </c>
      <c r="E2463" s="1">
        <v>40688</v>
      </c>
      <c r="F2463" s="1">
        <v>60688</v>
      </c>
      <c r="G2463" s="1">
        <v>18559.899999999991</v>
      </c>
      <c r="H2463" s="1">
        <v>1440.100000000006</v>
      </c>
      <c r="I2463" s="1">
        <v>59247.899999999987</v>
      </c>
      <c r="J2463" s="1">
        <v>107</v>
      </c>
      <c r="K2463" s="1">
        <v>129.25862179487169</v>
      </c>
      <c r="L2463" s="1">
        <v>8.3023453790160868</v>
      </c>
      <c r="N2463" s="7">
        <v>45831</v>
      </c>
      <c r="P2463" s="7">
        <v>46196</v>
      </c>
      <c r="T2463" s="1" t="s">
        <v>333</v>
      </c>
      <c r="U2463" s="1" t="s">
        <v>334</v>
      </c>
      <c r="V2463" s="1">
        <v>1</v>
      </c>
      <c r="W2463" s="3">
        <v>8513.2800000000007</v>
      </c>
      <c r="X2463" s="3">
        <v>8513.2800000000007</v>
      </c>
      <c r="Y2463" s="1" t="str">
        <f>VLOOKUP(A2463,[1]Detalle!$D$2:$CR$484,93,FALSE)</f>
        <v>CMQ_TTE - QUILMES TTE</v>
      </c>
    </row>
    <row r="2464" spans="1:25" ht="14.25" customHeight="1" x14ac:dyDescent="0.3">
      <c r="A2464" s="1" t="s">
        <v>244</v>
      </c>
      <c r="B2464" s="1" t="s">
        <v>328</v>
      </c>
      <c r="C2464" s="1" t="s">
        <v>328</v>
      </c>
      <c r="D2464" s="1" t="s">
        <v>329</v>
      </c>
      <c r="E2464" s="1">
        <v>40688</v>
      </c>
      <c r="F2464" s="1">
        <v>60688</v>
      </c>
      <c r="G2464" s="1">
        <v>18559.899999999991</v>
      </c>
      <c r="H2464" s="1">
        <v>1440.100000000006</v>
      </c>
      <c r="I2464" s="1">
        <v>59247.899999999987</v>
      </c>
      <c r="J2464" s="1">
        <v>107</v>
      </c>
      <c r="K2464" s="1">
        <v>129.25862179487169</v>
      </c>
      <c r="L2464" s="1">
        <v>8.3023453790160868</v>
      </c>
      <c r="N2464" s="7">
        <v>45832</v>
      </c>
      <c r="P2464" s="7">
        <v>46197</v>
      </c>
      <c r="T2464" s="1" t="s">
        <v>333</v>
      </c>
      <c r="U2464" s="1" t="s">
        <v>334</v>
      </c>
      <c r="V2464" s="1">
        <v>1</v>
      </c>
      <c r="W2464" s="3">
        <v>8513.2800000000007</v>
      </c>
      <c r="X2464" s="3">
        <v>8513.2800000000007</v>
      </c>
      <c r="Y2464" s="1" t="str">
        <f>VLOOKUP(A2464,[1]Detalle!$D$2:$CR$484,93,FALSE)</f>
        <v>CMQ_TTE - QUILMES TTE</v>
      </c>
    </row>
    <row r="2465" spans="1:25" ht="14.25" customHeight="1" x14ac:dyDescent="0.3">
      <c r="A2465" s="1" t="s">
        <v>167</v>
      </c>
      <c r="B2465" s="1" t="s">
        <v>328</v>
      </c>
      <c r="C2465" s="1" t="s">
        <v>328</v>
      </c>
      <c r="D2465" s="1" t="s">
        <v>329</v>
      </c>
      <c r="E2465" s="1">
        <v>40688</v>
      </c>
      <c r="F2465" s="1">
        <v>60688</v>
      </c>
      <c r="G2465" s="1">
        <v>18559.899999999991</v>
      </c>
      <c r="H2465" s="1">
        <v>1440.100000000006</v>
      </c>
      <c r="I2465" s="1">
        <v>59247.899999999987</v>
      </c>
      <c r="J2465" s="1">
        <v>107</v>
      </c>
      <c r="K2465" s="1">
        <v>129.25862179487169</v>
      </c>
      <c r="L2465" s="1">
        <v>8.3023453790160868</v>
      </c>
      <c r="N2465" s="7">
        <v>45833</v>
      </c>
      <c r="P2465" s="7">
        <v>46198</v>
      </c>
      <c r="T2465" s="1" t="s">
        <v>333</v>
      </c>
      <c r="U2465" s="1" t="s">
        <v>334</v>
      </c>
      <c r="V2465" s="1">
        <v>1</v>
      </c>
      <c r="W2465" s="3">
        <v>8513.2800000000007</v>
      </c>
      <c r="X2465" s="3">
        <v>8513.2800000000007</v>
      </c>
      <c r="Y2465" s="1" t="str">
        <f>VLOOKUP(A2465,[1]Detalle!$D$2:$CR$484,93,FALSE)</f>
        <v>Papelera - Papelera del Plata S.A.</v>
      </c>
    </row>
    <row r="2466" spans="1:25" ht="14.25" customHeight="1" x14ac:dyDescent="0.3">
      <c r="A2466" s="1" t="s">
        <v>104</v>
      </c>
      <c r="B2466" s="1" t="s">
        <v>328</v>
      </c>
      <c r="C2466" s="1" t="s">
        <v>328</v>
      </c>
      <c r="D2466" s="1" t="s">
        <v>329</v>
      </c>
      <c r="E2466" s="1">
        <v>40688</v>
      </c>
      <c r="F2466" s="1">
        <v>60688</v>
      </c>
      <c r="G2466" s="1">
        <v>18559.899999999991</v>
      </c>
      <c r="H2466" s="1">
        <v>1440.100000000006</v>
      </c>
      <c r="I2466" s="1">
        <v>59247.899999999987</v>
      </c>
      <c r="J2466" s="1">
        <v>107</v>
      </c>
      <c r="K2466" s="1">
        <v>129.25862179487169</v>
      </c>
      <c r="L2466" s="1">
        <v>8.3023453790160868</v>
      </c>
      <c r="N2466" s="7">
        <v>45833</v>
      </c>
      <c r="P2466" s="7">
        <v>46198</v>
      </c>
      <c r="T2466" s="1" t="s">
        <v>333</v>
      </c>
      <c r="U2466" s="1" t="s">
        <v>334</v>
      </c>
      <c r="V2466" s="1">
        <v>1</v>
      </c>
      <c r="W2466" s="3">
        <v>8513.2800000000007</v>
      </c>
      <c r="X2466" s="3">
        <v>8513.2800000000007</v>
      </c>
      <c r="Y2466" s="1" t="str">
        <f>VLOOKUP(A2466,[1]Detalle!$D$2:$CR$484,93,FALSE)</f>
        <v>SUC_GAL - Sucursal General Alvear</v>
      </c>
    </row>
    <row r="2467" spans="1:25" ht="14.25" customHeight="1" x14ac:dyDescent="0.3">
      <c r="A2467" s="1" t="s">
        <v>174</v>
      </c>
      <c r="B2467" s="1" t="s">
        <v>328</v>
      </c>
      <c r="C2467" s="1" t="s">
        <v>328</v>
      </c>
      <c r="D2467" s="1" t="s">
        <v>329</v>
      </c>
      <c r="E2467" s="1">
        <v>40688</v>
      </c>
      <c r="F2467" s="1">
        <v>60688</v>
      </c>
      <c r="G2467" s="1">
        <v>18559.899999999991</v>
      </c>
      <c r="H2467" s="1">
        <v>1440.100000000006</v>
      </c>
      <c r="I2467" s="1">
        <v>59247.899999999987</v>
      </c>
      <c r="J2467" s="1">
        <v>107</v>
      </c>
      <c r="K2467" s="1">
        <v>129.25862179487169</v>
      </c>
      <c r="L2467" s="1">
        <v>8.3023453790160868</v>
      </c>
      <c r="N2467" s="7">
        <v>45834</v>
      </c>
      <c r="P2467" s="7">
        <v>46199</v>
      </c>
      <c r="T2467" s="1" t="s">
        <v>333</v>
      </c>
      <c r="U2467" s="1" t="s">
        <v>334</v>
      </c>
      <c r="V2467" s="1">
        <v>1</v>
      </c>
      <c r="W2467" s="3">
        <v>8513.2800000000007</v>
      </c>
      <c r="X2467" s="3">
        <v>8513.2800000000007</v>
      </c>
      <c r="Y2467" s="1" t="str">
        <f>VLOOKUP(A2467,[1]Detalle!$D$2:$CR$484,93,FALSE)</f>
        <v>Unilever - Unilever de Arg. S.A.</v>
      </c>
    </row>
    <row r="2468" spans="1:25" ht="14.25" customHeight="1" x14ac:dyDescent="0.3">
      <c r="A2468" s="1" t="s">
        <v>211</v>
      </c>
      <c r="B2468" s="1" t="s">
        <v>328</v>
      </c>
      <c r="C2468" s="1" t="s">
        <v>328</v>
      </c>
      <c r="D2468" s="1" t="s">
        <v>329</v>
      </c>
      <c r="E2468" s="1">
        <v>40688</v>
      </c>
      <c r="F2468" s="1">
        <v>60688</v>
      </c>
      <c r="G2468" s="1">
        <v>18559.899999999991</v>
      </c>
      <c r="H2468" s="1">
        <v>1440.100000000006</v>
      </c>
      <c r="I2468" s="1">
        <v>59247.899999999987</v>
      </c>
      <c r="J2468" s="1">
        <v>107</v>
      </c>
      <c r="K2468" s="1">
        <v>129.25862179487169</v>
      </c>
      <c r="L2468" s="1">
        <v>8.3023453790160868</v>
      </c>
      <c r="N2468" s="7">
        <v>45834</v>
      </c>
      <c r="P2468" s="7">
        <v>46199</v>
      </c>
      <c r="T2468" s="1" t="s">
        <v>333</v>
      </c>
      <c r="U2468" s="1" t="s">
        <v>334</v>
      </c>
      <c r="V2468" s="1">
        <v>1</v>
      </c>
      <c r="W2468" s="3">
        <v>8513.2800000000007</v>
      </c>
      <c r="X2468" s="3">
        <v>8513.2800000000007</v>
      </c>
      <c r="Y2468" s="1" t="str">
        <f>VLOOKUP(A2468,[1]Detalle!$D$2:$CR$484,93,FALSE)</f>
        <v>SUC_GAL - Sucursal General Alvear</v>
      </c>
    </row>
    <row r="2469" spans="1:25" ht="14.25" customHeight="1" x14ac:dyDescent="0.3">
      <c r="A2469" s="1" t="s">
        <v>171</v>
      </c>
      <c r="B2469" s="1" t="s">
        <v>328</v>
      </c>
      <c r="C2469" s="1" t="s">
        <v>328</v>
      </c>
      <c r="D2469" s="1" t="s">
        <v>329</v>
      </c>
      <c r="E2469" s="1">
        <v>40688</v>
      </c>
      <c r="F2469" s="1">
        <v>60688</v>
      </c>
      <c r="G2469" s="1">
        <v>18559.899999999991</v>
      </c>
      <c r="H2469" s="1">
        <v>1440.100000000006</v>
      </c>
      <c r="I2469" s="1">
        <v>59247.899999999987</v>
      </c>
      <c r="J2469" s="1">
        <v>107</v>
      </c>
      <c r="K2469" s="1">
        <v>129.25862179487169</v>
      </c>
      <c r="L2469" s="1">
        <v>8.3023453790160868</v>
      </c>
      <c r="N2469" s="7">
        <v>45835</v>
      </c>
      <c r="P2469" s="7">
        <v>46200</v>
      </c>
      <c r="T2469" s="1" t="s">
        <v>333</v>
      </c>
      <c r="U2469" s="1" t="s">
        <v>334</v>
      </c>
      <c r="V2469" s="1">
        <v>1</v>
      </c>
      <c r="W2469" s="3">
        <v>8513.2800000000007</v>
      </c>
      <c r="X2469" s="3">
        <v>8513.2800000000007</v>
      </c>
      <c r="Y2469" s="1" t="str">
        <f>VLOOKUP(A2469,[1]Detalle!$D$2:$CR$484,93,FALSE)</f>
        <v>CENCO_MZ - Cencosud SA - Mendoza</v>
      </c>
    </row>
    <row r="2470" spans="1:25" ht="14.25" customHeight="1" x14ac:dyDescent="0.3">
      <c r="A2470" s="1" t="s">
        <v>152</v>
      </c>
      <c r="B2470" s="1" t="s">
        <v>328</v>
      </c>
      <c r="C2470" s="1" t="s">
        <v>328</v>
      </c>
      <c r="D2470" s="1" t="s">
        <v>329</v>
      </c>
      <c r="E2470" s="1">
        <v>40688</v>
      </c>
      <c r="F2470" s="1">
        <v>60688</v>
      </c>
      <c r="G2470" s="1">
        <v>18559.899999999991</v>
      </c>
      <c r="H2470" s="1">
        <v>1440.100000000006</v>
      </c>
      <c r="I2470" s="1">
        <v>59247.899999999987</v>
      </c>
      <c r="J2470" s="1">
        <v>107</v>
      </c>
      <c r="K2470" s="1">
        <v>129.25862179487169</v>
      </c>
      <c r="L2470" s="1">
        <v>8.3023453790160868</v>
      </c>
      <c r="N2470" s="7">
        <v>45845</v>
      </c>
      <c r="P2470" s="7">
        <v>46210</v>
      </c>
      <c r="T2470" s="1" t="s">
        <v>333</v>
      </c>
      <c r="U2470" s="1" t="s">
        <v>334</v>
      </c>
      <c r="V2470" s="1">
        <v>1</v>
      </c>
      <c r="W2470" s="3">
        <v>8513.2800000000007</v>
      </c>
      <c r="X2470" s="3">
        <v>8513.2800000000007</v>
      </c>
      <c r="Y2470" s="1" t="str">
        <f>VLOOKUP(A2470,[1]Detalle!$D$2:$CR$484,93,FALSE)</f>
        <v>SUC_REA - Sucursal Realicó</v>
      </c>
    </row>
    <row r="2471" spans="1:25" ht="14.25" customHeight="1" x14ac:dyDescent="0.3">
      <c r="A2471" s="1" t="s">
        <v>133</v>
      </c>
      <c r="B2471" s="1" t="s">
        <v>328</v>
      </c>
      <c r="C2471" s="1" t="s">
        <v>328</v>
      </c>
      <c r="D2471" s="1" t="s">
        <v>329</v>
      </c>
      <c r="E2471" s="1">
        <v>40688</v>
      </c>
      <c r="F2471" s="1">
        <v>60688</v>
      </c>
      <c r="G2471" s="1">
        <v>18559.899999999991</v>
      </c>
      <c r="H2471" s="1">
        <v>1440.100000000006</v>
      </c>
      <c r="I2471" s="1">
        <v>59247.899999999987</v>
      </c>
      <c r="J2471" s="1">
        <v>107</v>
      </c>
      <c r="K2471" s="1">
        <v>129.25862179487169</v>
      </c>
      <c r="L2471" s="1">
        <v>8.3023453790160868</v>
      </c>
      <c r="N2471" s="7">
        <v>45846</v>
      </c>
      <c r="P2471" s="7">
        <v>46211</v>
      </c>
      <c r="T2471" s="1" t="s">
        <v>333</v>
      </c>
      <c r="U2471" s="1" t="s">
        <v>334</v>
      </c>
      <c r="V2471" s="1">
        <v>1</v>
      </c>
      <c r="W2471" s="3">
        <v>8513.2800000000007</v>
      </c>
      <c r="X2471" s="3">
        <v>8513.2800000000007</v>
      </c>
      <c r="Y2471" s="1" t="str">
        <f>VLOOKUP(A2471,[1]Detalle!$D$2:$CR$484,93,FALSE)</f>
        <v>CENCOMLD - Cencosud SA - Mendoza</v>
      </c>
    </row>
    <row r="2472" spans="1:25" ht="14.25" customHeight="1" x14ac:dyDescent="0.3">
      <c r="A2472" s="1" t="s">
        <v>15</v>
      </c>
      <c r="B2472" s="1" t="s">
        <v>328</v>
      </c>
      <c r="C2472" s="1" t="s">
        <v>328</v>
      </c>
      <c r="D2472" s="1" t="s">
        <v>329</v>
      </c>
      <c r="E2472" s="1">
        <v>40688</v>
      </c>
      <c r="F2472" s="1">
        <v>60688</v>
      </c>
      <c r="G2472" s="1">
        <v>18559.899999999991</v>
      </c>
      <c r="H2472" s="1">
        <v>1440.100000000006</v>
      </c>
      <c r="I2472" s="1">
        <v>59247.899999999987</v>
      </c>
      <c r="J2472" s="1">
        <v>107</v>
      </c>
      <c r="K2472" s="1">
        <v>129.25862179487169</v>
      </c>
      <c r="L2472" s="1">
        <v>8.3023453790160868</v>
      </c>
      <c r="N2472" s="7">
        <v>45848</v>
      </c>
      <c r="P2472" s="7">
        <v>46213</v>
      </c>
      <c r="T2472" s="1" t="s">
        <v>333</v>
      </c>
      <c r="U2472" s="1" t="s">
        <v>334</v>
      </c>
      <c r="V2472" s="1">
        <v>1</v>
      </c>
      <c r="W2472" s="3">
        <v>8513.2800000000007</v>
      </c>
      <c r="X2472" s="3">
        <v>8513.2800000000007</v>
      </c>
      <c r="Y2472" s="1" t="str">
        <f>VLOOKUP(A2472,[1]Detalle!$D$2:$CR$484,93,FALSE)</f>
        <v>CENCOMLD - Cencosud SA - Mendoza</v>
      </c>
    </row>
    <row r="2473" spans="1:25" ht="14.25" customHeight="1" x14ac:dyDescent="0.3">
      <c r="A2473" s="1" t="s">
        <v>219</v>
      </c>
      <c r="B2473" s="1" t="s">
        <v>328</v>
      </c>
      <c r="C2473" s="1" t="s">
        <v>328</v>
      </c>
      <c r="D2473" s="1" t="s">
        <v>329</v>
      </c>
      <c r="E2473" s="1">
        <v>40688</v>
      </c>
      <c r="F2473" s="1">
        <v>60688</v>
      </c>
      <c r="G2473" s="1">
        <v>18559.899999999991</v>
      </c>
      <c r="H2473" s="1">
        <v>1440.100000000006</v>
      </c>
      <c r="I2473" s="1">
        <v>59247.899999999987</v>
      </c>
      <c r="J2473" s="1">
        <v>107</v>
      </c>
      <c r="K2473" s="1">
        <v>129.25862179487169</v>
      </c>
      <c r="L2473" s="1">
        <v>8.3023453790160868</v>
      </c>
      <c r="N2473" s="7">
        <v>45853</v>
      </c>
      <c r="P2473" s="7">
        <v>46218</v>
      </c>
      <c r="T2473" s="1" t="s">
        <v>333</v>
      </c>
      <c r="U2473" s="1" t="s">
        <v>334</v>
      </c>
      <c r="V2473" s="1">
        <v>1</v>
      </c>
      <c r="W2473" s="3">
        <v>8513.2800000000007</v>
      </c>
      <c r="X2473" s="3">
        <v>8513.2800000000007</v>
      </c>
      <c r="Y2473" s="1" t="str">
        <f>VLOOKUP(A2473,[1]Detalle!$D$2:$CR$484,93,FALSE)</f>
        <v>CMQ_TTE - QUILMES TTE</v>
      </c>
    </row>
    <row r="2474" spans="1:25" ht="14.25" customHeight="1" x14ac:dyDescent="0.3">
      <c r="A2474" s="1" t="s">
        <v>64</v>
      </c>
      <c r="B2474" s="1" t="s">
        <v>396</v>
      </c>
      <c r="C2474" s="1" t="s">
        <v>328</v>
      </c>
      <c r="D2474" s="1" t="s">
        <v>329</v>
      </c>
      <c r="E2474" s="1">
        <v>40688</v>
      </c>
      <c r="F2474" s="1">
        <v>60688</v>
      </c>
      <c r="G2474" s="1">
        <v>18559.899999999991</v>
      </c>
      <c r="H2474" s="1">
        <v>1440.100000000006</v>
      </c>
      <c r="I2474" s="1">
        <v>59247.899999999987</v>
      </c>
      <c r="J2474" s="1">
        <v>107</v>
      </c>
      <c r="K2474" s="1">
        <v>129.25862179487169</v>
      </c>
      <c r="L2474" s="1">
        <v>8.3023453790160868</v>
      </c>
      <c r="N2474" s="7">
        <v>45855</v>
      </c>
      <c r="P2474" s="7">
        <v>46220</v>
      </c>
      <c r="T2474" s="1" t="s">
        <v>397</v>
      </c>
      <c r="U2474" s="1" t="s">
        <v>398</v>
      </c>
      <c r="V2474" s="1">
        <v>1</v>
      </c>
      <c r="W2474" s="3">
        <v>9737.2800000000007</v>
      </c>
      <c r="X2474" s="3">
        <v>9737.2800000000007</v>
      </c>
      <c r="Y2474" s="1" t="str">
        <f>VLOOKUP(A2474,[1]Detalle!$D$2:$CR$484,93,FALSE)</f>
        <v>CMQ_TTE - QUILMES TTE</v>
      </c>
    </row>
    <row r="2475" spans="1:25" ht="14.25" customHeight="1" x14ac:dyDescent="0.3">
      <c r="A2475" s="1" t="s">
        <v>51</v>
      </c>
      <c r="B2475" s="1" t="s">
        <v>396</v>
      </c>
      <c r="C2475" s="1" t="s">
        <v>328</v>
      </c>
      <c r="D2475" s="1" t="s">
        <v>329</v>
      </c>
      <c r="E2475" s="1">
        <v>40688</v>
      </c>
      <c r="F2475" s="1">
        <v>60688</v>
      </c>
      <c r="G2475" s="1">
        <v>18559.899999999991</v>
      </c>
      <c r="H2475" s="1">
        <v>1440.100000000006</v>
      </c>
      <c r="I2475" s="1">
        <v>59247.899999999987</v>
      </c>
      <c r="J2475" s="1">
        <v>107</v>
      </c>
      <c r="K2475" s="1">
        <v>129.25862179487169</v>
      </c>
      <c r="L2475" s="1">
        <v>8.3023453790160868</v>
      </c>
      <c r="N2475" s="7">
        <v>45855</v>
      </c>
      <c r="P2475" s="7">
        <v>46220</v>
      </c>
      <c r="T2475" s="1" t="s">
        <v>397</v>
      </c>
      <c r="U2475" s="1" t="s">
        <v>398</v>
      </c>
      <c r="V2475" s="1">
        <v>1</v>
      </c>
      <c r="W2475" s="3">
        <v>9737.2800000000007</v>
      </c>
      <c r="X2475" s="3">
        <v>9737.2800000000007</v>
      </c>
      <c r="Y2475" s="1" t="str">
        <f>VLOOKUP(A2475,[1]Detalle!$D$2:$CR$484,93,FALSE)</f>
        <v>CMQ_TTE - QUILMES TTE</v>
      </c>
    </row>
    <row r="2476" spans="1:25" ht="14.25" customHeight="1" x14ac:dyDescent="0.3">
      <c r="A2476" s="1" t="s">
        <v>28</v>
      </c>
      <c r="B2476" s="1" t="s">
        <v>400</v>
      </c>
      <c r="C2476" s="1" t="s">
        <v>328</v>
      </c>
      <c r="D2476" s="1" t="s">
        <v>329</v>
      </c>
      <c r="E2476" s="1">
        <v>40688</v>
      </c>
      <c r="F2476" s="1">
        <v>60688</v>
      </c>
      <c r="G2476" s="1">
        <v>18559.899999999991</v>
      </c>
      <c r="H2476" s="1">
        <v>1440.100000000006</v>
      </c>
      <c r="I2476" s="1">
        <v>59247.899999999987</v>
      </c>
      <c r="J2476" s="1">
        <v>107</v>
      </c>
      <c r="K2476" s="1">
        <v>129.25862179487169</v>
      </c>
      <c r="L2476" s="1">
        <v>8.3023453790160868</v>
      </c>
      <c r="N2476" s="7">
        <v>45860</v>
      </c>
      <c r="P2476" s="7">
        <v>46225</v>
      </c>
      <c r="T2476" s="1" t="s">
        <v>401</v>
      </c>
      <c r="U2476" s="1" t="s">
        <v>402</v>
      </c>
      <c r="V2476" s="1">
        <v>1</v>
      </c>
      <c r="W2476" s="3">
        <v>21189.599999999999</v>
      </c>
      <c r="X2476" s="3">
        <v>21189.599999999999</v>
      </c>
      <c r="Y2476" s="1" t="str">
        <f>VLOOKUP(A2476,[1]Detalle!$D$2:$CR$484,93,FALSE)</f>
        <v>CMQ_TTE - QUILMES TTE</v>
      </c>
    </row>
    <row r="2477" spans="1:25" ht="14.25" customHeight="1" x14ac:dyDescent="0.3">
      <c r="A2477" s="1" t="s">
        <v>38</v>
      </c>
      <c r="B2477" s="1" t="s">
        <v>328</v>
      </c>
      <c r="C2477" s="1" t="s">
        <v>328</v>
      </c>
      <c r="D2477" s="1" t="s">
        <v>329</v>
      </c>
      <c r="E2477" s="1">
        <v>40688</v>
      </c>
      <c r="F2477" s="1">
        <v>60688</v>
      </c>
      <c r="G2477" s="1">
        <v>18559.899999999991</v>
      </c>
      <c r="H2477" s="1">
        <v>1440.100000000006</v>
      </c>
      <c r="I2477" s="1">
        <v>59247.899999999987</v>
      </c>
      <c r="J2477" s="1">
        <v>107</v>
      </c>
      <c r="K2477" s="1">
        <v>129.25862179487169</v>
      </c>
      <c r="L2477" s="1">
        <v>8.3023453790160868</v>
      </c>
      <c r="N2477" s="7">
        <v>45864</v>
      </c>
      <c r="P2477" s="7">
        <v>46229</v>
      </c>
      <c r="T2477" s="1" t="s">
        <v>333</v>
      </c>
      <c r="U2477" s="1" t="s">
        <v>334</v>
      </c>
      <c r="V2477" s="1">
        <v>1</v>
      </c>
      <c r="W2477" s="3">
        <v>8513.2800000000007</v>
      </c>
      <c r="X2477" s="3">
        <v>8513.2800000000007</v>
      </c>
      <c r="Y2477" s="1" t="str">
        <f>VLOOKUP(A2477,[1]Detalle!$D$2:$CR$484,93,FALSE)</f>
        <v>SUC_SRA - Sucursal San Rafael</v>
      </c>
    </row>
    <row r="2478" spans="1:25" ht="14.25" customHeight="1" x14ac:dyDescent="0.3">
      <c r="A2478" s="1" t="s">
        <v>187</v>
      </c>
      <c r="B2478" s="1" t="s">
        <v>328</v>
      </c>
      <c r="C2478" s="1" t="s">
        <v>328</v>
      </c>
      <c r="D2478" s="1" t="s">
        <v>329</v>
      </c>
      <c r="E2478" s="1">
        <v>40688</v>
      </c>
      <c r="F2478" s="1">
        <v>60688</v>
      </c>
      <c r="G2478" s="1">
        <v>18559.899999999991</v>
      </c>
      <c r="H2478" s="1">
        <v>1440.100000000006</v>
      </c>
      <c r="I2478" s="1">
        <v>59247.899999999987</v>
      </c>
      <c r="J2478" s="1">
        <v>107</v>
      </c>
      <c r="K2478" s="1">
        <v>129.25862179487169</v>
      </c>
      <c r="L2478" s="1">
        <v>8.3023453790160868</v>
      </c>
      <c r="N2478" s="7">
        <v>45863</v>
      </c>
      <c r="P2478" s="7">
        <v>46228</v>
      </c>
      <c r="T2478" s="1" t="s">
        <v>333</v>
      </c>
      <c r="U2478" s="1" t="s">
        <v>334</v>
      </c>
      <c r="V2478" s="1">
        <v>1</v>
      </c>
      <c r="W2478" s="3">
        <v>8513.2800000000007</v>
      </c>
      <c r="X2478" s="3">
        <v>8513.2800000000007</v>
      </c>
      <c r="Y2478" s="1" t="str">
        <f>VLOOKUP(A2478,[1]Detalle!$D$2:$CR$484,93,FALSE)</f>
        <v>CCUCoAZA</v>
      </c>
    </row>
    <row r="2479" spans="1:25" ht="14.25" customHeight="1" x14ac:dyDescent="0.3">
      <c r="A2479" s="1" t="s">
        <v>220</v>
      </c>
      <c r="B2479" s="1" t="s">
        <v>328</v>
      </c>
      <c r="C2479" s="1" t="s">
        <v>328</v>
      </c>
      <c r="D2479" s="1" t="s">
        <v>329</v>
      </c>
      <c r="E2479" s="1">
        <v>40688</v>
      </c>
      <c r="F2479" s="1">
        <v>60688</v>
      </c>
      <c r="G2479" s="1">
        <v>18559.899999999991</v>
      </c>
      <c r="H2479" s="1">
        <v>1440.100000000006</v>
      </c>
      <c r="I2479" s="1">
        <v>59247.899999999987</v>
      </c>
      <c r="J2479" s="1">
        <v>107</v>
      </c>
      <c r="K2479" s="1">
        <v>129.25862179487169</v>
      </c>
      <c r="L2479" s="1">
        <v>8.3023453790160868</v>
      </c>
      <c r="N2479" s="7">
        <v>45870</v>
      </c>
      <c r="P2479" s="7">
        <v>46235</v>
      </c>
      <c r="T2479" s="1" t="s">
        <v>333</v>
      </c>
      <c r="U2479" s="1" t="s">
        <v>334</v>
      </c>
      <c r="V2479" s="1">
        <v>1</v>
      </c>
      <c r="W2479" s="3">
        <v>8513.2800000000007</v>
      </c>
      <c r="X2479" s="3">
        <v>8513.2800000000007</v>
      </c>
      <c r="Y2479" s="1" t="str">
        <f>VLOOKUP(A2479,[1]Detalle!$D$2:$CR$484,93,FALSE)</f>
        <v>CMQ_TTE - QUILMES TTE</v>
      </c>
    </row>
    <row r="2480" spans="1:25" ht="14.25" customHeight="1" x14ac:dyDescent="0.3">
      <c r="A2480" s="1" t="s">
        <v>193</v>
      </c>
      <c r="B2480" s="1" t="s">
        <v>328</v>
      </c>
      <c r="C2480" s="1" t="s">
        <v>328</v>
      </c>
      <c r="D2480" s="1" t="s">
        <v>329</v>
      </c>
      <c r="E2480" s="1">
        <v>40688</v>
      </c>
      <c r="F2480" s="1">
        <v>60688</v>
      </c>
      <c r="G2480" s="1">
        <v>18559.899999999991</v>
      </c>
      <c r="H2480" s="1">
        <v>1440.100000000006</v>
      </c>
      <c r="I2480" s="1">
        <v>59247.899999999987</v>
      </c>
      <c r="J2480" s="1">
        <v>107</v>
      </c>
      <c r="K2480" s="1">
        <v>129.25862179487169</v>
      </c>
      <c r="L2480" s="1">
        <v>8.3023453790160868</v>
      </c>
      <c r="N2480" s="7">
        <v>45880</v>
      </c>
      <c r="P2480" s="7">
        <v>46245</v>
      </c>
      <c r="T2480" s="1" t="s">
        <v>333</v>
      </c>
      <c r="U2480" s="1" t="s">
        <v>334</v>
      </c>
      <c r="V2480" s="1">
        <v>1</v>
      </c>
      <c r="W2480" s="3">
        <v>8513.2800000000007</v>
      </c>
      <c r="X2480" s="3">
        <v>8513.2800000000007</v>
      </c>
      <c r="Y2480" s="1" t="str">
        <f>VLOOKUP(A2480,[1]Detalle!$D$2:$CR$484,93,FALSE)</f>
        <v>CCUCoAZA</v>
      </c>
    </row>
    <row r="2481" spans="1:25" ht="14.25" customHeight="1" x14ac:dyDescent="0.3">
      <c r="A2481" s="1" t="s">
        <v>155</v>
      </c>
      <c r="B2481" s="1" t="s">
        <v>328</v>
      </c>
      <c r="C2481" s="1" t="s">
        <v>328</v>
      </c>
      <c r="D2481" s="1" t="s">
        <v>329</v>
      </c>
      <c r="E2481" s="1">
        <v>40688</v>
      </c>
      <c r="F2481" s="1">
        <v>60688</v>
      </c>
      <c r="G2481" s="1">
        <v>18559.899999999991</v>
      </c>
      <c r="H2481" s="1">
        <v>1440.100000000006</v>
      </c>
      <c r="I2481" s="1">
        <v>59247.899999999987</v>
      </c>
      <c r="J2481" s="1">
        <v>107</v>
      </c>
      <c r="K2481" s="1">
        <v>129.25862179487169</v>
      </c>
      <c r="L2481" s="1">
        <v>8.3023453790160868</v>
      </c>
      <c r="N2481" s="7">
        <v>45881</v>
      </c>
      <c r="P2481" s="7">
        <v>46246</v>
      </c>
      <c r="T2481" s="1" t="s">
        <v>333</v>
      </c>
      <c r="U2481" s="1" t="s">
        <v>334</v>
      </c>
      <c r="V2481" s="1">
        <v>1</v>
      </c>
      <c r="W2481" s="3">
        <v>8513.2800000000007</v>
      </c>
      <c r="X2481" s="3">
        <v>8513.2800000000007</v>
      </c>
      <c r="Y2481" s="1" t="str">
        <f>VLOOKUP(A2481,[1]Detalle!$D$2:$CR$484,93,FALSE)</f>
        <v>CCUCoAZA</v>
      </c>
    </row>
    <row r="2482" spans="1:25" ht="14.25" customHeight="1" x14ac:dyDescent="0.3">
      <c r="A2482" s="1" t="s">
        <v>2</v>
      </c>
      <c r="B2482" s="1" t="s">
        <v>396</v>
      </c>
      <c r="C2482" s="1" t="s">
        <v>328</v>
      </c>
      <c r="D2482" s="1" t="s">
        <v>329</v>
      </c>
      <c r="E2482" s="1">
        <v>40688</v>
      </c>
      <c r="F2482" s="1">
        <v>60688</v>
      </c>
      <c r="G2482" s="1">
        <v>18559.899999999991</v>
      </c>
      <c r="H2482" s="1">
        <v>1440.100000000006</v>
      </c>
      <c r="I2482" s="1">
        <v>59247.899999999987</v>
      </c>
      <c r="J2482" s="1">
        <v>107</v>
      </c>
      <c r="K2482" s="1">
        <v>129.25862179487169</v>
      </c>
      <c r="L2482" s="1">
        <v>8.3023453790160868</v>
      </c>
      <c r="N2482" s="7">
        <v>45882</v>
      </c>
      <c r="P2482" s="7">
        <v>46247</v>
      </c>
      <c r="T2482" s="1" t="s">
        <v>397</v>
      </c>
      <c r="U2482" s="1" t="s">
        <v>398</v>
      </c>
      <c r="V2482" s="1">
        <v>1</v>
      </c>
      <c r="W2482" s="3">
        <v>9737.2800000000007</v>
      </c>
      <c r="X2482" s="3">
        <v>9737.2800000000007</v>
      </c>
      <c r="Y2482" s="1" t="str">
        <f>VLOOKUP(A2482,[1]Detalle!$D$2:$CR$484,93,FALSE)</f>
        <v>Unilever - Unilever de Arg. S.A.</v>
      </c>
    </row>
    <row r="2483" spans="1:25" ht="14.25" customHeight="1" x14ac:dyDescent="0.3">
      <c r="A2483" s="1" t="s">
        <v>129</v>
      </c>
      <c r="B2483" s="1" t="s">
        <v>328</v>
      </c>
      <c r="C2483" s="1" t="s">
        <v>328</v>
      </c>
      <c r="D2483" s="1" t="s">
        <v>329</v>
      </c>
      <c r="E2483" s="1">
        <v>40688</v>
      </c>
      <c r="F2483" s="1">
        <v>60688</v>
      </c>
      <c r="G2483" s="1">
        <v>18559.899999999991</v>
      </c>
      <c r="H2483" s="1">
        <v>1440.100000000006</v>
      </c>
      <c r="I2483" s="1">
        <v>59247.899999999987</v>
      </c>
      <c r="J2483" s="1">
        <v>107</v>
      </c>
      <c r="K2483" s="1">
        <v>129.25862179487169</v>
      </c>
      <c r="L2483" s="1">
        <v>8.3023453790160868</v>
      </c>
      <c r="N2483" s="7">
        <v>45882</v>
      </c>
      <c r="P2483" s="7">
        <v>46247</v>
      </c>
      <c r="T2483" s="1" t="s">
        <v>333</v>
      </c>
      <c r="U2483" s="1" t="s">
        <v>334</v>
      </c>
      <c r="V2483" s="1">
        <v>1</v>
      </c>
      <c r="W2483" s="3">
        <v>8513.2800000000007</v>
      </c>
      <c r="X2483" s="3">
        <v>8513.2800000000007</v>
      </c>
      <c r="Y2483" s="1" t="str">
        <f>VLOOKUP(A2483,[1]Detalle!$D$2:$CR$484,93,FALSE)</f>
        <v>Alfavinil SA</v>
      </c>
    </row>
    <row r="2484" spans="1:25" ht="14.25" customHeight="1" x14ac:dyDescent="0.3">
      <c r="A2484" s="1" t="s">
        <v>151</v>
      </c>
      <c r="B2484" s="1" t="s">
        <v>328</v>
      </c>
      <c r="C2484" s="1" t="s">
        <v>328</v>
      </c>
      <c r="D2484" s="1" t="s">
        <v>329</v>
      </c>
      <c r="E2484" s="1">
        <v>40688</v>
      </c>
      <c r="F2484" s="1">
        <v>60688</v>
      </c>
      <c r="G2484" s="1">
        <v>18559.899999999991</v>
      </c>
      <c r="H2484" s="1">
        <v>1440.100000000006</v>
      </c>
      <c r="I2484" s="1">
        <v>59247.899999999987</v>
      </c>
      <c r="J2484" s="1">
        <v>107</v>
      </c>
      <c r="K2484" s="1">
        <v>129.25862179487169</v>
      </c>
      <c r="L2484" s="1">
        <v>8.3023453790160868</v>
      </c>
      <c r="N2484" s="7">
        <v>45882</v>
      </c>
      <c r="P2484" s="7">
        <v>46247</v>
      </c>
      <c r="T2484" s="1" t="s">
        <v>333</v>
      </c>
      <c r="U2484" s="1" t="s">
        <v>334</v>
      </c>
      <c r="V2484" s="1">
        <v>1</v>
      </c>
      <c r="W2484" s="3">
        <v>8513.2800000000007</v>
      </c>
      <c r="X2484" s="3">
        <v>8513.2800000000007</v>
      </c>
      <c r="Y2484" s="1" t="str">
        <f>VLOOKUP(A2484,[1]Detalle!$D$2:$CR$484,93,FALSE)</f>
        <v>CCUCoAZA</v>
      </c>
    </row>
    <row r="2485" spans="1:25" ht="14.25" customHeight="1" x14ac:dyDescent="0.3">
      <c r="A2485" s="1" t="s">
        <v>195</v>
      </c>
      <c r="B2485" s="1" t="s">
        <v>328</v>
      </c>
      <c r="C2485" s="1" t="s">
        <v>328</v>
      </c>
      <c r="D2485" s="1" t="s">
        <v>329</v>
      </c>
      <c r="E2485" s="1">
        <v>40688</v>
      </c>
      <c r="F2485" s="1">
        <v>60688</v>
      </c>
      <c r="G2485" s="1">
        <v>18559.899999999991</v>
      </c>
      <c r="H2485" s="1">
        <v>1440.100000000006</v>
      </c>
      <c r="I2485" s="1">
        <v>59247.899999999987</v>
      </c>
      <c r="J2485" s="1">
        <v>107</v>
      </c>
      <c r="K2485" s="1">
        <v>129.25862179487169</v>
      </c>
      <c r="L2485" s="1">
        <v>8.3023453790160868</v>
      </c>
      <c r="N2485" s="7">
        <v>45884</v>
      </c>
      <c r="P2485" s="7">
        <v>46249</v>
      </c>
      <c r="T2485" s="1" t="s">
        <v>333</v>
      </c>
      <c r="U2485" s="1" t="s">
        <v>334</v>
      </c>
      <c r="V2485" s="1">
        <v>1</v>
      </c>
      <c r="W2485" s="3">
        <v>8513.2800000000007</v>
      </c>
      <c r="X2485" s="3">
        <v>8513.2800000000007</v>
      </c>
      <c r="Y2485" s="1" t="str">
        <f>VLOOKUP(A2485,[1]Detalle!$D$2:$CR$484,93,FALSE)</f>
        <v>CCUCoAZA</v>
      </c>
    </row>
    <row r="2486" spans="1:25" ht="14.25" customHeight="1" x14ac:dyDescent="0.3">
      <c r="A2486" s="1" t="s">
        <v>63</v>
      </c>
      <c r="B2486" s="1" t="s">
        <v>396</v>
      </c>
      <c r="C2486" s="1" t="s">
        <v>328</v>
      </c>
      <c r="D2486" s="1" t="s">
        <v>329</v>
      </c>
      <c r="E2486" s="1">
        <v>40688</v>
      </c>
      <c r="F2486" s="1">
        <v>60688</v>
      </c>
      <c r="G2486" s="1">
        <v>18559.899999999991</v>
      </c>
      <c r="H2486" s="1">
        <v>1440.100000000006</v>
      </c>
      <c r="I2486" s="1">
        <v>59247.899999999987</v>
      </c>
      <c r="J2486" s="1">
        <v>107</v>
      </c>
      <c r="K2486" s="1">
        <v>129.25862179487169</v>
      </c>
      <c r="L2486" s="1">
        <v>8.3023453790160868</v>
      </c>
      <c r="N2486" s="7">
        <v>45887</v>
      </c>
      <c r="P2486" s="7">
        <v>46252</v>
      </c>
      <c r="T2486" s="1" t="s">
        <v>397</v>
      </c>
      <c r="U2486" s="1" t="s">
        <v>398</v>
      </c>
      <c r="V2486" s="1">
        <v>1</v>
      </c>
      <c r="W2486" s="3">
        <v>9737.2800000000007</v>
      </c>
      <c r="X2486" s="3">
        <v>9737.2800000000007</v>
      </c>
      <c r="Y2486" s="1" t="str">
        <f>VLOOKUP(A2486,[1]Detalle!$D$2:$CR$484,93,FALSE)</f>
        <v>CMQ_TTE - QUILMES TTE</v>
      </c>
    </row>
    <row r="2487" spans="1:25" ht="14.25" customHeight="1" x14ac:dyDescent="0.3">
      <c r="A2487" s="1" t="s">
        <v>68</v>
      </c>
      <c r="B2487" s="1" t="s">
        <v>396</v>
      </c>
      <c r="C2487" s="1" t="s">
        <v>328</v>
      </c>
      <c r="D2487" s="1" t="s">
        <v>329</v>
      </c>
      <c r="E2487" s="1">
        <v>40688</v>
      </c>
      <c r="F2487" s="1">
        <v>60688</v>
      </c>
      <c r="G2487" s="1">
        <v>18559.899999999991</v>
      </c>
      <c r="H2487" s="1">
        <v>1440.100000000006</v>
      </c>
      <c r="I2487" s="1">
        <v>59247.899999999987</v>
      </c>
      <c r="J2487" s="1">
        <v>107</v>
      </c>
      <c r="K2487" s="1">
        <v>129.25862179487169</v>
      </c>
      <c r="L2487" s="1">
        <v>8.3023453790160868</v>
      </c>
      <c r="N2487" s="7">
        <v>45887</v>
      </c>
      <c r="P2487" s="7">
        <v>46252</v>
      </c>
      <c r="T2487" s="1" t="s">
        <v>397</v>
      </c>
      <c r="U2487" s="1" t="s">
        <v>398</v>
      </c>
      <c r="V2487" s="1">
        <v>1</v>
      </c>
      <c r="W2487" s="3">
        <v>9737.2800000000007</v>
      </c>
      <c r="X2487" s="3">
        <v>9737.2800000000007</v>
      </c>
      <c r="Y2487" s="1" t="str">
        <f>VLOOKUP(A2487,[1]Detalle!$D$2:$CR$484,93,FALSE)</f>
        <v>CMQ_TTE - QUILMES TTE</v>
      </c>
    </row>
    <row r="2488" spans="1:25" ht="14.25" customHeight="1" x14ac:dyDescent="0.3">
      <c r="A2488" s="1" t="s">
        <v>23</v>
      </c>
      <c r="B2488" s="1" t="s">
        <v>400</v>
      </c>
      <c r="C2488" s="1" t="s">
        <v>328</v>
      </c>
      <c r="D2488" s="1" t="s">
        <v>329</v>
      </c>
      <c r="E2488" s="1">
        <v>40688</v>
      </c>
      <c r="F2488" s="1">
        <v>60688</v>
      </c>
      <c r="G2488" s="1">
        <v>18559.899999999991</v>
      </c>
      <c r="H2488" s="1">
        <v>1440.100000000006</v>
      </c>
      <c r="I2488" s="1">
        <v>59247.899999999987</v>
      </c>
      <c r="J2488" s="1">
        <v>107</v>
      </c>
      <c r="K2488" s="1">
        <v>129.25862179487169</v>
      </c>
      <c r="L2488" s="1">
        <v>8.3023453790160868</v>
      </c>
      <c r="N2488" s="7">
        <v>45890</v>
      </c>
      <c r="P2488" s="7">
        <v>46255</v>
      </c>
      <c r="T2488" s="1" t="s">
        <v>401</v>
      </c>
      <c r="U2488" s="1" t="s">
        <v>402</v>
      </c>
      <c r="V2488" s="1">
        <v>1</v>
      </c>
      <c r="W2488" s="3">
        <v>21189.599999999999</v>
      </c>
      <c r="X2488" s="3">
        <v>21189.599999999999</v>
      </c>
      <c r="Y2488" s="1" t="str">
        <f>VLOOKUP(A2488,[1]Detalle!$D$2:$CR$484,93,FALSE)</f>
        <v>CMQ_TTE - QUILMES TTE</v>
      </c>
    </row>
    <row r="2489" spans="1:25" ht="14.25" customHeight="1" x14ac:dyDescent="0.3">
      <c r="A2489" s="1" t="s">
        <v>67</v>
      </c>
      <c r="B2489" s="1" t="s">
        <v>400</v>
      </c>
      <c r="C2489" s="1" t="s">
        <v>328</v>
      </c>
      <c r="D2489" s="1" t="s">
        <v>329</v>
      </c>
      <c r="E2489" s="1">
        <v>40688</v>
      </c>
      <c r="F2489" s="1">
        <v>60688</v>
      </c>
      <c r="G2489" s="1">
        <v>18559.899999999991</v>
      </c>
      <c r="H2489" s="1">
        <v>1440.100000000006</v>
      </c>
      <c r="I2489" s="1">
        <v>59247.899999999987</v>
      </c>
      <c r="J2489" s="1">
        <v>107</v>
      </c>
      <c r="K2489" s="1">
        <v>129.25862179487169</v>
      </c>
      <c r="L2489" s="1">
        <v>8.3023453790160868</v>
      </c>
      <c r="N2489" s="7">
        <v>45891</v>
      </c>
      <c r="P2489" s="7">
        <v>46256</v>
      </c>
      <c r="T2489" s="1" t="s">
        <v>401</v>
      </c>
      <c r="U2489" s="1" t="s">
        <v>402</v>
      </c>
      <c r="V2489" s="1">
        <v>1</v>
      </c>
      <c r="W2489" s="3">
        <v>21189.599999999999</v>
      </c>
      <c r="X2489" s="3">
        <v>21189.599999999999</v>
      </c>
      <c r="Y2489" s="1" t="str">
        <f>VLOOKUP(A2489,[1]Detalle!$D$2:$CR$484,93,FALSE)</f>
        <v>CMQ_TTE - QUILMES TTE</v>
      </c>
    </row>
    <row r="2490" spans="1:25" ht="14.25" customHeight="1" x14ac:dyDescent="0.3">
      <c r="A2490" s="1" t="s">
        <v>59</v>
      </c>
      <c r="B2490" s="1" t="s">
        <v>400</v>
      </c>
      <c r="C2490" s="1" t="s">
        <v>328</v>
      </c>
      <c r="D2490" s="1" t="s">
        <v>329</v>
      </c>
      <c r="E2490" s="1">
        <v>40688</v>
      </c>
      <c r="F2490" s="1">
        <v>60688</v>
      </c>
      <c r="G2490" s="1">
        <v>18559.899999999991</v>
      </c>
      <c r="H2490" s="1">
        <v>1440.100000000006</v>
      </c>
      <c r="I2490" s="1">
        <v>59247.899999999987</v>
      </c>
      <c r="J2490" s="1">
        <v>107</v>
      </c>
      <c r="K2490" s="1">
        <v>129.25862179487169</v>
      </c>
      <c r="L2490" s="1">
        <v>8.3023453790160868</v>
      </c>
      <c r="N2490" s="7">
        <v>45895</v>
      </c>
      <c r="P2490" s="7">
        <v>46260</v>
      </c>
      <c r="T2490" s="1" t="s">
        <v>401</v>
      </c>
      <c r="U2490" s="1" t="s">
        <v>402</v>
      </c>
      <c r="V2490" s="1">
        <v>1</v>
      </c>
      <c r="W2490" s="3">
        <v>21189.599999999999</v>
      </c>
      <c r="X2490" s="3">
        <v>21189.599999999999</v>
      </c>
      <c r="Y2490" s="1" t="str">
        <f>VLOOKUP(A2490,[1]Detalle!$D$2:$CR$484,93,FALSE)</f>
        <v>CMQ_TTE - QUILMES TTE</v>
      </c>
    </row>
    <row r="2491" spans="1:25" ht="14.25" customHeight="1" x14ac:dyDescent="0.3">
      <c r="A2491" s="1" t="s">
        <v>150</v>
      </c>
      <c r="B2491" s="1" t="s">
        <v>328</v>
      </c>
      <c r="C2491" s="1" t="s">
        <v>328</v>
      </c>
      <c r="D2491" s="1" t="s">
        <v>329</v>
      </c>
      <c r="E2491" s="1">
        <v>40688</v>
      </c>
      <c r="F2491" s="1">
        <v>60688</v>
      </c>
      <c r="G2491" s="1">
        <v>18559.899999999991</v>
      </c>
      <c r="H2491" s="1">
        <v>1440.100000000006</v>
      </c>
      <c r="I2491" s="1">
        <v>59247.899999999987</v>
      </c>
      <c r="J2491" s="1">
        <v>107</v>
      </c>
      <c r="K2491" s="1">
        <v>129.25862179487169</v>
      </c>
      <c r="L2491" s="1">
        <v>8.3023453790160868</v>
      </c>
      <c r="N2491" s="7">
        <v>45905</v>
      </c>
      <c r="P2491" s="7">
        <v>46270</v>
      </c>
      <c r="T2491" s="1" t="s">
        <v>333</v>
      </c>
      <c r="U2491" s="1" t="s">
        <v>334</v>
      </c>
      <c r="V2491" s="1">
        <v>1</v>
      </c>
      <c r="W2491" s="3">
        <v>8513.2800000000007</v>
      </c>
      <c r="X2491" s="3">
        <v>8513.2800000000007</v>
      </c>
      <c r="Y2491" s="1" t="str">
        <f>VLOOKUP(A2491,[1]Detalle!$D$2:$CR$484,93,FALSE)</f>
        <v>Papelera - Papelera del Plata S.A.</v>
      </c>
    </row>
    <row r="2492" spans="1:25" ht="14.25" customHeight="1" x14ac:dyDescent="0.3">
      <c r="A2492" s="1" t="s">
        <v>16</v>
      </c>
      <c r="B2492" s="1" t="s">
        <v>396</v>
      </c>
      <c r="C2492" s="1" t="s">
        <v>328</v>
      </c>
      <c r="D2492" s="1" t="s">
        <v>329</v>
      </c>
      <c r="E2492" s="1">
        <v>40688</v>
      </c>
      <c r="F2492" s="1">
        <v>60688</v>
      </c>
      <c r="G2492" s="1">
        <v>18559.899999999991</v>
      </c>
      <c r="H2492" s="1">
        <v>1440.100000000006</v>
      </c>
      <c r="I2492" s="1">
        <v>59247.899999999987</v>
      </c>
      <c r="J2492" s="1">
        <v>107</v>
      </c>
      <c r="K2492" s="1">
        <v>129.25862179487169</v>
      </c>
      <c r="L2492" s="1">
        <v>8.3023453790160868</v>
      </c>
      <c r="N2492" s="7">
        <v>45912</v>
      </c>
      <c r="P2492" s="7">
        <v>46277</v>
      </c>
      <c r="T2492" s="1" t="s">
        <v>397</v>
      </c>
      <c r="U2492" s="1" t="s">
        <v>398</v>
      </c>
      <c r="V2492" s="1">
        <v>1</v>
      </c>
      <c r="W2492" s="3">
        <v>9737.2800000000007</v>
      </c>
      <c r="X2492" s="3">
        <v>9737.2800000000007</v>
      </c>
      <c r="Y2492" s="1" t="str">
        <f>VLOOKUP(A2492,[1]Detalle!$D$2:$CR$484,93,FALSE)</f>
        <v>CMQ_TTE - QUILMES TTE</v>
      </c>
    </row>
    <row r="2493" spans="1:25" ht="14.25" customHeight="1" x14ac:dyDescent="0.3">
      <c r="A2493" s="1" t="s">
        <v>84</v>
      </c>
      <c r="B2493" s="1" t="s">
        <v>400</v>
      </c>
      <c r="C2493" s="1" t="s">
        <v>328</v>
      </c>
      <c r="D2493" s="1" t="s">
        <v>329</v>
      </c>
      <c r="E2493" s="1">
        <v>40688</v>
      </c>
      <c r="F2493" s="1">
        <v>60688</v>
      </c>
      <c r="G2493" s="1">
        <v>18559.899999999991</v>
      </c>
      <c r="H2493" s="1">
        <v>1440.100000000006</v>
      </c>
      <c r="I2493" s="1">
        <v>59247.899999999987</v>
      </c>
      <c r="J2493" s="1">
        <v>107</v>
      </c>
      <c r="K2493" s="1">
        <v>129.25862179487169</v>
      </c>
      <c r="L2493" s="1">
        <v>8.3023453790160868</v>
      </c>
      <c r="N2493" s="7">
        <v>45917</v>
      </c>
      <c r="P2493" s="7">
        <v>46282</v>
      </c>
      <c r="T2493" s="1" t="s">
        <v>401</v>
      </c>
      <c r="U2493" s="1" t="s">
        <v>402</v>
      </c>
      <c r="V2493" s="1">
        <v>1</v>
      </c>
      <c r="W2493" s="3">
        <v>21189.599999999999</v>
      </c>
      <c r="X2493" s="3">
        <v>21189.599999999999</v>
      </c>
      <c r="Y2493" s="1" t="str">
        <f>VLOOKUP(A2493,[1]Detalle!$D$2:$CR$484,93,FALSE)</f>
        <v>CMQ_TTE - QUILMES TTE</v>
      </c>
    </row>
    <row r="2494" spans="1:25" ht="14.25" customHeight="1" x14ac:dyDescent="0.3">
      <c r="A2494" s="1" t="s">
        <v>92</v>
      </c>
      <c r="B2494" s="1" t="s">
        <v>400</v>
      </c>
      <c r="C2494" s="1" t="s">
        <v>328</v>
      </c>
      <c r="D2494" s="1" t="s">
        <v>329</v>
      </c>
      <c r="E2494" s="1">
        <v>40688</v>
      </c>
      <c r="F2494" s="1">
        <v>60688</v>
      </c>
      <c r="G2494" s="1">
        <v>18559.899999999991</v>
      </c>
      <c r="H2494" s="1">
        <v>1440.100000000006</v>
      </c>
      <c r="I2494" s="1">
        <v>59247.899999999987</v>
      </c>
      <c r="J2494" s="1">
        <v>107</v>
      </c>
      <c r="K2494" s="1">
        <v>129.25862179487169</v>
      </c>
      <c r="L2494" s="1">
        <v>8.3023453790160868</v>
      </c>
      <c r="N2494" s="7">
        <v>45918</v>
      </c>
      <c r="P2494" s="7">
        <v>46283</v>
      </c>
      <c r="T2494" s="1" t="s">
        <v>401</v>
      </c>
      <c r="U2494" s="1" t="s">
        <v>402</v>
      </c>
      <c r="V2494" s="1">
        <v>1</v>
      </c>
      <c r="W2494" s="3">
        <v>21189.599999999999</v>
      </c>
      <c r="X2494" s="3">
        <v>21189.599999999999</v>
      </c>
      <c r="Y2494" s="1" t="str">
        <f>VLOOKUP(A2494,[1]Detalle!$D$2:$CR$484,93,FALSE)</f>
        <v>Unilever - Unilever de Arg. S.A.</v>
      </c>
    </row>
    <row r="2495" spans="1:25" ht="14.25" customHeight="1" x14ac:dyDescent="0.3">
      <c r="A2495" s="1" t="s">
        <v>91</v>
      </c>
      <c r="B2495" s="1" t="s">
        <v>400</v>
      </c>
      <c r="C2495" s="1" t="s">
        <v>328</v>
      </c>
      <c r="D2495" s="1" t="s">
        <v>329</v>
      </c>
      <c r="E2495" s="1">
        <v>40688</v>
      </c>
      <c r="F2495" s="1">
        <v>60688</v>
      </c>
      <c r="G2495" s="1">
        <v>18559.899999999991</v>
      </c>
      <c r="H2495" s="1">
        <v>1440.100000000006</v>
      </c>
      <c r="I2495" s="1">
        <v>59247.899999999987</v>
      </c>
      <c r="J2495" s="1">
        <v>107</v>
      </c>
      <c r="K2495" s="1">
        <v>129.25862179487169</v>
      </c>
      <c r="L2495" s="1">
        <v>8.3023453790160868</v>
      </c>
      <c r="N2495" s="7">
        <v>45922</v>
      </c>
      <c r="P2495" s="7">
        <v>46287</v>
      </c>
      <c r="T2495" s="1" t="s">
        <v>401</v>
      </c>
      <c r="U2495" s="1" t="s">
        <v>402</v>
      </c>
      <c r="V2495" s="1">
        <v>1</v>
      </c>
      <c r="W2495" s="3">
        <v>21189.599999999999</v>
      </c>
      <c r="X2495" s="3">
        <v>21189.599999999999</v>
      </c>
      <c r="Y2495" s="1" t="str">
        <f>VLOOKUP(A2495,[1]Detalle!$D$2:$CR$484,93,FALSE)</f>
        <v>Unilever - Unilever de Arg. S.A.</v>
      </c>
    </row>
    <row r="2496" spans="1:25" ht="14.25" customHeight="1" x14ac:dyDescent="0.3">
      <c r="A2496" s="1" t="s">
        <v>79</v>
      </c>
      <c r="B2496" s="1" t="s">
        <v>396</v>
      </c>
      <c r="C2496" s="1" t="s">
        <v>328</v>
      </c>
      <c r="D2496" s="1" t="s">
        <v>329</v>
      </c>
      <c r="E2496" s="1">
        <v>40688</v>
      </c>
      <c r="F2496" s="1">
        <v>60688</v>
      </c>
      <c r="G2496" s="1">
        <v>18559.899999999991</v>
      </c>
      <c r="H2496" s="1">
        <v>1440.100000000006</v>
      </c>
      <c r="I2496" s="1">
        <v>59247.899999999987</v>
      </c>
      <c r="J2496" s="1">
        <v>107</v>
      </c>
      <c r="K2496" s="1">
        <v>129.25862179487169</v>
      </c>
      <c r="L2496" s="1">
        <v>8.3023453790160868</v>
      </c>
      <c r="N2496" s="7">
        <v>45922</v>
      </c>
      <c r="P2496" s="7">
        <v>46287</v>
      </c>
      <c r="T2496" s="1" t="s">
        <v>397</v>
      </c>
      <c r="U2496" s="1" t="s">
        <v>398</v>
      </c>
      <c r="V2496" s="1">
        <v>1</v>
      </c>
      <c r="W2496" s="3">
        <v>9737.2800000000007</v>
      </c>
      <c r="X2496" s="3">
        <v>9737.2800000000007</v>
      </c>
      <c r="Y2496" s="1" t="str">
        <f>VLOOKUP(A2496,[1]Detalle!$D$2:$CR$484,93,FALSE)</f>
        <v>Papelera - Papelera del Plata S.A.</v>
      </c>
    </row>
    <row r="2497" spans="1:26" ht="14.25" customHeight="1" x14ac:dyDescent="0.3">
      <c r="A2497" s="1" t="s">
        <v>240</v>
      </c>
      <c r="B2497" s="1" t="s">
        <v>328</v>
      </c>
      <c r="C2497" s="1" t="s">
        <v>328</v>
      </c>
      <c r="D2497" s="1" t="s">
        <v>329</v>
      </c>
      <c r="E2497" s="1">
        <v>40688</v>
      </c>
      <c r="F2497" s="1">
        <v>60688</v>
      </c>
      <c r="G2497" s="1">
        <v>18559.899999999991</v>
      </c>
      <c r="H2497" s="1">
        <v>1440.100000000006</v>
      </c>
      <c r="I2497" s="1">
        <v>59247.899999999987</v>
      </c>
      <c r="J2497" s="1">
        <v>107</v>
      </c>
      <c r="K2497" s="1">
        <v>129.25862179487169</v>
      </c>
      <c r="L2497" s="1">
        <v>8.3023453790160868</v>
      </c>
      <c r="N2497" s="7">
        <v>45923</v>
      </c>
      <c r="P2497" s="7">
        <v>46288</v>
      </c>
      <c r="T2497" s="1" t="s">
        <v>333</v>
      </c>
      <c r="U2497" s="1" t="s">
        <v>334</v>
      </c>
      <c r="V2497" s="1">
        <v>1</v>
      </c>
      <c r="W2497" s="3">
        <v>8513.2800000000007</v>
      </c>
      <c r="X2497" s="3">
        <v>8513.2800000000007</v>
      </c>
      <c r="Y2497" s="1" t="str">
        <f>VLOOKUP(A2497,[1]Detalle!$D$2:$CR$484,93,FALSE)</f>
        <v>Papelera - Papelera del Plata S.A.</v>
      </c>
    </row>
    <row r="2498" spans="1:26" ht="14.25" customHeight="1" x14ac:dyDescent="0.3">
      <c r="A2498" s="1" t="s">
        <v>83</v>
      </c>
      <c r="B2498" s="1" t="s">
        <v>400</v>
      </c>
      <c r="C2498" s="1" t="s">
        <v>328</v>
      </c>
      <c r="D2498" s="1" t="s">
        <v>329</v>
      </c>
      <c r="E2498" s="1">
        <v>40688</v>
      </c>
      <c r="F2498" s="1">
        <v>60688</v>
      </c>
      <c r="G2498" s="1">
        <v>18559.899999999991</v>
      </c>
      <c r="H2498" s="1">
        <v>1440.100000000006</v>
      </c>
      <c r="I2498" s="1">
        <v>59247.899999999987</v>
      </c>
      <c r="J2498" s="1">
        <v>107</v>
      </c>
      <c r="K2498" s="1">
        <v>129.25862179487169</v>
      </c>
      <c r="L2498" s="1">
        <v>8.3023453790160868</v>
      </c>
      <c r="N2498" s="7">
        <v>45923</v>
      </c>
      <c r="P2498" s="7">
        <v>46288</v>
      </c>
      <c r="T2498" s="1" t="s">
        <v>401</v>
      </c>
      <c r="U2498" s="1" t="s">
        <v>402</v>
      </c>
      <c r="V2498" s="1">
        <v>1</v>
      </c>
      <c r="W2498" s="3">
        <v>21189.599999999999</v>
      </c>
      <c r="X2498" s="3">
        <v>21189.599999999999</v>
      </c>
      <c r="Y2498" s="1" t="str">
        <f>VLOOKUP(A2498,[1]Detalle!$D$2:$CR$484,93,FALSE)</f>
        <v>CMQ_TTE - QUILMES TTE</v>
      </c>
    </row>
    <row r="2499" spans="1:26" ht="14.25" customHeight="1" x14ac:dyDescent="0.3">
      <c r="A2499" s="1" t="s">
        <v>246</v>
      </c>
      <c r="B2499" s="1" t="s">
        <v>328</v>
      </c>
      <c r="C2499" s="1" t="s">
        <v>328</v>
      </c>
      <c r="D2499" s="1" t="s">
        <v>329</v>
      </c>
      <c r="E2499" s="1">
        <v>40688</v>
      </c>
      <c r="F2499" s="1">
        <v>60688</v>
      </c>
      <c r="G2499" s="1">
        <v>18559.899999999991</v>
      </c>
      <c r="H2499" s="1">
        <v>1440.100000000006</v>
      </c>
      <c r="I2499" s="1">
        <v>59247.899999999987</v>
      </c>
      <c r="J2499" s="1">
        <v>107</v>
      </c>
      <c r="K2499" s="1">
        <v>129.25862179487169</v>
      </c>
      <c r="L2499" s="1">
        <v>8.3023453790160868</v>
      </c>
      <c r="N2499" s="7">
        <v>45924</v>
      </c>
      <c r="P2499" s="7">
        <v>46289</v>
      </c>
      <c r="T2499" s="1" t="s">
        <v>333</v>
      </c>
      <c r="U2499" s="1" t="s">
        <v>334</v>
      </c>
      <c r="V2499" s="1">
        <v>1</v>
      </c>
      <c r="W2499" s="3">
        <v>8513.2800000000007</v>
      </c>
      <c r="X2499" s="3">
        <v>8513.2800000000007</v>
      </c>
      <c r="Y2499" s="1" t="str">
        <f>VLOOKUP(A2499,[1]Detalle!$D$2:$CR$484,93,FALSE)</f>
        <v>Papelera - Papelera del Plata S.A.</v>
      </c>
    </row>
    <row r="2500" spans="1:26" ht="14.25" customHeight="1" x14ac:dyDescent="0.3">
      <c r="A2500" s="1" t="s">
        <v>69</v>
      </c>
      <c r="B2500" s="1" t="s">
        <v>396</v>
      </c>
      <c r="C2500" s="1" t="s">
        <v>328</v>
      </c>
      <c r="D2500" s="1" t="s">
        <v>329</v>
      </c>
      <c r="E2500" s="1">
        <v>40688</v>
      </c>
      <c r="F2500" s="1">
        <v>60688</v>
      </c>
      <c r="G2500" s="1">
        <v>18559.899999999991</v>
      </c>
      <c r="H2500" s="1">
        <v>1440.100000000006</v>
      </c>
      <c r="I2500" s="1">
        <v>59247.899999999987</v>
      </c>
      <c r="J2500" s="1">
        <v>107</v>
      </c>
      <c r="K2500" s="1">
        <v>129.25862179487169</v>
      </c>
      <c r="L2500" s="1">
        <v>8.3023453790160868</v>
      </c>
      <c r="N2500" s="7">
        <v>45931</v>
      </c>
      <c r="P2500" s="7">
        <v>46296</v>
      </c>
      <c r="T2500" s="1" t="s">
        <v>397</v>
      </c>
      <c r="U2500" s="1" t="s">
        <v>398</v>
      </c>
      <c r="V2500" s="1">
        <v>1</v>
      </c>
      <c r="W2500" s="3">
        <v>9737.2800000000007</v>
      </c>
      <c r="X2500" s="3">
        <v>9737.2800000000007</v>
      </c>
      <c r="Y2500" s="1" t="str">
        <f>VLOOKUP(A2500,[1]Detalle!$D$2:$CR$484,93,FALSE)</f>
        <v>CMQ_TTE - QUILMES TTE</v>
      </c>
    </row>
    <row r="2501" spans="1:26" ht="14.25" customHeight="1" x14ac:dyDescent="0.3">
      <c r="A2501" s="1" t="s">
        <v>199</v>
      </c>
      <c r="B2501" s="1" t="s">
        <v>328</v>
      </c>
      <c r="C2501" s="1" t="s">
        <v>328</v>
      </c>
      <c r="D2501" s="1" t="s">
        <v>329</v>
      </c>
      <c r="E2501" s="1">
        <v>40688</v>
      </c>
      <c r="F2501" s="1">
        <v>60688</v>
      </c>
      <c r="G2501" s="1">
        <v>18559.899999999991</v>
      </c>
      <c r="H2501" s="1">
        <v>1440.100000000006</v>
      </c>
      <c r="I2501" s="1">
        <v>59247.899999999987</v>
      </c>
      <c r="J2501" s="1">
        <v>107</v>
      </c>
      <c r="K2501" s="1">
        <v>129.25862179487169</v>
      </c>
      <c r="L2501" s="1">
        <v>8.3023453790160868</v>
      </c>
      <c r="N2501" s="7">
        <v>45932</v>
      </c>
      <c r="P2501" s="7">
        <v>46297</v>
      </c>
      <c r="T2501" s="1" t="s">
        <v>333</v>
      </c>
      <c r="U2501" s="1" t="s">
        <v>334</v>
      </c>
      <c r="V2501" s="1">
        <v>1</v>
      </c>
      <c r="W2501" s="3">
        <v>8513.2800000000007</v>
      </c>
      <c r="X2501" s="3">
        <v>8513.2800000000007</v>
      </c>
      <c r="Y2501" s="1" t="str">
        <f>VLOOKUP(A2501,[1]Detalle!$D$2:$CR$484,93,FALSE)</f>
        <v>CCUCoAZA</v>
      </c>
    </row>
    <row r="2502" spans="1:26" ht="14.25" customHeight="1" x14ac:dyDescent="0.3">
      <c r="A2502" s="1" t="s">
        <v>58</v>
      </c>
      <c r="B2502" s="1" t="s">
        <v>400</v>
      </c>
      <c r="C2502" s="1" t="s">
        <v>328</v>
      </c>
      <c r="D2502" s="1" t="s">
        <v>329</v>
      </c>
      <c r="E2502" s="1">
        <v>40688</v>
      </c>
      <c r="F2502" s="1">
        <v>60688</v>
      </c>
      <c r="G2502" s="1">
        <v>18559.899999999991</v>
      </c>
      <c r="H2502" s="1">
        <v>1440.100000000006</v>
      </c>
      <c r="I2502" s="1">
        <v>59247.899999999987</v>
      </c>
      <c r="J2502" s="1">
        <v>107</v>
      </c>
      <c r="K2502" s="1">
        <v>129.25862179487169</v>
      </c>
      <c r="L2502" s="1">
        <v>8.3023453790160868</v>
      </c>
      <c r="N2502" s="7">
        <v>45933</v>
      </c>
      <c r="P2502" s="7">
        <v>46298</v>
      </c>
      <c r="T2502" s="1" t="s">
        <v>401</v>
      </c>
      <c r="U2502" s="1" t="s">
        <v>402</v>
      </c>
      <c r="V2502" s="1">
        <v>1</v>
      </c>
      <c r="W2502" s="3">
        <v>21189.599999999999</v>
      </c>
      <c r="X2502" s="3">
        <v>21189.599999999999</v>
      </c>
      <c r="Y2502" s="1" t="str">
        <f>VLOOKUP(A2502,[1]Detalle!$D$2:$CR$484,93,FALSE)</f>
        <v>CMQ_TTE - QUILMES TTE</v>
      </c>
    </row>
    <row r="2503" spans="1:26" ht="14.25" customHeight="1" x14ac:dyDescent="0.3">
      <c r="A2503" s="1" t="s">
        <v>123</v>
      </c>
      <c r="B2503" s="1" t="s">
        <v>328</v>
      </c>
      <c r="C2503" s="1" t="s">
        <v>328</v>
      </c>
      <c r="D2503" s="1" t="s">
        <v>329</v>
      </c>
      <c r="E2503" s="1">
        <v>40688</v>
      </c>
      <c r="F2503" s="1">
        <v>60688</v>
      </c>
      <c r="G2503" s="1">
        <v>18559.899999999991</v>
      </c>
      <c r="H2503" s="1">
        <v>1440.100000000006</v>
      </c>
      <c r="I2503" s="1">
        <v>59247.899999999987</v>
      </c>
      <c r="J2503" s="1">
        <v>107</v>
      </c>
      <c r="K2503" s="1">
        <v>129.25862179487169</v>
      </c>
      <c r="L2503" s="1">
        <v>8.3023453790160868</v>
      </c>
      <c r="N2503" s="7">
        <v>45941</v>
      </c>
      <c r="P2503" s="7">
        <v>46306</v>
      </c>
      <c r="T2503" s="1" t="s">
        <v>333</v>
      </c>
      <c r="U2503" s="1" t="s">
        <v>334</v>
      </c>
      <c r="V2503" s="1">
        <v>1</v>
      </c>
      <c r="W2503" s="3">
        <v>8513.2800000000007</v>
      </c>
      <c r="X2503" s="3">
        <v>8513.2800000000007</v>
      </c>
      <c r="Y2503" s="1" t="str">
        <f>VLOOKUP(A2503,[1]Detalle!$D$2:$CR$484,93,FALSE)</f>
        <v>SUC_SRA - Sucursal San Rafael</v>
      </c>
    </row>
    <row r="2504" spans="1:26" ht="14.25" customHeight="1" x14ac:dyDescent="0.3">
      <c r="A2504" s="1" t="s">
        <v>38</v>
      </c>
      <c r="B2504" s="1" t="s">
        <v>328</v>
      </c>
      <c r="C2504" s="1" t="s">
        <v>328</v>
      </c>
      <c r="D2504" s="1" t="s">
        <v>329</v>
      </c>
      <c r="E2504" s="1">
        <v>40688</v>
      </c>
      <c r="F2504" s="1">
        <v>60688</v>
      </c>
      <c r="G2504" s="1">
        <v>18559.899999999991</v>
      </c>
      <c r="H2504" s="1">
        <v>1440.100000000006</v>
      </c>
      <c r="I2504" s="1">
        <v>59247.899999999987</v>
      </c>
      <c r="J2504" s="1">
        <v>107</v>
      </c>
      <c r="K2504" s="1">
        <v>129.25862179487169</v>
      </c>
      <c r="L2504" s="1">
        <v>8.3023453790160868</v>
      </c>
      <c r="N2504" s="7">
        <v>45944</v>
      </c>
      <c r="P2504" s="7">
        <v>46309</v>
      </c>
      <c r="T2504" s="1" t="s">
        <v>333</v>
      </c>
      <c r="U2504" s="1" t="s">
        <v>334</v>
      </c>
      <c r="V2504" s="1">
        <v>1</v>
      </c>
      <c r="W2504" s="3">
        <v>8513.2800000000007</v>
      </c>
      <c r="X2504" s="3">
        <v>8513.2800000000007</v>
      </c>
      <c r="Y2504" s="1" t="str">
        <f>VLOOKUP(A2504,[1]Detalle!$D$2:$CR$484,93,FALSE)</f>
        <v>SUC_SRA - Sucursal San Rafael</v>
      </c>
    </row>
    <row r="2505" spans="1:26" ht="14.25" customHeight="1" x14ac:dyDescent="0.3">
      <c r="A2505" s="1" t="s">
        <v>194</v>
      </c>
      <c r="B2505" s="1" t="s">
        <v>328</v>
      </c>
      <c r="C2505" s="1" t="s">
        <v>328</v>
      </c>
      <c r="D2505" s="1" t="s">
        <v>329</v>
      </c>
      <c r="E2505" s="1">
        <v>40688</v>
      </c>
      <c r="F2505" s="1">
        <v>60688</v>
      </c>
      <c r="G2505" s="1">
        <v>18559.899999999991</v>
      </c>
      <c r="H2505" s="1">
        <v>1440.100000000006</v>
      </c>
      <c r="I2505" s="1">
        <v>59247.899999999987</v>
      </c>
      <c r="J2505" s="1">
        <v>107</v>
      </c>
      <c r="K2505" s="1">
        <v>129.25862179487169</v>
      </c>
      <c r="L2505" s="1">
        <v>8.3023453790160868</v>
      </c>
      <c r="N2505" s="7">
        <v>45947</v>
      </c>
      <c r="P2505" s="7">
        <v>46312</v>
      </c>
      <c r="T2505" s="1" t="s">
        <v>333</v>
      </c>
      <c r="U2505" s="1" t="s">
        <v>334</v>
      </c>
      <c r="V2505" s="1">
        <v>1</v>
      </c>
      <c r="W2505" s="3">
        <v>8513.2800000000007</v>
      </c>
      <c r="X2505" s="3">
        <v>8513.2800000000007</v>
      </c>
      <c r="Y2505" s="1" t="str">
        <f>VLOOKUP(A2505,[1]Detalle!$D$2:$CR$484,93,FALSE)</f>
        <v>CMQ_TTE - QUILMES TTE</v>
      </c>
    </row>
    <row r="2506" spans="1:26" ht="14.25" customHeight="1" x14ac:dyDescent="0.3">
      <c r="A2506" s="1" t="s">
        <v>132</v>
      </c>
      <c r="B2506" s="1" t="s">
        <v>328</v>
      </c>
      <c r="C2506" s="1" t="s">
        <v>328</v>
      </c>
      <c r="D2506" s="1" t="s">
        <v>329</v>
      </c>
      <c r="E2506" s="1">
        <v>40688</v>
      </c>
      <c r="F2506" s="1">
        <v>60688</v>
      </c>
      <c r="G2506" s="1">
        <v>18559.899999999991</v>
      </c>
      <c r="H2506" s="1">
        <v>1440.100000000006</v>
      </c>
      <c r="I2506" s="1">
        <v>59247.899999999987</v>
      </c>
      <c r="J2506" s="1">
        <v>107</v>
      </c>
      <c r="K2506" s="1">
        <v>129.25862179487169</v>
      </c>
      <c r="L2506" s="1">
        <v>8.3023453790160868</v>
      </c>
      <c r="N2506" s="7">
        <v>45950</v>
      </c>
      <c r="P2506" s="7">
        <v>46315</v>
      </c>
      <c r="T2506" s="1" t="s">
        <v>333</v>
      </c>
      <c r="U2506" s="1" t="s">
        <v>334</v>
      </c>
      <c r="V2506" s="1">
        <v>1</v>
      </c>
      <c r="W2506" s="3">
        <v>8513.2800000000007</v>
      </c>
      <c r="X2506" s="3">
        <v>8513.2800000000007</v>
      </c>
      <c r="Y2506" s="1" t="str">
        <f>VLOOKUP(A2506,[1]Detalle!$D$2:$CR$484,93,FALSE)</f>
        <v>Topacio</v>
      </c>
    </row>
    <row r="2507" spans="1:26" ht="14.25" customHeight="1" x14ac:dyDescent="0.3">
      <c r="A2507" s="1" t="s">
        <v>276</v>
      </c>
      <c r="B2507" s="1" t="s">
        <v>328</v>
      </c>
      <c r="C2507" s="1" t="s">
        <v>328</v>
      </c>
      <c r="D2507" s="1" t="s">
        <v>329</v>
      </c>
      <c r="E2507" s="1">
        <v>40688</v>
      </c>
      <c r="F2507" s="1">
        <v>60688</v>
      </c>
      <c r="G2507" s="1">
        <v>18559.899999999991</v>
      </c>
      <c r="H2507" s="1">
        <v>1440.100000000006</v>
      </c>
      <c r="I2507" s="1">
        <v>59247.899999999987</v>
      </c>
      <c r="J2507" s="1">
        <v>107</v>
      </c>
      <c r="K2507" s="1">
        <v>129.25862179487169</v>
      </c>
      <c r="L2507" s="1">
        <v>8.3023453790160868</v>
      </c>
      <c r="N2507" s="7">
        <v>45950</v>
      </c>
      <c r="P2507" s="7">
        <v>46315</v>
      </c>
      <c r="T2507" s="1" t="s">
        <v>333</v>
      </c>
      <c r="U2507" s="1" t="s">
        <v>334</v>
      </c>
      <c r="V2507" s="1">
        <v>1</v>
      </c>
      <c r="W2507" s="3">
        <v>8513.2800000000007</v>
      </c>
      <c r="X2507" s="3">
        <v>8513.2800000000007</v>
      </c>
      <c r="Y2507" s="1" t="str">
        <f>VLOOKUP(A2507,[1]Detalle!$D$2:$CR$484,93,FALSE)</f>
        <v>SUC_SRA - Sucursal San Rafael</v>
      </c>
    </row>
    <row r="2508" spans="1:26" ht="14.25" customHeight="1" x14ac:dyDescent="0.3">
      <c r="A2508" s="1" t="s">
        <v>33</v>
      </c>
      <c r="B2508" s="1" t="s">
        <v>428</v>
      </c>
      <c r="C2508" s="1" t="s">
        <v>428</v>
      </c>
      <c r="D2508" s="1" t="s">
        <v>329</v>
      </c>
      <c r="E2508" s="1">
        <v>40688</v>
      </c>
      <c r="F2508" s="1">
        <v>60688</v>
      </c>
      <c r="G2508" s="1">
        <v>18559.899999999991</v>
      </c>
      <c r="H2508" s="1">
        <v>1440.100000000006</v>
      </c>
      <c r="I2508" s="1">
        <v>59247.899999999987</v>
      </c>
      <c r="J2508" s="1">
        <v>107</v>
      </c>
      <c r="K2508" s="1">
        <v>129.25862179487169</v>
      </c>
      <c r="L2508" s="1">
        <v>8.3023453790160868</v>
      </c>
      <c r="N2508" s="7">
        <v>45663</v>
      </c>
      <c r="P2508" s="7">
        <v>46028</v>
      </c>
      <c r="T2508" s="1" t="s">
        <v>331</v>
      </c>
      <c r="U2508" s="1" t="s">
        <v>332</v>
      </c>
      <c r="V2508" s="1">
        <v>30</v>
      </c>
      <c r="W2508" s="3">
        <v>3389.9</v>
      </c>
      <c r="X2508" s="3">
        <v>101697</v>
      </c>
      <c r="Y2508" s="1" t="str">
        <f>VLOOKUP(A2508,[1]Detalle!$D$2:$CR$484,93,FALSE)</f>
        <v>CENCOMLD - Cencosud SA - Mendoza</v>
      </c>
      <c r="Z2508" s="3"/>
    </row>
    <row r="2509" spans="1:26" ht="14.25" customHeight="1" x14ac:dyDescent="0.3">
      <c r="A2509" s="1" t="s">
        <v>237</v>
      </c>
      <c r="B2509" s="1" t="s">
        <v>428</v>
      </c>
      <c r="C2509" s="1" t="s">
        <v>428</v>
      </c>
      <c r="D2509" s="1" t="s">
        <v>329</v>
      </c>
      <c r="E2509" s="1">
        <v>40688</v>
      </c>
      <c r="F2509" s="1">
        <v>60688</v>
      </c>
      <c r="G2509" s="1">
        <v>18559.899999999991</v>
      </c>
      <c r="H2509" s="1">
        <v>1440.100000000006</v>
      </c>
      <c r="I2509" s="1">
        <v>59247.899999999987</v>
      </c>
      <c r="J2509" s="1">
        <v>107</v>
      </c>
      <c r="K2509" s="1">
        <v>129.25862179487169</v>
      </c>
      <c r="L2509" s="1">
        <v>8.3023453790160868</v>
      </c>
      <c r="N2509" s="7">
        <v>45693</v>
      </c>
      <c r="P2509" s="7">
        <v>46058</v>
      </c>
      <c r="T2509" s="1" t="s">
        <v>331</v>
      </c>
      <c r="U2509" s="1" t="s">
        <v>332</v>
      </c>
      <c r="V2509" s="1">
        <v>30</v>
      </c>
      <c r="W2509" s="3">
        <v>3389.9</v>
      </c>
      <c r="X2509" s="3">
        <v>101697</v>
      </c>
      <c r="Y2509" s="1" t="str">
        <f>VLOOKUP(A2509,[1]Detalle!$D$2:$CR$484,93,FALSE)</f>
        <v>CENCOMLD - Cencosud SA - Mendoza</v>
      </c>
      <c r="Z2509" s="3"/>
    </row>
    <row r="2510" spans="1:26" ht="14.25" customHeight="1" x14ac:dyDescent="0.3">
      <c r="A2510" s="1" t="s">
        <v>181</v>
      </c>
      <c r="B2510" s="1" t="s">
        <v>428</v>
      </c>
      <c r="C2510" s="1" t="s">
        <v>428</v>
      </c>
      <c r="D2510" s="1" t="s">
        <v>329</v>
      </c>
      <c r="E2510" s="1">
        <v>40688</v>
      </c>
      <c r="F2510" s="1">
        <v>60688</v>
      </c>
      <c r="G2510" s="1">
        <v>18559.899999999991</v>
      </c>
      <c r="H2510" s="1">
        <v>1440.100000000006</v>
      </c>
      <c r="I2510" s="1">
        <v>59247.899999999987</v>
      </c>
      <c r="J2510" s="1">
        <v>107</v>
      </c>
      <c r="K2510" s="1">
        <v>129.25862179487169</v>
      </c>
      <c r="L2510" s="1">
        <v>8.3023453790160868</v>
      </c>
      <c r="N2510" s="7">
        <v>45705</v>
      </c>
      <c r="P2510" s="7">
        <v>46070</v>
      </c>
      <c r="T2510" s="1" t="s">
        <v>331</v>
      </c>
      <c r="U2510" s="1" t="s">
        <v>332</v>
      </c>
      <c r="V2510" s="1">
        <v>30</v>
      </c>
      <c r="W2510" s="3">
        <v>3389.9</v>
      </c>
      <c r="X2510" s="3">
        <v>101697</v>
      </c>
      <c r="Y2510" s="1" t="str">
        <f>VLOOKUP(A2510,[1]Detalle!$D$2:$CR$484,93,FALSE)</f>
        <v>CMQ_TTE - QUILMES TTE</v>
      </c>
      <c r="Z2510" s="3"/>
    </row>
    <row r="2511" spans="1:26" ht="14.25" customHeight="1" x14ac:dyDescent="0.3">
      <c r="A2511" s="1" t="s">
        <v>267</v>
      </c>
      <c r="B2511" s="1" t="s">
        <v>428</v>
      </c>
      <c r="C2511" s="1" t="s">
        <v>428</v>
      </c>
      <c r="D2511" s="1" t="s">
        <v>329</v>
      </c>
      <c r="E2511" s="1">
        <v>40688</v>
      </c>
      <c r="F2511" s="1">
        <v>60688</v>
      </c>
      <c r="G2511" s="1">
        <v>18559.899999999991</v>
      </c>
      <c r="H2511" s="1">
        <v>1440.100000000006</v>
      </c>
      <c r="I2511" s="1">
        <v>59247.899999999987</v>
      </c>
      <c r="J2511" s="1">
        <v>107</v>
      </c>
      <c r="K2511" s="1">
        <v>129.25862179487169</v>
      </c>
      <c r="L2511" s="1">
        <v>8.3023453790160868</v>
      </c>
      <c r="N2511" s="7">
        <v>45709</v>
      </c>
      <c r="P2511" s="7">
        <v>46074</v>
      </c>
      <c r="T2511" s="1" t="s">
        <v>331</v>
      </c>
      <c r="U2511" s="1" t="s">
        <v>332</v>
      </c>
      <c r="V2511" s="1">
        <v>30</v>
      </c>
      <c r="W2511" s="3">
        <v>3389.9</v>
      </c>
      <c r="X2511" s="3">
        <v>101697</v>
      </c>
      <c r="Y2511" s="1" t="str">
        <f>VLOOKUP(A2511,[1]Detalle!$D$2:$CR$484,93,FALSE)</f>
        <v>CCUDyAZA</v>
      </c>
      <c r="Z2511" s="3"/>
    </row>
    <row r="2512" spans="1:26" ht="14.25" customHeight="1" x14ac:dyDescent="0.3">
      <c r="A2512" s="1" t="s">
        <v>229</v>
      </c>
      <c r="B2512" s="1" t="s">
        <v>428</v>
      </c>
      <c r="C2512" s="1" t="s">
        <v>428</v>
      </c>
      <c r="D2512" s="1" t="s">
        <v>329</v>
      </c>
      <c r="E2512" s="1">
        <v>40688</v>
      </c>
      <c r="F2512" s="1">
        <v>60688</v>
      </c>
      <c r="G2512" s="1">
        <v>18559.899999999991</v>
      </c>
      <c r="H2512" s="1">
        <v>1440.100000000006</v>
      </c>
      <c r="I2512" s="1">
        <v>59247.899999999987</v>
      </c>
      <c r="J2512" s="1">
        <v>107</v>
      </c>
      <c r="K2512" s="1">
        <v>129.25862179487169</v>
      </c>
      <c r="L2512" s="1">
        <v>8.3023453790160868</v>
      </c>
      <c r="N2512" s="7">
        <v>45743</v>
      </c>
      <c r="P2512" s="7">
        <v>46108</v>
      </c>
      <c r="T2512" s="1" t="s">
        <v>331</v>
      </c>
      <c r="U2512" s="1" t="s">
        <v>332</v>
      </c>
      <c r="V2512" s="1">
        <v>30</v>
      </c>
      <c r="W2512" s="3">
        <v>3389.9</v>
      </c>
      <c r="X2512" s="3">
        <v>101697</v>
      </c>
      <c r="Y2512" s="1" t="str">
        <f>VLOOKUP(A2512,[1]Detalle!$D$2:$CR$484,93,FALSE)</f>
        <v>Expreso - Servicios Troncales</v>
      </c>
      <c r="Z2512" s="3"/>
    </row>
    <row r="2513" spans="1:26" ht="14.25" customHeight="1" x14ac:dyDescent="0.3">
      <c r="A2513" s="1" t="s">
        <v>33</v>
      </c>
      <c r="B2513" s="1" t="s">
        <v>428</v>
      </c>
      <c r="C2513" s="1" t="s">
        <v>428</v>
      </c>
      <c r="D2513" s="1" t="s">
        <v>329</v>
      </c>
      <c r="E2513" s="1">
        <v>40688</v>
      </c>
      <c r="F2513" s="1">
        <v>60688</v>
      </c>
      <c r="G2513" s="1">
        <v>18559.899999999991</v>
      </c>
      <c r="H2513" s="1">
        <v>1440.100000000006</v>
      </c>
      <c r="I2513" s="1">
        <v>59247.899999999987</v>
      </c>
      <c r="J2513" s="1">
        <v>107</v>
      </c>
      <c r="K2513" s="1">
        <v>129.25862179487169</v>
      </c>
      <c r="L2513" s="1">
        <v>8.3023453790160868</v>
      </c>
      <c r="N2513" s="7">
        <v>45791</v>
      </c>
      <c r="P2513" s="7">
        <v>46156</v>
      </c>
      <c r="T2513" s="1" t="s">
        <v>331</v>
      </c>
      <c r="U2513" s="1" t="s">
        <v>332</v>
      </c>
      <c r="V2513" s="1">
        <v>30</v>
      </c>
      <c r="W2513" s="3">
        <v>3389.9</v>
      </c>
      <c r="X2513" s="3">
        <v>101697</v>
      </c>
      <c r="Y2513" s="1" t="str">
        <f>VLOOKUP(A2513,[1]Detalle!$D$2:$CR$484,93,FALSE)</f>
        <v>CENCOMLD - Cencosud SA - Mendoza</v>
      </c>
      <c r="Z2513" s="3"/>
    </row>
    <row r="2514" spans="1:26" ht="14.25" customHeight="1" x14ac:dyDescent="0.3">
      <c r="A2514" s="1" t="s">
        <v>183</v>
      </c>
      <c r="B2514" s="1" t="s">
        <v>428</v>
      </c>
      <c r="C2514" s="1" t="s">
        <v>428</v>
      </c>
      <c r="D2514" s="1" t="s">
        <v>329</v>
      </c>
      <c r="E2514" s="1">
        <v>40688</v>
      </c>
      <c r="F2514" s="1">
        <v>60688</v>
      </c>
      <c r="G2514" s="1">
        <v>18559.899999999991</v>
      </c>
      <c r="H2514" s="1">
        <v>1440.100000000006</v>
      </c>
      <c r="I2514" s="1">
        <v>59247.899999999987</v>
      </c>
      <c r="J2514" s="1">
        <v>107</v>
      </c>
      <c r="K2514" s="1">
        <v>129.25862179487169</v>
      </c>
      <c r="L2514" s="1">
        <v>8.3023453790160868</v>
      </c>
      <c r="N2514" s="7">
        <v>45813</v>
      </c>
      <c r="P2514" s="7">
        <v>46178</v>
      </c>
      <c r="T2514" s="1" t="s">
        <v>331</v>
      </c>
      <c r="U2514" s="1" t="s">
        <v>332</v>
      </c>
      <c r="V2514" s="1">
        <v>30</v>
      </c>
      <c r="W2514" s="3">
        <v>3389.9</v>
      </c>
      <c r="X2514" s="3">
        <v>101697</v>
      </c>
      <c r="Y2514" s="1" t="str">
        <f>VLOOKUP(A2514,[1]Detalle!$D$2:$CR$484,93,FALSE)</f>
        <v>CMQ_TTE - QUILMES TTE</v>
      </c>
      <c r="Z2514" s="3"/>
    </row>
    <row r="2515" spans="1:26" ht="14.25" customHeight="1" x14ac:dyDescent="0.3">
      <c r="A2515" s="1" t="s">
        <v>229</v>
      </c>
      <c r="B2515" s="1" t="s">
        <v>428</v>
      </c>
      <c r="C2515" s="1" t="s">
        <v>428</v>
      </c>
      <c r="D2515" s="1" t="s">
        <v>329</v>
      </c>
      <c r="E2515" s="1">
        <v>40688</v>
      </c>
      <c r="F2515" s="1">
        <v>60688</v>
      </c>
      <c r="G2515" s="1">
        <v>18559.899999999991</v>
      </c>
      <c r="H2515" s="1">
        <v>1440.100000000006</v>
      </c>
      <c r="I2515" s="1">
        <v>59247.899999999987</v>
      </c>
      <c r="J2515" s="1">
        <v>107</v>
      </c>
      <c r="K2515" s="1">
        <v>129.25862179487169</v>
      </c>
      <c r="L2515" s="1">
        <v>8.3023453790160868</v>
      </c>
      <c r="N2515" s="7">
        <v>45834</v>
      </c>
      <c r="P2515" s="7">
        <v>46199</v>
      </c>
      <c r="T2515" s="1" t="s">
        <v>331</v>
      </c>
      <c r="U2515" s="1" t="s">
        <v>332</v>
      </c>
      <c r="V2515" s="1">
        <v>30</v>
      </c>
      <c r="W2515" s="3">
        <v>3389.9</v>
      </c>
      <c r="X2515" s="3">
        <v>101697</v>
      </c>
      <c r="Y2515" s="1" t="str">
        <f>VLOOKUP(A2515,[1]Detalle!$D$2:$CR$484,93,FALSE)</f>
        <v>Expreso - Servicios Troncales</v>
      </c>
      <c r="Z2515" s="3"/>
    </row>
    <row r="2516" spans="1:26" ht="14.25" customHeight="1" x14ac:dyDescent="0.3">
      <c r="A2516" s="1" t="s">
        <v>188</v>
      </c>
      <c r="B2516" s="1" t="s">
        <v>428</v>
      </c>
      <c r="C2516" s="1" t="s">
        <v>428</v>
      </c>
      <c r="D2516" s="1" t="s">
        <v>329</v>
      </c>
      <c r="E2516" s="1">
        <v>40688</v>
      </c>
      <c r="F2516" s="1">
        <v>60688</v>
      </c>
      <c r="G2516" s="1">
        <v>18559.899999999991</v>
      </c>
      <c r="H2516" s="1">
        <v>1440.100000000006</v>
      </c>
      <c r="I2516" s="1">
        <v>59247.899999999987</v>
      </c>
      <c r="J2516" s="1">
        <v>107</v>
      </c>
      <c r="K2516" s="1">
        <v>129.25862179487169</v>
      </c>
      <c r="L2516" s="1">
        <v>8.3023453790160868</v>
      </c>
      <c r="N2516" s="7">
        <v>45882</v>
      </c>
      <c r="P2516" s="7">
        <v>46247</v>
      </c>
      <c r="T2516" s="1" t="s">
        <v>331</v>
      </c>
      <c r="U2516" s="1" t="s">
        <v>332</v>
      </c>
      <c r="V2516" s="1">
        <v>30</v>
      </c>
      <c r="W2516" s="3">
        <v>3389.9</v>
      </c>
      <c r="X2516" s="3">
        <v>101697</v>
      </c>
      <c r="Y2516" s="1" t="str">
        <f>VLOOKUP(A2516,[1]Detalle!$D$2:$CR$484,93,FALSE)</f>
        <v>Arcor S.A.I.C.</v>
      </c>
      <c r="Z2516" s="3"/>
    </row>
    <row r="2517" spans="1:26" ht="14.25" customHeight="1" x14ac:dyDescent="0.3">
      <c r="A2517" s="1" t="s">
        <v>184</v>
      </c>
      <c r="B2517" s="1" t="s">
        <v>428</v>
      </c>
      <c r="C2517" s="1" t="s">
        <v>428</v>
      </c>
      <c r="D2517" s="1" t="s">
        <v>329</v>
      </c>
      <c r="E2517" s="1">
        <v>40688</v>
      </c>
      <c r="F2517" s="1">
        <v>60688</v>
      </c>
      <c r="G2517" s="1">
        <v>18559.899999999991</v>
      </c>
      <c r="H2517" s="1">
        <v>1440.100000000006</v>
      </c>
      <c r="I2517" s="1">
        <v>59247.899999999987</v>
      </c>
      <c r="J2517" s="1">
        <v>107</v>
      </c>
      <c r="K2517" s="1">
        <v>129.25862179487169</v>
      </c>
      <c r="L2517" s="1">
        <v>8.3023453790160868</v>
      </c>
      <c r="N2517" s="7">
        <v>45888</v>
      </c>
      <c r="P2517" s="7">
        <v>46253</v>
      </c>
      <c r="T2517" s="1" t="s">
        <v>331</v>
      </c>
      <c r="U2517" s="1" t="s">
        <v>332</v>
      </c>
      <c r="V2517" s="1">
        <v>30</v>
      </c>
      <c r="W2517" s="3">
        <v>3389.9</v>
      </c>
      <c r="X2517" s="3">
        <v>101697</v>
      </c>
      <c r="Y2517" s="1" t="str">
        <f>VLOOKUP(A2517,[1]Detalle!$D$2:$CR$484,93,FALSE)</f>
        <v>Arcor S.A.I.C.</v>
      </c>
      <c r="Z2517" s="3"/>
    </row>
    <row r="2518" spans="1:26" ht="14.25" customHeight="1" x14ac:dyDescent="0.3">
      <c r="A2518" s="1" t="s">
        <v>229</v>
      </c>
      <c r="B2518" s="1" t="s">
        <v>428</v>
      </c>
      <c r="C2518" s="1" t="s">
        <v>428</v>
      </c>
      <c r="D2518" s="1" t="s">
        <v>329</v>
      </c>
      <c r="E2518" s="1">
        <v>40688</v>
      </c>
      <c r="F2518" s="1">
        <v>60688</v>
      </c>
      <c r="G2518" s="1">
        <v>18559.899999999991</v>
      </c>
      <c r="H2518" s="1">
        <v>1440.100000000006</v>
      </c>
      <c r="I2518" s="1">
        <v>59247.899999999987</v>
      </c>
      <c r="J2518" s="1">
        <v>107</v>
      </c>
      <c r="K2518" s="1">
        <v>129.25862179487169</v>
      </c>
      <c r="L2518" s="1">
        <v>8.3023453790160868</v>
      </c>
      <c r="N2518" s="7">
        <v>45915</v>
      </c>
      <c r="P2518" s="7">
        <v>46280</v>
      </c>
      <c r="T2518" s="1" t="s">
        <v>331</v>
      </c>
      <c r="U2518" s="1" t="s">
        <v>332</v>
      </c>
      <c r="V2518" s="1">
        <v>30</v>
      </c>
      <c r="W2518" s="3">
        <v>3389.9</v>
      </c>
      <c r="X2518" s="3">
        <v>101697</v>
      </c>
      <c r="Y2518" s="1" t="str">
        <f>VLOOKUP(A2518,[1]Detalle!$D$2:$CR$484,93,FALSE)</f>
        <v>Expreso - Servicios Troncales</v>
      </c>
      <c r="Z2518" s="3"/>
    </row>
    <row r="2519" spans="1:26" ht="14.25" customHeight="1" x14ac:dyDescent="0.3">
      <c r="A2519" s="1" t="s">
        <v>33</v>
      </c>
      <c r="B2519" s="1" t="s">
        <v>428</v>
      </c>
      <c r="C2519" s="1" t="s">
        <v>428</v>
      </c>
      <c r="D2519" s="1" t="s">
        <v>329</v>
      </c>
      <c r="E2519" s="1">
        <v>40688</v>
      </c>
      <c r="F2519" s="1">
        <v>60688</v>
      </c>
      <c r="G2519" s="1">
        <v>18559.899999999991</v>
      </c>
      <c r="H2519" s="1">
        <v>1440.100000000006</v>
      </c>
      <c r="I2519" s="1">
        <v>59247.899999999987</v>
      </c>
      <c r="J2519" s="1">
        <v>107</v>
      </c>
      <c r="K2519" s="1">
        <v>129.25862179487169</v>
      </c>
      <c r="L2519" s="1">
        <v>8.3023453790160868</v>
      </c>
      <c r="N2519" s="7">
        <v>45924</v>
      </c>
      <c r="P2519" s="7">
        <v>46289</v>
      </c>
      <c r="T2519" s="1" t="s">
        <v>331</v>
      </c>
      <c r="U2519" s="1" t="s">
        <v>332</v>
      </c>
      <c r="V2519" s="1">
        <v>30</v>
      </c>
      <c r="W2519" s="3">
        <v>3389.9</v>
      </c>
      <c r="X2519" s="3">
        <v>101697</v>
      </c>
      <c r="Y2519" s="1" t="str">
        <f>VLOOKUP(A2519,[1]Detalle!$D$2:$CR$484,93,FALSE)</f>
        <v>CENCOMLD - Cencosud SA - Mendoza</v>
      </c>
      <c r="Z2519" s="3"/>
    </row>
    <row r="2520" spans="1:26" ht="14.25" customHeight="1" x14ac:dyDescent="0.3">
      <c r="A2520" s="1" t="s">
        <v>65</v>
      </c>
      <c r="B2520" s="1" t="s">
        <v>428</v>
      </c>
      <c r="C2520" s="1" t="s">
        <v>428</v>
      </c>
      <c r="D2520" s="1" t="s">
        <v>329</v>
      </c>
      <c r="E2520" s="1">
        <v>40688</v>
      </c>
      <c r="F2520" s="1">
        <v>60688</v>
      </c>
      <c r="G2520" s="1">
        <v>18559.899999999991</v>
      </c>
      <c r="H2520" s="1">
        <v>1440.100000000006</v>
      </c>
      <c r="I2520" s="1">
        <v>59247.899999999987</v>
      </c>
      <c r="J2520" s="1">
        <v>107</v>
      </c>
      <c r="K2520" s="1">
        <v>129.25862179487169</v>
      </c>
      <c r="L2520" s="1">
        <v>8.3023453790160868</v>
      </c>
      <c r="N2520" s="7">
        <v>45925</v>
      </c>
      <c r="P2520" s="7">
        <v>46290</v>
      </c>
      <c r="T2520" s="1" t="s">
        <v>331</v>
      </c>
      <c r="U2520" s="1" t="s">
        <v>332</v>
      </c>
      <c r="V2520" s="1">
        <v>30</v>
      </c>
      <c r="W2520" s="3">
        <v>3389.9</v>
      </c>
      <c r="X2520" s="3">
        <v>101697</v>
      </c>
      <c r="Y2520" s="1" t="str">
        <f>VLOOKUP(A2520,[1]Detalle!$D$2:$CR$484,93,FALSE)</f>
        <v>Arcor S.A.I.C.</v>
      </c>
      <c r="Z2520" s="3"/>
    </row>
    <row r="2521" spans="1:26" ht="14.25" customHeight="1" x14ac:dyDescent="0.3">
      <c r="A2521" s="1" t="s">
        <v>235</v>
      </c>
      <c r="B2521" s="1" t="s">
        <v>428</v>
      </c>
      <c r="C2521" s="1" t="s">
        <v>428</v>
      </c>
      <c r="D2521" s="1" t="s">
        <v>329</v>
      </c>
      <c r="E2521" s="1">
        <v>40688</v>
      </c>
      <c r="F2521" s="1">
        <v>60688</v>
      </c>
      <c r="G2521" s="1">
        <v>18559.899999999991</v>
      </c>
      <c r="H2521" s="1">
        <v>1440.100000000006</v>
      </c>
      <c r="I2521" s="1">
        <v>59247.899999999987</v>
      </c>
      <c r="J2521" s="1">
        <v>107</v>
      </c>
      <c r="K2521" s="1">
        <v>129.25862179487169</v>
      </c>
      <c r="L2521" s="1">
        <v>8.3023453790160868</v>
      </c>
      <c r="N2521" s="7">
        <v>45929</v>
      </c>
      <c r="P2521" s="7">
        <v>46294</v>
      </c>
      <c r="T2521" s="1" t="s">
        <v>331</v>
      </c>
      <c r="U2521" s="1" t="s">
        <v>332</v>
      </c>
      <c r="V2521" s="1">
        <v>30</v>
      </c>
      <c r="W2521" s="3">
        <v>3389.9</v>
      </c>
      <c r="X2521" s="3">
        <v>101697</v>
      </c>
      <c r="Y2521" s="1" t="str">
        <f>VLOOKUP(A2521,[1]Detalle!$D$2:$CR$484,93,FALSE)</f>
        <v>CENCOMLD - Cencosud SA - Mendoza</v>
      </c>
      <c r="Z2521" s="3"/>
    </row>
    <row r="2522" spans="1:26" ht="14.25" customHeight="1" x14ac:dyDescent="0.3">
      <c r="A2522" s="1" t="s">
        <v>33</v>
      </c>
      <c r="B2522" s="1" t="s">
        <v>428</v>
      </c>
      <c r="C2522" s="1" t="s">
        <v>428</v>
      </c>
      <c r="D2522" s="1" t="s">
        <v>329</v>
      </c>
      <c r="E2522" s="1">
        <v>40688</v>
      </c>
      <c r="F2522" s="1">
        <v>60688</v>
      </c>
      <c r="G2522" s="1">
        <v>18559.899999999991</v>
      </c>
      <c r="H2522" s="1">
        <v>1440.100000000006</v>
      </c>
      <c r="I2522" s="1">
        <v>59247.899999999987</v>
      </c>
      <c r="J2522" s="1">
        <v>107</v>
      </c>
      <c r="K2522" s="1">
        <v>129.25862179487169</v>
      </c>
      <c r="L2522" s="1">
        <v>8.3023453790160868</v>
      </c>
      <c r="N2522" s="7">
        <v>45663</v>
      </c>
      <c r="P2522" s="7">
        <v>46028</v>
      </c>
      <c r="T2522" s="1" t="s">
        <v>397</v>
      </c>
      <c r="U2522" s="1" t="s">
        <v>398</v>
      </c>
      <c r="V2522" s="1">
        <v>1</v>
      </c>
      <c r="W2522" s="3">
        <v>9737.2800000000007</v>
      </c>
      <c r="X2522" s="3">
        <v>9737.2800000000007</v>
      </c>
      <c r="Y2522" s="1" t="str">
        <f>VLOOKUP(A2522,[1]Detalle!$D$2:$CR$484,93,FALSE)</f>
        <v>CENCOMLD - Cencosud SA - Mendoza</v>
      </c>
    </row>
    <row r="2523" spans="1:26" ht="14.25" customHeight="1" x14ac:dyDescent="0.3">
      <c r="A2523" s="1" t="s">
        <v>237</v>
      </c>
      <c r="B2523" s="1" t="s">
        <v>428</v>
      </c>
      <c r="C2523" s="1" t="s">
        <v>428</v>
      </c>
      <c r="D2523" s="1" t="s">
        <v>329</v>
      </c>
      <c r="E2523" s="1">
        <v>40688</v>
      </c>
      <c r="F2523" s="1">
        <v>60688</v>
      </c>
      <c r="G2523" s="1">
        <v>18559.899999999991</v>
      </c>
      <c r="H2523" s="1">
        <v>1440.100000000006</v>
      </c>
      <c r="I2523" s="1">
        <v>59247.899999999987</v>
      </c>
      <c r="J2523" s="1">
        <v>107</v>
      </c>
      <c r="K2523" s="1">
        <v>129.25862179487169</v>
      </c>
      <c r="L2523" s="1">
        <v>8.3023453790160868</v>
      </c>
      <c r="N2523" s="7">
        <v>45693</v>
      </c>
      <c r="P2523" s="7">
        <v>46058</v>
      </c>
      <c r="T2523" s="1" t="s">
        <v>397</v>
      </c>
      <c r="U2523" s="1" t="s">
        <v>398</v>
      </c>
      <c r="V2523" s="1">
        <v>1</v>
      </c>
      <c r="W2523" s="3">
        <v>9737.2800000000007</v>
      </c>
      <c r="X2523" s="3">
        <v>9737.2800000000007</v>
      </c>
      <c r="Y2523" s="1" t="str">
        <f>VLOOKUP(A2523,[1]Detalle!$D$2:$CR$484,93,FALSE)</f>
        <v>CENCOMLD - Cencosud SA - Mendoza</v>
      </c>
    </row>
    <row r="2524" spans="1:26" ht="14.25" customHeight="1" x14ac:dyDescent="0.3">
      <c r="A2524" s="1" t="s">
        <v>181</v>
      </c>
      <c r="B2524" s="1" t="s">
        <v>428</v>
      </c>
      <c r="C2524" s="1" t="s">
        <v>428</v>
      </c>
      <c r="D2524" s="1" t="s">
        <v>329</v>
      </c>
      <c r="E2524" s="1">
        <v>40688</v>
      </c>
      <c r="F2524" s="1">
        <v>60688</v>
      </c>
      <c r="G2524" s="1">
        <v>18559.899999999991</v>
      </c>
      <c r="H2524" s="1">
        <v>1440.100000000006</v>
      </c>
      <c r="I2524" s="1">
        <v>59247.899999999987</v>
      </c>
      <c r="J2524" s="1">
        <v>107</v>
      </c>
      <c r="K2524" s="1">
        <v>129.25862179487169</v>
      </c>
      <c r="L2524" s="1">
        <v>8.3023453790160868</v>
      </c>
      <c r="N2524" s="7">
        <v>45705</v>
      </c>
      <c r="P2524" s="7">
        <v>46070</v>
      </c>
      <c r="T2524" s="1" t="s">
        <v>397</v>
      </c>
      <c r="U2524" s="1" t="s">
        <v>398</v>
      </c>
      <c r="V2524" s="1">
        <v>1</v>
      </c>
      <c r="W2524" s="3">
        <v>9737.2800000000007</v>
      </c>
      <c r="X2524" s="3">
        <v>9737.2800000000007</v>
      </c>
      <c r="Y2524" s="1" t="str">
        <f>VLOOKUP(A2524,[1]Detalle!$D$2:$CR$484,93,FALSE)</f>
        <v>CMQ_TTE - QUILMES TTE</v>
      </c>
    </row>
    <row r="2525" spans="1:26" ht="14.25" customHeight="1" x14ac:dyDescent="0.3">
      <c r="A2525" s="1" t="s">
        <v>267</v>
      </c>
      <c r="B2525" s="1" t="s">
        <v>428</v>
      </c>
      <c r="C2525" s="1" t="s">
        <v>428</v>
      </c>
      <c r="D2525" s="1" t="s">
        <v>329</v>
      </c>
      <c r="E2525" s="1">
        <v>40688</v>
      </c>
      <c r="F2525" s="1">
        <v>60688</v>
      </c>
      <c r="G2525" s="1">
        <v>18559.899999999991</v>
      </c>
      <c r="H2525" s="1">
        <v>1440.100000000006</v>
      </c>
      <c r="I2525" s="1">
        <v>59247.899999999987</v>
      </c>
      <c r="J2525" s="1">
        <v>107</v>
      </c>
      <c r="K2525" s="1">
        <v>129.25862179487169</v>
      </c>
      <c r="L2525" s="1">
        <v>8.3023453790160868</v>
      </c>
      <c r="N2525" s="7">
        <v>45709</v>
      </c>
      <c r="P2525" s="7">
        <v>46074</v>
      </c>
      <c r="T2525" s="1" t="s">
        <v>397</v>
      </c>
      <c r="U2525" s="1" t="s">
        <v>398</v>
      </c>
      <c r="V2525" s="1">
        <v>1</v>
      </c>
      <c r="W2525" s="3">
        <v>9737.2800000000007</v>
      </c>
      <c r="X2525" s="3">
        <v>9737.2800000000007</v>
      </c>
      <c r="Y2525" s="1" t="str">
        <f>VLOOKUP(A2525,[1]Detalle!$D$2:$CR$484,93,FALSE)</f>
        <v>CCUDyAZA</v>
      </c>
    </row>
    <row r="2526" spans="1:26" ht="14.25" customHeight="1" x14ac:dyDescent="0.3">
      <c r="A2526" s="1" t="s">
        <v>229</v>
      </c>
      <c r="B2526" s="1" t="s">
        <v>428</v>
      </c>
      <c r="C2526" s="1" t="s">
        <v>428</v>
      </c>
      <c r="D2526" s="1" t="s">
        <v>329</v>
      </c>
      <c r="E2526" s="1">
        <v>40688</v>
      </c>
      <c r="F2526" s="1">
        <v>60688</v>
      </c>
      <c r="G2526" s="1">
        <v>18559.899999999991</v>
      </c>
      <c r="H2526" s="1">
        <v>1440.100000000006</v>
      </c>
      <c r="I2526" s="1">
        <v>59247.899999999987</v>
      </c>
      <c r="J2526" s="1">
        <v>107</v>
      </c>
      <c r="K2526" s="1">
        <v>129.25862179487169</v>
      </c>
      <c r="L2526" s="1">
        <v>8.3023453790160868</v>
      </c>
      <c r="N2526" s="7">
        <v>45743</v>
      </c>
      <c r="P2526" s="7">
        <v>46108</v>
      </c>
      <c r="T2526" s="1" t="s">
        <v>397</v>
      </c>
      <c r="U2526" s="1" t="s">
        <v>398</v>
      </c>
      <c r="V2526" s="1">
        <v>1</v>
      </c>
      <c r="W2526" s="3">
        <v>9737.2800000000007</v>
      </c>
      <c r="X2526" s="3">
        <v>9737.2800000000007</v>
      </c>
      <c r="Y2526" s="1" t="str">
        <f>VLOOKUP(A2526,[1]Detalle!$D$2:$CR$484,93,FALSE)</f>
        <v>Expreso - Servicios Troncales</v>
      </c>
    </row>
    <row r="2527" spans="1:26" ht="14.25" customHeight="1" x14ac:dyDescent="0.3">
      <c r="A2527" s="1" t="s">
        <v>33</v>
      </c>
      <c r="B2527" s="1" t="s">
        <v>428</v>
      </c>
      <c r="C2527" s="1" t="s">
        <v>428</v>
      </c>
      <c r="D2527" s="1" t="s">
        <v>329</v>
      </c>
      <c r="E2527" s="1">
        <v>40688</v>
      </c>
      <c r="F2527" s="1">
        <v>60688</v>
      </c>
      <c r="G2527" s="1">
        <v>18559.899999999991</v>
      </c>
      <c r="H2527" s="1">
        <v>1440.100000000006</v>
      </c>
      <c r="I2527" s="1">
        <v>59247.899999999987</v>
      </c>
      <c r="J2527" s="1">
        <v>107</v>
      </c>
      <c r="K2527" s="1">
        <v>129.25862179487169</v>
      </c>
      <c r="L2527" s="1">
        <v>8.3023453790160868</v>
      </c>
      <c r="N2527" s="7">
        <v>45791</v>
      </c>
      <c r="P2527" s="7">
        <v>46156</v>
      </c>
      <c r="T2527" s="1" t="s">
        <v>397</v>
      </c>
      <c r="U2527" s="1" t="s">
        <v>398</v>
      </c>
      <c r="V2527" s="1">
        <v>1</v>
      </c>
      <c r="W2527" s="3">
        <v>9737.2800000000007</v>
      </c>
      <c r="X2527" s="3">
        <v>9737.2800000000007</v>
      </c>
      <c r="Y2527" s="1" t="str">
        <f>VLOOKUP(A2527,[1]Detalle!$D$2:$CR$484,93,FALSE)</f>
        <v>CENCOMLD - Cencosud SA - Mendoza</v>
      </c>
    </row>
    <row r="2528" spans="1:26" ht="14.25" customHeight="1" x14ac:dyDescent="0.3">
      <c r="A2528" s="1" t="s">
        <v>183</v>
      </c>
      <c r="B2528" s="1" t="s">
        <v>428</v>
      </c>
      <c r="C2528" s="1" t="s">
        <v>428</v>
      </c>
      <c r="D2528" s="1" t="s">
        <v>329</v>
      </c>
      <c r="E2528" s="1">
        <v>40688</v>
      </c>
      <c r="F2528" s="1">
        <v>60688</v>
      </c>
      <c r="G2528" s="1">
        <v>18559.899999999991</v>
      </c>
      <c r="H2528" s="1">
        <v>1440.100000000006</v>
      </c>
      <c r="I2528" s="1">
        <v>59247.899999999987</v>
      </c>
      <c r="J2528" s="1">
        <v>107</v>
      </c>
      <c r="K2528" s="1">
        <v>129.25862179487169</v>
      </c>
      <c r="L2528" s="1">
        <v>8.3023453790160868</v>
      </c>
      <c r="N2528" s="7">
        <v>45813</v>
      </c>
      <c r="P2528" s="7">
        <v>46178</v>
      </c>
      <c r="T2528" s="1" t="s">
        <v>397</v>
      </c>
      <c r="U2528" s="1" t="s">
        <v>398</v>
      </c>
      <c r="V2528" s="1">
        <v>1</v>
      </c>
      <c r="W2528" s="3">
        <v>9737.2800000000007</v>
      </c>
      <c r="X2528" s="3">
        <v>9737.2800000000007</v>
      </c>
      <c r="Y2528" s="1" t="str">
        <f>VLOOKUP(A2528,[1]Detalle!$D$2:$CR$484,93,FALSE)</f>
        <v>CMQ_TTE - QUILMES TTE</v>
      </c>
    </row>
    <row r="2529" spans="1:25" ht="14.25" customHeight="1" x14ac:dyDescent="0.3">
      <c r="A2529" s="1" t="s">
        <v>229</v>
      </c>
      <c r="B2529" s="1" t="s">
        <v>428</v>
      </c>
      <c r="C2529" s="1" t="s">
        <v>428</v>
      </c>
      <c r="D2529" s="1" t="s">
        <v>329</v>
      </c>
      <c r="E2529" s="1">
        <v>40688</v>
      </c>
      <c r="F2529" s="1">
        <v>60688</v>
      </c>
      <c r="G2529" s="1">
        <v>18559.899999999991</v>
      </c>
      <c r="H2529" s="1">
        <v>1440.100000000006</v>
      </c>
      <c r="I2529" s="1">
        <v>59247.899999999987</v>
      </c>
      <c r="J2529" s="1">
        <v>107</v>
      </c>
      <c r="K2529" s="1">
        <v>129.25862179487169</v>
      </c>
      <c r="L2529" s="1">
        <v>8.3023453790160868</v>
      </c>
      <c r="N2529" s="7">
        <v>45834</v>
      </c>
      <c r="P2529" s="7">
        <v>46199</v>
      </c>
      <c r="T2529" s="1" t="s">
        <v>397</v>
      </c>
      <c r="U2529" s="1" t="s">
        <v>398</v>
      </c>
      <c r="V2529" s="1">
        <v>1</v>
      </c>
      <c r="W2529" s="3">
        <v>9737.2800000000007</v>
      </c>
      <c r="X2529" s="3">
        <v>9737.2800000000007</v>
      </c>
      <c r="Y2529" s="1" t="str">
        <f>VLOOKUP(A2529,[1]Detalle!$D$2:$CR$484,93,FALSE)</f>
        <v>Expreso - Servicios Troncales</v>
      </c>
    </row>
    <row r="2530" spans="1:25" ht="14.25" customHeight="1" x14ac:dyDescent="0.3">
      <c r="A2530" s="1" t="s">
        <v>188</v>
      </c>
      <c r="B2530" s="1" t="s">
        <v>428</v>
      </c>
      <c r="C2530" s="1" t="s">
        <v>428</v>
      </c>
      <c r="D2530" s="1" t="s">
        <v>329</v>
      </c>
      <c r="E2530" s="1">
        <v>40688</v>
      </c>
      <c r="F2530" s="1">
        <v>60688</v>
      </c>
      <c r="G2530" s="1">
        <v>18559.899999999991</v>
      </c>
      <c r="H2530" s="1">
        <v>1440.100000000006</v>
      </c>
      <c r="I2530" s="1">
        <v>59247.899999999987</v>
      </c>
      <c r="J2530" s="1">
        <v>107</v>
      </c>
      <c r="K2530" s="1">
        <v>129.25862179487169</v>
      </c>
      <c r="L2530" s="1">
        <v>8.3023453790160868</v>
      </c>
      <c r="N2530" s="7">
        <v>45882</v>
      </c>
      <c r="P2530" s="7">
        <v>46247</v>
      </c>
      <c r="T2530" s="1" t="s">
        <v>397</v>
      </c>
      <c r="U2530" s="1" t="s">
        <v>398</v>
      </c>
      <c r="V2530" s="1">
        <v>1</v>
      </c>
      <c r="W2530" s="3">
        <v>9737.2800000000007</v>
      </c>
      <c r="X2530" s="3">
        <v>9737.2800000000007</v>
      </c>
      <c r="Y2530" s="1" t="str">
        <f>VLOOKUP(A2530,[1]Detalle!$D$2:$CR$484,93,FALSE)</f>
        <v>Arcor S.A.I.C.</v>
      </c>
    </row>
    <row r="2531" spans="1:25" ht="14.25" customHeight="1" x14ac:dyDescent="0.3">
      <c r="A2531" s="1" t="s">
        <v>184</v>
      </c>
      <c r="B2531" s="1" t="s">
        <v>428</v>
      </c>
      <c r="C2531" s="1" t="s">
        <v>428</v>
      </c>
      <c r="D2531" s="1" t="s">
        <v>329</v>
      </c>
      <c r="E2531" s="1">
        <v>40688</v>
      </c>
      <c r="F2531" s="1">
        <v>60688</v>
      </c>
      <c r="G2531" s="1">
        <v>18559.899999999991</v>
      </c>
      <c r="H2531" s="1">
        <v>1440.100000000006</v>
      </c>
      <c r="I2531" s="1">
        <v>59247.899999999987</v>
      </c>
      <c r="J2531" s="1">
        <v>107</v>
      </c>
      <c r="K2531" s="1">
        <v>129.25862179487169</v>
      </c>
      <c r="L2531" s="1">
        <v>8.3023453790160868</v>
      </c>
      <c r="N2531" s="7">
        <v>45888</v>
      </c>
      <c r="P2531" s="7">
        <v>46253</v>
      </c>
      <c r="T2531" s="1" t="s">
        <v>397</v>
      </c>
      <c r="U2531" s="1" t="s">
        <v>398</v>
      </c>
      <c r="V2531" s="1">
        <v>1</v>
      </c>
      <c r="W2531" s="3">
        <v>9737.2800000000007</v>
      </c>
      <c r="X2531" s="3">
        <v>9737.2800000000007</v>
      </c>
      <c r="Y2531" s="1" t="str">
        <f>VLOOKUP(A2531,[1]Detalle!$D$2:$CR$484,93,FALSE)</f>
        <v>Arcor S.A.I.C.</v>
      </c>
    </row>
    <row r="2532" spans="1:25" ht="14.25" customHeight="1" x14ac:dyDescent="0.3">
      <c r="A2532" s="1" t="s">
        <v>229</v>
      </c>
      <c r="B2532" s="1" t="s">
        <v>428</v>
      </c>
      <c r="C2532" s="1" t="s">
        <v>428</v>
      </c>
      <c r="D2532" s="1" t="s">
        <v>329</v>
      </c>
      <c r="E2532" s="1">
        <v>40688</v>
      </c>
      <c r="F2532" s="1">
        <v>60688</v>
      </c>
      <c r="G2532" s="1">
        <v>18559.899999999991</v>
      </c>
      <c r="H2532" s="1">
        <v>1440.100000000006</v>
      </c>
      <c r="I2532" s="1">
        <v>59247.899999999987</v>
      </c>
      <c r="J2532" s="1">
        <v>107</v>
      </c>
      <c r="K2532" s="1">
        <v>129.25862179487169</v>
      </c>
      <c r="L2532" s="1">
        <v>8.3023453790160868</v>
      </c>
      <c r="N2532" s="7">
        <v>45915</v>
      </c>
      <c r="P2532" s="7">
        <v>46280</v>
      </c>
      <c r="T2532" s="1" t="s">
        <v>397</v>
      </c>
      <c r="U2532" s="1" t="s">
        <v>398</v>
      </c>
      <c r="V2532" s="1">
        <v>1</v>
      </c>
      <c r="W2532" s="3">
        <v>9737.2800000000007</v>
      </c>
      <c r="X2532" s="3">
        <v>9737.2800000000007</v>
      </c>
      <c r="Y2532" s="1" t="str">
        <f>VLOOKUP(A2532,[1]Detalle!$D$2:$CR$484,93,FALSE)</f>
        <v>Expreso - Servicios Troncales</v>
      </c>
    </row>
    <row r="2533" spans="1:25" ht="14.25" customHeight="1" x14ac:dyDescent="0.3">
      <c r="A2533" s="1" t="s">
        <v>33</v>
      </c>
      <c r="B2533" s="1" t="s">
        <v>428</v>
      </c>
      <c r="C2533" s="1" t="s">
        <v>428</v>
      </c>
      <c r="D2533" s="1" t="s">
        <v>329</v>
      </c>
      <c r="E2533" s="1">
        <v>40688</v>
      </c>
      <c r="F2533" s="1">
        <v>60688</v>
      </c>
      <c r="G2533" s="1">
        <v>18559.899999999991</v>
      </c>
      <c r="H2533" s="1">
        <v>1440.100000000006</v>
      </c>
      <c r="I2533" s="1">
        <v>59247.899999999987</v>
      </c>
      <c r="J2533" s="1">
        <v>107</v>
      </c>
      <c r="K2533" s="1">
        <v>129.25862179487169</v>
      </c>
      <c r="L2533" s="1">
        <v>8.3023453790160868</v>
      </c>
      <c r="N2533" s="7">
        <v>45924</v>
      </c>
      <c r="P2533" s="7">
        <v>46289</v>
      </c>
      <c r="T2533" s="1" t="s">
        <v>397</v>
      </c>
      <c r="U2533" s="1" t="s">
        <v>398</v>
      </c>
      <c r="V2533" s="1">
        <v>1</v>
      </c>
      <c r="W2533" s="3">
        <v>9737.2800000000007</v>
      </c>
      <c r="X2533" s="3">
        <v>9737.2800000000007</v>
      </c>
      <c r="Y2533" s="1" t="str">
        <f>VLOOKUP(A2533,[1]Detalle!$D$2:$CR$484,93,FALSE)</f>
        <v>CENCOMLD - Cencosud SA - Mendoza</v>
      </c>
    </row>
    <row r="2534" spans="1:25" ht="14.25" customHeight="1" x14ac:dyDescent="0.3">
      <c r="A2534" s="1" t="s">
        <v>65</v>
      </c>
      <c r="B2534" s="1" t="s">
        <v>428</v>
      </c>
      <c r="C2534" s="1" t="s">
        <v>428</v>
      </c>
      <c r="D2534" s="1" t="s">
        <v>329</v>
      </c>
      <c r="E2534" s="1">
        <v>40688</v>
      </c>
      <c r="F2534" s="1">
        <v>60688</v>
      </c>
      <c r="G2534" s="1">
        <v>18559.899999999991</v>
      </c>
      <c r="H2534" s="1">
        <v>1440.100000000006</v>
      </c>
      <c r="I2534" s="1">
        <v>59247.899999999987</v>
      </c>
      <c r="J2534" s="1">
        <v>107</v>
      </c>
      <c r="K2534" s="1">
        <v>129.25862179487169</v>
      </c>
      <c r="L2534" s="1">
        <v>8.3023453790160868</v>
      </c>
      <c r="N2534" s="7">
        <v>45925</v>
      </c>
      <c r="P2534" s="7">
        <v>46290</v>
      </c>
      <c r="T2534" s="1" t="s">
        <v>397</v>
      </c>
      <c r="U2534" s="1" t="s">
        <v>398</v>
      </c>
      <c r="V2534" s="1">
        <v>1</v>
      </c>
      <c r="W2534" s="3">
        <v>9737.2800000000007</v>
      </c>
      <c r="X2534" s="3">
        <v>9737.2800000000007</v>
      </c>
      <c r="Y2534" s="1" t="str">
        <f>VLOOKUP(A2534,[1]Detalle!$D$2:$CR$484,93,FALSE)</f>
        <v>Arcor S.A.I.C.</v>
      </c>
    </row>
    <row r="2535" spans="1:25" ht="14.25" customHeight="1" x14ac:dyDescent="0.3">
      <c r="A2535" s="1" t="s">
        <v>235</v>
      </c>
      <c r="B2535" s="1" t="s">
        <v>428</v>
      </c>
      <c r="C2535" s="1" t="s">
        <v>428</v>
      </c>
      <c r="D2535" s="1" t="s">
        <v>329</v>
      </c>
      <c r="E2535" s="1">
        <v>40688</v>
      </c>
      <c r="F2535" s="1">
        <v>60688</v>
      </c>
      <c r="G2535" s="1">
        <v>18559.899999999991</v>
      </c>
      <c r="H2535" s="1">
        <v>1440.100000000006</v>
      </c>
      <c r="I2535" s="1">
        <v>59247.899999999987</v>
      </c>
      <c r="J2535" s="1">
        <v>107</v>
      </c>
      <c r="K2535" s="1">
        <v>129.25862179487169</v>
      </c>
      <c r="L2535" s="1">
        <v>8.3023453790160868</v>
      </c>
      <c r="N2535" s="7">
        <v>45929</v>
      </c>
      <c r="P2535" s="7">
        <v>46294</v>
      </c>
      <c r="T2535" s="1" t="s">
        <v>397</v>
      </c>
      <c r="U2535" s="1" t="s">
        <v>398</v>
      </c>
      <c r="V2535" s="1">
        <v>1</v>
      </c>
      <c r="W2535" s="3">
        <v>9737.2800000000007</v>
      </c>
      <c r="X2535" s="3">
        <v>9737.2800000000007</v>
      </c>
      <c r="Y2535" s="1" t="str">
        <f>VLOOKUP(A2535,[1]Detalle!$D$2:$CR$484,93,FALSE)</f>
        <v>CENCOMLD - Cencosud SA - Mendoza</v>
      </c>
    </row>
    <row r="2536" spans="1:25" ht="14.25" customHeight="1" x14ac:dyDescent="0.3">
      <c r="A2536" s="1" t="s">
        <v>105</v>
      </c>
      <c r="B2536" s="1" t="s">
        <v>328</v>
      </c>
      <c r="C2536" s="1" t="s">
        <v>328</v>
      </c>
      <c r="D2536" s="1" t="s">
        <v>329</v>
      </c>
      <c r="E2536" s="1">
        <v>40688</v>
      </c>
      <c r="F2536" s="1">
        <v>60688</v>
      </c>
      <c r="G2536" s="1">
        <v>18559.899999999991</v>
      </c>
      <c r="H2536" s="1">
        <v>1440.100000000006</v>
      </c>
      <c r="I2536" s="1">
        <v>59247.899999999987</v>
      </c>
      <c r="J2536" s="1">
        <v>107</v>
      </c>
      <c r="K2536" s="1">
        <v>129.25862179487169</v>
      </c>
      <c r="L2536" s="1">
        <v>8.3023453790160868</v>
      </c>
      <c r="N2536" s="7">
        <v>45677</v>
      </c>
      <c r="P2536" s="7">
        <v>46042</v>
      </c>
      <c r="T2536" s="1" t="s">
        <v>331</v>
      </c>
      <c r="U2536" s="1" t="s">
        <v>332</v>
      </c>
      <c r="V2536" s="1">
        <v>16</v>
      </c>
      <c r="W2536" s="3">
        <v>3389.9</v>
      </c>
      <c r="X2536" s="3">
        <v>54238.400000000001</v>
      </c>
      <c r="Y2536" s="1" t="str">
        <f>VLOOKUP(A2536,[1]Detalle!$D$2:$CR$484,93,FALSE)</f>
        <v>SUC_MAL - Sucursal Malargüe</v>
      </c>
    </row>
    <row r="2537" spans="1:25" ht="14.25" customHeight="1" x14ac:dyDescent="0.3">
      <c r="A2537" s="1" t="s">
        <v>38</v>
      </c>
      <c r="B2537" s="1" t="s">
        <v>328</v>
      </c>
      <c r="C2537" s="1" t="s">
        <v>328</v>
      </c>
      <c r="D2537" s="1" t="s">
        <v>329</v>
      </c>
      <c r="E2537" s="1">
        <v>40688</v>
      </c>
      <c r="F2537" s="1">
        <v>60688</v>
      </c>
      <c r="G2537" s="1">
        <v>18559.899999999991</v>
      </c>
      <c r="H2537" s="1">
        <v>1440.100000000006</v>
      </c>
      <c r="I2537" s="1">
        <v>59247.899999999987</v>
      </c>
      <c r="J2537" s="1">
        <v>107</v>
      </c>
      <c r="K2537" s="1">
        <v>129.25862179487169</v>
      </c>
      <c r="L2537" s="1">
        <v>8.3023453790160868</v>
      </c>
      <c r="N2537" s="7">
        <v>45679</v>
      </c>
      <c r="P2537" s="7">
        <v>46044</v>
      </c>
      <c r="T2537" s="1" t="s">
        <v>331</v>
      </c>
      <c r="U2537" s="1" t="s">
        <v>332</v>
      </c>
      <c r="V2537" s="1">
        <v>16</v>
      </c>
      <c r="W2537" s="3">
        <v>3389.9</v>
      </c>
      <c r="X2537" s="3">
        <v>54238.400000000001</v>
      </c>
      <c r="Y2537" s="1" t="str">
        <f>VLOOKUP(A2537,[1]Detalle!$D$2:$CR$484,93,FALSE)</f>
        <v>SUC_SRA - Sucursal San Rafael</v>
      </c>
    </row>
    <row r="2538" spans="1:25" ht="14.25" customHeight="1" x14ac:dyDescent="0.3">
      <c r="A2538" s="1" t="s">
        <v>74</v>
      </c>
      <c r="B2538" s="1" t="s">
        <v>328</v>
      </c>
      <c r="C2538" s="1" t="s">
        <v>328</v>
      </c>
      <c r="D2538" s="1" t="s">
        <v>329</v>
      </c>
      <c r="E2538" s="1">
        <v>40688</v>
      </c>
      <c r="F2538" s="1">
        <v>60688</v>
      </c>
      <c r="G2538" s="1">
        <v>18559.899999999991</v>
      </c>
      <c r="H2538" s="1">
        <v>1440.100000000006</v>
      </c>
      <c r="I2538" s="1">
        <v>59247.899999999987</v>
      </c>
      <c r="J2538" s="1">
        <v>107</v>
      </c>
      <c r="K2538" s="1">
        <v>129.25862179487169</v>
      </c>
      <c r="L2538" s="1">
        <v>8.3023453790160868</v>
      </c>
      <c r="N2538" s="7">
        <v>45681</v>
      </c>
      <c r="P2538" s="7">
        <v>46046</v>
      </c>
      <c r="T2538" s="1" t="s">
        <v>331</v>
      </c>
      <c r="U2538" s="1" t="s">
        <v>332</v>
      </c>
      <c r="V2538" s="1">
        <v>16</v>
      </c>
      <c r="W2538" s="3">
        <v>3389.9</v>
      </c>
      <c r="X2538" s="3">
        <v>54238.400000000001</v>
      </c>
      <c r="Y2538" s="1" t="str">
        <f>VLOOKUP(A2538,[1]Detalle!$D$2:$CR$484,93,FALSE)</f>
        <v>CENCO_MZ - Cencosud SA - Mendoza</v>
      </c>
    </row>
    <row r="2539" spans="1:25" ht="14.25" customHeight="1" x14ac:dyDescent="0.3">
      <c r="A2539" s="1" t="s">
        <v>172</v>
      </c>
      <c r="B2539" s="1" t="s">
        <v>328</v>
      </c>
      <c r="C2539" s="1" t="s">
        <v>328</v>
      </c>
      <c r="D2539" s="1" t="s">
        <v>329</v>
      </c>
      <c r="E2539" s="1">
        <v>40688</v>
      </c>
      <c r="F2539" s="1">
        <v>60688</v>
      </c>
      <c r="G2539" s="1">
        <v>18559.899999999991</v>
      </c>
      <c r="H2539" s="1">
        <v>1440.100000000006</v>
      </c>
      <c r="I2539" s="1">
        <v>59247.899999999987</v>
      </c>
      <c r="J2539" s="1">
        <v>107</v>
      </c>
      <c r="K2539" s="1">
        <v>129.25862179487169</v>
      </c>
      <c r="L2539" s="1">
        <v>8.3023453790160868</v>
      </c>
      <c r="N2539" s="7">
        <v>45688</v>
      </c>
      <c r="P2539" s="7">
        <v>46053</v>
      </c>
      <c r="T2539" s="1" t="s">
        <v>331</v>
      </c>
      <c r="U2539" s="1" t="s">
        <v>332</v>
      </c>
      <c r="V2539" s="1">
        <v>16</v>
      </c>
      <c r="W2539" s="3">
        <v>3389.9</v>
      </c>
      <c r="X2539" s="3">
        <v>54238.400000000001</v>
      </c>
      <c r="Y2539" s="1" t="str">
        <f>VLOOKUP(A2539,[1]Detalle!$D$2:$CR$484,93,FALSE)</f>
        <v>CENCO_MZ - Cencosud SA - Mendoza</v>
      </c>
    </row>
    <row r="2540" spans="1:25" ht="14.25" customHeight="1" x14ac:dyDescent="0.3">
      <c r="A2540" s="1" t="s">
        <v>152</v>
      </c>
      <c r="B2540" s="1" t="s">
        <v>328</v>
      </c>
      <c r="C2540" s="1" t="s">
        <v>328</v>
      </c>
      <c r="D2540" s="1" t="s">
        <v>329</v>
      </c>
      <c r="E2540" s="1">
        <v>40688</v>
      </c>
      <c r="F2540" s="1">
        <v>60688</v>
      </c>
      <c r="G2540" s="1">
        <v>18559.899999999991</v>
      </c>
      <c r="H2540" s="1">
        <v>1440.100000000006</v>
      </c>
      <c r="I2540" s="1">
        <v>59247.899999999987</v>
      </c>
      <c r="J2540" s="1">
        <v>107</v>
      </c>
      <c r="K2540" s="1">
        <v>129.25862179487169</v>
      </c>
      <c r="L2540" s="1">
        <v>8.3023453790160868</v>
      </c>
      <c r="N2540" s="7">
        <v>45693</v>
      </c>
      <c r="P2540" s="7">
        <v>46058</v>
      </c>
      <c r="T2540" s="1" t="s">
        <v>331</v>
      </c>
      <c r="U2540" s="1" t="s">
        <v>332</v>
      </c>
      <c r="V2540" s="1">
        <v>16</v>
      </c>
      <c r="W2540" s="3">
        <v>3389.9</v>
      </c>
      <c r="X2540" s="3">
        <v>54238.400000000001</v>
      </c>
      <c r="Y2540" s="1" t="str">
        <f>VLOOKUP(A2540,[1]Detalle!$D$2:$CR$484,93,FALSE)</f>
        <v>SUC_REA - Sucursal Realicó</v>
      </c>
    </row>
    <row r="2541" spans="1:25" ht="14.25" customHeight="1" x14ac:dyDescent="0.3">
      <c r="A2541" s="1" t="s">
        <v>243</v>
      </c>
      <c r="B2541" s="1" t="s">
        <v>328</v>
      </c>
      <c r="C2541" s="1" t="s">
        <v>328</v>
      </c>
      <c r="D2541" s="1" t="s">
        <v>329</v>
      </c>
      <c r="E2541" s="1">
        <v>40688</v>
      </c>
      <c r="F2541" s="1">
        <v>60688</v>
      </c>
      <c r="G2541" s="1">
        <v>18559.899999999991</v>
      </c>
      <c r="H2541" s="1">
        <v>1440.100000000006</v>
      </c>
      <c r="I2541" s="1">
        <v>59247.899999999987</v>
      </c>
      <c r="J2541" s="1">
        <v>107</v>
      </c>
      <c r="K2541" s="1">
        <v>129.25862179487169</v>
      </c>
      <c r="L2541" s="1">
        <v>8.3023453790160868</v>
      </c>
      <c r="N2541" s="7">
        <v>45699</v>
      </c>
      <c r="P2541" s="7">
        <v>46064</v>
      </c>
      <c r="T2541" s="1" t="s">
        <v>331</v>
      </c>
      <c r="U2541" s="1" t="s">
        <v>332</v>
      </c>
      <c r="V2541" s="1">
        <v>16</v>
      </c>
      <c r="W2541" s="3">
        <v>3389.9</v>
      </c>
      <c r="X2541" s="3">
        <v>54238.400000000001</v>
      </c>
      <c r="Y2541" s="1" t="str">
        <f>VLOOKUP(A2541,[1]Detalle!$D$2:$CR$484,93,FALSE)</f>
        <v>CMQ_TTE - QUILMES TTE</v>
      </c>
    </row>
    <row r="2542" spans="1:25" ht="14.25" customHeight="1" x14ac:dyDescent="0.3">
      <c r="A2542" s="1" t="s">
        <v>258</v>
      </c>
      <c r="B2542" s="1" t="s">
        <v>328</v>
      </c>
      <c r="C2542" s="1" t="s">
        <v>328</v>
      </c>
      <c r="D2542" s="1" t="s">
        <v>329</v>
      </c>
      <c r="E2542" s="1">
        <v>40688</v>
      </c>
      <c r="F2542" s="1">
        <v>60688</v>
      </c>
      <c r="G2542" s="1">
        <v>18559.899999999991</v>
      </c>
      <c r="H2542" s="1">
        <v>1440.100000000006</v>
      </c>
      <c r="I2542" s="1">
        <v>59247.899999999987</v>
      </c>
      <c r="J2542" s="1">
        <v>107</v>
      </c>
      <c r="K2542" s="1">
        <v>129.25862179487169</v>
      </c>
      <c r="L2542" s="1">
        <v>8.3023453790160868</v>
      </c>
      <c r="N2542" s="7">
        <v>45722</v>
      </c>
      <c r="P2542" s="7">
        <v>46087</v>
      </c>
      <c r="T2542" s="1" t="s">
        <v>331</v>
      </c>
      <c r="U2542" s="1" t="s">
        <v>332</v>
      </c>
      <c r="V2542" s="1">
        <v>16</v>
      </c>
      <c r="W2542" s="3">
        <v>3389.9</v>
      </c>
      <c r="X2542" s="3">
        <v>54238.400000000001</v>
      </c>
      <c r="Y2542" s="1" t="str">
        <f>VLOOKUP(A2542,[1]Detalle!$D$2:$CR$484,93,FALSE)</f>
        <v>CCUDyAZA</v>
      </c>
    </row>
    <row r="2543" spans="1:25" ht="14.25" customHeight="1" x14ac:dyDescent="0.3">
      <c r="A2543" s="1" t="s">
        <v>280</v>
      </c>
      <c r="B2543" s="1" t="s">
        <v>328</v>
      </c>
      <c r="C2543" s="1" t="s">
        <v>328</v>
      </c>
      <c r="D2543" s="1" t="s">
        <v>329</v>
      </c>
      <c r="E2543" s="1">
        <v>40688</v>
      </c>
      <c r="F2543" s="1">
        <v>60688</v>
      </c>
      <c r="G2543" s="1">
        <v>18559.899999999991</v>
      </c>
      <c r="H2543" s="1">
        <v>1440.100000000006</v>
      </c>
      <c r="I2543" s="1">
        <v>59247.899999999987</v>
      </c>
      <c r="J2543" s="1">
        <v>107</v>
      </c>
      <c r="K2543" s="1">
        <v>129.25862179487169</v>
      </c>
      <c r="L2543" s="1">
        <v>8.3023453790160868</v>
      </c>
      <c r="N2543" s="7">
        <v>45735</v>
      </c>
      <c r="P2543" s="7">
        <v>46100</v>
      </c>
      <c r="T2543" s="1" t="s">
        <v>331</v>
      </c>
      <c r="U2543" s="1" t="s">
        <v>332</v>
      </c>
      <c r="V2543" s="1">
        <v>16</v>
      </c>
      <c r="W2543" s="3">
        <v>3389.9</v>
      </c>
      <c r="X2543" s="3">
        <v>54238.400000000001</v>
      </c>
      <c r="Y2543" s="1" t="str">
        <f>VLOOKUP(A2543,[1]Detalle!$D$2:$CR$484,93,FALSE)</f>
        <v>Expreso - Servicios Troncales</v>
      </c>
    </row>
    <row r="2544" spans="1:25" ht="14.25" customHeight="1" x14ac:dyDescent="0.3">
      <c r="A2544" s="1" t="s">
        <v>205</v>
      </c>
      <c r="B2544" s="1" t="s">
        <v>328</v>
      </c>
      <c r="C2544" s="1" t="s">
        <v>328</v>
      </c>
      <c r="D2544" s="1" t="s">
        <v>329</v>
      </c>
      <c r="E2544" s="1">
        <v>40688</v>
      </c>
      <c r="F2544" s="1">
        <v>60688</v>
      </c>
      <c r="G2544" s="1">
        <v>18559.899999999991</v>
      </c>
      <c r="H2544" s="1">
        <v>1440.100000000006</v>
      </c>
      <c r="I2544" s="1">
        <v>59247.899999999987</v>
      </c>
      <c r="J2544" s="1">
        <v>107</v>
      </c>
      <c r="K2544" s="1">
        <v>129.25862179487169</v>
      </c>
      <c r="L2544" s="1">
        <v>8.3023453790160868</v>
      </c>
      <c r="N2544" s="7">
        <v>45735</v>
      </c>
      <c r="P2544" s="7">
        <v>46100</v>
      </c>
      <c r="T2544" s="1" t="s">
        <v>331</v>
      </c>
      <c r="U2544" s="1" t="s">
        <v>332</v>
      </c>
      <c r="V2544" s="1">
        <v>16</v>
      </c>
      <c r="W2544" s="3">
        <v>3389.9</v>
      </c>
      <c r="X2544" s="3">
        <v>54238.400000000001</v>
      </c>
      <c r="Y2544" s="1" t="str">
        <f>VLOOKUP(A2544,[1]Detalle!$D$2:$CR$484,93,FALSE)</f>
        <v>CCUCoAZA</v>
      </c>
    </row>
    <row r="2545" spans="1:25" ht="14.25" customHeight="1" x14ac:dyDescent="0.3">
      <c r="A2545" s="1" t="s">
        <v>272</v>
      </c>
      <c r="B2545" s="1" t="s">
        <v>328</v>
      </c>
      <c r="C2545" s="1" t="s">
        <v>328</v>
      </c>
      <c r="D2545" s="1" t="s">
        <v>329</v>
      </c>
      <c r="E2545" s="1">
        <v>40688</v>
      </c>
      <c r="F2545" s="1">
        <v>60688</v>
      </c>
      <c r="G2545" s="1">
        <v>18559.899999999991</v>
      </c>
      <c r="H2545" s="1">
        <v>1440.100000000006</v>
      </c>
      <c r="I2545" s="1">
        <v>59247.899999999987</v>
      </c>
      <c r="J2545" s="1">
        <v>107</v>
      </c>
      <c r="K2545" s="1">
        <v>129.25862179487169</v>
      </c>
      <c r="L2545" s="1">
        <v>8.3023453790160868</v>
      </c>
      <c r="N2545" s="7">
        <v>45734</v>
      </c>
      <c r="P2545" s="7">
        <v>46099</v>
      </c>
      <c r="T2545" s="1" t="s">
        <v>331</v>
      </c>
      <c r="U2545" s="1" t="s">
        <v>332</v>
      </c>
      <c r="V2545" s="1">
        <v>16</v>
      </c>
      <c r="W2545" s="3">
        <v>3389.9</v>
      </c>
      <c r="X2545" s="3">
        <v>54238.400000000001</v>
      </c>
      <c r="Y2545" s="1" t="str">
        <f>VLOOKUP(A2545,[1]Detalle!$D$2:$CR$484,93,FALSE)</f>
        <v>CCUDyAZA</v>
      </c>
    </row>
    <row r="2546" spans="1:25" ht="14.25" customHeight="1" x14ac:dyDescent="0.3">
      <c r="A2546" s="1" t="s">
        <v>114</v>
      </c>
      <c r="B2546" s="1" t="s">
        <v>328</v>
      </c>
      <c r="C2546" s="1" t="s">
        <v>328</v>
      </c>
      <c r="D2546" s="1" t="s">
        <v>329</v>
      </c>
      <c r="E2546" s="1">
        <v>40688</v>
      </c>
      <c r="F2546" s="1">
        <v>60688</v>
      </c>
      <c r="G2546" s="1">
        <v>18559.899999999991</v>
      </c>
      <c r="H2546" s="1">
        <v>1440.100000000006</v>
      </c>
      <c r="I2546" s="1">
        <v>59247.899999999987</v>
      </c>
      <c r="J2546" s="1">
        <v>107</v>
      </c>
      <c r="K2546" s="1">
        <v>129.25862179487169</v>
      </c>
      <c r="L2546" s="1">
        <v>8.3023453790160868</v>
      </c>
      <c r="N2546" s="7">
        <v>45741</v>
      </c>
      <c r="P2546" s="7">
        <v>46106</v>
      </c>
      <c r="T2546" s="1" t="s">
        <v>331</v>
      </c>
      <c r="U2546" s="1" t="s">
        <v>332</v>
      </c>
      <c r="V2546" s="1">
        <v>16</v>
      </c>
      <c r="W2546" s="3">
        <v>3389.9</v>
      </c>
      <c r="X2546" s="3">
        <v>54238.400000000001</v>
      </c>
      <c r="Y2546" s="1" t="str">
        <f>VLOOKUP(A2546,[1]Detalle!$D$2:$CR$484,93,FALSE)</f>
        <v>CCU_MZA - Comp. Cerv. Unidas - MZA</v>
      </c>
    </row>
    <row r="2547" spans="1:25" ht="14.25" customHeight="1" x14ac:dyDescent="0.3">
      <c r="A2547" s="1" t="s">
        <v>166</v>
      </c>
      <c r="B2547" s="1" t="s">
        <v>328</v>
      </c>
      <c r="C2547" s="1" t="s">
        <v>328</v>
      </c>
      <c r="D2547" s="1" t="s">
        <v>329</v>
      </c>
      <c r="E2547" s="1">
        <v>40688</v>
      </c>
      <c r="F2547" s="1">
        <v>60688</v>
      </c>
      <c r="G2547" s="1">
        <v>18559.899999999991</v>
      </c>
      <c r="H2547" s="1">
        <v>1440.100000000006</v>
      </c>
      <c r="I2547" s="1">
        <v>59247.899999999987</v>
      </c>
      <c r="J2547" s="1">
        <v>107</v>
      </c>
      <c r="K2547" s="1">
        <v>129.25862179487169</v>
      </c>
      <c r="L2547" s="1">
        <v>8.3023453790160868</v>
      </c>
      <c r="N2547" s="7">
        <v>45737</v>
      </c>
      <c r="P2547" s="7">
        <v>46102</v>
      </c>
      <c r="T2547" s="1" t="s">
        <v>331</v>
      </c>
      <c r="U2547" s="1" t="s">
        <v>332</v>
      </c>
      <c r="V2547" s="1">
        <v>16</v>
      </c>
      <c r="W2547" s="3">
        <v>3389.9</v>
      </c>
      <c r="X2547" s="3">
        <v>54238.400000000001</v>
      </c>
      <c r="Y2547" s="1" t="str">
        <f>VLOOKUP(A2547,[1]Detalle!$D$2:$CR$484,93,FALSE)</f>
        <v>CCUCoAZA</v>
      </c>
    </row>
    <row r="2548" spans="1:25" ht="14.25" customHeight="1" x14ac:dyDescent="0.3">
      <c r="A2548" s="1" t="s">
        <v>258</v>
      </c>
      <c r="B2548" s="1" t="s">
        <v>328</v>
      </c>
      <c r="C2548" s="1" t="s">
        <v>328</v>
      </c>
      <c r="D2548" s="1" t="s">
        <v>329</v>
      </c>
      <c r="E2548" s="1">
        <v>40688</v>
      </c>
      <c r="F2548" s="1">
        <v>60688</v>
      </c>
      <c r="G2548" s="1">
        <v>18559.899999999991</v>
      </c>
      <c r="H2548" s="1">
        <v>1440.100000000006</v>
      </c>
      <c r="I2548" s="1">
        <v>59247.899999999987</v>
      </c>
      <c r="J2548" s="1">
        <v>107</v>
      </c>
      <c r="K2548" s="1">
        <v>129.25862179487169</v>
      </c>
      <c r="L2548" s="1">
        <v>8.3023453790160868</v>
      </c>
      <c r="N2548" s="7">
        <v>45744</v>
      </c>
      <c r="P2548" s="7">
        <v>46109</v>
      </c>
      <c r="T2548" s="1" t="s">
        <v>331</v>
      </c>
      <c r="U2548" s="1" t="s">
        <v>332</v>
      </c>
      <c r="V2548" s="1">
        <v>16</v>
      </c>
      <c r="W2548" s="3">
        <v>3389.9</v>
      </c>
      <c r="X2548" s="3">
        <v>54238.400000000001</v>
      </c>
      <c r="Y2548" s="1" t="str">
        <f>VLOOKUP(A2548,[1]Detalle!$D$2:$CR$484,93,FALSE)</f>
        <v>CCUDyAZA</v>
      </c>
    </row>
    <row r="2549" spans="1:25" ht="14.25" customHeight="1" x14ac:dyDescent="0.3">
      <c r="A2549" s="1" t="s">
        <v>204</v>
      </c>
      <c r="B2549" s="1" t="s">
        <v>328</v>
      </c>
      <c r="C2549" s="1" t="s">
        <v>328</v>
      </c>
      <c r="D2549" s="1" t="s">
        <v>329</v>
      </c>
      <c r="E2549" s="1">
        <v>40688</v>
      </c>
      <c r="F2549" s="1">
        <v>60688</v>
      </c>
      <c r="G2549" s="1">
        <v>18559.899999999991</v>
      </c>
      <c r="H2549" s="1">
        <v>1440.100000000006</v>
      </c>
      <c r="I2549" s="1">
        <v>59247.899999999987</v>
      </c>
      <c r="J2549" s="1">
        <v>107</v>
      </c>
      <c r="K2549" s="1">
        <v>129.25862179487169</v>
      </c>
      <c r="L2549" s="1">
        <v>8.3023453790160868</v>
      </c>
      <c r="N2549" s="7">
        <v>45743</v>
      </c>
      <c r="P2549" s="7">
        <v>46108</v>
      </c>
      <c r="T2549" s="1" t="s">
        <v>331</v>
      </c>
      <c r="U2549" s="1" t="s">
        <v>332</v>
      </c>
      <c r="V2549" s="1">
        <v>16</v>
      </c>
      <c r="W2549" s="3">
        <v>3389.9</v>
      </c>
      <c r="X2549" s="3">
        <v>54238.400000000001</v>
      </c>
      <c r="Y2549" s="1" t="str">
        <f>VLOOKUP(A2549,[1]Detalle!$D$2:$CR$484,93,FALSE)</f>
        <v>CCUCoAZA</v>
      </c>
    </row>
    <row r="2550" spans="1:25" ht="14.25" customHeight="1" x14ac:dyDescent="0.3">
      <c r="A2550" s="1" t="s">
        <v>271</v>
      </c>
      <c r="B2550" s="1" t="s">
        <v>328</v>
      </c>
      <c r="C2550" s="1" t="s">
        <v>328</v>
      </c>
      <c r="D2550" s="1" t="s">
        <v>329</v>
      </c>
      <c r="E2550" s="1">
        <v>40688</v>
      </c>
      <c r="F2550" s="1">
        <v>60688</v>
      </c>
      <c r="G2550" s="1">
        <v>18559.899999999991</v>
      </c>
      <c r="H2550" s="1">
        <v>1440.100000000006</v>
      </c>
      <c r="I2550" s="1">
        <v>59247.899999999987</v>
      </c>
      <c r="J2550" s="1">
        <v>107</v>
      </c>
      <c r="K2550" s="1">
        <v>129.25862179487169</v>
      </c>
      <c r="L2550" s="1">
        <v>8.3023453790160868</v>
      </c>
      <c r="N2550" s="7">
        <v>45743</v>
      </c>
      <c r="P2550" s="7">
        <v>46108</v>
      </c>
      <c r="T2550" s="1" t="s">
        <v>331</v>
      </c>
      <c r="U2550" s="1" t="s">
        <v>332</v>
      </c>
      <c r="V2550" s="1">
        <v>16</v>
      </c>
      <c r="W2550" s="3">
        <v>3389.9</v>
      </c>
      <c r="X2550" s="3">
        <v>54238.400000000001</v>
      </c>
      <c r="Y2550" s="1" t="str">
        <f>VLOOKUP(A2550,[1]Detalle!$D$2:$CR$484,93,FALSE)</f>
        <v>CCUDyAZA</v>
      </c>
    </row>
    <row r="2551" spans="1:25" ht="14.25" customHeight="1" x14ac:dyDescent="0.3">
      <c r="A2551" s="1" t="s">
        <v>128</v>
      </c>
      <c r="B2551" s="1" t="s">
        <v>328</v>
      </c>
      <c r="C2551" s="1" t="s">
        <v>328</v>
      </c>
      <c r="D2551" s="1" t="s">
        <v>329</v>
      </c>
      <c r="E2551" s="1">
        <v>40688</v>
      </c>
      <c r="F2551" s="1">
        <v>60688</v>
      </c>
      <c r="G2551" s="1">
        <v>18559.899999999991</v>
      </c>
      <c r="H2551" s="1">
        <v>1440.100000000006</v>
      </c>
      <c r="I2551" s="1">
        <v>59247.899999999987</v>
      </c>
      <c r="J2551" s="1">
        <v>107</v>
      </c>
      <c r="K2551" s="1">
        <v>129.25862179487169</v>
      </c>
      <c r="L2551" s="1">
        <v>8.3023453790160868</v>
      </c>
      <c r="N2551" s="7">
        <v>45743</v>
      </c>
      <c r="P2551" s="7">
        <v>46108</v>
      </c>
      <c r="T2551" s="1" t="s">
        <v>331</v>
      </c>
      <c r="U2551" s="1" t="s">
        <v>332</v>
      </c>
      <c r="V2551" s="1">
        <v>16</v>
      </c>
      <c r="W2551" s="3">
        <v>3389.9</v>
      </c>
      <c r="X2551" s="3">
        <v>54238.400000000001</v>
      </c>
      <c r="Y2551" s="1" t="str">
        <f>VLOOKUP(A2551,[1]Detalle!$D$2:$CR$484,93,FALSE)</f>
        <v>Arcor S.A.I.C.</v>
      </c>
    </row>
    <row r="2552" spans="1:25" ht="14.25" customHeight="1" x14ac:dyDescent="0.3">
      <c r="A2552" s="1" t="s">
        <v>182</v>
      </c>
      <c r="B2552" s="1" t="s">
        <v>328</v>
      </c>
      <c r="C2552" s="1" t="s">
        <v>328</v>
      </c>
      <c r="D2552" s="1" t="s">
        <v>329</v>
      </c>
      <c r="E2552" s="1">
        <v>40688</v>
      </c>
      <c r="F2552" s="1">
        <v>60688</v>
      </c>
      <c r="G2552" s="1">
        <v>18559.899999999991</v>
      </c>
      <c r="H2552" s="1">
        <v>1440.100000000006</v>
      </c>
      <c r="I2552" s="1">
        <v>59247.899999999987</v>
      </c>
      <c r="J2552" s="1">
        <v>107</v>
      </c>
      <c r="K2552" s="1">
        <v>129.25862179487169</v>
      </c>
      <c r="L2552" s="1">
        <v>8.3023453790160868</v>
      </c>
      <c r="N2552" s="7">
        <v>45748</v>
      </c>
      <c r="P2552" s="7">
        <v>46113</v>
      </c>
      <c r="T2552" s="1" t="s">
        <v>331</v>
      </c>
      <c r="U2552" s="1" t="s">
        <v>332</v>
      </c>
      <c r="V2552" s="1">
        <v>16</v>
      </c>
      <c r="W2552" s="3">
        <v>3389.9</v>
      </c>
      <c r="X2552" s="3">
        <v>54238.400000000001</v>
      </c>
      <c r="Y2552" s="1" t="str">
        <f>VLOOKUP(A2552,[1]Detalle!$D$2:$CR$484,93,FALSE)</f>
        <v>CCU_MZA - Comp. Cerv. Unidas - MZA</v>
      </c>
    </row>
    <row r="2553" spans="1:25" ht="14.25" customHeight="1" x14ac:dyDescent="0.3">
      <c r="A2553" s="1" t="s">
        <v>185</v>
      </c>
      <c r="B2553" s="1" t="s">
        <v>328</v>
      </c>
      <c r="C2553" s="1" t="s">
        <v>328</v>
      </c>
      <c r="D2553" s="1" t="s">
        <v>329</v>
      </c>
      <c r="E2553" s="1">
        <v>40688</v>
      </c>
      <c r="F2553" s="1">
        <v>60688</v>
      </c>
      <c r="G2553" s="1">
        <v>18559.899999999991</v>
      </c>
      <c r="H2553" s="1">
        <v>1440.100000000006</v>
      </c>
      <c r="I2553" s="1">
        <v>59247.899999999987</v>
      </c>
      <c r="J2553" s="1">
        <v>107</v>
      </c>
      <c r="K2553" s="1">
        <v>129.25862179487169</v>
      </c>
      <c r="L2553" s="1">
        <v>8.3023453790160868</v>
      </c>
      <c r="N2553" s="7">
        <v>45748</v>
      </c>
      <c r="P2553" s="7">
        <v>46113</v>
      </c>
      <c r="T2553" s="1" t="s">
        <v>331</v>
      </c>
      <c r="U2553" s="1" t="s">
        <v>332</v>
      </c>
      <c r="V2553" s="1">
        <v>16</v>
      </c>
      <c r="W2553" s="3">
        <v>3389.9</v>
      </c>
      <c r="X2553" s="3">
        <v>54238.400000000001</v>
      </c>
      <c r="Y2553" s="1" t="str">
        <f>VLOOKUP(A2553,[1]Detalle!$D$2:$CR$484,93,FALSE)</f>
        <v>CENCO_SJ - Cencosud SA - San Juan</v>
      </c>
    </row>
    <row r="2554" spans="1:25" ht="14.25" customHeight="1" x14ac:dyDescent="0.3">
      <c r="A2554" s="1" t="s">
        <v>272</v>
      </c>
      <c r="B2554" s="1" t="s">
        <v>328</v>
      </c>
      <c r="C2554" s="1" t="s">
        <v>328</v>
      </c>
      <c r="D2554" s="1" t="s">
        <v>329</v>
      </c>
      <c r="E2554" s="1">
        <v>40688</v>
      </c>
      <c r="F2554" s="1">
        <v>60688</v>
      </c>
      <c r="G2554" s="1">
        <v>18559.899999999991</v>
      </c>
      <c r="H2554" s="1">
        <v>1440.100000000006</v>
      </c>
      <c r="I2554" s="1">
        <v>59247.899999999987</v>
      </c>
      <c r="J2554" s="1">
        <v>107</v>
      </c>
      <c r="K2554" s="1">
        <v>129.25862179487169</v>
      </c>
      <c r="L2554" s="1">
        <v>8.3023453790160868</v>
      </c>
      <c r="N2554" s="7">
        <v>45750</v>
      </c>
      <c r="P2554" s="7">
        <v>46115</v>
      </c>
      <c r="T2554" s="1" t="s">
        <v>331</v>
      </c>
      <c r="U2554" s="1" t="s">
        <v>332</v>
      </c>
      <c r="V2554" s="1">
        <v>16</v>
      </c>
      <c r="W2554" s="3">
        <v>3389.9</v>
      </c>
      <c r="X2554" s="3">
        <v>54238.400000000001</v>
      </c>
      <c r="Y2554" s="1" t="str">
        <f>VLOOKUP(A2554,[1]Detalle!$D$2:$CR$484,93,FALSE)</f>
        <v>CCUDyAZA</v>
      </c>
    </row>
    <row r="2555" spans="1:25" ht="14.25" customHeight="1" x14ac:dyDescent="0.3">
      <c r="A2555" s="1" t="s">
        <v>192</v>
      </c>
      <c r="B2555" s="1" t="s">
        <v>328</v>
      </c>
      <c r="C2555" s="1" t="s">
        <v>328</v>
      </c>
      <c r="D2555" s="1" t="s">
        <v>329</v>
      </c>
      <c r="E2555" s="1">
        <v>40688</v>
      </c>
      <c r="F2555" s="1">
        <v>60688</v>
      </c>
      <c r="G2555" s="1">
        <v>18559.899999999991</v>
      </c>
      <c r="H2555" s="1">
        <v>1440.100000000006</v>
      </c>
      <c r="I2555" s="1">
        <v>59247.899999999987</v>
      </c>
      <c r="J2555" s="1">
        <v>107</v>
      </c>
      <c r="K2555" s="1">
        <v>129.25862179487169</v>
      </c>
      <c r="L2555" s="1">
        <v>8.3023453790160868</v>
      </c>
      <c r="N2555" s="7">
        <v>45771</v>
      </c>
      <c r="P2555" s="7">
        <v>46136</v>
      </c>
      <c r="T2555" s="1" t="s">
        <v>331</v>
      </c>
      <c r="U2555" s="1" t="s">
        <v>332</v>
      </c>
      <c r="V2555" s="1">
        <v>16</v>
      </c>
      <c r="W2555" s="3">
        <v>3389.9</v>
      </c>
      <c r="X2555" s="3">
        <v>54238.400000000001</v>
      </c>
      <c r="Y2555" s="1" t="str">
        <f>VLOOKUP(A2555,[1]Detalle!$D$2:$CR$484,93,FALSE)</f>
        <v>Sin Operación</v>
      </c>
    </row>
    <row r="2556" spans="1:25" ht="14.25" customHeight="1" x14ac:dyDescent="0.3">
      <c r="A2556" s="1" t="s">
        <v>76</v>
      </c>
      <c r="B2556" s="1" t="s">
        <v>328</v>
      </c>
      <c r="C2556" s="1" t="s">
        <v>328</v>
      </c>
      <c r="D2556" s="1" t="s">
        <v>329</v>
      </c>
      <c r="E2556" s="1">
        <v>40688</v>
      </c>
      <c r="F2556" s="1">
        <v>60688</v>
      </c>
      <c r="G2556" s="1">
        <v>18559.899999999991</v>
      </c>
      <c r="H2556" s="1">
        <v>1440.100000000006</v>
      </c>
      <c r="I2556" s="1">
        <v>59247.899999999987</v>
      </c>
      <c r="J2556" s="1">
        <v>107</v>
      </c>
      <c r="K2556" s="1">
        <v>129.25862179487169</v>
      </c>
      <c r="L2556" s="1">
        <v>8.3023453790160868</v>
      </c>
      <c r="N2556" s="7">
        <v>45785</v>
      </c>
      <c r="P2556" s="7">
        <v>46150</v>
      </c>
      <c r="T2556" s="1" t="s">
        <v>331</v>
      </c>
      <c r="U2556" s="1" t="s">
        <v>332</v>
      </c>
      <c r="V2556" s="1">
        <v>16</v>
      </c>
      <c r="W2556" s="3">
        <v>3389.9</v>
      </c>
      <c r="X2556" s="3">
        <v>54238.400000000001</v>
      </c>
      <c r="Y2556" s="1" t="str">
        <f>VLOOKUP(A2556,[1]Detalle!$D$2:$CR$484,93,FALSE)</f>
        <v>CCU_MZA - Comp. Cerv. Unidas - MZA</v>
      </c>
    </row>
    <row r="2557" spans="1:25" ht="14.25" customHeight="1" x14ac:dyDescent="0.3">
      <c r="A2557" s="1" t="s">
        <v>268</v>
      </c>
      <c r="B2557" s="1" t="s">
        <v>328</v>
      </c>
      <c r="C2557" s="1" t="s">
        <v>328</v>
      </c>
      <c r="D2557" s="1" t="s">
        <v>329</v>
      </c>
      <c r="E2557" s="1">
        <v>40688</v>
      </c>
      <c r="F2557" s="1">
        <v>60688</v>
      </c>
      <c r="G2557" s="1">
        <v>18559.899999999991</v>
      </c>
      <c r="H2557" s="1">
        <v>1440.100000000006</v>
      </c>
      <c r="I2557" s="1">
        <v>59247.899999999987</v>
      </c>
      <c r="J2557" s="1">
        <v>107</v>
      </c>
      <c r="K2557" s="1">
        <v>129.25862179487169</v>
      </c>
      <c r="L2557" s="1">
        <v>8.3023453790160868</v>
      </c>
      <c r="N2557" s="7">
        <v>45785</v>
      </c>
      <c r="P2557" s="7">
        <v>46150</v>
      </c>
      <c r="T2557" s="1" t="s">
        <v>331</v>
      </c>
      <c r="U2557" s="1" t="s">
        <v>332</v>
      </c>
      <c r="V2557" s="1">
        <v>16</v>
      </c>
      <c r="W2557" s="3">
        <v>3389.9</v>
      </c>
      <c r="X2557" s="3">
        <v>54238.400000000001</v>
      </c>
      <c r="Y2557" s="1" t="str">
        <f>VLOOKUP(A2557,[1]Detalle!$D$2:$CR$484,93,FALSE)</f>
        <v>CCUDyAZA</v>
      </c>
    </row>
    <row r="2558" spans="1:25" ht="14.25" customHeight="1" x14ac:dyDescent="0.3">
      <c r="A2558" s="1" t="s">
        <v>266</v>
      </c>
      <c r="B2558" s="1" t="s">
        <v>328</v>
      </c>
      <c r="C2558" s="1" t="s">
        <v>328</v>
      </c>
      <c r="D2558" s="1" t="s">
        <v>329</v>
      </c>
      <c r="E2558" s="1">
        <v>40688</v>
      </c>
      <c r="F2558" s="1">
        <v>60688</v>
      </c>
      <c r="G2558" s="1">
        <v>18559.899999999991</v>
      </c>
      <c r="H2558" s="1">
        <v>1440.100000000006</v>
      </c>
      <c r="I2558" s="1">
        <v>59247.899999999987</v>
      </c>
      <c r="J2558" s="1">
        <v>107</v>
      </c>
      <c r="K2558" s="1">
        <v>129.25862179487169</v>
      </c>
      <c r="L2558" s="1">
        <v>8.3023453790160868</v>
      </c>
      <c r="N2558" s="7">
        <v>45786</v>
      </c>
      <c r="P2558" s="7">
        <v>46151</v>
      </c>
      <c r="T2558" s="1" t="s">
        <v>331</v>
      </c>
      <c r="U2558" s="1" t="s">
        <v>332</v>
      </c>
      <c r="V2558" s="1">
        <v>16</v>
      </c>
      <c r="W2558" s="3">
        <v>3389.9</v>
      </c>
      <c r="X2558" s="3">
        <v>54238.400000000001</v>
      </c>
      <c r="Y2558" s="1" t="str">
        <f>VLOOKUP(A2558,[1]Detalle!$D$2:$CR$484,93,FALSE)</f>
        <v>CCUDyAZA</v>
      </c>
    </row>
    <row r="2559" spans="1:25" ht="14.25" customHeight="1" x14ac:dyDescent="0.3">
      <c r="A2559" s="1" t="s">
        <v>15</v>
      </c>
      <c r="B2559" s="1" t="s">
        <v>328</v>
      </c>
      <c r="C2559" s="1" t="s">
        <v>328</v>
      </c>
      <c r="D2559" s="1" t="s">
        <v>329</v>
      </c>
      <c r="E2559" s="1">
        <v>40688</v>
      </c>
      <c r="F2559" s="1">
        <v>60688</v>
      </c>
      <c r="G2559" s="1">
        <v>18559.899999999991</v>
      </c>
      <c r="H2559" s="1">
        <v>1440.100000000006</v>
      </c>
      <c r="I2559" s="1">
        <v>59247.899999999987</v>
      </c>
      <c r="J2559" s="1">
        <v>107</v>
      </c>
      <c r="K2559" s="1">
        <v>129.25862179487169</v>
      </c>
      <c r="L2559" s="1">
        <v>8.3023453790160868</v>
      </c>
      <c r="N2559" s="7">
        <v>45789</v>
      </c>
      <c r="P2559" s="7">
        <v>46154</v>
      </c>
      <c r="T2559" s="1" t="s">
        <v>331</v>
      </c>
      <c r="U2559" s="1" t="s">
        <v>332</v>
      </c>
      <c r="V2559" s="1">
        <v>16</v>
      </c>
      <c r="W2559" s="3">
        <v>3389.9</v>
      </c>
      <c r="X2559" s="3">
        <v>54238.400000000001</v>
      </c>
      <c r="Y2559" s="1" t="str">
        <f>VLOOKUP(A2559,[1]Detalle!$D$2:$CR$484,93,FALSE)</f>
        <v>CENCOMLD - Cencosud SA - Mendoza</v>
      </c>
    </row>
    <row r="2560" spans="1:25" ht="14.25" customHeight="1" x14ac:dyDescent="0.3">
      <c r="A2560" s="1" t="s">
        <v>237</v>
      </c>
      <c r="B2560" s="1" t="s">
        <v>328</v>
      </c>
      <c r="C2560" s="1" t="s">
        <v>328</v>
      </c>
      <c r="D2560" s="1" t="s">
        <v>329</v>
      </c>
      <c r="E2560" s="1">
        <v>40688</v>
      </c>
      <c r="F2560" s="1">
        <v>60688</v>
      </c>
      <c r="G2560" s="1">
        <v>18559.899999999991</v>
      </c>
      <c r="H2560" s="1">
        <v>1440.100000000006</v>
      </c>
      <c r="I2560" s="1">
        <v>59247.899999999987</v>
      </c>
      <c r="J2560" s="1">
        <v>107</v>
      </c>
      <c r="K2560" s="1">
        <v>129.25862179487169</v>
      </c>
      <c r="L2560" s="1">
        <v>8.3023453790160868</v>
      </c>
      <c r="N2560" s="7">
        <v>45790</v>
      </c>
      <c r="P2560" s="7">
        <v>46155</v>
      </c>
      <c r="T2560" s="1" t="s">
        <v>331</v>
      </c>
      <c r="U2560" s="1" t="s">
        <v>332</v>
      </c>
      <c r="V2560" s="1">
        <v>16</v>
      </c>
      <c r="W2560" s="3">
        <v>3389.9</v>
      </c>
      <c r="X2560" s="3">
        <v>54238.400000000001</v>
      </c>
      <c r="Y2560" s="1" t="str">
        <f>VLOOKUP(A2560,[1]Detalle!$D$2:$CR$484,93,FALSE)</f>
        <v>CENCOMLD - Cencosud SA - Mendoza</v>
      </c>
    </row>
    <row r="2561" spans="1:25" ht="14.25" customHeight="1" x14ac:dyDescent="0.3">
      <c r="A2561" s="1" t="s">
        <v>235</v>
      </c>
      <c r="B2561" s="1" t="s">
        <v>328</v>
      </c>
      <c r="C2561" s="1" t="s">
        <v>328</v>
      </c>
      <c r="D2561" s="1" t="s">
        <v>329</v>
      </c>
      <c r="E2561" s="1">
        <v>40688</v>
      </c>
      <c r="F2561" s="1">
        <v>60688</v>
      </c>
      <c r="G2561" s="1">
        <v>18559.899999999991</v>
      </c>
      <c r="H2561" s="1">
        <v>1440.100000000006</v>
      </c>
      <c r="I2561" s="1">
        <v>59247.899999999987</v>
      </c>
      <c r="J2561" s="1">
        <v>107</v>
      </c>
      <c r="K2561" s="1">
        <v>129.25862179487169</v>
      </c>
      <c r="L2561" s="1">
        <v>8.3023453790160868</v>
      </c>
      <c r="N2561" s="7">
        <v>45797</v>
      </c>
      <c r="P2561" s="7">
        <v>46162</v>
      </c>
      <c r="T2561" s="1" t="s">
        <v>331</v>
      </c>
      <c r="U2561" s="1" t="s">
        <v>332</v>
      </c>
      <c r="V2561" s="1">
        <v>16</v>
      </c>
      <c r="W2561" s="3">
        <v>3389.9</v>
      </c>
      <c r="X2561" s="3">
        <v>54238.400000000001</v>
      </c>
      <c r="Y2561" s="1" t="str">
        <f>VLOOKUP(A2561,[1]Detalle!$D$2:$CR$484,93,FALSE)</f>
        <v>CENCOMLD - Cencosud SA - Mendoza</v>
      </c>
    </row>
    <row r="2562" spans="1:25" ht="14.25" customHeight="1" x14ac:dyDescent="0.3">
      <c r="A2562" s="1" t="s">
        <v>227</v>
      </c>
      <c r="B2562" s="1" t="s">
        <v>328</v>
      </c>
      <c r="C2562" s="1" t="s">
        <v>328</v>
      </c>
      <c r="D2562" s="1" t="s">
        <v>329</v>
      </c>
      <c r="E2562" s="1">
        <v>40688</v>
      </c>
      <c r="F2562" s="1">
        <v>60688</v>
      </c>
      <c r="G2562" s="1">
        <v>18559.899999999991</v>
      </c>
      <c r="H2562" s="1">
        <v>1440.100000000006</v>
      </c>
      <c r="I2562" s="1">
        <v>59247.899999999987</v>
      </c>
      <c r="J2562" s="1">
        <v>107</v>
      </c>
      <c r="K2562" s="1">
        <v>129.25862179487169</v>
      </c>
      <c r="L2562" s="1">
        <v>8.3023453790160868</v>
      </c>
      <c r="N2562" s="7">
        <v>45793</v>
      </c>
      <c r="P2562" s="7">
        <v>46158</v>
      </c>
      <c r="T2562" s="1" t="s">
        <v>331</v>
      </c>
      <c r="U2562" s="1" t="s">
        <v>332</v>
      </c>
      <c r="V2562" s="1">
        <v>16</v>
      </c>
      <c r="W2562" s="3">
        <v>3389.9</v>
      </c>
      <c r="X2562" s="3">
        <v>54238.400000000001</v>
      </c>
      <c r="Y2562" s="1" t="str">
        <f>VLOOKUP(A2562,[1]Detalle!$D$2:$CR$484,93,FALSE)</f>
        <v>CCUCoAZA</v>
      </c>
    </row>
    <row r="2563" spans="1:25" ht="14.25" customHeight="1" x14ac:dyDescent="0.3">
      <c r="A2563" s="1" t="s">
        <v>269</v>
      </c>
      <c r="B2563" s="1" t="s">
        <v>328</v>
      </c>
      <c r="C2563" s="1" t="s">
        <v>328</v>
      </c>
      <c r="D2563" s="1" t="s">
        <v>329</v>
      </c>
      <c r="E2563" s="1">
        <v>40688</v>
      </c>
      <c r="F2563" s="1">
        <v>60688</v>
      </c>
      <c r="G2563" s="1">
        <v>18559.899999999991</v>
      </c>
      <c r="H2563" s="1">
        <v>1440.100000000006</v>
      </c>
      <c r="I2563" s="1">
        <v>59247.899999999987</v>
      </c>
      <c r="J2563" s="1">
        <v>107</v>
      </c>
      <c r="K2563" s="1">
        <v>129.25862179487169</v>
      </c>
      <c r="L2563" s="1">
        <v>8.3023453790160868</v>
      </c>
      <c r="N2563" s="7">
        <v>45799</v>
      </c>
      <c r="P2563" s="7">
        <v>46164</v>
      </c>
      <c r="T2563" s="1" t="s">
        <v>331</v>
      </c>
      <c r="U2563" s="1" t="s">
        <v>332</v>
      </c>
      <c r="V2563" s="1">
        <v>16</v>
      </c>
      <c r="W2563" s="3">
        <v>3389.9</v>
      </c>
      <c r="X2563" s="3">
        <v>54238.400000000001</v>
      </c>
      <c r="Y2563" s="1" t="str">
        <f>VLOOKUP(A2563,[1]Detalle!$D$2:$CR$484,93,FALSE)</f>
        <v>CCUDyAZA</v>
      </c>
    </row>
    <row r="2564" spans="1:25" ht="14.25" customHeight="1" x14ac:dyDescent="0.3">
      <c r="A2564" s="1" t="s">
        <v>203</v>
      </c>
      <c r="B2564" s="1" t="s">
        <v>328</v>
      </c>
      <c r="C2564" s="1" t="s">
        <v>328</v>
      </c>
      <c r="D2564" s="1" t="s">
        <v>329</v>
      </c>
      <c r="E2564" s="1">
        <v>40688</v>
      </c>
      <c r="F2564" s="1">
        <v>60688</v>
      </c>
      <c r="G2564" s="1">
        <v>18559.899999999991</v>
      </c>
      <c r="H2564" s="1">
        <v>1440.100000000006</v>
      </c>
      <c r="I2564" s="1">
        <v>59247.899999999987</v>
      </c>
      <c r="J2564" s="1">
        <v>107</v>
      </c>
      <c r="K2564" s="1">
        <v>129.25862179487169</v>
      </c>
      <c r="L2564" s="1">
        <v>8.3023453790160868</v>
      </c>
      <c r="N2564" s="7">
        <v>45799</v>
      </c>
      <c r="P2564" s="7">
        <v>46164</v>
      </c>
      <c r="T2564" s="1" t="s">
        <v>331</v>
      </c>
      <c r="U2564" s="1" t="s">
        <v>332</v>
      </c>
      <c r="V2564" s="1">
        <v>16</v>
      </c>
      <c r="W2564" s="3">
        <v>3389.9</v>
      </c>
      <c r="X2564" s="3">
        <v>54238.400000000001</v>
      </c>
      <c r="Y2564" s="1" t="str">
        <f>VLOOKUP(A2564,[1]Detalle!$D$2:$CR$484,93,FALSE)</f>
        <v>CCUDyAZA</v>
      </c>
    </row>
    <row r="2565" spans="1:25" ht="14.25" customHeight="1" x14ac:dyDescent="0.3">
      <c r="A2565" s="1" t="s">
        <v>130</v>
      </c>
      <c r="B2565" s="1" t="s">
        <v>328</v>
      </c>
      <c r="C2565" s="1" t="s">
        <v>328</v>
      </c>
      <c r="D2565" s="1" t="s">
        <v>329</v>
      </c>
      <c r="E2565" s="1">
        <v>40688</v>
      </c>
      <c r="F2565" s="1">
        <v>60688</v>
      </c>
      <c r="G2565" s="1">
        <v>18559.899999999991</v>
      </c>
      <c r="H2565" s="1">
        <v>1440.100000000006</v>
      </c>
      <c r="I2565" s="1">
        <v>59247.899999999987</v>
      </c>
      <c r="J2565" s="1">
        <v>107</v>
      </c>
      <c r="K2565" s="1">
        <v>129.25862179487169</v>
      </c>
      <c r="L2565" s="1">
        <v>8.3023453790160868</v>
      </c>
      <c r="N2565" s="7">
        <v>45800</v>
      </c>
      <c r="P2565" s="7">
        <v>46165</v>
      </c>
      <c r="T2565" s="1" t="s">
        <v>331</v>
      </c>
      <c r="U2565" s="1" t="s">
        <v>332</v>
      </c>
      <c r="V2565" s="1">
        <v>16</v>
      </c>
      <c r="W2565" s="3">
        <v>3389.9</v>
      </c>
      <c r="X2565" s="3">
        <v>54238.400000000001</v>
      </c>
      <c r="Y2565" s="1" t="str">
        <f>VLOOKUP(A2565,[1]Detalle!$D$2:$CR$484,93,FALSE)</f>
        <v>CMQ_TTE - QUILMES TTE</v>
      </c>
    </row>
    <row r="2566" spans="1:25" ht="14.25" customHeight="1" x14ac:dyDescent="0.3">
      <c r="A2566" s="1" t="s">
        <v>55</v>
      </c>
      <c r="B2566" s="1" t="s">
        <v>328</v>
      </c>
      <c r="C2566" s="1" t="s">
        <v>328</v>
      </c>
      <c r="D2566" s="1" t="s">
        <v>329</v>
      </c>
      <c r="E2566" s="1">
        <v>40688</v>
      </c>
      <c r="F2566" s="1">
        <v>60688</v>
      </c>
      <c r="G2566" s="1">
        <v>18559.899999999991</v>
      </c>
      <c r="H2566" s="1">
        <v>1440.100000000006</v>
      </c>
      <c r="I2566" s="1">
        <v>59247.899999999987</v>
      </c>
      <c r="J2566" s="1">
        <v>107</v>
      </c>
      <c r="K2566" s="1">
        <v>129.25862179487169</v>
      </c>
      <c r="L2566" s="1">
        <v>8.3023453790160868</v>
      </c>
      <c r="N2566" s="7">
        <v>45800</v>
      </c>
      <c r="P2566" s="7">
        <v>46165</v>
      </c>
      <c r="T2566" s="1" t="s">
        <v>331</v>
      </c>
      <c r="U2566" s="1" t="s">
        <v>332</v>
      </c>
      <c r="V2566" s="1">
        <v>16</v>
      </c>
      <c r="W2566" s="3">
        <v>3389.9</v>
      </c>
      <c r="X2566" s="3">
        <v>54238.400000000001</v>
      </c>
      <c r="Y2566" s="1" t="str">
        <f>VLOOKUP(A2566,[1]Detalle!$D$2:$CR$484,93,FALSE)</f>
        <v>CMQ_TTE - QUILMES TTE</v>
      </c>
    </row>
    <row r="2567" spans="1:25" ht="14.25" customHeight="1" x14ac:dyDescent="0.3">
      <c r="A2567" s="1" t="s">
        <v>198</v>
      </c>
      <c r="B2567" s="1" t="s">
        <v>328</v>
      </c>
      <c r="C2567" s="1" t="s">
        <v>328</v>
      </c>
      <c r="D2567" s="1" t="s">
        <v>329</v>
      </c>
      <c r="E2567" s="1">
        <v>40688</v>
      </c>
      <c r="F2567" s="1">
        <v>60688</v>
      </c>
      <c r="G2567" s="1">
        <v>18559.899999999991</v>
      </c>
      <c r="H2567" s="1">
        <v>1440.100000000006</v>
      </c>
      <c r="I2567" s="1">
        <v>59247.899999999987</v>
      </c>
      <c r="J2567" s="1">
        <v>107</v>
      </c>
      <c r="K2567" s="1">
        <v>129.25862179487169</v>
      </c>
      <c r="L2567" s="1">
        <v>8.3023453790160868</v>
      </c>
      <c r="N2567" s="7">
        <v>45801</v>
      </c>
      <c r="P2567" s="7">
        <v>46166</v>
      </c>
      <c r="T2567" s="1" t="s">
        <v>331</v>
      </c>
      <c r="U2567" s="1" t="s">
        <v>332</v>
      </c>
      <c r="V2567" s="1">
        <v>16</v>
      </c>
      <c r="W2567" s="3">
        <v>3389.9</v>
      </c>
      <c r="X2567" s="3">
        <v>54238.400000000001</v>
      </c>
      <c r="Y2567" s="1" t="str">
        <f>VLOOKUP(A2567,[1]Detalle!$D$2:$CR$484,93,FALSE)</f>
        <v>Sin Operación</v>
      </c>
    </row>
    <row r="2568" spans="1:25" ht="14.25" customHeight="1" x14ac:dyDescent="0.3">
      <c r="A2568" s="1" t="s">
        <v>212</v>
      </c>
      <c r="B2568" s="1" t="s">
        <v>328</v>
      </c>
      <c r="C2568" s="1" t="s">
        <v>328</v>
      </c>
      <c r="D2568" s="1" t="s">
        <v>329</v>
      </c>
      <c r="E2568" s="1">
        <v>40688</v>
      </c>
      <c r="F2568" s="1">
        <v>60688</v>
      </c>
      <c r="G2568" s="1">
        <v>18559.899999999991</v>
      </c>
      <c r="H2568" s="1">
        <v>1440.100000000006</v>
      </c>
      <c r="I2568" s="1">
        <v>59247.899999999987</v>
      </c>
      <c r="J2568" s="1">
        <v>107</v>
      </c>
      <c r="K2568" s="1">
        <v>129.25862179487169</v>
      </c>
      <c r="L2568" s="1">
        <v>8.3023453790160868</v>
      </c>
      <c r="N2568" s="7">
        <v>45803</v>
      </c>
      <c r="P2568" s="7">
        <v>46168</v>
      </c>
      <c r="T2568" s="1" t="s">
        <v>331</v>
      </c>
      <c r="U2568" s="1" t="s">
        <v>332</v>
      </c>
      <c r="V2568" s="1">
        <v>16</v>
      </c>
      <c r="W2568" s="3">
        <v>3389.9</v>
      </c>
      <c r="X2568" s="3">
        <v>54238.400000000001</v>
      </c>
      <c r="Y2568" s="1" t="str">
        <f>VLOOKUP(A2568,[1]Detalle!$D$2:$CR$484,93,FALSE)</f>
        <v>Sin Operación</v>
      </c>
    </row>
    <row r="2569" spans="1:25" ht="14.25" customHeight="1" x14ac:dyDescent="0.3">
      <c r="A2569" s="1" t="s">
        <v>14</v>
      </c>
      <c r="B2569" s="1" t="s">
        <v>328</v>
      </c>
      <c r="C2569" s="1" t="s">
        <v>328</v>
      </c>
      <c r="D2569" s="1" t="s">
        <v>329</v>
      </c>
      <c r="E2569" s="1">
        <v>40688</v>
      </c>
      <c r="F2569" s="1">
        <v>60688</v>
      </c>
      <c r="G2569" s="1">
        <v>18559.899999999991</v>
      </c>
      <c r="H2569" s="1">
        <v>1440.100000000006</v>
      </c>
      <c r="I2569" s="1">
        <v>59247.899999999987</v>
      </c>
      <c r="J2569" s="1">
        <v>107</v>
      </c>
      <c r="K2569" s="1">
        <v>129.25862179487169</v>
      </c>
      <c r="L2569" s="1">
        <v>8.3023453790160868</v>
      </c>
      <c r="N2569" s="7">
        <v>45803</v>
      </c>
      <c r="P2569" s="7">
        <v>46168</v>
      </c>
      <c r="T2569" s="1" t="s">
        <v>331</v>
      </c>
      <c r="U2569" s="1" t="s">
        <v>332</v>
      </c>
      <c r="V2569" s="1">
        <v>16</v>
      </c>
      <c r="W2569" s="3">
        <v>3389.9</v>
      </c>
      <c r="X2569" s="3">
        <v>54238.400000000001</v>
      </c>
      <c r="Y2569" s="1" t="str">
        <f>VLOOKUP(A2569,[1]Detalle!$D$2:$CR$484,93,FALSE)</f>
        <v>ADA_CH - Danone Arg. S.A. - Chascomus</v>
      </c>
    </row>
    <row r="2570" spans="1:25" ht="14.25" customHeight="1" x14ac:dyDescent="0.3">
      <c r="A2570" s="1" t="s">
        <v>259</v>
      </c>
      <c r="B2570" s="1" t="s">
        <v>328</v>
      </c>
      <c r="C2570" s="1" t="s">
        <v>328</v>
      </c>
      <c r="D2570" s="1" t="s">
        <v>329</v>
      </c>
      <c r="E2570" s="1">
        <v>40688</v>
      </c>
      <c r="F2570" s="1">
        <v>60688</v>
      </c>
      <c r="G2570" s="1">
        <v>18559.899999999991</v>
      </c>
      <c r="H2570" s="1">
        <v>1440.100000000006</v>
      </c>
      <c r="I2570" s="1">
        <v>59247.899999999987</v>
      </c>
      <c r="J2570" s="1">
        <v>107</v>
      </c>
      <c r="K2570" s="1">
        <v>129.25862179487169</v>
      </c>
      <c r="L2570" s="1">
        <v>8.3023453790160868</v>
      </c>
      <c r="N2570" s="7">
        <v>45812</v>
      </c>
      <c r="P2570" s="7">
        <v>46177</v>
      </c>
      <c r="T2570" s="1" t="s">
        <v>331</v>
      </c>
      <c r="U2570" s="1" t="s">
        <v>332</v>
      </c>
      <c r="V2570" s="1">
        <v>16</v>
      </c>
      <c r="W2570" s="3">
        <v>3389.9</v>
      </c>
      <c r="X2570" s="3">
        <v>54238.400000000001</v>
      </c>
      <c r="Y2570" s="1" t="str">
        <f>VLOOKUP(A2570,[1]Detalle!$D$2:$CR$484,93,FALSE)</f>
        <v>CCUDyAZA</v>
      </c>
    </row>
    <row r="2571" spans="1:25" ht="14.25" customHeight="1" x14ac:dyDescent="0.3">
      <c r="A2571" s="1" t="s">
        <v>73</v>
      </c>
      <c r="B2571" s="1" t="s">
        <v>328</v>
      </c>
      <c r="C2571" s="1" t="s">
        <v>328</v>
      </c>
      <c r="D2571" s="1" t="s">
        <v>329</v>
      </c>
      <c r="E2571" s="1">
        <v>40688</v>
      </c>
      <c r="F2571" s="1">
        <v>60688</v>
      </c>
      <c r="G2571" s="1">
        <v>18559.899999999991</v>
      </c>
      <c r="H2571" s="1">
        <v>1440.100000000006</v>
      </c>
      <c r="I2571" s="1">
        <v>59247.899999999987</v>
      </c>
      <c r="J2571" s="1">
        <v>107</v>
      </c>
      <c r="K2571" s="1">
        <v>129.25862179487169</v>
      </c>
      <c r="L2571" s="1">
        <v>8.3023453790160868</v>
      </c>
      <c r="N2571" s="7">
        <v>45814</v>
      </c>
      <c r="P2571" s="7">
        <v>46179</v>
      </c>
      <c r="T2571" s="1" t="s">
        <v>331</v>
      </c>
      <c r="U2571" s="1" t="s">
        <v>332</v>
      </c>
      <c r="V2571" s="1">
        <v>16</v>
      </c>
      <c r="W2571" s="3">
        <v>3389.9</v>
      </c>
      <c r="X2571" s="3">
        <v>54238.400000000001</v>
      </c>
      <c r="Y2571" s="1" t="str">
        <f>VLOOKUP(A2571,[1]Detalle!$D$2:$CR$484,93,FALSE)</f>
        <v>CMQ_TTE - QUILMES TTE</v>
      </c>
    </row>
    <row r="2572" spans="1:25" ht="14.25" customHeight="1" x14ac:dyDescent="0.3">
      <c r="A2572" s="1" t="s">
        <v>245</v>
      </c>
      <c r="B2572" s="1" t="s">
        <v>328</v>
      </c>
      <c r="C2572" s="1" t="s">
        <v>328</v>
      </c>
      <c r="D2572" s="1" t="s">
        <v>329</v>
      </c>
      <c r="E2572" s="1">
        <v>40688</v>
      </c>
      <c r="F2572" s="1">
        <v>60688</v>
      </c>
      <c r="G2572" s="1">
        <v>18559.899999999991</v>
      </c>
      <c r="H2572" s="1">
        <v>1440.100000000006</v>
      </c>
      <c r="I2572" s="1">
        <v>59247.899999999987</v>
      </c>
      <c r="J2572" s="1">
        <v>107</v>
      </c>
      <c r="K2572" s="1">
        <v>129.25862179487169</v>
      </c>
      <c r="L2572" s="1">
        <v>8.3023453790160868</v>
      </c>
      <c r="N2572" s="7">
        <v>45817</v>
      </c>
      <c r="P2572" s="7">
        <v>46182</v>
      </c>
      <c r="T2572" s="1" t="s">
        <v>331</v>
      </c>
      <c r="U2572" s="1" t="s">
        <v>332</v>
      </c>
      <c r="V2572" s="1">
        <v>16</v>
      </c>
      <c r="W2572" s="3">
        <v>3389.9</v>
      </c>
      <c r="X2572" s="3">
        <v>54238.400000000001</v>
      </c>
      <c r="Y2572" s="1" t="str">
        <f>VLOOKUP(A2572,[1]Detalle!$D$2:$CR$484,93,FALSE)</f>
        <v>CMQ_TTE - QUILMES TTE</v>
      </c>
    </row>
    <row r="2573" spans="1:25" ht="14.25" customHeight="1" x14ac:dyDescent="0.3">
      <c r="A2573" s="1" t="s">
        <v>222</v>
      </c>
      <c r="B2573" s="1" t="s">
        <v>328</v>
      </c>
      <c r="C2573" s="1" t="s">
        <v>328</v>
      </c>
      <c r="D2573" s="1" t="s">
        <v>329</v>
      </c>
      <c r="E2573" s="1">
        <v>40688</v>
      </c>
      <c r="F2573" s="1">
        <v>60688</v>
      </c>
      <c r="G2573" s="1">
        <v>18559.899999999991</v>
      </c>
      <c r="H2573" s="1">
        <v>1440.100000000006</v>
      </c>
      <c r="I2573" s="1">
        <v>59247.899999999987</v>
      </c>
      <c r="J2573" s="1">
        <v>107</v>
      </c>
      <c r="K2573" s="1">
        <v>129.25862179487169</v>
      </c>
      <c r="L2573" s="1">
        <v>8.3023453790160868</v>
      </c>
      <c r="N2573" s="7">
        <v>45820</v>
      </c>
      <c r="P2573" s="7">
        <v>46185</v>
      </c>
      <c r="T2573" s="1" t="s">
        <v>331</v>
      </c>
      <c r="U2573" s="1" t="s">
        <v>332</v>
      </c>
      <c r="V2573" s="1">
        <v>16</v>
      </c>
      <c r="W2573" s="3">
        <v>3389.9</v>
      </c>
      <c r="X2573" s="3">
        <v>54238.400000000001</v>
      </c>
      <c r="Y2573" s="1" t="str">
        <f>VLOOKUP(A2573,[1]Detalle!$D$2:$CR$484,93,FALSE)</f>
        <v>Sin Operación</v>
      </c>
    </row>
    <row r="2574" spans="1:25" ht="14.25" customHeight="1" x14ac:dyDescent="0.3">
      <c r="A2574" s="1" t="s">
        <v>173</v>
      </c>
      <c r="B2574" s="1" t="s">
        <v>328</v>
      </c>
      <c r="C2574" s="1" t="s">
        <v>328</v>
      </c>
      <c r="D2574" s="1" t="s">
        <v>329</v>
      </c>
      <c r="E2574" s="1">
        <v>40688</v>
      </c>
      <c r="F2574" s="1">
        <v>60688</v>
      </c>
      <c r="G2574" s="1">
        <v>18559.899999999991</v>
      </c>
      <c r="H2574" s="1">
        <v>1440.100000000006</v>
      </c>
      <c r="I2574" s="1">
        <v>59247.899999999987</v>
      </c>
      <c r="J2574" s="1">
        <v>107</v>
      </c>
      <c r="K2574" s="1">
        <v>129.25862179487169</v>
      </c>
      <c r="L2574" s="1">
        <v>8.3023453790160868</v>
      </c>
      <c r="N2574" s="7">
        <v>45821</v>
      </c>
      <c r="P2574" s="7">
        <v>46186</v>
      </c>
      <c r="T2574" s="1" t="s">
        <v>331</v>
      </c>
      <c r="U2574" s="1" t="s">
        <v>332</v>
      </c>
      <c r="V2574" s="1">
        <v>16</v>
      </c>
      <c r="W2574" s="3">
        <v>3389.9</v>
      </c>
      <c r="X2574" s="3">
        <v>54238.400000000001</v>
      </c>
      <c r="Y2574" s="1" t="str">
        <f>VLOOKUP(A2574,[1]Detalle!$D$2:$CR$484,93,FALSE)</f>
        <v>CENCO_MZ - Cencosud SA - Mendoza</v>
      </c>
    </row>
    <row r="2575" spans="1:25" ht="14.25" customHeight="1" x14ac:dyDescent="0.3">
      <c r="A2575" s="1" t="s">
        <v>165</v>
      </c>
      <c r="B2575" s="1" t="s">
        <v>328</v>
      </c>
      <c r="C2575" s="1" t="s">
        <v>328</v>
      </c>
      <c r="D2575" s="1" t="s">
        <v>329</v>
      </c>
      <c r="E2575" s="1">
        <v>40688</v>
      </c>
      <c r="F2575" s="1">
        <v>60688</v>
      </c>
      <c r="G2575" s="1">
        <v>18559.899999999991</v>
      </c>
      <c r="H2575" s="1">
        <v>1440.100000000006</v>
      </c>
      <c r="I2575" s="1">
        <v>59247.899999999987</v>
      </c>
      <c r="J2575" s="1">
        <v>107</v>
      </c>
      <c r="K2575" s="1">
        <v>129.25862179487169</v>
      </c>
      <c r="L2575" s="1">
        <v>8.3023453790160868</v>
      </c>
      <c r="N2575" s="7">
        <v>45825</v>
      </c>
      <c r="P2575" s="7">
        <v>46190</v>
      </c>
      <c r="T2575" s="1" t="s">
        <v>331</v>
      </c>
      <c r="U2575" s="1" t="s">
        <v>332</v>
      </c>
      <c r="V2575" s="1">
        <v>16</v>
      </c>
      <c r="W2575" s="3">
        <v>3389.9</v>
      </c>
      <c r="X2575" s="3">
        <v>54238.400000000001</v>
      </c>
      <c r="Y2575" s="1" t="str">
        <f>VLOOKUP(A2575,[1]Detalle!$D$2:$CR$484,93,FALSE)</f>
        <v>Papelera - Papelera del Plata S.A.</v>
      </c>
    </row>
    <row r="2576" spans="1:25" ht="14.25" customHeight="1" x14ac:dyDescent="0.3">
      <c r="A2576" s="1" t="s">
        <v>224</v>
      </c>
      <c r="B2576" s="1" t="s">
        <v>328</v>
      </c>
      <c r="C2576" s="1" t="s">
        <v>328</v>
      </c>
      <c r="D2576" s="1" t="s">
        <v>329</v>
      </c>
      <c r="E2576" s="1">
        <v>40688</v>
      </c>
      <c r="F2576" s="1">
        <v>60688</v>
      </c>
      <c r="G2576" s="1">
        <v>18559.899999999991</v>
      </c>
      <c r="H2576" s="1">
        <v>1440.100000000006</v>
      </c>
      <c r="I2576" s="1">
        <v>59247.899999999987</v>
      </c>
      <c r="J2576" s="1">
        <v>107</v>
      </c>
      <c r="K2576" s="1">
        <v>129.25862179487169</v>
      </c>
      <c r="L2576" s="1">
        <v>8.3023453790160868</v>
      </c>
      <c r="N2576" s="7">
        <v>45825</v>
      </c>
      <c r="P2576" s="7">
        <v>46190</v>
      </c>
      <c r="T2576" s="1" t="s">
        <v>331</v>
      </c>
      <c r="U2576" s="1" t="s">
        <v>332</v>
      </c>
      <c r="V2576" s="1">
        <v>16</v>
      </c>
      <c r="W2576" s="3">
        <v>3389.9</v>
      </c>
      <c r="X2576" s="3">
        <v>54238.400000000001</v>
      </c>
      <c r="Y2576" s="1" t="str">
        <f>VLOOKUP(A2576,[1]Detalle!$D$2:$CR$484,93,FALSE)</f>
        <v>Sin Operación</v>
      </c>
    </row>
    <row r="2577" spans="1:25" ht="14.25" customHeight="1" x14ac:dyDescent="0.3">
      <c r="A2577" s="1" t="s">
        <v>119</v>
      </c>
      <c r="B2577" s="1" t="s">
        <v>328</v>
      </c>
      <c r="C2577" s="1" t="s">
        <v>328</v>
      </c>
      <c r="D2577" s="1" t="s">
        <v>329</v>
      </c>
      <c r="E2577" s="1">
        <v>40688</v>
      </c>
      <c r="F2577" s="1">
        <v>60688</v>
      </c>
      <c r="G2577" s="1">
        <v>18559.899999999991</v>
      </c>
      <c r="H2577" s="1">
        <v>1440.100000000006</v>
      </c>
      <c r="I2577" s="1">
        <v>59247.899999999987</v>
      </c>
      <c r="J2577" s="1">
        <v>107</v>
      </c>
      <c r="K2577" s="1">
        <v>129.25862179487169</v>
      </c>
      <c r="L2577" s="1">
        <v>8.3023453790160868</v>
      </c>
      <c r="N2577" s="7">
        <v>45831</v>
      </c>
      <c r="P2577" s="7">
        <v>46196</v>
      </c>
      <c r="T2577" s="1" t="s">
        <v>331</v>
      </c>
      <c r="U2577" s="1" t="s">
        <v>332</v>
      </c>
      <c r="V2577" s="1">
        <v>16</v>
      </c>
      <c r="W2577" s="3">
        <v>3389.9</v>
      </c>
      <c r="X2577" s="3">
        <v>54238.400000000001</v>
      </c>
      <c r="Y2577" s="1" t="str">
        <f>VLOOKUP(A2577,[1]Detalle!$D$2:$CR$484,93,FALSE)</f>
        <v>SUC_CTC - Sucursal Buenos Aires</v>
      </c>
    </row>
    <row r="2578" spans="1:25" ht="14.25" customHeight="1" x14ac:dyDescent="0.3">
      <c r="A2578" s="1" t="s">
        <v>168</v>
      </c>
      <c r="B2578" s="1" t="s">
        <v>328</v>
      </c>
      <c r="C2578" s="1" t="s">
        <v>328</v>
      </c>
      <c r="D2578" s="1" t="s">
        <v>329</v>
      </c>
      <c r="E2578" s="1">
        <v>40688</v>
      </c>
      <c r="F2578" s="1">
        <v>60688</v>
      </c>
      <c r="G2578" s="1">
        <v>18559.899999999991</v>
      </c>
      <c r="H2578" s="1">
        <v>1440.100000000006</v>
      </c>
      <c r="I2578" s="1">
        <v>59247.899999999987</v>
      </c>
      <c r="J2578" s="1">
        <v>107</v>
      </c>
      <c r="K2578" s="1">
        <v>129.25862179487169</v>
      </c>
      <c r="L2578" s="1">
        <v>8.3023453790160868</v>
      </c>
      <c r="N2578" s="7">
        <v>45831</v>
      </c>
      <c r="P2578" s="7">
        <v>46196</v>
      </c>
      <c r="T2578" s="1" t="s">
        <v>331</v>
      </c>
      <c r="U2578" s="1" t="s">
        <v>332</v>
      </c>
      <c r="V2578" s="1">
        <v>16</v>
      </c>
      <c r="W2578" s="3">
        <v>3389.9</v>
      </c>
      <c r="X2578" s="3">
        <v>54238.400000000001</v>
      </c>
      <c r="Y2578" s="1" t="str">
        <f>VLOOKUP(A2578,[1]Detalle!$D$2:$CR$484,93,FALSE)</f>
        <v>Unilever - Unilever de Arg. S.A.</v>
      </c>
    </row>
    <row r="2579" spans="1:25" ht="14.25" customHeight="1" x14ac:dyDescent="0.3">
      <c r="A2579" s="1" t="s">
        <v>223</v>
      </c>
      <c r="B2579" s="1" t="s">
        <v>328</v>
      </c>
      <c r="C2579" s="1" t="s">
        <v>328</v>
      </c>
      <c r="D2579" s="1" t="s">
        <v>329</v>
      </c>
      <c r="E2579" s="1">
        <v>40688</v>
      </c>
      <c r="F2579" s="1">
        <v>60688</v>
      </c>
      <c r="G2579" s="1">
        <v>18559.899999999991</v>
      </c>
      <c r="H2579" s="1">
        <v>1440.100000000006</v>
      </c>
      <c r="I2579" s="1">
        <v>59247.899999999987</v>
      </c>
      <c r="J2579" s="1">
        <v>107</v>
      </c>
      <c r="K2579" s="1">
        <v>129.25862179487169</v>
      </c>
      <c r="L2579" s="1">
        <v>8.3023453790160868</v>
      </c>
      <c r="N2579" s="7">
        <v>45831</v>
      </c>
      <c r="P2579" s="7">
        <v>46196</v>
      </c>
      <c r="T2579" s="1" t="s">
        <v>331</v>
      </c>
      <c r="U2579" s="1" t="s">
        <v>332</v>
      </c>
      <c r="V2579" s="1">
        <v>16</v>
      </c>
      <c r="W2579" s="3">
        <v>3389.9</v>
      </c>
      <c r="X2579" s="3">
        <v>54238.400000000001</v>
      </c>
      <c r="Y2579" s="1" t="str">
        <f>VLOOKUP(A2579,[1]Detalle!$D$2:$CR$484,93,FALSE)</f>
        <v>CMQ_TTE - QUILMES TTE</v>
      </c>
    </row>
    <row r="2580" spans="1:25" ht="14.25" customHeight="1" x14ac:dyDescent="0.3">
      <c r="A2580" s="1" t="s">
        <v>244</v>
      </c>
      <c r="B2580" s="1" t="s">
        <v>328</v>
      </c>
      <c r="C2580" s="1" t="s">
        <v>328</v>
      </c>
      <c r="D2580" s="1" t="s">
        <v>329</v>
      </c>
      <c r="E2580" s="1">
        <v>40688</v>
      </c>
      <c r="F2580" s="1">
        <v>60688</v>
      </c>
      <c r="G2580" s="1">
        <v>18559.899999999991</v>
      </c>
      <c r="H2580" s="1">
        <v>1440.100000000006</v>
      </c>
      <c r="I2580" s="1">
        <v>59247.899999999987</v>
      </c>
      <c r="J2580" s="1">
        <v>107</v>
      </c>
      <c r="K2580" s="1">
        <v>129.25862179487169</v>
      </c>
      <c r="L2580" s="1">
        <v>8.3023453790160868</v>
      </c>
      <c r="N2580" s="7">
        <v>45832</v>
      </c>
      <c r="P2580" s="7">
        <v>46197</v>
      </c>
      <c r="T2580" s="1" t="s">
        <v>331</v>
      </c>
      <c r="U2580" s="1" t="s">
        <v>332</v>
      </c>
      <c r="V2580" s="1">
        <v>16</v>
      </c>
      <c r="W2580" s="3">
        <v>3389.9</v>
      </c>
      <c r="X2580" s="3">
        <v>54238.400000000001</v>
      </c>
      <c r="Y2580" s="1" t="str">
        <f>VLOOKUP(A2580,[1]Detalle!$D$2:$CR$484,93,FALSE)</f>
        <v>CMQ_TTE - QUILMES TTE</v>
      </c>
    </row>
    <row r="2581" spans="1:25" ht="14.25" customHeight="1" x14ac:dyDescent="0.3">
      <c r="A2581" s="1" t="s">
        <v>167</v>
      </c>
      <c r="B2581" s="1" t="s">
        <v>328</v>
      </c>
      <c r="C2581" s="1" t="s">
        <v>328</v>
      </c>
      <c r="D2581" s="1" t="s">
        <v>329</v>
      </c>
      <c r="E2581" s="1">
        <v>40688</v>
      </c>
      <c r="F2581" s="1">
        <v>60688</v>
      </c>
      <c r="G2581" s="1">
        <v>18559.899999999991</v>
      </c>
      <c r="H2581" s="1">
        <v>1440.100000000006</v>
      </c>
      <c r="I2581" s="1">
        <v>59247.899999999987</v>
      </c>
      <c r="J2581" s="1">
        <v>107</v>
      </c>
      <c r="K2581" s="1">
        <v>129.25862179487169</v>
      </c>
      <c r="L2581" s="1">
        <v>8.3023453790160868</v>
      </c>
      <c r="N2581" s="7">
        <v>45833</v>
      </c>
      <c r="P2581" s="7">
        <v>46198</v>
      </c>
      <c r="T2581" s="1" t="s">
        <v>331</v>
      </c>
      <c r="U2581" s="1" t="s">
        <v>332</v>
      </c>
      <c r="V2581" s="1">
        <v>16</v>
      </c>
      <c r="W2581" s="3">
        <v>3389.9</v>
      </c>
      <c r="X2581" s="3">
        <v>54238.400000000001</v>
      </c>
      <c r="Y2581" s="1" t="str">
        <f>VLOOKUP(A2581,[1]Detalle!$D$2:$CR$484,93,FALSE)</f>
        <v>Papelera - Papelera del Plata S.A.</v>
      </c>
    </row>
    <row r="2582" spans="1:25" ht="14.25" customHeight="1" x14ac:dyDescent="0.3">
      <c r="A2582" s="1" t="s">
        <v>104</v>
      </c>
      <c r="B2582" s="1" t="s">
        <v>328</v>
      </c>
      <c r="C2582" s="1" t="s">
        <v>328</v>
      </c>
      <c r="D2582" s="1" t="s">
        <v>329</v>
      </c>
      <c r="E2582" s="1">
        <v>40688</v>
      </c>
      <c r="F2582" s="1">
        <v>60688</v>
      </c>
      <c r="G2582" s="1">
        <v>18559.899999999991</v>
      </c>
      <c r="H2582" s="1">
        <v>1440.100000000006</v>
      </c>
      <c r="I2582" s="1">
        <v>59247.899999999987</v>
      </c>
      <c r="J2582" s="1">
        <v>107</v>
      </c>
      <c r="K2582" s="1">
        <v>129.25862179487169</v>
      </c>
      <c r="L2582" s="1">
        <v>8.3023453790160868</v>
      </c>
      <c r="N2582" s="7">
        <v>45833</v>
      </c>
      <c r="P2582" s="7">
        <v>46198</v>
      </c>
      <c r="T2582" s="1" t="s">
        <v>331</v>
      </c>
      <c r="U2582" s="1" t="s">
        <v>332</v>
      </c>
      <c r="V2582" s="1">
        <v>16</v>
      </c>
      <c r="W2582" s="3">
        <v>3389.9</v>
      </c>
      <c r="X2582" s="3">
        <v>54238.400000000001</v>
      </c>
      <c r="Y2582" s="1" t="str">
        <f>VLOOKUP(A2582,[1]Detalle!$D$2:$CR$484,93,FALSE)</f>
        <v>SUC_GAL - Sucursal General Alvear</v>
      </c>
    </row>
    <row r="2583" spans="1:25" ht="14.25" customHeight="1" x14ac:dyDescent="0.3">
      <c r="A2583" s="1" t="s">
        <v>174</v>
      </c>
      <c r="B2583" s="1" t="s">
        <v>328</v>
      </c>
      <c r="C2583" s="1" t="s">
        <v>328</v>
      </c>
      <c r="D2583" s="1" t="s">
        <v>329</v>
      </c>
      <c r="E2583" s="1">
        <v>40688</v>
      </c>
      <c r="F2583" s="1">
        <v>60688</v>
      </c>
      <c r="G2583" s="1">
        <v>18559.899999999991</v>
      </c>
      <c r="H2583" s="1">
        <v>1440.100000000006</v>
      </c>
      <c r="I2583" s="1">
        <v>59247.899999999987</v>
      </c>
      <c r="J2583" s="1">
        <v>107</v>
      </c>
      <c r="K2583" s="1">
        <v>129.25862179487169</v>
      </c>
      <c r="L2583" s="1">
        <v>8.3023453790160868</v>
      </c>
      <c r="N2583" s="7">
        <v>45834</v>
      </c>
      <c r="P2583" s="7">
        <v>46199</v>
      </c>
      <c r="T2583" s="1" t="s">
        <v>331</v>
      </c>
      <c r="U2583" s="1" t="s">
        <v>332</v>
      </c>
      <c r="V2583" s="1">
        <v>16</v>
      </c>
      <c r="W2583" s="3">
        <v>3389.9</v>
      </c>
      <c r="X2583" s="3">
        <v>54238.400000000001</v>
      </c>
      <c r="Y2583" s="1" t="str">
        <f>VLOOKUP(A2583,[1]Detalle!$D$2:$CR$484,93,FALSE)</f>
        <v>Unilever - Unilever de Arg. S.A.</v>
      </c>
    </row>
    <row r="2584" spans="1:25" ht="14.25" customHeight="1" x14ac:dyDescent="0.3">
      <c r="A2584" s="1" t="s">
        <v>211</v>
      </c>
      <c r="B2584" s="1" t="s">
        <v>328</v>
      </c>
      <c r="C2584" s="1" t="s">
        <v>328</v>
      </c>
      <c r="D2584" s="1" t="s">
        <v>329</v>
      </c>
      <c r="E2584" s="1">
        <v>40688</v>
      </c>
      <c r="F2584" s="1">
        <v>60688</v>
      </c>
      <c r="G2584" s="1">
        <v>18559.899999999991</v>
      </c>
      <c r="H2584" s="1">
        <v>1440.100000000006</v>
      </c>
      <c r="I2584" s="1">
        <v>59247.899999999987</v>
      </c>
      <c r="J2584" s="1">
        <v>107</v>
      </c>
      <c r="K2584" s="1">
        <v>129.25862179487169</v>
      </c>
      <c r="L2584" s="1">
        <v>8.3023453790160868</v>
      </c>
      <c r="N2584" s="7">
        <v>45834</v>
      </c>
      <c r="P2584" s="7">
        <v>46199</v>
      </c>
      <c r="T2584" s="1" t="s">
        <v>331</v>
      </c>
      <c r="U2584" s="1" t="s">
        <v>332</v>
      </c>
      <c r="V2584" s="1">
        <v>16</v>
      </c>
      <c r="W2584" s="3">
        <v>3389.9</v>
      </c>
      <c r="X2584" s="3">
        <v>54238.400000000001</v>
      </c>
      <c r="Y2584" s="1" t="str">
        <f>VLOOKUP(A2584,[1]Detalle!$D$2:$CR$484,93,FALSE)</f>
        <v>SUC_GAL - Sucursal General Alvear</v>
      </c>
    </row>
    <row r="2585" spans="1:25" ht="14.25" customHeight="1" x14ac:dyDescent="0.3">
      <c r="A2585" s="1" t="s">
        <v>171</v>
      </c>
      <c r="B2585" s="1" t="s">
        <v>328</v>
      </c>
      <c r="C2585" s="1" t="s">
        <v>328</v>
      </c>
      <c r="D2585" s="1" t="s">
        <v>329</v>
      </c>
      <c r="E2585" s="1">
        <v>40688</v>
      </c>
      <c r="F2585" s="1">
        <v>60688</v>
      </c>
      <c r="G2585" s="1">
        <v>18559.899999999991</v>
      </c>
      <c r="H2585" s="1">
        <v>1440.100000000006</v>
      </c>
      <c r="I2585" s="1">
        <v>59247.899999999987</v>
      </c>
      <c r="J2585" s="1">
        <v>107</v>
      </c>
      <c r="K2585" s="1">
        <v>129.25862179487169</v>
      </c>
      <c r="L2585" s="1">
        <v>8.3023453790160868</v>
      </c>
      <c r="N2585" s="7">
        <v>45835</v>
      </c>
      <c r="P2585" s="7">
        <v>46200</v>
      </c>
      <c r="T2585" s="1" t="s">
        <v>331</v>
      </c>
      <c r="U2585" s="1" t="s">
        <v>332</v>
      </c>
      <c r="V2585" s="1">
        <v>16</v>
      </c>
      <c r="W2585" s="3">
        <v>3389.9</v>
      </c>
      <c r="X2585" s="3">
        <v>54238.400000000001</v>
      </c>
      <c r="Y2585" s="1" t="str">
        <f>VLOOKUP(A2585,[1]Detalle!$D$2:$CR$484,93,FALSE)</f>
        <v>CENCO_MZ - Cencosud SA - Mendoza</v>
      </c>
    </row>
    <row r="2586" spans="1:25" ht="14.25" customHeight="1" x14ac:dyDescent="0.3">
      <c r="A2586" s="1" t="s">
        <v>152</v>
      </c>
      <c r="B2586" s="1" t="s">
        <v>328</v>
      </c>
      <c r="C2586" s="1" t="s">
        <v>328</v>
      </c>
      <c r="D2586" s="1" t="s">
        <v>329</v>
      </c>
      <c r="E2586" s="1">
        <v>40688</v>
      </c>
      <c r="F2586" s="1">
        <v>60688</v>
      </c>
      <c r="G2586" s="1">
        <v>18559.899999999991</v>
      </c>
      <c r="H2586" s="1">
        <v>1440.100000000006</v>
      </c>
      <c r="I2586" s="1">
        <v>59247.899999999987</v>
      </c>
      <c r="J2586" s="1">
        <v>107</v>
      </c>
      <c r="K2586" s="1">
        <v>129.25862179487169</v>
      </c>
      <c r="L2586" s="1">
        <v>8.3023453790160868</v>
      </c>
      <c r="N2586" s="7">
        <v>45845</v>
      </c>
      <c r="P2586" s="7">
        <v>46210</v>
      </c>
      <c r="T2586" s="1" t="s">
        <v>331</v>
      </c>
      <c r="U2586" s="1" t="s">
        <v>332</v>
      </c>
      <c r="V2586" s="1">
        <v>16</v>
      </c>
      <c r="W2586" s="3">
        <v>3389.9</v>
      </c>
      <c r="X2586" s="3">
        <v>54238.400000000001</v>
      </c>
      <c r="Y2586" s="1" t="str">
        <f>VLOOKUP(A2586,[1]Detalle!$D$2:$CR$484,93,FALSE)</f>
        <v>SUC_REA - Sucursal Realicó</v>
      </c>
    </row>
    <row r="2587" spans="1:25" ht="14.25" customHeight="1" x14ac:dyDescent="0.3">
      <c r="A2587" s="1" t="s">
        <v>133</v>
      </c>
      <c r="B2587" s="1" t="s">
        <v>328</v>
      </c>
      <c r="C2587" s="1" t="s">
        <v>328</v>
      </c>
      <c r="D2587" s="1" t="s">
        <v>329</v>
      </c>
      <c r="E2587" s="1">
        <v>40688</v>
      </c>
      <c r="F2587" s="1">
        <v>60688</v>
      </c>
      <c r="G2587" s="1">
        <v>18559.899999999991</v>
      </c>
      <c r="H2587" s="1">
        <v>1440.100000000006</v>
      </c>
      <c r="I2587" s="1">
        <v>59247.899999999987</v>
      </c>
      <c r="J2587" s="1">
        <v>107</v>
      </c>
      <c r="K2587" s="1">
        <v>129.25862179487169</v>
      </c>
      <c r="L2587" s="1">
        <v>8.3023453790160868</v>
      </c>
      <c r="N2587" s="7">
        <v>45846</v>
      </c>
      <c r="P2587" s="7">
        <v>46211</v>
      </c>
      <c r="T2587" s="1" t="s">
        <v>331</v>
      </c>
      <c r="U2587" s="1" t="s">
        <v>332</v>
      </c>
      <c r="V2587" s="1">
        <v>16</v>
      </c>
      <c r="W2587" s="3">
        <v>3389.9</v>
      </c>
      <c r="X2587" s="3">
        <v>54238.400000000001</v>
      </c>
      <c r="Y2587" s="1" t="str">
        <f>VLOOKUP(A2587,[1]Detalle!$D$2:$CR$484,93,FALSE)</f>
        <v>CENCOMLD - Cencosud SA - Mendoza</v>
      </c>
    </row>
    <row r="2588" spans="1:25" ht="14.25" customHeight="1" x14ac:dyDescent="0.3">
      <c r="A2588" s="1" t="s">
        <v>15</v>
      </c>
      <c r="B2588" s="1" t="s">
        <v>328</v>
      </c>
      <c r="C2588" s="1" t="s">
        <v>328</v>
      </c>
      <c r="D2588" s="1" t="s">
        <v>329</v>
      </c>
      <c r="E2588" s="1">
        <v>40688</v>
      </c>
      <c r="F2588" s="1">
        <v>60688</v>
      </c>
      <c r="G2588" s="1">
        <v>18559.899999999991</v>
      </c>
      <c r="H2588" s="1">
        <v>1440.100000000006</v>
      </c>
      <c r="I2588" s="1">
        <v>59247.899999999987</v>
      </c>
      <c r="J2588" s="1">
        <v>107</v>
      </c>
      <c r="K2588" s="1">
        <v>129.25862179487169</v>
      </c>
      <c r="L2588" s="1">
        <v>8.3023453790160868</v>
      </c>
      <c r="N2588" s="7">
        <v>45848</v>
      </c>
      <c r="P2588" s="7">
        <v>46213</v>
      </c>
      <c r="T2588" s="1" t="s">
        <v>331</v>
      </c>
      <c r="U2588" s="1" t="s">
        <v>332</v>
      </c>
      <c r="V2588" s="1">
        <v>16</v>
      </c>
      <c r="W2588" s="3">
        <v>3389.9</v>
      </c>
      <c r="X2588" s="3">
        <v>54238.400000000001</v>
      </c>
      <c r="Y2588" s="1" t="str">
        <f>VLOOKUP(A2588,[1]Detalle!$D$2:$CR$484,93,FALSE)</f>
        <v>CENCOMLD - Cencosud SA - Mendoza</v>
      </c>
    </row>
    <row r="2589" spans="1:25" ht="14.25" customHeight="1" x14ac:dyDescent="0.3">
      <c r="A2589" s="1" t="s">
        <v>219</v>
      </c>
      <c r="B2589" s="1" t="s">
        <v>328</v>
      </c>
      <c r="C2589" s="1" t="s">
        <v>328</v>
      </c>
      <c r="D2589" s="1" t="s">
        <v>329</v>
      </c>
      <c r="E2589" s="1">
        <v>40688</v>
      </c>
      <c r="F2589" s="1">
        <v>60688</v>
      </c>
      <c r="G2589" s="1">
        <v>18559.899999999991</v>
      </c>
      <c r="H2589" s="1">
        <v>1440.100000000006</v>
      </c>
      <c r="I2589" s="1">
        <v>59247.899999999987</v>
      </c>
      <c r="J2589" s="1">
        <v>107</v>
      </c>
      <c r="K2589" s="1">
        <v>129.25862179487169</v>
      </c>
      <c r="L2589" s="1">
        <v>8.3023453790160868</v>
      </c>
      <c r="N2589" s="7">
        <v>45853</v>
      </c>
      <c r="P2589" s="7">
        <v>46218</v>
      </c>
      <c r="T2589" s="1" t="s">
        <v>331</v>
      </c>
      <c r="U2589" s="1" t="s">
        <v>332</v>
      </c>
      <c r="V2589" s="1">
        <v>16</v>
      </c>
      <c r="W2589" s="3">
        <v>3389.9</v>
      </c>
      <c r="X2589" s="3">
        <v>54238.400000000001</v>
      </c>
      <c r="Y2589" s="1" t="str">
        <f>VLOOKUP(A2589,[1]Detalle!$D$2:$CR$484,93,FALSE)</f>
        <v>CMQ_TTE - QUILMES TTE</v>
      </c>
    </row>
    <row r="2590" spans="1:25" ht="14.25" customHeight="1" x14ac:dyDescent="0.3">
      <c r="A2590" s="1" t="s">
        <v>38</v>
      </c>
      <c r="B2590" s="1" t="s">
        <v>328</v>
      </c>
      <c r="C2590" s="1" t="s">
        <v>328</v>
      </c>
      <c r="D2590" s="1" t="s">
        <v>329</v>
      </c>
      <c r="E2590" s="1">
        <v>40688</v>
      </c>
      <c r="F2590" s="1">
        <v>60688</v>
      </c>
      <c r="G2590" s="1">
        <v>18559.899999999991</v>
      </c>
      <c r="H2590" s="1">
        <v>1440.100000000006</v>
      </c>
      <c r="I2590" s="1">
        <v>59247.899999999987</v>
      </c>
      <c r="J2590" s="1">
        <v>107</v>
      </c>
      <c r="K2590" s="1">
        <v>129.25862179487169</v>
      </c>
      <c r="L2590" s="1">
        <v>8.3023453790160868</v>
      </c>
      <c r="N2590" s="7">
        <v>45864</v>
      </c>
      <c r="P2590" s="7">
        <v>46229</v>
      </c>
      <c r="T2590" s="1" t="s">
        <v>331</v>
      </c>
      <c r="U2590" s="1" t="s">
        <v>332</v>
      </c>
      <c r="V2590" s="1">
        <v>16</v>
      </c>
      <c r="W2590" s="3">
        <v>3389.9</v>
      </c>
      <c r="X2590" s="3">
        <v>54238.400000000001</v>
      </c>
      <c r="Y2590" s="1" t="str">
        <f>VLOOKUP(A2590,[1]Detalle!$D$2:$CR$484,93,FALSE)</f>
        <v>SUC_SRA - Sucursal San Rafael</v>
      </c>
    </row>
    <row r="2591" spans="1:25" ht="14.25" customHeight="1" x14ac:dyDescent="0.3">
      <c r="A2591" s="1" t="s">
        <v>187</v>
      </c>
      <c r="B2591" s="1" t="s">
        <v>328</v>
      </c>
      <c r="C2591" s="1" t="s">
        <v>328</v>
      </c>
      <c r="D2591" s="1" t="s">
        <v>329</v>
      </c>
      <c r="E2591" s="1">
        <v>40688</v>
      </c>
      <c r="F2591" s="1">
        <v>60688</v>
      </c>
      <c r="G2591" s="1">
        <v>18559.899999999991</v>
      </c>
      <c r="H2591" s="1">
        <v>1440.100000000006</v>
      </c>
      <c r="I2591" s="1">
        <v>59247.899999999987</v>
      </c>
      <c r="J2591" s="1">
        <v>107</v>
      </c>
      <c r="K2591" s="1">
        <v>129.25862179487169</v>
      </c>
      <c r="L2591" s="1">
        <v>8.3023453790160868</v>
      </c>
      <c r="N2591" s="7">
        <v>45863</v>
      </c>
      <c r="P2591" s="7">
        <v>46228</v>
      </c>
      <c r="T2591" s="1" t="s">
        <v>331</v>
      </c>
      <c r="U2591" s="1" t="s">
        <v>332</v>
      </c>
      <c r="V2591" s="1">
        <v>16</v>
      </c>
      <c r="W2591" s="3">
        <v>3389.9</v>
      </c>
      <c r="X2591" s="3">
        <v>54238.400000000001</v>
      </c>
      <c r="Y2591" s="1" t="str">
        <f>VLOOKUP(A2591,[1]Detalle!$D$2:$CR$484,93,FALSE)</f>
        <v>CCUCoAZA</v>
      </c>
    </row>
    <row r="2592" spans="1:25" ht="14.25" customHeight="1" x14ac:dyDescent="0.3">
      <c r="A2592" s="1" t="s">
        <v>220</v>
      </c>
      <c r="B2592" s="1" t="s">
        <v>328</v>
      </c>
      <c r="C2592" s="1" t="s">
        <v>328</v>
      </c>
      <c r="D2592" s="1" t="s">
        <v>329</v>
      </c>
      <c r="E2592" s="1">
        <v>40688</v>
      </c>
      <c r="F2592" s="1">
        <v>60688</v>
      </c>
      <c r="G2592" s="1">
        <v>18559.899999999991</v>
      </c>
      <c r="H2592" s="1">
        <v>1440.100000000006</v>
      </c>
      <c r="I2592" s="1">
        <v>59247.899999999987</v>
      </c>
      <c r="J2592" s="1">
        <v>107</v>
      </c>
      <c r="K2592" s="1">
        <v>129.25862179487169</v>
      </c>
      <c r="L2592" s="1">
        <v>8.3023453790160868</v>
      </c>
      <c r="N2592" s="7">
        <v>45870</v>
      </c>
      <c r="P2592" s="7">
        <v>46235</v>
      </c>
      <c r="T2592" s="1" t="s">
        <v>331</v>
      </c>
      <c r="U2592" s="1" t="s">
        <v>332</v>
      </c>
      <c r="V2592" s="1">
        <v>16</v>
      </c>
      <c r="W2592" s="3">
        <v>3389.9</v>
      </c>
      <c r="X2592" s="3">
        <v>54238.400000000001</v>
      </c>
      <c r="Y2592" s="1" t="str">
        <f>VLOOKUP(A2592,[1]Detalle!$D$2:$CR$484,93,FALSE)</f>
        <v>CMQ_TTE - QUILMES TTE</v>
      </c>
    </row>
    <row r="2593" spans="1:25" ht="14.25" customHeight="1" x14ac:dyDescent="0.3">
      <c r="A2593" s="1" t="s">
        <v>193</v>
      </c>
      <c r="B2593" s="1" t="s">
        <v>328</v>
      </c>
      <c r="C2593" s="1" t="s">
        <v>328</v>
      </c>
      <c r="D2593" s="1" t="s">
        <v>329</v>
      </c>
      <c r="E2593" s="1">
        <v>40688</v>
      </c>
      <c r="F2593" s="1">
        <v>60688</v>
      </c>
      <c r="G2593" s="1">
        <v>18559.899999999991</v>
      </c>
      <c r="H2593" s="1">
        <v>1440.100000000006</v>
      </c>
      <c r="I2593" s="1">
        <v>59247.899999999987</v>
      </c>
      <c r="J2593" s="1">
        <v>107</v>
      </c>
      <c r="K2593" s="1">
        <v>129.25862179487169</v>
      </c>
      <c r="L2593" s="1">
        <v>8.3023453790160868</v>
      </c>
      <c r="N2593" s="7">
        <v>45880</v>
      </c>
      <c r="P2593" s="7">
        <v>46245</v>
      </c>
      <c r="T2593" s="1" t="s">
        <v>331</v>
      </c>
      <c r="U2593" s="1" t="s">
        <v>332</v>
      </c>
      <c r="V2593" s="1">
        <v>16</v>
      </c>
      <c r="W2593" s="3">
        <v>3389.9</v>
      </c>
      <c r="X2593" s="3">
        <v>54238.400000000001</v>
      </c>
      <c r="Y2593" s="1" t="str">
        <f>VLOOKUP(A2593,[1]Detalle!$D$2:$CR$484,93,FALSE)</f>
        <v>CCUCoAZA</v>
      </c>
    </row>
    <row r="2594" spans="1:25" ht="14.25" customHeight="1" x14ac:dyDescent="0.3">
      <c r="A2594" s="1" t="s">
        <v>155</v>
      </c>
      <c r="B2594" s="1" t="s">
        <v>328</v>
      </c>
      <c r="C2594" s="1" t="s">
        <v>328</v>
      </c>
      <c r="D2594" s="1" t="s">
        <v>329</v>
      </c>
      <c r="E2594" s="1">
        <v>40688</v>
      </c>
      <c r="F2594" s="1">
        <v>60688</v>
      </c>
      <c r="G2594" s="1">
        <v>18559.899999999991</v>
      </c>
      <c r="H2594" s="1">
        <v>1440.100000000006</v>
      </c>
      <c r="I2594" s="1">
        <v>59247.899999999987</v>
      </c>
      <c r="J2594" s="1">
        <v>107</v>
      </c>
      <c r="K2594" s="1">
        <v>129.25862179487169</v>
      </c>
      <c r="L2594" s="1">
        <v>8.3023453790160868</v>
      </c>
      <c r="N2594" s="7">
        <v>45881</v>
      </c>
      <c r="P2594" s="7">
        <v>46246</v>
      </c>
      <c r="T2594" s="1" t="s">
        <v>331</v>
      </c>
      <c r="U2594" s="1" t="s">
        <v>332</v>
      </c>
      <c r="V2594" s="1">
        <v>16</v>
      </c>
      <c r="W2594" s="3">
        <v>3389.9</v>
      </c>
      <c r="X2594" s="3">
        <v>54238.400000000001</v>
      </c>
      <c r="Y2594" s="1" t="str">
        <f>VLOOKUP(A2594,[1]Detalle!$D$2:$CR$484,93,FALSE)</f>
        <v>CCUCoAZA</v>
      </c>
    </row>
    <row r="2595" spans="1:25" ht="14.25" customHeight="1" x14ac:dyDescent="0.3">
      <c r="A2595" s="1" t="s">
        <v>129</v>
      </c>
      <c r="B2595" s="1" t="s">
        <v>328</v>
      </c>
      <c r="C2595" s="1" t="s">
        <v>328</v>
      </c>
      <c r="D2595" s="1" t="s">
        <v>329</v>
      </c>
      <c r="E2595" s="1">
        <v>40688</v>
      </c>
      <c r="F2595" s="1">
        <v>60688</v>
      </c>
      <c r="G2595" s="1">
        <v>18559.899999999991</v>
      </c>
      <c r="H2595" s="1">
        <v>1440.100000000006</v>
      </c>
      <c r="I2595" s="1">
        <v>59247.899999999987</v>
      </c>
      <c r="J2595" s="1">
        <v>107</v>
      </c>
      <c r="K2595" s="1">
        <v>129.25862179487169</v>
      </c>
      <c r="L2595" s="1">
        <v>8.3023453790160868</v>
      </c>
      <c r="N2595" s="7">
        <v>45882</v>
      </c>
      <c r="P2595" s="7">
        <v>46247</v>
      </c>
      <c r="T2595" s="1" t="s">
        <v>331</v>
      </c>
      <c r="U2595" s="1" t="s">
        <v>332</v>
      </c>
      <c r="V2595" s="1">
        <v>16</v>
      </c>
      <c r="W2595" s="3">
        <v>3389.9</v>
      </c>
      <c r="X2595" s="3">
        <v>54238.400000000001</v>
      </c>
      <c r="Y2595" s="1" t="str">
        <f>VLOOKUP(A2595,[1]Detalle!$D$2:$CR$484,93,FALSE)</f>
        <v>Alfavinil SA</v>
      </c>
    </row>
    <row r="2596" spans="1:25" ht="14.25" customHeight="1" x14ac:dyDescent="0.3">
      <c r="A2596" s="1" t="s">
        <v>151</v>
      </c>
      <c r="B2596" s="1" t="s">
        <v>328</v>
      </c>
      <c r="C2596" s="1" t="s">
        <v>328</v>
      </c>
      <c r="D2596" s="1" t="s">
        <v>329</v>
      </c>
      <c r="E2596" s="1">
        <v>40688</v>
      </c>
      <c r="F2596" s="1">
        <v>60688</v>
      </c>
      <c r="G2596" s="1">
        <v>18559.899999999991</v>
      </c>
      <c r="H2596" s="1">
        <v>1440.100000000006</v>
      </c>
      <c r="I2596" s="1">
        <v>59247.899999999987</v>
      </c>
      <c r="J2596" s="1">
        <v>107</v>
      </c>
      <c r="K2596" s="1">
        <v>129.25862179487169</v>
      </c>
      <c r="L2596" s="1">
        <v>8.3023453790160868</v>
      </c>
      <c r="N2596" s="7">
        <v>45882</v>
      </c>
      <c r="P2596" s="7">
        <v>46247</v>
      </c>
      <c r="T2596" s="1" t="s">
        <v>331</v>
      </c>
      <c r="U2596" s="1" t="s">
        <v>332</v>
      </c>
      <c r="V2596" s="1">
        <v>16</v>
      </c>
      <c r="W2596" s="3">
        <v>3389.9</v>
      </c>
      <c r="X2596" s="3">
        <v>54238.400000000001</v>
      </c>
      <c r="Y2596" s="1" t="str">
        <f>VLOOKUP(A2596,[1]Detalle!$D$2:$CR$484,93,FALSE)</f>
        <v>CCUCoAZA</v>
      </c>
    </row>
    <row r="2597" spans="1:25" ht="14.25" customHeight="1" x14ac:dyDescent="0.3">
      <c r="A2597" s="1" t="s">
        <v>195</v>
      </c>
      <c r="B2597" s="1" t="s">
        <v>328</v>
      </c>
      <c r="C2597" s="1" t="s">
        <v>328</v>
      </c>
      <c r="D2597" s="1" t="s">
        <v>329</v>
      </c>
      <c r="E2597" s="1">
        <v>40688</v>
      </c>
      <c r="F2597" s="1">
        <v>60688</v>
      </c>
      <c r="G2597" s="1">
        <v>18559.899999999991</v>
      </c>
      <c r="H2597" s="1">
        <v>1440.100000000006</v>
      </c>
      <c r="I2597" s="1">
        <v>59247.899999999987</v>
      </c>
      <c r="J2597" s="1">
        <v>107</v>
      </c>
      <c r="K2597" s="1">
        <v>129.25862179487169</v>
      </c>
      <c r="L2597" s="1">
        <v>8.3023453790160868</v>
      </c>
      <c r="N2597" s="7">
        <v>45884</v>
      </c>
      <c r="P2597" s="7">
        <v>46249</v>
      </c>
      <c r="T2597" s="1" t="s">
        <v>331</v>
      </c>
      <c r="U2597" s="1" t="s">
        <v>332</v>
      </c>
      <c r="V2597" s="1">
        <v>16</v>
      </c>
      <c r="W2597" s="3">
        <v>3389.9</v>
      </c>
      <c r="X2597" s="3">
        <v>54238.400000000001</v>
      </c>
      <c r="Y2597" s="1" t="str">
        <f>VLOOKUP(A2597,[1]Detalle!$D$2:$CR$484,93,FALSE)</f>
        <v>CCUCoAZA</v>
      </c>
    </row>
    <row r="2598" spans="1:25" ht="14.25" customHeight="1" x14ac:dyDescent="0.3">
      <c r="A2598" s="1" t="s">
        <v>150</v>
      </c>
      <c r="B2598" s="1" t="s">
        <v>328</v>
      </c>
      <c r="C2598" s="1" t="s">
        <v>328</v>
      </c>
      <c r="D2598" s="1" t="s">
        <v>329</v>
      </c>
      <c r="E2598" s="1">
        <v>40688</v>
      </c>
      <c r="F2598" s="1">
        <v>60688</v>
      </c>
      <c r="G2598" s="1">
        <v>18559.899999999991</v>
      </c>
      <c r="H2598" s="1">
        <v>1440.100000000006</v>
      </c>
      <c r="I2598" s="1">
        <v>59247.899999999987</v>
      </c>
      <c r="J2598" s="1">
        <v>107</v>
      </c>
      <c r="K2598" s="1">
        <v>129.25862179487169</v>
      </c>
      <c r="L2598" s="1">
        <v>8.3023453790160868</v>
      </c>
      <c r="N2598" s="7">
        <v>45905</v>
      </c>
      <c r="P2598" s="7">
        <v>46270</v>
      </c>
      <c r="T2598" s="1" t="s">
        <v>331</v>
      </c>
      <c r="U2598" s="1" t="s">
        <v>332</v>
      </c>
      <c r="V2598" s="1">
        <v>16</v>
      </c>
      <c r="W2598" s="3">
        <v>3389.9</v>
      </c>
      <c r="X2598" s="3">
        <v>54238.400000000001</v>
      </c>
      <c r="Y2598" s="1" t="str">
        <f>VLOOKUP(A2598,[1]Detalle!$D$2:$CR$484,93,FALSE)</f>
        <v>Papelera - Papelera del Plata S.A.</v>
      </c>
    </row>
    <row r="2599" spans="1:25" ht="14.25" customHeight="1" x14ac:dyDescent="0.3">
      <c r="A2599" s="1" t="s">
        <v>240</v>
      </c>
      <c r="B2599" s="1" t="s">
        <v>328</v>
      </c>
      <c r="C2599" s="1" t="s">
        <v>328</v>
      </c>
      <c r="D2599" s="1" t="s">
        <v>329</v>
      </c>
      <c r="E2599" s="1">
        <v>40688</v>
      </c>
      <c r="F2599" s="1">
        <v>60688</v>
      </c>
      <c r="G2599" s="1">
        <v>18559.899999999991</v>
      </c>
      <c r="H2599" s="1">
        <v>1440.100000000006</v>
      </c>
      <c r="I2599" s="1">
        <v>59247.899999999987</v>
      </c>
      <c r="J2599" s="1">
        <v>107</v>
      </c>
      <c r="K2599" s="1">
        <v>129.25862179487169</v>
      </c>
      <c r="L2599" s="1">
        <v>8.3023453790160868</v>
      </c>
      <c r="N2599" s="7">
        <v>45923</v>
      </c>
      <c r="P2599" s="7">
        <v>46288</v>
      </c>
      <c r="T2599" s="1" t="s">
        <v>331</v>
      </c>
      <c r="U2599" s="1" t="s">
        <v>332</v>
      </c>
      <c r="V2599" s="1">
        <v>16</v>
      </c>
      <c r="W2599" s="3">
        <v>3389.9</v>
      </c>
      <c r="X2599" s="3">
        <v>54238.400000000001</v>
      </c>
      <c r="Y2599" s="1" t="str">
        <f>VLOOKUP(A2599,[1]Detalle!$D$2:$CR$484,93,FALSE)</f>
        <v>Papelera - Papelera del Plata S.A.</v>
      </c>
    </row>
    <row r="2600" spans="1:25" ht="14.25" customHeight="1" x14ac:dyDescent="0.3">
      <c r="A2600" s="1" t="s">
        <v>246</v>
      </c>
      <c r="B2600" s="1" t="s">
        <v>328</v>
      </c>
      <c r="C2600" s="1" t="s">
        <v>328</v>
      </c>
      <c r="D2600" s="1" t="s">
        <v>329</v>
      </c>
      <c r="E2600" s="1">
        <v>40688</v>
      </c>
      <c r="F2600" s="1">
        <v>60688</v>
      </c>
      <c r="G2600" s="1">
        <v>18559.899999999991</v>
      </c>
      <c r="H2600" s="1">
        <v>1440.100000000006</v>
      </c>
      <c r="I2600" s="1">
        <v>59247.899999999987</v>
      </c>
      <c r="J2600" s="1">
        <v>107</v>
      </c>
      <c r="K2600" s="1">
        <v>129.25862179487169</v>
      </c>
      <c r="L2600" s="1">
        <v>8.3023453790160868</v>
      </c>
      <c r="N2600" s="7">
        <v>45924</v>
      </c>
      <c r="P2600" s="7">
        <v>46289</v>
      </c>
      <c r="T2600" s="1" t="s">
        <v>331</v>
      </c>
      <c r="U2600" s="1" t="s">
        <v>332</v>
      </c>
      <c r="V2600" s="1">
        <v>16</v>
      </c>
      <c r="W2600" s="3">
        <v>3389.9</v>
      </c>
      <c r="X2600" s="3">
        <v>54238.400000000001</v>
      </c>
      <c r="Y2600" s="1" t="str">
        <f>VLOOKUP(A2600,[1]Detalle!$D$2:$CR$484,93,FALSE)</f>
        <v>Papelera - Papelera del Plata S.A.</v>
      </c>
    </row>
    <row r="2601" spans="1:25" ht="14.25" customHeight="1" x14ac:dyDescent="0.3">
      <c r="A2601" s="1" t="s">
        <v>199</v>
      </c>
      <c r="B2601" s="1" t="s">
        <v>328</v>
      </c>
      <c r="C2601" s="1" t="s">
        <v>328</v>
      </c>
      <c r="D2601" s="1" t="s">
        <v>329</v>
      </c>
      <c r="E2601" s="1">
        <v>40688</v>
      </c>
      <c r="F2601" s="1">
        <v>60688</v>
      </c>
      <c r="G2601" s="1">
        <v>18559.899999999991</v>
      </c>
      <c r="H2601" s="1">
        <v>1440.100000000006</v>
      </c>
      <c r="I2601" s="1">
        <v>59247.899999999987</v>
      </c>
      <c r="J2601" s="1">
        <v>107</v>
      </c>
      <c r="K2601" s="1">
        <v>129.25862179487169</v>
      </c>
      <c r="L2601" s="1">
        <v>8.3023453790160868</v>
      </c>
      <c r="N2601" s="7">
        <v>45932</v>
      </c>
      <c r="P2601" s="7">
        <v>46297</v>
      </c>
      <c r="T2601" s="1" t="s">
        <v>331</v>
      </c>
      <c r="U2601" s="1" t="s">
        <v>332</v>
      </c>
      <c r="V2601" s="1">
        <v>16</v>
      </c>
      <c r="W2601" s="3">
        <v>3389.9</v>
      </c>
      <c r="X2601" s="3">
        <v>54238.400000000001</v>
      </c>
      <c r="Y2601" s="1" t="str">
        <f>VLOOKUP(A2601,[1]Detalle!$D$2:$CR$484,93,FALSE)</f>
        <v>CCUCoAZA</v>
      </c>
    </row>
    <row r="2602" spans="1:25" ht="14.25" customHeight="1" x14ac:dyDescent="0.3">
      <c r="A2602" s="1" t="s">
        <v>123</v>
      </c>
      <c r="B2602" s="1" t="s">
        <v>328</v>
      </c>
      <c r="C2602" s="1" t="s">
        <v>328</v>
      </c>
      <c r="D2602" s="1" t="s">
        <v>329</v>
      </c>
      <c r="E2602" s="1">
        <v>40688</v>
      </c>
      <c r="F2602" s="1">
        <v>60688</v>
      </c>
      <c r="G2602" s="1">
        <v>18559.899999999991</v>
      </c>
      <c r="H2602" s="1">
        <v>1440.100000000006</v>
      </c>
      <c r="I2602" s="1">
        <v>59247.899999999987</v>
      </c>
      <c r="J2602" s="1">
        <v>107</v>
      </c>
      <c r="K2602" s="1">
        <v>129.25862179487169</v>
      </c>
      <c r="L2602" s="1">
        <v>8.3023453790160868</v>
      </c>
      <c r="N2602" s="7">
        <v>45941</v>
      </c>
      <c r="P2602" s="7">
        <v>46306</v>
      </c>
      <c r="T2602" s="1" t="s">
        <v>331</v>
      </c>
      <c r="U2602" s="1" t="s">
        <v>332</v>
      </c>
      <c r="V2602" s="1">
        <v>16</v>
      </c>
      <c r="W2602" s="3">
        <v>3389.9</v>
      </c>
      <c r="X2602" s="3">
        <v>54238.400000000001</v>
      </c>
      <c r="Y2602" s="1" t="str">
        <f>VLOOKUP(A2602,[1]Detalle!$D$2:$CR$484,93,FALSE)</f>
        <v>SUC_SRA - Sucursal San Rafael</v>
      </c>
    </row>
    <row r="2603" spans="1:25" ht="14.25" customHeight="1" x14ac:dyDescent="0.3">
      <c r="A2603" s="1" t="s">
        <v>38</v>
      </c>
      <c r="B2603" s="1" t="s">
        <v>328</v>
      </c>
      <c r="C2603" s="1" t="s">
        <v>328</v>
      </c>
      <c r="D2603" s="1" t="s">
        <v>329</v>
      </c>
      <c r="E2603" s="1">
        <v>40688</v>
      </c>
      <c r="F2603" s="1">
        <v>60688</v>
      </c>
      <c r="G2603" s="1">
        <v>18559.899999999991</v>
      </c>
      <c r="H2603" s="1">
        <v>1440.100000000006</v>
      </c>
      <c r="I2603" s="1">
        <v>59247.899999999987</v>
      </c>
      <c r="J2603" s="1">
        <v>107</v>
      </c>
      <c r="K2603" s="1">
        <v>129.25862179487169</v>
      </c>
      <c r="L2603" s="1">
        <v>8.3023453790160868</v>
      </c>
      <c r="N2603" s="7">
        <v>45944</v>
      </c>
      <c r="P2603" s="7">
        <v>46309</v>
      </c>
      <c r="T2603" s="1" t="s">
        <v>331</v>
      </c>
      <c r="U2603" s="1" t="s">
        <v>332</v>
      </c>
      <c r="V2603" s="1">
        <v>16</v>
      </c>
      <c r="W2603" s="3">
        <v>3389.9</v>
      </c>
      <c r="X2603" s="3">
        <v>54238.400000000001</v>
      </c>
      <c r="Y2603" s="1" t="str">
        <f>VLOOKUP(A2603,[1]Detalle!$D$2:$CR$484,93,FALSE)</f>
        <v>SUC_SRA - Sucursal San Rafael</v>
      </c>
    </row>
    <row r="2604" spans="1:25" ht="14.25" customHeight="1" x14ac:dyDescent="0.3">
      <c r="A2604" s="1" t="s">
        <v>194</v>
      </c>
      <c r="B2604" s="1" t="s">
        <v>328</v>
      </c>
      <c r="C2604" s="1" t="s">
        <v>328</v>
      </c>
      <c r="D2604" s="1" t="s">
        <v>329</v>
      </c>
      <c r="E2604" s="1">
        <v>40688</v>
      </c>
      <c r="F2604" s="1">
        <v>60688</v>
      </c>
      <c r="G2604" s="1">
        <v>18559.899999999991</v>
      </c>
      <c r="H2604" s="1">
        <v>1440.100000000006</v>
      </c>
      <c r="I2604" s="1">
        <v>59247.899999999987</v>
      </c>
      <c r="J2604" s="1">
        <v>107</v>
      </c>
      <c r="K2604" s="1">
        <v>129.25862179487169</v>
      </c>
      <c r="L2604" s="1">
        <v>8.3023453790160868</v>
      </c>
      <c r="N2604" s="7">
        <v>45947</v>
      </c>
      <c r="P2604" s="7">
        <v>46312</v>
      </c>
      <c r="T2604" s="1" t="s">
        <v>331</v>
      </c>
      <c r="U2604" s="1" t="s">
        <v>332</v>
      </c>
      <c r="V2604" s="1">
        <v>16</v>
      </c>
      <c r="W2604" s="3">
        <v>3389.9</v>
      </c>
      <c r="X2604" s="3">
        <v>54238.400000000001</v>
      </c>
      <c r="Y2604" s="1" t="str">
        <f>VLOOKUP(A2604,[1]Detalle!$D$2:$CR$484,93,FALSE)</f>
        <v>CMQ_TTE - QUILMES TTE</v>
      </c>
    </row>
    <row r="2605" spans="1:25" ht="14.25" customHeight="1" x14ac:dyDescent="0.3">
      <c r="A2605" s="1" t="s">
        <v>132</v>
      </c>
      <c r="B2605" s="1" t="s">
        <v>328</v>
      </c>
      <c r="C2605" s="1" t="s">
        <v>328</v>
      </c>
      <c r="D2605" s="1" t="s">
        <v>329</v>
      </c>
      <c r="E2605" s="1">
        <v>40688</v>
      </c>
      <c r="F2605" s="1">
        <v>60688</v>
      </c>
      <c r="G2605" s="1">
        <v>18559.899999999991</v>
      </c>
      <c r="H2605" s="1">
        <v>1440.100000000006</v>
      </c>
      <c r="I2605" s="1">
        <v>59247.899999999987</v>
      </c>
      <c r="J2605" s="1">
        <v>107</v>
      </c>
      <c r="K2605" s="1">
        <v>129.25862179487169</v>
      </c>
      <c r="L2605" s="1">
        <v>8.3023453790160868</v>
      </c>
      <c r="N2605" s="7">
        <v>45950</v>
      </c>
      <c r="P2605" s="7">
        <v>46315</v>
      </c>
      <c r="T2605" s="1" t="s">
        <v>331</v>
      </c>
      <c r="U2605" s="1" t="s">
        <v>332</v>
      </c>
      <c r="V2605" s="1">
        <v>16</v>
      </c>
      <c r="W2605" s="3">
        <v>3389.9</v>
      </c>
      <c r="X2605" s="3">
        <v>54238.400000000001</v>
      </c>
      <c r="Y2605" s="1" t="str">
        <f>VLOOKUP(A2605,[1]Detalle!$D$2:$CR$484,93,FALSE)</f>
        <v>Topacio</v>
      </c>
    </row>
    <row r="2606" spans="1:25" ht="14.25" customHeight="1" x14ac:dyDescent="0.3">
      <c r="A2606" s="1" t="s">
        <v>276</v>
      </c>
      <c r="B2606" s="1" t="s">
        <v>328</v>
      </c>
      <c r="C2606" s="1" t="s">
        <v>328</v>
      </c>
      <c r="D2606" s="1" t="s">
        <v>329</v>
      </c>
      <c r="E2606" s="1">
        <v>40688</v>
      </c>
      <c r="F2606" s="1">
        <v>60688</v>
      </c>
      <c r="G2606" s="1">
        <v>18559.899999999991</v>
      </c>
      <c r="H2606" s="1">
        <v>1440.100000000006</v>
      </c>
      <c r="I2606" s="1">
        <v>59247.899999999987</v>
      </c>
      <c r="J2606" s="1">
        <v>107</v>
      </c>
      <c r="K2606" s="1">
        <v>129.25862179487169</v>
      </c>
      <c r="L2606" s="1">
        <v>8.3023453790160868</v>
      </c>
      <c r="N2606" s="7">
        <v>45950</v>
      </c>
      <c r="P2606" s="7">
        <v>46315</v>
      </c>
      <c r="T2606" s="1" t="s">
        <v>331</v>
      </c>
      <c r="U2606" s="1" t="s">
        <v>332</v>
      </c>
      <c r="V2606" s="1">
        <v>16</v>
      </c>
      <c r="W2606" s="3">
        <v>3389.9</v>
      </c>
      <c r="X2606" s="3">
        <v>54238.400000000001</v>
      </c>
      <c r="Y2606" s="1" t="str">
        <f>VLOOKUP(A2606,[1]Detalle!$D$2:$CR$484,93,FALSE)</f>
        <v>SUC_SRA - Sucursal San Rafael</v>
      </c>
    </row>
    <row r="2607" spans="1:25" ht="14.25" customHeight="1" x14ac:dyDescent="0.3">
      <c r="A2607" s="1" t="s">
        <v>79</v>
      </c>
      <c r="B2607" s="1" t="s">
        <v>396</v>
      </c>
      <c r="C2607" s="1" t="s">
        <v>328</v>
      </c>
      <c r="D2607" s="1" t="s">
        <v>329</v>
      </c>
      <c r="E2607" s="1">
        <v>40688</v>
      </c>
      <c r="F2607" s="1">
        <v>60688</v>
      </c>
      <c r="G2607" s="1">
        <v>18559.899999999991</v>
      </c>
      <c r="H2607" s="1">
        <v>1440.100000000006</v>
      </c>
      <c r="I2607" s="1">
        <v>59247.899999999987</v>
      </c>
      <c r="J2607" s="1">
        <v>107</v>
      </c>
      <c r="K2607" s="1">
        <v>129.25862179487169</v>
      </c>
      <c r="L2607" s="1">
        <v>8.3023453790160868</v>
      </c>
      <c r="N2607" s="7">
        <v>45826</v>
      </c>
      <c r="P2607" s="7">
        <v>46191</v>
      </c>
      <c r="T2607" s="1" t="s">
        <v>331</v>
      </c>
      <c r="U2607" s="1" t="s">
        <v>332</v>
      </c>
      <c r="V2607" s="1">
        <v>16</v>
      </c>
      <c r="W2607" s="3">
        <v>3389.9</v>
      </c>
      <c r="X2607" s="3">
        <v>54238.400000000001</v>
      </c>
      <c r="Y2607" s="1" t="str">
        <f>VLOOKUP(A2607,[1]Detalle!$D$2:$CR$484,93,FALSE)</f>
        <v>Papelera - Papelera del Plata S.A.</v>
      </c>
    </row>
    <row r="2608" spans="1:25" ht="14.25" customHeight="1" x14ac:dyDescent="0.3">
      <c r="A2608" s="1" t="s">
        <v>64</v>
      </c>
      <c r="B2608" s="1" t="s">
        <v>396</v>
      </c>
      <c r="C2608" s="1" t="s">
        <v>328</v>
      </c>
      <c r="D2608" s="1" t="s">
        <v>329</v>
      </c>
      <c r="E2608" s="1">
        <v>40688</v>
      </c>
      <c r="F2608" s="1">
        <v>60688</v>
      </c>
      <c r="G2608" s="1">
        <v>18559.899999999991</v>
      </c>
      <c r="H2608" s="1">
        <v>1440.100000000006</v>
      </c>
      <c r="I2608" s="1">
        <v>59247.899999999987</v>
      </c>
      <c r="J2608" s="1">
        <v>107</v>
      </c>
      <c r="K2608" s="1">
        <v>129.25862179487169</v>
      </c>
      <c r="L2608" s="1">
        <v>8.3023453790160868</v>
      </c>
      <c r="N2608" s="7">
        <v>45855</v>
      </c>
      <c r="P2608" s="7">
        <v>46220</v>
      </c>
      <c r="T2608" s="1" t="s">
        <v>331</v>
      </c>
      <c r="U2608" s="1" t="s">
        <v>332</v>
      </c>
      <c r="V2608" s="1">
        <v>16</v>
      </c>
      <c r="W2608" s="3">
        <v>3389.9</v>
      </c>
      <c r="X2608" s="3">
        <v>54238.400000000001</v>
      </c>
      <c r="Y2608" s="1" t="str">
        <f>VLOOKUP(A2608,[1]Detalle!$D$2:$CR$484,93,FALSE)</f>
        <v>CMQ_TTE - QUILMES TTE</v>
      </c>
    </row>
    <row r="2609" spans="1:25" ht="14.25" customHeight="1" x14ac:dyDescent="0.3">
      <c r="A2609" s="1" t="s">
        <v>51</v>
      </c>
      <c r="B2609" s="1" t="s">
        <v>396</v>
      </c>
      <c r="C2609" s="1" t="s">
        <v>328</v>
      </c>
      <c r="D2609" s="1" t="s">
        <v>329</v>
      </c>
      <c r="E2609" s="1">
        <v>40688</v>
      </c>
      <c r="F2609" s="1">
        <v>60688</v>
      </c>
      <c r="G2609" s="1">
        <v>18559.899999999991</v>
      </c>
      <c r="H2609" s="1">
        <v>1440.100000000006</v>
      </c>
      <c r="I2609" s="1">
        <v>59247.899999999987</v>
      </c>
      <c r="J2609" s="1">
        <v>107</v>
      </c>
      <c r="K2609" s="1">
        <v>129.25862179487169</v>
      </c>
      <c r="L2609" s="1">
        <v>8.3023453790160868</v>
      </c>
      <c r="N2609" s="7">
        <v>45855</v>
      </c>
      <c r="P2609" s="7">
        <v>46220</v>
      </c>
      <c r="T2609" s="1" t="s">
        <v>331</v>
      </c>
      <c r="U2609" s="1" t="s">
        <v>332</v>
      </c>
      <c r="V2609" s="1">
        <v>16</v>
      </c>
      <c r="W2609" s="3">
        <v>3389.9</v>
      </c>
      <c r="X2609" s="3">
        <v>54238.400000000001</v>
      </c>
      <c r="Y2609" s="1" t="str">
        <f>VLOOKUP(A2609,[1]Detalle!$D$2:$CR$484,93,FALSE)</f>
        <v>CMQ_TTE - QUILMES TTE</v>
      </c>
    </row>
    <row r="2610" spans="1:25" ht="14.25" customHeight="1" x14ac:dyDescent="0.3">
      <c r="A2610" s="1" t="s">
        <v>2</v>
      </c>
      <c r="B2610" s="1" t="s">
        <v>396</v>
      </c>
      <c r="C2610" s="1" t="s">
        <v>328</v>
      </c>
      <c r="D2610" s="1" t="s">
        <v>329</v>
      </c>
      <c r="E2610" s="1">
        <v>40688</v>
      </c>
      <c r="F2610" s="1">
        <v>60688</v>
      </c>
      <c r="G2610" s="1">
        <v>18559.899999999991</v>
      </c>
      <c r="H2610" s="1">
        <v>1440.100000000006</v>
      </c>
      <c r="I2610" s="1">
        <v>59247.899999999987</v>
      </c>
      <c r="J2610" s="1">
        <v>107</v>
      </c>
      <c r="K2610" s="1">
        <v>129.25862179487169</v>
      </c>
      <c r="L2610" s="1">
        <v>8.3023453790160868</v>
      </c>
      <c r="N2610" s="7">
        <v>45882</v>
      </c>
      <c r="P2610" s="7">
        <v>46247</v>
      </c>
      <c r="T2610" s="1" t="s">
        <v>331</v>
      </c>
      <c r="U2610" s="1" t="s">
        <v>332</v>
      </c>
      <c r="V2610" s="1">
        <v>16</v>
      </c>
      <c r="W2610" s="3">
        <v>3389.9</v>
      </c>
      <c r="X2610" s="3">
        <v>54238.400000000001</v>
      </c>
      <c r="Y2610" s="1" t="str">
        <f>VLOOKUP(A2610,[1]Detalle!$D$2:$CR$484,93,FALSE)</f>
        <v>Unilever - Unilever de Arg. S.A.</v>
      </c>
    </row>
    <row r="2611" spans="1:25" ht="14.25" customHeight="1" x14ac:dyDescent="0.3">
      <c r="A2611" s="1" t="s">
        <v>63</v>
      </c>
      <c r="B2611" s="1" t="s">
        <v>396</v>
      </c>
      <c r="C2611" s="1" t="s">
        <v>328</v>
      </c>
      <c r="D2611" s="1" t="s">
        <v>329</v>
      </c>
      <c r="E2611" s="1">
        <v>40688</v>
      </c>
      <c r="F2611" s="1">
        <v>60688</v>
      </c>
      <c r="G2611" s="1">
        <v>18559.899999999991</v>
      </c>
      <c r="H2611" s="1">
        <v>1440.100000000006</v>
      </c>
      <c r="I2611" s="1">
        <v>59247.899999999987</v>
      </c>
      <c r="J2611" s="1">
        <v>107</v>
      </c>
      <c r="K2611" s="1">
        <v>129.25862179487169</v>
      </c>
      <c r="L2611" s="1">
        <v>8.3023453790160868</v>
      </c>
      <c r="N2611" s="7">
        <v>45887</v>
      </c>
      <c r="P2611" s="7">
        <v>46252</v>
      </c>
      <c r="T2611" s="1" t="s">
        <v>331</v>
      </c>
      <c r="U2611" s="1" t="s">
        <v>332</v>
      </c>
      <c r="V2611" s="1">
        <v>16</v>
      </c>
      <c r="W2611" s="3">
        <v>3389.9</v>
      </c>
      <c r="X2611" s="3">
        <v>54238.400000000001</v>
      </c>
      <c r="Y2611" s="1" t="str">
        <f>VLOOKUP(A2611,[1]Detalle!$D$2:$CR$484,93,FALSE)</f>
        <v>CMQ_TTE - QUILMES TTE</v>
      </c>
    </row>
    <row r="2612" spans="1:25" ht="14.25" customHeight="1" x14ac:dyDescent="0.3">
      <c r="A2612" s="1" t="s">
        <v>68</v>
      </c>
      <c r="B2612" s="1" t="s">
        <v>396</v>
      </c>
      <c r="C2612" s="1" t="s">
        <v>328</v>
      </c>
      <c r="D2612" s="1" t="s">
        <v>329</v>
      </c>
      <c r="E2612" s="1">
        <v>40688</v>
      </c>
      <c r="F2612" s="1">
        <v>60688</v>
      </c>
      <c r="G2612" s="1">
        <v>18559.899999999991</v>
      </c>
      <c r="H2612" s="1">
        <v>1440.100000000006</v>
      </c>
      <c r="I2612" s="1">
        <v>59247.899999999987</v>
      </c>
      <c r="J2612" s="1">
        <v>107</v>
      </c>
      <c r="K2612" s="1">
        <v>129.25862179487169</v>
      </c>
      <c r="L2612" s="1">
        <v>8.3023453790160868</v>
      </c>
      <c r="N2612" s="7">
        <v>45887</v>
      </c>
      <c r="P2612" s="7">
        <v>46252</v>
      </c>
      <c r="T2612" s="1" t="s">
        <v>331</v>
      </c>
      <c r="U2612" s="1" t="s">
        <v>332</v>
      </c>
      <c r="V2612" s="1">
        <v>16</v>
      </c>
      <c r="W2612" s="3">
        <v>3389.9</v>
      </c>
      <c r="X2612" s="3">
        <v>54238.400000000001</v>
      </c>
      <c r="Y2612" s="1" t="str">
        <f>VLOOKUP(A2612,[1]Detalle!$D$2:$CR$484,93,FALSE)</f>
        <v>CMQ_TTE - QUILMES TTE</v>
      </c>
    </row>
    <row r="2613" spans="1:25" ht="14.25" customHeight="1" x14ac:dyDescent="0.3">
      <c r="A2613" s="1" t="s">
        <v>16</v>
      </c>
      <c r="B2613" s="1" t="s">
        <v>396</v>
      </c>
      <c r="C2613" s="1" t="s">
        <v>328</v>
      </c>
      <c r="D2613" s="1" t="s">
        <v>329</v>
      </c>
      <c r="E2613" s="1">
        <v>40688</v>
      </c>
      <c r="F2613" s="1">
        <v>60688</v>
      </c>
      <c r="G2613" s="1">
        <v>18559.899999999991</v>
      </c>
      <c r="H2613" s="1">
        <v>1440.100000000006</v>
      </c>
      <c r="I2613" s="1">
        <v>59247.899999999987</v>
      </c>
      <c r="J2613" s="1">
        <v>107</v>
      </c>
      <c r="K2613" s="1">
        <v>129.25862179487169</v>
      </c>
      <c r="L2613" s="1">
        <v>8.3023453790160868</v>
      </c>
      <c r="N2613" s="7">
        <v>45912</v>
      </c>
      <c r="P2613" s="7">
        <v>46277</v>
      </c>
      <c r="T2613" s="1" t="s">
        <v>331</v>
      </c>
      <c r="U2613" s="1" t="s">
        <v>332</v>
      </c>
      <c r="V2613" s="1">
        <v>16</v>
      </c>
      <c r="W2613" s="3">
        <v>3389.9</v>
      </c>
      <c r="X2613" s="3">
        <v>54238.400000000001</v>
      </c>
      <c r="Y2613" s="1" t="str">
        <f>VLOOKUP(A2613,[1]Detalle!$D$2:$CR$484,93,FALSE)</f>
        <v>CMQ_TTE - QUILMES TTE</v>
      </c>
    </row>
    <row r="2614" spans="1:25" ht="14.25" customHeight="1" x14ac:dyDescent="0.3">
      <c r="A2614" s="1" t="s">
        <v>79</v>
      </c>
      <c r="B2614" s="1" t="s">
        <v>396</v>
      </c>
      <c r="C2614" s="1" t="s">
        <v>328</v>
      </c>
      <c r="D2614" s="1" t="s">
        <v>329</v>
      </c>
      <c r="E2614" s="1">
        <v>40688</v>
      </c>
      <c r="F2614" s="1">
        <v>60688</v>
      </c>
      <c r="G2614" s="1">
        <v>18559.899999999991</v>
      </c>
      <c r="H2614" s="1">
        <v>1440.100000000006</v>
      </c>
      <c r="I2614" s="1">
        <v>59247.899999999987</v>
      </c>
      <c r="J2614" s="1">
        <v>107</v>
      </c>
      <c r="K2614" s="1">
        <v>129.25862179487169</v>
      </c>
      <c r="L2614" s="1">
        <v>8.3023453790160868</v>
      </c>
      <c r="N2614" s="7">
        <v>45922</v>
      </c>
      <c r="P2614" s="7">
        <v>46287</v>
      </c>
      <c r="T2614" s="1" t="s">
        <v>331</v>
      </c>
      <c r="U2614" s="1" t="s">
        <v>332</v>
      </c>
      <c r="V2614" s="1">
        <v>16</v>
      </c>
      <c r="W2614" s="3">
        <v>3389.9</v>
      </c>
      <c r="X2614" s="3">
        <v>54238.400000000001</v>
      </c>
      <c r="Y2614" s="1" t="str">
        <f>VLOOKUP(A2614,[1]Detalle!$D$2:$CR$484,93,FALSE)</f>
        <v>Papelera - Papelera del Plata S.A.</v>
      </c>
    </row>
    <row r="2615" spans="1:25" ht="14.25" customHeight="1" x14ac:dyDescent="0.3">
      <c r="A2615" s="1" t="s">
        <v>69</v>
      </c>
      <c r="B2615" s="1" t="s">
        <v>396</v>
      </c>
      <c r="C2615" s="1" t="s">
        <v>328</v>
      </c>
      <c r="D2615" s="1" t="s">
        <v>329</v>
      </c>
      <c r="E2615" s="1">
        <v>40688</v>
      </c>
      <c r="F2615" s="1">
        <v>60688</v>
      </c>
      <c r="G2615" s="1">
        <v>18559.899999999991</v>
      </c>
      <c r="H2615" s="1">
        <v>1440.100000000006</v>
      </c>
      <c r="I2615" s="1">
        <v>59247.899999999987</v>
      </c>
      <c r="J2615" s="1">
        <v>107</v>
      </c>
      <c r="K2615" s="1">
        <v>129.25862179487169</v>
      </c>
      <c r="L2615" s="1">
        <v>8.3023453790160868</v>
      </c>
      <c r="N2615" s="7">
        <v>45931</v>
      </c>
      <c r="P2615" s="7">
        <v>46296</v>
      </c>
      <c r="T2615" s="1" t="s">
        <v>331</v>
      </c>
      <c r="U2615" s="1" t="s">
        <v>332</v>
      </c>
      <c r="V2615" s="1">
        <v>16</v>
      </c>
      <c r="W2615" s="3">
        <v>3389.9</v>
      </c>
      <c r="X2615" s="3">
        <v>54238.400000000001</v>
      </c>
      <c r="Y2615" s="1" t="str">
        <f>VLOOKUP(A2615,[1]Detalle!$D$2:$CR$484,93,FALSE)</f>
        <v>CMQ_TTE - QUILMES TTE</v>
      </c>
    </row>
    <row r="2616" spans="1:25" ht="14.25" customHeight="1" x14ac:dyDescent="0.3">
      <c r="A2616" s="1" t="s">
        <v>54</v>
      </c>
      <c r="B2616" s="1" t="s">
        <v>400</v>
      </c>
      <c r="C2616" s="1" t="s">
        <v>328</v>
      </c>
      <c r="D2616" s="1" t="s">
        <v>329</v>
      </c>
      <c r="E2616" s="1">
        <v>40688</v>
      </c>
      <c r="F2616" s="1">
        <v>60688</v>
      </c>
      <c r="G2616" s="1">
        <v>18559.899999999991</v>
      </c>
      <c r="H2616" s="1">
        <v>1440.100000000006</v>
      </c>
      <c r="I2616" s="1">
        <v>59247.899999999987</v>
      </c>
      <c r="J2616" s="1">
        <v>107</v>
      </c>
      <c r="K2616" s="1">
        <v>129.25862179487169</v>
      </c>
      <c r="L2616" s="1">
        <v>8.3023453790160868</v>
      </c>
      <c r="N2616" s="7">
        <v>45769</v>
      </c>
      <c r="P2616" s="7">
        <v>46134</v>
      </c>
      <c r="T2616" s="1" t="s">
        <v>331</v>
      </c>
      <c r="U2616" s="1" t="s">
        <v>332</v>
      </c>
      <c r="V2616" s="1">
        <v>16</v>
      </c>
      <c r="W2616" s="3">
        <v>3389.9</v>
      </c>
      <c r="X2616" s="3">
        <v>54238.400000000001</v>
      </c>
      <c r="Y2616" s="1" t="str">
        <f>VLOOKUP(A2616,[1]Detalle!$D$2:$CR$484,93,FALSE)</f>
        <v>CMQ_TTE - QUILMES TTE</v>
      </c>
    </row>
    <row r="2617" spans="1:25" ht="14.25" customHeight="1" x14ac:dyDescent="0.3">
      <c r="A2617" s="1" t="s">
        <v>28</v>
      </c>
      <c r="B2617" s="1" t="s">
        <v>400</v>
      </c>
      <c r="C2617" s="1" t="s">
        <v>328</v>
      </c>
      <c r="D2617" s="1" t="s">
        <v>329</v>
      </c>
      <c r="E2617" s="1">
        <v>40688</v>
      </c>
      <c r="F2617" s="1">
        <v>60688</v>
      </c>
      <c r="G2617" s="1">
        <v>18559.899999999991</v>
      </c>
      <c r="H2617" s="1">
        <v>1440.100000000006</v>
      </c>
      <c r="I2617" s="1">
        <v>59247.899999999987</v>
      </c>
      <c r="J2617" s="1">
        <v>107</v>
      </c>
      <c r="K2617" s="1">
        <v>129.25862179487169</v>
      </c>
      <c r="L2617" s="1">
        <v>8.3023453790160868</v>
      </c>
      <c r="N2617" s="7">
        <v>45860</v>
      </c>
      <c r="P2617" s="7">
        <v>46225</v>
      </c>
      <c r="T2617" s="1" t="s">
        <v>331</v>
      </c>
      <c r="U2617" s="1" t="s">
        <v>332</v>
      </c>
      <c r="V2617" s="1">
        <v>16</v>
      </c>
      <c r="W2617" s="3">
        <v>3389.9</v>
      </c>
      <c r="X2617" s="3">
        <v>54238.400000000001</v>
      </c>
      <c r="Y2617" s="1" t="str">
        <f>VLOOKUP(A2617,[1]Detalle!$D$2:$CR$484,93,FALSE)</f>
        <v>CMQ_TTE - QUILMES TTE</v>
      </c>
    </row>
    <row r="2618" spans="1:25" ht="14.25" customHeight="1" x14ac:dyDescent="0.3">
      <c r="A2618" s="1" t="s">
        <v>23</v>
      </c>
      <c r="B2618" s="1" t="s">
        <v>400</v>
      </c>
      <c r="C2618" s="1" t="s">
        <v>328</v>
      </c>
      <c r="D2618" s="1" t="s">
        <v>329</v>
      </c>
      <c r="E2618" s="1">
        <v>40688</v>
      </c>
      <c r="F2618" s="1">
        <v>60688</v>
      </c>
      <c r="G2618" s="1">
        <v>18559.899999999991</v>
      </c>
      <c r="H2618" s="1">
        <v>1440.100000000006</v>
      </c>
      <c r="I2618" s="1">
        <v>59247.899999999987</v>
      </c>
      <c r="J2618" s="1">
        <v>107</v>
      </c>
      <c r="K2618" s="1">
        <v>129.25862179487169</v>
      </c>
      <c r="L2618" s="1">
        <v>8.3023453790160868</v>
      </c>
      <c r="N2618" s="7">
        <v>45890</v>
      </c>
      <c r="P2618" s="7">
        <v>46255</v>
      </c>
      <c r="T2618" s="1" t="s">
        <v>331</v>
      </c>
      <c r="U2618" s="1" t="s">
        <v>332</v>
      </c>
      <c r="V2618" s="1">
        <v>16</v>
      </c>
      <c r="W2618" s="3">
        <v>3389.9</v>
      </c>
      <c r="X2618" s="3">
        <v>54238.400000000001</v>
      </c>
      <c r="Y2618" s="1" t="str">
        <f>VLOOKUP(A2618,[1]Detalle!$D$2:$CR$484,93,FALSE)</f>
        <v>CMQ_TTE - QUILMES TTE</v>
      </c>
    </row>
    <row r="2619" spans="1:25" ht="14.25" customHeight="1" x14ac:dyDescent="0.3">
      <c r="A2619" s="1" t="s">
        <v>67</v>
      </c>
      <c r="B2619" s="1" t="s">
        <v>400</v>
      </c>
      <c r="C2619" s="1" t="s">
        <v>328</v>
      </c>
      <c r="D2619" s="1" t="s">
        <v>329</v>
      </c>
      <c r="E2619" s="1">
        <v>40688</v>
      </c>
      <c r="F2619" s="1">
        <v>60688</v>
      </c>
      <c r="G2619" s="1">
        <v>18559.899999999991</v>
      </c>
      <c r="H2619" s="1">
        <v>1440.100000000006</v>
      </c>
      <c r="I2619" s="1">
        <v>59247.899999999987</v>
      </c>
      <c r="J2619" s="1">
        <v>107</v>
      </c>
      <c r="K2619" s="1">
        <v>129.25862179487169</v>
      </c>
      <c r="L2619" s="1">
        <v>8.3023453790160868</v>
      </c>
      <c r="N2619" s="7">
        <v>45891</v>
      </c>
      <c r="P2619" s="7">
        <v>46256</v>
      </c>
      <c r="T2619" s="1" t="s">
        <v>331</v>
      </c>
      <c r="U2619" s="1" t="s">
        <v>332</v>
      </c>
      <c r="V2619" s="1">
        <v>16</v>
      </c>
      <c r="W2619" s="3">
        <v>3389.9</v>
      </c>
      <c r="X2619" s="3">
        <v>54238.400000000001</v>
      </c>
      <c r="Y2619" s="1" t="str">
        <f>VLOOKUP(A2619,[1]Detalle!$D$2:$CR$484,93,FALSE)</f>
        <v>CMQ_TTE - QUILMES TTE</v>
      </c>
    </row>
    <row r="2620" spans="1:25" ht="14.25" customHeight="1" x14ac:dyDescent="0.3">
      <c r="A2620" s="1" t="s">
        <v>59</v>
      </c>
      <c r="B2620" s="1" t="s">
        <v>400</v>
      </c>
      <c r="C2620" s="1" t="s">
        <v>328</v>
      </c>
      <c r="D2620" s="1" t="s">
        <v>329</v>
      </c>
      <c r="E2620" s="1">
        <v>40688</v>
      </c>
      <c r="F2620" s="1">
        <v>60688</v>
      </c>
      <c r="G2620" s="1">
        <v>18559.899999999991</v>
      </c>
      <c r="H2620" s="1">
        <v>1440.100000000006</v>
      </c>
      <c r="I2620" s="1">
        <v>59247.899999999987</v>
      </c>
      <c r="J2620" s="1">
        <v>107</v>
      </c>
      <c r="K2620" s="1">
        <v>129.25862179487169</v>
      </c>
      <c r="L2620" s="1">
        <v>8.3023453790160868</v>
      </c>
      <c r="N2620" s="7">
        <v>45895</v>
      </c>
      <c r="P2620" s="7">
        <v>46260</v>
      </c>
      <c r="T2620" s="1" t="s">
        <v>331</v>
      </c>
      <c r="U2620" s="1" t="s">
        <v>332</v>
      </c>
      <c r="V2620" s="1">
        <v>16</v>
      </c>
      <c r="W2620" s="3">
        <v>3389.9</v>
      </c>
      <c r="X2620" s="3">
        <v>54238.400000000001</v>
      </c>
      <c r="Y2620" s="1" t="str">
        <f>VLOOKUP(A2620,[1]Detalle!$D$2:$CR$484,93,FALSE)</f>
        <v>CMQ_TTE - QUILMES TTE</v>
      </c>
    </row>
    <row r="2621" spans="1:25" ht="14.25" customHeight="1" x14ac:dyDescent="0.3">
      <c r="A2621" s="1" t="s">
        <v>84</v>
      </c>
      <c r="B2621" s="1" t="s">
        <v>400</v>
      </c>
      <c r="C2621" s="1" t="s">
        <v>328</v>
      </c>
      <c r="D2621" s="1" t="s">
        <v>329</v>
      </c>
      <c r="E2621" s="1">
        <v>40688</v>
      </c>
      <c r="F2621" s="1">
        <v>60688</v>
      </c>
      <c r="G2621" s="1">
        <v>18559.899999999991</v>
      </c>
      <c r="H2621" s="1">
        <v>1440.100000000006</v>
      </c>
      <c r="I2621" s="1">
        <v>59247.899999999987</v>
      </c>
      <c r="J2621" s="1">
        <v>107</v>
      </c>
      <c r="K2621" s="1">
        <v>129.25862179487169</v>
      </c>
      <c r="L2621" s="1">
        <v>8.3023453790160868</v>
      </c>
      <c r="N2621" s="7">
        <v>45917</v>
      </c>
      <c r="P2621" s="7">
        <v>46282</v>
      </c>
      <c r="T2621" s="1" t="s">
        <v>331</v>
      </c>
      <c r="U2621" s="1" t="s">
        <v>332</v>
      </c>
      <c r="V2621" s="1">
        <v>16</v>
      </c>
      <c r="W2621" s="3">
        <v>3389.9</v>
      </c>
      <c r="X2621" s="3">
        <v>54238.400000000001</v>
      </c>
      <c r="Y2621" s="1" t="str">
        <f>VLOOKUP(A2621,[1]Detalle!$D$2:$CR$484,93,FALSE)</f>
        <v>CMQ_TTE - QUILMES TTE</v>
      </c>
    </row>
    <row r="2622" spans="1:25" ht="14.25" customHeight="1" x14ac:dyDescent="0.3">
      <c r="A2622" s="1" t="s">
        <v>92</v>
      </c>
      <c r="B2622" s="1" t="s">
        <v>400</v>
      </c>
      <c r="C2622" s="1" t="s">
        <v>328</v>
      </c>
      <c r="D2622" s="1" t="s">
        <v>329</v>
      </c>
      <c r="E2622" s="1">
        <v>40688</v>
      </c>
      <c r="F2622" s="1">
        <v>60688</v>
      </c>
      <c r="G2622" s="1">
        <v>18559.899999999991</v>
      </c>
      <c r="H2622" s="1">
        <v>1440.100000000006</v>
      </c>
      <c r="I2622" s="1">
        <v>59247.899999999987</v>
      </c>
      <c r="J2622" s="1">
        <v>107</v>
      </c>
      <c r="K2622" s="1">
        <v>129.25862179487169</v>
      </c>
      <c r="L2622" s="1">
        <v>8.3023453790160868</v>
      </c>
      <c r="N2622" s="7">
        <v>45918</v>
      </c>
      <c r="P2622" s="7">
        <v>46283</v>
      </c>
      <c r="T2622" s="1" t="s">
        <v>331</v>
      </c>
      <c r="U2622" s="1" t="s">
        <v>332</v>
      </c>
      <c r="V2622" s="1">
        <v>16</v>
      </c>
      <c r="W2622" s="3">
        <v>3389.9</v>
      </c>
      <c r="X2622" s="3">
        <v>54238.400000000001</v>
      </c>
      <c r="Y2622" s="1" t="str">
        <f>VLOOKUP(A2622,[1]Detalle!$D$2:$CR$484,93,FALSE)</f>
        <v>Unilever - Unilever de Arg. S.A.</v>
      </c>
    </row>
    <row r="2623" spans="1:25" ht="14.25" customHeight="1" x14ac:dyDescent="0.3">
      <c r="A2623" s="1" t="s">
        <v>91</v>
      </c>
      <c r="B2623" s="1" t="s">
        <v>400</v>
      </c>
      <c r="C2623" s="1" t="s">
        <v>328</v>
      </c>
      <c r="D2623" s="1" t="s">
        <v>329</v>
      </c>
      <c r="E2623" s="1">
        <v>40688</v>
      </c>
      <c r="F2623" s="1">
        <v>60688</v>
      </c>
      <c r="G2623" s="1">
        <v>18559.899999999991</v>
      </c>
      <c r="H2623" s="1">
        <v>1440.100000000006</v>
      </c>
      <c r="I2623" s="1">
        <v>59247.899999999987</v>
      </c>
      <c r="J2623" s="1">
        <v>107</v>
      </c>
      <c r="K2623" s="1">
        <v>129.25862179487169</v>
      </c>
      <c r="L2623" s="1">
        <v>8.3023453790160868</v>
      </c>
      <c r="N2623" s="7">
        <v>45922</v>
      </c>
      <c r="P2623" s="7">
        <v>46287</v>
      </c>
      <c r="T2623" s="1" t="s">
        <v>331</v>
      </c>
      <c r="U2623" s="1" t="s">
        <v>332</v>
      </c>
      <c r="V2623" s="1">
        <v>16</v>
      </c>
      <c r="W2623" s="3">
        <v>3389.9</v>
      </c>
      <c r="X2623" s="3">
        <v>54238.400000000001</v>
      </c>
      <c r="Y2623" s="1" t="str">
        <f>VLOOKUP(A2623,[1]Detalle!$D$2:$CR$484,93,FALSE)</f>
        <v>Unilever - Unilever de Arg. S.A.</v>
      </c>
    </row>
    <row r="2624" spans="1:25" ht="14.25" customHeight="1" x14ac:dyDescent="0.3">
      <c r="A2624" s="1" t="s">
        <v>83</v>
      </c>
      <c r="B2624" s="1" t="s">
        <v>400</v>
      </c>
      <c r="C2624" s="1" t="s">
        <v>328</v>
      </c>
      <c r="D2624" s="1" t="s">
        <v>329</v>
      </c>
      <c r="E2624" s="1">
        <v>40688</v>
      </c>
      <c r="F2624" s="1">
        <v>60688</v>
      </c>
      <c r="G2624" s="1">
        <v>18559.899999999991</v>
      </c>
      <c r="H2624" s="1">
        <v>1440.100000000006</v>
      </c>
      <c r="I2624" s="1">
        <v>59247.899999999987</v>
      </c>
      <c r="J2624" s="1">
        <v>107</v>
      </c>
      <c r="K2624" s="1">
        <v>129.25862179487169</v>
      </c>
      <c r="L2624" s="1">
        <v>8.3023453790160868</v>
      </c>
      <c r="N2624" s="7">
        <v>45923</v>
      </c>
      <c r="P2624" s="7">
        <v>46288</v>
      </c>
      <c r="T2624" s="1" t="s">
        <v>331</v>
      </c>
      <c r="U2624" s="1" t="s">
        <v>332</v>
      </c>
      <c r="V2624" s="1">
        <v>16</v>
      </c>
      <c r="W2624" s="3">
        <v>3389.9</v>
      </c>
      <c r="X2624" s="3">
        <v>54238.400000000001</v>
      </c>
      <c r="Y2624" s="1" t="str">
        <f>VLOOKUP(A2624,[1]Detalle!$D$2:$CR$484,93,FALSE)</f>
        <v>CMQ_TTE - QUILMES TTE</v>
      </c>
    </row>
    <row r="2625" spans="1:25" ht="14.25" customHeight="1" x14ac:dyDescent="0.3">
      <c r="A2625" s="1" t="s">
        <v>58</v>
      </c>
      <c r="B2625" s="1" t="s">
        <v>400</v>
      </c>
      <c r="C2625" s="1" t="s">
        <v>328</v>
      </c>
      <c r="D2625" s="1" t="s">
        <v>329</v>
      </c>
      <c r="E2625" s="1">
        <v>40688</v>
      </c>
      <c r="F2625" s="1">
        <v>60688</v>
      </c>
      <c r="G2625" s="1">
        <v>18559.899999999991</v>
      </c>
      <c r="H2625" s="1">
        <v>1440.100000000006</v>
      </c>
      <c r="I2625" s="1">
        <v>59247.899999999987</v>
      </c>
      <c r="J2625" s="1">
        <v>107</v>
      </c>
      <c r="K2625" s="1">
        <v>129.25862179487169</v>
      </c>
      <c r="L2625" s="1">
        <v>8.3023453790160868</v>
      </c>
      <c r="N2625" s="7">
        <v>45933</v>
      </c>
      <c r="P2625" s="7">
        <v>46298</v>
      </c>
      <c r="T2625" s="1" t="s">
        <v>331</v>
      </c>
      <c r="U2625" s="1" t="s">
        <v>332</v>
      </c>
      <c r="V2625" s="1">
        <v>16</v>
      </c>
      <c r="W2625" s="3">
        <v>3389.9</v>
      </c>
      <c r="X2625" s="3">
        <v>54238.400000000001</v>
      </c>
      <c r="Y2625" s="1" t="str">
        <f>VLOOKUP(A2625,[1]Detalle!$D$2:$CR$484,93,FALSE)</f>
        <v>CMQ_TTE - QUILMES TTE</v>
      </c>
    </row>
  </sheetData>
  <autoFilter ref="A1:Y2625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 (3)</vt:lpstr>
      <vt:lpstr>Hoja2</vt:lpstr>
      <vt:lpstr>Sheet1</vt:lpstr>
      <vt:lpstr>Hoja11</vt:lpstr>
      <vt:lpstr>Hoja1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Casco</dc:creator>
  <cp:lastModifiedBy>Alexis Casco</cp:lastModifiedBy>
  <dcterms:created xsi:type="dcterms:W3CDTF">2025-10-17T15:39:59Z</dcterms:created>
  <dcterms:modified xsi:type="dcterms:W3CDTF">2026-08-26T16:44:05Z</dcterms:modified>
</cp:coreProperties>
</file>